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FM Dashboard" sheetId="1" state="visible" r:id="rId3"/>
    <sheet name="Pivot Table" sheetId="2" state="visible" r:id="rId4"/>
    <sheet name="RFM Analysis1" sheetId="3" state="visible" r:id="rId5"/>
  </sheets>
  <definedNames>
    <definedName function="false" hidden="true" name="_xlcn.WorksheetConnection_datasetforrfm.xlsxTable21" vbProcedure="false">table2[]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<sst xmlns="http://schemas.openxmlformats.org/spreadsheetml/2006/main" count="68" uniqueCount="56">
  <si>
    <t xml:space="preserve">RFM CUSTOMER SEGMENTATION DASHBOARD</t>
  </si>
  <si>
    <t xml:space="preserve">TOTAL CUSTOMERS</t>
  </si>
  <si>
    <t xml:space="preserve">TOTAL REVENUE</t>
  </si>
  <si>
    <t xml:space="preserve">AVG RECENCY (DAYS)</t>
  </si>
  <si>
    <t xml:space="preserve">AVG FREQUENCY (ORDERS)</t>
  </si>
  <si>
    <t xml:space="preserve">AVG MONETARY VALUE</t>
  </si>
  <si>
    <t xml:space="preserve">CHAMPIONS</t>
  </si>
  <si>
    <t xml:space="preserve">Segment</t>
  </si>
  <si>
    <t xml:space="preserve">Customers</t>
  </si>
  <si>
    <t xml:space="preserve">% of Customers</t>
  </si>
  <si>
    <t xml:space="preserve">Total Revenue</t>
  </si>
  <si>
    <t xml:space="preserve">% of Revenue</t>
  </si>
  <si>
    <t xml:space="preserve">Avg Recency</t>
  </si>
  <si>
    <t xml:space="preserve">Avg Frequency</t>
  </si>
  <si>
    <t xml:space="preserve">Avg Monetary</t>
  </si>
  <si>
    <t xml:space="preserve">CHAMPION</t>
  </si>
  <si>
    <t xml:space="preserve">LOYAL CUSTOMER</t>
  </si>
  <si>
    <t xml:space="preserve">POTENTIAL LOYALIST</t>
  </si>
  <si>
    <t xml:space="preserve">NEW CUSTOMERS</t>
  </si>
  <si>
    <t xml:space="preserve">PROMISING</t>
  </si>
  <si>
    <t xml:space="preserve">NEED ATTENTION</t>
  </si>
  <si>
    <t xml:space="preserve">AT RISK</t>
  </si>
  <si>
    <t xml:space="preserve">CAN'T LOSE THEM</t>
  </si>
  <si>
    <t xml:space="preserve">HIBERNATING</t>
  </si>
  <si>
    <t xml:space="preserve">OTHER</t>
  </si>
  <si>
    <t xml:space="preserve">TOTAL</t>
  </si>
  <si>
    <t xml:space="preserve">TOP 10 CUSTOMERS BY VALUE</t>
  </si>
  <si>
    <t xml:space="preserve">Customer ID</t>
  </si>
  <si>
    <t xml:space="preserve">Monetary ($)</t>
  </si>
  <si>
    <t xml:space="preserve">SEGMENT GUIDE</t>
  </si>
  <si>
    <t xml:space="preserve">Reward loyalty; early access &amp; referral asks</t>
  </si>
  <si>
    <t xml:space="preserve">Upsell higher-value products; keep engaged</t>
  </si>
  <si>
    <t xml:space="preserve">Offer loyalty program; personalised offers</t>
  </si>
  <si>
    <t xml:space="preserve">Onboard well; build habit with early follow-up</t>
  </si>
  <si>
    <t xml:space="preserve">Encourage repeat purchase with targeted promos</t>
  </si>
  <si>
    <t xml:space="preserve">Re-engage with limited-time offers</t>
  </si>
  <si>
    <t xml:space="preserve">Win back with personalised outreach</t>
  </si>
  <si>
    <t xml:space="preserve">Priority win-back; high-touch outreach</t>
  </si>
  <si>
    <t xml:space="preserve">Low-cost re-engagement or sunset</t>
  </si>
  <si>
    <t xml:space="preserve">Review manually; segment rules did not match</t>
  </si>
  <si>
    <t xml:space="preserve">Row Labels</t>
  </si>
  <si>
    <t xml:space="preserve">Max of Date</t>
  </si>
  <si>
    <t xml:space="preserve">Distinct Count of InvoiceNo</t>
  </si>
  <si>
    <t xml:space="preserve">Sum of Revenue</t>
  </si>
  <si>
    <t xml:space="preserve">Grand Total</t>
  </si>
  <si>
    <t xml:space="preserve">Max Date </t>
  </si>
  <si>
    <t xml:space="preserve">Last Purchase Date</t>
  </si>
  <si>
    <t xml:space="preserve">Recency</t>
  </si>
  <si>
    <t xml:space="preserve">Frequency</t>
  </si>
  <si>
    <t xml:space="preserve">Monetory</t>
  </si>
  <si>
    <t xml:space="preserve">R Score </t>
  </si>
  <si>
    <t xml:space="preserve">F Score</t>
  </si>
  <si>
    <t xml:space="preserve">M Score</t>
  </si>
  <si>
    <t xml:space="preserve">RFM Score</t>
  </si>
  <si>
    <t xml:space="preserve">RFM Segment</t>
  </si>
  <si>
    <t xml:space="preserve">Monetary Rank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</si>
</sst>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"/>
    <numFmt numFmtId="167" formatCode="#,##0.0"/>
    <numFmt numFmtId="168" formatCode="0.0%"/>
    <numFmt numFmtId="169" formatCode="m/d/yyyy"/>
    <numFmt numFmtId="170" formatCode="dd/mm/yyyy;@"/>
    <numFmt numFmtId="171" formatCode="#,##0_);[RED]\(#,##0\)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0.5"/>
      <color rgb="FFFFFFFF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8"/>
      <color rgb="FF2E86A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A44"/>
      <name val="Arial"/>
      <family val="0"/>
      <charset val="1"/>
    </font>
    <font>
      <b val="true"/>
      <sz val="10"/>
      <color rgb="FF1B2B1E"/>
      <name val="Arial"/>
      <family val="0"/>
      <charset val="1"/>
    </font>
    <font>
      <b val="true"/>
      <sz val="10"/>
      <color rgb="FF4A3B00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9.5"/>
      <color rgb="FF1F2A44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8.5"/>
      <color rgb="FF1B2B1E"/>
      <name val="Arial"/>
      <family val="0"/>
      <charset val="1"/>
    </font>
    <font>
      <b val="true"/>
      <sz val="8.5"/>
      <color rgb="FF4A3B00"/>
      <name val="Arial"/>
      <family val="0"/>
      <charset val="1"/>
    </font>
    <font>
      <b val="true"/>
      <sz val="8.5"/>
      <color rgb="FF33333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theme="1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1F2A44"/>
        <bgColor rgb="FF1B2B1E"/>
      </patternFill>
    </fill>
    <fill>
      <patternFill patternType="solid">
        <fgColor rgb="FF141B2E"/>
        <bgColor rgb="FF1B2B1E"/>
      </patternFill>
    </fill>
    <fill>
      <patternFill patternType="solid">
        <fgColor rgb="FFFFFFFF"/>
        <bgColor rgb="FFF7F9FC"/>
      </patternFill>
    </fill>
    <fill>
      <patternFill patternType="solid">
        <fgColor rgb="FF1B5E20"/>
        <bgColor rgb="FF333333"/>
      </patternFill>
    </fill>
    <fill>
      <patternFill patternType="solid">
        <fgColor rgb="FF1565C0"/>
        <bgColor rgb="FF3366FF"/>
      </patternFill>
    </fill>
    <fill>
      <patternFill patternType="solid">
        <fgColor rgb="FFF7F9FC"/>
        <bgColor rgb="FFFFFFFF"/>
      </patternFill>
    </fill>
    <fill>
      <patternFill patternType="solid">
        <fgColor rgb="FF00897B"/>
        <bgColor rgb="FF008080"/>
      </patternFill>
    </fill>
    <fill>
      <patternFill patternType="solid">
        <fgColor rgb="FF66BB6A"/>
        <bgColor rgb="FF5B9BD5"/>
      </patternFill>
    </fill>
    <fill>
      <patternFill patternType="solid">
        <fgColor rgb="FFFBC02D"/>
        <bgColor rgb="FFFFCC99"/>
      </patternFill>
    </fill>
    <fill>
      <patternFill patternType="solid">
        <fgColor rgb="FFFB8C00"/>
        <bgColor rgb="FFFBC02D"/>
      </patternFill>
    </fill>
    <fill>
      <patternFill patternType="solid">
        <fgColor rgb="FFE53935"/>
        <bgColor rgb="FF993366"/>
      </patternFill>
    </fill>
    <fill>
      <patternFill patternType="solid">
        <fgColor rgb="FF6A1B9A"/>
        <bgColor rgb="FF800080"/>
      </patternFill>
    </fill>
    <fill>
      <patternFill patternType="solid">
        <fgColor rgb="FF757575"/>
        <bgColor rgb="FF6B7280"/>
      </patternFill>
    </fill>
    <fill>
      <patternFill patternType="solid">
        <fgColor rgb="FFBDBDBD"/>
        <bgColor rgb="FFB3B3B3"/>
      </patternFill>
    </fill>
    <fill>
      <patternFill patternType="solid">
        <fgColor rgb="FF2E86AB"/>
        <bgColor rgb="FF008080"/>
      </patternFill>
    </fill>
    <fill>
      <patternFill patternType="solid">
        <fgColor theme="4" tint="0.7999"/>
        <bgColor rgb="FFD9DEE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/>
      <diagonal/>
    </border>
    <border diagonalUp="false" diagonalDown="false">
      <left style="thin">
        <color rgb="FFD9DEE7"/>
      </left>
      <right style="thin">
        <color rgb="FFD9DEE7"/>
      </right>
      <top/>
      <bottom style="thin">
        <color rgb="FFD9DEE7"/>
      </bottom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 diagonalUp="false" diagonalDown="false">
      <left/>
      <right/>
      <top style="thin">
        <color theme="4" tint="0.3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7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9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1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3" fillId="1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1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141B2E"/>
      <rgbColor rgb="FF808000"/>
      <rgbColor rgb="FF6A1B9A"/>
      <rgbColor rgb="FF00897B"/>
      <rgbColor rgb="FFBDBDBD"/>
      <rgbColor rgb="FF757575"/>
      <rgbColor rgb="FF5B9BD5"/>
      <rgbColor rgb="FF993366"/>
      <rgbColor rgb="FFF7F9FC"/>
      <rgbColor rgb="FFDEEBF7"/>
      <rgbColor rgb="FF660066"/>
      <rgbColor rgb="FFFF8080"/>
      <rgbColor rgb="FF1565C0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DC3E6"/>
      <rgbColor rgb="FFFF99CC"/>
      <rgbColor rgb="FFCC99FF"/>
      <rgbColor rgb="FFFFCC99"/>
      <rgbColor rgb="FF3366FF"/>
      <rgbColor rgb="FF66BB6A"/>
      <rgbColor rgb="FF99CC00"/>
      <rgbColor rgb="FFFBC02D"/>
      <rgbColor rgb="FFFB8C00"/>
      <rgbColor rgb="FFE53935"/>
      <rgbColor rgb="FF6B7280"/>
      <rgbColor rgb="FFB3B3B3"/>
      <rgbColor rgb="FF1F2A44"/>
      <rgbColor rgb="FF2E86AB"/>
      <rgbColor rgb="FF1B2B1E"/>
      <rgbColor rgb="FF4A3B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Customers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'RFM Dashboard'!C10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2e86ab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'RFM Dashboard'!$B$11:$B$20</c:f>
              <c:strCache>
                <c:ptCount val="10"/>
                <c:pt idx="0">
                  <c:v>CHAMPION</c:v>
                </c:pt>
                <c:pt idx="1">
                  <c:v>LOYAL CUSTOMER</c:v>
                </c:pt>
                <c:pt idx="2">
                  <c:v>POTENTIAL LOYALIST</c:v>
                </c:pt>
                <c:pt idx="3">
                  <c:v>NEW CUSTOMERS</c:v>
                </c:pt>
                <c:pt idx="4">
                  <c:v>PROMISING</c:v>
                </c:pt>
                <c:pt idx="5">
                  <c:v>NEED ATTENTION</c:v>
                </c:pt>
                <c:pt idx="6">
                  <c:v>AT RISK</c:v>
                </c:pt>
                <c:pt idx="7">
                  <c:v>CAN'T LOSE THEM</c:v>
                </c:pt>
                <c:pt idx="8">
                  <c:v>HIBERNATING</c:v>
                </c:pt>
                <c:pt idx="9">
                  <c:v>OTHER</c:v>
                </c:pt>
              </c:strCache>
            </c:strRef>
          </c:cat>
          <c:val>
            <c:numRef>
              <c:f>'RFM Dashboard'!$C$11:$C$20</c:f>
              <c:numCache>
                <c:formatCode>#,##0</c:formatCode>
                <c:ptCount val="10"/>
                <c:pt idx="0">
                  <c:v>255</c:v>
                </c:pt>
                <c:pt idx="1">
                  <c:v>496</c:v>
                </c:pt>
                <c:pt idx="2">
                  <c:v>293</c:v>
                </c:pt>
                <c:pt idx="3">
                  <c:v>3</c:v>
                </c:pt>
                <c:pt idx="4">
                  <c:v>68</c:v>
                </c:pt>
                <c:pt idx="5">
                  <c:v>1269</c:v>
                </c:pt>
                <c:pt idx="6">
                  <c:v>45</c:v>
                </c:pt>
                <c:pt idx="7">
                  <c:v>0</c:v>
                </c:pt>
                <c:pt idx="8">
                  <c:v>470</c:v>
                </c:pt>
                <c:pt idx="9">
                  <c:v>1473</c:v>
                </c:pt>
              </c:numCache>
            </c:numRef>
          </c:val>
        </c:ser>
        <c:gapWidth val="150"/>
        <c:overlap val="0"/>
        <c:axId val="94184169"/>
        <c:axId val="11720567"/>
      </c:barChart>
      <c:catAx>
        <c:axId val="941841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20567"/>
        <c:crosses val="autoZero"/>
        <c:auto val="1"/>
        <c:lblAlgn val="ctr"/>
        <c:lblOffset val="100"/>
        <c:noMultiLvlLbl val="0"/>
      </c:catAx>
      <c:valAx>
        <c:axId val="117205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1841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'RFM Dashboard'!E10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b5e2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565c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0897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66bb6a"/>
              </a:solidFill>
              <a:ln w="0">
                <a:noFill/>
              </a:ln>
            </c:spPr>
          </c:dPt>
          <c:dPt>
            <c:idx val="4"/>
            <c:spPr>
              <a:solidFill>
                <a:srgbClr val="fbc02d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b8c00"/>
              </a:solidFill>
              <a:ln w="0">
                <a:noFill/>
              </a:ln>
            </c:spPr>
          </c:dPt>
          <c:dPt>
            <c:idx val="6"/>
            <c:spPr>
              <a:solidFill>
                <a:srgbClr val="e53935"/>
              </a:solidFill>
              <a:ln w="0">
                <a:noFill/>
              </a:ln>
            </c:spPr>
          </c:dPt>
          <c:dPt>
            <c:idx val="7"/>
            <c:spPr>
              <a:solidFill>
                <a:srgbClr val="6a1b9a"/>
              </a:solidFill>
              <a:ln w="0">
                <a:noFill/>
              </a:ln>
            </c:spPr>
          </c:dPt>
          <c:dPt>
            <c:idx val="8"/>
            <c:spPr>
              <a:solidFill>
                <a:srgbClr val="757575"/>
              </a:solidFill>
              <a:ln w="0">
                <a:noFill/>
              </a:ln>
            </c:spPr>
          </c:dPt>
          <c:dPt>
            <c:idx val="9"/>
            <c:spPr>
              <a:solidFill>
                <a:srgbClr val="bdbdbd"/>
              </a:solidFill>
              <a:ln w="0">
                <a:noFill/>
              </a:ln>
            </c:spPr>
          </c:dPt>
          <c:dLbls>
            <c:numFmt formatCode="\$#,##0" sourceLinked="1"/>
            <c:dLbl>
              <c:idx val="0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'RFM Dashboard'!$B$11:$B$20</c:f>
              <c:strCache>
                <c:ptCount val="10"/>
                <c:pt idx="0">
                  <c:v>CHAMPION</c:v>
                </c:pt>
                <c:pt idx="1">
                  <c:v>LOYAL CUSTOMER</c:v>
                </c:pt>
                <c:pt idx="2">
                  <c:v>POTENTIAL LOYALIST</c:v>
                </c:pt>
                <c:pt idx="3">
                  <c:v>NEW CUSTOMERS</c:v>
                </c:pt>
                <c:pt idx="4">
                  <c:v>PROMISING</c:v>
                </c:pt>
                <c:pt idx="5">
                  <c:v>NEED ATTENTION</c:v>
                </c:pt>
                <c:pt idx="6">
                  <c:v>AT RISK</c:v>
                </c:pt>
                <c:pt idx="7">
                  <c:v>CAN'T LOSE THEM</c:v>
                </c:pt>
                <c:pt idx="8">
                  <c:v>HIBERNATING</c:v>
                </c:pt>
                <c:pt idx="9">
                  <c:v>OTHER</c:v>
                </c:pt>
              </c:strCache>
            </c:strRef>
          </c:cat>
          <c:val>
            <c:numRef>
              <c:f>'RFM Dashboard'!$E$11:$E$20</c:f>
              <c:numCache>
                <c:formatCode>\$#,##0</c:formatCode>
                <c:ptCount val="10"/>
                <c:pt idx="0">
                  <c:v>3416321.89</c:v>
                </c:pt>
                <c:pt idx="1">
                  <c:v>1792814.9</c:v>
                </c:pt>
                <c:pt idx="2">
                  <c:v>431874.03</c:v>
                </c:pt>
                <c:pt idx="3">
                  <c:v>5390.54</c:v>
                </c:pt>
                <c:pt idx="4">
                  <c:v>34922.34</c:v>
                </c:pt>
                <c:pt idx="5">
                  <c:v>1760350.002</c:v>
                </c:pt>
                <c:pt idx="6">
                  <c:v>114282.86</c:v>
                </c:pt>
                <c:pt idx="7">
                  <c:v>0</c:v>
                </c:pt>
                <c:pt idx="8">
                  <c:v>64855.69</c:v>
                </c:pt>
                <c:pt idx="9">
                  <c:v>679253.562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Monetary Value by Segment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'RFM Dashboard'!I10</c:f>
              <c:strCache>
                <c:ptCount val="1"/>
                <c:pt idx="0">
                  <c:v>Avg Monetary</c:v>
                </c:pt>
              </c:strCache>
            </c:strRef>
          </c:tx>
          <c:spPr>
            <a:solidFill>
              <a:srgbClr val="00897b"/>
            </a:solidFill>
            <a:ln w="0">
              <a:noFill/>
            </a:ln>
          </c:spPr>
          <c:invertIfNegative val="0"/>
          <c:dLbls>
            <c:numFmt formatCode="\$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'RFM Dashboard'!$B$11:$B$20</c:f>
              <c:strCache>
                <c:ptCount val="10"/>
                <c:pt idx="0">
                  <c:v>CHAMPION</c:v>
                </c:pt>
                <c:pt idx="1">
                  <c:v>LOYAL CUSTOMER</c:v>
                </c:pt>
                <c:pt idx="2">
                  <c:v>POTENTIAL LOYALIST</c:v>
                </c:pt>
                <c:pt idx="3">
                  <c:v>NEW CUSTOMERS</c:v>
                </c:pt>
                <c:pt idx="4">
                  <c:v>PROMISING</c:v>
                </c:pt>
                <c:pt idx="5">
                  <c:v>NEED ATTENTION</c:v>
                </c:pt>
                <c:pt idx="6">
                  <c:v>AT RISK</c:v>
                </c:pt>
                <c:pt idx="7">
                  <c:v>CAN'T LOSE THEM</c:v>
                </c:pt>
                <c:pt idx="8">
                  <c:v>HIBERNATING</c:v>
                </c:pt>
                <c:pt idx="9">
                  <c:v>OTHER</c:v>
                </c:pt>
              </c:strCache>
            </c:strRef>
          </c:cat>
          <c:val>
            <c:numRef>
              <c:f>'RFM Dashboard'!$I$11:$I$20</c:f>
              <c:numCache>
                <c:formatCode>\$#,##0</c:formatCode>
                <c:ptCount val="10"/>
                <c:pt idx="0">
                  <c:v>13397.340745098</c:v>
                </c:pt>
                <c:pt idx="1">
                  <c:v>3614.54616935484</c:v>
                </c:pt>
                <c:pt idx="2">
                  <c:v>1473.97279863481</c:v>
                </c:pt>
                <c:pt idx="3">
                  <c:v>1796.84666666667</c:v>
                </c:pt>
                <c:pt idx="4">
                  <c:v>513.563823529412</c:v>
                </c:pt>
                <c:pt idx="5">
                  <c:v>1387.194643026</c:v>
                </c:pt>
                <c:pt idx="6">
                  <c:v>2539.61911111111</c:v>
                </c:pt>
                <c:pt idx="7">
                  <c:v>0</c:v>
                </c:pt>
                <c:pt idx="8">
                  <c:v>137.990829787234</c:v>
                </c:pt>
                <c:pt idx="9">
                  <c:v>461.13615885947</c:v>
                </c:pt>
              </c:numCache>
            </c:numRef>
          </c:val>
        </c:ser>
        <c:gapWidth val="150"/>
        <c:overlap val="0"/>
        <c:axId val="89765420"/>
        <c:axId val="74487434"/>
      </c:barChart>
      <c:catAx>
        <c:axId val="897654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487434"/>
        <c:crosses val="autoZero"/>
        <c:auto val="1"/>
        <c:lblAlgn val="ctr"/>
        <c:lblOffset val="100"/>
        <c:noMultiLvlLbl val="0"/>
      </c:catAx>
      <c:valAx>
        <c:axId val="744874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654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0</xdr:rowOff>
    </xdr:from>
    <xdr:to>
      <xdr:col>6</xdr:col>
      <xdr:colOff>684360</xdr:colOff>
      <xdr:row>36</xdr:row>
      <xdr:rowOff>106560</xdr:rowOff>
    </xdr:to>
    <xdr:graphicFrame>
      <xdr:nvGraphicFramePr>
        <xdr:cNvPr id="0" name="Chart 1"/>
        <xdr:cNvGraphicFramePr/>
      </xdr:nvGraphicFramePr>
      <xdr:xfrm>
        <a:off x="176400" y="4695840"/>
        <a:ext cx="575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0</xdr:rowOff>
    </xdr:from>
    <xdr:to>
      <xdr:col>14</xdr:col>
      <xdr:colOff>190440</xdr:colOff>
      <xdr:row>36</xdr:row>
      <xdr:rowOff>106560</xdr:rowOff>
    </xdr:to>
    <xdr:graphicFrame>
      <xdr:nvGraphicFramePr>
        <xdr:cNvPr id="1" name="Chart 2"/>
        <xdr:cNvGraphicFramePr/>
      </xdr:nvGraphicFramePr>
      <xdr:xfrm>
        <a:off x="6167880" y="4695840"/>
        <a:ext cx="575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6</xdr:col>
      <xdr:colOff>684360</xdr:colOff>
      <xdr:row>53</xdr:row>
      <xdr:rowOff>125640</xdr:rowOff>
    </xdr:to>
    <xdr:graphicFrame>
      <xdr:nvGraphicFramePr>
        <xdr:cNvPr id="2" name="Chart 3"/>
        <xdr:cNvGraphicFramePr/>
      </xdr:nvGraphicFramePr>
      <xdr:xfrm>
        <a:off x="176400" y="8867880"/>
        <a:ext cx="575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3" displayName="Table3" ref="A6:K4378" headerRowCount="1" totalsRowCount="0" totalsRowShown="0">
  <autoFilter ref="A6:K4378"/>
  <tableColumns count="11">
    <tableColumn id="1" name="Customer ID"/>
    <tableColumn id="2" name="Last Purchase Date"/>
    <tableColumn id="3" name="Recency"/>
    <tableColumn id="4" name="Frequency"/>
    <tableColumn id="5" name="Monetory"/>
    <tableColumn id="6" name="R Score "/>
    <tableColumn id="7" name="F Score"/>
    <tableColumn id="8" name="M Score"/>
    <tableColumn id="9" name="RFM Score"/>
    <tableColumn id="10" name="RFM Segment"/>
    <tableColumn id="11" name="Monetary Ran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B2:M4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0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8" min="7" style="1" width="13"/>
    <col collapsed="false" customWidth="true" hidden="false" outlineLevel="0" max="9" min="9" style="1" width="15"/>
    <col collapsed="false" customWidth="true" hidden="false" outlineLevel="0" max="10" min="10" style="1" width="2.5"/>
    <col collapsed="false" customWidth="true" hidden="false" outlineLevel="0" max="12" min="11" style="1" width="15"/>
    <col collapsed="false" customWidth="true" hidden="false" outlineLevel="0" max="13" min="13" style="1" width="16"/>
    <col collapsed="false" customWidth="true" hidden="false" outlineLevel="0" max="14" min="14" style="1" width="2.5"/>
  </cols>
  <sheetData>
    <row r="2" customFormat="false" ht="25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9.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9.5" hidden="false" customHeight="true" outlineLevel="0" collapsed="false">
      <c r="B4" s="3" t="str">
        <f aca="false">"Online Retail Transactions  |  Snapshot Date: "&amp;TEXT('RFM Analysis1'!$C$2,"dd mmm yyyy")&amp;"  |  Customers Analysed: "&amp;TEXT(COUNT('RFM Analysis1'!$A$7:$A$4378),"#,##0")</f>
        <v>Online Retail Transactions  |  Snapshot Date: 10 Dec 2011  |  Customers Analysed: 4,372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.75" hidden="false" customHeight="true" outlineLevel="0" collapsed="false">
      <c r="B6" s="4" t="s">
        <v>1</v>
      </c>
      <c r="C6" s="4"/>
      <c r="D6" s="4" t="s">
        <v>2</v>
      </c>
      <c r="E6" s="4"/>
      <c r="F6" s="4" t="s">
        <v>3</v>
      </c>
      <c r="G6" s="4"/>
      <c r="H6" s="4" t="s">
        <v>4</v>
      </c>
      <c r="I6" s="4"/>
      <c r="K6" s="4" t="s">
        <v>5</v>
      </c>
      <c r="L6" s="4"/>
      <c r="M6" s="4" t="s">
        <v>6</v>
      </c>
    </row>
    <row r="7" customFormat="false" ht="30" hidden="false" customHeight="true" outlineLevel="0" collapsed="false">
      <c r="B7" s="5" t="n">
        <f aca="false">COUNT('RFM Analysis1'!$A$7:$A$4378)</f>
        <v>4372</v>
      </c>
      <c r="C7" s="5"/>
      <c r="D7" s="6" t="n">
        <f aca="false">SUM('RFM Analysis1'!$E$7:$E$4378)</f>
        <v>8300065.814</v>
      </c>
      <c r="E7" s="6"/>
      <c r="F7" s="7" t="n">
        <f aca="false">AVERAGE('RFM Analysis1'!$C$7:$C$4378)</f>
        <v>92.5811985361391</v>
      </c>
      <c r="G7" s="7"/>
      <c r="H7" s="7" t="n">
        <f aca="false">AVERAGE('RFM Analysis1'!$D$7:$D$4378)</f>
        <v>5.07548032936871</v>
      </c>
      <c r="I7" s="7"/>
      <c r="K7" s="6" t="n">
        <f aca="false">AVERAGE('RFM Analysis1'!$E$7:$E$4378)</f>
        <v>1898.45970128088</v>
      </c>
      <c r="L7" s="6"/>
      <c r="M7" s="5" t="n">
        <f aca="false">COUNTIF('RFM Analysis1'!$J$7:$J$4378,"CHAMPION")</f>
        <v>255</v>
      </c>
    </row>
    <row r="8" customFormat="false" ht="7.5" hidden="false" customHeight="true" outlineLevel="0" collapsed="false"/>
    <row r="10" customFormat="false" ht="19.5" hidden="false" customHeight="true" outlineLevel="0" collapsed="false"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</row>
    <row r="11" customFormat="false" ht="15" hidden="false" customHeight="true" outlineLevel="0" collapsed="false">
      <c r="B11" s="9" t="s">
        <v>15</v>
      </c>
      <c r="C11" s="10" t="n">
        <f aca="false">COUNTIF('RFM Analysis1'!$J$7:$J$4378,$B11)</f>
        <v>255</v>
      </c>
      <c r="D11" s="11" t="n">
        <f aca="false">IFERROR(C11/SUM($C$11:$C$20),0)</f>
        <v>0.0583257090576395</v>
      </c>
      <c r="E11" s="12" t="n">
        <f aca="false">SUMIF('RFM Analysis1'!$J$7:$J$4378,$B11,'RFM Analysis1'!$E$7:$E$4378)</f>
        <v>3416321.89</v>
      </c>
      <c r="F11" s="11" t="n">
        <f aca="false">IFERROR(E11/SUM($E$11:$E$20),0)</f>
        <v>0.411601783233764</v>
      </c>
      <c r="G11" s="13" t="n">
        <f aca="false">IFERROR(AVERAGEIF('RFM Analysis1'!$J$7:$J$4378,$B11,'RFM Analysis1'!$C$7:$C$4378),0)</f>
        <v>4.74117647058824</v>
      </c>
      <c r="H11" s="13" t="n">
        <f aca="false">IFERROR(AVERAGEIF('RFM Analysis1'!$J$7:$J$4378,$B11,'RFM Analysis1'!$D$7:$D$4378),0)</f>
        <v>26.0941176470588</v>
      </c>
      <c r="I11" s="12" t="n">
        <f aca="false">IFERROR(AVERAGEIF('RFM Analysis1'!$J$7:$J$4378,$B11,'RFM Analysis1'!$E$7:$E$4378),0)</f>
        <v>13397.340745098</v>
      </c>
    </row>
    <row r="12" customFormat="false" ht="15" hidden="false" customHeight="true" outlineLevel="0" collapsed="false">
      <c r="B12" s="14" t="s">
        <v>16</v>
      </c>
      <c r="C12" s="15" t="n">
        <f aca="false">COUNTIF('RFM Analysis1'!$J$7:$J$4378,$B12)</f>
        <v>496</v>
      </c>
      <c r="D12" s="16" t="n">
        <f aca="false">IFERROR(C12/SUM($C$11:$C$20),0)</f>
        <v>0.113449222323879</v>
      </c>
      <c r="E12" s="17" t="n">
        <f aca="false">SUMIF('RFM Analysis1'!$J$7:$J$4378,$B12,'RFM Analysis1'!$E$7:$E$4378)</f>
        <v>1792814.9</v>
      </c>
      <c r="F12" s="16" t="n">
        <f aca="false">IFERROR(E12/SUM($E$11:$E$20),0)</f>
        <v>0.21600008243019</v>
      </c>
      <c r="G12" s="18" t="n">
        <f aca="false">IFERROR(AVERAGEIF('RFM Analysis1'!$J$7:$J$4378,$B12,'RFM Analysis1'!$C$7:$C$4378),0)</f>
        <v>14.7560483870968</v>
      </c>
      <c r="H12" s="18" t="n">
        <f aca="false">IFERROR(AVERAGEIF('RFM Analysis1'!$J$7:$J$4378,$B12,'RFM Analysis1'!$D$7:$D$4378),0)</f>
        <v>10.4959677419355</v>
      </c>
      <c r="I12" s="17" t="n">
        <f aca="false">IFERROR(AVERAGEIF('RFM Analysis1'!$J$7:$J$4378,$B12,'RFM Analysis1'!$E$7:$E$4378),0)</f>
        <v>3614.54616935484</v>
      </c>
    </row>
    <row r="13" customFormat="false" ht="15" hidden="false" customHeight="true" outlineLevel="0" collapsed="false">
      <c r="B13" s="19" t="s">
        <v>17</v>
      </c>
      <c r="C13" s="10" t="n">
        <f aca="false">COUNTIF('RFM Analysis1'!$J$7:$J$4378,$B13)</f>
        <v>293</v>
      </c>
      <c r="D13" s="11" t="n">
        <f aca="false">IFERROR(C13/SUM($C$11:$C$20),0)</f>
        <v>0.0670173833485819</v>
      </c>
      <c r="E13" s="12" t="n">
        <f aca="false">SUMIF('RFM Analysis1'!$J$7:$J$4378,$B13,'RFM Analysis1'!$E$7:$E$4378)</f>
        <v>431874.03</v>
      </c>
      <c r="F13" s="11" t="n">
        <f aca="false">IFERROR(E13/SUM($E$11:$E$20),0)</f>
        <v>0.0520326030754532</v>
      </c>
      <c r="G13" s="13" t="n">
        <f aca="false">IFERROR(AVERAGEIF('RFM Analysis1'!$J$7:$J$4378,$B13,'RFM Analysis1'!$C$7:$C$4378),0)</f>
        <v>14.2184300341297</v>
      </c>
      <c r="H13" s="13" t="n">
        <f aca="false">IFERROR(AVERAGEIF('RFM Analysis1'!$J$7:$J$4378,$B13,'RFM Analysis1'!$D$7:$D$4378),0)</f>
        <v>4.70307167235495</v>
      </c>
      <c r="I13" s="12" t="n">
        <f aca="false">IFERROR(AVERAGEIF('RFM Analysis1'!$J$7:$J$4378,$B13,'RFM Analysis1'!$E$7:$E$4378),0)</f>
        <v>1473.97279863481</v>
      </c>
    </row>
    <row r="14" customFormat="false" ht="15" hidden="false" customHeight="true" outlineLevel="0" collapsed="false">
      <c r="B14" s="20" t="s">
        <v>18</v>
      </c>
      <c r="C14" s="15" t="n">
        <f aca="false">COUNTIF('RFM Analysis1'!$J$7:$J$4378,$B14)</f>
        <v>3</v>
      </c>
      <c r="D14" s="16" t="n">
        <f aca="false">IFERROR(C14/SUM($C$11:$C$20),0)</f>
        <v>0.000686184812442818</v>
      </c>
      <c r="E14" s="17" t="n">
        <f aca="false">SUMIF('RFM Analysis1'!$J$7:$J$4378,$B14,'RFM Analysis1'!$E$7:$E$4378)</f>
        <v>5390.54</v>
      </c>
      <c r="F14" s="16" t="n">
        <f aca="false">IFERROR(E14/SUM($E$11:$E$20),0)</f>
        <v>0.000649457500795668</v>
      </c>
      <c r="G14" s="18" t="n">
        <f aca="false">IFERROR(AVERAGEIF('RFM Analysis1'!$J$7:$J$4378,$B14,'RFM Analysis1'!$C$7:$C$4378),0)</f>
        <v>2.66666666666667</v>
      </c>
      <c r="H14" s="18" t="n">
        <f aca="false">IFERROR(AVERAGEIF('RFM Analysis1'!$J$7:$J$4378,$B14,'RFM Analysis1'!$D$7:$D$4378),0)</f>
        <v>1</v>
      </c>
      <c r="I14" s="17" t="n">
        <f aca="false">IFERROR(AVERAGEIF('RFM Analysis1'!$J$7:$J$4378,$B14,'RFM Analysis1'!$E$7:$E$4378),0)</f>
        <v>1796.84666666667</v>
      </c>
    </row>
    <row r="15" customFormat="false" ht="15" hidden="false" customHeight="true" outlineLevel="0" collapsed="false">
      <c r="B15" s="21" t="s">
        <v>19</v>
      </c>
      <c r="C15" s="10" t="n">
        <f aca="false">COUNTIF('RFM Analysis1'!$J$7:$J$4378,$B15)</f>
        <v>68</v>
      </c>
      <c r="D15" s="11" t="n">
        <f aca="false">IFERROR(C15/SUM($C$11:$C$20),0)</f>
        <v>0.0155535224153705</v>
      </c>
      <c r="E15" s="12" t="n">
        <f aca="false">SUMIF('RFM Analysis1'!$J$7:$J$4378,$B15,'RFM Analysis1'!$E$7:$E$4378)</f>
        <v>34922.34</v>
      </c>
      <c r="F15" s="11" t="n">
        <f aca="false">IFERROR(E15/SUM($E$11:$E$20),0)</f>
        <v>0.0042074774806117</v>
      </c>
      <c r="G15" s="13" t="n">
        <f aca="false">IFERROR(AVERAGEIF('RFM Analysis1'!$J$7:$J$4378,$B15,'RFM Analysis1'!$C$7:$C$4378),0)</f>
        <v>18.9705882352941</v>
      </c>
      <c r="H15" s="13" t="n">
        <f aca="false">IFERROR(AVERAGEIF('RFM Analysis1'!$J$7:$J$4378,$B15,'RFM Analysis1'!$D$7:$D$4378),0)</f>
        <v>1</v>
      </c>
      <c r="I15" s="12" t="n">
        <f aca="false">IFERROR(AVERAGEIF('RFM Analysis1'!$J$7:$J$4378,$B15,'RFM Analysis1'!$E$7:$E$4378),0)</f>
        <v>513.563823529412</v>
      </c>
    </row>
    <row r="16" customFormat="false" ht="15" hidden="false" customHeight="true" outlineLevel="0" collapsed="false">
      <c r="B16" s="22" t="s">
        <v>20</v>
      </c>
      <c r="C16" s="15" t="n">
        <f aca="false">COUNTIF('RFM Analysis1'!$J$7:$J$4378,$B16)</f>
        <v>1269</v>
      </c>
      <c r="D16" s="16" t="n">
        <f aca="false">IFERROR(C16/SUM($C$11:$C$20),0)</f>
        <v>0.290256175663312</v>
      </c>
      <c r="E16" s="17" t="n">
        <f aca="false">SUMIF('RFM Analysis1'!$J$7:$J$4378,$B16,'RFM Analysis1'!$E$7:$E$4378)</f>
        <v>1760350.002</v>
      </c>
      <c r="F16" s="16" t="n">
        <f aca="false">IFERROR(E16/SUM($E$11:$E$20),0)</f>
        <v>0.212088679951279</v>
      </c>
      <c r="G16" s="18" t="n">
        <f aca="false">IFERROR(AVERAGEIF('RFM Analysis1'!$J$7:$J$4378,$B16,'RFM Analysis1'!$C$7:$C$4378),0)</f>
        <v>50.0055161544523</v>
      </c>
      <c r="H16" s="18" t="n">
        <f aca="false">IFERROR(AVERAGEIF('RFM Analysis1'!$J$7:$J$4378,$B16,'RFM Analysis1'!$D$7:$D$4378),0)</f>
        <v>4.28684003152088</v>
      </c>
      <c r="I16" s="17" t="n">
        <f aca="false">IFERROR(AVERAGEIF('RFM Analysis1'!$J$7:$J$4378,$B16,'RFM Analysis1'!$E$7:$E$4378),0)</f>
        <v>1387.194643026</v>
      </c>
    </row>
    <row r="17" customFormat="false" ht="15" hidden="false" customHeight="true" outlineLevel="0" collapsed="false">
      <c r="B17" s="23" t="s">
        <v>21</v>
      </c>
      <c r="C17" s="10" t="n">
        <f aca="false">COUNTIF('RFM Analysis1'!$J$7:$J$4378,$B17)</f>
        <v>45</v>
      </c>
      <c r="D17" s="11" t="n">
        <f aca="false">IFERROR(C17/SUM($C$11:$C$20),0)</f>
        <v>0.0102927721866423</v>
      </c>
      <c r="E17" s="12" t="n">
        <f aca="false">SUMIF('RFM Analysis1'!$J$7:$J$4378,$B17,'RFM Analysis1'!$E$7:$E$4378)</f>
        <v>114282.86</v>
      </c>
      <c r="F17" s="11" t="n">
        <f aca="false">IFERROR(E17/SUM($E$11:$E$20),0)</f>
        <v>0.0137689100979459</v>
      </c>
      <c r="G17" s="13" t="n">
        <f aca="false">IFERROR(AVERAGEIF('RFM Analysis1'!$J$7:$J$4378,$B17,'RFM Analysis1'!$C$7:$C$4378),0)</f>
        <v>184.666666666667</v>
      </c>
      <c r="H17" s="13" t="n">
        <f aca="false">IFERROR(AVERAGEIF('RFM Analysis1'!$J$7:$J$4378,$B17,'RFM Analysis1'!$D$7:$D$4378),0)</f>
        <v>7.95555555555556</v>
      </c>
      <c r="I17" s="12" t="n">
        <f aca="false">IFERROR(AVERAGEIF('RFM Analysis1'!$J$7:$J$4378,$B17,'RFM Analysis1'!$E$7:$E$4378),0)</f>
        <v>2539.61911111111</v>
      </c>
    </row>
    <row r="18" customFormat="false" ht="15" hidden="false" customHeight="true" outlineLevel="0" collapsed="false">
      <c r="B18" s="24" t="s">
        <v>22</v>
      </c>
      <c r="C18" s="15" t="n">
        <f aca="false">COUNTIF('RFM Analysis1'!$J$7:$J$4378,$B18)</f>
        <v>0</v>
      </c>
      <c r="D18" s="16" t="n">
        <f aca="false">IFERROR(C18/SUM($C$11:$C$20),0)</f>
        <v>0</v>
      </c>
      <c r="E18" s="17" t="n">
        <f aca="false">SUMIF('RFM Analysis1'!$J$7:$J$4378,$B18,'RFM Analysis1'!$E$7:$E$4378)</f>
        <v>0</v>
      </c>
      <c r="F18" s="16" t="n">
        <f aca="false">IFERROR(E18/SUM($E$11:$E$20),0)</f>
        <v>0</v>
      </c>
      <c r="G18" s="18" t="n">
        <f aca="false">IFERROR(AVERAGEIF('RFM Analysis1'!$J$7:$J$4378,$B18,'RFM Analysis1'!$C$7:$C$4378),0)</f>
        <v>0</v>
      </c>
      <c r="H18" s="18" t="n">
        <f aca="false">IFERROR(AVERAGEIF('RFM Analysis1'!$J$7:$J$4378,$B18,'RFM Analysis1'!$D$7:$D$4378),0)</f>
        <v>0</v>
      </c>
      <c r="I18" s="17" t="n">
        <f aca="false">IFERROR(AVERAGEIF('RFM Analysis1'!$J$7:$J$4378,$B18,'RFM Analysis1'!$E$7:$E$4378),0)</f>
        <v>0</v>
      </c>
    </row>
    <row r="19" customFormat="false" ht="15" hidden="false" customHeight="true" outlineLevel="0" collapsed="false">
      <c r="B19" s="25" t="s">
        <v>23</v>
      </c>
      <c r="C19" s="10" t="n">
        <f aca="false">COUNTIF('RFM Analysis1'!$J$7:$J$4378,$B19)</f>
        <v>470</v>
      </c>
      <c r="D19" s="11" t="n">
        <f aca="false">IFERROR(C19/SUM($C$11:$C$20),0)</f>
        <v>0.107502287282708</v>
      </c>
      <c r="E19" s="12" t="n">
        <f aca="false">SUMIF('RFM Analysis1'!$J$7:$J$4378,$B19,'RFM Analysis1'!$E$7:$E$4378)</f>
        <v>64855.69</v>
      </c>
      <c r="F19" s="11" t="n">
        <f aca="false">IFERROR(E19/SUM($E$11:$E$20),0)</f>
        <v>0.00781387659488262</v>
      </c>
      <c r="G19" s="13" t="n">
        <f aca="false">IFERROR(AVERAGEIF('RFM Analysis1'!$J$7:$J$4378,$B19,'RFM Analysis1'!$C$7:$C$4378),0)</f>
        <v>261.940425531915</v>
      </c>
      <c r="H19" s="13" t="n">
        <f aca="false">IFERROR(AVERAGEIF('RFM Analysis1'!$J$7:$J$4378,$B19,'RFM Analysis1'!$D$7:$D$4378),0)</f>
        <v>1</v>
      </c>
      <c r="I19" s="12" t="n">
        <f aca="false">IFERROR(AVERAGEIF('RFM Analysis1'!$J$7:$J$4378,$B19,'RFM Analysis1'!$E$7:$E$4378),0)</f>
        <v>137.990829787234</v>
      </c>
    </row>
    <row r="20" customFormat="false" ht="15" hidden="false" customHeight="true" outlineLevel="0" collapsed="false">
      <c r="B20" s="26" t="s">
        <v>24</v>
      </c>
      <c r="C20" s="15" t="n">
        <f aca="false">COUNTIF('RFM Analysis1'!$J$7:$J$4378,$B20)</f>
        <v>1473</v>
      </c>
      <c r="D20" s="16" t="n">
        <f aca="false">IFERROR(C20/SUM($C$11:$C$20),0)</f>
        <v>0.336916742909424</v>
      </c>
      <c r="E20" s="17" t="n">
        <f aca="false">SUMIF('RFM Analysis1'!$J$7:$J$4378,$B20,'RFM Analysis1'!$E$7:$E$4378)</f>
        <v>679253.562</v>
      </c>
      <c r="F20" s="16" t="n">
        <f aca="false">IFERROR(E20/SUM($E$11:$E$20),0)</f>
        <v>0.0818371296350783</v>
      </c>
      <c r="G20" s="18" t="n">
        <f aca="false">IFERROR(AVERAGEIF('RFM Analysis1'!$J$7:$J$4378,$B20,'RFM Analysis1'!$C$7:$C$4378),0)</f>
        <v>132.989816700611</v>
      </c>
      <c r="H20" s="18" t="n">
        <f aca="false">IFERROR(AVERAGEIF('RFM Analysis1'!$J$7:$J$4378,$B20,'RFM Analysis1'!$D$7:$D$4378),0)</f>
        <v>1.77393075356415</v>
      </c>
      <c r="I20" s="17" t="n">
        <f aca="false">IFERROR(AVERAGEIF('RFM Analysis1'!$J$7:$J$4378,$B20,'RFM Analysis1'!$E$7:$E$4378),0)</f>
        <v>461.13615885947</v>
      </c>
    </row>
    <row r="21" customFormat="false" ht="18" hidden="false" customHeight="true" outlineLevel="0" collapsed="false">
      <c r="B21" s="27" t="s">
        <v>25</v>
      </c>
      <c r="C21" s="28" t="n">
        <f aca="false">SUM(C11:C20)</f>
        <v>4372</v>
      </c>
      <c r="D21" s="29" t="n">
        <f aca="false">SUM(D11:D20)</f>
        <v>1</v>
      </c>
      <c r="E21" s="30" t="n">
        <f aca="false">SUM(E11:E20)</f>
        <v>8300065.814</v>
      </c>
      <c r="F21" s="29" t="n">
        <f aca="false">SUM(F11:F20)</f>
        <v>1</v>
      </c>
      <c r="G21" s="31" t="n">
        <f aca="false">IFERROR(AVERAGE('RFM Analysis1'!$C$7:$C$4378),0)</f>
        <v>92.5811985361391</v>
      </c>
      <c r="H21" s="31" t="n">
        <f aca="false">IFERROR(AVERAGE('RFM Analysis1'!$D$7:$D$4378),0)</f>
        <v>5.07548032936871</v>
      </c>
      <c r="I21" s="30" t="n">
        <f aca="false">IFERROR(AVERAGE('RFM Analysis1'!$E$7:$E$4378),0)</f>
        <v>1898.45970128088</v>
      </c>
    </row>
    <row r="22" customFormat="false" ht="19.5" hidden="false" customHeight="true" outlineLevel="0" collapsed="false">
      <c r="K22" s="32" t="s">
        <v>26</v>
      </c>
      <c r="L22" s="32"/>
      <c r="M22" s="32"/>
    </row>
    <row r="23" customFormat="false" ht="15" hidden="false" customHeight="true" outlineLevel="0" collapsed="false">
      <c r="K23" s="33" t="s">
        <v>27</v>
      </c>
      <c r="L23" s="33" t="s">
        <v>7</v>
      </c>
      <c r="M23" s="33" t="s">
        <v>28</v>
      </c>
    </row>
    <row r="24" customFormat="false" ht="15" hidden="false" customHeight="true" outlineLevel="0" collapsed="false">
      <c r="K24" s="34" t="n">
        <f aca="false">INDEX('RFM Analysis1'!$A$7:$A$4378,MATCH(1,'RFM Analysis1'!$K$7:$K$4378,0))</f>
        <v>14646</v>
      </c>
      <c r="L24" s="35" t="str">
        <f aca="false">INDEX('RFM Analysis1'!$J$7:$J$4378,MATCH(1,'RFM Analysis1'!$K$7:$K$4378,0))</f>
        <v>CHAMPION</v>
      </c>
      <c r="M24" s="36" t="n">
        <f aca="false">INDEX('RFM Analysis1'!$E$7:$E$4378,MATCH(1,'RFM Analysis1'!$K$7:$K$4378,0))</f>
        <v>279489.02</v>
      </c>
    </row>
    <row r="25" customFormat="false" ht="15" hidden="false" customHeight="true" outlineLevel="0" collapsed="false">
      <c r="K25" s="37" t="n">
        <f aca="false">INDEX('RFM Analysis1'!$A$7:$A$4378,MATCH(2,'RFM Analysis1'!$K$7:$K$4378,0))</f>
        <v>18102</v>
      </c>
      <c r="L25" s="38" t="str">
        <f aca="false">INDEX('RFM Analysis1'!$J$7:$J$4378,MATCH(2,'RFM Analysis1'!$K$7:$K$4378,0))</f>
        <v>CHAMPION</v>
      </c>
      <c r="M25" s="39" t="n">
        <f aca="false">INDEX('RFM Analysis1'!$E$7:$E$4378,MATCH(2,'RFM Analysis1'!$K$7:$K$4378,0))</f>
        <v>256438.49</v>
      </c>
    </row>
    <row r="26" customFormat="false" ht="15" hidden="false" customHeight="true" outlineLevel="0" collapsed="false">
      <c r="K26" s="34" t="n">
        <f aca="false">INDEX('RFM Analysis1'!$A$7:$A$4378,MATCH(3,'RFM Analysis1'!$K$7:$K$4378,0))</f>
        <v>17450</v>
      </c>
      <c r="L26" s="35" t="str">
        <f aca="false">INDEX('RFM Analysis1'!$J$7:$J$4378,MATCH(3,'RFM Analysis1'!$K$7:$K$4378,0))</f>
        <v>CHAMPION</v>
      </c>
      <c r="M26" s="36" t="n">
        <f aca="false">INDEX('RFM Analysis1'!$E$7:$E$4378,MATCH(3,'RFM Analysis1'!$K$7:$K$4378,0))</f>
        <v>187482.17</v>
      </c>
    </row>
    <row r="27" customFormat="false" ht="15" hidden="false" customHeight="true" outlineLevel="0" collapsed="false">
      <c r="K27" s="37" t="n">
        <f aca="false">INDEX('RFM Analysis1'!$A$7:$A$4378,MATCH(4,'RFM Analysis1'!$K$7:$K$4378,0))</f>
        <v>14911</v>
      </c>
      <c r="L27" s="38" t="str">
        <f aca="false">INDEX('RFM Analysis1'!$J$7:$J$4378,MATCH(4,'RFM Analysis1'!$K$7:$K$4378,0))</f>
        <v>CHAMPION</v>
      </c>
      <c r="M27" s="39" t="n">
        <f aca="false">INDEX('RFM Analysis1'!$E$7:$E$4378,MATCH(4,'RFM Analysis1'!$K$7:$K$4378,0))</f>
        <v>132572.62</v>
      </c>
    </row>
    <row r="28" customFormat="false" ht="15" hidden="false" customHeight="true" outlineLevel="0" collapsed="false">
      <c r="K28" s="34" t="n">
        <f aca="false">INDEX('RFM Analysis1'!$A$7:$A$4378,MATCH(5,'RFM Analysis1'!$K$7:$K$4378,0))</f>
        <v>12415</v>
      </c>
      <c r="L28" s="35" t="str">
        <f aca="false">INDEX('RFM Analysis1'!$J$7:$J$4378,MATCH(5,'RFM Analysis1'!$K$7:$K$4378,0))</f>
        <v>LOYAL CUSTOMER</v>
      </c>
      <c r="M28" s="36" t="n">
        <f aca="false">INDEX('RFM Analysis1'!$E$7:$E$4378,MATCH(5,'RFM Analysis1'!$K$7:$K$4378,0))</f>
        <v>123725.45</v>
      </c>
    </row>
    <row r="29" customFormat="false" ht="15" hidden="false" customHeight="true" outlineLevel="0" collapsed="false">
      <c r="K29" s="37" t="n">
        <f aca="false">INDEX('RFM Analysis1'!$A$7:$A$4378,MATCH(6,'RFM Analysis1'!$K$7:$K$4378,0))</f>
        <v>14156</v>
      </c>
      <c r="L29" s="38" t="str">
        <f aca="false">INDEX('RFM Analysis1'!$J$7:$J$4378,MATCH(6,'RFM Analysis1'!$K$7:$K$4378,0))</f>
        <v>CHAMPION</v>
      </c>
      <c r="M29" s="39" t="n">
        <f aca="false">INDEX('RFM Analysis1'!$E$7:$E$4378,MATCH(6,'RFM Analysis1'!$K$7:$K$4378,0))</f>
        <v>113384.14</v>
      </c>
    </row>
    <row r="30" customFormat="false" ht="15" hidden="false" customHeight="true" outlineLevel="0" collapsed="false">
      <c r="K30" s="34" t="n">
        <f aca="false">INDEX('RFM Analysis1'!$A$7:$A$4378,MATCH(7,'RFM Analysis1'!$K$7:$K$4378,0))</f>
        <v>17511</v>
      </c>
      <c r="L30" s="35" t="str">
        <f aca="false">INDEX('RFM Analysis1'!$J$7:$J$4378,MATCH(7,'RFM Analysis1'!$K$7:$K$4378,0))</f>
        <v>CHAMPION</v>
      </c>
      <c r="M30" s="36" t="n">
        <f aca="false">INDEX('RFM Analysis1'!$E$7:$E$4378,MATCH(7,'RFM Analysis1'!$K$7:$K$4378,0))</f>
        <v>88125.38</v>
      </c>
    </row>
    <row r="31" customFormat="false" ht="15" hidden="false" customHeight="true" outlineLevel="0" collapsed="false">
      <c r="K31" s="37" t="n">
        <f aca="false">INDEX('RFM Analysis1'!$A$7:$A$4378,MATCH(8,'RFM Analysis1'!$K$7:$K$4378,0))</f>
        <v>16684</v>
      </c>
      <c r="L31" s="38" t="str">
        <f aca="false">INDEX('RFM Analysis1'!$J$7:$J$4378,MATCH(8,'RFM Analysis1'!$K$7:$K$4378,0))</f>
        <v>CHAMPION</v>
      </c>
      <c r="M31" s="39" t="n">
        <f aca="false">INDEX('RFM Analysis1'!$E$7:$E$4378,MATCH(8,'RFM Analysis1'!$K$7:$K$4378,0))</f>
        <v>65892.08</v>
      </c>
    </row>
    <row r="32" customFormat="false" ht="15" hidden="false" customHeight="true" outlineLevel="0" collapsed="false">
      <c r="K32" s="34" t="n">
        <f aca="false">INDEX('RFM Analysis1'!$A$7:$A$4378,MATCH(9,'RFM Analysis1'!$K$7:$K$4378,0))</f>
        <v>13694</v>
      </c>
      <c r="L32" s="35" t="str">
        <f aca="false">INDEX('RFM Analysis1'!$J$7:$J$4378,MATCH(9,'RFM Analysis1'!$K$7:$K$4378,0))</f>
        <v>CHAMPION</v>
      </c>
      <c r="M32" s="36" t="n">
        <f aca="false">INDEX('RFM Analysis1'!$E$7:$E$4378,MATCH(9,'RFM Analysis1'!$K$7:$K$4378,0))</f>
        <v>62653.1</v>
      </c>
    </row>
    <row r="33" customFormat="false" ht="15" hidden="false" customHeight="true" outlineLevel="0" collapsed="false">
      <c r="K33" s="37" t="n">
        <f aca="false">INDEX('RFM Analysis1'!$A$7:$A$4378,MATCH(10,'RFM Analysis1'!$K$7:$K$4378,0))</f>
        <v>15311</v>
      </c>
      <c r="L33" s="38" t="str">
        <f aca="false">INDEX('RFM Analysis1'!$J$7:$J$4378,MATCH(10,'RFM Analysis1'!$K$7:$K$4378,0))</f>
        <v>CHAMPION</v>
      </c>
      <c r="M33" s="39" t="n">
        <f aca="false">INDEX('RFM Analysis1'!$E$7:$E$4378,MATCH(10,'RFM Analysis1'!$K$7:$K$4378,0))</f>
        <v>59419.3400000001</v>
      </c>
    </row>
    <row r="34" customFormat="false" ht="19.5" hidden="false" customHeight="true" outlineLevel="0" collapsed="false">
      <c r="K34" s="32" t="s">
        <v>29</v>
      </c>
      <c r="L34" s="32"/>
      <c r="M34" s="32"/>
    </row>
    <row r="35" customFormat="false" ht="24" hidden="false" customHeight="true" outlineLevel="0" collapsed="false">
      <c r="K35" s="40" t="s">
        <v>15</v>
      </c>
      <c r="L35" s="40"/>
      <c r="M35" s="41" t="s">
        <v>30</v>
      </c>
    </row>
    <row r="36" customFormat="false" ht="24" hidden="false" customHeight="true" outlineLevel="0" collapsed="false">
      <c r="K36" s="42" t="s">
        <v>16</v>
      </c>
      <c r="L36" s="42"/>
      <c r="M36" s="41" t="s">
        <v>31</v>
      </c>
    </row>
    <row r="37" customFormat="false" ht="24" hidden="false" customHeight="true" outlineLevel="0" collapsed="false">
      <c r="K37" s="43" t="s">
        <v>17</v>
      </c>
      <c r="L37" s="43"/>
      <c r="M37" s="41" t="s">
        <v>32</v>
      </c>
    </row>
    <row r="38" customFormat="false" ht="24" hidden="false" customHeight="true" outlineLevel="0" collapsed="false">
      <c r="K38" s="44" t="s">
        <v>18</v>
      </c>
      <c r="L38" s="44"/>
      <c r="M38" s="41" t="s">
        <v>33</v>
      </c>
    </row>
    <row r="39" customFormat="false" ht="24" hidden="false" customHeight="true" outlineLevel="0" collapsed="false">
      <c r="K39" s="45" t="s">
        <v>19</v>
      </c>
      <c r="L39" s="45"/>
      <c r="M39" s="41" t="s">
        <v>34</v>
      </c>
    </row>
    <row r="40" customFormat="false" ht="24" hidden="false" customHeight="true" outlineLevel="0" collapsed="false">
      <c r="K40" s="46" t="s">
        <v>20</v>
      </c>
      <c r="L40" s="46"/>
      <c r="M40" s="41" t="s">
        <v>35</v>
      </c>
    </row>
    <row r="41" customFormat="false" ht="24" hidden="false" customHeight="true" outlineLevel="0" collapsed="false">
      <c r="K41" s="47" t="s">
        <v>21</v>
      </c>
      <c r="L41" s="47"/>
      <c r="M41" s="41" t="s">
        <v>36</v>
      </c>
    </row>
    <row r="42" customFormat="false" ht="24" hidden="false" customHeight="true" outlineLevel="0" collapsed="false">
      <c r="K42" s="48" t="s">
        <v>22</v>
      </c>
      <c r="L42" s="48"/>
      <c r="M42" s="41" t="s">
        <v>37</v>
      </c>
    </row>
    <row r="43" customFormat="false" ht="24" hidden="false" customHeight="true" outlineLevel="0" collapsed="false">
      <c r="K43" s="49" t="s">
        <v>23</v>
      </c>
      <c r="L43" s="49"/>
      <c r="M43" s="41" t="s">
        <v>38</v>
      </c>
    </row>
    <row r="44" customFormat="false" ht="24" hidden="false" customHeight="true" outlineLevel="0" collapsed="false">
      <c r="K44" s="50" t="s">
        <v>24</v>
      </c>
      <c r="L44" s="50"/>
      <c r="M44" s="41" t="s">
        <v>39</v>
      </c>
    </row>
  </sheetData>
  <mergeCells count="24">
    <mergeCell ref="B2:M3"/>
    <mergeCell ref="B4:M4"/>
    <mergeCell ref="B6:C6"/>
    <mergeCell ref="D6:E6"/>
    <mergeCell ref="F6:G6"/>
    <mergeCell ref="H6:I6"/>
    <mergeCell ref="K6:L6"/>
    <mergeCell ref="B7:C7"/>
    <mergeCell ref="D7:E7"/>
    <mergeCell ref="F7:G7"/>
    <mergeCell ref="H7:I7"/>
    <mergeCell ref="K7:L7"/>
    <mergeCell ref="K22:M22"/>
    <mergeCell ref="K34:M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BDBD"/>
    <pageSetUpPr fitToPage="false"/>
  </sheetPr>
  <dimension ref="A3:D4376"/>
  <sheetViews>
    <sheetView showFormulas="false" showGridLines="true" showRowColHeaders="true" showZeros="true" rightToLeft="false" tabSelected="false" showOutlineSymbols="true" defaultGridColor="true" view="normal" topLeftCell="A4348" colorId="64" zoomScale="100" zoomScaleNormal="100" zoomScalePageLayoutView="100" workbookViewId="0">
      <selection pane="topLeft" activeCell="D4" activeCellId="0" sqref="D4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2.56"/>
    <col collapsed="false" customWidth="true" hidden="false" outlineLevel="0" max="2" min="2" style="1" width="11.22"/>
    <col collapsed="false" customWidth="true" hidden="false" outlineLevel="0" max="3" min="3" style="1" width="24.33"/>
    <col collapsed="false" customWidth="true" hidden="false" outlineLevel="0" max="4" min="4" style="1" width="14.88"/>
  </cols>
  <sheetData>
    <row r="3" customFormat="false" ht="14.25" hidden="false" customHeight="true" outlineLevel="0" collapsed="false">
      <c r="A3" s="1" t="s">
        <v>40</v>
      </c>
      <c r="B3" s="1" t="s">
        <v>41</v>
      </c>
      <c r="C3" s="1" t="s">
        <v>42</v>
      </c>
      <c r="D3" s="1" t="s">
        <v>43</v>
      </c>
    </row>
    <row r="4" customFormat="false" ht="14.25" hidden="false" customHeight="true" outlineLevel="0" collapsed="false">
      <c r="A4" s="51" t="n">
        <v>12346</v>
      </c>
      <c r="B4" s="52" t="n">
        <v>40561.4284722222</v>
      </c>
      <c r="C4" s="1" t="n">
        <v>2</v>
      </c>
      <c r="D4" s="1" t="n">
        <v>0</v>
      </c>
    </row>
    <row r="5" customFormat="false" ht="14.25" hidden="false" customHeight="true" outlineLevel="0" collapsed="false">
      <c r="A5" s="51" t="n">
        <v>12347</v>
      </c>
      <c r="B5" s="52" t="n">
        <v>40884.6611111111</v>
      </c>
      <c r="C5" s="1" t="n">
        <v>7</v>
      </c>
      <c r="D5" s="1" t="n">
        <v>4310</v>
      </c>
    </row>
    <row r="6" customFormat="false" ht="14.25" hidden="false" customHeight="true" outlineLevel="0" collapsed="false">
      <c r="A6" s="51" t="n">
        <v>12348</v>
      </c>
      <c r="B6" s="52" t="n">
        <v>40811.5506944444</v>
      </c>
      <c r="C6" s="1" t="n">
        <v>4</v>
      </c>
      <c r="D6" s="1" t="n">
        <v>1797.24</v>
      </c>
    </row>
    <row r="7" customFormat="false" ht="14.25" hidden="false" customHeight="true" outlineLevel="0" collapsed="false">
      <c r="A7" s="51" t="n">
        <v>12349</v>
      </c>
      <c r="B7" s="52" t="n">
        <v>40868.4104166667</v>
      </c>
      <c r="C7" s="1" t="n">
        <v>1</v>
      </c>
      <c r="D7" s="1" t="n">
        <v>1757.55</v>
      </c>
    </row>
    <row r="8" customFormat="false" ht="14.25" hidden="false" customHeight="true" outlineLevel="0" collapsed="false">
      <c r="A8" s="51" t="n">
        <v>12350</v>
      </c>
      <c r="B8" s="52" t="n">
        <v>40576.6673611111</v>
      </c>
      <c r="C8" s="1" t="n">
        <v>1</v>
      </c>
      <c r="D8" s="1" t="n">
        <v>334.4</v>
      </c>
    </row>
    <row r="9" customFormat="false" ht="14.25" hidden="false" customHeight="true" outlineLevel="0" collapsed="false">
      <c r="A9" s="51" t="n">
        <v>12352</v>
      </c>
      <c r="B9" s="52" t="n">
        <v>40850.6090277778</v>
      </c>
      <c r="C9" s="1" t="n">
        <v>11</v>
      </c>
      <c r="D9" s="1" t="n">
        <v>1545.41</v>
      </c>
    </row>
    <row r="10" customFormat="false" ht="14.25" hidden="false" customHeight="true" outlineLevel="0" collapsed="false">
      <c r="A10" s="51" t="n">
        <v>12353</v>
      </c>
      <c r="B10" s="52" t="n">
        <v>40682.7409722222</v>
      </c>
      <c r="C10" s="1" t="n">
        <v>1</v>
      </c>
      <c r="D10" s="1" t="n">
        <v>89</v>
      </c>
    </row>
    <row r="11" customFormat="false" ht="14.25" hidden="false" customHeight="true" outlineLevel="0" collapsed="false">
      <c r="A11" s="51" t="n">
        <v>12354</v>
      </c>
      <c r="B11" s="52" t="n">
        <v>40654.5493055556</v>
      </c>
      <c r="C11" s="1" t="n">
        <v>1</v>
      </c>
      <c r="D11" s="1" t="n">
        <v>1079.4</v>
      </c>
    </row>
    <row r="12" customFormat="false" ht="14.25" hidden="false" customHeight="true" outlineLevel="0" collapsed="false">
      <c r="A12" s="51" t="n">
        <v>12355</v>
      </c>
      <c r="B12" s="52" t="n">
        <v>40672.5756944444</v>
      </c>
      <c r="C12" s="1" t="n">
        <v>1</v>
      </c>
      <c r="D12" s="1" t="n">
        <v>459.4</v>
      </c>
    </row>
    <row r="13" customFormat="false" ht="14.25" hidden="false" customHeight="true" outlineLevel="0" collapsed="false">
      <c r="A13" s="51" t="n">
        <v>12356</v>
      </c>
      <c r="B13" s="52" t="n">
        <v>40864.3611111111</v>
      </c>
      <c r="C13" s="1" t="n">
        <v>3</v>
      </c>
      <c r="D13" s="1" t="n">
        <v>2811.43</v>
      </c>
    </row>
    <row r="14" customFormat="false" ht="14.25" hidden="false" customHeight="true" outlineLevel="0" collapsed="false">
      <c r="A14" s="51" t="n">
        <v>12357</v>
      </c>
      <c r="B14" s="52" t="n">
        <v>40853.6715277778</v>
      </c>
      <c r="C14" s="1" t="n">
        <v>1</v>
      </c>
      <c r="D14" s="1" t="n">
        <v>6207.67</v>
      </c>
    </row>
    <row r="15" customFormat="false" ht="14.25" hidden="false" customHeight="true" outlineLevel="0" collapsed="false">
      <c r="A15" s="51" t="n">
        <v>12358</v>
      </c>
      <c r="B15" s="52" t="n">
        <v>40885.4347222222</v>
      </c>
      <c r="C15" s="1" t="n">
        <v>2</v>
      </c>
      <c r="D15" s="1" t="n">
        <v>1168.06</v>
      </c>
    </row>
    <row r="16" customFormat="false" ht="14.25" hidden="false" customHeight="true" outlineLevel="0" collapsed="false">
      <c r="A16" s="51" t="n">
        <v>12359</v>
      </c>
      <c r="B16" s="52" t="n">
        <v>40879.4729166667</v>
      </c>
      <c r="C16" s="1" t="n">
        <v>6</v>
      </c>
      <c r="D16" s="1" t="n">
        <v>6245.53</v>
      </c>
    </row>
    <row r="17" customFormat="false" ht="14.25" hidden="false" customHeight="true" outlineLevel="0" collapsed="false">
      <c r="A17" s="51" t="n">
        <v>12360</v>
      </c>
      <c r="B17" s="52" t="n">
        <v>40834.6402777778</v>
      </c>
      <c r="C17" s="1" t="n">
        <v>3</v>
      </c>
      <c r="D17" s="1" t="n">
        <v>2662.06</v>
      </c>
    </row>
    <row r="18" customFormat="false" ht="14.25" hidden="false" customHeight="true" outlineLevel="0" collapsed="false">
      <c r="A18" s="51" t="n">
        <v>12361</v>
      </c>
      <c r="B18" s="52" t="n">
        <v>40599.5770833333</v>
      </c>
      <c r="C18" s="1" t="n">
        <v>1</v>
      </c>
      <c r="D18" s="1" t="n">
        <v>189.9</v>
      </c>
    </row>
    <row r="19" customFormat="false" ht="14.25" hidden="false" customHeight="true" outlineLevel="0" collapsed="false">
      <c r="A19" s="51" t="n">
        <v>12362</v>
      </c>
      <c r="B19" s="52" t="n">
        <v>40883.6527777778</v>
      </c>
      <c r="C19" s="1" t="n">
        <v>13</v>
      </c>
      <c r="D19" s="1" t="n">
        <v>5154.58</v>
      </c>
    </row>
    <row r="20" customFormat="false" ht="14.25" hidden="false" customHeight="true" outlineLevel="0" collapsed="false">
      <c r="A20" s="51" t="n">
        <v>12363</v>
      </c>
      <c r="B20" s="52" t="n">
        <v>40777.4291666667</v>
      </c>
      <c r="C20" s="1" t="n">
        <v>2</v>
      </c>
      <c r="D20" s="1" t="n">
        <v>552</v>
      </c>
    </row>
    <row r="21" customFormat="false" ht="14.25" hidden="false" customHeight="true" outlineLevel="0" collapsed="false">
      <c r="A21" s="51" t="n">
        <v>12364</v>
      </c>
      <c r="B21" s="52" t="n">
        <v>40879.4319444444</v>
      </c>
      <c r="C21" s="1" t="n">
        <v>4</v>
      </c>
      <c r="D21" s="1" t="n">
        <v>1313.1</v>
      </c>
    </row>
    <row r="22" customFormat="false" ht="14.25" hidden="false" customHeight="true" outlineLevel="0" collapsed="false">
      <c r="A22" s="51" t="n">
        <v>12365</v>
      </c>
      <c r="B22" s="52" t="n">
        <v>40595.5861111111</v>
      </c>
      <c r="C22" s="1" t="n">
        <v>3</v>
      </c>
      <c r="D22" s="1" t="n">
        <v>320.69</v>
      </c>
    </row>
    <row r="23" customFormat="false" ht="14.25" hidden="false" customHeight="true" outlineLevel="0" collapsed="false">
      <c r="A23" s="51" t="n">
        <v>12367</v>
      </c>
      <c r="B23" s="52" t="n">
        <v>40882.7</v>
      </c>
      <c r="C23" s="1" t="n">
        <v>1</v>
      </c>
      <c r="D23" s="1" t="n">
        <v>168.9</v>
      </c>
    </row>
    <row r="24" customFormat="false" ht="14.25" hidden="false" customHeight="true" outlineLevel="0" collapsed="false">
      <c r="A24" s="51" t="n">
        <v>12370</v>
      </c>
      <c r="B24" s="52" t="n">
        <v>40835.61875</v>
      </c>
      <c r="C24" s="1" t="n">
        <v>4</v>
      </c>
      <c r="D24" s="1" t="n">
        <v>3545.69</v>
      </c>
    </row>
    <row r="25" customFormat="false" ht="14.25" hidden="false" customHeight="true" outlineLevel="0" collapsed="false">
      <c r="A25" s="51" t="n">
        <v>12371</v>
      </c>
      <c r="B25" s="52" t="n">
        <v>40842.4277777778</v>
      </c>
      <c r="C25" s="1" t="n">
        <v>2</v>
      </c>
      <c r="D25" s="1" t="n">
        <v>1887.96</v>
      </c>
    </row>
    <row r="26" customFormat="false" ht="14.25" hidden="false" customHeight="true" outlineLevel="0" collapsed="false">
      <c r="A26" s="51" t="n">
        <v>12372</v>
      </c>
      <c r="B26" s="52" t="n">
        <v>40815.5083333333</v>
      </c>
      <c r="C26" s="1" t="n">
        <v>3</v>
      </c>
      <c r="D26" s="1" t="n">
        <v>1298.04</v>
      </c>
    </row>
    <row r="27" customFormat="false" ht="14.25" hidden="false" customHeight="true" outlineLevel="0" collapsed="false">
      <c r="A27" s="51" t="n">
        <v>12373</v>
      </c>
      <c r="B27" s="52" t="n">
        <v>40575.5486111111</v>
      </c>
      <c r="C27" s="1" t="n">
        <v>1</v>
      </c>
      <c r="D27" s="1" t="n">
        <v>364.6</v>
      </c>
    </row>
    <row r="28" customFormat="false" ht="14.25" hidden="false" customHeight="true" outlineLevel="0" collapsed="false">
      <c r="A28" s="51" t="n">
        <v>12374</v>
      </c>
      <c r="B28" s="52" t="n">
        <v>40861.6506944444</v>
      </c>
      <c r="C28" s="1" t="n">
        <v>1</v>
      </c>
      <c r="D28" s="1" t="n">
        <v>742.93</v>
      </c>
    </row>
    <row r="29" customFormat="false" ht="14.25" hidden="false" customHeight="true" outlineLevel="0" collapsed="false">
      <c r="A29" s="51" t="n">
        <v>12375</v>
      </c>
      <c r="B29" s="52" t="n">
        <v>40884.4770833333</v>
      </c>
      <c r="C29" s="1" t="n">
        <v>3</v>
      </c>
      <c r="D29" s="1" t="n">
        <v>455.42</v>
      </c>
    </row>
    <row r="30" customFormat="false" ht="14.25" hidden="false" customHeight="true" outlineLevel="0" collapsed="false">
      <c r="A30" s="51" t="n">
        <v>12377</v>
      </c>
      <c r="B30" s="52" t="n">
        <v>40571.65625</v>
      </c>
      <c r="C30" s="1" t="n">
        <v>2</v>
      </c>
      <c r="D30" s="1" t="n">
        <v>1628.12</v>
      </c>
    </row>
    <row r="31" customFormat="false" ht="14.25" hidden="false" customHeight="true" outlineLevel="0" collapsed="false">
      <c r="A31" s="51" t="n">
        <v>12378</v>
      </c>
      <c r="B31" s="52" t="n">
        <v>40757.4402777778</v>
      </c>
      <c r="C31" s="1" t="n">
        <v>1</v>
      </c>
      <c r="D31" s="1" t="n">
        <v>4008.62</v>
      </c>
    </row>
    <row r="32" customFormat="false" ht="14.25" hidden="false" customHeight="true" outlineLevel="0" collapsed="false">
      <c r="A32" s="51" t="n">
        <v>12379</v>
      </c>
      <c r="B32" s="52" t="n">
        <v>40805.4229166667</v>
      </c>
      <c r="C32" s="1" t="n">
        <v>3</v>
      </c>
      <c r="D32" s="1" t="n">
        <v>850.29</v>
      </c>
    </row>
    <row r="33" customFormat="false" ht="14.25" hidden="false" customHeight="true" outlineLevel="0" collapsed="false">
      <c r="A33" s="51" t="n">
        <v>12380</v>
      </c>
      <c r="B33" s="52" t="n">
        <v>40865.4770833333</v>
      </c>
      <c r="C33" s="1" t="n">
        <v>5</v>
      </c>
      <c r="D33" s="1" t="n">
        <v>2720.56</v>
      </c>
    </row>
    <row r="34" customFormat="false" ht="14.25" hidden="false" customHeight="true" outlineLevel="0" collapsed="false">
      <c r="A34" s="51" t="n">
        <v>12381</v>
      </c>
      <c r="B34" s="52" t="n">
        <v>40882.5305555556</v>
      </c>
      <c r="C34" s="1" t="n">
        <v>6</v>
      </c>
      <c r="D34" s="1" t="n">
        <v>1803.96</v>
      </c>
    </row>
    <row r="35" customFormat="false" ht="14.25" hidden="false" customHeight="true" outlineLevel="0" collapsed="false">
      <c r="A35" s="51" t="n">
        <v>12383</v>
      </c>
      <c r="B35" s="52" t="n">
        <v>40702.3347222222</v>
      </c>
      <c r="C35" s="1" t="n">
        <v>6</v>
      </c>
      <c r="D35" s="1" t="n">
        <v>1839.31</v>
      </c>
    </row>
    <row r="36" customFormat="false" ht="14.25" hidden="false" customHeight="true" outlineLevel="0" collapsed="false">
      <c r="A36" s="51" t="n">
        <v>12384</v>
      </c>
      <c r="B36" s="52" t="n">
        <v>40858.3604166667</v>
      </c>
      <c r="C36" s="1" t="n">
        <v>3</v>
      </c>
      <c r="D36" s="1" t="n">
        <v>566.16</v>
      </c>
    </row>
    <row r="37" customFormat="false" ht="14.25" hidden="false" customHeight="true" outlineLevel="0" collapsed="false">
      <c r="A37" s="51" t="n">
        <v>12386</v>
      </c>
      <c r="B37" s="52" t="n">
        <v>40549.5256944444</v>
      </c>
      <c r="C37" s="1" t="n">
        <v>2</v>
      </c>
      <c r="D37" s="1" t="n">
        <v>401.9</v>
      </c>
    </row>
    <row r="38" customFormat="false" ht="14.25" hidden="false" customHeight="true" outlineLevel="0" collapsed="false">
      <c r="A38" s="51" t="n">
        <v>12388</v>
      </c>
      <c r="B38" s="52" t="n">
        <v>40871.5208333333</v>
      </c>
      <c r="C38" s="1" t="n">
        <v>6</v>
      </c>
      <c r="D38" s="1" t="n">
        <v>2780.66</v>
      </c>
    </row>
    <row r="39" customFormat="false" ht="14.25" hidden="false" customHeight="true" outlineLevel="0" collapsed="false">
      <c r="A39" s="51" t="n">
        <v>12390</v>
      </c>
      <c r="B39" s="52" t="n">
        <v>40807.3979166667</v>
      </c>
      <c r="C39" s="1" t="n">
        <v>1</v>
      </c>
      <c r="D39" s="1" t="n">
        <v>549.84</v>
      </c>
    </row>
    <row r="40" customFormat="false" ht="14.25" hidden="false" customHeight="true" outlineLevel="0" collapsed="false">
      <c r="A40" s="51" t="n">
        <v>12391</v>
      </c>
      <c r="B40" s="52" t="n">
        <v>40865.5048611111</v>
      </c>
      <c r="C40" s="1" t="n">
        <v>1</v>
      </c>
      <c r="D40" s="1" t="n">
        <v>460.89</v>
      </c>
    </row>
    <row r="41" customFormat="false" ht="14.25" hidden="false" customHeight="true" outlineLevel="0" collapsed="false">
      <c r="A41" s="51" t="n">
        <v>12393</v>
      </c>
      <c r="B41" s="52" t="n">
        <v>40814.6534722222</v>
      </c>
      <c r="C41" s="1" t="n">
        <v>4</v>
      </c>
      <c r="D41" s="1" t="n">
        <v>1582.6</v>
      </c>
    </row>
    <row r="42" customFormat="false" ht="14.25" hidden="false" customHeight="true" outlineLevel="0" collapsed="false">
      <c r="A42" s="51" t="n">
        <v>12394</v>
      </c>
      <c r="B42" s="52" t="n">
        <v>40823.3388888889</v>
      </c>
      <c r="C42" s="1" t="n">
        <v>2</v>
      </c>
      <c r="D42" s="1" t="n">
        <v>1272.48</v>
      </c>
    </row>
    <row r="43" customFormat="false" ht="14.25" hidden="false" customHeight="true" outlineLevel="0" collapsed="false">
      <c r="A43" s="51" t="n">
        <v>12395</v>
      </c>
      <c r="B43" s="52" t="n">
        <v>40871.5138888889</v>
      </c>
      <c r="C43" s="1" t="n">
        <v>15</v>
      </c>
      <c r="D43" s="1" t="n">
        <v>2998.28</v>
      </c>
    </row>
    <row r="44" customFormat="false" ht="14.25" hidden="false" customHeight="true" outlineLevel="0" collapsed="false">
      <c r="A44" s="51" t="n">
        <v>12397</v>
      </c>
      <c r="B44" s="52" t="n">
        <v>40851.4111111111</v>
      </c>
      <c r="C44" s="1" t="n">
        <v>2</v>
      </c>
      <c r="D44" s="1" t="n">
        <v>2409.9</v>
      </c>
    </row>
    <row r="45" customFormat="false" ht="14.25" hidden="false" customHeight="true" outlineLevel="0" collapsed="false">
      <c r="A45" s="51" t="n">
        <v>12398</v>
      </c>
      <c r="B45" s="52" t="n">
        <v>40841.4354166667</v>
      </c>
      <c r="C45" s="1" t="n">
        <v>1</v>
      </c>
      <c r="D45" s="1" t="n">
        <v>1635.66</v>
      </c>
    </row>
    <row r="46" customFormat="false" ht="14.25" hidden="false" customHeight="true" outlineLevel="0" collapsed="false">
      <c r="A46" s="51" t="n">
        <v>12399</v>
      </c>
      <c r="B46" s="52" t="n">
        <v>40767.5520833333</v>
      </c>
      <c r="C46" s="1" t="n">
        <v>4</v>
      </c>
      <c r="D46" s="1" t="n">
        <v>1108.65</v>
      </c>
    </row>
    <row r="47" customFormat="false" ht="14.25" hidden="false" customHeight="true" outlineLevel="0" collapsed="false">
      <c r="A47" s="51" t="n">
        <v>12401</v>
      </c>
      <c r="B47" s="52" t="n">
        <v>40583.5763888889</v>
      </c>
      <c r="C47" s="1" t="n">
        <v>1</v>
      </c>
      <c r="D47" s="1" t="n">
        <v>84.3</v>
      </c>
    </row>
    <row r="48" customFormat="false" ht="14.25" hidden="false" customHeight="true" outlineLevel="0" collapsed="false">
      <c r="A48" s="51" t="n">
        <v>12402</v>
      </c>
      <c r="B48" s="52" t="n">
        <v>40563.5756944444</v>
      </c>
      <c r="C48" s="1" t="n">
        <v>1</v>
      </c>
      <c r="D48" s="1" t="n">
        <v>225.6</v>
      </c>
    </row>
    <row r="49" customFormat="false" ht="14.25" hidden="false" customHeight="true" outlineLevel="0" collapsed="false">
      <c r="A49" s="51" t="n">
        <v>12403</v>
      </c>
      <c r="B49" s="52" t="n">
        <v>40837.4583333333</v>
      </c>
      <c r="C49" s="1" t="n">
        <v>2</v>
      </c>
      <c r="D49" s="1" t="n">
        <v>409.7</v>
      </c>
    </row>
    <row r="50" customFormat="false" ht="14.25" hidden="false" customHeight="true" outlineLevel="0" collapsed="false">
      <c r="A50" s="51" t="n">
        <v>12405</v>
      </c>
      <c r="B50" s="52" t="n">
        <v>40738.3694444444</v>
      </c>
      <c r="C50" s="1" t="n">
        <v>1</v>
      </c>
      <c r="D50" s="1" t="n">
        <v>1710.39</v>
      </c>
    </row>
    <row r="51" customFormat="false" ht="14.25" hidden="false" customHeight="true" outlineLevel="0" collapsed="false">
      <c r="A51" s="51" t="n">
        <v>12406</v>
      </c>
      <c r="B51" s="52" t="n">
        <v>40864.8069444444</v>
      </c>
      <c r="C51" s="1" t="n">
        <v>3</v>
      </c>
      <c r="D51" s="1" t="n">
        <v>3280.75</v>
      </c>
    </row>
    <row r="52" customFormat="false" ht="14.25" hidden="false" customHeight="true" outlineLevel="0" collapsed="false">
      <c r="A52" s="51" t="n">
        <v>12407</v>
      </c>
      <c r="B52" s="52" t="n">
        <v>40837.4243055556</v>
      </c>
      <c r="C52" s="1" t="n">
        <v>5</v>
      </c>
      <c r="D52" s="1" t="n">
        <v>1708.12</v>
      </c>
    </row>
    <row r="53" customFormat="false" ht="14.25" hidden="false" customHeight="true" outlineLevel="0" collapsed="false">
      <c r="A53" s="51" t="n">
        <v>12408</v>
      </c>
      <c r="B53" s="52" t="n">
        <v>40854.5208333333</v>
      </c>
      <c r="C53" s="1" t="n">
        <v>9</v>
      </c>
      <c r="D53" s="1" t="n">
        <v>2842.57</v>
      </c>
    </row>
    <row r="54" customFormat="false" ht="14.25" hidden="false" customHeight="true" outlineLevel="0" collapsed="false">
      <c r="A54" s="51" t="n">
        <v>12409</v>
      </c>
      <c r="B54" s="52" t="n">
        <v>40808.4430555556</v>
      </c>
      <c r="C54" s="1" t="n">
        <v>7</v>
      </c>
      <c r="D54" s="1" t="n">
        <v>11056.93</v>
      </c>
    </row>
    <row r="55" customFormat="false" ht="14.25" hidden="false" customHeight="true" outlineLevel="0" collapsed="false">
      <c r="A55" s="51" t="n">
        <v>12410</v>
      </c>
      <c r="B55" s="52" t="n">
        <v>40585.6576388889</v>
      </c>
      <c r="C55" s="1" t="n">
        <v>3</v>
      </c>
      <c r="D55" s="1" t="n">
        <v>681.08</v>
      </c>
    </row>
    <row r="56" customFormat="false" ht="14.25" hidden="false" customHeight="true" outlineLevel="0" collapsed="false">
      <c r="A56" s="51" t="n">
        <v>12412</v>
      </c>
      <c r="B56" s="52" t="n">
        <v>40812.4277777778</v>
      </c>
      <c r="C56" s="1" t="n">
        <v>3</v>
      </c>
      <c r="D56" s="1" t="n">
        <v>1226.88</v>
      </c>
    </row>
    <row r="57" customFormat="false" ht="14.25" hidden="false" customHeight="true" outlineLevel="0" collapsed="false">
      <c r="A57" s="51" t="n">
        <v>12413</v>
      </c>
      <c r="B57" s="52" t="n">
        <v>40820.375</v>
      </c>
      <c r="C57" s="1" t="n">
        <v>5</v>
      </c>
      <c r="D57" s="1" t="n">
        <v>694.15</v>
      </c>
    </row>
    <row r="58" customFormat="false" ht="14.25" hidden="false" customHeight="true" outlineLevel="0" collapsed="false">
      <c r="A58" s="51" t="n">
        <v>12414</v>
      </c>
      <c r="B58" s="52" t="n">
        <v>40669.61875</v>
      </c>
      <c r="C58" s="1" t="n">
        <v>3</v>
      </c>
      <c r="D58" s="1" t="n">
        <v>562.41</v>
      </c>
    </row>
    <row r="59" customFormat="false" ht="14.25" hidden="false" customHeight="true" outlineLevel="0" collapsed="false">
      <c r="A59" s="51" t="n">
        <v>12415</v>
      </c>
      <c r="B59" s="52" t="n">
        <v>40862.5986111111</v>
      </c>
      <c r="C59" s="1" t="n">
        <v>26</v>
      </c>
      <c r="D59" s="1" t="n">
        <v>123725.45</v>
      </c>
    </row>
    <row r="60" customFormat="false" ht="14.25" hidden="false" customHeight="true" outlineLevel="0" collapsed="false">
      <c r="A60" s="51" t="n">
        <v>12417</v>
      </c>
      <c r="B60" s="52" t="n">
        <v>40883.6194444444</v>
      </c>
      <c r="C60" s="1" t="n">
        <v>12</v>
      </c>
      <c r="D60" s="1" t="n">
        <v>3578.8</v>
      </c>
    </row>
    <row r="61" customFormat="false" ht="14.25" hidden="false" customHeight="true" outlineLevel="0" collapsed="false">
      <c r="A61" s="51" t="n">
        <v>12418</v>
      </c>
      <c r="B61" s="52" t="n">
        <v>40774.4638888889</v>
      </c>
      <c r="C61" s="1" t="n">
        <v>1</v>
      </c>
      <c r="D61" s="1" t="n">
        <v>668.58</v>
      </c>
    </row>
    <row r="62" customFormat="false" ht="14.25" hidden="false" customHeight="true" outlineLevel="0" collapsed="false">
      <c r="A62" s="51" t="n">
        <v>12420</v>
      </c>
      <c r="B62" s="52" t="n">
        <v>40823.3715277778</v>
      </c>
      <c r="C62" s="1" t="n">
        <v>1</v>
      </c>
      <c r="D62" s="1" t="n">
        <v>600.39</v>
      </c>
    </row>
    <row r="63" customFormat="false" ht="14.25" hidden="false" customHeight="true" outlineLevel="0" collapsed="false">
      <c r="A63" s="51" t="n">
        <v>12421</v>
      </c>
      <c r="B63" s="52" t="n">
        <v>40871.3798611111</v>
      </c>
      <c r="C63" s="1" t="n">
        <v>5</v>
      </c>
      <c r="D63" s="1" t="n">
        <v>806.27</v>
      </c>
    </row>
    <row r="64" customFormat="false" ht="14.25" hidden="false" customHeight="true" outlineLevel="0" collapsed="false">
      <c r="A64" s="51" t="n">
        <v>12422</v>
      </c>
      <c r="B64" s="52" t="n">
        <v>40791.4083333333</v>
      </c>
      <c r="C64" s="1" t="n">
        <v>3</v>
      </c>
      <c r="D64" s="1" t="n">
        <v>803.56</v>
      </c>
    </row>
    <row r="65" customFormat="false" ht="14.25" hidden="false" customHeight="true" outlineLevel="0" collapsed="false">
      <c r="A65" s="51" t="n">
        <v>12423</v>
      </c>
      <c r="B65" s="52" t="n">
        <v>40886.4236111111</v>
      </c>
      <c r="C65" s="1" t="n">
        <v>9</v>
      </c>
      <c r="D65" s="1" t="n">
        <v>1849.11</v>
      </c>
    </row>
    <row r="66" customFormat="false" ht="14.25" hidden="false" customHeight="true" outlineLevel="0" collapsed="false">
      <c r="A66" s="51" t="n">
        <v>12424</v>
      </c>
      <c r="B66" s="52" t="n">
        <v>40724.5041666667</v>
      </c>
      <c r="C66" s="1" t="n">
        <v>2</v>
      </c>
      <c r="D66" s="1" t="n">
        <v>1760.96</v>
      </c>
    </row>
    <row r="67" customFormat="false" ht="14.25" hidden="false" customHeight="true" outlineLevel="0" collapsed="false">
      <c r="A67" s="51" t="n">
        <v>12425</v>
      </c>
      <c r="B67" s="52" t="n">
        <v>40808.7298611111</v>
      </c>
      <c r="C67" s="1" t="n">
        <v>1</v>
      </c>
      <c r="D67" s="1" t="n">
        <v>777.2</v>
      </c>
    </row>
    <row r="68" customFormat="false" ht="14.25" hidden="false" customHeight="true" outlineLevel="0" collapsed="false">
      <c r="A68" s="51" t="n">
        <v>12426</v>
      </c>
      <c r="B68" s="52" t="n">
        <v>40692.5180555556</v>
      </c>
      <c r="C68" s="1" t="n">
        <v>1</v>
      </c>
      <c r="D68" s="1" t="n">
        <v>582.73</v>
      </c>
    </row>
    <row r="69" customFormat="false" ht="14.25" hidden="false" customHeight="true" outlineLevel="0" collapsed="false">
      <c r="A69" s="51" t="n">
        <v>12427</v>
      </c>
      <c r="B69" s="52" t="n">
        <v>40875.45</v>
      </c>
      <c r="C69" s="1" t="n">
        <v>5</v>
      </c>
      <c r="D69" s="1" t="n">
        <v>708.37</v>
      </c>
    </row>
    <row r="70" customFormat="false" ht="14.25" hidden="false" customHeight="true" outlineLevel="0" collapsed="false">
      <c r="A70" s="51" t="n">
        <v>12428</v>
      </c>
      <c r="B70" s="52" t="n">
        <v>40861.3486111111</v>
      </c>
      <c r="C70" s="1" t="n">
        <v>12</v>
      </c>
      <c r="D70" s="1" t="n">
        <v>7877.2</v>
      </c>
    </row>
    <row r="71" customFormat="false" ht="14.25" hidden="false" customHeight="true" outlineLevel="0" collapsed="false">
      <c r="A71" s="51" t="n">
        <v>12429</v>
      </c>
      <c r="B71" s="52" t="n">
        <v>40877.7236111111</v>
      </c>
      <c r="C71" s="1" t="n">
        <v>4</v>
      </c>
      <c r="D71" s="1" t="n">
        <v>3750.4</v>
      </c>
    </row>
    <row r="72" customFormat="false" ht="14.25" hidden="false" customHeight="true" outlineLevel="0" collapsed="false">
      <c r="A72" s="51" t="n">
        <v>12430</v>
      </c>
      <c r="B72" s="52" t="n">
        <v>40843.63125</v>
      </c>
      <c r="C72" s="1" t="n">
        <v>1</v>
      </c>
      <c r="D72" s="1" t="n">
        <v>256.4</v>
      </c>
    </row>
    <row r="73" customFormat="false" ht="14.25" hidden="false" customHeight="true" outlineLevel="0" collapsed="false">
      <c r="A73" s="51" t="n">
        <v>12431</v>
      </c>
      <c r="B73" s="52" t="n">
        <v>40851.4965277778</v>
      </c>
      <c r="C73" s="1" t="n">
        <v>18</v>
      </c>
      <c r="D73" s="1" t="n">
        <v>6416.39</v>
      </c>
    </row>
    <row r="74" customFormat="false" ht="14.25" hidden="false" customHeight="true" outlineLevel="0" collapsed="false">
      <c r="A74" s="51" t="n">
        <v>12432</v>
      </c>
      <c r="B74" s="52" t="n">
        <v>40844.4881944444</v>
      </c>
      <c r="C74" s="1" t="n">
        <v>5</v>
      </c>
      <c r="D74" s="1" t="n">
        <v>5059.32</v>
      </c>
    </row>
    <row r="75" customFormat="false" ht="14.25" hidden="false" customHeight="true" outlineLevel="0" collapsed="false">
      <c r="A75" s="51" t="n">
        <v>12433</v>
      </c>
      <c r="B75" s="52" t="n">
        <v>40886.4180555556</v>
      </c>
      <c r="C75" s="1" t="n">
        <v>7</v>
      </c>
      <c r="D75" s="1" t="n">
        <v>13375.87</v>
      </c>
    </row>
    <row r="76" customFormat="false" ht="14.25" hidden="false" customHeight="true" outlineLevel="0" collapsed="false">
      <c r="A76" s="51" t="n">
        <v>12434</v>
      </c>
      <c r="B76" s="52" t="n">
        <v>40802.5263888889</v>
      </c>
      <c r="C76" s="1" t="n">
        <v>4</v>
      </c>
      <c r="D76" s="1" t="n">
        <v>765.19</v>
      </c>
    </row>
    <row r="77" customFormat="false" ht="14.25" hidden="false" customHeight="true" outlineLevel="0" collapsed="false">
      <c r="A77" s="51" t="n">
        <v>12435</v>
      </c>
      <c r="B77" s="52" t="n">
        <v>40807.3791666667</v>
      </c>
      <c r="C77" s="1" t="n">
        <v>2</v>
      </c>
      <c r="D77" s="1" t="n">
        <v>7829.89</v>
      </c>
    </row>
    <row r="78" customFormat="false" ht="14.25" hidden="false" customHeight="true" outlineLevel="0" collapsed="false">
      <c r="A78" s="51" t="n">
        <v>12436</v>
      </c>
      <c r="B78" s="52" t="n">
        <v>40787.50625</v>
      </c>
      <c r="C78" s="1" t="n">
        <v>1</v>
      </c>
      <c r="D78" s="1" t="n">
        <v>509.01</v>
      </c>
    </row>
    <row r="79" customFormat="false" ht="14.25" hidden="false" customHeight="true" outlineLevel="0" collapsed="false">
      <c r="A79" s="51" t="n">
        <v>12437</v>
      </c>
      <c r="B79" s="52" t="n">
        <v>40885.4826388889</v>
      </c>
      <c r="C79" s="1" t="n">
        <v>19</v>
      </c>
      <c r="D79" s="1" t="n">
        <v>4896.66</v>
      </c>
    </row>
    <row r="80" customFormat="false" ht="14.25" hidden="false" customHeight="true" outlineLevel="0" collapsed="false">
      <c r="A80" s="51" t="n">
        <v>12438</v>
      </c>
      <c r="B80" s="52" t="n">
        <v>40872.5611111111</v>
      </c>
      <c r="C80" s="1" t="n">
        <v>2</v>
      </c>
      <c r="D80" s="1" t="n">
        <v>2906.85</v>
      </c>
    </row>
    <row r="81" customFormat="false" ht="14.25" hidden="false" customHeight="true" outlineLevel="0" collapsed="false">
      <c r="A81" s="51" t="n">
        <v>12441</v>
      </c>
      <c r="B81" s="52" t="n">
        <v>40520.4479166667</v>
      </c>
      <c r="C81" s="1" t="n">
        <v>1</v>
      </c>
      <c r="D81" s="1" t="n">
        <v>173.55</v>
      </c>
    </row>
    <row r="82" customFormat="false" ht="14.25" hidden="false" customHeight="true" outlineLevel="0" collapsed="false">
      <c r="A82" s="51" t="n">
        <v>12442</v>
      </c>
      <c r="B82" s="52" t="n">
        <v>40883.5986111111</v>
      </c>
      <c r="C82" s="1" t="n">
        <v>1</v>
      </c>
      <c r="D82" s="1" t="n">
        <v>172.06</v>
      </c>
    </row>
    <row r="83" customFormat="false" ht="14.25" hidden="false" customHeight="true" outlineLevel="0" collapsed="false">
      <c r="A83" s="51" t="n">
        <v>12444</v>
      </c>
      <c r="B83" s="52" t="n">
        <v>40865.5576388889</v>
      </c>
      <c r="C83" s="1" t="n">
        <v>5</v>
      </c>
      <c r="D83" s="1" t="n">
        <v>5005.46</v>
      </c>
    </row>
    <row r="84" customFormat="false" ht="14.25" hidden="false" customHeight="true" outlineLevel="0" collapsed="false">
      <c r="A84" s="51" t="n">
        <v>12445</v>
      </c>
      <c r="B84" s="52" t="n">
        <v>40864.7798611111</v>
      </c>
      <c r="C84" s="1" t="n">
        <v>1</v>
      </c>
      <c r="D84" s="1" t="n">
        <v>133.4</v>
      </c>
    </row>
    <row r="85" customFormat="false" ht="14.25" hidden="false" customHeight="true" outlineLevel="0" collapsed="false">
      <c r="A85" s="51" t="n">
        <v>12446</v>
      </c>
      <c r="B85" s="52" t="n">
        <v>40829.5347222222</v>
      </c>
      <c r="C85" s="1" t="n">
        <v>1</v>
      </c>
      <c r="D85" s="1" t="n">
        <v>1002.31</v>
      </c>
    </row>
    <row r="86" customFormat="false" ht="14.25" hidden="false" customHeight="true" outlineLevel="0" collapsed="false">
      <c r="A86" s="51" t="n">
        <v>12447</v>
      </c>
      <c r="B86" s="52" t="n">
        <v>40643.5590277778</v>
      </c>
      <c r="C86" s="1" t="n">
        <v>1</v>
      </c>
      <c r="D86" s="1" t="n">
        <v>476.49</v>
      </c>
    </row>
    <row r="87" customFormat="false" ht="14.25" hidden="false" customHeight="true" outlineLevel="0" collapsed="false">
      <c r="A87" s="51" t="n">
        <v>12448</v>
      </c>
      <c r="B87" s="52" t="n">
        <v>40842.5736111111</v>
      </c>
      <c r="C87" s="1" t="n">
        <v>1</v>
      </c>
      <c r="D87" s="1" t="n">
        <v>449.45</v>
      </c>
    </row>
    <row r="88" customFormat="false" ht="14.25" hidden="false" customHeight="true" outlineLevel="0" collapsed="false">
      <c r="A88" s="51" t="n">
        <v>12449</v>
      </c>
      <c r="B88" s="52" t="n">
        <v>40864.5736111111</v>
      </c>
      <c r="C88" s="1" t="n">
        <v>4</v>
      </c>
      <c r="D88" s="1" t="n">
        <v>4067.29</v>
      </c>
    </row>
    <row r="89" customFormat="false" ht="14.25" hidden="false" customHeight="true" outlineLevel="0" collapsed="false">
      <c r="A89" s="51" t="n">
        <v>12450</v>
      </c>
      <c r="B89" s="52" t="n">
        <v>40730.6118055556</v>
      </c>
      <c r="C89" s="1" t="n">
        <v>2</v>
      </c>
      <c r="D89" s="1" t="n">
        <v>197.88</v>
      </c>
    </row>
    <row r="90" customFormat="false" ht="14.25" hidden="false" customHeight="true" outlineLevel="0" collapsed="false">
      <c r="A90" s="51" t="n">
        <v>12451</v>
      </c>
      <c r="B90" s="52" t="n">
        <v>40876.3611111111</v>
      </c>
      <c r="C90" s="1" t="n">
        <v>6</v>
      </c>
      <c r="D90" s="1" t="n">
        <v>8933.52</v>
      </c>
    </row>
    <row r="91" customFormat="false" ht="14.25" hidden="false" customHeight="true" outlineLevel="0" collapsed="false">
      <c r="A91" s="51" t="n">
        <v>12452</v>
      </c>
      <c r="B91" s="52" t="n">
        <v>40870.4361111111</v>
      </c>
      <c r="C91" s="1" t="n">
        <v>3</v>
      </c>
      <c r="D91" s="1" t="n">
        <v>428.57</v>
      </c>
    </row>
    <row r="92" customFormat="false" ht="14.25" hidden="false" customHeight="true" outlineLevel="0" collapsed="false">
      <c r="A92" s="51" t="n">
        <v>12453</v>
      </c>
      <c r="B92" s="52" t="n">
        <v>40752.5888888889</v>
      </c>
      <c r="C92" s="1" t="n">
        <v>1</v>
      </c>
      <c r="D92" s="1" t="n">
        <v>707.09</v>
      </c>
    </row>
    <row r="93" customFormat="false" ht="14.25" hidden="false" customHeight="true" outlineLevel="0" collapsed="false">
      <c r="A93" s="51" t="n">
        <v>12454</v>
      </c>
      <c r="B93" s="52" t="n">
        <v>40833.6298611111</v>
      </c>
      <c r="C93" s="1" t="n">
        <v>2</v>
      </c>
      <c r="D93" s="1" t="n">
        <v>-5.6843418860808E-014</v>
      </c>
    </row>
    <row r="94" customFormat="false" ht="14.25" hidden="false" customHeight="true" outlineLevel="0" collapsed="false">
      <c r="A94" s="51" t="n">
        <v>12455</v>
      </c>
      <c r="B94" s="52" t="n">
        <v>40813.6465277778</v>
      </c>
      <c r="C94" s="1" t="n">
        <v>6</v>
      </c>
      <c r="D94" s="1" t="n">
        <v>2466.86</v>
      </c>
    </row>
    <row r="95" customFormat="false" ht="14.25" hidden="false" customHeight="true" outlineLevel="0" collapsed="false">
      <c r="A95" s="51" t="n">
        <v>12456</v>
      </c>
      <c r="B95" s="52" t="n">
        <v>40842.6118055556</v>
      </c>
      <c r="C95" s="1" t="n">
        <v>4</v>
      </c>
      <c r="D95" s="1" t="n">
        <v>3153.89</v>
      </c>
    </row>
    <row r="96" customFormat="false" ht="14.25" hidden="false" customHeight="true" outlineLevel="0" collapsed="false">
      <c r="A96" s="51" t="n">
        <v>12457</v>
      </c>
      <c r="B96" s="52" t="n">
        <v>40828.5736111111</v>
      </c>
      <c r="C96" s="1" t="n">
        <v>12</v>
      </c>
      <c r="D96" s="1" t="n">
        <v>1917.78</v>
      </c>
    </row>
    <row r="97" customFormat="false" ht="14.25" hidden="false" customHeight="true" outlineLevel="0" collapsed="false">
      <c r="A97" s="51" t="n">
        <v>12458</v>
      </c>
      <c r="B97" s="52" t="n">
        <v>40815.6423611111</v>
      </c>
      <c r="C97" s="1" t="n">
        <v>2</v>
      </c>
      <c r="D97" s="1" t="n">
        <v>947.4</v>
      </c>
    </row>
    <row r="98" customFormat="false" ht="14.25" hidden="false" customHeight="true" outlineLevel="0" collapsed="false">
      <c r="A98" s="51" t="n">
        <v>12461</v>
      </c>
      <c r="B98" s="52" t="n">
        <v>40792.70625</v>
      </c>
      <c r="C98" s="1" t="n">
        <v>2</v>
      </c>
      <c r="D98" s="1" t="n">
        <v>826.88</v>
      </c>
    </row>
    <row r="99" customFormat="false" ht="14.25" hidden="false" customHeight="true" outlineLevel="0" collapsed="false">
      <c r="A99" s="51" t="n">
        <v>12462</v>
      </c>
      <c r="B99" s="52" t="n">
        <v>40884.5847222222</v>
      </c>
      <c r="C99" s="1" t="n">
        <v>4</v>
      </c>
      <c r="D99" s="1" t="n">
        <v>1124.01</v>
      </c>
    </row>
    <row r="100" customFormat="false" ht="14.25" hidden="false" customHeight="true" outlineLevel="0" collapsed="false">
      <c r="A100" s="51" t="n">
        <v>12463</v>
      </c>
      <c r="B100" s="52" t="n">
        <v>40840.5715277778</v>
      </c>
      <c r="C100" s="1" t="n">
        <v>7</v>
      </c>
      <c r="D100" s="1" t="n">
        <v>1303.63</v>
      </c>
    </row>
    <row r="101" customFormat="false" ht="14.25" hidden="false" customHeight="true" outlineLevel="0" collapsed="false">
      <c r="A101" s="51" t="n">
        <v>12464</v>
      </c>
      <c r="B101" s="52" t="n">
        <v>40876.5645833333</v>
      </c>
      <c r="C101" s="1" t="n">
        <v>8</v>
      </c>
      <c r="D101" s="1" t="n">
        <v>1212.05</v>
      </c>
    </row>
    <row r="102" customFormat="false" ht="14.25" hidden="false" customHeight="true" outlineLevel="0" collapsed="false">
      <c r="A102" s="51" t="n">
        <v>12465</v>
      </c>
      <c r="B102" s="52" t="n">
        <v>40879.4819444444</v>
      </c>
      <c r="C102" s="1" t="n">
        <v>3</v>
      </c>
      <c r="D102" s="1" t="n">
        <v>733.89</v>
      </c>
    </row>
    <row r="103" customFormat="false" ht="14.25" hidden="false" customHeight="true" outlineLevel="0" collapsed="false">
      <c r="A103" s="51" t="n">
        <v>12468</v>
      </c>
      <c r="B103" s="52" t="n">
        <v>40743.5708333333</v>
      </c>
      <c r="C103" s="1" t="n">
        <v>3</v>
      </c>
      <c r="D103" s="1" t="n">
        <v>724.04</v>
      </c>
    </row>
    <row r="104" customFormat="false" ht="14.25" hidden="false" customHeight="true" outlineLevel="0" collapsed="false">
      <c r="A104" s="51" t="n">
        <v>12471</v>
      </c>
      <c r="B104" s="52" t="n">
        <v>40884.6548611111</v>
      </c>
      <c r="C104" s="1" t="n">
        <v>49</v>
      </c>
      <c r="D104" s="1" t="n">
        <v>18740.9199999999</v>
      </c>
    </row>
    <row r="105" customFormat="false" ht="14.25" hidden="false" customHeight="true" outlineLevel="0" collapsed="false">
      <c r="A105" s="51" t="n">
        <v>12472</v>
      </c>
      <c r="B105" s="52" t="n">
        <v>40856.48125</v>
      </c>
      <c r="C105" s="1" t="n">
        <v>13</v>
      </c>
      <c r="D105" s="1" t="n">
        <v>6229.48000000001</v>
      </c>
    </row>
    <row r="106" customFormat="false" ht="14.25" hidden="false" customHeight="true" outlineLevel="0" collapsed="false">
      <c r="A106" s="51" t="n">
        <v>12473</v>
      </c>
      <c r="B106" s="52" t="n">
        <v>40857.575</v>
      </c>
      <c r="C106" s="1" t="n">
        <v>9</v>
      </c>
      <c r="D106" s="1" t="n">
        <v>2848.23</v>
      </c>
    </row>
    <row r="107" customFormat="false" ht="14.25" hidden="false" customHeight="true" outlineLevel="0" collapsed="false">
      <c r="A107" s="51" t="n">
        <v>12474</v>
      </c>
      <c r="B107" s="52" t="n">
        <v>40869.6104166667</v>
      </c>
      <c r="C107" s="1" t="n">
        <v>30</v>
      </c>
      <c r="D107" s="1" t="n">
        <v>7116.47</v>
      </c>
    </row>
    <row r="108" customFormat="false" ht="14.25" hidden="false" customHeight="true" outlineLevel="0" collapsed="false">
      <c r="A108" s="51" t="n">
        <v>12475</v>
      </c>
      <c r="B108" s="52" t="n">
        <v>40833.4236111111</v>
      </c>
      <c r="C108" s="1" t="n">
        <v>1</v>
      </c>
      <c r="D108" s="1" t="n">
        <v>723.38</v>
      </c>
    </row>
    <row r="109" customFormat="false" ht="14.25" hidden="false" customHeight="true" outlineLevel="0" collapsed="false">
      <c r="A109" s="51" t="n">
        <v>12476</v>
      </c>
      <c r="B109" s="52" t="n">
        <v>40885.5888888889</v>
      </c>
      <c r="C109" s="1" t="n">
        <v>20</v>
      </c>
      <c r="D109" s="1" t="n">
        <v>6546.58000000001</v>
      </c>
    </row>
    <row r="110" customFormat="false" ht="14.25" hidden="false" customHeight="true" outlineLevel="0" collapsed="false">
      <c r="A110" s="51" t="n">
        <v>12477</v>
      </c>
      <c r="B110" s="52" t="n">
        <v>40864.4104166667</v>
      </c>
      <c r="C110" s="1" t="n">
        <v>9</v>
      </c>
      <c r="D110" s="1" t="n">
        <v>13117.01</v>
      </c>
    </row>
    <row r="111" customFormat="false" ht="14.25" hidden="false" customHeight="true" outlineLevel="0" collapsed="false">
      <c r="A111" s="51" t="n">
        <v>12478</v>
      </c>
      <c r="B111" s="52" t="n">
        <v>40883.4138888889</v>
      </c>
      <c r="C111" s="1" t="n">
        <v>1</v>
      </c>
      <c r="D111" s="1" t="n">
        <v>680.99</v>
      </c>
    </row>
    <row r="112" customFormat="false" ht="14.25" hidden="false" customHeight="true" outlineLevel="0" collapsed="false">
      <c r="A112" s="51" t="n">
        <v>12479</v>
      </c>
      <c r="B112" s="52" t="n">
        <v>40883.3923611111</v>
      </c>
      <c r="C112" s="1" t="n">
        <v>3</v>
      </c>
      <c r="D112" s="1" t="n">
        <v>477.3</v>
      </c>
    </row>
    <row r="113" customFormat="false" ht="14.25" hidden="false" customHeight="true" outlineLevel="0" collapsed="false">
      <c r="A113" s="51" t="n">
        <v>12480</v>
      </c>
      <c r="B113" s="52" t="n">
        <v>40858.6194444444</v>
      </c>
      <c r="C113" s="1" t="n">
        <v>4</v>
      </c>
      <c r="D113" s="1" t="n">
        <v>3281.63</v>
      </c>
    </row>
    <row r="114" customFormat="false" ht="14.25" hidden="false" customHeight="true" outlineLevel="0" collapsed="false">
      <c r="A114" s="51" t="n">
        <v>12481</v>
      </c>
      <c r="B114" s="52" t="n">
        <v>40864.3534722222</v>
      </c>
      <c r="C114" s="1" t="n">
        <v>11</v>
      </c>
      <c r="D114" s="1" t="n">
        <v>5590.86</v>
      </c>
    </row>
    <row r="115" customFormat="false" ht="14.25" hidden="false" customHeight="true" outlineLevel="0" collapsed="false">
      <c r="A115" s="51" t="n">
        <v>12483</v>
      </c>
      <c r="B115" s="52" t="n">
        <v>40869.7104166667</v>
      </c>
      <c r="C115" s="1" t="n">
        <v>13</v>
      </c>
      <c r="D115" s="1" t="n">
        <v>2327.13</v>
      </c>
    </row>
    <row r="116" customFormat="false" ht="14.25" hidden="false" customHeight="true" outlineLevel="0" collapsed="false">
      <c r="A116" s="51" t="n">
        <v>12484</v>
      </c>
      <c r="B116" s="52" t="n">
        <v>40854.4840277778</v>
      </c>
      <c r="C116" s="1" t="n">
        <v>8</v>
      </c>
      <c r="D116" s="1" t="n">
        <v>4495.27</v>
      </c>
    </row>
    <row r="117" customFormat="false" ht="14.25" hidden="false" customHeight="true" outlineLevel="0" collapsed="false">
      <c r="A117" s="51" t="n">
        <v>12488</v>
      </c>
      <c r="B117" s="52" t="n">
        <v>40877.3680555556</v>
      </c>
      <c r="C117" s="1" t="n">
        <v>3</v>
      </c>
      <c r="D117" s="1" t="n">
        <v>1298.66</v>
      </c>
    </row>
    <row r="118" customFormat="false" ht="14.25" hidden="false" customHeight="true" outlineLevel="0" collapsed="false">
      <c r="A118" s="51" t="n">
        <v>12489</v>
      </c>
      <c r="B118" s="52" t="n">
        <v>40550.5506944444</v>
      </c>
      <c r="C118" s="1" t="n">
        <v>1</v>
      </c>
      <c r="D118" s="1" t="n">
        <v>334.93</v>
      </c>
    </row>
    <row r="119" customFormat="false" ht="14.25" hidden="false" customHeight="true" outlineLevel="0" collapsed="false">
      <c r="A119" s="51" t="n">
        <v>12490</v>
      </c>
      <c r="B119" s="52" t="n">
        <v>40881.6715277778</v>
      </c>
      <c r="C119" s="1" t="n">
        <v>10</v>
      </c>
      <c r="D119" s="1" t="n">
        <v>5417.93</v>
      </c>
    </row>
    <row r="120" customFormat="false" ht="14.25" hidden="false" customHeight="true" outlineLevel="0" collapsed="false">
      <c r="A120" s="51" t="n">
        <v>12491</v>
      </c>
      <c r="B120" s="52" t="n">
        <v>40848.5125</v>
      </c>
      <c r="C120" s="1" t="n">
        <v>1</v>
      </c>
      <c r="D120" s="1" t="n">
        <v>460.4</v>
      </c>
    </row>
    <row r="121" customFormat="false" ht="14.25" hidden="false" customHeight="true" outlineLevel="0" collapsed="false">
      <c r="A121" s="51" t="n">
        <v>12492</v>
      </c>
      <c r="B121" s="52" t="n">
        <v>40823.6354166667</v>
      </c>
      <c r="C121" s="1" t="n">
        <v>2</v>
      </c>
      <c r="D121" s="1" t="n">
        <v>263.21</v>
      </c>
    </row>
    <row r="122" customFormat="false" ht="14.25" hidden="false" customHeight="true" outlineLevel="0" collapsed="false">
      <c r="A122" s="51" t="n">
        <v>12493</v>
      </c>
      <c r="B122" s="52" t="n">
        <v>40721.4284722222</v>
      </c>
      <c r="C122" s="1" t="n">
        <v>3</v>
      </c>
      <c r="D122" s="1" t="n">
        <v>416.79</v>
      </c>
    </row>
    <row r="123" customFormat="false" ht="14.25" hidden="false" customHeight="true" outlineLevel="0" collapsed="false">
      <c r="A123" s="51" t="n">
        <v>12494</v>
      </c>
      <c r="B123" s="52" t="n">
        <v>40877.3895833333</v>
      </c>
      <c r="C123" s="1" t="n">
        <v>13</v>
      </c>
      <c r="D123" s="1" t="n">
        <v>1139.35</v>
      </c>
    </row>
    <row r="124" customFormat="false" ht="14.25" hidden="false" customHeight="true" outlineLevel="0" collapsed="false">
      <c r="A124" s="51" t="n">
        <v>12497</v>
      </c>
      <c r="B124" s="52" t="n">
        <v>40805.5201388889</v>
      </c>
      <c r="C124" s="1" t="n">
        <v>1</v>
      </c>
      <c r="D124" s="1" t="n">
        <v>1043.1</v>
      </c>
    </row>
    <row r="125" customFormat="false" ht="14.25" hidden="false" customHeight="true" outlineLevel="0" collapsed="false">
      <c r="A125" s="51" t="n">
        <v>12498</v>
      </c>
      <c r="B125" s="52" t="n">
        <v>40865.5368055556</v>
      </c>
      <c r="C125" s="1" t="n">
        <v>3</v>
      </c>
      <c r="D125" s="1" t="n">
        <v>403.7</v>
      </c>
    </row>
    <row r="126" customFormat="false" ht="14.25" hidden="false" customHeight="true" outlineLevel="0" collapsed="false">
      <c r="A126" s="51" t="n">
        <v>12500</v>
      </c>
      <c r="B126" s="52" t="n">
        <v>40863.6805555556</v>
      </c>
      <c r="C126" s="1" t="n">
        <v>13</v>
      </c>
      <c r="D126" s="1" t="n">
        <v>4206.27</v>
      </c>
    </row>
    <row r="127" customFormat="false" ht="14.25" hidden="false" customHeight="true" outlineLevel="0" collapsed="false">
      <c r="A127" s="51" t="n">
        <v>12501</v>
      </c>
      <c r="B127" s="52" t="n">
        <v>40571.5791666667</v>
      </c>
      <c r="C127" s="1" t="n">
        <v>2</v>
      </c>
      <c r="D127" s="1" t="n">
        <v>2089.68</v>
      </c>
    </row>
    <row r="128" customFormat="false" ht="14.25" hidden="false" customHeight="true" outlineLevel="0" collapsed="false">
      <c r="A128" s="51" t="n">
        <v>12502</v>
      </c>
      <c r="B128" s="52" t="n">
        <v>40791.4944444444</v>
      </c>
      <c r="C128" s="1" t="n">
        <v>5</v>
      </c>
      <c r="D128" s="1" t="n">
        <v>3723.87</v>
      </c>
    </row>
    <row r="129" customFormat="false" ht="14.25" hidden="false" customHeight="true" outlineLevel="0" collapsed="false">
      <c r="A129" s="51" t="n">
        <v>12503</v>
      </c>
      <c r="B129" s="52" t="n">
        <v>40549.49375</v>
      </c>
      <c r="C129" s="1" t="n">
        <v>1</v>
      </c>
      <c r="D129" s="1" t="n">
        <v>-1126</v>
      </c>
    </row>
    <row r="130" customFormat="false" ht="14.25" hidden="false" customHeight="true" outlineLevel="0" collapsed="false">
      <c r="A130" s="51" t="n">
        <v>12504</v>
      </c>
      <c r="B130" s="52" t="n">
        <v>40868.6680555556</v>
      </c>
      <c r="C130" s="1" t="n">
        <v>4</v>
      </c>
      <c r="D130" s="1" t="n">
        <v>114</v>
      </c>
    </row>
    <row r="131" customFormat="false" ht="14.25" hidden="false" customHeight="true" outlineLevel="0" collapsed="false">
      <c r="A131" s="51" t="n">
        <v>12505</v>
      </c>
      <c r="B131" s="52" t="n">
        <v>40585.56875</v>
      </c>
      <c r="C131" s="1" t="n">
        <v>1</v>
      </c>
      <c r="D131" s="1" t="n">
        <v>-4.5</v>
      </c>
    </row>
    <row r="132" customFormat="false" ht="14.25" hidden="false" customHeight="true" outlineLevel="0" collapsed="false">
      <c r="A132" s="51" t="n">
        <v>12506</v>
      </c>
      <c r="B132" s="52" t="n">
        <v>40654.3708333333</v>
      </c>
      <c r="C132" s="1" t="n">
        <v>1</v>
      </c>
      <c r="D132" s="1" t="n">
        <v>73.5</v>
      </c>
    </row>
    <row r="133" customFormat="false" ht="14.25" hidden="false" customHeight="true" outlineLevel="0" collapsed="false">
      <c r="A133" s="51" t="n">
        <v>12507</v>
      </c>
      <c r="B133" s="52" t="n">
        <v>40752.7145833333</v>
      </c>
      <c r="C133" s="1" t="n">
        <v>4</v>
      </c>
      <c r="D133" s="1" t="n">
        <v>1258.06</v>
      </c>
    </row>
    <row r="134" customFormat="false" ht="14.25" hidden="false" customHeight="true" outlineLevel="0" collapsed="false">
      <c r="A134" s="51" t="n">
        <v>12508</v>
      </c>
      <c r="B134" s="52" t="n">
        <v>40860.6506944444</v>
      </c>
      <c r="C134" s="1" t="n">
        <v>2</v>
      </c>
      <c r="D134" s="1" t="n">
        <v>398.27</v>
      </c>
    </row>
    <row r="135" customFormat="false" ht="14.25" hidden="false" customHeight="true" outlineLevel="0" collapsed="false">
      <c r="A135" s="51" t="n">
        <v>12509</v>
      </c>
      <c r="B135" s="52" t="n">
        <v>40602.6145833333</v>
      </c>
      <c r="C135" s="1" t="n">
        <v>1</v>
      </c>
      <c r="D135" s="1" t="n">
        <v>176.5</v>
      </c>
    </row>
    <row r="136" customFormat="false" ht="14.25" hidden="false" customHeight="true" outlineLevel="0" collapsed="false">
      <c r="A136" s="51" t="n">
        <v>12510</v>
      </c>
      <c r="B136" s="52" t="n">
        <v>40744.4270833333</v>
      </c>
      <c r="C136" s="1" t="n">
        <v>2</v>
      </c>
      <c r="D136" s="1" t="n">
        <v>982.57</v>
      </c>
    </row>
    <row r="137" customFormat="false" ht="14.25" hidden="false" customHeight="true" outlineLevel="0" collapsed="false">
      <c r="A137" s="51" t="n">
        <v>12512</v>
      </c>
      <c r="B137" s="52" t="n">
        <v>40820.6215277778</v>
      </c>
      <c r="C137" s="1" t="n">
        <v>2</v>
      </c>
      <c r="D137" s="1" t="n">
        <v>138.03</v>
      </c>
    </row>
    <row r="138" customFormat="false" ht="14.25" hidden="false" customHeight="true" outlineLevel="0" collapsed="false">
      <c r="A138" s="51" t="n">
        <v>12513</v>
      </c>
      <c r="B138" s="52" t="n">
        <v>40802.53125</v>
      </c>
      <c r="C138" s="1" t="n">
        <v>2</v>
      </c>
      <c r="D138" s="1" t="n">
        <v>586.79</v>
      </c>
    </row>
    <row r="139" customFormat="false" ht="14.25" hidden="false" customHeight="true" outlineLevel="0" collapsed="false">
      <c r="A139" s="51" t="n">
        <v>12514</v>
      </c>
      <c r="B139" s="52" t="n">
        <v>40619.6930555556</v>
      </c>
      <c r="C139" s="1" t="n">
        <v>1</v>
      </c>
      <c r="D139" s="1" t="n">
        <v>1017.68</v>
      </c>
    </row>
    <row r="140" customFormat="false" ht="14.25" hidden="false" customHeight="true" outlineLevel="0" collapsed="false">
      <c r="A140" s="51" t="n">
        <v>12515</v>
      </c>
      <c r="B140" s="52" t="n">
        <v>40533.6548611111</v>
      </c>
      <c r="C140" s="1" t="n">
        <v>1</v>
      </c>
      <c r="D140" s="1" t="n">
        <v>383.7</v>
      </c>
    </row>
    <row r="141" customFormat="false" ht="14.25" hidden="false" customHeight="true" outlineLevel="0" collapsed="false">
      <c r="A141" s="51" t="n">
        <v>12516</v>
      </c>
      <c r="B141" s="52" t="n">
        <v>40809.3840277778</v>
      </c>
      <c r="C141" s="1" t="n">
        <v>2</v>
      </c>
      <c r="D141" s="1" t="n">
        <v>1312.06</v>
      </c>
    </row>
    <row r="142" customFormat="false" ht="14.25" hidden="false" customHeight="true" outlineLevel="0" collapsed="false">
      <c r="A142" s="51" t="n">
        <v>12517</v>
      </c>
      <c r="B142" s="52" t="n">
        <v>40858.5861111111</v>
      </c>
      <c r="C142" s="1" t="n">
        <v>6</v>
      </c>
      <c r="D142" s="1" t="n">
        <v>2464.89</v>
      </c>
    </row>
    <row r="143" customFormat="false" ht="14.25" hidden="false" customHeight="true" outlineLevel="0" collapsed="false">
      <c r="A143" s="51" t="n">
        <v>12518</v>
      </c>
      <c r="B143" s="52" t="n">
        <v>40886.4256944444</v>
      </c>
      <c r="C143" s="1" t="n">
        <v>5</v>
      </c>
      <c r="D143" s="1" t="n">
        <v>2056.89</v>
      </c>
    </row>
    <row r="144" customFormat="false" ht="14.25" hidden="false" customHeight="true" outlineLevel="0" collapsed="false">
      <c r="A144" s="51" t="n">
        <v>12519</v>
      </c>
      <c r="B144" s="52" t="n">
        <v>40823.3930555556</v>
      </c>
      <c r="C144" s="1" t="n">
        <v>1</v>
      </c>
      <c r="D144" s="1" t="n">
        <v>340.84</v>
      </c>
    </row>
    <row r="145" customFormat="false" ht="14.25" hidden="false" customHeight="true" outlineLevel="0" collapsed="false">
      <c r="A145" s="51" t="n">
        <v>12520</v>
      </c>
      <c r="B145" s="52" t="n">
        <v>40807.6409722222</v>
      </c>
      <c r="C145" s="1" t="n">
        <v>6</v>
      </c>
      <c r="D145" s="1" t="n">
        <v>2582.51</v>
      </c>
    </row>
    <row r="146" customFormat="false" ht="14.25" hidden="false" customHeight="true" outlineLevel="0" collapsed="false">
      <c r="A146" s="51" t="n">
        <v>12521</v>
      </c>
      <c r="B146" s="52" t="n">
        <v>40744.4520833333</v>
      </c>
      <c r="C146" s="1" t="n">
        <v>1</v>
      </c>
      <c r="D146" s="1" t="n">
        <v>599.68</v>
      </c>
    </row>
    <row r="147" customFormat="false" ht="14.25" hidden="false" customHeight="true" outlineLevel="0" collapsed="false">
      <c r="A147" s="51" t="n">
        <v>12522</v>
      </c>
      <c r="B147" s="52" t="n">
        <v>40847.6458333333</v>
      </c>
      <c r="C147" s="1" t="n">
        <v>2</v>
      </c>
      <c r="D147" s="1" t="n">
        <v>192.72</v>
      </c>
    </row>
    <row r="148" customFormat="false" ht="14.25" hidden="false" customHeight="true" outlineLevel="0" collapsed="false">
      <c r="A148" s="51" t="n">
        <v>12523</v>
      </c>
      <c r="B148" s="52" t="n">
        <v>40885.4902777778</v>
      </c>
      <c r="C148" s="1" t="n">
        <v>13</v>
      </c>
      <c r="D148" s="1" t="n">
        <v>1745.57</v>
      </c>
    </row>
    <row r="149" customFormat="false" ht="14.25" hidden="false" customHeight="true" outlineLevel="0" collapsed="false">
      <c r="A149" s="51" t="n">
        <v>12524</v>
      </c>
      <c r="B149" s="52" t="n">
        <v>40877.6465277778</v>
      </c>
      <c r="C149" s="1" t="n">
        <v>8</v>
      </c>
      <c r="D149" s="1" t="n">
        <v>4485.72</v>
      </c>
    </row>
    <row r="150" customFormat="false" ht="14.25" hidden="false" customHeight="true" outlineLevel="0" collapsed="false">
      <c r="A150" s="51" t="n">
        <v>12526</v>
      </c>
      <c r="B150" s="52" t="n">
        <v>40886.50625</v>
      </c>
      <c r="C150" s="1" t="n">
        <v>3</v>
      </c>
      <c r="D150" s="1" t="n">
        <v>1316.66</v>
      </c>
    </row>
    <row r="151" customFormat="false" ht="14.25" hidden="false" customHeight="true" outlineLevel="0" collapsed="false">
      <c r="A151" s="51" t="n">
        <v>12527</v>
      </c>
      <c r="B151" s="52" t="n">
        <v>40805.4965277778</v>
      </c>
      <c r="C151" s="1" t="n">
        <v>3</v>
      </c>
      <c r="D151" s="1" t="n">
        <v>348.71</v>
      </c>
    </row>
    <row r="152" customFormat="false" ht="14.25" hidden="false" customHeight="true" outlineLevel="0" collapsed="false">
      <c r="A152" s="51" t="n">
        <v>12528</v>
      </c>
      <c r="B152" s="52" t="n">
        <v>40877.6111111111</v>
      </c>
      <c r="C152" s="1" t="n">
        <v>8</v>
      </c>
      <c r="D152" s="1" t="n">
        <v>1922.28</v>
      </c>
    </row>
    <row r="153" customFormat="false" ht="14.25" hidden="false" customHeight="true" outlineLevel="0" collapsed="false">
      <c r="A153" s="51" t="n">
        <v>12530</v>
      </c>
      <c r="B153" s="52" t="n">
        <v>40827.5236111111</v>
      </c>
      <c r="C153" s="1" t="n">
        <v>5</v>
      </c>
      <c r="D153" s="1" t="n">
        <v>1623.63</v>
      </c>
    </row>
    <row r="154" customFormat="false" ht="14.25" hidden="false" customHeight="true" outlineLevel="0" collapsed="false">
      <c r="A154" s="51" t="n">
        <v>12531</v>
      </c>
      <c r="B154" s="52" t="n">
        <v>40872.4666666667</v>
      </c>
      <c r="C154" s="1" t="n">
        <v>1</v>
      </c>
      <c r="D154" s="1" t="n">
        <v>125.22</v>
      </c>
    </row>
    <row r="155" customFormat="false" ht="14.25" hidden="false" customHeight="true" outlineLevel="0" collapsed="false">
      <c r="A155" s="51" t="n">
        <v>12532</v>
      </c>
      <c r="B155" s="52" t="n">
        <v>40856.5743055556</v>
      </c>
      <c r="C155" s="1" t="n">
        <v>1</v>
      </c>
      <c r="D155" s="1" t="n">
        <v>349.83</v>
      </c>
    </row>
    <row r="156" customFormat="false" ht="14.25" hidden="false" customHeight="true" outlineLevel="0" collapsed="false">
      <c r="A156" s="51" t="n">
        <v>12534</v>
      </c>
      <c r="B156" s="52" t="n">
        <v>40756.4347222222</v>
      </c>
      <c r="C156" s="1" t="n">
        <v>1</v>
      </c>
      <c r="D156" s="1" t="n">
        <v>1089.18</v>
      </c>
    </row>
    <row r="157" customFormat="false" ht="14.25" hidden="false" customHeight="true" outlineLevel="0" collapsed="false">
      <c r="A157" s="51" t="n">
        <v>12535</v>
      </c>
      <c r="B157" s="52" t="n">
        <v>40795.3666666667</v>
      </c>
      <c r="C157" s="1" t="n">
        <v>2</v>
      </c>
      <c r="D157" s="1" t="n">
        <v>716.35</v>
      </c>
    </row>
    <row r="158" customFormat="false" ht="14.25" hidden="false" customHeight="true" outlineLevel="0" collapsed="false">
      <c r="A158" s="51" t="n">
        <v>12536</v>
      </c>
      <c r="B158" s="52" t="n">
        <v>40879.5298611111</v>
      </c>
      <c r="C158" s="1" t="n">
        <v>5</v>
      </c>
      <c r="D158" s="1" t="n">
        <v>4106.82</v>
      </c>
    </row>
    <row r="159" customFormat="false" ht="14.25" hidden="false" customHeight="true" outlineLevel="0" collapsed="false">
      <c r="A159" s="51" t="n">
        <v>12538</v>
      </c>
      <c r="B159" s="52" t="n">
        <v>40857.7194444445</v>
      </c>
      <c r="C159" s="1" t="n">
        <v>1</v>
      </c>
      <c r="D159" s="1" t="n">
        <v>363.95</v>
      </c>
    </row>
    <row r="160" customFormat="false" ht="14.25" hidden="false" customHeight="true" outlineLevel="0" collapsed="false">
      <c r="A160" s="51" t="n">
        <v>12539</v>
      </c>
      <c r="B160" s="52" t="n">
        <v>40864.5625</v>
      </c>
      <c r="C160" s="1" t="n">
        <v>5</v>
      </c>
      <c r="D160" s="1" t="n">
        <v>3852.5</v>
      </c>
    </row>
    <row r="161" customFormat="false" ht="14.25" hidden="false" customHeight="true" outlineLevel="0" collapsed="false">
      <c r="A161" s="51" t="n">
        <v>12540</v>
      </c>
      <c r="B161" s="52" t="n">
        <v>40867.4798611111</v>
      </c>
      <c r="C161" s="1" t="n">
        <v>19</v>
      </c>
      <c r="D161" s="1" t="n">
        <v>13309.04</v>
      </c>
    </row>
    <row r="162" customFormat="false" ht="14.25" hidden="false" customHeight="true" outlineLevel="0" collapsed="false">
      <c r="A162" s="51" t="n">
        <v>12541</v>
      </c>
      <c r="B162" s="52" t="n">
        <v>40857.4444444445</v>
      </c>
      <c r="C162" s="1" t="n">
        <v>3</v>
      </c>
      <c r="D162" s="1" t="n">
        <v>981.18</v>
      </c>
    </row>
    <row r="163" customFormat="false" ht="14.25" hidden="false" customHeight="true" outlineLevel="0" collapsed="false">
      <c r="A163" s="51" t="n">
        <v>12544</v>
      </c>
      <c r="B163" s="52" t="n">
        <v>40857.4666666667</v>
      </c>
      <c r="C163" s="1" t="n">
        <v>2</v>
      </c>
      <c r="D163" s="1" t="n">
        <v>355.7</v>
      </c>
    </row>
    <row r="164" customFormat="false" ht="14.25" hidden="false" customHeight="true" outlineLevel="0" collapsed="false">
      <c r="A164" s="51" t="n">
        <v>12545</v>
      </c>
      <c r="B164" s="52" t="n">
        <v>40811.56875</v>
      </c>
      <c r="C164" s="1" t="n">
        <v>2</v>
      </c>
      <c r="D164" s="1" t="n">
        <v>1000.39</v>
      </c>
    </row>
    <row r="165" customFormat="false" ht="14.25" hidden="false" customHeight="true" outlineLevel="0" collapsed="false">
      <c r="A165" s="51" t="n">
        <v>12546</v>
      </c>
      <c r="B165" s="52" t="n">
        <v>40840.50625</v>
      </c>
      <c r="C165" s="1" t="n">
        <v>3</v>
      </c>
      <c r="D165" s="1" t="n">
        <v>1141.5</v>
      </c>
    </row>
    <row r="166" customFormat="false" ht="14.25" hidden="false" customHeight="true" outlineLevel="0" collapsed="false">
      <c r="A166" s="51" t="n">
        <v>12547</v>
      </c>
      <c r="B166" s="52" t="n">
        <v>40689.5263888889</v>
      </c>
      <c r="C166" s="1" t="n">
        <v>2</v>
      </c>
      <c r="D166" s="1" t="n">
        <v>207.8</v>
      </c>
    </row>
    <row r="167" customFormat="false" ht="14.25" hidden="false" customHeight="true" outlineLevel="0" collapsed="false">
      <c r="A167" s="51" t="n">
        <v>12548</v>
      </c>
      <c r="B167" s="52" t="n">
        <v>40720.6493055556</v>
      </c>
      <c r="C167" s="1" t="n">
        <v>1</v>
      </c>
      <c r="D167" s="1" t="n">
        <v>95.2</v>
      </c>
    </row>
    <row r="168" customFormat="false" ht="14.25" hidden="false" customHeight="true" outlineLevel="0" collapsed="false">
      <c r="A168" s="51" t="n">
        <v>12550</v>
      </c>
      <c r="B168" s="52" t="n">
        <v>40807.6076388889</v>
      </c>
      <c r="C168" s="1" t="n">
        <v>1</v>
      </c>
      <c r="D168" s="1" t="n">
        <v>964.829999999999</v>
      </c>
    </row>
    <row r="169" customFormat="false" ht="14.25" hidden="false" customHeight="true" outlineLevel="0" collapsed="false">
      <c r="A169" s="51" t="n">
        <v>12551</v>
      </c>
      <c r="B169" s="52" t="n">
        <v>40529.4743055556</v>
      </c>
      <c r="C169" s="1" t="n">
        <v>1</v>
      </c>
      <c r="D169" s="1" t="n">
        <v>168</v>
      </c>
    </row>
    <row r="170" customFormat="false" ht="14.25" hidden="false" customHeight="true" outlineLevel="0" collapsed="false">
      <c r="A170" s="51" t="n">
        <v>12552</v>
      </c>
      <c r="B170" s="52" t="n">
        <v>40848.4180555556</v>
      </c>
      <c r="C170" s="1" t="n">
        <v>2</v>
      </c>
      <c r="D170" s="1" t="n">
        <v>437.82</v>
      </c>
    </row>
    <row r="171" customFormat="false" ht="14.25" hidden="false" customHeight="true" outlineLevel="0" collapsed="false">
      <c r="A171" s="51" t="n">
        <v>12553</v>
      </c>
      <c r="B171" s="52" t="n">
        <v>40878.6930555556</v>
      </c>
      <c r="C171" s="1" t="n">
        <v>14</v>
      </c>
      <c r="D171" s="1" t="n">
        <v>3652.25</v>
      </c>
    </row>
    <row r="172" customFormat="false" ht="14.25" hidden="false" customHeight="true" outlineLevel="0" collapsed="false">
      <c r="A172" s="51" t="n">
        <v>12556</v>
      </c>
      <c r="B172" s="52" t="n">
        <v>40836.5458333333</v>
      </c>
      <c r="C172" s="1" t="n">
        <v>2</v>
      </c>
      <c r="D172" s="1" t="n">
        <v>603.71</v>
      </c>
    </row>
    <row r="173" customFormat="false" ht="14.25" hidden="false" customHeight="true" outlineLevel="0" collapsed="false">
      <c r="A173" s="51" t="n">
        <v>12557</v>
      </c>
      <c r="B173" s="52" t="n">
        <v>40870.7076388889</v>
      </c>
      <c r="C173" s="1" t="n">
        <v>5</v>
      </c>
      <c r="D173" s="1" t="n">
        <v>11990.96</v>
      </c>
    </row>
    <row r="174" customFormat="false" ht="14.25" hidden="false" customHeight="true" outlineLevel="0" collapsed="false">
      <c r="A174" s="51" t="n">
        <v>12558</v>
      </c>
      <c r="B174" s="52" t="n">
        <v>40885.4263888889</v>
      </c>
      <c r="C174" s="1" t="n">
        <v>2</v>
      </c>
      <c r="D174" s="1" t="n">
        <v>2.66453525910038E-014</v>
      </c>
    </row>
    <row r="175" customFormat="false" ht="14.25" hidden="false" customHeight="true" outlineLevel="0" collapsed="false">
      <c r="A175" s="51" t="n">
        <v>12559</v>
      </c>
      <c r="B175" s="52" t="n">
        <v>40576.4090277778</v>
      </c>
      <c r="C175" s="1" t="n">
        <v>3</v>
      </c>
      <c r="D175" s="1" t="n">
        <v>536.21</v>
      </c>
    </row>
    <row r="176" customFormat="false" ht="14.25" hidden="false" customHeight="true" outlineLevel="0" collapsed="false">
      <c r="A176" s="51" t="n">
        <v>12560</v>
      </c>
      <c r="B176" s="52" t="n">
        <v>40881.5791666667</v>
      </c>
      <c r="C176" s="1" t="n">
        <v>4</v>
      </c>
      <c r="D176" s="1" t="n">
        <v>2101.39</v>
      </c>
    </row>
    <row r="177" customFormat="false" ht="14.25" hidden="false" customHeight="true" outlineLevel="0" collapsed="false">
      <c r="A177" s="51" t="n">
        <v>12561</v>
      </c>
      <c r="B177" s="52" t="n">
        <v>40584.4854166667</v>
      </c>
      <c r="C177" s="1" t="n">
        <v>1</v>
      </c>
      <c r="D177" s="1" t="n">
        <v>238.85</v>
      </c>
    </row>
    <row r="178" customFormat="false" ht="14.25" hidden="false" customHeight="true" outlineLevel="0" collapsed="false">
      <c r="A178" s="51" t="n">
        <v>12562</v>
      </c>
      <c r="B178" s="52" t="n">
        <v>40878.7222222222</v>
      </c>
      <c r="C178" s="1" t="n">
        <v>7</v>
      </c>
      <c r="D178" s="1" t="n">
        <v>3781.74</v>
      </c>
    </row>
    <row r="179" customFormat="false" ht="14.25" hidden="false" customHeight="true" outlineLevel="0" collapsed="false">
      <c r="A179" s="51" t="n">
        <v>12564</v>
      </c>
      <c r="B179" s="52" t="n">
        <v>40625.6215277778</v>
      </c>
      <c r="C179" s="1" t="n">
        <v>1</v>
      </c>
      <c r="D179" s="1" t="n">
        <v>456.9</v>
      </c>
    </row>
    <row r="180" customFormat="false" ht="14.25" hidden="false" customHeight="true" outlineLevel="0" collapsed="false">
      <c r="A180" s="51" t="n">
        <v>12565</v>
      </c>
      <c r="B180" s="52" t="n">
        <v>40605.4881944444</v>
      </c>
      <c r="C180" s="1" t="n">
        <v>2</v>
      </c>
      <c r="D180" s="1" t="n">
        <v>131.17</v>
      </c>
    </row>
    <row r="181" customFormat="false" ht="14.25" hidden="false" customHeight="true" outlineLevel="0" collapsed="false">
      <c r="A181" s="51" t="n">
        <v>12566</v>
      </c>
      <c r="B181" s="52" t="n">
        <v>40814.4145833333</v>
      </c>
      <c r="C181" s="1" t="n">
        <v>2</v>
      </c>
      <c r="D181" s="1" t="n">
        <v>346.7</v>
      </c>
    </row>
    <row r="182" customFormat="false" ht="14.25" hidden="false" customHeight="true" outlineLevel="0" collapsed="false">
      <c r="A182" s="51" t="n">
        <v>12567</v>
      </c>
      <c r="B182" s="52" t="n">
        <v>40864.4597222222</v>
      </c>
      <c r="C182" s="1" t="n">
        <v>11</v>
      </c>
      <c r="D182" s="1" t="n">
        <v>9114.94</v>
      </c>
    </row>
    <row r="183" customFormat="false" ht="14.25" hidden="false" customHeight="true" outlineLevel="0" collapsed="false">
      <c r="A183" s="51" t="n">
        <v>12569</v>
      </c>
      <c r="B183" s="52" t="n">
        <v>40884.6833333333</v>
      </c>
      <c r="C183" s="1" t="n">
        <v>35</v>
      </c>
      <c r="D183" s="1" t="n">
        <v>4064.99</v>
      </c>
    </row>
    <row r="184" customFormat="false" ht="14.25" hidden="false" customHeight="true" outlineLevel="0" collapsed="false">
      <c r="A184" s="51" t="n">
        <v>12571</v>
      </c>
      <c r="B184" s="52" t="n">
        <v>40847.4298611111</v>
      </c>
      <c r="C184" s="1" t="n">
        <v>2</v>
      </c>
      <c r="D184" s="1" t="n">
        <v>519.61</v>
      </c>
    </row>
    <row r="185" customFormat="false" ht="14.25" hidden="false" customHeight="true" outlineLevel="0" collapsed="false">
      <c r="A185" s="51" t="n">
        <v>12572</v>
      </c>
      <c r="B185" s="52" t="n">
        <v>40878.3888888889</v>
      </c>
      <c r="C185" s="1" t="n">
        <v>3</v>
      </c>
      <c r="D185" s="1" t="n">
        <v>1004.72</v>
      </c>
    </row>
    <row r="186" customFormat="false" ht="14.25" hidden="false" customHeight="true" outlineLevel="0" collapsed="false">
      <c r="A186" s="51" t="n">
        <v>12573</v>
      </c>
      <c r="B186" s="52" t="n">
        <v>40659.6611111111</v>
      </c>
      <c r="C186" s="1" t="n">
        <v>1</v>
      </c>
      <c r="D186" s="1" t="n">
        <v>160.54</v>
      </c>
    </row>
    <row r="187" customFormat="false" ht="14.25" hidden="false" customHeight="true" outlineLevel="0" collapsed="false">
      <c r="A187" s="51" t="n">
        <v>12574</v>
      </c>
      <c r="B187" s="52" t="n">
        <v>40571.3888888889</v>
      </c>
      <c r="C187" s="1" t="n">
        <v>1</v>
      </c>
      <c r="D187" s="1" t="n">
        <v>218.45</v>
      </c>
    </row>
    <row r="188" customFormat="false" ht="14.25" hidden="false" customHeight="true" outlineLevel="0" collapsed="false">
      <c r="A188" s="51" t="n">
        <v>12576</v>
      </c>
      <c r="B188" s="52" t="n">
        <v>40851.4243055556</v>
      </c>
      <c r="C188" s="1" t="n">
        <v>6</v>
      </c>
      <c r="D188" s="1" t="n">
        <v>1306.98</v>
      </c>
    </row>
    <row r="189" customFormat="false" ht="14.25" hidden="false" customHeight="true" outlineLevel="0" collapsed="false">
      <c r="A189" s="51" t="n">
        <v>12577</v>
      </c>
      <c r="B189" s="52" t="n">
        <v>40851.5611111111</v>
      </c>
      <c r="C189" s="1" t="n">
        <v>4</v>
      </c>
      <c r="D189" s="1" t="n">
        <v>595.4</v>
      </c>
    </row>
    <row r="190" customFormat="false" ht="14.25" hidden="false" customHeight="true" outlineLevel="0" collapsed="false">
      <c r="A190" s="51" t="n">
        <v>12578</v>
      </c>
      <c r="B190" s="52" t="n">
        <v>40865.5625</v>
      </c>
      <c r="C190" s="1" t="n">
        <v>4</v>
      </c>
      <c r="D190" s="1" t="n">
        <v>2753.36</v>
      </c>
    </row>
    <row r="191" customFormat="false" ht="14.25" hidden="false" customHeight="true" outlineLevel="0" collapsed="false">
      <c r="A191" s="51" t="n">
        <v>12579</v>
      </c>
      <c r="B191" s="52" t="n">
        <v>40813.58125</v>
      </c>
      <c r="C191" s="1" t="n">
        <v>3</v>
      </c>
      <c r="D191" s="1" t="n">
        <v>410.72</v>
      </c>
    </row>
    <row r="192" customFormat="false" ht="14.25" hidden="false" customHeight="true" outlineLevel="0" collapsed="false">
      <c r="A192" s="51" t="n">
        <v>12580</v>
      </c>
      <c r="B192" s="52" t="n">
        <v>40640.4333333333</v>
      </c>
      <c r="C192" s="1" t="n">
        <v>1</v>
      </c>
      <c r="D192" s="1" t="n">
        <v>415.7</v>
      </c>
    </row>
    <row r="193" customFormat="false" ht="14.25" hidden="false" customHeight="true" outlineLevel="0" collapsed="false">
      <c r="A193" s="51" t="n">
        <v>12581</v>
      </c>
      <c r="B193" s="52" t="n">
        <v>40847.3722222222</v>
      </c>
      <c r="C193" s="1" t="n">
        <v>1</v>
      </c>
      <c r="D193" s="1" t="n">
        <v>197.71</v>
      </c>
    </row>
    <row r="194" customFormat="false" ht="14.25" hidden="false" customHeight="true" outlineLevel="0" collapsed="false">
      <c r="A194" s="51" t="n">
        <v>12582</v>
      </c>
      <c r="B194" s="52" t="n">
        <v>40648.3645833333</v>
      </c>
      <c r="C194" s="1" t="n">
        <v>2</v>
      </c>
      <c r="D194" s="1" t="n">
        <v>511.36</v>
      </c>
    </row>
    <row r="195" customFormat="false" ht="14.25" hidden="false" customHeight="true" outlineLevel="0" collapsed="false">
      <c r="A195" s="51" t="n">
        <v>12583</v>
      </c>
      <c r="B195" s="52" t="n">
        <v>40884.3381944444</v>
      </c>
      <c r="C195" s="1" t="n">
        <v>18</v>
      </c>
      <c r="D195" s="1" t="n">
        <v>7187.33999999999</v>
      </c>
    </row>
    <row r="196" customFormat="false" ht="14.25" hidden="false" customHeight="true" outlineLevel="0" collapsed="false">
      <c r="A196" s="51" t="n">
        <v>12584</v>
      </c>
      <c r="B196" s="52" t="n">
        <v>40883.3993055556</v>
      </c>
      <c r="C196" s="1" t="n">
        <v>18</v>
      </c>
      <c r="D196" s="1" t="n">
        <v>1893.95</v>
      </c>
    </row>
    <row r="197" customFormat="false" ht="14.25" hidden="false" customHeight="true" outlineLevel="0" collapsed="false">
      <c r="A197" s="51" t="n">
        <v>12585</v>
      </c>
      <c r="B197" s="52" t="n">
        <v>40652.56875</v>
      </c>
      <c r="C197" s="1" t="n">
        <v>4</v>
      </c>
      <c r="D197" s="1" t="n">
        <v>1982.81</v>
      </c>
    </row>
    <row r="198" customFormat="false" ht="14.25" hidden="false" customHeight="true" outlineLevel="0" collapsed="false">
      <c r="A198" s="51" t="n">
        <v>12586</v>
      </c>
      <c r="B198" s="52" t="n">
        <v>40869.6833333333</v>
      </c>
      <c r="C198" s="1" t="n">
        <v>2</v>
      </c>
      <c r="D198" s="1" t="n">
        <v>179.94</v>
      </c>
    </row>
    <row r="199" customFormat="false" ht="14.25" hidden="false" customHeight="true" outlineLevel="0" collapsed="false">
      <c r="A199" s="51" t="n">
        <v>12587</v>
      </c>
      <c r="B199" s="52" t="n">
        <v>40879.5326388889</v>
      </c>
      <c r="C199" s="1" t="n">
        <v>1</v>
      </c>
      <c r="D199" s="1" t="n">
        <v>144</v>
      </c>
    </row>
    <row r="200" customFormat="false" ht="14.25" hidden="false" customHeight="true" outlineLevel="0" collapsed="false">
      <c r="A200" s="51" t="n">
        <v>12588</v>
      </c>
      <c r="B200" s="52" t="n">
        <v>40847.6256944445</v>
      </c>
      <c r="C200" s="1" t="n">
        <v>1</v>
      </c>
      <c r="D200" s="1" t="n">
        <v>214.9</v>
      </c>
    </row>
    <row r="201" customFormat="false" ht="14.25" hidden="false" customHeight="true" outlineLevel="0" collapsed="false">
      <c r="A201" s="51" t="n">
        <v>12589</v>
      </c>
      <c r="B201" s="52" t="n">
        <v>40858.4298611111</v>
      </c>
      <c r="C201" s="1" t="n">
        <v>2</v>
      </c>
      <c r="D201" s="1" t="n">
        <v>646.68</v>
      </c>
    </row>
    <row r="202" customFormat="false" ht="14.25" hidden="false" customHeight="true" outlineLevel="0" collapsed="false">
      <c r="A202" s="51" t="n">
        <v>12590</v>
      </c>
      <c r="B202" s="52" t="n">
        <v>40696.6006944445</v>
      </c>
      <c r="C202" s="1" t="n">
        <v>3</v>
      </c>
      <c r="D202" s="1" t="n">
        <v>9861.38</v>
      </c>
    </row>
    <row r="203" customFormat="false" ht="14.25" hidden="false" customHeight="true" outlineLevel="0" collapsed="false">
      <c r="A203" s="51" t="n">
        <v>12591</v>
      </c>
      <c r="B203" s="52" t="n">
        <v>40569.6076388889</v>
      </c>
      <c r="C203" s="1" t="n">
        <v>1</v>
      </c>
      <c r="D203" s="1" t="n">
        <v>452.85</v>
      </c>
    </row>
    <row r="204" customFormat="false" ht="14.25" hidden="false" customHeight="true" outlineLevel="0" collapsed="false">
      <c r="A204" s="51" t="n">
        <v>12592</v>
      </c>
      <c r="B204" s="52" t="n">
        <v>40794.6277777778</v>
      </c>
      <c r="C204" s="1" t="n">
        <v>2</v>
      </c>
      <c r="D204" s="1" t="n">
        <v>437.6</v>
      </c>
    </row>
    <row r="205" customFormat="false" ht="14.25" hidden="false" customHeight="true" outlineLevel="0" collapsed="false">
      <c r="A205" s="51" t="n">
        <v>12593</v>
      </c>
      <c r="B205" s="52" t="n">
        <v>40778.5298611111</v>
      </c>
      <c r="C205" s="1" t="n">
        <v>3</v>
      </c>
      <c r="D205" s="1" t="n">
        <v>418.1</v>
      </c>
    </row>
    <row r="206" customFormat="false" ht="14.25" hidden="false" customHeight="true" outlineLevel="0" collapsed="false">
      <c r="A206" s="51" t="n">
        <v>12594</v>
      </c>
      <c r="B206" s="52" t="n">
        <v>40849.5138888889</v>
      </c>
      <c r="C206" s="1" t="n">
        <v>11</v>
      </c>
      <c r="D206" s="1" t="n">
        <v>3320.22</v>
      </c>
    </row>
    <row r="207" customFormat="false" ht="14.25" hidden="false" customHeight="true" outlineLevel="0" collapsed="false">
      <c r="A207" s="51" t="n">
        <v>12596</v>
      </c>
      <c r="B207" s="52" t="n">
        <v>40835.5430555556</v>
      </c>
      <c r="C207" s="1" t="n">
        <v>2</v>
      </c>
      <c r="D207" s="1" t="n">
        <v>618.27</v>
      </c>
    </row>
    <row r="208" customFormat="false" ht="14.25" hidden="false" customHeight="true" outlineLevel="0" collapsed="false">
      <c r="A208" s="51" t="n">
        <v>12597</v>
      </c>
      <c r="B208" s="52" t="n">
        <v>40867.5645833333</v>
      </c>
      <c r="C208" s="1" t="n">
        <v>5</v>
      </c>
      <c r="D208" s="1" t="n">
        <v>3683.13</v>
      </c>
    </row>
    <row r="209" customFormat="false" ht="14.25" hidden="false" customHeight="true" outlineLevel="0" collapsed="false">
      <c r="A209" s="51" t="n">
        <v>12598</v>
      </c>
      <c r="B209" s="52" t="n">
        <v>40877.5125</v>
      </c>
      <c r="C209" s="1" t="n">
        <v>9</v>
      </c>
      <c r="D209" s="1" t="n">
        <v>3002.68</v>
      </c>
    </row>
    <row r="210" customFormat="false" ht="14.25" hidden="false" customHeight="true" outlineLevel="0" collapsed="false">
      <c r="A210" s="51" t="n">
        <v>12599</v>
      </c>
      <c r="B210" s="52" t="n">
        <v>40857.5652777778</v>
      </c>
      <c r="C210" s="1" t="n">
        <v>7</v>
      </c>
      <c r="D210" s="1" t="n">
        <v>1032.58</v>
      </c>
    </row>
    <row r="211" customFormat="false" ht="14.25" hidden="false" customHeight="true" outlineLevel="0" collapsed="false">
      <c r="A211" s="51" t="n">
        <v>12600</v>
      </c>
      <c r="B211" s="52" t="n">
        <v>40858.4368055556</v>
      </c>
      <c r="C211" s="1" t="n">
        <v>11</v>
      </c>
      <c r="D211" s="1" t="n">
        <v>2581.04</v>
      </c>
    </row>
    <row r="212" customFormat="false" ht="14.25" hidden="false" customHeight="true" outlineLevel="0" collapsed="false">
      <c r="A212" s="51" t="n">
        <v>12601</v>
      </c>
      <c r="B212" s="52" t="n">
        <v>40697.4284722222</v>
      </c>
      <c r="C212" s="1" t="n">
        <v>6</v>
      </c>
      <c r="D212" s="1" t="n">
        <v>569.56</v>
      </c>
    </row>
    <row r="213" customFormat="false" ht="14.25" hidden="false" customHeight="true" outlineLevel="0" collapsed="false">
      <c r="A213" s="51" t="n">
        <v>12602</v>
      </c>
      <c r="B213" s="52" t="n">
        <v>40828.4736111111</v>
      </c>
      <c r="C213" s="1" t="n">
        <v>1</v>
      </c>
      <c r="D213" s="1" t="n">
        <v>153.12</v>
      </c>
    </row>
    <row r="214" customFormat="false" ht="14.25" hidden="false" customHeight="true" outlineLevel="0" collapsed="false">
      <c r="A214" s="51" t="n">
        <v>12603</v>
      </c>
      <c r="B214" s="52" t="n">
        <v>40865.4458333333</v>
      </c>
      <c r="C214" s="1" t="n">
        <v>1</v>
      </c>
      <c r="D214" s="1" t="n">
        <v>739.2</v>
      </c>
    </row>
    <row r="215" customFormat="false" ht="14.25" hidden="false" customHeight="true" outlineLevel="0" collapsed="false">
      <c r="A215" s="51" t="n">
        <v>12604</v>
      </c>
      <c r="B215" s="52" t="n">
        <v>40807.5888888889</v>
      </c>
      <c r="C215" s="1" t="n">
        <v>2</v>
      </c>
      <c r="D215" s="1" t="n">
        <v>254.18</v>
      </c>
    </row>
    <row r="216" customFormat="false" ht="14.25" hidden="false" customHeight="true" outlineLevel="0" collapsed="false">
      <c r="A216" s="51" t="n">
        <v>12605</v>
      </c>
      <c r="B216" s="52" t="n">
        <v>40521.6534722222</v>
      </c>
      <c r="C216" s="1" t="n">
        <v>1</v>
      </c>
      <c r="D216" s="1" t="n">
        <v>-7.5</v>
      </c>
    </row>
    <row r="217" customFormat="false" ht="14.25" hidden="false" customHeight="true" outlineLevel="0" collapsed="false">
      <c r="A217" s="51" t="n">
        <v>12607</v>
      </c>
      <c r="B217" s="52" t="n">
        <v>40828.6784722222</v>
      </c>
      <c r="C217" s="1" t="n">
        <v>2</v>
      </c>
      <c r="D217" s="1" t="n">
        <v>-6.82121026329696E-013</v>
      </c>
    </row>
    <row r="218" customFormat="false" ht="14.25" hidden="false" customHeight="true" outlineLevel="0" collapsed="false">
      <c r="A218" s="51" t="n">
        <v>12609</v>
      </c>
      <c r="B218" s="52" t="n">
        <v>40808.6902777778</v>
      </c>
      <c r="C218" s="1" t="n">
        <v>3</v>
      </c>
      <c r="D218" s="1" t="n">
        <v>1126.85</v>
      </c>
    </row>
    <row r="219" customFormat="false" ht="14.25" hidden="false" customHeight="true" outlineLevel="0" collapsed="false">
      <c r="A219" s="51" t="n">
        <v>12610</v>
      </c>
      <c r="B219" s="52" t="n">
        <v>40864.3986111111</v>
      </c>
      <c r="C219" s="1" t="n">
        <v>7</v>
      </c>
      <c r="D219" s="1" t="n">
        <v>2057.99</v>
      </c>
    </row>
    <row r="220" customFormat="false" ht="14.25" hidden="false" customHeight="true" outlineLevel="0" collapsed="false">
      <c r="A220" s="51" t="n">
        <v>12611</v>
      </c>
      <c r="B220" s="52" t="n">
        <v>40834.55</v>
      </c>
      <c r="C220" s="1" t="n">
        <v>1</v>
      </c>
      <c r="D220" s="1" t="n">
        <v>1193.32</v>
      </c>
    </row>
    <row r="221" customFormat="false" ht="14.25" hidden="false" customHeight="true" outlineLevel="0" collapsed="false">
      <c r="A221" s="51" t="n">
        <v>12612</v>
      </c>
      <c r="B221" s="52" t="n">
        <v>40829.5083333333</v>
      </c>
      <c r="C221" s="1" t="n">
        <v>2</v>
      </c>
      <c r="D221" s="1" t="n">
        <v>643.59</v>
      </c>
    </row>
    <row r="222" customFormat="false" ht="14.25" hidden="false" customHeight="true" outlineLevel="0" collapsed="false">
      <c r="A222" s="51" t="n">
        <v>12613</v>
      </c>
      <c r="B222" s="52" t="n">
        <v>40855.5625</v>
      </c>
      <c r="C222" s="1" t="n">
        <v>6</v>
      </c>
      <c r="D222" s="1" t="n">
        <v>3218.98</v>
      </c>
    </row>
    <row r="223" customFormat="false" ht="14.25" hidden="false" customHeight="true" outlineLevel="0" collapsed="false">
      <c r="A223" s="51" t="n">
        <v>12614</v>
      </c>
      <c r="B223" s="52" t="n">
        <v>40609.4319444444</v>
      </c>
      <c r="C223" s="1" t="n">
        <v>1</v>
      </c>
      <c r="D223" s="1" t="n">
        <v>315.6</v>
      </c>
    </row>
    <row r="224" customFormat="false" ht="14.25" hidden="false" customHeight="true" outlineLevel="0" collapsed="false">
      <c r="A224" s="51" t="n">
        <v>12615</v>
      </c>
      <c r="B224" s="52" t="n">
        <v>40884.6263888889</v>
      </c>
      <c r="C224" s="1" t="n">
        <v>4</v>
      </c>
      <c r="D224" s="1" t="n">
        <v>2291.19</v>
      </c>
    </row>
    <row r="225" customFormat="false" ht="14.25" hidden="false" customHeight="true" outlineLevel="0" collapsed="false">
      <c r="A225" s="51" t="n">
        <v>12616</v>
      </c>
      <c r="B225" s="52" t="n">
        <v>40801.7097222222</v>
      </c>
      <c r="C225" s="1" t="n">
        <v>5</v>
      </c>
      <c r="D225" s="1" t="n">
        <v>657.25</v>
      </c>
    </row>
    <row r="226" customFormat="false" ht="14.25" hidden="false" customHeight="true" outlineLevel="0" collapsed="false">
      <c r="A226" s="51" t="n">
        <v>12617</v>
      </c>
      <c r="B226" s="52" t="n">
        <v>40857.6104166667</v>
      </c>
      <c r="C226" s="1" t="n">
        <v>1</v>
      </c>
      <c r="D226" s="1" t="n">
        <v>355.53</v>
      </c>
    </row>
    <row r="227" customFormat="false" ht="14.25" hidden="false" customHeight="true" outlineLevel="0" collapsed="false">
      <c r="A227" s="51" t="n">
        <v>12618</v>
      </c>
      <c r="B227" s="52" t="n">
        <v>40865.4652777778</v>
      </c>
      <c r="C227" s="1" t="n">
        <v>1</v>
      </c>
      <c r="D227" s="1" t="n">
        <v>177.31</v>
      </c>
    </row>
    <row r="228" customFormat="false" ht="14.25" hidden="false" customHeight="true" outlineLevel="0" collapsed="false">
      <c r="A228" s="51" t="n">
        <v>12619</v>
      </c>
      <c r="B228" s="52" t="n">
        <v>40870.6194444444</v>
      </c>
      <c r="C228" s="1" t="n">
        <v>13</v>
      </c>
      <c r="D228" s="1" t="n">
        <v>3214.81</v>
      </c>
    </row>
    <row r="229" customFormat="false" ht="14.25" hidden="false" customHeight="true" outlineLevel="0" collapsed="false">
      <c r="A229" s="51" t="n">
        <v>12620</v>
      </c>
      <c r="B229" s="52" t="n">
        <v>40872.4305555556</v>
      </c>
      <c r="C229" s="1" t="n">
        <v>3</v>
      </c>
      <c r="D229" s="1" t="n">
        <v>1339.41</v>
      </c>
    </row>
    <row r="230" customFormat="false" ht="14.25" hidden="false" customHeight="true" outlineLevel="0" collapsed="false">
      <c r="A230" s="51" t="n">
        <v>12621</v>
      </c>
      <c r="B230" s="52" t="n">
        <v>40885.4756944445</v>
      </c>
      <c r="C230" s="1" t="n">
        <v>23</v>
      </c>
      <c r="D230" s="1" t="n">
        <v>13612.07</v>
      </c>
    </row>
    <row r="231" customFormat="false" ht="14.25" hidden="false" customHeight="true" outlineLevel="0" collapsed="false">
      <c r="A231" s="51" t="n">
        <v>12622</v>
      </c>
      <c r="B231" s="52" t="n">
        <v>40654.69375</v>
      </c>
      <c r="C231" s="1" t="n">
        <v>1</v>
      </c>
      <c r="D231" s="1" t="n">
        <v>180.1</v>
      </c>
    </row>
    <row r="232" customFormat="false" ht="14.25" hidden="false" customHeight="true" outlineLevel="0" collapsed="false">
      <c r="A232" s="51" t="n">
        <v>12623</v>
      </c>
      <c r="B232" s="52" t="n">
        <v>40610.5763888889</v>
      </c>
      <c r="C232" s="1" t="n">
        <v>1</v>
      </c>
      <c r="D232" s="1" t="n">
        <v>305.1</v>
      </c>
    </row>
    <row r="233" customFormat="false" ht="14.25" hidden="false" customHeight="true" outlineLevel="0" collapsed="false">
      <c r="A233" s="51" t="n">
        <v>12624</v>
      </c>
      <c r="B233" s="52" t="n">
        <v>40780.6277777778</v>
      </c>
      <c r="C233" s="1" t="n">
        <v>2</v>
      </c>
      <c r="D233" s="1" t="n">
        <v>641.13</v>
      </c>
    </row>
    <row r="234" customFormat="false" ht="14.25" hidden="false" customHeight="true" outlineLevel="0" collapsed="false">
      <c r="A234" s="51" t="n">
        <v>12625</v>
      </c>
      <c r="B234" s="52" t="n">
        <v>40675.4125</v>
      </c>
      <c r="C234" s="1" t="n">
        <v>3</v>
      </c>
      <c r="D234" s="1" t="n">
        <v>2614.32</v>
      </c>
    </row>
    <row r="235" customFormat="false" ht="14.25" hidden="false" customHeight="true" outlineLevel="0" collapsed="false">
      <c r="A235" s="51" t="n">
        <v>12626</v>
      </c>
      <c r="B235" s="52" t="n">
        <v>40863.6708333333</v>
      </c>
      <c r="C235" s="1" t="n">
        <v>13</v>
      </c>
      <c r="D235" s="1" t="n">
        <v>6388.35</v>
      </c>
    </row>
    <row r="236" customFormat="false" ht="14.25" hidden="false" customHeight="true" outlineLevel="0" collapsed="false">
      <c r="A236" s="51" t="n">
        <v>12627</v>
      </c>
      <c r="B236" s="52" t="n">
        <v>40876.5048611111</v>
      </c>
      <c r="C236" s="1" t="n">
        <v>7</v>
      </c>
      <c r="D236" s="1" t="n">
        <v>4478.53</v>
      </c>
    </row>
    <row r="237" customFormat="false" ht="14.25" hidden="false" customHeight="true" outlineLevel="0" collapsed="false">
      <c r="A237" s="51" t="n">
        <v>12628</v>
      </c>
      <c r="B237" s="52" t="n">
        <v>40882.5520833333</v>
      </c>
      <c r="C237" s="1" t="n">
        <v>4</v>
      </c>
      <c r="D237" s="1" t="n">
        <v>769.61</v>
      </c>
    </row>
    <row r="238" customFormat="false" ht="14.25" hidden="false" customHeight="true" outlineLevel="0" collapsed="false">
      <c r="A238" s="51" t="n">
        <v>12630</v>
      </c>
      <c r="B238" s="52" t="n">
        <v>40877.45</v>
      </c>
      <c r="C238" s="1" t="n">
        <v>2</v>
      </c>
      <c r="D238" s="1" t="n">
        <v>1270.88</v>
      </c>
    </row>
    <row r="239" customFormat="false" ht="14.25" hidden="false" customHeight="true" outlineLevel="0" collapsed="false">
      <c r="A239" s="51" t="n">
        <v>12631</v>
      </c>
      <c r="B239" s="52" t="n">
        <v>40829.5784722222</v>
      </c>
      <c r="C239" s="1" t="n">
        <v>1</v>
      </c>
      <c r="D239" s="1" t="n">
        <v>640.5</v>
      </c>
    </row>
    <row r="240" customFormat="false" ht="14.25" hidden="false" customHeight="true" outlineLevel="0" collapsed="false">
      <c r="A240" s="51" t="n">
        <v>12633</v>
      </c>
      <c r="B240" s="52" t="n">
        <v>40828.4861111111</v>
      </c>
      <c r="C240" s="1" t="n">
        <v>5</v>
      </c>
      <c r="D240" s="1" t="n">
        <v>2140.63</v>
      </c>
    </row>
    <row r="241" customFormat="false" ht="14.25" hidden="false" customHeight="true" outlineLevel="0" collapsed="false">
      <c r="A241" s="51" t="n">
        <v>12635</v>
      </c>
      <c r="B241" s="52" t="n">
        <v>40797.4611111111</v>
      </c>
      <c r="C241" s="1" t="n">
        <v>2</v>
      </c>
      <c r="D241" s="1" t="n">
        <v>1689.18</v>
      </c>
    </row>
    <row r="242" customFormat="false" ht="14.25" hidden="false" customHeight="true" outlineLevel="0" collapsed="false">
      <c r="A242" s="51" t="n">
        <v>12637</v>
      </c>
      <c r="B242" s="52" t="n">
        <v>40819.5736111111</v>
      </c>
      <c r="C242" s="1" t="n">
        <v>10</v>
      </c>
      <c r="D242" s="1" t="n">
        <v>5953.25</v>
      </c>
    </row>
    <row r="243" customFormat="false" ht="14.25" hidden="false" customHeight="true" outlineLevel="0" collapsed="false">
      <c r="A243" s="51" t="n">
        <v>12638</v>
      </c>
      <c r="B243" s="52" t="n">
        <v>40853.5493055556</v>
      </c>
      <c r="C243" s="1" t="n">
        <v>1</v>
      </c>
      <c r="D243" s="1" t="n">
        <v>671.69</v>
      </c>
    </row>
    <row r="244" customFormat="false" ht="14.25" hidden="false" customHeight="true" outlineLevel="0" collapsed="false">
      <c r="A244" s="51" t="n">
        <v>12639</v>
      </c>
      <c r="B244" s="52" t="n">
        <v>40648.5333333333</v>
      </c>
      <c r="C244" s="1" t="n">
        <v>1</v>
      </c>
      <c r="D244" s="1" t="n">
        <v>486.1</v>
      </c>
    </row>
    <row r="245" customFormat="false" ht="14.25" hidden="false" customHeight="true" outlineLevel="0" collapsed="false">
      <c r="A245" s="51" t="n">
        <v>12640</v>
      </c>
      <c r="B245" s="52" t="n">
        <v>40863.4944444444</v>
      </c>
      <c r="C245" s="1" t="n">
        <v>3</v>
      </c>
      <c r="D245" s="1" t="n">
        <v>1174.58</v>
      </c>
    </row>
    <row r="246" customFormat="false" ht="14.25" hidden="false" customHeight="true" outlineLevel="0" collapsed="false">
      <c r="A246" s="51" t="n">
        <v>12641</v>
      </c>
      <c r="B246" s="52" t="n">
        <v>40771.5597222222</v>
      </c>
      <c r="C246" s="1" t="n">
        <v>1</v>
      </c>
      <c r="D246" s="1" t="n">
        <v>185.9</v>
      </c>
    </row>
    <row r="247" customFormat="false" ht="14.25" hidden="false" customHeight="true" outlineLevel="0" collapsed="false">
      <c r="A247" s="51" t="n">
        <v>12642</v>
      </c>
      <c r="B247" s="52" t="n">
        <v>40861.6270833333</v>
      </c>
      <c r="C247" s="1" t="n">
        <v>3</v>
      </c>
      <c r="D247" s="1" t="n">
        <v>1013.26</v>
      </c>
    </row>
    <row r="248" customFormat="false" ht="14.25" hidden="false" customHeight="true" outlineLevel="0" collapsed="false">
      <c r="A248" s="51" t="n">
        <v>12643</v>
      </c>
      <c r="B248" s="52" t="n">
        <v>40758.5388888889</v>
      </c>
      <c r="C248" s="1" t="n">
        <v>6</v>
      </c>
      <c r="D248" s="1" t="n">
        <v>3344.64</v>
      </c>
    </row>
    <row r="249" customFormat="false" ht="14.25" hidden="false" customHeight="true" outlineLevel="0" collapsed="false">
      <c r="A249" s="51" t="n">
        <v>12644</v>
      </c>
      <c r="B249" s="52" t="n">
        <v>40757.4395833333</v>
      </c>
      <c r="C249" s="1" t="n">
        <v>1</v>
      </c>
      <c r="D249" s="1" t="n">
        <v>477.91</v>
      </c>
    </row>
    <row r="250" customFormat="false" ht="14.25" hidden="false" customHeight="true" outlineLevel="0" collapsed="false">
      <c r="A250" s="51" t="n">
        <v>12645</v>
      </c>
      <c r="B250" s="52" t="n">
        <v>40853.5263888889</v>
      </c>
      <c r="C250" s="1" t="n">
        <v>5</v>
      </c>
      <c r="D250" s="1" t="n">
        <v>1755.38</v>
      </c>
    </row>
    <row r="251" customFormat="false" ht="14.25" hidden="false" customHeight="true" outlineLevel="0" collapsed="false">
      <c r="A251" s="51" t="n">
        <v>12646</v>
      </c>
      <c r="B251" s="52" t="n">
        <v>40882.4263888889</v>
      </c>
      <c r="C251" s="1" t="n">
        <v>2</v>
      </c>
      <c r="D251" s="1" t="n">
        <v>1346.97</v>
      </c>
    </row>
    <row r="252" customFormat="false" ht="14.25" hidden="false" customHeight="true" outlineLevel="0" collapsed="false">
      <c r="A252" s="51" t="n">
        <v>12647</v>
      </c>
      <c r="B252" s="52" t="n">
        <v>40864.5388888889</v>
      </c>
      <c r="C252" s="1" t="n">
        <v>13</v>
      </c>
      <c r="D252" s="1" t="n">
        <v>3669.92</v>
      </c>
    </row>
    <row r="253" customFormat="false" ht="14.25" hidden="false" customHeight="true" outlineLevel="0" collapsed="false">
      <c r="A253" s="51" t="n">
        <v>12648</v>
      </c>
      <c r="B253" s="52" t="n">
        <v>40732.4965277778</v>
      </c>
      <c r="C253" s="1" t="n">
        <v>1</v>
      </c>
      <c r="D253" s="1" t="n">
        <v>318.05</v>
      </c>
    </row>
    <row r="254" customFormat="false" ht="14.25" hidden="false" customHeight="true" outlineLevel="0" collapsed="false">
      <c r="A254" s="51" t="n">
        <v>12649</v>
      </c>
      <c r="B254" s="52" t="n">
        <v>40779.6118055556</v>
      </c>
      <c r="C254" s="1" t="n">
        <v>4</v>
      </c>
      <c r="D254" s="1" t="n">
        <v>603.71</v>
      </c>
    </row>
    <row r="255" customFormat="false" ht="14.25" hidden="false" customHeight="true" outlineLevel="0" collapsed="false">
      <c r="A255" s="51" t="n">
        <v>12650</v>
      </c>
      <c r="B255" s="52" t="n">
        <v>40883.6902777778</v>
      </c>
      <c r="C255" s="1" t="n">
        <v>1</v>
      </c>
      <c r="D255" s="1" t="n">
        <v>314.44</v>
      </c>
    </row>
    <row r="256" customFormat="false" ht="14.25" hidden="false" customHeight="true" outlineLevel="0" collapsed="false">
      <c r="A256" s="51" t="n">
        <v>12651</v>
      </c>
      <c r="B256" s="52" t="n">
        <v>40552.5319444445</v>
      </c>
      <c r="C256" s="1" t="n">
        <v>1</v>
      </c>
      <c r="D256" s="1" t="n">
        <v>114</v>
      </c>
    </row>
    <row r="257" customFormat="false" ht="14.25" hidden="false" customHeight="true" outlineLevel="0" collapsed="false">
      <c r="A257" s="51" t="n">
        <v>12652</v>
      </c>
      <c r="B257" s="52" t="n">
        <v>40564.7090277778</v>
      </c>
      <c r="C257" s="1" t="n">
        <v>2</v>
      </c>
      <c r="D257" s="1" t="n">
        <v>914.53</v>
      </c>
    </row>
    <row r="258" customFormat="false" ht="14.25" hidden="false" customHeight="true" outlineLevel="0" collapsed="false">
      <c r="A258" s="51" t="n">
        <v>12653</v>
      </c>
      <c r="B258" s="52" t="n">
        <v>40738.4451388889</v>
      </c>
      <c r="C258" s="1" t="n">
        <v>2</v>
      </c>
      <c r="D258" s="1" t="n">
        <v>2209.85</v>
      </c>
    </row>
    <row r="259" customFormat="false" ht="14.25" hidden="false" customHeight="true" outlineLevel="0" collapsed="false">
      <c r="A259" s="51" t="n">
        <v>12654</v>
      </c>
      <c r="B259" s="52" t="n">
        <v>40876.4236111111</v>
      </c>
      <c r="C259" s="1" t="n">
        <v>5</v>
      </c>
      <c r="D259" s="1" t="n">
        <v>601.98</v>
      </c>
    </row>
    <row r="260" customFormat="false" ht="14.25" hidden="false" customHeight="true" outlineLevel="0" collapsed="false">
      <c r="A260" s="51" t="n">
        <v>12656</v>
      </c>
      <c r="B260" s="52" t="n">
        <v>40869.5708333333</v>
      </c>
      <c r="C260" s="1" t="n">
        <v>8</v>
      </c>
      <c r="D260" s="1" t="n">
        <v>3982.72</v>
      </c>
    </row>
    <row r="261" customFormat="false" ht="14.25" hidden="false" customHeight="true" outlineLevel="0" collapsed="false">
      <c r="A261" s="51" t="n">
        <v>12657</v>
      </c>
      <c r="B261" s="52" t="n">
        <v>40875.6576388889</v>
      </c>
      <c r="C261" s="1" t="n">
        <v>5</v>
      </c>
      <c r="D261" s="1" t="n">
        <v>1152.06</v>
      </c>
    </row>
    <row r="262" customFormat="false" ht="14.25" hidden="false" customHeight="true" outlineLevel="0" collapsed="false">
      <c r="A262" s="51" t="n">
        <v>12658</v>
      </c>
      <c r="B262" s="52" t="n">
        <v>40868.4319444444</v>
      </c>
      <c r="C262" s="1" t="n">
        <v>1</v>
      </c>
      <c r="D262" s="1" t="n">
        <v>686.05</v>
      </c>
    </row>
    <row r="263" customFormat="false" ht="14.25" hidden="false" customHeight="true" outlineLevel="0" collapsed="false">
      <c r="A263" s="51" t="n">
        <v>12659</v>
      </c>
      <c r="B263" s="52" t="n">
        <v>40857.4951388889</v>
      </c>
      <c r="C263" s="1" t="n">
        <v>1</v>
      </c>
      <c r="D263" s="1" t="n">
        <v>91.68</v>
      </c>
    </row>
    <row r="264" customFormat="false" ht="14.25" hidden="false" customHeight="true" outlineLevel="0" collapsed="false">
      <c r="A264" s="51" t="n">
        <v>12660</v>
      </c>
      <c r="B264" s="52" t="n">
        <v>40875.5597222222</v>
      </c>
      <c r="C264" s="1" t="n">
        <v>1</v>
      </c>
      <c r="D264" s="1" t="n">
        <v>245.1</v>
      </c>
    </row>
    <row r="265" customFormat="false" ht="14.25" hidden="false" customHeight="true" outlineLevel="0" collapsed="false">
      <c r="A265" s="51" t="n">
        <v>12662</v>
      </c>
      <c r="B265" s="52" t="n">
        <v>40886.4993055556</v>
      </c>
      <c r="C265" s="1" t="n">
        <v>12</v>
      </c>
      <c r="D265" s="1" t="n">
        <v>3817.08</v>
      </c>
    </row>
    <row r="266" customFormat="false" ht="14.25" hidden="false" customHeight="true" outlineLevel="0" collapsed="false">
      <c r="A266" s="51" t="n">
        <v>12664</v>
      </c>
      <c r="B266" s="52" t="n">
        <v>40878.7131944444</v>
      </c>
      <c r="C266" s="1" t="n">
        <v>10</v>
      </c>
      <c r="D266" s="1" t="n">
        <v>4863.88</v>
      </c>
    </row>
    <row r="267" customFormat="false" ht="14.25" hidden="false" customHeight="true" outlineLevel="0" collapsed="false">
      <c r="A267" s="51" t="n">
        <v>12665</v>
      </c>
      <c r="B267" s="52" t="n">
        <v>40562.3569444444</v>
      </c>
      <c r="C267" s="1" t="n">
        <v>2</v>
      </c>
      <c r="D267" s="1" t="n">
        <v>61.75</v>
      </c>
    </row>
    <row r="268" customFormat="false" ht="14.25" hidden="false" customHeight="true" outlineLevel="0" collapsed="false">
      <c r="A268" s="51" t="n">
        <v>12666</v>
      </c>
      <c r="B268" s="52" t="n">
        <v>40527.6125</v>
      </c>
      <c r="C268" s="1" t="n">
        <v>1</v>
      </c>
      <c r="D268" s="1" t="n">
        <v>-227.44</v>
      </c>
    </row>
    <row r="269" customFormat="false" ht="14.25" hidden="false" customHeight="true" outlineLevel="0" collapsed="false">
      <c r="A269" s="51" t="n">
        <v>12667</v>
      </c>
      <c r="B269" s="52" t="n">
        <v>40828.7083333333</v>
      </c>
      <c r="C269" s="1" t="n">
        <v>1</v>
      </c>
      <c r="D269" s="1" t="n">
        <v>620.13</v>
      </c>
    </row>
    <row r="270" customFormat="false" ht="14.25" hidden="false" customHeight="true" outlineLevel="0" collapsed="false">
      <c r="A270" s="51" t="n">
        <v>12668</v>
      </c>
      <c r="B270" s="52" t="n">
        <v>40879.6319444445</v>
      </c>
      <c r="C270" s="1" t="n">
        <v>6</v>
      </c>
      <c r="D270" s="1" t="n">
        <v>3743.18</v>
      </c>
    </row>
    <row r="271" customFormat="false" ht="14.25" hidden="false" customHeight="true" outlineLevel="0" collapsed="false">
      <c r="A271" s="51" t="n">
        <v>12669</v>
      </c>
      <c r="B271" s="52" t="n">
        <v>40736.4125</v>
      </c>
      <c r="C271" s="1" t="n">
        <v>4</v>
      </c>
      <c r="D271" s="1" t="n">
        <v>1607.73</v>
      </c>
    </row>
    <row r="272" customFormat="false" ht="14.25" hidden="false" customHeight="true" outlineLevel="0" collapsed="false">
      <c r="A272" s="51" t="n">
        <v>12670</v>
      </c>
      <c r="B272" s="52" t="n">
        <v>40876.6409722222</v>
      </c>
      <c r="C272" s="1" t="n">
        <v>6</v>
      </c>
      <c r="D272" s="1" t="n">
        <v>2986.15</v>
      </c>
    </row>
    <row r="273" customFormat="false" ht="14.25" hidden="false" customHeight="true" outlineLevel="0" collapsed="false">
      <c r="A273" s="51" t="n">
        <v>12672</v>
      </c>
      <c r="B273" s="52" t="n">
        <v>40557.3888888889</v>
      </c>
      <c r="C273" s="1" t="n">
        <v>1</v>
      </c>
      <c r="D273" s="1" t="n">
        <v>225.9</v>
      </c>
    </row>
    <row r="274" customFormat="false" ht="14.25" hidden="false" customHeight="true" outlineLevel="0" collapsed="false">
      <c r="A274" s="51" t="n">
        <v>12673</v>
      </c>
      <c r="B274" s="52" t="n">
        <v>40881.5798611111</v>
      </c>
      <c r="C274" s="1" t="n">
        <v>2</v>
      </c>
      <c r="D274" s="1" t="n">
        <v>610.52</v>
      </c>
    </row>
    <row r="275" customFormat="false" ht="14.25" hidden="false" customHeight="true" outlineLevel="0" collapsed="false">
      <c r="A275" s="51" t="n">
        <v>12674</v>
      </c>
      <c r="B275" s="52" t="n">
        <v>40875.5152777778</v>
      </c>
      <c r="C275" s="1" t="n">
        <v>7</v>
      </c>
      <c r="D275" s="1" t="n">
        <v>1919.31</v>
      </c>
    </row>
    <row r="276" customFormat="false" ht="14.25" hidden="false" customHeight="true" outlineLevel="0" collapsed="false">
      <c r="A276" s="51" t="n">
        <v>12676</v>
      </c>
      <c r="B276" s="52" t="n">
        <v>40862.5173611111</v>
      </c>
      <c r="C276" s="1" t="n">
        <v>6</v>
      </c>
      <c r="D276" s="1" t="n">
        <v>1331.39</v>
      </c>
    </row>
    <row r="277" customFormat="false" ht="14.25" hidden="false" customHeight="true" outlineLevel="0" collapsed="false">
      <c r="A277" s="51" t="n">
        <v>12678</v>
      </c>
      <c r="B277" s="52" t="n">
        <v>40844.5444444444</v>
      </c>
      <c r="C277" s="1" t="n">
        <v>13</v>
      </c>
      <c r="D277" s="1" t="n">
        <v>17588.26</v>
      </c>
    </row>
    <row r="278" customFormat="false" ht="14.25" hidden="false" customHeight="true" outlineLevel="0" collapsed="false">
      <c r="A278" s="51" t="n">
        <v>12679</v>
      </c>
      <c r="B278" s="52" t="n">
        <v>40834.5715277778</v>
      </c>
      <c r="C278" s="1" t="n">
        <v>9</v>
      </c>
      <c r="D278" s="1" t="n">
        <v>1058.67</v>
      </c>
    </row>
    <row r="279" customFormat="false" ht="14.25" hidden="false" customHeight="true" outlineLevel="0" collapsed="false">
      <c r="A279" s="51" t="n">
        <v>12680</v>
      </c>
      <c r="B279" s="52" t="n">
        <v>40886.5347222222</v>
      </c>
      <c r="C279" s="1" t="n">
        <v>4</v>
      </c>
      <c r="D279" s="1" t="n">
        <v>862.81</v>
      </c>
    </row>
    <row r="280" customFormat="false" ht="14.25" hidden="false" customHeight="true" outlineLevel="0" collapsed="false">
      <c r="A280" s="51" t="n">
        <v>12681</v>
      </c>
      <c r="B280" s="52" t="n">
        <v>40872.4826388889</v>
      </c>
      <c r="C280" s="1" t="n">
        <v>27</v>
      </c>
      <c r="D280" s="1" t="n">
        <v>13677.59</v>
      </c>
    </row>
    <row r="281" customFormat="false" ht="14.25" hidden="false" customHeight="true" outlineLevel="0" collapsed="false">
      <c r="A281" s="51" t="n">
        <v>12682</v>
      </c>
      <c r="B281" s="52" t="n">
        <v>40883.4166666667</v>
      </c>
      <c r="C281" s="1" t="n">
        <v>31</v>
      </c>
      <c r="D281" s="1" t="n">
        <v>12288.22</v>
      </c>
    </row>
    <row r="282" customFormat="false" ht="14.25" hidden="false" customHeight="true" outlineLevel="0" collapsed="false">
      <c r="A282" s="51" t="n">
        <v>12683</v>
      </c>
      <c r="B282" s="52" t="n">
        <v>40882.6881944445</v>
      </c>
      <c r="C282" s="1" t="n">
        <v>20</v>
      </c>
      <c r="D282" s="1" t="n">
        <v>8221.09</v>
      </c>
    </row>
    <row r="283" customFormat="false" ht="14.25" hidden="false" customHeight="true" outlineLevel="0" collapsed="false">
      <c r="A283" s="51" t="n">
        <v>12684</v>
      </c>
      <c r="B283" s="52" t="n">
        <v>40879.4118055556</v>
      </c>
      <c r="C283" s="1" t="n">
        <v>7</v>
      </c>
      <c r="D283" s="1" t="n">
        <v>2283.63</v>
      </c>
    </row>
    <row r="284" customFormat="false" ht="14.25" hidden="false" customHeight="true" outlineLevel="0" collapsed="false">
      <c r="A284" s="51" t="n">
        <v>12685</v>
      </c>
      <c r="B284" s="52" t="n">
        <v>40858.5736111111</v>
      </c>
      <c r="C284" s="1" t="n">
        <v>6</v>
      </c>
      <c r="D284" s="1" t="n">
        <v>2863.08</v>
      </c>
    </row>
    <row r="285" customFormat="false" ht="14.25" hidden="false" customHeight="true" outlineLevel="0" collapsed="false">
      <c r="A285" s="51" t="n">
        <v>12686</v>
      </c>
      <c r="B285" s="52" t="n">
        <v>40515.4104166667</v>
      </c>
      <c r="C285" s="1" t="n">
        <v>1</v>
      </c>
      <c r="D285" s="1" t="n">
        <v>89.14</v>
      </c>
    </row>
    <row r="286" customFormat="false" ht="14.25" hidden="false" customHeight="true" outlineLevel="0" collapsed="false">
      <c r="A286" s="51" t="n">
        <v>12688</v>
      </c>
      <c r="B286" s="52" t="n">
        <v>40773.3673611111</v>
      </c>
      <c r="C286" s="1" t="n">
        <v>1</v>
      </c>
      <c r="D286" s="1" t="n">
        <v>4873.81000000001</v>
      </c>
    </row>
    <row r="287" customFormat="false" ht="14.25" hidden="false" customHeight="true" outlineLevel="0" collapsed="false">
      <c r="A287" s="51" t="n">
        <v>12689</v>
      </c>
      <c r="B287" s="52" t="n">
        <v>40861.3548611111</v>
      </c>
      <c r="C287" s="1" t="n">
        <v>2</v>
      </c>
      <c r="D287" s="1" t="n">
        <v>1247.61</v>
      </c>
    </row>
    <row r="288" customFormat="false" ht="14.25" hidden="false" customHeight="true" outlineLevel="0" collapsed="false">
      <c r="A288" s="51" t="n">
        <v>12690</v>
      </c>
      <c r="B288" s="52" t="n">
        <v>40681.38125</v>
      </c>
      <c r="C288" s="1" t="n">
        <v>1</v>
      </c>
      <c r="D288" s="1" t="n">
        <v>389.01</v>
      </c>
    </row>
    <row r="289" customFormat="false" ht="14.25" hidden="false" customHeight="true" outlineLevel="0" collapsed="false">
      <c r="A289" s="51" t="n">
        <v>12691</v>
      </c>
      <c r="B289" s="52" t="n">
        <v>40858.7006944444</v>
      </c>
      <c r="C289" s="1" t="n">
        <v>6</v>
      </c>
      <c r="D289" s="1" t="n">
        <v>1035.8</v>
      </c>
    </row>
    <row r="290" customFormat="false" ht="14.25" hidden="false" customHeight="true" outlineLevel="0" collapsed="false">
      <c r="A290" s="51" t="n">
        <v>12693</v>
      </c>
      <c r="B290" s="52" t="n">
        <v>40766.3861111111</v>
      </c>
      <c r="C290" s="1" t="n">
        <v>6</v>
      </c>
      <c r="D290" s="1" t="n">
        <v>830.96</v>
      </c>
    </row>
    <row r="291" customFormat="false" ht="14.25" hidden="false" customHeight="true" outlineLevel="0" collapsed="false">
      <c r="A291" s="51" t="n">
        <v>12694</v>
      </c>
      <c r="B291" s="52" t="n">
        <v>40816.5458333333</v>
      </c>
      <c r="C291" s="1" t="n">
        <v>2</v>
      </c>
      <c r="D291" s="1" t="n">
        <v>869.67</v>
      </c>
    </row>
    <row r="292" customFormat="false" ht="14.25" hidden="false" customHeight="true" outlineLevel="0" collapsed="false">
      <c r="A292" s="51" t="n">
        <v>12695</v>
      </c>
      <c r="B292" s="52" t="n">
        <v>40879.5569444444</v>
      </c>
      <c r="C292" s="1" t="n">
        <v>4</v>
      </c>
      <c r="D292" s="1" t="n">
        <v>582.1</v>
      </c>
    </row>
    <row r="293" customFormat="false" ht="14.25" hidden="false" customHeight="true" outlineLevel="0" collapsed="false">
      <c r="A293" s="51" t="n">
        <v>12697</v>
      </c>
      <c r="B293" s="52" t="n">
        <v>40865.6784722222</v>
      </c>
      <c r="C293" s="1" t="n">
        <v>5</v>
      </c>
      <c r="D293" s="1" t="n">
        <v>939.02</v>
      </c>
    </row>
    <row r="294" customFormat="false" ht="14.25" hidden="false" customHeight="true" outlineLevel="0" collapsed="false">
      <c r="A294" s="51" t="n">
        <v>12700</v>
      </c>
      <c r="B294" s="52" t="n">
        <v>40879.4506944444</v>
      </c>
      <c r="C294" s="1" t="n">
        <v>6</v>
      </c>
      <c r="D294" s="1" t="n">
        <v>4867.99</v>
      </c>
    </row>
    <row r="295" customFormat="false" ht="14.25" hidden="false" customHeight="true" outlineLevel="0" collapsed="false">
      <c r="A295" s="51" t="n">
        <v>12701</v>
      </c>
      <c r="B295" s="52" t="n">
        <v>40807.4493055556</v>
      </c>
      <c r="C295" s="1" t="n">
        <v>2</v>
      </c>
      <c r="D295" s="1" t="n">
        <v>797.71</v>
      </c>
    </row>
    <row r="296" customFormat="false" ht="14.25" hidden="false" customHeight="true" outlineLevel="0" collapsed="false">
      <c r="A296" s="51" t="n">
        <v>12702</v>
      </c>
      <c r="B296" s="52" t="n">
        <v>40867.4416666667</v>
      </c>
      <c r="C296" s="1" t="n">
        <v>1</v>
      </c>
      <c r="D296" s="1" t="n">
        <v>219</v>
      </c>
    </row>
    <row r="297" customFormat="false" ht="14.25" hidden="false" customHeight="true" outlineLevel="0" collapsed="false">
      <c r="A297" s="51" t="n">
        <v>12703</v>
      </c>
      <c r="B297" s="52" t="n">
        <v>40822.8076388889</v>
      </c>
      <c r="C297" s="1" t="n">
        <v>2</v>
      </c>
      <c r="D297" s="1" t="n">
        <v>274.7</v>
      </c>
    </row>
    <row r="298" customFormat="false" ht="14.25" hidden="false" customHeight="true" outlineLevel="0" collapsed="false">
      <c r="A298" s="51" t="n">
        <v>12704</v>
      </c>
      <c r="B298" s="52" t="n">
        <v>40879.5520833333</v>
      </c>
      <c r="C298" s="1" t="n">
        <v>10</v>
      </c>
      <c r="D298" s="1" t="n">
        <v>2220.84</v>
      </c>
    </row>
    <row r="299" customFormat="false" ht="14.25" hidden="false" customHeight="true" outlineLevel="0" collapsed="false">
      <c r="A299" s="51" t="n">
        <v>12705</v>
      </c>
      <c r="B299" s="52" t="n">
        <v>40871.5534722222</v>
      </c>
      <c r="C299" s="1" t="n">
        <v>14</v>
      </c>
      <c r="D299" s="1" t="n">
        <v>6814.24</v>
      </c>
    </row>
    <row r="300" customFormat="false" ht="14.25" hidden="false" customHeight="true" outlineLevel="0" collapsed="false">
      <c r="A300" s="51" t="n">
        <v>12707</v>
      </c>
      <c r="B300" s="52" t="n">
        <v>40595.3597222222</v>
      </c>
      <c r="C300" s="1" t="n">
        <v>1</v>
      </c>
      <c r="D300" s="1" t="n">
        <v>603.42</v>
      </c>
    </row>
    <row r="301" customFormat="false" ht="14.25" hidden="false" customHeight="true" outlineLevel="0" collapsed="false">
      <c r="A301" s="51" t="n">
        <v>12708</v>
      </c>
      <c r="B301" s="52" t="n">
        <v>40857.4111111111</v>
      </c>
      <c r="C301" s="1" t="n">
        <v>16</v>
      </c>
      <c r="D301" s="1" t="n">
        <v>2616.32</v>
      </c>
    </row>
    <row r="302" customFormat="false" ht="14.25" hidden="false" customHeight="true" outlineLevel="0" collapsed="false">
      <c r="A302" s="51" t="n">
        <v>12709</v>
      </c>
      <c r="B302" s="52" t="n">
        <v>40883.6958333333</v>
      </c>
      <c r="C302" s="1" t="n">
        <v>26</v>
      </c>
      <c r="D302" s="1" t="n">
        <v>9294.09999999999</v>
      </c>
    </row>
    <row r="303" customFormat="false" ht="14.25" hidden="false" customHeight="true" outlineLevel="0" collapsed="false">
      <c r="A303" s="51" t="n">
        <v>12710</v>
      </c>
      <c r="B303" s="52" t="n">
        <v>40790.5</v>
      </c>
      <c r="C303" s="1" t="n">
        <v>4</v>
      </c>
      <c r="D303" s="1" t="n">
        <v>1130.57</v>
      </c>
    </row>
    <row r="304" customFormat="false" ht="14.25" hidden="false" customHeight="true" outlineLevel="0" collapsed="false">
      <c r="A304" s="51" t="n">
        <v>12712</v>
      </c>
      <c r="B304" s="52" t="n">
        <v>40864.3854166667</v>
      </c>
      <c r="C304" s="1" t="n">
        <v>17</v>
      </c>
      <c r="D304" s="1" t="n">
        <v>4241.63</v>
      </c>
    </row>
    <row r="305" customFormat="false" ht="14.25" hidden="false" customHeight="true" outlineLevel="0" collapsed="false">
      <c r="A305" s="51" t="n">
        <v>12713</v>
      </c>
      <c r="B305" s="52" t="n">
        <v>40886.5111111111</v>
      </c>
      <c r="C305" s="1" t="n">
        <v>1</v>
      </c>
      <c r="D305" s="1" t="n">
        <v>848.55</v>
      </c>
    </row>
    <row r="306" customFormat="false" ht="14.25" hidden="false" customHeight="true" outlineLevel="0" collapsed="false">
      <c r="A306" s="51" t="n">
        <v>12714</v>
      </c>
      <c r="B306" s="52" t="n">
        <v>40877.6548611111</v>
      </c>
      <c r="C306" s="1" t="n">
        <v>5</v>
      </c>
      <c r="D306" s="1" t="n">
        <v>4708.86</v>
      </c>
    </row>
    <row r="307" customFormat="false" ht="14.25" hidden="false" customHeight="true" outlineLevel="0" collapsed="false">
      <c r="A307" s="51" t="n">
        <v>12715</v>
      </c>
      <c r="B307" s="52" t="n">
        <v>40780.6402777778</v>
      </c>
      <c r="C307" s="1" t="n">
        <v>1</v>
      </c>
      <c r="D307" s="1" t="n">
        <v>353.86</v>
      </c>
    </row>
    <row r="308" customFormat="false" ht="14.25" hidden="false" customHeight="true" outlineLevel="0" collapsed="false">
      <c r="A308" s="51" t="n">
        <v>12716</v>
      </c>
      <c r="B308" s="52" t="n">
        <v>40883.3715277778</v>
      </c>
      <c r="C308" s="1" t="n">
        <v>2</v>
      </c>
      <c r="D308" s="1" t="n">
        <v>1053.49</v>
      </c>
    </row>
    <row r="309" customFormat="false" ht="14.25" hidden="false" customHeight="true" outlineLevel="0" collapsed="false">
      <c r="A309" s="51" t="n">
        <v>12717</v>
      </c>
      <c r="B309" s="52" t="n">
        <v>40735.61875</v>
      </c>
      <c r="C309" s="1" t="n">
        <v>3</v>
      </c>
      <c r="D309" s="1" t="n">
        <v>980.98</v>
      </c>
    </row>
    <row r="310" customFormat="false" ht="14.25" hidden="false" customHeight="true" outlineLevel="0" collapsed="false">
      <c r="A310" s="51" t="n">
        <v>12718</v>
      </c>
      <c r="B310" s="52" t="n">
        <v>40815.6930555556</v>
      </c>
      <c r="C310" s="1" t="n">
        <v>1</v>
      </c>
      <c r="D310" s="1" t="n">
        <v>238.25</v>
      </c>
    </row>
    <row r="311" customFormat="false" ht="14.25" hidden="false" customHeight="true" outlineLevel="0" collapsed="false">
      <c r="A311" s="51" t="n">
        <v>12719</v>
      </c>
      <c r="B311" s="52" t="n">
        <v>40881.5729166667</v>
      </c>
      <c r="C311" s="1" t="n">
        <v>3</v>
      </c>
      <c r="D311" s="1" t="n">
        <v>608.1</v>
      </c>
    </row>
    <row r="312" customFormat="false" ht="14.25" hidden="false" customHeight="true" outlineLevel="0" collapsed="false">
      <c r="A312" s="51" t="n">
        <v>12720</v>
      </c>
      <c r="B312" s="52" t="n">
        <v>40884.3354166667</v>
      </c>
      <c r="C312" s="1" t="n">
        <v>29</v>
      </c>
      <c r="D312" s="1" t="n">
        <v>5713.28</v>
      </c>
    </row>
    <row r="313" customFormat="false" ht="14.25" hidden="false" customHeight="true" outlineLevel="0" collapsed="false">
      <c r="A313" s="51" t="n">
        <v>12721</v>
      </c>
      <c r="B313" s="52" t="n">
        <v>40855.5090277778</v>
      </c>
      <c r="C313" s="1" t="n">
        <v>7</v>
      </c>
      <c r="D313" s="1" t="n">
        <v>2628.98</v>
      </c>
    </row>
    <row r="314" customFormat="false" ht="14.25" hidden="false" customHeight="true" outlineLevel="0" collapsed="false">
      <c r="A314" s="51" t="n">
        <v>12722</v>
      </c>
      <c r="B314" s="52" t="n">
        <v>40801.6180555556</v>
      </c>
      <c r="C314" s="1" t="n">
        <v>6</v>
      </c>
      <c r="D314" s="1" t="n">
        <v>904.33</v>
      </c>
    </row>
    <row r="315" customFormat="false" ht="14.25" hidden="false" customHeight="true" outlineLevel="0" collapsed="false">
      <c r="A315" s="51" t="n">
        <v>12723</v>
      </c>
      <c r="B315" s="52" t="n">
        <v>40883.4298611111</v>
      </c>
      <c r="C315" s="1" t="n">
        <v>5</v>
      </c>
      <c r="D315" s="1" t="n">
        <v>725.07</v>
      </c>
    </row>
    <row r="316" customFormat="false" ht="14.25" hidden="false" customHeight="true" outlineLevel="0" collapsed="false">
      <c r="A316" s="51" t="n">
        <v>12724</v>
      </c>
      <c r="B316" s="52" t="n">
        <v>40881.6680555556</v>
      </c>
      <c r="C316" s="1" t="n">
        <v>4</v>
      </c>
      <c r="D316" s="1" t="n">
        <v>1031.41</v>
      </c>
    </row>
    <row r="317" customFormat="false" ht="14.25" hidden="false" customHeight="true" outlineLevel="0" collapsed="false">
      <c r="A317" s="51" t="n">
        <v>12725</v>
      </c>
      <c r="B317" s="52" t="n">
        <v>40515.65625</v>
      </c>
      <c r="C317" s="1" t="n">
        <v>1</v>
      </c>
      <c r="D317" s="1" t="n">
        <v>427.8</v>
      </c>
    </row>
    <row r="318" customFormat="false" ht="14.25" hidden="false" customHeight="true" outlineLevel="0" collapsed="false">
      <c r="A318" s="51" t="n">
        <v>12726</v>
      </c>
      <c r="B318" s="52" t="n">
        <v>40858.5659722222</v>
      </c>
      <c r="C318" s="1" t="n">
        <v>7</v>
      </c>
      <c r="D318" s="1" t="n">
        <v>2609.1</v>
      </c>
    </row>
    <row r="319" customFormat="false" ht="14.25" hidden="false" customHeight="true" outlineLevel="0" collapsed="false">
      <c r="A319" s="51" t="n">
        <v>12727</v>
      </c>
      <c r="B319" s="52" t="n">
        <v>40876.4902777778</v>
      </c>
      <c r="C319" s="1" t="n">
        <v>9</v>
      </c>
      <c r="D319" s="1" t="n">
        <v>3947.7</v>
      </c>
    </row>
    <row r="320" customFormat="false" ht="14.25" hidden="false" customHeight="true" outlineLevel="0" collapsed="false">
      <c r="A320" s="51" t="n">
        <v>12728</v>
      </c>
      <c r="B320" s="52" t="n">
        <v>40815.6465277778</v>
      </c>
      <c r="C320" s="1" t="n">
        <v>4</v>
      </c>
      <c r="D320" s="1" t="n">
        <v>836.33</v>
      </c>
    </row>
    <row r="321" customFormat="false" ht="14.25" hidden="false" customHeight="true" outlineLevel="0" collapsed="false">
      <c r="A321" s="51" t="n">
        <v>12729</v>
      </c>
      <c r="B321" s="52" t="n">
        <v>40773.4861111111</v>
      </c>
      <c r="C321" s="1" t="n">
        <v>1</v>
      </c>
      <c r="D321" s="1" t="n">
        <v>453.01</v>
      </c>
    </row>
    <row r="322" customFormat="false" ht="14.25" hidden="false" customHeight="true" outlineLevel="0" collapsed="false">
      <c r="A322" s="51" t="n">
        <v>12731</v>
      </c>
      <c r="B322" s="52" t="n">
        <v>40863.4993055556</v>
      </c>
      <c r="C322" s="1" t="n">
        <v>14</v>
      </c>
      <c r="D322" s="1" t="n">
        <v>18793.41</v>
      </c>
    </row>
    <row r="323" customFormat="false" ht="14.25" hidden="false" customHeight="true" outlineLevel="0" collapsed="false">
      <c r="A323" s="51" t="n">
        <v>12732</v>
      </c>
      <c r="B323" s="52" t="n">
        <v>40707.48125</v>
      </c>
      <c r="C323" s="1" t="n">
        <v>1</v>
      </c>
      <c r="D323" s="1" t="n">
        <v>236.26</v>
      </c>
    </row>
    <row r="324" customFormat="false" ht="14.25" hidden="false" customHeight="true" outlineLevel="0" collapsed="false">
      <c r="A324" s="51" t="n">
        <v>12733</v>
      </c>
      <c r="B324" s="52" t="n">
        <v>40652.6798611111</v>
      </c>
      <c r="C324" s="1" t="n">
        <v>1</v>
      </c>
      <c r="D324" s="1" t="n">
        <v>383.95</v>
      </c>
    </row>
    <row r="325" customFormat="false" ht="14.25" hidden="false" customHeight="true" outlineLevel="0" collapsed="false">
      <c r="A325" s="51" t="n">
        <v>12734</v>
      </c>
      <c r="B325" s="52" t="n">
        <v>40534.5326388889</v>
      </c>
      <c r="C325" s="1" t="n">
        <v>1</v>
      </c>
      <c r="D325" s="1" t="n">
        <v>110.4</v>
      </c>
    </row>
    <row r="326" customFormat="false" ht="14.25" hidden="false" customHeight="true" outlineLevel="0" collapsed="false">
      <c r="A326" s="51" t="n">
        <v>12735</v>
      </c>
      <c r="B326" s="52" t="n">
        <v>40571.5673611111</v>
      </c>
      <c r="C326" s="1" t="n">
        <v>2</v>
      </c>
      <c r="D326" s="1" t="n">
        <v>779.57</v>
      </c>
    </row>
    <row r="327" customFormat="false" ht="14.25" hidden="false" customHeight="true" outlineLevel="0" collapsed="false">
      <c r="A327" s="51" t="n">
        <v>12736</v>
      </c>
      <c r="B327" s="52" t="n">
        <v>40554.33125</v>
      </c>
      <c r="C327" s="1" t="n">
        <v>1</v>
      </c>
      <c r="D327" s="1" t="n">
        <v>234</v>
      </c>
    </row>
    <row r="328" customFormat="false" ht="14.25" hidden="false" customHeight="true" outlineLevel="0" collapsed="false">
      <c r="A328" s="51" t="n">
        <v>12738</v>
      </c>
      <c r="B328" s="52" t="n">
        <v>40514.76875</v>
      </c>
      <c r="C328" s="1" t="n">
        <v>1</v>
      </c>
      <c r="D328" s="1" t="n">
        <v>155.35</v>
      </c>
    </row>
    <row r="329" customFormat="false" ht="14.25" hidden="false" customHeight="true" outlineLevel="0" collapsed="false">
      <c r="A329" s="51" t="n">
        <v>12739</v>
      </c>
      <c r="B329" s="52" t="n">
        <v>40808.5416666667</v>
      </c>
      <c r="C329" s="1" t="n">
        <v>2</v>
      </c>
      <c r="D329" s="1" t="n">
        <v>1013.04</v>
      </c>
    </row>
    <row r="330" customFormat="false" ht="14.25" hidden="false" customHeight="true" outlineLevel="0" collapsed="false">
      <c r="A330" s="51" t="n">
        <v>12740</v>
      </c>
      <c r="B330" s="52" t="n">
        <v>40823.4472222222</v>
      </c>
      <c r="C330" s="1" t="n">
        <v>1</v>
      </c>
      <c r="D330" s="1" t="n">
        <v>427.6</v>
      </c>
    </row>
    <row r="331" customFormat="false" ht="14.25" hidden="false" customHeight="true" outlineLevel="0" collapsed="false">
      <c r="A331" s="51" t="n">
        <v>12743</v>
      </c>
      <c r="B331" s="52" t="n">
        <v>40752.68125</v>
      </c>
      <c r="C331" s="1" t="n">
        <v>2</v>
      </c>
      <c r="D331" s="1" t="n">
        <v>546.43</v>
      </c>
    </row>
    <row r="332" customFormat="false" ht="14.25" hidden="false" customHeight="true" outlineLevel="0" collapsed="false">
      <c r="A332" s="51" t="n">
        <v>12744</v>
      </c>
      <c r="B332" s="52" t="n">
        <v>40835.4708333333</v>
      </c>
      <c r="C332" s="1" t="n">
        <v>10</v>
      </c>
      <c r="D332" s="1" t="n">
        <v>9120.39</v>
      </c>
    </row>
    <row r="333" customFormat="false" ht="14.25" hidden="false" customHeight="true" outlineLevel="0" collapsed="false">
      <c r="A333" s="51" t="n">
        <v>12747</v>
      </c>
      <c r="B333" s="52" t="n">
        <v>40884.6069444444</v>
      </c>
      <c r="C333" s="1" t="n">
        <v>11</v>
      </c>
      <c r="D333" s="1" t="n">
        <v>4196.01</v>
      </c>
    </row>
    <row r="334" customFormat="false" ht="14.25" hidden="false" customHeight="true" outlineLevel="0" collapsed="false">
      <c r="A334" s="51" t="n">
        <v>12748</v>
      </c>
      <c r="B334" s="52" t="n">
        <v>40886.5138888889</v>
      </c>
      <c r="C334" s="1" t="n">
        <v>224</v>
      </c>
      <c r="D334" s="1" t="n">
        <v>29072.1000000003</v>
      </c>
    </row>
    <row r="335" customFormat="false" ht="14.25" hidden="false" customHeight="true" outlineLevel="0" collapsed="false">
      <c r="A335" s="51" t="n">
        <v>12749</v>
      </c>
      <c r="B335" s="52" t="n">
        <v>40883.4138888889</v>
      </c>
      <c r="C335" s="1" t="n">
        <v>8</v>
      </c>
      <c r="D335" s="1" t="n">
        <v>3868.2</v>
      </c>
    </row>
    <row r="336" customFormat="false" ht="14.25" hidden="false" customHeight="true" outlineLevel="0" collapsed="false">
      <c r="A336" s="51" t="n">
        <v>12750</v>
      </c>
      <c r="B336" s="52" t="n">
        <v>40758.3840277778</v>
      </c>
      <c r="C336" s="1" t="n">
        <v>1</v>
      </c>
      <c r="D336" s="1" t="n">
        <v>275.88</v>
      </c>
    </row>
    <row r="337" customFormat="false" ht="14.25" hidden="false" customHeight="true" outlineLevel="0" collapsed="false">
      <c r="A337" s="51" t="n">
        <v>12752</v>
      </c>
      <c r="B337" s="52" t="n">
        <v>40805.5638888889</v>
      </c>
      <c r="C337" s="1" t="n">
        <v>1</v>
      </c>
      <c r="D337" s="1" t="n">
        <v>4366.78</v>
      </c>
    </row>
    <row r="338" customFormat="false" ht="14.25" hidden="false" customHeight="true" outlineLevel="0" collapsed="false">
      <c r="A338" s="51" t="n">
        <v>12753</v>
      </c>
      <c r="B338" s="52" t="n">
        <v>40883.4861111111</v>
      </c>
      <c r="C338" s="1" t="n">
        <v>11</v>
      </c>
      <c r="D338" s="1" t="n">
        <v>21024.01</v>
      </c>
    </row>
    <row r="339" customFormat="false" ht="14.25" hidden="false" customHeight="true" outlineLevel="0" collapsed="false">
      <c r="A339" s="51" t="n">
        <v>12754</v>
      </c>
      <c r="B339" s="52" t="n">
        <v>40651.375</v>
      </c>
      <c r="C339" s="1" t="n">
        <v>5</v>
      </c>
      <c r="D339" s="1" t="n">
        <v>2949.12</v>
      </c>
    </row>
    <row r="340" customFormat="false" ht="14.25" hidden="false" customHeight="true" outlineLevel="0" collapsed="false">
      <c r="A340" s="51" t="n">
        <v>12755</v>
      </c>
      <c r="B340" s="52" t="n">
        <v>40637.425</v>
      </c>
      <c r="C340" s="1" t="n">
        <v>4</v>
      </c>
      <c r="D340" s="1" t="n">
        <v>2203.2</v>
      </c>
    </row>
    <row r="341" customFormat="false" ht="14.25" hidden="false" customHeight="true" outlineLevel="0" collapsed="false">
      <c r="A341" s="51" t="n">
        <v>12756</v>
      </c>
      <c r="B341" s="52" t="n">
        <v>40800.3965277778</v>
      </c>
      <c r="C341" s="1" t="n">
        <v>1</v>
      </c>
      <c r="D341" s="1" t="n">
        <v>112.08</v>
      </c>
    </row>
    <row r="342" customFormat="false" ht="14.25" hidden="false" customHeight="true" outlineLevel="0" collapsed="false">
      <c r="A342" s="51" t="n">
        <v>12757</v>
      </c>
      <c r="B342" s="52" t="n">
        <v>40871.5208333333</v>
      </c>
      <c r="C342" s="1" t="n">
        <v>19</v>
      </c>
      <c r="D342" s="1" t="n">
        <v>4227.7</v>
      </c>
    </row>
    <row r="343" customFormat="false" ht="14.25" hidden="false" customHeight="true" outlineLevel="0" collapsed="false">
      <c r="A343" s="51" t="n">
        <v>12758</v>
      </c>
      <c r="B343" s="52" t="n">
        <v>40770.4319444444</v>
      </c>
      <c r="C343" s="1" t="n">
        <v>2</v>
      </c>
      <c r="D343" s="1" t="n">
        <v>2791.59</v>
      </c>
    </row>
    <row r="344" customFormat="false" ht="14.25" hidden="false" customHeight="true" outlineLevel="0" collapsed="false">
      <c r="A344" s="51" t="n">
        <v>12759</v>
      </c>
      <c r="B344" s="52" t="n">
        <v>40834.6173611111</v>
      </c>
      <c r="C344" s="1" t="n">
        <v>3</v>
      </c>
      <c r="D344" s="1" t="n">
        <v>1531.44</v>
      </c>
    </row>
    <row r="345" customFormat="false" ht="14.25" hidden="false" customHeight="true" outlineLevel="0" collapsed="false">
      <c r="A345" s="51" t="n">
        <v>12762</v>
      </c>
      <c r="B345" s="52" t="n">
        <v>40879.4326388889</v>
      </c>
      <c r="C345" s="1" t="n">
        <v>2</v>
      </c>
      <c r="D345" s="1" t="n">
        <v>1898.52</v>
      </c>
    </row>
    <row r="346" customFormat="false" ht="14.25" hidden="false" customHeight="true" outlineLevel="0" collapsed="false">
      <c r="A346" s="51" t="n">
        <v>12763</v>
      </c>
      <c r="B346" s="52" t="n">
        <v>40748.5916666667</v>
      </c>
      <c r="C346" s="1" t="n">
        <v>2</v>
      </c>
      <c r="D346" s="1" t="n">
        <v>494.08</v>
      </c>
    </row>
    <row r="347" customFormat="false" ht="14.25" hidden="false" customHeight="true" outlineLevel="0" collapsed="false">
      <c r="A347" s="51" t="n">
        <v>12764</v>
      </c>
      <c r="B347" s="52" t="n">
        <v>40570.4298611111</v>
      </c>
      <c r="C347" s="1" t="n">
        <v>1</v>
      </c>
      <c r="D347" s="1" t="n">
        <v>1693.88</v>
      </c>
    </row>
    <row r="348" customFormat="false" ht="14.25" hidden="false" customHeight="true" outlineLevel="0" collapsed="false">
      <c r="A348" s="51" t="n">
        <v>12766</v>
      </c>
      <c r="B348" s="52" t="n">
        <v>40883.3652777778</v>
      </c>
      <c r="C348" s="1" t="n">
        <v>7</v>
      </c>
      <c r="D348" s="1" t="n">
        <v>6989.63</v>
      </c>
    </row>
    <row r="349" customFormat="false" ht="14.25" hidden="false" customHeight="true" outlineLevel="0" collapsed="false">
      <c r="A349" s="51" t="n">
        <v>12769</v>
      </c>
      <c r="B349" s="52" t="n">
        <v>40648.4340277778</v>
      </c>
      <c r="C349" s="1" t="n">
        <v>1</v>
      </c>
      <c r="D349" s="1" t="n">
        <v>1143.6</v>
      </c>
    </row>
    <row r="350" customFormat="false" ht="14.25" hidden="false" customHeight="true" outlineLevel="0" collapsed="false">
      <c r="A350" s="51" t="n">
        <v>12770</v>
      </c>
      <c r="B350" s="52" t="n">
        <v>40676.3979166667</v>
      </c>
      <c r="C350" s="1" t="n">
        <v>1</v>
      </c>
      <c r="D350" s="1" t="n">
        <v>1351.45</v>
      </c>
    </row>
    <row r="351" customFormat="false" ht="14.25" hidden="false" customHeight="true" outlineLevel="0" collapsed="false">
      <c r="A351" s="51" t="n">
        <v>12772</v>
      </c>
      <c r="B351" s="52" t="n">
        <v>40827.3881944444</v>
      </c>
      <c r="C351" s="1" t="n">
        <v>1</v>
      </c>
      <c r="D351" s="1" t="n">
        <v>892.47</v>
      </c>
    </row>
    <row r="352" customFormat="false" ht="14.25" hidden="false" customHeight="true" outlineLevel="0" collapsed="false">
      <c r="A352" s="51" t="n">
        <v>12775</v>
      </c>
      <c r="B352" s="52" t="n">
        <v>40869.6895833333</v>
      </c>
      <c r="C352" s="1" t="n">
        <v>6</v>
      </c>
      <c r="D352" s="1" t="n">
        <v>1351.24</v>
      </c>
    </row>
    <row r="353" customFormat="false" ht="14.25" hidden="false" customHeight="true" outlineLevel="0" collapsed="false">
      <c r="A353" s="51" t="n">
        <v>12778</v>
      </c>
      <c r="B353" s="52" t="n">
        <v>40867.4854166667</v>
      </c>
      <c r="C353" s="1" t="n">
        <v>7</v>
      </c>
      <c r="D353" s="1" t="n">
        <v>804.23</v>
      </c>
    </row>
    <row r="354" customFormat="false" ht="14.25" hidden="false" customHeight="true" outlineLevel="0" collapsed="false">
      <c r="A354" s="51" t="n">
        <v>12779</v>
      </c>
      <c r="B354" s="52" t="n">
        <v>40865.7152777778</v>
      </c>
      <c r="C354" s="1" t="n">
        <v>12</v>
      </c>
      <c r="D354" s="1" t="n">
        <v>3868.7</v>
      </c>
    </row>
    <row r="355" customFormat="false" ht="14.25" hidden="false" customHeight="true" outlineLevel="0" collapsed="false">
      <c r="A355" s="51" t="n">
        <v>12781</v>
      </c>
      <c r="B355" s="52" t="n">
        <v>40865.65625</v>
      </c>
      <c r="C355" s="1" t="n">
        <v>5</v>
      </c>
      <c r="D355" s="1" t="n">
        <v>707.72</v>
      </c>
    </row>
    <row r="356" customFormat="false" ht="14.25" hidden="false" customHeight="true" outlineLevel="0" collapsed="false">
      <c r="A356" s="51" t="n">
        <v>12782</v>
      </c>
      <c r="B356" s="52" t="n">
        <v>40882.3861111111</v>
      </c>
      <c r="C356" s="1" t="n">
        <v>6</v>
      </c>
      <c r="D356" s="1" t="n">
        <v>2273.32</v>
      </c>
    </row>
    <row r="357" customFormat="false" ht="14.25" hidden="false" customHeight="true" outlineLevel="0" collapsed="false">
      <c r="A357" s="51" t="n">
        <v>12783</v>
      </c>
      <c r="B357" s="52" t="n">
        <v>40884.6638888889</v>
      </c>
      <c r="C357" s="1" t="n">
        <v>8</v>
      </c>
      <c r="D357" s="1" t="n">
        <v>1603.87</v>
      </c>
    </row>
    <row r="358" customFormat="false" ht="14.25" hidden="false" customHeight="true" outlineLevel="0" collapsed="false">
      <c r="A358" s="51" t="n">
        <v>12784</v>
      </c>
      <c r="B358" s="52" t="n">
        <v>40877.6513888889</v>
      </c>
      <c r="C358" s="1" t="n">
        <v>2</v>
      </c>
      <c r="D358" s="1" t="n">
        <v>574.42</v>
      </c>
    </row>
    <row r="359" customFormat="false" ht="14.25" hidden="false" customHeight="true" outlineLevel="0" collapsed="false">
      <c r="A359" s="51" t="n">
        <v>12785</v>
      </c>
      <c r="B359" s="52" t="n">
        <v>40884.5319444445</v>
      </c>
      <c r="C359" s="1" t="n">
        <v>2</v>
      </c>
      <c r="D359" s="1" t="n">
        <v>305.71</v>
      </c>
    </row>
    <row r="360" customFormat="false" ht="14.25" hidden="false" customHeight="true" outlineLevel="0" collapsed="false">
      <c r="A360" s="51" t="n">
        <v>12787</v>
      </c>
      <c r="B360" s="52" t="n">
        <v>40877.3638888889</v>
      </c>
      <c r="C360" s="1" t="n">
        <v>3</v>
      </c>
      <c r="D360" s="1" t="n">
        <v>463.66</v>
      </c>
    </row>
    <row r="361" customFormat="false" ht="14.25" hidden="false" customHeight="true" outlineLevel="0" collapsed="false">
      <c r="A361" s="51" t="n">
        <v>12789</v>
      </c>
      <c r="B361" s="52" t="n">
        <v>40821.5652777778</v>
      </c>
      <c r="C361" s="1" t="n">
        <v>1</v>
      </c>
      <c r="D361" s="1" t="n">
        <v>91.85</v>
      </c>
    </row>
    <row r="362" customFormat="false" ht="14.25" hidden="false" customHeight="true" outlineLevel="0" collapsed="false">
      <c r="A362" s="51" t="n">
        <v>12790</v>
      </c>
      <c r="B362" s="52" t="n">
        <v>40694.5930555556</v>
      </c>
      <c r="C362" s="1" t="n">
        <v>1</v>
      </c>
      <c r="D362" s="1" t="n">
        <v>324.92</v>
      </c>
    </row>
    <row r="363" customFormat="false" ht="14.25" hidden="false" customHeight="true" outlineLevel="0" collapsed="false">
      <c r="A363" s="51" t="n">
        <v>12791</v>
      </c>
      <c r="B363" s="52" t="n">
        <v>40513.4770833333</v>
      </c>
      <c r="C363" s="1" t="n">
        <v>1</v>
      </c>
      <c r="D363" s="1" t="n">
        <v>192.6</v>
      </c>
    </row>
    <row r="364" customFormat="false" ht="14.25" hidden="false" customHeight="true" outlineLevel="0" collapsed="false">
      <c r="A364" s="51" t="n">
        <v>12792</v>
      </c>
      <c r="B364" s="52" t="n">
        <v>40630.4833333333</v>
      </c>
      <c r="C364" s="1" t="n">
        <v>1</v>
      </c>
      <c r="D364" s="1" t="n">
        <v>400.54</v>
      </c>
    </row>
    <row r="365" customFormat="false" ht="14.25" hidden="false" customHeight="true" outlineLevel="0" collapsed="false">
      <c r="A365" s="51" t="n">
        <v>12793</v>
      </c>
      <c r="B365" s="52" t="n">
        <v>40552.5083333333</v>
      </c>
      <c r="C365" s="1" t="n">
        <v>2</v>
      </c>
      <c r="D365" s="1" t="n">
        <v>545.48</v>
      </c>
    </row>
    <row r="366" customFormat="false" ht="14.25" hidden="false" customHeight="true" outlineLevel="0" collapsed="false">
      <c r="A366" s="51" t="n">
        <v>12794</v>
      </c>
      <c r="B366" s="52" t="n">
        <v>40833.6208333333</v>
      </c>
      <c r="C366" s="1" t="n">
        <v>2</v>
      </c>
      <c r="D366" s="1" t="n">
        <v>860.41</v>
      </c>
    </row>
    <row r="367" customFormat="false" ht="14.25" hidden="false" customHeight="true" outlineLevel="0" collapsed="false">
      <c r="A367" s="51" t="n">
        <v>12795</v>
      </c>
      <c r="B367" s="52" t="n">
        <v>40868.4354166667</v>
      </c>
      <c r="C367" s="1" t="n">
        <v>1</v>
      </c>
      <c r="D367" s="1" t="n">
        <v>430.48</v>
      </c>
    </row>
    <row r="368" customFormat="false" ht="14.25" hidden="false" customHeight="true" outlineLevel="0" collapsed="false">
      <c r="A368" s="51" t="n">
        <v>12797</v>
      </c>
      <c r="B368" s="52" t="n">
        <v>40526.6833333333</v>
      </c>
      <c r="C368" s="1" t="n">
        <v>3</v>
      </c>
      <c r="D368" s="1" t="n">
        <v>194.18</v>
      </c>
    </row>
    <row r="369" customFormat="false" ht="14.25" hidden="false" customHeight="true" outlineLevel="0" collapsed="false">
      <c r="A369" s="51" t="n">
        <v>12798</v>
      </c>
      <c r="B369" s="52" t="n">
        <v>40876.6611111111</v>
      </c>
      <c r="C369" s="1" t="n">
        <v>3</v>
      </c>
      <c r="D369" s="1" t="n">
        <v>6977.04</v>
      </c>
    </row>
    <row r="370" customFormat="false" ht="14.25" hidden="false" customHeight="true" outlineLevel="0" collapsed="false">
      <c r="A370" s="51" t="n">
        <v>12802</v>
      </c>
      <c r="B370" s="52" t="n">
        <v>40703.4055555556</v>
      </c>
      <c r="C370" s="1" t="n">
        <v>2</v>
      </c>
      <c r="D370" s="1" t="n">
        <v>412.58</v>
      </c>
    </row>
    <row r="371" customFormat="false" ht="14.25" hidden="false" customHeight="true" outlineLevel="0" collapsed="false">
      <c r="A371" s="51" t="n">
        <v>12808</v>
      </c>
      <c r="B371" s="52" t="n">
        <v>40850.4201388889</v>
      </c>
      <c r="C371" s="1" t="n">
        <v>3</v>
      </c>
      <c r="D371" s="1" t="n">
        <v>483.65</v>
      </c>
    </row>
    <row r="372" customFormat="false" ht="14.25" hidden="false" customHeight="true" outlineLevel="0" collapsed="false">
      <c r="A372" s="51" t="n">
        <v>12809</v>
      </c>
      <c r="B372" s="52" t="n">
        <v>40718.6354166667</v>
      </c>
      <c r="C372" s="1" t="n">
        <v>2</v>
      </c>
      <c r="D372" s="1" t="n">
        <v>484.36</v>
      </c>
    </row>
    <row r="373" customFormat="false" ht="14.25" hidden="false" customHeight="true" outlineLevel="0" collapsed="false">
      <c r="A373" s="51" t="n">
        <v>12811</v>
      </c>
      <c r="B373" s="52" t="n">
        <v>40626.4041666667</v>
      </c>
      <c r="C373" s="1" t="n">
        <v>3</v>
      </c>
      <c r="D373" s="1" t="n">
        <v>514.85</v>
      </c>
    </row>
    <row r="374" customFormat="false" ht="14.25" hidden="false" customHeight="true" outlineLevel="0" collapsed="false">
      <c r="A374" s="51" t="n">
        <v>12812</v>
      </c>
      <c r="B374" s="52" t="n">
        <v>40842.4125</v>
      </c>
      <c r="C374" s="1" t="n">
        <v>1</v>
      </c>
      <c r="D374" s="1" t="n">
        <v>229.64</v>
      </c>
    </row>
    <row r="375" customFormat="false" ht="14.25" hidden="false" customHeight="true" outlineLevel="0" collapsed="false">
      <c r="A375" s="51" t="n">
        <v>12814</v>
      </c>
      <c r="B375" s="52" t="n">
        <v>40785.5076388889</v>
      </c>
      <c r="C375" s="1" t="n">
        <v>1</v>
      </c>
      <c r="D375" s="1" t="n">
        <v>125.92</v>
      </c>
    </row>
    <row r="376" customFormat="false" ht="14.25" hidden="false" customHeight="true" outlineLevel="0" collapsed="false">
      <c r="A376" s="51" t="n">
        <v>12815</v>
      </c>
      <c r="B376" s="52" t="n">
        <v>40739.43125</v>
      </c>
      <c r="C376" s="1" t="n">
        <v>2</v>
      </c>
      <c r="D376" s="1" t="n">
        <v>1063.46</v>
      </c>
    </row>
    <row r="377" customFormat="false" ht="14.25" hidden="false" customHeight="true" outlineLevel="0" collapsed="false">
      <c r="A377" s="51" t="n">
        <v>12816</v>
      </c>
      <c r="B377" s="52" t="n">
        <v>40791.5284722222</v>
      </c>
      <c r="C377" s="1" t="n">
        <v>2</v>
      </c>
      <c r="D377" s="1" t="n">
        <v>572.2</v>
      </c>
    </row>
    <row r="378" customFormat="false" ht="14.25" hidden="false" customHeight="true" outlineLevel="0" collapsed="false">
      <c r="A378" s="51" t="n">
        <v>12817</v>
      </c>
      <c r="B378" s="52" t="n">
        <v>40605.6861111111</v>
      </c>
      <c r="C378" s="1" t="n">
        <v>1</v>
      </c>
      <c r="D378" s="1" t="n">
        <v>166.04</v>
      </c>
    </row>
    <row r="379" customFormat="false" ht="14.25" hidden="false" customHeight="true" outlineLevel="0" collapsed="false">
      <c r="A379" s="51" t="n">
        <v>12818</v>
      </c>
      <c r="B379" s="52" t="n">
        <v>40708.5791666667</v>
      </c>
      <c r="C379" s="1" t="n">
        <v>2</v>
      </c>
      <c r="D379" s="1" t="n">
        <v>1517.88</v>
      </c>
    </row>
    <row r="380" customFormat="false" ht="14.25" hidden="false" customHeight="true" outlineLevel="0" collapsed="false">
      <c r="A380" s="51" t="n">
        <v>12820</v>
      </c>
      <c r="B380" s="52" t="n">
        <v>40883.6333333333</v>
      </c>
      <c r="C380" s="1" t="n">
        <v>4</v>
      </c>
      <c r="D380" s="1" t="n">
        <v>942.34</v>
      </c>
    </row>
    <row r="381" customFormat="false" ht="14.25" hidden="false" customHeight="true" outlineLevel="0" collapsed="false">
      <c r="A381" s="51" t="n">
        <v>12821</v>
      </c>
      <c r="B381" s="52" t="n">
        <v>40672.6604166667</v>
      </c>
      <c r="C381" s="1" t="n">
        <v>1</v>
      </c>
      <c r="D381" s="1" t="n">
        <v>92.72</v>
      </c>
    </row>
    <row r="382" customFormat="false" ht="14.25" hidden="false" customHeight="true" outlineLevel="0" collapsed="false">
      <c r="A382" s="51" t="n">
        <v>12822</v>
      </c>
      <c r="B382" s="52" t="n">
        <v>40816.4194444444</v>
      </c>
      <c r="C382" s="1" t="n">
        <v>3</v>
      </c>
      <c r="D382" s="1" t="n">
        <v>918.98</v>
      </c>
    </row>
    <row r="383" customFormat="false" ht="14.25" hidden="false" customHeight="true" outlineLevel="0" collapsed="false">
      <c r="A383" s="51" t="n">
        <v>12823</v>
      </c>
      <c r="B383" s="52" t="n">
        <v>40812.3159722222</v>
      </c>
      <c r="C383" s="1" t="n">
        <v>5</v>
      </c>
      <c r="D383" s="1" t="n">
        <v>1759.5</v>
      </c>
    </row>
    <row r="384" customFormat="false" ht="14.25" hidden="false" customHeight="true" outlineLevel="0" collapsed="false">
      <c r="A384" s="51" t="n">
        <v>12824</v>
      </c>
      <c r="B384" s="52" t="n">
        <v>40827.5340277778</v>
      </c>
      <c r="C384" s="1" t="n">
        <v>1</v>
      </c>
      <c r="D384" s="1" t="n">
        <v>397.12</v>
      </c>
    </row>
    <row r="385" customFormat="false" ht="14.25" hidden="false" customHeight="true" outlineLevel="0" collapsed="false">
      <c r="A385" s="51" t="n">
        <v>12826</v>
      </c>
      <c r="B385" s="52" t="n">
        <v>40884.4340277778</v>
      </c>
      <c r="C385" s="1" t="n">
        <v>8</v>
      </c>
      <c r="D385" s="1" t="n">
        <v>1468.12</v>
      </c>
    </row>
    <row r="386" customFormat="false" ht="14.25" hidden="false" customHeight="true" outlineLevel="0" collapsed="false">
      <c r="A386" s="51" t="n">
        <v>12827</v>
      </c>
      <c r="B386" s="52" t="n">
        <v>40881.5118055556</v>
      </c>
      <c r="C386" s="1" t="n">
        <v>3</v>
      </c>
      <c r="D386" s="1" t="n">
        <v>430.15</v>
      </c>
    </row>
    <row r="387" customFormat="false" ht="14.25" hidden="false" customHeight="true" outlineLevel="0" collapsed="false">
      <c r="A387" s="51" t="n">
        <v>12828</v>
      </c>
      <c r="B387" s="52" t="n">
        <v>40884.3645833333</v>
      </c>
      <c r="C387" s="1" t="n">
        <v>6</v>
      </c>
      <c r="D387" s="1" t="n">
        <v>1018.71</v>
      </c>
    </row>
    <row r="388" customFormat="false" ht="14.25" hidden="false" customHeight="true" outlineLevel="0" collapsed="false">
      <c r="A388" s="51" t="n">
        <v>12829</v>
      </c>
      <c r="B388" s="52" t="n">
        <v>40564.5388888889</v>
      </c>
      <c r="C388" s="1" t="n">
        <v>3</v>
      </c>
      <c r="D388" s="1" t="n">
        <v>253.05</v>
      </c>
    </row>
    <row r="389" customFormat="false" ht="14.25" hidden="false" customHeight="true" outlineLevel="0" collapsed="false">
      <c r="A389" s="51" t="n">
        <v>12830</v>
      </c>
      <c r="B389" s="52" t="n">
        <v>40849.4958333333</v>
      </c>
      <c r="C389" s="1" t="n">
        <v>7</v>
      </c>
      <c r="D389" s="1" t="n">
        <v>6748.4</v>
      </c>
    </row>
    <row r="390" customFormat="false" ht="14.25" hidden="false" customHeight="true" outlineLevel="0" collapsed="false">
      <c r="A390" s="51" t="n">
        <v>12831</v>
      </c>
      <c r="B390" s="52" t="n">
        <v>40624.5430555556</v>
      </c>
      <c r="C390" s="1" t="n">
        <v>1</v>
      </c>
      <c r="D390" s="1" t="n">
        <v>215.05</v>
      </c>
    </row>
    <row r="391" customFormat="false" ht="14.25" hidden="false" customHeight="true" outlineLevel="0" collapsed="false">
      <c r="A391" s="51" t="n">
        <v>12832</v>
      </c>
      <c r="B391" s="52" t="n">
        <v>40854.5625</v>
      </c>
      <c r="C391" s="1" t="n">
        <v>2</v>
      </c>
      <c r="D391" s="1" t="n">
        <v>383.03</v>
      </c>
    </row>
    <row r="392" customFormat="false" ht="14.25" hidden="false" customHeight="true" outlineLevel="0" collapsed="false">
      <c r="A392" s="51" t="n">
        <v>12833</v>
      </c>
      <c r="B392" s="52" t="n">
        <v>40741.5736111111</v>
      </c>
      <c r="C392" s="1" t="n">
        <v>1</v>
      </c>
      <c r="D392" s="1" t="n">
        <v>417.38</v>
      </c>
    </row>
    <row r="393" customFormat="false" ht="14.25" hidden="false" customHeight="true" outlineLevel="0" collapsed="false">
      <c r="A393" s="51" t="n">
        <v>12834</v>
      </c>
      <c r="B393" s="52" t="n">
        <v>40604.4090277778</v>
      </c>
      <c r="C393" s="1" t="n">
        <v>1</v>
      </c>
      <c r="D393" s="1" t="n">
        <v>312.38</v>
      </c>
    </row>
    <row r="394" customFormat="false" ht="14.25" hidden="false" customHeight="true" outlineLevel="0" collapsed="false">
      <c r="A394" s="51" t="n">
        <v>12836</v>
      </c>
      <c r="B394" s="52" t="n">
        <v>40827.6319444445</v>
      </c>
      <c r="C394" s="1" t="n">
        <v>4</v>
      </c>
      <c r="D394" s="1" t="n">
        <v>2612.86</v>
      </c>
    </row>
    <row r="395" customFormat="false" ht="14.25" hidden="false" customHeight="true" outlineLevel="0" collapsed="false">
      <c r="A395" s="51" t="n">
        <v>12837</v>
      </c>
      <c r="B395" s="52" t="n">
        <v>40713.6715277778</v>
      </c>
      <c r="C395" s="1" t="n">
        <v>1</v>
      </c>
      <c r="D395" s="1" t="n">
        <v>134.1</v>
      </c>
    </row>
    <row r="396" customFormat="false" ht="14.25" hidden="false" customHeight="true" outlineLevel="0" collapsed="false">
      <c r="A396" s="51" t="n">
        <v>12838</v>
      </c>
      <c r="B396" s="52" t="n">
        <v>40853.5138888889</v>
      </c>
      <c r="C396" s="1" t="n">
        <v>2</v>
      </c>
      <c r="D396" s="1" t="n">
        <v>683.13</v>
      </c>
    </row>
    <row r="397" customFormat="false" ht="14.25" hidden="false" customHeight="true" outlineLevel="0" collapsed="false">
      <c r="A397" s="51" t="n">
        <v>12839</v>
      </c>
      <c r="B397" s="52" t="n">
        <v>40884.5229166667</v>
      </c>
      <c r="C397" s="1" t="n">
        <v>16</v>
      </c>
      <c r="D397" s="1" t="n">
        <v>5583.62</v>
      </c>
    </row>
    <row r="398" customFormat="false" ht="14.25" hidden="false" customHeight="true" outlineLevel="0" collapsed="false">
      <c r="A398" s="51" t="n">
        <v>12840</v>
      </c>
      <c r="B398" s="52" t="n">
        <v>40743.3951388889</v>
      </c>
      <c r="C398" s="1" t="n">
        <v>6</v>
      </c>
      <c r="D398" s="1" t="n">
        <v>2714.27</v>
      </c>
    </row>
    <row r="399" customFormat="false" ht="14.25" hidden="false" customHeight="true" outlineLevel="0" collapsed="false">
      <c r="A399" s="51" t="n">
        <v>12841</v>
      </c>
      <c r="B399" s="52" t="n">
        <v>40882.4673611111</v>
      </c>
      <c r="C399" s="1" t="n">
        <v>26</v>
      </c>
      <c r="D399" s="1" t="n">
        <v>3876.4</v>
      </c>
    </row>
    <row r="400" customFormat="false" ht="14.25" hidden="false" customHeight="true" outlineLevel="0" collapsed="false">
      <c r="A400" s="51" t="n">
        <v>12842</v>
      </c>
      <c r="B400" s="52" t="n">
        <v>40816.6479166667</v>
      </c>
      <c r="C400" s="1" t="n">
        <v>2</v>
      </c>
      <c r="D400" s="1" t="n">
        <v>1118.99</v>
      </c>
    </row>
    <row r="401" customFormat="false" ht="14.25" hidden="false" customHeight="true" outlineLevel="0" collapsed="false">
      <c r="A401" s="51" t="n">
        <v>12843</v>
      </c>
      <c r="B401" s="52" t="n">
        <v>40821.50625</v>
      </c>
      <c r="C401" s="1" t="n">
        <v>9</v>
      </c>
      <c r="D401" s="1" t="n">
        <v>1680.76</v>
      </c>
    </row>
    <row r="402" customFormat="false" ht="14.25" hidden="false" customHeight="true" outlineLevel="0" collapsed="false">
      <c r="A402" s="51" t="n">
        <v>12844</v>
      </c>
      <c r="B402" s="52" t="n">
        <v>40857.5631944445</v>
      </c>
      <c r="C402" s="1" t="n">
        <v>2</v>
      </c>
      <c r="D402" s="1" t="n">
        <v>325.96</v>
      </c>
    </row>
    <row r="403" customFormat="false" ht="14.25" hidden="false" customHeight="true" outlineLevel="0" collapsed="false">
      <c r="A403" s="51" t="n">
        <v>12845</v>
      </c>
      <c r="B403" s="52" t="n">
        <v>40619.5652777778</v>
      </c>
      <c r="C403" s="1" t="n">
        <v>4</v>
      </c>
      <c r="D403" s="1" t="n">
        <v>354.09</v>
      </c>
    </row>
    <row r="404" customFormat="false" ht="14.25" hidden="false" customHeight="true" outlineLevel="0" collapsed="false">
      <c r="A404" s="51" t="n">
        <v>12847</v>
      </c>
      <c r="B404" s="52" t="n">
        <v>40864.5527777778</v>
      </c>
      <c r="C404" s="1" t="n">
        <v>1</v>
      </c>
      <c r="D404" s="1" t="n">
        <v>871.54</v>
      </c>
    </row>
    <row r="405" customFormat="false" ht="14.25" hidden="false" customHeight="true" outlineLevel="0" collapsed="false">
      <c r="A405" s="51" t="n">
        <v>12849</v>
      </c>
      <c r="B405" s="52" t="n">
        <v>40855.5701388889</v>
      </c>
      <c r="C405" s="1" t="n">
        <v>2</v>
      </c>
      <c r="D405" s="1" t="n">
        <v>1050.89</v>
      </c>
    </row>
    <row r="406" customFormat="false" ht="14.25" hidden="false" customHeight="true" outlineLevel="0" collapsed="false">
      <c r="A406" s="51" t="n">
        <v>12851</v>
      </c>
      <c r="B406" s="52" t="n">
        <v>40790.5284722222</v>
      </c>
      <c r="C406" s="1" t="n">
        <v>1</v>
      </c>
      <c r="D406" s="1" t="n">
        <v>135.18</v>
      </c>
    </row>
    <row r="407" customFormat="false" ht="14.25" hidden="false" customHeight="true" outlineLevel="0" collapsed="false">
      <c r="A407" s="51" t="n">
        <v>12852</v>
      </c>
      <c r="B407" s="52" t="n">
        <v>40596.6222222222</v>
      </c>
      <c r="C407" s="1" t="n">
        <v>2</v>
      </c>
      <c r="D407" s="1" t="n">
        <v>299.75</v>
      </c>
    </row>
    <row r="408" customFormat="false" ht="14.25" hidden="false" customHeight="true" outlineLevel="0" collapsed="false">
      <c r="A408" s="51" t="n">
        <v>12853</v>
      </c>
      <c r="B408" s="52" t="n">
        <v>40779.4583333333</v>
      </c>
      <c r="C408" s="1" t="n">
        <v>9</v>
      </c>
      <c r="D408" s="1" t="n">
        <v>1881.7</v>
      </c>
    </row>
    <row r="409" customFormat="false" ht="14.25" hidden="false" customHeight="true" outlineLevel="0" collapsed="false">
      <c r="A409" s="51" t="n">
        <v>12854</v>
      </c>
      <c r="B409" s="52" t="n">
        <v>40808.5104166667</v>
      </c>
      <c r="C409" s="1" t="n">
        <v>5</v>
      </c>
      <c r="D409" s="1" t="n">
        <v>1289.15</v>
      </c>
    </row>
    <row r="410" customFormat="false" ht="14.25" hidden="false" customHeight="true" outlineLevel="0" collapsed="false">
      <c r="A410" s="51" t="n">
        <v>12855</v>
      </c>
      <c r="B410" s="52" t="n">
        <v>40514.4006944444</v>
      </c>
      <c r="C410" s="1" t="n">
        <v>1</v>
      </c>
      <c r="D410" s="1" t="n">
        <v>38.1</v>
      </c>
    </row>
    <row r="411" customFormat="false" ht="14.25" hidden="false" customHeight="true" outlineLevel="0" collapsed="false">
      <c r="A411" s="51" t="n">
        <v>12856</v>
      </c>
      <c r="B411" s="52" t="n">
        <v>40879.4527777778</v>
      </c>
      <c r="C411" s="1" t="n">
        <v>8</v>
      </c>
      <c r="D411" s="1" t="n">
        <v>2162.68</v>
      </c>
    </row>
    <row r="412" customFormat="false" ht="14.25" hidden="false" customHeight="true" outlineLevel="0" collapsed="false">
      <c r="A412" s="51" t="n">
        <v>12857</v>
      </c>
      <c r="B412" s="52" t="n">
        <v>40676.4305555556</v>
      </c>
      <c r="C412" s="1" t="n">
        <v>2</v>
      </c>
      <c r="D412" s="1" t="n">
        <v>1106.4</v>
      </c>
    </row>
    <row r="413" customFormat="false" ht="14.25" hidden="false" customHeight="true" outlineLevel="0" collapsed="false">
      <c r="A413" s="51" t="n">
        <v>12863</v>
      </c>
      <c r="B413" s="52" t="n">
        <v>40834.59375</v>
      </c>
      <c r="C413" s="1" t="n">
        <v>2</v>
      </c>
      <c r="D413" s="1" t="n">
        <v>504.2</v>
      </c>
    </row>
    <row r="414" customFormat="false" ht="14.25" hidden="false" customHeight="true" outlineLevel="0" collapsed="false">
      <c r="A414" s="51" t="n">
        <v>12864</v>
      </c>
      <c r="B414" s="52" t="n">
        <v>40748.54375</v>
      </c>
      <c r="C414" s="1" t="n">
        <v>1</v>
      </c>
      <c r="D414" s="1" t="n">
        <v>147.12</v>
      </c>
    </row>
    <row r="415" customFormat="false" ht="14.25" hidden="false" customHeight="true" outlineLevel="0" collapsed="false">
      <c r="A415" s="51" t="n">
        <v>12865</v>
      </c>
      <c r="B415" s="52" t="n">
        <v>40860.6048611111</v>
      </c>
      <c r="C415" s="1" t="n">
        <v>3</v>
      </c>
      <c r="D415" s="1" t="n">
        <v>1548.07</v>
      </c>
    </row>
    <row r="416" customFormat="false" ht="14.25" hidden="false" customHeight="true" outlineLevel="0" collapsed="false">
      <c r="A416" s="51" t="n">
        <v>12866</v>
      </c>
      <c r="B416" s="52" t="n">
        <v>40603.5909722222</v>
      </c>
      <c r="C416" s="1" t="n">
        <v>1</v>
      </c>
      <c r="D416" s="1" t="n">
        <v>559.12</v>
      </c>
    </row>
    <row r="417" customFormat="false" ht="14.25" hidden="false" customHeight="true" outlineLevel="0" collapsed="false">
      <c r="A417" s="51" t="n">
        <v>12867</v>
      </c>
      <c r="B417" s="52" t="n">
        <v>40860.6458333333</v>
      </c>
      <c r="C417" s="1" t="n">
        <v>10</v>
      </c>
      <c r="D417" s="1" t="n">
        <v>3986.22</v>
      </c>
    </row>
    <row r="418" customFormat="false" ht="14.25" hidden="false" customHeight="true" outlineLevel="0" collapsed="false">
      <c r="A418" s="51" t="n">
        <v>12868</v>
      </c>
      <c r="B418" s="52" t="n">
        <v>40701.4458333333</v>
      </c>
      <c r="C418" s="1" t="n">
        <v>6</v>
      </c>
      <c r="D418" s="1" t="n">
        <v>1607.06</v>
      </c>
    </row>
    <row r="419" customFormat="false" ht="14.25" hidden="false" customHeight="true" outlineLevel="0" collapsed="false">
      <c r="A419" s="51" t="n">
        <v>12870</v>
      </c>
      <c r="B419" s="52" t="n">
        <v>40520.6020833333</v>
      </c>
      <c r="C419" s="1" t="n">
        <v>1</v>
      </c>
      <c r="D419" s="1" t="n">
        <v>-14.9</v>
      </c>
    </row>
    <row r="420" customFormat="false" ht="14.25" hidden="false" customHeight="true" outlineLevel="0" collapsed="false">
      <c r="A420" s="51" t="n">
        <v>12871</v>
      </c>
      <c r="B420" s="52" t="n">
        <v>40802.6298611111</v>
      </c>
      <c r="C420" s="1" t="n">
        <v>2</v>
      </c>
      <c r="D420" s="1" t="n">
        <v>380.64</v>
      </c>
    </row>
    <row r="421" customFormat="false" ht="14.25" hidden="false" customHeight="true" outlineLevel="0" collapsed="false">
      <c r="A421" s="51" t="n">
        <v>12872</v>
      </c>
      <c r="B421" s="52" t="n">
        <v>40560.4527777778</v>
      </c>
      <c r="C421" s="1" t="n">
        <v>2</v>
      </c>
      <c r="D421" s="1" t="n">
        <v>599.97</v>
      </c>
    </row>
    <row r="422" customFormat="false" ht="14.25" hidden="false" customHeight="true" outlineLevel="0" collapsed="false">
      <c r="A422" s="51" t="n">
        <v>12873</v>
      </c>
      <c r="B422" s="52" t="n">
        <v>40604.6236111111</v>
      </c>
      <c r="C422" s="1" t="n">
        <v>1</v>
      </c>
      <c r="D422" s="1" t="n">
        <v>374</v>
      </c>
    </row>
    <row r="423" customFormat="false" ht="14.25" hidden="false" customHeight="true" outlineLevel="0" collapsed="false">
      <c r="A423" s="51" t="n">
        <v>12875</v>
      </c>
      <c r="B423" s="52" t="n">
        <v>40743.6458333333</v>
      </c>
      <c r="C423" s="1" t="n">
        <v>2</v>
      </c>
      <c r="D423" s="1" t="n">
        <v>343.23</v>
      </c>
    </row>
    <row r="424" customFormat="false" ht="14.25" hidden="false" customHeight="true" outlineLevel="0" collapsed="false">
      <c r="A424" s="51" t="n">
        <v>12876</v>
      </c>
      <c r="B424" s="52" t="n">
        <v>40829.5180555556</v>
      </c>
      <c r="C424" s="1" t="n">
        <v>2</v>
      </c>
      <c r="D424" s="1" t="n">
        <v>2218.02</v>
      </c>
    </row>
    <row r="425" customFormat="false" ht="14.25" hidden="false" customHeight="true" outlineLevel="0" collapsed="false">
      <c r="A425" s="51" t="n">
        <v>12877</v>
      </c>
      <c r="B425" s="52" t="n">
        <v>40883.4375</v>
      </c>
      <c r="C425" s="1" t="n">
        <v>12</v>
      </c>
      <c r="D425" s="1" t="n">
        <v>1535.77</v>
      </c>
    </row>
    <row r="426" customFormat="false" ht="14.25" hidden="false" customHeight="true" outlineLevel="0" collapsed="false">
      <c r="A426" s="51" t="n">
        <v>12878</v>
      </c>
      <c r="B426" s="52" t="n">
        <v>40868.6041666667</v>
      </c>
      <c r="C426" s="1" t="n">
        <v>3</v>
      </c>
      <c r="D426" s="1" t="n">
        <v>841.64</v>
      </c>
    </row>
    <row r="427" customFormat="false" ht="14.25" hidden="false" customHeight="true" outlineLevel="0" collapsed="false">
      <c r="A427" s="51" t="n">
        <v>12879</v>
      </c>
      <c r="B427" s="52" t="n">
        <v>40842.5166666667</v>
      </c>
      <c r="C427" s="1" t="n">
        <v>4</v>
      </c>
      <c r="D427" s="1" t="n">
        <v>552.57</v>
      </c>
    </row>
    <row r="428" customFormat="false" ht="14.25" hidden="false" customHeight="true" outlineLevel="0" collapsed="false">
      <c r="A428" s="51" t="n">
        <v>12881</v>
      </c>
      <c r="B428" s="52" t="n">
        <v>40611.4888888889</v>
      </c>
      <c r="C428" s="1" t="n">
        <v>1</v>
      </c>
      <c r="D428" s="1" t="n">
        <v>298</v>
      </c>
    </row>
    <row r="429" customFormat="false" ht="14.25" hidden="false" customHeight="true" outlineLevel="0" collapsed="false">
      <c r="A429" s="51" t="n">
        <v>12882</v>
      </c>
      <c r="B429" s="52" t="n">
        <v>40877.6791666667</v>
      </c>
      <c r="C429" s="1" t="n">
        <v>2</v>
      </c>
      <c r="D429" s="1" t="n">
        <v>1463.04</v>
      </c>
    </row>
    <row r="430" customFormat="false" ht="14.25" hidden="false" customHeight="true" outlineLevel="0" collapsed="false">
      <c r="A430" s="51" t="n">
        <v>12883</v>
      </c>
      <c r="B430" s="52" t="n">
        <v>40862.3972222222</v>
      </c>
      <c r="C430" s="1" t="n">
        <v>4</v>
      </c>
      <c r="D430" s="1" t="n">
        <v>703.47</v>
      </c>
    </row>
    <row r="431" customFormat="false" ht="14.25" hidden="false" customHeight="true" outlineLevel="0" collapsed="false">
      <c r="A431" s="51" t="n">
        <v>12884</v>
      </c>
      <c r="B431" s="52" t="n">
        <v>40798.5486111111</v>
      </c>
      <c r="C431" s="1" t="n">
        <v>1</v>
      </c>
      <c r="D431" s="1" t="n">
        <v>309.05</v>
      </c>
    </row>
    <row r="432" customFormat="false" ht="14.25" hidden="false" customHeight="true" outlineLevel="0" collapsed="false">
      <c r="A432" s="51" t="n">
        <v>12885</v>
      </c>
      <c r="B432" s="52" t="n">
        <v>40823.5694444445</v>
      </c>
      <c r="C432" s="1" t="n">
        <v>4</v>
      </c>
      <c r="D432" s="1" t="n">
        <v>1158.27</v>
      </c>
    </row>
    <row r="433" customFormat="false" ht="14.25" hidden="false" customHeight="true" outlineLevel="0" collapsed="false">
      <c r="A433" s="51" t="n">
        <v>12886</v>
      </c>
      <c r="B433" s="52" t="n">
        <v>40819.4229166667</v>
      </c>
      <c r="C433" s="1" t="n">
        <v>3</v>
      </c>
      <c r="D433" s="1" t="n">
        <v>1351.09</v>
      </c>
    </row>
    <row r="434" customFormat="false" ht="14.25" hidden="false" customHeight="true" outlineLevel="0" collapsed="false">
      <c r="A434" s="51" t="n">
        <v>12888</v>
      </c>
      <c r="B434" s="52" t="n">
        <v>40672.6680555556</v>
      </c>
      <c r="C434" s="1" t="n">
        <v>4</v>
      </c>
      <c r="D434" s="1" t="n">
        <v>313.77</v>
      </c>
    </row>
    <row r="435" customFormat="false" ht="14.25" hidden="false" customHeight="true" outlineLevel="0" collapsed="false">
      <c r="A435" s="51" t="n">
        <v>12890</v>
      </c>
      <c r="B435" s="52" t="n">
        <v>40862.7263888889</v>
      </c>
      <c r="C435" s="1" t="n">
        <v>1</v>
      </c>
      <c r="D435" s="1" t="n">
        <v>380.47</v>
      </c>
    </row>
    <row r="436" customFormat="false" ht="14.25" hidden="false" customHeight="true" outlineLevel="0" collapsed="false">
      <c r="A436" s="51" t="n">
        <v>12891</v>
      </c>
      <c r="B436" s="52" t="n">
        <v>40701.5215277778</v>
      </c>
      <c r="C436" s="1" t="n">
        <v>3</v>
      </c>
      <c r="D436" s="1" t="n">
        <v>331</v>
      </c>
    </row>
    <row r="437" customFormat="false" ht="14.25" hidden="false" customHeight="true" outlineLevel="0" collapsed="false">
      <c r="A437" s="51" t="n">
        <v>12893</v>
      </c>
      <c r="B437" s="52" t="n">
        <v>40856.5236111111</v>
      </c>
      <c r="C437" s="1" t="n">
        <v>1</v>
      </c>
      <c r="D437" s="1" t="n">
        <v>188.14</v>
      </c>
    </row>
    <row r="438" customFormat="false" ht="14.25" hidden="false" customHeight="true" outlineLevel="0" collapsed="false">
      <c r="A438" s="51" t="n">
        <v>12895</v>
      </c>
      <c r="B438" s="52" t="n">
        <v>40844.5770833333</v>
      </c>
      <c r="C438" s="1" t="n">
        <v>3</v>
      </c>
      <c r="D438" s="1" t="n">
        <v>347.3</v>
      </c>
    </row>
    <row r="439" customFormat="false" ht="14.25" hidden="false" customHeight="true" outlineLevel="0" collapsed="false">
      <c r="A439" s="51" t="n">
        <v>12897</v>
      </c>
      <c r="B439" s="52" t="n">
        <v>40682.5090277778</v>
      </c>
      <c r="C439" s="1" t="n">
        <v>2</v>
      </c>
      <c r="D439" s="1" t="n">
        <v>216.5</v>
      </c>
    </row>
    <row r="440" customFormat="false" ht="14.25" hidden="false" customHeight="true" outlineLevel="0" collapsed="false">
      <c r="A440" s="51" t="n">
        <v>12901</v>
      </c>
      <c r="B440" s="52" t="n">
        <v>40878.4215277778</v>
      </c>
      <c r="C440" s="1" t="n">
        <v>36</v>
      </c>
      <c r="D440" s="1" t="n">
        <v>16293.1</v>
      </c>
    </row>
    <row r="441" customFormat="false" ht="14.25" hidden="false" customHeight="true" outlineLevel="0" collapsed="false">
      <c r="A441" s="51" t="n">
        <v>12902</v>
      </c>
      <c r="B441" s="52" t="n">
        <v>40622.5041666667</v>
      </c>
      <c r="C441" s="1" t="n">
        <v>1</v>
      </c>
      <c r="D441" s="1" t="n">
        <v>138.68</v>
      </c>
    </row>
    <row r="442" customFormat="false" ht="14.25" hidden="false" customHeight="true" outlineLevel="0" collapsed="false">
      <c r="A442" s="51" t="n">
        <v>12904</v>
      </c>
      <c r="B442" s="52" t="n">
        <v>40868.6069444444</v>
      </c>
      <c r="C442" s="1" t="n">
        <v>2</v>
      </c>
      <c r="D442" s="1" t="n">
        <v>509.58</v>
      </c>
    </row>
    <row r="443" customFormat="false" ht="14.25" hidden="false" customHeight="true" outlineLevel="0" collapsed="false">
      <c r="A443" s="51" t="n">
        <v>12906</v>
      </c>
      <c r="B443" s="52" t="n">
        <v>40875.4131944445</v>
      </c>
      <c r="C443" s="1" t="n">
        <v>5</v>
      </c>
      <c r="D443" s="1" t="n">
        <v>2919.81</v>
      </c>
    </row>
    <row r="444" customFormat="false" ht="14.25" hidden="false" customHeight="true" outlineLevel="0" collapsed="false">
      <c r="A444" s="51" t="n">
        <v>12908</v>
      </c>
      <c r="B444" s="52" t="n">
        <v>40828.4243055556</v>
      </c>
      <c r="C444" s="1" t="n">
        <v>4</v>
      </c>
      <c r="D444" s="1" t="n">
        <v>246</v>
      </c>
    </row>
    <row r="445" customFormat="false" ht="14.25" hidden="false" customHeight="true" outlineLevel="0" collapsed="false">
      <c r="A445" s="51" t="n">
        <v>12909</v>
      </c>
      <c r="B445" s="52" t="n">
        <v>40847.5298611111</v>
      </c>
      <c r="C445" s="1" t="n">
        <v>8</v>
      </c>
      <c r="D445" s="1" t="n">
        <v>2128.83</v>
      </c>
    </row>
    <row r="446" customFormat="false" ht="14.25" hidden="false" customHeight="true" outlineLevel="0" collapsed="false">
      <c r="A446" s="51" t="n">
        <v>12910</v>
      </c>
      <c r="B446" s="52" t="n">
        <v>40863.6027777778</v>
      </c>
      <c r="C446" s="1" t="n">
        <v>8</v>
      </c>
      <c r="D446" s="1" t="n">
        <v>3075.04</v>
      </c>
    </row>
    <row r="447" customFormat="false" ht="14.25" hidden="false" customHeight="true" outlineLevel="0" collapsed="false">
      <c r="A447" s="51" t="n">
        <v>12912</v>
      </c>
      <c r="B447" s="52" t="n">
        <v>40884.3715277778</v>
      </c>
      <c r="C447" s="1" t="n">
        <v>5</v>
      </c>
      <c r="D447" s="1" t="n">
        <v>1662.3</v>
      </c>
    </row>
    <row r="448" customFormat="false" ht="14.25" hidden="false" customHeight="true" outlineLevel="0" collapsed="false">
      <c r="A448" s="51" t="n">
        <v>12913</v>
      </c>
      <c r="B448" s="52" t="n">
        <v>40882.5076388889</v>
      </c>
      <c r="C448" s="1" t="n">
        <v>5</v>
      </c>
      <c r="D448" s="1" t="n">
        <v>2483.63</v>
      </c>
    </row>
    <row r="449" customFormat="false" ht="14.25" hidden="false" customHeight="true" outlineLevel="0" collapsed="false">
      <c r="A449" s="51" t="n">
        <v>12915</v>
      </c>
      <c r="B449" s="52" t="n">
        <v>40738.4819444444</v>
      </c>
      <c r="C449" s="1" t="n">
        <v>2</v>
      </c>
      <c r="D449" s="1" t="n">
        <v>363.65</v>
      </c>
    </row>
    <row r="450" customFormat="false" ht="14.25" hidden="false" customHeight="true" outlineLevel="0" collapsed="false">
      <c r="A450" s="51" t="n">
        <v>12916</v>
      </c>
      <c r="B450" s="52" t="n">
        <v>40748.4409722222</v>
      </c>
      <c r="C450" s="1" t="n">
        <v>5</v>
      </c>
      <c r="D450" s="1" t="n">
        <v>2982.35</v>
      </c>
    </row>
    <row r="451" customFormat="false" ht="14.25" hidden="false" customHeight="true" outlineLevel="0" collapsed="false">
      <c r="A451" s="51" t="n">
        <v>12917</v>
      </c>
      <c r="B451" s="52" t="n">
        <v>40758.6958333333</v>
      </c>
      <c r="C451" s="1" t="n">
        <v>1</v>
      </c>
      <c r="D451" s="1" t="n">
        <v>594</v>
      </c>
    </row>
    <row r="452" customFormat="false" ht="14.25" hidden="false" customHeight="true" outlineLevel="0" collapsed="false">
      <c r="A452" s="51" t="n">
        <v>12919</v>
      </c>
      <c r="B452" s="52" t="n">
        <v>40878.5743055556</v>
      </c>
      <c r="C452" s="1" t="n">
        <v>8</v>
      </c>
      <c r="D452" s="1" t="n">
        <v>1301.44</v>
      </c>
    </row>
    <row r="453" customFormat="false" ht="14.25" hidden="false" customHeight="true" outlineLevel="0" collapsed="false">
      <c r="A453" s="51" t="n">
        <v>12920</v>
      </c>
      <c r="B453" s="52" t="n">
        <v>40869.6284722222</v>
      </c>
      <c r="C453" s="1" t="n">
        <v>1</v>
      </c>
      <c r="D453" s="1" t="n">
        <v>164.23</v>
      </c>
    </row>
    <row r="454" customFormat="false" ht="14.25" hidden="false" customHeight="true" outlineLevel="0" collapsed="false">
      <c r="A454" s="51" t="n">
        <v>12921</v>
      </c>
      <c r="B454" s="52" t="n">
        <v>40883.4138888889</v>
      </c>
      <c r="C454" s="1" t="n">
        <v>50</v>
      </c>
      <c r="D454" s="1" t="n">
        <v>16389.74</v>
      </c>
    </row>
    <row r="455" customFormat="false" ht="14.25" hidden="false" customHeight="true" outlineLevel="0" collapsed="false">
      <c r="A455" s="51" t="n">
        <v>12922</v>
      </c>
      <c r="B455" s="52" t="n">
        <v>40725.6493055556</v>
      </c>
      <c r="C455" s="1" t="n">
        <v>1</v>
      </c>
      <c r="D455" s="1" t="n">
        <v>405.38</v>
      </c>
    </row>
    <row r="456" customFormat="false" ht="14.25" hidden="false" customHeight="true" outlineLevel="0" collapsed="false">
      <c r="A456" s="51" t="n">
        <v>12923</v>
      </c>
      <c r="B456" s="52" t="n">
        <v>40822.6805555556</v>
      </c>
      <c r="C456" s="1" t="n">
        <v>1</v>
      </c>
      <c r="D456" s="1" t="n">
        <v>176.97</v>
      </c>
    </row>
    <row r="457" customFormat="false" ht="14.25" hidden="false" customHeight="true" outlineLevel="0" collapsed="false">
      <c r="A457" s="51" t="n">
        <v>12924</v>
      </c>
      <c r="B457" s="52" t="n">
        <v>40798.5798611111</v>
      </c>
      <c r="C457" s="1" t="n">
        <v>5</v>
      </c>
      <c r="D457" s="1" t="n">
        <v>929.95</v>
      </c>
    </row>
    <row r="458" customFormat="false" ht="14.25" hidden="false" customHeight="true" outlineLevel="0" collapsed="false">
      <c r="A458" s="51" t="n">
        <v>12925</v>
      </c>
      <c r="B458" s="52" t="n">
        <v>40882.4659722222</v>
      </c>
      <c r="C458" s="1" t="n">
        <v>2</v>
      </c>
      <c r="D458" s="1" t="n">
        <v>694.05</v>
      </c>
    </row>
    <row r="459" customFormat="false" ht="14.25" hidden="false" customHeight="true" outlineLevel="0" collapsed="false">
      <c r="A459" s="51" t="n">
        <v>12928</v>
      </c>
      <c r="B459" s="52" t="n">
        <v>40851.6</v>
      </c>
      <c r="C459" s="1" t="n">
        <v>5</v>
      </c>
      <c r="D459" s="1" t="n">
        <v>2062.7</v>
      </c>
    </row>
    <row r="460" customFormat="false" ht="14.25" hidden="false" customHeight="true" outlineLevel="0" collapsed="false">
      <c r="A460" s="51" t="n">
        <v>12929</v>
      </c>
      <c r="B460" s="52" t="n">
        <v>40764.6041666667</v>
      </c>
      <c r="C460" s="1" t="n">
        <v>2</v>
      </c>
      <c r="D460" s="1" t="n">
        <v>105.1</v>
      </c>
    </row>
    <row r="461" customFormat="false" ht="14.25" hidden="false" customHeight="true" outlineLevel="0" collapsed="false">
      <c r="A461" s="51" t="n">
        <v>12930</v>
      </c>
      <c r="B461" s="52" t="n">
        <v>40808.6375</v>
      </c>
      <c r="C461" s="1" t="n">
        <v>4</v>
      </c>
      <c r="D461" s="1" t="n">
        <v>409.9</v>
      </c>
    </row>
    <row r="462" customFormat="false" ht="14.25" hidden="false" customHeight="true" outlineLevel="0" collapsed="false">
      <c r="A462" s="51" t="n">
        <v>12931</v>
      </c>
      <c r="B462" s="52" t="n">
        <v>40865.5270833333</v>
      </c>
      <c r="C462" s="1" t="n">
        <v>20</v>
      </c>
      <c r="D462" s="1" t="n">
        <v>33462.81</v>
      </c>
    </row>
    <row r="463" customFormat="false" ht="14.25" hidden="false" customHeight="true" outlineLevel="0" collapsed="false">
      <c r="A463" s="51" t="n">
        <v>12933</v>
      </c>
      <c r="B463" s="52" t="n">
        <v>40862.6930555556</v>
      </c>
      <c r="C463" s="1" t="n">
        <v>4</v>
      </c>
      <c r="D463" s="1" t="n">
        <v>606.28</v>
      </c>
    </row>
    <row r="464" customFormat="false" ht="14.25" hidden="false" customHeight="true" outlineLevel="0" collapsed="false">
      <c r="A464" s="51" t="n">
        <v>12935</v>
      </c>
      <c r="B464" s="52" t="n">
        <v>40884.7256944445</v>
      </c>
      <c r="C464" s="1" t="n">
        <v>8</v>
      </c>
      <c r="D464" s="1" t="n">
        <v>2156.45</v>
      </c>
    </row>
    <row r="465" customFormat="false" ht="14.25" hidden="false" customHeight="true" outlineLevel="0" collapsed="false">
      <c r="A465" s="51" t="n">
        <v>12936</v>
      </c>
      <c r="B465" s="52" t="n">
        <v>40869.7305555556</v>
      </c>
      <c r="C465" s="1" t="n">
        <v>5</v>
      </c>
      <c r="D465" s="1" t="n">
        <v>1012.9</v>
      </c>
    </row>
    <row r="466" customFormat="false" ht="14.25" hidden="false" customHeight="true" outlineLevel="0" collapsed="false">
      <c r="A466" s="51" t="n">
        <v>12937</v>
      </c>
      <c r="B466" s="52" t="n">
        <v>40871.6284722222</v>
      </c>
      <c r="C466" s="1" t="n">
        <v>4</v>
      </c>
      <c r="D466" s="1" t="n">
        <v>1504.27</v>
      </c>
    </row>
    <row r="467" customFormat="false" ht="14.25" hidden="false" customHeight="true" outlineLevel="0" collapsed="false">
      <c r="A467" s="51" t="n">
        <v>12938</v>
      </c>
      <c r="B467" s="52" t="n">
        <v>40861.4729166667</v>
      </c>
      <c r="C467" s="1" t="n">
        <v>1</v>
      </c>
      <c r="D467" s="1" t="n">
        <v>114.14</v>
      </c>
    </row>
    <row r="468" customFormat="false" ht="14.25" hidden="false" customHeight="true" outlineLevel="0" collapsed="false">
      <c r="A468" s="51" t="n">
        <v>12939</v>
      </c>
      <c r="B468" s="52" t="n">
        <v>40822.60625</v>
      </c>
      <c r="C468" s="1" t="n">
        <v>8</v>
      </c>
      <c r="D468" s="1" t="n">
        <v>11581.8</v>
      </c>
    </row>
    <row r="469" customFormat="false" ht="14.25" hidden="false" customHeight="true" outlineLevel="0" collapsed="false">
      <c r="A469" s="51" t="n">
        <v>12940</v>
      </c>
      <c r="B469" s="52" t="n">
        <v>40840.5861111111</v>
      </c>
      <c r="C469" s="1" t="n">
        <v>4</v>
      </c>
      <c r="D469" s="1" t="n">
        <v>876.29</v>
      </c>
    </row>
    <row r="470" customFormat="false" ht="14.25" hidden="false" customHeight="true" outlineLevel="0" collapsed="false">
      <c r="A470" s="51" t="n">
        <v>12942</v>
      </c>
      <c r="B470" s="52" t="n">
        <v>40755.6104166667</v>
      </c>
      <c r="C470" s="1" t="n">
        <v>3</v>
      </c>
      <c r="D470" s="1" t="n">
        <v>683.9</v>
      </c>
    </row>
    <row r="471" customFormat="false" ht="14.25" hidden="false" customHeight="true" outlineLevel="0" collapsed="false">
      <c r="A471" s="51" t="n">
        <v>12943</v>
      </c>
      <c r="B471" s="52" t="n">
        <v>40585.6340277778</v>
      </c>
      <c r="C471" s="1" t="n">
        <v>1</v>
      </c>
      <c r="D471" s="1" t="n">
        <v>-3.75</v>
      </c>
    </row>
    <row r="472" customFormat="false" ht="14.25" hidden="false" customHeight="true" outlineLevel="0" collapsed="false">
      <c r="A472" s="51" t="n">
        <v>12944</v>
      </c>
      <c r="B472" s="52" t="n">
        <v>40851.4611111111</v>
      </c>
      <c r="C472" s="1" t="n">
        <v>2</v>
      </c>
      <c r="D472" s="1" t="n">
        <v>604.51</v>
      </c>
    </row>
    <row r="473" customFormat="false" ht="14.25" hidden="false" customHeight="true" outlineLevel="0" collapsed="false">
      <c r="A473" s="51" t="n">
        <v>12945</v>
      </c>
      <c r="B473" s="52" t="n">
        <v>40598.59375</v>
      </c>
      <c r="C473" s="1" t="n">
        <v>1</v>
      </c>
      <c r="D473" s="1" t="n">
        <v>462.95</v>
      </c>
    </row>
    <row r="474" customFormat="false" ht="14.25" hidden="false" customHeight="true" outlineLevel="0" collapsed="false">
      <c r="A474" s="51" t="n">
        <v>12947</v>
      </c>
      <c r="B474" s="52" t="n">
        <v>40743.4208333333</v>
      </c>
      <c r="C474" s="1" t="n">
        <v>11</v>
      </c>
      <c r="D474" s="1" t="n">
        <v>1407.29</v>
      </c>
    </row>
    <row r="475" customFormat="false" ht="14.25" hidden="false" customHeight="true" outlineLevel="0" collapsed="false">
      <c r="A475" s="51" t="n">
        <v>12948</v>
      </c>
      <c r="B475" s="52" t="n">
        <v>40870.7152777778</v>
      </c>
      <c r="C475" s="1" t="n">
        <v>8</v>
      </c>
      <c r="D475" s="1" t="n">
        <v>2053.7</v>
      </c>
    </row>
    <row r="476" customFormat="false" ht="14.25" hidden="false" customHeight="true" outlineLevel="0" collapsed="false">
      <c r="A476" s="51" t="n">
        <v>12949</v>
      </c>
      <c r="B476" s="52" t="n">
        <v>40856.4756944445</v>
      </c>
      <c r="C476" s="1" t="n">
        <v>10</v>
      </c>
      <c r="D476" s="1" t="n">
        <v>4143.02</v>
      </c>
    </row>
    <row r="477" customFormat="false" ht="14.25" hidden="false" customHeight="true" outlineLevel="0" collapsed="false">
      <c r="A477" s="51" t="n">
        <v>12950</v>
      </c>
      <c r="B477" s="52" t="n">
        <v>40884.5534722222</v>
      </c>
      <c r="C477" s="1" t="n">
        <v>3</v>
      </c>
      <c r="D477" s="1" t="n">
        <v>1843</v>
      </c>
    </row>
    <row r="478" customFormat="false" ht="14.25" hidden="false" customHeight="true" outlineLevel="0" collapsed="false">
      <c r="A478" s="51" t="n">
        <v>12951</v>
      </c>
      <c r="B478" s="52" t="n">
        <v>40878.5097222222</v>
      </c>
      <c r="C478" s="1" t="n">
        <v>8</v>
      </c>
      <c r="D478" s="1" t="n">
        <v>1042.07</v>
      </c>
    </row>
    <row r="479" customFormat="false" ht="14.25" hidden="false" customHeight="true" outlineLevel="0" collapsed="false">
      <c r="A479" s="51" t="n">
        <v>12952</v>
      </c>
      <c r="B479" s="52" t="n">
        <v>40881.4409722222</v>
      </c>
      <c r="C479" s="1" t="n">
        <v>5</v>
      </c>
      <c r="D479" s="1" t="n">
        <v>1382.84</v>
      </c>
    </row>
    <row r="480" customFormat="false" ht="14.25" hidden="false" customHeight="true" outlineLevel="0" collapsed="false">
      <c r="A480" s="51" t="n">
        <v>12953</v>
      </c>
      <c r="B480" s="52" t="n">
        <v>40877.3916666667</v>
      </c>
      <c r="C480" s="1" t="n">
        <v>1</v>
      </c>
      <c r="D480" s="1" t="n">
        <v>329.85</v>
      </c>
    </row>
    <row r="481" customFormat="false" ht="14.25" hidden="false" customHeight="true" outlineLevel="0" collapsed="false">
      <c r="A481" s="51" t="n">
        <v>12955</v>
      </c>
      <c r="B481" s="52" t="n">
        <v>40885.6868055556</v>
      </c>
      <c r="C481" s="1" t="n">
        <v>14</v>
      </c>
      <c r="D481" s="1" t="n">
        <v>4734.26</v>
      </c>
    </row>
    <row r="482" customFormat="false" ht="14.25" hidden="false" customHeight="true" outlineLevel="0" collapsed="false">
      <c r="A482" s="51" t="n">
        <v>12956</v>
      </c>
      <c r="B482" s="52" t="n">
        <v>40580.6722222222</v>
      </c>
      <c r="C482" s="1" t="n">
        <v>1</v>
      </c>
      <c r="D482" s="1" t="n">
        <v>108.07</v>
      </c>
    </row>
    <row r="483" customFormat="false" ht="14.25" hidden="false" customHeight="true" outlineLevel="0" collapsed="false">
      <c r="A483" s="51" t="n">
        <v>12957</v>
      </c>
      <c r="B483" s="52" t="n">
        <v>40882.6888888889</v>
      </c>
      <c r="C483" s="1" t="n">
        <v>12</v>
      </c>
      <c r="D483" s="1" t="n">
        <v>3979.04</v>
      </c>
    </row>
    <row r="484" customFormat="false" ht="14.25" hidden="false" customHeight="true" outlineLevel="0" collapsed="false">
      <c r="A484" s="51" t="n">
        <v>12962</v>
      </c>
      <c r="B484" s="52" t="n">
        <v>40879.6631944445</v>
      </c>
      <c r="C484" s="1" t="n">
        <v>2</v>
      </c>
      <c r="D484" s="1" t="n">
        <v>266.39</v>
      </c>
    </row>
    <row r="485" customFormat="false" ht="14.25" hidden="false" customHeight="true" outlineLevel="0" collapsed="false">
      <c r="A485" s="51" t="n">
        <v>12963</v>
      </c>
      <c r="B485" s="52" t="n">
        <v>40878.5381944445</v>
      </c>
      <c r="C485" s="1" t="n">
        <v>9</v>
      </c>
      <c r="D485" s="1" t="n">
        <v>1841.03</v>
      </c>
    </row>
    <row r="486" customFormat="false" ht="14.25" hidden="false" customHeight="true" outlineLevel="0" collapsed="false">
      <c r="A486" s="51" t="n">
        <v>12965</v>
      </c>
      <c r="B486" s="52" t="n">
        <v>40797.6465277778</v>
      </c>
      <c r="C486" s="1" t="n">
        <v>1</v>
      </c>
      <c r="D486" s="1" t="n">
        <v>771.91</v>
      </c>
    </row>
    <row r="487" customFormat="false" ht="14.25" hidden="false" customHeight="true" outlineLevel="0" collapsed="false">
      <c r="A487" s="51" t="n">
        <v>12966</v>
      </c>
      <c r="B487" s="52" t="n">
        <v>40877.5263888889</v>
      </c>
      <c r="C487" s="1" t="n">
        <v>1</v>
      </c>
      <c r="D487" s="1" t="n">
        <v>160.18</v>
      </c>
    </row>
    <row r="488" customFormat="false" ht="14.25" hidden="false" customHeight="true" outlineLevel="0" collapsed="false">
      <c r="A488" s="51" t="n">
        <v>12967</v>
      </c>
      <c r="B488" s="52" t="n">
        <v>40883.5965277778</v>
      </c>
      <c r="C488" s="1" t="n">
        <v>4</v>
      </c>
      <c r="D488" s="1" t="n">
        <v>1194.75</v>
      </c>
    </row>
    <row r="489" customFormat="false" ht="14.25" hidden="false" customHeight="true" outlineLevel="0" collapsed="false">
      <c r="A489" s="51" t="n">
        <v>12968</v>
      </c>
      <c r="B489" s="52" t="n">
        <v>40774.6555555556</v>
      </c>
      <c r="C489" s="1" t="n">
        <v>1</v>
      </c>
      <c r="D489" s="1" t="n">
        <v>135.95</v>
      </c>
    </row>
    <row r="490" customFormat="false" ht="14.25" hidden="false" customHeight="true" outlineLevel="0" collapsed="false">
      <c r="A490" s="51" t="n">
        <v>12970</v>
      </c>
      <c r="B490" s="52" t="n">
        <v>40879.6041666667</v>
      </c>
      <c r="C490" s="1" t="n">
        <v>4</v>
      </c>
      <c r="D490" s="1" t="n">
        <v>452.24</v>
      </c>
    </row>
    <row r="491" customFormat="false" ht="14.25" hidden="false" customHeight="true" outlineLevel="0" collapsed="false">
      <c r="A491" s="51" t="n">
        <v>12971</v>
      </c>
      <c r="B491" s="52" t="n">
        <v>40883.5138888889</v>
      </c>
      <c r="C491" s="1" t="n">
        <v>89</v>
      </c>
      <c r="D491" s="1" t="n">
        <v>10930.26</v>
      </c>
    </row>
    <row r="492" customFormat="false" ht="14.25" hidden="false" customHeight="true" outlineLevel="0" collapsed="false">
      <c r="A492" s="51" t="n">
        <v>12974</v>
      </c>
      <c r="B492" s="52" t="n">
        <v>40689.3979166667</v>
      </c>
      <c r="C492" s="1" t="n">
        <v>1</v>
      </c>
      <c r="D492" s="1" t="n">
        <v>144.8</v>
      </c>
    </row>
    <row r="493" customFormat="false" ht="14.25" hidden="false" customHeight="true" outlineLevel="0" collapsed="false">
      <c r="A493" s="51" t="n">
        <v>12976</v>
      </c>
      <c r="B493" s="52" t="n">
        <v>40675.4131944445</v>
      </c>
      <c r="C493" s="1" t="n">
        <v>1</v>
      </c>
      <c r="D493" s="1" t="n">
        <v>738.6</v>
      </c>
    </row>
    <row r="494" customFormat="false" ht="14.25" hidden="false" customHeight="true" outlineLevel="0" collapsed="false">
      <c r="A494" s="51" t="n">
        <v>12977</v>
      </c>
      <c r="B494" s="52" t="n">
        <v>40730.6944444445</v>
      </c>
      <c r="C494" s="1" t="n">
        <v>1</v>
      </c>
      <c r="D494" s="1" t="n">
        <v>39.24</v>
      </c>
    </row>
    <row r="495" customFormat="false" ht="14.25" hidden="false" customHeight="true" outlineLevel="0" collapsed="false">
      <c r="A495" s="51" t="n">
        <v>12980</v>
      </c>
      <c r="B495" s="52" t="n">
        <v>40731.4875</v>
      </c>
      <c r="C495" s="1" t="n">
        <v>12</v>
      </c>
      <c r="D495" s="1" t="n">
        <v>7092.06</v>
      </c>
    </row>
    <row r="496" customFormat="false" ht="14.25" hidden="false" customHeight="true" outlineLevel="0" collapsed="false">
      <c r="A496" s="51" t="n">
        <v>12981</v>
      </c>
      <c r="B496" s="52" t="n">
        <v>40857.5</v>
      </c>
      <c r="C496" s="1" t="n">
        <v>2</v>
      </c>
      <c r="D496" s="1" t="n">
        <v>372.22</v>
      </c>
    </row>
    <row r="497" customFormat="false" ht="14.25" hidden="false" customHeight="true" outlineLevel="0" collapsed="false">
      <c r="A497" s="51" t="n">
        <v>12982</v>
      </c>
      <c r="B497" s="52" t="n">
        <v>40647.4506944444</v>
      </c>
      <c r="C497" s="1" t="n">
        <v>2</v>
      </c>
      <c r="D497" s="1" t="n">
        <v>377.2</v>
      </c>
    </row>
    <row r="498" customFormat="false" ht="14.25" hidden="false" customHeight="true" outlineLevel="0" collapsed="false">
      <c r="A498" s="51" t="n">
        <v>12984</v>
      </c>
      <c r="B498" s="52" t="n">
        <v>40868.5256944444</v>
      </c>
      <c r="C498" s="1" t="n">
        <v>1</v>
      </c>
      <c r="D498" s="1" t="n">
        <v>97.5</v>
      </c>
    </row>
    <row r="499" customFormat="false" ht="14.25" hidden="false" customHeight="true" outlineLevel="0" collapsed="false">
      <c r="A499" s="51" t="n">
        <v>12985</v>
      </c>
      <c r="B499" s="52" t="n">
        <v>40886.4486111111</v>
      </c>
      <c r="C499" s="1" t="n">
        <v>3</v>
      </c>
      <c r="D499" s="1" t="n">
        <v>1215.62</v>
      </c>
    </row>
    <row r="500" customFormat="false" ht="14.25" hidden="false" customHeight="true" outlineLevel="0" collapsed="false">
      <c r="A500" s="51" t="n">
        <v>12987</v>
      </c>
      <c r="B500" s="52" t="n">
        <v>40813.5020833333</v>
      </c>
      <c r="C500" s="1" t="n">
        <v>3</v>
      </c>
      <c r="D500" s="1" t="n">
        <v>545</v>
      </c>
    </row>
    <row r="501" customFormat="false" ht="14.25" hidden="false" customHeight="true" outlineLevel="0" collapsed="false">
      <c r="A501" s="51" t="n">
        <v>12988</v>
      </c>
      <c r="B501" s="52" t="n">
        <v>40594.6048611111</v>
      </c>
      <c r="C501" s="1" t="n">
        <v>1</v>
      </c>
      <c r="D501" s="1" t="n">
        <v>535.32</v>
      </c>
    </row>
    <row r="502" customFormat="false" ht="14.25" hidden="false" customHeight="true" outlineLevel="0" collapsed="false">
      <c r="A502" s="51" t="n">
        <v>12989</v>
      </c>
      <c r="B502" s="52" t="n">
        <v>40883.6444444444</v>
      </c>
      <c r="C502" s="1" t="n">
        <v>19</v>
      </c>
      <c r="D502" s="1" t="n">
        <v>6854.51</v>
      </c>
    </row>
    <row r="503" customFormat="false" ht="14.25" hidden="false" customHeight="true" outlineLevel="0" collapsed="false">
      <c r="A503" s="51" t="n">
        <v>12990</v>
      </c>
      <c r="B503" s="52" t="n">
        <v>40855.5423611111</v>
      </c>
      <c r="C503" s="1" t="n">
        <v>3</v>
      </c>
      <c r="D503" s="1" t="n">
        <v>409.5</v>
      </c>
    </row>
    <row r="504" customFormat="false" ht="14.25" hidden="false" customHeight="true" outlineLevel="0" collapsed="false">
      <c r="A504" s="51" t="n">
        <v>12991</v>
      </c>
      <c r="B504" s="52" t="n">
        <v>40863.6486111111</v>
      </c>
      <c r="C504" s="1" t="n">
        <v>2</v>
      </c>
      <c r="D504" s="1" t="n">
        <v>503.76</v>
      </c>
    </row>
    <row r="505" customFormat="false" ht="14.25" hidden="false" customHeight="true" outlineLevel="0" collapsed="false">
      <c r="A505" s="51" t="n">
        <v>12993</v>
      </c>
      <c r="B505" s="52" t="n">
        <v>40863.6590277778</v>
      </c>
      <c r="C505" s="1" t="n">
        <v>4</v>
      </c>
      <c r="D505" s="1" t="n">
        <v>414.76</v>
      </c>
    </row>
    <row r="506" customFormat="false" ht="14.25" hidden="false" customHeight="true" outlineLevel="0" collapsed="false">
      <c r="A506" s="51" t="n">
        <v>12994</v>
      </c>
      <c r="B506" s="52" t="n">
        <v>40882.6548611111</v>
      </c>
      <c r="C506" s="1" t="n">
        <v>5</v>
      </c>
      <c r="D506" s="1" t="n">
        <v>902.22</v>
      </c>
    </row>
    <row r="507" customFormat="false" ht="14.25" hidden="false" customHeight="true" outlineLevel="0" collapsed="false">
      <c r="A507" s="51" t="n">
        <v>12995</v>
      </c>
      <c r="B507" s="52" t="n">
        <v>40809.3888888889</v>
      </c>
      <c r="C507" s="1" t="n">
        <v>2</v>
      </c>
      <c r="D507" s="1" t="n">
        <v>200.72</v>
      </c>
    </row>
    <row r="508" customFormat="false" ht="14.25" hidden="false" customHeight="true" outlineLevel="0" collapsed="false">
      <c r="A508" s="51" t="n">
        <v>12997</v>
      </c>
      <c r="B508" s="52" t="n">
        <v>40864.6576388889</v>
      </c>
      <c r="C508" s="1" t="n">
        <v>7</v>
      </c>
      <c r="D508" s="1" t="n">
        <v>1197.94</v>
      </c>
    </row>
    <row r="509" customFormat="false" ht="14.25" hidden="false" customHeight="true" outlineLevel="0" collapsed="false">
      <c r="A509" s="51" t="n">
        <v>12999</v>
      </c>
      <c r="B509" s="52" t="n">
        <v>40690.5583333333</v>
      </c>
      <c r="C509" s="1" t="n">
        <v>3</v>
      </c>
      <c r="D509" s="1" t="n">
        <v>455.88</v>
      </c>
    </row>
    <row r="510" customFormat="false" ht="14.25" hidden="false" customHeight="true" outlineLevel="0" collapsed="false">
      <c r="A510" s="51" t="n">
        <v>13000</v>
      </c>
      <c r="B510" s="52" t="n">
        <v>40780.4465277778</v>
      </c>
      <c r="C510" s="1" t="n">
        <v>3</v>
      </c>
      <c r="D510" s="1" t="n">
        <v>534.85</v>
      </c>
    </row>
    <row r="511" customFormat="false" ht="14.25" hidden="false" customHeight="true" outlineLevel="0" collapsed="false">
      <c r="A511" s="51" t="n">
        <v>13001</v>
      </c>
      <c r="B511" s="52" t="n">
        <v>40882.61875</v>
      </c>
      <c r="C511" s="1" t="n">
        <v>15</v>
      </c>
      <c r="D511" s="1" t="n">
        <v>9797.92000000001</v>
      </c>
    </row>
    <row r="512" customFormat="false" ht="14.25" hidden="false" customHeight="true" outlineLevel="0" collapsed="false">
      <c r="A512" s="51" t="n">
        <v>13002</v>
      </c>
      <c r="B512" s="52" t="n">
        <v>40568.6375</v>
      </c>
      <c r="C512" s="1" t="n">
        <v>1</v>
      </c>
      <c r="D512" s="1" t="n">
        <v>120.95</v>
      </c>
    </row>
    <row r="513" customFormat="false" ht="14.25" hidden="false" customHeight="true" outlineLevel="0" collapsed="false">
      <c r="A513" s="51" t="n">
        <v>13003</v>
      </c>
      <c r="B513" s="52" t="n">
        <v>40781.4513888889</v>
      </c>
      <c r="C513" s="1" t="n">
        <v>3</v>
      </c>
      <c r="D513" s="1" t="n">
        <v>149.05</v>
      </c>
    </row>
    <row r="514" customFormat="false" ht="14.25" hidden="false" customHeight="true" outlineLevel="0" collapsed="false">
      <c r="A514" s="51" t="n">
        <v>13004</v>
      </c>
      <c r="B514" s="52" t="n">
        <v>40875.4770833333</v>
      </c>
      <c r="C514" s="1" t="n">
        <v>22</v>
      </c>
      <c r="D514" s="1" t="n">
        <v>5613.43</v>
      </c>
    </row>
    <row r="515" customFormat="false" ht="14.25" hidden="false" customHeight="true" outlineLevel="0" collapsed="false">
      <c r="A515" s="51" t="n">
        <v>13005</v>
      </c>
      <c r="B515" s="52" t="n">
        <v>40713.4534722222</v>
      </c>
      <c r="C515" s="1" t="n">
        <v>3</v>
      </c>
      <c r="D515" s="1" t="n">
        <v>468.95</v>
      </c>
    </row>
    <row r="516" customFormat="false" ht="14.25" hidden="false" customHeight="true" outlineLevel="0" collapsed="false">
      <c r="A516" s="51" t="n">
        <v>13006</v>
      </c>
      <c r="B516" s="52" t="n">
        <v>40830.5756944444</v>
      </c>
      <c r="C516" s="1" t="n">
        <v>1</v>
      </c>
      <c r="D516" s="1" t="n">
        <v>81.57</v>
      </c>
    </row>
    <row r="517" customFormat="false" ht="14.25" hidden="false" customHeight="true" outlineLevel="0" collapsed="false">
      <c r="A517" s="51" t="n">
        <v>13008</v>
      </c>
      <c r="B517" s="52" t="n">
        <v>40563.6</v>
      </c>
      <c r="C517" s="1" t="n">
        <v>2</v>
      </c>
      <c r="D517" s="1" t="n">
        <v>178.47</v>
      </c>
    </row>
    <row r="518" customFormat="false" ht="14.25" hidden="false" customHeight="true" outlineLevel="0" collapsed="false">
      <c r="A518" s="51" t="n">
        <v>13011</v>
      </c>
      <c r="B518" s="52" t="n">
        <v>40514.7236111111</v>
      </c>
      <c r="C518" s="1" t="n">
        <v>1</v>
      </c>
      <c r="D518" s="1" t="n">
        <v>50.55</v>
      </c>
    </row>
    <row r="519" customFormat="false" ht="14.25" hidden="false" customHeight="true" outlineLevel="0" collapsed="false">
      <c r="A519" s="51" t="n">
        <v>13012</v>
      </c>
      <c r="B519" s="52" t="n">
        <v>40877.5451388889</v>
      </c>
      <c r="C519" s="1" t="n">
        <v>11</v>
      </c>
      <c r="D519" s="1" t="n">
        <v>1311.62</v>
      </c>
    </row>
    <row r="520" customFormat="false" ht="14.25" hidden="false" customHeight="true" outlineLevel="0" collapsed="false">
      <c r="A520" s="51" t="n">
        <v>13013</v>
      </c>
      <c r="B520" s="52" t="n">
        <v>40885.6256944445</v>
      </c>
      <c r="C520" s="1" t="n">
        <v>15</v>
      </c>
      <c r="D520" s="1" t="n">
        <v>4786.99</v>
      </c>
    </row>
    <row r="521" customFormat="false" ht="14.25" hidden="false" customHeight="true" outlineLevel="0" collapsed="false">
      <c r="A521" s="51" t="n">
        <v>13014</v>
      </c>
      <c r="B521" s="52" t="n">
        <v>40884.3916666667</v>
      </c>
      <c r="C521" s="1" t="n">
        <v>16</v>
      </c>
      <c r="D521" s="1" t="n">
        <v>3365.43</v>
      </c>
    </row>
    <row r="522" customFormat="false" ht="14.25" hidden="false" customHeight="true" outlineLevel="0" collapsed="false">
      <c r="A522" s="51" t="n">
        <v>13015</v>
      </c>
      <c r="B522" s="52" t="n">
        <v>40833.5548611111</v>
      </c>
      <c r="C522" s="1" t="n">
        <v>5</v>
      </c>
      <c r="D522" s="1" t="n">
        <v>3346.28</v>
      </c>
    </row>
    <row r="523" customFormat="false" ht="14.25" hidden="false" customHeight="true" outlineLevel="0" collapsed="false">
      <c r="A523" s="51" t="n">
        <v>13016</v>
      </c>
      <c r="B523" s="52" t="n">
        <v>40813.5888888889</v>
      </c>
      <c r="C523" s="1" t="n">
        <v>3</v>
      </c>
      <c r="D523" s="1" t="n">
        <v>789.89</v>
      </c>
    </row>
    <row r="524" customFormat="false" ht="14.25" hidden="false" customHeight="true" outlineLevel="0" collapsed="false">
      <c r="A524" s="51" t="n">
        <v>13017</v>
      </c>
      <c r="B524" s="52" t="n">
        <v>40879.6618055556</v>
      </c>
      <c r="C524" s="1" t="n">
        <v>1</v>
      </c>
      <c r="D524" s="1" t="n">
        <v>204</v>
      </c>
    </row>
    <row r="525" customFormat="false" ht="14.25" hidden="false" customHeight="true" outlineLevel="0" collapsed="false">
      <c r="A525" s="51" t="n">
        <v>13018</v>
      </c>
      <c r="B525" s="52" t="n">
        <v>40870.5611111111</v>
      </c>
      <c r="C525" s="1" t="n">
        <v>29</v>
      </c>
      <c r="D525" s="1" t="n">
        <v>7272.75</v>
      </c>
    </row>
    <row r="526" customFormat="false" ht="14.25" hidden="false" customHeight="true" outlineLevel="0" collapsed="false">
      <c r="A526" s="51" t="n">
        <v>13021</v>
      </c>
      <c r="B526" s="52" t="n">
        <v>40882.6923611111</v>
      </c>
      <c r="C526" s="1" t="n">
        <v>12</v>
      </c>
      <c r="D526" s="1" t="n">
        <v>2584.4</v>
      </c>
    </row>
    <row r="527" customFormat="false" ht="14.25" hidden="false" customHeight="true" outlineLevel="0" collapsed="false">
      <c r="A527" s="51" t="n">
        <v>13023</v>
      </c>
      <c r="B527" s="52" t="n">
        <v>40822.6854166667</v>
      </c>
      <c r="C527" s="1" t="n">
        <v>2</v>
      </c>
      <c r="D527" s="1" t="n">
        <v>689.9</v>
      </c>
    </row>
    <row r="528" customFormat="false" ht="14.25" hidden="false" customHeight="true" outlineLevel="0" collapsed="false">
      <c r="A528" s="51" t="n">
        <v>13026</v>
      </c>
      <c r="B528" s="52" t="n">
        <v>40885.7069444444</v>
      </c>
      <c r="C528" s="1" t="n">
        <v>8</v>
      </c>
      <c r="D528" s="1" t="n">
        <v>936.15</v>
      </c>
    </row>
    <row r="529" customFormat="false" ht="14.25" hidden="false" customHeight="true" outlineLevel="0" collapsed="false">
      <c r="A529" s="51" t="n">
        <v>13027</v>
      </c>
      <c r="B529" s="52" t="n">
        <v>40773.4020833333</v>
      </c>
      <c r="C529" s="1" t="n">
        <v>6</v>
      </c>
      <c r="D529" s="1" t="n">
        <v>6912</v>
      </c>
    </row>
    <row r="530" customFormat="false" ht="14.25" hidden="false" customHeight="true" outlineLevel="0" collapsed="false">
      <c r="A530" s="51" t="n">
        <v>13028</v>
      </c>
      <c r="B530" s="52" t="n">
        <v>40864.4652777778</v>
      </c>
      <c r="C530" s="1" t="n">
        <v>3</v>
      </c>
      <c r="D530" s="1" t="n">
        <v>659.68</v>
      </c>
    </row>
    <row r="531" customFormat="false" ht="14.25" hidden="false" customHeight="true" outlineLevel="0" collapsed="false">
      <c r="A531" s="51" t="n">
        <v>13029</v>
      </c>
      <c r="B531" s="52" t="n">
        <v>40856.3840277778</v>
      </c>
      <c r="C531" s="1" t="n">
        <v>3</v>
      </c>
      <c r="D531" s="1" t="n">
        <v>1247.5</v>
      </c>
    </row>
    <row r="532" customFormat="false" ht="14.25" hidden="false" customHeight="true" outlineLevel="0" collapsed="false">
      <c r="A532" s="51" t="n">
        <v>13030</v>
      </c>
      <c r="B532" s="52" t="n">
        <v>40875.6041666667</v>
      </c>
      <c r="C532" s="1" t="n">
        <v>2</v>
      </c>
      <c r="D532" s="1" t="n">
        <v>799.48</v>
      </c>
    </row>
    <row r="533" customFormat="false" ht="14.25" hidden="false" customHeight="true" outlineLevel="0" collapsed="false">
      <c r="A533" s="51" t="n">
        <v>13032</v>
      </c>
      <c r="B533" s="52" t="n">
        <v>40848.4138888889</v>
      </c>
      <c r="C533" s="1" t="n">
        <v>3</v>
      </c>
      <c r="D533" s="1" t="n">
        <v>996.52</v>
      </c>
    </row>
    <row r="534" customFormat="false" ht="14.25" hidden="false" customHeight="true" outlineLevel="0" collapsed="false">
      <c r="A534" s="51" t="n">
        <v>13033</v>
      </c>
      <c r="B534" s="52" t="n">
        <v>40529.5993055556</v>
      </c>
      <c r="C534" s="1" t="n">
        <v>1</v>
      </c>
      <c r="D534" s="1" t="n">
        <v>190.55</v>
      </c>
    </row>
    <row r="535" customFormat="false" ht="14.25" hidden="false" customHeight="true" outlineLevel="0" collapsed="false">
      <c r="A535" s="51" t="n">
        <v>13034</v>
      </c>
      <c r="B535" s="52" t="n">
        <v>40832.5145833333</v>
      </c>
      <c r="C535" s="1" t="n">
        <v>2</v>
      </c>
      <c r="D535" s="1" t="n">
        <v>642.77</v>
      </c>
    </row>
    <row r="536" customFormat="false" ht="14.25" hidden="false" customHeight="true" outlineLevel="0" collapsed="false">
      <c r="A536" s="51" t="n">
        <v>13035</v>
      </c>
      <c r="B536" s="52" t="n">
        <v>40829.5159722222</v>
      </c>
      <c r="C536" s="1" t="n">
        <v>3</v>
      </c>
      <c r="D536" s="1" t="n">
        <v>886.63</v>
      </c>
    </row>
    <row r="537" customFormat="false" ht="14.25" hidden="false" customHeight="true" outlineLevel="0" collapsed="false">
      <c r="A537" s="51" t="n">
        <v>13037</v>
      </c>
      <c r="B537" s="52" t="n">
        <v>40748.6569444445</v>
      </c>
      <c r="C537" s="1" t="n">
        <v>3</v>
      </c>
      <c r="D537" s="1" t="n">
        <v>881.07</v>
      </c>
    </row>
    <row r="538" customFormat="false" ht="14.25" hidden="false" customHeight="true" outlineLevel="0" collapsed="false">
      <c r="A538" s="51" t="n">
        <v>13038</v>
      </c>
      <c r="B538" s="52" t="n">
        <v>40806.6090277778</v>
      </c>
      <c r="C538" s="1" t="n">
        <v>3</v>
      </c>
      <c r="D538" s="1" t="n">
        <v>908.46</v>
      </c>
    </row>
    <row r="539" customFormat="false" ht="14.25" hidden="false" customHeight="true" outlineLevel="0" collapsed="false">
      <c r="A539" s="51" t="n">
        <v>13040</v>
      </c>
      <c r="B539" s="52" t="n">
        <v>40878.4430555556</v>
      </c>
      <c r="C539" s="1" t="n">
        <v>2</v>
      </c>
      <c r="D539" s="1" t="n">
        <v>676.99</v>
      </c>
    </row>
    <row r="540" customFormat="false" ht="14.25" hidden="false" customHeight="true" outlineLevel="0" collapsed="false">
      <c r="A540" s="51" t="n">
        <v>13043</v>
      </c>
      <c r="B540" s="52" t="n">
        <v>40633.5097222222</v>
      </c>
      <c r="C540" s="1" t="n">
        <v>2</v>
      </c>
      <c r="D540" s="1" t="n">
        <v>471.57</v>
      </c>
    </row>
    <row r="541" customFormat="false" ht="14.25" hidden="false" customHeight="true" outlineLevel="0" collapsed="false">
      <c r="A541" s="51" t="n">
        <v>13044</v>
      </c>
      <c r="B541" s="52" t="n">
        <v>40595.6388888889</v>
      </c>
      <c r="C541" s="1" t="n">
        <v>1</v>
      </c>
      <c r="D541" s="1" t="n">
        <v>560.47</v>
      </c>
    </row>
    <row r="542" customFormat="false" ht="14.25" hidden="false" customHeight="true" outlineLevel="0" collapsed="false">
      <c r="A542" s="51" t="n">
        <v>13045</v>
      </c>
      <c r="B542" s="52" t="n">
        <v>40787.6277777778</v>
      </c>
      <c r="C542" s="1" t="n">
        <v>1</v>
      </c>
      <c r="D542" s="1" t="n">
        <v>305.28</v>
      </c>
    </row>
    <row r="543" customFormat="false" ht="14.25" hidden="false" customHeight="true" outlineLevel="0" collapsed="false">
      <c r="A543" s="51" t="n">
        <v>13046</v>
      </c>
      <c r="B543" s="52" t="n">
        <v>40856.3583333333</v>
      </c>
      <c r="C543" s="1" t="n">
        <v>2</v>
      </c>
      <c r="D543" s="1" t="n">
        <v>629.31</v>
      </c>
    </row>
    <row r="544" customFormat="false" ht="14.25" hidden="false" customHeight="true" outlineLevel="0" collapsed="false">
      <c r="A544" s="51" t="n">
        <v>13047</v>
      </c>
      <c r="B544" s="52" t="n">
        <v>40855.5069444445</v>
      </c>
      <c r="C544" s="1" t="n">
        <v>18</v>
      </c>
      <c r="D544" s="1" t="n">
        <v>3079.1</v>
      </c>
    </row>
    <row r="545" customFormat="false" ht="14.25" hidden="false" customHeight="true" outlineLevel="0" collapsed="false">
      <c r="A545" s="51" t="n">
        <v>13048</v>
      </c>
      <c r="B545" s="52" t="n">
        <v>40872.5576388889</v>
      </c>
      <c r="C545" s="1" t="n">
        <v>5</v>
      </c>
      <c r="D545" s="1" t="n">
        <v>1805.91</v>
      </c>
    </row>
    <row r="546" customFormat="false" ht="14.25" hidden="false" customHeight="true" outlineLevel="0" collapsed="false">
      <c r="A546" s="51" t="n">
        <v>13049</v>
      </c>
      <c r="B546" s="52" t="n">
        <v>40822.6465277778</v>
      </c>
      <c r="C546" s="1" t="n">
        <v>2</v>
      </c>
      <c r="D546" s="1" t="n">
        <v>656.68</v>
      </c>
    </row>
    <row r="547" customFormat="false" ht="14.25" hidden="false" customHeight="true" outlineLevel="0" collapsed="false">
      <c r="A547" s="51" t="n">
        <v>13050</v>
      </c>
      <c r="B547" s="52" t="n">
        <v>40877.7277777778</v>
      </c>
      <c r="C547" s="1" t="n">
        <v>28</v>
      </c>
      <c r="D547" s="1" t="n">
        <v>5684.61000000001</v>
      </c>
    </row>
    <row r="548" customFormat="false" ht="14.25" hidden="false" customHeight="true" outlineLevel="0" collapsed="false">
      <c r="A548" s="51" t="n">
        <v>13052</v>
      </c>
      <c r="B548" s="52" t="n">
        <v>40674.5916666667</v>
      </c>
      <c r="C548" s="1" t="n">
        <v>1</v>
      </c>
      <c r="D548" s="1" t="n">
        <v>348.15</v>
      </c>
    </row>
    <row r="549" customFormat="false" ht="14.25" hidden="false" customHeight="true" outlineLevel="0" collapsed="false">
      <c r="A549" s="51" t="n">
        <v>13055</v>
      </c>
      <c r="B549" s="52" t="n">
        <v>40822.7895833333</v>
      </c>
      <c r="C549" s="1" t="n">
        <v>4</v>
      </c>
      <c r="D549" s="1" t="n">
        <v>1201.96</v>
      </c>
    </row>
    <row r="550" customFormat="false" ht="14.25" hidden="false" customHeight="true" outlineLevel="0" collapsed="false">
      <c r="A550" s="51" t="n">
        <v>13058</v>
      </c>
      <c r="B550" s="52" t="n">
        <v>40862.5298611111</v>
      </c>
      <c r="C550" s="1" t="n">
        <v>3</v>
      </c>
      <c r="D550" s="1" t="n">
        <v>271.4</v>
      </c>
    </row>
    <row r="551" customFormat="false" ht="14.25" hidden="false" customHeight="true" outlineLevel="0" collapsed="false">
      <c r="A551" s="51" t="n">
        <v>13059</v>
      </c>
      <c r="B551" s="52" t="n">
        <v>40637.4444444445</v>
      </c>
      <c r="C551" s="1" t="n">
        <v>1</v>
      </c>
      <c r="D551" s="1" t="n">
        <v>183.4</v>
      </c>
    </row>
    <row r="552" customFormat="false" ht="14.25" hidden="false" customHeight="true" outlineLevel="0" collapsed="false">
      <c r="A552" s="51" t="n">
        <v>13060</v>
      </c>
      <c r="B552" s="52" t="n">
        <v>40633.4840277778</v>
      </c>
      <c r="C552" s="1" t="n">
        <v>1</v>
      </c>
      <c r="D552" s="1" t="n">
        <v>307.53</v>
      </c>
    </row>
    <row r="553" customFormat="false" ht="14.25" hidden="false" customHeight="true" outlineLevel="0" collapsed="false">
      <c r="A553" s="51" t="n">
        <v>13061</v>
      </c>
      <c r="B553" s="52" t="n">
        <v>40814.6694444444</v>
      </c>
      <c r="C553" s="1" t="n">
        <v>1</v>
      </c>
      <c r="D553" s="1" t="n">
        <v>248.61</v>
      </c>
    </row>
    <row r="554" customFormat="false" ht="14.25" hidden="false" customHeight="true" outlineLevel="0" collapsed="false">
      <c r="A554" s="51" t="n">
        <v>13062</v>
      </c>
      <c r="B554" s="52" t="n">
        <v>40695.6333333333</v>
      </c>
      <c r="C554" s="1" t="n">
        <v>1</v>
      </c>
      <c r="D554" s="1" t="n">
        <v>346.98</v>
      </c>
    </row>
    <row r="555" customFormat="false" ht="14.25" hidden="false" customHeight="true" outlineLevel="0" collapsed="false">
      <c r="A555" s="51" t="n">
        <v>13064</v>
      </c>
      <c r="B555" s="52" t="n">
        <v>40874.5215277778</v>
      </c>
      <c r="C555" s="1" t="n">
        <v>4</v>
      </c>
      <c r="D555" s="1" t="n">
        <v>1119.49</v>
      </c>
    </row>
    <row r="556" customFormat="false" ht="14.25" hidden="false" customHeight="true" outlineLevel="0" collapsed="false">
      <c r="A556" s="51" t="n">
        <v>13065</v>
      </c>
      <c r="B556" s="52" t="n">
        <v>40513.7027777778</v>
      </c>
      <c r="C556" s="1" t="n">
        <v>1</v>
      </c>
      <c r="D556" s="1" t="n">
        <v>205.86</v>
      </c>
    </row>
    <row r="557" customFormat="false" ht="14.25" hidden="false" customHeight="true" outlineLevel="0" collapsed="false">
      <c r="A557" s="51" t="n">
        <v>13066</v>
      </c>
      <c r="B557" s="52" t="n">
        <v>40862.56875</v>
      </c>
      <c r="C557" s="1" t="n">
        <v>3</v>
      </c>
      <c r="D557" s="1" t="n">
        <v>430.9</v>
      </c>
    </row>
    <row r="558" customFormat="false" ht="14.25" hidden="false" customHeight="true" outlineLevel="0" collapsed="false">
      <c r="A558" s="51" t="n">
        <v>13067</v>
      </c>
      <c r="B558" s="52" t="n">
        <v>40804.5680555556</v>
      </c>
      <c r="C558" s="1" t="n">
        <v>1</v>
      </c>
      <c r="D558" s="1" t="n">
        <v>115.46</v>
      </c>
    </row>
    <row r="559" customFormat="false" ht="14.25" hidden="false" customHeight="true" outlineLevel="0" collapsed="false">
      <c r="A559" s="51" t="n">
        <v>13068</v>
      </c>
      <c r="B559" s="52" t="n">
        <v>40876.625</v>
      </c>
      <c r="C559" s="1" t="n">
        <v>2</v>
      </c>
      <c r="D559" s="1" t="n">
        <v>344</v>
      </c>
    </row>
    <row r="560" customFormat="false" ht="14.25" hidden="false" customHeight="true" outlineLevel="0" collapsed="false">
      <c r="A560" s="51" t="n">
        <v>13069</v>
      </c>
      <c r="B560" s="52" t="n">
        <v>40886.3604166667</v>
      </c>
      <c r="C560" s="1" t="n">
        <v>27</v>
      </c>
      <c r="D560" s="1" t="n">
        <v>3717.82</v>
      </c>
    </row>
    <row r="561" customFormat="false" ht="14.25" hidden="false" customHeight="true" outlineLevel="0" collapsed="false">
      <c r="A561" s="51" t="n">
        <v>13070</v>
      </c>
      <c r="B561" s="52" t="n">
        <v>40694.5729166667</v>
      </c>
      <c r="C561" s="1" t="n">
        <v>1</v>
      </c>
      <c r="D561" s="1" t="n">
        <v>228.8</v>
      </c>
    </row>
    <row r="562" customFormat="false" ht="14.25" hidden="false" customHeight="true" outlineLevel="0" collapsed="false">
      <c r="A562" s="51" t="n">
        <v>13072</v>
      </c>
      <c r="B562" s="52" t="n">
        <v>40620.3416666667</v>
      </c>
      <c r="C562" s="1" t="n">
        <v>1</v>
      </c>
      <c r="D562" s="1" t="n">
        <v>177.15</v>
      </c>
    </row>
    <row r="563" customFormat="false" ht="14.25" hidden="false" customHeight="true" outlineLevel="0" collapsed="false">
      <c r="A563" s="51" t="n">
        <v>13075</v>
      </c>
      <c r="B563" s="52" t="n">
        <v>40757.4298611111</v>
      </c>
      <c r="C563" s="1" t="n">
        <v>1</v>
      </c>
      <c r="D563" s="1" t="n">
        <v>919.61</v>
      </c>
    </row>
    <row r="564" customFormat="false" ht="14.25" hidden="false" customHeight="true" outlineLevel="0" collapsed="false">
      <c r="A564" s="51" t="n">
        <v>13077</v>
      </c>
      <c r="B564" s="52" t="n">
        <v>40885.8083333333</v>
      </c>
      <c r="C564" s="1" t="n">
        <v>4</v>
      </c>
      <c r="D564" s="1" t="n">
        <v>729.27</v>
      </c>
    </row>
    <row r="565" customFormat="false" ht="14.25" hidden="false" customHeight="true" outlineLevel="0" collapsed="false">
      <c r="A565" s="51" t="n">
        <v>13078</v>
      </c>
      <c r="B565" s="52" t="n">
        <v>40885.7833333333</v>
      </c>
      <c r="C565" s="1" t="n">
        <v>43</v>
      </c>
      <c r="D565" s="1" t="n">
        <v>12432.28</v>
      </c>
    </row>
    <row r="566" customFormat="false" ht="14.25" hidden="false" customHeight="true" outlineLevel="0" collapsed="false">
      <c r="A566" s="51" t="n">
        <v>13079</v>
      </c>
      <c r="B566" s="52" t="n">
        <v>40882.7034722222</v>
      </c>
      <c r="C566" s="1" t="n">
        <v>5</v>
      </c>
      <c r="D566" s="1" t="n">
        <v>220.1</v>
      </c>
    </row>
    <row r="567" customFormat="false" ht="14.25" hidden="false" customHeight="true" outlineLevel="0" collapsed="false">
      <c r="A567" s="51" t="n">
        <v>13080</v>
      </c>
      <c r="B567" s="52" t="n">
        <v>40707.6243055556</v>
      </c>
      <c r="C567" s="1" t="n">
        <v>1</v>
      </c>
      <c r="D567" s="1" t="n">
        <v>58.08</v>
      </c>
    </row>
    <row r="568" customFormat="false" ht="14.25" hidden="false" customHeight="true" outlineLevel="0" collapsed="false">
      <c r="A568" s="51" t="n">
        <v>13081</v>
      </c>
      <c r="B568" s="52" t="n">
        <v>40885.5506944444</v>
      </c>
      <c r="C568" s="1" t="n">
        <v>21</v>
      </c>
      <c r="D568" s="1" t="n">
        <v>27964.48</v>
      </c>
    </row>
    <row r="569" customFormat="false" ht="14.25" hidden="false" customHeight="true" outlineLevel="0" collapsed="false">
      <c r="A569" s="51" t="n">
        <v>13082</v>
      </c>
      <c r="B569" s="52" t="n">
        <v>40760.6777777778</v>
      </c>
      <c r="C569" s="1" t="n">
        <v>10</v>
      </c>
      <c r="D569" s="1" t="n">
        <v>3595.48</v>
      </c>
    </row>
    <row r="570" customFormat="false" ht="14.25" hidden="false" customHeight="true" outlineLevel="0" collapsed="false">
      <c r="A570" s="51" t="n">
        <v>13083</v>
      </c>
      <c r="B570" s="52" t="n">
        <v>40882.6256944445</v>
      </c>
      <c r="C570" s="1" t="n">
        <v>2</v>
      </c>
      <c r="D570" s="1" t="n">
        <v>303.75</v>
      </c>
    </row>
    <row r="571" customFormat="false" ht="14.25" hidden="false" customHeight="true" outlineLevel="0" collapsed="false">
      <c r="A571" s="51" t="n">
        <v>13085</v>
      </c>
      <c r="B571" s="52" t="n">
        <v>40729.5076388889</v>
      </c>
      <c r="C571" s="1" t="n">
        <v>3</v>
      </c>
      <c r="D571" s="1" t="n">
        <v>272.38</v>
      </c>
    </row>
    <row r="572" customFormat="false" ht="14.25" hidden="false" customHeight="true" outlineLevel="0" collapsed="false">
      <c r="A572" s="51" t="n">
        <v>13089</v>
      </c>
      <c r="B572" s="52" t="n">
        <v>40884.3763888889</v>
      </c>
      <c r="C572" s="1" t="n">
        <v>118</v>
      </c>
      <c r="D572" s="1" t="n">
        <v>57385.8800000001</v>
      </c>
    </row>
    <row r="573" customFormat="false" ht="14.25" hidden="false" customHeight="true" outlineLevel="0" collapsed="false">
      <c r="A573" s="51" t="n">
        <v>13090</v>
      </c>
      <c r="B573" s="52" t="n">
        <v>40878.5270833333</v>
      </c>
      <c r="C573" s="1" t="n">
        <v>18</v>
      </c>
      <c r="D573" s="1" t="n">
        <v>8689.39</v>
      </c>
    </row>
    <row r="574" customFormat="false" ht="14.25" hidden="false" customHeight="true" outlineLevel="0" collapsed="false">
      <c r="A574" s="51" t="n">
        <v>13091</v>
      </c>
      <c r="B574" s="52" t="n">
        <v>40865.7</v>
      </c>
      <c r="C574" s="1" t="n">
        <v>2</v>
      </c>
      <c r="D574" s="1" t="n">
        <v>319.82</v>
      </c>
    </row>
    <row r="575" customFormat="false" ht="14.25" hidden="false" customHeight="true" outlineLevel="0" collapsed="false">
      <c r="A575" s="51" t="n">
        <v>13092</v>
      </c>
      <c r="B575" s="52" t="n">
        <v>40816.4708333333</v>
      </c>
      <c r="C575" s="1" t="n">
        <v>6</v>
      </c>
      <c r="D575" s="1" t="n">
        <v>459.83</v>
      </c>
    </row>
    <row r="576" customFormat="false" ht="14.25" hidden="false" customHeight="true" outlineLevel="0" collapsed="false">
      <c r="A576" s="51" t="n">
        <v>13093</v>
      </c>
      <c r="B576" s="52" t="n">
        <v>40619.7194444445</v>
      </c>
      <c r="C576" s="1" t="n">
        <v>13</v>
      </c>
      <c r="D576" s="1" t="n">
        <v>7741.47</v>
      </c>
    </row>
    <row r="577" customFormat="false" ht="14.25" hidden="false" customHeight="true" outlineLevel="0" collapsed="false">
      <c r="A577" s="51" t="n">
        <v>13094</v>
      </c>
      <c r="B577" s="52" t="n">
        <v>40865.5881944444</v>
      </c>
      <c r="C577" s="1" t="n">
        <v>16</v>
      </c>
      <c r="D577" s="1" t="n">
        <v>1708.86</v>
      </c>
    </row>
    <row r="578" customFormat="false" ht="14.25" hidden="false" customHeight="true" outlineLevel="0" collapsed="false">
      <c r="A578" s="51" t="n">
        <v>13095</v>
      </c>
      <c r="B578" s="52" t="n">
        <v>40816.5020833333</v>
      </c>
      <c r="C578" s="1" t="n">
        <v>1</v>
      </c>
      <c r="D578" s="1" t="n">
        <v>74.4</v>
      </c>
    </row>
    <row r="579" customFormat="false" ht="14.25" hidden="false" customHeight="true" outlineLevel="0" collapsed="false">
      <c r="A579" s="51" t="n">
        <v>13097</v>
      </c>
      <c r="B579" s="52" t="n">
        <v>40854.4465277778</v>
      </c>
      <c r="C579" s="1" t="n">
        <v>14</v>
      </c>
      <c r="D579" s="1" t="n">
        <v>5893.32</v>
      </c>
    </row>
    <row r="580" customFormat="false" ht="14.25" hidden="false" customHeight="true" outlineLevel="0" collapsed="false">
      <c r="A580" s="51" t="n">
        <v>13098</v>
      </c>
      <c r="B580" s="52" t="n">
        <v>40885.5930555556</v>
      </c>
      <c r="C580" s="1" t="n">
        <v>41</v>
      </c>
      <c r="D580" s="1" t="n">
        <v>28658.88</v>
      </c>
    </row>
    <row r="581" customFormat="false" ht="14.25" hidden="false" customHeight="true" outlineLevel="0" collapsed="false">
      <c r="A581" s="51" t="n">
        <v>13099</v>
      </c>
      <c r="B581" s="52" t="n">
        <v>40787.7361111111</v>
      </c>
      <c r="C581" s="1" t="n">
        <v>1</v>
      </c>
      <c r="D581" s="1" t="n">
        <v>207.36</v>
      </c>
    </row>
    <row r="582" customFormat="false" ht="14.25" hidden="false" customHeight="true" outlineLevel="0" collapsed="false">
      <c r="A582" s="51" t="n">
        <v>13101</v>
      </c>
      <c r="B582" s="52" t="n">
        <v>40652.6090277778</v>
      </c>
      <c r="C582" s="1" t="n">
        <v>1</v>
      </c>
      <c r="D582" s="1" t="n">
        <v>101.19</v>
      </c>
    </row>
    <row r="583" customFormat="false" ht="14.25" hidden="false" customHeight="true" outlineLevel="0" collapsed="false">
      <c r="A583" s="51" t="n">
        <v>13102</v>
      </c>
      <c r="B583" s="52" t="n">
        <v>40885.5361111111</v>
      </c>
      <c r="C583" s="1" t="n">
        <v>27</v>
      </c>
      <c r="D583" s="1" t="n">
        <v>6336.29</v>
      </c>
    </row>
    <row r="584" customFormat="false" ht="14.25" hidden="false" customHeight="true" outlineLevel="0" collapsed="false">
      <c r="A584" s="51" t="n">
        <v>13103</v>
      </c>
      <c r="B584" s="52" t="n">
        <v>40847.4013888889</v>
      </c>
      <c r="C584" s="1" t="n">
        <v>1</v>
      </c>
      <c r="D584" s="1" t="n">
        <v>243.94</v>
      </c>
    </row>
    <row r="585" customFormat="false" ht="14.25" hidden="false" customHeight="true" outlineLevel="0" collapsed="false">
      <c r="A585" s="51" t="n">
        <v>13104</v>
      </c>
      <c r="B585" s="52" t="n">
        <v>40883.5486111111</v>
      </c>
      <c r="C585" s="1" t="n">
        <v>6</v>
      </c>
      <c r="D585" s="1" t="n">
        <v>1098.48</v>
      </c>
    </row>
    <row r="586" customFormat="false" ht="14.25" hidden="false" customHeight="true" outlineLevel="0" collapsed="false">
      <c r="A586" s="51" t="n">
        <v>13106</v>
      </c>
      <c r="B586" s="52" t="n">
        <v>40758.4930555556</v>
      </c>
      <c r="C586" s="1" t="n">
        <v>2</v>
      </c>
      <c r="D586" s="1" t="n">
        <v>59.5</v>
      </c>
    </row>
    <row r="587" customFormat="false" ht="14.25" hidden="false" customHeight="true" outlineLevel="0" collapsed="false">
      <c r="A587" s="51" t="n">
        <v>13107</v>
      </c>
      <c r="B587" s="52" t="n">
        <v>40842.6194444444</v>
      </c>
      <c r="C587" s="1" t="n">
        <v>5</v>
      </c>
      <c r="D587" s="1" t="n">
        <v>1524.07</v>
      </c>
    </row>
    <row r="588" customFormat="false" ht="14.25" hidden="false" customHeight="true" outlineLevel="0" collapsed="false">
      <c r="A588" s="51" t="n">
        <v>13108</v>
      </c>
      <c r="B588" s="52" t="n">
        <v>40514.4409722222</v>
      </c>
      <c r="C588" s="1" t="n">
        <v>1</v>
      </c>
      <c r="D588" s="1" t="n">
        <v>350.06</v>
      </c>
    </row>
    <row r="589" customFormat="false" ht="14.25" hidden="false" customHeight="true" outlineLevel="0" collapsed="false">
      <c r="A589" s="51" t="n">
        <v>13109</v>
      </c>
      <c r="B589" s="52" t="n">
        <v>40884.5263888889</v>
      </c>
      <c r="C589" s="1" t="n">
        <v>5</v>
      </c>
      <c r="D589" s="1" t="n">
        <v>766.84</v>
      </c>
    </row>
    <row r="590" customFormat="false" ht="14.25" hidden="false" customHeight="true" outlineLevel="0" collapsed="false">
      <c r="A590" s="51" t="n">
        <v>13110</v>
      </c>
      <c r="B590" s="52" t="n">
        <v>40855.6041666667</v>
      </c>
      <c r="C590" s="1" t="n">
        <v>8</v>
      </c>
      <c r="D590" s="1" t="n">
        <v>1452.87</v>
      </c>
    </row>
    <row r="591" customFormat="false" ht="14.25" hidden="false" customHeight="true" outlineLevel="0" collapsed="false">
      <c r="A591" s="51" t="n">
        <v>13113</v>
      </c>
      <c r="B591" s="52" t="n">
        <v>40886.5340277778</v>
      </c>
      <c r="C591" s="1" t="n">
        <v>40</v>
      </c>
      <c r="D591" s="1" t="n">
        <v>10510</v>
      </c>
    </row>
    <row r="592" customFormat="false" ht="14.25" hidden="false" customHeight="true" outlineLevel="0" collapsed="false">
      <c r="A592" s="51" t="n">
        <v>13115</v>
      </c>
      <c r="B592" s="52" t="n">
        <v>40878.4020833333</v>
      </c>
      <c r="C592" s="1" t="n">
        <v>14</v>
      </c>
      <c r="D592" s="1" t="n">
        <v>2205.63</v>
      </c>
    </row>
    <row r="593" customFormat="false" ht="14.25" hidden="false" customHeight="true" outlineLevel="0" collapsed="false">
      <c r="A593" s="51" t="n">
        <v>13116</v>
      </c>
      <c r="B593" s="52" t="n">
        <v>40769.6083333333</v>
      </c>
      <c r="C593" s="1" t="n">
        <v>2</v>
      </c>
      <c r="D593" s="1" t="n">
        <v>485.19</v>
      </c>
    </row>
    <row r="594" customFormat="false" ht="14.25" hidden="false" customHeight="true" outlineLevel="0" collapsed="false">
      <c r="A594" s="51" t="n">
        <v>13117</v>
      </c>
      <c r="B594" s="52" t="n">
        <v>40865.5013888889</v>
      </c>
      <c r="C594" s="1" t="n">
        <v>8</v>
      </c>
      <c r="D594" s="1" t="n">
        <v>984.91</v>
      </c>
    </row>
    <row r="595" customFormat="false" ht="14.25" hidden="false" customHeight="true" outlineLevel="0" collapsed="false">
      <c r="A595" s="51" t="n">
        <v>13118</v>
      </c>
      <c r="B595" s="52" t="n">
        <v>40867.5319444445</v>
      </c>
      <c r="C595" s="1" t="n">
        <v>7</v>
      </c>
      <c r="D595" s="1" t="n">
        <v>1125</v>
      </c>
    </row>
    <row r="596" customFormat="false" ht="14.25" hidden="false" customHeight="true" outlineLevel="0" collapsed="false">
      <c r="A596" s="51" t="n">
        <v>13120</v>
      </c>
      <c r="B596" s="52" t="n">
        <v>40648.4298611111</v>
      </c>
      <c r="C596" s="1" t="n">
        <v>1</v>
      </c>
      <c r="D596" s="1" t="n">
        <v>30.6</v>
      </c>
    </row>
    <row r="597" customFormat="false" ht="14.25" hidden="false" customHeight="true" outlineLevel="0" collapsed="false">
      <c r="A597" s="51" t="n">
        <v>13121</v>
      </c>
      <c r="B597" s="52" t="n">
        <v>40617.7020833333</v>
      </c>
      <c r="C597" s="1" t="n">
        <v>2</v>
      </c>
      <c r="D597" s="1" t="n">
        <v>254.73</v>
      </c>
    </row>
    <row r="598" customFormat="false" ht="14.25" hidden="false" customHeight="true" outlineLevel="0" collapsed="false">
      <c r="A598" s="51" t="n">
        <v>13122</v>
      </c>
      <c r="B598" s="52" t="n">
        <v>40792.6618055556</v>
      </c>
      <c r="C598" s="1" t="n">
        <v>2</v>
      </c>
      <c r="D598" s="1" t="n">
        <v>922.39</v>
      </c>
    </row>
    <row r="599" customFormat="false" ht="14.25" hidden="false" customHeight="true" outlineLevel="0" collapsed="false">
      <c r="A599" s="51" t="n">
        <v>13124</v>
      </c>
      <c r="B599" s="52" t="n">
        <v>40797.53125</v>
      </c>
      <c r="C599" s="1" t="n">
        <v>3</v>
      </c>
      <c r="D599" s="1" t="n">
        <v>3866.33</v>
      </c>
    </row>
    <row r="600" customFormat="false" ht="14.25" hidden="false" customHeight="true" outlineLevel="0" collapsed="false">
      <c r="A600" s="51" t="n">
        <v>13126</v>
      </c>
      <c r="B600" s="52" t="n">
        <v>40882.4166666667</v>
      </c>
      <c r="C600" s="1" t="n">
        <v>10</v>
      </c>
      <c r="D600" s="1" t="n">
        <v>2056.29</v>
      </c>
    </row>
    <row r="601" customFormat="false" ht="14.25" hidden="false" customHeight="true" outlineLevel="0" collapsed="false">
      <c r="A601" s="51" t="n">
        <v>13127</v>
      </c>
      <c r="B601" s="52" t="n">
        <v>40809.4347222222</v>
      </c>
      <c r="C601" s="1" t="n">
        <v>1</v>
      </c>
      <c r="D601" s="1" t="n">
        <v>259.17</v>
      </c>
    </row>
    <row r="602" customFormat="false" ht="14.25" hidden="false" customHeight="true" outlineLevel="0" collapsed="false">
      <c r="A602" s="51" t="n">
        <v>13130</v>
      </c>
      <c r="B602" s="52" t="n">
        <v>40792.6458333333</v>
      </c>
      <c r="C602" s="1" t="n">
        <v>1</v>
      </c>
      <c r="D602" s="1" t="n">
        <v>64</v>
      </c>
    </row>
    <row r="603" customFormat="false" ht="14.25" hidden="false" customHeight="true" outlineLevel="0" collapsed="false">
      <c r="A603" s="51" t="n">
        <v>13131</v>
      </c>
      <c r="B603" s="52" t="n">
        <v>40863.55625</v>
      </c>
      <c r="C603" s="1" t="n">
        <v>4</v>
      </c>
      <c r="D603" s="1" t="n">
        <v>1039.3</v>
      </c>
    </row>
    <row r="604" customFormat="false" ht="14.25" hidden="false" customHeight="true" outlineLevel="0" collapsed="false">
      <c r="A604" s="51" t="n">
        <v>13132</v>
      </c>
      <c r="B604" s="52" t="n">
        <v>40625.5305555556</v>
      </c>
      <c r="C604" s="1" t="n">
        <v>1</v>
      </c>
      <c r="D604" s="1" t="n">
        <v>77.3</v>
      </c>
    </row>
    <row r="605" customFormat="false" ht="14.25" hidden="false" customHeight="true" outlineLevel="0" collapsed="false">
      <c r="A605" s="51" t="n">
        <v>13133</v>
      </c>
      <c r="B605" s="52" t="n">
        <v>40613.4381944445</v>
      </c>
      <c r="C605" s="1" t="n">
        <v>2</v>
      </c>
      <c r="D605" s="1" t="n">
        <v>109.8</v>
      </c>
    </row>
    <row r="606" customFormat="false" ht="14.25" hidden="false" customHeight="true" outlineLevel="0" collapsed="false">
      <c r="A606" s="51" t="n">
        <v>13134</v>
      </c>
      <c r="B606" s="52" t="n">
        <v>40814.3902777778</v>
      </c>
      <c r="C606" s="1" t="n">
        <v>7</v>
      </c>
      <c r="D606" s="1" t="n">
        <v>1740.63</v>
      </c>
    </row>
    <row r="607" customFormat="false" ht="14.25" hidden="false" customHeight="true" outlineLevel="0" collapsed="false">
      <c r="A607" s="51" t="n">
        <v>13135</v>
      </c>
      <c r="B607" s="52" t="n">
        <v>40690.4527777778</v>
      </c>
      <c r="C607" s="1" t="n">
        <v>1</v>
      </c>
      <c r="D607" s="1" t="n">
        <v>3096</v>
      </c>
    </row>
    <row r="608" customFormat="false" ht="14.25" hidden="false" customHeight="true" outlineLevel="0" collapsed="false">
      <c r="A608" s="51" t="n">
        <v>13136</v>
      </c>
      <c r="B608" s="52" t="n">
        <v>40836.8006944444</v>
      </c>
      <c r="C608" s="1" t="n">
        <v>11</v>
      </c>
      <c r="D608" s="1" t="n">
        <v>2545.38</v>
      </c>
    </row>
    <row r="609" customFormat="false" ht="14.25" hidden="false" customHeight="true" outlineLevel="0" collapsed="false">
      <c r="A609" s="51" t="n">
        <v>13137</v>
      </c>
      <c r="B609" s="52" t="n">
        <v>40876.50625</v>
      </c>
      <c r="C609" s="1" t="n">
        <v>9</v>
      </c>
      <c r="D609" s="1" t="n">
        <v>3605.08</v>
      </c>
    </row>
    <row r="610" customFormat="false" ht="14.25" hidden="false" customHeight="true" outlineLevel="0" collapsed="false">
      <c r="A610" s="51" t="n">
        <v>13138</v>
      </c>
      <c r="B610" s="52" t="n">
        <v>40864.7020833333</v>
      </c>
      <c r="C610" s="1" t="n">
        <v>6</v>
      </c>
      <c r="D610" s="1" t="n">
        <v>962.39</v>
      </c>
    </row>
    <row r="611" customFormat="false" ht="14.25" hidden="false" customHeight="true" outlineLevel="0" collapsed="false">
      <c r="A611" s="51" t="n">
        <v>13139</v>
      </c>
      <c r="B611" s="52" t="n">
        <v>40870.5791666667</v>
      </c>
      <c r="C611" s="1" t="n">
        <v>8</v>
      </c>
      <c r="D611" s="1" t="n">
        <v>5055.79</v>
      </c>
    </row>
    <row r="612" customFormat="false" ht="14.25" hidden="false" customHeight="true" outlineLevel="0" collapsed="false">
      <c r="A612" s="51" t="n">
        <v>13140</v>
      </c>
      <c r="B612" s="52" t="n">
        <v>40778.6479166667</v>
      </c>
      <c r="C612" s="1" t="n">
        <v>3</v>
      </c>
      <c r="D612" s="1" t="n">
        <v>423.72</v>
      </c>
    </row>
    <row r="613" customFormat="false" ht="14.25" hidden="false" customHeight="true" outlineLevel="0" collapsed="false">
      <c r="A613" s="51" t="n">
        <v>13141</v>
      </c>
      <c r="B613" s="52" t="n">
        <v>40802.4125</v>
      </c>
      <c r="C613" s="1" t="n">
        <v>6</v>
      </c>
      <c r="D613" s="1" t="n">
        <v>2385.8</v>
      </c>
    </row>
    <row r="614" customFormat="false" ht="14.25" hidden="false" customHeight="true" outlineLevel="0" collapsed="false">
      <c r="A614" s="51" t="n">
        <v>13142</v>
      </c>
      <c r="B614" s="52" t="n">
        <v>40867.6715277778</v>
      </c>
      <c r="C614" s="1" t="n">
        <v>1</v>
      </c>
      <c r="D614" s="1" t="n">
        <v>307.09</v>
      </c>
    </row>
    <row r="615" customFormat="false" ht="14.25" hidden="false" customHeight="true" outlineLevel="0" collapsed="false">
      <c r="A615" s="51" t="n">
        <v>13144</v>
      </c>
      <c r="B615" s="52" t="n">
        <v>40554.46875</v>
      </c>
      <c r="C615" s="1" t="n">
        <v>1</v>
      </c>
      <c r="D615" s="1" t="n">
        <v>110.95</v>
      </c>
    </row>
    <row r="616" customFormat="false" ht="14.25" hidden="false" customHeight="true" outlineLevel="0" collapsed="false">
      <c r="A616" s="51" t="n">
        <v>13145</v>
      </c>
      <c r="B616" s="52" t="n">
        <v>40847.53125</v>
      </c>
      <c r="C616" s="1" t="n">
        <v>5</v>
      </c>
      <c r="D616" s="1" t="n">
        <v>614.77</v>
      </c>
    </row>
    <row r="617" customFormat="false" ht="14.25" hidden="false" customHeight="true" outlineLevel="0" collapsed="false">
      <c r="A617" s="51" t="n">
        <v>13146</v>
      </c>
      <c r="B617" s="52" t="n">
        <v>40860.6451388889</v>
      </c>
      <c r="C617" s="1" t="n">
        <v>1</v>
      </c>
      <c r="D617" s="1" t="n">
        <v>228.91</v>
      </c>
    </row>
    <row r="618" customFormat="false" ht="14.25" hidden="false" customHeight="true" outlineLevel="0" collapsed="false">
      <c r="A618" s="51" t="n">
        <v>13147</v>
      </c>
      <c r="B618" s="52" t="n">
        <v>40876.5826388889</v>
      </c>
      <c r="C618" s="1" t="n">
        <v>4</v>
      </c>
      <c r="D618" s="1" t="n">
        <v>712.8</v>
      </c>
    </row>
    <row r="619" customFormat="false" ht="14.25" hidden="false" customHeight="true" outlineLevel="0" collapsed="false">
      <c r="A619" s="51" t="n">
        <v>13148</v>
      </c>
      <c r="B619" s="52" t="n">
        <v>40857.6409722222</v>
      </c>
      <c r="C619" s="1" t="n">
        <v>17</v>
      </c>
      <c r="D619" s="1" t="n">
        <v>3348.48</v>
      </c>
    </row>
    <row r="620" customFormat="false" ht="14.25" hidden="false" customHeight="true" outlineLevel="0" collapsed="false">
      <c r="A620" s="51" t="n">
        <v>13149</v>
      </c>
      <c r="B620" s="52" t="n">
        <v>40872.5479166667</v>
      </c>
      <c r="C620" s="1" t="n">
        <v>4</v>
      </c>
      <c r="D620" s="1" t="n">
        <v>1676.06</v>
      </c>
    </row>
    <row r="621" customFormat="false" ht="14.25" hidden="false" customHeight="true" outlineLevel="0" collapsed="false">
      <c r="A621" s="51" t="n">
        <v>13151</v>
      </c>
      <c r="B621" s="52" t="n">
        <v>40683.5381944445</v>
      </c>
      <c r="C621" s="1" t="n">
        <v>2</v>
      </c>
      <c r="D621" s="1" t="n">
        <v>1250.37</v>
      </c>
    </row>
    <row r="622" customFormat="false" ht="14.25" hidden="false" customHeight="true" outlineLevel="0" collapsed="false">
      <c r="A622" s="51" t="n">
        <v>13153</v>
      </c>
      <c r="B622" s="52" t="n">
        <v>40881.5097222222</v>
      </c>
      <c r="C622" s="1" t="n">
        <v>1</v>
      </c>
      <c r="D622" s="1" t="n">
        <v>486.22</v>
      </c>
    </row>
    <row r="623" customFormat="false" ht="14.25" hidden="false" customHeight="true" outlineLevel="0" collapsed="false">
      <c r="A623" s="51" t="n">
        <v>13154</v>
      </c>
      <c r="B623" s="52" t="n">
        <v>40742.6395833333</v>
      </c>
      <c r="C623" s="1" t="n">
        <v>1</v>
      </c>
      <c r="D623" s="1" t="n">
        <v>-611.86</v>
      </c>
    </row>
    <row r="624" customFormat="false" ht="14.25" hidden="false" customHeight="true" outlineLevel="0" collapsed="false">
      <c r="A624" s="51" t="n">
        <v>13155</v>
      </c>
      <c r="B624" s="52" t="n">
        <v>40853.6534722222</v>
      </c>
      <c r="C624" s="1" t="n">
        <v>4</v>
      </c>
      <c r="D624" s="1" t="n">
        <v>971.76</v>
      </c>
    </row>
    <row r="625" customFormat="false" ht="14.25" hidden="false" customHeight="true" outlineLevel="0" collapsed="false">
      <c r="A625" s="51" t="n">
        <v>13157</v>
      </c>
      <c r="B625" s="52" t="n">
        <v>40837.5763888889</v>
      </c>
      <c r="C625" s="1" t="n">
        <v>5</v>
      </c>
      <c r="D625" s="1" t="n">
        <v>1721.57</v>
      </c>
    </row>
    <row r="626" customFormat="false" ht="14.25" hidden="false" customHeight="true" outlineLevel="0" collapsed="false">
      <c r="A626" s="51" t="n">
        <v>13158</v>
      </c>
      <c r="B626" s="52" t="n">
        <v>40792.4986111111</v>
      </c>
      <c r="C626" s="1" t="n">
        <v>4</v>
      </c>
      <c r="D626" s="1" t="n">
        <v>1201.06</v>
      </c>
    </row>
    <row r="627" customFormat="false" ht="14.25" hidden="false" customHeight="true" outlineLevel="0" collapsed="false">
      <c r="A627" s="51" t="n">
        <v>13159</v>
      </c>
      <c r="B627" s="52" t="n">
        <v>40878.4722222222</v>
      </c>
      <c r="C627" s="1" t="n">
        <v>5</v>
      </c>
      <c r="D627" s="1" t="n">
        <v>1379.75</v>
      </c>
    </row>
    <row r="628" customFormat="false" ht="14.25" hidden="false" customHeight="true" outlineLevel="0" collapsed="false">
      <c r="A628" s="51" t="n">
        <v>13160</v>
      </c>
      <c r="B628" s="52" t="n">
        <v>40864.5465277778</v>
      </c>
      <c r="C628" s="1" t="n">
        <v>1</v>
      </c>
      <c r="D628" s="1" t="n">
        <v>91.8</v>
      </c>
    </row>
    <row r="629" customFormat="false" ht="14.25" hidden="false" customHeight="true" outlineLevel="0" collapsed="false">
      <c r="A629" s="51" t="n">
        <v>13161</v>
      </c>
      <c r="B629" s="52" t="n">
        <v>40573.5854166667</v>
      </c>
      <c r="C629" s="1" t="n">
        <v>1</v>
      </c>
      <c r="D629" s="1" t="n">
        <v>112.75</v>
      </c>
    </row>
    <row r="630" customFormat="false" ht="14.25" hidden="false" customHeight="true" outlineLevel="0" collapsed="false">
      <c r="A630" s="51" t="n">
        <v>13162</v>
      </c>
      <c r="B630" s="52" t="n">
        <v>40764.6659722222</v>
      </c>
      <c r="C630" s="1" t="n">
        <v>5</v>
      </c>
      <c r="D630" s="1" t="n">
        <v>1644.99</v>
      </c>
    </row>
    <row r="631" customFormat="false" ht="14.25" hidden="false" customHeight="true" outlineLevel="0" collapsed="false">
      <c r="A631" s="51" t="n">
        <v>13165</v>
      </c>
      <c r="B631" s="52" t="n">
        <v>40840.6284722222</v>
      </c>
      <c r="C631" s="1" t="n">
        <v>2</v>
      </c>
      <c r="D631" s="1" t="n">
        <v>1021.48</v>
      </c>
    </row>
    <row r="632" customFormat="false" ht="14.25" hidden="false" customHeight="true" outlineLevel="0" collapsed="false">
      <c r="A632" s="51" t="n">
        <v>13166</v>
      </c>
      <c r="B632" s="52" t="n">
        <v>40604.6027777778</v>
      </c>
      <c r="C632" s="1" t="n">
        <v>2</v>
      </c>
      <c r="D632" s="1" t="n">
        <v>414.7</v>
      </c>
    </row>
    <row r="633" customFormat="false" ht="14.25" hidden="false" customHeight="true" outlineLevel="0" collapsed="false">
      <c r="A633" s="51" t="n">
        <v>13167</v>
      </c>
      <c r="B633" s="52" t="n">
        <v>40868.5166666667</v>
      </c>
      <c r="C633" s="1" t="n">
        <v>4</v>
      </c>
      <c r="D633" s="1" t="n">
        <v>791.33</v>
      </c>
    </row>
    <row r="634" customFormat="false" ht="14.25" hidden="false" customHeight="true" outlineLevel="0" collapsed="false">
      <c r="A634" s="51" t="n">
        <v>13168</v>
      </c>
      <c r="B634" s="52" t="n">
        <v>40850.5388888889</v>
      </c>
      <c r="C634" s="1" t="n">
        <v>5</v>
      </c>
      <c r="D634" s="1" t="n">
        <v>1310.14</v>
      </c>
    </row>
    <row r="635" customFormat="false" ht="14.25" hidden="false" customHeight="true" outlineLevel="0" collapsed="false">
      <c r="A635" s="51" t="n">
        <v>13169</v>
      </c>
      <c r="B635" s="52" t="n">
        <v>40823.5076388889</v>
      </c>
      <c r="C635" s="1" t="n">
        <v>2</v>
      </c>
      <c r="D635" s="1" t="n">
        <v>712.88</v>
      </c>
    </row>
    <row r="636" customFormat="false" ht="14.25" hidden="false" customHeight="true" outlineLevel="0" collapsed="false">
      <c r="A636" s="51" t="n">
        <v>13170</v>
      </c>
      <c r="B636" s="52" t="n">
        <v>40860.5131944444</v>
      </c>
      <c r="C636" s="1" t="n">
        <v>1</v>
      </c>
      <c r="D636" s="1" t="n">
        <v>116.01</v>
      </c>
    </row>
    <row r="637" customFormat="false" ht="14.25" hidden="false" customHeight="true" outlineLevel="0" collapsed="false">
      <c r="A637" s="51" t="n">
        <v>13171</v>
      </c>
      <c r="B637" s="52" t="n">
        <v>40878.6291666667</v>
      </c>
      <c r="C637" s="1" t="n">
        <v>5</v>
      </c>
      <c r="D637" s="1" t="n">
        <v>426.81</v>
      </c>
    </row>
    <row r="638" customFormat="false" ht="14.25" hidden="false" customHeight="true" outlineLevel="0" collapsed="false">
      <c r="A638" s="51" t="n">
        <v>13173</v>
      </c>
      <c r="B638" s="52" t="n">
        <v>40882.6604166667</v>
      </c>
      <c r="C638" s="1" t="n">
        <v>2</v>
      </c>
      <c r="D638" s="1" t="n">
        <v>353.65</v>
      </c>
    </row>
    <row r="639" customFormat="false" ht="14.25" hidden="false" customHeight="true" outlineLevel="0" collapsed="false">
      <c r="A639" s="51" t="n">
        <v>13174</v>
      </c>
      <c r="B639" s="52" t="n">
        <v>40870.6076388889</v>
      </c>
      <c r="C639" s="1" t="n">
        <v>3</v>
      </c>
      <c r="D639" s="1" t="n">
        <v>2817.03</v>
      </c>
    </row>
    <row r="640" customFormat="false" ht="14.25" hidden="false" customHeight="true" outlineLevel="0" collapsed="false">
      <c r="A640" s="51" t="n">
        <v>13176</v>
      </c>
      <c r="B640" s="52" t="n">
        <v>40840.6548611111</v>
      </c>
      <c r="C640" s="1" t="n">
        <v>1</v>
      </c>
      <c r="D640" s="1" t="n">
        <v>492.84</v>
      </c>
    </row>
    <row r="641" customFormat="false" ht="14.25" hidden="false" customHeight="true" outlineLevel="0" collapsed="false">
      <c r="A641" s="51" t="n">
        <v>13177</v>
      </c>
      <c r="B641" s="52" t="n">
        <v>40822.4138888889</v>
      </c>
      <c r="C641" s="1" t="n">
        <v>1</v>
      </c>
      <c r="D641" s="1" t="n">
        <v>282.45</v>
      </c>
    </row>
    <row r="642" customFormat="false" ht="14.25" hidden="false" customHeight="true" outlineLevel="0" collapsed="false">
      <c r="A642" s="51" t="n">
        <v>13178</v>
      </c>
      <c r="B642" s="52" t="n">
        <v>40860.6763888889</v>
      </c>
      <c r="C642" s="1" t="n">
        <v>11</v>
      </c>
      <c r="D642" s="1" t="n">
        <v>5725.47</v>
      </c>
    </row>
    <row r="643" customFormat="false" ht="14.25" hidden="false" customHeight="true" outlineLevel="0" collapsed="false">
      <c r="A643" s="51" t="n">
        <v>13182</v>
      </c>
      <c r="B643" s="52" t="n">
        <v>40841.5736111111</v>
      </c>
      <c r="C643" s="1" t="n">
        <v>1</v>
      </c>
      <c r="D643" s="1" t="n">
        <v>121.18</v>
      </c>
    </row>
    <row r="644" customFormat="false" ht="14.25" hidden="false" customHeight="true" outlineLevel="0" collapsed="false">
      <c r="A644" s="51" t="n">
        <v>13183</v>
      </c>
      <c r="B644" s="52" t="n">
        <v>40879.4375</v>
      </c>
      <c r="C644" s="1" t="n">
        <v>9</v>
      </c>
      <c r="D644" s="1" t="n">
        <v>3957.78</v>
      </c>
    </row>
    <row r="645" customFormat="false" ht="14.25" hidden="false" customHeight="true" outlineLevel="0" collapsed="false">
      <c r="A645" s="51" t="n">
        <v>13184</v>
      </c>
      <c r="B645" s="52" t="n">
        <v>40872.5013888889</v>
      </c>
      <c r="C645" s="1" t="n">
        <v>12</v>
      </c>
      <c r="D645" s="1" t="n">
        <v>1648.79</v>
      </c>
    </row>
    <row r="646" customFormat="false" ht="14.25" hidden="false" customHeight="true" outlineLevel="0" collapsed="false">
      <c r="A646" s="51" t="n">
        <v>13185</v>
      </c>
      <c r="B646" s="52" t="n">
        <v>40619.4972222222</v>
      </c>
      <c r="C646" s="1" t="n">
        <v>1</v>
      </c>
      <c r="D646" s="1" t="n">
        <v>71.4</v>
      </c>
    </row>
    <row r="647" customFormat="false" ht="14.25" hidden="false" customHeight="true" outlineLevel="0" collapsed="false">
      <c r="A647" s="51" t="n">
        <v>13186</v>
      </c>
      <c r="B647" s="52" t="n">
        <v>40847.4861111111</v>
      </c>
      <c r="C647" s="1" t="n">
        <v>5</v>
      </c>
      <c r="D647" s="1" t="n">
        <v>1539.69</v>
      </c>
    </row>
    <row r="648" customFormat="false" ht="14.25" hidden="false" customHeight="true" outlineLevel="0" collapsed="false">
      <c r="A648" s="51" t="n">
        <v>13187</v>
      </c>
      <c r="B648" s="52" t="n">
        <v>40549.7895833333</v>
      </c>
      <c r="C648" s="1" t="n">
        <v>1</v>
      </c>
      <c r="D648" s="1" t="n">
        <v>236.02</v>
      </c>
    </row>
    <row r="649" customFormat="false" ht="14.25" hidden="false" customHeight="true" outlineLevel="0" collapsed="false">
      <c r="A649" s="51" t="n">
        <v>13188</v>
      </c>
      <c r="B649" s="52" t="n">
        <v>40875.6444444444</v>
      </c>
      <c r="C649" s="1" t="n">
        <v>1</v>
      </c>
      <c r="D649" s="1" t="n">
        <v>114.6</v>
      </c>
    </row>
    <row r="650" customFormat="false" ht="14.25" hidden="false" customHeight="true" outlineLevel="0" collapsed="false">
      <c r="A650" s="51" t="n">
        <v>13189</v>
      </c>
      <c r="B650" s="52" t="n">
        <v>40868.44375</v>
      </c>
      <c r="C650" s="1" t="n">
        <v>2</v>
      </c>
      <c r="D650" s="1" t="n">
        <v>260.68</v>
      </c>
    </row>
    <row r="651" customFormat="false" ht="14.25" hidden="false" customHeight="true" outlineLevel="0" collapsed="false">
      <c r="A651" s="51" t="n">
        <v>13192</v>
      </c>
      <c r="B651" s="52" t="n">
        <v>40791.5923611111</v>
      </c>
      <c r="C651" s="1" t="n">
        <v>2</v>
      </c>
      <c r="D651" s="1" t="n">
        <v>911.94</v>
      </c>
    </row>
    <row r="652" customFormat="false" ht="14.25" hidden="false" customHeight="true" outlineLevel="0" collapsed="false">
      <c r="A652" s="51" t="n">
        <v>13193</v>
      </c>
      <c r="B652" s="52" t="n">
        <v>40825.6041666667</v>
      </c>
      <c r="C652" s="1" t="n">
        <v>1</v>
      </c>
      <c r="D652" s="1" t="n">
        <v>117.88</v>
      </c>
    </row>
    <row r="653" customFormat="false" ht="14.25" hidden="false" customHeight="true" outlineLevel="0" collapsed="false">
      <c r="A653" s="51" t="n">
        <v>13194</v>
      </c>
      <c r="B653" s="52" t="n">
        <v>40751.3756944445</v>
      </c>
      <c r="C653" s="1" t="n">
        <v>1</v>
      </c>
      <c r="D653" s="1" t="n">
        <v>60.7</v>
      </c>
    </row>
    <row r="654" customFormat="false" ht="14.25" hidden="false" customHeight="true" outlineLevel="0" collapsed="false">
      <c r="A654" s="51" t="n">
        <v>13196</v>
      </c>
      <c r="B654" s="52" t="n">
        <v>40875.5791666667</v>
      </c>
      <c r="C654" s="1" t="n">
        <v>4</v>
      </c>
      <c r="D654" s="1" t="n">
        <v>1797.78</v>
      </c>
    </row>
    <row r="655" customFormat="false" ht="14.25" hidden="false" customHeight="true" outlineLevel="0" collapsed="false">
      <c r="A655" s="51" t="n">
        <v>13198</v>
      </c>
      <c r="B655" s="52" t="n">
        <v>40876.6368055556</v>
      </c>
      <c r="C655" s="1" t="n">
        <v>8</v>
      </c>
      <c r="D655" s="1" t="n">
        <v>3384.09</v>
      </c>
    </row>
    <row r="656" customFormat="false" ht="14.25" hidden="false" customHeight="true" outlineLevel="0" collapsed="false">
      <c r="A656" s="51" t="n">
        <v>13199</v>
      </c>
      <c r="B656" s="52" t="n">
        <v>40883.5208333333</v>
      </c>
      <c r="C656" s="1" t="n">
        <v>39</v>
      </c>
      <c r="D656" s="1" t="n">
        <v>9803.96</v>
      </c>
    </row>
    <row r="657" customFormat="false" ht="14.25" hidden="false" customHeight="true" outlineLevel="0" collapsed="false">
      <c r="A657" s="51" t="n">
        <v>13200</v>
      </c>
      <c r="B657" s="52" t="n">
        <v>40867.6493055556</v>
      </c>
      <c r="C657" s="1" t="n">
        <v>4</v>
      </c>
      <c r="D657" s="1" t="n">
        <v>870.09</v>
      </c>
    </row>
    <row r="658" customFormat="false" ht="14.25" hidden="false" customHeight="true" outlineLevel="0" collapsed="false">
      <c r="A658" s="51" t="n">
        <v>13203</v>
      </c>
      <c r="B658" s="52" t="n">
        <v>40877.4479166667</v>
      </c>
      <c r="C658" s="1" t="n">
        <v>4</v>
      </c>
      <c r="D658" s="1" t="n">
        <v>869.46</v>
      </c>
    </row>
    <row r="659" customFormat="false" ht="14.25" hidden="false" customHeight="true" outlineLevel="0" collapsed="false">
      <c r="A659" s="51" t="n">
        <v>13207</v>
      </c>
      <c r="B659" s="52" t="n">
        <v>40871.6194444444</v>
      </c>
      <c r="C659" s="1" t="n">
        <v>2</v>
      </c>
      <c r="D659" s="1" t="n">
        <v>250.26</v>
      </c>
    </row>
    <row r="660" customFormat="false" ht="14.25" hidden="false" customHeight="true" outlineLevel="0" collapsed="false">
      <c r="A660" s="51" t="n">
        <v>13208</v>
      </c>
      <c r="B660" s="52" t="n">
        <v>40828.4125</v>
      </c>
      <c r="C660" s="1" t="n">
        <v>7</v>
      </c>
      <c r="D660" s="1" t="n">
        <v>1205.9</v>
      </c>
    </row>
    <row r="661" customFormat="false" ht="14.25" hidden="false" customHeight="true" outlineLevel="0" collapsed="false">
      <c r="A661" s="51" t="n">
        <v>13209</v>
      </c>
      <c r="B661" s="52" t="n">
        <v>40856.5791666667</v>
      </c>
      <c r="C661" s="1" t="n">
        <v>11</v>
      </c>
      <c r="D661" s="1" t="n">
        <v>5820.16</v>
      </c>
    </row>
    <row r="662" customFormat="false" ht="14.25" hidden="false" customHeight="true" outlineLevel="0" collapsed="false">
      <c r="A662" s="51" t="n">
        <v>13210</v>
      </c>
      <c r="B662" s="52" t="n">
        <v>40793.3458333333</v>
      </c>
      <c r="C662" s="1" t="n">
        <v>1</v>
      </c>
      <c r="D662" s="1" t="n">
        <v>353.48</v>
      </c>
    </row>
    <row r="663" customFormat="false" ht="14.25" hidden="false" customHeight="true" outlineLevel="0" collapsed="false">
      <c r="A663" s="51" t="n">
        <v>13211</v>
      </c>
      <c r="B663" s="52" t="n">
        <v>40876.6131944444</v>
      </c>
      <c r="C663" s="1" t="n">
        <v>3</v>
      </c>
      <c r="D663" s="1" t="n">
        <v>1197.42</v>
      </c>
    </row>
    <row r="664" customFormat="false" ht="14.25" hidden="false" customHeight="true" outlineLevel="0" collapsed="false">
      <c r="A664" s="51" t="n">
        <v>13212</v>
      </c>
      <c r="B664" s="52" t="n">
        <v>40877.6333333333</v>
      </c>
      <c r="C664" s="1" t="n">
        <v>4</v>
      </c>
      <c r="D664" s="1" t="n">
        <v>780.58</v>
      </c>
    </row>
    <row r="665" customFormat="false" ht="14.25" hidden="false" customHeight="true" outlineLevel="0" collapsed="false">
      <c r="A665" s="51" t="n">
        <v>13213</v>
      </c>
      <c r="B665" s="52" t="n">
        <v>40830.4875</v>
      </c>
      <c r="C665" s="1" t="n">
        <v>6</v>
      </c>
      <c r="D665" s="1" t="n">
        <v>1518.43</v>
      </c>
    </row>
    <row r="666" customFormat="false" ht="14.25" hidden="false" customHeight="true" outlineLevel="0" collapsed="false">
      <c r="A666" s="51" t="n">
        <v>13216</v>
      </c>
      <c r="B666" s="52" t="n">
        <v>40619.5125</v>
      </c>
      <c r="C666" s="1" t="n">
        <v>1</v>
      </c>
      <c r="D666" s="1" t="n">
        <v>333.74</v>
      </c>
    </row>
    <row r="667" customFormat="false" ht="14.25" hidden="false" customHeight="true" outlineLevel="0" collapsed="false">
      <c r="A667" s="51" t="n">
        <v>13217</v>
      </c>
      <c r="B667" s="52" t="n">
        <v>40764.6472222222</v>
      </c>
      <c r="C667" s="1" t="n">
        <v>5</v>
      </c>
      <c r="D667" s="1" t="n">
        <v>133.62</v>
      </c>
    </row>
    <row r="668" customFormat="false" ht="14.25" hidden="false" customHeight="true" outlineLevel="0" collapsed="false">
      <c r="A668" s="51" t="n">
        <v>13218</v>
      </c>
      <c r="B668" s="52" t="n">
        <v>40759.7076388889</v>
      </c>
      <c r="C668" s="1" t="n">
        <v>1</v>
      </c>
      <c r="D668" s="1" t="n">
        <v>62.64</v>
      </c>
    </row>
    <row r="669" customFormat="false" ht="14.25" hidden="false" customHeight="true" outlineLevel="0" collapsed="false">
      <c r="A669" s="51" t="n">
        <v>13220</v>
      </c>
      <c r="B669" s="52" t="n">
        <v>40808.5680555556</v>
      </c>
      <c r="C669" s="1" t="n">
        <v>4</v>
      </c>
      <c r="D669" s="1" t="n">
        <v>819.29</v>
      </c>
    </row>
    <row r="670" customFormat="false" ht="14.25" hidden="false" customHeight="true" outlineLevel="0" collapsed="false">
      <c r="A670" s="51" t="n">
        <v>13221</v>
      </c>
      <c r="B670" s="52" t="n">
        <v>40646.7069444444</v>
      </c>
      <c r="C670" s="1" t="n">
        <v>2</v>
      </c>
      <c r="D670" s="1" t="n">
        <v>847.41</v>
      </c>
    </row>
    <row r="671" customFormat="false" ht="14.25" hidden="false" customHeight="true" outlineLevel="0" collapsed="false">
      <c r="A671" s="51" t="n">
        <v>13223</v>
      </c>
      <c r="B671" s="52" t="n">
        <v>40686.54375</v>
      </c>
      <c r="C671" s="1" t="n">
        <v>2</v>
      </c>
      <c r="D671" s="1" t="n">
        <v>163.2</v>
      </c>
    </row>
    <row r="672" customFormat="false" ht="14.25" hidden="false" customHeight="true" outlineLevel="0" collapsed="false">
      <c r="A672" s="51" t="n">
        <v>13224</v>
      </c>
      <c r="B672" s="52" t="n">
        <v>40826.625</v>
      </c>
      <c r="C672" s="1" t="n">
        <v>3</v>
      </c>
      <c r="D672" s="1" t="n">
        <v>2150.85</v>
      </c>
    </row>
    <row r="673" customFormat="false" ht="14.25" hidden="false" customHeight="true" outlineLevel="0" collapsed="false">
      <c r="A673" s="51" t="n">
        <v>13225</v>
      </c>
      <c r="B673" s="52" t="n">
        <v>40883.5618055556</v>
      </c>
      <c r="C673" s="1" t="n">
        <v>8</v>
      </c>
      <c r="D673" s="1" t="n">
        <v>6083.04</v>
      </c>
    </row>
    <row r="674" customFormat="false" ht="14.25" hidden="false" customHeight="true" outlineLevel="0" collapsed="false">
      <c r="A674" s="51" t="n">
        <v>13226</v>
      </c>
      <c r="B674" s="52" t="n">
        <v>40613.6076388889</v>
      </c>
      <c r="C674" s="1" t="n">
        <v>1</v>
      </c>
      <c r="D674" s="1" t="n">
        <v>108.21</v>
      </c>
    </row>
    <row r="675" customFormat="false" ht="14.25" hidden="false" customHeight="true" outlineLevel="0" collapsed="false">
      <c r="A675" s="51" t="n">
        <v>13227</v>
      </c>
      <c r="B675" s="52" t="n">
        <v>40685.4909722222</v>
      </c>
      <c r="C675" s="1" t="n">
        <v>1</v>
      </c>
      <c r="D675" s="1" t="n">
        <v>257.7</v>
      </c>
    </row>
    <row r="676" customFormat="false" ht="14.25" hidden="false" customHeight="true" outlineLevel="0" collapsed="false">
      <c r="A676" s="51" t="n">
        <v>13228</v>
      </c>
      <c r="B676" s="52" t="n">
        <v>40805.6027777778</v>
      </c>
      <c r="C676" s="1" t="n">
        <v>1</v>
      </c>
      <c r="D676" s="1" t="n">
        <v>358</v>
      </c>
    </row>
    <row r="677" customFormat="false" ht="14.25" hidden="false" customHeight="true" outlineLevel="0" collapsed="false">
      <c r="A677" s="51" t="n">
        <v>13229</v>
      </c>
      <c r="B677" s="52" t="n">
        <v>40661.5048611111</v>
      </c>
      <c r="C677" s="1" t="n">
        <v>1</v>
      </c>
      <c r="D677" s="1" t="n">
        <v>160.95</v>
      </c>
    </row>
    <row r="678" customFormat="false" ht="14.25" hidden="false" customHeight="true" outlineLevel="0" collapsed="false">
      <c r="A678" s="51" t="n">
        <v>13230</v>
      </c>
      <c r="B678" s="52" t="n">
        <v>40882.66875</v>
      </c>
      <c r="C678" s="1" t="n">
        <v>15</v>
      </c>
      <c r="D678" s="1" t="n">
        <v>2763.41</v>
      </c>
    </row>
    <row r="679" customFormat="false" ht="14.25" hidden="false" customHeight="true" outlineLevel="0" collapsed="false">
      <c r="A679" s="51" t="n">
        <v>13232</v>
      </c>
      <c r="B679" s="52" t="n">
        <v>40874.44375</v>
      </c>
      <c r="C679" s="1" t="n">
        <v>7</v>
      </c>
      <c r="D679" s="1" t="n">
        <v>1357.6</v>
      </c>
    </row>
    <row r="680" customFormat="false" ht="14.25" hidden="false" customHeight="true" outlineLevel="0" collapsed="false">
      <c r="A680" s="51" t="n">
        <v>13233</v>
      </c>
      <c r="B680" s="52" t="n">
        <v>40812.5590277778</v>
      </c>
      <c r="C680" s="1" t="n">
        <v>2</v>
      </c>
      <c r="D680" s="1" t="n">
        <v>605.12</v>
      </c>
    </row>
    <row r="681" customFormat="false" ht="14.25" hidden="false" customHeight="true" outlineLevel="0" collapsed="false">
      <c r="A681" s="51" t="n">
        <v>13235</v>
      </c>
      <c r="B681" s="52" t="n">
        <v>40675.4083333333</v>
      </c>
      <c r="C681" s="1" t="n">
        <v>2</v>
      </c>
      <c r="D681" s="1" t="n">
        <v>101.17</v>
      </c>
    </row>
    <row r="682" customFormat="false" ht="14.25" hidden="false" customHeight="true" outlineLevel="0" collapsed="false">
      <c r="A682" s="51" t="n">
        <v>13236</v>
      </c>
      <c r="B682" s="52" t="n">
        <v>40862.5347222222</v>
      </c>
      <c r="C682" s="1" t="n">
        <v>3</v>
      </c>
      <c r="D682" s="1" t="n">
        <v>727.27</v>
      </c>
    </row>
    <row r="683" customFormat="false" ht="14.25" hidden="false" customHeight="true" outlineLevel="0" collapsed="false">
      <c r="A683" s="51" t="n">
        <v>13238</v>
      </c>
      <c r="B683" s="52" t="n">
        <v>40875.6458333333</v>
      </c>
      <c r="C683" s="1" t="n">
        <v>5</v>
      </c>
      <c r="D683" s="1" t="n">
        <v>680.83</v>
      </c>
    </row>
    <row r="684" customFormat="false" ht="14.25" hidden="false" customHeight="true" outlineLevel="0" collapsed="false">
      <c r="A684" s="51" t="n">
        <v>13239</v>
      </c>
      <c r="B684" s="52" t="n">
        <v>40625.4340277778</v>
      </c>
      <c r="C684" s="1" t="n">
        <v>1</v>
      </c>
      <c r="D684" s="1" t="n">
        <v>329.56</v>
      </c>
    </row>
    <row r="685" customFormat="false" ht="14.25" hidden="false" customHeight="true" outlineLevel="0" collapsed="false">
      <c r="A685" s="51" t="n">
        <v>13240</v>
      </c>
      <c r="B685" s="52" t="n">
        <v>40790.5888888889</v>
      </c>
      <c r="C685" s="1" t="n">
        <v>4</v>
      </c>
      <c r="D685" s="1" t="n">
        <v>663.65</v>
      </c>
    </row>
    <row r="686" customFormat="false" ht="14.25" hidden="false" customHeight="true" outlineLevel="0" collapsed="false">
      <c r="A686" s="51" t="n">
        <v>13242</v>
      </c>
      <c r="B686" s="52" t="n">
        <v>40774.5368055556</v>
      </c>
      <c r="C686" s="1" t="n">
        <v>3</v>
      </c>
      <c r="D686" s="1" t="n">
        <v>270.4</v>
      </c>
    </row>
    <row r="687" customFormat="false" ht="14.25" hidden="false" customHeight="true" outlineLevel="0" collapsed="false">
      <c r="A687" s="51" t="n">
        <v>13243</v>
      </c>
      <c r="B687" s="52" t="n">
        <v>40683.5513888889</v>
      </c>
      <c r="C687" s="1" t="n">
        <v>1</v>
      </c>
      <c r="D687" s="1" t="n">
        <v>600.07</v>
      </c>
    </row>
    <row r="688" customFormat="false" ht="14.25" hidden="false" customHeight="true" outlineLevel="0" collapsed="false">
      <c r="A688" s="51" t="n">
        <v>13244</v>
      </c>
      <c r="B688" s="52" t="n">
        <v>40794.4902777778</v>
      </c>
      <c r="C688" s="1" t="n">
        <v>1</v>
      </c>
      <c r="D688" s="1" t="n">
        <v>121.74</v>
      </c>
    </row>
    <row r="689" customFormat="false" ht="14.25" hidden="false" customHeight="true" outlineLevel="0" collapsed="false">
      <c r="A689" s="51" t="n">
        <v>13245</v>
      </c>
      <c r="B689" s="52" t="n">
        <v>40836.4861111111</v>
      </c>
      <c r="C689" s="1" t="n">
        <v>1</v>
      </c>
      <c r="D689" s="1" t="n">
        <v>430.5</v>
      </c>
    </row>
    <row r="690" customFormat="false" ht="14.25" hidden="false" customHeight="true" outlineLevel="0" collapsed="false">
      <c r="A690" s="51" t="n">
        <v>13246</v>
      </c>
      <c r="B690" s="52" t="n">
        <v>40868.7013888889</v>
      </c>
      <c r="C690" s="1" t="n">
        <v>7</v>
      </c>
      <c r="D690" s="1" t="n">
        <v>1922.1</v>
      </c>
    </row>
    <row r="691" customFormat="false" ht="14.25" hidden="false" customHeight="true" outlineLevel="0" collapsed="false">
      <c r="A691" s="51" t="n">
        <v>13247</v>
      </c>
      <c r="B691" s="52" t="n">
        <v>40869.4576388889</v>
      </c>
      <c r="C691" s="1" t="n">
        <v>4</v>
      </c>
      <c r="D691" s="1" t="n">
        <v>501.12</v>
      </c>
    </row>
    <row r="692" customFormat="false" ht="14.25" hidden="false" customHeight="true" outlineLevel="0" collapsed="false">
      <c r="A692" s="51" t="n">
        <v>13248</v>
      </c>
      <c r="B692" s="52" t="n">
        <v>40762.5277777778</v>
      </c>
      <c r="C692" s="1" t="n">
        <v>2</v>
      </c>
      <c r="D692" s="1" t="n">
        <v>465.68</v>
      </c>
    </row>
    <row r="693" customFormat="false" ht="14.25" hidden="false" customHeight="true" outlineLevel="0" collapsed="false">
      <c r="A693" s="51" t="n">
        <v>13249</v>
      </c>
      <c r="B693" s="52" t="n">
        <v>40794.5597222222</v>
      </c>
      <c r="C693" s="1" t="n">
        <v>3</v>
      </c>
      <c r="D693" s="1" t="n">
        <v>711.41</v>
      </c>
    </row>
    <row r="694" customFormat="false" ht="14.25" hidden="false" customHeight="true" outlineLevel="0" collapsed="false">
      <c r="A694" s="51" t="n">
        <v>13253</v>
      </c>
      <c r="B694" s="52" t="n">
        <v>40730.4229166667</v>
      </c>
      <c r="C694" s="1" t="n">
        <v>2</v>
      </c>
      <c r="D694" s="1" t="n">
        <v>1030.4</v>
      </c>
    </row>
    <row r="695" customFormat="false" ht="14.25" hidden="false" customHeight="true" outlineLevel="0" collapsed="false">
      <c r="A695" s="51" t="n">
        <v>13255</v>
      </c>
      <c r="B695" s="52" t="n">
        <v>40883.4555555556</v>
      </c>
      <c r="C695" s="1" t="n">
        <v>3</v>
      </c>
      <c r="D695" s="1" t="n">
        <v>390.66</v>
      </c>
    </row>
    <row r="696" customFormat="false" ht="14.25" hidden="false" customHeight="true" outlineLevel="0" collapsed="false">
      <c r="A696" s="51" t="n">
        <v>13256</v>
      </c>
      <c r="B696" s="52" t="n">
        <v>40872.6645833333</v>
      </c>
      <c r="C696" s="1" t="n">
        <v>1</v>
      </c>
      <c r="D696" s="1" t="n">
        <v>0</v>
      </c>
    </row>
    <row r="697" customFormat="false" ht="14.25" hidden="false" customHeight="true" outlineLevel="0" collapsed="false">
      <c r="A697" s="51" t="n">
        <v>13258</v>
      </c>
      <c r="B697" s="52" t="n">
        <v>40875.3965277778</v>
      </c>
      <c r="C697" s="1" t="n">
        <v>3</v>
      </c>
      <c r="D697" s="1" t="n">
        <v>698.58</v>
      </c>
    </row>
    <row r="698" customFormat="false" ht="14.25" hidden="false" customHeight="true" outlineLevel="0" collapsed="false">
      <c r="A698" s="51" t="n">
        <v>13259</v>
      </c>
      <c r="B698" s="52" t="n">
        <v>40825.45</v>
      </c>
      <c r="C698" s="1" t="n">
        <v>1</v>
      </c>
      <c r="D698" s="1" t="n">
        <v>292.32</v>
      </c>
    </row>
    <row r="699" customFormat="false" ht="14.25" hidden="false" customHeight="true" outlineLevel="0" collapsed="false">
      <c r="A699" s="51" t="n">
        <v>13260</v>
      </c>
      <c r="B699" s="52" t="n">
        <v>40825.55625</v>
      </c>
      <c r="C699" s="1" t="n">
        <v>1</v>
      </c>
      <c r="D699" s="1" t="n">
        <v>557.62</v>
      </c>
    </row>
    <row r="700" customFormat="false" ht="14.25" hidden="false" customHeight="true" outlineLevel="0" collapsed="false">
      <c r="A700" s="51" t="n">
        <v>13261</v>
      </c>
      <c r="B700" s="52" t="n">
        <v>40618.5152777778</v>
      </c>
      <c r="C700" s="1" t="n">
        <v>2</v>
      </c>
      <c r="D700" s="1" t="n">
        <v>944.1</v>
      </c>
    </row>
    <row r="701" customFormat="false" ht="14.25" hidden="false" customHeight="true" outlineLevel="0" collapsed="false">
      <c r="A701" s="51" t="n">
        <v>13262</v>
      </c>
      <c r="B701" s="52" t="n">
        <v>40623.6291666667</v>
      </c>
      <c r="C701" s="1" t="n">
        <v>1</v>
      </c>
      <c r="D701" s="1" t="n">
        <v>200.29</v>
      </c>
    </row>
    <row r="702" customFormat="false" ht="14.25" hidden="false" customHeight="true" outlineLevel="0" collapsed="false">
      <c r="A702" s="51" t="n">
        <v>13263</v>
      </c>
      <c r="B702" s="52" t="n">
        <v>40885.5826388889</v>
      </c>
      <c r="C702" s="1" t="n">
        <v>35</v>
      </c>
      <c r="D702" s="1" t="n">
        <v>7454.06999999997</v>
      </c>
    </row>
    <row r="703" customFormat="false" ht="14.25" hidden="false" customHeight="true" outlineLevel="0" collapsed="false">
      <c r="A703" s="51" t="n">
        <v>13265</v>
      </c>
      <c r="B703" s="52" t="n">
        <v>40833.6263888889</v>
      </c>
      <c r="C703" s="1" t="n">
        <v>5</v>
      </c>
      <c r="D703" s="1" t="n">
        <v>2107.66</v>
      </c>
    </row>
    <row r="704" customFormat="false" ht="14.25" hidden="false" customHeight="true" outlineLevel="0" collapsed="false">
      <c r="A704" s="51" t="n">
        <v>13266</v>
      </c>
      <c r="B704" s="52" t="n">
        <v>40875.6104166667</v>
      </c>
      <c r="C704" s="1" t="n">
        <v>19</v>
      </c>
      <c r="D704" s="1" t="n">
        <v>3717.67</v>
      </c>
    </row>
    <row r="705" customFormat="false" ht="14.25" hidden="false" customHeight="true" outlineLevel="0" collapsed="false">
      <c r="A705" s="51" t="n">
        <v>13267</v>
      </c>
      <c r="B705" s="52" t="n">
        <v>40884.4666666667</v>
      </c>
      <c r="C705" s="1" t="n">
        <v>27</v>
      </c>
      <c r="D705" s="1" t="n">
        <v>4404.44</v>
      </c>
    </row>
    <row r="706" customFormat="false" ht="14.25" hidden="false" customHeight="true" outlineLevel="0" collapsed="false">
      <c r="A706" s="51" t="n">
        <v>13268</v>
      </c>
      <c r="B706" s="52" t="n">
        <v>40869.49375</v>
      </c>
      <c r="C706" s="1" t="n">
        <v>15</v>
      </c>
      <c r="D706" s="1" t="n">
        <v>3167.64</v>
      </c>
    </row>
    <row r="707" customFormat="false" ht="14.25" hidden="false" customHeight="true" outlineLevel="0" collapsed="false">
      <c r="A707" s="51" t="n">
        <v>13269</v>
      </c>
      <c r="B707" s="52" t="n">
        <v>40885.6201388889</v>
      </c>
      <c r="C707" s="1" t="n">
        <v>17</v>
      </c>
      <c r="D707" s="1" t="n">
        <v>5315.92</v>
      </c>
    </row>
    <row r="708" customFormat="false" ht="14.25" hidden="false" customHeight="true" outlineLevel="0" collapsed="false">
      <c r="A708" s="51" t="n">
        <v>13270</v>
      </c>
      <c r="B708" s="52" t="n">
        <v>40520.6201388889</v>
      </c>
      <c r="C708" s="1" t="n">
        <v>1</v>
      </c>
      <c r="D708" s="1" t="n">
        <v>590</v>
      </c>
    </row>
    <row r="709" customFormat="false" ht="14.25" hidden="false" customHeight="true" outlineLevel="0" collapsed="false">
      <c r="A709" s="51" t="n">
        <v>13271</v>
      </c>
      <c r="B709" s="52" t="n">
        <v>40849.6131944444</v>
      </c>
      <c r="C709" s="1" t="n">
        <v>2</v>
      </c>
      <c r="D709" s="1" t="n">
        <v>178.26</v>
      </c>
    </row>
    <row r="710" customFormat="false" ht="14.25" hidden="false" customHeight="true" outlineLevel="0" collapsed="false">
      <c r="A710" s="51" t="n">
        <v>13272</v>
      </c>
      <c r="B710" s="52" t="n">
        <v>40855.5833333333</v>
      </c>
      <c r="C710" s="1" t="n">
        <v>2</v>
      </c>
      <c r="D710" s="1" t="n">
        <v>276.56</v>
      </c>
    </row>
    <row r="711" customFormat="false" ht="14.25" hidden="false" customHeight="true" outlineLevel="0" collapsed="false">
      <c r="A711" s="51" t="n">
        <v>13273</v>
      </c>
      <c r="B711" s="52" t="n">
        <v>40773.5847222222</v>
      </c>
      <c r="C711" s="1" t="n">
        <v>1</v>
      </c>
      <c r="D711" s="1" t="n">
        <v>138.98</v>
      </c>
    </row>
    <row r="712" customFormat="false" ht="14.25" hidden="false" customHeight="true" outlineLevel="0" collapsed="false">
      <c r="A712" s="51" t="n">
        <v>13276</v>
      </c>
      <c r="B712" s="52" t="n">
        <v>40823.5305555556</v>
      </c>
      <c r="C712" s="1" t="n">
        <v>2</v>
      </c>
      <c r="D712" s="1" t="n">
        <v>590.93</v>
      </c>
    </row>
    <row r="713" customFormat="false" ht="14.25" hidden="false" customHeight="true" outlineLevel="0" collapsed="false">
      <c r="A713" s="51" t="n">
        <v>13277</v>
      </c>
      <c r="B713" s="52" t="n">
        <v>40871.3895833333</v>
      </c>
      <c r="C713" s="1" t="n">
        <v>4</v>
      </c>
      <c r="D713" s="1" t="n">
        <v>258.4</v>
      </c>
    </row>
    <row r="714" customFormat="false" ht="14.25" hidden="false" customHeight="true" outlineLevel="0" collapsed="false">
      <c r="A714" s="51" t="n">
        <v>13278</v>
      </c>
      <c r="B714" s="52" t="n">
        <v>40846.4923611111</v>
      </c>
      <c r="C714" s="1" t="n">
        <v>1</v>
      </c>
      <c r="D714" s="1" t="n">
        <v>542.73</v>
      </c>
    </row>
    <row r="715" customFormat="false" ht="14.25" hidden="false" customHeight="true" outlineLevel="0" collapsed="false">
      <c r="A715" s="51" t="n">
        <v>13279</v>
      </c>
      <c r="B715" s="52" t="n">
        <v>40822.7854166667</v>
      </c>
      <c r="C715" s="1" t="n">
        <v>2</v>
      </c>
      <c r="D715" s="1" t="n">
        <v>126.3</v>
      </c>
    </row>
    <row r="716" customFormat="false" ht="14.25" hidden="false" customHeight="true" outlineLevel="0" collapsed="false">
      <c r="A716" s="51" t="n">
        <v>13280</v>
      </c>
      <c r="B716" s="52" t="n">
        <v>40764.5513888889</v>
      </c>
      <c r="C716" s="1" t="n">
        <v>3</v>
      </c>
      <c r="D716" s="1" t="n">
        <v>814.86</v>
      </c>
    </row>
    <row r="717" customFormat="false" ht="14.25" hidden="false" customHeight="true" outlineLevel="0" collapsed="false">
      <c r="A717" s="51" t="n">
        <v>13282</v>
      </c>
      <c r="B717" s="52" t="n">
        <v>40868.6479166667</v>
      </c>
      <c r="C717" s="1" t="n">
        <v>6</v>
      </c>
      <c r="D717" s="1" t="n">
        <v>1047.84</v>
      </c>
    </row>
    <row r="718" customFormat="false" ht="14.25" hidden="false" customHeight="true" outlineLevel="0" collapsed="false">
      <c r="A718" s="51" t="n">
        <v>13283</v>
      </c>
      <c r="B718" s="52" t="n">
        <v>40827.4097222222</v>
      </c>
      <c r="C718" s="1" t="n">
        <v>2</v>
      </c>
      <c r="D718" s="1" t="n">
        <v>93.66</v>
      </c>
    </row>
    <row r="719" customFormat="false" ht="14.25" hidden="false" customHeight="true" outlineLevel="0" collapsed="false">
      <c r="A719" s="51" t="n">
        <v>13284</v>
      </c>
      <c r="B719" s="52" t="n">
        <v>40564.4340277778</v>
      </c>
      <c r="C719" s="1" t="n">
        <v>2</v>
      </c>
      <c r="D719" s="1" t="n">
        <v>196.15</v>
      </c>
    </row>
    <row r="720" customFormat="false" ht="14.25" hidden="false" customHeight="true" outlineLevel="0" collapsed="false">
      <c r="A720" s="51" t="n">
        <v>13285</v>
      </c>
      <c r="B720" s="52" t="n">
        <v>40863.5548611111</v>
      </c>
      <c r="C720" s="1" t="n">
        <v>4</v>
      </c>
      <c r="D720" s="1" t="n">
        <v>2709.12</v>
      </c>
    </row>
    <row r="721" customFormat="false" ht="14.25" hidden="false" customHeight="true" outlineLevel="0" collapsed="false">
      <c r="A721" s="51" t="n">
        <v>13291</v>
      </c>
      <c r="B721" s="52" t="n">
        <v>40731.4416666667</v>
      </c>
      <c r="C721" s="1" t="n">
        <v>1</v>
      </c>
      <c r="D721" s="1" t="n">
        <v>361.11</v>
      </c>
    </row>
    <row r="722" customFormat="false" ht="14.25" hidden="false" customHeight="true" outlineLevel="0" collapsed="false">
      <c r="A722" s="51" t="n">
        <v>13292</v>
      </c>
      <c r="B722" s="52" t="n">
        <v>40848.4194444444</v>
      </c>
      <c r="C722" s="1" t="n">
        <v>2</v>
      </c>
      <c r="D722" s="1" t="n">
        <v>578.94</v>
      </c>
    </row>
    <row r="723" customFormat="false" ht="14.25" hidden="false" customHeight="true" outlineLevel="0" collapsed="false">
      <c r="A723" s="51" t="n">
        <v>13294</v>
      </c>
      <c r="B723" s="52" t="n">
        <v>40697.3708333333</v>
      </c>
      <c r="C723" s="1" t="n">
        <v>2</v>
      </c>
      <c r="D723" s="1" t="n">
        <v>873.74</v>
      </c>
    </row>
    <row r="724" customFormat="false" ht="14.25" hidden="false" customHeight="true" outlineLevel="0" collapsed="false">
      <c r="A724" s="51" t="n">
        <v>13295</v>
      </c>
      <c r="B724" s="52" t="n">
        <v>40527.4729166667</v>
      </c>
      <c r="C724" s="1" t="n">
        <v>2</v>
      </c>
      <c r="D724" s="1" t="n">
        <v>197.95</v>
      </c>
    </row>
    <row r="725" customFormat="false" ht="14.25" hidden="false" customHeight="true" outlineLevel="0" collapsed="false">
      <c r="A725" s="51" t="n">
        <v>13296</v>
      </c>
      <c r="B725" s="52" t="n">
        <v>40749.5736111111</v>
      </c>
      <c r="C725" s="1" t="n">
        <v>1</v>
      </c>
      <c r="D725" s="1" t="n">
        <v>87.4</v>
      </c>
    </row>
    <row r="726" customFormat="false" ht="14.25" hidden="false" customHeight="true" outlineLevel="0" collapsed="false">
      <c r="A726" s="51" t="n">
        <v>13297</v>
      </c>
      <c r="B726" s="52" t="n">
        <v>40879.3972222222</v>
      </c>
      <c r="C726" s="1" t="n">
        <v>4</v>
      </c>
      <c r="D726" s="1" t="n">
        <v>2089.85</v>
      </c>
    </row>
    <row r="727" customFormat="false" ht="14.25" hidden="false" customHeight="true" outlineLevel="0" collapsed="false">
      <c r="A727" s="51" t="n">
        <v>13298</v>
      </c>
      <c r="B727" s="52" t="n">
        <v>40885.5493055556</v>
      </c>
      <c r="C727" s="1" t="n">
        <v>1</v>
      </c>
      <c r="D727" s="1" t="n">
        <v>360</v>
      </c>
    </row>
    <row r="728" customFormat="false" ht="14.25" hidden="false" customHeight="true" outlineLevel="0" collapsed="false">
      <c r="A728" s="51" t="n">
        <v>13299</v>
      </c>
      <c r="B728" s="52" t="n">
        <v>40618.5381944445</v>
      </c>
      <c r="C728" s="1" t="n">
        <v>1</v>
      </c>
      <c r="D728" s="1" t="n">
        <v>142.5</v>
      </c>
    </row>
    <row r="729" customFormat="false" ht="14.25" hidden="false" customHeight="true" outlineLevel="0" collapsed="false">
      <c r="A729" s="51" t="n">
        <v>13300</v>
      </c>
      <c r="B729" s="52" t="n">
        <v>40722.4993055556</v>
      </c>
      <c r="C729" s="1" t="n">
        <v>2</v>
      </c>
      <c r="D729" s="1" t="n">
        <v>365.29</v>
      </c>
    </row>
    <row r="730" customFormat="false" ht="14.25" hidden="false" customHeight="true" outlineLevel="0" collapsed="false">
      <c r="A730" s="51" t="n">
        <v>13301</v>
      </c>
      <c r="B730" s="52" t="n">
        <v>40783.4756944445</v>
      </c>
      <c r="C730" s="1" t="n">
        <v>4</v>
      </c>
      <c r="D730" s="1" t="n">
        <v>618.09</v>
      </c>
    </row>
    <row r="731" customFormat="false" ht="14.25" hidden="false" customHeight="true" outlineLevel="0" collapsed="false">
      <c r="A731" s="51" t="n">
        <v>13302</v>
      </c>
      <c r="B731" s="52" t="n">
        <v>40731.7472222222</v>
      </c>
      <c r="C731" s="1" t="n">
        <v>1</v>
      </c>
      <c r="D731" s="1" t="n">
        <v>63.75</v>
      </c>
    </row>
    <row r="732" customFormat="false" ht="14.25" hidden="false" customHeight="true" outlineLevel="0" collapsed="false">
      <c r="A732" s="51" t="n">
        <v>13304</v>
      </c>
      <c r="B732" s="52" t="n">
        <v>40535.6076388889</v>
      </c>
      <c r="C732" s="1" t="n">
        <v>1</v>
      </c>
      <c r="D732" s="1" t="n">
        <v>300.42</v>
      </c>
    </row>
    <row r="733" customFormat="false" ht="14.25" hidden="false" customHeight="true" outlineLevel="0" collapsed="false">
      <c r="A733" s="51" t="n">
        <v>13305</v>
      </c>
      <c r="B733" s="52" t="n">
        <v>40882.6354166667</v>
      </c>
      <c r="C733" s="1" t="n">
        <v>10</v>
      </c>
      <c r="D733" s="1" t="n">
        <v>2000.86</v>
      </c>
    </row>
    <row r="734" customFormat="false" ht="14.25" hidden="false" customHeight="true" outlineLevel="0" collapsed="false">
      <c r="A734" s="51" t="n">
        <v>13307</v>
      </c>
      <c r="B734" s="52" t="n">
        <v>40766.7180555556</v>
      </c>
      <c r="C734" s="1" t="n">
        <v>1</v>
      </c>
      <c r="D734" s="1" t="n">
        <v>15</v>
      </c>
    </row>
    <row r="735" customFormat="false" ht="14.25" hidden="false" customHeight="true" outlineLevel="0" collapsed="false">
      <c r="A735" s="51" t="n">
        <v>13308</v>
      </c>
      <c r="B735" s="52" t="n">
        <v>40864.3965277778</v>
      </c>
      <c r="C735" s="1" t="n">
        <v>4</v>
      </c>
      <c r="D735" s="1" t="n">
        <v>1367.61</v>
      </c>
    </row>
    <row r="736" customFormat="false" ht="14.25" hidden="false" customHeight="true" outlineLevel="0" collapsed="false">
      <c r="A736" s="51" t="n">
        <v>13309</v>
      </c>
      <c r="B736" s="52" t="n">
        <v>40879.6902777778</v>
      </c>
      <c r="C736" s="1" t="n">
        <v>5</v>
      </c>
      <c r="D736" s="1" t="n">
        <v>1456.79</v>
      </c>
    </row>
    <row r="737" customFormat="false" ht="14.25" hidden="false" customHeight="true" outlineLevel="0" collapsed="false">
      <c r="A737" s="51" t="n">
        <v>13310</v>
      </c>
      <c r="B737" s="52" t="n">
        <v>40878.3493055556</v>
      </c>
      <c r="C737" s="1" t="n">
        <v>6</v>
      </c>
      <c r="D737" s="1" t="n">
        <v>1083.63</v>
      </c>
    </row>
    <row r="738" customFormat="false" ht="14.25" hidden="false" customHeight="true" outlineLevel="0" collapsed="false">
      <c r="A738" s="51" t="n">
        <v>13311</v>
      </c>
      <c r="B738" s="52" t="n">
        <v>40882.5381944445</v>
      </c>
      <c r="C738" s="1" t="n">
        <v>2</v>
      </c>
      <c r="D738" s="1" t="n">
        <v>598.57</v>
      </c>
    </row>
    <row r="739" customFormat="false" ht="14.25" hidden="false" customHeight="true" outlineLevel="0" collapsed="false">
      <c r="A739" s="51" t="n">
        <v>13313</v>
      </c>
      <c r="B739" s="52" t="n">
        <v>40864.7</v>
      </c>
      <c r="C739" s="1" t="n">
        <v>5</v>
      </c>
      <c r="D739" s="1" t="n">
        <v>1555.32</v>
      </c>
    </row>
    <row r="740" customFormat="false" ht="14.25" hidden="false" customHeight="true" outlineLevel="0" collapsed="false">
      <c r="A740" s="51" t="n">
        <v>13314</v>
      </c>
      <c r="B740" s="52" t="n">
        <v>40885.5201388889</v>
      </c>
      <c r="C740" s="1" t="n">
        <v>4</v>
      </c>
      <c r="D740" s="1" t="n">
        <v>578.66</v>
      </c>
    </row>
    <row r="741" customFormat="false" ht="14.25" hidden="false" customHeight="true" outlineLevel="0" collapsed="false">
      <c r="A741" s="51" t="n">
        <v>13316</v>
      </c>
      <c r="B741" s="52" t="n">
        <v>40849.5694444445</v>
      </c>
      <c r="C741" s="1" t="n">
        <v>5</v>
      </c>
      <c r="D741" s="1" t="n">
        <v>5815.49</v>
      </c>
    </row>
    <row r="742" customFormat="false" ht="14.25" hidden="false" customHeight="true" outlineLevel="0" collapsed="false">
      <c r="A742" s="51" t="n">
        <v>13317</v>
      </c>
      <c r="B742" s="52" t="n">
        <v>40822.80625</v>
      </c>
      <c r="C742" s="1" t="n">
        <v>9</v>
      </c>
      <c r="D742" s="1" t="n">
        <v>2140.07</v>
      </c>
    </row>
    <row r="743" customFormat="false" ht="14.25" hidden="false" customHeight="true" outlineLevel="0" collapsed="false">
      <c r="A743" s="51" t="n">
        <v>13318</v>
      </c>
      <c r="B743" s="52" t="n">
        <v>40885.7854166667</v>
      </c>
      <c r="C743" s="1" t="n">
        <v>3</v>
      </c>
      <c r="D743" s="1" t="n">
        <v>640.76</v>
      </c>
    </row>
    <row r="744" customFormat="false" ht="14.25" hidden="false" customHeight="true" outlineLevel="0" collapsed="false">
      <c r="A744" s="51" t="n">
        <v>13319</v>
      </c>
      <c r="B744" s="52" t="n">
        <v>40881.5652777778</v>
      </c>
      <c r="C744" s="1" t="n">
        <v>36</v>
      </c>
      <c r="D744" s="1" t="n">
        <v>10664.34</v>
      </c>
    </row>
    <row r="745" customFormat="false" ht="14.25" hidden="false" customHeight="true" outlineLevel="0" collapsed="false">
      <c r="A745" s="51" t="n">
        <v>13320</v>
      </c>
      <c r="B745" s="52" t="n">
        <v>40816.5361111111</v>
      </c>
      <c r="C745" s="1" t="n">
        <v>6</v>
      </c>
      <c r="D745" s="1" t="n">
        <v>1491.7</v>
      </c>
    </row>
    <row r="746" customFormat="false" ht="14.25" hidden="false" customHeight="true" outlineLevel="0" collapsed="false">
      <c r="A746" s="51" t="n">
        <v>13321</v>
      </c>
      <c r="B746" s="52" t="n">
        <v>40814.6416666667</v>
      </c>
      <c r="C746" s="1" t="n">
        <v>2</v>
      </c>
      <c r="D746" s="1" t="n">
        <v>567.36</v>
      </c>
    </row>
    <row r="747" customFormat="false" ht="14.25" hidden="false" customHeight="true" outlineLevel="0" collapsed="false">
      <c r="A747" s="51" t="n">
        <v>13322</v>
      </c>
      <c r="B747" s="52" t="n">
        <v>40869.5979166667</v>
      </c>
      <c r="C747" s="1" t="n">
        <v>1</v>
      </c>
      <c r="D747" s="1" t="n">
        <v>199.48</v>
      </c>
    </row>
    <row r="748" customFormat="false" ht="14.25" hidden="false" customHeight="true" outlineLevel="0" collapsed="false">
      <c r="A748" s="51" t="n">
        <v>13323</v>
      </c>
      <c r="B748" s="52" t="n">
        <v>40883.7166666667</v>
      </c>
      <c r="C748" s="1" t="n">
        <v>5</v>
      </c>
      <c r="D748" s="1" t="n">
        <v>787.85</v>
      </c>
    </row>
    <row r="749" customFormat="false" ht="14.25" hidden="false" customHeight="true" outlineLevel="0" collapsed="false">
      <c r="A749" s="51" t="n">
        <v>13324</v>
      </c>
      <c r="B749" s="52" t="n">
        <v>40854.6604166667</v>
      </c>
      <c r="C749" s="1" t="n">
        <v>12</v>
      </c>
      <c r="D749" s="1" t="n">
        <v>7072.79999999999</v>
      </c>
    </row>
    <row r="750" customFormat="false" ht="14.25" hidden="false" customHeight="true" outlineLevel="0" collapsed="false">
      <c r="A750" s="51" t="n">
        <v>13325</v>
      </c>
      <c r="B750" s="52" t="n">
        <v>40805.4416666667</v>
      </c>
      <c r="C750" s="1" t="n">
        <v>1</v>
      </c>
      <c r="D750" s="1" t="n">
        <v>675.3</v>
      </c>
    </row>
    <row r="751" customFormat="false" ht="14.25" hidden="false" customHeight="true" outlineLevel="0" collapsed="false">
      <c r="A751" s="51" t="n">
        <v>13327</v>
      </c>
      <c r="B751" s="52" t="n">
        <v>40848.43125</v>
      </c>
      <c r="C751" s="1" t="n">
        <v>9</v>
      </c>
      <c r="D751" s="1" t="n">
        <v>3617.57</v>
      </c>
    </row>
    <row r="752" customFormat="false" ht="14.25" hidden="false" customHeight="true" outlineLevel="0" collapsed="false">
      <c r="A752" s="51" t="n">
        <v>13328</v>
      </c>
      <c r="B752" s="52" t="n">
        <v>40570.6402777778</v>
      </c>
      <c r="C752" s="1" t="n">
        <v>1</v>
      </c>
      <c r="D752" s="1" t="n">
        <v>1308.48</v>
      </c>
    </row>
    <row r="753" customFormat="false" ht="14.25" hidden="false" customHeight="true" outlineLevel="0" collapsed="false">
      <c r="A753" s="51" t="n">
        <v>13329</v>
      </c>
      <c r="B753" s="52" t="n">
        <v>40855.4368055556</v>
      </c>
      <c r="C753" s="1" t="n">
        <v>4</v>
      </c>
      <c r="D753" s="1" t="n">
        <v>740.4</v>
      </c>
    </row>
    <row r="754" customFormat="false" ht="14.25" hidden="false" customHeight="true" outlineLevel="0" collapsed="false">
      <c r="A754" s="51" t="n">
        <v>13330</v>
      </c>
      <c r="B754" s="52" t="n">
        <v>40794.51875</v>
      </c>
      <c r="C754" s="1" t="n">
        <v>3</v>
      </c>
      <c r="D754" s="1" t="n">
        <v>1140.93</v>
      </c>
    </row>
    <row r="755" customFormat="false" ht="14.25" hidden="false" customHeight="true" outlineLevel="0" collapsed="false">
      <c r="A755" s="51" t="n">
        <v>13332</v>
      </c>
      <c r="B755" s="52" t="n">
        <v>40872.5625</v>
      </c>
      <c r="C755" s="1" t="n">
        <v>1</v>
      </c>
      <c r="D755" s="1" t="n">
        <v>350.9</v>
      </c>
    </row>
    <row r="756" customFormat="false" ht="14.25" hidden="false" customHeight="true" outlineLevel="0" collapsed="false">
      <c r="A756" s="51" t="n">
        <v>13334</v>
      </c>
      <c r="B756" s="52" t="n">
        <v>40804.6395833333</v>
      </c>
      <c r="C756" s="1" t="n">
        <v>3</v>
      </c>
      <c r="D756" s="1" t="n">
        <v>3536.82</v>
      </c>
    </row>
    <row r="757" customFormat="false" ht="14.25" hidden="false" customHeight="true" outlineLevel="0" collapsed="false">
      <c r="A757" s="51" t="n">
        <v>13336</v>
      </c>
      <c r="B757" s="52" t="n">
        <v>40809.5868055556</v>
      </c>
      <c r="C757" s="1" t="n">
        <v>1</v>
      </c>
      <c r="D757" s="1" t="n">
        <v>795.12</v>
      </c>
    </row>
    <row r="758" customFormat="false" ht="14.25" hidden="false" customHeight="true" outlineLevel="0" collapsed="false">
      <c r="A758" s="51" t="n">
        <v>13338</v>
      </c>
      <c r="B758" s="52" t="n">
        <v>40732.6201388889</v>
      </c>
      <c r="C758" s="1" t="n">
        <v>3</v>
      </c>
      <c r="D758" s="1" t="n">
        <v>431.82</v>
      </c>
    </row>
    <row r="759" customFormat="false" ht="14.25" hidden="false" customHeight="true" outlineLevel="0" collapsed="false">
      <c r="A759" s="51" t="n">
        <v>13339</v>
      </c>
      <c r="B759" s="52" t="n">
        <v>40686.3548611111</v>
      </c>
      <c r="C759" s="1" t="n">
        <v>1</v>
      </c>
      <c r="D759" s="1" t="n">
        <v>860.12</v>
      </c>
    </row>
    <row r="760" customFormat="false" ht="14.25" hidden="false" customHeight="true" outlineLevel="0" collapsed="false">
      <c r="A760" s="51" t="n">
        <v>13340</v>
      </c>
      <c r="B760" s="52" t="n">
        <v>40841.5520833333</v>
      </c>
      <c r="C760" s="1" t="n">
        <v>7</v>
      </c>
      <c r="D760" s="1" t="n">
        <v>10736.48</v>
      </c>
    </row>
    <row r="761" customFormat="false" ht="14.25" hidden="false" customHeight="true" outlineLevel="0" collapsed="false">
      <c r="A761" s="51" t="n">
        <v>13341</v>
      </c>
      <c r="B761" s="52" t="n">
        <v>40626.4097222222</v>
      </c>
      <c r="C761" s="1" t="n">
        <v>1</v>
      </c>
      <c r="D761" s="1" t="n">
        <v>775.85</v>
      </c>
    </row>
    <row r="762" customFormat="false" ht="14.25" hidden="false" customHeight="true" outlineLevel="0" collapsed="false">
      <c r="A762" s="51" t="n">
        <v>13343</v>
      </c>
      <c r="B762" s="52" t="n">
        <v>40714.4840277778</v>
      </c>
      <c r="C762" s="1" t="n">
        <v>2</v>
      </c>
      <c r="D762" s="1" t="n">
        <v>303.93</v>
      </c>
    </row>
    <row r="763" customFormat="false" ht="14.25" hidden="false" customHeight="true" outlineLevel="0" collapsed="false">
      <c r="A763" s="51" t="n">
        <v>13344</v>
      </c>
      <c r="B763" s="52" t="n">
        <v>40819.40625</v>
      </c>
      <c r="C763" s="1" t="n">
        <v>3</v>
      </c>
      <c r="D763" s="1" t="n">
        <v>2543.72</v>
      </c>
    </row>
    <row r="764" customFormat="false" ht="14.25" hidden="false" customHeight="true" outlineLevel="0" collapsed="false">
      <c r="A764" s="51" t="n">
        <v>13345</v>
      </c>
      <c r="B764" s="52" t="n">
        <v>40610.3569444444</v>
      </c>
      <c r="C764" s="1" t="n">
        <v>2</v>
      </c>
      <c r="D764" s="1" t="n">
        <v>377.6</v>
      </c>
    </row>
    <row r="765" customFormat="false" ht="14.25" hidden="false" customHeight="true" outlineLevel="0" collapsed="false">
      <c r="A765" s="51" t="n">
        <v>13347</v>
      </c>
      <c r="B765" s="52" t="n">
        <v>40816.5611111111</v>
      </c>
      <c r="C765" s="1" t="n">
        <v>1</v>
      </c>
      <c r="D765" s="1" t="n">
        <v>341.36</v>
      </c>
    </row>
    <row r="766" customFormat="false" ht="14.25" hidden="false" customHeight="true" outlineLevel="0" collapsed="false">
      <c r="A766" s="51" t="n">
        <v>13348</v>
      </c>
      <c r="B766" s="52" t="n">
        <v>40822.7277777778</v>
      </c>
      <c r="C766" s="1" t="n">
        <v>1</v>
      </c>
      <c r="D766" s="1" t="n">
        <v>233.76</v>
      </c>
    </row>
    <row r="767" customFormat="false" ht="14.25" hidden="false" customHeight="true" outlineLevel="0" collapsed="false">
      <c r="A767" s="51" t="n">
        <v>13349</v>
      </c>
      <c r="B767" s="52" t="n">
        <v>40876.3381944444</v>
      </c>
      <c r="C767" s="1" t="n">
        <v>1</v>
      </c>
      <c r="D767" s="1" t="n">
        <v>247.32</v>
      </c>
    </row>
    <row r="768" customFormat="false" ht="14.25" hidden="false" customHeight="true" outlineLevel="0" collapsed="false">
      <c r="A768" s="51" t="n">
        <v>13350</v>
      </c>
      <c r="B768" s="52" t="n">
        <v>40870.6895833333</v>
      </c>
      <c r="C768" s="1" t="n">
        <v>3</v>
      </c>
      <c r="D768" s="1" t="n">
        <v>910.72</v>
      </c>
    </row>
    <row r="769" customFormat="false" ht="14.25" hidden="false" customHeight="true" outlineLevel="0" collapsed="false">
      <c r="A769" s="51" t="n">
        <v>13351</v>
      </c>
      <c r="B769" s="52" t="n">
        <v>40820.5381944445</v>
      </c>
      <c r="C769" s="1" t="n">
        <v>1</v>
      </c>
      <c r="D769" s="1" t="n">
        <v>373.94</v>
      </c>
    </row>
    <row r="770" customFormat="false" ht="14.25" hidden="false" customHeight="true" outlineLevel="0" collapsed="false">
      <c r="A770" s="51" t="n">
        <v>13352</v>
      </c>
      <c r="B770" s="52" t="n">
        <v>40879.4986111111</v>
      </c>
      <c r="C770" s="1" t="n">
        <v>2</v>
      </c>
      <c r="D770" s="1" t="n">
        <v>389.28</v>
      </c>
    </row>
    <row r="771" customFormat="false" ht="14.25" hidden="false" customHeight="true" outlineLevel="0" collapsed="false">
      <c r="A771" s="51" t="n">
        <v>13354</v>
      </c>
      <c r="B771" s="52" t="n">
        <v>40815.5534722222</v>
      </c>
      <c r="C771" s="1" t="n">
        <v>1</v>
      </c>
      <c r="D771" s="1" t="n">
        <v>743.53</v>
      </c>
    </row>
    <row r="772" customFormat="false" ht="14.25" hidden="false" customHeight="true" outlineLevel="0" collapsed="false">
      <c r="A772" s="51" t="n">
        <v>13355</v>
      </c>
      <c r="B772" s="52" t="n">
        <v>40764.6166666667</v>
      </c>
      <c r="C772" s="1" t="n">
        <v>1</v>
      </c>
      <c r="D772" s="1" t="n">
        <v>674.7</v>
      </c>
    </row>
    <row r="773" customFormat="false" ht="14.25" hidden="false" customHeight="true" outlineLevel="0" collapsed="false">
      <c r="A773" s="51" t="n">
        <v>13356</v>
      </c>
      <c r="B773" s="52" t="n">
        <v>40806.60625</v>
      </c>
      <c r="C773" s="1" t="n">
        <v>1</v>
      </c>
      <c r="D773" s="1" t="n">
        <v>768.24</v>
      </c>
    </row>
    <row r="774" customFormat="false" ht="14.25" hidden="false" customHeight="true" outlineLevel="0" collapsed="false">
      <c r="A774" s="51" t="n">
        <v>13357</v>
      </c>
      <c r="B774" s="52" t="n">
        <v>40629.5805555556</v>
      </c>
      <c r="C774" s="1" t="n">
        <v>1</v>
      </c>
      <c r="D774" s="1" t="n">
        <v>609.95</v>
      </c>
    </row>
    <row r="775" customFormat="false" ht="14.25" hidden="false" customHeight="true" outlineLevel="0" collapsed="false">
      <c r="A775" s="51" t="n">
        <v>13358</v>
      </c>
      <c r="B775" s="52" t="n">
        <v>40618.4944444444</v>
      </c>
      <c r="C775" s="1" t="n">
        <v>1</v>
      </c>
      <c r="D775" s="1" t="n">
        <v>439.03</v>
      </c>
    </row>
    <row r="776" customFormat="false" ht="14.25" hidden="false" customHeight="true" outlineLevel="0" collapsed="false">
      <c r="A776" s="51" t="n">
        <v>13359</v>
      </c>
      <c r="B776" s="52" t="n">
        <v>40827.7</v>
      </c>
      <c r="C776" s="1" t="n">
        <v>2</v>
      </c>
      <c r="D776" s="1" t="n">
        <v>431.26</v>
      </c>
    </row>
    <row r="777" customFormat="false" ht="14.25" hidden="false" customHeight="true" outlineLevel="0" collapsed="false">
      <c r="A777" s="51" t="n">
        <v>13362</v>
      </c>
      <c r="B777" s="52" t="n">
        <v>40883.58125</v>
      </c>
      <c r="C777" s="1" t="n">
        <v>5</v>
      </c>
      <c r="D777" s="1" t="n">
        <v>3085.49</v>
      </c>
    </row>
    <row r="778" customFormat="false" ht="14.25" hidden="false" customHeight="true" outlineLevel="0" collapsed="false">
      <c r="A778" s="51" t="n">
        <v>13363</v>
      </c>
      <c r="B778" s="52" t="n">
        <v>40869.5277777778</v>
      </c>
      <c r="C778" s="1" t="n">
        <v>2</v>
      </c>
      <c r="D778" s="1" t="n">
        <v>992.5</v>
      </c>
    </row>
    <row r="779" customFormat="false" ht="14.25" hidden="false" customHeight="true" outlineLevel="0" collapsed="false">
      <c r="A779" s="51" t="n">
        <v>13364</v>
      </c>
      <c r="B779" s="52" t="n">
        <v>40820.4083333333</v>
      </c>
      <c r="C779" s="1" t="n">
        <v>2</v>
      </c>
      <c r="D779" s="1" t="n">
        <v>2.1316282072803E-014</v>
      </c>
    </row>
    <row r="780" customFormat="false" ht="14.25" hidden="false" customHeight="true" outlineLevel="0" collapsed="false">
      <c r="A780" s="51" t="n">
        <v>13365</v>
      </c>
      <c r="B780" s="52" t="n">
        <v>40878.3604166667</v>
      </c>
      <c r="C780" s="1" t="n">
        <v>3</v>
      </c>
      <c r="D780" s="1" t="n">
        <v>2191.22</v>
      </c>
    </row>
    <row r="781" customFormat="false" ht="14.25" hidden="false" customHeight="true" outlineLevel="0" collapsed="false">
      <c r="A781" s="51" t="n">
        <v>13366</v>
      </c>
      <c r="B781" s="52" t="n">
        <v>40836.5673611111</v>
      </c>
      <c r="C781" s="1" t="n">
        <v>1</v>
      </c>
      <c r="D781" s="1" t="n">
        <v>56.16</v>
      </c>
    </row>
    <row r="782" customFormat="false" ht="14.25" hidden="false" customHeight="true" outlineLevel="0" collapsed="false">
      <c r="A782" s="51" t="n">
        <v>13368</v>
      </c>
      <c r="B782" s="52" t="n">
        <v>40630.4159722222</v>
      </c>
      <c r="C782" s="1" t="n">
        <v>2</v>
      </c>
      <c r="D782" s="1" t="n">
        <v>623.4</v>
      </c>
    </row>
    <row r="783" customFormat="false" ht="14.25" hidden="false" customHeight="true" outlineLevel="0" collapsed="false">
      <c r="A783" s="51" t="n">
        <v>13369</v>
      </c>
      <c r="B783" s="52" t="n">
        <v>40532.5847222222</v>
      </c>
      <c r="C783" s="1" t="n">
        <v>2</v>
      </c>
      <c r="D783" s="1" t="n">
        <v>263.75</v>
      </c>
    </row>
    <row r="784" customFormat="false" ht="14.25" hidden="false" customHeight="true" outlineLevel="0" collapsed="false">
      <c r="A784" s="51" t="n">
        <v>13370</v>
      </c>
      <c r="B784" s="52" t="n">
        <v>40520.6645833333</v>
      </c>
      <c r="C784" s="1" t="n">
        <v>2</v>
      </c>
      <c r="D784" s="1" t="n">
        <v>721.32</v>
      </c>
    </row>
    <row r="785" customFormat="false" ht="14.25" hidden="false" customHeight="true" outlineLevel="0" collapsed="false">
      <c r="A785" s="51" t="n">
        <v>13372</v>
      </c>
      <c r="B785" s="52" t="n">
        <v>40797.5319444445</v>
      </c>
      <c r="C785" s="1" t="n">
        <v>1</v>
      </c>
      <c r="D785" s="1" t="n">
        <v>378.64</v>
      </c>
    </row>
    <row r="786" customFormat="false" ht="14.25" hidden="false" customHeight="true" outlineLevel="0" collapsed="false">
      <c r="A786" s="51" t="n">
        <v>13373</v>
      </c>
      <c r="B786" s="52" t="n">
        <v>40826.4520833333</v>
      </c>
      <c r="C786" s="1" t="n">
        <v>3</v>
      </c>
      <c r="D786" s="1" t="n">
        <v>3312.25</v>
      </c>
    </row>
    <row r="787" customFormat="false" ht="14.25" hidden="false" customHeight="true" outlineLevel="0" collapsed="false">
      <c r="A787" s="51" t="n">
        <v>13375</v>
      </c>
      <c r="B787" s="52" t="n">
        <v>40805.6673611111</v>
      </c>
      <c r="C787" s="1" t="n">
        <v>2</v>
      </c>
      <c r="D787" s="1" t="n">
        <v>772.9</v>
      </c>
    </row>
    <row r="788" customFormat="false" ht="14.25" hidden="false" customHeight="true" outlineLevel="0" collapsed="false">
      <c r="A788" s="51" t="n">
        <v>13376</v>
      </c>
      <c r="B788" s="52" t="n">
        <v>40787.6777777778</v>
      </c>
      <c r="C788" s="1" t="n">
        <v>3</v>
      </c>
      <c r="D788" s="1" t="n">
        <v>1019.76</v>
      </c>
    </row>
    <row r="789" customFormat="false" ht="14.25" hidden="false" customHeight="true" outlineLevel="0" collapsed="false">
      <c r="A789" s="51" t="n">
        <v>13379</v>
      </c>
      <c r="B789" s="52" t="n">
        <v>40860.5729166667</v>
      </c>
      <c r="C789" s="1" t="n">
        <v>3</v>
      </c>
      <c r="D789" s="1" t="n">
        <v>572.56</v>
      </c>
    </row>
    <row r="790" customFormat="false" ht="14.25" hidden="false" customHeight="true" outlineLevel="0" collapsed="false">
      <c r="A790" s="51" t="n">
        <v>13381</v>
      </c>
      <c r="B790" s="52" t="n">
        <v>40865.7076388889</v>
      </c>
      <c r="C790" s="1" t="n">
        <v>7</v>
      </c>
      <c r="D790" s="1" t="n">
        <v>3626.81</v>
      </c>
    </row>
    <row r="791" customFormat="false" ht="14.25" hidden="false" customHeight="true" outlineLevel="0" collapsed="false">
      <c r="A791" s="51" t="n">
        <v>13382</v>
      </c>
      <c r="B791" s="52" t="n">
        <v>40606.41875</v>
      </c>
      <c r="C791" s="1" t="n">
        <v>1</v>
      </c>
      <c r="D791" s="1" t="n">
        <v>222.99</v>
      </c>
    </row>
    <row r="792" customFormat="false" ht="14.25" hidden="false" customHeight="true" outlineLevel="0" collapsed="false">
      <c r="A792" s="51" t="n">
        <v>13384</v>
      </c>
      <c r="B792" s="52" t="n">
        <v>40856.4611111111</v>
      </c>
      <c r="C792" s="1" t="n">
        <v>9</v>
      </c>
      <c r="D792" s="1" t="n">
        <v>4122.28</v>
      </c>
    </row>
    <row r="793" customFormat="false" ht="14.25" hidden="false" customHeight="true" outlineLevel="0" collapsed="false">
      <c r="A793" s="51" t="n">
        <v>13385</v>
      </c>
      <c r="B793" s="52" t="n">
        <v>40557.4111111111</v>
      </c>
      <c r="C793" s="1" t="n">
        <v>1</v>
      </c>
      <c r="D793" s="1" t="n">
        <v>534.57</v>
      </c>
    </row>
    <row r="794" customFormat="false" ht="14.25" hidden="false" customHeight="true" outlineLevel="0" collapsed="false">
      <c r="A794" s="51" t="n">
        <v>13388</v>
      </c>
      <c r="B794" s="52" t="n">
        <v>40765.5659722222</v>
      </c>
      <c r="C794" s="1" t="n">
        <v>3</v>
      </c>
      <c r="D794" s="1" t="n">
        <v>627.15</v>
      </c>
    </row>
    <row r="795" customFormat="false" ht="14.25" hidden="false" customHeight="true" outlineLevel="0" collapsed="false">
      <c r="A795" s="51" t="n">
        <v>13389</v>
      </c>
      <c r="B795" s="52" t="n">
        <v>40875.5840277778</v>
      </c>
      <c r="C795" s="1" t="n">
        <v>3</v>
      </c>
      <c r="D795" s="1" t="n">
        <v>797.96</v>
      </c>
    </row>
    <row r="796" customFormat="false" ht="14.25" hidden="false" customHeight="true" outlineLevel="0" collapsed="false">
      <c r="A796" s="51" t="n">
        <v>13390</v>
      </c>
      <c r="B796" s="52" t="n">
        <v>40812.3597222222</v>
      </c>
      <c r="C796" s="1" t="n">
        <v>1</v>
      </c>
      <c r="D796" s="1" t="n">
        <v>544.08</v>
      </c>
    </row>
    <row r="797" customFormat="false" ht="14.25" hidden="false" customHeight="true" outlineLevel="0" collapsed="false">
      <c r="A797" s="51" t="n">
        <v>13391</v>
      </c>
      <c r="B797" s="52" t="n">
        <v>40683.4513888889</v>
      </c>
      <c r="C797" s="1" t="n">
        <v>1</v>
      </c>
      <c r="D797" s="1" t="n">
        <v>59.8</v>
      </c>
    </row>
    <row r="798" customFormat="false" ht="14.25" hidden="false" customHeight="true" outlineLevel="0" collapsed="false">
      <c r="A798" s="51" t="n">
        <v>13394</v>
      </c>
      <c r="B798" s="52" t="n">
        <v>40885.4833333333</v>
      </c>
      <c r="C798" s="1" t="n">
        <v>10</v>
      </c>
      <c r="D798" s="1" t="n">
        <v>2312.8</v>
      </c>
    </row>
    <row r="799" customFormat="false" ht="14.25" hidden="false" customHeight="true" outlineLevel="0" collapsed="false">
      <c r="A799" s="51" t="n">
        <v>13395</v>
      </c>
      <c r="B799" s="52" t="n">
        <v>40701.6277777778</v>
      </c>
      <c r="C799" s="1" t="n">
        <v>1</v>
      </c>
      <c r="D799" s="1" t="n">
        <v>307.72</v>
      </c>
    </row>
    <row r="800" customFormat="false" ht="14.25" hidden="false" customHeight="true" outlineLevel="0" collapsed="false">
      <c r="A800" s="51" t="n">
        <v>13396</v>
      </c>
      <c r="B800" s="52" t="n">
        <v>40865.4041666667</v>
      </c>
      <c r="C800" s="1" t="n">
        <v>4</v>
      </c>
      <c r="D800" s="1" t="n">
        <v>1325.29</v>
      </c>
    </row>
    <row r="801" customFormat="false" ht="14.25" hidden="false" customHeight="true" outlineLevel="0" collapsed="false">
      <c r="A801" s="51" t="n">
        <v>13397</v>
      </c>
      <c r="B801" s="52" t="n">
        <v>40814.4555555556</v>
      </c>
      <c r="C801" s="1" t="n">
        <v>6</v>
      </c>
      <c r="D801" s="1" t="n">
        <v>1539.18</v>
      </c>
    </row>
    <row r="802" customFormat="false" ht="14.25" hidden="false" customHeight="true" outlineLevel="0" collapsed="false">
      <c r="A802" s="51" t="n">
        <v>13398</v>
      </c>
      <c r="B802" s="52" t="n">
        <v>40694.5534722222</v>
      </c>
      <c r="C802" s="1" t="n">
        <v>1</v>
      </c>
      <c r="D802" s="1" t="n">
        <v>457.34</v>
      </c>
    </row>
    <row r="803" customFormat="false" ht="14.25" hidden="false" customHeight="true" outlineLevel="0" collapsed="false">
      <c r="A803" s="51" t="n">
        <v>13402</v>
      </c>
      <c r="B803" s="52" t="n">
        <v>40759.6604166667</v>
      </c>
      <c r="C803" s="1" t="n">
        <v>2</v>
      </c>
      <c r="D803" s="1" t="n">
        <v>621.23</v>
      </c>
    </row>
    <row r="804" customFormat="false" ht="14.25" hidden="false" customHeight="true" outlineLevel="0" collapsed="false">
      <c r="A804" s="51" t="n">
        <v>13403</v>
      </c>
      <c r="B804" s="52" t="n">
        <v>40869.3527777778</v>
      </c>
      <c r="C804" s="1" t="n">
        <v>1</v>
      </c>
      <c r="D804" s="1" t="n">
        <v>75</v>
      </c>
    </row>
    <row r="805" customFormat="false" ht="14.25" hidden="false" customHeight="true" outlineLevel="0" collapsed="false">
      <c r="A805" s="51" t="n">
        <v>13404</v>
      </c>
      <c r="B805" s="52" t="n">
        <v>40885.6506944444</v>
      </c>
      <c r="C805" s="1" t="n">
        <v>2</v>
      </c>
      <c r="D805" s="1" t="n">
        <v>252.49</v>
      </c>
    </row>
    <row r="806" customFormat="false" ht="14.25" hidden="false" customHeight="true" outlineLevel="0" collapsed="false">
      <c r="A806" s="51" t="n">
        <v>13405</v>
      </c>
      <c r="B806" s="52" t="n">
        <v>40812.7090277778</v>
      </c>
      <c r="C806" s="1" t="n">
        <v>3</v>
      </c>
      <c r="D806" s="1" t="n">
        <v>572.451</v>
      </c>
    </row>
    <row r="807" customFormat="false" ht="14.25" hidden="false" customHeight="true" outlineLevel="0" collapsed="false">
      <c r="A807" s="51" t="n">
        <v>13408</v>
      </c>
      <c r="B807" s="52" t="n">
        <v>40885.3784722222</v>
      </c>
      <c r="C807" s="1" t="n">
        <v>81</v>
      </c>
      <c r="D807" s="1" t="n">
        <v>27487.41</v>
      </c>
    </row>
    <row r="808" customFormat="false" ht="14.25" hidden="false" customHeight="true" outlineLevel="0" collapsed="false">
      <c r="A808" s="51" t="n">
        <v>13410</v>
      </c>
      <c r="B808" s="52" t="n">
        <v>40878.3736111111</v>
      </c>
      <c r="C808" s="1" t="n">
        <v>7</v>
      </c>
      <c r="D808" s="1" t="n">
        <v>988.91</v>
      </c>
    </row>
    <row r="809" customFormat="false" ht="14.25" hidden="false" customHeight="true" outlineLevel="0" collapsed="false">
      <c r="A809" s="51" t="n">
        <v>13411</v>
      </c>
      <c r="B809" s="52" t="n">
        <v>40779.58125</v>
      </c>
      <c r="C809" s="1" t="n">
        <v>1</v>
      </c>
      <c r="D809" s="1" t="n">
        <v>213.55</v>
      </c>
    </row>
    <row r="810" customFormat="false" ht="14.25" hidden="false" customHeight="true" outlineLevel="0" collapsed="false">
      <c r="A810" s="51" t="n">
        <v>13414</v>
      </c>
      <c r="B810" s="52" t="n">
        <v>40753.4895833333</v>
      </c>
      <c r="C810" s="1" t="n">
        <v>3</v>
      </c>
      <c r="D810" s="1" t="n">
        <v>1390.5</v>
      </c>
    </row>
    <row r="811" customFormat="false" ht="14.25" hidden="false" customHeight="true" outlineLevel="0" collapsed="false">
      <c r="A811" s="51" t="n">
        <v>13416</v>
      </c>
      <c r="B811" s="52" t="n">
        <v>40843.3722222222</v>
      </c>
      <c r="C811" s="1" t="n">
        <v>2</v>
      </c>
      <c r="D811" s="1" t="n">
        <v>712.5</v>
      </c>
    </row>
    <row r="812" customFormat="false" ht="14.25" hidden="false" customHeight="true" outlineLevel="0" collapsed="false">
      <c r="A812" s="51" t="n">
        <v>13417</v>
      </c>
      <c r="B812" s="52" t="n">
        <v>40882.3673611111</v>
      </c>
      <c r="C812" s="1" t="n">
        <v>2</v>
      </c>
      <c r="D812" s="1" t="n">
        <v>640.83</v>
      </c>
    </row>
    <row r="813" customFormat="false" ht="14.25" hidden="false" customHeight="true" outlineLevel="0" collapsed="false">
      <c r="A813" s="51" t="n">
        <v>13418</v>
      </c>
      <c r="B813" s="52" t="n">
        <v>40875.4326388889</v>
      </c>
      <c r="C813" s="1" t="n">
        <v>23</v>
      </c>
      <c r="D813" s="1" t="n">
        <v>5845.44</v>
      </c>
    </row>
    <row r="814" customFormat="false" ht="14.25" hidden="false" customHeight="true" outlineLevel="0" collapsed="false">
      <c r="A814" s="51" t="n">
        <v>13419</v>
      </c>
      <c r="B814" s="52" t="n">
        <v>40823.5340277778</v>
      </c>
      <c r="C814" s="1" t="n">
        <v>1</v>
      </c>
      <c r="D814" s="1" t="n">
        <v>221.06</v>
      </c>
    </row>
    <row r="815" customFormat="false" ht="14.25" hidden="false" customHeight="true" outlineLevel="0" collapsed="false">
      <c r="A815" s="51" t="n">
        <v>13420</v>
      </c>
      <c r="B815" s="52" t="n">
        <v>40752.5069444445</v>
      </c>
      <c r="C815" s="1" t="n">
        <v>4</v>
      </c>
      <c r="D815" s="1" t="n">
        <v>140.35</v>
      </c>
    </row>
    <row r="816" customFormat="false" ht="14.25" hidden="false" customHeight="true" outlineLevel="0" collapsed="false">
      <c r="A816" s="51" t="n">
        <v>13421</v>
      </c>
      <c r="B816" s="52" t="n">
        <v>40846.5979166667</v>
      </c>
      <c r="C816" s="1" t="n">
        <v>3</v>
      </c>
      <c r="D816" s="1" t="n">
        <v>1848.98</v>
      </c>
    </row>
    <row r="817" customFormat="false" ht="14.25" hidden="false" customHeight="true" outlineLevel="0" collapsed="false">
      <c r="A817" s="51" t="n">
        <v>13422</v>
      </c>
      <c r="B817" s="52" t="n">
        <v>40835.5729166667</v>
      </c>
      <c r="C817" s="1" t="n">
        <v>2</v>
      </c>
      <c r="D817" s="1" t="n">
        <v>2601.55</v>
      </c>
    </row>
    <row r="818" customFormat="false" ht="14.25" hidden="false" customHeight="true" outlineLevel="0" collapsed="false">
      <c r="A818" s="51" t="n">
        <v>13425</v>
      </c>
      <c r="B818" s="52" t="n">
        <v>40778.7173611111</v>
      </c>
      <c r="C818" s="1" t="n">
        <v>3</v>
      </c>
      <c r="D818" s="1" t="n">
        <v>1624.21</v>
      </c>
    </row>
    <row r="819" customFormat="false" ht="14.25" hidden="false" customHeight="true" outlineLevel="0" collapsed="false">
      <c r="A819" s="51" t="n">
        <v>13426</v>
      </c>
      <c r="B819" s="52" t="n">
        <v>40886.3743055556</v>
      </c>
      <c r="C819" s="1" t="n">
        <v>12</v>
      </c>
      <c r="D819" s="1" t="n">
        <v>3550.7</v>
      </c>
    </row>
    <row r="820" customFormat="false" ht="14.25" hidden="false" customHeight="true" outlineLevel="0" collapsed="false">
      <c r="A820" s="51" t="n">
        <v>13427</v>
      </c>
      <c r="B820" s="52" t="n">
        <v>40867.5430555556</v>
      </c>
      <c r="C820" s="1" t="n">
        <v>3</v>
      </c>
      <c r="D820" s="1" t="n">
        <v>582.6</v>
      </c>
    </row>
    <row r="821" customFormat="false" ht="14.25" hidden="false" customHeight="true" outlineLevel="0" collapsed="false">
      <c r="A821" s="51" t="n">
        <v>13428</v>
      </c>
      <c r="B821" s="52" t="n">
        <v>40876.5972222222</v>
      </c>
      <c r="C821" s="1" t="n">
        <v>1</v>
      </c>
      <c r="D821" s="1" t="n">
        <v>218.47</v>
      </c>
    </row>
    <row r="822" customFormat="false" ht="14.25" hidden="false" customHeight="true" outlineLevel="0" collapsed="false">
      <c r="A822" s="51" t="n">
        <v>13429</v>
      </c>
      <c r="B822" s="52" t="n">
        <v>40876.3819444445</v>
      </c>
      <c r="C822" s="1" t="n">
        <v>4</v>
      </c>
      <c r="D822" s="1" t="n">
        <v>1006.8</v>
      </c>
    </row>
    <row r="823" customFormat="false" ht="14.25" hidden="false" customHeight="true" outlineLevel="0" collapsed="false">
      <c r="A823" s="51" t="n">
        <v>13430</v>
      </c>
      <c r="B823" s="52" t="n">
        <v>40868.3465277778</v>
      </c>
      <c r="C823" s="1" t="n">
        <v>4</v>
      </c>
      <c r="D823" s="1" t="n">
        <v>648.69</v>
      </c>
    </row>
    <row r="824" customFormat="false" ht="14.25" hidden="false" customHeight="true" outlineLevel="0" collapsed="false">
      <c r="A824" s="51" t="n">
        <v>13431</v>
      </c>
      <c r="B824" s="52" t="n">
        <v>40819.5756944444</v>
      </c>
      <c r="C824" s="1" t="n">
        <v>2</v>
      </c>
      <c r="D824" s="1" t="n">
        <v>1269.1</v>
      </c>
    </row>
    <row r="825" customFormat="false" ht="14.25" hidden="false" customHeight="true" outlineLevel="0" collapsed="false">
      <c r="A825" s="51" t="n">
        <v>13434</v>
      </c>
      <c r="B825" s="52" t="n">
        <v>40812.6041666667</v>
      </c>
      <c r="C825" s="1" t="n">
        <v>2</v>
      </c>
      <c r="D825" s="1" t="n">
        <v>534.24</v>
      </c>
    </row>
    <row r="826" customFormat="false" ht="14.25" hidden="false" customHeight="true" outlineLevel="0" collapsed="false">
      <c r="A826" s="51" t="n">
        <v>13435</v>
      </c>
      <c r="B826" s="52" t="n">
        <v>40881.6243055556</v>
      </c>
      <c r="C826" s="1" t="n">
        <v>9</v>
      </c>
      <c r="D826" s="1" t="n">
        <v>3794.49</v>
      </c>
    </row>
    <row r="827" customFormat="false" ht="14.25" hidden="false" customHeight="true" outlineLevel="0" collapsed="false">
      <c r="A827" s="51" t="n">
        <v>13436</v>
      </c>
      <c r="B827" s="52" t="n">
        <v>40885.4395833333</v>
      </c>
      <c r="C827" s="1" t="n">
        <v>1</v>
      </c>
      <c r="D827" s="1" t="n">
        <v>196.89</v>
      </c>
    </row>
    <row r="828" customFormat="false" ht="14.25" hidden="false" customHeight="true" outlineLevel="0" collapsed="false">
      <c r="A828" s="51" t="n">
        <v>13437</v>
      </c>
      <c r="B828" s="52" t="n">
        <v>40872.5833333333</v>
      </c>
      <c r="C828" s="1" t="n">
        <v>7</v>
      </c>
      <c r="D828" s="1" t="n">
        <v>3408.06</v>
      </c>
    </row>
    <row r="829" customFormat="false" ht="14.25" hidden="false" customHeight="true" outlineLevel="0" collapsed="false">
      <c r="A829" s="51" t="n">
        <v>13439</v>
      </c>
      <c r="B829" s="52" t="n">
        <v>40631.5972222222</v>
      </c>
      <c r="C829" s="1" t="n">
        <v>1</v>
      </c>
      <c r="D829" s="1" t="n">
        <v>283.71</v>
      </c>
    </row>
    <row r="830" customFormat="false" ht="14.25" hidden="false" customHeight="true" outlineLevel="0" collapsed="false">
      <c r="A830" s="51" t="n">
        <v>13441</v>
      </c>
      <c r="B830" s="52" t="n">
        <v>40795.4013888889</v>
      </c>
      <c r="C830" s="1" t="n">
        <v>1</v>
      </c>
      <c r="D830" s="1" t="n">
        <v>296.64</v>
      </c>
    </row>
    <row r="831" customFormat="false" ht="14.25" hidden="false" customHeight="true" outlineLevel="0" collapsed="false">
      <c r="A831" s="51" t="n">
        <v>13447</v>
      </c>
      <c r="B831" s="52" t="n">
        <v>40863.5680555556</v>
      </c>
      <c r="C831" s="1" t="n">
        <v>4</v>
      </c>
      <c r="D831" s="1" t="n">
        <v>1104.23</v>
      </c>
    </row>
    <row r="832" customFormat="false" ht="14.25" hidden="false" customHeight="true" outlineLevel="0" collapsed="false">
      <c r="A832" s="51" t="n">
        <v>13448</v>
      </c>
      <c r="B832" s="52" t="n">
        <v>40870.5229166667</v>
      </c>
      <c r="C832" s="1" t="n">
        <v>10</v>
      </c>
      <c r="D832" s="1" t="n">
        <v>3465.67</v>
      </c>
    </row>
    <row r="833" customFormat="false" ht="14.25" hidden="false" customHeight="true" outlineLevel="0" collapsed="false">
      <c r="A833" s="51" t="n">
        <v>13449</v>
      </c>
      <c r="B833" s="52" t="n">
        <v>40863.3527777778</v>
      </c>
      <c r="C833" s="1" t="n">
        <v>1</v>
      </c>
      <c r="D833" s="1" t="n">
        <v>291.88</v>
      </c>
    </row>
    <row r="834" customFormat="false" ht="14.25" hidden="false" customHeight="true" outlineLevel="0" collapsed="false">
      <c r="A834" s="51" t="n">
        <v>13450</v>
      </c>
      <c r="B834" s="52" t="n">
        <v>40860.4958333333</v>
      </c>
      <c r="C834" s="1" t="n">
        <v>6</v>
      </c>
      <c r="D834" s="1" t="n">
        <v>2043.72</v>
      </c>
    </row>
    <row r="835" customFormat="false" ht="14.25" hidden="false" customHeight="true" outlineLevel="0" collapsed="false">
      <c r="A835" s="51" t="n">
        <v>13451</v>
      </c>
      <c r="B835" s="52" t="n">
        <v>40860.6652777778</v>
      </c>
      <c r="C835" s="1" t="n">
        <v>6</v>
      </c>
      <c r="D835" s="1" t="n">
        <v>2916.45</v>
      </c>
    </row>
    <row r="836" customFormat="false" ht="14.25" hidden="false" customHeight="true" outlineLevel="0" collapsed="false">
      <c r="A836" s="51" t="n">
        <v>13452</v>
      </c>
      <c r="B836" s="52" t="n">
        <v>40627.5965277778</v>
      </c>
      <c r="C836" s="1" t="n">
        <v>2</v>
      </c>
      <c r="D836" s="1" t="n">
        <v>590</v>
      </c>
    </row>
    <row r="837" customFormat="false" ht="14.25" hidden="false" customHeight="true" outlineLevel="0" collapsed="false">
      <c r="A837" s="51" t="n">
        <v>13453</v>
      </c>
      <c r="B837" s="52" t="n">
        <v>40721.3986111111</v>
      </c>
      <c r="C837" s="1" t="n">
        <v>2</v>
      </c>
      <c r="D837" s="1" t="n">
        <v>356.98</v>
      </c>
    </row>
    <row r="838" customFormat="false" ht="14.25" hidden="false" customHeight="true" outlineLevel="0" collapsed="false">
      <c r="A838" s="51" t="n">
        <v>13455</v>
      </c>
      <c r="B838" s="52" t="n">
        <v>40862.4729166667</v>
      </c>
      <c r="C838" s="1" t="n">
        <v>4</v>
      </c>
      <c r="D838" s="1" t="n">
        <v>1007.35</v>
      </c>
    </row>
    <row r="839" customFormat="false" ht="14.25" hidden="false" customHeight="true" outlineLevel="0" collapsed="false">
      <c r="A839" s="51" t="n">
        <v>13456</v>
      </c>
      <c r="B839" s="52" t="n">
        <v>40869.3875</v>
      </c>
      <c r="C839" s="1" t="n">
        <v>7</v>
      </c>
      <c r="D839" s="1" t="n">
        <v>1737.82</v>
      </c>
    </row>
    <row r="840" customFormat="false" ht="14.25" hidden="false" customHeight="true" outlineLevel="0" collapsed="false">
      <c r="A840" s="51" t="n">
        <v>13458</v>
      </c>
      <c r="B840" s="52" t="n">
        <v>40879.6451388889</v>
      </c>
      <c r="C840" s="1" t="n">
        <v>22</v>
      </c>
      <c r="D840" s="1" t="n">
        <v>9537.92</v>
      </c>
    </row>
    <row r="841" customFormat="false" ht="14.25" hidden="false" customHeight="true" outlineLevel="0" collapsed="false">
      <c r="A841" s="51" t="n">
        <v>13460</v>
      </c>
      <c r="B841" s="52" t="n">
        <v>40857.7201388889</v>
      </c>
      <c r="C841" s="1" t="n">
        <v>2</v>
      </c>
      <c r="D841" s="1" t="n">
        <v>183.44</v>
      </c>
    </row>
    <row r="842" customFormat="false" ht="14.25" hidden="false" customHeight="true" outlineLevel="0" collapsed="false">
      <c r="A842" s="51" t="n">
        <v>13461</v>
      </c>
      <c r="B842" s="52" t="n">
        <v>40848.3756944445</v>
      </c>
      <c r="C842" s="1" t="n">
        <v>3</v>
      </c>
      <c r="D842" s="1" t="n">
        <v>1445</v>
      </c>
    </row>
    <row r="843" customFormat="false" ht="14.25" hidden="false" customHeight="true" outlineLevel="0" collapsed="false">
      <c r="A843" s="51" t="n">
        <v>13462</v>
      </c>
      <c r="B843" s="52" t="n">
        <v>40703.8284722222</v>
      </c>
      <c r="C843" s="1" t="n">
        <v>2</v>
      </c>
      <c r="D843" s="1" t="n">
        <v>143.25</v>
      </c>
    </row>
    <row r="844" customFormat="false" ht="14.25" hidden="false" customHeight="true" outlineLevel="0" collapsed="false">
      <c r="A844" s="51" t="n">
        <v>13464</v>
      </c>
      <c r="B844" s="52" t="n">
        <v>40828.6256944445</v>
      </c>
      <c r="C844" s="1" t="n">
        <v>1</v>
      </c>
      <c r="D844" s="1" t="n">
        <v>674.68</v>
      </c>
    </row>
    <row r="845" customFormat="false" ht="14.25" hidden="false" customHeight="true" outlineLevel="0" collapsed="false">
      <c r="A845" s="51" t="n">
        <v>13466</v>
      </c>
      <c r="B845" s="52" t="n">
        <v>40786.6451388889</v>
      </c>
      <c r="C845" s="1" t="n">
        <v>2</v>
      </c>
      <c r="D845" s="1" t="n">
        <v>297.95</v>
      </c>
    </row>
    <row r="846" customFormat="false" ht="14.25" hidden="false" customHeight="true" outlineLevel="0" collapsed="false">
      <c r="A846" s="51" t="n">
        <v>13467</v>
      </c>
      <c r="B846" s="52" t="n">
        <v>40876.4173611111</v>
      </c>
      <c r="C846" s="1" t="n">
        <v>2</v>
      </c>
      <c r="D846" s="1" t="n">
        <v>1083.71</v>
      </c>
    </row>
    <row r="847" customFormat="false" ht="14.25" hidden="false" customHeight="true" outlineLevel="0" collapsed="false">
      <c r="A847" s="51" t="n">
        <v>13468</v>
      </c>
      <c r="B847" s="52" t="n">
        <v>40885.44375</v>
      </c>
      <c r="C847" s="1" t="n">
        <v>41</v>
      </c>
      <c r="D847" s="1" t="n">
        <v>5656.75</v>
      </c>
    </row>
    <row r="848" customFormat="false" ht="14.25" hidden="false" customHeight="true" outlineLevel="0" collapsed="false">
      <c r="A848" s="51" t="n">
        <v>13470</v>
      </c>
      <c r="B848" s="52" t="n">
        <v>40787.6229166667</v>
      </c>
      <c r="C848" s="1" t="n">
        <v>2</v>
      </c>
      <c r="D848" s="1" t="n">
        <v>165</v>
      </c>
    </row>
    <row r="849" customFormat="false" ht="14.25" hidden="false" customHeight="true" outlineLevel="0" collapsed="false">
      <c r="A849" s="51" t="n">
        <v>13471</v>
      </c>
      <c r="B849" s="52" t="n">
        <v>40885.6555555556</v>
      </c>
      <c r="C849" s="1" t="n">
        <v>4</v>
      </c>
      <c r="D849" s="1" t="n">
        <v>2531.58</v>
      </c>
    </row>
    <row r="850" customFormat="false" ht="14.25" hidden="false" customHeight="true" outlineLevel="0" collapsed="false">
      <c r="A850" s="51" t="n">
        <v>13473</v>
      </c>
      <c r="B850" s="52" t="n">
        <v>40826.4722222222</v>
      </c>
      <c r="C850" s="1" t="n">
        <v>3</v>
      </c>
      <c r="D850" s="1" t="n">
        <v>417.54</v>
      </c>
    </row>
    <row r="851" customFormat="false" ht="14.25" hidden="false" customHeight="true" outlineLevel="0" collapsed="false">
      <c r="A851" s="51" t="n">
        <v>13474</v>
      </c>
      <c r="B851" s="52" t="n">
        <v>40650.5784722222</v>
      </c>
      <c r="C851" s="1" t="n">
        <v>1</v>
      </c>
      <c r="D851" s="1" t="n">
        <v>229.59</v>
      </c>
    </row>
    <row r="852" customFormat="false" ht="14.25" hidden="false" customHeight="true" outlineLevel="0" collapsed="false">
      <c r="A852" s="51" t="n">
        <v>13475</v>
      </c>
      <c r="B852" s="52" t="n">
        <v>40695.5777777778</v>
      </c>
      <c r="C852" s="1" t="n">
        <v>4</v>
      </c>
      <c r="D852" s="1" t="n">
        <v>1431.78</v>
      </c>
    </row>
    <row r="853" customFormat="false" ht="14.25" hidden="false" customHeight="true" outlineLevel="0" collapsed="false">
      <c r="A853" s="51" t="n">
        <v>13476</v>
      </c>
      <c r="B853" s="52" t="n">
        <v>40708.5</v>
      </c>
      <c r="C853" s="1" t="n">
        <v>4</v>
      </c>
      <c r="D853" s="1" t="n">
        <v>1092.77</v>
      </c>
    </row>
    <row r="854" customFormat="false" ht="14.25" hidden="false" customHeight="true" outlineLevel="0" collapsed="false">
      <c r="A854" s="51" t="n">
        <v>13477</v>
      </c>
      <c r="B854" s="52" t="n">
        <v>40849.5027777778</v>
      </c>
      <c r="C854" s="1" t="n">
        <v>8</v>
      </c>
      <c r="D854" s="1" t="n">
        <v>1441.53</v>
      </c>
    </row>
    <row r="855" customFormat="false" ht="14.25" hidden="false" customHeight="true" outlineLevel="0" collapsed="false">
      <c r="A855" s="51" t="n">
        <v>13479</v>
      </c>
      <c r="B855" s="52" t="n">
        <v>40688.7006944444</v>
      </c>
      <c r="C855" s="1" t="n">
        <v>3</v>
      </c>
      <c r="D855" s="1" t="n">
        <v>291</v>
      </c>
    </row>
    <row r="856" customFormat="false" ht="14.25" hidden="false" customHeight="true" outlineLevel="0" collapsed="false">
      <c r="A856" s="51" t="n">
        <v>13481</v>
      </c>
      <c r="B856" s="52" t="n">
        <v>40841.3798611111</v>
      </c>
      <c r="C856" s="1" t="n">
        <v>8</v>
      </c>
      <c r="D856" s="1" t="n">
        <v>1776.81</v>
      </c>
    </row>
    <row r="857" customFormat="false" ht="14.25" hidden="false" customHeight="true" outlineLevel="0" collapsed="false">
      <c r="A857" s="51" t="n">
        <v>13482</v>
      </c>
      <c r="B857" s="52" t="n">
        <v>40654.7104166667</v>
      </c>
      <c r="C857" s="1" t="n">
        <v>1</v>
      </c>
      <c r="D857" s="1" t="n">
        <v>184.64</v>
      </c>
    </row>
    <row r="858" customFormat="false" ht="14.25" hidden="false" customHeight="true" outlineLevel="0" collapsed="false">
      <c r="A858" s="51" t="n">
        <v>13483</v>
      </c>
      <c r="B858" s="52" t="n">
        <v>40821.4951388889</v>
      </c>
      <c r="C858" s="1" t="n">
        <v>1</v>
      </c>
      <c r="D858" s="1" t="n">
        <v>140.34</v>
      </c>
    </row>
    <row r="859" customFormat="false" ht="14.25" hidden="false" customHeight="true" outlineLevel="0" collapsed="false">
      <c r="A859" s="51" t="n">
        <v>13484</v>
      </c>
      <c r="B859" s="52" t="n">
        <v>40645.6875</v>
      </c>
      <c r="C859" s="1" t="n">
        <v>1</v>
      </c>
      <c r="D859" s="1" t="n">
        <v>313.8</v>
      </c>
    </row>
    <row r="860" customFormat="false" ht="14.25" hidden="false" customHeight="true" outlineLevel="0" collapsed="false">
      <c r="A860" s="51" t="n">
        <v>13485</v>
      </c>
      <c r="B860" s="52" t="n">
        <v>40653.5819444444</v>
      </c>
      <c r="C860" s="1" t="n">
        <v>1</v>
      </c>
      <c r="D860" s="1" t="n">
        <v>454.24</v>
      </c>
    </row>
    <row r="861" customFormat="false" ht="14.25" hidden="false" customHeight="true" outlineLevel="0" collapsed="false">
      <c r="A861" s="51" t="n">
        <v>13486</v>
      </c>
      <c r="B861" s="52" t="n">
        <v>40808.5506944444</v>
      </c>
      <c r="C861" s="1" t="n">
        <v>3</v>
      </c>
      <c r="D861" s="1" t="n">
        <v>1122.41</v>
      </c>
    </row>
    <row r="862" customFormat="false" ht="14.25" hidden="false" customHeight="true" outlineLevel="0" collapsed="false">
      <c r="A862" s="51" t="n">
        <v>13487</v>
      </c>
      <c r="B862" s="52" t="n">
        <v>40829.5048611111</v>
      </c>
      <c r="C862" s="1" t="n">
        <v>3</v>
      </c>
      <c r="D862" s="1" t="n">
        <v>575.4</v>
      </c>
    </row>
    <row r="863" customFormat="false" ht="14.25" hidden="false" customHeight="true" outlineLevel="0" collapsed="false">
      <c r="A863" s="51" t="n">
        <v>13488</v>
      </c>
      <c r="B863" s="52" t="n">
        <v>40869.6118055556</v>
      </c>
      <c r="C863" s="1" t="n">
        <v>17</v>
      </c>
      <c r="D863" s="1" t="n">
        <v>8910.61</v>
      </c>
    </row>
    <row r="864" customFormat="false" ht="14.25" hidden="false" customHeight="true" outlineLevel="0" collapsed="false">
      <c r="A864" s="51" t="n">
        <v>13489</v>
      </c>
      <c r="B864" s="52" t="n">
        <v>40781.5527777778</v>
      </c>
      <c r="C864" s="1" t="n">
        <v>4</v>
      </c>
      <c r="D864" s="1" t="n">
        <v>449.52</v>
      </c>
    </row>
    <row r="865" customFormat="false" ht="14.25" hidden="false" customHeight="true" outlineLevel="0" collapsed="false">
      <c r="A865" s="51" t="n">
        <v>13491</v>
      </c>
      <c r="B865" s="52" t="n">
        <v>40835.3555555556</v>
      </c>
      <c r="C865" s="1" t="n">
        <v>10</v>
      </c>
      <c r="D865" s="1" t="n">
        <v>1215.82</v>
      </c>
    </row>
    <row r="866" customFormat="false" ht="14.25" hidden="false" customHeight="true" outlineLevel="0" collapsed="false">
      <c r="A866" s="51" t="n">
        <v>13492</v>
      </c>
      <c r="B866" s="52" t="n">
        <v>40750.6006944445</v>
      </c>
      <c r="C866" s="1" t="n">
        <v>3</v>
      </c>
      <c r="D866" s="1" t="n">
        <v>1269.84</v>
      </c>
    </row>
    <row r="867" customFormat="false" ht="14.25" hidden="false" customHeight="true" outlineLevel="0" collapsed="false">
      <c r="A867" s="51" t="n">
        <v>13493</v>
      </c>
      <c r="B867" s="52" t="n">
        <v>40611.6493055556</v>
      </c>
      <c r="C867" s="1" t="n">
        <v>2</v>
      </c>
      <c r="D867" s="1" t="n">
        <v>618.63</v>
      </c>
    </row>
    <row r="868" customFormat="false" ht="14.25" hidden="false" customHeight="true" outlineLevel="0" collapsed="false">
      <c r="A868" s="51" t="n">
        <v>13494</v>
      </c>
      <c r="B868" s="52" t="n">
        <v>40575.4986111111</v>
      </c>
      <c r="C868" s="1" t="n">
        <v>1</v>
      </c>
      <c r="D868" s="1" t="n">
        <v>316.26</v>
      </c>
    </row>
    <row r="869" customFormat="false" ht="14.25" hidden="false" customHeight="true" outlineLevel="0" collapsed="false">
      <c r="A869" s="51" t="n">
        <v>13495</v>
      </c>
      <c r="B869" s="52" t="n">
        <v>40879.4729166667</v>
      </c>
      <c r="C869" s="1" t="n">
        <v>6</v>
      </c>
      <c r="D869" s="1" t="n">
        <v>1990.12</v>
      </c>
    </row>
    <row r="870" customFormat="false" ht="14.25" hidden="false" customHeight="true" outlineLevel="0" collapsed="false">
      <c r="A870" s="51" t="n">
        <v>13496</v>
      </c>
      <c r="B870" s="52" t="n">
        <v>40876.4569444444</v>
      </c>
      <c r="C870" s="1" t="n">
        <v>3</v>
      </c>
      <c r="D870" s="1" t="n">
        <v>617.93</v>
      </c>
    </row>
    <row r="871" customFormat="false" ht="14.25" hidden="false" customHeight="true" outlineLevel="0" collapsed="false">
      <c r="A871" s="51" t="n">
        <v>13497</v>
      </c>
      <c r="B871" s="52" t="n">
        <v>40604.3777777778</v>
      </c>
      <c r="C871" s="1" t="n">
        <v>3</v>
      </c>
      <c r="D871" s="1" t="n">
        <v>321.05</v>
      </c>
    </row>
    <row r="872" customFormat="false" ht="14.25" hidden="false" customHeight="true" outlineLevel="0" collapsed="false">
      <c r="A872" s="51" t="n">
        <v>13499</v>
      </c>
      <c r="B872" s="52" t="n">
        <v>40869.4729166667</v>
      </c>
      <c r="C872" s="1" t="n">
        <v>7</v>
      </c>
      <c r="D872" s="1" t="n">
        <v>1146.96</v>
      </c>
    </row>
    <row r="873" customFormat="false" ht="14.25" hidden="false" customHeight="true" outlineLevel="0" collapsed="false">
      <c r="A873" s="51" t="n">
        <v>13500</v>
      </c>
      <c r="B873" s="52" t="n">
        <v>40863.6493055556</v>
      </c>
      <c r="C873" s="1" t="n">
        <v>4</v>
      </c>
      <c r="D873" s="1" t="n">
        <v>1136.77</v>
      </c>
    </row>
    <row r="874" customFormat="false" ht="14.25" hidden="false" customHeight="true" outlineLevel="0" collapsed="false">
      <c r="A874" s="51" t="n">
        <v>13501</v>
      </c>
      <c r="B874" s="52" t="n">
        <v>40644.3993055556</v>
      </c>
      <c r="C874" s="1" t="n">
        <v>2</v>
      </c>
      <c r="D874" s="1" t="n">
        <v>1310.47</v>
      </c>
    </row>
    <row r="875" customFormat="false" ht="14.25" hidden="false" customHeight="true" outlineLevel="0" collapsed="false">
      <c r="A875" s="51" t="n">
        <v>13502</v>
      </c>
      <c r="B875" s="52" t="n">
        <v>40870.44375</v>
      </c>
      <c r="C875" s="1" t="n">
        <v>3</v>
      </c>
      <c r="D875" s="1" t="n">
        <v>292</v>
      </c>
    </row>
    <row r="876" customFormat="false" ht="14.25" hidden="false" customHeight="true" outlineLevel="0" collapsed="false">
      <c r="A876" s="51" t="n">
        <v>13503</v>
      </c>
      <c r="B876" s="52" t="n">
        <v>40815.5576388889</v>
      </c>
      <c r="C876" s="1" t="n">
        <v>1</v>
      </c>
      <c r="D876" s="1" t="n">
        <v>216.85</v>
      </c>
    </row>
    <row r="877" customFormat="false" ht="14.25" hidden="false" customHeight="true" outlineLevel="0" collapsed="false">
      <c r="A877" s="51" t="n">
        <v>13504</v>
      </c>
      <c r="B877" s="52" t="n">
        <v>40822.5555555556</v>
      </c>
      <c r="C877" s="1" t="n">
        <v>1</v>
      </c>
      <c r="D877" s="1" t="n">
        <v>295.93</v>
      </c>
    </row>
    <row r="878" customFormat="false" ht="14.25" hidden="false" customHeight="true" outlineLevel="0" collapsed="false">
      <c r="A878" s="51" t="n">
        <v>13505</v>
      </c>
      <c r="B878" s="52" t="n">
        <v>40819.5097222222</v>
      </c>
      <c r="C878" s="1" t="n">
        <v>8</v>
      </c>
      <c r="D878" s="1" t="n">
        <v>4282.88</v>
      </c>
    </row>
    <row r="879" customFormat="false" ht="14.25" hidden="false" customHeight="true" outlineLevel="0" collapsed="false">
      <c r="A879" s="51" t="n">
        <v>13506</v>
      </c>
      <c r="B879" s="52" t="n">
        <v>40574.64375</v>
      </c>
      <c r="C879" s="1" t="n">
        <v>3</v>
      </c>
      <c r="D879" s="1" t="n">
        <v>452.82</v>
      </c>
    </row>
    <row r="880" customFormat="false" ht="14.25" hidden="false" customHeight="true" outlineLevel="0" collapsed="false">
      <c r="A880" s="51" t="n">
        <v>13507</v>
      </c>
      <c r="B880" s="52" t="n">
        <v>40883.5506944444</v>
      </c>
      <c r="C880" s="1" t="n">
        <v>4</v>
      </c>
      <c r="D880" s="1" t="n">
        <v>2479.16</v>
      </c>
    </row>
    <row r="881" customFormat="false" ht="14.25" hidden="false" customHeight="true" outlineLevel="0" collapsed="false">
      <c r="A881" s="51" t="n">
        <v>13508</v>
      </c>
      <c r="B881" s="52" t="n">
        <v>40643.4986111111</v>
      </c>
      <c r="C881" s="1" t="n">
        <v>1</v>
      </c>
      <c r="D881" s="1" t="n">
        <v>110.97</v>
      </c>
    </row>
    <row r="882" customFormat="false" ht="14.25" hidden="false" customHeight="true" outlineLevel="0" collapsed="false">
      <c r="A882" s="51" t="n">
        <v>13509</v>
      </c>
      <c r="B882" s="52" t="n">
        <v>40878.4236111111</v>
      </c>
      <c r="C882" s="1" t="n">
        <v>7</v>
      </c>
      <c r="D882" s="1" t="n">
        <v>979.72</v>
      </c>
    </row>
    <row r="883" customFormat="false" ht="14.25" hidden="false" customHeight="true" outlineLevel="0" collapsed="false">
      <c r="A883" s="51" t="n">
        <v>13510</v>
      </c>
      <c r="B883" s="52" t="n">
        <v>40885.5736111111</v>
      </c>
      <c r="C883" s="1" t="n">
        <v>5</v>
      </c>
      <c r="D883" s="1" t="n">
        <v>1785.16</v>
      </c>
    </row>
    <row r="884" customFormat="false" ht="14.25" hidden="false" customHeight="true" outlineLevel="0" collapsed="false">
      <c r="A884" s="51" t="n">
        <v>13512</v>
      </c>
      <c r="B884" s="52" t="n">
        <v>40626.41875</v>
      </c>
      <c r="C884" s="1" t="n">
        <v>1</v>
      </c>
      <c r="D884" s="1" t="n">
        <v>251.21</v>
      </c>
    </row>
    <row r="885" customFormat="false" ht="14.25" hidden="false" customHeight="true" outlineLevel="0" collapsed="false">
      <c r="A885" s="51" t="n">
        <v>13513</v>
      </c>
      <c r="B885" s="52" t="n">
        <v>40760.4930555556</v>
      </c>
      <c r="C885" s="1" t="n">
        <v>1</v>
      </c>
      <c r="D885" s="1" t="n">
        <v>205.1</v>
      </c>
    </row>
    <row r="886" customFormat="false" ht="14.25" hidden="false" customHeight="true" outlineLevel="0" collapsed="false">
      <c r="A886" s="51" t="n">
        <v>13514</v>
      </c>
      <c r="B886" s="52" t="n">
        <v>40813.4020833333</v>
      </c>
      <c r="C886" s="1" t="n">
        <v>1</v>
      </c>
      <c r="D886" s="1" t="n">
        <v>152.2</v>
      </c>
    </row>
    <row r="887" customFormat="false" ht="14.25" hidden="false" customHeight="true" outlineLevel="0" collapsed="false">
      <c r="A887" s="51" t="n">
        <v>13515</v>
      </c>
      <c r="B887" s="52" t="n">
        <v>40814.4763888889</v>
      </c>
      <c r="C887" s="1" t="n">
        <v>4</v>
      </c>
      <c r="D887" s="1" t="n">
        <v>891.12</v>
      </c>
    </row>
    <row r="888" customFormat="false" ht="14.25" hidden="false" customHeight="true" outlineLevel="0" collapsed="false">
      <c r="A888" s="51" t="n">
        <v>13516</v>
      </c>
      <c r="B888" s="52" t="n">
        <v>40865.5520833333</v>
      </c>
      <c r="C888" s="1" t="n">
        <v>3</v>
      </c>
      <c r="D888" s="1" t="n">
        <v>1389.41</v>
      </c>
    </row>
    <row r="889" customFormat="false" ht="14.25" hidden="false" customHeight="true" outlineLevel="0" collapsed="false">
      <c r="A889" s="51" t="n">
        <v>13517</v>
      </c>
      <c r="B889" s="52" t="n">
        <v>40827.4881944444</v>
      </c>
      <c r="C889" s="1" t="n">
        <v>5</v>
      </c>
      <c r="D889" s="1" t="n">
        <v>2109.07</v>
      </c>
    </row>
    <row r="890" customFormat="false" ht="14.25" hidden="false" customHeight="true" outlineLevel="0" collapsed="false">
      <c r="A890" s="51" t="n">
        <v>13518</v>
      </c>
      <c r="B890" s="52" t="n">
        <v>40801.4368055556</v>
      </c>
      <c r="C890" s="1" t="n">
        <v>1</v>
      </c>
      <c r="D890" s="1" t="n">
        <v>659.44</v>
      </c>
    </row>
    <row r="891" customFormat="false" ht="14.25" hidden="false" customHeight="true" outlineLevel="0" collapsed="false">
      <c r="A891" s="51" t="n">
        <v>13519</v>
      </c>
      <c r="B891" s="52" t="n">
        <v>40836.6638888889</v>
      </c>
      <c r="C891" s="1" t="n">
        <v>2</v>
      </c>
      <c r="D891" s="1" t="n">
        <v>110.8</v>
      </c>
    </row>
    <row r="892" customFormat="false" ht="14.25" hidden="false" customHeight="true" outlineLevel="0" collapsed="false">
      <c r="A892" s="51" t="n">
        <v>13520</v>
      </c>
      <c r="B892" s="52" t="n">
        <v>40828.4305555556</v>
      </c>
      <c r="C892" s="1" t="n">
        <v>8</v>
      </c>
      <c r="D892" s="1" t="n">
        <v>3487.75</v>
      </c>
    </row>
    <row r="893" customFormat="false" ht="14.25" hidden="false" customHeight="true" outlineLevel="0" collapsed="false">
      <c r="A893" s="51" t="n">
        <v>13521</v>
      </c>
      <c r="B893" s="52" t="n">
        <v>40885.5763888889</v>
      </c>
      <c r="C893" s="1" t="n">
        <v>3</v>
      </c>
      <c r="D893" s="1" t="n">
        <v>1093.65</v>
      </c>
    </row>
    <row r="894" customFormat="false" ht="14.25" hidden="false" customHeight="true" outlineLevel="0" collapsed="false">
      <c r="A894" s="51" t="n">
        <v>13522</v>
      </c>
      <c r="B894" s="52" t="n">
        <v>40856.6326388889</v>
      </c>
      <c r="C894" s="1" t="n">
        <v>1</v>
      </c>
      <c r="D894" s="1" t="n">
        <v>125.8</v>
      </c>
    </row>
    <row r="895" customFormat="false" ht="14.25" hidden="false" customHeight="true" outlineLevel="0" collapsed="false">
      <c r="A895" s="51" t="n">
        <v>13523</v>
      </c>
      <c r="B895" s="52" t="n">
        <v>40853.6326388889</v>
      </c>
      <c r="C895" s="1" t="n">
        <v>6</v>
      </c>
      <c r="D895" s="1" t="n">
        <v>3755.38</v>
      </c>
    </row>
    <row r="896" customFormat="false" ht="14.25" hidden="false" customHeight="true" outlineLevel="0" collapsed="false">
      <c r="A896" s="51" t="n">
        <v>13524</v>
      </c>
      <c r="B896" s="52" t="n">
        <v>40846.5236111111</v>
      </c>
      <c r="C896" s="1" t="n">
        <v>5</v>
      </c>
      <c r="D896" s="1" t="n">
        <v>680.18</v>
      </c>
    </row>
    <row r="897" customFormat="false" ht="14.25" hidden="false" customHeight="true" outlineLevel="0" collapsed="false">
      <c r="A897" s="51" t="n">
        <v>13525</v>
      </c>
      <c r="B897" s="52" t="n">
        <v>40872.5006944445</v>
      </c>
      <c r="C897" s="1" t="n">
        <v>2</v>
      </c>
      <c r="D897" s="1" t="n">
        <v>628.78</v>
      </c>
    </row>
    <row r="898" customFormat="false" ht="14.25" hidden="false" customHeight="true" outlineLevel="0" collapsed="false">
      <c r="A898" s="51" t="n">
        <v>13527</v>
      </c>
      <c r="B898" s="52" t="n">
        <v>40853.5027777778</v>
      </c>
      <c r="C898" s="1" t="n">
        <v>8</v>
      </c>
      <c r="D898" s="1" t="n">
        <v>2263.76</v>
      </c>
    </row>
    <row r="899" customFormat="false" ht="14.25" hidden="false" customHeight="true" outlineLevel="0" collapsed="false">
      <c r="A899" s="51" t="n">
        <v>13529</v>
      </c>
      <c r="B899" s="52" t="n">
        <v>40808.3854166667</v>
      </c>
      <c r="C899" s="1" t="n">
        <v>2</v>
      </c>
      <c r="D899" s="1" t="n">
        <v>307.76</v>
      </c>
    </row>
    <row r="900" customFormat="false" ht="14.25" hidden="false" customHeight="true" outlineLevel="0" collapsed="false">
      <c r="A900" s="51" t="n">
        <v>13531</v>
      </c>
      <c r="B900" s="52" t="n">
        <v>40681.7055555556</v>
      </c>
      <c r="C900" s="1" t="n">
        <v>2</v>
      </c>
      <c r="D900" s="1" t="n">
        <v>483.8</v>
      </c>
    </row>
    <row r="901" customFormat="false" ht="14.25" hidden="false" customHeight="true" outlineLevel="0" collapsed="false">
      <c r="A901" s="51" t="n">
        <v>13532</v>
      </c>
      <c r="B901" s="52" t="n">
        <v>40853.5173611111</v>
      </c>
      <c r="C901" s="1" t="n">
        <v>1</v>
      </c>
      <c r="D901" s="1" t="n">
        <v>210.31</v>
      </c>
    </row>
    <row r="902" customFormat="false" ht="14.25" hidden="false" customHeight="true" outlineLevel="0" collapsed="false">
      <c r="A902" s="51" t="n">
        <v>13533</v>
      </c>
      <c r="B902" s="52" t="n">
        <v>40704.4958333333</v>
      </c>
      <c r="C902" s="1" t="n">
        <v>3</v>
      </c>
      <c r="D902" s="1" t="n">
        <v>270.79</v>
      </c>
    </row>
    <row r="903" customFormat="false" ht="14.25" hidden="false" customHeight="true" outlineLevel="0" collapsed="false">
      <c r="A903" s="51" t="n">
        <v>13534</v>
      </c>
      <c r="B903" s="52" t="n">
        <v>40884.6194444444</v>
      </c>
      <c r="C903" s="1" t="n">
        <v>43</v>
      </c>
      <c r="D903" s="1" t="n">
        <v>5613.08000000002</v>
      </c>
    </row>
    <row r="904" customFormat="false" ht="14.25" hidden="false" customHeight="true" outlineLevel="0" collapsed="false">
      <c r="A904" s="51" t="n">
        <v>13536</v>
      </c>
      <c r="B904" s="52" t="n">
        <v>40885.6930555556</v>
      </c>
      <c r="C904" s="1" t="n">
        <v>7</v>
      </c>
      <c r="D904" s="1" t="n">
        <v>3448.29</v>
      </c>
    </row>
    <row r="905" customFormat="false" ht="14.25" hidden="false" customHeight="true" outlineLevel="0" collapsed="false">
      <c r="A905" s="51" t="n">
        <v>13538</v>
      </c>
      <c r="B905" s="52" t="n">
        <v>40843.6902777778</v>
      </c>
      <c r="C905" s="1" t="n">
        <v>7</v>
      </c>
      <c r="D905" s="1" t="n">
        <v>1280.85</v>
      </c>
    </row>
    <row r="906" customFormat="false" ht="14.25" hidden="false" customHeight="true" outlineLevel="0" collapsed="false">
      <c r="A906" s="51" t="n">
        <v>13539</v>
      </c>
      <c r="B906" s="52" t="n">
        <v>40801.4291666667</v>
      </c>
      <c r="C906" s="1" t="n">
        <v>4</v>
      </c>
      <c r="D906" s="1" t="n">
        <v>605.84</v>
      </c>
    </row>
    <row r="907" customFormat="false" ht="14.25" hidden="false" customHeight="true" outlineLevel="0" collapsed="false">
      <c r="A907" s="51" t="n">
        <v>13544</v>
      </c>
      <c r="B907" s="52" t="n">
        <v>40847.4979166667</v>
      </c>
      <c r="C907" s="1" t="n">
        <v>2</v>
      </c>
      <c r="D907" s="1" t="n">
        <v>291.41</v>
      </c>
    </row>
    <row r="908" customFormat="false" ht="14.25" hidden="false" customHeight="true" outlineLevel="0" collapsed="false">
      <c r="A908" s="51" t="n">
        <v>13546</v>
      </c>
      <c r="B908" s="52" t="n">
        <v>40874.6180555556</v>
      </c>
      <c r="C908" s="1" t="n">
        <v>3</v>
      </c>
      <c r="D908" s="1" t="n">
        <v>626.99</v>
      </c>
    </row>
    <row r="909" customFormat="false" ht="14.25" hidden="false" customHeight="true" outlineLevel="0" collapsed="false">
      <c r="A909" s="51" t="n">
        <v>13548</v>
      </c>
      <c r="B909" s="52" t="n">
        <v>40790.6180555556</v>
      </c>
      <c r="C909" s="1" t="n">
        <v>2</v>
      </c>
      <c r="D909" s="1" t="n">
        <v>682.41</v>
      </c>
    </row>
    <row r="910" customFormat="false" ht="14.25" hidden="false" customHeight="true" outlineLevel="0" collapsed="false">
      <c r="A910" s="51" t="n">
        <v>13549</v>
      </c>
      <c r="B910" s="52" t="n">
        <v>40861.3888888889</v>
      </c>
      <c r="C910" s="1" t="n">
        <v>8</v>
      </c>
      <c r="D910" s="1" t="n">
        <v>916.12</v>
      </c>
    </row>
    <row r="911" customFormat="false" ht="14.25" hidden="false" customHeight="true" outlineLevel="0" collapsed="false">
      <c r="A911" s="51" t="n">
        <v>13551</v>
      </c>
      <c r="B911" s="52" t="n">
        <v>40567.6152777778</v>
      </c>
      <c r="C911" s="1" t="n">
        <v>1</v>
      </c>
      <c r="D911" s="1" t="n">
        <v>91.8</v>
      </c>
    </row>
    <row r="912" customFormat="false" ht="14.25" hidden="false" customHeight="true" outlineLevel="0" collapsed="false">
      <c r="A912" s="51" t="n">
        <v>13552</v>
      </c>
      <c r="B912" s="52" t="n">
        <v>40820.6381944444</v>
      </c>
      <c r="C912" s="1" t="n">
        <v>16</v>
      </c>
      <c r="D912" s="1" t="n">
        <v>3539.53</v>
      </c>
    </row>
    <row r="913" customFormat="false" ht="14.25" hidden="false" customHeight="true" outlineLevel="0" collapsed="false">
      <c r="A913" s="51" t="n">
        <v>13555</v>
      </c>
      <c r="B913" s="52" t="n">
        <v>40813.525</v>
      </c>
      <c r="C913" s="1" t="n">
        <v>4</v>
      </c>
      <c r="D913" s="1" t="n">
        <v>4149.28</v>
      </c>
    </row>
    <row r="914" customFormat="false" ht="14.25" hidden="false" customHeight="true" outlineLevel="0" collapsed="false">
      <c r="A914" s="51" t="n">
        <v>13557</v>
      </c>
      <c r="B914" s="52" t="n">
        <v>40858.6416666667</v>
      </c>
      <c r="C914" s="1" t="n">
        <v>2</v>
      </c>
      <c r="D914" s="1" t="n">
        <v>584.06</v>
      </c>
    </row>
    <row r="915" customFormat="false" ht="14.25" hidden="false" customHeight="true" outlineLevel="0" collapsed="false">
      <c r="A915" s="51" t="n">
        <v>13558</v>
      </c>
      <c r="B915" s="52" t="n">
        <v>40881.475</v>
      </c>
      <c r="C915" s="1" t="n">
        <v>4</v>
      </c>
      <c r="D915" s="1" t="n">
        <v>605.06</v>
      </c>
    </row>
    <row r="916" customFormat="false" ht="14.25" hidden="false" customHeight="true" outlineLevel="0" collapsed="false">
      <c r="A916" s="51" t="n">
        <v>13560</v>
      </c>
      <c r="B916" s="52" t="n">
        <v>40879.5493055556</v>
      </c>
      <c r="C916" s="1" t="n">
        <v>1</v>
      </c>
      <c r="D916" s="1" t="n">
        <v>174.37</v>
      </c>
    </row>
    <row r="917" customFormat="false" ht="14.25" hidden="false" customHeight="true" outlineLevel="0" collapsed="false">
      <c r="A917" s="51" t="n">
        <v>13561</v>
      </c>
      <c r="B917" s="52" t="n">
        <v>40671.5270833333</v>
      </c>
      <c r="C917" s="1" t="n">
        <v>1</v>
      </c>
      <c r="D917" s="1" t="n">
        <v>141.86</v>
      </c>
    </row>
    <row r="918" customFormat="false" ht="14.25" hidden="false" customHeight="true" outlineLevel="0" collapsed="false">
      <c r="A918" s="51" t="n">
        <v>13562</v>
      </c>
      <c r="B918" s="52" t="n">
        <v>40805.4520833333</v>
      </c>
      <c r="C918" s="1" t="n">
        <v>3</v>
      </c>
      <c r="D918" s="1" t="n">
        <v>1799.33</v>
      </c>
    </row>
    <row r="919" customFormat="false" ht="14.25" hidden="false" customHeight="true" outlineLevel="0" collapsed="false">
      <c r="A919" s="51" t="n">
        <v>13563</v>
      </c>
      <c r="B919" s="52" t="n">
        <v>40802.6145833333</v>
      </c>
      <c r="C919" s="1" t="n">
        <v>2</v>
      </c>
      <c r="D919" s="1" t="n">
        <v>777.53</v>
      </c>
    </row>
    <row r="920" customFormat="false" ht="14.25" hidden="false" customHeight="true" outlineLevel="0" collapsed="false">
      <c r="A920" s="51" t="n">
        <v>13564</v>
      </c>
      <c r="B920" s="52" t="n">
        <v>40742.6076388889</v>
      </c>
      <c r="C920" s="1" t="n">
        <v>5</v>
      </c>
      <c r="D920" s="1" t="n">
        <v>647.740000000001</v>
      </c>
    </row>
    <row r="921" customFormat="false" ht="14.25" hidden="false" customHeight="true" outlineLevel="0" collapsed="false">
      <c r="A921" s="51" t="n">
        <v>13565</v>
      </c>
      <c r="B921" s="52" t="n">
        <v>40867.60625</v>
      </c>
      <c r="C921" s="1" t="n">
        <v>2</v>
      </c>
      <c r="D921" s="1" t="n">
        <v>240.22</v>
      </c>
    </row>
    <row r="922" customFormat="false" ht="14.25" hidden="false" customHeight="true" outlineLevel="0" collapsed="false">
      <c r="A922" s="51" t="n">
        <v>13566</v>
      </c>
      <c r="B922" s="52" t="n">
        <v>40846.4993055556</v>
      </c>
      <c r="C922" s="1" t="n">
        <v>2</v>
      </c>
      <c r="D922" s="1" t="n">
        <v>874.71</v>
      </c>
    </row>
    <row r="923" customFormat="false" ht="14.25" hidden="false" customHeight="true" outlineLevel="0" collapsed="false">
      <c r="A923" s="51" t="n">
        <v>13568</v>
      </c>
      <c r="B923" s="52" t="n">
        <v>40713.6125</v>
      </c>
      <c r="C923" s="1" t="n">
        <v>1</v>
      </c>
      <c r="D923" s="1" t="n">
        <v>192.85</v>
      </c>
    </row>
    <row r="924" customFormat="false" ht="14.25" hidden="false" customHeight="true" outlineLevel="0" collapsed="false">
      <c r="A924" s="51" t="n">
        <v>13569</v>
      </c>
      <c r="B924" s="52" t="n">
        <v>40869.5465277778</v>
      </c>
      <c r="C924" s="1" t="n">
        <v>2</v>
      </c>
      <c r="D924" s="1" t="n">
        <v>373.75</v>
      </c>
    </row>
    <row r="925" customFormat="false" ht="14.25" hidden="false" customHeight="true" outlineLevel="0" collapsed="false">
      <c r="A925" s="51" t="n">
        <v>13570</v>
      </c>
      <c r="B925" s="52" t="n">
        <v>40643.5666666667</v>
      </c>
      <c r="C925" s="1" t="n">
        <v>1</v>
      </c>
      <c r="D925" s="1" t="n">
        <v>239.49</v>
      </c>
    </row>
    <row r="926" customFormat="false" ht="14.25" hidden="false" customHeight="true" outlineLevel="0" collapsed="false">
      <c r="A926" s="51" t="n">
        <v>13571</v>
      </c>
      <c r="B926" s="52" t="n">
        <v>40874.4493055556</v>
      </c>
      <c r="C926" s="1" t="n">
        <v>12</v>
      </c>
      <c r="D926" s="1" t="n">
        <v>2092.32</v>
      </c>
    </row>
    <row r="927" customFormat="false" ht="14.25" hidden="false" customHeight="true" outlineLevel="0" collapsed="false">
      <c r="A927" s="51" t="n">
        <v>13572</v>
      </c>
      <c r="B927" s="52" t="n">
        <v>40681.4993055556</v>
      </c>
      <c r="C927" s="1" t="n">
        <v>1</v>
      </c>
      <c r="D927" s="1" t="n">
        <v>1384.25</v>
      </c>
    </row>
    <row r="928" customFormat="false" ht="14.25" hidden="false" customHeight="true" outlineLevel="0" collapsed="false">
      <c r="A928" s="51" t="n">
        <v>13573</v>
      </c>
      <c r="B928" s="52" t="n">
        <v>40836.60625</v>
      </c>
      <c r="C928" s="1" t="n">
        <v>2</v>
      </c>
      <c r="D928" s="1" t="n">
        <v>294.4</v>
      </c>
    </row>
    <row r="929" customFormat="false" ht="14.25" hidden="false" customHeight="true" outlineLevel="0" collapsed="false">
      <c r="A929" s="51" t="n">
        <v>13575</v>
      </c>
      <c r="B929" s="52" t="n">
        <v>40863.5513888889</v>
      </c>
      <c r="C929" s="1" t="n">
        <v>5</v>
      </c>
      <c r="D929" s="1" t="n">
        <v>732.07</v>
      </c>
    </row>
    <row r="930" customFormat="false" ht="14.25" hidden="false" customHeight="true" outlineLevel="0" collapsed="false">
      <c r="A930" s="51" t="n">
        <v>13576</v>
      </c>
      <c r="B930" s="52" t="n">
        <v>40876.6486111111</v>
      </c>
      <c r="C930" s="1" t="n">
        <v>20</v>
      </c>
      <c r="D930" s="1" t="n">
        <v>6703.3</v>
      </c>
    </row>
    <row r="931" customFormat="false" ht="14.25" hidden="false" customHeight="true" outlineLevel="0" collapsed="false">
      <c r="A931" s="51" t="n">
        <v>13577</v>
      </c>
      <c r="B931" s="52" t="n">
        <v>40861.6381944444</v>
      </c>
      <c r="C931" s="1" t="n">
        <v>5</v>
      </c>
      <c r="D931" s="1" t="n">
        <v>1658.3</v>
      </c>
    </row>
    <row r="932" customFormat="false" ht="14.25" hidden="false" customHeight="true" outlineLevel="0" collapsed="false">
      <c r="A932" s="51" t="n">
        <v>13579</v>
      </c>
      <c r="B932" s="52" t="n">
        <v>40872.3618055556</v>
      </c>
      <c r="C932" s="1" t="n">
        <v>2</v>
      </c>
      <c r="D932" s="1" t="n">
        <v>467.04</v>
      </c>
    </row>
    <row r="933" customFormat="false" ht="14.25" hidden="false" customHeight="true" outlineLevel="0" collapsed="false">
      <c r="A933" s="51" t="n">
        <v>13581</v>
      </c>
      <c r="B933" s="52" t="n">
        <v>40577.6118055556</v>
      </c>
      <c r="C933" s="1" t="n">
        <v>1</v>
      </c>
      <c r="D933" s="1" t="n">
        <v>118</v>
      </c>
    </row>
    <row r="934" customFormat="false" ht="14.25" hidden="false" customHeight="true" outlineLevel="0" collapsed="false">
      <c r="A934" s="51" t="n">
        <v>13583</v>
      </c>
      <c r="B934" s="52" t="n">
        <v>40731.4444444445</v>
      </c>
      <c r="C934" s="1" t="n">
        <v>1</v>
      </c>
      <c r="D934" s="1" t="n">
        <v>781.03</v>
      </c>
    </row>
    <row r="935" customFormat="false" ht="14.25" hidden="false" customHeight="true" outlineLevel="0" collapsed="false">
      <c r="A935" s="51" t="n">
        <v>13584</v>
      </c>
      <c r="B935" s="52" t="n">
        <v>40580.5340277778</v>
      </c>
      <c r="C935" s="1" t="n">
        <v>1</v>
      </c>
      <c r="D935" s="1" t="n">
        <v>142.4</v>
      </c>
    </row>
    <row r="936" customFormat="false" ht="14.25" hidden="false" customHeight="true" outlineLevel="0" collapsed="false">
      <c r="A936" s="51" t="n">
        <v>13587</v>
      </c>
      <c r="B936" s="52" t="n">
        <v>40855.4701388889</v>
      </c>
      <c r="C936" s="1" t="n">
        <v>3</v>
      </c>
      <c r="D936" s="1" t="n">
        <v>347</v>
      </c>
    </row>
    <row r="937" customFormat="false" ht="14.25" hidden="false" customHeight="true" outlineLevel="0" collapsed="false">
      <c r="A937" s="51" t="n">
        <v>13588</v>
      </c>
      <c r="B937" s="52" t="n">
        <v>40871.4458333333</v>
      </c>
      <c r="C937" s="1" t="n">
        <v>13</v>
      </c>
      <c r="D937" s="1" t="n">
        <v>2445.12</v>
      </c>
    </row>
    <row r="938" customFormat="false" ht="14.25" hidden="false" customHeight="true" outlineLevel="0" collapsed="false">
      <c r="A938" s="51" t="n">
        <v>13589</v>
      </c>
      <c r="B938" s="52" t="n">
        <v>40872.5069444445</v>
      </c>
      <c r="C938" s="1" t="n">
        <v>2</v>
      </c>
      <c r="D938" s="1" t="n">
        <v>379.65</v>
      </c>
    </row>
    <row r="939" customFormat="false" ht="14.25" hidden="false" customHeight="true" outlineLevel="0" collapsed="false">
      <c r="A939" s="51" t="n">
        <v>13590</v>
      </c>
      <c r="B939" s="52" t="n">
        <v>40875.5375</v>
      </c>
      <c r="C939" s="1" t="n">
        <v>7</v>
      </c>
      <c r="D939" s="1" t="n">
        <v>1976.12</v>
      </c>
    </row>
    <row r="940" customFormat="false" ht="14.25" hidden="false" customHeight="true" outlineLevel="0" collapsed="false">
      <c r="A940" s="51" t="n">
        <v>13591</v>
      </c>
      <c r="B940" s="52" t="n">
        <v>40822.5180555556</v>
      </c>
      <c r="C940" s="1" t="n">
        <v>3</v>
      </c>
      <c r="D940" s="1" t="n">
        <v>1117.13</v>
      </c>
    </row>
    <row r="941" customFormat="false" ht="14.25" hidden="false" customHeight="true" outlineLevel="0" collapsed="false">
      <c r="A941" s="51" t="n">
        <v>13592</v>
      </c>
      <c r="B941" s="52" t="n">
        <v>40851.4090277778</v>
      </c>
      <c r="C941" s="1" t="n">
        <v>4</v>
      </c>
      <c r="D941" s="1" t="n">
        <v>247.96</v>
      </c>
    </row>
    <row r="942" customFormat="false" ht="14.25" hidden="false" customHeight="true" outlineLevel="0" collapsed="false">
      <c r="A942" s="51" t="n">
        <v>13593</v>
      </c>
      <c r="B942" s="52" t="n">
        <v>40778.5659722222</v>
      </c>
      <c r="C942" s="1" t="n">
        <v>6</v>
      </c>
      <c r="D942" s="1" t="n">
        <v>1990.28</v>
      </c>
    </row>
    <row r="943" customFormat="false" ht="14.25" hidden="false" customHeight="true" outlineLevel="0" collapsed="false">
      <c r="A943" s="51" t="n">
        <v>13594</v>
      </c>
      <c r="B943" s="52" t="n">
        <v>40834.4298611111</v>
      </c>
      <c r="C943" s="1" t="n">
        <v>1</v>
      </c>
      <c r="D943" s="1" t="n">
        <v>396.97</v>
      </c>
    </row>
    <row r="944" customFormat="false" ht="14.25" hidden="false" customHeight="true" outlineLevel="0" collapsed="false">
      <c r="A944" s="51" t="n">
        <v>13596</v>
      </c>
      <c r="B944" s="52" t="n">
        <v>40881.5006944445</v>
      </c>
      <c r="C944" s="1" t="n">
        <v>2</v>
      </c>
      <c r="D944" s="1" t="n">
        <v>697.04</v>
      </c>
    </row>
    <row r="945" customFormat="false" ht="14.25" hidden="false" customHeight="true" outlineLevel="0" collapsed="false">
      <c r="A945" s="51" t="n">
        <v>13598</v>
      </c>
      <c r="B945" s="52" t="n">
        <v>40839.6076388889</v>
      </c>
      <c r="C945" s="1" t="n">
        <v>2</v>
      </c>
      <c r="D945" s="1" t="n">
        <v>167.42</v>
      </c>
    </row>
    <row r="946" customFormat="false" ht="14.25" hidden="false" customHeight="true" outlineLevel="0" collapsed="false">
      <c r="A946" s="51" t="n">
        <v>13599</v>
      </c>
      <c r="B946" s="52" t="n">
        <v>40885.8097222222</v>
      </c>
      <c r="C946" s="1" t="n">
        <v>33</v>
      </c>
      <c r="D946" s="1" t="n">
        <v>5030.6</v>
      </c>
    </row>
    <row r="947" customFormat="false" ht="14.25" hidden="false" customHeight="true" outlineLevel="0" collapsed="false">
      <c r="A947" s="51" t="n">
        <v>13600</v>
      </c>
      <c r="B947" s="52" t="n">
        <v>40574.64375</v>
      </c>
      <c r="C947" s="1" t="n">
        <v>1</v>
      </c>
      <c r="D947" s="1" t="n">
        <v>219.52</v>
      </c>
    </row>
    <row r="948" customFormat="false" ht="14.25" hidden="false" customHeight="true" outlineLevel="0" collapsed="false">
      <c r="A948" s="51" t="n">
        <v>13601</v>
      </c>
      <c r="B948" s="52" t="n">
        <v>40841.7298611111</v>
      </c>
      <c r="C948" s="1" t="n">
        <v>2</v>
      </c>
      <c r="D948" s="1" t="n">
        <v>693.32</v>
      </c>
    </row>
    <row r="949" customFormat="false" ht="14.25" hidden="false" customHeight="true" outlineLevel="0" collapsed="false">
      <c r="A949" s="51" t="n">
        <v>13602</v>
      </c>
      <c r="B949" s="52" t="n">
        <v>40822.4909722222</v>
      </c>
      <c r="C949" s="1" t="n">
        <v>1</v>
      </c>
      <c r="D949" s="1" t="n">
        <v>428.89</v>
      </c>
    </row>
    <row r="950" customFormat="false" ht="14.25" hidden="false" customHeight="true" outlineLevel="0" collapsed="false">
      <c r="A950" s="51" t="n">
        <v>13603</v>
      </c>
      <c r="B950" s="52" t="n">
        <v>40860.6645833333</v>
      </c>
      <c r="C950" s="1" t="n">
        <v>1</v>
      </c>
      <c r="D950" s="1" t="n">
        <v>164.34</v>
      </c>
    </row>
    <row r="951" customFormat="false" ht="14.25" hidden="false" customHeight="true" outlineLevel="0" collapsed="false">
      <c r="A951" s="51" t="n">
        <v>13606</v>
      </c>
      <c r="B951" s="52" t="n">
        <v>40857.7402777778</v>
      </c>
      <c r="C951" s="1" t="n">
        <v>3</v>
      </c>
      <c r="D951" s="1" t="n">
        <v>280.54</v>
      </c>
    </row>
    <row r="952" customFormat="false" ht="14.25" hidden="false" customHeight="true" outlineLevel="0" collapsed="false">
      <c r="A952" s="51" t="n">
        <v>13607</v>
      </c>
      <c r="B952" s="52" t="n">
        <v>40846.6784722222</v>
      </c>
      <c r="C952" s="1" t="n">
        <v>1</v>
      </c>
      <c r="D952" s="1" t="n">
        <v>678.01</v>
      </c>
    </row>
    <row r="953" customFormat="false" ht="14.25" hidden="false" customHeight="true" outlineLevel="0" collapsed="false">
      <c r="A953" s="51" t="n">
        <v>13610</v>
      </c>
      <c r="B953" s="52" t="n">
        <v>40874.6513888889</v>
      </c>
      <c r="C953" s="1" t="n">
        <v>9</v>
      </c>
      <c r="D953" s="1" t="n">
        <v>1115.43</v>
      </c>
    </row>
    <row r="954" customFormat="false" ht="14.25" hidden="false" customHeight="true" outlineLevel="0" collapsed="false">
      <c r="A954" s="51" t="n">
        <v>13611</v>
      </c>
      <c r="B954" s="52" t="n">
        <v>40797.61875</v>
      </c>
      <c r="C954" s="1" t="n">
        <v>4</v>
      </c>
      <c r="D954" s="1" t="n">
        <v>1158.2</v>
      </c>
    </row>
    <row r="955" customFormat="false" ht="14.25" hidden="false" customHeight="true" outlineLevel="0" collapsed="false">
      <c r="A955" s="51" t="n">
        <v>13614</v>
      </c>
      <c r="B955" s="52" t="n">
        <v>40862.6159722222</v>
      </c>
      <c r="C955" s="1" t="n">
        <v>4</v>
      </c>
      <c r="D955" s="1" t="n">
        <v>1610.46</v>
      </c>
    </row>
    <row r="956" customFormat="false" ht="14.25" hidden="false" customHeight="true" outlineLevel="0" collapsed="false">
      <c r="A956" s="51" t="n">
        <v>13615</v>
      </c>
      <c r="B956" s="52" t="n">
        <v>40574.4784722222</v>
      </c>
      <c r="C956" s="1" t="n">
        <v>2</v>
      </c>
      <c r="D956" s="1" t="n">
        <v>399.99</v>
      </c>
    </row>
    <row r="957" customFormat="false" ht="14.25" hidden="false" customHeight="true" outlineLevel="0" collapsed="false">
      <c r="A957" s="51" t="n">
        <v>13617</v>
      </c>
      <c r="B957" s="52" t="n">
        <v>40846.5763888889</v>
      </c>
      <c r="C957" s="1" t="n">
        <v>3</v>
      </c>
      <c r="D957" s="1" t="n">
        <v>544.18</v>
      </c>
    </row>
    <row r="958" customFormat="false" ht="14.25" hidden="false" customHeight="true" outlineLevel="0" collapsed="false">
      <c r="A958" s="51" t="n">
        <v>13618</v>
      </c>
      <c r="B958" s="52" t="n">
        <v>40713.4645833333</v>
      </c>
      <c r="C958" s="1" t="n">
        <v>1</v>
      </c>
      <c r="D958" s="1" t="n">
        <v>177.34</v>
      </c>
    </row>
    <row r="959" customFormat="false" ht="14.25" hidden="false" customHeight="true" outlineLevel="0" collapsed="false">
      <c r="A959" s="51" t="n">
        <v>13621</v>
      </c>
      <c r="B959" s="52" t="n">
        <v>40770.3513888889</v>
      </c>
      <c r="C959" s="1" t="n">
        <v>1</v>
      </c>
      <c r="D959" s="1" t="n">
        <v>213.85</v>
      </c>
    </row>
    <row r="960" customFormat="false" ht="14.25" hidden="false" customHeight="true" outlineLevel="0" collapsed="false">
      <c r="A960" s="51" t="n">
        <v>13623</v>
      </c>
      <c r="B960" s="52" t="n">
        <v>40856.5</v>
      </c>
      <c r="C960" s="1" t="n">
        <v>7</v>
      </c>
      <c r="D960" s="1" t="n">
        <v>672.44</v>
      </c>
    </row>
    <row r="961" customFormat="false" ht="14.25" hidden="false" customHeight="true" outlineLevel="0" collapsed="false">
      <c r="A961" s="51" t="n">
        <v>13626</v>
      </c>
      <c r="B961" s="52" t="n">
        <v>40634.4201388889</v>
      </c>
      <c r="C961" s="1" t="n">
        <v>1</v>
      </c>
      <c r="D961" s="1" t="n">
        <v>257.23</v>
      </c>
    </row>
    <row r="962" customFormat="false" ht="14.25" hidden="false" customHeight="true" outlineLevel="0" collapsed="false">
      <c r="A962" s="51" t="n">
        <v>13627</v>
      </c>
      <c r="B962" s="52" t="n">
        <v>40827.5972222222</v>
      </c>
      <c r="C962" s="1" t="n">
        <v>7</v>
      </c>
      <c r="D962" s="1" t="n">
        <v>1624.02</v>
      </c>
    </row>
    <row r="963" customFormat="false" ht="14.25" hidden="false" customHeight="true" outlineLevel="0" collapsed="false">
      <c r="A963" s="51" t="n">
        <v>13629</v>
      </c>
      <c r="B963" s="52" t="n">
        <v>40863.55625</v>
      </c>
      <c r="C963" s="1" t="n">
        <v>11</v>
      </c>
      <c r="D963" s="1" t="n">
        <v>7792.36</v>
      </c>
    </row>
    <row r="964" customFormat="false" ht="14.25" hidden="false" customHeight="true" outlineLevel="0" collapsed="false">
      <c r="A964" s="51" t="n">
        <v>13630</v>
      </c>
      <c r="B964" s="52" t="n">
        <v>40881.6361111111</v>
      </c>
      <c r="C964" s="1" t="n">
        <v>11</v>
      </c>
      <c r="D964" s="1" t="n">
        <v>1995.68</v>
      </c>
    </row>
    <row r="965" customFormat="false" ht="14.25" hidden="false" customHeight="true" outlineLevel="0" collapsed="false">
      <c r="A965" s="51" t="n">
        <v>13631</v>
      </c>
      <c r="B965" s="52" t="n">
        <v>40787.4145833333</v>
      </c>
      <c r="C965" s="1" t="n">
        <v>12</v>
      </c>
      <c r="D965" s="1" t="n">
        <v>3021.77</v>
      </c>
    </row>
    <row r="966" customFormat="false" ht="14.25" hidden="false" customHeight="true" outlineLevel="0" collapsed="false">
      <c r="A966" s="51" t="n">
        <v>13632</v>
      </c>
      <c r="B966" s="52" t="n">
        <v>40862.4520833333</v>
      </c>
      <c r="C966" s="1" t="n">
        <v>6</v>
      </c>
      <c r="D966" s="1" t="n">
        <v>2117.02</v>
      </c>
    </row>
    <row r="967" customFormat="false" ht="14.25" hidden="false" customHeight="true" outlineLevel="0" collapsed="false">
      <c r="A967" s="51" t="n">
        <v>13634</v>
      </c>
      <c r="B967" s="52" t="n">
        <v>40853.5694444445</v>
      </c>
      <c r="C967" s="1" t="n">
        <v>5</v>
      </c>
      <c r="D967" s="1" t="n">
        <v>1575.16</v>
      </c>
    </row>
    <row r="968" customFormat="false" ht="14.25" hidden="false" customHeight="true" outlineLevel="0" collapsed="false">
      <c r="A968" s="51" t="n">
        <v>13635</v>
      </c>
      <c r="B968" s="52" t="n">
        <v>40819.4548611111</v>
      </c>
      <c r="C968" s="1" t="n">
        <v>1</v>
      </c>
      <c r="D968" s="1" t="n">
        <v>1071.03</v>
      </c>
    </row>
    <row r="969" customFormat="false" ht="14.25" hidden="false" customHeight="true" outlineLevel="0" collapsed="false">
      <c r="A969" s="51" t="n">
        <v>13636</v>
      </c>
      <c r="B969" s="52" t="n">
        <v>40850.4375</v>
      </c>
      <c r="C969" s="1" t="n">
        <v>6</v>
      </c>
      <c r="D969" s="1" t="n">
        <v>941.62</v>
      </c>
    </row>
    <row r="970" customFormat="false" ht="14.25" hidden="false" customHeight="true" outlineLevel="0" collapsed="false">
      <c r="A970" s="51" t="n">
        <v>13637</v>
      </c>
      <c r="B970" s="52" t="n">
        <v>40834.5638888889</v>
      </c>
      <c r="C970" s="1" t="n">
        <v>3</v>
      </c>
      <c r="D970" s="1" t="n">
        <v>810.5</v>
      </c>
    </row>
    <row r="971" customFormat="false" ht="14.25" hidden="false" customHeight="true" outlineLevel="0" collapsed="false">
      <c r="A971" s="51" t="n">
        <v>13638</v>
      </c>
      <c r="B971" s="52" t="n">
        <v>40871.4430555556</v>
      </c>
      <c r="C971" s="1" t="n">
        <v>1</v>
      </c>
      <c r="D971" s="1" t="n">
        <v>122.64</v>
      </c>
    </row>
    <row r="972" customFormat="false" ht="14.25" hidden="false" customHeight="true" outlineLevel="0" collapsed="false">
      <c r="A972" s="51" t="n">
        <v>13639</v>
      </c>
      <c r="B972" s="52" t="n">
        <v>40812.5666666667</v>
      </c>
      <c r="C972" s="1" t="n">
        <v>1</v>
      </c>
      <c r="D972" s="1" t="n">
        <v>1033.34</v>
      </c>
    </row>
    <row r="973" customFormat="false" ht="14.25" hidden="false" customHeight="true" outlineLevel="0" collapsed="false">
      <c r="A973" s="51" t="n">
        <v>13642</v>
      </c>
      <c r="B973" s="52" t="n">
        <v>40671.5236111111</v>
      </c>
      <c r="C973" s="1" t="n">
        <v>1</v>
      </c>
      <c r="D973" s="1" t="n">
        <v>354.8</v>
      </c>
    </row>
    <row r="974" customFormat="false" ht="14.25" hidden="false" customHeight="true" outlineLevel="0" collapsed="false">
      <c r="A974" s="51" t="n">
        <v>13643</v>
      </c>
      <c r="B974" s="52" t="n">
        <v>40855.6506944444</v>
      </c>
      <c r="C974" s="1" t="n">
        <v>3</v>
      </c>
      <c r="D974" s="1" t="n">
        <v>519.44</v>
      </c>
    </row>
    <row r="975" customFormat="false" ht="14.25" hidden="false" customHeight="true" outlineLevel="0" collapsed="false">
      <c r="A975" s="51" t="n">
        <v>13644</v>
      </c>
      <c r="B975" s="52" t="n">
        <v>40878.3458333333</v>
      </c>
      <c r="C975" s="1" t="n">
        <v>5</v>
      </c>
      <c r="D975" s="1" t="n">
        <v>2597.52</v>
      </c>
    </row>
    <row r="976" customFormat="false" ht="14.25" hidden="false" customHeight="true" outlineLevel="0" collapsed="false">
      <c r="A976" s="51" t="n">
        <v>13645</v>
      </c>
      <c r="B976" s="52" t="n">
        <v>40766.6743055556</v>
      </c>
      <c r="C976" s="1" t="n">
        <v>1</v>
      </c>
      <c r="D976" s="1" t="n">
        <v>252.1</v>
      </c>
    </row>
    <row r="977" customFormat="false" ht="14.25" hidden="false" customHeight="true" outlineLevel="0" collapsed="false">
      <c r="A977" s="51" t="n">
        <v>13647</v>
      </c>
      <c r="B977" s="52" t="n">
        <v>40877.5</v>
      </c>
      <c r="C977" s="1" t="n">
        <v>5</v>
      </c>
      <c r="D977" s="1" t="n">
        <v>1670.22</v>
      </c>
    </row>
    <row r="978" customFormat="false" ht="14.25" hidden="false" customHeight="true" outlineLevel="0" collapsed="false">
      <c r="A978" s="51" t="n">
        <v>13649</v>
      </c>
      <c r="B978" s="52" t="n">
        <v>40630.49375</v>
      </c>
      <c r="C978" s="1" t="n">
        <v>2</v>
      </c>
      <c r="D978" s="1" t="n">
        <v>346.6</v>
      </c>
    </row>
    <row r="979" customFormat="false" ht="14.25" hidden="false" customHeight="true" outlineLevel="0" collapsed="false">
      <c r="A979" s="51" t="n">
        <v>13650</v>
      </c>
      <c r="B979" s="52" t="n">
        <v>40870.5152777778</v>
      </c>
      <c r="C979" s="1" t="n">
        <v>7</v>
      </c>
      <c r="D979" s="1" t="n">
        <v>1809.34</v>
      </c>
    </row>
    <row r="980" customFormat="false" ht="14.25" hidden="false" customHeight="true" outlineLevel="0" collapsed="false">
      <c r="A980" s="51" t="n">
        <v>13651</v>
      </c>
      <c r="B980" s="52" t="n">
        <v>40851.6243055556</v>
      </c>
      <c r="C980" s="1" t="n">
        <v>2</v>
      </c>
      <c r="D980" s="1" t="n">
        <v>94.2</v>
      </c>
    </row>
    <row r="981" customFormat="false" ht="14.25" hidden="false" customHeight="true" outlineLevel="0" collapsed="false">
      <c r="A981" s="51" t="n">
        <v>13652</v>
      </c>
      <c r="B981" s="52" t="n">
        <v>40841.36875</v>
      </c>
      <c r="C981" s="1" t="n">
        <v>3</v>
      </c>
      <c r="D981" s="1" t="n">
        <v>1095.08</v>
      </c>
    </row>
    <row r="982" customFormat="false" ht="14.25" hidden="false" customHeight="true" outlineLevel="0" collapsed="false">
      <c r="A982" s="51" t="n">
        <v>13654</v>
      </c>
      <c r="B982" s="52" t="n">
        <v>40843.6833333333</v>
      </c>
      <c r="C982" s="1" t="n">
        <v>6</v>
      </c>
      <c r="D982" s="1" t="n">
        <v>2707.33</v>
      </c>
    </row>
    <row r="983" customFormat="false" ht="14.25" hidden="false" customHeight="true" outlineLevel="0" collapsed="false">
      <c r="A983" s="51" t="n">
        <v>13655</v>
      </c>
      <c r="B983" s="52" t="n">
        <v>40772.6006944445</v>
      </c>
      <c r="C983" s="1" t="n">
        <v>2</v>
      </c>
      <c r="D983" s="1" t="n">
        <v>932.97</v>
      </c>
    </row>
    <row r="984" customFormat="false" ht="14.25" hidden="false" customHeight="true" outlineLevel="0" collapsed="false">
      <c r="A984" s="51" t="n">
        <v>13656</v>
      </c>
      <c r="B984" s="52" t="n">
        <v>40722.4381944445</v>
      </c>
      <c r="C984" s="1" t="n">
        <v>2</v>
      </c>
      <c r="D984" s="1" t="n">
        <v>379.65</v>
      </c>
    </row>
    <row r="985" customFormat="false" ht="14.25" hidden="false" customHeight="true" outlineLevel="0" collapsed="false">
      <c r="A985" s="51" t="n">
        <v>13657</v>
      </c>
      <c r="B985" s="52" t="n">
        <v>40876.5222222222</v>
      </c>
      <c r="C985" s="1" t="n">
        <v>2</v>
      </c>
      <c r="D985" s="1" t="n">
        <v>382.14</v>
      </c>
    </row>
    <row r="986" customFormat="false" ht="14.25" hidden="false" customHeight="true" outlineLevel="0" collapsed="false">
      <c r="A986" s="51" t="n">
        <v>13658</v>
      </c>
      <c r="B986" s="52" t="n">
        <v>40877.4256944444</v>
      </c>
      <c r="C986" s="1" t="n">
        <v>7</v>
      </c>
      <c r="D986" s="1" t="n">
        <v>2421.47</v>
      </c>
    </row>
    <row r="987" customFormat="false" ht="14.25" hidden="false" customHeight="true" outlineLevel="0" collapsed="false">
      <c r="A987" s="51" t="n">
        <v>13659</v>
      </c>
      <c r="B987" s="52" t="n">
        <v>40689.8305555556</v>
      </c>
      <c r="C987" s="1" t="n">
        <v>3</v>
      </c>
      <c r="D987" s="1" t="n">
        <v>1550.85</v>
      </c>
    </row>
    <row r="988" customFormat="false" ht="14.25" hidden="false" customHeight="true" outlineLevel="0" collapsed="false">
      <c r="A988" s="51" t="n">
        <v>13662</v>
      </c>
      <c r="B988" s="52" t="n">
        <v>40801.5027777778</v>
      </c>
      <c r="C988" s="1" t="n">
        <v>7</v>
      </c>
      <c r="D988" s="1" t="n">
        <v>879.08</v>
      </c>
    </row>
    <row r="989" customFormat="false" ht="14.25" hidden="false" customHeight="true" outlineLevel="0" collapsed="false">
      <c r="A989" s="51" t="n">
        <v>13663</v>
      </c>
      <c r="B989" s="52" t="n">
        <v>40707.6555555556</v>
      </c>
      <c r="C989" s="1" t="n">
        <v>1</v>
      </c>
      <c r="D989" s="1" t="n">
        <v>189.47</v>
      </c>
    </row>
    <row r="990" customFormat="false" ht="14.25" hidden="false" customHeight="true" outlineLevel="0" collapsed="false">
      <c r="A990" s="51" t="n">
        <v>13666</v>
      </c>
      <c r="B990" s="52" t="n">
        <v>40826.6520833333</v>
      </c>
      <c r="C990" s="1" t="n">
        <v>3</v>
      </c>
      <c r="D990" s="1" t="n">
        <v>84.65</v>
      </c>
    </row>
    <row r="991" customFormat="false" ht="14.25" hidden="false" customHeight="true" outlineLevel="0" collapsed="false">
      <c r="A991" s="51" t="n">
        <v>13667</v>
      </c>
      <c r="B991" s="52" t="n">
        <v>40737.6541666667</v>
      </c>
      <c r="C991" s="1" t="n">
        <v>1</v>
      </c>
      <c r="D991" s="1" t="n">
        <v>305.02</v>
      </c>
    </row>
    <row r="992" customFormat="false" ht="14.25" hidden="false" customHeight="true" outlineLevel="0" collapsed="false">
      <c r="A992" s="51" t="n">
        <v>13668</v>
      </c>
      <c r="B992" s="52" t="n">
        <v>40884.5097222222</v>
      </c>
      <c r="C992" s="1" t="n">
        <v>29</v>
      </c>
      <c r="D992" s="1" t="n">
        <v>6216.06999999998</v>
      </c>
    </row>
    <row r="993" customFormat="false" ht="14.25" hidden="false" customHeight="true" outlineLevel="0" collapsed="false">
      <c r="A993" s="51" t="n">
        <v>13669</v>
      </c>
      <c r="B993" s="52" t="n">
        <v>40836.3972222222</v>
      </c>
      <c r="C993" s="1" t="n">
        <v>2</v>
      </c>
      <c r="D993" s="1" t="n">
        <v>218.55</v>
      </c>
    </row>
    <row r="994" customFormat="false" ht="14.25" hidden="false" customHeight="true" outlineLevel="0" collapsed="false">
      <c r="A994" s="51" t="n">
        <v>13670</v>
      </c>
      <c r="B994" s="52" t="n">
        <v>40811.6423611111</v>
      </c>
      <c r="C994" s="1" t="n">
        <v>1</v>
      </c>
      <c r="D994" s="1" t="n">
        <v>349.7</v>
      </c>
    </row>
    <row r="995" customFormat="false" ht="14.25" hidden="false" customHeight="true" outlineLevel="0" collapsed="false">
      <c r="A995" s="51" t="n">
        <v>13672</v>
      </c>
      <c r="B995" s="52" t="n">
        <v>40585.5798611111</v>
      </c>
      <c r="C995" s="1" t="n">
        <v>6</v>
      </c>
      <c r="D995" s="1" t="n">
        <v>-71.46</v>
      </c>
    </row>
    <row r="996" customFormat="false" ht="14.25" hidden="false" customHeight="true" outlineLevel="0" collapsed="false">
      <c r="A996" s="51" t="n">
        <v>13673</v>
      </c>
      <c r="B996" s="52" t="n">
        <v>40868.5076388889</v>
      </c>
      <c r="C996" s="1" t="n">
        <v>2</v>
      </c>
      <c r="D996" s="1" t="n">
        <v>396.92</v>
      </c>
    </row>
    <row r="997" customFormat="false" ht="14.25" hidden="false" customHeight="true" outlineLevel="0" collapsed="false">
      <c r="A997" s="51" t="n">
        <v>13675</v>
      </c>
      <c r="B997" s="52" t="n">
        <v>40735.5395833333</v>
      </c>
      <c r="C997" s="1" t="n">
        <v>2</v>
      </c>
      <c r="D997" s="1" t="n">
        <v>486.82</v>
      </c>
    </row>
    <row r="998" customFormat="false" ht="14.25" hidden="false" customHeight="true" outlineLevel="0" collapsed="false">
      <c r="A998" s="51" t="n">
        <v>13678</v>
      </c>
      <c r="B998" s="52" t="n">
        <v>40735.4263888889</v>
      </c>
      <c r="C998" s="1" t="n">
        <v>1</v>
      </c>
      <c r="D998" s="1" t="n">
        <v>232.6</v>
      </c>
    </row>
    <row r="999" customFormat="false" ht="14.25" hidden="false" customHeight="true" outlineLevel="0" collapsed="false">
      <c r="A999" s="51" t="n">
        <v>13680</v>
      </c>
      <c r="B999" s="52" t="n">
        <v>40885.5743055556</v>
      </c>
      <c r="C999" s="1" t="n">
        <v>5</v>
      </c>
      <c r="D999" s="1" t="n">
        <v>2202.31</v>
      </c>
    </row>
    <row r="1000" customFormat="false" ht="14.25" hidden="false" customHeight="true" outlineLevel="0" collapsed="false">
      <c r="A1000" s="51" t="n">
        <v>13681</v>
      </c>
      <c r="B1000" s="52" t="n">
        <v>40869.4673611111</v>
      </c>
      <c r="C1000" s="1" t="n">
        <v>4</v>
      </c>
      <c r="D1000" s="1" t="n">
        <v>827.83</v>
      </c>
    </row>
    <row r="1001" customFormat="false" ht="14.25" hidden="false" customHeight="true" outlineLevel="0" collapsed="false">
      <c r="A1001" s="51" t="n">
        <v>13682</v>
      </c>
      <c r="B1001" s="52" t="n">
        <v>40699.5875</v>
      </c>
      <c r="C1001" s="1" t="n">
        <v>1</v>
      </c>
      <c r="D1001" s="1" t="n">
        <v>59.5</v>
      </c>
    </row>
    <row r="1002" customFormat="false" ht="14.25" hidden="false" customHeight="true" outlineLevel="0" collapsed="false">
      <c r="A1002" s="51" t="n">
        <v>13684</v>
      </c>
      <c r="B1002" s="52" t="n">
        <v>40601.4340277778</v>
      </c>
      <c r="C1002" s="1" t="n">
        <v>2</v>
      </c>
      <c r="D1002" s="1" t="n">
        <v>64.23</v>
      </c>
    </row>
    <row r="1003" customFormat="false" ht="14.25" hidden="false" customHeight="true" outlineLevel="0" collapsed="false">
      <c r="A1003" s="51" t="n">
        <v>13685</v>
      </c>
      <c r="B1003" s="52" t="n">
        <v>40884.4868055556</v>
      </c>
      <c r="C1003" s="1" t="n">
        <v>7</v>
      </c>
      <c r="D1003" s="1" t="n">
        <v>3119.44</v>
      </c>
    </row>
    <row r="1004" customFormat="false" ht="14.25" hidden="false" customHeight="true" outlineLevel="0" collapsed="false">
      <c r="A1004" s="51" t="n">
        <v>13686</v>
      </c>
      <c r="B1004" s="52" t="n">
        <v>40704.3819444445</v>
      </c>
      <c r="C1004" s="1" t="n">
        <v>1</v>
      </c>
      <c r="D1004" s="1" t="n">
        <v>72</v>
      </c>
    </row>
    <row r="1005" customFormat="false" ht="14.25" hidden="false" customHeight="true" outlineLevel="0" collapsed="false">
      <c r="A1005" s="51" t="n">
        <v>13689</v>
      </c>
      <c r="B1005" s="52" t="n">
        <v>40823.55625</v>
      </c>
      <c r="C1005" s="1" t="n">
        <v>1</v>
      </c>
      <c r="D1005" s="1" t="n">
        <v>910</v>
      </c>
    </row>
    <row r="1006" customFormat="false" ht="14.25" hidden="false" customHeight="true" outlineLevel="0" collapsed="false">
      <c r="A1006" s="51" t="n">
        <v>13690</v>
      </c>
      <c r="B1006" s="52" t="n">
        <v>40827.6270833333</v>
      </c>
      <c r="C1006" s="1" t="n">
        <v>1</v>
      </c>
      <c r="D1006" s="1" t="n">
        <v>172.25</v>
      </c>
    </row>
    <row r="1007" customFormat="false" ht="14.25" hidden="false" customHeight="true" outlineLevel="0" collapsed="false">
      <c r="A1007" s="51" t="n">
        <v>13692</v>
      </c>
      <c r="B1007" s="52" t="n">
        <v>40862.4701388889</v>
      </c>
      <c r="C1007" s="1" t="n">
        <v>5</v>
      </c>
      <c r="D1007" s="1" t="n">
        <v>1466.87</v>
      </c>
    </row>
    <row r="1008" customFormat="false" ht="14.25" hidden="false" customHeight="true" outlineLevel="0" collapsed="false">
      <c r="A1008" s="51" t="n">
        <v>13693</v>
      </c>
      <c r="B1008" s="52" t="n">
        <v>40561.6409722222</v>
      </c>
      <c r="C1008" s="1" t="n">
        <v>2</v>
      </c>
      <c r="D1008" s="1" t="n">
        <v>-32</v>
      </c>
    </row>
    <row r="1009" customFormat="false" ht="14.25" hidden="false" customHeight="true" outlineLevel="0" collapsed="false">
      <c r="A1009" s="51" t="n">
        <v>13694</v>
      </c>
      <c r="B1009" s="52" t="n">
        <v>40883.3972222222</v>
      </c>
      <c r="C1009" s="1" t="n">
        <v>60</v>
      </c>
      <c r="D1009" s="1" t="n">
        <v>62653.1</v>
      </c>
    </row>
    <row r="1010" customFormat="false" ht="14.25" hidden="false" customHeight="true" outlineLevel="0" collapsed="false">
      <c r="A1010" s="51" t="n">
        <v>13695</v>
      </c>
      <c r="B1010" s="52" t="n">
        <v>40855.6013888889</v>
      </c>
      <c r="C1010" s="1" t="n">
        <v>15</v>
      </c>
      <c r="D1010" s="1" t="n">
        <v>2504.13</v>
      </c>
    </row>
    <row r="1011" customFormat="false" ht="14.25" hidden="false" customHeight="true" outlineLevel="0" collapsed="false">
      <c r="A1011" s="51" t="n">
        <v>13697</v>
      </c>
      <c r="B1011" s="52" t="n">
        <v>40848.3847222222</v>
      </c>
      <c r="C1011" s="1" t="n">
        <v>1</v>
      </c>
      <c r="D1011" s="1" t="n">
        <v>151.3</v>
      </c>
    </row>
    <row r="1012" customFormat="false" ht="14.25" hidden="false" customHeight="true" outlineLevel="0" collapsed="false">
      <c r="A1012" s="51" t="n">
        <v>13699</v>
      </c>
      <c r="B1012" s="52" t="n">
        <v>40731.7020833333</v>
      </c>
      <c r="C1012" s="1" t="n">
        <v>1</v>
      </c>
      <c r="D1012" s="1" t="n">
        <v>308.58</v>
      </c>
    </row>
    <row r="1013" customFormat="false" ht="14.25" hidden="false" customHeight="true" outlineLevel="0" collapsed="false">
      <c r="A1013" s="51" t="n">
        <v>13700</v>
      </c>
      <c r="B1013" s="52" t="n">
        <v>40860.5416666667</v>
      </c>
      <c r="C1013" s="1" t="n">
        <v>10</v>
      </c>
      <c r="D1013" s="1" t="n">
        <v>2265.12</v>
      </c>
    </row>
    <row r="1014" customFormat="false" ht="14.25" hidden="false" customHeight="true" outlineLevel="0" collapsed="false">
      <c r="A1014" s="51" t="n">
        <v>13703</v>
      </c>
      <c r="B1014" s="52" t="n">
        <v>40568.5486111111</v>
      </c>
      <c r="C1014" s="1" t="n">
        <v>1</v>
      </c>
      <c r="D1014" s="1" t="n">
        <v>99.5</v>
      </c>
    </row>
    <row r="1015" customFormat="false" ht="14.25" hidden="false" customHeight="true" outlineLevel="0" collapsed="false">
      <c r="A1015" s="51" t="n">
        <v>13704</v>
      </c>
      <c r="B1015" s="52" t="n">
        <v>40881.6340277778</v>
      </c>
      <c r="C1015" s="1" t="n">
        <v>10</v>
      </c>
      <c r="D1015" s="1" t="n">
        <v>2295.31</v>
      </c>
    </row>
    <row r="1016" customFormat="false" ht="14.25" hidden="false" customHeight="true" outlineLevel="0" collapsed="false">
      <c r="A1016" s="51" t="n">
        <v>13705</v>
      </c>
      <c r="B1016" s="52" t="n">
        <v>40879.5222222222</v>
      </c>
      <c r="C1016" s="1" t="n">
        <v>3</v>
      </c>
      <c r="D1016" s="1" t="n">
        <v>711.86</v>
      </c>
    </row>
    <row r="1017" customFormat="false" ht="14.25" hidden="false" customHeight="true" outlineLevel="0" collapsed="false">
      <c r="A1017" s="51" t="n">
        <v>13706</v>
      </c>
      <c r="B1017" s="52" t="n">
        <v>40584.3895833333</v>
      </c>
      <c r="C1017" s="1" t="n">
        <v>1</v>
      </c>
      <c r="D1017" s="1" t="n">
        <v>330.79</v>
      </c>
    </row>
    <row r="1018" customFormat="false" ht="14.25" hidden="false" customHeight="true" outlineLevel="0" collapsed="false">
      <c r="A1018" s="51" t="n">
        <v>13707</v>
      </c>
      <c r="B1018" s="52" t="n">
        <v>40619.7520833333</v>
      </c>
      <c r="C1018" s="1" t="n">
        <v>2</v>
      </c>
      <c r="D1018" s="1" t="n">
        <v>806.41</v>
      </c>
    </row>
    <row r="1019" customFormat="false" ht="14.25" hidden="false" customHeight="true" outlineLevel="0" collapsed="false">
      <c r="A1019" s="51" t="n">
        <v>13708</v>
      </c>
      <c r="B1019" s="52" t="n">
        <v>40615.5736111111</v>
      </c>
      <c r="C1019" s="1" t="n">
        <v>1</v>
      </c>
      <c r="D1019" s="1" t="n">
        <v>296.88</v>
      </c>
    </row>
    <row r="1020" customFormat="false" ht="14.25" hidden="false" customHeight="true" outlineLevel="0" collapsed="false">
      <c r="A1020" s="51" t="n">
        <v>13709</v>
      </c>
      <c r="B1020" s="52" t="n">
        <v>40883.4361111111</v>
      </c>
      <c r="C1020" s="1" t="n">
        <v>17</v>
      </c>
      <c r="D1020" s="1" t="n">
        <v>6249.11</v>
      </c>
    </row>
    <row r="1021" customFormat="false" ht="14.25" hidden="false" customHeight="true" outlineLevel="0" collapsed="false">
      <c r="A1021" s="51" t="n">
        <v>13710</v>
      </c>
      <c r="B1021" s="52" t="n">
        <v>40855.3444444445</v>
      </c>
      <c r="C1021" s="1" t="n">
        <v>1</v>
      </c>
      <c r="D1021" s="1" t="n">
        <v>180.48</v>
      </c>
    </row>
    <row r="1022" customFormat="false" ht="14.25" hidden="false" customHeight="true" outlineLevel="0" collapsed="false">
      <c r="A1022" s="51" t="n">
        <v>13711</v>
      </c>
      <c r="B1022" s="52" t="n">
        <v>40668.4381944445</v>
      </c>
      <c r="C1022" s="1" t="n">
        <v>2</v>
      </c>
      <c r="D1022" s="1" t="n">
        <v>252.06</v>
      </c>
    </row>
    <row r="1023" customFormat="false" ht="14.25" hidden="false" customHeight="true" outlineLevel="0" collapsed="false">
      <c r="A1023" s="51" t="n">
        <v>13712</v>
      </c>
      <c r="B1023" s="52" t="n">
        <v>40640.5229166667</v>
      </c>
      <c r="C1023" s="1" t="n">
        <v>1</v>
      </c>
      <c r="D1023" s="1" t="n">
        <v>228.84</v>
      </c>
    </row>
    <row r="1024" customFormat="false" ht="14.25" hidden="false" customHeight="true" outlineLevel="0" collapsed="false">
      <c r="A1024" s="51" t="n">
        <v>13715</v>
      </c>
      <c r="B1024" s="52" t="n">
        <v>40605.80625</v>
      </c>
      <c r="C1024" s="1" t="n">
        <v>8</v>
      </c>
      <c r="D1024" s="1" t="n">
        <v>1053.94</v>
      </c>
    </row>
    <row r="1025" customFormat="false" ht="14.25" hidden="false" customHeight="true" outlineLevel="0" collapsed="false">
      <c r="A1025" s="51" t="n">
        <v>13716</v>
      </c>
      <c r="B1025" s="52" t="n">
        <v>40617.5756944444</v>
      </c>
      <c r="C1025" s="1" t="n">
        <v>1</v>
      </c>
      <c r="D1025" s="1" t="n">
        <v>138.28</v>
      </c>
    </row>
    <row r="1026" customFormat="false" ht="14.25" hidden="false" customHeight="true" outlineLevel="0" collapsed="false">
      <c r="A1026" s="51" t="n">
        <v>13717</v>
      </c>
      <c r="B1026" s="52" t="n">
        <v>40854.5923611111</v>
      </c>
      <c r="C1026" s="1" t="n">
        <v>7</v>
      </c>
      <c r="D1026" s="1" t="n">
        <v>1432.26</v>
      </c>
    </row>
    <row r="1027" customFormat="false" ht="14.25" hidden="false" customHeight="true" outlineLevel="0" collapsed="false">
      <c r="A1027" s="51" t="n">
        <v>13718</v>
      </c>
      <c r="B1027" s="52" t="n">
        <v>40640.5583333333</v>
      </c>
      <c r="C1027" s="1" t="n">
        <v>2</v>
      </c>
      <c r="D1027" s="1" t="n">
        <v>306.55</v>
      </c>
    </row>
    <row r="1028" customFormat="false" ht="14.25" hidden="false" customHeight="true" outlineLevel="0" collapsed="false">
      <c r="A1028" s="51" t="n">
        <v>13719</v>
      </c>
      <c r="B1028" s="52" t="n">
        <v>40871.6430555556</v>
      </c>
      <c r="C1028" s="1" t="n">
        <v>5</v>
      </c>
      <c r="D1028" s="1" t="n">
        <v>1041.68</v>
      </c>
    </row>
    <row r="1029" customFormat="false" ht="14.25" hidden="false" customHeight="true" outlineLevel="0" collapsed="false">
      <c r="A1029" s="51" t="n">
        <v>13720</v>
      </c>
      <c r="B1029" s="52" t="n">
        <v>40770.5319444445</v>
      </c>
      <c r="C1029" s="1" t="n">
        <v>4</v>
      </c>
      <c r="D1029" s="1" t="n">
        <v>799.9</v>
      </c>
    </row>
    <row r="1030" customFormat="false" ht="14.25" hidden="false" customHeight="true" outlineLevel="0" collapsed="false">
      <c r="A1030" s="51" t="n">
        <v>13721</v>
      </c>
      <c r="B1030" s="52" t="n">
        <v>40850.5868055556</v>
      </c>
      <c r="C1030" s="1" t="n">
        <v>1</v>
      </c>
      <c r="D1030" s="1" t="n">
        <v>524.14</v>
      </c>
    </row>
    <row r="1031" customFormat="false" ht="14.25" hidden="false" customHeight="true" outlineLevel="0" collapsed="false">
      <c r="A1031" s="51" t="n">
        <v>13722</v>
      </c>
      <c r="B1031" s="52" t="n">
        <v>40766.6430555556</v>
      </c>
      <c r="C1031" s="1" t="n">
        <v>4</v>
      </c>
      <c r="D1031" s="1" t="n">
        <v>2369.16</v>
      </c>
    </row>
    <row r="1032" customFormat="false" ht="14.25" hidden="false" customHeight="true" outlineLevel="0" collapsed="false">
      <c r="A1032" s="51" t="n">
        <v>13723</v>
      </c>
      <c r="B1032" s="52" t="n">
        <v>40669.7111111111</v>
      </c>
      <c r="C1032" s="1" t="n">
        <v>1</v>
      </c>
      <c r="D1032" s="1" t="n">
        <v>199.85</v>
      </c>
    </row>
    <row r="1033" customFormat="false" ht="14.25" hidden="false" customHeight="true" outlineLevel="0" collapsed="false">
      <c r="A1033" s="51" t="n">
        <v>13725</v>
      </c>
      <c r="B1033" s="52" t="n">
        <v>40837.41875</v>
      </c>
      <c r="C1033" s="1" t="n">
        <v>11</v>
      </c>
      <c r="D1033" s="1" t="n">
        <v>1809.81</v>
      </c>
    </row>
    <row r="1034" customFormat="false" ht="14.25" hidden="false" customHeight="true" outlineLevel="0" collapsed="false">
      <c r="A1034" s="51" t="n">
        <v>13726</v>
      </c>
      <c r="B1034" s="52" t="n">
        <v>40848.4506944444</v>
      </c>
      <c r="C1034" s="1" t="n">
        <v>2</v>
      </c>
      <c r="D1034" s="1" t="n">
        <v>1079.66</v>
      </c>
    </row>
    <row r="1035" customFormat="false" ht="14.25" hidden="false" customHeight="true" outlineLevel="0" collapsed="false">
      <c r="A1035" s="51" t="n">
        <v>13727</v>
      </c>
      <c r="B1035" s="52" t="n">
        <v>40858.4069444445</v>
      </c>
      <c r="C1035" s="1" t="n">
        <v>2</v>
      </c>
      <c r="D1035" s="1" t="n">
        <v>333.48</v>
      </c>
    </row>
    <row r="1036" customFormat="false" ht="14.25" hidden="false" customHeight="true" outlineLevel="0" collapsed="false">
      <c r="A1036" s="51" t="n">
        <v>13728</v>
      </c>
      <c r="B1036" s="52" t="n">
        <v>40850.4506944444</v>
      </c>
      <c r="C1036" s="1" t="n">
        <v>6</v>
      </c>
      <c r="D1036" s="1" t="n">
        <v>1016.14</v>
      </c>
    </row>
    <row r="1037" customFormat="false" ht="14.25" hidden="false" customHeight="true" outlineLevel="0" collapsed="false">
      <c r="A1037" s="51" t="n">
        <v>13730</v>
      </c>
      <c r="B1037" s="52" t="n">
        <v>40751.3576388889</v>
      </c>
      <c r="C1037" s="1" t="n">
        <v>2</v>
      </c>
      <c r="D1037" s="1" t="n">
        <v>752.6</v>
      </c>
    </row>
    <row r="1038" customFormat="false" ht="14.25" hidden="false" customHeight="true" outlineLevel="0" collapsed="false">
      <c r="A1038" s="51" t="n">
        <v>13731</v>
      </c>
      <c r="B1038" s="52" t="n">
        <v>40667.60625</v>
      </c>
      <c r="C1038" s="1" t="n">
        <v>2</v>
      </c>
      <c r="D1038" s="1" t="n">
        <v>610.59</v>
      </c>
    </row>
    <row r="1039" customFormat="false" ht="14.25" hidden="false" customHeight="true" outlineLevel="0" collapsed="false">
      <c r="A1039" s="51" t="n">
        <v>13732</v>
      </c>
      <c r="B1039" s="52" t="n">
        <v>40858.6590277778</v>
      </c>
      <c r="C1039" s="1" t="n">
        <v>1</v>
      </c>
      <c r="D1039" s="1" t="n">
        <v>491.86</v>
      </c>
    </row>
    <row r="1040" customFormat="false" ht="14.25" hidden="false" customHeight="true" outlineLevel="0" collapsed="false">
      <c r="A1040" s="51" t="n">
        <v>13735</v>
      </c>
      <c r="B1040" s="52" t="n">
        <v>40862.4680555556</v>
      </c>
      <c r="C1040" s="1" t="n">
        <v>8</v>
      </c>
      <c r="D1040" s="1" t="n">
        <v>2766.18</v>
      </c>
    </row>
    <row r="1041" customFormat="false" ht="14.25" hidden="false" customHeight="true" outlineLevel="0" collapsed="false">
      <c r="A1041" s="51" t="n">
        <v>13736</v>
      </c>
      <c r="B1041" s="52" t="n">
        <v>40881.6381944444</v>
      </c>
      <c r="C1041" s="1" t="n">
        <v>3</v>
      </c>
      <c r="D1041" s="1" t="n">
        <v>724</v>
      </c>
    </row>
    <row r="1042" customFormat="false" ht="14.25" hidden="false" customHeight="true" outlineLevel="0" collapsed="false">
      <c r="A1042" s="51" t="n">
        <v>13737</v>
      </c>
      <c r="B1042" s="52" t="n">
        <v>40686.6888888889</v>
      </c>
      <c r="C1042" s="1" t="n">
        <v>1</v>
      </c>
      <c r="D1042" s="1" t="n">
        <v>339.6</v>
      </c>
    </row>
    <row r="1043" customFormat="false" ht="14.25" hidden="false" customHeight="true" outlineLevel="0" collapsed="false">
      <c r="A1043" s="51" t="n">
        <v>13739</v>
      </c>
      <c r="B1043" s="52" t="n">
        <v>40868.5659722222</v>
      </c>
      <c r="C1043" s="1" t="n">
        <v>1</v>
      </c>
      <c r="D1043" s="1" t="n">
        <v>216.9</v>
      </c>
    </row>
    <row r="1044" customFormat="false" ht="14.25" hidden="false" customHeight="true" outlineLevel="0" collapsed="false">
      <c r="A1044" s="51" t="n">
        <v>13740</v>
      </c>
      <c r="B1044" s="52" t="n">
        <v>40646.4388888889</v>
      </c>
      <c r="C1044" s="1" t="n">
        <v>1</v>
      </c>
      <c r="D1044" s="1" t="n">
        <v>350.75</v>
      </c>
    </row>
    <row r="1045" customFormat="false" ht="14.25" hidden="false" customHeight="true" outlineLevel="0" collapsed="false">
      <c r="A1045" s="51" t="n">
        <v>13741</v>
      </c>
      <c r="B1045" s="52" t="n">
        <v>40815.3881944444</v>
      </c>
      <c r="C1045" s="1" t="n">
        <v>4</v>
      </c>
      <c r="D1045" s="1" t="n">
        <v>666.33</v>
      </c>
    </row>
    <row r="1046" customFormat="false" ht="14.25" hidden="false" customHeight="true" outlineLevel="0" collapsed="false">
      <c r="A1046" s="51" t="n">
        <v>13742</v>
      </c>
      <c r="B1046" s="52" t="n">
        <v>40870.4631944444</v>
      </c>
      <c r="C1046" s="1" t="n">
        <v>14</v>
      </c>
      <c r="D1046" s="1" t="n">
        <v>3102.42</v>
      </c>
    </row>
    <row r="1047" customFormat="false" ht="14.25" hidden="false" customHeight="true" outlineLevel="0" collapsed="false">
      <c r="A1047" s="51" t="n">
        <v>13743</v>
      </c>
      <c r="B1047" s="52" t="n">
        <v>40884.4229166667</v>
      </c>
      <c r="C1047" s="1" t="n">
        <v>8</v>
      </c>
      <c r="D1047" s="1" t="n">
        <v>1340.15</v>
      </c>
    </row>
    <row r="1048" customFormat="false" ht="14.25" hidden="false" customHeight="true" outlineLevel="0" collapsed="false">
      <c r="A1048" s="51" t="n">
        <v>13744</v>
      </c>
      <c r="B1048" s="52" t="n">
        <v>40791.6381944444</v>
      </c>
      <c r="C1048" s="1" t="n">
        <v>2</v>
      </c>
      <c r="D1048" s="1" t="n">
        <v>1156.36</v>
      </c>
    </row>
    <row r="1049" customFormat="false" ht="14.25" hidden="false" customHeight="true" outlineLevel="0" collapsed="false">
      <c r="A1049" s="51" t="n">
        <v>13745</v>
      </c>
      <c r="B1049" s="52" t="n">
        <v>40735.5979166667</v>
      </c>
      <c r="C1049" s="1" t="n">
        <v>2</v>
      </c>
      <c r="D1049" s="1" t="n">
        <v>291.54</v>
      </c>
    </row>
    <row r="1050" customFormat="false" ht="14.25" hidden="false" customHeight="true" outlineLevel="0" collapsed="false">
      <c r="A1050" s="51" t="n">
        <v>13747</v>
      </c>
      <c r="B1050" s="52" t="n">
        <v>40513.4423611111</v>
      </c>
      <c r="C1050" s="1" t="n">
        <v>1</v>
      </c>
      <c r="D1050" s="1" t="n">
        <v>79.6</v>
      </c>
    </row>
    <row r="1051" customFormat="false" ht="14.25" hidden="false" customHeight="true" outlineLevel="0" collapsed="false">
      <c r="A1051" s="51" t="n">
        <v>13748</v>
      </c>
      <c r="B1051" s="52" t="n">
        <v>40791.40625</v>
      </c>
      <c r="C1051" s="1" t="n">
        <v>5</v>
      </c>
      <c r="D1051" s="1" t="n">
        <v>948.25</v>
      </c>
    </row>
    <row r="1052" customFormat="false" ht="14.25" hidden="false" customHeight="true" outlineLevel="0" collapsed="false">
      <c r="A1052" s="51" t="n">
        <v>13750</v>
      </c>
      <c r="B1052" s="52" t="n">
        <v>40833.5111111111</v>
      </c>
      <c r="C1052" s="1" t="n">
        <v>5</v>
      </c>
      <c r="D1052" s="1" t="n">
        <v>1647.26</v>
      </c>
    </row>
    <row r="1053" customFormat="false" ht="14.25" hidden="false" customHeight="true" outlineLevel="0" collapsed="false">
      <c r="A1053" s="51" t="n">
        <v>13751</v>
      </c>
      <c r="B1053" s="52" t="n">
        <v>40598.6638888889</v>
      </c>
      <c r="C1053" s="1" t="n">
        <v>1</v>
      </c>
      <c r="D1053" s="1" t="n">
        <v>296.25</v>
      </c>
    </row>
    <row r="1054" customFormat="false" ht="14.25" hidden="false" customHeight="true" outlineLevel="0" collapsed="false">
      <c r="A1054" s="51" t="n">
        <v>13752</v>
      </c>
      <c r="B1054" s="52" t="n">
        <v>40762.5944444445</v>
      </c>
      <c r="C1054" s="1" t="n">
        <v>6</v>
      </c>
      <c r="D1054" s="1" t="n">
        <v>1186.28</v>
      </c>
    </row>
    <row r="1055" customFormat="false" ht="14.25" hidden="false" customHeight="true" outlineLevel="0" collapsed="false">
      <c r="A1055" s="51" t="n">
        <v>13753</v>
      </c>
      <c r="B1055" s="52" t="n">
        <v>40599.5333333333</v>
      </c>
      <c r="C1055" s="1" t="n">
        <v>1</v>
      </c>
      <c r="D1055" s="1" t="n">
        <v>741.26</v>
      </c>
    </row>
    <row r="1056" customFormat="false" ht="14.25" hidden="false" customHeight="true" outlineLevel="0" collapsed="false">
      <c r="A1056" s="51" t="n">
        <v>13754</v>
      </c>
      <c r="B1056" s="52" t="n">
        <v>40735.49375</v>
      </c>
      <c r="C1056" s="1" t="n">
        <v>2</v>
      </c>
      <c r="D1056" s="1" t="n">
        <v>282.6</v>
      </c>
    </row>
    <row r="1057" customFormat="false" ht="14.25" hidden="false" customHeight="true" outlineLevel="0" collapsed="false">
      <c r="A1057" s="51" t="n">
        <v>13755</v>
      </c>
      <c r="B1057" s="52" t="n">
        <v>40883.5180555556</v>
      </c>
      <c r="C1057" s="1" t="n">
        <v>10</v>
      </c>
      <c r="D1057" s="1" t="n">
        <v>2154.68</v>
      </c>
    </row>
    <row r="1058" customFormat="false" ht="14.25" hidden="false" customHeight="true" outlineLevel="0" collapsed="false">
      <c r="A1058" s="51" t="n">
        <v>13756</v>
      </c>
      <c r="B1058" s="52" t="n">
        <v>40884.6972222222</v>
      </c>
      <c r="C1058" s="1" t="n">
        <v>15</v>
      </c>
      <c r="D1058" s="1" t="n">
        <v>5145.12</v>
      </c>
    </row>
    <row r="1059" customFormat="false" ht="14.25" hidden="false" customHeight="true" outlineLevel="0" collapsed="false">
      <c r="A1059" s="51" t="n">
        <v>13758</v>
      </c>
      <c r="B1059" s="52" t="n">
        <v>40875.4659722222</v>
      </c>
      <c r="C1059" s="1" t="n">
        <v>7</v>
      </c>
      <c r="D1059" s="1" t="n">
        <v>3190.55</v>
      </c>
    </row>
    <row r="1060" customFormat="false" ht="14.25" hidden="false" customHeight="true" outlineLevel="0" collapsed="false">
      <c r="A1060" s="51" t="n">
        <v>13759</v>
      </c>
      <c r="B1060" s="52" t="n">
        <v>40853.6159722222</v>
      </c>
      <c r="C1060" s="1" t="n">
        <v>2</v>
      </c>
      <c r="D1060" s="1" t="n">
        <v>659.41</v>
      </c>
    </row>
    <row r="1061" customFormat="false" ht="14.25" hidden="false" customHeight="true" outlineLevel="0" collapsed="false">
      <c r="A1061" s="51" t="n">
        <v>13760</v>
      </c>
      <c r="B1061" s="52" t="n">
        <v>40832.6756944444</v>
      </c>
      <c r="C1061" s="1" t="n">
        <v>2</v>
      </c>
      <c r="D1061" s="1" t="n">
        <v>286.79</v>
      </c>
    </row>
    <row r="1062" customFormat="false" ht="14.25" hidden="false" customHeight="true" outlineLevel="0" collapsed="false">
      <c r="A1062" s="51" t="n">
        <v>13761</v>
      </c>
      <c r="B1062" s="52" t="n">
        <v>40836.5840277778</v>
      </c>
      <c r="C1062" s="1" t="n">
        <v>2</v>
      </c>
      <c r="D1062" s="1" t="n">
        <v>1070.65</v>
      </c>
    </row>
    <row r="1063" customFormat="false" ht="14.25" hidden="false" customHeight="true" outlineLevel="0" collapsed="false">
      <c r="A1063" s="51" t="n">
        <v>13762</v>
      </c>
      <c r="B1063" s="52" t="n">
        <v>40682.6409722222</v>
      </c>
      <c r="C1063" s="1" t="n">
        <v>2</v>
      </c>
      <c r="D1063" s="1" t="n">
        <v>4.2632564145606E-014</v>
      </c>
    </row>
    <row r="1064" customFormat="false" ht="14.25" hidden="false" customHeight="true" outlineLevel="0" collapsed="false">
      <c r="A1064" s="51" t="n">
        <v>13763</v>
      </c>
      <c r="B1064" s="52" t="n">
        <v>40823.6340277778</v>
      </c>
      <c r="C1064" s="1" t="n">
        <v>3</v>
      </c>
      <c r="D1064" s="1" t="n">
        <v>1689.46</v>
      </c>
    </row>
    <row r="1065" customFormat="false" ht="14.25" hidden="false" customHeight="true" outlineLevel="0" collapsed="false">
      <c r="A1065" s="51" t="n">
        <v>13764</v>
      </c>
      <c r="B1065" s="52" t="n">
        <v>40816.5020833333</v>
      </c>
      <c r="C1065" s="1" t="n">
        <v>3</v>
      </c>
      <c r="D1065" s="1" t="n">
        <v>1521.76</v>
      </c>
    </row>
    <row r="1066" customFormat="false" ht="14.25" hidden="false" customHeight="true" outlineLevel="0" collapsed="false">
      <c r="A1066" s="51" t="n">
        <v>13767</v>
      </c>
      <c r="B1066" s="52" t="n">
        <v>40884.625</v>
      </c>
      <c r="C1066" s="1" t="n">
        <v>52</v>
      </c>
      <c r="D1066" s="1" t="n">
        <v>16945.71</v>
      </c>
    </row>
    <row r="1067" customFormat="false" ht="14.25" hidden="false" customHeight="true" outlineLevel="0" collapsed="false">
      <c r="A1067" s="51" t="n">
        <v>13769</v>
      </c>
      <c r="B1067" s="52" t="n">
        <v>40884.6305555556</v>
      </c>
      <c r="C1067" s="1" t="n">
        <v>16</v>
      </c>
      <c r="D1067" s="1" t="n">
        <v>2771.87</v>
      </c>
    </row>
    <row r="1068" customFormat="false" ht="14.25" hidden="false" customHeight="true" outlineLevel="0" collapsed="false">
      <c r="A1068" s="51" t="n">
        <v>13771</v>
      </c>
      <c r="B1068" s="52" t="n">
        <v>40822.5958333333</v>
      </c>
      <c r="C1068" s="1" t="n">
        <v>5</v>
      </c>
      <c r="D1068" s="1" t="n">
        <v>2631.7</v>
      </c>
    </row>
    <row r="1069" customFormat="false" ht="14.25" hidden="false" customHeight="true" outlineLevel="0" collapsed="false">
      <c r="A1069" s="51" t="n">
        <v>13772</v>
      </c>
      <c r="B1069" s="52" t="n">
        <v>40853.4881944444</v>
      </c>
      <c r="C1069" s="1" t="n">
        <v>3</v>
      </c>
      <c r="D1069" s="1" t="n">
        <v>1132.13</v>
      </c>
    </row>
    <row r="1070" customFormat="false" ht="14.25" hidden="false" customHeight="true" outlineLevel="0" collapsed="false">
      <c r="A1070" s="51" t="n">
        <v>13774</v>
      </c>
      <c r="B1070" s="52" t="n">
        <v>40805.5041666667</v>
      </c>
      <c r="C1070" s="1" t="n">
        <v>1</v>
      </c>
      <c r="D1070" s="1" t="n">
        <v>345</v>
      </c>
    </row>
    <row r="1071" customFormat="false" ht="14.25" hidden="false" customHeight="true" outlineLevel="0" collapsed="false">
      <c r="A1071" s="51" t="n">
        <v>13777</v>
      </c>
      <c r="B1071" s="52" t="n">
        <v>40886.5173611111</v>
      </c>
      <c r="C1071" s="1" t="n">
        <v>41</v>
      </c>
      <c r="D1071" s="1" t="n">
        <v>25748.35</v>
      </c>
    </row>
    <row r="1072" customFormat="false" ht="14.25" hidden="false" customHeight="true" outlineLevel="0" collapsed="false">
      <c r="A1072" s="51" t="n">
        <v>13778</v>
      </c>
      <c r="B1072" s="52" t="n">
        <v>40783.6423611111</v>
      </c>
      <c r="C1072" s="1" t="n">
        <v>1</v>
      </c>
      <c r="D1072" s="1" t="n">
        <v>178.7</v>
      </c>
    </row>
    <row r="1073" customFormat="false" ht="14.25" hidden="false" customHeight="true" outlineLevel="0" collapsed="false">
      <c r="A1073" s="51" t="n">
        <v>13780</v>
      </c>
      <c r="B1073" s="52" t="n">
        <v>40879.5756944444</v>
      </c>
      <c r="C1073" s="1" t="n">
        <v>2</v>
      </c>
      <c r="D1073" s="1" t="n">
        <v>360.01</v>
      </c>
    </row>
    <row r="1074" customFormat="false" ht="14.25" hidden="false" customHeight="true" outlineLevel="0" collapsed="false">
      <c r="A1074" s="51" t="n">
        <v>13781</v>
      </c>
      <c r="B1074" s="52" t="n">
        <v>40636.5055555556</v>
      </c>
      <c r="C1074" s="1" t="n">
        <v>1</v>
      </c>
      <c r="D1074" s="1" t="n">
        <v>127.84</v>
      </c>
    </row>
    <row r="1075" customFormat="false" ht="14.25" hidden="false" customHeight="true" outlineLevel="0" collapsed="false">
      <c r="A1075" s="51" t="n">
        <v>13782</v>
      </c>
      <c r="B1075" s="52" t="n">
        <v>40874.4958333333</v>
      </c>
      <c r="C1075" s="1" t="n">
        <v>6</v>
      </c>
      <c r="D1075" s="1" t="n">
        <v>911.999999999999</v>
      </c>
    </row>
    <row r="1076" customFormat="false" ht="14.25" hidden="false" customHeight="true" outlineLevel="0" collapsed="false">
      <c r="A1076" s="51" t="n">
        <v>13784</v>
      </c>
      <c r="B1076" s="52" t="n">
        <v>40877.3979166667</v>
      </c>
      <c r="C1076" s="1" t="n">
        <v>11</v>
      </c>
      <c r="D1076" s="1" t="n">
        <v>2462.79</v>
      </c>
    </row>
    <row r="1077" customFormat="false" ht="14.25" hidden="false" customHeight="true" outlineLevel="0" collapsed="false">
      <c r="A1077" s="51" t="n">
        <v>13786</v>
      </c>
      <c r="B1077" s="52" t="n">
        <v>40519.5784722222</v>
      </c>
      <c r="C1077" s="1" t="n">
        <v>1</v>
      </c>
      <c r="D1077" s="1" t="n">
        <v>230.4</v>
      </c>
    </row>
    <row r="1078" customFormat="false" ht="14.25" hidden="false" customHeight="true" outlineLevel="0" collapsed="false">
      <c r="A1078" s="51" t="n">
        <v>13787</v>
      </c>
      <c r="B1078" s="52" t="n">
        <v>40811.5041666667</v>
      </c>
      <c r="C1078" s="1" t="n">
        <v>2</v>
      </c>
      <c r="D1078" s="1" t="n">
        <v>309.04</v>
      </c>
    </row>
    <row r="1079" customFormat="false" ht="14.25" hidden="false" customHeight="true" outlineLevel="0" collapsed="false">
      <c r="A1079" s="51" t="n">
        <v>13790</v>
      </c>
      <c r="B1079" s="52" t="n">
        <v>40882.6583333333</v>
      </c>
      <c r="C1079" s="1" t="n">
        <v>1</v>
      </c>
      <c r="D1079" s="1" t="n">
        <v>348.8</v>
      </c>
    </row>
    <row r="1080" customFormat="false" ht="14.25" hidden="false" customHeight="true" outlineLevel="0" collapsed="false">
      <c r="A1080" s="51" t="n">
        <v>13791</v>
      </c>
      <c r="B1080" s="52" t="n">
        <v>40843.6097222222</v>
      </c>
      <c r="C1080" s="1" t="n">
        <v>3</v>
      </c>
      <c r="D1080" s="1" t="n">
        <v>1047.68</v>
      </c>
    </row>
    <row r="1081" customFormat="false" ht="14.25" hidden="false" customHeight="true" outlineLevel="0" collapsed="false">
      <c r="A1081" s="51" t="n">
        <v>13792</v>
      </c>
      <c r="B1081" s="52" t="n">
        <v>40820.6048611111</v>
      </c>
      <c r="C1081" s="1" t="n">
        <v>2</v>
      </c>
      <c r="D1081" s="1" t="n">
        <v>195.55</v>
      </c>
    </row>
    <row r="1082" customFormat="false" ht="14.25" hidden="false" customHeight="true" outlineLevel="0" collapsed="false">
      <c r="A1082" s="51" t="n">
        <v>13798</v>
      </c>
      <c r="B1082" s="52" t="n">
        <v>40885.6604166667</v>
      </c>
      <c r="C1082" s="1" t="n">
        <v>63</v>
      </c>
      <c r="D1082" s="1" t="n">
        <v>36351.42</v>
      </c>
    </row>
    <row r="1083" customFormat="false" ht="14.25" hidden="false" customHeight="true" outlineLevel="0" collapsed="false">
      <c r="A1083" s="51" t="n">
        <v>13799</v>
      </c>
      <c r="B1083" s="52" t="n">
        <v>40770.5048611111</v>
      </c>
      <c r="C1083" s="1" t="n">
        <v>2</v>
      </c>
      <c r="D1083" s="1" t="n">
        <v>688.86</v>
      </c>
    </row>
    <row r="1084" customFormat="false" ht="14.25" hidden="false" customHeight="true" outlineLevel="0" collapsed="false">
      <c r="A1084" s="51" t="n">
        <v>13800</v>
      </c>
      <c r="B1084" s="52" t="n">
        <v>40577.51875</v>
      </c>
      <c r="C1084" s="1" t="n">
        <v>1</v>
      </c>
      <c r="D1084" s="1" t="n">
        <v>558.32</v>
      </c>
    </row>
    <row r="1085" customFormat="false" ht="14.25" hidden="false" customHeight="true" outlineLevel="0" collapsed="false">
      <c r="A1085" s="51" t="n">
        <v>13801</v>
      </c>
      <c r="B1085" s="52" t="n">
        <v>40820.4270833333</v>
      </c>
      <c r="C1085" s="1" t="n">
        <v>1</v>
      </c>
      <c r="D1085" s="1" t="n">
        <v>324.8</v>
      </c>
    </row>
    <row r="1086" customFormat="false" ht="14.25" hidden="false" customHeight="true" outlineLevel="0" collapsed="false">
      <c r="A1086" s="51" t="n">
        <v>13802</v>
      </c>
      <c r="B1086" s="52" t="n">
        <v>40748.5597222222</v>
      </c>
      <c r="C1086" s="1" t="n">
        <v>6</v>
      </c>
      <c r="D1086" s="1" t="n">
        <v>3906.27</v>
      </c>
    </row>
    <row r="1087" customFormat="false" ht="14.25" hidden="false" customHeight="true" outlineLevel="0" collapsed="false">
      <c r="A1087" s="51" t="n">
        <v>13803</v>
      </c>
      <c r="B1087" s="52" t="n">
        <v>40631.5395833333</v>
      </c>
      <c r="C1087" s="1" t="n">
        <v>1</v>
      </c>
      <c r="D1087" s="1" t="n">
        <v>277.07</v>
      </c>
    </row>
    <row r="1088" customFormat="false" ht="14.25" hidden="false" customHeight="true" outlineLevel="0" collapsed="false">
      <c r="A1088" s="51" t="n">
        <v>13804</v>
      </c>
      <c r="B1088" s="52" t="n">
        <v>40856.5222222222</v>
      </c>
      <c r="C1088" s="1" t="n">
        <v>7</v>
      </c>
      <c r="D1088" s="1" t="n">
        <v>2635.79</v>
      </c>
    </row>
    <row r="1089" customFormat="false" ht="14.25" hidden="false" customHeight="true" outlineLevel="0" collapsed="false">
      <c r="A1089" s="51" t="n">
        <v>13805</v>
      </c>
      <c r="B1089" s="52" t="n">
        <v>40834.6180555556</v>
      </c>
      <c r="C1089" s="1" t="n">
        <v>2</v>
      </c>
      <c r="D1089" s="1" t="n">
        <v>924.6</v>
      </c>
    </row>
    <row r="1090" customFormat="false" ht="14.25" hidden="false" customHeight="true" outlineLevel="0" collapsed="false">
      <c r="A1090" s="51" t="n">
        <v>13806</v>
      </c>
      <c r="B1090" s="52" t="n">
        <v>40823.4881944444</v>
      </c>
      <c r="C1090" s="1" t="n">
        <v>1</v>
      </c>
      <c r="D1090" s="1" t="n">
        <v>256.38</v>
      </c>
    </row>
    <row r="1091" customFormat="false" ht="14.25" hidden="false" customHeight="true" outlineLevel="0" collapsed="false">
      <c r="A1091" s="51" t="n">
        <v>13807</v>
      </c>
      <c r="B1091" s="52" t="n">
        <v>40519.6583333333</v>
      </c>
      <c r="C1091" s="1" t="n">
        <v>1</v>
      </c>
      <c r="D1091" s="1" t="n">
        <v>112.6</v>
      </c>
    </row>
    <row r="1092" customFormat="false" ht="14.25" hidden="false" customHeight="true" outlineLevel="0" collapsed="false">
      <c r="A1092" s="51" t="n">
        <v>13808</v>
      </c>
      <c r="B1092" s="52" t="n">
        <v>40881.5125</v>
      </c>
      <c r="C1092" s="1" t="n">
        <v>5</v>
      </c>
      <c r="D1092" s="1" t="n">
        <v>1747.66</v>
      </c>
    </row>
    <row r="1093" customFormat="false" ht="14.25" hidden="false" customHeight="true" outlineLevel="0" collapsed="false">
      <c r="A1093" s="51" t="n">
        <v>13809</v>
      </c>
      <c r="B1093" s="52" t="n">
        <v>40581.5520833333</v>
      </c>
      <c r="C1093" s="1" t="n">
        <v>1</v>
      </c>
      <c r="D1093" s="1" t="n">
        <v>155.05</v>
      </c>
    </row>
    <row r="1094" customFormat="false" ht="14.25" hidden="false" customHeight="true" outlineLevel="0" collapsed="false">
      <c r="A1094" s="51" t="n">
        <v>13810</v>
      </c>
      <c r="B1094" s="52" t="n">
        <v>40858.35625</v>
      </c>
      <c r="C1094" s="1" t="n">
        <v>4</v>
      </c>
      <c r="D1094" s="1" t="n">
        <v>899.51</v>
      </c>
    </row>
    <row r="1095" customFormat="false" ht="14.25" hidden="false" customHeight="true" outlineLevel="0" collapsed="false">
      <c r="A1095" s="51" t="n">
        <v>13811</v>
      </c>
      <c r="B1095" s="52" t="n">
        <v>40703.4125</v>
      </c>
      <c r="C1095" s="1" t="n">
        <v>4</v>
      </c>
      <c r="D1095" s="1" t="n">
        <v>591.75</v>
      </c>
    </row>
    <row r="1096" customFormat="false" ht="14.25" hidden="false" customHeight="true" outlineLevel="0" collapsed="false">
      <c r="A1096" s="51" t="n">
        <v>13812</v>
      </c>
      <c r="B1096" s="52" t="n">
        <v>40844.6020833333</v>
      </c>
      <c r="C1096" s="1" t="n">
        <v>3</v>
      </c>
      <c r="D1096" s="1" t="n">
        <v>539</v>
      </c>
    </row>
    <row r="1097" customFormat="false" ht="14.25" hidden="false" customHeight="true" outlineLevel="0" collapsed="false">
      <c r="A1097" s="51" t="n">
        <v>13813</v>
      </c>
      <c r="B1097" s="52" t="n">
        <v>40847.4430555556</v>
      </c>
      <c r="C1097" s="1" t="n">
        <v>5</v>
      </c>
      <c r="D1097" s="1" t="n">
        <v>1353.41</v>
      </c>
    </row>
    <row r="1098" customFormat="false" ht="14.25" hidden="false" customHeight="true" outlineLevel="0" collapsed="false">
      <c r="A1098" s="51" t="n">
        <v>13814</v>
      </c>
      <c r="B1098" s="52" t="n">
        <v>40830.70625</v>
      </c>
      <c r="C1098" s="1" t="n">
        <v>3</v>
      </c>
      <c r="D1098" s="1" t="n">
        <v>1562.12</v>
      </c>
    </row>
    <row r="1099" customFormat="false" ht="14.25" hidden="false" customHeight="true" outlineLevel="0" collapsed="false">
      <c r="A1099" s="51" t="n">
        <v>13815</v>
      </c>
      <c r="B1099" s="52" t="n">
        <v>40864.5965277778</v>
      </c>
      <c r="C1099" s="1" t="n">
        <v>5</v>
      </c>
      <c r="D1099" s="1" t="n">
        <v>4014.91</v>
      </c>
    </row>
    <row r="1100" customFormat="false" ht="14.25" hidden="false" customHeight="true" outlineLevel="0" collapsed="false">
      <c r="A1100" s="51" t="n">
        <v>13816</v>
      </c>
      <c r="B1100" s="52" t="n">
        <v>40863.3597222222</v>
      </c>
      <c r="C1100" s="1" t="n">
        <v>4</v>
      </c>
      <c r="D1100" s="1" t="n">
        <v>555.04</v>
      </c>
    </row>
    <row r="1101" customFormat="false" ht="14.25" hidden="false" customHeight="true" outlineLevel="0" collapsed="false">
      <c r="A1101" s="51" t="n">
        <v>13817</v>
      </c>
      <c r="B1101" s="52" t="n">
        <v>40857.7423611111</v>
      </c>
      <c r="C1101" s="1" t="n">
        <v>2</v>
      </c>
      <c r="D1101" s="1" t="n">
        <v>382.98</v>
      </c>
    </row>
    <row r="1102" customFormat="false" ht="14.25" hidden="false" customHeight="true" outlineLevel="0" collapsed="false">
      <c r="A1102" s="51" t="n">
        <v>13819</v>
      </c>
      <c r="B1102" s="52" t="n">
        <v>40585.4430555556</v>
      </c>
      <c r="C1102" s="1" t="n">
        <v>3</v>
      </c>
      <c r="D1102" s="1" t="n">
        <v>1140.35</v>
      </c>
    </row>
    <row r="1103" customFormat="false" ht="14.25" hidden="false" customHeight="true" outlineLevel="0" collapsed="false">
      <c r="A1103" s="51" t="n">
        <v>13821</v>
      </c>
      <c r="B1103" s="52" t="n">
        <v>40742.4090277778</v>
      </c>
      <c r="C1103" s="1" t="n">
        <v>2</v>
      </c>
      <c r="D1103" s="1" t="n">
        <v>385.64</v>
      </c>
    </row>
    <row r="1104" customFormat="false" ht="14.25" hidden="false" customHeight="true" outlineLevel="0" collapsed="false">
      <c r="A1104" s="51" t="n">
        <v>13822</v>
      </c>
      <c r="B1104" s="52" t="n">
        <v>40881.5090277778</v>
      </c>
      <c r="C1104" s="1" t="n">
        <v>2</v>
      </c>
      <c r="D1104" s="1" t="n">
        <v>632</v>
      </c>
    </row>
    <row r="1105" customFormat="false" ht="14.25" hidden="false" customHeight="true" outlineLevel="0" collapsed="false">
      <c r="A1105" s="51" t="n">
        <v>13823</v>
      </c>
      <c r="B1105" s="52" t="n">
        <v>40868.4319444444</v>
      </c>
      <c r="C1105" s="1" t="n">
        <v>2</v>
      </c>
      <c r="D1105" s="1" t="n">
        <v>957.66</v>
      </c>
    </row>
    <row r="1106" customFormat="false" ht="14.25" hidden="false" customHeight="true" outlineLevel="0" collapsed="false">
      <c r="A1106" s="51" t="n">
        <v>13824</v>
      </c>
      <c r="B1106" s="52" t="n">
        <v>40854.5284722222</v>
      </c>
      <c r="C1106" s="1" t="n">
        <v>5</v>
      </c>
      <c r="D1106" s="1" t="n">
        <v>1698.94</v>
      </c>
    </row>
    <row r="1107" customFormat="false" ht="14.25" hidden="false" customHeight="true" outlineLevel="0" collapsed="false">
      <c r="A1107" s="51" t="n">
        <v>13826</v>
      </c>
      <c r="B1107" s="52" t="n">
        <v>40728.6854166667</v>
      </c>
      <c r="C1107" s="1" t="n">
        <v>2</v>
      </c>
      <c r="D1107" s="1" t="n">
        <v>174.65</v>
      </c>
    </row>
    <row r="1108" customFormat="false" ht="14.25" hidden="false" customHeight="true" outlineLevel="0" collapsed="false">
      <c r="A1108" s="51" t="n">
        <v>13827</v>
      </c>
      <c r="B1108" s="52" t="n">
        <v>40829.5263888889</v>
      </c>
      <c r="C1108" s="1" t="n">
        <v>3</v>
      </c>
      <c r="D1108" s="1" t="n">
        <v>412.05</v>
      </c>
    </row>
    <row r="1109" customFormat="false" ht="14.25" hidden="false" customHeight="true" outlineLevel="0" collapsed="false">
      <c r="A1109" s="51" t="n">
        <v>13828</v>
      </c>
      <c r="B1109" s="52" t="n">
        <v>40864.6680555556</v>
      </c>
      <c r="C1109" s="1" t="n">
        <v>1</v>
      </c>
      <c r="D1109" s="1" t="n">
        <v>209.49</v>
      </c>
    </row>
    <row r="1110" customFormat="false" ht="14.25" hidden="false" customHeight="true" outlineLevel="0" collapsed="false">
      <c r="A1110" s="51" t="n">
        <v>13829</v>
      </c>
      <c r="B1110" s="52" t="n">
        <v>40527.6916666667</v>
      </c>
      <c r="C1110" s="1" t="n">
        <v>1</v>
      </c>
      <c r="D1110" s="1" t="n">
        <v>-102</v>
      </c>
    </row>
    <row r="1111" customFormat="false" ht="14.25" hidden="false" customHeight="true" outlineLevel="0" collapsed="false">
      <c r="A1111" s="51" t="n">
        <v>13831</v>
      </c>
      <c r="B1111" s="52" t="n">
        <v>40870.6534722222</v>
      </c>
      <c r="C1111" s="1" t="n">
        <v>6</v>
      </c>
      <c r="D1111" s="1" t="n">
        <v>2202.99</v>
      </c>
    </row>
    <row r="1112" customFormat="false" ht="14.25" hidden="false" customHeight="true" outlineLevel="0" collapsed="false">
      <c r="A1112" s="51" t="n">
        <v>13832</v>
      </c>
      <c r="B1112" s="52" t="n">
        <v>40869.5215277778</v>
      </c>
      <c r="C1112" s="1" t="n">
        <v>2</v>
      </c>
      <c r="D1112" s="1" t="n">
        <v>40.95</v>
      </c>
    </row>
    <row r="1113" customFormat="false" ht="14.25" hidden="false" customHeight="true" outlineLevel="0" collapsed="false">
      <c r="A1113" s="51" t="n">
        <v>13833</v>
      </c>
      <c r="B1113" s="52" t="n">
        <v>40727.5604166667</v>
      </c>
      <c r="C1113" s="1" t="n">
        <v>1</v>
      </c>
      <c r="D1113" s="1" t="n">
        <v>384.8</v>
      </c>
    </row>
    <row r="1114" customFormat="false" ht="14.25" hidden="false" customHeight="true" outlineLevel="0" collapsed="false">
      <c r="A1114" s="51" t="n">
        <v>13835</v>
      </c>
      <c r="B1114" s="52" t="n">
        <v>40861.6506944444</v>
      </c>
      <c r="C1114" s="1" t="n">
        <v>4</v>
      </c>
      <c r="D1114" s="1" t="n">
        <v>834.57</v>
      </c>
    </row>
    <row r="1115" customFormat="false" ht="14.25" hidden="false" customHeight="true" outlineLevel="0" collapsed="false">
      <c r="A1115" s="51" t="n">
        <v>13837</v>
      </c>
      <c r="B1115" s="52" t="n">
        <v>40675.5069444445</v>
      </c>
      <c r="C1115" s="1" t="n">
        <v>2</v>
      </c>
      <c r="D1115" s="1" t="n">
        <v>271.24</v>
      </c>
    </row>
    <row r="1116" customFormat="false" ht="14.25" hidden="false" customHeight="true" outlineLevel="0" collapsed="false">
      <c r="A1116" s="51" t="n">
        <v>13838</v>
      </c>
      <c r="B1116" s="52" t="n">
        <v>40881.4583333333</v>
      </c>
      <c r="C1116" s="1" t="n">
        <v>4</v>
      </c>
      <c r="D1116" s="1" t="n">
        <v>691.73</v>
      </c>
    </row>
    <row r="1117" customFormat="false" ht="14.25" hidden="false" customHeight="true" outlineLevel="0" collapsed="false">
      <c r="A1117" s="51" t="n">
        <v>13841</v>
      </c>
      <c r="B1117" s="52" t="n">
        <v>40634.5069444445</v>
      </c>
      <c r="C1117" s="1" t="n">
        <v>1</v>
      </c>
      <c r="D1117" s="1" t="n">
        <v>85</v>
      </c>
    </row>
    <row r="1118" customFormat="false" ht="14.25" hidden="false" customHeight="true" outlineLevel="0" collapsed="false">
      <c r="A1118" s="51" t="n">
        <v>13842</v>
      </c>
      <c r="B1118" s="52" t="n">
        <v>40828.4520833333</v>
      </c>
      <c r="C1118" s="1" t="n">
        <v>9</v>
      </c>
      <c r="D1118" s="1" t="n">
        <v>3385.62</v>
      </c>
    </row>
    <row r="1119" customFormat="false" ht="14.25" hidden="false" customHeight="true" outlineLevel="0" collapsed="false">
      <c r="A1119" s="51" t="n">
        <v>13844</v>
      </c>
      <c r="B1119" s="52" t="n">
        <v>40875.55625</v>
      </c>
      <c r="C1119" s="1" t="n">
        <v>1</v>
      </c>
      <c r="D1119" s="1" t="n">
        <v>361.62</v>
      </c>
    </row>
    <row r="1120" customFormat="false" ht="14.25" hidden="false" customHeight="true" outlineLevel="0" collapsed="false">
      <c r="A1120" s="51" t="n">
        <v>13845</v>
      </c>
      <c r="B1120" s="52" t="n">
        <v>40822.3506944445</v>
      </c>
      <c r="C1120" s="1" t="n">
        <v>1</v>
      </c>
      <c r="D1120" s="1" t="n">
        <v>312.98</v>
      </c>
    </row>
    <row r="1121" customFormat="false" ht="14.25" hidden="false" customHeight="true" outlineLevel="0" collapsed="false">
      <c r="A1121" s="51" t="n">
        <v>13846</v>
      </c>
      <c r="B1121" s="52" t="n">
        <v>40862.5048611111</v>
      </c>
      <c r="C1121" s="1" t="n">
        <v>4</v>
      </c>
      <c r="D1121" s="1" t="n">
        <v>847.61</v>
      </c>
    </row>
    <row r="1122" customFormat="false" ht="14.25" hidden="false" customHeight="true" outlineLevel="0" collapsed="false">
      <c r="A1122" s="51" t="n">
        <v>13848</v>
      </c>
      <c r="B1122" s="52" t="n">
        <v>40794.5402777778</v>
      </c>
      <c r="C1122" s="1" t="n">
        <v>3</v>
      </c>
      <c r="D1122" s="1" t="n">
        <v>1255</v>
      </c>
    </row>
    <row r="1123" customFormat="false" ht="14.25" hidden="false" customHeight="true" outlineLevel="0" collapsed="false">
      <c r="A1123" s="51" t="n">
        <v>13849</v>
      </c>
      <c r="B1123" s="52" t="n">
        <v>40835.4576388889</v>
      </c>
      <c r="C1123" s="1" t="n">
        <v>2</v>
      </c>
      <c r="D1123" s="1" t="n">
        <v>1537.95</v>
      </c>
    </row>
    <row r="1124" customFormat="false" ht="14.25" hidden="false" customHeight="true" outlineLevel="0" collapsed="false">
      <c r="A1124" s="51" t="n">
        <v>13850</v>
      </c>
      <c r="B1124" s="52" t="n">
        <v>40798.75</v>
      </c>
      <c r="C1124" s="1" t="n">
        <v>2</v>
      </c>
      <c r="D1124" s="1" t="n">
        <v>1586.81</v>
      </c>
    </row>
    <row r="1125" customFormat="false" ht="14.25" hidden="false" customHeight="true" outlineLevel="0" collapsed="false">
      <c r="A1125" s="51" t="n">
        <v>13851</v>
      </c>
      <c r="B1125" s="52" t="n">
        <v>40791.525</v>
      </c>
      <c r="C1125" s="1" t="n">
        <v>3</v>
      </c>
      <c r="D1125" s="1" t="n">
        <v>2651.46</v>
      </c>
    </row>
    <row r="1126" customFormat="false" ht="14.25" hidden="false" customHeight="true" outlineLevel="0" collapsed="false">
      <c r="A1126" s="51" t="n">
        <v>13853</v>
      </c>
      <c r="B1126" s="52" t="n">
        <v>40878.3416666667</v>
      </c>
      <c r="C1126" s="1" t="n">
        <v>2</v>
      </c>
      <c r="D1126" s="1" t="n">
        <v>1056.94</v>
      </c>
    </row>
    <row r="1127" customFormat="false" ht="14.25" hidden="false" customHeight="true" outlineLevel="0" collapsed="false">
      <c r="A1127" s="51" t="n">
        <v>13854</v>
      </c>
      <c r="B1127" s="52" t="n">
        <v>40878.3791666667</v>
      </c>
      <c r="C1127" s="1" t="n">
        <v>29</v>
      </c>
      <c r="D1127" s="1" t="n">
        <v>8025.02</v>
      </c>
    </row>
    <row r="1128" customFormat="false" ht="14.25" hidden="false" customHeight="true" outlineLevel="0" collapsed="false">
      <c r="A1128" s="51" t="n">
        <v>13856</v>
      </c>
      <c r="B1128" s="52" t="n">
        <v>40718.41875</v>
      </c>
      <c r="C1128" s="1" t="n">
        <v>5</v>
      </c>
      <c r="D1128" s="1" t="n">
        <v>363.4</v>
      </c>
    </row>
    <row r="1129" customFormat="false" ht="14.25" hidden="false" customHeight="true" outlineLevel="0" collapsed="false">
      <c r="A1129" s="51" t="n">
        <v>13858</v>
      </c>
      <c r="B1129" s="52" t="n">
        <v>40829.6784722222</v>
      </c>
      <c r="C1129" s="1" t="n">
        <v>1</v>
      </c>
      <c r="D1129" s="1" t="n">
        <v>216.17</v>
      </c>
    </row>
    <row r="1130" customFormat="false" ht="14.25" hidden="false" customHeight="true" outlineLevel="0" collapsed="false">
      <c r="A1130" s="51" t="n">
        <v>13859</v>
      </c>
      <c r="B1130" s="52" t="n">
        <v>40560.6763888889</v>
      </c>
      <c r="C1130" s="1" t="n">
        <v>1</v>
      </c>
      <c r="D1130" s="1" t="n">
        <v>201.16</v>
      </c>
    </row>
    <row r="1131" customFormat="false" ht="14.25" hidden="false" customHeight="true" outlineLevel="0" collapsed="false">
      <c r="A1131" s="51" t="n">
        <v>13860</v>
      </c>
      <c r="B1131" s="52" t="n">
        <v>40885.5395833333</v>
      </c>
      <c r="C1131" s="1" t="n">
        <v>6</v>
      </c>
      <c r="D1131" s="1" t="n">
        <v>1240</v>
      </c>
    </row>
    <row r="1132" customFormat="false" ht="14.25" hidden="false" customHeight="true" outlineLevel="0" collapsed="false">
      <c r="A1132" s="51" t="n">
        <v>13862</v>
      </c>
      <c r="B1132" s="52" t="n">
        <v>40868.6833333333</v>
      </c>
      <c r="C1132" s="1" t="n">
        <v>10</v>
      </c>
      <c r="D1132" s="1" t="n">
        <v>2187.31</v>
      </c>
    </row>
    <row r="1133" customFormat="false" ht="14.25" hidden="false" customHeight="true" outlineLevel="0" collapsed="false">
      <c r="A1133" s="51" t="n">
        <v>13863</v>
      </c>
      <c r="B1133" s="52" t="n">
        <v>40641.7104166667</v>
      </c>
      <c r="C1133" s="1" t="n">
        <v>2</v>
      </c>
      <c r="D1133" s="1" t="n">
        <v>299.56</v>
      </c>
    </row>
    <row r="1134" customFormat="false" ht="14.25" hidden="false" customHeight="true" outlineLevel="0" collapsed="false">
      <c r="A1134" s="51" t="n">
        <v>13865</v>
      </c>
      <c r="B1134" s="52" t="n">
        <v>40828.5631944445</v>
      </c>
      <c r="C1134" s="1" t="n">
        <v>4</v>
      </c>
      <c r="D1134" s="1" t="n">
        <v>501.56</v>
      </c>
    </row>
    <row r="1135" customFormat="false" ht="14.25" hidden="false" customHeight="true" outlineLevel="0" collapsed="false">
      <c r="A1135" s="51" t="n">
        <v>13866</v>
      </c>
      <c r="B1135" s="52" t="n">
        <v>40812.6208333333</v>
      </c>
      <c r="C1135" s="1" t="n">
        <v>1</v>
      </c>
      <c r="D1135" s="1" t="n">
        <v>145.67</v>
      </c>
    </row>
    <row r="1136" customFormat="false" ht="14.25" hidden="false" customHeight="true" outlineLevel="0" collapsed="false">
      <c r="A1136" s="51" t="n">
        <v>13867</v>
      </c>
      <c r="B1136" s="52" t="n">
        <v>40855.6583333333</v>
      </c>
      <c r="C1136" s="1" t="n">
        <v>3</v>
      </c>
      <c r="D1136" s="1" t="n">
        <v>1015.29</v>
      </c>
    </row>
    <row r="1137" customFormat="false" ht="14.25" hidden="false" customHeight="true" outlineLevel="0" collapsed="false">
      <c r="A1137" s="51" t="n">
        <v>13868</v>
      </c>
      <c r="B1137" s="52" t="n">
        <v>40879.6888888889</v>
      </c>
      <c r="C1137" s="1" t="n">
        <v>2</v>
      </c>
      <c r="D1137" s="1" t="n">
        <v>3192.54</v>
      </c>
    </row>
    <row r="1138" customFormat="false" ht="14.25" hidden="false" customHeight="true" outlineLevel="0" collapsed="false">
      <c r="A1138" s="51" t="n">
        <v>13869</v>
      </c>
      <c r="B1138" s="52" t="n">
        <v>40763.5784722222</v>
      </c>
      <c r="C1138" s="1" t="n">
        <v>4</v>
      </c>
      <c r="D1138" s="1" t="n">
        <v>3104.95</v>
      </c>
    </row>
    <row r="1139" customFormat="false" ht="14.25" hidden="false" customHeight="true" outlineLevel="0" collapsed="false">
      <c r="A1139" s="51" t="n">
        <v>13870</v>
      </c>
      <c r="B1139" s="52" t="n">
        <v>40884.5576388889</v>
      </c>
      <c r="C1139" s="1" t="n">
        <v>10</v>
      </c>
      <c r="D1139" s="1" t="n">
        <v>2751.25</v>
      </c>
    </row>
    <row r="1140" customFormat="false" ht="14.25" hidden="false" customHeight="true" outlineLevel="0" collapsed="false">
      <c r="A1140" s="51" t="n">
        <v>13871</v>
      </c>
      <c r="B1140" s="52" t="n">
        <v>40864.4506944444</v>
      </c>
      <c r="C1140" s="1" t="n">
        <v>14</v>
      </c>
      <c r="D1140" s="1" t="n">
        <v>6389.8</v>
      </c>
    </row>
    <row r="1141" customFormat="false" ht="14.25" hidden="false" customHeight="true" outlineLevel="0" collapsed="false">
      <c r="A1141" s="51" t="n">
        <v>13873</v>
      </c>
      <c r="B1141" s="52" t="n">
        <v>40767.4222222222</v>
      </c>
      <c r="C1141" s="1" t="n">
        <v>4</v>
      </c>
      <c r="D1141" s="1" t="n">
        <v>381.7</v>
      </c>
    </row>
    <row r="1142" customFormat="false" ht="14.25" hidden="false" customHeight="true" outlineLevel="0" collapsed="false">
      <c r="A1142" s="51" t="n">
        <v>13874</v>
      </c>
      <c r="B1142" s="52" t="n">
        <v>40528.7638888889</v>
      </c>
      <c r="C1142" s="1" t="n">
        <v>1</v>
      </c>
      <c r="D1142" s="1" t="n">
        <v>540.45</v>
      </c>
    </row>
    <row r="1143" customFormat="false" ht="14.25" hidden="false" customHeight="true" outlineLevel="0" collapsed="false">
      <c r="A1143" s="51" t="n">
        <v>13875</v>
      </c>
      <c r="B1143" s="52" t="n">
        <v>40833.4</v>
      </c>
      <c r="C1143" s="1" t="n">
        <v>5</v>
      </c>
      <c r="D1143" s="1" t="n">
        <v>1786.79</v>
      </c>
    </row>
    <row r="1144" customFormat="false" ht="14.25" hidden="false" customHeight="true" outlineLevel="0" collapsed="false">
      <c r="A1144" s="51" t="n">
        <v>13876</v>
      </c>
      <c r="B1144" s="52" t="n">
        <v>40823.4319444444</v>
      </c>
      <c r="C1144" s="1" t="n">
        <v>1</v>
      </c>
      <c r="D1144" s="1" t="n">
        <v>122.7</v>
      </c>
    </row>
    <row r="1145" customFormat="false" ht="14.25" hidden="false" customHeight="true" outlineLevel="0" collapsed="false">
      <c r="A1145" s="51" t="n">
        <v>13877</v>
      </c>
      <c r="B1145" s="52" t="n">
        <v>40800.6590277778</v>
      </c>
      <c r="C1145" s="1" t="n">
        <v>1</v>
      </c>
      <c r="D1145" s="1" t="n">
        <v>117.24</v>
      </c>
    </row>
    <row r="1146" customFormat="false" ht="14.25" hidden="false" customHeight="true" outlineLevel="0" collapsed="false">
      <c r="A1146" s="51" t="n">
        <v>13878</v>
      </c>
      <c r="B1146" s="52" t="n">
        <v>40832.5131944444</v>
      </c>
      <c r="C1146" s="1" t="n">
        <v>1</v>
      </c>
      <c r="D1146" s="1" t="n">
        <v>1281.53</v>
      </c>
    </row>
    <row r="1147" customFormat="false" ht="14.25" hidden="false" customHeight="true" outlineLevel="0" collapsed="false">
      <c r="A1147" s="51" t="n">
        <v>13880</v>
      </c>
      <c r="B1147" s="52" t="n">
        <v>40865.5722222222</v>
      </c>
      <c r="C1147" s="1" t="n">
        <v>13</v>
      </c>
      <c r="D1147" s="1" t="n">
        <v>3219.77</v>
      </c>
    </row>
    <row r="1148" customFormat="false" ht="14.25" hidden="false" customHeight="true" outlineLevel="0" collapsed="false">
      <c r="A1148" s="51" t="n">
        <v>13881</v>
      </c>
      <c r="B1148" s="52" t="n">
        <v>40883.5347222222</v>
      </c>
      <c r="C1148" s="1" t="n">
        <v>22</v>
      </c>
      <c r="D1148" s="1" t="n">
        <v>16989.52</v>
      </c>
    </row>
    <row r="1149" customFormat="false" ht="14.25" hidden="false" customHeight="true" outlineLevel="0" collapsed="false">
      <c r="A1149" s="51" t="n">
        <v>13882</v>
      </c>
      <c r="B1149" s="52" t="n">
        <v>40884.4694444445</v>
      </c>
      <c r="C1149" s="1" t="n">
        <v>6</v>
      </c>
      <c r="D1149" s="1" t="n">
        <v>1131.28</v>
      </c>
    </row>
    <row r="1150" customFormat="false" ht="14.25" hidden="false" customHeight="true" outlineLevel="0" collapsed="false">
      <c r="A1150" s="51" t="n">
        <v>13883</v>
      </c>
      <c r="B1150" s="52" t="n">
        <v>40885.8055555556</v>
      </c>
      <c r="C1150" s="1" t="n">
        <v>9</v>
      </c>
      <c r="D1150" s="1" t="n">
        <v>2538.75</v>
      </c>
    </row>
    <row r="1151" customFormat="false" ht="14.25" hidden="false" customHeight="true" outlineLevel="0" collapsed="false">
      <c r="A1151" s="51" t="n">
        <v>13884</v>
      </c>
      <c r="B1151" s="52" t="n">
        <v>40879.6875</v>
      </c>
      <c r="C1151" s="1" t="n">
        <v>6</v>
      </c>
      <c r="D1151" s="1" t="n">
        <v>781.3</v>
      </c>
    </row>
    <row r="1152" customFormat="false" ht="14.25" hidden="false" customHeight="true" outlineLevel="0" collapsed="false">
      <c r="A1152" s="51" t="n">
        <v>13885</v>
      </c>
      <c r="B1152" s="52" t="n">
        <v>40697.6298611111</v>
      </c>
      <c r="C1152" s="1" t="n">
        <v>2</v>
      </c>
      <c r="D1152" s="1" t="n">
        <v>506.8</v>
      </c>
    </row>
    <row r="1153" customFormat="false" ht="14.25" hidden="false" customHeight="true" outlineLevel="0" collapsed="false">
      <c r="A1153" s="51" t="n">
        <v>13886</v>
      </c>
      <c r="B1153" s="52" t="n">
        <v>40815.5534722222</v>
      </c>
      <c r="C1153" s="1" t="n">
        <v>1</v>
      </c>
      <c r="D1153" s="1" t="n">
        <v>243.56</v>
      </c>
    </row>
    <row r="1154" customFormat="false" ht="14.25" hidden="false" customHeight="true" outlineLevel="0" collapsed="false">
      <c r="A1154" s="51" t="n">
        <v>13887</v>
      </c>
      <c r="B1154" s="52" t="n">
        <v>40682.7236111111</v>
      </c>
      <c r="C1154" s="1" t="n">
        <v>1</v>
      </c>
      <c r="D1154" s="1" t="n">
        <v>349.55</v>
      </c>
    </row>
    <row r="1155" customFormat="false" ht="14.25" hidden="false" customHeight="true" outlineLevel="0" collapsed="false">
      <c r="A1155" s="51" t="n">
        <v>13888</v>
      </c>
      <c r="B1155" s="52" t="n">
        <v>40767.4256944444</v>
      </c>
      <c r="C1155" s="1" t="n">
        <v>2</v>
      </c>
      <c r="D1155" s="1" t="n">
        <v>605.63</v>
      </c>
    </row>
    <row r="1156" customFormat="false" ht="14.25" hidden="false" customHeight="true" outlineLevel="0" collapsed="false">
      <c r="A1156" s="51" t="n">
        <v>13889</v>
      </c>
      <c r="B1156" s="52" t="n">
        <v>40794.3840277778</v>
      </c>
      <c r="C1156" s="1" t="n">
        <v>1</v>
      </c>
      <c r="D1156" s="1" t="n">
        <v>416.9</v>
      </c>
    </row>
    <row r="1157" customFormat="false" ht="14.25" hidden="false" customHeight="true" outlineLevel="0" collapsed="false">
      <c r="A1157" s="51" t="n">
        <v>13890</v>
      </c>
      <c r="B1157" s="52" t="n">
        <v>40885.65</v>
      </c>
      <c r="C1157" s="1" t="n">
        <v>14</v>
      </c>
      <c r="D1157" s="1" t="n">
        <v>1860.86</v>
      </c>
    </row>
    <row r="1158" customFormat="false" ht="14.25" hidden="false" customHeight="true" outlineLevel="0" collapsed="false">
      <c r="A1158" s="51" t="n">
        <v>13892</v>
      </c>
      <c r="B1158" s="52" t="n">
        <v>40860.4930555556</v>
      </c>
      <c r="C1158" s="1" t="n">
        <v>4</v>
      </c>
      <c r="D1158" s="1" t="n">
        <v>632.97</v>
      </c>
    </row>
    <row r="1159" customFormat="false" ht="14.25" hidden="false" customHeight="true" outlineLevel="0" collapsed="false">
      <c r="A1159" s="51" t="n">
        <v>13893</v>
      </c>
      <c r="B1159" s="52" t="n">
        <v>40589.4791666667</v>
      </c>
      <c r="C1159" s="1" t="n">
        <v>1</v>
      </c>
      <c r="D1159" s="1" t="n">
        <v>821.1</v>
      </c>
    </row>
    <row r="1160" customFormat="false" ht="14.25" hidden="false" customHeight="true" outlineLevel="0" collapsed="false">
      <c r="A1160" s="51" t="n">
        <v>13894</v>
      </c>
      <c r="B1160" s="52" t="n">
        <v>40864.5659722222</v>
      </c>
      <c r="C1160" s="1" t="n">
        <v>5</v>
      </c>
      <c r="D1160" s="1" t="n">
        <v>535.97</v>
      </c>
    </row>
    <row r="1161" customFormat="false" ht="14.25" hidden="false" customHeight="true" outlineLevel="0" collapsed="false">
      <c r="A1161" s="51" t="n">
        <v>13895</v>
      </c>
      <c r="B1161" s="52" t="n">
        <v>40865.71875</v>
      </c>
      <c r="C1161" s="1" t="n">
        <v>5</v>
      </c>
      <c r="D1161" s="1" t="n">
        <v>2588.12</v>
      </c>
    </row>
    <row r="1162" customFormat="false" ht="14.25" hidden="false" customHeight="true" outlineLevel="0" collapsed="false">
      <c r="A1162" s="51" t="n">
        <v>13897</v>
      </c>
      <c r="B1162" s="52" t="n">
        <v>40836.6041666667</v>
      </c>
      <c r="C1162" s="1" t="n">
        <v>1</v>
      </c>
      <c r="D1162" s="1" t="n">
        <v>311.16</v>
      </c>
    </row>
    <row r="1163" customFormat="false" ht="14.25" hidden="false" customHeight="true" outlineLevel="0" collapsed="false">
      <c r="A1163" s="51" t="n">
        <v>13898</v>
      </c>
      <c r="B1163" s="52" t="n">
        <v>40561.4361111111</v>
      </c>
      <c r="C1163" s="1" t="n">
        <v>1</v>
      </c>
      <c r="D1163" s="1" t="n">
        <v>155.93</v>
      </c>
    </row>
    <row r="1164" customFormat="false" ht="14.25" hidden="false" customHeight="true" outlineLevel="0" collapsed="false">
      <c r="A1164" s="51" t="n">
        <v>13899</v>
      </c>
      <c r="B1164" s="52" t="n">
        <v>40870.5694444445</v>
      </c>
      <c r="C1164" s="1" t="n">
        <v>2</v>
      </c>
      <c r="D1164" s="1" t="n">
        <v>388.52</v>
      </c>
    </row>
    <row r="1165" customFormat="false" ht="14.25" hidden="false" customHeight="true" outlineLevel="0" collapsed="false">
      <c r="A1165" s="51" t="n">
        <v>13900</v>
      </c>
      <c r="B1165" s="52" t="n">
        <v>40703.8097222222</v>
      </c>
      <c r="C1165" s="1" t="n">
        <v>3</v>
      </c>
      <c r="D1165" s="1" t="n">
        <v>740.95</v>
      </c>
    </row>
    <row r="1166" customFormat="false" ht="14.25" hidden="false" customHeight="true" outlineLevel="0" collapsed="false">
      <c r="A1166" s="51" t="n">
        <v>13901</v>
      </c>
      <c r="B1166" s="52" t="n">
        <v>40814.6166666667</v>
      </c>
      <c r="C1166" s="1" t="n">
        <v>5</v>
      </c>
      <c r="D1166" s="1" t="n">
        <v>2867.2</v>
      </c>
    </row>
    <row r="1167" customFormat="false" ht="14.25" hidden="false" customHeight="true" outlineLevel="0" collapsed="false">
      <c r="A1167" s="51" t="n">
        <v>13904</v>
      </c>
      <c r="B1167" s="52" t="n">
        <v>40849.5701388889</v>
      </c>
      <c r="C1167" s="1" t="n">
        <v>2</v>
      </c>
      <c r="D1167" s="1" t="n">
        <v>332.64</v>
      </c>
    </row>
    <row r="1168" customFormat="false" ht="14.25" hidden="false" customHeight="true" outlineLevel="0" collapsed="false">
      <c r="A1168" s="51" t="n">
        <v>13908</v>
      </c>
      <c r="B1168" s="52" t="n">
        <v>40807.4923611111</v>
      </c>
      <c r="C1168" s="1" t="n">
        <v>5</v>
      </c>
      <c r="D1168" s="1" t="n">
        <v>2347.05</v>
      </c>
    </row>
    <row r="1169" customFormat="false" ht="14.25" hidden="false" customHeight="true" outlineLevel="0" collapsed="false">
      <c r="A1169" s="51" t="n">
        <v>13911</v>
      </c>
      <c r="B1169" s="52" t="n">
        <v>40829.6548611111</v>
      </c>
      <c r="C1169" s="1" t="n">
        <v>9</v>
      </c>
      <c r="D1169" s="1" t="n">
        <v>2580.91</v>
      </c>
    </row>
    <row r="1170" customFormat="false" ht="14.25" hidden="false" customHeight="true" outlineLevel="0" collapsed="false">
      <c r="A1170" s="51" t="n">
        <v>13914</v>
      </c>
      <c r="B1170" s="52" t="n">
        <v>40883.4541666667</v>
      </c>
      <c r="C1170" s="1" t="n">
        <v>3</v>
      </c>
      <c r="D1170" s="1" t="n">
        <v>613.95</v>
      </c>
    </row>
    <row r="1171" customFormat="false" ht="14.25" hidden="false" customHeight="true" outlineLevel="0" collapsed="false">
      <c r="A1171" s="51" t="n">
        <v>13917</v>
      </c>
      <c r="B1171" s="52" t="n">
        <v>40837.4138888889</v>
      </c>
      <c r="C1171" s="1" t="n">
        <v>2</v>
      </c>
      <c r="D1171" s="1" t="n">
        <v>272.04</v>
      </c>
    </row>
    <row r="1172" customFormat="false" ht="14.25" hidden="false" customHeight="true" outlineLevel="0" collapsed="false">
      <c r="A1172" s="51" t="n">
        <v>13918</v>
      </c>
      <c r="B1172" s="52" t="n">
        <v>40837.5173611111</v>
      </c>
      <c r="C1172" s="1" t="n">
        <v>2</v>
      </c>
      <c r="D1172" s="1" t="n">
        <v>1212.84</v>
      </c>
    </row>
    <row r="1173" customFormat="false" ht="14.25" hidden="false" customHeight="true" outlineLevel="0" collapsed="false">
      <c r="A1173" s="51" t="n">
        <v>13919</v>
      </c>
      <c r="B1173" s="52" t="n">
        <v>40833.6416666667</v>
      </c>
      <c r="C1173" s="1" t="n">
        <v>3</v>
      </c>
      <c r="D1173" s="1" t="n">
        <v>350.16</v>
      </c>
    </row>
    <row r="1174" customFormat="false" ht="14.25" hidden="false" customHeight="true" outlineLevel="0" collapsed="false">
      <c r="A1174" s="51" t="n">
        <v>13922</v>
      </c>
      <c r="B1174" s="52" t="n">
        <v>40535.4430555556</v>
      </c>
      <c r="C1174" s="1" t="n">
        <v>1</v>
      </c>
      <c r="D1174" s="1" t="n">
        <v>172.25</v>
      </c>
    </row>
    <row r="1175" customFormat="false" ht="14.25" hidden="false" customHeight="true" outlineLevel="0" collapsed="false">
      <c r="A1175" s="51" t="n">
        <v>13923</v>
      </c>
      <c r="B1175" s="52" t="n">
        <v>40833.5229166667</v>
      </c>
      <c r="C1175" s="1" t="n">
        <v>1</v>
      </c>
      <c r="D1175" s="1" t="n">
        <v>351.13</v>
      </c>
    </row>
    <row r="1176" customFormat="false" ht="14.25" hidden="false" customHeight="true" outlineLevel="0" collapsed="false">
      <c r="A1176" s="51" t="n">
        <v>13924</v>
      </c>
      <c r="B1176" s="52" t="n">
        <v>40885.4020833333</v>
      </c>
      <c r="C1176" s="1" t="n">
        <v>11</v>
      </c>
      <c r="D1176" s="1" t="n">
        <v>1682.08</v>
      </c>
    </row>
    <row r="1177" customFormat="false" ht="14.25" hidden="false" customHeight="true" outlineLevel="0" collapsed="false">
      <c r="A1177" s="51" t="n">
        <v>13925</v>
      </c>
      <c r="B1177" s="52" t="n">
        <v>40850.5416666667</v>
      </c>
      <c r="C1177" s="1" t="n">
        <v>6</v>
      </c>
      <c r="D1177" s="1" t="n">
        <v>616.65</v>
      </c>
    </row>
    <row r="1178" customFormat="false" ht="14.25" hidden="false" customHeight="true" outlineLevel="0" collapsed="false">
      <c r="A1178" s="51" t="n">
        <v>13926</v>
      </c>
      <c r="B1178" s="52" t="n">
        <v>40863.5527777778</v>
      </c>
      <c r="C1178" s="1" t="n">
        <v>1</v>
      </c>
      <c r="D1178" s="1" t="n">
        <v>223.85</v>
      </c>
    </row>
    <row r="1179" customFormat="false" ht="14.25" hidden="false" customHeight="true" outlineLevel="0" collapsed="false">
      <c r="A1179" s="51" t="n">
        <v>13927</v>
      </c>
      <c r="B1179" s="52" t="n">
        <v>40812.5</v>
      </c>
      <c r="C1179" s="1" t="n">
        <v>1</v>
      </c>
      <c r="D1179" s="1" t="n">
        <v>348.99</v>
      </c>
    </row>
    <row r="1180" customFormat="false" ht="14.25" hidden="false" customHeight="true" outlineLevel="0" collapsed="false">
      <c r="A1180" s="51" t="n">
        <v>13928</v>
      </c>
      <c r="B1180" s="52" t="n">
        <v>40876.4395833333</v>
      </c>
      <c r="C1180" s="1" t="n">
        <v>4</v>
      </c>
      <c r="D1180" s="1" t="n">
        <v>464.57</v>
      </c>
    </row>
    <row r="1181" customFormat="false" ht="14.25" hidden="false" customHeight="true" outlineLevel="0" collapsed="false">
      <c r="A1181" s="51" t="n">
        <v>13929</v>
      </c>
      <c r="B1181" s="52" t="n">
        <v>40717.6430555556</v>
      </c>
      <c r="C1181" s="1" t="n">
        <v>3</v>
      </c>
      <c r="D1181" s="1" t="n">
        <v>802.85</v>
      </c>
    </row>
    <row r="1182" customFormat="false" ht="14.25" hidden="false" customHeight="true" outlineLevel="0" collapsed="false">
      <c r="A1182" s="51" t="n">
        <v>13930</v>
      </c>
      <c r="B1182" s="52" t="n">
        <v>40829.40625</v>
      </c>
      <c r="C1182" s="1" t="n">
        <v>2</v>
      </c>
      <c r="D1182" s="1" t="n">
        <v>337.34</v>
      </c>
    </row>
    <row r="1183" customFormat="false" ht="14.25" hidden="false" customHeight="true" outlineLevel="0" collapsed="false">
      <c r="A1183" s="51" t="n">
        <v>13931</v>
      </c>
      <c r="B1183" s="52" t="n">
        <v>40801.41875</v>
      </c>
      <c r="C1183" s="1" t="n">
        <v>3</v>
      </c>
      <c r="D1183" s="1" t="n">
        <v>1230.93</v>
      </c>
    </row>
    <row r="1184" customFormat="false" ht="14.25" hidden="false" customHeight="true" outlineLevel="0" collapsed="false">
      <c r="A1184" s="51" t="n">
        <v>13932</v>
      </c>
      <c r="B1184" s="52" t="n">
        <v>40592.5013888889</v>
      </c>
      <c r="C1184" s="1" t="n">
        <v>1</v>
      </c>
      <c r="D1184" s="1" t="n">
        <v>307.4</v>
      </c>
    </row>
    <row r="1185" customFormat="false" ht="14.25" hidden="false" customHeight="true" outlineLevel="0" collapsed="false">
      <c r="A1185" s="51" t="n">
        <v>13933</v>
      </c>
      <c r="B1185" s="52" t="n">
        <v>40777.5854166667</v>
      </c>
      <c r="C1185" s="1" t="n">
        <v>2</v>
      </c>
      <c r="D1185" s="1" t="n">
        <v>608.79</v>
      </c>
    </row>
    <row r="1186" customFormat="false" ht="14.25" hidden="false" customHeight="true" outlineLevel="0" collapsed="false">
      <c r="A1186" s="51" t="n">
        <v>13934</v>
      </c>
      <c r="B1186" s="52" t="n">
        <v>40623.3604166667</v>
      </c>
      <c r="C1186" s="1" t="n">
        <v>1</v>
      </c>
      <c r="D1186" s="1" t="n">
        <v>922.1</v>
      </c>
    </row>
    <row r="1187" customFormat="false" ht="14.25" hidden="false" customHeight="true" outlineLevel="0" collapsed="false">
      <c r="A1187" s="51" t="n">
        <v>13936</v>
      </c>
      <c r="B1187" s="52" t="n">
        <v>40715.7388888889</v>
      </c>
      <c r="C1187" s="1" t="n">
        <v>2</v>
      </c>
      <c r="D1187" s="1" t="n">
        <v>361.28</v>
      </c>
    </row>
    <row r="1188" customFormat="false" ht="14.25" hidden="false" customHeight="true" outlineLevel="0" collapsed="false">
      <c r="A1188" s="51" t="n">
        <v>13937</v>
      </c>
      <c r="B1188" s="52" t="n">
        <v>40717.6909722222</v>
      </c>
      <c r="C1188" s="1" t="n">
        <v>1</v>
      </c>
      <c r="D1188" s="1" t="n">
        <v>158.85</v>
      </c>
    </row>
    <row r="1189" customFormat="false" ht="14.25" hidden="false" customHeight="true" outlineLevel="0" collapsed="false">
      <c r="A1189" s="51" t="n">
        <v>13938</v>
      </c>
      <c r="B1189" s="52" t="n">
        <v>40851.6090277778</v>
      </c>
      <c r="C1189" s="1" t="n">
        <v>1</v>
      </c>
      <c r="D1189" s="1" t="n">
        <v>71.66</v>
      </c>
    </row>
    <row r="1190" customFormat="false" ht="14.25" hidden="false" customHeight="true" outlineLevel="0" collapsed="false">
      <c r="A1190" s="51" t="n">
        <v>13939</v>
      </c>
      <c r="B1190" s="52" t="n">
        <v>40863.5645833333</v>
      </c>
      <c r="C1190" s="1" t="n">
        <v>4</v>
      </c>
      <c r="D1190" s="1" t="n">
        <v>556.75</v>
      </c>
    </row>
    <row r="1191" customFormat="false" ht="14.25" hidden="false" customHeight="true" outlineLevel="0" collapsed="false">
      <c r="A1191" s="51" t="n">
        <v>13940</v>
      </c>
      <c r="B1191" s="52" t="n">
        <v>40869.6354166667</v>
      </c>
      <c r="C1191" s="1" t="n">
        <v>4</v>
      </c>
      <c r="D1191" s="1" t="n">
        <v>839.14</v>
      </c>
    </row>
    <row r="1192" customFormat="false" ht="14.25" hidden="false" customHeight="true" outlineLevel="0" collapsed="false">
      <c r="A1192" s="51" t="n">
        <v>13941</v>
      </c>
      <c r="B1192" s="52" t="n">
        <v>40865.4048611111</v>
      </c>
      <c r="C1192" s="1" t="n">
        <v>7</v>
      </c>
      <c r="D1192" s="1" t="n">
        <v>4912.41</v>
      </c>
    </row>
    <row r="1193" customFormat="false" ht="14.25" hidden="false" customHeight="true" outlineLevel="0" collapsed="false">
      <c r="A1193" s="51" t="n">
        <v>13946</v>
      </c>
      <c r="B1193" s="52" t="n">
        <v>40807.5645833333</v>
      </c>
      <c r="C1193" s="1" t="n">
        <v>3</v>
      </c>
      <c r="D1193" s="1" t="n">
        <v>561.57</v>
      </c>
    </row>
    <row r="1194" customFormat="false" ht="14.25" hidden="false" customHeight="true" outlineLevel="0" collapsed="false">
      <c r="A1194" s="51" t="n">
        <v>13947</v>
      </c>
      <c r="B1194" s="52" t="n">
        <v>40821.6125</v>
      </c>
      <c r="C1194" s="1" t="n">
        <v>1</v>
      </c>
      <c r="D1194" s="1" t="n">
        <v>90.6</v>
      </c>
    </row>
    <row r="1195" customFormat="false" ht="14.25" hidden="false" customHeight="true" outlineLevel="0" collapsed="false">
      <c r="A1195" s="51" t="n">
        <v>13948</v>
      </c>
      <c r="B1195" s="52" t="n">
        <v>40526.4291666667</v>
      </c>
      <c r="C1195" s="1" t="n">
        <v>1</v>
      </c>
      <c r="D1195" s="1" t="n">
        <v>102</v>
      </c>
    </row>
    <row r="1196" customFormat="false" ht="14.25" hidden="false" customHeight="true" outlineLevel="0" collapsed="false">
      <c r="A1196" s="51" t="n">
        <v>13949</v>
      </c>
      <c r="B1196" s="52" t="n">
        <v>40884.3993055556</v>
      </c>
      <c r="C1196" s="1" t="n">
        <v>6</v>
      </c>
      <c r="D1196" s="1" t="n">
        <v>2427.32</v>
      </c>
    </row>
    <row r="1197" customFormat="false" ht="14.25" hidden="false" customHeight="true" outlineLevel="0" collapsed="false">
      <c r="A1197" s="51" t="n">
        <v>13950</v>
      </c>
      <c r="B1197" s="52" t="n">
        <v>40875.6138888889</v>
      </c>
      <c r="C1197" s="1" t="n">
        <v>5</v>
      </c>
      <c r="D1197" s="1" t="n">
        <v>728.56</v>
      </c>
    </row>
    <row r="1198" customFormat="false" ht="14.25" hidden="false" customHeight="true" outlineLevel="0" collapsed="false">
      <c r="A1198" s="51" t="n">
        <v>13951</v>
      </c>
      <c r="B1198" s="52" t="n">
        <v>40710.6965277778</v>
      </c>
      <c r="C1198" s="1" t="n">
        <v>3</v>
      </c>
      <c r="D1198" s="1" t="n">
        <v>674.45</v>
      </c>
    </row>
    <row r="1199" customFormat="false" ht="14.25" hidden="false" customHeight="true" outlineLevel="0" collapsed="false">
      <c r="A1199" s="51" t="n">
        <v>13952</v>
      </c>
      <c r="B1199" s="52" t="n">
        <v>40675.8104166667</v>
      </c>
      <c r="C1199" s="1" t="n">
        <v>3</v>
      </c>
      <c r="D1199" s="1" t="n">
        <v>3246.091</v>
      </c>
    </row>
    <row r="1200" customFormat="false" ht="14.25" hidden="false" customHeight="true" outlineLevel="0" collapsed="false">
      <c r="A1200" s="51" t="n">
        <v>13953</v>
      </c>
      <c r="B1200" s="52" t="n">
        <v>40879.6694444444</v>
      </c>
      <c r="C1200" s="1" t="n">
        <v>7</v>
      </c>
      <c r="D1200" s="1" t="n">
        <v>3515.68</v>
      </c>
    </row>
    <row r="1201" customFormat="false" ht="14.25" hidden="false" customHeight="true" outlineLevel="0" collapsed="false">
      <c r="A1201" s="51" t="n">
        <v>13954</v>
      </c>
      <c r="B1201" s="52" t="n">
        <v>40885.5347222222</v>
      </c>
      <c r="C1201" s="1" t="n">
        <v>3</v>
      </c>
      <c r="D1201" s="1" t="n">
        <v>378.59</v>
      </c>
    </row>
    <row r="1202" customFormat="false" ht="14.25" hidden="false" customHeight="true" outlineLevel="0" collapsed="false">
      <c r="A1202" s="51" t="n">
        <v>13955</v>
      </c>
      <c r="B1202" s="52" t="n">
        <v>40732.7215277778</v>
      </c>
      <c r="C1202" s="1" t="n">
        <v>2</v>
      </c>
      <c r="D1202" s="1" t="n">
        <v>322.96</v>
      </c>
    </row>
    <row r="1203" customFormat="false" ht="14.25" hidden="false" customHeight="true" outlineLevel="0" collapsed="false">
      <c r="A1203" s="51" t="n">
        <v>13956</v>
      </c>
      <c r="B1203" s="52" t="n">
        <v>40881.5555555556</v>
      </c>
      <c r="C1203" s="1" t="n">
        <v>5</v>
      </c>
      <c r="D1203" s="1" t="n">
        <v>1026.42</v>
      </c>
    </row>
    <row r="1204" customFormat="false" ht="14.25" hidden="false" customHeight="true" outlineLevel="0" collapsed="false">
      <c r="A1204" s="51" t="n">
        <v>13958</v>
      </c>
      <c r="B1204" s="52" t="n">
        <v>40514.7104166667</v>
      </c>
      <c r="C1204" s="1" t="n">
        <v>1</v>
      </c>
      <c r="D1204" s="1" t="n">
        <v>-102.45</v>
      </c>
    </row>
    <row r="1205" customFormat="false" ht="14.25" hidden="false" customHeight="true" outlineLevel="0" collapsed="false">
      <c r="A1205" s="51" t="n">
        <v>13959</v>
      </c>
      <c r="B1205" s="52" t="n">
        <v>40807.6291666667</v>
      </c>
      <c r="C1205" s="1" t="n">
        <v>3</v>
      </c>
      <c r="D1205" s="1" t="n">
        <v>598.2</v>
      </c>
    </row>
    <row r="1206" customFormat="false" ht="14.25" hidden="false" customHeight="true" outlineLevel="0" collapsed="false">
      <c r="A1206" s="51" t="n">
        <v>13960</v>
      </c>
      <c r="B1206" s="52" t="n">
        <v>40865.64375</v>
      </c>
      <c r="C1206" s="1" t="n">
        <v>2</v>
      </c>
      <c r="D1206" s="1" t="n">
        <v>230.22</v>
      </c>
    </row>
    <row r="1207" customFormat="false" ht="14.25" hidden="false" customHeight="true" outlineLevel="0" collapsed="false">
      <c r="A1207" s="51" t="n">
        <v>13962</v>
      </c>
      <c r="B1207" s="52" t="n">
        <v>40865.3659722222</v>
      </c>
      <c r="C1207" s="1" t="n">
        <v>2</v>
      </c>
      <c r="D1207" s="1" t="n">
        <v>169.55</v>
      </c>
    </row>
    <row r="1208" customFormat="false" ht="14.25" hidden="false" customHeight="true" outlineLevel="0" collapsed="false">
      <c r="A1208" s="51" t="n">
        <v>13963</v>
      </c>
      <c r="B1208" s="52" t="n">
        <v>40578.6131944444</v>
      </c>
      <c r="C1208" s="1" t="n">
        <v>4</v>
      </c>
      <c r="D1208" s="1" t="n">
        <v>664.54</v>
      </c>
    </row>
    <row r="1209" customFormat="false" ht="14.25" hidden="false" customHeight="true" outlineLevel="0" collapsed="false">
      <c r="A1209" s="51" t="n">
        <v>13967</v>
      </c>
      <c r="B1209" s="52" t="n">
        <v>40741.5013888889</v>
      </c>
      <c r="C1209" s="1" t="n">
        <v>1</v>
      </c>
      <c r="D1209" s="1" t="n">
        <v>80.7</v>
      </c>
    </row>
    <row r="1210" customFormat="false" ht="14.25" hidden="false" customHeight="true" outlineLevel="0" collapsed="false">
      <c r="A1210" s="51" t="n">
        <v>13969</v>
      </c>
      <c r="B1210" s="52" t="n">
        <v>40879.6326388889</v>
      </c>
      <c r="C1210" s="1" t="n">
        <v>20</v>
      </c>
      <c r="D1210" s="1" t="n">
        <v>8986.69</v>
      </c>
    </row>
    <row r="1211" customFormat="false" ht="14.25" hidden="false" customHeight="true" outlineLevel="0" collapsed="false">
      <c r="A1211" s="51" t="n">
        <v>13971</v>
      </c>
      <c r="B1211" s="52" t="n">
        <v>40878.3520833333</v>
      </c>
      <c r="C1211" s="1" t="n">
        <v>11</v>
      </c>
      <c r="D1211" s="1" t="n">
        <v>2702.22</v>
      </c>
    </row>
    <row r="1212" customFormat="false" ht="14.25" hidden="false" customHeight="true" outlineLevel="0" collapsed="false">
      <c r="A1212" s="51" t="n">
        <v>13972</v>
      </c>
      <c r="B1212" s="52" t="n">
        <v>40816.4958333333</v>
      </c>
      <c r="C1212" s="1" t="n">
        <v>2</v>
      </c>
      <c r="D1212" s="1" t="n">
        <v>190.25</v>
      </c>
    </row>
    <row r="1213" customFormat="false" ht="14.25" hidden="false" customHeight="true" outlineLevel="0" collapsed="false">
      <c r="A1213" s="51" t="n">
        <v>13973</v>
      </c>
      <c r="B1213" s="52" t="n">
        <v>40599.6395833333</v>
      </c>
      <c r="C1213" s="1" t="n">
        <v>1</v>
      </c>
      <c r="D1213" s="1" t="n">
        <v>264.7</v>
      </c>
    </row>
    <row r="1214" customFormat="false" ht="14.25" hidden="false" customHeight="true" outlineLevel="0" collapsed="false">
      <c r="A1214" s="51" t="n">
        <v>13974</v>
      </c>
      <c r="B1214" s="52" t="n">
        <v>40837.6118055556</v>
      </c>
      <c r="C1214" s="1" t="n">
        <v>1</v>
      </c>
      <c r="D1214" s="1" t="n">
        <v>413.59</v>
      </c>
    </row>
    <row r="1215" customFormat="false" ht="14.25" hidden="false" customHeight="true" outlineLevel="0" collapsed="false">
      <c r="A1215" s="51" t="n">
        <v>13975</v>
      </c>
      <c r="B1215" s="52" t="n">
        <v>40855.5548611111</v>
      </c>
      <c r="C1215" s="1" t="n">
        <v>7</v>
      </c>
      <c r="D1215" s="1" t="n">
        <v>2503.23</v>
      </c>
    </row>
    <row r="1216" customFormat="false" ht="14.25" hidden="false" customHeight="true" outlineLevel="0" collapsed="false">
      <c r="A1216" s="51" t="n">
        <v>13976</v>
      </c>
      <c r="B1216" s="52" t="n">
        <v>40680.3840277778</v>
      </c>
      <c r="C1216" s="1" t="n">
        <v>1</v>
      </c>
      <c r="D1216" s="1" t="n">
        <v>357.98</v>
      </c>
    </row>
    <row r="1217" customFormat="false" ht="14.25" hidden="false" customHeight="true" outlineLevel="0" collapsed="false">
      <c r="A1217" s="51" t="n">
        <v>13978</v>
      </c>
      <c r="B1217" s="52" t="n">
        <v>40872.4833333333</v>
      </c>
      <c r="C1217" s="1" t="n">
        <v>2</v>
      </c>
      <c r="D1217" s="1" t="n">
        <v>196.79</v>
      </c>
    </row>
    <row r="1218" customFormat="false" ht="14.25" hidden="false" customHeight="true" outlineLevel="0" collapsed="false">
      <c r="A1218" s="51" t="n">
        <v>13979</v>
      </c>
      <c r="B1218" s="52" t="n">
        <v>40813.5638888889</v>
      </c>
      <c r="C1218" s="1" t="n">
        <v>1</v>
      </c>
      <c r="D1218" s="1" t="n">
        <v>869.87</v>
      </c>
    </row>
    <row r="1219" customFormat="false" ht="14.25" hidden="false" customHeight="true" outlineLevel="0" collapsed="false">
      <c r="A1219" s="51" t="n">
        <v>13980</v>
      </c>
      <c r="B1219" s="52" t="n">
        <v>40826.5652777778</v>
      </c>
      <c r="C1219" s="1" t="n">
        <v>1</v>
      </c>
      <c r="D1219" s="1" t="n">
        <v>200.14</v>
      </c>
    </row>
    <row r="1220" customFormat="false" ht="14.25" hidden="false" customHeight="true" outlineLevel="0" collapsed="false">
      <c r="A1220" s="51" t="n">
        <v>13982</v>
      </c>
      <c r="B1220" s="52" t="n">
        <v>40847.6833333333</v>
      </c>
      <c r="C1220" s="1" t="n">
        <v>5</v>
      </c>
      <c r="D1220" s="1" t="n">
        <v>1861.11</v>
      </c>
    </row>
    <row r="1221" customFormat="false" ht="14.25" hidden="false" customHeight="true" outlineLevel="0" collapsed="false">
      <c r="A1221" s="51" t="n">
        <v>13983</v>
      </c>
      <c r="B1221" s="52" t="n">
        <v>40857.4625</v>
      </c>
      <c r="C1221" s="1" t="n">
        <v>13</v>
      </c>
      <c r="D1221" s="1" t="n">
        <v>2590.46</v>
      </c>
    </row>
    <row r="1222" customFormat="false" ht="14.25" hidden="false" customHeight="true" outlineLevel="0" collapsed="false">
      <c r="A1222" s="51" t="n">
        <v>13984</v>
      </c>
      <c r="B1222" s="52" t="n">
        <v>40860.5263888889</v>
      </c>
      <c r="C1222" s="1" t="n">
        <v>6</v>
      </c>
      <c r="D1222" s="1" t="n">
        <v>488.03</v>
      </c>
    </row>
    <row r="1223" customFormat="false" ht="14.25" hidden="false" customHeight="true" outlineLevel="0" collapsed="false">
      <c r="A1223" s="51" t="n">
        <v>13985</v>
      </c>
      <c r="B1223" s="52" t="n">
        <v>40882.7125</v>
      </c>
      <c r="C1223" s="1" t="n">
        <v>16</v>
      </c>
      <c r="D1223" s="1" t="n">
        <v>7024.53000000001</v>
      </c>
    </row>
    <row r="1224" customFormat="false" ht="14.25" hidden="false" customHeight="true" outlineLevel="0" collapsed="false">
      <c r="A1224" s="51" t="n">
        <v>13986</v>
      </c>
      <c r="B1224" s="52" t="n">
        <v>40869.625</v>
      </c>
      <c r="C1224" s="1" t="n">
        <v>1</v>
      </c>
      <c r="D1224" s="1" t="n">
        <v>320.46</v>
      </c>
    </row>
    <row r="1225" customFormat="false" ht="14.25" hidden="false" customHeight="true" outlineLevel="0" collapsed="false">
      <c r="A1225" s="51" t="n">
        <v>13988</v>
      </c>
      <c r="B1225" s="52" t="n">
        <v>40867.4270833333</v>
      </c>
      <c r="C1225" s="1" t="n">
        <v>9</v>
      </c>
      <c r="D1225" s="1" t="n">
        <v>4098.8</v>
      </c>
    </row>
    <row r="1226" customFormat="false" ht="14.25" hidden="false" customHeight="true" outlineLevel="0" collapsed="false">
      <c r="A1226" s="51" t="n">
        <v>13989</v>
      </c>
      <c r="B1226" s="52" t="n">
        <v>40821.4076388889</v>
      </c>
      <c r="C1226" s="1" t="n">
        <v>2</v>
      </c>
      <c r="D1226" s="1" t="n">
        <v>1266.08</v>
      </c>
    </row>
    <row r="1227" customFormat="false" ht="14.25" hidden="false" customHeight="true" outlineLevel="0" collapsed="false">
      <c r="A1227" s="51" t="n">
        <v>13990</v>
      </c>
      <c r="B1227" s="52" t="n">
        <v>40673.6381944444</v>
      </c>
      <c r="C1227" s="1" t="n">
        <v>1</v>
      </c>
      <c r="D1227" s="1" t="n">
        <v>311.3</v>
      </c>
    </row>
    <row r="1228" customFormat="false" ht="14.25" hidden="false" customHeight="true" outlineLevel="0" collapsed="false">
      <c r="A1228" s="51" t="n">
        <v>13991</v>
      </c>
      <c r="B1228" s="52" t="n">
        <v>40874.6791666667</v>
      </c>
      <c r="C1228" s="1" t="n">
        <v>7</v>
      </c>
      <c r="D1228" s="1" t="n">
        <v>850.63</v>
      </c>
    </row>
    <row r="1229" customFormat="false" ht="14.25" hidden="false" customHeight="true" outlineLevel="0" collapsed="false">
      <c r="A1229" s="51" t="n">
        <v>13992</v>
      </c>
      <c r="B1229" s="52" t="n">
        <v>40856.6409722222</v>
      </c>
      <c r="C1229" s="1" t="n">
        <v>1</v>
      </c>
      <c r="D1229" s="1" t="n">
        <v>76.8</v>
      </c>
    </row>
    <row r="1230" customFormat="false" ht="14.25" hidden="false" customHeight="true" outlineLevel="0" collapsed="false">
      <c r="A1230" s="51" t="n">
        <v>13993</v>
      </c>
      <c r="B1230" s="52" t="n">
        <v>40854.5416666667</v>
      </c>
      <c r="C1230" s="1" t="n">
        <v>12</v>
      </c>
      <c r="D1230" s="1" t="n">
        <v>3409.66</v>
      </c>
    </row>
    <row r="1231" customFormat="false" ht="14.25" hidden="false" customHeight="true" outlineLevel="0" collapsed="false">
      <c r="A1231" s="51" t="n">
        <v>13994</v>
      </c>
      <c r="B1231" s="52" t="n">
        <v>40883.4618055556</v>
      </c>
      <c r="C1231" s="1" t="n">
        <v>6</v>
      </c>
      <c r="D1231" s="1" t="n">
        <v>2313.14</v>
      </c>
    </row>
    <row r="1232" customFormat="false" ht="14.25" hidden="false" customHeight="true" outlineLevel="0" collapsed="false">
      <c r="A1232" s="51" t="n">
        <v>13995</v>
      </c>
      <c r="B1232" s="52" t="n">
        <v>40871.5986111111</v>
      </c>
      <c r="C1232" s="1" t="n">
        <v>6</v>
      </c>
      <c r="D1232" s="1" t="n">
        <v>1383.49</v>
      </c>
    </row>
    <row r="1233" customFormat="false" ht="14.25" hidden="false" customHeight="true" outlineLevel="0" collapsed="false">
      <c r="A1233" s="51" t="n">
        <v>13999</v>
      </c>
      <c r="B1233" s="52" t="n">
        <v>40876.5694444445</v>
      </c>
      <c r="C1233" s="1" t="n">
        <v>15</v>
      </c>
      <c r="D1233" s="1" t="n">
        <v>3865.26</v>
      </c>
    </row>
    <row r="1234" customFormat="false" ht="14.25" hidden="false" customHeight="true" outlineLevel="0" collapsed="false">
      <c r="A1234" s="51" t="n">
        <v>14000</v>
      </c>
      <c r="B1234" s="52" t="n">
        <v>40680.5722222222</v>
      </c>
      <c r="C1234" s="1" t="n">
        <v>2</v>
      </c>
      <c r="D1234" s="1" t="n">
        <v>633.71</v>
      </c>
    </row>
    <row r="1235" customFormat="false" ht="14.25" hidden="false" customHeight="true" outlineLevel="0" collapsed="false">
      <c r="A1235" s="51" t="n">
        <v>14001</v>
      </c>
      <c r="B1235" s="52" t="n">
        <v>40841.4381944445</v>
      </c>
      <c r="C1235" s="1" t="n">
        <v>4</v>
      </c>
      <c r="D1235" s="1" t="n">
        <v>2030.33</v>
      </c>
    </row>
    <row r="1236" customFormat="false" ht="14.25" hidden="false" customHeight="true" outlineLevel="0" collapsed="false">
      <c r="A1236" s="51" t="n">
        <v>14002</v>
      </c>
      <c r="B1236" s="52" t="n">
        <v>40752.6631944445</v>
      </c>
      <c r="C1236" s="1" t="n">
        <v>2</v>
      </c>
      <c r="D1236" s="1" t="n">
        <v>529.73</v>
      </c>
    </row>
    <row r="1237" customFormat="false" ht="14.25" hidden="false" customHeight="true" outlineLevel="0" collapsed="false">
      <c r="A1237" s="51" t="n">
        <v>14004</v>
      </c>
      <c r="B1237" s="52" t="n">
        <v>40843.6111111111</v>
      </c>
      <c r="C1237" s="1" t="n">
        <v>7</v>
      </c>
      <c r="D1237" s="1" t="n">
        <v>4582.64</v>
      </c>
    </row>
    <row r="1238" customFormat="false" ht="14.25" hidden="false" customHeight="true" outlineLevel="0" collapsed="false">
      <c r="A1238" s="51" t="n">
        <v>14005</v>
      </c>
      <c r="B1238" s="52" t="n">
        <v>40877.5284722222</v>
      </c>
      <c r="C1238" s="1" t="n">
        <v>5</v>
      </c>
      <c r="D1238" s="1" t="n">
        <v>2874.72</v>
      </c>
    </row>
    <row r="1239" customFormat="false" ht="14.25" hidden="false" customHeight="true" outlineLevel="0" collapsed="false">
      <c r="A1239" s="51" t="n">
        <v>14006</v>
      </c>
      <c r="B1239" s="52" t="n">
        <v>40771.4020833333</v>
      </c>
      <c r="C1239" s="1" t="n">
        <v>3</v>
      </c>
      <c r="D1239" s="1" t="n">
        <v>962.19</v>
      </c>
    </row>
    <row r="1240" customFormat="false" ht="14.25" hidden="false" customHeight="true" outlineLevel="0" collapsed="false">
      <c r="A1240" s="51" t="n">
        <v>14009</v>
      </c>
      <c r="B1240" s="52" t="n">
        <v>40688.6576388889</v>
      </c>
      <c r="C1240" s="1" t="n">
        <v>3</v>
      </c>
      <c r="D1240" s="1" t="n">
        <v>685.93</v>
      </c>
    </row>
    <row r="1241" customFormat="false" ht="14.25" hidden="false" customHeight="true" outlineLevel="0" collapsed="false">
      <c r="A1241" s="51" t="n">
        <v>14012</v>
      </c>
      <c r="B1241" s="52" t="n">
        <v>40609.5180555556</v>
      </c>
      <c r="C1241" s="1" t="n">
        <v>1</v>
      </c>
      <c r="D1241" s="1" t="n">
        <v>328.8</v>
      </c>
    </row>
    <row r="1242" customFormat="false" ht="14.25" hidden="false" customHeight="true" outlineLevel="0" collapsed="false">
      <c r="A1242" s="51" t="n">
        <v>14013</v>
      </c>
      <c r="B1242" s="52" t="n">
        <v>40776.6256944445</v>
      </c>
      <c r="C1242" s="1" t="n">
        <v>3</v>
      </c>
      <c r="D1242" s="1" t="n">
        <v>473.02</v>
      </c>
    </row>
    <row r="1243" customFormat="false" ht="14.25" hidden="false" customHeight="true" outlineLevel="0" collapsed="false">
      <c r="A1243" s="51" t="n">
        <v>14014</v>
      </c>
      <c r="B1243" s="52" t="n">
        <v>40809.5541666667</v>
      </c>
      <c r="C1243" s="1" t="n">
        <v>1</v>
      </c>
      <c r="D1243" s="1" t="n">
        <v>505.18</v>
      </c>
    </row>
    <row r="1244" customFormat="false" ht="14.25" hidden="false" customHeight="true" outlineLevel="0" collapsed="false">
      <c r="A1244" s="51" t="n">
        <v>14015</v>
      </c>
      <c r="B1244" s="52" t="n">
        <v>40834.4180555556</v>
      </c>
      <c r="C1244" s="1" t="n">
        <v>1</v>
      </c>
      <c r="D1244" s="1" t="n">
        <v>917.34</v>
      </c>
    </row>
    <row r="1245" customFormat="false" ht="14.25" hidden="false" customHeight="true" outlineLevel="0" collapsed="false">
      <c r="A1245" s="51" t="n">
        <v>14016</v>
      </c>
      <c r="B1245" s="52" t="n">
        <v>40732.6020833333</v>
      </c>
      <c r="C1245" s="1" t="n">
        <v>5</v>
      </c>
      <c r="D1245" s="1" t="n">
        <v>4328.46</v>
      </c>
    </row>
    <row r="1246" customFormat="false" ht="14.25" hidden="false" customHeight="true" outlineLevel="0" collapsed="false">
      <c r="A1246" s="51" t="n">
        <v>14019</v>
      </c>
      <c r="B1246" s="52" t="n">
        <v>40840.4256944444</v>
      </c>
      <c r="C1246" s="1" t="n">
        <v>4</v>
      </c>
      <c r="D1246" s="1" t="n">
        <v>1398.96</v>
      </c>
    </row>
    <row r="1247" customFormat="false" ht="14.25" hidden="false" customHeight="true" outlineLevel="0" collapsed="false">
      <c r="A1247" s="51" t="n">
        <v>14020</v>
      </c>
      <c r="B1247" s="52" t="n">
        <v>40870.3902777778</v>
      </c>
      <c r="C1247" s="1" t="n">
        <v>2</v>
      </c>
      <c r="D1247" s="1" t="n">
        <v>642.8</v>
      </c>
    </row>
    <row r="1248" customFormat="false" ht="14.25" hidden="false" customHeight="true" outlineLevel="0" collapsed="false">
      <c r="A1248" s="51" t="n">
        <v>14021</v>
      </c>
      <c r="B1248" s="52" t="n">
        <v>40731.6569444445</v>
      </c>
      <c r="C1248" s="1" t="n">
        <v>3</v>
      </c>
      <c r="D1248" s="1" t="n">
        <v>631.9</v>
      </c>
    </row>
    <row r="1249" customFormat="false" ht="14.25" hidden="false" customHeight="true" outlineLevel="0" collapsed="false">
      <c r="A1249" s="51" t="n">
        <v>14022</v>
      </c>
      <c r="B1249" s="52" t="n">
        <v>40661.6104166667</v>
      </c>
      <c r="C1249" s="1" t="n">
        <v>1</v>
      </c>
      <c r="D1249" s="1" t="n">
        <v>440</v>
      </c>
    </row>
    <row r="1250" customFormat="false" ht="14.25" hidden="false" customHeight="true" outlineLevel="0" collapsed="false">
      <c r="A1250" s="51" t="n">
        <v>14023</v>
      </c>
      <c r="B1250" s="52" t="n">
        <v>40879.5819444444</v>
      </c>
      <c r="C1250" s="1" t="n">
        <v>2</v>
      </c>
      <c r="D1250" s="1" t="n">
        <v>584.07</v>
      </c>
    </row>
    <row r="1251" customFormat="false" ht="14.25" hidden="false" customHeight="true" outlineLevel="0" collapsed="false">
      <c r="A1251" s="51" t="n">
        <v>14024</v>
      </c>
      <c r="B1251" s="52" t="n">
        <v>40765.4791666667</v>
      </c>
      <c r="C1251" s="1" t="n">
        <v>2</v>
      </c>
      <c r="D1251" s="1" t="n">
        <v>327.7</v>
      </c>
    </row>
    <row r="1252" customFormat="false" ht="14.25" hidden="false" customHeight="true" outlineLevel="0" collapsed="false">
      <c r="A1252" s="51" t="n">
        <v>14027</v>
      </c>
      <c r="B1252" s="52" t="n">
        <v>40826.3756944445</v>
      </c>
      <c r="C1252" s="1" t="n">
        <v>1</v>
      </c>
      <c r="D1252" s="1" t="n">
        <v>104.82</v>
      </c>
    </row>
    <row r="1253" customFormat="false" ht="14.25" hidden="false" customHeight="true" outlineLevel="0" collapsed="false">
      <c r="A1253" s="51" t="n">
        <v>14029</v>
      </c>
      <c r="B1253" s="52" t="n">
        <v>40823.6152777778</v>
      </c>
      <c r="C1253" s="1" t="n">
        <v>2</v>
      </c>
      <c r="D1253" s="1" t="n">
        <v>467.66</v>
      </c>
    </row>
    <row r="1254" customFormat="false" ht="14.25" hidden="false" customHeight="true" outlineLevel="0" collapsed="false">
      <c r="A1254" s="51" t="n">
        <v>14030</v>
      </c>
      <c r="B1254" s="52" t="n">
        <v>40868.7</v>
      </c>
      <c r="C1254" s="1" t="n">
        <v>8</v>
      </c>
      <c r="D1254" s="1" t="n">
        <v>2360.09</v>
      </c>
    </row>
    <row r="1255" customFormat="false" ht="14.25" hidden="false" customHeight="true" outlineLevel="0" collapsed="false">
      <c r="A1255" s="51" t="n">
        <v>14031</v>
      </c>
      <c r="B1255" s="52" t="n">
        <v>40879.7173611111</v>
      </c>
      <c r="C1255" s="1" t="n">
        <v>23</v>
      </c>
      <c r="D1255" s="1" t="n">
        <v>14634.64</v>
      </c>
    </row>
    <row r="1256" customFormat="false" ht="14.25" hidden="false" customHeight="true" outlineLevel="0" collapsed="false">
      <c r="A1256" s="51" t="n">
        <v>14032</v>
      </c>
      <c r="B1256" s="52" t="n">
        <v>40884.6409722222</v>
      </c>
      <c r="C1256" s="1" t="n">
        <v>18</v>
      </c>
      <c r="D1256" s="1" t="n">
        <v>2929.84</v>
      </c>
    </row>
    <row r="1257" customFormat="false" ht="14.25" hidden="false" customHeight="true" outlineLevel="0" collapsed="false">
      <c r="A1257" s="51" t="n">
        <v>14034</v>
      </c>
      <c r="B1257" s="52" t="n">
        <v>40864.5847222222</v>
      </c>
      <c r="C1257" s="1" t="n">
        <v>4</v>
      </c>
      <c r="D1257" s="1" t="n">
        <v>512.02</v>
      </c>
    </row>
    <row r="1258" customFormat="false" ht="14.25" hidden="false" customHeight="true" outlineLevel="0" collapsed="false">
      <c r="A1258" s="51" t="n">
        <v>14035</v>
      </c>
      <c r="B1258" s="52" t="n">
        <v>40858.41875</v>
      </c>
      <c r="C1258" s="1" t="n">
        <v>5</v>
      </c>
      <c r="D1258" s="1" t="n">
        <v>1428.02</v>
      </c>
    </row>
    <row r="1259" customFormat="false" ht="14.25" hidden="false" customHeight="true" outlineLevel="0" collapsed="false">
      <c r="A1259" s="51" t="n">
        <v>14036</v>
      </c>
      <c r="B1259" s="52" t="n">
        <v>40602.3930555556</v>
      </c>
      <c r="C1259" s="1" t="n">
        <v>1</v>
      </c>
      <c r="D1259" s="1" t="n">
        <v>626.65</v>
      </c>
    </row>
    <row r="1260" customFormat="false" ht="14.25" hidden="false" customHeight="true" outlineLevel="0" collapsed="false">
      <c r="A1260" s="51" t="n">
        <v>14037</v>
      </c>
      <c r="B1260" s="52" t="n">
        <v>40710.58125</v>
      </c>
      <c r="C1260" s="1" t="n">
        <v>2</v>
      </c>
      <c r="D1260" s="1" t="n">
        <v>147.2</v>
      </c>
    </row>
    <row r="1261" customFormat="false" ht="14.25" hidden="false" customHeight="true" outlineLevel="0" collapsed="false">
      <c r="A1261" s="51" t="n">
        <v>14038</v>
      </c>
      <c r="B1261" s="52" t="n">
        <v>40808.5673611111</v>
      </c>
      <c r="C1261" s="1" t="n">
        <v>4</v>
      </c>
      <c r="D1261" s="1" t="n">
        <v>1554.48</v>
      </c>
    </row>
    <row r="1262" customFormat="false" ht="14.25" hidden="false" customHeight="true" outlineLevel="0" collapsed="false">
      <c r="A1262" s="51" t="n">
        <v>14039</v>
      </c>
      <c r="B1262" s="52" t="n">
        <v>40853.575</v>
      </c>
      <c r="C1262" s="1" t="n">
        <v>1</v>
      </c>
      <c r="D1262" s="1" t="n">
        <v>152.2</v>
      </c>
    </row>
    <row r="1263" customFormat="false" ht="14.25" hidden="false" customHeight="true" outlineLevel="0" collapsed="false">
      <c r="A1263" s="51" t="n">
        <v>14040</v>
      </c>
      <c r="B1263" s="52" t="n">
        <v>40846.5291666667</v>
      </c>
      <c r="C1263" s="1" t="n">
        <v>15</v>
      </c>
      <c r="D1263" s="1" t="n">
        <v>3542.19</v>
      </c>
    </row>
    <row r="1264" customFormat="false" ht="14.25" hidden="false" customHeight="true" outlineLevel="0" collapsed="false">
      <c r="A1264" s="51" t="n">
        <v>14041</v>
      </c>
      <c r="B1264" s="52" t="n">
        <v>40620.5590277778</v>
      </c>
      <c r="C1264" s="1" t="n">
        <v>1</v>
      </c>
      <c r="D1264" s="1" t="n">
        <v>141.41</v>
      </c>
    </row>
    <row r="1265" customFormat="false" ht="14.25" hidden="false" customHeight="true" outlineLevel="0" collapsed="false">
      <c r="A1265" s="51" t="n">
        <v>14044</v>
      </c>
      <c r="B1265" s="52" t="n">
        <v>40860.5034722222</v>
      </c>
      <c r="C1265" s="1" t="n">
        <v>4</v>
      </c>
      <c r="D1265" s="1" t="n">
        <v>652.82</v>
      </c>
    </row>
    <row r="1266" customFormat="false" ht="14.25" hidden="false" customHeight="true" outlineLevel="0" collapsed="false">
      <c r="A1266" s="51" t="n">
        <v>14045</v>
      </c>
      <c r="B1266" s="52" t="n">
        <v>40777.64375</v>
      </c>
      <c r="C1266" s="1" t="n">
        <v>4</v>
      </c>
      <c r="D1266" s="1" t="n">
        <v>1659.75</v>
      </c>
    </row>
    <row r="1267" customFormat="false" ht="14.25" hidden="false" customHeight="true" outlineLevel="0" collapsed="false">
      <c r="A1267" s="51" t="n">
        <v>14046</v>
      </c>
      <c r="B1267" s="52" t="n">
        <v>40602.6166666667</v>
      </c>
      <c r="C1267" s="1" t="n">
        <v>1</v>
      </c>
      <c r="D1267" s="1" t="n">
        <v>154.99</v>
      </c>
    </row>
    <row r="1268" customFormat="false" ht="14.25" hidden="false" customHeight="true" outlineLevel="0" collapsed="false">
      <c r="A1268" s="51" t="n">
        <v>14047</v>
      </c>
      <c r="B1268" s="52" t="n">
        <v>40878.4881944444</v>
      </c>
      <c r="C1268" s="1" t="n">
        <v>7</v>
      </c>
      <c r="D1268" s="1" t="n">
        <v>1290.01</v>
      </c>
    </row>
    <row r="1269" customFormat="false" ht="14.25" hidden="false" customHeight="true" outlineLevel="0" collapsed="false">
      <c r="A1269" s="51" t="n">
        <v>14048</v>
      </c>
      <c r="B1269" s="52" t="n">
        <v>40609.5756944444</v>
      </c>
      <c r="C1269" s="1" t="n">
        <v>2</v>
      </c>
      <c r="D1269" s="1" t="n">
        <v>375.13</v>
      </c>
    </row>
    <row r="1270" customFormat="false" ht="14.25" hidden="false" customHeight="true" outlineLevel="0" collapsed="false">
      <c r="A1270" s="51" t="n">
        <v>14049</v>
      </c>
      <c r="B1270" s="52" t="n">
        <v>40870.5138888889</v>
      </c>
      <c r="C1270" s="1" t="n">
        <v>6</v>
      </c>
      <c r="D1270" s="1" t="n">
        <v>5639.15</v>
      </c>
    </row>
    <row r="1271" customFormat="false" ht="14.25" hidden="false" customHeight="true" outlineLevel="0" collapsed="false">
      <c r="A1271" s="51" t="n">
        <v>14050</v>
      </c>
      <c r="B1271" s="52" t="n">
        <v>40855.4166666667</v>
      </c>
      <c r="C1271" s="1" t="n">
        <v>2</v>
      </c>
      <c r="D1271" s="1" t="n">
        <v>746.36</v>
      </c>
    </row>
    <row r="1272" customFormat="false" ht="14.25" hidden="false" customHeight="true" outlineLevel="0" collapsed="false">
      <c r="A1272" s="51" t="n">
        <v>14051</v>
      </c>
      <c r="B1272" s="52" t="n">
        <v>40886.4305555556</v>
      </c>
      <c r="C1272" s="1" t="n">
        <v>26</v>
      </c>
      <c r="D1272" s="1" t="n">
        <v>15477.34</v>
      </c>
    </row>
    <row r="1273" customFormat="false" ht="14.25" hidden="false" customHeight="true" outlineLevel="0" collapsed="false">
      <c r="A1273" s="51" t="n">
        <v>14052</v>
      </c>
      <c r="B1273" s="52" t="n">
        <v>40867.5208333333</v>
      </c>
      <c r="C1273" s="1" t="n">
        <v>1</v>
      </c>
      <c r="D1273" s="1" t="n">
        <v>225.36</v>
      </c>
    </row>
    <row r="1274" customFormat="false" ht="14.25" hidden="false" customHeight="true" outlineLevel="0" collapsed="false">
      <c r="A1274" s="51" t="n">
        <v>14053</v>
      </c>
      <c r="B1274" s="52" t="n">
        <v>40762.6020833333</v>
      </c>
      <c r="C1274" s="1" t="n">
        <v>2</v>
      </c>
      <c r="D1274" s="1" t="n">
        <v>260.25</v>
      </c>
    </row>
    <row r="1275" customFormat="false" ht="14.25" hidden="false" customHeight="true" outlineLevel="0" collapsed="false">
      <c r="A1275" s="51" t="n">
        <v>14054</v>
      </c>
      <c r="B1275" s="52" t="n">
        <v>40821.6590277778</v>
      </c>
      <c r="C1275" s="1" t="n">
        <v>1</v>
      </c>
      <c r="D1275" s="1" t="n">
        <v>92.46</v>
      </c>
    </row>
    <row r="1276" customFormat="false" ht="14.25" hidden="false" customHeight="true" outlineLevel="0" collapsed="false">
      <c r="A1276" s="51" t="n">
        <v>14055</v>
      </c>
      <c r="B1276" s="52" t="n">
        <v>40780.6277777778</v>
      </c>
      <c r="C1276" s="1" t="n">
        <v>1</v>
      </c>
      <c r="D1276" s="1" t="n">
        <v>725.64</v>
      </c>
    </row>
    <row r="1277" customFormat="false" ht="14.25" hidden="false" customHeight="true" outlineLevel="0" collapsed="false">
      <c r="A1277" s="51" t="n">
        <v>14056</v>
      </c>
      <c r="B1277" s="52" t="n">
        <v>40885.5666666667</v>
      </c>
      <c r="C1277" s="1" t="n">
        <v>29</v>
      </c>
      <c r="D1277" s="1" t="n">
        <v>8124.39999999999</v>
      </c>
    </row>
    <row r="1278" customFormat="false" ht="14.25" hidden="false" customHeight="true" outlineLevel="0" collapsed="false">
      <c r="A1278" s="51" t="n">
        <v>14057</v>
      </c>
      <c r="B1278" s="52" t="n">
        <v>40863.4388888889</v>
      </c>
      <c r="C1278" s="1" t="n">
        <v>18</v>
      </c>
      <c r="D1278" s="1" t="n">
        <v>6147.4</v>
      </c>
    </row>
    <row r="1279" customFormat="false" ht="14.25" hidden="false" customHeight="true" outlineLevel="0" collapsed="false">
      <c r="A1279" s="51" t="n">
        <v>14059</v>
      </c>
      <c r="B1279" s="52" t="n">
        <v>40620.4208333333</v>
      </c>
      <c r="C1279" s="1" t="n">
        <v>1</v>
      </c>
      <c r="D1279" s="1" t="n">
        <v>183.6</v>
      </c>
    </row>
    <row r="1280" customFormat="false" ht="14.25" hidden="false" customHeight="true" outlineLevel="0" collapsed="false">
      <c r="A1280" s="51" t="n">
        <v>14060</v>
      </c>
      <c r="B1280" s="52" t="n">
        <v>40882.5201388889</v>
      </c>
      <c r="C1280" s="1" t="n">
        <v>20</v>
      </c>
      <c r="D1280" s="1" t="n">
        <v>6135.38</v>
      </c>
    </row>
    <row r="1281" customFormat="false" ht="14.25" hidden="false" customHeight="true" outlineLevel="0" collapsed="false">
      <c r="A1281" s="51" t="n">
        <v>14062</v>
      </c>
      <c r="B1281" s="52" t="n">
        <v>40877.4194444444</v>
      </c>
      <c r="C1281" s="1" t="n">
        <v>12</v>
      </c>
      <c r="D1281" s="1" t="n">
        <v>10464.85</v>
      </c>
    </row>
    <row r="1282" customFormat="false" ht="14.25" hidden="false" customHeight="true" outlineLevel="0" collapsed="false">
      <c r="A1282" s="51" t="n">
        <v>14064</v>
      </c>
      <c r="B1282" s="52" t="n">
        <v>40857.5513888889</v>
      </c>
      <c r="C1282" s="1" t="n">
        <v>7</v>
      </c>
      <c r="D1282" s="1" t="n">
        <v>1188.32</v>
      </c>
    </row>
    <row r="1283" customFormat="false" ht="14.25" hidden="false" customHeight="true" outlineLevel="0" collapsed="false">
      <c r="A1283" s="51" t="n">
        <v>14066</v>
      </c>
      <c r="B1283" s="52" t="n">
        <v>40620.5145833333</v>
      </c>
      <c r="C1283" s="1" t="n">
        <v>1</v>
      </c>
      <c r="D1283" s="1" t="n">
        <v>152.55</v>
      </c>
    </row>
    <row r="1284" customFormat="false" ht="14.25" hidden="false" customHeight="true" outlineLevel="0" collapsed="false">
      <c r="A1284" s="51" t="n">
        <v>14067</v>
      </c>
      <c r="B1284" s="52" t="n">
        <v>40823.43125</v>
      </c>
      <c r="C1284" s="1" t="n">
        <v>2</v>
      </c>
      <c r="D1284" s="1" t="n">
        <v>374.7</v>
      </c>
    </row>
    <row r="1285" customFormat="false" ht="14.25" hidden="false" customHeight="true" outlineLevel="0" collapsed="false">
      <c r="A1285" s="51" t="n">
        <v>14068</v>
      </c>
      <c r="B1285" s="52" t="n">
        <v>40566.6680555556</v>
      </c>
      <c r="C1285" s="1" t="n">
        <v>1</v>
      </c>
      <c r="D1285" s="1" t="n">
        <v>265.85</v>
      </c>
    </row>
    <row r="1286" customFormat="false" ht="14.25" hidden="false" customHeight="true" outlineLevel="0" collapsed="false">
      <c r="A1286" s="51" t="n">
        <v>14071</v>
      </c>
      <c r="B1286" s="52" t="n">
        <v>40883.51875</v>
      </c>
      <c r="C1286" s="1" t="n">
        <v>9</v>
      </c>
      <c r="D1286" s="1" t="n">
        <v>1307.41</v>
      </c>
    </row>
    <row r="1287" customFormat="false" ht="14.25" hidden="false" customHeight="true" outlineLevel="0" collapsed="false">
      <c r="A1287" s="51" t="n">
        <v>14073</v>
      </c>
      <c r="B1287" s="52" t="n">
        <v>40865.6763888889</v>
      </c>
      <c r="C1287" s="1" t="n">
        <v>2</v>
      </c>
      <c r="D1287" s="1" t="n">
        <v>139.54</v>
      </c>
    </row>
    <row r="1288" customFormat="false" ht="14.25" hidden="false" customHeight="true" outlineLevel="0" collapsed="false">
      <c r="A1288" s="51" t="n">
        <v>14075</v>
      </c>
      <c r="B1288" s="52" t="n">
        <v>40882.3597222222</v>
      </c>
      <c r="C1288" s="1" t="n">
        <v>3</v>
      </c>
      <c r="D1288" s="1" t="n">
        <v>942.26</v>
      </c>
    </row>
    <row r="1289" customFormat="false" ht="14.25" hidden="false" customHeight="true" outlineLevel="0" collapsed="false">
      <c r="A1289" s="51" t="n">
        <v>14076</v>
      </c>
      <c r="B1289" s="52" t="n">
        <v>40757.6381944444</v>
      </c>
      <c r="C1289" s="1" t="n">
        <v>1</v>
      </c>
      <c r="D1289" s="1" t="n">
        <v>122.47</v>
      </c>
    </row>
    <row r="1290" customFormat="false" ht="14.25" hidden="false" customHeight="true" outlineLevel="0" collapsed="false">
      <c r="A1290" s="51" t="n">
        <v>14077</v>
      </c>
      <c r="B1290" s="52" t="n">
        <v>40846.5243055556</v>
      </c>
      <c r="C1290" s="1" t="n">
        <v>5</v>
      </c>
      <c r="D1290" s="1" t="n">
        <v>499.42</v>
      </c>
    </row>
    <row r="1291" customFormat="false" ht="14.25" hidden="false" customHeight="true" outlineLevel="0" collapsed="false">
      <c r="A1291" s="51" t="n">
        <v>14078</v>
      </c>
      <c r="B1291" s="52" t="n">
        <v>40785.5111111111</v>
      </c>
      <c r="C1291" s="1" t="n">
        <v>6</v>
      </c>
      <c r="D1291" s="1" t="n">
        <v>1049.37</v>
      </c>
    </row>
    <row r="1292" customFormat="false" ht="14.25" hidden="false" customHeight="true" outlineLevel="0" collapsed="false">
      <c r="A1292" s="51" t="n">
        <v>14079</v>
      </c>
      <c r="B1292" s="52" t="n">
        <v>40762.5069444445</v>
      </c>
      <c r="C1292" s="1" t="n">
        <v>1</v>
      </c>
      <c r="D1292" s="1" t="n">
        <v>375.1</v>
      </c>
    </row>
    <row r="1293" customFormat="false" ht="14.25" hidden="false" customHeight="true" outlineLevel="0" collapsed="false">
      <c r="A1293" s="51" t="n">
        <v>14080</v>
      </c>
      <c r="B1293" s="52" t="n">
        <v>40854.4645833333</v>
      </c>
      <c r="C1293" s="1" t="n">
        <v>1</v>
      </c>
      <c r="D1293" s="1" t="n">
        <v>45.6</v>
      </c>
    </row>
    <row r="1294" customFormat="false" ht="14.25" hidden="false" customHeight="true" outlineLevel="0" collapsed="false">
      <c r="A1294" s="51" t="n">
        <v>14081</v>
      </c>
      <c r="B1294" s="52" t="n">
        <v>40619.6</v>
      </c>
      <c r="C1294" s="1" t="n">
        <v>4</v>
      </c>
      <c r="D1294" s="1" t="n">
        <v>904.67</v>
      </c>
    </row>
    <row r="1295" customFormat="false" ht="14.25" hidden="false" customHeight="true" outlineLevel="0" collapsed="false">
      <c r="A1295" s="51" t="n">
        <v>14082</v>
      </c>
      <c r="B1295" s="52" t="n">
        <v>40522.4597222222</v>
      </c>
      <c r="C1295" s="1" t="n">
        <v>1</v>
      </c>
      <c r="D1295" s="1" t="n">
        <v>182.25</v>
      </c>
    </row>
    <row r="1296" customFormat="false" ht="14.25" hidden="false" customHeight="true" outlineLevel="0" collapsed="false">
      <c r="A1296" s="51" t="n">
        <v>14083</v>
      </c>
      <c r="B1296" s="52" t="n">
        <v>40882.5513888889</v>
      </c>
      <c r="C1296" s="1" t="n">
        <v>9</v>
      </c>
      <c r="D1296" s="1" t="n">
        <v>1018.43</v>
      </c>
    </row>
    <row r="1297" customFormat="false" ht="14.25" hidden="false" customHeight="true" outlineLevel="0" collapsed="false">
      <c r="A1297" s="51" t="n">
        <v>14085</v>
      </c>
      <c r="B1297" s="52" t="n">
        <v>40884.5736111111</v>
      </c>
      <c r="C1297" s="1" t="n">
        <v>19</v>
      </c>
      <c r="D1297" s="1" t="n">
        <v>4435.79</v>
      </c>
    </row>
    <row r="1298" customFormat="false" ht="14.25" hidden="false" customHeight="true" outlineLevel="0" collapsed="false">
      <c r="A1298" s="51" t="n">
        <v>14087</v>
      </c>
      <c r="B1298" s="52" t="n">
        <v>40884.5284722222</v>
      </c>
      <c r="C1298" s="1" t="n">
        <v>2</v>
      </c>
      <c r="D1298" s="1" t="n">
        <v>181.67</v>
      </c>
    </row>
    <row r="1299" customFormat="false" ht="14.25" hidden="false" customHeight="true" outlineLevel="0" collapsed="false">
      <c r="A1299" s="51" t="n">
        <v>14088</v>
      </c>
      <c r="B1299" s="52" t="n">
        <v>40876.6777777778</v>
      </c>
      <c r="C1299" s="1" t="n">
        <v>14</v>
      </c>
      <c r="D1299" s="1" t="n">
        <v>50415.49</v>
      </c>
    </row>
    <row r="1300" customFormat="false" ht="14.25" hidden="false" customHeight="true" outlineLevel="0" collapsed="false">
      <c r="A1300" s="51" t="n">
        <v>14089</v>
      </c>
      <c r="B1300" s="52" t="n">
        <v>40830.4430555556</v>
      </c>
      <c r="C1300" s="1" t="n">
        <v>1</v>
      </c>
      <c r="D1300" s="1" t="n">
        <v>161</v>
      </c>
    </row>
    <row r="1301" customFormat="false" ht="14.25" hidden="false" customHeight="true" outlineLevel="0" collapsed="false">
      <c r="A1301" s="51" t="n">
        <v>14090</v>
      </c>
      <c r="B1301" s="52" t="n">
        <v>40562.4520833333</v>
      </c>
      <c r="C1301" s="1" t="n">
        <v>1</v>
      </c>
      <c r="D1301" s="1" t="n">
        <v>76.32</v>
      </c>
    </row>
    <row r="1302" customFormat="false" ht="14.25" hidden="false" customHeight="true" outlineLevel="0" collapsed="false">
      <c r="A1302" s="51" t="n">
        <v>14092</v>
      </c>
      <c r="B1302" s="52" t="n">
        <v>40879.5090277778</v>
      </c>
      <c r="C1302" s="1" t="n">
        <v>17</v>
      </c>
      <c r="D1302" s="1" t="n">
        <v>4063.1</v>
      </c>
    </row>
    <row r="1303" customFormat="false" ht="14.25" hidden="false" customHeight="true" outlineLevel="0" collapsed="false">
      <c r="A1303" s="51" t="n">
        <v>14093</v>
      </c>
      <c r="B1303" s="52" t="n">
        <v>40874.6854166667</v>
      </c>
      <c r="C1303" s="1" t="n">
        <v>1</v>
      </c>
      <c r="D1303" s="1" t="n">
        <v>442.85</v>
      </c>
    </row>
    <row r="1304" customFormat="false" ht="14.25" hidden="false" customHeight="true" outlineLevel="0" collapsed="false">
      <c r="A1304" s="51" t="n">
        <v>14096</v>
      </c>
      <c r="B1304" s="52" t="n">
        <v>40882.7201388889</v>
      </c>
      <c r="C1304" s="1" t="n">
        <v>34</v>
      </c>
      <c r="D1304" s="1" t="n">
        <v>57120.9100000001</v>
      </c>
    </row>
    <row r="1305" customFormat="false" ht="14.25" hidden="false" customHeight="true" outlineLevel="0" collapsed="false">
      <c r="A1305" s="51" t="n">
        <v>14098</v>
      </c>
      <c r="B1305" s="52" t="n">
        <v>40850.4256944444</v>
      </c>
      <c r="C1305" s="1" t="n">
        <v>1</v>
      </c>
      <c r="D1305" s="1" t="n">
        <v>147.35</v>
      </c>
    </row>
    <row r="1306" customFormat="false" ht="14.25" hidden="false" customHeight="true" outlineLevel="0" collapsed="false">
      <c r="A1306" s="51" t="n">
        <v>14099</v>
      </c>
      <c r="B1306" s="52" t="n">
        <v>40870.5784722222</v>
      </c>
      <c r="C1306" s="1" t="n">
        <v>12</v>
      </c>
      <c r="D1306" s="1" t="n">
        <v>3092.97</v>
      </c>
    </row>
    <row r="1307" customFormat="false" ht="14.25" hidden="false" customHeight="true" outlineLevel="0" collapsed="false">
      <c r="A1307" s="51" t="n">
        <v>14100</v>
      </c>
      <c r="B1307" s="52" t="n">
        <v>40749.4590277778</v>
      </c>
      <c r="C1307" s="1" t="n">
        <v>1</v>
      </c>
      <c r="D1307" s="1" t="n">
        <v>194.9</v>
      </c>
    </row>
    <row r="1308" customFormat="false" ht="14.25" hidden="false" customHeight="true" outlineLevel="0" collapsed="false">
      <c r="A1308" s="51" t="n">
        <v>14101</v>
      </c>
      <c r="B1308" s="52" t="n">
        <v>40813.5194444444</v>
      </c>
      <c r="C1308" s="1" t="n">
        <v>6</v>
      </c>
      <c r="D1308" s="1" t="n">
        <v>5976.79</v>
      </c>
    </row>
    <row r="1309" customFormat="false" ht="14.25" hidden="false" customHeight="true" outlineLevel="0" collapsed="false">
      <c r="A1309" s="51" t="n">
        <v>14102</v>
      </c>
      <c r="B1309" s="52" t="n">
        <v>40881.6513888889</v>
      </c>
      <c r="C1309" s="1" t="n">
        <v>8</v>
      </c>
      <c r="D1309" s="1" t="n">
        <v>1314.73</v>
      </c>
    </row>
    <row r="1310" customFormat="false" ht="14.25" hidden="false" customHeight="true" outlineLevel="0" collapsed="false">
      <c r="A1310" s="51" t="n">
        <v>14104</v>
      </c>
      <c r="B1310" s="52" t="n">
        <v>40732.5347222222</v>
      </c>
      <c r="C1310" s="1" t="n">
        <v>2</v>
      </c>
      <c r="D1310" s="1" t="n">
        <v>216.21</v>
      </c>
    </row>
    <row r="1311" customFormat="false" ht="14.25" hidden="false" customHeight="true" outlineLevel="0" collapsed="false">
      <c r="A1311" s="51" t="n">
        <v>14105</v>
      </c>
      <c r="B1311" s="52" t="n">
        <v>40801.6756944444</v>
      </c>
      <c r="C1311" s="1" t="n">
        <v>2</v>
      </c>
      <c r="D1311" s="1" t="n">
        <v>1260.33</v>
      </c>
    </row>
    <row r="1312" customFormat="false" ht="14.25" hidden="false" customHeight="true" outlineLevel="0" collapsed="false">
      <c r="A1312" s="51" t="n">
        <v>14107</v>
      </c>
      <c r="B1312" s="52" t="n">
        <v>40835.5083333333</v>
      </c>
      <c r="C1312" s="1" t="n">
        <v>8</v>
      </c>
      <c r="D1312" s="1" t="n">
        <v>2688.48</v>
      </c>
    </row>
    <row r="1313" customFormat="false" ht="14.25" hidden="false" customHeight="true" outlineLevel="0" collapsed="false">
      <c r="A1313" s="51" t="n">
        <v>14108</v>
      </c>
      <c r="B1313" s="52" t="n">
        <v>40856.4451388889</v>
      </c>
      <c r="C1313" s="1" t="n">
        <v>3</v>
      </c>
      <c r="D1313" s="1" t="n">
        <v>594.16</v>
      </c>
    </row>
    <row r="1314" customFormat="false" ht="14.25" hidden="false" customHeight="true" outlineLevel="0" collapsed="false">
      <c r="A1314" s="51" t="n">
        <v>14109</v>
      </c>
      <c r="B1314" s="52" t="n">
        <v>40863.5770833333</v>
      </c>
      <c r="C1314" s="1" t="n">
        <v>2</v>
      </c>
      <c r="D1314" s="1" t="n">
        <v>80.2</v>
      </c>
    </row>
    <row r="1315" customFormat="false" ht="14.25" hidden="false" customHeight="true" outlineLevel="0" collapsed="false">
      <c r="A1315" s="51" t="n">
        <v>14110</v>
      </c>
      <c r="B1315" s="52" t="n">
        <v>40883.5180555556</v>
      </c>
      <c r="C1315" s="1" t="n">
        <v>13</v>
      </c>
      <c r="D1315" s="1" t="n">
        <v>5669.65</v>
      </c>
    </row>
    <row r="1316" customFormat="false" ht="14.25" hidden="false" customHeight="true" outlineLevel="0" collapsed="false">
      <c r="A1316" s="51" t="n">
        <v>14111</v>
      </c>
      <c r="B1316" s="52" t="n">
        <v>40872.5722222222</v>
      </c>
      <c r="C1316" s="1" t="n">
        <v>5</v>
      </c>
      <c r="D1316" s="1" t="n">
        <v>688.6</v>
      </c>
    </row>
    <row r="1317" customFormat="false" ht="14.25" hidden="false" customHeight="true" outlineLevel="0" collapsed="false">
      <c r="A1317" s="51" t="n">
        <v>14112</v>
      </c>
      <c r="B1317" s="52" t="n">
        <v>40864.5208333333</v>
      </c>
      <c r="C1317" s="1" t="n">
        <v>12</v>
      </c>
      <c r="D1317" s="1" t="n">
        <v>2774.17</v>
      </c>
    </row>
    <row r="1318" customFormat="false" ht="14.25" hidden="false" customHeight="true" outlineLevel="0" collapsed="false">
      <c r="A1318" s="51" t="n">
        <v>14113</v>
      </c>
      <c r="B1318" s="52" t="n">
        <v>40883.5125</v>
      </c>
      <c r="C1318" s="1" t="n">
        <v>8</v>
      </c>
      <c r="D1318" s="1" t="n">
        <v>1377.92</v>
      </c>
    </row>
    <row r="1319" customFormat="false" ht="14.25" hidden="false" customHeight="true" outlineLevel="0" collapsed="false">
      <c r="A1319" s="51" t="n">
        <v>14114</v>
      </c>
      <c r="B1319" s="52" t="n">
        <v>40613.4041666667</v>
      </c>
      <c r="C1319" s="1" t="n">
        <v>2</v>
      </c>
      <c r="D1319" s="1" t="n">
        <v>386.53</v>
      </c>
    </row>
    <row r="1320" customFormat="false" ht="14.25" hidden="false" customHeight="true" outlineLevel="0" collapsed="false">
      <c r="A1320" s="51" t="n">
        <v>14116</v>
      </c>
      <c r="B1320" s="52" t="n">
        <v>40867.4368055556</v>
      </c>
      <c r="C1320" s="1" t="n">
        <v>5</v>
      </c>
      <c r="D1320" s="1" t="n">
        <v>1382.74</v>
      </c>
    </row>
    <row r="1321" customFormat="false" ht="14.25" hidden="false" customHeight="true" outlineLevel="0" collapsed="false">
      <c r="A1321" s="51" t="n">
        <v>14117</v>
      </c>
      <c r="B1321" s="52" t="n">
        <v>40743.4090277778</v>
      </c>
      <c r="C1321" s="1" t="n">
        <v>1</v>
      </c>
      <c r="D1321" s="1" t="n">
        <v>90</v>
      </c>
    </row>
    <row r="1322" customFormat="false" ht="14.25" hidden="false" customHeight="true" outlineLevel="0" collapsed="false">
      <c r="A1322" s="51" t="n">
        <v>14119</v>
      </c>
      <c r="B1322" s="52" t="n">
        <v>40532.5819444444</v>
      </c>
      <c r="C1322" s="1" t="n">
        <v>1</v>
      </c>
      <c r="D1322" s="1" t="n">
        <v>-19.9</v>
      </c>
    </row>
    <row r="1323" customFormat="false" ht="14.25" hidden="false" customHeight="true" outlineLevel="0" collapsed="false">
      <c r="A1323" s="51" t="n">
        <v>14121</v>
      </c>
      <c r="B1323" s="52" t="n">
        <v>40883.5131944444</v>
      </c>
      <c r="C1323" s="1" t="n">
        <v>6</v>
      </c>
      <c r="D1323" s="1" t="n">
        <v>2740.3</v>
      </c>
    </row>
    <row r="1324" customFormat="false" ht="14.25" hidden="false" customHeight="true" outlineLevel="0" collapsed="false">
      <c r="A1324" s="51" t="n">
        <v>14124</v>
      </c>
      <c r="B1324" s="52" t="n">
        <v>40802.5638888889</v>
      </c>
      <c r="C1324" s="1" t="n">
        <v>1</v>
      </c>
      <c r="D1324" s="1" t="n">
        <v>419.58</v>
      </c>
    </row>
    <row r="1325" customFormat="false" ht="14.25" hidden="false" customHeight="true" outlineLevel="0" collapsed="false">
      <c r="A1325" s="51" t="n">
        <v>14125</v>
      </c>
      <c r="B1325" s="52" t="n">
        <v>40876.5326388889</v>
      </c>
      <c r="C1325" s="1" t="n">
        <v>3</v>
      </c>
      <c r="D1325" s="1" t="n">
        <v>2740.43</v>
      </c>
    </row>
    <row r="1326" customFormat="false" ht="14.25" hidden="false" customHeight="true" outlineLevel="0" collapsed="false">
      <c r="A1326" s="51" t="n">
        <v>14126</v>
      </c>
      <c r="B1326" s="52" t="n">
        <v>40879.4895833333</v>
      </c>
      <c r="C1326" s="1" t="n">
        <v>4</v>
      </c>
      <c r="D1326" s="1" t="n">
        <v>643.63</v>
      </c>
    </row>
    <row r="1327" customFormat="false" ht="14.25" hidden="false" customHeight="true" outlineLevel="0" collapsed="false">
      <c r="A1327" s="51" t="n">
        <v>14127</v>
      </c>
      <c r="B1327" s="52" t="n">
        <v>40764.4506944444</v>
      </c>
      <c r="C1327" s="1" t="n">
        <v>3</v>
      </c>
      <c r="D1327" s="1" t="n">
        <v>709.71</v>
      </c>
    </row>
    <row r="1328" customFormat="false" ht="14.25" hidden="false" customHeight="true" outlineLevel="0" collapsed="false">
      <c r="A1328" s="51" t="n">
        <v>14128</v>
      </c>
      <c r="B1328" s="52" t="n">
        <v>40826.5</v>
      </c>
      <c r="C1328" s="1" t="n">
        <v>2</v>
      </c>
      <c r="D1328" s="1" t="n">
        <v>637.5</v>
      </c>
    </row>
    <row r="1329" customFormat="false" ht="14.25" hidden="false" customHeight="true" outlineLevel="0" collapsed="false">
      <c r="A1329" s="51" t="n">
        <v>14129</v>
      </c>
      <c r="B1329" s="52" t="n">
        <v>40885.4597222222</v>
      </c>
      <c r="C1329" s="1" t="n">
        <v>5</v>
      </c>
      <c r="D1329" s="1" t="n">
        <v>1123.86</v>
      </c>
    </row>
    <row r="1330" customFormat="false" ht="14.25" hidden="false" customHeight="true" outlineLevel="0" collapsed="false">
      <c r="A1330" s="51" t="n">
        <v>14130</v>
      </c>
      <c r="B1330" s="52" t="n">
        <v>40567.6701388889</v>
      </c>
      <c r="C1330" s="1" t="n">
        <v>1</v>
      </c>
      <c r="D1330" s="1" t="n">
        <v>483.86</v>
      </c>
    </row>
    <row r="1331" customFormat="false" ht="14.25" hidden="false" customHeight="true" outlineLevel="0" collapsed="false">
      <c r="A1331" s="51" t="n">
        <v>14132</v>
      </c>
      <c r="B1331" s="52" t="n">
        <v>40884.5659722222</v>
      </c>
      <c r="C1331" s="1" t="n">
        <v>12</v>
      </c>
      <c r="D1331" s="1" t="n">
        <v>3580.13</v>
      </c>
    </row>
    <row r="1332" customFormat="false" ht="14.25" hidden="false" customHeight="true" outlineLevel="0" collapsed="false">
      <c r="A1332" s="51" t="n">
        <v>14133</v>
      </c>
      <c r="B1332" s="52" t="n">
        <v>40757.4819444444</v>
      </c>
      <c r="C1332" s="1" t="n">
        <v>5</v>
      </c>
      <c r="D1332" s="1" t="n">
        <v>590.34</v>
      </c>
    </row>
    <row r="1333" customFormat="false" ht="14.25" hidden="false" customHeight="true" outlineLevel="0" collapsed="false">
      <c r="A1333" s="51" t="n">
        <v>14135</v>
      </c>
      <c r="B1333" s="52" t="n">
        <v>40885.4847222222</v>
      </c>
      <c r="C1333" s="1" t="n">
        <v>15</v>
      </c>
      <c r="D1333" s="1" t="n">
        <v>4690.31</v>
      </c>
    </row>
    <row r="1334" customFormat="false" ht="14.25" hidden="false" customHeight="true" outlineLevel="0" collapsed="false">
      <c r="A1334" s="51" t="n">
        <v>14138</v>
      </c>
      <c r="B1334" s="52" t="n">
        <v>40885.5305555556</v>
      </c>
      <c r="C1334" s="1" t="n">
        <v>2</v>
      </c>
      <c r="D1334" s="1" t="n">
        <v>982.380000000001</v>
      </c>
    </row>
    <row r="1335" customFormat="false" ht="14.25" hidden="false" customHeight="true" outlineLevel="0" collapsed="false">
      <c r="A1335" s="51" t="n">
        <v>14139</v>
      </c>
      <c r="B1335" s="52" t="n">
        <v>40840.5652777778</v>
      </c>
      <c r="C1335" s="1" t="n">
        <v>1</v>
      </c>
      <c r="D1335" s="1" t="n">
        <v>415.82</v>
      </c>
    </row>
    <row r="1336" customFormat="false" ht="14.25" hidden="false" customHeight="true" outlineLevel="0" collapsed="false">
      <c r="A1336" s="51" t="n">
        <v>14140</v>
      </c>
      <c r="B1336" s="52" t="n">
        <v>40883.3784722222</v>
      </c>
      <c r="C1336" s="1" t="n">
        <v>3</v>
      </c>
      <c r="D1336" s="1" t="n">
        <v>920.05</v>
      </c>
    </row>
    <row r="1337" customFormat="false" ht="14.25" hidden="false" customHeight="true" outlineLevel="0" collapsed="false">
      <c r="A1337" s="51" t="n">
        <v>14141</v>
      </c>
      <c r="B1337" s="52" t="n">
        <v>40884.4118055556</v>
      </c>
      <c r="C1337" s="1" t="n">
        <v>6</v>
      </c>
      <c r="D1337" s="1" t="n">
        <v>879.03</v>
      </c>
    </row>
    <row r="1338" customFormat="false" ht="14.25" hidden="false" customHeight="true" outlineLevel="0" collapsed="false">
      <c r="A1338" s="51" t="n">
        <v>14142</v>
      </c>
      <c r="B1338" s="52" t="n">
        <v>40513.6895833333</v>
      </c>
      <c r="C1338" s="1" t="n">
        <v>1</v>
      </c>
      <c r="D1338" s="1" t="n">
        <v>311.81</v>
      </c>
    </row>
    <row r="1339" customFormat="false" ht="14.25" hidden="false" customHeight="true" outlineLevel="0" collapsed="false">
      <c r="A1339" s="51" t="n">
        <v>14143</v>
      </c>
      <c r="B1339" s="52" t="n">
        <v>40753.4083333333</v>
      </c>
      <c r="C1339" s="1" t="n">
        <v>1</v>
      </c>
      <c r="D1339" s="1" t="n">
        <v>115.8</v>
      </c>
    </row>
    <row r="1340" customFormat="false" ht="14.25" hidden="false" customHeight="true" outlineLevel="0" collapsed="false">
      <c r="A1340" s="51" t="n">
        <v>14145</v>
      </c>
      <c r="B1340" s="52" t="n">
        <v>40840.5069444445</v>
      </c>
      <c r="C1340" s="1" t="n">
        <v>5</v>
      </c>
      <c r="D1340" s="1" t="n">
        <v>3148.2</v>
      </c>
    </row>
    <row r="1341" customFormat="false" ht="14.25" hidden="false" customHeight="true" outlineLevel="0" collapsed="false">
      <c r="A1341" s="51" t="n">
        <v>14146</v>
      </c>
      <c r="B1341" s="52" t="n">
        <v>40878.4291666667</v>
      </c>
      <c r="C1341" s="1" t="n">
        <v>6</v>
      </c>
      <c r="D1341" s="1" t="n">
        <v>2949.57</v>
      </c>
    </row>
    <row r="1342" customFormat="false" ht="14.25" hidden="false" customHeight="true" outlineLevel="0" collapsed="false">
      <c r="A1342" s="51" t="n">
        <v>14147</v>
      </c>
      <c r="B1342" s="52" t="n">
        <v>40837.5666666667</v>
      </c>
      <c r="C1342" s="1" t="n">
        <v>3</v>
      </c>
      <c r="D1342" s="1" t="n">
        <v>468.4</v>
      </c>
    </row>
    <row r="1343" customFormat="false" ht="14.25" hidden="false" customHeight="true" outlineLevel="0" collapsed="false">
      <c r="A1343" s="51" t="n">
        <v>14148</v>
      </c>
      <c r="B1343" s="52" t="n">
        <v>40653.5013888889</v>
      </c>
      <c r="C1343" s="1" t="n">
        <v>1</v>
      </c>
      <c r="D1343" s="1" t="n">
        <v>157.2</v>
      </c>
    </row>
    <row r="1344" customFormat="false" ht="14.25" hidden="false" customHeight="true" outlineLevel="0" collapsed="false">
      <c r="A1344" s="51" t="n">
        <v>14149</v>
      </c>
      <c r="B1344" s="52" t="n">
        <v>40674.5236111111</v>
      </c>
      <c r="C1344" s="1" t="n">
        <v>3</v>
      </c>
      <c r="D1344" s="1" t="n">
        <v>259.43</v>
      </c>
    </row>
    <row r="1345" customFormat="false" ht="14.25" hidden="false" customHeight="true" outlineLevel="0" collapsed="false">
      <c r="A1345" s="51" t="n">
        <v>14150</v>
      </c>
      <c r="B1345" s="52" t="n">
        <v>40851.4201388889</v>
      </c>
      <c r="C1345" s="1" t="n">
        <v>2</v>
      </c>
      <c r="D1345" s="1" t="n">
        <v>658.64</v>
      </c>
    </row>
    <row r="1346" customFormat="false" ht="14.25" hidden="false" customHeight="true" outlineLevel="0" collapsed="false">
      <c r="A1346" s="51" t="n">
        <v>14152</v>
      </c>
      <c r="B1346" s="52" t="n">
        <v>40811.5375</v>
      </c>
      <c r="C1346" s="1" t="n">
        <v>3</v>
      </c>
      <c r="D1346" s="1" t="n">
        <v>611.09</v>
      </c>
    </row>
    <row r="1347" customFormat="false" ht="14.25" hidden="false" customHeight="true" outlineLevel="0" collapsed="false">
      <c r="A1347" s="51" t="n">
        <v>14154</v>
      </c>
      <c r="B1347" s="52" t="n">
        <v>40647.6847222222</v>
      </c>
      <c r="C1347" s="1" t="n">
        <v>2</v>
      </c>
      <c r="D1347" s="1" t="n">
        <v>1345.62</v>
      </c>
    </row>
    <row r="1348" customFormat="false" ht="14.25" hidden="false" customHeight="true" outlineLevel="0" collapsed="false">
      <c r="A1348" s="51" t="n">
        <v>14155</v>
      </c>
      <c r="B1348" s="52" t="n">
        <v>40620.5923611111</v>
      </c>
      <c r="C1348" s="1" t="n">
        <v>1</v>
      </c>
      <c r="D1348" s="1" t="n">
        <v>118.75</v>
      </c>
    </row>
    <row r="1349" customFormat="false" ht="14.25" hidden="false" customHeight="true" outlineLevel="0" collapsed="false">
      <c r="A1349" s="51" t="n">
        <v>14156</v>
      </c>
      <c r="B1349" s="52" t="n">
        <v>40877.4541666667</v>
      </c>
      <c r="C1349" s="1" t="n">
        <v>66</v>
      </c>
      <c r="D1349" s="1" t="n">
        <v>113384.14</v>
      </c>
    </row>
    <row r="1350" customFormat="false" ht="14.25" hidden="false" customHeight="true" outlineLevel="0" collapsed="false">
      <c r="A1350" s="51" t="n">
        <v>14157</v>
      </c>
      <c r="B1350" s="52" t="n">
        <v>40867.4805555556</v>
      </c>
      <c r="C1350" s="1" t="n">
        <v>3</v>
      </c>
      <c r="D1350" s="1" t="n">
        <v>400.43</v>
      </c>
    </row>
    <row r="1351" customFormat="false" ht="14.25" hidden="false" customHeight="true" outlineLevel="0" collapsed="false">
      <c r="A1351" s="51" t="n">
        <v>14158</v>
      </c>
      <c r="B1351" s="52" t="n">
        <v>40846.6305555556</v>
      </c>
      <c r="C1351" s="1" t="n">
        <v>1</v>
      </c>
      <c r="D1351" s="1" t="n">
        <v>507.66</v>
      </c>
    </row>
    <row r="1352" customFormat="false" ht="14.25" hidden="false" customHeight="true" outlineLevel="0" collapsed="false">
      <c r="A1352" s="51" t="n">
        <v>14159</v>
      </c>
      <c r="B1352" s="52" t="n">
        <v>40867.525</v>
      </c>
      <c r="C1352" s="1" t="n">
        <v>14</v>
      </c>
      <c r="D1352" s="1" t="n">
        <v>4678.3</v>
      </c>
    </row>
    <row r="1353" customFormat="false" ht="14.25" hidden="false" customHeight="true" outlineLevel="0" collapsed="false">
      <c r="A1353" s="51" t="n">
        <v>14161</v>
      </c>
      <c r="B1353" s="52" t="n">
        <v>40671.4868055556</v>
      </c>
      <c r="C1353" s="1" t="n">
        <v>3</v>
      </c>
      <c r="D1353" s="1" t="n">
        <v>1110.52</v>
      </c>
    </row>
    <row r="1354" customFormat="false" ht="14.25" hidden="false" customHeight="true" outlineLevel="0" collapsed="false">
      <c r="A1354" s="51" t="n">
        <v>14162</v>
      </c>
      <c r="B1354" s="52" t="n">
        <v>40713.4833333333</v>
      </c>
      <c r="C1354" s="1" t="n">
        <v>2</v>
      </c>
      <c r="D1354" s="1" t="n">
        <v>289.36</v>
      </c>
    </row>
    <row r="1355" customFormat="false" ht="14.25" hidden="false" customHeight="true" outlineLevel="0" collapsed="false">
      <c r="A1355" s="51" t="n">
        <v>14163</v>
      </c>
      <c r="B1355" s="52" t="n">
        <v>40799.6375</v>
      </c>
      <c r="C1355" s="1" t="n">
        <v>4</v>
      </c>
      <c r="D1355" s="1" t="n">
        <v>2445.91</v>
      </c>
    </row>
    <row r="1356" customFormat="false" ht="14.25" hidden="false" customHeight="true" outlineLevel="0" collapsed="false">
      <c r="A1356" s="51" t="n">
        <v>14164</v>
      </c>
      <c r="B1356" s="52" t="n">
        <v>40816.5166666667</v>
      </c>
      <c r="C1356" s="1" t="n">
        <v>2</v>
      </c>
      <c r="D1356" s="1" t="n">
        <v>1631.77</v>
      </c>
    </row>
    <row r="1357" customFormat="false" ht="14.25" hidden="false" customHeight="true" outlineLevel="0" collapsed="false">
      <c r="A1357" s="51" t="n">
        <v>14165</v>
      </c>
      <c r="B1357" s="52" t="n">
        <v>40611.5270833333</v>
      </c>
      <c r="C1357" s="1" t="n">
        <v>1</v>
      </c>
      <c r="D1357" s="1" t="n">
        <v>122.54</v>
      </c>
    </row>
    <row r="1358" customFormat="false" ht="14.25" hidden="false" customHeight="true" outlineLevel="0" collapsed="false">
      <c r="A1358" s="51" t="n">
        <v>14167</v>
      </c>
      <c r="B1358" s="52" t="n">
        <v>40847.6034722222</v>
      </c>
      <c r="C1358" s="1" t="n">
        <v>4</v>
      </c>
      <c r="D1358" s="1" t="n">
        <v>574.84</v>
      </c>
    </row>
    <row r="1359" customFormat="false" ht="14.25" hidden="false" customHeight="true" outlineLevel="0" collapsed="false">
      <c r="A1359" s="51" t="n">
        <v>14171</v>
      </c>
      <c r="B1359" s="52" t="n">
        <v>40788.6965277778</v>
      </c>
      <c r="C1359" s="1" t="n">
        <v>1</v>
      </c>
      <c r="D1359" s="1" t="n">
        <v>363.79</v>
      </c>
    </row>
    <row r="1360" customFormat="false" ht="14.25" hidden="false" customHeight="true" outlineLevel="0" collapsed="false">
      <c r="A1360" s="51" t="n">
        <v>14173</v>
      </c>
      <c r="B1360" s="52" t="n">
        <v>40876.4958333333</v>
      </c>
      <c r="C1360" s="1" t="n">
        <v>4</v>
      </c>
      <c r="D1360" s="1" t="n">
        <v>450.84</v>
      </c>
    </row>
    <row r="1361" customFormat="false" ht="14.25" hidden="false" customHeight="true" outlineLevel="0" collapsed="false">
      <c r="A1361" s="51" t="n">
        <v>14174</v>
      </c>
      <c r="B1361" s="52" t="n">
        <v>40853.5534722222</v>
      </c>
      <c r="C1361" s="1" t="n">
        <v>1</v>
      </c>
      <c r="D1361" s="1" t="n">
        <v>134.46</v>
      </c>
    </row>
    <row r="1362" customFormat="false" ht="14.25" hidden="false" customHeight="true" outlineLevel="0" collapsed="false">
      <c r="A1362" s="51" t="n">
        <v>14175</v>
      </c>
      <c r="B1362" s="52" t="n">
        <v>40835.5708333333</v>
      </c>
      <c r="C1362" s="1" t="n">
        <v>7</v>
      </c>
      <c r="D1362" s="1" t="n">
        <v>3108.06</v>
      </c>
    </row>
    <row r="1363" customFormat="false" ht="14.25" hidden="false" customHeight="true" outlineLevel="0" collapsed="false">
      <c r="A1363" s="51" t="n">
        <v>14176</v>
      </c>
      <c r="B1363" s="52" t="n">
        <v>40589.55</v>
      </c>
      <c r="C1363" s="1" t="n">
        <v>5</v>
      </c>
      <c r="D1363" s="1" t="n">
        <v>574</v>
      </c>
    </row>
    <row r="1364" customFormat="false" ht="14.25" hidden="false" customHeight="true" outlineLevel="0" collapsed="false">
      <c r="A1364" s="51" t="n">
        <v>14177</v>
      </c>
      <c r="B1364" s="52" t="n">
        <v>40802.4111111111</v>
      </c>
      <c r="C1364" s="1" t="n">
        <v>5</v>
      </c>
      <c r="D1364" s="1" t="n">
        <v>554.46</v>
      </c>
    </row>
    <row r="1365" customFormat="false" ht="14.25" hidden="false" customHeight="true" outlineLevel="0" collapsed="false">
      <c r="A1365" s="51" t="n">
        <v>14178</v>
      </c>
      <c r="B1365" s="52" t="n">
        <v>40878.5006944445</v>
      </c>
      <c r="C1365" s="1" t="n">
        <v>7</v>
      </c>
      <c r="D1365" s="1" t="n">
        <v>1620.93</v>
      </c>
    </row>
    <row r="1366" customFormat="false" ht="14.25" hidden="false" customHeight="true" outlineLevel="0" collapsed="false">
      <c r="A1366" s="51" t="n">
        <v>14179</v>
      </c>
      <c r="B1366" s="52" t="n">
        <v>40846.5048611111</v>
      </c>
      <c r="C1366" s="1" t="n">
        <v>2</v>
      </c>
      <c r="D1366" s="1" t="n">
        <v>719.78</v>
      </c>
    </row>
    <row r="1367" customFormat="false" ht="14.25" hidden="false" customHeight="true" outlineLevel="0" collapsed="false">
      <c r="A1367" s="51" t="n">
        <v>14180</v>
      </c>
      <c r="B1367" s="52" t="n">
        <v>40876.4555555556</v>
      </c>
      <c r="C1367" s="1" t="n">
        <v>31</v>
      </c>
      <c r="D1367" s="1" t="n">
        <v>4640.77</v>
      </c>
    </row>
    <row r="1368" customFormat="false" ht="14.25" hidden="false" customHeight="true" outlineLevel="0" collapsed="false">
      <c r="A1368" s="51" t="n">
        <v>14184</v>
      </c>
      <c r="B1368" s="52" t="n">
        <v>40820.5298611111</v>
      </c>
      <c r="C1368" s="1" t="n">
        <v>1</v>
      </c>
      <c r="D1368" s="1" t="n">
        <v>452.89</v>
      </c>
    </row>
    <row r="1369" customFormat="false" ht="14.25" hidden="false" customHeight="true" outlineLevel="0" collapsed="false">
      <c r="A1369" s="51" t="n">
        <v>14185</v>
      </c>
      <c r="B1369" s="52" t="n">
        <v>40555.5777777778</v>
      </c>
      <c r="C1369" s="1" t="n">
        <v>1</v>
      </c>
      <c r="D1369" s="1" t="n">
        <v>197.65</v>
      </c>
    </row>
    <row r="1370" customFormat="false" ht="14.25" hidden="false" customHeight="true" outlineLevel="0" collapsed="false">
      <c r="A1370" s="51" t="n">
        <v>14188</v>
      </c>
      <c r="B1370" s="52" t="n">
        <v>40878.4069444445</v>
      </c>
      <c r="C1370" s="1" t="n">
        <v>10</v>
      </c>
      <c r="D1370" s="1" t="n">
        <v>2018.91</v>
      </c>
    </row>
    <row r="1371" customFormat="false" ht="14.25" hidden="false" customHeight="true" outlineLevel="0" collapsed="false">
      <c r="A1371" s="51" t="n">
        <v>14189</v>
      </c>
      <c r="B1371" s="52" t="n">
        <v>40884.6631944445</v>
      </c>
      <c r="C1371" s="1" t="n">
        <v>24</v>
      </c>
      <c r="D1371" s="1" t="n">
        <v>4604.31</v>
      </c>
    </row>
    <row r="1372" customFormat="false" ht="14.25" hidden="false" customHeight="true" outlineLevel="0" collapsed="false">
      <c r="A1372" s="51" t="n">
        <v>14191</v>
      </c>
      <c r="B1372" s="52" t="n">
        <v>40885.3909722222</v>
      </c>
      <c r="C1372" s="1" t="n">
        <v>14</v>
      </c>
      <c r="D1372" s="1" t="n">
        <v>4660.01</v>
      </c>
    </row>
    <row r="1373" customFormat="false" ht="14.25" hidden="false" customHeight="true" outlineLevel="0" collapsed="false">
      <c r="A1373" s="51" t="n">
        <v>14193</v>
      </c>
      <c r="B1373" s="52" t="n">
        <v>40819.3986111111</v>
      </c>
      <c r="C1373" s="1" t="n">
        <v>2</v>
      </c>
      <c r="D1373" s="1" t="n">
        <v>853.39</v>
      </c>
    </row>
    <row r="1374" customFormat="false" ht="14.25" hidden="false" customHeight="true" outlineLevel="0" collapsed="false">
      <c r="A1374" s="51" t="n">
        <v>14194</v>
      </c>
      <c r="B1374" s="52" t="n">
        <v>40882.4430555556</v>
      </c>
      <c r="C1374" s="1" t="n">
        <v>32</v>
      </c>
      <c r="D1374" s="1" t="n">
        <v>11216.75</v>
      </c>
    </row>
    <row r="1375" customFormat="false" ht="14.25" hidden="false" customHeight="true" outlineLevel="0" collapsed="false">
      <c r="A1375" s="51" t="n">
        <v>14195</v>
      </c>
      <c r="B1375" s="52" t="n">
        <v>40685.4368055556</v>
      </c>
      <c r="C1375" s="1" t="n">
        <v>3</v>
      </c>
      <c r="D1375" s="1" t="n">
        <v>962.7</v>
      </c>
    </row>
    <row r="1376" customFormat="false" ht="14.25" hidden="false" customHeight="true" outlineLevel="0" collapsed="false">
      <c r="A1376" s="51" t="n">
        <v>14196</v>
      </c>
      <c r="B1376" s="52" t="n">
        <v>40780.4340277778</v>
      </c>
      <c r="C1376" s="1" t="n">
        <v>1</v>
      </c>
      <c r="D1376" s="1" t="n">
        <v>335.52</v>
      </c>
    </row>
    <row r="1377" customFormat="false" ht="14.25" hidden="false" customHeight="true" outlineLevel="0" collapsed="false">
      <c r="A1377" s="51" t="n">
        <v>14198</v>
      </c>
      <c r="B1377" s="52" t="n">
        <v>40882.6902777778</v>
      </c>
      <c r="C1377" s="1" t="n">
        <v>7</v>
      </c>
      <c r="D1377" s="1" t="n">
        <v>663.5</v>
      </c>
    </row>
    <row r="1378" customFormat="false" ht="14.25" hidden="false" customHeight="true" outlineLevel="0" collapsed="false">
      <c r="A1378" s="51" t="n">
        <v>14199</v>
      </c>
      <c r="B1378" s="52" t="n">
        <v>40668.5722222222</v>
      </c>
      <c r="C1378" s="1" t="n">
        <v>1</v>
      </c>
      <c r="D1378" s="1" t="n">
        <v>185.4</v>
      </c>
    </row>
    <row r="1379" customFormat="false" ht="14.25" hidden="false" customHeight="true" outlineLevel="0" collapsed="false">
      <c r="A1379" s="51" t="n">
        <v>14201</v>
      </c>
      <c r="B1379" s="52" t="n">
        <v>40826.5604166667</v>
      </c>
      <c r="C1379" s="1" t="n">
        <v>9</v>
      </c>
      <c r="D1379" s="1" t="n">
        <v>688.04</v>
      </c>
    </row>
    <row r="1380" customFormat="false" ht="14.25" hidden="false" customHeight="true" outlineLevel="0" collapsed="false">
      <c r="A1380" s="51" t="n">
        <v>14204</v>
      </c>
      <c r="B1380" s="52" t="n">
        <v>40884.5680555556</v>
      </c>
      <c r="C1380" s="1" t="n">
        <v>1</v>
      </c>
      <c r="D1380" s="1" t="n">
        <v>161.03</v>
      </c>
    </row>
    <row r="1381" customFormat="false" ht="14.25" hidden="false" customHeight="true" outlineLevel="0" collapsed="false">
      <c r="A1381" s="51" t="n">
        <v>14205</v>
      </c>
      <c r="B1381" s="52" t="n">
        <v>40876.4972222222</v>
      </c>
      <c r="C1381" s="1" t="n">
        <v>4</v>
      </c>
      <c r="D1381" s="1" t="n">
        <v>218.78</v>
      </c>
    </row>
    <row r="1382" customFormat="false" ht="14.25" hidden="false" customHeight="true" outlineLevel="0" collapsed="false">
      <c r="A1382" s="51" t="n">
        <v>14206</v>
      </c>
      <c r="B1382" s="52" t="n">
        <v>40647.6930555556</v>
      </c>
      <c r="C1382" s="1" t="n">
        <v>2</v>
      </c>
      <c r="D1382" s="1" t="n">
        <v>308.26</v>
      </c>
    </row>
    <row r="1383" customFormat="false" ht="14.25" hidden="false" customHeight="true" outlineLevel="0" collapsed="false">
      <c r="A1383" s="51" t="n">
        <v>14208</v>
      </c>
      <c r="B1383" s="52" t="n">
        <v>40792.5333333333</v>
      </c>
      <c r="C1383" s="1" t="n">
        <v>1</v>
      </c>
      <c r="D1383" s="1" t="n">
        <v>151.74</v>
      </c>
    </row>
    <row r="1384" customFormat="false" ht="14.25" hidden="false" customHeight="true" outlineLevel="0" collapsed="false">
      <c r="A1384" s="51" t="n">
        <v>14209</v>
      </c>
      <c r="B1384" s="52" t="n">
        <v>40876.4291666667</v>
      </c>
      <c r="C1384" s="1" t="n">
        <v>7</v>
      </c>
      <c r="D1384" s="1" t="n">
        <v>2067.13</v>
      </c>
    </row>
    <row r="1385" customFormat="false" ht="14.25" hidden="false" customHeight="true" outlineLevel="0" collapsed="false">
      <c r="A1385" s="51" t="n">
        <v>14210</v>
      </c>
      <c r="B1385" s="52" t="n">
        <v>40795.5381944445</v>
      </c>
      <c r="C1385" s="1" t="n">
        <v>7</v>
      </c>
      <c r="D1385" s="1" t="n">
        <v>1900.89</v>
      </c>
    </row>
    <row r="1386" customFormat="false" ht="14.25" hidden="false" customHeight="true" outlineLevel="0" collapsed="false">
      <c r="A1386" s="51" t="n">
        <v>14211</v>
      </c>
      <c r="B1386" s="52" t="n">
        <v>40833.5576388889</v>
      </c>
      <c r="C1386" s="1" t="n">
        <v>13</v>
      </c>
      <c r="D1386" s="1" t="n">
        <v>2208.3</v>
      </c>
    </row>
    <row r="1387" customFormat="false" ht="14.25" hidden="false" customHeight="true" outlineLevel="0" collapsed="false">
      <c r="A1387" s="51" t="n">
        <v>14212</v>
      </c>
      <c r="B1387" s="52" t="n">
        <v>40797.53125</v>
      </c>
      <c r="C1387" s="1" t="n">
        <v>1</v>
      </c>
      <c r="D1387" s="1" t="n">
        <v>1070.48</v>
      </c>
    </row>
    <row r="1388" customFormat="false" ht="14.25" hidden="false" customHeight="true" outlineLevel="0" collapsed="false">
      <c r="A1388" s="51" t="n">
        <v>14213</v>
      </c>
      <c r="B1388" s="52" t="n">
        <v>40515.4076388889</v>
      </c>
      <c r="C1388" s="1" t="n">
        <v>1</v>
      </c>
      <c r="D1388" s="1" t="n">
        <v>-1192.2</v>
      </c>
    </row>
    <row r="1389" customFormat="false" ht="14.25" hidden="false" customHeight="true" outlineLevel="0" collapsed="false">
      <c r="A1389" s="51" t="n">
        <v>14214</v>
      </c>
      <c r="B1389" s="52" t="n">
        <v>40856.4381944445</v>
      </c>
      <c r="C1389" s="1" t="n">
        <v>7</v>
      </c>
      <c r="D1389" s="1" t="n">
        <v>1000.23</v>
      </c>
    </row>
    <row r="1390" customFormat="false" ht="14.25" hidden="false" customHeight="true" outlineLevel="0" collapsed="false">
      <c r="A1390" s="51" t="n">
        <v>14215</v>
      </c>
      <c r="B1390" s="52" t="n">
        <v>40875.5131944444</v>
      </c>
      <c r="C1390" s="1" t="n">
        <v>7</v>
      </c>
      <c r="D1390" s="1" t="n">
        <v>1777.92</v>
      </c>
    </row>
    <row r="1391" customFormat="false" ht="14.25" hidden="false" customHeight="true" outlineLevel="0" collapsed="false">
      <c r="A1391" s="51" t="n">
        <v>14216</v>
      </c>
      <c r="B1391" s="52" t="n">
        <v>40883.6222222222</v>
      </c>
      <c r="C1391" s="1" t="n">
        <v>4</v>
      </c>
      <c r="D1391" s="1" t="n">
        <v>1839.3</v>
      </c>
    </row>
    <row r="1392" customFormat="false" ht="14.25" hidden="false" customHeight="true" outlineLevel="0" collapsed="false">
      <c r="A1392" s="51" t="n">
        <v>14217</v>
      </c>
      <c r="B1392" s="52" t="n">
        <v>40885.4951388889</v>
      </c>
      <c r="C1392" s="1" t="n">
        <v>24</v>
      </c>
      <c r="D1392" s="1" t="n">
        <v>1925.36</v>
      </c>
    </row>
    <row r="1393" customFormat="false" ht="14.25" hidden="false" customHeight="true" outlineLevel="0" collapsed="false">
      <c r="A1393" s="51" t="n">
        <v>14218</v>
      </c>
      <c r="B1393" s="52" t="n">
        <v>40844.4166666667</v>
      </c>
      <c r="C1393" s="1" t="n">
        <v>1</v>
      </c>
      <c r="D1393" s="1" t="n">
        <v>169.48</v>
      </c>
    </row>
    <row r="1394" customFormat="false" ht="14.25" hidden="false" customHeight="true" outlineLevel="0" collapsed="false">
      <c r="A1394" s="51" t="n">
        <v>14219</v>
      </c>
      <c r="B1394" s="52" t="n">
        <v>40882.6826388889</v>
      </c>
      <c r="C1394" s="1" t="n">
        <v>1</v>
      </c>
      <c r="D1394" s="1" t="n">
        <v>89.94</v>
      </c>
    </row>
    <row r="1395" customFormat="false" ht="14.25" hidden="false" customHeight="true" outlineLevel="0" collapsed="false">
      <c r="A1395" s="51" t="n">
        <v>14220</v>
      </c>
      <c r="B1395" s="52" t="n">
        <v>40639.5576388889</v>
      </c>
      <c r="C1395" s="1" t="n">
        <v>2</v>
      </c>
      <c r="D1395" s="1" t="n">
        <v>632.4</v>
      </c>
    </row>
    <row r="1396" customFormat="false" ht="14.25" hidden="false" customHeight="true" outlineLevel="0" collapsed="false">
      <c r="A1396" s="51" t="n">
        <v>14221</v>
      </c>
      <c r="B1396" s="52" t="n">
        <v>40844.5708333333</v>
      </c>
      <c r="C1396" s="1" t="n">
        <v>10</v>
      </c>
      <c r="D1396" s="1" t="n">
        <v>3427.85</v>
      </c>
    </row>
    <row r="1397" customFormat="false" ht="14.25" hidden="false" customHeight="true" outlineLevel="0" collapsed="false">
      <c r="A1397" s="51" t="n">
        <v>14222</v>
      </c>
      <c r="B1397" s="52" t="n">
        <v>40709.6958333333</v>
      </c>
      <c r="C1397" s="1" t="n">
        <v>1</v>
      </c>
      <c r="D1397" s="1" t="n">
        <v>683.17</v>
      </c>
    </row>
    <row r="1398" customFormat="false" ht="14.25" hidden="false" customHeight="true" outlineLevel="0" collapsed="false">
      <c r="A1398" s="51" t="n">
        <v>14223</v>
      </c>
      <c r="B1398" s="52" t="n">
        <v>40794.5680555556</v>
      </c>
      <c r="C1398" s="1" t="n">
        <v>4</v>
      </c>
      <c r="D1398" s="1" t="n">
        <v>975.23</v>
      </c>
    </row>
    <row r="1399" customFormat="false" ht="14.25" hidden="false" customHeight="true" outlineLevel="0" collapsed="false">
      <c r="A1399" s="51" t="n">
        <v>14224</v>
      </c>
      <c r="B1399" s="52" t="n">
        <v>40776.5583333333</v>
      </c>
      <c r="C1399" s="1" t="n">
        <v>4</v>
      </c>
      <c r="D1399" s="1" t="n">
        <v>1050.12</v>
      </c>
    </row>
    <row r="1400" customFormat="false" ht="14.25" hidden="false" customHeight="true" outlineLevel="0" collapsed="false">
      <c r="A1400" s="51" t="n">
        <v>14226</v>
      </c>
      <c r="B1400" s="52" t="n">
        <v>40858.4819444444</v>
      </c>
      <c r="C1400" s="1" t="n">
        <v>7</v>
      </c>
      <c r="D1400" s="1" t="n">
        <v>2201.64</v>
      </c>
    </row>
    <row r="1401" customFormat="false" ht="14.25" hidden="false" customHeight="true" outlineLevel="0" collapsed="false">
      <c r="A1401" s="51" t="n">
        <v>14227</v>
      </c>
      <c r="B1401" s="52" t="n">
        <v>40860.6583333333</v>
      </c>
      <c r="C1401" s="1" t="n">
        <v>15</v>
      </c>
      <c r="D1401" s="1" t="n">
        <v>3315.71</v>
      </c>
    </row>
    <row r="1402" customFormat="false" ht="14.25" hidden="false" customHeight="true" outlineLevel="0" collapsed="false">
      <c r="A1402" s="51" t="n">
        <v>14229</v>
      </c>
      <c r="B1402" s="52" t="n">
        <v>40835.4194444444</v>
      </c>
      <c r="C1402" s="1" t="n">
        <v>5</v>
      </c>
      <c r="D1402" s="1" t="n">
        <v>1450.6</v>
      </c>
    </row>
    <row r="1403" customFormat="false" ht="14.25" hidden="false" customHeight="true" outlineLevel="0" collapsed="false">
      <c r="A1403" s="51" t="n">
        <v>14231</v>
      </c>
      <c r="B1403" s="52" t="n">
        <v>40707.6493055556</v>
      </c>
      <c r="C1403" s="1" t="n">
        <v>5</v>
      </c>
      <c r="D1403" s="1" t="n">
        <v>822.06</v>
      </c>
    </row>
    <row r="1404" customFormat="false" ht="14.25" hidden="false" customHeight="true" outlineLevel="0" collapsed="false">
      <c r="A1404" s="51" t="n">
        <v>14232</v>
      </c>
      <c r="B1404" s="52" t="n">
        <v>40855.5118055556</v>
      </c>
      <c r="C1404" s="1" t="n">
        <v>8</v>
      </c>
      <c r="D1404" s="1" t="n">
        <v>2043.93</v>
      </c>
    </row>
    <row r="1405" customFormat="false" ht="14.25" hidden="false" customHeight="true" outlineLevel="0" collapsed="false">
      <c r="A1405" s="51" t="n">
        <v>14233</v>
      </c>
      <c r="B1405" s="52" t="n">
        <v>40843.3923611111</v>
      </c>
      <c r="C1405" s="1" t="n">
        <v>5</v>
      </c>
      <c r="D1405" s="1" t="n">
        <v>1447.51</v>
      </c>
    </row>
    <row r="1406" customFormat="false" ht="14.25" hidden="false" customHeight="true" outlineLevel="0" collapsed="false">
      <c r="A1406" s="51" t="n">
        <v>14234</v>
      </c>
      <c r="B1406" s="52" t="n">
        <v>40864.7451388889</v>
      </c>
      <c r="C1406" s="1" t="n">
        <v>4</v>
      </c>
      <c r="D1406" s="1" t="n">
        <v>775.46</v>
      </c>
    </row>
    <row r="1407" customFormat="false" ht="14.25" hidden="false" customHeight="true" outlineLevel="0" collapsed="false">
      <c r="A1407" s="51" t="n">
        <v>14235</v>
      </c>
      <c r="B1407" s="52" t="n">
        <v>40876.5597222222</v>
      </c>
      <c r="C1407" s="1" t="n">
        <v>6</v>
      </c>
      <c r="D1407" s="1" t="n">
        <v>3093.86</v>
      </c>
    </row>
    <row r="1408" customFormat="false" ht="14.25" hidden="false" customHeight="true" outlineLevel="0" collapsed="false">
      <c r="A1408" s="51" t="n">
        <v>14236</v>
      </c>
      <c r="B1408" s="52" t="n">
        <v>40806.3840277778</v>
      </c>
      <c r="C1408" s="1" t="n">
        <v>2</v>
      </c>
      <c r="D1408" s="1" t="n">
        <v>490.86</v>
      </c>
    </row>
    <row r="1409" customFormat="false" ht="14.25" hidden="false" customHeight="true" outlineLevel="0" collapsed="false">
      <c r="A1409" s="51" t="n">
        <v>14237</v>
      </c>
      <c r="B1409" s="52" t="n">
        <v>40513.5555555556</v>
      </c>
      <c r="C1409" s="1" t="n">
        <v>1</v>
      </c>
      <c r="D1409" s="1" t="n">
        <v>161</v>
      </c>
    </row>
    <row r="1410" customFormat="false" ht="14.25" hidden="false" customHeight="true" outlineLevel="0" collapsed="false">
      <c r="A1410" s="51" t="n">
        <v>14238</v>
      </c>
      <c r="B1410" s="52" t="n">
        <v>40560.6111111111</v>
      </c>
      <c r="C1410" s="1" t="n">
        <v>1</v>
      </c>
      <c r="D1410" s="1" t="n">
        <v>146.85</v>
      </c>
    </row>
    <row r="1411" customFormat="false" ht="14.25" hidden="false" customHeight="true" outlineLevel="0" collapsed="false">
      <c r="A1411" s="51" t="n">
        <v>14239</v>
      </c>
      <c r="B1411" s="52" t="n">
        <v>40843.6111111111</v>
      </c>
      <c r="C1411" s="1" t="n">
        <v>13</v>
      </c>
      <c r="D1411" s="1" t="n">
        <v>2323.5</v>
      </c>
    </row>
    <row r="1412" customFormat="false" ht="14.25" hidden="false" customHeight="true" outlineLevel="0" collapsed="false">
      <c r="A1412" s="51" t="n">
        <v>14240</v>
      </c>
      <c r="B1412" s="52" t="n">
        <v>40856.5729166667</v>
      </c>
      <c r="C1412" s="1" t="n">
        <v>2</v>
      </c>
      <c r="D1412" s="1" t="n">
        <v>890.340000000001</v>
      </c>
    </row>
    <row r="1413" customFormat="false" ht="14.25" hidden="false" customHeight="true" outlineLevel="0" collapsed="false">
      <c r="A1413" s="51" t="n">
        <v>14241</v>
      </c>
      <c r="B1413" s="52" t="n">
        <v>40703.4902777778</v>
      </c>
      <c r="C1413" s="1" t="n">
        <v>1</v>
      </c>
      <c r="D1413" s="1" t="n">
        <v>213.7</v>
      </c>
    </row>
    <row r="1414" customFormat="false" ht="14.25" hidden="false" customHeight="true" outlineLevel="0" collapsed="false">
      <c r="A1414" s="51" t="n">
        <v>14242</v>
      </c>
      <c r="B1414" s="52" t="n">
        <v>40652.4902777778</v>
      </c>
      <c r="C1414" s="1" t="n">
        <v>2</v>
      </c>
      <c r="D1414" s="1" t="n">
        <v>280.55</v>
      </c>
    </row>
    <row r="1415" customFormat="false" ht="14.25" hidden="false" customHeight="true" outlineLevel="0" collapsed="false">
      <c r="A1415" s="51" t="n">
        <v>14243</v>
      </c>
      <c r="B1415" s="52" t="n">
        <v>40878.4666666667</v>
      </c>
      <c r="C1415" s="1" t="n">
        <v>14</v>
      </c>
      <c r="D1415" s="1" t="n">
        <v>2535.88</v>
      </c>
    </row>
    <row r="1416" customFormat="false" ht="14.25" hidden="false" customHeight="true" outlineLevel="0" collapsed="false">
      <c r="A1416" s="51" t="n">
        <v>14245</v>
      </c>
      <c r="B1416" s="52" t="n">
        <v>40710.60625</v>
      </c>
      <c r="C1416" s="1" t="n">
        <v>5</v>
      </c>
      <c r="D1416" s="1" t="n">
        <v>1677.48</v>
      </c>
    </row>
    <row r="1417" customFormat="false" ht="14.25" hidden="false" customHeight="true" outlineLevel="0" collapsed="false">
      <c r="A1417" s="51" t="n">
        <v>14246</v>
      </c>
      <c r="B1417" s="52" t="n">
        <v>40776.4930555556</v>
      </c>
      <c r="C1417" s="1" t="n">
        <v>3</v>
      </c>
      <c r="D1417" s="1" t="n">
        <v>1474.06</v>
      </c>
    </row>
    <row r="1418" customFormat="false" ht="14.25" hidden="false" customHeight="true" outlineLevel="0" collapsed="false">
      <c r="A1418" s="51" t="n">
        <v>14247</v>
      </c>
      <c r="B1418" s="52" t="n">
        <v>40608.6395833333</v>
      </c>
      <c r="C1418" s="1" t="n">
        <v>1</v>
      </c>
      <c r="D1418" s="1" t="n">
        <v>136.77</v>
      </c>
    </row>
    <row r="1419" customFormat="false" ht="14.25" hidden="false" customHeight="true" outlineLevel="0" collapsed="false">
      <c r="A1419" s="51" t="n">
        <v>14248</v>
      </c>
      <c r="B1419" s="52" t="n">
        <v>40568.6145833333</v>
      </c>
      <c r="C1419" s="1" t="n">
        <v>1</v>
      </c>
      <c r="D1419" s="1" t="n">
        <v>302.58</v>
      </c>
    </row>
    <row r="1420" customFormat="false" ht="14.25" hidden="false" customHeight="true" outlineLevel="0" collapsed="false">
      <c r="A1420" s="51" t="n">
        <v>14250</v>
      </c>
      <c r="B1420" s="52" t="n">
        <v>40879.6041666667</v>
      </c>
      <c r="C1420" s="1" t="n">
        <v>3</v>
      </c>
      <c r="D1420" s="1" t="n">
        <v>1904.05</v>
      </c>
    </row>
    <row r="1421" customFormat="false" ht="14.25" hidden="false" customHeight="true" outlineLevel="0" collapsed="false">
      <c r="A1421" s="51" t="n">
        <v>14251</v>
      </c>
      <c r="B1421" s="52" t="n">
        <v>40885.3555555556</v>
      </c>
      <c r="C1421" s="1" t="n">
        <v>5</v>
      </c>
      <c r="D1421" s="1" t="n">
        <v>2879.7</v>
      </c>
    </row>
    <row r="1422" customFormat="false" ht="14.25" hidden="false" customHeight="true" outlineLevel="0" collapsed="false">
      <c r="A1422" s="51" t="n">
        <v>14256</v>
      </c>
      <c r="B1422" s="52" t="n">
        <v>40632.69375</v>
      </c>
      <c r="C1422" s="1" t="n">
        <v>3</v>
      </c>
      <c r="D1422" s="1" t="n">
        <v>935.06</v>
      </c>
    </row>
    <row r="1423" customFormat="false" ht="14.25" hidden="false" customHeight="true" outlineLevel="0" collapsed="false">
      <c r="A1423" s="51" t="n">
        <v>14257</v>
      </c>
      <c r="B1423" s="52" t="n">
        <v>40835.5680555556</v>
      </c>
      <c r="C1423" s="1" t="n">
        <v>6</v>
      </c>
      <c r="D1423" s="1" t="n">
        <v>3087.27</v>
      </c>
    </row>
    <row r="1424" customFormat="false" ht="14.25" hidden="false" customHeight="true" outlineLevel="0" collapsed="false">
      <c r="A1424" s="51" t="n">
        <v>14258</v>
      </c>
      <c r="B1424" s="52" t="n">
        <v>40877.64375</v>
      </c>
      <c r="C1424" s="1" t="n">
        <v>10</v>
      </c>
      <c r="D1424" s="1" t="n">
        <v>12650.08</v>
      </c>
    </row>
    <row r="1425" customFormat="false" ht="14.25" hidden="false" customHeight="true" outlineLevel="0" collapsed="false">
      <c r="A1425" s="51" t="n">
        <v>14259</v>
      </c>
      <c r="B1425" s="52" t="n">
        <v>40745.4472222222</v>
      </c>
      <c r="C1425" s="1" t="n">
        <v>1</v>
      </c>
      <c r="D1425" s="1" t="n">
        <v>120</v>
      </c>
    </row>
    <row r="1426" customFormat="false" ht="14.25" hidden="false" customHeight="true" outlineLevel="0" collapsed="false">
      <c r="A1426" s="51" t="n">
        <v>14261</v>
      </c>
      <c r="B1426" s="52" t="n">
        <v>40836.4194444444</v>
      </c>
      <c r="C1426" s="1" t="n">
        <v>2</v>
      </c>
      <c r="D1426" s="1" t="n">
        <v>1163.45</v>
      </c>
    </row>
    <row r="1427" customFormat="false" ht="14.25" hidden="false" customHeight="true" outlineLevel="0" collapsed="false">
      <c r="A1427" s="51" t="n">
        <v>14262</v>
      </c>
      <c r="B1427" s="52" t="n">
        <v>40878.5951388889</v>
      </c>
      <c r="C1427" s="1" t="n">
        <v>8</v>
      </c>
      <c r="D1427" s="1" t="n">
        <v>2618.23</v>
      </c>
    </row>
    <row r="1428" customFormat="false" ht="14.25" hidden="false" customHeight="true" outlineLevel="0" collapsed="false">
      <c r="A1428" s="51" t="n">
        <v>14264</v>
      </c>
      <c r="B1428" s="52" t="n">
        <v>40732.4305555556</v>
      </c>
      <c r="C1428" s="1" t="n">
        <v>3</v>
      </c>
      <c r="D1428" s="1" t="n">
        <v>319.47</v>
      </c>
    </row>
    <row r="1429" customFormat="false" ht="14.25" hidden="false" customHeight="true" outlineLevel="0" collapsed="false">
      <c r="A1429" s="51" t="n">
        <v>14265</v>
      </c>
      <c r="B1429" s="52" t="n">
        <v>40777.5638888889</v>
      </c>
      <c r="C1429" s="1" t="n">
        <v>2</v>
      </c>
      <c r="D1429" s="1" t="n">
        <v>530.18</v>
      </c>
    </row>
    <row r="1430" customFormat="false" ht="14.25" hidden="false" customHeight="true" outlineLevel="0" collapsed="false">
      <c r="A1430" s="51" t="n">
        <v>14267</v>
      </c>
      <c r="B1430" s="52" t="n">
        <v>40736.4659722222</v>
      </c>
      <c r="C1430" s="1" t="n">
        <v>7</v>
      </c>
      <c r="D1430" s="1" t="n">
        <v>1279.09</v>
      </c>
    </row>
    <row r="1431" customFormat="false" ht="14.25" hidden="false" customHeight="true" outlineLevel="0" collapsed="false">
      <c r="A1431" s="51" t="n">
        <v>14270</v>
      </c>
      <c r="B1431" s="52" t="n">
        <v>40555.3979166667</v>
      </c>
      <c r="C1431" s="1" t="n">
        <v>1</v>
      </c>
      <c r="D1431" s="1" t="n">
        <v>492.65</v>
      </c>
    </row>
    <row r="1432" customFormat="false" ht="14.25" hidden="false" customHeight="true" outlineLevel="0" collapsed="false">
      <c r="A1432" s="51" t="n">
        <v>14271</v>
      </c>
      <c r="B1432" s="52" t="n">
        <v>40661.5326388889</v>
      </c>
      <c r="C1432" s="1" t="n">
        <v>1</v>
      </c>
      <c r="D1432" s="1" t="n">
        <v>112.32</v>
      </c>
    </row>
    <row r="1433" customFormat="false" ht="14.25" hidden="false" customHeight="true" outlineLevel="0" collapsed="false">
      <c r="A1433" s="51" t="n">
        <v>14272</v>
      </c>
      <c r="B1433" s="52" t="n">
        <v>40813.4222222222</v>
      </c>
      <c r="C1433" s="1" t="n">
        <v>2</v>
      </c>
      <c r="D1433" s="1" t="n">
        <v>437.96</v>
      </c>
    </row>
    <row r="1434" customFormat="false" ht="14.25" hidden="false" customHeight="true" outlineLevel="0" collapsed="false">
      <c r="A1434" s="51" t="n">
        <v>14273</v>
      </c>
      <c r="B1434" s="52" t="n">
        <v>40835.5555555556</v>
      </c>
      <c r="C1434" s="1" t="n">
        <v>4</v>
      </c>
      <c r="D1434" s="1" t="n">
        <v>559.97</v>
      </c>
    </row>
    <row r="1435" customFormat="false" ht="14.25" hidden="false" customHeight="true" outlineLevel="0" collapsed="false">
      <c r="A1435" s="51" t="n">
        <v>14276</v>
      </c>
      <c r="B1435" s="52" t="n">
        <v>40798.7423611111</v>
      </c>
      <c r="C1435" s="1" t="n">
        <v>5</v>
      </c>
      <c r="D1435" s="1" t="n">
        <v>1019.39</v>
      </c>
    </row>
    <row r="1436" customFormat="false" ht="14.25" hidden="false" customHeight="true" outlineLevel="0" collapsed="false">
      <c r="A1436" s="51" t="n">
        <v>14277</v>
      </c>
      <c r="B1436" s="52" t="n">
        <v>40871.6256944445</v>
      </c>
      <c r="C1436" s="1" t="n">
        <v>4</v>
      </c>
      <c r="D1436" s="1" t="n">
        <v>3957</v>
      </c>
    </row>
    <row r="1437" customFormat="false" ht="14.25" hidden="false" customHeight="true" outlineLevel="0" collapsed="false">
      <c r="A1437" s="51" t="n">
        <v>14280</v>
      </c>
      <c r="B1437" s="52" t="n">
        <v>40690.4423611111</v>
      </c>
      <c r="C1437" s="1" t="n">
        <v>1</v>
      </c>
      <c r="D1437" s="1" t="n">
        <v>134.04</v>
      </c>
    </row>
    <row r="1438" customFormat="false" ht="14.25" hidden="false" customHeight="true" outlineLevel="0" collapsed="false">
      <c r="A1438" s="51" t="n">
        <v>14282</v>
      </c>
      <c r="B1438" s="52" t="n">
        <v>40883.7111111111</v>
      </c>
      <c r="C1438" s="1" t="n">
        <v>15</v>
      </c>
      <c r="D1438" s="1" t="n">
        <v>3729.34</v>
      </c>
    </row>
    <row r="1439" customFormat="false" ht="14.25" hidden="false" customHeight="true" outlineLevel="0" collapsed="false">
      <c r="A1439" s="51" t="n">
        <v>14284</v>
      </c>
      <c r="B1439" s="52" t="n">
        <v>40856.3409722222</v>
      </c>
      <c r="C1439" s="1" t="n">
        <v>3</v>
      </c>
      <c r="D1439" s="1" t="n">
        <v>578.45</v>
      </c>
    </row>
    <row r="1440" customFormat="false" ht="14.25" hidden="false" customHeight="true" outlineLevel="0" collapsed="false">
      <c r="A1440" s="51" t="n">
        <v>14285</v>
      </c>
      <c r="B1440" s="52" t="n">
        <v>40865.6180555556</v>
      </c>
      <c r="C1440" s="1" t="n">
        <v>4</v>
      </c>
      <c r="D1440" s="1" t="n">
        <v>1910.01</v>
      </c>
    </row>
    <row r="1441" customFormat="false" ht="14.25" hidden="false" customHeight="true" outlineLevel="0" collapsed="false">
      <c r="A1441" s="51" t="n">
        <v>14286</v>
      </c>
      <c r="B1441" s="52" t="n">
        <v>40863.4402777778</v>
      </c>
      <c r="C1441" s="1" t="n">
        <v>5</v>
      </c>
      <c r="D1441" s="1" t="n">
        <v>4595.81</v>
      </c>
    </row>
    <row r="1442" customFormat="false" ht="14.25" hidden="false" customHeight="true" outlineLevel="0" collapsed="false">
      <c r="A1442" s="51" t="n">
        <v>14287</v>
      </c>
      <c r="B1442" s="52" t="n">
        <v>40878.5590277778</v>
      </c>
      <c r="C1442" s="1" t="n">
        <v>4</v>
      </c>
      <c r="D1442" s="1" t="n">
        <v>151.23</v>
      </c>
    </row>
    <row r="1443" customFormat="false" ht="14.25" hidden="false" customHeight="true" outlineLevel="0" collapsed="false">
      <c r="A1443" s="51" t="n">
        <v>14288</v>
      </c>
      <c r="B1443" s="52" t="n">
        <v>40674.6368055556</v>
      </c>
      <c r="C1443" s="1" t="n">
        <v>2</v>
      </c>
      <c r="D1443" s="1" t="n">
        <v>413.85</v>
      </c>
    </row>
    <row r="1444" customFormat="false" ht="14.25" hidden="false" customHeight="true" outlineLevel="0" collapsed="false">
      <c r="A1444" s="51" t="n">
        <v>14289</v>
      </c>
      <c r="B1444" s="52" t="n">
        <v>40878.4888888889</v>
      </c>
      <c r="C1444" s="1" t="n">
        <v>6</v>
      </c>
      <c r="D1444" s="1" t="n">
        <v>911.26</v>
      </c>
    </row>
    <row r="1445" customFormat="false" ht="14.25" hidden="false" customHeight="true" outlineLevel="0" collapsed="false">
      <c r="A1445" s="51" t="n">
        <v>14290</v>
      </c>
      <c r="B1445" s="52" t="n">
        <v>40875.5847222222</v>
      </c>
      <c r="C1445" s="1" t="n">
        <v>6</v>
      </c>
      <c r="D1445" s="1" t="n">
        <v>2307.45</v>
      </c>
    </row>
    <row r="1446" customFormat="false" ht="14.25" hidden="false" customHeight="true" outlineLevel="0" collapsed="false">
      <c r="A1446" s="51" t="n">
        <v>14291</v>
      </c>
      <c r="B1446" s="52" t="n">
        <v>40885.4347222222</v>
      </c>
      <c r="C1446" s="1" t="n">
        <v>12</v>
      </c>
      <c r="D1446" s="1" t="n">
        <v>3873.3</v>
      </c>
    </row>
    <row r="1447" customFormat="false" ht="14.25" hidden="false" customHeight="true" outlineLevel="0" collapsed="false">
      <c r="A1447" s="51" t="n">
        <v>14292</v>
      </c>
      <c r="B1447" s="52" t="n">
        <v>40879.4930555556</v>
      </c>
      <c r="C1447" s="1" t="n">
        <v>14</v>
      </c>
      <c r="D1447" s="1" t="n">
        <v>4819.33</v>
      </c>
    </row>
    <row r="1448" customFormat="false" ht="14.25" hidden="false" customHeight="true" outlineLevel="0" collapsed="false">
      <c r="A1448" s="51" t="n">
        <v>14293</v>
      </c>
      <c r="B1448" s="52" t="n">
        <v>40883.6368055556</v>
      </c>
      <c r="C1448" s="1" t="n">
        <v>4</v>
      </c>
      <c r="D1448" s="1" t="n">
        <v>1046.56</v>
      </c>
    </row>
    <row r="1449" customFormat="false" ht="14.25" hidden="false" customHeight="true" outlineLevel="0" collapsed="false">
      <c r="A1449" s="51" t="n">
        <v>14295</v>
      </c>
      <c r="B1449" s="52" t="n">
        <v>40846.6597222222</v>
      </c>
      <c r="C1449" s="1" t="n">
        <v>2</v>
      </c>
      <c r="D1449" s="1" t="n">
        <v>154.7</v>
      </c>
    </row>
    <row r="1450" customFormat="false" ht="14.25" hidden="false" customHeight="true" outlineLevel="0" collapsed="false">
      <c r="A1450" s="51" t="n">
        <v>14297</v>
      </c>
      <c r="B1450" s="52" t="n">
        <v>40869.3791666667</v>
      </c>
      <c r="C1450" s="1" t="n">
        <v>6</v>
      </c>
      <c r="D1450" s="1" t="n">
        <v>1284.06</v>
      </c>
    </row>
    <row r="1451" customFormat="false" ht="14.25" hidden="false" customHeight="true" outlineLevel="0" collapsed="false">
      <c r="A1451" s="51" t="n">
        <v>14298</v>
      </c>
      <c r="B1451" s="52" t="n">
        <v>40883.6277777778</v>
      </c>
      <c r="C1451" s="1" t="n">
        <v>45</v>
      </c>
      <c r="D1451" s="1" t="n">
        <v>50862.4400000001</v>
      </c>
    </row>
    <row r="1452" customFormat="false" ht="14.25" hidden="false" customHeight="true" outlineLevel="0" collapsed="false">
      <c r="A1452" s="51" t="n">
        <v>14299</v>
      </c>
      <c r="B1452" s="52" t="n">
        <v>40878.6701388889</v>
      </c>
      <c r="C1452" s="1" t="n">
        <v>18</v>
      </c>
      <c r="D1452" s="1" t="n">
        <v>2855.35</v>
      </c>
    </row>
    <row r="1453" customFormat="false" ht="14.25" hidden="false" customHeight="true" outlineLevel="0" collapsed="false">
      <c r="A1453" s="51" t="n">
        <v>14300</v>
      </c>
      <c r="B1453" s="52" t="n">
        <v>40868.3729166667</v>
      </c>
      <c r="C1453" s="1" t="n">
        <v>1</v>
      </c>
      <c r="D1453" s="1" t="n">
        <v>43.2</v>
      </c>
    </row>
    <row r="1454" customFormat="false" ht="14.25" hidden="false" customHeight="true" outlineLevel="0" collapsed="false">
      <c r="A1454" s="51" t="n">
        <v>14301</v>
      </c>
      <c r="B1454" s="52" t="n">
        <v>40779.3777777778</v>
      </c>
      <c r="C1454" s="1" t="n">
        <v>2</v>
      </c>
      <c r="D1454" s="1" t="n">
        <v>632.04</v>
      </c>
    </row>
    <row r="1455" customFormat="false" ht="14.25" hidden="false" customHeight="true" outlineLevel="0" collapsed="false">
      <c r="A1455" s="51" t="n">
        <v>14304</v>
      </c>
      <c r="B1455" s="52" t="n">
        <v>40664.4930555556</v>
      </c>
      <c r="C1455" s="1" t="n">
        <v>2</v>
      </c>
      <c r="D1455" s="1" t="n">
        <v>197.1</v>
      </c>
    </row>
    <row r="1456" customFormat="false" ht="14.25" hidden="false" customHeight="true" outlineLevel="0" collapsed="false">
      <c r="A1456" s="51" t="n">
        <v>14305</v>
      </c>
      <c r="B1456" s="52" t="n">
        <v>40815.6451388889</v>
      </c>
      <c r="C1456" s="1" t="n">
        <v>5</v>
      </c>
      <c r="D1456" s="1" t="n">
        <v>1803.76</v>
      </c>
    </row>
    <row r="1457" customFormat="false" ht="14.25" hidden="false" customHeight="true" outlineLevel="0" collapsed="false">
      <c r="A1457" s="51" t="n">
        <v>14306</v>
      </c>
      <c r="B1457" s="52" t="n">
        <v>40835.5576388889</v>
      </c>
      <c r="C1457" s="1" t="n">
        <v>3</v>
      </c>
      <c r="D1457" s="1" t="n">
        <v>2083.42</v>
      </c>
    </row>
    <row r="1458" customFormat="false" ht="14.25" hidden="false" customHeight="true" outlineLevel="0" collapsed="false">
      <c r="A1458" s="51" t="n">
        <v>14307</v>
      </c>
      <c r="B1458" s="52" t="n">
        <v>40798.4013888889</v>
      </c>
      <c r="C1458" s="1" t="n">
        <v>6</v>
      </c>
      <c r="D1458" s="1" t="n">
        <v>2995.72</v>
      </c>
    </row>
    <row r="1459" customFormat="false" ht="14.25" hidden="false" customHeight="true" outlineLevel="0" collapsed="false">
      <c r="A1459" s="51" t="n">
        <v>14309</v>
      </c>
      <c r="B1459" s="52" t="n">
        <v>40878.5645833333</v>
      </c>
      <c r="C1459" s="1" t="n">
        <v>10</v>
      </c>
      <c r="D1459" s="1" t="n">
        <v>2319.68</v>
      </c>
    </row>
    <row r="1460" customFormat="false" ht="14.25" hidden="false" customHeight="true" outlineLevel="0" collapsed="false">
      <c r="A1460" s="51" t="n">
        <v>14311</v>
      </c>
      <c r="B1460" s="52" t="n">
        <v>40661.8256944444</v>
      </c>
      <c r="C1460" s="1" t="n">
        <v>2</v>
      </c>
      <c r="D1460" s="1" t="n">
        <v>229.71</v>
      </c>
    </row>
    <row r="1461" customFormat="false" ht="14.25" hidden="false" customHeight="true" outlineLevel="0" collapsed="false">
      <c r="A1461" s="51" t="n">
        <v>14312</v>
      </c>
      <c r="B1461" s="52" t="n">
        <v>40840.4069444445</v>
      </c>
      <c r="C1461" s="1" t="n">
        <v>6</v>
      </c>
      <c r="D1461" s="1" t="n">
        <v>1611.59</v>
      </c>
    </row>
    <row r="1462" customFormat="false" ht="14.25" hidden="false" customHeight="true" outlineLevel="0" collapsed="false">
      <c r="A1462" s="51" t="n">
        <v>14314</v>
      </c>
      <c r="B1462" s="52" t="n">
        <v>40780.44375</v>
      </c>
      <c r="C1462" s="1" t="n">
        <v>1</v>
      </c>
      <c r="D1462" s="1" t="n">
        <v>120</v>
      </c>
    </row>
    <row r="1463" customFormat="false" ht="14.25" hidden="false" customHeight="true" outlineLevel="0" collapsed="false">
      <c r="A1463" s="51" t="n">
        <v>14315</v>
      </c>
      <c r="B1463" s="52" t="n">
        <v>40865.6493055556</v>
      </c>
      <c r="C1463" s="1" t="n">
        <v>7</v>
      </c>
      <c r="D1463" s="1" t="n">
        <v>2456.98</v>
      </c>
    </row>
    <row r="1464" customFormat="false" ht="14.25" hidden="false" customHeight="true" outlineLevel="0" collapsed="false">
      <c r="A1464" s="51" t="n">
        <v>14317</v>
      </c>
      <c r="B1464" s="52" t="n">
        <v>40822.4472222222</v>
      </c>
      <c r="C1464" s="1" t="n">
        <v>1</v>
      </c>
      <c r="D1464" s="1" t="n">
        <v>508.58</v>
      </c>
    </row>
    <row r="1465" customFormat="false" ht="14.25" hidden="false" customHeight="true" outlineLevel="0" collapsed="false">
      <c r="A1465" s="51" t="n">
        <v>14320</v>
      </c>
      <c r="B1465" s="52" t="n">
        <v>40680.3916666667</v>
      </c>
      <c r="C1465" s="1" t="n">
        <v>3</v>
      </c>
      <c r="D1465" s="1" t="n">
        <v>343.11</v>
      </c>
    </row>
    <row r="1466" customFormat="false" ht="14.25" hidden="false" customHeight="true" outlineLevel="0" collapsed="false">
      <c r="A1466" s="51" t="n">
        <v>14321</v>
      </c>
      <c r="B1466" s="52" t="n">
        <v>40876.4076388889</v>
      </c>
      <c r="C1466" s="1" t="n">
        <v>5</v>
      </c>
      <c r="D1466" s="1" t="n">
        <v>1530.75</v>
      </c>
    </row>
    <row r="1467" customFormat="false" ht="14.25" hidden="false" customHeight="true" outlineLevel="0" collapsed="false">
      <c r="A1467" s="51" t="n">
        <v>14323</v>
      </c>
      <c r="B1467" s="52" t="n">
        <v>40772.4840277778</v>
      </c>
      <c r="C1467" s="1" t="n">
        <v>4</v>
      </c>
      <c r="D1467" s="1" t="n">
        <v>574.26</v>
      </c>
    </row>
    <row r="1468" customFormat="false" ht="14.25" hidden="false" customHeight="true" outlineLevel="0" collapsed="false">
      <c r="A1468" s="51" t="n">
        <v>14326</v>
      </c>
      <c r="B1468" s="52" t="n">
        <v>40652.4638888889</v>
      </c>
      <c r="C1468" s="1" t="n">
        <v>2</v>
      </c>
      <c r="D1468" s="1" t="n">
        <v>166.85</v>
      </c>
    </row>
    <row r="1469" customFormat="false" ht="14.25" hidden="false" customHeight="true" outlineLevel="0" collapsed="false">
      <c r="A1469" s="51" t="n">
        <v>14327</v>
      </c>
      <c r="B1469" s="52" t="n">
        <v>40723.5819444444</v>
      </c>
      <c r="C1469" s="1" t="n">
        <v>1</v>
      </c>
      <c r="D1469" s="1" t="n">
        <v>311.65</v>
      </c>
    </row>
    <row r="1470" customFormat="false" ht="14.25" hidden="false" customHeight="true" outlineLevel="0" collapsed="false">
      <c r="A1470" s="51" t="n">
        <v>14329</v>
      </c>
      <c r="B1470" s="52" t="n">
        <v>40878.3520833333</v>
      </c>
      <c r="C1470" s="1" t="n">
        <v>14</v>
      </c>
      <c r="D1470" s="1" t="n">
        <v>4928.74</v>
      </c>
    </row>
    <row r="1471" customFormat="false" ht="14.25" hidden="false" customHeight="true" outlineLevel="0" collapsed="false">
      <c r="A1471" s="51" t="n">
        <v>14331</v>
      </c>
      <c r="B1471" s="52" t="n">
        <v>40762.5534722222</v>
      </c>
      <c r="C1471" s="1" t="n">
        <v>2</v>
      </c>
      <c r="D1471" s="1" t="n">
        <v>462.66</v>
      </c>
    </row>
    <row r="1472" customFormat="false" ht="14.25" hidden="false" customHeight="true" outlineLevel="0" collapsed="false">
      <c r="A1472" s="51" t="n">
        <v>14332</v>
      </c>
      <c r="B1472" s="52" t="n">
        <v>40864.4958333333</v>
      </c>
      <c r="C1472" s="1" t="n">
        <v>3</v>
      </c>
      <c r="D1472" s="1" t="n">
        <v>866.31</v>
      </c>
    </row>
    <row r="1473" customFormat="false" ht="14.25" hidden="false" customHeight="true" outlineLevel="0" collapsed="false">
      <c r="A1473" s="51" t="n">
        <v>14333</v>
      </c>
      <c r="B1473" s="52" t="n">
        <v>40822.8090277778</v>
      </c>
      <c r="C1473" s="1" t="n">
        <v>2</v>
      </c>
      <c r="D1473" s="1" t="n">
        <v>351.45</v>
      </c>
    </row>
    <row r="1474" customFormat="false" ht="14.25" hidden="false" customHeight="true" outlineLevel="0" collapsed="false">
      <c r="A1474" s="51" t="n">
        <v>14334</v>
      </c>
      <c r="B1474" s="52" t="n">
        <v>40870.4173611111</v>
      </c>
      <c r="C1474" s="1" t="n">
        <v>9</v>
      </c>
      <c r="D1474" s="1" t="n">
        <v>2539.46</v>
      </c>
    </row>
    <row r="1475" customFormat="false" ht="14.25" hidden="false" customHeight="true" outlineLevel="0" collapsed="false">
      <c r="A1475" s="51" t="n">
        <v>14335</v>
      </c>
      <c r="B1475" s="52" t="n">
        <v>40870.5701388889</v>
      </c>
      <c r="C1475" s="1" t="n">
        <v>2</v>
      </c>
      <c r="D1475" s="1" t="n">
        <v>468.26</v>
      </c>
    </row>
    <row r="1476" customFormat="false" ht="14.25" hidden="false" customHeight="true" outlineLevel="0" collapsed="false">
      <c r="A1476" s="51" t="n">
        <v>14336</v>
      </c>
      <c r="B1476" s="52" t="n">
        <v>40870.4861111111</v>
      </c>
      <c r="C1476" s="1" t="n">
        <v>4</v>
      </c>
      <c r="D1476" s="1" t="n">
        <v>1614.91</v>
      </c>
    </row>
    <row r="1477" customFormat="false" ht="14.25" hidden="false" customHeight="true" outlineLevel="0" collapsed="false">
      <c r="A1477" s="51" t="n">
        <v>14338</v>
      </c>
      <c r="B1477" s="52" t="n">
        <v>40728.6666666667</v>
      </c>
      <c r="C1477" s="1" t="n">
        <v>4</v>
      </c>
      <c r="D1477" s="1" t="n">
        <v>554.22</v>
      </c>
    </row>
    <row r="1478" customFormat="false" ht="14.25" hidden="false" customHeight="true" outlineLevel="0" collapsed="false">
      <c r="A1478" s="51" t="n">
        <v>14339</v>
      </c>
      <c r="B1478" s="52" t="n">
        <v>40652.4798611111</v>
      </c>
      <c r="C1478" s="1" t="n">
        <v>4</v>
      </c>
      <c r="D1478" s="1" t="n">
        <v>289.91</v>
      </c>
    </row>
    <row r="1479" customFormat="false" ht="14.25" hidden="false" customHeight="true" outlineLevel="0" collapsed="false">
      <c r="A1479" s="51" t="n">
        <v>14340</v>
      </c>
      <c r="B1479" s="52" t="n">
        <v>40668.4055555556</v>
      </c>
      <c r="C1479" s="1" t="n">
        <v>1</v>
      </c>
      <c r="D1479" s="1" t="n">
        <v>134.7</v>
      </c>
    </row>
    <row r="1480" customFormat="false" ht="14.25" hidden="false" customHeight="true" outlineLevel="0" collapsed="false">
      <c r="A1480" s="51" t="n">
        <v>14341</v>
      </c>
      <c r="B1480" s="52" t="n">
        <v>40841.6583333333</v>
      </c>
      <c r="C1480" s="1" t="n">
        <v>9</v>
      </c>
      <c r="D1480" s="1" t="n">
        <v>2166.38</v>
      </c>
    </row>
    <row r="1481" customFormat="false" ht="14.25" hidden="false" customHeight="true" outlineLevel="0" collapsed="false">
      <c r="A1481" s="51" t="n">
        <v>14342</v>
      </c>
      <c r="B1481" s="52" t="n">
        <v>40865.55625</v>
      </c>
      <c r="C1481" s="1" t="n">
        <v>6</v>
      </c>
      <c r="D1481" s="1" t="n">
        <v>607.71</v>
      </c>
    </row>
    <row r="1482" customFormat="false" ht="14.25" hidden="false" customHeight="true" outlineLevel="0" collapsed="false">
      <c r="A1482" s="51" t="n">
        <v>14344</v>
      </c>
      <c r="B1482" s="52" t="n">
        <v>40759.5770833333</v>
      </c>
      <c r="C1482" s="1" t="n">
        <v>8</v>
      </c>
      <c r="D1482" s="1" t="n">
        <v>889.93</v>
      </c>
    </row>
    <row r="1483" customFormat="false" ht="14.25" hidden="false" customHeight="true" outlineLevel="0" collapsed="false">
      <c r="A1483" s="51" t="n">
        <v>14345</v>
      </c>
      <c r="B1483" s="52" t="n">
        <v>40848.4104166667</v>
      </c>
      <c r="C1483" s="1" t="n">
        <v>1</v>
      </c>
      <c r="D1483" s="1" t="n">
        <v>108.98</v>
      </c>
    </row>
    <row r="1484" customFormat="false" ht="14.25" hidden="false" customHeight="true" outlineLevel="0" collapsed="false">
      <c r="A1484" s="51" t="n">
        <v>14346</v>
      </c>
      <c r="B1484" s="52" t="n">
        <v>40766.4076388889</v>
      </c>
      <c r="C1484" s="1" t="n">
        <v>2</v>
      </c>
      <c r="D1484" s="1" t="n">
        <v>1021.58</v>
      </c>
    </row>
    <row r="1485" customFormat="false" ht="14.25" hidden="false" customHeight="true" outlineLevel="0" collapsed="false">
      <c r="A1485" s="51" t="n">
        <v>14348</v>
      </c>
      <c r="B1485" s="52" t="n">
        <v>40626.6826388889</v>
      </c>
      <c r="C1485" s="1" t="n">
        <v>1</v>
      </c>
      <c r="D1485" s="1" t="n">
        <v>409.57</v>
      </c>
    </row>
    <row r="1486" customFormat="false" ht="14.25" hidden="false" customHeight="true" outlineLevel="0" collapsed="false">
      <c r="A1486" s="51" t="n">
        <v>14349</v>
      </c>
      <c r="B1486" s="52" t="n">
        <v>40876.6520833333</v>
      </c>
      <c r="C1486" s="1" t="n">
        <v>1</v>
      </c>
      <c r="D1486" s="1" t="n">
        <v>133.5</v>
      </c>
    </row>
    <row r="1487" customFormat="false" ht="14.25" hidden="false" customHeight="true" outlineLevel="0" collapsed="false">
      <c r="A1487" s="51" t="n">
        <v>14350</v>
      </c>
      <c r="B1487" s="52" t="n">
        <v>40616.51875</v>
      </c>
      <c r="C1487" s="1" t="n">
        <v>2</v>
      </c>
      <c r="D1487" s="1" t="n">
        <v>258.7</v>
      </c>
    </row>
    <row r="1488" customFormat="false" ht="14.25" hidden="false" customHeight="true" outlineLevel="0" collapsed="false">
      <c r="A1488" s="51" t="n">
        <v>14351</v>
      </c>
      <c r="B1488" s="52" t="n">
        <v>40722.4972222222</v>
      </c>
      <c r="C1488" s="1" t="n">
        <v>1</v>
      </c>
      <c r="D1488" s="1" t="n">
        <v>51</v>
      </c>
    </row>
    <row r="1489" customFormat="false" ht="14.25" hidden="false" customHeight="true" outlineLevel="0" collapsed="false">
      <c r="A1489" s="51" t="n">
        <v>14352</v>
      </c>
      <c r="B1489" s="52" t="n">
        <v>40729.6534722222</v>
      </c>
      <c r="C1489" s="1" t="n">
        <v>4</v>
      </c>
      <c r="D1489" s="1" t="n">
        <v>1078.96</v>
      </c>
    </row>
    <row r="1490" customFormat="false" ht="14.25" hidden="false" customHeight="true" outlineLevel="0" collapsed="false">
      <c r="A1490" s="51" t="n">
        <v>14353</v>
      </c>
      <c r="B1490" s="52" t="n">
        <v>40671.6708333333</v>
      </c>
      <c r="C1490" s="1" t="n">
        <v>1</v>
      </c>
      <c r="D1490" s="1" t="n">
        <v>90.6</v>
      </c>
    </row>
    <row r="1491" customFormat="false" ht="14.25" hidden="false" customHeight="true" outlineLevel="0" collapsed="false">
      <c r="A1491" s="51" t="n">
        <v>14354</v>
      </c>
      <c r="B1491" s="52" t="n">
        <v>40881.4805555556</v>
      </c>
      <c r="C1491" s="1" t="n">
        <v>2</v>
      </c>
      <c r="D1491" s="1" t="n">
        <v>163.62</v>
      </c>
    </row>
    <row r="1492" customFormat="false" ht="14.25" hidden="false" customHeight="true" outlineLevel="0" collapsed="false">
      <c r="A1492" s="51" t="n">
        <v>14355</v>
      </c>
      <c r="B1492" s="52" t="n">
        <v>40521.5111111111</v>
      </c>
      <c r="C1492" s="1" t="n">
        <v>1</v>
      </c>
      <c r="D1492" s="1" t="n">
        <v>174.4</v>
      </c>
    </row>
    <row r="1493" customFormat="false" ht="14.25" hidden="false" customHeight="true" outlineLevel="0" collapsed="false">
      <c r="A1493" s="51" t="n">
        <v>14356</v>
      </c>
      <c r="B1493" s="52" t="n">
        <v>40826.7194444445</v>
      </c>
      <c r="C1493" s="1" t="n">
        <v>4</v>
      </c>
      <c r="D1493" s="1" t="n">
        <v>666.94</v>
      </c>
    </row>
    <row r="1494" customFormat="false" ht="14.25" hidden="false" customHeight="true" outlineLevel="0" collapsed="false">
      <c r="A1494" s="51" t="n">
        <v>14357</v>
      </c>
      <c r="B1494" s="52" t="n">
        <v>40843.6826388889</v>
      </c>
      <c r="C1494" s="1" t="n">
        <v>1</v>
      </c>
      <c r="D1494" s="1" t="n">
        <v>225.77</v>
      </c>
    </row>
    <row r="1495" customFormat="false" ht="14.25" hidden="false" customHeight="true" outlineLevel="0" collapsed="false">
      <c r="A1495" s="51" t="n">
        <v>14359</v>
      </c>
      <c r="B1495" s="52" t="n">
        <v>40867.5534722222</v>
      </c>
      <c r="C1495" s="1" t="n">
        <v>6</v>
      </c>
      <c r="D1495" s="1" t="n">
        <v>882.58</v>
      </c>
    </row>
    <row r="1496" customFormat="false" ht="14.25" hidden="false" customHeight="true" outlineLevel="0" collapsed="false">
      <c r="A1496" s="51" t="n">
        <v>14360</v>
      </c>
      <c r="B1496" s="52" t="n">
        <v>40855.3833333333</v>
      </c>
      <c r="C1496" s="1" t="n">
        <v>4</v>
      </c>
      <c r="D1496" s="1" t="n">
        <v>2128.23</v>
      </c>
    </row>
    <row r="1497" customFormat="false" ht="14.25" hidden="false" customHeight="true" outlineLevel="0" collapsed="false">
      <c r="A1497" s="51" t="n">
        <v>14362</v>
      </c>
      <c r="B1497" s="52" t="n">
        <v>40864.6305555556</v>
      </c>
      <c r="C1497" s="1" t="n">
        <v>1</v>
      </c>
      <c r="D1497" s="1" t="n">
        <v>161.2</v>
      </c>
    </row>
    <row r="1498" customFormat="false" ht="14.25" hidden="false" customHeight="true" outlineLevel="0" collapsed="false">
      <c r="A1498" s="51" t="n">
        <v>14364</v>
      </c>
      <c r="B1498" s="52" t="n">
        <v>40778.4590277778</v>
      </c>
      <c r="C1498" s="1" t="n">
        <v>8</v>
      </c>
      <c r="D1498" s="1" t="n">
        <v>3717.35</v>
      </c>
    </row>
    <row r="1499" customFormat="false" ht="14.25" hidden="false" customHeight="true" outlineLevel="0" collapsed="false">
      <c r="A1499" s="51" t="n">
        <v>14367</v>
      </c>
      <c r="B1499" s="52" t="n">
        <v>40878.5548611111</v>
      </c>
      <c r="C1499" s="1" t="n">
        <v>19</v>
      </c>
      <c r="D1499" s="1" t="n">
        <v>9167.82000000001</v>
      </c>
    </row>
    <row r="1500" customFormat="false" ht="14.25" hidden="false" customHeight="true" outlineLevel="0" collapsed="false">
      <c r="A1500" s="51" t="n">
        <v>14368</v>
      </c>
      <c r="B1500" s="52" t="n">
        <v>40567.4111111111</v>
      </c>
      <c r="C1500" s="1" t="n">
        <v>1</v>
      </c>
      <c r="D1500" s="1" t="n">
        <v>155</v>
      </c>
    </row>
    <row r="1501" customFormat="false" ht="14.25" hidden="false" customHeight="true" outlineLevel="0" collapsed="false">
      <c r="A1501" s="51" t="n">
        <v>14371</v>
      </c>
      <c r="B1501" s="52" t="n">
        <v>40591.6909722222</v>
      </c>
      <c r="C1501" s="1" t="n">
        <v>1</v>
      </c>
      <c r="D1501" s="1" t="n">
        <v>100.5</v>
      </c>
    </row>
    <row r="1502" customFormat="false" ht="14.25" hidden="false" customHeight="true" outlineLevel="0" collapsed="false">
      <c r="A1502" s="51" t="n">
        <v>14373</v>
      </c>
      <c r="B1502" s="52" t="n">
        <v>40528.6527777778</v>
      </c>
      <c r="C1502" s="1" t="n">
        <v>1</v>
      </c>
      <c r="D1502" s="1" t="n">
        <v>76.55</v>
      </c>
    </row>
    <row r="1503" customFormat="false" ht="14.25" hidden="false" customHeight="true" outlineLevel="0" collapsed="false">
      <c r="A1503" s="51" t="n">
        <v>14375</v>
      </c>
      <c r="B1503" s="52" t="n">
        <v>40701.5722222222</v>
      </c>
      <c r="C1503" s="1" t="n">
        <v>1</v>
      </c>
      <c r="D1503" s="1" t="n">
        <v>257.68</v>
      </c>
    </row>
    <row r="1504" customFormat="false" ht="14.25" hidden="false" customHeight="true" outlineLevel="0" collapsed="false">
      <c r="A1504" s="51" t="n">
        <v>14377</v>
      </c>
      <c r="B1504" s="52" t="n">
        <v>40695.5638888889</v>
      </c>
      <c r="C1504" s="1" t="n">
        <v>2</v>
      </c>
      <c r="D1504" s="1" t="n">
        <v>617.05</v>
      </c>
    </row>
    <row r="1505" customFormat="false" ht="14.25" hidden="false" customHeight="true" outlineLevel="0" collapsed="false">
      <c r="A1505" s="51" t="n">
        <v>14379</v>
      </c>
      <c r="B1505" s="52" t="n">
        <v>40842.6965277778</v>
      </c>
      <c r="C1505" s="1" t="n">
        <v>2</v>
      </c>
      <c r="D1505" s="1" t="n">
        <v>348.1</v>
      </c>
    </row>
    <row r="1506" customFormat="false" ht="14.25" hidden="false" customHeight="true" outlineLevel="0" collapsed="false">
      <c r="A1506" s="51" t="n">
        <v>14381</v>
      </c>
      <c r="B1506" s="52" t="n">
        <v>40834.7152777778</v>
      </c>
      <c r="C1506" s="1" t="n">
        <v>1</v>
      </c>
      <c r="D1506" s="1" t="n">
        <v>202.68</v>
      </c>
    </row>
    <row r="1507" customFormat="false" ht="14.25" hidden="false" customHeight="true" outlineLevel="0" collapsed="false">
      <c r="A1507" s="51" t="n">
        <v>14382</v>
      </c>
      <c r="B1507" s="52" t="n">
        <v>40860.6791666667</v>
      </c>
      <c r="C1507" s="1" t="n">
        <v>1</v>
      </c>
      <c r="D1507" s="1" t="n">
        <v>626.07</v>
      </c>
    </row>
    <row r="1508" customFormat="false" ht="14.25" hidden="false" customHeight="true" outlineLevel="0" collapsed="false">
      <c r="A1508" s="51" t="n">
        <v>14383</v>
      </c>
      <c r="B1508" s="52" t="n">
        <v>40848.6618055556</v>
      </c>
      <c r="C1508" s="1" t="n">
        <v>3</v>
      </c>
      <c r="D1508" s="1" t="n">
        <v>1247.69</v>
      </c>
    </row>
    <row r="1509" customFormat="false" ht="14.25" hidden="false" customHeight="true" outlineLevel="0" collapsed="false">
      <c r="A1509" s="51" t="n">
        <v>14385</v>
      </c>
      <c r="B1509" s="52" t="n">
        <v>40877.65</v>
      </c>
      <c r="C1509" s="1" t="n">
        <v>3</v>
      </c>
      <c r="D1509" s="1" t="n">
        <v>202.11</v>
      </c>
    </row>
    <row r="1510" customFormat="false" ht="14.25" hidden="false" customHeight="true" outlineLevel="0" collapsed="false">
      <c r="A1510" s="51" t="n">
        <v>14386</v>
      </c>
      <c r="B1510" s="52" t="n">
        <v>40590.40625</v>
      </c>
      <c r="C1510" s="1" t="n">
        <v>1</v>
      </c>
      <c r="D1510" s="1" t="n">
        <v>142.4</v>
      </c>
    </row>
    <row r="1511" customFormat="false" ht="14.25" hidden="false" customHeight="true" outlineLevel="0" collapsed="false">
      <c r="A1511" s="51" t="n">
        <v>14387</v>
      </c>
      <c r="B1511" s="52" t="n">
        <v>40854.5201388889</v>
      </c>
      <c r="C1511" s="1" t="n">
        <v>3</v>
      </c>
      <c r="D1511" s="1" t="n">
        <v>1770.56</v>
      </c>
    </row>
    <row r="1512" customFormat="false" ht="14.25" hidden="false" customHeight="true" outlineLevel="0" collapsed="false">
      <c r="A1512" s="51" t="n">
        <v>14388</v>
      </c>
      <c r="B1512" s="52" t="n">
        <v>40878.4673611111</v>
      </c>
      <c r="C1512" s="1" t="n">
        <v>10</v>
      </c>
      <c r="D1512" s="1" t="n">
        <v>3172.04</v>
      </c>
    </row>
    <row r="1513" customFormat="false" ht="14.25" hidden="false" customHeight="true" outlineLevel="0" collapsed="false">
      <c r="A1513" s="51" t="n">
        <v>14389</v>
      </c>
      <c r="B1513" s="52" t="n">
        <v>40878.3881944444</v>
      </c>
      <c r="C1513" s="1" t="n">
        <v>5</v>
      </c>
      <c r="D1513" s="1" t="n">
        <v>999.72</v>
      </c>
    </row>
    <row r="1514" customFormat="false" ht="14.25" hidden="false" customHeight="true" outlineLevel="0" collapsed="false">
      <c r="A1514" s="51" t="n">
        <v>14390</v>
      </c>
      <c r="B1514" s="52" t="n">
        <v>40876.5756944444</v>
      </c>
      <c r="C1514" s="1" t="n">
        <v>13</v>
      </c>
      <c r="D1514" s="1" t="n">
        <v>4592.47</v>
      </c>
    </row>
    <row r="1515" customFormat="false" ht="14.25" hidden="false" customHeight="true" outlineLevel="0" collapsed="false">
      <c r="A1515" s="51" t="n">
        <v>14393</v>
      </c>
      <c r="B1515" s="52" t="n">
        <v>40668.7611111111</v>
      </c>
      <c r="C1515" s="1" t="n">
        <v>1</v>
      </c>
      <c r="D1515" s="1" t="n">
        <v>67.95</v>
      </c>
    </row>
    <row r="1516" customFormat="false" ht="14.25" hidden="false" customHeight="true" outlineLevel="0" collapsed="false">
      <c r="A1516" s="51" t="n">
        <v>14395</v>
      </c>
      <c r="B1516" s="52" t="n">
        <v>40884.6069444444</v>
      </c>
      <c r="C1516" s="1" t="n">
        <v>12</v>
      </c>
      <c r="D1516" s="1" t="n">
        <v>3471.91</v>
      </c>
    </row>
    <row r="1517" customFormat="false" ht="14.25" hidden="false" customHeight="true" outlineLevel="0" collapsed="false">
      <c r="A1517" s="51" t="n">
        <v>14396</v>
      </c>
      <c r="B1517" s="52" t="n">
        <v>40821.6729166667</v>
      </c>
      <c r="C1517" s="1" t="n">
        <v>2</v>
      </c>
      <c r="D1517" s="1" t="n">
        <v>487.99</v>
      </c>
    </row>
    <row r="1518" customFormat="false" ht="14.25" hidden="false" customHeight="true" outlineLevel="0" collapsed="false">
      <c r="A1518" s="51" t="n">
        <v>14397</v>
      </c>
      <c r="B1518" s="52" t="n">
        <v>40886.4145833333</v>
      </c>
      <c r="C1518" s="1" t="n">
        <v>23</v>
      </c>
      <c r="D1518" s="1" t="n">
        <v>2556.68</v>
      </c>
    </row>
    <row r="1519" customFormat="false" ht="14.25" hidden="false" customHeight="true" outlineLevel="0" collapsed="false">
      <c r="A1519" s="51" t="n">
        <v>14400</v>
      </c>
      <c r="B1519" s="52" t="n">
        <v>40745.7534722222</v>
      </c>
      <c r="C1519" s="1" t="n">
        <v>2</v>
      </c>
      <c r="D1519" s="1" t="n">
        <v>559.7</v>
      </c>
    </row>
    <row r="1520" customFormat="false" ht="14.25" hidden="false" customHeight="true" outlineLevel="0" collapsed="false">
      <c r="A1520" s="51" t="n">
        <v>14401</v>
      </c>
      <c r="B1520" s="52" t="n">
        <v>40882.5625</v>
      </c>
      <c r="C1520" s="1" t="n">
        <v>14</v>
      </c>
      <c r="D1520" s="1" t="n">
        <v>4039.98</v>
      </c>
    </row>
    <row r="1521" customFormat="false" ht="14.25" hidden="false" customHeight="true" outlineLevel="0" collapsed="false">
      <c r="A1521" s="51" t="n">
        <v>14403</v>
      </c>
      <c r="B1521" s="52" t="n">
        <v>40756.5395833333</v>
      </c>
      <c r="C1521" s="1" t="n">
        <v>5</v>
      </c>
      <c r="D1521" s="1" t="n">
        <v>1426.31</v>
      </c>
    </row>
    <row r="1522" customFormat="false" ht="14.25" hidden="false" customHeight="true" outlineLevel="0" collapsed="false">
      <c r="A1522" s="51" t="n">
        <v>14404</v>
      </c>
      <c r="B1522" s="52" t="n">
        <v>40853.5208333333</v>
      </c>
      <c r="C1522" s="1" t="n">
        <v>7</v>
      </c>
      <c r="D1522" s="1" t="n">
        <v>1434.72</v>
      </c>
    </row>
    <row r="1523" customFormat="false" ht="14.25" hidden="false" customHeight="true" outlineLevel="0" collapsed="false">
      <c r="A1523" s="51" t="n">
        <v>14406</v>
      </c>
      <c r="B1523" s="52" t="n">
        <v>40767.7041666667</v>
      </c>
      <c r="C1523" s="1" t="n">
        <v>1</v>
      </c>
      <c r="D1523" s="1" t="n">
        <v>156.75</v>
      </c>
    </row>
    <row r="1524" customFormat="false" ht="14.25" hidden="false" customHeight="true" outlineLevel="0" collapsed="false">
      <c r="A1524" s="51" t="n">
        <v>14407</v>
      </c>
      <c r="B1524" s="52" t="n">
        <v>40779.5847222222</v>
      </c>
      <c r="C1524" s="1" t="n">
        <v>9</v>
      </c>
      <c r="D1524" s="1" t="n">
        <v>2111.08</v>
      </c>
    </row>
    <row r="1525" customFormat="false" ht="14.25" hidden="false" customHeight="true" outlineLevel="0" collapsed="false">
      <c r="A1525" s="51" t="n">
        <v>14408</v>
      </c>
      <c r="B1525" s="52" t="n">
        <v>40876.4868055556</v>
      </c>
      <c r="C1525" s="1" t="n">
        <v>7</v>
      </c>
      <c r="D1525" s="1" t="n">
        <v>2606.53</v>
      </c>
    </row>
    <row r="1526" customFormat="false" ht="14.25" hidden="false" customHeight="true" outlineLevel="0" collapsed="false">
      <c r="A1526" s="51" t="n">
        <v>14409</v>
      </c>
      <c r="B1526" s="52" t="n">
        <v>40815.7625</v>
      </c>
      <c r="C1526" s="1" t="n">
        <v>7</v>
      </c>
      <c r="D1526" s="1" t="n">
        <v>1908.25</v>
      </c>
    </row>
    <row r="1527" customFormat="false" ht="14.25" hidden="false" customHeight="true" outlineLevel="0" collapsed="false">
      <c r="A1527" s="51" t="n">
        <v>14410</v>
      </c>
      <c r="B1527" s="52" t="n">
        <v>40871.4694444445</v>
      </c>
      <c r="C1527" s="1" t="n">
        <v>15</v>
      </c>
      <c r="D1527" s="1" t="n">
        <v>576.3</v>
      </c>
    </row>
    <row r="1528" customFormat="false" ht="14.25" hidden="false" customHeight="true" outlineLevel="0" collapsed="false">
      <c r="A1528" s="51" t="n">
        <v>14411</v>
      </c>
      <c r="B1528" s="52" t="n">
        <v>40576.4555555556</v>
      </c>
      <c r="C1528" s="1" t="n">
        <v>1</v>
      </c>
      <c r="D1528" s="1" t="n">
        <v>1063</v>
      </c>
    </row>
    <row r="1529" customFormat="false" ht="14.25" hidden="false" customHeight="true" outlineLevel="0" collapsed="false">
      <c r="A1529" s="51" t="n">
        <v>14412</v>
      </c>
      <c r="B1529" s="52" t="n">
        <v>40851.5513888889</v>
      </c>
      <c r="C1529" s="1" t="n">
        <v>3</v>
      </c>
      <c r="D1529" s="1" t="n">
        <v>761.33</v>
      </c>
    </row>
    <row r="1530" customFormat="false" ht="14.25" hidden="false" customHeight="true" outlineLevel="0" collapsed="false">
      <c r="A1530" s="51" t="n">
        <v>14413</v>
      </c>
      <c r="B1530" s="52" t="n">
        <v>40524.5673611111</v>
      </c>
      <c r="C1530" s="1" t="n">
        <v>1</v>
      </c>
      <c r="D1530" s="1" t="n">
        <v>122.7</v>
      </c>
    </row>
    <row r="1531" customFormat="false" ht="14.25" hidden="false" customHeight="true" outlineLevel="0" collapsed="false">
      <c r="A1531" s="51" t="n">
        <v>14414</v>
      </c>
      <c r="B1531" s="52" t="n">
        <v>40795.50625</v>
      </c>
      <c r="C1531" s="1" t="n">
        <v>8</v>
      </c>
      <c r="D1531" s="1" t="n">
        <v>1485.13</v>
      </c>
    </row>
    <row r="1532" customFormat="false" ht="14.25" hidden="false" customHeight="true" outlineLevel="0" collapsed="false">
      <c r="A1532" s="51" t="n">
        <v>14415</v>
      </c>
      <c r="B1532" s="52" t="n">
        <v>40885.6097222222</v>
      </c>
      <c r="C1532" s="1" t="n">
        <v>18</v>
      </c>
      <c r="D1532" s="1" t="n">
        <v>5811.56000000001</v>
      </c>
    </row>
    <row r="1533" customFormat="false" ht="14.25" hidden="false" customHeight="true" outlineLevel="0" collapsed="false">
      <c r="A1533" s="51" t="n">
        <v>14416</v>
      </c>
      <c r="B1533" s="52" t="n">
        <v>40864.6402777778</v>
      </c>
      <c r="C1533" s="1" t="n">
        <v>2</v>
      </c>
      <c r="D1533" s="1" t="n">
        <v>490.22</v>
      </c>
    </row>
    <row r="1534" customFormat="false" ht="14.25" hidden="false" customHeight="true" outlineLevel="0" collapsed="false">
      <c r="A1534" s="51" t="n">
        <v>14418</v>
      </c>
      <c r="B1534" s="52" t="n">
        <v>40883.4854166667</v>
      </c>
      <c r="C1534" s="1" t="n">
        <v>3</v>
      </c>
      <c r="D1534" s="1" t="n">
        <v>1937.25</v>
      </c>
    </row>
    <row r="1535" customFormat="false" ht="14.25" hidden="false" customHeight="true" outlineLevel="0" collapsed="false">
      <c r="A1535" s="51" t="n">
        <v>14419</v>
      </c>
      <c r="B1535" s="52" t="n">
        <v>40876.4736111111</v>
      </c>
      <c r="C1535" s="1" t="n">
        <v>6</v>
      </c>
      <c r="D1535" s="1" t="n">
        <v>1058.06</v>
      </c>
    </row>
    <row r="1536" customFormat="false" ht="14.25" hidden="false" customHeight="true" outlineLevel="0" collapsed="false">
      <c r="A1536" s="51" t="n">
        <v>14420</v>
      </c>
      <c r="B1536" s="52" t="n">
        <v>40801.70625</v>
      </c>
      <c r="C1536" s="1" t="n">
        <v>2</v>
      </c>
      <c r="D1536" s="1" t="n">
        <v>385.87</v>
      </c>
    </row>
    <row r="1537" customFormat="false" ht="14.25" hidden="false" customHeight="true" outlineLevel="0" collapsed="false">
      <c r="A1537" s="51" t="n">
        <v>14421</v>
      </c>
      <c r="B1537" s="52" t="n">
        <v>40829.5583333333</v>
      </c>
      <c r="C1537" s="1" t="n">
        <v>2</v>
      </c>
      <c r="D1537" s="1" t="n">
        <v>813.11</v>
      </c>
    </row>
    <row r="1538" customFormat="false" ht="14.25" hidden="false" customHeight="true" outlineLevel="0" collapsed="false">
      <c r="A1538" s="51" t="n">
        <v>14422</v>
      </c>
      <c r="B1538" s="52" t="n">
        <v>40886.4763888889</v>
      </c>
      <c r="C1538" s="1" t="n">
        <v>6</v>
      </c>
      <c r="D1538" s="1" t="n">
        <v>4263.64</v>
      </c>
    </row>
    <row r="1539" customFormat="false" ht="14.25" hidden="false" customHeight="true" outlineLevel="0" collapsed="false">
      <c r="A1539" s="51" t="n">
        <v>14423</v>
      </c>
      <c r="B1539" s="52" t="n">
        <v>40668.6333333333</v>
      </c>
      <c r="C1539" s="1" t="n">
        <v>1</v>
      </c>
      <c r="D1539" s="1" t="n">
        <v>265.2</v>
      </c>
    </row>
    <row r="1540" customFormat="false" ht="14.25" hidden="false" customHeight="true" outlineLevel="0" collapsed="false">
      <c r="A1540" s="51" t="n">
        <v>14424</v>
      </c>
      <c r="B1540" s="52" t="n">
        <v>40869.4916666667</v>
      </c>
      <c r="C1540" s="1" t="n">
        <v>1</v>
      </c>
      <c r="D1540" s="1" t="n">
        <v>322.08</v>
      </c>
    </row>
    <row r="1541" customFormat="false" ht="14.25" hidden="false" customHeight="true" outlineLevel="0" collapsed="false">
      <c r="A1541" s="51" t="n">
        <v>14426</v>
      </c>
      <c r="B1541" s="52" t="n">
        <v>40868.4909722222</v>
      </c>
      <c r="C1541" s="1" t="n">
        <v>16</v>
      </c>
      <c r="D1541" s="1" t="n">
        <v>3918.9</v>
      </c>
    </row>
    <row r="1542" customFormat="false" ht="14.25" hidden="false" customHeight="true" outlineLevel="0" collapsed="false">
      <c r="A1542" s="51" t="n">
        <v>14427</v>
      </c>
      <c r="B1542" s="52" t="n">
        <v>40836.5993055556</v>
      </c>
      <c r="C1542" s="1" t="n">
        <v>2</v>
      </c>
      <c r="D1542" s="1" t="n">
        <v>363.34</v>
      </c>
    </row>
    <row r="1543" customFormat="false" ht="14.25" hidden="false" customHeight="true" outlineLevel="0" collapsed="false">
      <c r="A1543" s="51" t="n">
        <v>14428</v>
      </c>
      <c r="B1543" s="52" t="n">
        <v>40879.5534722222</v>
      </c>
      <c r="C1543" s="1" t="n">
        <v>7</v>
      </c>
      <c r="D1543" s="1" t="n">
        <v>1230.14</v>
      </c>
    </row>
    <row r="1544" customFormat="false" ht="14.25" hidden="false" customHeight="true" outlineLevel="0" collapsed="false">
      <c r="A1544" s="51" t="n">
        <v>14431</v>
      </c>
      <c r="B1544" s="52" t="n">
        <v>40588.4555555556</v>
      </c>
      <c r="C1544" s="1" t="n">
        <v>2</v>
      </c>
      <c r="D1544" s="1" t="n">
        <v>397.76</v>
      </c>
    </row>
    <row r="1545" customFormat="false" ht="14.25" hidden="false" customHeight="true" outlineLevel="0" collapsed="false">
      <c r="A1545" s="51" t="n">
        <v>14432</v>
      </c>
      <c r="B1545" s="52" t="n">
        <v>40877.3361111111</v>
      </c>
      <c r="C1545" s="1" t="n">
        <v>6</v>
      </c>
      <c r="D1545" s="1" t="n">
        <v>2255.51</v>
      </c>
    </row>
    <row r="1546" customFormat="false" ht="14.25" hidden="false" customHeight="true" outlineLevel="0" collapsed="false">
      <c r="A1546" s="51" t="n">
        <v>14434</v>
      </c>
      <c r="B1546" s="52" t="n">
        <v>40865.3722222222</v>
      </c>
      <c r="C1546" s="1" t="n">
        <v>6</v>
      </c>
      <c r="D1546" s="1" t="n">
        <v>1372.8</v>
      </c>
    </row>
    <row r="1547" customFormat="false" ht="14.25" hidden="false" customHeight="true" outlineLevel="0" collapsed="false">
      <c r="A1547" s="51" t="n">
        <v>14436</v>
      </c>
      <c r="B1547" s="52" t="n">
        <v>40788.4256944444</v>
      </c>
      <c r="C1547" s="1" t="n">
        <v>1</v>
      </c>
      <c r="D1547" s="1" t="n">
        <v>89.06</v>
      </c>
    </row>
    <row r="1548" customFormat="false" ht="14.25" hidden="false" customHeight="true" outlineLevel="0" collapsed="false">
      <c r="A1548" s="51" t="n">
        <v>14437</v>
      </c>
      <c r="B1548" s="52" t="n">
        <v>40743.6222222222</v>
      </c>
      <c r="C1548" s="1" t="n">
        <v>2</v>
      </c>
      <c r="D1548" s="1" t="n">
        <v>-43.4</v>
      </c>
    </row>
    <row r="1549" customFormat="false" ht="14.25" hidden="false" customHeight="true" outlineLevel="0" collapsed="false">
      <c r="A1549" s="51" t="n">
        <v>14438</v>
      </c>
      <c r="B1549" s="52" t="n">
        <v>40580.6222222222</v>
      </c>
      <c r="C1549" s="1" t="n">
        <v>1</v>
      </c>
      <c r="D1549" s="1" t="n">
        <v>131.9</v>
      </c>
    </row>
    <row r="1550" customFormat="false" ht="14.25" hidden="false" customHeight="true" outlineLevel="0" collapsed="false">
      <c r="A1550" s="51" t="n">
        <v>14439</v>
      </c>
      <c r="B1550" s="52" t="n">
        <v>40567.4854166667</v>
      </c>
      <c r="C1550" s="1" t="n">
        <v>1</v>
      </c>
      <c r="D1550" s="1" t="n">
        <v>2661.24</v>
      </c>
    </row>
    <row r="1551" customFormat="false" ht="14.25" hidden="false" customHeight="true" outlineLevel="0" collapsed="false">
      <c r="A1551" s="51" t="n">
        <v>14440</v>
      </c>
      <c r="B1551" s="52" t="n">
        <v>40878.6541666667</v>
      </c>
      <c r="C1551" s="1" t="n">
        <v>5</v>
      </c>
      <c r="D1551" s="1" t="n">
        <v>2357.68</v>
      </c>
    </row>
    <row r="1552" customFormat="false" ht="14.25" hidden="false" customHeight="true" outlineLevel="0" collapsed="false">
      <c r="A1552" s="51" t="n">
        <v>14441</v>
      </c>
      <c r="B1552" s="52" t="n">
        <v>40886.3798611111</v>
      </c>
      <c r="C1552" s="1" t="n">
        <v>10</v>
      </c>
      <c r="D1552" s="1" t="n">
        <v>1545.14</v>
      </c>
    </row>
    <row r="1553" customFormat="false" ht="14.25" hidden="false" customHeight="true" outlineLevel="0" collapsed="false">
      <c r="A1553" s="51" t="n">
        <v>14442</v>
      </c>
      <c r="B1553" s="52" t="n">
        <v>40885.4951388889</v>
      </c>
      <c r="C1553" s="1" t="n">
        <v>5</v>
      </c>
      <c r="D1553" s="1" t="n">
        <v>1544.62</v>
      </c>
    </row>
    <row r="1554" customFormat="false" ht="14.25" hidden="false" customHeight="true" outlineLevel="0" collapsed="false">
      <c r="A1554" s="51" t="n">
        <v>14443</v>
      </c>
      <c r="B1554" s="52" t="n">
        <v>40833.4236111111</v>
      </c>
      <c r="C1554" s="1" t="n">
        <v>7</v>
      </c>
      <c r="D1554" s="1" t="n">
        <v>1400.88</v>
      </c>
    </row>
    <row r="1555" customFormat="false" ht="14.25" hidden="false" customHeight="true" outlineLevel="0" collapsed="false">
      <c r="A1555" s="51" t="n">
        <v>14446</v>
      </c>
      <c r="B1555" s="52" t="n">
        <v>40886.4819444444</v>
      </c>
      <c r="C1555" s="1" t="n">
        <v>4</v>
      </c>
      <c r="D1555" s="1" t="n">
        <v>1039.58</v>
      </c>
    </row>
    <row r="1556" customFormat="false" ht="14.25" hidden="false" customHeight="true" outlineLevel="0" collapsed="false">
      <c r="A1556" s="51" t="n">
        <v>14447</v>
      </c>
      <c r="B1556" s="52" t="n">
        <v>40868.3527777778</v>
      </c>
      <c r="C1556" s="1" t="n">
        <v>5</v>
      </c>
      <c r="D1556" s="1" t="n">
        <v>1163.23</v>
      </c>
    </row>
    <row r="1557" customFormat="false" ht="14.25" hidden="false" customHeight="true" outlineLevel="0" collapsed="false">
      <c r="A1557" s="51" t="n">
        <v>14448</v>
      </c>
      <c r="B1557" s="52" t="n">
        <v>40877.5763888889</v>
      </c>
      <c r="C1557" s="1" t="n">
        <v>2</v>
      </c>
      <c r="D1557" s="1" t="n">
        <v>375.35</v>
      </c>
    </row>
    <row r="1558" customFormat="false" ht="14.25" hidden="false" customHeight="true" outlineLevel="0" collapsed="false">
      <c r="A1558" s="51" t="n">
        <v>14449</v>
      </c>
      <c r="B1558" s="52" t="n">
        <v>40868.5041666667</v>
      </c>
      <c r="C1558" s="1" t="n">
        <v>4</v>
      </c>
      <c r="D1558" s="1" t="n">
        <v>907.1</v>
      </c>
    </row>
    <row r="1559" customFormat="false" ht="14.25" hidden="false" customHeight="true" outlineLevel="0" collapsed="false">
      <c r="A1559" s="51" t="n">
        <v>14450</v>
      </c>
      <c r="B1559" s="52" t="n">
        <v>40706.4486111111</v>
      </c>
      <c r="C1559" s="1" t="n">
        <v>3</v>
      </c>
      <c r="D1559" s="1" t="n">
        <v>483.25</v>
      </c>
    </row>
    <row r="1560" customFormat="false" ht="14.25" hidden="false" customHeight="true" outlineLevel="0" collapsed="false">
      <c r="A1560" s="51" t="n">
        <v>14451</v>
      </c>
      <c r="B1560" s="52" t="n">
        <v>40826.5680555556</v>
      </c>
      <c r="C1560" s="1" t="n">
        <v>2</v>
      </c>
      <c r="D1560" s="1" t="n">
        <v>662.59</v>
      </c>
    </row>
    <row r="1561" customFormat="false" ht="14.25" hidden="false" customHeight="true" outlineLevel="0" collapsed="false">
      <c r="A1561" s="51" t="n">
        <v>14452</v>
      </c>
      <c r="B1561" s="52" t="n">
        <v>40876.5041666667</v>
      </c>
      <c r="C1561" s="1" t="n">
        <v>2</v>
      </c>
      <c r="D1561" s="1" t="n">
        <v>264.44</v>
      </c>
    </row>
    <row r="1562" customFormat="false" ht="14.25" hidden="false" customHeight="true" outlineLevel="0" collapsed="false">
      <c r="A1562" s="51" t="n">
        <v>14453</v>
      </c>
      <c r="B1562" s="52" t="n">
        <v>40696.59375</v>
      </c>
      <c r="C1562" s="1" t="n">
        <v>1</v>
      </c>
      <c r="D1562" s="1" t="n">
        <v>119.93</v>
      </c>
    </row>
    <row r="1563" customFormat="false" ht="14.25" hidden="false" customHeight="true" outlineLevel="0" collapsed="false">
      <c r="A1563" s="51" t="n">
        <v>14456</v>
      </c>
      <c r="B1563" s="52" t="n">
        <v>40881.5826388889</v>
      </c>
      <c r="C1563" s="1" t="n">
        <v>14</v>
      </c>
      <c r="D1563" s="1" t="n">
        <v>3047.63</v>
      </c>
    </row>
    <row r="1564" customFormat="false" ht="14.25" hidden="false" customHeight="true" outlineLevel="0" collapsed="false">
      <c r="A1564" s="51" t="n">
        <v>14457</v>
      </c>
      <c r="B1564" s="52" t="n">
        <v>40576.4020833333</v>
      </c>
      <c r="C1564" s="1" t="n">
        <v>1</v>
      </c>
      <c r="D1564" s="1" t="n">
        <v>113.64</v>
      </c>
    </row>
    <row r="1565" customFormat="false" ht="14.25" hidden="false" customHeight="true" outlineLevel="0" collapsed="false">
      <c r="A1565" s="51" t="n">
        <v>14459</v>
      </c>
      <c r="B1565" s="52" t="n">
        <v>40731.5659722222</v>
      </c>
      <c r="C1565" s="1" t="n">
        <v>1</v>
      </c>
      <c r="D1565" s="1" t="n">
        <v>1837.92</v>
      </c>
    </row>
    <row r="1566" customFormat="false" ht="14.25" hidden="false" customHeight="true" outlineLevel="0" collapsed="false">
      <c r="A1566" s="51" t="n">
        <v>14460</v>
      </c>
      <c r="B1566" s="52" t="n">
        <v>40776.5965277778</v>
      </c>
      <c r="C1566" s="1" t="n">
        <v>4</v>
      </c>
      <c r="D1566" s="1" t="n">
        <v>383.34</v>
      </c>
    </row>
    <row r="1567" customFormat="false" ht="14.25" hidden="false" customHeight="true" outlineLevel="0" collapsed="false">
      <c r="A1567" s="51" t="n">
        <v>14461</v>
      </c>
      <c r="B1567" s="52" t="n">
        <v>40738.7159722222</v>
      </c>
      <c r="C1567" s="1" t="n">
        <v>3</v>
      </c>
      <c r="D1567" s="1" t="n">
        <v>2103.06</v>
      </c>
    </row>
    <row r="1568" customFormat="false" ht="14.25" hidden="false" customHeight="true" outlineLevel="0" collapsed="false">
      <c r="A1568" s="51" t="n">
        <v>14462</v>
      </c>
      <c r="B1568" s="52" t="n">
        <v>40823.3902777778</v>
      </c>
      <c r="C1568" s="1" t="n">
        <v>15</v>
      </c>
      <c r="D1568" s="1" t="n">
        <v>1965.9</v>
      </c>
    </row>
    <row r="1569" customFormat="false" ht="14.25" hidden="false" customHeight="true" outlineLevel="0" collapsed="false">
      <c r="A1569" s="51" t="n">
        <v>14463</v>
      </c>
      <c r="B1569" s="52" t="n">
        <v>40788.6388888889</v>
      </c>
      <c r="C1569" s="1" t="n">
        <v>3</v>
      </c>
      <c r="D1569" s="1" t="n">
        <v>529.62</v>
      </c>
    </row>
    <row r="1570" customFormat="false" ht="14.25" hidden="false" customHeight="true" outlineLevel="0" collapsed="false">
      <c r="A1570" s="51" t="n">
        <v>14465</v>
      </c>
      <c r="B1570" s="52" t="n">
        <v>40640.5263888889</v>
      </c>
      <c r="C1570" s="1" t="n">
        <v>3</v>
      </c>
      <c r="D1570" s="1" t="n">
        <v>1058.62</v>
      </c>
    </row>
    <row r="1571" customFormat="false" ht="14.25" hidden="false" customHeight="true" outlineLevel="0" collapsed="false">
      <c r="A1571" s="51" t="n">
        <v>14466</v>
      </c>
      <c r="B1571" s="52" t="n">
        <v>40857.5881944444</v>
      </c>
      <c r="C1571" s="1" t="n">
        <v>7</v>
      </c>
      <c r="D1571" s="1" t="n">
        <v>2272.4</v>
      </c>
    </row>
    <row r="1572" customFormat="false" ht="14.25" hidden="false" customHeight="true" outlineLevel="0" collapsed="false">
      <c r="A1572" s="51" t="n">
        <v>14467</v>
      </c>
      <c r="B1572" s="52" t="n">
        <v>40869.5333333333</v>
      </c>
      <c r="C1572" s="1" t="n">
        <v>4</v>
      </c>
      <c r="D1572" s="1" t="n">
        <v>598.76</v>
      </c>
    </row>
    <row r="1573" customFormat="false" ht="14.25" hidden="false" customHeight="true" outlineLevel="0" collapsed="false">
      <c r="A1573" s="51" t="n">
        <v>14470</v>
      </c>
      <c r="B1573" s="52" t="n">
        <v>40875.4381944445</v>
      </c>
      <c r="C1573" s="1" t="n">
        <v>2</v>
      </c>
      <c r="D1573" s="1" t="n">
        <v>461.19</v>
      </c>
    </row>
    <row r="1574" customFormat="false" ht="14.25" hidden="false" customHeight="true" outlineLevel="0" collapsed="false">
      <c r="A1574" s="51" t="n">
        <v>14472</v>
      </c>
      <c r="B1574" s="52" t="n">
        <v>40783.4590277778</v>
      </c>
      <c r="C1574" s="1" t="n">
        <v>8</v>
      </c>
      <c r="D1574" s="1" t="n">
        <v>1936.84</v>
      </c>
    </row>
    <row r="1575" customFormat="false" ht="14.25" hidden="false" customHeight="true" outlineLevel="0" collapsed="false">
      <c r="A1575" s="51" t="n">
        <v>14473</v>
      </c>
      <c r="B1575" s="52" t="n">
        <v>40812.6319444445</v>
      </c>
      <c r="C1575" s="1" t="n">
        <v>2</v>
      </c>
      <c r="D1575" s="1" t="n">
        <v>234.34</v>
      </c>
    </row>
    <row r="1576" customFormat="false" ht="14.25" hidden="false" customHeight="true" outlineLevel="0" collapsed="false">
      <c r="A1576" s="51" t="n">
        <v>14474</v>
      </c>
      <c r="B1576" s="52" t="n">
        <v>40843.5395833333</v>
      </c>
      <c r="C1576" s="1" t="n">
        <v>2</v>
      </c>
      <c r="D1576" s="1" t="n">
        <v>537.71</v>
      </c>
    </row>
    <row r="1577" customFormat="false" ht="14.25" hidden="false" customHeight="true" outlineLevel="0" collapsed="false">
      <c r="A1577" s="51" t="n">
        <v>14475</v>
      </c>
      <c r="B1577" s="52" t="n">
        <v>40815.4486111111</v>
      </c>
      <c r="C1577" s="1" t="n">
        <v>6</v>
      </c>
      <c r="D1577" s="1" t="n">
        <v>799.82</v>
      </c>
    </row>
    <row r="1578" customFormat="false" ht="14.25" hidden="false" customHeight="true" outlineLevel="0" collapsed="false">
      <c r="A1578" s="51" t="n">
        <v>14476</v>
      </c>
      <c r="B1578" s="52" t="n">
        <v>40629.6520833333</v>
      </c>
      <c r="C1578" s="1" t="n">
        <v>1</v>
      </c>
      <c r="D1578" s="1" t="n">
        <v>215.7</v>
      </c>
    </row>
    <row r="1579" customFormat="false" ht="14.25" hidden="false" customHeight="true" outlineLevel="0" collapsed="false">
      <c r="A1579" s="51" t="n">
        <v>14477</v>
      </c>
      <c r="B1579" s="52" t="n">
        <v>40867.4659722222</v>
      </c>
      <c r="C1579" s="1" t="n">
        <v>5</v>
      </c>
      <c r="D1579" s="1" t="n">
        <v>1307.81</v>
      </c>
    </row>
    <row r="1580" customFormat="false" ht="14.25" hidden="false" customHeight="true" outlineLevel="0" collapsed="false">
      <c r="A1580" s="51" t="n">
        <v>14479</v>
      </c>
      <c r="B1580" s="52" t="n">
        <v>40633.3798611111</v>
      </c>
      <c r="C1580" s="1" t="n">
        <v>2</v>
      </c>
      <c r="D1580" s="1" t="n">
        <v>316.25</v>
      </c>
    </row>
    <row r="1581" customFormat="false" ht="14.25" hidden="false" customHeight="true" outlineLevel="0" collapsed="false">
      <c r="A1581" s="51" t="n">
        <v>14480</v>
      </c>
      <c r="B1581" s="52" t="n">
        <v>40875.6909722222</v>
      </c>
      <c r="C1581" s="1" t="n">
        <v>1</v>
      </c>
      <c r="D1581" s="1" t="n">
        <v>279.05</v>
      </c>
    </row>
    <row r="1582" customFormat="false" ht="14.25" hidden="false" customHeight="true" outlineLevel="0" collapsed="false">
      <c r="A1582" s="51" t="n">
        <v>14481</v>
      </c>
      <c r="B1582" s="52" t="n">
        <v>40722.4430555556</v>
      </c>
      <c r="C1582" s="1" t="n">
        <v>2</v>
      </c>
      <c r="D1582" s="1" t="n">
        <v>636.51</v>
      </c>
    </row>
    <row r="1583" customFormat="false" ht="14.25" hidden="false" customHeight="true" outlineLevel="0" collapsed="false">
      <c r="A1583" s="51" t="n">
        <v>14482</v>
      </c>
      <c r="B1583" s="52" t="n">
        <v>40868.5513888889</v>
      </c>
      <c r="C1583" s="1" t="n">
        <v>6</v>
      </c>
      <c r="D1583" s="1" t="n">
        <v>2068.15</v>
      </c>
    </row>
    <row r="1584" customFormat="false" ht="14.25" hidden="false" customHeight="true" outlineLevel="0" collapsed="false">
      <c r="A1584" s="51" t="n">
        <v>14483</v>
      </c>
      <c r="B1584" s="52" t="n">
        <v>40737.40625</v>
      </c>
      <c r="C1584" s="1" t="n">
        <v>2</v>
      </c>
      <c r="D1584" s="1" t="n">
        <v>129.2</v>
      </c>
    </row>
    <row r="1585" customFormat="false" ht="14.25" hidden="false" customHeight="true" outlineLevel="0" collapsed="false">
      <c r="A1585" s="51" t="n">
        <v>14484</v>
      </c>
      <c r="B1585" s="52" t="n">
        <v>40836.5909722222</v>
      </c>
      <c r="C1585" s="1" t="n">
        <v>1</v>
      </c>
      <c r="D1585" s="1" t="n">
        <v>321.92</v>
      </c>
    </row>
    <row r="1586" customFormat="false" ht="14.25" hidden="false" customHeight="true" outlineLevel="0" collapsed="false">
      <c r="A1586" s="51" t="n">
        <v>14485</v>
      </c>
      <c r="B1586" s="52" t="n">
        <v>40848.5173611111</v>
      </c>
      <c r="C1586" s="1" t="n">
        <v>1</v>
      </c>
      <c r="D1586" s="1" t="n">
        <v>165.75</v>
      </c>
    </row>
    <row r="1587" customFormat="false" ht="14.25" hidden="false" customHeight="true" outlineLevel="0" collapsed="false">
      <c r="A1587" s="51" t="n">
        <v>14487</v>
      </c>
      <c r="B1587" s="52" t="n">
        <v>40860.5118055556</v>
      </c>
      <c r="C1587" s="1" t="n">
        <v>7</v>
      </c>
      <c r="D1587" s="1" t="n">
        <v>1183.58</v>
      </c>
    </row>
    <row r="1588" customFormat="false" ht="14.25" hidden="false" customHeight="true" outlineLevel="0" collapsed="false">
      <c r="A1588" s="51" t="n">
        <v>14488</v>
      </c>
      <c r="B1588" s="52" t="n">
        <v>40835.6104166667</v>
      </c>
      <c r="C1588" s="1" t="n">
        <v>2</v>
      </c>
      <c r="D1588" s="1" t="n">
        <v>1047.43</v>
      </c>
    </row>
    <row r="1589" customFormat="false" ht="14.25" hidden="false" customHeight="true" outlineLevel="0" collapsed="false">
      <c r="A1589" s="51" t="n">
        <v>14489</v>
      </c>
      <c r="B1589" s="52" t="n">
        <v>40679.61875</v>
      </c>
      <c r="C1589" s="1" t="n">
        <v>1</v>
      </c>
      <c r="D1589" s="1" t="n">
        <v>463.38</v>
      </c>
    </row>
    <row r="1590" customFormat="false" ht="14.25" hidden="false" customHeight="true" outlineLevel="0" collapsed="false">
      <c r="A1590" s="51" t="n">
        <v>14491</v>
      </c>
      <c r="B1590" s="52" t="n">
        <v>40711.6402777778</v>
      </c>
      <c r="C1590" s="1" t="n">
        <v>2</v>
      </c>
      <c r="D1590" s="1" t="n">
        <v>340.93</v>
      </c>
    </row>
    <row r="1591" customFormat="false" ht="14.25" hidden="false" customHeight="true" outlineLevel="0" collapsed="false">
      <c r="A1591" s="51" t="n">
        <v>14493</v>
      </c>
      <c r="B1591" s="52" t="n">
        <v>40879.6763888889</v>
      </c>
      <c r="C1591" s="1" t="n">
        <v>7</v>
      </c>
      <c r="D1591" s="1" t="n">
        <v>2362.84</v>
      </c>
    </row>
    <row r="1592" customFormat="false" ht="14.25" hidden="false" customHeight="true" outlineLevel="0" collapsed="false">
      <c r="A1592" s="51" t="n">
        <v>14494</v>
      </c>
      <c r="B1592" s="52" t="n">
        <v>40861.3895833333</v>
      </c>
      <c r="C1592" s="1" t="n">
        <v>1</v>
      </c>
      <c r="D1592" s="1" t="n">
        <v>139.56</v>
      </c>
    </row>
    <row r="1593" customFormat="false" ht="14.25" hidden="false" customHeight="true" outlineLevel="0" collapsed="false">
      <c r="A1593" s="51" t="n">
        <v>14495</v>
      </c>
      <c r="B1593" s="52" t="n">
        <v>40836.5194444444</v>
      </c>
      <c r="C1593" s="1" t="n">
        <v>2</v>
      </c>
      <c r="D1593" s="1" t="n">
        <v>123.8</v>
      </c>
    </row>
    <row r="1594" customFormat="false" ht="14.25" hidden="false" customHeight="true" outlineLevel="0" collapsed="false">
      <c r="A1594" s="51" t="n">
        <v>14496</v>
      </c>
      <c r="B1594" s="52" t="n">
        <v>40575.3756944445</v>
      </c>
      <c r="C1594" s="1" t="n">
        <v>2</v>
      </c>
      <c r="D1594" s="1" t="n">
        <v>538.81</v>
      </c>
    </row>
    <row r="1595" customFormat="false" ht="14.25" hidden="false" customHeight="true" outlineLevel="0" collapsed="false">
      <c r="A1595" s="51" t="n">
        <v>14497</v>
      </c>
      <c r="B1595" s="52" t="n">
        <v>40585.6388888889</v>
      </c>
      <c r="C1595" s="1" t="n">
        <v>2</v>
      </c>
      <c r="D1595" s="1" t="n">
        <v>457.47</v>
      </c>
    </row>
    <row r="1596" customFormat="false" ht="14.25" hidden="false" customHeight="true" outlineLevel="0" collapsed="false">
      <c r="A1596" s="51" t="n">
        <v>14498</v>
      </c>
      <c r="B1596" s="52" t="n">
        <v>40844.50625</v>
      </c>
      <c r="C1596" s="1" t="n">
        <v>5</v>
      </c>
      <c r="D1596" s="1" t="n">
        <v>1957.32</v>
      </c>
    </row>
    <row r="1597" customFormat="false" ht="14.25" hidden="false" customHeight="true" outlineLevel="0" collapsed="false">
      <c r="A1597" s="51" t="n">
        <v>14499</v>
      </c>
      <c r="B1597" s="52" t="n">
        <v>40860.5423611111</v>
      </c>
      <c r="C1597" s="1" t="n">
        <v>3</v>
      </c>
      <c r="D1597" s="1" t="n">
        <v>815.32</v>
      </c>
    </row>
    <row r="1598" customFormat="false" ht="14.25" hidden="false" customHeight="true" outlineLevel="0" collapsed="false">
      <c r="A1598" s="51" t="n">
        <v>14500</v>
      </c>
      <c r="B1598" s="52" t="n">
        <v>40798.6979166667</v>
      </c>
      <c r="C1598" s="1" t="n">
        <v>3</v>
      </c>
      <c r="D1598" s="1" t="n">
        <v>356.85</v>
      </c>
    </row>
    <row r="1599" customFormat="false" ht="14.25" hidden="false" customHeight="true" outlineLevel="0" collapsed="false">
      <c r="A1599" s="51" t="n">
        <v>14501</v>
      </c>
      <c r="B1599" s="52" t="n">
        <v>40822.84375</v>
      </c>
      <c r="C1599" s="1" t="n">
        <v>3</v>
      </c>
      <c r="D1599" s="1" t="n">
        <v>190.31</v>
      </c>
    </row>
    <row r="1600" customFormat="false" ht="14.25" hidden="false" customHeight="true" outlineLevel="0" collapsed="false">
      <c r="A1600" s="51" t="n">
        <v>14502</v>
      </c>
      <c r="B1600" s="52" t="n">
        <v>40867.4930555556</v>
      </c>
      <c r="C1600" s="1" t="n">
        <v>14</v>
      </c>
      <c r="D1600" s="1" t="n">
        <v>2351.02</v>
      </c>
    </row>
    <row r="1601" customFormat="false" ht="14.25" hidden="false" customHeight="true" outlineLevel="0" collapsed="false">
      <c r="A1601" s="51" t="n">
        <v>14503</v>
      </c>
      <c r="B1601" s="52" t="n">
        <v>40883.5625</v>
      </c>
      <c r="C1601" s="1" t="n">
        <v>6</v>
      </c>
      <c r="D1601" s="1" t="n">
        <v>3543.26</v>
      </c>
    </row>
    <row r="1602" customFormat="false" ht="14.25" hidden="false" customHeight="true" outlineLevel="0" collapsed="false">
      <c r="A1602" s="51" t="n">
        <v>14504</v>
      </c>
      <c r="B1602" s="52" t="n">
        <v>40839.6666666667</v>
      </c>
      <c r="C1602" s="1" t="n">
        <v>4</v>
      </c>
      <c r="D1602" s="1" t="n">
        <v>673.26</v>
      </c>
    </row>
    <row r="1603" customFormat="false" ht="14.25" hidden="false" customHeight="true" outlineLevel="0" collapsed="false">
      <c r="A1603" s="51" t="n">
        <v>14505</v>
      </c>
      <c r="B1603" s="52" t="n">
        <v>40869.65625</v>
      </c>
      <c r="C1603" s="1" t="n">
        <v>11</v>
      </c>
      <c r="D1603" s="1" t="n">
        <v>5818.7</v>
      </c>
    </row>
    <row r="1604" customFormat="false" ht="14.25" hidden="false" customHeight="true" outlineLevel="0" collapsed="false">
      <c r="A1604" s="51" t="n">
        <v>14506</v>
      </c>
      <c r="B1604" s="52" t="n">
        <v>40869.5430555556</v>
      </c>
      <c r="C1604" s="1" t="n">
        <v>5</v>
      </c>
      <c r="D1604" s="1" t="n">
        <v>2012.17</v>
      </c>
    </row>
    <row r="1605" customFormat="false" ht="14.25" hidden="false" customHeight="true" outlineLevel="0" collapsed="false">
      <c r="A1605" s="51" t="n">
        <v>14507</v>
      </c>
      <c r="B1605" s="52" t="n">
        <v>40863.5145833333</v>
      </c>
      <c r="C1605" s="1" t="n">
        <v>7</v>
      </c>
      <c r="D1605" s="1" t="n">
        <v>1368.18</v>
      </c>
    </row>
    <row r="1606" customFormat="false" ht="14.25" hidden="false" customHeight="true" outlineLevel="0" collapsed="false">
      <c r="A1606" s="51" t="n">
        <v>14508</v>
      </c>
      <c r="B1606" s="52" t="n">
        <v>40864.825</v>
      </c>
      <c r="C1606" s="1" t="n">
        <v>2</v>
      </c>
      <c r="D1606" s="1" t="n">
        <v>276.42</v>
      </c>
    </row>
    <row r="1607" customFormat="false" ht="14.25" hidden="false" customHeight="true" outlineLevel="0" collapsed="false">
      <c r="A1607" s="51" t="n">
        <v>14511</v>
      </c>
      <c r="B1607" s="52" t="n">
        <v>40875.7118055556</v>
      </c>
      <c r="C1607" s="1" t="n">
        <v>6</v>
      </c>
      <c r="D1607" s="1" t="n">
        <v>1267.41</v>
      </c>
    </row>
    <row r="1608" customFormat="false" ht="14.25" hidden="false" customHeight="true" outlineLevel="0" collapsed="false">
      <c r="A1608" s="51" t="n">
        <v>14512</v>
      </c>
      <c r="B1608" s="52" t="n">
        <v>40699.5270833333</v>
      </c>
      <c r="C1608" s="1" t="n">
        <v>2</v>
      </c>
      <c r="D1608" s="1" t="n">
        <v>275.28</v>
      </c>
    </row>
    <row r="1609" customFormat="false" ht="14.25" hidden="false" customHeight="true" outlineLevel="0" collapsed="false">
      <c r="A1609" s="51" t="n">
        <v>14513</v>
      </c>
      <c r="B1609" s="52" t="n">
        <v>40786.4756944445</v>
      </c>
      <c r="C1609" s="1" t="n">
        <v>4</v>
      </c>
      <c r="D1609" s="1" t="n">
        <v>438.49</v>
      </c>
    </row>
    <row r="1610" customFormat="false" ht="14.25" hidden="false" customHeight="true" outlineLevel="0" collapsed="false">
      <c r="A1610" s="51" t="n">
        <v>14514</v>
      </c>
      <c r="B1610" s="52" t="n">
        <v>40825.6701388889</v>
      </c>
      <c r="C1610" s="1" t="n">
        <v>3</v>
      </c>
      <c r="D1610" s="1" t="n">
        <v>1055.35</v>
      </c>
    </row>
    <row r="1611" customFormat="false" ht="14.25" hidden="false" customHeight="true" outlineLevel="0" collapsed="false">
      <c r="A1611" s="51" t="n">
        <v>14515</v>
      </c>
      <c r="B1611" s="52" t="n">
        <v>40869.4840277778</v>
      </c>
      <c r="C1611" s="1" t="n">
        <v>6</v>
      </c>
      <c r="D1611" s="1" t="n">
        <v>2102.09</v>
      </c>
    </row>
    <row r="1612" customFormat="false" ht="14.25" hidden="false" customHeight="true" outlineLevel="0" collapsed="false">
      <c r="A1612" s="51" t="n">
        <v>14517</v>
      </c>
      <c r="B1612" s="52" t="n">
        <v>40853.5972222222</v>
      </c>
      <c r="C1612" s="1" t="n">
        <v>2</v>
      </c>
      <c r="D1612" s="1" t="n">
        <v>330.45</v>
      </c>
    </row>
    <row r="1613" customFormat="false" ht="14.25" hidden="false" customHeight="true" outlineLevel="0" collapsed="false">
      <c r="A1613" s="51" t="n">
        <v>14518</v>
      </c>
      <c r="B1613" s="52" t="n">
        <v>40822.6131944444</v>
      </c>
      <c r="C1613" s="1" t="n">
        <v>1</v>
      </c>
      <c r="D1613" s="1" t="n">
        <v>174.37</v>
      </c>
    </row>
    <row r="1614" customFormat="false" ht="14.25" hidden="false" customHeight="true" outlineLevel="0" collapsed="false">
      <c r="A1614" s="51" t="n">
        <v>14520</v>
      </c>
      <c r="B1614" s="52" t="n">
        <v>40885.4069444445</v>
      </c>
      <c r="C1614" s="1" t="n">
        <v>2</v>
      </c>
      <c r="D1614" s="1" t="n">
        <v>270.6</v>
      </c>
    </row>
    <row r="1615" customFormat="false" ht="14.25" hidden="false" customHeight="true" outlineLevel="0" collapsed="false">
      <c r="A1615" s="51" t="n">
        <v>14522</v>
      </c>
      <c r="B1615" s="52" t="n">
        <v>40862.5583333333</v>
      </c>
      <c r="C1615" s="1" t="n">
        <v>4</v>
      </c>
      <c r="D1615" s="1" t="n">
        <v>974.54</v>
      </c>
    </row>
    <row r="1616" customFormat="false" ht="14.25" hidden="false" customHeight="true" outlineLevel="0" collapsed="false">
      <c r="A1616" s="51" t="n">
        <v>14523</v>
      </c>
      <c r="B1616" s="52" t="n">
        <v>40778.5506944444</v>
      </c>
      <c r="C1616" s="1" t="n">
        <v>1</v>
      </c>
      <c r="D1616" s="1" t="n">
        <v>241.09</v>
      </c>
    </row>
    <row r="1617" customFormat="false" ht="14.25" hidden="false" customHeight="true" outlineLevel="0" collapsed="false">
      <c r="A1617" s="51" t="n">
        <v>14524</v>
      </c>
      <c r="B1617" s="52" t="n">
        <v>40855.5201388889</v>
      </c>
      <c r="C1617" s="1" t="n">
        <v>9</v>
      </c>
      <c r="D1617" s="1" t="n">
        <v>1867.68</v>
      </c>
    </row>
    <row r="1618" customFormat="false" ht="14.25" hidden="false" customHeight="true" outlineLevel="0" collapsed="false">
      <c r="A1618" s="51" t="n">
        <v>14525</v>
      </c>
      <c r="B1618" s="52" t="n">
        <v>40878.3701388889</v>
      </c>
      <c r="C1618" s="1" t="n">
        <v>13</v>
      </c>
      <c r="D1618" s="1" t="n">
        <v>4221.37</v>
      </c>
    </row>
    <row r="1619" customFormat="false" ht="14.25" hidden="false" customHeight="true" outlineLevel="0" collapsed="false">
      <c r="A1619" s="51" t="n">
        <v>14527</v>
      </c>
      <c r="B1619" s="52" t="n">
        <v>40884.5131944444</v>
      </c>
      <c r="C1619" s="1" t="n">
        <v>86</v>
      </c>
      <c r="D1619" s="1" t="n">
        <v>7711.37999999995</v>
      </c>
    </row>
    <row r="1620" customFormat="false" ht="14.25" hidden="false" customHeight="true" outlineLevel="0" collapsed="false">
      <c r="A1620" s="51" t="n">
        <v>14528</v>
      </c>
      <c r="B1620" s="52" t="n">
        <v>40849.7145833333</v>
      </c>
      <c r="C1620" s="1" t="n">
        <v>1</v>
      </c>
      <c r="D1620" s="1" t="n">
        <v>364.22</v>
      </c>
    </row>
    <row r="1621" customFormat="false" ht="14.25" hidden="false" customHeight="true" outlineLevel="0" collapsed="false">
      <c r="A1621" s="51" t="n">
        <v>14529</v>
      </c>
      <c r="B1621" s="52" t="n">
        <v>40826.64375</v>
      </c>
      <c r="C1621" s="1" t="n">
        <v>3</v>
      </c>
      <c r="D1621" s="1" t="n">
        <v>620.04</v>
      </c>
    </row>
    <row r="1622" customFormat="false" ht="14.25" hidden="false" customHeight="true" outlineLevel="0" collapsed="false">
      <c r="A1622" s="51" t="n">
        <v>14530</v>
      </c>
      <c r="B1622" s="52" t="n">
        <v>40861.4430555556</v>
      </c>
      <c r="C1622" s="1" t="n">
        <v>6</v>
      </c>
      <c r="D1622" s="1" t="n">
        <v>2925.91</v>
      </c>
    </row>
    <row r="1623" customFormat="false" ht="14.25" hidden="false" customHeight="true" outlineLevel="0" collapsed="false">
      <c r="A1623" s="51" t="n">
        <v>14532</v>
      </c>
      <c r="B1623" s="52" t="n">
        <v>40650.5451388889</v>
      </c>
      <c r="C1623" s="1" t="n">
        <v>4</v>
      </c>
      <c r="D1623" s="1" t="n">
        <v>932.85</v>
      </c>
    </row>
    <row r="1624" customFormat="false" ht="14.25" hidden="false" customHeight="true" outlineLevel="0" collapsed="false">
      <c r="A1624" s="51" t="n">
        <v>14533</v>
      </c>
      <c r="B1624" s="52" t="n">
        <v>40862.5034722222</v>
      </c>
      <c r="C1624" s="1" t="n">
        <v>9</v>
      </c>
      <c r="D1624" s="1" t="n">
        <v>1812.62</v>
      </c>
    </row>
    <row r="1625" customFormat="false" ht="14.25" hidden="false" customHeight="true" outlineLevel="0" collapsed="false">
      <c r="A1625" s="51" t="n">
        <v>14534</v>
      </c>
      <c r="B1625" s="52" t="n">
        <v>40884.5131944444</v>
      </c>
      <c r="C1625" s="1" t="n">
        <v>25</v>
      </c>
      <c r="D1625" s="1" t="n">
        <v>4075.35</v>
      </c>
    </row>
    <row r="1626" customFormat="false" ht="14.25" hidden="false" customHeight="true" outlineLevel="0" collapsed="false">
      <c r="A1626" s="51" t="n">
        <v>14535</v>
      </c>
      <c r="B1626" s="52" t="n">
        <v>40827.6833333333</v>
      </c>
      <c r="C1626" s="1" t="n">
        <v>4</v>
      </c>
      <c r="D1626" s="1" t="n">
        <v>2841.09</v>
      </c>
    </row>
    <row r="1627" customFormat="false" ht="14.25" hidden="false" customHeight="true" outlineLevel="0" collapsed="false">
      <c r="A1627" s="51" t="n">
        <v>14536</v>
      </c>
      <c r="B1627" s="52" t="n">
        <v>40627.5145833333</v>
      </c>
      <c r="C1627" s="1" t="n">
        <v>1</v>
      </c>
      <c r="D1627" s="1" t="n">
        <v>171.8</v>
      </c>
    </row>
    <row r="1628" customFormat="false" ht="14.25" hidden="false" customHeight="true" outlineLevel="0" collapsed="false">
      <c r="A1628" s="51" t="n">
        <v>14537</v>
      </c>
      <c r="B1628" s="52" t="n">
        <v>40829.4541666667</v>
      </c>
      <c r="C1628" s="1" t="n">
        <v>1</v>
      </c>
      <c r="D1628" s="1" t="n">
        <v>355.56</v>
      </c>
    </row>
    <row r="1629" customFormat="false" ht="14.25" hidden="false" customHeight="true" outlineLevel="0" collapsed="false">
      <c r="A1629" s="51" t="n">
        <v>14538</v>
      </c>
      <c r="B1629" s="52" t="n">
        <v>40822.4381944445</v>
      </c>
      <c r="C1629" s="1" t="n">
        <v>2</v>
      </c>
      <c r="D1629" s="1" t="n">
        <v>388.25</v>
      </c>
    </row>
    <row r="1630" customFormat="false" ht="14.25" hidden="false" customHeight="true" outlineLevel="0" collapsed="false">
      <c r="A1630" s="51" t="n">
        <v>14539</v>
      </c>
      <c r="B1630" s="52" t="n">
        <v>40871.4097222222</v>
      </c>
      <c r="C1630" s="1" t="n">
        <v>2</v>
      </c>
      <c r="D1630" s="1" t="n">
        <v>537.48</v>
      </c>
    </row>
    <row r="1631" customFormat="false" ht="14.25" hidden="false" customHeight="true" outlineLevel="0" collapsed="false">
      <c r="A1631" s="51" t="n">
        <v>14540</v>
      </c>
      <c r="B1631" s="52" t="n">
        <v>40877.4270833333</v>
      </c>
      <c r="C1631" s="1" t="n">
        <v>3</v>
      </c>
      <c r="D1631" s="1" t="n">
        <v>996.26</v>
      </c>
    </row>
    <row r="1632" customFormat="false" ht="14.25" hidden="false" customHeight="true" outlineLevel="0" collapsed="false">
      <c r="A1632" s="51" t="n">
        <v>14541</v>
      </c>
      <c r="B1632" s="52" t="n">
        <v>40828.4222222222</v>
      </c>
      <c r="C1632" s="1" t="n">
        <v>8</v>
      </c>
      <c r="D1632" s="1" t="n">
        <v>1461.65</v>
      </c>
    </row>
    <row r="1633" customFormat="false" ht="14.25" hidden="false" customHeight="true" outlineLevel="0" collapsed="false">
      <c r="A1633" s="51" t="n">
        <v>14542</v>
      </c>
      <c r="B1633" s="52" t="n">
        <v>40701.3465277778</v>
      </c>
      <c r="C1633" s="1" t="n">
        <v>1</v>
      </c>
      <c r="D1633" s="1" t="n">
        <v>103.25</v>
      </c>
    </row>
    <row r="1634" customFormat="false" ht="14.25" hidden="false" customHeight="true" outlineLevel="0" collapsed="false">
      <c r="A1634" s="51" t="n">
        <v>14543</v>
      </c>
      <c r="B1634" s="52" t="n">
        <v>40883.4388888889</v>
      </c>
      <c r="C1634" s="1" t="n">
        <v>21</v>
      </c>
      <c r="D1634" s="1" t="n">
        <v>2916.17</v>
      </c>
    </row>
    <row r="1635" customFormat="false" ht="14.25" hidden="false" customHeight="true" outlineLevel="0" collapsed="false">
      <c r="A1635" s="51" t="n">
        <v>14544</v>
      </c>
      <c r="B1635" s="52" t="n">
        <v>40862.6291666667</v>
      </c>
      <c r="C1635" s="1" t="n">
        <v>2</v>
      </c>
      <c r="D1635" s="1" t="n">
        <v>2024.45</v>
      </c>
    </row>
    <row r="1636" customFormat="false" ht="14.25" hidden="false" customHeight="true" outlineLevel="0" collapsed="false">
      <c r="A1636" s="51" t="n">
        <v>14546</v>
      </c>
      <c r="B1636" s="52" t="n">
        <v>40882.6895833333</v>
      </c>
      <c r="C1636" s="1" t="n">
        <v>9</v>
      </c>
      <c r="D1636" s="1" t="n">
        <v>2487.02</v>
      </c>
    </row>
    <row r="1637" customFormat="false" ht="14.25" hidden="false" customHeight="true" outlineLevel="0" collapsed="false">
      <c r="A1637" s="51" t="n">
        <v>14547</v>
      </c>
      <c r="B1637" s="52" t="n">
        <v>40883.4625</v>
      </c>
      <c r="C1637" s="1" t="n">
        <v>9</v>
      </c>
      <c r="D1637" s="1" t="n">
        <v>3986.74</v>
      </c>
    </row>
    <row r="1638" customFormat="false" ht="14.25" hidden="false" customHeight="true" outlineLevel="0" collapsed="false">
      <c r="A1638" s="51" t="n">
        <v>14548</v>
      </c>
      <c r="B1638" s="52" t="n">
        <v>40736.5131944444</v>
      </c>
      <c r="C1638" s="1" t="n">
        <v>2</v>
      </c>
      <c r="D1638" s="1" t="n">
        <v>652.8</v>
      </c>
    </row>
    <row r="1639" customFormat="false" ht="14.25" hidden="false" customHeight="true" outlineLevel="0" collapsed="false">
      <c r="A1639" s="51" t="n">
        <v>14549</v>
      </c>
      <c r="B1639" s="52" t="n">
        <v>40575.5743055556</v>
      </c>
      <c r="C1639" s="1" t="n">
        <v>1</v>
      </c>
      <c r="D1639" s="1" t="n">
        <v>289.24</v>
      </c>
    </row>
    <row r="1640" customFormat="false" ht="14.25" hidden="false" customHeight="true" outlineLevel="0" collapsed="false">
      <c r="A1640" s="51" t="n">
        <v>14550</v>
      </c>
      <c r="B1640" s="52" t="n">
        <v>40876.5083333333</v>
      </c>
      <c r="C1640" s="1" t="n">
        <v>2</v>
      </c>
      <c r="D1640" s="1" t="n">
        <v>765.62</v>
      </c>
    </row>
    <row r="1641" customFormat="false" ht="14.25" hidden="false" customHeight="true" outlineLevel="0" collapsed="false">
      <c r="A1641" s="51" t="n">
        <v>14551</v>
      </c>
      <c r="B1641" s="52" t="n">
        <v>40868.5666666667</v>
      </c>
      <c r="C1641" s="1" t="n">
        <v>2</v>
      </c>
      <c r="D1641" s="1" t="n">
        <v>186.23</v>
      </c>
    </row>
    <row r="1642" customFormat="false" ht="14.25" hidden="false" customHeight="true" outlineLevel="0" collapsed="false">
      <c r="A1642" s="51" t="n">
        <v>14552</v>
      </c>
      <c r="B1642" s="52" t="n">
        <v>40735.5340277778</v>
      </c>
      <c r="C1642" s="1" t="n">
        <v>1</v>
      </c>
      <c r="D1642" s="1" t="n">
        <v>165.07</v>
      </c>
    </row>
    <row r="1643" customFormat="false" ht="14.25" hidden="false" customHeight="true" outlineLevel="0" collapsed="false">
      <c r="A1643" s="51" t="n">
        <v>14553</v>
      </c>
      <c r="B1643" s="52" t="n">
        <v>40867.5555555556</v>
      </c>
      <c r="C1643" s="1" t="n">
        <v>5</v>
      </c>
      <c r="D1643" s="1" t="n">
        <v>859.27</v>
      </c>
    </row>
    <row r="1644" customFormat="false" ht="14.25" hidden="false" customHeight="true" outlineLevel="0" collapsed="false">
      <c r="A1644" s="51" t="n">
        <v>14554</v>
      </c>
      <c r="B1644" s="52" t="n">
        <v>40876.6972222222</v>
      </c>
      <c r="C1644" s="1" t="n">
        <v>4</v>
      </c>
      <c r="D1644" s="1" t="n">
        <v>2381.04</v>
      </c>
    </row>
    <row r="1645" customFormat="false" ht="14.25" hidden="false" customHeight="true" outlineLevel="0" collapsed="false">
      <c r="A1645" s="51" t="n">
        <v>14555</v>
      </c>
      <c r="B1645" s="52" t="n">
        <v>40829.6833333333</v>
      </c>
      <c r="C1645" s="1" t="n">
        <v>2</v>
      </c>
      <c r="D1645" s="1" t="n">
        <v>324.14</v>
      </c>
    </row>
    <row r="1646" customFormat="false" ht="14.25" hidden="false" customHeight="true" outlineLevel="0" collapsed="false">
      <c r="A1646" s="51" t="n">
        <v>14557</v>
      </c>
      <c r="B1646" s="52" t="n">
        <v>40822.8583333333</v>
      </c>
      <c r="C1646" s="1" t="n">
        <v>2</v>
      </c>
      <c r="D1646" s="1" t="n">
        <v>0</v>
      </c>
    </row>
    <row r="1647" customFormat="false" ht="14.25" hidden="false" customHeight="true" outlineLevel="0" collapsed="false">
      <c r="A1647" s="51" t="n">
        <v>14560</v>
      </c>
      <c r="B1647" s="52" t="n">
        <v>40879.6402777778</v>
      </c>
      <c r="C1647" s="1" t="n">
        <v>24</v>
      </c>
      <c r="D1647" s="1" t="n">
        <v>2174.18</v>
      </c>
    </row>
    <row r="1648" customFormat="false" ht="14.25" hidden="false" customHeight="true" outlineLevel="0" collapsed="false">
      <c r="A1648" s="51" t="n">
        <v>14561</v>
      </c>
      <c r="B1648" s="52" t="n">
        <v>40811.5270833333</v>
      </c>
      <c r="C1648" s="1" t="n">
        <v>3</v>
      </c>
      <c r="D1648" s="1" t="n">
        <v>1080.76</v>
      </c>
    </row>
    <row r="1649" customFormat="false" ht="14.25" hidden="false" customHeight="true" outlineLevel="0" collapsed="false">
      <c r="A1649" s="51" t="n">
        <v>14562</v>
      </c>
      <c r="B1649" s="52" t="n">
        <v>40883.4618055556</v>
      </c>
      <c r="C1649" s="1" t="n">
        <v>22</v>
      </c>
      <c r="D1649" s="1" t="n">
        <v>4709.22</v>
      </c>
    </row>
    <row r="1650" customFormat="false" ht="14.25" hidden="false" customHeight="true" outlineLevel="0" collapsed="false">
      <c r="A1650" s="51" t="n">
        <v>14565</v>
      </c>
      <c r="B1650" s="52" t="n">
        <v>40791.5256944444</v>
      </c>
      <c r="C1650" s="1" t="n">
        <v>6</v>
      </c>
      <c r="D1650" s="1" t="n">
        <v>3073.77</v>
      </c>
    </row>
    <row r="1651" customFormat="false" ht="14.25" hidden="false" customHeight="true" outlineLevel="0" collapsed="false">
      <c r="A1651" s="51" t="n">
        <v>14566</v>
      </c>
      <c r="B1651" s="52" t="n">
        <v>40776.4618055556</v>
      </c>
      <c r="C1651" s="1" t="n">
        <v>1</v>
      </c>
      <c r="D1651" s="1" t="n">
        <v>1432</v>
      </c>
    </row>
    <row r="1652" customFormat="false" ht="14.25" hidden="false" customHeight="true" outlineLevel="0" collapsed="false">
      <c r="A1652" s="51" t="n">
        <v>14567</v>
      </c>
      <c r="B1652" s="52" t="n">
        <v>40851.58125</v>
      </c>
      <c r="C1652" s="1" t="n">
        <v>3</v>
      </c>
      <c r="D1652" s="1" t="n">
        <v>1524.46</v>
      </c>
    </row>
    <row r="1653" customFormat="false" ht="14.25" hidden="false" customHeight="true" outlineLevel="0" collapsed="false">
      <c r="A1653" s="51" t="n">
        <v>14569</v>
      </c>
      <c r="B1653" s="52" t="n">
        <v>40885.6236111111</v>
      </c>
      <c r="C1653" s="1" t="n">
        <v>1</v>
      </c>
      <c r="D1653" s="1" t="n">
        <v>227.39</v>
      </c>
    </row>
    <row r="1654" customFormat="false" ht="14.25" hidden="false" customHeight="true" outlineLevel="0" collapsed="false">
      <c r="A1654" s="51" t="n">
        <v>14570</v>
      </c>
      <c r="B1654" s="52" t="n">
        <v>40606.4569444444</v>
      </c>
      <c r="C1654" s="1" t="n">
        <v>2</v>
      </c>
      <c r="D1654" s="1" t="n">
        <v>218.06</v>
      </c>
    </row>
    <row r="1655" customFormat="false" ht="14.25" hidden="false" customHeight="true" outlineLevel="0" collapsed="false">
      <c r="A1655" s="51" t="n">
        <v>14572</v>
      </c>
      <c r="B1655" s="52" t="n">
        <v>40883.6111111111</v>
      </c>
      <c r="C1655" s="1" t="n">
        <v>10</v>
      </c>
      <c r="D1655" s="1" t="n">
        <v>2803.69</v>
      </c>
    </row>
    <row r="1656" customFormat="false" ht="14.25" hidden="false" customHeight="true" outlineLevel="0" collapsed="false">
      <c r="A1656" s="51" t="n">
        <v>14573</v>
      </c>
      <c r="B1656" s="52" t="n">
        <v>40707.46875</v>
      </c>
      <c r="C1656" s="1" t="n">
        <v>13</v>
      </c>
      <c r="D1656" s="1" t="n">
        <v>1603.72</v>
      </c>
    </row>
    <row r="1657" customFormat="false" ht="14.25" hidden="false" customHeight="true" outlineLevel="0" collapsed="false">
      <c r="A1657" s="51" t="n">
        <v>14576</v>
      </c>
      <c r="B1657" s="52" t="n">
        <v>40514.74375</v>
      </c>
      <c r="C1657" s="1" t="n">
        <v>1</v>
      </c>
      <c r="D1657" s="1" t="n">
        <v>35.4</v>
      </c>
    </row>
    <row r="1658" customFormat="false" ht="14.25" hidden="false" customHeight="true" outlineLevel="0" collapsed="false">
      <c r="A1658" s="51" t="n">
        <v>14577</v>
      </c>
      <c r="B1658" s="52" t="n">
        <v>40874.5326388889</v>
      </c>
      <c r="C1658" s="1" t="n">
        <v>4</v>
      </c>
      <c r="D1658" s="1" t="n">
        <v>859.710000000001</v>
      </c>
    </row>
    <row r="1659" customFormat="false" ht="14.25" hidden="false" customHeight="true" outlineLevel="0" collapsed="false">
      <c r="A1659" s="51" t="n">
        <v>14578</v>
      </c>
      <c r="B1659" s="52" t="n">
        <v>40883.7208333333</v>
      </c>
      <c r="C1659" s="1" t="n">
        <v>1</v>
      </c>
      <c r="D1659" s="1" t="n">
        <v>168.63</v>
      </c>
    </row>
    <row r="1660" customFormat="false" ht="14.25" hidden="false" customHeight="true" outlineLevel="0" collapsed="false">
      <c r="A1660" s="51" t="n">
        <v>14581</v>
      </c>
      <c r="B1660" s="52" t="n">
        <v>40870.5270833333</v>
      </c>
      <c r="C1660" s="1" t="n">
        <v>1</v>
      </c>
      <c r="D1660" s="1" t="n">
        <v>138.6</v>
      </c>
    </row>
    <row r="1661" customFormat="false" ht="14.25" hidden="false" customHeight="true" outlineLevel="0" collapsed="false">
      <c r="A1661" s="51" t="n">
        <v>14582</v>
      </c>
      <c r="B1661" s="52" t="n">
        <v>40846.4972222222</v>
      </c>
      <c r="C1661" s="1" t="n">
        <v>1</v>
      </c>
      <c r="D1661" s="1" t="n">
        <v>114.11</v>
      </c>
    </row>
    <row r="1662" customFormat="false" ht="14.25" hidden="false" customHeight="true" outlineLevel="0" collapsed="false">
      <c r="A1662" s="51" t="n">
        <v>14583</v>
      </c>
      <c r="B1662" s="52" t="n">
        <v>40881.5222222222</v>
      </c>
      <c r="C1662" s="1" t="n">
        <v>5</v>
      </c>
      <c r="D1662" s="1" t="n">
        <v>1052.55</v>
      </c>
    </row>
    <row r="1663" customFormat="false" ht="14.25" hidden="false" customHeight="true" outlineLevel="0" collapsed="false">
      <c r="A1663" s="51" t="n">
        <v>14584</v>
      </c>
      <c r="B1663" s="52" t="n">
        <v>40717.7729166667</v>
      </c>
      <c r="C1663" s="1" t="n">
        <v>5</v>
      </c>
      <c r="D1663" s="1" t="n">
        <v>1029.26</v>
      </c>
    </row>
    <row r="1664" customFormat="false" ht="14.25" hidden="false" customHeight="true" outlineLevel="0" collapsed="false">
      <c r="A1664" s="51" t="n">
        <v>14585</v>
      </c>
      <c r="B1664" s="52" t="n">
        <v>40836.60625</v>
      </c>
      <c r="C1664" s="1" t="n">
        <v>1</v>
      </c>
      <c r="D1664" s="1" t="n">
        <v>157.05</v>
      </c>
    </row>
    <row r="1665" customFormat="false" ht="14.25" hidden="false" customHeight="true" outlineLevel="0" collapsed="false">
      <c r="A1665" s="51" t="n">
        <v>14586</v>
      </c>
      <c r="B1665" s="52" t="n">
        <v>40659.7305555556</v>
      </c>
      <c r="C1665" s="1" t="n">
        <v>3</v>
      </c>
      <c r="D1665" s="1" t="n">
        <v>134.16</v>
      </c>
    </row>
    <row r="1666" customFormat="false" ht="14.25" hidden="false" customHeight="true" outlineLevel="0" collapsed="false">
      <c r="A1666" s="51" t="n">
        <v>14587</v>
      </c>
      <c r="B1666" s="52" t="n">
        <v>40868.4819444444</v>
      </c>
      <c r="C1666" s="1" t="n">
        <v>10</v>
      </c>
      <c r="D1666" s="1" t="n">
        <v>1598.24</v>
      </c>
    </row>
    <row r="1667" customFormat="false" ht="14.25" hidden="false" customHeight="true" outlineLevel="0" collapsed="false">
      <c r="A1667" s="51" t="n">
        <v>14589</v>
      </c>
      <c r="B1667" s="52" t="n">
        <v>40515.4875</v>
      </c>
      <c r="C1667" s="1" t="n">
        <v>1</v>
      </c>
      <c r="D1667" s="1" t="n">
        <v>39.75</v>
      </c>
    </row>
    <row r="1668" customFormat="false" ht="14.25" hidden="false" customHeight="true" outlineLevel="0" collapsed="false">
      <c r="A1668" s="51" t="n">
        <v>14591</v>
      </c>
      <c r="B1668" s="52" t="n">
        <v>40871.58125</v>
      </c>
      <c r="C1668" s="1" t="n">
        <v>4</v>
      </c>
      <c r="D1668" s="1" t="n">
        <v>1447.14</v>
      </c>
    </row>
    <row r="1669" customFormat="false" ht="14.25" hidden="false" customHeight="true" outlineLevel="0" collapsed="false">
      <c r="A1669" s="51" t="n">
        <v>14592</v>
      </c>
      <c r="B1669" s="52" t="n">
        <v>40851.6909722222</v>
      </c>
      <c r="C1669" s="1" t="n">
        <v>3</v>
      </c>
      <c r="D1669" s="1" t="n">
        <v>570.46</v>
      </c>
    </row>
    <row r="1670" customFormat="false" ht="14.25" hidden="false" customHeight="true" outlineLevel="0" collapsed="false">
      <c r="A1670" s="51" t="n">
        <v>14593</v>
      </c>
      <c r="B1670" s="52" t="n">
        <v>40865.5333333333</v>
      </c>
      <c r="C1670" s="1" t="n">
        <v>3</v>
      </c>
      <c r="D1670" s="1" t="n">
        <v>617.99</v>
      </c>
    </row>
    <row r="1671" customFormat="false" ht="14.25" hidden="false" customHeight="true" outlineLevel="0" collapsed="false">
      <c r="A1671" s="51" t="n">
        <v>14594</v>
      </c>
      <c r="B1671" s="52" t="n">
        <v>40879.5611111111</v>
      </c>
      <c r="C1671" s="1" t="n">
        <v>2</v>
      </c>
      <c r="D1671" s="1" t="n">
        <v>379.83</v>
      </c>
    </row>
    <row r="1672" customFormat="false" ht="14.25" hidden="false" customHeight="true" outlineLevel="0" collapsed="false">
      <c r="A1672" s="51" t="n">
        <v>14595</v>
      </c>
      <c r="B1672" s="52" t="n">
        <v>40867.5083333333</v>
      </c>
      <c r="C1672" s="1" t="n">
        <v>6</v>
      </c>
      <c r="D1672" s="1" t="n">
        <v>1740.6</v>
      </c>
    </row>
    <row r="1673" customFormat="false" ht="14.25" hidden="false" customHeight="true" outlineLevel="0" collapsed="false">
      <c r="A1673" s="51" t="n">
        <v>14597</v>
      </c>
      <c r="B1673" s="52" t="n">
        <v>40875.5506944444</v>
      </c>
      <c r="C1673" s="1" t="n">
        <v>2</v>
      </c>
      <c r="D1673" s="1" t="n">
        <v>883.15</v>
      </c>
    </row>
    <row r="1674" customFormat="false" ht="14.25" hidden="false" customHeight="true" outlineLevel="0" collapsed="false">
      <c r="A1674" s="51" t="n">
        <v>14598</v>
      </c>
      <c r="B1674" s="52" t="n">
        <v>40842.5548611111</v>
      </c>
      <c r="C1674" s="1" t="n">
        <v>1</v>
      </c>
      <c r="D1674" s="1" t="n">
        <v>221.97</v>
      </c>
    </row>
    <row r="1675" customFormat="false" ht="14.25" hidden="false" customHeight="true" outlineLevel="0" collapsed="false">
      <c r="A1675" s="51" t="n">
        <v>14600</v>
      </c>
      <c r="B1675" s="52" t="n">
        <v>40581.4083333333</v>
      </c>
      <c r="C1675" s="1" t="n">
        <v>1</v>
      </c>
      <c r="D1675" s="1" t="n">
        <v>393.33</v>
      </c>
    </row>
    <row r="1676" customFormat="false" ht="14.25" hidden="false" customHeight="true" outlineLevel="0" collapsed="false">
      <c r="A1676" s="51" t="n">
        <v>14601</v>
      </c>
      <c r="B1676" s="52" t="n">
        <v>40876.4083333333</v>
      </c>
      <c r="C1676" s="1" t="n">
        <v>1</v>
      </c>
      <c r="D1676" s="1" t="n">
        <v>213.96</v>
      </c>
    </row>
    <row r="1677" customFormat="false" ht="14.25" hidden="false" customHeight="true" outlineLevel="0" collapsed="false">
      <c r="A1677" s="51" t="n">
        <v>14603</v>
      </c>
      <c r="B1677" s="52" t="n">
        <v>40612.4354166667</v>
      </c>
      <c r="C1677" s="1" t="n">
        <v>1</v>
      </c>
      <c r="D1677" s="1" t="n">
        <v>660</v>
      </c>
    </row>
    <row r="1678" customFormat="false" ht="14.25" hidden="false" customHeight="true" outlineLevel="0" collapsed="false">
      <c r="A1678" s="51" t="n">
        <v>14606</v>
      </c>
      <c r="B1678" s="52" t="n">
        <v>40885.8111111111</v>
      </c>
      <c r="C1678" s="1" t="n">
        <v>128</v>
      </c>
      <c r="D1678" s="1" t="n">
        <v>11713.8500000001</v>
      </c>
    </row>
    <row r="1679" customFormat="false" ht="14.25" hidden="false" customHeight="true" outlineLevel="0" collapsed="false">
      <c r="A1679" s="51" t="n">
        <v>14607</v>
      </c>
      <c r="B1679" s="52" t="n">
        <v>40871.4409722222</v>
      </c>
      <c r="C1679" s="1" t="n">
        <v>17</v>
      </c>
      <c r="D1679" s="1" t="n">
        <v>11341.1</v>
      </c>
    </row>
    <row r="1680" customFormat="false" ht="14.25" hidden="false" customHeight="true" outlineLevel="0" collapsed="false">
      <c r="A1680" s="51" t="n">
        <v>14608</v>
      </c>
      <c r="B1680" s="52" t="n">
        <v>40882.7027777778</v>
      </c>
      <c r="C1680" s="1" t="n">
        <v>4</v>
      </c>
      <c r="D1680" s="1" t="n">
        <v>1785.15</v>
      </c>
    </row>
    <row r="1681" customFormat="false" ht="14.25" hidden="false" customHeight="true" outlineLevel="0" collapsed="false">
      <c r="A1681" s="51" t="n">
        <v>14609</v>
      </c>
      <c r="B1681" s="52" t="n">
        <v>40814.5375</v>
      </c>
      <c r="C1681" s="1" t="n">
        <v>4</v>
      </c>
      <c r="D1681" s="1" t="n">
        <v>601.56</v>
      </c>
    </row>
    <row r="1682" customFormat="false" ht="14.25" hidden="false" customHeight="true" outlineLevel="0" collapsed="false">
      <c r="A1682" s="51" t="n">
        <v>14616</v>
      </c>
      <c r="B1682" s="52" t="n">
        <v>40644.4125</v>
      </c>
      <c r="C1682" s="1" t="n">
        <v>3</v>
      </c>
      <c r="D1682" s="1" t="n">
        <v>406.08</v>
      </c>
    </row>
    <row r="1683" customFormat="false" ht="14.25" hidden="false" customHeight="true" outlineLevel="0" collapsed="false">
      <c r="A1683" s="51" t="n">
        <v>14618</v>
      </c>
      <c r="B1683" s="52" t="n">
        <v>40877.5729166667</v>
      </c>
      <c r="C1683" s="1" t="n">
        <v>4</v>
      </c>
      <c r="D1683" s="1" t="n">
        <v>538.59</v>
      </c>
    </row>
    <row r="1684" customFormat="false" ht="14.25" hidden="false" customHeight="true" outlineLevel="0" collapsed="false">
      <c r="A1684" s="51" t="n">
        <v>14619</v>
      </c>
      <c r="B1684" s="52" t="n">
        <v>40647.7173611111</v>
      </c>
      <c r="C1684" s="1" t="n">
        <v>2</v>
      </c>
      <c r="D1684" s="1" t="n">
        <v>379.51</v>
      </c>
    </row>
    <row r="1685" customFormat="false" ht="14.25" hidden="false" customHeight="true" outlineLevel="0" collapsed="false">
      <c r="A1685" s="51" t="n">
        <v>14620</v>
      </c>
      <c r="B1685" s="52" t="n">
        <v>40682.5930555556</v>
      </c>
      <c r="C1685" s="1" t="n">
        <v>3</v>
      </c>
      <c r="D1685" s="1" t="n">
        <v>393.28</v>
      </c>
    </row>
    <row r="1686" customFormat="false" ht="14.25" hidden="false" customHeight="true" outlineLevel="0" collapsed="false">
      <c r="A1686" s="51" t="n">
        <v>14621</v>
      </c>
      <c r="B1686" s="52" t="n">
        <v>40885.6819444444</v>
      </c>
      <c r="C1686" s="1" t="n">
        <v>6</v>
      </c>
      <c r="D1686" s="1" t="n">
        <v>1765.76</v>
      </c>
    </row>
    <row r="1687" customFormat="false" ht="14.25" hidden="false" customHeight="true" outlineLevel="0" collapsed="false">
      <c r="A1687" s="51" t="n">
        <v>14622</v>
      </c>
      <c r="B1687" s="52" t="n">
        <v>40702.5291666667</v>
      </c>
      <c r="C1687" s="1" t="n">
        <v>1</v>
      </c>
      <c r="D1687" s="1" t="n">
        <v>320.58</v>
      </c>
    </row>
    <row r="1688" customFormat="false" ht="14.25" hidden="false" customHeight="true" outlineLevel="0" collapsed="false">
      <c r="A1688" s="51" t="n">
        <v>14623</v>
      </c>
      <c r="B1688" s="52" t="n">
        <v>40854.5805555556</v>
      </c>
      <c r="C1688" s="1" t="n">
        <v>6</v>
      </c>
      <c r="D1688" s="1" t="n">
        <v>869.35</v>
      </c>
    </row>
    <row r="1689" customFormat="false" ht="14.25" hidden="false" customHeight="true" outlineLevel="0" collapsed="false">
      <c r="A1689" s="51" t="n">
        <v>14624</v>
      </c>
      <c r="B1689" s="52" t="n">
        <v>40829.5722222222</v>
      </c>
      <c r="C1689" s="1" t="n">
        <v>2</v>
      </c>
      <c r="D1689" s="1" t="n">
        <v>225.85</v>
      </c>
    </row>
    <row r="1690" customFormat="false" ht="14.25" hidden="false" customHeight="true" outlineLevel="0" collapsed="false">
      <c r="A1690" s="51" t="n">
        <v>14625</v>
      </c>
      <c r="B1690" s="52" t="n">
        <v>40701.6527777778</v>
      </c>
      <c r="C1690" s="1" t="n">
        <v>5</v>
      </c>
      <c r="D1690" s="1" t="n">
        <v>848.48</v>
      </c>
    </row>
    <row r="1691" customFormat="false" ht="14.25" hidden="false" customHeight="true" outlineLevel="0" collapsed="false">
      <c r="A1691" s="51" t="n">
        <v>14626</v>
      </c>
      <c r="B1691" s="52" t="n">
        <v>40878.3715277778</v>
      </c>
      <c r="C1691" s="1" t="n">
        <v>7</v>
      </c>
      <c r="D1691" s="1" t="n">
        <v>2757.07</v>
      </c>
    </row>
    <row r="1692" customFormat="false" ht="14.25" hidden="false" customHeight="true" outlineLevel="0" collapsed="false">
      <c r="A1692" s="51" t="n">
        <v>14627</v>
      </c>
      <c r="B1692" s="52" t="n">
        <v>40575.4506944444</v>
      </c>
      <c r="C1692" s="1" t="n">
        <v>1</v>
      </c>
      <c r="D1692" s="1" t="n">
        <v>-21.85</v>
      </c>
    </row>
    <row r="1693" customFormat="false" ht="14.25" hidden="false" customHeight="true" outlineLevel="0" collapsed="false">
      <c r="A1693" s="51" t="n">
        <v>14628</v>
      </c>
      <c r="B1693" s="52" t="n">
        <v>40795.6236111111</v>
      </c>
      <c r="C1693" s="1" t="n">
        <v>2</v>
      </c>
      <c r="D1693" s="1" t="n">
        <v>671.96</v>
      </c>
    </row>
    <row r="1694" customFormat="false" ht="14.25" hidden="false" customHeight="true" outlineLevel="0" collapsed="false">
      <c r="A1694" s="51" t="n">
        <v>14629</v>
      </c>
      <c r="B1694" s="52" t="n">
        <v>40882.7048611111</v>
      </c>
      <c r="C1694" s="1" t="n">
        <v>3</v>
      </c>
      <c r="D1694" s="1" t="n">
        <v>939.21</v>
      </c>
    </row>
    <row r="1695" customFormat="false" ht="14.25" hidden="false" customHeight="true" outlineLevel="0" collapsed="false">
      <c r="A1695" s="51" t="n">
        <v>14631</v>
      </c>
      <c r="B1695" s="52" t="n">
        <v>40836.4701388889</v>
      </c>
      <c r="C1695" s="1" t="n">
        <v>3</v>
      </c>
      <c r="D1695" s="1" t="n">
        <v>1006.98</v>
      </c>
    </row>
    <row r="1696" customFormat="false" ht="14.25" hidden="false" customHeight="true" outlineLevel="0" collapsed="false">
      <c r="A1696" s="51" t="n">
        <v>14632</v>
      </c>
      <c r="B1696" s="52" t="n">
        <v>40624.3673611111</v>
      </c>
      <c r="C1696" s="1" t="n">
        <v>1</v>
      </c>
      <c r="D1696" s="1" t="n">
        <v>114.56</v>
      </c>
    </row>
    <row r="1697" customFormat="false" ht="14.25" hidden="false" customHeight="true" outlineLevel="0" collapsed="false">
      <c r="A1697" s="51" t="n">
        <v>14633</v>
      </c>
      <c r="B1697" s="52" t="n">
        <v>40620.7131944444</v>
      </c>
      <c r="C1697" s="1" t="n">
        <v>1</v>
      </c>
      <c r="D1697" s="1" t="n">
        <v>344.9</v>
      </c>
    </row>
    <row r="1698" customFormat="false" ht="14.25" hidden="false" customHeight="true" outlineLevel="0" collapsed="false">
      <c r="A1698" s="51" t="n">
        <v>14636</v>
      </c>
      <c r="B1698" s="52" t="n">
        <v>40850.675</v>
      </c>
      <c r="C1698" s="1" t="n">
        <v>2</v>
      </c>
      <c r="D1698" s="1" t="n">
        <v>609.85</v>
      </c>
    </row>
    <row r="1699" customFormat="false" ht="14.25" hidden="false" customHeight="true" outlineLevel="0" collapsed="false">
      <c r="A1699" s="51" t="n">
        <v>14638</v>
      </c>
      <c r="B1699" s="52" t="n">
        <v>40836.4236111111</v>
      </c>
      <c r="C1699" s="1" t="n">
        <v>1</v>
      </c>
      <c r="D1699" s="1" t="n">
        <v>443.6</v>
      </c>
    </row>
    <row r="1700" customFormat="false" ht="14.25" hidden="false" customHeight="true" outlineLevel="0" collapsed="false">
      <c r="A1700" s="51" t="n">
        <v>14639</v>
      </c>
      <c r="B1700" s="52" t="n">
        <v>40834.6291666667</v>
      </c>
      <c r="C1700" s="1" t="n">
        <v>8</v>
      </c>
      <c r="D1700" s="1" t="n">
        <v>2952.34</v>
      </c>
    </row>
    <row r="1701" customFormat="false" ht="14.25" hidden="false" customHeight="true" outlineLevel="0" collapsed="false">
      <c r="A1701" s="51" t="n">
        <v>14640</v>
      </c>
      <c r="B1701" s="52" t="n">
        <v>40871.4583333333</v>
      </c>
      <c r="C1701" s="1" t="n">
        <v>8</v>
      </c>
      <c r="D1701" s="1" t="n">
        <v>2042.15</v>
      </c>
    </row>
    <row r="1702" customFormat="false" ht="14.25" hidden="false" customHeight="true" outlineLevel="0" collapsed="false">
      <c r="A1702" s="51" t="n">
        <v>14641</v>
      </c>
      <c r="B1702" s="52" t="n">
        <v>40865.4458333333</v>
      </c>
      <c r="C1702" s="1" t="n">
        <v>1</v>
      </c>
      <c r="D1702" s="1" t="n">
        <v>110.46</v>
      </c>
    </row>
    <row r="1703" customFormat="false" ht="14.25" hidden="false" customHeight="true" outlineLevel="0" collapsed="false">
      <c r="A1703" s="51" t="n">
        <v>14642</v>
      </c>
      <c r="B1703" s="52" t="n">
        <v>40828.4638888889</v>
      </c>
      <c r="C1703" s="1" t="n">
        <v>1</v>
      </c>
      <c r="D1703" s="1" t="n">
        <v>96.12</v>
      </c>
    </row>
    <row r="1704" customFormat="false" ht="14.25" hidden="false" customHeight="true" outlineLevel="0" collapsed="false">
      <c r="A1704" s="51" t="n">
        <v>14643</v>
      </c>
      <c r="B1704" s="52" t="n">
        <v>40716.6118055556</v>
      </c>
      <c r="C1704" s="1" t="n">
        <v>3</v>
      </c>
      <c r="D1704" s="1" t="n">
        <v>668.61</v>
      </c>
    </row>
    <row r="1705" customFormat="false" ht="14.25" hidden="false" customHeight="true" outlineLevel="0" collapsed="false">
      <c r="A1705" s="51" t="n">
        <v>14644</v>
      </c>
      <c r="B1705" s="52" t="n">
        <v>40877.6236111111</v>
      </c>
      <c r="C1705" s="1" t="n">
        <v>4</v>
      </c>
      <c r="D1705" s="1" t="n">
        <v>780.46</v>
      </c>
    </row>
    <row r="1706" customFormat="false" ht="14.25" hidden="false" customHeight="true" outlineLevel="0" collapsed="false">
      <c r="A1706" s="51" t="n">
        <v>14645</v>
      </c>
      <c r="B1706" s="52" t="n">
        <v>40730.3854166667</v>
      </c>
      <c r="C1706" s="1" t="n">
        <v>2</v>
      </c>
      <c r="D1706" s="1" t="n">
        <v>597.09</v>
      </c>
    </row>
    <row r="1707" customFormat="false" ht="14.25" hidden="false" customHeight="true" outlineLevel="0" collapsed="false">
      <c r="A1707" s="51" t="n">
        <v>14646</v>
      </c>
      <c r="B1707" s="52" t="n">
        <v>40885.5083333333</v>
      </c>
      <c r="C1707" s="1" t="n">
        <v>77</v>
      </c>
      <c r="D1707" s="1" t="n">
        <v>279489.02</v>
      </c>
    </row>
    <row r="1708" customFormat="false" ht="14.25" hidden="false" customHeight="true" outlineLevel="0" collapsed="false">
      <c r="A1708" s="51" t="n">
        <v>14647</v>
      </c>
      <c r="B1708" s="52" t="n">
        <v>40685.5694444445</v>
      </c>
      <c r="C1708" s="1" t="n">
        <v>1</v>
      </c>
      <c r="D1708" s="1" t="n">
        <v>243.22</v>
      </c>
    </row>
    <row r="1709" customFormat="false" ht="14.25" hidden="false" customHeight="true" outlineLevel="0" collapsed="false">
      <c r="A1709" s="51" t="n">
        <v>14649</v>
      </c>
      <c r="B1709" s="52" t="n">
        <v>40882.5208333333</v>
      </c>
      <c r="C1709" s="1" t="n">
        <v>4</v>
      </c>
      <c r="D1709" s="1" t="n">
        <v>1417.29</v>
      </c>
    </row>
    <row r="1710" customFormat="false" ht="14.25" hidden="false" customHeight="true" outlineLevel="0" collapsed="false">
      <c r="A1710" s="51" t="n">
        <v>14651</v>
      </c>
      <c r="B1710" s="52" t="n">
        <v>40819.6611111111</v>
      </c>
      <c r="C1710" s="1" t="n">
        <v>2</v>
      </c>
      <c r="D1710" s="1" t="n">
        <v>654.6</v>
      </c>
    </row>
    <row r="1711" customFormat="false" ht="14.25" hidden="false" customHeight="true" outlineLevel="0" collapsed="false">
      <c r="A1711" s="51" t="n">
        <v>14652</v>
      </c>
      <c r="B1711" s="52" t="n">
        <v>40809.5979166667</v>
      </c>
      <c r="C1711" s="1" t="n">
        <v>1</v>
      </c>
      <c r="D1711" s="1" t="n">
        <v>114.18</v>
      </c>
    </row>
    <row r="1712" customFormat="false" ht="14.25" hidden="false" customHeight="true" outlineLevel="0" collapsed="false">
      <c r="A1712" s="51" t="n">
        <v>14653</v>
      </c>
      <c r="B1712" s="52" t="n">
        <v>40885.5729166667</v>
      </c>
      <c r="C1712" s="1" t="n">
        <v>7</v>
      </c>
      <c r="D1712" s="1" t="n">
        <v>1947.55</v>
      </c>
    </row>
    <row r="1713" customFormat="false" ht="14.25" hidden="false" customHeight="true" outlineLevel="0" collapsed="false">
      <c r="A1713" s="51" t="n">
        <v>14655</v>
      </c>
      <c r="B1713" s="52" t="n">
        <v>40883.4527777778</v>
      </c>
      <c r="C1713" s="1" t="n">
        <v>5</v>
      </c>
      <c r="D1713" s="1" t="n">
        <v>1930.15</v>
      </c>
    </row>
    <row r="1714" customFormat="false" ht="14.25" hidden="false" customHeight="true" outlineLevel="0" collapsed="false">
      <c r="A1714" s="51" t="n">
        <v>14656</v>
      </c>
      <c r="B1714" s="52" t="n">
        <v>40717.5770833333</v>
      </c>
      <c r="C1714" s="1" t="n">
        <v>2</v>
      </c>
      <c r="D1714" s="1" t="n">
        <v>291.05</v>
      </c>
    </row>
    <row r="1715" customFormat="false" ht="14.25" hidden="false" customHeight="true" outlineLevel="0" collapsed="false">
      <c r="A1715" s="51" t="n">
        <v>14657</v>
      </c>
      <c r="B1715" s="52" t="n">
        <v>40869.5326388889</v>
      </c>
      <c r="C1715" s="1" t="n">
        <v>5</v>
      </c>
      <c r="D1715" s="1" t="n">
        <v>838.27</v>
      </c>
    </row>
    <row r="1716" customFormat="false" ht="14.25" hidden="false" customHeight="true" outlineLevel="0" collapsed="false">
      <c r="A1716" s="51" t="n">
        <v>14658</v>
      </c>
      <c r="B1716" s="52" t="n">
        <v>40881.6493055556</v>
      </c>
      <c r="C1716" s="1" t="n">
        <v>2</v>
      </c>
      <c r="D1716" s="1" t="n">
        <v>247.15</v>
      </c>
    </row>
    <row r="1717" customFormat="false" ht="14.25" hidden="false" customHeight="true" outlineLevel="0" collapsed="false">
      <c r="A1717" s="51" t="n">
        <v>14659</v>
      </c>
      <c r="B1717" s="52" t="n">
        <v>40878.5118055556</v>
      </c>
      <c r="C1717" s="1" t="n">
        <v>12</v>
      </c>
      <c r="D1717" s="1" t="n">
        <v>2456.53</v>
      </c>
    </row>
    <row r="1718" customFormat="false" ht="14.25" hidden="false" customHeight="true" outlineLevel="0" collapsed="false">
      <c r="A1718" s="51" t="n">
        <v>14660</v>
      </c>
      <c r="B1718" s="52" t="n">
        <v>40800.4819444444</v>
      </c>
      <c r="C1718" s="1" t="n">
        <v>2</v>
      </c>
      <c r="D1718" s="1" t="n">
        <v>285.74</v>
      </c>
    </row>
    <row r="1719" customFormat="false" ht="14.25" hidden="false" customHeight="true" outlineLevel="0" collapsed="false">
      <c r="A1719" s="51" t="n">
        <v>14661</v>
      </c>
      <c r="B1719" s="52" t="n">
        <v>40860.49375</v>
      </c>
      <c r="C1719" s="1" t="n">
        <v>1</v>
      </c>
      <c r="D1719" s="1" t="n">
        <v>107.95</v>
      </c>
    </row>
    <row r="1720" customFormat="false" ht="14.25" hidden="false" customHeight="true" outlineLevel="0" collapsed="false">
      <c r="A1720" s="51" t="n">
        <v>14662</v>
      </c>
      <c r="B1720" s="52" t="n">
        <v>40858.5090277778</v>
      </c>
      <c r="C1720" s="1" t="n">
        <v>4</v>
      </c>
      <c r="D1720" s="1" t="n">
        <v>771.17</v>
      </c>
    </row>
    <row r="1721" customFormat="false" ht="14.25" hidden="false" customHeight="true" outlineLevel="0" collapsed="false">
      <c r="A1721" s="51" t="n">
        <v>14664</v>
      </c>
      <c r="B1721" s="52" t="n">
        <v>40867.4576388889</v>
      </c>
      <c r="C1721" s="1" t="n">
        <v>2</v>
      </c>
      <c r="D1721" s="1" t="n">
        <v>637.89</v>
      </c>
    </row>
    <row r="1722" customFormat="false" ht="14.25" hidden="false" customHeight="true" outlineLevel="0" collapsed="false">
      <c r="A1722" s="51" t="n">
        <v>14665</v>
      </c>
      <c r="B1722" s="52" t="n">
        <v>40826.4958333333</v>
      </c>
      <c r="C1722" s="1" t="n">
        <v>7</v>
      </c>
      <c r="D1722" s="1" t="n">
        <v>1258.38</v>
      </c>
    </row>
    <row r="1723" customFormat="false" ht="14.25" hidden="false" customHeight="true" outlineLevel="0" collapsed="false">
      <c r="A1723" s="51" t="n">
        <v>14666</v>
      </c>
      <c r="B1723" s="52" t="n">
        <v>40862.5395833333</v>
      </c>
      <c r="C1723" s="1" t="n">
        <v>1</v>
      </c>
      <c r="D1723" s="1" t="n">
        <v>195.25</v>
      </c>
    </row>
    <row r="1724" customFormat="false" ht="14.25" hidden="false" customHeight="true" outlineLevel="0" collapsed="false">
      <c r="A1724" s="51" t="n">
        <v>14667</v>
      </c>
      <c r="B1724" s="52" t="n">
        <v>40876.4791666667</v>
      </c>
      <c r="C1724" s="1" t="n">
        <v>27</v>
      </c>
      <c r="D1724" s="1" t="n">
        <v>9231.2</v>
      </c>
    </row>
    <row r="1725" customFormat="false" ht="14.25" hidden="false" customHeight="true" outlineLevel="0" collapsed="false">
      <c r="A1725" s="51" t="n">
        <v>14669</v>
      </c>
      <c r="B1725" s="52" t="n">
        <v>40645.4881944444</v>
      </c>
      <c r="C1725" s="1" t="n">
        <v>3</v>
      </c>
      <c r="D1725" s="1" t="n">
        <v>1269.99</v>
      </c>
    </row>
    <row r="1726" customFormat="false" ht="14.25" hidden="false" customHeight="true" outlineLevel="0" collapsed="false">
      <c r="A1726" s="51" t="n">
        <v>14670</v>
      </c>
      <c r="B1726" s="52" t="n">
        <v>40606.5923611111</v>
      </c>
      <c r="C1726" s="1" t="n">
        <v>2</v>
      </c>
      <c r="D1726" s="1" t="n">
        <v>411.53</v>
      </c>
    </row>
    <row r="1727" customFormat="false" ht="14.25" hidden="false" customHeight="true" outlineLevel="0" collapsed="false">
      <c r="A1727" s="51" t="n">
        <v>14672</v>
      </c>
      <c r="B1727" s="52" t="n">
        <v>40652.4298611111</v>
      </c>
      <c r="C1727" s="1" t="n">
        <v>2</v>
      </c>
      <c r="D1727" s="1" t="n">
        <v>765.55</v>
      </c>
    </row>
    <row r="1728" customFormat="false" ht="14.25" hidden="false" customHeight="true" outlineLevel="0" collapsed="false">
      <c r="A1728" s="51" t="n">
        <v>14673</v>
      </c>
      <c r="B1728" s="52" t="n">
        <v>40883.6048611111</v>
      </c>
      <c r="C1728" s="1" t="n">
        <v>5</v>
      </c>
      <c r="D1728" s="1" t="n">
        <v>1736.4</v>
      </c>
    </row>
    <row r="1729" customFormat="false" ht="14.25" hidden="false" customHeight="true" outlineLevel="0" collapsed="false">
      <c r="A1729" s="51" t="n">
        <v>14675</v>
      </c>
      <c r="B1729" s="52" t="n">
        <v>40870.5402777778</v>
      </c>
      <c r="C1729" s="1" t="n">
        <v>1</v>
      </c>
      <c r="D1729" s="1" t="n">
        <v>604.75</v>
      </c>
    </row>
    <row r="1730" customFormat="false" ht="14.25" hidden="false" customHeight="true" outlineLevel="0" collapsed="false">
      <c r="A1730" s="51" t="n">
        <v>14676</v>
      </c>
      <c r="B1730" s="52" t="n">
        <v>40855.5618055556</v>
      </c>
      <c r="C1730" s="1" t="n">
        <v>8</v>
      </c>
      <c r="D1730" s="1" t="n">
        <v>2543.24</v>
      </c>
    </row>
    <row r="1731" customFormat="false" ht="14.25" hidden="false" customHeight="true" outlineLevel="0" collapsed="false">
      <c r="A1731" s="51" t="n">
        <v>14679</v>
      </c>
      <c r="B1731" s="52" t="n">
        <v>40515.4215277778</v>
      </c>
      <c r="C1731" s="1" t="n">
        <v>1</v>
      </c>
      <c r="D1731" s="1" t="n">
        <v>-2.55</v>
      </c>
    </row>
    <row r="1732" customFormat="false" ht="14.25" hidden="false" customHeight="true" outlineLevel="0" collapsed="false">
      <c r="A1732" s="51" t="n">
        <v>14680</v>
      </c>
      <c r="B1732" s="52" t="n">
        <v>40861.7076388889</v>
      </c>
      <c r="C1732" s="1" t="n">
        <v>23</v>
      </c>
      <c r="D1732" s="1" t="n">
        <v>26932.34</v>
      </c>
    </row>
    <row r="1733" customFormat="false" ht="14.25" hidden="false" customHeight="true" outlineLevel="0" collapsed="false">
      <c r="A1733" s="51" t="n">
        <v>14681</v>
      </c>
      <c r="B1733" s="52" t="n">
        <v>40815.6611111111</v>
      </c>
      <c r="C1733" s="1" t="n">
        <v>3</v>
      </c>
      <c r="D1733" s="1" t="n">
        <v>498.95</v>
      </c>
    </row>
    <row r="1734" customFormat="false" ht="14.25" hidden="false" customHeight="true" outlineLevel="0" collapsed="false">
      <c r="A1734" s="51" t="n">
        <v>14682</v>
      </c>
      <c r="B1734" s="52" t="n">
        <v>40699.5083333333</v>
      </c>
      <c r="C1734" s="1" t="n">
        <v>2</v>
      </c>
      <c r="D1734" s="1" t="n">
        <v>52</v>
      </c>
    </row>
    <row r="1735" customFormat="false" ht="14.25" hidden="false" customHeight="true" outlineLevel="0" collapsed="false">
      <c r="A1735" s="51" t="n">
        <v>14684</v>
      </c>
      <c r="B1735" s="52" t="n">
        <v>40861.48125</v>
      </c>
      <c r="C1735" s="1" t="n">
        <v>5</v>
      </c>
      <c r="D1735" s="1" t="n">
        <v>1236.28</v>
      </c>
    </row>
    <row r="1736" customFormat="false" ht="14.25" hidden="false" customHeight="true" outlineLevel="0" collapsed="false">
      <c r="A1736" s="51" t="n">
        <v>14687</v>
      </c>
      <c r="B1736" s="52" t="n">
        <v>40780.4993055556</v>
      </c>
      <c r="C1736" s="1" t="n">
        <v>1</v>
      </c>
      <c r="D1736" s="1" t="n">
        <v>628.38</v>
      </c>
    </row>
    <row r="1737" customFormat="false" ht="14.25" hidden="false" customHeight="true" outlineLevel="0" collapsed="false">
      <c r="A1737" s="51" t="n">
        <v>14688</v>
      </c>
      <c r="B1737" s="52" t="n">
        <v>40879.5180555556</v>
      </c>
      <c r="C1737" s="1" t="n">
        <v>27</v>
      </c>
      <c r="D1737" s="1" t="n">
        <v>5107.38</v>
      </c>
    </row>
    <row r="1738" customFormat="false" ht="14.25" hidden="false" customHeight="true" outlineLevel="0" collapsed="false">
      <c r="A1738" s="51" t="n">
        <v>14689</v>
      </c>
      <c r="B1738" s="52" t="n">
        <v>40678.4736111111</v>
      </c>
      <c r="C1738" s="1" t="n">
        <v>1</v>
      </c>
      <c r="D1738" s="1" t="n">
        <v>112.8</v>
      </c>
    </row>
    <row r="1739" customFormat="false" ht="14.25" hidden="false" customHeight="true" outlineLevel="0" collapsed="false">
      <c r="A1739" s="51" t="n">
        <v>14690</v>
      </c>
      <c r="B1739" s="52" t="n">
        <v>40842.6520833333</v>
      </c>
      <c r="C1739" s="1" t="n">
        <v>3</v>
      </c>
      <c r="D1739" s="1" t="n">
        <v>358.61</v>
      </c>
    </row>
    <row r="1740" customFormat="false" ht="14.25" hidden="false" customHeight="true" outlineLevel="0" collapsed="false">
      <c r="A1740" s="51" t="n">
        <v>14691</v>
      </c>
      <c r="B1740" s="52" t="n">
        <v>40856.5208333333</v>
      </c>
      <c r="C1740" s="1" t="n">
        <v>5</v>
      </c>
      <c r="D1740" s="1" t="n">
        <v>2114.33</v>
      </c>
    </row>
    <row r="1741" customFormat="false" ht="14.25" hidden="false" customHeight="true" outlineLevel="0" collapsed="false">
      <c r="A1741" s="51" t="n">
        <v>14692</v>
      </c>
      <c r="B1741" s="52" t="n">
        <v>40749.6305555556</v>
      </c>
      <c r="C1741" s="1" t="n">
        <v>5</v>
      </c>
      <c r="D1741" s="1" t="n">
        <v>582.05</v>
      </c>
    </row>
    <row r="1742" customFormat="false" ht="14.25" hidden="false" customHeight="true" outlineLevel="0" collapsed="false">
      <c r="A1742" s="51" t="n">
        <v>14693</v>
      </c>
      <c r="B1742" s="52" t="n">
        <v>40622.5347222222</v>
      </c>
      <c r="C1742" s="1" t="n">
        <v>1</v>
      </c>
      <c r="D1742" s="1" t="n">
        <v>172.9</v>
      </c>
    </row>
    <row r="1743" customFormat="false" ht="14.25" hidden="false" customHeight="true" outlineLevel="0" collapsed="false">
      <c r="A1743" s="51" t="n">
        <v>14696</v>
      </c>
      <c r="B1743" s="52" t="n">
        <v>40882.5715277778</v>
      </c>
      <c r="C1743" s="1" t="n">
        <v>9</v>
      </c>
      <c r="D1743" s="1" t="n">
        <v>2070.97</v>
      </c>
    </row>
    <row r="1744" customFormat="false" ht="14.25" hidden="false" customHeight="true" outlineLevel="0" collapsed="false">
      <c r="A1744" s="51" t="n">
        <v>14697</v>
      </c>
      <c r="B1744" s="52" t="n">
        <v>40668.6520833333</v>
      </c>
      <c r="C1744" s="1" t="n">
        <v>2</v>
      </c>
      <c r="D1744" s="1" t="n">
        <v>188.61</v>
      </c>
    </row>
    <row r="1745" customFormat="false" ht="14.25" hidden="false" customHeight="true" outlineLevel="0" collapsed="false">
      <c r="A1745" s="51" t="n">
        <v>14698</v>
      </c>
      <c r="B1745" s="52" t="n">
        <v>40885.5180555556</v>
      </c>
      <c r="C1745" s="1" t="n">
        <v>5</v>
      </c>
      <c r="D1745" s="1" t="n">
        <v>1250.76</v>
      </c>
    </row>
    <row r="1746" customFormat="false" ht="14.25" hidden="false" customHeight="true" outlineLevel="0" collapsed="false">
      <c r="A1746" s="51" t="n">
        <v>14699</v>
      </c>
      <c r="B1746" s="52" t="n">
        <v>40672.6208333333</v>
      </c>
      <c r="C1746" s="1" t="n">
        <v>1</v>
      </c>
      <c r="D1746" s="1" t="n">
        <v>109.13</v>
      </c>
    </row>
    <row r="1747" customFormat="false" ht="14.25" hidden="false" customHeight="true" outlineLevel="0" collapsed="false">
      <c r="A1747" s="51" t="n">
        <v>14700</v>
      </c>
      <c r="B1747" s="52" t="n">
        <v>40854.6111111111</v>
      </c>
      <c r="C1747" s="1" t="n">
        <v>3</v>
      </c>
      <c r="D1747" s="1" t="n">
        <v>2235.3</v>
      </c>
    </row>
    <row r="1748" customFormat="false" ht="14.25" hidden="false" customHeight="true" outlineLevel="0" collapsed="false">
      <c r="A1748" s="51" t="n">
        <v>14701</v>
      </c>
      <c r="B1748" s="52" t="n">
        <v>40876.5263888889</v>
      </c>
      <c r="C1748" s="1" t="n">
        <v>12</v>
      </c>
      <c r="D1748" s="1" t="n">
        <v>2486.22</v>
      </c>
    </row>
    <row r="1749" customFormat="false" ht="14.25" hidden="false" customHeight="true" outlineLevel="0" collapsed="false">
      <c r="A1749" s="51" t="n">
        <v>14702</v>
      </c>
      <c r="B1749" s="52" t="n">
        <v>40885.8118055556</v>
      </c>
      <c r="C1749" s="1" t="n">
        <v>18</v>
      </c>
      <c r="D1749" s="1" t="n">
        <v>3250.64</v>
      </c>
    </row>
    <row r="1750" customFormat="false" ht="14.25" hidden="false" customHeight="true" outlineLevel="0" collapsed="false">
      <c r="A1750" s="51" t="n">
        <v>14703</v>
      </c>
      <c r="B1750" s="52" t="n">
        <v>40872.3909722222</v>
      </c>
      <c r="C1750" s="1" t="n">
        <v>1</v>
      </c>
      <c r="D1750" s="1" t="n">
        <v>318.17</v>
      </c>
    </row>
    <row r="1751" customFormat="false" ht="14.25" hidden="false" customHeight="true" outlineLevel="0" collapsed="false">
      <c r="A1751" s="51" t="n">
        <v>14704</v>
      </c>
      <c r="B1751" s="52" t="n">
        <v>40875.5354166667</v>
      </c>
      <c r="C1751" s="1" t="n">
        <v>9</v>
      </c>
      <c r="D1751" s="1" t="n">
        <v>1546.91</v>
      </c>
    </row>
    <row r="1752" customFormat="false" ht="14.25" hidden="false" customHeight="true" outlineLevel="0" collapsed="false">
      <c r="A1752" s="51" t="n">
        <v>14705</v>
      </c>
      <c r="B1752" s="52" t="n">
        <v>40688.5270833333</v>
      </c>
      <c r="C1752" s="1" t="n">
        <v>1</v>
      </c>
      <c r="D1752" s="1" t="n">
        <v>179</v>
      </c>
    </row>
    <row r="1753" customFormat="false" ht="14.25" hidden="false" customHeight="true" outlineLevel="0" collapsed="false">
      <c r="A1753" s="51" t="n">
        <v>14708</v>
      </c>
      <c r="B1753" s="52" t="n">
        <v>40884.3479166667</v>
      </c>
      <c r="C1753" s="1" t="n">
        <v>4</v>
      </c>
      <c r="D1753" s="1" t="n">
        <v>1096.67</v>
      </c>
    </row>
    <row r="1754" customFormat="false" ht="14.25" hidden="false" customHeight="true" outlineLevel="0" collapsed="false">
      <c r="A1754" s="51" t="n">
        <v>14709</v>
      </c>
      <c r="B1754" s="52" t="n">
        <v>40871.6534722222</v>
      </c>
      <c r="C1754" s="1" t="n">
        <v>14</v>
      </c>
      <c r="D1754" s="1" t="n">
        <v>4911.14000000001</v>
      </c>
    </row>
    <row r="1755" customFormat="false" ht="14.25" hidden="false" customHeight="true" outlineLevel="0" collapsed="false">
      <c r="A1755" s="51" t="n">
        <v>14710</v>
      </c>
      <c r="B1755" s="52" t="n">
        <v>40872.6201388889</v>
      </c>
      <c r="C1755" s="1" t="n">
        <v>4</v>
      </c>
      <c r="D1755" s="1" t="n">
        <v>606.13</v>
      </c>
    </row>
    <row r="1756" customFormat="false" ht="14.25" hidden="false" customHeight="true" outlineLevel="0" collapsed="false">
      <c r="A1756" s="51" t="n">
        <v>14711</v>
      </c>
      <c r="B1756" s="52" t="n">
        <v>40876.6236111111</v>
      </c>
      <c r="C1756" s="1" t="n">
        <v>12</v>
      </c>
      <c r="D1756" s="1" t="n">
        <v>2838.2</v>
      </c>
    </row>
    <row r="1757" customFormat="false" ht="14.25" hidden="false" customHeight="true" outlineLevel="0" collapsed="false">
      <c r="A1757" s="51" t="n">
        <v>14712</v>
      </c>
      <c r="B1757" s="52" t="n">
        <v>40857.5409722222</v>
      </c>
      <c r="C1757" s="1" t="n">
        <v>3</v>
      </c>
      <c r="D1757" s="1" t="n">
        <v>917.07</v>
      </c>
    </row>
    <row r="1758" customFormat="false" ht="14.25" hidden="false" customHeight="true" outlineLevel="0" collapsed="false">
      <c r="A1758" s="51" t="n">
        <v>14713</v>
      </c>
      <c r="B1758" s="52" t="n">
        <v>40877.6847222222</v>
      </c>
      <c r="C1758" s="1" t="n">
        <v>12</v>
      </c>
      <c r="D1758" s="1" t="n">
        <v>2664.26</v>
      </c>
    </row>
    <row r="1759" customFormat="false" ht="14.25" hidden="false" customHeight="true" outlineLevel="0" collapsed="false">
      <c r="A1759" s="51" t="n">
        <v>14714</v>
      </c>
      <c r="B1759" s="52" t="n">
        <v>40862.5465277778</v>
      </c>
      <c r="C1759" s="1" t="n">
        <v>1</v>
      </c>
      <c r="D1759" s="1" t="n">
        <v>160.19</v>
      </c>
    </row>
    <row r="1760" customFormat="false" ht="14.25" hidden="false" customHeight="true" outlineLevel="0" collapsed="false">
      <c r="A1760" s="51" t="n">
        <v>14715</v>
      </c>
      <c r="B1760" s="52" t="n">
        <v>40862.5069444445</v>
      </c>
      <c r="C1760" s="1" t="n">
        <v>4</v>
      </c>
      <c r="D1760" s="1" t="n">
        <v>867.38</v>
      </c>
    </row>
    <row r="1761" customFormat="false" ht="14.25" hidden="false" customHeight="true" outlineLevel="0" collapsed="false">
      <c r="A1761" s="51" t="n">
        <v>14716</v>
      </c>
      <c r="B1761" s="52" t="n">
        <v>40843.7284722222</v>
      </c>
      <c r="C1761" s="1" t="n">
        <v>2</v>
      </c>
      <c r="D1761" s="1" t="n">
        <v>329.68</v>
      </c>
    </row>
    <row r="1762" customFormat="false" ht="14.25" hidden="false" customHeight="true" outlineLevel="0" collapsed="false">
      <c r="A1762" s="51" t="n">
        <v>14719</v>
      </c>
      <c r="B1762" s="52" t="n">
        <v>40885.5298611111</v>
      </c>
      <c r="C1762" s="1" t="n">
        <v>6</v>
      </c>
      <c r="D1762" s="1" t="n">
        <v>1592.18</v>
      </c>
    </row>
    <row r="1763" customFormat="false" ht="14.25" hidden="false" customHeight="true" outlineLevel="0" collapsed="false">
      <c r="A1763" s="51" t="n">
        <v>14720</v>
      </c>
      <c r="B1763" s="52" t="n">
        <v>40881.5013888889</v>
      </c>
      <c r="C1763" s="1" t="n">
        <v>3</v>
      </c>
      <c r="D1763" s="1" t="n">
        <v>663.81</v>
      </c>
    </row>
    <row r="1764" customFormat="false" ht="14.25" hidden="false" customHeight="true" outlineLevel="0" collapsed="false">
      <c r="A1764" s="51" t="n">
        <v>14722</v>
      </c>
      <c r="B1764" s="52" t="n">
        <v>40739.6236111111</v>
      </c>
      <c r="C1764" s="1" t="n">
        <v>1</v>
      </c>
      <c r="D1764" s="1" t="n">
        <v>187.92</v>
      </c>
    </row>
    <row r="1765" customFormat="false" ht="14.25" hidden="false" customHeight="true" outlineLevel="0" collapsed="false">
      <c r="A1765" s="51" t="n">
        <v>14723</v>
      </c>
      <c r="B1765" s="52" t="n">
        <v>40876.6409722222</v>
      </c>
      <c r="C1765" s="1" t="n">
        <v>6</v>
      </c>
      <c r="D1765" s="1" t="n">
        <v>1158.3</v>
      </c>
    </row>
    <row r="1766" customFormat="false" ht="14.25" hidden="false" customHeight="true" outlineLevel="0" collapsed="false">
      <c r="A1766" s="51" t="n">
        <v>14725</v>
      </c>
      <c r="B1766" s="52" t="n">
        <v>40862.5291666667</v>
      </c>
      <c r="C1766" s="1" t="n">
        <v>1</v>
      </c>
      <c r="D1766" s="1" t="n">
        <v>718.08</v>
      </c>
    </row>
    <row r="1767" customFormat="false" ht="14.25" hidden="false" customHeight="true" outlineLevel="0" collapsed="false">
      <c r="A1767" s="51" t="n">
        <v>14727</v>
      </c>
      <c r="B1767" s="52" t="n">
        <v>40612.6145833333</v>
      </c>
      <c r="C1767" s="1" t="n">
        <v>1</v>
      </c>
      <c r="D1767" s="1" t="n">
        <v>268.58</v>
      </c>
    </row>
    <row r="1768" customFormat="false" ht="14.25" hidden="false" customHeight="true" outlineLevel="0" collapsed="false">
      <c r="A1768" s="51" t="n">
        <v>14729</v>
      </c>
      <c r="B1768" s="52" t="n">
        <v>40513.5298611111</v>
      </c>
      <c r="C1768" s="1" t="n">
        <v>1</v>
      </c>
      <c r="D1768" s="1" t="n">
        <v>313.49</v>
      </c>
    </row>
    <row r="1769" customFormat="false" ht="14.25" hidden="false" customHeight="true" outlineLevel="0" collapsed="false">
      <c r="A1769" s="51" t="n">
        <v>14730</v>
      </c>
      <c r="B1769" s="52" t="n">
        <v>40885.6104166667</v>
      </c>
      <c r="C1769" s="1" t="n">
        <v>8</v>
      </c>
      <c r="D1769" s="1" t="n">
        <v>2005.06</v>
      </c>
    </row>
    <row r="1770" customFormat="false" ht="14.25" hidden="false" customHeight="true" outlineLevel="0" collapsed="false">
      <c r="A1770" s="51" t="n">
        <v>14731</v>
      </c>
      <c r="B1770" s="52" t="n">
        <v>40839.6625</v>
      </c>
      <c r="C1770" s="1" t="n">
        <v>3</v>
      </c>
      <c r="D1770" s="1" t="n">
        <v>380.02</v>
      </c>
    </row>
    <row r="1771" customFormat="false" ht="14.25" hidden="false" customHeight="true" outlineLevel="0" collapsed="false">
      <c r="A1771" s="51" t="n">
        <v>14732</v>
      </c>
      <c r="B1771" s="52" t="n">
        <v>40878.6069444444</v>
      </c>
      <c r="C1771" s="1" t="n">
        <v>10</v>
      </c>
      <c r="D1771" s="1" t="n">
        <v>2686.34</v>
      </c>
    </row>
    <row r="1772" customFormat="false" ht="14.25" hidden="false" customHeight="true" outlineLevel="0" collapsed="false">
      <c r="A1772" s="51" t="n">
        <v>14733</v>
      </c>
      <c r="B1772" s="52" t="n">
        <v>40877.6208333333</v>
      </c>
      <c r="C1772" s="1" t="n">
        <v>15</v>
      </c>
      <c r="D1772" s="1" t="n">
        <v>9451.54</v>
      </c>
    </row>
    <row r="1773" customFormat="false" ht="14.25" hidden="false" customHeight="true" outlineLevel="0" collapsed="false">
      <c r="A1773" s="51" t="n">
        <v>14735</v>
      </c>
      <c r="B1773" s="52" t="n">
        <v>40883.50625</v>
      </c>
      <c r="C1773" s="1" t="n">
        <v>34</v>
      </c>
      <c r="D1773" s="1" t="n">
        <v>5807.69</v>
      </c>
    </row>
    <row r="1774" customFormat="false" ht="14.25" hidden="false" customHeight="true" outlineLevel="0" collapsed="false">
      <c r="A1774" s="51" t="n">
        <v>14737</v>
      </c>
      <c r="B1774" s="52" t="n">
        <v>40883.4277777778</v>
      </c>
      <c r="C1774" s="1" t="n">
        <v>3</v>
      </c>
      <c r="D1774" s="1" t="n">
        <v>1164.55</v>
      </c>
    </row>
    <row r="1775" customFormat="false" ht="14.25" hidden="false" customHeight="true" outlineLevel="0" collapsed="false">
      <c r="A1775" s="51" t="n">
        <v>14738</v>
      </c>
      <c r="B1775" s="52" t="n">
        <v>40847.5395833333</v>
      </c>
      <c r="C1775" s="1" t="n">
        <v>9</v>
      </c>
      <c r="D1775" s="1" t="n">
        <v>1289.94</v>
      </c>
    </row>
    <row r="1776" customFormat="false" ht="14.25" hidden="false" customHeight="true" outlineLevel="0" collapsed="false">
      <c r="A1776" s="51" t="n">
        <v>14739</v>
      </c>
      <c r="B1776" s="52" t="n">
        <v>40884.6055555556</v>
      </c>
      <c r="C1776" s="1" t="n">
        <v>8</v>
      </c>
      <c r="D1776" s="1" t="n">
        <v>3899.1</v>
      </c>
    </row>
    <row r="1777" customFormat="false" ht="14.25" hidden="false" customHeight="true" outlineLevel="0" collapsed="false">
      <c r="A1777" s="51" t="n">
        <v>14740</v>
      </c>
      <c r="B1777" s="52" t="n">
        <v>40695.6368055556</v>
      </c>
      <c r="C1777" s="1" t="n">
        <v>4</v>
      </c>
      <c r="D1777" s="1" t="n">
        <v>1423.21</v>
      </c>
    </row>
    <row r="1778" customFormat="false" ht="14.25" hidden="false" customHeight="true" outlineLevel="0" collapsed="false">
      <c r="A1778" s="51" t="n">
        <v>14741</v>
      </c>
      <c r="B1778" s="52" t="n">
        <v>40875.3666666667</v>
      </c>
      <c r="C1778" s="1" t="n">
        <v>6</v>
      </c>
      <c r="D1778" s="1" t="n">
        <v>1400.34</v>
      </c>
    </row>
    <row r="1779" customFormat="false" ht="14.25" hidden="false" customHeight="true" outlineLevel="0" collapsed="false">
      <c r="A1779" s="51" t="n">
        <v>14744</v>
      </c>
      <c r="B1779" s="52" t="n">
        <v>40870.5354166667</v>
      </c>
      <c r="C1779" s="1" t="n">
        <v>9</v>
      </c>
      <c r="D1779" s="1" t="n">
        <v>1088.53</v>
      </c>
    </row>
    <row r="1780" customFormat="false" ht="14.25" hidden="false" customHeight="true" outlineLevel="0" collapsed="false">
      <c r="A1780" s="51" t="n">
        <v>14745</v>
      </c>
      <c r="B1780" s="52" t="n">
        <v>40774.4201388889</v>
      </c>
      <c r="C1780" s="1" t="n">
        <v>6</v>
      </c>
      <c r="D1780" s="1" t="n">
        <v>1167.16</v>
      </c>
    </row>
    <row r="1781" customFormat="false" ht="14.25" hidden="false" customHeight="true" outlineLevel="0" collapsed="false">
      <c r="A1781" s="51" t="n">
        <v>14747</v>
      </c>
      <c r="B1781" s="52" t="n">
        <v>40639.4284722222</v>
      </c>
      <c r="C1781" s="1" t="n">
        <v>2</v>
      </c>
      <c r="D1781" s="1" t="n">
        <v>294.3</v>
      </c>
    </row>
    <row r="1782" customFormat="false" ht="14.25" hidden="false" customHeight="true" outlineLevel="0" collapsed="false">
      <c r="A1782" s="51" t="n">
        <v>14748</v>
      </c>
      <c r="B1782" s="52" t="n">
        <v>40857.7729166667</v>
      </c>
      <c r="C1782" s="1" t="n">
        <v>6</v>
      </c>
      <c r="D1782" s="1" t="n">
        <v>1311.79</v>
      </c>
    </row>
    <row r="1783" customFormat="false" ht="14.25" hidden="false" customHeight="true" outlineLevel="0" collapsed="false">
      <c r="A1783" s="51" t="n">
        <v>14752</v>
      </c>
      <c r="B1783" s="52" t="n">
        <v>40843.4965277778</v>
      </c>
      <c r="C1783" s="1" t="n">
        <v>1</v>
      </c>
      <c r="D1783" s="1" t="n">
        <v>389.64</v>
      </c>
    </row>
    <row r="1784" customFormat="false" ht="14.25" hidden="false" customHeight="true" outlineLevel="0" collapsed="false">
      <c r="A1784" s="51" t="n">
        <v>14753</v>
      </c>
      <c r="B1784" s="52" t="n">
        <v>40799.6180555556</v>
      </c>
      <c r="C1784" s="1" t="n">
        <v>1</v>
      </c>
      <c r="D1784" s="1" t="n">
        <v>563.15</v>
      </c>
    </row>
    <row r="1785" customFormat="false" ht="14.25" hidden="false" customHeight="true" outlineLevel="0" collapsed="false">
      <c r="A1785" s="51" t="n">
        <v>14754</v>
      </c>
      <c r="B1785" s="52" t="n">
        <v>40842.5006944445</v>
      </c>
      <c r="C1785" s="1" t="n">
        <v>2</v>
      </c>
      <c r="D1785" s="1" t="n">
        <v>638.05</v>
      </c>
    </row>
    <row r="1786" customFormat="false" ht="14.25" hidden="false" customHeight="true" outlineLevel="0" collapsed="false">
      <c r="A1786" s="51" t="n">
        <v>14755</v>
      </c>
      <c r="B1786" s="52" t="n">
        <v>40877.475</v>
      </c>
      <c r="C1786" s="1" t="n">
        <v>12</v>
      </c>
      <c r="D1786" s="1" t="n">
        <v>4965.38</v>
      </c>
    </row>
    <row r="1787" customFormat="false" ht="14.25" hidden="false" customHeight="true" outlineLevel="0" collapsed="false">
      <c r="A1787" s="51" t="n">
        <v>14756</v>
      </c>
      <c r="B1787" s="52" t="n">
        <v>40871.7590277778</v>
      </c>
      <c r="C1787" s="1" t="n">
        <v>1</v>
      </c>
      <c r="D1787" s="1" t="n">
        <v>738.96</v>
      </c>
    </row>
    <row r="1788" customFormat="false" ht="14.25" hidden="false" customHeight="true" outlineLevel="0" collapsed="false">
      <c r="A1788" s="51" t="n">
        <v>14757</v>
      </c>
      <c r="B1788" s="52" t="n">
        <v>40811.6083333333</v>
      </c>
      <c r="C1788" s="1" t="n">
        <v>1</v>
      </c>
      <c r="D1788" s="1" t="n">
        <v>420.5</v>
      </c>
    </row>
    <row r="1789" customFormat="false" ht="14.25" hidden="false" customHeight="true" outlineLevel="0" collapsed="false">
      <c r="A1789" s="51" t="n">
        <v>14758</v>
      </c>
      <c r="B1789" s="52" t="n">
        <v>40742.3479166667</v>
      </c>
      <c r="C1789" s="1" t="n">
        <v>4</v>
      </c>
      <c r="D1789" s="1" t="n">
        <v>1484.06</v>
      </c>
    </row>
    <row r="1790" customFormat="false" ht="14.25" hidden="false" customHeight="true" outlineLevel="0" collapsed="false">
      <c r="A1790" s="51" t="n">
        <v>14759</v>
      </c>
      <c r="B1790" s="52" t="n">
        <v>40882.5020833333</v>
      </c>
      <c r="C1790" s="1" t="n">
        <v>3</v>
      </c>
      <c r="D1790" s="1" t="n">
        <v>1625.97</v>
      </c>
    </row>
    <row r="1791" customFormat="false" ht="14.25" hidden="false" customHeight="true" outlineLevel="0" collapsed="false">
      <c r="A1791" s="51" t="n">
        <v>14760</v>
      </c>
      <c r="B1791" s="52" t="n">
        <v>40592.6083333333</v>
      </c>
      <c r="C1791" s="1" t="n">
        <v>2</v>
      </c>
      <c r="D1791" s="1" t="n">
        <v>53.8</v>
      </c>
    </row>
    <row r="1792" customFormat="false" ht="14.25" hidden="false" customHeight="true" outlineLevel="0" collapsed="false">
      <c r="A1792" s="51" t="n">
        <v>14761</v>
      </c>
      <c r="B1792" s="52" t="n">
        <v>40828.5069444445</v>
      </c>
      <c r="C1792" s="1" t="n">
        <v>2</v>
      </c>
      <c r="D1792" s="1" t="n">
        <v>255.9</v>
      </c>
    </row>
    <row r="1793" customFormat="false" ht="14.25" hidden="false" customHeight="true" outlineLevel="0" collapsed="false">
      <c r="A1793" s="51" t="n">
        <v>14762</v>
      </c>
      <c r="B1793" s="52" t="n">
        <v>40623.3472222222</v>
      </c>
      <c r="C1793" s="1" t="n">
        <v>1</v>
      </c>
      <c r="D1793" s="1" t="n">
        <v>300.52</v>
      </c>
    </row>
    <row r="1794" customFormat="false" ht="14.25" hidden="false" customHeight="true" outlineLevel="0" collapsed="false">
      <c r="A1794" s="51" t="n">
        <v>14764</v>
      </c>
      <c r="B1794" s="52" t="n">
        <v>40843.4486111111</v>
      </c>
      <c r="C1794" s="1" t="n">
        <v>2</v>
      </c>
      <c r="D1794" s="1" t="n">
        <v>250.55</v>
      </c>
    </row>
    <row r="1795" customFormat="false" ht="14.25" hidden="false" customHeight="true" outlineLevel="0" collapsed="false">
      <c r="A1795" s="51" t="n">
        <v>14765</v>
      </c>
      <c r="B1795" s="52" t="n">
        <v>40857.8284722222</v>
      </c>
      <c r="C1795" s="1" t="n">
        <v>3</v>
      </c>
      <c r="D1795" s="1" t="n">
        <v>254.11</v>
      </c>
    </row>
    <row r="1796" customFormat="false" ht="14.25" hidden="false" customHeight="true" outlineLevel="0" collapsed="false">
      <c r="A1796" s="51" t="n">
        <v>14766</v>
      </c>
      <c r="B1796" s="52" t="n">
        <v>40878.6701388889</v>
      </c>
      <c r="C1796" s="1" t="n">
        <v>8</v>
      </c>
      <c r="D1796" s="1" t="n">
        <v>2423.07</v>
      </c>
    </row>
    <row r="1797" customFormat="false" ht="14.25" hidden="false" customHeight="true" outlineLevel="0" collapsed="false">
      <c r="A1797" s="51" t="n">
        <v>14768</v>
      </c>
      <c r="B1797" s="52" t="n">
        <v>40869.5375</v>
      </c>
      <c r="C1797" s="1" t="n">
        <v>3</v>
      </c>
      <c r="D1797" s="1" t="n">
        <v>139.5</v>
      </c>
    </row>
    <row r="1798" customFormat="false" ht="14.25" hidden="false" customHeight="true" outlineLevel="0" collapsed="false">
      <c r="A1798" s="51" t="n">
        <v>14769</v>
      </c>
      <c r="B1798" s="52" t="n">
        <v>40884.4333333333</v>
      </c>
      <c r="C1798" s="1" t="n">
        <v>10</v>
      </c>
      <c r="D1798" s="1" t="n">
        <v>10641.6</v>
      </c>
    </row>
    <row r="1799" customFormat="false" ht="14.25" hidden="false" customHeight="true" outlineLevel="0" collapsed="false">
      <c r="A1799" s="51" t="n">
        <v>14770</v>
      </c>
      <c r="B1799" s="52" t="n">
        <v>40654.5979166667</v>
      </c>
      <c r="C1799" s="1" t="n">
        <v>2</v>
      </c>
      <c r="D1799" s="1" t="n">
        <v>876.42</v>
      </c>
    </row>
    <row r="1800" customFormat="false" ht="14.25" hidden="false" customHeight="true" outlineLevel="0" collapsed="false">
      <c r="A1800" s="51" t="n">
        <v>14772</v>
      </c>
      <c r="B1800" s="52" t="n">
        <v>40774.6277777778</v>
      </c>
      <c r="C1800" s="1" t="n">
        <v>1</v>
      </c>
      <c r="D1800" s="1" t="n">
        <v>139.26</v>
      </c>
    </row>
    <row r="1801" customFormat="false" ht="14.25" hidden="false" customHeight="true" outlineLevel="0" collapsed="false">
      <c r="A1801" s="51" t="n">
        <v>14775</v>
      </c>
      <c r="B1801" s="52" t="n">
        <v>40828.64375</v>
      </c>
      <c r="C1801" s="1" t="n">
        <v>3</v>
      </c>
      <c r="D1801" s="1" t="n">
        <v>1011.9</v>
      </c>
    </row>
    <row r="1802" customFormat="false" ht="14.25" hidden="false" customHeight="true" outlineLevel="0" collapsed="false">
      <c r="A1802" s="51" t="n">
        <v>14776</v>
      </c>
      <c r="B1802" s="52" t="n">
        <v>40835.6486111111</v>
      </c>
      <c r="C1802" s="1" t="n">
        <v>13</v>
      </c>
      <c r="D1802" s="1" t="n">
        <v>2195.58</v>
      </c>
    </row>
    <row r="1803" customFormat="false" ht="14.25" hidden="false" customHeight="true" outlineLevel="0" collapsed="false">
      <c r="A1803" s="51" t="n">
        <v>14777</v>
      </c>
      <c r="B1803" s="52" t="n">
        <v>40882.5555555556</v>
      </c>
      <c r="C1803" s="1" t="n">
        <v>2</v>
      </c>
      <c r="D1803" s="1" t="n">
        <v>-17.45</v>
      </c>
    </row>
    <row r="1804" customFormat="false" ht="14.25" hidden="false" customHeight="true" outlineLevel="0" collapsed="false">
      <c r="A1804" s="51" t="n">
        <v>14778</v>
      </c>
      <c r="B1804" s="52" t="n">
        <v>40759.6409722222</v>
      </c>
      <c r="C1804" s="1" t="n">
        <v>2</v>
      </c>
      <c r="D1804" s="1" t="n">
        <v>730.86</v>
      </c>
    </row>
    <row r="1805" customFormat="false" ht="14.25" hidden="false" customHeight="true" outlineLevel="0" collapsed="false">
      <c r="A1805" s="51" t="n">
        <v>14779</v>
      </c>
      <c r="B1805" s="52" t="n">
        <v>40606.5291666667</v>
      </c>
      <c r="C1805" s="1" t="n">
        <v>3</v>
      </c>
      <c r="D1805" s="1" t="n">
        <v>386.15</v>
      </c>
    </row>
    <row r="1806" customFormat="false" ht="14.25" hidden="false" customHeight="true" outlineLevel="0" collapsed="false">
      <c r="A1806" s="51" t="n">
        <v>14780</v>
      </c>
      <c r="B1806" s="52" t="n">
        <v>40832.5319444445</v>
      </c>
      <c r="C1806" s="1" t="n">
        <v>2</v>
      </c>
      <c r="D1806" s="1" t="n">
        <v>447.68</v>
      </c>
    </row>
    <row r="1807" customFormat="false" ht="14.25" hidden="false" customHeight="true" outlineLevel="0" collapsed="false">
      <c r="A1807" s="51" t="n">
        <v>14782</v>
      </c>
      <c r="B1807" s="52" t="n">
        <v>40567.4666666667</v>
      </c>
      <c r="C1807" s="1" t="n">
        <v>1</v>
      </c>
      <c r="D1807" s="1" t="n">
        <v>200.1</v>
      </c>
    </row>
    <row r="1808" customFormat="false" ht="14.25" hidden="false" customHeight="true" outlineLevel="0" collapsed="false">
      <c r="A1808" s="51" t="n">
        <v>14784</v>
      </c>
      <c r="B1808" s="52" t="n">
        <v>40860.5625</v>
      </c>
      <c r="C1808" s="1" t="n">
        <v>2</v>
      </c>
      <c r="D1808" s="1" t="n">
        <v>289.99</v>
      </c>
    </row>
    <row r="1809" customFormat="false" ht="14.25" hidden="false" customHeight="true" outlineLevel="0" collapsed="false">
      <c r="A1809" s="51" t="n">
        <v>14785</v>
      </c>
      <c r="B1809" s="52" t="n">
        <v>40876.55625</v>
      </c>
      <c r="C1809" s="1" t="n">
        <v>2</v>
      </c>
      <c r="D1809" s="1" t="n">
        <v>77.4</v>
      </c>
    </row>
    <row r="1810" customFormat="false" ht="14.25" hidden="false" customHeight="true" outlineLevel="0" collapsed="false">
      <c r="A1810" s="51" t="n">
        <v>14788</v>
      </c>
      <c r="B1810" s="52" t="n">
        <v>40879.7125</v>
      </c>
      <c r="C1810" s="1" t="n">
        <v>2</v>
      </c>
      <c r="D1810" s="1" t="n">
        <v>679.44</v>
      </c>
    </row>
    <row r="1811" customFormat="false" ht="14.25" hidden="false" customHeight="true" outlineLevel="0" collapsed="false">
      <c r="A1811" s="51" t="n">
        <v>14789</v>
      </c>
      <c r="B1811" s="52" t="n">
        <v>40858.3743055556</v>
      </c>
      <c r="C1811" s="1" t="n">
        <v>1</v>
      </c>
      <c r="D1811" s="1" t="n">
        <v>197.64</v>
      </c>
    </row>
    <row r="1812" customFormat="false" ht="14.25" hidden="false" customHeight="true" outlineLevel="0" collapsed="false">
      <c r="A1812" s="51" t="n">
        <v>14790</v>
      </c>
      <c r="B1812" s="52" t="n">
        <v>40870.3944444444</v>
      </c>
      <c r="C1812" s="1" t="n">
        <v>4</v>
      </c>
      <c r="D1812" s="1" t="n">
        <v>745.06</v>
      </c>
    </row>
    <row r="1813" customFormat="false" ht="14.25" hidden="false" customHeight="true" outlineLevel="0" collapsed="false">
      <c r="A1813" s="51" t="n">
        <v>14792</v>
      </c>
      <c r="B1813" s="52" t="n">
        <v>40823.3881944444</v>
      </c>
      <c r="C1813" s="1" t="n">
        <v>2</v>
      </c>
      <c r="D1813" s="1" t="n">
        <v>0</v>
      </c>
    </row>
    <row r="1814" customFormat="false" ht="14.25" hidden="false" customHeight="true" outlineLevel="0" collapsed="false">
      <c r="A1814" s="51" t="n">
        <v>14793</v>
      </c>
      <c r="B1814" s="52" t="n">
        <v>40882.6840277778</v>
      </c>
      <c r="C1814" s="1" t="n">
        <v>2</v>
      </c>
      <c r="D1814" s="1" t="n">
        <v>214.14</v>
      </c>
    </row>
    <row r="1815" customFormat="false" ht="14.25" hidden="false" customHeight="true" outlineLevel="0" collapsed="false">
      <c r="A1815" s="51" t="n">
        <v>14794</v>
      </c>
      <c r="B1815" s="52" t="n">
        <v>40884.4243055556</v>
      </c>
      <c r="C1815" s="1" t="n">
        <v>9</v>
      </c>
      <c r="D1815" s="1" t="n">
        <v>1272.11</v>
      </c>
    </row>
    <row r="1816" customFormat="false" ht="14.25" hidden="false" customHeight="true" outlineLevel="0" collapsed="false">
      <c r="A1816" s="51" t="n">
        <v>14795</v>
      </c>
      <c r="B1816" s="52" t="n">
        <v>40720.5444444444</v>
      </c>
      <c r="C1816" s="1" t="n">
        <v>1</v>
      </c>
      <c r="D1816" s="1" t="n">
        <v>131.45</v>
      </c>
    </row>
    <row r="1817" customFormat="false" ht="14.25" hidden="false" customHeight="true" outlineLevel="0" collapsed="false">
      <c r="A1817" s="51" t="n">
        <v>14796</v>
      </c>
      <c r="B1817" s="52" t="n">
        <v>40885.6465277778</v>
      </c>
      <c r="C1817" s="1" t="n">
        <v>27</v>
      </c>
      <c r="D1817" s="1" t="n">
        <v>7839.51</v>
      </c>
    </row>
    <row r="1818" customFormat="false" ht="14.25" hidden="false" customHeight="true" outlineLevel="0" collapsed="false">
      <c r="A1818" s="51" t="n">
        <v>14798</v>
      </c>
      <c r="B1818" s="52" t="n">
        <v>40834.4569444444</v>
      </c>
      <c r="C1818" s="1" t="n">
        <v>3</v>
      </c>
      <c r="D1818" s="1" t="n">
        <v>173.74</v>
      </c>
    </row>
    <row r="1819" customFormat="false" ht="14.25" hidden="false" customHeight="true" outlineLevel="0" collapsed="false">
      <c r="A1819" s="51" t="n">
        <v>14799</v>
      </c>
      <c r="B1819" s="52" t="n">
        <v>40835.6777777778</v>
      </c>
      <c r="C1819" s="1" t="n">
        <v>1</v>
      </c>
      <c r="D1819" s="1" t="n">
        <v>157.7</v>
      </c>
    </row>
    <row r="1820" customFormat="false" ht="14.25" hidden="false" customHeight="true" outlineLevel="0" collapsed="false">
      <c r="A1820" s="51" t="n">
        <v>14800</v>
      </c>
      <c r="B1820" s="52" t="n">
        <v>40839.5319444445</v>
      </c>
      <c r="C1820" s="1" t="n">
        <v>16</v>
      </c>
      <c r="D1820" s="1" t="n">
        <v>4236.34</v>
      </c>
    </row>
    <row r="1821" customFormat="false" ht="14.25" hidden="false" customHeight="true" outlineLevel="0" collapsed="false">
      <c r="A1821" s="51" t="n">
        <v>14801</v>
      </c>
      <c r="B1821" s="52" t="n">
        <v>40825.6416666667</v>
      </c>
      <c r="C1821" s="1" t="n">
        <v>1</v>
      </c>
      <c r="D1821" s="1" t="n">
        <v>193.14</v>
      </c>
    </row>
    <row r="1822" customFormat="false" ht="14.25" hidden="false" customHeight="true" outlineLevel="0" collapsed="false">
      <c r="A1822" s="51" t="n">
        <v>14803</v>
      </c>
      <c r="B1822" s="52" t="n">
        <v>40724.5819444444</v>
      </c>
      <c r="C1822" s="1" t="n">
        <v>3</v>
      </c>
      <c r="D1822" s="1" t="n">
        <v>845.55</v>
      </c>
    </row>
    <row r="1823" customFormat="false" ht="14.25" hidden="false" customHeight="true" outlineLevel="0" collapsed="false">
      <c r="A1823" s="51" t="n">
        <v>14804</v>
      </c>
      <c r="B1823" s="52" t="n">
        <v>40878.4722222222</v>
      </c>
      <c r="C1823" s="1" t="n">
        <v>1</v>
      </c>
      <c r="D1823" s="1" t="n">
        <v>353.27</v>
      </c>
    </row>
    <row r="1824" customFormat="false" ht="14.25" hidden="false" customHeight="true" outlineLevel="0" collapsed="false">
      <c r="A1824" s="51" t="n">
        <v>14805</v>
      </c>
      <c r="B1824" s="52" t="n">
        <v>40871.6805555556</v>
      </c>
      <c r="C1824" s="1" t="n">
        <v>4</v>
      </c>
      <c r="D1824" s="1" t="n">
        <v>554.65</v>
      </c>
    </row>
    <row r="1825" customFormat="false" ht="14.25" hidden="false" customHeight="true" outlineLevel="0" collapsed="false">
      <c r="A1825" s="51" t="n">
        <v>14806</v>
      </c>
      <c r="B1825" s="52" t="n">
        <v>40811.6472222222</v>
      </c>
      <c r="C1825" s="1" t="n">
        <v>1</v>
      </c>
      <c r="D1825" s="1" t="n">
        <v>193.39</v>
      </c>
    </row>
    <row r="1826" customFormat="false" ht="14.25" hidden="false" customHeight="true" outlineLevel="0" collapsed="false">
      <c r="A1826" s="51" t="n">
        <v>14808</v>
      </c>
      <c r="B1826" s="52" t="n">
        <v>40847.5145833333</v>
      </c>
      <c r="C1826" s="1" t="n">
        <v>15</v>
      </c>
      <c r="D1826" s="1" t="n">
        <v>2175.37</v>
      </c>
    </row>
    <row r="1827" customFormat="false" ht="14.25" hidden="false" customHeight="true" outlineLevel="0" collapsed="false">
      <c r="A1827" s="51" t="n">
        <v>14810</v>
      </c>
      <c r="B1827" s="52" t="n">
        <v>40846.4715277778</v>
      </c>
      <c r="C1827" s="1" t="n">
        <v>11</v>
      </c>
      <c r="D1827" s="1" t="n">
        <v>2087.88</v>
      </c>
    </row>
    <row r="1828" customFormat="false" ht="14.25" hidden="false" customHeight="true" outlineLevel="0" collapsed="false">
      <c r="A1828" s="51" t="n">
        <v>14813</v>
      </c>
      <c r="B1828" s="52" t="n">
        <v>40517.4979166667</v>
      </c>
      <c r="C1828" s="1" t="n">
        <v>2</v>
      </c>
      <c r="D1828" s="1" t="n">
        <v>155.43</v>
      </c>
    </row>
    <row r="1829" customFormat="false" ht="14.25" hidden="false" customHeight="true" outlineLevel="0" collapsed="false">
      <c r="A1829" s="51" t="n">
        <v>14815</v>
      </c>
      <c r="B1829" s="52" t="n">
        <v>40850.4833333333</v>
      </c>
      <c r="C1829" s="1" t="n">
        <v>2</v>
      </c>
      <c r="D1829" s="1" t="n">
        <v>778.5</v>
      </c>
    </row>
    <row r="1830" customFormat="false" ht="14.25" hidden="false" customHeight="true" outlineLevel="0" collapsed="false">
      <c r="A1830" s="51" t="n">
        <v>14816</v>
      </c>
      <c r="B1830" s="52" t="n">
        <v>40689.5527777778</v>
      </c>
      <c r="C1830" s="1" t="n">
        <v>1</v>
      </c>
      <c r="D1830" s="1" t="n">
        <v>271.85</v>
      </c>
    </row>
    <row r="1831" customFormat="false" ht="14.25" hidden="false" customHeight="true" outlineLevel="0" collapsed="false">
      <c r="A1831" s="51" t="n">
        <v>14817</v>
      </c>
      <c r="B1831" s="52" t="n">
        <v>40686.5659722222</v>
      </c>
      <c r="C1831" s="1" t="n">
        <v>2</v>
      </c>
      <c r="D1831" s="1" t="n">
        <v>1110.34</v>
      </c>
    </row>
    <row r="1832" customFormat="false" ht="14.25" hidden="false" customHeight="true" outlineLevel="0" collapsed="false">
      <c r="A1832" s="51" t="n">
        <v>14818</v>
      </c>
      <c r="B1832" s="52" t="n">
        <v>40813.4590277778</v>
      </c>
      <c r="C1832" s="1" t="n">
        <v>3</v>
      </c>
      <c r="D1832" s="1" t="n">
        <v>657.8</v>
      </c>
    </row>
    <row r="1833" customFormat="false" ht="14.25" hidden="false" customHeight="true" outlineLevel="0" collapsed="false">
      <c r="A1833" s="51" t="n">
        <v>14819</v>
      </c>
      <c r="B1833" s="52" t="n">
        <v>40822.5701388889</v>
      </c>
      <c r="C1833" s="1" t="n">
        <v>2</v>
      </c>
      <c r="D1833" s="1" t="n">
        <v>272.07</v>
      </c>
    </row>
    <row r="1834" customFormat="false" ht="14.25" hidden="false" customHeight="true" outlineLevel="0" collapsed="false">
      <c r="A1834" s="51" t="n">
        <v>14820</v>
      </c>
      <c r="B1834" s="52" t="n">
        <v>40865.6534722222</v>
      </c>
      <c r="C1834" s="1" t="n">
        <v>4</v>
      </c>
      <c r="D1834" s="1" t="n">
        <v>507.29</v>
      </c>
    </row>
    <row r="1835" customFormat="false" ht="14.25" hidden="false" customHeight="true" outlineLevel="0" collapsed="false">
      <c r="A1835" s="51" t="n">
        <v>14821</v>
      </c>
      <c r="B1835" s="52" t="n">
        <v>40520.3631944444</v>
      </c>
      <c r="C1835" s="1" t="n">
        <v>1</v>
      </c>
      <c r="D1835" s="1" t="n">
        <v>48.8</v>
      </c>
    </row>
    <row r="1836" customFormat="false" ht="14.25" hidden="false" customHeight="true" outlineLevel="0" collapsed="false">
      <c r="A1836" s="51" t="n">
        <v>14823</v>
      </c>
      <c r="B1836" s="52" t="n">
        <v>40706.55</v>
      </c>
      <c r="C1836" s="1" t="n">
        <v>3</v>
      </c>
      <c r="D1836" s="1" t="n">
        <v>321.43</v>
      </c>
    </row>
    <row r="1837" customFormat="false" ht="14.25" hidden="false" customHeight="true" outlineLevel="0" collapsed="false">
      <c r="A1837" s="51" t="n">
        <v>14824</v>
      </c>
      <c r="B1837" s="52" t="n">
        <v>40876.5972222222</v>
      </c>
      <c r="C1837" s="1" t="n">
        <v>4</v>
      </c>
      <c r="D1837" s="1" t="n">
        <v>1127.71</v>
      </c>
    </row>
    <row r="1838" customFormat="false" ht="14.25" hidden="false" customHeight="true" outlineLevel="0" collapsed="false">
      <c r="A1838" s="51" t="n">
        <v>14825</v>
      </c>
      <c r="B1838" s="52" t="n">
        <v>40883.4847222222</v>
      </c>
      <c r="C1838" s="1" t="n">
        <v>12</v>
      </c>
      <c r="D1838" s="1" t="n">
        <v>2226.91</v>
      </c>
    </row>
    <row r="1839" customFormat="false" ht="14.25" hidden="false" customHeight="true" outlineLevel="0" collapsed="false">
      <c r="A1839" s="51" t="n">
        <v>14828</v>
      </c>
      <c r="B1839" s="52" t="n">
        <v>40690.4277777778</v>
      </c>
      <c r="C1839" s="1" t="n">
        <v>3</v>
      </c>
      <c r="D1839" s="1" t="n">
        <v>2139.76</v>
      </c>
    </row>
    <row r="1840" customFormat="false" ht="14.25" hidden="false" customHeight="true" outlineLevel="0" collapsed="false">
      <c r="A1840" s="51" t="n">
        <v>14829</v>
      </c>
      <c r="B1840" s="52" t="n">
        <v>40857.6777777778</v>
      </c>
      <c r="C1840" s="1" t="n">
        <v>6</v>
      </c>
      <c r="D1840" s="1" t="n">
        <v>644.65</v>
      </c>
    </row>
    <row r="1841" customFormat="false" ht="14.25" hidden="false" customHeight="true" outlineLevel="0" collapsed="false">
      <c r="A1841" s="51" t="n">
        <v>14830</v>
      </c>
      <c r="B1841" s="52" t="n">
        <v>40833.6034722222</v>
      </c>
      <c r="C1841" s="1" t="n">
        <v>1</v>
      </c>
      <c r="D1841" s="1" t="n">
        <v>197.13</v>
      </c>
    </row>
    <row r="1842" customFormat="false" ht="14.25" hidden="false" customHeight="true" outlineLevel="0" collapsed="false">
      <c r="A1842" s="51" t="n">
        <v>14834</v>
      </c>
      <c r="B1842" s="52" t="n">
        <v>40869.4375</v>
      </c>
      <c r="C1842" s="1" t="n">
        <v>8</v>
      </c>
      <c r="D1842" s="1" t="n">
        <v>1698.35</v>
      </c>
    </row>
    <row r="1843" customFormat="false" ht="14.25" hidden="false" customHeight="true" outlineLevel="0" collapsed="false">
      <c r="A1843" s="51" t="n">
        <v>14836</v>
      </c>
      <c r="B1843" s="52" t="n">
        <v>40876.6979166667</v>
      </c>
      <c r="C1843" s="1" t="n">
        <v>3</v>
      </c>
      <c r="D1843" s="1" t="n">
        <v>102.45</v>
      </c>
    </row>
    <row r="1844" customFormat="false" ht="14.25" hidden="false" customHeight="true" outlineLevel="0" collapsed="false">
      <c r="A1844" s="51" t="n">
        <v>14837</v>
      </c>
      <c r="B1844" s="52" t="n">
        <v>40797.4569444444</v>
      </c>
      <c r="C1844" s="1" t="n">
        <v>5</v>
      </c>
      <c r="D1844" s="1" t="n">
        <v>1641.2</v>
      </c>
    </row>
    <row r="1845" customFormat="false" ht="14.25" hidden="false" customHeight="true" outlineLevel="0" collapsed="false">
      <c r="A1845" s="51" t="n">
        <v>14840</v>
      </c>
      <c r="B1845" s="52" t="n">
        <v>40619.5</v>
      </c>
      <c r="C1845" s="1" t="n">
        <v>1</v>
      </c>
      <c r="D1845" s="1" t="n">
        <v>62.85</v>
      </c>
    </row>
    <row r="1846" customFormat="false" ht="14.25" hidden="false" customHeight="true" outlineLevel="0" collapsed="false">
      <c r="A1846" s="51" t="n">
        <v>14841</v>
      </c>
      <c r="B1846" s="52" t="n">
        <v>40833.6270833333</v>
      </c>
      <c r="C1846" s="1" t="n">
        <v>6</v>
      </c>
      <c r="D1846" s="1" t="n">
        <v>3295.76</v>
      </c>
    </row>
    <row r="1847" customFormat="false" ht="14.25" hidden="false" customHeight="true" outlineLevel="0" collapsed="false">
      <c r="A1847" s="51" t="n">
        <v>14842</v>
      </c>
      <c r="B1847" s="52" t="n">
        <v>40851.5479166667</v>
      </c>
      <c r="C1847" s="1" t="n">
        <v>8</v>
      </c>
      <c r="D1847" s="1" t="n">
        <v>2456.8</v>
      </c>
    </row>
    <row r="1848" customFormat="false" ht="14.25" hidden="false" customHeight="true" outlineLevel="0" collapsed="false">
      <c r="A1848" s="51" t="n">
        <v>14844</v>
      </c>
      <c r="B1848" s="52" t="n">
        <v>40823.4451388889</v>
      </c>
      <c r="C1848" s="1" t="n">
        <v>4</v>
      </c>
      <c r="D1848" s="1" t="n">
        <v>3189.81</v>
      </c>
    </row>
    <row r="1849" customFormat="false" ht="14.25" hidden="false" customHeight="true" outlineLevel="0" collapsed="false">
      <c r="A1849" s="51" t="n">
        <v>14847</v>
      </c>
      <c r="B1849" s="52" t="n">
        <v>40738.4527777778</v>
      </c>
      <c r="C1849" s="1" t="n">
        <v>1</v>
      </c>
      <c r="D1849" s="1" t="n">
        <v>309.4</v>
      </c>
    </row>
    <row r="1850" customFormat="false" ht="14.25" hidden="false" customHeight="true" outlineLevel="0" collapsed="false">
      <c r="A1850" s="51" t="n">
        <v>14849</v>
      </c>
      <c r="B1850" s="52" t="n">
        <v>40865.4569444444</v>
      </c>
      <c r="C1850" s="1" t="n">
        <v>28</v>
      </c>
      <c r="D1850" s="1" t="n">
        <v>7904.28</v>
      </c>
    </row>
    <row r="1851" customFormat="false" ht="14.25" hidden="false" customHeight="true" outlineLevel="0" collapsed="false">
      <c r="A1851" s="51" t="n">
        <v>14850</v>
      </c>
      <c r="B1851" s="52" t="n">
        <v>40575.4729166667</v>
      </c>
      <c r="C1851" s="1" t="n">
        <v>2</v>
      </c>
      <c r="D1851" s="1" t="n">
        <v>278.15</v>
      </c>
    </row>
    <row r="1852" customFormat="false" ht="14.25" hidden="false" customHeight="true" outlineLevel="0" collapsed="false">
      <c r="A1852" s="51" t="n">
        <v>14851</v>
      </c>
      <c r="B1852" s="52" t="n">
        <v>40863.5972222222</v>
      </c>
      <c r="C1852" s="1" t="n">
        <v>2</v>
      </c>
      <c r="D1852" s="1" t="n">
        <v>511.35</v>
      </c>
    </row>
    <row r="1853" customFormat="false" ht="14.25" hidden="false" customHeight="true" outlineLevel="0" collapsed="false">
      <c r="A1853" s="51" t="n">
        <v>14852</v>
      </c>
      <c r="B1853" s="52" t="n">
        <v>40828.5555555556</v>
      </c>
      <c r="C1853" s="1" t="n">
        <v>6</v>
      </c>
      <c r="D1853" s="1" t="n">
        <v>2836.69</v>
      </c>
    </row>
    <row r="1854" customFormat="false" ht="14.25" hidden="false" customHeight="true" outlineLevel="0" collapsed="false">
      <c r="A1854" s="51" t="n">
        <v>14853</v>
      </c>
      <c r="B1854" s="52" t="n">
        <v>40878.4055555556</v>
      </c>
      <c r="C1854" s="1" t="n">
        <v>3</v>
      </c>
      <c r="D1854" s="1" t="n">
        <v>463.05</v>
      </c>
    </row>
    <row r="1855" customFormat="false" ht="14.25" hidden="false" customHeight="true" outlineLevel="0" collapsed="false">
      <c r="A1855" s="51" t="n">
        <v>14854</v>
      </c>
      <c r="B1855" s="52" t="n">
        <v>40808.7083333333</v>
      </c>
      <c r="C1855" s="1" t="n">
        <v>8</v>
      </c>
      <c r="D1855" s="1" t="n">
        <v>2749.89</v>
      </c>
    </row>
    <row r="1856" customFormat="false" ht="14.25" hidden="false" customHeight="true" outlineLevel="0" collapsed="false">
      <c r="A1856" s="51" t="n">
        <v>14855</v>
      </c>
      <c r="B1856" s="52" t="n">
        <v>40767.5847222222</v>
      </c>
      <c r="C1856" s="1" t="n">
        <v>2</v>
      </c>
      <c r="D1856" s="1" t="n">
        <v>645.65</v>
      </c>
    </row>
    <row r="1857" customFormat="false" ht="14.25" hidden="false" customHeight="true" outlineLevel="0" collapsed="false">
      <c r="A1857" s="51" t="n">
        <v>14856</v>
      </c>
      <c r="B1857" s="52" t="n">
        <v>40850.6201388889</v>
      </c>
      <c r="C1857" s="1" t="n">
        <v>3</v>
      </c>
      <c r="D1857" s="1" t="n">
        <v>1311.38</v>
      </c>
    </row>
    <row r="1858" customFormat="false" ht="14.25" hidden="false" customHeight="true" outlineLevel="0" collapsed="false">
      <c r="A1858" s="51" t="n">
        <v>14857</v>
      </c>
      <c r="B1858" s="52" t="n">
        <v>40827.3909722222</v>
      </c>
      <c r="C1858" s="1" t="n">
        <v>3</v>
      </c>
      <c r="D1858" s="1" t="n">
        <v>1165.65</v>
      </c>
    </row>
    <row r="1859" customFormat="false" ht="14.25" hidden="false" customHeight="true" outlineLevel="0" collapsed="false">
      <c r="A1859" s="51" t="n">
        <v>14859</v>
      </c>
      <c r="B1859" s="52" t="n">
        <v>40874.4708333333</v>
      </c>
      <c r="C1859" s="1" t="n">
        <v>5</v>
      </c>
      <c r="D1859" s="1" t="n">
        <v>1352.04</v>
      </c>
    </row>
    <row r="1860" customFormat="false" ht="14.25" hidden="false" customHeight="true" outlineLevel="0" collapsed="false">
      <c r="A1860" s="51" t="n">
        <v>14860</v>
      </c>
      <c r="B1860" s="52" t="n">
        <v>40878.4055555556</v>
      </c>
      <c r="C1860" s="1" t="n">
        <v>2</v>
      </c>
      <c r="D1860" s="1" t="n">
        <v>168.62</v>
      </c>
    </row>
    <row r="1861" customFormat="false" ht="14.25" hidden="false" customHeight="true" outlineLevel="0" collapsed="false">
      <c r="A1861" s="51" t="n">
        <v>14861</v>
      </c>
      <c r="B1861" s="52" t="n">
        <v>40834.5375</v>
      </c>
      <c r="C1861" s="1" t="n">
        <v>1</v>
      </c>
      <c r="D1861" s="1" t="n">
        <v>125.79</v>
      </c>
    </row>
    <row r="1862" customFormat="false" ht="14.25" hidden="false" customHeight="true" outlineLevel="0" collapsed="false">
      <c r="A1862" s="51" t="n">
        <v>14862</v>
      </c>
      <c r="B1862" s="52" t="n">
        <v>40861.4173611111</v>
      </c>
      <c r="C1862" s="1" t="n">
        <v>2</v>
      </c>
      <c r="D1862" s="1" t="n">
        <v>841.2</v>
      </c>
    </row>
    <row r="1863" customFormat="false" ht="14.25" hidden="false" customHeight="true" outlineLevel="0" collapsed="false">
      <c r="A1863" s="51" t="n">
        <v>14863</v>
      </c>
      <c r="B1863" s="52" t="n">
        <v>40857.6277777778</v>
      </c>
      <c r="C1863" s="1" t="n">
        <v>1</v>
      </c>
      <c r="D1863" s="1" t="n">
        <v>266.76</v>
      </c>
    </row>
    <row r="1864" customFormat="false" ht="14.25" hidden="false" customHeight="true" outlineLevel="0" collapsed="false">
      <c r="A1864" s="51" t="n">
        <v>14865</v>
      </c>
      <c r="B1864" s="52" t="n">
        <v>40879.6840277778</v>
      </c>
      <c r="C1864" s="1" t="n">
        <v>2</v>
      </c>
      <c r="D1864" s="1" t="n">
        <v>52.2</v>
      </c>
    </row>
    <row r="1865" customFormat="false" ht="14.25" hidden="false" customHeight="true" outlineLevel="0" collapsed="false">
      <c r="A1865" s="51" t="n">
        <v>14866</v>
      </c>
      <c r="B1865" s="52" t="n">
        <v>40876.4895833333</v>
      </c>
      <c r="C1865" s="1" t="n">
        <v>13</v>
      </c>
      <c r="D1865" s="1" t="n">
        <v>14197.45</v>
      </c>
    </row>
    <row r="1866" customFormat="false" ht="14.25" hidden="false" customHeight="true" outlineLevel="0" collapsed="false">
      <c r="A1866" s="51" t="n">
        <v>14867</v>
      </c>
      <c r="B1866" s="52" t="n">
        <v>40701.4854166667</v>
      </c>
      <c r="C1866" s="1" t="n">
        <v>4</v>
      </c>
      <c r="D1866" s="1" t="n">
        <v>701.33</v>
      </c>
    </row>
    <row r="1867" customFormat="false" ht="14.25" hidden="false" customHeight="true" outlineLevel="0" collapsed="false">
      <c r="A1867" s="51" t="n">
        <v>14868</v>
      </c>
      <c r="B1867" s="52" t="n">
        <v>40883.6173611111</v>
      </c>
      <c r="C1867" s="1" t="n">
        <v>9</v>
      </c>
      <c r="D1867" s="1" t="n">
        <v>2939.64</v>
      </c>
    </row>
    <row r="1868" customFormat="false" ht="14.25" hidden="false" customHeight="true" outlineLevel="0" collapsed="false">
      <c r="A1868" s="51" t="n">
        <v>14869</v>
      </c>
      <c r="B1868" s="52" t="n">
        <v>40883.4548611111</v>
      </c>
      <c r="C1868" s="1" t="n">
        <v>3</v>
      </c>
      <c r="D1868" s="1" t="n">
        <v>721.95</v>
      </c>
    </row>
    <row r="1869" customFormat="false" ht="14.25" hidden="false" customHeight="true" outlineLevel="0" collapsed="false">
      <c r="A1869" s="51" t="n">
        <v>14870</v>
      </c>
      <c r="B1869" s="52" t="n">
        <v>40625.4520833333</v>
      </c>
      <c r="C1869" s="1" t="n">
        <v>1</v>
      </c>
      <c r="D1869" s="1" t="n">
        <v>327.25</v>
      </c>
    </row>
    <row r="1870" customFormat="false" ht="14.25" hidden="false" customHeight="true" outlineLevel="0" collapsed="false">
      <c r="A1870" s="51" t="n">
        <v>14871</v>
      </c>
      <c r="B1870" s="52" t="n">
        <v>40883.5708333333</v>
      </c>
      <c r="C1870" s="1" t="n">
        <v>4</v>
      </c>
      <c r="D1870" s="1" t="n">
        <v>522.38</v>
      </c>
    </row>
    <row r="1871" customFormat="false" ht="14.25" hidden="false" customHeight="true" outlineLevel="0" collapsed="false">
      <c r="A1871" s="51" t="n">
        <v>14873</v>
      </c>
      <c r="B1871" s="52" t="n">
        <v>40676.5777777778</v>
      </c>
      <c r="C1871" s="1" t="n">
        <v>1</v>
      </c>
      <c r="D1871" s="1" t="n">
        <v>519.68</v>
      </c>
    </row>
    <row r="1872" customFormat="false" ht="14.25" hidden="false" customHeight="true" outlineLevel="0" collapsed="false">
      <c r="A1872" s="51" t="n">
        <v>14875</v>
      </c>
      <c r="B1872" s="52" t="n">
        <v>40877.6118055556</v>
      </c>
      <c r="C1872" s="1" t="n">
        <v>5</v>
      </c>
      <c r="D1872" s="1" t="n">
        <v>1448.72</v>
      </c>
    </row>
    <row r="1873" customFormat="false" ht="14.25" hidden="false" customHeight="true" outlineLevel="0" collapsed="false">
      <c r="A1873" s="51" t="n">
        <v>14878</v>
      </c>
      <c r="B1873" s="52" t="n">
        <v>40874.46875</v>
      </c>
      <c r="C1873" s="1" t="n">
        <v>9</v>
      </c>
      <c r="D1873" s="1" t="n">
        <v>1485.54</v>
      </c>
    </row>
    <row r="1874" customFormat="false" ht="14.25" hidden="false" customHeight="true" outlineLevel="0" collapsed="false">
      <c r="A1874" s="51" t="n">
        <v>14880</v>
      </c>
      <c r="B1874" s="52" t="n">
        <v>40809.5708333333</v>
      </c>
      <c r="C1874" s="1" t="n">
        <v>3</v>
      </c>
      <c r="D1874" s="1" t="n">
        <v>706.19</v>
      </c>
    </row>
    <row r="1875" customFormat="false" ht="14.25" hidden="false" customHeight="true" outlineLevel="0" collapsed="false">
      <c r="A1875" s="51" t="n">
        <v>14881</v>
      </c>
      <c r="B1875" s="52" t="n">
        <v>40867.4625</v>
      </c>
      <c r="C1875" s="1" t="n">
        <v>1</v>
      </c>
      <c r="D1875" s="1" t="n">
        <v>255.4</v>
      </c>
    </row>
    <row r="1876" customFormat="false" ht="14.25" hidden="false" customHeight="true" outlineLevel="0" collapsed="false">
      <c r="A1876" s="51" t="n">
        <v>14882</v>
      </c>
      <c r="B1876" s="52" t="n">
        <v>40860.5326388889</v>
      </c>
      <c r="C1876" s="1" t="n">
        <v>2</v>
      </c>
      <c r="D1876" s="1" t="n">
        <v>589.7</v>
      </c>
    </row>
    <row r="1877" customFormat="false" ht="14.25" hidden="false" customHeight="true" outlineLevel="0" collapsed="false">
      <c r="A1877" s="51" t="n">
        <v>14883</v>
      </c>
      <c r="B1877" s="52" t="n">
        <v>40868.4326388889</v>
      </c>
      <c r="C1877" s="1" t="n">
        <v>7</v>
      </c>
      <c r="D1877" s="1" t="n">
        <v>756.64</v>
      </c>
    </row>
    <row r="1878" customFormat="false" ht="14.25" hidden="false" customHeight="true" outlineLevel="0" collapsed="false">
      <c r="A1878" s="51" t="n">
        <v>14885</v>
      </c>
      <c r="B1878" s="52" t="n">
        <v>40755.5034722222</v>
      </c>
      <c r="C1878" s="1" t="n">
        <v>1</v>
      </c>
      <c r="D1878" s="1" t="n">
        <v>765.32</v>
      </c>
    </row>
    <row r="1879" customFormat="false" ht="14.25" hidden="false" customHeight="true" outlineLevel="0" collapsed="false">
      <c r="A1879" s="51" t="n">
        <v>14886</v>
      </c>
      <c r="B1879" s="52" t="n">
        <v>40634.3722222222</v>
      </c>
      <c r="C1879" s="1" t="n">
        <v>1</v>
      </c>
      <c r="D1879" s="1" t="n">
        <v>364.8</v>
      </c>
    </row>
    <row r="1880" customFormat="false" ht="14.25" hidden="false" customHeight="true" outlineLevel="0" collapsed="false">
      <c r="A1880" s="51" t="n">
        <v>14887</v>
      </c>
      <c r="B1880" s="52" t="n">
        <v>40807.6472222222</v>
      </c>
      <c r="C1880" s="1" t="n">
        <v>1</v>
      </c>
      <c r="D1880" s="1" t="n">
        <v>1862</v>
      </c>
    </row>
    <row r="1881" customFormat="false" ht="14.25" hidden="false" customHeight="true" outlineLevel="0" collapsed="false">
      <c r="A1881" s="51" t="n">
        <v>14888</v>
      </c>
      <c r="B1881" s="52" t="n">
        <v>40679.6236111111</v>
      </c>
      <c r="C1881" s="1" t="n">
        <v>1</v>
      </c>
      <c r="D1881" s="1" t="n">
        <v>369.2</v>
      </c>
    </row>
    <row r="1882" customFormat="false" ht="14.25" hidden="false" customHeight="true" outlineLevel="0" collapsed="false">
      <c r="A1882" s="51" t="n">
        <v>14889</v>
      </c>
      <c r="B1882" s="52" t="n">
        <v>40550.6381944444</v>
      </c>
      <c r="C1882" s="1" t="n">
        <v>1</v>
      </c>
      <c r="D1882" s="1" t="n">
        <v>135.9</v>
      </c>
    </row>
    <row r="1883" customFormat="false" ht="14.25" hidden="false" customHeight="true" outlineLevel="0" collapsed="false">
      <c r="A1883" s="51" t="n">
        <v>14890</v>
      </c>
      <c r="B1883" s="52" t="n">
        <v>40633.4979166667</v>
      </c>
      <c r="C1883" s="1" t="n">
        <v>1</v>
      </c>
      <c r="D1883" s="1" t="n">
        <v>125.65</v>
      </c>
    </row>
    <row r="1884" customFormat="false" ht="14.25" hidden="false" customHeight="true" outlineLevel="0" collapsed="false">
      <c r="A1884" s="51" t="n">
        <v>14891</v>
      </c>
      <c r="B1884" s="52" t="n">
        <v>40738.7555555556</v>
      </c>
      <c r="C1884" s="1" t="n">
        <v>2</v>
      </c>
      <c r="D1884" s="1" t="n">
        <v>554.38</v>
      </c>
    </row>
    <row r="1885" customFormat="false" ht="14.25" hidden="false" customHeight="true" outlineLevel="0" collapsed="false">
      <c r="A1885" s="51" t="n">
        <v>14893</v>
      </c>
      <c r="B1885" s="52" t="n">
        <v>40877.5215277778</v>
      </c>
      <c r="C1885" s="1" t="n">
        <v>2</v>
      </c>
      <c r="D1885" s="1" t="n">
        <v>1237.85</v>
      </c>
    </row>
    <row r="1886" customFormat="false" ht="14.25" hidden="false" customHeight="true" outlineLevel="0" collapsed="false">
      <c r="A1886" s="51" t="n">
        <v>14894</v>
      </c>
      <c r="B1886" s="52" t="n">
        <v>40801.5770833333</v>
      </c>
      <c r="C1886" s="1" t="n">
        <v>1</v>
      </c>
      <c r="D1886" s="1" t="n">
        <v>655.75</v>
      </c>
    </row>
    <row r="1887" customFormat="false" ht="14.25" hidden="false" customHeight="true" outlineLevel="0" collapsed="false">
      <c r="A1887" s="51" t="n">
        <v>14895</v>
      </c>
      <c r="B1887" s="52" t="n">
        <v>40879.3909722222</v>
      </c>
      <c r="C1887" s="1" t="n">
        <v>24</v>
      </c>
      <c r="D1887" s="1" t="n">
        <v>11020.26</v>
      </c>
    </row>
    <row r="1888" customFormat="false" ht="14.25" hidden="false" customHeight="true" outlineLevel="0" collapsed="false">
      <c r="A1888" s="51" t="n">
        <v>14896</v>
      </c>
      <c r="B1888" s="52" t="n">
        <v>40682.4305555556</v>
      </c>
      <c r="C1888" s="1" t="n">
        <v>2</v>
      </c>
      <c r="D1888" s="1" t="n">
        <v>468.77</v>
      </c>
    </row>
    <row r="1889" customFormat="false" ht="14.25" hidden="false" customHeight="true" outlineLevel="0" collapsed="false">
      <c r="A1889" s="51" t="n">
        <v>14897</v>
      </c>
      <c r="B1889" s="52" t="n">
        <v>40879.4388888889</v>
      </c>
      <c r="C1889" s="1" t="n">
        <v>4</v>
      </c>
      <c r="D1889" s="1" t="n">
        <v>1366.38</v>
      </c>
    </row>
    <row r="1890" customFormat="false" ht="14.25" hidden="false" customHeight="true" outlineLevel="0" collapsed="false">
      <c r="A1890" s="51" t="n">
        <v>14898</v>
      </c>
      <c r="B1890" s="52" t="n">
        <v>40863.6208333333</v>
      </c>
      <c r="C1890" s="1" t="n">
        <v>8</v>
      </c>
      <c r="D1890" s="1" t="n">
        <v>1228.32</v>
      </c>
    </row>
    <row r="1891" customFormat="false" ht="14.25" hidden="false" customHeight="true" outlineLevel="0" collapsed="false">
      <c r="A1891" s="51" t="n">
        <v>14901</v>
      </c>
      <c r="B1891" s="52" t="n">
        <v>40875.7145833333</v>
      </c>
      <c r="C1891" s="1" t="n">
        <v>10</v>
      </c>
      <c r="D1891" s="1" t="n">
        <v>1414.99</v>
      </c>
    </row>
    <row r="1892" customFormat="false" ht="14.25" hidden="false" customHeight="true" outlineLevel="0" collapsed="false">
      <c r="A1892" s="51" t="n">
        <v>14902</v>
      </c>
      <c r="B1892" s="52" t="n">
        <v>40865.7145833333</v>
      </c>
      <c r="C1892" s="1" t="n">
        <v>2</v>
      </c>
      <c r="D1892" s="1" t="n">
        <v>314.11</v>
      </c>
    </row>
    <row r="1893" customFormat="false" ht="14.25" hidden="false" customHeight="true" outlineLevel="0" collapsed="false">
      <c r="A1893" s="51" t="n">
        <v>14903</v>
      </c>
      <c r="B1893" s="52" t="n">
        <v>40865.6715277778</v>
      </c>
      <c r="C1893" s="1" t="n">
        <v>10</v>
      </c>
      <c r="D1893" s="1" t="n">
        <v>2744.48</v>
      </c>
    </row>
    <row r="1894" customFormat="false" ht="14.25" hidden="false" customHeight="true" outlineLevel="0" collapsed="false">
      <c r="A1894" s="51" t="n">
        <v>14904</v>
      </c>
      <c r="B1894" s="52" t="n">
        <v>40884.5381944445</v>
      </c>
      <c r="C1894" s="1" t="n">
        <v>2</v>
      </c>
      <c r="D1894" s="1" t="n">
        <v>1025.44</v>
      </c>
    </row>
    <row r="1895" customFormat="false" ht="14.25" hidden="false" customHeight="true" outlineLevel="0" collapsed="false">
      <c r="A1895" s="51" t="n">
        <v>14905</v>
      </c>
      <c r="B1895" s="52" t="n">
        <v>40732.5666666667</v>
      </c>
      <c r="C1895" s="1" t="n">
        <v>3</v>
      </c>
      <c r="D1895" s="1" t="n">
        <v>599.9</v>
      </c>
    </row>
    <row r="1896" customFormat="false" ht="14.25" hidden="false" customHeight="true" outlineLevel="0" collapsed="false">
      <c r="A1896" s="51" t="n">
        <v>14907</v>
      </c>
      <c r="B1896" s="52" t="n">
        <v>40883.5930555556</v>
      </c>
      <c r="C1896" s="1" t="n">
        <v>10</v>
      </c>
      <c r="D1896" s="1" t="n">
        <v>3478.85</v>
      </c>
    </row>
    <row r="1897" customFormat="false" ht="14.25" hidden="false" customHeight="true" outlineLevel="0" collapsed="false">
      <c r="A1897" s="51" t="n">
        <v>14908</v>
      </c>
      <c r="B1897" s="52" t="n">
        <v>40812.5388888889</v>
      </c>
      <c r="C1897" s="1" t="n">
        <v>1</v>
      </c>
      <c r="D1897" s="1" t="n">
        <v>277.8</v>
      </c>
    </row>
    <row r="1898" customFormat="false" ht="14.25" hidden="false" customHeight="true" outlineLevel="0" collapsed="false">
      <c r="A1898" s="51" t="n">
        <v>14910</v>
      </c>
      <c r="B1898" s="52" t="n">
        <v>40884.4208333333</v>
      </c>
      <c r="C1898" s="1" t="n">
        <v>7</v>
      </c>
      <c r="D1898" s="1" t="n">
        <v>389.86</v>
      </c>
    </row>
    <row r="1899" customFormat="false" ht="14.25" hidden="false" customHeight="true" outlineLevel="0" collapsed="false">
      <c r="A1899" s="51" t="n">
        <v>14911</v>
      </c>
      <c r="B1899" s="52" t="n">
        <v>40885.6625</v>
      </c>
      <c r="C1899" s="1" t="n">
        <v>248</v>
      </c>
      <c r="D1899" s="1" t="n">
        <v>132572.62</v>
      </c>
    </row>
    <row r="1900" customFormat="false" ht="14.25" hidden="false" customHeight="true" outlineLevel="0" collapsed="false">
      <c r="A1900" s="51" t="n">
        <v>14912</v>
      </c>
      <c r="B1900" s="52" t="n">
        <v>40870.5201388889</v>
      </c>
      <c r="C1900" s="1" t="n">
        <v>3</v>
      </c>
      <c r="D1900" s="1" t="n">
        <v>841.52</v>
      </c>
    </row>
    <row r="1901" customFormat="false" ht="14.25" hidden="false" customHeight="true" outlineLevel="0" collapsed="false">
      <c r="A1901" s="51" t="n">
        <v>14913</v>
      </c>
      <c r="B1901" s="52" t="n">
        <v>40851.3534722222</v>
      </c>
      <c r="C1901" s="1" t="n">
        <v>4</v>
      </c>
      <c r="D1901" s="1" t="n">
        <v>1227.43</v>
      </c>
    </row>
    <row r="1902" customFormat="false" ht="14.25" hidden="false" customHeight="true" outlineLevel="0" collapsed="false">
      <c r="A1902" s="51" t="n">
        <v>14915</v>
      </c>
      <c r="B1902" s="52" t="n">
        <v>40801.4354166667</v>
      </c>
      <c r="C1902" s="1" t="n">
        <v>3</v>
      </c>
      <c r="D1902" s="1" t="n">
        <v>258.83</v>
      </c>
    </row>
    <row r="1903" customFormat="false" ht="14.25" hidden="false" customHeight="true" outlineLevel="0" collapsed="false">
      <c r="A1903" s="51" t="n">
        <v>14916</v>
      </c>
      <c r="B1903" s="52" t="n">
        <v>40816.3888888889</v>
      </c>
      <c r="C1903" s="1" t="n">
        <v>5</v>
      </c>
      <c r="D1903" s="1" t="n">
        <v>1264.84</v>
      </c>
    </row>
    <row r="1904" customFormat="false" ht="14.25" hidden="false" customHeight="true" outlineLevel="0" collapsed="false">
      <c r="A1904" s="51" t="n">
        <v>14918</v>
      </c>
      <c r="B1904" s="52" t="n">
        <v>40771.4930555556</v>
      </c>
      <c r="C1904" s="1" t="n">
        <v>2</v>
      </c>
      <c r="D1904" s="1" t="n">
        <v>1610.15</v>
      </c>
    </row>
    <row r="1905" customFormat="false" ht="14.25" hidden="false" customHeight="true" outlineLevel="0" collapsed="false">
      <c r="A1905" s="51" t="n">
        <v>14920</v>
      </c>
      <c r="B1905" s="52" t="n">
        <v>40674.4388888889</v>
      </c>
      <c r="C1905" s="1" t="n">
        <v>2</v>
      </c>
      <c r="D1905" s="1" t="n">
        <v>977.77</v>
      </c>
    </row>
    <row r="1906" customFormat="false" ht="14.25" hidden="false" customHeight="true" outlineLevel="0" collapsed="false">
      <c r="A1906" s="51" t="n">
        <v>14921</v>
      </c>
      <c r="B1906" s="52" t="n">
        <v>40856.5534722222</v>
      </c>
      <c r="C1906" s="1" t="n">
        <v>2</v>
      </c>
      <c r="D1906" s="1" t="n">
        <v>1316.07</v>
      </c>
    </row>
    <row r="1907" customFormat="false" ht="14.25" hidden="false" customHeight="true" outlineLevel="0" collapsed="false">
      <c r="A1907" s="51" t="n">
        <v>14923</v>
      </c>
      <c r="B1907" s="52" t="n">
        <v>40836.49375</v>
      </c>
      <c r="C1907" s="1" t="n">
        <v>1</v>
      </c>
      <c r="D1907" s="1" t="n">
        <v>749.1</v>
      </c>
    </row>
    <row r="1908" customFormat="false" ht="14.25" hidden="false" customHeight="true" outlineLevel="0" collapsed="false">
      <c r="A1908" s="51" t="n">
        <v>14924</v>
      </c>
      <c r="B1908" s="52" t="n">
        <v>40641.3923611111</v>
      </c>
      <c r="C1908" s="1" t="n">
        <v>1</v>
      </c>
      <c r="D1908" s="1" t="n">
        <v>310.05</v>
      </c>
    </row>
    <row r="1909" customFormat="false" ht="14.25" hidden="false" customHeight="true" outlineLevel="0" collapsed="false">
      <c r="A1909" s="51" t="n">
        <v>14929</v>
      </c>
      <c r="B1909" s="52" t="n">
        <v>40854.7229166667</v>
      </c>
      <c r="C1909" s="1" t="n">
        <v>1</v>
      </c>
      <c r="D1909" s="1" t="n">
        <v>223.88</v>
      </c>
    </row>
    <row r="1910" customFormat="false" ht="14.25" hidden="false" customHeight="true" outlineLevel="0" collapsed="false">
      <c r="A1910" s="51" t="n">
        <v>14930</v>
      </c>
      <c r="B1910" s="52" t="n">
        <v>40778.4381944445</v>
      </c>
      <c r="C1910" s="1" t="n">
        <v>3</v>
      </c>
      <c r="D1910" s="1" t="n">
        <v>2372.86</v>
      </c>
    </row>
    <row r="1911" customFormat="false" ht="14.25" hidden="false" customHeight="true" outlineLevel="0" collapsed="false">
      <c r="A1911" s="51" t="n">
        <v>14931</v>
      </c>
      <c r="B1911" s="52" t="n">
        <v>40882.4298611111</v>
      </c>
      <c r="C1911" s="1" t="n">
        <v>6</v>
      </c>
      <c r="D1911" s="1" t="n">
        <v>964.68</v>
      </c>
    </row>
    <row r="1912" customFormat="false" ht="14.25" hidden="false" customHeight="true" outlineLevel="0" collapsed="false">
      <c r="A1912" s="51" t="n">
        <v>14932</v>
      </c>
      <c r="B1912" s="52" t="n">
        <v>40521.4916666667</v>
      </c>
      <c r="C1912" s="1" t="n">
        <v>1</v>
      </c>
      <c r="D1912" s="1" t="n">
        <v>363.53</v>
      </c>
    </row>
    <row r="1913" customFormat="false" ht="14.25" hidden="false" customHeight="true" outlineLevel="0" collapsed="false">
      <c r="A1913" s="51" t="n">
        <v>14934</v>
      </c>
      <c r="B1913" s="52" t="n">
        <v>40814.40625</v>
      </c>
      <c r="C1913" s="1" t="n">
        <v>3</v>
      </c>
      <c r="D1913" s="1" t="n">
        <v>1888.84</v>
      </c>
    </row>
    <row r="1914" customFormat="false" ht="14.25" hidden="false" customHeight="true" outlineLevel="0" collapsed="false">
      <c r="A1914" s="51" t="n">
        <v>14935</v>
      </c>
      <c r="B1914" s="52" t="n">
        <v>40589.6138888889</v>
      </c>
      <c r="C1914" s="1" t="n">
        <v>1</v>
      </c>
      <c r="D1914" s="1" t="n">
        <v>1784.71</v>
      </c>
    </row>
    <row r="1915" customFormat="false" ht="14.25" hidden="false" customHeight="true" outlineLevel="0" collapsed="false">
      <c r="A1915" s="51" t="n">
        <v>14936</v>
      </c>
      <c r="B1915" s="52" t="n">
        <v>40877.6298611111</v>
      </c>
      <c r="C1915" s="1" t="n">
        <v>9</v>
      </c>
      <c r="D1915" s="1" t="n">
        <v>8117.42</v>
      </c>
    </row>
    <row r="1916" customFormat="false" ht="14.25" hidden="false" customHeight="true" outlineLevel="0" collapsed="false">
      <c r="A1916" s="51" t="n">
        <v>14937</v>
      </c>
      <c r="B1916" s="52" t="n">
        <v>40830.5201388889</v>
      </c>
      <c r="C1916" s="1" t="n">
        <v>4</v>
      </c>
      <c r="D1916" s="1" t="n">
        <v>1617.63</v>
      </c>
    </row>
    <row r="1917" customFormat="false" ht="14.25" hidden="false" customHeight="true" outlineLevel="0" collapsed="false">
      <c r="A1917" s="51" t="n">
        <v>14944</v>
      </c>
      <c r="B1917" s="52" t="n">
        <v>40857.3819444445</v>
      </c>
      <c r="C1917" s="1" t="n">
        <v>14</v>
      </c>
      <c r="D1917" s="1" t="n">
        <v>5842.95</v>
      </c>
    </row>
    <row r="1918" customFormat="false" ht="14.25" hidden="false" customHeight="true" outlineLevel="0" collapsed="false">
      <c r="A1918" s="51" t="n">
        <v>14946</v>
      </c>
      <c r="B1918" s="52" t="n">
        <v>40872.5645833333</v>
      </c>
      <c r="C1918" s="1" t="n">
        <v>1</v>
      </c>
      <c r="D1918" s="1" t="n">
        <v>100.9</v>
      </c>
    </row>
    <row r="1919" customFormat="false" ht="14.25" hidden="false" customHeight="true" outlineLevel="0" collapsed="false">
      <c r="A1919" s="51" t="n">
        <v>14947</v>
      </c>
      <c r="B1919" s="52" t="n">
        <v>40814.6583333333</v>
      </c>
      <c r="C1919" s="1" t="n">
        <v>2</v>
      </c>
      <c r="D1919" s="1" t="n">
        <v>290.82</v>
      </c>
    </row>
    <row r="1920" customFormat="false" ht="14.25" hidden="false" customHeight="true" outlineLevel="0" collapsed="false">
      <c r="A1920" s="51" t="n">
        <v>14948</v>
      </c>
      <c r="B1920" s="52" t="n">
        <v>40863.7194444445</v>
      </c>
      <c r="C1920" s="1" t="n">
        <v>7</v>
      </c>
      <c r="D1920" s="1" t="n">
        <v>1066.57</v>
      </c>
    </row>
    <row r="1921" customFormat="false" ht="14.25" hidden="false" customHeight="true" outlineLevel="0" collapsed="false">
      <c r="A1921" s="51" t="n">
        <v>14950</v>
      </c>
      <c r="B1921" s="52" t="n">
        <v>40878.4041666667</v>
      </c>
      <c r="C1921" s="1" t="n">
        <v>2</v>
      </c>
      <c r="D1921" s="1" t="n">
        <v>361.25</v>
      </c>
    </row>
    <row r="1922" customFormat="false" ht="14.25" hidden="false" customHeight="true" outlineLevel="0" collapsed="false">
      <c r="A1922" s="51" t="n">
        <v>14951</v>
      </c>
      <c r="B1922" s="52" t="n">
        <v>40807.6354166667</v>
      </c>
      <c r="C1922" s="1" t="n">
        <v>1</v>
      </c>
      <c r="D1922" s="1" t="n">
        <v>311.69</v>
      </c>
    </row>
    <row r="1923" customFormat="false" ht="14.25" hidden="false" customHeight="true" outlineLevel="0" collapsed="false">
      <c r="A1923" s="51" t="n">
        <v>14952</v>
      </c>
      <c r="B1923" s="52" t="n">
        <v>40840.5763888889</v>
      </c>
      <c r="C1923" s="1" t="n">
        <v>15</v>
      </c>
      <c r="D1923" s="1" t="n">
        <v>7912.79</v>
      </c>
    </row>
    <row r="1924" customFormat="false" ht="14.25" hidden="false" customHeight="true" outlineLevel="0" collapsed="false">
      <c r="A1924" s="51" t="n">
        <v>14953</v>
      </c>
      <c r="B1924" s="52" t="n">
        <v>40861.6243055556</v>
      </c>
      <c r="C1924" s="1" t="n">
        <v>1</v>
      </c>
      <c r="D1924" s="1" t="n">
        <v>289.82</v>
      </c>
    </row>
    <row r="1925" customFormat="false" ht="14.25" hidden="false" customHeight="true" outlineLevel="0" collapsed="false">
      <c r="A1925" s="51" t="n">
        <v>14954</v>
      </c>
      <c r="B1925" s="52" t="n">
        <v>40874.6041666667</v>
      </c>
      <c r="C1925" s="1" t="n">
        <v>1</v>
      </c>
      <c r="D1925" s="1" t="n">
        <v>336.17</v>
      </c>
    </row>
    <row r="1926" customFormat="false" ht="14.25" hidden="false" customHeight="true" outlineLevel="0" collapsed="false">
      <c r="A1926" s="51" t="n">
        <v>14957</v>
      </c>
      <c r="B1926" s="52" t="n">
        <v>40633.7493055556</v>
      </c>
      <c r="C1926" s="1" t="n">
        <v>1</v>
      </c>
      <c r="D1926" s="1" t="n">
        <v>58.49</v>
      </c>
    </row>
    <row r="1927" customFormat="false" ht="14.25" hidden="false" customHeight="true" outlineLevel="0" collapsed="false">
      <c r="A1927" s="51" t="n">
        <v>14958</v>
      </c>
      <c r="B1927" s="52" t="n">
        <v>40739.5972222222</v>
      </c>
      <c r="C1927" s="1" t="n">
        <v>3</v>
      </c>
      <c r="D1927" s="1" t="n">
        <v>499.68</v>
      </c>
    </row>
    <row r="1928" customFormat="false" ht="14.25" hidden="false" customHeight="true" outlineLevel="0" collapsed="false">
      <c r="A1928" s="51" t="n">
        <v>14959</v>
      </c>
      <c r="B1928" s="52" t="n">
        <v>40827.6861111111</v>
      </c>
      <c r="C1928" s="1" t="n">
        <v>5</v>
      </c>
      <c r="D1928" s="1" t="n">
        <v>684.97</v>
      </c>
    </row>
    <row r="1929" customFormat="false" ht="14.25" hidden="false" customHeight="true" outlineLevel="0" collapsed="false">
      <c r="A1929" s="51" t="n">
        <v>14960</v>
      </c>
      <c r="B1929" s="52" t="n">
        <v>40878.5375</v>
      </c>
      <c r="C1929" s="1" t="n">
        <v>2</v>
      </c>
      <c r="D1929" s="1" t="n">
        <v>221.27</v>
      </c>
    </row>
    <row r="1930" customFormat="false" ht="14.25" hidden="false" customHeight="true" outlineLevel="0" collapsed="false">
      <c r="A1930" s="51" t="n">
        <v>14961</v>
      </c>
      <c r="B1930" s="52" t="n">
        <v>40876.4041666667</v>
      </c>
      <c r="C1930" s="1" t="n">
        <v>12</v>
      </c>
      <c r="D1930" s="1" t="n">
        <v>7006.58</v>
      </c>
    </row>
    <row r="1931" customFormat="false" ht="14.25" hidden="false" customHeight="true" outlineLevel="0" collapsed="false">
      <c r="A1931" s="51" t="n">
        <v>14962</v>
      </c>
      <c r="B1931" s="52" t="n">
        <v>40616.4041666667</v>
      </c>
      <c r="C1931" s="1" t="n">
        <v>1</v>
      </c>
      <c r="D1931" s="1" t="n">
        <v>126.7</v>
      </c>
    </row>
    <row r="1932" customFormat="false" ht="14.25" hidden="false" customHeight="true" outlineLevel="0" collapsed="false">
      <c r="A1932" s="51" t="n">
        <v>14963</v>
      </c>
      <c r="B1932" s="52" t="n">
        <v>40877.5111111111</v>
      </c>
      <c r="C1932" s="1" t="n">
        <v>5</v>
      </c>
      <c r="D1932" s="1" t="n">
        <v>1487.8</v>
      </c>
    </row>
    <row r="1933" customFormat="false" ht="14.25" hidden="false" customHeight="true" outlineLevel="0" collapsed="false">
      <c r="A1933" s="51" t="n">
        <v>14964</v>
      </c>
      <c r="B1933" s="52" t="n">
        <v>40639.5923611111</v>
      </c>
      <c r="C1933" s="1" t="n">
        <v>1</v>
      </c>
      <c r="D1933" s="1" t="n">
        <v>206.21</v>
      </c>
    </row>
    <row r="1934" customFormat="false" ht="14.25" hidden="false" customHeight="true" outlineLevel="0" collapsed="false">
      <c r="A1934" s="51" t="n">
        <v>14965</v>
      </c>
      <c r="B1934" s="52" t="n">
        <v>40790.5555555556</v>
      </c>
      <c r="C1934" s="1" t="n">
        <v>2</v>
      </c>
      <c r="D1934" s="1" t="n">
        <v>599</v>
      </c>
    </row>
    <row r="1935" customFormat="false" ht="14.25" hidden="false" customHeight="true" outlineLevel="0" collapsed="false">
      <c r="A1935" s="51" t="n">
        <v>14966</v>
      </c>
      <c r="B1935" s="52" t="n">
        <v>40872.5138888889</v>
      </c>
      <c r="C1935" s="1" t="n">
        <v>1</v>
      </c>
      <c r="D1935" s="1" t="n">
        <v>191.32</v>
      </c>
    </row>
    <row r="1936" customFormat="false" ht="14.25" hidden="false" customHeight="true" outlineLevel="0" collapsed="false">
      <c r="A1936" s="51" t="n">
        <v>14967</v>
      </c>
      <c r="B1936" s="52" t="n">
        <v>40837.4625</v>
      </c>
      <c r="C1936" s="1" t="n">
        <v>1</v>
      </c>
      <c r="D1936" s="1" t="n">
        <v>463.8</v>
      </c>
    </row>
    <row r="1937" customFormat="false" ht="14.25" hidden="false" customHeight="true" outlineLevel="0" collapsed="false">
      <c r="A1937" s="51" t="n">
        <v>14968</v>
      </c>
      <c r="B1937" s="52" t="n">
        <v>40856.5819444444</v>
      </c>
      <c r="C1937" s="1" t="n">
        <v>1</v>
      </c>
      <c r="D1937" s="1" t="n">
        <v>147.59</v>
      </c>
    </row>
    <row r="1938" customFormat="false" ht="14.25" hidden="false" customHeight="true" outlineLevel="0" collapsed="false">
      <c r="A1938" s="51" t="n">
        <v>14970</v>
      </c>
      <c r="B1938" s="52" t="n">
        <v>40818.5722222222</v>
      </c>
      <c r="C1938" s="1" t="n">
        <v>4</v>
      </c>
      <c r="D1938" s="1" t="n">
        <v>1592.06</v>
      </c>
    </row>
    <row r="1939" customFormat="false" ht="14.25" hidden="false" customHeight="true" outlineLevel="0" collapsed="false">
      <c r="A1939" s="51" t="n">
        <v>14971</v>
      </c>
      <c r="B1939" s="52" t="n">
        <v>40851.7131944444</v>
      </c>
      <c r="C1939" s="1" t="n">
        <v>3</v>
      </c>
      <c r="D1939" s="1" t="n">
        <v>1116.57</v>
      </c>
    </row>
    <row r="1940" customFormat="false" ht="14.25" hidden="false" customHeight="true" outlineLevel="0" collapsed="false">
      <c r="A1940" s="51" t="n">
        <v>14972</v>
      </c>
      <c r="B1940" s="52" t="n">
        <v>40758.6208333333</v>
      </c>
      <c r="C1940" s="1" t="n">
        <v>1</v>
      </c>
      <c r="D1940" s="1" t="n">
        <v>114.77</v>
      </c>
    </row>
    <row r="1941" customFormat="false" ht="14.25" hidden="false" customHeight="true" outlineLevel="0" collapsed="false">
      <c r="A1941" s="51" t="n">
        <v>14973</v>
      </c>
      <c r="B1941" s="52" t="n">
        <v>40779.6604166667</v>
      </c>
      <c r="C1941" s="1" t="n">
        <v>3</v>
      </c>
      <c r="D1941" s="1" t="n">
        <v>1314.45</v>
      </c>
    </row>
    <row r="1942" customFormat="false" ht="14.25" hidden="false" customHeight="true" outlineLevel="0" collapsed="false">
      <c r="A1942" s="51" t="n">
        <v>14974</v>
      </c>
      <c r="B1942" s="52" t="n">
        <v>40849.5423611111</v>
      </c>
      <c r="C1942" s="1" t="n">
        <v>1</v>
      </c>
      <c r="D1942" s="1" t="n">
        <v>114.39</v>
      </c>
    </row>
    <row r="1943" customFormat="false" ht="14.25" hidden="false" customHeight="true" outlineLevel="0" collapsed="false">
      <c r="A1943" s="51" t="n">
        <v>14975</v>
      </c>
      <c r="B1943" s="52" t="n">
        <v>40829.5888888889</v>
      </c>
      <c r="C1943" s="1" t="n">
        <v>1</v>
      </c>
      <c r="D1943" s="1" t="n">
        <v>279.94</v>
      </c>
    </row>
    <row r="1944" customFormat="false" ht="14.25" hidden="false" customHeight="true" outlineLevel="0" collapsed="false">
      <c r="A1944" s="51" t="n">
        <v>14976</v>
      </c>
      <c r="B1944" s="52" t="n">
        <v>40829.6923611111</v>
      </c>
      <c r="C1944" s="1" t="n">
        <v>8</v>
      </c>
      <c r="D1944" s="1" t="n">
        <v>765.86</v>
      </c>
    </row>
    <row r="1945" customFormat="false" ht="14.25" hidden="false" customHeight="true" outlineLevel="0" collapsed="false">
      <c r="A1945" s="51" t="n">
        <v>14978</v>
      </c>
      <c r="B1945" s="52" t="n">
        <v>40814.5465277778</v>
      </c>
      <c r="C1945" s="1" t="n">
        <v>5</v>
      </c>
      <c r="D1945" s="1" t="n">
        <v>1931.42</v>
      </c>
    </row>
    <row r="1946" customFormat="false" ht="14.25" hidden="false" customHeight="true" outlineLevel="0" collapsed="false">
      <c r="A1946" s="51" t="n">
        <v>14981</v>
      </c>
      <c r="B1946" s="52" t="n">
        <v>40640.5729166667</v>
      </c>
      <c r="C1946" s="1" t="n">
        <v>1</v>
      </c>
      <c r="D1946" s="1" t="n">
        <v>102.12</v>
      </c>
    </row>
    <row r="1947" customFormat="false" ht="14.25" hidden="false" customHeight="true" outlineLevel="0" collapsed="false">
      <c r="A1947" s="51" t="n">
        <v>14984</v>
      </c>
      <c r="B1947" s="52" t="n">
        <v>40867.6027777778</v>
      </c>
      <c r="C1947" s="1" t="n">
        <v>2</v>
      </c>
      <c r="D1947" s="1" t="n">
        <v>213.27</v>
      </c>
    </row>
    <row r="1948" customFormat="false" ht="14.25" hidden="false" customHeight="true" outlineLevel="0" collapsed="false">
      <c r="A1948" s="51" t="n">
        <v>14985</v>
      </c>
      <c r="B1948" s="52" t="n">
        <v>40688.6034722222</v>
      </c>
      <c r="C1948" s="1" t="n">
        <v>2</v>
      </c>
      <c r="D1948" s="1" t="n">
        <v>296.75</v>
      </c>
    </row>
    <row r="1949" customFormat="false" ht="14.25" hidden="false" customHeight="true" outlineLevel="0" collapsed="false">
      <c r="A1949" s="51" t="n">
        <v>14987</v>
      </c>
      <c r="B1949" s="52" t="n">
        <v>40871.4159722222</v>
      </c>
      <c r="C1949" s="1" t="n">
        <v>2</v>
      </c>
      <c r="D1949" s="1" t="n">
        <v>326.4</v>
      </c>
    </row>
    <row r="1950" customFormat="false" ht="14.25" hidden="false" customHeight="true" outlineLevel="0" collapsed="false">
      <c r="A1950" s="51" t="n">
        <v>14988</v>
      </c>
      <c r="B1950" s="52" t="n">
        <v>40675.5034722222</v>
      </c>
      <c r="C1950" s="1" t="n">
        <v>1</v>
      </c>
      <c r="D1950" s="1" t="n">
        <v>334.54</v>
      </c>
    </row>
    <row r="1951" customFormat="false" ht="14.25" hidden="false" customHeight="true" outlineLevel="0" collapsed="false">
      <c r="A1951" s="51" t="n">
        <v>14995</v>
      </c>
      <c r="B1951" s="52" t="n">
        <v>40848.4854166667</v>
      </c>
      <c r="C1951" s="1" t="n">
        <v>2</v>
      </c>
      <c r="D1951" s="1" t="n">
        <v>233.23</v>
      </c>
    </row>
    <row r="1952" customFormat="false" ht="14.25" hidden="false" customHeight="true" outlineLevel="0" collapsed="false">
      <c r="A1952" s="51" t="n">
        <v>14997</v>
      </c>
      <c r="B1952" s="52" t="n">
        <v>40840.5611111111</v>
      </c>
      <c r="C1952" s="1" t="n">
        <v>4</v>
      </c>
      <c r="D1952" s="1" t="n">
        <v>540.98</v>
      </c>
    </row>
    <row r="1953" customFormat="false" ht="14.25" hidden="false" customHeight="true" outlineLevel="0" collapsed="false">
      <c r="A1953" s="51" t="n">
        <v>14998</v>
      </c>
      <c r="B1953" s="52" t="n">
        <v>40716.7291666667</v>
      </c>
      <c r="C1953" s="1" t="n">
        <v>2</v>
      </c>
      <c r="D1953" s="1" t="n">
        <v>429.87</v>
      </c>
    </row>
    <row r="1954" customFormat="false" ht="14.25" hidden="false" customHeight="true" outlineLevel="0" collapsed="false">
      <c r="A1954" s="51" t="n">
        <v>15000</v>
      </c>
      <c r="B1954" s="52" t="n">
        <v>40839.4875</v>
      </c>
      <c r="C1954" s="1" t="n">
        <v>1</v>
      </c>
      <c r="D1954" s="1" t="n">
        <v>490.52</v>
      </c>
    </row>
    <row r="1955" customFormat="false" ht="14.25" hidden="false" customHeight="true" outlineLevel="0" collapsed="false">
      <c r="A1955" s="51" t="n">
        <v>15002</v>
      </c>
      <c r="B1955" s="52" t="n">
        <v>40771.4472222222</v>
      </c>
      <c r="C1955" s="1" t="n">
        <v>4</v>
      </c>
      <c r="D1955" s="1" t="n">
        <v>1641.76</v>
      </c>
    </row>
    <row r="1956" customFormat="false" ht="14.25" hidden="false" customHeight="true" outlineLevel="0" collapsed="false">
      <c r="A1956" s="51" t="n">
        <v>15004</v>
      </c>
      <c r="B1956" s="52" t="n">
        <v>40739.5868055556</v>
      </c>
      <c r="C1956" s="1" t="n">
        <v>1</v>
      </c>
      <c r="D1956" s="1" t="n">
        <v>1246.32</v>
      </c>
    </row>
    <row r="1957" customFormat="false" ht="14.25" hidden="false" customHeight="true" outlineLevel="0" collapsed="false">
      <c r="A1957" s="51" t="n">
        <v>15005</v>
      </c>
      <c r="B1957" s="52" t="n">
        <v>40871.5173611111</v>
      </c>
      <c r="C1957" s="1" t="n">
        <v>35</v>
      </c>
      <c r="D1957" s="1" t="n">
        <v>6180.48999999999</v>
      </c>
    </row>
    <row r="1958" customFormat="false" ht="14.25" hidden="false" customHeight="true" outlineLevel="0" collapsed="false">
      <c r="A1958" s="51" t="n">
        <v>15006</v>
      </c>
      <c r="B1958" s="52" t="n">
        <v>40835.6305555556</v>
      </c>
      <c r="C1958" s="1" t="n">
        <v>1</v>
      </c>
      <c r="D1958" s="1" t="n">
        <v>502.09</v>
      </c>
    </row>
    <row r="1959" customFormat="false" ht="14.25" hidden="false" customHeight="true" outlineLevel="0" collapsed="false">
      <c r="A1959" s="51" t="n">
        <v>15007</v>
      </c>
      <c r="B1959" s="52" t="n">
        <v>40727.6666666667</v>
      </c>
      <c r="C1959" s="1" t="n">
        <v>1</v>
      </c>
      <c r="D1959" s="1" t="n">
        <v>156.91</v>
      </c>
    </row>
    <row r="1960" customFormat="false" ht="14.25" hidden="false" customHeight="true" outlineLevel="0" collapsed="false">
      <c r="A1960" s="51" t="n">
        <v>15009</v>
      </c>
      <c r="B1960" s="52" t="n">
        <v>40874.5659722222</v>
      </c>
      <c r="C1960" s="1" t="n">
        <v>3</v>
      </c>
      <c r="D1960" s="1" t="n">
        <v>1261.78</v>
      </c>
    </row>
    <row r="1961" customFormat="false" ht="14.25" hidden="false" customHeight="true" outlineLevel="0" collapsed="false">
      <c r="A1961" s="51" t="n">
        <v>15010</v>
      </c>
      <c r="B1961" s="52" t="n">
        <v>40851.5291666667</v>
      </c>
      <c r="C1961" s="1" t="n">
        <v>1</v>
      </c>
      <c r="D1961" s="1" t="n">
        <v>308.94</v>
      </c>
    </row>
    <row r="1962" customFormat="false" ht="14.25" hidden="false" customHeight="true" outlineLevel="0" collapsed="false">
      <c r="A1962" s="51" t="n">
        <v>15012</v>
      </c>
      <c r="B1962" s="52" t="n">
        <v>40833.5152777778</v>
      </c>
      <c r="C1962" s="1" t="n">
        <v>2</v>
      </c>
      <c r="D1962" s="1" t="n">
        <v>423.04</v>
      </c>
    </row>
    <row r="1963" customFormat="false" ht="14.25" hidden="false" customHeight="true" outlineLevel="0" collapsed="false">
      <c r="A1963" s="51" t="n">
        <v>15014</v>
      </c>
      <c r="B1963" s="52" t="n">
        <v>40843.8381944444</v>
      </c>
      <c r="C1963" s="1" t="n">
        <v>2</v>
      </c>
      <c r="D1963" s="1" t="n">
        <v>260.17</v>
      </c>
    </row>
    <row r="1964" customFormat="false" ht="14.25" hidden="false" customHeight="true" outlineLevel="0" collapsed="false">
      <c r="A1964" s="51" t="n">
        <v>15016</v>
      </c>
      <c r="B1964" s="52" t="n">
        <v>40714.5041666667</v>
      </c>
      <c r="C1964" s="1" t="n">
        <v>1</v>
      </c>
      <c r="D1964" s="1" t="n">
        <v>170.04</v>
      </c>
    </row>
    <row r="1965" customFormat="false" ht="14.25" hidden="false" customHeight="true" outlineLevel="0" collapsed="false">
      <c r="A1965" s="51" t="n">
        <v>15017</v>
      </c>
      <c r="B1965" s="52" t="n">
        <v>40853.4395833333</v>
      </c>
      <c r="C1965" s="1" t="n">
        <v>1</v>
      </c>
      <c r="D1965" s="1" t="n">
        <v>125.58</v>
      </c>
    </row>
    <row r="1966" customFormat="false" ht="14.25" hidden="false" customHeight="true" outlineLevel="0" collapsed="false">
      <c r="A1966" s="51" t="n">
        <v>15018</v>
      </c>
      <c r="B1966" s="52" t="n">
        <v>40848.5326388889</v>
      </c>
      <c r="C1966" s="1" t="n">
        <v>4</v>
      </c>
      <c r="D1966" s="1" t="n">
        <v>456.26</v>
      </c>
    </row>
    <row r="1967" customFormat="false" ht="14.25" hidden="false" customHeight="true" outlineLevel="0" collapsed="false">
      <c r="A1967" s="51" t="n">
        <v>15019</v>
      </c>
      <c r="B1967" s="52" t="n">
        <v>40620.5243055556</v>
      </c>
      <c r="C1967" s="1" t="n">
        <v>1</v>
      </c>
      <c r="D1967" s="1" t="n">
        <v>266</v>
      </c>
    </row>
    <row r="1968" customFormat="false" ht="14.25" hidden="false" customHeight="true" outlineLevel="0" collapsed="false">
      <c r="A1968" s="51" t="n">
        <v>15021</v>
      </c>
      <c r="B1968" s="52" t="n">
        <v>40878.4951388889</v>
      </c>
      <c r="C1968" s="1" t="n">
        <v>13</v>
      </c>
      <c r="D1968" s="1" t="n">
        <v>1872.28</v>
      </c>
    </row>
    <row r="1969" customFormat="false" ht="14.25" hidden="false" customHeight="true" outlineLevel="0" collapsed="false">
      <c r="A1969" s="51" t="n">
        <v>15022</v>
      </c>
      <c r="B1969" s="52" t="n">
        <v>40875.5243055556</v>
      </c>
      <c r="C1969" s="1" t="n">
        <v>4</v>
      </c>
      <c r="D1969" s="1" t="n">
        <v>905.04</v>
      </c>
    </row>
    <row r="1970" customFormat="false" ht="14.25" hidden="false" customHeight="true" outlineLevel="0" collapsed="false">
      <c r="A1970" s="51" t="n">
        <v>15023</v>
      </c>
      <c r="B1970" s="52" t="n">
        <v>40883.7243055556</v>
      </c>
      <c r="C1970" s="1" t="n">
        <v>12</v>
      </c>
      <c r="D1970" s="1" t="n">
        <v>6763.15999999999</v>
      </c>
    </row>
    <row r="1971" customFormat="false" ht="14.25" hidden="false" customHeight="true" outlineLevel="0" collapsed="false">
      <c r="A1971" s="51" t="n">
        <v>15024</v>
      </c>
      <c r="B1971" s="52" t="n">
        <v>40877.5041666667</v>
      </c>
      <c r="C1971" s="1" t="n">
        <v>10</v>
      </c>
      <c r="D1971" s="1" t="n">
        <v>1661.33</v>
      </c>
    </row>
    <row r="1972" customFormat="false" ht="14.25" hidden="false" customHeight="true" outlineLevel="0" collapsed="false">
      <c r="A1972" s="51" t="n">
        <v>15025</v>
      </c>
      <c r="B1972" s="52" t="n">
        <v>40853.6388888889</v>
      </c>
      <c r="C1972" s="1" t="n">
        <v>1</v>
      </c>
      <c r="D1972" s="1" t="n">
        <v>377.01</v>
      </c>
    </row>
    <row r="1973" customFormat="false" ht="14.25" hidden="false" customHeight="true" outlineLevel="0" collapsed="false">
      <c r="A1973" s="51" t="n">
        <v>15026</v>
      </c>
      <c r="B1973" s="52" t="n">
        <v>40806.5777777778</v>
      </c>
      <c r="C1973" s="1" t="n">
        <v>3</v>
      </c>
      <c r="D1973" s="1" t="n">
        <v>469</v>
      </c>
    </row>
    <row r="1974" customFormat="false" ht="14.25" hidden="false" customHeight="true" outlineLevel="0" collapsed="false">
      <c r="A1974" s="51" t="n">
        <v>15027</v>
      </c>
      <c r="B1974" s="52" t="n">
        <v>40856.4277777778</v>
      </c>
      <c r="C1974" s="1" t="n">
        <v>6</v>
      </c>
      <c r="D1974" s="1" t="n">
        <v>1051.95</v>
      </c>
    </row>
    <row r="1975" customFormat="false" ht="14.25" hidden="false" customHeight="true" outlineLevel="0" collapsed="false">
      <c r="A1975" s="51" t="n">
        <v>15028</v>
      </c>
      <c r="B1975" s="52" t="n">
        <v>40878.5875</v>
      </c>
      <c r="C1975" s="1" t="n">
        <v>4</v>
      </c>
      <c r="D1975" s="1" t="n">
        <v>627.13</v>
      </c>
    </row>
    <row r="1976" customFormat="false" ht="14.25" hidden="false" customHeight="true" outlineLevel="0" collapsed="false">
      <c r="A1976" s="51" t="n">
        <v>15030</v>
      </c>
      <c r="B1976" s="52" t="n">
        <v>40815.4513888889</v>
      </c>
      <c r="C1976" s="1" t="n">
        <v>2</v>
      </c>
      <c r="D1976" s="1" t="n">
        <v>518.28</v>
      </c>
    </row>
    <row r="1977" customFormat="false" ht="14.25" hidden="false" customHeight="true" outlineLevel="0" collapsed="false">
      <c r="A1977" s="51" t="n">
        <v>15031</v>
      </c>
      <c r="B1977" s="52" t="n">
        <v>40882.5965277778</v>
      </c>
      <c r="C1977" s="1" t="n">
        <v>4</v>
      </c>
      <c r="D1977" s="1" t="n">
        <v>668.14</v>
      </c>
    </row>
    <row r="1978" customFormat="false" ht="14.25" hidden="false" customHeight="true" outlineLevel="0" collapsed="false">
      <c r="A1978" s="51" t="n">
        <v>15032</v>
      </c>
      <c r="B1978" s="52" t="n">
        <v>40630.6458333333</v>
      </c>
      <c r="C1978" s="1" t="n">
        <v>5</v>
      </c>
      <c r="D1978" s="1" t="n">
        <v>4464.1</v>
      </c>
    </row>
    <row r="1979" customFormat="false" ht="14.25" hidden="false" customHeight="true" outlineLevel="0" collapsed="false">
      <c r="A1979" s="51" t="n">
        <v>15033</v>
      </c>
      <c r="B1979" s="52" t="n">
        <v>40882.5277777778</v>
      </c>
      <c r="C1979" s="1" t="n">
        <v>11</v>
      </c>
      <c r="D1979" s="1" t="n">
        <v>2571.02</v>
      </c>
    </row>
    <row r="1980" customFormat="false" ht="14.25" hidden="false" customHeight="true" outlineLevel="0" collapsed="false">
      <c r="A1980" s="51" t="n">
        <v>15034</v>
      </c>
      <c r="B1980" s="52" t="n">
        <v>40871.5076388889</v>
      </c>
      <c r="C1980" s="1" t="n">
        <v>11</v>
      </c>
      <c r="D1980" s="1" t="n">
        <v>4277.66</v>
      </c>
    </row>
    <row r="1981" customFormat="false" ht="14.25" hidden="false" customHeight="true" outlineLevel="0" collapsed="false">
      <c r="A1981" s="51" t="n">
        <v>15035</v>
      </c>
      <c r="B1981" s="52" t="n">
        <v>40797.4638888889</v>
      </c>
      <c r="C1981" s="1" t="n">
        <v>1</v>
      </c>
      <c r="D1981" s="1" t="n">
        <v>252.73</v>
      </c>
    </row>
    <row r="1982" customFormat="false" ht="14.25" hidden="false" customHeight="true" outlineLevel="0" collapsed="false">
      <c r="A1982" s="51" t="n">
        <v>15036</v>
      </c>
      <c r="B1982" s="52" t="n">
        <v>40814.6541666667</v>
      </c>
      <c r="C1982" s="1" t="n">
        <v>3</v>
      </c>
      <c r="D1982" s="1" t="n">
        <v>465.55</v>
      </c>
    </row>
    <row r="1983" customFormat="false" ht="14.25" hidden="false" customHeight="true" outlineLevel="0" collapsed="false">
      <c r="A1983" s="51" t="n">
        <v>15038</v>
      </c>
      <c r="B1983" s="52" t="n">
        <v>40843.6125</v>
      </c>
      <c r="C1983" s="1" t="n">
        <v>7</v>
      </c>
      <c r="D1983" s="1" t="n">
        <v>665.59</v>
      </c>
    </row>
    <row r="1984" customFormat="false" ht="14.25" hidden="false" customHeight="true" outlineLevel="0" collapsed="false">
      <c r="A1984" s="51" t="n">
        <v>15039</v>
      </c>
      <c r="B1984" s="52" t="n">
        <v>40877.4798611111</v>
      </c>
      <c r="C1984" s="1" t="n">
        <v>52</v>
      </c>
      <c r="D1984" s="1" t="n">
        <v>19786.44</v>
      </c>
    </row>
    <row r="1985" customFormat="false" ht="14.25" hidden="false" customHeight="true" outlineLevel="0" collapsed="false">
      <c r="A1985" s="51" t="n">
        <v>15041</v>
      </c>
      <c r="B1985" s="52" t="n">
        <v>40716.6777777778</v>
      </c>
      <c r="C1985" s="1" t="n">
        <v>1</v>
      </c>
      <c r="D1985" s="1" t="n">
        <v>180.35</v>
      </c>
    </row>
    <row r="1986" customFormat="false" ht="14.25" hidden="false" customHeight="true" outlineLevel="0" collapsed="false">
      <c r="A1986" s="51" t="n">
        <v>15042</v>
      </c>
      <c r="B1986" s="52" t="n">
        <v>40687.6840277778</v>
      </c>
      <c r="C1986" s="1" t="n">
        <v>1</v>
      </c>
      <c r="D1986" s="1" t="n">
        <v>135.93</v>
      </c>
    </row>
    <row r="1987" customFormat="false" ht="14.25" hidden="false" customHeight="true" outlineLevel="0" collapsed="false">
      <c r="A1987" s="51" t="n">
        <v>15043</v>
      </c>
      <c r="B1987" s="52" t="n">
        <v>40855.6013888889</v>
      </c>
      <c r="C1987" s="1" t="n">
        <v>1</v>
      </c>
      <c r="D1987" s="1" t="n">
        <v>537</v>
      </c>
    </row>
    <row r="1988" customFormat="false" ht="14.25" hidden="false" customHeight="true" outlineLevel="0" collapsed="false">
      <c r="A1988" s="51" t="n">
        <v>15044</v>
      </c>
      <c r="B1988" s="52" t="n">
        <v>40867.5555555556</v>
      </c>
      <c r="C1988" s="1" t="n">
        <v>22</v>
      </c>
      <c r="D1988" s="1" t="n">
        <v>7629.38</v>
      </c>
    </row>
    <row r="1989" customFormat="false" ht="14.25" hidden="false" customHeight="true" outlineLevel="0" collapsed="false">
      <c r="A1989" s="51" t="n">
        <v>15045</v>
      </c>
      <c r="B1989" s="52" t="n">
        <v>40735.48125</v>
      </c>
      <c r="C1989" s="1" t="n">
        <v>3</v>
      </c>
      <c r="D1989" s="1" t="n">
        <v>633.66</v>
      </c>
    </row>
    <row r="1990" customFormat="false" ht="14.25" hidden="false" customHeight="true" outlineLevel="0" collapsed="false">
      <c r="A1990" s="51" t="n">
        <v>15046</v>
      </c>
      <c r="B1990" s="52" t="n">
        <v>40877.6597222222</v>
      </c>
      <c r="C1990" s="1" t="n">
        <v>16</v>
      </c>
      <c r="D1990" s="1" t="n">
        <v>5064.01</v>
      </c>
    </row>
    <row r="1991" customFormat="false" ht="14.25" hidden="false" customHeight="true" outlineLevel="0" collapsed="false">
      <c r="A1991" s="51" t="n">
        <v>15047</v>
      </c>
      <c r="B1991" s="52" t="n">
        <v>40617.4506944444</v>
      </c>
      <c r="C1991" s="1" t="n">
        <v>1</v>
      </c>
      <c r="D1991" s="1" t="n">
        <v>343.62</v>
      </c>
    </row>
    <row r="1992" customFormat="false" ht="14.25" hidden="false" customHeight="true" outlineLevel="0" collapsed="false">
      <c r="A1992" s="51" t="n">
        <v>15048</v>
      </c>
      <c r="B1992" s="52" t="n">
        <v>40821.6215277778</v>
      </c>
      <c r="C1992" s="1" t="n">
        <v>5</v>
      </c>
      <c r="D1992" s="1" t="n">
        <v>380.57</v>
      </c>
    </row>
    <row r="1993" customFormat="false" ht="14.25" hidden="false" customHeight="true" outlineLevel="0" collapsed="false">
      <c r="A1993" s="51" t="n">
        <v>15049</v>
      </c>
      <c r="B1993" s="52" t="n">
        <v>40613.5090277778</v>
      </c>
      <c r="C1993" s="1" t="n">
        <v>1</v>
      </c>
      <c r="D1993" s="1" t="n">
        <v>121.17</v>
      </c>
    </row>
    <row r="1994" customFormat="false" ht="14.25" hidden="false" customHeight="true" outlineLevel="0" collapsed="false">
      <c r="A1994" s="51" t="n">
        <v>15050</v>
      </c>
      <c r="B1994" s="52" t="n">
        <v>40861.6784722222</v>
      </c>
      <c r="C1994" s="1" t="n">
        <v>5</v>
      </c>
      <c r="D1994" s="1" t="n">
        <v>1727.17</v>
      </c>
    </row>
    <row r="1995" customFormat="false" ht="14.25" hidden="false" customHeight="true" outlineLevel="0" collapsed="false">
      <c r="A1995" s="51" t="n">
        <v>15051</v>
      </c>
      <c r="B1995" s="52" t="n">
        <v>40863.6513888889</v>
      </c>
      <c r="C1995" s="1" t="n">
        <v>3</v>
      </c>
      <c r="D1995" s="1" t="n">
        <v>1391.61</v>
      </c>
    </row>
    <row r="1996" customFormat="false" ht="14.25" hidden="false" customHeight="true" outlineLevel="0" collapsed="false">
      <c r="A1996" s="51" t="n">
        <v>15052</v>
      </c>
      <c r="B1996" s="52" t="n">
        <v>40567.6611111111</v>
      </c>
      <c r="C1996" s="1" t="n">
        <v>1</v>
      </c>
      <c r="D1996" s="1" t="n">
        <v>215.78</v>
      </c>
    </row>
    <row r="1997" customFormat="false" ht="14.25" hidden="false" customHeight="true" outlineLevel="0" collapsed="false">
      <c r="A1997" s="51" t="n">
        <v>15053</v>
      </c>
      <c r="B1997" s="52" t="n">
        <v>40882.5055555556</v>
      </c>
      <c r="C1997" s="1" t="n">
        <v>3</v>
      </c>
      <c r="D1997" s="1" t="n">
        <v>697.79</v>
      </c>
    </row>
    <row r="1998" customFormat="false" ht="14.25" hidden="false" customHeight="true" outlineLevel="0" collapsed="false">
      <c r="A1998" s="51" t="n">
        <v>15054</v>
      </c>
      <c r="B1998" s="52" t="n">
        <v>40874.6263888889</v>
      </c>
      <c r="C1998" s="1" t="n">
        <v>2</v>
      </c>
      <c r="D1998" s="1" t="n">
        <v>302.1</v>
      </c>
    </row>
    <row r="1999" customFormat="false" ht="14.25" hidden="false" customHeight="true" outlineLevel="0" collapsed="false">
      <c r="A1999" s="51" t="n">
        <v>15057</v>
      </c>
      <c r="B1999" s="52" t="n">
        <v>40611.6368055556</v>
      </c>
      <c r="C1999" s="1" t="n">
        <v>2</v>
      </c>
      <c r="D1999" s="1" t="n">
        <v>1489.5</v>
      </c>
    </row>
    <row r="2000" customFormat="false" ht="14.25" hidden="false" customHeight="true" outlineLevel="0" collapsed="false">
      <c r="A2000" s="51" t="n">
        <v>15058</v>
      </c>
      <c r="B2000" s="52" t="n">
        <v>40861.6229166667</v>
      </c>
      <c r="C2000" s="1" t="n">
        <v>11</v>
      </c>
      <c r="D2000" s="1" t="n">
        <v>2124.99</v>
      </c>
    </row>
    <row r="2001" customFormat="false" ht="14.25" hidden="false" customHeight="true" outlineLevel="0" collapsed="false">
      <c r="A2001" s="51" t="n">
        <v>15059</v>
      </c>
      <c r="B2001" s="52" t="n">
        <v>40846.4826388889</v>
      </c>
      <c r="C2001" s="1" t="n">
        <v>11</v>
      </c>
      <c r="D2001" s="1" t="n">
        <v>1325.82</v>
      </c>
    </row>
    <row r="2002" customFormat="false" ht="14.25" hidden="false" customHeight="true" outlineLevel="0" collapsed="false">
      <c r="A2002" s="51" t="n">
        <v>15060</v>
      </c>
      <c r="B2002" s="52" t="n">
        <v>40878.5743055556</v>
      </c>
      <c r="C2002" s="1" t="n">
        <v>4</v>
      </c>
      <c r="D2002" s="1" t="n">
        <v>303.09</v>
      </c>
    </row>
    <row r="2003" customFormat="false" ht="14.25" hidden="false" customHeight="true" outlineLevel="0" collapsed="false">
      <c r="A2003" s="51" t="n">
        <v>15061</v>
      </c>
      <c r="B2003" s="52" t="n">
        <v>40883.5041666667</v>
      </c>
      <c r="C2003" s="1" t="n">
        <v>55</v>
      </c>
      <c r="D2003" s="1" t="n">
        <v>54228.74</v>
      </c>
    </row>
    <row r="2004" customFormat="false" ht="14.25" hidden="false" customHeight="true" outlineLevel="0" collapsed="false">
      <c r="A2004" s="51" t="n">
        <v>15062</v>
      </c>
      <c r="B2004" s="52" t="n">
        <v>40815.7020833333</v>
      </c>
      <c r="C2004" s="1" t="n">
        <v>4</v>
      </c>
      <c r="D2004" s="1" t="n">
        <v>987.86</v>
      </c>
    </row>
    <row r="2005" customFormat="false" ht="14.25" hidden="false" customHeight="true" outlineLevel="0" collapsed="false">
      <c r="A2005" s="51" t="n">
        <v>15063</v>
      </c>
      <c r="B2005" s="52" t="n">
        <v>40673.5590277778</v>
      </c>
      <c r="C2005" s="1" t="n">
        <v>1</v>
      </c>
      <c r="D2005" s="1" t="n">
        <v>370.8</v>
      </c>
    </row>
    <row r="2006" customFormat="false" ht="14.25" hidden="false" customHeight="true" outlineLevel="0" collapsed="false">
      <c r="A2006" s="51" t="n">
        <v>15065</v>
      </c>
      <c r="B2006" s="52" t="n">
        <v>40849.40625</v>
      </c>
      <c r="C2006" s="1" t="n">
        <v>6</v>
      </c>
      <c r="D2006" s="1" t="n">
        <v>3135.98</v>
      </c>
    </row>
    <row r="2007" customFormat="false" ht="14.25" hidden="false" customHeight="true" outlineLevel="0" collapsed="false">
      <c r="A2007" s="51" t="n">
        <v>15066</v>
      </c>
      <c r="B2007" s="52" t="n">
        <v>40855.4138888889</v>
      </c>
      <c r="C2007" s="1" t="n">
        <v>2</v>
      </c>
      <c r="D2007" s="1" t="n">
        <v>760.59</v>
      </c>
    </row>
    <row r="2008" customFormat="false" ht="14.25" hidden="false" customHeight="true" outlineLevel="0" collapsed="false">
      <c r="A2008" s="51" t="n">
        <v>15067</v>
      </c>
      <c r="B2008" s="52" t="n">
        <v>40808.5555555556</v>
      </c>
      <c r="C2008" s="1" t="n">
        <v>3</v>
      </c>
      <c r="D2008" s="1" t="n">
        <v>1744.76</v>
      </c>
    </row>
    <row r="2009" customFormat="false" ht="14.25" hidden="false" customHeight="true" outlineLevel="0" collapsed="false">
      <c r="A2009" s="51" t="n">
        <v>15068</v>
      </c>
      <c r="B2009" s="52" t="n">
        <v>40840.6159722222</v>
      </c>
      <c r="C2009" s="1" t="n">
        <v>2</v>
      </c>
      <c r="D2009" s="1" t="n">
        <v>553.36</v>
      </c>
    </row>
    <row r="2010" customFormat="false" ht="14.25" hidden="false" customHeight="true" outlineLevel="0" collapsed="false">
      <c r="A2010" s="51" t="n">
        <v>15069</v>
      </c>
      <c r="B2010" s="52" t="n">
        <v>40707.5944444445</v>
      </c>
      <c r="C2010" s="1" t="n">
        <v>1</v>
      </c>
      <c r="D2010" s="1" t="n">
        <v>1109.53</v>
      </c>
    </row>
    <row r="2011" customFormat="false" ht="14.25" hidden="false" customHeight="true" outlineLevel="0" collapsed="false">
      <c r="A2011" s="51" t="n">
        <v>15070</v>
      </c>
      <c r="B2011" s="52" t="n">
        <v>40514.4743055556</v>
      </c>
      <c r="C2011" s="1" t="n">
        <v>1</v>
      </c>
      <c r="D2011" s="1" t="n">
        <v>106.2</v>
      </c>
    </row>
    <row r="2012" customFormat="false" ht="14.25" hidden="false" customHeight="true" outlineLevel="0" collapsed="false">
      <c r="A2012" s="51" t="n">
        <v>15071</v>
      </c>
      <c r="B2012" s="52" t="n">
        <v>40793.4881944444</v>
      </c>
      <c r="C2012" s="1" t="n">
        <v>2</v>
      </c>
      <c r="D2012" s="1" t="n">
        <v>982.07</v>
      </c>
    </row>
    <row r="2013" customFormat="false" ht="14.25" hidden="false" customHeight="true" outlineLevel="0" collapsed="false">
      <c r="A2013" s="51" t="n">
        <v>15073</v>
      </c>
      <c r="B2013" s="52" t="n">
        <v>40877.4472222222</v>
      </c>
      <c r="C2013" s="1" t="n">
        <v>4</v>
      </c>
      <c r="D2013" s="1" t="n">
        <v>612.43</v>
      </c>
    </row>
    <row r="2014" customFormat="false" ht="14.25" hidden="false" customHeight="true" outlineLevel="0" collapsed="false">
      <c r="A2014" s="51" t="n">
        <v>15074</v>
      </c>
      <c r="B2014" s="52" t="n">
        <v>40781.6145833333</v>
      </c>
      <c r="C2014" s="1" t="n">
        <v>1</v>
      </c>
      <c r="D2014" s="1" t="n">
        <v>748.87</v>
      </c>
    </row>
    <row r="2015" customFormat="false" ht="14.25" hidden="false" customHeight="true" outlineLevel="0" collapsed="false">
      <c r="A2015" s="51" t="n">
        <v>15075</v>
      </c>
      <c r="B2015" s="52" t="n">
        <v>40809.51875</v>
      </c>
      <c r="C2015" s="1" t="n">
        <v>1</v>
      </c>
      <c r="D2015" s="1" t="n">
        <v>773.03</v>
      </c>
    </row>
    <row r="2016" customFormat="false" ht="14.25" hidden="false" customHeight="true" outlineLevel="0" collapsed="false">
      <c r="A2016" s="51" t="n">
        <v>15076</v>
      </c>
      <c r="B2016" s="52" t="n">
        <v>40714.3493055556</v>
      </c>
      <c r="C2016" s="1" t="n">
        <v>1</v>
      </c>
      <c r="D2016" s="1" t="n">
        <v>880.85</v>
      </c>
    </row>
    <row r="2017" customFormat="false" ht="14.25" hidden="false" customHeight="true" outlineLevel="0" collapsed="false">
      <c r="A2017" s="51" t="n">
        <v>15078</v>
      </c>
      <c r="B2017" s="52" t="n">
        <v>40879.6534722222</v>
      </c>
      <c r="C2017" s="1" t="n">
        <v>38</v>
      </c>
      <c r="D2017" s="1" t="n">
        <v>9623.35000000002</v>
      </c>
    </row>
    <row r="2018" customFormat="false" ht="14.25" hidden="false" customHeight="true" outlineLevel="0" collapsed="false">
      <c r="A2018" s="51" t="n">
        <v>15079</v>
      </c>
      <c r="B2018" s="52" t="n">
        <v>40674.53125</v>
      </c>
      <c r="C2018" s="1" t="n">
        <v>5</v>
      </c>
      <c r="D2018" s="1" t="n">
        <v>893.66</v>
      </c>
    </row>
    <row r="2019" customFormat="false" ht="14.25" hidden="false" customHeight="true" outlineLevel="0" collapsed="false">
      <c r="A2019" s="51" t="n">
        <v>15081</v>
      </c>
      <c r="B2019" s="52" t="n">
        <v>40864.7138888889</v>
      </c>
      <c r="C2019" s="1" t="n">
        <v>6</v>
      </c>
      <c r="D2019" s="1" t="n">
        <v>487.35</v>
      </c>
    </row>
    <row r="2020" customFormat="false" ht="14.25" hidden="false" customHeight="true" outlineLevel="0" collapsed="false">
      <c r="A2020" s="51" t="n">
        <v>15083</v>
      </c>
      <c r="B2020" s="52" t="n">
        <v>40630.5125</v>
      </c>
      <c r="C2020" s="1" t="n">
        <v>1</v>
      </c>
      <c r="D2020" s="1" t="n">
        <v>88.2</v>
      </c>
    </row>
    <row r="2021" customFormat="false" ht="14.25" hidden="false" customHeight="true" outlineLevel="0" collapsed="false">
      <c r="A2021" s="51" t="n">
        <v>15087</v>
      </c>
      <c r="B2021" s="52" t="n">
        <v>40605.4402777778</v>
      </c>
      <c r="C2021" s="1" t="n">
        <v>1</v>
      </c>
      <c r="D2021" s="1" t="n">
        <v>306.94</v>
      </c>
    </row>
    <row r="2022" customFormat="false" ht="14.25" hidden="false" customHeight="true" outlineLevel="0" collapsed="false">
      <c r="A2022" s="51" t="n">
        <v>15088</v>
      </c>
      <c r="B2022" s="52" t="n">
        <v>40865.5513888889</v>
      </c>
      <c r="C2022" s="1" t="n">
        <v>3</v>
      </c>
      <c r="D2022" s="1" t="n">
        <v>1140.27</v>
      </c>
    </row>
    <row r="2023" customFormat="false" ht="14.25" hidden="false" customHeight="true" outlineLevel="0" collapsed="false">
      <c r="A2023" s="51" t="n">
        <v>15089</v>
      </c>
      <c r="B2023" s="52" t="n">
        <v>40876.6881944445</v>
      </c>
      <c r="C2023" s="1" t="n">
        <v>6</v>
      </c>
      <c r="D2023" s="1" t="n">
        <v>2420.84</v>
      </c>
    </row>
    <row r="2024" customFormat="false" ht="14.25" hidden="false" customHeight="true" outlineLevel="0" collapsed="false">
      <c r="A2024" s="51" t="n">
        <v>15090</v>
      </c>
      <c r="B2024" s="52" t="n">
        <v>40578.5854166667</v>
      </c>
      <c r="C2024" s="1" t="n">
        <v>1</v>
      </c>
      <c r="D2024" s="1" t="n">
        <v>381.32</v>
      </c>
    </row>
    <row r="2025" customFormat="false" ht="14.25" hidden="false" customHeight="true" outlineLevel="0" collapsed="false">
      <c r="A2025" s="51" t="n">
        <v>15091</v>
      </c>
      <c r="B2025" s="52" t="n">
        <v>40833.4493055556</v>
      </c>
      <c r="C2025" s="1" t="n">
        <v>2</v>
      </c>
      <c r="D2025" s="1" t="n">
        <v>476.96</v>
      </c>
    </row>
    <row r="2026" customFormat="false" ht="14.25" hidden="false" customHeight="true" outlineLevel="0" collapsed="false">
      <c r="A2026" s="51" t="n">
        <v>15092</v>
      </c>
      <c r="B2026" s="52" t="n">
        <v>40671.5902777778</v>
      </c>
      <c r="C2026" s="1" t="n">
        <v>2</v>
      </c>
      <c r="D2026" s="1" t="n">
        <v>457.81</v>
      </c>
    </row>
    <row r="2027" customFormat="false" ht="14.25" hidden="false" customHeight="true" outlineLevel="0" collapsed="false">
      <c r="A2027" s="51" t="n">
        <v>15093</v>
      </c>
      <c r="B2027" s="52" t="n">
        <v>40868.5479166667</v>
      </c>
      <c r="C2027" s="1" t="n">
        <v>9</v>
      </c>
      <c r="D2027" s="1" t="n">
        <v>4410.14</v>
      </c>
    </row>
    <row r="2028" customFormat="false" ht="14.25" hidden="false" customHeight="true" outlineLevel="0" collapsed="false">
      <c r="A2028" s="51" t="n">
        <v>15095</v>
      </c>
      <c r="B2028" s="52" t="n">
        <v>40783.5006944445</v>
      </c>
      <c r="C2028" s="1" t="n">
        <v>5</v>
      </c>
      <c r="D2028" s="1" t="n">
        <v>1364.7</v>
      </c>
    </row>
    <row r="2029" customFormat="false" ht="14.25" hidden="false" customHeight="true" outlineLevel="0" collapsed="false">
      <c r="A2029" s="51" t="n">
        <v>15096</v>
      </c>
      <c r="B2029" s="52" t="n">
        <v>40844.4354166667</v>
      </c>
      <c r="C2029" s="1" t="n">
        <v>1</v>
      </c>
      <c r="D2029" s="1" t="n">
        <v>219.39</v>
      </c>
    </row>
    <row r="2030" customFormat="false" ht="14.25" hidden="false" customHeight="true" outlineLevel="0" collapsed="false">
      <c r="A2030" s="51" t="n">
        <v>15097</v>
      </c>
      <c r="B2030" s="52" t="n">
        <v>40882.5854166667</v>
      </c>
      <c r="C2030" s="1" t="n">
        <v>1</v>
      </c>
      <c r="D2030" s="1" t="n">
        <v>248.08</v>
      </c>
    </row>
    <row r="2031" customFormat="false" ht="14.25" hidden="false" customHeight="true" outlineLevel="0" collapsed="false">
      <c r="A2031" s="51" t="n">
        <v>15098</v>
      </c>
      <c r="B2031" s="52" t="n">
        <v>40704.6520833333</v>
      </c>
      <c r="C2031" s="1" t="n">
        <v>5</v>
      </c>
      <c r="D2031" s="1" t="n">
        <v>649.5</v>
      </c>
    </row>
    <row r="2032" customFormat="false" ht="14.25" hidden="false" customHeight="true" outlineLevel="0" collapsed="false">
      <c r="A2032" s="51" t="n">
        <v>15099</v>
      </c>
      <c r="B2032" s="52" t="n">
        <v>40802.5506944444</v>
      </c>
      <c r="C2032" s="1" t="n">
        <v>1</v>
      </c>
      <c r="D2032" s="1" t="n">
        <v>410.48</v>
      </c>
    </row>
    <row r="2033" customFormat="false" ht="14.25" hidden="false" customHeight="true" outlineLevel="0" collapsed="false">
      <c r="A2033" s="51" t="n">
        <v>15100</v>
      </c>
      <c r="B2033" s="52" t="n">
        <v>40556.7145833333</v>
      </c>
      <c r="C2033" s="1" t="n">
        <v>6</v>
      </c>
      <c r="D2033" s="1" t="n">
        <v>635.1</v>
      </c>
    </row>
    <row r="2034" customFormat="false" ht="14.25" hidden="false" customHeight="true" outlineLevel="0" collapsed="false">
      <c r="A2034" s="51" t="n">
        <v>15101</v>
      </c>
      <c r="B2034" s="52" t="n">
        <v>40878.4291666667</v>
      </c>
      <c r="C2034" s="1" t="n">
        <v>3</v>
      </c>
      <c r="D2034" s="1" t="n">
        <v>310.03</v>
      </c>
    </row>
    <row r="2035" customFormat="false" ht="14.25" hidden="false" customHeight="true" outlineLevel="0" collapsed="false">
      <c r="A2035" s="51" t="n">
        <v>15103</v>
      </c>
      <c r="B2035" s="52" t="n">
        <v>40855.6201388889</v>
      </c>
      <c r="C2035" s="1" t="n">
        <v>2</v>
      </c>
      <c r="D2035" s="1" t="n">
        <v>703.36</v>
      </c>
    </row>
    <row r="2036" customFormat="false" ht="14.25" hidden="false" customHeight="true" outlineLevel="0" collapsed="false">
      <c r="A2036" s="51" t="n">
        <v>15104</v>
      </c>
      <c r="B2036" s="52" t="n">
        <v>40720.4826388889</v>
      </c>
      <c r="C2036" s="1" t="n">
        <v>3</v>
      </c>
      <c r="D2036" s="1" t="n">
        <v>1002.54</v>
      </c>
    </row>
    <row r="2037" customFormat="false" ht="14.25" hidden="false" customHeight="true" outlineLevel="0" collapsed="false">
      <c r="A2037" s="51" t="n">
        <v>15105</v>
      </c>
      <c r="B2037" s="52" t="n">
        <v>40868.7041666667</v>
      </c>
      <c r="C2037" s="1" t="n">
        <v>7</v>
      </c>
      <c r="D2037" s="1" t="n">
        <v>2298.93</v>
      </c>
    </row>
    <row r="2038" customFormat="false" ht="14.25" hidden="false" customHeight="true" outlineLevel="0" collapsed="false">
      <c r="A2038" s="51" t="n">
        <v>15106</v>
      </c>
      <c r="B2038" s="52" t="n">
        <v>40869.3861111111</v>
      </c>
      <c r="C2038" s="1" t="n">
        <v>7</v>
      </c>
      <c r="D2038" s="1" t="n">
        <v>1407.73</v>
      </c>
    </row>
    <row r="2039" customFormat="false" ht="14.25" hidden="false" customHeight="true" outlineLevel="0" collapsed="false">
      <c r="A2039" s="51" t="n">
        <v>15107</v>
      </c>
      <c r="B2039" s="52" t="n">
        <v>40575.6152777778</v>
      </c>
      <c r="C2039" s="1" t="n">
        <v>8</v>
      </c>
      <c r="D2039" s="1" t="n">
        <v>247.66</v>
      </c>
    </row>
    <row r="2040" customFormat="false" ht="14.25" hidden="false" customHeight="true" outlineLevel="0" collapsed="false">
      <c r="A2040" s="51" t="n">
        <v>15108</v>
      </c>
      <c r="B2040" s="52" t="n">
        <v>40745.4333333333</v>
      </c>
      <c r="C2040" s="1" t="n">
        <v>5</v>
      </c>
      <c r="D2040" s="1" t="n">
        <v>1291.75</v>
      </c>
    </row>
    <row r="2041" customFormat="false" ht="14.25" hidden="false" customHeight="true" outlineLevel="0" collapsed="false">
      <c r="A2041" s="51" t="n">
        <v>15109</v>
      </c>
      <c r="B2041" s="52" t="n">
        <v>40646.4118055556</v>
      </c>
      <c r="C2041" s="1" t="n">
        <v>2</v>
      </c>
      <c r="D2041" s="1" t="n">
        <v>463.75</v>
      </c>
    </row>
    <row r="2042" customFormat="false" ht="14.25" hidden="false" customHeight="true" outlineLevel="0" collapsed="false">
      <c r="A2042" s="51" t="n">
        <v>15110</v>
      </c>
      <c r="B2042" s="52" t="n">
        <v>40863.4694444445</v>
      </c>
      <c r="C2042" s="1" t="n">
        <v>7</v>
      </c>
      <c r="D2042" s="1" t="n">
        <v>970.25</v>
      </c>
    </row>
    <row r="2043" customFormat="false" ht="14.25" hidden="false" customHeight="true" outlineLevel="0" collapsed="false">
      <c r="A2043" s="51" t="n">
        <v>15111</v>
      </c>
      <c r="B2043" s="52" t="n">
        <v>40857.7069444444</v>
      </c>
      <c r="C2043" s="1" t="n">
        <v>3</v>
      </c>
      <c r="D2043" s="1" t="n">
        <v>1567.48</v>
      </c>
    </row>
    <row r="2044" customFormat="false" ht="14.25" hidden="false" customHeight="true" outlineLevel="0" collapsed="false">
      <c r="A2044" s="51" t="n">
        <v>15113</v>
      </c>
      <c r="B2044" s="52" t="n">
        <v>40877.3493055556</v>
      </c>
      <c r="C2044" s="1" t="n">
        <v>4</v>
      </c>
      <c r="D2044" s="1" t="n">
        <v>3439.41</v>
      </c>
    </row>
    <row r="2045" customFormat="false" ht="14.25" hidden="false" customHeight="true" outlineLevel="0" collapsed="false">
      <c r="A2045" s="51" t="n">
        <v>15114</v>
      </c>
      <c r="B2045" s="52" t="n">
        <v>40856.6284722222</v>
      </c>
      <c r="C2045" s="1" t="n">
        <v>10</v>
      </c>
      <c r="D2045" s="1" t="n">
        <v>2760.56</v>
      </c>
    </row>
    <row r="2046" customFormat="false" ht="14.25" hidden="false" customHeight="true" outlineLevel="0" collapsed="false">
      <c r="A2046" s="51" t="n">
        <v>15115</v>
      </c>
      <c r="B2046" s="52" t="n">
        <v>40868.6243055556</v>
      </c>
      <c r="C2046" s="1" t="n">
        <v>1</v>
      </c>
      <c r="D2046" s="1" t="n">
        <v>340.11</v>
      </c>
    </row>
    <row r="2047" customFormat="false" ht="14.25" hidden="false" customHeight="true" outlineLevel="0" collapsed="false">
      <c r="A2047" s="51" t="n">
        <v>15116</v>
      </c>
      <c r="B2047" s="52" t="n">
        <v>40869.5173611111</v>
      </c>
      <c r="C2047" s="1" t="n">
        <v>4</v>
      </c>
      <c r="D2047" s="1" t="n">
        <v>1352.75</v>
      </c>
    </row>
    <row r="2048" customFormat="false" ht="14.25" hidden="false" customHeight="true" outlineLevel="0" collapsed="false">
      <c r="A2048" s="51" t="n">
        <v>15117</v>
      </c>
      <c r="B2048" s="52" t="n">
        <v>40872.3416666667</v>
      </c>
      <c r="C2048" s="1" t="n">
        <v>6</v>
      </c>
      <c r="D2048" s="1" t="n">
        <v>1550.13</v>
      </c>
    </row>
    <row r="2049" customFormat="false" ht="14.25" hidden="false" customHeight="true" outlineLevel="0" collapsed="false">
      <c r="A2049" s="51" t="n">
        <v>15118</v>
      </c>
      <c r="B2049" s="52" t="n">
        <v>40752.6208333333</v>
      </c>
      <c r="C2049" s="1" t="n">
        <v>1</v>
      </c>
      <c r="D2049" s="1" t="n">
        <v>244.8</v>
      </c>
    </row>
    <row r="2050" customFormat="false" ht="14.25" hidden="false" customHeight="true" outlineLevel="0" collapsed="false">
      <c r="A2050" s="51" t="n">
        <v>15119</v>
      </c>
      <c r="B2050" s="52" t="n">
        <v>40641.3805555556</v>
      </c>
      <c r="C2050" s="1" t="n">
        <v>1</v>
      </c>
      <c r="D2050" s="1" t="n">
        <v>266.4</v>
      </c>
    </row>
    <row r="2051" customFormat="false" ht="14.25" hidden="false" customHeight="true" outlineLevel="0" collapsed="false">
      <c r="A2051" s="51" t="n">
        <v>15120</v>
      </c>
      <c r="B2051" s="52" t="n">
        <v>40757.4201388889</v>
      </c>
      <c r="C2051" s="1" t="n">
        <v>2</v>
      </c>
      <c r="D2051" s="1" t="n">
        <v>343.82</v>
      </c>
    </row>
    <row r="2052" customFormat="false" ht="14.25" hidden="false" customHeight="true" outlineLevel="0" collapsed="false">
      <c r="A2052" s="51" t="n">
        <v>15121</v>
      </c>
      <c r="B2052" s="52" t="n">
        <v>40836.61875</v>
      </c>
      <c r="C2052" s="1" t="n">
        <v>2</v>
      </c>
      <c r="D2052" s="1" t="n">
        <v>457.72</v>
      </c>
    </row>
    <row r="2053" customFormat="false" ht="14.25" hidden="false" customHeight="true" outlineLevel="0" collapsed="false">
      <c r="A2053" s="51" t="n">
        <v>15122</v>
      </c>
      <c r="B2053" s="52" t="n">
        <v>40801.6854166667</v>
      </c>
      <c r="C2053" s="1" t="n">
        <v>6</v>
      </c>
      <c r="D2053" s="1" t="n">
        <v>1612.13</v>
      </c>
    </row>
    <row r="2054" customFormat="false" ht="14.25" hidden="false" customHeight="true" outlineLevel="0" collapsed="false">
      <c r="A2054" s="51" t="n">
        <v>15123</v>
      </c>
      <c r="B2054" s="52" t="n">
        <v>40879.55</v>
      </c>
      <c r="C2054" s="1" t="n">
        <v>2</v>
      </c>
      <c r="D2054" s="1" t="n">
        <v>2199.31</v>
      </c>
    </row>
    <row r="2055" customFormat="false" ht="14.25" hidden="false" customHeight="true" outlineLevel="0" collapsed="false">
      <c r="A2055" s="51" t="n">
        <v>15124</v>
      </c>
      <c r="B2055" s="52" t="n">
        <v>40864.4229166667</v>
      </c>
      <c r="C2055" s="1" t="n">
        <v>2</v>
      </c>
      <c r="D2055" s="1" t="n">
        <v>184.19</v>
      </c>
    </row>
    <row r="2056" customFormat="false" ht="14.25" hidden="false" customHeight="true" outlineLevel="0" collapsed="false">
      <c r="A2056" s="51" t="n">
        <v>15125</v>
      </c>
      <c r="B2056" s="52" t="n">
        <v>40861.58125</v>
      </c>
      <c r="C2056" s="1" t="n">
        <v>23</v>
      </c>
      <c r="D2056" s="1" t="n">
        <v>11117.05</v>
      </c>
    </row>
    <row r="2057" customFormat="false" ht="14.25" hidden="false" customHeight="true" outlineLevel="0" collapsed="false">
      <c r="A2057" s="51" t="n">
        <v>15127</v>
      </c>
      <c r="B2057" s="52" t="n">
        <v>40821.4375</v>
      </c>
      <c r="C2057" s="1" t="n">
        <v>1</v>
      </c>
      <c r="D2057" s="1" t="n">
        <v>406.53</v>
      </c>
    </row>
    <row r="2058" customFormat="false" ht="14.25" hidden="false" customHeight="true" outlineLevel="0" collapsed="false">
      <c r="A2058" s="51" t="n">
        <v>15128</v>
      </c>
      <c r="B2058" s="52" t="n">
        <v>40826.5791666667</v>
      </c>
      <c r="C2058" s="1" t="n">
        <v>8</v>
      </c>
      <c r="D2058" s="1" t="n">
        <v>1419.54</v>
      </c>
    </row>
    <row r="2059" customFormat="false" ht="14.25" hidden="false" customHeight="true" outlineLevel="0" collapsed="false">
      <c r="A2059" s="51" t="n">
        <v>15129</v>
      </c>
      <c r="B2059" s="52" t="n">
        <v>40836.6111111111</v>
      </c>
      <c r="C2059" s="1" t="n">
        <v>11</v>
      </c>
      <c r="D2059" s="1" t="n">
        <v>3447.4</v>
      </c>
    </row>
    <row r="2060" customFormat="false" ht="14.25" hidden="false" customHeight="true" outlineLevel="0" collapsed="false">
      <c r="A2060" s="51" t="n">
        <v>15130</v>
      </c>
      <c r="B2060" s="52" t="n">
        <v>40717.4270833333</v>
      </c>
      <c r="C2060" s="1" t="n">
        <v>1</v>
      </c>
      <c r="D2060" s="1" t="n">
        <v>330.11</v>
      </c>
    </row>
    <row r="2061" customFormat="false" ht="14.25" hidden="false" customHeight="true" outlineLevel="0" collapsed="false">
      <c r="A2061" s="51" t="n">
        <v>15132</v>
      </c>
      <c r="B2061" s="52" t="n">
        <v>40868.7152777778</v>
      </c>
      <c r="C2061" s="1" t="n">
        <v>5</v>
      </c>
      <c r="D2061" s="1" t="n">
        <v>977.93</v>
      </c>
    </row>
    <row r="2062" customFormat="false" ht="14.25" hidden="false" customHeight="true" outlineLevel="0" collapsed="false">
      <c r="A2062" s="51" t="n">
        <v>15133</v>
      </c>
      <c r="B2062" s="52" t="n">
        <v>40759.4472222222</v>
      </c>
      <c r="C2062" s="1" t="n">
        <v>3</v>
      </c>
      <c r="D2062" s="1" t="n">
        <v>982.42</v>
      </c>
    </row>
    <row r="2063" customFormat="false" ht="14.25" hidden="false" customHeight="true" outlineLevel="0" collapsed="false">
      <c r="A2063" s="51" t="n">
        <v>15134</v>
      </c>
      <c r="B2063" s="52" t="n">
        <v>40872.3715277778</v>
      </c>
      <c r="C2063" s="1" t="n">
        <v>8</v>
      </c>
      <c r="D2063" s="1" t="n">
        <v>1387.99</v>
      </c>
    </row>
    <row r="2064" customFormat="false" ht="14.25" hidden="false" customHeight="true" outlineLevel="0" collapsed="false">
      <c r="A2064" s="51" t="n">
        <v>15135</v>
      </c>
      <c r="B2064" s="52" t="n">
        <v>40653.6652777778</v>
      </c>
      <c r="C2064" s="1" t="n">
        <v>2</v>
      </c>
      <c r="D2064" s="1" t="n">
        <v>127.15</v>
      </c>
    </row>
    <row r="2065" customFormat="false" ht="14.25" hidden="false" customHeight="true" outlineLevel="0" collapsed="false">
      <c r="A2065" s="51" t="n">
        <v>15136</v>
      </c>
      <c r="B2065" s="52" t="n">
        <v>40884.5180555556</v>
      </c>
      <c r="C2065" s="1" t="n">
        <v>5</v>
      </c>
      <c r="D2065" s="1" t="n">
        <v>1282.45</v>
      </c>
    </row>
    <row r="2066" customFormat="false" ht="14.25" hidden="false" customHeight="true" outlineLevel="0" collapsed="false">
      <c r="A2066" s="51" t="n">
        <v>15139</v>
      </c>
      <c r="B2066" s="52" t="n">
        <v>40647.4854166667</v>
      </c>
      <c r="C2066" s="1" t="n">
        <v>2</v>
      </c>
      <c r="D2066" s="1" t="n">
        <v>178.96</v>
      </c>
    </row>
    <row r="2067" customFormat="false" ht="14.25" hidden="false" customHeight="true" outlineLevel="0" collapsed="false">
      <c r="A2067" s="51" t="n">
        <v>15140</v>
      </c>
      <c r="B2067" s="52" t="n">
        <v>40834.5881944444</v>
      </c>
      <c r="C2067" s="1" t="n">
        <v>8</v>
      </c>
      <c r="D2067" s="1" t="n">
        <v>2350</v>
      </c>
    </row>
    <row r="2068" customFormat="false" ht="14.25" hidden="false" customHeight="true" outlineLevel="0" collapsed="false">
      <c r="A2068" s="51" t="n">
        <v>15142</v>
      </c>
      <c r="B2068" s="52" t="n">
        <v>40840.5354166667</v>
      </c>
      <c r="C2068" s="1" t="n">
        <v>1</v>
      </c>
      <c r="D2068" s="1" t="n">
        <v>498.74</v>
      </c>
    </row>
    <row r="2069" customFormat="false" ht="14.25" hidden="false" customHeight="true" outlineLevel="0" collapsed="false">
      <c r="A2069" s="51" t="n">
        <v>15143</v>
      </c>
      <c r="B2069" s="52" t="n">
        <v>40661.5020833333</v>
      </c>
      <c r="C2069" s="1" t="n">
        <v>1</v>
      </c>
      <c r="D2069" s="1" t="n">
        <v>259.45</v>
      </c>
    </row>
    <row r="2070" customFormat="false" ht="14.25" hidden="false" customHeight="true" outlineLevel="0" collapsed="false">
      <c r="A2070" s="51" t="n">
        <v>15144</v>
      </c>
      <c r="B2070" s="52" t="n">
        <v>40878.6333333333</v>
      </c>
      <c r="C2070" s="1" t="n">
        <v>18</v>
      </c>
      <c r="D2070" s="1" t="n">
        <v>6530.04000000001</v>
      </c>
    </row>
    <row r="2071" customFormat="false" ht="14.25" hidden="false" customHeight="true" outlineLevel="0" collapsed="false">
      <c r="A2071" s="51" t="n">
        <v>15145</v>
      </c>
      <c r="B2071" s="52" t="n">
        <v>40882.7229166667</v>
      </c>
      <c r="C2071" s="1" t="n">
        <v>4</v>
      </c>
      <c r="D2071" s="1" t="n">
        <v>1194.73</v>
      </c>
    </row>
    <row r="2072" customFormat="false" ht="14.25" hidden="false" customHeight="true" outlineLevel="0" collapsed="false">
      <c r="A2072" s="51" t="n">
        <v>15146</v>
      </c>
      <c r="B2072" s="52" t="n">
        <v>40722.50625</v>
      </c>
      <c r="C2072" s="1" t="n">
        <v>3</v>
      </c>
      <c r="D2072" s="1" t="n">
        <v>1313.66</v>
      </c>
    </row>
    <row r="2073" customFormat="false" ht="14.25" hidden="false" customHeight="true" outlineLevel="0" collapsed="false">
      <c r="A2073" s="51" t="n">
        <v>15147</v>
      </c>
      <c r="B2073" s="52" t="n">
        <v>40668.4722222222</v>
      </c>
      <c r="C2073" s="1" t="n">
        <v>2</v>
      </c>
      <c r="D2073" s="1" t="n">
        <v>608.65</v>
      </c>
    </row>
    <row r="2074" customFormat="false" ht="14.25" hidden="false" customHeight="true" outlineLevel="0" collapsed="false">
      <c r="A2074" s="51" t="n">
        <v>15148</v>
      </c>
      <c r="B2074" s="52" t="n">
        <v>40876.3479166667</v>
      </c>
      <c r="C2074" s="1" t="n">
        <v>1</v>
      </c>
      <c r="D2074" s="1" t="n">
        <v>301.29</v>
      </c>
    </row>
    <row r="2075" customFormat="false" ht="14.25" hidden="false" customHeight="true" outlineLevel="0" collapsed="false">
      <c r="A2075" s="51" t="n">
        <v>15149</v>
      </c>
      <c r="B2075" s="52" t="n">
        <v>40753.4569444444</v>
      </c>
      <c r="C2075" s="1" t="n">
        <v>1</v>
      </c>
      <c r="D2075" s="1" t="n">
        <v>520.8</v>
      </c>
    </row>
    <row r="2076" customFormat="false" ht="14.25" hidden="false" customHeight="true" outlineLevel="0" collapsed="false">
      <c r="A2076" s="51" t="n">
        <v>15150</v>
      </c>
      <c r="B2076" s="52" t="n">
        <v>40869.5361111111</v>
      </c>
      <c r="C2076" s="1" t="n">
        <v>11</v>
      </c>
      <c r="D2076" s="1" t="n">
        <v>5303.97</v>
      </c>
    </row>
    <row r="2077" customFormat="false" ht="14.25" hidden="false" customHeight="true" outlineLevel="0" collapsed="false">
      <c r="A2077" s="51" t="n">
        <v>15152</v>
      </c>
      <c r="B2077" s="52" t="n">
        <v>40877.5222222222</v>
      </c>
      <c r="C2077" s="1" t="n">
        <v>16</v>
      </c>
      <c r="D2077" s="1" t="n">
        <v>4684.24</v>
      </c>
    </row>
    <row r="2078" customFormat="false" ht="14.25" hidden="false" customHeight="true" outlineLevel="0" collapsed="false">
      <c r="A2078" s="51" t="n">
        <v>15153</v>
      </c>
      <c r="B2078" s="52" t="n">
        <v>40855.7145833333</v>
      </c>
      <c r="C2078" s="1" t="n">
        <v>1</v>
      </c>
      <c r="D2078" s="1" t="n">
        <v>329.25</v>
      </c>
    </row>
    <row r="2079" customFormat="false" ht="14.25" hidden="false" customHeight="true" outlineLevel="0" collapsed="false">
      <c r="A2079" s="51" t="n">
        <v>15154</v>
      </c>
      <c r="B2079" s="52" t="n">
        <v>40812.6965277778</v>
      </c>
      <c r="C2079" s="1" t="n">
        <v>2</v>
      </c>
      <c r="D2079" s="1" t="n">
        <v>240.27</v>
      </c>
    </row>
    <row r="2080" customFormat="false" ht="14.25" hidden="false" customHeight="true" outlineLevel="0" collapsed="false">
      <c r="A2080" s="51" t="n">
        <v>15156</v>
      </c>
      <c r="B2080" s="52" t="n">
        <v>40885.7652777778</v>
      </c>
      <c r="C2080" s="1" t="n">
        <v>3</v>
      </c>
      <c r="D2080" s="1" t="n">
        <v>961.49</v>
      </c>
    </row>
    <row r="2081" customFormat="false" ht="14.25" hidden="false" customHeight="true" outlineLevel="0" collapsed="false">
      <c r="A2081" s="51" t="n">
        <v>15157</v>
      </c>
      <c r="B2081" s="52" t="n">
        <v>40883.4777777778</v>
      </c>
      <c r="C2081" s="1" t="n">
        <v>5</v>
      </c>
      <c r="D2081" s="1" t="n">
        <v>1869.5</v>
      </c>
    </row>
    <row r="2082" customFormat="false" ht="14.25" hidden="false" customHeight="true" outlineLevel="0" collapsed="false">
      <c r="A2082" s="51" t="n">
        <v>15158</v>
      </c>
      <c r="B2082" s="52" t="n">
        <v>40841.5784722222</v>
      </c>
      <c r="C2082" s="1" t="n">
        <v>1</v>
      </c>
      <c r="D2082" s="1" t="n">
        <v>401.4</v>
      </c>
    </row>
    <row r="2083" customFormat="false" ht="14.25" hidden="false" customHeight="true" outlineLevel="0" collapsed="false">
      <c r="A2083" s="51" t="n">
        <v>15159</v>
      </c>
      <c r="B2083" s="52" t="n">
        <v>40885.5034722222</v>
      </c>
      <c r="C2083" s="1" t="n">
        <v>34</v>
      </c>
      <c r="D2083" s="1" t="n">
        <v>18573.68</v>
      </c>
    </row>
    <row r="2084" customFormat="false" ht="14.25" hidden="false" customHeight="true" outlineLevel="0" collapsed="false">
      <c r="A2084" s="51" t="n">
        <v>15160</v>
      </c>
      <c r="B2084" s="52" t="n">
        <v>40529.59375</v>
      </c>
      <c r="C2084" s="1" t="n">
        <v>1</v>
      </c>
      <c r="D2084" s="1" t="n">
        <v>158.16</v>
      </c>
    </row>
    <row r="2085" customFormat="false" ht="14.25" hidden="false" customHeight="true" outlineLevel="0" collapsed="false">
      <c r="A2085" s="51" t="n">
        <v>15163</v>
      </c>
      <c r="B2085" s="52" t="n">
        <v>40868.5486111111</v>
      </c>
      <c r="C2085" s="1" t="n">
        <v>2</v>
      </c>
      <c r="D2085" s="1" t="n">
        <v>304.47</v>
      </c>
    </row>
    <row r="2086" customFormat="false" ht="14.25" hidden="false" customHeight="true" outlineLevel="0" collapsed="false">
      <c r="A2086" s="51" t="n">
        <v>15164</v>
      </c>
      <c r="B2086" s="52" t="n">
        <v>40818.5034722222</v>
      </c>
      <c r="C2086" s="1" t="n">
        <v>3</v>
      </c>
      <c r="D2086" s="1" t="n">
        <v>843.05</v>
      </c>
    </row>
    <row r="2087" customFormat="false" ht="14.25" hidden="false" customHeight="true" outlineLevel="0" collapsed="false">
      <c r="A2087" s="51" t="n">
        <v>15165</v>
      </c>
      <c r="B2087" s="52" t="n">
        <v>40513.5854166667</v>
      </c>
      <c r="C2087" s="1" t="n">
        <v>1</v>
      </c>
      <c r="D2087" s="1" t="n">
        <v>487.75</v>
      </c>
    </row>
    <row r="2088" customFormat="false" ht="14.25" hidden="false" customHeight="true" outlineLevel="0" collapsed="false">
      <c r="A2088" s="51" t="n">
        <v>15167</v>
      </c>
      <c r="B2088" s="52" t="n">
        <v>40566.5284722222</v>
      </c>
      <c r="C2088" s="1" t="n">
        <v>1</v>
      </c>
      <c r="D2088" s="1" t="n">
        <v>163</v>
      </c>
    </row>
    <row r="2089" customFormat="false" ht="14.25" hidden="false" customHeight="true" outlineLevel="0" collapsed="false">
      <c r="A2089" s="51" t="n">
        <v>15168</v>
      </c>
      <c r="B2089" s="52" t="n">
        <v>40861.4763888889</v>
      </c>
      <c r="C2089" s="1" t="n">
        <v>1</v>
      </c>
      <c r="D2089" s="1" t="n">
        <v>106.56</v>
      </c>
    </row>
    <row r="2090" customFormat="false" ht="14.25" hidden="false" customHeight="true" outlineLevel="0" collapsed="false">
      <c r="A2090" s="51" t="n">
        <v>15171</v>
      </c>
      <c r="B2090" s="52" t="n">
        <v>40562.5270833333</v>
      </c>
      <c r="C2090" s="1" t="n">
        <v>2</v>
      </c>
      <c r="D2090" s="1" t="n">
        <v>1034.5</v>
      </c>
    </row>
    <row r="2091" customFormat="false" ht="14.25" hidden="false" customHeight="true" outlineLevel="0" collapsed="false">
      <c r="A2091" s="51" t="n">
        <v>15172</v>
      </c>
      <c r="B2091" s="52" t="n">
        <v>40878.49375</v>
      </c>
      <c r="C2091" s="1" t="n">
        <v>5</v>
      </c>
      <c r="D2091" s="1" t="n">
        <v>1624.05</v>
      </c>
    </row>
    <row r="2092" customFormat="false" ht="14.25" hidden="false" customHeight="true" outlineLevel="0" collapsed="false">
      <c r="A2092" s="51" t="n">
        <v>15174</v>
      </c>
      <c r="B2092" s="52" t="n">
        <v>40564.3791666667</v>
      </c>
      <c r="C2092" s="1" t="n">
        <v>1</v>
      </c>
      <c r="D2092" s="1" t="n">
        <v>135.75</v>
      </c>
    </row>
    <row r="2093" customFormat="false" ht="14.25" hidden="false" customHeight="true" outlineLevel="0" collapsed="false">
      <c r="A2093" s="51" t="n">
        <v>15175</v>
      </c>
      <c r="B2093" s="52" t="n">
        <v>40815.4798611111</v>
      </c>
      <c r="C2093" s="1" t="n">
        <v>1</v>
      </c>
      <c r="D2093" s="1" t="n">
        <v>224.14</v>
      </c>
    </row>
    <row r="2094" customFormat="false" ht="14.25" hidden="false" customHeight="true" outlineLevel="0" collapsed="false">
      <c r="A2094" s="51" t="n">
        <v>15178</v>
      </c>
      <c r="B2094" s="52" t="n">
        <v>40626.6333333333</v>
      </c>
      <c r="C2094" s="1" t="n">
        <v>1</v>
      </c>
      <c r="D2094" s="1" t="n">
        <v>40.5</v>
      </c>
    </row>
    <row r="2095" customFormat="false" ht="14.25" hidden="false" customHeight="true" outlineLevel="0" collapsed="false">
      <c r="A2095" s="51" t="n">
        <v>15179</v>
      </c>
      <c r="B2095" s="52" t="n">
        <v>40868.5368055556</v>
      </c>
      <c r="C2095" s="1" t="n">
        <v>7</v>
      </c>
      <c r="D2095" s="1" t="n">
        <v>2186.2</v>
      </c>
    </row>
    <row r="2096" customFormat="false" ht="14.25" hidden="false" customHeight="true" outlineLevel="0" collapsed="false">
      <c r="A2096" s="51" t="n">
        <v>15180</v>
      </c>
      <c r="B2096" s="52" t="n">
        <v>40519.6229166667</v>
      </c>
      <c r="C2096" s="1" t="n">
        <v>1</v>
      </c>
      <c r="D2096" s="1" t="n">
        <v>87.5</v>
      </c>
    </row>
    <row r="2097" customFormat="false" ht="14.25" hidden="false" customHeight="true" outlineLevel="0" collapsed="false">
      <c r="A2097" s="51" t="n">
        <v>15181</v>
      </c>
      <c r="B2097" s="52" t="n">
        <v>40820.5819444444</v>
      </c>
      <c r="C2097" s="1" t="n">
        <v>5</v>
      </c>
      <c r="D2097" s="1" t="n">
        <v>680.28</v>
      </c>
    </row>
    <row r="2098" customFormat="false" ht="14.25" hidden="false" customHeight="true" outlineLevel="0" collapsed="false">
      <c r="A2098" s="51" t="n">
        <v>15182</v>
      </c>
      <c r="B2098" s="52" t="n">
        <v>40732.5673611111</v>
      </c>
      <c r="C2098" s="1" t="n">
        <v>2</v>
      </c>
      <c r="D2098" s="1" t="n">
        <v>622.85</v>
      </c>
    </row>
    <row r="2099" customFormat="false" ht="14.25" hidden="false" customHeight="true" outlineLevel="0" collapsed="false">
      <c r="A2099" s="51" t="n">
        <v>15184</v>
      </c>
      <c r="B2099" s="52" t="n">
        <v>40857.5701388889</v>
      </c>
      <c r="C2099" s="1" t="n">
        <v>2</v>
      </c>
      <c r="D2099" s="1" t="n">
        <v>406.76</v>
      </c>
    </row>
    <row r="2100" customFormat="false" ht="14.25" hidden="false" customHeight="true" outlineLevel="0" collapsed="false">
      <c r="A2100" s="51" t="n">
        <v>15185</v>
      </c>
      <c r="B2100" s="52" t="n">
        <v>40816.5875</v>
      </c>
      <c r="C2100" s="1" t="n">
        <v>1</v>
      </c>
      <c r="D2100" s="1" t="n">
        <v>310.62</v>
      </c>
    </row>
    <row r="2101" customFormat="false" ht="14.25" hidden="false" customHeight="true" outlineLevel="0" collapsed="false">
      <c r="A2101" s="51" t="n">
        <v>15186</v>
      </c>
      <c r="B2101" s="52" t="n">
        <v>40872.6236111111</v>
      </c>
      <c r="C2101" s="1" t="n">
        <v>2</v>
      </c>
      <c r="D2101" s="1" t="n">
        <v>411.41</v>
      </c>
    </row>
    <row r="2102" customFormat="false" ht="14.25" hidden="false" customHeight="true" outlineLevel="0" collapsed="false">
      <c r="A2102" s="51" t="n">
        <v>15187</v>
      </c>
      <c r="B2102" s="52" t="n">
        <v>40885.4972222222</v>
      </c>
      <c r="C2102" s="1" t="n">
        <v>18</v>
      </c>
      <c r="D2102" s="1" t="n">
        <v>4670.08</v>
      </c>
    </row>
    <row r="2103" customFormat="false" ht="14.25" hidden="false" customHeight="true" outlineLevel="0" collapsed="false">
      <c r="A2103" s="51" t="n">
        <v>15189</v>
      </c>
      <c r="B2103" s="52" t="n">
        <v>40885.5569444444</v>
      </c>
      <c r="C2103" s="1" t="n">
        <v>53</v>
      </c>
      <c r="D2103" s="1" t="n">
        <v>15802.14</v>
      </c>
    </row>
    <row r="2104" customFormat="false" ht="14.25" hidden="false" customHeight="true" outlineLevel="0" collapsed="false">
      <c r="A2104" s="51" t="n">
        <v>15192</v>
      </c>
      <c r="B2104" s="52" t="n">
        <v>40767.4868055556</v>
      </c>
      <c r="C2104" s="1" t="n">
        <v>3</v>
      </c>
      <c r="D2104" s="1" t="n">
        <v>1044.32</v>
      </c>
    </row>
    <row r="2105" customFormat="false" ht="14.25" hidden="false" customHeight="true" outlineLevel="0" collapsed="false">
      <c r="A2105" s="51" t="n">
        <v>15193</v>
      </c>
      <c r="B2105" s="52" t="n">
        <v>40826.3493055556</v>
      </c>
      <c r="C2105" s="1" t="n">
        <v>1</v>
      </c>
      <c r="D2105" s="1" t="n">
        <v>499.32</v>
      </c>
    </row>
    <row r="2106" customFormat="false" ht="14.25" hidden="false" customHeight="true" outlineLevel="0" collapsed="false">
      <c r="A2106" s="51" t="n">
        <v>15194</v>
      </c>
      <c r="B2106" s="52" t="n">
        <v>40883.6319444445</v>
      </c>
      <c r="C2106" s="1" t="n">
        <v>22</v>
      </c>
      <c r="D2106" s="1" t="n">
        <v>7521.17</v>
      </c>
    </row>
    <row r="2107" customFormat="false" ht="14.25" hidden="false" customHeight="true" outlineLevel="0" collapsed="false">
      <c r="A2107" s="51" t="n">
        <v>15195</v>
      </c>
      <c r="B2107" s="52" t="n">
        <v>40884.5138888889</v>
      </c>
      <c r="C2107" s="1" t="n">
        <v>1</v>
      </c>
      <c r="D2107" s="1" t="n">
        <v>3861</v>
      </c>
    </row>
    <row r="2108" customFormat="false" ht="14.25" hidden="false" customHeight="true" outlineLevel="0" collapsed="false">
      <c r="A2108" s="51" t="n">
        <v>15197</v>
      </c>
      <c r="B2108" s="52" t="n">
        <v>40878.3430555556</v>
      </c>
      <c r="C2108" s="1" t="n">
        <v>5</v>
      </c>
      <c r="D2108" s="1" t="n">
        <v>656.44</v>
      </c>
    </row>
    <row r="2109" customFormat="false" ht="14.25" hidden="false" customHeight="true" outlineLevel="0" collapsed="false">
      <c r="A2109" s="51" t="n">
        <v>15198</v>
      </c>
      <c r="B2109" s="52" t="n">
        <v>40794.6125</v>
      </c>
      <c r="C2109" s="1" t="n">
        <v>2</v>
      </c>
      <c r="D2109" s="1" t="n">
        <v>193.64</v>
      </c>
    </row>
    <row r="2110" customFormat="false" ht="14.25" hidden="false" customHeight="true" outlineLevel="0" collapsed="false">
      <c r="A2110" s="51" t="n">
        <v>15199</v>
      </c>
      <c r="B2110" s="52" t="n">
        <v>40827.6333333333</v>
      </c>
      <c r="C2110" s="1" t="n">
        <v>4</v>
      </c>
      <c r="D2110" s="1" t="n">
        <v>1268.7</v>
      </c>
    </row>
    <row r="2111" customFormat="false" ht="14.25" hidden="false" customHeight="true" outlineLevel="0" collapsed="false">
      <c r="A2111" s="51" t="n">
        <v>15201</v>
      </c>
      <c r="B2111" s="52" t="n">
        <v>40808.4118055556</v>
      </c>
      <c r="C2111" s="1" t="n">
        <v>11</v>
      </c>
      <c r="D2111" s="1" t="n">
        <v>927.84</v>
      </c>
    </row>
    <row r="2112" customFormat="false" ht="14.25" hidden="false" customHeight="true" outlineLevel="0" collapsed="false">
      <c r="A2112" s="51" t="n">
        <v>15203</v>
      </c>
      <c r="B2112" s="52" t="n">
        <v>40861.3444444445</v>
      </c>
      <c r="C2112" s="1" t="n">
        <v>6</v>
      </c>
      <c r="D2112" s="1" t="n">
        <v>1827.8</v>
      </c>
    </row>
    <row r="2113" customFormat="false" ht="14.25" hidden="false" customHeight="true" outlineLevel="0" collapsed="false">
      <c r="A2113" s="51" t="n">
        <v>15204</v>
      </c>
      <c r="B2113" s="52" t="n">
        <v>40529.5756944444</v>
      </c>
      <c r="C2113" s="1" t="n">
        <v>1</v>
      </c>
      <c r="D2113" s="1" t="n">
        <v>316.58</v>
      </c>
    </row>
    <row r="2114" customFormat="false" ht="14.25" hidden="false" customHeight="true" outlineLevel="0" collapsed="false">
      <c r="A2114" s="51" t="n">
        <v>15205</v>
      </c>
      <c r="B2114" s="52" t="n">
        <v>40801.8166666667</v>
      </c>
      <c r="C2114" s="1" t="n">
        <v>3</v>
      </c>
      <c r="D2114" s="1" t="n">
        <v>648.83</v>
      </c>
    </row>
    <row r="2115" customFormat="false" ht="14.25" hidden="false" customHeight="true" outlineLevel="0" collapsed="false">
      <c r="A2115" s="51" t="n">
        <v>15206</v>
      </c>
      <c r="B2115" s="52" t="n">
        <v>40876.5701388889</v>
      </c>
      <c r="C2115" s="1" t="n">
        <v>4</v>
      </c>
      <c r="D2115" s="1" t="n">
        <v>420.3</v>
      </c>
    </row>
    <row r="2116" customFormat="false" ht="14.25" hidden="false" customHeight="true" outlineLevel="0" collapsed="false">
      <c r="A2116" s="51" t="n">
        <v>15208</v>
      </c>
      <c r="B2116" s="52" t="n">
        <v>40885.725</v>
      </c>
      <c r="C2116" s="1" t="n">
        <v>6</v>
      </c>
      <c r="D2116" s="1" t="n">
        <v>867.62</v>
      </c>
    </row>
    <row r="2117" customFormat="false" ht="14.25" hidden="false" customHeight="true" outlineLevel="0" collapsed="false">
      <c r="A2117" s="51" t="n">
        <v>15210</v>
      </c>
      <c r="B2117" s="52" t="n">
        <v>40661.6743055556</v>
      </c>
      <c r="C2117" s="1" t="n">
        <v>1</v>
      </c>
      <c r="D2117" s="1" t="n">
        <v>331.18</v>
      </c>
    </row>
    <row r="2118" customFormat="false" ht="14.25" hidden="false" customHeight="true" outlineLevel="0" collapsed="false">
      <c r="A2118" s="51" t="n">
        <v>15211</v>
      </c>
      <c r="B2118" s="52" t="n">
        <v>40826.5631944445</v>
      </c>
      <c r="C2118" s="1" t="n">
        <v>2</v>
      </c>
      <c r="D2118" s="1" t="n">
        <v>894.41</v>
      </c>
    </row>
    <row r="2119" customFormat="false" ht="14.25" hidden="false" customHeight="true" outlineLevel="0" collapsed="false">
      <c r="A2119" s="51" t="n">
        <v>15212</v>
      </c>
      <c r="B2119" s="52" t="n">
        <v>40647.55</v>
      </c>
      <c r="C2119" s="1" t="n">
        <v>2</v>
      </c>
      <c r="D2119" s="1" t="n">
        <v>88.95</v>
      </c>
    </row>
    <row r="2120" customFormat="false" ht="14.25" hidden="false" customHeight="true" outlineLevel="0" collapsed="false">
      <c r="A2120" s="51" t="n">
        <v>15213</v>
      </c>
      <c r="B2120" s="52" t="n">
        <v>40568.5173611111</v>
      </c>
      <c r="C2120" s="1" t="n">
        <v>3</v>
      </c>
      <c r="D2120" s="1" t="n">
        <v>325.05</v>
      </c>
    </row>
    <row r="2121" customFormat="false" ht="14.25" hidden="false" customHeight="true" outlineLevel="0" collapsed="false">
      <c r="A2121" s="51" t="n">
        <v>15214</v>
      </c>
      <c r="B2121" s="52" t="n">
        <v>40885.5048611111</v>
      </c>
      <c r="C2121" s="1" t="n">
        <v>8</v>
      </c>
      <c r="D2121" s="1" t="n">
        <v>1661.44</v>
      </c>
    </row>
    <row r="2122" customFormat="false" ht="14.25" hidden="false" customHeight="true" outlineLevel="0" collapsed="false">
      <c r="A2122" s="51" t="n">
        <v>15215</v>
      </c>
      <c r="B2122" s="52" t="n">
        <v>40842.5194444444</v>
      </c>
      <c r="C2122" s="1" t="n">
        <v>6</v>
      </c>
      <c r="D2122" s="1" t="n">
        <v>615.99</v>
      </c>
    </row>
    <row r="2123" customFormat="false" ht="14.25" hidden="false" customHeight="true" outlineLevel="0" collapsed="false">
      <c r="A2123" s="51" t="n">
        <v>15216</v>
      </c>
      <c r="B2123" s="52" t="n">
        <v>40799.4868055556</v>
      </c>
      <c r="C2123" s="1" t="n">
        <v>1</v>
      </c>
      <c r="D2123" s="1" t="n">
        <v>96.6</v>
      </c>
    </row>
    <row r="2124" customFormat="false" ht="14.25" hidden="false" customHeight="true" outlineLevel="0" collapsed="false">
      <c r="A2124" s="51" t="n">
        <v>15218</v>
      </c>
      <c r="B2124" s="52" t="n">
        <v>40876.4916666667</v>
      </c>
      <c r="C2124" s="1" t="n">
        <v>11</v>
      </c>
      <c r="D2124" s="1" t="n">
        <v>5756.89</v>
      </c>
    </row>
    <row r="2125" customFormat="false" ht="14.25" hidden="false" customHeight="true" outlineLevel="0" collapsed="false">
      <c r="A2125" s="51" t="n">
        <v>15219</v>
      </c>
      <c r="B2125" s="52" t="n">
        <v>40710.70625</v>
      </c>
      <c r="C2125" s="1" t="n">
        <v>1</v>
      </c>
      <c r="D2125" s="1" t="n">
        <v>305.75</v>
      </c>
    </row>
    <row r="2126" customFormat="false" ht="14.25" hidden="false" customHeight="true" outlineLevel="0" collapsed="false">
      <c r="A2126" s="51" t="n">
        <v>15220</v>
      </c>
      <c r="B2126" s="52" t="n">
        <v>40835.5270833333</v>
      </c>
      <c r="C2126" s="1" t="n">
        <v>7</v>
      </c>
      <c r="D2126" s="1" t="n">
        <v>1758.92</v>
      </c>
    </row>
    <row r="2127" customFormat="false" ht="14.25" hidden="false" customHeight="true" outlineLevel="0" collapsed="false">
      <c r="A2127" s="51" t="n">
        <v>15221</v>
      </c>
      <c r="B2127" s="52" t="n">
        <v>40520.5472222222</v>
      </c>
      <c r="C2127" s="1" t="n">
        <v>2</v>
      </c>
      <c r="D2127" s="1" t="n">
        <v>114.1</v>
      </c>
    </row>
    <row r="2128" customFormat="false" ht="14.25" hidden="false" customHeight="true" outlineLevel="0" collapsed="false">
      <c r="A2128" s="51" t="n">
        <v>15222</v>
      </c>
      <c r="B2128" s="52" t="n">
        <v>40568.3354166667</v>
      </c>
      <c r="C2128" s="1" t="n">
        <v>1</v>
      </c>
      <c r="D2128" s="1" t="n">
        <v>585</v>
      </c>
    </row>
    <row r="2129" customFormat="false" ht="14.25" hidden="false" customHeight="true" outlineLevel="0" collapsed="false">
      <c r="A2129" s="51" t="n">
        <v>15223</v>
      </c>
      <c r="B2129" s="52" t="n">
        <v>40661.4798611111</v>
      </c>
      <c r="C2129" s="1" t="n">
        <v>3</v>
      </c>
      <c r="D2129" s="1" t="n">
        <v>454.9</v>
      </c>
    </row>
    <row r="2130" customFormat="false" ht="14.25" hidden="false" customHeight="true" outlineLevel="0" collapsed="false">
      <c r="A2130" s="51" t="n">
        <v>15224</v>
      </c>
      <c r="B2130" s="52" t="n">
        <v>40528.6263888889</v>
      </c>
      <c r="C2130" s="1" t="n">
        <v>3</v>
      </c>
      <c r="D2130" s="1" t="n">
        <v>310.48</v>
      </c>
    </row>
    <row r="2131" customFormat="false" ht="14.25" hidden="false" customHeight="true" outlineLevel="0" collapsed="false">
      <c r="A2131" s="51" t="n">
        <v>15225</v>
      </c>
      <c r="B2131" s="52" t="n">
        <v>40652.61875</v>
      </c>
      <c r="C2131" s="1" t="n">
        <v>1</v>
      </c>
      <c r="D2131" s="1" t="n">
        <v>409.4</v>
      </c>
    </row>
    <row r="2132" customFormat="false" ht="14.25" hidden="false" customHeight="true" outlineLevel="0" collapsed="false">
      <c r="A2132" s="51" t="n">
        <v>15226</v>
      </c>
      <c r="B2132" s="52" t="n">
        <v>40576.4868055556</v>
      </c>
      <c r="C2132" s="1" t="n">
        <v>1</v>
      </c>
      <c r="D2132" s="1" t="n">
        <v>154.41</v>
      </c>
    </row>
    <row r="2133" customFormat="false" ht="14.25" hidden="false" customHeight="true" outlineLevel="0" collapsed="false">
      <c r="A2133" s="51" t="n">
        <v>15227</v>
      </c>
      <c r="B2133" s="52" t="n">
        <v>40850.4993055556</v>
      </c>
      <c r="C2133" s="1" t="n">
        <v>5</v>
      </c>
      <c r="D2133" s="1" t="n">
        <v>1219.4</v>
      </c>
    </row>
    <row r="2134" customFormat="false" ht="14.25" hidden="false" customHeight="true" outlineLevel="0" collapsed="false">
      <c r="A2134" s="51" t="n">
        <v>15228</v>
      </c>
      <c r="B2134" s="52" t="n">
        <v>40820.5805555556</v>
      </c>
      <c r="C2134" s="1" t="n">
        <v>5</v>
      </c>
      <c r="D2134" s="1" t="n">
        <v>3376.96</v>
      </c>
    </row>
    <row r="2135" customFormat="false" ht="14.25" hidden="false" customHeight="true" outlineLevel="0" collapsed="false">
      <c r="A2135" s="51" t="n">
        <v>15230</v>
      </c>
      <c r="B2135" s="52" t="n">
        <v>40647.6104166667</v>
      </c>
      <c r="C2135" s="1" t="n">
        <v>2</v>
      </c>
      <c r="D2135" s="1" t="n">
        <v>429.6</v>
      </c>
    </row>
    <row r="2136" customFormat="false" ht="14.25" hidden="false" customHeight="true" outlineLevel="0" collapsed="false">
      <c r="A2136" s="51" t="n">
        <v>15232</v>
      </c>
      <c r="B2136" s="52" t="n">
        <v>40773.6854166667</v>
      </c>
      <c r="C2136" s="1" t="n">
        <v>2</v>
      </c>
      <c r="D2136" s="1" t="n">
        <v>612.06</v>
      </c>
    </row>
    <row r="2137" customFormat="false" ht="14.25" hidden="false" customHeight="true" outlineLevel="0" collapsed="false">
      <c r="A2137" s="51" t="n">
        <v>15234</v>
      </c>
      <c r="B2137" s="52" t="n">
        <v>40610.3701388889</v>
      </c>
      <c r="C2137" s="1" t="n">
        <v>1</v>
      </c>
      <c r="D2137" s="1" t="n">
        <v>197</v>
      </c>
    </row>
    <row r="2138" customFormat="false" ht="14.25" hidden="false" customHeight="true" outlineLevel="0" collapsed="false">
      <c r="A2138" s="51" t="n">
        <v>15235</v>
      </c>
      <c r="B2138" s="52" t="n">
        <v>40669.4055555556</v>
      </c>
      <c r="C2138" s="1" t="n">
        <v>12</v>
      </c>
      <c r="D2138" s="1" t="n">
        <v>2247.51</v>
      </c>
    </row>
    <row r="2139" customFormat="false" ht="14.25" hidden="false" customHeight="true" outlineLevel="0" collapsed="false">
      <c r="A2139" s="51" t="n">
        <v>15236</v>
      </c>
      <c r="B2139" s="52" t="n">
        <v>40588.4527777778</v>
      </c>
      <c r="C2139" s="1" t="n">
        <v>1</v>
      </c>
      <c r="D2139" s="1" t="n">
        <v>321.05</v>
      </c>
    </row>
    <row r="2140" customFormat="false" ht="14.25" hidden="false" customHeight="true" outlineLevel="0" collapsed="false">
      <c r="A2140" s="51" t="n">
        <v>15237</v>
      </c>
      <c r="B2140" s="52" t="n">
        <v>40885.4069444445</v>
      </c>
      <c r="C2140" s="1" t="n">
        <v>4</v>
      </c>
      <c r="D2140" s="1" t="n">
        <v>1412.32</v>
      </c>
    </row>
    <row r="2141" customFormat="false" ht="14.25" hidden="false" customHeight="true" outlineLevel="0" collapsed="false">
      <c r="A2141" s="51" t="n">
        <v>15238</v>
      </c>
      <c r="B2141" s="52" t="n">
        <v>40857.6027777778</v>
      </c>
      <c r="C2141" s="1" t="n">
        <v>5</v>
      </c>
      <c r="D2141" s="1" t="n">
        <v>1056.54</v>
      </c>
    </row>
    <row r="2142" customFormat="false" ht="14.25" hidden="false" customHeight="true" outlineLevel="0" collapsed="false">
      <c r="A2142" s="51" t="n">
        <v>15239</v>
      </c>
      <c r="B2142" s="52" t="n">
        <v>40876.5930555556</v>
      </c>
      <c r="C2142" s="1" t="n">
        <v>3</v>
      </c>
      <c r="D2142" s="1" t="n">
        <v>764.34</v>
      </c>
    </row>
    <row r="2143" customFormat="false" ht="14.25" hidden="false" customHeight="true" outlineLevel="0" collapsed="false">
      <c r="A2143" s="51" t="n">
        <v>15240</v>
      </c>
      <c r="B2143" s="52" t="n">
        <v>40842.4097222222</v>
      </c>
      <c r="C2143" s="1" t="n">
        <v>7</v>
      </c>
      <c r="D2143" s="1" t="n">
        <v>1685.57</v>
      </c>
    </row>
    <row r="2144" customFormat="false" ht="14.25" hidden="false" customHeight="true" outlineLevel="0" collapsed="false">
      <c r="A2144" s="51" t="n">
        <v>15241</v>
      </c>
      <c r="B2144" s="52" t="n">
        <v>40820.3784722222</v>
      </c>
      <c r="C2144" s="1" t="n">
        <v>9</v>
      </c>
      <c r="D2144" s="1" t="n">
        <v>1738.59</v>
      </c>
    </row>
    <row r="2145" customFormat="false" ht="14.25" hidden="false" customHeight="true" outlineLevel="0" collapsed="false">
      <c r="A2145" s="51" t="n">
        <v>15243</v>
      </c>
      <c r="B2145" s="52" t="n">
        <v>40812.5916666667</v>
      </c>
      <c r="C2145" s="1" t="n">
        <v>1</v>
      </c>
      <c r="D2145" s="1" t="n">
        <v>316.68</v>
      </c>
    </row>
    <row r="2146" customFormat="false" ht="14.25" hidden="false" customHeight="true" outlineLevel="0" collapsed="false">
      <c r="A2146" s="51" t="n">
        <v>15244</v>
      </c>
      <c r="B2146" s="52" t="n">
        <v>40821.5548611111</v>
      </c>
      <c r="C2146" s="1" t="n">
        <v>2</v>
      </c>
      <c r="D2146" s="1" t="n">
        <v>631.57</v>
      </c>
    </row>
    <row r="2147" customFormat="false" ht="14.25" hidden="false" customHeight="true" outlineLevel="0" collapsed="false">
      <c r="A2147" s="51" t="n">
        <v>15245</v>
      </c>
      <c r="B2147" s="52" t="n">
        <v>40752.7888888889</v>
      </c>
      <c r="C2147" s="1" t="n">
        <v>3</v>
      </c>
      <c r="D2147" s="1" t="n">
        <v>2515.84</v>
      </c>
    </row>
    <row r="2148" customFormat="false" ht="14.25" hidden="false" customHeight="true" outlineLevel="0" collapsed="false">
      <c r="A2148" s="51" t="n">
        <v>15246</v>
      </c>
      <c r="B2148" s="52" t="n">
        <v>40648.6145833333</v>
      </c>
      <c r="C2148" s="1" t="n">
        <v>2</v>
      </c>
      <c r="D2148" s="1" t="n">
        <v>514.15</v>
      </c>
    </row>
    <row r="2149" customFormat="false" ht="14.25" hidden="false" customHeight="true" outlineLevel="0" collapsed="false">
      <c r="A2149" s="51" t="n">
        <v>15247</v>
      </c>
      <c r="B2149" s="52" t="n">
        <v>40764.5361111111</v>
      </c>
      <c r="C2149" s="1" t="n">
        <v>1</v>
      </c>
      <c r="D2149" s="1" t="n">
        <v>356</v>
      </c>
    </row>
    <row r="2150" customFormat="false" ht="14.25" hidden="false" customHeight="true" outlineLevel="0" collapsed="false">
      <c r="A2150" s="51" t="n">
        <v>15249</v>
      </c>
      <c r="B2150" s="52" t="n">
        <v>40855.4895833333</v>
      </c>
      <c r="C2150" s="1" t="n">
        <v>15</v>
      </c>
      <c r="D2150" s="1" t="n">
        <v>6657.36000000001</v>
      </c>
    </row>
    <row r="2151" customFormat="false" ht="14.25" hidden="false" customHeight="true" outlineLevel="0" collapsed="false">
      <c r="A2151" s="51" t="n">
        <v>15251</v>
      </c>
      <c r="B2151" s="52" t="n">
        <v>40877.6263888889</v>
      </c>
      <c r="C2151" s="1" t="n">
        <v>15</v>
      </c>
      <c r="D2151" s="1" t="n">
        <v>10327.11</v>
      </c>
    </row>
    <row r="2152" customFormat="false" ht="14.25" hidden="false" customHeight="true" outlineLevel="0" collapsed="false">
      <c r="A2152" s="51" t="n">
        <v>15252</v>
      </c>
      <c r="B2152" s="52" t="n">
        <v>40850.5625</v>
      </c>
      <c r="C2152" s="1" t="n">
        <v>2</v>
      </c>
      <c r="D2152" s="1" t="n">
        <v>740.78</v>
      </c>
    </row>
    <row r="2153" customFormat="false" ht="14.25" hidden="false" customHeight="true" outlineLevel="0" collapsed="false">
      <c r="A2153" s="51" t="n">
        <v>15253</v>
      </c>
      <c r="B2153" s="52" t="n">
        <v>40870.6819444444</v>
      </c>
      <c r="C2153" s="1" t="n">
        <v>6</v>
      </c>
      <c r="D2153" s="1" t="n">
        <v>915.3</v>
      </c>
    </row>
    <row r="2154" customFormat="false" ht="14.25" hidden="false" customHeight="true" outlineLevel="0" collapsed="false">
      <c r="A2154" s="51" t="n">
        <v>15254</v>
      </c>
      <c r="B2154" s="52" t="n">
        <v>40759.6277777778</v>
      </c>
      <c r="C2154" s="1" t="n">
        <v>1</v>
      </c>
      <c r="D2154" s="1" t="n">
        <v>300.36</v>
      </c>
    </row>
    <row r="2155" customFormat="false" ht="14.25" hidden="false" customHeight="true" outlineLevel="0" collapsed="false">
      <c r="A2155" s="51" t="n">
        <v>15255</v>
      </c>
      <c r="B2155" s="52" t="n">
        <v>40820.5298611111</v>
      </c>
      <c r="C2155" s="1" t="n">
        <v>1</v>
      </c>
      <c r="D2155" s="1" t="n">
        <v>890.85</v>
      </c>
    </row>
    <row r="2156" customFormat="false" ht="14.25" hidden="false" customHeight="true" outlineLevel="0" collapsed="false">
      <c r="A2156" s="51" t="n">
        <v>15256</v>
      </c>
      <c r="B2156" s="52" t="n">
        <v>40738.4909722222</v>
      </c>
      <c r="C2156" s="1" t="n">
        <v>1</v>
      </c>
      <c r="D2156" s="1" t="n">
        <v>98.45</v>
      </c>
    </row>
    <row r="2157" customFormat="false" ht="14.25" hidden="false" customHeight="true" outlineLevel="0" collapsed="false">
      <c r="A2157" s="51" t="n">
        <v>15257</v>
      </c>
      <c r="B2157" s="52" t="n">
        <v>40605.58125</v>
      </c>
      <c r="C2157" s="1" t="n">
        <v>2</v>
      </c>
      <c r="D2157" s="1" t="n">
        <v>232.15</v>
      </c>
    </row>
    <row r="2158" customFormat="false" ht="14.25" hidden="false" customHeight="true" outlineLevel="0" collapsed="false">
      <c r="A2158" s="51" t="n">
        <v>15258</v>
      </c>
      <c r="B2158" s="52" t="n">
        <v>40718.5208333333</v>
      </c>
      <c r="C2158" s="1" t="n">
        <v>2</v>
      </c>
      <c r="D2158" s="1" t="n">
        <v>623.16</v>
      </c>
    </row>
    <row r="2159" customFormat="false" ht="14.25" hidden="false" customHeight="true" outlineLevel="0" collapsed="false">
      <c r="A2159" s="51" t="n">
        <v>15260</v>
      </c>
      <c r="B2159" s="52" t="n">
        <v>40786.5798611111</v>
      </c>
      <c r="C2159" s="1" t="n">
        <v>8</v>
      </c>
      <c r="D2159" s="1" t="n">
        <v>1780.77</v>
      </c>
    </row>
    <row r="2160" customFormat="false" ht="14.25" hidden="false" customHeight="true" outlineLevel="0" collapsed="false">
      <c r="A2160" s="51" t="n">
        <v>15261</v>
      </c>
      <c r="B2160" s="52" t="n">
        <v>40751.6388888889</v>
      </c>
      <c r="C2160" s="1" t="n">
        <v>1</v>
      </c>
      <c r="D2160" s="1" t="n">
        <v>254.82</v>
      </c>
    </row>
    <row r="2161" customFormat="false" ht="14.25" hidden="false" customHeight="true" outlineLevel="0" collapsed="false">
      <c r="A2161" s="51" t="n">
        <v>15262</v>
      </c>
      <c r="B2161" s="52" t="n">
        <v>40563.5111111111</v>
      </c>
      <c r="C2161" s="1" t="n">
        <v>1</v>
      </c>
      <c r="D2161" s="1" t="n">
        <v>178.95</v>
      </c>
    </row>
    <row r="2162" customFormat="false" ht="14.25" hidden="false" customHeight="true" outlineLevel="0" collapsed="false">
      <c r="A2162" s="51" t="n">
        <v>15263</v>
      </c>
      <c r="B2162" s="52" t="n">
        <v>40780.4347222222</v>
      </c>
      <c r="C2162" s="1" t="n">
        <v>1</v>
      </c>
      <c r="D2162" s="1" t="n">
        <v>156.51</v>
      </c>
    </row>
    <row r="2163" customFormat="false" ht="14.25" hidden="false" customHeight="true" outlineLevel="0" collapsed="false">
      <c r="A2163" s="51" t="n">
        <v>15264</v>
      </c>
      <c r="B2163" s="52" t="n">
        <v>40822.5756944444</v>
      </c>
      <c r="C2163" s="1" t="n">
        <v>1</v>
      </c>
      <c r="D2163" s="1" t="n">
        <v>393.74</v>
      </c>
    </row>
    <row r="2164" customFormat="false" ht="14.25" hidden="false" customHeight="true" outlineLevel="0" collapsed="false">
      <c r="A2164" s="51" t="n">
        <v>15265</v>
      </c>
      <c r="B2164" s="52" t="n">
        <v>40735.6152777778</v>
      </c>
      <c r="C2164" s="1" t="n">
        <v>2</v>
      </c>
      <c r="D2164" s="1" t="n">
        <v>1506.12</v>
      </c>
    </row>
    <row r="2165" customFormat="false" ht="14.25" hidden="false" customHeight="true" outlineLevel="0" collapsed="false">
      <c r="A2165" s="51" t="n">
        <v>15266</v>
      </c>
      <c r="B2165" s="52" t="n">
        <v>40548.5694444445</v>
      </c>
      <c r="C2165" s="1" t="n">
        <v>1</v>
      </c>
      <c r="D2165" s="1" t="n">
        <v>119.3</v>
      </c>
    </row>
    <row r="2166" customFormat="false" ht="14.25" hidden="false" customHeight="true" outlineLevel="0" collapsed="false">
      <c r="A2166" s="51" t="n">
        <v>15267</v>
      </c>
      <c r="B2166" s="52" t="n">
        <v>40864.6659722222</v>
      </c>
      <c r="C2166" s="1" t="n">
        <v>5</v>
      </c>
      <c r="D2166" s="1" t="n">
        <v>1717.36</v>
      </c>
    </row>
    <row r="2167" customFormat="false" ht="14.25" hidden="false" customHeight="true" outlineLevel="0" collapsed="false">
      <c r="A2167" s="51" t="n">
        <v>15269</v>
      </c>
      <c r="B2167" s="52" t="n">
        <v>40863.3972222222</v>
      </c>
      <c r="C2167" s="1" t="n">
        <v>1</v>
      </c>
      <c r="D2167" s="1" t="n">
        <v>408.8</v>
      </c>
    </row>
    <row r="2168" customFormat="false" ht="14.25" hidden="false" customHeight="true" outlineLevel="0" collapsed="false">
      <c r="A2168" s="51" t="n">
        <v>15270</v>
      </c>
      <c r="B2168" s="52" t="n">
        <v>40871.3916666667</v>
      </c>
      <c r="C2168" s="1" t="n">
        <v>9</v>
      </c>
      <c r="D2168" s="1" t="n">
        <v>2298.2</v>
      </c>
    </row>
    <row r="2169" customFormat="false" ht="14.25" hidden="false" customHeight="true" outlineLevel="0" collapsed="false">
      <c r="A2169" s="51" t="n">
        <v>15271</v>
      </c>
      <c r="B2169" s="52" t="n">
        <v>40879.5909722222</v>
      </c>
      <c r="C2169" s="1" t="n">
        <v>16</v>
      </c>
      <c r="D2169" s="1" t="n">
        <v>2485.82</v>
      </c>
    </row>
    <row r="2170" customFormat="false" ht="14.25" hidden="false" customHeight="true" outlineLevel="0" collapsed="false">
      <c r="A2170" s="51" t="n">
        <v>15272</v>
      </c>
      <c r="B2170" s="52" t="n">
        <v>40829.5409722222</v>
      </c>
      <c r="C2170" s="1" t="n">
        <v>2</v>
      </c>
      <c r="D2170" s="1" t="n">
        <v>721.94</v>
      </c>
    </row>
    <row r="2171" customFormat="false" ht="14.25" hidden="false" customHeight="true" outlineLevel="0" collapsed="false">
      <c r="A2171" s="51" t="n">
        <v>15274</v>
      </c>
      <c r="B2171" s="52" t="n">
        <v>40882.70625</v>
      </c>
      <c r="C2171" s="1" t="n">
        <v>2</v>
      </c>
      <c r="D2171" s="1" t="n">
        <v>716.57</v>
      </c>
    </row>
    <row r="2172" customFormat="false" ht="14.25" hidden="false" customHeight="true" outlineLevel="0" collapsed="false">
      <c r="A2172" s="51" t="n">
        <v>15275</v>
      </c>
      <c r="B2172" s="52" t="n">
        <v>40855.7458333333</v>
      </c>
      <c r="C2172" s="1" t="n">
        <v>2</v>
      </c>
      <c r="D2172" s="1" t="n">
        <v>609.19</v>
      </c>
    </row>
    <row r="2173" customFormat="false" ht="14.25" hidden="false" customHeight="true" outlineLevel="0" collapsed="false">
      <c r="A2173" s="51" t="n">
        <v>15276</v>
      </c>
      <c r="B2173" s="52" t="n">
        <v>40820.69375</v>
      </c>
      <c r="C2173" s="1" t="n">
        <v>1</v>
      </c>
      <c r="D2173" s="1" t="n">
        <v>135.31</v>
      </c>
    </row>
    <row r="2174" customFormat="false" ht="14.25" hidden="false" customHeight="true" outlineLevel="0" collapsed="false">
      <c r="A2174" s="51" t="n">
        <v>15277</v>
      </c>
      <c r="B2174" s="52" t="n">
        <v>40840.4222222222</v>
      </c>
      <c r="C2174" s="1" t="n">
        <v>1</v>
      </c>
      <c r="D2174" s="1" t="n">
        <v>255.9</v>
      </c>
    </row>
    <row r="2175" customFormat="false" ht="14.25" hidden="false" customHeight="true" outlineLevel="0" collapsed="false">
      <c r="A2175" s="51" t="n">
        <v>15279</v>
      </c>
      <c r="B2175" s="52" t="n">
        <v>40532.45</v>
      </c>
      <c r="C2175" s="1" t="n">
        <v>2</v>
      </c>
      <c r="D2175" s="1" t="n">
        <v>277.41</v>
      </c>
    </row>
    <row r="2176" customFormat="false" ht="14.25" hidden="false" customHeight="true" outlineLevel="0" collapsed="false">
      <c r="A2176" s="51" t="n">
        <v>15280</v>
      </c>
      <c r="B2176" s="52" t="n">
        <v>40714.7180555556</v>
      </c>
      <c r="C2176" s="1" t="n">
        <v>1</v>
      </c>
      <c r="D2176" s="1" t="n">
        <v>113.12</v>
      </c>
    </row>
    <row r="2177" customFormat="false" ht="14.25" hidden="false" customHeight="true" outlineLevel="0" collapsed="false">
      <c r="A2177" s="51" t="n">
        <v>15281</v>
      </c>
      <c r="B2177" s="52" t="n">
        <v>40828.3819444445</v>
      </c>
      <c r="C2177" s="1" t="n">
        <v>12</v>
      </c>
      <c r="D2177" s="1" t="n">
        <v>2239.95</v>
      </c>
    </row>
    <row r="2178" customFormat="false" ht="14.25" hidden="false" customHeight="true" outlineLevel="0" collapsed="false">
      <c r="A2178" s="51" t="n">
        <v>15286</v>
      </c>
      <c r="B2178" s="52" t="n">
        <v>40837.4638888889</v>
      </c>
      <c r="C2178" s="1" t="n">
        <v>1</v>
      </c>
      <c r="D2178" s="1" t="n">
        <v>240.55</v>
      </c>
    </row>
    <row r="2179" customFormat="false" ht="14.25" hidden="false" customHeight="true" outlineLevel="0" collapsed="false">
      <c r="A2179" s="51" t="n">
        <v>15287</v>
      </c>
      <c r="B2179" s="52" t="n">
        <v>40864.6486111111</v>
      </c>
      <c r="C2179" s="1" t="n">
        <v>3</v>
      </c>
      <c r="D2179" s="1" t="n">
        <v>485.24</v>
      </c>
    </row>
    <row r="2180" customFormat="false" ht="14.25" hidden="false" customHeight="true" outlineLevel="0" collapsed="false">
      <c r="A2180" s="51" t="n">
        <v>15288</v>
      </c>
      <c r="B2180" s="52" t="n">
        <v>40843.7069444444</v>
      </c>
      <c r="C2180" s="1" t="n">
        <v>5</v>
      </c>
      <c r="D2180" s="1" t="n">
        <v>2306.52</v>
      </c>
    </row>
    <row r="2181" customFormat="false" ht="14.25" hidden="false" customHeight="true" outlineLevel="0" collapsed="false">
      <c r="A2181" s="51" t="n">
        <v>15289</v>
      </c>
      <c r="B2181" s="52" t="n">
        <v>40857.5756944444</v>
      </c>
      <c r="C2181" s="1" t="n">
        <v>4</v>
      </c>
      <c r="D2181" s="1" t="n">
        <v>935.1</v>
      </c>
    </row>
    <row r="2182" customFormat="false" ht="14.25" hidden="false" customHeight="true" outlineLevel="0" collapsed="false">
      <c r="A2182" s="51" t="n">
        <v>15290</v>
      </c>
      <c r="B2182" s="52" t="n">
        <v>40882.4854166667</v>
      </c>
      <c r="C2182" s="1" t="n">
        <v>21</v>
      </c>
      <c r="D2182" s="1" t="n">
        <v>7803.77</v>
      </c>
    </row>
    <row r="2183" customFormat="false" ht="14.25" hidden="false" customHeight="true" outlineLevel="0" collapsed="false">
      <c r="A2183" s="51" t="n">
        <v>15291</v>
      </c>
      <c r="B2183" s="52" t="n">
        <v>40861.4597222222</v>
      </c>
      <c r="C2183" s="1" t="n">
        <v>20</v>
      </c>
      <c r="D2183" s="1" t="n">
        <v>4596.51</v>
      </c>
    </row>
    <row r="2184" customFormat="false" ht="14.25" hidden="false" customHeight="true" outlineLevel="0" collapsed="false">
      <c r="A2184" s="51" t="n">
        <v>15292</v>
      </c>
      <c r="B2184" s="52" t="n">
        <v>40685.625</v>
      </c>
      <c r="C2184" s="1" t="n">
        <v>1</v>
      </c>
      <c r="D2184" s="1" t="n">
        <v>180.94</v>
      </c>
    </row>
    <row r="2185" customFormat="false" ht="14.25" hidden="false" customHeight="true" outlineLevel="0" collapsed="false">
      <c r="A2185" s="51" t="n">
        <v>15296</v>
      </c>
      <c r="B2185" s="52" t="n">
        <v>40842.6895833333</v>
      </c>
      <c r="C2185" s="1" t="n">
        <v>10</v>
      </c>
      <c r="D2185" s="1" t="n">
        <v>3610.31</v>
      </c>
    </row>
    <row r="2186" customFormat="false" ht="14.25" hidden="false" customHeight="true" outlineLevel="0" collapsed="false">
      <c r="A2186" s="51" t="n">
        <v>15297</v>
      </c>
      <c r="B2186" s="52" t="n">
        <v>40876.6888888889</v>
      </c>
      <c r="C2186" s="1" t="n">
        <v>4</v>
      </c>
      <c r="D2186" s="1" t="n">
        <v>635.04</v>
      </c>
    </row>
    <row r="2187" customFormat="false" ht="14.25" hidden="false" customHeight="true" outlineLevel="0" collapsed="false">
      <c r="A2187" s="51" t="n">
        <v>15298</v>
      </c>
      <c r="B2187" s="52" t="n">
        <v>40884.7201388889</v>
      </c>
      <c r="C2187" s="1" t="n">
        <v>14</v>
      </c>
      <c r="D2187" s="1" t="n">
        <v>3774.1</v>
      </c>
    </row>
    <row r="2188" customFormat="false" ht="14.25" hidden="false" customHeight="true" outlineLevel="0" collapsed="false">
      <c r="A2188" s="51" t="n">
        <v>15299</v>
      </c>
      <c r="B2188" s="52" t="n">
        <v>40819.5965277778</v>
      </c>
      <c r="C2188" s="1" t="n">
        <v>11</v>
      </c>
      <c r="D2188" s="1" t="n">
        <v>3787.09</v>
      </c>
    </row>
    <row r="2189" customFormat="false" ht="14.25" hidden="false" customHeight="true" outlineLevel="0" collapsed="false">
      <c r="A2189" s="51" t="n">
        <v>15300</v>
      </c>
      <c r="B2189" s="52" t="n">
        <v>40822.7138888889</v>
      </c>
      <c r="C2189" s="1" t="n">
        <v>1</v>
      </c>
      <c r="D2189" s="1" t="n">
        <v>496.44</v>
      </c>
    </row>
    <row r="2190" customFormat="false" ht="14.25" hidden="false" customHeight="true" outlineLevel="0" collapsed="false">
      <c r="A2190" s="51" t="n">
        <v>15301</v>
      </c>
      <c r="B2190" s="52" t="n">
        <v>40836.4145833333</v>
      </c>
      <c r="C2190" s="1" t="n">
        <v>14</v>
      </c>
      <c r="D2190" s="1" t="n">
        <v>5028.12</v>
      </c>
    </row>
    <row r="2191" customFormat="false" ht="14.25" hidden="false" customHeight="true" outlineLevel="0" collapsed="false">
      <c r="A2191" s="51" t="n">
        <v>15303</v>
      </c>
      <c r="B2191" s="52" t="n">
        <v>40596.5826388889</v>
      </c>
      <c r="C2191" s="1" t="n">
        <v>1</v>
      </c>
      <c r="D2191" s="1" t="n">
        <v>574.02</v>
      </c>
    </row>
    <row r="2192" customFormat="false" ht="14.25" hidden="false" customHeight="true" outlineLevel="0" collapsed="false">
      <c r="A2192" s="51" t="n">
        <v>15304</v>
      </c>
      <c r="B2192" s="52" t="n">
        <v>40826.4326388889</v>
      </c>
      <c r="C2192" s="1" t="n">
        <v>10</v>
      </c>
      <c r="D2192" s="1" t="n">
        <v>680.3</v>
      </c>
    </row>
    <row r="2193" customFormat="false" ht="14.25" hidden="false" customHeight="true" outlineLevel="0" collapsed="false">
      <c r="A2193" s="51" t="n">
        <v>15306</v>
      </c>
      <c r="B2193" s="52" t="n">
        <v>40822.5388888889</v>
      </c>
      <c r="C2193" s="1" t="n">
        <v>3</v>
      </c>
      <c r="D2193" s="1" t="n">
        <v>1174.35</v>
      </c>
    </row>
    <row r="2194" customFormat="false" ht="14.25" hidden="false" customHeight="true" outlineLevel="0" collapsed="false">
      <c r="A2194" s="51" t="n">
        <v>15307</v>
      </c>
      <c r="B2194" s="52" t="n">
        <v>40791.4847222222</v>
      </c>
      <c r="C2194" s="1" t="n">
        <v>1</v>
      </c>
      <c r="D2194" s="1" t="n">
        <v>205.3</v>
      </c>
    </row>
    <row r="2195" customFormat="false" ht="14.25" hidden="false" customHeight="true" outlineLevel="0" collapsed="false">
      <c r="A2195" s="51" t="n">
        <v>15308</v>
      </c>
      <c r="B2195" s="52" t="n">
        <v>40616.5166666667</v>
      </c>
      <c r="C2195" s="1" t="n">
        <v>2</v>
      </c>
      <c r="D2195" s="1" t="n">
        <v>302.27</v>
      </c>
    </row>
    <row r="2196" customFormat="false" ht="14.25" hidden="false" customHeight="true" outlineLevel="0" collapsed="false">
      <c r="A2196" s="51" t="n">
        <v>15311</v>
      </c>
      <c r="B2196" s="52" t="n">
        <v>40886.5</v>
      </c>
      <c r="C2196" s="1" t="n">
        <v>118</v>
      </c>
      <c r="D2196" s="1" t="n">
        <v>59419.3400000001</v>
      </c>
    </row>
    <row r="2197" customFormat="false" ht="14.25" hidden="false" customHeight="true" outlineLevel="0" collapsed="false">
      <c r="A2197" s="51" t="n">
        <v>15312</v>
      </c>
      <c r="B2197" s="52" t="n">
        <v>40811.5486111111</v>
      </c>
      <c r="C2197" s="1" t="n">
        <v>5</v>
      </c>
      <c r="D2197" s="1" t="n">
        <v>921.1</v>
      </c>
    </row>
    <row r="2198" customFormat="false" ht="14.25" hidden="false" customHeight="true" outlineLevel="0" collapsed="false">
      <c r="A2198" s="51" t="n">
        <v>15313</v>
      </c>
      <c r="B2198" s="52" t="n">
        <v>40776.6680555556</v>
      </c>
      <c r="C2198" s="1" t="n">
        <v>1</v>
      </c>
      <c r="D2198" s="1" t="n">
        <v>52</v>
      </c>
    </row>
    <row r="2199" customFormat="false" ht="14.25" hidden="false" customHeight="true" outlineLevel="0" collapsed="false">
      <c r="A2199" s="51" t="n">
        <v>15314</v>
      </c>
      <c r="B2199" s="52" t="n">
        <v>40687.6104166667</v>
      </c>
      <c r="C2199" s="1" t="n">
        <v>1</v>
      </c>
      <c r="D2199" s="1" t="n">
        <v>327.97</v>
      </c>
    </row>
    <row r="2200" customFormat="false" ht="14.25" hidden="false" customHeight="true" outlineLevel="0" collapsed="false">
      <c r="A2200" s="51" t="n">
        <v>15315</v>
      </c>
      <c r="B2200" s="52" t="n">
        <v>40822.5354166667</v>
      </c>
      <c r="C2200" s="1" t="n">
        <v>3</v>
      </c>
      <c r="D2200" s="1" t="n">
        <v>551.54</v>
      </c>
    </row>
    <row r="2201" customFormat="false" ht="14.25" hidden="false" customHeight="true" outlineLevel="0" collapsed="false">
      <c r="A2201" s="51" t="n">
        <v>15316</v>
      </c>
      <c r="B2201" s="52" t="n">
        <v>40560.4819444444</v>
      </c>
      <c r="C2201" s="1" t="n">
        <v>1</v>
      </c>
      <c r="D2201" s="1" t="n">
        <v>165</v>
      </c>
    </row>
    <row r="2202" customFormat="false" ht="14.25" hidden="false" customHeight="true" outlineLevel="0" collapsed="false">
      <c r="A2202" s="51" t="n">
        <v>15318</v>
      </c>
      <c r="B2202" s="52" t="n">
        <v>40883.4791666667</v>
      </c>
      <c r="C2202" s="1" t="n">
        <v>1</v>
      </c>
      <c r="D2202" s="1" t="n">
        <v>312.62</v>
      </c>
    </row>
    <row r="2203" customFormat="false" ht="14.25" hidden="false" customHeight="true" outlineLevel="0" collapsed="false">
      <c r="A2203" s="51" t="n">
        <v>15319</v>
      </c>
      <c r="B2203" s="52" t="n">
        <v>40603.5333333333</v>
      </c>
      <c r="C2203" s="1" t="n">
        <v>1</v>
      </c>
      <c r="D2203" s="1" t="n">
        <v>204.5</v>
      </c>
    </row>
    <row r="2204" customFormat="false" ht="14.25" hidden="false" customHeight="true" outlineLevel="0" collapsed="false">
      <c r="A2204" s="51" t="n">
        <v>15320</v>
      </c>
      <c r="B2204" s="52" t="n">
        <v>40842.5604166667</v>
      </c>
      <c r="C2204" s="1" t="n">
        <v>1</v>
      </c>
      <c r="D2204" s="1" t="n">
        <v>267.13</v>
      </c>
    </row>
    <row r="2205" customFormat="false" ht="14.25" hidden="false" customHeight="true" outlineLevel="0" collapsed="false">
      <c r="A2205" s="51" t="n">
        <v>15321</v>
      </c>
      <c r="B2205" s="52" t="n">
        <v>40837.5819444444</v>
      </c>
      <c r="C2205" s="1" t="n">
        <v>4</v>
      </c>
      <c r="D2205" s="1" t="n">
        <v>2650.73</v>
      </c>
    </row>
    <row r="2206" customFormat="false" ht="14.25" hidden="false" customHeight="true" outlineLevel="0" collapsed="false">
      <c r="A2206" s="51" t="n">
        <v>15322</v>
      </c>
      <c r="B2206" s="52" t="n">
        <v>40822.8597222222</v>
      </c>
      <c r="C2206" s="1" t="n">
        <v>2</v>
      </c>
      <c r="D2206" s="1" t="n">
        <v>602.97</v>
      </c>
    </row>
    <row r="2207" customFormat="false" ht="14.25" hidden="false" customHeight="true" outlineLevel="0" collapsed="false">
      <c r="A2207" s="51" t="n">
        <v>15325</v>
      </c>
      <c r="B2207" s="52" t="n">
        <v>40783.4965277778</v>
      </c>
      <c r="C2207" s="1" t="n">
        <v>1</v>
      </c>
      <c r="D2207" s="1" t="n">
        <v>162.29</v>
      </c>
    </row>
    <row r="2208" customFormat="false" ht="14.25" hidden="false" customHeight="true" outlineLevel="0" collapsed="false">
      <c r="A2208" s="51" t="n">
        <v>15326</v>
      </c>
      <c r="B2208" s="52" t="n">
        <v>40553.4847222222</v>
      </c>
      <c r="C2208" s="1" t="n">
        <v>1</v>
      </c>
      <c r="D2208" s="1" t="n">
        <v>311.71</v>
      </c>
    </row>
    <row r="2209" customFormat="false" ht="14.25" hidden="false" customHeight="true" outlineLevel="0" collapsed="false">
      <c r="A2209" s="51" t="n">
        <v>15327</v>
      </c>
      <c r="B2209" s="52" t="n">
        <v>40834.4965277778</v>
      </c>
      <c r="C2209" s="1" t="n">
        <v>1</v>
      </c>
      <c r="D2209" s="1" t="n">
        <v>208.75</v>
      </c>
    </row>
    <row r="2210" customFormat="false" ht="14.25" hidden="false" customHeight="true" outlineLevel="0" collapsed="false">
      <c r="A2210" s="51" t="n">
        <v>15329</v>
      </c>
      <c r="B2210" s="52" t="n">
        <v>40851.5388888889</v>
      </c>
      <c r="C2210" s="1" t="n">
        <v>5</v>
      </c>
      <c r="D2210" s="1" t="n">
        <v>1005.5</v>
      </c>
    </row>
    <row r="2211" customFormat="false" ht="14.25" hidden="false" customHeight="true" outlineLevel="0" collapsed="false">
      <c r="A2211" s="51" t="n">
        <v>15330</v>
      </c>
      <c r="B2211" s="52" t="n">
        <v>40854.7430555556</v>
      </c>
      <c r="C2211" s="1" t="n">
        <v>2</v>
      </c>
      <c r="D2211" s="1" t="n">
        <v>714.96</v>
      </c>
    </row>
    <row r="2212" customFormat="false" ht="14.25" hidden="false" customHeight="true" outlineLevel="0" collapsed="false">
      <c r="A2212" s="51" t="n">
        <v>15332</v>
      </c>
      <c r="B2212" s="52" t="n">
        <v>40520.6131944444</v>
      </c>
      <c r="C2212" s="1" t="n">
        <v>4</v>
      </c>
      <c r="D2212" s="1" t="n">
        <v>1661.06</v>
      </c>
    </row>
    <row r="2213" customFormat="false" ht="14.25" hidden="false" customHeight="true" outlineLevel="0" collapsed="false">
      <c r="A2213" s="51" t="n">
        <v>15333</v>
      </c>
      <c r="B2213" s="52" t="n">
        <v>40678.5604166667</v>
      </c>
      <c r="C2213" s="1" t="n">
        <v>1</v>
      </c>
      <c r="D2213" s="1" t="n">
        <v>1028.56</v>
      </c>
    </row>
    <row r="2214" customFormat="false" ht="14.25" hidden="false" customHeight="true" outlineLevel="0" collapsed="false">
      <c r="A2214" s="51" t="n">
        <v>15334</v>
      </c>
      <c r="B2214" s="52" t="n">
        <v>40730.4736111111</v>
      </c>
      <c r="C2214" s="1" t="n">
        <v>3</v>
      </c>
      <c r="D2214" s="1" t="n">
        <v>351.67</v>
      </c>
    </row>
    <row r="2215" customFormat="false" ht="14.25" hidden="false" customHeight="true" outlineLevel="0" collapsed="false">
      <c r="A2215" s="51" t="n">
        <v>15335</v>
      </c>
      <c r="B2215" s="52" t="n">
        <v>40833.5347222222</v>
      </c>
      <c r="C2215" s="1" t="n">
        <v>1</v>
      </c>
      <c r="D2215" s="1" t="n">
        <v>173.97</v>
      </c>
    </row>
    <row r="2216" customFormat="false" ht="14.25" hidden="false" customHeight="true" outlineLevel="0" collapsed="false">
      <c r="A2216" s="51" t="n">
        <v>15339</v>
      </c>
      <c r="B2216" s="52" t="n">
        <v>40820.5354166667</v>
      </c>
      <c r="C2216" s="1" t="n">
        <v>3</v>
      </c>
      <c r="D2216" s="1" t="n">
        <v>557.57</v>
      </c>
    </row>
    <row r="2217" customFormat="false" ht="14.25" hidden="false" customHeight="true" outlineLevel="0" collapsed="false">
      <c r="A2217" s="51" t="n">
        <v>15341</v>
      </c>
      <c r="B2217" s="52" t="n">
        <v>40806.4027777778</v>
      </c>
      <c r="C2217" s="1" t="n">
        <v>1</v>
      </c>
      <c r="D2217" s="1" t="n">
        <v>2020.52</v>
      </c>
    </row>
    <row r="2218" customFormat="false" ht="14.25" hidden="false" customHeight="true" outlineLevel="0" collapsed="false">
      <c r="A2218" s="51" t="n">
        <v>15342</v>
      </c>
      <c r="B2218" s="52" t="n">
        <v>40770.6805555556</v>
      </c>
      <c r="C2218" s="1" t="n">
        <v>2</v>
      </c>
      <c r="D2218" s="1" t="n">
        <v>391.76</v>
      </c>
    </row>
    <row r="2219" customFormat="false" ht="14.25" hidden="false" customHeight="true" outlineLevel="0" collapsed="false">
      <c r="A2219" s="51" t="n">
        <v>15343</v>
      </c>
      <c r="B2219" s="52" t="n">
        <v>40799.5798611111</v>
      </c>
      <c r="C2219" s="1" t="n">
        <v>1</v>
      </c>
      <c r="D2219" s="1" t="n">
        <v>364.5</v>
      </c>
    </row>
    <row r="2220" customFormat="false" ht="14.25" hidden="false" customHeight="true" outlineLevel="0" collapsed="false">
      <c r="A2220" s="51" t="n">
        <v>15344</v>
      </c>
      <c r="B2220" s="52" t="n">
        <v>40886.4479166667</v>
      </c>
      <c r="C2220" s="1" t="n">
        <v>5</v>
      </c>
      <c r="D2220" s="1" t="n">
        <v>476.58</v>
      </c>
    </row>
    <row r="2221" customFormat="false" ht="14.25" hidden="false" customHeight="true" outlineLevel="0" collapsed="false">
      <c r="A2221" s="51" t="n">
        <v>15345</v>
      </c>
      <c r="B2221" s="52" t="n">
        <v>40851.5583333333</v>
      </c>
      <c r="C2221" s="1" t="n">
        <v>2</v>
      </c>
      <c r="D2221" s="1" t="n">
        <v>367.69</v>
      </c>
    </row>
    <row r="2222" customFormat="false" ht="14.25" hidden="false" customHeight="true" outlineLevel="0" collapsed="false">
      <c r="A2222" s="51" t="n">
        <v>15346</v>
      </c>
      <c r="B2222" s="52" t="n">
        <v>40554.4708333333</v>
      </c>
      <c r="C2222" s="1" t="n">
        <v>1</v>
      </c>
      <c r="D2222" s="1" t="n">
        <v>252.42</v>
      </c>
    </row>
    <row r="2223" customFormat="false" ht="14.25" hidden="false" customHeight="true" outlineLevel="0" collapsed="false">
      <c r="A2223" s="51" t="n">
        <v>15347</v>
      </c>
      <c r="B2223" s="52" t="n">
        <v>40520.6423611111</v>
      </c>
      <c r="C2223" s="1" t="n">
        <v>1</v>
      </c>
      <c r="D2223" s="1" t="n">
        <v>201.6</v>
      </c>
    </row>
    <row r="2224" customFormat="false" ht="14.25" hidden="false" customHeight="true" outlineLevel="0" collapsed="false">
      <c r="A2224" s="51" t="n">
        <v>15348</v>
      </c>
      <c r="B2224" s="52" t="n">
        <v>40814.5534722222</v>
      </c>
      <c r="C2224" s="1" t="n">
        <v>1</v>
      </c>
      <c r="D2224" s="1" t="n">
        <v>158.04</v>
      </c>
    </row>
    <row r="2225" customFormat="false" ht="14.25" hidden="false" customHeight="true" outlineLevel="0" collapsed="false">
      <c r="A2225" s="51" t="n">
        <v>15349</v>
      </c>
      <c r="B2225" s="52" t="n">
        <v>40728.6708333333</v>
      </c>
      <c r="C2225" s="1" t="n">
        <v>2</v>
      </c>
      <c r="D2225" s="1" t="n">
        <v>473.81</v>
      </c>
    </row>
    <row r="2226" customFormat="false" ht="14.25" hidden="false" customHeight="true" outlineLevel="0" collapsed="false">
      <c r="A2226" s="51" t="n">
        <v>15350</v>
      </c>
      <c r="B2226" s="52" t="n">
        <v>40513.5645833333</v>
      </c>
      <c r="C2226" s="1" t="n">
        <v>1</v>
      </c>
      <c r="D2226" s="1" t="n">
        <v>115.65</v>
      </c>
    </row>
    <row r="2227" customFormat="false" ht="14.25" hidden="false" customHeight="true" outlineLevel="0" collapsed="false">
      <c r="A2227" s="51" t="n">
        <v>15351</v>
      </c>
      <c r="B2227" s="52" t="n">
        <v>40874.5361111111</v>
      </c>
      <c r="C2227" s="1" t="n">
        <v>10</v>
      </c>
      <c r="D2227" s="1" t="n">
        <v>1862.14</v>
      </c>
    </row>
    <row r="2228" customFormat="false" ht="14.25" hidden="false" customHeight="true" outlineLevel="0" collapsed="false">
      <c r="A2228" s="51" t="n">
        <v>15353</v>
      </c>
      <c r="B2228" s="52" t="n">
        <v>40632.5104166667</v>
      </c>
      <c r="C2228" s="1" t="n">
        <v>2</v>
      </c>
      <c r="D2228" s="1" t="n">
        <v>777.02</v>
      </c>
    </row>
    <row r="2229" customFormat="false" ht="14.25" hidden="false" customHeight="true" outlineLevel="0" collapsed="false">
      <c r="A2229" s="51" t="n">
        <v>15355</v>
      </c>
      <c r="B2229" s="52" t="n">
        <v>40857.5722222222</v>
      </c>
      <c r="C2229" s="1" t="n">
        <v>2</v>
      </c>
      <c r="D2229" s="1" t="n">
        <v>277.05</v>
      </c>
    </row>
    <row r="2230" customFormat="false" ht="14.25" hidden="false" customHeight="true" outlineLevel="0" collapsed="false">
      <c r="A2230" s="51" t="n">
        <v>15356</v>
      </c>
      <c r="B2230" s="52" t="n">
        <v>40855.5493055556</v>
      </c>
      <c r="C2230" s="1" t="n">
        <v>10</v>
      </c>
      <c r="D2230" s="1" t="n">
        <v>2766.5</v>
      </c>
    </row>
    <row r="2231" customFormat="false" ht="14.25" hidden="false" customHeight="true" outlineLevel="0" collapsed="false">
      <c r="A2231" s="51" t="n">
        <v>15358</v>
      </c>
      <c r="B2231" s="52" t="n">
        <v>40882.3777777778</v>
      </c>
      <c r="C2231" s="1" t="n">
        <v>29</v>
      </c>
      <c r="D2231" s="1" t="n">
        <v>8234.79999999999</v>
      </c>
    </row>
    <row r="2232" customFormat="false" ht="14.25" hidden="false" customHeight="true" outlineLevel="0" collapsed="false">
      <c r="A2232" s="51" t="n">
        <v>15360</v>
      </c>
      <c r="B2232" s="52" t="n">
        <v>40847.3993055556</v>
      </c>
      <c r="C2232" s="1" t="n">
        <v>1</v>
      </c>
      <c r="D2232" s="1" t="n">
        <v>427.93</v>
      </c>
    </row>
    <row r="2233" customFormat="false" ht="14.25" hidden="false" customHeight="true" outlineLevel="0" collapsed="false">
      <c r="A2233" s="51" t="n">
        <v>15361</v>
      </c>
      <c r="B2233" s="52" t="n">
        <v>40525.4111111111</v>
      </c>
      <c r="C2233" s="1" t="n">
        <v>1</v>
      </c>
      <c r="D2233" s="1" t="n">
        <v>418.92</v>
      </c>
    </row>
    <row r="2234" customFormat="false" ht="14.25" hidden="false" customHeight="true" outlineLevel="0" collapsed="false">
      <c r="A2234" s="51" t="n">
        <v>15363</v>
      </c>
      <c r="B2234" s="52" t="n">
        <v>40645.6583333333</v>
      </c>
      <c r="C2234" s="1" t="n">
        <v>2</v>
      </c>
      <c r="D2234" s="1" t="n">
        <v>318.05</v>
      </c>
    </row>
    <row r="2235" customFormat="false" ht="14.25" hidden="false" customHeight="true" outlineLevel="0" collapsed="false">
      <c r="A2235" s="51" t="n">
        <v>15364</v>
      </c>
      <c r="B2235" s="52" t="n">
        <v>40791.4069444445</v>
      </c>
      <c r="C2235" s="1" t="n">
        <v>2</v>
      </c>
      <c r="D2235" s="1" t="n">
        <v>913.19</v>
      </c>
    </row>
    <row r="2236" customFormat="false" ht="14.25" hidden="false" customHeight="true" outlineLevel="0" collapsed="false">
      <c r="A2236" s="51" t="n">
        <v>15365</v>
      </c>
      <c r="B2236" s="52" t="n">
        <v>40861.3534722222</v>
      </c>
      <c r="C2236" s="1" t="n">
        <v>9</v>
      </c>
      <c r="D2236" s="1" t="n">
        <v>1330.45</v>
      </c>
    </row>
    <row r="2237" customFormat="false" ht="14.25" hidden="false" customHeight="true" outlineLevel="0" collapsed="false">
      <c r="A2237" s="51" t="n">
        <v>15366</v>
      </c>
      <c r="B2237" s="52" t="n">
        <v>40811.6256944445</v>
      </c>
      <c r="C2237" s="1" t="n">
        <v>2</v>
      </c>
      <c r="D2237" s="1" t="n">
        <v>602.51</v>
      </c>
    </row>
    <row r="2238" customFormat="false" ht="14.25" hidden="false" customHeight="true" outlineLevel="0" collapsed="false">
      <c r="A2238" s="51" t="n">
        <v>15367</v>
      </c>
      <c r="B2238" s="52" t="n">
        <v>40829.5923611111</v>
      </c>
      <c r="C2238" s="1" t="n">
        <v>5</v>
      </c>
      <c r="D2238" s="1" t="n">
        <v>1867.69</v>
      </c>
    </row>
    <row r="2239" customFormat="false" ht="14.25" hidden="false" customHeight="true" outlineLevel="0" collapsed="false">
      <c r="A2239" s="51" t="n">
        <v>15368</v>
      </c>
      <c r="B2239" s="52" t="n">
        <v>40865.6125</v>
      </c>
      <c r="C2239" s="1" t="n">
        <v>1</v>
      </c>
      <c r="D2239" s="1" t="n">
        <v>446.94</v>
      </c>
    </row>
    <row r="2240" customFormat="false" ht="14.25" hidden="false" customHeight="true" outlineLevel="0" collapsed="false">
      <c r="A2240" s="51" t="n">
        <v>15369</v>
      </c>
      <c r="B2240" s="52" t="n">
        <v>40742.6326388889</v>
      </c>
      <c r="C2240" s="1" t="n">
        <v>1</v>
      </c>
      <c r="D2240" s="1" t="n">
        <v>-1592.49</v>
      </c>
    </row>
    <row r="2241" customFormat="false" ht="14.25" hidden="false" customHeight="true" outlineLevel="0" collapsed="false">
      <c r="A2241" s="51" t="n">
        <v>15370</v>
      </c>
      <c r="B2241" s="52" t="n">
        <v>40846.4569444444</v>
      </c>
      <c r="C2241" s="1" t="n">
        <v>8</v>
      </c>
      <c r="D2241" s="1" t="n">
        <v>2360.55</v>
      </c>
    </row>
    <row r="2242" customFormat="false" ht="14.25" hidden="false" customHeight="true" outlineLevel="0" collapsed="false">
      <c r="A2242" s="51" t="n">
        <v>15372</v>
      </c>
      <c r="B2242" s="52" t="n">
        <v>40749.69375</v>
      </c>
      <c r="C2242" s="1" t="n">
        <v>1</v>
      </c>
      <c r="D2242" s="1" t="n">
        <v>2007.4</v>
      </c>
    </row>
    <row r="2243" customFormat="false" ht="14.25" hidden="false" customHeight="true" outlineLevel="0" collapsed="false">
      <c r="A2243" s="51" t="n">
        <v>15373</v>
      </c>
      <c r="B2243" s="52" t="n">
        <v>40878.6284722222</v>
      </c>
      <c r="C2243" s="1" t="n">
        <v>13</v>
      </c>
      <c r="D2243" s="1" t="n">
        <v>2213.11</v>
      </c>
    </row>
    <row r="2244" customFormat="false" ht="14.25" hidden="false" customHeight="true" outlineLevel="0" collapsed="false">
      <c r="A2244" s="51" t="n">
        <v>15374</v>
      </c>
      <c r="B2244" s="52" t="n">
        <v>40758.4159722222</v>
      </c>
      <c r="C2244" s="1" t="n">
        <v>1</v>
      </c>
      <c r="D2244" s="1" t="n">
        <v>168</v>
      </c>
    </row>
    <row r="2245" customFormat="false" ht="14.25" hidden="false" customHeight="true" outlineLevel="0" collapsed="false">
      <c r="A2245" s="51" t="n">
        <v>15376</v>
      </c>
      <c r="B2245" s="52" t="n">
        <v>40846.6277777778</v>
      </c>
      <c r="C2245" s="1" t="n">
        <v>3</v>
      </c>
      <c r="D2245" s="1" t="n">
        <v>1233.36</v>
      </c>
    </row>
    <row r="2246" customFormat="false" ht="14.25" hidden="false" customHeight="true" outlineLevel="0" collapsed="false">
      <c r="A2246" s="51" t="n">
        <v>15379</v>
      </c>
      <c r="B2246" s="52" t="n">
        <v>40717.5506944444</v>
      </c>
      <c r="C2246" s="1" t="n">
        <v>8</v>
      </c>
      <c r="D2246" s="1" t="n">
        <v>3631.89</v>
      </c>
    </row>
    <row r="2247" customFormat="false" ht="14.25" hidden="false" customHeight="true" outlineLevel="0" collapsed="false">
      <c r="A2247" s="51" t="n">
        <v>15380</v>
      </c>
      <c r="B2247" s="52" t="n">
        <v>40878.5090277778</v>
      </c>
      <c r="C2247" s="1" t="n">
        <v>6</v>
      </c>
      <c r="D2247" s="1" t="n">
        <v>1682.36</v>
      </c>
    </row>
    <row r="2248" customFormat="false" ht="14.25" hidden="false" customHeight="true" outlineLevel="0" collapsed="false">
      <c r="A2248" s="51" t="n">
        <v>15381</v>
      </c>
      <c r="B2248" s="52" t="n">
        <v>40673.4965277778</v>
      </c>
      <c r="C2248" s="1" t="n">
        <v>2</v>
      </c>
      <c r="D2248" s="1" t="n">
        <v>596.85</v>
      </c>
    </row>
    <row r="2249" customFormat="false" ht="14.25" hidden="false" customHeight="true" outlineLevel="0" collapsed="false">
      <c r="A2249" s="51" t="n">
        <v>15382</v>
      </c>
      <c r="B2249" s="52" t="n">
        <v>40872.4569444444</v>
      </c>
      <c r="C2249" s="1" t="n">
        <v>8</v>
      </c>
      <c r="D2249" s="1" t="n">
        <v>5927.86</v>
      </c>
    </row>
    <row r="2250" customFormat="false" ht="14.25" hidden="false" customHeight="true" outlineLevel="0" collapsed="false">
      <c r="A2250" s="51" t="n">
        <v>15384</v>
      </c>
      <c r="B2250" s="52" t="n">
        <v>40717.45625</v>
      </c>
      <c r="C2250" s="1" t="n">
        <v>3</v>
      </c>
      <c r="D2250" s="1" t="n">
        <v>635.76</v>
      </c>
    </row>
    <row r="2251" customFormat="false" ht="14.25" hidden="false" customHeight="true" outlineLevel="0" collapsed="false">
      <c r="A2251" s="51" t="n">
        <v>15385</v>
      </c>
      <c r="B2251" s="52" t="n">
        <v>40846.6326388889</v>
      </c>
      <c r="C2251" s="1" t="n">
        <v>1</v>
      </c>
      <c r="D2251" s="1" t="n">
        <v>316.88</v>
      </c>
    </row>
    <row r="2252" customFormat="false" ht="14.25" hidden="false" customHeight="true" outlineLevel="0" collapsed="false">
      <c r="A2252" s="51" t="n">
        <v>15386</v>
      </c>
      <c r="B2252" s="52" t="n">
        <v>40700.5743055556</v>
      </c>
      <c r="C2252" s="1" t="n">
        <v>1</v>
      </c>
      <c r="D2252" s="1" t="n">
        <v>394.14</v>
      </c>
    </row>
    <row r="2253" customFormat="false" ht="14.25" hidden="false" customHeight="true" outlineLevel="0" collapsed="false">
      <c r="A2253" s="51" t="n">
        <v>15388</v>
      </c>
      <c r="B2253" s="52" t="n">
        <v>40616.5784722222</v>
      </c>
      <c r="C2253" s="1" t="n">
        <v>1</v>
      </c>
      <c r="D2253" s="1" t="n">
        <v>140.54</v>
      </c>
    </row>
    <row r="2254" customFormat="false" ht="14.25" hidden="false" customHeight="true" outlineLevel="0" collapsed="false">
      <c r="A2254" s="51" t="n">
        <v>15389</v>
      </c>
      <c r="B2254" s="52" t="n">
        <v>40714.6791666667</v>
      </c>
      <c r="C2254" s="1" t="n">
        <v>1</v>
      </c>
      <c r="D2254" s="1" t="n">
        <v>500</v>
      </c>
    </row>
    <row r="2255" customFormat="false" ht="14.25" hidden="false" customHeight="true" outlineLevel="0" collapsed="false">
      <c r="A2255" s="51" t="n">
        <v>15392</v>
      </c>
      <c r="B2255" s="52" t="n">
        <v>40882.4590277778</v>
      </c>
      <c r="C2255" s="1" t="n">
        <v>5</v>
      </c>
      <c r="D2255" s="1" t="n">
        <v>1515.73</v>
      </c>
    </row>
    <row r="2256" customFormat="false" ht="14.25" hidden="false" customHeight="true" outlineLevel="0" collapsed="false">
      <c r="A2256" s="51" t="n">
        <v>15393</v>
      </c>
      <c r="B2256" s="52" t="n">
        <v>40870.7</v>
      </c>
      <c r="C2256" s="1" t="n">
        <v>2</v>
      </c>
      <c r="D2256" s="1" t="n">
        <v>231.86</v>
      </c>
    </row>
    <row r="2257" customFormat="false" ht="14.25" hidden="false" customHeight="true" outlineLevel="0" collapsed="false">
      <c r="A2257" s="51" t="n">
        <v>15394</v>
      </c>
      <c r="B2257" s="52" t="n">
        <v>40877.4923611111</v>
      </c>
      <c r="C2257" s="1" t="n">
        <v>4</v>
      </c>
      <c r="D2257" s="1" t="n">
        <v>2183.54</v>
      </c>
    </row>
    <row r="2258" customFormat="false" ht="14.25" hidden="false" customHeight="true" outlineLevel="0" collapsed="false">
      <c r="A2258" s="51" t="n">
        <v>15395</v>
      </c>
      <c r="B2258" s="52" t="n">
        <v>40561.5277777778</v>
      </c>
      <c r="C2258" s="1" t="n">
        <v>1</v>
      </c>
      <c r="D2258" s="1" t="n">
        <v>107.45</v>
      </c>
    </row>
    <row r="2259" customFormat="false" ht="14.25" hidden="false" customHeight="true" outlineLevel="0" collapsed="false">
      <c r="A2259" s="51" t="n">
        <v>15396</v>
      </c>
      <c r="B2259" s="52" t="n">
        <v>40774.4555555556</v>
      </c>
      <c r="C2259" s="1" t="n">
        <v>1</v>
      </c>
      <c r="D2259" s="1" t="n">
        <v>288.18</v>
      </c>
    </row>
    <row r="2260" customFormat="false" ht="14.25" hidden="false" customHeight="true" outlineLevel="0" collapsed="false">
      <c r="A2260" s="51" t="n">
        <v>15397</v>
      </c>
      <c r="B2260" s="52" t="n">
        <v>40597.3923611111</v>
      </c>
      <c r="C2260" s="1" t="n">
        <v>1</v>
      </c>
      <c r="D2260" s="1" t="n">
        <v>94</v>
      </c>
    </row>
    <row r="2261" customFormat="false" ht="14.25" hidden="false" customHeight="true" outlineLevel="0" collapsed="false">
      <c r="A2261" s="51" t="n">
        <v>15398</v>
      </c>
      <c r="B2261" s="52" t="n">
        <v>40870.6993055556</v>
      </c>
      <c r="C2261" s="1" t="n">
        <v>3</v>
      </c>
      <c r="D2261" s="1" t="n">
        <v>1339.63</v>
      </c>
    </row>
    <row r="2262" customFormat="false" ht="14.25" hidden="false" customHeight="true" outlineLevel="0" collapsed="false">
      <c r="A2262" s="51" t="n">
        <v>15399</v>
      </c>
      <c r="B2262" s="52" t="n">
        <v>40885.5444444444</v>
      </c>
      <c r="C2262" s="1" t="n">
        <v>3</v>
      </c>
      <c r="D2262" s="1" t="n">
        <v>815.77</v>
      </c>
    </row>
    <row r="2263" customFormat="false" ht="14.25" hidden="false" customHeight="true" outlineLevel="0" collapsed="false">
      <c r="A2263" s="51" t="n">
        <v>15400</v>
      </c>
      <c r="B2263" s="52" t="n">
        <v>40794.58125</v>
      </c>
      <c r="C2263" s="1" t="n">
        <v>6</v>
      </c>
      <c r="D2263" s="1" t="n">
        <v>666.7</v>
      </c>
    </row>
    <row r="2264" customFormat="false" ht="14.25" hidden="false" customHeight="true" outlineLevel="0" collapsed="false">
      <c r="A2264" s="51" t="n">
        <v>15402</v>
      </c>
      <c r="B2264" s="52" t="n">
        <v>40738.5118055556</v>
      </c>
      <c r="C2264" s="1" t="n">
        <v>2</v>
      </c>
      <c r="D2264" s="1" t="n">
        <v>626.77</v>
      </c>
    </row>
    <row r="2265" customFormat="false" ht="14.25" hidden="false" customHeight="true" outlineLevel="0" collapsed="false">
      <c r="A2265" s="51" t="n">
        <v>15405</v>
      </c>
      <c r="B2265" s="52" t="n">
        <v>40697.6138888889</v>
      </c>
      <c r="C2265" s="1" t="n">
        <v>1</v>
      </c>
      <c r="D2265" s="1" t="n">
        <v>349.1</v>
      </c>
    </row>
    <row r="2266" customFormat="false" ht="14.25" hidden="false" customHeight="true" outlineLevel="0" collapsed="false">
      <c r="A2266" s="51" t="n">
        <v>15406</v>
      </c>
      <c r="B2266" s="52" t="n">
        <v>40868.6763888889</v>
      </c>
      <c r="C2266" s="1" t="n">
        <v>4</v>
      </c>
      <c r="D2266" s="1" t="n">
        <v>426.61</v>
      </c>
    </row>
    <row r="2267" customFormat="false" ht="14.25" hidden="false" customHeight="true" outlineLevel="0" collapsed="false">
      <c r="A2267" s="51" t="n">
        <v>15407</v>
      </c>
      <c r="B2267" s="52" t="n">
        <v>40853.4965277778</v>
      </c>
      <c r="C2267" s="1" t="n">
        <v>4</v>
      </c>
      <c r="D2267" s="1" t="n">
        <v>1056.44</v>
      </c>
    </row>
    <row r="2268" customFormat="false" ht="14.25" hidden="false" customHeight="true" outlineLevel="0" collapsed="false">
      <c r="A2268" s="51" t="n">
        <v>15408</v>
      </c>
      <c r="B2268" s="52" t="n">
        <v>40622.6263888889</v>
      </c>
      <c r="C2268" s="1" t="n">
        <v>1</v>
      </c>
      <c r="D2268" s="1" t="n">
        <v>267.18</v>
      </c>
    </row>
    <row r="2269" customFormat="false" ht="14.25" hidden="false" customHeight="true" outlineLevel="0" collapsed="false">
      <c r="A2269" s="51" t="n">
        <v>15410</v>
      </c>
      <c r="B2269" s="52" t="n">
        <v>40802.6159722222</v>
      </c>
      <c r="C2269" s="1" t="n">
        <v>8</v>
      </c>
      <c r="D2269" s="1" t="n">
        <v>3450.84</v>
      </c>
    </row>
    <row r="2270" customFormat="false" ht="14.25" hidden="false" customHeight="true" outlineLevel="0" collapsed="false">
      <c r="A2270" s="51" t="n">
        <v>15411</v>
      </c>
      <c r="B2270" s="52" t="n">
        <v>40860.6381944444</v>
      </c>
      <c r="C2270" s="1" t="n">
        <v>5</v>
      </c>
      <c r="D2270" s="1" t="n">
        <v>1346.38</v>
      </c>
    </row>
    <row r="2271" customFormat="false" ht="14.25" hidden="false" customHeight="true" outlineLevel="0" collapsed="false">
      <c r="A2271" s="51" t="n">
        <v>15412</v>
      </c>
      <c r="B2271" s="52" t="n">
        <v>40715.6416666667</v>
      </c>
      <c r="C2271" s="1" t="n">
        <v>1</v>
      </c>
      <c r="D2271" s="1" t="n">
        <v>190.53</v>
      </c>
    </row>
    <row r="2272" customFormat="false" ht="14.25" hidden="false" customHeight="true" outlineLevel="0" collapsed="false">
      <c r="A2272" s="51" t="n">
        <v>15414</v>
      </c>
      <c r="B2272" s="52" t="n">
        <v>40877.4097222222</v>
      </c>
      <c r="C2272" s="1" t="n">
        <v>3</v>
      </c>
      <c r="D2272" s="1" t="n">
        <v>774.9</v>
      </c>
    </row>
    <row r="2273" customFormat="false" ht="14.25" hidden="false" customHeight="true" outlineLevel="0" collapsed="false">
      <c r="A2273" s="51" t="n">
        <v>15415</v>
      </c>
      <c r="B2273" s="52" t="n">
        <v>40573.5923611111</v>
      </c>
      <c r="C2273" s="1" t="n">
        <v>1</v>
      </c>
      <c r="D2273" s="1" t="n">
        <v>572.81</v>
      </c>
    </row>
    <row r="2274" customFormat="false" ht="14.25" hidden="false" customHeight="true" outlineLevel="0" collapsed="false">
      <c r="A2274" s="51" t="n">
        <v>15416</v>
      </c>
      <c r="B2274" s="52" t="n">
        <v>40822.4013888889</v>
      </c>
      <c r="C2274" s="1" t="n">
        <v>5</v>
      </c>
      <c r="D2274" s="1" t="n">
        <v>3974.37</v>
      </c>
    </row>
    <row r="2275" customFormat="false" ht="14.25" hidden="false" customHeight="true" outlineLevel="0" collapsed="false">
      <c r="A2275" s="51" t="n">
        <v>15417</v>
      </c>
      <c r="B2275" s="52" t="n">
        <v>40801.6430555556</v>
      </c>
      <c r="C2275" s="1" t="n">
        <v>1</v>
      </c>
      <c r="D2275" s="1" t="n">
        <v>508.8</v>
      </c>
    </row>
    <row r="2276" customFormat="false" ht="14.25" hidden="false" customHeight="true" outlineLevel="0" collapsed="false">
      <c r="A2276" s="51" t="n">
        <v>15419</v>
      </c>
      <c r="B2276" s="52" t="n">
        <v>40862.3909722222</v>
      </c>
      <c r="C2276" s="1" t="n">
        <v>1</v>
      </c>
      <c r="D2276" s="1" t="n">
        <v>135.86</v>
      </c>
    </row>
    <row r="2277" customFormat="false" ht="14.25" hidden="false" customHeight="true" outlineLevel="0" collapsed="false">
      <c r="A2277" s="51" t="n">
        <v>15421</v>
      </c>
      <c r="B2277" s="52" t="n">
        <v>40828.3888888889</v>
      </c>
      <c r="C2277" s="1" t="n">
        <v>4</v>
      </c>
      <c r="D2277" s="1" t="n">
        <v>950.36</v>
      </c>
    </row>
    <row r="2278" customFormat="false" ht="14.25" hidden="false" customHeight="true" outlineLevel="0" collapsed="false">
      <c r="A2278" s="51" t="n">
        <v>15422</v>
      </c>
      <c r="B2278" s="52" t="n">
        <v>40563.6784722222</v>
      </c>
      <c r="C2278" s="1" t="n">
        <v>2</v>
      </c>
      <c r="D2278" s="1" t="n">
        <v>97.7</v>
      </c>
    </row>
    <row r="2279" customFormat="false" ht="14.25" hidden="false" customHeight="true" outlineLevel="0" collapsed="false">
      <c r="A2279" s="51" t="n">
        <v>15423</v>
      </c>
      <c r="B2279" s="52" t="n">
        <v>40848.5840277778</v>
      </c>
      <c r="C2279" s="1" t="n">
        <v>1</v>
      </c>
      <c r="D2279" s="1" t="n">
        <v>43.5</v>
      </c>
    </row>
    <row r="2280" customFormat="false" ht="14.25" hidden="false" customHeight="true" outlineLevel="0" collapsed="false">
      <c r="A2280" s="51" t="n">
        <v>15424</v>
      </c>
      <c r="B2280" s="52" t="n">
        <v>40632.5430555556</v>
      </c>
      <c r="C2280" s="1" t="n">
        <v>2</v>
      </c>
      <c r="D2280" s="1" t="n">
        <v>383.34</v>
      </c>
    </row>
    <row r="2281" customFormat="false" ht="14.25" hidden="false" customHeight="true" outlineLevel="0" collapsed="false">
      <c r="A2281" s="51" t="n">
        <v>15426</v>
      </c>
      <c r="B2281" s="52" t="n">
        <v>40867.65</v>
      </c>
      <c r="C2281" s="1" t="n">
        <v>7</v>
      </c>
      <c r="D2281" s="1" t="n">
        <v>1429.9</v>
      </c>
    </row>
    <row r="2282" customFormat="false" ht="14.25" hidden="false" customHeight="true" outlineLevel="0" collapsed="false">
      <c r="A2282" s="51" t="n">
        <v>15427</v>
      </c>
      <c r="B2282" s="52" t="n">
        <v>40853.6034722222</v>
      </c>
      <c r="C2282" s="1" t="n">
        <v>3</v>
      </c>
      <c r="D2282" s="1" t="n">
        <v>1483.14</v>
      </c>
    </row>
    <row r="2283" customFormat="false" ht="14.25" hidden="false" customHeight="true" outlineLevel="0" collapsed="false">
      <c r="A2283" s="51" t="n">
        <v>15428</v>
      </c>
      <c r="B2283" s="52" t="n">
        <v>40871.7041666667</v>
      </c>
      <c r="C2283" s="1" t="n">
        <v>1</v>
      </c>
      <c r="D2283" s="1" t="n">
        <v>93.78</v>
      </c>
    </row>
    <row r="2284" customFormat="false" ht="14.25" hidden="false" customHeight="true" outlineLevel="0" collapsed="false">
      <c r="A2284" s="51" t="n">
        <v>15429</v>
      </c>
      <c r="B2284" s="52" t="n">
        <v>40860.5194444444</v>
      </c>
      <c r="C2284" s="1" t="n">
        <v>3</v>
      </c>
      <c r="D2284" s="1" t="n">
        <v>364.9</v>
      </c>
    </row>
    <row r="2285" customFormat="false" ht="14.25" hidden="false" customHeight="true" outlineLevel="0" collapsed="false">
      <c r="A2285" s="51" t="n">
        <v>15432</v>
      </c>
      <c r="B2285" s="52" t="n">
        <v>40863.6875</v>
      </c>
      <c r="C2285" s="1" t="n">
        <v>1</v>
      </c>
      <c r="D2285" s="1" t="n">
        <v>171.19</v>
      </c>
    </row>
    <row r="2286" customFormat="false" ht="14.25" hidden="false" customHeight="true" outlineLevel="0" collapsed="false">
      <c r="A2286" s="51" t="n">
        <v>15433</v>
      </c>
      <c r="B2286" s="52" t="n">
        <v>40807.6833333333</v>
      </c>
      <c r="C2286" s="1" t="n">
        <v>3</v>
      </c>
      <c r="D2286" s="1" t="n">
        <v>417.87</v>
      </c>
    </row>
    <row r="2287" customFormat="false" ht="14.25" hidden="false" customHeight="true" outlineLevel="0" collapsed="false">
      <c r="A2287" s="51" t="n">
        <v>15434</v>
      </c>
      <c r="B2287" s="52" t="n">
        <v>40878.5645833333</v>
      </c>
      <c r="C2287" s="1" t="n">
        <v>6</v>
      </c>
      <c r="D2287" s="1" t="n">
        <v>997.48</v>
      </c>
    </row>
    <row r="2288" customFormat="false" ht="14.25" hidden="false" customHeight="true" outlineLevel="0" collapsed="false">
      <c r="A2288" s="51" t="n">
        <v>15435</v>
      </c>
      <c r="B2288" s="52" t="n">
        <v>40864.69375</v>
      </c>
      <c r="C2288" s="1" t="n">
        <v>1</v>
      </c>
      <c r="D2288" s="1" t="n">
        <v>149.29</v>
      </c>
    </row>
    <row r="2289" customFormat="false" ht="14.25" hidden="false" customHeight="true" outlineLevel="0" collapsed="false">
      <c r="A2289" s="51" t="n">
        <v>15436</v>
      </c>
      <c r="B2289" s="52" t="n">
        <v>40874.6701388889</v>
      </c>
      <c r="C2289" s="1" t="n">
        <v>3</v>
      </c>
      <c r="D2289" s="1" t="n">
        <v>1122.53</v>
      </c>
    </row>
    <row r="2290" customFormat="false" ht="14.25" hidden="false" customHeight="true" outlineLevel="0" collapsed="false">
      <c r="A2290" s="51" t="n">
        <v>15437</v>
      </c>
      <c r="B2290" s="52" t="n">
        <v>40624.5493055556</v>
      </c>
      <c r="C2290" s="1" t="n">
        <v>1</v>
      </c>
      <c r="D2290" s="1" t="n">
        <v>200.16</v>
      </c>
    </row>
    <row r="2291" customFormat="false" ht="14.25" hidden="false" customHeight="true" outlineLevel="0" collapsed="false">
      <c r="A2291" s="51" t="n">
        <v>15438</v>
      </c>
      <c r="B2291" s="52" t="n">
        <v>40755.5965277778</v>
      </c>
      <c r="C2291" s="1" t="n">
        <v>1</v>
      </c>
      <c r="D2291" s="1" t="n">
        <v>156.58</v>
      </c>
    </row>
    <row r="2292" customFormat="false" ht="14.25" hidden="false" customHeight="true" outlineLevel="0" collapsed="false">
      <c r="A2292" s="51" t="n">
        <v>15440</v>
      </c>
      <c r="B2292" s="52" t="n">
        <v>40832.5111111111</v>
      </c>
      <c r="C2292" s="1" t="n">
        <v>3</v>
      </c>
      <c r="D2292" s="1" t="n">
        <v>383.68</v>
      </c>
    </row>
    <row r="2293" customFormat="false" ht="14.25" hidden="false" customHeight="true" outlineLevel="0" collapsed="false">
      <c r="A2293" s="51" t="n">
        <v>15442</v>
      </c>
      <c r="B2293" s="52" t="n">
        <v>40638.5166666667</v>
      </c>
      <c r="C2293" s="1" t="n">
        <v>1</v>
      </c>
      <c r="D2293" s="1" t="n">
        <v>594</v>
      </c>
    </row>
    <row r="2294" customFormat="false" ht="14.25" hidden="false" customHeight="true" outlineLevel="0" collapsed="false">
      <c r="A2294" s="51" t="n">
        <v>15443</v>
      </c>
      <c r="B2294" s="52" t="n">
        <v>40885.4444444445</v>
      </c>
      <c r="C2294" s="1" t="n">
        <v>8</v>
      </c>
      <c r="D2294" s="1" t="n">
        <v>3212.16</v>
      </c>
    </row>
    <row r="2295" customFormat="false" ht="14.25" hidden="false" customHeight="true" outlineLevel="0" collapsed="false">
      <c r="A2295" s="51" t="n">
        <v>15444</v>
      </c>
      <c r="B2295" s="52" t="n">
        <v>40877.7340277778</v>
      </c>
      <c r="C2295" s="1" t="n">
        <v>2</v>
      </c>
      <c r="D2295" s="1" t="n">
        <v>1418.26</v>
      </c>
    </row>
    <row r="2296" customFormat="false" ht="14.25" hidden="false" customHeight="true" outlineLevel="0" collapsed="false">
      <c r="A2296" s="51" t="n">
        <v>15445</v>
      </c>
      <c r="B2296" s="52" t="n">
        <v>40622.6291666667</v>
      </c>
      <c r="C2296" s="1" t="n">
        <v>1</v>
      </c>
      <c r="D2296" s="1" t="n">
        <v>113.5</v>
      </c>
    </row>
    <row r="2297" customFormat="false" ht="14.25" hidden="false" customHeight="true" outlineLevel="0" collapsed="false">
      <c r="A2297" s="51" t="n">
        <v>15447</v>
      </c>
      <c r="B2297" s="52" t="n">
        <v>40556.4763888889</v>
      </c>
      <c r="C2297" s="1" t="n">
        <v>1</v>
      </c>
      <c r="D2297" s="1" t="n">
        <v>155.17</v>
      </c>
    </row>
    <row r="2298" customFormat="false" ht="14.25" hidden="false" customHeight="true" outlineLevel="0" collapsed="false">
      <c r="A2298" s="51" t="n">
        <v>15448</v>
      </c>
      <c r="B2298" s="52" t="n">
        <v>40574.4458333333</v>
      </c>
      <c r="C2298" s="1" t="n">
        <v>1</v>
      </c>
      <c r="D2298" s="1" t="n">
        <v>494.64</v>
      </c>
    </row>
    <row r="2299" customFormat="false" ht="14.25" hidden="false" customHeight="true" outlineLevel="0" collapsed="false">
      <c r="A2299" s="51" t="n">
        <v>15449</v>
      </c>
      <c r="B2299" s="52" t="n">
        <v>40860.6263888889</v>
      </c>
      <c r="C2299" s="1" t="n">
        <v>5</v>
      </c>
      <c r="D2299" s="1" t="n">
        <v>971.22</v>
      </c>
    </row>
    <row r="2300" customFormat="false" ht="14.25" hidden="false" customHeight="true" outlineLevel="0" collapsed="false">
      <c r="A2300" s="51" t="n">
        <v>15450</v>
      </c>
      <c r="B2300" s="52" t="n">
        <v>40856.7159722222</v>
      </c>
      <c r="C2300" s="1" t="n">
        <v>1</v>
      </c>
      <c r="D2300" s="1" t="n">
        <v>429.84</v>
      </c>
    </row>
    <row r="2301" customFormat="false" ht="14.25" hidden="false" customHeight="true" outlineLevel="0" collapsed="false">
      <c r="A2301" s="51" t="n">
        <v>15452</v>
      </c>
      <c r="B2301" s="52" t="n">
        <v>40857.5090277778</v>
      </c>
      <c r="C2301" s="1" t="n">
        <v>3</v>
      </c>
      <c r="D2301" s="1" t="n">
        <v>538.73</v>
      </c>
    </row>
    <row r="2302" customFormat="false" ht="14.25" hidden="false" customHeight="true" outlineLevel="0" collapsed="false">
      <c r="A2302" s="51" t="n">
        <v>15453</v>
      </c>
      <c r="B2302" s="52" t="n">
        <v>40885.4576388889</v>
      </c>
      <c r="C2302" s="1" t="n">
        <v>7</v>
      </c>
      <c r="D2302" s="1" t="n">
        <v>1388.37</v>
      </c>
    </row>
    <row r="2303" customFormat="false" ht="14.25" hidden="false" customHeight="true" outlineLevel="0" collapsed="false">
      <c r="A2303" s="51" t="n">
        <v>15454</v>
      </c>
      <c r="B2303" s="52" t="n">
        <v>40524.5979166667</v>
      </c>
      <c r="C2303" s="1" t="n">
        <v>1</v>
      </c>
      <c r="D2303" s="1" t="n">
        <v>179.1</v>
      </c>
    </row>
    <row r="2304" customFormat="false" ht="14.25" hidden="false" customHeight="true" outlineLevel="0" collapsed="false">
      <c r="A2304" s="51" t="n">
        <v>15456</v>
      </c>
      <c r="B2304" s="52" t="n">
        <v>40603.5770833333</v>
      </c>
      <c r="C2304" s="1" t="n">
        <v>3</v>
      </c>
      <c r="D2304" s="1" t="n">
        <v>447.22</v>
      </c>
    </row>
    <row r="2305" customFormat="false" ht="14.25" hidden="false" customHeight="true" outlineLevel="0" collapsed="false">
      <c r="A2305" s="51" t="n">
        <v>15457</v>
      </c>
      <c r="B2305" s="52" t="n">
        <v>40624.6465277778</v>
      </c>
      <c r="C2305" s="1" t="n">
        <v>1</v>
      </c>
      <c r="D2305" s="1" t="n">
        <v>237.07</v>
      </c>
    </row>
    <row r="2306" customFormat="false" ht="14.25" hidden="false" customHeight="true" outlineLevel="0" collapsed="false">
      <c r="A2306" s="51" t="n">
        <v>15458</v>
      </c>
      <c r="B2306" s="52" t="n">
        <v>40861.5472222222</v>
      </c>
      <c r="C2306" s="1" t="n">
        <v>1</v>
      </c>
      <c r="D2306" s="1" t="n">
        <v>161.64</v>
      </c>
    </row>
    <row r="2307" customFormat="false" ht="14.25" hidden="false" customHeight="true" outlineLevel="0" collapsed="false">
      <c r="A2307" s="51" t="n">
        <v>15460</v>
      </c>
      <c r="B2307" s="52" t="n">
        <v>40532.6722222222</v>
      </c>
      <c r="C2307" s="1" t="n">
        <v>1</v>
      </c>
      <c r="D2307" s="1" t="n">
        <v>216.76</v>
      </c>
    </row>
    <row r="2308" customFormat="false" ht="14.25" hidden="false" customHeight="true" outlineLevel="0" collapsed="false">
      <c r="A2308" s="51" t="n">
        <v>15462</v>
      </c>
      <c r="B2308" s="52" t="n">
        <v>40792.5493055556</v>
      </c>
      <c r="C2308" s="1" t="n">
        <v>3</v>
      </c>
      <c r="D2308" s="1" t="n">
        <v>234.6</v>
      </c>
    </row>
    <row r="2309" customFormat="false" ht="14.25" hidden="false" customHeight="true" outlineLevel="0" collapsed="false">
      <c r="A2309" s="51" t="n">
        <v>15463</v>
      </c>
      <c r="B2309" s="52" t="n">
        <v>40857.5395833333</v>
      </c>
      <c r="C2309" s="1" t="n">
        <v>1</v>
      </c>
      <c r="D2309" s="1" t="n">
        <v>126.14</v>
      </c>
    </row>
    <row r="2310" customFormat="false" ht="14.25" hidden="false" customHeight="true" outlineLevel="0" collapsed="false">
      <c r="A2310" s="51" t="n">
        <v>15464</v>
      </c>
      <c r="B2310" s="52" t="n">
        <v>40548.6638888889</v>
      </c>
      <c r="C2310" s="1" t="n">
        <v>1</v>
      </c>
      <c r="D2310" s="1" t="n">
        <v>1048.85</v>
      </c>
    </row>
    <row r="2311" customFormat="false" ht="14.25" hidden="false" customHeight="true" outlineLevel="0" collapsed="false">
      <c r="A2311" s="51" t="n">
        <v>15465</v>
      </c>
      <c r="B2311" s="52" t="n">
        <v>40867.4243055556</v>
      </c>
      <c r="C2311" s="1" t="n">
        <v>24</v>
      </c>
      <c r="D2311" s="1" t="n">
        <v>6945.02</v>
      </c>
    </row>
    <row r="2312" customFormat="false" ht="14.25" hidden="false" customHeight="true" outlineLevel="0" collapsed="false">
      <c r="A2312" s="51" t="n">
        <v>15466</v>
      </c>
      <c r="B2312" s="52" t="n">
        <v>40801.5888888889</v>
      </c>
      <c r="C2312" s="1" t="n">
        <v>1</v>
      </c>
      <c r="D2312" s="1" t="n">
        <v>334.53</v>
      </c>
    </row>
    <row r="2313" customFormat="false" ht="14.25" hidden="false" customHeight="true" outlineLevel="0" collapsed="false">
      <c r="A2313" s="51" t="n">
        <v>15467</v>
      </c>
      <c r="B2313" s="52" t="n">
        <v>40877.5951388889</v>
      </c>
      <c r="C2313" s="1" t="n">
        <v>4</v>
      </c>
      <c r="D2313" s="1" t="n">
        <v>511.88</v>
      </c>
    </row>
    <row r="2314" customFormat="false" ht="14.25" hidden="false" customHeight="true" outlineLevel="0" collapsed="false">
      <c r="A2314" s="51" t="n">
        <v>15468</v>
      </c>
      <c r="B2314" s="52" t="n">
        <v>40851.5493055556</v>
      </c>
      <c r="C2314" s="1" t="n">
        <v>5</v>
      </c>
      <c r="D2314" s="1" t="n">
        <v>438.46</v>
      </c>
    </row>
    <row r="2315" customFormat="false" ht="14.25" hidden="false" customHeight="true" outlineLevel="0" collapsed="false">
      <c r="A2315" s="51" t="n">
        <v>15469</v>
      </c>
      <c r="B2315" s="52" t="n">
        <v>40843.8027777778</v>
      </c>
      <c r="C2315" s="1" t="n">
        <v>4</v>
      </c>
      <c r="D2315" s="1" t="n">
        <v>504.5</v>
      </c>
    </row>
    <row r="2316" customFormat="false" ht="14.25" hidden="false" customHeight="true" outlineLevel="0" collapsed="false">
      <c r="A2316" s="51" t="n">
        <v>15471</v>
      </c>
      <c r="B2316" s="52" t="n">
        <v>40884.5916666667</v>
      </c>
      <c r="C2316" s="1" t="n">
        <v>1</v>
      </c>
      <c r="D2316" s="1" t="n">
        <v>469.48</v>
      </c>
    </row>
    <row r="2317" customFormat="false" ht="14.25" hidden="false" customHeight="true" outlineLevel="0" collapsed="false">
      <c r="A2317" s="51" t="n">
        <v>15472</v>
      </c>
      <c r="B2317" s="52" t="n">
        <v>40773.6368055556</v>
      </c>
      <c r="C2317" s="1" t="n">
        <v>1</v>
      </c>
      <c r="D2317" s="1" t="n">
        <v>371.56</v>
      </c>
    </row>
    <row r="2318" customFormat="false" ht="14.25" hidden="false" customHeight="true" outlineLevel="0" collapsed="false">
      <c r="A2318" s="51" t="n">
        <v>15473</v>
      </c>
      <c r="B2318" s="52" t="n">
        <v>40872.6354166667</v>
      </c>
      <c r="C2318" s="1" t="n">
        <v>10</v>
      </c>
      <c r="D2318" s="1" t="n">
        <v>1465.2</v>
      </c>
    </row>
    <row r="2319" customFormat="false" ht="14.25" hidden="false" customHeight="true" outlineLevel="0" collapsed="false">
      <c r="A2319" s="51" t="n">
        <v>15475</v>
      </c>
      <c r="B2319" s="52" t="n">
        <v>40809.6388888889</v>
      </c>
      <c r="C2319" s="1" t="n">
        <v>1</v>
      </c>
      <c r="D2319" s="1" t="n">
        <v>454.11</v>
      </c>
    </row>
    <row r="2320" customFormat="false" ht="14.25" hidden="false" customHeight="true" outlineLevel="0" collapsed="false">
      <c r="A2320" s="51" t="n">
        <v>15478</v>
      </c>
      <c r="B2320" s="52" t="n">
        <v>40846.5965277778</v>
      </c>
      <c r="C2320" s="1" t="n">
        <v>2</v>
      </c>
      <c r="D2320" s="1" t="n">
        <v>1441.42</v>
      </c>
    </row>
    <row r="2321" customFormat="false" ht="14.25" hidden="false" customHeight="true" outlineLevel="0" collapsed="false">
      <c r="A2321" s="51" t="n">
        <v>15480</v>
      </c>
      <c r="B2321" s="52" t="n">
        <v>40770.6055555556</v>
      </c>
      <c r="C2321" s="1" t="n">
        <v>1</v>
      </c>
      <c r="D2321" s="1" t="n">
        <v>905.5</v>
      </c>
    </row>
    <row r="2322" customFormat="false" ht="14.25" hidden="false" customHeight="true" outlineLevel="0" collapsed="false">
      <c r="A2322" s="51" t="n">
        <v>15482</v>
      </c>
      <c r="B2322" s="52" t="n">
        <v>40871.4486111111</v>
      </c>
      <c r="C2322" s="1" t="n">
        <v>16</v>
      </c>
      <c r="D2322" s="1" t="n">
        <v>6568.72</v>
      </c>
    </row>
    <row r="2323" customFormat="false" ht="14.25" hidden="false" customHeight="true" outlineLevel="0" collapsed="false">
      <c r="A2323" s="51" t="n">
        <v>15483</v>
      </c>
      <c r="B2323" s="52" t="n">
        <v>40725.5465277778</v>
      </c>
      <c r="C2323" s="1" t="n">
        <v>4</v>
      </c>
      <c r="D2323" s="1" t="n">
        <v>233.81</v>
      </c>
    </row>
    <row r="2324" customFormat="false" ht="14.25" hidden="false" customHeight="true" outlineLevel="0" collapsed="false">
      <c r="A2324" s="51" t="n">
        <v>15484</v>
      </c>
      <c r="B2324" s="52" t="n">
        <v>40885.6270833333</v>
      </c>
      <c r="C2324" s="1" t="n">
        <v>5</v>
      </c>
      <c r="D2324" s="1" t="n">
        <v>3563.11</v>
      </c>
    </row>
    <row r="2325" customFormat="false" ht="14.25" hidden="false" customHeight="true" outlineLevel="0" collapsed="false">
      <c r="A2325" s="51" t="n">
        <v>15485</v>
      </c>
      <c r="B2325" s="52" t="n">
        <v>40856.6048611111</v>
      </c>
      <c r="C2325" s="1" t="n">
        <v>3</v>
      </c>
      <c r="D2325" s="1" t="n">
        <v>2575</v>
      </c>
    </row>
    <row r="2326" customFormat="false" ht="14.25" hidden="false" customHeight="true" outlineLevel="0" collapsed="false">
      <c r="A2326" s="51" t="n">
        <v>15488</v>
      </c>
      <c r="B2326" s="52" t="n">
        <v>40794.4243055556</v>
      </c>
      <c r="C2326" s="1" t="n">
        <v>1</v>
      </c>
      <c r="D2326" s="1" t="n">
        <v>91.32</v>
      </c>
    </row>
    <row r="2327" customFormat="false" ht="14.25" hidden="false" customHeight="true" outlineLevel="0" collapsed="false">
      <c r="A2327" s="51" t="n">
        <v>15489</v>
      </c>
      <c r="B2327" s="52" t="n">
        <v>40864.3701388889</v>
      </c>
      <c r="C2327" s="1" t="n">
        <v>4</v>
      </c>
      <c r="D2327" s="1" t="n">
        <v>1090.03</v>
      </c>
    </row>
    <row r="2328" customFormat="false" ht="14.25" hidden="false" customHeight="true" outlineLevel="0" collapsed="false">
      <c r="A2328" s="51" t="n">
        <v>15491</v>
      </c>
      <c r="B2328" s="52" t="n">
        <v>40791.6638888889</v>
      </c>
      <c r="C2328" s="1" t="n">
        <v>7</v>
      </c>
      <c r="D2328" s="1" t="n">
        <v>3090.85</v>
      </c>
    </row>
    <row r="2329" customFormat="false" ht="14.25" hidden="false" customHeight="true" outlineLevel="0" collapsed="false">
      <c r="A2329" s="51" t="n">
        <v>15492</v>
      </c>
      <c r="B2329" s="52" t="n">
        <v>40858.6201388889</v>
      </c>
      <c r="C2329" s="1" t="n">
        <v>2</v>
      </c>
      <c r="D2329" s="1" t="n">
        <v>659.46</v>
      </c>
    </row>
    <row r="2330" customFormat="false" ht="14.25" hidden="false" customHeight="true" outlineLevel="0" collapsed="false">
      <c r="A2330" s="51" t="n">
        <v>15493</v>
      </c>
      <c r="B2330" s="52" t="n">
        <v>40854.5027777778</v>
      </c>
      <c r="C2330" s="1" t="n">
        <v>7</v>
      </c>
      <c r="D2330" s="1" t="n">
        <v>1967.25000000001</v>
      </c>
    </row>
    <row r="2331" customFormat="false" ht="14.25" hidden="false" customHeight="true" outlineLevel="0" collapsed="false">
      <c r="A2331" s="51" t="n">
        <v>15494</v>
      </c>
      <c r="B2331" s="52" t="n">
        <v>40865.61875</v>
      </c>
      <c r="C2331" s="1" t="n">
        <v>2</v>
      </c>
      <c r="D2331" s="1" t="n">
        <v>1299.23</v>
      </c>
    </row>
    <row r="2332" customFormat="false" ht="14.25" hidden="false" customHeight="true" outlineLevel="0" collapsed="false">
      <c r="A2332" s="51" t="n">
        <v>15497</v>
      </c>
      <c r="B2332" s="52" t="n">
        <v>40869.49375</v>
      </c>
      <c r="C2332" s="1" t="n">
        <v>3</v>
      </c>
      <c r="D2332" s="1" t="n">
        <v>1259.7</v>
      </c>
    </row>
    <row r="2333" customFormat="false" ht="14.25" hidden="false" customHeight="true" outlineLevel="0" collapsed="false">
      <c r="A2333" s="51" t="n">
        <v>15498</v>
      </c>
      <c r="B2333" s="52" t="n">
        <v>40886.4361111111</v>
      </c>
      <c r="C2333" s="1" t="n">
        <v>35</v>
      </c>
      <c r="D2333" s="1" t="n">
        <v>12396.46</v>
      </c>
    </row>
    <row r="2334" customFormat="false" ht="14.25" hidden="false" customHeight="true" outlineLevel="0" collapsed="false">
      <c r="A2334" s="51" t="n">
        <v>15500</v>
      </c>
      <c r="B2334" s="52" t="n">
        <v>40878.5743055556</v>
      </c>
      <c r="C2334" s="1" t="n">
        <v>4</v>
      </c>
      <c r="D2334" s="1" t="n">
        <v>1131.56</v>
      </c>
    </row>
    <row r="2335" customFormat="false" ht="14.25" hidden="false" customHeight="true" outlineLevel="0" collapsed="false">
      <c r="A2335" s="51" t="n">
        <v>15502</v>
      </c>
      <c r="B2335" s="52" t="n">
        <v>40871.5333333333</v>
      </c>
      <c r="C2335" s="1" t="n">
        <v>23</v>
      </c>
      <c r="D2335" s="1" t="n">
        <v>5541.46</v>
      </c>
    </row>
    <row r="2336" customFormat="false" ht="14.25" hidden="false" customHeight="true" outlineLevel="0" collapsed="false">
      <c r="A2336" s="51" t="n">
        <v>15503</v>
      </c>
      <c r="B2336" s="52" t="n">
        <v>40524.45625</v>
      </c>
      <c r="C2336" s="1" t="n">
        <v>1</v>
      </c>
      <c r="D2336" s="1" t="n">
        <v>147.09</v>
      </c>
    </row>
    <row r="2337" customFormat="false" ht="14.25" hidden="false" customHeight="true" outlineLevel="0" collapsed="false">
      <c r="A2337" s="51" t="n">
        <v>15504</v>
      </c>
      <c r="B2337" s="52" t="n">
        <v>40805.5729166667</v>
      </c>
      <c r="C2337" s="1" t="n">
        <v>1</v>
      </c>
      <c r="D2337" s="1" t="n">
        <v>52.83</v>
      </c>
    </row>
    <row r="2338" customFormat="false" ht="14.25" hidden="false" customHeight="true" outlineLevel="0" collapsed="false">
      <c r="A2338" s="51" t="n">
        <v>15505</v>
      </c>
      <c r="B2338" s="52" t="n">
        <v>40834.3305555556</v>
      </c>
      <c r="C2338" s="1" t="n">
        <v>7</v>
      </c>
      <c r="D2338" s="1" t="n">
        <v>3497.14</v>
      </c>
    </row>
    <row r="2339" customFormat="false" ht="14.25" hidden="false" customHeight="true" outlineLevel="0" collapsed="false">
      <c r="A2339" s="51" t="n">
        <v>15506</v>
      </c>
      <c r="B2339" s="52" t="n">
        <v>40864.5076388889</v>
      </c>
      <c r="C2339" s="1" t="n">
        <v>3</v>
      </c>
      <c r="D2339" s="1" t="n">
        <v>979.26</v>
      </c>
    </row>
    <row r="2340" customFormat="false" ht="14.25" hidden="false" customHeight="true" outlineLevel="0" collapsed="false">
      <c r="A2340" s="51" t="n">
        <v>15507</v>
      </c>
      <c r="B2340" s="52" t="n">
        <v>40715.4715277778</v>
      </c>
      <c r="C2340" s="1" t="n">
        <v>1</v>
      </c>
      <c r="D2340" s="1" t="n">
        <v>492.36</v>
      </c>
    </row>
    <row r="2341" customFormat="false" ht="14.25" hidden="false" customHeight="true" outlineLevel="0" collapsed="false">
      <c r="A2341" s="51" t="n">
        <v>15508</v>
      </c>
      <c r="B2341" s="52" t="n">
        <v>40697.6548611111</v>
      </c>
      <c r="C2341" s="1" t="n">
        <v>6</v>
      </c>
      <c r="D2341" s="1" t="n">
        <v>1000.27</v>
      </c>
    </row>
    <row r="2342" customFormat="false" ht="14.25" hidden="false" customHeight="true" outlineLevel="0" collapsed="false">
      <c r="A2342" s="51" t="n">
        <v>15510</v>
      </c>
      <c r="B2342" s="52" t="n">
        <v>40556.5069444445</v>
      </c>
      <c r="C2342" s="1" t="n">
        <v>1</v>
      </c>
      <c r="D2342" s="1" t="n">
        <v>250</v>
      </c>
    </row>
    <row r="2343" customFormat="false" ht="14.25" hidden="false" customHeight="true" outlineLevel="0" collapsed="false">
      <c r="A2343" s="51" t="n">
        <v>15511</v>
      </c>
      <c r="B2343" s="52" t="n">
        <v>40875.4048611111</v>
      </c>
      <c r="C2343" s="1" t="n">
        <v>5</v>
      </c>
      <c r="D2343" s="1" t="n">
        <v>909.23</v>
      </c>
    </row>
    <row r="2344" customFormat="false" ht="14.25" hidden="false" customHeight="true" outlineLevel="0" collapsed="false">
      <c r="A2344" s="51" t="n">
        <v>15512</v>
      </c>
      <c r="B2344" s="52" t="n">
        <v>40731.4305555556</v>
      </c>
      <c r="C2344" s="1" t="n">
        <v>2</v>
      </c>
      <c r="D2344" s="1" t="n">
        <v>121</v>
      </c>
    </row>
    <row r="2345" customFormat="false" ht="14.25" hidden="false" customHeight="true" outlineLevel="0" collapsed="false">
      <c r="A2345" s="51" t="n">
        <v>15513</v>
      </c>
      <c r="B2345" s="52" t="n">
        <v>40855.68125</v>
      </c>
      <c r="C2345" s="1" t="n">
        <v>22</v>
      </c>
      <c r="D2345" s="1" t="n">
        <v>14520.08</v>
      </c>
    </row>
    <row r="2346" customFormat="false" ht="14.25" hidden="false" customHeight="true" outlineLevel="0" collapsed="false">
      <c r="A2346" s="51" t="n">
        <v>15514</v>
      </c>
      <c r="B2346" s="52" t="n">
        <v>40874.6111111111</v>
      </c>
      <c r="C2346" s="1" t="n">
        <v>13</v>
      </c>
      <c r="D2346" s="1" t="n">
        <v>2963.19</v>
      </c>
    </row>
    <row r="2347" customFormat="false" ht="14.25" hidden="false" customHeight="true" outlineLevel="0" collapsed="false">
      <c r="A2347" s="51" t="n">
        <v>15516</v>
      </c>
      <c r="B2347" s="52" t="n">
        <v>40842.4520833333</v>
      </c>
      <c r="C2347" s="1" t="n">
        <v>3</v>
      </c>
      <c r="D2347" s="1" t="n">
        <v>62.43</v>
      </c>
    </row>
    <row r="2348" customFormat="false" ht="14.25" hidden="false" customHeight="true" outlineLevel="0" collapsed="false">
      <c r="A2348" s="51" t="n">
        <v>15517</v>
      </c>
      <c r="B2348" s="52" t="n">
        <v>40653.5847222222</v>
      </c>
      <c r="C2348" s="1" t="n">
        <v>1</v>
      </c>
      <c r="D2348" s="1" t="n">
        <v>267.03</v>
      </c>
    </row>
    <row r="2349" customFormat="false" ht="14.25" hidden="false" customHeight="true" outlineLevel="0" collapsed="false">
      <c r="A2349" s="51" t="n">
        <v>15518</v>
      </c>
      <c r="B2349" s="52" t="n">
        <v>40822.5451388889</v>
      </c>
      <c r="C2349" s="1" t="n">
        <v>13</v>
      </c>
      <c r="D2349" s="1" t="n">
        <v>1911.89</v>
      </c>
    </row>
    <row r="2350" customFormat="false" ht="14.25" hidden="false" customHeight="true" outlineLevel="0" collapsed="false">
      <c r="A2350" s="51" t="n">
        <v>15520</v>
      </c>
      <c r="B2350" s="52" t="n">
        <v>40885.4569444444</v>
      </c>
      <c r="C2350" s="1" t="n">
        <v>1</v>
      </c>
      <c r="D2350" s="1" t="n">
        <v>343.5</v>
      </c>
    </row>
    <row r="2351" customFormat="false" ht="14.25" hidden="false" customHeight="true" outlineLevel="0" collapsed="false">
      <c r="A2351" s="51" t="n">
        <v>15521</v>
      </c>
      <c r="B2351" s="52" t="n">
        <v>40850.5777777778</v>
      </c>
      <c r="C2351" s="1" t="n">
        <v>13</v>
      </c>
      <c r="D2351" s="1" t="n">
        <v>2574.65</v>
      </c>
    </row>
    <row r="2352" customFormat="false" ht="14.25" hidden="false" customHeight="true" outlineLevel="0" collapsed="false">
      <c r="A2352" s="51" t="n">
        <v>15522</v>
      </c>
      <c r="B2352" s="52" t="n">
        <v>40854.4763888889</v>
      </c>
      <c r="C2352" s="1" t="n">
        <v>2</v>
      </c>
      <c r="D2352" s="1" t="n">
        <v>398.84</v>
      </c>
    </row>
    <row r="2353" customFormat="false" ht="14.25" hidden="false" customHeight="true" outlineLevel="0" collapsed="false">
      <c r="A2353" s="51" t="n">
        <v>15523</v>
      </c>
      <c r="B2353" s="52" t="n">
        <v>40802.6868055556</v>
      </c>
      <c r="C2353" s="1" t="n">
        <v>1</v>
      </c>
      <c r="D2353" s="1" t="n">
        <v>412.01</v>
      </c>
    </row>
    <row r="2354" customFormat="false" ht="14.25" hidden="false" customHeight="true" outlineLevel="0" collapsed="false">
      <c r="A2354" s="51" t="n">
        <v>15524</v>
      </c>
      <c r="B2354" s="52" t="n">
        <v>40862.50625</v>
      </c>
      <c r="C2354" s="1" t="n">
        <v>1</v>
      </c>
      <c r="D2354" s="1" t="n">
        <v>440</v>
      </c>
    </row>
    <row r="2355" customFormat="false" ht="14.25" hidden="false" customHeight="true" outlineLevel="0" collapsed="false">
      <c r="A2355" s="51" t="n">
        <v>15525</v>
      </c>
      <c r="B2355" s="52" t="n">
        <v>40884.6520833333</v>
      </c>
      <c r="C2355" s="1" t="n">
        <v>4</v>
      </c>
      <c r="D2355" s="1" t="n">
        <v>811.02</v>
      </c>
    </row>
    <row r="2356" customFormat="false" ht="14.25" hidden="false" customHeight="true" outlineLevel="0" collapsed="false">
      <c r="A2356" s="51" t="n">
        <v>15526</v>
      </c>
      <c r="B2356" s="52" t="n">
        <v>40853.6277777778</v>
      </c>
      <c r="C2356" s="1" t="n">
        <v>2</v>
      </c>
      <c r="D2356" s="1" t="n">
        <v>148.44</v>
      </c>
    </row>
    <row r="2357" customFormat="false" ht="14.25" hidden="false" customHeight="true" outlineLevel="0" collapsed="false">
      <c r="A2357" s="51" t="n">
        <v>15527</v>
      </c>
      <c r="B2357" s="52" t="n">
        <v>40868.5118055556</v>
      </c>
      <c r="C2357" s="1" t="n">
        <v>10</v>
      </c>
      <c r="D2357" s="1" t="n">
        <v>2348.82</v>
      </c>
    </row>
    <row r="2358" customFormat="false" ht="14.25" hidden="false" customHeight="true" outlineLevel="0" collapsed="false">
      <c r="A2358" s="51" t="n">
        <v>15528</v>
      </c>
      <c r="B2358" s="52" t="n">
        <v>40632.6763888889</v>
      </c>
      <c r="C2358" s="1" t="n">
        <v>1</v>
      </c>
      <c r="D2358" s="1" t="n">
        <v>229.33</v>
      </c>
    </row>
    <row r="2359" customFormat="false" ht="14.25" hidden="false" customHeight="true" outlineLevel="0" collapsed="false">
      <c r="A2359" s="51" t="n">
        <v>15529</v>
      </c>
      <c r="B2359" s="52" t="n">
        <v>40864.4784722222</v>
      </c>
      <c r="C2359" s="1" t="n">
        <v>12</v>
      </c>
      <c r="D2359" s="1" t="n">
        <v>3967.78</v>
      </c>
    </row>
    <row r="2360" customFormat="false" ht="14.25" hidden="false" customHeight="true" outlineLevel="0" collapsed="false">
      <c r="A2360" s="51" t="n">
        <v>15530</v>
      </c>
      <c r="B2360" s="52" t="n">
        <v>40865.5173611111</v>
      </c>
      <c r="C2360" s="1" t="n">
        <v>4</v>
      </c>
      <c r="D2360" s="1" t="n">
        <v>1502.35</v>
      </c>
    </row>
    <row r="2361" customFormat="false" ht="14.25" hidden="false" customHeight="true" outlineLevel="0" collapsed="false">
      <c r="A2361" s="51" t="n">
        <v>15531</v>
      </c>
      <c r="B2361" s="52" t="n">
        <v>40878.7798611111</v>
      </c>
      <c r="C2361" s="1" t="n">
        <v>2</v>
      </c>
      <c r="D2361" s="1" t="n">
        <v>2007.44</v>
      </c>
    </row>
    <row r="2362" customFormat="false" ht="14.25" hidden="false" customHeight="true" outlineLevel="0" collapsed="false">
      <c r="A2362" s="51" t="n">
        <v>15532</v>
      </c>
      <c r="B2362" s="52" t="n">
        <v>40861.61875</v>
      </c>
      <c r="C2362" s="1" t="n">
        <v>6</v>
      </c>
      <c r="D2362" s="1" t="n">
        <v>1517.08</v>
      </c>
    </row>
    <row r="2363" customFormat="false" ht="14.25" hidden="false" customHeight="true" outlineLevel="0" collapsed="false">
      <c r="A2363" s="51" t="n">
        <v>15533</v>
      </c>
      <c r="B2363" s="52" t="n">
        <v>40867.6493055556</v>
      </c>
      <c r="C2363" s="1" t="n">
        <v>5</v>
      </c>
      <c r="D2363" s="1" t="n">
        <v>746.92</v>
      </c>
    </row>
    <row r="2364" customFormat="false" ht="14.25" hidden="false" customHeight="true" outlineLevel="0" collapsed="false">
      <c r="A2364" s="51" t="n">
        <v>15535</v>
      </c>
      <c r="B2364" s="52" t="n">
        <v>40713.6680555556</v>
      </c>
      <c r="C2364" s="1" t="n">
        <v>7</v>
      </c>
      <c r="D2364" s="1" t="n">
        <v>459.9</v>
      </c>
    </row>
    <row r="2365" customFormat="false" ht="14.25" hidden="false" customHeight="true" outlineLevel="0" collapsed="false">
      <c r="A2365" s="51" t="n">
        <v>15537</v>
      </c>
      <c r="B2365" s="52" t="n">
        <v>40723.5486111111</v>
      </c>
      <c r="C2365" s="1" t="n">
        <v>1</v>
      </c>
      <c r="D2365" s="1" t="n">
        <v>110.92</v>
      </c>
    </row>
    <row r="2366" customFormat="false" ht="14.25" hidden="false" customHeight="true" outlineLevel="0" collapsed="false">
      <c r="A2366" s="51" t="n">
        <v>15539</v>
      </c>
      <c r="B2366" s="52" t="n">
        <v>40879.5666666667</v>
      </c>
      <c r="C2366" s="1" t="n">
        <v>1</v>
      </c>
      <c r="D2366" s="1" t="n">
        <v>538.46</v>
      </c>
    </row>
    <row r="2367" customFormat="false" ht="14.25" hidden="false" customHeight="true" outlineLevel="0" collapsed="false">
      <c r="A2367" s="51" t="n">
        <v>15540</v>
      </c>
      <c r="B2367" s="52" t="n">
        <v>40875.5770833333</v>
      </c>
      <c r="C2367" s="1" t="n">
        <v>1</v>
      </c>
      <c r="D2367" s="1" t="n">
        <v>213.3</v>
      </c>
    </row>
    <row r="2368" customFormat="false" ht="14.25" hidden="false" customHeight="true" outlineLevel="0" collapsed="false">
      <c r="A2368" s="51" t="n">
        <v>15541</v>
      </c>
      <c r="B2368" s="52" t="n">
        <v>40772.6236111111</v>
      </c>
      <c r="C2368" s="1" t="n">
        <v>1</v>
      </c>
      <c r="D2368" s="1" t="n">
        <v>85.13</v>
      </c>
    </row>
    <row r="2369" customFormat="false" ht="14.25" hidden="false" customHeight="true" outlineLevel="0" collapsed="false">
      <c r="A2369" s="51" t="n">
        <v>15543</v>
      </c>
      <c r="B2369" s="52" t="n">
        <v>40598.6430555556</v>
      </c>
      <c r="C2369" s="1" t="n">
        <v>1</v>
      </c>
      <c r="D2369" s="1" t="n">
        <v>127.86</v>
      </c>
    </row>
    <row r="2370" customFormat="false" ht="14.25" hidden="false" customHeight="true" outlineLevel="0" collapsed="false">
      <c r="A2370" s="51" t="n">
        <v>15544</v>
      </c>
      <c r="B2370" s="52" t="n">
        <v>40878.3861111111</v>
      </c>
      <c r="C2370" s="1" t="n">
        <v>11</v>
      </c>
      <c r="D2370" s="1" t="n">
        <v>3542.51</v>
      </c>
    </row>
    <row r="2371" customFormat="false" ht="14.25" hidden="false" customHeight="true" outlineLevel="0" collapsed="false">
      <c r="A2371" s="51" t="n">
        <v>15545</v>
      </c>
      <c r="B2371" s="52" t="n">
        <v>40832.5583333333</v>
      </c>
      <c r="C2371" s="1" t="n">
        <v>2</v>
      </c>
      <c r="D2371" s="1" t="n">
        <v>292.72</v>
      </c>
    </row>
    <row r="2372" customFormat="false" ht="14.25" hidden="false" customHeight="true" outlineLevel="0" collapsed="false">
      <c r="A2372" s="51" t="n">
        <v>15547</v>
      </c>
      <c r="B2372" s="52" t="n">
        <v>40879.5361111111</v>
      </c>
      <c r="C2372" s="1" t="n">
        <v>14</v>
      </c>
      <c r="D2372" s="1" t="n">
        <v>4954.83999999999</v>
      </c>
    </row>
    <row r="2373" customFormat="false" ht="14.25" hidden="false" customHeight="true" outlineLevel="0" collapsed="false">
      <c r="A2373" s="51" t="n">
        <v>15549</v>
      </c>
      <c r="B2373" s="52" t="n">
        <v>40809.6819444444</v>
      </c>
      <c r="C2373" s="1" t="n">
        <v>4</v>
      </c>
      <c r="D2373" s="1" t="n">
        <v>1655.76</v>
      </c>
    </row>
    <row r="2374" customFormat="false" ht="14.25" hidden="false" customHeight="true" outlineLevel="0" collapsed="false">
      <c r="A2374" s="51" t="n">
        <v>15550</v>
      </c>
      <c r="B2374" s="52" t="n">
        <v>40882.6513888889</v>
      </c>
      <c r="C2374" s="1" t="n">
        <v>4</v>
      </c>
      <c r="D2374" s="1" t="n">
        <v>575.63</v>
      </c>
    </row>
    <row r="2375" customFormat="false" ht="14.25" hidden="false" customHeight="true" outlineLevel="0" collapsed="false">
      <c r="A2375" s="51" t="n">
        <v>15551</v>
      </c>
      <c r="B2375" s="52" t="n">
        <v>40850.5256944444</v>
      </c>
      <c r="C2375" s="1" t="n">
        <v>1</v>
      </c>
      <c r="D2375" s="1" t="n">
        <v>436.06</v>
      </c>
    </row>
    <row r="2376" customFormat="false" ht="14.25" hidden="false" customHeight="true" outlineLevel="0" collapsed="false">
      <c r="A2376" s="51" t="n">
        <v>15552</v>
      </c>
      <c r="B2376" s="52" t="n">
        <v>40669.6159722222</v>
      </c>
      <c r="C2376" s="1" t="n">
        <v>1</v>
      </c>
      <c r="D2376" s="1" t="n">
        <v>90.12</v>
      </c>
    </row>
    <row r="2377" customFormat="false" ht="14.25" hidden="false" customHeight="true" outlineLevel="0" collapsed="false">
      <c r="A2377" s="51" t="n">
        <v>15553</v>
      </c>
      <c r="B2377" s="52" t="n">
        <v>40826.5847222222</v>
      </c>
      <c r="C2377" s="1" t="n">
        <v>1</v>
      </c>
      <c r="D2377" s="1" t="n">
        <v>437.23</v>
      </c>
    </row>
    <row r="2378" customFormat="false" ht="14.25" hidden="false" customHeight="true" outlineLevel="0" collapsed="false">
      <c r="A2378" s="51" t="n">
        <v>15554</v>
      </c>
      <c r="B2378" s="52" t="n">
        <v>40609.375</v>
      </c>
      <c r="C2378" s="1" t="n">
        <v>1</v>
      </c>
      <c r="D2378" s="1" t="n">
        <v>217.2</v>
      </c>
    </row>
    <row r="2379" customFormat="false" ht="14.25" hidden="false" customHeight="true" outlineLevel="0" collapsed="false">
      <c r="A2379" s="51" t="n">
        <v>15555</v>
      </c>
      <c r="B2379" s="52" t="n">
        <v>40874.6798611111</v>
      </c>
      <c r="C2379" s="1" t="n">
        <v>20</v>
      </c>
      <c r="D2379" s="1" t="n">
        <v>4758.2</v>
      </c>
    </row>
    <row r="2380" customFormat="false" ht="14.25" hidden="false" customHeight="true" outlineLevel="0" collapsed="false">
      <c r="A2380" s="51" t="n">
        <v>15556</v>
      </c>
      <c r="B2380" s="52" t="n">
        <v>40862.6722222222</v>
      </c>
      <c r="C2380" s="1" t="n">
        <v>1</v>
      </c>
      <c r="D2380" s="1" t="n">
        <v>279.77</v>
      </c>
    </row>
    <row r="2381" customFormat="false" ht="14.25" hidden="false" customHeight="true" outlineLevel="0" collapsed="false">
      <c r="A2381" s="51" t="n">
        <v>15557</v>
      </c>
      <c r="B2381" s="52" t="n">
        <v>40858.5319444445</v>
      </c>
      <c r="C2381" s="1" t="n">
        <v>1</v>
      </c>
      <c r="D2381" s="1" t="n">
        <v>473.65</v>
      </c>
    </row>
    <row r="2382" customFormat="false" ht="14.25" hidden="false" customHeight="true" outlineLevel="0" collapsed="false">
      <c r="A2382" s="51" t="n">
        <v>15561</v>
      </c>
      <c r="B2382" s="52" t="n">
        <v>40875.4631944444</v>
      </c>
      <c r="C2382" s="1" t="n">
        <v>5</v>
      </c>
      <c r="D2382" s="1" t="n">
        <v>722.74</v>
      </c>
    </row>
    <row r="2383" customFormat="false" ht="14.25" hidden="false" customHeight="true" outlineLevel="0" collapsed="false">
      <c r="A2383" s="51" t="n">
        <v>15562</v>
      </c>
      <c r="B2383" s="52" t="n">
        <v>40535.4131944445</v>
      </c>
      <c r="C2383" s="1" t="n">
        <v>1</v>
      </c>
      <c r="D2383" s="1" t="n">
        <v>134.55</v>
      </c>
    </row>
    <row r="2384" customFormat="false" ht="14.25" hidden="false" customHeight="true" outlineLevel="0" collapsed="false">
      <c r="A2384" s="51" t="n">
        <v>15563</v>
      </c>
      <c r="B2384" s="52" t="n">
        <v>40878.4</v>
      </c>
      <c r="C2384" s="1" t="n">
        <v>7</v>
      </c>
      <c r="D2384" s="1" t="n">
        <v>1319.69</v>
      </c>
    </row>
    <row r="2385" customFormat="false" ht="14.25" hidden="false" customHeight="true" outlineLevel="0" collapsed="false">
      <c r="A2385" s="51" t="n">
        <v>15565</v>
      </c>
      <c r="B2385" s="52" t="n">
        <v>40836.60625</v>
      </c>
      <c r="C2385" s="1" t="n">
        <v>2</v>
      </c>
      <c r="D2385" s="1" t="n">
        <v>173.16</v>
      </c>
    </row>
    <row r="2386" customFormat="false" ht="14.25" hidden="false" customHeight="true" outlineLevel="0" collapsed="false">
      <c r="A2386" s="51" t="n">
        <v>15567</v>
      </c>
      <c r="B2386" s="52" t="n">
        <v>40868.45</v>
      </c>
      <c r="C2386" s="1" t="n">
        <v>1</v>
      </c>
      <c r="D2386" s="1" t="n">
        <v>186.01</v>
      </c>
    </row>
    <row r="2387" customFormat="false" ht="14.25" hidden="false" customHeight="true" outlineLevel="0" collapsed="false">
      <c r="A2387" s="51" t="n">
        <v>15568</v>
      </c>
      <c r="B2387" s="52" t="n">
        <v>40884.4770833333</v>
      </c>
      <c r="C2387" s="1" t="n">
        <v>3</v>
      </c>
      <c r="D2387" s="1" t="n">
        <v>758.29</v>
      </c>
    </row>
    <row r="2388" customFormat="false" ht="14.25" hidden="false" customHeight="true" outlineLevel="0" collapsed="false">
      <c r="A2388" s="51" t="n">
        <v>15569</v>
      </c>
      <c r="B2388" s="52" t="n">
        <v>40783.4270833333</v>
      </c>
      <c r="C2388" s="1" t="n">
        <v>5</v>
      </c>
      <c r="D2388" s="1" t="n">
        <v>1375.71</v>
      </c>
    </row>
    <row r="2389" customFormat="false" ht="14.25" hidden="false" customHeight="true" outlineLevel="0" collapsed="false">
      <c r="A2389" s="51" t="n">
        <v>15570</v>
      </c>
      <c r="B2389" s="52" t="n">
        <v>40879.6159722222</v>
      </c>
      <c r="C2389" s="1" t="n">
        <v>13</v>
      </c>
      <c r="D2389" s="1" t="n">
        <v>4109.97</v>
      </c>
    </row>
    <row r="2390" customFormat="false" ht="14.25" hidden="false" customHeight="true" outlineLevel="0" collapsed="false">
      <c r="A2390" s="51" t="n">
        <v>15571</v>
      </c>
      <c r="B2390" s="52" t="n">
        <v>40875.4180555556</v>
      </c>
      <c r="C2390" s="1" t="n">
        <v>4</v>
      </c>
      <c r="D2390" s="1" t="n">
        <v>650.43</v>
      </c>
    </row>
    <row r="2391" customFormat="false" ht="14.25" hidden="false" customHeight="true" outlineLevel="0" collapsed="false">
      <c r="A2391" s="51" t="n">
        <v>15572</v>
      </c>
      <c r="B2391" s="52" t="n">
        <v>40882.4229166667</v>
      </c>
      <c r="C2391" s="1" t="n">
        <v>7</v>
      </c>
      <c r="D2391" s="1" t="n">
        <v>2552.86</v>
      </c>
    </row>
    <row r="2392" customFormat="false" ht="14.25" hidden="false" customHeight="true" outlineLevel="0" collapsed="false">
      <c r="A2392" s="51" t="n">
        <v>15573</v>
      </c>
      <c r="B2392" s="52" t="n">
        <v>40855.4847222222</v>
      </c>
      <c r="C2392" s="1" t="n">
        <v>2</v>
      </c>
      <c r="D2392" s="1" t="n">
        <v>607.45</v>
      </c>
    </row>
    <row r="2393" customFormat="false" ht="14.25" hidden="false" customHeight="true" outlineLevel="0" collapsed="false">
      <c r="A2393" s="51" t="n">
        <v>15574</v>
      </c>
      <c r="B2393" s="52" t="n">
        <v>40709.5006944445</v>
      </c>
      <c r="C2393" s="1" t="n">
        <v>4</v>
      </c>
      <c r="D2393" s="1" t="n">
        <v>702.25</v>
      </c>
    </row>
    <row r="2394" customFormat="false" ht="14.25" hidden="false" customHeight="true" outlineLevel="0" collapsed="false">
      <c r="A2394" s="51" t="n">
        <v>15576</v>
      </c>
      <c r="B2394" s="52" t="n">
        <v>40849.5020833333</v>
      </c>
      <c r="C2394" s="1" t="n">
        <v>1</v>
      </c>
      <c r="D2394" s="1" t="n">
        <v>940.67</v>
      </c>
    </row>
    <row r="2395" customFormat="false" ht="14.25" hidden="false" customHeight="true" outlineLevel="0" collapsed="false">
      <c r="A2395" s="51" t="n">
        <v>15577</v>
      </c>
      <c r="B2395" s="52" t="n">
        <v>40735.7104166667</v>
      </c>
      <c r="C2395" s="1" t="n">
        <v>3</v>
      </c>
      <c r="D2395" s="1" t="n">
        <v>258.88</v>
      </c>
    </row>
    <row r="2396" customFormat="false" ht="14.25" hidden="false" customHeight="true" outlineLevel="0" collapsed="false">
      <c r="A2396" s="51" t="n">
        <v>15578</v>
      </c>
      <c r="B2396" s="52" t="n">
        <v>40724.54375</v>
      </c>
      <c r="C2396" s="1" t="n">
        <v>1</v>
      </c>
      <c r="D2396" s="1" t="n">
        <v>127.1</v>
      </c>
    </row>
    <row r="2397" customFormat="false" ht="14.25" hidden="false" customHeight="true" outlineLevel="0" collapsed="false">
      <c r="A2397" s="51" t="n">
        <v>15579</v>
      </c>
      <c r="B2397" s="52" t="n">
        <v>40818.53125</v>
      </c>
      <c r="C2397" s="1" t="n">
        <v>2</v>
      </c>
      <c r="D2397" s="1" t="n">
        <v>348.6</v>
      </c>
    </row>
    <row r="2398" customFormat="false" ht="14.25" hidden="false" customHeight="true" outlineLevel="0" collapsed="false">
      <c r="A2398" s="51" t="n">
        <v>15581</v>
      </c>
      <c r="B2398" s="52" t="n">
        <v>40766.4013888889</v>
      </c>
      <c r="C2398" s="1" t="n">
        <v>14</v>
      </c>
      <c r="D2398" s="1" t="n">
        <v>3429.97</v>
      </c>
    </row>
    <row r="2399" customFormat="false" ht="14.25" hidden="false" customHeight="true" outlineLevel="0" collapsed="false">
      <c r="A2399" s="51" t="n">
        <v>15582</v>
      </c>
      <c r="B2399" s="52" t="n">
        <v>40862.4131944445</v>
      </c>
      <c r="C2399" s="1" t="n">
        <v>3</v>
      </c>
      <c r="D2399" s="1" t="n">
        <v>682.91</v>
      </c>
    </row>
    <row r="2400" customFormat="false" ht="14.25" hidden="false" customHeight="true" outlineLevel="0" collapsed="false">
      <c r="A2400" s="51" t="n">
        <v>15584</v>
      </c>
      <c r="B2400" s="52" t="n">
        <v>40863.4548611111</v>
      </c>
      <c r="C2400" s="1" t="n">
        <v>5</v>
      </c>
      <c r="D2400" s="1" t="n">
        <v>722.61</v>
      </c>
    </row>
    <row r="2401" customFormat="false" ht="14.25" hidden="false" customHeight="true" outlineLevel="0" collapsed="false">
      <c r="A2401" s="51" t="n">
        <v>15585</v>
      </c>
      <c r="B2401" s="52" t="n">
        <v>40710.3597222222</v>
      </c>
      <c r="C2401" s="1" t="n">
        <v>1</v>
      </c>
      <c r="D2401" s="1" t="n">
        <v>455.3</v>
      </c>
    </row>
    <row r="2402" customFormat="false" ht="14.25" hidden="false" customHeight="true" outlineLevel="0" collapsed="false">
      <c r="A2402" s="51" t="n">
        <v>15587</v>
      </c>
      <c r="B2402" s="52" t="n">
        <v>40836.5673611111</v>
      </c>
      <c r="C2402" s="1" t="n">
        <v>4</v>
      </c>
      <c r="D2402" s="1" t="n">
        <v>913.68</v>
      </c>
    </row>
    <row r="2403" customFormat="false" ht="14.25" hidden="false" customHeight="true" outlineLevel="0" collapsed="false">
      <c r="A2403" s="51" t="n">
        <v>15589</v>
      </c>
      <c r="B2403" s="52" t="n">
        <v>40634.4736111111</v>
      </c>
      <c r="C2403" s="1" t="n">
        <v>4</v>
      </c>
      <c r="D2403" s="1" t="n">
        <v>456.58</v>
      </c>
    </row>
    <row r="2404" customFormat="false" ht="14.25" hidden="false" customHeight="true" outlineLevel="0" collapsed="false">
      <c r="A2404" s="51" t="n">
        <v>15590</v>
      </c>
      <c r="B2404" s="52" t="n">
        <v>40597.6916666667</v>
      </c>
      <c r="C2404" s="1" t="n">
        <v>1</v>
      </c>
      <c r="D2404" s="1" t="n">
        <v>-30.19</v>
      </c>
    </row>
    <row r="2405" customFormat="false" ht="14.25" hidden="false" customHeight="true" outlineLevel="0" collapsed="false">
      <c r="A2405" s="51" t="n">
        <v>15592</v>
      </c>
      <c r="B2405" s="52" t="n">
        <v>40840.3743055556</v>
      </c>
      <c r="C2405" s="1" t="n">
        <v>1</v>
      </c>
      <c r="D2405" s="1" t="n">
        <v>388.58</v>
      </c>
    </row>
    <row r="2406" customFormat="false" ht="14.25" hidden="false" customHeight="true" outlineLevel="0" collapsed="false">
      <c r="A2406" s="51" t="n">
        <v>15593</v>
      </c>
      <c r="B2406" s="52" t="n">
        <v>40816.4902777778</v>
      </c>
      <c r="C2406" s="1" t="n">
        <v>1</v>
      </c>
      <c r="D2406" s="1" t="n">
        <v>199.8</v>
      </c>
    </row>
    <row r="2407" customFormat="false" ht="14.25" hidden="false" customHeight="true" outlineLevel="0" collapsed="false">
      <c r="A2407" s="51" t="n">
        <v>15594</v>
      </c>
      <c r="B2407" s="52" t="n">
        <v>40871.3701388889</v>
      </c>
      <c r="C2407" s="1" t="n">
        <v>6</v>
      </c>
      <c r="D2407" s="1" t="n">
        <v>1767.53</v>
      </c>
    </row>
    <row r="2408" customFormat="false" ht="14.25" hidden="false" customHeight="true" outlineLevel="0" collapsed="false">
      <c r="A2408" s="51" t="n">
        <v>15596</v>
      </c>
      <c r="B2408" s="52" t="n">
        <v>40786.4548611111</v>
      </c>
      <c r="C2408" s="1" t="n">
        <v>9</v>
      </c>
      <c r="D2408" s="1" t="n">
        <v>1343.34</v>
      </c>
    </row>
    <row r="2409" customFormat="false" ht="14.25" hidden="false" customHeight="true" outlineLevel="0" collapsed="false">
      <c r="A2409" s="51" t="n">
        <v>15597</v>
      </c>
      <c r="B2409" s="52" t="n">
        <v>40857.4902777778</v>
      </c>
      <c r="C2409" s="1" t="n">
        <v>2</v>
      </c>
      <c r="D2409" s="1" t="n">
        <v>315.72</v>
      </c>
    </row>
    <row r="2410" customFormat="false" ht="14.25" hidden="false" customHeight="true" outlineLevel="0" collapsed="false">
      <c r="A2410" s="51" t="n">
        <v>15598</v>
      </c>
      <c r="B2410" s="52" t="n">
        <v>40851.5513888889</v>
      </c>
      <c r="C2410" s="1" t="n">
        <v>3</v>
      </c>
      <c r="D2410" s="1" t="n">
        <v>235.68</v>
      </c>
    </row>
    <row r="2411" customFormat="false" ht="14.25" hidden="false" customHeight="true" outlineLevel="0" collapsed="false">
      <c r="A2411" s="51" t="n">
        <v>15599</v>
      </c>
      <c r="B2411" s="52" t="n">
        <v>40860.4888888889</v>
      </c>
      <c r="C2411" s="1" t="n">
        <v>2</v>
      </c>
      <c r="D2411" s="1" t="n">
        <v>761.74</v>
      </c>
    </row>
    <row r="2412" customFormat="false" ht="14.25" hidden="false" customHeight="true" outlineLevel="0" collapsed="false">
      <c r="A2412" s="51" t="n">
        <v>15601</v>
      </c>
      <c r="B2412" s="52" t="n">
        <v>40875.6354166667</v>
      </c>
      <c r="C2412" s="1" t="n">
        <v>17</v>
      </c>
      <c r="D2412" s="1" t="n">
        <v>6745.36</v>
      </c>
    </row>
    <row r="2413" customFormat="false" ht="14.25" hidden="false" customHeight="true" outlineLevel="0" collapsed="false">
      <c r="A2413" s="51" t="n">
        <v>15602</v>
      </c>
      <c r="B2413" s="52" t="n">
        <v>40878.5930555556</v>
      </c>
      <c r="C2413" s="1" t="n">
        <v>15</v>
      </c>
      <c r="D2413" s="1" t="n">
        <v>1083.63</v>
      </c>
    </row>
    <row r="2414" customFormat="false" ht="14.25" hidden="false" customHeight="true" outlineLevel="0" collapsed="false">
      <c r="A2414" s="51" t="n">
        <v>15603</v>
      </c>
      <c r="B2414" s="52" t="n">
        <v>40808.4194444444</v>
      </c>
      <c r="C2414" s="1" t="n">
        <v>1</v>
      </c>
      <c r="D2414" s="1" t="n">
        <v>48.48</v>
      </c>
    </row>
    <row r="2415" customFormat="false" ht="14.25" hidden="false" customHeight="true" outlineLevel="0" collapsed="false">
      <c r="A2415" s="51" t="n">
        <v>15604</v>
      </c>
      <c r="B2415" s="52" t="n">
        <v>40834.6159722222</v>
      </c>
      <c r="C2415" s="1" t="n">
        <v>1</v>
      </c>
      <c r="D2415" s="1" t="n">
        <v>216.39</v>
      </c>
    </row>
    <row r="2416" customFormat="false" ht="14.25" hidden="false" customHeight="true" outlineLevel="0" collapsed="false">
      <c r="A2416" s="51" t="n">
        <v>15605</v>
      </c>
      <c r="B2416" s="52" t="n">
        <v>40850.5951388889</v>
      </c>
      <c r="C2416" s="1" t="n">
        <v>5</v>
      </c>
      <c r="D2416" s="1" t="n">
        <v>1198.23</v>
      </c>
    </row>
    <row r="2417" customFormat="false" ht="14.25" hidden="false" customHeight="true" outlineLevel="0" collapsed="false">
      <c r="A2417" s="51" t="n">
        <v>15606</v>
      </c>
      <c r="B2417" s="52" t="n">
        <v>40829.5638888889</v>
      </c>
      <c r="C2417" s="1" t="n">
        <v>11</v>
      </c>
      <c r="D2417" s="1" t="n">
        <v>2422.64</v>
      </c>
    </row>
    <row r="2418" customFormat="false" ht="14.25" hidden="false" customHeight="true" outlineLevel="0" collapsed="false">
      <c r="A2418" s="51" t="n">
        <v>15607</v>
      </c>
      <c r="B2418" s="52" t="n">
        <v>40550.5305555556</v>
      </c>
      <c r="C2418" s="1" t="n">
        <v>1</v>
      </c>
      <c r="D2418" s="1" t="n">
        <v>104.76</v>
      </c>
    </row>
    <row r="2419" customFormat="false" ht="14.25" hidden="false" customHeight="true" outlineLevel="0" collapsed="false">
      <c r="A2419" s="51" t="n">
        <v>15608</v>
      </c>
      <c r="B2419" s="52" t="n">
        <v>40858.5555555556</v>
      </c>
      <c r="C2419" s="1" t="n">
        <v>4</v>
      </c>
      <c r="D2419" s="1" t="n">
        <v>1093.68</v>
      </c>
    </row>
    <row r="2420" customFormat="false" ht="14.25" hidden="false" customHeight="true" outlineLevel="0" collapsed="false">
      <c r="A2420" s="51" t="n">
        <v>15609</v>
      </c>
      <c r="B2420" s="52" t="n">
        <v>40704.4131944445</v>
      </c>
      <c r="C2420" s="1" t="n">
        <v>2</v>
      </c>
      <c r="D2420" s="1" t="n">
        <v>270.03</v>
      </c>
    </row>
    <row r="2421" customFormat="false" ht="14.25" hidden="false" customHeight="true" outlineLevel="0" collapsed="false">
      <c r="A2421" s="51" t="n">
        <v>15610</v>
      </c>
      <c r="B2421" s="52" t="n">
        <v>40835.4416666667</v>
      </c>
      <c r="C2421" s="1" t="n">
        <v>1</v>
      </c>
      <c r="D2421" s="1" t="n">
        <v>112.46</v>
      </c>
    </row>
    <row r="2422" customFormat="false" ht="14.25" hidden="false" customHeight="true" outlineLevel="0" collapsed="false">
      <c r="A2422" s="51" t="n">
        <v>15611</v>
      </c>
      <c r="B2422" s="52" t="n">
        <v>40877.525</v>
      </c>
      <c r="C2422" s="1" t="n">
        <v>15</v>
      </c>
      <c r="D2422" s="1" t="n">
        <v>1568.39</v>
      </c>
    </row>
    <row r="2423" customFormat="false" ht="14.25" hidden="false" customHeight="true" outlineLevel="0" collapsed="false">
      <c r="A2423" s="51" t="n">
        <v>15612</v>
      </c>
      <c r="B2423" s="52" t="n">
        <v>40850.6194444444</v>
      </c>
      <c r="C2423" s="1" t="n">
        <v>2</v>
      </c>
      <c r="D2423" s="1" t="n">
        <v>195.15</v>
      </c>
    </row>
    <row r="2424" customFormat="false" ht="14.25" hidden="false" customHeight="true" outlineLevel="0" collapsed="false">
      <c r="A2424" s="51" t="n">
        <v>15615</v>
      </c>
      <c r="B2424" s="52" t="n">
        <v>40876.6125</v>
      </c>
      <c r="C2424" s="1" t="n">
        <v>27</v>
      </c>
      <c r="D2424" s="1" t="n">
        <v>10360.04</v>
      </c>
    </row>
    <row r="2425" customFormat="false" ht="14.25" hidden="false" customHeight="true" outlineLevel="0" collapsed="false">
      <c r="A2425" s="51" t="n">
        <v>15618</v>
      </c>
      <c r="B2425" s="52" t="n">
        <v>40854.3569444444</v>
      </c>
      <c r="C2425" s="1" t="n">
        <v>5</v>
      </c>
      <c r="D2425" s="1" t="n">
        <v>747.031</v>
      </c>
    </row>
    <row r="2426" customFormat="false" ht="14.25" hidden="false" customHeight="true" outlineLevel="0" collapsed="false">
      <c r="A2426" s="51" t="n">
        <v>15619</v>
      </c>
      <c r="B2426" s="52" t="n">
        <v>40876.3430555556</v>
      </c>
      <c r="C2426" s="1" t="n">
        <v>1</v>
      </c>
      <c r="D2426" s="1" t="n">
        <v>336.4</v>
      </c>
    </row>
    <row r="2427" customFormat="false" ht="14.25" hidden="false" customHeight="true" outlineLevel="0" collapsed="false">
      <c r="A2427" s="51" t="n">
        <v>15620</v>
      </c>
      <c r="B2427" s="52" t="n">
        <v>40836.8034722222</v>
      </c>
      <c r="C2427" s="1" t="n">
        <v>6</v>
      </c>
      <c r="D2427" s="1" t="n">
        <v>1524.4</v>
      </c>
    </row>
    <row r="2428" customFormat="false" ht="14.25" hidden="false" customHeight="true" outlineLevel="0" collapsed="false">
      <c r="A2428" s="51" t="n">
        <v>15621</v>
      </c>
      <c r="B2428" s="52" t="n">
        <v>40882.5840277778</v>
      </c>
      <c r="C2428" s="1" t="n">
        <v>6</v>
      </c>
      <c r="D2428" s="1" t="n">
        <v>1158.77</v>
      </c>
    </row>
    <row r="2429" customFormat="false" ht="14.25" hidden="false" customHeight="true" outlineLevel="0" collapsed="false">
      <c r="A2429" s="51" t="n">
        <v>15622</v>
      </c>
      <c r="B2429" s="52" t="n">
        <v>40883.6229166667</v>
      </c>
      <c r="C2429" s="1" t="n">
        <v>16</v>
      </c>
      <c r="D2429" s="1" t="n">
        <v>3224.53</v>
      </c>
    </row>
    <row r="2430" customFormat="false" ht="14.25" hidden="false" customHeight="true" outlineLevel="0" collapsed="false">
      <c r="A2430" s="51" t="n">
        <v>15623</v>
      </c>
      <c r="B2430" s="52" t="n">
        <v>40745.7263888889</v>
      </c>
      <c r="C2430" s="1" t="n">
        <v>1</v>
      </c>
      <c r="D2430" s="1" t="n">
        <v>301.03</v>
      </c>
    </row>
    <row r="2431" customFormat="false" ht="14.25" hidden="false" customHeight="true" outlineLevel="0" collapsed="false">
      <c r="A2431" s="51" t="n">
        <v>15624</v>
      </c>
      <c r="B2431" s="52" t="n">
        <v>40770.4847222222</v>
      </c>
      <c r="C2431" s="1" t="n">
        <v>4</v>
      </c>
      <c r="D2431" s="1" t="n">
        <v>588.13</v>
      </c>
    </row>
    <row r="2432" customFormat="false" ht="14.25" hidden="false" customHeight="true" outlineLevel="0" collapsed="false">
      <c r="A2432" s="51" t="n">
        <v>15625</v>
      </c>
      <c r="B2432" s="52" t="n">
        <v>40786.6756944444</v>
      </c>
      <c r="C2432" s="1" t="n">
        <v>8</v>
      </c>
      <c r="D2432" s="1" t="n">
        <v>1504.56</v>
      </c>
    </row>
    <row r="2433" customFormat="false" ht="14.25" hidden="false" customHeight="true" outlineLevel="0" collapsed="false">
      <c r="A2433" s="51" t="n">
        <v>15626</v>
      </c>
      <c r="B2433" s="52" t="n">
        <v>40812.41875</v>
      </c>
      <c r="C2433" s="1" t="n">
        <v>2</v>
      </c>
      <c r="D2433" s="1" t="n">
        <v>675.8</v>
      </c>
    </row>
    <row r="2434" customFormat="false" ht="14.25" hidden="false" customHeight="true" outlineLevel="0" collapsed="false">
      <c r="A2434" s="51" t="n">
        <v>15628</v>
      </c>
      <c r="B2434" s="52" t="n">
        <v>40882.4333333333</v>
      </c>
      <c r="C2434" s="1" t="n">
        <v>10</v>
      </c>
      <c r="D2434" s="1" t="n">
        <v>2865.64</v>
      </c>
    </row>
    <row r="2435" customFormat="false" ht="14.25" hidden="false" customHeight="true" outlineLevel="0" collapsed="false">
      <c r="A2435" s="51" t="n">
        <v>15630</v>
      </c>
      <c r="B2435" s="52" t="n">
        <v>40841.65</v>
      </c>
      <c r="C2435" s="1" t="n">
        <v>3</v>
      </c>
      <c r="D2435" s="1" t="n">
        <v>1180.4</v>
      </c>
    </row>
    <row r="2436" customFormat="false" ht="14.25" hidden="false" customHeight="true" outlineLevel="0" collapsed="false">
      <c r="A2436" s="51" t="n">
        <v>15632</v>
      </c>
      <c r="B2436" s="52" t="n">
        <v>40871.4104166667</v>
      </c>
      <c r="C2436" s="1" t="n">
        <v>10</v>
      </c>
      <c r="D2436" s="1" t="n">
        <v>3147.31</v>
      </c>
    </row>
    <row r="2437" customFormat="false" ht="14.25" hidden="false" customHeight="true" outlineLevel="0" collapsed="false">
      <c r="A2437" s="51" t="n">
        <v>15634</v>
      </c>
      <c r="B2437" s="52" t="n">
        <v>40869.6861111111</v>
      </c>
      <c r="C2437" s="1" t="n">
        <v>1</v>
      </c>
      <c r="D2437" s="1" t="n">
        <v>243.55</v>
      </c>
    </row>
    <row r="2438" customFormat="false" ht="14.25" hidden="false" customHeight="true" outlineLevel="0" collapsed="false">
      <c r="A2438" s="51" t="n">
        <v>15636</v>
      </c>
      <c r="B2438" s="52" t="n">
        <v>40797.4701388889</v>
      </c>
      <c r="C2438" s="1" t="n">
        <v>2</v>
      </c>
      <c r="D2438" s="1" t="n">
        <v>724.76</v>
      </c>
    </row>
    <row r="2439" customFormat="false" ht="14.25" hidden="false" customHeight="true" outlineLevel="0" collapsed="false">
      <c r="A2439" s="51" t="n">
        <v>15637</v>
      </c>
      <c r="B2439" s="52" t="n">
        <v>40834.3527777778</v>
      </c>
      <c r="C2439" s="1" t="n">
        <v>1</v>
      </c>
      <c r="D2439" s="1" t="n">
        <v>223.36</v>
      </c>
    </row>
    <row r="2440" customFormat="false" ht="14.25" hidden="false" customHeight="true" outlineLevel="0" collapsed="false">
      <c r="A2440" s="51" t="n">
        <v>15638</v>
      </c>
      <c r="B2440" s="52" t="n">
        <v>40585.6333333333</v>
      </c>
      <c r="C2440" s="1" t="n">
        <v>1</v>
      </c>
      <c r="D2440" s="1" t="n">
        <v>-94</v>
      </c>
    </row>
    <row r="2441" customFormat="false" ht="14.25" hidden="false" customHeight="true" outlineLevel="0" collapsed="false">
      <c r="A2441" s="51" t="n">
        <v>15639</v>
      </c>
      <c r="B2441" s="52" t="n">
        <v>40752.6041666667</v>
      </c>
      <c r="C2441" s="1" t="n">
        <v>1</v>
      </c>
      <c r="D2441" s="1" t="n">
        <v>425.32</v>
      </c>
    </row>
    <row r="2442" customFormat="false" ht="14.25" hidden="false" customHeight="true" outlineLevel="0" collapsed="false">
      <c r="A2442" s="51" t="n">
        <v>15640</v>
      </c>
      <c r="B2442" s="52" t="n">
        <v>40882.6076388889</v>
      </c>
      <c r="C2442" s="1" t="n">
        <v>17</v>
      </c>
      <c r="D2442" s="1" t="n">
        <v>12433.34</v>
      </c>
    </row>
    <row r="2443" customFormat="false" ht="14.25" hidden="false" customHeight="true" outlineLevel="0" collapsed="false">
      <c r="A2443" s="51" t="n">
        <v>15641</v>
      </c>
      <c r="B2443" s="52" t="n">
        <v>40781.5861111111</v>
      </c>
      <c r="C2443" s="1" t="n">
        <v>4</v>
      </c>
      <c r="D2443" s="1" t="n">
        <v>1887.2</v>
      </c>
    </row>
    <row r="2444" customFormat="false" ht="14.25" hidden="false" customHeight="true" outlineLevel="0" collapsed="false">
      <c r="A2444" s="51" t="n">
        <v>15643</v>
      </c>
      <c r="B2444" s="52" t="n">
        <v>40707.7215277778</v>
      </c>
      <c r="C2444" s="1" t="n">
        <v>6</v>
      </c>
      <c r="D2444" s="1" t="n">
        <v>647.4</v>
      </c>
    </row>
    <row r="2445" customFormat="false" ht="14.25" hidden="false" customHeight="true" outlineLevel="0" collapsed="false">
      <c r="A2445" s="51" t="n">
        <v>15644</v>
      </c>
      <c r="B2445" s="52" t="n">
        <v>40720.6208333333</v>
      </c>
      <c r="C2445" s="1" t="n">
        <v>4</v>
      </c>
      <c r="D2445" s="1" t="n">
        <v>813</v>
      </c>
    </row>
    <row r="2446" customFormat="false" ht="14.25" hidden="false" customHeight="true" outlineLevel="0" collapsed="false">
      <c r="A2446" s="51" t="n">
        <v>15645</v>
      </c>
      <c r="B2446" s="52" t="n">
        <v>40868.4965277778</v>
      </c>
      <c r="C2446" s="1" t="n">
        <v>1</v>
      </c>
      <c r="D2446" s="1" t="n">
        <v>612.01</v>
      </c>
    </row>
    <row r="2447" customFormat="false" ht="14.25" hidden="false" customHeight="true" outlineLevel="0" collapsed="false">
      <c r="A2447" s="51" t="n">
        <v>15646</v>
      </c>
      <c r="B2447" s="52" t="n">
        <v>40729.4118055556</v>
      </c>
      <c r="C2447" s="1" t="n">
        <v>4</v>
      </c>
      <c r="D2447" s="1" t="n">
        <v>425.14</v>
      </c>
    </row>
    <row r="2448" customFormat="false" ht="14.25" hidden="false" customHeight="true" outlineLevel="0" collapsed="false">
      <c r="A2448" s="51" t="n">
        <v>15648</v>
      </c>
      <c r="B2448" s="52" t="n">
        <v>40682.6618055556</v>
      </c>
      <c r="C2448" s="1" t="n">
        <v>4</v>
      </c>
      <c r="D2448" s="1" t="n">
        <v>599.9</v>
      </c>
    </row>
    <row r="2449" customFormat="false" ht="14.25" hidden="false" customHeight="true" outlineLevel="0" collapsed="false">
      <c r="A2449" s="51" t="n">
        <v>15649</v>
      </c>
      <c r="B2449" s="52" t="n">
        <v>40550.5652777778</v>
      </c>
      <c r="C2449" s="1" t="n">
        <v>2</v>
      </c>
      <c r="D2449" s="1" t="n">
        <v>816</v>
      </c>
    </row>
    <row r="2450" customFormat="false" ht="14.25" hidden="false" customHeight="true" outlineLevel="0" collapsed="false">
      <c r="A2450" s="51" t="n">
        <v>15651</v>
      </c>
      <c r="B2450" s="52" t="n">
        <v>40850.3618055556</v>
      </c>
      <c r="C2450" s="1" t="n">
        <v>3</v>
      </c>
      <c r="D2450" s="1" t="n">
        <v>646.3</v>
      </c>
    </row>
    <row r="2451" customFormat="false" ht="14.25" hidden="false" customHeight="true" outlineLevel="0" collapsed="false">
      <c r="A2451" s="51" t="n">
        <v>15652</v>
      </c>
      <c r="B2451" s="52" t="n">
        <v>40795.5986111111</v>
      </c>
      <c r="C2451" s="1" t="n">
        <v>1</v>
      </c>
      <c r="D2451" s="1" t="n">
        <v>337.74</v>
      </c>
    </row>
    <row r="2452" customFormat="false" ht="14.25" hidden="false" customHeight="true" outlineLevel="0" collapsed="false">
      <c r="A2452" s="51" t="n">
        <v>15653</v>
      </c>
      <c r="B2452" s="52" t="n">
        <v>40794.4506944444</v>
      </c>
      <c r="C2452" s="1" t="n">
        <v>2</v>
      </c>
      <c r="D2452" s="1" t="n">
        <v>877.44</v>
      </c>
    </row>
    <row r="2453" customFormat="false" ht="14.25" hidden="false" customHeight="true" outlineLevel="0" collapsed="false">
      <c r="A2453" s="51" t="n">
        <v>15654</v>
      </c>
      <c r="B2453" s="52" t="n">
        <v>40877.5472222222</v>
      </c>
      <c r="C2453" s="1" t="n">
        <v>2</v>
      </c>
      <c r="D2453" s="1" t="n">
        <v>922.53</v>
      </c>
    </row>
    <row r="2454" customFormat="false" ht="14.25" hidden="false" customHeight="true" outlineLevel="0" collapsed="false">
      <c r="A2454" s="51" t="n">
        <v>15655</v>
      </c>
      <c r="B2454" s="52" t="n">
        <v>40653.6861111111</v>
      </c>
      <c r="C2454" s="1" t="n">
        <v>2</v>
      </c>
      <c r="D2454" s="1" t="n">
        <v>511.32</v>
      </c>
    </row>
    <row r="2455" customFormat="false" ht="14.25" hidden="false" customHeight="true" outlineLevel="0" collapsed="false">
      <c r="A2455" s="51" t="n">
        <v>15656</v>
      </c>
      <c r="B2455" s="52" t="n">
        <v>40841.6222222222</v>
      </c>
      <c r="C2455" s="1" t="n">
        <v>4</v>
      </c>
      <c r="D2455" s="1" t="n">
        <v>748.5</v>
      </c>
    </row>
    <row r="2456" customFormat="false" ht="14.25" hidden="false" customHeight="true" outlineLevel="0" collapsed="false">
      <c r="A2456" s="51" t="n">
        <v>15657</v>
      </c>
      <c r="B2456" s="52" t="n">
        <v>40864.5131944444</v>
      </c>
      <c r="C2456" s="1" t="n">
        <v>1</v>
      </c>
      <c r="D2456" s="1" t="n">
        <v>30</v>
      </c>
    </row>
    <row r="2457" customFormat="false" ht="14.25" hidden="false" customHeight="true" outlineLevel="0" collapsed="false">
      <c r="A2457" s="51" t="n">
        <v>15658</v>
      </c>
      <c r="B2457" s="52" t="n">
        <v>40696.6402777778</v>
      </c>
      <c r="C2457" s="1" t="n">
        <v>8</v>
      </c>
      <c r="D2457" s="1" t="n">
        <v>958.9</v>
      </c>
    </row>
    <row r="2458" customFormat="false" ht="14.25" hidden="false" customHeight="true" outlineLevel="0" collapsed="false">
      <c r="A2458" s="51" t="n">
        <v>15659</v>
      </c>
      <c r="B2458" s="52" t="n">
        <v>40843.3909722222</v>
      </c>
      <c r="C2458" s="1" t="n">
        <v>1</v>
      </c>
      <c r="D2458" s="1" t="n">
        <v>306.45</v>
      </c>
    </row>
    <row r="2459" customFormat="false" ht="14.25" hidden="false" customHeight="true" outlineLevel="0" collapsed="false">
      <c r="A2459" s="51" t="n">
        <v>15660</v>
      </c>
      <c r="B2459" s="52" t="n">
        <v>40861.7069444444</v>
      </c>
      <c r="C2459" s="1" t="n">
        <v>12</v>
      </c>
      <c r="D2459" s="1" t="n">
        <v>1552.01</v>
      </c>
    </row>
    <row r="2460" customFormat="false" ht="14.25" hidden="false" customHeight="true" outlineLevel="0" collapsed="false">
      <c r="A2460" s="51" t="n">
        <v>15661</v>
      </c>
      <c r="B2460" s="52" t="n">
        <v>40569.5805555556</v>
      </c>
      <c r="C2460" s="1" t="n">
        <v>2</v>
      </c>
      <c r="D2460" s="1" t="n">
        <v>309.8</v>
      </c>
    </row>
    <row r="2461" customFormat="false" ht="14.25" hidden="false" customHeight="true" outlineLevel="0" collapsed="false">
      <c r="A2461" s="51" t="n">
        <v>15663</v>
      </c>
      <c r="B2461" s="52" t="n">
        <v>40780.6597222222</v>
      </c>
      <c r="C2461" s="1" t="n">
        <v>1</v>
      </c>
      <c r="D2461" s="1" t="n">
        <v>138.14</v>
      </c>
    </row>
    <row r="2462" customFormat="false" ht="14.25" hidden="false" customHeight="true" outlineLevel="0" collapsed="false">
      <c r="A2462" s="51" t="n">
        <v>15664</v>
      </c>
      <c r="B2462" s="52" t="n">
        <v>40836.45625</v>
      </c>
      <c r="C2462" s="1" t="n">
        <v>2</v>
      </c>
      <c r="D2462" s="1" t="n">
        <v>358.63</v>
      </c>
    </row>
    <row r="2463" customFormat="false" ht="14.25" hidden="false" customHeight="true" outlineLevel="0" collapsed="false">
      <c r="A2463" s="51" t="n">
        <v>15665</v>
      </c>
      <c r="B2463" s="52" t="n">
        <v>40718.6229166667</v>
      </c>
      <c r="C2463" s="1" t="n">
        <v>2</v>
      </c>
      <c r="D2463" s="1" t="n">
        <v>2242.01</v>
      </c>
    </row>
    <row r="2464" customFormat="false" ht="14.25" hidden="false" customHeight="true" outlineLevel="0" collapsed="false">
      <c r="A2464" s="51" t="n">
        <v>15667</v>
      </c>
      <c r="B2464" s="52" t="n">
        <v>40847.4555555556</v>
      </c>
      <c r="C2464" s="1" t="n">
        <v>1</v>
      </c>
      <c r="D2464" s="1" t="n">
        <v>301.32</v>
      </c>
    </row>
    <row r="2465" customFormat="false" ht="14.25" hidden="false" customHeight="true" outlineLevel="0" collapsed="false">
      <c r="A2465" s="51" t="n">
        <v>15668</v>
      </c>
      <c r="B2465" s="52" t="n">
        <v>40669.44375</v>
      </c>
      <c r="C2465" s="1" t="n">
        <v>1</v>
      </c>
      <c r="D2465" s="1" t="n">
        <v>76.32</v>
      </c>
    </row>
    <row r="2466" customFormat="false" ht="14.25" hidden="false" customHeight="true" outlineLevel="0" collapsed="false">
      <c r="A2466" s="51" t="n">
        <v>15669</v>
      </c>
      <c r="B2466" s="52" t="n">
        <v>40846.66875</v>
      </c>
      <c r="C2466" s="1" t="n">
        <v>5</v>
      </c>
      <c r="D2466" s="1" t="n">
        <v>677.69</v>
      </c>
    </row>
    <row r="2467" customFormat="false" ht="14.25" hidden="false" customHeight="true" outlineLevel="0" collapsed="false">
      <c r="A2467" s="51" t="n">
        <v>15670</v>
      </c>
      <c r="B2467" s="52" t="n">
        <v>40590.4513888889</v>
      </c>
      <c r="C2467" s="1" t="n">
        <v>1</v>
      </c>
      <c r="D2467" s="1" t="n">
        <v>173.05</v>
      </c>
    </row>
    <row r="2468" customFormat="false" ht="14.25" hidden="false" customHeight="true" outlineLevel="0" collapsed="false">
      <c r="A2468" s="51" t="n">
        <v>15671</v>
      </c>
      <c r="B2468" s="52" t="n">
        <v>40868.5298611111</v>
      </c>
      <c r="C2468" s="1" t="n">
        <v>10</v>
      </c>
      <c r="D2468" s="1" t="n">
        <v>2635.49</v>
      </c>
    </row>
    <row r="2469" customFormat="false" ht="14.25" hidden="false" customHeight="true" outlineLevel="0" collapsed="false">
      <c r="A2469" s="51" t="n">
        <v>15673</v>
      </c>
      <c r="B2469" s="52" t="n">
        <v>40798.675</v>
      </c>
      <c r="C2469" s="1" t="n">
        <v>4</v>
      </c>
      <c r="D2469" s="1" t="n">
        <v>2881.02</v>
      </c>
    </row>
    <row r="2470" customFormat="false" ht="14.25" hidden="false" customHeight="true" outlineLevel="0" collapsed="false">
      <c r="A2470" s="51" t="n">
        <v>15674</v>
      </c>
      <c r="B2470" s="52" t="n">
        <v>40813.6368055556</v>
      </c>
      <c r="C2470" s="1" t="n">
        <v>8</v>
      </c>
      <c r="D2470" s="1" t="n">
        <v>1744.02</v>
      </c>
    </row>
    <row r="2471" customFormat="false" ht="14.25" hidden="false" customHeight="true" outlineLevel="0" collapsed="false">
      <c r="A2471" s="51" t="n">
        <v>15675</v>
      </c>
      <c r="B2471" s="52" t="n">
        <v>40805.575</v>
      </c>
      <c r="C2471" s="1" t="n">
        <v>3</v>
      </c>
      <c r="D2471" s="1" t="n">
        <v>323.69</v>
      </c>
    </row>
    <row r="2472" customFormat="false" ht="14.25" hidden="false" customHeight="true" outlineLevel="0" collapsed="false">
      <c r="A2472" s="51" t="n">
        <v>15676</v>
      </c>
      <c r="B2472" s="52" t="n">
        <v>40877.7354166667</v>
      </c>
      <c r="C2472" s="1" t="n">
        <v>5</v>
      </c>
      <c r="D2472" s="1" t="n">
        <v>3324.09</v>
      </c>
    </row>
    <row r="2473" customFormat="false" ht="14.25" hidden="false" customHeight="true" outlineLevel="0" collapsed="false">
      <c r="A2473" s="51" t="n">
        <v>15677</v>
      </c>
      <c r="B2473" s="52" t="n">
        <v>40837.65</v>
      </c>
      <c r="C2473" s="1" t="n">
        <v>1</v>
      </c>
      <c r="D2473" s="1" t="n">
        <v>657.23</v>
      </c>
    </row>
    <row r="2474" customFormat="false" ht="14.25" hidden="false" customHeight="true" outlineLevel="0" collapsed="false">
      <c r="A2474" s="51" t="n">
        <v>15678</v>
      </c>
      <c r="B2474" s="52" t="n">
        <v>40834.3923611111</v>
      </c>
      <c r="C2474" s="1" t="n">
        <v>1</v>
      </c>
      <c r="D2474" s="1" t="n">
        <v>352.7</v>
      </c>
    </row>
    <row r="2475" customFormat="false" ht="14.25" hidden="false" customHeight="true" outlineLevel="0" collapsed="false">
      <c r="A2475" s="51" t="n">
        <v>15679</v>
      </c>
      <c r="B2475" s="52" t="n">
        <v>40862.6798611111</v>
      </c>
      <c r="C2475" s="1" t="n">
        <v>4</v>
      </c>
      <c r="D2475" s="1" t="n">
        <v>781.28</v>
      </c>
    </row>
    <row r="2476" customFormat="false" ht="14.25" hidden="false" customHeight="true" outlineLevel="0" collapsed="false">
      <c r="A2476" s="51" t="n">
        <v>15680</v>
      </c>
      <c r="B2476" s="52" t="n">
        <v>40877.5736111111</v>
      </c>
      <c r="C2476" s="1" t="n">
        <v>3</v>
      </c>
      <c r="D2476" s="1" t="n">
        <v>1333.68</v>
      </c>
    </row>
    <row r="2477" customFormat="false" ht="14.25" hidden="false" customHeight="true" outlineLevel="0" collapsed="false">
      <c r="A2477" s="51" t="n">
        <v>15681</v>
      </c>
      <c r="B2477" s="52" t="n">
        <v>40868.5590277778</v>
      </c>
      <c r="C2477" s="1" t="n">
        <v>6</v>
      </c>
      <c r="D2477" s="1" t="n">
        <v>946.36</v>
      </c>
    </row>
    <row r="2478" customFormat="false" ht="14.25" hidden="false" customHeight="true" outlineLevel="0" collapsed="false">
      <c r="A2478" s="51" t="n">
        <v>15683</v>
      </c>
      <c r="B2478" s="52" t="n">
        <v>40769.5388888889</v>
      </c>
      <c r="C2478" s="1" t="n">
        <v>1</v>
      </c>
      <c r="D2478" s="1" t="n">
        <v>193.75</v>
      </c>
    </row>
    <row r="2479" customFormat="false" ht="14.25" hidden="false" customHeight="true" outlineLevel="0" collapsed="false">
      <c r="A2479" s="51" t="n">
        <v>15687</v>
      </c>
      <c r="B2479" s="52" t="n">
        <v>40878.35625</v>
      </c>
      <c r="C2479" s="1" t="n">
        <v>11</v>
      </c>
      <c r="D2479" s="1" t="n">
        <v>2981.5</v>
      </c>
    </row>
    <row r="2480" customFormat="false" ht="14.25" hidden="false" customHeight="true" outlineLevel="0" collapsed="false">
      <c r="A2480" s="51" t="n">
        <v>15689</v>
      </c>
      <c r="B2480" s="52" t="n">
        <v>40767.4006944444</v>
      </c>
      <c r="C2480" s="1" t="n">
        <v>2</v>
      </c>
      <c r="D2480" s="1" t="n">
        <v>254.1</v>
      </c>
    </row>
    <row r="2481" customFormat="false" ht="14.25" hidden="false" customHeight="true" outlineLevel="0" collapsed="false">
      <c r="A2481" s="51" t="n">
        <v>15690</v>
      </c>
      <c r="B2481" s="52" t="n">
        <v>40882.6659722222</v>
      </c>
      <c r="C2481" s="1" t="n">
        <v>2</v>
      </c>
      <c r="D2481" s="1" t="n">
        <v>239.76</v>
      </c>
    </row>
    <row r="2482" customFormat="false" ht="14.25" hidden="false" customHeight="true" outlineLevel="0" collapsed="false">
      <c r="A2482" s="51" t="n">
        <v>15691</v>
      </c>
      <c r="B2482" s="52" t="n">
        <v>40634.6340277778</v>
      </c>
      <c r="C2482" s="1" t="n">
        <v>1</v>
      </c>
      <c r="D2482" s="1" t="n">
        <v>136.8</v>
      </c>
    </row>
    <row r="2483" customFormat="false" ht="14.25" hidden="false" customHeight="true" outlineLevel="0" collapsed="false">
      <c r="A2483" s="51" t="n">
        <v>15692</v>
      </c>
      <c r="B2483" s="52" t="n">
        <v>40858.5916666667</v>
      </c>
      <c r="C2483" s="1" t="n">
        <v>1</v>
      </c>
      <c r="D2483" s="1" t="n">
        <v>191.04</v>
      </c>
    </row>
    <row r="2484" customFormat="false" ht="14.25" hidden="false" customHeight="true" outlineLevel="0" collapsed="false">
      <c r="A2484" s="51" t="n">
        <v>15694</v>
      </c>
      <c r="B2484" s="52" t="n">
        <v>40886.4055555556</v>
      </c>
      <c r="C2484" s="1" t="n">
        <v>15</v>
      </c>
      <c r="D2484" s="1" t="n">
        <v>6423.6</v>
      </c>
    </row>
    <row r="2485" customFormat="false" ht="14.25" hidden="false" customHeight="true" outlineLevel="0" collapsed="false">
      <c r="A2485" s="51" t="n">
        <v>15695</v>
      </c>
      <c r="B2485" s="52" t="n">
        <v>40620.3555555556</v>
      </c>
      <c r="C2485" s="1" t="n">
        <v>2</v>
      </c>
      <c r="D2485" s="1" t="n">
        <v>409.98</v>
      </c>
    </row>
    <row r="2486" customFormat="false" ht="14.25" hidden="false" customHeight="true" outlineLevel="0" collapsed="false">
      <c r="A2486" s="51" t="n">
        <v>15696</v>
      </c>
      <c r="B2486" s="52" t="n">
        <v>40853.5847222222</v>
      </c>
      <c r="C2486" s="1" t="n">
        <v>12</v>
      </c>
      <c r="D2486" s="1" t="n">
        <v>2644.46</v>
      </c>
    </row>
    <row r="2487" customFormat="false" ht="14.25" hidden="false" customHeight="true" outlineLevel="0" collapsed="false">
      <c r="A2487" s="51" t="n">
        <v>15699</v>
      </c>
      <c r="B2487" s="52" t="n">
        <v>40869.3513888889</v>
      </c>
      <c r="C2487" s="1" t="n">
        <v>1</v>
      </c>
      <c r="D2487" s="1" t="n">
        <v>309.65</v>
      </c>
    </row>
    <row r="2488" customFormat="false" ht="14.25" hidden="false" customHeight="true" outlineLevel="0" collapsed="false">
      <c r="A2488" s="51" t="n">
        <v>15700</v>
      </c>
      <c r="B2488" s="52" t="n">
        <v>40714.7034722222</v>
      </c>
      <c r="C2488" s="1" t="n">
        <v>3</v>
      </c>
      <c r="D2488" s="1" t="n">
        <v>664.03</v>
      </c>
    </row>
    <row r="2489" customFormat="false" ht="14.25" hidden="false" customHeight="true" outlineLevel="0" collapsed="false">
      <c r="A2489" s="51" t="n">
        <v>15701</v>
      </c>
      <c r="B2489" s="52" t="n">
        <v>40884.6104166667</v>
      </c>
      <c r="C2489" s="1" t="n">
        <v>4</v>
      </c>
      <c r="D2489" s="1" t="n">
        <v>1542.14</v>
      </c>
    </row>
    <row r="2490" customFormat="false" ht="14.25" hidden="false" customHeight="true" outlineLevel="0" collapsed="false">
      <c r="A2490" s="51" t="n">
        <v>15703</v>
      </c>
      <c r="B2490" s="52" t="n">
        <v>40622.4520833333</v>
      </c>
      <c r="C2490" s="1" t="n">
        <v>1</v>
      </c>
      <c r="D2490" s="1" t="n">
        <v>211.5</v>
      </c>
    </row>
    <row r="2491" customFormat="false" ht="14.25" hidden="false" customHeight="true" outlineLevel="0" collapsed="false">
      <c r="A2491" s="51" t="n">
        <v>15704</v>
      </c>
      <c r="B2491" s="52" t="n">
        <v>40746.5659722222</v>
      </c>
      <c r="C2491" s="1" t="n">
        <v>4</v>
      </c>
      <c r="D2491" s="1" t="n">
        <v>2293.62</v>
      </c>
    </row>
    <row r="2492" customFormat="false" ht="14.25" hidden="false" customHeight="true" outlineLevel="0" collapsed="false">
      <c r="A2492" s="51" t="n">
        <v>15705</v>
      </c>
      <c r="B2492" s="52" t="n">
        <v>40685.6506944444</v>
      </c>
      <c r="C2492" s="1" t="n">
        <v>1</v>
      </c>
      <c r="D2492" s="1" t="n">
        <v>143.1</v>
      </c>
    </row>
    <row r="2493" customFormat="false" ht="14.25" hidden="false" customHeight="true" outlineLevel="0" collapsed="false">
      <c r="A2493" s="51" t="n">
        <v>15706</v>
      </c>
      <c r="B2493" s="52" t="n">
        <v>40827.4263888889</v>
      </c>
      <c r="C2493" s="1" t="n">
        <v>7</v>
      </c>
      <c r="D2493" s="1" t="n">
        <v>1001.81</v>
      </c>
    </row>
    <row r="2494" customFormat="false" ht="14.25" hidden="false" customHeight="true" outlineLevel="0" collapsed="false">
      <c r="A2494" s="51" t="n">
        <v>15707</v>
      </c>
      <c r="B2494" s="52" t="n">
        <v>40851.6076388889</v>
      </c>
      <c r="C2494" s="1" t="n">
        <v>4</v>
      </c>
      <c r="D2494" s="1" t="n">
        <v>945.58</v>
      </c>
    </row>
    <row r="2495" customFormat="false" ht="14.25" hidden="false" customHeight="true" outlineLevel="0" collapsed="false">
      <c r="A2495" s="51" t="n">
        <v>15708</v>
      </c>
      <c r="B2495" s="52" t="n">
        <v>40846.4541666667</v>
      </c>
      <c r="C2495" s="1" t="n">
        <v>11</v>
      </c>
      <c r="D2495" s="1" t="n">
        <v>3329.72</v>
      </c>
    </row>
    <row r="2496" customFormat="false" ht="14.25" hidden="false" customHeight="true" outlineLevel="0" collapsed="false">
      <c r="A2496" s="51" t="n">
        <v>15709</v>
      </c>
      <c r="B2496" s="52" t="n">
        <v>40603.4430555556</v>
      </c>
      <c r="C2496" s="1" t="n">
        <v>1</v>
      </c>
      <c r="D2496" s="1" t="n">
        <v>133.25</v>
      </c>
    </row>
    <row r="2497" customFormat="false" ht="14.25" hidden="false" customHeight="true" outlineLevel="0" collapsed="false">
      <c r="A2497" s="51" t="n">
        <v>15712</v>
      </c>
      <c r="B2497" s="52" t="n">
        <v>40877.5895833333</v>
      </c>
      <c r="C2497" s="1" t="n">
        <v>5</v>
      </c>
      <c r="D2497" s="1" t="n">
        <v>1072.36</v>
      </c>
    </row>
    <row r="2498" customFormat="false" ht="14.25" hidden="false" customHeight="true" outlineLevel="0" collapsed="false">
      <c r="A2498" s="51" t="n">
        <v>15713</v>
      </c>
      <c r="B2498" s="52" t="n">
        <v>40743.5652777778</v>
      </c>
      <c r="C2498" s="1" t="n">
        <v>3</v>
      </c>
      <c r="D2498" s="1" t="n">
        <v>346.75</v>
      </c>
    </row>
    <row r="2499" customFormat="false" ht="14.25" hidden="false" customHeight="true" outlineLevel="0" collapsed="false">
      <c r="A2499" s="51" t="n">
        <v>15714</v>
      </c>
      <c r="B2499" s="52" t="n">
        <v>40875.4763888889</v>
      </c>
      <c r="C2499" s="1" t="n">
        <v>2</v>
      </c>
      <c r="D2499" s="1" t="n">
        <v>330.88</v>
      </c>
    </row>
    <row r="2500" customFormat="false" ht="14.25" hidden="false" customHeight="true" outlineLevel="0" collapsed="false">
      <c r="A2500" s="51" t="n">
        <v>15716</v>
      </c>
      <c r="B2500" s="52" t="n">
        <v>40741.4993055556</v>
      </c>
      <c r="C2500" s="1" t="n">
        <v>4</v>
      </c>
      <c r="D2500" s="1" t="n">
        <v>1118.81</v>
      </c>
    </row>
    <row r="2501" customFormat="false" ht="14.25" hidden="false" customHeight="true" outlineLevel="0" collapsed="false">
      <c r="A2501" s="51" t="n">
        <v>15717</v>
      </c>
      <c r="B2501" s="52" t="n">
        <v>40652.55625</v>
      </c>
      <c r="C2501" s="1" t="n">
        <v>1</v>
      </c>
      <c r="D2501" s="1" t="n">
        <v>150.3</v>
      </c>
    </row>
    <row r="2502" customFormat="false" ht="14.25" hidden="false" customHeight="true" outlineLevel="0" collapsed="false">
      <c r="A2502" s="51" t="n">
        <v>15719</v>
      </c>
      <c r="B2502" s="52" t="n">
        <v>40854.5201388889</v>
      </c>
      <c r="C2502" s="1" t="n">
        <v>14</v>
      </c>
      <c r="D2502" s="1" t="n">
        <v>5043.96</v>
      </c>
    </row>
    <row r="2503" customFormat="false" ht="14.25" hidden="false" customHeight="true" outlineLevel="0" collapsed="false">
      <c r="A2503" s="51" t="n">
        <v>15720</v>
      </c>
      <c r="B2503" s="52" t="n">
        <v>40862.6166666667</v>
      </c>
      <c r="C2503" s="1" t="n">
        <v>1</v>
      </c>
      <c r="D2503" s="1" t="n">
        <v>598.73</v>
      </c>
    </row>
    <row r="2504" customFormat="false" ht="14.25" hidden="false" customHeight="true" outlineLevel="0" collapsed="false">
      <c r="A2504" s="51" t="n">
        <v>15721</v>
      </c>
      <c r="B2504" s="52" t="n">
        <v>40875.5097222222</v>
      </c>
      <c r="C2504" s="1" t="n">
        <v>1</v>
      </c>
      <c r="D2504" s="1" t="n">
        <v>507.08</v>
      </c>
    </row>
    <row r="2505" customFormat="false" ht="14.25" hidden="false" customHeight="true" outlineLevel="0" collapsed="false">
      <c r="A2505" s="51" t="n">
        <v>15722</v>
      </c>
      <c r="B2505" s="52" t="n">
        <v>40851.4881944444</v>
      </c>
      <c r="C2505" s="1" t="n">
        <v>6</v>
      </c>
      <c r="D2505" s="1" t="n">
        <v>2181.21</v>
      </c>
    </row>
    <row r="2506" customFormat="false" ht="14.25" hidden="false" customHeight="true" outlineLevel="0" collapsed="false">
      <c r="A2506" s="51" t="n">
        <v>15723</v>
      </c>
      <c r="B2506" s="52" t="n">
        <v>40522.4666666667</v>
      </c>
      <c r="C2506" s="1" t="n">
        <v>1</v>
      </c>
      <c r="D2506" s="1" t="n">
        <v>203.1</v>
      </c>
    </row>
    <row r="2507" customFormat="false" ht="14.25" hidden="false" customHeight="true" outlineLevel="0" collapsed="false">
      <c r="A2507" s="51" t="n">
        <v>15724</v>
      </c>
      <c r="B2507" s="52" t="n">
        <v>40685.6111111111</v>
      </c>
      <c r="C2507" s="1" t="n">
        <v>3</v>
      </c>
      <c r="D2507" s="1" t="n">
        <v>212.3</v>
      </c>
    </row>
    <row r="2508" customFormat="false" ht="14.25" hidden="false" customHeight="true" outlineLevel="0" collapsed="false">
      <c r="A2508" s="51" t="n">
        <v>15725</v>
      </c>
      <c r="B2508" s="52" t="n">
        <v>40871.61875</v>
      </c>
      <c r="C2508" s="1" t="n">
        <v>1</v>
      </c>
      <c r="D2508" s="1" t="n">
        <v>415.25</v>
      </c>
    </row>
    <row r="2509" customFormat="false" ht="14.25" hidden="false" customHeight="true" outlineLevel="0" collapsed="false">
      <c r="A2509" s="51" t="n">
        <v>15727</v>
      </c>
      <c r="B2509" s="52" t="n">
        <v>40870.525</v>
      </c>
      <c r="C2509" s="1" t="n">
        <v>7</v>
      </c>
      <c r="D2509" s="1" t="n">
        <v>5178.96</v>
      </c>
    </row>
    <row r="2510" customFormat="false" ht="14.25" hidden="false" customHeight="true" outlineLevel="0" collapsed="false">
      <c r="A2510" s="51" t="n">
        <v>15728</v>
      </c>
      <c r="B2510" s="52" t="n">
        <v>40837.5854166667</v>
      </c>
      <c r="C2510" s="1" t="n">
        <v>1</v>
      </c>
      <c r="D2510" s="1" t="n">
        <v>-134.8</v>
      </c>
    </row>
    <row r="2511" customFormat="false" ht="14.25" hidden="false" customHeight="true" outlineLevel="0" collapsed="false">
      <c r="A2511" s="51" t="n">
        <v>15729</v>
      </c>
      <c r="B2511" s="52" t="n">
        <v>40688.6965277778</v>
      </c>
      <c r="C2511" s="1" t="n">
        <v>2</v>
      </c>
      <c r="D2511" s="1" t="n">
        <v>62</v>
      </c>
    </row>
    <row r="2512" customFormat="false" ht="14.25" hidden="false" customHeight="true" outlineLevel="0" collapsed="false">
      <c r="A2512" s="51" t="n">
        <v>15730</v>
      </c>
      <c r="B2512" s="52" t="n">
        <v>40821.5215277778</v>
      </c>
      <c r="C2512" s="1" t="n">
        <v>4</v>
      </c>
      <c r="D2512" s="1" t="n">
        <v>1108.38</v>
      </c>
    </row>
    <row r="2513" customFormat="false" ht="14.25" hidden="false" customHeight="true" outlineLevel="0" collapsed="false">
      <c r="A2513" s="51" t="n">
        <v>15732</v>
      </c>
      <c r="B2513" s="52" t="n">
        <v>40674.6</v>
      </c>
      <c r="C2513" s="1" t="n">
        <v>2</v>
      </c>
      <c r="D2513" s="1" t="n">
        <v>294.12</v>
      </c>
    </row>
    <row r="2514" customFormat="false" ht="14.25" hidden="false" customHeight="true" outlineLevel="0" collapsed="false">
      <c r="A2514" s="51" t="n">
        <v>15733</v>
      </c>
      <c r="B2514" s="52" t="n">
        <v>40604.3784722222</v>
      </c>
      <c r="C2514" s="1" t="n">
        <v>1</v>
      </c>
      <c r="D2514" s="1" t="n">
        <v>162.3</v>
      </c>
    </row>
    <row r="2515" customFormat="false" ht="14.25" hidden="false" customHeight="true" outlineLevel="0" collapsed="false">
      <c r="A2515" s="51" t="n">
        <v>15734</v>
      </c>
      <c r="B2515" s="52" t="n">
        <v>40772.4513888889</v>
      </c>
      <c r="C2515" s="1" t="n">
        <v>2</v>
      </c>
      <c r="D2515" s="1" t="n">
        <v>1339.45</v>
      </c>
    </row>
    <row r="2516" customFormat="false" ht="14.25" hidden="false" customHeight="true" outlineLevel="0" collapsed="false">
      <c r="A2516" s="51" t="n">
        <v>15737</v>
      </c>
      <c r="B2516" s="52" t="n">
        <v>40872.4729166667</v>
      </c>
      <c r="C2516" s="1" t="n">
        <v>12</v>
      </c>
      <c r="D2516" s="1" t="n">
        <v>1121.21</v>
      </c>
    </row>
    <row r="2517" customFormat="false" ht="14.25" hidden="false" customHeight="true" outlineLevel="0" collapsed="false">
      <c r="A2517" s="51" t="n">
        <v>15738</v>
      </c>
      <c r="B2517" s="52" t="n">
        <v>40868.3513888889</v>
      </c>
      <c r="C2517" s="1" t="n">
        <v>19</v>
      </c>
      <c r="D2517" s="1" t="n">
        <v>4788.77</v>
      </c>
    </row>
    <row r="2518" customFormat="false" ht="14.25" hidden="false" customHeight="true" outlineLevel="0" collapsed="false">
      <c r="A2518" s="51" t="n">
        <v>15739</v>
      </c>
      <c r="B2518" s="52" t="n">
        <v>40820.5708333333</v>
      </c>
      <c r="C2518" s="1" t="n">
        <v>1</v>
      </c>
      <c r="D2518" s="1" t="n">
        <v>449.12</v>
      </c>
    </row>
    <row r="2519" customFormat="false" ht="14.25" hidden="false" customHeight="true" outlineLevel="0" collapsed="false">
      <c r="A2519" s="51" t="n">
        <v>15740</v>
      </c>
      <c r="B2519" s="52" t="n">
        <v>40837.6034722222</v>
      </c>
      <c r="C2519" s="1" t="n">
        <v>1</v>
      </c>
      <c r="D2519" s="1" t="n">
        <v>154.88</v>
      </c>
    </row>
    <row r="2520" customFormat="false" ht="14.25" hidden="false" customHeight="true" outlineLevel="0" collapsed="false">
      <c r="A2520" s="51" t="n">
        <v>15743</v>
      </c>
      <c r="B2520" s="52" t="n">
        <v>40870.7215277778</v>
      </c>
      <c r="C2520" s="1" t="n">
        <v>4</v>
      </c>
      <c r="D2520" s="1" t="n">
        <v>784.46</v>
      </c>
    </row>
    <row r="2521" customFormat="false" ht="14.25" hidden="false" customHeight="true" outlineLevel="0" collapsed="false">
      <c r="A2521" s="51" t="n">
        <v>15744</v>
      </c>
      <c r="B2521" s="52" t="n">
        <v>40809.4111111111</v>
      </c>
      <c r="C2521" s="1" t="n">
        <v>1</v>
      </c>
      <c r="D2521" s="1" t="n">
        <v>34.8</v>
      </c>
    </row>
    <row r="2522" customFormat="false" ht="14.25" hidden="false" customHeight="true" outlineLevel="0" collapsed="false">
      <c r="A2522" s="51" t="n">
        <v>15745</v>
      </c>
      <c r="B2522" s="52" t="n">
        <v>40878.4708333333</v>
      </c>
      <c r="C2522" s="1" t="n">
        <v>6</v>
      </c>
      <c r="D2522" s="1" t="n">
        <v>1071.24</v>
      </c>
    </row>
    <row r="2523" customFormat="false" ht="14.25" hidden="false" customHeight="true" outlineLevel="0" collapsed="false">
      <c r="A2523" s="51" t="n">
        <v>15746</v>
      </c>
      <c r="B2523" s="52" t="n">
        <v>40752.64375</v>
      </c>
      <c r="C2523" s="1" t="n">
        <v>2</v>
      </c>
      <c r="D2523" s="1" t="n">
        <v>182.96</v>
      </c>
    </row>
    <row r="2524" customFormat="false" ht="14.25" hidden="false" customHeight="true" outlineLevel="0" collapsed="false">
      <c r="A2524" s="51" t="n">
        <v>15747</v>
      </c>
      <c r="B2524" s="52" t="n">
        <v>40874.5180555556</v>
      </c>
      <c r="C2524" s="1" t="n">
        <v>3</v>
      </c>
      <c r="D2524" s="1" t="n">
        <v>974.04</v>
      </c>
    </row>
    <row r="2525" customFormat="false" ht="14.25" hidden="false" customHeight="true" outlineLevel="0" collapsed="false">
      <c r="A2525" s="51" t="n">
        <v>15748</v>
      </c>
      <c r="B2525" s="52" t="n">
        <v>40846.5354166667</v>
      </c>
      <c r="C2525" s="1" t="n">
        <v>1</v>
      </c>
      <c r="D2525" s="1" t="n">
        <v>149.31</v>
      </c>
    </row>
    <row r="2526" customFormat="false" ht="14.25" hidden="false" customHeight="true" outlineLevel="0" collapsed="false">
      <c r="A2526" s="51" t="n">
        <v>15749</v>
      </c>
      <c r="B2526" s="52" t="n">
        <v>40651.5555555556</v>
      </c>
      <c r="C2526" s="1" t="n">
        <v>4</v>
      </c>
      <c r="D2526" s="1" t="n">
        <v>21535.9</v>
      </c>
    </row>
    <row r="2527" customFormat="false" ht="14.25" hidden="false" customHeight="true" outlineLevel="0" collapsed="false">
      <c r="A2527" s="51" t="n">
        <v>15750</v>
      </c>
      <c r="B2527" s="52" t="n">
        <v>40884.5236111111</v>
      </c>
      <c r="C2527" s="1" t="n">
        <v>9</v>
      </c>
      <c r="D2527" s="1" t="n">
        <v>2451.23</v>
      </c>
    </row>
    <row r="2528" customFormat="false" ht="14.25" hidden="false" customHeight="true" outlineLevel="0" collapsed="false">
      <c r="A2528" s="51" t="n">
        <v>15752</v>
      </c>
      <c r="B2528" s="52" t="n">
        <v>40847.4840277778</v>
      </c>
      <c r="C2528" s="1" t="n">
        <v>8</v>
      </c>
      <c r="D2528" s="1" t="n">
        <v>2628.93</v>
      </c>
    </row>
    <row r="2529" customFormat="false" ht="14.25" hidden="false" customHeight="true" outlineLevel="0" collapsed="false">
      <c r="A2529" s="51" t="n">
        <v>15753</v>
      </c>
      <c r="B2529" s="52" t="n">
        <v>40582.5284722222</v>
      </c>
      <c r="C2529" s="1" t="n">
        <v>1</v>
      </c>
      <c r="D2529" s="1" t="n">
        <v>79.2</v>
      </c>
    </row>
    <row r="2530" customFormat="false" ht="14.25" hidden="false" customHeight="true" outlineLevel="0" collapsed="false">
      <c r="A2530" s="51" t="n">
        <v>15754</v>
      </c>
      <c r="B2530" s="52" t="n">
        <v>40836.4888888889</v>
      </c>
      <c r="C2530" s="1" t="n">
        <v>4</v>
      </c>
      <c r="D2530" s="1" t="n">
        <v>455.67</v>
      </c>
    </row>
    <row r="2531" customFormat="false" ht="14.25" hidden="false" customHeight="true" outlineLevel="0" collapsed="false">
      <c r="A2531" s="51" t="n">
        <v>15755</v>
      </c>
      <c r="B2531" s="52" t="n">
        <v>40885.7909722222</v>
      </c>
      <c r="C2531" s="1" t="n">
        <v>8</v>
      </c>
      <c r="D2531" s="1" t="n">
        <v>2318.88</v>
      </c>
    </row>
    <row r="2532" customFormat="false" ht="14.25" hidden="false" customHeight="true" outlineLevel="0" collapsed="false">
      <c r="A2532" s="51" t="n">
        <v>15756</v>
      </c>
      <c r="B2532" s="52" t="n">
        <v>40825.5625</v>
      </c>
      <c r="C2532" s="1" t="n">
        <v>4</v>
      </c>
      <c r="D2532" s="1" t="n">
        <v>532.96</v>
      </c>
    </row>
    <row r="2533" customFormat="false" ht="14.25" hidden="false" customHeight="true" outlineLevel="0" collapsed="false">
      <c r="A2533" s="51" t="n">
        <v>15757</v>
      </c>
      <c r="B2533" s="52" t="n">
        <v>40821.5097222222</v>
      </c>
      <c r="C2533" s="1" t="n">
        <v>2</v>
      </c>
      <c r="D2533" s="1" t="n">
        <v>714.42</v>
      </c>
    </row>
    <row r="2534" customFormat="false" ht="14.25" hidden="false" customHeight="true" outlineLevel="0" collapsed="false">
      <c r="A2534" s="51" t="n">
        <v>15758</v>
      </c>
      <c r="B2534" s="52" t="n">
        <v>40862.45</v>
      </c>
      <c r="C2534" s="1" t="n">
        <v>1</v>
      </c>
      <c r="D2534" s="1" t="n">
        <v>205.25</v>
      </c>
    </row>
    <row r="2535" customFormat="false" ht="14.25" hidden="false" customHeight="true" outlineLevel="0" collapsed="false">
      <c r="A2535" s="51" t="n">
        <v>15759</v>
      </c>
      <c r="B2535" s="52" t="n">
        <v>40668.6340277778</v>
      </c>
      <c r="C2535" s="1" t="n">
        <v>3</v>
      </c>
      <c r="D2535" s="1" t="n">
        <v>253.04</v>
      </c>
    </row>
    <row r="2536" customFormat="false" ht="14.25" hidden="false" customHeight="true" outlineLevel="0" collapsed="false">
      <c r="A2536" s="51" t="n">
        <v>15762</v>
      </c>
      <c r="B2536" s="52" t="n">
        <v>40821.6770833333</v>
      </c>
      <c r="C2536" s="1" t="n">
        <v>2</v>
      </c>
      <c r="D2536" s="1" t="n">
        <v>583.75</v>
      </c>
    </row>
    <row r="2537" customFormat="false" ht="14.25" hidden="false" customHeight="true" outlineLevel="0" collapsed="false">
      <c r="A2537" s="51" t="n">
        <v>15763</v>
      </c>
      <c r="B2537" s="52" t="n">
        <v>40855.4055555556</v>
      </c>
      <c r="C2537" s="1" t="n">
        <v>3</v>
      </c>
      <c r="D2537" s="1" t="n">
        <v>1048.67</v>
      </c>
    </row>
    <row r="2538" customFormat="false" ht="14.25" hidden="false" customHeight="true" outlineLevel="0" collapsed="false">
      <c r="A2538" s="51" t="n">
        <v>15764</v>
      </c>
      <c r="B2538" s="52" t="n">
        <v>40805.6777777778</v>
      </c>
      <c r="C2538" s="1" t="n">
        <v>10</v>
      </c>
      <c r="D2538" s="1" t="n">
        <v>3245.47</v>
      </c>
    </row>
    <row r="2539" customFormat="false" ht="14.25" hidden="false" customHeight="true" outlineLevel="0" collapsed="false">
      <c r="A2539" s="51" t="n">
        <v>15766</v>
      </c>
      <c r="B2539" s="52" t="n">
        <v>40822.7104166667</v>
      </c>
      <c r="C2539" s="1" t="n">
        <v>1</v>
      </c>
      <c r="D2539" s="1" t="n">
        <v>315.06</v>
      </c>
    </row>
    <row r="2540" customFormat="false" ht="14.25" hidden="false" customHeight="true" outlineLevel="0" collapsed="false">
      <c r="A2540" s="51" t="n">
        <v>15768</v>
      </c>
      <c r="B2540" s="52" t="n">
        <v>40771.45</v>
      </c>
      <c r="C2540" s="1" t="n">
        <v>4</v>
      </c>
      <c r="D2540" s="1" t="n">
        <v>581.83</v>
      </c>
    </row>
    <row r="2541" customFormat="false" ht="14.25" hidden="false" customHeight="true" outlineLevel="0" collapsed="false">
      <c r="A2541" s="51" t="n">
        <v>15769</v>
      </c>
      <c r="B2541" s="52" t="n">
        <v>40879.5777777778</v>
      </c>
      <c r="C2541" s="1" t="n">
        <v>29</v>
      </c>
      <c r="D2541" s="1" t="n">
        <v>51823.72</v>
      </c>
    </row>
    <row r="2542" customFormat="false" ht="14.25" hidden="false" customHeight="true" outlineLevel="0" collapsed="false">
      <c r="A2542" s="51" t="n">
        <v>15773</v>
      </c>
      <c r="B2542" s="52" t="n">
        <v>40881.5333333333</v>
      </c>
      <c r="C2542" s="1" t="n">
        <v>1</v>
      </c>
      <c r="D2542" s="1" t="n">
        <v>635.68</v>
      </c>
    </row>
    <row r="2543" customFormat="false" ht="14.25" hidden="false" customHeight="true" outlineLevel="0" collapsed="false">
      <c r="A2543" s="51" t="n">
        <v>15774</v>
      </c>
      <c r="B2543" s="52" t="n">
        <v>40818.5027777778</v>
      </c>
      <c r="C2543" s="1" t="n">
        <v>1</v>
      </c>
      <c r="D2543" s="1" t="n">
        <v>270.8</v>
      </c>
    </row>
    <row r="2544" customFormat="false" ht="14.25" hidden="false" customHeight="true" outlineLevel="0" collapsed="false">
      <c r="A2544" s="51" t="n">
        <v>15775</v>
      </c>
      <c r="B2544" s="52" t="n">
        <v>40641.5388888889</v>
      </c>
      <c r="C2544" s="1" t="n">
        <v>1</v>
      </c>
      <c r="D2544" s="1" t="n">
        <v>104.9</v>
      </c>
    </row>
    <row r="2545" customFormat="false" ht="14.25" hidden="false" customHeight="true" outlineLevel="0" collapsed="false">
      <c r="A2545" s="51" t="n">
        <v>15776</v>
      </c>
      <c r="B2545" s="52" t="n">
        <v>40753.5736111111</v>
      </c>
      <c r="C2545" s="1" t="n">
        <v>1</v>
      </c>
      <c r="D2545" s="1" t="n">
        <v>241.62</v>
      </c>
    </row>
    <row r="2546" customFormat="false" ht="14.25" hidden="false" customHeight="true" outlineLevel="0" collapsed="false">
      <c r="A2546" s="51" t="n">
        <v>15777</v>
      </c>
      <c r="B2546" s="52" t="n">
        <v>40645.6965277778</v>
      </c>
      <c r="C2546" s="1" t="n">
        <v>5</v>
      </c>
      <c r="D2546" s="1" t="n">
        <v>1021.61</v>
      </c>
    </row>
    <row r="2547" customFormat="false" ht="14.25" hidden="false" customHeight="true" outlineLevel="0" collapsed="false">
      <c r="A2547" s="51" t="n">
        <v>15780</v>
      </c>
      <c r="B2547" s="52" t="n">
        <v>40703.5006944445</v>
      </c>
      <c r="C2547" s="1" t="n">
        <v>3</v>
      </c>
      <c r="D2547" s="1" t="n">
        <v>475.28</v>
      </c>
    </row>
    <row r="2548" customFormat="false" ht="14.25" hidden="false" customHeight="true" outlineLevel="0" collapsed="false">
      <c r="A2548" s="51" t="n">
        <v>15781</v>
      </c>
      <c r="B2548" s="52" t="n">
        <v>40861.6229166667</v>
      </c>
      <c r="C2548" s="1" t="n">
        <v>4</v>
      </c>
      <c r="D2548" s="1" t="n">
        <v>333.56</v>
      </c>
    </row>
    <row r="2549" customFormat="false" ht="14.25" hidden="false" customHeight="true" outlineLevel="0" collapsed="false">
      <c r="A2549" s="51" t="n">
        <v>15782</v>
      </c>
      <c r="B2549" s="52" t="n">
        <v>40877.4506944444</v>
      </c>
      <c r="C2549" s="1" t="n">
        <v>4</v>
      </c>
      <c r="D2549" s="1" t="n">
        <v>2593.94</v>
      </c>
    </row>
    <row r="2550" customFormat="false" ht="14.25" hidden="false" customHeight="true" outlineLevel="0" collapsed="false">
      <c r="A2550" s="51" t="n">
        <v>15783</v>
      </c>
      <c r="B2550" s="52" t="n">
        <v>40876.4097222222</v>
      </c>
      <c r="C2550" s="1" t="n">
        <v>1</v>
      </c>
      <c r="D2550" s="1" t="n">
        <v>246.3</v>
      </c>
    </row>
    <row r="2551" customFormat="false" ht="14.25" hidden="false" customHeight="true" outlineLevel="0" collapsed="false">
      <c r="A2551" s="51" t="n">
        <v>15785</v>
      </c>
      <c r="B2551" s="52" t="n">
        <v>40857.5055555556</v>
      </c>
      <c r="C2551" s="1" t="n">
        <v>8</v>
      </c>
      <c r="D2551" s="1" t="n">
        <v>2303.75</v>
      </c>
    </row>
    <row r="2552" customFormat="false" ht="14.25" hidden="false" customHeight="true" outlineLevel="0" collapsed="false">
      <c r="A2552" s="51" t="n">
        <v>15786</v>
      </c>
      <c r="B2552" s="52" t="n">
        <v>40843.4534722222</v>
      </c>
      <c r="C2552" s="1" t="n">
        <v>5</v>
      </c>
      <c r="D2552" s="1" t="n">
        <v>4834.2</v>
      </c>
    </row>
    <row r="2553" customFormat="false" ht="14.25" hidden="false" customHeight="true" outlineLevel="0" collapsed="false">
      <c r="A2553" s="51" t="n">
        <v>15787</v>
      </c>
      <c r="B2553" s="52" t="n">
        <v>40860.6215277778</v>
      </c>
      <c r="C2553" s="1" t="n">
        <v>3</v>
      </c>
      <c r="D2553" s="1" t="n">
        <v>948.05</v>
      </c>
    </row>
    <row r="2554" customFormat="false" ht="14.25" hidden="false" customHeight="true" outlineLevel="0" collapsed="false">
      <c r="A2554" s="51" t="n">
        <v>15789</v>
      </c>
      <c r="B2554" s="52" t="n">
        <v>40528.6076388889</v>
      </c>
      <c r="C2554" s="1" t="n">
        <v>1</v>
      </c>
      <c r="D2554" s="1" t="n">
        <v>351.3</v>
      </c>
    </row>
    <row r="2555" customFormat="false" ht="14.25" hidden="false" customHeight="true" outlineLevel="0" collapsed="false">
      <c r="A2555" s="51" t="n">
        <v>15790</v>
      </c>
      <c r="B2555" s="52" t="n">
        <v>40876.6201388889</v>
      </c>
      <c r="C2555" s="1" t="n">
        <v>1</v>
      </c>
      <c r="D2555" s="1" t="n">
        <v>220.85</v>
      </c>
    </row>
    <row r="2556" customFormat="false" ht="14.25" hidden="false" customHeight="true" outlineLevel="0" collapsed="false">
      <c r="A2556" s="51" t="n">
        <v>15791</v>
      </c>
      <c r="B2556" s="52" t="n">
        <v>40843.4263888889</v>
      </c>
      <c r="C2556" s="1" t="n">
        <v>3</v>
      </c>
      <c r="D2556" s="1" t="n">
        <v>1604.44</v>
      </c>
    </row>
    <row r="2557" customFormat="false" ht="14.25" hidden="false" customHeight="true" outlineLevel="0" collapsed="false">
      <c r="A2557" s="51" t="n">
        <v>15793</v>
      </c>
      <c r="B2557" s="52" t="n">
        <v>40877.6305555556</v>
      </c>
      <c r="C2557" s="1" t="n">
        <v>4</v>
      </c>
      <c r="D2557" s="1" t="n">
        <v>948.96</v>
      </c>
    </row>
    <row r="2558" customFormat="false" ht="14.25" hidden="false" customHeight="true" outlineLevel="0" collapsed="false">
      <c r="A2558" s="51" t="n">
        <v>15795</v>
      </c>
      <c r="B2558" s="52" t="n">
        <v>40737.4465277778</v>
      </c>
      <c r="C2558" s="1" t="n">
        <v>1</v>
      </c>
      <c r="D2558" s="1" t="n">
        <v>610.01</v>
      </c>
    </row>
    <row r="2559" customFormat="false" ht="14.25" hidden="false" customHeight="true" outlineLevel="0" collapsed="false">
      <c r="A2559" s="51" t="n">
        <v>15796</v>
      </c>
      <c r="B2559" s="52" t="n">
        <v>40885.8298611111</v>
      </c>
      <c r="C2559" s="1" t="n">
        <v>10</v>
      </c>
      <c r="D2559" s="1" t="n">
        <v>2666.61</v>
      </c>
    </row>
    <row r="2560" customFormat="false" ht="14.25" hidden="false" customHeight="true" outlineLevel="0" collapsed="false">
      <c r="A2560" s="51" t="n">
        <v>15797</v>
      </c>
      <c r="B2560" s="52" t="n">
        <v>40773.7111111111</v>
      </c>
      <c r="C2560" s="1" t="n">
        <v>4</v>
      </c>
      <c r="D2560" s="1" t="n">
        <v>2207.4</v>
      </c>
    </row>
    <row r="2561" customFormat="false" ht="14.25" hidden="false" customHeight="true" outlineLevel="0" collapsed="false">
      <c r="A2561" s="51" t="n">
        <v>15799</v>
      </c>
      <c r="B2561" s="52" t="n">
        <v>40811.5319444445</v>
      </c>
      <c r="C2561" s="1" t="n">
        <v>3</v>
      </c>
      <c r="D2561" s="1" t="n">
        <v>884.14</v>
      </c>
    </row>
    <row r="2562" customFormat="false" ht="14.25" hidden="false" customHeight="true" outlineLevel="0" collapsed="false">
      <c r="A2562" s="51" t="n">
        <v>15800</v>
      </c>
      <c r="B2562" s="52" t="n">
        <v>40779.5993055556</v>
      </c>
      <c r="C2562" s="1" t="n">
        <v>2</v>
      </c>
      <c r="D2562" s="1" t="n">
        <v>699.08</v>
      </c>
    </row>
    <row r="2563" customFormat="false" ht="14.25" hidden="false" customHeight="true" outlineLevel="0" collapsed="false">
      <c r="A2563" s="51" t="n">
        <v>15801</v>
      </c>
      <c r="B2563" s="52" t="n">
        <v>40840.5777777778</v>
      </c>
      <c r="C2563" s="1" t="n">
        <v>4</v>
      </c>
      <c r="D2563" s="1" t="n">
        <v>1042.19</v>
      </c>
    </row>
    <row r="2564" customFormat="false" ht="14.25" hidden="false" customHeight="true" outlineLevel="0" collapsed="false">
      <c r="A2564" s="51" t="n">
        <v>15802</v>
      </c>
      <c r="B2564" s="52" t="n">
        <v>40744.4861111111</v>
      </c>
      <c r="C2564" s="1" t="n">
        <v>3</v>
      </c>
      <c r="D2564" s="1" t="n">
        <v>-451.42</v>
      </c>
    </row>
    <row r="2565" customFormat="false" ht="14.25" hidden="false" customHeight="true" outlineLevel="0" collapsed="false">
      <c r="A2565" s="51" t="n">
        <v>15803</v>
      </c>
      <c r="B2565" s="52" t="n">
        <v>40835.6222222222</v>
      </c>
      <c r="C2565" s="1" t="n">
        <v>1</v>
      </c>
      <c r="D2565" s="1" t="n">
        <v>415.82</v>
      </c>
    </row>
    <row r="2566" customFormat="false" ht="14.25" hidden="false" customHeight="true" outlineLevel="0" collapsed="false">
      <c r="A2566" s="51" t="n">
        <v>15804</v>
      </c>
      <c r="B2566" s="52" t="n">
        <v>40886.5215277778</v>
      </c>
      <c r="C2566" s="1" t="n">
        <v>19</v>
      </c>
      <c r="D2566" s="1" t="n">
        <v>3848.55</v>
      </c>
    </row>
    <row r="2567" customFormat="false" ht="14.25" hidden="false" customHeight="true" outlineLevel="0" collapsed="false">
      <c r="A2567" s="51" t="n">
        <v>15805</v>
      </c>
      <c r="B2567" s="52" t="n">
        <v>40863.6888888889</v>
      </c>
      <c r="C2567" s="1" t="n">
        <v>20</v>
      </c>
      <c r="D2567" s="1" t="n">
        <v>5452.17</v>
      </c>
    </row>
    <row r="2568" customFormat="false" ht="14.25" hidden="false" customHeight="true" outlineLevel="0" collapsed="false">
      <c r="A2568" s="51" t="n">
        <v>15806</v>
      </c>
      <c r="B2568" s="52" t="n">
        <v>40840.6076388889</v>
      </c>
      <c r="C2568" s="1" t="n">
        <v>3</v>
      </c>
      <c r="D2568" s="1" t="n">
        <v>784.58</v>
      </c>
    </row>
    <row r="2569" customFormat="false" ht="14.25" hidden="false" customHeight="true" outlineLevel="0" collapsed="false">
      <c r="A2569" s="51" t="n">
        <v>15807</v>
      </c>
      <c r="B2569" s="52" t="n">
        <v>40836.5902777778</v>
      </c>
      <c r="C2569" s="1" t="n">
        <v>3</v>
      </c>
      <c r="D2569" s="1" t="n">
        <v>903.9</v>
      </c>
    </row>
    <row r="2570" customFormat="false" ht="14.25" hidden="false" customHeight="true" outlineLevel="0" collapsed="false">
      <c r="A2570" s="51" t="n">
        <v>15808</v>
      </c>
      <c r="B2570" s="52" t="n">
        <v>40580.60625</v>
      </c>
      <c r="C2570" s="1" t="n">
        <v>5</v>
      </c>
      <c r="D2570" s="1" t="n">
        <v>3724.77</v>
      </c>
    </row>
    <row r="2571" customFormat="false" ht="14.25" hidden="false" customHeight="true" outlineLevel="0" collapsed="false">
      <c r="A2571" s="51" t="n">
        <v>15809</v>
      </c>
      <c r="B2571" s="52" t="n">
        <v>40851.5034722222</v>
      </c>
      <c r="C2571" s="1" t="n">
        <v>6</v>
      </c>
      <c r="D2571" s="1" t="n">
        <v>399.21</v>
      </c>
    </row>
    <row r="2572" customFormat="false" ht="14.25" hidden="false" customHeight="true" outlineLevel="0" collapsed="false">
      <c r="A2572" s="51" t="n">
        <v>15810</v>
      </c>
      <c r="B2572" s="52" t="n">
        <v>40808.4013888889</v>
      </c>
      <c r="C2572" s="1" t="n">
        <v>7</v>
      </c>
      <c r="D2572" s="1" t="n">
        <v>1145.43</v>
      </c>
    </row>
    <row r="2573" customFormat="false" ht="14.25" hidden="false" customHeight="true" outlineLevel="0" collapsed="false">
      <c r="A2573" s="51" t="n">
        <v>15811</v>
      </c>
      <c r="B2573" s="52" t="n">
        <v>40869.6451388889</v>
      </c>
      <c r="C2573" s="1" t="n">
        <v>9</v>
      </c>
      <c r="D2573" s="1" t="n">
        <v>2171.32</v>
      </c>
    </row>
    <row r="2574" customFormat="false" ht="14.25" hidden="false" customHeight="true" outlineLevel="0" collapsed="false">
      <c r="A2574" s="51" t="n">
        <v>15812</v>
      </c>
      <c r="B2574" s="52" t="n">
        <v>40779.5965277778</v>
      </c>
      <c r="C2574" s="1" t="n">
        <v>5</v>
      </c>
      <c r="D2574" s="1" t="n">
        <v>1801.14</v>
      </c>
    </row>
    <row r="2575" customFormat="false" ht="14.25" hidden="false" customHeight="true" outlineLevel="0" collapsed="false">
      <c r="A2575" s="51" t="n">
        <v>15813</v>
      </c>
      <c r="B2575" s="52" t="n">
        <v>40679.3423611111</v>
      </c>
      <c r="C2575" s="1" t="n">
        <v>2</v>
      </c>
      <c r="D2575" s="1" t="n">
        <v>1303.91</v>
      </c>
    </row>
    <row r="2576" customFormat="false" ht="14.25" hidden="false" customHeight="true" outlineLevel="0" collapsed="false">
      <c r="A2576" s="51" t="n">
        <v>15814</v>
      </c>
      <c r="B2576" s="52" t="n">
        <v>40883.6256944445</v>
      </c>
      <c r="C2576" s="1" t="n">
        <v>6</v>
      </c>
      <c r="D2576" s="1" t="n">
        <v>1842.73</v>
      </c>
    </row>
    <row r="2577" customFormat="false" ht="14.25" hidden="false" customHeight="true" outlineLevel="0" collapsed="false">
      <c r="A2577" s="51" t="n">
        <v>15815</v>
      </c>
      <c r="B2577" s="52" t="n">
        <v>40823.5291666667</v>
      </c>
      <c r="C2577" s="1" t="n">
        <v>5</v>
      </c>
      <c r="D2577" s="1" t="n">
        <v>2100.6</v>
      </c>
    </row>
    <row r="2578" customFormat="false" ht="14.25" hidden="false" customHeight="true" outlineLevel="0" collapsed="false">
      <c r="A2578" s="51" t="n">
        <v>15819</v>
      </c>
      <c r="B2578" s="52" t="n">
        <v>40837.6180555556</v>
      </c>
      <c r="C2578" s="1" t="n">
        <v>4</v>
      </c>
      <c r="D2578" s="1" t="n">
        <v>1905.45</v>
      </c>
    </row>
    <row r="2579" customFormat="false" ht="14.25" hidden="false" customHeight="true" outlineLevel="0" collapsed="false">
      <c r="A2579" s="51" t="n">
        <v>15820</v>
      </c>
      <c r="B2579" s="52" t="n">
        <v>40567.5</v>
      </c>
      <c r="C2579" s="1" t="n">
        <v>1</v>
      </c>
      <c r="D2579" s="1" t="n">
        <v>206.98</v>
      </c>
    </row>
    <row r="2580" customFormat="false" ht="14.25" hidden="false" customHeight="true" outlineLevel="0" collapsed="false">
      <c r="A2580" s="51" t="n">
        <v>15821</v>
      </c>
      <c r="B2580" s="52" t="n">
        <v>40842.6583333333</v>
      </c>
      <c r="C2580" s="1" t="n">
        <v>2</v>
      </c>
      <c r="D2580" s="1" t="n">
        <v>570.96</v>
      </c>
    </row>
    <row r="2581" customFormat="false" ht="14.25" hidden="false" customHeight="true" outlineLevel="0" collapsed="false">
      <c r="A2581" s="51" t="n">
        <v>15822</v>
      </c>
      <c r="B2581" s="52" t="n">
        <v>40883.6180555556</v>
      </c>
      <c r="C2581" s="1" t="n">
        <v>2</v>
      </c>
      <c r="D2581" s="1" t="n">
        <v>885.47</v>
      </c>
    </row>
    <row r="2582" customFormat="false" ht="14.25" hidden="false" customHeight="true" outlineLevel="0" collapsed="false">
      <c r="A2582" s="51" t="n">
        <v>15823</v>
      </c>
      <c r="B2582" s="52" t="n">
        <v>40549.5402777778</v>
      </c>
      <c r="C2582" s="1" t="n">
        <v>2</v>
      </c>
      <c r="D2582" s="1" t="n">
        <v>-840.76</v>
      </c>
    </row>
    <row r="2583" customFormat="false" ht="14.25" hidden="false" customHeight="true" outlineLevel="0" collapsed="false">
      <c r="A2583" s="51" t="n">
        <v>15825</v>
      </c>
      <c r="B2583" s="52" t="n">
        <v>40714.5604166667</v>
      </c>
      <c r="C2583" s="1" t="n">
        <v>1</v>
      </c>
      <c r="D2583" s="1" t="n">
        <v>532.94</v>
      </c>
    </row>
    <row r="2584" customFormat="false" ht="14.25" hidden="false" customHeight="true" outlineLevel="0" collapsed="false">
      <c r="A2584" s="51" t="n">
        <v>15826</v>
      </c>
      <c r="B2584" s="52" t="n">
        <v>40835.5583333333</v>
      </c>
      <c r="C2584" s="1" t="n">
        <v>4</v>
      </c>
      <c r="D2584" s="1" t="n">
        <v>1649.36</v>
      </c>
    </row>
    <row r="2585" customFormat="false" ht="14.25" hidden="false" customHeight="true" outlineLevel="0" collapsed="false">
      <c r="A2585" s="51" t="n">
        <v>15827</v>
      </c>
      <c r="B2585" s="52" t="n">
        <v>40813.6493055556</v>
      </c>
      <c r="C2585" s="1" t="n">
        <v>20</v>
      </c>
      <c r="D2585" s="1" t="n">
        <v>1641.48</v>
      </c>
    </row>
    <row r="2586" customFormat="false" ht="14.25" hidden="false" customHeight="true" outlineLevel="0" collapsed="false">
      <c r="A2586" s="51" t="n">
        <v>15829</v>
      </c>
      <c r="B2586" s="52" t="n">
        <v>40787.6979166667</v>
      </c>
      <c r="C2586" s="1" t="n">
        <v>2</v>
      </c>
      <c r="D2586" s="1" t="n">
        <v>636.14</v>
      </c>
    </row>
    <row r="2587" customFormat="false" ht="14.25" hidden="false" customHeight="true" outlineLevel="0" collapsed="false">
      <c r="A2587" s="51" t="n">
        <v>15830</v>
      </c>
      <c r="B2587" s="52" t="n">
        <v>40857.5659722222</v>
      </c>
      <c r="C2587" s="1" t="n">
        <v>2</v>
      </c>
      <c r="D2587" s="1" t="n">
        <v>547.7</v>
      </c>
    </row>
    <row r="2588" customFormat="false" ht="14.25" hidden="false" customHeight="true" outlineLevel="0" collapsed="false">
      <c r="A2588" s="51" t="n">
        <v>15831</v>
      </c>
      <c r="B2588" s="52" t="n">
        <v>40828.5513888889</v>
      </c>
      <c r="C2588" s="1" t="n">
        <v>4</v>
      </c>
      <c r="D2588" s="1" t="n">
        <v>747.76</v>
      </c>
    </row>
    <row r="2589" customFormat="false" ht="14.25" hidden="false" customHeight="true" outlineLevel="0" collapsed="false">
      <c r="A2589" s="51" t="n">
        <v>15832</v>
      </c>
      <c r="B2589" s="52" t="n">
        <v>40632.6451388889</v>
      </c>
      <c r="C2589" s="1" t="n">
        <v>1</v>
      </c>
      <c r="D2589" s="1" t="n">
        <v>836.79</v>
      </c>
    </row>
    <row r="2590" customFormat="false" ht="14.25" hidden="false" customHeight="true" outlineLevel="0" collapsed="false">
      <c r="A2590" s="51" t="n">
        <v>15834</v>
      </c>
      <c r="B2590" s="52" t="n">
        <v>40816.6118055556</v>
      </c>
      <c r="C2590" s="1" t="n">
        <v>6</v>
      </c>
      <c r="D2590" s="1" t="n">
        <v>2084.9</v>
      </c>
    </row>
    <row r="2591" customFormat="false" ht="14.25" hidden="false" customHeight="true" outlineLevel="0" collapsed="false">
      <c r="A2591" s="51" t="n">
        <v>15835</v>
      </c>
      <c r="B2591" s="52" t="n">
        <v>40842.6576388889</v>
      </c>
      <c r="C2591" s="1" t="n">
        <v>4</v>
      </c>
      <c r="D2591" s="1" t="n">
        <v>954.09</v>
      </c>
    </row>
    <row r="2592" customFormat="false" ht="14.25" hidden="false" customHeight="true" outlineLevel="0" collapsed="false">
      <c r="A2592" s="51" t="n">
        <v>15836</v>
      </c>
      <c r="B2592" s="52" t="n">
        <v>40841.6506944444</v>
      </c>
      <c r="C2592" s="1" t="n">
        <v>2</v>
      </c>
      <c r="D2592" s="1" t="n">
        <v>117.47</v>
      </c>
    </row>
    <row r="2593" customFormat="false" ht="14.25" hidden="false" customHeight="true" outlineLevel="0" collapsed="false">
      <c r="A2593" s="51" t="n">
        <v>15837</v>
      </c>
      <c r="B2593" s="52" t="n">
        <v>40822.3756944445</v>
      </c>
      <c r="C2593" s="1" t="n">
        <v>1</v>
      </c>
      <c r="D2593" s="1" t="n">
        <v>391.98</v>
      </c>
    </row>
    <row r="2594" customFormat="false" ht="14.25" hidden="false" customHeight="true" outlineLevel="0" collapsed="false">
      <c r="A2594" s="51" t="n">
        <v>15838</v>
      </c>
      <c r="B2594" s="52" t="n">
        <v>40875.5833333333</v>
      </c>
      <c r="C2594" s="1" t="n">
        <v>21</v>
      </c>
      <c r="D2594" s="1" t="n">
        <v>33350.76</v>
      </c>
    </row>
    <row r="2595" customFormat="false" ht="14.25" hidden="false" customHeight="true" outlineLevel="0" collapsed="false">
      <c r="A2595" s="51" t="n">
        <v>15839</v>
      </c>
      <c r="B2595" s="52" t="n">
        <v>40861.5590277778</v>
      </c>
      <c r="C2595" s="1" t="n">
        <v>5</v>
      </c>
      <c r="D2595" s="1" t="n">
        <v>1020.74</v>
      </c>
    </row>
    <row r="2596" customFormat="false" ht="14.25" hidden="false" customHeight="true" outlineLevel="0" collapsed="false">
      <c r="A2596" s="51" t="n">
        <v>15840</v>
      </c>
      <c r="B2596" s="52" t="n">
        <v>40828.3805555556</v>
      </c>
      <c r="C2596" s="1" t="n">
        <v>3</v>
      </c>
      <c r="D2596" s="1" t="n">
        <v>345.66</v>
      </c>
    </row>
    <row r="2597" customFormat="false" ht="14.25" hidden="false" customHeight="true" outlineLevel="0" collapsed="false">
      <c r="A2597" s="51" t="n">
        <v>15841</v>
      </c>
      <c r="B2597" s="52" t="n">
        <v>40822.7715277778</v>
      </c>
      <c r="C2597" s="1" t="n">
        <v>6</v>
      </c>
      <c r="D2597" s="1" t="n">
        <v>1209.1</v>
      </c>
    </row>
    <row r="2598" customFormat="false" ht="14.25" hidden="false" customHeight="true" outlineLevel="0" collapsed="false">
      <c r="A2598" s="51" t="n">
        <v>15843</v>
      </c>
      <c r="B2598" s="52" t="n">
        <v>40583.4298611111</v>
      </c>
      <c r="C2598" s="1" t="n">
        <v>1</v>
      </c>
      <c r="D2598" s="1" t="n">
        <v>118.95</v>
      </c>
    </row>
    <row r="2599" customFormat="false" ht="14.25" hidden="false" customHeight="true" outlineLevel="0" collapsed="false">
      <c r="A2599" s="51" t="n">
        <v>15844</v>
      </c>
      <c r="B2599" s="52" t="n">
        <v>40840.6381944444</v>
      </c>
      <c r="C2599" s="1" t="n">
        <v>1</v>
      </c>
      <c r="D2599" s="1" t="n">
        <v>130.74</v>
      </c>
    </row>
    <row r="2600" customFormat="false" ht="14.25" hidden="false" customHeight="true" outlineLevel="0" collapsed="false">
      <c r="A2600" s="51" t="n">
        <v>15845</v>
      </c>
      <c r="B2600" s="52" t="n">
        <v>40869.4041666667</v>
      </c>
      <c r="C2600" s="1" t="n">
        <v>10</v>
      </c>
      <c r="D2600" s="1" t="n">
        <v>3650.87</v>
      </c>
    </row>
    <row r="2601" customFormat="false" ht="14.25" hidden="false" customHeight="true" outlineLevel="0" collapsed="false">
      <c r="A2601" s="51" t="n">
        <v>15847</v>
      </c>
      <c r="B2601" s="52" t="n">
        <v>40848.6118055556</v>
      </c>
      <c r="C2601" s="1" t="n">
        <v>2</v>
      </c>
      <c r="D2601" s="1" t="n">
        <v>389.27</v>
      </c>
    </row>
    <row r="2602" customFormat="false" ht="14.25" hidden="false" customHeight="true" outlineLevel="0" collapsed="false">
      <c r="A2602" s="51" t="n">
        <v>15850</v>
      </c>
      <c r="B2602" s="52" t="n">
        <v>40867.5930555556</v>
      </c>
      <c r="C2602" s="1" t="n">
        <v>2</v>
      </c>
      <c r="D2602" s="1" t="n">
        <v>238.85</v>
      </c>
    </row>
    <row r="2603" customFormat="false" ht="14.25" hidden="false" customHeight="true" outlineLevel="0" collapsed="false">
      <c r="A2603" s="51" t="n">
        <v>15852</v>
      </c>
      <c r="B2603" s="52" t="n">
        <v>40700.4736111111</v>
      </c>
      <c r="C2603" s="1" t="n">
        <v>2</v>
      </c>
      <c r="D2603" s="1" t="n">
        <v>160.71</v>
      </c>
    </row>
    <row r="2604" customFormat="false" ht="14.25" hidden="false" customHeight="true" outlineLevel="0" collapsed="false">
      <c r="A2604" s="51" t="n">
        <v>15853</v>
      </c>
      <c r="B2604" s="52" t="n">
        <v>40835.4430555556</v>
      </c>
      <c r="C2604" s="1" t="n">
        <v>1</v>
      </c>
      <c r="D2604" s="1" t="n">
        <v>110.8</v>
      </c>
    </row>
    <row r="2605" customFormat="false" ht="14.25" hidden="false" customHeight="true" outlineLevel="0" collapsed="false">
      <c r="A2605" s="51" t="n">
        <v>15854</v>
      </c>
      <c r="B2605" s="52" t="n">
        <v>40882.56875</v>
      </c>
      <c r="C2605" s="1" t="n">
        <v>12</v>
      </c>
      <c r="D2605" s="1" t="n">
        <v>2974.65</v>
      </c>
    </row>
    <row r="2606" customFormat="false" ht="14.25" hidden="false" customHeight="true" outlineLevel="0" collapsed="false">
      <c r="A2606" s="51" t="n">
        <v>15855</v>
      </c>
      <c r="B2606" s="52" t="n">
        <v>40750.4305555556</v>
      </c>
      <c r="C2606" s="1" t="n">
        <v>5</v>
      </c>
      <c r="D2606" s="1" t="n">
        <v>712.24</v>
      </c>
    </row>
    <row r="2607" customFormat="false" ht="14.25" hidden="false" customHeight="true" outlineLevel="0" collapsed="false">
      <c r="A2607" s="51" t="n">
        <v>15856</v>
      </c>
      <c r="B2607" s="52" t="n">
        <v>40882.7145833333</v>
      </c>
      <c r="C2607" s="1" t="n">
        <v>31</v>
      </c>
      <c r="D2607" s="1" t="n">
        <v>16173.67</v>
      </c>
    </row>
    <row r="2608" customFormat="false" ht="14.25" hidden="false" customHeight="true" outlineLevel="0" collapsed="false">
      <c r="A2608" s="51" t="n">
        <v>15857</v>
      </c>
      <c r="B2608" s="52" t="n">
        <v>40868.5125</v>
      </c>
      <c r="C2608" s="1" t="n">
        <v>1</v>
      </c>
      <c r="D2608" s="1" t="n">
        <v>297</v>
      </c>
    </row>
    <row r="2609" customFormat="false" ht="14.25" hidden="false" customHeight="true" outlineLevel="0" collapsed="false">
      <c r="A2609" s="51" t="n">
        <v>15858</v>
      </c>
      <c r="B2609" s="52" t="n">
        <v>40871.5333333333</v>
      </c>
      <c r="C2609" s="1" t="n">
        <v>5</v>
      </c>
      <c r="D2609" s="1" t="n">
        <v>1438.85</v>
      </c>
    </row>
    <row r="2610" customFormat="false" ht="14.25" hidden="false" customHeight="true" outlineLevel="0" collapsed="false">
      <c r="A2610" s="51" t="n">
        <v>15860</v>
      </c>
      <c r="B2610" s="52" t="n">
        <v>40846.4756944445</v>
      </c>
      <c r="C2610" s="1" t="n">
        <v>8</v>
      </c>
      <c r="D2610" s="1" t="n">
        <v>977.209999999999</v>
      </c>
    </row>
    <row r="2611" customFormat="false" ht="14.25" hidden="false" customHeight="true" outlineLevel="0" collapsed="false">
      <c r="A2611" s="51" t="n">
        <v>15861</v>
      </c>
      <c r="B2611" s="52" t="n">
        <v>40874.6659722222</v>
      </c>
      <c r="C2611" s="1" t="n">
        <v>9</v>
      </c>
      <c r="D2611" s="1" t="n">
        <v>3000.36</v>
      </c>
    </row>
    <row r="2612" customFormat="false" ht="14.25" hidden="false" customHeight="true" outlineLevel="0" collapsed="false">
      <c r="A2612" s="51" t="n">
        <v>15862</v>
      </c>
      <c r="B2612" s="52" t="n">
        <v>40878.5611111111</v>
      </c>
      <c r="C2612" s="1" t="n">
        <v>4</v>
      </c>
      <c r="D2612" s="1" t="n">
        <v>832.88</v>
      </c>
    </row>
    <row r="2613" customFormat="false" ht="14.25" hidden="false" customHeight="true" outlineLevel="0" collapsed="false">
      <c r="A2613" s="51" t="n">
        <v>15863</v>
      </c>
      <c r="B2613" s="52" t="n">
        <v>40861.5340277778</v>
      </c>
      <c r="C2613" s="1" t="n">
        <v>2</v>
      </c>
      <c r="D2613" s="1" t="n">
        <v>68.84</v>
      </c>
    </row>
    <row r="2614" customFormat="false" ht="14.25" hidden="false" customHeight="true" outlineLevel="0" collapsed="false">
      <c r="A2614" s="51" t="n">
        <v>15864</v>
      </c>
      <c r="B2614" s="52" t="n">
        <v>40864.5638888889</v>
      </c>
      <c r="C2614" s="1" t="n">
        <v>8</v>
      </c>
      <c r="D2614" s="1" t="n">
        <v>1769.78</v>
      </c>
    </row>
    <row r="2615" customFormat="false" ht="14.25" hidden="false" customHeight="true" outlineLevel="0" collapsed="false">
      <c r="A2615" s="51" t="n">
        <v>15865</v>
      </c>
      <c r="B2615" s="52" t="n">
        <v>40846.5298611111</v>
      </c>
      <c r="C2615" s="1" t="n">
        <v>3</v>
      </c>
      <c r="D2615" s="1" t="n">
        <v>895.13</v>
      </c>
    </row>
    <row r="2616" customFormat="false" ht="14.25" hidden="false" customHeight="true" outlineLevel="0" collapsed="false">
      <c r="A2616" s="51" t="n">
        <v>15866</v>
      </c>
      <c r="B2616" s="52" t="n">
        <v>40785.5895833333</v>
      </c>
      <c r="C2616" s="1" t="n">
        <v>1</v>
      </c>
      <c r="D2616" s="1" t="n">
        <v>230.53</v>
      </c>
    </row>
    <row r="2617" customFormat="false" ht="14.25" hidden="false" customHeight="true" outlineLevel="0" collapsed="false">
      <c r="A2617" s="51" t="n">
        <v>15867</v>
      </c>
      <c r="B2617" s="52" t="n">
        <v>40881.5673611111</v>
      </c>
      <c r="C2617" s="1" t="n">
        <v>16</v>
      </c>
      <c r="D2617" s="1" t="n">
        <v>3797.79</v>
      </c>
    </row>
    <row r="2618" customFormat="false" ht="14.25" hidden="false" customHeight="true" outlineLevel="0" collapsed="false">
      <c r="A2618" s="51" t="n">
        <v>15869</v>
      </c>
      <c r="B2618" s="52" t="n">
        <v>40609.7243055556</v>
      </c>
      <c r="C2618" s="1" t="n">
        <v>2</v>
      </c>
      <c r="D2618" s="1" t="n">
        <v>149.64</v>
      </c>
    </row>
    <row r="2619" customFormat="false" ht="14.25" hidden="false" customHeight="true" outlineLevel="0" collapsed="false">
      <c r="A2619" s="51" t="n">
        <v>15870</v>
      </c>
      <c r="B2619" s="52" t="n">
        <v>40854.4569444444</v>
      </c>
      <c r="C2619" s="1" t="n">
        <v>1</v>
      </c>
      <c r="D2619" s="1" t="n">
        <v>354.09</v>
      </c>
    </row>
    <row r="2620" customFormat="false" ht="14.25" hidden="false" customHeight="true" outlineLevel="0" collapsed="false">
      <c r="A2620" s="51" t="n">
        <v>15872</v>
      </c>
      <c r="B2620" s="52" t="n">
        <v>40872.4965277778</v>
      </c>
      <c r="C2620" s="1" t="n">
        <v>2</v>
      </c>
      <c r="D2620" s="1" t="n">
        <v>360.93</v>
      </c>
    </row>
    <row r="2621" customFormat="false" ht="14.25" hidden="false" customHeight="true" outlineLevel="0" collapsed="false">
      <c r="A2621" s="51" t="n">
        <v>15874</v>
      </c>
      <c r="B2621" s="52" t="n">
        <v>40823.5402777778</v>
      </c>
      <c r="C2621" s="1" t="n">
        <v>9</v>
      </c>
      <c r="D2621" s="1" t="n">
        <v>4330.67</v>
      </c>
    </row>
    <row r="2622" customFormat="false" ht="14.25" hidden="false" customHeight="true" outlineLevel="0" collapsed="false">
      <c r="A2622" s="51" t="n">
        <v>15877</v>
      </c>
      <c r="B2622" s="52" t="n">
        <v>40885.4979166667</v>
      </c>
      <c r="C2622" s="1" t="n">
        <v>3</v>
      </c>
      <c r="D2622" s="1" t="n">
        <v>440.78</v>
      </c>
    </row>
    <row r="2623" customFormat="false" ht="14.25" hidden="false" customHeight="true" outlineLevel="0" collapsed="false">
      <c r="A2623" s="51" t="n">
        <v>15880</v>
      </c>
      <c r="B2623" s="52" t="n">
        <v>40517.5479166667</v>
      </c>
      <c r="C2623" s="1" t="n">
        <v>2</v>
      </c>
      <c r="D2623" s="1" t="n">
        <v>313.28</v>
      </c>
    </row>
    <row r="2624" customFormat="false" ht="14.25" hidden="false" customHeight="true" outlineLevel="0" collapsed="false">
      <c r="A2624" s="51" t="n">
        <v>15881</v>
      </c>
      <c r="B2624" s="52" t="n">
        <v>40574.7076388889</v>
      </c>
      <c r="C2624" s="1" t="n">
        <v>8</v>
      </c>
      <c r="D2624" s="1" t="n">
        <v>438.24</v>
      </c>
    </row>
    <row r="2625" customFormat="false" ht="14.25" hidden="false" customHeight="true" outlineLevel="0" collapsed="false">
      <c r="A2625" s="51" t="n">
        <v>15882</v>
      </c>
      <c r="B2625" s="52" t="n">
        <v>40688.4826388889</v>
      </c>
      <c r="C2625" s="1" t="n">
        <v>5</v>
      </c>
      <c r="D2625" s="1" t="n">
        <v>495.36</v>
      </c>
    </row>
    <row r="2626" customFormat="false" ht="14.25" hidden="false" customHeight="true" outlineLevel="0" collapsed="false">
      <c r="A2626" s="51" t="n">
        <v>15883</v>
      </c>
      <c r="B2626" s="52" t="n">
        <v>40884.7118055556</v>
      </c>
      <c r="C2626" s="1" t="n">
        <v>2</v>
      </c>
      <c r="D2626" s="1" t="n">
        <v>396.48</v>
      </c>
    </row>
    <row r="2627" customFormat="false" ht="14.25" hidden="false" customHeight="true" outlineLevel="0" collapsed="false">
      <c r="A2627" s="51" t="n">
        <v>15885</v>
      </c>
      <c r="B2627" s="52" t="n">
        <v>40794.4465277778</v>
      </c>
      <c r="C2627" s="1" t="n">
        <v>3</v>
      </c>
      <c r="D2627" s="1" t="n">
        <v>379.35</v>
      </c>
    </row>
    <row r="2628" customFormat="false" ht="14.25" hidden="false" customHeight="true" outlineLevel="0" collapsed="false">
      <c r="A2628" s="51" t="n">
        <v>15886</v>
      </c>
      <c r="B2628" s="52" t="n">
        <v>40826.6006944445</v>
      </c>
      <c r="C2628" s="1" t="n">
        <v>1</v>
      </c>
      <c r="D2628" s="1" t="n">
        <v>181.09</v>
      </c>
    </row>
    <row r="2629" customFormat="false" ht="14.25" hidden="false" customHeight="true" outlineLevel="0" collapsed="false">
      <c r="A2629" s="51" t="n">
        <v>15888</v>
      </c>
      <c r="B2629" s="52" t="n">
        <v>40807.4055555556</v>
      </c>
      <c r="C2629" s="1" t="n">
        <v>2</v>
      </c>
      <c r="D2629" s="1" t="n">
        <v>141.27</v>
      </c>
    </row>
    <row r="2630" customFormat="false" ht="14.25" hidden="false" customHeight="true" outlineLevel="0" collapsed="false">
      <c r="A2630" s="51" t="n">
        <v>15889</v>
      </c>
      <c r="B2630" s="52" t="n">
        <v>40730.4652777778</v>
      </c>
      <c r="C2630" s="1" t="n">
        <v>2</v>
      </c>
      <c r="D2630" s="1" t="n">
        <v>446.87</v>
      </c>
    </row>
    <row r="2631" customFormat="false" ht="14.25" hidden="false" customHeight="true" outlineLevel="0" collapsed="false">
      <c r="A2631" s="51" t="n">
        <v>15891</v>
      </c>
      <c r="B2631" s="52" t="n">
        <v>40660.5243055556</v>
      </c>
      <c r="C2631" s="1" t="n">
        <v>1</v>
      </c>
      <c r="D2631" s="1" t="n">
        <v>524.52</v>
      </c>
    </row>
    <row r="2632" customFormat="false" ht="14.25" hidden="false" customHeight="true" outlineLevel="0" collapsed="false">
      <c r="A2632" s="51" t="n">
        <v>15894</v>
      </c>
      <c r="B2632" s="52" t="n">
        <v>40633.5763888889</v>
      </c>
      <c r="C2632" s="1" t="n">
        <v>2</v>
      </c>
      <c r="D2632" s="1" t="n">
        <v>263.55</v>
      </c>
    </row>
    <row r="2633" customFormat="false" ht="14.25" hidden="false" customHeight="true" outlineLevel="0" collapsed="false">
      <c r="A2633" s="51" t="n">
        <v>15895</v>
      </c>
      <c r="B2633" s="52" t="n">
        <v>40737.4354166667</v>
      </c>
      <c r="C2633" s="1" t="n">
        <v>1</v>
      </c>
      <c r="D2633" s="1" t="n">
        <v>179.17</v>
      </c>
    </row>
    <row r="2634" customFormat="false" ht="14.25" hidden="false" customHeight="true" outlineLevel="0" collapsed="false">
      <c r="A2634" s="51" t="n">
        <v>15897</v>
      </c>
      <c r="B2634" s="52" t="n">
        <v>40692.5763888889</v>
      </c>
      <c r="C2634" s="1" t="n">
        <v>2</v>
      </c>
      <c r="D2634" s="1" t="n">
        <v>222.05</v>
      </c>
    </row>
    <row r="2635" customFormat="false" ht="14.25" hidden="false" customHeight="true" outlineLevel="0" collapsed="false">
      <c r="A2635" s="51" t="n">
        <v>15898</v>
      </c>
      <c r="B2635" s="52" t="n">
        <v>40885.6409722222</v>
      </c>
      <c r="C2635" s="1" t="n">
        <v>6</v>
      </c>
      <c r="D2635" s="1" t="n">
        <v>1384.68</v>
      </c>
    </row>
    <row r="2636" customFormat="false" ht="14.25" hidden="false" customHeight="true" outlineLevel="0" collapsed="false">
      <c r="A2636" s="51" t="n">
        <v>15899</v>
      </c>
      <c r="B2636" s="52" t="n">
        <v>40518.4416666667</v>
      </c>
      <c r="C2636" s="1" t="n">
        <v>1</v>
      </c>
      <c r="D2636" s="1" t="n">
        <v>56.25</v>
      </c>
    </row>
    <row r="2637" customFormat="false" ht="14.25" hidden="false" customHeight="true" outlineLevel="0" collapsed="false">
      <c r="A2637" s="51" t="n">
        <v>15900</v>
      </c>
      <c r="B2637" s="52" t="n">
        <v>40863.5131944444</v>
      </c>
      <c r="C2637" s="1" t="n">
        <v>1</v>
      </c>
      <c r="D2637" s="1" t="n">
        <v>351.11</v>
      </c>
    </row>
    <row r="2638" customFormat="false" ht="14.25" hidden="false" customHeight="true" outlineLevel="0" collapsed="false">
      <c r="A2638" s="51" t="n">
        <v>15901</v>
      </c>
      <c r="B2638" s="52" t="n">
        <v>40870.5298611111</v>
      </c>
      <c r="C2638" s="1" t="n">
        <v>3</v>
      </c>
      <c r="D2638" s="1" t="n">
        <v>363.88</v>
      </c>
    </row>
    <row r="2639" customFormat="false" ht="14.25" hidden="false" customHeight="true" outlineLevel="0" collapsed="false">
      <c r="A2639" s="51" t="n">
        <v>15903</v>
      </c>
      <c r="B2639" s="52" t="n">
        <v>40877.3388888889</v>
      </c>
      <c r="C2639" s="1" t="n">
        <v>8</v>
      </c>
      <c r="D2639" s="1" t="n">
        <v>5126.34</v>
      </c>
    </row>
    <row r="2640" customFormat="false" ht="14.25" hidden="false" customHeight="true" outlineLevel="0" collapsed="false">
      <c r="A2640" s="51" t="n">
        <v>15904</v>
      </c>
      <c r="B2640" s="52" t="n">
        <v>40878.6180555556</v>
      </c>
      <c r="C2640" s="1" t="n">
        <v>1</v>
      </c>
      <c r="D2640" s="1" t="n">
        <v>164.68</v>
      </c>
    </row>
    <row r="2641" customFormat="false" ht="14.25" hidden="false" customHeight="true" outlineLevel="0" collapsed="false">
      <c r="A2641" s="51" t="n">
        <v>15906</v>
      </c>
      <c r="B2641" s="52" t="n">
        <v>40867.5166666667</v>
      </c>
      <c r="C2641" s="1" t="n">
        <v>8</v>
      </c>
      <c r="D2641" s="1" t="n">
        <v>1521.79</v>
      </c>
    </row>
    <row r="2642" customFormat="false" ht="14.25" hidden="false" customHeight="true" outlineLevel="0" collapsed="false">
      <c r="A2642" s="51" t="n">
        <v>15907</v>
      </c>
      <c r="B2642" s="52" t="n">
        <v>40883.5145833333</v>
      </c>
      <c r="C2642" s="1" t="n">
        <v>3</v>
      </c>
      <c r="D2642" s="1" t="n">
        <v>967.45</v>
      </c>
    </row>
    <row r="2643" customFormat="false" ht="14.25" hidden="false" customHeight="true" outlineLevel="0" collapsed="false">
      <c r="A2643" s="51" t="n">
        <v>15909</v>
      </c>
      <c r="B2643" s="52" t="n">
        <v>40713.4430555556</v>
      </c>
      <c r="C2643" s="1" t="n">
        <v>1</v>
      </c>
      <c r="D2643" s="1" t="n">
        <v>191.94</v>
      </c>
    </row>
    <row r="2644" customFormat="false" ht="14.25" hidden="false" customHeight="true" outlineLevel="0" collapsed="false">
      <c r="A2644" s="51" t="n">
        <v>15910</v>
      </c>
      <c r="B2644" s="52" t="n">
        <v>40886.4520833333</v>
      </c>
      <c r="C2644" s="1" t="n">
        <v>8</v>
      </c>
      <c r="D2644" s="1" t="n">
        <v>1232.18</v>
      </c>
    </row>
    <row r="2645" customFormat="false" ht="14.25" hidden="false" customHeight="true" outlineLevel="0" collapsed="false">
      <c r="A2645" s="51" t="n">
        <v>15912</v>
      </c>
      <c r="B2645" s="52" t="n">
        <v>40708.6034722222</v>
      </c>
      <c r="C2645" s="1" t="n">
        <v>2</v>
      </c>
      <c r="D2645" s="1" t="n">
        <v>264.62</v>
      </c>
    </row>
    <row r="2646" customFormat="false" ht="14.25" hidden="false" customHeight="true" outlineLevel="0" collapsed="false">
      <c r="A2646" s="51" t="n">
        <v>15916</v>
      </c>
      <c r="B2646" s="52" t="n">
        <v>40870.5736111111</v>
      </c>
      <c r="C2646" s="1" t="n">
        <v>10</v>
      </c>
      <c r="D2646" s="1" t="n">
        <v>1491.24</v>
      </c>
    </row>
    <row r="2647" customFormat="false" ht="14.25" hidden="false" customHeight="true" outlineLevel="0" collapsed="false">
      <c r="A2647" s="51" t="n">
        <v>15917</v>
      </c>
      <c r="B2647" s="52" t="n">
        <v>40639.4444444445</v>
      </c>
      <c r="C2647" s="1" t="n">
        <v>1</v>
      </c>
      <c r="D2647" s="1" t="n">
        <v>123.1</v>
      </c>
    </row>
    <row r="2648" customFormat="false" ht="14.25" hidden="false" customHeight="true" outlineLevel="0" collapsed="false">
      <c r="A2648" s="51" t="n">
        <v>15918</v>
      </c>
      <c r="B2648" s="52" t="n">
        <v>40696.4875</v>
      </c>
      <c r="C2648" s="1" t="n">
        <v>2</v>
      </c>
      <c r="D2648" s="1" t="n">
        <v>334.23</v>
      </c>
    </row>
    <row r="2649" customFormat="false" ht="14.25" hidden="false" customHeight="true" outlineLevel="0" collapsed="false">
      <c r="A2649" s="51" t="n">
        <v>15919</v>
      </c>
      <c r="B2649" s="52" t="n">
        <v>40867.4777777778</v>
      </c>
      <c r="C2649" s="1" t="n">
        <v>2</v>
      </c>
      <c r="D2649" s="1" t="n">
        <v>639.89</v>
      </c>
    </row>
    <row r="2650" customFormat="false" ht="14.25" hidden="false" customHeight="true" outlineLevel="0" collapsed="false">
      <c r="A2650" s="51" t="n">
        <v>15920</v>
      </c>
      <c r="B2650" s="52" t="n">
        <v>40732.6465277778</v>
      </c>
      <c r="C2650" s="1" t="n">
        <v>4</v>
      </c>
      <c r="D2650" s="1" t="n">
        <v>167.5</v>
      </c>
    </row>
    <row r="2651" customFormat="false" ht="14.25" hidden="false" customHeight="true" outlineLevel="0" collapsed="false">
      <c r="A2651" s="51" t="n">
        <v>15921</v>
      </c>
      <c r="B2651" s="52" t="n">
        <v>40714.4604166667</v>
      </c>
      <c r="C2651" s="1" t="n">
        <v>1</v>
      </c>
      <c r="D2651" s="1" t="n">
        <v>336.03</v>
      </c>
    </row>
    <row r="2652" customFormat="false" ht="14.25" hidden="false" customHeight="true" outlineLevel="0" collapsed="false">
      <c r="A2652" s="51" t="n">
        <v>15922</v>
      </c>
      <c r="B2652" s="52" t="n">
        <v>40514.5451388889</v>
      </c>
      <c r="C2652" s="1" t="n">
        <v>2</v>
      </c>
      <c r="D2652" s="1" t="n">
        <v>363.6</v>
      </c>
    </row>
    <row r="2653" customFormat="false" ht="14.25" hidden="false" customHeight="true" outlineLevel="0" collapsed="false">
      <c r="A2653" s="51" t="n">
        <v>15923</v>
      </c>
      <c r="B2653" s="52" t="n">
        <v>40514.5111111111</v>
      </c>
      <c r="C2653" s="1" t="n">
        <v>1</v>
      </c>
      <c r="D2653" s="1" t="n">
        <v>127.08</v>
      </c>
    </row>
    <row r="2654" customFormat="false" ht="14.25" hidden="false" customHeight="true" outlineLevel="0" collapsed="false">
      <c r="A2654" s="51" t="n">
        <v>15925</v>
      </c>
      <c r="B2654" s="52" t="n">
        <v>40692.6493055556</v>
      </c>
      <c r="C2654" s="1" t="n">
        <v>1</v>
      </c>
      <c r="D2654" s="1" t="n">
        <v>207.15</v>
      </c>
    </row>
    <row r="2655" customFormat="false" ht="14.25" hidden="false" customHeight="true" outlineLevel="0" collapsed="false">
      <c r="A2655" s="51" t="n">
        <v>15930</v>
      </c>
      <c r="B2655" s="52" t="n">
        <v>40819.6194444444</v>
      </c>
      <c r="C2655" s="1" t="n">
        <v>1</v>
      </c>
      <c r="D2655" s="1" t="n">
        <v>426.63</v>
      </c>
    </row>
    <row r="2656" customFormat="false" ht="14.25" hidden="false" customHeight="true" outlineLevel="0" collapsed="false">
      <c r="A2656" s="51" t="n">
        <v>15932</v>
      </c>
      <c r="B2656" s="52" t="n">
        <v>40882.7173611111</v>
      </c>
      <c r="C2656" s="1" t="n">
        <v>11</v>
      </c>
      <c r="D2656" s="1" t="n">
        <v>2461.85</v>
      </c>
    </row>
    <row r="2657" customFormat="false" ht="14.25" hidden="false" customHeight="true" outlineLevel="0" collapsed="false">
      <c r="A2657" s="51" t="n">
        <v>15933</v>
      </c>
      <c r="B2657" s="52" t="n">
        <v>40865.5513888889</v>
      </c>
      <c r="C2657" s="1" t="n">
        <v>3</v>
      </c>
      <c r="D2657" s="1" t="n">
        <v>1107.46</v>
      </c>
    </row>
    <row r="2658" customFormat="false" ht="14.25" hidden="false" customHeight="true" outlineLevel="0" collapsed="false">
      <c r="A2658" s="51" t="n">
        <v>15935</v>
      </c>
      <c r="B2658" s="52" t="n">
        <v>40647.5604166667</v>
      </c>
      <c r="C2658" s="1" t="n">
        <v>2</v>
      </c>
      <c r="D2658" s="1" t="n">
        <v>416.86</v>
      </c>
    </row>
    <row r="2659" customFormat="false" ht="14.25" hidden="false" customHeight="true" outlineLevel="0" collapsed="false">
      <c r="A2659" s="51" t="n">
        <v>15937</v>
      </c>
      <c r="B2659" s="52" t="n">
        <v>40822.6583333333</v>
      </c>
      <c r="C2659" s="1" t="n">
        <v>1</v>
      </c>
      <c r="D2659" s="1" t="n">
        <v>145.35</v>
      </c>
    </row>
    <row r="2660" customFormat="false" ht="14.25" hidden="false" customHeight="true" outlineLevel="0" collapsed="false">
      <c r="A2660" s="51" t="n">
        <v>15938</v>
      </c>
      <c r="B2660" s="52" t="n">
        <v>40774.5388888889</v>
      </c>
      <c r="C2660" s="1" t="n">
        <v>5</v>
      </c>
      <c r="D2660" s="1" t="n">
        <v>404.58</v>
      </c>
    </row>
    <row r="2661" customFormat="false" ht="14.25" hidden="false" customHeight="true" outlineLevel="0" collapsed="false">
      <c r="A2661" s="51" t="n">
        <v>15939</v>
      </c>
      <c r="B2661" s="52" t="n">
        <v>40797.4791666667</v>
      </c>
      <c r="C2661" s="1" t="n">
        <v>16</v>
      </c>
      <c r="D2661" s="1" t="n">
        <v>6102.26</v>
      </c>
    </row>
    <row r="2662" customFormat="false" ht="14.25" hidden="false" customHeight="true" outlineLevel="0" collapsed="false">
      <c r="A2662" s="51" t="n">
        <v>15940</v>
      </c>
      <c r="B2662" s="52" t="n">
        <v>40575.68125</v>
      </c>
      <c r="C2662" s="1" t="n">
        <v>2</v>
      </c>
      <c r="D2662" s="1" t="n">
        <v>31.8</v>
      </c>
    </row>
    <row r="2663" customFormat="false" ht="14.25" hidden="false" customHeight="true" outlineLevel="0" collapsed="false">
      <c r="A2663" s="51" t="n">
        <v>15942</v>
      </c>
      <c r="B2663" s="52" t="n">
        <v>40753.3756944445</v>
      </c>
      <c r="C2663" s="1" t="n">
        <v>1</v>
      </c>
      <c r="D2663" s="1" t="n">
        <v>337.44</v>
      </c>
    </row>
    <row r="2664" customFormat="false" ht="14.25" hidden="false" customHeight="true" outlineLevel="0" collapsed="false">
      <c r="A2664" s="51" t="n">
        <v>15944</v>
      </c>
      <c r="B2664" s="52" t="n">
        <v>40610.4395833333</v>
      </c>
      <c r="C2664" s="1" t="n">
        <v>1</v>
      </c>
      <c r="D2664" s="1" t="n">
        <v>325.1</v>
      </c>
    </row>
    <row r="2665" customFormat="false" ht="14.25" hidden="false" customHeight="true" outlineLevel="0" collapsed="false">
      <c r="A2665" s="51" t="n">
        <v>15945</v>
      </c>
      <c r="B2665" s="52" t="n">
        <v>40521.5513888889</v>
      </c>
      <c r="C2665" s="1" t="n">
        <v>1</v>
      </c>
      <c r="D2665" s="1" t="n">
        <v>181</v>
      </c>
    </row>
    <row r="2666" customFormat="false" ht="14.25" hidden="false" customHeight="true" outlineLevel="0" collapsed="false">
      <c r="A2666" s="51" t="n">
        <v>15947</v>
      </c>
      <c r="B2666" s="52" t="n">
        <v>40804.4486111111</v>
      </c>
      <c r="C2666" s="1" t="n">
        <v>1</v>
      </c>
      <c r="D2666" s="1" t="n">
        <v>1708.24</v>
      </c>
    </row>
    <row r="2667" customFormat="false" ht="14.25" hidden="false" customHeight="true" outlineLevel="0" collapsed="false">
      <c r="A2667" s="51" t="n">
        <v>15948</v>
      </c>
      <c r="B2667" s="52" t="n">
        <v>40878.6472222222</v>
      </c>
      <c r="C2667" s="1" t="n">
        <v>2</v>
      </c>
      <c r="D2667" s="1" t="n">
        <v>955.24</v>
      </c>
    </row>
    <row r="2668" customFormat="false" ht="14.25" hidden="false" customHeight="true" outlineLevel="0" collapsed="false">
      <c r="A2668" s="51" t="n">
        <v>15949</v>
      </c>
      <c r="B2668" s="52" t="n">
        <v>40870.38125</v>
      </c>
      <c r="C2668" s="1" t="n">
        <v>2</v>
      </c>
      <c r="D2668" s="1" t="n">
        <v>364.72</v>
      </c>
    </row>
    <row r="2669" customFormat="false" ht="14.25" hidden="false" customHeight="true" outlineLevel="0" collapsed="false">
      <c r="A2669" s="51" t="n">
        <v>15950</v>
      </c>
      <c r="B2669" s="52" t="n">
        <v>40885.4402777778</v>
      </c>
      <c r="C2669" s="1" t="n">
        <v>5</v>
      </c>
      <c r="D2669" s="1" t="n">
        <v>1705.26</v>
      </c>
    </row>
    <row r="2670" customFormat="false" ht="14.25" hidden="false" customHeight="true" outlineLevel="0" collapsed="false">
      <c r="A2670" s="51" t="n">
        <v>15951</v>
      </c>
      <c r="B2670" s="52" t="n">
        <v>40885.7895833333</v>
      </c>
      <c r="C2670" s="1" t="n">
        <v>3</v>
      </c>
      <c r="D2670" s="1" t="n">
        <v>669.57</v>
      </c>
    </row>
    <row r="2671" customFormat="false" ht="14.25" hidden="false" customHeight="true" outlineLevel="0" collapsed="false">
      <c r="A2671" s="51" t="n">
        <v>15952</v>
      </c>
      <c r="B2671" s="52" t="n">
        <v>40853.4708333333</v>
      </c>
      <c r="C2671" s="1" t="n">
        <v>4</v>
      </c>
      <c r="D2671" s="1" t="n">
        <v>806.57</v>
      </c>
    </row>
    <row r="2672" customFormat="false" ht="14.25" hidden="false" customHeight="true" outlineLevel="0" collapsed="false">
      <c r="A2672" s="51" t="n">
        <v>15953</v>
      </c>
      <c r="B2672" s="52" t="n">
        <v>40871.6472222222</v>
      </c>
      <c r="C2672" s="1" t="n">
        <v>10</v>
      </c>
      <c r="D2672" s="1" t="n">
        <v>1634.53</v>
      </c>
    </row>
    <row r="2673" customFormat="false" ht="14.25" hidden="false" customHeight="true" outlineLevel="0" collapsed="false">
      <c r="A2673" s="51" t="n">
        <v>15955</v>
      </c>
      <c r="B2673" s="52" t="n">
        <v>40862.59375</v>
      </c>
      <c r="C2673" s="1" t="n">
        <v>16</v>
      </c>
      <c r="D2673" s="1" t="n">
        <v>4389.81</v>
      </c>
    </row>
    <row r="2674" customFormat="false" ht="14.25" hidden="false" customHeight="true" outlineLevel="0" collapsed="false">
      <c r="A2674" s="51" t="n">
        <v>15957</v>
      </c>
      <c r="B2674" s="52" t="n">
        <v>40855.5097222222</v>
      </c>
      <c r="C2674" s="1" t="n">
        <v>1</v>
      </c>
      <c r="D2674" s="1" t="n">
        <v>428.89</v>
      </c>
    </row>
    <row r="2675" customFormat="false" ht="14.25" hidden="false" customHeight="true" outlineLevel="0" collapsed="false">
      <c r="A2675" s="51" t="n">
        <v>15958</v>
      </c>
      <c r="B2675" s="52" t="n">
        <v>40812.5701388889</v>
      </c>
      <c r="C2675" s="1" t="n">
        <v>1</v>
      </c>
      <c r="D2675" s="1" t="n">
        <v>104.35</v>
      </c>
    </row>
    <row r="2676" customFormat="false" ht="14.25" hidden="false" customHeight="true" outlineLevel="0" collapsed="false">
      <c r="A2676" s="51" t="n">
        <v>15963</v>
      </c>
      <c r="B2676" s="52" t="n">
        <v>40867.48125</v>
      </c>
      <c r="C2676" s="1" t="n">
        <v>2</v>
      </c>
      <c r="D2676" s="1" t="n">
        <v>470.76</v>
      </c>
    </row>
    <row r="2677" customFormat="false" ht="14.25" hidden="false" customHeight="true" outlineLevel="0" collapsed="false">
      <c r="A2677" s="51" t="n">
        <v>15965</v>
      </c>
      <c r="B2677" s="52" t="n">
        <v>40869.6972222222</v>
      </c>
      <c r="C2677" s="1" t="n">
        <v>4</v>
      </c>
      <c r="D2677" s="1" t="n">
        <v>845.64</v>
      </c>
    </row>
    <row r="2678" customFormat="false" ht="14.25" hidden="false" customHeight="true" outlineLevel="0" collapsed="false">
      <c r="A2678" s="51" t="n">
        <v>15967</v>
      </c>
      <c r="B2678" s="52" t="n">
        <v>40863.6534722222</v>
      </c>
      <c r="C2678" s="1" t="n">
        <v>2</v>
      </c>
      <c r="D2678" s="1" t="n">
        <v>418.83</v>
      </c>
    </row>
    <row r="2679" customFormat="false" ht="14.25" hidden="false" customHeight="true" outlineLevel="0" collapsed="false">
      <c r="A2679" s="51" t="n">
        <v>15969</v>
      </c>
      <c r="B2679" s="52" t="n">
        <v>40884.4625</v>
      </c>
      <c r="C2679" s="1" t="n">
        <v>4</v>
      </c>
      <c r="D2679" s="1" t="n">
        <v>582.9</v>
      </c>
    </row>
    <row r="2680" customFormat="false" ht="14.25" hidden="false" customHeight="true" outlineLevel="0" collapsed="false">
      <c r="A2680" s="51" t="n">
        <v>15970</v>
      </c>
      <c r="B2680" s="52" t="n">
        <v>40583.5055555556</v>
      </c>
      <c r="C2680" s="1" t="n">
        <v>1</v>
      </c>
      <c r="D2680" s="1" t="n">
        <v>314.1</v>
      </c>
    </row>
    <row r="2681" customFormat="false" ht="14.25" hidden="false" customHeight="true" outlineLevel="0" collapsed="false">
      <c r="A2681" s="51" t="n">
        <v>15971</v>
      </c>
      <c r="B2681" s="52" t="n">
        <v>40869.5347222222</v>
      </c>
      <c r="C2681" s="1" t="n">
        <v>12</v>
      </c>
      <c r="D2681" s="1" t="n">
        <v>4199.85</v>
      </c>
    </row>
    <row r="2682" customFormat="false" ht="14.25" hidden="false" customHeight="true" outlineLevel="0" collapsed="false">
      <c r="A2682" s="51" t="n">
        <v>15973</v>
      </c>
      <c r="B2682" s="52" t="n">
        <v>40651.4020833333</v>
      </c>
      <c r="C2682" s="1" t="n">
        <v>3</v>
      </c>
      <c r="D2682" s="1" t="n">
        <v>99.77</v>
      </c>
    </row>
    <row r="2683" customFormat="false" ht="14.25" hidden="false" customHeight="true" outlineLevel="0" collapsed="false">
      <c r="A2683" s="51" t="n">
        <v>15974</v>
      </c>
      <c r="B2683" s="52" t="n">
        <v>40847.5506944444</v>
      </c>
      <c r="C2683" s="1" t="n">
        <v>8</v>
      </c>
      <c r="D2683" s="1" t="n">
        <v>3429.55</v>
      </c>
    </row>
    <row r="2684" customFormat="false" ht="14.25" hidden="false" customHeight="true" outlineLevel="0" collapsed="false">
      <c r="A2684" s="51" t="n">
        <v>15975</v>
      </c>
      <c r="B2684" s="52" t="n">
        <v>40802.5645833333</v>
      </c>
      <c r="C2684" s="1" t="n">
        <v>1</v>
      </c>
      <c r="D2684" s="1" t="n">
        <v>371.01</v>
      </c>
    </row>
    <row r="2685" customFormat="false" ht="14.25" hidden="false" customHeight="true" outlineLevel="0" collapsed="false">
      <c r="A2685" s="51" t="n">
        <v>15976</v>
      </c>
      <c r="B2685" s="52" t="n">
        <v>40721.5416666667</v>
      </c>
      <c r="C2685" s="1" t="n">
        <v>2</v>
      </c>
      <c r="D2685" s="1" t="n">
        <v>430.94</v>
      </c>
    </row>
    <row r="2686" customFormat="false" ht="14.25" hidden="false" customHeight="true" outlineLevel="0" collapsed="false">
      <c r="A2686" s="51" t="n">
        <v>15977</v>
      </c>
      <c r="B2686" s="52" t="n">
        <v>40869.5618055556</v>
      </c>
      <c r="C2686" s="1" t="n">
        <v>2</v>
      </c>
      <c r="D2686" s="1" t="n">
        <v>1054.73</v>
      </c>
    </row>
    <row r="2687" customFormat="false" ht="14.25" hidden="false" customHeight="true" outlineLevel="0" collapsed="false">
      <c r="A2687" s="51" t="n">
        <v>15978</v>
      </c>
      <c r="B2687" s="52" t="n">
        <v>40809.6395833333</v>
      </c>
      <c r="C2687" s="1" t="n">
        <v>1</v>
      </c>
      <c r="D2687" s="1" t="n">
        <v>1098.78</v>
      </c>
    </row>
    <row r="2688" customFormat="false" ht="14.25" hidden="false" customHeight="true" outlineLevel="0" collapsed="false">
      <c r="A2688" s="51" t="n">
        <v>15980</v>
      </c>
      <c r="B2688" s="52" t="n">
        <v>40798.4034722222</v>
      </c>
      <c r="C2688" s="1" t="n">
        <v>3</v>
      </c>
      <c r="D2688" s="1" t="n">
        <v>2398.86</v>
      </c>
    </row>
    <row r="2689" customFormat="false" ht="14.25" hidden="false" customHeight="true" outlineLevel="0" collapsed="false">
      <c r="A2689" s="51" t="n">
        <v>15981</v>
      </c>
      <c r="B2689" s="52" t="n">
        <v>40862.3333333333</v>
      </c>
      <c r="C2689" s="1" t="n">
        <v>8</v>
      </c>
      <c r="D2689" s="1" t="n">
        <v>3408.48</v>
      </c>
    </row>
    <row r="2690" customFormat="false" ht="14.25" hidden="false" customHeight="true" outlineLevel="0" collapsed="false">
      <c r="A2690" s="51" t="n">
        <v>15983</v>
      </c>
      <c r="B2690" s="52" t="n">
        <v>40864.7319444444</v>
      </c>
      <c r="C2690" s="1" t="n">
        <v>4</v>
      </c>
      <c r="D2690" s="1" t="n">
        <v>1475.02</v>
      </c>
    </row>
    <row r="2691" customFormat="false" ht="14.25" hidden="false" customHeight="true" outlineLevel="0" collapsed="false">
      <c r="A2691" s="51" t="n">
        <v>15984</v>
      </c>
      <c r="B2691" s="52" t="n">
        <v>40884.5111111111</v>
      </c>
      <c r="C2691" s="1" t="n">
        <v>11</v>
      </c>
      <c r="D2691" s="1" t="n">
        <v>2816.97</v>
      </c>
    </row>
    <row r="2692" customFormat="false" ht="14.25" hidden="false" customHeight="true" outlineLevel="0" collapsed="false">
      <c r="A2692" s="51" t="n">
        <v>15985</v>
      </c>
      <c r="B2692" s="52" t="n">
        <v>40763.6881944445</v>
      </c>
      <c r="C2692" s="1" t="n">
        <v>3</v>
      </c>
      <c r="D2692" s="1" t="n">
        <v>1037.42</v>
      </c>
    </row>
    <row r="2693" customFormat="false" ht="14.25" hidden="false" customHeight="true" outlineLevel="0" collapsed="false">
      <c r="A2693" s="51" t="n">
        <v>15986</v>
      </c>
      <c r="B2693" s="52" t="n">
        <v>40856.6368055556</v>
      </c>
      <c r="C2693" s="1" t="n">
        <v>1</v>
      </c>
      <c r="D2693" s="1" t="n">
        <v>168.12</v>
      </c>
    </row>
    <row r="2694" customFormat="false" ht="14.25" hidden="false" customHeight="true" outlineLevel="0" collapsed="false">
      <c r="A2694" s="51" t="n">
        <v>15987</v>
      </c>
      <c r="B2694" s="52" t="n">
        <v>40874.6513888889</v>
      </c>
      <c r="C2694" s="1" t="n">
        <v>7</v>
      </c>
      <c r="D2694" s="1" t="n">
        <v>1451.28</v>
      </c>
    </row>
    <row r="2695" customFormat="false" ht="14.25" hidden="false" customHeight="true" outlineLevel="0" collapsed="false">
      <c r="A2695" s="51" t="n">
        <v>15988</v>
      </c>
      <c r="B2695" s="52" t="n">
        <v>40867.5576388889</v>
      </c>
      <c r="C2695" s="1" t="n">
        <v>1</v>
      </c>
      <c r="D2695" s="1" t="n">
        <v>158.03</v>
      </c>
    </row>
    <row r="2696" customFormat="false" ht="14.25" hidden="false" customHeight="true" outlineLevel="0" collapsed="false">
      <c r="A2696" s="51" t="n">
        <v>15990</v>
      </c>
      <c r="B2696" s="52" t="n">
        <v>40842.6652777778</v>
      </c>
      <c r="C2696" s="1" t="n">
        <v>2</v>
      </c>
      <c r="D2696" s="1" t="n">
        <v>792.11</v>
      </c>
    </row>
    <row r="2697" customFormat="false" ht="14.25" hidden="false" customHeight="true" outlineLevel="0" collapsed="false">
      <c r="A2697" s="51" t="n">
        <v>15992</v>
      </c>
      <c r="B2697" s="52" t="n">
        <v>40883.4583333333</v>
      </c>
      <c r="C2697" s="1" t="n">
        <v>1</v>
      </c>
      <c r="D2697" s="1" t="n">
        <v>41.99</v>
      </c>
    </row>
    <row r="2698" customFormat="false" ht="14.25" hidden="false" customHeight="true" outlineLevel="0" collapsed="false">
      <c r="A2698" s="51" t="n">
        <v>15993</v>
      </c>
      <c r="B2698" s="52" t="n">
        <v>40878.4479166667</v>
      </c>
      <c r="C2698" s="1" t="n">
        <v>10</v>
      </c>
      <c r="D2698" s="1" t="n">
        <v>2756.82</v>
      </c>
    </row>
    <row r="2699" customFormat="false" ht="14.25" hidden="false" customHeight="true" outlineLevel="0" collapsed="false">
      <c r="A2699" s="51" t="n">
        <v>15994</v>
      </c>
      <c r="B2699" s="52" t="n">
        <v>40832.5194444444</v>
      </c>
      <c r="C2699" s="1" t="n">
        <v>1</v>
      </c>
      <c r="D2699" s="1" t="n">
        <v>427.07</v>
      </c>
    </row>
    <row r="2700" customFormat="false" ht="14.25" hidden="false" customHeight="true" outlineLevel="0" collapsed="false">
      <c r="A2700" s="51" t="n">
        <v>15996</v>
      </c>
      <c r="B2700" s="52" t="n">
        <v>40798.6347222222</v>
      </c>
      <c r="C2700" s="1" t="n">
        <v>7</v>
      </c>
      <c r="D2700" s="1" t="n">
        <v>1044.78</v>
      </c>
    </row>
    <row r="2701" customFormat="false" ht="14.25" hidden="false" customHeight="true" outlineLevel="0" collapsed="false">
      <c r="A2701" s="51" t="n">
        <v>15998</v>
      </c>
      <c r="B2701" s="52" t="n">
        <v>40850.53125</v>
      </c>
      <c r="C2701" s="1" t="n">
        <v>6</v>
      </c>
      <c r="D2701" s="1" t="n">
        <v>3084.17</v>
      </c>
    </row>
    <row r="2702" customFormat="false" ht="14.25" hidden="false" customHeight="true" outlineLevel="0" collapsed="false">
      <c r="A2702" s="51" t="n">
        <v>16000</v>
      </c>
      <c r="B2702" s="52" t="n">
        <v>40884.5118055556</v>
      </c>
      <c r="C2702" s="1" t="n">
        <v>3</v>
      </c>
      <c r="D2702" s="1" t="n">
        <v>12393.7</v>
      </c>
    </row>
    <row r="2703" customFormat="false" ht="14.25" hidden="false" customHeight="true" outlineLevel="0" collapsed="false">
      <c r="A2703" s="51" t="n">
        <v>16003</v>
      </c>
      <c r="B2703" s="52" t="n">
        <v>40857.4145833333</v>
      </c>
      <c r="C2703" s="1" t="n">
        <v>5</v>
      </c>
      <c r="D2703" s="1" t="n">
        <v>2735.37</v>
      </c>
    </row>
    <row r="2704" customFormat="false" ht="14.25" hidden="false" customHeight="true" outlineLevel="0" collapsed="false">
      <c r="A2704" s="51" t="n">
        <v>16005</v>
      </c>
      <c r="B2704" s="52" t="n">
        <v>40874.5743055556</v>
      </c>
      <c r="C2704" s="1" t="n">
        <v>4</v>
      </c>
      <c r="D2704" s="1" t="n">
        <v>615.39</v>
      </c>
    </row>
    <row r="2705" customFormat="false" ht="14.25" hidden="false" customHeight="true" outlineLevel="0" collapsed="false">
      <c r="A2705" s="51" t="n">
        <v>16006</v>
      </c>
      <c r="B2705" s="52" t="n">
        <v>40675.55</v>
      </c>
      <c r="C2705" s="1" t="n">
        <v>1</v>
      </c>
      <c r="D2705" s="1" t="n">
        <v>101.4</v>
      </c>
    </row>
    <row r="2706" customFormat="false" ht="14.25" hidden="false" customHeight="true" outlineLevel="0" collapsed="false">
      <c r="A2706" s="51" t="n">
        <v>16007</v>
      </c>
      <c r="B2706" s="52" t="n">
        <v>40839.4618055556</v>
      </c>
      <c r="C2706" s="1" t="n">
        <v>4</v>
      </c>
      <c r="D2706" s="1" t="n">
        <v>1701.94</v>
      </c>
    </row>
    <row r="2707" customFormat="false" ht="14.25" hidden="false" customHeight="true" outlineLevel="0" collapsed="false">
      <c r="A2707" s="51" t="n">
        <v>16008</v>
      </c>
      <c r="B2707" s="52" t="n">
        <v>40863.4388888889</v>
      </c>
      <c r="C2707" s="1" t="n">
        <v>3</v>
      </c>
      <c r="D2707" s="1" t="n">
        <v>478.78</v>
      </c>
    </row>
    <row r="2708" customFormat="false" ht="14.25" hidden="false" customHeight="true" outlineLevel="0" collapsed="false">
      <c r="A2708" s="51" t="n">
        <v>16009</v>
      </c>
      <c r="B2708" s="52" t="n">
        <v>40864.7020833333</v>
      </c>
      <c r="C2708" s="1" t="n">
        <v>4</v>
      </c>
      <c r="D2708" s="1" t="n">
        <v>992.71</v>
      </c>
    </row>
    <row r="2709" customFormat="false" ht="14.25" hidden="false" customHeight="true" outlineLevel="0" collapsed="false">
      <c r="A2709" s="51" t="n">
        <v>16010</v>
      </c>
      <c r="B2709" s="52" t="n">
        <v>40641.4263888889</v>
      </c>
      <c r="C2709" s="1" t="n">
        <v>3</v>
      </c>
      <c r="D2709" s="1" t="n">
        <v>407.5</v>
      </c>
    </row>
    <row r="2710" customFormat="false" ht="14.25" hidden="false" customHeight="true" outlineLevel="0" collapsed="false">
      <c r="A2710" s="51" t="n">
        <v>16011</v>
      </c>
      <c r="B2710" s="52" t="n">
        <v>40878.6881944445</v>
      </c>
      <c r="C2710" s="1" t="n">
        <v>16</v>
      </c>
      <c r="D2710" s="1" t="n">
        <v>3362.71</v>
      </c>
    </row>
    <row r="2711" customFormat="false" ht="14.25" hidden="false" customHeight="true" outlineLevel="0" collapsed="false">
      <c r="A2711" s="51" t="n">
        <v>16012</v>
      </c>
      <c r="B2711" s="52" t="n">
        <v>40851.5590277778</v>
      </c>
      <c r="C2711" s="1" t="n">
        <v>3</v>
      </c>
      <c r="D2711" s="1" t="n">
        <v>1415.29</v>
      </c>
    </row>
    <row r="2712" customFormat="false" ht="14.25" hidden="false" customHeight="true" outlineLevel="0" collapsed="false">
      <c r="A2712" s="51" t="n">
        <v>16013</v>
      </c>
      <c r="B2712" s="52" t="n">
        <v>40883.4416666667</v>
      </c>
      <c r="C2712" s="1" t="n">
        <v>54</v>
      </c>
      <c r="D2712" s="1" t="n">
        <v>33366.25</v>
      </c>
    </row>
    <row r="2713" customFormat="false" ht="14.25" hidden="false" customHeight="true" outlineLevel="0" collapsed="false">
      <c r="A2713" s="51" t="n">
        <v>16014</v>
      </c>
      <c r="B2713" s="52" t="n">
        <v>40851.4743055556</v>
      </c>
      <c r="C2713" s="1" t="n">
        <v>4</v>
      </c>
      <c r="D2713" s="1" t="n">
        <v>653.13</v>
      </c>
    </row>
    <row r="2714" customFormat="false" ht="14.25" hidden="false" customHeight="true" outlineLevel="0" collapsed="false">
      <c r="A2714" s="51" t="n">
        <v>16015</v>
      </c>
      <c r="B2714" s="52" t="n">
        <v>40883.4569444444</v>
      </c>
      <c r="C2714" s="1" t="n">
        <v>4</v>
      </c>
      <c r="D2714" s="1" t="n">
        <v>690.54</v>
      </c>
    </row>
    <row r="2715" customFormat="false" ht="14.25" hidden="false" customHeight="true" outlineLevel="0" collapsed="false">
      <c r="A2715" s="51" t="n">
        <v>16016</v>
      </c>
      <c r="B2715" s="52" t="n">
        <v>40883.6076388889</v>
      </c>
      <c r="C2715" s="1" t="n">
        <v>10</v>
      </c>
      <c r="D2715" s="1" t="n">
        <v>1483.31</v>
      </c>
    </row>
    <row r="2716" customFormat="false" ht="14.25" hidden="false" customHeight="true" outlineLevel="0" collapsed="false">
      <c r="A2716" s="51" t="n">
        <v>16017</v>
      </c>
      <c r="B2716" s="52" t="n">
        <v>40839.5388888889</v>
      </c>
      <c r="C2716" s="1" t="n">
        <v>1</v>
      </c>
      <c r="D2716" s="1" t="n">
        <v>211.88</v>
      </c>
    </row>
    <row r="2717" customFormat="false" ht="14.25" hidden="false" customHeight="true" outlineLevel="0" collapsed="false">
      <c r="A2717" s="51" t="n">
        <v>16018</v>
      </c>
      <c r="B2717" s="52" t="n">
        <v>40847.5923611111</v>
      </c>
      <c r="C2717" s="1" t="n">
        <v>2</v>
      </c>
      <c r="D2717" s="1" t="n">
        <v>408.9</v>
      </c>
    </row>
    <row r="2718" customFormat="false" ht="14.25" hidden="false" customHeight="true" outlineLevel="0" collapsed="false">
      <c r="A2718" s="51" t="n">
        <v>16019</v>
      </c>
      <c r="B2718" s="52" t="n">
        <v>40885.4208333333</v>
      </c>
      <c r="C2718" s="1" t="n">
        <v>10</v>
      </c>
      <c r="D2718" s="1" t="n">
        <v>3450.24</v>
      </c>
    </row>
    <row r="2719" customFormat="false" ht="14.25" hidden="false" customHeight="true" outlineLevel="0" collapsed="false">
      <c r="A2719" s="51" t="n">
        <v>16020</v>
      </c>
      <c r="B2719" s="52" t="n">
        <v>40870.4708333333</v>
      </c>
      <c r="C2719" s="1" t="n">
        <v>3</v>
      </c>
      <c r="D2719" s="1" t="n">
        <v>851.01</v>
      </c>
    </row>
    <row r="2720" customFormat="false" ht="14.25" hidden="false" customHeight="true" outlineLevel="0" collapsed="false">
      <c r="A2720" s="51" t="n">
        <v>16022</v>
      </c>
      <c r="B2720" s="52" t="n">
        <v>40626.5527777778</v>
      </c>
      <c r="C2720" s="1" t="n">
        <v>1</v>
      </c>
      <c r="D2720" s="1" t="n">
        <v>628.28</v>
      </c>
    </row>
    <row r="2721" customFormat="false" ht="14.25" hidden="false" customHeight="true" outlineLevel="0" collapsed="false">
      <c r="A2721" s="51" t="n">
        <v>16023</v>
      </c>
      <c r="B2721" s="52" t="n">
        <v>40840.6902777778</v>
      </c>
      <c r="C2721" s="1" t="n">
        <v>3</v>
      </c>
      <c r="D2721" s="1" t="n">
        <v>719.81</v>
      </c>
    </row>
    <row r="2722" customFormat="false" ht="14.25" hidden="false" customHeight="true" outlineLevel="0" collapsed="false">
      <c r="A2722" s="51" t="n">
        <v>16024</v>
      </c>
      <c r="B2722" s="52" t="n">
        <v>40874.5597222222</v>
      </c>
      <c r="C2722" s="1" t="n">
        <v>1</v>
      </c>
      <c r="D2722" s="1" t="n">
        <v>251.24</v>
      </c>
    </row>
    <row r="2723" customFormat="false" ht="14.25" hidden="false" customHeight="true" outlineLevel="0" collapsed="false">
      <c r="A2723" s="51" t="n">
        <v>16025</v>
      </c>
      <c r="B2723" s="52" t="n">
        <v>40857.4895833333</v>
      </c>
      <c r="C2723" s="1" t="n">
        <v>1</v>
      </c>
      <c r="D2723" s="1" t="n">
        <v>439.66</v>
      </c>
    </row>
    <row r="2724" customFormat="false" ht="14.25" hidden="false" customHeight="true" outlineLevel="0" collapsed="false">
      <c r="A2724" s="51" t="n">
        <v>16026</v>
      </c>
      <c r="B2724" s="52" t="n">
        <v>40843.5784722222</v>
      </c>
      <c r="C2724" s="1" t="n">
        <v>1</v>
      </c>
      <c r="D2724" s="1" t="n">
        <v>236.09</v>
      </c>
    </row>
    <row r="2725" customFormat="false" ht="14.25" hidden="false" customHeight="true" outlineLevel="0" collapsed="false">
      <c r="A2725" s="51" t="n">
        <v>16027</v>
      </c>
      <c r="B2725" s="52" t="n">
        <v>40795.4493055556</v>
      </c>
      <c r="C2725" s="1" t="n">
        <v>7</v>
      </c>
      <c r="D2725" s="1" t="n">
        <v>852.12</v>
      </c>
    </row>
    <row r="2726" customFormat="false" ht="14.25" hidden="false" customHeight="true" outlineLevel="0" collapsed="false">
      <c r="A2726" s="51" t="n">
        <v>16029</v>
      </c>
      <c r="B2726" s="52" t="n">
        <v>40848.4354166667</v>
      </c>
      <c r="C2726" s="1" t="n">
        <v>76</v>
      </c>
      <c r="D2726" s="1" t="n">
        <v>50992.61</v>
      </c>
    </row>
    <row r="2727" customFormat="false" ht="14.25" hidden="false" customHeight="true" outlineLevel="0" collapsed="false">
      <c r="A2727" s="51" t="n">
        <v>16030</v>
      </c>
      <c r="B2727" s="52" t="n">
        <v>40577.4777777778</v>
      </c>
      <c r="C2727" s="1" t="n">
        <v>1</v>
      </c>
      <c r="D2727" s="1" t="n">
        <v>331.24</v>
      </c>
    </row>
    <row r="2728" customFormat="false" ht="14.25" hidden="false" customHeight="true" outlineLevel="0" collapsed="false">
      <c r="A2728" s="51" t="n">
        <v>16031</v>
      </c>
      <c r="B2728" s="52" t="n">
        <v>40794.5465277778</v>
      </c>
      <c r="C2728" s="1" t="n">
        <v>2</v>
      </c>
      <c r="D2728" s="1" t="n">
        <v>548.94</v>
      </c>
    </row>
    <row r="2729" customFormat="false" ht="14.25" hidden="false" customHeight="true" outlineLevel="0" collapsed="false">
      <c r="A2729" s="51" t="n">
        <v>16033</v>
      </c>
      <c r="B2729" s="52" t="n">
        <v>40881.5305555556</v>
      </c>
      <c r="C2729" s="1" t="n">
        <v>27</v>
      </c>
      <c r="D2729" s="1" t="n">
        <v>8727.61</v>
      </c>
    </row>
    <row r="2730" customFormat="false" ht="14.25" hidden="false" customHeight="true" outlineLevel="0" collapsed="false">
      <c r="A2730" s="51" t="n">
        <v>16034</v>
      </c>
      <c r="B2730" s="52" t="n">
        <v>40690.6784722222</v>
      </c>
      <c r="C2730" s="1" t="n">
        <v>3</v>
      </c>
      <c r="D2730" s="1" t="n">
        <v>437.7</v>
      </c>
    </row>
    <row r="2731" customFormat="false" ht="14.25" hidden="false" customHeight="true" outlineLevel="0" collapsed="false">
      <c r="A2731" s="51" t="n">
        <v>16036</v>
      </c>
      <c r="B2731" s="52" t="n">
        <v>40799.6201388889</v>
      </c>
      <c r="C2731" s="1" t="n">
        <v>2</v>
      </c>
      <c r="D2731" s="1" t="n">
        <v>758.919999999999</v>
      </c>
    </row>
    <row r="2732" customFormat="false" ht="14.25" hidden="false" customHeight="true" outlineLevel="0" collapsed="false">
      <c r="A2732" s="51" t="n">
        <v>16037</v>
      </c>
      <c r="B2732" s="52" t="n">
        <v>40617.3840277778</v>
      </c>
      <c r="C2732" s="1" t="n">
        <v>3</v>
      </c>
      <c r="D2732" s="1" t="n">
        <v>855.02</v>
      </c>
    </row>
    <row r="2733" customFormat="false" ht="14.25" hidden="false" customHeight="true" outlineLevel="0" collapsed="false">
      <c r="A2733" s="51" t="n">
        <v>16038</v>
      </c>
      <c r="B2733" s="52" t="n">
        <v>40879.5277777778</v>
      </c>
      <c r="C2733" s="1" t="n">
        <v>4</v>
      </c>
      <c r="D2733" s="1" t="n">
        <v>454.33</v>
      </c>
    </row>
    <row r="2734" customFormat="false" ht="14.25" hidden="false" customHeight="true" outlineLevel="0" collapsed="false">
      <c r="A2734" s="51" t="n">
        <v>16040</v>
      </c>
      <c r="B2734" s="52" t="n">
        <v>40821.5743055556</v>
      </c>
      <c r="C2734" s="1" t="n">
        <v>3</v>
      </c>
      <c r="D2734" s="1" t="n">
        <v>1313.55</v>
      </c>
    </row>
    <row r="2735" customFormat="false" ht="14.25" hidden="false" customHeight="true" outlineLevel="0" collapsed="false">
      <c r="A2735" s="51" t="n">
        <v>16041</v>
      </c>
      <c r="B2735" s="52" t="n">
        <v>40856.5173611111</v>
      </c>
      <c r="C2735" s="1" t="n">
        <v>3</v>
      </c>
      <c r="D2735" s="1" t="n">
        <v>3166.4</v>
      </c>
    </row>
    <row r="2736" customFormat="false" ht="14.25" hidden="false" customHeight="true" outlineLevel="0" collapsed="false">
      <c r="A2736" s="51" t="n">
        <v>16042</v>
      </c>
      <c r="B2736" s="52" t="n">
        <v>40864.7430555556</v>
      </c>
      <c r="C2736" s="1" t="n">
        <v>7</v>
      </c>
      <c r="D2736" s="1" t="n">
        <v>1147.37</v>
      </c>
    </row>
    <row r="2737" customFormat="false" ht="14.25" hidden="false" customHeight="true" outlineLevel="0" collapsed="false">
      <c r="A2737" s="51" t="n">
        <v>16043</v>
      </c>
      <c r="B2737" s="52" t="n">
        <v>40849.5347222222</v>
      </c>
      <c r="C2737" s="1" t="n">
        <v>4</v>
      </c>
      <c r="D2737" s="1" t="n">
        <v>773.99</v>
      </c>
    </row>
    <row r="2738" customFormat="false" ht="14.25" hidden="false" customHeight="true" outlineLevel="0" collapsed="false">
      <c r="A2738" s="51" t="n">
        <v>16045</v>
      </c>
      <c r="B2738" s="52" t="n">
        <v>40767.5284722222</v>
      </c>
      <c r="C2738" s="1" t="n">
        <v>4</v>
      </c>
      <c r="D2738" s="1" t="n">
        <v>1340.7</v>
      </c>
    </row>
    <row r="2739" customFormat="false" ht="14.25" hidden="false" customHeight="true" outlineLevel="0" collapsed="false">
      <c r="A2739" s="51" t="n">
        <v>16048</v>
      </c>
      <c r="B2739" s="52" t="n">
        <v>40801.425</v>
      </c>
      <c r="C2739" s="1" t="n">
        <v>3</v>
      </c>
      <c r="D2739" s="1" t="n">
        <v>243.69</v>
      </c>
    </row>
    <row r="2740" customFormat="false" ht="14.25" hidden="false" customHeight="true" outlineLevel="0" collapsed="false">
      <c r="A2740" s="51" t="n">
        <v>16049</v>
      </c>
      <c r="B2740" s="52" t="n">
        <v>40846.5548611111</v>
      </c>
      <c r="C2740" s="1" t="n">
        <v>3</v>
      </c>
      <c r="D2740" s="1" t="n">
        <v>1111.79</v>
      </c>
    </row>
    <row r="2741" customFormat="false" ht="14.25" hidden="false" customHeight="true" outlineLevel="0" collapsed="false">
      <c r="A2741" s="51" t="n">
        <v>16050</v>
      </c>
      <c r="B2741" s="52" t="n">
        <v>40713.4888888889</v>
      </c>
      <c r="C2741" s="1" t="n">
        <v>1</v>
      </c>
      <c r="D2741" s="1" t="n">
        <v>137.9</v>
      </c>
    </row>
    <row r="2742" customFormat="false" ht="14.25" hidden="false" customHeight="true" outlineLevel="0" collapsed="false">
      <c r="A2742" s="51" t="n">
        <v>16052</v>
      </c>
      <c r="B2742" s="52" t="n">
        <v>40832.6340277778</v>
      </c>
      <c r="C2742" s="1" t="n">
        <v>1</v>
      </c>
      <c r="D2742" s="1" t="n">
        <v>362.06</v>
      </c>
    </row>
    <row r="2743" customFormat="false" ht="14.25" hidden="false" customHeight="true" outlineLevel="0" collapsed="false">
      <c r="A2743" s="51" t="n">
        <v>16053</v>
      </c>
      <c r="B2743" s="52" t="n">
        <v>40854.4729166667</v>
      </c>
      <c r="C2743" s="1" t="n">
        <v>2</v>
      </c>
      <c r="D2743" s="1" t="n">
        <v>1511.95</v>
      </c>
    </row>
    <row r="2744" customFormat="false" ht="14.25" hidden="false" customHeight="true" outlineLevel="0" collapsed="false">
      <c r="A2744" s="51" t="n">
        <v>16054</v>
      </c>
      <c r="B2744" s="52" t="n">
        <v>40741.5472222222</v>
      </c>
      <c r="C2744" s="1" t="n">
        <v>1</v>
      </c>
      <c r="D2744" s="1" t="n">
        <v>783.9</v>
      </c>
    </row>
    <row r="2745" customFormat="false" ht="14.25" hidden="false" customHeight="true" outlineLevel="0" collapsed="false">
      <c r="A2745" s="51" t="n">
        <v>16055</v>
      </c>
      <c r="B2745" s="52" t="n">
        <v>40666.3930555556</v>
      </c>
      <c r="C2745" s="1" t="n">
        <v>1</v>
      </c>
      <c r="D2745" s="1" t="n">
        <v>134.8</v>
      </c>
    </row>
    <row r="2746" customFormat="false" ht="14.25" hidden="false" customHeight="true" outlineLevel="0" collapsed="false">
      <c r="A2746" s="51" t="n">
        <v>16056</v>
      </c>
      <c r="B2746" s="52" t="n">
        <v>40841.6381944444</v>
      </c>
      <c r="C2746" s="1" t="n">
        <v>1</v>
      </c>
      <c r="D2746" s="1" t="n">
        <v>664.85</v>
      </c>
    </row>
    <row r="2747" customFormat="false" ht="14.25" hidden="false" customHeight="true" outlineLevel="0" collapsed="false">
      <c r="A2747" s="51" t="n">
        <v>16057</v>
      </c>
      <c r="B2747" s="52" t="n">
        <v>40882.6916666667</v>
      </c>
      <c r="C2747" s="1" t="n">
        <v>10</v>
      </c>
      <c r="D2747" s="1" t="n">
        <v>2140.22</v>
      </c>
    </row>
    <row r="2748" customFormat="false" ht="14.25" hidden="false" customHeight="true" outlineLevel="0" collapsed="false">
      <c r="A2748" s="51" t="n">
        <v>16059</v>
      </c>
      <c r="B2748" s="52" t="n">
        <v>40821.4138888889</v>
      </c>
      <c r="C2748" s="1" t="n">
        <v>6</v>
      </c>
      <c r="D2748" s="1" t="n">
        <v>1459.86</v>
      </c>
    </row>
    <row r="2749" customFormat="false" ht="14.25" hidden="false" customHeight="true" outlineLevel="0" collapsed="false">
      <c r="A2749" s="51" t="n">
        <v>16061</v>
      </c>
      <c r="B2749" s="52" t="n">
        <v>40617.6118055556</v>
      </c>
      <c r="C2749" s="1" t="n">
        <v>1</v>
      </c>
      <c r="D2749" s="1" t="n">
        <v>-29.95</v>
      </c>
    </row>
    <row r="2750" customFormat="false" ht="14.25" hidden="false" customHeight="true" outlineLevel="0" collapsed="false">
      <c r="A2750" s="51" t="n">
        <v>16062</v>
      </c>
      <c r="B2750" s="52" t="n">
        <v>40877.5104166667</v>
      </c>
      <c r="C2750" s="1" t="n">
        <v>4</v>
      </c>
      <c r="D2750" s="1" t="n">
        <v>1153.62</v>
      </c>
    </row>
    <row r="2751" customFormat="false" ht="14.25" hidden="false" customHeight="true" outlineLevel="0" collapsed="false">
      <c r="A2751" s="51" t="n">
        <v>16063</v>
      </c>
      <c r="B2751" s="52" t="n">
        <v>40626.6222222222</v>
      </c>
      <c r="C2751" s="1" t="n">
        <v>1</v>
      </c>
      <c r="D2751" s="1" t="n">
        <v>335.32</v>
      </c>
    </row>
    <row r="2752" customFormat="false" ht="14.25" hidden="false" customHeight="true" outlineLevel="0" collapsed="false">
      <c r="A2752" s="51" t="n">
        <v>16065</v>
      </c>
      <c r="B2752" s="52" t="n">
        <v>40521.54375</v>
      </c>
      <c r="C2752" s="1" t="n">
        <v>1</v>
      </c>
      <c r="D2752" s="1" t="n">
        <v>372.09</v>
      </c>
    </row>
    <row r="2753" customFormat="false" ht="14.25" hidden="false" customHeight="true" outlineLevel="0" collapsed="false">
      <c r="A2753" s="51" t="n">
        <v>16066</v>
      </c>
      <c r="B2753" s="52" t="n">
        <v>40870.4958333333</v>
      </c>
      <c r="C2753" s="1" t="n">
        <v>5</v>
      </c>
      <c r="D2753" s="1" t="n">
        <v>1521.87</v>
      </c>
    </row>
    <row r="2754" customFormat="false" ht="14.25" hidden="false" customHeight="true" outlineLevel="0" collapsed="false">
      <c r="A2754" s="51" t="n">
        <v>16070</v>
      </c>
      <c r="B2754" s="52" t="n">
        <v>40864.6597222222</v>
      </c>
      <c r="C2754" s="1" t="n">
        <v>2</v>
      </c>
      <c r="D2754" s="1" t="n">
        <v>852.15</v>
      </c>
    </row>
    <row r="2755" customFormat="false" ht="14.25" hidden="false" customHeight="true" outlineLevel="0" collapsed="false">
      <c r="A2755" s="51" t="n">
        <v>16071</v>
      </c>
      <c r="B2755" s="52" t="n">
        <v>40842.4680555556</v>
      </c>
      <c r="C2755" s="1" t="n">
        <v>1</v>
      </c>
      <c r="D2755" s="1" t="n">
        <v>326.24</v>
      </c>
    </row>
    <row r="2756" customFormat="false" ht="14.25" hidden="false" customHeight="true" outlineLevel="0" collapsed="false">
      <c r="A2756" s="51" t="n">
        <v>16072</v>
      </c>
      <c r="B2756" s="52" t="n">
        <v>40598.6055555556</v>
      </c>
      <c r="C2756" s="1" t="n">
        <v>1</v>
      </c>
      <c r="D2756" s="1" t="n">
        <v>584.32</v>
      </c>
    </row>
    <row r="2757" customFormat="false" ht="14.25" hidden="false" customHeight="true" outlineLevel="0" collapsed="false">
      <c r="A2757" s="51" t="n">
        <v>16073</v>
      </c>
      <c r="B2757" s="52" t="n">
        <v>40595.5229166667</v>
      </c>
      <c r="C2757" s="1" t="n">
        <v>2</v>
      </c>
      <c r="D2757" s="1" t="n">
        <v>94.35</v>
      </c>
    </row>
    <row r="2758" customFormat="false" ht="14.25" hidden="false" customHeight="true" outlineLevel="0" collapsed="false">
      <c r="A2758" s="51" t="n">
        <v>16076</v>
      </c>
      <c r="B2758" s="52" t="n">
        <v>40883.6243055556</v>
      </c>
      <c r="C2758" s="1" t="n">
        <v>11</v>
      </c>
      <c r="D2758" s="1" t="n">
        <v>2173.53</v>
      </c>
    </row>
    <row r="2759" customFormat="false" ht="14.25" hidden="false" customHeight="true" outlineLevel="0" collapsed="false">
      <c r="A2759" s="51" t="n">
        <v>16078</v>
      </c>
      <c r="B2759" s="52" t="n">
        <v>40603.4076388889</v>
      </c>
      <c r="C2759" s="1" t="n">
        <v>1</v>
      </c>
      <c r="D2759" s="1" t="n">
        <v>79.2</v>
      </c>
    </row>
    <row r="2760" customFormat="false" ht="14.25" hidden="false" customHeight="true" outlineLevel="0" collapsed="false">
      <c r="A2760" s="51" t="n">
        <v>16079</v>
      </c>
      <c r="B2760" s="52" t="n">
        <v>40870.5333333333</v>
      </c>
      <c r="C2760" s="1" t="n">
        <v>3</v>
      </c>
      <c r="D2760" s="1" t="n">
        <v>1352</v>
      </c>
    </row>
    <row r="2761" customFormat="false" ht="14.25" hidden="false" customHeight="true" outlineLevel="0" collapsed="false">
      <c r="A2761" s="51" t="n">
        <v>16080</v>
      </c>
      <c r="B2761" s="52" t="n">
        <v>40805.4458333333</v>
      </c>
      <c r="C2761" s="1" t="n">
        <v>3</v>
      </c>
      <c r="D2761" s="1" t="n">
        <v>176.6</v>
      </c>
    </row>
    <row r="2762" customFormat="false" ht="14.25" hidden="false" customHeight="true" outlineLevel="0" collapsed="false">
      <c r="A2762" s="51" t="n">
        <v>16081</v>
      </c>
      <c r="B2762" s="52" t="n">
        <v>40830.5458333333</v>
      </c>
      <c r="C2762" s="1" t="n">
        <v>5</v>
      </c>
      <c r="D2762" s="1" t="n">
        <v>2806.9</v>
      </c>
    </row>
    <row r="2763" customFormat="false" ht="14.25" hidden="false" customHeight="true" outlineLevel="0" collapsed="false">
      <c r="A2763" s="51" t="n">
        <v>16083</v>
      </c>
      <c r="B2763" s="52" t="n">
        <v>40786.4493055556</v>
      </c>
      <c r="C2763" s="1" t="n">
        <v>2</v>
      </c>
      <c r="D2763" s="1" t="n">
        <v>1317.62</v>
      </c>
    </row>
    <row r="2764" customFormat="false" ht="14.25" hidden="false" customHeight="true" outlineLevel="0" collapsed="false">
      <c r="A2764" s="51" t="n">
        <v>16084</v>
      </c>
      <c r="B2764" s="52" t="n">
        <v>40587.6701388889</v>
      </c>
      <c r="C2764" s="1" t="n">
        <v>1</v>
      </c>
      <c r="D2764" s="1" t="n">
        <v>436.18</v>
      </c>
    </row>
    <row r="2765" customFormat="false" ht="14.25" hidden="false" customHeight="true" outlineLevel="0" collapsed="false">
      <c r="A2765" s="51" t="n">
        <v>16085</v>
      </c>
      <c r="B2765" s="52" t="n">
        <v>40863.5583333333</v>
      </c>
      <c r="C2765" s="1" t="n">
        <v>5</v>
      </c>
      <c r="D2765" s="1" t="n">
        <v>981.51</v>
      </c>
    </row>
    <row r="2766" customFormat="false" ht="14.25" hidden="false" customHeight="true" outlineLevel="0" collapsed="false">
      <c r="A2766" s="51" t="n">
        <v>16086</v>
      </c>
      <c r="B2766" s="52" t="n">
        <v>40827.5479166667</v>
      </c>
      <c r="C2766" s="1" t="n">
        <v>6</v>
      </c>
      <c r="D2766" s="1" t="n">
        <v>1119.31</v>
      </c>
    </row>
    <row r="2767" customFormat="false" ht="14.25" hidden="false" customHeight="true" outlineLevel="0" collapsed="false">
      <c r="A2767" s="51" t="n">
        <v>16091</v>
      </c>
      <c r="B2767" s="52" t="n">
        <v>40732.3645833333</v>
      </c>
      <c r="C2767" s="1" t="n">
        <v>2</v>
      </c>
      <c r="D2767" s="1" t="n">
        <v>315.06</v>
      </c>
    </row>
    <row r="2768" customFormat="false" ht="14.25" hidden="false" customHeight="true" outlineLevel="0" collapsed="false">
      <c r="A2768" s="51" t="n">
        <v>16092</v>
      </c>
      <c r="B2768" s="52" t="n">
        <v>40788.4902777778</v>
      </c>
      <c r="C2768" s="1" t="n">
        <v>5</v>
      </c>
      <c r="D2768" s="1" t="n">
        <v>779.36</v>
      </c>
    </row>
    <row r="2769" customFormat="false" ht="14.25" hidden="false" customHeight="true" outlineLevel="0" collapsed="false">
      <c r="A2769" s="51" t="n">
        <v>16093</v>
      </c>
      <c r="B2769" s="52" t="n">
        <v>40780.4645833333</v>
      </c>
      <c r="C2769" s="1" t="n">
        <v>1</v>
      </c>
      <c r="D2769" s="1" t="n">
        <v>17</v>
      </c>
    </row>
    <row r="2770" customFormat="false" ht="14.25" hidden="false" customHeight="true" outlineLevel="0" collapsed="false">
      <c r="A2770" s="51" t="n">
        <v>16094</v>
      </c>
      <c r="B2770" s="52" t="n">
        <v>40875.53125</v>
      </c>
      <c r="C2770" s="1" t="n">
        <v>6</v>
      </c>
      <c r="D2770" s="1" t="n">
        <v>1041.83</v>
      </c>
    </row>
    <row r="2771" customFormat="false" ht="14.25" hidden="false" customHeight="true" outlineLevel="0" collapsed="false">
      <c r="A2771" s="51" t="n">
        <v>16096</v>
      </c>
      <c r="B2771" s="52" t="n">
        <v>40622.5680555556</v>
      </c>
      <c r="C2771" s="1" t="n">
        <v>1</v>
      </c>
      <c r="D2771" s="1" t="n">
        <v>320.62</v>
      </c>
    </row>
    <row r="2772" customFormat="false" ht="14.25" hidden="false" customHeight="true" outlineLevel="0" collapsed="false">
      <c r="A2772" s="51" t="n">
        <v>16097</v>
      </c>
      <c r="B2772" s="52" t="n">
        <v>40646.5743055556</v>
      </c>
      <c r="C2772" s="1" t="n">
        <v>1</v>
      </c>
      <c r="D2772" s="1" t="n">
        <v>185.05</v>
      </c>
    </row>
    <row r="2773" customFormat="false" ht="14.25" hidden="false" customHeight="true" outlineLevel="0" collapsed="false">
      <c r="A2773" s="51" t="n">
        <v>16098</v>
      </c>
      <c r="B2773" s="52" t="n">
        <v>40799.4159722222</v>
      </c>
      <c r="C2773" s="1" t="n">
        <v>7</v>
      </c>
      <c r="D2773" s="1" t="n">
        <v>2005.63</v>
      </c>
    </row>
    <row r="2774" customFormat="false" ht="14.25" hidden="false" customHeight="true" outlineLevel="0" collapsed="false">
      <c r="A2774" s="51" t="n">
        <v>16099</v>
      </c>
      <c r="B2774" s="52" t="n">
        <v>40836.5506944444</v>
      </c>
      <c r="C2774" s="1" t="n">
        <v>3</v>
      </c>
      <c r="D2774" s="1" t="n">
        <v>731.9</v>
      </c>
    </row>
    <row r="2775" customFormat="false" ht="14.25" hidden="false" customHeight="true" outlineLevel="0" collapsed="false">
      <c r="A2775" s="51" t="n">
        <v>16101</v>
      </c>
      <c r="B2775" s="52" t="n">
        <v>40877.7041666667</v>
      </c>
      <c r="C2775" s="1" t="n">
        <v>3</v>
      </c>
      <c r="D2775" s="1" t="n">
        <v>1245.96</v>
      </c>
    </row>
    <row r="2776" customFormat="false" ht="14.25" hidden="false" customHeight="true" outlineLevel="0" collapsed="false">
      <c r="A2776" s="51" t="n">
        <v>16102</v>
      </c>
      <c r="B2776" s="52" t="n">
        <v>40844.5548611111</v>
      </c>
      <c r="C2776" s="1" t="n">
        <v>3</v>
      </c>
      <c r="D2776" s="1" t="n">
        <v>1842.14</v>
      </c>
    </row>
    <row r="2777" customFormat="false" ht="14.25" hidden="false" customHeight="true" outlineLevel="0" collapsed="false">
      <c r="A2777" s="51" t="n">
        <v>16103</v>
      </c>
      <c r="B2777" s="52" t="n">
        <v>40879.5944444445</v>
      </c>
      <c r="C2777" s="1" t="n">
        <v>6</v>
      </c>
      <c r="D2777" s="1" t="n">
        <v>1429.64</v>
      </c>
    </row>
    <row r="2778" customFormat="false" ht="14.25" hidden="false" customHeight="true" outlineLevel="0" collapsed="false">
      <c r="A2778" s="51" t="n">
        <v>16104</v>
      </c>
      <c r="B2778" s="52" t="n">
        <v>40825.4326388889</v>
      </c>
      <c r="C2778" s="1" t="n">
        <v>1</v>
      </c>
      <c r="D2778" s="1" t="n">
        <v>302.36</v>
      </c>
    </row>
    <row r="2779" customFormat="false" ht="14.25" hidden="false" customHeight="true" outlineLevel="0" collapsed="false">
      <c r="A2779" s="51" t="n">
        <v>16105</v>
      </c>
      <c r="B2779" s="52" t="n">
        <v>40638.4256944444</v>
      </c>
      <c r="C2779" s="1" t="n">
        <v>1</v>
      </c>
      <c r="D2779" s="1" t="n">
        <v>336.96</v>
      </c>
    </row>
    <row r="2780" customFormat="false" ht="14.25" hidden="false" customHeight="true" outlineLevel="0" collapsed="false">
      <c r="A2780" s="51" t="n">
        <v>16106</v>
      </c>
      <c r="B2780" s="52" t="n">
        <v>40821.4423611111</v>
      </c>
      <c r="C2780" s="1" t="n">
        <v>1</v>
      </c>
      <c r="D2780" s="1" t="n">
        <v>108.38</v>
      </c>
    </row>
    <row r="2781" customFormat="false" ht="14.25" hidden="false" customHeight="true" outlineLevel="0" collapsed="false">
      <c r="A2781" s="51" t="n">
        <v>16107</v>
      </c>
      <c r="B2781" s="52" t="n">
        <v>40869.4027777778</v>
      </c>
      <c r="C2781" s="1" t="n">
        <v>7</v>
      </c>
      <c r="D2781" s="1" t="n">
        <v>3204.16</v>
      </c>
    </row>
    <row r="2782" customFormat="false" ht="14.25" hidden="false" customHeight="true" outlineLevel="0" collapsed="false">
      <c r="A2782" s="51" t="n">
        <v>16108</v>
      </c>
      <c r="B2782" s="52" t="n">
        <v>40802.49375</v>
      </c>
      <c r="C2782" s="1" t="n">
        <v>2</v>
      </c>
      <c r="D2782" s="1" t="n">
        <v>816.1</v>
      </c>
    </row>
    <row r="2783" customFormat="false" ht="14.25" hidden="false" customHeight="true" outlineLevel="0" collapsed="false">
      <c r="A2783" s="51" t="n">
        <v>16109</v>
      </c>
      <c r="B2783" s="52" t="n">
        <v>40668.3868055556</v>
      </c>
      <c r="C2783" s="1" t="n">
        <v>2</v>
      </c>
      <c r="D2783" s="1" t="n">
        <v>611.88</v>
      </c>
    </row>
    <row r="2784" customFormat="false" ht="14.25" hidden="false" customHeight="true" outlineLevel="0" collapsed="false">
      <c r="A2784" s="51" t="n">
        <v>16110</v>
      </c>
      <c r="B2784" s="52" t="n">
        <v>40841.6076388889</v>
      </c>
      <c r="C2784" s="1" t="n">
        <v>3</v>
      </c>
      <c r="D2784" s="1" t="n">
        <v>1337.48</v>
      </c>
    </row>
    <row r="2785" customFormat="false" ht="14.25" hidden="false" customHeight="true" outlineLevel="0" collapsed="false">
      <c r="A2785" s="51" t="n">
        <v>16112</v>
      </c>
      <c r="B2785" s="52" t="n">
        <v>40743.6027777778</v>
      </c>
      <c r="C2785" s="1" t="n">
        <v>4</v>
      </c>
      <c r="D2785" s="1" t="n">
        <v>195.74</v>
      </c>
    </row>
    <row r="2786" customFormat="false" ht="14.25" hidden="false" customHeight="true" outlineLevel="0" collapsed="false">
      <c r="A2786" s="51" t="n">
        <v>16113</v>
      </c>
      <c r="B2786" s="52" t="n">
        <v>40703.6777777778</v>
      </c>
      <c r="C2786" s="1" t="n">
        <v>1</v>
      </c>
      <c r="D2786" s="1" t="n">
        <v>161.38</v>
      </c>
    </row>
    <row r="2787" customFormat="false" ht="14.25" hidden="false" customHeight="true" outlineLevel="0" collapsed="false">
      <c r="A2787" s="51" t="n">
        <v>16114</v>
      </c>
      <c r="B2787" s="52" t="n">
        <v>40716.4256944444</v>
      </c>
      <c r="C2787" s="1" t="n">
        <v>1</v>
      </c>
      <c r="D2787" s="1" t="n">
        <v>135.75</v>
      </c>
    </row>
    <row r="2788" customFormat="false" ht="14.25" hidden="false" customHeight="true" outlineLevel="0" collapsed="false">
      <c r="A2788" s="51" t="n">
        <v>16115</v>
      </c>
      <c r="B2788" s="52" t="n">
        <v>40877.4805555556</v>
      </c>
      <c r="C2788" s="1" t="n">
        <v>8</v>
      </c>
      <c r="D2788" s="1" t="n">
        <v>1667.97</v>
      </c>
    </row>
    <row r="2789" customFormat="false" ht="14.25" hidden="false" customHeight="true" outlineLevel="0" collapsed="false">
      <c r="A2789" s="51" t="n">
        <v>16116</v>
      </c>
      <c r="B2789" s="52" t="n">
        <v>40681.3909722222</v>
      </c>
      <c r="C2789" s="1" t="n">
        <v>2</v>
      </c>
      <c r="D2789" s="1" t="n">
        <v>592.88</v>
      </c>
    </row>
    <row r="2790" customFormat="false" ht="14.25" hidden="false" customHeight="true" outlineLevel="0" collapsed="false">
      <c r="A2790" s="51" t="n">
        <v>16117</v>
      </c>
      <c r="B2790" s="52" t="n">
        <v>40697.4875</v>
      </c>
      <c r="C2790" s="1" t="n">
        <v>1</v>
      </c>
      <c r="D2790" s="1" t="n">
        <v>232.21</v>
      </c>
    </row>
    <row r="2791" customFormat="false" ht="14.25" hidden="false" customHeight="true" outlineLevel="0" collapsed="false">
      <c r="A2791" s="51" t="n">
        <v>16119</v>
      </c>
      <c r="B2791" s="52" t="n">
        <v>40878.6326388889</v>
      </c>
      <c r="C2791" s="1" t="n">
        <v>2</v>
      </c>
      <c r="D2791" s="1" t="n">
        <v>423.36</v>
      </c>
    </row>
    <row r="2792" customFormat="false" ht="14.25" hidden="false" customHeight="true" outlineLevel="0" collapsed="false">
      <c r="A2792" s="51" t="n">
        <v>16120</v>
      </c>
      <c r="B2792" s="52" t="n">
        <v>40827.5986111111</v>
      </c>
      <c r="C2792" s="1" t="n">
        <v>5</v>
      </c>
      <c r="D2792" s="1" t="n">
        <v>1294.14</v>
      </c>
    </row>
    <row r="2793" customFormat="false" ht="14.25" hidden="false" customHeight="true" outlineLevel="0" collapsed="false">
      <c r="A2793" s="51" t="n">
        <v>16121</v>
      </c>
      <c r="B2793" s="52" t="n">
        <v>40829.5409722222</v>
      </c>
      <c r="C2793" s="1" t="n">
        <v>2</v>
      </c>
      <c r="D2793" s="1" t="n">
        <v>867.11</v>
      </c>
    </row>
    <row r="2794" customFormat="false" ht="14.25" hidden="false" customHeight="true" outlineLevel="0" collapsed="false">
      <c r="A2794" s="51" t="n">
        <v>16122</v>
      </c>
      <c r="B2794" s="52" t="n">
        <v>40813.6486111111</v>
      </c>
      <c r="C2794" s="1" t="n">
        <v>4</v>
      </c>
      <c r="D2794" s="1" t="n">
        <v>684.42</v>
      </c>
    </row>
    <row r="2795" customFormat="false" ht="14.25" hidden="false" customHeight="true" outlineLevel="0" collapsed="false">
      <c r="A2795" s="51" t="n">
        <v>16123</v>
      </c>
      <c r="B2795" s="52" t="n">
        <v>40835.3875</v>
      </c>
      <c r="C2795" s="1" t="n">
        <v>1</v>
      </c>
      <c r="D2795" s="1" t="n">
        <v>307.78</v>
      </c>
    </row>
    <row r="2796" customFormat="false" ht="14.25" hidden="false" customHeight="true" outlineLevel="0" collapsed="false">
      <c r="A2796" s="51" t="n">
        <v>16124</v>
      </c>
      <c r="B2796" s="52" t="n">
        <v>40570.6701388889</v>
      </c>
      <c r="C2796" s="1" t="n">
        <v>2</v>
      </c>
      <c r="D2796" s="1" t="n">
        <v>187.15</v>
      </c>
    </row>
    <row r="2797" customFormat="false" ht="14.25" hidden="false" customHeight="true" outlineLevel="0" collapsed="false">
      <c r="A2797" s="51" t="n">
        <v>16125</v>
      </c>
      <c r="B2797" s="52" t="n">
        <v>40519.6583333333</v>
      </c>
      <c r="C2797" s="1" t="n">
        <v>1</v>
      </c>
      <c r="D2797" s="1" t="n">
        <v>289.35</v>
      </c>
    </row>
    <row r="2798" customFormat="false" ht="14.25" hidden="false" customHeight="true" outlineLevel="0" collapsed="false">
      <c r="A2798" s="51" t="n">
        <v>16126</v>
      </c>
      <c r="B2798" s="52" t="n">
        <v>40857.66875</v>
      </c>
      <c r="C2798" s="1" t="n">
        <v>4</v>
      </c>
      <c r="D2798" s="1" t="n">
        <v>6287.77</v>
      </c>
    </row>
    <row r="2799" customFormat="false" ht="14.25" hidden="false" customHeight="true" outlineLevel="0" collapsed="false">
      <c r="A2799" s="51" t="n">
        <v>16127</v>
      </c>
      <c r="B2799" s="52" t="n">
        <v>40847.5819444444</v>
      </c>
      <c r="C2799" s="1" t="n">
        <v>1</v>
      </c>
      <c r="D2799" s="1" t="n">
        <v>656.25</v>
      </c>
    </row>
    <row r="2800" customFormat="false" ht="14.25" hidden="false" customHeight="true" outlineLevel="0" collapsed="false">
      <c r="A2800" s="51" t="n">
        <v>16128</v>
      </c>
      <c r="B2800" s="52" t="n">
        <v>40869.4680555556</v>
      </c>
      <c r="C2800" s="1" t="n">
        <v>5</v>
      </c>
      <c r="D2800" s="1" t="n">
        <v>1880.22</v>
      </c>
    </row>
    <row r="2801" customFormat="false" ht="14.25" hidden="false" customHeight="true" outlineLevel="0" collapsed="false">
      <c r="A2801" s="51" t="n">
        <v>16131</v>
      </c>
      <c r="B2801" s="52" t="n">
        <v>40835.4951388889</v>
      </c>
      <c r="C2801" s="1" t="n">
        <v>6</v>
      </c>
      <c r="D2801" s="1" t="n">
        <v>3506.54</v>
      </c>
    </row>
    <row r="2802" customFormat="false" ht="14.25" hidden="false" customHeight="true" outlineLevel="0" collapsed="false">
      <c r="A2802" s="51" t="n">
        <v>16133</v>
      </c>
      <c r="B2802" s="52" t="n">
        <v>40883.475</v>
      </c>
      <c r="C2802" s="1" t="n">
        <v>46</v>
      </c>
      <c r="D2802" s="1" t="n">
        <v>14305.66</v>
      </c>
    </row>
    <row r="2803" customFormat="false" ht="14.25" hidden="false" customHeight="true" outlineLevel="0" collapsed="false">
      <c r="A2803" s="51" t="n">
        <v>16134</v>
      </c>
      <c r="B2803" s="52" t="n">
        <v>40865.4201388889</v>
      </c>
      <c r="C2803" s="1" t="n">
        <v>3</v>
      </c>
      <c r="D2803" s="1" t="n">
        <v>603.69</v>
      </c>
    </row>
    <row r="2804" customFormat="false" ht="14.25" hidden="false" customHeight="true" outlineLevel="0" collapsed="false">
      <c r="A2804" s="51" t="n">
        <v>16135</v>
      </c>
      <c r="B2804" s="52" t="n">
        <v>40624.5208333333</v>
      </c>
      <c r="C2804" s="1" t="n">
        <v>1</v>
      </c>
      <c r="D2804" s="1" t="n">
        <v>517.55</v>
      </c>
    </row>
    <row r="2805" customFormat="false" ht="14.25" hidden="false" customHeight="true" outlineLevel="0" collapsed="false">
      <c r="A2805" s="51" t="n">
        <v>16136</v>
      </c>
      <c r="B2805" s="52" t="n">
        <v>40827.3819444445</v>
      </c>
      <c r="C2805" s="1" t="n">
        <v>3</v>
      </c>
      <c r="D2805" s="1" t="n">
        <v>709.38</v>
      </c>
    </row>
    <row r="2806" customFormat="false" ht="14.25" hidden="false" customHeight="true" outlineLevel="0" collapsed="false">
      <c r="A2806" s="51" t="n">
        <v>16138</v>
      </c>
      <c r="B2806" s="52" t="n">
        <v>40518.6319444445</v>
      </c>
      <c r="C2806" s="1" t="n">
        <v>1</v>
      </c>
      <c r="D2806" s="1" t="n">
        <v>-7.95</v>
      </c>
    </row>
    <row r="2807" customFormat="false" ht="14.25" hidden="false" customHeight="true" outlineLevel="0" collapsed="false">
      <c r="A2807" s="51" t="n">
        <v>16139</v>
      </c>
      <c r="B2807" s="52" t="n">
        <v>40868.3590277778</v>
      </c>
      <c r="C2807" s="1" t="n">
        <v>3</v>
      </c>
      <c r="D2807" s="1" t="n">
        <v>635.41</v>
      </c>
    </row>
    <row r="2808" customFormat="false" ht="14.25" hidden="false" customHeight="true" outlineLevel="0" collapsed="false">
      <c r="A2808" s="51" t="n">
        <v>16140</v>
      </c>
      <c r="B2808" s="52" t="n">
        <v>40834.4576388889</v>
      </c>
      <c r="C2808" s="1" t="n">
        <v>4</v>
      </c>
      <c r="D2808" s="1" t="n">
        <v>703.77</v>
      </c>
    </row>
    <row r="2809" customFormat="false" ht="14.25" hidden="false" customHeight="true" outlineLevel="0" collapsed="false">
      <c r="A2809" s="51" t="n">
        <v>16141</v>
      </c>
      <c r="B2809" s="52" t="n">
        <v>40798.5493055556</v>
      </c>
      <c r="C2809" s="1" t="n">
        <v>1</v>
      </c>
      <c r="D2809" s="1" t="n">
        <v>620.4</v>
      </c>
    </row>
    <row r="2810" customFormat="false" ht="14.25" hidden="false" customHeight="true" outlineLevel="0" collapsed="false">
      <c r="A2810" s="51" t="n">
        <v>16142</v>
      </c>
      <c r="B2810" s="52" t="n">
        <v>40637.4277777778</v>
      </c>
      <c r="C2810" s="1" t="n">
        <v>1</v>
      </c>
      <c r="D2810" s="1" t="n">
        <v>535.34</v>
      </c>
    </row>
    <row r="2811" customFormat="false" ht="14.25" hidden="false" customHeight="true" outlineLevel="0" collapsed="false">
      <c r="A2811" s="51" t="n">
        <v>16143</v>
      </c>
      <c r="B2811" s="52" t="n">
        <v>40883.5923611111</v>
      </c>
      <c r="C2811" s="1" t="n">
        <v>7</v>
      </c>
      <c r="D2811" s="1" t="n">
        <v>2419.84</v>
      </c>
    </row>
    <row r="2812" customFormat="false" ht="14.25" hidden="false" customHeight="true" outlineLevel="0" collapsed="false">
      <c r="A2812" s="51" t="n">
        <v>16144</v>
      </c>
      <c r="B2812" s="52" t="n">
        <v>40640.4229166667</v>
      </c>
      <c r="C2812" s="1" t="n">
        <v>1</v>
      </c>
      <c r="D2812" s="1" t="n">
        <v>175.2</v>
      </c>
    </row>
    <row r="2813" customFormat="false" ht="14.25" hidden="false" customHeight="true" outlineLevel="0" collapsed="false">
      <c r="A2813" s="51" t="n">
        <v>16145</v>
      </c>
      <c r="B2813" s="52" t="n">
        <v>40878.4395833333</v>
      </c>
      <c r="C2813" s="1" t="n">
        <v>18</v>
      </c>
      <c r="D2813" s="1" t="n">
        <v>3741.98</v>
      </c>
    </row>
    <row r="2814" customFormat="false" ht="14.25" hidden="false" customHeight="true" outlineLevel="0" collapsed="false">
      <c r="A2814" s="51" t="n">
        <v>16146</v>
      </c>
      <c r="B2814" s="52" t="n">
        <v>40729.5972222222</v>
      </c>
      <c r="C2814" s="1" t="n">
        <v>3</v>
      </c>
      <c r="D2814" s="1" t="n">
        <v>734.13</v>
      </c>
    </row>
    <row r="2815" customFormat="false" ht="14.25" hidden="false" customHeight="true" outlineLevel="0" collapsed="false">
      <c r="A2815" s="51" t="n">
        <v>16147</v>
      </c>
      <c r="B2815" s="52" t="n">
        <v>40753.4145833333</v>
      </c>
      <c r="C2815" s="1" t="n">
        <v>1</v>
      </c>
      <c r="D2815" s="1" t="n">
        <v>375</v>
      </c>
    </row>
    <row r="2816" customFormat="false" ht="14.25" hidden="false" customHeight="true" outlineLevel="0" collapsed="false">
      <c r="A2816" s="51" t="n">
        <v>16148</v>
      </c>
      <c r="B2816" s="52" t="n">
        <v>40590.5840277778</v>
      </c>
      <c r="C2816" s="1" t="n">
        <v>1</v>
      </c>
      <c r="D2816" s="1" t="n">
        <v>76.32</v>
      </c>
    </row>
    <row r="2817" customFormat="false" ht="14.25" hidden="false" customHeight="true" outlineLevel="0" collapsed="false">
      <c r="A2817" s="51" t="n">
        <v>16149</v>
      </c>
      <c r="B2817" s="52" t="n">
        <v>40882.4784722222</v>
      </c>
      <c r="C2817" s="1" t="n">
        <v>2</v>
      </c>
      <c r="D2817" s="1" t="n">
        <v>280.52</v>
      </c>
    </row>
    <row r="2818" customFormat="false" ht="14.25" hidden="false" customHeight="true" outlineLevel="0" collapsed="false">
      <c r="A2818" s="51" t="n">
        <v>16150</v>
      </c>
      <c r="B2818" s="52" t="n">
        <v>40848.3951388889</v>
      </c>
      <c r="C2818" s="1" t="n">
        <v>10</v>
      </c>
      <c r="D2818" s="1" t="n">
        <v>1906.07</v>
      </c>
    </row>
    <row r="2819" customFormat="false" ht="14.25" hidden="false" customHeight="true" outlineLevel="0" collapsed="false">
      <c r="A2819" s="51" t="n">
        <v>16152</v>
      </c>
      <c r="B2819" s="52" t="n">
        <v>40618.4076388889</v>
      </c>
      <c r="C2819" s="1" t="n">
        <v>1</v>
      </c>
      <c r="D2819" s="1" t="n">
        <v>1829.04</v>
      </c>
    </row>
    <row r="2820" customFormat="false" ht="14.25" hidden="false" customHeight="true" outlineLevel="0" collapsed="false">
      <c r="A2820" s="51" t="n">
        <v>16153</v>
      </c>
      <c r="B2820" s="52" t="n">
        <v>40837.4513888889</v>
      </c>
      <c r="C2820" s="1" t="n">
        <v>5</v>
      </c>
      <c r="D2820" s="1" t="n">
        <v>1824.23</v>
      </c>
    </row>
    <row r="2821" customFormat="false" ht="14.25" hidden="false" customHeight="true" outlineLevel="0" collapsed="false">
      <c r="A2821" s="51" t="n">
        <v>16156</v>
      </c>
      <c r="B2821" s="52" t="n">
        <v>40878.5291666667</v>
      </c>
      <c r="C2821" s="1" t="n">
        <v>13</v>
      </c>
      <c r="D2821" s="1" t="n">
        <v>3024.62</v>
      </c>
    </row>
    <row r="2822" customFormat="false" ht="14.25" hidden="false" customHeight="true" outlineLevel="0" collapsed="false">
      <c r="A2822" s="51" t="n">
        <v>16157</v>
      </c>
      <c r="B2822" s="52" t="n">
        <v>40871.4868055556</v>
      </c>
      <c r="C2822" s="1" t="n">
        <v>4</v>
      </c>
      <c r="D2822" s="1" t="n">
        <v>644.24</v>
      </c>
    </row>
    <row r="2823" customFormat="false" ht="14.25" hidden="false" customHeight="true" outlineLevel="0" collapsed="false">
      <c r="A2823" s="51" t="n">
        <v>16159</v>
      </c>
      <c r="B2823" s="52" t="n">
        <v>40605.51875</v>
      </c>
      <c r="C2823" s="1" t="n">
        <v>1</v>
      </c>
      <c r="D2823" s="1" t="n">
        <v>348.2</v>
      </c>
    </row>
    <row r="2824" customFormat="false" ht="14.25" hidden="false" customHeight="true" outlineLevel="0" collapsed="false">
      <c r="A2824" s="51" t="n">
        <v>16160</v>
      </c>
      <c r="B2824" s="52" t="n">
        <v>40822.7708333333</v>
      </c>
      <c r="C2824" s="1" t="n">
        <v>4</v>
      </c>
      <c r="D2824" s="1" t="n">
        <v>1009.45</v>
      </c>
    </row>
    <row r="2825" customFormat="false" ht="14.25" hidden="false" customHeight="true" outlineLevel="0" collapsed="false">
      <c r="A2825" s="51" t="n">
        <v>16161</v>
      </c>
      <c r="B2825" s="52" t="n">
        <v>40885.5069444445</v>
      </c>
      <c r="C2825" s="1" t="n">
        <v>26</v>
      </c>
      <c r="D2825" s="1" t="n">
        <v>5352.97</v>
      </c>
    </row>
    <row r="2826" customFormat="false" ht="14.25" hidden="false" customHeight="true" outlineLevel="0" collapsed="false">
      <c r="A2826" s="51" t="n">
        <v>16162</v>
      </c>
      <c r="B2826" s="52" t="n">
        <v>40634.6270833333</v>
      </c>
      <c r="C2826" s="1" t="n">
        <v>1</v>
      </c>
      <c r="D2826" s="1" t="n">
        <v>37.4</v>
      </c>
    </row>
    <row r="2827" customFormat="false" ht="14.25" hidden="false" customHeight="true" outlineLevel="0" collapsed="false">
      <c r="A2827" s="51" t="n">
        <v>16163</v>
      </c>
      <c r="B2827" s="52" t="n">
        <v>40661.8215277778</v>
      </c>
      <c r="C2827" s="1" t="n">
        <v>3</v>
      </c>
      <c r="D2827" s="1" t="n">
        <v>441.6</v>
      </c>
    </row>
    <row r="2828" customFormat="false" ht="14.25" hidden="false" customHeight="true" outlineLevel="0" collapsed="false">
      <c r="A2828" s="51" t="n">
        <v>16164</v>
      </c>
      <c r="B2828" s="52" t="n">
        <v>40869.6277777778</v>
      </c>
      <c r="C2828" s="1" t="n">
        <v>4</v>
      </c>
      <c r="D2828" s="1" t="n">
        <v>802.53</v>
      </c>
    </row>
    <row r="2829" customFormat="false" ht="14.25" hidden="false" customHeight="true" outlineLevel="0" collapsed="false">
      <c r="A2829" s="51" t="n">
        <v>16168</v>
      </c>
      <c r="B2829" s="52" t="n">
        <v>40876.53125</v>
      </c>
      <c r="C2829" s="1" t="n">
        <v>28</v>
      </c>
      <c r="D2829" s="1" t="n">
        <v>3770.6</v>
      </c>
    </row>
    <row r="2830" customFormat="false" ht="14.25" hidden="false" customHeight="true" outlineLevel="0" collapsed="false">
      <c r="A2830" s="51" t="n">
        <v>16169</v>
      </c>
      <c r="B2830" s="52" t="n">
        <v>40878.6444444444</v>
      </c>
      <c r="C2830" s="1" t="n">
        <v>4</v>
      </c>
      <c r="D2830" s="1" t="n">
        <v>1822.97</v>
      </c>
    </row>
    <row r="2831" customFormat="false" ht="14.25" hidden="false" customHeight="true" outlineLevel="0" collapsed="false">
      <c r="A2831" s="51" t="n">
        <v>16170</v>
      </c>
      <c r="B2831" s="52" t="n">
        <v>40836.3479166667</v>
      </c>
      <c r="C2831" s="1" t="n">
        <v>7</v>
      </c>
      <c r="D2831" s="1" t="n">
        <v>1880.42</v>
      </c>
    </row>
    <row r="2832" customFormat="false" ht="14.25" hidden="false" customHeight="true" outlineLevel="0" collapsed="false">
      <c r="A2832" s="51" t="n">
        <v>16171</v>
      </c>
      <c r="B2832" s="52" t="n">
        <v>40827.61875</v>
      </c>
      <c r="C2832" s="1" t="n">
        <v>1</v>
      </c>
      <c r="D2832" s="1" t="n">
        <v>73.2</v>
      </c>
    </row>
    <row r="2833" customFormat="false" ht="14.25" hidden="false" customHeight="true" outlineLevel="0" collapsed="false">
      <c r="A2833" s="51" t="n">
        <v>16172</v>
      </c>
      <c r="B2833" s="52" t="n">
        <v>40791.5569444444</v>
      </c>
      <c r="C2833" s="1" t="n">
        <v>5</v>
      </c>
      <c r="D2833" s="1" t="n">
        <v>1140.21</v>
      </c>
    </row>
    <row r="2834" customFormat="false" ht="14.25" hidden="false" customHeight="true" outlineLevel="0" collapsed="false">
      <c r="A2834" s="51" t="n">
        <v>16173</v>
      </c>
      <c r="B2834" s="52" t="n">
        <v>40871.4534722222</v>
      </c>
      <c r="C2834" s="1" t="n">
        <v>7</v>
      </c>
      <c r="D2834" s="1" t="n">
        <v>1406.57</v>
      </c>
    </row>
    <row r="2835" customFormat="false" ht="14.25" hidden="false" customHeight="true" outlineLevel="0" collapsed="false">
      <c r="A2835" s="51" t="n">
        <v>16174</v>
      </c>
      <c r="B2835" s="52" t="n">
        <v>40760.5597222222</v>
      </c>
      <c r="C2835" s="1" t="n">
        <v>3</v>
      </c>
      <c r="D2835" s="1" t="n">
        <v>1009.55</v>
      </c>
    </row>
    <row r="2836" customFormat="false" ht="14.25" hidden="false" customHeight="true" outlineLevel="0" collapsed="false">
      <c r="A2836" s="51" t="n">
        <v>16175</v>
      </c>
      <c r="B2836" s="52" t="n">
        <v>40792.6055555556</v>
      </c>
      <c r="C2836" s="1" t="n">
        <v>4</v>
      </c>
      <c r="D2836" s="1" t="n">
        <v>1037.59</v>
      </c>
    </row>
    <row r="2837" customFormat="false" ht="14.25" hidden="false" customHeight="true" outlineLevel="0" collapsed="false">
      <c r="A2837" s="51" t="n">
        <v>16177</v>
      </c>
      <c r="B2837" s="52" t="n">
        <v>40836.5395833333</v>
      </c>
      <c r="C2837" s="1" t="n">
        <v>1</v>
      </c>
      <c r="D2837" s="1" t="n">
        <v>331.95</v>
      </c>
    </row>
    <row r="2838" customFormat="false" ht="14.25" hidden="false" customHeight="true" outlineLevel="0" collapsed="false">
      <c r="A2838" s="51" t="n">
        <v>16178</v>
      </c>
      <c r="B2838" s="52" t="n">
        <v>40748.6701388889</v>
      </c>
      <c r="C2838" s="1" t="n">
        <v>1</v>
      </c>
      <c r="D2838" s="1" t="n">
        <v>197.9</v>
      </c>
    </row>
    <row r="2839" customFormat="false" ht="14.25" hidden="false" customHeight="true" outlineLevel="0" collapsed="false">
      <c r="A2839" s="51" t="n">
        <v>16179</v>
      </c>
      <c r="B2839" s="52" t="n">
        <v>40826.4034722222</v>
      </c>
      <c r="C2839" s="1" t="n">
        <v>1</v>
      </c>
      <c r="D2839" s="1" t="n">
        <v>215.83</v>
      </c>
    </row>
    <row r="2840" customFormat="false" ht="14.25" hidden="false" customHeight="true" outlineLevel="0" collapsed="false">
      <c r="A2840" s="51" t="n">
        <v>16180</v>
      </c>
      <c r="B2840" s="52" t="n">
        <v>40786.6861111111</v>
      </c>
      <c r="C2840" s="1" t="n">
        <v>10</v>
      </c>
      <c r="D2840" s="1" t="n">
        <v>10217.48</v>
      </c>
    </row>
    <row r="2841" customFormat="false" ht="14.25" hidden="false" customHeight="true" outlineLevel="0" collapsed="false">
      <c r="A2841" s="51" t="n">
        <v>16181</v>
      </c>
      <c r="B2841" s="52" t="n">
        <v>40813.5680555556</v>
      </c>
      <c r="C2841" s="1" t="n">
        <v>1</v>
      </c>
      <c r="D2841" s="1" t="n">
        <v>305.54</v>
      </c>
    </row>
    <row r="2842" customFormat="false" ht="14.25" hidden="false" customHeight="true" outlineLevel="0" collapsed="false">
      <c r="A2842" s="51" t="n">
        <v>16182</v>
      </c>
      <c r="B2842" s="52" t="n">
        <v>40814.5576388889</v>
      </c>
      <c r="C2842" s="1" t="n">
        <v>4</v>
      </c>
      <c r="D2842" s="1" t="n">
        <v>6617.65</v>
      </c>
    </row>
    <row r="2843" customFormat="false" ht="14.25" hidden="false" customHeight="true" outlineLevel="0" collapsed="false">
      <c r="A2843" s="51" t="n">
        <v>16183</v>
      </c>
      <c r="B2843" s="52" t="n">
        <v>40819.6243055556</v>
      </c>
      <c r="C2843" s="1" t="n">
        <v>1</v>
      </c>
      <c r="D2843" s="1" t="n">
        <v>338.71</v>
      </c>
    </row>
    <row r="2844" customFormat="false" ht="14.25" hidden="false" customHeight="true" outlineLevel="0" collapsed="false">
      <c r="A2844" s="51" t="n">
        <v>16184</v>
      </c>
      <c r="B2844" s="52" t="n">
        <v>40822.7381944444</v>
      </c>
      <c r="C2844" s="1" t="n">
        <v>7</v>
      </c>
      <c r="D2844" s="1" t="n">
        <v>1155.54</v>
      </c>
    </row>
    <row r="2845" customFormat="false" ht="14.25" hidden="false" customHeight="true" outlineLevel="0" collapsed="false">
      <c r="A2845" s="51" t="n">
        <v>16185</v>
      </c>
      <c r="B2845" s="52" t="n">
        <v>40870.4034722222</v>
      </c>
      <c r="C2845" s="1" t="n">
        <v>2</v>
      </c>
      <c r="D2845" s="1" t="n">
        <v>529.41</v>
      </c>
    </row>
    <row r="2846" customFormat="false" ht="14.25" hidden="false" customHeight="true" outlineLevel="0" collapsed="false">
      <c r="A2846" s="51" t="n">
        <v>16186</v>
      </c>
      <c r="B2846" s="52" t="n">
        <v>40864.5298611111</v>
      </c>
      <c r="C2846" s="1" t="n">
        <v>13</v>
      </c>
      <c r="D2846" s="1" t="n">
        <v>3991.94</v>
      </c>
    </row>
    <row r="2847" customFormat="false" ht="14.25" hidden="false" customHeight="true" outlineLevel="0" collapsed="false">
      <c r="A2847" s="51" t="n">
        <v>16187</v>
      </c>
      <c r="B2847" s="52" t="n">
        <v>40855.4097222222</v>
      </c>
      <c r="C2847" s="1" t="n">
        <v>17</v>
      </c>
      <c r="D2847" s="1" t="n">
        <v>6841.24</v>
      </c>
    </row>
    <row r="2848" customFormat="false" ht="14.25" hidden="false" customHeight="true" outlineLevel="0" collapsed="false">
      <c r="A2848" s="51" t="n">
        <v>16188</v>
      </c>
      <c r="B2848" s="52" t="n">
        <v>40842.5131944444</v>
      </c>
      <c r="C2848" s="1" t="n">
        <v>4</v>
      </c>
      <c r="D2848" s="1" t="n">
        <v>981.86</v>
      </c>
    </row>
    <row r="2849" customFormat="false" ht="14.25" hidden="false" customHeight="true" outlineLevel="0" collapsed="false">
      <c r="A2849" s="51" t="n">
        <v>16189</v>
      </c>
      <c r="B2849" s="52" t="n">
        <v>40871.4909722222</v>
      </c>
      <c r="C2849" s="1" t="n">
        <v>2</v>
      </c>
      <c r="D2849" s="1" t="n">
        <v>215.48</v>
      </c>
    </row>
    <row r="2850" customFormat="false" ht="14.25" hidden="false" customHeight="true" outlineLevel="0" collapsed="false">
      <c r="A2850" s="51" t="n">
        <v>16190</v>
      </c>
      <c r="B2850" s="52" t="n">
        <v>40846.6659722222</v>
      </c>
      <c r="C2850" s="1" t="n">
        <v>1</v>
      </c>
      <c r="D2850" s="1" t="n">
        <v>215.08</v>
      </c>
    </row>
    <row r="2851" customFormat="false" ht="14.25" hidden="false" customHeight="true" outlineLevel="0" collapsed="false">
      <c r="A2851" s="51" t="n">
        <v>16191</v>
      </c>
      <c r="B2851" s="52" t="n">
        <v>40884.4763888889</v>
      </c>
      <c r="C2851" s="1" t="n">
        <v>25</v>
      </c>
      <c r="D2851" s="1" t="n">
        <v>4913.32</v>
      </c>
    </row>
    <row r="2852" customFormat="false" ht="14.25" hidden="false" customHeight="true" outlineLevel="0" collapsed="false">
      <c r="A2852" s="51" t="n">
        <v>16193</v>
      </c>
      <c r="B2852" s="52" t="n">
        <v>40650.4895833333</v>
      </c>
      <c r="C2852" s="1" t="n">
        <v>1</v>
      </c>
      <c r="D2852" s="1" t="n">
        <v>314.45</v>
      </c>
    </row>
    <row r="2853" customFormat="false" ht="14.25" hidden="false" customHeight="true" outlineLevel="0" collapsed="false">
      <c r="A2853" s="51" t="n">
        <v>16198</v>
      </c>
      <c r="B2853" s="52" t="n">
        <v>40811.6236111111</v>
      </c>
      <c r="C2853" s="1" t="n">
        <v>1</v>
      </c>
      <c r="D2853" s="1" t="n">
        <v>400.681</v>
      </c>
    </row>
    <row r="2854" customFormat="false" ht="14.25" hidden="false" customHeight="true" outlineLevel="0" collapsed="false">
      <c r="A2854" s="51" t="n">
        <v>16200</v>
      </c>
      <c r="B2854" s="52" t="n">
        <v>40882.6111111111</v>
      </c>
      <c r="C2854" s="1" t="n">
        <v>2</v>
      </c>
      <c r="D2854" s="1" t="n">
        <v>1080.62</v>
      </c>
    </row>
    <row r="2855" customFormat="false" ht="14.25" hidden="false" customHeight="true" outlineLevel="0" collapsed="false">
      <c r="A2855" s="51" t="n">
        <v>16201</v>
      </c>
      <c r="B2855" s="52" t="n">
        <v>40883.6680555556</v>
      </c>
      <c r="C2855" s="1" t="n">
        <v>5</v>
      </c>
      <c r="D2855" s="1" t="n">
        <v>1821.52</v>
      </c>
    </row>
    <row r="2856" customFormat="false" ht="14.25" hidden="false" customHeight="true" outlineLevel="0" collapsed="false">
      <c r="A2856" s="51" t="n">
        <v>16202</v>
      </c>
      <c r="B2856" s="52" t="n">
        <v>40526.4465277778</v>
      </c>
      <c r="C2856" s="1" t="n">
        <v>1</v>
      </c>
      <c r="D2856" s="1" t="n">
        <v>365.27</v>
      </c>
    </row>
    <row r="2857" customFormat="false" ht="14.25" hidden="false" customHeight="true" outlineLevel="0" collapsed="false">
      <c r="A2857" s="51" t="n">
        <v>16203</v>
      </c>
      <c r="B2857" s="52" t="n">
        <v>40828.5215277778</v>
      </c>
      <c r="C2857" s="1" t="n">
        <v>5</v>
      </c>
      <c r="D2857" s="1" t="n">
        <v>589.15</v>
      </c>
    </row>
    <row r="2858" customFormat="false" ht="14.25" hidden="false" customHeight="true" outlineLevel="0" collapsed="false">
      <c r="A2858" s="51" t="n">
        <v>16204</v>
      </c>
      <c r="B2858" s="52" t="n">
        <v>40863.5694444445</v>
      </c>
      <c r="C2858" s="1" t="n">
        <v>1</v>
      </c>
      <c r="D2858" s="1" t="n">
        <v>405.71</v>
      </c>
    </row>
    <row r="2859" customFormat="false" ht="14.25" hidden="false" customHeight="true" outlineLevel="0" collapsed="false">
      <c r="A2859" s="51" t="n">
        <v>16205</v>
      </c>
      <c r="B2859" s="52" t="n">
        <v>40856.3972222222</v>
      </c>
      <c r="C2859" s="1" t="n">
        <v>4</v>
      </c>
      <c r="D2859" s="1" t="n">
        <v>761.38</v>
      </c>
    </row>
    <row r="2860" customFormat="false" ht="14.25" hidden="false" customHeight="true" outlineLevel="0" collapsed="false">
      <c r="A2860" s="51" t="n">
        <v>16206</v>
      </c>
      <c r="B2860" s="52" t="n">
        <v>40832.4451388889</v>
      </c>
      <c r="C2860" s="1" t="n">
        <v>4</v>
      </c>
      <c r="D2860" s="1" t="n">
        <v>537.06</v>
      </c>
    </row>
    <row r="2861" customFormat="false" ht="14.25" hidden="false" customHeight="true" outlineLevel="0" collapsed="false">
      <c r="A2861" s="51" t="n">
        <v>16207</v>
      </c>
      <c r="B2861" s="52" t="n">
        <v>40861.5770833333</v>
      </c>
      <c r="C2861" s="1" t="n">
        <v>1</v>
      </c>
      <c r="D2861" s="1" t="n">
        <v>394.38</v>
      </c>
    </row>
    <row r="2862" customFormat="false" ht="14.25" hidden="false" customHeight="true" outlineLevel="0" collapsed="false">
      <c r="A2862" s="51" t="n">
        <v>16208</v>
      </c>
      <c r="B2862" s="52" t="n">
        <v>40842.4833333333</v>
      </c>
      <c r="C2862" s="1" t="n">
        <v>2</v>
      </c>
      <c r="D2862" s="1" t="n">
        <v>664.26</v>
      </c>
    </row>
    <row r="2863" customFormat="false" ht="14.25" hidden="false" customHeight="true" outlineLevel="0" collapsed="false">
      <c r="A2863" s="51" t="n">
        <v>16209</v>
      </c>
      <c r="B2863" s="52" t="n">
        <v>40798.4986111111</v>
      </c>
      <c r="C2863" s="1" t="n">
        <v>5</v>
      </c>
      <c r="D2863" s="1" t="n">
        <v>2262.62</v>
      </c>
    </row>
    <row r="2864" customFormat="false" ht="14.25" hidden="false" customHeight="true" outlineLevel="0" collapsed="false">
      <c r="A2864" s="51" t="n">
        <v>16210</v>
      </c>
      <c r="B2864" s="52" t="n">
        <v>40885.525</v>
      </c>
      <c r="C2864" s="1" t="n">
        <v>18</v>
      </c>
      <c r="D2864" s="1" t="n">
        <v>21086.3</v>
      </c>
    </row>
    <row r="2865" customFormat="false" ht="14.25" hidden="false" customHeight="true" outlineLevel="0" collapsed="false">
      <c r="A2865" s="51" t="n">
        <v>16211</v>
      </c>
      <c r="B2865" s="52" t="n">
        <v>40805.6826388889</v>
      </c>
      <c r="C2865" s="1" t="n">
        <v>2</v>
      </c>
      <c r="D2865" s="1" t="n">
        <v>542.77</v>
      </c>
    </row>
    <row r="2866" customFormat="false" ht="14.25" hidden="false" customHeight="true" outlineLevel="0" collapsed="false">
      <c r="A2866" s="51" t="n">
        <v>16212</v>
      </c>
      <c r="B2866" s="52" t="n">
        <v>40867.5416666667</v>
      </c>
      <c r="C2866" s="1" t="n">
        <v>3</v>
      </c>
      <c r="D2866" s="1" t="n">
        <v>681.19</v>
      </c>
    </row>
    <row r="2867" customFormat="false" ht="14.25" hidden="false" customHeight="true" outlineLevel="0" collapsed="false">
      <c r="A2867" s="51" t="n">
        <v>16213</v>
      </c>
      <c r="B2867" s="52" t="n">
        <v>40808.41875</v>
      </c>
      <c r="C2867" s="1" t="n">
        <v>1</v>
      </c>
      <c r="D2867" s="1" t="n">
        <v>159</v>
      </c>
    </row>
    <row r="2868" customFormat="false" ht="14.25" hidden="false" customHeight="true" outlineLevel="0" collapsed="false">
      <c r="A2868" s="51" t="n">
        <v>16214</v>
      </c>
      <c r="B2868" s="52" t="n">
        <v>40716.4791666667</v>
      </c>
      <c r="C2868" s="1" t="n">
        <v>3</v>
      </c>
      <c r="D2868" s="1" t="n">
        <v>1062.75</v>
      </c>
    </row>
    <row r="2869" customFormat="false" ht="14.25" hidden="false" customHeight="true" outlineLevel="0" collapsed="false">
      <c r="A2869" s="51" t="n">
        <v>16215</v>
      </c>
      <c r="B2869" s="52" t="n">
        <v>40806.4291666667</v>
      </c>
      <c r="C2869" s="1" t="n">
        <v>1</v>
      </c>
      <c r="D2869" s="1" t="n">
        <v>242.35</v>
      </c>
    </row>
    <row r="2870" customFormat="false" ht="14.25" hidden="false" customHeight="true" outlineLevel="0" collapsed="false">
      <c r="A2870" s="51" t="n">
        <v>16216</v>
      </c>
      <c r="B2870" s="52" t="n">
        <v>40619.6486111111</v>
      </c>
      <c r="C2870" s="1" t="n">
        <v>1</v>
      </c>
      <c r="D2870" s="1" t="n">
        <v>914.93</v>
      </c>
    </row>
    <row r="2871" customFormat="false" ht="14.25" hidden="false" customHeight="true" outlineLevel="0" collapsed="false">
      <c r="A2871" s="51" t="n">
        <v>16217</v>
      </c>
      <c r="B2871" s="52" t="n">
        <v>40651.5631944445</v>
      </c>
      <c r="C2871" s="1" t="n">
        <v>4</v>
      </c>
      <c r="D2871" s="1" t="n">
        <v>259.39</v>
      </c>
    </row>
    <row r="2872" customFormat="false" ht="14.25" hidden="false" customHeight="true" outlineLevel="0" collapsed="false">
      <c r="A2872" s="51" t="n">
        <v>16218</v>
      </c>
      <c r="B2872" s="52" t="n">
        <v>40857.4159722222</v>
      </c>
      <c r="C2872" s="1" t="n">
        <v>8</v>
      </c>
      <c r="D2872" s="1" t="n">
        <v>3054.87</v>
      </c>
    </row>
    <row r="2873" customFormat="false" ht="14.25" hidden="false" customHeight="true" outlineLevel="0" collapsed="false">
      <c r="A2873" s="51" t="n">
        <v>16221</v>
      </c>
      <c r="B2873" s="52" t="n">
        <v>40850.4881944444</v>
      </c>
      <c r="C2873" s="1" t="n">
        <v>3</v>
      </c>
      <c r="D2873" s="1" t="n">
        <v>864.86</v>
      </c>
    </row>
    <row r="2874" customFormat="false" ht="14.25" hidden="false" customHeight="true" outlineLevel="0" collapsed="false">
      <c r="A2874" s="51" t="n">
        <v>16222</v>
      </c>
      <c r="B2874" s="52" t="n">
        <v>40568.5680555556</v>
      </c>
      <c r="C2874" s="1" t="n">
        <v>1</v>
      </c>
      <c r="D2874" s="1" t="n">
        <v>846.720000000001</v>
      </c>
    </row>
    <row r="2875" customFormat="false" ht="14.25" hidden="false" customHeight="true" outlineLevel="0" collapsed="false">
      <c r="A2875" s="51" t="n">
        <v>16224</v>
      </c>
      <c r="B2875" s="52" t="n">
        <v>40829.74375</v>
      </c>
      <c r="C2875" s="1" t="n">
        <v>4</v>
      </c>
      <c r="D2875" s="1" t="n">
        <v>1295.3</v>
      </c>
    </row>
    <row r="2876" customFormat="false" ht="14.25" hidden="false" customHeight="true" outlineLevel="0" collapsed="false">
      <c r="A2876" s="51" t="n">
        <v>16225</v>
      </c>
      <c r="B2876" s="52" t="n">
        <v>40842.3541666667</v>
      </c>
      <c r="C2876" s="1" t="n">
        <v>5</v>
      </c>
      <c r="D2876" s="1" t="n">
        <v>1096.32</v>
      </c>
    </row>
    <row r="2877" customFormat="false" ht="14.25" hidden="false" customHeight="true" outlineLevel="0" collapsed="false">
      <c r="A2877" s="51" t="n">
        <v>16226</v>
      </c>
      <c r="B2877" s="52" t="n">
        <v>40683.6118055556</v>
      </c>
      <c r="C2877" s="1" t="n">
        <v>3</v>
      </c>
      <c r="D2877" s="1" t="n">
        <v>255.12</v>
      </c>
    </row>
    <row r="2878" customFormat="false" ht="14.25" hidden="false" customHeight="true" outlineLevel="0" collapsed="false">
      <c r="A2878" s="51" t="n">
        <v>16227</v>
      </c>
      <c r="B2878" s="52" t="n">
        <v>40667.6854166667</v>
      </c>
      <c r="C2878" s="1" t="n">
        <v>2</v>
      </c>
      <c r="D2878" s="1" t="n">
        <v>308.32</v>
      </c>
    </row>
    <row r="2879" customFormat="false" ht="14.25" hidden="false" customHeight="true" outlineLevel="0" collapsed="false">
      <c r="A2879" s="51" t="n">
        <v>16229</v>
      </c>
      <c r="B2879" s="52" t="n">
        <v>40799.7194444445</v>
      </c>
      <c r="C2879" s="1" t="n">
        <v>2</v>
      </c>
      <c r="D2879" s="1" t="n">
        <v>1010.6</v>
      </c>
    </row>
    <row r="2880" customFormat="false" ht="14.25" hidden="false" customHeight="true" outlineLevel="0" collapsed="false">
      <c r="A2880" s="51" t="n">
        <v>16230</v>
      </c>
      <c r="B2880" s="52" t="n">
        <v>40697.4208333333</v>
      </c>
      <c r="C2880" s="1" t="n">
        <v>2</v>
      </c>
      <c r="D2880" s="1" t="n">
        <v>542.03</v>
      </c>
    </row>
    <row r="2881" customFormat="false" ht="14.25" hidden="false" customHeight="true" outlineLevel="0" collapsed="false">
      <c r="A2881" s="51" t="n">
        <v>16232</v>
      </c>
      <c r="B2881" s="52" t="n">
        <v>40854.4666666667</v>
      </c>
      <c r="C2881" s="1" t="n">
        <v>5</v>
      </c>
      <c r="D2881" s="1" t="n">
        <v>983.23</v>
      </c>
    </row>
    <row r="2882" customFormat="false" ht="14.25" hidden="false" customHeight="true" outlineLevel="0" collapsed="false">
      <c r="A2882" s="51" t="n">
        <v>16233</v>
      </c>
      <c r="B2882" s="52" t="n">
        <v>40815.7270833333</v>
      </c>
      <c r="C2882" s="1" t="n">
        <v>5</v>
      </c>
      <c r="D2882" s="1" t="n">
        <v>422.13</v>
      </c>
    </row>
    <row r="2883" customFormat="false" ht="14.25" hidden="false" customHeight="true" outlineLevel="0" collapsed="false">
      <c r="A2883" s="51" t="n">
        <v>16235</v>
      </c>
      <c r="B2883" s="52" t="n">
        <v>40846.4555555556</v>
      </c>
      <c r="C2883" s="1" t="n">
        <v>6</v>
      </c>
      <c r="D2883" s="1" t="n">
        <v>858.41</v>
      </c>
    </row>
    <row r="2884" customFormat="false" ht="14.25" hidden="false" customHeight="true" outlineLevel="0" collapsed="false">
      <c r="A2884" s="51" t="n">
        <v>16236</v>
      </c>
      <c r="B2884" s="52" t="n">
        <v>40808.5902777778</v>
      </c>
      <c r="C2884" s="1" t="n">
        <v>1</v>
      </c>
      <c r="D2884" s="1" t="n">
        <v>432.2</v>
      </c>
    </row>
    <row r="2885" customFormat="false" ht="14.25" hidden="false" customHeight="true" outlineLevel="0" collapsed="false">
      <c r="A2885" s="51" t="n">
        <v>16239</v>
      </c>
      <c r="B2885" s="52" t="n">
        <v>40830.3534722222</v>
      </c>
      <c r="C2885" s="1" t="n">
        <v>3</v>
      </c>
      <c r="D2885" s="1" t="n">
        <v>372.9</v>
      </c>
    </row>
    <row r="2886" customFormat="false" ht="14.25" hidden="false" customHeight="true" outlineLevel="0" collapsed="false">
      <c r="A2886" s="51" t="n">
        <v>16240</v>
      </c>
      <c r="B2886" s="52" t="n">
        <v>40878.5847222222</v>
      </c>
      <c r="C2886" s="1" t="n">
        <v>5</v>
      </c>
      <c r="D2886" s="1" t="n">
        <v>3693.81</v>
      </c>
    </row>
    <row r="2887" customFormat="false" ht="14.25" hidden="false" customHeight="true" outlineLevel="0" collapsed="false">
      <c r="A2887" s="51" t="n">
        <v>16241</v>
      </c>
      <c r="B2887" s="52" t="n">
        <v>40877.4638888889</v>
      </c>
      <c r="C2887" s="1" t="n">
        <v>13</v>
      </c>
      <c r="D2887" s="1" t="n">
        <v>2607.87</v>
      </c>
    </row>
    <row r="2888" customFormat="false" ht="14.25" hidden="false" customHeight="true" outlineLevel="0" collapsed="false">
      <c r="A2888" s="51" t="n">
        <v>16242</v>
      </c>
      <c r="B2888" s="52" t="n">
        <v>40878.6333333333</v>
      </c>
      <c r="C2888" s="1" t="n">
        <v>8</v>
      </c>
      <c r="D2888" s="1" t="n">
        <v>3598.26</v>
      </c>
    </row>
    <row r="2889" customFormat="false" ht="14.25" hidden="false" customHeight="true" outlineLevel="0" collapsed="false">
      <c r="A2889" s="51" t="n">
        <v>16243</v>
      </c>
      <c r="B2889" s="52" t="n">
        <v>40853.5222222222</v>
      </c>
      <c r="C2889" s="1" t="n">
        <v>2</v>
      </c>
      <c r="D2889" s="1" t="n">
        <v>409.1</v>
      </c>
    </row>
    <row r="2890" customFormat="false" ht="14.25" hidden="false" customHeight="true" outlineLevel="0" collapsed="false">
      <c r="A2890" s="51" t="n">
        <v>16244</v>
      </c>
      <c r="B2890" s="52" t="n">
        <v>40675.4291666667</v>
      </c>
      <c r="C2890" s="1" t="n">
        <v>2</v>
      </c>
      <c r="D2890" s="1" t="n">
        <v>1522.75</v>
      </c>
    </row>
    <row r="2891" customFormat="false" ht="14.25" hidden="false" customHeight="true" outlineLevel="0" collapsed="false">
      <c r="A2891" s="51" t="n">
        <v>16245</v>
      </c>
      <c r="B2891" s="52" t="n">
        <v>40863.4263888889</v>
      </c>
      <c r="C2891" s="1" t="n">
        <v>5</v>
      </c>
      <c r="D2891" s="1" t="n">
        <v>1352.36</v>
      </c>
    </row>
    <row r="2892" customFormat="false" ht="14.25" hidden="false" customHeight="true" outlineLevel="0" collapsed="false">
      <c r="A2892" s="51" t="n">
        <v>16247</v>
      </c>
      <c r="B2892" s="52" t="n">
        <v>40716.5993055556</v>
      </c>
      <c r="C2892" s="1" t="n">
        <v>1</v>
      </c>
      <c r="D2892" s="1" t="n">
        <v>114.56</v>
      </c>
    </row>
    <row r="2893" customFormat="false" ht="14.25" hidden="false" customHeight="true" outlineLevel="0" collapsed="false">
      <c r="A2893" s="51" t="n">
        <v>16248</v>
      </c>
      <c r="B2893" s="52" t="n">
        <v>40825.4805555556</v>
      </c>
      <c r="C2893" s="1" t="n">
        <v>1</v>
      </c>
      <c r="D2893" s="1" t="n">
        <v>152.94</v>
      </c>
    </row>
    <row r="2894" customFormat="false" ht="14.25" hidden="false" customHeight="true" outlineLevel="0" collapsed="false">
      <c r="A2894" s="51" t="n">
        <v>16249</v>
      </c>
      <c r="B2894" s="52" t="n">
        <v>40834.4215277778</v>
      </c>
      <c r="C2894" s="1" t="n">
        <v>5</v>
      </c>
      <c r="D2894" s="1" t="n">
        <v>1800.07</v>
      </c>
    </row>
    <row r="2895" customFormat="false" ht="14.25" hidden="false" customHeight="true" outlineLevel="0" collapsed="false">
      <c r="A2895" s="51" t="n">
        <v>16250</v>
      </c>
      <c r="B2895" s="52" t="n">
        <v>40625.6298611111</v>
      </c>
      <c r="C2895" s="1" t="n">
        <v>2</v>
      </c>
      <c r="D2895" s="1" t="n">
        <v>389.44</v>
      </c>
    </row>
    <row r="2896" customFormat="false" ht="14.25" hidden="false" customHeight="true" outlineLevel="0" collapsed="false">
      <c r="A2896" s="51" t="n">
        <v>16252</v>
      </c>
      <c r="B2896" s="52" t="n">
        <v>40520.6770833333</v>
      </c>
      <c r="C2896" s="1" t="n">
        <v>1</v>
      </c>
      <c r="D2896" s="1" t="n">
        <v>-295.09</v>
      </c>
    </row>
    <row r="2897" customFormat="false" ht="14.25" hidden="false" customHeight="true" outlineLevel="0" collapsed="false">
      <c r="A2897" s="51" t="n">
        <v>16253</v>
      </c>
      <c r="B2897" s="52" t="n">
        <v>40855.4743055556</v>
      </c>
      <c r="C2897" s="1" t="n">
        <v>3</v>
      </c>
      <c r="D2897" s="1" t="n">
        <v>3665.62</v>
      </c>
    </row>
    <row r="2898" customFormat="false" ht="14.25" hidden="false" customHeight="true" outlineLevel="0" collapsed="false">
      <c r="A2898" s="51" t="n">
        <v>16255</v>
      </c>
      <c r="B2898" s="52" t="n">
        <v>40870.5277777778</v>
      </c>
      <c r="C2898" s="1" t="n">
        <v>10</v>
      </c>
      <c r="D2898" s="1" t="n">
        <v>2609.3</v>
      </c>
    </row>
    <row r="2899" customFormat="false" ht="14.25" hidden="false" customHeight="true" outlineLevel="0" collapsed="false">
      <c r="A2899" s="51" t="n">
        <v>16256</v>
      </c>
      <c r="B2899" s="52" t="n">
        <v>40629.5097222222</v>
      </c>
      <c r="C2899" s="1" t="n">
        <v>2</v>
      </c>
      <c r="D2899" s="1" t="n">
        <v>732.63</v>
      </c>
    </row>
    <row r="2900" customFormat="false" ht="14.25" hidden="false" customHeight="true" outlineLevel="0" collapsed="false">
      <c r="A2900" s="51" t="n">
        <v>16257</v>
      </c>
      <c r="B2900" s="52" t="n">
        <v>40710.4243055556</v>
      </c>
      <c r="C2900" s="1" t="n">
        <v>1</v>
      </c>
      <c r="D2900" s="1" t="n">
        <v>46.95</v>
      </c>
    </row>
    <row r="2901" customFormat="false" ht="14.25" hidden="false" customHeight="true" outlineLevel="0" collapsed="false">
      <c r="A2901" s="51" t="n">
        <v>16258</v>
      </c>
      <c r="B2901" s="52" t="n">
        <v>40841.5625</v>
      </c>
      <c r="C2901" s="1" t="n">
        <v>5</v>
      </c>
      <c r="D2901" s="1" t="n">
        <v>5203.51</v>
      </c>
    </row>
    <row r="2902" customFormat="false" ht="14.25" hidden="false" customHeight="true" outlineLevel="0" collapsed="false">
      <c r="A2902" s="51" t="n">
        <v>16260</v>
      </c>
      <c r="B2902" s="52" t="n">
        <v>40836.4027777778</v>
      </c>
      <c r="C2902" s="1" t="n">
        <v>1</v>
      </c>
      <c r="D2902" s="1" t="n">
        <v>1035.45</v>
      </c>
    </row>
    <row r="2903" customFormat="false" ht="14.25" hidden="false" customHeight="true" outlineLevel="0" collapsed="false">
      <c r="A2903" s="51" t="n">
        <v>16261</v>
      </c>
      <c r="B2903" s="52" t="n">
        <v>40869.7243055556</v>
      </c>
      <c r="C2903" s="1" t="n">
        <v>4</v>
      </c>
      <c r="D2903" s="1" t="n">
        <v>746.83</v>
      </c>
    </row>
    <row r="2904" customFormat="false" ht="14.25" hidden="false" customHeight="true" outlineLevel="0" collapsed="false">
      <c r="A2904" s="51" t="n">
        <v>16262</v>
      </c>
      <c r="B2904" s="52" t="n">
        <v>40526.4965277778</v>
      </c>
      <c r="C2904" s="1" t="n">
        <v>1</v>
      </c>
      <c r="D2904" s="1" t="n">
        <v>-31.65</v>
      </c>
    </row>
    <row r="2905" customFormat="false" ht="14.25" hidden="false" customHeight="true" outlineLevel="0" collapsed="false">
      <c r="A2905" s="51" t="n">
        <v>16265</v>
      </c>
      <c r="B2905" s="52" t="n">
        <v>40877.6951388889</v>
      </c>
      <c r="C2905" s="1" t="n">
        <v>11</v>
      </c>
      <c r="D2905" s="1" t="n">
        <v>5423.15</v>
      </c>
    </row>
    <row r="2906" customFormat="false" ht="14.25" hidden="false" customHeight="true" outlineLevel="0" collapsed="false">
      <c r="A2906" s="51" t="n">
        <v>16266</v>
      </c>
      <c r="B2906" s="52" t="n">
        <v>40813.5055555556</v>
      </c>
      <c r="C2906" s="1" t="n">
        <v>7</v>
      </c>
      <c r="D2906" s="1" t="n">
        <v>861.89</v>
      </c>
    </row>
    <row r="2907" customFormat="false" ht="14.25" hidden="false" customHeight="true" outlineLevel="0" collapsed="false">
      <c r="A2907" s="51" t="n">
        <v>16268</v>
      </c>
      <c r="B2907" s="52" t="n">
        <v>40815.7708333333</v>
      </c>
      <c r="C2907" s="1" t="n">
        <v>2</v>
      </c>
      <c r="D2907" s="1" t="n">
        <v>667.65</v>
      </c>
    </row>
    <row r="2908" customFormat="false" ht="14.25" hidden="false" customHeight="true" outlineLevel="0" collapsed="false">
      <c r="A2908" s="51" t="n">
        <v>16270</v>
      </c>
      <c r="B2908" s="52" t="n">
        <v>40533.6013888889</v>
      </c>
      <c r="C2908" s="1" t="n">
        <v>1</v>
      </c>
      <c r="D2908" s="1" t="n">
        <v>1141.24</v>
      </c>
    </row>
    <row r="2909" customFormat="false" ht="14.25" hidden="false" customHeight="true" outlineLevel="0" collapsed="false">
      <c r="A2909" s="51" t="n">
        <v>16271</v>
      </c>
      <c r="B2909" s="52" t="n">
        <v>40884.53125</v>
      </c>
      <c r="C2909" s="1" t="n">
        <v>6</v>
      </c>
      <c r="D2909" s="1" t="n">
        <v>1423.29</v>
      </c>
    </row>
    <row r="2910" customFormat="false" ht="14.25" hidden="false" customHeight="true" outlineLevel="0" collapsed="false">
      <c r="A2910" s="51" t="n">
        <v>16272</v>
      </c>
      <c r="B2910" s="52" t="n">
        <v>40770.4541666667</v>
      </c>
      <c r="C2910" s="1" t="n">
        <v>1</v>
      </c>
      <c r="D2910" s="1" t="n">
        <v>411.7</v>
      </c>
    </row>
    <row r="2911" customFormat="false" ht="14.25" hidden="false" customHeight="true" outlineLevel="0" collapsed="false">
      <c r="A2911" s="51" t="n">
        <v>16274</v>
      </c>
      <c r="B2911" s="52" t="n">
        <v>40513.6493055556</v>
      </c>
      <c r="C2911" s="1" t="n">
        <v>1</v>
      </c>
      <c r="D2911" s="1" t="n">
        <v>357.95</v>
      </c>
    </row>
    <row r="2912" customFormat="false" ht="14.25" hidden="false" customHeight="true" outlineLevel="0" collapsed="false">
      <c r="A2912" s="51" t="n">
        <v>16275</v>
      </c>
      <c r="B2912" s="52" t="n">
        <v>40690.5284722222</v>
      </c>
      <c r="C2912" s="1" t="n">
        <v>1</v>
      </c>
      <c r="D2912" s="1" t="n">
        <v>559.87</v>
      </c>
    </row>
    <row r="2913" customFormat="false" ht="14.25" hidden="false" customHeight="true" outlineLevel="0" collapsed="false">
      <c r="A2913" s="51" t="n">
        <v>16276</v>
      </c>
      <c r="B2913" s="52" t="n">
        <v>40710.3986111111</v>
      </c>
      <c r="C2913" s="1" t="n">
        <v>1</v>
      </c>
      <c r="D2913" s="1" t="n">
        <v>810.6</v>
      </c>
    </row>
    <row r="2914" customFormat="false" ht="14.25" hidden="false" customHeight="true" outlineLevel="0" collapsed="false">
      <c r="A2914" s="51" t="n">
        <v>16278</v>
      </c>
      <c r="B2914" s="52" t="n">
        <v>40863.6729166667</v>
      </c>
      <c r="C2914" s="1" t="n">
        <v>3</v>
      </c>
      <c r="D2914" s="1" t="n">
        <v>537.83</v>
      </c>
    </row>
    <row r="2915" customFormat="false" ht="14.25" hidden="false" customHeight="true" outlineLevel="0" collapsed="false">
      <c r="A2915" s="51" t="n">
        <v>16279</v>
      </c>
      <c r="B2915" s="52" t="n">
        <v>40865.625</v>
      </c>
      <c r="C2915" s="1" t="n">
        <v>4</v>
      </c>
      <c r="D2915" s="1" t="n">
        <v>1496.68</v>
      </c>
    </row>
    <row r="2916" customFormat="false" ht="14.25" hidden="false" customHeight="true" outlineLevel="0" collapsed="false">
      <c r="A2916" s="51" t="n">
        <v>16281</v>
      </c>
      <c r="B2916" s="52" t="n">
        <v>40814.6229166667</v>
      </c>
      <c r="C2916" s="1" t="n">
        <v>1</v>
      </c>
      <c r="D2916" s="1" t="n">
        <v>2062.06</v>
      </c>
    </row>
    <row r="2917" customFormat="false" ht="14.25" hidden="false" customHeight="true" outlineLevel="0" collapsed="false">
      <c r="A2917" s="51" t="n">
        <v>16282</v>
      </c>
      <c r="B2917" s="52" t="n">
        <v>40547.4875</v>
      </c>
      <c r="C2917" s="1" t="n">
        <v>1</v>
      </c>
      <c r="D2917" s="1" t="n">
        <v>168.3</v>
      </c>
    </row>
    <row r="2918" customFormat="false" ht="14.25" hidden="false" customHeight="true" outlineLevel="0" collapsed="false">
      <c r="A2918" s="51" t="n">
        <v>16283</v>
      </c>
      <c r="B2918" s="52" t="n">
        <v>40881.5055555556</v>
      </c>
      <c r="C2918" s="1" t="n">
        <v>7</v>
      </c>
      <c r="D2918" s="1" t="n">
        <v>1531.51</v>
      </c>
    </row>
    <row r="2919" customFormat="false" ht="14.25" hidden="false" customHeight="true" outlineLevel="0" collapsed="false">
      <c r="A2919" s="51" t="n">
        <v>16284</v>
      </c>
      <c r="B2919" s="52" t="n">
        <v>40855.675</v>
      </c>
      <c r="C2919" s="1" t="n">
        <v>2</v>
      </c>
      <c r="D2919" s="1" t="n">
        <v>823.97</v>
      </c>
    </row>
    <row r="2920" customFormat="false" ht="14.25" hidden="false" customHeight="true" outlineLevel="0" collapsed="false">
      <c r="A2920" s="51" t="n">
        <v>16287</v>
      </c>
      <c r="B2920" s="52" t="n">
        <v>40717.3805555556</v>
      </c>
      <c r="C2920" s="1" t="n">
        <v>1</v>
      </c>
      <c r="D2920" s="1" t="n">
        <v>142.5</v>
      </c>
    </row>
    <row r="2921" customFormat="false" ht="14.25" hidden="false" customHeight="true" outlineLevel="0" collapsed="false">
      <c r="A2921" s="51" t="n">
        <v>16292</v>
      </c>
      <c r="B2921" s="52" t="n">
        <v>40769.6041666667</v>
      </c>
      <c r="C2921" s="1" t="n">
        <v>2</v>
      </c>
      <c r="D2921" s="1" t="n">
        <v>280.9</v>
      </c>
    </row>
    <row r="2922" customFormat="false" ht="14.25" hidden="false" customHeight="true" outlineLevel="0" collapsed="false">
      <c r="A2922" s="51" t="n">
        <v>16293</v>
      </c>
      <c r="B2922" s="52" t="n">
        <v>40878.3840277778</v>
      </c>
      <c r="C2922" s="1" t="n">
        <v>12</v>
      </c>
      <c r="D2922" s="1" t="n">
        <v>2236.74</v>
      </c>
    </row>
    <row r="2923" customFormat="false" ht="14.25" hidden="false" customHeight="true" outlineLevel="0" collapsed="false">
      <c r="A2923" s="51" t="n">
        <v>16295</v>
      </c>
      <c r="B2923" s="52" t="n">
        <v>40877.3451388889</v>
      </c>
      <c r="C2923" s="1" t="n">
        <v>4</v>
      </c>
      <c r="D2923" s="1" t="n">
        <v>1328.55</v>
      </c>
    </row>
    <row r="2924" customFormat="false" ht="14.25" hidden="false" customHeight="true" outlineLevel="0" collapsed="false">
      <c r="A2924" s="51" t="n">
        <v>16297</v>
      </c>
      <c r="B2924" s="52" t="n">
        <v>40674.46875</v>
      </c>
      <c r="C2924" s="1" t="n">
        <v>4</v>
      </c>
      <c r="D2924" s="1" t="n">
        <v>275.4</v>
      </c>
    </row>
    <row r="2925" customFormat="false" ht="14.25" hidden="false" customHeight="true" outlineLevel="0" collapsed="false">
      <c r="A2925" s="51" t="n">
        <v>16298</v>
      </c>
      <c r="B2925" s="52" t="n">
        <v>40864.4993055556</v>
      </c>
      <c r="C2925" s="1" t="n">
        <v>3</v>
      </c>
      <c r="D2925" s="1" t="n">
        <v>598.2</v>
      </c>
    </row>
    <row r="2926" customFormat="false" ht="14.25" hidden="false" customHeight="true" outlineLevel="0" collapsed="false">
      <c r="A2926" s="51" t="n">
        <v>16302</v>
      </c>
      <c r="B2926" s="52" t="n">
        <v>40779.3923611111</v>
      </c>
      <c r="C2926" s="1" t="n">
        <v>2</v>
      </c>
      <c r="D2926" s="1" t="n">
        <v>212.82</v>
      </c>
    </row>
    <row r="2927" customFormat="false" ht="14.25" hidden="false" customHeight="true" outlineLevel="0" collapsed="false">
      <c r="A2927" s="51" t="n">
        <v>16303</v>
      </c>
      <c r="B2927" s="52" t="n">
        <v>40861.4506944444</v>
      </c>
      <c r="C2927" s="1" t="n">
        <v>4</v>
      </c>
      <c r="D2927" s="1" t="n">
        <v>5305.83</v>
      </c>
    </row>
    <row r="2928" customFormat="false" ht="14.25" hidden="false" customHeight="true" outlineLevel="0" collapsed="false">
      <c r="A2928" s="51" t="n">
        <v>16305</v>
      </c>
      <c r="B2928" s="52" t="n">
        <v>40748.5125</v>
      </c>
      <c r="C2928" s="1" t="n">
        <v>1</v>
      </c>
      <c r="D2928" s="1" t="n">
        <v>361.22</v>
      </c>
    </row>
    <row r="2929" customFormat="false" ht="14.25" hidden="false" customHeight="true" outlineLevel="0" collapsed="false">
      <c r="A2929" s="51" t="n">
        <v>16306</v>
      </c>
      <c r="B2929" s="52" t="n">
        <v>40673.5083333333</v>
      </c>
      <c r="C2929" s="1" t="n">
        <v>9</v>
      </c>
      <c r="D2929" s="1" t="n">
        <v>602.27</v>
      </c>
    </row>
    <row r="2930" customFormat="false" ht="14.25" hidden="false" customHeight="true" outlineLevel="0" collapsed="false">
      <c r="A2930" s="51" t="n">
        <v>16308</v>
      </c>
      <c r="B2930" s="52" t="n">
        <v>40849.475</v>
      </c>
      <c r="C2930" s="1" t="n">
        <v>4</v>
      </c>
      <c r="D2930" s="1" t="n">
        <v>2560</v>
      </c>
    </row>
    <row r="2931" customFormat="false" ht="14.25" hidden="false" customHeight="true" outlineLevel="0" collapsed="false">
      <c r="A2931" s="51" t="n">
        <v>16309</v>
      </c>
      <c r="B2931" s="52" t="n">
        <v>40795.5180555556</v>
      </c>
      <c r="C2931" s="1" t="n">
        <v>3</v>
      </c>
      <c r="D2931" s="1" t="n">
        <v>686.67</v>
      </c>
    </row>
    <row r="2932" customFormat="false" ht="14.25" hidden="false" customHeight="true" outlineLevel="0" collapsed="false">
      <c r="A2932" s="51" t="n">
        <v>16311</v>
      </c>
      <c r="B2932" s="52" t="n">
        <v>40869.3708333333</v>
      </c>
      <c r="C2932" s="1" t="n">
        <v>2</v>
      </c>
      <c r="D2932" s="1" t="n">
        <v>616.26</v>
      </c>
    </row>
    <row r="2933" customFormat="false" ht="14.25" hidden="false" customHeight="true" outlineLevel="0" collapsed="false">
      <c r="A2933" s="51" t="n">
        <v>16313</v>
      </c>
      <c r="B2933" s="52" t="n">
        <v>40883.5430555556</v>
      </c>
      <c r="C2933" s="1" t="n">
        <v>2</v>
      </c>
      <c r="D2933" s="1" t="n">
        <v>274.15</v>
      </c>
    </row>
    <row r="2934" customFormat="false" ht="14.25" hidden="false" customHeight="true" outlineLevel="0" collapsed="false">
      <c r="A2934" s="51" t="n">
        <v>16315</v>
      </c>
      <c r="B2934" s="52" t="n">
        <v>40556.4979166667</v>
      </c>
      <c r="C2934" s="1" t="n">
        <v>1</v>
      </c>
      <c r="D2934" s="1" t="n">
        <v>226.37</v>
      </c>
    </row>
    <row r="2935" customFormat="false" ht="14.25" hidden="false" customHeight="true" outlineLevel="0" collapsed="false">
      <c r="A2935" s="51" t="n">
        <v>16316</v>
      </c>
      <c r="B2935" s="52" t="n">
        <v>40822.575</v>
      </c>
      <c r="C2935" s="1" t="n">
        <v>12</v>
      </c>
      <c r="D2935" s="1" t="n">
        <v>2755.56</v>
      </c>
    </row>
    <row r="2936" customFormat="false" ht="14.25" hidden="false" customHeight="true" outlineLevel="0" collapsed="false">
      <c r="A2936" s="51" t="n">
        <v>16317</v>
      </c>
      <c r="B2936" s="52" t="n">
        <v>40767.5319444445</v>
      </c>
      <c r="C2936" s="1" t="n">
        <v>3</v>
      </c>
      <c r="D2936" s="1" t="n">
        <v>1341.65</v>
      </c>
    </row>
    <row r="2937" customFormat="false" ht="14.25" hidden="false" customHeight="true" outlineLevel="0" collapsed="false">
      <c r="A2937" s="51" t="n">
        <v>16318</v>
      </c>
      <c r="B2937" s="52" t="n">
        <v>40851.5451388889</v>
      </c>
      <c r="C2937" s="1" t="n">
        <v>1</v>
      </c>
      <c r="D2937" s="1" t="n">
        <v>328.15</v>
      </c>
    </row>
    <row r="2938" customFormat="false" ht="14.25" hidden="false" customHeight="true" outlineLevel="0" collapsed="false">
      <c r="A2938" s="51" t="n">
        <v>16319</v>
      </c>
      <c r="B2938" s="52" t="n">
        <v>40669.4770833333</v>
      </c>
      <c r="C2938" s="1" t="n">
        <v>1</v>
      </c>
      <c r="D2938" s="1" t="n">
        <v>404.4</v>
      </c>
    </row>
    <row r="2939" customFormat="false" ht="14.25" hidden="false" customHeight="true" outlineLevel="0" collapsed="false">
      <c r="A2939" s="51" t="n">
        <v>16320</v>
      </c>
      <c r="B2939" s="52" t="n">
        <v>40714.6423611111</v>
      </c>
      <c r="C2939" s="1" t="n">
        <v>2</v>
      </c>
      <c r="D2939" s="1" t="n">
        <v>1038.46</v>
      </c>
    </row>
    <row r="2940" customFormat="false" ht="14.25" hidden="false" customHeight="true" outlineLevel="0" collapsed="false">
      <c r="A2940" s="51" t="n">
        <v>16321</v>
      </c>
      <c r="B2940" s="52" t="n">
        <v>40814.6215277778</v>
      </c>
      <c r="C2940" s="1" t="n">
        <v>7</v>
      </c>
      <c r="D2940" s="1" t="n">
        <v>230.7</v>
      </c>
    </row>
    <row r="2941" customFormat="false" ht="14.25" hidden="false" customHeight="true" outlineLevel="0" collapsed="false">
      <c r="A2941" s="51" t="n">
        <v>16322</v>
      </c>
      <c r="B2941" s="52" t="n">
        <v>40885.6534722222</v>
      </c>
      <c r="C2941" s="1" t="n">
        <v>2</v>
      </c>
      <c r="D2941" s="1" t="n">
        <v>326.75</v>
      </c>
    </row>
    <row r="2942" customFormat="false" ht="14.25" hidden="false" customHeight="true" outlineLevel="0" collapsed="false">
      <c r="A2942" s="51" t="n">
        <v>16323</v>
      </c>
      <c r="B2942" s="52" t="n">
        <v>40690.6166666667</v>
      </c>
      <c r="C2942" s="1" t="n">
        <v>1</v>
      </c>
      <c r="D2942" s="1" t="n">
        <v>207.5</v>
      </c>
    </row>
    <row r="2943" customFormat="false" ht="14.25" hidden="false" customHeight="true" outlineLevel="0" collapsed="false">
      <c r="A2943" s="51" t="n">
        <v>16324</v>
      </c>
      <c r="B2943" s="52" t="n">
        <v>40758.5402777778</v>
      </c>
      <c r="C2943" s="1" t="n">
        <v>3</v>
      </c>
      <c r="D2943" s="1" t="n">
        <v>428.68</v>
      </c>
    </row>
    <row r="2944" customFormat="false" ht="14.25" hidden="false" customHeight="true" outlineLevel="0" collapsed="false">
      <c r="A2944" s="51" t="n">
        <v>16325</v>
      </c>
      <c r="B2944" s="52" t="n">
        <v>40842.6868055556</v>
      </c>
      <c r="C2944" s="1" t="n">
        <v>5</v>
      </c>
      <c r="D2944" s="1" t="n">
        <v>510.54</v>
      </c>
    </row>
    <row r="2945" customFormat="false" ht="14.25" hidden="false" customHeight="true" outlineLevel="0" collapsed="false">
      <c r="A2945" s="51" t="n">
        <v>16326</v>
      </c>
      <c r="B2945" s="52" t="n">
        <v>40881.4243055556</v>
      </c>
      <c r="C2945" s="1" t="n">
        <v>15</v>
      </c>
      <c r="D2945" s="1" t="n">
        <v>3085.96000000001</v>
      </c>
    </row>
    <row r="2946" customFormat="false" ht="14.25" hidden="false" customHeight="true" outlineLevel="0" collapsed="false">
      <c r="A2946" s="51" t="n">
        <v>16327</v>
      </c>
      <c r="B2946" s="52" t="n">
        <v>40872.5576388889</v>
      </c>
      <c r="C2946" s="1" t="n">
        <v>6</v>
      </c>
      <c r="D2946" s="1" t="n">
        <v>3844.22</v>
      </c>
    </row>
    <row r="2947" customFormat="false" ht="14.25" hidden="false" customHeight="true" outlineLevel="0" collapsed="false">
      <c r="A2947" s="51" t="n">
        <v>16330</v>
      </c>
      <c r="B2947" s="52" t="n">
        <v>40869.5166666667</v>
      </c>
      <c r="C2947" s="1" t="n">
        <v>4</v>
      </c>
      <c r="D2947" s="1" t="n">
        <v>242.21</v>
      </c>
    </row>
    <row r="2948" customFormat="false" ht="14.25" hidden="false" customHeight="true" outlineLevel="0" collapsed="false">
      <c r="A2948" s="51" t="n">
        <v>16332</v>
      </c>
      <c r="B2948" s="52" t="n">
        <v>40858.5986111111</v>
      </c>
      <c r="C2948" s="1" t="n">
        <v>8</v>
      </c>
      <c r="D2948" s="1" t="n">
        <v>1583.2</v>
      </c>
    </row>
    <row r="2949" customFormat="false" ht="14.25" hidden="false" customHeight="true" outlineLevel="0" collapsed="false">
      <c r="A2949" s="51" t="n">
        <v>16333</v>
      </c>
      <c r="B2949" s="52" t="n">
        <v>40879.5131944444</v>
      </c>
      <c r="C2949" s="1" t="n">
        <v>22</v>
      </c>
      <c r="D2949" s="1" t="n">
        <v>26626.8</v>
      </c>
    </row>
    <row r="2950" customFormat="false" ht="14.25" hidden="false" customHeight="true" outlineLevel="0" collapsed="false">
      <c r="A2950" s="51" t="n">
        <v>16337</v>
      </c>
      <c r="B2950" s="52" t="n">
        <v>40850.41875</v>
      </c>
      <c r="C2950" s="1" t="n">
        <v>1</v>
      </c>
      <c r="D2950" s="1" t="n">
        <v>151.05</v>
      </c>
    </row>
    <row r="2951" customFormat="false" ht="14.25" hidden="false" customHeight="true" outlineLevel="0" collapsed="false">
      <c r="A2951" s="51" t="n">
        <v>16338</v>
      </c>
      <c r="B2951" s="52" t="n">
        <v>40729.5805555556</v>
      </c>
      <c r="C2951" s="1" t="n">
        <v>1</v>
      </c>
      <c r="D2951" s="1" t="n">
        <v>214.8</v>
      </c>
    </row>
    <row r="2952" customFormat="false" ht="14.25" hidden="false" customHeight="true" outlineLevel="0" collapsed="false">
      <c r="A2952" s="51" t="n">
        <v>16339</v>
      </c>
      <c r="B2952" s="52" t="n">
        <v>40602.5701388889</v>
      </c>
      <c r="C2952" s="1" t="n">
        <v>1</v>
      </c>
      <c r="D2952" s="1" t="n">
        <v>109.95</v>
      </c>
    </row>
    <row r="2953" customFormat="false" ht="14.25" hidden="false" customHeight="true" outlineLevel="0" collapsed="false">
      <c r="A2953" s="51" t="n">
        <v>16340</v>
      </c>
      <c r="B2953" s="52" t="n">
        <v>40779.6201388889</v>
      </c>
      <c r="C2953" s="1" t="n">
        <v>1</v>
      </c>
      <c r="D2953" s="1" t="n">
        <v>549.07</v>
      </c>
    </row>
    <row r="2954" customFormat="false" ht="14.25" hidden="false" customHeight="true" outlineLevel="0" collapsed="false">
      <c r="A2954" s="51" t="n">
        <v>16341</v>
      </c>
      <c r="B2954" s="52" t="n">
        <v>40862.3833333333</v>
      </c>
      <c r="C2954" s="1" t="n">
        <v>6</v>
      </c>
      <c r="D2954" s="1" t="n">
        <v>1959.38</v>
      </c>
    </row>
    <row r="2955" customFormat="false" ht="14.25" hidden="false" customHeight="true" outlineLevel="0" collapsed="false">
      <c r="A2955" s="51" t="n">
        <v>16342</v>
      </c>
      <c r="B2955" s="52" t="n">
        <v>40811.6083333333</v>
      </c>
      <c r="C2955" s="1" t="n">
        <v>4</v>
      </c>
      <c r="D2955" s="1" t="n">
        <v>322.41</v>
      </c>
    </row>
    <row r="2956" customFormat="false" ht="14.25" hidden="false" customHeight="true" outlineLevel="0" collapsed="false">
      <c r="A2956" s="51" t="n">
        <v>16343</v>
      </c>
      <c r="B2956" s="52" t="n">
        <v>40870.7395833333</v>
      </c>
      <c r="C2956" s="1" t="n">
        <v>2</v>
      </c>
      <c r="D2956" s="1" t="n">
        <v>370.48</v>
      </c>
    </row>
    <row r="2957" customFormat="false" ht="14.25" hidden="false" customHeight="true" outlineLevel="0" collapsed="false">
      <c r="A2957" s="51" t="n">
        <v>16344</v>
      </c>
      <c r="B2957" s="52" t="n">
        <v>40728.6597222222</v>
      </c>
      <c r="C2957" s="1" t="n">
        <v>1</v>
      </c>
      <c r="D2957" s="1" t="n">
        <v>101.1</v>
      </c>
    </row>
    <row r="2958" customFormat="false" ht="14.25" hidden="false" customHeight="true" outlineLevel="0" collapsed="false">
      <c r="A2958" s="51" t="n">
        <v>16345</v>
      </c>
      <c r="B2958" s="52" t="n">
        <v>40842.66875</v>
      </c>
      <c r="C2958" s="1" t="n">
        <v>1</v>
      </c>
      <c r="D2958" s="1" t="n">
        <v>575.41</v>
      </c>
    </row>
    <row r="2959" customFormat="false" ht="14.25" hidden="false" customHeight="true" outlineLevel="0" collapsed="false">
      <c r="A2959" s="51" t="n">
        <v>16347</v>
      </c>
      <c r="B2959" s="52" t="n">
        <v>40875.5513888889</v>
      </c>
      <c r="C2959" s="1" t="n">
        <v>2</v>
      </c>
      <c r="D2959" s="1" t="n">
        <v>887.65</v>
      </c>
    </row>
    <row r="2960" customFormat="false" ht="14.25" hidden="false" customHeight="true" outlineLevel="0" collapsed="false">
      <c r="A2960" s="51" t="n">
        <v>16348</v>
      </c>
      <c r="B2960" s="52" t="n">
        <v>40854.6555555556</v>
      </c>
      <c r="C2960" s="1" t="n">
        <v>7</v>
      </c>
      <c r="D2960" s="1" t="n">
        <v>1469.45</v>
      </c>
    </row>
    <row r="2961" customFormat="false" ht="14.25" hidden="false" customHeight="true" outlineLevel="0" collapsed="false">
      <c r="A2961" s="51" t="n">
        <v>16349</v>
      </c>
      <c r="B2961" s="52" t="n">
        <v>40596.5277777778</v>
      </c>
      <c r="C2961" s="1" t="n">
        <v>1</v>
      </c>
      <c r="D2961" s="1" t="n">
        <v>53.5</v>
      </c>
    </row>
    <row r="2962" customFormat="false" ht="14.25" hidden="false" customHeight="true" outlineLevel="0" collapsed="false">
      <c r="A2962" s="51" t="n">
        <v>16350</v>
      </c>
      <c r="B2962" s="52" t="n">
        <v>40865.6618055556</v>
      </c>
      <c r="C2962" s="1" t="n">
        <v>5</v>
      </c>
      <c r="D2962" s="1" t="n">
        <v>1100.47</v>
      </c>
    </row>
    <row r="2963" customFormat="false" ht="14.25" hidden="false" customHeight="true" outlineLevel="0" collapsed="false">
      <c r="A2963" s="51" t="n">
        <v>16351</v>
      </c>
      <c r="B2963" s="52" t="n">
        <v>40554.4347222222</v>
      </c>
      <c r="C2963" s="1" t="n">
        <v>1</v>
      </c>
      <c r="D2963" s="1" t="n">
        <v>153.9</v>
      </c>
    </row>
    <row r="2964" customFormat="false" ht="14.25" hidden="false" customHeight="true" outlineLevel="0" collapsed="false">
      <c r="A2964" s="51" t="n">
        <v>16352</v>
      </c>
      <c r="B2964" s="52" t="n">
        <v>40869.4388888889</v>
      </c>
      <c r="C2964" s="1" t="n">
        <v>2</v>
      </c>
      <c r="D2964" s="1" t="n">
        <v>494.44</v>
      </c>
    </row>
    <row r="2965" customFormat="false" ht="14.25" hidden="false" customHeight="true" outlineLevel="0" collapsed="false">
      <c r="A2965" s="51" t="n">
        <v>16353</v>
      </c>
      <c r="B2965" s="52" t="n">
        <v>40883.5159722222</v>
      </c>
      <c r="C2965" s="1" t="n">
        <v>23</v>
      </c>
      <c r="D2965" s="1" t="n">
        <v>6675.71</v>
      </c>
    </row>
    <row r="2966" customFormat="false" ht="14.25" hidden="false" customHeight="true" outlineLevel="0" collapsed="false">
      <c r="A2966" s="51" t="n">
        <v>16354</v>
      </c>
      <c r="B2966" s="52" t="n">
        <v>40823.6027777778</v>
      </c>
      <c r="C2966" s="1" t="n">
        <v>2</v>
      </c>
      <c r="D2966" s="1" t="n">
        <v>395.8</v>
      </c>
    </row>
    <row r="2967" customFormat="false" ht="14.25" hidden="false" customHeight="true" outlineLevel="0" collapsed="false">
      <c r="A2967" s="51" t="n">
        <v>16356</v>
      </c>
      <c r="B2967" s="52" t="n">
        <v>40689.49375</v>
      </c>
      <c r="C2967" s="1" t="n">
        <v>4</v>
      </c>
      <c r="D2967" s="1" t="n">
        <v>210.32</v>
      </c>
    </row>
    <row r="2968" customFormat="false" ht="14.25" hidden="false" customHeight="true" outlineLevel="0" collapsed="false">
      <c r="A2968" s="51" t="n">
        <v>16357</v>
      </c>
      <c r="B2968" s="52" t="n">
        <v>40853.6694444444</v>
      </c>
      <c r="C2968" s="1" t="n">
        <v>3</v>
      </c>
      <c r="D2968" s="1" t="n">
        <v>658.88</v>
      </c>
    </row>
    <row r="2969" customFormat="false" ht="14.25" hidden="false" customHeight="true" outlineLevel="0" collapsed="false">
      <c r="A2969" s="51" t="n">
        <v>16358</v>
      </c>
      <c r="B2969" s="52" t="n">
        <v>40885.63125</v>
      </c>
      <c r="C2969" s="1" t="n">
        <v>5</v>
      </c>
      <c r="D2969" s="1" t="n">
        <v>2024.95</v>
      </c>
    </row>
    <row r="2970" customFormat="false" ht="14.25" hidden="false" customHeight="true" outlineLevel="0" collapsed="false">
      <c r="A2970" s="51" t="n">
        <v>16359</v>
      </c>
      <c r="B2970" s="52" t="n">
        <v>40879.7111111111</v>
      </c>
      <c r="C2970" s="1" t="n">
        <v>12</v>
      </c>
      <c r="D2970" s="1" t="n">
        <v>1460.37</v>
      </c>
    </row>
    <row r="2971" customFormat="false" ht="14.25" hidden="false" customHeight="true" outlineLevel="0" collapsed="false">
      <c r="A2971" s="51" t="n">
        <v>16360</v>
      </c>
      <c r="B2971" s="52" t="n">
        <v>40882.5111111111</v>
      </c>
      <c r="C2971" s="1" t="n">
        <v>8</v>
      </c>
      <c r="D2971" s="1" t="n">
        <v>3411.69</v>
      </c>
    </row>
    <row r="2972" customFormat="false" ht="14.25" hidden="false" customHeight="true" outlineLevel="0" collapsed="false">
      <c r="A2972" s="51" t="n">
        <v>16361</v>
      </c>
      <c r="B2972" s="52" t="n">
        <v>40877.5222222222</v>
      </c>
      <c r="C2972" s="1" t="n">
        <v>4</v>
      </c>
      <c r="D2972" s="1" t="n">
        <v>896.66</v>
      </c>
    </row>
    <row r="2973" customFormat="false" ht="14.25" hidden="false" customHeight="true" outlineLevel="0" collapsed="false">
      <c r="A2973" s="51" t="n">
        <v>16362</v>
      </c>
      <c r="B2973" s="52" t="n">
        <v>40854.5423611111</v>
      </c>
      <c r="C2973" s="1" t="n">
        <v>9</v>
      </c>
      <c r="D2973" s="1" t="n">
        <v>652.07</v>
      </c>
    </row>
    <row r="2974" customFormat="false" ht="14.25" hidden="false" customHeight="true" outlineLevel="0" collapsed="false">
      <c r="A2974" s="51" t="n">
        <v>16363</v>
      </c>
      <c r="B2974" s="52" t="n">
        <v>40833.5930555556</v>
      </c>
      <c r="C2974" s="1" t="n">
        <v>1</v>
      </c>
      <c r="D2974" s="1" t="n">
        <v>109.36</v>
      </c>
    </row>
    <row r="2975" customFormat="false" ht="14.25" hidden="false" customHeight="true" outlineLevel="0" collapsed="false">
      <c r="A2975" s="51" t="n">
        <v>16364</v>
      </c>
      <c r="B2975" s="52" t="n">
        <v>40875.4770833333</v>
      </c>
      <c r="C2975" s="1" t="n">
        <v>2</v>
      </c>
      <c r="D2975" s="1" t="n">
        <v>707.04</v>
      </c>
    </row>
    <row r="2976" customFormat="false" ht="14.25" hidden="false" customHeight="true" outlineLevel="0" collapsed="false">
      <c r="A2976" s="51" t="n">
        <v>16365</v>
      </c>
      <c r="B2976" s="52" t="n">
        <v>40869.475</v>
      </c>
      <c r="C2976" s="1" t="n">
        <v>9</v>
      </c>
      <c r="D2976" s="1" t="n">
        <v>1540.42</v>
      </c>
    </row>
    <row r="2977" customFormat="false" ht="14.25" hidden="false" customHeight="true" outlineLevel="0" collapsed="false">
      <c r="A2977" s="51" t="n">
        <v>16366</v>
      </c>
      <c r="B2977" s="52" t="n">
        <v>40868.3465277778</v>
      </c>
      <c r="C2977" s="1" t="n">
        <v>1</v>
      </c>
      <c r="D2977" s="1" t="n">
        <v>327.3</v>
      </c>
    </row>
    <row r="2978" customFormat="false" ht="14.25" hidden="false" customHeight="true" outlineLevel="0" collapsed="false">
      <c r="A2978" s="51" t="n">
        <v>16367</v>
      </c>
      <c r="B2978" s="52" t="n">
        <v>40849.5506944444</v>
      </c>
      <c r="C2978" s="1" t="n">
        <v>2</v>
      </c>
      <c r="D2978" s="1" t="n">
        <v>804.49</v>
      </c>
    </row>
    <row r="2979" customFormat="false" ht="14.25" hidden="false" customHeight="true" outlineLevel="0" collapsed="false">
      <c r="A2979" s="51" t="n">
        <v>16368</v>
      </c>
      <c r="B2979" s="52" t="n">
        <v>40884.55</v>
      </c>
      <c r="C2979" s="1" t="n">
        <v>2</v>
      </c>
      <c r="D2979" s="1" t="n">
        <v>497.43</v>
      </c>
    </row>
    <row r="2980" customFormat="false" ht="14.25" hidden="false" customHeight="true" outlineLevel="0" collapsed="false">
      <c r="A2980" s="51" t="n">
        <v>16369</v>
      </c>
      <c r="B2980" s="52" t="n">
        <v>40868.6840277778</v>
      </c>
      <c r="C2980" s="1" t="n">
        <v>3</v>
      </c>
      <c r="D2980" s="1" t="n">
        <v>1553.66</v>
      </c>
    </row>
    <row r="2981" customFormat="false" ht="14.25" hidden="false" customHeight="true" outlineLevel="0" collapsed="false">
      <c r="A2981" s="51" t="n">
        <v>16370</v>
      </c>
      <c r="B2981" s="52" t="n">
        <v>40804.6631944445</v>
      </c>
      <c r="C2981" s="1" t="n">
        <v>4</v>
      </c>
      <c r="D2981" s="1" t="n">
        <v>1320.56</v>
      </c>
    </row>
    <row r="2982" customFormat="false" ht="14.25" hidden="false" customHeight="true" outlineLevel="0" collapsed="false">
      <c r="A2982" s="51" t="n">
        <v>16372</v>
      </c>
      <c r="B2982" s="52" t="n">
        <v>40853.5472222222</v>
      </c>
      <c r="C2982" s="1" t="n">
        <v>2</v>
      </c>
      <c r="D2982" s="1" t="n">
        <v>367.93</v>
      </c>
    </row>
    <row r="2983" customFormat="false" ht="14.25" hidden="false" customHeight="true" outlineLevel="0" collapsed="false">
      <c r="A2983" s="51" t="n">
        <v>16374</v>
      </c>
      <c r="B2983" s="52" t="n">
        <v>40820.6395833333</v>
      </c>
      <c r="C2983" s="1" t="n">
        <v>2</v>
      </c>
      <c r="D2983" s="1" t="n">
        <v>473.03</v>
      </c>
    </row>
    <row r="2984" customFormat="false" ht="14.25" hidden="false" customHeight="true" outlineLevel="0" collapsed="false">
      <c r="A2984" s="51" t="n">
        <v>16376</v>
      </c>
      <c r="B2984" s="52" t="n">
        <v>40878.4847222222</v>
      </c>
      <c r="C2984" s="1" t="n">
        <v>3</v>
      </c>
      <c r="D2984" s="1" t="n">
        <v>977.520000000001</v>
      </c>
    </row>
    <row r="2985" customFormat="false" ht="14.25" hidden="false" customHeight="true" outlineLevel="0" collapsed="false">
      <c r="A2985" s="51" t="n">
        <v>16377</v>
      </c>
      <c r="B2985" s="52" t="n">
        <v>40619.6534722222</v>
      </c>
      <c r="C2985" s="1" t="n">
        <v>1</v>
      </c>
      <c r="D2985" s="1" t="n">
        <v>676.2</v>
      </c>
    </row>
    <row r="2986" customFormat="false" ht="14.25" hidden="false" customHeight="true" outlineLevel="0" collapsed="false">
      <c r="A2986" s="51" t="n">
        <v>16378</v>
      </c>
      <c r="B2986" s="52" t="n">
        <v>40639.6298611111</v>
      </c>
      <c r="C2986" s="1" t="n">
        <v>3</v>
      </c>
      <c r="D2986" s="1" t="n">
        <v>362.95</v>
      </c>
    </row>
    <row r="2987" customFormat="false" ht="14.25" hidden="false" customHeight="true" outlineLevel="0" collapsed="false">
      <c r="A2987" s="51" t="n">
        <v>16379</v>
      </c>
      <c r="B2987" s="52" t="n">
        <v>40882.6513888889</v>
      </c>
      <c r="C2987" s="1" t="n">
        <v>5</v>
      </c>
      <c r="D2987" s="1" t="n">
        <v>2131.9</v>
      </c>
    </row>
    <row r="2988" customFormat="false" ht="14.25" hidden="false" customHeight="true" outlineLevel="0" collapsed="false">
      <c r="A2988" s="51" t="n">
        <v>16380</v>
      </c>
      <c r="B2988" s="52" t="n">
        <v>40825.6527777778</v>
      </c>
      <c r="C2988" s="1" t="n">
        <v>1</v>
      </c>
      <c r="D2988" s="1" t="n">
        <v>1780.59</v>
      </c>
    </row>
    <row r="2989" customFormat="false" ht="14.25" hidden="false" customHeight="true" outlineLevel="0" collapsed="false">
      <c r="A2989" s="51" t="n">
        <v>16383</v>
      </c>
      <c r="B2989" s="52" t="n">
        <v>40812.53125</v>
      </c>
      <c r="C2989" s="1" t="n">
        <v>2</v>
      </c>
      <c r="D2989" s="1" t="n">
        <v>668.36</v>
      </c>
    </row>
    <row r="2990" customFormat="false" ht="14.25" hidden="false" customHeight="true" outlineLevel="0" collapsed="false">
      <c r="A2990" s="51" t="n">
        <v>16384</v>
      </c>
      <c r="B2990" s="52" t="n">
        <v>40797.4715277778</v>
      </c>
      <c r="C2990" s="1" t="n">
        <v>2</v>
      </c>
      <c r="D2990" s="1" t="n">
        <v>584.5</v>
      </c>
    </row>
    <row r="2991" customFormat="false" ht="14.25" hidden="false" customHeight="true" outlineLevel="0" collapsed="false">
      <c r="A2991" s="51" t="n">
        <v>16385</v>
      </c>
      <c r="B2991" s="52" t="n">
        <v>40826.55</v>
      </c>
      <c r="C2991" s="1" t="n">
        <v>3</v>
      </c>
      <c r="D2991" s="1" t="n">
        <v>555.89</v>
      </c>
    </row>
    <row r="2992" customFormat="false" ht="14.25" hidden="false" customHeight="true" outlineLevel="0" collapsed="false">
      <c r="A2992" s="51" t="n">
        <v>16386</v>
      </c>
      <c r="B2992" s="52" t="n">
        <v>40858.5194444444</v>
      </c>
      <c r="C2992" s="1" t="n">
        <v>2</v>
      </c>
      <c r="D2992" s="1" t="n">
        <v>317.2</v>
      </c>
    </row>
    <row r="2993" customFormat="false" ht="14.25" hidden="false" customHeight="true" outlineLevel="0" collapsed="false">
      <c r="A2993" s="51" t="n">
        <v>16387</v>
      </c>
      <c r="B2993" s="52" t="n">
        <v>40564.4819444444</v>
      </c>
      <c r="C2993" s="1" t="n">
        <v>1</v>
      </c>
      <c r="D2993" s="1" t="n">
        <v>94.36</v>
      </c>
    </row>
    <row r="2994" customFormat="false" ht="14.25" hidden="false" customHeight="true" outlineLevel="0" collapsed="false">
      <c r="A2994" s="51" t="n">
        <v>16389</v>
      </c>
      <c r="B2994" s="52" t="n">
        <v>40833.6118055556</v>
      </c>
      <c r="C2994" s="1" t="n">
        <v>5</v>
      </c>
      <c r="D2994" s="1" t="n">
        <v>1362.27</v>
      </c>
    </row>
    <row r="2995" customFormat="false" ht="14.25" hidden="false" customHeight="true" outlineLevel="0" collapsed="false">
      <c r="A2995" s="51" t="n">
        <v>16392</v>
      </c>
      <c r="B2995" s="52" t="n">
        <v>40617.5076388889</v>
      </c>
      <c r="C2995" s="1" t="n">
        <v>1</v>
      </c>
      <c r="D2995" s="1" t="n">
        <v>221.19</v>
      </c>
    </row>
    <row r="2996" customFormat="false" ht="14.25" hidden="false" customHeight="true" outlineLevel="0" collapsed="false">
      <c r="A2996" s="51" t="n">
        <v>16393</v>
      </c>
      <c r="B2996" s="52" t="n">
        <v>40884.5354166667</v>
      </c>
      <c r="C2996" s="1" t="n">
        <v>20</v>
      </c>
      <c r="D2996" s="1" t="n">
        <v>2941.05</v>
      </c>
    </row>
    <row r="2997" customFormat="false" ht="14.25" hidden="false" customHeight="true" outlineLevel="0" collapsed="false">
      <c r="A2997" s="51" t="n">
        <v>16394</v>
      </c>
      <c r="B2997" s="52" t="n">
        <v>40836.8027777778</v>
      </c>
      <c r="C2997" s="1" t="n">
        <v>9</v>
      </c>
      <c r="D2997" s="1" t="n">
        <v>1412.06</v>
      </c>
    </row>
    <row r="2998" customFormat="false" ht="14.25" hidden="false" customHeight="true" outlineLevel="0" collapsed="false">
      <c r="A2998" s="51" t="n">
        <v>16395</v>
      </c>
      <c r="B2998" s="52" t="n">
        <v>40826.5347222222</v>
      </c>
      <c r="C2998" s="1" t="n">
        <v>5</v>
      </c>
      <c r="D2998" s="1" t="n">
        <v>1486.9</v>
      </c>
    </row>
    <row r="2999" customFormat="false" ht="14.25" hidden="false" customHeight="true" outlineLevel="0" collapsed="false">
      <c r="A2999" s="51" t="n">
        <v>16398</v>
      </c>
      <c r="B2999" s="52" t="n">
        <v>40742.4263888889</v>
      </c>
      <c r="C2999" s="1" t="n">
        <v>4</v>
      </c>
      <c r="D2999" s="1" t="n">
        <v>1631.15</v>
      </c>
    </row>
    <row r="3000" customFormat="false" ht="14.25" hidden="false" customHeight="true" outlineLevel="0" collapsed="false">
      <c r="A3000" s="51" t="n">
        <v>16399</v>
      </c>
      <c r="B3000" s="52" t="n">
        <v>40867.675</v>
      </c>
      <c r="C3000" s="1" t="n">
        <v>2</v>
      </c>
      <c r="D3000" s="1" t="n">
        <v>408.57</v>
      </c>
    </row>
    <row r="3001" customFormat="false" ht="14.25" hidden="false" customHeight="true" outlineLevel="0" collapsed="false">
      <c r="A3001" s="51" t="n">
        <v>16400</v>
      </c>
      <c r="B3001" s="52" t="n">
        <v>40792.51875</v>
      </c>
      <c r="C3001" s="1" t="n">
        <v>1</v>
      </c>
      <c r="D3001" s="1" t="n">
        <v>303.93</v>
      </c>
    </row>
    <row r="3002" customFormat="false" ht="14.25" hidden="false" customHeight="true" outlineLevel="0" collapsed="false">
      <c r="A3002" s="51" t="n">
        <v>16401</v>
      </c>
      <c r="B3002" s="52" t="n">
        <v>40885.7604166667</v>
      </c>
      <c r="C3002" s="1" t="n">
        <v>20</v>
      </c>
      <c r="D3002" s="1" t="n">
        <v>4061.24</v>
      </c>
    </row>
    <row r="3003" customFormat="false" ht="14.25" hidden="false" customHeight="true" outlineLevel="0" collapsed="false">
      <c r="A3003" s="51" t="n">
        <v>16402</v>
      </c>
      <c r="B3003" s="52" t="n">
        <v>40622.5173611111</v>
      </c>
      <c r="C3003" s="1" t="n">
        <v>2</v>
      </c>
      <c r="D3003" s="1" t="n">
        <v>299.6</v>
      </c>
    </row>
    <row r="3004" customFormat="false" ht="14.25" hidden="false" customHeight="true" outlineLevel="0" collapsed="false">
      <c r="A3004" s="51" t="n">
        <v>16403</v>
      </c>
      <c r="B3004" s="52" t="n">
        <v>40584.6944444445</v>
      </c>
      <c r="C3004" s="1" t="n">
        <v>2</v>
      </c>
      <c r="D3004" s="1" t="n">
        <v>161.05</v>
      </c>
    </row>
    <row r="3005" customFormat="false" ht="14.25" hidden="false" customHeight="true" outlineLevel="0" collapsed="false">
      <c r="A3005" s="51" t="n">
        <v>16404</v>
      </c>
      <c r="B3005" s="52" t="n">
        <v>40816.6215277778</v>
      </c>
      <c r="C3005" s="1" t="n">
        <v>1</v>
      </c>
      <c r="D3005" s="1" t="n">
        <v>443.05</v>
      </c>
    </row>
    <row r="3006" customFormat="false" ht="14.25" hidden="false" customHeight="true" outlineLevel="0" collapsed="false">
      <c r="A3006" s="51" t="n">
        <v>16405</v>
      </c>
      <c r="B3006" s="52" t="n">
        <v>40584.6416666667</v>
      </c>
      <c r="C3006" s="1" t="n">
        <v>2</v>
      </c>
      <c r="D3006" s="1" t="n">
        <v>167.25</v>
      </c>
    </row>
    <row r="3007" customFormat="false" ht="14.25" hidden="false" customHeight="true" outlineLevel="0" collapsed="false">
      <c r="A3007" s="51" t="n">
        <v>16406</v>
      </c>
      <c r="B3007" s="52" t="n">
        <v>40868.4979166667</v>
      </c>
      <c r="C3007" s="1" t="n">
        <v>1</v>
      </c>
      <c r="D3007" s="1" t="n">
        <v>163.07</v>
      </c>
    </row>
    <row r="3008" customFormat="false" ht="14.25" hidden="false" customHeight="true" outlineLevel="0" collapsed="false">
      <c r="A3008" s="51" t="n">
        <v>16407</v>
      </c>
      <c r="B3008" s="52" t="n">
        <v>40874.4618055556</v>
      </c>
      <c r="C3008" s="1" t="n">
        <v>10</v>
      </c>
      <c r="D3008" s="1" t="n">
        <v>2126.93</v>
      </c>
    </row>
    <row r="3009" customFormat="false" ht="14.25" hidden="false" customHeight="true" outlineLevel="0" collapsed="false">
      <c r="A3009" s="51" t="n">
        <v>16409</v>
      </c>
      <c r="B3009" s="52" t="n">
        <v>40850.6979166667</v>
      </c>
      <c r="C3009" s="1" t="n">
        <v>5</v>
      </c>
      <c r="D3009" s="1" t="n">
        <v>2028.88</v>
      </c>
    </row>
    <row r="3010" customFormat="false" ht="14.25" hidden="false" customHeight="true" outlineLevel="0" collapsed="false">
      <c r="A3010" s="51" t="n">
        <v>16411</v>
      </c>
      <c r="B3010" s="52" t="n">
        <v>40867.5576388889</v>
      </c>
      <c r="C3010" s="1" t="n">
        <v>2</v>
      </c>
      <c r="D3010" s="1" t="n">
        <v>214.65</v>
      </c>
    </row>
    <row r="3011" customFormat="false" ht="14.25" hidden="false" customHeight="true" outlineLevel="0" collapsed="false">
      <c r="A3011" s="51" t="n">
        <v>16412</v>
      </c>
      <c r="B3011" s="52" t="n">
        <v>40833.5243055556</v>
      </c>
      <c r="C3011" s="1" t="n">
        <v>1</v>
      </c>
      <c r="D3011" s="1" t="n">
        <v>151.83</v>
      </c>
    </row>
    <row r="3012" customFormat="false" ht="14.25" hidden="false" customHeight="true" outlineLevel="0" collapsed="false">
      <c r="A3012" s="51" t="n">
        <v>16413</v>
      </c>
      <c r="B3012" s="52" t="n">
        <v>40830.5055555556</v>
      </c>
      <c r="C3012" s="1" t="n">
        <v>1</v>
      </c>
      <c r="D3012" s="1" t="n">
        <v>262.2</v>
      </c>
    </row>
    <row r="3013" customFormat="false" ht="14.25" hidden="false" customHeight="true" outlineLevel="0" collapsed="false">
      <c r="A3013" s="51" t="n">
        <v>16414</v>
      </c>
      <c r="B3013" s="52" t="n">
        <v>40865.4041666667</v>
      </c>
      <c r="C3013" s="1" t="n">
        <v>2</v>
      </c>
      <c r="D3013" s="1" t="n">
        <v>126.25</v>
      </c>
    </row>
    <row r="3014" customFormat="false" ht="14.25" hidden="false" customHeight="true" outlineLevel="0" collapsed="false">
      <c r="A3014" s="51" t="n">
        <v>16415</v>
      </c>
      <c r="B3014" s="52" t="n">
        <v>40842.5659722222</v>
      </c>
      <c r="C3014" s="1" t="n">
        <v>1</v>
      </c>
      <c r="D3014" s="1" t="n">
        <v>210.35</v>
      </c>
    </row>
    <row r="3015" customFormat="false" ht="14.25" hidden="false" customHeight="true" outlineLevel="0" collapsed="false">
      <c r="A3015" s="51" t="n">
        <v>16416</v>
      </c>
      <c r="B3015" s="52" t="n">
        <v>40860.5347222222</v>
      </c>
      <c r="C3015" s="1" t="n">
        <v>4</v>
      </c>
      <c r="D3015" s="1" t="n">
        <v>1026.99</v>
      </c>
    </row>
    <row r="3016" customFormat="false" ht="14.25" hidden="false" customHeight="true" outlineLevel="0" collapsed="false">
      <c r="A3016" s="51" t="n">
        <v>16418</v>
      </c>
      <c r="B3016" s="52" t="n">
        <v>40842.5270833333</v>
      </c>
      <c r="C3016" s="1" t="n">
        <v>3</v>
      </c>
      <c r="D3016" s="1" t="n">
        <v>675.27</v>
      </c>
    </row>
    <row r="3017" customFormat="false" ht="14.25" hidden="false" customHeight="true" outlineLevel="0" collapsed="false">
      <c r="A3017" s="51" t="n">
        <v>16419</v>
      </c>
      <c r="B3017" s="52" t="n">
        <v>40774.5229166667</v>
      </c>
      <c r="C3017" s="1" t="n">
        <v>7</v>
      </c>
      <c r="D3017" s="1" t="n">
        <v>959.48</v>
      </c>
    </row>
    <row r="3018" customFormat="false" ht="14.25" hidden="false" customHeight="true" outlineLevel="0" collapsed="false">
      <c r="A3018" s="51" t="n">
        <v>16422</v>
      </c>
      <c r="B3018" s="52" t="n">
        <v>40869.5833333333</v>
      </c>
      <c r="C3018" s="1" t="n">
        <v>75</v>
      </c>
      <c r="D3018" s="1" t="n">
        <v>33805.69</v>
      </c>
    </row>
    <row r="3019" customFormat="false" ht="14.25" hidden="false" customHeight="true" outlineLevel="0" collapsed="false">
      <c r="A3019" s="51" t="n">
        <v>16423</v>
      </c>
      <c r="B3019" s="52" t="n">
        <v>40862.3895833333</v>
      </c>
      <c r="C3019" s="1" t="n">
        <v>1</v>
      </c>
      <c r="D3019" s="1" t="n">
        <v>346.12</v>
      </c>
    </row>
    <row r="3020" customFormat="false" ht="14.25" hidden="false" customHeight="true" outlineLevel="0" collapsed="false">
      <c r="A3020" s="51" t="n">
        <v>16424</v>
      </c>
      <c r="B3020" s="52" t="n">
        <v>40695.5694444445</v>
      </c>
      <c r="C3020" s="1" t="n">
        <v>2</v>
      </c>
      <c r="D3020" s="1" t="n">
        <v>82.56</v>
      </c>
    </row>
    <row r="3021" customFormat="false" ht="14.25" hidden="false" customHeight="true" outlineLevel="0" collapsed="false">
      <c r="A3021" s="51" t="n">
        <v>16425</v>
      </c>
      <c r="B3021" s="52" t="n">
        <v>40584.6041666667</v>
      </c>
      <c r="C3021" s="1" t="n">
        <v>1</v>
      </c>
      <c r="D3021" s="1" t="n">
        <v>302.7</v>
      </c>
    </row>
    <row r="3022" customFormat="false" ht="14.25" hidden="false" customHeight="true" outlineLevel="0" collapsed="false">
      <c r="A3022" s="51" t="n">
        <v>16426</v>
      </c>
      <c r="B3022" s="52" t="n">
        <v>40884.5840277778</v>
      </c>
      <c r="C3022" s="1" t="n">
        <v>10</v>
      </c>
      <c r="D3022" s="1" t="n">
        <v>1908.25</v>
      </c>
    </row>
    <row r="3023" customFormat="false" ht="14.25" hidden="false" customHeight="true" outlineLevel="0" collapsed="false">
      <c r="A3023" s="51" t="n">
        <v>16427</v>
      </c>
      <c r="B3023" s="52" t="n">
        <v>40623.7152777778</v>
      </c>
      <c r="C3023" s="1" t="n">
        <v>2</v>
      </c>
      <c r="D3023" s="1" t="n">
        <v>241.06</v>
      </c>
    </row>
    <row r="3024" customFormat="false" ht="14.25" hidden="false" customHeight="true" outlineLevel="0" collapsed="false">
      <c r="A3024" s="51" t="n">
        <v>16428</v>
      </c>
      <c r="B3024" s="52" t="n">
        <v>40805.6881944445</v>
      </c>
      <c r="C3024" s="1" t="n">
        <v>1</v>
      </c>
      <c r="D3024" s="1" t="n">
        <v>-2.95</v>
      </c>
    </row>
    <row r="3025" customFormat="false" ht="14.25" hidden="false" customHeight="true" outlineLevel="0" collapsed="false">
      <c r="A3025" s="51" t="n">
        <v>16429</v>
      </c>
      <c r="B3025" s="52" t="n">
        <v>40780.5791666667</v>
      </c>
      <c r="C3025" s="1" t="n">
        <v>1</v>
      </c>
      <c r="D3025" s="1" t="n">
        <v>284.55</v>
      </c>
    </row>
    <row r="3026" customFormat="false" ht="14.25" hidden="false" customHeight="true" outlineLevel="0" collapsed="false">
      <c r="A3026" s="51" t="n">
        <v>16430</v>
      </c>
      <c r="B3026" s="52" t="n">
        <v>40829.6159722222</v>
      </c>
      <c r="C3026" s="1" t="n">
        <v>1</v>
      </c>
      <c r="D3026" s="1" t="n">
        <v>300.85</v>
      </c>
    </row>
    <row r="3027" customFormat="false" ht="14.25" hidden="false" customHeight="true" outlineLevel="0" collapsed="false">
      <c r="A3027" s="51" t="n">
        <v>16431</v>
      </c>
      <c r="B3027" s="52" t="n">
        <v>40673.5895833333</v>
      </c>
      <c r="C3027" s="1" t="n">
        <v>3</v>
      </c>
      <c r="D3027" s="1" t="n">
        <v>642.81</v>
      </c>
    </row>
    <row r="3028" customFormat="false" ht="14.25" hidden="false" customHeight="true" outlineLevel="0" collapsed="false">
      <c r="A3028" s="51" t="n">
        <v>16432</v>
      </c>
      <c r="B3028" s="52" t="n">
        <v>40822.5826388889</v>
      </c>
      <c r="C3028" s="1" t="n">
        <v>1</v>
      </c>
      <c r="D3028" s="1" t="n">
        <v>287.4</v>
      </c>
    </row>
    <row r="3029" customFormat="false" ht="14.25" hidden="false" customHeight="true" outlineLevel="0" collapsed="false">
      <c r="A3029" s="51" t="n">
        <v>16433</v>
      </c>
      <c r="B3029" s="52" t="n">
        <v>40858.5895833333</v>
      </c>
      <c r="C3029" s="1" t="n">
        <v>1</v>
      </c>
      <c r="D3029" s="1" t="n">
        <v>184.26</v>
      </c>
    </row>
    <row r="3030" customFormat="false" ht="14.25" hidden="false" customHeight="true" outlineLevel="0" collapsed="false">
      <c r="A3030" s="51" t="n">
        <v>16434</v>
      </c>
      <c r="B3030" s="52" t="n">
        <v>40857.6027777778</v>
      </c>
      <c r="C3030" s="1" t="n">
        <v>7</v>
      </c>
      <c r="D3030" s="1" t="n">
        <v>1522.25</v>
      </c>
    </row>
    <row r="3031" customFormat="false" ht="14.25" hidden="false" customHeight="true" outlineLevel="0" collapsed="false">
      <c r="A3031" s="51" t="n">
        <v>16438</v>
      </c>
      <c r="B3031" s="52" t="n">
        <v>40881.4520833333</v>
      </c>
      <c r="C3031" s="1" t="n">
        <v>5</v>
      </c>
      <c r="D3031" s="1" t="n">
        <v>798.35</v>
      </c>
    </row>
    <row r="3032" customFormat="false" ht="14.25" hidden="false" customHeight="true" outlineLevel="0" collapsed="false">
      <c r="A3032" s="51" t="n">
        <v>16440</v>
      </c>
      <c r="B3032" s="52" t="n">
        <v>40879.5013888889</v>
      </c>
      <c r="C3032" s="1" t="n">
        <v>5</v>
      </c>
      <c r="D3032" s="1" t="n">
        <v>3640.67</v>
      </c>
    </row>
    <row r="3033" customFormat="false" ht="14.25" hidden="false" customHeight="true" outlineLevel="0" collapsed="false">
      <c r="A3033" s="51" t="n">
        <v>16441</v>
      </c>
      <c r="B3033" s="52" t="n">
        <v>40819.7416666667</v>
      </c>
      <c r="C3033" s="1" t="n">
        <v>2</v>
      </c>
      <c r="D3033" s="1" t="n">
        <v>381.2</v>
      </c>
    </row>
    <row r="3034" customFormat="false" ht="14.25" hidden="false" customHeight="true" outlineLevel="0" collapsed="false">
      <c r="A3034" s="51" t="n">
        <v>16442</v>
      </c>
      <c r="B3034" s="52" t="n">
        <v>40885.4881944444</v>
      </c>
      <c r="C3034" s="1" t="n">
        <v>3</v>
      </c>
      <c r="D3034" s="1" t="n">
        <v>616.79</v>
      </c>
    </row>
    <row r="3035" customFormat="false" ht="14.25" hidden="false" customHeight="true" outlineLevel="0" collapsed="false">
      <c r="A3035" s="51" t="n">
        <v>16444</v>
      </c>
      <c r="B3035" s="52" t="n">
        <v>40840.5763888889</v>
      </c>
      <c r="C3035" s="1" t="n">
        <v>5</v>
      </c>
      <c r="D3035" s="1" t="n">
        <v>638.77</v>
      </c>
    </row>
    <row r="3036" customFormat="false" ht="14.25" hidden="false" customHeight="true" outlineLevel="0" collapsed="false">
      <c r="A3036" s="51" t="n">
        <v>16445</v>
      </c>
      <c r="B3036" s="52" t="n">
        <v>40853.5222222222</v>
      </c>
      <c r="C3036" s="1" t="n">
        <v>1</v>
      </c>
      <c r="D3036" s="1" t="n">
        <v>230.51</v>
      </c>
    </row>
    <row r="3037" customFormat="false" ht="14.25" hidden="false" customHeight="true" outlineLevel="0" collapsed="false">
      <c r="A3037" s="51" t="n">
        <v>16446</v>
      </c>
      <c r="B3037" s="52" t="n">
        <v>40886.39375</v>
      </c>
      <c r="C3037" s="1" t="n">
        <v>3</v>
      </c>
      <c r="D3037" s="1" t="n">
        <v>2.89999999999418</v>
      </c>
    </row>
    <row r="3038" customFormat="false" ht="14.25" hidden="false" customHeight="true" outlineLevel="0" collapsed="false">
      <c r="A3038" s="51" t="n">
        <v>16447</v>
      </c>
      <c r="B3038" s="52" t="n">
        <v>40751.53125</v>
      </c>
      <c r="C3038" s="1" t="n">
        <v>1</v>
      </c>
      <c r="D3038" s="1" t="n">
        <v>259.01</v>
      </c>
    </row>
    <row r="3039" customFormat="false" ht="14.25" hidden="false" customHeight="true" outlineLevel="0" collapsed="false">
      <c r="A3039" s="51" t="n">
        <v>16448</v>
      </c>
      <c r="B3039" s="52" t="n">
        <v>40688.6861111111</v>
      </c>
      <c r="C3039" s="1" t="n">
        <v>1</v>
      </c>
      <c r="D3039" s="1" t="n">
        <v>188.89</v>
      </c>
    </row>
    <row r="3040" customFormat="false" ht="14.25" hidden="false" customHeight="true" outlineLevel="0" collapsed="false">
      <c r="A3040" s="51" t="n">
        <v>16449</v>
      </c>
      <c r="B3040" s="52" t="n">
        <v>40696.4631944444</v>
      </c>
      <c r="C3040" s="1" t="n">
        <v>3</v>
      </c>
      <c r="D3040" s="1" t="n">
        <v>674.69</v>
      </c>
    </row>
    <row r="3041" customFormat="false" ht="14.25" hidden="false" customHeight="true" outlineLevel="0" collapsed="false">
      <c r="A3041" s="51" t="n">
        <v>16450</v>
      </c>
      <c r="B3041" s="52" t="n">
        <v>40737.4909722222</v>
      </c>
      <c r="C3041" s="1" t="n">
        <v>1</v>
      </c>
      <c r="D3041" s="1" t="n">
        <v>311.92</v>
      </c>
    </row>
    <row r="3042" customFormat="false" ht="14.25" hidden="false" customHeight="true" outlineLevel="0" collapsed="false">
      <c r="A3042" s="51" t="n">
        <v>16451</v>
      </c>
      <c r="B3042" s="52" t="n">
        <v>40799.3868055556</v>
      </c>
      <c r="C3042" s="1" t="n">
        <v>1</v>
      </c>
      <c r="D3042" s="1" t="n">
        <v>266.97</v>
      </c>
    </row>
    <row r="3043" customFormat="false" ht="14.25" hidden="false" customHeight="true" outlineLevel="0" collapsed="false">
      <c r="A3043" s="51" t="n">
        <v>16454</v>
      </c>
      <c r="B3043" s="52" t="n">
        <v>40842.4861111111</v>
      </c>
      <c r="C3043" s="1" t="n">
        <v>3</v>
      </c>
      <c r="D3043" s="1" t="n">
        <v>-8.15</v>
      </c>
    </row>
    <row r="3044" customFormat="false" ht="14.25" hidden="false" customHeight="true" outlineLevel="0" collapsed="false">
      <c r="A3044" s="51" t="n">
        <v>16455</v>
      </c>
      <c r="B3044" s="52" t="n">
        <v>40823.5118055556</v>
      </c>
      <c r="C3044" s="1" t="n">
        <v>7</v>
      </c>
      <c r="D3044" s="1" t="n">
        <v>1841.18</v>
      </c>
    </row>
    <row r="3045" customFormat="false" ht="14.25" hidden="false" customHeight="true" outlineLevel="0" collapsed="false">
      <c r="A3045" s="51" t="n">
        <v>16456</v>
      </c>
      <c r="B3045" s="52" t="n">
        <v>40787.5763888889</v>
      </c>
      <c r="C3045" s="1" t="n">
        <v>5</v>
      </c>
      <c r="D3045" s="1" t="n">
        <v>2158.37</v>
      </c>
    </row>
    <row r="3046" customFormat="false" ht="14.25" hidden="false" customHeight="true" outlineLevel="0" collapsed="false">
      <c r="A3046" s="51" t="n">
        <v>16457</v>
      </c>
      <c r="B3046" s="52" t="n">
        <v>40668.5548611111</v>
      </c>
      <c r="C3046" s="1" t="n">
        <v>1</v>
      </c>
      <c r="D3046" s="1" t="n">
        <v>208.36</v>
      </c>
    </row>
    <row r="3047" customFormat="false" ht="14.25" hidden="false" customHeight="true" outlineLevel="0" collapsed="false">
      <c r="A3047" s="51" t="n">
        <v>16458</v>
      </c>
      <c r="B3047" s="52" t="n">
        <v>40884.3986111111</v>
      </c>
      <c r="C3047" s="1" t="n">
        <v>18</v>
      </c>
      <c r="D3047" s="1" t="n">
        <v>3482.74</v>
      </c>
    </row>
    <row r="3048" customFormat="false" ht="14.25" hidden="false" customHeight="true" outlineLevel="0" collapsed="false">
      <c r="A3048" s="51" t="n">
        <v>16460</v>
      </c>
      <c r="B3048" s="52" t="n">
        <v>40858.5736111111</v>
      </c>
      <c r="C3048" s="1" t="n">
        <v>3</v>
      </c>
      <c r="D3048" s="1" t="n">
        <v>814.72</v>
      </c>
    </row>
    <row r="3049" customFormat="false" ht="14.25" hidden="false" customHeight="true" outlineLevel="0" collapsed="false">
      <c r="A3049" s="51" t="n">
        <v>16461</v>
      </c>
      <c r="B3049" s="52" t="n">
        <v>40709.5048611111</v>
      </c>
      <c r="C3049" s="1" t="n">
        <v>1</v>
      </c>
      <c r="D3049" s="1" t="n">
        <v>151.42</v>
      </c>
    </row>
    <row r="3050" customFormat="false" ht="14.25" hidden="false" customHeight="true" outlineLevel="0" collapsed="false">
      <c r="A3050" s="51" t="n">
        <v>16462</v>
      </c>
      <c r="B3050" s="52" t="n">
        <v>40822.7611111111</v>
      </c>
      <c r="C3050" s="1" t="n">
        <v>4</v>
      </c>
      <c r="D3050" s="1" t="n">
        <v>102</v>
      </c>
    </row>
    <row r="3051" customFormat="false" ht="14.25" hidden="false" customHeight="true" outlineLevel="0" collapsed="false">
      <c r="A3051" s="51" t="n">
        <v>16463</v>
      </c>
      <c r="B3051" s="52" t="n">
        <v>40865.5840277778</v>
      </c>
      <c r="C3051" s="1" t="n">
        <v>7</v>
      </c>
      <c r="D3051" s="1" t="n">
        <v>1383.7</v>
      </c>
    </row>
    <row r="3052" customFormat="false" ht="14.25" hidden="false" customHeight="true" outlineLevel="0" collapsed="false">
      <c r="A3052" s="51" t="n">
        <v>16464</v>
      </c>
      <c r="B3052" s="52" t="n">
        <v>40867.5076388889</v>
      </c>
      <c r="C3052" s="1" t="n">
        <v>3</v>
      </c>
      <c r="D3052" s="1" t="n">
        <v>1314.68</v>
      </c>
    </row>
    <row r="3053" customFormat="false" ht="14.25" hidden="false" customHeight="true" outlineLevel="0" collapsed="false">
      <c r="A3053" s="51" t="n">
        <v>16466</v>
      </c>
      <c r="B3053" s="52" t="n">
        <v>40853.4826388889</v>
      </c>
      <c r="C3053" s="1" t="n">
        <v>7</v>
      </c>
      <c r="D3053" s="1" t="n">
        <v>1603.46</v>
      </c>
    </row>
    <row r="3054" customFormat="false" ht="14.25" hidden="false" customHeight="true" outlineLevel="0" collapsed="false">
      <c r="A3054" s="51" t="n">
        <v>16468</v>
      </c>
      <c r="B3054" s="52" t="n">
        <v>40812.5923611111</v>
      </c>
      <c r="C3054" s="1" t="n">
        <v>1</v>
      </c>
      <c r="D3054" s="1" t="n">
        <v>74.9</v>
      </c>
    </row>
    <row r="3055" customFormat="false" ht="14.25" hidden="false" customHeight="true" outlineLevel="0" collapsed="false">
      <c r="A3055" s="51" t="n">
        <v>16469</v>
      </c>
      <c r="B3055" s="52" t="n">
        <v>40863.5173611111</v>
      </c>
      <c r="C3055" s="1" t="n">
        <v>4</v>
      </c>
      <c r="D3055" s="1" t="n">
        <v>650.43</v>
      </c>
    </row>
    <row r="3056" customFormat="false" ht="14.25" hidden="false" customHeight="true" outlineLevel="0" collapsed="false">
      <c r="A3056" s="51" t="n">
        <v>16470</v>
      </c>
      <c r="B3056" s="52" t="n">
        <v>40835.5076388889</v>
      </c>
      <c r="C3056" s="1" t="n">
        <v>5</v>
      </c>
      <c r="D3056" s="1" t="n">
        <v>757.44</v>
      </c>
    </row>
    <row r="3057" customFormat="false" ht="14.25" hidden="false" customHeight="true" outlineLevel="0" collapsed="false">
      <c r="A3057" s="51" t="n">
        <v>16471</v>
      </c>
      <c r="B3057" s="52" t="n">
        <v>40612.4034722222</v>
      </c>
      <c r="C3057" s="1" t="n">
        <v>1</v>
      </c>
      <c r="D3057" s="1" t="n">
        <v>223.95</v>
      </c>
    </row>
    <row r="3058" customFormat="false" ht="14.25" hidden="false" customHeight="true" outlineLevel="0" collapsed="false">
      <c r="A3058" s="51" t="n">
        <v>16473</v>
      </c>
      <c r="B3058" s="52" t="n">
        <v>40722.3819444445</v>
      </c>
      <c r="C3058" s="1" t="n">
        <v>4</v>
      </c>
      <c r="D3058" s="1" t="n">
        <v>314.86</v>
      </c>
    </row>
    <row r="3059" customFormat="false" ht="14.25" hidden="false" customHeight="true" outlineLevel="0" collapsed="false">
      <c r="A3059" s="51" t="n">
        <v>16474</v>
      </c>
      <c r="B3059" s="52" t="n">
        <v>40879.5430555556</v>
      </c>
      <c r="C3059" s="1" t="n">
        <v>11</v>
      </c>
      <c r="D3059" s="1" t="n">
        <v>1811.47</v>
      </c>
    </row>
    <row r="3060" customFormat="false" ht="14.25" hidden="false" customHeight="true" outlineLevel="0" collapsed="false">
      <c r="A3060" s="51" t="n">
        <v>16475</v>
      </c>
      <c r="B3060" s="52" t="n">
        <v>40798.6090277778</v>
      </c>
      <c r="C3060" s="1" t="n">
        <v>4</v>
      </c>
      <c r="D3060" s="1" t="n">
        <v>544.3</v>
      </c>
    </row>
    <row r="3061" customFormat="false" ht="14.25" hidden="false" customHeight="true" outlineLevel="0" collapsed="false">
      <c r="A3061" s="51" t="n">
        <v>16477</v>
      </c>
      <c r="B3061" s="52" t="n">
        <v>40823.4055555556</v>
      </c>
      <c r="C3061" s="1" t="n">
        <v>7</v>
      </c>
      <c r="D3061" s="1" t="n">
        <v>2494.46</v>
      </c>
    </row>
    <row r="3062" customFormat="false" ht="14.25" hidden="false" customHeight="true" outlineLevel="0" collapsed="false">
      <c r="A3062" s="51" t="n">
        <v>16478</v>
      </c>
      <c r="B3062" s="52" t="n">
        <v>40861.6604166667</v>
      </c>
      <c r="C3062" s="1" t="n">
        <v>3</v>
      </c>
      <c r="D3062" s="1" t="n">
        <v>331</v>
      </c>
    </row>
    <row r="3063" customFormat="false" ht="14.25" hidden="false" customHeight="true" outlineLevel="0" collapsed="false">
      <c r="A3063" s="51" t="n">
        <v>16479</v>
      </c>
      <c r="B3063" s="52" t="n">
        <v>40876.5694444445</v>
      </c>
      <c r="C3063" s="1" t="n">
        <v>2</v>
      </c>
      <c r="D3063" s="1" t="n">
        <v>300.83</v>
      </c>
    </row>
    <row r="3064" customFormat="false" ht="14.25" hidden="false" customHeight="true" outlineLevel="0" collapsed="false">
      <c r="A3064" s="51" t="n">
        <v>16480</v>
      </c>
      <c r="B3064" s="52" t="n">
        <v>40811.4861111111</v>
      </c>
      <c r="C3064" s="1" t="n">
        <v>1</v>
      </c>
      <c r="D3064" s="1" t="n">
        <v>769.29</v>
      </c>
    </row>
    <row r="3065" customFormat="false" ht="14.25" hidden="false" customHeight="true" outlineLevel="0" collapsed="false">
      <c r="A3065" s="51" t="n">
        <v>16482</v>
      </c>
      <c r="B3065" s="52" t="n">
        <v>40871.5229166667</v>
      </c>
      <c r="C3065" s="1" t="n">
        <v>1</v>
      </c>
      <c r="D3065" s="1" t="n">
        <v>220.62</v>
      </c>
    </row>
    <row r="3066" customFormat="false" ht="14.25" hidden="false" customHeight="true" outlineLevel="0" collapsed="false">
      <c r="A3066" s="51" t="n">
        <v>16483</v>
      </c>
      <c r="B3066" s="52" t="n">
        <v>40694.5472222222</v>
      </c>
      <c r="C3066" s="1" t="n">
        <v>1</v>
      </c>
      <c r="D3066" s="1" t="n">
        <v>139.35</v>
      </c>
    </row>
    <row r="3067" customFormat="false" ht="14.25" hidden="false" customHeight="true" outlineLevel="0" collapsed="false">
      <c r="A3067" s="51" t="n">
        <v>16484</v>
      </c>
      <c r="B3067" s="52" t="n">
        <v>40713.5041666667</v>
      </c>
      <c r="C3067" s="1" t="n">
        <v>3</v>
      </c>
      <c r="D3067" s="1" t="n">
        <v>379.4</v>
      </c>
    </row>
    <row r="3068" customFormat="false" ht="14.25" hidden="false" customHeight="true" outlineLevel="0" collapsed="false">
      <c r="A3068" s="51" t="n">
        <v>16485</v>
      </c>
      <c r="B3068" s="52" t="n">
        <v>40809.6597222222</v>
      </c>
      <c r="C3068" s="1" t="n">
        <v>1</v>
      </c>
      <c r="D3068" s="1" t="n">
        <v>363.65</v>
      </c>
    </row>
    <row r="3069" customFormat="false" ht="14.25" hidden="false" customHeight="true" outlineLevel="0" collapsed="false">
      <c r="A3069" s="51" t="n">
        <v>16488</v>
      </c>
      <c r="B3069" s="52" t="n">
        <v>40853.5708333333</v>
      </c>
      <c r="C3069" s="1" t="n">
        <v>4</v>
      </c>
      <c r="D3069" s="1" t="n">
        <v>492.2</v>
      </c>
    </row>
    <row r="3070" customFormat="false" ht="14.25" hidden="false" customHeight="true" outlineLevel="0" collapsed="false">
      <c r="A3070" s="51" t="n">
        <v>16491</v>
      </c>
      <c r="B3070" s="52" t="n">
        <v>40840.4291666667</v>
      </c>
      <c r="C3070" s="1" t="n">
        <v>1</v>
      </c>
      <c r="D3070" s="1" t="n">
        <v>731.5</v>
      </c>
    </row>
    <row r="3071" customFormat="false" ht="14.25" hidden="false" customHeight="true" outlineLevel="0" collapsed="false">
      <c r="A3071" s="51" t="n">
        <v>16493</v>
      </c>
      <c r="B3071" s="52" t="n">
        <v>40814.4673611111</v>
      </c>
      <c r="C3071" s="1" t="n">
        <v>6</v>
      </c>
      <c r="D3071" s="1" t="n">
        <v>1329.66</v>
      </c>
    </row>
    <row r="3072" customFormat="false" ht="14.25" hidden="false" customHeight="true" outlineLevel="0" collapsed="false">
      <c r="A3072" s="51" t="n">
        <v>16494</v>
      </c>
      <c r="B3072" s="52" t="n">
        <v>40590.5340277778</v>
      </c>
      <c r="C3072" s="1" t="n">
        <v>1</v>
      </c>
      <c r="D3072" s="1" t="n">
        <v>826.53</v>
      </c>
    </row>
    <row r="3073" customFormat="false" ht="14.25" hidden="false" customHeight="true" outlineLevel="0" collapsed="false">
      <c r="A3073" s="51" t="n">
        <v>16495</v>
      </c>
      <c r="B3073" s="52" t="n">
        <v>40883.5555555556</v>
      </c>
      <c r="C3073" s="1" t="n">
        <v>3</v>
      </c>
      <c r="D3073" s="1" t="n">
        <v>684.41</v>
      </c>
    </row>
    <row r="3074" customFormat="false" ht="14.25" hidden="false" customHeight="true" outlineLevel="0" collapsed="false">
      <c r="A3074" s="51" t="n">
        <v>16496</v>
      </c>
      <c r="B3074" s="52" t="n">
        <v>40878.4381944445</v>
      </c>
      <c r="C3074" s="1" t="n">
        <v>4</v>
      </c>
      <c r="D3074" s="1" t="n">
        <v>1562.22</v>
      </c>
    </row>
    <row r="3075" customFormat="false" ht="14.25" hidden="false" customHeight="true" outlineLevel="0" collapsed="false">
      <c r="A3075" s="51" t="n">
        <v>16497</v>
      </c>
      <c r="B3075" s="52" t="n">
        <v>40837.4548611111</v>
      </c>
      <c r="C3075" s="1" t="n">
        <v>6</v>
      </c>
      <c r="D3075" s="1" t="n">
        <v>2965.69</v>
      </c>
    </row>
    <row r="3076" customFormat="false" ht="14.25" hidden="false" customHeight="true" outlineLevel="0" collapsed="false">
      <c r="A3076" s="51" t="n">
        <v>16498</v>
      </c>
      <c r="B3076" s="52" t="n">
        <v>40725.6298611111</v>
      </c>
      <c r="C3076" s="1" t="n">
        <v>3</v>
      </c>
      <c r="D3076" s="1" t="n">
        <v>86.12</v>
      </c>
    </row>
    <row r="3077" customFormat="false" ht="14.25" hidden="false" customHeight="true" outlineLevel="0" collapsed="false">
      <c r="A3077" s="51" t="n">
        <v>16499</v>
      </c>
      <c r="B3077" s="52" t="n">
        <v>40526.6388888889</v>
      </c>
      <c r="C3077" s="1" t="n">
        <v>5</v>
      </c>
      <c r="D3077" s="1" t="n">
        <v>319.1</v>
      </c>
    </row>
    <row r="3078" customFormat="false" ht="14.25" hidden="false" customHeight="true" outlineLevel="0" collapsed="false">
      <c r="A3078" s="51" t="n">
        <v>16500</v>
      </c>
      <c r="B3078" s="52" t="n">
        <v>40882.5027777778</v>
      </c>
      <c r="C3078" s="1" t="n">
        <v>6</v>
      </c>
      <c r="D3078" s="1" t="n">
        <v>400.86</v>
      </c>
    </row>
    <row r="3079" customFormat="false" ht="14.25" hidden="false" customHeight="true" outlineLevel="0" collapsed="false">
      <c r="A3079" s="51" t="n">
        <v>16503</v>
      </c>
      <c r="B3079" s="52" t="n">
        <v>40780.4902777778</v>
      </c>
      <c r="C3079" s="1" t="n">
        <v>5</v>
      </c>
      <c r="D3079" s="1" t="n">
        <v>1421.43</v>
      </c>
    </row>
    <row r="3080" customFormat="false" ht="14.25" hidden="false" customHeight="true" outlineLevel="0" collapsed="false">
      <c r="A3080" s="51" t="n">
        <v>16504</v>
      </c>
      <c r="B3080" s="52" t="n">
        <v>40861.6375</v>
      </c>
      <c r="C3080" s="1" t="n">
        <v>1</v>
      </c>
      <c r="D3080" s="1" t="n">
        <v>484.38</v>
      </c>
    </row>
    <row r="3081" customFormat="false" ht="14.25" hidden="false" customHeight="true" outlineLevel="0" collapsed="false">
      <c r="A3081" s="51" t="n">
        <v>16505</v>
      </c>
      <c r="B3081" s="52" t="n">
        <v>40855.5097222222</v>
      </c>
      <c r="C3081" s="1" t="n">
        <v>1</v>
      </c>
      <c r="D3081" s="1" t="n">
        <v>777.6</v>
      </c>
    </row>
    <row r="3082" customFormat="false" ht="14.25" hidden="false" customHeight="true" outlineLevel="0" collapsed="false">
      <c r="A3082" s="51" t="n">
        <v>16506</v>
      </c>
      <c r="B3082" s="52" t="n">
        <v>40867.5118055556</v>
      </c>
      <c r="C3082" s="1" t="n">
        <v>2</v>
      </c>
      <c r="D3082" s="1" t="n">
        <v>90.3</v>
      </c>
    </row>
    <row r="3083" customFormat="false" ht="14.25" hidden="false" customHeight="true" outlineLevel="0" collapsed="false">
      <c r="A3083" s="51" t="n">
        <v>16509</v>
      </c>
      <c r="B3083" s="52" t="n">
        <v>40590.3923611111</v>
      </c>
      <c r="C3083" s="1" t="n">
        <v>1</v>
      </c>
      <c r="D3083" s="1" t="n">
        <v>363.7</v>
      </c>
    </row>
    <row r="3084" customFormat="false" ht="14.25" hidden="false" customHeight="true" outlineLevel="0" collapsed="false">
      <c r="A3084" s="51" t="n">
        <v>16510</v>
      </c>
      <c r="B3084" s="52" t="n">
        <v>40514.56875</v>
      </c>
      <c r="C3084" s="1" t="n">
        <v>1</v>
      </c>
      <c r="D3084" s="1" t="n">
        <v>248.1</v>
      </c>
    </row>
    <row r="3085" customFormat="false" ht="14.25" hidden="false" customHeight="true" outlineLevel="0" collapsed="false">
      <c r="A3085" s="51" t="n">
        <v>16511</v>
      </c>
      <c r="B3085" s="52" t="n">
        <v>40865.4451388889</v>
      </c>
      <c r="C3085" s="1" t="n">
        <v>3</v>
      </c>
      <c r="D3085" s="1" t="n">
        <v>950.26</v>
      </c>
    </row>
    <row r="3086" customFormat="false" ht="14.25" hidden="false" customHeight="true" outlineLevel="0" collapsed="false">
      <c r="A3086" s="51" t="n">
        <v>16513</v>
      </c>
      <c r="B3086" s="52" t="n">
        <v>40882.4291666667</v>
      </c>
      <c r="C3086" s="1" t="n">
        <v>4</v>
      </c>
      <c r="D3086" s="1" t="n">
        <v>874.59</v>
      </c>
    </row>
    <row r="3087" customFormat="false" ht="14.25" hidden="false" customHeight="true" outlineLevel="0" collapsed="false">
      <c r="A3087" s="51" t="n">
        <v>16515</v>
      </c>
      <c r="B3087" s="52" t="n">
        <v>40834.5486111111</v>
      </c>
      <c r="C3087" s="1" t="n">
        <v>5</v>
      </c>
      <c r="D3087" s="1" t="n">
        <v>1627.13</v>
      </c>
    </row>
    <row r="3088" customFormat="false" ht="14.25" hidden="false" customHeight="true" outlineLevel="0" collapsed="false">
      <c r="A3088" s="51" t="n">
        <v>16516</v>
      </c>
      <c r="B3088" s="52" t="n">
        <v>40856.6243055556</v>
      </c>
      <c r="C3088" s="1" t="n">
        <v>1</v>
      </c>
      <c r="D3088" s="1" t="n">
        <v>101.7</v>
      </c>
    </row>
    <row r="3089" customFormat="false" ht="14.25" hidden="false" customHeight="true" outlineLevel="0" collapsed="false">
      <c r="A3089" s="51" t="n">
        <v>16517</v>
      </c>
      <c r="B3089" s="52" t="n">
        <v>40609.5763888889</v>
      </c>
      <c r="C3089" s="1" t="n">
        <v>1</v>
      </c>
      <c r="D3089" s="1" t="n">
        <v>162.7</v>
      </c>
    </row>
    <row r="3090" customFormat="false" ht="14.25" hidden="false" customHeight="true" outlineLevel="0" collapsed="false">
      <c r="A3090" s="51" t="n">
        <v>16518</v>
      </c>
      <c r="B3090" s="52" t="n">
        <v>40825.6277777778</v>
      </c>
      <c r="C3090" s="1" t="n">
        <v>3</v>
      </c>
      <c r="D3090" s="1" t="n">
        <v>480.92</v>
      </c>
    </row>
    <row r="3091" customFormat="false" ht="14.25" hidden="false" customHeight="true" outlineLevel="0" collapsed="false">
      <c r="A3091" s="51" t="n">
        <v>16519</v>
      </c>
      <c r="B3091" s="52" t="n">
        <v>40861.6534722222</v>
      </c>
      <c r="C3091" s="1" t="n">
        <v>2</v>
      </c>
      <c r="D3091" s="1" t="n">
        <v>215.08</v>
      </c>
    </row>
    <row r="3092" customFormat="false" ht="14.25" hidden="false" customHeight="true" outlineLevel="0" collapsed="false">
      <c r="A3092" s="51" t="n">
        <v>16520</v>
      </c>
      <c r="B3092" s="52" t="n">
        <v>40700.5583333333</v>
      </c>
      <c r="C3092" s="1" t="n">
        <v>4</v>
      </c>
      <c r="D3092" s="1" t="n">
        <v>1036.62</v>
      </c>
    </row>
    <row r="3093" customFormat="false" ht="14.25" hidden="false" customHeight="true" outlineLevel="0" collapsed="false">
      <c r="A3093" s="51" t="n">
        <v>16523</v>
      </c>
      <c r="B3093" s="52" t="n">
        <v>40885.3791666667</v>
      </c>
      <c r="C3093" s="1" t="n">
        <v>28</v>
      </c>
      <c r="D3093" s="1" t="n">
        <v>9295.67000000001</v>
      </c>
    </row>
    <row r="3094" customFormat="false" ht="14.25" hidden="false" customHeight="true" outlineLevel="0" collapsed="false">
      <c r="A3094" s="51" t="n">
        <v>16525</v>
      </c>
      <c r="B3094" s="52" t="n">
        <v>40884.6298611111</v>
      </c>
      <c r="C3094" s="1" t="n">
        <v>29</v>
      </c>
      <c r="D3094" s="1" t="n">
        <v>11895.57</v>
      </c>
    </row>
    <row r="3095" customFormat="false" ht="14.25" hidden="false" customHeight="true" outlineLevel="0" collapsed="false">
      <c r="A3095" s="51" t="n">
        <v>16526</v>
      </c>
      <c r="B3095" s="52" t="n">
        <v>40715.5013888889</v>
      </c>
      <c r="C3095" s="1" t="n">
        <v>1</v>
      </c>
      <c r="D3095" s="1" t="n">
        <v>290.36</v>
      </c>
    </row>
    <row r="3096" customFormat="false" ht="14.25" hidden="false" customHeight="true" outlineLevel="0" collapsed="false">
      <c r="A3096" s="51" t="n">
        <v>16527</v>
      </c>
      <c r="B3096" s="52" t="n">
        <v>40805.68125</v>
      </c>
      <c r="C3096" s="1" t="n">
        <v>1</v>
      </c>
      <c r="D3096" s="1" t="n">
        <v>228.06</v>
      </c>
    </row>
    <row r="3097" customFormat="false" ht="14.25" hidden="false" customHeight="true" outlineLevel="0" collapsed="false">
      <c r="A3097" s="51" t="n">
        <v>16528</v>
      </c>
      <c r="B3097" s="52" t="n">
        <v>40883.53125</v>
      </c>
      <c r="C3097" s="1" t="n">
        <v>1</v>
      </c>
      <c r="D3097" s="1" t="n">
        <v>244.41</v>
      </c>
    </row>
    <row r="3098" customFormat="false" ht="14.25" hidden="false" customHeight="true" outlineLevel="0" collapsed="false">
      <c r="A3098" s="51" t="n">
        <v>16529</v>
      </c>
      <c r="B3098" s="52" t="n">
        <v>40696.7243055556</v>
      </c>
      <c r="C3098" s="1" t="n">
        <v>1</v>
      </c>
      <c r="D3098" s="1" t="n">
        <v>455.25</v>
      </c>
    </row>
    <row r="3099" customFormat="false" ht="14.25" hidden="false" customHeight="true" outlineLevel="0" collapsed="false">
      <c r="A3099" s="51" t="n">
        <v>16531</v>
      </c>
      <c r="B3099" s="52" t="n">
        <v>40864.6868055556</v>
      </c>
      <c r="C3099" s="1" t="n">
        <v>7</v>
      </c>
      <c r="D3099" s="1" t="n">
        <v>1244.59</v>
      </c>
    </row>
    <row r="3100" customFormat="false" ht="14.25" hidden="false" customHeight="true" outlineLevel="0" collapsed="false">
      <c r="A3100" s="51" t="n">
        <v>16532</v>
      </c>
      <c r="B3100" s="52" t="n">
        <v>40869.4638888889</v>
      </c>
      <c r="C3100" s="1" t="n">
        <v>3</v>
      </c>
      <c r="D3100" s="1" t="n">
        <v>6748.8</v>
      </c>
    </row>
    <row r="3101" customFormat="false" ht="14.25" hidden="false" customHeight="true" outlineLevel="0" collapsed="false">
      <c r="A3101" s="51" t="n">
        <v>16533</v>
      </c>
      <c r="B3101" s="52" t="n">
        <v>40867.5472222222</v>
      </c>
      <c r="C3101" s="1" t="n">
        <v>5</v>
      </c>
      <c r="D3101" s="1" t="n">
        <v>1026.94</v>
      </c>
    </row>
    <row r="3102" customFormat="false" ht="14.25" hidden="false" customHeight="true" outlineLevel="0" collapsed="false">
      <c r="A3102" s="51" t="n">
        <v>16535</v>
      </c>
      <c r="B3102" s="52" t="n">
        <v>40881.6375</v>
      </c>
      <c r="C3102" s="1" t="n">
        <v>1</v>
      </c>
      <c r="D3102" s="1" t="n">
        <v>593.75</v>
      </c>
    </row>
    <row r="3103" customFormat="false" ht="14.25" hidden="false" customHeight="true" outlineLevel="0" collapsed="false">
      <c r="A3103" s="51" t="n">
        <v>16536</v>
      </c>
      <c r="B3103" s="52" t="n">
        <v>40779.5555555556</v>
      </c>
      <c r="C3103" s="1" t="n">
        <v>2</v>
      </c>
      <c r="D3103" s="1" t="n">
        <v>539.02</v>
      </c>
    </row>
    <row r="3104" customFormat="false" ht="14.25" hidden="false" customHeight="true" outlineLevel="0" collapsed="false">
      <c r="A3104" s="51" t="n">
        <v>16539</v>
      </c>
      <c r="B3104" s="52" t="n">
        <v>40884.3618055556</v>
      </c>
      <c r="C3104" s="1" t="n">
        <v>4</v>
      </c>
      <c r="D3104" s="1" t="n">
        <v>1388.81</v>
      </c>
    </row>
    <row r="3105" customFormat="false" ht="14.25" hidden="false" customHeight="true" outlineLevel="0" collapsed="false">
      <c r="A3105" s="51" t="n">
        <v>16542</v>
      </c>
      <c r="B3105" s="52" t="n">
        <v>40833.4493055556</v>
      </c>
      <c r="C3105" s="1" t="n">
        <v>1</v>
      </c>
      <c r="D3105" s="1" t="n">
        <v>119.62</v>
      </c>
    </row>
    <row r="3106" customFormat="false" ht="14.25" hidden="false" customHeight="true" outlineLevel="0" collapsed="false">
      <c r="A3106" s="51" t="n">
        <v>16545</v>
      </c>
      <c r="B3106" s="52" t="n">
        <v>40722.4423611111</v>
      </c>
      <c r="C3106" s="1" t="n">
        <v>1</v>
      </c>
      <c r="D3106" s="1" t="n">
        <v>339.3</v>
      </c>
    </row>
    <row r="3107" customFormat="false" ht="14.25" hidden="false" customHeight="true" outlineLevel="0" collapsed="false">
      <c r="A3107" s="51" t="n">
        <v>16546</v>
      </c>
      <c r="B3107" s="52" t="n">
        <v>40596.4722222222</v>
      </c>
      <c r="C3107" s="1" t="n">
        <v>3</v>
      </c>
      <c r="D3107" s="1" t="n">
        <v>-95.9299999999998</v>
      </c>
    </row>
    <row r="3108" customFormat="false" ht="14.25" hidden="false" customHeight="true" outlineLevel="0" collapsed="false">
      <c r="A3108" s="51" t="n">
        <v>16549</v>
      </c>
      <c r="B3108" s="52" t="n">
        <v>40876.6291666667</v>
      </c>
      <c r="C3108" s="1" t="n">
        <v>10</v>
      </c>
      <c r="D3108" s="1" t="n">
        <v>4154.64</v>
      </c>
    </row>
    <row r="3109" customFormat="false" ht="14.25" hidden="false" customHeight="true" outlineLevel="0" collapsed="false">
      <c r="A3109" s="51" t="n">
        <v>16550</v>
      </c>
      <c r="B3109" s="52" t="n">
        <v>40778.4666666667</v>
      </c>
      <c r="C3109" s="1" t="n">
        <v>9</v>
      </c>
      <c r="D3109" s="1" t="n">
        <v>2266.25</v>
      </c>
    </row>
    <row r="3110" customFormat="false" ht="14.25" hidden="false" customHeight="true" outlineLevel="0" collapsed="false">
      <c r="A3110" s="51" t="n">
        <v>16551</v>
      </c>
      <c r="B3110" s="52" t="n">
        <v>40791.4013888889</v>
      </c>
      <c r="C3110" s="1" t="n">
        <v>3</v>
      </c>
      <c r="D3110" s="1" t="n">
        <v>922.12</v>
      </c>
    </row>
    <row r="3111" customFormat="false" ht="14.25" hidden="false" customHeight="true" outlineLevel="0" collapsed="false">
      <c r="A3111" s="51" t="n">
        <v>16552</v>
      </c>
      <c r="B3111" s="52" t="n">
        <v>40644.4194444444</v>
      </c>
      <c r="C3111" s="1" t="n">
        <v>2</v>
      </c>
      <c r="D3111" s="1" t="n">
        <v>379.73</v>
      </c>
    </row>
    <row r="3112" customFormat="false" ht="14.25" hidden="false" customHeight="true" outlineLevel="0" collapsed="false">
      <c r="A3112" s="51" t="n">
        <v>16553</v>
      </c>
      <c r="B3112" s="52" t="n">
        <v>40723.6541666667</v>
      </c>
      <c r="C3112" s="1" t="n">
        <v>14</v>
      </c>
      <c r="D3112" s="1" t="n">
        <v>5664.57</v>
      </c>
    </row>
    <row r="3113" customFormat="false" ht="14.25" hidden="false" customHeight="true" outlineLevel="0" collapsed="false">
      <c r="A3113" s="51" t="n">
        <v>16554</v>
      </c>
      <c r="B3113" s="52" t="n">
        <v>40883.6194444444</v>
      </c>
      <c r="C3113" s="1" t="n">
        <v>7</v>
      </c>
      <c r="D3113" s="1" t="n">
        <v>641.55</v>
      </c>
    </row>
    <row r="3114" customFormat="false" ht="14.25" hidden="false" customHeight="true" outlineLevel="0" collapsed="false">
      <c r="A3114" s="51" t="n">
        <v>16555</v>
      </c>
      <c r="B3114" s="52" t="n">
        <v>40851.6048611111</v>
      </c>
      <c r="C3114" s="1" t="n">
        <v>2</v>
      </c>
      <c r="D3114" s="1" t="n">
        <v>285.89</v>
      </c>
    </row>
    <row r="3115" customFormat="false" ht="14.25" hidden="false" customHeight="true" outlineLevel="0" collapsed="false">
      <c r="A3115" s="51" t="n">
        <v>16556</v>
      </c>
      <c r="B3115" s="52" t="n">
        <v>40820.4833333333</v>
      </c>
      <c r="C3115" s="1" t="n">
        <v>7</v>
      </c>
      <c r="D3115" s="1" t="n">
        <v>3313.79</v>
      </c>
    </row>
    <row r="3116" customFormat="false" ht="14.25" hidden="false" customHeight="true" outlineLevel="0" collapsed="false">
      <c r="A3116" s="51" t="n">
        <v>16557</v>
      </c>
      <c r="B3116" s="52" t="n">
        <v>40862.5861111111</v>
      </c>
      <c r="C3116" s="1" t="n">
        <v>2</v>
      </c>
      <c r="D3116" s="1" t="n">
        <v>281.85</v>
      </c>
    </row>
    <row r="3117" customFormat="false" ht="14.25" hidden="false" customHeight="true" outlineLevel="0" collapsed="false">
      <c r="A3117" s="51" t="n">
        <v>16558</v>
      </c>
      <c r="B3117" s="52" t="n">
        <v>40886.4305555556</v>
      </c>
      <c r="C3117" s="1" t="n">
        <v>24</v>
      </c>
      <c r="D3117" s="1" t="n">
        <v>8257.04000000001</v>
      </c>
    </row>
    <row r="3118" customFormat="false" ht="14.25" hidden="false" customHeight="true" outlineLevel="0" collapsed="false">
      <c r="A3118" s="51" t="n">
        <v>16560</v>
      </c>
      <c r="B3118" s="52" t="n">
        <v>40865.7118055556</v>
      </c>
      <c r="C3118" s="1" t="n">
        <v>3</v>
      </c>
      <c r="D3118" s="1" t="n">
        <v>816.51</v>
      </c>
    </row>
    <row r="3119" customFormat="false" ht="14.25" hidden="false" customHeight="true" outlineLevel="0" collapsed="false">
      <c r="A3119" s="51" t="n">
        <v>16561</v>
      </c>
      <c r="B3119" s="52" t="n">
        <v>40881.4930555556</v>
      </c>
      <c r="C3119" s="1" t="n">
        <v>2</v>
      </c>
      <c r="D3119" s="1" t="n">
        <v>511.12</v>
      </c>
    </row>
    <row r="3120" customFormat="false" ht="14.25" hidden="false" customHeight="true" outlineLevel="0" collapsed="false">
      <c r="A3120" s="51" t="n">
        <v>16563</v>
      </c>
      <c r="B3120" s="52" t="n">
        <v>40833.49375</v>
      </c>
      <c r="C3120" s="1" t="n">
        <v>1</v>
      </c>
      <c r="D3120" s="1" t="n">
        <v>1077.74</v>
      </c>
    </row>
    <row r="3121" customFormat="false" ht="14.25" hidden="false" customHeight="true" outlineLevel="0" collapsed="false">
      <c r="A3121" s="51" t="n">
        <v>16565</v>
      </c>
      <c r="B3121" s="52" t="n">
        <v>40522.6395833333</v>
      </c>
      <c r="C3121" s="1" t="n">
        <v>1</v>
      </c>
      <c r="D3121" s="1" t="n">
        <v>173.7</v>
      </c>
    </row>
    <row r="3122" customFormat="false" ht="14.25" hidden="false" customHeight="true" outlineLevel="0" collapsed="false">
      <c r="A3122" s="51" t="n">
        <v>16566</v>
      </c>
      <c r="B3122" s="52" t="n">
        <v>40871.6902777778</v>
      </c>
      <c r="C3122" s="1" t="n">
        <v>6</v>
      </c>
      <c r="D3122" s="1" t="n">
        <v>614.01</v>
      </c>
    </row>
    <row r="3123" customFormat="false" ht="14.25" hidden="false" customHeight="true" outlineLevel="0" collapsed="false">
      <c r="A3123" s="51" t="n">
        <v>16567</v>
      </c>
      <c r="B3123" s="52" t="n">
        <v>40692.58125</v>
      </c>
      <c r="C3123" s="1" t="n">
        <v>2</v>
      </c>
      <c r="D3123" s="1" t="n">
        <v>865.6</v>
      </c>
    </row>
    <row r="3124" customFormat="false" ht="14.25" hidden="false" customHeight="true" outlineLevel="0" collapsed="false">
      <c r="A3124" s="51" t="n">
        <v>16569</v>
      </c>
      <c r="B3124" s="52" t="n">
        <v>40883.6472222222</v>
      </c>
      <c r="C3124" s="1" t="n">
        <v>1</v>
      </c>
      <c r="D3124" s="1" t="n">
        <v>124.2</v>
      </c>
    </row>
    <row r="3125" customFormat="false" ht="14.25" hidden="false" customHeight="true" outlineLevel="0" collapsed="false">
      <c r="A3125" s="51" t="n">
        <v>16570</v>
      </c>
      <c r="B3125" s="52" t="n">
        <v>40878.3722222222</v>
      </c>
      <c r="C3125" s="1" t="n">
        <v>15</v>
      </c>
      <c r="D3125" s="1" t="n">
        <v>3622.95</v>
      </c>
    </row>
    <row r="3126" customFormat="false" ht="14.25" hidden="false" customHeight="true" outlineLevel="0" collapsed="false">
      <c r="A3126" s="51" t="n">
        <v>16571</v>
      </c>
      <c r="B3126" s="52" t="n">
        <v>40883.5881944444</v>
      </c>
      <c r="C3126" s="1" t="n">
        <v>5</v>
      </c>
      <c r="D3126" s="1" t="n">
        <v>1285.22</v>
      </c>
    </row>
    <row r="3127" customFormat="false" ht="14.25" hidden="false" customHeight="true" outlineLevel="0" collapsed="false">
      <c r="A3127" s="51" t="n">
        <v>16572</v>
      </c>
      <c r="B3127" s="52" t="n">
        <v>40759.6902777778</v>
      </c>
      <c r="C3127" s="1" t="n">
        <v>4</v>
      </c>
      <c r="D3127" s="1" t="n">
        <v>999.7</v>
      </c>
    </row>
    <row r="3128" customFormat="false" ht="14.25" hidden="false" customHeight="true" outlineLevel="0" collapsed="false">
      <c r="A3128" s="51" t="n">
        <v>16573</v>
      </c>
      <c r="B3128" s="52" t="n">
        <v>40813.4701388889</v>
      </c>
      <c r="C3128" s="1" t="n">
        <v>4</v>
      </c>
      <c r="D3128" s="1" t="n">
        <v>648.41</v>
      </c>
    </row>
    <row r="3129" customFormat="false" ht="14.25" hidden="false" customHeight="true" outlineLevel="0" collapsed="false">
      <c r="A3129" s="51" t="n">
        <v>16574</v>
      </c>
      <c r="B3129" s="52" t="n">
        <v>40815.56875</v>
      </c>
      <c r="C3129" s="1" t="n">
        <v>1</v>
      </c>
      <c r="D3129" s="1" t="n">
        <v>451.44</v>
      </c>
    </row>
    <row r="3130" customFormat="false" ht="14.25" hidden="false" customHeight="true" outlineLevel="0" collapsed="false">
      <c r="A3130" s="51" t="n">
        <v>16579</v>
      </c>
      <c r="B3130" s="52" t="n">
        <v>40521.625</v>
      </c>
      <c r="C3130" s="1" t="n">
        <v>1</v>
      </c>
      <c r="D3130" s="1" t="n">
        <v>-30.6</v>
      </c>
    </row>
    <row r="3131" customFormat="false" ht="14.25" hidden="false" customHeight="true" outlineLevel="0" collapsed="false">
      <c r="A3131" s="51" t="n">
        <v>16581</v>
      </c>
      <c r="B3131" s="52" t="n">
        <v>40731.6597222222</v>
      </c>
      <c r="C3131" s="1" t="n">
        <v>2</v>
      </c>
      <c r="D3131" s="1" t="n">
        <v>70.44</v>
      </c>
    </row>
    <row r="3132" customFormat="false" ht="14.25" hidden="false" customHeight="true" outlineLevel="0" collapsed="false">
      <c r="A3132" s="51" t="n">
        <v>16582</v>
      </c>
      <c r="B3132" s="52" t="n">
        <v>40773.7097222222</v>
      </c>
      <c r="C3132" s="1" t="n">
        <v>1</v>
      </c>
      <c r="D3132" s="1" t="n">
        <v>313.62</v>
      </c>
    </row>
    <row r="3133" customFormat="false" ht="14.25" hidden="false" customHeight="true" outlineLevel="0" collapsed="false">
      <c r="A3133" s="51" t="n">
        <v>16583</v>
      </c>
      <c r="B3133" s="52" t="n">
        <v>40513.5020833333</v>
      </c>
      <c r="C3133" s="1" t="n">
        <v>1</v>
      </c>
      <c r="D3133" s="1" t="n">
        <v>233.45</v>
      </c>
    </row>
    <row r="3134" customFormat="false" ht="14.25" hidden="false" customHeight="true" outlineLevel="0" collapsed="false">
      <c r="A3134" s="51" t="n">
        <v>16584</v>
      </c>
      <c r="B3134" s="52" t="n">
        <v>40806.5729166667</v>
      </c>
      <c r="C3134" s="1" t="n">
        <v>3</v>
      </c>
      <c r="D3134" s="1" t="n">
        <v>908.03</v>
      </c>
    </row>
    <row r="3135" customFormat="false" ht="14.25" hidden="false" customHeight="true" outlineLevel="0" collapsed="false">
      <c r="A3135" s="51" t="n">
        <v>16586</v>
      </c>
      <c r="B3135" s="52" t="n">
        <v>40638.3972222222</v>
      </c>
      <c r="C3135" s="1" t="n">
        <v>1</v>
      </c>
      <c r="D3135" s="1" t="n">
        <v>463.95</v>
      </c>
    </row>
    <row r="3136" customFormat="false" ht="14.25" hidden="false" customHeight="true" outlineLevel="0" collapsed="false">
      <c r="A3136" s="51" t="n">
        <v>16587</v>
      </c>
      <c r="B3136" s="52" t="n">
        <v>40654.6604166667</v>
      </c>
      <c r="C3136" s="1" t="n">
        <v>1</v>
      </c>
      <c r="D3136" s="1" t="n">
        <v>225.15</v>
      </c>
    </row>
    <row r="3137" customFormat="false" ht="14.25" hidden="false" customHeight="true" outlineLevel="0" collapsed="false">
      <c r="A3137" s="51" t="n">
        <v>16589</v>
      </c>
      <c r="B3137" s="52" t="n">
        <v>40815.6180555556</v>
      </c>
      <c r="C3137" s="1" t="n">
        <v>3</v>
      </c>
      <c r="D3137" s="1" t="n">
        <v>459.24</v>
      </c>
    </row>
    <row r="3138" customFormat="false" ht="14.25" hidden="false" customHeight="true" outlineLevel="0" collapsed="false">
      <c r="A3138" s="51" t="n">
        <v>16591</v>
      </c>
      <c r="B3138" s="52" t="n">
        <v>40818.4465277778</v>
      </c>
      <c r="C3138" s="1" t="n">
        <v>1</v>
      </c>
      <c r="D3138" s="1" t="n">
        <v>213.5</v>
      </c>
    </row>
    <row r="3139" customFormat="false" ht="14.25" hidden="false" customHeight="true" outlineLevel="0" collapsed="false">
      <c r="A3139" s="51" t="n">
        <v>16592</v>
      </c>
      <c r="B3139" s="52" t="n">
        <v>40882.5756944444</v>
      </c>
      <c r="C3139" s="1" t="n">
        <v>19</v>
      </c>
      <c r="D3139" s="1" t="n">
        <v>4073.28</v>
      </c>
    </row>
    <row r="3140" customFormat="false" ht="14.25" hidden="false" customHeight="true" outlineLevel="0" collapsed="false">
      <c r="A3140" s="51" t="n">
        <v>16593</v>
      </c>
      <c r="B3140" s="52" t="n">
        <v>40836.5284722222</v>
      </c>
      <c r="C3140" s="1" t="n">
        <v>3</v>
      </c>
      <c r="D3140" s="1" t="n">
        <v>330.03</v>
      </c>
    </row>
    <row r="3141" customFormat="false" ht="14.25" hidden="false" customHeight="true" outlineLevel="0" collapsed="false">
      <c r="A3141" s="51" t="n">
        <v>16594</v>
      </c>
      <c r="B3141" s="52" t="n">
        <v>40811.5888888889</v>
      </c>
      <c r="C3141" s="1" t="n">
        <v>1</v>
      </c>
      <c r="D3141" s="1" t="n">
        <v>181.09</v>
      </c>
    </row>
    <row r="3142" customFormat="false" ht="14.25" hidden="false" customHeight="true" outlineLevel="0" collapsed="false">
      <c r="A3142" s="51" t="n">
        <v>16595</v>
      </c>
      <c r="B3142" s="52" t="n">
        <v>40825.5520833333</v>
      </c>
      <c r="C3142" s="1" t="n">
        <v>1</v>
      </c>
      <c r="D3142" s="1" t="n">
        <v>360.16</v>
      </c>
    </row>
    <row r="3143" customFormat="false" ht="14.25" hidden="false" customHeight="true" outlineLevel="0" collapsed="false">
      <c r="A3143" s="51" t="n">
        <v>16596</v>
      </c>
      <c r="B3143" s="52" t="n">
        <v>40871.4180555556</v>
      </c>
      <c r="C3143" s="1" t="n">
        <v>2</v>
      </c>
      <c r="D3143" s="1" t="n">
        <v>250.15</v>
      </c>
    </row>
    <row r="3144" customFormat="false" ht="14.25" hidden="false" customHeight="true" outlineLevel="0" collapsed="false">
      <c r="A3144" s="51" t="n">
        <v>16597</v>
      </c>
      <c r="B3144" s="52" t="n">
        <v>40882.6555555556</v>
      </c>
      <c r="C3144" s="1" t="n">
        <v>1</v>
      </c>
      <c r="D3144" s="1" t="n">
        <v>90.04</v>
      </c>
    </row>
    <row r="3145" customFormat="false" ht="14.25" hidden="false" customHeight="true" outlineLevel="0" collapsed="false">
      <c r="A3145" s="51" t="n">
        <v>16598</v>
      </c>
      <c r="B3145" s="52" t="n">
        <v>40609.5708333333</v>
      </c>
      <c r="C3145" s="1" t="n">
        <v>2</v>
      </c>
      <c r="D3145" s="1" t="n">
        <v>140.7</v>
      </c>
    </row>
    <row r="3146" customFormat="false" ht="14.25" hidden="false" customHeight="true" outlineLevel="0" collapsed="false">
      <c r="A3146" s="51" t="n">
        <v>16600</v>
      </c>
      <c r="B3146" s="52" t="n">
        <v>40882.6666666667</v>
      </c>
      <c r="C3146" s="1" t="n">
        <v>6</v>
      </c>
      <c r="D3146" s="1" t="n">
        <v>813.52</v>
      </c>
    </row>
    <row r="3147" customFormat="false" ht="14.25" hidden="false" customHeight="true" outlineLevel="0" collapsed="false">
      <c r="A3147" s="51" t="n">
        <v>16601</v>
      </c>
      <c r="B3147" s="52" t="n">
        <v>40846.4645833333</v>
      </c>
      <c r="C3147" s="1" t="n">
        <v>1</v>
      </c>
      <c r="D3147" s="1" t="n">
        <v>244.8</v>
      </c>
    </row>
    <row r="3148" customFormat="false" ht="14.25" hidden="false" customHeight="true" outlineLevel="0" collapsed="false">
      <c r="A3148" s="51" t="n">
        <v>16602</v>
      </c>
      <c r="B3148" s="52" t="n">
        <v>40855.6791666667</v>
      </c>
      <c r="C3148" s="1" t="n">
        <v>2</v>
      </c>
      <c r="D3148" s="1" t="n">
        <v>494.73</v>
      </c>
    </row>
    <row r="3149" customFormat="false" ht="14.25" hidden="false" customHeight="true" outlineLevel="0" collapsed="false">
      <c r="A3149" s="51" t="n">
        <v>16603</v>
      </c>
      <c r="B3149" s="52" t="n">
        <v>40812.4208333333</v>
      </c>
      <c r="C3149" s="1" t="n">
        <v>2</v>
      </c>
      <c r="D3149" s="1" t="n">
        <v>482.47</v>
      </c>
    </row>
    <row r="3150" customFormat="false" ht="14.25" hidden="false" customHeight="true" outlineLevel="0" collapsed="false">
      <c r="A3150" s="51" t="n">
        <v>16607</v>
      </c>
      <c r="B3150" s="52" t="n">
        <v>40869.4333333333</v>
      </c>
      <c r="C3150" s="1" t="n">
        <v>16</v>
      </c>
      <c r="D3150" s="1" t="n">
        <v>3038.67</v>
      </c>
    </row>
    <row r="3151" customFormat="false" ht="14.25" hidden="false" customHeight="true" outlineLevel="0" collapsed="false">
      <c r="A3151" s="51" t="n">
        <v>16609</v>
      </c>
      <c r="B3151" s="52" t="n">
        <v>40871.5638888889</v>
      </c>
      <c r="C3151" s="1" t="n">
        <v>9</v>
      </c>
      <c r="D3151" s="1" t="n">
        <v>5450.96000000001</v>
      </c>
    </row>
    <row r="3152" customFormat="false" ht="14.25" hidden="false" customHeight="true" outlineLevel="0" collapsed="false">
      <c r="A3152" s="51" t="n">
        <v>16610</v>
      </c>
      <c r="B3152" s="52" t="n">
        <v>40667.5506944444</v>
      </c>
      <c r="C3152" s="1" t="n">
        <v>1</v>
      </c>
      <c r="D3152" s="1" t="n">
        <v>75.66</v>
      </c>
    </row>
    <row r="3153" customFormat="false" ht="14.25" hidden="false" customHeight="true" outlineLevel="0" collapsed="false">
      <c r="A3153" s="51" t="n">
        <v>16611</v>
      </c>
      <c r="B3153" s="52" t="n">
        <v>40700.6569444445</v>
      </c>
      <c r="C3153" s="1" t="n">
        <v>2</v>
      </c>
      <c r="D3153" s="1" t="n">
        <v>120.99</v>
      </c>
    </row>
    <row r="3154" customFormat="false" ht="14.25" hidden="false" customHeight="true" outlineLevel="0" collapsed="false">
      <c r="A3154" s="51" t="n">
        <v>16612</v>
      </c>
      <c r="B3154" s="52" t="n">
        <v>40854.3180555556</v>
      </c>
      <c r="C3154" s="1" t="n">
        <v>4</v>
      </c>
      <c r="D3154" s="1" t="n">
        <v>1187.66</v>
      </c>
    </row>
    <row r="3155" customFormat="false" ht="14.25" hidden="false" customHeight="true" outlineLevel="0" collapsed="false">
      <c r="A3155" s="51" t="n">
        <v>16613</v>
      </c>
      <c r="B3155" s="52" t="n">
        <v>40816.6611111111</v>
      </c>
      <c r="C3155" s="1" t="n">
        <v>1</v>
      </c>
      <c r="D3155" s="1" t="n">
        <v>618.59</v>
      </c>
    </row>
    <row r="3156" customFormat="false" ht="14.25" hidden="false" customHeight="true" outlineLevel="0" collapsed="false">
      <c r="A3156" s="51" t="n">
        <v>16614</v>
      </c>
      <c r="B3156" s="52" t="n">
        <v>40704.4833333333</v>
      </c>
      <c r="C3156" s="1" t="n">
        <v>1</v>
      </c>
      <c r="D3156" s="1" t="n">
        <v>506.19</v>
      </c>
    </row>
    <row r="3157" customFormat="false" ht="14.25" hidden="false" customHeight="true" outlineLevel="0" collapsed="false">
      <c r="A3157" s="51" t="n">
        <v>16616</v>
      </c>
      <c r="B3157" s="52" t="n">
        <v>40871.6881944445</v>
      </c>
      <c r="C3157" s="1" t="n">
        <v>2</v>
      </c>
      <c r="D3157" s="1" t="n">
        <v>500.42</v>
      </c>
    </row>
    <row r="3158" customFormat="false" ht="14.25" hidden="false" customHeight="true" outlineLevel="0" collapsed="false">
      <c r="A3158" s="51" t="n">
        <v>16617</v>
      </c>
      <c r="B3158" s="52" t="n">
        <v>40651.4409722222</v>
      </c>
      <c r="C3158" s="1" t="n">
        <v>1</v>
      </c>
      <c r="D3158" s="1" t="n">
        <v>151.85</v>
      </c>
    </row>
    <row r="3159" customFormat="false" ht="14.25" hidden="false" customHeight="true" outlineLevel="0" collapsed="false">
      <c r="A3159" s="51" t="n">
        <v>16618</v>
      </c>
      <c r="B3159" s="52" t="n">
        <v>40855.5777777778</v>
      </c>
      <c r="C3159" s="1" t="n">
        <v>6</v>
      </c>
      <c r="D3159" s="1" t="n">
        <v>2630.64</v>
      </c>
    </row>
    <row r="3160" customFormat="false" ht="14.25" hidden="false" customHeight="true" outlineLevel="0" collapsed="false">
      <c r="A3160" s="51" t="n">
        <v>16619</v>
      </c>
      <c r="B3160" s="52" t="n">
        <v>40633.5138888889</v>
      </c>
      <c r="C3160" s="1" t="n">
        <v>2</v>
      </c>
      <c r="D3160" s="1" t="n">
        <v>204.41</v>
      </c>
    </row>
    <row r="3161" customFormat="false" ht="14.25" hidden="false" customHeight="true" outlineLevel="0" collapsed="false">
      <c r="A3161" s="51" t="n">
        <v>16620</v>
      </c>
      <c r="B3161" s="52" t="n">
        <v>40883.5131944444</v>
      </c>
      <c r="C3161" s="1" t="n">
        <v>2</v>
      </c>
      <c r="D3161" s="1" t="n">
        <v>178.96</v>
      </c>
    </row>
    <row r="3162" customFormat="false" ht="14.25" hidden="false" customHeight="true" outlineLevel="0" collapsed="false">
      <c r="A3162" s="51" t="n">
        <v>16621</v>
      </c>
      <c r="B3162" s="52" t="n">
        <v>40835.4847222222</v>
      </c>
      <c r="C3162" s="1" t="n">
        <v>4</v>
      </c>
      <c r="D3162" s="1" t="n">
        <v>813.48</v>
      </c>
    </row>
    <row r="3163" customFormat="false" ht="14.25" hidden="false" customHeight="true" outlineLevel="0" collapsed="false">
      <c r="A3163" s="51" t="n">
        <v>16623</v>
      </c>
      <c r="B3163" s="52" t="n">
        <v>40641.4229166667</v>
      </c>
      <c r="C3163" s="1" t="n">
        <v>1</v>
      </c>
      <c r="D3163" s="1" t="n">
        <v>129.45</v>
      </c>
    </row>
    <row r="3164" customFormat="false" ht="14.25" hidden="false" customHeight="true" outlineLevel="0" collapsed="false">
      <c r="A3164" s="51" t="n">
        <v>16624</v>
      </c>
      <c r="B3164" s="52" t="n">
        <v>40806.5270833333</v>
      </c>
      <c r="C3164" s="1" t="n">
        <v>2</v>
      </c>
      <c r="D3164" s="1" t="n">
        <v>810.57</v>
      </c>
    </row>
    <row r="3165" customFormat="false" ht="14.25" hidden="false" customHeight="true" outlineLevel="0" collapsed="false">
      <c r="A3165" s="51" t="n">
        <v>16625</v>
      </c>
      <c r="B3165" s="52" t="n">
        <v>40612.5347222222</v>
      </c>
      <c r="C3165" s="1" t="n">
        <v>1</v>
      </c>
      <c r="D3165" s="1" t="n">
        <v>333.08</v>
      </c>
    </row>
    <row r="3166" customFormat="false" ht="14.25" hidden="false" customHeight="true" outlineLevel="0" collapsed="false">
      <c r="A3166" s="51" t="n">
        <v>16626</v>
      </c>
      <c r="B3166" s="52" t="n">
        <v>40886.4972222222</v>
      </c>
      <c r="C3166" s="1" t="n">
        <v>20</v>
      </c>
      <c r="D3166" s="1" t="n">
        <v>4379.65</v>
      </c>
    </row>
    <row r="3167" customFormat="false" ht="14.25" hidden="false" customHeight="true" outlineLevel="0" collapsed="false">
      <c r="A3167" s="51" t="n">
        <v>16627</v>
      </c>
      <c r="B3167" s="52" t="n">
        <v>40807.6097222222</v>
      </c>
      <c r="C3167" s="1" t="n">
        <v>1</v>
      </c>
      <c r="D3167" s="1" t="n">
        <v>322.8</v>
      </c>
    </row>
    <row r="3168" customFormat="false" ht="14.25" hidden="false" customHeight="true" outlineLevel="0" collapsed="false">
      <c r="A3168" s="51" t="n">
        <v>16628</v>
      </c>
      <c r="B3168" s="52" t="n">
        <v>40857.53125</v>
      </c>
      <c r="C3168" s="1" t="n">
        <v>6</v>
      </c>
      <c r="D3168" s="1" t="n">
        <v>2183.04</v>
      </c>
    </row>
    <row r="3169" customFormat="false" ht="14.25" hidden="false" customHeight="true" outlineLevel="0" collapsed="false">
      <c r="A3169" s="51" t="n">
        <v>16629</v>
      </c>
      <c r="B3169" s="52" t="n">
        <v>40813.4402777778</v>
      </c>
      <c r="C3169" s="1" t="n">
        <v>2</v>
      </c>
      <c r="D3169" s="1" t="n">
        <v>417.73</v>
      </c>
    </row>
    <row r="3170" customFormat="false" ht="14.25" hidden="false" customHeight="true" outlineLevel="0" collapsed="false">
      <c r="A3170" s="51" t="n">
        <v>16633</v>
      </c>
      <c r="B3170" s="52" t="n">
        <v>40869.5701388889</v>
      </c>
      <c r="C3170" s="1" t="n">
        <v>7</v>
      </c>
      <c r="D3170" s="1" t="n">
        <v>2878.15</v>
      </c>
    </row>
    <row r="3171" customFormat="false" ht="14.25" hidden="false" customHeight="true" outlineLevel="0" collapsed="false">
      <c r="A3171" s="51" t="n">
        <v>16634</v>
      </c>
      <c r="B3171" s="52" t="n">
        <v>40664.50625</v>
      </c>
      <c r="C3171" s="1" t="n">
        <v>2</v>
      </c>
      <c r="D3171" s="1" t="n">
        <v>217.9</v>
      </c>
    </row>
    <row r="3172" customFormat="false" ht="14.25" hidden="false" customHeight="true" outlineLevel="0" collapsed="false">
      <c r="A3172" s="51" t="n">
        <v>16637</v>
      </c>
      <c r="B3172" s="52" t="n">
        <v>40854.5534722222</v>
      </c>
      <c r="C3172" s="1" t="n">
        <v>5</v>
      </c>
      <c r="D3172" s="1" t="n">
        <v>1124.59</v>
      </c>
    </row>
    <row r="3173" customFormat="false" ht="14.25" hidden="false" customHeight="true" outlineLevel="0" collapsed="false">
      <c r="A3173" s="51" t="n">
        <v>16638</v>
      </c>
      <c r="B3173" s="52" t="n">
        <v>40864.4645833333</v>
      </c>
      <c r="C3173" s="1" t="n">
        <v>11</v>
      </c>
      <c r="D3173" s="1" t="n">
        <v>1676.47</v>
      </c>
    </row>
    <row r="3174" customFormat="false" ht="14.25" hidden="false" customHeight="true" outlineLevel="0" collapsed="false">
      <c r="A3174" s="51" t="n">
        <v>16639</v>
      </c>
      <c r="B3174" s="52" t="n">
        <v>40861.5743055556</v>
      </c>
      <c r="C3174" s="1" t="n">
        <v>4</v>
      </c>
      <c r="D3174" s="1" t="n">
        <v>1169.38</v>
      </c>
    </row>
    <row r="3175" customFormat="false" ht="14.25" hidden="false" customHeight="true" outlineLevel="0" collapsed="false">
      <c r="A3175" s="51" t="n">
        <v>16641</v>
      </c>
      <c r="B3175" s="52" t="n">
        <v>40781.5340277778</v>
      </c>
      <c r="C3175" s="1" t="n">
        <v>1</v>
      </c>
      <c r="D3175" s="1" t="n">
        <v>231.1</v>
      </c>
    </row>
    <row r="3176" customFormat="false" ht="14.25" hidden="false" customHeight="true" outlineLevel="0" collapsed="false">
      <c r="A3176" s="51" t="n">
        <v>16642</v>
      </c>
      <c r="B3176" s="52" t="n">
        <v>40882.4798611111</v>
      </c>
      <c r="C3176" s="1" t="n">
        <v>3</v>
      </c>
      <c r="D3176" s="1" t="n">
        <v>679.83</v>
      </c>
    </row>
    <row r="3177" customFormat="false" ht="14.25" hidden="false" customHeight="true" outlineLevel="0" collapsed="false">
      <c r="A3177" s="51" t="n">
        <v>16643</v>
      </c>
      <c r="B3177" s="52" t="n">
        <v>40641.35</v>
      </c>
      <c r="C3177" s="1" t="n">
        <v>1</v>
      </c>
      <c r="D3177" s="1" t="n">
        <v>487.51</v>
      </c>
    </row>
    <row r="3178" customFormat="false" ht="14.25" hidden="false" customHeight="true" outlineLevel="0" collapsed="false">
      <c r="A3178" s="51" t="n">
        <v>16644</v>
      </c>
      <c r="B3178" s="52" t="n">
        <v>40709.5270833333</v>
      </c>
      <c r="C3178" s="1" t="n">
        <v>2</v>
      </c>
      <c r="D3178" s="1" t="n">
        <v>833.78</v>
      </c>
    </row>
    <row r="3179" customFormat="false" ht="14.25" hidden="false" customHeight="true" outlineLevel="0" collapsed="false">
      <c r="A3179" s="51" t="n">
        <v>16647</v>
      </c>
      <c r="B3179" s="52" t="n">
        <v>40717.4909722222</v>
      </c>
      <c r="C3179" s="1" t="n">
        <v>2</v>
      </c>
      <c r="D3179" s="1" t="n">
        <v>214.06</v>
      </c>
    </row>
    <row r="3180" customFormat="false" ht="14.25" hidden="false" customHeight="true" outlineLevel="0" collapsed="false">
      <c r="A3180" s="51" t="n">
        <v>16648</v>
      </c>
      <c r="B3180" s="52" t="n">
        <v>40848.4111111111</v>
      </c>
      <c r="C3180" s="1" t="n">
        <v>2</v>
      </c>
      <c r="D3180" s="1" t="n">
        <v>270.86</v>
      </c>
    </row>
    <row r="3181" customFormat="false" ht="14.25" hidden="false" customHeight="true" outlineLevel="0" collapsed="false">
      <c r="A3181" s="51" t="n">
        <v>16650</v>
      </c>
      <c r="B3181" s="52" t="n">
        <v>40815.4104166667</v>
      </c>
      <c r="C3181" s="1" t="n">
        <v>1</v>
      </c>
      <c r="D3181" s="1" t="n">
        <v>518.42</v>
      </c>
    </row>
    <row r="3182" customFormat="false" ht="14.25" hidden="false" customHeight="true" outlineLevel="0" collapsed="false">
      <c r="A3182" s="51" t="n">
        <v>16652</v>
      </c>
      <c r="B3182" s="52" t="n">
        <v>40833.4881944444</v>
      </c>
      <c r="C3182" s="1" t="n">
        <v>11</v>
      </c>
      <c r="D3182" s="1" t="n">
        <v>6654.26</v>
      </c>
    </row>
    <row r="3183" customFormat="false" ht="14.25" hidden="false" customHeight="true" outlineLevel="0" collapsed="false">
      <c r="A3183" s="51" t="n">
        <v>16653</v>
      </c>
      <c r="B3183" s="52" t="n">
        <v>40870.61875</v>
      </c>
      <c r="C3183" s="1" t="n">
        <v>3</v>
      </c>
      <c r="D3183" s="1" t="n">
        <v>1166.92</v>
      </c>
    </row>
    <row r="3184" customFormat="false" ht="14.25" hidden="false" customHeight="true" outlineLevel="0" collapsed="false">
      <c r="A3184" s="51" t="n">
        <v>16654</v>
      </c>
      <c r="B3184" s="52" t="n">
        <v>40745.6409722222</v>
      </c>
      <c r="C3184" s="1" t="n">
        <v>5</v>
      </c>
      <c r="D3184" s="1" t="n">
        <v>594.97</v>
      </c>
    </row>
    <row r="3185" customFormat="false" ht="14.25" hidden="false" customHeight="true" outlineLevel="0" collapsed="false">
      <c r="A3185" s="51" t="n">
        <v>16655</v>
      </c>
      <c r="B3185" s="52" t="n">
        <v>40869.4756944445</v>
      </c>
      <c r="C3185" s="1" t="n">
        <v>6</v>
      </c>
      <c r="D3185" s="1" t="n">
        <v>3794.52</v>
      </c>
    </row>
    <row r="3186" customFormat="false" ht="14.25" hidden="false" customHeight="true" outlineLevel="0" collapsed="false">
      <c r="A3186" s="51" t="n">
        <v>16656</v>
      </c>
      <c r="B3186" s="52" t="n">
        <v>40864.6131944444</v>
      </c>
      <c r="C3186" s="1" t="n">
        <v>21</v>
      </c>
      <c r="D3186" s="1" t="n">
        <v>8568.24</v>
      </c>
    </row>
    <row r="3187" customFormat="false" ht="14.25" hidden="false" customHeight="true" outlineLevel="0" collapsed="false">
      <c r="A3187" s="51" t="n">
        <v>16657</v>
      </c>
      <c r="B3187" s="52" t="n">
        <v>40877.4916666667</v>
      </c>
      <c r="C3187" s="1" t="n">
        <v>4</v>
      </c>
      <c r="D3187" s="1" t="n">
        <v>933.62</v>
      </c>
    </row>
    <row r="3188" customFormat="false" ht="14.25" hidden="false" customHeight="true" outlineLevel="0" collapsed="false">
      <c r="A3188" s="51" t="n">
        <v>16658</v>
      </c>
      <c r="B3188" s="52" t="n">
        <v>40518.5743055556</v>
      </c>
      <c r="C3188" s="1" t="n">
        <v>1</v>
      </c>
      <c r="D3188" s="1" t="n">
        <v>123.24</v>
      </c>
    </row>
    <row r="3189" customFormat="false" ht="14.25" hidden="false" customHeight="true" outlineLevel="0" collapsed="false">
      <c r="A3189" s="51" t="n">
        <v>16659</v>
      </c>
      <c r="B3189" s="52" t="n">
        <v>40697.6270833333</v>
      </c>
      <c r="C3189" s="1" t="n">
        <v>1</v>
      </c>
      <c r="D3189" s="1" t="n">
        <v>39.12</v>
      </c>
    </row>
    <row r="3190" customFormat="false" ht="14.25" hidden="false" customHeight="true" outlineLevel="0" collapsed="false">
      <c r="A3190" s="51" t="n">
        <v>16660</v>
      </c>
      <c r="B3190" s="52" t="n">
        <v>40870.6201388889</v>
      </c>
      <c r="C3190" s="1" t="n">
        <v>5</v>
      </c>
      <c r="D3190" s="1" t="n">
        <v>810.45</v>
      </c>
    </row>
    <row r="3191" customFormat="false" ht="14.25" hidden="false" customHeight="true" outlineLevel="0" collapsed="false">
      <c r="A3191" s="51" t="n">
        <v>16665</v>
      </c>
      <c r="B3191" s="52" t="n">
        <v>40524.5854166667</v>
      </c>
      <c r="C3191" s="1" t="n">
        <v>1</v>
      </c>
      <c r="D3191" s="1" t="n">
        <v>135.4</v>
      </c>
    </row>
    <row r="3192" customFormat="false" ht="14.25" hidden="false" customHeight="true" outlineLevel="0" collapsed="false">
      <c r="A3192" s="51" t="n">
        <v>16666</v>
      </c>
      <c r="B3192" s="52" t="n">
        <v>40867.5840277778</v>
      </c>
      <c r="C3192" s="1" t="n">
        <v>1</v>
      </c>
      <c r="D3192" s="1" t="n">
        <v>118.98</v>
      </c>
    </row>
    <row r="3193" customFormat="false" ht="14.25" hidden="false" customHeight="true" outlineLevel="0" collapsed="false">
      <c r="A3193" s="51" t="n">
        <v>16667</v>
      </c>
      <c r="B3193" s="52" t="n">
        <v>40818.6430555556</v>
      </c>
      <c r="C3193" s="1" t="n">
        <v>2</v>
      </c>
      <c r="D3193" s="1" t="n">
        <v>570.13</v>
      </c>
    </row>
    <row r="3194" customFormat="false" ht="14.25" hidden="false" customHeight="true" outlineLevel="0" collapsed="false">
      <c r="A3194" s="51" t="n">
        <v>16668</v>
      </c>
      <c r="B3194" s="52" t="n">
        <v>40871.7381944444</v>
      </c>
      <c r="C3194" s="1" t="n">
        <v>6</v>
      </c>
      <c r="D3194" s="1" t="n">
        <v>306.72</v>
      </c>
    </row>
    <row r="3195" customFormat="false" ht="14.25" hidden="false" customHeight="true" outlineLevel="0" collapsed="false">
      <c r="A3195" s="51" t="n">
        <v>16669</v>
      </c>
      <c r="B3195" s="52" t="n">
        <v>40863.5180555556</v>
      </c>
      <c r="C3195" s="1" t="n">
        <v>4</v>
      </c>
      <c r="D3195" s="1" t="n">
        <v>1370.87</v>
      </c>
    </row>
    <row r="3196" customFormat="false" ht="14.25" hidden="false" customHeight="true" outlineLevel="0" collapsed="false">
      <c r="A3196" s="51" t="n">
        <v>16670</v>
      </c>
      <c r="B3196" s="52" t="n">
        <v>40870.3986111111</v>
      </c>
      <c r="C3196" s="1" t="n">
        <v>17</v>
      </c>
      <c r="D3196" s="1" t="n">
        <v>4022.46</v>
      </c>
    </row>
    <row r="3197" customFormat="false" ht="14.25" hidden="false" customHeight="true" outlineLevel="0" collapsed="false">
      <c r="A3197" s="51" t="n">
        <v>16671</v>
      </c>
      <c r="B3197" s="52" t="n">
        <v>40858.5694444445</v>
      </c>
      <c r="C3197" s="1" t="n">
        <v>3</v>
      </c>
      <c r="D3197" s="1" t="n">
        <v>1692.27</v>
      </c>
    </row>
    <row r="3198" customFormat="false" ht="14.25" hidden="false" customHeight="true" outlineLevel="0" collapsed="false">
      <c r="A3198" s="51" t="n">
        <v>16672</v>
      </c>
      <c r="B3198" s="52" t="n">
        <v>40884.6868055556</v>
      </c>
      <c r="C3198" s="1" t="n">
        <v>23</v>
      </c>
      <c r="D3198" s="1" t="n">
        <v>8093.59</v>
      </c>
    </row>
    <row r="3199" customFormat="false" ht="14.25" hidden="false" customHeight="true" outlineLevel="0" collapsed="false">
      <c r="A3199" s="51" t="n">
        <v>16674</v>
      </c>
      <c r="B3199" s="52" t="n">
        <v>40832.4798611111</v>
      </c>
      <c r="C3199" s="1" t="n">
        <v>2</v>
      </c>
      <c r="D3199" s="1" t="n">
        <v>319.61</v>
      </c>
    </row>
    <row r="3200" customFormat="false" ht="14.25" hidden="false" customHeight="true" outlineLevel="0" collapsed="false">
      <c r="A3200" s="51" t="n">
        <v>16676</v>
      </c>
      <c r="B3200" s="52" t="n">
        <v>40853.5006944445</v>
      </c>
      <c r="C3200" s="1" t="n">
        <v>5</v>
      </c>
      <c r="D3200" s="1" t="n">
        <v>1558.72</v>
      </c>
    </row>
    <row r="3201" customFormat="false" ht="14.25" hidden="false" customHeight="true" outlineLevel="0" collapsed="false">
      <c r="A3201" s="51" t="n">
        <v>16678</v>
      </c>
      <c r="B3201" s="52" t="n">
        <v>40884.5118055556</v>
      </c>
      <c r="C3201" s="1" t="n">
        <v>17</v>
      </c>
      <c r="D3201" s="1" t="n">
        <v>3013.83</v>
      </c>
    </row>
    <row r="3202" customFormat="false" ht="14.25" hidden="false" customHeight="true" outlineLevel="0" collapsed="false">
      <c r="A3202" s="51" t="n">
        <v>16679</v>
      </c>
      <c r="B3202" s="52" t="n">
        <v>40520.5770833333</v>
      </c>
      <c r="C3202" s="1" t="n">
        <v>1</v>
      </c>
      <c r="D3202" s="1" t="n">
        <v>129.75</v>
      </c>
    </row>
    <row r="3203" customFormat="false" ht="14.25" hidden="false" customHeight="true" outlineLevel="0" collapsed="false">
      <c r="A3203" s="51" t="n">
        <v>16680</v>
      </c>
      <c r="B3203" s="52" t="n">
        <v>40843.7326388889</v>
      </c>
      <c r="C3203" s="1" t="n">
        <v>1</v>
      </c>
      <c r="D3203" s="1" t="n">
        <v>183.7</v>
      </c>
    </row>
    <row r="3204" customFormat="false" ht="14.25" hidden="false" customHeight="true" outlineLevel="0" collapsed="false">
      <c r="A3204" s="51" t="n">
        <v>16681</v>
      </c>
      <c r="B3204" s="52" t="n">
        <v>40814.4659722222</v>
      </c>
      <c r="C3204" s="1" t="n">
        <v>6</v>
      </c>
      <c r="D3204" s="1" t="n">
        <v>1770.34</v>
      </c>
    </row>
    <row r="3205" customFormat="false" ht="14.25" hidden="false" customHeight="true" outlineLevel="0" collapsed="false">
      <c r="A3205" s="51" t="n">
        <v>16682</v>
      </c>
      <c r="B3205" s="52" t="n">
        <v>40882.5090277778</v>
      </c>
      <c r="C3205" s="1" t="n">
        <v>5</v>
      </c>
      <c r="D3205" s="1" t="n">
        <v>1028</v>
      </c>
    </row>
    <row r="3206" customFormat="false" ht="14.25" hidden="false" customHeight="true" outlineLevel="0" collapsed="false">
      <c r="A3206" s="51" t="n">
        <v>16684</v>
      </c>
      <c r="B3206" s="52" t="n">
        <v>40882.5875</v>
      </c>
      <c r="C3206" s="1" t="n">
        <v>31</v>
      </c>
      <c r="D3206" s="1" t="n">
        <v>65892.08</v>
      </c>
    </row>
    <row r="3207" customFormat="false" ht="14.25" hidden="false" customHeight="true" outlineLevel="0" collapsed="false">
      <c r="A3207" s="51" t="n">
        <v>16685</v>
      </c>
      <c r="B3207" s="52" t="n">
        <v>40825.5819444444</v>
      </c>
      <c r="C3207" s="1" t="n">
        <v>2</v>
      </c>
      <c r="D3207" s="1" t="n">
        <v>324.24</v>
      </c>
    </row>
    <row r="3208" customFormat="false" ht="14.25" hidden="false" customHeight="true" outlineLevel="0" collapsed="false">
      <c r="A3208" s="51" t="n">
        <v>16686</v>
      </c>
      <c r="B3208" s="52" t="n">
        <v>40839.5756944444</v>
      </c>
      <c r="C3208" s="1" t="n">
        <v>9</v>
      </c>
      <c r="D3208" s="1" t="n">
        <v>3043.48</v>
      </c>
    </row>
    <row r="3209" customFormat="false" ht="14.25" hidden="false" customHeight="true" outlineLevel="0" collapsed="false">
      <c r="A3209" s="51" t="n">
        <v>16688</v>
      </c>
      <c r="B3209" s="52" t="n">
        <v>40885.6416666667</v>
      </c>
      <c r="C3209" s="1" t="n">
        <v>4</v>
      </c>
      <c r="D3209" s="1" t="n">
        <v>1260.86</v>
      </c>
    </row>
    <row r="3210" customFormat="false" ht="14.25" hidden="false" customHeight="true" outlineLevel="0" collapsed="false">
      <c r="A3210" s="51" t="n">
        <v>16689</v>
      </c>
      <c r="B3210" s="52" t="n">
        <v>40811.4854166667</v>
      </c>
      <c r="C3210" s="1" t="n">
        <v>3</v>
      </c>
      <c r="D3210" s="1" t="n">
        <v>303.26</v>
      </c>
    </row>
    <row r="3211" customFormat="false" ht="14.25" hidden="false" customHeight="true" outlineLevel="0" collapsed="false">
      <c r="A3211" s="51" t="n">
        <v>16690</v>
      </c>
      <c r="B3211" s="52" t="n">
        <v>40843.4569444444</v>
      </c>
      <c r="C3211" s="1" t="n">
        <v>3</v>
      </c>
      <c r="D3211" s="1" t="n">
        <v>208.63</v>
      </c>
    </row>
    <row r="3212" customFormat="false" ht="14.25" hidden="false" customHeight="true" outlineLevel="0" collapsed="false">
      <c r="A3212" s="51" t="n">
        <v>16692</v>
      </c>
      <c r="B3212" s="52" t="n">
        <v>40630.6152777778</v>
      </c>
      <c r="C3212" s="1" t="n">
        <v>2</v>
      </c>
      <c r="D3212" s="1" t="n">
        <v>1276</v>
      </c>
    </row>
    <row r="3213" customFormat="false" ht="14.25" hidden="false" customHeight="true" outlineLevel="0" collapsed="false">
      <c r="A3213" s="51" t="n">
        <v>16693</v>
      </c>
      <c r="B3213" s="52" t="n">
        <v>40818.4652777778</v>
      </c>
      <c r="C3213" s="1" t="n">
        <v>2</v>
      </c>
      <c r="D3213" s="1" t="n">
        <v>482.01</v>
      </c>
    </row>
    <row r="3214" customFormat="false" ht="14.25" hidden="false" customHeight="true" outlineLevel="0" collapsed="false">
      <c r="A3214" s="51" t="n">
        <v>16696</v>
      </c>
      <c r="B3214" s="52" t="n">
        <v>40751.5993055556</v>
      </c>
      <c r="C3214" s="1" t="n">
        <v>4</v>
      </c>
      <c r="D3214" s="1" t="n">
        <v>657.9</v>
      </c>
    </row>
    <row r="3215" customFormat="false" ht="14.25" hidden="false" customHeight="true" outlineLevel="0" collapsed="false">
      <c r="A3215" s="51" t="n">
        <v>16697</v>
      </c>
      <c r="B3215" s="52" t="n">
        <v>40645.7166666667</v>
      </c>
      <c r="C3215" s="1" t="n">
        <v>1</v>
      </c>
      <c r="D3215" s="1" t="n">
        <v>112.75</v>
      </c>
    </row>
    <row r="3216" customFormat="false" ht="14.25" hidden="false" customHeight="true" outlineLevel="0" collapsed="false">
      <c r="A3216" s="51" t="n">
        <v>16698</v>
      </c>
      <c r="B3216" s="52" t="n">
        <v>40660.4527777778</v>
      </c>
      <c r="C3216" s="1" t="n">
        <v>2</v>
      </c>
      <c r="D3216" s="1" t="n">
        <v>1998</v>
      </c>
    </row>
    <row r="3217" customFormat="false" ht="14.25" hidden="false" customHeight="true" outlineLevel="0" collapsed="false">
      <c r="A3217" s="51" t="n">
        <v>16700</v>
      </c>
      <c r="B3217" s="52" t="n">
        <v>40878.4583333333</v>
      </c>
      <c r="C3217" s="1" t="n">
        <v>17</v>
      </c>
      <c r="D3217" s="1" t="n">
        <v>5040</v>
      </c>
    </row>
    <row r="3218" customFormat="false" ht="14.25" hidden="false" customHeight="true" outlineLevel="0" collapsed="false">
      <c r="A3218" s="51" t="n">
        <v>16701</v>
      </c>
      <c r="B3218" s="52" t="n">
        <v>40878.4652777778</v>
      </c>
      <c r="C3218" s="1" t="n">
        <v>18</v>
      </c>
      <c r="D3218" s="1" t="n">
        <v>5150.27</v>
      </c>
    </row>
    <row r="3219" customFormat="false" ht="14.25" hidden="false" customHeight="true" outlineLevel="0" collapsed="false">
      <c r="A3219" s="51" t="n">
        <v>16705</v>
      </c>
      <c r="B3219" s="52" t="n">
        <v>40886.5055555556</v>
      </c>
      <c r="C3219" s="1" t="n">
        <v>29</v>
      </c>
      <c r="D3219" s="1" t="n">
        <v>13946.13</v>
      </c>
    </row>
    <row r="3220" customFormat="false" ht="14.25" hidden="false" customHeight="true" outlineLevel="0" collapsed="false">
      <c r="A3220" s="51" t="n">
        <v>16706</v>
      </c>
      <c r="B3220" s="52" t="n">
        <v>40849.5763888889</v>
      </c>
      <c r="C3220" s="1" t="n">
        <v>3</v>
      </c>
      <c r="D3220" s="1" t="n">
        <v>531.35</v>
      </c>
    </row>
    <row r="3221" customFormat="false" ht="14.25" hidden="false" customHeight="true" outlineLevel="0" collapsed="false">
      <c r="A3221" s="51" t="n">
        <v>16708</v>
      </c>
      <c r="B3221" s="52" t="n">
        <v>40841.5138888889</v>
      </c>
      <c r="C3221" s="1" t="n">
        <v>1</v>
      </c>
      <c r="D3221" s="1" t="n">
        <v>656.63</v>
      </c>
    </row>
    <row r="3222" customFormat="false" ht="14.25" hidden="false" customHeight="true" outlineLevel="0" collapsed="false">
      <c r="A3222" s="51" t="n">
        <v>16709</v>
      </c>
      <c r="B3222" s="52" t="n">
        <v>40802.4555555556</v>
      </c>
      <c r="C3222" s="1" t="n">
        <v>5</v>
      </c>
      <c r="D3222" s="1" t="n">
        <v>3029.87</v>
      </c>
    </row>
    <row r="3223" customFormat="false" ht="14.25" hidden="false" customHeight="true" outlineLevel="0" collapsed="false">
      <c r="A3223" s="51" t="n">
        <v>16710</v>
      </c>
      <c r="B3223" s="52" t="n">
        <v>40867.6180555556</v>
      </c>
      <c r="C3223" s="1" t="n">
        <v>10</v>
      </c>
      <c r="D3223" s="1" t="n">
        <v>2483.04</v>
      </c>
    </row>
    <row r="3224" customFormat="false" ht="14.25" hidden="false" customHeight="true" outlineLevel="0" collapsed="false">
      <c r="A3224" s="51" t="n">
        <v>16711</v>
      </c>
      <c r="B3224" s="52" t="n">
        <v>40883.6888888889</v>
      </c>
      <c r="C3224" s="1" t="n">
        <v>5</v>
      </c>
      <c r="D3224" s="1" t="n">
        <v>1651.03</v>
      </c>
    </row>
    <row r="3225" customFormat="false" ht="14.25" hidden="false" customHeight="true" outlineLevel="0" collapsed="false">
      <c r="A3225" s="51" t="n">
        <v>16712</v>
      </c>
      <c r="B3225" s="52" t="n">
        <v>40877.575</v>
      </c>
      <c r="C3225" s="1" t="n">
        <v>11</v>
      </c>
      <c r="D3225" s="1" t="n">
        <v>3645.43</v>
      </c>
    </row>
    <row r="3226" customFormat="false" ht="14.25" hidden="false" customHeight="true" outlineLevel="0" collapsed="false">
      <c r="A3226" s="51" t="n">
        <v>16713</v>
      </c>
      <c r="B3226" s="52" t="n">
        <v>40868.525</v>
      </c>
      <c r="C3226" s="1" t="n">
        <v>21</v>
      </c>
      <c r="D3226" s="1" t="n">
        <v>6840.23</v>
      </c>
    </row>
    <row r="3227" customFormat="false" ht="14.25" hidden="false" customHeight="true" outlineLevel="0" collapsed="false">
      <c r="A3227" s="51" t="n">
        <v>16714</v>
      </c>
      <c r="B3227" s="52" t="n">
        <v>40668.4645833333</v>
      </c>
      <c r="C3227" s="1" t="n">
        <v>4</v>
      </c>
      <c r="D3227" s="1" t="n">
        <v>911.529999999999</v>
      </c>
    </row>
    <row r="3228" customFormat="false" ht="14.25" hidden="false" customHeight="true" outlineLevel="0" collapsed="false">
      <c r="A3228" s="51" t="n">
        <v>16715</v>
      </c>
      <c r="B3228" s="52" t="n">
        <v>40808.7604166667</v>
      </c>
      <c r="C3228" s="1" t="n">
        <v>1</v>
      </c>
      <c r="D3228" s="1" t="n">
        <v>301.72</v>
      </c>
    </row>
    <row r="3229" customFormat="false" ht="14.25" hidden="false" customHeight="true" outlineLevel="0" collapsed="false">
      <c r="A3229" s="51" t="n">
        <v>16716</v>
      </c>
      <c r="B3229" s="52" t="n">
        <v>40620.41875</v>
      </c>
      <c r="C3229" s="1" t="n">
        <v>3</v>
      </c>
      <c r="D3229" s="1" t="n">
        <v>319.8</v>
      </c>
    </row>
    <row r="3230" customFormat="false" ht="14.25" hidden="false" customHeight="true" outlineLevel="0" collapsed="false">
      <c r="A3230" s="51" t="n">
        <v>16717</v>
      </c>
      <c r="B3230" s="52" t="n">
        <v>40877.7375</v>
      </c>
      <c r="C3230" s="1" t="n">
        <v>9</v>
      </c>
      <c r="D3230" s="1" t="n">
        <v>3278.36</v>
      </c>
    </row>
    <row r="3231" customFormat="false" ht="14.25" hidden="false" customHeight="true" outlineLevel="0" collapsed="false">
      <c r="A3231" s="51" t="n">
        <v>16718</v>
      </c>
      <c r="B3231" s="52" t="n">
        <v>40517.54375</v>
      </c>
      <c r="C3231" s="1" t="n">
        <v>1</v>
      </c>
      <c r="D3231" s="1" t="n">
        <v>623.75</v>
      </c>
    </row>
    <row r="3232" customFormat="false" ht="14.25" hidden="false" customHeight="true" outlineLevel="0" collapsed="false">
      <c r="A3232" s="51" t="n">
        <v>16719</v>
      </c>
      <c r="B3232" s="52" t="n">
        <v>40872.39375</v>
      </c>
      <c r="C3232" s="1" t="n">
        <v>8</v>
      </c>
      <c r="D3232" s="1" t="n">
        <v>1773.92</v>
      </c>
    </row>
    <row r="3233" customFormat="false" ht="14.25" hidden="false" customHeight="true" outlineLevel="0" collapsed="false">
      <c r="A3233" s="51" t="n">
        <v>16720</v>
      </c>
      <c r="B3233" s="52" t="n">
        <v>40860.6819444444</v>
      </c>
      <c r="C3233" s="1" t="n">
        <v>1</v>
      </c>
      <c r="D3233" s="1" t="n">
        <v>155.24</v>
      </c>
    </row>
    <row r="3234" customFormat="false" ht="14.25" hidden="false" customHeight="true" outlineLevel="0" collapsed="false">
      <c r="A3234" s="51" t="n">
        <v>16721</v>
      </c>
      <c r="B3234" s="52" t="n">
        <v>40624.6722222222</v>
      </c>
      <c r="C3234" s="1" t="n">
        <v>1</v>
      </c>
      <c r="D3234" s="1" t="n">
        <v>292.47</v>
      </c>
    </row>
    <row r="3235" customFormat="false" ht="14.25" hidden="false" customHeight="true" outlineLevel="0" collapsed="false">
      <c r="A3235" s="51" t="n">
        <v>16722</v>
      </c>
      <c r="B3235" s="52" t="n">
        <v>40869.5611111111</v>
      </c>
      <c r="C3235" s="1" t="n">
        <v>16</v>
      </c>
      <c r="D3235" s="1" t="n">
        <v>4711.21</v>
      </c>
    </row>
    <row r="3236" customFormat="false" ht="14.25" hidden="false" customHeight="true" outlineLevel="0" collapsed="false">
      <c r="A3236" s="51" t="n">
        <v>16723</v>
      </c>
      <c r="B3236" s="52" t="n">
        <v>40795.5423611111</v>
      </c>
      <c r="C3236" s="1" t="n">
        <v>2</v>
      </c>
      <c r="D3236" s="1" t="n">
        <v>589.15</v>
      </c>
    </row>
    <row r="3237" customFormat="false" ht="14.25" hidden="false" customHeight="true" outlineLevel="0" collapsed="false">
      <c r="A3237" s="51" t="n">
        <v>16725</v>
      </c>
      <c r="B3237" s="52" t="n">
        <v>40584.7027777778</v>
      </c>
      <c r="C3237" s="1" t="n">
        <v>8</v>
      </c>
      <c r="D3237" s="1" t="n">
        <v>775.07</v>
      </c>
    </row>
    <row r="3238" customFormat="false" ht="14.25" hidden="false" customHeight="true" outlineLevel="0" collapsed="false">
      <c r="A3238" s="51" t="n">
        <v>16726</v>
      </c>
      <c r="B3238" s="52" t="n">
        <v>40860.6201388889</v>
      </c>
      <c r="C3238" s="1" t="n">
        <v>5</v>
      </c>
      <c r="D3238" s="1" t="n">
        <v>1382.02</v>
      </c>
    </row>
    <row r="3239" customFormat="false" ht="14.25" hidden="false" customHeight="true" outlineLevel="0" collapsed="false">
      <c r="A3239" s="51" t="n">
        <v>16727</v>
      </c>
      <c r="B3239" s="52" t="n">
        <v>40522.575</v>
      </c>
      <c r="C3239" s="1" t="n">
        <v>1</v>
      </c>
      <c r="D3239" s="1" t="n">
        <v>272.82</v>
      </c>
    </row>
    <row r="3240" customFormat="false" ht="14.25" hidden="false" customHeight="true" outlineLevel="0" collapsed="false">
      <c r="A3240" s="51" t="n">
        <v>16728</v>
      </c>
      <c r="B3240" s="52" t="n">
        <v>40840.6083333333</v>
      </c>
      <c r="C3240" s="1" t="n">
        <v>4</v>
      </c>
      <c r="D3240" s="1" t="n">
        <v>1054.67</v>
      </c>
    </row>
    <row r="3241" customFormat="false" ht="14.25" hidden="false" customHeight="true" outlineLevel="0" collapsed="false">
      <c r="A3241" s="51" t="n">
        <v>16729</v>
      </c>
      <c r="B3241" s="52" t="n">
        <v>40850.7993055556</v>
      </c>
      <c r="C3241" s="1" t="n">
        <v>26</v>
      </c>
      <c r="D3241" s="1" t="n">
        <v>7076.27999999999</v>
      </c>
    </row>
    <row r="3242" customFormat="false" ht="14.25" hidden="false" customHeight="true" outlineLevel="0" collapsed="false">
      <c r="A3242" s="51" t="n">
        <v>16730</v>
      </c>
      <c r="B3242" s="52" t="n">
        <v>40834.5909722222</v>
      </c>
      <c r="C3242" s="1" t="n">
        <v>4</v>
      </c>
      <c r="D3242" s="1" t="n">
        <v>702.79</v>
      </c>
    </row>
    <row r="3243" customFormat="false" ht="14.25" hidden="false" customHeight="true" outlineLevel="0" collapsed="false">
      <c r="A3243" s="51" t="n">
        <v>16732</v>
      </c>
      <c r="B3243" s="52" t="n">
        <v>40855.4125</v>
      </c>
      <c r="C3243" s="1" t="n">
        <v>1</v>
      </c>
      <c r="D3243" s="1" t="n">
        <v>603.75</v>
      </c>
    </row>
    <row r="3244" customFormat="false" ht="14.25" hidden="false" customHeight="true" outlineLevel="0" collapsed="false">
      <c r="A3244" s="51" t="n">
        <v>16734</v>
      </c>
      <c r="B3244" s="52" t="n">
        <v>40834.5722222222</v>
      </c>
      <c r="C3244" s="1" t="n">
        <v>3</v>
      </c>
      <c r="D3244" s="1" t="n">
        <v>650.51</v>
      </c>
    </row>
    <row r="3245" customFormat="false" ht="14.25" hidden="false" customHeight="true" outlineLevel="0" collapsed="false">
      <c r="A3245" s="51" t="n">
        <v>16735</v>
      </c>
      <c r="B3245" s="52" t="n">
        <v>40808.4923611111</v>
      </c>
      <c r="C3245" s="1" t="n">
        <v>7</v>
      </c>
      <c r="D3245" s="1" t="n">
        <v>2269.21</v>
      </c>
    </row>
    <row r="3246" customFormat="false" ht="14.25" hidden="false" customHeight="true" outlineLevel="0" collapsed="false">
      <c r="A3246" s="51" t="n">
        <v>16737</v>
      </c>
      <c r="B3246" s="52" t="n">
        <v>40833.54375</v>
      </c>
      <c r="C3246" s="1" t="n">
        <v>1</v>
      </c>
      <c r="D3246" s="1" t="n">
        <v>417.6</v>
      </c>
    </row>
    <row r="3247" customFormat="false" ht="14.25" hidden="false" customHeight="true" outlineLevel="0" collapsed="false">
      <c r="A3247" s="51" t="n">
        <v>16738</v>
      </c>
      <c r="B3247" s="52" t="n">
        <v>40589.4069444445</v>
      </c>
      <c r="C3247" s="1" t="n">
        <v>1</v>
      </c>
      <c r="D3247" s="1" t="n">
        <v>3.75</v>
      </c>
    </row>
    <row r="3248" customFormat="false" ht="14.25" hidden="false" customHeight="true" outlineLevel="0" collapsed="false">
      <c r="A3248" s="51" t="n">
        <v>16739</v>
      </c>
      <c r="B3248" s="52" t="n">
        <v>40714.71875</v>
      </c>
      <c r="C3248" s="1" t="n">
        <v>2</v>
      </c>
      <c r="D3248" s="1" t="n">
        <v>312.55</v>
      </c>
    </row>
    <row r="3249" customFormat="false" ht="14.25" hidden="false" customHeight="true" outlineLevel="0" collapsed="false">
      <c r="A3249" s="51" t="n">
        <v>16742</v>
      </c>
      <c r="B3249" s="52" t="n">
        <v>40840.5013888889</v>
      </c>
      <c r="C3249" s="1" t="n">
        <v>2</v>
      </c>
      <c r="D3249" s="1" t="n">
        <v>0</v>
      </c>
    </row>
    <row r="3250" customFormat="false" ht="14.25" hidden="false" customHeight="true" outlineLevel="0" collapsed="false">
      <c r="A3250" s="51" t="n">
        <v>16743</v>
      </c>
      <c r="B3250" s="52" t="n">
        <v>40857.5506944444</v>
      </c>
      <c r="C3250" s="1" t="n">
        <v>8</v>
      </c>
      <c r="D3250" s="1" t="n">
        <v>2191.84</v>
      </c>
    </row>
    <row r="3251" customFormat="false" ht="14.25" hidden="false" customHeight="true" outlineLevel="0" collapsed="false">
      <c r="A3251" s="51" t="n">
        <v>16744</v>
      </c>
      <c r="B3251" s="52" t="n">
        <v>40875.5458333333</v>
      </c>
      <c r="C3251" s="1" t="n">
        <v>7</v>
      </c>
      <c r="D3251" s="1" t="n">
        <v>1304.76</v>
      </c>
    </row>
    <row r="3252" customFormat="false" ht="14.25" hidden="false" customHeight="true" outlineLevel="0" collapsed="false">
      <c r="A3252" s="51" t="n">
        <v>16745</v>
      </c>
      <c r="B3252" s="52" t="n">
        <v>40800.4986111111</v>
      </c>
      <c r="C3252" s="1" t="n">
        <v>18</v>
      </c>
      <c r="D3252" s="1" t="n">
        <v>7170.70000000001</v>
      </c>
    </row>
    <row r="3253" customFormat="false" ht="14.25" hidden="false" customHeight="true" outlineLevel="0" collapsed="false">
      <c r="A3253" s="51" t="n">
        <v>16746</v>
      </c>
      <c r="B3253" s="52" t="n">
        <v>40882.5229166667</v>
      </c>
      <c r="C3253" s="1" t="n">
        <v>19</v>
      </c>
      <c r="D3253" s="1" t="n">
        <v>6694.31000000001</v>
      </c>
    </row>
    <row r="3254" customFormat="false" ht="14.25" hidden="false" customHeight="true" outlineLevel="0" collapsed="false">
      <c r="A3254" s="51" t="n">
        <v>16747</v>
      </c>
      <c r="B3254" s="52" t="n">
        <v>40861.5673611111</v>
      </c>
      <c r="C3254" s="1" t="n">
        <v>4</v>
      </c>
      <c r="D3254" s="1" t="n">
        <v>826.96</v>
      </c>
    </row>
    <row r="3255" customFormat="false" ht="14.25" hidden="false" customHeight="true" outlineLevel="0" collapsed="false">
      <c r="A3255" s="51" t="n">
        <v>16748</v>
      </c>
      <c r="B3255" s="52" t="n">
        <v>40869.4284722222</v>
      </c>
      <c r="C3255" s="1" t="n">
        <v>5</v>
      </c>
      <c r="D3255" s="1" t="n">
        <v>1515.9</v>
      </c>
    </row>
    <row r="3256" customFormat="false" ht="14.25" hidden="false" customHeight="true" outlineLevel="0" collapsed="false">
      <c r="A3256" s="51" t="n">
        <v>16750</v>
      </c>
      <c r="B3256" s="52" t="n">
        <v>40842.5333333333</v>
      </c>
      <c r="C3256" s="1" t="n">
        <v>5</v>
      </c>
      <c r="D3256" s="1" t="n">
        <v>623.93</v>
      </c>
    </row>
    <row r="3257" customFormat="false" ht="14.25" hidden="false" customHeight="true" outlineLevel="0" collapsed="false">
      <c r="A3257" s="51" t="n">
        <v>16751</v>
      </c>
      <c r="B3257" s="52" t="n">
        <v>40856.45</v>
      </c>
      <c r="C3257" s="1" t="n">
        <v>1</v>
      </c>
      <c r="D3257" s="1" t="n">
        <v>1764.72</v>
      </c>
    </row>
    <row r="3258" customFormat="false" ht="14.25" hidden="false" customHeight="true" outlineLevel="0" collapsed="false">
      <c r="A3258" s="51" t="n">
        <v>16752</v>
      </c>
      <c r="B3258" s="52" t="n">
        <v>40514.5125</v>
      </c>
      <c r="C3258" s="1" t="n">
        <v>1</v>
      </c>
      <c r="D3258" s="1" t="n">
        <v>207.5</v>
      </c>
    </row>
    <row r="3259" customFormat="false" ht="14.25" hidden="false" customHeight="true" outlineLevel="0" collapsed="false">
      <c r="A3259" s="51" t="n">
        <v>16753</v>
      </c>
      <c r="B3259" s="52" t="n">
        <v>40828.5513888889</v>
      </c>
      <c r="C3259" s="1" t="n">
        <v>1</v>
      </c>
      <c r="D3259" s="1" t="n">
        <v>223.92</v>
      </c>
    </row>
    <row r="3260" customFormat="false" ht="14.25" hidden="false" customHeight="true" outlineLevel="0" collapsed="false">
      <c r="A3260" s="51" t="n">
        <v>16754</v>
      </c>
      <c r="B3260" s="52" t="n">
        <v>40514.7347222222</v>
      </c>
      <c r="C3260" s="1" t="n">
        <v>1</v>
      </c>
      <c r="D3260" s="1" t="n">
        <v>2002.4</v>
      </c>
    </row>
    <row r="3261" customFormat="false" ht="14.25" hidden="false" customHeight="true" outlineLevel="0" collapsed="false">
      <c r="A3261" s="51" t="n">
        <v>16755</v>
      </c>
      <c r="B3261" s="52" t="n">
        <v>40772.55625</v>
      </c>
      <c r="C3261" s="1" t="n">
        <v>5</v>
      </c>
      <c r="D3261" s="1" t="n">
        <v>1484.63</v>
      </c>
    </row>
    <row r="3262" customFormat="false" ht="14.25" hidden="false" customHeight="true" outlineLevel="0" collapsed="false">
      <c r="A3262" s="51" t="n">
        <v>16756</v>
      </c>
      <c r="B3262" s="52" t="n">
        <v>40672.3979166667</v>
      </c>
      <c r="C3262" s="1" t="n">
        <v>1</v>
      </c>
      <c r="D3262" s="1" t="n">
        <v>239.4</v>
      </c>
    </row>
    <row r="3263" customFormat="false" ht="14.25" hidden="false" customHeight="true" outlineLevel="0" collapsed="false">
      <c r="A3263" s="51" t="n">
        <v>16757</v>
      </c>
      <c r="B3263" s="52" t="n">
        <v>40568.4993055556</v>
      </c>
      <c r="C3263" s="1" t="n">
        <v>1</v>
      </c>
      <c r="D3263" s="1" t="n">
        <v>106.83</v>
      </c>
    </row>
    <row r="3264" customFormat="false" ht="14.25" hidden="false" customHeight="true" outlineLevel="0" collapsed="false">
      <c r="A3264" s="51" t="n">
        <v>16758</v>
      </c>
      <c r="B3264" s="52" t="n">
        <v>40821.6159722222</v>
      </c>
      <c r="C3264" s="1" t="n">
        <v>1</v>
      </c>
      <c r="D3264" s="1" t="n">
        <v>369.34</v>
      </c>
    </row>
    <row r="3265" customFormat="false" ht="14.25" hidden="false" customHeight="true" outlineLevel="0" collapsed="false">
      <c r="A3265" s="51" t="n">
        <v>16759</v>
      </c>
      <c r="B3265" s="52" t="n">
        <v>40879.5291666667</v>
      </c>
      <c r="C3265" s="1" t="n">
        <v>4</v>
      </c>
      <c r="D3265" s="1" t="n">
        <v>772.84</v>
      </c>
    </row>
    <row r="3266" customFormat="false" ht="14.25" hidden="false" customHeight="true" outlineLevel="0" collapsed="false">
      <c r="A3266" s="51" t="n">
        <v>16761</v>
      </c>
      <c r="B3266" s="52" t="n">
        <v>40790.46875</v>
      </c>
      <c r="C3266" s="1" t="n">
        <v>1</v>
      </c>
      <c r="D3266" s="1" t="n">
        <v>316.62</v>
      </c>
    </row>
    <row r="3267" customFormat="false" ht="14.25" hidden="false" customHeight="true" outlineLevel="0" collapsed="false">
      <c r="A3267" s="51" t="n">
        <v>16762</v>
      </c>
      <c r="B3267" s="52" t="n">
        <v>40867.4881944444</v>
      </c>
      <c r="C3267" s="1" t="n">
        <v>3</v>
      </c>
      <c r="D3267" s="1" t="n">
        <v>1501.38</v>
      </c>
    </row>
    <row r="3268" customFormat="false" ht="14.25" hidden="false" customHeight="true" outlineLevel="0" collapsed="false">
      <c r="A3268" s="51" t="n">
        <v>16763</v>
      </c>
      <c r="B3268" s="52" t="n">
        <v>40701.6</v>
      </c>
      <c r="C3268" s="1" t="n">
        <v>2</v>
      </c>
      <c r="D3268" s="1" t="n">
        <v>594.9</v>
      </c>
    </row>
    <row r="3269" customFormat="false" ht="14.25" hidden="false" customHeight="true" outlineLevel="0" collapsed="false">
      <c r="A3269" s="51" t="n">
        <v>16764</v>
      </c>
      <c r="B3269" s="52" t="n">
        <v>40883.4868055556</v>
      </c>
      <c r="C3269" s="1" t="n">
        <v>18</v>
      </c>
      <c r="D3269" s="1" t="n">
        <v>2758.25</v>
      </c>
    </row>
    <row r="3270" customFormat="false" ht="14.25" hidden="false" customHeight="true" outlineLevel="0" collapsed="false">
      <c r="A3270" s="51" t="n">
        <v>16765</v>
      </c>
      <c r="B3270" s="52" t="n">
        <v>40592.6534722222</v>
      </c>
      <c r="C3270" s="1" t="n">
        <v>1</v>
      </c>
      <c r="D3270" s="1" t="n">
        <v>34</v>
      </c>
    </row>
    <row r="3271" customFormat="false" ht="14.25" hidden="false" customHeight="true" outlineLevel="0" collapsed="false">
      <c r="A3271" s="51" t="n">
        <v>16766</v>
      </c>
      <c r="B3271" s="52" t="n">
        <v>40613.6402777778</v>
      </c>
      <c r="C3271" s="1" t="n">
        <v>2</v>
      </c>
      <c r="D3271" s="1" t="n">
        <v>1145.6</v>
      </c>
    </row>
    <row r="3272" customFormat="false" ht="14.25" hidden="false" customHeight="true" outlineLevel="0" collapsed="false">
      <c r="A3272" s="51" t="n">
        <v>16767</v>
      </c>
      <c r="B3272" s="52" t="n">
        <v>40856.4041666667</v>
      </c>
      <c r="C3272" s="1" t="n">
        <v>11</v>
      </c>
      <c r="D3272" s="1" t="n">
        <v>5580.6</v>
      </c>
    </row>
    <row r="3273" customFormat="false" ht="14.25" hidden="false" customHeight="true" outlineLevel="0" collapsed="false">
      <c r="A3273" s="51" t="n">
        <v>16768</v>
      </c>
      <c r="B3273" s="52" t="n">
        <v>40839.4430555556</v>
      </c>
      <c r="C3273" s="1" t="n">
        <v>5</v>
      </c>
      <c r="D3273" s="1" t="n">
        <v>458.04</v>
      </c>
    </row>
    <row r="3274" customFormat="false" ht="14.25" hidden="false" customHeight="true" outlineLevel="0" collapsed="false">
      <c r="A3274" s="51" t="n">
        <v>16769</v>
      </c>
      <c r="B3274" s="52" t="n">
        <v>40626.5701388889</v>
      </c>
      <c r="C3274" s="1" t="n">
        <v>1</v>
      </c>
      <c r="D3274" s="1" t="n">
        <v>380.39</v>
      </c>
    </row>
    <row r="3275" customFormat="false" ht="14.25" hidden="false" customHeight="true" outlineLevel="0" collapsed="false">
      <c r="A3275" s="51" t="n">
        <v>16770</v>
      </c>
      <c r="B3275" s="52" t="n">
        <v>40829.5145833333</v>
      </c>
      <c r="C3275" s="1" t="n">
        <v>6</v>
      </c>
      <c r="D3275" s="1" t="n">
        <v>744.9</v>
      </c>
    </row>
    <row r="3276" customFormat="false" ht="14.25" hidden="false" customHeight="true" outlineLevel="0" collapsed="false">
      <c r="A3276" s="51" t="n">
        <v>16771</v>
      </c>
      <c r="B3276" s="52" t="n">
        <v>40853.5611111111</v>
      </c>
      <c r="C3276" s="1" t="n">
        <v>5</v>
      </c>
      <c r="D3276" s="1" t="n">
        <v>2246.81</v>
      </c>
    </row>
    <row r="3277" customFormat="false" ht="14.25" hidden="false" customHeight="true" outlineLevel="0" collapsed="false">
      <c r="A3277" s="51" t="n">
        <v>16773</v>
      </c>
      <c r="B3277" s="52" t="n">
        <v>40829.6090277778</v>
      </c>
      <c r="C3277" s="1" t="n">
        <v>1</v>
      </c>
      <c r="D3277" s="1" t="n">
        <v>171.59</v>
      </c>
    </row>
    <row r="3278" customFormat="false" ht="14.25" hidden="false" customHeight="true" outlineLevel="0" collapsed="false">
      <c r="A3278" s="51" t="n">
        <v>16774</v>
      </c>
      <c r="B3278" s="52" t="n">
        <v>40819.5284722222</v>
      </c>
      <c r="C3278" s="1" t="n">
        <v>5</v>
      </c>
      <c r="D3278" s="1" t="n">
        <v>654.92</v>
      </c>
    </row>
    <row r="3279" customFormat="false" ht="14.25" hidden="false" customHeight="true" outlineLevel="0" collapsed="false">
      <c r="A3279" s="51" t="n">
        <v>16775</v>
      </c>
      <c r="B3279" s="52" t="n">
        <v>40876.6402777778</v>
      </c>
      <c r="C3279" s="1" t="n">
        <v>11</v>
      </c>
      <c r="D3279" s="1" t="n">
        <v>1695.66</v>
      </c>
    </row>
    <row r="3280" customFormat="false" ht="14.25" hidden="false" customHeight="true" outlineLevel="0" collapsed="false">
      <c r="A3280" s="51" t="n">
        <v>16776</v>
      </c>
      <c r="B3280" s="52" t="n">
        <v>40826.5444444444</v>
      </c>
      <c r="C3280" s="1" t="n">
        <v>1</v>
      </c>
      <c r="D3280" s="1" t="n">
        <v>388.28</v>
      </c>
    </row>
    <row r="3281" customFormat="false" ht="14.25" hidden="false" customHeight="true" outlineLevel="0" collapsed="false">
      <c r="A3281" s="51" t="n">
        <v>16777</v>
      </c>
      <c r="B3281" s="52" t="n">
        <v>40806.5701388889</v>
      </c>
      <c r="C3281" s="1" t="n">
        <v>2</v>
      </c>
      <c r="D3281" s="1" t="n">
        <v>226.35</v>
      </c>
    </row>
    <row r="3282" customFormat="false" ht="14.25" hidden="false" customHeight="true" outlineLevel="0" collapsed="false">
      <c r="A3282" s="51" t="n">
        <v>16778</v>
      </c>
      <c r="B3282" s="52" t="n">
        <v>40812.575</v>
      </c>
      <c r="C3282" s="1" t="n">
        <v>2</v>
      </c>
      <c r="D3282" s="1" t="n">
        <v>245.94</v>
      </c>
    </row>
    <row r="3283" customFormat="false" ht="14.25" hidden="false" customHeight="true" outlineLevel="0" collapsed="false">
      <c r="A3283" s="51" t="n">
        <v>16779</v>
      </c>
      <c r="B3283" s="52" t="n">
        <v>40884.6208333333</v>
      </c>
      <c r="C3283" s="1" t="n">
        <v>28</v>
      </c>
      <c r="D3283" s="1" t="n">
        <v>10454.05</v>
      </c>
    </row>
    <row r="3284" customFormat="false" ht="14.25" hidden="false" customHeight="true" outlineLevel="0" collapsed="false">
      <c r="A3284" s="51" t="n">
        <v>16780</v>
      </c>
      <c r="B3284" s="52" t="n">
        <v>40786.6729166667</v>
      </c>
      <c r="C3284" s="1" t="n">
        <v>2</v>
      </c>
      <c r="D3284" s="1" t="n">
        <v>425.19</v>
      </c>
    </row>
    <row r="3285" customFormat="false" ht="14.25" hidden="false" customHeight="true" outlineLevel="0" collapsed="false">
      <c r="A3285" s="51" t="n">
        <v>16781</v>
      </c>
      <c r="B3285" s="52" t="n">
        <v>40521.6375</v>
      </c>
      <c r="C3285" s="1" t="n">
        <v>2</v>
      </c>
      <c r="D3285" s="1" t="n">
        <v>294.65</v>
      </c>
    </row>
    <row r="3286" customFormat="false" ht="14.25" hidden="false" customHeight="true" outlineLevel="0" collapsed="false">
      <c r="A3286" s="51" t="n">
        <v>16782</v>
      </c>
      <c r="B3286" s="52" t="n">
        <v>40876.5555555556</v>
      </c>
      <c r="C3286" s="1" t="n">
        <v>19</v>
      </c>
      <c r="D3286" s="1" t="n">
        <v>2242.25</v>
      </c>
    </row>
    <row r="3287" customFormat="false" ht="14.25" hidden="false" customHeight="true" outlineLevel="0" collapsed="false">
      <c r="A3287" s="51" t="n">
        <v>16784</v>
      </c>
      <c r="B3287" s="52" t="n">
        <v>40867.5138888889</v>
      </c>
      <c r="C3287" s="1" t="n">
        <v>1</v>
      </c>
      <c r="D3287" s="1" t="n">
        <v>107.6</v>
      </c>
    </row>
    <row r="3288" customFormat="false" ht="14.25" hidden="false" customHeight="true" outlineLevel="0" collapsed="false">
      <c r="A3288" s="51" t="n">
        <v>16788</v>
      </c>
      <c r="B3288" s="52" t="n">
        <v>40763.6201388889</v>
      </c>
      <c r="C3288" s="1" t="n">
        <v>2</v>
      </c>
      <c r="D3288" s="1" t="n">
        <v>597.48</v>
      </c>
    </row>
    <row r="3289" customFormat="false" ht="14.25" hidden="false" customHeight="true" outlineLevel="0" collapsed="false">
      <c r="A3289" s="51" t="n">
        <v>16789</v>
      </c>
      <c r="B3289" s="52" t="n">
        <v>40878.6333333333</v>
      </c>
      <c r="C3289" s="1" t="n">
        <v>1</v>
      </c>
      <c r="D3289" s="1" t="n">
        <v>80.8</v>
      </c>
    </row>
    <row r="3290" customFormat="false" ht="14.25" hidden="false" customHeight="true" outlineLevel="0" collapsed="false">
      <c r="A3290" s="51" t="n">
        <v>16790</v>
      </c>
      <c r="B3290" s="52" t="n">
        <v>40883.4951388889</v>
      </c>
      <c r="C3290" s="1" t="n">
        <v>8</v>
      </c>
      <c r="D3290" s="1" t="n">
        <v>1520.12</v>
      </c>
    </row>
    <row r="3291" customFormat="false" ht="14.25" hidden="false" customHeight="true" outlineLevel="0" collapsed="false">
      <c r="A3291" s="51" t="n">
        <v>16791</v>
      </c>
      <c r="B3291" s="52" t="n">
        <v>40857.8</v>
      </c>
      <c r="C3291" s="1" t="n">
        <v>8</v>
      </c>
      <c r="D3291" s="1" t="n">
        <v>1706.28</v>
      </c>
    </row>
    <row r="3292" customFormat="false" ht="14.25" hidden="false" customHeight="true" outlineLevel="0" collapsed="false">
      <c r="A3292" s="51" t="n">
        <v>16792</v>
      </c>
      <c r="B3292" s="52" t="n">
        <v>40604.6118055556</v>
      </c>
      <c r="C3292" s="1" t="n">
        <v>2</v>
      </c>
      <c r="D3292" s="1" t="n">
        <v>110.38</v>
      </c>
    </row>
    <row r="3293" customFormat="false" ht="14.25" hidden="false" customHeight="true" outlineLevel="0" collapsed="false">
      <c r="A3293" s="51" t="n">
        <v>16793</v>
      </c>
      <c r="B3293" s="52" t="n">
        <v>40829.6305555556</v>
      </c>
      <c r="C3293" s="1" t="n">
        <v>1</v>
      </c>
      <c r="D3293" s="1" t="n">
        <v>243.84</v>
      </c>
    </row>
    <row r="3294" customFormat="false" ht="14.25" hidden="false" customHeight="true" outlineLevel="0" collapsed="false">
      <c r="A3294" s="51" t="n">
        <v>16794</v>
      </c>
      <c r="B3294" s="52" t="n">
        <v>40885.7458333333</v>
      </c>
      <c r="C3294" s="1" t="n">
        <v>12</v>
      </c>
      <c r="D3294" s="1" t="n">
        <v>1201.51</v>
      </c>
    </row>
    <row r="3295" customFormat="false" ht="14.25" hidden="false" customHeight="true" outlineLevel="0" collapsed="false">
      <c r="A3295" s="51" t="n">
        <v>16795</v>
      </c>
      <c r="B3295" s="52" t="n">
        <v>40521.5888888889</v>
      </c>
      <c r="C3295" s="1" t="n">
        <v>1</v>
      </c>
      <c r="D3295" s="1" t="n">
        <v>414.88</v>
      </c>
    </row>
    <row r="3296" customFormat="false" ht="14.25" hidden="false" customHeight="true" outlineLevel="0" collapsed="false">
      <c r="A3296" s="51" t="n">
        <v>16796</v>
      </c>
      <c r="B3296" s="52" t="n">
        <v>40797.5840277778</v>
      </c>
      <c r="C3296" s="1" t="n">
        <v>1</v>
      </c>
      <c r="D3296" s="1" t="n">
        <v>305.62</v>
      </c>
    </row>
    <row r="3297" customFormat="false" ht="14.25" hidden="false" customHeight="true" outlineLevel="0" collapsed="false">
      <c r="A3297" s="51" t="n">
        <v>16800</v>
      </c>
      <c r="B3297" s="52" t="n">
        <v>40875.5875</v>
      </c>
      <c r="C3297" s="1" t="n">
        <v>1</v>
      </c>
      <c r="D3297" s="1" t="n">
        <v>1201.49</v>
      </c>
    </row>
    <row r="3298" customFormat="false" ht="14.25" hidden="false" customHeight="true" outlineLevel="0" collapsed="false">
      <c r="A3298" s="51" t="n">
        <v>16801</v>
      </c>
      <c r="B3298" s="52" t="n">
        <v>40723.6479166667</v>
      </c>
      <c r="C3298" s="1" t="n">
        <v>5</v>
      </c>
      <c r="D3298" s="1" t="n">
        <v>867.83</v>
      </c>
    </row>
    <row r="3299" customFormat="false" ht="14.25" hidden="false" customHeight="true" outlineLevel="0" collapsed="false">
      <c r="A3299" s="51" t="n">
        <v>16803</v>
      </c>
      <c r="B3299" s="52" t="n">
        <v>40821.6027777778</v>
      </c>
      <c r="C3299" s="1" t="n">
        <v>1</v>
      </c>
      <c r="D3299" s="1" t="n">
        <v>332.3</v>
      </c>
    </row>
    <row r="3300" customFormat="false" ht="14.25" hidden="false" customHeight="true" outlineLevel="0" collapsed="false">
      <c r="A3300" s="51" t="n">
        <v>16804</v>
      </c>
      <c r="B3300" s="52" t="n">
        <v>40863.6965277778</v>
      </c>
      <c r="C3300" s="1" t="n">
        <v>3</v>
      </c>
      <c r="D3300" s="1" t="n">
        <v>536.99</v>
      </c>
    </row>
    <row r="3301" customFormat="false" ht="14.25" hidden="false" customHeight="true" outlineLevel="0" collapsed="false">
      <c r="A3301" s="51" t="n">
        <v>16805</v>
      </c>
      <c r="B3301" s="52" t="n">
        <v>40713.4743055556</v>
      </c>
      <c r="C3301" s="1" t="n">
        <v>2</v>
      </c>
      <c r="D3301" s="1" t="n">
        <v>460.59</v>
      </c>
    </row>
    <row r="3302" customFormat="false" ht="14.25" hidden="false" customHeight="true" outlineLevel="0" collapsed="false">
      <c r="A3302" s="51" t="n">
        <v>16806</v>
      </c>
      <c r="B3302" s="52" t="n">
        <v>40783.64375</v>
      </c>
      <c r="C3302" s="1" t="n">
        <v>4</v>
      </c>
      <c r="D3302" s="1" t="n">
        <v>801.49</v>
      </c>
    </row>
    <row r="3303" customFormat="false" ht="14.25" hidden="false" customHeight="true" outlineLevel="0" collapsed="false">
      <c r="A3303" s="51" t="n">
        <v>16807</v>
      </c>
      <c r="B3303" s="52" t="n">
        <v>40744.5</v>
      </c>
      <c r="C3303" s="1" t="n">
        <v>3</v>
      </c>
      <c r="D3303" s="1" t="n">
        <v>1121.59</v>
      </c>
    </row>
    <row r="3304" customFormat="false" ht="14.25" hidden="false" customHeight="true" outlineLevel="0" collapsed="false">
      <c r="A3304" s="51" t="n">
        <v>16808</v>
      </c>
      <c r="B3304" s="52" t="n">
        <v>40787.8152777778</v>
      </c>
      <c r="C3304" s="1" t="n">
        <v>2</v>
      </c>
      <c r="D3304" s="1" t="n">
        <v>288.42</v>
      </c>
    </row>
    <row r="3305" customFormat="false" ht="14.25" hidden="false" customHeight="true" outlineLevel="0" collapsed="false">
      <c r="A3305" s="51" t="n">
        <v>16809</v>
      </c>
      <c r="B3305" s="52" t="n">
        <v>40863.65625</v>
      </c>
      <c r="C3305" s="1" t="n">
        <v>6</v>
      </c>
      <c r="D3305" s="1" t="n">
        <v>912.74</v>
      </c>
    </row>
    <row r="3306" customFormat="false" ht="14.25" hidden="false" customHeight="true" outlineLevel="0" collapsed="false">
      <c r="A3306" s="51" t="n">
        <v>16810</v>
      </c>
      <c r="B3306" s="52" t="n">
        <v>40694.6472222222</v>
      </c>
      <c r="C3306" s="1" t="n">
        <v>2</v>
      </c>
      <c r="D3306" s="1" t="n">
        <v>275.64</v>
      </c>
    </row>
    <row r="3307" customFormat="false" ht="14.25" hidden="false" customHeight="true" outlineLevel="0" collapsed="false">
      <c r="A3307" s="51" t="n">
        <v>16811</v>
      </c>
      <c r="B3307" s="52" t="n">
        <v>40882.4854166667</v>
      </c>
      <c r="C3307" s="1" t="n">
        <v>2</v>
      </c>
      <c r="D3307" s="1" t="n">
        <v>547.07</v>
      </c>
    </row>
    <row r="3308" customFormat="false" ht="14.25" hidden="false" customHeight="true" outlineLevel="0" collapsed="false">
      <c r="A3308" s="51" t="n">
        <v>16812</v>
      </c>
      <c r="B3308" s="52" t="n">
        <v>40526.5243055556</v>
      </c>
      <c r="C3308" s="1" t="n">
        <v>1</v>
      </c>
      <c r="D3308" s="1" t="n">
        <v>479.35</v>
      </c>
    </row>
    <row r="3309" customFormat="false" ht="14.25" hidden="false" customHeight="true" outlineLevel="0" collapsed="false">
      <c r="A3309" s="51" t="n">
        <v>16813</v>
      </c>
      <c r="B3309" s="52" t="n">
        <v>40878.5854166667</v>
      </c>
      <c r="C3309" s="1" t="n">
        <v>10</v>
      </c>
      <c r="D3309" s="1" t="n">
        <v>1692.98</v>
      </c>
    </row>
    <row r="3310" customFormat="false" ht="14.25" hidden="false" customHeight="true" outlineLevel="0" collapsed="false">
      <c r="A3310" s="51" t="n">
        <v>16814</v>
      </c>
      <c r="B3310" s="52" t="n">
        <v>40872.5604166667</v>
      </c>
      <c r="C3310" s="1" t="n">
        <v>22</v>
      </c>
      <c r="D3310" s="1" t="n">
        <v>6500.6</v>
      </c>
    </row>
    <row r="3311" customFormat="false" ht="14.25" hidden="false" customHeight="true" outlineLevel="0" collapsed="false">
      <c r="A3311" s="51" t="n">
        <v>16816</v>
      </c>
      <c r="B3311" s="52" t="n">
        <v>40783.5944444445</v>
      </c>
      <c r="C3311" s="1" t="n">
        <v>4</v>
      </c>
      <c r="D3311" s="1" t="n">
        <v>417.06</v>
      </c>
    </row>
    <row r="3312" customFormat="false" ht="14.25" hidden="false" customHeight="true" outlineLevel="0" collapsed="false">
      <c r="A3312" s="51" t="n">
        <v>16817</v>
      </c>
      <c r="B3312" s="52" t="n">
        <v>40884.4604166667</v>
      </c>
      <c r="C3312" s="1" t="n">
        <v>13</v>
      </c>
      <c r="D3312" s="1" t="n">
        <v>1446.95</v>
      </c>
    </row>
    <row r="3313" customFormat="false" ht="14.25" hidden="false" customHeight="true" outlineLevel="0" collapsed="false">
      <c r="A3313" s="51" t="n">
        <v>16818</v>
      </c>
      <c r="B3313" s="52" t="n">
        <v>40876.4451388889</v>
      </c>
      <c r="C3313" s="1" t="n">
        <v>13</v>
      </c>
      <c r="D3313" s="1" t="n">
        <v>3317.97</v>
      </c>
    </row>
    <row r="3314" customFormat="false" ht="14.25" hidden="false" customHeight="true" outlineLevel="0" collapsed="false">
      <c r="A3314" s="51" t="n">
        <v>16820</v>
      </c>
      <c r="B3314" s="52" t="n">
        <v>40791.5041666667</v>
      </c>
      <c r="C3314" s="1" t="n">
        <v>1</v>
      </c>
      <c r="D3314" s="1" t="n">
        <v>497.61</v>
      </c>
    </row>
    <row r="3315" customFormat="false" ht="14.25" hidden="false" customHeight="true" outlineLevel="0" collapsed="false">
      <c r="A3315" s="51" t="n">
        <v>16823</v>
      </c>
      <c r="B3315" s="52" t="n">
        <v>40659.625</v>
      </c>
      <c r="C3315" s="1" t="n">
        <v>1</v>
      </c>
      <c r="D3315" s="1" t="n">
        <v>358.38</v>
      </c>
    </row>
    <row r="3316" customFormat="false" ht="14.25" hidden="false" customHeight="true" outlineLevel="0" collapsed="false">
      <c r="A3316" s="51" t="n">
        <v>16824</v>
      </c>
      <c r="B3316" s="52" t="n">
        <v>40871.5263888889</v>
      </c>
      <c r="C3316" s="1" t="n">
        <v>2</v>
      </c>
      <c r="D3316" s="1" t="n">
        <v>460.64</v>
      </c>
    </row>
    <row r="3317" customFormat="false" ht="14.25" hidden="false" customHeight="true" outlineLevel="0" collapsed="false">
      <c r="A3317" s="51" t="n">
        <v>16825</v>
      </c>
      <c r="B3317" s="52" t="n">
        <v>40848.49375</v>
      </c>
      <c r="C3317" s="1" t="n">
        <v>2</v>
      </c>
      <c r="D3317" s="1" t="n">
        <v>775.18</v>
      </c>
    </row>
    <row r="3318" customFormat="false" ht="14.25" hidden="false" customHeight="true" outlineLevel="0" collapsed="false">
      <c r="A3318" s="51" t="n">
        <v>16826</v>
      </c>
      <c r="B3318" s="52" t="n">
        <v>40835.5868055556</v>
      </c>
      <c r="C3318" s="1" t="n">
        <v>1</v>
      </c>
      <c r="D3318" s="1" t="n">
        <v>341.7</v>
      </c>
    </row>
    <row r="3319" customFormat="false" ht="14.25" hidden="false" customHeight="true" outlineLevel="0" collapsed="false">
      <c r="A3319" s="51" t="n">
        <v>16828</v>
      </c>
      <c r="B3319" s="52" t="n">
        <v>40793.6319444445</v>
      </c>
      <c r="C3319" s="1" t="n">
        <v>2</v>
      </c>
      <c r="D3319" s="1" t="n">
        <v>128.5</v>
      </c>
    </row>
    <row r="3320" customFormat="false" ht="14.25" hidden="false" customHeight="true" outlineLevel="0" collapsed="false">
      <c r="A3320" s="51" t="n">
        <v>16829</v>
      </c>
      <c r="B3320" s="52" t="n">
        <v>40730.45</v>
      </c>
      <c r="C3320" s="1" t="n">
        <v>1</v>
      </c>
      <c r="D3320" s="1" t="n">
        <v>197.22</v>
      </c>
    </row>
    <row r="3321" customFormat="false" ht="14.25" hidden="false" customHeight="true" outlineLevel="0" collapsed="false">
      <c r="A3321" s="51" t="n">
        <v>16830</v>
      </c>
      <c r="B3321" s="52" t="n">
        <v>40848.4826388889</v>
      </c>
      <c r="C3321" s="1" t="n">
        <v>1</v>
      </c>
      <c r="D3321" s="1" t="n">
        <v>325.91</v>
      </c>
    </row>
    <row r="3322" customFormat="false" ht="14.25" hidden="false" customHeight="true" outlineLevel="0" collapsed="false">
      <c r="A3322" s="51" t="n">
        <v>16832</v>
      </c>
      <c r="B3322" s="52" t="n">
        <v>40702.65</v>
      </c>
      <c r="C3322" s="1" t="n">
        <v>3</v>
      </c>
      <c r="D3322" s="1" t="n">
        <v>199.15</v>
      </c>
    </row>
    <row r="3323" customFormat="false" ht="14.25" hidden="false" customHeight="true" outlineLevel="0" collapsed="false">
      <c r="A3323" s="51" t="n">
        <v>16833</v>
      </c>
      <c r="B3323" s="52" t="n">
        <v>40885.6104166667</v>
      </c>
      <c r="C3323" s="1" t="n">
        <v>4</v>
      </c>
      <c r="D3323" s="1" t="n">
        <v>1106.53</v>
      </c>
    </row>
    <row r="3324" customFormat="false" ht="14.25" hidden="false" customHeight="true" outlineLevel="0" collapsed="false">
      <c r="A3324" s="51" t="n">
        <v>16834</v>
      </c>
      <c r="B3324" s="52" t="n">
        <v>40659.4006944444</v>
      </c>
      <c r="C3324" s="1" t="n">
        <v>1</v>
      </c>
      <c r="D3324" s="1" t="n">
        <v>413.46</v>
      </c>
    </row>
    <row r="3325" customFormat="false" ht="14.25" hidden="false" customHeight="true" outlineLevel="0" collapsed="false">
      <c r="A3325" s="51" t="n">
        <v>16835</v>
      </c>
      <c r="B3325" s="52" t="n">
        <v>40758.5763888889</v>
      </c>
      <c r="C3325" s="1" t="n">
        <v>2</v>
      </c>
      <c r="D3325" s="1" t="n">
        <v>180.85</v>
      </c>
    </row>
    <row r="3326" customFormat="false" ht="14.25" hidden="false" customHeight="true" outlineLevel="0" collapsed="false">
      <c r="A3326" s="51" t="n">
        <v>16836</v>
      </c>
      <c r="B3326" s="52" t="n">
        <v>40847.4201388889</v>
      </c>
      <c r="C3326" s="1" t="n">
        <v>2</v>
      </c>
      <c r="D3326" s="1" t="n">
        <v>251.87</v>
      </c>
    </row>
    <row r="3327" customFormat="false" ht="14.25" hidden="false" customHeight="true" outlineLevel="0" collapsed="false">
      <c r="A3327" s="51" t="n">
        <v>16837</v>
      </c>
      <c r="B3327" s="52" t="n">
        <v>40855.6020833333</v>
      </c>
      <c r="C3327" s="1" t="n">
        <v>12</v>
      </c>
      <c r="D3327" s="1" t="n">
        <v>3167.73</v>
      </c>
    </row>
    <row r="3328" customFormat="false" ht="14.25" hidden="false" customHeight="true" outlineLevel="0" collapsed="false">
      <c r="A3328" s="51" t="n">
        <v>16838</v>
      </c>
      <c r="B3328" s="52" t="n">
        <v>40689.5506944444</v>
      </c>
      <c r="C3328" s="1" t="n">
        <v>3</v>
      </c>
      <c r="D3328" s="1" t="n">
        <v>582.9</v>
      </c>
    </row>
    <row r="3329" customFormat="false" ht="14.25" hidden="false" customHeight="true" outlineLevel="0" collapsed="false">
      <c r="A3329" s="51" t="n">
        <v>16839</v>
      </c>
      <c r="B3329" s="52" t="n">
        <v>40878.3770833333</v>
      </c>
      <c r="C3329" s="1" t="n">
        <v>39</v>
      </c>
      <c r="D3329" s="1" t="n">
        <v>15357.78</v>
      </c>
    </row>
    <row r="3330" customFormat="false" ht="14.25" hidden="false" customHeight="true" outlineLevel="0" collapsed="false">
      <c r="A3330" s="51" t="n">
        <v>16841</v>
      </c>
      <c r="B3330" s="52" t="n">
        <v>40850.49375</v>
      </c>
      <c r="C3330" s="1" t="n">
        <v>7</v>
      </c>
      <c r="D3330" s="1" t="n">
        <v>1774.62</v>
      </c>
    </row>
    <row r="3331" customFormat="false" ht="14.25" hidden="false" customHeight="true" outlineLevel="0" collapsed="false">
      <c r="A3331" s="51" t="n">
        <v>16842</v>
      </c>
      <c r="B3331" s="52" t="n">
        <v>40822.7347222222</v>
      </c>
      <c r="C3331" s="1" t="n">
        <v>4</v>
      </c>
      <c r="D3331" s="1" t="n">
        <v>1260.44</v>
      </c>
    </row>
    <row r="3332" customFormat="false" ht="14.25" hidden="false" customHeight="true" outlineLevel="0" collapsed="false">
      <c r="A3332" s="51" t="n">
        <v>16843</v>
      </c>
      <c r="B3332" s="52" t="n">
        <v>40844.3791666667</v>
      </c>
      <c r="C3332" s="1" t="n">
        <v>17</v>
      </c>
      <c r="D3332" s="1" t="n">
        <v>10183.82</v>
      </c>
    </row>
    <row r="3333" customFormat="false" ht="14.25" hidden="false" customHeight="true" outlineLevel="0" collapsed="false">
      <c r="A3333" s="51" t="n">
        <v>16846</v>
      </c>
      <c r="B3333" s="52" t="n">
        <v>40836.5798611111</v>
      </c>
      <c r="C3333" s="1" t="n">
        <v>1</v>
      </c>
      <c r="D3333" s="1" t="n">
        <v>214.32</v>
      </c>
    </row>
    <row r="3334" customFormat="false" ht="14.25" hidden="false" customHeight="true" outlineLevel="0" collapsed="false">
      <c r="A3334" s="51" t="n">
        <v>16847</v>
      </c>
      <c r="B3334" s="52" t="n">
        <v>40843.5618055556</v>
      </c>
      <c r="C3334" s="1" t="n">
        <v>1</v>
      </c>
      <c r="D3334" s="1" t="n">
        <v>193.44</v>
      </c>
    </row>
    <row r="3335" customFormat="false" ht="14.25" hidden="false" customHeight="true" outlineLevel="0" collapsed="false">
      <c r="A3335" s="51" t="n">
        <v>16848</v>
      </c>
      <c r="B3335" s="52" t="n">
        <v>40834.3625</v>
      </c>
      <c r="C3335" s="1" t="n">
        <v>1</v>
      </c>
      <c r="D3335" s="1" t="n">
        <v>281.42</v>
      </c>
    </row>
    <row r="3336" customFormat="false" ht="14.25" hidden="false" customHeight="true" outlineLevel="0" collapsed="false">
      <c r="A3336" s="51" t="n">
        <v>16849</v>
      </c>
      <c r="B3336" s="52" t="n">
        <v>40700.3861111111</v>
      </c>
      <c r="C3336" s="1" t="n">
        <v>1</v>
      </c>
      <c r="D3336" s="1" t="n">
        <v>124.57</v>
      </c>
    </row>
    <row r="3337" customFormat="false" ht="14.25" hidden="false" customHeight="true" outlineLevel="0" collapsed="false">
      <c r="A3337" s="51" t="n">
        <v>16850</v>
      </c>
      <c r="B3337" s="52" t="n">
        <v>40553.4645833333</v>
      </c>
      <c r="C3337" s="1" t="n">
        <v>1</v>
      </c>
      <c r="D3337" s="1" t="n">
        <v>332.41</v>
      </c>
    </row>
    <row r="3338" customFormat="false" ht="14.25" hidden="false" customHeight="true" outlineLevel="0" collapsed="false">
      <c r="A3338" s="51" t="n">
        <v>16851</v>
      </c>
      <c r="B3338" s="52" t="n">
        <v>40882.5638888889</v>
      </c>
      <c r="C3338" s="1" t="n">
        <v>3</v>
      </c>
      <c r="D3338" s="1" t="n">
        <v>342.45</v>
      </c>
    </row>
    <row r="3339" customFormat="false" ht="14.25" hidden="false" customHeight="true" outlineLevel="0" collapsed="false">
      <c r="A3339" s="51" t="n">
        <v>16852</v>
      </c>
      <c r="B3339" s="52" t="n">
        <v>40876.5569444444</v>
      </c>
      <c r="C3339" s="1" t="n">
        <v>2</v>
      </c>
      <c r="D3339" s="1" t="n">
        <v>144.91</v>
      </c>
    </row>
    <row r="3340" customFormat="false" ht="14.25" hidden="false" customHeight="true" outlineLevel="0" collapsed="false">
      <c r="A3340" s="51" t="n">
        <v>16855</v>
      </c>
      <c r="B3340" s="52" t="n">
        <v>40863.5020833333</v>
      </c>
      <c r="C3340" s="1" t="n">
        <v>2</v>
      </c>
      <c r="D3340" s="1" t="n">
        <v>328.4</v>
      </c>
    </row>
    <row r="3341" customFormat="false" ht="14.25" hidden="false" customHeight="true" outlineLevel="0" collapsed="false">
      <c r="A3341" s="51" t="n">
        <v>16856</v>
      </c>
      <c r="B3341" s="52" t="n">
        <v>40872.3743055556</v>
      </c>
      <c r="C3341" s="1" t="n">
        <v>1</v>
      </c>
      <c r="D3341" s="1" t="n">
        <v>35.4</v>
      </c>
    </row>
    <row r="3342" customFormat="false" ht="14.25" hidden="false" customHeight="true" outlineLevel="0" collapsed="false">
      <c r="A3342" s="51" t="n">
        <v>16858</v>
      </c>
      <c r="B3342" s="52" t="n">
        <v>40520.6194444444</v>
      </c>
      <c r="C3342" s="1" t="n">
        <v>2</v>
      </c>
      <c r="D3342" s="1" t="n">
        <v>345.89</v>
      </c>
    </row>
    <row r="3343" customFormat="false" ht="14.25" hidden="false" customHeight="true" outlineLevel="0" collapsed="false">
      <c r="A3343" s="51" t="n">
        <v>16859</v>
      </c>
      <c r="B3343" s="52" t="n">
        <v>40780.5916666667</v>
      </c>
      <c r="C3343" s="1" t="n">
        <v>5</v>
      </c>
      <c r="D3343" s="1" t="n">
        <v>473.14</v>
      </c>
    </row>
    <row r="3344" customFormat="false" ht="14.25" hidden="false" customHeight="true" outlineLevel="0" collapsed="false">
      <c r="A3344" s="51" t="n">
        <v>16861</v>
      </c>
      <c r="B3344" s="52" t="n">
        <v>40827.3784722222</v>
      </c>
      <c r="C3344" s="1" t="n">
        <v>3</v>
      </c>
      <c r="D3344" s="1" t="n">
        <v>151.65</v>
      </c>
    </row>
    <row r="3345" customFormat="false" ht="14.25" hidden="false" customHeight="true" outlineLevel="0" collapsed="false">
      <c r="A3345" s="51" t="n">
        <v>16863</v>
      </c>
      <c r="B3345" s="52" t="n">
        <v>40857.6409722222</v>
      </c>
      <c r="C3345" s="1" t="n">
        <v>4</v>
      </c>
      <c r="D3345" s="1" t="n">
        <v>481.35</v>
      </c>
    </row>
    <row r="3346" customFormat="false" ht="14.25" hidden="false" customHeight="true" outlineLevel="0" collapsed="false">
      <c r="A3346" s="51" t="n">
        <v>16866</v>
      </c>
      <c r="B3346" s="52" t="n">
        <v>40746.4208333333</v>
      </c>
      <c r="C3346" s="1" t="n">
        <v>3</v>
      </c>
      <c r="D3346" s="1" t="n">
        <v>207.74</v>
      </c>
    </row>
    <row r="3347" customFormat="false" ht="14.25" hidden="false" customHeight="true" outlineLevel="0" collapsed="false">
      <c r="A3347" s="51" t="n">
        <v>16869</v>
      </c>
      <c r="B3347" s="52" t="n">
        <v>40864.5013888889</v>
      </c>
      <c r="C3347" s="1" t="n">
        <v>5</v>
      </c>
      <c r="D3347" s="1" t="n">
        <v>805.62</v>
      </c>
    </row>
    <row r="3348" customFormat="false" ht="14.25" hidden="false" customHeight="true" outlineLevel="0" collapsed="false">
      <c r="A3348" s="51" t="n">
        <v>16871</v>
      </c>
      <c r="B3348" s="52" t="n">
        <v>40864.8104166667</v>
      </c>
      <c r="C3348" s="1" t="n">
        <v>7</v>
      </c>
      <c r="D3348" s="1" t="n">
        <v>2761.49</v>
      </c>
    </row>
    <row r="3349" customFormat="false" ht="14.25" hidden="false" customHeight="true" outlineLevel="0" collapsed="false">
      <c r="A3349" s="51" t="n">
        <v>16872</v>
      </c>
      <c r="B3349" s="52" t="n">
        <v>40809.6701388889</v>
      </c>
      <c r="C3349" s="1" t="n">
        <v>3</v>
      </c>
      <c r="D3349" s="1" t="n">
        <v>680.02</v>
      </c>
    </row>
    <row r="3350" customFormat="false" ht="14.25" hidden="false" customHeight="true" outlineLevel="0" collapsed="false">
      <c r="A3350" s="51" t="n">
        <v>16873</v>
      </c>
      <c r="B3350" s="52" t="n">
        <v>40882.5034722222</v>
      </c>
      <c r="C3350" s="1" t="n">
        <v>10</v>
      </c>
      <c r="D3350" s="1" t="n">
        <v>7066.31</v>
      </c>
    </row>
    <row r="3351" customFormat="false" ht="14.25" hidden="false" customHeight="true" outlineLevel="0" collapsed="false">
      <c r="A3351" s="51" t="n">
        <v>16875</v>
      </c>
      <c r="B3351" s="52" t="n">
        <v>40822.8055555556</v>
      </c>
      <c r="C3351" s="1" t="n">
        <v>9</v>
      </c>
      <c r="D3351" s="1" t="n">
        <v>2023.47</v>
      </c>
    </row>
    <row r="3352" customFormat="false" ht="14.25" hidden="false" customHeight="true" outlineLevel="0" collapsed="false">
      <c r="A3352" s="51" t="n">
        <v>16877</v>
      </c>
      <c r="B3352" s="52" t="n">
        <v>40874.5743055556</v>
      </c>
      <c r="C3352" s="1" t="n">
        <v>6</v>
      </c>
      <c r="D3352" s="1" t="n">
        <v>853.72</v>
      </c>
    </row>
    <row r="3353" customFormat="false" ht="14.25" hidden="false" customHeight="true" outlineLevel="0" collapsed="false">
      <c r="A3353" s="51" t="n">
        <v>16878</v>
      </c>
      <c r="B3353" s="52" t="n">
        <v>40862.3694444444</v>
      </c>
      <c r="C3353" s="1" t="n">
        <v>2</v>
      </c>
      <c r="D3353" s="1" t="n">
        <v>0</v>
      </c>
    </row>
    <row r="3354" customFormat="false" ht="14.25" hidden="false" customHeight="true" outlineLevel="0" collapsed="false">
      <c r="A3354" s="51" t="n">
        <v>16880</v>
      </c>
      <c r="B3354" s="52" t="n">
        <v>40856.48125</v>
      </c>
      <c r="C3354" s="1" t="n">
        <v>7</v>
      </c>
      <c r="D3354" s="1" t="n">
        <v>1519.08</v>
      </c>
    </row>
    <row r="3355" customFormat="false" ht="14.25" hidden="false" customHeight="true" outlineLevel="0" collapsed="false">
      <c r="A3355" s="51" t="n">
        <v>16881</v>
      </c>
      <c r="B3355" s="52" t="n">
        <v>40820.4395833333</v>
      </c>
      <c r="C3355" s="1" t="n">
        <v>1</v>
      </c>
      <c r="D3355" s="1" t="n">
        <v>432</v>
      </c>
    </row>
    <row r="3356" customFormat="false" ht="14.25" hidden="false" customHeight="true" outlineLevel="0" collapsed="false">
      <c r="A3356" s="51" t="n">
        <v>16882</v>
      </c>
      <c r="B3356" s="52" t="n">
        <v>40820.4458333333</v>
      </c>
      <c r="C3356" s="1" t="n">
        <v>3</v>
      </c>
      <c r="D3356" s="1" t="n">
        <v>705.12</v>
      </c>
    </row>
    <row r="3357" customFormat="false" ht="14.25" hidden="false" customHeight="true" outlineLevel="0" collapsed="false">
      <c r="A3357" s="51" t="n">
        <v>16883</v>
      </c>
      <c r="B3357" s="52" t="n">
        <v>40699.5354166667</v>
      </c>
      <c r="C3357" s="1" t="n">
        <v>2</v>
      </c>
      <c r="D3357" s="1" t="n">
        <v>276.73</v>
      </c>
    </row>
    <row r="3358" customFormat="false" ht="14.25" hidden="false" customHeight="true" outlineLevel="0" collapsed="false">
      <c r="A3358" s="51" t="n">
        <v>16884</v>
      </c>
      <c r="B3358" s="52" t="n">
        <v>40849.4944444444</v>
      </c>
      <c r="C3358" s="1" t="n">
        <v>2</v>
      </c>
      <c r="D3358" s="1" t="n">
        <v>429.84</v>
      </c>
    </row>
    <row r="3359" customFormat="false" ht="14.25" hidden="false" customHeight="true" outlineLevel="0" collapsed="false">
      <c r="A3359" s="51" t="n">
        <v>16885</v>
      </c>
      <c r="B3359" s="52" t="n">
        <v>40871.5694444445</v>
      </c>
      <c r="C3359" s="1" t="n">
        <v>3</v>
      </c>
      <c r="D3359" s="1" t="n">
        <v>471.51</v>
      </c>
    </row>
    <row r="3360" customFormat="false" ht="14.25" hidden="false" customHeight="true" outlineLevel="0" collapsed="false">
      <c r="A3360" s="51" t="n">
        <v>16887</v>
      </c>
      <c r="B3360" s="52" t="n">
        <v>40851.5881944444</v>
      </c>
      <c r="C3360" s="1" t="n">
        <v>1</v>
      </c>
      <c r="D3360" s="1" t="n">
        <v>194.88</v>
      </c>
    </row>
    <row r="3361" customFormat="false" ht="14.25" hidden="false" customHeight="true" outlineLevel="0" collapsed="false">
      <c r="A3361" s="51" t="n">
        <v>16889</v>
      </c>
      <c r="B3361" s="52" t="n">
        <v>40692.4618055556</v>
      </c>
      <c r="C3361" s="1" t="n">
        <v>3</v>
      </c>
      <c r="D3361" s="1" t="n">
        <v>1578.67</v>
      </c>
    </row>
    <row r="3362" customFormat="false" ht="14.25" hidden="false" customHeight="true" outlineLevel="0" collapsed="false">
      <c r="A3362" s="51" t="n">
        <v>16891</v>
      </c>
      <c r="B3362" s="52" t="n">
        <v>40885.46875</v>
      </c>
      <c r="C3362" s="1" t="n">
        <v>5</v>
      </c>
      <c r="D3362" s="1" t="n">
        <v>809.7</v>
      </c>
    </row>
    <row r="3363" customFormat="false" ht="14.25" hidden="false" customHeight="true" outlineLevel="0" collapsed="false">
      <c r="A3363" s="51" t="n">
        <v>16892</v>
      </c>
      <c r="B3363" s="52" t="n">
        <v>40885.5541666667</v>
      </c>
      <c r="C3363" s="1" t="n">
        <v>7</v>
      </c>
      <c r="D3363" s="1" t="n">
        <v>496.84</v>
      </c>
    </row>
    <row r="3364" customFormat="false" ht="14.25" hidden="false" customHeight="true" outlineLevel="0" collapsed="false">
      <c r="A3364" s="51" t="n">
        <v>16893</v>
      </c>
      <c r="B3364" s="52" t="n">
        <v>40520.5041666667</v>
      </c>
      <c r="C3364" s="1" t="n">
        <v>1</v>
      </c>
      <c r="D3364" s="1" t="n">
        <v>145.93</v>
      </c>
    </row>
    <row r="3365" customFormat="false" ht="14.25" hidden="false" customHeight="true" outlineLevel="0" collapsed="false">
      <c r="A3365" s="51" t="n">
        <v>16895</v>
      </c>
      <c r="B3365" s="52" t="n">
        <v>40822.5104166667</v>
      </c>
      <c r="C3365" s="1" t="n">
        <v>1</v>
      </c>
      <c r="D3365" s="1" t="n">
        <v>219.14</v>
      </c>
    </row>
    <row r="3366" customFormat="false" ht="14.25" hidden="false" customHeight="true" outlineLevel="0" collapsed="false">
      <c r="A3366" s="51" t="n">
        <v>16897</v>
      </c>
      <c r="B3366" s="52" t="n">
        <v>40587.65625</v>
      </c>
      <c r="C3366" s="1" t="n">
        <v>3</v>
      </c>
      <c r="D3366" s="1" t="n">
        <v>213.03</v>
      </c>
    </row>
    <row r="3367" customFormat="false" ht="14.25" hidden="false" customHeight="true" outlineLevel="0" collapsed="false">
      <c r="A3367" s="51" t="n">
        <v>16898</v>
      </c>
      <c r="B3367" s="52" t="n">
        <v>40860.6555555556</v>
      </c>
      <c r="C3367" s="1" t="n">
        <v>4</v>
      </c>
      <c r="D3367" s="1" t="n">
        <v>444.46</v>
      </c>
    </row>
    <row r="3368" customFormat="false" ht="14.25" hidden="false" customHeight="true" outlineLevel="0" collapsed="false">
      <c r="A3368" s="51" t="n">
        <v>16899</v>
      </c>
      <c r="B3368" s="52" t="n">
        <v>40879.5020833333</v>
      </c>
      <c r="C3368" s="1" t="n">
        <v>6</v>
      </c>
      <c r="D3368" s="1" t="n">
        <v>1281.56</v>
      </c>
    </row>
    <row r="3369" customFormat="false" ht="14.25" hidden="false" customHeight="true" outlineLevel="0" collapsed="false">
      <c r="A3369" s="51" t="n">
        <v>16900</v>
      </c>
      <c r="B3369" s="52" t="n">
        <v>40875.4513888889</v>
      </c>
      <c r="C3369" s="1" t="n">
        <v>5</v>
      </c>
      <c r="D3369" s="1" t="n">
        <v>187.69</v>
      </c>
    </row>
    <row r="3370" customFormat="false" ht="14.25" hidden="false" customHeight="true" outlineLevel="0" collapsed="false">
      <c r="A3370" s="51" t="n">
        <v>16902</v>
      </c>
      <c r="B3370" s="52" t="n">
        <v>40770.5951388889</v>
      </c>
      <c r="C3370" s="1" t="n">
        <v>1</v>
      </c>
      <c r="D3370" s="1" t="n">
        <v>1706.88</v>
      </c>
    </row>
    <row r="3371" customFormat="false" ht="14.25" hidden="false" customHeight="true" outlineLevel="0" collapsed="false">
      <c r="A3371" s="51" t="n">
        <v>16903</v>
      </c>
      <c r="B3371" s="52" t="n">
        <v>40857.6472222222</v>
      </c>
      <c r="C3371" s="1" t="n">
        <v>1</v>
      </c>
      <c r="D3371" s="1" t="n">
        <v>373.24</v>
      </c>
    </row>
    <row r="3372" customFormat="false" ht="14.25" hidden="false" customHeight="true" outlineLevel="0" collapsed="false">
      <c r="A3372" s="51" t="n">
        <v>16904</v>
      </c>
      <c r="B3372" s="52" t="n">
        <v>40882.5486111111</v>
      </c>
      <c r="C3372" s="1" t="n">
        <v>16</v>
      </c>
      <c r="D3372" s="1" t="n">
        <v>3754.27</v>
      </c>
    </row>
    <row r="3373" customFormat="false" ht="14.25" hidden="false" customHeight="true" outlineLevel="0" collapsed="false">
      <c r="A3373" s="51" t="n">
        <v>16905</v>
      </c>
      <c r="B3373" s="52" t="n">
        <v>40881.5840277778</v>
      </c>
      <c r="C3373" s="1" t="n">
        <v>8</v>
      </c>
      <c r="D3373" s="1" t="n">
        <v>3085.48</v>
      </c>
    </row>
    <row r="3374" customFormat="false" ht="14.25" hidden="false" customHeight="true" outlineLevel="0" collapsed="false">
      <c r="A3374" s="51" t="n">
        <v>16906</v>
      </c>
      <c r="B3374" s="52" t="n">
        <v>40805.4923611111</v>
      </c>
      <c r="C3374" s="1" t="n">
        <v>4</v>
      </c>
      <c r="D3374" s="1" t="n">
        <v>579.77</v>
      </c>
    </row>
    <row r="3375" customFormat="false" ht="14.25" hidden="false" customHeight="true" outlineLevel="0" collapsed="false">
      <c r="A3375" s="51" t="n">
        <v>16907</v>
      </c>
      <c r="B3375" s="52" t="n">
        <v>40857.7527777778</v>
      </c>
      <c r="C3375" s="1" t="n">
        <v>5</v>
      </c>
      <c r="D3375" s="1" t="n">
        <v>981.65</v>
      </c>
    </row>
    <row r="3376" customFormat="false" ht="14.25" hidden="false" customHeight="true" outlineLevel="0" collapsed="false">
      <c r="A3376" s="51" t="n">
        <v>16909</v>
      </c>
      <c r="B3376" s="52" t="n">
        <v>40822.7541666667</v>
      </c>
      <c r="C3376" s="1" t="n">
        <v>2</v>
      </c>
      <c r="D3376" s="1" t="n">
        <v>364.14</v>
      </c>
    </row>
    <row r="3377" customFormat="false" ht="14.25" hidden="false" customHeight="true" outlineLevel="0" collapsed="false">
      <c r="A3377" s="51" t="n">
        <v>16910</v>
      </c>
      <c r="B3377" s="52" t="n">
        <v>40882.5354166667</v>
      </c>
      <c r="C3377" s="1" t="n">
        <v>8</v>
      </c>
      <c r="D3377" s="1" t="n">
        <v>1510.06</v>
      </c>
    </row>
    <row r="3378" customFormat="false" ht="14.25" hidden="false" customHeight="true" outlineLevel="0" collapsed="false">
      <c r="A3378" s="51" t="n">
        <v>16912</v>
      </c>
      <c r="B3378" s="52" t="n">
        <v>40863.6604166667</v>
      </c>
      <c r="C3378" s="1" t="n">
        <v>14</v>
      </c>
      <c r="D3378" s="1" t="n">
        <v>2528.67</v>
      </c>
    </row>
    <row r="3379" customFormat="false" ht="14.25" hidden="false" customHeight="true" outlineLevel="0" collapsed="false">
      <c r="A3379" s="51" t="n">
        <v>16913</v>
      </c>
      <c r="B3379" s="52" t="n">
        <v>40596.5388888889</v>
      </c>
      <c r="C3379" s="1" t="n">
        <v>1</v>
      </c>
      <c r="D3379" s="1" t="n">
        <v>113.44</v>
      </c>
    </row>
    <row r="3380" customFormat="false" ht="14.25" hidden="false" customHeight="true" outlineLevel="0" collapsed="false">
      <c r="A3380" s="51" t="n">
        <v>16914</v>
      </c>
      <c r="B3380" s="52" t="n">
        <v>40850.64375</v>
      </c>
      <c r="C3380" s="1" t="n">
        <v>1</v>
      </c>
      <c r="D3380" s="1" t="n">
        <v>208.46</v>
      </c>
    </row>
    <row r="3381" customFormat="false" ht="14.25" hidden="false" customHeight="true" outlineLevel="0" collapsed="false">
      <c r="A3381" s="51" t="n">
        <v>16915</v>
      </c>
      <c r="B3381" s="52" t="n">
        <v>40877.69375</v>
      </c>
      <c r="C3381" s="1" t="n">
        <v>6</v>
      </c>
      <c r="D3381" s="1" t="n">
        <v>621.68</v>
      </c>
    </row>
    <row r="3382" customFormat="false" ht="14.25" hidden="false" customHeight="true" outlineLevel="0" collapsed="false">
      <c r="A3382" s="51" t="n">
        <v>16916</v>
      </c>
      <c r="B3382" s="52" t="n">
        <v>40863.5055555556</v>
      </c>
      <c r="C3382" s="1" t="n">
        <v>2</v>
      </c>
      <c r="D3382" s="1" t="n">
        <v>576.26</v>
      </c>
    </row>
    <row r="3383" customFormat="false" ht="14.25" hidden="false" customHeight="true" outlineLevel="0" collapsed="false">
      <c r="A3383" s="51" t="n">
        <v>16917</v>
      </c>
      <c r="B3383" s="52" t="n">
        <v>40610.4965277778</v>
      </c>
      <c r="C3383" s="1" t="n">
        <v>1</v>
      </c>
      <c r="D3383" s="1" t="n">
        <v>391.52</v>
      </c>
    </row>
    <row r="3384" customFormat="false" ht="14.25" hidden="false" customHeight="true" outlineLevel="0" collapsed="false">
      <c r="A3384" s="51" t="n">
        <v>16918</v>
      </c>
      <c r="B3384" s="52" t="n">
        <v>40837.5347222222</v>
      </c>
      <c r="C3384" s="1" t="n">
        <v>7</v>
      </c>
      <c r="D3384" s="1" t="n">
        <v>1043.34</v>
      </c>
    </row>
    <row r="3385" customFormat="false" ht="14.25" hidden="false" customHeight="true" outlineLevel="0" collapsed="false">
      <c r="A3385" s="51" t="n">
        <v>16919</v>
      </c>
      <c r="B3385" s="52" t="n">
        <v>40730.5659722222</v>
      </c>
      <c r="C3385" s="1" t="n">
        <v>11</v>
      </c>
      <c r="D3385" s="1" t="n">
        <v>2596.45</v>
      </c>
    </row>
    <row r="3386" customFormat="false" ht="14.25" hidden="false" customHeight="true" outlineLevel="0" collapsed="false">
      <c r="A3386" s="51" t="n">
        <v>16921</v>
      </c>
      <c r="B3386" s="52" t="n">
        <v>40825.6819444444</v>
      </c>
      <c r="C3386" s="1" t="n">
        <v>1</v>
      </c>
      <c r="D3386" s="1" t="n">
        <v>169.79</v>
      </c>
    </row>
    <row r="3387" customFormat="false" ht="14.25" hidden="false" customHeight="true" outlineLevel="0" collapsed="false">
      <c r="A3387" s="51" t="n">
        <v>16923</v>
      </c>
      <c r="B3387" s="52" t="n">
        <v>40874.5416666667</v>
      </c>
      <c r="C3387" s="1" t="n">
        <v>26</v>
      </c>
      <c r="D3387" s="1" t="n">
        <v>6666.83</v>
      </c>
    </row>
    <row r="3388" customFormat="false" ht="14.25" hidden="false" customHeight="true" outlineLevel="0" collapsed="false">
      <c r="A3388" s="51" t="n">
        <v>16924</v>
      </c>
      <c r="B3388" s="52" t="n">
        <v>40865.5368055556</v>
      </c>
      <c r="C3388" s="1" t="n">
        <v>4</v>
      </c>
      <c r="D3388" s="1" t="n">
        <v>739.5</v>
      </c>
    </row>
    <row r="3389" customFormat="false" ht="14.25" hidden="false" customHeight="true" outlineLevel="0" collapsed="false">
      <c r="A3389" s="51" t="n">
        <v>16926</v>
      </c>
      <c r="B3389" s="52" t="n">
        <v>40515.5708333333</v>
      </c>
      <c r="C3389" s="1" t="n">
        <v>1</v>
      </c>
      <c r="D3389" s="1" t="n">
        <v>230.25</v>
      </c>
    </row>
    <row r="3390" customFormat="false" ht="14.25" hidden="false" customHeight="true" outlineLevel="0" collapsed="false">
      <c r="A3390" s="51" t="n">
        <v>16927</v>
      </c>
      <c r="B3390" s="52" t="n">
        <v>40771.4652777778</v>
      </c>
      <c r="C3390" s="1" t="n">
        <v>3</v>
      </c>
      <c r="D3390" s="1" t="n">
        <v>543.05</v>
      </c>
    </row>
    <row r="3391" customFormat="false" ht="14.25" hidden="false" customHeight="true" outlineLevel="0" collapsed="false">
      <c r="A3391" s="51" t="n">
        <v>16928</v>
      </c>
      <c r="B3391" s="52" t="n">
        <v>40806.6319444445</v>
      </c>
      <c r="C3391" s="1" t="n">
        <v>19</v>
      </c>
      <c r="D3391" s="1" t="n">
        <v>2781.5</v>
      </c>
    </row>
    <row r="3392" customFormat="false" ht="14.25" hidden="false" customHeight="true" outlineLevel="0" collapsed="false">
      <c r="A3392" s="51" t="n">
        <v>16929</v>
      </c>
      <c r="B3392" s="52" t="n">
        <v>40883.3590277778</v>
      </c>
      <c r="C3392" s="1" t="n">
        <v>7</v>
      </c>
      <c r="D3392" s="1" t="n">
        <v>1295.39</v>
      </c>
    </row>
    <row r="3393" customFormat="false" ht="14.25" hidden="false" customHeight="true" outlineLevel="0" collapsed="false">
      <c r="A3393" s="51" t="n">
        <v>16930</v>
      </c>
      <c r="B3393" s="52" t="n">
        <v>40860.6756944444</v>
      </c>
      <c r="C3393" s="1" t="n">
        <v>3</v>
      </c>
      <c r="D3393" s="1" t="n">
        <v>380.55</v>
      </c>
    </row>
    <row r="3394" customFormat="false" ht="14.25" hidden="false" customHeight="true" outlineLevel="0" collapsed="false">
      <c r="A3394" s="51" t="n">
        <v>16931</v>
      </c>
      <c r="B3394" s="52" t="n">
        <v>40881.5520833333</v>
      </c>
      <c r="C3394" s="1" t="n">
        <v>21</v>
      </c>
      <c r="D3394" s="1" t="n">
        <v>4604.21999999999</v>
      </c>
    </row>
    <row r="3395" customFormat="false" ht="14.25" hidden="false" customHeight="true" outlineLevel="0" collapsed="false">
      <c r="A3395" s="51" t="n">
        <v>16932</v>
      </c>
      <c r="B3395" s="52" t="n">
        <v>40833.5916666667</v>
      </c>
      <c r="C3395" s="1" t="n">
        <v>1</v>
      </c>
      <c r="D3395" s="1" t="n">
        <v>161.94</v>
      </c>
    </row>
    <row r="3396" customFormat="false" ht="14.25" hidden="false" customHeight="true" outlineLevel="0" collapsed="false">
      <c r="A3396" s="51" t="n">
        <v>16933</v>
      </c>
      <c r="B3396" s="52" t="n">
        <v>40885.5375</v>
      </c>
      <c r="C3396" s="1" t="n">
        <v>5</v>
      </c>
      <c r="D3396" s="1" t="n">
        <v>530.08</v>
      </c>
    </row>
    <row r="3397" customFormat="false" ht="14.25" hidden="false" customHeight="true" outlineLevel="0" collapsed="false">
      <c r="A3397" s="51" t="n">
        <v>16934</v>
      </c>
      <c r="B3397" s="52" t="n">
        <v>40832.5277777778</v>
      </c>
      <c r="C3397" s="1" t="n">
        <v>2</v>
      </c>
      <c r="D3397" s="1" t="n">
        <v>950.93</v>
      </c>
    </row>
    <row r="3398" customFormat="false" ht="14.25" hidden="false" customHeight="true" outlineLevel="0" collapsed="false">
      <c r="A3398" s="51" t="n">
        <v>16936</v>
      </c>
      <c r="B3398" s="52" t="n">
        <v>40861.4611111111</v>
      </c>
      <c r="C3398" s="1" t="n">
        <v>1</v>
      </c>
      <c r="D3398" s="1" t="n">
        <v>262.68</v>
      </c>
    </row>
    <row r="3399" customFormat="false" ht="14.25" hidden="false" customHeight="true" outlineLevel="0" collapsed="false">
      <c r="A3399" s="51" t="n">
        <v>16938</v>
      </c>
      <c r="B3399" s="52" t="n">
        <v>40878.4305555556</v>
      </c>
      <c r="C3399" s="1" t="n">
        <v>5</v>
      </c>
      <c r="D3399" s="1" t="n">
        <v>1903.13</v>
      </c>
    </row>
    <row r="3400" customFormat="false" ht="14.25" hidden="false" customHeight="true" outlineLevel="0" collapsed="false">
      <c r="A3400" s="51" t="n">
        <v>16940</v>
      </c>
      <c r="B3400" s="52" t="n">
        <v>40834.5520833333</v>
      </c>
      <c r="C3400" s="1" t="n">
        <v>3</v>
      </c>
      <c r="D3400" s="1" t="n">
        <v>3049.88</v>
      </c>
    </row>
    <row r="3401" customFormat="false" ht="14.25" hidden="false" customHeight="true" outlineLevel="0" collapsed="false">
      <c r="A3401" s="51" t="n">
        <v>16942</v>
      </c>
      <c r="B3401" s="52" t="n">
        <v>40874.5277777778</v>
      </c>
      <c r="C3401" s="1" t="n">
        <v>10</v>
      </c>
      <c r="D3401" s="1" t="n">
        <v>1894.11</v>
      </c>
    </row>
    <row r="3402" customFormat="false" ht="14.25" hidden="false" customHeight="true" outlineLevel="0" collapsed="false">
      <c r="A3402" s="51" t="n">
        <v>16943</v>
      </c>
      <c r="B3402" s="52" t="n">
        <v>40675.4979166667</v>
      </c>
      <c r="C3402" s="1" t="n">
        <v>3</v>
      </c>
      <c r="D3402" s="1" t="n">
        <v>816.73</v>
      </c>
    </row>
    <row r="3403" customFormat="false" ht="14.25" hidden="false" customHeight="true" outlineLevel="0" collapsed="false">
      <c r="A3403" s="51" t="n">
        <v>16945</v>
      </c>
      <c r="B3403" s="52" t="n">
        <v>40865.4854166667</v>
      </c>
      <c r="C3403" s="1" t="n">
        <v>19</v>
      </c>
      <c r="D3403" s="1" t="n">
        <v>4345.50000000001</v>
      </c>
    </row>
    <row r="3404" customFormat="false" ht="14.25" hidden="false" customHeight="true" outlineLevel="0" collapsed="false">
      <c r="A3404" s="51" t="n">
        <v>16947</v>
      </c>
      <c r="B3404" s="52" t="n">
        <v>40651.4013888889</v>
      </c>
      <c r="C3404" s="1" t="n">
        <v>1</v>
      </c>
      <c r="D3404" s="1" t="n">
        <v>406.48</v>
      </c>
    </row>
    <row r="3405" customFormat="false" ht="14.25" hidden="false" customHeight="true" outlineLevel="0" collapsed="false">
      <c r="A3405" s="51" t="n">
        <v>16948</v>
      </c>
      <c r="B3405" s="52" t="n">
        <v>40748.5319444445</v>
      </c>
      <c r="C3405" s="1" t="n">
        <v>3</v>
      </c>
      <c r="D3405" s="1" t="n">
        <v>435.02</v>
      </c>
    </row>
    <row r="3406" customFormat="false" ht="14.25" hidden="false" customHeight="true" outlineLevel="0" collapsed="false">
      <c r="A3406" s="51" t="n">
        <v>16949</v>
      </c>
      <c r="B3406" s="52" t="n">
        <v>40883.4631944444</v>
      </c>
      <c r="C3406" s="1" t="n">
        <v>7</v>
      </c>
      <c r="D3406" s="1" t="n">
        <v>1161.27</v>
      </c>
    </row>
    <row r="3407" customFormat="false" ht="14.25" hidden="false" customHeight="true" outlineLevel="0" collapsed="false">
      <c r="A3407" s="51" t="n">
        <v>16950</v>
      </c>
      <c r="B3407" s="52" t="n">
        <v>40830.3791666667</v>
      </c>
      <c r="C3407" s="1" t="n">
        <v>3</v>
      </c>
      <c r="D3407" s="1" t="n">
        <v>1178.56</v>
      </c>
    </row>
    <row r="3408" customFormat="false" ht="14.25" hidden="false" customHeight="true" outlineLevel="0" collapsed="false">
      <c r="A3408" s="51" t="n">
        <v>16951</v>
      </c>
      <c r="B3408" s="52" t="n">
        <v>40763.5590277778</v>
      </c>
      <c r="C3408" s="1" t="n">
        <v>4</v>
      </c>
      <c r="D3408" s="1" t="n">
        <v>1262.75</v>
      </c>
    </row>
    <row r="3409" customFormat="false" ht="14.25" hidden="false" customHeight="true" outlineLevel="0" collapsed="false">
      <c r="A3409" s="51" t="n">
        <v>16952</v>
      </c>
      <c r="B3409" s="52" t="n">
        <v>40777.54375</v>
      </c>
      <c r="C3409" s="1" t="n">
        <v>2</v>
      </c>
      <c r="D3409" s="1" t="n">
        <v>167.61</v>
      </c>
    </row>
    <row r="3410" customFormat="false" ht="14.25" hidden="false" customHeight="true" outlineLevel="0" collapsed="false">
      <c r="A3410" s="51" t="n">
        <v>16953</v>
      </c>
      <c r="B3410" s="52" t="n">
        <v>40856.6625</v>
      </c>
      <c r="C3410" s="1" t="n">
        <v>1</v>
      </c>
      <c r="D3410" s="1" t="n">
        <v>20.8</v>
      </c>
    </row>
    <row r="3411" customFormat="false" ht="14.25" hidden="false" customHeight="true" outlineLevel="0" collapsed="false">
      <c r="A3411" s="51" t="n">
        <v>16954</v>
      </c>
      <c r="B3411" s="52" t="n">
        <v>40886.4069444445</v>
      </c>
      <c r="C3411" s="1" t="n">
        <v>9</v>
      </c>
      <c r="D3411" s="1" t="n">
        <v>2085.08</v>
      </c>
    </row>
    <row r="3412" customFormat="false" ht="14.25" hidden="false" customHeight="true" outlineLevel="0" collapsed="false">
      <c r="A3412" s="51" t="n">
        <v>16955</v>
      </c>
      <c r="B3412" s="52" t="n">
        <v>40702.4416666667</v>
      </c>
      <c r="C3412" s="1" t="n">
        <v>5</v>
      </c>
      <c r="D3412" s="1" t="n">
        <v>493.67</v>
      </c>
    </row>
    <row r="3413" customFormat="false" ht="14.25" hidden="false" customHeight="true" outlineLevel="0" collapsed="false">
      <c r="A3413" s="51" t="n">
        <v>16956</v>
      </c>
      <c r="B3413" s="52" t="n">
        <v>40877.6027777778</v>
      </c>
      <c r="C3413" s="1" t="n">
        <v>2</v>
      </c>
      <c r="D3413" s="1" t="n">
        <v>292.34</v>
      </c>
    </row>
    <row r="3414" customFormat="false" ht="14.25" hidden="false" customHeight="true" outlineLevel="0" collapsed="false">
      <c r="A3414" s="51" t="n">
        <v>16957</v>
      </c>
      <c r="B3414" s="52" t="n">
        <v>40647.5805555556</v>
      </c>
      <c r="C3414" s="1" t="n">
        <v>2</v>
      </c>
      <c r="D3414" s="1" t="n">
        <v>416.64</v>
      </c>
    </row>
    <row r="3415" customFormat="false" ht="14.25" hidden="false" customHeight="true" outlineLevel="0" collapsed="false">
      <c r="A3415" s="51" t="n">
        <v>16959</v>
      </c>
      <c r="B3415" s="52" t="n">
        <v>40799.6270833333</v>
      </c>
      <c r="C3415" s="1" t="n">
        <v>1</v>
      </c>
      <c r="D3415" s="1" t="n">
        <v>117.35</v>
      </c>
    </row>
    <row r="3416" customFormat="false" ht="14.25" hidden="false" customHeight="true" outlineLevel="0" collapsed="false">
      <c r="A3416" s="51" t="n">
        <v>16960</v>
      </c>
      <c r="B3416" s="52" t="n">
        <v>40848.4826388889</v>
      </c>
      <c r="C3416" s="1" t="n">
        <v>3</v>
      </c>
      <c r="D3416" s="1" t="n">
        <v>507.05</v>
      </c>
    </row>
    <row r="3417" customFormat="false" ht="14.25" hidden="false" customHeight="true" outlineLevel="0" collapsed="false">
      <c r="A3417" s="51" t="n">
        <v>16961</v>
      </c>
      <c r="B3417" s="52" t="n">
        <v>40770.5736111111</v>
      </c>
      <c r="C3417" s="1" t="n">
        <v>1</v>
      </c>
      <c r="D3417" s="1" t="n">
        <v>234.17</v>
      </c>
    </row>
    <row r="3418" customFormat="false" ht="14.25" hidden="false" customHeight="true" outlineLevel="0" collapsed="false">
      <c r="A3418" s="51" t="n">
        <v>16963</v>
      </c>
      <c r="B3418" s="52" t="n">
        <v>40699.575</v>
      </c>
      <c r="C3418" s="1" t="n">
        <v>1</v>
      </c>
      <c r="D3418" s="1" t="n">
        <v>110.55</v>
      </c>
    </row>
    <row r="3419" customFormat="false" ht="14.25" hidden="false" customHeight="true" outlineLevel="0" collapsed="false">
      <c r="A3419" s="51" t="n">
        <v>16965</v>
      </c>
      <c r="B3419" s="52" t="n">
        <v>40660.5055555556</v>
      </c>
      <c r="C3419" s="1" t="n">
        <v>1</v>
      </c>
      <c r="D3419" s="1" t="n">
        <v>201.19</v>
      </c>
    </row>
    <row r="3420" customFormat="false" ht="14.25" hidden="false" customHeight="true" outlineLevel="0" collapsed="false">
      <c r="A3420" s="51" t="n">
        <v>16966</v>
      </c>
      <c r="B3420" s="52" t="n">
        <v>40878.5694444445</v>
      </c>
      <c r="C3420" s="1" t="n">
        <v>10</v>
      </c>
      <c r="D3420" s="1" t="n">
        <v>2148.47</v>
      </c>
    </row>
    <row r="3421" customFormat="false" ht="14.25" hidden="false" customHeight="true" outlineLevel="0" collapsed="false">
      <c r="A3421" s="51" t="n">
        <v>16967</v>
      </c>
      <c r="B3421" s="52" t="n">
        <v>40697.6</v>
      </c>
      <c r="C3421" s="1" t="n">
        <v>1</v>
      </c>
      <c r="D3421" s="1" t="n">
        <v>319.02</v>
      </c>
    </row>
    <row r="3422" customFormat="false" ht="14.25" hidden="false" customHeight="true" outlineLevel="0" collapsed="false">
      <c r="A3422" s="51" t="n">
        <v>16968</v>
      </c>
      <c r="B3422" s="52" t="n">
        <v>40882.6263888889</v>
      </c>
      <c r="C3422" s="1" t="n">
        <v>2</v>
      </c>
      <c r="D3422" s="1" t="n">
        <v>439.43</v>
      </c>
    </row>
    <row r="3423" customFormat="false" ht="14.25" hidden="false" customHeight="true" outlineLevel="0" collapsed="false">
      <c r="A3423" s="51" t="n">
        <v>16969</v>
      </c>
      <c r="B3423" s="52" t="n">
        <v>40847.55</v>
      </c>
      <c r="C3423" s="1" t="n">
        <v>3</v>
      </c>
      <c r="D3423" s="1" t="n">
        <v>650.41</v>
      </c>
    </row>
    <row r="3424" customFormat="false" ht="14.25" hidden="false" customHeight="true" outlineLevel="0" collapsed="false">
      <c r="A3424" s="51" t="n">
        <v>16971</v>
      </c>
      <c r="B3424" s="52" t="n">
        <v>40884.3854166667</v>
      </c>
      <c r="C3424" s="1" t="n">
        <v>2</v>
      </c>
      <c r="D3424" s="1" t="n">
        <v>232.21</v>
      </c>
    </row>
    <row r="3425" customFormat="false" ht="14.25" hidden="false" customHeight="true" outlineLevel="0" collapsed="false">
      <c r="A3425" s="51" t="n">
        <v>16976</v>
      </c>
      <c r="B3425" s="52" t="n">
        <v>40619.6895833333</v>
      </c>
      <c r="C3425" s="1" t="n">
        <v>1</v>
      </c>
      <c r="D3425" s="1" t="n">
        <v>251.52</v>
      </c>
    </row>
    <row r="3426" customFormat="false" ht="14.25" hidden="false" customHeight="true" outlineLevel="0" collapsed="false">
      <c r="A3426" s="51" t="n">
        <v>16978</v>
      </c>
      <c r="B3426" s="52" t="n">
        <v>40809.5347222222</v>
      </c>
      <c r="C3426" s="1" t="n">
        <v>1</v>
      </c>
      <c r="D3426" s="1" t="n">
        <v>344.33</v>
      </c>
    </row>
    <row r="3427" customFormat="false" ht="14.25" hidden="false" customHeight="true" outlineLevel="0" collapsed="false">
      <c r="A3427" s="51" t="n">
        <v>16979</v>
      </c>
      <c r="B3427" s="52" t="n">
        <v>40883.5145833333</v>
      </c>
      <c r="C3427" s="1" t="n">
        <v>8</v>
      </c>
      <c r="D3427" s="1" t="n">
        <v>1809.05</v>
      </c>
    </row>
    <row r="3428" customFormat="false" ht="14.25" hidden="false" customHeight="true" outlineLevel="0" collapsed="false">
      <c r="A3428" s="51" t="n">
        <v>16980</v>
      </c>
      <c r="B3428" s="52" t="n">
        <v>40631.6916666667</v>
      </c>
      <c r="C3428" s="1" t="n">
        <v>2</v>
      </c>
      <c r="D3428" s="1" t="n">
        <v>1078.96</v>
      </c>
    </row>
    <row r="3429" customFormat="false" ht="14.25" hidden="false" customHeight="true" outlineLevel="0" collapsed="false">
      <c r="A3429" s="51" t="n">
        <v>16982</v>
      </c>
      <c r="B3429" s="52" t="n">
        <v>40826.5194444444</v>
      </c>
      <c r="C3429" s="1" t="n">
        <v>1</v>
      </c>
      <c r="D3429" s="1" t="n">
        <v>384.06</v>
      </c>
    </row>
    <row r="3430" customFormat="false" ht="14.25" hidden="false" customHeight="true" outlineLevel="0" collapsed="false">
      <c r="A3430" s="51" t="n">
        <v>16983</v>
      </c>
      <c r="B3430" s="52" t="n">
        <v>40874.5069444445</v>
      </c>
      <c r="C3430" s="1" t="n">
        <v>8</v>
      </c>
      <c r="D3430" s="1" t="n">
        <v>1920.2</v>
      </c>
    </row>
    <row r="3431" customFormat="false" ht="14.25" hidden="false" customHeight="true" outlineLevel="0" collapsed="false">
      <c r="A3431" s="51" t="n">
        <v>16984</v>
      </c>
      <c r="B3431" s="52" t="n">
        <v>40808.7645833333</v>
      </c>
      <c r="C3431" s="1" t="n">
        <v>5</v>
      </c>
      <c r="D3431" s="1" t="n">
        <v>4392.42</v>
      </c>
    </row>
    <row r="3432" customFormat="false" ht="14.25" hidden="false" customHeight="true" outlineLevel="0" collapsed="false">
      <c r="A3432" s="51" t="n">
        <v>16985</v>
      </c>
      <c r="B3432" s="52" t="n">
        <v>40869.5645833333</v>
      </c>
      <c r="C3432" s="1" t="n">
        <v>11</v>
      </c>
      <c r="D3432" s="1" t="n">
        <v>5461.62</v>
      </c>
    </row>
    <row r="3433" customFormat="false" ht="14.25" hidden="false" customHeight="true" outlineLevel="0" collapsed="false">
      <c r="A3433" s="51" t="n">
        <v>16986</v>
      </c>
      <c r="B3433" s="52" t="n">
        <v>40857.4965277778</v>
      </c>
      <c r="C3433" s="1" t="n">
        <v>2</v>
      </c>
      <c r="D3433" s="1" t="n">
        <v>1873.2</v>
      </c>
    </row>
    <row r="3434" customFormat="false" ht="14.25" hidden="false" customHeight="true" outlineLevel="0" collapsed="false">
      <c r="A3434" s="51" t="n">
        <v>16987</v>
      </c>
      <c r="B3434" s="52" t="n">
        <v>40883.7263888889</v>
      </c>
      <c r="C3434" s="1" t="n">
        <v>7</v>
      </c>
      <c r="D3434" s="1" t="n">
        <v>1625.05</v>
      </c>
    </row>
    <row r="3435" customFormat="false" ht="14.25" hidden="false" customHeight="true" outlineLevel="0" collapsed="false">
      <c r="A3435" s="51" t="n">
        <v>16988</v>
      </c>
      <c r="B3435" s="52" t="n">
        <v>40881.6680555556</v>
      </c>
      <c r="C3435" s="1" t="n">
        <v>1</v>
      </c>
      <c r="D3435" s="1" t="n">
        <v>126.12</v>
      </c>
    </row>
    <row r="3436" customFormat="false" ht="14.25" hidden="false" customHeight="true" outlineLevel="0" collapsed="false">
      <c r="A3436" s="51" t="n">
        <v>16989</v>
      </c>
      <c r="B3436" s="52" t="n">
        <v>40879.69375</v>
      </c>
      <c r="C3436" s="1" t="n">
        <v>6</v>
      </c>
      <c r="D3436" s="1" t="n">
        <v>1133.25</v>
      </c>
    </row>
    <row r="3437" customFormat="false" ht="14.25" hidden="false" customHeight="true" outlineLevel="0" collapsed="false">
      <c r="A3437" s="51" t="n">
        <v>16990</v>
      </c>
      <c r="B3437" s="52" t="n">
        <v>40668.3541666667</v>
      </c>
      <c r="C3437" s="1" t="n">
        <v>1</v>
      </c>
      <c r="D3437" s="1" t="n">
        <v>179</v>
      </c>
    </row>
    <row r="3438" customFormat="false" ht="14.25" hidden="false" customHeight="true" outlineLevel="0" collapsed="false">
      <c r="A3438" s="51" t="n">
        <v>16992</v>
      </c>
      <c r="B3438" s="52" t="n">
        <v>40876.4930555556</v>
      </c>
      <c r="C3438" s="1" t="n">
        <v>6</v>
      </c>
      <c r="D3438" s="1" t="n">
        <v>1601.86</v>
      </c>
    </row>
    <row r="3439" customFormat="false" ht="14.25" hidden="false" customHeight="true" outlineLevel="0" collapsed="false">
      <c r="A3439" s="51" t="n">
        <v>16995</v>
      </c>
      <c r="B3439" s="52" t="n">
        <v>40514.7145833333</v>
      </c>
      <c r="C3439" s="1" t="n">
        <v>1</v>
      </c>
      <c r="D3439" s="1" t="n">
        <v>-1.25</v>
      </c>
    </row>
    <row r="3440" customFormat="false" ht="14.25" hidden="false" customHeight="true" outlineLevel="0" collapsed="false">
      <c r="A3440" s="51" t="n">
        <v>16996</v>
      </c>
      <c r="B3440" s="52" t="n">
        <v>40856.6965277778</v>
      </c>
      <c r="C3440" s="1" t="n">
        <v>9</v>
      </c>
      <c r="D3440" s="1" t="n">
        <v>1427.46</v>
      </c>
    </row>
    <row r="3441" customFormat="false" ht="14.25" hidden="false" customHeight="true" outlineLevel="0" collapsed="false">
      <c r="A3441" s="51" t="n">
        <v>16997</v>
      </c>
      <c r="B3441" s="52" t="n">
        <v>40598.7277777778</v>
      </c>
      <c r="C3441" s="1" t="n">
        <v>3</v>
      </c>
      <c r="D3441" s="1" t="n">
        <v>702</v>
      </c>
    </row>
    <row r="3442" customFormat="false" ht="14.25" hidden="false" customHeight="true" outlineLevel="0" collapsed="false">
      <c r="A3442" s="51" t="n">
        <v>16998</v>
      </c>
      <c r="B3442" s="52" t="n">
        <v>40737.4090277778</v>
      </c>
      <c r="C3442" s="1" t="n">
        <v>6</v>
      </c>
      <c r="D3442" s="1" t="n">
        <v>287.02</v>
      </c>
    </row>
    <row r="3443" customFormat="false" ht="14.25" hidden="false" customHeight="true" outlineLevel="0" collapsed="false">
      <c r="A3443" s="51" t="n">
        <v>16999</v>
      </c>
      <c r="B3443" s="52" t="n">
        <v>40863.5784722222</v>
      </c>
      <c r="C3443" s="1" t="n">
        <v>2</v>
      </c>
      <c r="D3443" s="1" t="n">
        <v>484.82</v>
      </c>
    </row>
    <row r="3444" customFormat="false" ht="14.25" hidden="false" customHeight="true" outlineLevel="0" collapsed="false">
      <c r="A3444" s="51" t="n">
        <v>17001</v>
      </c>
      <c r="B3444" s="52" t="n">
        <v>40886.4013888889</v>
      </c>
      <c r="C3444" s="1" t="n">
        <v>11</v>
      </c>
      <c r="D3444" s="1" t="n">
        <v>3989.57</v>
      </c>
    </row>
    <row r="3445" customFormat="false" ht="14.25" hidden="false" customHeight="true" outlineLevel="0" collapsed="false">
      <c r="A3445" s="51" t="n">
        <v>17002</v>
      </c>
      <c r="B3445" s="52" t="n">
        <v>40813.7</v>
      </c>
      <c r="C3445" s="1" t="n">
        <v>4</v>
      </c>
      <c r="D3445" s="1" t="n">
        <v>1487.78</v>
      </c>
    </row>
    <row r="3446" customFormat="false" ht="14.25" hidden="false" customHeight="true" outlineLevel="0" collapsed="false">
      <c r="A3446" s="51" t="n">
        <v>17004</v>
      </c>
      <c r="B3446" s="52" t="n">
        <v>40840.6006944445</v>
      </c>
      <c r="C3446" s="1" t="n">
        <v>2</v>
      </c>
      <c r="D3446" s="1" t="n">
        <v>1412.94</v>
      </c>
    </row>
    <row r="3447" customFormat="false" ht="14.25" hidden="false" customHeight="true" outlineLevel="0" collapsed="false">
      <c r="A3447" s="51" t="n">
        <v>17006</v>
      </c>
      <c r="B3447" s="52" t="n">
        <v>40882.50625</v>
      </c>
      <c r="C3447" s="1" t="n">
        <v>4</v>
      </c>
      <c r="D3447" s="1" t="n">
        <v>781.78</v>
      </c>
    </row>
    <row r="3448" customFormat="false" ht="14.25" hidden="false" customHeight="true" outlineLevel="0" collapsed="false">
      <c r="A3448" s="51" t="n">
        <v>17007</v>
      </c>
      <c r="B3448" s="52" t="n">
        <v>40836.4493055556</v>
      </c>
      <c r="C3448" s="1" t="n">
        <v>7</v>
      </c>
      <c r="D3448" s="1" t="n">
        <v>877.43</v>
      </c>
    </row>
    <row r="3449" customFormat="false" ht="14.25" hidden="false" customHeight="true" outlineLevel="0" collapsed="false">
      <c r="A3449" s="51" t="n">
        <v>17010</v>
      </c>
      <c r="B3449" s="52" t="n">
        <v>40870.4611111111</v>
      </c>
      <c r="C3449" s="1" t="n">
        <v>2</v>
      </c>
      <c r="D3449" s="1" t="n">
        <v>185.46</v>
      </c>
    </row>
    <row r="3450" customFormat="false" ht="14.25" hidden="false" customHeight="true" outlineLevel="0" collapsed="false">
      <c r="A3450" s="51" t="n">
        <v>17011</v>
      </c>
      <c r="B3450" s="52" t="n">
        <v>40856.5625</v>
      </c>
      <c r="C3450" s="1" t="n">
        <v>1</v>
      </c>
      <c r="D3450" s="1" t="n">
        <v>270.9</v>
      </c>
    </row>
    <row r="3451" customFormat="false" ht="14.25" hidden="false" customHeight="true" outlineLevel="0" collapsed="false">
      <c r="A3451" s="51" t="n">
        <v>17014</v>
      </c>
      <c r="B3451" s="52" t="n">
        <v>40878.5895833333</v>
      </c>
      <c r="C3451" s="1" t="n">
        <v>4</v>
      </c>
      <c r="D3451" s="1" t="n">
        <v>565.58</v>
      </c>
    </row>
    <row r="3452" customFormat="false" ht="14.25" hidden="false" customHeight="true" outlineLevel="0" collapsed="false">
      <c r="A3452" s="51" t="n">
        <v>17015</v>
      </c>
      <c r="B3452" s="52" t="n">
        <v>40858.4479166667</v>
      </c>
      <c r="C3452" s="1" t="n">
        <v>3</v>
      </c>
      <c r="D3452" s="1" t="n">
        <v>1842.56</v>
      </c>
    </row>
    <row r="3453" customFormat="false" ht="14.25" hidden="false" customHeight="true" outlineLevel="0" collapsed="false">
      <c r="A3453" s="51" t="n">
        <v>17017</v>
      </c>
      <c r="B3453" s="52" t="n">
        <v>40884.3972222222</v>
      </c>
      <c r="C3453" s="1" t="n">
        <v>27</v>
      </c>
      <c r="D3453" s="1" t="n">
        <v>8574.11</v>
      </c>
    </row>
    <row r="3454" customFormat="false" ht="14.25" hidden="false" customHeight="true" outlineLevel="0" collapsed="false">
      <c r="A3454" s="51" t="n">
        <v>17018</v>
      </c>
      <c r="B3454" s="52" t="n">
        <v>40846.4875</v>
      </c>
      <c r="C3454" s="1" t="n">
        <v>2</v>
      </c>
      <c r="D3454" s="1" t="n">
        <v>920.1</v>
      </c>
    </row>
    <row r="3455" customFormat="false" ht="14.25" hidden="false" customHeight="true" outlineLevel="0" collapsed="false">
      <c r="A3455" s="51" t="n">
        <v>17019</v>
      </c>
      <c r="B3455" s="52" t="n">
        <v>40875.5458333333</v>
      </c>
      <c r="C3455" s="1" t="n">
        <v>4</v>
      </c>
      <c r="D3455" s="1" t="n">
        <v>1272.61</v>
      </c>
    </row>
    <row r="3456" customFormat="false" ht="14.25" hidden="false" customHeight="true" outlineLevel="0" collapsed="false">
      <c r="A3456" s="51" t="n">
        <v>17022</v>
      </c>
      <c r="B3456" s="52" t="n">
        <v>40855.7145833333</v>
      </c>
      <c r="C3456" s="1" t="n">
        <v>1</v>
      </c>
      <c r="D3456" s="1" t="n">
        <v>71</v>
      </c>
    </row>
    <row r="3457" customFormat="false" ht="14.25" hidden="false" customHeight="true" outlineLevel="0" collapsed="false">
      <c r="A3457" s="51" t="n">
        <v>17024</v>
      </c>
      <c r="B3457" s="52" t="n">
        <v>40841.5743055556</v>
      </c>
      <c r="C3457" s="1" t="n">
        <v>3</v>
      </c>
      <c r="D3457" s="1" t="n">
        <v>95.85</v>
      </c>
    </row>
    <row r="3458" customFormat="false" ht="14.25" hidden="false" customHeight="true" outlineLevel="0" collapsed="false">
      <c r="A3458" s="51" t="n">
        <v>17025</v>
      </c>
      <c r="B3458" s="52" t="n">
        <v>40826.3791666667</v>
      </c>
      <c r="C3458" s="1" t="n">
        <v>3</v>
      </c>
      <c r="D3458" s="1" t="n">
        <v>357.77</v>
      </c>
    </row>
    <row r="3459" customFormat="false" ht="14.25" hidden="false" customHeight="true" outlineLevel="0" collapsed="false">
      <c r="A3459" s="51" t="n">
        <v>17026</v>
      </c>
      <c r="B3459" s="52" t="n">
        <v>40701.6027777778</v>
      </c>
      <c r="C3459" s="1" t="n">
        <v>2</v>
      </c>
      <c r="D3459" s="1" t="n">
        <v>154.83</v>
      </c>
    </row>
    <row r="3460" customFormat="false" ht="14.25" hidden="false" customHeight="true" outlineLevel="0" collapsed="false">
      <c r="A3460" s="51" t="n">
        <v>17027</v>
      </c>
      <c r="B3460" s="52" t="n">
        <v>40808.5166666667</v>
      </c>
      <c r="C3460" s="1" t="n">
        <v>7</v>
      </c>
      <c r="D3460" s="1" t="n">
        <v>848.59</v>
      </c>
    </row>
    <row r="3461" customFormat="false" ht="14.25" hidden="false" customHeight="true" outlineLevel="0" collapsed="false">
      <c r="A3461" s="51" t="n">
        <v>17029</v>
      </c>
      <c r="B3461" s="52" t="n">
        <v>40776.4625</v>
      </c>
      <c r="C3461" s="1" t="n">
        <v>2</v>
      </c>
      <c r="D3461" s="1" t="n">
        <v>716</v>
      </c>
    </row>
    <row r="3462" customFormat="false" ht="14.25" hidden="false" customHeight="true" outlineLevel="0" collapsed="false">
      <c r="A3462" s="51" t="n">
        <v>17030</v>
      </c>
      <c r="B3462" s="52" t="n">
        <v>40823.3673611111</v>
      </c>
      <c r="C3462" s="1" t="n">
        <v>1</v>
      </c>
      <c r="D3462" s="1" t="n">
        <v>146.87</v>
      </c>
    </row>
    <row r="3463" customFormat="false" ht="14.25" hidden="false" customHeight="true" outlineLevel="0" collapsed="false">
      <c r="A3463" s="51" t="n">
        <v>17031</v>
      </c>
      <c r="B3463" s="52" t="n">
        <v>40875.4326388889</v>
      </c>
      <c r="C3463" s="1" t="n">
        <v>2</v>
      </c>
      <c r="D3463" s="1" t="n">
        <v>380.35</v>
      </c>
    </row>
    <row r="3464" customFormat="false" ht="14.25" hidden="false" customHeight="true" outlineLevel="0" collapsed="false">
      <c r="A3464" s="51" t="n">
        <v>17033</v>
      </c>
      <c r="B3464" s="52" t="n">
        <v>40800.6069444444</v>
      </c>
      <c r="C3464" s="1" t="n">
        <v>3</v>
      </c>
      <c r="D3464" s="1" t="n">
        <v>1030.14</v>
      </c>
    </row>
    <row r="3465" customFormat="false" ht="14.25" hidden="false" customHeight="true" outlineLevel="0" collapsed="false">
      <c r="A3465" s="51" t="n">
        <v>17034</v>
      </c>
      <c r="B3465" s="52" t="n">
        <v>40870.6347222222</v>
      </c>
      <c r="C3465" s="1" t="n">
        <v>4</v>
      </c>
      <c r="D3465" s="1" t="n">
        <v>734.57</v>
      </c>
    </row>
    <row r="3466" customFormat="false" ht="14.25" hidden="false" customHeight="true" outlineLevel="0" collapsed="false">
      <c r="A3466" s="51" t="n">
        <v>17035</v>
      </c>
      <c r="B3466" s="52" t="n">
        <v>40641.4743055556</v>
      </c>
      <c r="C3466" s="1" t="n">
        <v>3</v>
      </c>
      <c r="D3466" s="1" t="n">
        <v>388.33</v>
      </c>
    </row>
    <row r="3467" customFormat="false" ht="14.25" hidden="false" customHeight="true" outlineLevel="0" collapsed="false">
      <c r="A3467" s="51" t="n">
        <v>17037</v>
      </c>
      <c r="B3467" s="52" t="n">
        <v>40808.7222222222</v>
      </c>
      <c r="C3467" s="1" t="n">
        <v>2</v>
      </c>
      <c r="D3467" s="1" t="n">
        <v>1253.22</v>
      </c>
    </row>
    <row r="3468" customFormat="false" ht="14.25" hidden="false" customHeight="true" outlineLevel="0" collapsed="false">
      <c r="A3468" s="51" t="n">
        <v>17038</v>
      </c>
      <c r="B3468" s="52" t="n">
        <v>40856.5763888889</v>
      </c>
      <c r="C3468" s="1" t="n">
        <v>1</v>
      </c>
      <c r="D3468" s="1" t="n">
        <v>112.4</v>
      </c>
    </row>
    <row r="3469" customFormat="false" ht="14.25" hidden="false" customHeight="true" outlineLevel="0" collapsed="false">
      <c r="A3469" s="51" t="n">
        <v>17040</v>
      </c>
      <c r="B3469" s="52" t="n">
        <v>40749.4298611111</v>
      </c>
      <c r="C3469" s="1" t="n">
        <v>1</v>
      </c>
      <c r="D3469" s="1" t="n">
        <v>449.73</v>
      </c>
    </row>
    <row r="3470" customFormat="false" ht="14.25" hidden="false" customHeight="true" outlineLevel="0" collapsed="false">
      <c r="A3470" s="51" t="n">
        <v>17041</v>
      </c>
      <c r="B3470" s="52" t="n">
        <v>40860.4729166667</v>
      </c>
      <c r="C3470" s="1" t="n">
        <v>4</v>
      </c>
      <c r="D3470" s="1" t="n">
        <v>1065.77</v>
      </c>
    </row>
    <row r="3471" customFormat="false" ht="14.25" hidden="false" customHeight="true" outlineLevel="0" collapsed="false">
      <c r="A3471" s="51" t="n">
        <v>17042</v>
      </c>
      <c r="B3471" s="52" t="n">
        <v>40884.5180555556</v>
      </c>
      <c r="C3471" s="1" t="n">
        <v>5</v>
      </c>
      <c r="D3471" s="1" t="n">
        <v>1044.38</v>
      </c>
    </row>
    <row r="3472" customFormat="false" ht="14.25" hidden="false" customHeight="true" outlineLevel="0" collapsed="false">
      <c r="A3472" s="51" t="n">
        <v>17043</v>
      </c>
      <c r="B3472" s="52" t="n">
        <v>40854.6479166667</v>
      </c>
      <c r="C3472" s="1" t="n">
        <v>4</v>
      </c>
      <c r="D3472" s="1" t="n">
        <v>1735.18</v>
      </c>
    </row>
    <row r="3473" customFormat="false" ht="14.25" hidden="false" customHeight="true" outlineLevel="0" collapsed="false">
      <c r="A3473" s="51" t="n">
        <v>17044</v>
      </c>
      <c r="B3473" s="52" t="n">
        <v>40878.3708333333</v>
      </c>
      <c r="C3473" s="1" t="n">
        <v>3</v>
      </c>
      <c r="D3473" s="1" t="n">
        <v>897.43</v>
      </c>
    </row>
    <row r="3474" customFormat="false" ht="14.25" hidden="false" customHeight="true" outlineLevel="0" collapsed="false">
      <c r="A3474" s="51" t="n">
        <v>17045</v>
      </c>
      <c r="B3474" s="52" t="n">
        <v>40773.7145833333</v>
      </c>
      <c r="C3474" s="1" t="n">
        <v>3</v>
      </c>
      <c r="D3474" s="1" t="n">
        <v>339.44</v>
      </c>
    </row>
    <row r="3475" customFormat="false" ht="14.25" hidden="false" customHeight="true" outlineLevel="0" collapsed="false">
      <c r="A3475" s="51" t="n">
        <v>17046</v>
      </c>
      <c r="B3475" s="52" t="n">
        <v>40729.6</v>
      </c>
      <c r="C3475" s="1" t="n">
        <v>1</v>
      </c>
      <c r="D3475" s="1" t="n">
        <v>642.02</v>
      </c>
    </row>
    <row r="3476" customFormat="false" ht="14.25" hidden="false" customHeight="true" outlineLevel="0" collapsed="false">
      <c r="A3476" s="51" t="n">
        <v>17047</v>
      </c>
      <c r="B3476" s="52" t="n">
        <v>40801.5604166667</v>
      </c>
      <c r="C3476" s="1" t="n">
        <v>3</v>
      </c>
      <c r="D3476" s="1" t="n">
        <v>1100.9</v>
      </c>
    </row>
    <row r="3477" customFormat="false" ht="14.25" hidden="false" customHeight="true" outlineLevel="0" collapsed="false">
      <c r="A3477" s="51" t="n">
        <v>17048</v>
      </c>
      <c r="B3477" s="52" t="n">
        <v>40771.61875</v>
      </c>
      <c r="C3477" s="1" t="n">
        <v>6</v>
      </c>
      <c r="D3477" s="1" t="n">
        <v>864.32</v>
      </c>
    </row>
    <row r="3478" customFormat="false" ht="14.25" hidden="false" customHeight="true" outlineLevel="0" collapsed="false">
      <c r="A3478" s="51" t="n">
        <v>17049</v>
      </c>
      <c r="B3478" s="52" t="n">
        <v>40884.45</v>
      </c>
      <c r="C3478" s="1" t="n">
        <v>11</v>
      </c>
      <c r="D3478" s="1" t="n">
        <v>5594.78000000001</v>
      </c>
    </row>
    <row r="3479" customFormat="false" ht="14.25" hidden="false" customHeight="true" outlineLevel="0" collapsed="false">
      <c r="A3479" s="51" t="n">
        <v>17050</v>
      </c>
      <c r="B3479" s="52" t="n">
        <v>40790.575</v>
      </c>
      <c r="C3479" s="1" t="n">
        <v>6</v>
      </c>
      <c r="D3479" s="1" t="n">
        <v>3228.84</v>
      </c>
    </row>
    <row r="3480" customFormat="false" ht="14.25" hidden="false" customHeight="true" outlineLevel="0" collapsed="false">
      <c r="A3480" s="51" t="n">
        <v>17051</v>
      </c>
      <c r="B3480" s="52" t="n">
        <v>40692.5923611111</v>
      </c>
      <c r="C3480" s="1" t="n">
        <v>1</v>
      </c>
      <c r="D3480" s="1" t="n">
        <v>247.14</v>
      </c>
    </row>
    <row r="3481" customFormat="false" ht="14.25" hidden="false" customHeight="true" outlineLevel="0" collapsed="false">
      <c r="A3481" s="51" t="n">
        <v>17052</v>
      </c>
      <c r="B3481" s="52" t="n">
        <v>40858.6180555556</v>
      </c>
      <c r="C3481" s="1" t="n">
        <v>1</v>
      </c>
      <c r="D3481" s="1" t="n">
        <v>413.75</v>
      </c>
    </row>
    <row r="3482" customFormat="false" ht="14.25" hidden="false" customHeight="true" outlineLevel="0" collapsed="false">
      <c r="A3482" s="51" t="n">
        <v>17053</v>
      </c>
      <c r="B3482" s="52" t="n">
        <v>40758.4548611111</v>
      </c>
      <c r="C3482" s="1" t="n">
        <v>2</v>
      </c>
      <c r="D3482" s="1" t="n">
        <v>496.38</v>
      </c>
    </row>
    <row r="3483" customFormat="false" ht="14.25" hidden="false" customHeight="true" outlineLevel="0" collapsed="false">
      <c r="A3483" s="51" t="n">
        <v>17054</v>
      </c>
      <c r="B3483" s="52" t="n">
        <v>40858.5388888889</v>
      </c>
      <c r="C3483" s="1" t="n">
        <v>6</v>
      </c>
      <c r="D3483" s="1" t="n">
        <v>1353.83</v>
      </c>
    </row>
    <row r="3484" customFormat="false" ht="14.25" hidden="false" customHeight="true" outlineLevel="0" collapsed="false">
      <c r="A3484" s="51" t="n">
        <v>17058</v>
      </c>
      <c r="B3484" s="52" t="n">
        <v>40805.4256944444</v>
      </c>
      <c r="C3484" s="1" t="n">
        <v>3</v>
      </c>
      <c r="D3484" s="1" t="n">
        <v>1179.89</v>
      </c>
    </row>
    <row r="3485" customFormat="false" ht="14.25" hidden="false" customHeight="true" outlineLevel="0" collapsed="false">
      <c r="A3485" s="51" t="n">
        <v>17059</v>
      </c>
      <c r="B3485" s="52" t="n">
        <v>40857.51875</v>
      </c>
      <c r="C3485" s="1" t="n">
        <v>5</v>
      </c>
      <c r="D3485" s="1" t="n">
        <v>3095.04</v>
      </c>
    </row>
    <row r="3486" customFormat="false" ht="14.25" hidden="false" customHeight="true" outlineLevel="0" collapsed="false">
      <c r="A3486" s="51" t="n">
        <v>17060</v>
      </c>
      <c r="B3486" s="52" t="n">
        <v>40620.5604166667</v>
      </c>
      <c r="C3486" s="1" t="n">
        <v>1</v>
      </c>
      <c r="D3486" s="1" t="n">
        <v>234.24</v>
      </c>
    </row>
    <row r="3487" customFormat="false" ht="14.25" hidden="false" customHeight="true" outlineLevel="0" collapsed="false">
      <c r="A3487" s="51" t="n">
        <v>17061</v>
      </c>
      <c r="B3487" s="52" t="n">
        <v>40813.475</v>
      </c>
      <c r="C3487" s="1" t="n">
        <v>12</v>
      </c>
      <c r="D3487" s="1" t="n">
        <v>5116.13</v>
      </c>
    </row>
    <row r="3488" customFormat="false" ht="14.25" hidden="false" customHeight="true" outlineLevel="0" collapsed="false">
      <c r="A3488" s="51" t="n">
        <v>17062</v>
      </c>
      <c r="B3488" s="52" t="n">
        <v>40573.4590277778</v>
      </c>
      <c r="C3488" s="1" t="n">
        <v>5</v>
      </c>
      <c r="D3488" s="1" t="n">
        <v>534.47</v>
      </c>
    </row>
    <row r="3489" customFormat="false" ht="14.25" hidden="false" customHeight="true" outlineLevel="0" collapsed="false">
      <c r="A3489" s="51" t="n">
        <v>17063</v>
      </c>
      <c r="B3489" s="52" t="n">
        <v>40878.3652777778</v>
      </c>
      <c r="C3489" s="1" t="n">
        <v>11</v>
      </c>
      <c r="D3489" s="1" t="n">
        <v>1421.59</v>
      </c>
    </row>
    <row r="3490" customFormat="false" ht="14.25" hidden="false" customHeight="true" outlineLevel="0" collapsed="false">
      <c r="A3490" s="51" t="n">
        <v>17064</v>
      </c>
      <c r="B3490" s="52" t="n">
        <v>40828.4291666667</v>
      </c>
      <c r="C3490" s="1" t="n">
        <v>3</v>
      </c>
      <c r="D3490" s="1" t="n">
        <v>859.35</v>
      </c>
    </row>
    <row r="3491" customFormat="false" ht="14.25" hidden="false" customHeight="true" outlineLevel="0" collapsed="false">
      <c r="A3491" s="51" t="n">
        <v>17065</v>
      </c>
      <c r="B3491" s="52" t="n">
        <v>40743.6145833333</v>
      </c>
      <c r="C3491" s="1" t="n">
        <v>1</v>
      </c>
      <c r="D3491" s="1" t="n">
        <v>-112.35</v>
      </c>
    </row>
    <row r="3492" customFormat="false" ht="14.25" hidden="false" customHeight="true" outlineLevel="0" collapsed="false">
      <c r="A3492" s="51" t="n">
        <v>17068</v>
      </c>
      <c r="B3492" s="52" t="n">
        <v>40874.5513888889</v>
      </c>
      <c r="C3492" s="1" t="n">
        <v>22</v>
      </c>
      <c r="D3492" s="1" t="n">
        <v>4531.34</v>
      </c>
    </row>
    <row r="3493" customFormat="false" ht="14.25" hidden="false" customHeight="true" outlineLevel="0" collapsed="false">
      <c r="A3493" s="51" t="n">
        <v>17069</v>
      </c>
      <c r="B3493" s="52" t="n">
        <v>40858.7173611111</v>
      </c>
      <c r="C3493" s="1" t="n">
        <v>13</v>
      </c>
      <c r="D3493" s="1" t="n">
        <v>2655.22</v>
      </c>
    </row>
    <row r="3494" customFormat="false" ht="14.25" hidden="false" customHeight="true" outlineLevel="0" collapsed="false">
      <c r="A3494" s="51" t="n">
        <v>17070</v>
      </c>
      <c r="B3494" s="52" t="n">
        <v>40772.7090277778</v>
      </c>
      <c r="C3494" s="1" t="n">
        <v>1</v>
      </c>
      <c r="D3494" s="1" t="n">
        <v>312.14</v>
      </c>
    </row>
    <row r="3495" customFormat="false" ht="14.25" hidden="false" customHeight="true" outlineLevel="0" collapsed="false">
      <c r="A3495" s="51" t="n">
        <v>17071</v>
      </c>
      <c r="B3495" s="52" t="n">
        <v>40878.3791666667</v>
      </c>
      <c r="C3495" s="1" t="n">
        <v>14</v>
      </c>
      <c r="D3495" s="1" t="n">
        <v>2385.48</v>
      </c>
    </row>
    <row r="3496" customFormat="false" ht="14.25" hidden="false" customHeight="true" outlineLevel="0" collapsed="false">
      <c r="A3496" s="51" t="n">
        <v>17073</v>
      </c>
      <c r="B3496" s="52" t="n">
        <v>40869.4909722222</v>
      </c>
      <c r="C3496" s="1" t="n">
        <v>4</v>
      </c>
      <c r="D3496" s="1" t="n">
        <v>1446.09</v>
      </c>
    </row>
    <row r="3497" customFormat="false" ht="14.25" hidden="false" customHeight="true" outlineLevel="0" collapsed="false">
      <c r="A3497" s="51" t="n">
        <v>17075</v>
      </c>
      <c r="B3497" s="52" t="n">
        <v>40869.4986111111</v>
      </c>
      <c r="C3497" s="1" t="n">
        <v>5</v>
      </c>
      <c r="D3497" s="1" t="n">
        <v>813.77</v>
      </c>
    </row>
    <row r="3498" customFormat="false" ht="14.25" hidden="false" customHeight="true" outlineLevel="0" collapsed="false">
      <c r="A3498" s="51" t="n">
        <v>17076</v>
      </c>
      <c r="B3498" s="52" t="n">
        <v>40850.7451388889</v>
      </c>
      <c r="C3498" s="1" t="n">
        <v>3</v>
      </c>
      <c r="D3498" s="1" t="n">
        <v>841.08</v>
      </c>
    </row>
    <row r="3499" customFormat="false" ht="14.25" hidden="false" customHeight="true" outlineLevel="0" collapsed="false">
      <c r="A3499" s="51" t="n">
        <v>17078</v>
      </c>
      <c r="B3499" s="52" t="n">
        <v>40850.8034722222</v>
      </c>
      <c r="C3499" s="1" t="n">
        <v>2</v>
      </c>
      <c r="D3499" s="1" t="n">
        <v>378.2</v>
      </c>
    </row>
    <row r="3500" customFormat="false" ht="14.25" hidden="false" customHeight="true" outlineLevel="0" collapsed="false">
      <c r="A3500" s="51" t="n">
        <v>17079</v>
      </c>
      <c r="B3500" s="52" t="n">
        <v>40808.6486111111</v>
      </c>
      <c r="C3500" s="1" t="n">
        <v>1</v>
      </c>
      <c r="D3500" s="1" t="n">
        <v>118.8</v>
      </c>
    </row>
    <row r="3501" customFormat="false" ht="14.25" hidden="false" customHeight="true" outlineLevel="0" collapsed="false">
      <c r="A3501" s="51" t="n">
        <v>17080</v>
      </c>
      <c r="B3501" s="52" t="n">
        <v>40864.5409722222</v>
      </c>
      <c r="C3501" s="1" t="n">
        <v>3</v>
      </c>
      <c r="D3501" s="1" t="n">
        <v>285.5</v>
      </c>
    </row>
    <row r="3502" customFormat="false" ht="14.25" hidden="false" customHeight="true" outlineLevel="0" collapsed="false">
      <c r="A3502" s="51" t="n">
        <v>17081</v>
      </c>
      <c r="B3502" s="52" t="n">
        <v>40861.5388888889</v>
      </c>
      <c r="C3502" s="1" t="n">
        <v>2</v>
      </c>
      <c r="D3502" s="1" t="n">
        <v>290.16</v>
      </c>
    </row>
    <row r="3503" customFormat="false" ht="14.25" hidden="false" customHeight="true" outlineLevel="0" collapsed="false">
      <c r="A3503" s="51" t="n">
        <v>17082</v>
      </c>
      <c r="B3503" s="52" t="n">
        <v>40853.6368055556</v>
      </c>
      <c r="C3503" s="1" t="n">
        <v>2</v>
      </c>
      <c r="D3503" s="1" t="n">
        <v>2003.85</v>
      </c>
    </row>
    <row r="3504" customFormat="false" ht="14.25" hidden="false" customHeight="true" outlineLevel="0" collapsed="false">
      <c r="A3504" s="51" t="n">
        <v>17083</v>
      </c>
      <c r="B3504" s="52" t="n">
        <v>40777.6548611111</v>
      </c>
      <c r="C3504" s="1" t="n">
        <v>3</v>
      </c>
      <c r="D3504" s="1" t="n">
        <v>1405.78</v>
      </c>
    </row>
    <row r="3505" customFormat="false" ht="14.25" hidden="false" customHeight="true" outlineLevel="0" collapsed="false">
      <c r="A3505" s="51" t="n">
        <v>17084</v>
      </c>
      <c r="B3505" s="52" t="n">
        <v>40851.6208333333</v>
      </c>
      <c r="C3505" s="1" t="n">
        <v>2</v>
      </c>
      <c r="D3505" s="1" t="n">
        <v>2949.75</v>
      </c>
    </row>
    <row r="3506" customFormat="false" ht="14.25" hidden="false" customHeight="true" outlineLevel="0" collapsed="false">
      <c r="A3506" s="51" t="n">
        <v>17085</v>
      </c>
      <c r="B3506" s="52" t="n">
        <v>40763.59375</v>
      </c>
      <c r="C3506" s="1" t="n">
        <v>6</v>
      </c>
      <c r="D3506" s="1" t="n">
        <v>1555.05</v>
      </c>
    </row>
    <row r="3507" customFormat="false" ht="14.25" hidden="false" customHeight="true" outlineLevel="0" collapsed="false">
      <c r="A3507" s="51" t="n">
        <v>17086</v>
      </c>
      <c r="B3507" s="52" t="n">
        <v>40879.5791666667</v>
      </c>
      <c r="C3507" s="1" t="n">
        <v>6</v>
      </c>
      <c r="D3507" s="1" t="n">
        <v>2050.08</v>
      </c>
    </row>
    <row r="3508" customFormat="false" ht="14.25" hidden="false" customHeight="true" outlineLevel="0" collapsed="false">
      <c r="A3508" s="51" t="n">
        <v>17088</v>
      </c>
      <c r="B3508" s="52" t="n">
        <v>40858.5993055556</v>
      </c>
      <c r="C3508" s="1" t="n">
        <v>4</v>
      </c>
      <c r="D3508" s="1" t="n">
        <v>1991.01</v>
      </c>
    </row>
    <row r="3509" customFormat="false" ht="14.25" hidden="false" customHeight="true" outlineLevel="0" collapsed="false">
      <c r="A3509" s="51" t="n">
        <v>17090</v>
      </c>
      <c r="B3509" s="52" t="n">
        <v>40882.5722222222</v>
      </c>
      <c r="C3509" s="1" t="n">
        <v>8</v>
      </c>
      <c r="D3509" s="1" t="n">
        <v>2041.85</v>
      </c>
    </row>
    <row r="3510" customFormat="false" ht="14.25" hidden="false" customHeight="true" outlineLevel="0" collapsed="false">
      <c r="A3510" s="51" t="n">
        <v>17091</v>
      </c>
      <c r="B3510" s="52" t="n">
        <v>40884.4465277778</v>
      </c>
      <c r="C3510" s="1" t="n">
        <v>10</v>
      </c>
      <c r="D3510" s="1" t="n">
        <v>3802.81</v>
      </c>
    </row>
    <row r="3511" customFormat="false" ht="14.25" hidden="false" customHeight="true" outlineLevel="0" collapsed="false">
      <c r="A3511" s="51" t="n">
        <v>17092</v>
      </c>
      <c r="B3511" s="52" t="n">
        <v>40836.8270833333</v>
      </c>
      <c r="C3511" s="1" t="n">
        <v>4</v>
      </c>
      <c r="D3511" s="1" t="n">
        <v>1777.78</v>
      </c>
    </row>
    <row r="3512" customFormat="false" ht="14.25" hidden="false" customHeight="true" outlineLevel="0" collapsed="false">
      <c r="A3512" s="51" t="n">
        <v>17094</v>
      </c>
      <c r="B3512" s="52" t="n">
        <v>40568.725</v>
      </c>
      <c r="C3512" s="1" t="n">
        <v>2</v>
      </c>
      <c r="D3512" s="1" t="n">
        <v>270.2</v>
      </c>
    </row>
    <row r="3513" customFormat="false" ht="14.25" hidden="false" customHeight="true" outlineLevel="0" collapsed="false">
      <c r="A3513" s="51" t="n">
        <v>17095</v>
      </c>
      <c r="B3513" s="52" t="n">
        <v>40864.6944444445</v>
      </c>
      <c r="C3513" s="1" t="n">
        <v>6</v>
      </c>
      <c r="D3513" s="1" t="n">
        <v>1088.2</v>
      </c>
    </row>
    <row r="3514" customFormat="false" ht="14.25" hidden="false" customHeight="true" outlineLevel="0" collapsed="false">
      <c r="A3514" s="51" t="n">
        <v>17096</v>
      </c>
      <c r="B3514" s="52" t="n">
        <v>40877.6284722222</v>
      </c>
      <c r="C3514" s="1" t="n">
        <v>7</v>
      </c>
      <c r="D3514" s="1" t="n">
        <v>992.68</v>
      </c>
    </row>
    <row r="3515" customFormat="false" ht="14.25" hidden="false" customHeight="true" outlineLevel="0" collapsed="false">
      <c r="A3515" s="51" t="n">
        <v>17097</v>
      </c>
      <c r="B3515" s="52" t="n">
        <v>40884.7118055556</v>
      </c>
      <c r="C3515" s="1" t="n">
        <v>9</v>
      </c>
      <c r="D3515" s="1" t="n">
        <v>937.92</v>
      </c>
    </row>
    <row r="3516" customFormat="false" ht="14.25" hidden="false" customHeight="true" outlineLevel="0" collapsed="false">
      <c r="A3516" s="51" t="n">
        <v>17100</v>
      </c>
      <c r="B3516" s="52" t="n">
        <v>40868.6916666667</v>
      </c>
      <c r="C3516" s="1" t="n">
        <v>2</v>
      </c>
      <c r="D3516" s="1" t="n">
        <v>971.74</v>
      </c>
    </row>
    <row r="3517" customFormat="false" ht="14.25" hidden="false" customHeight="true" outlineLevel="0" collapsed="false">
      <c r="A3517" s="51" t="n">
        <v>17101</v>
      </c>
      <c r="B3517" s="52" t="n">
        <v>40876.58125</v>
      </c>
      <c r="C3517" s="1" t="n">
        <v>4</v>
      </c>
      <c r="D3517" s="1" t="n">
        <v>1621.73</v>
      </c>
    </row>
    <row r="3518" customFormat="false" ht="14.25" hidden="false" customHeight="true" outlineLevel="0" collapsed="false">
      <c r="A3518" s="51" t="n">
        <v>17102</v>
      </c>
      <c r="B3518" s="52" t="n">
        <v>40625.4222222222</v>
      </c>
      <c r="C3518" s="1" t="n">
        <v>1</v>
      </c>
      <c r="D3518" s="1" t="n">
        <v>25.5</v>
      </c>
    </row>
    <row r="3519" customFormat="false" ht="14.25" hidden="false" customHeight="true" outlineLevel="0" collapsed="false">
      <c r="A3519" s="51" t="n">
        <v>17105</v>
      </c>
      <c r="B3519" s="52" t="n">
        <v>40727.6618055556</v>
      </c>
      <c r="C3519" s="1" t="n">
        <v>2</v>
      </c>
      <c r="D3519" s="1" t="n">
        <v>665.78</v>
      </c>
    </row>
    <row r="3520" customFormat="false" ht="14.25" hidden="false" customHeight="true" outlineLevel="0" collapsed="false">
      <c r="A3520" s="51" t="n">
        <v>17107</v>
      </c>
      <c r="B3520" s="52" t="n">
        <v>40854.3618055556</v>
      </c>
      <c r="C3520" s="1" t="n">
        <v>7</v>
      </c>
      <c r="D3520" s="1" t="n">
        <v>10380.43</v>
      </c>
    </row>
    <row r="3521" customFormat="false" ht="14.25" hidden="false" customHeight="true" outlineLevel="0" collapsed="false">
      <c r="A3521" s="51" t="n">
        <v>17109</v>
      </c>
      <c r="B3521" s="52" t="n">
        <v>40857.7076388889</v>
      </c>
      <c r="C3521" s="1" t="n">
        <v>8</v>
      </c>
      <c r="D3521" s="1" t="n">
        <v>869.68</v>
      </c>
    </row>
    <row r="3522" customFormat="false" ht="14.25" hidden="false" customHeight="true" outlineLevel="0" collapsed="false">
      <c r="A3522" s="51" t="n">
        <v>17110</v>
      </c>
      <c r="B3522" s="52" t="n">
        <v>40721.5402777778</v>
      </c>
      <c r="C3522" s="1" t="n">
        <v>1</v>
      </c>
      <c r="D3522" s="1" t="n">
        <v>163.3</v>
      </c>
    </row>
    <row r="3523" customFormat="false" ht="14.25" hidden="false" customHeight="true" outlineLevel="0" collapsed="false">
      <c r="A3523" s="51" t="n">
        <v>17111</v>
      </c>
      <c r="B3523" s="52" t="n">
        <v>40839.6659722222</v>
      </c>
      <c r="C3523" s="1" t="n">
        <v>1</v>
      </c>
      <c r="D3523" s="1" t="n">
        <v>248.61</v>
      </c>
    </row>
    <row r="3524" customFormat="false" ht="14.25" hidden="false" customHeight="true" outlineLevel="0" collapsed="false">
      <c r="A3524" s="51" t="n">
        <v>17114</v>
      </c>
      <c r="B3524" s="52" t="n">
        <v>40881.5118055556</v>
      </c>
      <c r="C3524" s="1" t="n">
        <v>10</v>
      </c>
      <c r="D3524" s="1" t="n">
        <v>747.22</v>
      </c>
    </row>
    <row r="3525" customFormat="false" ht="14.25" hidden="false" customHeight="true" outlineLevel="0" collapsed="false">
      <c r="A3525" s="51" t="n">
        <v>17115</v>
      </c>
      <c r="B3525" s="52" t="n">
        <v>40878.6041666667</v>
      </c>
      <c r="C3525" s="1" t="n">
        <v>5</v>
      </c>
      <c r="D3525" s="1" t="n">
        <v>806.9</v>
      </c>
    </row>
    <row r="3526" customFormat="false" ht="14.25" hidden="false" customHeight="true" outlineLevel="0" collapsed="false">
      <c r="A3526" s="51" t="n">
        <v>17117</v>
      </c>
      <c r="B3526" s="52" t="n">
        <v>40598.5791666667</v>
      </c>
      <c r="C3526" s="1" t="n">
        <v>1</v>
      </c>
      <c r="D3526" s="1" t="n">
        <v>116.2</v>
      </c>
    </row>
    <row r="3527" customFormat="false" ht="14.25" hidden="false" customHeight="true" outlineLevel="0" collapsed="false">
      <c r="A3527" s="51" t="n">
        <v>17118</v>
      </c>
      <c r="B3527" s="52" t="n">
        <v>40569.5131944444</v>
      </c>
      <c r="C3527" s="1" t="n">
        <v>1</v>
      </c>
      <c r="D3527" s="1" t="n">
        <v>157.02</v>
      </c>
    </row>
    <row r="3528" customFormat="false" ht="14.25" hidden="false" customHeight="true" outlineLevel="0" collapsed="false">
      <c r="A3528" s="51" t="n">
        <v>17119</v>
      </c>
      <c r="B3528" s="52" t="n">
        <v>40883.6111111111</v>
      </c>
      <c r="C3528" s="1" t="n">
        <v>3</v>
      </c>
      <c r="D3528" s="1" t="n">
        <v>593.61</v>
      </c>
    </row>
    <row r="3529" customFormat="false" ht="14.25" hidden="false" customHeight="true" outlineLevel="0" collapsed="false">
      <c r="A3529" s="51" t="n">
        <v>17120</v>
      </c>
      <c r="B3529" s="52" t="n">
        <v>40653.6395833333</v>
      </c>
      <c r="C3529" s="1" t="n">
        <v>1</v>
      </c>
      <c r="D3529" s="1" t="n">
        <v>307.46</v>
      </c>
    </row>
    <row r="3530" customFormat="false" ht="14.25" hidden="false" customHeight="true" outlineLevel="0" collapsed="false">
      <c r="A3530" s="51" t="n">
        <v>17122</v>
      </c>
      <c r="B3530" s="52" t="n">
        <v>40767.60625</v>
      </c>
      <c r="C3530" s="1" t="n">
        <v>1</v>
      </c>
      <c r="D3530" s="1" t="n">
        <v>138.32</v>
      </c>
    </row>
    <row r="3531" customFormat="false" ht="14.25" hidden="false" customHeight="true" outlineLevel="0" collapsed="false">
      <c r="A3531" s="51" t="n">
        <v>17123</v>
      </c>
      <c r="B3531" s="52" t="n">
        <v>40725.4493055556</v>
      </c>
      <c r="C3531" s="1" t="n">
        <v>1</v>
      </c>
      <c r="D3531" s="1" t="n">
        <v>345.3</v>
      </c>
    </row>
    <row r="3532" customFormat="false" ht="14.25" hidden="false" customHeight="true" outlineLevel="0" collapsed="false">
      <c r="A3532" s="51" t="n">
        <v>17124</v>
      </c>
      <c r="B3532" s="52" t="n">
        <v>40701.5847222222</v>
      </c>
      <c r="C3532" s="1" t="n">
        <v>1</v>
      </c>
      <c r="D3532" s="1" t="n">
        <v>298.89</v>
      </c>
    </row>
    <row r="3533" customFormat="false" ht="14.25" hidden="false" customHeight="true" outlineLevel="0" collapsed="false">
      <c r="A3533" s="51" t="n">
        <v>17125</v>
      </c>
      <c r="B3533" s="52" t="n">
        <v>40836.6118055556</v>
      </c>
      <c r="C3533" s="1" t="n">
        <v>1</v>
      </c>
      <c r="D3533" s="1" t="n">
        <v>259.35</v>
      </c>
    </row>
    <row r="3534" customFormat="false" ht="14.25" hidden="false" customHeight="true" outlineLevel="0" collapsed="false">
      <c r="A3534" s="51" t="n">
        <v>17126</v>
      </c>
      <c r="B3534" s="52" t="n">
        <v>40734.5777777778</v>
      </c>
      <c r="C3534" s="1" t="n">
        <v>7</v>
      </c>
      <c r="D3534" s="1" t="n">
        <v>991.85</v>
      </c>
    </row>
    <row r="3535" customFormat="false" ht="14.25" hidden="false" customHeight="true" outlineLevel="0" collapsed="false">
      <c r="A3535" s="51" t="n">
        <v>17128</v>
      </c>
      <c r="B3535" s="52" t="n">
        <v>40552.5013888889</v>
      </c>
      <c r="C3535" s="1" t="n">
        <v>1</v>
      </c>
      <c r="D3535" s="1" t="n">
        <v>157.09</v>
      </c>
    </row>
    <row r="3536" customFormat="false" ht="14.25" hidden="false" customHeight="true" outlineLevel="0" collapsed="false">
      <c r="A3536" s="51" t="n">
        <v>17131</v>
      </c>
      <c r="B3536" s="52" t="n">
        <v>40881.5361111111</v>
      </c>
      <c r="C3536" s="1" t="n">
        <v>5</v>
      </c>
      <c r="D3536" s="1" t="n">
        <v>2463.17</v>
      </c>
    </row>
    <row r="3537" customFormat="false" ht="14.25" hidden="false" customHeight="true" outlineLevel="0" collapsed="false">
      <c r="A3537" s="51" t="n">
        <v>17133</v>
      </c>
      <c r="B3537" s="52" t="n">
        <v>40871.51875</v>
      </c>
      <c r="C3537" s="1" t="n">
        <v>7</v>
      </c>
      <c r="D3537" s="1" t="n">
        <v>4892.24</v>
      </c>
    </row>
    <row r="3538" customFormat="false" ht="14.25" hidden="false" customHeight="true" outlineLevel="0" collapsed="false">
      <c r="A3538" s="51" t="n">
        <v>17134</v>
      </c>
      <c r="B3538" s="52" t="n">
        <v>40780.4118055556</v>
      </c>
      <c r="C3538" s="1" t="n">
        <v>2</v>
      </c>
      <c r="D3538" s="1" t="n">
        <v>425</v>
      </c>
    </row>
    <row r="3539" customFormat="false" ht="14.25" hidden="false" customHeight="true" outlineLevel="0" collapsed="false">
      <c r="A3539" s="51" t="n">
        <v>17135</v>
      </c>
      <c r="B3539" s="52" t="n">
        <v>40870.7</v>
      </c>
      <c r="C3539" s="1" t="n">
        <v>7</v>
      </c>
      <c r="D3539" s="1" t="n">
        <v>1139.73</v>
      </c>
    </row>
    <row r="3540" customFormat="false" ht="14.25" hidden="false" customHeight="true" outlineLevel="0" collapsed="false">
      <c r="A3540" s="51" t="n">
        <v>17138</v>
      </c>
      <c r="B3540" s="52" t="n">
        <v>40611.4958333333</v>
      </c>
      <c r="C3540" s="1" t="n">
        <v>1</v>
      </c>
      <c r="D3540" s="1" t="n">
        <v>380.5</v>
      </c>
    </row>
    <row r="3541" customFormat="false" ht="14.25" hidden="false" customHeight="true" outlineLevel="0" collapsed="false">
      <c r="A3541" s="51" t="n">
        <v>17139</v>
      </c>
      <c r="B3541" s="52" t="n">
        <v>40871.425</v>
      </c>
      <c r="C3541" s="1" t="n">
        <v>15</v>
      </c>
      <c r="D3541" s="1" t="n">
        <v>10585.57</v>
      </c>
    </row>
    <row r="3542" customFormat="false" ht="14.25" hidden="false" customHeight="true" outlineLevel="0" collapsed="false">
      <c r="A3542" s="51" t="n">
        <v>17140</v>
      </c>
      <c r="B3542" s="52" t="n">
        <v>40639.5645833333</v>
      </c>
      <c r="C3542" s="1" t="n">
        <v>1</v>
      </c>
      <c r="D3542" s="1" t="n">
        <v>465.32</v>
      </c>
    </row>
    <row r="3543" customFormat="false" ht="14.25" hidden="false" customHeight="true" outlineLevel="0" collapsed="false">
      <c r="A3543" s="51" t="n">
        <v>17142</v>
      </c>
      <c r="B3543" s="52" t="n">
        <v>40647.7652777778</v>
      </c>
      <c r="C3543" s="1" t="n">
        <v>1</v>
      </c>
      <c r="D3543" s="1" t="n">
        <v>579</v>
      </c>
    </row>
    <row r="3544" customFormat="false" ht="14.25" hidden="false" customHeight="true" outlineLevel="0" collapsed="false">
      <c r="A3544" s="51" t="n">
        <v>17144</v>
      </c>
      <c r="B3544" s="52" t="n">
        <v>40885.7479166667</v>
      </c>
      <c r="C3544" s="1" t="n">
        <v>2</v>
      </c>
      <c r="D3544" s="1" t="n">
        <v>984.57</v>
      </c>
    </row>
    <row r="3545" customFormat="false" ht="14.25" hidden="false" customHeight="true" outlineLevel="0" collapsed="false">
      <c r="A3545" s="51" t="n">
        <v>17146</v>
      </c>
      <c r="B3545" s="52" t="n">
        <v>40781.5305555556</v>
      </c>
      <c r="C3545" s="1" t="n">
        <v>3</v>
      </c>
      <c r="D3545" s="1" t="n">
        <v>749.78</v>
      </c>
    </row>
    <row r="3546" customFormat="false" ht="14.25" hidden="false" customHeight="true" outlineLevel="0" collapsed="false">
      <c r="A3546" s="51" t="n">
        <v>17147</v>
      </c>
      <c r="B3546" s="52" t="n">
        <v>40864.5222222222</v>
      </c>
      <c r="C3546" s="1" t="n">
        <v>6</v>
      </c>
      <c r="D3546" s="1" t="n">
        <v>1679.64</v>
      </c>
    </row>
    <row r="3547" customFormat="false" ht="14.25" hidden="false" customHeight="true" outlineLevel="0" collapsed="false">
      <c r="A3547" s="51" t="n">
        <v>17148</v>
      </c>
      <c r="B3547" s="52" t="n">
        <v>40835.4159722222</v>
      </c>
      <c r="C3547" s="1" t="n">
        <v>1</v>
      </c>
      <c r="D3547" s="1" t="n">
        <v>124.88</v>
      </c>
    </row>
    <row r="3548" customFormat="false" ht="14.25" hidden="false" customHeight="true" outlineLevel="0" collapsed="false">
      <c r="A3548" s="51" t="n">
        <v>17152</v>
      </c>
      <c r="B3548" s="52" t="n">
        <v>40692.5131944444</v>
      </c>
      <c r="C3548" s="1" t="n">
        <v>4</v>
      </c>
      <c r="D3548" s="1" t="n">
        <v>1503.5</v>
      </c>
    </row>
    <row r="3549" customFormat="false" ht="14.25" hidden="false" customHeight="true" outlineLevel="0" collapsed="false">
      <c r="A3549" s="51" t="n">
        <v>17153</v>
      </c>
      <c r="B3549" s="52" t="n">
        <v>40862.5708333333</v>
      </c>
      <c r="C3549" s="1" t="n">
        <v>1</v>
      </c>
      <c r="D3549" s="1" t="n">
        <v>213.78</v>
      </c>
    </row>
    <row r="3550" customFormat="false" ht="14.25" hidden="false" customHeight="true" outlineLevel="0" collapsed="false">
      <c r="A3550" s="51" t="n">
        <v>17154</v>
      </c>
      <c r="B3550" s="52" t="n">
        <v>40811.5708333333</v>
      </c>
      <c r="C3550" s="1" t="n">
        <v>1</v>
      </c>
      <c r="D3550" s="1" t="n">
        <v>329.34</v>
      </c>
    </row>
    <row r="3551" customFormat="false" ht="14.25" hidden="false" customHeight="true" outlineLevel="0" collapsed="false">
      <c r="A3551" s="51" t="n">
        <v>17155</v>
      </c>
      <c r="B3551" s="52" t="n">
        <v>40869.5263888889</v>
      </c>
      <c r="C3551" s="1" t="n">
        <v>2</v>
      </c>
      <c r="D3551" s="1" t="n">
        <v>251.7</v>
      </c>
    </row>
    <row r="3552" customFormat="false" ht="14.25" hidden="false" customHeight="true" outlineLevel="0" collapsed="false">
      <c r="A3552" s="51" t="n">
        <v>17157</v>
      </c>
      <c r="B3552" s="52" t="n">
        <v>40879.3819444445</v>
      </c>
      <c r="C3552" s="1" t="n">
        <v>3</v>
      </c>
      <c r="D3552" s="1" t="n">
        <v>306.55</v>
      </c>
    </row>
    <row r="3553" customFormat="false" ht="14.25" hidden="false" customHeight="true" outlineLevel="0" collapsed="false">
      <c r="A3553" s="51" t="n">
        <v>17158</v>
      </c>
      <c r="B3553" s="52" t="n">
        <v>40854.6354166667</v>
      </c>
      <c r="C3553" s="1" t="n">
        <v>3</v>
      </c>
      <c r="D3553" s="1" t="n">
        <v>1266.97</v>
      </c>
    </row>
    <row r="3554" customFormat="false" ht="14.25" hidden="false" customHeight="true" outlineLevel="0" collapsed="false">
      <c r="A3554" s="51" t="n">
        <v>17159</v>
      </c>
      <c r="B3554" s="52" t="n">
        <v>40865.4527777778</v>
      </c>
      <c r="C3554" s="1" t="n">
        <v>4</v>
      </c>
      <c r="D3554" s="1" t="n">
        <v>1534.73</v>
      </c>
    </row>
    <row r="3555" customFormat="false" ht="14.25" hidden="false" customHeight="true" outlineLevel="0" collapsed="false">
      <c r="A3555" s="51" t="n">
        <v>17160</v>
      </c>
      <c r="B3555" s="52" t="n">
        <v>40855.5868055556</v>
      </c>
      <c r="C3555" s="1" t="n">
        <v>6</v>
      </c>
      <c r="D3555" s="1" t="n">
        <v>3518.03</v>
      </c>
    </row>
    <row r="3556" customFormat="false" ht="14.25" hidden="false" customHeight="true" outlineLevel="0" collapsed="false">
      <c r="A3556" s="51" t="n">
        <v>17162</v>
      </c>
      <c r="B3556" s="52" t="n">
        <v>40858.4819444444</v>
      </c>
      <c r="C3556" s="1" t="n">
        <v>11</v>
      </c>
      <c r="D3556" s="1" t="n">
        <v>1707.21</v>
      </c>
    </row>
    <row r="3557" customFormat="false" ht="14.25" hidden="false" customHeight="true" outlineLevel="0" collapsed="false">
      <c r="A3557" s="51" t="n">
        <v>17163</v>
      </c>
      <c r="B3557" s="52" t="n">
        <v>40865.3729166667</v>
      </c>
      <c r="C3557" s="1" t="n">
        <v>2</v>
      </c>
      <c r="D3557" s="1" t="n">
        <v>293.1</v>
      </c>
    </row>
    <row r="3558" customFormat="false" ht="14.25" hidden="false" customHeight="true" outlineLevel="0" collapsed="false">
      <c r="A3558" s="51" t="n">
        <v>17164</v>
      </c>
      <c r="B3558" s="52" t="n">
        <v>40854.3847222222</v>
      </c>
      <c r="C3558" s="1" t="n">
        <v>8</v>
      </c>
      <c r="D3558" s="1" t="n">
        <v>2466.4</v>
      </c>
    </row>
    <row r="3559" customFormat="false" ht="14.25" hidden="false" customHeight="true" outlineLevel="0" collapsed="false">
      <c r="A3559" s="51" t="n">
        <v>17165</v>
      </c>
      <c r="B3559" s="52" t="n">
        <v>40602.69375</v>
      </c>
      <c r="C3559" s="1" t="n">
        <v>1</v>
      </c>
      <c r="D3559" s="1" t="n">
        <v>158.68</v>
      </c>
    </row>
    <row r="3560" customFormat="false" ht="14.25" hidden="false" customHeight="true" outlineLevel="0" collapsed="false">
      <c r="A3560" s="51" t="n">
        <v>17166</v>
      </c>
      <c r="B3560" s="52" t="n">
        <v>40848.4069444445</v>
      </c>
      <c r="C3560" s="1" t="n">
        <v>3</v>
      </c>
      <c r="D3560" s="1" t="n">
        <v>189.49</v>
      </c>
    </row>
    <row r="3561" customFormat="false" ht="14.25" hidden="false" customHeight="true" outlineLevel="0" collapsed="false">
      <c r="A3561" s="51" t="n">
        <v>17169</v>
      </c>
      <c r="B3561" s="52" t="n">
        <v>40836.8020833333</v>
      </c>
      <c r="C3561" s="1" t="n">
        <v>4</v>
      </c>
      <c r="D3561" s="1" t="n">
        <v>816.880000000001</v>
      </c>
    </row>
    <row r="3562" customFormat="false" ht="14.25" hidden="false" customHeight="true" outlineLevel="0" collapsed="false">
      <c r="A3562" s="51" t="n">
        <v>17171</v>
      </c>
      <c r="B3562" s="52" t="n">
        <v>40597.6923611111</v>
      </c>
      <c r="C3562" s="1" t="n">
        <v>1</v>
      </c>
      <c r="D3562" s="1" t="n">
        <v>224.91</v>
      </c>
    </row>
    <row r="3563" customFormat="false" ht="14.25" hidden="false" customHeight="true" outlineLevel="0" collapsed="false">
      <c r="A3563" s="51" t="n">
        <v>17172</v>
      </c>
      <c r="B3563" s="52" t="n">
        <v>40812.5027777778</v>
      </c>
      <c r="C3563" s="1" t="n">
        <v>2</v>
      </c>
      <c r="D3563" s="1" t="n">
        <v>313.26</v>
      </c>
    </row>
    <row r="3564" customFormat="false" ht="14.25" hidden="false" customHeight="true" outlineLevel="0" collapsed="false">
      <c r="A3564" s="51" t="n">
        <v>17173</v>
      </c>
      <c r="B3564" s="52" t="n">
        <v>40881.6111111111</v>
      </c>
      <c r="C3564" s="1" t="n">
        <v>9</v>
      </c>
      <c r="D3564" s="1" t="n">
        <v>3755.65</v>
      </c>
    </row>
    <row r="3565" customFormat="false" ht="14.25" hidden="false" customHeight="true" outlineLevel="0" collapsed="false">
      <c r="A3565" s="51" t="n">
        <v>17174</v>
      </c>
      <c r="B3565" s="52" t="n">
        <v>40669.4909722222</v>
      </c>
      <c r="C3565" s="1" t="n">
        <v>1</v>
      </c>
      <c r="D3565" s="1" t="n">
        <v>59.9</v>
      </c>
    </row>
    <row r="3566" customFormat="false" ht="14.25" hidden="false" customHeight="true" outlineLevel="0" collapsed="false">
      <c r="A3566" s="51" t="n">
        <v>17175</v>
      </c>
      <c r="B3566" s="52" t="n">
        <v>40842.6465277778</v>
      </c>
      <c r="C3566" s="1" t="n">
        <v>5</v>
      </c>
      <c r="D3566" s="1" t="n">
        <v>1430.94</v>
      </c>
    </row>
    <row r="3567" customFormat="false" ht="14.25" hidden="false" customHeight="true" outlineLevel="0" collapsed="false">
      <c r="A3567" s="51" t="n">
        <v>17176</v>
      </c>
      <c r="B3567" s="52" t="n">
        <v>40685.5284722222</v>
      </c>
      <c r="C3567" s="1" t="n">
        <v>1</v>
      </c>
      <c r="D3567" s="1" t="n">
        <v>306.13</v>
      </c>
    </row>
    <row r="3568" customFormat="false" ht="14.25" hidden="false" customHeight="true" outlineLevel="0" collapsed="false">
      <c r="A3568" s="51" t="n">
        <v>17179</v>
      </c>
      <c r="B3568" s="52" t="n">
        <v>40708.7</v>
      </c>
      <c r="C3568" s="1" t="n">
        <v>3</v>
      </c>
      <c r="D3568" s="1" t="n">
        <v>711.79</v>
      </c>
    </row>
    <row r="3569" customFormat="false" ht="14.25" hidden="false" customHeight="true" outlineLevel="0" collapsed="false">
      <c r="A3569" s="51" t="n">
        <v>17180</v>
      </c>
      <c r="B3569" s="52" t="n">
        <v>40830.6569444445</v>
      </c>
      <c r="C3569" s="1" t="n">
        <v>6</v>
      </c>
      <c r="D3569" s="1" t="n">
        <v>780.38</v>
      </c>
    </row>
    <row r="3570" customFormat="false" ht="14.25" hidden="false" customHeight="true" outlineLevel="0" collapsed="false">
      <c r="A3570" s="51" t="n">
        <v>17181</v>
      </c>
      <c r="B3570" s="52" t="n">
        <v>40829.6166666667</v>
      </c>
      <c r="C3570" s="1" t="n">
        <v>2</v>
      </c>
      <c r="D3570" s="1" t="n">
        <v>239.92</v>
      </c>
    </row>
    <row r="3571" customFormat="false" ht="14.25" hidden="false" customHeight="true" outlineLevel="0" collapsed="false">
      <c r="A3571" s="51" t="n">
        <v>17183</v>
      </c>
      <c r="B3571" s="52" t="n">
        <v>40879.4215277778</v>
      </c>
      <c r="C3571" s="1" t="n">
        <v>8</v>
      </c>
      <c r="D3571" s="1" t="n">
        <v>3286.91</v>
      </c>
    </row>
    <row r="3572" customFormat="false" ht="14.25" hidden="false" customHeight="true" outlineLevel="0" collapsed="false">
      <c r="A3572" s="51" t="n">
        <v>17186</v>
      </c>
      <c r="B3572" s="52" t="n">
        <v>40840.4305555556</v>
      </c>
      <c r="C3572" s="1" t="n">
        <v>2</v>
      </c>
      <c r="D3572" s="1" t="n">
        <v>144</v>
      </c>
    </row>
    <row r="3573" customFormat="false" ht="14.25" hidden="false" customHeight="true" outlineLevel="0" collapsed="false">
      <c r="A3573" s="51" t="n">
        <v>17187</v>
      </c>
      <c r="B3573" s="52" t="n">
        <v>40660.5270833333</v>
      </c>
      <c r="C3573" s="1" t="n">
        <v>1</v>
      </c>
      <c r="D3573" s="1" t="n">
        <v>203.95</v>
      </c>
    </row>
    <row r="3574" customFormat="false" ht="14.25" hidden="false" customHeight="true" outlineLevel="0" collapsed="false">
      <c r="A3574" s="51" t="n">
        <v>17188</v>
      </c>
      <c r="B3574" s="52" t="n">
        <v>40875.5784722222</v>
      </c>
      <c r="C3574" s="1" t="n">
        <v>9</v>
      </c>
      <c r="D3574" s="1" t="n">
        <v>2275.58</v>
      </c>
    </row>
    <row r="3575" customFormat="false" ht="14.25" hidden="false" customHeight="true" outlineLevel="0" collapsed="false">
      <c r="A3575" s="51" t="n">
        <v>17189</v>
      </c>
      <c r="B3575" s="52" t="n">
        <v>40780.81875</v>
      </c>
      <c r="C3575" s="1" t="n">
        <v>2</v>
      </c>
      <c r="D3575" s="1" t="n">
        <v>384.4</v>
      </c>
    </row>
    <row r="3576" customFormat="false" ht="14.25" hidden="false" customHeight="true" outlineLevel="0" collapsed="false">
      <c r="A3576" s="51" t="n">
        <v>17190</v>
      </c>
      <c r="B3576" s="52" t="n">
        <v>40828.48125</v>
      </c>
      <c r="C3576" s="1" t="n">
        <v>3</v>
      </c>
      <c r="D3576" s="1" t="n">
        <v>249.74</v>
      </c>
    </row>
    <row r="3577" customFormat="false" ht="14.25" hidden="false" customHeight="true" outlineLevel="0" collapsed="false">
      <c r="A3577" s="51" t="n">
        <v>17191</v>
      </c>
      <c r="B3577" s="52" t="n">
        <v>40858.7069444444</v>
      </c>
      <c r="C3577" s="1" t="n">
        <v>7</v>
      </c>
      <c r="D3577" s="1" t="n">
        <v>2095.13</v>
      </c>
    </row>
    <row r="3578" customFormat="false" ht="14.25" hidden="false" customHeight="true" outlineLevel="0" collapsed="false">
      <c r="A3578" s="51" t="n">
        <v>17193</v>
      </c>
      <c r="B3578" s="52" t="n">
        <v>40851.5326388889</v>
      </c>
      <c r="C3578" s="1" t="n">
        <v>9</v>
      </c>
      <c r="D3578" s="1" t="n">
        <v>1674.46</v>
      </c>
    </row>
    <row r="3579" customFormat="false" ht="14.25" hidden="false" customHeight="true" outlineLevel="0" collapsed="false">
      <c r="A3579" s="51" t="n">
        <v>17194</v>
      </c>
      <c r="B3579" s="52" t="n">
        <v>40613.5034722222</v>
      </c>
      <c r="C3579" s="1" t="n">
        <v>2</v>
      </c>
      <c r="D3579" s="1" t="n">
        <v>262.62</v>
      </c>
    </row>
    <row r="3580" customFormat="false" ht="14.25" hidden="false" customHeight="true" outlineLevel="0" collapsed="false">
      <c r="A3580" s="51" t="n">
        <v>17197</v>
      </c>
      <c r="B3580" s="52" t="n">
        <v>40857.4388888889</v>
      </c>
      <c r="C3580" s="1" t="n">
        <v>1</v>
      </c>
      <c r="D3580" s="1" t="n">
        <v>1013.01</v>
      </c>
    </row>
    <row r="3581" customFormat="false" ht="14.25" hidden="false" customHeight="true" outlineLevel="0" collapsed="false">
      <c r="A3581" s="51" t="n">
        <v>17198</v>
      </c>
      <c r="B3581" s="52" t="n">
        <v>40863.44375</v>
      </c>
      <c r="C3581" s="1" t="n">
        <v>3</v>
      </c>
      <c r="D3581" s="1" t="n">
        <v>692.22</v>
      </c>
    </row>
    <row r="3582" customFormat="false" ht="14.25" hidden="false" customHeight="true" outlineLevel="0" collapsed="false">
      <c r="A3582" s="51" t="n">
        <v>17201</v>
      </c>
      <c r="B3582" s="52" t="n">
        <v>40833.4965277778</v>
      </c>
      <c r="C3582" s="1" t="n">
        <v>1</v>
      </c>
      <c r="D3582" s="1" t="n">
        <v>342.63</v>
      </c>
    </row>
    <row r="3583" customFormat="false" ht="14.25" hidden="false" customHeight="true" outlineLevel="0" collapsed="false">
      <c r="A3583" s="51" t="n">
        <v>17203</v>
      </c>
      <c r="B3583" s="52" t="n">
        <v>40851.51875</v>
      </c>
      <c r="C3583" s="1" t="n">
        <v>6</v>
      </c>
      <c r="D3583" s="1" t="n">
        <v>3563.85</v>
      </c>
    </row>
    <row r="3584" customFormat="false" ht="14.25" hidden="false" customHeight="true" outlineLevel="0" collapsed="false">
      <c r="A3584" s="51" t="n">
        <v>17204</v>
      </c>
      <c r="B3584" s="52" t="n">
        <v>40717.5791666667</v>
      </c>
      <c r="C3584" s="1" t="n">
        <v>9</v>
      </c>
      <c r="D3584" s="1" t="n">
        <v>1352.91</v>
      </c>
    </row>
    <row r="3585" customFormat="false" ht="14.25" hidden="false" customHeight="true" outlineLevel="0" collapsed="false">
      <c r="A3585" s="51" t="n">
        <v>17205</v>
      </c>
      <c r="B3585" s="52" t="n">
        <v>40833.5319444445</v>
      </c>
      <c r="C3585" s="1" t="n">
        <v>1</v>
      </c>
      <c r="D3585" s="1" t="n">
        <v>384.08</v>
      </c>
    </row>
    <row r="3586" customFormat="false" ht="14.25" hidden="false" customHeight="true" outlineLevel="0" collapsed="false">
      <c r="A3586" s="51" t="n">
        <v>17206</v>
      </c>
      <c r="B3586" s="52" t="n">
        <v>40833.5590277778</v>
      </c>
      <c r="C3586" s="1" t="n">
        <v>1</v>
      </c>
      <c r="D3586" s="1" t="n">
        <v>204.24</v>
      </c>
    </row>
    <row r="3587" customFormat="false" ht="14.25" hidden="false" customHeight="true" outlineLevel="0" collapsed="false">
      <c r="A3587" s="51" t="n">
        <v>17211</v>
      </c>
      <c r="B3587" s="52" t="n">
        <v>40860.5020833333</v>
      </c>
      <c r="C3587" s="1" t="n">
        <v>9</v>
      </c>
      <c r="D3587" s="1" t="n">
        <v>2299.67</v>
      </c>
    </row>
    <row r="3588" customFormat="false" ht="14.25" hidden="false" customHeight="true" outlineLevel="0" collapsed="false">
      <c r="A3588" s="51" t="n">
        <v>17212</v>
      </c>
      <c r="B3588" s="52" t="n">
        <v>40633.8208333333</v>
      </c>
      <c r="C3588" s="1" t="n">
        <v>1</v>
      </c>
      <c r="D3588" s="1" t="n">
        <v>226.85</v>
      </c>
    </row>
    <row r="3589" customFormat="false" ht="14.25" hidden="false" customHeight="true" outlineLevel="0" collapsed="false">
      <c r="A3589" s="51" t="n">
        <v>17213</v>
      </c>
      <c r="B3589" s="52" t="n">
        <v>40846.6201388889</v>
      </c>
      <c r="C3589" s="1" t="n">
        <v>11</v>
      </c>
      <c r="D3589" s="1" t="n">
        <v>2741.08</v>
      </c>
    </row>
    <row r="3590" customFormat="false" ht="14.25" hidden="false" customHeight="true" outlineLevel="0" collapsed="false">
      <c r="A3590" s="51" t="n">
        <v>17214</v>
      </c>
      <c r="B3590" s="52" t="n">
        <v>40826.5534722222</v>
      </c>
      <c r="C3590" s="1" t="n">
        <v>7</v>
      </c>
      <c r="D3590" s="1" t="n">
        <v>984.12</v>
      </c>
    </row>
    <row r="3591" customFormat="false" ht="14.25" hidden="false" customHeight="true" outlineLevel="0" collapsed="false">
      <c r="A3591" s="51" t="n">
        <v>17217</v>
      </c>
      <c r="B3591" s="52" t="n">
        <v>40652.7215277778</v>
      </c>
      <c r="C3591" s="1" t="n">
        <v>1</v>
      </c>
      <c r="D3591" s="1" t="n">
        <v>113.5</v>
      </c>
    </row>
    <row r="3592" customFormat="false" ht="14.25" hidden="false" customHeight="true" outlineLevel="0" collapsed="false">
      <c r="A3592" s="51" t="n">
        <v>17218</v>
      </c>
      <c r="B3592" s="52" t="n">
        <v>40882.5777777778</v>
      </c>
      <c r="C3592" s="1" t="n">
        <v>10</v>
      </c>
      <c r="D3592" s="1" t="n">
        <v>1960.72</v>
      </c>
    </row>
    <row r="3593" customFormat="false" ht="14.25" hidden="false" customHeight="true" outlineLevel="0" collapsed="false">
      <c r="A3593" s="51" t="n">
        <v>17219</v>
      </c>
      <c r="B3593" s="52" t="n">
        <v>40855.4756944445</v>
      </c>
      <c r="C3593" s="1" t="n">
        <v>1</v>
      </c>
      <c r="D3593" s="1" t="n">
        <v>114.23</v>
      </c>
    </row>
    <row r="3594" customFormat="false" ht="14.25" hidden="false" customHeight="true" outlineLevel="0" collapsed="false">
      <c r="A3594" s="51" t="n">
        <v>17220</v>
      </c>
      <c r="B3594" s="52" t="n">
        <v>40862.5743055556</v>
      </c>
      <c r="C3594" s="1" t="n">
        <v>14</v>
      </c>
      <c r="D3594" s="1" t="n">
        <v>3198.25</v>
      </c>
    </row>
    <row r="3595" customFormat="false" ht="14.25" hidden="false" customHeight="true" outlineLevel="0" collapsed="false">
      <c r="A3595" s="51" t="n">
        <v>17221</v>
      </c>
      <c r="B3595" s="52" t="n">
        <v>40879.5659722222</v>
      </c>
      <c r="C3595" s="1" t="n">
        <v>2</v>
      </c>
      <c r="D3595" s="1" t="n">
        <v>335.13</v>
      </c>
    </row>
    <row r="3596" customFormat="false" ht="14.25" hidden="false" customHeight="true" outlineLevel="0" collapsed="false">
      <c r="A3596" s="51" t="n">
        <v>17222</v>
      </c>
      <c r="B3596" s="52" t="n">
        <v>40821.5819444444</v>
      </c>
      <c r="C3596" s="1" t="n">
        <v>1</v>
      </c>
      <c r="D3596" s="1" t="n">
        <v>354.15</v>
      </c>
    </row>
    <row r="3597" customFormat="false" ht="14.25" hidden="false" customHeight="true" outlineLevel="0" collapsed="false">
      <c r="A3597" s="51" t="n">
        <v>17223</v>
      </c>
      <c r="B3597" s="52" t="n">
        <v>40576.6645833333</v>
      </c>
      <c r="C3597" s="1" t="n">
        <v>2</v>
      </c>
      <c r="D3597" s="1" t="n">
        <v>426.79</v>
      </c>
    </row>
    <row r="3598" customFormat="false" ht="14.25" hidden="false" customHeight="true" outlineLevel="0" collapsed="false">
      <c r="A3598" s="51" t="n">
        <v>17226</v>
      </c>
      <c r="B3598" s="52" t="n">
        <v>40578.4944444444</v>
      </c>
      <c r="C3598" s="1" t="n">
        <v>1</v>
      </c>
      <c r="D3598" s="1" t="n">
        <v>393.49</v>
      </c>
    </row>
    <row r="3599" customFormat="false" ht="14.25" hidden="false" customHeight="true" outlineLevel="0" collapsed="false">
      <c r="A3599" s="51" t="n">
        <v>17227</v>
      </c>
      <c r="B3599" s="52" t="n">
        <v>40868.4520833333</v>
      </c>
      <c r="C3599" s="1" t="n">
        <v>6</v>
      </c>
      <c r="D3599" s="1" t="n">
        <v>939.32</v>
      </c>
    </row>
    <row r="3600" customFormat="false" ht="14.25" hidden="false" customHeight="true" outlineLevel="0" collapsed="false">
      <c r="A3600" s="51" t="n">
        <v>17228</v>
      </c>
      <c r="B3600" s="52" t="n">
        <v>40871.4333333333</v>
      </c>
      <c r="C3600" s="1" t="n">
        <v>8</v>
      </c>
      <c r="D3600" s="1" t="n">
        <v>1906.09</v>
      </c>
    </row>
    <row r="3601" customFormat="false" ht="14.25" hidden="false" customHeight="true" outlineLevel="0" collapsed="false">
      <c r="A3601" s="51" t="n">
        <v>17229</v>
      </c>
      <c r="B3601" s="52" t="n">
        <v>40790.5805555556</v>
      </c>
      <c r="C3601" s="1" t="n">
        <v>2</v>
      </c>
      <c r="D3601" s="1" t="n">
        <v>318.76</v>
      </c>
    </row>
    <row r="3602" customFormat="false" ht="14.25" hidden="false" customHeight="true" outlineLevel="0" collapsed="false">
      <c r="A3602" s="51" t="n">
        <v>17230</v>
      </c>
      <c r="B3602" s="52" t="n">
        <v>40622.675</v>
      </c>
      <c r="C3602" s="1" t="n">
        <v>11</v>
      </c>
      <c r="D3602" s="1" t="n">
        <v>3466.67</v>
      </c>
    </row>
    <row r="3603" customFormat="false" ht="14.25" hidden="false" customHeight="true" outlineLevel="0" collapsed="false">
      <c r="A3603" s="51" t="n">
        <v>17231</v>
      </c>
      <c r="B3603" s="52" t="n">
        <v>40874.6375</v>
      </c>
      <c r="C3603" s="1" t="n">
        <v>14</v>
      </c>
      <c r="D3603" s="1" t="n">
        <v>3127.82</v>
      </c>
    </row>
    <row r="3604" customFormat="false" ht="14.25" hidden="false" customHeight="true" outlineLevel="0" collapsed="false">
      <c r="A3604" s="51" t="n">
        <v>17232</v>
      </c>
      <c r="B3604" s="52" t="n">
        <v>40884.5145833333</v>
      </c>
      <c r="C3604" s="1" t="n">
        <v>2</v>
      </c>
      <c r="D3604" s="1" t="n">
        <v>421.52</v>
      </c>
    </row>
    <row r="3605" customFormat="false" ht="14.25" hidden="false" customHeight="true" outlineLevel="0" collapsed="false">
      <c r="A3605" s="51" t="n">
        <v>17233</v>
      </c>
      <c r="B3605" s="52" t="n">
        <v>40851.5875</v>
      </c>
      <c r="C3605" s="1" t="n">
        <v>1</v>
      </c>
      <c r="D3605" s="1" t="n">
        <v>190.88</v>
      </c>
    </row>
    <row r="3606" customFormat="false" ht="14.25" hidden="false" customHeight="true" outlineLevel="0" collapsed="false">
      <c r="A3606" s="51" t="n">
        <v>17234</v>
      </c>
      <c r="B3606" s="52" t="n">
        <v>40704.4722222222</v>
      </c>
      <c r="C3606" s="1" t="n">
        <v>1</v>
      </c>
      <c r="D3606" s="1" t="n">
        <v>149.89</v>
      </c>
    </row>
    <row r="3607" customFormat="false" ht="14.25" hidden="false" customHeight="true" outlineLevel="0" collapsed="false">
      <c r="A3607" s="51" t="n">
        <v>17235</v>
      </c>
      <c r="B3607" s="52" t="n">
        <v>40861.6604166667</v>
      </c>
      <c r="C3607" s="1" t="n">
        <v>2</v>
      </c>
      <c r="D3607" s="1" t="n">
        <v>550.06</v>
      </c>
    </row>
    <row r="3608" customFormat="false" ht="14.25" hidden="false" customHeight="true" outlineLevel="0" collapsed="false">
      <c r="A3608" s="51" t="n">
        <v>17236</v>
      </c>
      <c r="B3608" s="52" t="n">
        <v>40874.5</v>
      </c>
      <c r="C3608" s="1" t="n">
        <v>6</v>
      </c>
      <c r="D3608" s="1" t="n">
        <v>916.13</v>
      </c>
    </row>
    <row r="3609" customFormat="false" ht="14.25" hidden="false" customHeight="true" outlineLevel="0" collapsed="false">
      <c r="A3609" s="51" t="n">
        <v>17237</v>
      </c>
      <c r="B3609" s="52" t="n">
        <v>40875.6263888889</v>
      </c>
      <c r="C3609" s="1" t="n">
        <v>2</v>
      </c>
      <c r="D3609" s="1" t="n">
        <v>314.69</v>
      </c>
    </row>
    <row r="3610" customFormat="false" ht="14.25" hidden="false" customHeight="true" outlineLevel="0" collapsed="false">
      <c r="A3610" s="51" t="n">
        <v>17238</v>
      </c>
      <c r="B3610" s="52" t="n">
        <v>40884.4826388889</v>
      </c>
      <c r="C3610" s="1" t="n">
        <v>17</v>
      </c>
      <c r="D3610" s="1" t="n">
        <v>3744.65</v>
      </c>
    </row>
    <row r="3611" customFormat="false" ht="14.25" hidden="false" customHeight="true" outlineLevel="0" collapsed="false">
      <c r="A3611" s="51" t="n">
        <v>17239</v>
      </c>
      <c r="B3611" s="52" t="n">
        <v>40574.4034722222</v>
      </c>
      <c r="C3611" s="1" t="n">
        <v>2</v>
      </c>
      <c r="D3611" s="1" t="n">
        <v>379.95</v>
      </c>
    </row>
    <row r="3612" customFormat="false" ht="14.25" hidden="false" customHeight="true" outlineLevel="0" collapsed="false">
      <c r="A3612" s="51" t="n">
        <v>17242</v>
      </c>
      <c r="B3612" s="52" t="n">
        <v>40778.6215277778</v>
      </c>
      <c r="C3612" s="1" t="n">
        <v>2</v>
      </c>
      <c r="D3612" s="1" t="n">
        <v>1135.04</v>
      </c>
    </row>
    <row r="3613" customFormat="false" ht="14.25" hidden="false" customHeight="true" outlineLevel="0" collapsed="false">
      <c r="A3613" s="51" t="n">
        <v>17243</v>
      </c>
      <c r="B3613" s="52" t="n">
        <v>40885.5597222222</v>
      </c>
      <c r="C3613" s="1" t="n">
        <v>30</v>
      </c>
      <c r="D3613" s="1" t="n">
        <v>8628.55</v>
      </c>
    </row>
    <row r="3614" customFormat="false" ht="14.25" hidden="false" customHeight="true" outlineLevel="0" collapsed="false">
      <c r="A3614" s="51" t="n">
        <v>17244</v>
      </c>
      <c r="B3614" s="52" t="n">
        <v>40833.6381944444</v>
      </c>
      <c r="C3614" s="1" t="n">
        <v>1</v>
      </c>
      <c r="D3614" s="1" t="n">
        <v>954.9</v>
      </c>
    </row>
    <row r="3615" customFormat="false" ht="14.25" hidden="false" customHeight="true" outlineLevel="0" collapsed="false">
      <c r="A3615" s="51" t="n">
        <v>17245</v>
      </c>
      <c r="B3615" s="52" t="n">
        <v>40682.4465277778</v>
      </c>
      <c r="C3615" s="1" t="n">
        <v>1</v>
      </c>
      <c r="D3615" s="1" t="n">
        <v>171.45</v>
      </c>
    </row>
    <row r="3616" customFormat="false" ht="14.25" hidden="false" customHeight="true" outlineLevel="0" collapsed="false">
      <c r="A3616" s="51" t="n">
        <v>17247</v>
      </c>
      <c r="B3616" s="52" t="n">
        <v>40871.6395833333</v>
      </c>
      <c r="C3616" s="1" t="n">
        <v>1</v>
      </c>
      <c r="D3616" s="1" t="n">
        <v>282.19</v>
      </c>
    </row>
    <row r="3617" customFormat="false" ht="14.25" hidden="false" customHeight="true" outlineLevel="0" collapsed="false">
      <c r="A3617" s="51" t="n">
        <v>17248</v>
      </c>
      <c r="B3617" s="52" t="n">
        <v>40766.5652777778</v>
      </c>
      <c r="C3617" s="1" t="n">
        <v>1</v>
      </c>
      <c r="D3617" s="1" t="n">
        <v>318.65</v>
      </c>
    </row>
    <row r="3618" customFormat="false" ht="14.25" hidden="false" customHeight="true" outlineLevel="0" collapsed="false">
      <c r="A3618" s="51" t="n">
        <v>17250</v>
      </c>
      <c r="B3618" s="52" t="n">
        <v>40883.5104166667</v>
      </c>
      <c r="C3618" s="1" t="n">
        <v>2</v>
      </c>
      <c r="D3618" s="1" t="n">
        <v>384.52</v>
      </c>
    </row>
    <row r="3619" customFormat="false" ht="14.25" hidden="false" customHeight="true" outlineLevel="0" collapsed="false">
      <c r="A3619" s="51" t="n">
        <v>17251</v>
      </c>
      <c r="B3619" s="52" t="n">
        <v>40524.4625</v>
      </c>
      <c r="C3619" s="1" t="n">
        <v>1</v>
      </c>
      <c r="D3619" s="1" t="n">
        <v>283.28</v>
      </c>
    </row>
    <row r="3620" customFormat="false" ht="14.25" hidden="false" customHeight="true" outlineLevel="0" collapsed="false">
      <c r="A3620" s="51" t="n">
        <v>17252</v>
      </c>
      <c r="B3620" s="52" t="n">
        <v>40770.40625</v>
      </c>
      <c r="C3620" s="1" t="n">
        <v>2</v>
      </c>
      <c r="D3620" s="1" t="n">
        <v>353.86</v>
      </c>
    </row>
    <row r="3621" customFormat="false" ht="14.25" hidden="false" customHeight="true" outlineLevel="0" collapsed="false">
      <c r="A3621" s="51" t="n">
        <v>17253</v>
      </c>
      <c r="B3621" s="52" t="n">
        <v>40868.5409722222</v>
      </c>
      <c r="C3621" s="1" t="n">
        <v>1</v>
      </c>
      <c r="D3621" s="1" t="n">
        <v>178.26</v>
      </c>
    </row>
    <row r="3622" customFormat="false" ht="14.25" hidden="false" customHeight="true" outlineLevel="0" collapsed="false">
      <c r="A3622" s="51" t="n">
        <v>17254</v>
      </c>
      <c r="B3622" s="52" t="n">
        <v>40882.5319444445</v>
      </c>
      <c r="C3622" s="1" t="n">
        <v>2</v>
      </c>
      <c r="D3622" s="1" t="n">
        <v>272.44</v>
      </c>
    </row>
    <row r="3623" customFormat="false" ht="14.25" hidden="false" customHeight="true" outlineLevel="0" collapsed="false">
      <c r="A3623" s="51" t="n">
        <v>17255</v>
      </c>
      <c r="B3623" s="52" t="n">
        <v>40846.5125</v>
      </c>
      <c r="C3623" s="1" t="n">
        <v>2</v>
      </c>
      <c r="D3623" s="1" t="n">
        <v>298.41</v>
      </c>
    </row>
    <row r="3624" customFormat="false" ht="14.25" hidden="false" customHeight="true" outlineLevel="0" collapsed="false">
      <c r="A3624" s="51" t="n">
        <v>17256</v>
      </c>
      <c r="B3624" s="52" t="n">
        <v>40779.5625</v>
      </c>
      <c r="C3624" s="1" t="n">
        <v>2</v>
      </c>
      <c r="D3624" s="1" t="n">
        <v>240</v>
      </c>
    </row>
    <row r="3625" customFormat="false" ht="14.25" hidden="false" customHeight="true" outlineLevel="0" collapsed="false">
      <c r="A3625" s="51" t="n">
        <v>17259</v>
      </c>
      <c r="B3625" s="52" t="n">
        <v>40738.6256944445</v>
      </c>
      <c r="C3625" s="1" t="n">
        <v>2</v>
      </c>
      <c r="D3625" s="1" t="n">
        <v>603.37</v>
      </c>
    </row>
    <row r="3626" customFormat="false" ht="14.25" hidden="false" customHeight="true" outlineLevel="0" collapsed="false">
      <c r="A3626" s="51" t="n">
        <v>17262</v>
      </c>
      <c r="B3626" s="52" t="n">
        <v>40834.5388888889</v>
      </c>
      <c r="C3626" s="1" t="n">
        <v>5</v>
      </c>
      <c r="D3626" s="1" t="n">
        <v>1253.36</v>
      </c>
    </row>
    <row r="3627" customFormat="false" ht="14.25" hidden="false" customHeight="true" outlineLevel="0" collapsed="false">
      <c r="A3627" s="51" t="n">
        <v>17263</v>
      </c>
      <c r="B3627" s="52" t="n">
        <v>40678.6055555556</v>
      </c>
      <c r="C3627" s="1" t="n">
        <v>1</v>
      </c>
      <c r="D3627" s="1" t="n">
        <v>63.44</v>
      </c>
    </row>
    <row r="3628" customFormat="false" ht="14.25" hidden="false" customHeight="true" outlineLevel="0" collapsed="false">
      <c r="A3628" s="51" t="n">
        <v>17265</v>
      </c>
      <c r="B3628" s="52" t="n">
        <v>40748.4506944444</v>
      </c>
      <c r="C3628" s="1" t="n">
        <v>2</v>
      </c>
      <c r="D3628" s="1" t="n">
        <v>562.9</v>
      </c>
    </row>
    <row r="3629" customFormat="false" ht="14.25" hidden="false" customHeight="true" outlineLevel="0" collapsed="false">
      <c r="A3629" s="51" t="n">
        <v>17266</v>
      </c>
      <c r="B3629" s="52" t="n">
        <v>40884.5916666667</v>
      </c>
      <c r="C3629" s="1" t="n">
        <v>3</v>
      </c>
      <c r="D3629" s="1" t="n">
        <v>310.64</v>
      </c>
    </row>
    <row r="3630" customFormat="false" ht="14.25" hidden="false" customHeight="true" outlineLevel="0" collapsed="false">
      <c r="A3630" s="51" t="n">
        <v>17267</v>
      </c>
      <c r="B3630" s="52" t="n">
        <v>40759.7236111111</v>
      </c>
      <c r="C3630" s="1" t="n">
        <v>2</v>
      </c>
      <c r="D3630" s="1" t="n">
        <v>317.62</v>
      </c>
    </row>
    <row r="3631" customFormat="false" ht="14.25" hidden="false" customHeight="true" outlineLevel="0" collapsed="false">
      <c r="A3631" s="51" t="n">
        <v>17268</v>
      </c>
      <c r="B3631" s="52" t="n">
        <v>40779.4208333333</v>
      </c>
      <c r="C3631" s="1" t="n">
        <v>4</v>
      </c>
      <c r="D3631" s="1" t="n">
        <v>763.64</v>
      </c>
    </row>
    <row r="3632" customFormat="false" ht="14.25" hidden="false" customHeight="true" outlineLevel="0" collapsed="false">
      <c r="A3632" s="51" t="n">
        <v>17272</v>
      </c>
      <c r="B3632" s="52" t="n">
        <v>40844.6923611111</v>
      </c>
      <c r="C3632" s="1" t="n">
        <v>5</v>
      </c>
      <c r="D3632" s="1" t="n">
        <v>2144.53</v>
      </c>
    </row>
    <row r="3633" customFormat="false" ht="14.25" hidden="false" customHeight="true" outlineLevel="0" collapsed="false">
      <c r="A3633" s="51" t="n">
        <v>17274</v>
      </c>
      <c r="B3633" s="52" t="n">
        <v>40851.5527777778</v>
      </c>
      <c r="C3633" s="1" t="n">
        <v>1</v>
      </c>
      <c r="D3633" s="1" t="n">
        <v>111.98</v>
      </c>
    </row>
    <row r="3634" customFormat="false" ht="14.25" hidden="false" customHeight="true" outlineLevel="0" collapsed="false">
      <c r="A3634" s="51" t="n">
        <v>17277</v>
      </c>
      <c r="B3634" s="52" t="n">
        <v>40659.5326388889</v>
      </c>
      <c r="C3634" s="1" t="n">
        <v>2</v>
      </c>
      <c r="D3634" s="1" t="n">
        <v>1065.35</v>
      </c>
    </row>
    <row r="3635" customFormat="false" ht="14.25" hidden="false" customHeight="true" outlineLevel="0" collapsed="false">
      <c r="A3635" s="51" t="n">
        <v>17278</v>
      </c>
      <c r="B3635" s="52" t="n">
        <v>40645.5486111111</v>
      </c>
      <c r="C3635" s="1" t="n">
        <v>1</v>
      </c>
      <c r="D3635" s="1" t="n">
        <v>246.04</v>
      </c>
    </row>
    <row r="3636" customFormat="false" ht="14.25" hidden="false" customHeight="true" outlineLevel="0" collapsed="false">
      <c r="A3636" s="51" t="n">
        <v>17279</v>
      </c>
      <c r="B3636" s="52" t="n">
        <v>40829.4986111111</v>
      </c>
      <c r="C3636" s="1" t="n">
        <v>1</v>
      </c>
      <c r="D3636" s="1" t="n">
        <v>187.83</v>
      </c>
    </row>
    <row r="3637" customFormat="false" ht="14.25" hidden="false" customHeight="true" outlineLevel="0" collapsed="false">
      <c r="A3637" s="51" t="n">
        <v>17282</v>
      </c>
      <c r="B3637" s="52" t="n">
        <v>40756.6034722222</v>
      </c>
      <c r="C3637" s="1" t="n">
        <v>3</v>
      </c>
      <c r="D3637" s="1" t="n">
        <v>1703.41</v>
      </c>
    </row>
    <row r="3638" customFormat="false" ht="14.25" hidden="false" customHeight="true" outlineLevel="0" collapsed="false">
      <c r="A3638" s="51" t="n">
        <v>17284</v>
      </c>
      <c r="B3638" s="52" t="n">
        <v>40826.6097222222</v>
      </c>
      <c r="C3638" s="1" t="n">
        <v>7</v>
      </c>
      <c r="D3638" s="1" t="n">
        <v>1641.68</v>
      </c>
    </row>
    <row r="3639" customFormat="false" ht="14.25" hidden="false" customHeight="true" outlineLevel="0" collapsed="false">
      <c r="A3639" s="51" t="n">
        <v>17286</v>
      </c>
      <c r="B3639" s="52" t="n">
        <v>40865.5326388889</v>
      </c>
      <c r="C3639" s="1" t="n">
        <v>1</v>
      </c>
      <c r="D3639" s="1" t="n">
        <v>153.92</v>
      </c>
    </row>
    <row r="3640" customFormat="false" ht="14.25" hidden="false" customHeight="true" outlineLevel="0" collapsed="false">
      <c r="A3640" s="51" t="n">
        <v>17287</v>
      </c>
      <c r="B3640" s="52" t="n">
        <v>40860.5604166667</v>
      </c>
      <c r="C3640" s="1" t="n">
        <v>7</v>
      </c>
      <c r="D3640" s="1" t="n">
        <v>1064.11</v>
      </c>
    </row>
    <row r="3641" customFormat="false" ht="14.25" hidden="false" customHeight="true" outlineLevel="0" collapsed="false">
      <c r="A3641" s="51" t="n">
        <v>17288</v>
      </c>
      <c r="B3641" s="52" t="n">
        <v>40877.6729166667</v>
      </c>
      <c r="C3641" s="1" t="n">
        <v>7</v>
      </c>
      <c r="D3641" s="1" t="n">
        <v>1419.73</v>
      </c>
    </row>
    <row r="3642" customFormat="false" ht="14.25" hidden="false" customHeight="true" outlineLevel="0" collapsed="false">
      <c r="A3642" s="51" t="n">
        <v>17289</v>
      </c>
      <c r="B3642" s="52" t="n">
        <v>40855.5006944445</v>
      </c>
      <c r="C3642" s="1" t="n">
        <v>4</v>
      </c>
      <c r="D3642" s="1" t="n">
        <v>936.16</v>
      </c>
    </row>
    <row r="3643" customFormat="false" ht="14.25" hidden="false" customHeight="true" outlineLevel="0" collapsed="false">
      <c r="A3643" s="51" t="n">
        <v>17290</v>
      </c>
      <c r="B3643" s="52" t="n">
        <v>40883.5263888889</v>
      </c>
      <c r="C3643" s="1" t="n">
        <v>2</v>
      </c>
      <c r="D3643" s="1" t="n">
        <v>525.24</v>
      </c>
    </row>
    <row r="3644" customFormat="false" ht="14.25" hidden="false" customHeight="true" outlineLevel="0" collapsed="false">
      <c r="A3644" s="51" t="n">
        <v>17291</v>
      </c>
      <c r="B3644" s="52" t="n">
        <v>40578.5444444444</v>
      </c>
      <c r="C3644" s="1" t="n">
        <v>1</v>
      </c>
      <c r="D3644" s="1" t="n">
        <v>550.8</v>
      </c>
    </row>
    <row r="3645" customFormat="false" ht="14.25" hidden="false" customHeight="true" outlineLevel="0" collapsed="false">
      <c r="A3645" s="51" t="n">
        <v>17293</v>
      </c>
      <c r="B3645" s="52" t="n">
        <v>40878.6090277778</v>
      </c>
      <c r="C3645" s="1" t="n">
        <v>9</v>
      </c>
      <c r="D3645" s="1" t="n">
        <v>1875.11</v>
      </c>
    </row>
    <row r="3646" customFormat="false" ht="14.25" hidden="false" customHeight="true" outlineLevel="0" collapsed="false">
      <c r="A3646" s="51" t="n">
        <v>17295</v>
      </c>
      <c r="B3646" s="52" t="n">
        <v>40858.4506944444</v>
      </c>
      <c r="C3646" s="1" t="n">
        <v>3</v>
      </c>
      <c r="D3646" s="1" t="n">
        <v>556.95</v>
      </c>
    </row>
    <row r="3647" customFormat="false" ht="14.25" hidden="false" customHeight="true" outlineLevel="0" collapsed="false">
      <c r="A3647" s="51" t="n">
        <v>17297</v>
      </c>
      <c r="B3647" s="52" t="n">
        <v>40869.6131944444</v>
      </c>
      <c r="C3647" s="1" t="n">
        <v>1</v>
      </c>
      <c r="D3647" s="1" t="n">
        <v>131.78</v>
      </c>
    </row>
    <row r="3648" customFormat="false" ht="14.25" hidden="false" customHeight="true" outlineLevel="0" collapsed="false">
      <c r="A3648" s="51" t="n">
        <v>17298</v>
      </c>
      <c r="B3648" s="52" t="n">
        <v>40785.6965277778</v>
      </c>
      <c r="C3648" s="1" t="n">
        <v>2</v>
      </c>
      <c r="D3648" s="1" t="n">
        <v>498.42</v>
      </c>
    </row>
    <row r="3649" customFormat="false" ht="14.25" hidden="false" customHeight="true" outlineLevel="0" collapsed="false">
      <c r="A3649" s="51" t="n">
        <v>17299</v>
      </c>
      <c r="B3649" s="52" t="n">
        <v>40875.5006944445</v>
      </c>
      <c r="C3649" s="1" t="n">
        <v>4</v>
      </c>
      <c r="D3649" s="1" t="n">
        <v>669.11</v>
      </c>
    </row>
    <row r="3650" customFormat="false" ht="14.25" hidden="false" customHeight="true" outlineLevel="0" collapsed="false">
      <c r="A3650" s="51" t="n">
        <v>17301</v>
      </c>
      <c r="B3650" s="52" t="n">
        <v>40865.5715277778</v>
      </c>
      <c r="C3650" s="1" t="n">
        <v>1</v>
      </c>
      <c r="D3650" s="1" t="n">
        <v>197.63</v>
      </c>
    </row>
    <row r="3651" customFormat="false" ht="14.25" hidden="false" customHeight="true" outlineLevel="0" collapsed="false">
      <c r="A3651" s="51" t="n">
        <v>17302</v>
      </c>
      <c r="B3651" s="52" t="n">
        <v>40872.4</v>
      </c>
      <c r="C3651" s="1" t="n">
        <v>6</v>
      </c>
      <c r="D3651" s="1" t="n">
        <v>1119.93</v>
      </c>
    </row>
    <row r="3652" customFormat="false" ht="14.25" hidden="false" customHeight="true" outlineLevel="0" collapsed="false">
      <c r="A3652" s="51" t="n">
        <v>17303</v>
      </c>
      <c r="B3652" s="52" t="n">
        <v>40525.5638888889</v>
      </c>
      <c r="C3652" s="1" t="n">
        <v>1</v>
      </c>
      <c r="D3652" s="1" t="n">
        <v>250.04</v>
      </c>
    </row>
    <row r="3653" customFormat="false" ht="14.25" hidden="false" customHeight="true" outlineLevel="0" collapsed="false">
      <c r="A3653" s="51" t="n">
        <v>17306</v>
      </c>
      <c r="B3653" s="52" t="n">
        <v>40876.5097222222</v>
      </c>
      <c r="C3653" s="1" t="n">
        <v>21</v>
      </c>
      <c r="D3653" s="1" t="n">
        <v>8600.73000000001</v>
      </c>
    </row>
    <row r="3654" customFormat="false" ht="14.25" hidden="false" customHeight="true" outlineLevel="0" collapsed="false">
      <c r="A3654" s="51" t="n">
        <v>17307</v>
      </c>
      <c r="B3654" s="52" t="n">
        <v>40521.6416666667</v>
      </c>
      <c r="C3654" s="1" t="n">
        <v>1</v>
      </c>
      <c r="D3654" s="1" t="n">
        <v>-152.64</v>
      </c>
    </row>
    <row r="3655" customFormat="false" ht="14.25" hidden="false" customHeight="true" outlineLevel="0" collapsed="false">
      <c r="A3655" s="51" t="n">
        <v>17309</v>
      </c>
      <c r="B3655" s="52" t="n">
        <v>40791.6388888889</v>
      </c>
      <c r="C3655" s="1" t="n">
        <v>1</v>
      </c>
      <c r="D3655" s="1" t="n">
        <v>82.75</v>
      </c>
    </row>
    <row r="3656" customFormat="false" ht="14.25" hidden="false" customHeight="true" outlineLevel="0" collapsed="false">
      <c r="A3656" s="51" t="n">
        <v>17311</v>
      </c>
      <c r="B3656" s="52" t="n">
        <v>40808.5909722222</v>
      </c>
      <c r="C3656" s="1" t="n">
        <v>2</v>
      </c>
      <c r="D3656" s="1" t="n">
        <v>1384.85</v>
      </c>
    </row>
    <row r="3657" customFormat="false" ht="14.25" hidden="false" customHeight="true" outlineLevel="0" collapsed="false">
      <c r="A3657" s="51" t="n">
        <v>17312</v>
      </c>
      <c r="B3657" s="52" t="n">
        <v>40748.4944444444</v>
      </c>
      <c r="C3657" s="1" t="n">
        <v>3</v>
      </c>
      <c r="D3657" s="1" t="n">
        <v>644.3</v>
      </c>
    </row>
    <row r="3658" customFormat="false" ht="14.25" hidden="false" customHeight="true" outlineLevel="0" collapsed="false">
      <c r="A3658" s="51" t="n">
        <v>17313</v>
      </c>
      <c r="B3658" s="52" t="n">
        <v>40869.3909722222</v>
      </c>
      <c r="C3658" s="1" t="n">
        <v>2</v>
      </c>
      <c r="D3658" s="1" t="n">
        <v>2288.13</v>
      </c>
    </row>
    <row r="3659" customFormat="false" ht="14.25" hidden="false" customHeight="true" outlineLevel="0" collapsed="false">
      <c r="A3659" s="51" t="n">
        <v>17314</v>
      </c>
      <c r="B3659" s="52" t="n">
        <v>40862.4034722222</v>
      </c>
      <c r="C3659" s="1" t="n">
        <v>11</v>
      </c>
      <c r="D3659" s="1" t="n">
        <v>2514.76</v>
      </c>
    </row>
    <row r="3660" customFormat="false" ht="14.25" hidden="false" customHeight="true" outlineLevel="0" collapsed="false">
      <c r="A3660" s="51" t="n">
        <v>17315</v>
      </c>
      <c r="B3660" s="52" t="n">
        <v>40886.4986111111</v>
      </c>
      <c r="C3660" s="1" t="n">
        <v>43</v>
      </c>
      <c r="D3660" s="1" t="n">
        <v>6204.46</v>
      </c>
    </row>
    <row r="3661" customFormat="false" ht="14.25" hidden="false" customHeight="true" outlineLevel="0" collapsed="false">
      <c r="A3661" s="51" t="n">
        <v>17317</v>
      </c>
      <c r="B3661" s="52" t="n">
        <v>40840.7263888889</v>
      </c>
      <c r="C3661" s="1" t="n">
        <v>5</v>
      </c>
      <c r="D3661" s="1" t="n">
        <v>2524.02</v>
      </c>
    </row>
    <row r="3662" customFormat="false" ht="14.25" hidden="false" customHeight="true" outlineLevel="0" collapsed="false">
      <c r="A3662" s="51" t="n">
        <v>17320</v>
      </c>
      <c r="B3662" s="52" t="n">
        <v>40786.5631944445</v>
      </c>
      <c r="C3662" s="1" t="n">
        <v>3</v>
      </c>
      <c r="D3662" s="1" t="n">
        <v>1200.62</v>
      </c>
    </row>
    <row r="3663" customFormat="false" ht="14.25" hidden="false" customHeight="true" outlineLevel="0" collapsed="false">
      <c r="A3663" s="51" t="n">
        <v>17321</v>
      </c>
      <c r="B3663" s="52" t="n">
        <v>40878.5701388889</v>
      </c>
      <c r="C3663" s="1" t="n">
        <v>2</v>
      </c>
      <c r="D3663" s="1" t="n">
        <v>700.86</v>
      </c>
    </row>
    <row r="3664" customFormat="false" ht="14.25" hidden="false" customHeight="true" outlineLevel="0" collapsed="false">
      <c r="A3664" s="51" t="n">
        <v>17323</v>
      </c>
      <c r="B3664" s="52" t="n">
        <v>40871.7284722222</v>
      </c>
      <c r="C3664" s="1" t="n">
        <v>9</v>
      </c>
      <c r="D3664" s="1" t="n">
        <v>908.990000000001</v>
      </c>
    </row>
    <row r="3665" customFormat="false" ht="14.25" hidden="false" customHeight="true" outlineLevel="0" collapsed="false">
      <c r="A3665" s="51" t="n">
        <v>17324</v>
      </c>
      <c r="B3665" s="52" t="n">
        <v>40869.4402777778</v>
      </c>
      <c r="C3665" s="1" t="n">
        <v>4</v>
      </c>
      <c r="D3665" s="1" t="n">
        <v>990.23</v>
      </c>
    </row>
    <row r="3666" customFormat="false" ht="14.25" hidden="false" customHeight="true" outlineLevel="0" collapsed="false">
      <c r="A3666" s="51" t="n">
        <v>17325</v>
      </c>
      <c r="B3666" s="52" t="n">
        <v>40606.5479166667</v>
      </c>
      <c r="C3666" s="1" t="n">
        <v>1</v>
      </c>
      <c r="D3666" s="1" t="n">
        <v>96.8</v>
      </c>
    </row>
    <row r="3667" customFormat="false" ht="14.25" hidden="false" customHeight="true" outlineLevel="0" collapsed="false">
      <c r="A3667" s="51" t="n">
        <v>17329</v>
      </c>
      <c r="B3667" s="52" t="n">
        <v>40872.6</v>
      </c>
      <c r="C3667" s="1" t="n">
        <v>2</v>
      </c>
      <c r="D3667" s="1" t="n">
        <v>523.11</v>
      </c>
    </row>
    <row r="3668" customFormat="false" ht="14.25" hidden="false" customHeight="true" outlineLevel="0" collapsed="false">
      <c r="A3668" s="51" t="n">
        <v>17330</v>
      </c>
      <c r="B3668" s="52" t="n">
        <v>40864.3722222222</v>
      </c>
      <c r="C3668" s="1" t="n">
        <v>2</v>
      </c>
      <c r="D3668" s="1" t="n">
        <v>363.9</v>
      </c>
    </row>
    <row r="3669" customFormat="false" ht="14.25" hidden="false" customHeight="true" outlineLevel="0" collapsed="false">
      <c r="A3669" s="51" t="n">
        <v>17331</v>
      </c>
      <c r="B3669" s="52" t="n">
        <v>40763.4965277778</v>
      </c>
      <c r="C3669" s="1" t="n">
        <v>1</v>
      </c>
      <c r="D3669" s="1" t="n">
        <v>175.2</v>
      </c>
    </row>
    <row r="3670" customFormat="false" ht="14.25" hidden="false" customHeight="true" outlineLevel="0" collapsed="false">
      <c r="A3670" s="51" t="n">
        <v>17333</v>
      </c>
      <c r="B3670" s="52" t="n">
        <v>40801.4243055556</v>
      </c>
      <c r="C3670" s="1" t="n">
        <v>1</v>
      </c>
      <c r="D3670" s="1" t="n">
        <v>494.25</v>
      </c>
    </row>
    <row r="3671" customFormat="false" ht="14.25" hidden="false" customHeight="true" outlineLevel="0" collapsed="false">
      <c r="A3671" s="51" t="n">
        <v>17334</v>
      </c>
      <c r="B3671" s="52" t="n">
        <v>40585.6902777778</v>
      </c>
      <c r="C3671" s="1" t="n">
        <v>3</v>
      </c>
      <c r="D3671" s="1" t="n">
        <v>306.6</v>
      </c>
    </row>
    <row r="3672" customFormat="false" ht="14.25" hidden="false" customHeight="true" outlineLevel="0" collapsed="false">
      <c r="A3672" s="51" t="n">
        <v>17337</v>
      </c>
      <c r="B3672" s="52" t="n">
        <v>40735.6222222222</v>
      </c>
      <c r="C3672" s="1" t="n">
        <v>7</v>
      </c>
      <c r="D3672" s="1" t="n">
        <v>1944.32</v>
      </c>
    </row>
    <row r="3673" customFormat="false" ht="14.25" hidden="false" customHeight="true" outlineLevel="0" collapsed="false">
      <c r="A3673" s="51" t="n">
        <v>17338</v>
      </c>
      <c r="B3673" s="52" t="n">
        <v>40869.5993055556</v>
      </c>
      <c r="C3673" s="1" t="n">
        <v>10</v>
      </c>
      <c r="D3673" s="1" t="n">
        <v>6612.18</v>
      </c>
    </row>
    <row r="3674" customFormat="false" ht="14.25" hidden="false" customHeight="true" outlineLevel="0" collapsed="false">
      <c r="A3674" s="51" t="n">
        <v>17339</v>
      </c>
      <c r="B3674" s="52" t="n">
        <v>40792.5618055556</v>
      </c>
      <c r="C3674" s="1" t="n">
        <v>2</v>
      </c>
      <c r="D3674" s="1" t="n">
        <v>243.36</v>
      </c>
    </row>
    <row r="3675" customFormat="false" ht="14.25" hidden="false" customHeight="true" outlineLevel="0" collapsed="false">
      <c r="A3675" s="51" t="n">
        <v>17340</v>
      </c>
      <c r="B3675" s="52" t="n">
        <v>40877.7166666667</v>
      </c>
      <c r="C3675" s="1" t="n">
        <v>16</v>
      </c>
      <c r="D3675" s="1" t="n">
        <v>11891.18</v>
      </c>
    </row>
    <row r="3676" customFormat="false" ht="14.25" hidden="false" customHeight="true" outlineLevel="0" collapsed="false">
      <c r="A3676" s="51" t="n">
        <v>17341</v>
      </c>
      <c r="B3676" s="52" t="n">
        <v>40730.5229166667</v>
      </c>
      <c r="C3676" s="1" t="n">
        <v>3</v>
      </c>
      <c r="D3676" s="1" t="n">
        <v>781.36</v>
      </c>
    </row>
    <row r="3677" customFormat="false" ht="14.25" hidden="false" customHeight="true" outlineLevel="0" collapsed="false">
      <c r="A3677" s="51" t="n">
        <v>17343</v>
      </c>
      <c r="B3677" s="52" t="n">
        <v>40531.6298611111</v>
      </c>
      <c r="C3677" s="1" t="n">
        <v>1</v>
      </c>
      <c r="D3677" s="1" t="n">
        <v>193.64</v>
      </c>
    </row>
    <row r="3678" customFormat="false" ht="14.25" hidden="false" customHeight="true" outlineLevel="0" collapsed="false">
      <c r="A3678" s="51" t="n">
        <v>17344</v>
      </c>
      <c r="B3678" s="52" t="n">
        <v>40840.5388888889</v>
      </c>
      <c r="C3678" s="1" t="n">
        <v>1</v>
      </c>
      <c r="D3678" s="1" t="n">
        <v>160.57</v>
      </c>
    </row>
    <row r="3679" customFormat="false" ht="14.25" hidden="false" customHeight="true" outlineLevel="0" collapsed="false">
      <c r="A3679" s="51" t="n">
        <v>17345</v>
      </c>
      <c r="B3679" s="52" t="n">
        <v>40871.6270833333</v>
      </c>
      <c r="C3679" s="1" t="n">
        <v>4</v>
      </c>
      <c r="D3679" s="1" t="n">
        <v>537.74</v>
      </c>
    </row>
    <row r="3680" customFormat="false" ht="14.25" hidden="false" customHeight="true" outlineLevel="0" collapsed="false">
      <c r="A3680" s="51" t="n">
        <v>17346</v>
      </c>
      <c r="B3680" s="52" t="n">
        <v>40883.5125</v>
      </c>
      <c r="C3680" s="1" t="n">
        <v>16</v>
      </c>
      <c r="D3680" s="1" t="n">
        <v>2611.58</v>
      </c>
    </row>
    <row r="3681" customFormat="false" ht="14.25" hidden="false" customHeight="true" outlineLevel="0" collapsed="false">
      <c r="A3681" s="51" t="n">
        <v>17347</v>
      </c>
      <c r="B3681" s="52" t="n">
        <v>40800.55</v>
      </c>
      <c r="C3681" s="1" t="n">
        <v>1</v>
      </c>
      <c r="D3681" s="1" t="n">
        <v>228.96</v>
      </c>
    </row>
    <row r="3682" customFormat="false" ht="14.25" hidden="false" customHeight="true" outlineLevel="0" collapsed="false">
      <c r="A3682" s="51" t="n">
        <v>17348</v>
      </c>
      <c r="B3682" s="52" t="n">
        <v>40872.4756944445</v>
      </c>
      <c r="C3682" s="1" t="n">
        <v>5</v>
      </c>
      <c r="D3682" s="1" t="n">
        <v>1159.52</v>
      </c>
    </row>
    <row r="3683" customFormat="false" ht="14.25" hidden="false" customHeight="true" outlineLevel="0" collapsed="false">
      <c r="A3683" s="51" t="n">
        <v>17349</v>
      </c>
      <c r="B3683" s="52" t="n">
        <v>40707.6034722222</v>
      </c>
      <c r="C3683" s="1" t="n">
        <v>1</v>
      </c>
      <c r="D3683" s="1" t="n">
        <v>110.75</v>
      </c>
    </row>
    <row r="3684" customFormat="false" ht="14.25" hidden="false" customHeight="true" outlineLevel="0" collapsed="false">
      <c r="A3684" s="51" t="n">
        <v>17350</v>
      </c>
      <c r="B3684" s="52" t="n">
        <v>40878.6576388889</v>
      </c>
      <c r="C3684" s="1" t="n">
        <v>5</v>
      </c>
      <c r="D3684" s="1" t="n">
        <v>1256.19</v>
      </c>
    </row>
    <row r="3685" customFormat="false" ht="14.25" hidden="false" customHeight="true" outlineLevel="0" collapsed="false">
      <c r="A3685" s="51" t="n">
        <v>17351</v>
      </c>
      <c r="B3685" s="52" t="n">
        <v>40850.78125</v>
      </c>
      <c r="C3685" s="1" t="n">
        <v>3</v>
      </c>
      <c r="D3685" s="1" t="n">
        <v>587.15</v>
      </c>
    </row>
    <row r="3686" customFormat="false" ht="14.25" hidden="false" customHeight="true" outlineLevel="0" collapsed="false">
      <c r="A3686" s="51" t="n">
        <v>17353</v>
      </c>
      <c r="B3686" s="52" t="n">
        <v>40757.7215277778</v>
      </c>
      <c r="C3686" s="1" t="n">
        <v>2</v>
      </c>
      <c r="D3686" s="1" t="n">
        <v>1740</v>
      </c>
    </row>
    <row r="3687" customFormat="false" ht="14.25" hidden="false" customHeight="true" outlineLevel="0" collapsed="false">
      <c r="A3687" s="51" t="n">
        <v>17354</v>
      </c>
      <c r="B3687" s="52" t="n">
        <v>40836.4402777778</v>
      </c>
      <c r="C3687" s="1" t="n">
        <v>1</v>
      </c>
      <c r="D3687" s="1" t="n">
        <v>1393.06</v>
      </c>
    </row>
    <row r="3688" customFormat="false" ht="14.25" hidden="false" customHeight="true" outlineLevel="0" collapsed="false">
      <c r="A3688" s="51" t="n">
        <v>17356</v>
      </c>
      <c r="B3688" s="52" t="n">
        <v>40575.4631944444</v>
      </c>
      <c r="C3688" s="1" t="n">
        <v>1</v>
      </c>
      <c r="D3688" s="1" t="n">
        <v>178.22</v>
      </c>
    </row>
    <row r="3689" customFormat="false" ht="14.25" hidden="false" customHeight="true" outlineLevel="0" collapsed="false">
      <c r="A3689" s="51" t="n">
        <v>17357</v>
      </c>
      <c r="B3689" s="52" t="n">
        <v>40862.6875</v>
      </c>
      <c r="C3689" s="1" t="n">
        <v>2</v>
      </c>
      <c r="D3689" s="1" t="n">
        <v>388.14</v>
      </c>
    </row>
    <row r="3690" customFormat="false" ht="14.25" hidden="false" customHeight="true" outlineLevel="0" collapsed="false">
      <c r="A3690" s="51" t="n">
        <v>17358</v>
      </c>
      <c r="B3690" s="52" t="n">
        <v>40583.70625</v>
      </c>
      <c r="C3690" s="1" t="n">
        <v>2</v>
      </c>
      <c r="D3690" s="1" t="n">
        <v>365.85</v>
      </c>
    </row>
    <row r="3691" customFormat="false" ht="14.25" hidden="false" customHeight="true" outlineLevel="0" collapsed="false">
      <c r="A3691" s="51" t="n">
        <v>17359</v>
      </c>
      <c r="B3691" s="52" t="n">
        <v>40875.6090277778</v>
      </c>
      <c r="C3691" s="1" t="n">
        <v>1</v>
      </c>
      <c r="D3691" s="1" t="n">
        <v>127.86</v>
      </c>
    </row>
    <row r="3692" customFormat="false" ht="14.25" hidden="false" customHeight="true" outlineLevel="0" collapsed="false">
      <c r="A3692" s="51" t="n">
        <v>17360</v>
      </c>
      <c r="B3692" s="52" t="n">
        <v>40869.5493055556</v>
      </c>
      <c r="C3692" s="1" t="n">
        <v>3</v>
      </c>
      <c r="D3692" s="1" t="n">
        <v>585.79</v>
      </c>
    </row>
    <row r="3693" customFormat="false" ht="14.25" hidden="false" customHeight="true" outlineLevel="0" collapsed="false">
      <c r="A3693" s="51" t="n">
        <v>17361</v>
      </c>
      <c r="B3693" s="52" t="n">
        <v>40837.6548611111</v>
      </c>
      <c r="C3693" s="1" t="n">
        <v>3</v>
      </c>
      <c r="D3693" s="1" t="n">
        <v>488.2</v>
      </c>
    </row>
    <row r="3694" customFormat="false" ht="14.25" hidden="false" customHeight="true" outlineLevel="0" collapsed="false">
      <c r="A3694" s="51" t="n">
        <v>17362</v>
      </c>
      <c r="B3694" s="52" t="n">
        <v>40647.6131944444</v>
      </c>
      <c r="C3694" s="1" t="n">
        <v>2</v>
      </c>
      <c r="D3694" s="1" t="n">
        <v>312.23</v>
      </c>
    </row>
    <row r="3695" customFormat="false" ht="14.25" hidden="false" customHeight="true" outlineLevel="0" collapsed="false">
      <c r="A3695" s="51" t="n">
        <v>17364</v>
      </c>
      <c r="B3695" s="52" t="n">
        <v>40886.375</v>
      </c>
      <c r="C3695" s="1" t="n">
        <v>12</v>
      </c>
      <c r="D3695" s="1" t="n">
        <v>4455.73</v>
      </c>
    </row>
    <row r="3696" customFormat="false" ht="14.25" hidden="false" customHeight="true" outlineLevel="0" collapsed="false">
      <c r="A3696" s="51" t="n">
        <v>17365</v>
      </c>
      <c r="B3696" s="52" t="n">
        <v>40874.5090277778</v>
      </c>
      <c r="C3696" s="1" t="n">
        <v>8</v>
      </c>
      <c r="D3696" s="1" t="n">
        <v>4801.56</v>
      </c>
    </row>
    <row r="3697" customFormat="false" ht="14.25" hidden="false" customHeight="true" outlineLevel="0" collapsed="false">
      <c r="A3697" s="51" t="n">
        <v>17367</v>
      </c>
      <c r="B3697" s="52" t="n">
        <v>40648.5979166667</v>
      </c>
      <c r="C3697" s="1" t="n">
        <v>1</v>
      </c>
      <c r="D3697" s="1" t="n">
        <v>168.4</v>
      </c>
    </row>
    <row r="3698" customFormat="false" ht="14.25" hidden="false" customHeight="true" outlineLevel="0" collapsed="false">
      <c r="A3698" s="51" t="n">
        <v>17368</v>
      </c>
      <c r="B3698" s="52" t="n">
        <v>40863.6430555556</v>
      </c>
      <c r="C3698" s="1" t="n">
        <v>9</v>
      </c>
      <c r="D3698" s="1" t="n">
        <v>1349.52</v>
      </c>
    </row>
    <row r="3699" customFormat="false" ht="14.25" hidden="false" customHeight="true" outlineLevel="0" collapsed="false">
      <c r="A3699" s="51" t="n">
        <v>17370</v>
      </c>
      <c r="B3699" s="52" t="n">
        <v>40814.4263888889</v>
      </c>
      <c r="C3699" s="1" t="n">
        <v>4</v>
      </c>
      <c r="D3699" s="1" t="n">
        <v>446.18</v>
      </c>
    </row>
    <row r="3700" customFormat="false" ht="14.25" hidden="false" customHeight="true" outlineLevel="0" collapsed="false">
      <c r="A3700" s="51" t="n">
        <v>17371</v>
      </c>
      <c r="B3700" s="52" t="n">
        <v>40869.5625</v>
      </c>
      <c r="C3700" s="1" t="n">
        <v>3</v>
      </c>
      <c r="D3700" s="1" t="n">
        <v>423.89</v>
      </c>
    </row>
    <row r="3701" customFormat="false" ht="14.25" hidden="false" customHeight="true" outlineLevel="0" collapsed="false">
      <c r="A3701" s="51" t="n">
        <v>17372</v>
      </c>
      <c r="B3701" s="52" t="n">
        <v>40846.4840277778</v>
      </c>
      <c r="C3701" s="1" t="n">
        <v>8</v>
      </c>
      <c r="D3701" s="1" t="n">
        <v>1342.68</v>
      </c>
    </row>
    <row r="3702" customFormat="false" ht="14.25" hidden="false" customHeight="true" outlineLevel="0" collapsed="false">
      <c r="A3702" s="51" t="n">
        <v>17373</v>
      </c>
      <c r="B3702" s="52" t="n">
        <v>40846.6444444444</v>
      </c>
      <c r="C3702" s="1" t="n">
        <v>4</v>
      </c>
      <c r="D3702" s="1" t="n">
        <v>646.92</v>
      </c>
    </row>
    <row r="3703" customFormat="false" ht="14.25" hidden="false" customHeight="true" outlineLevel="0" collapsed="false">
      <c r="A3703" s="51" t="n">
        <v>17374</v>
      </c>
      <c r="B3703" s="52" t="n">
        <v>40668.3784722222</v>
      </c>
      <c r="C3703" s="1" t="n">
        <v>2</v>
      </c>
      <c r="D3703" s="1" t="n">
        <v>495.77</v>
      </c>
    </row>
    <row r="3704" customFormat="false" ht="14.25" hidden="false" customHeight="true" outlineLevel="0" collapsed="false">
      <c r="A3704" s="51" t="n">
        <v>17375</v>
      </c>
      <c r="B3704" s="52" t="n">
        <v>40696.7291666667</v>
      </c>
      <c r="C3704" s="1" t="n">
        <v>4</v>
      </c>
      <c r="D3704" s="1" t="n">
        <v>372.5</v>
      </c>
    </row>
    <row r="3705" customFormat="false" ht="14.25" hidden="false" customHeight="true" outlineLevel="0" collapsed="false">
      <c r="A3705" s="51" t="n">
        <v>17376</v>
      </c>
      <c r="B3705" s="52" t="n">
        <v>40816.525</v>
      </c>
      <c r="C3705" s="1" t="n">
        <v>2</v>
      </c>
      <c r="D3705" s="1" t="n">
        <v>203.2</v>
      </c>
    </row>
    <row r="3706" customFormat="false" ht="14.25" hidden="false" customHeight="true" outlineLevel="0" collapsed="false">
      <c r="A3706" s="51" t="n">
        <v>17377</v>
      </c>
      <c r="B3706" s="52" t="n">
        <v>40863.4701388889</v>
      </c>
      <c r="C3706" s="1" t="n">
        <v>21</v>
      </c>
      <c r="D3706" s="1" t="n">
        <v>3925.92</v>
      </c>
    </row>
    <row r="3707" customFormat="false" ht="14.25" hidden="false" customHeight="true" outlineLevel="0" collapsed="false">
      <c r="A3707" s="51" t="n">
        <v>17379</v>
      </c>
      <c r="B3707" s="52" t="n">
        <v>40875.5805555556</v>
      </c>
      <c r="C3707" s="1" t="n">
        <v>1</v>
      </c>
      <c r="D3707" s="1" t="n">
        <v>404.66</v>
      </c>
    </row>
    <row r="3708" customFormat="false" ht="14.25" hidden="false" customHeight="true" outlineLevel="0" collapsed="false">
      <c r="A3708" s="51" t="n">
        <v>17381</v>
      </c>
      <c r="B3708" s="52" t="n">
        <v>40878.4993055556</v>
      </c>
      <c r="C3708" s="1" t="n">
        <v>30</v>
      </c>
      <c r="D3708" s="1" t="n">
        <v>20272.43</v>
      </c>
    </row>
    <row r="3709" customFormat="false" ht="14.25" hidden="false" customHeight="true" outlineLevel="0" collapsed="false">
      <c r="A3709" s="51" t="n">
        <v>17382</v>
      </c>
      <c r="B3709" s="52" t="n">
        <v>40821.5451388889</v>
      </c>
      <c r="C3709" s="1" t="n">
        <v>1</v>
      </c>
      <c r="D3709" s="1" t="n">
        <v>65.4</v>
      </c>
    </row>
    <row r="3710" customFormat="false" ht="14.25" hidden="false" customHeight="true" outlineLevel="0" collapsed="false">
      <c r="A3710" s="51" t="n">
        <v>17383</v>
      </c>
      <c r="B3710" s="52" t="n">
        <v>40882.7333333333</v>
      </c>
      <c r="C3710" s="1" t="n">
        <v>1</v>
      </c>
      <c r="D3710" s="1" t="n">
        <v>199.29</v>
      </c>
    </row>
    <row r="3711" customFormat="false" ht="14.25" hidden="false" customHeight="true" outlineLevel="0" collapsed="false">
      <c r="A3711" s="51" t="n">
        <v>17384</v>
      </c>
      <c r="B3711" s="52" t="n">
        <v>40867.6583333333</v>
      </c>
      <c r="C3711" s="1" t="n">
        <v>2</v>
      </c>
      <c r="D3711" s="1" t="n">
        <v>336.4</v>
      </c>
    </row>
    <row r="3712" customFormat="false" ht="14.25" hidden="false" customHeight="true" outlineLevel="0" collapsed="false">
      <c r="A3712" s="51" t="n">
        <v>17385</v>
      </c>
      <c r="B3712" s="52" t="n">
        <v>40872.4597222222</v>
      </c>
      <c r="C3712" s="1" t="n">
        <v>1</v>
      </c>
      <c r="D3712" s="1" t="n">
        <v>261.11</v>
      </c>
    </row>
    <row r="3713" customFormat="false" ht="14.25" hidden="false" customHeight="true" outlineLevel="0" collapsed="false">
      <c r="A3713" s="51" t="n">
        <v>17386</v>
      </c>
      <c r="B3713" s="52" t="n">
        <v>40879.4777777778</v>
      </c>
      <c r="C3713" s="1" t="n">
        <v>6</v>
      </c>
      <c r="D3713" s="1" t="n">
        <v>2686.42</v>
      </c>
    </row>
    <row r="3714" customFormat="false" ht="14.25" hidden="false" customHeight="true" outlineLevel="0" collapsed="false">
      <c r="A3714" s="51" t="n">
        <v>17387</v>
      </c>
      <c r="B3714" s="52" t="n">
        <v>40867.4583333333</v>
      </c>
      <c r="C3714" s="1" t="n">
        <v>2</v>
      </c>
      <c r="D3714" s="1" t="n">
        <v>784.11</v>
      </c>
    </row>
    <row r="3715" customFormat="false" ht="14.25" hidden="false" customHeight="true" outlineLevel="0" collapsed="false">
      <c r="A3715" s="51" t="n">
        <v>17388</v>
      </c>
      <c r="B3715" s="52" t="n">
        <v>40809.4381944445</v>
      </c>
      <c r="C3715" s="1" t="n">
        <v>4</v>
      </c>
      <c r="D3715" s="1" t="n">
        <v>1259.56</v>
      </c>
    </row>
    <row r="3716" customFormat="false" ht="14.25" hidden="false" customHeight="true" outlineLevel="0" collapsed="false">
      <c r="A3716" s="51" t="n">
        <v>17389</v>
      </c>
      <c r="B3716" s="52" t="n">
        <v>40886.4013888889</v>
      </c>
      <c r="C3716" s="1" t="n">
        <v>43</v>
      </c>
      <c r="D3716" s="1" t="n">
        <v>31300.08</v>
      </c>
    </row>
    <row r="3717" customFormat="false" ht="14.25" hidden="false" customHeight="true" outlineLevel="0" collapsed="false">
      <c r="A3717" s="51" t="n">
        <v>17391</v>
      </c>
      <c r="B3717" s="52" t="n">
        <v>40723.4152777778</v>
      </c>
      <c r="C3717" s="1" t="n">
        <v>2</v>
      </c>
      <c r="D3717" s="1" t="n">
        <v>508.8</v>
      </c>
    </row>
    <row r="3718" customFormat="false" ht="14.25" hidden="false" customHeight="true" outlineLevel="0" collapsed="false">
      <c r="A3718" s="51" t="n">
        <v>17392</v>
      </c>
      <c r="B3718" s="52" t="n">
        <v>40580.5333333333</v>
      </c>
      <c r="C3718" s="1" t="n">
        <v>2</v>
      </c>
      <c r="D3718" s="1" t="n">
        <v>457.91</v>
      </c>
    </row>
    <row r="3719" customFormat="false" ht="14.25" hidden="false" customHeight="true" outlineLevel="0" collapsed="false">
      <c r="A3719" s="51" t="n">
        <v>17394</v>
      </c>
      <c r="B3719" s="52" t="n">
        <v>40667.5569444444</v>
      </c>
      <c r="C3719" s="1" t="n">
        <v>1</v>
      </c>
      <c r="D3719" s="1" t="n">
        <v>203.87</v>
      </c>
    </row>
    <row r="3720" customFormat="false" ht="14.25" hidden="false" customHeight="true" outlineLevel="0" collapsed="false">
      <c r="A3720" s="51" t="n">
        <v>17396</v>
      </c>
      <c r="B3720" s="52" t="n">
        <v>40847.5916666667</v>
      </c>
      <c r="C3720" s="1" t="n">
        <v>8</v>
      </c>
      <c r="D3720" s="1" t="n">
        <v>7330.8</v>
      </c>
    </row>
    <row r="3721" customFormat="false" ht="14.25" hidden="false" customHeight="true" outlineLevel="0" collapsed="false">
      <c r="A3721" s="51" t="n">
        <v>17397</v>
      </c>
      <c r="B3721" s="52" t="n">
        <v>40864.5888888889</v>
      </c>
      <c r="C3721" s="1" t="n">
        <v>2</v>
      </c>
      <c r="D3721" s="1" t="n">
        <v>696.41</v>
      </c>
    </row>
    <row r="3722" customFormat="false" ht="14.25" hidden="false" customHeight="true" outlineLevel="0" collapsed="false">
      <c r="A3722" s="51" t="n">
        <v>17398</v>
      </c>
      <c r="B3722" s="52" t="n">
        <v>40772.4083333333</v>
      </c>
      <c r="C3722" s="1" t="n">
        <v>3</v>
      </c>
      <c r="D3722" s="1" t="n">
        <v>653.38</v>
      </c>
    </row>
    <row r="3723" customFormat="false" ht="14.25" hidden="false" customHeight="true" outlineLevel="0" collapsed="false">
      <c r="A3723" s="51" t="n">
        <v>17400</v>
      </c>
      <c r="B3723" s="52" t="n">
        <v>40760.6513888889</v>
      </c>
      <c r="C3723" s="1" t="n">
        <v>5</v>
      </c>
      <c r="D3723" s="1" t="n">
        <v>2129.96</v>
      </c>
    </row>
    <row r="3724" customFormat="false" ht="14.25" hidden="false" customHeight="true" outlineLevel="0" collapsed="false">
      <c r="A3724" s="51" t="n">
        <v>17402</v>
      </c>
      <c r="B3724" s="52" t="n">
        <v>40882.4270833333</v>
      </c>
      <c r="C3724" s="1" t="n">
        <v>13</v>
      </c>
      <c r="D3724" s="1" t="n">
        <v>2633.85</v>
      </c>
    </row>
    <row r="3725" customFormat="false" ht="14.25" hidden="false" customHeight="true" outlineLevel="0" collapsed="false">
      <c r="A3725" s="51" t="n">
        <v>17403</v>
      </c>
      <c r="B3725" s="52" t="n">
        <v>40850.6375</v>
      </c>
      <c r="C3725" s="1" t="n">
        <v>1</v>
      </c>
      <c r="D3725" s="1" t="n">
        <v>281.62</v>
      </c>
    </row>
    <row r="3726" customFormat="false" ht="14.25" hidden="false" customHeight="true" outlineLevel="0" collapsed="false">
      <c r="A3726" s="51" t="n">
        <v>17404</v>
      </c>
      <c r="B3726" s="52" t="n">
        <v>40882.6847222222</v>
      </c>
      <c r="C3726" s="1" t="n">
        <v>18</v>
      </c>
      <c r="D3726" s="1" t="n">
        <v>30300.82</v>
      </c>
    </row>
    <row r="3727" customFormat="false" ht="14.25" hidden="false" customHeight="true" outlineLevel="0" collapsed="false">
      <c r="A3727" s="51" t="n">
        <v>17405</v>
      </c>
      <c r="B3727" s="52" t="n">
        <v>40885.7166666667</v>
      </c>
      <c r="C3727" s="1" t="n">
        <v>5</v>
      </c>
      <c r="D3727" s="1" t="n">
        <v>967.22</v>
      </c>
    </row>
    <row r="3728" customFormat="false" ht="14.25" hidden="false" customHeight="true" outlineLevel="0" collapsed="false">
      <c r="A3728" s="51" t="n">
        <v>17406</v>
      </c>
      <c r="B3728" s="52" t="n">
        <v>40556.5361111111</v>
      </c>
      <c r="C3728" s="1" t="n">
        <v>5</v>
      </c>
      <c r="D3728" s="1" t="n">
        <v>1928.72</v>
      </c>
    </row>
    <row r="3729" customFormat="false" ht="14.25" hidden="false" customHeight="true" outlineLevel="0" collapsed="false">
      <c r="A3729" s="51" t="n">
        <v>17408</v>
      </c>
      <c r="B3729" s="52" t="n">
        <v>40723.5368055556</v>
      </c>
      <c r="C3729" s="1" t="n">
        <v>1</v>
      </c>
      <c r="D3729" s="1" t="n">
        <v>32.65</v>
      </c>
    </row>
    <row r="3730" customFormat="false" ht="14.25" hidden="false" customHeight="true" outlineLevel="0" collapsed="false">
      <c r="A3730" s="51" t="n">
        <v>17409</v>
      </c>
      <c r="B3730" s="52" t="n">
        <v>40702.4416666667</v>
      </c>
      <c r="C3730" s="1" t="n">
        <v>2</v>
      </c>
      <c r="D3730" s="1" t="n">
        <v>771.85</v>
      </c>
    </row>
    <row r="3731" customFormat="false" ht="14.25" hidden="false" customHeight="true" outlineLevel="0" collapsed="false">
      <c r="A3731" s="51" t="n">
        <v>17410</v>
      </c>
      <c r="B3731" s="52" t="n">
        <v>40870.6569444445</v>
      </c>
      <c r="C3731" s="1" t="n">
        <v>5</v>
      </c>
      <c r="D3731" s="1" t="n">
        <v>1214.72</v>
      </c>
    </row>
    <row r="3732" customFormat="false" ht="14.25" hidden="false" customHeight="true" outlineLevel="0" collapsed="false">
      <c r="A3732" s="51" t="n">
        <v>17411</v>
      </c>
      <c r="B3732" s="52" t="n">
        <v>40874.6006944445</v>
      </c>
      <c r="C3732" s="1" t="n">
        <v>4</v>
      </c>
      <c r="D3732" s="1" t="n">
        <v>748.94</v>
      </c>
    </row>
    <row r="3733" customFormat="false" ht="14.25" hidden="false" customHeight="true" outlineLevel="0" collapsed="false">
      <c r="A3733" s="51" t="n">
        <v>17412</v>
      </c>
      <c r="B3733" s="52" t="n">
        <v>40884.4833333333</v>
      </c>
      <c r="C3733" s="1" t="n">
        <v>7</v>
      </c>
      <c r="D3733" s="1" t="n">
        <v>1258.06</v>
      </c>
    </row>
    <row r="3734" customFormat="false" ht="14.25" hidden="false" customHeight="true" outlineLevel="0" collapsed="false">
      <c r="A3734" s="51" t="n">
        <v>17414</v>
      </c>
      <c r="B3734" s="52" t="n">
        <v>40843.5090277778</v>
      </c>
      <c r="C3734" s="1" t="n">
        <v>2</v>
      </c>
      <c r="D3734" s="1" t="n">
        <v>778</v>
      </c>
    </row>
    <row r="3735" customFormat="false" ht="14.25" hidden="false" customHeight="true" outlineLevel="0" collapsed="false">
      <c r="A3735" s="51" t="n">
        <v>17415</v>
      </c>
      <c r="B3735" s="52" t="n">
        <v>40807.5347222222</v>
      </c>
      <c r="C3735" s="1" t="n">
        <v>1</v>
      </c>
      <c r="D3735" s="1" t="n">
        <v>507.84</v>
      </c>
    </row>
    <row r="3736" customFormat="false" ht="14.25" hidden="false" customHeight="true" outlineLevel="0" collapsed="false">
      <c r="A3736" s="51" t="n">
        <v>17416</v>
      </c>
      <c r="B3736" s="52" t="n">
        <v>40857.5326388889</v>
      </c>
      <c r="C3736" s="1" t="n">
        <v>9</v>
      </c>
      <c r="D3736" s="1" t="n">
        <v>6838.34</v>
      </c>
    </row>
    <row r="3737" customFormat="false" ht="14.25" hidden="false" customHeight="true" outlineLevel="0" collapsed="false">
      <c r="A3737" s="51" t="n">
        <v>17418</v>
      </c>
      <c r="B3737" s="52" t="n">
        <v>40844.5416666667</v>
      </c>
      <c r="C3737" s="1" t="n">
        <v>2</v>
      </c>
      <c r="D3737" s="1" t="n">
        <v>463.46</v>
      </c>
    </row>
    <row r="3738" customFormat="false" ht="14.25" hidden="false" customHeight="true" outlineLevel="0" collapsed="false">
      <c r="A3738" s="51" t="n">
        <v>17419</v>
      </c>
      <c r="B3738" s="52" t="n">
        <v>40875.5743055556</v>
      </c>
      <c r="C3738" s="1" t="n">
        <v>14</v>
      </c>
      <c r="D3738" s="1" t="n">
        <v>4200.97</v>
      </c>
    </row>
    <row r="3739" customFormat="false" ht="14.25" hidden="false" customHeight="true" outlineLevel="0" collapsed="false">
      <c r="A3739" s="51" t="n">
        <v>17420</v>
      </c>
      <c r="B3739" s="52" t="n">
        <v>40836.6194444444</v>
      </c>
      <c r="C3739" s="1" t="n">
        <v>3</v>
      </c>
      <c r="D3739" s="1" t="n">
        <v>598.83</v>
      </c>
    </row>
    <row r="3740" customFormat="false" ht="14.25" hidden="false" customHeight="true" outlineLevel="0" collapsed="false">
      <c r="A3740" s="51" t="n">
        <v>17422</v>
      </c>
      <c r="B3740" s="52" t="n">
        <v>40870.5604166667</v>
      </c>
      <c r="C3740" s="1" t="n">
        <v>10</v>
      </c>
      <c r="D3740" s="1" t="n">
        <v>1853.13</v>
      </c>
    </row>
    <row r="3741" customFormat="false" ht="14.25" hidden="false" customHeight="true" outlineLevel="0" collapsed="false">
      <c r="A3741" s="51" t="n">
        <v>17423</v>
      </c>
      <c r="B3741" s="52" t="n">
        <v>40841.7006944444</v>
      </c>
      <c r="C3741" s="1" t="n">
        <v>4</v>
      </c>
      <c r="D3741" s="1" t="n">
        <v>663.63</v>
      </c>
    </row>
    <row r="3742" customFormat="false" ht="14.25" hidden="false" customHeight="true" outlineLevel="0" collapsed="false">
      <c r="A3742" s="51" t="n">
        <v>17425</v>
      </c>
      <c r="B3742" s="52" t="n">
        <v>40867.6458333333</v>
      </c>
      <c r="C3742" s="1" t="n">
        <v>2</v>
      </c>
      <c r="D3742" s="1" t="n">
        <v>759.17</v>
      </c>
    </row>
    <row r="3743" customFormat="false" ht="14.25" hidden="false" customHeight="true" outlineLevel="0" collapsed="false">
      <c r="A3743" s="51" t="n">
        <v>17426</v>
      </c>
      <c r="B3743" s="52" t="n">
        <v>40882.675</v>
      </c>
      <c r="C3743" s="1" t="n">
        <v>7</v>
      </c>
      <c r="D3743" s="1" t="n">
        <v>5022.26</v>
      </c>
    </row>
    <row r="3744" customFormat="false" ht="14.25" hidden="false" customHeight="true" outlineLevel="0" collapsed="false">
      <c r="A3744" s="51" t="n">
        <v>17427</v>
      </c>
      <c r="B3744" s="52" t="n">
        <v>40815.4784722222</v>
      </c>
      <c r="C3744" s="1" t="n">
        <v>1</v>
      </c>
      <c r="D3744" s="1" t="n">
        <v>100.8</v>
      </c>
    </row>
    <row r="3745" customFormat="false" ht="14.25" hidden="false" customHeight="true" outlineLevel="0" collapsed="false">
      <c r="A3745" s="51" t="n">
        <v>17428</v>
      </c>
      <c r="B3745" s="52" t="n">
        <v>40886.40625</v>
      </c>
      <c r="C3745" s="1" t="n">
        <v>33</v>
      </c>
      <c r="D3745" s="1" t="n">
        <v>17078.45</v>
      </c>
    </row>
    <row r="3746" customFormat="false" ht="14.25" hidden="false" customHeight="true" outlineLevel="0" collapsed="false">
      <c r="A3746" s="51" t="n">
        <v>17429</v>
      </c>
      <c r="B3746" s="52" t="n">
        <v>40766.4256944444</v>
      </c>
      <c r="C3746" s="1" t="n">
        <v>4</v>
      </c>
      <c r="D3746" s="1" t="n">
        <v>512.12</v>
      </c>
    </row>
    <row r="3747" customFormat="false" ht="14.25" hidden="false" customHeight="true" outlineLevel="0" collapsed="false">
      <c r="A3747" s="51" t="n">
        <v>17430</v>
      </c>
      <c r="B3747" s="52" t="n">
        <v>40854.3916666667</v>
      </c>
      <c r="C3747" s="1" t="n">
        <v>2</v>
      </c>
      <c r="D3747" s="1" t="n">
        <v>265.76</v>
      </c>
    </row>
    <row r="3748" customFormat="false" ht="14.25" hidden="false" customHeight="true" outlineLevel="0" collapsed="false">
      <c r="A3748" s="51" t="n">
        <v>17431</v>
      </c>
      <c r="B3748" s="52" t="n">
        <v>40573.6083333333</v>
      </c>
      <c r="C3748" s="1" t="n">
        <v>1</v>
      </c>
      <c r="D3748" s="1" t="n">
        <v>403.3</v>
      </c>
    </row>
    <row r="3749" customFormat="false" ht="14.25" hidden="false" customHeight="true" outlineLevel="0" collapsed="false">
      <c r="A3749" s="51" t="n">
        <v>17432</v>
      </c>
      <c r="B3749" s="52" t="n">
        <v>40868.73125</v>
      </c>
      <c r="C3749" s="1" t="n">
        <v>2</v>
      </c>
      <c r="D3749" s="1" t="n">
        <v>365.76</v>
      </c>
    </row>
    <row r="3750" customFormat="false" ht="14.25" hidden="false" customHeight="true" outlineLevel="0" collapsed="false">
      <c r="A3750" s="51" t="n">
        <v>17433</v>
      </c>
      <c r="B3750" s="52" t="n">
        <v>40798.6</v>
      </c>
      <c r="C3750" s="1" t="n">
        <v>1</v>
      </c>
      <c r="D3750" s="1" t="n">
        <v>303.16</v>
      </c>
    </row>
    <row r="3751" customFormat="false" ht="14.25" hidden="false" customHeight="true" outlineLevel="0" collapsed="false">
      <c r="A3751" s="51" t="n">
        <v>17434</v>
      </c>
      <c r="B3751" s="52" t="n">
        <v>40884.5527777778</v>
      </c>
      <c r="C3751" s="1" t="n">
        <v>9</v>
      </c>
      <c r="D3751" s="1" t="n">
        <v>2333.42</v>
      </c>
    </row>
    <row r="3752" customFormat="false" ht="14.25" hidden="false" customHeight="true" outlineLevel="0" collapsed="false">
      <c r="A3752" s="51" t="n">
        <v>17436</v>
      </c>
      <c r="B3752" s="52" t="n">
        <v>40885.5208333333</v>
      </c>
      <c r="C3752" s="1" t="n">
        <v>2</v>
      </c>
      <c r="D3752" s="1" t="n">
        <v>216.3</v>
      </c>
    </row>
    <row r="3753" customFormat="false" ht="14.25" hidden="false" customHeight="true" outlineLevel="0" collapsed="false">
      <c r="A3753" s="51" t="n">
        <v>17438</v>
      </c>
      <c r="B3753" s="52" t="n">
        <v>40639.7194444445</v>
      </c>
      <c r="C3753" s="1" t="n">
        <v>2</v>
      </c>
      <c r="D3753" s="1" t="n">
        <v>378.3</v>
      </c>
    </row>
    <row r="3754" customFormat="false" ht="14.25" hidden="false" customHeight="true" outlineLevel="0" collapsed="false">
      <c r="A3754" s="51" t="n">
        <v>17440</v>
      </c>
      <c r="B3754" s="52" t="n">
        <v>40739.4416666667</v>
      </c>
      <c r="C3754" s="1" t="n">
        <v>5</v>
      </c>
      <c r="D3754" s="1" t="n">
        <v>177.1</v>
      </c>
    </row>
    <row r="3755" customFormat="false" ht="14.25" hidden="false" customHeight="true" outlineLevel="0" collapsed="false">
      <c r="A3755" s="51" t="n">
        <v>17442</v>
      </c>
      <c r="B3755" s="52" t="n">
        <v>40857.6208333333</v>
      </c>
      <c r="C3755" s="1" t="n">
        <v>10</v>
      </c>
      <c r="D3755" s="1" t="n">
        <v>2210.26</v>
      </c>
    </row>
    <row r="3756" customFormat="false" ht="14.25" hidden="false" customHeight="true" outlineLevel="0" collapsed="false">
      <c r="A3756" s="51" t="n">
        <v>17443</v>
      </c>
      <c r="B3756" s="52" t="n">
        <v>40667.4493055556</v>
      </c>
      <c r="C3756" s="1" t="n">
        <v>1</v>
      </c>
      <c r="D3756" s="1" t="n">
        <v>534.24</v>
      </c>
    </row>
    <row r="3757" customFormat="false" ht="14.25" hidden="false" customHeight="true" outlineLevel="0" collapsed="false">
      <c r="A3757" s="51" t="n">
        <v>17444</v>
      </c>
      <c r="B3757" s="52" t="n">
        <v>40739.5034722222</v>
      </c>
      <c r="C3757" s="1" t="n">
        <v>3</v>
      </c>
      <c r="D3757" s="1" t="n">
        <v>2940.04</v>
      </c>
    </row>
    <row r="3758" customFormat="false" ht="14.25" hidden="false" customHeight="true" outlineLevel="0" collapsed="false">
      <c r="A3758" s="51" t="n">
        <v>17446</v>
      </c>
      <c r="B3758" s="52" t="n">
        <v>40710.4458333333</v>
      </c>
      <c r="C3758" s="1" t="n">
        <v>2</v>
      </c>
      <c r="D3758" s="1" t="n">
        <v>120.9</v>
      </c>
    </row>
    <row r="3759" customFormat="false" ht="14.25" hidden="false" customHeight="true" outlineLevel="0" collapsed="false">
      <c r="A3759" s="51" t="n">
        <v>17447</v>
      </c>
      <c r="B3759" s="52" t="n">
        <v>40846.5958333333</v>
      </c>
      <c r="C3759" s="1" t="n">
        <v>2</v>
      </c>
      <c r="D3759" s="1" t="n">
        <v>541.53</v>
      </c>
    </row>
    <row r="3760" customFormat="false" ht="14.25" hidden="false" customHeight="true" outlineLevel="0" collapsed="false">
      <c r="A3760" s="51" t="n">
        <v>17448</v>
      </c>
      <c r="B3760" s="52" t="n">
        <v>40742.5180555556</v>
      </c>
      <c r="C3760" s="1" t="n">
        <v>1</v>
      </c>
      <c r="D3760" s="1" t="n">
        <v>-4287.63</v>
      </c>
    </row>
    <row r="3761" customFormat="false" ht="14.25" hidden="false" customHeight="true" outlineLevel="0" collapsed="false">
      <c r="A3761" s="51" t="n">
        <v>17449</v>
      </c>
      <c r="B3761" s="52" t="n">
        <v>40884.7055555556</v>
      </c>
      <c r="C3761" s="1" t="n">
        <v>8</v>
      </c>
      <c r="D3761" s="1" t="n">
        <v>2504.86</v>
      </c>
    </row>
    <row r="3762" customFormat="false" ht="14.25" hidden="false" customHeight="true" outlineLevel="0" collapsed="false">
      <c r="A3762" s="51" t="n">
        <v>17450</v>
      </c>
      <c r="B3762" s="52" t="n">
        <v>40878.5618055556</v>
      </c>
      <c r="C3762" s="1" t="n">
        <v>55</v>
      </c>
      <c r="D3762" s="1" t="n">
        <v>187482.17</v>
      </c>
    </row>
    <row r="3763" customFormat="false" ht="14.25" hidden="false" customHeight="true" outlineLevel="0" collapsed="false">
      <c r="A3763" s="51" t="n">
        <v>17451</v>
      </c>
      <c r="B3763" s="52" t="n">
        <v>40885.6263888889</v>
      </c>
      <c r="C3763" s="1" t="n">
        <v>10</v>
      </c>
      <c r="D3763" s="1" t="n">
        <v>1648.95</v>
      </c>
    </row>
    <row r="3764" customFormat="false" ht="14.25" hidden="false" customHeight="true" outlineLevel="0" collapsed="false">
      <c r="A3764" s="51" t="n">
        <v>17453</v>
      </c>
      <c r="B3764" s="52" t="n">
        <v>40869.4041666667</v>
      </c>
      <c r="C3764" s="1" t="n">
        <v>2</v>
      </c>
      <c r="D3764" s="1" t="n">
        <v>486.72</v>
      </c>
    </row>
    <row r="3765" customFormat="false" ht="14.25" hidden="false" customHeight="true" outlineLevel="0" collapsed="false">
      <c r="A3765" s="51" t="n">
        <v>17454</v>
      </c>
      <c r="B3765" s="52" t="n">
        <v>40694.5819444444</v>
      </c>
      <c r="C3765" s="1" t="n">
        <v>4</v>
      </c>
      <c r="D3765" s="1" t="n">
        <v>517.53</v>
      </c>
    </row>
    <row r="3766" customFormat="false" ht="14.25" hidden="false" customHeight="true" outlineLevel="0" collapsed="false">
      <c r="A3766" s="51" t="n">
        <v>17455</v>
      </c>
      <c r="B3766" s="52" t="n">
        <v>40683.5215277778</v>
      </c>
      <c r="C3766" s="1" t="n">
        <v>1</v>
      </c>
      <c r="D3766" s="1" t="n">
        <v>131.7</v>
      </c>
    </row>
    <row r="3767" customFormat="false" ht="14.25" hidden="false" customHeight="true" outlineLevel="0" collapsed="false">
      <c r="A3767" s="51" t="n">
        <v>17456</v>
      </c>
      <c r="B3767" s="52" t="n">
        <v>40521.6409722222</v>
      </c>
      <c r="C3767" s="1" t="n">
        <v>1</v>
      </c>
      <c r="D3767" s="1" t="n">
        <v>249.86</v>
      </c>
    </row>
    <row r="3768" customFormat="false" ht="14.25" hidden="false" customHeight="true" outlineLevel="0" collapsed="false">
      <c r="A3768" s="51" t="n">
        <v>17457</v>
      </c>
      <c r="B3768" s="52" t="n">
        <v>40760.5333333333</v>
      </c>
      <c r="C3768" s="1" t="n">
        <v>5</v>
      </c>
      <c r="D3768" s="1" t="n">
        <v>1737.7</v>
      </c>
    </row>
    <row r="3769" customFormat="false" ht="14.25" hidden="false" customHeight="true" outlineLevel="0" collapsed="false">
      <c r="A3769" s="51" t="n">
        <v>17458</v>
      </c>
      <c r="B3769" s="52" t="n">
        <v>40871.5423611111</v>
      </c>
      <c r="C3769" s="1" t="n">
        <v>1</v>
      </c>
      <c r="D3769" s="1" t="n">
        <v>316.5</v>
      </c>
    </row>
    <row r="3770" customFormat="false" ht="14.25" hidden="false" customHeight="true" outlineLevel="0" collapsed="false">
      <c r="A3770" s="51" t="n">
        <v>17459</v>
      </c>
      <c r="B3770" s="52" t="n">
        <v>40843.5590277778</v>
      </c>
      <c r="C3770" s="1" t="n">
        <v>2</v>
      </c>
      <c r="D3770" s="1" t="n">
        <v>657.3</v>
      </c>
    </row>
    <row r="3771" customFormat="false" ht="14.25" hidden="false" customHeight="true" outlineLevel="0" collapsed="false">
      <c r="A3771" s="51" t="n">
        <v>17460</v>
      </c>
      <c r="B3771" s="52" t="n">
        <v>40808.4569444444</v>
      </c>
      <c r="C3771" s="1" t="n">
        <v>8</v>
      </c>
      <c r="D3771" s="1" t="n">
        <v>452.63</v>
      </c>
    </row>
    <row r="3772" customFormat="false" ht="14.25" hidden="false" customHeight="true" outlineLevel="0" collapsed="false">
      <c r="A3772" s="51" t="n">
        <v>17461</v>
      </c>
      <c r="B3772" s="52" t="n">
        <v>40864.43125</v>
      </c>
      <c r="C3772" s="1" t="n">
        <v>3</v>
      </c>
      <c r="D3772" s="1" t="n">
        <v>757.46</v>
      </c>
    </row>
    <row r="3773" customFormat="false" ht="14.25" hidden="false" customHeight="true" outlineLevel="0" collapsed="false">
      <c r="A3773" s="51" t="n">
        <v>17462</v>
      </c>
      <c r="B3773" s="52" t="n">
        <v>40835.5666666667</v>
      </c>
      <c r="C3773" s="1" t="n">
        <v>3</v>
      </c>
      <c r="D3773" s="1" t="n">
        <v>662.94</v>
      </c>
    </row>
    <row r="3774" customFormat="false" ht="14.25" hidden="false" customHeight="true" outlineLevel="0" collapsed="false">
      <c r="A3774" s="51" t="n">
        <v>17463</v>
      </c>
      <c r="B3774" s="52" t="n">
        <v>40870.5694444445</v>
      </c>
      <c r="C3774" s="1" t="n">
        <v>6</v>
      </c>
      <c r="D3774" s="1" t="n">
        <v>1881.36</v>
      </c>
    </row>
    <row r="3775" customFormat="false" ht="14.25" hidden="false" customHeight="true" outlineLevel="0" collapsed="false">
      <c r="A3775" s="51" t="n">
        <v>17464</v>
      </c>
      <c r="B3775" s="52" t="n">
        <v>40728.5548611111</v>
      </c>
      <c r="C3775" s="1" t="n">
        <v>1</v>
      </c>
      <c r="D3775" s="1" t="n">
        <v>289.96</v>
      </c>
    </row>
    <row r="3776" customFormat="false" ht="14.25" hidden="false" customHeight="true" outlineLevel="0" collapsed="false">
      <c r="A3776" s="51" t="n">
        <v>17466</v>
      </c>
      <c r="B3776" s="52" t="n">
        <v>40876.5520833333</v>
      </c>
      <c r="C3776" s="1" t="n">
        <v>2</v>
      </c>
      <c r="D3776" s="1" t="n">
        <v>763.28</v>
      </c>
    </row>
    <row r="3777" customFormat="false" ht="14.25" hidden="false" customHeight="true" outlineLevel="0" collapsed="false">
      <c r="A3777" s="51" t="n">
        <v>17468</v>
      </c>
      <c r="B3777" s="52" t="n">
        <v>40876.6479166667</v>
      </c>
      <c r="C3777" s="1" t="n">
        <v>2</v>
      </c>
      <c r="D3777" s="1" t="n">
        <v>137</v>
      </c>
    </row>
    <row r="3778" customFormat="false" ht="14.25" hidden="false" customHeight="true" outlineLevel="0" collapsed="false">
      <c r="A3778" s="51" t="n">
        <v>17469</v>
      </c>
      <c r="B3778" s="52" t="n">
        <v>40870.5520833333</v>
      </c>
      <c r="C3778" s="1" t="n">
        <v>6</v>
      </c>
      <c r="D3778" s="1" t="n">
        <v>1843.06</v>
      </c>
    </row>
    <row r="3779" customFormat="false" ht="14.25" hidden="false" customHeight="true" outlineLevel="0" collapsed="false">
      <c r="A3779" s="51" t="n">
        <v>17470</v>
      </c>
      <c r="B3779" s="52" t="n">
        <v>40842.5291666667</v>
      </c>
      <c r="C3779" s="1" t="n">
        <v>5</v>
      </c>
      <c r="D3779" s="1" t="n">
        <v>1125.07</v>
      </c>
    </row>
    <row r="3780" customFormat="false" ht="14.25" hidden="false" customHeight="true" outlineLevel="0" collapsed="false">
      <c r="A3780" s="51" t="n">
        <v>17472</v>
      </c>
      <c r="B3780" s="52" t="n">
        <v>40695.6229166667</v>
      </c>
      <c r="C3780" s="1" t="n">
        <v>3</v>
      </c>
      <c r="D3780" s="1" t="n">
        <v>710.29</v>
      </c>
    </row>
    <row r="3781" customFormat="false" ht="14.25" hidden="false" customHeight="true" outlineLevel="0" collapsed="false">
      <c r="A3781" s="51" t="n">
        <v>17475</v>
      </c>
      <c r="B3781" s="52" t="n">
        <v>40807.6215277778</v>
      </c>
      <c r="C3781" s="1" t="n">
        <v>1</v>
      </c>
      <c r="D3781" s="1" t="n">
        <v>194.37</v>
      </c>
    </row>
    <row r="3782" customFormat="false" ht="14.25" hidden="false" customHeight="true" outlineLevel="0" collapsed="false">
      <c r="A3782" s="51" t="n">
        <v>17480</v>
      </c>
      <c r="B3782" s="52" t="n">
        <v>40813.43125</v>
      </c>
      <c r="C3782" s="1" t="n">
        <v>2</v>
      </c>
      <c r="D3782" s="1" t="n">
        <v>506.51</v>
      </c>
    </row>
    <row r="3783" customFormat="false" ht="14.25" hidden="false" customHeight="true" outlineLevel="0" collapsed="false">
      <c r="A3783" s="51" t="n">
        <v>17481</v>
      </c>
      <c r="B3783" s="52" t="n">
        <v>40883.5194444444</v>
      </c>
      <c r="C3783" s="1" t="n">
        <v>5</v>
      </c>
      <c r="D3783" s="1" t="n">
        <v>1249.34</v>
      </c>
    </row>
    <row r="3784" customFormat="false" ht="14.25" hidden="false" customHeight="true" outlineLevel="0" collapsed="false">
      <c r="A3784" s="51" t="n">
        <v>17483</v>
      </c>
      <c r="B3784" s="52" t="n">
        <v>40821.5486111111</v>
      </c>
      <c r="C3784" s="1" t="n">
        <v>3</v>
      </c>
      <c r="D3784" s="1" t="n">
        <v>414.04</v>
      </c>
    </row>
    <row r="3785" customFormat="false" ht="14.25" hidden="false" customHeight="true" outlineLevel="0" collapsed="false">
      <c r="A3785" s="51" t="n">
        <v>17486</v>
      </c>
      <c r="B3785" s="52" t="n">
        <v>40625.5833333333</v>
      </c>
      <c r="C3785" s="1" t="n">
        <v>1</v>
      </c>
      <c r="D3785" s="1" t="n">
        <v>396.87</v>
      </c>
    </row>
    <row r="3786" customFormat="false" ht="14.25" hidden="false" customHeight="true" outlineLevel="0" collapsed="false">
      <c r="A3786" s="51" t="n">
        <v>17489</v>
      </c>
      <c r="B3786" s="52" t="n">
        <v>40828.3722222222</v>
      </c>
      <c r="C3786" s="1" t="n">
        <v>2</v>
      </c>
      <c r="D3786" s="1" t="n">
        <v>376.64</v>
      </c>
    </row>
    <row r="3787" customFormat="false" ht="14.25" hidden="false" customHeight="true" outlineLevel="0" collapsed="false">
      <c r="A3787" s="51" t="n">
        <v>17490</v>
      </c>
      <c r="B3787" s="52" t="n">
        <v>40886.3805555556</v>
      </c>
      <c r="C3787" s="1" t="n">
        <v>11</v>
      </c>
      <c r="D3787" s="1" t="n">
        <v>1926.88</v>
      </c>
    </row>
    <row r="3788" customFormat="false" ht="14.25" hidden="false" customHeight="true" outlineLevel="0" collapsed="false">
      <c r="A3788" s="51" t="n">
        <v>17491</v>
      </c>
      <c r="B3788" s="52" t="n">
        <v>40885.6791666667</v>
      </c>
      <c r="C3788" s="1" t="n">
        <v>11</v>
      </c>
      <c r="D3788" s="1" t="n">
        <v>3541.92</v>
      </c>
    </row>
    <row r="3789" customFormat="false" ht="14.25" hidden="false" customHeight="true" outlineLevel="0" collapsed="false">
      <c r="A3789" s="51" t="n">
        <v>17492</v>
      </c>
      <c r="B3789" s="52" t="n">
        <v>40638.6395833333</v>
      </c>
      <c r="C3789" s="1" t="n">
        <v>1</v>
      </c>
      <c r="D3789" s="1" t="n">
        <v>374.57</v>
      </c>
    </row>
    <row r="3790" customFormat="false" ht="14.25" hidden="false" customHeight="true" outlineLevel="0" collapsed="false">
      <c r="A3790" s="51" t="n">
        <v>17495</v>
      </c>
      <c r="B3790" s="52" t="n">
        <v>40879.5055555556</v>
      </c>
      <c r="C3790" s="1" t="n">
        <v>2</v>
      </c>
      <c r="D3790" s="1" t="n">
        <v>497.56</v>
      </c>
    </row>
    <row r="3791" customFormat="false" ht="14.25" hidden="false" customHeight="true" outlineLevel="0" collapsed="false">
      <c r="A3791" s="51" t="n">
        <v>17496</v>
      </c>
      <c r="B3791" s="52" t="n">
        <v>40528.3604166667</v>
      </c>
      <c r="C3791" s="1" t="n">
        <v>1</v>
      </c>
      <c r="D3791" s="1" t="n">
        <v>271.05</v>
      </c>
    </row>
    <row r="3792" customFormat="false" ht="14.25" hidden="false" customHeight="true" outlineLevel="0" collapsed="false">
      <c r="A3792" s="51" t="n">
        <v>17498</v>
      </c>
      <c r="B3792" s="52" t="n">
        <v>40811.5173611111</v>
      </c>
      <c r="C3792" s="1" t="n">
        <v>1</v>
      </c>
      <c r="D3792" s="1" t="n">
        <v>272.22</v>
      </c>
    </row>
    <row r="3793" customFormat="false" ht="14.25" hidden="false" customHeight="true" outlineLevel="0" collapsed="false">
      <c r="A3793" s="51" t="n">
        <v>17499</v>
      </c>
      <c r="B3793" s="52" t="n">
        <v>40597.3847222222</v>
      </c>
      <c r="C3793" s="1" t="n">
        <v>1</v>
      </c>
      <c r="D3793" s="1" t="n">
        <v>622.88</v>
      </c>
    </row>
    <row r="3794" customFormat="false" ht="14.25" hidden="false" customHeight="true" outlineLevel="0" collapsed="false">
      <c r="A3794" s="51" t="n">
        <v>17500</v>
      </c>
      <c r="B3794" s="52" t="n">
        <v>40869.6006944445</v>
      </c>
      <c r="C3794" s="1" t="n">
        <v>3</v>
      </c>
      <c r="D3794" s="1" t="n">
        <v>1138</v>
      </c>
    </row>
    <row r="3795" customFormat="false" ht="14.25" hidden="false" customHeight="true" outlineLevel="0" collapsed="false">
      <c r="A3795" s="51" t="n">
        <v>17501</v>
      </c>
      <c r="B3795" s="52" t="n">
        <v>40666.4076388889</v>
      </c>
      <c r="C3795" s="1" t="n">
        <v>2</v>
      </c>
      <c r="D3795" s="1" t="n">
        <v>288.6</v>
      </c>
    </row>
    <row r="3796" customFormat="false" ht="14.25" hidden="false" customHeight="true" outlineLevel="0" collapsed="false">
      <c r="A3796" s="51" t="n">
        <v>17502</v>
      </c>
      <c r="B3796" s="52" t="n">
        <v>40877.5506944444</v>
      </c>
      <c r="C3796" s="1" t="n">
        <v>4</v>
      </c>
      <c r="D3796" s="1" t="n">
        <v>689.1</v>
      </c>
    </row>
    <row r="3797" customFormat="false" ht="14.25" hidden="false" customHeight="true" outlineLevel="0" collapsed="false">
      <c r="A3797" s="51" t="n">
        <v>17503</v>
      </c>
      <c r="B3797" s="52" t="n">
        <v>40884.3875</v>
      </c>
      <c r="C3797" s="1" t="n">
        <v>2</v>
      </c>
      <c r="D3797" s="1" t="n">
        <v>558.96</v>
      </c>
    </row>
    <row r="3798" customFormat="false" ht="14.25" hidden="false" customHeight="true" outlineLevel="0" collapsed="false">
      <c r="A3798" s="51" t="n">
        <v>17504</v>
      </c>
      <c r="B3798" s="52" t="n">
        <v>40680.5409722222</v>
      </c>
      <c r="C3798" s="1" t="n">
        <v>10</v>
      </c>
      <c r="D3798" s="1" t="n">
        <v>2745.28</v>
      </c>
    </row>
    <row r="3799" customFormat="false" ht="14.25" hidden="false" customHeight="true" outlineLevel="0" collapsed="false">
      <c r="A3799" s="51" t="n">
        <v>17505</v>
      </c>
      <c r="B3799" s="52" t="n">
        <v>40725.5347222222</v>
      </c>
      <c r="C3799" s="1" t="n">
        <v>2</v>
      </c>
      <c r="D3799" s="1" t="n">
        <v>1145.84</v>
      </c>
    </row>
    <row r="3800" customFormat="false" ht="14.25" hidden="false" customHeight="true" outlineLevel="0" collapsed="false">
      <c r="A3800" s="51" t="n">
        <v>17506</v>
      </c>
      <c r="B3800" s="52" t="n">
        <v>40816.5375</v>
      </c>
      <c r="C3800" s="1" t="n">
        <v>2</v>
      </c>
      <c r="D3800" s="1" t="n">
        <v>294.29</v>
      </c>
    </row>
    <row r="3801" customFormat="false" ht="14.25" hidden="false" customHeight="true" outlineLevel="0" collapsed="false">
      <c r="A3801" s="51" t="n">
        <v>17507</v>
      </c>
      <c r="B3801" s="52" t="n">
        <v>40625.4916666667</v>
      </c>
      <c r="C3801" s="1" t="n">
        <v>2</v>
      </c>
      <c r="D3801" s="1" t="n">
        <v>605.58</v>
      </c>
    </row>
    <row r="3802" customFormat="false" ht="14.25" hidden="false" customHeight="true" outlineLevel="0" collapsed="false">
      <c r="A3802" s="51" t="n">
        <v>17508</v>
      </c>
      <c r="B3802" s="52" t="n">
        <v>40606.3402777778</v>
      </c>
      <c r="C3802" s="1" t="n">
        <v>1</v>
      </c>
      <c r="D3802" s="1" t="n">
        <v>387.31</v>
      </c>
    </row>
    <row r="3803" customFormat="false" ht="14.25" hidden="false" customHeight="true" outlineLevel="0" collapsed="false">
      <c r="A3803" s="51" t="n">
        <v>17509</v>
      </c>
      <c r="B3803" s="52" t="n">
        <v>40829.5111111111</v>
      </c>
      <c r="C3803" s="1" t="n">
        <v>11</v>
      </c>
      <c r="D3803" s="1" t="n">
        <v>6100.74</v>
      </c>
    </row>
    <row r="3804" customFormat="false" ht="14.25" hidden="false" customHeight="true" outlineLevel="0" collapsed="false">
      <c r="A3804" s="51" t="n">
        <v>17510</v>
      </c>
      <c r="B3804" s="52" t="n">
        <v>40862.4166666667</v>
      </c>
      <c r="C3804" s="1" t="n">
        <v>1</v>
      </c>
      <c r="D3804" s="1" t="n">
        <v>308.48</v>
      </c>
    </row>
    <row r="3805" customFormat="false" ht="14.25" hidden="false" customHeight="true" outlineLevel="0" collapsed="false">
      <c r="A3805" s="51" t="n">
        <v>17511</v>
      </c>
      <c r="B3805" s="52" t="n">
        <v>40884.425</v>
      </c>
      <c r="C3805" s="1" t="n">
        <v>46</v>
      </c>
      <c r="D3805" s="1" t="n">
        <v>88125.38</v>
      </c>
    </row>
    <row r="3806" customFormat="false" ht="14.25" hidden="false" customHeight="true" outlineLevel="0" collapsed="false">
      <c r="A3806" s="51" t="n">
        <v>17512</v>
      </c>
      <c r="B3806" s="52" t="n">
        <v>40858.5076388889</v>
      </c>
      <c r="C3806" s="1" t="n">
        <v>11</v>
      </c>
      <c r="D3806" s="1" t="n">
        <v>2920.04</v>
      </c>
    </row>
    <row r="3807" customFormat="false" ht="14.25" hidden="false" customHeight="true" outlineLevel="0" collapsed="false">
      <c r="A3807" s="51" t="n">
        <v>17513</v>
      </c>
      <c r="B3807" s="52" t="n">
        <v>40814.6958333333</v>
      </c>
      <c r="C3807" s="1" t="n">
        <v>1</v>
      </c>
      <c r="D3807" s="1" t="n">
        <v>513.2</v>
      </c>
    </row>
    <row r="3808" customFormat="false" ht="14.25" hidden="false" customHeight="true" outlineLevel="0" collapsed="false">
      <c r="A3808" s="51" t="n">
        <v>17514</v>
      </c>
      <c r="B3808" s="52" t="n">
        <v>40758.65625</v>
      </c>
      <c r="C3808" s="1" t="n">
        <v>1</v>
      </c>
      <c r="D3808" s="1" t="n">
        <v>208.65</v>
      </c>
    </row>
    <row r="3809" customFormat="false" ht="14.25" hidden="false" customHeight="true" outlineLevel="0" collapsed="false">
      <c r="A3809" s="51" t="n">
        <v>17515</v>
      </c>
      <c r="B3809" s="52" t="n">
        <v>40855.5861111111</v>
      </c>
      <c r="C3809" s="1" t="n">
        <v>4</v>
      </c>
      <c r="D3809" s="1" t="n">
        <v>639.02</v>
      </c>
    </row>
    <row r="3810" customFormat="false" ht="14.25" hidden="false" customHeight="true" outlineLevel="0" collapsed="false">
      <c r="A3810" s="51" t="n">
        <v>17516</v>
      </c>
      <c r="B3810" s="52" t="n">
        <v>40871.7020833333</v>
      </c>
      <c r="C3810" s="1" t="n">
        <v>5</v>
      </c>
      <c r="D3810" s="1" t="n">
        <v>768.08</v>
      </c>
    </row>
    <row r="3811" customFormat="false" ht="14.25" hidden="false" customHeight="true" outlineLevel="0" collapsed="false">
      <c r="A3811" s="51" t="n">
        <v>17517</v>
      </c>
      <c r="B3811" s="52" t="n">
        <v>40578.4916666667</v>
      </c>
      <c r="C3811" s="1" t="n">
        <v>1</v>
      </c>
      <c r="D3811" s="1" t="n">
        <v>153.94</v>
      </c>
    </row>
    <row r="3812" customFormat="false" ht="14.25" hidden="false" customHeight="true" outlineLevel="0" collapsed="false">
      <c r="A3812" s="51" t="n">
        <v>17519</v>
      </c>
      <c r="B3812" s="52" t="n">
        <v>40869.6965277778</v>
      </c>
      <c r="C3812" s="1" t="n">
        <v>7</v>
      </c>
      <c r="D3812" s="1" t="n">
        <v>1839.07</v>
      </c>
    </row>
    <row r="3813" customFormat="false" ht="14.25" hidden="false" customHeight="true" outlineLevel="0" collapsed="false">
      <c r="A3813" s="51" t="n">
        <v>17520</v>
      </c>
      <c r="B3813" s="52" t="n">
        <v>40833.5027777778</v>
      </c>
      <c r="C3813" s="1" t="n">
        <v>1</v>
      </c>
      <c r="D3813" s="1" t="n">
        <v>546.81</v>
      </c>
    </row>
    <row r="3814" customFormat="false" ht="14.25" hidden="false" customHeight="true" outlineLevel="0" collapsed="false">
      <c r="A3814" s="51" t="n">
        <v>17521</v>
      </c>
      <c r="B3814" s="52" t="n">
        <v>40862.5833333333</v>
      </c>
      <c r="C3814" s="1" t="n">
        <v>4</v>
      </c>
      <c r="D3814" s="1" t="n">
        <v>721.96</v>
      </c>
    </row>
    <row r="3815" customFormat="false" ht="14.25" hidden="false" customHeight="true" outlineLevel="0" collapsed="false">
      <c r="A3815" s="51" t="n">
        <v>17522</v>
      </c>
      <c r="B3815" s="52" t="n">
        <v>40885.5215277778</v>
      </c>
      <c r="C3815" s="1" t="n">
        <v>5</v>
      </c>
      <c r="D3815" s="1" t="n">
        <v>1070.71</v>
      </c>
    </row>
    <row r="3816" customFormat="false" ht="14.25" hidden="false" customHeight="true" outlineLevel="0" collapsed="false">
      <c r="A3816" s="51" t="n">
        <v>17523</v>
      </c>
      <c r="B3816" s="52" t="n">
        <v>40875.5555555556</v>
      </c>
      <c r="C3816" s="1" t="n">
        <v>4</v>
      </c>
      <c r="D3816" s="1" t="n">
        <v>652.74</v>
      </c>
    </row>
    <row r="3817" customFormat="false" ht="14.25" hidden="false" customHeight="true" outlineLevel="0" collapsed="false">
      <c r="A3817" s="51" t="n">
        <v>17524</v>
      </c>
      <c r="B3817" s="52" t="n">
        <v>40525.6055555556</v>
      </c>
      <c r="C3817" s="1" t="n">
        <v>1</v>
      </c>
      <c r="D3817" s="1" t="n">
        <v>145</v>
      </c>
    </row>
    <row r="3818" customFormat="false" ht="14.25" hidden="false" customHeight="true" outlineLevel="0" collapsed="false">
      <c r="A3818" s="51" t="n">
        <v>17525</v>
      </c>
      <c r="B3818" s="52" t="n">
        <v>40527.5034722222</v>
      </c>
      <c r="C3818" s="1" t="n">
        <v>1</v>
      </c>
      <c r="D3818" s="1" t="n">
        <v>422.7</v>
      </c>
    </row>
    <row r="3819" customFormat="false" ht="14.25" hidden="false" customHeight="true" outlineLevel="0" collapsed="false">
      <c r="A3819" s="51" t="n">
        <v>17526</v>
      </c>
      <c r="B3819" s="52" t="n">
        <v>40885.7888888889</v>
      </c>
      <c r="C3819" s="1" t="n">
        <v>8</v>
      </c>
      <c r="D3819" s="1" t="n">
        <v>706.7</v>
      </c>
    </row>
    <row r="3820" customFormat="false" ht="14.25" hidden="false" customHeight="true" outlineLevel="0" collapsed="false">
      <c r="A3820" s="51" t="n">
        <v>17527</v>
      </c>
      <c r="B3820" s="52" t="n">
        <v>40833.5222222222</v>
      </c>
      <c r="C3820" s="1" t="n">
        <v>6</v>
      </c>
      <c r="D3820" s="1" t="n">
        <v>888.86</v>
      </c>
    </row>
    <row r="3821" customFormat="false" ht="14.25" hidden="false" customHeight="true" outlineLevel="0" collapsed="false">
      <c r="A3821" s="51" t="n">
        <v>17528</v>
      </c>
      <c r="B3821" s="52" t="n">
        <v>40885.5604166667</v>
      </c>
      <c r="C3821" s="1" t="n">
        <v>11</v>
      </c>
      <c r="D3821" s="1" t="n">
        <v>3540.1</v>
      </c>
    </row>
    <row r="3822" customFormat="false" ht="14.25" hidden="false" customHeight="true" outlineLevel="0" collapsed="false">
      <c r="A3822" s="51" t="n">
        <v>17530</v>
      </c>
      <c r="B3822" s="52" t="n">
        <v>40885.7791666667</v>
      </c>
      <c r="C3822" s="1" t="n">
        <v>10</v>
      </c>
      <c r="D3822" s="1" t="n">
        <v>2385</v>
      </c>
    </row>
    <row r="3823" customFormat="false" ht="14.25" hidden="false" customHeight="true" outlineLevel="0" collapsed="false">
      <c r="A3823" s="51" t="n">
        <v>17531</v>
      </c>
      <c r="B3823" s="52" t="n">
        <v>40766.4298611111</v>
      </c>
      <c r="C3823" s="1" t="n">
        <v>2</v>
      </c>
      <c r="D3823" s="1" t="n">
        <v>293.45</v>
      </c>
    </row>
    <row r="3824" customFormat="false" ht="14.25" hidden="false" customHeight="true" outlineLevel="0" collapsed="false">
      <c r="A3824" s="51" t="n">
        <v>17534</v>
      </c>
      <c r="B3824" s="52" t="n">
        <v>40833.5326388889</v>
      </c>
      <c r="C3824" s="1" t="n">
        <v>1</v>
      </c>
      <c r="D3824" s="1" t="n">
        <v>223.36</v>
      </c>
    </row>
    <row r="3825" customFormat="false" ht="14.25" hidden="false" customHeight="true" outlineLevel="0" collapsed="false">
      <c r="A3825" s="51" t="n">
        <v>17535</v>
      </c>
      <c r="B3825" s="52" t="n">
        <v>40606.6388888889</v>
      </c>
      <c r="C3825" s="1" t="n">
        <v>1</v>
      </c>
      <c r="D3825" s="1" t="n">
        <v>164.4</v>
      </c>
    </row>
    <row r="3826" customFormat="false" ht="14.25" hidden="false" customHeight="true" outlineLevel="0" collapsed="false">
      <c r="A3826" s="51" t="n">
        <v>17536</v>
      </c>
      <c r="B3826" s="52" t="n">
        <v>40709.5576388889</v>
      </c>
      <c r="C3826" s="1" t="n">
        <v>1</v>
      </c>
      <c r="D3826" s="1" t="n">
        <v>76.5</v>
      </c>
    </row>
    <row r="3827" customFormat="false" ht="14.25" hidden="false" customHeight="true" outlineLevel="0" collapsed="false">
      <c r="A3827" s="51" t="n">
        <v>17537</v>
      </c>
      <c r="B3827" s="52" t="n">
        <v>40857.4555555556</v>
      </c>
      <c r="C3827" s="1" t="n">
        <v>2</v>
      </c>
      <c r="D3827" s="1" t="n">
        <v>897.62</v>
      </c>
    </row>
    <row r="3828" customFormat="false" ht="14.25" hidden="false" customHeight="true" outlineLevel="0" collapsed="false">
      <c r="A3828" s="51" t="n">
        <v>17538</v>
      </c>
      <c r="B3828" s="52" t="n">
        <v>40861.5083333333</v>
      </c>
      <c r="C3828" s="1" t="n">
        <v>1</v>
      </c>
      <c r="D3828" s="1" t="n">
        <v>98.42</v>
      </c>
    </row>
    <row r="3829" customFormat="false" ht="14.25" hidden="false" customHeight="true" outlineLevel="0" collapsed="false">
      <c r="A3829" s="51" t="n">
        <v>17540</v>
      </c>
      <c r="B3829" s="52" t="n">
        <v>40878.375</v>
      </c>
      <c r="C3829" s="1" t="n">
        <v>3</v>
      </c>
      <c r="D3829" s="1" t="n">
        <v>570.4</v>
      </c>
    </row>
    <row r="3830" customFormat="false" ht="14.25" hidden="false" customHeight="true" outlineLevel="0" collapsed="false">
      <c r="A3830" s="51" t="n">
        <v>17542</v>
      </c>
      <c r="B3830" s="52" t="n">
        <v>40617.4895833333</v>
      </c>
      <c r="C3830" s="1" t="n">
        <v>1</v>
      </c>
      <c r="D3830" s="1" t="n">
        <v>170.75</v>
      </c>
    </row>
    <row r="3831" customFormat="false" ht="14.25" hidden="false" customHeight="true" outlineLevel="0" collapsed="false">
      <c r="A3831" s="51" t="n">
        <v>17545</v>
      </c>
      <c r="B3831" s="52" t="n">
        <v>40843.5861111111</v>
      </c>
      <c r="C3831" s="1" t="n">
        <v>3</v>
      </c>
      <c r="D3831" s="1" t="n">
        <v>645.96</v>
      </c>
    </row>
    <row r="3832" customFormat="false" ht="14.25" hidden="false" customHeight="true" outlineLevel="0" collapsed="false">
      <c r="A3832" s="51" t="n">
        <v>17547</v>
      </c>
      <c r="B3832" s="52" t="n">
        <v>40514.6034722222</v>
      </c>
      <c r="C3832" s="1" t="n">
        <v>1</v>
      </c>
      <c r="D3832" s="1" t="n">
        <v>-11.8</v>
      </c>
    </row>
    <row r="3833" customFormat="false" ht="14.25" hidden="false" customHeight="true" outlineLevel="0" collapsed="false">
      <c r="A3833" s="51" t="n">
        <v>17548</v>
      </c>
      <c r="B3833" s="52" t="n">
        <v>40669.4166666667</v>
      </c>
      <c r="C3833" s="1" t="n">
        <v>3</v>
      </c>
      <c r="D3833" s="1" t="n">
        <v>-141.48</v>
      </c>
    </row>
    <row r="3834" customFormat="false" ht="14.25" hidden="false" customHeight="true" outlineLevel="0" collapsed="false">
      <c r="A3834" s="51" t="n">
        <v>17549</v>
      </c>
      <c r="B3834" s="52" t="n">
        <v>40863.4159722222</v>
      </c>
      <c r="C3834" s="1" t="n">
        <v>2</v>
      </c>
      <c r="D3834" s="1" t="n">
        <v>148.86</v>
      </c>
    </row>
    <row r="3835" customFormat="false" ht="14.25" hidden="false" customHeight="true" outlineLevel="0" collapsed="false">
      <c r="A3835" s="51" t="n">
        <v>17550</v>
      </c>
      <c r="B3835" s="52" t="n">
        <v>40689.5895833333</v>
      </c>
      <c r="C3835" s="1" t="n">
        <v>3</v>
      </c>
      <c r="D3835" s="1" t="n">
        <v>267.16</v>
      </c>
    </row>
    <row r="3836" customFormat="false" ht="14.25" hidden="false" customHeight="true" outlineLevel="0" collapsed="false">
      <c r="A3836" s="51" t="n">
        <v>17551</v>
      </c>
      <c r="B3836" s="52" t="n">
        <v>40527.5916666667</v>
      </c>
      <c r="C3836" s="1" t="n">
        <v>1</v>
      </c>
      <c r="D3836" s="1" t="n">
        <v>306.84</v>
      </c>
    </row>
    <row r="3837" customFormat="false" ht="14.25" hidden="false" customHeight="true" outlineLevel="0" collapsed="false">
      <c r="A3837" s="51" t="n">
        <v>17552</v>
      </c>
      <c r="B3837" s="52" t="n">
        <v>40844.5097222222</v>
      </c>
      <c r="C3837" s="1" t="n">
        <v>6</v>
      </c>
      <c r="D3837" s="1" t="n">
        <v>909.96</v>
      </c>
    </row>
    <row r="3838" customFormat="false" ht="14.25" hidden="false" customHeight="true" outlineLevel="0" collapsed="false">
      <c r="A3838" s="51" t="n">
        <v>17553</v>
      </c>
      <c r="B3838" s="52" t="n">
        <v>40757.4166666667</v>
      </c>
      <c r="C3838" s="1" t="n">
        <v>1</v>
      </c>
      <c r="D3838" s="1" t="n">
        <v>1487.6</v>
      </c>
    </row>
    <row r="3839" customFormat="false" ht="14.25" hidden="false" customHeight="true" outlineLevel="0" collapsed="false">
      <c r="A3839" s="51" t="n">
        <v>17554</v>
      </c>
      <c r="B3839" s="52" t="n">
        <v>40885.59375</v>
      </c>
      <c r="C3839" s="1" t="n">
        <v>5</v>
      </c>
      <c r="D3839" s="1" t="n">
        <v>1952.45</v>
      </c>
    </row>
    <row r="3840" customFormat="false" ht="14.25" hidden="false" customHeight="true" outlineLevel="0" collapsed="false">
      <c r="A3840" s="51" t="n">
        <v>17555</v>
      </c>
      <c r="B3840" s="52" t="n">
        <v>40867.5152777778</v>
      </c>
      <c r="C3840" s="1" t="n">
        <v>2</v>
      </c>
      <c r="D3840" s="1" t="n">
        <v>483.26</v>
      </c>
    </row>
    <row r="3841" customFormat="false" ht="14.25" hidden="false" customHeight="true" outlineLevel="0" collapsed="false">
      <c r="A3841" s="51" t="n">
        <v>17556</v>
      </c>
      <c r="B3841" s="52" t="n">
        <v>40681.45</v>
      </c>
      <c r="C3841" s="1" t="n">
        <v>1</v>
      </c>
      <c r="D3841" s="1" t="n">
        <v>157.9</v>
      </c>
    </row>
    <row r="3842" customFormat="false" ht="14.25" hidden="false" customHeight="true" outlineLevel="0" collapsed="false">
      <c r="A3842" s="51" t="n">
        <v>17557</v>
      </c>
      <c r="B3842" s="52" t="n">
        <v>40872.5395833333</v>
      </c>
      <c r="C3842" s="1" t="n">
        <v>3</v>
      </c>
      <c r="D3842" s="1" t="n">
        <v>541.46</v>
      </c>
    </row>
    <row r="3843" customFormat="false" ht="14.25" hidden="false" customHeight="true" outlineLevel="0" collapsed="false">
      <c r="A3843" s="51" t="n">
        <v>17560</v>
      </c>
      <c r="B3843" s="52" t="n">
        <v>40792.3875</v>
      </c>
      <c r="C3843" s="1" t="n">
        <v>5</v>
      </c>
      <c r="D3843" s="1" t="n">
        <v>854.95</v>
      </c>
    </row>
    <row r="3844" customFormat="false" ht="14.25" hidden="false" customHeight="true" outlineLevel="0" collapsed="false">
      <c r="A3844" s="51" t="n">
        <v>17561</v>
      </c>
      <c r="B3844" s="52" t="n">
        <v>40867.5368055556</v>
      </c>
      <c r="C3844" s="1" t="n">
        <v>1</v>
      </c>
      <c r="D3844" s="1" t="n">
        <v>167.62</v>
      </c>
    </row>
    <row r="3845" customFormat="false" ht="14.25" hidden="false" customHeight="true" outlineLevel="0" collapsed="false">
      <c r="A3845" s="51" t="n">
        <v>17562</v>
      </c>
      <c r="B3845" s="52" t="n">
        <v>40872.5979166667</v>
      </c>
      <c r="C3845" s="1" t="n">
        <v>8</v>
      </c>
      <c r="D3845" s="1" t="n">
        <v>1107.38</v>
      </c>
    </row>
    <row r="3846" customFormat="false" ht="14.25" hidden="false" customHeight="true" outlineLevel="0" collapsed="false">
      <c r="A3846" s="51" t="n">
        <v>17564</v>
      </c>
      <c r="B3846" s="52" t="n">
        <v>40862.5604166667</v>
      </c>
      <c r="C3846" s="1" t="n">
        <v>3</v>
      </c>
      <c r="D3846" s="1" t="n">
        <v>454.01</v>
      </c>
    </row>
    <row r="3847" customFormat="false" ht="14.25" hidden="false" customHeight="true" outlineLevel="0" collapsed="false">
      <c r="A3847" s="51" t="n">
        <v>17566</v>
      </c>
      <c r="B3847" s="52" t="n">
        <v>40878.8291666667</v>
      </c>
      <c r="C3847" s="1" t="n">
        <v>2</v>
      </c>
      <c r="D3847" s="1" t="n">
        <v>901.21</v>
      </c>
    </row>
    <row r="3848" customFormat="false" ht="14.25" hidden="false" customHeight="true" outlineLevel="0" collapsed="false">
      <c r="A3848" s="51" t="n">
        <v>17567</v>
      </c>
      <c r="B3848" s="52" t="n">
        <v>40879.6583333333</v>
      </c>
      <c r="C3848" s="1" t="n">
        <v>10</v>
      </c>
      <c r="D3848" s="1" t="n">
        <v>4012.56</v>
      </c>
    </row>
    <row r="3849" customFormat="false" ht="14.25" hidden="false" customHeight="true" outlineLevel="0" collapsed="false">
      <c r="A3849" s="51" t="n">
        <v>17569</v>
      </c>
      <c r="B3849" s="52" t="n">
        <v>40554.59375</v>
      </c>
      <c r="C3849" s="1" t="n">
        <v>1</v>
      </c>
      <c r="D3849" s="1" t="n">
        <v>344.14</v>
      </c>
    </row>
    <row r="3850" customFormat="false" ht="14.25" hidden="false" customHeight="true" outlineLevel="0" collapsed="false">
      <c r="A3850" s="51" t="n">
        <v>17571</v>
      </c>
      <c r="B3850" s="52" t="n">
        <v>40836.6645833333</v>
      </c>
      <c r="C3850" s="1" t="n">
        <v>4</v>
      </c>
      <c r="D3850" s="1" t="n">
        <v>1498.51</v>
      </c>
    </row>
    <row r="3851" customFormat="false" ht="14.25" hidden="false" customHeight="true" outlineLevel="0" collapsed="false">
      <c r="A3851" s="51" t="n">
        <v>17572</v>
      </c>
      <c r="B3851" s="52" t="n">
        <v>40815.7451388889</v>
      </c>
      <c r="C3851" s="1" t="n">
        <v>4</v>
      </c>
      <c r="D3851" s="1" t="n">
        <v>226.75</v>
      </c>
    </row>
    <row r="3852" customFormat="false" ht="14.25" hidden="false" customHeight="true" outlineLevel="0" collapsed="false">
      <c r="A3852" s="51" t="n">
        <v>17573</v>
      </c>
      <c r="B3852" s="52" t="n">
        <v>40857.5423611111</v>
      </c>
      <c r="C3852" s="1" t="n">
        <v>4</v>
      </c>
      <c r="D3852" s="1" t="n">
        <v>362.9</v>
      </c>
    </row>
    <row r="3853" customFormat="false" ht="14.25" hidden="false" customHeight="true" outlineLevel="0" collapsed="false">
      <c r="A3853" s="51" t="n">
        <v>17574</v>
      </c>
      <c r="B3853" s="52" t="n">
        <v>40644.4076388889</v>
      </c>
      <c r="C3853" s="1" t="n">
        <v>1</v>
      </c>
      <c r="D3853" s="1" t="n">
        <v>185.65</v>
      </c>
    </row>
    <row r="3854" customFormat="false" ht="14.25" hidden="false" customHeight="true" outlineLevel="0" collapsed="false">
      <c r="A3854" s="51" t="n">
        <v>17576</v>
      </c>
      <c r="B3854" s="52" t="n">
        <v>40878.7583333333</v>
      </c>
      <c r="C3854" s="1" t="n">
        <v>22</v>
      </c>
      <c r="D3854" s="1" t="n">
        <v>3457.78</v>
      </c>
    </row>
    <row r="3855" customFormat="false" ht="14.25" hidden="false" customHeight="true" outlineLevel="0" collapsed="false">
      <c r="A3855" s="51" t="n">
        <v>17578</v>
      </c>
      <c r="B3855" s="52" t="n">
        <v>40696.4875</v>
      </c>
      <c r="C3855" s="1" t="n">
        <v>2</v>
      </c>
      <c r="D3855" s="1" t="n">
        <v>124.74</v>
      </c>
    </row>
    <row r="3856" customFormat="false" ht="14.25" hidden="false" customHeight="true" outlineLevel="0" collapsed="false">
      <c r="A3856" s="51" t="n">
        <v>17579</v>
      </c>
      <c r="B3856" s="52" t="n">
        <v>40882.5194444444</v>
      </c>
      <c r="C3856" s="1" t="n">
        <v>4</v>
      </c>
      <c r="D3856" s="1" t="n">
        <v>440.2</v>
      </c>
    </row>
    <row r="3857" customFormat="false" ht="14.25" hidden="false" customHeight="true" outlineLevel="0" collapsed="false">
      <c r="A3857" s="51" t="n">
        <v>17580</v>
      </c>
      <c r="B3857" s="52" t="n">
        <v>40634.5284722222</v>
      </c>
      <c r="C3857" s="1" t="n">
        <v>3</v>
      </c>
      <c r="D3857" s="1" t="n">
        <v>215.72</v>
      </c>
    </row>
    <row r="3858" customFormat="false" ht="14.25" hidden="false" customHeight="true" outlineLevel="0" collapsed="false">
      <c r="A3858" s="51" t="n">
        <v>17581</v>
      </c>
      <c r="B3858" s="52" t="n">
        <v>40886.5145833333</v>
      </c>
      <c r="C3858" s="1" t="n">
        <v>31</v>
      </c>
      <c r="D3858" s="1" t="n">
        <v>10736.11</v>
      </c>
    </row>
    <row r="3859" customFormat="false" ht="14.25" hidden="false" customHeight="true" outlineLevel="0" collapsed="false">
      <c r="A3859" s="51" t="n">
        <v>17582</v>
      </c>
      <c r="B3859" s="52" t="n">
        <v>40650.5541666667</v>
      </c>
      <c r="C3859" s="1" t="n">
        <v>1</v>
      </c>
      <c r="D3859" s="1" t="n">
        <v>175.27</v>
      </c>
    </row>
    <row r="3860" customFormat="false" ht="14.25" hidden="false" customHeight="true" outlineLevel="0" collapsed="false">
      <c r="A3860" s="51" t="n">
        <v>17584</v>
      </c>
      <c r="B3860" s="52" t="n">
        <v>40879.7166666667</v>
      </c>
      <c r="C3860" s="1" t="n">
        <v>3</v>
      </c>
      <c r="D3860" s="1" t="n">
        <v>1227.3</v>
      </c>
    </row>
    <row r="3861" customFormat="false" ht="14.25" hidden="false" customHeight="true" outlineLevel="0" collapsed="false">
      <c r="A3861" s="51" t="n">
        <v>17585</v>
      </c>
      <c r="B3861" s="52" t="n">
        <v>40777.5625</v>
      </c>
      <c r="C3861" s="1" t="n">
        <v>4</v>
      </c>
      <c r="D3861" s="1" t="n">
        <v>1133.07</v>
      </c>
    </row>
    <row r="3862" customFormat="false" ht="14.25" hidden="false" customHeight="true" outlineLevel="0" collapsed="false">
      <c r="A3862" s="51" t="n">
        <v>17588</v>
      </c>
      <c r="B3862" s="52" t="n">
        <v>40786.5673611111</v>
      </c>
      <c r="C3862" s="1" t="n">
        <v>3</v>
      </c>
      <c r="D3862" s="1" t="n">
        <v>1240.2</v>
      </c>
    </row>
    <row r="3863" customFormat="false" ht="14.25" hidden="false" customHeight="true" outlineLevel="0" collapsed="false">
      <c r="A3863" s="51" t="n">
        <v>17589</v>
      </c>
      <c r="B3863" s="52" t="n">
        <v>40826.7069444444</v>
      </c>
      <c r="C3863" s="1" t="n">
        <v>4</v>
      </c>
      <c r="D3863" s="1" t="n">
        <v>2404.17</v>
      </c>
    </row>
    <row r="3864" customFormat="false" ht="14.25" hidden="false" customHeight="true" outlineLevel="0" collapsed="false">
      <c r="A3864" s="51" t="n">
        <v>17590</v>
      </c>
      <c r="B3864" s="52" t="n">
        <v>40884.5381944445</v>
      </c>
      <c r="C3864" s="1" t="n">
        <v>3</v>
      </c>
      <c r="D3864" s="1" t="n">
        <v>1479.22</v>
      </c>
    </row>
    <row r="3865" customFormat="false" ht="14.25" hidden="false" customHeight="true" outlineLevel="0" collapsed="false">
      <c r="A3865" s="51" t="n">
        <v>17591</v>
      </c>
      <c r="B3865" s="52" t="n">
        <v>40813.5708333333</v>
      </c>
      <c r="C3865" s="1" t="n">
        <v>8</v>
      </c>
      <c r="D3865" s="1" t="n">
        <v>2215.02</v>
      </c>
    </row>
    <row r="3866" customFormat="false" ht="14.25" hidden="false" customHeight="true" outlineLevel="0" collapsed="false">
      <c r="A3866" s="51" t="n">
        <v>17593</v>
      </c>
      <c r="B3866" s="52" t="n">
        <v>40883.4375</v>
      </c>
      <c r="C3866" s="1" t="n">
        <v>6</v>
      </c>
      <c r="D3866" s="1" t="n">
        <v>3911.56</v>
      </c>
    </row>
    <row r="3867" customFormat="false" ht="14.25" hidden="false" customHeight="true" outlineLevel="0" collapsed="false">
      <c r="A3867" s="51" t="n">
        <v>17594</v>
      </c>
      <c r="B3867" s="52" t="n">
        <v>40801.6902777778</v>
      </c>
      <c r="C3867" s="1" t="n">
        <v>2</v>
      </c>
      <c r="D3867" s="1" t="n">
        <v>993.18</v>
      </c>
    </row>
    <row r="3868" customFormat="false" ht="14.25" hidden="false" customHeight="true" outlineLevel="0" collapsed="false">
      <c r="A3868" s="51" t="n">
        <v>17595</v>
      </c>
      <c r="B3868" s="52" t="n">
        <v>40874.6722222222</v>
      </c>
      <c r="C3868" s="1" t="n">
        <v>2</v>
      </c>
      <c r="D3868" s="1" t="n">
        <v>388.79</v>
      </c>
    </row>
    <row r="3869" customFormat="false" ht="14.25" hidden="false" customHeight="true" outlineLevel="0" collapsed="false">
      <c r="A3869" s="51" t="n">
        <v>17596</v>
      </c>
      <c r="B3869" s="52" t="n">
        <v>40863.5909722222</v>
      </c>
      <c r="C3869" s="1" t="n">
        <v>7</v>
      </c>
      <c r="D3869" s="1" t="n">
        <v>2827.93</v>
      </c>
    </row>
    <row r="3870" customFormat="false" ht="14.25" hidden="false" customHeight="true" outlineLevel="0" collapsed="false">
      <c r="A3870" s="51" t="n">
        <v>17597</v>
      </c>
      <c r="B3870" s="52" t="n">
        <v>40673.4958333333</v>
      </c>
      <c r="C3870" s="1" t="n">
        <v>1</v>
      </c>
      <c r="D3870" s="1" t="n">
        <v>2044.37</v>
      </c>
    </row>
    <row r="3871" customFormat="false" ht="14.25" hidden="false" customHeight="true" outlineLevel="0" collapsed="false">
      <c r="A3871" s="51" t="n">
        <v>17600</v>
      </c>
      <c r="B3871" s="52" t="n">
        <v>40869.4048611111</v>
      </c>
      <c r="C3871" s="1" t="n">
        <v>1</v>
      </c>
      <c r="D3871" s="1" t="n">
        <v>161.67</v>
      </c>
    </row>
    <row r="3872" customFormat="false" ht="14.25" hidden="false" customHeight="true" outlineLevel="0" collapsed="false">
      <c r="A3872" s="51" t="n">
        <v>17601</v>
      </c>
      <c r="B3872" s="52" t="n">
        <v>40647.7513888889</v>
      </c>
      <c r="C3872" s="1" t="n">
        <v>1</v>
      </c>
      <c r="D3872" s="1" t="n">
        <v>116.01</v>
      </c>
    </row>
    <row r="3873" customFormat="false" ht="14.25" hidden="false" customHeight="true" outlineLevel="0" collapsed="false">
      <c r="A3873" s="51" t="n">
        <v>17602</v>
      </c>
      <c r="B3873" s="52" t="n">
        <v>40884.5784722222</v>
      </c>
      <c r="C3873" s="1" t="n">
        <v>8</v>
      </c>
      <c r="D3873" s="1" t="n">
        <v>5050.77</v>
      </c>
    </row>
    <row r="3874" customFormat="false" ht="14.25" hidden="false" customHeight="true" outlineLevel="0" collapsed="false">
      <c r="A3874" s="51" t="n">
        <v>17603</v>
      </c>
      <c r="B3874" s="52" t="n">
        <v>40836.8048611111</v>
      </c>
      <c r="C3874" s="1" t="n">
        <v>5</v>
      </c>
      <c r="D3874" s="1" t="n">
        <v>-1165.3</v>
      </c>
    </row>
    <row r="3875" customFormat="false" ht="14.25" hidden="false" customHeight="true" outlineLevel="0" collapsed="false">
      <c r="A3875" s="51" t="n">
        <v>17604</v>
      </c>
      <c r="B3875" s="52" t="n">
        <v>40669.5715277778</v>
      </c>
      <c r="C3875" s="1" t="n">
        <v>2</v>
      </c>
      <c r="D3875" s="1" t="n">
        <v>309.36</v>
      </c>
    </row>
    <row r="3876" customFormat="false" ht="14.25" hidden="false" customHeight="true" outlineLevel="0" collapsed="false">
      <c r="A3876" s="51" t="n">
        <v>17608</v>
      </c>
      <c r="B3876" s="52" t="n">
        <v>40853.5458333333</v>
      </c>
      <c r="C3876" s="1" t="n">
        <v>2</v>
      </c>
      <c r="D3876" s="1" t="n">
        <v>193.42</v>
      </c>
    </row>
    <row r="3877" customFormat="false" ht="14.25" hidden="false" customHeight="true" outlineLevel="0" collapsed="false">
      <c r="A3877" s="51" t="n">
        <v>17609</v>
      </c>
      <c r="B3877" s="52" t="n">
        <v>40846.5194444444</v>
      </c>
      <c r="C3877" s="1" t="n">
        <v>6</v>
      </c>
      <c r="D3877" s="1" t="n">
        <v>1103.92</v>
      </c>
    </row>
    <row r="3878" customFormat="false" ht="14.25" hidden="false" customHeight="true" outlineLevel="0" collapsed="false">
      <c r="A3878" s="51" t="n">
        <v>17611</v>
      </c>
      <c r="B3878" s="52" t="n">
        <v>40883.4069444445</v>
      </c>
      <c r="C3878" s="1" t="n">
        <v>19</v>
      </c>
      <c r="D3878" s="1" t="n">
        <v>3947.87</v>
      </c>
    </row>
    <row r="3879" customFormat="false" ht="14.25" hidden="false" customHeight="true" outlineLevel="0" collapsed="false">
      <c r="A3879" s="51" t="n">
        <v>17612</v>
      </c>
      <c r="B3879" s="52" t="n">
        <v>40833.6243055556</v>
      </c>
      <c r="C3879" s="1" t="n">
        <v>10</v>
      </c>
      <c r="D3879" s="1" t="n">
        <v>1992.76</v>
      </c>
    </row>
    <row r="3880" customFormat="false" ht="14.25" hidden="false" customHeight="true" outlineLevel="0" collapsed="false">
      <c r="A3880" s="51" t="n">
        <v>17613</v>
      </c>
      <c r="B3880" s="52" t="n">
        <v>40864.4520833333</v>
      </c>
      <c r="C3880" s="1" t="n">
        <v>17</v>
      </c>
      <c r="D3880" s="1" t="n">
        <v>4509.37</v>
      </c>
    </row>
    <row r="3881" customFormat="false" ht="14.25" hidden="false" customHeight="true" outlineLevel="0" collapsed="false">
      <c r="A3881" s="51" t="n">
        <v>17614</v>
      </c>
      <c r="B3881" s="52" t="n">
        <v>40829.6673611111</v>
      </c>
      <c r="C3881" s="1" t="n">
        <v>1</v>
      </c>
      <c r="D3881" s="1" t="n">
        <v>390.07</v>
      </c>
    </row>
    <row r="3882" customFormat="false" ht="14.25" hidden="false" customHeight="true" outlineLevel="0" collapsed="false">
      <c r="A3882" s="51" t="n">
        <v>17615</v>
      </c>
      <c r="B3882" s="52" t="n">
        <v>40756.5875</v>
      </c>
      <c r="C3882" s="1" t="n">
        <v>3</v>
      </c>
      <c r="D3882" s="1" t="n">
        <v>329.6</v>
      </c>
    </row>
    <row r="3883" customFormat="false" ht="14.25" hidden="false" customHeight="true" outlineLevel="0" collapsed="false">
      <c r="A3883" s="51" t="n">
        <v>17616</v>
      </c>
      <c r="B3883" s="52" t="n">
        <v>40713.4243055556</v>
      </c>
      <c r="C3883" s="1" t="n">
        <v>3</v>
      </c>
      <c r="D3883" s="1" t="n">
        <v>571.2</v>
      </c>
    </row>
    <row r="3884" customFormat="false" ht="14.25" hidden="false" customHeight="true" outlineLevel="0" collapsed="false">
      <c r="A3884" s="51" t="n">
        <v>17618</v>
      </c>
      <c r="B3884" s="52" t="n">
        <v>40881.4930555556</v>
      </c>
      <c r="C3884" s="1" t="n">
        <v>3</v>
      </c>
      <c r="D3884" s="1" t="n">
        <v>971.58</v>
      </c>
    </row>
    <row r="3885" customFormat="false" ht="14.25" hidden="false" customHeight="true" outlineLevel="0" collapsed="false">
      <c r="A3885" s="51" t="n">
        <v>17619</v>
      </c>
      <c r="B3885" s="52" t="n">
        <v>40574.5958333333</v>
      </c>
      <c r="C3885" s="1" t="n">
        <v>1</v>
      </c>
      <c r="D3885" s="1" t="n">
        <v>218.52</v>
      </c>
    </row>
    <row r="3886" customFormat="false" ht="14.25" hidden="false" customHeight="true" outlineLevel="0" collapsed="false">
      <c r="A3886" s="51" t="n">
        <v>17620</v>
      </c>
      <c r="B3886" s="52" t="n">
        <v>40827.5055555556</v>
      </c>
      <c r="C3886" s="1" t="n">
        <v>1</v>
      </c>
      <c r="D3886" s="1" t="n">
        <v>81.44</v>
      </c>
    </row>
    <row r="3887" customFormat="false" ht="14.25" hidden="false" customHeight="true" outlineLevel="0" collapsed="false">
      <c r="A3887" s="51" t="n">
        <v>17621</v>
      </c>
      <c r="B3887" s="52" t="n">
        <v>40865.7159722222</v>
      </c>
      <c r="C3887" s="1" t="n">
        <v>4</v>
      </c>
      <c r="D3887" s="1" t="n">
        <v>1336.1</v>
      </c>
    </row>
    <row r="3888" customFormat="false" ht="14.25" hidden="false" customHeight="true" outlineLevel="0" collapsed="false">
      <c r="A3888" s="51" t="n">
        <v>17623</v>
      </c>
      <c r="B3888" s="52" t="n">
        <v>40854.4805555556</v>
      </c>
      <c r="C3888" s="1" t="n">
        <v>1</v>
      </c>
      <c r="D3888" s="1" t="n">
        <v>527.05</v>
      </c>
    </row>
    <row r="3889" customFormat="false" ht="14.25" hidden="false" customHeight="true" outlineLevel="0" collapsed="false">
      <c r="A3889" s="51" t="n">
        <v>17624</v>
      </c>
      <c r="B3889" s="52" t="n">
        <v>40872.4527777778</v>
      </c>
      <c r="C3889" s="1" t="n">
        <v>2</v>
      </c>
      <c r="D3889" s="1" t="n">
        <v>843.48</v>
      </c>
    </row>
    <row r="3890" customFormat="false" ht="14.25" hidden="false" customHeight="true" outlineLevel="0" collapsed="false">
      <c r="A3890" s="51" t="n">
        <v>17625</v>
      </c>
      <c r="B3890" s="52" t="n">
        <v>40868.5666666667</v>
      </c>
      <c r="C3890" s="1" t="n">
        <v>4</v>
      </c>
      <c r="D3890" s="1" t="n">
        <v>2047</v>
      </c>
    </row>
    <row r="3891" customFormat="false" ht="14.25" hidden="false" customHeight="true" outlineLevel="0" collapsed="false">
      <c r="A3891" s="51" t="n">
        <v>17628</v>
      </c>
      <c r="B3891" s="52" t="n">
        <v>40805.6395833333</v>
      </c>
      <c r="C3891" s="1" t="n">
        <v>1</v>
      </c>
      <c r="D3891" s="1" t="n">
        <v>75.75</v>
      </c>
    </row>
    <row r="3892" customFormat="false" ht="14.25" hidden="false" customHeight="true" outlineLevel="0" collapsed="false">
      <c r="A3892" s="51" t="n">
        <v>17629</v>
      </c>
      <c r="B3892" s="52" t="n">
        <v>40881.4555555556</v>
      </c>
      <c r="C3892" s="1" t="n">
        <v>9</v>
      </c>
      <c r="D3892" s="1" t="n">
        <v>1784.12</v>
      </c>
    </row>
    <row r="3893" customFormat="false" ht="14.25" hidden="false" customHeight="true" outlineLevel="0" collapsed="false">
      <c r="A3893" s="51" t="n">
        <v>17630</v>
      </c>
      <c r="B3893" s="52" t="n">
        <v>40717.4986111111</v>
      </c>
      <c r="C3893" s="1" t="n">
        <v>2</v>
      </c>
      <c r="D3893" s="1" t="n">
        <v>503.6</v>
      </c>
    </row>
    <row r="3894" customFormat="false" ht="14.25" hidden="false" customHeight="true" outlineLevel="0" collapsed="false">
      <c r="A3894" s="51" t="n">
        <v>17631</v>
      </c>
      <c r="B3894" s="52" t="n">
        <v>40885.4076388889</v>
      </c>
      <c r="C3894" s="1" t="n">
        <v>3</v>
      </c>
      <c r="D3894" s="1" t="n">
        <v>528.33</v>
      </c>
    </row>
    <row r="3895" customFormat="false" ht="14.25" hidden="false" customHeight="true" outlineLevel="0" collapsed="false">
      <c r="A3895" s="51" t="n">
        <v>17633</v>
      </c>
      <c r="B3895" s="52" t="n">
        <v>40855.5590277778</v>
      </c>
      <c r="C3895" s="1" t="n">
        <v>6</v>
      </c>
      <c r="D3895" s="1" t="n">
        <v>1242.34</v>
      </c>
    </row>
    <row r="3896" customFormat="false" ht="14.25" hidden="false" customHeight="true" outlineLevel="0" collapsed="false">
      <c r="A3896" s="51" t="n">
        <v>17634</v>
      </c>
      <c r="B3896" s="52" t="n">
        <v>40850.5479166667</v>
      </c>
      <c r="C3896" s="1" t="n">
        <v>9</v>
      </c>
      <c r="D3896" s="1" t="n">
        <v>2361.97</v>
      </c>
    </row>
    <row r="3897" customFormat="false" ht="14.25" hidden="false" customHeight="true" outlineLevel="0" collapsed="false">
      <c r="A3897" s="51" t="n">
        <v>17636</v>
      </c>
      <c r="B3897" s="52" t="n">
        <v>40878.3534722222</v>
      </c>
      <c r="C3897" s="1" t="n">
        <v>2</v>
      </c>
      <c r="D3897" s="1" t="n">
        <v>265.93</v>
      </c>
    </row>
    <row r="3898" customFormat="false" ht="14.25" hidden="false" customHeight="true" outlineLevel="0" collapsed="false">
      <c r="A3898" s="51" t="n">
        <v>17637</v>
      </c>
      <c r="B3898" s="52" t="n">
        <v>40855.5354166667</v>
      </c>
      <c r="C3898" s="1" t="n">
        <v>2</v>
      </c>
      <c r="D3898" s="1" t="n">
        <v>547.06</v>
      </c>
    </row>
    <row r="3899" customFormat="false" ht="14.25" hidden="false" customHeight="true" outlineLevel="0" collapsed="false">
      <c r="A3899" s="51" t="n">
        <v>17639</v>
      </c>
      <c r="B3899" s="52" t="n">
        <v>40610.6402777778</v>
      </c>
      <c r="C3899" s="1" t="n">
        <v>1</v>
      </c>
      <c r="D3899" s="1" t="n">
        <v>108.5</v>
      </c>
    </row>
    <row r="3900" customFormat="false" ht="14.25" hidden="false" customHeight="true" outlineLevel="0" collapsed="false">
      <c r="A3900" s="51" t="n">
        <v>17640</v>
      </c>
      <c r="B3900" s="52" t="n">
        <v>40800.3840277778</v>
      </c>
      <c r="C3900" s="1" t="n">
        <v>1</v>
      </c>
      <c r="D3900" s="1" t="n">
        <v>621.66</v>
      </c>
    </row>
    <row r="3901" customFormat="false" ht="14.25" hidden="false" customHeight="true" outlineLevel="0" collapsed="false">
      <c r="A3901" s="51" t="n">
        <v>17642</v>
      </c>
      <c r="B3901" s="52" t="n">
        <v>40767.3826388889</v>
      </c>
      <c r="C3901" s="1" t="n">
        <v>2</v>
      </c>
      <c r="D3901" s="1" t="n">
        <v>712.29</v>
      </c>
    </row>
    <row r="3902" customFormat="false" ht="14.25" hidden="false" customHeight="true" outlineLevel="0" collapsed="false">
      <c r="A3902" s="51" t="n">
        <v>17643</v>
      </c>
      <c r="B3902" s="52" t="n">
        <v>40513.6097222222</v>
      </c>
      <c r="C3902" s="1" t="n">
        <v>1</v>
      </c>
      <c r="D3902" s="1" t="n">
        <v>101.55</v>
      </c>
    </row>
    <row r="3903" customFormat="false" ht="14.25" hidden="false" customHeight="true" outlineLevel="0" collapsed="false">
      <c r="A3903" s="51" t="n">
        <v>17644</v>
      </c>
      <c r="B3903" s="52" t="n">
        <v>40885.5715277778</v>
      </c>
      <c r="C3903" s="1" t="n">
        <v>17</v>
      </c>
      <c r="D3903" s="1" t="n">
        <v>2768.98</v>
      </c>
    </row>
    <row r="3904" customFormat="false" ht="14.25" hidden="false" customHeight="true" outlineLevel="0" collapsed="false">
      <c r="A3904" s="51" t="n">
        <v>17646</v>
      </c>
      <c r="B3904" s="52" t="n">
        <v>40667.5534722222</v>
      </c>
      <c r="C3904" s="1" t="n">
        <v>4</v>
      </c>
      <c r="D3904" s="1" t="n">
        <v>995.66</v>
      </c>
    </row>
    <row r="3905" customFormat="false" ht="14.25" hidden="false" customHeight="true" outlineLevel="0" collapsed="false">
      <c r="A3905" s="51" t="n">
        <v>17647</v>
      </c>
      <c r="B3905" s="52" t="n">
        <v>40821.6513888889</v>
      </c>
      <c r="C3905" s="1" t="n">
        <v>1</v>
      </c>
      <c r="D3905" s="1" t="n">
        <v>133.06</v>
      </c>
    </row>
    <row r="3906" customFormat="false" ht="14.25" hidden="false" customHeight="true" outlineLevel="0" collapsed="false">
      <c r="A3906" s="51" t="n">
        <v>17648</v>
      </c>
      <c r="B3906" s="52" t="n">
        <v>40826.4034722222</v>
      </c>
      <c r="C3906" s="1" t="n">
        <v>5</v>
      </c>
      <c r="D3906" s="1" t="n">
        <v>1789.55</v>
      </c>
    </row>
    <row r="3907" customFormat="false" ht="14.25" hidden="false" customHeight="true" outlineLevel="0" collapsed="false">
      <c r="A3907" s="51" t="n">
        <v>17649</v>
      </c>
      <c r="B3907" s="52" t="n">
        <v>40752.4513888889</v>
      </c>
      <c r="C3907" s="1" t="n">
        <v>2</v>
      </c>
      <c r="D3907" s="1" t="n">
        <v>861.74</v>
      </c>
    </row>
    <row r="3908" customFormat="false" ht="14.25" hidden="false" customHeight="true" outlineLevel="0" collapsed="false">
      <c r="A3908" s="51" t="n">
        <v>17650</v>
      </c>
      <c r="B3908" s="52" t="n">
        <v>40865.6194444444</v>
      </c>
      <c r="C3908" s="1" t="n">
        <v>1</v>
      </c>
      <c r="D3908" s="1" t="n">
        <v>166.08</v>
      </c>
    </row>
    <row r="3909" customFormat="false" ht="14.25" hidden="false" customHeight="true" outlineLevel="0" collapsed="false">
      <c r="A3909" s="51" t="n">
        <v>17651</v>
      </c>
      <c r="B3909" s="52" t="n">
        <v>40875.4368055556</v>
      </c>
      <c r="C3909" s="1" t="n">
        <v>14</v>
      </c>
      <c r="D3909" s="1" t="n">
        <v>3886.67</v>
      </c>
    </row>
    <row r="3910" customFormat="false" ht="14.25" hidden="false" customHeight="true" outlineLevel="0" collapsed="false">
      <c r="A3910" s="51" t="n">
        <v>17652</v>
      </c>
      <c r="B3910" s="52" t="n">
        <v>40861.5381944445</v>
      </c>
      <c r="C3910" s="1" t="n">
        <v>18</v>
      </c>
      <c r="D3910" s="1" t="n">
        <v>4737.13</v>
      </c>
    </row>
    <row r="3911" customFormat="false" ht="14.25" hidden="false" customHeight="true" outlineLevel="0" collapsed="false">
      <c r="A3911" s="51" t="n">
        <v>17653</v>
      </c>
      <c r="B3911" s="52" t="n">
        <v>40857.6013888889</v>
      </c>
      <c r="C3911" s="1" t="n">
        <v>5</v>
      </c>
      <c r="D3911" s="1" t="n">
        <v>1175.88</v>
      </c>
    </row>
    <row r="3912" customFormat="false" ht="14.25" hidden="false" customHeight="true" outlineLevel="0" collapsed="false">
      <c r="A3912" s="51" t="n">
        <v>17654</v>
      </c>
      <c r="B3912" s="52" t="n">
        <v>40609.5534722222</v>
      </c>
      <c r="C3912" s="1" t="n">
        <v>1</v>
      </c>
      <c r="D3912" s="1" t="n">
        <v>117.55</v>
      </c>
    </row>
    <row r="3913" customFormat="false" ht="14.25" hidden="false" customHeight="true" outlineLevel="0" collapsed="false">
      <c r="A3913" s="51" t="n">
        <v>17655</v>
      </c>
      <c r="B3913" s="52" t="n">
        <v>40876.4819444444</v>
      </c>
      <c r="C3913" s="1" t="n">
        <v>8</v>
      </c>
      <c r="D3913" s="1" t="n">
        <v>2571.74</v>
      </c>
    </row>
    <row r="3914" customFormat="false" ht="14.25" hidden="false" customHeight="true" outlineLevel="0" collapsed="false">
      <c r="A3914" s="51" t="n">
        <v>17656</v>
      </c>
      <c r="B3914" s="52" t="n">
        <v>40813.5444444444</v>
      </c>
      <c r="C3914" s="1" t="n">
        <v>5</v>
      </c>
      <c r="D3914" s="1" t="n">
        <v>1674.69</v>
      </c>
    </row>
    <row r="3915" customFormat="false" ht="14.25" hidden="false" customHeight="true" outlineLevel="0" collapsed="false">
      <c r="A3915" s="51" t="n">
        <v>17658</v>
      </c>
      <c r="B3915" s="52" t="n">
        <v>40876.4909722222</v>
      </c>
      <c r="C3915" s="1" t="n">
        <v>3</v>
      </c>
      <c r="D3915" s="1" t="n">
        <v>485.88</v>
      </c>
    </row>
    <row r="3916" customFormat="false" ht="14.25" hidden="false" customHeight="true" outlineLevel="0" collapsed="false">
      <c r="A3916" s="51" t="n">
        <v>17659</v>
      </c>
      <c r="B3916" s="52" t="n">
        <v>40883.3951388889</v>
      </c>
      <c r="C3916" s="1" t="n">
        <v>14</v>
      </c>
      <c r="D3916" s="1" t="n">
        <v>2954.75</v>
      </c>
    </row>
    <row r="3917" customFormat="false" ht="14.25" hidden="false" customHeight="true" outlineLevel="0" collapsed="false">
      <c r="A3917" s="51" t="n">
        <v>17660</v>
      </c>
      <c r="B3917" s="52" t="n">
        <v>40745.5673611111</v>
      </c>
      <c r="C3917" s="1" t="n">
        <v>1</v>
      </c>
      <c r="D3917" s="1" t="n">
        <v>196</v>
      </c>
    </row>
    <row r="3918" customFormat="false" ht="14.25" hidden="false" customHeight="true" outlineLevel="0" collapsed="false">
      <c r="A3918" s="51" t="n">
        <v>17663</v>
      </c>
      <c r="B3918" s="52" t="n">
        <v>40861.3722222222</v>
      </c>
      <c r="C3918" s="1" t="n">
        <v>9</v>
      </c>
      <c r="D3918" s="1" t="n">
        <v>1788.27</v>
      </c>
    </row>
    <row r="3919" customFormat="false" ht="14.25" hidden="false" customHeight="true" outlineLevel="0" collapsed="false">
      <c r="A3919" s="51" t="n">
        <v>17664</v>
      </c>
      <c r="B3919" s="52" t="n">
        <v>40868.4784722222</v>
      </c>
      <c r="C3919" s="1" t="n">
        <v>2</v>
      </c>
      <c r="D3919" s="1" t="n">
        <v>604.64</v>
      </c>
    </row>
    <row r="3920" customFormat="false" ht="14.25" hidden="false" customHeight="true" outlineLevel="0" collapsed="false">
      <c r="A3920" s="51" t="n">
        <v>17666</v>
      </c>
      <c r="B3920" s="52" t="n">
        <v>40883.3791666667</v>
      </c>
      <c r="C3920" s="1" t="n">
        <v>2</v>
      </c>
      <c r="D3920" s="1" t="n">
        <v>728.16</v>
      </c>
    </row>
    <row r="3921" customFormat="false" ht="14.25" hidden="false" customHeight="true" outlineLevel="0" collapsed="false">
      <c r="A3921" s="51" t="n">
        <v>17667</v>
      </c>
      <c r="B3921" s="52" t="n">
        <v>40820.6055555556</v>
      </c>
      <c r="C3921" s="1" t="n">
        <v>5</v>
      </c>
      <c r="D3921" s="1" t="n">
        <v>2055.51</v>
      </c>
    </row>
    <row r="3922" customFormat="false" ht="14.25" hidden="false" customHeight="true" outlineLevel="0" collapsed="false">
      <c r="A3922" s="51" t="n">
        <v>17668</v>
      </c>
      <c r="B3922" s="52" t="n">
        <v>40885.5590277778</v>
      </c>
      <c r="C3922" s="1" t="n">
        <v>2</v>
      </c>
      <c r="D3922" s="1" t="n">
        <v>347.75</v>
      </c>
    </row>
    <row r="3923" customFormat="false" ht="14.25" hidden="false" customHeight="true" outlineLevel="0" collapsed="false">
      <c r="A3923" s="51" t="n">
        <v>17669</v>
      </c>
      <c r="B3923" s="52" t="n">
        <v>40844.3701388889</v>
      </c>
      <c r="C3923" s="1" t="n">
        <v>7</v>
      </c>
      <c r="D3923" s="1" t="n">
        <v>3406.72</v>
      </c>
    </row>
    <row r="3924" customFormat="false" ht="14.25" hidden="false" customHeight="true" outlineLevel="0" collapsed="false">
      <c r="A3924" s="51" t="n">
        <v>17670</v>
      </c>
      <c r="B3924" s="52" t="n">
        <v>40659.3833333333</v>
      </c>
      <c r="C3924" s="1" t="n">
        <v>1</v>
      </c>
      <c r="D3924" s="1" t="n">
        <v>205.7</v>
      </c>
    </row>
    <row r="3925" customFormat="false" ht="14.25" hidden="false" customHeight="true" outlineLevel="0" collapsed="false">
      <c r="A3925" s="51" t="n">
        <v>17671</v>
      </c>
      <c r="B3925" s="52" t="n">
        <v>40871.5145833333</v>
      </c>
      <c r="C3925" s="1" t="n">
        <v>6</v>
      </c>
      <c r="D3925" s="1" t="n">
        <v>1284.08</v>
      </c>
    </row>
    <row r="3926" customFormat="false" ht="14.25" hidden="false" customHeight="true" outlineLevel="0" collapsed="false">
      <c r="A3926" s="51" t="n">
        <v>17672</v>
      </c>
      <c r="B3926" s="52" t="n">
        <v>40843.4555555556</v>
      </c>
      <c r="C3926" s="1" t="n">
        <v>4</v>
      </c>
      <c r="D3926" s="1" t="n">
        <v>3106.62</v>
      </c>
    </row>
    <row r="3927" customFormat="false" ht="14.25" hidden="false" customHeight="true" outlineLevel="0" collapsed="false">
      <c r="A3927" s="51" t="n">
        <v>17673</v>
      </c>
      <c r="B3927" s="52" t="n">
        <v>40885.5458333333</v>
      </c>
      <c r="C3927" s="1" t="n">
        <v>7</v>
      </c>
      <c r="D3927" s="1" t="n">
        <v>1622.22</v>
      </c>
    </row>
    <row r="3928" customFormat="false" ht="14.25" hidden="false" customHeight="true" outlineLevel="0" collapsed="false">
      <c r="A3928" s="51" t="n">
        <v>17674</v>
      </c>
      <c r="B3928" s="52" t="n">
        <v>40812.5659722222</v>
      </c>
      <c r="C3928" s="1" t="n">
        <v>2</v>
      </c>
      <c r="D3928" s="1" t="n">
        <v>551.04</v>
      </c>
    </row>
    <row r="3929" customFormat="false" ht="14.25" hidden="false" customHeight="true" outlineLevel="0" collapsed="false">
      <c r="A3929" s="51" t="n">
        <v>17675</v>
      </c>
      <c r="B3929" s="52" t="n">
        <v>40885.7520833333</v>
      </c>
      <c r="C3929" s="1" t="n">
        <v>41</v>
      </c>
      <c r="D3929" s="1" t="n">
        <v>20098.1</v>
      </c>
    </row>
    <row r="3930" customFormat="false" ht="14.25" hidden="false" customHeight="true" outlineLevel="0" collapsed="false">
      <c r="A3930" s="51" t="n">
        <v>17676</v>
      </c>
      <c r="B3930" s="52" t="n">
        <v>40882.6361111111</v>
      </c>
      <c r="C3930" s="1" t="n">
        <v>7</v>
      </c>
      <c r="D3930" s="1" t="n">
        <v>1383.27</v>
      </c>
    </row>
    <row r="3931" customFormat="false" ht="14.25" hidden="false" customHeight="true" outlineLevel="0" collapsed="false">
      <c r="A3931" s="51" t="n">
        <v>17677</v>
      </c>
      <c r="B3931" s="52" t="n">
        <v>40885.4138888889</v>
      </c>
      <c r="C3931" s="1" t="n">
        <v>43</v>
      </c>
      <c r="D3931" s="1" t="n">
        <v>16219.22</v>
      </c>
    </row>
    <row r="3932" customFormat="false" ht="14.25" hidden="false" customHeight="true" outlineLevel="0" collapsed="false">
      <c r="A3932" s="51" t="n">
        <v>17678</v>
      </c>
      <c r="B3932" s="52" t="n">
        <v>40623.4944444444</v>
      </c>
      <c r="C3932" s="1" t="n">
        <v>1</v>
      </c>
      <c r="D3932" s="1" t="n">
        <v>298.11</v>
      </c>
    </row>
    <row r="3933" customFormat="false" ht="14.25" hidden="false" customHeight="true" outlineLevel="0" collapsed="false">
      <c r="A3933" s="51" t="n">
        <v>17679</v>
      </c>
      <c r="B3933" s="52" t="n">
        <v>40834.3215277778</v>
      </c>
      <c r="C3933" s="1" t="n">
        <v>2</v>
      </c>
      <c r="D3933" s="1" t="n">
        <v>1992.11</v>
      </c>
    </row>
    <row r="3934" customFormat="false" ht="14.25" hidden="false" customHeight="true" outlineLevel="0" collapsed="false">
      <c r="A3934" s="51" t="n">
        <v>17680</v>
      </c>
      <c r="B3934" s="52" t="n">
        <v>40863.5291666667</v>
      </c>
      <c r="C3934" s="1" t="n">
        <v>1</v>
      </c>
      <c r="D3934" s="1" t="n">
        <v>184.4</v>
      </c>
    </row>
    <row r="3935" customFormat="false" ht="14.25" hidden="false" customHeight="true" outlineLevel="0" collapsed="false">
      <c r="A3935" s="51" t="n">
        <v>17682</v>
      </c>
      <c r="B3935" s="52" t="n">
        <v>40876.6659722222</v>
      </c>
      <c r="C3935" s="1" t="n">
        <v>7</v>
      </c>
      <c r="D3935" s="1" t="n">
        <v>2459.33</v>
      </c>
    </row>
    <row r="3936" customFormat="false" ht="14.25" hidden="false" customHeight="true" outlineLevel="0" collapsed="false">
      <c r="A3936" s="51" t="n">
        <v>17684</v>
      </c>
      <c r="B3936" s="52" t="n">
        <v>40843.4652777778</v>
      </c>
      <c r="C3936" s="1" t="n">
        <v>1</v>
      </c>
      <c r="D3936" s="1" t="n">
        <v>239.41</v>
      </c>
    </row>
    <row r="3937" customFormat="false" ht="14.25" hidden="false" customHeight="true" outlineLevel="0" collapsed="false">
      <c r="A3937" s="51" t="n">
        <v>17685</v>
      </c>
      <c r="B3937" s="52" t="n">
        <v>40870.4833333333</v>
      </c>
      <c r="C3937" s="1" t="n">
        <v>7</v>
      </c>
      <c r="D3937" s="1" t="n">
        <v>3191.53</v>
      </c>
    </row>
    <row r="3938" customFormat="false" ht="14.25" hidden="false" customHeight="true" outlineLevel="0" collapsed="false">
      <c r="A3938" s="51" t="n">
        <v>17686</v>
      </c>
      <c r="B3938" s="52" t="n">
        <v>40879.6520833333</v>
      </c>
      <c r="C3938" s="1" t="n">
        <v>7</v>
      </c>
      <c r="D3938" s="1" t="n">
        <v>5739.46000000001</v>
      </c>
    </row>
    <row r="3939" customFormat="false" ht="14.25" hidden="false" customHeight="true" outlineLevel="0" collapsed="false">
      <c r="A3939" s="51" t="n">
        <v>17690</v>
      </c>
      <c r="B3939" s="52" t="n">
        <v>40856.6368055556</v>
      </c>
      <c r="C3939" s="1" t="n">
        <v>16</v>
      </c>
      <c r="D3939" s="1" t="n">
        <v>4748.45</v>
      </c>
    </row>
    <row r="3940" customFormat="false" ht="14.25" hidden="false" customHeight="true" outlineLevel="0" collapsed="false">
      <c r="A3940" s="51" t="n">
        <v>17691</v>
      </c>
      <c r="B3940" s="52" t="n">
        <v>40528.7222222222</v>
      </c>
      <c r="C3940" s="1" t="n">
        <v>2</v>
      </c>
      <c r="D3940" s="1" t="n">
        <v>290.4</v>
      </c>
    </row>
    <row r="3941" customFormat="false" ht="14.25" hidden="false" customHeight="true" outlineLevel="0" collapsed="false">
      <c r="A3941" s="51" t="n">
        <v>17692</v>
      </c>
      <c r="B3941" s="52" t="n">
        <v>40759.5840277778</v>
      </c>
      <c r="C3941" s="1" t="n">
        <v>5</v>
      </c>
      <c r="D3941" s="1" t="n">
        <v>733.44</v>
      </c>
    </row>
    <row r="3942" customFormat="false" ht="14.25" hidden="false" customHeight="true" outlineLevel="0" collapsed="false">
      <c r="A3942" s="51" t="n">
        <v>17693</v>
      </c>
      <c r="B3942" s="52" t="n">
        <v>40750.7166666667</v>
      </c>
      <c r="C3942" s="1" t="n">
        <v>3</v>
      </c>
      <c r="D3942" s="1" t="n">
        <v>187.02</v>
      </c>
    </row>
    <row r="3943" customFormat="false" ht="14.25" hidden="false" customHeight="true" outlineLevel="0" collapsed="false">
      <c r="A3943" s="51" t="n">
        <v>17694</v>
      </c>
      <c r="B3943" s="52" t="n">
        <v>40745.5</v>
      </c>
      <c r="C3943" s="1" t="n">
        <v>1</v>
      </c>
      <c r="D3943" s="1" t="n">
        <v>283.12</v>
      </c>
    </row>
    <row r="3944" customFormat="false" ht="14.25" hidden="false" customHeight="true" outlineLevel="0" collapsed="false">
      <c r="A3944" s="51" t="n">
        <v>17695</v>
      </c>
      <c r="B3944" s="52" t="n">
        <v>40755.4444444445</v>
      </c>
      <c r="C3944" s="1" t="n">
        <v>2</v>
      </c>
      <c r="D3944" s="1" t="n">
        <v>765.34</v>
      </c>
    </row>
    <row r="3945" customFormat="false" ht="14.25" hidden="false" customHeight="true" outlineLevel="0" collapsed="false">
      <c r="A3945" s="51" t="n">
        <v>17696</v>
      </c>
      <c r="B3945" s="52" t="n">
        <v>40848.5715277778</v>
      </c>
      <c r="C3945" s="1" t="n">
        <v>14</v>
      </c>
      <c r="D3945" s="1" t="n">
        <v>2201.05</v>
      </c>
    </row>
    <row r="3946" customFormat="false" ht="14.25" hidden="false" customHeight="true" outlineLevel="0" collapsed="false">
      <c r="A3946" s="51" t="n">
        <v>17697</v>
      </c>
      <c r="B3946" s="52" t="n">
        <v>40650.6527777778</v>
      </c>
      <c r="C3946" s="1" t="n">
        <v>1</v>
      </c>
      <c r="D3946" s="1" t="n">
        <v>338.95</v>
      </c>
    </row>
    <row r="3947" customFormat="false" ht="14.25" hidden="false" customHeight="true" outlineLevel="0" collapsed="false">
      <c r="A3947" s="51" t="n">
        <v>17698</v>
      </c>
      <c r="B3947" s="52" t="n">
        <v>40626.4819444444</v>
      </c>
      <c r="C3947" s="1" t="n">
        <v>1</v>
      </c>
      <c r="D3947" s="1" t="n">
        <v>154.95</v>
      </c>
    </row>
    <row r="3948" customFormat="false" ht="14.25" hidden="false" customHeight="true" outlineLevel="0" collapsed="false">
      <c r="A3948" s="51" t="n">
        <v>17700</v>
      </c>
      <c r="B3948" s="52" t="n">
        <v>40870.49375</v>
      </c>
      <c r="C3948" s="1" t="n">
        <v>6</v>
      </c>
      <c r="D3948" s="1" t="n">
        <v>2508.89</v>
      </c>
    </row>
    <row r="3949" customFormat="false" ht="14.25" hidden="false" customHeight="true" outlineLevel="0" collapsed="false">
      <c r="A3949" s="51" t="n">
        <v>17701</v>
      </c>
      <c r="B3949" s="52" t="n">
        <v>40634.5173611111</v>
      </c>
      <c r="C3949" s="1" t="n">
        <v>1</v>
      </c>
      <c r="D3949" s="1" t="n">
        <v>417.95</v>
      </c>
    </row>
    <row r="3950" customFormat="false" ht="14.25" hidden="false" customHeight="true" outlineLevel="0" collapsed="false">
      <c r="A3950" s="51" t="n">
        <v>17702</v>
      </c>
      <c r="B3950" s="52" t="n">
        <v>40856.66875</v>
      </c>
      <c r="C3950" s="1" t="n">
        <v>6</v>
      </c>
      <c r="D3950" s="1" t="n">
        <v>1719.72</v>
      </c>
    </row>
    <row r="3951" customFormat="false" ht="14.25" hidden="false" customHeight="true" outlineLevel="0" collapsed="false">
      <c r="A3951" s="51" t="n">
        <v>17703</v>
      </c>
      <c r="B3951" s="52" t="n">
        <v>40851.6604166667</v>
      </c>
      <c r="C3951" s="1" t="n">
        <v>3</v>
      </c>
      <c r="D3951" s="1" t="n">
        <v>798.74</v>
      </c>
    </row>
    <row r="3952" customFormat="false" ht="14.25" hidden="false" customHeight="true" outlineLevel="0" collapsed="false">
      <c r="A3952" s="51" t="n">
        <v>17704</v>
      </c>
      <c r="B3952" s="52" t="n">
        <v>40718.4027777778</v>
      </c>
      <c r="C3952" s="1" t="n">
        <v>2</v>
      </c>
      <c r="D3952" s="1" t="n">
        <v>885.19</v>
      </c>
    </row>
    <row r="3953" customFormat="false" ht="14.25" hidden="false" customHeight="true" outlineLevel="0" collapsed="false">
      <c r="A3953" s="51" t="n">
        <v>17705</v>
      </c>
      <c r="B3953" s="52" t="n">
        <v>40883.5729166667</v>
      </c>
      <c r="C3953" s="1" t="n">
        <v>10</v>
      </c>
      <c r="D3953" s="1" t="n">
        <v>1781.12</v>
      </c>
    </row>
    <row r="3954" customFormat="false" ht="14.25" hidden="false" customHeight="true" outlineLevel="0" collapsed="false">
      <c r="A3954" s="51" t="n">
        <v>17706</v>
      </c>
      <c r="B3954" s="52" t="n">
        <v>40882.5652777778</v>
      </c>
      <c r="C3954" s="1" t="n">
        <v>22</v>
      </c>
      <c r="D3954" s="1" t="n">
        <v>10097.37</v>
      </c>
    </row>
    <row r="3955" customFormat="false" ht="14.25" hidden="false" customHeight="true" outlineLevel="0" collapsed="false">
      <c r="A3955" s="51" t="n">
        <v>17707</v>
      </c>
      <c r="B3955" s="52" t="n">
        <v>40701.6270833333</v>
      </c>
      <c r="C3955" s="1" t="n">
        <v>2</v>
      </c>
      <c r="D3955" s="1" t="n">
        <v>152.4</v>
      </c>
    </row>
    <row r="3956" customFormat="false" ht="14.25" hidden="false" customHeight="true" outlineLevel="0" collapsed="false">
      <c r="A3956" s="51" t="n">
        <v>17708</v>
      </c>
      <c r="B3956" s="52" t="n">
        <v>40699.425</v>
      </c>
      <c r="C3956" s="1" t="n">
        <v>2</v>
      </c>
      <c r="D3956" s="1" t="n">
        <v>267.08</v>
      </c>
    </row>
    <row r="3957" customFormat="false" ht="14.25" hidden="false" customHeight="true" outlineLevel="0" collapsed="false">
      <c r="A3957" s="51" t="n">
        <v>17709</v>
      </c>
      <c r="B3957" s="52" t="n">
        <v>40717.4965277778</v>
      </c>
      <c r="C3957" s="1" t="n">
        <v>1</v>
      </c>
      <c r="D3957" s="1" t="n">
        <v>137.45</v>
      </c>
    </row>
    <row r="3958" customFormat="false" ht="14.25" hidden="false" customHeight="true" outlineLevel="0" collapsed="false">
      <c r="A3958" s="51" t="n">
        <v>17711</v>
      </c>
      <c r="B3958" s="52" t="n">
        <v>40876.4861111111</v>
      </c>
      <c r="C3958" s="1" t="n">
        <v>2</v>
      </c>
      <c r="D3958" s="1" t="n">
        <v>385.1</v>
      </c>
    </row>
    <row r="3959" customFormat="false" ht="14.25" hidden="false" customHeight="true" outlineLevel="0" collapsed="false">
      <c r="A3959" s="51" t="n">
        <v>17712</v>
      </c>
      <c r="B3959" s="52" t="n">
        <v>40842.5194444444</v>
      </c>
      <c r="C3959" s="1" t="n">
        <v>1</v>
      </c>
      <c r="D3959" s="1" t="n">
        <v>522.91</v>
      </c>
    </row>
    <row r="3960" customFormat="false" ht="14.25" hidden="false" customHeight="true" outlineLevel="0" collapsed="false">
      <c r="A3960" s="51" t="n">
        <v>17714</v>
      </c>
      <c r="B3960" s="52" t="n">
        <v>40566.4388888889</v>
      </c>
      <c r="C3960" s="1" t="n">
        <v>1</v>
      </c>
      <c r="D3960" s="1" t="n">
        <v>153</v>
      </c>
    </row>
    <row r="3961" customFormat="false" ht="14.25" hidden="false" customHeight="true" outlineLevel="0" collapsed="false">
      <c r="A3961" s="51" t="n">
        <v>17715</v>
      </c>
      <c r="B3961" s="52" t="n">
        <v>40686.5222222222</v>
      </c>
      <c r="C3961" s="1" t="n">
        <v>1</v>
      </c>
      <c r="D3961" s="1" t="n">
        <v>326.4</v>
      </c>
    </row>
    <row r="3962" customFormat="false" ht="14.25" hidden="false" customHeight="true" outlineLevel="0" collapsed="false">
      <c r="A3962" s="51" t="n">
        <v>17716</v>
      </c>
      <c r="B3962" s="52" t="n">
        <v>40864.5</v>
      </c>
      <c r="C3962" s="1" t="n">
        <v>12</v>
      </c>
      <c r="D3962" s="1" t="n">
        <v>5505.79</v>
      </c>
    </row>
    <row r="3963" customFormat="false" ht="14.25" hidden="false" customHeight="true" outlineLevel="0" collapsed="false">
      <c r="A3963" s="51" t="n">
        <v>17718</v>
      </c>
      <c r="B3963" s="52" t="n">
        <v>40654.56875</v>
      </c>
      <c r="C3963" s="1" t="n">
        <v>1</v>
      </c>
      <c r="D3963" s="1" t="n">
        <v>139.35</v>
      </c>
    </row>
    <row r="3964" customFormat="false" ht="14.25" hidden="false" customHeight="true" outlineLevel="0" collapsed="false">
      <c r="A3964" s="51" t="n">
        <v>17719</v>
      </c>
      <c r="B3964" s="52" t="n">
        <v>40849.4416666667</v>
      </c>
      <c r="C3964" s="1" t="n">
        <v>18</v>
      </c>
      <c r="D3964" s="1" t="n">
        <v>5367.8</v>
      </c>
    </row>
    <row r="3965" customFormat="false" ht="14.25" hidden="false" customHeight="true" outlineLevel="0" collapsed="false">
      <c r="A3965" s="51" t="n">
        <v>17720</v>
      </c>
      <c r="B3965" s="52" t="n">
        <v>40860.6277777778</v>
      </c>
      <c r="C3965" s="1" t="n">
        <v>4</v>
      </c>
      <c r="D3965" s="1" t="n">
        <v>1195.94</v>
      </c>
    </row>
    <row r="3966" customFormat="false" ht="14.25" hidden="false" customHeight="true" outlineLevel="0" collapsed="false">
      <c r="A3966" s="51" t="n">
        <v>17722</v>
      </c>
      <c r="B3966" s="52" t="n">
        <v>40790.6402777778</v>
      </c>
      <c r="C3966" s="1" t="n">
        <v>6</v>
      </c>
      <c r="D3966" s="1" t="n">
        <v>2380.64</v>
      </c>
    </row>
    <row r="3967" customFormat="false" ht="14.25" hidden="false" customHeight="true" outlineLevel="0" collapsed="false">
      <c r="A3967" s="51" t="n">
        <v>17723</v>
      </c>
      <c r="B3967" s="52" t="n">
        <v>40759.7756944444</v>
      </c>
      <c r="C3967" s="1" t="n">
        <v>6</v>
      </c>
      <c r="D3967" s="1" t="n">
        <v>3276.4</v>
      </c>
    </row>
    <row r="3968" customFormat="false" ht="14.25" hidden="false" customHeight="true" outlineLevel="0" collapsed="false">
      <c r="A3968" s="51" t="n">
        <v>17724</v>
      </c>
      <c r="B3968" s="52" t="n">
        <v>40829.4534722222</v>
      </c>
      <c r="C3968" s="1" t="n">
        <v>4</v>
      </c>
      <c r="D3968" s="1" t="n">
        <v>995.65</v>
      </c>
    </row>
    <row r="3969" customFormat="false" ht="14.25" hidden="false" customHeight="true" outlineLevel="0" collapsed="false">
      <c r="A3969" s="51" t="n">
        <v>17725</v>
      </c>
      <c r="B3969" s="52" t="n">
        <v>40870.6902777778</v>
      </c>
      <c r="C3969" s="1" t="n">
        <v>14</v>
      </c>
      <c r="D3969" s="1" t="n">
        <v>3371.13</v>
      </c>
    </row>
    <row r="3970" customFormat="false" ht="14.25" hidden="false" customHeight="true" outlineLevel="0" collapsed="false">
      <c r="A3970" s="51" t="n">
        <v>17727</v>
      </c>
      <c r="B3970" s="52" t="n">
        <v>40877.6395833333</v>
      </c>
      <c r="C3970" s="1" t="n">
        <v>2</v>
      </c>
      <c r="D3970" s="1" t="n">
        <v>1042.55</v>
      </c>
    </row>
    <row r="3971" customFormat="false" ht="14.25" hidden="false" customHeight="true" outlineLevel="0" collapsed="false">
      <c r="A3971" s="51" t="n">
        <v>17728</v>
      </c>
      <c r="B3971" s="52" t="n">
        <v>40883.3694444444</v>
      </c>
      <c r="C3971" s="1" t="n">
        <v>5</v>
      </c>
      <c r="D3971" s="1" t="n">
        <v>2515.68</v>
      </c>
    </row>
    <row r="3972" customFormat="false" ht="14.25" hidden="false" customHeight="true" outlineLevel="0" collapsed="false">
      <c r="A3972" s="51" t="n">
        <v>17730</v>
      </c>
      <c r="B3972" s="52" t="n">
        <v>40883.6548611111</v>
      </c>
      <c r="C3972" s="1" t="n">
        <v>15</v>
      </c>
      <c r="D3972" s="1" t="n">
        <v>5288.83</v>
      </c>
    </row>
    <row r="3973" customFormat="false" ht="14.25" hidden="false" customHeight="true" outlineLevel="0" collapsed="false">
      <c r="A3973" s="51" t="n">
        <v>17731</v>
      </c>
      <c r="B3973" s="52" t="n">
        <v>40807.6263888889</v>
      </c>
      <c r="C3973" s="1" t="n">
        <v>5</v>
      </c>
      <c r="D3973" s="1" t="n">
        <v>878.2</v>
      </c>
    </row>
    <row r="3974" customFormat="false" ht="14.25" hidden="false" customHeight="true" outlineLevel="0" collapsed="false">
      <c r="A3974" s="51" t="n">
        <v>17732</v>
      </c>
      <c r="B3974" s="52" t="n">
        <v>40514.3951388889</v>
      </c>
      <c r="C3974" s="1" t="n">
        <v>1</v>
      </c>
      <c r="D3974" s="1" t="n">
        <v>303.97</v>
      </c>
    </row>
    <row r="3975" customFormat="false" ht="14.25" hidden="false" customHeight="true" outlineLevel="0" collapsed="false">
      <c r="A3975" s="51" t="n">
        <v>17733</v>
      </c>
      <c r="B3975" s="52" t="n">
        <v>40848.3444444445</v>
      </c>
      <c r="C3975" s="1" t="n">
        <v>2</v>
      </c>
      <c r="D3975" s="1" t="n">
        <v>692.19</v>
      </c>
    </row>
    <row r="3976" customFormat="false" ht="14.25" hidden="false" customHeight="true" outlineLevel="0" collapsed="false">
      <c r="A3976" s="51" t="n">
        <v>17734</v>
      </c>
      <c r="B3976" s="52" t="n">
        <v>40833.5229166667</v>
      </c>
      <c r="C3976" s="1" t="n">
        <v>3</v>
      </c>
      <c r="D3976" s="1" t="n">
        <v>700.63</v>
      </c>
    </row>
    <row r="3977" customFormat="false" ht="14.25" hidden="false" customHeight="true" outlineLevel="0" collapsed="false">
      <c r="A3977" s="51" t="n">
        <v>17735</v>
      </c>
      <c r="B3977" s="52" t="n">
        <v>40884.6993055556</v>
      </c>
      <c r="C3977" s="1" t="n">
        <v>19</v>
      </c>
      <c r="D3977" s="1" t="n">
        <v>13110.02</v>
      </c>
    </row>
    <row r="3978" customFormat="false" ht="14.25" hidden="false" customHeight="true" outlineLevel="0" collapsed="false">
      <c r="A3978" s="51" t="n">
        <v>17736</v>
      </c>
      <c r="B3978" s="52" t="n">
        <v>40877.65</v>
      </c>
      <c r="C3978" s="1" t="n">
        <v>4</v>
      </c>
      <c r="D3978" s="1" t="n">
        <v>337.49</v>
      </c>
    </row>
    <row r="3979" customFormat="false" ht="14.25" hidden="false" customHeight="true" outlineLevel="0" collapsed="false">
      <c r="A3979" s="51" t="n">
        <v>17737</v>
      </c>
      <c r="B3979" s="52" t="n">
        <v>40877.6361111111</v>
      </c>
      <c r="C3979" s="1" t="n">
        <v>2</v>
      </c>
      <c r="D3979" s="1" t="n">
        <v>168.24</v>
      </c>
    </row>
    <row r="3980" customFormat="false" ht="14.25" hidden="false" customHeight="true" outlineLevel="0" collapsed="false">
      <c r="A3980" s="51" t="n">
        <v>17738</v>
      </c>
      <c r="B3980" s="52" t="n">
        <v>40867.6284722222</v>
      </c>
      <c r="C3980" s="1" t="n">
        <v>5</v>
      </c>
      <c r="D3980" s="1" t="n">
        <v>1863.35</v>
      </c>
    </row>
    <row r="3981" customFormat="false" ht="14.25" hidden="false" customHeight="true" outlineLevel="0" collapsed="false">
      <c r="A3981" s="51" t="n">
        <v>17739</v>
      </c>
      <c r="B3981" s="52" t="n">
        <v>40875.3833333333</v>
      </c>
      <c r="C3981" s="1" t="n">
        <v>8</v>
      </c>
      <c r="D3981" s="1" t="n">
        <v>2786.05</v>
      </c>
    </row>
    <row r="3982" customFormat="false" ht="14.25" hidden="false" customHeight="true" outlineLevel="0" collapsed="false">
      <c r="A3982" s="51" t="n">
        <v>17742</v>
      </c>
      <c r="B3982" s="52" t="n">
        <v>40773.6444444444</v>
      </c>
      <c r="C3982" s="1" t="n">
        <v>2</v>
      </c>
      <c r="D3982" s="1" t="n">
        <v>355.11</v>
      </c>
    </row>
    <row r="3983" customFormat="false" ht="14.25" hidden="false" customHeight="true" outlineLevel="0" collapsed="false">
      <c r="A3983" s="51" t="n">
        <v>17744</v>
      </c>
      <c r="B3983" s="52" t="n">
        <v>40883.5076388889</v>
      </c>
      <c r="C3983" s="1" t="n">
        <v>7</v>
      </c>
      <c r="D3983" s="1" t="n">
        <v>2291.08</v>
      </c>
    </row>
    <row r="3984" customFormat="false" ht="14.25" hidden="false" customHeight="true" outlineLevel="0" collapsed="false">
      <c r="A3984" s="51" t="n">
        <v>17746</v>
      </c>
      <c r="B3984" s="52" t="n">
        <v>40652.4763888889</v>
      </c>
      <c r="C3984" s="1" t="n">
        <v>2</v>
      </c>
      <c r="D3984" s="1" t="n">
        <v>98.8</v>
      </c>
    </row>
    <row r="3985" customFormat="false" ht="14.25" hidden="false" customHeight="true" outlineLevel="0" collapsed="false">
      <c r="A3985" s="51" t="n">
        <v>17747</v>
      </c>
      <c r="B3985" s="52" t="n">
        <v>40786.5618055556</v>
      </c>
      <c r="C3985" s="1" t="n">
        <v>2</v>
      </c>
      <c r="D3985" s="1" t="n">
        <v>64.65</v>
      </c>
    </row>
    <row r="3986" customFormat="false" ht="14.25" hidden="false" customHeight="true" outlineLevel="0" collapsed="false">
      <c r="A3986" s="51" t="n">
        <v>17749</v>
      </c>
      <c r="B3986" s="52" t="n">
        <v>40708.65625</v>
      </c>
      <c r="C3986" s="1" t="n">
        <v>2</v>
      </c>
      <c r="D3986" s="1" t="n">
        <v>674.52</v>
      </c>
    </row>
    <row r="3987" customFormat="false" ht="14.25" hidden="false" customHeight="true" outlineLevel="0" collapsed="false">
      <c r="A3987" s="51" t="n">
        <v>17750</v>
      </c>
      <c r="B3987" s="52" t="n">
        <v>40881.5895833333</v>
      </c>
      <c r="C3987" s="1" t="n">
        <v>9</v>
      </c>
      <c r="D3987" s="1" t="n">
        <v>1797.57</v>
      </c>
    </row>
    <row r="3988" customFormat="false" ht="14.25" hidden="false" customHeight="true" outlineLevel="0" collapsed="false">
      <c r="A3988" s="51" t="n">
        <v>17752</v>
      </c>
      <c r="B3988" s="52" t="n">
        <v>40527.6798611111</v>
      </c>
      <c r="C3988" s="1" t="n">
        <v>1</v>
      </c>
      <c r="D3988" s="1" t="n">
        <v>80.64</v>
      </c>
    </row>
    <row r="3989" customFormat="false" ht="14.25" hidden="false" customHeight="true" outlineLevel="0" collapsed="false">
      <c r="A3989" s="51" t="n">
        <v>17754</v>
      </c>
      <c r="B3989" s="52" t="n">
        <v>40886.4722222222</v>
      </c>
      <c r="C3989" s="1" t="n">
        <v>6</v>
      </c>
      <c r="D3989" s="1" t="n">
        <v>1739.92</v>
      </c>
    </row>
    <row r="3990" customFormat="false" ht="14.25" hidden="false" customHeight="true" outlineLevel="0" collapsed="false">
      <c r="A3990" s="51" t="n">
        <v>17757</v>
      </c>
      <c r="B3990" s="52" t="n">
        <v>40885.6465277778</v>
      </c>
      <c r="C3990" s="1" t="n">
        <v>31</v>
      </c>
      <c r="D3990" s="1" t="n">
        <v>5585.48999999999</v>
      </c>
    </row>
    <row r="3991" customFormat="false" ht="14.25" hidden="false" customHeight="true" outlineLevel="0" collapsed="false">
      <c r="A3991" s="51" t="n">
        <v>17758</v>
      </c>
      <c r="B3991" s="52" t="n">
        <v>40867.6145833333</v>
      </c>
      <c r="C3991" s="1" t="n">
        <v>8</v>
      </c>
      <c r="D3991" s="1" t="n">
        <v>3456.7</v>
      </c>
    </row>
    <row r="3992" customFormat="false" ht="14.25" hidden="false" customHeight="true" outlineLevel="0" collapsed="false">
      <c r="A3992" s="51" t="n">
        <v>17759</v>
      </c>
      <c r="B3992" s="52" t="n">
        <v>40869.6680555556</v>
      </c>
      <c r="C3992" s="1" t="n">
        <v>3</v>
      </c>
      <c r="D3992" s="1" t="n">
        <v>834.99</v>
      </c>
    </row>
    <row r="3993" customFormat="false" ht="14.25" hidden="false" customHeight="true" outlineLevel="0" collapsed="false">
      <c r="A3993" s="51" t="n">
        <v>17760</v>
      </c>
      <c r="B3993" s="52" t="n">
        <v>40865.4555555556</v>
      </c>
      <c r="C3993" s="1" t="n">
        <v>2</v>
      </c>
      <c r="D3993" s="1" t="n">
        <v>287.59</v>
      </c>
    </row>
    <row r="3994" customFormat="false" ht="14.25" hidden="false" customHeight="true" outlineLevel="0" collapsed="false">
      <c r="A3994" s="51" t="n">
        <v>17761</v>
      </c>
      <c r="B3994" s="52" t="n">
        <v>40854.4326388889</v>
      </c>
      <c r="C3994" s="1" t="n">
        <v>1</v>
      </c>
      <c r="D3994" s="1" t="n">
        <v>712.78</v>
      </c>
    </row>
    <row r="3995" customFormat="false" ht="14.25" hidden="false" customHeight="true" outlineLevel="0" collapsed="false">
      <c r="A3995" s="51" t="n">
        <v>17763</v>
      </c>
      <c r="B3995" s="52" t="n">
        <v>40623.6006944445</v>
      </c>
      <c r="C3995" s="1" t="n">
        <v>1</v>
      </c>
      <c r="D3995" s="1" t="n">
        <v>15</v>
      </c>
    </row>
    <row r="3996" customFormat="false" ht="14.25" hidden="false" customHeight="true" outlineLevel="0" collapsed="false">
      <c r="A3996" s="51" t="n">
        <v>17764</v>
      </c>
      <c r="B3996" s="52" t="n">
        <v>40836.4604166667</v>
      </c>
      <c r="C3996" s="1" t="n">
        <v>2</v>
      </c>
      <c r="D3996" s="1" t="n">
        <v>818.82</v>
      </c>
    </row>
    <row r="3997" customFormat="false" ht="14.25" hidden="false" customHeight="true" outlineLevel="0" collapsed="false">
      <c r="A3997" s="51" t="n">
        <v>17765</v>
      </c>
      <c r="B3997" s="52" t="n">
        <v>40728.5284722222</v>
      </c>
      <c r="C3997" s="1" t="n">
        <v>3</v>
      </c>
      <c r="D3997" s="1" t="n">
        <v>371.88</v>
      </c>
    </row>
    <row r="3998" customFormat="false" ht="14.25" hidden="false" customHeight="true" outlineLevel="0" collapsed="false">
      <c r="A3998" s="51" t="n">
        <v>17767</v>
      </c>
      <c r="B3998" s="52" t="n">
        <v>40871.6125</v>
      </c>
      <c r="C3998" s="1" t="n">
        <v>1</v>
      </c>
      <c r="D3998" s="1" t="n">
        <v>271.2</v>
      </c>
    </row>
    <row r="3999" customFormat="false" ht="14.25" hidden="false" customHeight="true" outlineLevel="0" collapsed="false">
      <c r="A3999" s="51" t="n">
        <v>17768</v>
      </c>
      <c r="B3999" s="52" t="n">
        <v>40878.5569444444</v>
      </c>
      <c r="C3999" s="1" t="n">
        <v>3</v>
      </c>
      <c r="D3999" s="1" t="n">
        <v>2273.18</v>
      </c>
    </row>
    <row r="4000" customFormat="false" ht="14.25" hidden="false" customHeight="true" outlineLevel="0" collapsed="false">
      <c r="A4000" s="51" t="n">
        <v>17769</v>
      </c>
      <c r="B4000" s="52" t="n">
        <v>40874.4708333333</v>
      </c>
      <c r="C4000" s="1" t="n">
        <v>12</v>
      </c>
      <c r="D4000" s="1" t="n">
        <v>3960.63</v>
      </c>
    </row>
    <row r="4001" customFormat="false" ht="14.25" hidden="false" customHeight="true" outlineLevel="0" collapsed="false">
      <c r="A4001" s="51" t="n">
        <v>17770</v>
      </c>
      <c r="B4001" s="52" t="n">
        <v>40688.5236111111</v>
      </c>
      <c r="C4001" s="1" t="n">
        <v>5</v>
      </c>
      <c r="D4001" s="1" t="n">
        <v>1143.27</v>
      </c>
    </row>
    <row r="4002" customFormat="false" ht="14.25" hidden="false" customHeight="true" outlineLevel="0" collapsed="false">
      <c r="A4002" s="51" t="n">
        <v>17771</v>
      </c>
      <c r="B4002" s="52" t="n">
        <v>40830.4881944444</v>
      </c>
      <c r="C4002" s="1" t="n">
        <v>2</v>
      </c>
      <c r="D4002" s="1" t="n">
        <v>245.81</v>
      </c>
    </row>
    <row r="4003" customFormat="false" ht="14.25" hidden="false" customHeight="true" outlineLevel="0" collapsed="false">
      <c r="A4003" s="51" t="n">
        <v>17772</v>
      </c>
      <c r="B4003" s="52" t="n">
        <v>40876.4618055556</v>
      </c>
      <c r="C4003" s="1" t="n">
        <v>2</v>
      </c>
      <c r="D4003" s="1" t="n">
        <v>182.77</v>
      </c>
    </row>
    <row r="4004" customFormat="false" ht="14.25" hidden="false" customHeight="true" outlineLevel="0" collapsed="false">
      <c r="A4004" s="51" t="n">
        <v>17774</v>
      </c>
      <c r="B4004" s="52" t="n">
        <v>40790.5340277778</v>
      </c>
      <c r="C4004" s="1" t="n">
        <v>5</v>
      </c>
      <c r="D4004" s="1" t="n">
        <v>1215.46</v>
      </c>
    </row>
    <row r="4005" customFormat="false" ht="14.25" hidden="false" customHeight="true" outlineLevel="0" collapsed="false">
      <c r="A4005" s="51" t="n">
        <v>17775</v>
      </c>
      <c r="B4005" s="52" t="n">
        <v>40632.4513888889</v>
      </c>
      <c r="C4005" s="1" t="n">
        <v>1</v>
      </c>
      <c r="D4005" s="1" t="n">
        <v>56.4</v>
      </c>
    </row>
    <row r="4006" customFormat="false" ht="14.25" hidden="false" customHeight="true" outlineLevel="0" collapsed="false">
      <c r="A4006" s="51" t="n">
        <v>17777</v>
      </c>
      <c r="B4006" s="52" t="n">
        <v>40862.5013888889</v>
      </c>
      <c r="C4006" s="1" t="n">
        <v>3</v>
      </c>
      <c r="D4006" s="1" t="n">
        <v>665.86</v>
      </c>
    </row>
    <row r="4007" customFormat="false" ht="14.25" hidden="false" customHeight="true" outlineLevel="0" collapsed="false">
      <c r="A4007" s="51" t="n">
        <v>17779</v>
      </c>
      <c r="B4007" s="52" t="n">
        <v>40865.59375</v>
      </c>
      <c r="C4007" s="1" t="n">
        <v>5</v>
      </c>
      <c r="D4007" s="1" t="n">
        <v>642.17</v>
      </c>
    </row>
    <row r="4008" customFormat="false" ht="14.25" hidden="false" customHeight="true" outlineLevel="0" collapsed="false">
      <c r="A4008" s="51" t="n">
        <v>17781</v>
      </c>
      <c r="B4008" s="52" t="n">
        <v>40727.6666666667</v>
      </c>
      <c r="C4008" s="1" t="n">
        <v>2</v>
      </c>
      <c r="D4008" s="1" t="n">
        <v>188.02</v>
      </c>
    </row>
    <row r="4009" customFormat="false" ht="14.25" hidden="false" customHeight="true" outlineLevel="0" collapsed="false">
      <c r="A4009" s="51" t="n">
        <v>17783</v>
      </c>
      <c r="B4009" s="52" t="n">
        <v>40814.6715277778</v>
      </c>
      <c r="C4009" s="1" t="n">
        <v>2</v>
      </c>
      <c r="D4009" s="1" t="n">
        <v>283.47</v>
      </c>
    </row>
    <row r="4010" customFormat="false" ht="14.25" hidden="false" customHeight="true" outlineLevel="0" collapsed="false">
      <c r="A4010" s="51" t="n">
        <v>17785</v>
      </c>
      <c r="B4010" s="52" t="n">
        <v>40833.5715277778</v>
      </c>
      <c r="C4010" s="1" t="n">
        <v>1</v>
      </c>
      <c r="D4010" s="1" t="n">
        <v>131.94</v>
      </c>
    </row>
    <row r="4011" customFormat="false" ht="14.25" hidden="false" customHeight="true" outlineLevel="0" collapsed="false">
      <c r="A4011" s="51" t="n">
        <v>17786</v>
      </c>
      <c r="B4011" s="52" t="n">
        <v>40801.5354166667</v>
      </c>
      <c r="C4011" s="1" t="n">
        <v>2</v>
      </c>
      <c r="D4011" s="1" t="n">
        <v>278.74</v>
      </c>
    </row>
    <row r="4012" customFormat="false" ht="14.25" hidden="false" customHeight="true" outlineLevel="0" collapsed="false">
      <c r="A4012" s="51" t="n">
        <v>17787</v>
      </c>
      <c r="B4012" s="52" t="n">
        <v>40734.475</v>
      </c>
      <c r="C4012" s="1" t="n">
        <v>4</v>
      </c>
      <c r="D4012" s="1" t="n">
        <v>1865.19</v>
      </c>
    </row>
    <row r="4013" customFormat="false" ht="14.25" hidden="false" customHeight="true" outlineLevel="0" collapsed="false">
      <c r="A4013" s="51" t="n">
        <v>17788</v>
      </c>
      <c r="B4013" s="52" t="n">
        <v>40813.4229166667</v>
      </c>
      <c r="C4013" s="1" t="n">
        <v>2</v>
      </c>
      <c r="D4013" s="1" t="n">
        <v>1117.9</v>
      </c>
    </row>
    <row r="4014" customFormat="false" ht="14.25" hidden="false" customHeight="true" outlineLevel="0" collapsed="false">
      <c r="A4014" s="51" t="n">
        <v>17789</v>
      </c>
      <c r="B4014" s="52" t="n">
        <v>40605.5513888889</v>
      </c>
      <c r="C4014" s="1" t="n">
        <v>1</v>
      </c>
      <c r="D4014" s="1" t="n">
        <v>225.9</v>
      </c>
    </row>
    <row r="4015" customFormat="false" ht="14.25" hidden="false" customHeight="true" outlineLevel="0" collapsed="false">
      <c r="A4015" s="51" t="n">
        <v>17790</v>
      </c>
      <c r="B4015" s="52" t="n">
        <v>40860.4791666667</v>
      </c>
      <c r="C4015" s="1" t="n">
        <v>14</v>
      </c>
      <c r="D4015" s="1" t="n">
        <v>1965.55</v>
      </c>
    </row>
    <row r="4016" customFormat="false" ht="14.25" hidden="false" customHeight="true" outlineLevel="0" collapsed="false">
      <c r="A4016" s="51" t="n">
        <v>17791</v>
      </c>
      <c r="B4016" s="52" t="n">
        <v>40857.50625</v>
      </c>
      <c r="C4016" s="1" t="n">
        <v>1</v>
      </c>
      <c r="D4016" s="1" t="n">
        <v>106.1</v>
      </c>
    </row>
    <row r="4017" customFormat="false" ht="14.25" hidden="false" customHeight="true" outlineLevel="0" collapsed="false">
      <c r="A4017" s="51" t="n">
        <v>17793</v>
      </c>
      <c r="B4017" s="52" t="n">
        <v>40861.6</v>
      </c>
      <c r="C4017" s="1" t="n">
        <v>1</v>
      </c>
      <c r="D4017" s="1" t="n">
        <v>323.04</v>
      </c>
    </row>
    <row r="4018" customFormat="false" ht="14.25" hidden="false" customHeight="true" outlineLevel="0" collapsed="false">
      <c r="A4018" s="51" t="n">
        <v>17795</v>
      </c>
      <c r="B4018" s="52" t="n">
        <v>40707.525</v>
      </c>
      <c r="C4018" s="1" t="n">
        <v>2</v>
      </c>
      <c r="D4018" s="1" t="n">
        <v>350.39</v>
      </c>
    </row>
    <row r="4019" customFormat="false" ht="14.25" hidden="false" customHeight="true" outlineLevel="0" collapsed="false">
      <c r="A4019" s="51" t="n">
        <v>17796</v>
      </c>
      <c r="B4019" s="52" t="n">
        <v>40846.6513888889</v>
      </c>
      <c r="C4019" s="1" t="n">
        <v>4</v>
      </c>
      <c r="D4019" s="1" t="n">
        <v>697.9</v>
      </c>
    </row>
    <row r="4020" customFormat="false" ht="14.25" hidden="false" customHeight="true" outlineLevel="0" collapsed="false">
      <c r="A4020" s="51" t="n">
        <v>17797</v>
      </c>
      <c r="B4020" s="52" t="n">
        <v>40864.55625</v>
      </c>
      <c r="C4020" s="1" t="n">
        <v>3</v>
      </c>
      <c r="D4020" s="1" t="n">
        <v>780.43</v>
      </c>
    </row>
    <row r="4021" customFormat="false" ht="14.25" hidden="false" customHeight="true" outlineLevel="0" collapsed="false">
      <c r="A4021" s="51" t="n">
        <v>17799</v>
      </c>
      <c r="B4021" s="52" t="n">
        <v>40864.6361111111</v>
      </c>
      <c r="C4021" s="1" t="n">
        <v>11</v>
      </c>
      <c r="D4021" s="1" t="n">
        <v>3026.08</v>
      </c>
    </row>
    <row r="4022" customFormat="false" ht="14.25" hidden="false" customHeight="true" outlineLevel="0" collapsed="false">
      <c r="A4022" s="51" t="n">
        <v>17800</v>
      </c>
      <c r="B4022" s="52" t="n">
        <v>40849.5395833333</v>
      </c>
      <c r="C4022" s="1" t="n">
        <v>9</v>
      </c>
      <c r="D4022" s="1" t="n">
        <v>1199.01</v>
      </c>
    </row>
    <row r="4023" customFormat="false" ht="14.25" hidden="false" customHeight="true" outlineLevel="0" collapsed="false">
      <c r="A4023" s="51" t="n">
        <v>17802</v>
      </c>
      <c r="B4023" s="52" t="n">
        <v>40804.6222222222</v>
      </c>
      <c r="C4023" s="1" t="n">
        <v>4</v>
      </c>
      <c r="D4023" s="1" t="n">
        <v>1251.84</v>
      </c>
    </row>
    <row r="4024" customFormat="false" ht="14.25" hidden="false" customHeight="true" outlineLevel="0" collapsed="false">
      <c r="A4024" s="51" t="n">
        <v>17805</v>
      </c>
      <c r="B4024" s="52" t="n">
        <v>40813.4923611111</v>
      </c>
      <c r="C4024" s="1" t="n">
        <v>1</v>
      </c>
      <c r="D4024" s="1" t="n">
        <v>512.31</v>
      </c>
    </row>
    <row r="4025" customFormat="false" ht="14.25" hidden="false" customHeight="true" outlineLevel="0" collapsed="false">
      <c r="A4025" s="51" t="n">
        <v>17806</v>
      </c>
      <c r="B4025" s="52" t="n">
        <v>40875.5916666667</v>
      </c>
      <c r="C4025" s="1" t="n">
        <v>1</v>
      </c>
      <c r="D4025" s="1" t="n">
        <v>546.04</v>
      </c>
    </row>
    <row r="4026" customFormat="false" ht="14.25" hidden="false" customHeight="true" outlineLevel="0" collapsed="false">
      <c r="A4026" s="51" t="n">
        <v>17809</v>
      </c>
      <c r="B4026" s="52" t="n">
        <v>40870.5416666667</v>
      </c>
      <c r="C4026" s="1" t="n">
        <v>15</v>
      </c>
      <c r="D4026" s="1" t="n">
        <v>4627.62</v>
      </c>
    </row>
    <row r="4027" customFormat="false" ht="14.25" hidden="false" customHeight="true" outlineLevel="0" collapsed="false">
      <c r="A4027" s="51" t="n">
        <v>17811</v>
      </c>
      <c r="B4027" s="52" t="n">
        <v>40882.5736111111</v>
      </c>
      <c r="C4027" s="1" t="n">
        <v>51</v>
      </c>
      <c r="D4027" s="1" t="n">
        <v>7677.70999999999</v>
      </c>
    </row>
    <row r="4028" customFormat="false" ht="14.25" hidden="false" customHeight="true" outlineLevel="0" collapsed="false">
      <c r="A4028" s="51" t="n">
        <v>17812</v>
      </c>
      <c r="B4028" s="52" t="n">
        <v>40874.4909722222</v>
      </c>
      <c r="C4028" s="1" t="n">
        <v>4</v>
      </c>
      <c r="D4028" s="1" t="n">
        <v>732.16</v>
      </c>
    </row>
    <row r="4029" customFormat="false" ht="14.25" hidden="false" customHeight="true" outlineLevel="0" collapsed="false">
      <c r="A4029" s="51" t="n">
        <v>17813</v>
      </c>
      <c r="B4029" s="52" t="n">
        <v>40872.6756944444</v>
      </c>
      <c r="C4029" s="1" t="n">
        <v>7</v>
      </c>
      <c r="D4029" s="1" t="n">
        <v>1714.6</v>
      </c>
    </row>
    <row r="4030" customFormat="false" ht="14.25" hidden="false" customHeight="true" outlineLevel="0" collapsed="false">
      <c r="A4030" s="51" t="n">
        <v>17816</v>
      </c>
      <c r="B4030" s="52" t="n">
        <v>40850.4819444444</v>
      </c>
      <c r="C4030" s="1" t="n">
        <v>4</v>
      </c>
      <c r="D4030" s="1" t="n">
        <v>36.56</v>
      </c>
    </row>
    <row r="4031" customFormat="false" ht="14.25" hidden="false" customHeight="true" outlineLevel="0" collapsed="false">
      <c r="A4031" s="51" t="n">
        <v>17817</v>
      </c>
      <c r="B4031" s="52" t="n">
        <v>40882.6104166667</v>
      </c>
      <c r="C4031" s="1" t="n">
        <v>3</v>
      </c>
      <c r="D4031" s="1" t="n">
        <v>387.68</v>
      </c>
    </row>
    <row r="4032" customFormat="false" ht="14.25" hidden="false" customHeight="true" outlineLevel="0" collapsed="false">
      <c r="A4032" s="51" t="n">
        <v>17819</v>
      </c>
      <c r="B4032" s="52" t="n">
        <v>40815.4527777778</v>
      </c>
      <c r="C4032" s="1" t="n">
        <v>8</v>
      </c>
      <c r="D4032" s="1" t="n">
        <v>3661.07</v>
      </c>
    </row>
    <row r="4033" customFormat="false" ht="14.25" hidden="false" customHeight="true" outlineLevel="0" collapsed="false">
      <c r="A4033" s="51" t="n">
        <v>17820</v>
      </c>
      <c r="B4033" s="52" t="n">
        <v>40695.6347222222</v>
      </c>
      <c r="C4033" s="1" t="n">
        <v>2</v>
      </c>
      <c r="D4033" s="1" t="n">
        <v>-24.05</v>
      </c>
    </row>
    <row r="4034" customFormat="false" ht="14.25" hidden="false" customHeight="true" outlineLevel="0" collapsed="false">
      <c r="A4034" s="51" t="n">
        <v>17824</v>
      </c>
      <c r="B4034" s="52" t="n">
        <v>40835.5930555556</v>
      </c>
      <c r="C4034" s="1" t="n">
        <v>1</v>
      </c>
      <c r="D4034" s="1" t="n">
        <v>298.4</v>
      </c>
    </row>
    <row r="4035" customFormat="false" ht="14.25" hidden="false" customHeight="true" outlineLevel="0" collapsed="false">
      <c r="A4035" s="51" t="n">
        <v>17827</v>
      </c>
      <c r="B4035" s="52" t="n">
        <v>40881.625</v>
      </c>
      <c r="C4035" s="1" t="n">
        <v>5</v>
      </c>
      <c r="D4035" s="1" t="n">
        <v>1995.46</v>
      </c>
    </row>
    <row r="4036" customFormat="false" ht="14.25" hidden="false" customHeight="true" outlineLevel="0" collapsed="false">
      <c r="A4036" s="51" t="n">
        <v>17828</v>
      </c>
      <c r="B4036" s="52" t="n">
        <v>40878.3986111111</v>
      </c>
      <c r="C4036" s="1" t="n">
        <v>9</v>
      </c>
      <c r="D4036" s="1" t="n">
        <v>1599.97</v>
      </c>
    </row>
    <row r="4037" customFormat="false" ht="14.25" hidden="false" customHeight="true" outlineLevel="0" collapsed="false">
      <c r="A4037" s="51" t="n">
        <v>17829</v>
      </c>
      <c r="B4037" s="52" t="n">
        <v>40588.5319444445</v>
      </c>
      <c r="C4037" s="1" t="n">
        <v>1</v>
      </c>
      <c r="D4037" s="1" t="n">
        <v>889.24</v>
      </c>
    </row>
    <row r="4038" customFormat="false" ht="14.25" hidden="false" customHeight="true" outlineLevel="0" collapsed="false">
      <c r="A4038" s="51" t="n">
        <v>17830</v>
      </c>
      <c r="B4038" s="52" t="n">
        <v>40885.5194444444</v>
      </c>
      <c r="C4038" s="1" t="n">
        <v>3</v>
      </c>
      <c r="D4038" s="1" t="n">
        <v>398.7</v>
      </c>
    </row>
    <row r="4039" customFormat="false" ht="14.25" hidden="false" customHeight="true" outlineLevel="0" collapsed="false">
      <c r="A4039" s="51" t="n">
        <v>17831</v>
      </c>
      <c r="B4039" s="52" t="n">
        <v>40853.63125</v>
      </c>
      <c r="C4039" s="1" t="n">
        <v>1</v>
      </c>
      <c r="D4039" s="1" t="n">
        <v>35.4</v>
      </c>
    </row>
    <row r="4040" customFormat="false" ht="14.25" hidden="false" customHeight="true" outlineLevel="0" collapsed="false">
      <c r="A4040" s="51" t="n">
        <v>17832</v>
      </c>
      <c r="B4040" s="52" t="n">
        <v>40837.4881944444</v>
      </c>
      <c r="C4040" s="1" t="n">
        <v>1</v>
      </c>
      <c r="D4040" s="1" t="n">
        <v>155.37</v>
      </c>
    </row>
    <row r="4041" customFormat="false" ht="14.25" hidden="false" customHeight="true" outlineLevel="0" collapsed="false">
      <c r="A4041" s="51" t="n">
        <v>17835</v>
      </c>
      <c r="B4041" s="52" t="n">
        <v>40884.4916666667</v>
      </c>
      <c r="C4041" s="1" t="n">
        <v>3</v>
      </c>
      <c r="D4041" s="1" t="n">
        <v>350.64</v>
      </c>
    </row>
    <row r="4042" customFormat="false" ht="14.25" hidden="false" customHeight="true" outlineLevel="0" collapsed="false">
      <c r="A4042" s="51" t="n">
        <v>17836</v>
      </c>
      <c r="B4042" s="52" t="n">
        <v>40839.6756944444</v>
      </c>
      <c r="C4042" s="1" t="n">
        <v>1</v>
      </c>
      <c r="D4042" s="1" t="n">
        <v>110.21</v>
      </c>
    </row>
    <row r="4043" customFormat="false" ht="14.25" hidden="false" customHeight="true" outlineLevel="0" collapsed="false">
      <c r="A4043" s="51" t="n">
        <v>17837</v>
      </c>
      <c r="B4043" s="52" t="n">
        <v>40844.6770833333</v>
      </c>
      <c r="C4043" s="1" t="n">
        <v>10</v>
      </c>
      <c r="D4043" s="1" t="n">
        <v>1560.53</v>
      </c>
    </row>
    <row r="4044" customFormat="false" ht="14.25" hidden="false" customHeight="true" outlineLevel="0" collapsed="false">
      <c r="A4044" s="51" t="n">
        <v>17838</v>
      </c>
      <c r="B4044" s="52" t="n">
        <v>40860.4847222222</v>
      </c>
      <c r="C4044" s="1" t="n">
        <v>6</v>
      </c>
      <c r="D4044" s="1" t="n">
        <v>2312.7</v>
      </c>
    </row>
    <row r="4045" customFormat="false" ht="14.25" hidden="false" customHeight="true" outlineLevel="0" collapsed="false">
      <c r="A4045" s="51" t="n">
        <v>17839</v>
      </c>
      <c r="B4045" s="52" t="n">
        <v>40844.7270833333</v>
      </c>
      <c r="C4045" s="1" t="n">
        <v>1</v>
      </c>
      <c r="D4045" s="1" t="n">
        <v>338.8</v>
      </c>
    </row>
    <row r="4046" customFormat="false" ht="14.25" hidden="false" customHeight="true" outlineLevel="0" collapsed="false">
      <c r="A4046" s="51" t="n">
        <v>17841</v>
      </c>
      <c r="B4046" s="52" t="n">
        <v>40885.5048611111</v>
      </c>
      <c r="C4046" s="1" t="n">
        <v>169</v>
      </c>
      <c r="D4046" s="1" t="n">
        <v>40340.7800000001</v>
      </c>
    </row>
    <row r="4047" customFormat="false" ht="14.25" hidden="false" customHeight="true" outlineLevel="0" collapsed="false">
      <c r="A4047" s="51" t="n">
        <v>17843</v>
      </c>
      <c r="B4047" s="52" t="n">
        <v>40583.6479166667</v>
      </c>
      <c r="C4047" s="1" t="n">
        <v>1</v>
      </c>
      <c r="D4047" s="1" t="n">
        <v>205.48</v>
      </c>
    </row>
    <row r="4048" customFormat="false" ht="14.25" hidden="false" customHeight="true" outlineLevel="0" collapsed="false">
      <c r="A4048" s="51" t="n">
        <v>17844</v>
      </c>
      <c r="B4048" s="52" t="n">
        <v>40780.4770833333</v>
      </c>
      <c r="C4048" s="1" t="n">
        <v>1</v>
      </c>
      <c r="D4048" s="1" t="n">
        <v>51.56</v>
      </c>
    </row>
    <row r="4049" customFormat="false" ht="14.25" hidden="false" customHeight="true" outlineLevel="0" collapsed="false">
      <c r="A4049" s="51" t="n">
        <v>17846</v>
      </c>
      <c r="B4049" s="52" t="n">
        <v>40801.6388888889</v>
      </c>
      <c r="C4049" s="1" t="n">
        <v>1</v>
      </c>
      <c r="D4049" s="1" t="n">
        <v>2033.1</v>
      </c>
    </row>
    <row r="4050" customFormat="false" ht="14.25" hidden="false" customHeight="true" outlineLevel="0" collapsed="false">
      <c r="A4050" s="51" t="n">
        <v>17848</v>
      </c>
      <c r="B4050" s="52" t="n">
        <v>40805.7006944444</v>
      </c>
      <c r="C4050" s="1" t="n">
        <v>9</v>
      </c>
      <c r="D4050" s="1" t="n">
        <v>901.2</v>
      </c>
    </row>
    <row r="4051" customFormat="false" ht="14.25" hidden="false" customHeight="true" outlineLevel="0" collapsed="false">
      <c r="A4051" s="51" t="n">
        <v>17849</v>
      </c>
      <c r="B4051" s="52" t="n">
        <v>40668.5736111111</v>
      </c>
      <c r="C4051" s="1" t="n">
        <v>4</v>
      </c>
      <c r="D4051" s="1" t="n">
        <v>605.8</v>
      </c>
    </row>
    <row r="4052" customFormat="false" ht="14.25" hidden="false" customHeight="true" outlineLevel="0" collapsed="false">
      <c r="A4052" s="51" t="n">
        <v>17850</v>
      </c>
      <c r="B4052" s="52" t="n">
        <v>40584.6097222222</v>
      </c>
      <c r="C4052" s="1" t="n">
        <v>35</v>
      </c>
      <c r="D4052" s="1" t="n">
        <v>5288.63000000001</v>
      </c>
    </row>
    <row r="4053" customFormat="false" ht="14.25" hidden="false" customHeight="true" outlineLevel="0" collapsed="false">
      <c r="A4053" s="51" t="n">
        <v>17852</v>
      </c>
      <c r="B4053" s="52" t="n">
        <v>40875.525</v>
      </c>
      <c r="C4053" s="1" t="n">
        <v>2</v>
      </c>
      <c r="D4053" s="1" t="n">
        <v>114.34</v>
      </c>
    </row>
    <row r="4054" customFormat="false" ht="14.25" hidden="false" customHeight="true" outlineLevel="0" collapsed="false">
      <c r="A4054" s="51" t="n">
        <v>17854</v>
      </c>
      <c r="B4054" s="52" t="n">
        <v>40701.68125</v>
      </c>
      <c r="C4054" s="1" t="n">
        <v>2</v>
      </c>
      <c r="D4054" s="1" t="n">
        <v>311.26</v>
      </c>
    </row>
    <row r="4055" customFormat="false" ht="14.25" hidden="false" customHeight="true" outlineLevel="0" collapsed="false">
      <c r="A4055" s="51" t="n">
        <v>17855</v>
      </c>
      <c r="B4055" s="52" t="n">
        <v>40514.4055555556</v>
      </c>
      <c r="C4055" s="1" t="n">
        <v>1</v>
      </c>
      <c r="D4055" s="1" t="n">
        <v>208.97</v>
      </c>
    </row>
    <row r="4056" customFormat="false" ht="14.25" hidden="false" customHeight="true" outlineLevel="0" collapsed="false">
      <c r="A4056" s="51" t="n">
        <v>17856</v>
      </c>
      <c r="B4056" s="52" t="n">
        <v>40885.4027777778</v>
      </c>
      <c r="C4056" s="1" t="n">
        <v>6</v>
      </c>
      <c r="D4056" s="1" t="n">
        <v>1393.79</v>
      </c>
    </row>
    <row r="4057" customFormat="false" ht="14.25" hidden="false" customHeight="true" outlineLevel="0" collapsed="false">
      <c r="A4057" s="51" t="n">
        <v>17857</v>
      </c>
      <c r="B4057" s="52" t="n">
        <v>40883.5701388889</v>
      </c>
      <c r="C4057" s="1" t="n">
        <v>25</v>
      </c>
      <c r="D4057" s="1" t="n">
        <v>26763.34</v>
      </c>
    </row>
    <row r="4058" customFormat="false" ht="14.25" hidden="false" customHeight="true" outlineLevel="0" collapsed="false">
      <c r="A4058" s="51" t="n">
        <v>17858</v>
      </c>
      <c r="B4058" s="52" t="n">
        <v>40881.4972222222</v>
      </c>
      <c r="C4058" s="1" t="n">
        <v>12</v>
      </c>
      <c r="D4058" s="1" t="n">
        <v>5155.66</v>
      </c>
    </row>
    <row r="4059" customFormat="false" ht="14.25" hidden="false" customHeight="true" outlineLevel="0" collapsed="false">
      <c r="A4059" s="51" t="n">
        <v>17859</v>
      </c>
      <c r="B4059" s="52" t="n">
        <v>40582.4388888889</v>
      </c>
      <c r="C4059" s="1" t="n">
        <v>1</v>
      </c>
      <c r="D4059" s="1" t="n">
        <v>148.21</v>
      </c>
    </row>
    <row r="4060" customFormat="false" ht="14.25" hidden="false" customHeight="true" outlineLevel="0" collapsed="false">
      <c r="A4060" s="51" t="n">
        <v>17860</v>
      </c>
      <c r="B4060" s="52" t="n">
        <v>40518.5284722222</v>
      </c>
      <c r="C4060" s="1" t="n">
        <v>1</v>
      </c>
      <c r="D4060" s="1" t="n">
        <v>252.8</v>
      </c>
    </row>
    <row r="4061" customFormat="false" ht="14.25" hidden="false" customHeight="true" outlineLevel="0" collapsed="false">
      <c r="A4061" s="51" t="n">
        <v>17861</v>
      </c>
      <c r="B4061" s="52" t="n">
        <v>40883.68125</v>
      </c>
      <c r="C4061" s="1" t="n">
        <v>9</v>
      </c>
      <c r="D4061" s="1" t="n">
        <v>2059.2</v>
      </c>
    </row>
    <row r="4062" customFormat="false" ht="14.25" hidden="false" customHeight="true" outlineLevel="0" collapsed="false">
      <c r="A4062" s="51" t="n">
        <v>17862</v>
      </c>
      <c r="B4062" s="52" t="n">
        <v>40563.5159722222</v>
      </c>
      <c r="C4062" s="1" t="n">
        <v>1</v>
      </c>
      <c r="D4062" s="1" t="n">
        <v>330.9</v>
      </c>
    </row>
    <row r="4063" customFormat="false" ht="14.25" hidden="false" customHeight="true" outlineLevel="0" collapsed="false">
      <c r="A4063" s="51" t="n">
        <v>17863</v>
      </c>
      <c r="B4063" s="52" t="n">
        <v>40827.5729166667</v>
      </c>
      <c r="C4063" s="1" t="n">
        <v>6</v>
      </c>
      <c r="D4063" s="1" t="n">
        <v>3160</v>
      </c>
    </row>
    <row r="4064" customFormat="false" ht="14.25" hidden="false" customHeight="true" outlineLevel="0" collapsed="false">
      <c r="A4064" s="51" t="n">
        <v>17864</v>
      </c>
      <c r="B4064" s="52" t="n">
        <v>40874.46875</v>
      </c>
      <c r="C4064" s="1" t="n">
        <v>3</v>
      </c>
      <c r="D4064" s="1" t="n">
        <v>597.5</v>
      </c>
    </row>
    <row r="4065" customFormat="false" ht="14.25" hidden="false" customHeight="true" outlineLevel="0" collapsed="false">
      <c r="A4065" s="51" t="n">
        <v>17865</v>
      </c>
      <c r="B4065" s="52" t="n">
        <v>40856.5055555556</v>
      </c>
      <c r="C4065" s="1" t="n">
        <v>27</v>
      </c>
      <c r="D4065" s="1" t="n">
        <v>10158.54</v>
      </c>
    </row>
    <row r="4066" customFormat="false" ht="14.25" hidden="false" customHeight="true" outlineLevel="0" collapsed="false">
      <c r="A4066" s="51" t="n">
        <v>17866</v>
      </c>
      <c r="B4066" s="52" t="n">
        <v>40744.4645833333</v>
      </c>
      <c r="C4066" s="1" t="n">
        <v>2</v>
      </c>
      <c r="D4066" s="1" t="n">
        <v>325.7</v>
      </c>
    </row>
    <row r="4067" customFormat="false" ht="14.25" hidden="false" customHeight="true" outlineLevel="0" collapsed="false">
      <c r="A4067" s="51" t="n">
        <v>17867</v>
      </c>
      <c r="B4067" s="52" t="n">
        <v>40856.59375</v>
      </c>
      <c r="C4067" s="1" t="n">
        <v>8</v>
      </c>
      <c r="D4067" s="1" t="n">
        <v>622.75</v>
      </c>
    </row>
    <row r="4068" customFormat="false" ht="14.25" hidden="false" customHeight="true" outlineLevel="0" collapsed="false">
      <c r="A4068" s="51" t="n">
        <v>17869</v>
      </c>
      <c r="B4068" s="52" t="n">
        <v>40779.6777777778</v>
      </c>
      <c r="C4068" s="1" t="n">
        <v>5</v>
      </c>
      <c r="D4068" s="1" t="n">
        <v>428.18</v>
      </c>
    </row>
    <row r="4069" customFormat="false" ht="14.25" hidden="false" customHeight="true" outlineLevel="0" collapsed="false">
      <c r="A4069" s="51" t="n">
        <v>17870</v>
      </c>
      <c r="B4069" s="52" t="n">
        <v>40884.6298611111</v>
      </c>
      <c r="C4069" s="1" t="n">
        <v>13</v>
      </c>
      <c r="D4069" s="1" t="n">
        <v>1889.4</v>
      </c>
    </row>
    <row r="4070" customFormat="false" ht="14.25" hidden="false" customHeight="true" outlineLevel="0" collapsed="false">
      <c r="A4070" s="51" t="n">
        <v>17871</v>
      </c>
      <c r="B4070" s="52" t="n">
        <v>40682.4805555556</v>
      </c>
      <c r="C4070" s="1" t="n">
        <v>1</v>
      </c>
      <c r="D4070" s="1" t="n">
        <v>155.9</v>
      </c>
    </row>
    <row r="4071" customFormat="false" ht="14.25" hidden="false" customHeight="true" outlineLevel="0" collapsed="false">
      <c r="A4071" s="51" t="n">
        <v>17873</v>
      </c>
      <c r="B4071" s="52" t="n">
        <v>40806.6951388889</v>
      </c>
      <c r="C4071" s="1" t="n">
        <v>6</v>
      </c>
      <c r="D4071" s="1" t="n">
        <v>1764.36</v>
      </c>
    </row>
    <row r="4072" customFormat="false" ht="14.25" hidden="false" customHeight="true" outlineLevel="0" collapsed="false">
      <c r="A4072" s="51" t="n">
        <v>17874</v>
      </c>
      <c r="B4072" s="52" t="n">
        <v>40701.5375</v>
      </c>
      <c r="C4072" s="1" t="n">
        <v>7</v>
      </c>
      <c r="D4072" s="1" t="n">
        <v>658.26</v>
      </c>
    </row>
    <row r="4073" customFormat="false" ht="14.25" hidden="false" customHeight="true" outlineLevel="0" collapsed="false">
      <c r="A4073" s="51" t="n">
        <v>17877</v>
      </c>
      <c r="B4073" s="52" t="n">
        <v>40716.5416666667</v>
      </c>
      <c r="C4073" s="1" t="n">
        <v>1</v>
      </c>
      <c r="D4073" s="1" t="n">
        <v>237.61</v>
      </c>
    </row>
    <row r="4074" customFormat="false" ht="14.25" hidden="false" customHeight="true" outlineLevel="0" collapsed="false">
      <c r="A4074" s="51" t="n">
        <v>17878</v>
      </c>
      <c r="B4074" s="52" t="n">
        <v>40843.475</v>
      </c>
      <c r="C4074" s="1" t="n">
        <v>1</v>
      </c>
      <c r="D4074" s="1" t="n">
        <v>379.45</v>
      </c>
    </row>
    <row r="4075" customFormat="false" ht="14.25" hidden="false" customHeight="true" outlineLevel="0" collapsed="false">
      <c r="A4075" s="51" t="n">
        <v>17879</v>
      </c>
      <c r="B4075" s="52" t="n">
        <v>40713.525</v>
      </c>
      <c r="C4075" s="1" t="n">
        <v>1</v>
      </c>
      <c r="D4075" s="1" t="n">
        <v>178.52</v>
      </c>
    </row>
    <row r="4076" customFormat="false" ht="14.25" hidden="false" customHeight="true" outlineLevel="0" collapsed="false">
      <c r="A4076" s="51" t="n">
        <v>17880</v>
      </c>
      <c r="B4076" s="52" t="n">
        <v>40522.43125</v>
      </c>
      <c r="C4076" s="1" t="n">
        <v>1</v>
      </c>
      <c r="D4076" s="1" t="n">
        <v>458.92</v>
      </c>
    </row>
    <row r="4077" customFormat="false" ht="14.25" hidden="false" customHeight="true" outlineLevel="0" collapsed="false">
      <c r="A4077" s="51" t="n">
        <v>17881</v>
      </c>
      <c r="B4077" s="52" t="n">
        <v>40582.7194444445</v>
      </c>
      <c r="C4077" s="1" t="n">
        <v>1</v>
      </c>
      <c r="D4077" s="1" t="n">
        <v>133.35</v>
      </c>
    </row>
    <row r="4078" customFormat="false" ht="14.25" hidden="false" customHeight="true" outlineLevel="0" collapsed="false">
      <c r="A4078" s="51" t="n">
        <v>17883</v>
      </c>
      <c r="B4078" s="52" t="n">
        <v>40883.7423611111</v>
      </c>
      <c r="C4078" s="1" t="n">
        <v>4</v>
      </c>
      <c r="D4078" s="1" t="n">
        <v>671.769999999999</v>
      </c>
    </row>
    <row r="4079" customFormat="false" ht="14.25" hidden="false" customHeight="true" outlineLevel="0" collapsed="false">
      <c r="A4079" s="51" t="n">
        <v>17884</v>
      </c>
      <c r="B4079" s="52" t="n">
        <v>40883.48125</v>
      </c>
      <c r="C4079" s="1" t="n">
        <v>4</v>
      </c>
      <c r="D4079" s="1" t="n">
        <v>717.449999999999</v>
      </c>
    </row>
    <row r="4080" customFormat="false" ht="14.25" hidden="false" customHeight="true" outlineLevel="0" collapsed="false">
      <c r="A4080" s="51" t="n">
        <v>17885</v>
      </c>
      <c r="B4080" s="52" t="n">
        <v>40874.6111111111</v>
      </c>
      <c r="C4080" s="1" t="n">
        <v>1</v>
      </c>
      <c r="D4080" s="1" t="n">
        <v>190.19</v>
      </c>
    </row>
    <row r="4081" customFormat="false" ht="14.25" hidden="false" customHeight="true" outlineLevel="0" collapsed="false">
      <c r="A4081" s="51" t="n">
        <v>17886</v>
      </c>
      <c r="B4081" s="52" t="n">
        <v>40855.4229166667</v>
      </c>
      <c r="C4081" s="1" t="n">
        <v>3</v>
      </c>
      <c r="D4081" s="1" t="n">
        <v>899.61</v>
      </c>
    </row>
    <row r="4082" customFormat="false" ht="14.25" hidden="false" customHeight="true" outlineLevel="0" collapsed="false">
      <c r="A4082" s="51" t="n">
        <v>17887</v>
      </c>
      <c r="B4082" s="52" t="n">
        <v>40757.7284722222</v>
      </c>
      <c r="C4082" s="1" t="n">
        <v>1</v>
      </c>
      <c r="D4082" s="1" t="n">
        <v>111.35</v>
      </c>
    </row>
    <row r="4083" customFormat="false" ht="14.25" hidden="false" customHeight="true" outlineLevel="0" collapsed="false">
      <c r="A4083" s="51" t="n">
        <v>17888</v>
      </c>
      <c r="B4083" s="52" t="n">
        <v>40868.4291666667</v>
      </c>
      <c r="C4083" s="1" t="n">
        <v>10</v>
      </c>
      <c r="D4083" s="1" t="n">
        <v>525.78</v>
      </c>
    </row>
    <row r="4084" customFormat="false" ht="14.25" hidden="false" customHeight="true" outlineLevel="0" collapsed="false">
      <c r="A4084" s="51" t="n">
        <v>17889</v>
      </c>
      <c r="B4084" s="52" t="n">
        <v>40674.6847222222</v>
      </c>
      <c r="C4084" s="1" t="n">
        <v>2</v>
      </c>
      <c r="D4084" s="1" t="n">
        <v>203.87</v>
      </c>
    </row>
    <row r="4085" customFormat="false" ht="14.25" hidden="false" customHeight="true" outlineLevel="0" collapsed="false">
      <c r="A4085" s="51" t="n">
        <v>17890</v>
      </c>
      <c r="B4085" s="52" t="n">
        <v>40564.4715277778</v>
      </c>
      <c r="C4085" s="1" t="n">
        <v>2</v>
      </c>
      <c r="D4085" s="1" t="n">
        <v>602.090000000001</v>
      </c>
    </row>
    <row r="4086" customFormat="false" ht="14.25" hidden="false" customHeight="true" outlineLevel="0" collapsed="false">
      <c r="A4086" s="51" t="n">
        <v>17891</v>
      </c>
      <c r="B4086" s="52" t="n">
        <v>40724.8388888889</v>
      </c>
      <c r="C4086" s="1" t="n">
        <v>1</v>
      </c>
      <c r="D4086" s="1" t="n">
        <v>203.86</v>
      </c>
    </row>
    <row r="4087" customFormat="false" ht="14.25" hidden="false" customHeight="true" outlineLevel="0" collapsed="false">
      <c r="A4087" s="51" t="n">
        <v>17892</v>
      </c>
      <c r="B4087" s="52" t="n">
        <v>40830.7006944444</v>
      </c>
      <c r="C4087" s="1" t="n">
        <v>3</v>
      </c>
      <c r="D4087" s="1" t="n">
        <v>244.1</v>
      </c>
    </row>
    <row r="4088" customFormat="false" ht="14.25" hidden="false" customHeight="true" outlineLevel="0" collapsed="false">
      <c r="A4088" s="51" t="n">
        <v>17893</v>
      </c>
      <c r="B4088" s="52" t="n">
        <v>40661.5763888889</v>
      </c>
      <c r="C4088" s="1" t="n">
        <v>1</v>
      </c>
      <c r="D4088" s="1" t="n">
        <v>112.25</v>
      </c>
    </row>
    <row r="4089" customFormat="false" ht="14.25" hidden="false" customHeight="true" outlineLevel="0" collapsed="false">
      <c r="A4089" s="51" t="n">
        <v>17894</v>
      </c>
      <c r="B4089" s="52" t="n">
        <v>40815.3909722222</v>
      </c>
      <c r="C4089" s="1" t="n">
        <v>8</v>
      </c>
      <c r="D4089" s="1" t="n">
        <v>1119.81</v>
      </c>
    </row>
    <row r="4090" customFormat="false" ht="14.25" hidden="false" customHeight="true" outlineLevel="0" collapsed="false">
      <c r="A4090" s="51" t="n">
        <v>17895</v>
      </c>
      <c r="B4090" s="52" t="n">
        <v>40842.7083333333</v>
      </c>
      <c r="C4090" s="1" t="n">
        <v>1</v>
      </c>
      <c r="D4090" s="1" t="n">
        <v>98</v>
      </c>
    </row>
    <row r="4091" customFormat="false" ht="14.25" hidden="false" customHeight="true" outlineLevel="0" collapsed="false">
      <c r="A4091" s="51" t="n">
        <v>17896</v>
      </c>
      <c r="B4091" s="52" t="n">
        <v>40863.5826388889</v>
      </c>
      <c r="C4091" s="1" t="n">
        <v>1</v>
      </c>
      <c r="D4091" s="1" t="n">
        <v>256.32</v>
      </c>
    </row>
    <row r="4092" customFormat="false" ht="14.25" hidden="false" customHeight="true" outlineLevel="0" collapsed="false">
      <c r="A4092" s="51" t="n">
        <v>17897</v>
      </c>
      <c r="B4092" s="52" t="n">
        <v>40714.4743055556</v>
      </c>
      <c r="C4092" s="1" t="n">
        <v>4</v>
      </c>
      <c r="D4092" s="1" t="n">
        <v>541.1</v>
      </c>
    </row>
    <row r="4093" customFormat="false" ht="14.25" hidden="false" customHeight="true" outlineLevel="0" collapsed="false">
      <c r="A4093" s="51" t="n">
        <v>17898</v>
      </c>
      <c r="B4093" s="52" t="n">
        <v>40801.6222222222</v>
      </c>
      <c r="C4093" s="1" t="n">
        <v>2</v>
      </c>
      <c r="D4093" s="1" t="n">
        <v>152.06</v>
      </c>
    </row>
    <row r="4094" customFormat="false" ht="14.25" hidden="false" customHeight="true" outlineLevel="0" collapsed="false">
      <c r="A4094" s="51" t="n">
        <v>17899</v>
      </c>
      <c r="B4094" s="52" t="n">
        <v>40727.6236111111</v>
      </c>
      <c r="C4094" s="1" t="n">
        <v>1</v>
      </c>
      <c r="D4094" s="1" t="n">
        <v>155.8</v>
      </c>
    </row>
    <row r="4095" customFormat="false" ht="14.25" hidden="false" customHeight="true" outlineLevel="0" collapsed="false">
      <c r="A4095" s="51" t="n">
        <v>17900</v>
      </c>
      <c r="B4095" s="52" t="n">
        <v>40722.50625</v>
      </c>
      <c r="C4095" s="1" t="n">
        <v>4</v>
      </c>
      <c r="D4095" s="1" t="n">
        <v>15</v>
      </c>
    </row>
    <row r="4096" customFormat="false" ht="14.25" hidden="false" customHeight="true" outlineLevel="0" collapsed="false">
      <c r="A4096" s="51" t="n">
        <v>17901</v>
      </c>
      <c r="B4096" s="52" t="n">
        <v>40857.7284722222</v>
      </c>
      <c r="C4096" s="1" t="n">
        <v>1</v>
      </c>
      <c r="D4096" s="1" t="n">
        <v>110.38</v>
      </c>
    </row>
    <row r="4097" customFormat="false" ht="14.25" hidden="false" customHeight="true" outlineLevel="0" collapsed="false">
      <c r="A4097" s="51" t="n">
        <v>17904</v>
      </c>
      <c r="B4097" s="52" t="n">
        <v>40865.58125</v>
      </c>
      <c r="C4097" s="1" t="n">
        <v>2</v>
      </c>
      <c r="D4097" s="1" t="n">
        <v>178.92</v>
      </c>
    </row>
    <row r="4098" customFormat="false" ht="14.25" hidden="false" customHeight="true" outlineLevel="0" collapsed="false">
      <c r="A4098" s="51" t="n">
        <v>17905</v>
      </c>
      <c r="B4098" s="52" t="n">
        <v>40815.73125</v>
      </c>
      <c r="C4098" s="1" t="n">
        <v>4</v>
      </c>
      <c r="D4098" s="1" t="n">
        <v>800.24</v>
      </c>
    </row>
    <row r="4099" customFormat="false" ht="14.25" hidden="false" customHeight="true" outlineLevel="0" collapsed="false">
      <c r="A4099" s="51" t="n">
        <v>17906</v>
      </c>
      <c r="B4099" s="52" t="n">
        <v>40639.7256944445</v>
      </c>
      <c r="C4099" s="1" t="n">
        <v>1</v>
      </c>
      <c r="D4099" s="1" t="n">
        <v>72.9</v>
      </c>
    </row>
    <row r="4100" customFormat="false" ht="14.25" hidden="false" customHeight="true" outlineLevel="0" collapsed="false">
      <c r="A4100" s="51" t="n">
        <v>17908</v>
      </c>
      <c r="B4100" s="52" t="n">
        <v>40513.4895833333</v>
      </c>
      <c r="C4100" s="1" t="n">
        <v>1</v>
      </c>
      <c r="D4100" s="1" t="n">
        <v>243.28</v>
      </c>
    </row>
    <row r="4101" customFormat="false" ht="14.25" hidden="false" customHeight="true" outlineLevel="0" collapsed="false">
      <c r="A4101" s="51" t="n">
        <v>17911</v>
      </c>
      <c r="B4101" s="52" t="n">
        <v>40877.6194444444</v>
      </c>
      <c r="C4101" s="1" t="n">
        <v>1</v>
      </c>
      <c r="D4101" s="1" t="n">
        <v>366.23</v>
      </c>
    </row>
    <row r="4102" customFormat="false" ht="14.25" hidden="false" customHeight="true" outlineLevel="0" collapsed="false">
      <c r="A4102" s="51" t="n">
        <v>17912</v>
      </c>
      <c r="B4102" s="52" t="n">
        <v>40576.6006944445</v>
      </c>
      <c r="C4102" s="1" t="n">
        <v>6</v>
      </c>
      <c r="D4102" s="1" t="n">
        <v>295.61</v>
      </c>
    </row>
    <row r="4103" customFormat="false" ht="14.25" hidden="false" customHeight="true" outlineLevel="0" collapsed="false">
      <c r="A4103" s="51" t="n">
        <v>17913</v>
      </c>
      <c r="B4103" s="52" t="n">
        <v>40828.4479166667</v>
      </c>
      <c r="C4103" s="1" t="n">
        <v>2</v>
      </c>
      <c r="D4103" s="1" t="n">
        <v>411.6</v>
      </c>
    </row>
    <row r="4104" customFormat="false" ht="14.25" hidden="false" customHeight="true" outlineLevel="0" collapsed="false">
      <c r="A4104" s="51" t="n">
        <v>17914</v>
      </c>
      <c r="B4104" s="52" t="n">
        <v>40883.4986111111</v>
      </c>
      <c r="C4104" s="1" t="n">
        <v>1</v>
      </c>
      <c r="D4104" s="1" t="n">
        <v>336.43</v>
      </c>
    </row>
    <row r="4105" customFormat="false" ht="14.25" hidden="false" customHeight="true" outlineLevel="0" collapsed="false">
      <c r="A4105" s="51" t="n">
        <v>17917</v>
      </c>
      <c r="B4105" s="52" t="n">
        <v>40841.5555555556</v>
      </c>
      <c r="C4105" s="1" t="n">
        <v>3</v>
      </c>
      <c r="D4105" s="1" t="n">
        <v>341.28</v>
      </c>
    </row>
    <row r="4106" customFormat="false" ht="14.25" hidden="false" customHeight="true" outlineLevel="0" collapsed="false">
      <c r="A4106" s="51" t="n">
        <v>17919</v>
      </c>
      <c r="B4106" s="52" t="n">
        <v>40798.5701388889</v>
      </c>
      <c r="C4106" s="1" t="n">
        <v>1</v>
      </c>
      <c r="D4106" s="1" t="n">
        <v>1304.04</v>
      </c>
    </row>
    <row r="4107" customFormat="false" ht="14.25" hidden="false" customHeight="true" outlineLevel="0" collapsed="false">
      <c r="A4107" s="51" t="n">
        <v>17920</v>
      </c>
      <c r="B4107" s="52" t="n">
        <v>40882.6034722222</v>
      </c>
      <c r="C4107" s="1" t="n">
        <v>17</v>
      </c>
      <c r="D4107" s="1" t="n">
        <v>4204.09999999999</v>
      </c>
    </row>
    <row r="4108" customFormat="false" ht="14.25" hidden="false" customHeight="true" outlineLevel="0" collapsed="false">
      <c r="A4108" s="51" t="n">
        <v>17921</v>
      </c>
      <c r="B4108" s="52" t="n">
        <v>40822.7888888889</v>
      </c>
      <c r="C4108" s="1" t="n">
        <v>4</v>
      </c>
      <c r="D4108" s="1" t="n">
        <v>826.52</v>
      </c>
    </row>
    <row r="4109" customFormat="false" ht="14.25" hidden="false" customHeight="true" outlineLevel="0" collapsed="false">
      <c r="A4109" s="51" t="n">
        <v>17923</v>
      </c>
      <c r="B4109" s="52" t="n">
        <v>40604.6354166667</v>
      </c>
      <c r="C4109" s="1" t="n">
        <v>1</v>
      </c>
      <c r="D4109" s="1" t="n">
        <v>207.5</v>
      </c>
    </row>
    <row r="4110" customFormat="false" ht="14.25" hidden="false" customHeight="true" outlineLevel="0" collapsed="false">
      <c r="A4110" s="51" t="n">
        <v>17924</v>
      </c>
      <c r="B4110" s="52" t="n">
        <v>40885.8111111111</v>
      </c>
      <c r="C4110" s="1" t="n">
        <v>13</v>
      </c>
      <c r="D4110" s="1" t="n">
        <v>2894.33</v>
      </c>
    </row>
    <row r="4111" customFormat="false" ht="14.25" hidden="false" customHeight="true" outlineLevel="0" collapsed="false">
      <c r="A4111" s="51" t="n">
        <v>17925</v>
      </c>
      <c r="B4111" s="52" t="n">
        <v>40514.4236111111</v>
      </c>
      <c r="C4111" s="1" t="n">
        <v>1</v>
      </c>
      <c r="D4111" s="1" t="n">
        <v>244.08</v>
      </c>
    </row>
    <row r="4112" customFormat="false" ht="14.25" hidden="false" customHeight="true" outlineLevel="0" collapsed="false">
      <c r="A4112" s="51" t="n">
        <v>17926</v>
      </c>
      <c r="B4112" s="52" t="n">
        <v>40753.6104166667</v>
      </c>
      <c r="C4112" s="1" t="n">
        <v>2</v>
      </c>
      <c r="D4112" s="1" t="n">
        <v>397.29</v>
      </c>
    </row>
    <row r="4113" customFormat="false" ht="14.25" hidden="false" customHeight="true" outlineLevel="0" collapsed="false">
      <c r="A4113" s="51" t="n">
        <v>17928</v>
      </c>
      <c r="B4113" s="52" t="n">
        <v>40841.5777777778</v>
      </c>
      <c r="C4113" s="1" t="n">
        <v>2</v>
      </c>
      <c r="D4113" s="1" t="n">
        <v>212.54</v>
      </c>
    </row>
    <row r="4114" customFormat="false" ht="14.25" hidden="false" customHeight="true" outlineLevel="0" collapsed="false">
      <c r="A4114" s="51" t="n">
        <v>17929</v>
      </c>
      <c r="B4114" s="52" t="n">
        <v>40875.6673611111</v>
      </c>
      <c r="C4114" s="1" t="n">
        <v>5</v>
      </c>
      <c r="D4114" s="1" t="n">
        <v>834.5</v>
      </c>
    </row>
    <row r="4115" customFormat="false" ht="14.25" hidden="false" customHeight="true" outlineLevel="0" collapsed="false">
      <c r="A4115" s="51" t="n">
        <v>17930</v>
      </c>
      <c r="B4115" s="52" t="n">
        <v>40851.4326388889</v>
      </c>
      <c r="C4115" s="1" t="n">
        <v>5</v>
      </c>
      <c r="D4115" s="1" t="n">
        <v>1740.48</v>
      </c>
    </row>
    <row r="4116" customFormat="false" ht="14.25" hidden="false" customHeight="true" outlineLevel="0" collapsed="false">
      <c r="A4116" s="51" t="n">
        <v>17931</v>
      </c>
      <c r="B4116" s="52" t="n">
        <v>40752.7729166667</v>
      </c>
      <c r="C4116" s="1" t="n">
        <v>2</v>
      </c>
      <c r="D4116" s="1" t="n">
        <v>408.36</v>
      </c>
    </row>
    <row r="4117" customFormat="false" ht="14.25" hidden="false" customHeight="true" outlineLevel="0" collapsed="false">
      <c r="A4117" s="51" t="n">
        <v>17932</v>
      </c>
      <c r="B4117" s="52" t="n">
        <v>40857.8256944444</v>
      </c>
      <c r="C4117" s="1" t="n">
        <v>3</v>
      </c>
      <c r="D4117" s="1" t="n">
        <v>1331.57</v>
      </c>
    </row>
    <row r="4118" customFormat="false" ht="14.25" hidden="false" customHeight="true" outlineLevel="0" collapsed="false">
      <c r="A4118" s="51" t="n">
        <v>17934</v>
      </c>
      <c r="B4118" s="52" t="n">
        <v>40835.4694444445</v>
      </c>
      <c r="C4118" s="1" t="n">
        <v>2</v>
      </c>
      <c r="D4118" s="1" t="n">
        <v>704.25</v>
      </c>
    </row>
    <row r="4119" customFormat="false" ht="14.25" hidden="false" customHeight="true" outlineLevel="0" collapsed="false">
      <c r="A4119" s="51" t="n">
        <v>17935</v>
      </c>
      <c r="B4119" s="52" t="n">
        <v>40748.5541666667</v>
      </c>
      <c r="C4119" s="1" t="n">
        <v>2</v>
      </c>
      <c r="D4119" s="1" t="n">
        <v>145.79</v>
      </c>
    </row>
    <row r="4120" customFormat="false" ht="14.25" hidden="false" customHeight="true" outlineLevel="0" collapsed="false">
      <c r="A4120" s="51" t="n">
        <v>17936</v>
      </c>
      <c r="B4120" s="52" t="n">
        <v>40881.5638888889</v>
      </c>
      <c r="C4120" s="1" t="n">
        <v>1</v>
      </c>
      <c r="D4120" s="1" t="n">
        <v>389.84</v>
      </c>
    </row>
    <row r="4121" customFormat="false" ht="14.25" hidden="false" customHeight="true" outlineLevel="0" collapsed="false">
      <c r="A4121" s="51" t="n">
        <v>17937</v>
      </c>
      <c r="B4121" s="52" t="n">
        <v>40878.4895833333</v>
      </c>
      <c r="C4121" s="1" t="n">
        <v>7</v>
      </c>
      <c r="D4121" s="1" t="n">
        <v>4301.22</v>
      </c>
    </row>
    <row r="4122" customFormat="false" ht="14.25" hidden="false" customHeight="true" outlineLevel="0" collapsed="false">
      <c r="A4122" s="51" t="n">
        <v>17939</v>
      </c>
      <c r="B4122" s="52" t="n">
        <v>40727.51875</v>
      </c>
      <c r="C4122" s="1" t="n">
        <v>1</v>
      </c>
      <c r="D4122" s="1" t="n">
        <v>99.14</v>
      </c>
    </row>
    <row r="4123" customFormat="false" ht="14.25" hidden="false" customHeight="true" outlineLevel="0" collapsed="false">
      <c r="A4123" s="51" t="n">
        <v>17940</v>
      </c>
      <c r="B4123" s="52" t="n">
        <v>40837.5604166667</v>
      </c>
      <c r="C4123" s="1" t="n">
        <v>14</v>
      </c>
      <c r="D4123" s="1" t="n">
        <v>1983.58</v>
      </c>
    </row>
    <row r="4124" customFormat="false" ht="14.25" hidden="false" customHeight="true" outlineLevel="0" collapsed="false">
      <c r="A4124" s="51" t="n">
        <v>17941</v>
      </c>
      <c r="B4124" s="52" t="n">
        <v>40756.3541666667</v>
      </c>
      <c r="C4124" s="1" t="n">
        <v>1</v>
      </c>
      <c r="D4124" s="1" t="n">
        <v>304.56</v>
      </c>
    </row>
    <row r="4125" customFormat="false" ht="14.25" hidden="false" customHeight="true" outlineLevel="0" collapsed="false">
      <c r="A4125" s="51" t="n">
        <v>17942</v>
      </c>
      <c r="B4125" s="52" t="n">
        <v>40879.4479166667</v>
      </c>
      <c r="C4125" s="1" t="n">
        <v>1</v>
      </c>
      <c r="D4125" s="1" t="n">
        <v>77.5</v>
      </c>
    </row>
    <row r="4126" customFormat="false" ht="14.25" hidden="false" customHeight="true" outlineLevel="0" collapsed="false">
      <c r="A4126" s="51" t="n">
        <v>17946</v>
      </c>
      <c r="B4126" s="52" t="n">
        <v>40653.7083333333</v>
      </c>
      <c r="C4126" s="1" t="n">
        <v>2</v>
      </c>
      <c r="D4126" s="1" t="n">
        <v>149.58</v>
      </c>
    </row>
    <row r="4127" customFormat="false" ht="14.25" hidden="false" customHeight="true" outlineLevel="0" collapsed="false">
      <c r="A4127" s="51" t="n">
        <v>17947</v>
      </c>
      <c r="B4127" s="52" t="n">
        <v>40849.5451388889</v>
      </c>
      <c r="C4127" s="1" t="n">
        <v>1</v>
      </c>
      <c r="D4127" s="1" t="n">
        <v>176.68</v>
      </c>
    </row>
    <row r="4128" customFormat="false" ht="14.25" hidden="false" customHeight="true" outlineLevel="0" collapsed="false">
      <c r="A4128" s="51" t="n">
        <v>17948</v>
      </c>
      <c r="B4128" s="52" t="n">
        <v>40739.5402777778</v>
      </c>
      <c r="C4128" s="1" t="n">
        <v>1</v>
      </c>
      <c r="D4128" s="1" t="n">
        <v>358.56</v>
      </c>
    </row>
    <row r="4129" customFormat="false" ht="14.25" hidden="false" customHeight="true" outlineLevel="0" collapsed="false">
      <c r="A4129" s="51" t="n">
        <v>17949</v>
      </c>
      <c r="B4129" s="52" t="n">
        <v>40885.7819444445</v>
      </c>
      <c r="C4129" s="1" t="n">
        <v>52</v>
      </c>
      <c r="D4129" s="1" t="n">
        <v>52750.84</v>
      </c>
    </row>
    <row r="4130" customFormat="false" ht="14.25" hidden="false" customHeight="true" outlineLevel="0" collapsed="false">
      <c r="A4130" s="51" t="n">
        <v>17950</v>
      </c>
      <c r="B4130" s="52" t="n">
        <v>40814.6375</v>
      </c>
      <c r="C4130" s="1" t="n">
        <v>4</v>
      </c>
      <c r="D4130" s="1" t="n">
        <v>472.12</v>
      </c>
    </row>
    <row r="4131" customFormat="false" ht="14.25" hidden="false" customHeight="true" outlineLevel="0" collapsed="false">
      <c r="A4131" s="51" t="n">
        <v>17951</v>
      </c>
      <c r="B4131" s="52" t="n">
        <v>40847.5208333333</v>
      </c>
      <c r="C4131" s="1" t="n">
        <v>4</v>
      </c>
      <c r="D4131" s="1" t="n">
        <v>990.84</v>
      </c>
    </row>
    <row r="4132" customFormat="false" ht="14.25" hidden="false" customHeight="true" outlineLevel="0" collapsed="false">
      <c r="A4132" s="51" t="n">
        <v>17954</v>
      </c>
      <c r="B4132" s="52" t="n">
        <v>40881.59375</v>
      </c>
      <c r="C4132" s="1" t="n">
        <v>16</v>
      </c>
      <c r="D4132" s="1" t="n">
        <v>2295.37</v>
      </c>
    </row>
    <row r="4133" customFormat="false" ht="14.25" hidden="false" customHeight="true" outlineLevel="0" collapsed="false">
      <c r="A4133" s="51" t="n">
        <v>17955</v>
      </c>
      <c r="B4133" s="52" t="n">
        <v>40688.5</v>
      </c>
      <c r="C4133" s="1" t="n">
        <v>4</v>
      </c>
      <c r="D4133" s="1" t="n">
        <v>557.3</v>
      </c>
    </row>
    <row r="4134" customFormat="false" ht="14.25" hidden="false" customHeight="true" outlineLevel="0" collapsed="false">
      <c r="A4134" s="51" t="n">
        <v>17956</v>
      </c>
      <c r="B4134" s="52" t="n">
        <v>40637.5743055556</v>
      </c>
      <c r="C4134" s="1" t="n">
        <v>1</v>
      </c>
      <c r="D4134" s="1" t="n">
        <v>12.75</v>
      </c>
    </row>
    <row r="4135" customFormat="false" ht="14.25" hidden="false" customHeight="true" outlineLevel="0" collapsed="false">
      <c r="A4135" s="51" t="n">
        <v>17957</v>
      </c>
      <c r="B4135" s="52" t="n">
        <v>40820.6236111111</v>
      </c>
      <c r="C4135" s="1" t="n">
        <v>1</v>
      </c>
      <c r="D4135" s="1" t="n">
        <v>111.68</v>
      </c>
    </row>
    <row r="4136" customFormat="false" ht="14.25" hidden="false" customHeight="true" outlineLevel="0" collapsed="false">
      <c r="A4136" s="51" t="n">
        <v>17958</v>
      </c>
      <c r="B4136" s="52" t="n">
        <v>40770.5131944444</v>
      </c>
      <c r="C4136" s="1" t="n">
        <v>1</v>
      </c>
      <c r="D4136" s="1" t="n">
        <v>508.46</v>
      </c>
    </row>
    <row r="4137" customFormat="false" ht="14.25" hidden="false" customHeight="true" outlineLevel="0" collapsed="false">
      <c r="A4137" s="51" t="n">
        <v>17960</v>
      </c>
      <c r="B4137" s="52" t="n">
        <v>40715.59375</v>
      </c>
      <c r="C4137" s="1" t="n">
        <v>1</v>
      </c>
      <c r="D4137" s="1" t="n">
        <v>73.78</v>
      </c>
    </row>
    <row r="4138" customFormat="false" ht="14.25" hidden="false" customHeight="true" outlineLevel="0" collapsed="false">
      <c r="A4138" s="51" t="n">
        <v>17961</v>
      </c>
      <c r="B4138" s="52" t="n">
        <v>40865.7048611111</v>
      </c>
      <c r="C4138" s="1" t="n">
        <v>39</v>
      </c>
      <c r="D4138" s="1" t="n">
        <v>1296.44</v>
      </c>
    </row>
    <row r="4139" customFormat="false" ht="14.25" hidden="false" customHeight="true" outlineLevel="0" collapsed="false">
      <c r="A4139" s="51" t="n">
        <v>17962</v>
      </c>
      <c r="B4139" s="52" t="n">
        <v>40744.5944444445</v>
      </c>
      <c r="C4139" s="1" t="n">
        <v>1</v>
      </c>
      <c r="D4139" s="1" t="n">
        <v>102.83</v>
      </c>
    </row>
    <row r="4140" customFormat="false" ht="14.25" hidden="false" customHeight="true" outlineLevel="0" collapsed="false">
      <c r="A4140" s="51" t="n">
        <v>17964</v>
      </c>
      <c r="B4140" s="52" t="n">
        <v>40855.4472222222</v>
      </c>
      <c r="C4140" s="1" t="n">
        <v>2</v>
      </c>
      <c r="D4140" s="1" t="n">
        <v>471.7</v>
      </c>
    </row>
    <row r="4141" customFormat="false" ht="14.25" hidden="false" customHeight="true" outlineLevel="0" collapsed="false">
      <c r="A4141" s="51" t="n">
        <v>17965</v>
      </c>
      <c r="B4141" s="52" t="n">
        <v>40849.3965277778</v>
      </c>
      <c r="C4141" s="1" t="n">
        <v>14</v>
      </c>
      <c r="D4141" s="1" t="n">
        <v>2622.57</v>
      </c>
    </row>
    <row r="4142" customFormat="false" ht="14.25" hidden="false" customHeight="true" outlineLevel="0" collapsed="false">
      <c r="A4142" s="51" t="n">
        <v>17966</v>
      </c>
      <c r="B4142" s="52" t="n">
        <v>40849.4347222222</v>
      </c>
      <c r="C4142" s="1" t="n">
        <v>5</v>
      </c>
      <c r="D4142" s="1" t="n">
        <v>1098.43</v>
      </c>
    </row>
    <row r="4143" customFormat="false" ht="14.25" hidden="false" customHeight="true" outlineLevel="0" collapsed="false">
      <c r="A4143" s="51" t="n">
        <v>17967</v>
      </c>
      <c r="B4143" s="52" t="n">
        <v>40515.4715277778</v>
      </c>
      <c r="C4143" s="1" t="n">
        <v>1</v>
      </c>
      <c r="D4143" s="1" t="n">
        <v>123.07</v>
      </c>
    </row>
    <row r="4144" customFormat="false" ht="14.25" hidden="false" customHeight="true" outlineLevel="0" collapsed="false">
      <c r="A4144" s="51" t="n">
        <v>17968</v>
      </c>
      <c r="B4144" s="52" t="n">
        <v>40513.5159722222</v>
      </c>
      <c r="C4144" s="1" t="n">
        <v>1</v>
      </c>
      <c r="D4144" s="1" t="n">
        <v>277.35</v>
      </c>
    </row>
    <row r="4145" customFormat="false" ht="14.25" hidden="false" customHeight="true" outlineLevel="0" collapsed="false">
      <c r="A4145" s="51" t="n">
        <v>17969</v>
      </c>
      <c r="B4145" s="52" t="n">
        <v>40720.5416666667</v>
      </c>
      <c r="C4145" s="1" t="n">
        <v>2</v>
      </c>
      <c r="D4145" s="1" t="n">
        <v>228.2</v>
      </c>
    </row>
    <row r="4146" customFormat="false" ht="14.25" hidden="false" customHeight="true" outlineLevel="0" collapsed="false">
      <c r="A4146" s="51" t="n">
        <v>17970</v>
      </c>
      <c r="B4146" s="52" t="n">
        <v>40675.8354166667</v>
      </c>
      <c r="C4146" s="1" t="n">
        <v>1</v>
      </c>
      <c r="D4146" s="1" t="n">
        <v>582.59</v>
      </c>
    </row>
    <row r="4147" customFormat="false" ht="14.25" hidden="false" customHeight="true" outlineLevel="0" collapsed="false">
      <c r="A4147" s="51" t="n">
        <v>17972</v>
      </c>
      <c r="B4147" s="52" t="n">
        <v>40645.5111111111</v>
      </c>
      <c r="C4147" s="1" t="n">
        <v>1</v>
      </c>
      <c r="D4147" s="1" t="n">
        <v>136.04</v>
      </c>
    </row>
    <row r="4148" customFormat="false" ht="14.25" hidden="false" customHeight="true" outlineLevel="0" collapsed="false">
      <c r="A4148" s="51" t="n">
        <v>17973</v>
      </c>
      <c r="B4148" s="52" t="n">
        <v>40835.4402777778</v>
      </c>
      <c r="C4148" s="1" t="n">
        <v>1</v>
      </c>
      <c r="D4148" s="1" t="n">
        <v>337.04</v>
      </c>
    </row>
    <row r="4149" customFormat="false" ht="14.25" hidden="false" customHeight="true" outlineLevel="0" collapsed="false">
      <c r="A4149" s="51" t="n">
        <v>17974</v>
      </c>
      <c r="B4149" s="52" t="n">
        <v>40862.4840277778</v>
      </c>
      <c r="C4149" s="1" t="n">
        <v>3</v>
      </c>
      <c r="D4149" s="1" t="n">
        <v>740.79</v>
      </c>
    </row>
    <row r="4150" customFormat="false" ht="14.25" hidden="false" customHeight="true" outlineLevel="0" collapsed="false">
      <c r="A4150" s="51" t="n">
        <v>17975</v>
      </c>
      <c r="B4150" s="52" t="n">
        <v>40871.5604166667</v>
      </c>
      <c r="C4150" s="1" t="n">
        <v>14</v>
      </c>
      <c r="D4150" s="1" t="n">
        <v>4393.61</v>
      </c>
    </row>
    <row r="4151" customFormat="false" ht="14.25" hidden="false" customHeight="true" outlineLevel="0" collapsed="false">
      <c r="A4151" s="51" t="n">
        <v>17976</v>
      </c>
      <c r="B4151" s="52" t="n">
        <v>40514.5756944444</v>
      </c>
      <c r="C4151" s="1" t="n">
        <v>1</v>
      </c>
      <c r="D4151" s="1" t="n">
        <v>353.19</v>
      </c>
    </row>
    <row r="4152" customFormat="false" ht="14.25" hidden="false" customHeight="true" outlineLevel="0" collapsed="false">
      <c r="A4152" s="51" t="n">
        <v>17977</v>
      </c>
      <c r="B4152" s="52" t="n">
        <v>40857.5611111111</v>
      </c>
      <c r="C4152" s="1" t="n">
        <v>1</v>
      </c>
      <c r="D4152" s="1" t="n">
        <v>288.14</v>
      </c>
    </row>
    <row r="4153" customFormat="false" ht="14.25" hidden="false" customHeight="true" outlineLevel="0" collapsed="false">
      <c r="A4153" s="51" t="n">
        <v>17978</v>
      </c>
      <c r="B4153" s="52" t="n">
        <v>40521.5868055556</v>
      </c>
      <c r="C4153" s="1" t="n">
        <v>1</v>
      </c>
      <c r="D4153" s="1" t="n">
        <v>300.92</v>
      </c>
    </row>
    <row r="4154" customFormat="false" ht="14.25" hidden="false" customHeight="true" outlineLevel="0" collapsed="false">
      <c r="A4154" s="51" t="n">
        <v>17979</v>
      </c>
      <c r="B4154" s="52" t="n">
        <v>40851.5034722222</v>
      </c>
      <c r="C4154" s="1" t="n">
        <v>5</v>
      </c>
      <c r="D4154" s="1" t="n">
        <v>737.81</v>
      </c>
    </row>
    <row r="4155" customFormat="false" ht="14.25" hidden="false" customHeight="true" outlineLevel="0" collapsed="false">
      <c r="A4155" s="51" t="n">
        <v>17980</v>
      </c>
      <c r="B4155" s="52" t="n">
        <v>40721.5006944445</v>
      </c>
      <c r="C4155" s="1" t="n">
        <v>3</v>
      </c>
      <c r="D4155" s="1" t="n">
        <v>811.45</v>
      </c>
    </row>
    <row r="4156" customFormat="false" ht="14.25" hidden="false" customHeight="true" outlineLevel="0" collapsed="false">
      <c r="A4156" s="51" t="n">
        <v>17984</v>
      </c>
      <c r="B4156" s="52" t="n">
        <v>40741.6659722222</v>
      </c>
      <c r="C4156" s="1" t="n">
        <v>1</v>
      </c>
      <c r="D4156" s="1" t="n">
        <v>152.68</v>
      </c>
    </row>
    <row r="4157" customFormat="false" ht="14.25" hidden="false" customHeight="true" outlineLevel="0" collapsed="false">
      <c r="A4157" s="51" t="n">
        <v>17985</v>
      </c>
      <c r="B4157" s="52" t="n">
        <v>40864.6</v>
      </c>
      <c r="C4157" s="1" t="n">
        <v>1</v>
      </c>
      <c r="D4157" s="1" t="n">
        <v>634.95</v>
      </c>
    </row>
    <row r="4158" customFormat="false" ht="14.25" hidden="false" customHeight="true" outlineLevel="0" collapsed="false">
      <c r="A4158" s="51" t="n">
        <v>17986</v>
      </c>
      <c r="B4158" s="52" t="n">
        <v>40830.5986111111</v>
      </c>
      <c r="C4158" s="1" t="n">
        <v>1</v>
      </c>
      <c r="D4158" s="1" t="n">
        <v>20.8</v>
      </c>
    </row>
    <row r="4159" customFormat="false" ht="14.25" hidden="false" customHeight="true" outlineLevel="0" collapsed="false">
      <c r="A4159" s="51" t="n">
        <v>17987</v>
      </c>
      <c r="B4159" s="52" t="n">
        <v>40701.5986111111</v>
      </c>
      <c r="C4159" s="1" t="n">
        <v>1</v>
      </c>
      <c r="D4159" s="1" t="n">
        <v>198.57</v>
      </c>
    </row>
    <row r="4160" customFormat="false" ht="14.25" hidden="false" customHeight="true" outlineLevel="0" collapsed="false">
      <c r="A4160" s="51" t="n">
        <v>17988</v>
      </c>
      <c r="B4160" s="52" t="n">
        <v>40875.4583333333</v>
      </c>
      <c r="C4160" s="1" t="n">
        <v>8</v>
      </c>
      <c r="D4160" s="1" t="n">
        <v>191.17</v>
      </c>
    </row>
    <row r="4161" customFormat="false" ht="14.25" hidden="false" customHeight="true" outlineLevel="0" collapsed="false">
      <c r="A4161" s="51" t="n">
        <v>17990</v>
      </c>
      <c r="B4161" s="52" t="n">
        <v>40650.4888888889</v>
      </c>
      <c r="C4161" s="1" t="n">
        <v>3</v>
      </c>
      <c r="D4161" s="1" t="n">
        <v>630.84</v>
      </c>
    </row>
    <row r="4162" customFormat="false" ht="14.25" hidden="false" customHeight="true" outlineLevel="0" collapsed="false">
      <c r="A4162" s="51" t="n">
        <v>17991</v>
      </c>
      <c r="B4162" s="52" t="n">
        <v>40661.6652777778</v>
      </c>
      <c r="C4162" s="1" t="n">
        <v>2</v>
      </c>
      <c r="D4162" s="1" t="n">
        <v>93.35</v>
      </c>
    </row>
    <row r="4163" customFormat="false" ht="14.25" hidden="false" customHeight="true" outlineLevel="0" collapsed="false">
      <c r="A4163" s="51" t="n">
        <v>17994</v>
      </c>
      <c r="B4163" s="52" t="n">
        <v>40765.4881944444</v>
      </c>
      <c r="C4163" s="1" t="n">
        <v>6</v>
      </c>
      <c r="D4163" s="1" t="n">
        <v>629.69</v>
      </c>
    </row>
    <row r="4164" customFormat="false" ht="14.25" hidden="false" customHeight="true" outlineLevel="0" collapsed="false">
      <c r="A4164" s="51" t="n">
        <v>17995</v>
      </c>
      <c r="B4164" s="52" t="n">
        <v>40605.5208333333</v>
      </c>
      <c r="C4164" s="1" t="n">
        <v>1</v>
      </c>
      <c r="D4164" s="1" t="n">
        <v>76.1</v>
      </c>
    </row>
    <row r="4165" customFormat="false" ht="14.25" hidden="false" customHeight="true" outlineLevel="0" collapsed="false">
      <c r="A4165" s="51" t="n">
        <v>17997</v>
      </c>
      <c r="B4165" s="52" t="n">
        <v>40812.6756944444</v>
      </c>
      <c r="C4165" s="1" t="n">
        <v>12</v>
      </c>
      <c r="D4165" s="1" t="n">
        <v>1511.3</v>
      </c>
    </row>
    <row r="4166" customFormat="false" ht="14.25" hidden="false" customHeight="true" outlineLevel="0" collapsed="false">
      <c r="A4166" s="51" t="n">
        <v>17999</v>
      </c>
      <c r="B4166" s="52" t="n">
        <v>40849.6638888889</v>
      </c>
      <c r="C4166" s="1" t="n">
        <v>2</v>
      </c>
      <c r="D4166" s="1" t="n">
        <v>382.06</v>
      </c>
    </row>
    <row r="4167" customFormat="false" ht="14.25" hidden="false" customHeight="true" outlineLevel="0" collapsed="false">
      <c r="A4167" s="51" t="n">
        <v>18001</v>
      </c>
      <c r="B4167" s="52" t="n">
        <v>40874.6680555556</v>
      </c>
      <c r="C4167" s="1" t="n">
        <v>2</v>
      </c>
      <c r="D4167" s="1" t="n">
        <v>417.23</v>
      </c>
    </row>
    <row r="4168" customFormat="false" ht="14.25" hidden="false" customHeight="true" outlineLevel="0" collapsed="false">
      <c r="A4168" s="51" t="n">
        <v>18004</v>
      </c>
      <c r="B4168" s="52" t="n">
        <v>40524.5743055556</v>
      </c>
      <c r="C4168" s="1" t="n">
        <v>1</v>
      </c>
      <c r="D4168" s="1" t="n">
        <v>169.47</v>
      </c>
    </row>
    <row r="4169" customFormat="false" ht="14.25" hidden="false" customHeight="true" outlineLevel="0" collapsed="false">
      <c r="A4169" s="51" t="n">
        <v>18005</v>
      </c>
      <c r="B4169" s="52" t="n">
        <v>40883.49375</v>
      </c>
      <c r="C4169" s="1" t="n">
        <v>2</v>
      </c>
      <c r="D4169" s="1" t="n">
        <v>249.72</v>
      </c>
    </row>
    <row r="4170" customFormat="false" ht="14.25" hidden="false" customHeight="true" outlineLevel="0" collapsed="false">
      <c r="A4170" s="51" t="n">
        <v>18006</v>
      </c>
      <c r="B4170" s="52" t="n">
        <v>40863.7027777778</v>
      </c>
      <c r="C4170" s="1" t="n">
        <v>1</v>
      </c>
      <c r="D4170" s="1" t="n">
        <v>444.68</v>
      </c>
    </row>
    <row r="4171" customFormat="false" ht="14.25" hidden="false" customHeight="true" outlineLevel="0" collapsed="false">
      <c r="A4171" s="51" t="n">
        <v>18008</v>
      </c>
      <c r="B4171" s="52" t="n">
        <v>40816.6368055556</v>
      </c>
      <c r="C4171" s="1" t="n">
        <v>9</v>
      </c>
      <c r="D4171" s="1" t="n">
        <v>2116.19</v>
      </c>
    </row>
    <row r="4172" customFormat="false" ht="14.25" hidden="false" customHeight="true" outlineLevel="0" collapsed="false">
      <c r="A4172" s="51" t="n">
        <v>18009</v>
      </c>
      <c r="B4172" s="52" t="n">
        <v>40651.5777777778</v>
      </c>
      <c r="C4172" s="1" t="n">
        <v>2</v>
      </c>
      <c r="D4172" s="1" t="n">
        <v>252.24</v>
      </c>
    </row>
    <row r="4173" customFormat="false" ht="14.25" hidden="false" customHeight="true" outlineLevel="0" collapsed="false">
      <c r="A4173" s="51" t="n">
        <v>18010</v>
      </c>
      <c r="B4173" s="52" t="n">
        <v>40630.51875</v>
      </c>
      <c r="C4173" s="1" t="n">
        <v>1</v>
      </c>
      <c r="D4173" s="1" t="n">
        <v>174.8</v>
      </c>
    </row>
    <row r="4174" customFormat="false" ht="14.25" hidden="false" customHeight="true" outlineLevel="0" collapsed="false">
      <c r="A4174" s="51" t="n">
        <v>18011</v>
      </c>
      <c r="B4174" s="52" t="n">
        <v>40513.7326388889</v>
      </c>
      <c r="C4174" s="1" t="n">
        <v>1</v>
      </c>
      <c r="D4174" s="1" t="n">
        <v>102.79</v>
      </c>
    </row>
    <row r="4175" customFormat="false" ht="14.25" hidden="false" customHeight="true" outlineLevel="0" collapsed="false">
      <c r="A4175" s="51" t="n">
        <v>18013</v>
      </c>
      <c r="B4175" s="52" t="n">
        <v>40731.5909722222</v>
      </c>
      <c r="C4175" s="1" t="n">
        <v>2</v>
      </c>
      <c r="D4175" s="1" t="n">
        <v>187.29</v>
      </c>
    </row>
    <row r="4176" customFormat="false" ht="14.25" hidden="false" customHeight="true" outlineLevel="0" collapsed="false">
      <c r="A4176" s="51" t="n">
        <v>18014</v>
      </c>
      <c r="B4176" s="52" t="n">
        <v>40858.6444444444</v>
      </c>
      <c r="C4176" s="1" t="n">
        <v>1</v>
      </c>
      <c r="D4176" s="1" t="n">
        <v>166.42</v>
      </c>
    </row>
    <row r="4177" customFormat="false" ht="14.25" hidden="false" customHeight="true" outlineLevel="0" collapsed="false">
      <c r="A4177" s="51" t="n">
        <v>18015</v>
      </c>
      <c r="B4177" s="52" t="n">
        <v>40882.6173611111</v>
      </c>
      <c r="C4177" s="1" t="n">
        <v>1</v>
      </c>
      <c r="D4177" s="1" t="n">
        <v>120.03</v>
      </c>
    </row>
    <row r="4178" customFormat="false" ht="14.25" hidden="false" customHeight="true" outlineLevel="0" collapsed="false">
      <c r="A4178" s="51" t="n">
        <v>18016</v>
      </c>
      <c r="B4178" s="52" t="n">
        <v>40854.5590277778</v>
      </c>
      <c r="C4178" s="1" t="n">
        <v>5</v>
      </c>
      <c r="D4178" s="1" t="n">
        <v>1483.56</v>
      </c>
    </row>
    <row r="4179" customFormat="false" ht="14.25" hidden="false" customHeight="true" outlineLevel="0" collapsed="false">
      <c r="A4179" s="51" t="n">
        <v>18017</v>
      </c>
      <c r="B4179" s="52" t="n">
        <v>40805.6770833333</v>
      </c>
      <c r="C4179" s="1" t="n">
        <v>3</v>
      </c>
      <c r="D4179" s="1" t="n">
        <v>523</v>
      </c>
    </row>
    <row r="4180" customFormat="false" ht="14.25" hidden="false" customHeight="true" outlineLevel="0" collapsed="false">
      <c r="A4180" s="51" t="n">
        <v>18018</v>
      </c>
      <c r="B4180" s="52" t="n">
        <v>40778.7340277778</v>
      </c>
      <c r="C4180" s="1" t="n">
        <v>2</v>
      </c>
      <c r="D4180" s="1" t="n">
        <v>122.14</v>
      </c>
    </row>
    <row r="4181" customFormat="false" ht="14.25" hidden="false" customHeight="true" outlineLevel="0" collapsed="false">
      <c r="A4181" s="51" t="n">
        <v>18019</v>
      </c>
      <c r="B4181" s="52" t="n">
        <v>40835.5069444445</v>
      </c>
      <c r="C4181" s="1" t="n">
        <v>1</v>
      </c>
      <c r="D4181" s="1" t="n">
        <v>38.45</v>
      </c>
    </row>
    <row r="4182" customFormat="false" ht="14.25" hidden="false" customHeight="true" outlineLevel="0" collapsed="false">
      <c r="A4182" s="51" t="n">
        <v>18022</v>
      </c>
      <c r="B4182" s="52" t="n">
        <v>40851.53125</v>
      </c>
      <c r="C4182" s="1" t="n">
        <v>1</v>
      </c>
      <c r="D4182" s="1" t="n">
        <v>668.11</v>
      </c>
    </row>
    <row r="4183" customFormat="false" ht="14.25" hidden="false" customHeight="true" outlineLevel="0" collapsed="false">
      <c r="A4183" s="51" t="n">
        <v>18024</v>
      </c>
      <c r="B4183" s="52" t="n">
        <v>40734.5277777778</v>
      </c>
      <c r="C4183" s="1" t="n">
        <v>3</v>
      </c>
      <c r="D4183" s="1" t="n">
        <v>236.78</v>
      </c>
    </row>
    <row r="4184" customFormat="false" ht="14.25" hidden="false" customHeight="true" outlineLevel="0" collapsed="false">
      <c r="A4184" s="51" t="n">
        <v>18027</v>
      </c>
      <c r="B4184" s="52" t="n">
        <v>40788.4430555556</v>
      </c>
      <c r="C4184" s="1" t="n">
        <v>1</v>
      </c>
      <c r="D4184" s="1" t="n">
        <v>115.31</v>
      </c>
    </row>
    <row r="4185" customFormat="false" ht="14.25" hidden="false" customHeight="true" outlineLevel="0" collapsed="false">
      <c r="A4185" s="51" t="n">
        <v>18030</v>
      </c>
      <c r="B4185" s="52" t="n">
        <v>40882.6923611111</v>
      </c>
      <c r="C4185" s="1" t="n">
        <v>3</v>
      </c>
      <c r="D4185" s="1" t="n">
        <v>220.7</v>
      </c>
    </row>
    <row r="4186" customFormat="false" ht="14.25" hidden="false" customHeight="true" outlineLevel="0" collapsed="false">
      <c r="A4186" s="51" t="n">
        <v>18032</v>
      </c>
      <c r="B4186" s="52" t="n">
        <v>40552.6472222222</v>
      </c>
      <c r="C4186" s="1" t="n">
        <v>1</v>
      </c>
      <c r="D4186" s="1" t="n">
        <v>73.5</v>
      </c>
    </row>
    <row r="4187" customFormat="false" ht="14.25" hidden="false" customHeight="true" outlineLevel="0" collapsed="false">
      <c r="A4187" s="51" t="n">
        <v>18033</v>
      </c>
      <c r="B4187" s="52" t="n">
        <v>40821.7277777778</v>
      </c>
      <c r="C4187" s="1" t="n">
        <v>1</v>
      </c>
      <c r="D4187" s="1" t="n">
        <v>97.97</v>
      </c>
    </row>
    <row r="4188" customFormat="false" ht="14.25" hidden="false" customHeight="true" outlineLevel="0" collapsed="false">
      <c r="A4188" s="51" t="n">
        <v>18034</v>
      </c>
      <c r="B4188" s="52" t="n">
        <v>40865.5152777778</v>
      </c>
      <c r="C4188" s="1" t="n">
        <v>2</v>
      </c>
      <c r="D4188" s="1" t="n">
        <v>422.88</v>
      </c>
    </row>
    <row r="4189" customFormat="false" ht="14.25" hidden="false" customHeight="true" outlineLevel="0" collapsed="false">
      <c r="A4189" s="51" t="n">
        <v>18035</v>
      </c>
      <c r="B4189" s="52" t="n">
        <v>40851.5270833333</v>
      </c>
      <c r="C4189" s="1" t="n">
        <v>3</v>
      </c>
      <c r="D4189" s="1" t="n">
        <v>730.4</v>
      </c>
    </row>
    <row r="4190" customFormat="false" ht="14.25" hidden="false" customHeight="true" outlineLevel="0" collapsed="false">
      <c r="A4190" s="51" t="n">
        <v>18036</v>
      </c>
      <c r="B4190" s="52" t="n">
        <v>40854.6111111111</v>
      </c>
      <c r="C4190" s="1" t="n">
        <v>3</v>
      </c>
      <c r="D4190" s="1" t="n">
        <v>405.62</v>
      </c>
    </row>
    <row r="4191" customFormat="false" ht="14.25" hidden="false" customHeight="true" outlineLevel="0" collapsed="false">
      <c r="A4191" s="51" t="n">
        <v>18037</v>
      </c>
      <c r="B4191" s="52" t="n">
        <v>40732.56875</v>
      </c>
      <c r="C4191" s="1" t="n">
        <v>6</v>
      </c>
      <c r="D4191" s="1" t="n">
        <v>70.02</v>
      </c>
    </row>
    <row r="4192" customFormat="false" ht="14.25" hidden="false" customHeight="true" outlineLevel="0" collapsed="false">
      <c r="A4192" s="51" t="n">
        <v>18040</v>
      </c>
      <c r="B4192" s="52" t="n">
        <v>40867.5972222222</v>
      </c>
      <c r="C4192" s="1" t="n">
        <v>2</v>
      </c>
      <c r="D4192" s="1" t="n">
        <v>357.2</v>
      </c>
    </row>
    <row r="4193" customFormat="false" ht="14.25" hidden="false" customHeight="true" outlineLevel="0" collapsed="false">
      <c r="A4193" s="51" t="n">
        <v>18041</v>
      </c>
      <c r="B4193" s="52" t="n">
        <v>40875.4854166667</v>
      </c>
      <c r="C4193" s="1" t="n">
        <v>22</v>
      </c>
      <c r="D4193" s="1" t="n">
        <v>4161.14</v>
      </c>
    </row>
    <row r="4194" customFormat="false" ht="14.25" hidden="false" customHeight="true" outlineLevel="0" collapsed="false">
      <c r="A4194" s="51" t="n">
        <v>18042</v>
      </c>
      <c r="B4194" s="52" t="n">
        <v>40833.4923611111</v>
      </c>
      <c r="C4194" s="1" t="n">
        <v>1</v>
      </c>
      <c r="D4194" s="1" t="n">
        <v>165.05</v>
      </c>
    </row>
    <row r="4195" customFormat="false" ht="14.25" hidden="false" customHeight="true" outlineLevel="0" collapsed="false">
      <c r="A4195" s="51" t="n">
        <v>18043</v>
      </c>
      <c r="B4195" s="52" t="n">
        <v>40862.5333333333</v>
      </c>
      <c r="C4195" s="1" t="n">
        <v>3</v>
      </c>
      <c r="D4195" s="1" t="n">
        <v>559.51</v>
      </c>
    </row>
    <row r="4196" customFormat="false" ht="14.25" hidden="false" customHeight="true" outlineLevel="0" collapsed="false">
      <c r="A4196" s="51" t="n">
        <v>18044</v>
      </c>
      <c r="B4196" s="52" t="n">
        <v>40882.6013888889</v>
      </c>
      <c r="C4196" s="1" t="n">
        <v>11</v>
      </c>
      <c r="D4196" s="1" t="n">
        <v>2085.65</v>
      </c>
    </row>
    <row r="4197" customFormat="false" ht="14.25" hidden="false" customHeight="true" outlineLevel="0" collapsed="false">
      <c r="A4197" s="51" t="n">
        <v>18045</v>
      </c>
      <c r="B4197" s="52" t="n">
        <v>40841.5465277778</v>
      </c>
      <c r="C4197" s="1" t="n">
        <v>1</v>
      </c>
      <c r="D4197" s="1" t="n">
        <v>189.4</v>
      </c>
    </row>
    <row r="4198" customFormat="false" ht="14.25" hidden="false" customHeight="true" outlineLevel="0" collapsed="false">
      <c r="A4198" s="51" t="n">
        <v>18048</v>
      </c>
      <c r="B4198" s="52" t="n">
        <v>40683.6236111111</v>
      </c>
      <c r="C4198" s="1" t="n">
        <v>2</v>
      </c>
      <c r="D4198" s="1" t="n">
        <v>172.29</v>
      </c>
    </row>
    <row r="4199" customFormat="false" ht="14.25" hidden="false" customHeight="true" outlineLevel="0" collapsed="false">
      <c r="A4199" s="51" t="n">
        <v>18050</v>
      </c>
      <c r="B4199" s="52" t="n">
        <v>40527.6006944445</v>
      </c>
      <c r="C4199" s="1" t="n">
        <v>1</v>
      </c>
      <c r="D4199" s="1" t="n">
        <v>74.4</v>
      </c>
    </row>
    <row r="4200" customFormat="false" ht="14.25" hidden="false" customHeight="true" outlineLevel="0" collapsed="false">
      <c r="A4200" s="51" t="n">
        <v>18053</v>
      </c>
      <c r="B4200" s="52" t="n">
        <v>40820.7298611111</v>
      </c>
      <c r="C4200" s="1" t="n">
        <v>2</v>
      </c>
      <c r="D4200" s="1" t="n">
        <v>297.07</v>
      </c>
    </row>
    <row r="4201" customFormat="false" ht="14.25" hidden="false" customHeight="true" outlineLevel="0" collapsed="false">
      <c r="A4201" s="51" t="n">
        <v>18055</v>
      </c>
      <c r="B4201" s="52" t="n">
        <v>40879.6006944445</v>
      </c>
      <c r="C4201" s="1" t="n">
        <v>11</v>
      </c>
      <c r="D4201" s="1" t="n">
        <v>6752.14</v>
      </c>
    </row>
    <row r="4202" customFormat="false" ht="14.25" hidden="false" customHeight="true" outlineLevel="0" collapsed="false">
      <c r="A4202" s="51" t="n">
        <v>18056</v>
      </c>
      <c r="B4202" s="52" t="n">
        <v>40598.6020833333</v>
      </c>
      <c r="C4202" s="1" t="n">
        <v>1</v>
      </c>
      <c r="D4202" s="1" t="n">
        <v>363.65</v>
      </c>
    </row>
    <row r="4203" customFormat="false" ht="14.25" hidden="false" customHeight="true" outlineLevel="0" collapsed="false">
      <c r="A4203" s="51" t="n">
        <v>18058</v>
      </c>
      <c r="B4203" s="52" t="n">
        <v>40877.3597222222</v>
      </c>
      <c r="C4203" s="1" t="n">
        <v>1</v>
      </c>
      <c r="D4203" s="1" t="n">
        <v>170.16</v>
      </c>
    </row>
    <row r="4204" customFormat="false" ht="14.25" hidden="false" customHeight="true" outlineLevel="0" collapsed="false">
      <c r="A4204" s="51" t="n">
        <v>18059</v>
      </c>
      <c r="B4204" s="52" t="n">
        <v>40877.7097222222</v>
      </c>
      <c r="C4204" s="1" t="n">
        <v>4</v>
      </c>
      <c r="D4204" s="1" t="n">
        <v>296.71</v>
      </c>
    </row>
    <row r="4205" customFormat="false" ht="14.25" hidden="false" customHeight="true" outlineLevel="0" collapsed="false">
      <c r="A4205" s="51" t="n">
        <v>18061</v>
      </c>
      <c r="B4205" s="52" t="n">
        <v>40865.4722222222</v>
      </c>
      <c r="C4205" s="1" t="n">
        <v>10</v>
      </c>
      <c r="D4205" s="1" t="n">
        <v>2119.41</v>
      </c>
    </row>
    <row r="4206" customFormat="false" ht="14.25" hidden="false" customHeight="true" outlineLevel="0" collapsed="false">
      <c r="A4206" s="51" t="n">
        <v>18062</v>
      </c>
      <c r="B4206" s="52" t="n">
        <v>40713.6159722222</v>
      </c>
      <c r="C4206" s="1" t="n">
        <v>3</v>
      </c>
      <c r="D4206" s="1" t="n">
        <v>720.52</v>
      </c>
    </row>
    <row r="4207" customFormat="false" ht="14.25" hidden="false" customHeight="true" outlineLevel="0" collapsed="false">
      <c r="A4207" s="51" t="n">
        <v>18064</v>
      </c>
      <c r="B4207" s="52" t="n">
        <v>40753.69375</v>
      </c>
      <c r="C4207" s="1" t="n">
        <v>2</v>
      </c>
      <c r="D4207" s="1" t="n">
        <v>814</v>
      </c>
    </row>
    <row r="4208" customFormat="false" ht="14.25" hidden="false" customHeight="true" outlineLevel="0" collapsed="false">
      <c r="A4208" s="51" t="n">
        <v>18065</v>
      </c>
      <c r="B4208" s="52" t="n">
        <v>40881.4375</v>
      </c>
      <c r="C4208" s="1" t="n">
        <v>15</v>
      </c>
      <c r="D4208" s="1" t="n">
        <v>2380.08</v>
      </c>
    </row>
    <row r="4209" customFormat="false" ht="14.25" hidden="false" customHeight="true" outlineLevel="0" collapsed="false">
      <c r="A4209" s="51" t="n">
        <v>18066</v>
      </c>
      <c r="B4209" s="52" t="n">
        <v>40811.6458333333</v>
      </c>
      <c r="C4209" s="1" t="n">
        <v>1</v>
      </c>
      <c r="D4209" s="1" t="n">
        <v>318</v>
      </c>
    </row>
    <row r="4210" customFormat="false" ht="14.25" hidden="false" customHeight="true" outlineLevel="0" collapsed="false">
      <c r="A4210" s="51" t="n">
        <v>18067</v>
      </c>
      <c r="B4210" s="52" t="n">
        <v>40846.6652777778</v>
      </c>
      <c r="C4210" s="1" t="n">
        <v>1</v>
      </c>
      <c r="D4210" s="1" t="n">
        <v>396.33</v>
      </c>
    </row>
    <row r="4211" customFormat="false" ht="14.25" hidden="false" customHeight="true" outlineLevel="0" collapsed="false">
      <c r="A4211" s="51" t="n">
        <v>18068</v>
      </c>
      <c r="B4211" s="52" t="n">
        <v>40597.6180555556</v>
      </c>
      <c r="C4211" s="1" t="n">
        <v>1</v>
      </c>
      <c r="D4211" s="1" t="n">
        <v>101.7</v>
      </c>
    </row>
    <row r="4212" customFormat="false" ht="14.25" hidden="false" customHeight="true" outlineLevel="0" collapsed="false">
      <c r="A4212" s="51" t="n">
        <v>18069</v>
      </c>
      <c r="B4212" s="52" t="n">
        <v>40860.6701388889</v>
      </c>
      <c r="C4212" s="1" t="n">
        <v>7</v>
      </c>
      <c r="D4212" s="1" t="n">
        <v>2021.82</v>
      </c>
    </row>
    <row r="4213" customFormat="false" ht="14.25" hidden="false" customHeight="true" outlineLevel="0" collapsed="false">
      <c r="A4213" s="51" t="n">
        <v>18071</v>
      </c>
      <c r="B4213" s="52" t="n">
        <v>40629.4993055556</v>
      </c>
      <c r="C4213" s="1" t="n">
        <v>2</v>
      </c>
      <c r="D4213" s="1" t="n">
        <v>453</v>
      </c>
    </row>
    <row r="4214" customFormat="false" ht="14.25" hidden="false" customHeight="true" outlineLevel="0" collapsed="false">
      <c r="A4214" s="51" t="n">
        <v>18072</v>
      </c>
      <c r="B4214" s="52" t="n">
        <v>40731.7236111111</v>
      </c>
      <c r="C4214" s="1" t="n">
        <v>2</v>
      </c>
      <c r="D4214" s="1" t="n">
        <v>-5.50670620214078E-014</v>
      </c>
    </row>
    <row r="4215" customFormat="false" ht="14.25" hidden="false" customHeight="true" outlineLevel="0" collapsed="false">
      <c r="A4215" s="51" t="n">
        <v>18073</v>
      </c>
      <c r="B4215" s="52" t="n">
        <v>40772.5847222222</v>
      </c>
      <c r="C4215" s="1" t="n">
        <v>13</v>
      </c>
      <c r="D4215" s="1" t="n">
        <v>3864.44</v>
      </c>
    </row>
    <row r="4216" customFormat="false" ht="14.25" hidden="false" customHeight="true" outlineLevel="0" collapsed="false">
      <c r="A4216" s="51" t="n">
        <v>18074</v>
      </c>
      <c r="B4216" s="52" t="n">
        <v>40513.4118055556</v>
      </c>
      <c r="C4216" s="1" t="n">
        <v>1</v>
      </c>
      <c r="D4216" s="1" t="n">
        <v>489.6</v>
      </c>
    </row>
    <row r="4217" customFormat="false" ht="14.25" hidden="false" customHeight="true" outlineLevel="0" collapsed="false">
      <c r="A4217" s="51" t="n">
        <v>18075</v>
      </c>
      <c r="B4217" s="52" t="n">
        <v>40863.6395833333</v>
      </c>
      <c r="C4217" s="1" t="n">
        <v>14</v>
      </c>
      <c r="D4217" s="1" t="n">
        <v>2538.72</v>
      </c>
    </row>
    <row r="4218" customFormat="false" ht="14.25" hidden="false" customHeight="true" outlineLevel="0" collapsed="false">
      <c r="A4218" s="51" t="n">
        <v>18077</v>
      </c>
      <c r="B4218" s="52" t="n">
        <v>40878.5638888889</v>
      </c>
      <c r="C4218" s="1" t="n">
        <v>11</v>
      </c>
      <c r="D4218" s="1" t="n">
        <v>2633.01</v>
      </c>
    </row>
    <row r="4219" customFormat="false" ht="14.25" hidden="false" customHeight="true" outlineLevel="0" collapsed="false">
      <c r="A4219" s="51" t="n">
        <v>18078</v>
      </c>
      <c r="B4219" s="52" t="n">
        <v>40669.6055555556</v>
      </c>
      <c r="C4219" s="1" t="n">
        <v>2</v>
      </c>
      <c r="D4219" s="1" t="n">
        <v>336.13</v>
      </c>
    </row>
    <row r="4220" customFormat="false" ht="14.25" hidden="false" customHeight="true" outlineLevel="0" collapsed="false">
      <c r="A4220" s="51" t="n">
        <v>18079</v>
      </c>
      <c r="B4220" s="52" t="n">
        <v>40841.64375</v>
      </c>
      <c r="C4220" s="1" t="n">
        <v>4</v>
      </c>
      <c r="D4220" s="1" t="n">
        <v>3651.97</v>
      </c>
    </row>
    <row r="4221" customFormat="false" ht="14.25" hidden="false" customHeight="true" outlineLevel="0" collapsed="false">
      <c r="A4221" s="51" t="n">
        <v>18080</v>
      </c>
      <c r="B4221" s="52" t="n">
        <v>40868.3347222222</v>
      </c>
      <c r="C4221" s="1" t="n">
        <v>2</v>
      </c>
      <c r="D4221" s="1" t="n">
        <v>1231.5</v>
      </c>
    </row>
    <row r="4222" customFormat="false" ht="14.25" hidden="false" customHeight="true" outlineLevel="0" collapsed="false">
      <c r="A4222" s="51" t="n">
        <v>18081</v>
      </c>
      <c r="B4222" s="52" t="n">
        <v>40850.6875</v>
      </c>
      <c r="C4222" s="1" t="n">
        <v>3</v>
      </c>
      <c r="D4222" s="1" t="n">
        <v>343.45</v>
      </c>
    </row>
    <row r="4223" customFormat="false" ht="14.25" hidden="false" customHeight="true" outlineLevel="0" collapsed="false">
      <c r="A4223" s="51" t="n">
        <v>18082</v>
      </c>
      <c r="B4223" s="52" t="n">
        <v>40861.53125</v>
      </c>
      <c r="C4223" s="1" t="n">
        <v>1</v>
      </c>
      <c r="D4223" s="1" t="n">
        <v>703.37</v>
      </c>
    </row>
    <row r="4224" customFormat="false" ht="14.25" hidden="false" customHeight="true" outlineLevel="0" collapsed="false">
      <c r="A4224" s="51" t="n">
        <v>18084</v>
      </c>
      <c r="B4224" s="52" t="n">
        <v>40870.58125</v>
      </c>
      <c r="C4224" s="1" t="n">
        <v>2</v>
      </c>
      <c r="D4224" s="1" t="n">
        <v>87.53</v>
      </c>
    </row>
    <row r="4225" customFormat="false" ht="14.25" hidden="false" customHeight="true" outlineLevel="0" collapsed="false">
      <c r="A4225" s="51" t="n">
        <v>18085</v>
      </c>
      <c r="B4225" s="52" t="n">
        <v>40556.6368055556</v>
      </c>
      <c r="C4225" s="1" t="n">
        <v>2</v>
      </c>
      <c r="D4225" s="1" t="n">
        <v>689.95</v>
      </c>
    </row>
    <row r="4226" customFormat="false" ht="14.25" hidden="false" customHeight="true" outlineLevel="0" collapsed="false">
      <c r="A4226" s="51" t="n">
        <v>18086</v>
      </c>
      <c r="B4226" s="52" t="n">
        <v>40612.5652777778</v>
      </c>
      <c r="C4226" s="1" t="n">
        <v>1</v>
      </c>
      <c r="D4226" s="1" t="n">
        <v>101.34</v>
      </c>
    </row>
    <row r="4227" customFormat="false" ht="14.25" hidden="false" customHeight="true" outlineLevel="0" collapsed="false">
      <c r="A4227" s="51" t="n">
        <v>18087</v>
      </c>
      <c r="B4227" s="52" t="n">
        <v>40788.6333333333</v>
      </c>
      <c r="C4227" s="1" t="n">
        <v>4</v>
      </c>
      <c r="D4227" s="1" t="n">
        <v>3770.12</v>
      </c>
    </row>
    <row r="4228" customFormat="false" ht="14.25" hidden="false" customHeight="true" outlineLevel="0" collapsed="false">
      <c r="A4228" s="51" t="n">
        <v>18088</v>
      </c>
      <c r="B4228" s="52" t="n">
        <v>40825.5701388889</v>
      </c>
      <c r="C4228" s="1" t="n">
        <v>1</v>
      </c>
      <c r="D4228" s="1" t="n">
        <v>167.67</v>
      </c>
    </row>
    <row r="4229" customFormat="false" ht="14.25" hidden="false" customHeight="true" outlineLevel="0" collapsed="false">
      <c r="A4229" s="51" t="n">
        <v>18092</v>
      </c>
      <c r="B4229" s="52" t="n">
        <v>40884.5513888889</v>
      </c>
      <c r="C4229" s="1" t="n">
        <v>12</v>
      </c>
      <c r="D4229" s="1" t="n">
        <v>9065.76</v>
      </c>
    </row>
    <row r="4230" customFormat="false" ht="14.25" hidden="false" customHeight="true" outlineLevel="0" collapsed="false">
      <c r="A4230" s="51" t="n">
        <v>18093</v>
      </c>
      <c r="B4230" s="52" t="n">
        <v>40793.6548611111</v>
      </c>
      <c r="C4230" s="1" t="n">
        <v>5</v>
      </c>
      <c r="D4230" s="1" t="n">
        <v>2083.42</v>
      </c>
    </row>
    <row r="4231" customFormat="false" ht="14.25" hidden="false" customHeight="true" outlineLevel="0" collapsed="false">
      <c r="A4231" s="51" t="n">
        <v>18094</v>
      </c>
      <c r="B4231" s="52" t="n">
        <v>40805.3944444444</v>
      </c>
      <c r="C4231" s="1" t="n">
        <v>7</v>
      </c>
      <c r="D4231" s="1" t="n">
        <v>3017.3</v>
      </c>
    </row>
    <row r="4232" customFormat="false" ht="14.25" hidden="false" customHeight="true" outlineLevel="0" collapsed="false">
      <c r="A4232" s="51" t="n">
        <v>18095</v>
      </c>
      <c r="B4232" s="52" t="n">
        <v>40574.5347222222</v>
      </c>
      <c r="C4232" s="1" t="n">
        <v>2</v>
      </c>
      <c r="D4232" s="1" t="n">
        <v>580.05</v>
      </c>
    </row>
    <row r="4233" customFormat="false" ht="14.25" hidden="false" customHeight="true" outlineLevel="0" collapsed="false">
      <c r="A4233" s="51" t="n">
        <v>18096</v>
      </c>
      <c r="B4233" s="52" t="n">
        <v>40875.5305555556</v>
      </c>
      <c r="C4233" s="1" t="n">
        <v>3</v>
      </c>
      <c r="D4233" s="1" t="n">
        <v>911.15</v>
      </c>
    </row>
    <row r="4234" customFormat="false" ht="14.25" hidden="false" customHeight="true" outlineLevel="0" collapsed="false">
      <c r="A4234" s="51" t="n">
        <v>18097</v>
      </c>
      <c r="B4234" s="52" t="n">
        <v>40879.4694444445</v>
      </c>
      <c r="C4234" s="1" t="n">
        <v>7</v>
      </c>
      <c r="D4234" s="1" t="n">
        <v>2692.85</v>
      </c>
    </row>
    <row r="4235" customFormat="false" ht="14.25" hidden="false" customHeight="true" outlineLevel="0" collapsed="false">
      <c r="A4235" s="51" t="n">
        <v>18099</v>
      </c>
      <c r="B4235" s="52" t="n">
        <v>40759.6611111111</v>
      </c>
      <c r="C4235" s="1" t="n">
        <v>1</v>
      </c>
      <c r="D4235" s="1" t="n">
        <v>168.31</v>
      </c>
    </row>
    <row r="4236" customFormat="false" ht="14.25" hidden="false" customHeight="true" outlineLevel="0" collapsed="false">
      <c r="A4236" s="51" t="n">
        <v>18101</v>
      </c>
      <c r="B4236" s="52" t="n">
        <v>40875.5673611111</v>
      </c>
      <c r="C4236" s="1" t="n">
        <v>2</v>
      </c>
      <c r="D4236" s="1" t="n">
        <v>223.65</v>
      </c>
    </row>
    <row r="4237" customFormat="false" ht="14.25" hidden="false" customHeight="true" outlineLevel="0" collapsed="false">
      <c r="A4237" s="51" t="n">
        <v>18102</v>
      </c>
      <c r="B4237" s="52" t="n">
        <v>40886.4930555556</v>
      </c>
      <c r="C4237" s="1" t="n">
        <v>62</v>
      </c>
      <c r="D4237" s="1" t="n">
        <v>256438.49</v>
      </c>
    </row>
    <row r="4238" customFormat="false" ht="14.25" hidden="false" customHeight="true" outlineLevel="0" collapsed="false">
      <c r="A4238" s="51" t="n">
        <v>18104</v>
      </c>
      <c r="B4238" s="52" t="n">
        <v>40849.5881944444</v>
      </c>
      <c r="C4238" s="1" t="n">
        <v>1</v>
      </c>
      <c r="D4238" s="1" t="n">
        <v>754.64</v>
      </c>
    </row>
    <row r="4239" customFormat="false" ht="14.25" hidden="false" customHeight="true" outlineLevel="0" collapsed="false">
      <c r="A4239" s="51" t="n">
        <v>18105</v>
      </c>
      <c r="B4239" s="52" t="n">
        <v>40849.5027777778</v>
      </c>
      <c r="C4239" s="1" t="n">
        <v>1</v>
      </c>
      <c r="D4239" s="1" t="n">
        <v>113.48</v>
      </c>
    </row>
    <row r="4240" customFormat="false" ht="14.25" hidden="false" customHeight="true" outlineLevel="0" collapsed="false">
      <c r="A4240" s="51" t="n">
        <v>18106</v>
      </c>
      <c r="B4240" s="52" t="n">
        <v>40557.5159722222</v>
      </c>
      <c r="C4240" s="1" t="n">
        <v>1</v>
      </c>
      <c r="D4240" s="1" t="n">
        <v>430.7</v>
      </c>
    </row>
    <row r="4241" customFormat="false" ht="14.25" hidden="false" customHeight="true" outlineLevel="0" collapsed="false">
      <c r="A4241" s="51" t="n">
        <v>18108</v>
      </c>
      <c r="B4241" s="52" t="n">
        <v>40638.3506944445</v>
      </c>
      <c r="C4241" s="1" t="n">
        <v>2</v>
      </c>
      <c r="D4241" s="1" t="n">
        <v>264.65</v>
      </c>
    </row>
    <row r="4242" customFormat="false" ht="14.25" hidden="false" customHeight="true" outlineLevel="0" collapsed="false">
      <c r="A4242" s="51" t="n">
        <v>18109</v>
      </c>
      <c r="B4242" s="52" t="n">
        <v>40885.4833333333</v>
      </c>
      <c r="C4242" s="1" t="n">
        <v>31</v>
      </c>
      <c r="D4242" s="1" t="n">
        <v>7925.32</v>
      </c>
    </row>
    <row r="4243" customFormat="false" ht="14.25" hidden="false" customHeight="true" outlineLevel="0" collapsed="false">
      <c r="A4243" s="51" t="n">
        <v>18110</v>
      </c>
      <c r="B4243" s="52" t="n">
        <v>40867.5409722222</v>
      </c>
      <c r="C4243" s="1" t="n">
        <v>2</v>
      </c>
      <c r="D4243" s="1" t="n">
        <v>206.05</v>
      </c>
    </row>
    <row r="4244" customFormat="false" ht="14.25" hidden="false" customHeight="true" outlineLevel="0" collapsed="false">
      <c r="A4244" s="51" t="n">
        <v>18112</v>
      </c>
      <c r="B4244" s="52" t="n">
        <v>40874.6131944444</v>
      </c>
      <c r="C4244" s="1" t="n">
        <v>2</v>
      </c>
      <c r="D4244" s="1" t="n">
        <v>352.69</v>
      </c>
    </row>
    <row r="4245" customFormat="false" ht="14.25" hidden="false" customHeight="true" outlineLevel="0" collapsed="false">
      <c r="A4245" s="51" t="n">
        <v>18113</v>
      </c>
      <c r="B4245" s="52" t="n">
        <v>40518.5215277778</v>
      </c>
      <c r="C4245" s="1" t="n">
        <v>1</v>
      </c>
      <c r="D4245" s="1" t="n">
        <v>76.32</v>
      </c>
    </row>
    <row r="4246" customFormat="false" ht="14.25" hidden="false" customHeight="true" outlineLevel="0" collapsed="false">
      <c r="A4246" s="51" t="n">
        <v>18114</v>
      </c>
      <c r="B4246" s="52" t="n">
        <v>40596.5555555556</v>
      </c>
      <c r="C4246" s="1" t="n">
        <v>1</v>
      </c>
      <c r="D4246" s="1" t="n">
        <v>220.1</v>
      </c>
    </row>
    <row r="4247" customFormat="false" ht="14.25" hidden="false" customHeight="true" outlineLevel="0" collapsed="false">
      <c r="A4247" s="51" t="n">
        <v>18116</v>
      </c>
      <c r="B4247" s="52" t="n">
        <v>40819.4583333333</v>
      </c>
      <c r="C4247" s="1" t="n">
        <v>8</v>
      </c>
      <c r="D4247" s="1" t="n">
        <v>1418.03</v>
      </c>
    </row>
    <row r="4248" customFormat="false" ht="14.25" hidden="false" customHeight="true" outlineLevel="0" collapsed="false">
      <c r="A4248" s="51" t="n">
        <v>18117</v>
      </c>
      <c r="B4248" s="52" t="n">
        <v>40861.5326388889</v>
      </c>
      <c r="C4248" s="1" t="n">
        <v>1</v>
      </c>
      <c r="D4248" s="1" t="n">
        <v>320.72</v>
      </c>
    </row>
    <row r="4249" customFormat="false" ht="14.25" hidden="false" customHeight="true" outlineLevel="0" collapsed="false">
      <c r="A4249" s="51" t="n">
        <v>18118</v>
      </c>
      <c r="B4249" s="52" t="n">
        <v>40876.4805555556</v>
      </c>
      <c r="C4249" s="1" t="n">
        <v>31</v>
      </c>
      <c r="D4249" s="1" t="n">
        <v>5595.76999999998</v>
      </c>
    </row>
    <row r="4250" customFormat="false" ht="14.25" hidden="false" customHeight="true" outlineLevel="0" collapsed="false">
      <c r="A4250" s="51" t="n">
        <v>18119</v>
      </c>
      <c r="B4250" s="52" t="n">
        <v>40519.4993055556</v>
      </c>
      <c r="C4250" s="1" t="n">
        <v>1</v>
      </c>
      <c r="D4250" s="1" t="n">
        <v>181.12</v>
      </c>
    </row>
    <row r="4251" customFormat="false" ht="14.25" hidden="false" customHeight="true" outlineLevel="0" collapsed="false">
      <c r="A4251" s="51" t="n">
        <v>18120</v>
      </c>
      <c r="B4251" s="52" t="n">
        <v>40672.5729166667</v>
      </c>
      <c r="C4251" s="1" t="n">
        <v>1</v>
      </c>
      <c r="D4251" s="1" t="n">
        <v>111.15</v>
      </c>
    </row>
    <row r="4252" customFormat="false" ht="14.25" hidden="false" customHeight="true" outlineLevel="0" collapsed="false">
      <c r="A4252" s="51" t="n">
        <v>18121</v>
      </c>
      <c r="B4252" s="52" t="n">
        <v>40737.5368055556</v>
      </c>
      <c r="C4252" s="1" t="n">
        <v>2</v>
      </c>
      <c r="D4252" s="1" t="n">
        <v>673.1</v>
      </c>
    </row>
    <row r="4253" customFormat="false" ht="14.25" hidden="false" customHeight="true" outlineLevel="0" collapsed="false">
      <c r="A4253" s="51" t="n">
        <v>18122</v>
      </c>
      <c r="B4253" s="52" t="n">
        <v>40878.5472222222</v>
      </c>
      <c r="C4253" s="1" t="n">
        <v>6</v>
      </c>
      <c r="D4253" s="1" t="n">
        <v>1826.21</v>
      </c>
    </row>
    <row r="4254" customFormat="false" ht="14.25" hidden="false" customHeight="true" outlineLevel="0" collapsed="false">
      <c r="A4254" s="51" t="n">
        <v>18123</v>
      </c>
      <c r="B4254" s="52" t="n">
        <v>40862.5993055556</v>
      </c>
      <c r="C4254" s="1" t="n">
        <v>2</v>
      </c>
      <c r="D4254" s="1" t="n">
        <v>589.44</v>
      </c>
    </row>
    <row r="4255" customFormat="false" ht="14.25" hidden="false" customHeight="true" outlineLevel="0" collapsed="false">
      <c r="A4255" s="51" t="n">
        <v>18125</v>
      </c>
      <c r="B4255" s="52" t="n">
        <v>40857.5201388889</v>
      </c>
      <c r="C4255" s="1" t="n">
        <v>5</v>
      </c>
      <c r="D4255" s="1" t="n">
        <v>1141.34</v>
      </c>
    </row>
    <row r="4256" customFormat="false" ht="14.25" hidden="false" customHeight="true" outlineLevel="0" collapsed="false">
      <c r="A4256" s="51" t="n">
        <v>18126</v>
      </c>
      <c r="B4256" s="52" t="n">
        <v>40826.5131944444</v>
      </c>
      <c r="C4256" s="1" t="n">
        <v>1</v>
      </c>
      <c r="D4256" s="1" t="n">
        <v>206.83</v>
      </c>
    </row>
    <row r="4257" customFormat="false" ht="14.25" hidden="false" customHeight="true" outlineLevel="0" collapsed="false">
      <c r="A4257" s="51" t="n">
        <v>18127</v>
      </c>
      <c r="B4257" s="52" t="n">
        <v>40867.5868055556</v>
      </c>
      <c r="C4257" s="1" t="n">
        <v>3</v>
      </c>
      <c r="D4257" s="1" t="n">
        <v>348.73</v>
      </c>
    </row>
    <row r="4258" customFormat="false" ht="14.25" hidden="false" customHeight="true" outlineLevel="0" collapsed="false">
      <c r="A4258" s="51" t="n">
        <v>18129</v>
      </c>
      <c r="B4258" s="52" t="n">
        <v>40643.5944444445</v>
      </c>
      <c r="C4258" s="1" t="n">
        <v>1</v>
      </c>
      <c r="D4258" s="1" t="n">
        <v>112.55</v>
      </c>
    </row>
    <row r="4259" customFormat="false" ht="14.25" hidden="false" customHeight="true" outlineLevel="0" collapsed="false">
      <c r="A4259" s="51" t="n">
        <v>18130</v>
      </c>
      <c r="B4259" s="52" t="n">
        <v>40878.3618055556</v>
      </c>
      <c r="C4259" s="1" t="n">
        <v>4</v>
      </c>
      <c r="D4259" s="1" t="n">
        <v>1045.74</v>
      </c>
    </row>
    <row r="4260" customFormat="false" ht="14.25" hidden="false" customHeight="true" outlineLevel="0" collapsed="false">
      <c r="A4260" s="51" t="n">
        <v>18133</v>
      </c>
      <c r="B4260" s="52" t="n">
        <v>40675.6381944444</v>
      </c>
      <c r="C4260" s="1" t="n">
        <v>2</v>
      </c>
      <c r="D4260" s="1" t="n">
        <v>715.5</v>
      </c>
    </row>
    <row r="4261" customFormat="false" ht="14.25" hidden="false" customHeight="true" outlineLevel="0" collapsed="false">
      <c r="A4261" s="51" t="n">
        <v>18135</v>
      </c>
      <c r="B4261" s="52" t="n">
        <v>40857.8138888889</v>
      </c>
      <c r="C4261" s="1" t="n">
        <v>5</v>
      </c>
      <c r="D4261" s="1" t="n">
        <v>681.91</v>
      </c>
    </row>
    <row r="4262" customFormat="false" ht="14.25" hidden="false" customHeight="true" outlineLevel="0" collapsed="false">
      <c r="A4262" s="51" t="n">
        <v>18136</v>
      </c>
      <c r="B4262" s="52" t="n">
        <v>40823.6527777778</v>
      </c>
      <c r="C4262" s="1" t="n">
        <v>4</v>
      </c>
      <c r="D4262" s="1" t="n">
        <v>761.83</v>
      </c>
    </row>
    <row r="4263" customFormat="false" ht="14.25" hidden="false" customHeight="true" outlineLevel="0" collapsed="false">
      <c r="A4263" s="51" t="n">
        <v>18138</v>
      </c>
      <c r="B4263" s="52" t="n">
        <v>40591.61875</v>
      </c>
      <c r="C4263" s="1" t="n">
        <v>1</v>
      </c>
      <c r="D4263" s="1" t="n">
        <v>152.65</v>
      </c>
    </row>
    <row r="4264" customFormat="false" ht="14.25" hidden="false" customHeight="true" outlineLevel="0" collapsed="false">
      <c r="A4264" s="51" t="n">
        <v>18139</v>
      </c>
      <c r="B4264" s="52" t="n">
        <v>40869.6791666667</v>
      </c>
      <c r="C4264" s="1" t="n">
        <v>8</v>
      </c>
      <c r="D4264" s="1" t="n">
        <v>8393.22</v>
      </c>
    </row>
    <row r="4265" customFormat="false" ht="14.25" hidden="false" customHeight="true" outlineLevel="0" collapsed="false">
      <c r="A4265" s="51" t="n">
        <v>18141</v>
      </c>
      <c r="B4265" s="52" t="n">
        <v>40526.4645833333</v>
      </c>
      <c r="C4265" s="1" t="n">
        <v>1</v>
      </c>
      <c r="D4265" s="1" t="n">
        <v>-35.4</v>
      </c>
    </row>
    <row r="4266" customFormat="false" ht="14.25" hidden="false" customHeight="true" outlineLevel="0" collapsed="false">
      <c r="A4266" s="51" t="n">
        <v>18142</v>
      </c>
      <c r="B4266" s="52" t="n">
        <v>40735.5652777778</v>
      </c>
      <c r="C4266" s="1" t="n">
        <v>4</v>
      </c>
      <c r="D4266" s="1" t="n">
        <v>1014.9</v>
      </c>
    </row>
    <row r="4267" customFormat="false" ht="14.25" hidden="false" customHeight="true" outlineLevel="0" collapsed="false">
      <c r="A4267" s="51" t="n">
        <v>18143</v>
      </c>
      <c r="B4267" s="52" t="n">
        <v>40770.5048611111</v>
      </c>
      <c r="C4267" s="1" t="n">
        <v>2</v>
      </c>
      <c r="D4267" s="1" t="n">
        <v>1000.16</v>
      </c>
    </row>
    <row r="4268" customFormat="false" ht="14.25" hidden="false" customHeight="true" outlineLevel="0" collapsed="false">
      <c r="A4268" s="51" t="n">
        <v>18144</v>
      </c>
      <c r="B4268" s="52" t="n">
        <v>40879.5319444445</v>
      </c>
      <c r="C4268" s="1" t="n">
        <v>12</v>
      </c>
      <c r="D4268" s="1" t="n">
        <v>2888.75</v>
      </c>
    </row>
    <row r="4269" customFormat="false" ht="14.25" hidden="false" customHeight="true" outlineLevel="0" collapsed="false">
      <c r="A4269" s="51" t="n">
        <v>18145</v>
      </c>
      <c r="B4269" s="52" t="n">
        <v>40874.4736111111</v>
      </c>
      <c r="C4269" s="1" t="n">
        <v>4</v>
      </c>
      <c r="D4269" s="1" t="n">
        <v>2861.55</v>
      </c>
    </row>
    <row r="4270" customFormat="false" ht="14.25" hidden="false" customHeight="true" outlineLevel="0" collapsed="false">
      <c r="A4270" s="51" t="n">
        <v>18146</v>
      </c>
      <c r="B4270" s="52" t="n">
        <v>40746.5055555556</v>
      </c>
      <c r="C4270" s="1" t="n">
        <v>2</v>
      </c>
      <c r="D4270" s="1" t="n">
        <v>160.35</v>
      </c>
    </row>
    <row r="4271" customFormat="false" ht="14.25" hidden="false" customHeight="true" outlineLevel="0" collapsed="false">
      <c r="A4271" s="51" t="n">
        <v>18147</v>
      </c>
      <c r="B4271" s="52" t="n">
        <v>40841.4902777778</v>
      </c>
      <c r="C4271" s="1" t="n">
        <v>2</v>
      </c>
      <c r="D4271" s="1" t="n">
        <v>179.34</v>
      </c>
    </row>
    <row r="4272" customFormat="false" ht="14.25" hidden="false" customHeight="true" outlineLevel="0" collapsed="false">
      <c r="A4272" s="51" t="n">
        <v>18149</v>
      </c>
      <c r="B4272" s="52" t="n">
        <v>40836.5027777778</v>
      </c>
      <c r="C4272" s="1" t="n">
        <v>3</v>
      </c>
      <c r="D4272" s="1" t="n">
        <v>612.08</v>
      </c>
    </row>
    <row r="4273" customFormat="false" ht="14.25" hidden="false" customHeight="true" outlineLevel="0" collapsed="false">
      <c r="A4273" s="51" t="n">
        <v>18150</v>
      </c>
      <c r="B4273" s="52" t="n">
        <v>40854.7006944444</v>
      </c>
      <c r="C4273" s="1" t="n">
        <v>3</v>
      </c>
      <c r="D4273" s="1" t="n">
        <v>566.58</v>
      </c>
    </row>
    <row r="4274" customFormat="false" ht="14.25" hidden="false" customHeight="true" outlineLevel="0" collapsed="false">
      <c r="A4274" s="51" t="n">
        <v>18151</v>
      </c>
      <c r="B4274" s="52" t="n">
        <v>40752.4826388889</v>
      </c>
      <c r="C4274" s="1" t="n">
        <v>2</v>
      </c>
      <c r="D4274" s="1" t="n">
        <v>653.35</v>
      </c>
    </row>
    <row r="4275" customFormat="false" ht="14.25" hidden="false" customHeight="true" outlineLevel="0" collapsed="false">
      <c r="A4275" s="51" t="n">
        <v>18154</v>
      </c>
      <c r="B4275" s="52" t="n">
        <v>40883.6951388889</v>
      </c>
      <c r="C4275" s="1" t="n">
        <v>2</v>
      </c>
      <c r="D4275" s="1" t="n">
        <v>399.19</v>
      </c>
    </row>
    <row r="4276" customFormat="false" ht="14.25" hidden="false" customHeight="true" outlineLevel="0" collapsed="false">
      <c r="A4276" s="51" t="n">
        <v>18155</v>
      </c>
      <c r="B4276" s="52" t="n">
        <v>40811.5638888889</v>
      </c>
      <c r="C4276" s="1" t="n">
        <v>4</v>
      </c>
      <c r="D4276" s="1" t="n">
        <v>347.82</v>
      </c>
    </row>
    <row r="4277" customFormat="false" ht="14.25" hidden="false" customHeight="true" outlineLevel="0" collapsed="false">
      <c r="A4277" s="51" t="n">
        <v>18156</v>
      </c>
      <c r="B4277" s="52" t="n">
        <v>40874.5166666667</v>
      </c>
      <c r="C4277" s="1" t="n">
        <v>2</v>
      </c>
      <c r="D4277" s="1" t="n">
        <v>734.94</v>
      </c>
    </row>
    <row r="4278" customFormat="false" ht="14.25" hidden="false" customHeight="true" outlineLevel="0" collapsed="false">
      <c r="A4278" s="51" t="n">
        <v>18158</v>
      </c>
      <c r="B4278" s="52" t="n">
        <v>40877.6798611111</v>
      </c>
      <c r="C4278" s="1" t="n">
        <v>3</v>
      </c>
      <c r="D4278" s="1" t="n">
        <v>451.75</v>
      </c>
    </row>
    <row r="4279" customFormat="false" ht="14.25" hidden="false" customHeight="true" outlineLevel="0" collapsed="false">
      <c r="A4279" s="51" t="n">
        <v>18159</v>
      </c>
      <c r="B4279" s="52" t="n">
        <v>40585.6013888889</v>
      </c>
      <c r="C4279" s="1" t="n">
        <v>1</v>
      </c>
      <c r="D4279" s="1" t="n">
        <v>530.15</v>
      </c>
    </row>
    <row r="4280" customFormat="false" ht="14.25" hidden="false" customHeight="true" outlineLevel="0" collapsed="false">
      <c r="A4280" s="51" t="n">
        <v>18160</v>
      </c>
      <c r="B4280" s="52" t="n">
        <v>40829.6597222222</v>
      </c>
      <c r="C4280" s="1" t="n">
        <v>2</v>
      </c>
      <c r="D4280" s="1" t="n">
        <v>638.06</v>
      </c>
    </row>
    <row r="4281" customFormat="false" ht="14.25" hidden="false" customHeight="true" outlineLevel="0" collapsed="false">
      <c r="A4281" s="51" t="n">
        <v>18161</v>
      </c>
      <c r="B4281" s="52" t="n">
        <v>40876.6513888889</v>
      </c>
      <c r="C4281" s="1" t="n">
        <v>6</v>
      </c>
      <c r="D4281" s="1" t="n">
        <v>1612.79</v>
      </c>
    </row>
    <row r="4282" customFormat="false" ht="14.25" hidden="false" customHeight="true" outlineLevel="0" collapsed="false">
      <c r="A4282" s="51" t="n">
        <v>18164</v>
      </c>
      <c r="B4282" s="52" t="n">
        <v>40855.7423611111</v>
      </c>
      <c r="C4282" s="1" t="n">
        <v>2</v>
      </c>
      <c r="D4282" s="1" t="n">
        <v>394.7</v>
      </c>
    </row>
    <row r="4283" customFormat="false" ht="14.25" hidden="false" customHeight="true" outlineLevel="0" collapsed="false">
      <c r="A4283" s="51" t="n">
        <v>18165</v>
      </c>
      <c r="B4283" s="52" t="n">
        <v>40709.5576388889</v>
      </c>
      <c r="C4283" s="1" t="n">
        <v>1</v>
      </c>
      <c r="D4283" s="1" t="n">
        <v>302.46</v>
      </c>
    </row>
    <row r="4284" customFormat="false" ht="14.25" hidden="false" customHeight="true" outlineLevel="0" collapsed="false">
      <c r="A4284" s="51" t="n">
        <v>18167</v>
      </c>
      <c r="B4284" s="52" t="n">
        <v>40883.4090277778</v>
      </c>
      <c r="C4284" s="1" t="n">
        <v>6</v>
      </c>
      <c r="D4284" s="1" t="n">
        <v>1355.51</v>
      </c>
    </row>
    <row r="4285" customFormat="false" ht="14.25" hidden="false" customHeight="true" outlineLevel="0" collapsed="false">
      <c r="A4285" s="51" t="n">
        <v>18168</v>
      </c>
      <c r="B4285" s="52" t="n">
        <v>40710.80625</v>
      </c>
      <c r="C4285" s="1" t="n">
        <v>9</v>
      </c>
      <c r="D4285" s="1" t="n">
        <v>1133.64</v>
      </c>
    </row>
    <row r="4286" customFormat="false" ht="14.25" hidden="false" customHeight="true" outlineLevel="0" collapsed="false">
      <c r="A4286" s="51" t="n">
        <v>18169</v>
      </c>
      <c r="B4286" s="52" t="n">
        <v>40826.5125</v>
      </c>
      <c r="C4286" s="1" t="n">
        <v>1</v>
      </c>
      <c r="D4286" s="1" t="n">
        <v>202.65</v>
      </c>
    </row>
    <row r="4287" customFormat="false" ht="14.25" hidden="false" customHeight="true" outlineLevel="0" collapsed="false">
      <c r="A4287" s="51" t="n">
        <v>18170</v>
      </c>
      <c r="B4287" s="52" t="n">
        <v>40853.6076388889</v>
      </c>
      <c r="C4287" s="1" t="n">
        <v>3</v>
      </c>
      <c r="D4287" s="1" t="n">
        <v>980.31</v>
      </c>
    </row>
    <row r="4288" customFormat="false" ht="14.25" hidden="false" customHeight="true" outlineLevel="0" collapsed="false">
      <c r="A4288" s="51" t="n">
        <v>18171</v>
      </c>
      <c r="B4288" s="52" t="n">
        <v>40828.3840277778</v>
      </c>
      <c r="C4288" s="1" t="n">
        <v>7</v>
      </c>
      <c r="D4288" s="1" t="n">
        <v>1208.51</v>
      </c>
    </row>
    <row r="4289" customFormat="false" ht="14.25" hidden="false" customHeight="true" outlineLevel="0" collapsed="false">
      <c r="A4289" s="51" t="n">
        <v>18172</v>
      </c>
      <c r="B4289" s="52" t="n">
        <v>40872.4666666667</v>
      </c>
      <c r="C4289" s="1" t="n">
        <v>25</v>
      </c>
      <c r="D4289" s="1" t="n">
        <v>7490.17</v>
      </c>
    </row>
    <row r="4290" customFormat="false" ht="14.25" hidden="false" customHeight="true" outlineLevel="0" collapsed="false">
      <c r="A4290" s="51" t="n">
        <v>18173</v>
      </c>
      <c r="B4290" s="52" t="n">
        <v>40800.4763888889</v>
      </c>
      <c r="C4290" s="1" t="n">
        <v>4</v>
      </c>
      <c r="D4290" s="1" t="n">
        <v>2106.84</v>
      </c>
    </row>
    <row r="4291" customFormat="false" ht="14.25" hidden="false" customHeight="true" outlineLevel="0" collapsed="false">
      <c r="A4291" s="51" t="n">
        <v>18174</v>
      </c>
      <c r="B4291" s="52" t="n">
        <v>40879.7055555556</v>
      </c>
      <c r="C4291" s="1" t="n">
        <v>1</v>
      </c>
      <c r="D4291" s="1" t="n">
        <v>104</v>
      </c>
    </row>
    <row r="4292" customFormat="false" ht="14.25" hidden="false" customHeight="true" outlineLevel="0" collapsed="false">
      <c r="A4292" s="51" t="n">
        <v>18176</v>
      </c>
      <c r="B4292" s="52" t="n">
        <v>40533.5229166667</v>
      </c>
      <c r="C4292" s="1" t="n">
        <v>2</v>
      </c>
      <c r="D4292" s="1" t="n">
        <v>448.65</v>
      </c>
    </row>
    <row r="4293" customFormat="false" ht="14.25" hidden="false" customHeight="true" outlineLevel="0" collapsed="false">
      <c r="A4293" s="51" t="n">
        <v>18177</v>
      </c>
      <c r="B4293" s="52" t="n">
        <v>40855.6138888889</v>
      </c>
      <c r="C4293" s="1" t="n">
        <v>7</v>
      </c>
      <c r="D4293" s="1" t="n">
        <v>1314.17</v>
      </c>
    </row>
    <row r="4294" customFormat="false" ht="14.25" hidden="false" customHeight="true" outlineLevel="0" collapsed="false">
      <c r="A4294" s="51" t="n">
        <v>18178</v>
      </c>
      <c r="B4294" s="52" t="n">
        <v>40773.2736111111</v>
      </c>
      <c r="C4294" s="1" t="n">
        <v>6</v>
      </c>
      <c r="D4294" s="1" t="n">
        <v>1573.41</v>
      </c>
    </row>
    <row r="4295" customFormat="false" ht="14.25" hidden="false" customHeight="true" outlineLevel="0" collapsed="false">
      <c r="A4295" s="51" t="n">
        <v>18179</v>
      </c>
      <c r="B4295" s="52" t="n">
        <v>40877.6826388889</v>
      </c>
      <c r="C4295" s="1" t="n">
        <v>6</v>
      </c>
      <c r="D4295" s="1" t="n">
        <v>1793.17</v>
      </c>
    </row>
    <row r="4296" customFormat="false" ht="14.25" hidden="false" customHeight="true" outlineLevel="0" collapsed="false">
      <c r="A4296" s="51" t="n">
        <v>18180</v>
      </c>
      <c r="B4296" s="52" t="n">
        <v>40882.3604166667</v>
      </c>
      <c r="C4296" s="1" t="n">
        <v>6</v>
      </c>
      <c r="D4296" s="1" t="n">
        <v>1843.75</v>
      </c>
    </row>
    <row r="4297" customFormat="false" ht="14.25" hidden="false" customHeight="true" outlineLevel="0" collapsed="false">
      <c r="A4297" s="51" t="n">
        <v>18181</v>
      </c>
      <c r="B4297" s="52" t="n">
        <v>40862.6305555556</v>
      </c>
      <c r="C4297" s="1" t="n">
        <v>1</v>
      </c>
      <c r="D4297" s="1" t="n">
        <v>382.8</v>
      </c>
    </row>
    <row r="4298" customFormat="false" ht="14.25" hidden="false" customHeight="true" outlineLevel="0" collapsed="false">
      <c r="A4298" s="51" t="n">
        <v>18183</v>
      </c>
      <c r="B4298" s="52" t="n">
        <v>40668.7409722222</v>
      </c>
      <c r="C4298" s="1" t="n">
        <v>6</v>
      </c>
      <c r="D4298" s="1" t="n">
        <v>600.52</v>
      </c>
    </row>
    <row r="4299" customFormat="false" ht="14.25" hidden="false" customHeight="true" outlineLevel="0" collapsed="false">
      <c r="A4299" s="51" t="n">
        <v>18184</v>
      </c>
      <c r="B4299" s="52" t="n">
        <v>40871.6444444444</v>
      </c>
      <c r="C4299" s="1" t="n">
        <v>1</v>
      </c>
      <c r="D4299" s="1" t="n">
        <v>49.8</v>
      </c>
    </row>
    <row r="4300" customFormat="false" ht="14.25" hidden="false" customHeight="true" outlineLevel="0" collapsed="false">
      <c r="A4300" s="51" t="n">
        <v>18185</v>
      </c>
      <c r="B4300" s="52" t="n">
        <v>40637.5708333333</v>
      </c>
      <c r="C4300" s="1" t="n">
        <v>1</v>
      </c>
      <c r="D4300" s="1" t="n">
        <v>304.25</v>
      </c>
    </row>
    <row r="4301" customFormat="false" ht="14.25" hidden="false" customHeight="true" outlineLevel="0" collapsed="false">
      <c r="A4301" s="51" t="n">
        <v>18188</v>
      </c>
      <c r="B4301" s="52" t="n">
        <v>40871.6986111111</v>
      </c>
      <c r="C4301" s="1" t="n">
        <v>4</v>
      </c>
      <c r="D4301" s="1" t="n">
        <v>1998.49</v>
      </c>
    </row>
    <row r="4302" customFormat="false" ht="14.25" hidden="false" customHeight="true" outlineLevel="0" collapsed="false">
      <c r="A4302" s="51" t="n">
        <v>18189</v>
      </c>
      <c r="B4302" s="52" t="n">
        <v>40809.5277777778</v>
      </c>
      <c r="C4302" s="1" t="n">
        <v>3</v>
      </c>
      <c r="D4302" s="1" t="n">
        <v>1084.34</v>
      </c>
    </row>
    <row r="4303" customFormat="false" ht="14.25" hidden="false" customHeight="true" outlineLevel="0" collapsed="false">
      <c r="A4303" s="51" t="n">
        <v>18190</v>
      </c>
      <c r="B4303" s="52" t="n">
        <v>40694.6166666667</v>
      </c>
      <c r="C4303" s="1" t="n">
        <v>3</v>
      </c>
      <c r="D4303" s="1" t="n">
        <v>274.51</v>
      </c>
    </row>
    <row r="4304" customFormat="false" ht="14.25" hidden="false" customHeight="true" outlineLevel="0" collapsed="false">
      <c r="A4304" s="51" t="n">
        <v>18191</v>
      </c>
      <c r="B4304" s="52" t="n">
        <v>40625.5055555556</v>
      </c>
      <c r="C4304" s="1" t="n">
        <v>1</v>
      </c>
      <c r="D4304" s="1" t="n">
        <v>207.8</v>
      </c>
    </row>
    <row r="4305" customFormat="false" ht="14.25" hidden="false" customHeight="true" outlineLevel="0" collapsed="false">
      <c r="A4305" s="51" t="n">
        <v>18192</v>
      </c>
      <c r="B4305" s="52" t="n">
        <v>40815.4118055556</v>
      </c>
      <c r="C4305" s="1" t="n">
        <v>1</v>
      </c>
      <c r="D4305" s="1" t="n">
        <v>957.97</v>
      </c>
    </row>
    <row r="4306" customFormat="false" ht="14.25" hidden="false" customHeight="true" outlineLevel="0" collapsed="false">
      <c r="A4306" s="51" t="n">
        <v>18193</v>
      </c>
      <c r="B4306" s="52" t="n">
        <v>40736.4555555556</v>
      </c>
      <c r="C4306" s="1" t="n">
        <v>3</v>
      </c>
      <c r="D4306" s="1" t="n">
        <v>212.96</v>
      </c>
    </row>
    <row r="4307" customFormat="false" ht="14.25" hidden="false" customHeight="true" outlineLevel="0" collapsed="false">
      <c r="A4307" s="51" t="n">
        <v>18194</v>
      </c>
      <c r="B4307" s="52" t="n">
        <v>40822.8291666667</v>
      </c>
      <c r="C4307" s="1" t="n">
        <v>2</v>
      </c>
      <c r="D4307" s="1" t="n">
        <v>896</v>
      </c>
    </row>
    <row r="4308" customFormat="false" ht="14.25" hidden="false" customHeight="true" outlineLevel="0" collapsed="false">
      <c r="A4308" s="51" t="n">
        <v>18196</v>
      </c>
      <c r="B4308" s="52" t="n">
        <v>40791.6819444444</v>
      </c>
      <c r="C4308" s="1" t="n">
        <v>2</v>
      </c>
      <c r="D4308" s="1" t="n">
        <v>689.13</v>
      </c>
    </row>
    <row r="4309" customFormat="false" ht="14.25" hidden="false" customHeight="true" outlineLevel="0" collapsed="false">
      <c r="A4309" s="51" t="n">
        <v>18198</v>
      </c>
      <c r="B4309" s="52" t="n">
        <v>40882.6173611111</v>
      </c>
      <c r="C4309" s="1" t="n">
        <v>21</v>
      </c>
      <c r="D4309" s="1" t="n">
        <v>5083.06</v>
      </c>
    </row>
    <row r="4310" customFormat="false" ht="14.25" hidden="false" customHeight="true" outlineLevel="0" collapsed="false">
      <c r="A4310" s="51" t="n">
        <v>18200</v>
      </c>
      <c r="B4310" s="52" t="n">
        <v>40780.78125</v>
      </c>
      <c r="C4310" s="1" t="n">
        <v>1</v>
      </c>
      <c r="D4310" s="1" t="n">
        <v>163.8</v>
      </c>
    </row>
    <row r="4311" customFormat="false" ht="14.25" hidden="false" customHeight="true" outlineLevel="0" collapsed="false">
      <c r="A4311" s="51" t="n">
        <v>18202</v>
      </c>
      <c r="B4311" s="52" t="n">
        <v>40687.5083333333</v>
      </c>
      <c r="C4311" s="1" t="n">
        <v>3</v>
      </c>
      <c r="D4311" s="1" t="n">
        <v>1396.99</v>
      </c>
    </row>
    <row r="4312" customFormat="false" ht="14.25" hidden="false" customHeight="true" outlineLevel="0" collapsed="false">
      <c r="A4312" s="51" t="n">
        <v>18203</v>
      </c>
      <c r="B4312" s="52" t="n">
        <v>40729.5465277778</v>
      </c>
      <c r="C4312" s="1" t="n">
        <v>1</v>
      </c>
      <c r="D4312" s="1" t="n">
        <v>160.42</v>
      </c>
    </row>
    <row r="4313" customFormat="false" ht="14.25" hidden="false" customHeight="true" outlineLevel="0" collapsed="false">
      <c r="A4313" s="51" t="n">
        <v>18204</v>
      </c>
      <c r="B4313" s="52" t="n">
        <v>40815.6972222222</v>
      </c>
      <c r="C4313" s="1" t="n">
        <v>4</v>
      </c>
      <c r="D4313" s="1" t="n">
        <v>1979.3</v>
      </c>
    </row>
    <row r="4314" customFormat="false" ht="14.25" hidden="false" customHeight="true" outlineLevel="0" collapsed="false">
      <c r="A4314" s="51" t="n">
        <v>18205</v>
      </c>
      <c r="B4314" s="52" t="n">
        <v>40850.5569444444</v>
      </c>
      <c r="C4314" s="1" t="n">
        <v>2</v>
      </c>
      <c r="D4314" s="1" t="n">
        <v>517.36</v>
      </c>
    </row>
    <row r="4315" customFormat="false" ht="14.25" hidden="false" customHeight="true" outlineLevel="0" collapsed="false">
      <c r="A4315" s="51" t="n">
        <v>18209</v>
      </c>
      <c r="B4315" s="52" t="n">
        <v>40858.5048611111</v>
      </c>
      <c r="C4315" s="1" t="n">
        <v>1</v>
      </c>
      <c r="D4315" s="1" t="n">
        <v>139.1</v>
      </c>
    </row>
    <row r="4316" customFormat="false" ht="14.25" hidden="false" customHeight="true" outlineLevel="0" collapsed="false">
      <c r="A4316" s="51" t="n">
        <v>18210</v>
      </c>
      <c r="B4316" s="52" t="n">
        <v>40885.4597222222</v>
      </c>
      <c r="C4316" s="1" t="n">
        <v>6</v>
      </c>
      <c r="D4316" s="1" t="n">
        <v>2621.38</v>
      </c>
    </row>
    <row r="4317" customFormat="false" ht="14.25" hidden="false" customHeight="true" outlineLevel="0" collapsed="false">
      <c r="A4317" s="51" t="n">
        <v>18211</v>
      </c>
      <c r="B4317" s="52" t="n">
        <v>40861.3402777778</v>
      </c>
      <c r="C4317" s="1" t="n">
        <v>5</v>
      </c>
      <c r="D4317" s="1" t="n">
        <v>600.07</v>
      </c>
    </row>
    <row r="4318" customFormat="false" ht="14.25" hidden="false" customHeight="true" outlineLevel="0" collapsed="false">
      <c r="A4318" s="51" t="n">
        <v>18212</v>
      </c>
      <c r="B4318" s="52" t="n">
        <v>40560.6763888889</v>
      </c>
      <c r="C4318" s="1" t="n">
        <v>1</v>
      </c>
      <c r="D4318" s="1" t="n">
        <v>248.42</v>
      </c>
    </row>
    <row r="4319" customFormat="false" ht="14.25" hidden="false" customHeight="true" outlineLevel="0" collapsed="false">
      <c r="A4319" s="51" t="n">
        <v>18213</v>
      </c>
      <c r="B4319" s="52" t="n">
        <v>40650.43125</v>
      </c>
      <c r="C4319" s="1" t="n">
        <v>1</v>
      </c>
      <c r="D4319" s="1" t="n">
        <v>232.48</v>
      </c>
    </row>
    <row r="4320" customFormat="false" ht="14.25" hidden="false" customHeight="true" outlineLevel="0" collapsed="false">
      <c r="A4320" s="51" t="n">
        <v>18215</v>
      </c>
      <c r="B4320" s="52" t="n">
        <v>40797.6701388889</v>
      </c>
      <c r="C4320" s="1" t="n">
        <v>1</v>
      </c>
      <c r="D4320" s="1" t="n">
        <v>299.34</v>
      </c>
    </row>
    <row r="4321" customFormat="false" ht="14.25" hidden="false" customHeight="true" outlineLevel="0" collapsed="false">
      <c r="A4321" s="51" t="n">
        <v>18216</v>
      </c>
      <c r="B4321" s="52" t="n">
        <v>40855.7048611111</v>
      </c>
      <c r="C4321" s="1" t="n">
        <v>1</v>
      </c>
      <c r="D4321" s="1" t="n">
        <v>481.75</v>
      </c>
    </row>
    <row r="4322" customFormat="false" ht="14.25" hidden="false" customHeight="true" outlineLevel="0" collapsed="false">
      <c r="A4322" s="51" t="n">
        <v>18217</v>
      </c>
      <c r="B4322" s="52" t="n">
        <v>40857.5541666667</v>
      </c>
      <c r="C4322" s="1" t="n">
        <v>2</v>
      </c>
      <c r="D4322" s="1" t="n">
        <v>621.75</v>
      </c>
    </row>
    <row r="4323" customFormat="false" ht="14.25" hidden="false" customHeight="true" outlineLevel="0" collapsed="false">
      <c r="A4323" s="51" t="n">
        <v>18218</v>
      </c>
      <c r="B4323" s="52" t="n">
        <v>40680.5944444445</v>
      </c>
      <c r="C4323" s="1" t="n">
        <v>4</v>
      </c>
      <c r="D4323" s="1" t="n">
        <v>626.38</v>
      </c>
    </row>
    <row r="4324" customFormat="false" ht="14.25" hidden="false" customHeight="true" outlineLevel="0" collapsed="false">
      <c r="A4324" s="51" t="n">
        <v>18219</v>
      </c>
      <c r="B4324" s="52" t="n">
        <v>40884.4881944444</v>
      </c>
      <c r="C4324" s="1" t="n">
        <v>11</v>
      </c>
      <c r="D4324" s="1" t="n">
        <v>2019.77</v>
      </c>
    </row>
    <row r="4325" customFormat="false" ht="14.25" hidden="false" customHeight="true" outlineLevel="0" collapsed="false">
      <c r="A4325" s="51" t="n">
        <v>18220</v>
      </c>
      <c r="B4325" s="52" t="n">
        <v>40667.4743055556</v>
      </c>
      <c r="C4325" s="1" t="n">
        <v>2</v>
      </c>
      <c r="D4325" s="1" t="n">
        <v>297.78</v>
      </c>
    </row>
    <row r="4326" customFormat="false" ht="14.25" hidden="false" customHeight="true" outlineLevel="0" collapsed="false">
      <c r="A4326" s="51" t="n">
        <v>18221</v>
      </c>
      <c r="B4326" s="52" t="n">
        <v>40864.6111111111</v>
      </c>
      <c r="C4326" s="1" t="n">
        <v>6</v>
      </c>
      <c r="D4326" s="1" t="n">
        <v>1033.31</v>
      </c>
    </row>
    <row r="4327" customFormat="false" ht="14.25" hidden="false" customHeight="true" outlineLevel="0" collapsed="false">
      <c r="A4327" s="51" t="n">
        <v>18222</v>
      </c>
      <c r="B4327" s="52" t="n">
        <v>40794.4479166667</v>
      </c>
      <c r="C4327" s="1" t="n">
        <v>1</v>
      </c>
      <c r="D4327" s="1" t="n">
        <v>443</v>
      </c>
    </row>
    <row r="4328" customFormat="false" ht="14.25" hidden="false" customHeight="true" outlineLevel="0" collapsed="false">
      <c r="A4328" s="51" t="n">
        <v>18223</v>
      </c>
      <c r="B4328" s="52" t="n">
        <v>40885.49375</v>
      </c>
      <c r="C4328" s="1" t="n">
        <v>27</v>
      </c>
      <c r="D4328" s="1" t="n">
        <v>6315.23</v>
      </c>
    </row>
    <row r="4329" customFormat="false" ht="14.25" hidden="false" customHeight="true" outlineLevel="0" collapsed="false">
      <c r="A4329" s="51" t="n">
        <v>18224</v>
      </c>
      <c r="B4329" s="52" t="n">
        <v>40623.4375</v>
      </c>
      <c r="C4329" s="1" t="n">
        <v>1</v>
      </c>
      <c r="D4329" s="1" t="n">
        <v>158.95</v>
      </c>
    </row>
    <row r="4330" customFormat="false" ht="14.25" hidden="false" customHeight="true" outlineLevel="0" collapsed="false">
      <c r="A4330" s="51" t="n">
        <v>18225</v>
      </c>
      <c r="B4330" s="52" t="n">
        <v>40883.5604166667</v>
      </c>
      <c r="C4330" s="1" t="n">
        <v>17</v>
      </c>
      <c r="D4330" s="1" t="n">
        <v>5361.02</v>
      </c>
    </row>
    <row r="4331" customFormat="false" ht="14.25" hidden="false" customHeight="true" outlineLevel="0" collapsed="false">
      <c r="A4331" s="51" t="n">
        <v>18226</v>
      </c>
      <c r="B4331" s="52" t="n">
        <v>40848.4145833333</v>
      </c>
      <c r="C4331" s="1" t="n">
        <v>14</v>
      </c>
      <c r="D4331" s="1" t="n">
        <v>5192.1</v>
      </c>
    </row>
    <row r="4332" customFormat="false" ht="14.25" hidden="false" customHeight="true" outlineLevel="0" collapsed="false">
      <c r="A4332" s="51" t="n">
        <v>18227</v>
      </c>
      <c r="B4332" s="52" t="n">
        <v>40669.5159722222</v>
      </c>
      <c r="C4332" s="1" t="n">
        <v>1</v>
      </c>
      <c r="D4332" s="1" t="n">
        <v>93.75</v>
      </c>
    </row>
    <row r="4333" customFormat="false" ht="14.25" hidden="false" customHeight="true" outlineLevel="0" collapsed="false">
      <c r="A4333" s="51" t="n">
        <v>18228</v>
      </c>
      <c r="B4333" s="52" t="n">
        <v>40836.80625</v>
      </c>
      <c r="C4333" s="1" t="n">
        <v>3</v>
      </c>
      <c r="D4333" s="1" t="n">
        <v>769.2</v>
      </c>
    </row>
    <row r="4334" customFormat="false" ht="14.25" hidden="false" customHeight="true" outlineLevel="0" collapsed="false">
      <c r="A4334" s="51" t="n">
        <v>18229</v>
      </c>
      <c r="B4334" s="52" t="n">
        <v>40875.4083333333</v>
      </c>
      <c r="C4334" s="1" t="n">
        <v>20</v>
      </c>
      <c r="D4334" s="1" t="n">
        <v>7276.9</v>
      </c>
    </row>
    <row r="4335" customFormat="false" ht="14.25" hidden="false" customHeight="true" outlineLevel="0" collapsed="false">
      <c r="A4335" s="51" t="n">
        <v>18230</v>
      </c>
      <c r="B4335" s="52" t="n">
        <v>40877.5569444444</v>
      </c>
      <c r="C4335" s="1" t="n">
        <v>10</v>
      </c>
      <c r="D4335" s="1" t="n">
        <v>2716.6</v>
      </c>
    </row>
    <row r="4336" customFormat="false" ht="14.25" hidden="false" customHeight="true" outlineLevel="0" collapsed="false">
      <c r="A4336" s="51" t="n">
        <v>18231</v>
      </c>
      <c r="B4336" s="52" t="n">
        <v>40694.5958333333</v>
      </c>
      <c r="C4336" s="1" t="n">
        <v>6</v>
      </c>
      <c r="D4336" s="1" t="n">
        <v>2066.17</v>
      </c>
    </row>
    <row r="4337" customFormat="false" ht="14.25" hidden="false" customHeight="true" outlineLevel="0" collapsed="false">
      <c r="A4337" s="51" t="n">
        <v>18232</v>
      </c>
      <c r="B4337" s="52" t="n">
        <v>40805.4923611111</v>
      </c>
      <c r="C4337" s="1" t="n">
        <v>5</v>
      </c>
      <c r="D4337" s="1" t="n">
        <v>582.47</v>
      </c>
    </row>
    <row r="4338" customFormat="false" ht="14.25" hidden="false" customHeight="true" outlineLevel="0" collapsed="false">
      <c r="A4338" s="51" t="n">
        <v>18233</v>
      </c>
      <c r="B4338" s="52" t="n">
        <v>40561.3638888889</v>
      </c>
      <c r="C4338" s="1" t="n">
        <v>1</v>
      </c>
      <c r="D4338" s="1" t="n">
        <v>440</v>
      </c>
    </row>
    <row r="4339" customFormat="false" ht="14.25" hidden="false" customHeight="true" outlineLevel="0" collapsed="false">
      <c r="A4339" s="51" t="n">
        <v>18235</v>
      </c>
      <c r="B4339" s="52" t="n">
        <v>40815.3520833333</v>
      </c>
      <c r="C4339" s="1" t="n">
        <v>3</v>
      </c>
      <c r="D4339" s="1" t="n">
        <v>1796.48</v>
      </c>
    </row>
    <row r="4340" customFormat="false" ht="14.25" hidden="false" customHeight="true" outlineLevel="0" collapsed="false">
      <c r="A4340" s="51" t="n">
        <v>18236</v>
      </c>
      <c r="B4340" s="52" t="n">
        <v>40857.3375</v>
      </c>
      <c r="C4340" s="1" t="n">
        <v>6</v>
      </c>
      <c r="D4340" s="1" t="n">
        <v>882.24</v>
      </c>
    </row>
    <row r="4341" customFormat="false" ht="14.25" hidden="false" customHeight="true" outlineLevel="0" collapsed="false">
      <c r="A4341" s="51" t="n">
        <v>18237</v>
      </c>
      <c r="B4341" s="52" t="n">
        <v>40884.5340277778</v>
      </c>
      <c r="C4341" s="1" t="n">
        <v>5</v>
      </c>
      <c r="D4341" s="1" t="n">
        <v>987.1</v>
      </c>
    </row>
    <row r="4342" customFormat="false" ht="14.25" hidden="false" customHeight="true" outlineLevel="0" collapsed="false">
      <c r="A4342" s="51" t="n">
        <v>18239</v>
      </c>
      <c r="B4342" s="52" t="n">
        <v>40668.5263888889</v>
      </c>
      <c r="C4342" s="1" t="n">
        <v>5</v>
      </c>
      <c r="D4342" s="1" t="n">
        <v>1561.61</v>
      </c>
    </row>
    <row r="4343" customFormat="false" ht="14.25" hidden="false" customHeight="true" outlineLevel="0" collapsed="false">
      <c r="A4343" s="51" t="n">
        <v>18240</v>
      </c>
      <c r="B4343" s="52" t="n">
        <v>40840.5458333333</v>
      </c>
      <c r="C4343" s="1" t="n">
        <v>1</v>
      </c>
      <c r="D4343" s="1" t="n">
        <v>422.58</v>
      </c>
    </row>
    <row r="4344" customFormat="false" ht="14.25" hidden="false" customHeight="true" outlineLevel="0" collapsed="false">
      <c r="A4344" s="51" t="n">
        <v>18241</v>
      </c>
      <c r="B4344" s="52" t="n">
        <v>40877.5069444445</v>
      </c>
      <c r="C4344" s="1" t="n">
        <v>18</v>
      </c>
      <c r="D4344" s="1" t="n">
        <v>2058.09</v>
      </c>
    </row>
    <row r="4345" customFormat="false" ht="14.25" hidden="false" customHeight="true" outlineLevel="0" collapsed="false">
      <c r="A4345" s="51" t="n">
        <v>18242</v>
      </c>
      <c r="B4345" s="52" t="n">
        <v>40814.5715277778</v>
      </c>
      <c r="C4345" s="1" t="n">
        <v>4</v>
      </c>
      <c r="D4345" s="1" t="n">
        <v>2232.49</v>
      </c>
    </row>
    <row r="4346" customFormat="false" ht="14.25" hidden="false" customHeight="true" outlineLevel="0" collapsed="false">
      <c r="A4346" s="51" t="n">
        <v>18245</v>
      </c>
      <c r="B4346" s="52" t="n">
        <v>40879.6166666667</v>
      </c>
      <c r="C4346" s="1" t="n">
        <v>8</v>
      </c>
      <c r="D4346" s="1" t="n">
        <v>2507.56</v>
      </c>
    </row>
    <row r="4347" customFormat="false" ht="14.25" hidden="false" customHeight="true" outlineLevel="0" collapsed="false">
      <c r="A4347" s="51" t="n">
        <v>18246</v>
      </c>
      <c r="B4347" s="52" t="n">
        <v>40863.4923611111</v>
      </c>
      <c r="C4347" s="1" t="n">
        <v>2</v>
      </c>
      <c r="D4347" s="1" t="n">
        <v>596.1</v>
      </c>
    </row>
    <row r="4348" customFormat="false" ht="14.25" hidden="false" customHeight="true" outlineLevel="0" collapsed="false">
      <c r="A4348" s="51" t="n">
        <v>18248</v>
      </c>
      <c r="B4348" s="52" t="n">
        <v>40773.2597222222</v>
      </c>
      <c r="C4348" s="1" t="n">
        <v>4</v>
      </c>
      <c r="D4348" s="1" t="n">
        <v>783.02</v>
      </c>
    </row>
    <row r="4349" customFormat="false" ht="14.25" hidden="false" customHeight="true" outlineLevel="0" collapsed="false">
      <c r="A4349" s="51" t="n">
        <v>18249</v>
      </c>
      <c r="B4349" s="52" t="n">
        <v>40869.6298611111</v>
      </c>
      <c r="C4349" s="1" t="n">
        <v>1</v>
      </c>
      <c r="D4349" s="1" t="n">
        <v>95.34</v>
      </c>
    </row>
    <row r="4350" customFormat="false" ht="14.25" hidden="false" customHeight="true" outlineLevel="0" collapsed="false">
      <c r="A4350" s="51" t="n">
        <v>18250</v>
      </c>
      <c r="B4350" s="52" t="n">
        <v>40585.5826388889</v>
      </c>
      <c r="C4350" s="1" t="n">
        <v>2</v>
      </c>
      <c r="D4350" s="1" t="n">
        <v>342.92</v>
      </c>
    </row>
    <row r="4351" customFormat="false" ht="14.25" hidden="false" customHeight="true" outlineLevel="0" collapsed="false">
      <c r="A4351" s="51" t="n">
        <v>18251</v>
      </c>
      <c r="B4351" s="52" t="n">
        <v>40799.6270833333</v>
      </c>
      <c r="C4351" s="1" t="n">
        <v>1</v>
      </c>
      <c r="D4351" s="1" t="n">
        <v>4314.72</v>
      </c>
    </row>
    <row r="4352" customFormat="false" ht="14.25" hidden="false" customHeight="true" outlineLevel="0" collapsed="false">
      <c r="A4352" s="51" t="n">
        <v>18252</v>
      </c>
      <c r="B4352" s="52" t="n">
        <v>40836.5298611111</v>
      </c>
      <c r="C4352" s="1" t="n">
        <v>2</v>
      </c>
      <c r="D4352" s="1" t="n">
        <v>526.67</v>
      </c>
    </row>
    <row r="4353" customFormat="false" ht="14.25" hidden="false" customHeight="true" outlineLevel="0" collapsed="false">
      <c r="A4353" s="51" t="n">
        <v>18255</v>
      </c>
      <c r="B4353" s="52" t="n">
        <v>40797.5527777778</v>
      </c>
      <c r="C4353" s="1" t="n">
        <v>1</v>
      </c>
      <c r="D4353" s="1" t="n">
        <v>103.3</v>
      </c>
    </row>
    <row r="4354" customFormat="false" ht="14.25" hidden="false" customHeight="true" outlineLevel="0" collapsed="false">
      <c r="A4354" s="51" t="n">
        <v>18256</v>
      </c>
      <c r="B4354" s="52" t="n">
        <v>40532.3520833333</v>
      </c>
      <c r="C4354" s="1" t="n">
        <v>1</v>
      </c>
      <c r="D4354" s="1" t="n">
        <v>-50.1</v>
      </c>
    </row>
    <row r="4355" customFormat="false" ht="14.25" hidden="false" customHeight="true" outlineLevel="0" collapsed="false">
      <c r="A4355" s="51" t="n">
        <v>18257</v>
      </c>
      <c r="B4355" s="52" t="n">
        <v>40847.6166666667</v>
      </c>
      <c r="C4355" s="1" t="n">
        <v>12</v>
      </c>
      <c r="D4355" s="1" t="n">
        <v>2265.38</v>
      </c>
    </row>
    <row r="4356" customFormat="false" ht="14.25" hidden="false" customHeight="true" outlineLevel="0" collapsed="false">
      <c r="A4356" s="51" t="n">
        <v>18259</v>
      </c>
      <c r="B4356" s="52" t="n">
        <v>40862.5236111111</v>
      </c>
      <c r="C4356" s="1" t="n">
        <v>3</v>
      </c>
      <c r="D4356" s="1" t="n">
        <v>2338.6</v>
      </c>
    </row>
    <row r="4357" customFormat="false" ht="14.25" hidden="false" customHeight="true" outlineLevel="0" collapsed="false">
      <c r="A4357" s="51" t="n">
        <v>18260</v>
      </c>
      <c r="B4357" s="52" t="n">
        <v>40714.5256944444</v>
      </c>
      <c r="C4357" s="1" t="n">
        <v>8</v>
      </c>
      <c r="D4357" s="1" t="n">
        <v>2595</v>
      </c>
    </row>
    <row r="4358" customFormat="false" ht="14.25" hidden="false" customHeight="true" outlineLevel="0" collapsed="false">
      <c r="A4358" s="51" t="n">
        <v>18261</v>
      </c>
      <c r="B4358" s="52" t="n">
        <v>40843.65</v>
      </c>
      <c r="C4358" s="1" t="n">
        <v>2</v>
      </c>
      <c r="D4358" s="1" t="n">
        <v>324.24</v>
      </c>
    </row>
    <row r="4359" customFormat="false" ht="14.25" hidden="false" customHeight="true" outlineLevel="0" collapsed="false">
      <c r="A4359" s="51" t="n">
        <v>18262</v>
      </c>
      <c r="B4359" s="52" t="n">
        <v>40746.6694444444</v>
      </c>
      <c r="C4359" s="1" t="n">
        <v>1</v>
      </c>
      <c r="D4359" s="1" t="n">
        <v>149.48</v>
      </c>
    </row>
    <row r="4360" customFormat="false" ht="14.25" hidden="false" customHeight="true" outlineLevel="0" collapsed="false">
      <c r="A4360" s="51" t="n">
        <v>18263</v>
      </c>
      <c r="B4360" s="52" t="n">
        <v>40863.6798611111</v>
      </c>
      <c r="C4360" s="1" t="n">
        <v>4</v>
      </c>
      <c r="D4360" s="1" t="n">
        <v>1211.08</v>
      </c>
    </row>
    <row r="4361" customFormat="false" ht="14.25" hidden="false" customHeight="true" outlineLevel="0" collapsed="false">
      <c r="A4361" s="51" t="n">
        <v>18265</v>
      </c>
      <c r="B4361" s="52" t="n">
        <v>40814.5902777778</v>
      </c>
      <c r="C4361" s="1" t="n">
        <v>2</v>
      </c>
      <c r="D4361" s="1" t="n">
        <v>801.51</v>
      </c>
    </row>
    <row r="4362" customFormat="false" ht="14.25" hidden="false" customHeight="true" outlineLevel="0" collapsed="false">
      <c r="A4362" s="51" t="n">
        <v>18268</v>
      </c>
      <c r="B4362" s="52" t="n">
        <v>40752.8006944444</v>
      </c>
      <c r="C4362" s="1" t="n">
        <v>2</v>
      </c>
      <c r="D4362" s="1" t="n">
        <v>0</v>
      </c>
    </row>
    <row r="4363" customFormat="false" ht="14.25" hidden="false" customHeight="true" outlineLevel="0" collapsed="false">
      <c r="A4363" s="51" t="n">
        <v>18269</v>
      </c>
      <c r="B4363" s="52" t="n">
        <v>40528.6520833333</v>
      </c>
      <c r="C4363" s="1" t="n">
        <v>2</v>
      </c>
      <c r="D4363" s="1" t="n">
        <v>138.9</v>
      </c>
    </row>
    <row r="4364" customFormat="false" ht="14.25" hidden="false" customHeight="true" outlineLevel="0" collapsed="false">
      <c r="A4364" s="51" t="n">
        <v>18270</v>
      </c>
      <c r="B4364" s="52" t="n">
        <v>40848.58125</v>
      </c>
      <c r="C4364" s="1" t="n">
        <v>3</v>
      </c>
      <c r="D4364" s="1" t="n">
        <v>238.95</v>
      </c>
    </row>
    <row r="4365" customFormat="false" ht="14.25" hidden="false" customHeight="true" outlineLevel="0" collapsed="false">
      <c r="A4365" s="51" t="n">
        <v>18272</v>
      </c>
      <c r="B4365" s="52" t="n">
        <v>40884.5298611111</v>
      </c>
      <c r="C4365" s="1" t="n">
        <v>7</v>
      </c>
      <c r="D4365" s="1" t="n">
        <v>3064.78</v>
      </c>
    </row>
    <row r="4366" customFormat="false" ht="14.25" hidden="false" customHeight="true" outlineLevel="0" collapsed="false">
      <c r="A4366" s="51" t="n">
        <v>18273</v>
      </c>
      <c r="B4366" s="52" t="n">
        <v>40884.5527777778</v>
      </c>
      <c r="C4366" s="1" t="n">
        <v>3</v>
      </c>
      <c r="D4366" s="1" t="n">
        <v>204</v>
      </c>
    </row>
    <row r="4367" customFormat="false" ht="14.25" hidden="false" customHeight="true" outlineLevel="0" collapsed="false">
      <c r="A4367" s="51" t="n">
        <v>18274</v>
      </c>
      <c r="B4367" s="52" t="n">
        <v>40869.4291666667</v>
      </c>
      <c r="C4367" s="1" t="n">
        <v>2</v>
      </c>
      <c r="D4367" s="1" t="n">
        <v>1.24344978758018E-014</v>
      </c>
    </row>
    <row r="4368" customFormat="false" ht="14.25" hidden="false" customHeight="true" outlineLevel="0" collapsed="false">
      <c r="A4368" s="51" t="n">
        <v>18276</v>
      </c>
      <c r="B4368" s="52" t="n">
        <v>40865.7090277778</v>
      </c>
      <c r="C4368" s="1" t="n">
        <v>3</v>
      </c>
      <c r="D4368" s="1" t="n">
        <v>323.36</v>
      </c>
    </row>
    <row r="4369" customFormat="false" ht="14.25" hidden="false" customHeight="true" outlineLevel="0" collapsed="false">
      <c r="A4369" s="51" t="n">
        <v>18277</v>
      </c>
      <c r="B4369" s="52" t="n">
        <v>40828.6402777778</v>
      </c>
      <c r="C4369" s="1" t="n">
        <v>2</v>
      </c>
      <c r="D4369" s="1" t="n">
        <v>97.63</v>
      </c>
    </row>
    <row r="4370" customFormat="false" ht="14.25" hidden="false" customHeight="true" outlineLevel="0" collapsed="false">
      <c r="A4370" s="51" t="n">
        <v>18278</v>
      </c>
      <c r="B4370" s="52" t="n">
        <v>40813.4986111111</v>
      </c>
      <c r="C4370" s="1" t="n">
        <v>1</v>
      </c>
      <c r="D4370" s="1" t="n">
        <v>173.9</v>
      </c>
    </row>
    <row r="4371" customFormat="false" ht="14.25" hidden="false" customHeight="true" outlineLevel="0" collapsed="false">
      <c r="A4371" s="51" t="n">
        <v>18280</v>
      </c>
      <c r="B4371" s="52" t="n">
        <v>40609.4111111111</v>
      </c>
      <c r="C4371" s="1" t="n">
        <v>1</v>
      </c>
      <c r="D4371" s="1" t="n">
        <v>180.6</v>
      </c>
    </row>
    <row r="4372" customFormat="false" ht="14.25" hidden="false" customHeight="true" outlineLevel="0" collapsed="false">
      <c r="A4372" s="51" t="n">
        <v>18281</v>
      </c>
      <c r="B4372" s="52" t="n">
        <v>40706.4534722222</v>
      </c>
      <c r="C4372" s="1" t="n">
        <v>1</v>
      </c>
      <c r="D4372" s="1" t="n">
        <v>80.82</v>
      </c>
    </row>
    <row r="4373" customFormat="false" ht="14.25" hidden="false" customHeight="true" outlineLevel="0" collapsed="false">
      <c r="A4373" s="51" t="n">
        <v>18282</v>
      </c>
      <c r="B4373" s="52" t="n">
        <v>40879.4881944444</v>
      </c>
      <c r="C4373" s="1" t="n">
        <v>3</v>
      </c>
      <c r="D4373" s="1" t="n">
        <v>176.6</v>
      </c>
    </row>
    <row r="4374" customFormat="false" ht="14.25" hidden="false" customHeight="true" outlineLevel="0" collapsed="false">
      <c r="A4374" s="51" t="n">
        <v>18283</v>
      </c>
      <c r="B4374" s="52" t="n">
        <v>40883.5013888889</v>
      </c>
      <c r="C4374" s="1" t="n">
        <v>16</v>
      </c>
      <c r="D4374" s="1" t="n">
        <v>2094.88</v>
      </c>
    </row>
    <row r="4375" customFormat="false" ht="14.25" hidden="false" customHeight="true" outlineLevel="0" collapsed="false">
      <c r="A4375" s="51" t="n">
        <v>18287</v>
      </c>
      <c r="B4375" s="52" t="n">
        <v>40844.3951388889</v>
      </c>
      <c r="C4375" s="1" t="n">
        <v>3</v>
      </c>
      <c r="D4375" s="1" t="n">
        <v>1837.28</v>
      </c>
    </row>
    <row r="4376" customFormat="false" ht="14.25" hidden="false" customHeight="true" outlineLevel="0" collapsed="false">
      <c r="A4376" s="51" t="s">
        <v>44</v>
      </c>
      <c r="B4376" s="52" t="n">
        <v>40886.5347222222</v>
      </c>
      <c r="C4376" s="1" t="n">
        <v>22190</v>
      </c>
      <c r="D4376" s="1" t="n">
        <v>8300065.81399999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2:K43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1" activeCellId="0" sqref="O2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3.22"/>
    <col collapsed="false" customWidth="true" hidden="false" outlineLevel="0" max="2" min="2" style="53" width="15.78"/>
    <col collapsed="false" customWidth="true" hidden="false" outlineLevel="0" max="3" min="3" style="1" width="14"/>
    <col collapsed="false" customWidth="true" hidden="false" outlineLevel="0" max="4" min="4" style="1" width="11.67"/>
    <col collapsed="false" customWidth="true" hidden="false" outlineLevel="0" max="5" min="5" style="1" width="11.33"/>
    <col collapsed="false" customWidth="true" hidden="false" outlineLevel="0" max="6" min="6" style="1" width="9.56"/>
    <col collapsed="false" customWidth="true" hidden="false" outlineLevel="0" max="7" min="7" style="1" width="9.33"/>
    <col collapsed="false" customWidth="true" hidden="false" outlineLevel="0" max="8" min="8" style="1" width="9.79"/>
    <col collapsed="false" customWidth="true" hidden="false" outlineLevel="0" max="9" min="9" style="1" width="14.56"/>
    <col collapsed="false" customWidth="true" hidden="false" outlineLevel="0" max="10" min="10" style="1" width="14.44"/>
  </cols>
  <sheetData>
    <row r="2" customFormat="false" ht="14.25" hidden="false" customHeight="true" outlineLevel="0" collapsed="false">
      <c r="B2" s="53" t="s">
        <v>45</v>
      </c>
      <c r="C2" s="52" t="n">
        <v>40887</v>
      </c>
    </row>
    <row r="6" customFormat="false" ht="14.25" hidden="false" customHeight="true" outlineLevel="0" collapsed="false">
      <c r="A6" s="54" t="s">
        <v>27</v>
      </c>
      <c r="B6" s="55" t="s">
        <v>46</v>
      </c>
      <c r="C6" s="56" t="s">
        <v>47</v>
      </c>
      <c r="D6" s="56" t="s">
        <v>48</v>
      </c>
      <c r="E6" s="56" t="s">
        <v>49</v>
      </c>
      <c r="F6" s="56" t="s">
        <v>50</v>
      </c>
      <c r="G6" s="56" t="s">
        <v>51</v>
      </c>
      <c r="H6" s="56" t="s">
        <v>52</v>
      </c>
      <c r="I6" s="56" t="s">
        <v>53</v>
      </c>
      <c r="J6" s="56" t="s">
        <v>54</v>
      </c>
      <c r="K6" s="56" t="s">
        <v>55</v>
      </c>
    </row>
    <row r="7" customFormat="false" ht="14.25" hidden="false" customHeight="true" outlineLevel="0" collapsed="false">
      <c r="A7" s="51" t="n">
        <v>12346</v>
      </c>
      <c r="B7" s="53" t="n">
        <v>40561.4284722222</v>
      </c>
      <c r="C7" s="57" t="n">
        <f aca="false">INT($C$2)-INT(Table3[[#This Row],[Last Purchase Date]])</f>
        <v>326</v>
      </c>
      <c r="D7" s="1" t="n">
        <v>2</v>
      </c>
      <c r="E7" s="1" t="n">
        <v>0</v>
      </c>
      <c r="F7" s="1" t="n">
        <f aca="false">ROUND((1-_xlfn.PERCENTRANK.INC($C$7:$C$4378,C7))*9,0)</f>
        <v>0</v>
      </c>
      <c r="G7" s="1" t="n">
        <f aca="false">ROUND(_xlfn.PERCENTRANK.INC($D$7:$D$4378,D7)*9,0)</f>
        <v>3</v>
      </c>
      <c r="H7" s="1" t="n">
        <f aca="false">ROUND(_xlfn.PERCENTRANK.INC($E$7:$E$4378,E7)*9,0)</f>
        <v>0</v>
      </c>
      <c r="I7" s="1" t="str">
        <f aca="false">CONCATENATE(F7,G7,H7)</f>
        <v>030</v>
      </c>
      <c r="J7" s="1" t="str">
        <f aca="false">_xlfn.IFS(AND(F7&gt;=8,G7&gt;=8,H7&gt;=8),"CHAMPION",AND(F7&gt;=6,G7&gt;=7,H7&gt;=6),"LOYAL CUSTOMER",AND(F7&gt;=6,G7&gt;=5,H7&gt;=5),"POTENTIAL LOYALIST",AND(F7&gt;=8,G7&lt;=2,H7&gt;=5),"NEW CUSTOMERS",AND(F7&gt;=6,G7&lt;=2,H7&gt;=3),"PROMISING",AND(F7&gt;=3,G7&gt;=3,H7&gt;=3),"NEED ATTENTION",AND(F7&lt;=4,G7&gt;=6,H7&gt;=6),"AT RISK",AND(F7&lt;=2,G7&gt;=8,H7&gt;=8),"CAN'T LOSE THEM",AND(F7&lt;=2,G7&lt;=2,H7&lt;=2),"HIBERNATING",TRUE(),"Other")</f>
        <v>Other</v>
      </c>
      <c r="K7" s="1" t="n">
        <f aca="false">RANK(E7,$E$7:$E$4378)+COUNTIF($E$7:E7,E7)-1</f>
        <v>4322</v>
      </c>
    </row>
    <row r="8" customFormat="false" ht="14.25" hidden="false" customHeight="true" outlineLevel="0" collapsed="false">
      <c r="A8" s="51" t="n">
        <v>12347</v>
      </c>
      <c r="B8" s="53" t="n">
        <v>40884.6611111111</v>
      </c>
      <c r="C8" s="57" t="n">
        <f aca="false">INT($C$2)-INT(Table3[[#This Row],[Last Purchase Date]])</f>
        <v>3</v>
      </c>
      <c r="D8" s="1" t="n">
        <v>7</v>
      </c>
      <c r="E8" s="1" t="n">
        <v>4310</v>
      </c>
      <c r="F8" s="1" t="n">
        <f aca="false">ROUND((1-_xlfn.PERCENTRANK.INC($C$7:$C$4378,C8))*9,0)</f>
        <v>9</v>
      </c>
      <c r="G8" s="1" t="n">
        <f aca="false">ROUND(_xlfn.PERCENTRANK.INC($D$7:$D$4378,D8)*9,0)</f>
        <v>7</v>
      </c>
      <c r="H8" s="1" t="n">
        <f aca="false">ROUND(_xlfn.PERCENTRANK.INC($E$7:$E$4378,E8)*9,0)</f>
        <v>8</v>
      </c>
      <c r="I8" s="1" t="str">
        <f aca="false">CONCATENATE(F8,G8,H8)</f>
        <v>978</v>
      </c>
      <c r="J8" s="1" t="str">
        <f aca="false">_xlfn.IFS(AND(F8&gt;=8,G8&gt;=8,H8&gt;=8),"CHAMPION",AND(F8&gt;=6,G8&gt;=7,H8&gt;=6),"LOYAL CUSTOMER",AND(F8&gt;=6,G8&gt;=5,H8&gt;=5),"POTENTIAL LOYALIST",AND(F8&gt;=8,G8&lt;=2,H8&gt;=5),"NEW CUSTOMERS",AND(F8&gt;=6,G8&lt;=2,H8&gt;=3),"PROMISING",AND(F8&gt;=3,G8&gt;=3,H8&gt;=3),"NEED ATTENTION",AND(F8&lt;=4,G8&gt;=6,H8&gt;=6),"AT RISK",AND(F8&lt;=2,G8&gt;=8,H8&gt;=8),"CAN'T LOSE THEM",AND(F8&lt;=2,G8&lt;=2,H8&lt;=2),"HIBERNATING",TRUE(),"Other")</f>
        <v>LOYAL CUSTOMER</v>
      </c>
      <c r="K8" s="1" t="n">
        <f aca="false">RANK(E8,$E$7:$E$4378)+COUNTIF($E$7:E8,E8)-1</f>
        <v>319</v>
      </c>
    </row>
    <row r="9" customFormat="false" ht="14.25" hidden="false" customHeight="true" outlineLevel="0" collapsed="false">
      <c r="A9" s="51" t="n">
        <v>12348</v>
      </c>
      <c r="B9" s="53" t="n">
        <v>40811.5506944444</v>
      </c>
      <c r="C9" s="57" t="n">
        <f aca="false">INT($C$2)-INT(Table3[[#This Row],[Last Purchase Date]])</f>
        <v>76</v>
      </c>
      <c r="D9" s="1" t="n">
        <v>4</v>
      </c>
      <c r="E9" s="1" t="n">
        <v>1797.24</v>
      </c>
      <c r="F9" s="1" t="n">
        <f aca="false">ROUND((1-_xlfn.PERCENTRANK.INC($C$7:$C$4378,C9))*9,0)</f>
        <v>3</v>
      </c>
      <c r="G9" s="1" t="n">
        <f aca="false">ROUND(_xlfn.PERCENTRANK.INC($D$7:$D$4378,D9)*9,0)</f>
        <v>5</v>
      </c>
      <c r="H9" s="1" t="n">
        <f aca="false">ROUND(_xlfn.PERCENTRANK.INC($E$7:$E$4378,E9)*9,0)</f>
        <v>7</v>
      </c>
      <c r="I9" s="1" t="str">
        <f aca="false">CONCATENATE(F9,G9,H9)</f>
        <v>357</v>
      </c>
      <c r="J9" s="1" t="str">
        <f aca="false">_xlfn.IFS(AND(F9&gt;=8,G9&gt;=8,H9&gt;=8),"CHAMPION",AND(F9&gt;=6,G9&gt;=7,H9&gt;=6),"LOYAL CUSTOMER",AND(F9&gt;=6,G9&gt;=5,H9&gt;=5),"POTENTIAL LOYALIST",AND(F9&gt;=8,G9&lt;=2,H9&gt;=5),"NEW CUSTOMERS",AND(F9&gt;=6,G9&lt;=2,H9&gt;=3),"PROMISING",AND(F9&gt;=3,G9&gt;=3,H9&gt;=3),"NEED ATTENTION",AND(F9&lt;=4,G9&gt;=6,H9&gt;=6),"AT RISK",AND(F9&lt;=2,G9&gt;=8,H9&gt;=8),"CAN'T LOSE THEM",AND(F9&lt;=2,G9&lt;=2,H9&lt;=2),"HIBERNATING",TRUE(),"Other")</f>
        <v>NEED ATTENTION</v>
      </c>
      <c r="K9" s="1" t="n">
        <f aca="false">RANK(E9,$E$7:$E$4378)+COUNTIF($E$7:E9,E9)-1</f>
        <v>979</v>
      </c>
    </row>
    <row r="10" customFormat="false" ht="14.25" hidden="false" customHeight="true" outlineLevel="0" collapsed="false">
      <c r="A10" s="51" t="n">
        <v>12349</v>
      </c>
      <c r="B10" s="53" t="n">
        <v>40868.4104166667</v>
      </c>
      <c r="C10" s="57" t="n">
        <f aca="false">INT($C$2)-INT(Table3[[#This Row],[Last Purchase Date]])</f>
        <v>19</v>
      </c>
      <c r="D10" s="1" t="n">
        <v>1</v>
      </c>
      <c r="E10" s="1" t="n">
        <v>1757.55</v>
      </c>
      <c r="F10" s="1" t="n">
        <f aca="false">ROUND((1-_xlfn.PERCENTRANK.INC($C$7:$C$4378,C10))*9,0)</f>
        <v>7</v>
      </c>
      <c r="G10" s="1" t="n">
        <f aca="false">ROUND(_xlfn.PERCENTRANK.INC($D$7:$D$4378,D10)*9,0)</f>
        <v>0</v>
      </c>
      <c r="H10" s="1" t="n">
        <f aca="false">ROUND(_xlfn.PERCENTRANK.INC($E$7:$E$4378,E10)*9,0)</f>
        <v>7</v>
      </c>
      <c r="I10" s="1" t="str">
        <f aca="false">CONCATENATE(F10,G10,H10)</f>
        <v>707</v>
      </c>
      <c r="J10" s="1" t="str">
        <f aca="false">_xlfn.IFS(AND(F10&gt;=8,G10&gt;=8,H10&gt;=8),"CHAMPION",AND(F10&gt;=6,G10&gt;=7,H10&gt;=6),"LOYAL CUSTOMER",AND(F10&gt;=6,G10&gt;=5,H10&gt;=5),"POTENTIAL LOYALIST",AND(F10&gt;=8,G10&lt;=2,H10&gt;=5),"NEW CUSTOMERS",AND(F10&gt;=6,G10&lt;=2,H10&gt;=3),"PROMISING",AND(F10&gt;=3,G10&gt;=3,H10&gt;=3),"NEED ATTENTION",AND(F10&lt;=4,G10&gt;=6,H10&gt;=6),"AT RISK",AND(F10&lt;=2,G10&gt;=8,H10&gt;=8),"CAN'T LOSE THEM",AND(F10&lt;=2,G10&lt;=2,H10&lt;=2),"HIBERNATING",TRUE(),"Other")</f>
        <v>PROMISING</v>
      </c>
      <c r="K10" s="1" t="n">
        <f aca="false">RANK(E10,$E$7:$E$4378)+COUNTIF($E$7:E10,E10)-1</f>
        <v>1007</v>
      </c>
    </row>
    <row r="11" customFormat="false" ht="14.25" hidden="false" customHeight="true" outlineLevel="0" collapsed="false">
      <c r="A11" s="51" t="n">
        <v>12350</v>
      </c>
      <c r="B11" s="53" t="n">
        <v>40576.6673611111</v>
      </c>
      <c r="C11" s="57" t="n">
        <f aca="false">INT($C$2)-INT(Table3[[#This Row],[Last Purchase Date]])</f>
        <v>311</v>
      </c>
      <c r="D11" s="1" t="n">
        <v>1</v>
      </c>
      <c r="E11" s="1" t="n">
        <v>334.4</v>
      </c>
      <c r="F11" s="1" t="n">
        <f aca="false">ROUND((1-_xlfn.PERCENTRANK.INC($C$7:$C$4378,C11))*9,0)</f>
        <v>0</v>
      </c>
      <c r="G11" s="1" t="n">
        <f aca="false">ROUND(_xlfn.PERCENTRANK.INC($D$7:$D$4378,D11)*9,0)</f>
        <v>0</v>
      </c>
      <c r="H11" s="1" t="n">
        <f aca="false">ROUND(_xlfn.PERCENTRANK.INC($E$7:$E$4378,E11)*9,0)</f>
        <v>3</v>
      </c>
      <c r="I11" s="1" t="str">
        <f aca="false">CONCATENATE(F11,G11,H11)</f>
        <v>003</v>
      </c>
      <c r="J11" s="1" t="str">
        <f aca="false">_xlfn.IFS(AND(F11&gt;=8,G11&gt;=8,H11&gt;=8),"CHAMPION",AND(F11&gt;=6,G11&gt;=7,H11&gt;=6),"LOYAL CUSTOMER",AND(F11&gt;=6,G11&gt;=5,H11&gt;=5),"POTENTIAL LOYALIST",AND(F11&gt;=8,G11&lt;=2,H11&gt;=5),"NEW CUSTOMERS",AND(F11&gt;=6,G11&lt;=2,H11&gt;=3),"PROMISING",AND(F11&gt;=3,G11&gt;=3,H11&gt;=3),"NEED ATTENTION",AND(F11&lt;=4,G11&gt;=6,H11&gt;=6),"AT RISK",AND(F11&lt;=2,G11&gt;=8,H11&gt;=8),"CAN'T LOSE THEM",AND(F11&lt;=2,G11&lt;=2,H11&lt;=2),"HIBERNATING",TRUE(),"Other")</f>
        <v>Other</v>
      </c>
      <c r="K11" s="1" t="n">
        <f aca="false">RANK(E11,$E$7:$E$4378)+COUNTIF($E$7:E11,E11)-1</f>
        <v>3076</v>
      </c>
    </row>
    <row r="12" customFormat="false" ht="14.25" hidden="false" customHeight="true" outlineLevel="0" collapsed="false">
      <c r="A12" s="51" t="n">
        <v>12352</v>
      </c>
      <c r="B12" s="53" t="n">
        <v>40850.6090277778</v>
      </c>
      <c r="C12" s="57" t="n">
        <f aca="false">INT($C$2)-INT(Table3[[#This Row],[Last Purchase Date]])</f>
        <v>37</v>
      </c>
      <c r="D12" s="1" t="n">
        <v>11</v>
      </c>
      <c r="E12" s="1" t="n">
        <v>1545.41</v>
      </c>
      <c r="F12" s="1" t="n">
        <f aca="false">ROUND((1-_xlfn.PERCENTRANK.INC($C$7:$C$4378,C12))*9,0)</f>
        <v>5</v>
      </c>
      <c r="G12" s="1" t="n">
        <f aca="false">ROUND(_xlfn.PERCENTRANK.INC($D$7:$D$4378,D12)*9,0)</f>
        <v>8</v>
      </c>
      <c r="H12" s="1" t="n">
        <f aca="false">ROUND(_xlfn.PERCENTRANK.INC($E$7:$E$4378,E12)*9,0)</f>
        <v>7</v>
      </c>
      <c r="I12" s="1" t="str">
        <f aca="false">CONCATENATE(F12,G12,H12)</f>
        <v>587</v>
      </c>
      <c r="J12" s="1" t="str">
        <f aca="false">_xlfn.IFS(AND(F12&gt;=8,G12&gt;=8,H12&gt;=8),"CHAMPION",AND(F12&gt;=6,G12&gt;=7,H12&gt;=6),"LOYAL CUSTOMER",AND(F12&gt;=6,G12&gt;=5,H12&gt;=5),"POTENTIAL LOYALIST",AND(F12&gt;=8,G12&lt;=2,H12&gt;=5),"NEW CUSTOMERS",AND(F12&gt;=6,G12&lt;=2,H12&gt;=3),"PROMISING",AND(F12&gt;=3,G12&gt;=3,H12&gt;=3),"NEED ATTENTION",AND(F12&lt;=4,G12&gt;=6,H12&gt;=6),"AT RISK",AND(F12&lt;=2,G12&gt;=8,H12&gt;=8),"CAN'T LOSE THEM",AND(F12&lt;=2,G12&lt;=2,H12&lt;=2),"HIBERNATING",TRUE(),"Other")</f>
        <v>NEED ATTENTION</v>
      </c>
      <c r="K12" s="1" t="n">
        <f aca="false">RANK(E12,$E$7:$E$4378)+COUNTIF($E$7:E12,E12)-1</f>
        <v>1130</v>
      </c>
    </row>
    <row r="13" customFormat="false" ht="14.25" hidden="false" customHeight="true" outlineLevel="0" collapsed="false">
      <c r="A13" s="51" t="n">
        <v>12353</v>
      </c>
      <c r="B13" s="53" t="n">
        <v>40682.7409722222</v>
      </c>
      <c r="C13" s="57" t="n">
        <f aca="false">INT($C$2)-INT(Table3[[#This Row],[Last Purchase Date]])</f>
        <v>205</v>
      </c>
      <c r="D13" s="1" t="n">
        <v>1</v>
      </c>
      <c r="E13" s="1" t="n">
        <v>89</v>
      </c>
      <c r="F13" s="1" t="n">
        <f aca="false">ROUND((1-_xlfn.PERCENTRANK.INC($C$7:$C$4378,C13))*9,0)</f>
        <v>2</v>
      </c>
      <c r="G13" s="1" t="n">
        <f aca="false">ROUND(_xlfn.PERCENTRANK.INC($D$7:$D$4378,D13)*9,0)</f>
        <v>0</v>
      </c>
      <c r="H13" s="1" t="n">
        <f aca="false">ROUND(_xlfn.PERCENTRANK.INC($E$7:$E$4378,E13)*9,0)</f>
        <v>0</v>
      </c>
      <c r="I13" s="1" t="str">
        <f aca="false">CONCATENATE(F13,G13,H13)</f>
        <v>200</v>
      </c>
      <c r="J13" s="1" t="str">
        <f aca="false">_xlfn.IFS(AND(F13&gt;=8,G13&gt;=8,H13&gt;=8),"CHAMPION",AND(F13&gt;=6,G13&gt;=7,H13&gt;=6),"LOYAL CUSTOMER",AND(F13&gt;=6,G13&gt;=5,H13&gt;=5),"POTENTIAL LOYALIST",AND(F13&gt;=8,G13&lt;=2,H13&gt;=5),"NEW CUSTOMERS",AND(F13&gt;=6,G13&lt;=2,H13&gt;=3),"PROMISING",AND(F13&gt;=3,G13&gt;=3,H13&gt;=3),"NEED ATTENTION",AND(F13&lt;=4,G13&gt;=6,H13&gt;=6),"AT RISK",AND(F13&lt;=2,G13&gt;=8,H13&gt;=8),"CAN'T LOSE THEM",AND(F13&lt;=2,G13&lt;=2,H13&lt;=2),"HIBERNATING",TRUE(),"Other")</f>
        <v>HIBERNATING</v>
      </c>
      <c r="K13" s="1" t="n">
        <f aca="false">RANK(E13,$E$7:$E$4378)+COUNTIF($E$7:E13,E13)-1</f>
        <v>4199</v>
      </c>
    </row>
    <row r="14" customFormat="false" ht="14.25" hidden="false" customHeight="true" outlineLevel="0" collapsed="false">
      <c r="A14" s="51" t="n">
        <v>12354</v>
      </c>
      <c r="B14" s="53" t="n">
        <v>40654.5493055556</v>
      </c>
      <c r="C14" s="57" t="n">
        <f aca="false">INT($C$2)-INT(Table3[[#This Row],[Last Purchase Date]])</f>
        <v>233</v>
      </c>
      <c r="D14" s="1" t="n">
        <v>1</v>
      </c>
      <c r="E14" s="1" t="n">
        <v>1079.4</v>
      </c>
      <c r="F14" s="1" t="n">
        <f aca="false">ROUND((1-_xlfn.PERCENTRANK.INC($C$7:$C$4378,C14))*9,0)</f>
        <v>1</v>
      </c>
      <c r="G14" s="1" t="n">
        <f aca="false">ROUND(_xlfn.PERCENTRANK.INC($D$7:$D$4378,D14)*9,0)</f>
        <v>0</v>
      </c>
      <c r="H14" s="1" t="n">
        <f aca="false">ROUND(_xlfn.PERCENTRANK.INC($E$7:$E$4378,E14)*9,0)</f>
        <v>6</v>
      </c>
      <c r="I14" s="1" t="str">
        <f aca="false">CONCATENATE(F14,G14,H14)</f>
        <v>106</v>
      </c>
      <c r="J14" s="1" t="str">
        <f aca="false">_xlfn.IFS(AND(F14&gt;=8,G14&gt;=8,H14&gt;=8),"CHAMPION",AND(F14&gt;=6,G14&gt;=7,H14&gt;=6),"LOYAL CUSTOMER",AND(F14&gt;=6,G14&gt;=5,H14&gt;=5),"POTENTIAL LOYALIST",AND(F14&gt;=8,G14&lt;=2,H14&gt;=5),"NEW CUSTOMERS",AND(F14&gt;=6,G14&lt;=2,H14&gt;=3),"PROMISING",AND(F14&gt;=3,G14&gt;=3,H14&gt;=3),"NEED ATTENTION",AND(F14&lt;=4,G14&gt;=6,H14&gt;=6),"AT RISK",AND(F14&lt;=2,G14&gt;=8,H14&gt;=8),"CAN'T LOSE THEM",AND(F14&lt;=2,G14&lt;=2,H14&lt;=2),"HIBERNATING",TRUE(),"Other")</f>
        <v>Other</v>
      </c>
      <c r="K14" s="1" t="n">
        <f aca="false">RANK(E14,$E$7:$E$4378)+COUNTIF($E$7:E14,E14)-1</f>
        <v>1530</v>
      </c>
    </row>
    <row r="15" customFormat="false" ht="14.25" hidden="false" customHeight="true" outlineLevel="0" collapsed="false">
      <c r="A15" s="51" t="n">
        <v>12355</v>
      </c>
      <c r="B15" s="53" t="n">
        <v>40672.5756944444</v>
      </c>
      <c r="C15" s="57" t="n">
        <f aca="false">INT($C$2)-INT(Table3[[#This Row],[Last Purchase Date]])</f>
        <v>215</v>
      </c>
      <c r="D15" s="1" t="n">
        <v>1</v>
      </c>
      <c r="E15" s="1" t="n">
        <v>459.4</v>
      </c>
      <c r="F15" s="1" t="n">
        <f aca="false">ROUND((1-_xlfn.PERCENTRANK.INC($C$7:$C$4378,C15))*9,0)</f>
        <v>1</v>
      </c>
      <c r="G15" s="1" t="n">
        <f aca="false">ROUND(_xlfn.PERCENTRANK.INC($D$7:$D$4378,D15)*9,0)</f>
        <v>0</v>
      </c>
      <c r="H15" s="1" t="n">
        <f aca="false">ROUND(_xlfn.PERCENTRANK.INC($E$7:$E$4378,E15)*9,0)</f>
        <v>4</v>
      </c>
      <c r="I15" s="1" t="str">
        <f aca="false">CONCATENATE(F15,G15,H15)</f>
        <v>104</v>
      </c>
      <c r="J15" s="1" t="str">
        <f aca="false">_xlfn.IFS(AND(F15&gt;=8,G15&gt;=8,H15&gt;=8),"CHAMPION",AND(F15&gt;=6,G15&gt;=7,H15&gt;=6),"LOYAL CUSTOMER",AND(F15&gt;=6,G15&gt;=5,H15&gt;=5),"POTENTIAL LOYALIST",AND(F15&gt;=8,G15&lt;=2,H15&gt;=5),"NEW CUSTOMERS",AND(F15&gt;=6,G15&lt;=2,H15&gt;=3),"PROMISING",AND(F15&gt;=3,G15&gt;=3,H15&gt;=3),"NEED ATTENTION",AND(F15&lt;=4,G15&gt;=6,H15&gt;=6),"AT RISK",AND(F15&lt;=2,G15&gt;=8,H15&gt;=8),"CAN'T LOSE THEM",AND(F15&lt;=2,G15&lt;=2,H15&lt;=2),"HIBERNATING",TRUE(),"Other")</f>
        <v>Other</v>
      </c>
      <c r="K15" s="1" t="n">
        <f aca="false">RANK(E15,$E$7:$E$4378)+COUNTIF($E$7:E15,E15)-1</f>
        <v>2642</v>
      </c>
    </row>
    <row r="16" customFormat="false" ht="14.25" hidden="false" customHeight="true" outlineLevel="0" collapsed="false">
      <c r="A16" s="51" t="n">
        <v>12356</v>
      </c>
      <c r="B16" s="53" t="n">
        <v>40864.3611111111</v>
      </c>
      <c r="C16" s="57" t="n">
        <f aca="false">INT($C$2)-INT(Table3[[#This Row],[Last Purchase Date]])</f>
        <v>23</v>
      </c>
      <c r="D16" s="1" t="n">
        <v>3</v>
      </c>
      <c r="E16" s="1" t="n">
        <v>2811.43</v>
      </c>
      <c r="F16" s="1" t="n">
        <f aca="false">ROUND((1-_xlfn.PERCENTRANK.INC($C$7:$C$4378,C16))*9,0)</f>
        <v>6</v>
      </c>
      <c r="G16" s="1" t="n">
        <f aca="false">ROUND(_xlfn.PERCENTRANK.INC($D$7:$D$4378,D16)*9,0)</f>
        <v>4</v>
      </c>
      <c r="H16" s="1" t="n">
        <f aca="false">ROUND(_xlfn.PERCENTRANK.INC($E$7:$E$4378,E16)*9,0)</f>
        <v>8</v>
      </c>
      <c r="I16" s="1" t="str">
        <f aca="false">CONCATENATE(F16,G16,H16)</f>
        <v>648</v>
      </c>
      <c r="J16" s="1" t="str">
        <f aca="false">_xlfn.IFS(AND(F16&gt;=8,G16&gt;=8,H16&gt;=8),"CHAMPION",AND(F16&gt;=6,G16&gt;=7,H16&gt;=6),"LOYAL CUSTOMER",AND(F16&gt;=6,G16&gt;=5,H16&gt;=5),"POTENTIAL LOYALIST",AND(F16&gt;=8,G16&lt;=2,H16&gt;=5),"NEW CUSTOMERS",AND(F16&gt;=6,G16&lt;=2,H16&gt;=3),"PROMISING",AND(F16&gt;=3,G16&gt;=3,H16&gt;=3),"NEED ATTENTION",AND(F16&lt;=4,G16&gt;=6,H16&gt;=6),"AT RISK",AND(F16&lt;=2,G16&gt;=8,H16&gt;=8),"CAN'T LOSE THEM",AND(F16&lt;=2,G16&lt;=2,H16&lt;=2),"HIBERNATING",TRUE(),"Other")</f>
        <v>NEED ATTENTION</v>
      </c>
      <c r="K16" s="1" t="n">
        <f aca="false">RANK(E16,$E$7:$E$4378)+COUNTIF($E$7:E16,E16)-1</f>
        <v>582</v>
      </c>
    </row>
    <row r="17" customFormat="false" ht="14.25" hidden="false" customHeight="true" outlineLevel="0" collapsed="false">
      <c r="A17" s="51" t="n">
        <v>12357</v>
      </c>
      <c r="B17" s="53" t="n">
        <v>40853.6715277778</v>
      </c>
      <c r="C17" s="57" t="n">
        <f aca="false">INT($C$2)-INT(Table3[[#This Row],[Last Purchase Date]])</f>
        <v>34</v>
      </c>
      <c r="D17" s="1" t="n">
        <v>1</v>
      </c>
      <c r="E17" s="1" t="n">
        <v>6207.67</v>
      </c>
      <c r="F17" s="1" t="n">
        <f aca="false">ROUND((1-_xlfn.PERCENTRANK.INC($C$7:$C$4378,C17))*9,0)</f>
        <v>5</v>
      </c>
      <c r="G17" s="1" t="n">
        <f aca="false">ROUND(_xlfn.PERCENTRANK.INC($D$7:$D$4378,D17)*9,0)</f>
        <v>0</v>
      </c>
      <c r="H17" s="1" t="n">
        <f aca="false">ROUND(_xlfn.PERCENTRANK.INC($E$7:$E$4378,E17)*9,0)</f>
        <v>9</v>
      </c>
      <c r="I17" s="1" t="str">
        <f aca="false">CONCATENATE(F17,G17,H17)</f>
        <v>509</v>
      </c>
      <c r="J17" s="1" t="str">
        <f aca="false">_xlfn.IFS(AND(F17&gt;=8,G17&gt;=8,H17&gt;=8),"CHAMPION",AND(F17&gt;=6,G17&gt;=7,H17&gt;=6),"LOYAL CUSTOMER",AND(F17&gt;=6,G17&gt;=5,H17&gt;=5),"POTENTIAL LOYALIST",AND(F17&gt;=8,G17&lt;=2,H17&gt;=5),"NEW CUSTOMERS",AND(F17&gt;=6,G17&lt;=2,H17&gt;=3),"PROMISING",AND(F17&gt;=3,G17&gt;=3,H17&gt;=3),"NEED ATTENTION",AND(F17&lt;=4,G17&gt;=6,H17&gt;=6),"AT RISK",AND(F17&lt;=2,G17&gt;=8,H17&gt;=8),"CAN'T LOSE THEM",AND(F17&lt;=2,G17&lt;=2,H17&lt;=2),"HIBERNATING",TRUE(),"Other")</f>
        <v>Other</v>
      </c>
      <c r="K17" s="1" t="n">
        <f aca="false">RANK(E17,$E$7:$E$4378)+COUNTIF($E$7:E17,E17)-1</f>
        <v>192</v>
      </c>
    </row>
    <row r="18" customFormat="false" ht="14.25" hidden="false" customHeight="true" outlineLevel="0" collapsed="false">
      <c r="A18" s="51" t="n">
        <v>12358</v>
      </c>
      <c r="B18" s="53" t="n">
        <v>40885.4347222222</v>
      </c>
      <c r="C18" s="57" t="n">
        <f aca="false">INT($C$2)-INT(Table3[[#This Row],[Last Purchase Date]])</f>
        <v>2</v>
      </c>
      <c r="D18" s="1" t="n">
        <v>2</v>
      </c>
      <c r="E18" s="1" t="n">
        <v>1168.06</v>
      </c>
      <c r="F18" s="1" t="n">
        <f aca="false">ROUND((1-_xlfn.PERCENTRANK.INC($C$7:$C$4378,C18))*9,0)</f>
        <v>9</v>
      </c>
      <c r="G18" s="1" t="n">
        <f aca="false">ROUND(_xlfn.PERCENTRANK.INC($D$7:$D$4378,D18)*9,0)</f>
        <v>3</v>
      </c>
      <c r="H18" s="1" t="n">
        <f aca="false">ROUND(_xlfn.PERCENTRANK.INC($E$7:$E$4378,E18)*9,0)</f>
        <v>6</v>
      </c>
      <c r="I18" s="1" t="str">
        <f aca="false">CONCATENATE(F18,G18,H18)</f>
        <v>936</v>
      </c>
      <c r="J18" s="1" t="str">
        <f aca="false">_xlfn.IFS(AND(F18&gt;=8,G18&gt;=8,H18&gt;=8),"CHAMPION",AND(F18&gt;=6,G18&gt;=7,H18&gt;=6),"LOYAL CUSTOMER",AND(F18&gt;=6,G18&gt;=5,H18&gt;=5),"POTENTIAL LOYALIST",AND(F18&gt;=8,G18&lt;=2,H18&gt;=5),"NEW CUSTOMERS",AND(F18&gt;=6,G18&lt;=2,H18&gt;=3),"PROMISING",AND(F18&gt;=3,G18&gt;=3,H18&gt;=3),"NEED ATTENTION",AND(F18&lt;=4,G18&gt;=6,H18&gt;=6),"AT RISK",AND(F18&lt;=2,G18&gt;=8,H18&gt;=8),"CAN'T LOSE THEM",AND(F18&lt;=2,G18&lt;=2,H18&lt;=2),"HIBERNATING",TRUE(),"Other")</f>
        <v>NEED ATTENTION</v>
      </c>
      <c r="K18" s="1" t="n">
        <f aca="false">RANK(E18,$E$7:$E$4378)+COUNTIF($E$7:E18,E18)-1</f>
        <v>1432</v>
      </c>
    </row>
    <row r="19" customFormat="false" ht="14.25" hidden="false" customHeight="true" outlineLevel="0" collapsed="false">
      <c r="A19" s="51" t="n">
        <v>12359</v>
      </c>
      <c r="B19" s="53" t="n">
        <v>40879.4729166667</v>
      </c>
      <c r="C19" s="57" t="n">
        <f aca="false">INT($C$2)-INT(Table3[[#This Row],[Last Purchase Date]])</f>
        <v>8</v>
      </c>
      <c r="D19" s="1" t="n">
        <v>6</v>
      </c>
      <c r="E19" s="1" t="n">
        <v>6245.53</v>
      </c>
      <c r="F19" s="1" t="n">
        <f aca="false">ROUND((1-_xlfn.PERCENTRANK.INC($C$7:$C$4378,C19))*9,0)</f>
        <v>8</v>
      </c>
      <c r="G19" s="1" t="n">
        <f aca="false">ROUND(_xlfn.PERCENTRANK.INC($D$7:$D$4378,D19)*9,0)</f>
        <v>7</v>
      </c>
      <c r="H19" s="1" t="n">
        <f aca="false">ROUND(_xlfn.PERCENTRANK.INC($E$7:$E$4378,E19)*9,0)</f>
        <v>9</v>
      </c>
      <c r="I19" s="1" t="str">
        <f aca="false">CONCATENATE(F19,G19,H19)</f>
        <v>879</v>
      </c>
      <c r="J19" s="1" t="str">
        <f aca="false">_xlfn.IFS(AND(F19&gt;=8,G19&gt;=8,H19&gt;=8),"CHAMPION",AND(F19&gt;=6,G19&gt;=7,H19&gt;=6),"LOYAL CUSTOMER",AND(F19&gt;=6,G19&gt;=5,H19&gt;=5),"POTENTIAL LOYALIST",AND(F19&gt;=8,G19&lt;=2,H19&gt;=5),"NEW CUSTOMERS",AND(F19&gt;=6,G19&lt;=2,H19&gt;=3),"PROMISING",AND(F19&gt;=3,G19&gt;=3,H19&gt;=3),"NEED ATTENTION",AND(F19&lt;=4,G19&gt;=6,H19&gt;=6),"AT RISK",AND(F19&lt;=2,G19&gt;=8,H19&gt;=8),"CAN'T LOSE THEM",AND(F19&lt;=2,G19&lt;=2,H19&lt;=2),"HIBERNATING",TRUE(),"Other")</f>
        <v>LOYAL CUSTOMER</v>
      </c>
      <c r="K19" s="1" t="n">
        <f aca="false">RANK(E19,$E$7:$E$4378)+COUNTIF($E$7:E19,E19)-1</f>
        <v>189</v>
      </c>
    </row>
    <row r="20" customFormat="false" ht="14.25" hidden="false" customHeight="true" outlineLevel="0" collapsed="false">
      <c r="A20" s="51" t="n">
        <v>12360</v>
      </c>
      <c r="B20" s="53" t="n">
        <v>40834.6402777778</v>
      </c>
      <c r="C20" s="57" t="n">
        <f aca="false">INT($C$2)-INT(Table3[[#This Row],[Last Purchase Date]])</f>
        <v>53</v>
      </c>
      <c r="D20" s="1" t="n">
        <v>3</v>
      </c>
      <c r="E20" s="1" t="n">
        <v>2662.06</v>
      </c>
      <c r="F20" s="1" t="n">
        <f aca="false">ROUND((1-_xlfn.PERCENTRANK.INC($C$7:$C$4378,C20))*9,0)</f>
        <v>4</v>
      </c>
      <c r="G20" s="1" t="n">
        <f aca="false">ROUND(_xlfn.PERCENTRANK.INC($D$7:$D$4378,D20)*9,0)</f>
        <v>4</v>
      </c>
      <c r="H20" s="1" t="n">
        <f aca="false">ROUND(_xlfn.PERCENTRANK.INC($E$7:$E$4378,E20)*9,0)</f>
        <v>8</v>
      </c>
      <c r="I20" s="1" t="str">
        <f aca="false">CONCATENATE(F20,G20,H20)</f>
        <v>448</v>
      </c>
      <c r="J20" s="1" t="str">
        <f aca="false">_xlfn.IFS(AND(F20&gt;=8,G20&gt;=8,H20&gt;=8),"CHAMPION",AND(F20&gt;=6,G20&gt;=7,H20&gt;=6),"LOYAL CUSTOMER",AND(F20&gt;=6,G20&gt;=5,H20&gt;=5),"POTENTIAL LOYALIST",AND(F20&gt;=8,G20&lt;=2,H20&gt;=5),"NEW CUSTOMERS",AND(F20&gt;=6,G20&lt;=2,H20&gt;=3),"PROMISING",AND(F20&gt;=3,G20&gt;=3,H20&gt;=3),"NEED ATTENTION",AND(F20&lt;=4,G20&gt;=6,H20&gt;=6),"AT RISK",AND(F20&lt;=2,G20&gt;=8,H20&gt;=8),"CAN'T LOSE THEM",AND(F20&lt;=2,G20&lt;=2,H20&lt;=2),"HIBERNATING",TRUE(),"Other")</f>
        <v>NEED ATTENTION</v>
      </c>
      <c r="K20" s="1" t="n">
        <f aca="false">RANK(E20,$E$7:$E$4378)+COUNTIF($E$7:E20,E20)-1</f>
        <v>622</v>
      </c>
    </row>
    <row r="21" customFormat="false" ht="14.25" hidden="false" customHeight="true" outlineLevel="0" collapsed="false">
      <c r="A21" s="51" t="n">
        <v>12361</v>
      </c>
      <c r="B21" s="53" t="n">
        <v>40599.5770833333</v>
      </c>
      <c r="C21" s="57" t="n">
        <f aca="false">INT($C$2)-INT(Table3[[#This Row],[Last Purchase Date]])</f>
        <v>288</v>
      </c>
      <c r="D21" s="1" t="n">
        <v>1</v>
      </c>
      <c r="E21" s="1" t="n">
        <v>189.9</v>
      </c>
      <c r="F21" s="1" t="n">
        <f aca="false">ROUND((1-_xlfn.PERCENTRANK.INC($C$7:$C$4378,C21))*9,0)</f>
        <v>1</v>
      </c>
      <c r="G21" s="1" t="n">
        <f aca="false">ROUND(_xlfn.PERCENTRANK.INC($D$7:$D$4378,D21)*9,0)</f>
        <v>0</v>
      </c>
      <c r="H21" s="1" t="n">
        <f aca="false">ROUND(_xlfn.PERCENTRANK.INC($E$7:$E$4378,E21)*9,0)</f>
        <v>1</v>
      </c>
      <c r="I21" s="1" t="str">
        <f aca="false">CONCATENATE(F21,G21,H21)</f>
        <v>101</v>
      </c>
      <c r="J21" s="1" t="str">
        <f aca="false">_xlfn.IFS(AND(F21&gt;=8,G21&gt;=8,H21&gt;=8),"CHAMPION",AND(F21&gt;=6,G21&gt;=7,H21&gt;=6),"LOYAL CUSTOMER",AND(F21&gt;=6,G21&gt;=5,H21&gt;=5),"POTENTIAL LOYALIST",AND(F21&gt;=8,G21&lt;=2,H21&gt;=5),"NEW CUSTOMERS",AND(F21&gt;=6,G21&lt;=2,H21&gt;=3),"PROMISING",AND(F21&gt;=3,G21&gt;=3,H21&gt;=3),"NEED ATTENTION",AND(F21&lt;=4,G21&gt;=6,H21&gt;=6),"AT RISK",AND(F21&lt;=2,G21&gt;=8,H21&gt;=8),"CAN'T LOSE THEM",AND(F21&lt;=2,G21&lt;=2,H21&lt;=2),"HIBERNATING",TRUE(),"Other")</f>
        <v>HIBERNATING</v>
      </c>
      <c r="K21" s="1" t="n">
        <f aca="false">RANK(E21,$E$7:$E$4378)+COUNTIF($E$7:E21,E21)-1</f>
        <v>3709</v>
      </c>
    </row>
    <row r="22" customFormat="false" ht="14.25" hidden="false" customHeight="true" outlineLevel="0" collapsed="false">
      <c r="A22" s="51" t="n">
        <v>12362</v>
      </c>
      <c r="B22" s="53" t="n">
        <v>40883.6527777778</v>
      </c>
      <c r="C22" s="57" t="n">
        <f aca="false">INT($C$2)-INT(Table3[[#This Row],[Last Purchase Date]])</f>
        <v>4</v>
      </c>
      <c r="D22" s="1" t="n">
        <v>13</v>
      </c>
      <c r="E22" s="1" t="n">
        <v>5154.58</v>
      </c>
      <c r="F22" s="1" t="n">
        <f aca="false">ROUND((1-_xlfn.PERCENTRANK.INC($C$7:$C$4378,C22))*9,0)</f>
        <v>8</v>
      </c>
      <c r="G22" s="1" t="n">
        <f aca="false">ROUND(_xlfn.PERCENTRANK.INC($D$7:$D$4378,D22)*9,0)</f>
        <v>8</v>
      </c>
      <c r="H22" s="1" t="n">
        <f aca="false">ROUND(_xlfn.PERCENTRANK.INC($E$7:$E$4378,E22)*9,0)</f>
        <v>8</v>
      </c>
      <c r="I22" s="1" t="str">
        <f aca="false">CONCATENATE(F22,G22,H22)</f>
        <v>888</v>
      </c>
      <c r="J22" s="1" t="str">
        <f aca="false">_xlfn.IFS(AND(F22&gt;=8,G22&gt;=8,H22&gt;=8),"CHAMPION",AND(F22&gt;=6,G22&gt;=7,H22&gt;=6),"LOYAL CUSTOMER",AND(F22&gt;=6,G22&gt;=5,H22&gt;=5),"POTENTIAL LOYALIST",AND(F22&gt;=8,G22&lt;=2,H22&gt;=5),"NEW CUSTOMERS",AND(F22&gt;=6,G22&lt;=2,H22&gt;=3),"PROMISING",AND(F22&gt;=3,G22&gt;=3,H22&gt;=3),"NEED ATTENTION",AND(F22&lt;=4,G22&gt;=6,H22&gt;=6),"AT RISK",AND(F22&lt;=2,G22&gt;=8,H22&gt;=8),"CAN'T LOSE THEM",AND(F22&lt;=2,G22&lt;=2,H22&lt;=2),"HIBERNATING",TRUE(),"Other")</f>
        <v>CHAMPION</v>
      </c>
      <c r="K22" s="1" t="n">
        <f aca="false">RANK(E22,$E$7:$E$4378)+COUNTIF($E$7:E22,E22)-1</f>
        <v>247</v>
      </c>
    </row>
    <row r="23" customFormat="false" ht="14.25" hidden="false" customHeight="true" outlineLevel="0" collapsed="false">
      <c r="A23" s="51" t="n">
        <v>12363</v>
      </c>
      <c r="B23" s="53" t="n">
        <v>40777.4291666667</v>
      </c>
      <c r="C23" s="57" t="n">
        <f aca="false">INT($C$2)-INT(Table3[[#This Row],[Last Purchase Date]])</f>
        <v>110</v>
      </c>
      <c r="D23" s="1" t="n">
        <v>2</v>
      </c>
      <c r="E23" s="1" t="n">
        <v>552</v>
      </c>
      <c r="F23" s="1" t="n">
        <f aca="false">ROUND((1-_xlfn.PERCENTRANK.INC($C$7:$C$4378,C23))*9,0)</f>
        <v>3</v>
      </c>
      <c r="G23" s="1" t="n">
        <f aca="false">ROUND(_xlfn.PERCENTRANK.INC($D$7:$D$4378,D23)*9,0)</f>
        <v>3</v>
      </c>
      <c r="H23" s="1" t="n">
        <f aca="false">ROUND(_xlfn.PERCENTRANK.INC($E$7:$E$4378,E23)*9,0)</f>
        <v>4</v>
      </c>
      <c r="I23" s="1" t="str">
        <f aca="false">CONCATENATE(F23,G23,H23)</f>
        <v>334</v>
      </c>
      <c r="J23" s="1" t="str">
        <f aca="false">_xlfn.IFS(AND(F23&gt;=8,G23&gt;=8,H23&gt;=8),"CHAMPION",AND(F23&gt;=6,G23&gt;=7,H23&gt;=6),"LOYAL CUSTOMER",AND(F23&gt;=6,G23&gt;=5,H23&gt;=5),"POTENTIAL LOYALIST",AND(F23&gt;=8,G23&lt;=2,H23&gt;=5),"NEW CUSTOMERS",AND(F23&gt;=6,G23&lt;=2,H23&gt;=3),"PROMISING",AND(F23&gt;=3,G23&gt;=3,H23&gt;=3),"NEED ATTENTION",AND(F23&lt;=4,G23&gt;=6,H23&gt;=6),"AT RISK",AND(F23&lt;=2,G23&gt;=8,H23&gt;=8),"CAN'T LOSE THEM",AND(F23&lt;=2,G23&lt;=2,H23&lt;=2),"HIBERNATING",TRUE(),"Other")</f>
        <v>NEED ATTENTION</v>
      </c>
      <c r="K23" s="1" t="n">
        <f aca="false">RANK(E23,$E$7:$E$4378)+COUNTIF($E$7:E23,E23)-1</f>
        <v>2426</v>
      </c>
    </row>
    <row r="24" customFormat="false" ht="14.25" hidden="false" customHeight="true" outlineLevel="0" collapsed="false">
      <c r="A24" s="51" t="n">
        <v>12364</v>
      </c>
      <c r="B24" s="53" t="n">
        <v>40879.4319444444</v>
      </c>
      <c r="C24" s="57" t="n">
        <f aca="false">INT($C$2)-INT(Table3[[#This Row],[Last Purchase Date]])</f>
        <v>8</v>
      </c>
      <c r="D24" s="1" t="n">
        <v>4</v>
      </c>
      <c r="E24" s="1" t="n">
        <v>1313.1</v>
      </c>
      <c r="F24" s="1" t="n">
        <f aca="false">ROUND((1-_xlfn.PERCENTRANK.INC($C$7:$C$4378,C24))*9,0)</f>
        <v>8</v>
      </c>
      <c r="G24" s="1" t="n">
        <f aca="false">ROUND(_xlfn.PERCENTRANK.INC($D$7:$D$4378,D24)*9,0)</f>
        <v>5</v>
      </c>
      <c r="H24" s="1" t="n">
        <f aca="false">ROUND(_xlfn.PERCENTRANK.INC($E$7:$E$4378,E24)*9,0)</f>
        <v>6</v>
      </c>
      <c r="I24" s="1" t="str">
        <f aca="false">CONCATENATE(F24,G24,H24)</f>
        <v>856</v>
      </c>
      <c r="J24" s="1" t="str">
        <f aca="false">_xlfn.IFS(AND(F24&gt;=8,G24&gt;=8,H24&gt;=8),"CHAMPION",AND(F24&gt;=6,G24&gt;=7,H24&gt;=6),"LOYAL CUSTOMER",AND(F24&gt;=6,G24&gt;=5,H24&gt;=5),"POTENTIAL LOYALIST",AND(F24&gt;=8,G24&lt;=2,H24&gt;=5),"NEW CUSTOMERS",AND(F24&gt;=6,G24&lt;=2,H24&gt;=3),"PROMISING",AND(F24&gt;=3,G24&gt;=3,H24&gt;=3),"NEED ATTENTION",AND(F24&lt;=4,G24&gt;=6,H24&gt;=6),"AT RISK",AND(F24&lt;=2,G24&gt;=8,H24&gt;=8),"CAN'T LOSE THEM",AND(F24&lt;=2,G24&lt;=2,H24&lt;=2),"HIBERNATING",TRUE(),"Other")</f>
        <v>POTENTIAL LOYALIST</v>
      </c>
      <c r="K24" s="1" t="n">
        <f aca="false">RANK(E24,$E$7:$E$4378)+COUNTIF($E$7:E24,E24)-1</f>
        <v>1311</v>
      </c>
    </row>
    <row r="25" customFormat="false" ht="14.25" hidden="false" customHeight="true" outlineLevel="0" collapsed="false">
      <c r="A25" s="51" t="n">
        <v>12365</v>
      </c>
      <c r="B25" s="53" t="n">
        <v>40595.5861111111</v>
      </c>
      <c r="C25" s="57" t="n">
        <f aca="false">INT($C$2)-INT(Table3[[#This Row],[Last Purchase Date]])</f>
        <v>292</v>
      </c>
      <c r="D25" s="1" t="n">
        <v>3</v>
      </c>
      <c r="E25" s="1" t="n">
        <v>320.69</v>
      </c>
      <c r="F25" s="1" t="n">
        <f aca="false">ROUND((1-_xlfn.PERCENTRANK.INC($C$7:$C$4378,C25))*9,0)</f>
        <v>1</v>
      </c>
      <c r="G25" s="1" t="n">
        <f aca="false">ROUND(_xlfn.PERCENTRANK.INC($D$7:$D$4378,D25)*9,0)</f>
        <v>4</v>
      </c>
      <c r="H25" s="1" t="n">
        <f aca="false">ROUND(_xlfn.PERCENTRANK.INC($E$7:$E$4378,E25)*9,0)</f>
        <v>3</v>
      </c>
      <c r="I25" s="1" t="str">
        <f aca="false">CONCATENATE(F25,G25,H25)</f>
        <v>143</v>
      </c>
      <c r="J25" s="1" t="str">
        <f aca="false">_xlfn.IFS(AND(F25&gt;=8,G25&gt;=8,H25&gt;=8),"CHAMPION",AND(F25&gt;=6,G25&gt;=7,H25&gt;=6),"LOYAL CUSTOMER",AND(F25&gt;=6,G25&gt;=5,H25&gt;=5),"POTENTIAL LOYALIST",AND(F25&gt;=8,G25&lt;=2,H25&gt;=5),"NEW CUSTOMERS",AND(F25&gt;=6,G25&lt;=2,H25&gt;=3),"PROMISING",AND(F25&gt;=3,G25&gt;=3,H25&gt;=3),"NEED ATTENTION",AND(F25&lt;=4,G25&gt;=6,H25&gt;=6),"AT RISK",AND(F25&lt;=2,G25&gt;=8,H25&gt;=8),"CAN'T LOSE THEM",AND(F25&lt;=2,G25&lt;=2,H25&lt;=2),"HIBERNATING",TRUE(),"Other")</f>
        <v>Other</v>
      </c>
      <c r="K25" s="1" t="n">
        <f aca="false">RANK(E25,$E$7:$E$4378)+COUNTIF($E$7:E25,E25)-1</f>
        <v>3135</v>
      </c>
    </row>
    <row r="26" customFormat="false" ht="14.25" hidden="false" customHeight="true" outlineLevel="0" collapsed="false">
      <c r="A26" s="51" t="n">
        <v>12367</v>
      </c>
      <c r="B26" s="53" t="n">
        <v>40882.7</v>
      </c>
      <c r="C26" s="57" t="n">
        <f aca="false">INT($C$2)-INT(Table3[[#This Row],[Last Purchase Date]])</f>
        <v>5</v>
      </c>
      <c r="D26" s="1" t="n">
        <v>1</v>
      </c>
      <c r="E26" s="1" t="n">
        <v>168.9</v>
      </c>
      <c r="F26" s="1" t="n">
        <f aca="false">ROUND((1-_xlfn.PERCENTRANK.INC($C$7:$C$4378,C26))*9,0)</f>
        <v>8</v>
      </c>
      <c r="G26" s="1" t="n">
        <f aca="false">ROUND(_xlfn.PERCENTRANK.INC($D$7:$D$4378,D26)*9,0)</f>
        <v>0</v>
      </c>
      <c r="H26" s="1" t="n">
        <f aca="false">ROUND(_xlfn.PERCENTRANK.INC($E$7:$E$4378,E26)*9,0)</f>
        <v>1</v>
      </c>
      <c r="I26" s="1" t="str">
        <f aca="false">CONCATENATE(F26,G26,H26)</f>
        <v>801</v>
      </c>
      <c r="J26" s="1" t="str">
        <f aca="false">_xlfn.IFS(AND(F26&gt;=8,G26&gt;=8,H26&gt;=8),"CHAMPION",AND(F26&gt;=6,G26&gt;=7,H26&gt;=6),"LOYAL CUSTOMER",AND(F26&gt;=6,G26&gt;=5,H26&gt;=5),"POTENTIAL LOYALIST",AND(F26&gt;=8,G26&lt;=2,H26&gt;=5),"NEW CUSTOMERS",AND(F26&gt;=6,G26&lt;=2,H26&gt;=3),"PROMISING",AND(F26&gt;=3,G26&gt;=3,H26&gt;=3),"NEED ATTENTION",AND(F26&lt;=4,G26&gt;=6,H26&gt;=6),"AT RISK",AND(F26&lt;=2,G26&gt;=8,H26&gt;=8),"CAN'T LOSE THEM",AND(F26&lt;=2,G26&lt;=2,H26&lt;=2),"HIBERNATING",TRUE(),"Other")</f>
        <v>Other</v>
      </c>
      <c r="K26" s="1" t="n">
        <f aca="false">RANK(E26,$E$7:$E$4378)+COUNTIF($E$7:E26,E26)-1</f>
        <v>3808</v>
      </c>
    </row>
    <row r="27" customFormat="false" ht="14.25" hidden="false" customHeight="true" outlineLevel="0" collapsed="false">
      <c r="A27" s="51" t="n">
        <v>12370</v>
      </c>
      <c r="B27" s="53" t="n">
        <v>40835.61875</v>
      </c>
      <c r="C27" s="57" t="n">
        <f aca="false">INT($C$2)-INT(Table3[[#This Row],[Last Purchase Date]])</f>
        <v>52</v>
      </c>
      <c r="D27" s="1" t="n">
        <v>4</v>
      </c>
      <c r="E27" s="1" t="n">
        <v>3545.69</v>
      </c>
      <c r="F27" s="1" t="n">
        <f aca="false">ROUND((1-_xlfn.PERCENTRANK.INC($C$7:$C$4378,C27))*9,0)</f>
        <v>4</v>
      </c>
      <c r="G27" s="1" t="n">
        <f aca="false">ROUND(_xlfn.PERCENTRANK.INC($D$7:$D$4378,D27)*9,0)</f>
        <v>5</v>
      </c>
      <c r="H27" s="1" t="n">
        <f aca="false">ROUND(_xlfn.PERCENTRANK.INC($E$7:$E$4378,E27)*9,0)</f>
        <v>8</v>
      </c>
      <c r="I27" s="1" t="str">
        <f aca="false">CONCATENATE(F27,G27,H27)</f>
        <v>458</v>
      </c>
      <c r="J27" s="1" t="str">
        <f aca="false">_xlfn.IFS(AND(F27&gt;=8,G27&gt;=8,H27&gt;=8),"CHAMPION",AND(F27&gt;=6,G27&gt;=7,H27&gt;=6),"LOYAL CUSTOMER",AND(F27&gt;=6,G27&gt;=5,H27&gt;=5),"POTENTIAL LOYALIST",AND(F27&gt;=8,G27&lt;=2,H27&gt;=5),"NEW CUSTOMERS",AND(F27&gt;=6,G27&lt;=2,H27&gt;=3),"PROMISING",AND(F27&gt;=3,G27&gt;=3,H27&gt;=3),"NEED ATTENTION",AND(F27&lt;=4,G27&gt;=6,H27&gt;=6),"AT RISK",AND(F27&lt;=2,G27&gt;=8,H27&gt;=8),"CAN'T LOSE THEM",AND(F27&lt;=2,G27&lt;=2,H27&lt;=2),"HIBERNATING",TRUE(),"Other")</f>
        <v>NEED ATTENTION</v>
      </c>
      <c r="K27" s="1" t="n">
        <f aca="false">RANK(E27,$E$7:$E$4378)+COUNTIF($E$7:E27,E27)-1</f>
        <v>428</v>
      </c>
    </row>
    <row r="28" customFormat="false" ht="14.25" hidden="false" customHeight="true" outlineLevel="0" collapsed="false">
      <c r="A28" s="51" t="n">
        <v>12371</v>
      </c>
      <c r="B28" s="53" t="n">
        <v>40842.4277777778</v>
      </c>
      <c r="C28" s="57" t="n">
        <f aca="false">INT($C$2)-INT(Table3[[#This Row],[Last Purchase Date]])</f>
        <v>45</v>
      </c>
      <c r="D28" s="1" t="n">
        <v>2</v>
      </c>
      <c r="E28" s="1" t="n">
        <v>1887.96</v>
      </c>
      <c r="F28" s="1" t="n">
        <f aca="false">ROUND((1-_xlfn.PERCENTRANK.INC($C$7:$C$4378,C28))*9,0)</f>
        <v>5</v>
      </c>
      <c r="G28" s="1" t="n">
        <f aca="false">ROUND(_xlfn.PERCENTRANK.INC($D$7:$D$4378,D28)*9,0)</f>
        <v>3</v>
      </c>
      <c r="H28" s="1" t="n">
        <f aca="false">ROUND(_xlfn.PERCENTRANK.INC($E$7:$E$4378,E28)*9,0)</f>
        <v>7</v>
      </c>
      <c r="I28" s="1" t="str">
        <f aca="false">CONCATENATE(F28,G28,H28)</f>
        <v>537</v>
      </c>
      <c r="J28" s="1" t="str">
        <f aca="false">_xlfn.IFS(AND(F28&gt;=8,G28&gt;=8,H28&gt;=8),"CHAMPION",AND(F28&gt;=6,G28&gt;=7,H28&gt;=6),"LOYAL CUSTOMER",AND(F28&gt;=6,G28&gt;=5,H28&gt;=5),"POTENTIAL LOYALIST",AND(F28&gt;=8,G28&lt;=2,H28&gt;=5),"NEW CUSTOMERS",AND(F28&gt;=6,G28&lt;=2,H28&gt;=3),"PROMISING",AND(F28&gt;=3,G28&gt;=3,H28&gt;=3),"NEED ATTENTION",AND(F28&lt;=4,G28&gt;=6,H28&gt;=6),"AT RISK",AND(F28&lt;=2,G28&gt;=8,H28&gt;=8),"CAN'T LOSE THEM",AND(F28&lt;=2,G28&lt;=2,H28&lt;=2),"HIBERNATING",TRUE(),"Other")</f>
        <v>NEED ATTENTION</v>
      </c>
      <c r="K28" s="1" t="n">
        <f aca="false">RANK(E28,$E$7:$E$4378)+COUNTIF($E$7:E28,E28)-1</f>
        <v>926</v>
      </c>
    </row>
    <row r="29" customFormat="false" ht="14.25" hidden="false" customHeight="true" outlineLevel="0" collapsed="false">
      <c r="A29" s="51" t="n">
        <v>12372</v>
      </c>
      <c r="B29" s="53" t="n">
        <v>40815.5083333333</v>
      </c>
      <c r="C29" s="57" t="n">
        <f aca="false">INT($C$2)-INT(Table3[[#This Row],[Last Purchase Date]])</f>
        <v>72</v>
      </c>
      <c r="D29" s="1" t="n">
        <v>3</v>
      </c>
      <c r="E29" s="1" t="n">
        <v>1298.04</v>
      </c>
      <c r="F29" s="1" t="n">
        <f aca="false">ROUND((1-_xlfn.PERCENTRANK.INC($C$7:$C$4378,C29))*9,0)</f>
        <v>4</v>
      </c>
      <c r="G29" s="1" t="n">
        <f aca="false">ROUND(_xlfn.PERCENTRANK.INC($D$7:$D$4378,D29)*9,0)</f>
        <v>4</v>
      </c>
      <c r="H29" s="1" t="n">
        <f aca="false">ROUND(_xlfn.PERCENTRANK.INC($E$7:$E$4378,E29)*9,0)</f>
        <v>6</v>
      </c>
      <c r="I29" s="1" t="str">
        <f aca="false">CONCATENATE(F29,G29,H29)</f>
        <v>446</v>
      </c>
      <c r="J29" s="1" t="str">
        <f aca="false">_xlfn.IFS(AND(F29&gt;=8,G29&gt;=8,H29&gt;=8),"CHAMPION",AND(F29&gt;=6,G29&gt;=7,H29&gt;=6),"LOYAL CUSTOMER",AND(F29&gt;=6,G29&gt;=5,H29&gt;=5),"POTENTIAL LOYALIST",AND(F29&gt;=8,G29&lt;=2,H29&gt;=5),"NEW CUSTOMERS",AND(F29&gt;=6,G29&lt;=2,H29&gt;=3),"PROMISING",AND(F29&gt;=3,G29&gt;=3,H29&gt;=3),"NEED ATTENTION",AND(F29&lt;=4,G29&gt;=6,H29&gt;=6),"AT RISK",AND(F29&lt;=2,G29&gt;=8,H29&gt;=8),"CAN'T LOSE THEM",AND(F29&lt;=2,G29&lt;=2,H29&lt;=2),"HIBERNATING",TRUE(),"Other")</f>
        <v>NEED ATTENTION</v>
      </c>
      <c r="K29" s="1" t="n">
        <f aca="false">RANK(E29,$E$7:$E$4378)+COUNTIF($E$7:E29,E29)-1</f>
        <v>1329</v>
      </c>
    </row>
    <row r="30" customFormat="false" ht="14.25" hidden="false" customHeight="true" outlineLevel="0" collapsed="false">
      <c r="A30" s="51" t="n">
        <v>12373</v>
      </c>
      <c r="B30" s="53" t="n">
        <v>40575.5486111111</v>
      </c>
      <c r="C30" s="57" t="n">
        <f aca="false">INT($C$2)-INT(Table3[[#This Row],[Last Purchase Date]])</f>
        <v>312</v>
      </c>
      <c r="D30" s="1" t="n">
        <v>1</v>
      </c>
      <c r="E30" s="1" t="n">
        <v>364.6</v>
      </c>
      <c r="F30" s="1" t="n">
        <f aca="false">ROUND((1-_xlfn.PERCENTRANK.INC($C$7:$C$4378,C30))*9,0)</f>
        <v>0</v>
      </c>
      <c r="G30" s="1" t="n">
        <f aca="false">ROUND(_xlfn.PERCENTRANK.INC($D$7:$D$4378,D30)*9,0)</f>
        <v>0</v>
      </c>
      <c r="H30" s="1" t="n">
        <f aca="false">ROUND(_xlfn.PERCENTRANK.INC($E$7:$E$4378,E30)*9,0)</f>
        <v>3</v>
      </c>
      <c r="I30" s="1" t="str">
        <f aca="false">CONCATENATE(F30,G30,H30)</f>
        <v>003</v>
      </c>
      <c r="J30" s="1" t="str">
        <f aca="false">_xlfn.IFS(AND(F30&gt;=8,G30&gt;=8,H30&gt;=8),"CHAMPION",AND(F30&gt;=6,G30&gt;=7,H30&gt;=6),"LOYAL CUSTOMER",AND(F30&gt;=6,G30&gt;=5,H30&gt;=5),"POTENTIAL LOYALIST",AND(F30&gt;=8,G30&lt;=2,H30&gt;=5),"NEW CUSTOMERS",AND(F30&gt;=6,G30&lt;=2,H30&gt;=3),"PROMISING",AND(F30&gt;=3,G30&gt;=3,H30&gt;=3),"NEED ATTENTION",AND(F30&lt;=4,G30&gt;=6,H30&gt;=6),"AT RISK",AND(F30&lt;=2,G30&gt;=8,H30&gt;=8),"CAN'T LOSE THEM",AND(F30&lt;=2,G30&lt;=2,H30&lt;=2),"HIBERNATING",TRUE(),"Other")</f>
        <v>Other</v>
      </c>
      <c r="K30" s="1" t="n">
        <f aca="false">RANK(E30,$E$7:$E$4378)+COUNTIF($E$7:E30,E30)-1</f>
        <v>2941</v>
      </c>
    </row>
    <row r="31" customFormat="false" ht="14.25" hidden="false" customHeight="true" outlineLevel="0" collapsed="false">
      <c r="A31" s="51" t="n">
        <v>12374</v>
      </c>
      <c r="B31" s="53" t="n">
        <v>40861.6506944444</v>
      </c>
      <c r="C31" s="57" t="n">
        <f aca="false">INT($C$2)-INT(Table3[[#This Row],[Last Purchase Date]])</f>
        <v>26</v>
      </c>
      <c r="D31" s="1" t="n">
        <v>1</v>
      </c>
      <c r="E31" s="1" t="n">
        <v>742.93</v>
      </c>
      <c r="F31" s="1" t="n">
        <f aca="false">ROUND((1-_xlfn.PERCENTRANK.INC($C$7:$C$4378,C31))*9,0)</f>
        <v>6</v>
      </c>
      <c r="G31" s="1" t="n">
        <f aca="false">ROUND(_xlfn.PERCENTRANK.INC($D$7:$D$4378,D31)*9,0)</f>
        <v>0</v>
      </c>
      <c r="H31" s="1" t="n">
        <f aca="false">ROUND(_xlfn.PERCENTRANK.INC($E$7:$E$4378,E31)*9,0)</f>
        <v>5</v>
      </c>
      <c r="I31" s="1" t="str">
        <f aca="false">CONCATENATE(F31,G31,H31)</f>
        <v>605</v>
      </c>
      <c r="J31" s="1" t="str">
        <f aca="false">_xlfn.IFS(AND(F31&gt;=8,G31&gt;=8,H31&gt;=8),"CHAMPION",AND(F31&gt;=6,G31&gt;=7,H31&gt;=6),"LOYAL CUSTOMER",AND(F31&gt;=6,G31&gt;=5,H31&gt;=5),"POTENTIAL LOYALIST",AND(F31&gt;=8,G31&lt;=2,H31&gt;=5),"NEW CUSTOMERS",AND(F31&gt;=6,G31&lt;=2,H31&gt;=3),"PROMISING",AND(F31&gt;=3,G31&gt;=3,H31&gt;=3),"NEED ATTENTION",AND(F31&lt;=4,G31&gt;=6,H31&gt;=6),"AT RISK",AND(F31&lt;=2,G31&gt;=8,H31&gt;=8),"CAN'T LOSE THEM",AND(F31&lt;=2,G31&lt;=2,H31&lt;=2),"HIBERNATING",TRUE(),"Other")</f>
        <v>PROMISING</v>
      </c>
      <c r="K31" s="1" t="n">
        <f aca="false">RANK(E31,$E$7:$E$4378)+COUNTIF($E$7:E31,E31)-1</f>
        <v>1988</v>
      </c>
    </row>
    <row r="32" customFormat="false" ht="14.25" hidden="false" customHeight="true" outlineLevel="0" collapsed="false">
      <c r="A32" s="51" t="n">
        <v>12375</v>
      </c>
      <c r="B32" s="53" t="n">
        <v>40884.4770833333</v>
      </c>
      <c r="C32" s="57" t="n">
        <f aca="false">INT($C$2)-INT(Table3[[#This Row],[Last Purchase Date]])</f>
        <v>3</v>
      </c>
      <c r="D32" s="1" t="n">
        <v>3</v>
      </c>
      <c r="E32" s="1" t="n">
        <v>455.42</v>
      </c>
      <c r="F32" s="1" t="n">
        <f aca="false">ROUND((1-_xlfn.PERCENTRANK.INC($C$7:$C$4378,C32))*9,0)</f>
        <v>9</v>
      </c>
      <c r="G32" s="1" t="n">
        <f aca="false">ROUND(_xlfn.PERCENTRANK.INC($D$7:$D$4378,D32)*9,0)</f>
        <v>4</v>
      </c>
      <c r="H32" s="1" t="n">
        <f aca="false">ROUND(_xlfn.PERCENTRANK.INC($E$7:$E$4378,E32)*9,0)</f>
        <v>4</v>
      </c>
      <c r="I32" s="1" t="str">
        <f aca="false">CONCATENATE(F32,G32,H32)</f>
        <v>944</v>
      </c>
      <c r="J32" s="1" t="str">
        <f aca="false">_xlfn.IFS(AND(F32&gt;=8,G32&gt;=8,H32&gt;=8),"CHAMPION",AND(F32&gt;=6,G32&gt;=7,H32&gt;=6),"LOYAL CUSTOMER",AND(F32&gt;=6,G32&gt;=5,H32&gt;=5),"POTENTIAL LOYALIST",AND(F32&gt;=8,G32&lt;=2,H32&gt;=5),"NEW CUSTOMERS",AND(F32&gt;=6,G32&lt;=2,H32&gt;=3),"PROMISING",AND(F32&gt;=3,G32&gt;=3,H32&gt;=3),"NEED ATTENTION",AND(F32&lt;=4,G32&gt;=6,H32&gt;=6),"AT RISK",AND(F32&lt;=2,G32&gt;=8,H32&gt;=8),"CAN'T LOSE THEM",AND(F32&lt;=2,G32&lt;=2,H32&lt;=2),"HIBERNATING",TRUE(),"Other")</f>
        <v>NEED ATTENTION</v>
      </c>
      <c r="K32" s="1" t="n">
        <f aca="false">RANK(E32,$E$7:$E$4378)+COUNTIF($E$7:E32,E32)-1</f>
        <v>2656</v>
      </c>
    </row>
    <row r="33" customFormat="false" ht="14.25" hidden="false" customHeight="true" outlineLevel="0" collapsed="false">
      <c r="A33" s="51" t="n">
        <v>12377</v>
      </c>
      <c r="B33" s="53" t="n">
        <v>40571.65625</v>
      </c>
      <c r="C33" s="57" t="n">
        <f aca="false">INT($C$2)-INT(Table3[[#This Row],[Last Purchase Date]])</f>
        <v>316</v>
      </c>
      <c r="D33" s="1" t="n">
        <v>2</v>
      </c>
      <c r="E33" s="1" t="n">
        <v>1628.12</v>
      </c>
      <c r="F33" s="1" t="n">
        <f aca="false">ROUND((1-_xlfn.PERCENTRANK.INC($C$7:$C$4378,C33))*9,0)</f>
        <v>0</v>
      </c>
      <c r="G33" s="1" t="n">
        <f aca="false">ROUND(_xlfn.PERCENTRANK.INC($D$7:$D$4378,D33)*9,0)</f>
        <v>3</v>
      </c>
      <c r="H33" s="1" t="n">
        <f aca="false">ROUND(_xlfn.PERCENTRANK.INC($E$7:$E$4378,E33)*9,0)</f>
        <v>7</v>
      </c>
      <c r="I33" s="1" t="str">
        <f aca="false">CONCATENATE(F33,G33,H33)</f>
        <v>037</v>
      </c>
      <c r="J33" s="1" t="str">
        <f aca="false">_xlfn.IFS(AND(F33&gt;=8,G33&gt;=8,H33&gt;=8),"CHAMPION",AND(F33&gt;=6,G33&gt;=7,H33&gt;=6),"LOYAL CUSTOMER",AND(F33&gt;=6,G33&gt;=5,H33&gt;=5),"POTENTIAL LOYALIST",AND(F33&gt;=8,G33&lt;=2,H33&gt;=5),"NEW CUSTOMERS",AND(F33&gt;=6,G33&lt;=2,H33&gt;=3),"PROMISING",AND(F33&gt;=3,G33&gt;=3,H33&gt;=3),"NEED ATTENTION",AND(F33&lt;=4,G33&gt;=6,H33&gt;=6),"AT RISK",AND(F33&lt;=2,G33&gt;=8,H33&gt;=8),"CAN'T LOSE THEM",AND(F33&lt;=2,G33&lt;=2,H33&lt;=2),"HIBERNATING",TRUE(),"Other")</f>
        <v>Other</v>
      </c>
      <c r="K33" s="1" t="n">
        <f aca="false">RANK(E33,$E$7:$E$4378)+COUNTIF($E$7:E33,E33)-1</f>
        <v>1079</v>
      </c>
    </row>
    <row r="34" customFormat="false" ht="14.25" hidden="false" customHeight="true" outlineLevel="0" collapsed="false">
      <c r="A34" s="51" t="n">
        <v>12378</v>
      </c>
      <c r="B34" s="53" t="n">
        <v>40757.4402777778</v>
      </c>
      <c r="C34" s="57" t="n">
        <f aca="false">INT($C$2)-INT(Table3[[#This Row],[Last Purchase Date]])</f>
        <v>130</v>
      </c>
      <c r="D34" s="1" t="n">
        <v>1</v>
      </c>
      <c r="E34" s="1" t="n">
        <v>4008.62</v>
      </c>
      <c r="F34" s="1" t="n">
        <f aca="false">ROUND((1-_xlfn.PERCENTRANK.INC($C$7:$C$4378,C34))*9,0)</f>
        <v>2</v>
      </c>
      <c r="G34" s="1" t="n">
        <f aca="false">ROUND(_xlfn.PERCENTRANK.INC($D$7:$D$4378,D34)*9,0)</f>
        <v>0</v>
      </c>
      <c r="H34" s="1" t="n">
        <f aca="false">ROUND(_xlfn.PERCENTRANK.INC($E$7:$E$4378,E34)*9,0)</f>
        <v>8</v>
      </c>
      <c r="I34" s="1" t="str">
        <f aca="false">CONCATENATE(F34,G34,H34)</f>
        <v>208</v>
      </c>
      <c r="J34" s="1" t="str">
        <f aca="false">_xlfn.IFS(AND(F34&gt;=8,G34&gt;=8,H34&gt;=8),"CHAMPION",AND(F34&gt;=6,G34&gt;=7,H34&gt;=6),"LOYAL CUSTOMER",AND(F34&gt;=6,G34&gt;=5,H34&gt;=5),"POTENTIAL LOYALIST",AND(F34&gt;=8,G34&lt;=2,H34&gt;=5),"NEW CUSTOMERS",AND(F34&gt;=6,G34&lt;=2,H34&gt;=3),"PROMISING",AND(F34&gt;=3,G34&gt;=3,H34&gt;=3),"NEED ATTENTION",AND(F34&lt;=4,G34&gt;=6,H34&gt;=6),"AT RISK",AND(F34&lt;=2,G34&gt;=8,H34&gt;=8),"CAN'T LOSE THEM",AND(F34&lt;=2,G34&lt;=2,H34&lt;=2),"HIBERNATING",TRUE(),"Other")</f>
        <v>Other</v>
      </c>
      <c r="K34" s="1" t="n">
        <f aca="false">RANK(E34,$E$7:$E$4378)+COUNTIF($E$7:E34,E34)-1</f>
        <v>351</v>
      </c>
    </row>
    <row r="35" customFormat="false" ht="14.25" hidden="false" customHeight="true" outlineLevel="0" collapsed="false">
      <c r="A35" s="51" t="n">
        <v>12379</v>
      </c>
      <c r="B35" s="53" t="n">
        <v>40805.4229166667</v>
      </c>
      <c r="C35" s="57" t="n">
        <f aca="false">INT($C$2)-INT(Table3[[#This Row],[Last Purchase Date]])</f>
        <v>82</v>
      </c>
      <c r="D35" s="1" t="n">
        <v>3</v>
      </c>
      <c r="E35" s="1" t="n">
        <v>850.29</v>
      </c>
      <c r="F35" s="1" t="n">
        <f aca="false">ROUND((1-_xlfn.PERCENTRANK.INC($C$7:$C$4378,C35))*9,0)</f>
        <v>3</v>
      </c>
      <c r="G35" s="1" t="n">
        <f aca="false">ROUND(_xlfn.PERCENTRANK.INC($D$7:$D$4378,D35)*9,0)</f>
        <v>4</v>
      </c>
      <c r="H35" s="1" t="n">
        <f aca="false">ROUND(_xlfn.PERCENTRANK.INC($E$7:$E$4378,E35)*9,0)</f>
        <v>5</v>
      </c>
      <c r="I35" s="1" t="str">
        <f aca="false">CONCATENATE(F35,G35,H35)</f>
        <v>345</v>
      </c>
      <c r="J35" s="1" t="str">
        <f aca="false">_xlfn.IFS(AND(F35&gt;=8,G35&gt;=8,H35&gt;=8),"CHAMPION",AND(F35&gt;=6,G35&gt;=7,H35&gt;=6),"LOYAL CUSTOMER",AND(F35&gt;=6,G35&gt;=5,H35&gt;=5),"POTENTIAL LOYALIST",AND(F35&gt;=8,G35&lt;=2,H35&gt;=5),"NEW CUSTOMERS",AND(F35&gt;=6,G35&lt;=2,H35&gt;=3),"PROMISING",AND(F35&gt;=3,G35&gt;=3,H35&gt;=3),"NEED ATTENTION",AND(F35&lt;=4,G35&gt;=6,H35&gt;=6),"AT RISK",AND(F35&lt;=2,G35&gt;=8,H35&gt;=8),"CAN'T LOSE THEM",AND(F35&lt;=2,G35&lt;=2,H35&lt;=2),"HIBERNATING",TRUE(),"Other")</f>
        <v>NEED ATTENTION</v>
      </c>
      <c r="K35" s="1" t="n">
        <f aca="false">RANK(E35,$E$7:$E$4378)+COUNTIF($E$7:E35,E35)-1</f>
        <v>1830</v>
      </c>
    </row>
    <row r="36" customFormat="false" ht="14.25" hidden="false" customHeight="true" outlineLevel="0" collapsed="false">
      <c r="A36" s="51" t="n">
        <v>12380</v>
      </c>
      <c r="B36" s="53" t="n">
        <v>40865.4770833333</v>
      </c>
      <c r="C36" s="57" t="n">
        <f aca="false">INT($C$2)-INT(Table3[[#This Row],[Last Purchase Date]])</f>
        <v>22</v>
      </c>
      <c r="D36" s="1" t="n">
        <v>5</v>
      </c>
      <c r="E36" s="1" t="n">
        <v>2720.56</v>
      </c>
      <c r="F36" s="1" t="n">
        <f aca="false">ROUND((1-_xlfn.PERCENTRANK.INC($C$7:$C$4378,C36))*9,0)</f>
        <v>6</v>
      </c>
      <c r="G36" s="1" t="n">
        <f aca="false">ROUND(_xlfn.PERCENTRANK.INC($D$7:$D$4378,D36)*9,0)</f>
        <v>6</v>
      </c>
      <c r="H36" s="1" t="n">
        <f aca="false">ROUND(_xlfn.PERCENTRANK.INC($E$7:$E$4378,E36)*9,0)</f>
        <v>8</v>
      </c>
      <c r="I36" s="1" t="str">
        <f aca="false">CONCATENATE(F36,G36,H36)</f>
        <v>668</v>
      </c>
      <c r="J36" s="1" t="str">
        <f aca="false">_xlfn.IFS(AND(F36&gt;=8,G36&gt;=8,H36&gt;=8),"CHAMPION",AND(F36&gt;=6,G36&gt;=7,H36&gt;=6),"LOYAL CUSTOMER",AND(F36&gt;=6,G36&gt;=5,H36&gt;=5),"POTENTIAL LOYALIST",AND(F36&gt;=8,G36&lt;=2,H36&gt;=5),"NEW CUSTOMERS",AND(F36&gt;=6,G36&lt;=2,H36&gt;=3),"PROMISING",AND(F36&gt;=3,G36&gt;=3,H36&gt;=3),"NEED ATTENTION",AND(F36&lt;=4,G36&gt;=6,H36&gt;=6),"AT RISK",AND(F36&lt;=2,G36&gt;=8,H36&gt;=8),"CAN'T LOSE THEM",AND(F36&lt;=2,G36&lt;=2,H36&lt;=2),"HIBERNATING",TRUE(),"Other")</f>
        <v>POTENTIAL LOYALIST</v>
      </c>
      <c r="K36" s="1" t="n">
        <f aca="false">RANK(E36,$E$7:$E$4378)+COUNTIF($E$7:E36,E36)-1</f>
        <v>610</v>
      </c>
    </row>
    <row r="37" customFormat="false" ht="14.25" hidden="false" customHeight="true" outlineLevel="0" collapsed="false">
      <c r="A37" s="51" t="n">
        <v>12381</v>
      </c>
      <c r="B37" s="53" t="n">
        <v>40882.5305555556</v>
      </c>
      <c r="C37" s="57" t="n">
        <f aca="false">INT($C$2)-INT(Table3[[#This Row],[Last Purchase Date]])</f>
        <v>5</v>
      </c>
      <c r="D37" s="1" t="n">
        <v>6</v>
      </c>
      <c r="E37" s="1" t="n">
        <v>1803.96</v>
      </c>
      <c r="F37" s="1" t="n">
        <f aca="false">ROUND((1-_xlfn.PERCENTRANK.INC($C$7:$C$4378,C37))*9,0)</f>
        <v>8</v>
      </c>
      <c r="G37" s="1" t="n">
        <f aca="false">ROUND(_xlfn.PERCENTRANK.INC($D$7:$D$4378,D37)*9,0)</f>
        <v>7</v>
      </c>
      <c r="H37" s="1" t="n">
        <f aca="false">ROUND(_xlfn.PERCENTRANK.INC($E$7:$E$4378,E37)*9,0)</f>
        <v>7</v>
      </c>
      <c r="I37" s="1" t="str">
        <f aca="false">CONCATENATE(F37,G37,H37)</f>
        <v>877</v>
      </c>
      <c r="J37" s="1" t="str">
        <f aca="false">_xlfn.IFS(AND(F37&gt;=8,G37&gt;=8,H37&gt;=8),"CHAMPION",AND(F37&gt;=6,G37&gt;=7,H37&gt;=6),"LOYAL CUSTOMER",AND(F37&gt;=6,G37&gt;=5,H37&gt;=5),"POTENTIAL LOYALIST",AND(F37&gt;=8,G37&lt;=2,H37&gt;=5),"NEW CUSTOMERS",AND(F37&gt;=6,G37&lt;=2,H37&gt;=3),"PROMISING",AND(F37&gt;=3,G37&gt;=3,H37&gt;=3),"NEED ATTENTION",AND(F37&lt;=4,G37&gt;=6,H37&gt;=6),"AT RISK",AND(F37&lt;=2,G37&gt;=8,H37&gt;=8),"CAN'T LOSE THEM",AND(F37&lt;=2,G37&lt;=2,H37&lt;=2),"HIBERNATING",TRUE(),"Other")</f>
        <v>LOYAL CUSTOMER</v>
      </c>
      <c r="K37" s="1" t="n">
        <f aca="false">RANK(E37,$E$7:$E$4378)+COUNTIF($E$7:E37,E37)-1</f>
        <v>972</v>
      </c>
    </row>
    <row r="38" customFormat="false" ht="14.25" hidden="false" customHeight="true" outlineLevel="0" collapsed="false">
      <c r="A38" s="51" t="n">
        <v>12383</v>
      </c>
      <c r="B38" s="53" t="n">
        <v>40702.3347222222</v>
      </c>
      <c r="C38" s="57" t="n">
        <f aca="false">INT($C$2)-INT(Table3[[#This Row],[Last Purchase Date]])</f>
        <v>185</v>
      </c>
      <c r="D38" s="1" t="n">
        <v>6</v>
      </c>
      <c r="E38" s="1" t="n">
        <v>1839.31</v>
      </c>
      <c r="F38" s="1" t="n">
        <f aca="false">ROUND((1-_xlfn.PERCENTRANK.INC($C$7:$C$4378,C38))*9,0)</f>
        <v>2</v>
      </c>
      <c r="G38" s="1" t="n">
        <f aca="false">ROUND(_xlfn.PERCENTRANK.INC($D$7:$D$4378,D38)*9,0)</f>
        <v>7</v>
      </c>
      <c r="H38" s="1" t="n">
        <f aca="false">ROUND(_xlfn.PERCENTRANK.INC($E$7:$E$4378,E38)*9,0)</f>
        <v>7</v>
      </c>
      <c r="I38" s="1" t="str">
        <f aca="false">CONCATENATE(F38,G38,H38)</f>
        <v>277</v>
      </c>
      <c r="J38" s="1" t="str">
        <f aca="false">_xlfn.IFS(AND(F38&gt;=8,G38&gt;=8,H38&gt;=8),"CHAMPION",AND(F38&gt;=6,G38&gt;=7,H38&gt;=6),"LOYAL CUSTOMER",AND(F38&gt;=6,G38&gt;=5,H38&gt;=5),"POTENTIAL LOYALIST",AND(F38&gt;=8,G38&lt;=2,H38&gt;=5),"NEW CUSTOMERS",AND(F38&gt;=6,G38&lt;=2,H38&gt;=3),"PROMISING",AND(F38&gt;=3,G38&gt;=3,H38&gt;=3),"NEED ATTENTION",AND(F38&lt;=4,G38&gt;=6,H38&gt;=6),"AT RISK",AND(F38&lt;=2,G38&gt;=8,H38&gt;=8),"CAN'T LOSE THEM",AND(F38&lt;=2,G38&lt;=2,H38&lt;=2),"HIBERNATING",TRUE(),"Other")</f>
        <v>AT RISK</v>
      </c>
      <c r="K38" s="1" t="n">
        <f aca="false">RANK(E38,$E$7:$E$4378)+COUNTIF($E$7:E38,E38)-1</f>
        <v>955</v>
      </c>
    </row>
    <row r="39" customFormat="false" ht="14.25" hidden="false" customHeight="true" outlineLevel="0" collapsed="false">
      <c r="A39" s="51" t="n">
        <v>12384</v>
      </c>
      <c r="B39" s="53" t="n">
        <v>40858.3604166667</v>
      </c>
      <c r="C39" s="57" t="n">
        <f aca="false">INT($C$2)-INT(Table3[[#This Row],[Last Purchase Date]])</f>
        <v>29</v>
      </c>
      <c r="D39" s="1" t="n">
        <v>3</v>
      </c>
      <c r="E39" s="1" t="n">
        <v>566.16</v>
      </c>
      <c r="F39" s="1" t="n">
        <f aca="false">ROUND((1-_xlfn.PERCENTRANK.INC($C$7:$C$4378,C39))*9,0)</f>
        <v>6</v>
      </c>
      <c r="G39" s="1" t="n">
        <f aca="false">ROUND(_xlfn.PERCENTRANK.INC($D$7:$D$4378,D39)*9,0)</f>
        <v>4</v>
      </c>
      <c r="H39" s="1" t="n">
        <f aca="false">ROUND(_xlfn.PERCENTRANK.INC($E$7:$E$4378,E39)*9,0)</f>
        <v>4</v>
      </c>
      <c r="I39" s="1" t="str">
        <f aca="false">CONCATENATE(F39,G39,H39)</f>
        <v>644</v>
      </c>
      <c r="J39" s="1" t="str">
        <f aca="false">_xlfn.IFS(AND(F39&gt;=8,G39&gt;=8,H39&gt;=8),"CHAMPION",AND(F39&gt;=6,G39&gt;=7,H39&gt;=6),"LOYAL CUSTOMER",AND(F39&gt;=6,G39&gt;=5,H39&gt;=5),"POTENTIAL LOYALIST",AND(F39&gt;=8,G39&lt;=2,H39&gt;=5),"NEW CUSTOMERS",AND(F39&gt;=6,G39&lt;=2,H39&gt;=3),"PROMISING",AND(F39&gt;=3,G39&gt;=3,H39&gt;=3),"NEED ATTENTION",AND(F39&lt;=4,G39&gt;=6,H39&gt;=6),"AT RISK",AND(F39&lt;=2,G39&gt;=8,H39&gt;=8),"CAN'T LOSE THEM",AND(F39&lt;=2,G39&lt;=2,H39&lt;=2),"HIBERNATING",TRUE(),"Other")</f>
        <v>NEED ATTENTION</v>
      </c>
      <c r="K39" s="1" t="n">
        <f aca="false">RANK(E39,$E$7:$E$4378)+COUNTIF($E$7:E39,E39)-1</f>
        <v>2399</v>
      </c>
    </row>
    <row r="40" customFormat="false" ht="14.25" hidden="false" customHeight="true" outlineLevel="0" collapsed="false">
      <c r="A40" s="51" t="n">
        <v>12386</v>
      </c>
      <c r="B40" s="53" t="n">
        <v>40549.5256944444</v>
      </c>
      <c r="C40" s="57" t="n">
        <f aca="false">INT($C$2)-INT(Table3[[#This Row],[Last Purchase Date]])</f>
        <v>338</v>
      </c>
      <c r="D40" s="1" t="n">
        <v>2</v>
      </c>
      <c r="E40" s="1" t="n">
        <v>401.9</v>
      </c>
      <c r="F40" s="1" t="n">
        <f aca="false">ROUND((1-_xlfn.PERCENTRANK.INC($C$7:$C$4378,C40))*9,0)</f>
        <v>0</v>
      </c>
      <c r="G40" s="1" t="n">
        <f aca="false">ROUND(_xlfn.PERCENTRANK.INC($D$7:$D$4378,D40)*9,0)</f>
        <v>3</v>
      </c>
      <c r="H40" s="1" t="n">
        <f aca="false">ROUND(_xlfn.PERCENTRANK.INC($E$7:$E$4378,E40)*9,0)</f>
        <v>3</v>
      </c>
      <c r="I40" s="1" t="str">
        <f aca="false">CONCATENATE(F40,G40,H40)</f>
        <v>033</v>
      </c>
      <c r="J40" s="1" t="str">
        <f aca="false">_xlfn.IFS(AND(F40&gt;=8,G40&gt;=8,H40&gt;=8),"CHAMPION",AND(F40&gt;=6,G40&gt;=7,H40&gt;=6),"LOYAL CUSTOMER",AND(F40&gt;=6,G40&gt;=5,H40&gt;=5),"POTENTIAL LOYALIST",AND(F40&gt;=8,G40&lt;=2,H40&gt;=5),"NEW CUSTOMERS",AND(F40&gt;=6,G40&lt;=2,H40&gt;=3),"PROMISING",AND(F40&gt;=3,G40&gt;=3,H40&gt;=3),"NEED ATTENTION",AND(F40&lt;=4,G40&gt;=6,H40&gt;=6),"AT RISK",AND(F40&lt;=2,G40&gt;=8,H40&gt;=8),"CAN'T LOSE THEM",AND(F40&lt;=2,G40&lt;=2,H40&lt;=2),"HIBERNATING",TRUE(),"Other")</f>
        <v>Other</v>
      </c>
      <c r="K40" s="1" t="n">
        <f aca="false">RANK(E40,$E$7:$E$4378)+COUNTIF($E$7:E40,E40)-1</f>
        <v>2813</v>
      </c>
    </row>
    <row r="41" customFormat="false" ht="14.25" hidden="false" customHeight="true" outlineLevel="0" collapsed="false">
      <c r="A41" s="51" t="n">
        <v>12388</v>
      </c>
      <c r="B41" s="53" t="n">
        <v>40871.5208333333</v>
      </c>
      <c r="C41" s="57" t="n">
        <f aca="false">INT($C$2)-INT(Table3[[#This Row],[Last Purchase Date]])</f>
        <v>16</v>
      </c>
      <c r="D41" s="1" t="n">
        <v>6</v>
      </c>
      <c r="E41" s="1" t="n">
        <v>2780.66</v>
      </c>
      <c r="F41" s="1" t="n">
        <f aca="false">ROUND((1-_xlfn.PERCENTRANK.INC($C$7:$C$4378,C41))*9,0)</f>
        <v>7</v>
      </c>
      <c r="G41" s="1" t="n">
        <f aca="false">ROUND(_xlfn.PERCENTRANK.INC($D$7:$D$4378,D41)*9,0)</f>
        <v>7</v>
      </c>
      <c r="H41" s="1" t="n">
        <f aca="false">ROUND(_xlfn.PERCENTRANK.INC($E$7:$E$4378,E41)*9,0)</f>
        <v>8</v>
      </c>
      <c r="I41" s="1" t="str">
        <f aca="false">CONCATENATE(F41,G41,H41)</f>
        <v>778</v>
      </c>
      <c r="J41" s="1" t="str">
        <f aca="false">_xlfn.IFS(AND(F41&gt;=8,G41&gt;=8,H41&gt;=8),"CHAMPION",AND(F41&gt;=6,G41&gt;=7,H41&gt;=6),"LOYAL CUSTOMER",AND(F41&gt;=6,G41&gt;=5,H41&gt;=5),"POTENTIAL LOYALIST",AND(F41&gt;=8,G41&lt;=2,H41&gt;=5),"NEW CUSTOMERS",AND(F41&gt;=6,G41&lt;=2,H41&gt;=3),"PROMISING",AND(F41&gt;=3,G41&gt;=3,H41&gt;=3),"NEED ATTENTION",AND(F41&lt;=4,G41&gt;=6,H41&gt;=6),"AT RISK",AND(F41&lt;=2,G41&gt;=8,H41&gt;=8),"CAN'T LOSE THEM",AND(F41&lt;=2,G41&lt;=2,H41&lt;=2),"HIBERNATING",TRUE(),"Other")</f>
        <v>LOYAL CUSTOMER</v>
      </c>
      <c r="K41" s="1" t="n">
        <f aca="false">RANK(E41,$E$7:$E$4378)+COUNTIF($E$7:E41,E41)-1</f>
        <v>588</v>
      </c>
    </row>
    <row r="42" customFormat="false" ht="14.25" hidden="false" customHeight="true" outlineLevel="0" collapsed="false">
      <c r="A42" s="51" t="n">
        <v>12390</v>
      </c>
      <c r="B42" s="53" t="n">
        <v>40807.3979166667</v>
      </c>
      <c r="C42" s="57" t="n">
        <f aca="false">INT($C$2)-INT(Table3[[#This Row],[Last Purchase Date]])</f>
        <v>80</v>
      </c>
      <c r="D42" s="1" t="n">
        <v>1</v>
      </c>
      <c r="E42" s="1" t="n">
        <v>549.84</v>
      </c>
      <c r="F42" s="1" t="n">
        <f aca="false">ROUND((1-_xlfn.PERCENTRANK.INC($C$7:$C$4378,C42))*9,0)</f>
        <v>3</v>
      </c>
      <c r="G42" s="1" t="n">
        <f aca="false">ROUND(_xlfn.PERCENTRANK.INC($D$7:$D$4378,D42)*9,0)</f>
        <v>0</v>
      </c>
      <c r="H42" s="1" t="n">
        <f aca="false">ROUND(_xlfn.PERCENTRANK.INC($E$7:$E$4378,E42)*9,0)</f>
        <v>4</v>
      </c>
      <c r="I42" s="1" t="str">
        <f aca="false">CONCATENATE(F42,G42,H42)</f>
        <v>304</v>
      </c>
      <c r="J42" s="1" t="str">
        <f aca="false">_xlfn.IFS(AND(F42&gt;=8,G42&gt;=8,H42&gt;=8),"CHAMPION",AND(F42&gt;=6,G42&gt;=7,H42&gt;=6),"LOYAL CUSTOMER",AND(F42&gt;=6,G42&gt;=5,H42&gt;=5),"POTENTIAL LOYALIST",AND(F42&gt;=8,G42&lt;=2,H42&gt;=5),"NEW CUSTOMERS",AND(F42&gt;=6,G42&lt;=2,H42&gt;=3),"PROMISING",AND(F42&gt;=3,G42&gt;=3,H42&gt;=3),"NEED ATTENTION",AND(F42&lt;=4,G42&gt;=6,H42&gt;=6),"AT RISK",AND(F42&lt;=2,G42&gt;=8,H42&gt;=8),"CAN'T LOSE THEM",AND(F42&lt;=2,G42&lt;=2,H42&lt;=2),"HIBERNATING",TRUE(),"Other")</f>
        <v>Other</v>
      </c>
      <c r="K42" s="1" t="n">
        <f aca="false">RANK(E42,$E$7:$E$4378)+COUNTIF($E$7:E42,E42)-1</f>
        <v>2431</v>
      </c>
    </row>
    <row r="43" customFormat="false" ht="14.25" hidden="false" customHeight="true" outlineLevel="0" collapsed="false">
      <c r="A43" s="51" t="n">
        <v>12391</v>
      </c>
      <c r="B43" s="53" t="n">
        <v>40865.5048611111</v>
      </c>
      <c r="C43" s="57" t="n">
        <f aca="false">INT($C$2)-INT(Table3[[#This Row],[Last Purchase Date]])</f>
        <v>22</v>
      </c>
      <c r="D43" s="1" t="n">
        <v>1</v>
      </c>
      <c r="E43" s="1" t="n">
        <v>460.89</v>
      </c>
      <c r="F43" s="1" t="n">
        <f aca="false">ROUND((1-_xlfn.PERCENTRANK.INC($C$7:$C$4378,C43))*9,0)</f>
        <v>6</v>
      </c>
      <c r="G43" s="1" t="n">
        <f aca="false">ROUND(_xlfn.PERCENTRANK.INC($D$7:$D$4378,D43)*9,0)</f>
        <v>0</v>
      </c>
      <c r="H43" s="1" t="n">
        <f aca="false">ROUND(_xlfn.PERCENTRANK.INC($E$7:$E$4378,E43)*9,0)</f>
        <v>4</v>
      </c>
      <c r="I43" s="1" t="str">
        <f aca="false">CONCATENATE(F43,G43,H43)</f>
        <v>604</v>
      </c>
      <c r="J43" s="1" t="str">
        <f aca="false">_xlfn.IFS(AND(F43&gt;=8,G43&gt;=8,H43&gt;=8),"CHAMPION",AND(F43&gt;=6,G43&gt;=7,H43&gt;=6),"LOYAL CUSTOMER",AND(F43&gt;=6,G43&gt;=5,H43&gt;=5),"POTENTIAL LOYALIST",AND(F43&gt;=8,G43&lt;=2,H43&gt;=5),"NEW CUSTOMERS",AND(F43&gt;=6,G43&lt;=2,H43&gt;=3),"PROMISING",AND(F43&gt;=3,G43&gt;=3,H43&gt;=3),"NEED ATTENTION",AND(F43&lt;=4,G43&gt;=6,H43&gt;=6),"AT RISK",AND(F43&lt;=2,G43&gt;=8,H43&gt;=8),"CAN'T LOSE THEM",AND(F43&lt;=2,G43&lt;=2,H43&lt;=2),"HIBERNATING",TRUE(),"Other")</f>
        <v>PROMISING</v>
      </c>
      <c r="K43" s="1" t="n">
        <f aca="false">RANK(E43,$E$7:$E$4378)+COUNTIF($E$7:E43,E43)-1</f>
        <v>2636</v>
      </c>
    </row>
    <row r="44" customFormat="false" ht="14.25" hidden="false" customHeight="true" outlineLevel="0" collapsed="false">
      <c r="A44" s="51" t="n">
        <v>12393</v>
      </c>
      <c r="B44" s="53" t="n">
        <v>40814.6534722222</v>
      </c>
      <c r="C44" s="57" t="n">
        <f aca="false">INT($C$2)-INT(Table3[[#This Row],[Last Purchase Date]])</f>
        <v>73</v>
      </c>
      <c r="D44" s="1" t="n">
        <v>4</v>
      </c>
      <c r="E44" s="1" t="n">
        <v>1582.6</v>
      </c>
      <c r="F44" s="1" t="n">
        <f aca="false">ROUND((1-_xlfn.PERCENTRANK.INC($C$7:$C$4378,C44))*9,0)</f>
        <v>4</v>
      </c>
      <c r="G44" s="1" t="n">
        <f aca="false">ROUND(_xlfn.PERCENTRANK.INC($D$7:$D$4378,D44)*9,0)</f>
        <v>5</v>
      </c>
      <c r="H44" s="1" t="n">
        <f aca="false">ROUND(_xlfn.PERCENTRANK.INC($E$7:$E$4378,E44)*9,0)</f>
        <v>7</v>
      </c>
      <c r="I44" s="1" t="str">
        <f aca="false">CONCATENATE(F44,G44,H44)</f>
        <v>457</v>
      </c>
      <c r="J44" s="1" t="str">
        <f aca="false">_xlfn.IFS(AND(F44&gt;=8,G44&gt;=8,H44&gt;=8),"CHAMPION",AND(F44&gt;=6,G44&gt;=7,H44&gt;=6),"LOYAL CUSTOMER",AND(F44&gt;=6,G44&gt;=5,H44&gt;=5),"POTENTIAL LOYALIST",AND(F44&gt;=8,G44&lt;=2,H44&gt;=5),"NEW CUSTOMERS",AND(F44&gt;=6,G44&lt;=2,H44&gt;=3),"PROMISING",AND(F44&gt;=3,G44&gt;=3,H44&gt;=3),"NEED ATTENTION",AND(F44&lt;=4,G44&gt;=6,H44&gt;=6),"AT RISK",AND(F44&lt;=2,G44&gt;=8,H44&gt;=8),"CAN'T LOSE THEM",AND(F44&lt;=2,G44&lt;=2,H44&lt;=2),"HIBERNATING",TRUE(),"Other")</f>
        <v>NEED ATTENTION</v>
      </c>
      <c r="K44" s="1" t="n">
        <f aca="false">RANK(E44,$E$7:$E$4378)+COUNTIF($E$7:E44,E44)-1</f>
        <v>1110</v>
      </c>
    </row>
    <row r="45" customFormat="false" ht="14.25" hidden="false" customHeight="true" outlineLevel="0" collapsed="false">
      <c r="A45" s="51" t="n">
        <v>12394</v>
      </c>
      <c r="B45" s="53" t="n">
        <v>40823.3388888889</v>
      </c>
      <c r="C45" s="57" t="n">
        <f aca="false">INT($C$2)-INT(Table3[[#This Row],[Last Purchase Date]])</f>
        <v>64</v>
      </c>
      <c r="D45" s="1" t="n">
        <v>2</v>
      </c>
      <c r="E45" s="1" t="n">
        <v>1272.48</v>
      </c>
      <c r="F45" s="1" t="n">
        <f aca="false">ROUND((1-_xlfn.PERCENTRANK.INC($C$7:$C$4378,C45))*9,0)</f>
        <v>4</v>
      </c>
      <c r="G45" s="1" t="n">
        <f aca="false">ROUND(_xlfn.PERCENTRANK.INC($D$7:$D$4378,D45)*9,0)</f>
        <v>3</v>
      </c>
      <c r="H45" s="1" t="n">
        <f aca="false">ROUND(_xlfn.PERCENTRANK.INC($E$7:$E$4378,E45)*9,0)</f>
        <v>6</v>
      </c>
      <c r="I45" s="1" t="str">
        <f aca="false">CONCATENATE(F45,G45,H45)</f>
        <v>436</v>
      </c>
      <c r="J45" s="1" t="str">
        <f aca="false">_xlfn.IFS(AND(F45&gt;=8,G45&gt;=8,H45&gt;=8),"CHAMPION",AND(F45&gt;=6,G45&gt;=7,H45&gt;=6),"LOYAL CUSTOMER",AND(F45&gt;=6,G45&gt;=5,H45&gt;=5),"POTENTIAL LOYALIST",AND(F45&gt;=8,G45&lt;=2,H45&gt;=5),"NEW CUSTOMERS",AND(F45&gt;=6,G45&lt;=2,H45&gt;=3),"PROMISING",AND(F45&gt;=3,G45&gt;=3,H45&gt;=3),"NEED ATTENTION",AND(F45&lt;=4,G45&gt;=6,H45&gt;=6),"AT RISK",AND(F45&lt;=2,G45&gt;=8,H45&gt;=8),"CAN'T LOSE THEM",AND(F45&lt;=2,G45&lt;=2,H45&lt;=2),"HIBERNATING",TRUE(),"Other")</f>
        <v>NEED ATTENTION</v>
      </c>
      <c r="K45" s="1" t="n">
        <f aca="false">RANK(E45,$E$7:$E$4378)+COUNTIF($E$7:E45,E45)-1</f>
        <v>1348</v>
      </c>
    </row>
    <row r="46" customFormat="false" ht="14.25" hidden="false" customHeight="true" outlineLevel="0" collapsed="false">
      <c r="A46" s="51" t="n">
        <v>12395</v>
      </c>
      <c r="B46" s="53" t="n">
        <v>40871.5138888889</v>
      </c>
      <c r="C46" s="57" t="n">
        <f aca="false">INT($C$2)-INT(Table3[[#This Row],[Last Purchase Date]])</f>
        <v>16</v>
      </c>
      <c r="D46" s="1" t="n">
        <v>15</v>
      </c>
      <c r="E46" s="1" t="n">
        <v>2998.28</v>
      </c>
      <c r="F46" s="1" t="n">
        <f aca="false">ROUND((1-_xlfn.PERCENTRANK.INC($C$7:$C$4378,C46))*9,0)</f>
        <v>7</v>
      </c>
      <c r="G46" s="1" t="n">
        <f aca="false">ROUND(_xlfn.PERCENTRANK.INC($D$7:$D$4378,D46)*9,0)</f>
        <v>8</v>
      </c>
      <c r="H46" s="1" t="n">
        <f aca="false">ROUND(_xlfn.PERCENTRANK.INC($E$7:$E$4378,E46)*9,0)</f>
        <v>8</v>
      </c>
      <c r="I46" s="1" t="str">
        <f aca="false">CONCATENATE(F46,G46,H46)</f>
        <v>788</v>
      </c>
      <c r="J46" s="1" t="str">
        <f aca="false">_xlfn.IFS(AND(F46&gt;=8,G46&gt;=8,H46&gt;=8),"CHAMPION",AND(F46&gt;=6,G46&gt;=7,H46&gt;=6),"LOYAL CUSTOMER",AND(F46&gt;=6,G46&gt;=5,H46&gt;=5),"POTENTIAL LOYALIST",AND(F46&gt;=8,G46&lt;=2,H46&gt;=5),"NEW CUSTOMERS",AND(F46&gt;=6,G46&lt;=2,H46&gt;=3),"PROMISING",AND(F46&gt;=3,G46&gt;=3,H46&gt;=3),"NEED ATTENTION",AND(F46&lt;=4,G46&gt;=6,H46&gt;=6),"AT RISK",AND(F46&lt;=2,G46&gt;=8,H46&gt;=8),"CAN'T LOSE THEM",AND(F46&lt;=2,G46&lt;=2,H46&lt;=2),"HIBERNATING",TRUE(),"Other")</f>
        <v>LOYAL CUSTOMER</v>
      </c>
      <c r="K46" s="1" t="n">
        <f aca="false">RANK(E46,$E$7:$E$4378)+COUNTIF($E$7:E46,E46)-1</f>
        <v>540</v>
      </c>
    </row>
    <row r="47" customFormat="false" ht="14.25" hidden="false" customHeight="true" outlineLevel="0" collapsed="false">
      <c r="A47" s="51" t="n">
        <v>12397</v>
      </c>
      <c r="B47" s="53" t="n">
        <v>40851.4111111111</v>
      </c>
      <c r="C47" s="57" t="n">
        <f aca="false">INT($C$2)-INT(Table3[[#This Row],[Last Purchase Date]])</f>
        <v>36</v>
      </c>
      <c r="D47" s="1" t="n">
        <v>2</v>
      </c>
      <c r="E47" s="1" t="n">
        <v>2409.9</v>
      </c>
      <c r="F47" s="1" t="n">
        <f aca="false">ROUND((1-_xlfn.PERCENTRANK.INC($C$7:$C$4378,C47))*9,0)</f>
        <v>5</v>
      </c>
      <c r="G47" s="1" t="n">
        <f aca="false">ROUND(_xlfn.PERCENTRANK.INC($D$7:$D$4378,D47)*9,0)</f>
        <v>3</v>
      </c>
      <c r="H47" s="1" t="n">
        <f aca="false">ROUND(_xlfn.PERCENTRANK.INC($E$7:$E$4378,E47)*9,0)</f>
        <v>8</v>
      </c>
      <c r="I47" s="1" t="str">
        <f aca="false">CONCATENATE(F47,G47,H47)</f>
        <v>538</v>
      </c>
      <c r="J47" s="1" t="str">
        <f aca="false">_xlfn.IFS(AND(F47&gt;=8,G47&gt;=8,H47&gt;=8),"CHAMPION",AND(F47&gt;=6,G47&gt;=7,H47&gt;=6),"LOYAL CUSTOMER",AND(F47&gt;=6,G47&gt;=5,H47&gt;=5),"POTENTIAL LOYALIST",AND(F47&gt;=8,G47&lt;=2,H47&gt;=5),"NEW CUSTOMERS",AND(F47&gt;=6,G47&lt;=2,H47&gt;=3),"PROMISING",AND(F47&gt;=3,G47&gt;=3,H47&gt;=3),"NEED ATTENTION",AND(F47&lt;=4,G47&gt;=6,H47&gt;=6),"AT RISK",AND(F47&lt;=2,G47&gt;=8,H47&gt;=8),"CAN'T LOSE THEM",AND(F47&lt;=2,G47&lt;=2,H47&lt;=2),"HIBERNATING",TRUE(),"Other")</f>
        <v>NEED ATTENTION</v>
      </c>
      <c r="K47" s="1" t="n">
        <f aca="false">RANK(E47,$E$7:$E$4378)+COUNTIF($E$7:E47,E47)-1</f>
        <v>709</v>
      </c>
    </row>
    <row r="48" customFormat="false" ht="14.25" hidden="false" customHeight="true" outlineLevel="0" collapsed="false">
      <c r="A48" s="51" t="n">
        <v>12398</v>
      </c>
      <c r="B48" s="53" t="n">
        <v>40841.4354166667</v>
      </c>
      <c r="C48" s="57" t="n">
        <f aca="false">INT($C$2)-INT(Table3[[#This Row],[Last Purchase Date]])</f>
        <v>46</v>
      </c>
      <c r="D48" s="1" t="n">
        <v>1</v>
      </c>
      <c r="E48" s="1" t="n">
        <v>1635.66</v>
      </c>
      <c r="F48" s="1" t="n">
        <f aca="false">ROUND((1-_xlfn.PERCENTRANK.INC($C$7:$C$4378,C48))*9,0)</f>
        <v>5</v>
      </c>
      <c r="G48" s="1" t="n">
        <f aca="false">ROUND(_xlfn.PERCENTRANK.INC($D$7:$D$4378,D48)*9,0)</f>
        <v>0</v>
      </c>
      <c r="H48" s="1" t="n">
        <f aca="false">ROUND(_xlfn.PERCENTRANK.INC($E$7:$E$4378,E48)*9,0)</f>
        <v>7</v>
      </c>
      <c r="I48" s="1" t="str">
        <f aca="false">CONCATENATE(F48,G48,H48)</f>
        <v>507</v>
      </c>
      <c r="J48" s="1" t="str">
        <f aca="false">_xlfn.IFS(AND(F48&gt;=8,G48&gt;=8,H48&gt;=8),"CHAMPION",AND(F48&gt;=6,G48&gt;=7,H48&gt;=6),"LOYAL CUSTOMER",AND(F48&gt;=6,G48&gt;=5,H48&gt;=5),"POTENTIAL LOYALIST",AND(F48&gt;=8,G48&lt;=2,H48&gt;=5),"NEW CUSTOMERS",AND(F48&gt;=6,G48&lt;=2,H48&gt;=3),"PROMISING",AND(F48&gt;=3,G48&gt;=3,H48&gt;=3),"NEED ATTENTION",AND(F48&lt;=4,G48&gt;=6,H48&gt;=6),"AT RISK",AND(F48&lt;=2,G48&gt;=8,H48&gt;=8),"CAN'T LOSE THEM",AND(F48&lt;=2,G48&lt;=2,H48&lt;=2),"HIBERNATING",TRUE(),"Other")</f>
        <v>Other</v>
      </c>
      <c r="K48" s="1" t="n">
        <f aca="false">RANK(E48,$E$7:$E$4378)+COUNTIF($E$7:E48,E48)-1</f>
        <v>1075</v>
      </c>
    </row>
    <row r="49" customFormat="false" ht="14.25" hidden="false" customHeight="true" outlineLevel="0" collapsed="false">
      <c r="A49" s="51" t="n">
        <v>12399</v>
      </c>
      <c r="B49" s="53" t="n">
        <v>40767.5520833333</v>
      </c>
      <c r="C49" s="57" t="n">
        <f aca="false">INT($C$2)-INT(Table3[[#This Row],[Last Purchase Date]])</f>
        <v>120</v>
      </c>
      <c r="D49" s="1" t="n">
        <v>4</v>
      </c>
      <c r="E49" s="1" t="n">
        <v>1108.65</v>
      </c>
      <c r="F49" s="1" t="n">
        <f aca="false">ROUND((1-_xlfn.PERCENTRANK.INC($C$7:$C$4378,C49))*9,0)</f>
        <v>3</v>
      </c>
      <c r="G49" s="1" t="n">
        <f aca="false">ROUND(_xlfn.PERCENTRANK.INC($D$7:$D$4378,D49)*9,0)</f>
        <v>5</v>
      </c>
      <c r="H49" s="1" t="n">
        <f aca="false">ROUND(_xlfn.PERCENTRANK.INC($E$7:$E$4378,E49)*9,0)</f>
        <v>6</v>
      </c>
      <c r="I49" s="1" t="str">
        <f aca="false">CONCATENATE(F49,G49,H49)</f>
        <v>356</v>
      </c>
      <c r="J49" s="1" t="str">
        <f aca="false">_xlfn.IFS(AND(F49&gt;=8,G49&gt;=8,H49&gt;=8),"CHAMPION",AND(F49&gt;=6,G49&gt;=7,H49&gt;=6),"LOYAL CUSTOMER",AND(F49&gt;=6,G49&gt;=5,H49&gt;=5),"POTENTIAL LOYALIST",AND(F49&gt;=8,G49&lt;=2,H49&gt;=5),"NEW CUSTOMERS",AND(F49&gt;=6,G49&lt;=2,H49&gt;=3),"PROMISING",AND(F49&gt;=3,G49&gt;=3,H49&gt;=3),"NEED ATTENTION",AND(F49&lt;=4,G49&gt;=6,H49&gt;=6),"AT RISK",AND(F49&lt;=2,G49&gt;=8,H49&gt;=8),"CAN'T LOSE THEM",AND(F49&lt;=2,G49&lt;=2,H49&lt;=2),"HIBERNATING",TRUE(),"Other")</f>
        <v>NEED ATTENTION</v>
      </c>
      <c r="K49" s="1" t="n">
        <f aca="false">RANK(E49,$E$7:$E$4378)+COUNTIF($E$7:E49,E49)-1</f>
        <v>1500</v>
      </c>
    </row>
    <row r="50" customFormat="false" ht="14.25" hidden="false" customHeight="true" outlineLevel="0" collapsed="false">
      <c r="A50" s="51" t="n">
        <v>12401</v>
      </c>
      <c r="B50" s="53" t="n">
        <v>40583.5763888889</v>
      </c>
      <c r="C50" s="57" t="n">
        <f aca="false">INT($C$2)-INT(Table3[[#This Row],[Last Purchase Date]])</f>
        <v>304</v>
      </c>
      <c r="D50" s="1" t="n">
        <v>1</v>
      </c>
      <c r="E50" s="1" t="n">
        <v>84.3</v>
      </c>
      <c r="F50" s="1" t="n">
        <f aca="false">ROUND((1-_xlfn.PERCENTRANK.INC($C$7:$C$4378,C50))*9,0)</f>
        <v>1</v>
      </c>
      <c r="G50" s="1" t="n">
        <f aca="false">ROUND(_xlfn.PERCENTRANK.INC($D$7:$D$4378,D50)*9,0)</f>
        <v>0</v>
      </c>
      <c r="H50" s="1" t="n">
        <f aca="false">ROUND(_xlfn.PERCENTRANK.INC($E$7:$E$4378,E50)*9,0)</f>
        <v>0</v>
      </c>
      <c r="I50" s="1" t="str">
        <f aca="false">CONCATENATE(F50,G50,H50)</f>
        <v>100</v>
      </c>
      <c r="J50" s="1" t="str">
        <f aca="false">_xlfn.IFS(AND(F50&gt;=8,G50&gt;=8,H50&gt;=8),"CHAMPION",AND(F50&gt;=6,G50&gt;=7,H50&gt;=6),"LOYAL CUSTOMER",AND(F50&gt;=6,G50&gt;=5,H50&gt;=5),"POTENTIAL LOYALIST",AND(F50&gt;=8,G50&lt;=2,H50&gt;=5),"NEW CUSTOMERS",AND(F50&gt;=6,G50&lt;=2,H50&gt;=3),"PROMISING",AND(F50&gt;=3,G50&gt;=3,H50&gt;=3),"NEED ATTENTION",AND(F50&lt;=4,G50&gt;=6,H50&gt;=6),"AT RISK",AND(F50&lt;=2,G50&gt;=8,H50&gt;=8),"CAN'T LOSE THEM",AND(F50&lt;=2,G50&lt;=2,H50&lt;=2),"HIBERNATING",TRUE(),"Other")</f>
        <v>HIBERNATING</v>
      </c>
      <c r="K50" s="1" t="n">
        <f aca="false">RANK(E50,$E$7:$E$4378)+COUNTIF($E$7:E50,E50)-1</f>
        <v>4209</v>
      </c>
    </row>
    <row r="51" customFormat="false" ht="14.25" hidden="false" customHeight="true" outlineLevel="0" collapsed="false">
      <c r="A51" s="51" t="n">
        <v>12402</v>
      </c>
      <c r="B51" s="53" t="n">
        <v>40563.5756944444</v>
      </c>
      <c r="C51" s="57" t="n">
        <f aca="false">INT($C$2)-INT(Table3[[#This Row],[Last Purchase Date]])</f>
        <v>324</v>
      </c>
      <c r="D51" s="1" t="n">
        <v>1</v>
      </c>
      <c r="E51" s="1" t="n">
        <v>225.6</v>
      </c>
      <c r="F51" s="1" t="n">
        <f aca="false">ROUND((1-_xlfn.PERCENTRANK.INC($C$7:$C$4378,C51))*9,0)</f>
        <v>0</v>
      </c>
      <c r="G51" s="1" t="n">
        <f aca="false">ROUND(_xlfn.PERCENTRANK.INC($D$7:$D$4378,D51)*9,0)</f>
        <v>0</v>
      </c>
      <c r="H51" s="1" t="n">
        <f aca="false">ROUND(_xlfn.PERCENTRANK.INC($E$7:$E$4378,E51)*9,0)</f>
        <v>2</v>
      </c>
      <c r="I51" s="1" t="str">
        <f aca="false">CONCATENATE(F51,G51,H51)</f>
        <v>002</v>
      </c>
      <c r="J51" s="1" t="str">
        <f aca="false">_xlfn.IFS(AND(F51&gt;=8,G51&gt;=8,H51&gt;=8),"CHAMPION",AND(F51&gt;=6,G51&gt;=7,H51&gt;=6),"LOYAL CUSTOMER",AND(F51&gt;=6,G51&gt;=5,H51&gt;=5),"POTENTIAL LOYALIST",AND(F51&gt;=8,G51&lt;=2,H51&gt;=5),"NEW CUSTOMERS",AND(F51&gt;=6,G51&lt;=2,H51&gt;=3),"PROMISING",AND(F51&gt;=3,G51&gt;=3,H51&gt;=3),"NEED ATTENTION",AND(F51&lt;=4,G51&gt;=6,H51&gt;=6),"AT RISK",AND(F51&lt;=2,G51&gt;=8,H51&gt;=8),"CAN'T LOSE THEM",AND(F51&lt;=2,G51&lt;=2,H51&lt;=2),"HIBERNATING",TRUE(),"Other")</f>
        <v>HIBERNATING</v>
      </c>
      <c r="K51" s="1" t="n">
        <f aca="false">RANK(E51,$E$7:$E$4378)+COUNTIF($E$7:E51,E51)-1</f>
        <v>3538</v>
      </c>
    </row>
    <row r="52" customFormat="false" ht="14.25" hidden="false" customHeight="true" outlineLevel="0" collapsed="false">
      <c r="A52" s="51" t="n">
        <v>12403</v>
      </c>
      <c r="B52" s="53" t="n">
        <v>40837.4583333333</v>
      </c>
      <c r="C52" s="57" t="n">
        <f aca="false">INT($C$2)-INT(Table3[[#This Row],[Last Purchase Date]])</f>
        <v>50</v>
      </c>
      <c r="D52" s="1" t="n">
        <v>2</v>
      </c>
      <c r="E52" s="1" t="n">
        <v>409.7</v>
      </c>
      <c r="F52" s="1" t="n">
        <f aca="false">ROUND((1-_xlfn.PERCENTRANK.INC($C$7:$C$4378,C52))*9,0)</f>
        <v>5</v>
      </c>
      <c r="G52" s="1" t="n">
        <f aca="false">ROUND(_xlfn.PERCENTRANK.INC($D$7:$D$4378,D52)*9,0)</f>
        <v>3</v>
      </c>
      <c r="H52" s="1" t="n">
        <f aca="false">ROUND(_xlfn.PERCENTRANK.INC($E$7:$E$4378,E52)*9,0)</f>
        <v>3</v>
      </c>
      <c r="I52" s="1" t="str">
        <f aca="false">CONCATENATE(F52,G52,H52)</f>
        <v>533</v>
      </c>
      <c r="J52" s="1" t="str">
        <f aca="false">_xlfn.IFS(AND(F52&gt;=8,G52&gt;=8,H52&gt;=8),"CHAMPION",AND(F52&gt;=6,G52&gt;=7,H52&gt;=6),"LOYAL CUSTOMER",AND(F52&gt;=6,G52&gt;=5,H52&gt;=5),"POTENTIAL LOYALIST",AND(F52&gt;=8,G52&lt;=2,H52&gt;=5),"NEW CUSTOMERS",AND(F52&gt;=6,G52&lt;=2,H52&gt;=3),"PROMISING",AND(F52&gt;=3,G52&gt;=3,H52&gt;=3),"NEED ATTENTION",AND(F52&lt;=4,G52&gt;=6,H52&gt;=6),"AT RISK",AND(F52&lt;=2,G52&gt;=8,H52&gt;=8),"CAN'T LOSE THEM",AND(F52&lt;=2,G52&lt;=2,H52&lt;=2),"HIBERNATING",TRUE(),"Other")</f>
        <v>NEED ATTENTION</v>
      </c>
      <c r="K52" s="1" t="n">
        <f aca="false">RANK(E52,$E$7:$E$4378)+COUNTIF($E$7:E52,E52)-1</f>
        <v>2791</v>
      </c>
    </row>
    <row r="53" customFormat="false" ht="14.25" hidden="false" customHeight="true" outlineLevel="0" collapsed="false">
      <c r="A53" s="51" t="n">
        <v>12405</v>
      </c>
      <c r="B53" s="53" t="n">
        <v>40738.3694444444</v>
      </c>
      <c r="C53" s="57" t="n">
        <f aca="false">INT($C$2)-INT(Table3[[#This Row],[Last Purchase Date]])</f>
        <v>149</v>
      </c>
      <c r="D53" s="1" t="n">
        <v>1</v>
      </c>
      <c r="E53" s="1" t="n">
        <v>1710.39</v>
      </c>
      <c r="F53" s="1" t="n">
        <f aca="false">ROUND((1-_xlfn.PERCENTRANK.INC($C$7:$C$4378,C53))*9,0)</f>
        <v>2</v>
      </c>
      <c r="G53" s="1" t="n">
        <f aca="false">ROUND(_xlfn.PERCENTRANK.INC($D$7:$D$4378,D53)*9,0)</f>
        <v>0</v>
      </c>
      <c r="H53" s="1" t="n">
        <f aca="false">ROUND(_xlfn.PERCENTRANK.INC($E$7:$E$4378,E53)*9,0)</f>
        <v>7</v>
      </c>
      <c r="I53" s="1" t="str">
        <f aca="false">CONCATENATE(F53,G53,H53)</f>
        <v>207</v>
      </c>
      <c r="J53" s="1" t="str">
        <f aca="false">_xlfn.IFS(AND(F53&gt;=8,G53&gt;=8,H53&gt;=8),"CHAMPION",AND(F53&gt;=6,G53&gt;=7,H53&gt;=6),"LOYAL CUSTOMER",AND(F53&gt;=6,G53&gt;=5,H53&gt;=5),"POTENTIAL LOYALIST",AND(F53&gt;=8,G53&lt;=2,H53&gt;=5),"NEW CUSTOMERS",AND(F53&gt;=6,G53&lt;=2,H53&gt;=3),"PROMISING",AND(F53&gt;=3,G53&gt;=3,H53&gt;=3),"NEED ATTENTION",AND(F53&lt;=4,G53&gt;=6,H53&gt;=6),"AT RISK",AND(F53&lt;=2,G53&gt;=8,H53&gt;=8),"CAN'T LOSE THEM",AND(F53&lt;=2,G53&lt;=2,H53&lt;=2),"HIBERNATING",TRUE(),"Other")</f>
        <v>Other</v>
      </c>
      <c r="K53" s="1" t="n">
        <f aca="false">RANK(E53,$E$7:$E$4378)+COUNTIF($E$7:E53,E53)-1</f>
        <v>1028</v>
      </c>
    </row>
    <row r="54" customFormat="false" ht="14.25" hidden="false" customHeight="true" outlineLevel="0" collapsed="false">
      <c r="A54" s="51" t="n">
        <v>12406</v>
      </c>
      <c r="B54" s="53" t="n">
        <v>40864.8069444444</v>
      </c>
      <c r="C54" s="57" t="n">
        <f aca="false">INT($C$2)-INT(Table3[[#This Row],[Last Purchase Date]])</f>
        <v>23</v>
      </c>
      <c r="D54" s="1" t="n">
        <v>3</v>
      </c>
      <c r="E54" s="1" t="n">
        <v>3280.75</v>
      </c>
      <c r="F54" s="1" t="n">
        <f aca="false">ROUND((1-_xlfn.PERCENTRANK.INC($C$7:$C$4378,C54))*9,0)</f>
        <v>6</v>
      </c>
      <c r="G54" s="1" t="n">
        <f aca="false">ROUND(_xlfn.PERCENTRANK.INC($D$7:$D$4378,D54)*9,0)</f>
        <v>4</v>
      </c>
      <c r="H54" s="1" t="n">
        <f aca="false">ROUND(_xlfn.PERCENTRANK.INC($E$7:$E$4378,E54)*9,0)</f>
        <v>8</v>
      </c>
      <c r="I54" s="1" t="str">
        <f aca="false">CONCATENATE(F54,G54,H54)</f>
        <v>648</v>
      </c>
      <c r="J54" s="1" t="str">
        <f aca="false">_xlfn.IFS(AND(F54&gt;=8,G54&gt;=8,H54&gt;=8),"CHAMPION",AND(F54&gt;=6,G54&gt;=7,H54&gt;=6),"LOYAL CUSTOMER",AND(F54&gt;=6,G54&gt;=5,H54&gt;=5),"POTENTIAL LOYALIST",AND(F54&gt;=8,G54&lt;=2,H54&gt;=5),"NEW CUSTOMERS",AND(F54&gt;=6,G54&lt;=2,H54&gt;=3),"PROMISING",AND(F54&gt;=3,G54&gt;=3,H54&gt;=3),"NEED ATTENTION",AND(F54&lt;=4,G54&gt;=6,H54&gt;=6),"AT RISK",AND(F54&lt;=2,G54&gt;=8,H54&gt;=8),"CAN'T LOSE THEM",AND(F54&lt;=2,G54&lt;=2,H54&lt;=2),"HIBERNATING",TRUE(),"Other")</f>
        <v>NEED ATTENTION</v>
      </c>
      <c r="K54" s="1" t="n">
        <f aca="false">RANK(E54,$E$7:$E$4378)+COUNTIF($E$7:E54,E54)-1</f>
        <v>480</v>
      </c>
    </row>
    <row r="55" customFormat="false" ht="14.25" hidden="false" customHeight="true" outlineLevel="0" collapsed="false">
      <c r="A55" s="51" t="n">
        <v>12407</v>
      </c>
      <c r="B55" s="53" t="n">
        <v>40837.4243055556</v>
      </c>
      <c r="C55" s="57" t="n">
        <f aca="false">INT($C$2)-INT(Table3[[#This Row],[Last Purchase Date]])</f>
        <v>50</v>
      </c>
      <c r="D55" s="1" t="n">
        <v>5</v>
      </c>
      <c r="E55" s="1" t="n">
        <v>1708.12</v>
      </c>
      <c r="F55" s="1" t="n">
        <f aca="false">ROUND((1-_xlfn.PERCENTRANK.INC($C$7:$C$4378,C55))*9,0)</f>
        <v>5</v>
      </c>
      <c r="G55" s="1" t="n">
        <f aca="false">ROUND(_xlfn.PERCENTRANK.INC($D$7:$D$4378,D55)*9,0)</f>
        <v>6</v>
      </c>
      <c r="H55" s="1" t="n">
        <f aca="false">ROUND(_xlfn.PERCENTRANK.INC($E$7:$E$4378,E55)*9,0)</f>
        <v>7</v>
      </c>
      <c r="I55" s="1" t="str">
        <f aca="false">CONCATENATE(F55,G55,H55)</f>
        <v>567</v>
      </c>
      <c r="J55" s="1" t="str">
        <f aca="false">_xlfn.IFS(AND(F55&gt;=8,G55&gt;=8,H55&gt;=8),"CHAMPION",AND(F55&gt;=6,G55&gt;=7,H55&gt;=6),"LOYAL CUSTOMER",AND(F55&gt;=6,G55&gt;=5,H55&gt;=5),"POTENTIAL LOYALIST",AND(F55&gt;=8,G55&lt;=2,H55&gt;=5),"NEW CUSTOMERS",AND(F55&gt;=6,G55&lt;=2,H55&gt;=3),"PROMISING",AND(F55&gt;=3,G55&gt;=3,H55&gt;=3),"NEED ATTENTION",AND(F55&lt;=4,G55&gt;=6,H55&gt;=6),"AT RISK",AND(F55&lt;=2,G55&gt;=8,H55&gt;=8),"CAN'T LOSE THEM",AND(F55&lt;=2,G55&lt;=2,H55&lt;=2),"HIBERNATING",TRUE(),"Other")</f>
        <v>NEED ATTENTION</v>
      </c>
      <c r="K55" s="1" t="n">
        <f aca="false">RANK(E55,$E$7:$E$4378)+COUNTIF($E$7:E55,E55)-1</f>
        <v>1031</v>
      </c>
    </row>
    <row r="56" customFormat="false" ht="14.25" hidden="false" customHeight="true" outlineLevel="0" collapsed="false">
      <c r="A56" s="51" t="n">
        <v>12408</v>
      </c>
      <c r="B56" s="53" t="n">
        <v>40854.5208333333</v>
      </c>
      <c r="C56" s="57" t="n">
        <f aca="false">INT($C$2)-INT(Table3[[#This Row],[Last Purchase Date]])</f>
        <v>33</v>
      </c>
      <c r="D56" s="1" t="n">
        <v>9</v>
      </c>
      <c r="E56" s="1" t="n">
        <v>2842.57</v>
      </c>
      <c r="F56" s="1" t="n">
        <f aca="false">ROUND((1-_xlfn.PERCENTRANK.INC($C$7:$C$4378,C56))*9,0)</f>
        <v>5</v>
      </c>
      <c r="G56" s="1" t="n">
        <f aca="false">ROUND(_xlfn.PERCENTRANK.INC($D$7:$D$4378,D56)*9,0)</f>
        <v>8</v>
      </c>
      <c r="H56" s="1" t="n">
        <f aca="false">ROUND(_xlfn.PERCENTRANK.INC($E$7:$E$4378,E56)*9,0)</f>
        <v>8</v>
      </c>
      <c r="I56" s="1" t="str">
        <f aca="false">CONCATENATE(F56,G56,H56)</f>
        <v>588</v>
      </c>
      <c r="J56" s="1" t="str">
        <f aca="false">_xlfn.IFS(AND(F56&gt;=8,G56&gt;=8,H56&gt;=8),"CHAMPION",AND(F56&gt;=6,G56&gt;=7,H56&gt;=6),"LOYAL CUSTOMER",AND(F56&gt;=6,G56&gt;=5,H56&gt;=5),"POTENTIAL LOYALIST",AND(F56&gt;=8,G56&lt;=2,H56&gt;=5),"NEW CUSTOMERS",AND(F56&gt;=6,G56&lt;=2,H56&gt;=3),"PROMISING",AND(F56&gt;=3,G56&gt;=3,H56&gt;=3),"NEED ATTENTION",AND(F56&lt;=4,G56&gt;=6,H56&gt;=6),"AT RISK",AND(F56&lt;=2,G56&gt;=8,H56&gt;=8),"CAN'T LOSE THEM",AND(F56&lt;=2,G56&lt;=2,H56&lt;=2),"HIBERNATING",TRUE(),"Other")</f>
        <v>NEED ATTENTION</v>
      </c>
      <c r="K56" s="1" t="n">
        <f aca="false">RANK(E56,$E$7:$E$4378)+COUNTIF($E$7:E56,E56)-1</f>
        <v>575</v>
      </c>
    </row>
    <row r="57" customFormat="false" ht="14.25" hidden="false" customHeight="true" outlineLevel="0" collapsed="false">
      <c r="A57" s="51" t="n">
        <v>12409</v>
      </c>
      <c r="B57" s="53" t="n">
        <v>40808.4430555556</v>
      </c>
      <c r="C57" s="57" t="n">
        <f aca="false">INT($C$2)-INT(Table3[[#This Row],[Last Purchase Date]])</f>
        <v>79</v>
      </c>
      <c r="D57" s="1" t="n">
        <v>7</v>
      </c>
      <c r="E57" s="1" t="n">
        <v>11056.93</v>
      </c>
      <c r="F57" s="1" t="n">
        <f aca="false">ROUND((1-_xlfn.PERCENTRANK.INC($C$7:$C$4378,C57))*9,0)</f>
        <v>3</v>
      </c>
      <c r="G57" s="1" t="n">
        <f aca="false">ROUND(_xlfn.PERCENTRANK.INC($D$7:$D$4378,D57)*9,0)</f>
        <v>7</v>
      </c>
      <c r="H57" s="1" t="n">
        <f aca="false">ROUND(_xlfn.PERCENTRANK.INC($E$7:$E$4378,E57)*9,0)</f>
        <v>9</v>
      </c>
      <c r="I57" s="1" t="str">
        <f aca="false">CONCATENATE(F57,G57,H57)</f>
        <v>379</v>
      </c>
      <c r="J57" s="1" t="str">
        <f aca="false">_xlfn.IFS(AND(F57&gt;=8,G57&gt;=8,H57&gt;=8),"CHAMPION",AND(F57&gt;=6,G57&gt;=7,H57&gt;=6),"LOYAL CUSTOMER",AND(F57&gt;=6,G57&gt;=5,H57&gt;=5),"POTENTIAL LOYALIST",AND(F57&gt;=8,G57&lt;=2,H57&gt;=5),"NEW CUSTOMERS",AND(F57&gt;=6,G57&lt;=2,H57&gt;=3),"PROMISING",AND(F57&gt;=3,G57&gt;=3,H57&gt;=3),"NEED ATTENTION",AND(F57&lt;=4,G57&gt;=6,H57&gt;=6),"AT RISK",AND(F57&lt;=2,G57&gt;=8,H57&gt;=8),"CAN'T LOSE THEM",AND(F57&lt;=2,G57&lt;=2,H57&lt;=2),"HIBERNATING",TRUE(),"Other")</f>
        <v>NEED ATTENTION</v>
      </c>
      <c r="K57" s="1" t="n">
        <f aca="false">RANK(E57,$E$7:$E$4378)+COUNTIF($E$7:E57,E57)-1</f>
        <v>80</v>
      </c>
    </row>
    <row r="58" customFormat="false" ht="14.25" hidden="false" customHeight="true" outlineLevel="0" collapsed="false">
      <c r="A58" s="51" t="n">
        <v>12410</v>
      </c>
      <c r="B58" s="53" t="n">
        <v>40585.6576388889</v>
      </c>
      <c r="C58" s="57" t="n">
        <f aca="false">INT($C$2)-INT(Table3[[#This Row],[Last Purchase Date]])</f>
        <v>302</v>
      </c>
      <c r="D58" s="1" t="n">
        <v>3</v>
      </c>
      <c r="E58" s="1" t="n">
        <v>681.08</v>
      </c>
      <c r="F58" s="1" t="n">
        <f aca="false">ROUND((1-_xlfn.PERCENTRANK.INC($C$7:$C$4378,C58))*9,0)</f>
        <v>1</v>
      </c>
      <c r="G58" s="1" t="n">
        <f aca="false">ROUND(_xlfn.PERCENTRANK.INC($D$7:$D$4378,D58)*9,0)</f>
        <v>4</v>
      </c>
      <c r="H58" s="1" t="n">
        <f aca="false">ROUND(_xlfn.PERCENTRANK.INC($E$7:$E$4378,E58)*9,0)</f>
        <v>5</v>
      </c>
      <c r="I58" s="1" t="str">
        <f aca="false">CONCATENATE(F58,G58,H58)</f>
        <v>145</v>
      </c>
      <c r="J58" s="1" t="str">
        <f aca="false">_xlfn.IFS(AND(F58&gt;=8,G58&gt;=8,H58&gt;=8),"CHAMPION",AND(F58&gt;=6,G58&gt;=7,H58&gt;=6),"LOYAL CUSTOMER",AND(F58&gt;=6,G58&gt;=5,H58&gt;=5),"POTENTIAL LOYALIST",AND(F58&gt;=8,G58&lt;=2,H58&gt;=5),"NEW CUSTOMERS",AND(F58&gt;=6,G58&lt;=2,H58&gt;=3),"PROMISING",AND(F58&gt;=3,G58&gt;=3,H58&gt;=3),"NEED ATTENTION",AND(F58&lt;=4,G58&gt;=6,H58&gt;=6),"AT RISK",AND(F58&lt;=2,G58&gt;=8,H58&gt;=8),"CAN'T LOSE THEM",AND(F58&lt;=2,G58&lt;=2,H58&lt;=2),"HIBERNATING",TRUE(),"Other")</f>
        <v>Other</v>
      </c>
      <c r="K58" s="1" t="n">
        <f aca="false">RANK(E58,$E$7:$E$4378)+COUNTIF($E$7:E58,E58)-1</f>
        <v>2101</v>
      </c>
    </row>
    <row r="59" customFormat="false" ht="14.25" hidden="false" customHeight="true" outlineLevel="0" collapsed="false">
      <c r="A59" s="51" t="n">
        <v>12412</v>
      </c>
      <c r="B59" s="53" t="n">
        <v>40812.4277777778</v>
      </c>
      <c r="C59" s="57" t="n">
        <f aca="false">INT($C$2)-INT(Table3[[#This Row],[Last Purchase Date]])</f>
        <v>75</v>
      </c>
      <c r="D59" s="1" t="n">
        <v>3</v>
      </c>
      <c r="E59" s="1" t="n">
        <v>1226.88</v>
      </c>
      <c r="F59" s="1" t="n">
        <f aca="false">ROUND((1-_xlfn.PERCENTRANK.INC($C$7:$C$4378,C59))*9,0)</f>
        <v>3</v>
      </c>
      <c r="G59" s="1" t="n">
        <f aca="false">ROUND(_xlfn.PERCENTRANK.INC($D$7:$D$4378,D59)*9,0)</f>
        <v>4</v>
      </c>
      <c r="H59" s="1" t="n">
        <f aca="false">ROUND(_xlfn.PERCENTRANK.INC($E$7:$E$4378,E59)*9,0)</f>
        <v>6</v>
      </c>
      <c r="I59" s="1" t="str">
        <f aca="false">CONCATENATE(F59,G59,H59)</f>
        <v>346</v>
      </c>
      <c r="J59" s="1" t="str">
        <f aca="false">_xlfn.IFS(AND(F59&gt;=8,G59&gt;=8,H59&gt;=8),"CHAMPION",AND(F59&gt;=6,G59&gt;=7,H59&gt;=6),"LOYAL CUSTOMER",AND(F59&gt;=6,G59&gt;=5,H59&gt;=5),"POTENTIAL LOYALIST",AND(F59&gt;=8,G59&lt;=2,H59&gt;=5),"NEW CUSTOMERS",AND(F59&gt;=6,G59&lt;=2,H59&gt;=3),"PROMISING",AND(F59&gt;=3,G59&gt;=3,H59&gt;=3),"NEED ATTENTION",AND(F59&lt;=4,G59&gt;=6,H59&gt;=6),"AT RISK",AND(F59&lt;=2,G59&gt;=8,H59&gt;=8),"CAN'T LOSE THEM",AND(F59&lt;=2,G59&lt;=2,H59&lt;=2),"HIBERNATING",TRUE(),"Other")</f>
        <v>NEED ATTENTION</v>
      </c>
      <c r="K59" s="1" t="n">
        <f aca="false">RANK(E59,$E$7:$E$4378)+COUNTIF($E$7:E59,E59)-1</f>
        <v>1396</v>
      </c>
    </row>
    <row r="60" customFormat="false" ht="14.25" hidden="false" customHeight="true" outlineLevel="0" collapsed="false">
      <c r="A60" s="51" t="n">
        <v>12413</v>
      </c>
      <c r="B60" s="53" t="n">
        <v>40820.375</v>
      </c>
      <c r="C60" s="57" t="n">
        <f aca="false">INT($C$2)-INT(Table3[[#This Row],[Last Purchase Date]])</f>
        <v>67</v>
      </c>
      <c r="D60" s="1" t="n">
        <v>5</v>
      </c>
      <c r="E60" s="1" t="n">
        <v>694.15</v>
      </c>
      <c r="F60" s="1" t="n">
        <f aca="false">ROUND((1-_xlfn.PERCENTRANK.INC($C$7:$C$4378,C60))*9,0)</f>
        <v>4</v>
      </c>
      <c r="G60" s="1" t="n">
        <f aca="false">ROUND(_xlfn.PERCENTRANK.INC($D$7:$D$4378,D60)*9,0)</f>
        <v>6</v>
      </c>
      <c r="H60" s="1" t="n">
        <f aca="false">ROUND(_xlfn.PERCENTRANK.INC($E$7:$E$4378,E60)*9,0)</f>
        <v>5</v>
      </c>
      <c r="I60" s="1" t="str">
        <f aca="false">CONCATENATE(F60,G60,H60)</f>
        <v>465</v>
      </c>
      <c r="J60" s="1" t="str">
        <f aca="false">_xlfn.IFS(AND(F60&gt;=8,G60&gt;=8,H60&gt;=8),"CHAMPION",AND(F60&gt;=6,G60&gt;=7,H60&gt;=6),"LOYAL CUSTOMER",AND(F60&gt;=6,G60&gt;=5,H60&gt;=5),"POTENTIAL LOYALIST",AND(F60&gt;=8,G60&lt;=2,H60&gt;=5),"NEW CUSTOMERS",AND(F60&gt;=6,G60&lt;=2,H60&gt;=3),"PROMISING",AND(F60&gt;=3,G60&gt;=3,H60&gt;=3),"NEED ATTENTION",AND(F60&lt;=4,G60&gt;=6,H60&gt;=6),"AT RISK",AND(F60&lt;=2,G60&gt;=8,H60&gt;=8),"CAN'T LOSE THEM",AND(F60&lt;=2,G60&lt;=2,H60&lt;=2),"HIBERNATING",TRUE(),"Other")</f>
        <v>NEED ATTENTION</v>
      </c>
      <c r="K60" s="1" t="n">
        <f aca="false">RANK(E60,$E$7:$E$4378)+COUNTIF($E$7:E60,E60)-1</f>
        <v>2074</v>
      </c>
    </row>
    <row r="61" customFormat="false" ht="14.25" hidden="false" customHeight="true" outlineLevel="0" collapsed="false">
      <c r="A61" s="51" t="n">
        <v>12414</v>
      </c>
      <c r="B61" s="53" t="n">
        <v>40669.61875</v>
      </c>
      <c r="C61" s="57" t="n">
        <f aca="false">INT($C$2)-INT(Table3[[#This Row],[Last Purchase Date]])</f>
        <v>218</v>
      </c>
      <c r="D61" s="1" t="n">
        <v>3</v>
      </c>
      <c r="E61" s="1" t="n">
        <v>562.41</v>
      </c>
      <c r="F61" s="1" t="n">
        <f aca="false">ROUND((1-_xlfn.PERCENTRANK.INC($C$7:$C$4378,C61))*9,0)</f>
        <v>1</v>
      </c>
      <c r="G61" s="1" t="n">
        <f aca="false">ROUND(_xlfn.PERCENTRANK.INC($D$7:$D$4378,D61)*9,0)</f>
        <v>4</v>
      </c>
      <c r="H61" s="1" t="n">
        <f aca="false">ROUND(_xlfn.PERCENTRANK.INC($E$7:$E$4378,E61)*9,0)</f>
        <v>4</v>
      </c>
      <c r="I61" s="1" t="str">
        <f aca="false">CONCATENATE(F61,G61,H61)</f>
        <v>144</v>
      </c>
      <c r="J61" s="1" t="str">
        <f aca="false">_xlfn.IFS(AND(F61&gt;=8,G61&gt;=8,H61&gt;=8),"CHAMPION",AND(F61&gt;=6,G61&gt;=7,H61&gt;=6),"LOYAL CUSTOMER",AND(F61&gt;=6,G61&gt;=5,H61&gt;=5),"POTENTIAL LOYALIST",AND(F61&gt;=8,G61&lt;=2,H61&gt;=5),"NEW CUSTOMERS",AND(F61&gt;=6,G61&lt;=2,H61&gt;=3),"PROMISING",AND(F61&gt;=3,G61&gt;=3,H61&gt;=3),"NEED ATTENTION",AND(F61&lt;=4,G61&gt;=6,H61&gt;=6),"AT RISK",AND(F61&lt;=2,G61&gt;=8,H61&gt;=8),"CAN'T LOSE THEM",AND(F61&lt;=2,G61&lt;=2,H61&lt;=2),"HIBERNATING",TRUE(),"Other")</f>
        <v>Other</v>
      </c>
      <c r="K61" s="1" t="n">
        <f aca="false">RANK(E61,$E$7:$E$4378)+COUNTIF($E$7:E61,E61)-1</f>
        <v>2403</v>
      </c>
    </row>
    <row r="62" customFormat="false" ht="14.25" hidden="false" customHeight="true" outlineLevel="0" collapsed="false">
      <c r="A62" s="51" t="n">
        <v>12415</v>
      </c>
      <c r="B62" s="53" t="n">
        <v>40862.5986111111</v>
      </c>
      <c r="C62" s="57" t="n">
        <f aca="false">INT($C$2)-INT(Table3[[#This Row],[Last Purchase Date]])</f>
        <v>25</v>
      </c>
      <c r="D62" s="1" t="n">
        <v>26</v>
      </c>
      <c r="E62" s="1" t="n">
        <v>123725.45</v>
      </c>
      <c r="F62" s="1" t="n">
        <f aca="false">ROUND((1-_xlfn.PERCENTRANK.INC($C$7:$C$4378,C62))*9,0)</f>
        <v>6</v>
      </c>
      <c r="G62" s="1" t="n">
        <f aca="false">ROUND(_xlfn.PERCENTRANK.INC($D$7:$D$4378,D62)*9,0)</f>
        <v>9</v>
      </c>
      <c r="H62" s="1" t="n">
        <f aca="false">ROUND(_xlfn.PERCENTRANK.INC($E$7:$E$4378,E62)*9,0)</f>
        <v>9</v>
      </c>
      <c r="I62" s="1" t="str">
        <f aca="false">CONCATENATE(F62,G62,H62)</f>
        <v>699</v>
      </c>
      <c r="J62" s="1" t="str">
        <f aca="false">_xlfn.IFS(AND(F62&gt;=8,G62&gt;=8,H62&gt;=8),"CHAMPION",AND(F62&gt;=6,G62&gt;=7,H62&gt;=6),"LOYAL CUSTOMER",AND(F62&gt;=6,G62&gt;=5,H62&gt;=5),"POTENTIAL LOYALIST",AND(F62&gt;=8,G62&lt;=2,H62&gt;=5),"NEW CUSTOMERS",AND(F62&gt;=6,G62&lt;=2,H62&gt;=3),"PROMISING",AND(F62&gt;=3,G62&gt;=3,H62&gt;=3),"NEED ATTENTION",AND(F62&lt;=4,G62&gt;=6,H62&gt;=6),"AT RISK",AND(F62&lt;=2,G62&gt;=8,H62&gt;=8),"CAN'T LOSE THEM",AND(F62&lt;=2,G62&lt;=2,H62&lt;=2),"HIBERNATING",TRUE(),"Other")</f>
        <v>LOYAL CUSTOMER</v>
      </c>
      <c r="K62" s="1" t="n">
        <f aca="false">RANK(E62,$E$7:$E$4378)+COUNTIF($E$7:E62,E62)-1</f>
        <v>5</v>
      </c>
    </row>
    <row r="63" customFormat="false" ht="14.25" hidden="false" customHeight="true" outlineLevel="0" collapsed="false">
      <c r="A63" s="51" t="n">
        <v>12417</v>
      </c>
      <c r="B63" s="53" t="n">
        <v>40883.6194444444</v>
      </c>
      <c r="C63" s="57" t="n">
        <f aca="false">INT($C$2)-INT(Table3[[#This Row],[Last Purchase Date]])</f>
        <v>4</v>
      </c>
      <c r="D63" s="1" t="n">
        <v>12</v>
      </c>
      <c r="E63" s="1" t="n">
        <v>3578.8</v>
      </c>
      <c r="F63" s="1" t="n">
        <f aca="false">ROUND((1-_xlfn.PERCENTRANK.INC($C$7:$C$4378,C63))*9,0)</f>
        <v>8</v>
      </c>
      <c r="G63" s="1" t="n">
        <f aca="false">ROUND(_xlfn.PERCENTRANK.INC($D$7:$D$4378,D63)*9,0)</f>
        <v>8</v>
      </c>
      <c r="H63" s="1" t="n">
        <f aca="false">ROUND(_xlfn.PERCENTRANK.INC($E$7:$E$4378,E63)*9,0)</f>
        <v>8</v>
      </c>
      <c r="I63" s="1" t="str">
        <f aca="false">CONCATENATE(F63,G63,H63)</f>
        <v>888</v>
      </c>
      <c r="J63" s="1" t="str">
        <f aca="false">_xlfn.IFS(AND(F63&gt;=8,G63&gt;=8,H63&gt;=8),"CHAMPION",AND(F63&gt;=6,G63&gt;=7,H63&gt;=6),"LOYAL CUSTOMER",AND(F63&gt;=6,G63&gt;=5,H63&gt;=5),"POTENTIAL LOYALIST",AND(F63&gt;=8,G63&lt;=2,H63&gt;=5),"NEW CUSTOMERS",AND(F63&gt;=6,G63&lt;=2,H63&gt;=3),"PROMISING",AND(F63&gt;=3,G63&gt;=3,H63&gt;=3),"NEED ATTENTION",AND(F63&lt;=4,G63&gt;=6,H63&gt;=6),"AT RISK",AND(F63&lt;=2,G63&gt;=8,H63&gt;=8),"CAN'T LOSE THEM",AND(F63&lt;=2,G63&lt;=2,H63&lt;=2),"HIBERNATING",TRUE(),"Other")</f>
        <v>CHAMPION</v>
      </c>
      <c r="K63" s="1" t="n">
        <f aca="false">RANK(E63,$E$7:$E$4378)+COUNTIF($E$7:E63,E63)-1</f>
        <v>424</v>
      </c>
    </row>
    <row r="64" customFormat="false" ht="14.25" hidden="false" customHeight="true" outlineLevel="0" collapsed="false">
      <c r="A64" s="51" t="n">
        <v>12418</v>
      </c>
      <c r="B64" s="53" t="n">
        <v>40774.4638888889</v>
      </c>
      <c r="C64" s="57" t="n">
        <f aca="false">INT($C$2)-INT(Table3[[#This Row],[Last Purchase Date]])</f>
        <v>113</v>
      </c>
      <c r="D64" s="1" t="n">
        <v>1</v>
      </c>
      <c r="E64" s="1" t="n">
        <v>668.58</v>
      </c>
      <c r="F64" s="1" t="n">
        <f aca="false">ROUND((1-_xlfn.PERCENTRANK.INC($C$7:$C$4378,C64))*9,0)</f>
        <v>3</v>
      </c>
      <c r="G64" s="1" t="n">
        <f aca="false">ROUND(_xlfn.PERCENTRANK.INC($D$7:$D$4378,D64)*9,0)</f>
        <v>0</v>
      </c>
      <c r="H64" s="1" t="n">
        <f aca="false">ROUND(_xlfn.PERCENTRANK.INC($E$7:$E$4378,E64)*9,0)</f>
        <v>5</v>
      </c>
      <c r="I64" s="1" t="str">
        <f aca="false">CONCATENATE(F64,G64,H64)</f>
        <v>305</v>
      </c>
      <c r="J64" s="1" t="str">
        <f aca="false">_xlfn.IFS(AND(F64&gt;=8,G64&gt;=8,H64&gt;=8),"CHAMPION",AND(F64&gt;=6,G64&gt;=7,H64&gt;=6),"LOYAL CUSTOMER",AND(F64&gt;=6,G64&gt;=5,H64&gt;=5),"POTENTIAL LOYALIST",AND(F64&gt;=8,G64&lt;=2,H64&gt;=5),"NEW CUSTOMERS",AND(F64&gt;=6,G64&lt;=2,H64&gt;=3),"PROMISING",AND(F64&gt;=3,G64&gt;=3,H64&gt;=3),"NEED ATTENTION",AND(F64&lt;=4,G64&gt;=6,H64&gt;=6),"AT RISK",AND(F64&lt;=2,G64&gt;=8,H64&gt;=8),"CAN'T LOSE THEM",AND(F64&lt;=2,G64&lt;=2,H64&lt;=2),"HIBERNATING",TRUE(),"Other")</f>
        <v>Other</v>
      </c>
      <c r="K64" s="1" t="n">
        <f aca="false">RANK(E64,$E$7:$E$4378)+COUNTIF($E$7:E64,E64)-1</f>
        <v>2131</v>
      </c>
    </row>
    <row r="65" customFormat="false" ht="14.25" hidden="false" customHeight="true" outlineLevel="0" collapsed="false">
      <c r="A65" s="51" t="n">
        <v>12420</v>
      </c>
      <c r="B65" s="53" t="n">
        <v>40823.3715277778</v>
      </c>
      <c r="C65" s="57" t="n">
        <f aca="false">INT($C$2)-INT(Table3[[#This Row],[Last Purchase Date]])</f>
        <v>64</v>
      </c>
      <c r="D65" s="1" t="n">
        <v>1</v>
      </c>
      <c r="E65" s="1" t="n">
        <v>600.39</v>
      </c>
      <c r="F65" s="1" t="n">
        <f aca="false">ROUND((1-_xlfn.PERCENTRANK.INC($C$7:$C$4378,C65))*9,0)</f>
        <v>4</v>
      </c>
      <c r="G65" s="1" t="n">
        <f aca="false">ROUND(_xlfn.PERCENTRANK.INC($D$7:$D$4378,D65)*9,0)</f>
        <v>0</v>
      </c>
      <c r="H65" s="1" t="n">
        <f aca="false">ROUND(_xlfn.PERCENTRANK.INC($E$7:$E$4378,E65)*9,0)</f>
        <v>4</v>
      </c>
      <c r="I65" s="1" t="str">
        <f aca="false">CONCATENATE(F65,G65,H65)</f>
        <v>404</v>
      </c>
      <c r="J65" s="1" t="str">
        <f aca="false">_xlfn.IFS(AND(F65&gt;=8,G65&gt;=8,H65&gt;=8),"CHAMPION",AND(F65&gt;=6,G65&gt;=7,H65&gt;=6),"LOYAL CUSTOMER",AND(F65&gt;=6,G65&gt;=5,H65&gt;=5),"POTENTIAL LOYALIST",AND(F65&gt;=8,G65&lt;=2,H65&gt;=5),"NEW CUSTOMERS",AND(F65&gt;=6,G65&lt;=2,H65&gt;=3),"PROMISING",AND(F65&gt;=3,G65&gt;=3,H65&gt;=3),"NEED ATTENTION",AND(F65&lt;=4,G65&gt;=6,H65&gt;=6),"AT RISK",AND(F65&lt;=2,G65&gt;=8,H65&gt;=8),"CAN'T LOSE THEM",AND(F65&lt;=2,G65&lt;=2,H65&lt;=2),"HIBERNATING",TRUE(),"Other")</f>
        <v>Other</v>
      </c>
      <c r="K65" s="1" t="n">
        <f aca="false">RANK(E65,$E$7:$E$4378)+COUNTIF($E$7:E65,E65)-1</f>
        <v>2315</v>
      </c>
    </row>
    <row r="66" customFormat="false" ht="14.25" hidden="false" customHeight="true" outlineLevel="0" collapsed="false">
      <c r="A66" s="51" t="n">
        <v>12421</v>
      </c>
      <c r="B66" s="53" t="n">
        <v>40871.3798611111</v>
      </c>
      <c r="C66" s="57" t="n">
        <f aca="false">INT($C$2)-INT(Table3[[#This Row],[Last Purchase Date]])</f>
        <v>16</v>
      </c>
      <c r="D66" s="1" t="n">
        <v>5</v>
      </c>
      <c r="E66" s="1" t="n">
        <v>806.27</v>
      </c>
      <c r="F66" s="1" t="n">
        <f aca="false">ROUND((1-_xlfn.PERCENTRANK.INC($C$7:$C$4378,C66))*9,0)</f>
        <v>7</v>
      </c>
      <c r="G66" s="1" t="n">
        <f aca="false">ROUND(_xlfn.PERCENTRANK.INC($D$7:$D$4378,D66)*9,0)</f>
        <v>6</v>
      </c>
      <c r="H66" s="1" t="n">
        <f aca="false">ROUND(_xlfn.PERCENTRANK.INC($E$7:$E$4378,E66)*9,0)</f>
        <v>5</v>
      </c>
      <c r="I66" s="1" t="str">
        <f aca="false">CONCATENATE(F66,G66,H66)</f>
        <v>765</v>
      </c>
      <c r="J66" s="1" t="str">
        <f aca="false">_xlfn.IFS(AND(F66&gt;=8,G66&gt;=8,H66&gt;=8),"CHAMPION",AND(F66&gt;=6,G66&gt;=7,H66&gt;=6),"LOYAL CUSTOMER",AND(F66&gt;=6,G66&gt;=5,H66&gt;=5),"POTENTIAL LOYALIST",AND(F66&gt;=8,G66&lt;=2,H66&gt;=5),"NEW CUSTOMERS",AND(F66&gt;=6,G66&lt;=2,H66&gt;=3),"PROMISING",AND(F66&gt;=3,G66&gt;=3,H66&gt;=3),"NEED ATTENTION",AND(F66&lt;=4,G66&gt;=6,H66&gt;=6),"AT RISK",AND(F66&lt;=2,G66&gt;=8,H66&gt;=8),"CAN'T LOSE THEM",AND(F66&lt;=2,G66&lt;=2,H66&lt;=2),"HIBERNATING",TRUE(),"Other")</f>
        <v>POTENTIAL LOYALIST</v>
      </c>
      <c r="K66" s="1" t="n">
        <f aca="false">RANK(E66,$E$7:$E$4378)+COUNTIF($E$7:E66,E66)-1</f>
        <v>1890</v>
      </c>
    </row>
    <row r="67" customFormat="false" ht="14.25" hidden="false" customHeight="true" outlineLevel="0" collapsed="false">
      <c r="A67" s="51" t="n">
        <v>12422</v>
      </c>
      <c r="B67" s="53" t="n">
        <v>40791.4083333333</v>
      </c>
      <c r="C67" s="57" t="n">
        <f aca="false">INT($C$2)-INT(Table3[[#This Row],[Last Purchase Date]])</f>
        <v>96</v>
      </c>
      <c r="D67" s="1" t="n">
        <v>3</v>
      </c>
      <c r="E67" s="1" t="n">
        <v>803.56</v>
      </c>
      <c r="F67" s="1" t="n">
        <f aca="false">ROUND((1-_xlfn.PERCENTRANK.INC($C$7:$C$4378,C67))*9,0)</f>
        <v>3</v>
      </c>
      <c r="G67" s="1" t="n">
        <f aca="false">ROUND(_xlfn.PERCENTRANK.INC($D$7:$D$4378,D67)*9,0)</f>
        <v>4</v>
      </c>
      <c r="H67" s="1" t="n">
        <f aca="false">ROUND(_xlfn.PERCENTRANK.INC($E$7:$E$4378,E67)*9,0)</f>
        <v>5</v>
      </c>
      <c r="I67" s="1" t="str">
        <f aca="false">CONCATENATE(F67,G67,H67)</f>
        <v>345</v>
      </c>
      <c r="J67" s="1" t="str">
        <f aca="false">_xlfn.IFS(AND(F67&gt;=8,G67&gt;=8,H67&gt;=8),"CHAMPION",AND(F67&gt;=6,G67&gt;=7,H67&gt;=6),"LOYAL CUSTOMER",AND(F67&gt;=6,G67&gt;=5,H67&gt;=5),"POTENTIAL LOYALIST",AND(F67&gt;=8,G67&lt;=2,H67&gt;=5),"NEW CUSTOMERS",AND(F67&gt;=6,G67&lt;=2,H67&gt;=3),"PROMISING",AND(F67&gt;=3,G67&gt;=3,H67&gt;=3),"NEED ATTENTION",AND(F67&lt;=4,G67&gt;=6,H67&gt;=6),"AT RISK",AND(F67&lt;=2,G67&gt;=8,H67&gt;=8),"CAN'T LOSE THEM",AND(F67&lt;=2,G67&lt;=2,H67&lt;=2),"HIBERNATING",TRUE(),"Other")</f>
        <v>NEED ATTENTION</v>
      </c>
      <c r="K67" s="1" t="n">
        <f aca="false">RANK(E67,$E$7:$E$4378)+COUNTIF($E$7:E67,E67)-1</f>
        <v>1894</v>
      </c>
    </row>
    <row r="68" customFormat="false" ht="14.25" hidden="false" customHeight="true" outlineLevel="0" collapsed="false">
      <c r="A68" s="51" t="n">
        <v>12423</v>
      </c>
      <c r="B68" s="53" t="n">
        <v>40886.4236111111</v>
      </c>
      <c r="C68" s="57" t="n">
        <f aca="false">INT($C$2)-INT(Table3[[#This Row],[Last Purchase Date]])</f>
        <v>1</v>
      </c>
      <c r="D68" s="1" t="n">
        <v>9</v>
      </c>
      <c r="E68" s="1" t="n">
        <v>1849.11</v>
      </c>
      <c r="F68" s="1" t="n">
        <f aca="false">ROUND((1-_xlfn.PERCENTRANK.INC($C$7:$C$4378,C68))*9,0)</f>
        <v>9</v>
      </c>
      <c r="G68" s="1" t="n">
        <f aca="false">ROUND(_xlfn.PERCENTRANK.INC($D$7:$D$4378,D68)*9,0)</f>
        <v>8</v>
      </c>
      <c r="H68" s="1" t="n">
        <f aca="false">ROUND(_xlfn.PERCENTRANK.INC($E$7:$E$4378,E68)*9,0)</f>
        <v>7</v>
      </c>
      <c r="I68" s="1" t="str">
        <f aca="false">CONCATENATE(F68,G68,H68)</f>
        <v>987</v>
      </c>
      <c r="J68" s="1" t="str">
        <f aca="false">_xlfn.IFS(AND(F68&gt;=8,G68&gt;=8,H68&gt;=8),"CHAMPION",AND(F68&gt;=6,G68&gt;=7,H68&gt;=6),"LOYAL CUSTOMER",AND(F68&gt;=6,G68&gt;=5,H68&gt;=5),"POTENTIAL LOYALIST",AND(F68&gt;=8,G68&lt;=2,H68&gt;=5),"NEW CUSTOMERS",AND(F68&gt;=6,G68&lt;=2,H68&gt;=3),"PROMISING",AND(F68&gt;=3,G68&gt;=3,H68&gt;=3),"NEED ATTENTION",AND(F68&lt;=4,G68&gt;=6,H68&gt;=6),"AT RISK",AND(F68&lt;=2,G68&gt;=8,H68&gt;=8),"CAN'T LOSE THEM",AND(F68&lt;=2,G68&lt;=2,H68&lt;=2),"HIBERNATING",TRUE(),"Other")</f>
        <v>LOYAL CUSTOMER</v>
      </c>
      <c r="K68" s="1" t="n">
        <f aca="false">RANK(E68,$E$7:$E$4378)+COUNTIF($E$7:E68,E68)-1</f>
        <v>945</v>
      </c>
    </row>
    <row r="69" customFormat="false" ht="14.25" hidden="false" customHeight="true" outlineLevel="0" collapsed="false">
      <c r="A69" s="51" t="n">
        <v>12424</v>
      </c>
      <c r="B69" s="53" t="n">
        <v>40724.5041666667</v>
      </c>
      <c r="C69" s="57" t="n">
        <f aca="false">INT($C$2)-INT(Table3[[#This Row],[Last Purchase Date]])</f>
        <v>163</v>
      </c>
      <c r="D69" s="1" t="n">
        <v>2</v>
      </c>
      <c r="E69" s="1" t="n">
        <v>1760.96</v>
      </c>
      <c r="F69" s="1" t="n">
        <f aca="false">ROUND((1-_xlfn.PERCENTRANK.INC($C$7:$C$4378,C69))*9,0)</f>
        <v>2</v>
      </c>
      <c r="G69" s="1" t="n">
        <f aca="false">ROUND(_xlfn.PERCENTRANK.INC($D$7:$D$4378,D69)*9,0)</f>
        <v>3</v>
      </c>
      <c r="H69" s="1" t="n">
        <f aca="false">ROUND(_xlfn.PERCENTRANK.INC($E$7:$E$4378,E69)*9,0)</f>
        <v>7</v>
      </c>
      <c r="I69" s="1" t="str">
        <f aca="false">CONCATENATE(F69,G69,H69)</f>
        <v>237</v>
      </c>
      <c r="J69" s="1" t="str">
        <f aca="false">_xlfn.IFS(AND(F69&gt;=8,G69&gt;=8,H69&gt;=8),"CHAMPION",AND(F69&gt;=6,G69&gt;=7,H69&gt;=6),"LOYAL CUSTOMER",AND(F69&gt;=6,G69&gt;=5,H69&gt;=5),"POTENTIAL LOYALIST",AND(F69&gt;=8,G69&lt;=2,H69&gt;=5),"NEW CUSTOMERS",AND(F69&gt;=6,G69&lt;=2,H69&gt;=3),"PROMISING",AND(F69&gt;=3,G69&gt;=3,H69&gt;=3),"NEED ATTENTION",AND(F69&lt;=4,G69&gt;=6,H69&gt;=6),"AT RISK",AND(F69&lt;=2,G69&gt;=8,H69&gt;=8),"CAN'T LOSE THEM",AND(F69&lt;=2,G69&lt;=2,H69&lt;=2),"HIBERNATING",TRUE(),"Other")</f>
        <v>Other</v>
      </c>
      <c r="K69" s="1" t="n">
        <f aca="false">RANK(E69,$E$7:$E$4378)+COUNTIF($E$7:E69,E69)-1</f>
        <v>1004</v>
      </c>
    </row>
    <row r="70" customFormat="false" ht="14.25" hidden="false" customHeight="true" outlineLevel="0" collapsed="false">
      <c r="A70" s="51" t="n">
        <v>12425</v>
      </c>
      <c r="B70" s="53" t="n">
        <v>40808.7298611111</v>
      </c>
      <c r="C70" s="57" t="n">
        <f aca="false">INT($C$2)-INT(Table3[[#This Row],[Last Purchase Date]])</f>
        <v>79</v>
      </c>
      <c r="D70" s="1" t="n">
        <v>1</v>
      </c>
      <c r="E70" s="1" t="n">
        <v>777.2</v>
      </c>
      <c r="F70" s="1" t="n">
        <f aca="false">ROUND((1-_xlfn.PERCENTRANK.INC($C$7:$C$4378,C70))*9,0)</f>
        <v>3</v>
      </c>
      <c r="G70" s="1" t="n">
        <f aca="false">ROUND(_xlfn.PERCENTRANK.INC($D$7:$D$4378,D70)*9,0)</f>
        <v>0</v>
      </c>
      <c r="H70" s="1" t="n">
        <f aca="false">ROUND(_xlfn.PERCENTRANK.INC($E$7:$E$4378,E70)*9,0)</f>
        <v>5</v>
      </c>
      <c r="I70" s="1" t="str">
        <f aca="false">CONCATENATE(F70,G70,H70)</f>
        <v>305</v>
      </c>
      <c r="J70" s="1" t="str">
        <f aca="false">_xlfn.IFS(AND(F70&gt;=8,G70&gt;=8,H70&gt;=8),"CHAMPION",AND(F70&gt;=6,G70&gt;=7,H70&gt;=6),"LOYAL CUSTOMER",AND(F70&gt;=6,G70&gt;=5,H70&gt;=5),"POTENTIAL LOYALIST",AND(F70&gt;=8,G70&lt;=2,H70&gt;=5),"NEW CUSTOMERS",AND(F70&gt;=6,G70&lt;=2,H70&gt;=3),"PROMISING",AND(F70&gt;=3,G70&gt;=3,H70&gt;=3),"NEED ATTENTION",AND(F70&lt;=4,G70&gt;=6,H70&gt;=6),"AT RISK",AND(F70&lt;=2,G70&gt;=8,H70&gt;=8),"CAN'T LOSE THEM",AND(F70&lt;=2,G70&lt;=2,H70&lt;=2),"HIBERNATING",TRUE(),"Other")</f>
        <v>Other</v>
      </c>
      <c r="K70" s="1" t="n">
        <f aca="false">RANK(E70,$E$7:$E$4378)+COUNTIF($E$7:E70,E70)-1</f>
        <v>1932</v>
      </c>
    </row>
    <row r="71" customFormat="false" ht="14.25" hidden="false" customHeight="true" outlineLevel="0" collapsed="false">
      <c r="A71" s="51" t="n">
        <v>12426</v>
      </c>
      <c r="B71" s="53" t="n">
        <v>40692.5180555556</v>
      </c>
      <c r="C71" s="57" t="n">
        <f aca="false">INT($C$2)-INT(Table3[[#This Row],[Last Purchase Date]])</f>
        <v>195</v>
      </c>
      <c r="D71" s="1" t="n">
        <v>1</v>
      </c>
      <c r="E71" s="1" t="n">
        <v>582.73</v>
      </c>
      <c r="F71" s="1" t="n">
        <f aca="false">ROUND((1-_xlfn.PERCENTRANK.INC($C$7:$C$4378,C71))*9,0)</f>
        <v>2</v>
      </c>
      <c r="G71" s="1" t="n">
        <f aca="false">ROUND(_xlfn.PERCENTRANK.INC($D$7:$D$4378,D71)*9,0)</f>
        <v>0</v>
      </c>
      <c r="H71" s="1" t="n">
        <f aca="false">ROUND(_xlfn.PERCENTRANK.INC($E$7:$E$4378,E71)*9,0)</f>
        <v>4</v>
      </c>
      <c r="I71" s="1" t="str">
        <f aca="false">CONCATENATE(F71,G71,H71)</f>
        <v>204</v>
      </c>
      <c r="J71" s="1" t="str">
        <f aca="false">_xlfn.IFS(AND(F71&gt;=8,G71&gt;=8,H71&gt;=8),"CHAMPION",AND(F71&gt;=6,G71&gt;=7,H71&gt;=6),"LOYAL CUSTOMER",AND(F71&gt;=6,G71&gt;=5,H71&gt;=5),"POTENTIAL LOYALIST",AND(F71&gt;=8,G71&lt;=2,H71&gt;=5),"NEW CUSTOMERS",AND(F71&gt;=6,G71&lt;=2,H71&gt;=3),"PROMISING",AND(F71&gt;=3,G71&gt;=3,H71&gt;=3),"NEED ATTENTION",AND(F71&lt;=4,G71&gt;=6,H71&gt;=6),"AT RISK",AND(F71&lt;=2,G71&gt;=8,H71&gt;=8),"CAN'T LOSE THEM",AND(F71&lt;=2,G71&lt;=2,H71&lt;=2),"HIBERNATING",TRUE(),"Other")</f>
        <v>Other</v>
      </c>
      <c r="K71" s="1" t="n">
        <f aca="false">RANK(E71,$E$7:$E$4378)+COUNTIF($E$7:E71,E71)-1</f>
        <v>2364</v>
      </c>
    </row>
    <row r="72" customFormat="false" ht="14.25" hidden="false" customHeight="true" outlineLevel="0" collapsed="false">
      <c r="A72" s="51" t="n">
        <v>12427</v>
      </c>
      <c r="B72" s="53" t="n">
        <v>40875.45</v>
      </c>
      <c r="C72" s="57" t="n">
        <f aca="false">INT($C$2)-INT(Table3[[#This Row],[Last Purchase Date]])</f>
        <v>12</v>
      </c>
      <c r="D72" s="1" t="n">
        <v>5</v>
      </c>
      <c r="E72" s="1" t="n">
        <v>708.37</v>
      </c>
      <c r="F72" s="1" t="n">
        <f aca="false">ROUND((1-_xlfn.PERCENTRANK.INC($C$7:$C$4378,C72))*9,0)</f>
        <v>7</v>
      </c>
      <c r="G72" s="1" t="n">
        <f aca="false">ROUND(_xlfn.PERCENTRANK.INC($D$7:$D$4378,D72)*9,0)</f>
        <v>6</v>
      </c>
      <c r="H72" s="1" t="n">
        <f aca="false">ROUND(_xlfn.PERCENTRANK.INC($E$7:$E$4378,E72)*9,0)</f>
        <v>5</v>
      </c>
      <c r="I72" s="1" t="str">
        <f aca="false">CONCATENATE(F72,G72,H72)</f>
        <v>765</v>
      </c>
      <c r="J72" s="1" t="str">
        <f aca="false">_xlfn.IFS(AND(F72&gt;=8,G72&gt;=8,H72&gt;=8),"CHAMPION",AND(F72&gt;=6,G72&gt;=7,H72&gt;=6),"LOYAL CUSTOMER",AND(F72&gt;=6,G72&gt;=5,H72&gt;=5),"POTENTIAL LOYALIST",AND(F72&gt;=8,G72&lt;=2,H72&gt;=5),"NEW CUSTOMERS",AND(F72&gt;=6,G72&lt;=2,H72&gt;=3),"PROMISING",AND(F72&gt;=3,G72&gt;=3,H72&gt;=3),"NEED ATTENTION",AND(F72&lt;=4,G72&gt;=6,H72&gt;=6),"AT RISK",AND(F72&lt;=2,G72&gt;=8,H72&gt;=8),"CAN'T LOSE THEM",AND(F72&lt;=2,G72&lt;=2,H72&lt;=2),"HIBERNATING",TRUE(),"Other")</f>
        <v>POTENTIAL LOYALIST</v>
      </c>
      <c r="K72" s="1" t="n">
        <f aca="false">RANK(E72,$E$7:$E$4378)+COUNTIF($E$7:E72,E72)-1</f>
        <v>2050</v>
      </c>
    </row>
    <row r="73" customFormat="false" ht="14.25" hidden="false" customHeight="true" outlineLevel="0" collapsed="false">
      <c r="A73" s="51" t="n">
        <v>12428</v>
      </c>
      <c r="B73" s="53" t="n">
        <v>40861.3486111111</v>
      </c>
      <c r="C73" s="57" t="n">
        <f aca="false">INT($C$2)-INT(Table3[[#This Row],[Last Purchase Date]])</f>
        <v>26</v>
      </c>
      <c r="D73" s="1" t="n">
        <v>12</v>
      </c>
      <c r="E73" s="1" t="n">
        <v>7877.2</v>
      </c>
      <c r="F73" s="1" t="n">
        <f aca="false">ROUND((1-_xlfn.PERCENTRANK.INC($C$7:$C$4378,C73))*9,0)</f>
        <v>6</v>
      </c>
      <c r="G73" s="1" t="n">
        <f aca="false">ROUND(_xlfn.PERCENTRANK.INC($D$7:$D$4378,D73)*9,0)</f>
        <v>8</v>
      </c>
      <c r="H73" s="1" t="n">
        <f aca="false">ROUND(_xlfn.PERCENTRANK.INC($E$7:$E$4378,E73)*9,0)</f>
        <v>9</v>
      </c>
      <c r="I73" s="1" t="str">
        <f aca="false">CONCATENATE(F73,G73,H73)</f>
        <v>689</v>
      </c>
      <c r="J73" s="1" t="str">
        <f aca="false">_xlfn.IFS(AND(F73&gt;=8,G73&gt;=8,H73&gt;=8),"CHAMPION",AND(F73&gt;=6,G73&gt;=7,H73&gt;=6),"LOYAL CUSTOMER",AND(F73&gt;=6,G73&gt;=5,H73&gt;=5),"POTENTIAL LOYALIST",AND(F73&gt;=8,G73&lt;=2,H73&gt;=5),"NEW CUSTOMERS",AND(F73&gt;=6,G73&lt;=2,H73&gt;=3),"PROMISING",AND(F73&gt;=3,G73&gt;=3,H73&gt;=3),"NEED ATTENTION",AND(F73&lt;=4,G73&gt;=6,H73&gt;=6),"AT RISK",AND(F73&lt;=2,G73&gt;=8,H73&gt;=8),"CAN'T LOSE THEM",AND(F73&lt;=2,G73&lt;=2,H73&lt;=2),"HIBERNATING",TRUE(),"Other")</f>
        <v>LOYAL CUSTOMER</v>
      </c>
      <c r="K73" s="1" t="n">
        <f aca="false">RANK(E73,$E$7:$E$4378)+COUNTIF($E$7:E73,E73)-1</f>
        <v>131</v>
      </c>
    </row>
    <row r="74" customFormat="false" ht="14.25" hidden="false" customHeight="true" outlineLevel="0" collapsed="false">
      <c r="A74" s="51" t="n">
        <v>12429</v>
      </c>
      <c r="B74" s="53" t="n">
        <v>40877.7236111111</v>
      </c>
      <c r="C74" s="57" t="n">
        <f aca="false">INT($C$2)-INT(Table3[[#This Row],[Last Purchase Date]])</f>
        <v>10</v>
      </c>
      <c r="D74" s="1" t="n">
        <v>4</v>
      </c>
      <c r="E74" s="1" t="n">
        <v>3750.4</v>
      </c>
      <c r="F74" s="1" t="n">
        <f aca="false">ROUND((1-_xlfn.PERCENTRANK.INC($C$7:$C$4378,C74))*9,0)</f>
        <v>8</v>
      </c>
      <c r="G74" s="1" t="n">
        <f aca="false">ROUND(_xlfn.PERCENTRANK.INC($D$7:$D$4378,D74)*9,0)</f>
        <v>5</v>
      </c>
      <c r="H74" s="1" t="n">
        <f aca="false">ROUND(_xlfn.PERCENTRANK.INC($E$7:$E$4378,E74)*9,0)</f>
        <v>8</v>
      </c>
      <c r="I74" s="1" t="str">
        <f aca="false">CONCATENATE(F74,G74,H74)</f>
        <v>858</v>
      </c>
      <c r="J74" s="1" t="str">
        <f aca="false">_xlfn.IFS(AND(F74&gt;=8,G74&gt;=8,H74&gt;=8),"CHAMPION",AND(F74&gt;=6,G74&gt;=7,H74&gt;=6),"LOYAL CUSTOMER",AND(F74&gt;=6,G74&gt;=5,H74&gt;=5),"POTENTIAL LOYALIST",AND(F74&gt;=8,G74&lt;=2,H74&gt;=5),"NEW CUSTOMERS",AND(F74&gt;=6,G74&lt;=2,H74&gt;=3),"PROMISING",AND(F74&gt;=3,G74&gt;=3,H74&gt;=3),"NEED ATTENTION",AND(F74&lt;=4,G74&gt;=6,H74&gt;=6),"AT RISK",AND(F74&lt;=2,G74&gt;=8,H74&gt;=8),"CAN'T LOSE THEM",AND(F74&lt;=2,G74&lt;=2,H74&lt;=2),"HIBERNATING",TRUE(),"Other")</f>
        <v>POTENTIAL LOYALIST</v>
      </c>
      <c r="K74" s="1" t="n">
        <f aca="false">RANK(E74,$E$7:$E$4378)+COUNTIF($E$7:E74,E74)-1</f>
        <v>395</v>
      </c>
    </row>
    <row r="75" customFormat="false" ht="14.25" hidden="false" customHeight="true" outlineLevel="0" collapsed="false">
      <c r="A75" s="51" t="n">
        <v>12430</v>
      </c>
      <c r="B75" s="53" t="n">
        <v>40843.63125</v>
      </c>
      <c r="C75" s="57" t="n">
        <f aca="false">INT($C$2)-INT(Table3[[#This Row],[Last Purchase Date]])</f>
        <v>44</v>
      </c>
      <c r="D75" s="1" t="n">
        <v>1</v>
      </c>
      <c r="E75" s="1" t="n">
        <v>256.4</v>
      </c>
      <c r="F75" s="1" t="n">
        <f aca="false">ROUND((1-_xlfn.PERCENTRANK.INC($C$7:$C$4378,C75))*9,0)</f>
        <v>5</v>
      </c>
      <c r="G75" s="1" t="n">
        <f aca="false">ROUND(_xlfn.PERCENTRANK.INC($D$7:$D$4378,D75)*9,0)</f>
        <v>0</v>
      </c>
      <c r="H75" s="1" t="n">
        <f aca="false">ROUND(_xlfn.PERCENTRANK.INC($E$7:$E$4378,E75)*9,0)</f>
        <v>2</v>
      </c>
      <c r="I75" s="1" t="str">
        <f aca="false">CONCATENATE(F75,G75,H75)</f>
        <v>502</v>
      </c>
      <c r="J75" s="1" t="str">
        <f aca="false">_xlfn.IFS(AND(F75&gt;=8,G75&gt;=8,H75&gt;=8),"CHAMPION",AND(F75&gt;=6,G75&gt;=7,H75&gt;=6),"LOYAL CUSTOMER",AND(F75&gt;=6,G75&gt;=5,H75&gt;=5),"POTENTIAL LOYALIST",AND(F75&gt;=8,G75&lt;=2,H75&gt;=5),"NEW CUSTOMERS",AND(F75&gt;=6,G75&lt;=2,H75&gt;=3),"PROMISING",AND(F75&gt;=3,G75&gt;=3,H75&gt;=3),"NEED ATTENTION",AND(F75&lt;=4,G75&gt;=6,H75&gt;=6),"AT RISK",AND(F75&lt;=2,G75&gt;=8,H75&gt;=8),"CAN'T LOSE THEM",AND(F75&lt;=2,G75&lt;=2,H75&lt;=2),"HIBERNATING",TRUE(),"Other")</f>
        <v>Other</v>
      </c>
      <c r="K75" s="1" t="n">
        <f aca="false">RANK(E75,$E$7:$E$4378)+COUNTIF($E$7:E75,E75)-1</f>
        <v>3409</v>
      </c>
    </row>
    <row r="76" customFormat="false" ht="14.25" hidden="false" customHeight="true" outlineLevel="0" collapsed="false">
      <c r="A76" s="51" t="n">
        <v>12431</v>
      </c>
      <c r="B76" s="53" t="n">
        <v>40851.4965277778</v>
      </c>
      <c r="C76" s="57" t="n">
        <f aca="false">INT($C$2)-INT(Table3[[#This Row],[Last Purchase Date]])</f>
        <v>36</v>
      </c>
      <c r="D76" s="1" t="n">
        <v>18</v>
      </c>
      <c r="E76" s="1" t="n">
        <v>6416.39</v>
      </c>
      <c r="F76" s="1" t="n">
        <f aca="false">ROUND((1-_xlfn.PERCENTRANK.INC($C$7:$C$4378,C76))*9,0)</f>
        <v>5</v>
      </c>
      <c r="G76" s="1" t="n">
        <f aca="false">ROUND(_xlfn.PERCENTRANK.INC($D$7:$D$4378,D76)*9,0)</f>
        <v>9</v>
      </c>
      <c r="H76" s="1" t="n">
        <f aca="false">ROUND(_xlfn.PERCENTRANK.INC($E$7:$E$4378,E76)*9,0)</f>
        <v>9</v>
      </c>
      <c r="I76" s="1" t="str">
        <f aca="false">CONCATENATE(F76,G76,H76)</f>
        <v>599</v>
      </c>
      <c r="J76" s="1" t="str">
        <f aca="false">_xlfn.IFS(AND(F76&gt;=8,G76&gt;=8,H76&gt;=8),"CHAMPION",AND(F76&gt;=6,G76&gt;=7,H76&gt;=6),"LOYAL CUSTOMER",AND(F76&gt;=6,G76&gt;=5,H76&gt;=5),"POTENTIAL LOYALIST",AND(F76&gt;=8,G76&lt;=2,H76&gt;=5),"NEW CUSTOMERS",AND(F76&gt;=6,G76&lt;=2,H76&gt;=3),"PROMISING",AND(F76&gt;=3,G76&gt;=3,H76&gt;=3),"NEED ATTENTION",AND(F76&lt;=4,G76&gt;=6,H76&gt;=6),"AT RISK",AND(F76&lt;=2,G76&gt;=8,H76&gt;=8),"CAN'T LOSE THEM",AND(F76&lt;=2,G76&lt;=2,H76&lt;=2),"HIBERNATING",TRUE(),"Other")</f>
        <v>NEED ATTENTION</v>
      </c>
      <c r="K76" s="1" t="n">
        <f aca="false">RANK(E76,$E$7:$E$4378)+COUNTIF($E$7:E76,E76)-1</f>
        <v>182</v>
      </c>
    </row>
    <row r="77" customFormat="false" ht="14.25" hidden="false" customHeight="true" outlineLevel="0" collapsed="false">
      <c r="A77" s="51" t="n">
        <v>12432</v>
      </c>
      <c r="B77" s="53" t="n">
        <v>40844.4881944444</v>
      </c>
      <c r="C77" s="57" t="n">
        <f aca="false">INT($C$2)-INT(Table3[[#This Row],[Last Purchase Date]])</f>
        <v>43</v>
      </c>
      <c r="D77" s="1" t="n">
        <v>5</v>
      </c>
      <c r="E77" s="1" t="n">
        <v>5059.32</v>
      </c>
      <c r="F77" s="1" t="n">
        <f aca="false">ROUND((1-_xlfn.PERCENTRANK.INC($C$7:$C$4378,C77))*9,0)</f>
        <v>5</v>
      </c>
      <c r="G77" s="1" t="n">
        <f aca="false">ROUND(_xlfn.PERCENTRANK.INC($D$7:$D$4378,D77)*9,0)</f>
        <v>6</v>
      </c>
      <c r="H77" s="1" t="n">
        <f aca="false">ROUND(_xlfn.PERCENTRANK.INC($E$7:$E$4378,E77)*9,0)</f>
        <v>8</v>
      </c>
      <c r="I77" s="1" t="str">
        <f aca="false">CONCATENATE(F77,G77,H77)</f>
        <v>568</v>
      </c>
      <c r="J77" s="1" t="str">
        <f aca="false">_xlfn.IFS(AND(F77&gt;=8,G77&gt;=8,H77&gt;=8),"CHAMPION",AND(F77&gt;=6,G77&gt;=7,H77&gt;=6),"LOYAL CUSTOMER",AND(F77&gt;=6,G77&gt;=5,H77&gt;=5),"POTENTIAL LOYALIST",AND(F77&gt;=8,G77&lt;=2,H77&gt;=5),"NEW CUSTOMERS",AND(F77&gt;=6,G77&lt;=2,H77&gt;=3),"PROMISING",AND(F77&gt;=3,G77&gt;=3,H77&gt;=3),"NEED ATTENTION",AND(F77&lt;=4,G77&gt;=6,H77&gt;=6),"AT RISK",AND(F77&lt;=2,G77&gt;=8,H77&gt;=8),"CAN'T LOSE THEM",AND(F77&lt;=2,G77&lt;=2,H77&lt;=2),"HIBERNATING",TRUE(),"Other")</f>
        <v>NEED ATTENTION</v>
      </c>
      <c r="K77" s="1" t="n">
        <f aca="false">RANK(E77,$E$7:$E$4378)+COUNTIF($E$7:E77,E77)-1</f>
        <v>255</v>
      </c>
    </row>
    <row r="78" customFormat="false" ht="14.25" hidden="false" customHeight="true" outlineLevel="0" collapsed="false">
      <c r="A78" s="51" t="n">
        <v>12433</v>
      </c>
      <c r="B78" s="53" t="n">
        <v>40886.4180555556</v>
      </c>
      <c r="C78" s="57" t="n">
        <f aca="false">INT($C$2)-INT(Table3[[#This Row],[Last Purchase Date]])</f>
        <v>1</v>
      </c>
      <c r="D78" s="1" t="n">
        <v>7</v>
      </c>
      <c r="E78" s="1" t="n">
        <v>13375.87</v>
      </c>
      <c r="F78" s="1" t="n">
        <f aca="false">ROUND((1-_xlfn.PERCENTRANK.INC($C$7:$C$4378,C78))*9,0)</f>
        <v>9</v>
      </c>
      <c r="G78" s="1" t="n">
        <f aca="false">ROUND(_xlfn.PERCENTRANK.INC($D$7:$D$4378,D78)*9,0)</f>
        <v>7</v>
      </c>
      <c r="H78" s="1" t="n">
        <f aca="false">ROUND(_xlfn.PERCENTRANK.INC($E$7:$E$4378,E78)*9,0)</f>
        <v>9</v>
      </c>
      <c r="I78" s="1" t="str">
        <f aca="false">CONCATENATE(F78,G78,H78)</f>
        <v>979</v>
      </c>
      <c r="J78" s="1" t="str">
        <f aca="false">_xlfn.IFS(AND(F78&gt;=8,G78&gt;=8,H78&gt;=8),"CHAMPION",AND(F78&gt;=6,G78&gt;=7,H78&gt;=6),"LOYAL CUSTOMER",AND(F78&gt;=6,G78&gt;=5,H78&gt;=5),"POTENTIAL LOYALIST",AND(F78&gt;=8,G78&lt;=2,H78&gt;=5),"NEW CUSTOMERS",AND(F78&gt;=6,G78&lt;=2,H78&gt;=3),"PROMISING",AND(F78&gt;=3,G78&gt;=3,H78&gt;=3),"NEED ATTENTION",AND(F78&lt;=4,G78&gt;=6,H78&gt;=6),"AT RISK",AND(F78&lt;=2,G78&gt;=8,H78&gt;=8),"CAN'T LOSE THEM",AND(F78&lt;=2,G78&lt;=2,H78&lt;=2),"HIBERNATING",TRUE(),"Other")</f>
        <v>LOYAL CUSTOMER</v>
      </c>
      <c r="K78" s="1" t="n">
        <f aca="false">RANK(E78,$E$7:$E$4378)+COUNTIF($E$7:E78,E78)-1</f>
        <v>62</v>
      </c>
    </row>
    <row r="79" customFormat="false" ht="14.25" hidden="false" customHeight="true" outlineLevel="0" collapsed="false">
      <c r="A79" s="51" t="n">
        <v>12434</v>
      </c>
      <c r="B79" s="53" t="n">
        <v>40802.5263888889</v>
      </c>
      <c r="C79" s="57" t="n">
        <f aca="false">INT($C$2)-INT(Table3[[#This Row],[Last Purchase Date]])</f>
        <v>85</v>
      </c>
      <c r="D79" s="1" t="n">
        <v>4</v>
      </c>
      <c r="E79" s="1" t="n">
        <v>765.19</v>
      </c>
      <c r="F79" s="1" t="n">
        <f aca="false">ROUND((1-_xlfn.PERCENTRANK.INC($C$7:$C$4378,C79))*9,0)</f>
        <v>3</v>
      </c>
      <c r="G79" s="1" t="n">
        <f aca="false">ROUND(_xlfn.PERCENTRANK.INC($D$7:$D$4378,D79)*9,0)</f>
        <v>5</v>
      </c>
      <c r="H79" s="1" t="n">
        <f aca="false">ROUND(_xlfn.PERCENTRANK.INC($E$7:$E$4378,E79)*9,0)</f>
        <v>5</v>
      </c>
      <c r="I79" s="1" t="str">
        <f aca="false">CONCATENATE(F79,G79,H79)</f>
        <v>355</v>
      </c>
      <c r="J79" s="1" t="str">
        <f aca="false">_xlfn.IFS(AND(F79&gt;=8,G79&gt;=8,H79&gt;=8),"CHAMPION",AND(F79&gt;=6,G79&gt;=7,H79&gt;=6),"LOYAL CUSTOMER",AND(F79&gt;=6,G79&gt;=5,H79&gt;=5),"POTENTIAL LOYALIST",AND(F79&gt;=8,G79&lt;=2,H79&gt;=5),"NEW CUSTOMERS",AND(F79&gt;=6,G79&lt;=2,H79&gt;=3),"PROMISING",AND(F79&gt;=3,G79&gt;=3,H79&gt;=3),"NEED ATTENTION",AND(F79&lt;=4,G79&gt;=6,H79&gt;=6),"AT RISK",AND(F79&lt;=2,G79&gt;=8,H79&gt;=8),"CAN'T LOSE THEM",AND(F79&lt;=2,G79&lt;=2,H79&lt;=2),"HIBERNATING",TRUE(),"Other")</f>
        <v>NEED ATTENTION</v>
      </c>
      <c r="K79" s="1" t="n">
        <f aca="false">RANK(E79,$E$7:$E$4378)+COUNTIF($E$7:E79,E79)-1</f>
        <v>1957</v>
      </c>
    </row>
    <row r="80" customFormat="false" ht="14.25" hidden="false" customHeight="true" outlineLevel="0" collapsed="false">
      <c r="A80" s="51" t="n">
        <v>12435</v>
      </c>
      <c r="B80" s="53" t="n">
        <v>40807.3791666667</v>
      </c>
      <c r="C80" s="57" t="n">
        <f aca="false">INT($C$2)-INT(Table3[[#This Row],[Last Purchase Date]])</f>
        <v>80</v>
      </c>
      <c r="D80" s="1" t="n">
        <v>2</v>
      </c>
      <c r="E80" s="1" t="n">
        <v>7829.89</v>
      </c>
      <c r="F80" s="1" t="n">
        <f aca="false">ROUND((1-_xlfn.PERCENTRANK.INC($C$7:$C$4378,C80))*9,0)</f>
        <v>3</v>
      </c>
      <c r="G80" s="1" t="n">
        <f aca="false">ROUND(_xlfn.PERCENTRANK.INC($D$7:$D$4378,D80)*9,0)</f>
        <v>3</v>
      </c>
      <c r="H80" s="1" t="n">
        <f aca="false">ROUND(_xlfn.PERCENTRANK.INC($E$7:$E$4378,E80)*9,0)</f>
        <v>9</v>
      </c>
      <c r="I80" s="1" t="str">
        <f aca="false">CONCATENATE(F80,G80,H80)</f>
        <v>339</v>
      </c>
      <c r="J80" s="1" t="str">
        <f aca="false">_xlfn.IFS(AND(F80&gt;=8,G80&gt;=8,H80&gt;=8),"CHAMPION",AND(F80&gt;=6,G80&gt;=7,H80&gt;=6),"LOYAL CUSTOMER",AND(F80&gt;=6,G80&gt;=5,H80&gt;=5),"POTENTIAL LOYALIST",AND(F80&gt;=8,G80&lt;=2,H80&gt;=5),"NEW CUSTOMERS",AND(F80&gt;=6,G80&lt;=2,H80&gt;=3),"PROMISING",AND(F80&gt;=3,G80&gt;=3,H80&gt;=3),"NEED ATTENTION",AND(F80&lt;=4,G80&gt;=6,H80&gt;=6),"AT RISK",AND(F80&lt;=2,G80&gt;=8,H80&gt;=8),"CAN'T LOSE THEM",AND(F80&lt;=2,G80&lt;=2,H80&lt;=2),"HIBERNATING",TRUE(),"Other")</f>
        <v>NEED ATTENTION</v>
      </c>
      <c r="K80" s="1" t="n">
        <f aca="false">RANK(E80,$E$7:$E$4378)+COUNTIF($E$7:E80,E80)-1</f>
        <v>133</v>
      </c>
    </row>
    <row r="81" customFormat="false" ht="14.25" hidden="false" customHeight="true" outlineLevel="0" collapsed="false">
      <c r="A81" s="51" t="n">
        <v>12436</v>
      </c>
      <c r="B81" s="53" t="n">
        <v>40787.50625</v>
      </c>
      <c r="C81" s="57" t="n">
        <f aca="false">INT($C$2)-INT(Table3[[#This Row],[Last Purchase Date]])</f>
        <v>100</v>
      </c>
      <c r="D81" s="1" t="n">
        <v>1</v>
      </c>
      <c r="E81" s="1" t="n">
        <v>509.01</v>
      </c>
      <c r="F81" s="1" t="n">
        <f aca="false">ROUND((1-_xlfn.PERCENTRANK.INC($C$7:$C$4378,C81))*9,0)</f>
        <v>3</v>
      </c>
      <c r="G81" s="1" t="n">
        <f aca="false">ROUND(_xlfn.PERCENTRANK.INC($D$7:$D$4378,D81)*9,0)</f>
        <v>0</v>
      </c>
      <c r="H81" s="1" t="n">
        <f aca="false">ROUND(_xlfn.PERCENTRANK.INC($E$7:$E$4378,E81)*9,0)</f>
        <v>4</v>
      </c>
      <c r="I81" s="1" t="str">
        <f aca="false">CONCATENATE(F81,G81,H81)</f>
        <v>304</v>
      </c>
      <c r="J81" s="1" t="str">
        <f aca="false">_xlfn.IFS(AND(F81&gt;=8,G81&gt;=8,H81&gt;=8),"CHAMPION",AND(F81&gt;=6,G81&gt;=7,H81&gt;=6),"LOYAL CUSTOMER",AND(F81&gt;=6,G81&gt;=5,H81&gt;=5),"POTENTIAL LOYALIST",AND(F81&gt;=8,G81&lt;=2,H81&gt;=5),"NEW CUSTOMERS",AND(F81&gt;=6,G81&lt;=2,H81&gt;=3),"PROMISING",AND(F81&gt;=3,G81&gt;=3,H81&gt;=3),"NEED ATTENTION",AND(F81&lt;=4,G81&gt;=6,H81&gt;=6),"AT RISK",AND(F81&lt;=2,G81&gt;=8,H81&gt;=8),"CAN'T LOSE THEM",AND(F81&lt;=2,G81&lt;=2,H81&lt;=2),"HIBERNATING",TRUE(),"Other")</f>
        <v>Other</v>
      </c>
      <c r="K81" s="1" t="n">
        <f aca="false">RANK(E81,$E$7:$E$4378)+COUNTIF($E$7:E81,E81)-1</f>
        <v>2518</v>
      </c>
    </row>
    <row r="82" customFormat="false" ht="14.25" hidden="false" customHeight="true" outlineLevel="0" collapsed="false">
      <c r="A82" s="51" t="n">
        <v>12437</v>
      </c>
      <c r="B82" s="53" t="n">
        <v>40885.4826388889</v>
      </c>
      <c r="C82" s="57" t="n">
        <f aca="false">INT($C$2)-INT(Table3[[#This Row],[Last Purchase Date]])</f>
        <v>2</v>
      </c>
      <c r="D82" s="1" t="n">
        <v>19</v>
      </c>
      <c r="E82" s="1" t="n">
        <v>4896.66</v>
      </c>
      <c r="F82" s="1" t="n">
        <f aca="false">ROUND((1-_xlfn.PERCENTRANK.INC($C$7:$C$4378,C82))*9,0)</f>
        <v>9</v>
      </c>
      <c r="G82" s="1" t="n">
        <f aca="false">ROUND(_xlfn.PERCENTRANK.INC($D$7:$D$4378,D82)*9,0)</f>
        <v>9</v>
      </c>
      <c r="H82" s="1" t="n">
        <f aca="false">ROUND(_xlfn.PERCENTRANK.INC($E$7:$E$4378,E82)*9,0)</f>
        <v>8</v>
      </c>
      <c r="I82" s="1" t="str">
        <f aca="false">CONCATENATE(F82,G82,H82)</f>
        <v>998</v>
      </c>
      <c r="J82" s="1" t="str">
        <f aca="false">_xlfn.IFS(AND(F82&gt;=8,G82&gt;=8,H82&gt;=8),"CHAMPION",AND(F82&gt;=6,G82&gt;=7,H82&gt;=6),"LOYAL CUSTOMER",AND(F82&gt;=6,G82&gt;=5,H82&gt;=5),"POTENTIAL LOYALIST",AND(F82&gt;=8,G82&lt;=2,H82&gt;=5),"NEW CUSTOMERS",AND(F82&gt;=6,G82&lt;=2,H82&gt;=3),"PROMISING",AND(F82&gt;=3,G82&gt;=3,H82&gt;=3),"NEED ATTENTION",AND(F82&lt;=4,G82&gt;=6,H82&gt;=6),"AT RISK",AND(F82&lt;=2,G82&gt;=8,H82&gt;=8),"CAN'T LOSE THEM",AND(F82&lt;=2,G82&lt;=2,H82&lt;=2),"HIBERNATING",TRUE(),"Other")</f>
        <v>CHAMPION</v>
      </c>
      <c r="K82" s="1" t="n">
        <f aca="false">RANK(E82,$E$7:$E$4378)+COUNTIF($E$7:E82,E82)-1</f>
        <v>270</v>
      </c>
    </row>
    <row r="83" customFormat="false" ht="14.25" hidden="false" customHeight="true" outlineLevel="0" collapsed="false">
      <c r="A83" s="51" t="n">
        <v>12438</v>
      </c>
      <c r="B83" s="53" t="n">
        <v>40872.5611111111</v>
      </c>
      <c r="C83" s="57" t="n">
        <f aca="false">INT($C$2)-INT(Table3[[#This Row],[Last Purchase Date]])</f>
        <v>15</v>
      </c>
      <c r="D83" s="1" t="n">
        <v>2</v>
      </c>
      <c r="E83" s="1" t="n">
        <v>2906.85</v>
      </c>
      <c r="F83" s="1" t="n">
        <f aca="false">ROUND((1-_xlfn.PERCENTRANK.INC($C$7:$C$4378,C83))*9,0)</f>
        <v>7</v>
      </c>
      <c r="G83" s="1" t="n">
        <f aca="false">ROUND(_xlfn.PERCENTRANK.INC($D$7:$D$4378,D83)*9,0)</f>
        <v>3</v>
      </c>
      <c r="H83" s="1" t="n">
        <f aca="false">ROUND(_xlfn.PERCENTRANK.INC($E$7:$E$4378,E83)*9,0)</f>
        <v>8</v>
      </c>
      <c r="I83" s="1" t="str">
        <f aca="false">CONCATENATE(F83,G83,H83)</f>
        <v>738</v>
      </c>
      <c r="J83" s="1" t="str">
        <f aca="false">_xlfn.IFS(AND(F83&gt;=8,G83&gt;=8,H83&gt;=8),"CHAMPION",AND(F83&gt;=6,G83&gt;=7,H83&gt;=6),"LOYAL CUSTOMER",AND(F83&gt;=6,G83&gt;=5,H83&gt;=5),"POTENTIAL LOYALIST",AND(F83&gt;=8,G83&lt;=2,H83&gt;=5),"NEW CUSTOMERS",AND(F83&gt;=6,G83&lt;=2,H83&gt;=3),"PROMISING",AND(F83&gt;=3,G83&gt;=3,H83&gt;=3),"NEED ATTENTION",AND(F83&lt;=4,G83&gt;=6,H83&gt;=6),"AT RISK",AND(F83&lt;=2,G83&gt;=8,H83&gt;=8),"CAN'T LOSE THEM",AND(F83&lt;=2,G83&lt;=2,H83&lt;=2),"HIBERNATING",TRUE(),"Other")</f>
        <v>NEED ATTENTION</v>
      </c>
      <c r="K83" s="1" t="n">
        <f aca="false">RANK(E83,$E$7:$E$4378)+COUNTIF($E$7:E83,E83)-1</f>
        <v>562</v>
      </c>
    </row>
    <row r="84" customFormat="false" ht="14.25" hidden="false" customHeight="true" outlineLevel="0" collapsed="false">
      <c r="A84" s="51" t="n">
        <v>12441</v>
      </c>
      <c r="B84" s="53" t="n">
        <v>40520.4479166667</v>
      </c>
      <c r="C84" s="57" t="n">
        <f aca="false">INT($C$2)-INT(Table3[[#This Row],[Last Purchase Date]])</f>
        <v>367</v>
      </c>
      <c r="D84" s="1" t="n">
        <v>1</v>
      </c>
      <c r="E84" s="1" t="n">
        <v>173.55</v>
      </c>
      <c r="F84" s="1" t="n">
        <f aca="false">ROUND((1-_xlfn.PERCENTRANK.INC($C$7:$C$4378,C84))*9,0)</f>
        <v>0</v>
      </c>
      <c r="G84" s="1" t="n">
        <f aca="false">ROUND(_xlfn.PERCENTRANK.INC($D$7:$D$4378,D84)*9,0)</f>
        <v>0</v>
      </c>
      <c r="H84" s="1" t="n">
        <f aca="false">ROUND(_xlfn.PERCENTRANK.INC($E$7:$E$4378,E84)*9,0)</f>
        <v>1</v>
      </c>
      <c r="I84" s="1" t="str">
        <f aca="false">CONCATENATE(F84,G84,H84)</f>
        <v>001</v>
      </c>
      <c r="J84" s="1" t="str">
        <f aca="false">_xlfn.IFS(AND(F84&gt;=8,G84&gt;=8,H84&gt;=8),"CHAMPION",AND(F84&gt;=6,G84&gt;=7,H84&gt;=6),"LOYAL CUSTOMER",AND(F84&gt;=6,G84&gt;=5,H84&gt;=5),"POTENTIAL LOYALIST",AND(F84&gt;=8,G84&lt;=2,H84&gt;=5),"NEW CUSTOMERS",AND(F84&gt;=6,G84&lt;=2,H84&gt;=3),"PROMISING",AND(F84&gt;=3,G84&gt;=3,H84&gt;=3),"NEED ATTENTION",AND(F84&lt;=4,G84&gt;=6,H84&gt;=6),"AT RISK",AND(F84&lt;=2,G84&gt;=8,H84&gt;=8),"CAN'T LOSE THEM",AND(F84&lt;=2,G84&lt;=2,H84&lt;=2),"HIBERNATING",TRUE(),"Other")</f>
        <v>HIBERNATING</v>
      </c>
      <c r="K84" s="1" t="n">
        <f aca="false">RANK(E84,$E$7:$E$4378)+COUNTIF($E$7:E84,E84)-1</f>
        <v>3789</v>
      </c>
    </row>
    <row r="85" customFormat="false" ht="14.25" hidden="false" customHeight="true" outlineLevel="0" collapsed="false">
      <c r="A85" s="51" t="n">
        <v>12442</v>
      </c>
      <c r="B85" s="53" t="n">
        <v>40883.5986111111</v>
      </c>
      <c r="C85" s="57" t="n">
        <f aca="false">INT($C$2)-INT(Table3[[#This Row],[Last Purchase Date]])</f>
        <v>4</v>
      </c>
      <c r="D85" s="1" t="n">
        <v>1</v>
      </c>
      <c r="E85" s="1" t="n">
        <v>172.06</v>
      </c>
      <c r="F85" s="1" t="n">
        <f aca="false">ROUND((1-_xlfn.PERCENTRANK.INC($C$7:$C$4378,C85))*9,0)</f>
        <v>8</v>
      </c>
      <c r="G85" s="1" t="n">
        <f aca="false">ROUND(_xlfn.PERCENTRANK.INC($D$7:$D$4378,D85)*9,0)</f>
        <v>0</v>
      </c>
      <c r="H85" s="1" t="n">
        <f aca="false">ROUND(_xlfn.PERCENTRANK.INC($E$7:$E$4378,E85)*9,0)</f>
        <v>1</v>
      </c>
      <c r="I85" s="1" t="str">
        <f aca="false">CONCATENATE(F85,G85,H85)</f>
        <v>801</v>
      </c>
      <c r="J85" s="1" t="str">
        <f aca="false">_xlfn.IFS(AND(F85&gt;=8,G85&gt;=8,H85&gt;=8),"CHAMPION",AND(F85&gt;=6,G85&gt;=7,H85&gt;=6),"LOYAL CUSTOMER",AND(F85&gt;=6,G85&gt;=5,H85&gt;=5),"POTENTIAL LOYALIST",AND(F85&gt;=8,G85&lt;=2,H85&gt;=5),"NEW CUSTOMERS",AND(F85&gt;=6,G85&lt;=2,H85&gt;=3),"PROMISING",AND(F85&gt;=3,G85&gt;=3,H85&gt;=3),"NEED ATTENTION",AND(F85&lt;=4,G85&gt;=6,H85&gt;=6),"AT RISK",AND(F85&lt;=2,G85&gt;=8,H85&gt;=8),"CAN'T LOSE THEM",AND(F85&lt;=2,G85&lt;=2,H85&lt;=2),"HIBERNATING",TRUE(),"Other")</f>
        <v>Other</v>
      </c>
      <c r="K85" s="1" t="n">
        <f aca="false">RANK(E85,$E$7:$E$4378)+COUNTIF($E$7:E85,E85)-1</f>
        <v>3796</v>
      </c>
    </row>
    <row r="86" customFormat="false" ht="14.25" hidden="false" customHeight="true" outlineLevel="0" collapsed="false">
      <c r="A86" s="51" t="n">
        <v>12444</v>
      </c>
      <c r="B86" s="53" t="n">
        <v>40865.5576388889</v>
      </c>
      <c r="C86" s="57" t="n">
        <f aca="false">INT($C$2)-INT(Table3[[#This Row],[Last Purchase Date]])</f>
        <v>22</v>
      </c>
      <c r="D86" s="1" t="n">
        <v>5</v>
      </c>
      <c r="E86" s="1" t="n">
        <v>5005.46</v>
      </c>
      <c r="F86" s="1" t="n">
        <f aca="false">ROUND((1-_xlfn.PERCENTRANK.INC($C$7:$C$4378,C86))*9,0)</f>
        <v>6</v>
      </c>
      <c r="G86" s="1" t="n">
        <f aca="false">ROUND(_xlfn.PERCENTRANK.INC($D$7:$D$4378,D86)*9,0)</f>
        <v>6</v>
      </c>
      <c r="H86" s="1" t="n">
        <f aca="false">ROUND(_xlfn.PERCENTRANK.INC($E$7:$E$4378,E86)*9,0)</f>
        <v>8</v>
      </c>
      <c r="I86" s="1" t="str">
        <f aca="false">CONCATENATE(F86,G86,H86)</f>
        <v>668</v>
      </c>
      <c r="J86" s="1" t="str">
        <f aca="false">_xlfn.IFS(AND(F86&gt;=8,G86&gt;=8,H86&gt;=8),"CHAMPION",AND(F86&gt;=6,G86&gt;=7,H86&gt;=6),"LOYAL CUSTOMER",AND(F86&gt;=6,G86&gt;=5,H86&gt;=5),"POTENTIAL LOYALIST",AND(F86&gt;=8,G86&lt;=2,H86&gt;=5),"NEW CUSTOMERS",AND(F86&gt;=6,G86&lt;=2,H86&gt;=3),"PROMISING",AND(F86&gt;=3,G86&gt;=3,H86&gt;=3),"NEED ATTENTION",AND(F86&lt;=4,G86&gt;=6,H86&gt;=6),"AT RISK",AND(F86&lt;=2,G86&gt;=8,H86&gt;=8),"CAN'T LOSE THEM",AND(F86&lt;=2,G86&lt;=2,H86&lt;=2),"HIBERNATING",TRUE(),"Other")</f>
        <v>POTENTIAL LOYALIST</v>
      </c>
      <c r="K86" s="1" t="n">
        <f aca="false">RANK(E86,$E$7:$E$4378)+COUNTIF($E$7:E86,E86)-1</f>
        <v>263</v>
      </c>
    </row>
    <row r="87" customFormat="false" ht="14.25" hidden="false" customHeight="true" outlineLevel="0" collapsed="false">
      <c r="A87" s="51" t="n">
        <v>12445</v>
      </c>
      <c r="B87" s="53" t="n">
        <v>40864.7798611111</v>
      </c>
      <c r="C87" s="57" t="n">
        <f aca="false">INT($C$2)-INT(Table3[[#This Row],[Last Purchase Date]])</f>
        <v>23</v>
      </c>
      <c r="D87" s="1" t="n">
        <v>1</v>
      </c>
      <c r="E87" s="1" t="n">
        <v>133.4</v>
      </c>
      <c r="F87" s="1" t="n">
        <f aca="false">ROUND((1-_xlfn.PERCENTRANK.INC($C$7:$C$4378,C87))*9,0)</f>
        <v>6</v>
      </c>
      <c r="G87" s="1" t="n">
        <f aca="false">ROUND(_xlfn.PERCENTRANK.INC($D$7:$D$4378,D87)*9,0)</f>
        <v>0</v>
      </c>
      <c r="H87" s="1" t="n">
        <f aca="false">ROUND(_xlfn.PERCENTRANK.INC($E$7:$E$4378,E87)*9,0)</f>
        <v>1</v>
      </c>
      <c r="I87" s="1" t="str">
        <f aca="false">CONCATENATE(F87,G87,H87)</f>
        <v>601</v>
      </c>
      <c r="J87" s="1" t="str">
        <f aca="false">_xlfn.IFS(AND(F87&gt;=8,G87&gt;=8,H87&gt;=8),"CHAMPION",AND(F87&gt;=6,G87&gt;=7,H87&gt;=6),"LOYAL CUSTOMER",AND(F87&gt;=6,G87&gt;=5,H87&gt;=5),"POTENTIAL LOYALIST",AND(F87&gt;=8,G87&lt;=2,H87&gt;=5),"NEW CUSTOMERS",AND(F87&gt;=6,G87&lt;=2,H87&gt;=3),"PROMISING",AND(F87&gt;=3,G87&gt;=3,H87&gt;=3),"NEED ATTENTION",AND(F87&lt;=4,G87&gt;=6,H87&gt;=6),"AT RISK",AND(F87&lt;=2,G87&gt;=8,H87&gt;=8),"CAN'T LOSE THEM",AND(F87&lt;=2,G87&lt;=2,H87&lt;=2),"HIBERNATING",TRUE(),"Other")</f>
        <v>Other</v>
      </c>
      <c r="K87" s="1" t="n">
        <f aca="false">RANK(E87,$E$7:$E$4378)+COUNTIF($E$7:E87,E87)-1</f>
        <v>3996</v>
      </c>
    </row>
    <row r="88" customFormat="false" ht="14.25" hidden="false" customHeight="true" outlineLevel="0" collapsed="false">
      <c r="A88" s="51" t="n">
        <v>12446</v>
      </c>
      <c r="B88" s="53" t="n">
        <v>40829.5347222222</v>
      </c>
      <c r="C88" s="57" t="n">
        <f aca="false">INT($C$2)-INT(Table3[[#This Row],[Last Purchase Date]])</f>
        <v>58</v>
      </c>
      <c r="D88" s="1" t="n">
        <v>1</v>
      </c>
      <c r="E88" s="1" t="n">
        <v>1002.31</v>
      </c>
      <c r="F88" s="1" t="n">
        <f aca="false">ROUND((1-_xlfn.PERCENTRANK.INC($C$7:$C$4378,C88))*9,0)</f>
        <v>4</v>
      </c>
      <c r="G88" s="1" t="n">
        <f aca="false">ROUND(_xlfn.PERCENTRANK.INC($D$7:$D$4378,D88)*9,0)</f>
        <v>0</v>
      </c>
      <c r="H88" s="1" t="n">
        <f aca="false">ROUND(_xlfn.PERCENTRANK.INC($E$7:$E$4378,E88)*9,0)</f>
        <v>6</v>
      </c>
      <c r="I88" s="1" t="str">
        <f aca="false">CONCATENATE(F88,G88,H88)</f>
        <v>406</v>
      </c>
      <c r="J88" s="1" t="str">
        <f aca="false">_xlfn.IFS(AND(F88&gt;=8,G88&gt;=8,H88&gt;=8),"CHAMPION",AND(F88&gt;=6,G88&gt;=7,H88&gt;=6),"LOYAL CUSTOMER",AND(F88&gt;=6,G88&gt;=5,H88&gt;=5),"POTENTIAL LOYALIST",AND(F88&gt;=8,G88&lt;=2,H88&gt;=5),"NEW CUSTOMERS",AND(F88&gt;=6,G88&lt;=2,H88&gt;=3),"PROMISING",AND(F88&gt;=3,G88&gt;=3,H88&gt;=3),"NEED ATTENTION",AND(F88&lt;=4,G88&gt;=6,H88&gt;=6),"AT RISK",AND(F88&lt;=2,G88&gt;=8,H88&gt;=8),"CAN'T LOSE THEM",AND(F88&lt;=2,G88&lt;=2,H88&lt;=2),"HIBERNATING",TRUE(),"Other")</f>
        <v>Other</v>
      </c>
      <c r="K88" s="1" t="n">
        <f aca="false">RANK(E88,$E$7:$E$4378)+COUNTIF($E$7:E88,E88)-1</f>
        <v>1628</v>
      </c>
    </row>
    <row r="89" customFormat="false" ht="14.25" hidden="false" customHeight="true" outlineLevel="0" collapsed="false">
      <c r="A89" s="51" t="n">
        <v>12447</v>
      </c>
      <c r="B89" s="53" t="n">
        <v>40643.5590277778</v>
      </c>
      <c r="C89" s="57" t="n">
        <f aca="false">INT($C$2)-INT(Table3[[#This Row],[Last Purchase Date]])</f>
        <v>244</v>
      </c>
      <c r="D89" s="1" t="n">
        <v>1</v>
      </c>
      <c r="E89" s="1" t="n">
        <v>476.49</v>
      </c>
      <c r="F89" s="1" t="n">
        <f aca="false">ROUND((1-_xlfn.PERCENTRANK.INC($C$7:$C$4378,C89))*9,0)</f>
        <v>1</v>
      </c>
      <c r="G89" s="1" t="n">
        <f aca="false">ROUND(_xlfn.PERCENTRANK.INC($D$7:$D$4378,D89)*9,0)</f>
        <v>0</v>
      </c>
      <c r="H89" s="1" t="n">
        <f aca="false">ROUND(_xlfn.PERCENTRANK.INC($E$7:$E$4378,E89)*9,0)</f>
        <v>4</v>
      </c>
      <c r="I89" s="1" t="str">
        <f aca="false">CONCATENATE(F89,G89,H89)</f>
        <v>104</v>
      </c>
      <c r="J89" s="1" t="str">
        <f aca="false">_xlfn.IFS(AND(F89&gt;=8,G89&gt;=8,H89&gt;=8),"CHAMPION",AND(F89&gt;=6,G89&gt;=7,H89&gt;=6),"LOYAL CUSTOMER",AND(F89&gt;=6,G89&gt;=5,H89&gt;=5),"POTENTIAL LOYALIST",AND(F89&gt;=8,G89&lt;=2,H89&gt;=5),"NEW CUSTOMERS",AND(F89&gt;=6,G89&lt;=2,H89&gt;=3),"PROMISING",AND(F89&gt;=3,G89&gt;=3,H89&gt;=3),"NEED ATTENTION",AND(F89&lt;=4,G89&gt;=6,H89&gt;=6),"AT RISK",AND(F89&lt;=2,G89&gt;=8,H89&gt;=8),"CAN'T LOSE THEM",AND(F89&lt;=2,G89&lt;=2,H89&lt;=2),"HIBERNATING",TRUE(),"Other")</f>
        <v>Other</v>
      </c>
      <c r="K89" s="1" t="n">
        <f aca="false">RANK(E89,$E$7:$E$4378)+COUNTIF($E$7:E89,E89)-1</f>
        <v>2602</v>
      </c>
    </row>
    <row r="90" customFormat="false" ht="14.25" hidden="false" customHeight="true" outlineLevel="0" collapsed="false">
      <c r="A90" s="51" t="n">
        <v>12448</v>
      </c>
      <c r="B90" s="53" t="n">
        <v>40842.5736111111</v>
      </c>
      <c r="C90" s="57" t="n">
        <f aca="false">INT($C$2)-INT(Table3[[#This Row],[Last Purchase Date]])</f>
        <v>45</v>
      </c>
      <c r="D90" s="1" t="n">
        <v>1</v>
      </c>
      <c r="E90" s="1" t="n">
        <v>449.45</v>
      </c>
      <c r="F90" s="1" t="n">
        <f aca="false">ROUND((1-_xlfn.PERCENTRANK.INC($C$7:$C$4378,C90))*9,0)</f>
        <v>5</v>
      </c>
      <c r="G90" s="1" t="n">
        <f aca="false">ROUND(_xlfn.PERCENTRANK.INC($D$7:$D$4378,D90)*9,0)</f>
        <v>0</v>
      </c>
      <c r="H90" s="1" t="n">
        <f aca="false">ROUND(_xlfn.PERCENTRANK.INC($E$7:$E$4378,E90)*9,0)</f>
        <v>3</v>
      </c>
      <c r="I90" s="1" t="str">
        <f aca="false">CONCATENATE(F90,G90,H90)</f>
        <v>503</v>
      </c>
      <c r="J90" s="1" t="str">
        <f aca="false">_xlfn.IFS(AND(F90&gt;=8,G90&gt;=8,H90&gt;=8),"CHAMPION",AND(F90&gt;=6,G90&gt;=7,H90&gt;=6),"LOYAL CUSTOMER",AND(F90&gt;=6,G90&gt;=5,H90&gt;=5),"POTENTIAL LOYALIST",AND(F90&gt;=8,G90&lt;=2,H90&gt;=5),"NEW CUSTOMERS",AND(F90&gt;=6,G90&lt;=2,H90&gt;=3),"PROMISING",AND(F90&gt;=3,G90&gt;=3,H90&gt;=3),"NEED ATTENTION",AND(F90&lt;=4,G90&gt;=6,H90&gt;=6),"AT RISK",AND(F90&lt;=2,G90&gt;=8,H90&gt;=8),"CAN'T LOSE THEM",AND(F90&lt;=2,G90&lt;=2,H90&lt;=2),"HIBERNATING",TRUE(),"Other")</f>
        <v>Other</v>
      </c>
      <c r="K90" s="1" t="n">
        <f aca="false">RANK(E90,$E$7:$E$4378)+COUNTIF($E$7:E90,E90)-1</f>
        <v>2676</v>
      </c>
    </row>
    <row r="91" customFormat="false" ht="14.25" hidden="false" customHeight="true" outlineLevel="0" collapsed="false">
      <c r="A91" s="51" t="n">
        <v>12449</v>
      </c>
      <c r="B91" s="53" t="n">
        <v>40864.5736111111</v>
      </c>
      <c r="C91" s="57" t="n">
        <f aca="false">INT($C$2)-INT(Table3[[#This Row],[Last Purchase Date]])</f>
        <v>23</v>
      </c>
      <c r="D91" s="1" t="n">
        <v>4</v>
      </c>
      <c r="E91" s="1" t="n">
        <v>4067.29</v>
      </c>
      <c r="F91" s="1" t="n">
        <f aca="false">ROUND((1-_xlfn.PERCENTRANK.INC($C$7:$C$4378,C91))*9,0)</f>
        <v>6</v>
      </c>
      <c r="G91" s="1" t="n">
        <f aca="false">ROUND(_xlfn.PERCENTRANK.INC($D$7:$D$4378,D91)*9,0)</f>
        <v>5</v>
      </c>
      <c r="H91" s="1" t="n">
        <f aca="false">ROUND(_xlfn.PERCENTRANK.INC($E$7:$E$4378,E91)*9,0)</f>
        <v>8</v>
      </c>
      <c r="I91" s="1" t="str">
        <f aca="false">CONCATENATE(F91,G91,H91)</f>
        <v>658</v>
      </c>
      <c r="J91" s="1" t="str">
        <f aca="false">_xlfn.IFS(AND(F91&gt;=8,G91&gt;=8,H91&gt;=8),"CHAMPION",AND(F91&gt;=6,G91&gt;=7,H91&gt;=6),"LOYAL CUSTOMER",AND(F91&gt;=6,G91&gt;=5,H91&gt;=5),"POTENTIAL LOYALIST",AND(F91&gt;=8,G91&lt;=2,H91&gt;=5),"NEW CUSTOMERS",AND(F91&gt;=6,G91&lt;=2,H91&gt;=3),"PROMISING",AND(F91&gt;=3,G91&gt;=3,H91&gt;=3),"NEED ATTENTION",AND(F91&lt;=4,G91&gt;=6,H91&gt;=6),"AT RISK",AND(F91&lt;=2,G91&gt;=8,H91&gt;=8),"CAN'T LOSE THEM",AND(F91&lt;=2,G91&lt;=2,H91&lt;=2),"HIBERNATING",TRUE(),"Other")</f>
        <v>POTENTIAL LOYALIST</v>
      </c>
      <c r="K91" s="1" t="n">
        <f aca="false">RANK(E91,$E$7:$E$4378)+COUNTIF($E$7:E91,E91)-1</f>
        <v>343</v>
      </c>
    </row>
    <row r="92" customFormat="false" ht="14.25" hidden="false" customHeight="true" outlineLevel="0" collapsed="false">
      <c r="A92" s="51" t="n">
        <v>12450</v>
      </c>
      <c r="B92" s="53" t="n">
        <v>40730.6118055556</v>
      </c>
      <c r="C92" s="57" t="n">
        <f aca="false">INT($C$2)-INT(Table3[[#This Row],[Last Purchase Date]])</f>
        <v>157</v>
      </c>
      <c r="D92" s="1" t="n">
        <v>2</v>
      </c>
      <c r="E92" s="1" t="n">
        <v>197.88</v>
      </c>
      <c r="F92" s="1" t="n">
        <f aca="false">ROUND((1-_xlfn.PERCENTRANK.INC($C$7:$C$4378,C92))*9,0)</f>
        <v>2</v>
      </c>
      <c r="G92" s="1" t="n">
        <f aca="false">ROUND(_xlfn.PERCENTRANK.INC($D$7:$D$4378,D92)*9,0)</f>
        <v>3</v>
      </c>
      <c r="H92" s="1" t="n">
        <f aca="false">ROUND(_xlfn.PERCENTRANK.INC($E$7:$E$4378,E92)*9,0)</f>
        <v>1</v>
      </c>
      <c r="I92" s="1" t="str">
        <f aca="false">CONCATENATE(F92,G92,H92)</f>
        <v>231</v>
      </c>
      <c r="J92" s="1" t="str">
        <f aca="false">_xlfn.IFS(AND(F92&gt;=8,G92&gt;=8,H92&gt;=8),"CHAMPION",AND(F92&gt;=6,G92&gt;=7,H92&gt;=6),"LOYAL CUSTOMER",AND(F92&gt;=6,G92&gt;=5,H92&gt;=5),"POTENTIAL LOYALIST",AND(F92&gt;=8,G92&lt;=2,H92&gt;=5),"NEW CUSTOMERS",AND(F92&gt;=6,G92&lt;=2,H92&gt;=3),"PROMISING",AND(F92&gt;=3,G92&gt;=3,H92&gt;=3),"NEED ATTENTION",AND(F92&lt;=4,G92&gt;=6,H92&gt;=6),"AT RISK",AND(F92&lt;=2,G92&gt;=8,H92&gt;=8),"CAN'T LOSE THEM",AND(F92&lt;=2,G92&lt;=2,H92&lt;=2),"HIBERNATING",TRUE(),"Other")</f>
        <v>Other</v>
      </c>
      <c r="K92" s="1" t="n">
        <f aca="false">RANK(E92,$E$7:$E$4378)+COUNTIF($E$7:E92,E92)-1</f>
        <v>3668</v>
      </c>
    </row>
    <row r="93" customFormat="false" ht="14.25" hidden="false" customHeight="true" outlineLevel="0" collapsed="false">
      <c r="A93" s="51" t="n">
        <v>12451</v>
      </c>
      <c r="B93" s="53" t="n">
        <v>40876.3611111111</v>
      </c>
      <c r="C93" s="57" t="n">
        <f aca="false">INT($C$2)-INT(Table3[[#This Row],[Last Purchase Date]])</f>
        <v>11</v>
      </c>
      <c r="D93" s="1" t="n">
        <v>6</v>
      </c>
      <c r="E93" s="1" t="n">
        <v>8933.52</v>
      </c>
      <c r="F93" s="1" t="n">
        <f aca="false">ROUND((1-_xlfn.PERCENTRANK.INC($C$7:$C$4378,C93))*9,0)</f>
        <v>7</v>
      </c>
      <c r="G93" s="1" t="n">
        <f aca="false">ROUND(_xlfn.PERCENTRANK.INC($D$7:$D$4378,D93)*9,0)</f>
        <v>7</v>
      </c>
      <c r="H93" s="1" t="n">
        <f aca="false">ROUND(_xlfn.PERCENTRANK.INC($E$7:$E$4378,E93)*9,0)</f>
        <v>9</v>
      </c>
      <c r="I93" s="1" t="str">
        <f aca="false">CONCATENATE(F93,G93,H93)</f>
        <v>779</v>
      </c>
      <c r="J93" s="1" t="str">
        <f aca="false">_xlfn.IFS(AND(F93&gt;=8,G93&gt;=8,H93&gt;=8),"CHAMPION",AND(F93&gt;=6,G93&gt;=7,H93&gt;=6),"LOYAL CUSTOMER",AND(F93&gt;=6,G93&gt;=5,H93&gt;=5),"POTENTIAL LOYALIST",AND(F93&gt;=8,G93&lt;=2,H93&gt;=5),"NEW CUSTOMERS",AND(F93&gt;=6,G93&lt;=2,H93&gt;=3),"PROMISING",AND(F93&gt;=3,G93&gt;=3,H93&gt;=3),"NEED ATTENTION",AND(F93&lt;=4,G93&gt;=6,H93&gt;=6),"AT RISK",AND(F93&lt;=2,G93&gt;=8,H93&gt;=8),"CAN'T LOSE THEM",AND(F93&lt;=2,G93&lt;=2,H93&lt;=2),"HIBERNATING",TRUE(),"Other")</f>
        <v>LOYAL CUSTOMER</v>
      </c>
      <c r="K93" s="1" t="n">
        <f aca="false">RANK(E93,$E$7:$E$4378)+COUNTIF($E$7:E93,E93)-1</f>
        <v>112</v>
      </c>
    </row>
    <row r="94" customFormat="false" ht="14.25" hidden="false" customHeight="true" outlineLevel="0" collapsed="false">
      <c r="A94" s="51" t="n">
        <v>12452</v>
      </c>
      <c r="B94" s="53" t="n">
        <v>40870.4361111111</v>
      </c>
      <c r="C94" s="57" t="n">
        <f aca="false">INT($C$2)-INT(Table3[[#This Row],[Last Purchase Date]])</f>
        <v>17</v>
      </c>
      <c r="D94" s="1" t="n">
        <v>3</v>
      </c>
      <c r="E94" s="1" t="n">
        <v>428.57</v>
      </c>
      <c r="F94" s="1" t="n">
        <f aca="false">ROUND((1-_xlfn.PERCENTRANK.INC($C$7:$C$4378,C94))*9,0)</f>
        <v>7</v>
      </c>
      <c r="G94" s="1" t="n">
        <f aca="false">ROUND(_xlfn.PERCENTRANK.INC($D$7:$D$4378,D94)*9,0)</f>
        <v>4</v>
      </c>
      <c r="H94" s="1" t="n">
        <f aca="false">ROUND(_xlfn.PERCENTRANK.INC($E$7:$E$4378,E94)*9,0)</f>
        <v>3</v>
      </c>
      <c r="I94" s="1" t="str">
        <f aca="false">CONCATENATE(F94,G94,H94)</f>
        <v>743</v>
      </c>
      <c r="J94" s="1" t="str">
        <f aca="false">_xlfn.IFS(AND(F94&gt;=8,G94&gt;=8,H94&gt;=8),"CHAMPION",AND(F94&gt;=6,G94&gt;=7,H94&gt;=6),"LOYAL CUSTOMER",AND(F94&gt;=6,G94&gt;=5,H94&gt;=5),"POTENTIAL LOYALIST",AND(F94&gt;=8,G94&lt;=2,H94&gt;=5),"NEW CUSTOMERS",AND(F94&gt;=6,G94&lt;=2,H94&gt;=3),"PROMISING",AND(F94&gt;=3,G94&gt;=3,H94&gt;=3),"NEED ATTENTION",AND(F94&lt;=4,G94&gt;=6,H94&gt;=6),"AT RISK",AND(F94&lt;=2,G94&gt;=8,H94&gt;=8),"CAN'T LOSE THEM",AND(F94&lt;=2,G94&lt;=2,H94&lt;=2),"HIBERNATING",TRUE(),"Other")</f>
        <v>NEED ATTENTION</v>
      </c>
      <c r="K94" s="1" t="n">
        <f aca="false">RANK(E94,$E$7:$E$4378)+COUNTIF($E$7:E94,E94)-1</f>
        <v>2727</v>
      </c>
    </row>
    <row r="95" customFormat="false" ht="14.25" hidden="false" customHeight="true" outlineLevel="0" collapsed="false">
      <c r="A95" s="51" t="n">
        <v>12453</v>
      </c>
      <c r="B95" s="53" t="n">
        <v>40752.5888888889</v>
      </c>
      <c r="C95" s="57" t="n">
        <f aca="false">INT($C$2)-INT(Table3[[#This Row],[Last Purchase Date]])</f>
        <v>135</v>
      </c>
      <c r="D95" s="1" t="n">
        <v>1</v>
      </c>
      <c r="E95" s="1" t="n">
        <v>707.09</v>
      </c>
      <c r="F95" s="1" t="n">
        <f aca="false">ROUND((1-_xlfn.PERCENTRANK.INC($C$7:$C$4378,C95))*9,0)</f>
        <v>2</v>
      </c>
      <c r="G95" s="1" t="n">
        <f aca="false">ROUND(_xlfn.PERCENTRANK.INC($D$7:$D$4378,D95)*9,0)</f>
        <v>0</v>
      </c>
      <c r="H95" s="1" t="n">
        <f aca="false">ROUND(_xlfn.PERCENTRANK.INC($E$7:$E$4378,E95)*9,0)</f>
        <v>5</v>
      </c>
      <c r="I95" s="1" t="str">
        <f aca="false">CONCATENATE(F95,G95,H95)</f>
        <v>205</v>
      </c>
      <c r="J95" s="1" t="str">
        <f aca="false">_xlfn.IFS(AND(F95&gt;=8,G95&gt;=8,H95&gt;=8),"CHAMPION",AND(F95&gt;=6,G95&gt;=7,H95&gt;=6),"LOYAL CUSTOMER",AND(F95&gt;=6,G95&gt;=5,H95&gt;=5),"POTENTIAL LOYALIST",AND(F95&gt;=8,G95&lt;=2,H95&gt;=5),"NEW CUSTOMERS",AND(F95&gt;=6,G95&lt;=2,H95&gt;=3),"PROMISING",AND(F95&gt;=3,G95&gt;=3,H95&gt;=3),"NEED ATTENTION",AND(F95&lt;=4,G95&gt;=6,H95&gt;=6),"AT RISK",AND(F95&lt;=2,G95&gt;=8,H95&gt;=8),"CAN'T LOSE THEM",AND(F95&lt;=2,G95&lt;=2,H95&lt;=2),"HIBERNATING",TRUE(),"Other")</f>
        <v>Other</v>
      </c>
      <c r="K95" s="1" t="n">
        <f aca="false">RANK(E95,$E$7:$E$4378)+COUNTIF($E$7:E95,E95)-1</f>
        <v>2052</v>
      </c>
    </row>
    <row r="96" customFormat="false" ht="14.25" hidden="false" customHeight="true" outlineLevel="0" collapsed="false">
      <c r="A96" s="51" t="n">
        <v>12454</v>
      </c>
      <c r="B96" s="53" t="n">
        <v>40833.6298611111</v>
      </c>
      <c r="C96" s="57" t="n">
        <f aca="false">INT($C$2)-INT(Table3[[#This Row],[Last Purchase Date]])</f>
        <v>54</v>
      </c>
      <c r="D96" s="1" t="n">
        <v>2</v>
      </c>
      <c r="E96" s="1" t="n">
        <v>-5.6843418860808E-014</v>
      </c>
      <c r="F96" s="1" t="n">
        <f aca="false">ROUND((1-_xlfn.PERCENTRANK.INC($C$7:$C$4378,C96))*9,0)</f>
        <v>4</v>
      </c>
      <c r="G96" s="1" t="n">
        <f aca="false">ROUND(_xlfn.PERCENTRANK.INC($D$7:$D$4378,D96)*9,0)</f>
        <v>3</v>
      </c>
      <c r="H96" s="1" t="n">
        <f aca="false">ROUND(_xlfn.PERCENTRANK.INC($E$7:$E$4378,E96)*9,0)</f>
        <v>0</v>
      </c>
      <c r="I96" s="1" t="str">
        <f aca="false">CONCATENATE(F96,G96,H96)</f>
        <v>430</v>
      </c>
      <c r="J96" s="1" t="str">
        <f aca="false">_xlfn.IFS(AND(F96&gt;=8,G96&gt;=8,H96&gt;=8),"CHAMPION",AND(F96&gt;=6,G96&gt;=7,H96&gt;=6),"LOYAL CUSTOMER",AND(F96&gt;=6,G96&gt;=5,H96&gt;=5),"POTENTIAL LOYALIST",AND(F96&gt;=8,G96&lt;=2,H96&gt;=5),"NEW CUSTOMERS",AND(F96&gt;=6,G96&lt;=2,H96&gt;=3),"PROMISING",AND(F96&gt;=3,G96&gt;=3,H96&gt;=3),"NEED ATTENTION",AND(F96&lt;=4,G96&gt;=6,H96&gt;=6),"AT RISK",AND(F96&lt;=2,G96&gt;=8,H96&gt;=8),"CAN'T LOSE THEM",AND(F96&lt;=2,G96&lt;=2,H96&lt;=2),"HIBERNATING",TRUE(),"Other")</f>
        <v>Other</v>
      </c>
      <c r="K96" s="1" t="n">
        <f aca="false">RANK(E96,$E$7:$E$4378)+COUNTIF($E$7:E96,E96)-1</f>
        <v>4330</v>
      </c>
    </row>
    <row r="97" customFormat="false" ht="14.25" hidden="false" customHeight="true" outlineLevel="0" collapsed="false">
      <c r="A97" s="51" t="n">
        <v>12455</v>
      </c>
      <c r="B97" s="53" t="n">
        <v>40813.6465277778</v>
      </c>
      <c r="C97" s="57" t="n">
        <f aca="false">INT($C$2)-INT(Table3[[#This Row],[Last Purchase Date]])</f>
        <v>74</v>
      </c>
      <c r="D97" s="1" t="n">
        <v>6</v>
      </c>
      <c r="E97" s="1" t="n">
        <v>2466.86</v>
      </c>
      <c r="F97" s="1" t="n">
        <f aca="false">ROUND((1-_xlfn.PERCENTRANK.INC($C$7:$C$4378,C97))*9,0)</f>
        <v>3</v>
      </c>
      <c r="G97" s="1" t="n">
        <f aca="false">ROUND(_xlfn.PERCENTRANK.INC($D$7:$D$4378,D97)*9,0)</f>
        <v>7</v>
      </c>
      <c r="H97" s="1" t="n">
        <f aca="false">ROUND(_xlfn.PERCENTRANK.INC($E$7:$E$4378,E97)*9,0)</f>
        <v>8</v>
      </c>
      <c r="I97" s="1" t="str">
        <f aca="false">CONCATENATE(F97,G97,H97)</f>
        <v>378</v>
      </c>
      <c r="J97" s="1" t="str">
        <f aca="false">_xlfn.IFS(AND(F97&gt;=8,G97&gt;=8,H97&gt;=8),"CHAMPION",AND(F97&gt;=6,G97&gt;=7,H97&gt;=6),"LOYAL CUSTOMER",AND(F97&gt;=6,G97&gt;=5,H97&gt;=5),"POTENTIAL LOYALIST",AND(F97&gt;=8,G97&lt;=2,H97&gt;=5),"NEW CUSTOMERS",AND(F97&gt;=6,G97&lt;=2,H97&gt;=3),"PROMISING",AND(F97&gt;=3,G97&gt;=3,H97&gt;=3),"NEED ATTENTION",AND(F97&lt;=4,G97&gt;=6,H97&gt;=6),"AT RISK",AND(F97&lt;=2,G97&gt;=8,H97&gt;=8),"CAN'T LOSE THEM",AND(F97&lt;=2,G97&lt;=2,H97&lt;=2),"HIBERNATING",TRUE(),"Other")</f>
        <v>NEED ATTENTION</v>
      </c>
      <c r="K97" s="1" t="n">
        <f aca="false">RANK(E97,$E$7:$E$4378)+COUNTIF($E$7:E97,E97)-1</f>
        <v>690</v>
      </c>
    </row>
    <row r="98" customFormat="false" ht="14.25" hidden="false" customHeight="true" outlineLevel="0" collapsed="false">
      <c r="A98" s="51" t="n">
        <v>12456</v>
      </c>
      <c r="B98" s="53" t="n">
        <v>40842.6118055556</v>
      </c>
      <c r="C98" s="57" t="n">
        <f aca="false">INT($C$2)-INT(Table3[[#This Row],[Last Purchase Date]])</f>
        <v>45</v>
      </c>
      <c r="D98" s="1" t="n">
        <v>4</v>
      </c>
      <c r="E98" s="1" t="n">
        <v>3153.89</v>
      </c>
      <c r="F98" s="1" t="n">
        <f aca="false">ROUND((1-_xlfn.PERCENTRANK.INC($C$7:$C$4378,C98))*9,0)</f>
        <v>5</v>
      </c>
      <c r="G98" s="1" t="n">
        <f aca="false">ROUND(_xlfn.PERCENTRANK.INC($D$7:$D$4378,D98)*9,0)</f>
        <v>5</v>
      </c>
      <c r="H98" s="1" t="n">
        <f aca="false">ROUND(_xlfn.PERCENTRANK.INC($E$7:$E$4378,E98)*9,0)</f>
        <v>8</v>
      </c>
      <c r="I98" s="1" t="str">
        <f aca="false">CONCATENATE(F98,G98,H98)</f>
        <v>558</v>
      </c>
      <c r="J98" s="1" t="str">
        <f aca="false">_xlfn.IFS(AND(F98&gt;=8,G98&gt;=8,H98&gt;=8),"CHAMPION",AND(F98&gt;=6,G98&gt;=7,H98&gt;=6),"LOYAL CUSTOMER",AND(F98&gt;=6,G98&gt;=5,H98&gt;=5),"POTENTIAL LOYALIST",AND(F98&gt;=8,G98&lt;=2,H98&gt;=5),"NEW CUSTOMERS",AND(F98&gt;=6,G98&lt;=2,H98&gt;=3),"PROMISING",AND(F98&gt;=3,G98&gt;=3,H98&gt;=3),"NEED ATTENTION",AND(F98&lt;=4,G98&gt;=6,H98&gt;=6),"AT RISK",AND(F98&lt;=2,G98&gt;=8,H98&gt;=8),"CAN'T LOSE THEM",AND(F98&lt;=2,G98&lt;=2,H98&lt;=2),"HIBERNATING",TRUE(),"Other")</f>
        <v>NEED ATTENTION</v>
      </c>
      <c r="K98" s="1" t="n">
        <f aca="false">RANK(E98,$E$7:$E$4378)+COUNTIF($E$7:E98,E98)-1</f>
        <v>503</v>
      </c>
    </row>
    <row r="99" customFormat="false" ht="14.25" hidden="false" customHeight="true" outlineLevel="0" collapsed="false">
      <c r="A99" s="51" t="n">
        <v>12457</v>
      </c>
      <c r="B99" s="53" t="n">
        <v>40828.5736111111</v>
      </c>
      <c r="C99" s="57" t="n">
        <f aca="false">INT($C$2)-INT(Table3[[#This Row],[Last Purchase Date]])</f>
        <v>59</v>
      </c>
      <c r="D99" s="1" t="n">
        <v>12</v>
      </c>
      <c r="E99" s="1" t="n">
        <v>1917.78</v>
      </c>
      <c r="F99" s="1" t="n">
        <f aca="false">ROUND((1-_xlfn.PERCENTRANK.INC($C$7:$C$4378,C99))*9,0)</f>
        <v>4</v>
      </c>
      <c r="G99" s="1" t="n">
        <f aca="false">ROUND(_xlfn.PERCENTRANK.INC($D$7:$D$4378,D99)*9,0)</f>
        <v>8</v>
      </c>
      <c r="H99" s="1" t="n">
        <f aca="false">ROUND(_xlfn.PERCENTRANK.INC($E$7:$E$4378,E99)*9,0)</f>
        <v>7</v>
      </c>
      <c r="I99" s="1" t="str">
        <f aca="false">CONCATENATE(F99,G99,H99)</f>
        <v>487</v>
      </c>
      <c r="J99" s="1" t="str">
        <f aca="false">_xlfn.IFS(AND(F99&gt;=8,G99&gt;=8,H99&gt;=8),"CHAMPION",AND(F99&gt;=6,G99&gt;=7,H99&gt;=6),"LOYAL CUSTOMER",AND(F99&gt;=6,G99&gt;=5,H99&gt;=5),"POTENTIAL LOYALIST",AND(F99&gt;=8,G99&lt;=2,H99&gt;=5),"NEW CUSTOMERS",AND(F99&gt;=6,G99&lt;=2,H99&gt;=3),"PROMISING",AND(F99&gt;=3,G99&gt;=3,H99&gt;=3),"NEED ATTENTION",AND(F99&lt;=4,G99&gt;=6,H99&gt;=6),"AT RISK",AND(F99&lt;=2,G99&gt;=8,H99&gt;=8),"CAN'T LOSE THEM",AND(F99&lt;=2,G99&lt;=2,H99&lt;=2),"HIBERNATING",TRUE(),"Other")</f>
        <v>NEED ATTENTION</v>
      </c>
      <c r="K99" s="1" t="n">
        <f aca="false">RANK(E99,$E$7:$E$4378)+COUNTIF($E$7:E99,E99)-1</f>
        <v>910</v>
      </c>
    </row>
    <row r="100" customFormat="false" ht="14.25" hidden="false" customHeight="true" outlineLevel="0" collapsed="false">
      <c r="A100" s="51" t="n">
        <v>12458</v>
      </c>
      <c r="B100" s="53" t="n">
        <v>40815.6423611111</v>
      </c>
      <c r="C100" s="57" t="n">
        <f aca="false">INT($C$2)-INT(Table3[[#This Row],[Last Purchase Date]])</f>
        <v>72</v>
      </c>
      <c r="D100" s="1" t="n">
        <v>2</v>
      </c>
      <c r="E100" s="1" t="n">
        <v>947.4</v>
      </c>
      <c r="F100" s="1" t="n">
        <f aca="false">ROUND((1-_xlfn.PERCENTRANK.INC($C$7:$C$4378,C100))*9,0)</f>
        <v>4</v>
      </c>
      <c r="G100" s="1" t="n">
        <f aca="false">ROUND(_xlfn.PERCENTRANK.INC($D$7:$D$4378,D100)*9,0)</f>
        <v>3</v>
      </c>
      <c r="H100" s="1" t="n">
        <f aca="false">ROUND(_xlfn.PERCENTRANK.INC($E$7:$E$4378,E100)*9,0)</f>
        <v>5</v>
      </c>
      <c r="I100" s="1" t="str">
        <f aca="false">CONCATENATE(F100,G100,H100)</f>
        <v>435</v>
      </c>
      <c r="J100" s="1" t="str">
        <f aca="false">_xlfn.IFS(AND(F100&gt;=8,G100&gt;=8,H100&gt;=8),"CHAMPION",AND(F100&gt;=6,G100&gt;=7,H100&gt;=6),"LOYAL CUSTOMER",AND(F100&gt;=6,G100&gt;=5,H100&gt;=5),"POTENTIAL LOYALIST",AND(F100&gt;=8,G100&lt;=2,H100&gt;=5),"NEW CUSTOMERS",AND(F100&gt;=6,G100&lt;=2,H100&gt;=3),"PROMISING",AND(F100&gt;=3,G100&gt;=3,H100&gt;=3),"NEED ATTENTION",AND(F100&lt;=4,G100&gt;=6,H100&gt;=6),"AT RISK",AND(F100&lt;=2,G100&gt;=8,H100&gt;=8),"CAN'T LOSE THEM",AND(F100&lt;=2,G100&lt;=2,H100&lt;=2),"HIBERNATING",TRUE(),"Other")</f>
        <v>NEED ATTENTION</v>
      </c>
      <c r="K100" s="1" t="n">
        <f aca="false">RANK(E100,$E$7:$E$4378)+COUNTIF($E$7:E100,E100)-1</f>
        <v>1700</v>
      </c>
    </row>
    <row r="101" customFormat="false" ht="14.25" hidden="false" customHeight="true" outlineLevel="0" collapsed="false">
      <c r="A101" s="51" t="n">
        <v>12461</v>
      </c>
      <c r="B101" s="53" t="n">
        <v>40792.70625</v>
      </c>
      <c r="C101" s="57" t="n">
        <f aca="false">INT($C$2)-INT(Table3[[#This Row],[Last Purchase Date]])</f>
        <v>95</v>
      </c>
      <c r="D101" s="1" t="n">
        <v>2</v>
      </c>
      <c r="E101" s="1" t="n">
        <v>826.88</v>
      </c>
      <c r="F101" s="1" t="n">
        <f aca="false">ROUND((1-_xlfn.PERCENTRANK.INC($C$7:$C$4378,C101))*9,0)</f>
        <v>3</v>
      </c>
      <c r="G101" s="1" t="n">
        <f aca="false">ROUND(_xlfn.PERCENTRANK.INC($D$7:$D$4378,D101)*9,0)</f>
        <v>3</v>
      </c>
      <c r="H101" s="1" t="n">
        <f aca="false">ROUND(_xlfn.PERCENTRANK.INC($E$7:$E$4378,E101)*9,0)</f>
        <v>5</v>
      </c>
      <c r="I101" s="1" t="str">
        <f aca="false">CONCATENATE(F101,G101,H101)</f>
        <v>335</v>
      </c>
      <c r="J101" s="1" t="str">
        <f aca="false">_xlfn.IFS(AND(F101&gt;=8,G101&gt;=8,H101&gt;=8),"CHAMPION",AND(F101&gt;=6,G101&gt;=7,H101&gt;=6),"LOYAL CUSTOMER",AND(F101&gt;=6,G101&gt;=5,H101&gt;=5),"POTENTIAL LOYALIST",AND(F101&gt;=8,G101&lt;=2,H101&gt;=5),"NEW CUSTOMERS",AND(F101&gt;=6,G101&lt;=2,H101&gt;=3),"PROMISING",AND(F101&gt;=3,G101&gt;=3,H101&gt;=3),"NEED ATTENTION",AND(F101&lt;=4,G101&gt;=6,H101&gt;=6),"AT RISK",AND(F101&lt;=2,G101&gt;=8,H101&gt;=8),"CAN'T LOSE THEM",AND(F101&lt;=2,G101&lt;=2,H101&lt;=2),"HIBERNATING",TRUE(),"Other")</f>
        <v>NEED ATTENTION</v>
      </c>
      <c r="K101" s="1" t="n">
        <f aca="false">RANK(E101,$E$7:$E$4378)+COUNTIF($E$7:E101,E101)-1</f>
        <v>1857</v>
      </c>
    </row>
    <row r="102" customFormat="false" ht="14.25" hidden="false" customHeight="true" outlineLevel="0" collapsed="false">
      <c r="A102" s="51" t="n">
        <v>12462</v>
      </c>
      <c r="B102" s="53" t="n">
        <v>40884.5847222222</v>
      </c>
      <c r="C102" s="57" t="n">
        <f aca="false">INT($C$2)-INT(Table3[[#This Row],[Last Purchase Date]])</f>
        <v>3</v>
      </c>
      <c r="D102" s="1" t="n">
        <v>4</v>
      </c>
      <c r="E102" s="1" t="n">
        <v>1124.01</v>
      </c>
      <c r="F102" s="1" t="n">
        <f aca="false">ROUND((1-_xlfn.PERCENTRANK.INC($C$7:$C$4378,C102))*9,0)</f>
        <v>9</v>
      </c>
      <c r="G102" s="1" t="n">
        <f aca="false">ROUND(_xlfn.PERCENTRANK.INC($D$7:$D$4378,D102)*9,0)</f>
        <v>5</v>
      </c>
      <c r="H102" s="1" t="n">
        <f aca="false">ROUND(_xlfn.PERCENTRANK.INC($E$7:$E$4378,E102)*9,0)</f>
        <v>6</v>
      </c>
      <c r="I102" s="1" t="str">
        <f aca="false">CONCATENATE(F102,G102,H102)</f>
        <v>956</v>
      </c>
      <c r="J102" s="1" t="str">
        <f aca="false">_xlfn.IFS(AND(F102&gt;=8,G102&gt;=8,H102&gt;=8),"CHAMPION",AND(F102&gt;=6,G102&gt;=7,H102&gt;=6),"LOYAL CUSTOMER",AND(F102&gt;=6,G102&gt;=5,H102&gt;=5),"POTENTIAL LOYALIST",AND(F102&gt;=8,G102&lt;=2,H102&gt;=5),"NEW CUSTOMERS",AND(F102&gt;=6,G102&lt;=2,H102&gt;=3),"PROMISING",AND(F102&gt;=3,G102&gt;=3,H102&gt;=3),"NEED ATTENTION",AND(F102&lt;=4,G102&gt;=6,H102&gt;=6),"AT RISK",AND(F102&lt;=2,G102&gt;=8,H102&gt;=8),"CAN'T LOSE THEM",AND(F102&lt;=2,G102&lt;=2,H102&lt;=2),"HIBERNATING",TRUE(),"Other")</f>
        <v>POTENTIAL LOYALIST</v>
      </c>
      <c r="K102" s="1" t="n">
        <f aca="false">RANK(E102,$E$7:$E$4378)+COUNTIF($E$7:E102,E102)-1</f>
        <v>1480</v>
      </c>
    </row>
    <row r="103" customFormat="false" ht="14.25" hidden="false" customHeight="true" outlineLevel="0" collapsed="false">
      <c r="A103" s="51" t="n">
        <v>12463</v>
      </c>
      <c r="B103" s="53" t="n">
        <v>40840.5715277778</v>
      </c>
      <c r="C103" s="57" t="n">
        <f aca="false">INT($C$2)-INT(Table3[[#This Row],[Last Purchase Date]])</f>
        <v>47</v>
      </c>
      <c r="D103" s="1" t="n">
        <v>7</v>
      </c>
      <c r="E103" s="1" t="n">
        <v>1303.63</v>
      </c>
      <c r="F103" s="1" t="n">
        <f aca="false">ROUND((1-_xlfn.PERCENTRANK.INC($C$7:$C$4378,C103))*9,0)</f>
        <v>5</v>
      </c>
      <c r="G103" s="1" t="n">
        <f aca="false">ROUND(_xlfn.PERCENTRANK.INC($D$7:$D$4378,D103)*9,0)</f>
        <v>7</v>
      </c>
      <c r="H103" s="1" t="n">
        <f aca="false">ROUND(_xlfn.PERCENTRANK.INC($E$7:$E$4378,E103)*9,0)</f>
        <v>6</v>
      </c>
      <c r="I103" s="1" t="str">
        <f aca="false">CONCATENATE(F103,G103,H103)</f>
        <v>576</v>
      </c>
      <c r="J103" s="1" t="str">
        <f aca="false">_xlfn.IFS(AND(F103&gt;=8,G103&gt;=8,H103&gt;=8),"CHAMPION",AND(F103&gt;=6,G103&gt;=7,H103&gt;=6),"LOYAL CUSTOMER",AND(F103&gt;=6,G103&gt;=5,H103&gt;=5),"POTENTIAL LOYALIST",AND(F103&gt;=8,G103&lt;=2,H103&gt;=5),"NEW CUSTOMERS",AND(F103&gt;=6,G103&lt;=2,H103&gt;=3),"PROMISING",AND(F103&gt;=3,G103&gt;=3,H103&gt;=3),"NEED ATTENTION",AND(F103&lt;=4,G103&gt;=6,H103&gt;=6),"AT RISK",AND(F103&lt;=2,G103&gt;=8,H103&gt;=8),"CAN'T LOSE THEM",AND(F103&lt;=2,G103&lt;=2,H103&lt;=2),"HIBERNATING",TRUE(),"Other")</f>
        <v>NEED ATTENTION</v>
      </c>
      <c r="K103" s="1" t="n">
        <f aca="false">RANK(E103,$E$7:$E$4378)+COUNTIF($E$7:E103,E103)-1</f>
        <v>1325</v>
      </c>
    </row>
    <row r="104" customFormat="false" ht="14.25" hidden="false" customHeight="true" outlineLevel="0" collapsed="false">
      <c r="A104" s="51" t="n">
        <v>12464</v>
      </c>
      <c r="B104" s="53" t="n">
        <v>40876.5645833333</v>
      </c>
      <c r="C104" s="57" t="n">
        <f aca="false">INT($C$2)-INT(Table3[[#This Row],[Last Purchase Date]])</f>
        <v>11</v>
      </c>
      <c r="D104" s="1" t="n">
        <v>8</v>
      </c>
      <c r="E104" s="1" t="n">
        <v>1212.05</v>
      </c>
      <c r="F104" s="1" t="n">
        <f aca="false">ROUND((1-_xlfn.PERCENTRANK.INC($C$7:$C$4378,C104))*9,0)</f>
        <v>7</v>
      </c>
      <c r="G104" s="1" t="n">
        <f aca="false">ROUND(_xlfn.PERCENTRANK.INC($D$7:$D$4378,D104)*9,0)</f>
        <v>7</v>
      </c>
      <c r="H104" s="1" t="n">
        <f aca="false">ROUND(_xlfn.PERCENTRANK.INC($E$7:$E$4378,E104)*9,0)</f>
        <v>6</v>
      </c>
      <c r="I104" s="1" t="str">
        <f aca="false">CONCATENATE(F104,G104,H104)</f>
        <v>776</v>
      </c>
      <c r="J104" s="1" t="str">
        <f aca="false">_xlfn.IFS(AND(F104&gt;=8,G104&gt;=8,H104&gt;=8),"CHAMPION",AND(F104&gt;=6,G104&gt;=7,H104&gt;=6),"LOYAL CUSTOMER",AND(F104&gt;=6,G104&gt;=5,H104&gt;=5),"POTENTIAL LOYALIST",AND(F104&gt;=8,G104&lt;=2,H104&gt;=5),"NEW CUSTOMERS",AND(F104&gt;=6,G104&lt;=2,H104&gt;=3),"PROMISING",AND(F104&gt;=3,G104&gt;=3,H104&gt;=3),"NEED ATTENTION",AND(F104&lt;=4,G104&gt;=6,H104&gt;=6),"AT RISK",AND(F104&lt;=2,G104&gt;=8,H104&gt;=8),"CAN'T LOSE THEM",AND(F104&lt;=2,G104&lt;=2,H104&lt;=2),"HIBERNATING",TRUE(),"Other")</f>
        <v>LOYAL CUSTOMER</v>
      </c>
      <c r="K104" s="1" t="n">
        <f aca="false">RANK(E104,$E$7:$E$4378)+COUNTIF($E$7:E104,E104)-1</f>
        <v>1403</v>
      </c>
    </row>
    <row r="105" customFormat="false" ht="14.25" hidden="false" customHeight="true" outlineLevel="0" collapsed="false">
      <c r="A105" s="51" t="n">
        <v>12465</v>
      </c>
      <c r="B105" s="53" t="n">
        <v>40879.4819444444</v>
      </c>
      <c r="C105" s="57" t="n">
        <f aca="false">INT($C$2)-INT(Table3[[#This Row],[Last Purchase Date]])</f>
        <v>8</v>
      </c>
      <c r="D105" s="1" t="n">
        <v>3</v>
      </c>
      <c r="E105" s="1" t="n">
        <v>733.89</v>
      </c>
      <c r="F105" s="1" t="n">
        <f aca="false">ROUND((1-_xlfn.PERCENTRANK.INC($C$7:$C$4378,C105))*9,0)</f>
        <v>8</v>
      </c>
      <c r="G105" s="1" t="n">
        <f aca="false">ROUND(_xlfn.PERCENTRANK.INC($D$7:$D$4378,D105)*9,0)</f>
        <v>4</v>
      </c>
      <c r="H105" s="1" t="n">
        <f aca="false">ROUND(_xlfn.PERCENTRANK.INC($E$7:$E$4378,E105)*9,0)</f>
        <v>5</v>
      </c>
      <c r="I105" s="1" t="str">
        <f aca="false">CONCATENATE(F105,G105,H105)</f>
        <v>845</v>
      </c>
      <c r="J105" s="1" t="str">
        <f aca="false">_xlfn.IFS(AND(F105&gt;=8,G105&gt;=8,H105&gt;=8),"CHAMPION",AND(F105&gt;=6,G105&gt;=7,H105&gt;=6),"LOYAL CUSTOMER",AND(F105&gt;=6,G105&gt;=5,H105&gt;=5),"POTENTIAL LOYALIST",AND(F105&gt;=8,G105&lt;=2,H105&gt;=5),"NEW CUSTOMERS",AND(F105&gt;=6,G105&lt;=2,H105&gt;=3),"PROMISING",AND(F105&gt;=3,G105&gt;=3,H105&gt;=3),"NEED ATTENTION",AND(F105&lt;=4,G105&gt;=6,H105&gt;=6),"AT RISK",AND(F105&lt;=2,G105&gt;=8,H105&gt;=8),"CAN'T LOSE THEM",AND(F105&lt;=2,G105&lt;=2,H105&lt;=2),"HIBERNATING",TRUE(),"Other")</f>
        <v>NEED ATTENTION</v>
      </c>
      <c r="K105" s="1" t="n">
        <f aca="false">RANK(E105,$E$7:$E$4378)+COUNTIF($E$7:E105,E105)-1</f>
        <v>2002</v>
      </c>
    </row>
    <row r="106" customFormat="false" ht="14.25" hidden="false" customHeight="true" outlineLevel="0" collapsed="false">
      <c r="A106" s="51" t="n">
        <v>12468</v>
      </c>
      <c r="B106" s="53" t="n">
        <v>40743.5708333333</v>
      </c>
      <c r="C106" s="57" t="n">
        <f aca="false">INT($C$2)-INT(Table3[[#This Row],[Last Purchase Date]])</f>
        <v>144</v>
      </c>
      <c r="D106" s="1" t="n">
        <v>3</v>
      </c>
      <c r="E106" s="1" t="n">
        <v>724.04</v>
      </c>
      <c r="F106" s="1" t="n">
        <f aca="false">ROUND((1-_xlfn.PERCENTRANK.INC($C$7:$C$4378,C106))*9,0)</f>
        <v>2</v>
      </c>
      <c r="G106" s="1" t="n">
        <f aca="false">ROUND(_xlfn.PERCENTRANK.INC($D$7:$D$4378,D106)*9,0)</f>
        <v>4</v>
      </c>
      <c r="H106" s="1" t="n">
        <f aca="false">ROUND(_xlfn.PERCENTRANK.INC($E$7:$E$4378,E106)*9,0)</f>
        <v>5</v>
      </c>
      <c r="I106" s="1" t="str">
        <f aca="false">CONCATENATE(F106,G106,H106)</f>
        <v>245</v>
      </c>
      <c r="J106" s="1" t="str">
        <f aca="false">_xlfn.IFS(AND(F106&gt;=8,G106&gt;=8,H106&gt;=8),"CHAMPION",AND(F106&gt;=6,G106&gt;=7,H106&gt;=6),"LOYAL CUSTOMER",AND(F106&gt;=6,G106&gt;=5,H106&gt;=5),"POTENTIAL LOYALIST",AND(F106&gt;=8,G106&lt;=2,H106&gt;=5),"NEW CUSTOMERS",AND(F106&gt;=6,G106&lt;=2,H106&gt;=3),"PROMISING",AND(F106&gt;=3,G106&gt;=3,H106&gt;=3),"NEED ATTENTION",AND(F106&lt;=4,G106&gt;=6,H106&gt;=6),"AT RISK",AND(F106&lt;=2,G106&gt;=8,H106&gt;=8),"CAN'T LOSE THEM",AND(F106&lt;=2,G106&lt;=2,H106&lt;=2),"HIBERNATING",TRUE(),"Other")</f>
        <v>Other</v>
      </c>
      <c r="K106" s="1" t="n">
        <f aca="false">RANK(E106,$E$7:$E$4378)+COUNTIF($E$7:E106,E106)-1</f>
        <v>2018</v>
      </c>
    </row>
    <row r="107" customFormat="false" ht="14.25" hidden="false" customHeight="true" outlineLevel="0" collapsed="false">
      <c r="A107" s="51" t="n">
        <v>12471</v>
      </c>
      <c r="B107" s="53" t="n">
        <v>40884.6548611111</v>
      </c>
      <c r="C107" s="57" t="n">
        <f aca="false">INT($C$2)-INT(Table3[[#This Row],[Last Purchase Date]])</f>
        <v>3</v>
      </c>
      <c r="D107" s="1" t="n">
        <v>49</v>
      </c>
      <c r="E107" s="1" t="n">
        <v>18740.9199999999</v>
      </c>
      <c r="F107" s="1" t="n">
        <f aca="false">ROUND((1-_xlfn.PERCENTRANK.INC($C$7:$C$4378,C107))*9,0)</f>
        <v>9</v>
      </c>
      <c r="G107" s="1" t="n">
        <f aca="false">ROUND(_xlfn.PERCENTRANK.INC($D$7:$D$4378,D107)*9,0)</f>
        <v>9</v>
      </c>
      <c r="H107" s="1" t="n">
        <f aca="false">ROUND(_xlfn.PERCENTRANK.INC($E$7:$E$4378,E107)*9,0)</f>
        <v>9</v>
      </c>
      <c r="I107" s="1" t="str">
        <f aca="false">CONCATENATE(F107,G107,H107)</f>
        <v>999</v>
      </c>
      <c r="J107" s="1" t="str">
        <f aca="false">_xlfn.IFS(AND(F107&gt;=8,G107&gt;=8,H107&gt;=8),"CHAMPION",AND(F107&gt;=6,G107&gt;=7,H107&gt;=6),"LOYAL CUSTOMER",AND(F107&gt;=6,G107&gt;=5,H107&gt;=5),"POTENTIAL LOYALIST",AND(F107&gt;=8,G107&lt;=2,H107&gt;=5),"NEW CUSTOMERS",AND(F107&gt;=6,G107&lt;=2,H107&gt;=3),"PROMISING",AND(F107&gt;=3,G107&gt;=3,H107&gt;=3),"NEED ATTENTION",AND(F107&lt;=4,G107&gt;=6,H107&gt;=6),"AT RISK",AND(F107&lt;=2,G107&gt;=8,H107&gt;=8),"CAN'T LOSE THEM",AND(F107&lt;=2,G107&lt;=2,H107&lt;=2),"HIBERNATING",TRUE(),"Other")</f>
        <v>CHAMPION</v>
      </c>
      <c r="K107" s="1" t="n">
        <f aca="false">RANK(E107,$E$7:$E$4378)+COUNTIF($E$7:E107,E107)-1</f>
        <v>42</v>
      </c>
    </row>
    <row r="108" customFormat="false" ht="14.25" hidden="false" customHeight="true" outlineLevel="0" collapsed="false">
      <c r="A108" s="51" t="n">
        <v>12472</v>
      </c>
      <c r="B108" s="53" t="n">
        <v>40856.48125</v>
      </c>
      <c r="C108" s="57" t="n">
        <f aca="false">INT($C$2)-INT(Table3[[#This Row],[Last Purchase Date]])</f>
        <v>31</v>
      </c>
      <c r="D108" s="1" t="n">
        <v>13</v>
      </c>
      <c r="E108" s="1" t="n">
        <v>6229.48000000001</v>
      </c>
      <c r="F108" s="1" t="n">
        <f aca="false">ROUND((1-_xlfn.PERCENTRANK.INC($C$7:$C$4378,C108))*9,0)</f>
        <v>6</v>
      </c>
      <c r="G108" s="1" t="n">
        <f aca="false">ROUND(_xlfn.PERCENTRANK.INC($D$7:$D$4378,D108)*9,0)</f>
        <v>8</v>
      </c>
      <c r="H108" s="1" t="n">
        <f aca="false">ROUND(_xlfn.PERCENTRANK.INC($E$7:$E$4378,E108)*9,0)</f>
        <v>9</v>
      </c>
      <c r="I108" s="1" t="str">
        <f aca="false">CONCATENATE(F108,G108,H108)</f>
        <v>689</v>
      </c>
      <c r="J108" s="1" t="str">
        <f aca="false">_xlfn.IFS(AND(F108&gt;=8,G108&gt;=8,H108&gt;=8),"CHAMPION",AND(F108&gt;=6,G108&gt;=7,H108&gt;=6),"LOYAL CUSTOMER",AND(F108&gt;=6,G108&gt;=5,H108&gt;=5),"POTENTIAL LOYALIST",AND(F108&gt;=8,G108&lt;=2,H108&gt;=5),"NEW CUSTOMERS",AND(F108&gt;=6,G108&lt;=2,H108&gt;=3),"PROMISING",AND(F108&gt;=3,G108&gt;=3,H108&gt;=3),"NEED ATTENTION",AND(F108&lt;=4,G108&gt;=6,H108&gt;=6),"AT RISK",AND(F108&lt;=2,G108&gt;=8,H108&gt;=8),"CAN'T LOSE THEM",AND(F108&lt;=2,G108&lt;=2,H108&lt;=2),"HIBERNATING",TRUE(),"Other")</f>
        <v>LOYAL CUSTOMER</v>
      </c>
      <c r="K108" s="1" t="n">
        <f aca="false">RANK(E108,$E$7:$E$4378)+COUNTIF($E$7:E108,E108)-1</f>
        <v>190</v>
      </c>
    </row>
    <row r="109" customFormat="false" ht="14.25" hidden="false" customHeight="true" outlineLevel="0" collapsed="false">
      <c r="A109" s="51" t="n">
        <v>12473</v>
      </c>
      <c r="B109" s="53" t="n">
        <v>40857.575</v>
      </c>
      <c r="C109" s="57" t="n">
        <f aca="false">INT($C$2)-INT(Table3[[#This Row],[Last Purchase Date]])</f>
        <v>30</v>
      </c>
      <c r="D109" s="1" t="n">
        <v>9</v>
      </c>
      <c r="E109" s="1" t="n">
        <v>2848.23</v>
      </c>
      <c r="F109" s="1" t="n">
        <f aca="false">ROUND((1-_xlfn.PERCENTRANK.INC($C$7:$C$4378,C109))*9,0)</f>
        <v>6</v>
      </c>
      <c r="G109" s="1" t="n">
        <f aca="false">ROUND(_xlfn.PERCENTRANK.INC($D$7:$D$4378,D109)*9,0)</f>
        <v>8</v>
      </c>
      <c r="H109" s="1" t="n">
        <f aca="false">ROUND(_xlfn.PERCENTRANK.INC($E$7:$E$4378,E109)*9,0)</f>
        <v>8</v>
      </c>
      <c r="I109" s="1" t="str">
        <f aca="false">CONCATENATE(F109,G109,H109)</f>
        <v>688</v>
      </c>
      <c r="J109" s="1" t="str">
        <f aca="false">_xlfn.IFS(AND(F109&gt;=8,G109&gt;=8,H109&gt;=8),"CHAMPION",AND(F109&gt;=6,G109&gt;=7,H109&gt;=6),"LOYAL CUSTOMER",AND(F109&gt;=6,G109&gt;=5,H109&gt;=5),"POTENTIAL LOYALIST",AND(F109&gt;=8,G109&lt;=2,H109&gt;=5),"NEW CUSTOMERS",AND(F109&gt;=6,G109&lt;=2,H109&gt;=3),"PROMISING",AND(F109&gt;=3,G109&gt;=3,H109&gt;=3),"NEED ATTENTION",AND(F109&lt;=4,G109&gt;=6,H109&gt;=6),"AT RISK",AND(F109&lt;=2,G109&gt;=8,H109&gt;=8),"CAN'T LOSE THEM",AND(F109&lt;=2,G109&lt;=2,H109&lt;=2),"HIBERNATING",TRUE(),"Other")</f>
        <v>LOYAL CUSTOMER</v>
      </c>
      <c r="K109" s="1" t="n">
        <f aca="false">RANK(E109,$E$7:$E$4378)+COUNTIF($E$7:E109,E109)-1</f>
        <v>574</v>
      </c>
    </row>
    <row r="110" customFormat="false" ht="14.25" hidden="false" customHeight="true" outlineLevel="0" collapsed="false">
      <c r="A110" s="51" t="n">
        <v>12474</v>
      </c>
      <c r="B110" s="53" t="n">
        <v>40869.6104166667</v>
      </c>
      <c r="C110" s="57" t="n">
        <f aca="false">INT($C$2)-INT(Table3[[#This Row],[Last Purchase Date]])</f>
        <v>18</v>
      </c>
      <c r="D110" s="1" t="n">
        <v>30</v>
      </c>
      <c r="E110" s="1" t="n">
        <v>7116.47</v>
      </c>
      <c r="F110" s="1" t="n">
        <f aca="false">ROUND((1-_xlfn.PERCENTRANK.INC($C$7:$C$4378,C110))*9,0)</f>
        <v>7</v>
      </c>
      <c r="G110" s="1" t="n">
        <f aca="false">ROUND(_xlfn.PERCENTRANK.INC($D$7:$D$4378,D110)*9,0)</f>
        <v>9</v>
      </c>
      <c r="H110" s="1" t="n">
        <f aca="false">ROUND(_xlfn.PERCENTRANK.INC($E$7:$E$4378,E110)*9,0)</f>
        <v>9</v>
      </c>
      <c r="I110" s="1" t="str">
        <f aca="false">CONCATENATE(F110,G110,H110)</f>
        <v>799</v>
      </c>
      <c r="J110" s="1" t="str">
        <f aca="false">_xlfn.IFS(AND(F110&gt;=8,G110&gt;=8,H110&gt;=8),"CHAMPION",AND(F110&gt;=6,G110&gt;=7,H110&gt;=6),"LOYAL CUSTOMER",AND(F110&gt;=6,G110&gt;=5,H110&gt;=5),"POTENTIAL LOYALIST",AND(F110&gt;=8,G110&lt;=2,H110&gt;=5),"NEW CUSTOMERS",AND(F110&gt;=6,G110&lt;=2,H110&gt;=3),"PROMISING",AND(F110&gt;=3,G110&gt;=3,H110&gt;=3),"NEED ATTENTION",AND(F110&lt;=4,G110&gt;=6,H110&gt;=6),"AT RISK",AND(F110&lt;=2,G110&gt;=8,H110&gt;=8),"CAN'T LOSE THEM",AND(F110&lt;=2,G110&lt;=2,H110&lt;=2),"HIBERNATING",TRUE(),"Other")</f>
        <v>LOYAL CUSTOMER</v>
      </c>
      <c r="K110" s="1" t="n">
        <f aca="false">RANK(E110,$E$7:$E$4378)+COUNTIF($E$7:E110,E110)-1</f>
        <v>148</v>
      </c>
    </row>
    <row r="111" customFormat="false" ht="14.25" hidden="false" customHeight="true" outlineLevel="0" collapsed="false">
      <c r="A111" s="51" t="n">
        <v>12475</v>
      </c>
      <c r="B111" s="53" t="n">
        <v>40833.4236111111</v>
      </c>
      <c r="C111" s="57" t="n">
        <f aca="false">INT($C$2)-INT(Table3[[#This Row],[Last Purchase Date]])</f>
        <v>54</v>
      </c>
      <c r="D111" s="1" t="n">
        <v>1</v>
      </c>
      <c r="E111" s="1" t="n">
        <v>723.38</v>
      </c>
      <c r="F111" s="1" t="n">
        <f aca="false">ROUND((1-_xlfn.PERCENTRANK.INC($C$7:$C$4378,C111))*9,0)</f>
        <v>4</v>
      </c>
      <c r="G111" s="1" t="n">
        <f aca="false">ROUND(_xlfn.PERCENTRANK.INC($D$7:$D$4378,D111)*9,0)</f>
        <v>0</v>
      </c>
      <c r="H111" s="1" t="n">
        <f aca="false">ROUND(_xlfn.PERCENTRANK.INC($E$7:$E$4378,E111)*9,0)</f>
        <v>5</v>
      </c>
      <c r="I111" s="1" t="str">
        <f aca="false">CONCATENATE(F111,G111,H111)</f>
        <v>405</v>
      </c>
      <c r="J111" s="1" t="str">
        <f aca="false">_xlfn.IFS(AND(F111&gt;=8,G111&gt;=8,H111&gt;=8),"CHAMPION",AND(F111&gt;=6,G111&gt;=7,H111&gt;=6),"LOYAL CUSTOMER",AND(F111&gt;=6,G111&gt;=5,H111&gt;=5),"POTENTIAL LOYALIST",AND(F111&gt;=8,G111&lt;=2,H111&gt;=5),"NEW CUSTOMERS",AND(F111&gt;=6,G111&lt;=2,H111&gt;=3),"PROMISING",AND(F111&gt;=3,G111&gt;=3,H111&gt;=3),"NEED ATTENTION",AND(F111&lt;=4,G111&gt;=6,H111&gt;=6),"AT RISK",AND(F111&lt;=2,G111&gt;=8,H111&gt;=8),"CAN'T LOSE THEM",AND(F111&lt;=2,G111&lt;=2,H111&lt;=2),"HIBERNATING",TRUE(),"Other")</f>
        <v>Other</v>
      </c>
      <c r="K111" s="1" t="n">
        <f aca="false">RANK(E111,$E$7:$E$4378)+COUNTIF($E$7:E111,E111)-1</f>
        <v>2020</v>
      </c>
    </row>
    <row r="112" customFormat="false" ht="14.25" hidden="false" customHeight="true" outlineLevel="0" collapsed="false">
      <c r="A112" s="51" t="n">
        <v>12476</v>
      </c>
      <c r="B112" s="53" t="n">
        <v>40885.5888888889</v>
      </c>
      <c r="C112" s="57" t="n">
        <f aca="false">INT($C$2)-INT(Table3[[#This Row],[Last Purchase Date]])</f>
        <v>2</v>
      </c>
      <c r="D112" s="1" t="n">
        <v>20</v>
      </c>
      <c r="E112" s="1" t="n">
        <v>6546.58000000001</v>
      </c>
      <c r="F112" s="1" t="n">
        <f aca="false">ROUND((1-_xlfn.PERCENTRANK.INC($C$7:$C$4378,C112))*9,0)</f>
        <v>9</v>
      </c>
      <c r="G112" s="1" t="n">
        <f aca="false">ROUND(_xlfn.PERCENTRANK.INC($D$7:$D$4378,D112)*9,0)</f>
        <v>9</v>
      </c>
      <c r="H112" s="1" t="n">
        <f aca="false">ROUND(_xlfn.PERCENTRANK.INC($E$7:$E$4378,E112)*9,0)</f>
        <v>9</v>
      </c>
      <c r="I112" s="1" t="str">
        <f aca="false">CONCATENATE(F112,G112,H112)</f>
        <v>999</v>
      </c>
      <c r="J112" s="1" t="str">
        <f aca="false">_xlfn.IFS(AND(F112&gt;=8,G112&gt;=8,H112&gt;=8),"CHAMPION",AND(F112&gt;=6,G112&gt;=7,H112&gt;=6),"LOYAL CUSTOMER",AND(F112&gt;=6,G112&gt;=5,H112&gt;=5),"POTENTIAL LOYALIST",AND(F112&gt;=8,G112&lt;=2,H112&gt;=5),"NEW CUSTOMERS",AND(F112&gt;=6,G112&lt;=2,H112&gt;=3),"PROMISING",AND(F112&gt;=3,G112&gt;=3,H112&gt;=3),"NEED ATTENTION",AND(F112&lt;=4,G112&gt;=6,H112&gt;=6),"AT RISK",AND(F112&lt;=2,G112&gt;=8,H112&gt;=8),"CAN'T LOSE THEM",AND(F112&lt;=2,G112&lt;=2,H112&lt;=2),"HIBERNATING",TRUE(),"Other")</f>
        <v>CHAMPION</v>
      </c>
      <c r="K112" s="1" t="n">
        <f aca="false">RANK(E112,$E$7:$E$4378)+COUNTIF($E$7:E112,E112)-1</f>
        <v>178</v>
      </c>
    </row>
    <row r="113" customFormat="false" ht="14.25" hidden="false" customHeight="true" outlineLevel="0" collapsed="false">
      <c r="A113" s="51" t="n">
        <v>12477</v>
      </c>
      <c r="B113" s="53" t="n">
        <v>40864.4104166667</v>
      </c>
      <c r="C113" s="57" t="n">
        <f aca="false">INT($C$2)-INT(Table3[[#This Row],[Last Purchase Date]])</f>
        <v>23</v>
      </c>
      <c r="D113" s="1" t="n">
        <v>9</v>
      </c>
      <c r="E113" s="1" t="n">
        <v>13117.01</v>
      </c>
      <c r="F113" s="1" t="n">
        <f aca="false">ROUND((1-_xlfn.PERCENTRANK.INC($C$7:$C$4378,C113))*9,0)</f>
        <v>6</v>
      </c>
      <c r="G113" s="1" t="n">
        <f aca="false">ROUND(_xlfn.PERCENTRANK.INC($D$7:$D$4378,D113)*9,0)</f>
        <v>8</v>
      </c>
      <c r="H113" s="1" t="n">
        <f aca="false">ROUND(_xlfn.PERCENTRANK.INC($E$7:$E$4378,E113)*9,0)</f>
        <v>9</v>
      </c>
      <c r="I113" s="1" t="str">
        <f aca="false">CONCATENATE(F113,G113,H113)</f>
        <v>689</v>
      </c>
      <c r="J113" s="1" t="str">
        <f aca="false">_xlfn.IFS(AND(F113&gt;=8,G113&gt;=8,H113&gt;=8),"CHAMPION",AND(F113&gt;=6,G113&gt;=7,H113&gt;=6),"LOYAL CUSTOMER",AND(F113&gt;=6,G113&gt;=5,H113&gt;=5),"POTENTIAL LOYALIST",AND(F113&gt;=8,G113&lt;=2,H113&gt;=5),"NEW CUSTOMERS",AND(F113&gt;=6,G113&lt;=2,H113&gt;=3),"PROMISING",AND(F113&gt;=3,G113&gt;=3,H113&gt;=3),"NEED ATTENTION",AND(F113&lt;=4,G113&gt;=6,H113&gt;=6),"AT RISK",AND(F113&lt;=2,G113&gt;=8,H113&gt;=8),"CAN'T LOSE THEM",AND(F113&lt;=2,G113&lt;=2,H113&lt;=2),"HIBERNATING",TRUE(),"Other")</f>
        <v>LOYAL CUSTOMER</v>
      </c>
      <c r="K113" s="1" t="n">
        <f aca="false">RANK(E113,$E$7:$E$4378)+COUNTIF($E$7:E113,E113)-1</f>
        <v>64</v>
      </c>
    </row>
    <row r="114" customFormat="false" ht="14.25" hidden="false" customHeight="true" outlineLevel="0" collapsed="false">
      <c r="A114" s="51" t="n">
        <v>12478</v>
      </c>
      <c r="B114" s="53" t="n">
        <v>40883.4138888889</v>
      </c>
      <c r="C114" s="57" t="n">
        <f aca="false">INT($C$2)-INT(Table3[[#This Row],[Last Purchase Date]])</f>
        <v>4</v>
      </c>
      <c r="D114" s="1" t="n">
        <v>1</v>
      </c>
      <c r="E114" s="1" t="n">
        <v>680.99</v>
      </c>
      <c r="F114" s="1" t="n">
        <f aca="false">ROUND((1-_xlfn.PERCENTRANK.INC($C$7:$C$4378,C114))*9,0)</f>
        <v>8</v>
      </c>
      <c r="G114" s="1" t="n">
        <f aca="false">ROUND(_xlfn.PERCENTRANK.INC($D$7:$D$4378,D114)*9,0)</f>
        <v>0</v>
      </c>
      <c r="H114" s="1" t="n">
        <f aca="false">ROUND(_xlfn.PERCENTRANK.INC($E$7:$E$4378,E114)*9,0)</f>
        <v>5</v>
      </c>
      <c r="I114" s="1" t="str">
        <f aca="false">CONCATENATE(F114,G114,H114)</f>
        <v>805</v>
      </c>
      <c r="J114" s="1" t="str">
        <f aca="false">_xlfn.IFS(AND(F114&gt;=8,G114&gt;=8,H114&gt;=8),"CHAMPION",AND(F114&gt;=6,G114&gt;=7,H114&gt;=6),"LOYAL CUSTOMER",AND(F114&gt;=6,G114&gt;=5,H114&gt;=5),"POTENTIAL LOYALIST",AND(F114&gt;=8,G114&lt;=2,H114&gt;=5),"NEW CUSTOMERS",AND(F114&gt;=6,G114&lt;=2,H114&gt;=3),"PROMISING",AND(F114&gt;=3,G114&gt;=3,H114&gt;=3),"NEED ATTENTION",AND(F114&lt;=4,G114&gt;=6,H114&gt;=6),"AT RISK",AND(F114&lt;=2,G114&gt;=8,H114&gt;=8),"CAN'T LOSE THEM",AND(F114&lt;=2,G114&lt;=2,H114&lt;=2),"HIBERNATING",TRUE(),"Other")</f>
        <v>NEW CUSTOMERS</v>
      </c>
      <c r="K114" s="1" t="n">
        <f aca="false">RANK(E114,$E$7:$E$4378)+COUNTIF($E$7:E114,E114)-1</f>
        <v>2102</v>
      </c>
    </row>
    <row r="115" customFormat="false" ht="14.25" hidden="false" customHeight="true" outlineLevel="0" collapsed="false">
      <c r="A115" s="51" t="n">
        <v>12479</v>
      </c>
      <c r="B115" s="53" t="n">
        <v>40883.3923611111</v>
      </c>
      <c r="C115" s="57" t="n">
        <f aca="false">INT($C$2)-INT(Table3[[#This Row],[Last Purchase Date]])</f>
        <v>4</v>
      </c>
      <c r="D115" s="1" t="n">
        <v>3</v>
      </c>
      <c r="E115" s="1" t="n">
        <v>477.3</v>
      </c>
      <c r="F115" s="1" t="n">
        <f aca="false">ROUND((1-_xlfn.PERCENTRANK.INC($C$7:$C$4378,C115))*9,0)</f>
        <v>8</v>
      </c>
      <c r="G115" s="1" t="n">
        <f aca="false">ROUND(_xlfn.PERCENTRANK.INC($D$7:$D$4378,D115)*9,0)</f>
        <v>4</v>
      </c>
      <c r="H115" s="1" t="n">
        <f aca="false">ROUND(_xlfn.PERCENTRANK.INC($E$7:$E$4378,E115)*9,0)</f>
        <v>4</v>
      </c>
      <c r="I115" s="1" t="str">
        <f aca="false">CONCATENATE(F115,G115,H115)</f>
        <v>844</v>
      </c>
      <c r="J115" s="1" t="str">
        <f aca="false">_xlfn.IFS(AND(F115&gt;=8,G115&gt;=8,H115&gt;=8),"CHAMPION",AND(F115&gt;=6,G115&gt;=7,H115&gt;=6),"LOYAL CUSTOMER",AND(F115&gt;=6,G115&gt;=5,H115&gt;=5),"POTENTIAL LOYALIST",AND(F115&gt;=8,G115&lt;=2,H115&gt;=5),"NEW CUSTOMERS",AND(F115&gt;=6,G115&lt;=2,H115&gt;=3),"PROMISING",AND(F115&gt;=3,G115&gt;=3,H115&gt;=3),"NEED ATTENTION",AND(F115&lt;=4,G115&gt;=6,H115&gt;=6),"AT RISK",AND(F115&lt;=2,G115&gt;=8,H115&gt;=8),"CAN'T LOSE THEM",AND(F115&lt;=2,G115&lt;=2,H115&lt;=2),"HIBERNATING",TRUE(),"Other")</f>
        <v>NEED ATTENTION</v>
      </c>
      <c r="K115" s="1" t="n">
        <f aca="false">RANK(E115,$E$7:$E$4378)+COUNTIF($E$7:E115,E115)-1</f>
        <v>2599</v>
      </c>
    </row>
    <row r="116" customFormat="false" ht="14.25" hidden="false" customHeight="true" outlineLevel="0" collapsed="false">
      <c r="A116" s="51" t="n">
        <v>12480</v>
      </c>
      <c r="B116" s="53" t="n">
        <v>40858.6194444444</v>
      </c>
      <c r="C116" s="57" t="n">
        <f aca="false">INT($C$2)-INT(Table3[[#This Row],[Last Purchase Date]])</f>
        <v>29</v>
      </c>
      <c r="D116" s="1" t="n">
        <v>4</v>
      </c>
      <c r="E116" s="1" t="n">
        <v>3281.63</v>
      </c>
      <c r="F116" s="1" t="n">
        <f aca="false">ROUND((1-_xlfn.PERCENTRANK.INC($C$7:$C$4378,C116))*9,0)</f>
        <v>6</v>
      </c>
      <c r="G116" s="1" t="n">
        <f aca="false">ROUND(_xlfn.PERCENTRANK.INC($D$7:$D$4378,D116)*9,0)</f>
        <v>5</v>
      </c>
      <c r="H116" s="1" t="n">
        <f aca="false">ROUND(_xlfn.PERCENTRANK.INC($E$7:$E$4378,E116)*9,0)</f>
        <v>8</v>
      </c>
      <c r="I116" s="1" t="str">
        <f aca="false">CONCATENATE(F116,G116,H116)</f>
        <v>658</v>
      </c>
      <c r="J116" s="1" t="str">
        <f aca="false">_xlfn.IFS(AND(F116&gt;=8,G116&gt;=8,H116&gt;=8),"CHAMPION",AND(F116&gt;=6,G116&gt;=7,H116&gt;=6),"LOYAL CUSTOMER",AND(F116&gt;=6,G116&gt;=5,H116&gt;=5),"POTENTIAL LOYALIST",AND(F116&gt;=8,G116&lt;=2,H116&gt;=5),"NEW CUSTOMERS",AND(F116&gt;=6,G116&lt;=2,H116&gt;=3),"PROMISING",AND(F116&gt;=3,G116&gt;=3,H116&gt;=3),"NEED ATTENTION",AND(F116&lt;=4,G116&gt;=6,H116&gt;=6),"AT RISK",AND(F116&lt;=2,G116&gt;=8,H116&gt;=8),"CAN'T LOSE THEM",AND(F116&lt;=2,G116&lt;=2,H116&lt;=2),"HIBERNATING",TRUE(),"Other")</f>
        <v>POTENTIAL LOYALIST</v>
      </c>
      <c r="K116" s="1" t="n">
        <f aca="false">RANK(E116,$E$7:$E$4378)+COUNTIF($E$7:E116,E116)-1</f>
        <v>479</v>
      </c>
    </row>
    <row r="117" customFormat="false" ht="14.25" hidden="false" customHeight="true" outlineLevel="0" collapsed="false">
      <c r="A117" s="51" t="n">
        <v>12481</v>
      </c>
      <c r="B117" s="53" t="n">
        <v>40864.3534722222</v>
      </c>
      <c r="C117" s="57" t="n">
        <f aca="false">INT($C$2)-INT(Table3[[#This Row],[Last Purchase Date]])</f>
        <v>23</v>
      </c>
      <c r="D117" s="1" t="n">
        <v>11</v>
      </c>
      <c r="E117" s="1" t="n">
        <v>5590.86</v>
      </c>
      <c r="F117" s="1" t="n">
        <f aca="false">ROUND((1-_xlfn.PERCENTRANK.INC($C$7:$C$4378,C117))*9,0)</f>
        <v>6</v>
      </c>
      <c r="G117" s="1" t="n">
        <f aca="false">ROUND(_xlfn.PERCENTRANK.INC($D$7:$D$4378,D117)*9,0)</f>
        <v>8</v>
      </c>
      <c r="H117" s="1" t="n">
        <f aca="false">ROUND(_xlfn.PERCENTRANK.INC($E$7:$E$4378,E117)*9,0)</f>
        <v>9</v>
      </c>
      <c r="I117" s="1" t="str">
        <f aca="false">CONCATENATE(F117,G117,H117)</f>
        <v>689</v>
      </c>
      <c r="J117" s="1" t="str">
        <f aca="false">_xlfn.IFS(AND(F117&gt;=8,G117&gt;=8,H117&gt;=8),"CHAMPION",AND(F117&gt;=6,G117&gt;=7,H117&gt;=6),"LOYAL CUSTOMER",AND(F117&gt;=6,G117&gt;=5,H117&gt;=5),"POTENTIAL LOYALIST",AND(F117&gt;=8,G117&lt;=2,H117&gt;=5),"NEW CUSTOMERS",AND(F117&gt;=6,G117&lt;=2,H117&gt;=3),"PROMISING",AND(F117&gt;=3,G117&gt;=3,H117&gt;=3),"NEED ATTENTION",AND(F117&lt;=4,G117&gt;=6,H117&gt;=6),"AT RISK",AND(F117&lt;=2,G117&gt;=8,H117&gt;=8),"CAN'T LOSE THEM",AND(F117&lt;=2,G117&lt;=2,H117&lt;=2),"HIBERNATING",TRUE(),"Other")</f>
        <v>LOYAL CUSTOMER</v>
      </c>
      <c r="K117" s="1" t="n">
        <f aca="false">RANK(E117,$E$7:$E$4378)+COUNTIF($E$7:E117,E117)-1</f>
        <v>224</v>
      </c>
    </row>
    <row r="118" customFormat="false" ht="14.25" hidden="false" customHeight="true" outlineLevel="0" collapsed="false">
      <c r="A118" s="51" t="n">
        <v>12483</v>
      </c>
      <c r="B118" s="53" t="n">
        <v>40869.7104166667</v>
      </c>
      <c r="C118" s="57" t="n">
        <f aca="false">INT($C$2)-INT(Table3[[#This Row],[Last Purchase Date]])</f>
        <v>18</v>
      </c>
      <c r="D118" s="1" t="n">
        <v>13</v>
      </c>
      <c r="E118" s="1" t="n">
        <v>2327.13</v>
      </c>
      <c r="F118" s="1" t="n">
        <f aca="false">ROUND((1-_xlfn.PERCENTRANK.INC($C$7:$C$4378,C118))*9,0)</f>
        <v>7</v>
      </c>
      <c r="G118" s="1" t="n">
        <f aca="false">ROUND(_xlfn.PERCENTRANK.INC($D$7:$D$4378,D118)*9,0)</f>
        <v>8</v>
      </c>
      <c r="H118" s="1" t="n">
        <f aca="false">ROUND(_xlfn.PERCENTRANK.INC($E$7:$E$4378,E118)*9,0)</f>
        <v>7</v>
      </c>
      <c r="I118" s="1" t="str">
        <f aca="false">CONCATENATE(F118,G118,H118)</f>
        <v>787</v>
      </c>
      <c r="J118" s="1" t="str">
        <f aca="false">_xlfn.IFS(AND(F118&gt;=8,G118&gt;=8,H118&gt;=8),"CHAMPION",AND(F118&gt;=6,G118&gt;=7,H118&gt;=6),"LOYAL CUSTOMER",AND(F118&gt;=6,G118&gt;=5,H118&gt;=5),"POTENTIAL LOYALIST",AND(F118&gt;=8,G118&lt;=2,H118&gt;=5),"NEW CUSTOMERS",AND(F118&gt;=6,G118&lt;=2,H118&gt;=3),"PROMISING",AND(F118&gt;=3,G118&gt;=3,H118&gt;=3),"NEED ATTENTION",AND(F118&lt;=4,G118&gt;=6,H118&gt;=6),"AT RISK",AND(F118&lt;=2,G118&gt;=8,H118&gt;=8),"CAN'T LOSE THEM",AND(F118&lt;=2,G118&lt;=2,H118&lt;=2),"HIBERNATING",TRUE(),"Other")</f>
        <v>LOYAL CUSTOMER</v>
      </c>
      <c r="K118" s="1" t="n">
        <f aca="false">RANK(E118,$E$7:$E$4378)+COUNTIF($E$7:E118,E118)-1</f>
        <v>731</v>
      </c>
    </row>
    <row r="119" customFormat="false" ht="14.25" hidden="false" customHeight="true" outlineLevel="0" collapsed="false">
      <c r="A119" s="51" t="n">
        <v>12484</v>
      </c>
      <c r="B119" s="53" t="n">
        <v>40854.4840277778</v>
      </c>
      <c r="C119" s="57" t="n">
        <f aca="false">INT($C$2)-INT(Table3[[#This Row],[Last Purchase Date]])</f>
        <v>33</v>
      </c>
      <c r="D119" s="1" t="n">
        <v>8</v>
      </c>
      <c r="E119" s="1" t="n">
        <v>4495.27</v>
      </c>
      <c r="F119" s="1" t="n">
        <f aca="false">ROUND((1-_xlfn.PERCENTRANK.INC($C$7:$C$4378,C119))*9,0)</f>
        <v>5</v>
      </c>
      <c r="G119" s="1" t="n">
        <f aca="false">ROUND(_xlfn.PERCENTRANK.INC($D$7:$D$4378,D119)*9,0)</f>
        <v>7</v>
      </c>
      <c r="H119" s="1" t="n">
        <f aca="false">ROUND(_xlfn.PERCENTRANK.INC($E$7:$E$4378,E119)*9,0)</f>
        <v>8</v>
      </c>
      <c r="I119" s="1" t="str">
        <f aca="false">CONCATENATE(F119,G119,H119)</f>
        <v>578</v>
      </c>
      <c r="J119" s="1" t="str">
        <f aca="false">_xlfn.IFS(AND(F119&gt;=8,G119&gt;=8,H119&gt;=8),"CHAMPION",AND(F119&gt;=6,G119&gt;=7,H119&gt;=6),"LOYAL CUSTOMER",AND(F119&gt;=6,G119&gt;=5,H119&gt;=5),"POTENTIAL LOYALIST",AND(F119&gt;=8,G119&lt;=2,H119&gt;=5),"NEW CUSTOMERS",AND(F119&gt;=6,G119&lt;=2,H119&gt;=3),"PROMISING",AND(F119&gt;=3,G119&gt;=3,H119&gt;=3),"NEED ATTENTION",AND(F119&lt;=4,G119&gt;=6,H119&gt;=6),"AT RISK",AND(F119&lt;=2,G119&gt;=8,H119&gt;=8),"CAN'T LOSE THEM",AND(F119&lt;=2,G119&lt;=2,H119&lt;=2),"HIBERNATING",TRUE(),"Other")</f>
        <v>NEED ATTENTION</v>
      </c>
      <c r="K119" s="1" t="n">
        <f aca="false">RANK(E119,$E$7:$E$4378)+COUNTIF($E$7:E119,E119)-1</f>
        <v>302</v>
      </c>
    </row>
    <row r="120" customFormat="false" ht="14.25" hidden="false" customHeight="true" outlineLevel="0" collapsed="false">
      <c r="A120" s="51" t="n">
        <v>12488</v>
      </c>
      <c r="B120" s="53" t="n">
        <v>40877.3680555556</v>
      </c>
      <c r="C120" s="57" t="n">
        <f aca="false">INT($C$2)-INT(Table3[[#This Row],[Last Purchase Date]])</f>
        <v>10</v>
      </c>
      <c r="D120" s="1" t="n">
        <v>3</v>
      </c>
      <c r="E120" s="1" t="n">
        <v>1298.66</v>
      </c>
      <c r="F120" s="1" t="n">
        <f aca="false">ROUND((1-_xlfn.PERCENTRANK.INC($C$7:$C$4378,C120))*9,0)</f>
        <v>8</v>
      </c>
      <c r="G120" s="1" t="n">
        <f aca="false">ROUND(_xlfn.PERCENTRANK.INC($D$7:$D$4378,D120)*9,0)</f>
        <v>4</v>
      </c>
      <c r="H120" s="1" t="n">
        <f aca="false">ROUND(_xlfn.PERCENTRANK.INC($E$7:$E$4378,E120)*9,0)</f>
        <v>6</v>
      </c>
      <c r="I120" s="1" t="str">
        <f aca="false">CONCATENATE(F120,G120,H120)</f>
        <v>846</v>
      </c>
      <c r="J120" s="1" t="str">
        <f aca="false">_xlfn.IFS(AND(F120&gt;=8,G120&gt;=8,H120&gt;=8),"CHAMPION",AND(F120&gt;=6,G120&gt;=7,H120&gt;=6),"LOYAL CUSTOMER",AND(F120&gt;=6,G120&gt;=5,H120&gt;=5),"POTENTIAL LOYALIST",AND(F120&gt;=8,G120&lt;=2,H120&gt;=5),"NEW CUSTOMERS",AND(F120&gt;=6,G120&lt;=2,H120&gt;=3),"PROMISING",AND(F120&gt;=3,G120&gt;=3,H120&gt;=3),"NEED ATTENTION",AND(F120&lt;=4,G120&gt;=6,H120&gt;=6),"AT RISK",AND(F120&lt;=2,G120&gt;=8,H120&gt;=8),"CAN'T LOSE THEM",AND(F120&lt;=2,G120&lt;=2,H120&lt;=2),"HIBERNATING",TRUE(),"Other")</f>
        <v>NEED ATTENTION</v>
      </c>
      <c r="K120" s="1" t="n">
        <f aca="false">RANK(E120,$E$7:$E$4378)+COUNTIF($E$7:E120,E120)-1</f>
        <v>1328</v>
      </c>
    </row>
    <row r="121" customFormat="false" ht="14.25" hidden="false" customHeight="true" outlineLevel="0" collapsed="false">
      <c r="A121" s="51" t="n">
        <v>12489</v>
      </c>
      <c r="B121" s="53" t="n">
        <v>40550.5506944444</v>
      </c>
      <c r="C121" s="57" t="n">
        <f aca="false">INT($C$2)-INT(Table3[[#This Row],[Last Purchase Date]])</f>
        <v>337</v>
      </c>
      <c r="D121" s="1" t="n">
        <v>1</v>
      </c>
      <c r="E121" s="1" t="n">
        <v>334.93</v>
      </c>
      <c r="F121" s="1" t="n">
        <f aca="false">ROUND((1-_xlfn.PERCENTRANK.INC($C$7:$C$4378,C121))*9,0)</f>
        <v>0</v>
      </c>
      <c r="G121" s="1" t="n">
        <f aca="false">ROUND(_xlfn.PERCENTRANK.INC($D$7:$D$4378,D121)*9,0)</f>
        <v>0</v>
      </c>
      <c r="H121" s="1" t="n">
        <f aca="false">ROUND(_xlfn.PERCENTRANK.INC($E$7:$E$4378,E121)*9,0)</f>
        <v>3</v>
      </c>
      <c r="I121" s="1" t="str">
        <f aca="false">CONCATENATE(F121,G121,H121)</f>
        <v>003</v>
      </c>
      <c r="J121" s="1" t="str">
        <f aca="false">_xlfn.IFS(AND(F121&gt;=8,G121&gt;=8,H121&gt;=8),"CHAMPION",AND(F121&gt;=6,G121&gt;=7,H121&gt;=6),"LOYAL CUSTOMER",AND(F121&gt;=6,G121&gt;=5,H121&gt;=5),"POTENTIAL LOYALIST",AND(F121&gt;=8,G121&lt;=2,H121&gt;=5),"NEW CUSTOMERS",AND(F121&gt;=6,G121&lt;=2,H121&gt;=3),"PROMISING",AND(F121&gt;=3,G121&gt;=3,H121&gt;=3),"NEED ATTENTION",AND(F121&lt;=4,G121&gt;=6,H121&gt;=6),"AT RISK",AND(F121&lt;=2,G121&gt;=8,H121&gt;=8),"CAN'T LOSE THEM",AND(F121&lt;=2,G121&lt;=2,H121&lt;=2),"HIBERNATING",TRUE(),"Other")</f>
        <v>Other</v>
      </c>
      <c r="K121" s="1" t="n">
        <f aca="false">RANK(E121,$E$7:$E$4378)+COUNTIF($E$7:E121,E121)-1</f>
        <v>3073</v>
      </c>
    </row>
    <row r="122" customFormat="false" ht="14.25" hidden="false" customHeight="true" outlineLevel="0" collapsed="false">
      <c r="A122" s="51" t="n">
        <v>12490</v>
      </c>
      <c r="B122" s="53" t="n">
        <v>40881.6715277778</v>
      </c>
      <c r="C122" s="57" t="n">
        <f aca="false">INT($C$2)-INT(Table3[[#This Row],[Last Purchase Date]])</f>
        <v>6</v>
      </c>
      <c r="D122" s="1" t="n">
        <v>10</v>
      </c>
      <c r="E122" s="1" t="n">
        <v>5417.93</v>
      </c>
      <c r="F122" s="1" t="n">
        <f aca="false">ROUND((1-_xlfn.PERCENTRANK.INC($C$7:$C$4378,C122))*9,0)</f>
        <v>8</v>
      </c>
      <c r="G122" s="1" t="n">
        <f aca="false">ROUND(_xlfn.PERCENTRANK.INC($D$7:$D$4378,D122)*9,0)</f>
        <v>8</v>
      </c>
      <c r="H122" s="1" t="n">
        <f aca="false">ROUND(_xlfn.PERCENTRANK.INC($E$7:$E$4378,E122)*9,0)</f>
        <v>9</v>
      </c>
      <c r="I122" s="1" t="str">
        <f aca="false">CONCATENATE(F122,G122,H122)</f>
        <v>889</v>
      </c>
      <c r="J122" s="1" t="str">
        <f aca="false">_xlfn.IFS(AND(F122&gt;=8,G122&gt;=8,H122&gt;=8),"CHAMPION",AND(F122&gt;=6,G122&gt;=7,H122&gt;=6),"LOYAL CUSTOMER",AND(F122&gt;=6,G122&gt;=5,H122&gt;=5),"POTENTIAL LOYALIST",AND(F122&gt;=8,G122&lt;=2,H122&gt;=5),"NEW CUSTOMERS",AND(F122&gt;=6,G122&lt;=2,H122&gt;=3),"PROMISING",AND(F122&gt;=3,G122&gt;=3,H122&gt;=3),"NEED ATTENTION",AND(F122&lt;=4,G122&gt;=6,H122&gt;=6),"AT RISK",AND(F122&lt;=2,G122&gt;=8,H122&gt;=8),"CAN'T LOSE THEM",AND(F122&lt;=2,G122&lt;=2,H122&lt;=2),"HIBERNATING",TRUE(),"Other")</f>
        <v>CHAMPION</v>
      </c>
      <c r="K122" s="1" t="n">
        <f aca="false">RANK(E122,$E$7:$E$4378)+COUNTIF($E$7:E122,E122)-1</f>
        <v>234</v>
      </c>
    </row>
    <row r="123" customFormat="false" ht="14.25" hidden="false" customHeight="true" outlineLevel="0" collapsed="false">
      <c r="A123" s="51" t="n">
        <v>12491</v>
      </c>
      <c r="B123" s="53" t="n">
        <v>40848.5125</v>
      </c>
      <c r="C123" s="57" t="n">
        <f aca="false">INT($C$2)-INT(Table3[[#This Row],[Last Purchase Date]])</f>
        <v>39</v>
      </c>
      <c r="D123" s="1" t="n">
        <v>1</v>
      </c>
      <c r="E123" s="1" t="n">
        <v>460.4</v>
      </c>
      <c r="F123" s="1" t="n">
        <f aca="false">ROUND((1-_xlfn.PERCENTRANK.INC($C$7:$C$4378,C123))*9,0)</f>
        <v>5</v>
      </c>
      <c r="G123" s="1" t="n">
        <f aca="false">ROUND(_xlfn.PERCENTRANK.INC($D$7:$D$4378,D123)*9,0)</f>
        <v>0</v>
      </c>
      <c r="H123" s="1" t="n">
        <f aca="false">ROUND(_xlfn.PERCENTRANK.INC($E$7:$E$4378,E123)*9,0)</f>
        <v>4</v>
      </c>
      <c r="I123" s="1" t="str">
        <f aca="false">CONCATENATE(F123,G123,H123)</f>
        <v>504</v>
      </c>
      <c r="J123" s="1" t="str">
        <f aca="false">_xlfn.IFS(AND(F123&gt;=8,G123&gt;=8,H123&gt;=8),"CHAMPION",AND(F123&gt;=6,G123&gt;=7,H123&gt;=6),"LOYAL CUSTOMER",AND(F123&gt;=6,G123&gt;=5,H123&gt;=5),"POTENTIAL LOYALIST",AND(F123&gt;=8,G123&lt;=2,H123&gt;=5),"NEW CUSTOMERS",AND(F123&gt;=6,G123&lt;=2,H123&gt;=3),"PROMISING",AND(F123&gt;=3,G123&gt;=3,H123&gt;=3),"NEED ATTENTION",AND(F123&lt;=4,G123&gt;=6,H123&gt;=6),"AT RISK",AND(F123&lt;=2,G123&gt;=8,H123&gt;=8),"CAN'T LOSE THEM",AND(F123&lt;=2,G123&lt;=2,H123&lt;=2),"HIBERNATING",TRUE(),"Other")</f>
        <v>Other</v>
      </c>
      <c r="K123" s="1" t="n">
        <f aca="false">RANK(E123,$E$7:$E$4378)+COUNTIF($E$7:E123,E123)-1</f>
        <v>2639</v>
      </c>
    </row>
    <row r="124" customFormat="false" ht="14.25" hidden="false" customHeight="true" outlineLevel="0" collapsed="false">
      <c r="A124" s="51" t="n">
        <v>12492</v>
      </c>
      <c r="B124" s="53" t="n">
        <v>40823.6354166667</v>
      </c>
      <c r="C124" s="57" t="n">
        <f aca="false">INT($C$2)-INT(Table3[[#This Row],[Last Purchase Date]])</f>
        <v>64</v>
      </c>
      <c r="D124" s="1" t="n">
        <v>2</v>
      </c>
      <c r="E124" s="1" t="n">
        <v>263.21</v>
      </c>
      <c r="F124" s="1" t="n">
        <f aca="false">ROUND((1-_xlfn.PERCENTRANK.INC($C$7:$C$4378,C124))*9,0)</f>
        <v>4</v>
      </c>
      <c r="G124" s="1" t="n">
        <f aca="false">ROUND(_xlfn.PERCENTRANK.INC($D$7:$D$4378,D124)*9,0)</f>
        <v>3</v>
      </c>
      <c r="H124" s="1" t="n">
        <f aca="false">ROUND(_xlfn.PERCENTRANK.INC($E$7:$E$4378,E124)*9,0)</f>
        <v>2</v>
      </c>
      <c r="I124" s="1" t="str">
        <f aca="false">CONCATENATE(F124,G124,H124)</f>
        <v>432</v>
      </c>
      <c r="J124" s="1" t="str">
        <f aca="false">_xlfn.IFS(AND(F124&gt;=8,G124&gt;=8,H124&gt;=8),"CHAMPION",AND(F124&gt;=6,G124&gt;=7,H124&gt;=6),"LOYAL CUSTOMER",AND(F124&gt;=6,G124&gt;=5,H124&gt;=5),"POTENTIAL LOYALIST",AND(F124&gt;=8,G124&lt;=2,H124&gt;=5),"NEW CUSTOMERS",AND(F124&gt;=6,G124&lt;=2,H124&gt;=3),"PROMISING",AND(F124&gt;=3,G124&gt;=3,H124&gt;=3),"NEED ATTENTION",AND(F124&lt;=4,G124&gt;=6,H124&gt;=6),"AT RISK",AND(F124&lt;=2,G124&gt;=8,H124&gt;=8),"CAN'T LOSE THEM",AND(F124&lt;=2,G124&lt;=2,H124&lt;=2),"HIBERNATING",TRUE(),"Other")</f>
        <v>Other</v>
      </c>
      <c r="K124" s="1" t="n">
        <f aca="false">RANK(E124,$E$7:$E$4378)+COUNTIF($E$7:E124,E124)-1</f>
        <v>3388</v>
      </c>
    </row>
    <row r="125" customFormat="false" ht="14.25" hidden="false" customHeight="true" outlineLevel="0" collapsed="false">
      <c r="A125" s="51" t="n">
        <v>12493</v>
      </c>
      <c r="B125" s="53" t="n">
        <v>40721.4284722222</v>
      </c>
      <c r="C125" s="57" t="n">
        <f aca="false">INT($C$2)-INT(Table3[[#This Row],[Last Purchase Date]])</f>
        <v>166</v>
      </c>
      <c r="D125" s="1" t="n">
        <v>3</v>
      </c>
      <c r="E125" s="1" t="n">
        <v>416.79</v>
      </c>
      <c r="F125" s="1" t="n">
        <f aca="false">ROUND((1-_xlfn.PERCENTRANK.INC($C$7:$C$4378,C125))*9,0)</f>
        <v>2</v>
      </c>
      <c r="G125" s="1" t="n">
        <f aca="false">ROUND(_xlfn.PERCENTRANK.INC($D$7:$D$4378,D125)*9,0)</f>
        <v>4</v>
      </c>
      <c r="H125" s="1" t="n">
        <f aca="false">ROUND(_xlfn.PERCENTRANK.INC($E$7:$E$4378,E125)*9,0)</f>
        <v>3</v>
      </c>
      <c r="I125" s="1" t="str">
        <f aca="false">CONCATENATE(F125,G125,H125)</f>
        <v>243</v>
      </c>
      <c r="J125" s="1" t="str">
        <f aca="false">_xlfn.IFS(AND(F125&gt;=8,G125&gt;=8,H125&gt;=8),"CHAMPION",AND(F125&gt;=6,G125&gt;=7,H125&gt;=6),"LOYAL CUSTOMER",AND(F125&gt;=6,G125&gt;=5,H125&gt;=5),"POTENTIAL LOYALIST",AND(F125&gt;=8,G125&lt;=2,H125&gt;=5),"NEW CUSTOMERS",AND(F125&gt;=6,G125&lt;=2,H125&gt;=3),"PROMISING",AND(F125&gt;=3,G125&gt;=3,H125&gt;=3),"NEED ATTENTION",AND(F125&lt;=4,G125&gt;=6,H125&gt;=6),"AT RISK",AND(F125&lt;=2,G125&gt;=8,H125&gt;=8),"CAN'T LOSE THEM",AND(F125&lt;=2,G125&lt;=2,H125&lt;=2),"HIBERNATING",TRUE(),"Other")</f>
        <v>Other</v>
      </c>
      <c r="K125" s="1" t="n">
        <f aca="false">RANK(E125,$E$7:$E$4378)+COUNTIF($E$7:E125,E125)-1</f>
        <v>2766</v>
      </c>
    </row>
    <row r="126" customFormat="false" ht="14.25" hidden="false" customHeight="true" outlineLevel="0" collapsed="false">
      <c r="A126" s="51" t="n">
        <v>12494</v>
      </c>
      <c r="B126" s="53" t="n">
        <v>40877.3895833333</v>
      </c>
      <c r="C126" s="57" t="n">
        <f aca="false">INT($C$2)-INT(Table3[[#This Row],[Last Purchase Date]])</f>
        <v>10</v>
      </c>
      <c r="D126" s="1" t="n">
        <v>13</v>
      </c>
      <c r="E126" s="1" t="n">
        <v>1139.35</v>
      </c>
      <c r="F126" s="1" t="n">
        <f aca="false">ROUND((1-_xlfn.PERCENTRANK.INC($C$7:$C$4378,C126))*9,0)</f>
        <v>8</v>
      </c>
      <c r="G126" s="1" t="n">
        <f aca="false">ROUND(_xlfn.PERCENTRANK.INC($D$7:$D$4378,D126)*9,0)</f>
        <v>8</v>
      </c>
      <c r="H126" s="1" t="n">
        <f aca="false">ROUND(_xlfn.PERCENTRANK.INC($E$7:$E$4378,E126)*9,0)</f>
        <v>6</v>
      </c>
      <c r="I126" s="1" t="str">
        <f aca="false">CONCATENATE(F126,G126,H126)</f>
        <v>886</v>
      </c>
      <c r="J126" s="1" t="str">
        <f aca="false">_xlfn.IFS(AND(F126&gt;=8,G126&gt;=8,H126&gt;=8),"CHAMPION",AND(F126&gt;=6,G126&gt;=7,H126&gt;=6),"LOYAL CUSTOMER",AND(F126&gt;=6,G126&gt;=5,H126&gt;=5),"POTENTIAL LOYALIST",AND(F126&gt;=8,G126&lt;=2,H126&gt;=5),"NEW CUSTOMERS",AND(F126&gt;=6,G126&lt;=2,H126&gt;=3),"PROMISING",AND(F126&gt;=3,G126&gt;=3,H126&gt;=3),"NEED ATTENTION",AND(F126&lt;=4,G126&gt;=6,H126&gt;=6),"AT RISK",AND(F126&lt;=2,G126&gt;=8,H126&gt;=8),"CAN'T LOSE THEM",AND(F126&lt;=2,G126&lt;=2,H126&lt;=2),"HIBERNATING",TRUE(),"Other")</f>
        <v>LOYAL CUSTOMER</v>
      </c>
      <c r="K126" s="1" t="n">
        <f aca="false">RANK(E126,$E$7:$E$4378)+COUNTIF($E$7:E126,E126)-1</f>
        <v>1464</v>
      </c>
    </row>
    <row r="127" customFormat="false" ht="14.25" hidden="false" customHeight="true" outlineLevel="0" collapsed="false">
      <c r="A127" s="51" t="n">
        <v>12497</v>
      </c>
      <c r="B127" s="53" t="n">
        <v>40805.5201388889</v>
      </c>
      <c r="C127" s="57" t="n">
        <f aca="false">INT($C$2)-INT(Table3[[#This Row],[Last Purchase Date]])</f>
        <v>82</v>
      </c>
      <c r="D127" s="1" t="n">
        <v>1</v>
      </c>
      <c r="E127" s="1" t="n">
        <v>1043.1</v>
      </c>
      <c r="F127" s="1" t="n">
        <f aca="false">ROUND((1-_xlfn.PERCENTRANK.INC($C$7:$C$4378,C127))*9,0)</f>
        <v>3</v>
      </c>
      <c r="G127" s="1" t="n">
        <f aca="false">ROUND(_xlfn.PERCENTRANK.INC($D$7:$D$4378,D127)*9,0)</f>
        <v>0</v>
      </c>
      <c r="H127" s="1" t="n">
        <f aca="false">ROUND(_xlfn.PERCENTRANK.INC($E$7:$E$4378,E127)*9,0)</f>
        <v>6</v>
      </c>
      <c r="I127" s="1" t="str">
        <f aca="false">CONCATENATE(F127,G127,H127)</f>
        <v>306</v>
      </c>
      <c r="J127" s="1" t="str">
        <f aca="false">_xlfn.IFS(AND(F127&gt;=8,G127&gt;=8,H127&gt;=8),"CHAMPION",AND(F127&gt;=6,G127&gt;=7,H127&gt;=6),"LOYAL CUSTOMER",AND(F127&gt;=6,G127&gt;=5,H127&gt;=5),"POTENTIAL LOYALIST",AND(F127&gt;=8,G127&lt;=2,H127&gt;=5),"NEW CUSTOMERS",AND(F127&gt;=6,G127&lt;=2,H127&gt;=3),"PROMISING",AND(F127&gt;=3,G127&gt;=3,H127&gt;=3),"NEED ATTENTION",AND(F127&lt;=4,G127&gt;=6,H127&gt;=6),"AT RISK",AND(F127&lt;=2,G127&gt;=8,H127&gt;=8),"CAN'T LOSE THEM",AND(F127&lt;=2,G127&lt;=2,H127&lt;=2),"HIBERNATING",TRUE(),"Other")</f>
        <v>Other</v>
      </c>
      <c r="K127" s="1" t="n">
        <f aca="false">RANK(E127,$E$7:$E$4378)+COUNTIF($E$7:E127,E127)-1</f>
        <v>1574</v>
      </c>
    </row>
    <row r="128" customFormat="false" ht="14.25" hidden="false" customHeight="true" outlineLevel="0" collapsed="false">
      <c r="A128" s="51" t="n">
        <v>12498</v>
      </c>
      <c r="B128" s="53" t="n">
        <v>40865.5368055556</v>
      </c>
      <c r="C128" s="57" t="n">
        <f aca="false">INT($C$2)-INT(Table3[[#This Row],[Last Purchase Date]])</f>
        <v>22</v>
      </c>
      <c r="D128" s="1" t="n">
        <v>3</v>
      </c>
      <c r="E128" s="1" t="n">
        <v>403.7</v>
      </c>
      <c r="F128" s="1" t="n">
        <f aca="false">ROUND((1-_xlfn.PERCENTRANK.INC($C$7:$C$4378,C128))*9,0)</f>
        <v>6</v>
      </c>
      <c r="G128" s="1" t="n">
        <f aca="false">ROUND(_xlfn.PERCENTRANK.INC($D$7:$D$4378,D128)*9,0)</f>
        <v>4</v>
      </c>
      <c r="H128" s="1" t="n">
        <f aca="false">ROUND(_xlfn.PERCENTRANK.INC($E$7:$E$4378,E128)*9,0)</f>
        <v>3</v>
      </c>
      <c r="I128" s="1" t="str">
        <f aca="false">CONCATENATE(F128,G128,H128)</f>
        <v>643</v>
      </c>
      <c r="J128" s="1" t="str">
        <f aca="false">_xlfn.IFS(AND(F128&gt;=8,G128&gt;=8,H128&gt;=8),"CHAMPION",AND(F128&gt;=6,G128&gt;=7,H128&gt;=6),"LOYAL CUSTOMER",AND(F128&gt;=6,G128&gt;=5,H128&gt;=5),"POTENTIAL LOYALIST",AND(F128&gt;=8,G128&lt;=2,H128&gt;=5),"NEW CUSTOMERS",AND(F128&gt;=6,G128&lt;=2,H128&gt;=3),"PROMISING",AND(F128&gt;=3,G128&gt;=3,H128&gt;=3),"NEED ATTENTION",AND(F128&lt;=4,G128&gt;=6,H128&gt;=6),"AT RISK",AND(F128&lt;=2,G128&gt;=8,H128&gt;=8),"CAN'T LOSE THEM",AND(F128&lt;=2,G128&lt;=2,H128&lt;=2),"HIBERNATING",TRUE(),"Other")</f>
        <v>NEED ATTENTION</v>
      </c>
      <c r="K128" s="1" t="n">
        <f aca="false">RANK(E128,$E$7:$E$4378)+COUNTIF($E$7:E128,E128)-1</f>
        <v>2811</v>
      </c>
    </row>
    <row r="129" customFormat="false" ht="14.25" hidden="false" customHeight="true" outlineLevel="0" collapsed="false">
      <c r="A129" s="51" t="n">
        <v>12500</v>
      </c>
      <c r="B129" s="53" t="n">
        <v>40863.6805555556</v>
      </c>
      <c r="C129" s="57" t="n">
        <f aca="false">INT($C$2)-INT(Table3[[#This Row],[Last Purchase Date]])</f>
        <v>24</v>
      </c>
      <c r="D129" s="1" t="n">
        <v>13</v>
      </c>
      <c r="E129" s="1" t="n">
        <v>4206.27</v>
      </c>
      <c r="F129" s="1" t="n">
        <f aca="false">ROUND((1-_xlfn.PERCENTRANK.INC($C$7:$C$4378,C129))*9,0)</f>
        <v>6</v>
      </c>
      <c r="G129" s="1" t="n">
        <f aca="false">ROUND(_xlfn.PERCENTRANK.INC($D$7:$D$4378,D129)*9,0)</f>
        <v>8</v>
      </c>
      <c r="H129" s="1" t="n">
        <f aca="false">ROUND(_xlfn.PERCENTRANK.INC($E$7:$E$4378,E129)*9,0)</f>
        <v>8</v>
      </c>
      <c r="I129" s="1" t="str">
        <f aca="false">CONCATENATE(F129,G129,H129)</f>
        <v>688</v>
      </c>
      <c r="J129" s="1" t="str">
        <f aca="false">_xlfn.IFS(AND(F129&gt;=8,G129&gt;=8,H129&gt;=8),"CHAMPION",AND(F129&gt;=6,G129&gt;=7,H129&gt;=6),"LOYAL CUSTOMER",AND(F129&gt;=6,G129&gt;=5,H129&gt;=5),"POTENTIAL LOYALIST",AND(F129&gt;=8,G129&lt;=2,H129&gt;=5),"NEW CUSTOMERS",AND(F129&gt;=6,G129&lt;=2,H129&gt;=3),"PROMISING",AND(F129&gt;=3,G129&gt;=3,H129&gt;=3),"NEED ATTENTION",AND(F129&lt;=4,G129&gt;=6,H129&gt;=6),"AT RISK",AND(F129&lt;=2,G129&gt;=8,H129&gt;=8),"CAN'T LOSE THEM",AND(F129&lt;=2,G129&lt;=2,H129&lt;=2),"HIBERNATING",TRUE(),"Other")</f>
        <v>LOYAL CUSTOMER</v>
      </c>
      <c r="K129" s="1" t="n">
        <f aca="false">RANK(E129,$E$7:$E$4378)+COUNTIF($E$7:E129,E129)-1</f>
        <v>328</v>
      </c>
    </row>
    <row r="130" customFormat="false" ht="14.25" hidden="false" customHeight="true" outlineLevel="0" collapsed="false">
      <c r="A130" s="51" t="n">
        <v>12501</v>
      </c>
      <c r="B130" s="53" t="n">
        <v>40571.5791666667</v>
      </c>
      <c r="C130" s="57" t="n">
        <f aca="false">INT($C$2)-INT(Table3[[#This Row],[Last Purchase Date]])</f>
        <v>316</v>
      </c>
      <c r="D130" s="1" t="n">
        <v>2</v>
      </c>
      <c r="E130" s="1" t="n">
        <v>2089.68</v>
      </c>
      <c r="F130" s="1" t="n">
        <f aca="false">ROUND((1-_xlfn.PERCENTRANK.INC($C$7:$C$4378,C130))*9,0)</f>
        <v>0</v>
      </c>
      <c r="G130" s="1" t="n">
        <f aca="false">ROUND(_xlfn.PERCENTRANK.INC($D$7:$D$4378,D130)*9,0)</f>
        <v>3</v>
      </c>
      <c r="H130" s="1" t="n">
        <f aca="false">ROUND(_xlfn.PERCENTRANK.INC($E$7:$E$4378,E130)*9,0)</f>
        <v>7</v>
      </c>
      <c r="I130" s="1" t="str">
        <f aca="false">CONCATENATE(F130,G130,H130)</f>
        <v>037</v>
      </c>
      <c r="J130" s="1" t="str">
        <f aca="false">_xlfn.IFS(AND(F130&gt;=8,G130&gt;=8,H130&gt;=8),"CHAMPION",AND(F130&gt;=6,G130&gt;=7,H130&gt;=6),"LOYAL CUSTOMER",AND(F130&gt;=6,G130&gt;=5,H130&gt;=5),"POTENTIAL LOYALIST",AND(F130&gt;=8,G130&lt;=2,H130&gt;=5),"NEW CUSTOMERS",AND(F130&gt;=6,G130&lt;=2,H130&gt;=3),"PROMISING",AND(F130&gt;=3,G130&gt;=3,H130&gt;=3),"NEED ATTENTION",AND(F130&lt;=4,G130&gt;=6,H130&gt;=6),"AT RISK",AND(F130&lt;=2,G130&gt;=8,H130&gt;=8),"CAN'T LOSE THEM",AND(F130&lt;=2,G130&lt;=2,H130&lt;=2),"HIBERNATING",TRUE(),"Other")</f>
        <v>Other</v>
      </c>
      <c r="K130" s="1" t="n">
        <f aca="false">RANK(E130,$E$7:$E$4378)+COUNTIF($E$7:E130,E130)-1</f>
        <v>832</v>
      </c>
    </row>
    <row r="131" customFormat="false" ht="14.25" hidden="false" customHeight="true" outlineLevel="0" collapsed="false">
      <c r="A131" s="51" t="n">
        <v>12502</v>
      </c>
      <c r="B131" s="53" t="n">
        <v>40791.4944444444</v>
      </c>
      <c r="C131" s="57" t="n">
        <f aca="false">INT($C$2)-INT(Table3[[#This Row],[Last Purchase Date]])</f>
        <v>96</v>
      </c>
      <c r="D131" s="1" t="n">
        <v>5</v>
      </c>
      <c r="E131" s="1" t="n">
        <v>3723.87</v>
      </c>
      <c r="F131" s="1" t="n">
        <f aca="false">ROUND((1-_xlfn.PERCENTRANK.INC($C$7:$C$4378,C131))*9,0)</f>
        <v>3</v>
      </c>
      <c r="G131" s="1" t="n">
        <f aca="false">ROUND(_xlfn.PERCENTRANK.INC($D$7:$D$4378,D131)*9,0)</f>
        <v>6</v>
      </c>
      <c r="H131" s="1" t="n">
        <f aca="false">ROUND(_xlfn.PERCENTRANK.INC($E$7:$E$4378,E131)*9,0)</f>
        <v>8</v>
      </c>
      <c r="I131" s="1" t="str">
        <f aca="false">CONCATENATE(F131,G131,H131)</f>
        <v>368</v>
      </c>
      <c r="J131" s="1" t="str">
        <f aca="false">_xlfn.IFS(AND(F131&gt;=8,G131&gt;=8,H131&gt;=8),"CHAMPION",AND(F131&gt;=6,G131&gt;=7,H131&gt;=6),"LOYAL CUSTOMER",AND(F131&gt;=6,G131&gt;=5,H131&gt;=5),"POTENTIAL LOYALIST",AND(F131&gt;=8,G131&lt;=2,H131&gt;=5),"NEW CUSTOMERS",AND(F131&gt;=6,G131&lt;=2,H131&gt;=3),"PROMISING",AND(F131&gt;=3,G131&gt;=3,H131&gt;=3),"NEED ATTENTION",AND(F131&lt;=4,G131&gt;=6,H131&gt;=6),"AT RISK",AND(F131&lt;=2,G131&gt;=8,H131&gt;=8),"CAN'T LOSE THEM",AND(F131&lt;=2,G131&lt;=2,H131&lt;=2),"HIBERNATING",TRUE(),"Other")</f>
        <v>NEED ATTENTION</v>
      </c>
      <c r="K131" s="1" t="n">
        <f aca="false">RANK(E131,$E$7:$E$4378)+COUNTIF($E$7:E131,E131)-1</f>
        <v>401</v>
      </c>
    </row>
    <row r="132" customFormat="false" ht="14.25" hidden="false" customHeight="true" outlineLevel="0" collapsed="false">
      <c r="A132" s="51" t="n">
        <v>12503</v>
      </c>
      <c r="B132" s="53" t="n">
        <v>40549.49375</v>
      </c>
      <c r="C132" s="57" t="n">
        <f aca="false">INT($C$2)-INT(Table3[[#This Row],[Last Purchase Date]])</f>
        <v>338</v>
      </c>
      <c r="D132" s="1" t="n">
        <v>1</v>
      </c>
      <c r="E132" s="1" t="n">
        <v>-1126</v>
      </c>
      <c r="F132" s="1" t="n">
        <f aca="false">ROUND((1-_xlfn.PERCENTRANK.INC($C$7:$C$4378,C132))*9,0)</f>
        <v>0</v>
      </c>
      <c r="G132" s="1" t="n">
        <f aca="false">ROUND(_xlfn.PERCENTRANK.INC($D$7:$D$4378,D132)*9,0)</f>
        <v>0</v>
      </c>
      <c r="H132" s="1" t="n">
        <f aca="false">ROUND(_xlfn.PERCENTRANK.INC($E$7:$E$4378,E132)*9,0)</f>
        <v>0</v>
      </c>
      <c r="I132" s="1" t="str">
        <f aca="false">CONCATENATE(F132,G132,H132)</f>
        <v>000</v>
      </c>
      <c r="J132" s="1" t="str">
        <f aca="false">_xlfn.IFS(AND(F132&gt;=8,G132&gt;=8,H132&gt;=8),"CHAMPION",AND(F132&gt;=6,G132&gt;=7,H132&gt;=6),"LOYAL CUSTOMER",AND(F132&gt;=6,G132&gt;=5,H132&gt;=5),"POTENTIAL LOYALIST",AND(F132&gt;=8,G132&lt;=2,H132&gt;=5),"NEW CUSTOMERS",AND(F132&gt;=6,G132&lt;=2,H132&gt;=3),"PROMISING",AND(F132&gt;=3,G132&gt;=3,H132&gt;=3),"NEED ATTENTION",AND(F132&lt;=4,G132&gt;=6,H132&gt;=6),"AT RISK",AND(F132&lt;=2,G132&gt;=8,H132&gt;=8),"CAN'T LOSE THEM",AND(F132&lt;=2,G132&lt;=2,H132&lt;=2),"HIBERNATING",TRUE(),"Other")</f>
        <v>HIBERNATING</v>
      </c>
      <c r="K132" s="1" t="n">
        <f aca="false">RANK(E132,$E$7:$E$4378)+COUNTIF($E$7:E132,E132)-1</f>
        <v>4368</v>
      </c>
    </row>
    <row r="133" customFormat="false" ht="14.25" hidden="false" customHeight="true" outlineLevel="0" collapsed="false">
      <c r="A133" s="51" t="n">
        <v>12504</v>
      </c>
      <c r="B133" s="53" t="n">
        <v>40868.6680555556</v>
      </c>
      <c r="C133" s="57" t="n">
        <f aca="false">INT($C$2)-INT(Table3[[#This Row],[Last Purchase Date]])</f>
        <v>19</v>
      </c>
      <c r="D133" s="1" t="n">
        <v>4</v>
      </c>
      <c r="E133" s="1" t="n">
        <v>114</v>
      </c>
      <c r="F133" s="1" t="n">
        <f aca="false">ROUND((1-_xlfn.PERCENTRANK.INC($C$7:$C$4378,C133))*9,0)</f>
        <v>7</v>
      </c>
      <c r="G133" s="1" t="n">
        <f aca="false">ROUND(_xlfn.PERCENTRANK.INC($D$7:$D$4378,D133)*9,0)</f>
        <v>5</v>
      </c>
      <c r="H133" s="1" t="n">
        <f aca="false">ROUND(_xlfn.PERCENTRANK.INC($E$7:$E$4378,E133)*9,0)</f>
        <v>1</v>
      </c>
      <c r="I133" s="1" t="str">
        <f aca="false">CONCATENATE(F133,G133,H133)</f>
        <v>751</v>
      </c>
      <c r="J133" s="1" t="str">
        <f aca="false">_xlfn.IFS(AND(F133&gt;=8,G133&gt;=8,H133&gt;=8),"CHAMPION",AND(F133&gt;=6,G133&gt;=7,H133&gt;=6),"LOYAL CUSTOMER",AND(F133&gt;=6,G133&gt;=5,H133&gt;=5),"POTENTIAL LOYALIST",AND(F133&gt;=8,G133&lt;=2,H133&gt;=5),"NEW CUSTOMERS",AND(F133&gt;=6,G133&lt;=2,H133&gt;=3),"PROMISING",AND(F133&gt;=3,G133&gt;=3,H133&gt;=3),"NEED ATTENTION",AND(F133&lt;=4,G133&gt;=6,H133&gt;=6),"AT RISK",AND(F133&lt;=2,G133&gt;=8,H133&gt;=8),"CAN'T LOSE THEM",AND(F133&lt;=2,G133&lt;=2,H133&lt;=2),"HIBERNATING",TRUE(),"Other")</f>
        <v>Other</v>
      </c>
      <c r="K133" s="1" t="n">
        <f aca="false">RANK(E133,$E$7:$E$4378)+COUNTIF($E$7:E133,E133)-1</f>
        <v>4083</v>
      </c>
    </row>
    <row r="134" customFormat="false" ht="14.25" hidden="false" customHeight="true" outlineLevel="0" collapsed="false">
      <c r="A134" s="51" t="n">
        <v>12505</v>
      </c>
      <c r="B134" s="53" t="n">
        <v>40585.56875</v>
      </c>
      <c r="C134" s="57" t="n">
        <f aca="false">INT($C$2)-INT(Table3[[#This Row],[Last Purchase Date]])</f>
        <v>302</v>
      </c>
      <c r="D134" s="1" t="n">
        <v>1</v>
      </c>
      <c r="E134" s="1" t="n">
        <v>-4.5</v>
      </c>
      <c r="F134" s="1" t="n">
        <f aca="false">ROUND((1-_xlfn.PERCENTRANK.INC($C$7:$C$4378,C134))*9,0)</f>
        <v>1</v>
      </c>
      <c r="G134" s="1" t="n">
        <f aca="false">ROUND(_xlfn.PERCENTRANK.INC($D$7:$D$4378,D134)*9,0)</f>
        <v>0</v>
      </c>
      <c r="H134" s="1" t="n">
        <f aca="false">ROUND(_xlfn.PERCENTRANK.INC($E$7:$E$4378,E134)*9,0)</f>
        <v>0</v>
      </c>
      <c r="I134" s="1" t="str">
        <f aca="false">CONCATENATE(F134,G134,H134)</f>
        <v>100</v>
      </c>
      <c r="J134" s="1" t="str">
        <f aca="false">_xlfn.IFS(AND(F134&gt;=8,G134&gt;=8,H134&gt;=8),"CHAMPION",AND(F134&gt;=6,G134&gt;=7,H134&gt;=6),"LOYAL CUSTOMER",AND(F134&gt;=6,G134&gt;=5,H134&gt;=5),"POTENTIAL LOYALIST",AND(F134&gt;=8,G134&lt;=2,H134&gt;=5),"NEW CUSTOMERS",AND(F134&gt;=6,G134&lt;=2,H134&gt;=3),"PROMISING",AND(F134&gt;=3,G134&gt;=3,H134&gt;=3),"NEED ATTENTION",AND(F134&lt;=4,G134&gt;=6,H134&gt;=6),"AT RISK",AND(F134&lt;=2,G134&gt;=8,H134&gt;=8),"CAN'T LOSE THEM",AND(F134&lt;=2,G134&lt;=2,H134&lt;=2),"HIBERNATING",TRUE(),"Other")</f>
        <v>HIBERNATING</v>
      </c>
      <c r="K134" s="1" t="n">
        <f aca="false">RANK(E134,$E$7:$E$4378)+COUNTIF($E$7:E134,E134)-1</f>
        <v>4336</v>
      </c>
    </row>
    <row r="135" customFormat="false" ht="14.25" hidden="false" customHeight="true" outlineLevel="0" collapsed="false">
      <c r="A135" s="51" t="n">
        <v>12506</v>
      </c>
      <c r="B135" s="53" t="n">
        <v>40654.3708333333</v>
      </c>
      <c r="C135" s="57" t="n">
        <f aca="false">INT($C$2)-INT(Table3[[#This Row],[Last Purchase Date]])</f>
        <v>233</v>
      </c>
      <c r="D135" s="1" t="n">
        <v>1</v>
      </c>
      <c r="E135" s="1" t="n">
        <v>73.5</v>
      </c>
      <c r="F135" s="1" t="n">
        <f aca="false">ROUND((1-_xlfn.PERCENTRANK.INC($C$7:$C$4378,C135))*9,0)</f>
        <v>1</v>
      </c>
      <c r="G135" s="1" t="n">
        <f aca="false">ROUND(_xlfn.PERCENTRANK.INC($D$7:$D$4378,D135)*9,0)</f>
        <v>0</v>
      </c>
      <c r="H135" s="1" t="n">
        <f aca="false">ROUND(_xlfn.PERCENTRANK.INC($E$7:$E$4378,E135)*9,0)</f>
        <v>0</v>
      </c>
      <c r="I135" s="1" t="str">
        <f aca="false">CONCATENATE(F135,G135,H135)</f>
        <v>100</v>
      </c>
      <c r="J135" s="1" t="str">
        <f aca="false">_xlfn.IFS(AND(F135&gt;=8,G135&gt;=8,H135&gt;=8),"CHAMPION",AND(F135&gt;=6,G135&gt;=7,H135&gt;=6),"LOYAL CUSTOMER",AND(F135&gt;=6,G135&gt;=5,H135&gt;=5),"POTENTIAL LOYALIST",AND(F135&gt;=8,G135&lt;=2,H135&gt;=5),"NEW CUSTOMERS",AND(F135&gt;=6,G135&lt;=2,H135&gt;=3),"PROMISING",AND(F135&gt;=3,G135&gt;=3,H135&gt;=3),"NEED ATTENTION",AND(F135&lt;=4,G135&gt;=6,H135&gt;=6),"AT RISK",AND(F135&lt;=2,G135&gt;=8,H135&gt;=8),"CAN'T LOSE THEM",AND(F135&lt;=2,G135&lt;=2,H135&lt;=2),"HIBERNATING",TRUE(),"Other")</f>
        <v>HIBERNATING</v>
      </c>
      <c r="K135" s="1" t="n">
        <f aca="false">RANK(E135,$E$7:$E$4378)+COUNTIF($E$7:E135,E135)-1</f>
        <v>4240</v>
      </c>
    </row>
    <row r="136" customFormat="false" ht="14.25" hidden="false" customHeight="true" outlineLevel="0" collapsed="false">
      <c r="A136" s="51" t="n">
        <v>12507</v>
      </c>
      <c r="B136" s="53" t="n">
        <v>40752.7145833333</v>
      </c>
      <c r="C136" s="57" t="n">
        <f aca="false">INT($C$2)-INT(Table3[[#This Row],[Last Purchase Date]])</f>
        <v>135</v>
      </c>
      <c r="D136" s="1" t="n">
        <v>4</v>
      </c>
      <c r="E136" s="1" t="n">
        <v>1258.06</v>
      </c>
      <c r="F136" s="1" t="n">
        <f aca="false">ROUND((1-_xlfn.PERCENTRANK.INC($C$7:$C$4378,C136))*9,0)</f>
        <v>2</v>
      </c>
      <c r="G136" s="1" t="n">
        <f aca="false">ROUND(_xlfn.PERCENTRANK.INC($D$7:$D$4378,D136)*9,0)</f>
        <v>5</v>
      </c>
      <c r="H136" s="1" t="n">
        <f aca="false">ROUND(_xlfn.PERCENTRANK.INC($E$7:$E$4378,E136)*9,0)</f>
        <v>6</v>
      </c>
      <c r="I136" s="1" t="str">
        <f aca="false">CONCATENATE(F136,G136,H136)</f>
        <v>256</v>
      </c>
      <c r="J136" s="1" t="str">
        <f aca="false">_xlfn.IFS(AND(F136&gt;=8,G136&gt;=8,H136&gt;=8),"CHAMPION",AND(F136&gt;=6,G136&gt;=7,H136&gt;=6),"LOYAL CUSTOMER",AND(F136&gt;=6,G136&gt;=5,H136&gt;=5),"POTENTIAL LOYALIST",AND(F136&gt;=8,G136&lt;=2,H136&gt;=5),"NEW CUSTOMERS",AND(F136&gt;=6,G136&lt;=2,H136&gt;=3),"PROMISING",AND(F136&gt;=3,G136&gt;=3,H136&gt;=3),"NEED ATTENTION",AND(F136&lt;=4,G136&gt;=6,H136&gt;=6),"AT RISK",AND(F136&lt;=2,G136&gt;=8,H136&gt;=8),"CAN'T LOSE THEM",AND(F136&lt;=2,G136&lt;=2,H136&lt;=2),"HIBERNATING",TRUE(),"Other")</f>
        <v>Other</v>
      </c>
      <c r="K136" s="1" t="n">
        <f aca="false">RANK(E136,$E$7:$E$4378)+COUNTIF($E$7:E136,E136)-1</f>
        <v>1367</v>
      </c>
    </row>
    <row r="137" customFormat="false" ht="14.25" hidden="false" customHeight="true" outlineLevel="0" collapsed="false">
      <c r="A137" s="51" t="n">
        <v>12508</v>
      </c>
      <c r="B137" s="53" t="n">
        <v>40860.6506944444</v>
      </c>
      <c r="C137" s="57" t="n">
        <f aca="false">INT($C$2)-INT(Table3[[#This Row],[Last Purchase Date]])</f>
        <v>27</v>
      </c>
      <c r="D137" s="1" t="n">
        <v>2</v>
      </c>
      <c r="E137" s="1" t="n">
        <v>398.27</v>
      </c>
      <c r="F137" s="1" t="n">
        <f aca="false">ROUND((1-_xlfn.PERCENTRANK.INC($C$7:$C$4378,C137))*9,0)</f>
        <v>6</v>
      </c>
      <c r="G137" s="1" t="n">
        <f aca="false">ROUND(_xlfn.PERCENTRANK.INC($D$7:$D$4378,D137)*9,0)</f>
        <v>3</v>
      </c>
      <c r="H137" s="1" t="n">
        <f aca="false">ROUND(_xlfn.PERCENTRANK.INC($E$7:$E$4378,E137)*9,0)</f>
        <v>3</v>
      </c>
      <c r="I137" s="1" t="str">
        <f aca="false">CONCATENATE(F137,G137,H137)</f>
        <v>633</v>
      </c>
      <c r="J137" s="1" t="str">
        <f aca="false">_xlfn.IFS(AND(F137&gt;=8,G137&gt;=8,H137&gt;=8),"CHAMPION",AND(F137&gt;=6,G137&gt;=7,H137&gt;=6),"LOYAL CUSTOMER",AND(F137&gt;=6,G137&gt;=5,H137&gt;=5),"POTENTIAL LOYALIST",AND(F137&gt;=8,G137&lt;=2,H137&gt;=5),"NEW CUSTOMERS",AND(F137&gt;=6,G137&lt;=2,H137&gt;=3),"PROMISING",AND(F137&gt;=3,G137&gt;=3,H137&gt;=3),"NEED ATTENTION",AND(F137&lt;=4,G137&gt;=6,H137&gt;=6),"AT RISK",AND(F137&lt;=2,G137&gt;=8,H137&gt;=8),"CAN'T LOSE THEM",AND(F137&lt;=2,G137&lt;=2,H137&lt;=2),"HIBERNATING",TRUE(),"Other")</f>
        <v>NEED ATTENTION</v>
      </c>
      <c r="K137" s="1" t="n">
        <f aca="false">RANK(E137,$E$7:$E$4378)+COUNTIF($E$7:E137,E137)-1</f>
        <v>2824</v>
      </c>
    </row>
    <row r="138" customFormat="false" ht="14.25" hidden="false" customHeight="true" outlineLevel="0" collapsed="false">
      <c r="A138" s="51" t="n">
        <v>12509</v>
      </c>
      <c r="B138" s="53" t="n">
        <v>40602.6145833333</v>
      </c>
      <c r="C138" s="57" t="n">
        <f aca="false">INT($C$2)-INT(Table3[[#This Row],[Last Purchase Date]])</f>
        <v>285</v>
      </c>
      <c r="D138" s="1" t="n">
        <v>1</v>
      </c>
      <c r="E138" s="1" t="n">
        <v>176.5</v>
      </c>
      <c r="F138" s="1" t="n">
        <f aca="false">ROUND((1-_xlfn.PERCENTRANK.INC($C$7:$C$4378,C138))*9,0)</f>
        <v>1</v>
      </c>
      <c r="G138" s="1" t="n">
        <f aca="false">ROUND(_xlfn.PERCENTRANK.INC($D$7:$D$4378,D138)*9,0)</f>
        <v>0</v>
      </c>
      <c r="H138" s="1" t="n">
        <f aca="false">ROUND(_xlfn.PERCENTRANK.INC($E$7:$E$4378,E138)*9,0)</f>
        <v>1</v>
      </c>
      <c r="I138" s="1" t="str">
        <f aca="false">CONCATENATE(F138,G138,H138)</f>
        <v>101</v>
      </c>
      <c r="J138" s="1" t="str">
        <f aca="false">_xlfn.IFS(AND(F138&gt;=8,G138&gt;=8,H138&gt;=8),"CHAMPION",AND(F138&gt;=6,G138&gt;=7,H138&gt;=6),"LOYAL CUSTOMER",AND(F138&gt;=6,G138&gt;=5,H138&gt;=5),"POTENTIAL LOYALIST",AND(F138&gt;=8,G138&lt;=2,H138&gt;=5),"NEW CUSTOMERS",AND(F138&gt;=6,G138&lt;=2,H138&gt;=3),"PROMISING",AND(F138&gt;=3,G138&gt;=3,H138&gt;=3),"NEED ATTENTION",AND(F138&lt;=4,G138&gt;=6,H138&gt;=6),"AT RISK",AND(F138&lt;=2,G138&gt;=8,H138&gt;=8),"CAN'T LOSE THEM",AND(F138&lt;=2,G138&lt;=2,H138&lt;=2),"HIBERNATING",TRUE(),"Other")</f>
        <v>HIBERNATING</v>
      </c>
      <c r="K138" s="1" t="n">
        <f aca="false">RANK(E138,$E$7:$E$4378)+COUNTIF($E$7:E138,E138)-1</f>
        <v>3776</v>
      </c>
    </row>
    <row r="139" customFormat="false" ht="14.25" hidden="false" customHeight="true" outlineLevel="0" collapsed="false">
      <c r="A139" s="51" t="n">
        <v>12510</v>
      </c>
      <c r="B139" s="53" t="n">
        <v>40744.4270833333</v>
      </c>
      <c r="C139" s="57" t="n">
        <f aca="false">INT($C$2)-INT(Table3[[#This Row],[Last Purchase Date]])</f>
        <v>143</v>
      </c>
      <c r="D139" s="1" t="n">
        <v>2</v>
      </c>
      <c r="E139" s="1" t="n">
        <v>982.57</v>
      </c>
      <c r="F139" s="1" t="n">
        <f aca="false">ROUND((1-_xlfn.PERCENTRANK.INC($C$7:$C$4378,C139))*9,0)</f>
        <v>2</v>
      </c>
      <c r="G139" s="1" t="n">
        <f aca="false">ROUND(_xlfn.PERCENTRANK.INC($D$7:$D$4378,D139)*9,0)</f>
        <v>3</v>
      </c>
      <c r="H139" s="1" t="n">
        <f aca="false">ROUND(_xlfn.PERCENTRANK.INC($E$7:$E$4378,E139)*9,0)</f>
        <v>6</v>
      </c>
      <c r="I139" s="1" t="str">
        <f aca="false">CONCATENATE(F139,G139,H139)</f>
        <v>236</v>
      </c>
      <c r="J139" s="1" t="str">
        <f aca="false">_xlfn.IFS(AND(F139&gt;=8,G139&gt;=8,H139&gt;=8),"CHAMPION",AND(F139&gt;=6,G139&gt;=7,H139&gt;=6),"LOYAL CUSTOMER",AND(F139&gt;=6,G139&gt;=5,H139&gt;=5),"POTENTIAL LOYALIST",AND(F139&gt;=8,G139&lt;=2,H139&gt;=5),"NEW CUSTOMERS",AND(F139&gt;=6,G139&lt;=2,H139&gt;=3),"PROMISING",AND(F139&gt;=3,G139&gt;=3,H139&gt;=3),"NEED ATTENTION",AND(F139&lt;=4,G139&gt;=6,H139&gt;=6),"AT RISK",AND(F139&lt;=2,G139&gt;=8,H139&gt;=8),"CAN'T LOSE THEM",AND(F139&lt;=2,G139&lt;=2,H139&lt;=2),"HIBERNATING",TRUE(),"Other")</f>
        <v>Other</v>
      </c>
      <c r="K139" s="1" t="n">
        <f aca="false">RANK(E139,$E$7:$E$4378)+COUNTIF($E$7:E139,E139)-1</f>
        <v>1655</v>
      </c>
    </row>
    <row r="140" customFormat="false" ht="14.25" hidden="false" customHeight="true" outlineLevel="0" collapsed="false">
      <c r="A140" s="51" t="n">
        <v>12512</v>
      </c>
      <c r="B140" s="53" t="n">
        <v>40820.6215277778</v>
      </c>
      <c r="C140" s="57" t="n">
        <f aca="false">INT($C$2)-INT(Table3[[#This Row],[Last Purchase Date]])</f>
        <v>67</v>
      </c>
      <c r="D140" s="1" t="n">
        <v>2</v>
      </c>
      <c r="E140" s="1" t="n">
        <v>138.03</v>
      </c>
      <c r="F140" s="1" t="n">
        <f aca="false">ROUND((1-_xlfn.PERCENTRANK.INC($C$7:$C$4378,C140))*9,0)</f>
        <v>4</v>
      </c>
      <c r="G140" s="1" t="n">
        <f aca="false">ROUND(_xlfn.PERCENTRANK.INC($D$7:$D$4378,D140)*9,0)</f>
        <v>3</v>
      </c>
      <c r="H140" s="1" t="n">
        <f aca="false">ROUND(_xlfn.PERCENTRANK.INC($E$7:$E$4378,E140)*9,0)</f>
        <v>1</v>
      </c>
      <c r="I140" s="1" t="str">
        <f aca="false">CONCATENATE(F140,G140,H140)</f>
        <v>431</v>
      </c>
      <c r="J140" s="1" t="str">
        <f aca="false">_xlfn.IFS(AND(F140&gt;=8,G140&gt;=8,H140&gt;=8),"CHAMPION",AND(F140&gt;=6,G140&gt;=7,H140&gt;=6),"LOYAL CUSTOMER",AND(F140&gt;=6,G140&gt;=5,H140&gt;=5),"POTENTIAL LOYALIST",AND(F140&gt;=8,G140&lt;=2,H140&gt;=5),"NEW CUSTOMERS",AND(F140&gt;=6,G140&lt;=2,H140&gt;=3),"PROMISING",AND(F140&gt;=3,G140&gt;=3,H140&gt;=3),"NEED ATTENTION",AND(F140&lt;=4,G140&gt;=6,H140&gt;=6),"AT RISK",AND(F140&lt;=2,G140&gt;=8,H140&gt;=8),"CAN'T LOSE THEM",AND(F140&lt;=2,G140&lt;=2,H140&lt;=2),"HIBERNATING",TRUE(),"Other")</f>
        <v>Other</v>
      </c>
      <c r="K140" s="1" t="n">
        <f aca="false">RANK(E140,$E$7:$E$4378)+COUNTIF($E$7:E140,E140)-1</f>
        <v>3971</v>
      </c>
    </row>
    <row r="141" customFormat="false" ht="14.25" hidden="false" customHeight="true" outlineLevel="0" collapsed="false">
      <c r="A141" s="51" t="n">
        <v>12513</v>
      </c>
      <c r="B141" s="53" t="n">
        <v>40802.53125</v>
      </c>
      <c r="C141" s="57" t="n">
        <f aca="false">INT($C$2)-INT(Table3[[#This Row],[Last Purchase Date]])</f>
        <v>85</v>
      </c>
      <c r="D141" s="1" t="n">
        <v>2</v>
      </c>
      <c r="E141" s="1" t="n">
        <v>586.79</v>
      </c>
      <c r="F141" s="1" t="n">
        <f aca="false">ROUND((1-_xlfn.PERCENTRANK.INC($C$7:$C$4378,C141))*9,0)</f>
        <v>3</v>
      </c>
      <c r="G141" s="1" t="n">
        <f aca="false">ROUND(_xlfn.PERCENTRANK.INC($D$7:$D$4378,D141)*9,0)</f>
        <v>3</v>
      </c>
      <c r="H141" s="1" t="n">
        <f aca="false">ROUND(_xlfn.PERCENTRANK.INC($E$7:$E$4378,E141)*9,0)</f>
        <v>4</v>
      </c>
      <c r="I141" s="1" t="str">
        <f aca="false">CONCATENATE(F141,G141,H141)</f>
        <v>334</v>
      </c>
      <c r="J141" s="1" t="str">
        <f aca="false">_xlfn.IFS(AND(F141&gt;=8,G141&gt;=8,H141&gt;=8),"CHAMPION",AND(F141&gt;=6,G141&gt;=7,H141&gt;=6),"LOYAL CUSTOMER",AND(F141&gt;=6,G141&gt;=5,H141&gt;=5),"POTENTIAL LOYALIST",AND(F141&gt;=8,G141&lt;=2,H141&gt;=5),"NEW CUSTOMERS",AND(F141&gt;=6,G141&lt;=2,H141&gt;=3),"PROMISING",AND(F141&gt;=3,G141&gt;=3,H141&gt;=3),"NEED ATTENTION",AND(F141&lt;=4,G141&gt;=6,H141&gt;=6),"AT RISK",AND(F141&lt;=2,G141&gt;=8,H141&gt;=8),"CAN'T LOSE THEM",AND(F141&lt;=2,G141&lt;=2,H141&lt;=2),"HIBERNATING",TRUE(),"Other")</f>
        <v>NEED ATTENTION</v>
      </c>
      <c r="K141" s="1" t="n">
        <f aca="false">RANK(E141,$E$7:$E$4378)+COUNTIF($E$7:E141,E141)-1</f>
        <v>2354</v>
      </c>
    </row>
    <row r="142" customFormat="false" ht="14.25" hidden="false" customHeight="true" outlineLevel="0" collapsed="false">
      <c r="A142" s="51" t="n">
        <v>12514</v>
      </c>
      <c r="B142" s="53" t="n">
        <v>40619.6930555556</v>
      </c>
      <c r="C142" s="57" t="n">
        <f aca="false">INT($C$2)-INT(Table3[[#This Row],[Last Purchase Date]])</f>
        <v>268</v>
      </c>
      <c r="D142" s="1" t="n">
        <v>1</v>
      </c>
      <c r="E142" s="1" t="n">
        <v>1017.68</v>
      </c>
      <c r="F142" s="1" t="n">
        <f aca="false">ROUND((1-_xlfn.PERCENTRANK.INC($C$7:$C$4378,C142))*9,0)</f>
        <v>1</v>
      </c>
      <c r="G142" s="1" t="n">
        <f aca="false">ROUND(_xlfn.PERCENTRANK.INC($D$7:$D$4378,D142)*9,0)</f>
        <v>0</v>
      </c>
      <c r="H142" s="1" t="n">
        <f aca="false">ROUND(_xlfn.PERCENTRANK.INC($E$7:$E$4378,E142)*9,0)</f>
        <v>6</v>
      </c>
      <c r="I142" s="1" t="str">
        <f aca="false">CONCATENATE(F142,G142,H142)</f>
        <v>106</v>
      </c>
      <c r="J142" s="1" t="str">
        <f aca="false">_xlfn.IFS(AND(F142&gt;=8,G142&gt;=8,H142&gt;=8),"CHAMPION",AND(F142&gt;=6,G142&gt;=7,H142&gt;=6),"LOYAL CUSTOMER",AND(F142&gt;=6,G142&gt;=5,H142&gt;=5),"POTENTIAL LOYALIST",AND(F142&gt;=8,G142&lt;=2,H142&gt;=5),"NEW CUSTOMERS",AND(F142&gt;=6,G142&lt;=2,H142&gt;=3),"PROMISING",AND(F142&gt;=3,G142&gt;=3,H142&gt;=3),"NEED ATTENTION",AND(F142&lt;=4,G142&gt;=6,H142&gt;=6),"AT RISK",AND(F142&lt;=2,G142&gt;=8,H142&gt;=8),"CAN'T LOSE THEM",AND(F142&lt;=2,G142&lt;=2,H142&lt;=2),"HIBERNATING",TRUE(),"Other")</f>
        <v>Other</v>
      </c>
      <c r="K142" s="1" t="n">
        <f aca="false">RANK(E142,$E$7:$E$4378)+COUNTIF($E$7:E142,E142)-1</f>
        <v>1610</v>
      </c>
    </row>
    <row r="143" customFormat="false" ht="14.25" hidden="false" customHeight="true" outlineLevel="0" collapsed="false">
      <c r="A143" s="51" t="n">
        <v>12515</v>
      </c>
      <c r="B143" s="53" t="n">
        <v>40533.6548611111</v>
      </c>
      <c r="C143" s="57" t="n">
        <f aca="false">INT($C$2)-INT(Table3[[#This Row],[Last Purchase Date]])</f>
        <v>354</v>
      </c>
      <c r="D143" s="1" t="n">
        <v>1</v>
      </c>
      <c r="E143" s="1" t="n">
        <v>383.7</v>
      </c>
      <c r="F143" s="1" t="n">
        <f aca="false">ROUND((1-_xlfn.PERCENTRANK.INC($C$7:$C$4378,C143))*9,0)</f>
        <v>0</v>
      </c>
      <c r="G143" s="1" t="n">
        <f aca="false">ROUND(_xlfn.PERCENTRANK.INC($D$7:$D$4378,D143)*9,0)</f>
        <v>0</v>
      </c>
      <c r="H143" s="1" t="n">
        <f aca="false">ROUND(_xlfn.PERCENTRANK.INC($E$7:$E$4378,E143)*9,0)</f>
        <v>3</v>
      </c>
      <c r="I143" s="1" t="str">
        <f aca="false">CONCATENATE(F143,G143,H143)</f>
        <v>003</v>
      </c>
      <c r="J143" s="1" t="str">
        <f aca="false">_xlfn.IFS(AND(F143&gt;=8,G143&gt;=8,H143&gt;=8),"CHAMPION",AND(F143&gt;=6,G143&gt;=7,H143&gt;=6),"LOYAL CUSTOMER",AND(F143&gt;=6,G143&gt;=5,H143&gt;=5),"POTENTIAL LOYALIST",AND(F143&gt;=8,G143&lt;=2,H143&gt;=5),"NEW CUSTOMERS",AND(F143&gt;=6,G143&lt;=2,H143&gt;=3),"PROMISING",AND(F143&gt;=3,G143&gt;=3,H143&gt;=3),"NEED ATTENTION",AND(F143&lt;=4,G143&gt;=6,H143&gt;=6),"AT RISK",AND(F143&lt;=2,G143&gt;=8,H143&gt;=8),"CAN'T LOSE THEM",AND(F143&lt;=2,G143&lt;=2,H143&lt;=2),"HIBERNATING",TRUE(),"Other")</f>
        <v>Other</v>
      </c>
      <c r="K143" s="1" t="n">
        <f aca="false">RANK(E143,$E$7:$E$4378)+COUNTIF($E$7:E143,E143)-1</f>
        <v>2873</v>
      </c>
    </row>
    <row r="144" customFormat="false" ht="14.25" hidden="false" customHeight="true" outlineLevel="0" collapsed="false">
      <c r="A144" s="51" t="n">
        <v>12516</v>
      </c>
      <c r="B144" s="53" t="n">
        <v>40809.3840277778</v>
      </c>
      <c r="C144" s="57" t="n">
        <f aca="false">INT($C$2)-INT(Table3[[#This Row],[Last Purchase Date]])</f>
        <v>78</v>
      </c>
      <c r="D144" s="1" t="n">
        <v>2</v>
      </c>
      <c r="E144" s="1" t="n">
        <v>1312.06</v>
      </c>
      <c r="F144" s="1" t="n">
        <f aca="false">ROUND((1-_xlfn.PERCENTRANK.INC($C$7:$C$4378,C144))*9,0)</f>
        <v>3</v>
      </c>
      <c r="G144" s="1" t="n">
        <f aca="false">ROUND(_xlfn.PERCENTRANK.INC($D$7:$D$4378,D144)*9,0)</f>
        <v>3</v>
      </c>
      <c r="H144" s="1" t="n">
        <f aca="false">ROUND(_xlfn.PERCENTRANK.INC($E$7:$E$4378,E144)*9,0)</f>
        <v>6</v>
      </c>
      <c r="I144" s="1" t="str">
        <f aca="false">CONCATENATE(F144,G144,H144)</f>
        <v>336</v>
      </c>
      <c r="J144" s="1" t="str">
        <f aca="false">_xlfn.IFS(AND(F144&gt;=8,G144&gt;=8,H144&gt;=8),"CHAMPION",AND(F144&gt;=6,G144&gt;=7,H144&gt;=6),"LOYAL CUSTOMER",AND(F144&gt;=6,G144&gt;=5,H144&gt;=5),"POTENTIAL LOYALIST",AND(F144&gt;=8,G144&lt;=2,H144&gt;=5),"NEW CUSTOMERS",AND(F144&gt;=6,G144&lt;=2,H144&gt;=3),"PROMISING",AND(F144&gt;=3,G144&gt;=3,H144&gt;=3),"NEED ATTENTION",AND(F144&lt;=4,G144&gt;=6,H144&gt;=6),"AT RISK",AND(F144&lt;=2,G144&gt;=8,H144&gt;=8),"CAN'T LOSE THEM",AND(F144&lt;=2,G144&lt;=2,H144&lt;=2),"HIBERNATING",TRUE(),"Other")</f>
        <v>NEED ATTENTION</v>
      </c>
      <c r="K144" s="1" t="n">
        <f aca="false">RANK(E144,$E$7:$E$4378)+COUNTIF($E$7:E144,E144)-1</f>
        <v>1312</v>
      </c>
    </row>
    <row r="145" customFormat="false" ht="14.25" hidden="false" customHeight="true" outlineLevel="0" collapsed="false">
      <c r="A145" s="51" t="n">
        <v>12517</v>
      </c>
      <c r="B145" s="53" t="n">
        <v>40858.5861111111</v>
      </c>
      <c r="C145" s="57" t="n">
        <f aca="false">INT($C$2)-INT(Table3[[#This Row],[Last Purchase Date]])</f>
        <v>29</v>
      </c>
      <c r="D145" s="1" t="n">
        <v>6</v>
      </c>
      <c r="E145" s="1" t="n">
        <v>2464.89</v>
      </c>
      <c r="F145" s="1" t="n">
        <f aca="false">ROUND((1-_xlfn.PERCENTRANK.INC($C$7:$C$4378,C145))*9,0)</f>
        <v>6</v>
      </c>
      <c r="G145" s="1" t="n">
        <f aca="false">ROUND(_xlfn.PERCENTRANK.INC($D$7:$D$4378,D145)*9,0)</f>
        <v>7</v>
      </c>
      <c r="H145" s="1" t="n">
        <f aca="false">ROUND(_xlfn.PERCENTRANK.INC($E$7:$E$4378,E145)*9,0)</f>
        <v>8</v>
      </c>
      <c r="I145" s="1" t="str">
        <f aca="false">CONCATENATE(F145,G145,H145)</f>
        <v>678</v>
      </c>
      <c r="J145" s="1" t="str">
        <f aca="false">_xlfn.IFS(AND(F145&gt;=8,G145&gt;=8,H145&gt;=8),"CHAMPION",AND(F145&gt;=6,G145&gt;=7,H145&gt;=6),"LOYAL CUSTOMER",AND(F145&gt;=6,G145&gt;=5,H145&gt;=5),"POTENTIAL LOYALIST",AND(F145&gt;=8,G145&lt;=2,H145&gt;=5),"NEW CUSTOMERS",AND(F145&gt;=6,G145&lt;=2,H145&gt;=3),"PROMISING",AND(F145&gt;=3,G145&gt;=3,H145&gt;=3),"NEED ATTENTION",AND(F145&lt;=4,G145&gt;=6,H145&gt;=6),"AT RISK",AND(F145&lt;=2,G145&gt;=8,H145&gt;=8),"CAN'T LOSE THEM",AND(F145&lt;=2,G145&lt;=2,H145&lt;=2),"HIBERNATING",TRUE(),"Other")</f>
        <v>LOYAL CUSTOMER</v>
      </c>
      <c r="K145" s="1" t="n">
        <f aca="false">RANK(E145,$E$7:$E$4378)+COUNTIF($E$7:E145,E145)-1</f>
        <v>692</v>
      </c>
    </row>
    <row r="146" customFormat="false" ht="14.25" hidden="false" customHeight="true" outlineLevel="0" collapsed="false">
      <c r="A146" s="51" t="n">
        <v>12518</v>
      </c>
      <c r="B146" s="53" t="n">
        <v>40886.4256944444</v>
      </c>
      <c r="C146" s="57" t="n">
        <f aca="false">INT($C$2)-INT(Table3[[#This Row],[Last Purchase Date]])</f>
        <v>1</v>
      </c>
      <c r="D146" s="1" t="n">
        <v>5</v>
      </c>
      <c r="E146" s="1" t="n">
        <v>2056.89</v>
      </c>
      <c r="F146" s="1" t="n">
        <f aca="false">ROUND((1-_xlfn.PERCENTRANK.INC($C$7:$C$4378,C146))*9,0)</f>
        <v>9</v>
      </c>
      <c r="G146" s="1" t="n">
        <f aca="false">ROUND(_xlfn.PERCENTRANK.INC($D$7:$D$4378,D146)*9,0)</f>
        <v>6</v>
      </c>
      <c r="H146" s="1" t="n">
        <f aca="false">ROUND(_xlfn.PERCENTRANK.INC($E$7:$E$4378,E146)*9,0)</f>
        <v>7</v>
      </c>
      <c r="I146" s="1" t="str">
        <f aca="false">CONCATENATE(F146,G146,H146)</f>
        <v>967</v>
      </c>
      <c r="J146" s="1" t="str">
        <f aca="false">_xlfn.IFS(AND(F146&gt;=8,G146&gt;=8,H146&gt;=8),"CHAMPION",AND(F146&gt;=6,G146&gt;=7,H146&gt;=6),"LOYAL CUSTOMER",AND(F146&gt;=6,G146&gt;=5,H146&gt;=5),"POTENTIAL LOYALIST",AND(F146&gt;=8,G146&lt;=2,H146&gt;=5),"NEW CUSTOMERS",AND(F146&gt;=6,G146&lt;=2,H146&gt;=3),"PROMISING",AND(F146&gt;=3,G146&gt;=3,H146&gt;=3),"NEED ATTENTION",AND(F146&lt;=4,G146&gt;=6,H146&gt;=6),"AT RISK",AND(F146&lt;=2,G146&gt;=8,H146&gt;=8),"CAN'T LOSE THEM",AND(F146&lt;=2,G146&lt;=2,H146&lt;=2),"HIBERNATING",TRUE(),"Other")</f>
        <v>POTENTIAL LOYALIST</v>
      </c>
      <c r="K146" s="1" t="n">
        <f aca="false">RANK(E146,$E$7:$E$4378)+COUNTIF($E$7:E146,E146)-1</f>
        <v>848</v>
      </c>
    </row>
    <row r="147" customFormat="false" ht="14.25" hidden="false" customHeight="true" outlineLevel="0" collapsed="false">
      <c r="A147" s="51" t="n">
        <v>12519</v>
      </c>
      <c r="B147" s="53" t="n">
        <v>40823.3930555556</v>
      </c>
      <c r="C147" s="57" t="n">
        <f aca="false">INT($C$2)-INT(Table3[[#This Row],[Last Purchase Date]])</f>
        <v>64</v>
      </c>
      <c r="D147" s="1" t="n">
        <v>1</v>
      </c>
      <c r="E147" s="1" t="n">
        <v>340.84</v>
      </c>
      <c r="F147" s="1" t="n">
        <f aca="false">ROUND((1-_xlfn.PERCENTRANK.INC($C$7:$C$4378,C147))*9,0)</f>
        <v>4</v>
      </c>
      <c r="G147" s="1" t="n">
        <f aca="false">ROUND(_xlfn.PERCENTRANK.INC($D$7:$D$4378,D147)*9,0)</f>
        <v>0</v>
      </c>
      <c r="H147" s="1" t="n">
        <f aca="false">ROUND(_xlfn.PERCENTRANK.INC($E$7:$E$4378,E147)*9,0)</f>
        <v>3</v>
      </c>
      <c r="I147" s="1" t="str">
        <f aca="false">CONCATENATE(F147,G147,H147)</f>
        <v>403</v>
      </c>
      <c r="J147" s="1" t="str">
        <f aca="false">_xlfn.IFS(AND(F147&gt;=8,G147&gt;=8,H147&gt;=8),"CHAMPION",AND(F147&gt;=6,G147&gt;=7,H147&gt;=6),"LOYAL CUSTOMER",AND(F147&gt;=6,G147&gt;=5,H147&gt;=5),"POTENTIAL LOYALIST",AND(F147&gt;=8,G147&lt;=2,H147&gt;=5),"NEW CUSTOMERS",AND(F147&gt;=6,G147&lt;=2,H147&gt;=3),"PROMISING",AND(F147&gt;=3,G147&gt;=3,H147&gt;=3),"NEED ATTENTION",AND(F147&lt;=4,G147&gt;=6,H147&gt;=6),"AT RISK",AND(F147&lt;=2,G147&gt;=8,H147&gt;=8),"CAN'T LOSE THEM",AND(F147&lt;=2,G147&lt;=2,H147&lt;=2),"HIBERNATING",TRUE(),"Other")</f>
        <v>Other</v>
      </c>
      <c r="K147" s="1" t="n">
        <f aca="false">RANK(E147,$E$7:$E$4378)+COUNTIF($E$7:E147,E147)-1</f>
        <v>3050</v>
      </c>
    </row>
    <row r="148" customFormat="false" ht="14.25" hidden="false" customHeight="true" outlineLevel="0" collapsed="false">
      <c r="A148" s="51" t="n">
        <v>12520</v>
      </c>
      <c r="B148" s="53" t="n">
        <v>40807.6409722222</v>
      </c>
      <c r="C148" s="57" t="n">
        <f aca="false">INT($C$2)-INT(Table3[[#This Row],[Last Purchase Date]])</f>
        <v>80</v>
      </c>
      <c r="D148" s="1" t="n">
        <v>6</v>
      </c>
      <c r="E148" s="1" t="n">
        <v>2582.51</v>
      </c>
      <c r="F148" s="1" t="n">
        <f aca="false">ROUND((1-_xlfn.PERCENTRANK.INC($C$7:$C$4378,C148))*9,0)</f>
        <v>3</v>
      </c>
      <c r="G148" s="1" t="n">
        <f aca="false">ROUND(_xlfn.PERCENTRANK.INC($D$7:$D$4378,D148)*9,0)</f>
        <v>7</v>
      </c>
      <c r="H148" s="1" t="n">
        <f aca="false">ROUND(_xlfn.PERCENTRANK.INC($E$7:$E$4378,E148)*9,0)</f>
        <v>8</v>
      </c>
      <c r="I148" s="1" t="str">
        <f aca="false">CONCATENATE(F148,G148,H148)</f>
        <v>378</v>
      </c>
      <c r="J148" s="1" t="str">
        <f aca="false">_xlfn.IFS(AND(F148&gt;=8,G148&gt;=8,H148&gt;=8),"CHAMPION",AND(F148&gt;=6,G148&gt;=7,H148&gt;=6),"LOYAL CUSTOMER",AND(F148&gt;=6,G148&gt;=5,H148&gt;=5),"POTENTIAL LOYALIST",AND(F148&gt;=8,G148&lt;=2,H148&gt;=5),"NEW CUSTOMERS",AND(F148&gt;=6,G148&lt;=2,H148&gt;=3),"PROMISING",AND(F148&gt;=3,G148&gt;=3,H148&gt;=3),"NEED ATTENTION",AND(F148&lt;=4,G148&gt;=6,H148&gt;=6),"AT RISK",AND(F148&lt;=2,G148&gt;=8,H148&gt;=8),"CAN'T LOSE THEM",AND(F148&lt;=2,G148&lt;=2,H148&lt;=2),"HIBERNATING",TRUE(),"Other")</f>
        <v>NEED ATTENTION</v>
      </c>
      <c r="K148" s="1" t="n">
        <f aca="false">RANK(E148,$E$7:$E$4378)+COUNTIF($E$7:E148,E148)-1</f>
        <v>655</v>
      </c>
    </row>
    <row r="149" customFormat="false" ht="14.25" hidden="false" customHeight="true" outlineLevel="0" collapsed="false">
      <c r="A149" s="51" t="n">
        <v>12521</v>
      </c>
      <c r="B149" s="53" t="n">
        <v>40744.4520833333</v>
      </c>
      <c r="C149" s="57" t="n">
        <f aca="false">INT($C$2)-INT(Table3[[#This Row],[Last Purchase Date]])</f>
        <v>143</v>
      </c>
      <c r="D149" s="1" t="n">
        <v>1</v>
      </c>
      <c r="E149" s="1" t="n">
        <v>599.68</v>
      </c>
      <c r="F149" s="1" t="n">
        <f aca="false">ROUND((1-_xlfn.PERCENTRANK.INC($C$7:$C$4378,C149))*9,0)</f>
        <v>2</v>
      </c>
      <c r="G149" s="1" t="n">
        <f aca="false">ROUND(_xlfn.PERCENTRANK.INC($D$7:$D$4378,D149)*9,0)</f>
        <v>0</v>
      </c>
      <c r="H149" s="1" t="n">
        <f aca="false">ROUND(_xlfn.PERCENTRANK.INC($E$7:$E$4378,E149)*9,0)</f>
        <v>4</v>
      </c>
      <c r="I149" s="1" t="str">
        <f aca="false">CONCATENATE(F149,G149,H149)</f>
        <v>204</v>
      </c>
      <c r="J149" s="1" t="str">
        <f aca="false">_xlfn.IFS(AND(F149&gt;=8,G149&gt;=8,H149&gt;=8),"CHAMPION",AND(F149&gt;=6,G149&gt;=7,H149&gt;=6),"LOYAL CUSTOMER",AND(F149&gt;=6,G149&gt;=5,H149&gt;=5),"POTENTIAL LOYALIST",AND(F149&gt;=8,G149&lt;=2,H149&gt;=5),"NEW CUSTOMERS",AND(F149&gt;=6,G149&lt;=2,H149&gt;=3),"PROMISING",AND(F149&gt;=3,G149&gt;=3,H149&gt;=3),"NEED ATTENTION",AND(F149&lt;=4,G149&gt;=6,H149&gt;=6),"AT RISK",AND(F149&lt;=2,G149&gt;=8,H149&gt;=8),"CAN'T LOSE THEM",AND(F149&lt;=2,G149&lt;=2,H149&lt;=2),"HIBERNATING",TRUE(),"Other")</f>
        <v>Other</v>
      </c>
      <c r="K149" s="1" t="n">
        <f aca="false">RANK(E149,$E$7:$E$4378)+COUNTIF($E$7:E149,E149)-1</f>
        <v>2321</v>
      </c>
    </row>
    <row r="150" customFormat="false" ht="14.25" hidden="false" customHeight="true" outlineLevel="0" collapsed="false">
      <c r="A150" s="51" t="n">
        <v>12522</v>
      </c>
      <c r="B150" s="53" t="n">
        <v>40847.6458333333</v>
      </c>
      <c r="C150" s="57" t="n">
        <f aca="false">INT($C$2)-INT(Table3[[#This Row],[Last Purchase Date]])</f>
        <v>40</v>
      </c>
      <c r="D150" s="1" t="n">
        <v>2</v>
      </c>
      <c r="E150" s="1" t="n">
        <v>192.72</v>
      </c>
      <c r="F150" s="1" t="n">
        <f aca="false">ROUND((1-_xlfn.PERCENTRANK.INC($C$7:$C$4378,C150))*9,0)</f>
        <v>5</v>
      </c>
      <c r="G150" s="1" t="n">
        <f aca="false">ROUND(_xlfn.PERCENTRANK.INC($D$7:$D$4378,D150)*9,0)</f>
        <v>3</v>
      </c>
      <c r="H150" s="1" t="n">
        <f aca="false">ROUND(_xlfn.PERCENTRANK.INC($E$7:$E$4378,E150)*9,0)</f>
        <v>1</v>
      </c>
      <c r="I150" s="1" t="str">
        <f aca="false">CONCATENATE(F150,G150,H150)</f>
        <v>531</v>
      </c>
      <c r="J150" s="1" t="str">
        <f aca="false">_xlfn.IFS(AND(F150&gt;=8,G150&gt;=8,H150&gt;=8),"CHAMPION",AND(F150&gt;=6,G150&gt;=7,H150&gt;=6),"LOYAL CUSTOMER",AND(F150&gt;=6,G150&gt;=5,H150&gt;=5),"POTENTIAL LOYALIST",AND(F150&gt;=8,G150&lt;=2,H150&gt;=5),"NEW CUSTOMERS",AND(F150&gt;=6,G150&lt;=2,H150&gt;=3),"PROMISING",AND(F150&gt;=3,G150&gt;=3,H150&gt;=3),"NEED ATTENTION",AND(F150&lt;=4,G150&gt;=6,H150&gt;=6),"AT RISK",AND(F150&lt;=2,G150&gt;=8,H150&gt;=8),"CAN'T LOSE THEM",AND(F150&lt;=2,G150&lt;=2,H150&lt;=2),"HIBERNATING",TRUE(),"Other")</f>
        <v>Other</v>
      </c>
      <c r="K150" s="1" t="n">
        <f aca="false">RANK(E150,$E$7:$E$4378)+COUNTIF($E$7:E150,E150)-1</f>
        <v>3697</v>
      </c>
    </row>
    <row r="151" customFormat="false" ht="14.25" hidden="false" customHeight="true" outlineLevel="0" collapsed="false">
      <c r="A151" s="51" t="n">
        <v>12523</v>
      </c>
      <c r="B151" s="53" t="n">
        <v>40885.4902777778</v>
      </c>
      <c r="C151" s="57" t="n">
        <f aca="false">INT($C$2)-INT(Table3[[#This Row],[Last Purchase Date]])</f>
        <v>2</v>
      </c>
      <c r="D151" s="1" t="n">
        <v>13</v>
      </c>
      <c r="E151" s="1" t="n">
        <v>1745.57</v>
      </c>
      <c r="F151" s="1" t="n">
        <f aca="false">ROUND((1-_xlfn.PERCENTRANK.INC($C$7:$C$4378,C151))*9,0)</f>
        <v>9</v>
      </c>
      <c r="G151" s="1" t="n">
        <f aca="false">ROUND(_xlfn.PERCENTRANK.INC($D$7:$D$4378,D151)*9,0)</f>
        <v>8</v>
      </c>
      <c r="H151" s="1" t="n">
        <f aca="false">ROUND(_xlfn.PERCENTRANK.INC($E$7:$E$4378,E151)*9,0)</f>
        <v>7</v>
      </c>
      <c r="I151" s="1" t="str">
        <f aca="false">CONCATENATE(F151,G151,H151)</f>
        <v>987</v>
      </c>
      <c r="J151" s="1" t="str">
        <f aca="false">_xlfn.IFS(AND(F151&gt;=8,G151&gt;=8,H151&gt;=8),"CHAMPION",AND(F151&gt;=6,G151&gt;=7,H151&gt;=6),"LOYAL CUSTOMER",AND(F151&gt;=6,G151&gt;=5,H151&gt;=5),"POTENTIAL LOYALIST",AND(F151&gt;=8,G151&lt;=2,H151&gt;=5),"NEW CUSTOMERS",AND(F151&gt;=6,G151&lt;=2,H151&gt;=3),"PROMISING",AND(F151&gt;=3,G151&gt;=3,H151&gt;=3),"NEED ATTENTION",AND(F151&lt;=4,G151&gt;=6,H151&gt;=6),"AT RISK",AND(F151&lt;=2,G151&gt;=8,H151&gt;=8),"CAN'T LOSE THEM",AND(F151&lt;=2,G151&lt;=2,H151&lt;=2),"HIBERNATING",TRUE(),"Other")</f>
        <v>LOYAL CUSTOMER</v>
      </c>
      <c r="K151" s="1" t="n">
        <f aca="false">RANK(E151,$E$7:$E$4378)+COUNTIF($E$7:E151,E151)-1</f>
        <v>1010</v>
      </c>
    </row>
    <row r="152" customFormat="false" ht="14.25" hidden="false" customHeight="true" outlineLevel="0" collapsed="false">
      <c r="A152" s="51" t="n">
        <v>12524</v>
      </c>
      <c r="B152" s="53" t="n">
        <v>40877.6465277778</v>
      </c>
      <c r="C152" s="57" t="n">
        <f aca="false">INT($C$2)-INT(Table3[[#This Row],[Last Purchase Date]])</f>
        <v>10</v>
      </c>
      <c r="D152" s="1" t="n">
        <v>8</v>
      </c>
      <c r="E152" s="1" t="n">
        <v>4485.72</v>
      </c>
      <c r="F152" s="1" t="n">
        <f aca="false">ROUND((1-_xlfn.PERCENTRANK.INC($C$7:$C$4378,C152))*9,0)</f>
        <v>8</v>
      </c>
      <c r="G152" s="1" t="n">
        <f aca="false">ROUND(_xlfn.PERCENTRANK.INC($D$7:$D$4378,D152)*9,0)</f>
        <v>7</v>
      </c>
      <c r="H152" s="1" t="n">
        <f aca="false">ROUND(_xlfn.PERCENTRANK.INC($E$7:$E$4378,E152)*9,0)</f>
        <v>8</v>
      </c>
      <c r="I152" s="1" t="str">
        <f aca="false">CONCATENATE(F152,G152,H152)</f>
        <v>878</v>
      </c>
      <c r="J152" s="1" t="str">
        <f aca="false">_xlfn.IFS(AND(F152&gt;=8,G152&gt;=8,H152&gt;=8),"CHAMPION",AND(F152&gt;=6,G152&gt;=7,H152&gt;=6),"LOYAL CUSTOMER",AND(F152&gt;=6,G152&gt;=5,H152&gt;=5),"POTENTIAL LOYALIST",AND(F152&gt;=8,G152&lt;=2,H152&gt;=5),"NEW CUSTOMERS",AND(F152&gt;=6,G152&lt;=2,H152&gt;=3),"PROMISING",AND(F152&gt;=3,G152&gt;=3,H152&gt;=3),"NEED ATTENTION",AND(F152&lt;=4,G152&gt;=6,H152&gt;=6),"AT RISK",AND(F152&lt;=2,G152&gt;=8,H152&gt;=8),"CAN'T LOSE THEM",AND(F152&lt;=2,G152&lt;=2,H152&lt;=2),"HIBERNATING",TRUE(),"Other")</f>
        <v>LOYAL CUSTOMER</v>
      </c>
      <c r="K152" s="1" t="n">
        <f aca="false">RANK(E152,$E$7:$E$4378)+COUNTIF($E$7:E152,E152)-1</f>
        <v>303</v>
      </c>
    </row>
    <row r="153" customFormat="false" ht="14.25" hidden="false" customHeight="true" outlineLevel="0" collapsed="false">
      <c r="A153" s="51" t="n">
        <v>12526</v>
      </c>
      <c r="B153" s="53" t="n">
        <v>40886.50625</v>
      </c>
      <c r="C153" s="57" t="n">
        <f aca="false">INT($C$2)-INT(Table3[[#This Row],[Last Purchase Date]])</f>
        <v>1</v>
      </c>
      <c r="D153" s="1" t="n">
        <v>3</v>
      </c>
      <c r="E153" s="1" t="n">
        <v>1316.66</v>
      </c>
      <c r="F153" s="1" t="n">
        <f aca="false">ROUND((1-_xlfn.PERCENTRANK.INC($C$7:$C$4378,C153))*9,0)</f>
        <v>9</v>
      </c>
      <c r="G153" s="1" t="n">
        <f aca="false">ROUND(_xlfn.PERCENTRANK.INC($D$7:$D$4378,D153)*9,0)</f>
        <v>4</v>
      </c>
      <c r="H153" s="1" t="n">
        <f aca="false">ROUND(_xlfn.PERCENTRANK.INC($E$7:$E$4378,E153)*9,0)</f>
        <v>6</v>
      </c>
      <c r="I153" s="1" t="str">
        <f aca="false">CONCATENATE(F153,G153,H153)</f>
        <v>946</v>
      </c>
      <c r="J153" s="1" t="str">
        <f aca="false">_xlfn.IFS(AND(F153&gt;=8,G153&gt;=8,H153&gt;=8),"CHAMPION",AND(F153&gt;=6,G153&gt;=7,H153&gt;=6),"LOYAL CUSTOMER",AND(F153&gt;=6,G153&gt;=5,H153&gt;=5),"POTENTIAL LOYALIST",AND(F153&gt;=8,G153&lt;=2,H153&gt;=5),"NEW CUSTOMERS",AND(F153&gt;=6,G153&lt;=2,H153&gt;=3),"PROMISING",AND(F153&gt;=3,G153&gt;=3,H153&gt;=3),"NEED ATTENTION",AND(F153&lt;=4,G153&gt;=6,H153&gt;=6),"AT RISK",AND(F153&lt;=2,G153&gt;=8,H153&gt;=8),"CAN'T LOSE THEM",AND(F153&lt;=2,G153&lt;=2,H153&lt;=2),"HIBERNATING",TRUE(),"Other")</f>
        <v>NEED ATTENTION</v>
      </c>
      <c r="K153" s="1" t="n">
        <f aca="false">RANK(E153,$E$7:$E$4378)+COUNTIF($E$7:E153,E153)-1</f>
        <v>1303</v>
      </c>
    </row>
    <row r="154" customFormat="false" ht="14.25" hidden="false" customHeight="true" outlineLevel="0" collapsed="false">
      <c r="A154" s="51" t="n">
        <v>12527</v>
      </c>
      <c r="B154" s="53" t="n">
        <v>40805.4965277778</v>
      </c>
      <c r="C154" s="57" t="n">
        <f aca="false">INT($C$2)-INT(Table3[[#This Row],[Last Purchase Date]])</f>
        <v>82</v>
      </c>
      <c r="D154" s="1" t="n">
        <v>3</v>
      </c>
      <c r="E154" s="1" t="n">
        <v>348.71</v>
      </c>
      <c r="F154" s="1" t="n">
        <f aca="false">ROUND((1-_xlfn.PERCENTRANK.INC($C$7:$C$4378,C154))*9,0)</f>
        <v>3</v>
      </c>
      <c r="G154" s="1" t="n">
        <f aca="false">ROUND(_xlfn.PERCENTRANK.INC($D$7:$D$4378,D154)*9,0)</f>
        <v>4</v>
      </c>
      <c r="H154" s="1" t="n">
        <f aca="false">ROUND(_xlfn.PERCENTRANK.INC($E$7:$E$4378,E154)*9,0)</f>
        <v>3</v>
      </c>
      <c r="I154" s="1" t="str">
        <f aca="false">CONCATENATE(F154,G154,H154)</f>
        <v>343</v>
      </c>
      <c r="J154" s="1" t="str">
        <f aca="false">_xlfn.IFS(AND(F154&gt;=8,G154&gt;=8,H154&gt;=8),"CHAMPION",AND(F154&gt;=6,G154&gt;=7,H154&gt;=6),"LOYAL CUSTOMER",AND(F154&gt;=6,G154&gt;=5,H154&gt;=5),"POTENTIAL LOYALIST",AND(F154&gt;=8,G154&lt;=2,H154&gt;=5),"NEW CUSTOMERS",AND(F154&gt;=6,G154&lt;=2,H154&gt;=3),"PROMISING",AND(F154&gt;=3,G154&gt;=3,H154&gt;=3),"NEED ATTENTION",AND(F154&lt;=4,G154&gt;=6,H154&gt;=6),"AT RISK",AND(F154&lt;=2,G154&gt;=8,H154&gt;=8),"CAN'T LOSE THEM",AND(F154&lt;=2,G154&lt;=2,H154&lt;=2),"HIBERNATING",TRUE(),"Other")</f>
        <v>NEED ATTENTION</v>
      </c>
      <c r="K154" s="1" t="n">
        <f aca="false">RANK(E154,$E$7:$E$4378)+COUNTIF($E$7:E154,E154)-1</f>
        <v>3015</v>
      </c>
    </row>
    <row r="155" customFormat="false" ht="14.25" hidden="false" customHeight="true" outlineLevel="0" collapsed="false">
      <c r="A155" s="51" t="n">
        <v>12528</v>
      </c>
      <c r="B155" s="53" t="n">
        <v>40877.6111111111</v>
      </c>
      <c r="C155" s="57" t="n">
        <f aca="false">INT($C$2)-INT(Table3[[#This Row],[Last Purchase Date]])</f>
        <v>10</v>
      </c>
      <c r="D155" s="1" t="n">
        <v>8</v>
      </c>
      <c r="E155" s="1" t="n">
        <v>1922.28</v>
      </c>
      <c r="F155" s="1" t="n">
        <f aca="false">ROUND((1-_xlfn.PERCENTRANK.INC($C$7:$C$4378,C155))*9,0)</f>
        <v>8</v>
      </c>
      <c r="G155" s="1" t="n">
        <f aca="false">ROUND(_xlfn.PERCENTRANK.INC($D$7:$D$4378,D155)*9,0)</f>
        <v>7</v>
      </c>
      <c r="H155" s="1" t="n">
        <f aca="false">ROUND(_xlfn.PERCENTRANK.INC($E$7:$E$4378,E155)*9,0)</f>
        <v>7</v>
      </c>
      <c r="I155" s="1" t="str">
        <f aca="false">CONCATENATE(F155,G155,H155)</f>
        <v>877</v>
      </c>
      <c r="J155" s="1" t="str">
        <f aca="false">_xlfn.IFS(AND(F155&gt;=8,G155&gt;=8,H155&gt;=8),"CHAMPION",AND(F155&gt;=6,G155&gt;=7,H155&gt;=6),"LOYAL CUSTOMER",AND(F155&gt;=6,G155&gt;=5,H155&gt;=5),"POTENTIAL LOYALIST",AND(F155&gt;=8,G155&lt;=2,H155&gt;=5),"NEW CUSTOMERS",AND(F155&gt;=6,G155&lt;=2,H155&gt;=3),"PROMISING",AND(F155&gt;=3,G155&gt;=3,H155&gt;=3),"NEED ATTENTION",AND(F155&lt;=4,G155&gt;=6,H155&gt;=6),"AT RISK",AND(F155&lt;=2,G155&gt;=8,H155&gt;=8),"CAN'T LOSE THEM",AND(F155&lt;=2,G155&lt;=2,H155&lt;=2),"HIBERNATING",TRUE(),"Other")</f>
        <v>LOYAL CUSTOMER</v>
      </c>
      <c r="K155" s="1" t="n">
        <f aca="false">RANK(E155,$E$7:$E$4378)+COUNTIF($E$7:E155,E155)-1</f>
        <v>906</v>
      </c>
    </row>
    <row r="156" customFormat="false" ht="14.25" hidden="false" customHeight="true" outlineLevel="0" collapsed="false">
      <c r="A156" s="51" t="n">
        <v>12530</v>
      </c>
      <c r="B156" s="53" t="n">
        <v>40827.5236111111</v>
      </c>
      <c r="C156" s="57" t="n">
        <f aca="false">INT($C$2)-INT(Table3[[#This Row],[Last Purchase Date]])</f>
        <v>60</v>
      </c>
      <c r="D156" s="1" t="n">
        <v>5</v>
      </c>
      <c r="E156" s="1" t="n">
        <v>1623.63</v>
      </c>
      <c r="F156" s="1" t="n">
        <f aca="false">ROUND((1-_xlfn.PERCENTRANK.INC($C$7:$C$4378,C156))*9,0)</f>
        <v>4</v>
      </c>
      <c r="G156" s="1" t="n">
        <f aca="false">ROUND(_xlfn.PERCENTRANK.INC($D$7:$D$4378,D156)*9,0)</f>
        <v>6</v>
      </c>
      <c r="H156" s="1" t="n">
        <f aca="false">ROUND(_xlfn.PERCENTRANK.INC($E$7:$E$4378,E156)*9,0)</f>
        <v>7</v>
      </c>
      <c r="I156" s="1" t="str">
        <f aca="false">CONCATENATE(F156,G156,H156)</f>
        <v>467</v>
      </c>
      <c r="J156" s="1" t="str">
        <f aca="false">_xlfn.IFS(AND(F156&gt;=8,G156&gt;=8,H156&gt;=8),"CHAMPION",AND(F156&gt;=6,G156&gt;=7,H156&gt;=6),"LOYAL CUSTOMER",AND(F156&gt;=6,G156&gt;=5,H156&gt;=5),"POTENTIAL LOYALIST",AND(F156&gt;=8,G156&lt;=2,H156&gt;=5),"NEW CUSTOMERS",AND(F156&gt;=6,G156&lt;=2,H156&gt;=3),"PROMISING",AND(F156&gt;=3,G156&gt;=3,H156&gt;=3),"NEED ATTENTION",AND(F156&lt;=4,G156&gt;=6,H156&gt;=6),"AT RISK",AND(F156&lt;=2,G156&gt;=8,H156&gt;=8),"CAN'T LOSE THEM",AND(F156&lt;=2,G156&lt;=2,H156&lt;=2),"HIBERNATING",TRUE(),"Other")</f>
        <v>NEED ATTENTION</v>
      </c>
      <c r="K156" s="1" t="n">
        <f aca="false">RANK(E156,$E$7:$E$4378)+COUNTIF($E$7:E156,E156)-1</f>
        <v>1086</v>
      </c>
    </row>
    <row r="157" customFormat="false" ht="14.25" hidden="false" customHeight="true" outlineLevel="0" collapsed="false">
      <c r="A157" s="51" t="n">
        <v>12531</v>
      </c>
      <c r="B157" s="53" t="n">
        <v>40872.4666666667</v>
      </c>
      <c r="C157" s="57" t="n">
        <f aca="false">INT($C$2)-INT(Table3[[#This Row],[Last Purchase Date]])</f>
        <v>15</v>
      </c>
      <c r="D157" s="1" t="n">
        <v>1</v>
      </c>
      <c r="E157" s="1" t="n">
        <v>125.22</v>
      </c>
      <c r="F157" s="1" t="n">
        <f aca="false">ROUND((1-_xlfn.PERCENTRANK.INC($C$7:$C$4378,C157))*9,0)</f>
        <v>7</v>
      </c>
      <c r="G157" s="1" t="n">
        <f aca="false">ROUND(_xlfn.PERCENTRANK.INC($D$7:$D$4378,D157)*9,0)</f>
        <v>0</v>
      </c>
      <c r="H157" s="1" t="n">
        <f aca="false">ROUND(_xlfn.PERCENTRANK.INC($E$7:$E$4378,E157)*9,0)</f>
        <v>1</v>
      </c>
      <c r="I157" s="1" t="str">
        <f aca="false">CONCATENATE(F157,G157,H157)</f>
        <v>701</v>
      </c>
      <c r="J157" s="1" t="str">
        <f aca="false">_xlfn.IFS(AND(F157&gt;=8,G157&gt;=8,H157&gt;=8),"CHAMPION",AND(F157&gt;=6,G157&gt;=7,H157&gt;=6),"LOYAL CUSTOMER",AND(F157&gt;=6,G157&gt;=5,H157&gt;=5),"POTENTIAL LOYALIST",AND(F157&gt;=8,G157&lt;=2,H157&gt;=5),"NEW CUSTOMERS",AND(F157&gt;=6,G157&lt;=2,H157&gt;=3),"PROMISING",AND(F157&gt;=3,G157&gt;=3,H157&gt;=3),"NEED ATTENTION",AND(F157&lt;=4,G157&gt;=6,H157&gt;=6),"AT RISK",AND(F157&lt;=2,G157&gt;=8,H157&gt;=8),"CAN'T LOSE THEM",AND(F157&lt;=2,G157&lt;=2,H157&lt;=2),"HIBERNATING",TRUE(),"Other")</f>
        <v>Other</v>
      </c>
      <c r="K157" s="1" t="n">
        <f aca="false">RANK(E157,$E$7:$E$4378)+COUNTIF($E$7:E157,E157)-1</f>
        <v>4027</v>
      </c>
    </row>
    <row r="158" customFormat="false" ht="14.25" hidden="false" customHeight="true" outlineLevel="0" collapsed="false">
      <c r="A158" s="51" t="n">
        <v>12532</v>
      </c>
      <c r="B158" s="53" t="n">
        <v>40856.5743055556</v>
      </c>
      <c r="C158" s="57" t="n">
        <f aca="false">INT($C$2)-INT(Table3[[#This Row],[Last Purchase Date]])</f>
        <v>31</v>
      </c>
      <c r="D158" s="1" t="n">
        <v>1</v>
      </c>
      <c r="E158" s="1" t="n">
        <v>349.83</v>
      </c>
      <c r="F158" s="1" t="n">
        <f aca="false">ROUND((1-_xlfn.PERCENTRANK.INC($C$7:$C$4378,C158))*9,0)</f>
        <v>6</v>
      </c>
      <c r="G158" s="1" t="n">
        <f aca="false">ROUND(_xlfn.PERCENTRANK.INC($D$7:$D$4378,D158)*9,0)</f>
        <v>0</v>
      </c>
      <c r="H158" s="1" t="n">
        <f aca="false">ROUND(_xlfn.PERCENTRANK.INC($E$7:$E$4378,E158)*9,0)</f>
        <v>3</v>
      </c>
      <c r="I158" s="1" t="str">
        <f aca="false">CONCATENATE(F158,G158,H158)</f>
        <v>603</v>
      </c>
      <c r="J158" s="1" t="str">
        <f aca="false">_xlfn.IFS(AND(F158&gt;=8,G158&gt;=8,H158&gt;=8),"CHAMPION",AND(F158&gt;=6,G158&gt;=7,H158&gt;=6),"LOYAL CUSTOMER",AND(F158&gt;=6,G158&gt;=5,H158&gt;=5),"POTENTIAL LOYALIST",AND(F158&gt;=8,G158&lt;=2,H158&gt;=5),"NEW CUSTOMERS",AND(F158&gt;=6,G158&lt;=2,H158&gt;=3),"PROMISING",AND(F158&gt;=3,G158&gt;=3,H158&gt;=3),"NEED ATTENTION",AND(F158&lt;=4,G158&gt;=6,H158&gt;=6),"AT RISK",AND(F158&lt;=2,G158&gt;=8,H158&gt;=8),"CAN'T LOSE THEM",AND(F158&lt;=2,G158&lt;=2,H158&lt;=2),"HIBERNATING",TRUE(),"Other")</f>
        <v>PROMISING</v>
      </c>
      <c r="K158" s="1" t="n">
        <f aca="false">RANK(E158,$E$7:$E$4378)+COUNTIF($E$7:E158,E158)-1</f>
        <v>3008</v>
      </c>
    </row>
    <row r="159" customFormat="false" ht="14.25" hidden="false" customHeight="true" outlineLevel="0" collapsed="false">
      <c r="A159" s="51" t="n">
        <v>12534</v>
      </c>
      <c r="B159" s="53" t="n">
        <v>40756.4347222222</v>
      </c>
      <c r="C159" s="57" t="n">
        <f aca="false">INT($C$2)-INT(Table3[[#This Row],[Last Purchase Date]])</f>
        <v>131</v>
      </c>
      <c r="D159" s="1" t="n">
        <v>1</v>
      </c>
      <c r="E159" s="1" t="n">
        <v>1089.18</v>
      </c>
      <c r="F159" s="1" t="n">
        <f aca="false">ROUND((1-_xlfn.PERCENTRANK.INC($C$7:$C$4378,C159))*9,0)</f>
        <v>2</v>
      </c>
      <c r="G159" s="1" t="n">
        <f aca="false">ROUND(_xlfn.PERCENTRANK.INC($D$7:$D$4378,D159)*9,0)</f>
        <v>0</v>
      </c>
      <c r="H159" s="1" t="n">
        <f aca="false">ROUND(_xlfn.PERCENTRANK.INC($E$7:$E$4378,E159)*9,0)</f>
        <v>6</v>
      </c>
      <c r="I159" s="1" t="str">
        <f aca="false">CONCATENATE(F159,G159,H159)</f>
        <v>206</v>
      </c>
      <c r="J159" s="1" t="str">
        <f aca="false">_xlfn.IFS(AND(F159&gt;=8,G159&gt;=8,H159&gt;=8),"CHAMPION",AND(F159&gt;=6,G159&gt;=7,H159&gt;=6),"LOYAL CUSTOMER",AND(F159&gt;=6,G159&gt;=5,H159&gt;=5),"POTENTIAL LOYALIST",AND(F159&gt;=8,G159&lt;=2,H159&gt;=5),"NEW CUSTOMERS",AND(F159&gt;=6,G159&lt;=2,H159&gt;=3),"PROMISING",AND(F159&gt;=3,G159&gt;=3,H159&gt;=3),"NEED ATTENTION",AND(F159&lt;=4,G159&gt;=6,H159&gt;=6),"AT RISK",AND(F159&lt;=2,G159&gt;=8,H159&gt;=8),"CAN'T LOSE THEM",AND(F159&lt;=2,G159&lt;=2,H159&lt;=2),"HIBERNATING",TRUE(),"Other")</f>
        <v>Other</v>
      </c>
      <c r="K159" s="1" t="n">
        <f aca="false">RANK(E159,$E$7:$E$4378)+COUNTIF($E$7:E159,E159)-1</f>
        <v>1520</v>
      </c>
    </row>
    <row r="160" customFormat="false" ht="14.25" hidden="false" customHeight="true" outlineLevel="0" collapsed="false">
      <c r="A160" s="51" t="n">
        <v>12535</v>
      </c>
      <c r="B160" s="53" t="n">
        <v>40795.3666666667</v>
      </c>
      <c r="C160" s="57" t="n">
        <f aca="false">INT($C$2)-INT(Table3[[#This Row],[Last Purchase Date]])</f>
        <v>92</v>
      </c>
      <c r="D160" s="1" t="n">
        <v>2</v>
      </c>
      <c r="E160" s="1" t="n">
        <v>716.35</v>
      </c>
      <c r="F160" s="1" t="n">
        <f aca="false">ROUND((1-_xlfn.PERCENTRANK.INC($C$7:$C$4378,C160))*9,0)</f>
        <v>3</v>
      </c>
      <c r="G160" s="1" t="n">
        <f aca="false">ROUND(_xlfn.PERCENTRANK.INC($D$7:$D$4378,D160)*9,0)</f>
        <v>3</v>
      </c>
      <c r="H160" s="1" t="n">
        <f aca="false">ROUND(_xlfn.PERCENTRANK.INC($E$7:$E$4378,E160)*9,0)</f>
        <v>5</v>
      </c>
      <c r="I160" s="1" t="str">
        <f aca="false">CONCATENATE(F160,G160,H160)</f>
        <v>335</v>
      </c>
      <c r="J160" s="1" t="str">
        <f aca="false">_xlfn.IFS(AND(F160&gt;=8,G160&gt;=8,H160&gt;=8),"CHAMPION",AND(F160&gt;=6,G160&gt;=7,H160&gt;=6),"LOYAL CUSTOMER",AND(F160&gt;=6,G160&gt;=5,H160&gt;=5),"POTENTIAL LOYALIST",AND(F160&gt;=8,G160&lt;=2,H160&gt;=5),"NEW CUSTOMERS",AND(F160&gt;=6,G160&lt;=2,H160&gt;=3),"PROMISING",AND(F160&gt;=3,G160&gt;=3,H160&gt;=3),"NEED ATTENTION",AND(F160&lt;=4,G160&gt;=6,H160&gt;=6),"AT RISK",AND(F160&lt;=2,G160&gt;=8,H160&gt;=8),"CAN'T LOSE THEM",AND(F160&lt;=2,G160&lt;=2,H160&lt;=2),"HIBERNATING",TRUE(),"Other")</f>
        <v>NEED ATTENTION</v>
      </c>
      <c r="K160" s="1" t="n">
        <f aca="false">RANK(E160,$E$7:$E$4378)+COUNTIF($E$7:E160,E160)-1</f>
        <v>2033</v>
      </c>
    </row>
    <row r="161" customFormat="false" ht="14.25" hidden="false" customHeight="true" outlineLevel="0" collapsed="false">
      <c r="A161" s="51" t="n">
        <v>12536</v>
      </c>
      <c r="B161" s="53" t="n">
        <v>40879.5298611111</v>
      </c>
      <c r="C161" s="57" t="n">
        <f aca="false">INT($C$2)-INT(Table3[[#This Row],[Last Purchase Date]])</f>
        <v>8</v>
      </c>
      <c r="D161" s="1" t="n">
        <v>5</v>
      </c>
      <c r="E161" s="1" t="n">
        <v>4106.82</v>
      </c>
      <c r="F161" s="1" t="n">
        <f aca="false">ROUND((1-_xlfn.PERCENTRANK.INC($C$7:$C$4378,C161))*9,0)</f>
        <v>8</v>
      </c>
      <c r="G161" s="1" t="n">
        <f aca="false">ROUND(_xlfn.PERCENTRANK.INC($D$7:$D$4378,D161)*9,0)</f>
        <v>6</v>
      </c>
      <c r="H161" s="1" t="n">
        <f aca="false">ROUND(_xlfn.PERCENTRANK.INC($E$7:$E$4378,E161)*9,0)</f>
        <v>8</v>
      </c>
      <c r="I161" s="1" t="str">
        <f aca="false">CONCATENATE(F161,G161,H161)</f>
        <v>868</v>
      </c>
      <c r="J161" s="1" t="str">
        <f aca="false">_xlfn.IFS(AND(F161&gt;=8,G161&gt;=8,H161&gt;=8),"CHAMPION",AND(F161&gt;=6,G161&gt;=7,H161&gt;=6),"LOYAL CUSTOMER",AND(F161&gt;=6,G161&gt;=5,H161&gt;=5),"POTENTIAL LOYALIST",AND(F161&gt;=8,G161&lt;=2,H161&gt;=5),"NEW CUSTOMERS",AND(F161&gt;=6,G161&lt;=2,H161&gt;=3),"PROMISING",AND(F161&gt;=3,G161&gt;=3,H161&gt;=3),"NEED ATTENTION",AND(F161&lt;=4,G161&gt;=6,H161&gt;=6),"AT RISK",AND(F161&lt;=2,G161&gt;=8,H161&gt;=8),"CAN'T LOSE THEM",AND(F161&lt;=2,G161&lt;=2,H161&lt;=2),"HIBERNATING",TRUE(),"Other")</f>
        <v>POTENTIAL LOYALIST</v>
      </c>
      <c r="K161" s="1" t="n">
        <f aca="false">RANK(E161,$E$7:$E$4378)+COUNTIF($E$7:E161,E161)-1</f>
        <v>339</v>
      </c>
    </row>
    <row r="162" customFormat="false" ht="14.25" hidden="false" customHeight="true" outlineLevel="0" collapsed="false">
      <c r="A162" s="51" t="n">
        <v>12538</v>
      </c>
      <c r="B162" s="53" t="n">
        <v>40857.7194444445</v>
      </c>
      <c r="C162" s="57" t="n">
        <f aca="false">INT($C$2)-INT(Table3[[#This Row],[Last Purchase Date]])</f>
        <v>30</v>
      </c>
      <c r="D162" s="1" t="n">
        <v>1</v>
      </c>
      <c r="E162" s="1" t="n">
        <v>363.95</v>
      </c>
      <c r="F162" s="1" t="n">
        <f aca="false">ROUND((1-_xlfn.PERCENTRANK.INC($C$7:$C$4378,C162))*9,0)</f>
        <v>6</v>
      </c>
      <c r="G162" s="1" t="n">
        <f aca="false">ROUND(_xlfn.PERCENTRANK.INC($D$7:$D$4378,D162)*9,0)</f>
        <v>0</v>
      </c>
      <c r="H162" s="1" t="n">
        <f aca="false">ROUND(_xlfn.PERCENTRANK.INC($E$7:$E$4378,E162)*9,0)</f>
        <v>3</v>
      </c>
      <c r="I162" s="1" t="str">
        <f aca="false">CONCATENATE(F162,G162,H162)</f>
        <v>603</v>
      </c>
      <c r="J162" s="1" t="str">
        <f aca="false">_xlfn.IFS(AND(F162&gt;=8,G162&gt;=8,H162&gt;=8),"CHAMPION",AND(F162&gt;=6,G162&gt;=7,H162&gt;=6),"LOYAL CUSTOMER",AND(F162&gt;=6,G162&gt;=5,H162&gt;=5),"POTENTIAL LOYALIST",AND(F162&gt;=8,G162&lt;=2,H162&gt;=5),"NEW CUSTOMERS",AND(F162&gt;=6,G162&lt;=2,H162&gt;=3),"PROMISING",AND(F162&gt;=3,G162&gt;=3,H162&gt;=3),"NEED ATTENTION",AND(F162&lt;=4,G162&gt;=6,H162&gt;=6),"AT RISK",AND(F162&lt;=2,G162&gt;=8,H162&gt;=8),"CAN'T LOSE THEM",AND(F162&lt;=2,G162&lt;=2,H162&lt;=2),"HIBERNATING",TRUE(),"Other")</f>
        <v>PROMISING</v>
      </c>
      <c r="K162" s="1" t="n">
        <f aca="false">RANK(E162,$E$7:$E$4378)+COUNTIF($E$7:E162,E162)-1</f>
        <v>2945</v>
      </c>
    </row>
    <row r="163" customFormat="false" ht="14.25" hidden="false" customHeight="true" outlineLevel="0" collapsed="false">
      <c r="A163" s="51" t="n">
        <v>12539</v>
      </c>
      <c r="B163" s="53" t="n">
        <v>40864.5625</v>
      </c>
      <c r="C163" s="57" t="n">
        <f aca="false">INT($C$2)-INT(Table3[[#This Row],[Last Purchase Date]])</f>
        <v>23</v>
      </c>
      <c r="D163" s="1" t="n">
        <v>5</v>
      </c>
      <c r="E163" s="1" t="n">
        <v>3852.5</v>
      </c>
      <c r="F163" s="1" t="n">
        <f aca="false">ROUND((1-_xlfn.PERCENTRANK.INC($C$7:$C$4378,C163))*9,0)</f>
        <v>6</v>
      </c>
      <c r="G163" s="1" t="n">
        <f aca="false">ROUND(_xlfn.PERCENTRANK.INC($D$7:$D$4378,D163)*9,0)</f>
        <v>6</v>
      </c>
      <c r="H163" s="1" t="n">
        <f aca="false">ROUND(_xlfn.PERCENTRANK.INC($E$7:$E$4378,E163)*9,0)</f>
        <v>8</v>
      </c>
      <c r="I163" s="1" t="str">
        <f aca="false">CONCATENATE(F163,G163,H163)</f>
        <v>668</v>
      </c>
      <c r="J163" s="1" t="str">
        <f aca="false">_xlfn.IFS(AND(F163&gt;=8,G163&gt;=8,H163&gt;=8),"CHAMPION",AND(F163&gt;=6,G163&gt;=7,H163&gt;=6),"LOYAL CUSTOMER",AND(F163&gt;=6,G163&gt;=5,H163&gt;=5),"POTENTIAL LOYALIST",AND(F163&gt;=8,G163&lt;=2,H163&gt;=5),"NEW CUSTOMERS",AND(F163&gt;=6,G163&lt;=2,H163&gt;=3),"PROMISING",AND(F163&gt;=3,G163&gt;=3,H163&gt;=3),"NEED ATTENTION",AND(F163&lt;=4,G163&gt;=6,H163&gt;=6),"AT RISK",AND(F163&lt;=2,G163&gt;=8,H163&gt;=8),"CAN'T LOSE THEM",AND(F163&lt;=2,G163&lt;=2,H163&lt;=2),"HIBERNATING",TRUE(),"Other")</f>
        <v>POTENTIAL LOYALIST</v>
      </c>
      <c r="K163" s="1" t="n">
        <f aca="false">RANK(E163,$E$7:$E$4378)+COUNTIF($E$7:E163,E163)-1</f>
        <v>379</v>
      </c>
    </row>
    <row r="164" customFormat="false" ht="14.25" hidden="false" customHeight="true" outlineLevel="0" collapsed="false">
      <c r="A164" s="51" t="n">
        <v>12540</v>
      </c>
      <c r="B164" s="53" t="n">
        <v>40867.4798611111</v>
      </c>
      <c r="C164" s="57" t="n">
        <f aca="false">INT($C$2)-INT(Table3[[#This Row],[Last Purchase Date]])</f>
        <v>20</v>
      </c>
      <c r="D164" s="1" t="n">
        <v>19</v>
      </c>
      <c r="E164" s="1" t="n">
        <v>13309.04</v>
      </c>
      <c r="F164" s="1" t="n">
        <f aca="false">ROUND((1-_xlfn.PERCENTRANK.INC($C$7:$C$4378,C164))*9,0)</f>
        <v>6</v>
      </c>
      <c r="G164" s="1" t="n">
        <f aca="false">ROUND(_xlfn.PERCENTRANK.INC($D$7:$D$4378,D164)*9,0)</f>
        <v>9</v>
      </c>
      <c r="H164" s="1" t="n">
        <f aca="false">ROUND(_xlfn.PERCENTRANK.INC($E$7:$E$4378,E164)*9,0)</f>
        <v>9</v>
      </c>
      <c r="I164" s="1" t="str">
        <f aca="false">CONCATENATE(F164,G164,H164)</f>
        <v>699</v>
      </c>
      <c r="J164" s="1" t="str">
        <f aca="false">_xlfn.IFS(AND(F164&gt;=8,G164&gt;=8,H164&gt;=8),"CHAMPION",AND(F164&gt;=6,G164&gt;=7,H164&gt;=6),"LOYAL CUSTOMER",AND(F164&gt;=6,G164&gt;=5,H164&gt;=5),"POTENTIAL LOYALIST",AND(F164&gt;=8,G164&lt;=2,H164&gt;=5),"NEW CUSTOMERS",AND(F164&gt;=6,G164&lt;=2,H164&gt;=3),"PROMISING",AND(F164&gt;=3,G164&gt;=3,H164&gt;=3),"NEED ATTENTION",AND(F164&lt;=4,G164&gt;=6,H164&gt;=6),"AT RISK",AND(F164&lt;=2,G164&gt;=8,H164&gt;=8),"CAN'T LOSE THEM",AND(F164&lt;=2,G164&lt;=2,H164&lt;=2),"HIBERNATING",TRUE(),"Other")</f>
        <v>LOYAL CUSTOMER</v>
      </c>
      <c r="K164" s="1" t="n">
        <f aca="false">RANK(E164,$E$7:$E$4378)+COUNTIF($E$7:E164,E164)-1</f>
        <v>63</v>
      </c>
    </row>
    <row r="165" customFormat="false" ht="14.25" hidden="false" customHeight="true" outlineLevel="0" collapsed="false">
      <c r="A165" s="51" t="n">
        <v>12541</v>
      </c>
      <c r="B165" s="53" t="n">
        <v>40857.4444444445</v>
      </c>
      <c r="C165" s="57" t="n">
        <f aca="false">INT($C$2)-INT(Table3[[#This Row],[Last Purchase Date]])</f>
        <v>30</v>
      </c>
      <c r="D165" s="1" t="n">
        <v>3</v>
      </c>
      <c r="E165" s="1" t="n">
        <v>981.18</v>
      </c>
      <c r="F165" s="1" t="n">
        <f aca="false">ROUND((1-_xlfn.PERCENTRANK.INC($C$7:$C$4378,C165))*9,0)</f>
        <v>6</v>
      </c>
      <c r="G165" s="1" t="n">
        <f aca="false">ROUND(_xlfn.PERCENTRANK.INC($D$7:$D$4378,D165)*9,0)</f>
        <v>4</v>
      </c>
      <c r="H165" s="1" t="n">
        <f aca="false">ROUND(_xlfn.PERCENTRANK.INC($E$7:$E$4378,E165)*9,0)</f>
        <v>6</v>
      </c>
      <c r="I165" s="1" t="str">
        <f aca="false">CONCATENATE(F165,G165,H165)</f>
        <v>646</v>
      </c>
      <c r="J165" s="1" t="str">
        <f aca="false">_xlfn.IFS(AND(F165&gt;=8,G165&gt;=8,H165&gt;=8),"CHAMPION",AND(F165&gt;=6,G165&gt;=7,H165&gt;=6),"LOYAL CUSTOMER",AND(F165&gt;=6,G165&gt;=5,H165&gt;=5),"POTENTIAL LOYALIST",AND(F165&gt;=8,G165&lt;=2,H165&gt;=5),"NEW CUSTOMERS",AND(F165&gt;=6,G165&lt;=2,H165&gt;=3),"PROMISING",AND(F165&gt;=3,G165&gt;=3,H165&gt;=3),"NEED ATTENTION",AND(F165&lt;=4,G165&gt;=6,H165&gt;=6),"AT RISK",AND(F165&lt;=2,G165&gt;=8,H165&gt;=8),"CAN'T LOSE THEM",AND(F165&lt;=2,G165&lt;=2,H165&lt;=2),"HIBERNATING",TRUE(),"Other")</f>
        <v>NEED ATTENTION</v>
      </c>
      <c r="K165" s="1" t="n">
        <f aca="false">RANK(E165,$E$7:$E$4378)+COUNTIF($E$7:E165,E165)-1</f>
        <v>1662</v>
      </c>
    </row>
    <row r="166" customFormat="false" ht="14.25" hidden="false" customHeight="true" outlineLevel="0" collapsed="false">
      <c r="A166" s="51" t="n">
        <v>12544</v>
      </c>
      <c r="B166" s="53" t="n">
        <v>40857.4666666667</v>
      </c>
      <c r="C166" s="57" t="n">
        <f aca="false">INT($C$2)-INT(Table3[[#This Row],[Last Purchase Date]])</f>
        <v>30</v>
      </c>
      <c r="D166" s="1" t="n">
        <v>2</v>
      </c>
      <c r="E166" s="1" t="n">
        <v>355.7</v>
      </c>
      <c r="F166" s="1" t="n">
        <f aca="false">ROUND((1-_xlfn.PERCENTRANK.INC($C$7:$C$4378,C166))*9,0)</f>
        <v>6</v>
      </c>
      <c r="G166" s="1" t="n">
        <f aca="false">ROUND(_xlfn.PERCENTRANK.INC($D$7:$D$4378,D166)*9,0)</f>
        <v>3</v>
      </c>
      <c r="H166" s="1" t="n">
        <f aca="false">ROUND(_xlfn.PERCENTRANK.INC($E$7:$E$4378,E166)*9,0)</f>
        <v>3</v>
      </c>
      <c r="I166" s="1" t="str">
        <f aca="false">CONCATENATE(F166,G166,H166)</f>
        <v>633</v>
      </c>
      <c r="J166" s="1" t="str">
        <f aca="false">_xlfn.IFS(AND(F166&gt;=8,G166&gt;=8,H166&gt;=8),"CHAMPION",AND(F166&gt;=6,G166&gt;=7,H166&gt;=6),"LOYAL CUSTOMER",AND(F166&gt;=6,G166&gt;=5,H166&gt;=5),"POTENTIAL LOYALIST",AND(F166&gt;=8,G166&lt;=2,H166&gt;=5),"NEW CUSTOMERS",AND(F166&gt;=6,G166&lt;=2,H166&gt;=3),"PROMISING",AND(F166&gt;=3,G166&gt;=3,H166&gt;=3),"NEED ATTENTION",AND(F166&lt;=4,G166&gt;=6,H166&gt;=6),"AT RISK",AND(F166&lt;=2,G166&gt;=8,H166&gt;=8),"CAN'T LOSE THEM",AND(F166&lt;=2,G166&lt;=2,H166&lt;=2),"HIBERNATING",TRUE(),"Other")</f>
        <v>NEED ATTENTION</v>
      </c>
      <c r="K166" s="1" t="n">
        <f aca="false">RANK(E166,$E$7:$E$4378)+COUNTIF($E$7:E166,E166)-1</f>
        <v>2981</v>
      </c>
    </row>
    <row r="167" customFormat="false" ht="14.25" hidden="false" customHeight="true" outlineLevel="0" collapsed="false">
      <c r="A167" s="51" t="n">
        <v>12545</v>
      </c>
      <c r="B167" s="53" t="n">
        <v>40811.56875</v>
      </c>
      <c r="C167" s="57" t="n">
        <f aca="false">INT($C$2)-INT(Table3[[#This Row],[Last Purchase Date]])</f>
        <v>76</v>
      </c>
      <c r="D167" s="1" t="n">
        <v>2</v>
      </c>
      <c r="E167" s="1" t="n">
        <v>1000.39</v>
      </c>
      <c r="F167" s="1" t="n">
        <f aca="false">ROUND((1-_xlfn.PERCENTRANK.INC($C$7:$C$4378,C167))*9,0)</f>
        <v>3</v>
      </c>
      <c r="G167" s="1" t="n">
        <f aca="false">ROUND(_xlfn.PERCENTRANK.INC($D$7:$D$4378,D167)*9,0)</f>
        <v>3</v>
      </c>
      <c r="H167" s="1" t="n">
        <f aca="false">ROUND(_xlfn.PERCENTRANK.INC($E$7:$E$4378,E167)*9,0)</f>
        <v>6</v>
      </c>
      <c r="I167" s="1" t="str">
        <f aca="false">CONCATENATE(F167,G167,H167)</f>
        <v>336</v>
      </c>
      <c r="J167" s="1" t="str">
        <f aca="false">_xlfn.IFS(AND(F167&gt;=8,G167&gt;=8,H167&gt;=8),"CHAMPION",AND(F167&gt;=6,G167&gt;=7,H167&gt;=6),"LOYAL CUSTOMER",AND(F167&gt;=6,G167&gt;=5,H167&gt;=5),"POTENTIAL LOYALIST",AND(F167&gt;=8,G167&lt;=2,H167&gt;=5),"NEW CUSTOMERS",AND(F167&gt;=6,G167&lt;=2,H167&gt;=3),"PROMISING",AND(F167&gt;=3,G167&gt;=3,H167&gt;=3),"NEED ATTENTION",AND(F167&lt;=4,G167&gt;=6,H167&gt;=6),"AT RISK",AND(F167&lt;=2,G167&gt;=8,H167&gt;=8),"CAN'T LOSE THEM",AND(F167&lt;=2,G167&lt;=2,H167&lt;=2),"HIBERNATING",TRUE(),"Other")</f>
        <v>NEED ATTENTION</v>
      </c>
      <c r="K167" s="1" t="n">
        <f aca="false">RANK(E167,$E$7:$E$4378)+COUNTIF($E$7:E167,E167)-1</f>
        <v>1630</v>
      </c>
    </row>
    <row r="168" customFormat="false" ht="14.25" hidden="false" customHeight="true" outlineLevel="0" collapsed="false">
      <c r="A168" s="51" t="n">
        <v>12546</v>
      </c>
      <c r="B168" s="53" t="n">
        <v>40840.50625</v>
      </c>
      <c r="C168" s="57" t="n">
        <f aca="false">INT($C$2)-INT(Table3[[#This Row],[Last Purchase Date]])</f>
        <v>47</v>
      </c>
      <c r="D168" s="1" t="n">
        <v>3</v>
      </c>
      <c r="E168" s="1" t="n">
        <v>1141.5</v>
      </c>
      <c r="F168" s="1" t="n">
        <f aca="false">ROUND((1-_xlfn.PERCENTRANK.INC($C$7:$C$4378,C168))*9,0)</f>
        <v>5</v>
      </c>
      <c r="G168" s="1" t="n">
        <f aca="false">ROUND(_xlfn.PERCENTRANK.INC($D$7:$D$4378,D168)*9,0)</f>
        <v>4</v>
      </c>
      <c r="H168" s="1" t="n">
        <f aca="false">ROUND(_xlfn.PERCENTRANK.INC($E$7:$E$4378,E168)*9,0)</f>
        <v>6</v>
      </c>
      <c r="I168" s="1" t="str">
        <f aca="false">CONCATENATE(F168,G168,H168)</f>
        <v>546</v>
      </c>
      <c r="J168" s="1" t="str">
        <f aca="false">_xlfn.IFS(AND(F168&gt;=8,G168&gt;=8,H168&gt;=8),"CHAMPION",AND(F168&gt;=6,G168&gt;=7,H168&gt;=6),"LOYAL CUSTOMER",AND(F168&gt;=6,G168&gt;=5,H168&gt;=5),"POTENTIAL LOYALIST",AND(F168&gt;=8,G168&lt;=2,H168&gt;=5),"NEW CUSTOMERS",AND(F168&gt;=6,G168&lt;=2,H168&gt;=3),"PROMISING",AND(F168&gt;=3,G168&gt;=3,H168&gt;=3),"NEED ATTENTION",AND(F168&lt;=4,G168&gt;=6,H168&gt;=6),"AT RISK",AND(F168&lt;=2,G168&gt;=8,H168&gt;=8),"CAN'T LOSE THEM",AND(F168&lt;=2,G168&lt;=2,H168&lt;=2),"HIBERNATING",TRUE(),"Other")</f>
        <v>NEED ATTENTION</v>
      </c>
      <c r="K168" s="1" t="n">
        <f aca="false">RANK(E168,$E$7:$E$4378)+COUNTIF($E$7:E168,E168)-1</f>
        <v>1456</v>
      </c>
    </row>
    <row r="169" customFormat="false" ht="14.25" hidden="false" customHeight="true" outlineLevel="0" collapsed="false">
      <c r="A169" s="51" t="n">
        <v>12547</v>
      </c>
      <c r="B169" s="53" t="n">
        <v>40689.5263888889</v>
      </c>
      <c r="C169" s="57" t="n">
        <f aca="false">INT($C$2)-INT(Table3[[#This Row],[Last Purchase Date]])</f>
        <v>198</v>
      </c>
      <c r="D169" s="1" t="n">
        <v>2</v>
      </c>
      <c r="E169" s="1" t="n">
        <v>207.8</v>
      </c>
      <c r="F169" s="1" t="n">
        <f aca="false">ROUND((1-_xlfn.PERCENTRANK.INC($C$7:$C$4378,C169))*9,0)</f>
        <v>2</v>
      </c>
      <c r="G169" s="1" t="n">
        <f aca="false">ROUND(_xlfn.PERCENTRANK.INC($D$7:$D$4378,D169)*9,0)</f>
        <v>3</v>
      </c>
      <c r="H169" s="1" t="n">
        <f aca="false">ROUND(_xlfn.PERCENTRANK.INC($E$7:$E$4378,E169)*9,0)</f>
        <v>2</v>
      </c>
      <c r="I169" s="1" t="str">
        <f aca="false">CONCATENATE(F169,G169,H169)</f>
        <v>232</v>
      </c>
      <c r="J169" s="1" t="str">
        <f aca="false">_xlfn.IFS(AND(F169&gt;=8,G169&gt;=8,H169&gt;=8),"CHAMPION",AND(F169&gt;=6,G169&gt;=7,H169&gt;=6),"LOYAL CUSTOMER",AND(F169&gt;=6,G169&gt;=5,H169&gt;=5),"POTENTIAL LOYALIST",AND(F169&gt;=8,G169&lt;=2,H169&gt;=5),"NEW CUSTOMERS",AND(F169&gt;=6,G169&lt;=2,H169&gt;=3),"PROMISING",AND(F169&gt;=3,G169&gt;=3,H169&gt;=3),"NEED ATTENTION",AND(F169&lt;=4,G169&gt;=6,H169&gt;=6),"AT RISK",AND(F169&lt;=2,G169&gt;=8,H169&gt;=8),"CAN'T LOSE THEM",AND(F169&lt;=2,G169&lt;=2,H169&lt;=2),"HIBERNATING",TRUE(),"Other")</f>
        <v>Other</v>
      </c>
      <c r="K169" s="1" t="n">
        <f aca="false">RANK(E169,$E$7:$E$4378)+COUNTIF($E$7:E169,E169)-1</f>
        <v>3620</v>
      </c>
    </row>
    <row r="170" customFormat="false" ht="14.25" hidden="false" customHeight="true" outlineLevel="0" collapsed="false">
      <c r="A170" s="51" t="n">
        <v>12548</v>
      </c>
      <c r="B170" s="53" t="n">
        <v>40720.6493055556</v>
      </c>
      <c r="C170" s="57" t="n">
        <f aca="false">INT($C$2)-INT(Table3[[#This Row],[Last Purchase Date]])</f>
        <v>167</v>
      </c>
      <c r="D170" s="1" t="n">
        <v>1</v>
      </c>
      <c r="E170" s="1" t="n">
        <v>95.2</v>
      </c>
      <c r="F170" s="1" t="n">
        <f aca="false">ROUND((1-_xlfn.PERCENTRANK.INC($C$7:$C$4378,C170))*9,0)</f>
        <v>2</v>
      </c>
      <c r="G170" s="1" t="n">
        <f aca="false">ROUND(_xlfn.PERCENTRANK.INC($D$7:$D$4378,D170)*9,0)</f>
        <v>0</v>
      </c>
      <c r="H170" s="1" t="n">
        <f aca="false">ROUND(_xlfn.PERCENTRANK.INC($E$7:$E$4378,E170)*9,0)</f>
        <v>0</v>
      </c>
      <c r="I170" s="1" t="str">
        <f aca="false">CONCATENATE(F170,G170,H170)</f>
        <v>200</v>
      </c>
      <c r="J170" s="1" t="str">
        <f aca="false">_xlfn.IFS(AND(F170&gt;=8,G170&gt;=8,H170&gt;=8),"CHAMPION",AND(F170&gt;=6,G170&gt;=7,H170&gt;=6),"LOYAL CUSTOMER",AND(F170&gt;=6,G170&gt;=5,H170&gt;=5),"POTENTIAL LOYALIST",AND(F170&gt;=8,G170&lt;=2,H170&gt;=5),"NEW CUSTOMERS",AND(F170&gt;=6,G170&lt;=2,H170&gt;=3),"PROMISING",AND(F170&gt;=3,G170&gt;=3,H170&gt;=3),"NEED ATTENTION",AND(F170&lt;=4,G170&gt;=6,H170&gt;=6),"AT RISK",AND(F170&lt;=2,G170&gt;=8,H170&gt;=8),"CAN'T LOSE THEM",AND(F170&lt;=2,G170&lt;=2,H170&lt;=2),"HIBERNATING",TRUE(),"Other")</f>
        <v>HIBERNATING</v>
      </c>
      <c r="K170" s="1" t="n">
        <f aca="false">RANK(E170,$E$7:$E$4378)+COUNTIF($E$7:E170,E170)-1</f>
        <v>4174</v>
      </c>
    </row>
    <row r="171" customFormat="false" ht="14.25" hidden="false" customHeight="true" outlineLevel="0" collapsed="false">
      <c r="A171" s="51" t="n">
        <v>12550</v>
      </c>
      <c r="B171" s="53" t="n">
        <v>40807.6076388889</v>
      </c>
      <c r="C171" s="57" t="n">
        <f aca="false">INT($C$2)-INT(Table3[[#This Row],[Last Purchase Date]])</f>
        <v>80</v>
      </c>
      <c r="D171" s="1" t="n">
        <v>1</v>
      </c>
      <c r="E171" s="1" t="n">
        <v>964.829999999999</v>
      </c>
      <c r="F171" s="1" t="n">
        <f aca="false">ROUND((1-_xlfn.PERCENTRANK.INC($C$7:$C$4378,C171))*9,0)</f>
        <v>3</v>
      </c>
      <c r="G171" s="1" t="n">
        <f aca="false">ROUND(_xlfn.PERCENTRANK.INC($D$7:$D$4378,D171)*9,0)</f>
        <v>0</v>
      </c>
      <c r="H171" s="1" t="n">
        <f aca="false">ROUND(_xlfn.PERCENTRANK.INC($E$7:$E$4378,E171)*9,0)</f>
        <v>6</v>
      </c>
      <c r="I171" s="1" t="str">
        <f aca="false">CONCATENATE(F171,G171,H171)</f>
        <v>306</v>
      </c>
      <c r="J171" s="1" t="str">
        <f aca="false">_xlfn.IFS(AND(F171&gt;=8,G171&gt;=8,H171&gt;=8),"CHAMPION",AND(F171&gt;=6,G171&gt;=7,H171&gt;=6),"LOYAL CUSTOMER",AND(F171&gt;=6,G171&gt;=5,H171&gt;=5),"POTENTIAL LOYALIST",AND(F171&gt;=8,G171&lt;=2,H171&gt;=5),"NEW CUSTOMERS",AND(F171&gt;=6,G171&lt;=2,H171&gt;=3),"PROMISING",AND(F171&gt;=3,G171&gt;=3,H171&gt;=3),"NEED ATTENTION",AND(F171&lt;=4,G171&gt;=6,H171&gt;=6),"AT RISK",AND(F171&lt;=2,G171&gt;=8,H171&gt;=8),"CAN'T LOSE THEM",AND(F171&lt;=2,G171&lt;=2,H171&lt;=2),"HIBERNATING",TRUE(),"Other")</f>
        <v>Other</v>
      </c>
      <c r="K171" s="1" t="n">
        <f aca="false">RANK(E171,$E$7:$E$4378)+COUNTIF($E$7:E171,E171)-1</f>
        <v>1681</v>
      </c>
    </row>
    <row r="172" customFormat="false" ht="14.25" hidden="false" customHeight="true" outlineLevel="0" collapsed="false">
      <c r="A172" s="51" t="n">
        <v>12551</v>
      </c>
      <c r="B172" s="53" t="n">
        <v>40529.4743055556</v>
      </c>
      <c r="C172" s="57" t="n">
        <f aca="false">INT($C$2)-INT(Table3[[#This Row],[Last Purchase Date]])</f>
        <v>358</v>
      </c>
      <c r="D172" s="1" t="n">
        <v>1</v>
      </c>
      <c r="E172" s="1" t="n">
        <v>168</v>
      </c>
      <c r="F172" s="1" t="n">
        <f aca="false">ROUND((1-_xlfn.PERCENTRANK.INC($C$7:$C$4378,C172))*9,0)</f>
        <v>0</v>
      </c>
      <c r="G172" s="1" t="n">
        <f aca="false">ROUND(_xlfn.PERCENTRANK.INC($D$7:$D$4378,D172)*9,0)</f>
        <v>0</v>
      </c>
      <c r="H172" s="1" t="n">
        <f aca="false">ROUND(_xlfn.PERCENTRANK.INC($E$7:$E$4378,E172)*9,0)</f>
        <v>1</v>
      </c>
      <c r="I172" s="1" t="str">
        <f aca="false">CONCATENATE(F172,G172,H172)</f>
        <v>001</v>
      </c>
      <c r="J172" s="1" t="str">
        <f aca="false">_xlfn.IFS(AND(F172&gt;=8,G172&gt;=8,H172&gt;=8),"CHAMPION",AND(F172&gt;=6,G172&gt;=7,H172&gt;=6),"LOYAL CUSTOMER",AND(F172&gt;=6,G172&gt;=5,H172&gt;=5),"POTENTIAL LOYALIST",AND(F172&gt;=8,G172&lt;=2,H172&gt;=5),"NEW CUSTOMERS",AND(F172&gt;=6,G172&lt;=2,H172&gt;=3),"PROMISING",AND(F172&gt;=3,G172&gt;=3,H172&gt;=3),"NEED ATTENTION",AND(F172&lt;=4,G172&gt;=6,H172&gt;=6),"AT RISK",AND(F172&lt;=2,G172&gt;=8,H172&gt;=8),"CAN'T LOSE THEM",AND(F172&lt;=2,G172&lt;=2,H172&lt;=2),"HIBERNATING",TRUE(),"Other")</f>
        <v>HIBERNATING</v>
      </c>
      <c r="K172" s="1" t="n">
        <f aca="false">RANK(E172,$E$7:$E$4378)+COUNTIF($E$7:E172,E172)-1</f>
        <v>3816</v>
      </c>
    </row>
    <row r="173" customFormat="false" ht="14.25" hidden="false" customHeight="true" outlineLevel="0" collapsed="false">
      <c r="A173" s="51" t="n">
        <v>12552</v>
      </c>
      <c r="B173" s="53" t="n">
        <v>40848.4180555556</v>
      </c>
      <c r="C173" s="57" t="n">
        <f aca="false">INT($C$2)-INT(Table3[[#This Row],[Last Purchase Date]])</f>
        <v>39</v>
      </c>
      <c r="D173" s="1" t="n">
        <v>2</v>
      </c>
      <c r="E173" s="1" t="n">
        <v>437.82</v>
      </c>
      <c r="F173" s="1" t="n">
        <f aca="false">ROUND((1-_xlfn.PERCENTRANK.INC($C$7:$C$4378,C173))*9,0)</f>
        <v>5</v>
      </c>
      <c r="G173" s="1" t="n">
        <f aca="false">ROUND(_xlfn.PERCENTRANK.INC($D$7:$D$4378,D173)*9,0)</f>
        <v>3</v>
      </c>
      <c r="H173" s="1" t="n">
        <f aca="false">ROUND(_xlfn.PERCENTRANK.INC($E$7:$E$4378,E173)*9,0)</f>
        <v>3</v>
      </c>
      <c r="I173" s="1" t="str">
        <f aca="false">CONCATENATE(F173,G173,H173)</f>
        <v>533</v>
      </c>
      <c r="J173" s="1" t="str">
        <f aca="false">_xlfn.IFS(AND(F173&gt;=8,G173&gt;=8,H173&gt;=8),"CHAMPION",AND(F173&gt;=6,G173&gt;=7,H173&gt;=6),"LOYAL CUSTOMER",AND(F173&gt;=6,G173&gt;=5,H173&gt;=5),"POTENTIAL LOYALIST",AND(F173&gt;=8,G173&lt;=2,H173&gt;=5),"NEW CUSTOMERS",AND(F173&gt;=6,G173&lt;=2,H173&gt;=3),"PROMISING",AND(F173&gt;=3,G173&gt;=3,H173&gt;=3),"NEED ATTENTION",AND(F173&lt;=4,G173&gt;=6,H173&gt;=6),"AT RISK",AND(F173&lt;=2,G173&gt;=8,H173&gt;=8),"CAN'T LOSE THEM",AND(F173&lt;=2,G173&lt;=2,H173&lt;=2),"HIBERNATING",TRUE(),"Other")</f>
        <v>NEED ATTENTION</v>
      </c>
      <c r="K173" s="1" t="n">
        <f aca="false">RANK(E173,$E$7:$E$4378)+COUNTIF($E$7:E173,E173)-1</f>
        <v>2703</v>
      </c>
    </row>
    <row r="174" customFormat="false" ht="14.25" hidden="false" customHeight="true" outlineLevel="0" collapsed="false">
      <c r="A174" s="51" t="n">
        <v>12553</v>
      </c>
      <c r="B174" s="53" t="n">
        <v>40878.6930555556</v>
      </c>
      <c r="C174" s="57" t="n">
        <f aca="false">INT($C$2)-INT(Table3[[#This Row],[Last Purchase Date]])</f>
        <v>9</v>
      </c>
      <c r="D174" s="1" t="n">
        <v>14</v>
      </c>
      <c r="E174" s="1" t="n">
        <v>3652.25</v>
      </c>
      <c r="F174" s="1" t="n">
        <f aca="false">ROUND((1-_xlfn.PERCENTRANK.INC($C$7:$C$4378,C174))*9,0)</f>
        <v>8</v>
      </c>
      <c r="G174" s="1" t="n">
        <f aca="false">ROUND(_xlfn.PERCENTRANK.INC($D$7:$D$4378,D174)*9,0)</f>
        <v>8</v>
      </c>
      <c r="H174" s="1" t="n">
        <f aca="false">ROUND(_xlfn.PERCENTRANK.INC($E$7:$E$4378,E174)*9,0)</f>
        <v>8</v>
      </c>
      <c r="I174" s="1" t="str">
        <f aca="false">CONCATENATE(F174,G174,H174)</f>
        <v>888</v>
      </c>
      <c r="J174" s="1" t="str">
        <f aca="false">_xlfn.IFS(AND(F174&gt;=8,G174&gt;=8,H174&gt;=8),"CHAMPION",AND(F174&gt;=6,G174&gt;=7,H174&gt;=6),"LOYAL CUSTOMER",AND(F174&gt;=6,G174&gt;=5,H174&gt;=5),"POTENTIAL LOYALIST",AND(F174&gt;=8,G174&lt;=2,H174&gt;=5),"NEW CUSTOMERS",AND(F174&gt;=6,G174&lt;=2,H174&gt;=3),"PROMISING",AND(F174&gt;=3,G174&gt;=3,H174&gt;=3),"NEED ATTENTION",AND(F174&lt;=4,G174&gt;=6,H174&gt;=6),"AT RISK",AND(F174&lt;=2,G174&gt;=8,H174&gt;=8),"CAN'T LOSE THEM",AND(F174&lt;=2,G174&lt;=2,H174&lt;=2),"HIBERNATING",TRUE(),"Other")</f>
        <v>CHAMPION</v>
      </c>
      <c r="K174" s="1" t="n">
        <f aca="false">RANK(E174,$E$7:$E$4378)+COUNTIF($E$7:E174,E174)-1</f>
        <v>410</v>
      </c>
    </row>
    <row r="175" customFormat="false" ht="14.25" hidden="false" customHeight="true" outlineLevel="0" collapsed="false">
      <c r="A175" s="51" t="n">
        <v>12556</v>
      </c>
      <c r="B175" s="53" t="n">
        <v>40836.5458333333</v>
      </c>
      <c r="C175" s="57" t="n">
        <f aca="false">INT($C$2)-INT(Table3[[#This Row],[Last Purchase Date]])</f>
        <v>51</v>
      </c>
      <c r="D175" s="1" t="n">
        <v>2</v>
      </c>
      <c r="E175" s="1" t="n">
        <v>603.71</v>
      </c>
      <c r="F175" s="1" t="n">
        <f aca="false">ROUND((1-_xlfn.PERCENTRANK.INC($C$7:$C$4378,C175))*9,0)</f>
        <v>5</v>
      </c>
      <c r="G175" s="1" t="n">
        <f aca="false">ROUND(_xlfn.PERCENTRANK.INC($D$7:$D$4378,D175)*9,0)</f>
        <v>3</v>
      </c>
      <c r="H175" s="1" t="n">
        <f aca="false">ROUND(_xlfn.PERCENTRANK.INC($E$7:$E$4378,E175)*9,0)</f>
        <v>4</v>
      </c>
      <c r="I175" s="1" t="str">
        <f aca="false">CONCATENATE(F175,G175,H175)</f>
        <v>534</v>
      </c>
      <c r="J175" s="1" t="str">
        <f aca="false">_xlfn.IFS(AND(F175&gt;=8,G175&gt;=8,H175&gt;=8),"CHAMPION",AND(F175&gt;=6,G175&gt;=7,H175&gt;=6),"LOYAL CUSTOMER",AND(F175&gt;=6,G175&gt;=5,H175&gt;=5),"POTENTIAL LOYALIST",AND(F175&gt;=8,G175&lt;=2,H175&gt;=5),"NEW CUSTOMERS",AND(F175&gt;=6,G175&lt;=2,H175&gt;=3),"PROMISING",AND(F175&gt;=3,G175&gt;=3,H175&gt;=3),"NEED ATTENTION",AND(F175&lt;=4,G175&gt;=6,H175&gt;=6),"AT RISK",AND(F175&lt;=2,G175&gt;=8,H175&gt;=8),"CAN'T LOSE THEM",AND(F175&lt;=2,G175&lt;=2,H175&lt;=2),"HIBERNATING",TRUE(),"Other")</f>
        <v>NEED ATTENTION</v>
      </c>
      <c r="K175" s="1" t="n">
        <f aca="false">RANK(E175,$E$7:$E$4378)+COUNTIF($E$7:E175,E175)-1</f>
        <v>2303</v>
      </c>
    </row>
    <row r="176" customFormat="false" ht="14.25" hidden="false" customHeight="true" outlineLevel="0" collapsed="false">
      <c r="A176" s="51" t="n">
        <v>12557</v>
      </c>
      <c r="B176" s="53" t="n">
        <v>40870.7076388889</v>
      </c>
      <c r="C176" s="57" t="n">
        <f aca="false">INT($C$2)-INT(Table3[[#This Row],[Last Purchase Date]])</f>
        <v>17</v>
      </c>
      <c r="D176" s="1" t="n">
        <v>5</v>
      </c>
      <c r="E176" s="1" t="n">
        <v>11990.96</v>
      </c>
      <c r="F176" s="1" t="n">
        <f aca="false">ROUND((1-_xlfn.PERCENTRANK.INC($C$7:$C$4378,C176))*9,0)</f>
        <v>7</v>
      </c>
      <c r="G176" s="1" t="n">
        <f aca="false">ROUND(_xlfn.PERCENTRANK.INC($D$7:$D$4378,D176)*9,0)</f>
        <v>6</v>
      </c>
      <c r="H176" s="1" t="n">
        <f aca="false">ROUND(_xlfn.PERCENTRANK.INC($E$7:$E$4378,E176)*9,0)</f>
        <v>9</v>
      </c>
      <c r="I176" s="1" t="str">
        <f aca="false">CONCATENATE(F176,G176,H176)</f>
        <v>769</v>
      </c>
      <c r="J176" s="1" t="str">
        <f aca="false">_xlfn.IFS(AND(F176&gt;=8,G176&gt;=8,H176&gt;=8),"CHAMPION",AND(F176&gt;=6,G176&gt;=7,H176&gt;=6),"LOYAL CUSTOMER",AND(F176&gt;=6,G176&gt;=5,H176&gt;=5),"POTENTIAL LOYALIST",AND(F176&gt;=8,G176&lt;=2,H176&gt;=5),"NEW CUSTOMERS",AND(F176&gt;=6,G176&lt;=2,H176&gt;=3),"PROMISING",AND(F176&gt;=3,G176&gt;=3,H176&gt;=3),"NEED ATTENTION",AND(F176&lt;=4,G176&gt;=6,H176&gt;=6),"AT RISK",AND(F176&lt;=2,G176&gt;=8,H176&gt;=8),"CAN'T LOSE THEM",AND(F176&lt;=2,G176&lt;=2,H176&lt;=2),"HIBERNATING",TRUE(),"Other")</f>
        <v>POTENTIAL LOYALIST</v>
      </c>
      <c r="K176" s="1" t="n">
        <f aca="false">RANK(E176,$E$7:$E$4378)+COUNTIF($E$7:E176,E176)-1</f>
        <v>72</v>
      </c>
    </row>
    <row r="177" customFormat="false" ht="14.25" hidden="false" customHeight="true" outlineLevel="0" collapsed="false">
      <c r="A177" s="51" t="n">
        <v>12558</v>
      </c>
      <c r="B177" s="53" t="n">
        <v>40885.4263888889</v>
      </c>
      <c r="C177" s="57" t="n">
        <f aca="false">INT($C$2)-INT(Table3[[#This Row],[Last Purchase Date]])</f>
        <v>2</v>
      </c>
      <c r="D177" s="1" t="n">
        <v>2</v>
      </c>
      <c r="E177" s="1" t="n">
        <v>2.66453525910038E-014</v>
      </c>
      <c r="F177" s="1" t="n">
        <f aca="false">ROUND((1-_xlfn.PERCENTRANK.INC($C$7:$C$4378,C177))*9,0)</f>
        <v>9</v>
      </c>
      <c r="G177" s="1" t="n">
        <f aca="false">ROUND(_xlfn.PERCENTRANK.INC($D$7:$D$4378,D177)*9,0)</f>
        <v>3</v>
      </c>
      <c r="H177" s="1" t="n">
        <f aca="false">ROUND(_xlfn.PERCENTRANK.INC($E$7:$E$4378,E177)*9,0)</f>
        <v>0</v>
      </c>
      <c r="I177" s="1" t="str">
        <f aca="false">CONCATENATE(F177,G177,H177)</f>
        <v>930</v>
      </c>
      <c r="J177" s="1" t="str">
        <f aca="false">_xlfn.IFS(AND(F177&gt;=8,G177&gt;=8,H177&gt;=8),"CHAMPION",AND(F177&gt;=6,G177&gt;=7,H177&gt;=6),"LOYAL CUSTOMER",AND(F177&gt;=6,G177&gt;=5,H177&gt;=5),"POTENTIAL LOYALIST",AND(F177&gt;=8,G177&lt;=2,H177&gt;=5),"NEW CUSTOMERS",AND(F177&gt;=6,G177&lt;=2,H177&gt;=3),"PROMISING",AND(F177&gt;=3,G177&gt;=3,H177&gt;=3),"NEED ATTENTION",AND(F177&lt;=4,G177&gt;=6,H177&gt;=6),"AT RISK",AND(F177&lt;=2,G177&gt;=8,H177&gt;=8),"CAN'T LOSE THEM",AND(F177&lt;=2,G177&lt;=2,H177&lt;=2),"HIBERNATING",TRUE(),"Other")</f>
        <v>Other</v>
      </c>
      <c r="K177" s="1" t="n">
        <f aca="false">RANK(E177,$E$7:$E$4378)+COUNTIF($E$7:E177,E177)-1</f>
        <v>4319</v>
      </c>
    </row>
    <row r="178" customFormat="false" ht="14.25" hidden="false" customHeight="true" outlineLevel="0" collapsed="false">
      <c r="A178" s="51" t="n">
        <v>12559</v>
      </c>
      <c r="B178" s="53" t="n">
        <v>40576.4090277778</v>
      </c>
      <c r="C178" s="57" t="n">
        <f aca="false">INT($C$2)-INT(Table3[[#This Row],[Last Purchase Date]])</f>
        <v>311</v>
      </c>
      <c r="D178" s="1" t="n">
        <v>3</v>
      </c>
      <c r="E178" s="1" t="n">
        <v>536.21</v>
      </c>
      <c r="F178" s="1" t="n">
        <f aca="false">ROUND((1-_xlfn.PERCENTRANK.INC($C$7:$C$4378,C178))*9,0)</f>
        <v>0</v>
      </c>
      <c r="G178" s="1" t="n">
        <f aca="false">ROUND(_xlfn.PERCENTRANK.INC($D$7:$D$4378,D178)*9,0)</f>
        <v>4</v>
      </c>
      <c r="H178" s="1" t="n">
        <f aca="false">ROUND(_xlfn.PERCENTRANK.INC($E$7:$E$4378,E178)*9,0)</f>
        <v>4</v>
      </c>
      <c r="I178" s="1" t="str">
        <f aca="false">CONCATENATE(F178,G178,H178)</f>
        <v>044</v>
      </c>
      <c r="J178" s="1" t="str">
        <f aca="false">_xlfn.IFS(AND(F178&gt;=8,G178&gt;=8,H178&gt;=8),"CHAMPION",AND(F178&gt;=6,G178&gt;=7,H178&gt;=6),"LOYAL CUSTOMER",AND(F178&gt;=6,G178&gt;=5,H178&gt;=5),"POTENTIAL LOYALIST",AND(F178&gt;=8,G178&lt;=2,H178&gt;=5),"NEW CUSTOMERS",AND(F178&gt;=6,G178&lt;=2,H178&gt;=3),"PROMISING",AND(F178&gt;=3,G178&gt;=3,H178&gt;=3),"NEED ATTENTION",AND(F178&lt;=4,G178&gt;=6,H178&gt;=6),"AT RISK",AND(F178&lt;=2,G178&gt;=8,H178&gt;=8),"CAN'T LOSE THEM",AND(F178&lt;=2,G178&lt;=2,H178&lt;=2),"HIBERNATING",TRUE(),"Other")</f>
        <v>Other</v>
      </c>
      <c r="K178" s="1" t="n">
        <f aca="false">RANK(E178,$E$7:$E$4378)+COUNTIF($E$7:E178,E178)-1</f>
        <v>2467</v>
      </c>
    </row>
    <row r="179" customFormat="false" ht="14.25" hidden="false" customHeight="true" outlineLevel="0" collapsed="false">
      <c r="A179" s="51" t="n">
        <v>12560</v>
      </c>
      <c r="B179" s="53" t="n">
        <v>40881.5791666667</v>
      </c>
      <c r="C179" s="57" t="n">
        <f aca="false">INT($C$2)-INT(Table3[[#This Row],[Last Purchase Date]])</f>
        <v>6</v>
      </c>
      <c r="D179" s="1" t="n">
        <v>4</v>
      </c>
      <c r="E179" s="1" t="n">
        <v>2101.39</v>
      </c>
      <c r="F179" s="1" t="n">
        <f aca="false">ROUND((1-_xlfn.PERCENTRANK.INC($C$7:$C$4378,C179))*9,0)</f>
        <v>8</v>
      </c>
      <c r="G179" s="1" t="n">
        <f aca="false">ROUND(_xlfn.PERCENTRANK.INC($D$7:$D$4378,D179)*9,0)</f>
        <v>5</v>
      </c>
      <c r="H179" s="1" t="n">
        <f aca="false">ROUND(_xlfn.PERCENTRANK.INC($E$7:$E$4378,E179)*9,0)</f>
        <v>7</v>
      </c>
      <c r="I179" s="1" t="str">
        <f aca="false">CONCATENATE(F179,G179,H179)</f>
        <v>857</v>
      </c>
      <c r="J179" s="1" t="str">
        <f aca="false">_xlfn.IFS(AND(F179&gt;=8,G179&gt;=8,H179&gt;=8),"CHAMPION",AND(F179&gt;=6,G179&gt;=7,H179&gt;=6),"LOYAL CUSTOMER",AND(F179&gt;=6,G179&gt;=5,H179&gt;=5),"POTENTIAL LOYALIST",AND(F179&gt;=8,G179&lt;=2,H179&gt;=5),"NEW CUSTOMERS",AND(F179&gt;=6,G179&lt;=2,H179&gt;=3),"PROMISING",AND(F179&gt;=3,G179&gt;=3,H179&gt;=3),"NEED ATTENTION",AND(F179&lt;=4,G179&gt;=6,H179&gt;=6),"AT RISK",AND(F179&lt;=2,G179&gt;=8,H179&gt;=8),"CAN'T LOSE THEM",AND(F179&lt;=2,G179&lt;=2,H179&lt;=2),"HIBERNATING",TRUE(),"Other")</f>
        <v>POTENTIAL LOYALIST</v>
      </c>
      <c r="K179" s="1" t="n">
        <f aca="false">RANK(E179,$E$7:$E$4378)+COUNTIF($E$7:E179,E179)-1</f>
        <v>826</v>
      </c>
    </row>
    <row r="180" customFormat="false" ht="14.25" hidden="false" customHeight="true" outlineLevel="0" collapsed="false">
      <c r="A180" s="51" t="n">
        <v>12561</v>
      </c>
      <c r="B180" s="53" t="n">
        <v>40584.4854166667</v>
      </c>
      <c r="C180" s="57" t="n">
        <f aca="false">INT($C$2)-INT(Table3[[#This Row],[Last Purchase Date]])</f>
        <v>303</v>
      </c>
      <c r="D180" s="1" t="n">
        <v>1</v>
      </c>
      <c r="E180" s="1" t="n">
        <v>238.85</v>
      </c>
      <c r="F180" s="1" t="n">
        <f aca="false">ROUND((1-_xlfn.PERCENTRANK.INC($C$7:$C$4378,C180))*9,0)</f>
        <v>1</v>
      </c>
      <c r="G180" s="1" t="n">
        <f aca="false">ROUND(_xlfn.PERCENTRANK.INC($D$7:$D$4378,D180)*9,0)</f>
        <v>0</v>
      </c>
      <c r="H180" s="1" t="n">
        <f aca="false">ROUND(_xlfn.PERCENTRANK.INC($E$7:$E$4378,E180)*9,0)</f>
        <v>2</v>
      </c>
      <c r="I180" s="1" t="str">
        <f aca="false">CONCATENATE(F180,G180,H180)</f>
        <v>102</v>
      </c>
      <c r="J180" s="1" t="str">
        <f aca="false">_xlfn.IFS(AND(F180&gt;=8,G180&gt;=8,H180&gt;=8),"CHAMPION",AND(F180&gt;=6,G180&gt;=7,H180&gt;=6),"LOYAL CUSTOMER",AND(F180&gt;=6,G180&gt;=5,H180&gt;=5),"POTENTIAL LOYALIST",AND(F180&gt;=8,G180&lt;=2,H180&gt;=5),"NEW CUSTOMERS",AND(F180&gt;=6,G180&lt;=2,H180&gt;=3),"PROMISING",AND(F180&gt;=3,G180&gt;=3,H180&gt;=3),"NEED ATTENTION",AND(F180&lt;=4,G180&gt;=6,H180&gt;=6),"AT RISK",AND(F180&lt;=2,G180&gt;=8,H180&gt;=8),"CAN'T LOSE THEM",AND(F180&lt;=2,G180&lt;=2,H180&lt;=2),"HIBERNATING",TRUE(),"Other")</f>
        <v>HIBERNATING</v>
      </c>
      <c r="K180" s="1" t="n">
        <f aca="false">RANK(E180,$E$7:$E$4378)+COUNTIF($E$7:E180,E180)-1</f>
        <v>3487</v>
      </c>
    </row>
    <row r="181" customFormat="false" ht="14.25" hidden="false" customHeight="true" outlineLevel="0" collapsed="false">
      <c r="A181" s="51" t="n">
        <v>12562</v>
      </c>
      <c r="B181" s="53" t="n">
        <v>40878.7222222222</v>
      </c>
      <c r="C181" s="57" t="n">
        <f aca="false">INT($C$2)-INT(Table3[[#This Row],[Last Purchase Date]])</f>
        <v>9</v>
      </c>
      <c r="D181" s="1" t="n">
        <v>7</v>
      </c>
      <c r="E181" s="1" t="n">
        <v>3781.74</v>
      </c>
      <c r="F181" s="1" t="n">
        <f aca="false">ROUND((1-_xlfn.PERCENTRANK.INC($C$7:$C$4378,C181))*9,0)</f>
        <v>8</v>
      </c>
      <c r="G181" s="1" t="n">
        <f aca="false">ROUND(_xlfn.PERCENTRANK.INC($D$7:$D$4378,D181)*9,0)</f>
        <v>7</v>
      </c>
      <c r="H181" s="1" t="n">
        <f aca="false">ROUND(_xlfn.PERCENTRANK.INC($E$7:$E$4378,E181)*9,0)</f>
        <v>8</v>
      </c>
      <c r="I181" s="1" t="str">
        <f aca="false">CONCATENATE(F181,G181,H181)</f>
        <v>878</v>
      </c>
      <c r="J181" s="1" t="str">
        <f aca="false">_xlfn.IFS(AND(F181&gt;=8,G181&gt;=8,H181&gt;=8),"CHAMPION",AND(F181&gt;=6,G181&gt;=7,H181&gt;=6),"LOYAL CUSTOMER",AND(F181&gt;=6,G181&gt;=5,H181&gt;=5),"POTENTIAL LOYALIST",AND(F181&gt;=8,G181&lt;=2,H181&gt;=5),"NEW CUSTOMERS",AND(F181&gt;=6,G181&lt;=2,H181&gt;=3),"PROMISING",AND(F181&gt;=3,G181&gt;=3,H181&gt;=3),"NEED ATTENTION",AND(F181&lt;=4,G181&gt;=6,H181&gt;=6),"AT RISK",AND(F181&lt;=2,G181&gt;=8,H181&gt;=8),"CAN'T LOSE THEM",AND(F181&lt;=2,G181&lt;=2,H181&lt;=2),"HIBERNATING",TRUE(),"Other")</f>
        <v>LOYAL CUSTOMER</v>
      </c>
      <c r="K181" s="1" t="n">
        <f aca="false">RANK(E181,$E$7:$E$4378)+COUNTIF($E$7:E181,E181)-1</f>
        <v>388</v>
      </c>
    </row>
    <row r="182" customFormat="false" ht="14.25" hidden="false" customHeight="true" outlineLevel="0" collapsed="false">
      <c r="A182" s="51" t="n">
        <v>12564</v>
      </c>
      <c r="B182" s="53" t="n">
        <v>40625.6215277778</v>
      </c>
      <c r="C182" s="57" t="n">
        <f aca="false">INT($C$2)-INT(Table3[[#This Row],[Last Purchase Date]])</f>
        <v>262</v>
      </c>
      <c r="D182" s="1" t="n">
        <v>1</v>
      </c>
      <c r="E182" s="1" t="n">
        <v>456.9</v>
      </c>
      <c r="F182" s="1" t="n">
        <f aca="false">ROUND((1-_xlfn.PERCENTRANK.INC($C$7:$C$4378,C182))*9,0)</f>
        <v>1</v>
      </c>
      <c r="G182" s="1" t="n">
        <f aca="false">ROUND(_xlfn.PERCENTRANK.INC($D$7:$D$4378,D182)*9,0)</f>
        <v>0</v>
      </c>
      <c r="H182" s="1" t="n">
        <f aca="false">ROUND(_xlfn.PERCENTRANK.INC($E$7:$E$4378,E182)*9,0)</f>
        <v>4</v>
      </c>
      <c r="I182" s="1" t="str">
        <f aca="false">CONCATENATE(F182,G182,H182)</f>
        <v>104</v>
      </c>
      <c r="J182" s="1" t="str">
        <f aca="false">_xlfn.IFS(AND(F182&gt;=8,G182&gt;=8,H182&gt;=8),"CHAMPION",AND(F182&gt;=6,G182&gt;=7,H182&gt;=6),"LOYAL CUSTOMER",AND(F182&gt;=6,G182&gt;=5,H182&gt;=5),"POTENTIAL LOYALIST",AND(F182&gt;=8,G182&lt;=2,H182&gt;=5),"NEW CUSTOMERS",AND(F182&gt;=6,G182&lt;=2,H182&gt;=3),"PROMISING",AND(F182&gt;=3,G182&gt;=3,H182&gt;=3),"NEED ATTENTION",AND(F182&lt;=4,G182&gt;=6,H182&gt;=6),"AT RISK",AND(F182&lt;=2,G182&gt;=8,H182&gt;=8),"CAN'T LOSE THEM",AND(F182&lt;=2,G182&lt;=2,H182&lt;=2),"HIBERNATING",TRUE(),"Other")</f>
        <v>Other</v>
      </c>
      <c r="K182" s="1" t="n">
        <f aca="false">RANK(E182,$E$7:$E$4378)+COUNTIF($E$7:E182,E182)-1</f>
        <v>2651</v>
      </c>
    </row>
    <row r="183" customFormat="false" ht="14.25" hidden="false" customHeight="true" outlineLevel="0" collapsed="false">
      <c r="A183" s="51" t="n">
        <v>12565</v>
      </c>
      <c r="B183" s="53" t="n">
        <v>40605.4881944444</v>
      </c>
      <c r="C183" s="57" t="n">
        <f aca="false">INT($C$2)-INT(Table3[[#This Row],[Last Purchase Date]])</f>
        <v>282</v>
      </c>
      <c r="D183" s="1" t="n">
        <v>2</v>
      </c>
      <c r="E183" s="1" t="n">
        <v>131.17</v>
      </c>
      <c r="F183" s="1" t="n">
        <f aca="false">ROUND((1-_xlfn.PERCENTRANK.INC($C$7:$C$4378,C183))*9,0)</f>
        <v>1</v>
      </c>
      <c r="G183" s="1" t="n">
        <f aca="false">ROUND(_xlfn.PERCENTRANK.INC($D$7:$D$4378,D183)*9,0)</f>
        <v>3</v>
      </c>
      <c r="H183" s="1" t="n">
        <f aca="false">ROUND(_xlfn.PERCENTRANK.INC($E$7:$E$4378,E183)*9,0)</f>
        <v>1</v>
      </c>
      <c r="I183" s="1" t="str">
        <f aca="false">CONCATENATE(F183,G183,H183)</f>
        <v>131</v>
      </c>
      <c r="J183" s="1" t="str">
        <f aca="false">_xlfn.IFS(AND(F183&gt;=8,G183&gt;=8,H183&gt;=8),"CHAMPION",AND(F183&gt;=6,G183&gt;=7,H183&gt;=6),"LOYAL CUSTOMER",AND(F183&gt;=6,G183&gt;=5,H183&gt;=5),"POTENTIAL LOYALIST",AND(F183&gt;=8,G183&lt;=2,H183&gt;=5),"NEW CUSTOMERS",AND(F183&gt;=6,G183&lt;=2,H183&gt;=3),"PROMISING",AND(F183&gt;=3,G183&gt;=3,H183&gt;=3),"NEED ATTENTION",AND(F183&lt;=4,G183&gt;=6,H183&gt;=6),"AT RISK",AND(F183&lt;=2,G183&gt;=8,H183&gt;=8),"CAN'T LOSE THEM",AND(F183&lt;=2,G183&lt;=2,H183&lt;=2),"HIBERNATING",TRUE(),"Other")</f>
        <v>Other</v>
      </c>
      <c r="K183" s="1" t="n">
        <f aca="false">RANK(E183,$E$7:$E$4378)+COUNTIF($E$7:E183,E183)-1</f>
        <v>4005</v>
      </c>
    </row>
    <row r="184" customFormat="false" ht="14.25" hidden="false" customHeight="true" outlineLevel="0" collapsed="false">
      <c r="A184" s="51" t="n">
        <v>12566</v>
      </c>
      <c r="B184" s="53" t="n">
        <v>40814.4145833333</v>
      </c>
      <c r="C184" s="57" t="n">
        <f aca="false">INT($C$2)-INT(Table3[[#This Row],[Last Purchase Date]])</f>
        <v>73</v>
      </c>
      <c r="D184" s="1" t="n">
        <v>2</v>
      </c>
      <c r="E184" s="1" t="n">
        <v>346.7</v>
      </c>
      <c r="F184" s="1" t="n">
        <f aca="false">ROUND((1-_xlfn.PERCENTRANK.INC($C$7:$C$4378,C184))*9,0)</f>
        <v>4</v>
      </c>
      <c r="G184" s="1" t="n">
        <f aca="false">ROUND(_xlfn.PERCENTRANK.INC($D$7:$D$4378,D184)*9,0)</f>
        <v>3</v>
      </c>
      <c r="H184" s="1" t="n">
        <f aca="false">ROUND(_xlfn.PERCENTRANK.INC($E$7:$E$4378,E184)*9,0)</f>
        <v>3</v>
      </c>
      <c r="I184" s="1" t="str">
        <f aca="false">CONCATENATE(F184,G184,H184)</f>
        <v>433</v>
      </c>
      <c r="J184" s="1" t="str">
        <f aca="false">_xlfn.IFS(AND(F184&gt;=8,G184&gt;=8,H184&gt;=8),"CHAMPION",AND(F184&gt;=6,G184&gt;=7,H184&gt;=6),"LOYAL CUSTOMER",AND(F184&gt;=6,G184&gt;=5,H184&gt;=5),"POTENTIAL LOYALIST",AND(F184&gt;=8,G184&lt;=2,H184&gt;=5),"NEW CUSTOMERS",AND(F184&gt;=6,G184&lt;=2,H184&gt;=3),"PROMISING",AND(F184&gt;=3,G184&gt;=3,H184&gt;=3),"NEED ATTENTION",AND(F184&lt;=4,G184&gt;=6,H184&gt;=6),"AT RISK",AND(F184&lt;=2,G184&gt;=8,H184&gt;=8),"CAN'T LOSE THEM",AND(F184&lt;=2,G184&lt;=2,H184&lt;=2),"HIBERNATING",TRUE(),"Other")</f>
        <v>NEED ATTENTION</v>
      </c>
      <c r="K184" s="1" t="n">
        <f aca="false">RANK(E184,$E$7:$E$4378)+COUNTIF($E$7:E184,E184)-1</f>
        <v>3026</v>
      </c>
    </row>
    <row r="185" customFormat="false" ht="14.25" hidden="false" customHeight="true" outlineLevel="0" collapsed="false">
      <c r="A185" s="51" t="n">
        <v>12567</v>
      </c>
      <c r="B185" s="53" t="n">
        <v>40864.4597222222</v>
      </c>
      <c r="C185" s="57" t="n">
        <f aca="false">INT($C$2)-INT(Table3[[#This Row],[Last Purchase Date]])</f>
        <v>23</v>
      </c>
      <c r="D185" s="1" t="n">
        <v>11</v>
      </c>
      <c r="E185" s="1" t="n">
        <v>9114.94</v>
      </c>
      <c r="F185" s="1" t="n">
        <f aca="false">ROUND((1-_xlfn.PERCENTRANK.INC($C$7:$C$4378,C185))*9,0)</f>
        <v>6</v>
      </c>
      <c r="G185" s="1" t="n">
        <f aca="false">ROUND(_xlfn.PERCENTRANK.INC($D$7:$D$4378,D185)*9,0)</f>
        <v>8</v>
      </c>
      <c r="H185" s="1" t="n">
        <f aca="false">ROUND(_xlfn.PERCENTRANK.INC($E$7:$E$4378,E185)*9,0)</f>
        <v>9</v>
      </c>
      <c r="I185" s="1" t="str">
        <f aca="false">CONCATENATE(F185,G185,H185)</f>
        <v>689</v>
      </c>
      <c r="J185" s="1" t="str">
        <f aca="false">_xlfn.IFS(AND(F185&gt;=8,G185&gt;=8,H185&gt;=8),"CHAMPION",AND(F185&gt;=6,G185&gt;=7,H185&gt;=6),"LOYAL CUSTOMER",AND(F185&gt;=6,G185&gt;=5,H185&gt;=5),"POTENTIAL LOYALIST",AND(F185&gt;=8,G185&lt;=2,H185&gt;=5),"NEW CUSTOMERS",AND(F185&gt;=6,G185&lt;=2,H185&gt;=3),"PROMISING",AND(F185&gt;=3,G185&gt;=3,H185&gt;=3),"NEED ATTENTION",AND(F185&lt;=4,G185&gt;=6,H185&gt;=6),"AT RISK",AND(F185&lt;=2,G185&gt;=8,H185&gt;=8),"CAN'T LOSE THEM",AND(F185&lt;=2,G185&lt;=2,H185&lt;=2),"HIBERNATING",TRUE(),"Other")</f>
        <v>LOYAL CUSTOMER</v>
      </c>
      <c r="K185" s="1" t="n">
        <f aca="false">RANK(E185,$E$7:$E$4378)+COUNTIF($E$7:E185,E185)-1</f>
        <v>109</v>
      </c>
    </row>
    <row r="186" customFormat="false" ht="14.25" hidden="false" customHeight="true" outlineLevel="0" collapsed="false">
      <c r="A186" s="51" t="n">
        <v>12569</v>
      </c>
      <c r="B186" s="53" t="n">
        <v>40884.6833333333</v>
      </c>
      <c r="C186" s="57" t="n">
        <f aca="false">INT($C$2)-INT(Table3[[#This Row],[Last Purchase Date]])</f>
        <v>3</v>
      </c>
      <c r="D186" s="1" t="n">
        <v>35</v>
      </c>
      <c r="E186" s="1" t="n">
        <v>4064.99</v>
      </c>
      <c r="F186" s="1" t="n">
        <f aca="false">ROUND((1-_xlfn.PERCENTRANK.INC($C$7:$C$4378,C186))*9,0)</f>
        <v>9</v>
      </c>
      <c r="G186" s="1" t="n">
        <f aca="false">ROUND(_xlfn.PERCENTRANK.INC($D$7:$D$4378,D186)*9,0)</f>
        <v>9</v>
      </c>
      <c r="H186" s="1" t="n">
        <f aca="false">ROUND(_xlfn.PERCENTRANK.INC($E$7:$E$4378,E186)*9,0)</f>
        <v>8</v>
      </c>
      <c r="I186" s="1" t="str">
        <f aca="false">CONCATENATE(F186,G186,H186)</f>
        <v>998</v>
      </c>
      <c r="J186" s="1" t="str">
        <f aca="false">_xlfn.IFS(AND(F186&gt;=8,G186&gt;=8,H186&gt;=8),"CHAMPION",AND(F186&gt;=6,G186&gt;=7,H186&gt;=6),"LOYAL CUSTOMER",AND(F186&gt;=6,G186&gt;=5,H186&gt;=5),"POTENTIAL LOYALIST",AND(F186&gt;=8,G186&lt;=2,H186&gt;=5),"NEW CUSTOMERS",AND(F186&gt;=6,G186&lt;=2,H186&gt;=3),"PROMISING",AND(F186&gt;=3,G186&gt;=3,H186&gt;=3),"NEED ATTENTION",AND(F186&lt;=4,G186&gt;=6,H186&gt;=6),"AT RISK",AND(F186&lt;=2,G186&gt;=8,H186&gt;=8),"CAN'T LOSE THEM",AND(F186&lt;=2,G186&lt;=2,H186&lt;=2),"HIBERNATING",TRUE(),"Other")</f>
        <v>CHAMPION</v>
      </c>
      <c r="K186" s="1" t="n">
        <f aca="false">RANK(E186,$E$7:$E$4378)+COUNTIF($E$7:E186,E186)-1</f>
        <v>344</v>
      </c>
    </row>
    <row r="187" customFormat="false" ht="14.25" hidden="false" customHeight="true" outlineLevel="0" collapsed="false">
      <c r="A187" s="51" t="n">
        <v>12571</v>
      </c>
      <c r="B187" s="53" t="n">
        <v>40847.4298611111</v>
      </c>
      <c r="C187" s="57" t="n">
        <f aca="false">INT($C$2)-INT(Table3[[#This Row],[Last Purchase Date]])</f>
        <v>40</v>
      </c>
      <c r="D187" s="1" t="n">
        <v>2</v>
      </c>
      <c r="E187" s="1" t="n">
        <v>519.61</v>
      </c>
      <c r="F187" s="1" t="n">
        <f aca="false">ROUND((1-_xlfn.PERCENTRANK.INC($C$7:$C$4378,C187))*9,0)</f>
        <v>5</v>
      </c>
      <c r="G187" s="1" t="n">
        <f aca="false">ROUND(_xlfn.PERCENTRANK.INC($D$7:$D$4378,D187)*9,0)</f>
        <v>3</v>
      </c>
      <c r="H187" s="1" t="n">
        <f aca="false">ROUND(_xlfn.PERCENTRANK.INC($E$7:$E$4378,E187)*9,0)</f>
        <v>4</v>
      </c>
      <c r="I187" s="1" t="str">
        <f aca="false">CONCATENATE(F187,G187,H187)</f>
        <v>534</v>
      </c>
      <c r="J187" s="1" t="str">
        <f aca="false">_xlfn.IFS(AND(F187&gt;=8,G187&gt;=8,H187&gt;=8),"CHAMPION",AND(F187&gt;=6,G187&gt;=7,H187&gt;=6),"LOYAL CUSTOMER",AND(F187&gt;=6,G187&gt;=5,H187&gt;=5),"POTENTIAL LOYALIST",AND(F187&gt;=8,G187&lt;=2,H187&gt;=5),"NEW CUSTOMERS",AND(F187&gt;=6,G187&lt;=2,H187&gt;=3),"PROMISING",AND(F187&gt;=3,G187&gt;=3,H187&gt;=3),"NEED ATTENTION",AND(F187&lt;=4,G187&gt;=6,H187&gt;=6),"AT RISK",AND(F187&lt;=2,G187&gt;=8,H187&gt;=8),"CAN'T LOSE THEM",AND(F187&lt;=2,G187&lt;=2,H187&lt;=2),"HIBERNATING",TRUE(),"Other")</f>
        <v>NEED ATTENTION</v>
      </c>
      <c r="K187" s="1" t="n">
        <f aca="false">RANK(E187,$E$7:$E$4378)+COUNTIF($E$7:E187,E187)-1</f>
        <v>2498</v>
      </c>
    </row>
    <row r="188" customFormat="false" ht="14.25" hidden="false" customHeight="true" outlineLevel="0" collapsed="false">
      <c r="A188" s="51" t="n">
        <v>12572</v>
      </c>
      <c r="B188" s="53" t="n">
        <v>40878.3888888889</v>
      </c>
      <c r="C188" s="57" t="n">
        <f aca="false">INT($C$2)-INT(Table3[[#This Row],[Last Purchase Date]])</f>
        <v>9</v>
      </c>
      <c r="D188" s="1" t="n">
        <v>3</v>
      </c>
      <c r="E188" s="1" t="n">
        <v>1004.72</v>
      </c>
      <c r="F188" s="1" t="n">
        <f aca="false">ROUND((1-_xlfn.PERCENTRANK.INC($C$7:$C$4378,C188))*9,0)</f>
        <v>8</v>
      </c>
      <c r="G188" s="1" t="n">
        <f aca="false">ROUND(_xlfn.PERCENTRANK.INC($D$7:$D$4378,D188)*9,0)</f>
        <v>4</v>
      </c>
      <c r="H188" s="1" t="n">
        <f aca="false">ROUND(_xlfn.PERCENTRANK.INC($E$7:$E$4378,E188)*9,0)</f>
        <v>6</v>
      </c>
      <c r="I188" s="1" t="str">
        <f aca="false">CONCATENATE(F188,G188,H188)</f>
        <v>846</v>
      </c>
      <c r="J188" s="1" t="str">
        <f aca="false">_xlfn.IFS(AND(F188&gt;=8,G188&gt;=8,H188&gt;=8),"CHAMPION",AND(F188&gt;=6,G188&gt;=7,H188&gt;=6),"LOYAL CUSTOMER",AND(F188&gt;=6,G188&gt;=5,H188&gt;=5),"POTENTIAL LOYALIST",AND(F188&gt;=8,G188&lt;=2,H188&gt;=5),"NEW CUSTOMERS",AND(F188&gt;=6,G188&lt;=2,H188&gt;=3),"PROMISING",AND(F188&gt;=3,G188&gt;=3,H188&gt;=3),"NEED ATTENTION",AND(F188&lt;=4,G188&gt;=6,H188&gt;=6),"AT RISK",AND(F188&lt;=2,G188&gt;=8,H188&gt;=8),"CAN'T LOSE THEM",AND(F188&lt;=2,G188&lt;=2,H188&lt;=2),"HIBERNATING",TRUE(),"Other")</f>
        <v>NEED ATTENTION</v>
      </c>
      <c r="K188" s="1" t="n">
        <f aca="false">RANK(E188,$E$7:$E$4378)+COUNTIF($E$7:E188,E188)-1</f>
        <v>1626</v>
      </c>
    </row>
    <row r="189" customFormat="false" ht="14.25" hidden="false" customHeight="true" outlineLevel="0" collapsed="false">
      <c r="A189" s="51" t="n">
        <v>12573</v>
      </c>
      <c r="B189" s="53" t="n">
        <v>40659.6611111111</v>
      </c>
      <c r="C189" s="57" t="n">
        <f aca="false">INT($C$2)-INT(Table3[[#This Row],[Last Purchase Date]])</f>
        <v>228</v>
      </c>
      <c r="D189" s="1" t="n">
        <v>1</v>
      </c>
      <c r="E189" s="1" t="n">
        <v>160.54</v>
      </c>
      <c r="F189" s="1" t="n">
        <f aca="false">ROUND((1-_xlfn.PERCENTRANK.INC($C$7:$C$4378,C189))*9,0)</f>
        <v>1</v>
      </c>
      <c r="G189" s="1" t="n">
        <f aca="false">ROUND(_xlfn.PERCENTRANK.INC($D$7:$D$4378,D189)*9,0)</f>
        <v>0</v>
      </c>
      <c r="H189" s="1" t="n">
        <f aca="false">ROUND(_xlfn.PERCENTRANK.INC($E$7:$E$4378,E189)*9,0)</f>
        <v>1</v>
      </c>
      <c r="I189" s="1" t="str">
        <f aca="false">CONCATENATE(F189,G189,H189)</f>
        <v>101</v>
      </c>
      <c r="J189" s="1" t="str">
        <f aca="false">_xlfn.IFS(AND(F189&gt;=8,G189&gt;=8,H189&gt;=8),"CHAMPION",AND(F189&gt;=6,G189&gt;=7,H189&gt;=6),"LOYAL CUSTOMER",AND(F189&gt;=6,G189&gt;=5,H189&gt;=5),"POTENTIAL LOYALIST",AND(F189&gt;=8,G189&lt;=2,H189&gt;=5),"NEW CUSTOMERS",AND(F189&gt;=6,G189&lt;=2,H189&gt;=3),"PROMISING",AND(F189&gt;=3,G189&gt;=3,H189&gt;=3),"NEED ATTENTION",AND(F189&lt;=4,G189&gt;=6,H189&gt;=6),"AT RISK",AND(F189&lt;=2,G189&gt;=8,H189&gt;=8),"CAN'T LOSE THEM",AND(F189&lt;=2,G189&lt;=2,H189&lt;=2),"HIBERNATING",TRUE(),"Other")</f>
        <v>HIBERNATING</v>
      </c>
      <c r="K189" s="1" t="n">
        <f aca="false">RANK(E189,$E$7:$E$4378)+COUNTIF($E$7:E189,E189)-1</f>
        <v>3858</v>
      </c>
    </row>
    <row r="190" customFormat="false" ht="14.25" hidden="false" customHeight="true" outlineLevel="0" collapsed="false">
      <c r="A190" s="51" t="n">
        <v>12574</v>
      </c>
      <c r="B190" s="53" t="n">
        <v>40571.3888888889</v>
      </c>
      <c r="C190" s="57" t="n">
        <f aca="false">INT($C$2)-INT(Table3[[#This Row],[Last Purchase Date]])</f>
        <v>316</v>
      </c>
      <c r="D190" s="1" t="n">
        <v>1</v>
      </c>
      <c r="E190" s="1" t="n">
        <v>218.45</v>
      </c>
      <c r="F190" s="1" t="n">
        <f aca="false">ROUND((1-_xlfn.PERCENTRANK.INC($C$7:$C$4378,C190))*9,0)</f>
        <v>0</v>
      </c>
      <c r="G190" s="1" t="n">
        <f aca="false">ROUND(_xlfn.PERCENTRANK.INC($D$7:$D$4378,D190)*9,0)</f>
        <v>0</v>
      </c>
      <c r="H190" s="1" t="n">
        <f aca="false">ROUND(_xlfn.PERCENTRANK.INC($E$7:$E$4378,E190)*9,0)</f>
        <v>2</v>
      </c>
      <c r="I190" s="1" t="str">
        <f aca="false">CONCATENATE(F190,G190,H190)</f>
        <v>002</v>
      </c>
      <c r="J190" s="1" t="str">
        <f aca="false">_xlfn.IFS(AND(F190&gt;=8,G190&gt;=8,H190&gt;=8),"CHAMPION",AND(F190&gt;=6,G190&gt;=7,H190&gt;=6),"LOYAL CUSTOMER",AND(F190&gt;=6,G190&gt;=5,H190&gt;=5),"POTENTIAL LOYALIST",AND(F190&gt;=8,G190&lt;=2,H190&gt;=5),"NEW CUSTOMERS",AND(F190&gt;=6,G190&lt;=2,H190&gt;=3),"PROMISING",AND(F190&gt;=3,G190&gt;=3,H190&gt;=3),"NEED ATTENTION",AND(F190&lt;=4,G190&gt;=6,H190&gt;=6),"AT RISK",AND(F190&lt;=2,G190&gt;=8,H190&gt;=8),"CAN'T LOSE THEM",AND(F190&lt;=2,G190&lt;=2,H190&lt;=2),"HIBERNATING",TRUE(),"Other")</f>
        <v>HIBERNATING</v>
      </c>
      <c r="K190" s="1" t="n">
        <f aca="false">RANK(E190,$E$7:$E$4378)+COUNTIF($E$7:E190,E190)-1</f>
        <v>3569</v>
      </c>
    </row>
    <row r="191" customFormat="false" ht="14.25" hidden="false" customHeight="true" outlineLevel="0" collapsed="false">
      <c r="A191" s="51" t="n">
        <v>12576</v>
      </c>
      <c r="B191" s="53" t="n">
        <v>40851.4243055556</v>
      </c>
      <c r="C191" s="57" t="n">
        <f aca="false">INT($C$2)-INT(Table3[[#This Row],[Last Purchase Date]])</f>
        <v>36</v>
      </c>
      <c r="D191" s="1" t="n">
        <v>6</v>
      </c>
      <c r="E191" s="1" t="n">
        <v>1306.98</v>
      </c>
      <c r="F191" s="1" t="n">
        <f aca="false">ROUND((1-_xlfn.PERCENTRANK.INC($C$7:$C$4378,C191))*9,0)</f>
        <v>5</v>
      </c>
      <c r="G191" s="1" t="n">
        <f aca="false">ROUND(_xlfn.PERCENTRANK.INC($D$7:$D$4378,D191)*9,0)</f>
        <v>7</v>
      </c>
      <c r="H191" s="1" t="n">
        <f aca="false">ROUND(_xlfn.PERCENTRANK.INC($E$7:$E$4378,E191)*9,0)</f>
        <v>6</v>
      </c>
      <c r="I191" s="1" t="str">
        <f aca="false">CONCATENATE(F191,G191,H191)</f>
        <v>576</v>
      </c>
      <c r="J191" s="1" t="str">
        <f aca="false">_xlfn.IFS(AND(F191&gt;=8,G191&gt;=8,H191&gt;=8),"CHAMPION",AND(F191&gt;=6,G191&gt;=7,H191&gt;=6),"LOYAL CUSTOMER",AND(F191&gt;=6,G191&gt;=5,H191&gt;=5),"POTENTIAL LOYALIST",AND(F191&gt;=8,G191&lt;=2,H191&gt;=5),"NEW CUSTOMERS",AND(F191&gt;=6,G191&lt;=2,H191&gt;=3),"PROMISING",AND(F191&gt;=3,G191&gt;=3,H191&gt;=3),"NEED ATTENTION",AND(F191&lt;=4,G191&gt;=6,H191&gt;=6),"AT RISK",AND(F191&lt;=2,G191&gt;=8,H191&gt;=8),"CAN'T LOSE THEM",AND(F191&lt;=2,G191&lt;=2,H191&lt;=2),"HIBERNATING",TRUE(),"Other")</f>
        <v>NEED ATTENTION</v>
      </c>
      <c r="K191" s="1" t="n">
        <f aca="false">RANK(E191,$E$7:$E$4378)+COUNTIF($E$7:E191,E191)-1</f>
        <v>1321</v>
      </c>
    </row>
    <row r="192" customFormat="false" ht="14.25" hidden="false" customHeight="true" outlineLevel="0" collapsed="false">
      <c r="A192" s="51" t="n">
        <v>12577</v>
      </c>
      <c r="B192" s="53" t="n">
        <v>40851.5611111111</v>
      </c>
      <c r="C192" s="57" t="n">
        <f aca="false">INT($C$2)-INT(Table3[[#This Row],[Last Purchase Date]])</f>
        <v>36</v>
      </c>
      <c r="D192" s="1" t="n">
        <v>4</v>
      </c>
      <c r="E192" s="1" t="n">
        <v>595.4</v>
      </c>
      <c r="F192" s="1" t="n">
        <f aca="false">ROUND((1-_xlfn.PERCENTRANK.INC($C$7:$C$4378,C192))*9,0)</f>
        <v>5</v>
      </c>
      <c r="G192" s="1" t="n">
        <f aca="false">ROUND(_xlfn.PERCENTRANK.INC($D$7:$D$4378,D192)*9,0)</f>
        <v>5</v>
      </c>
      <c r="H192" s="1" t="n">
        <f aca="false">ROUND(_xlfn.PERCENTRANK.INC($E$7:$E$4378,E192)*9,0)</f>
        <v>4</v>
      </c>
      <c r="I192" s="1" t="str">
        <f aca="false">CONCATENATE(F192,G192,H192)</f>
        <v>554</v>
      </c>
      <c r="J192" s="1" t="str">
        <f aca="false">_xlfn.IFS(AND(F192&gt;=8,G192&gt;=8,H192&gt;=8),"CHAMPION",AND(F192&gt;=6,G192&gt;=7,H192&gt;=6),"LOYAL CUSTOMER",AND(F192&gt;=6,G192&gt;=5,H192&gt;=5),"POTENTIAL LOYALIST",AND(F192&gt;=8,G192&lt;=2,H192&gt;=5),"NEW CUSTOMERS",AND(F192&gt;=6,G192&lt;=2,H192&gt;=3),"PROMISING",AND(F192&gt;=3,G192&gt;=3,H192&gt;=3),"NEED ATTENTION",AND(F192&lt;=4,G192&gt;=6,H192&gt;=6),"AT RISK",AND(F192&lt;=2,G192&gt;=8,H192&gt;=8),"CAN'T LOSE THEM",AND(F192&lt;=2,G192&lt;=2,H192&lt;=2),"HIBERNATING",TRUE(),"Other")</f>
        <v>NEED ATTENTION</v>
      </c>
      <c r="K192" s="1" t="n">
        <f aca="false">RANK(E192,$E$7:$E$4378)+COUNTIF($E$7:E192,E192)-1</f>
        <v>2334</v>
      </c>
    </row>
    <row r="193" customFormat="false" ht="14.25" hidden="false" customHeight="true" outlineLevel="0" collapsed="false">
      <c r="A193" s="51" t="n">
        <v>12578</v>
      </c>
      <c r="B193" s="53" t="n">
        <v>40865.5625</v>
      </c>
      <c r="C193" s="57" t="n">
        <f aca="false">INT($C$2)-INT(Table3[[#This Row],[Last Purchase Date]])</f>
        <v>22</v>
      </c>
      <c r="D193" s="1" t="n">
        <v>4</v>
      </c>
      <c r="E193" s="1" t="n">
        <v>2753.36</v>
      </c>
      <c r="F193" s="1" t="n">
        <f aca="false">ROUND((1-_xlfn.PERCENTRANK.INC($C$7:$C$4378,C193))*9,0)</f>
        <v>6</v>
      </c>
      <c r="G193" s="1" t="n">
        <f aca="false">ROUND(_xlfn.PERCENTRANK.INC($D$7:$D$4378,D193)*9,0)</f>
        <v>5</v>
      </c>
      <c r="H193" s="1" t="n">
        <f aca="false">ROUND(_xlfn.PERCENTRANK.INC($E$7:$E$4378,E193)*9,0)</f>
        <v>8</v>
      </c>
      <c r="I193" s="1" t="str">
        <f aca="false">CONCATENATE(F193,G193,H193)</f>
        <v>658</v>
      </c>
      <c r="J193" s="1" t="str">
        <f aca="false">_xlfn.IFS(AND(F193&gt;=8,G193&gt;=8,H193&gt;=8),"CHAMPION",AND(F193&gt;=6,G193&gt;=7,H193&gt;=6),"LOYAL CUSTOMER",AND(F193&gt;=6,G193&gt;=5,H193&gt;=5),"POTENTIAL LOYALIST",AND(F193&gt;=8,G193&lt;=2,H193&gt;=5),"NEW CUSTOMERS",AND(F193&gt;=6,G193&lt;=2,H193&gt;=3),"PROMISING",AND(F193&gt;=3,G193&gt;=3,H193&gt;=3),"NEED ATTENTION",AND(F193&lt;=4,G193&gt;=6,H193&gt;=6),"AT RISK",AND(F193&lt;=2,G193&gt;=8,H193&gt;=8),"CAN'T LOSE THEM",AND(F193&lt;=2,G193&lt;=2,H193&lt;=2),"HIBERNATING",TRUE(),"Other")</f>
        <v>POTENTIAL LOYALIST</v>
      </c>
      <c r="K193" s="1" t="n">
        <f aca="false">RANK(E193,$E$7:$E$4378)+COUNTIF($E$7:E193,E193)-1</f>
        <v>601</v>
      </c>
    </row>
    <row r="194" customFormat="false" ht="14.25" hidden="false" customHeight="true" outlineLevel="0" collapsed="false">
      <c r="A194" s="51" t="n">
        <v>12579</v>
      </c>
      <c r="B194" s="53" t="n">
        <v>40813.58125</v>
      </c>
      <c r="C194" s="57" t="n">
        <f aca="false">INT($C$2)-INT(Table3[[#This Row],[Last Purchase Date]])</f>
        <v>74</v>
      </c>
      <c r="D194" s="1" t="n">
        <v>3</v>
      </c>
      <c r="E194" s="1" t="n">
        <v>410.72</v>
      </c>
      <c r="F194" s="1" t="n">
        <f aca="false">ROUND((1-_xlfn.PERCENTRANK.INC($C$7:$C$4378,C194))*9,0)</f>
        <v>3</v>
      </c>
      <c r="G194" s="1" t="n">
        <f aca="false">ROUND(_xlfn.PERCENTRANK.INC($D$7:$D$4378,D194)*9,0)</f>
        <v>4</v>
      </c>
      <c r="H194" s="1" t="n">
        <f aca="false">ROUND(_xlfn.PERCENTRANK.INC($E$7:$E$4378,E194)*9,0)</f>
        <v>3</v>
      </c>
      <c r="I194" s="1" t="str">
        <f aca="false">CONCATENATE(F194,G194,H194)</f>
        <v>343</v>
      </c>
      <c r="J194" s="1" t="str">
        <f aca="false">_xlfn.IFS(AND(F194&gt;=8,G194&gt;=8,H194&gt;=8),"CHAMPION",AND(F194&gt;=6,G194&gt;=7,H194&gt;=6),"LOYAL CUSTOMER",AND(F194&gt;=6,G194&gt;=5,H194&gt;=5),"POTENTIAL LOYALIST",AND(F194&gt;=8,G194&lt;=2,H194&gt;=5),"NEW CUSTOMERS",AND(F194&gt;=6,G194&lt;=2,H194&gt;=3),"PROMISING",AND(F194&gt;=3,G194&gt;=3,H194&gt;=3),"NEED ATTENTION",AND(F194&lt;=4,G194&gt;=6,H194&gt;=6),"AT RISK",AND(F194&lt;=2,G194&gt;=8,H194&gt;=8),"CAN'T LOSE THEM",AND(F194&lt;=2,G194&lt;=2,H194&lt;=2),"HIBERNATING",TRUE(),"Other")</f>
        <v>NEED ATTENTION</v>
      </c>
      <c r="K194" s="1" t="n">
        <f aca="false">RANK(E194,$E$7:$E$4378)+COUNTIF($E$7:E194,E194)-1</f>
        <v>2787</v>
      </c>
    </row>
    <row r="195" customFormat="false" ht="14.25" hidden="false" customHeight="true" outlineLevel="0" collapsed="false">
      <c r="A195" s="51" t="n">
        <v>12580</v>
      </c>
      <c r="B195" s="53" t="n">
        <v>40640.4333333333</v>
      </c>
      <c r="C195" s="57" t="n">
        <f aca="false">INT($C$2)-INT(Table3[[#This Row],[Last Purchase Date]])</f>
        <v>247</v>
      </c>
      <c r="D195" s="1" t="n">
        <v>1</v>
      </c>
      <c r="E195" s="1" t="n">
        <v>415.7</v>
      </c>
      <c r="F195" s="1" t="n">
        <f aca="false">ROUND((1-_xlfn.PERCENTRANK.INC($C$7:$C$4378,C195))*9,0)</f>
        <v>1</v>
      </c>
      <c r="G195" s="1" t="n">
        <f aca="false">ROUND(_xlfn.PERCENTRANK.INC($D$7:$D$4378,D195)*9,0)</f>
        <v>0</v>
      </c>
      <c r="H195" s="1" t="n">
        <f aca="false">ROUND(_xlfn.PERCENTRANK.INC($E$7:$E$4378,E195)*9,0)</f>
        <v>3</v>
      </c>
      <c r="I195" s="1" t="str">
        <f aca="false">CONCATENATE(F195,G195,H195)</f>
        <v>103</v>
      </c>
      <c r="J195" s="1" t="str">
        <f aca="false">_xlfn.IFS(AND(F195&gt;=8,G195&gt;=8,H195&gt;=8),"CHAMPION",AND(F195&gt;=6,G195&gt;=7,H195&gt;=6),"LOYAL CUSTOMER",AND(F195&gt;=6,G195&gt;=5,H195&gt;=5),"POTENTIAL LOYALIST",AND(F195&gt;=8,G195&lt;=2,H195&gt;=5),"NEW CUSTOMERS",AND(F195&gt;=6,G195&lt;=2,H195&gt;=3),"PROMISING",AND(F195&gt;=3,G195&gt;=3,H195&gt;=3),"NEED ATTENTION",AND(F195&lt;=4,G195&gt;=6,H195&gt;=6),"AT RISK",AND(F195&lt;=2,G195&gt;=8,H195&gt;=8),"CAN'T LOSE THEM",AND(F195&lt;=2,G195&lt;=2,H195&lt;=2),"HIBERNATING",TRUE(),"Other")</f>
        <v>Other</v>
      </c>
      <c r="K195" s="1" t="n">
        <f aca="false">RANK(E195,$E$7:$E$4378)+COUNTIF($E$7:E195,E195)-1</f>
        <v>2770</v>
      </c>
    </row>
    <row r="196" customFormat="false" ht="14.25" hidden="false" customHeight="true" outlineLevel="0" collapsed="false">
      <c r="A196" s="51" t="n">
        <v>12581</v>
      </c>
      <c r="B196" s="53" t="n">
        <v>40847.3722222222</v>
      </c>
      <c r="C196" s="57" t="n">
        <f aca="false">INT($C$2)-INT(Table3[[#This Row],[Last Purchase Date]])</f>
        <v>40</v>
      </c>
      <c r="D196" s="1" t="n">
        <v>1</v>
      </c>
      <c r="E196" s="1" t="n">
        <v>197.71</v>
      </c>
      <c r="F196" s="1" t="n">
        <f aca="false">ROUND((1-_xlfn.PERCENTRANK.INC($C$7:$C$4378,C196))*9,0)</f>
        <v>5</v>
      </c>
      <c r="G196" s="1" t="n">
        <f aca="false">ROUND(_xlfn.PERCENTRANK.INC($D$7:$D$4378,D196)*9,0)</f>
        <v>0</v>
      </c>
      <c r="H196" s="1" t="n">
        <f aca="false">ROUND(_xlfn.PERCENTRANK.INC($E$7:$E$4378,E196)*9,0)</f>
        <v>1</v>
      </c>
      <c r="I196" s="1" t="str">
        <f aca="false">CONCATENATE(F196,G196,H196)</f>
        <v>501</v>
      </c>
      <c r="J196" s="1" t="str">
        <f aca="false">_xlfn.IFS(AND(F196&gt;=8,G196&gt;=8,H196&gt;=8),"CHAMPION",AND(F196&gt;=6,G196&gt;=7,H196&gt;=6),"LOYAL CUSTOMER",AND(F196&gt;=6,G196&gt;=5,H196&gt;=5),"POTENTIAL LOYALIST",AND(F196&gt;=8,G196&lt;=2,H196&gt;=5),"NEW CUSTOMERS",AND(F196&gt;=6,G196&lt;=2,H196&gt;=3),"PROMISING",AND(F196&gt;=3,G196&gt;=3,H196&gt;=3),"NEED ATTENTION",AND(F196&lt;=4,G196&gt;=6,H196&gt;=6),"AT RISK",AND(F196&lt;=2,G196&gt;=8,H196&gt;=8),"CAN'T LOSE THEM",AND(F196&lt;=2,G196&lt;=2,H196&lt;=2),"HIBERNATING",TRUE(),"Other")</f>
        <v>Other</v>
      </c>
      <c r="K196" s="1" t="n">
        <f aca="false">RANK(E196,$E$7:$E$4378)+COUNTIF($E$7:E196,E196)-1</f>
        <v>3669</v>
      </c>
    </row>
    <row r="197" customFormat="false" ht="14.25" hidden="false" customHeight="true" outlineLevel="0" collapsed="false">
      <c r="A197" s="51" t="n">
        <v>12582</v>
      </c>
      <c r="B197" s="53" t="n">
        <v>40648.3645833333</v>
      </c>
      <c r="C197" s="57" t="n">
        <f aca="false">INT($C$2)-INT(Table3[[#This Row],[Last Purchase Date]])</f>
        <v>239</v>
      </c>
      <c r="D197" s="1" t="n">
        <v>2</v>
      </c>
      <c r="E197" s="1" t="n">
        <v>511.36</v>
      </c>
      <c r="F197" s="1" t="n">
        <f aca="false">ROUND((1-_xlfn.PERCENTRANK.INC($C$7:$C$4378,C197))*9,0)</f>
        <v>1</v>
      </c>
      <c r="G197" s="1" t="n">
        <f aca="false">ROUND(_xlfn.PERCENTRANK.INC($D$7:$D$4378,D197)*9,0)</f>
        <v>3</v>
      </c>
      <c r="H197" s="1" t="n">
        <f aca="false">ROUND(_xlfn.PERCENTRANK.INC($E$7:$E$4378,E197)*9,0)</f>
        <v>4</v>
      </c>
      <c r="I197" s="1" t="str">
        <f aca="false">CONCATENATE(F197,G197,H197)</f>
        <v>134</v>
      </c>
      <c r="J197" s="1" t="str">
        <f aca="false">_xlfn.IFS(AND(F197&gt;=8,G197&gt;=8,H197&gt;=8),"CHAMPION",AND(F197&gt;=6,G197&gt;=7,H197&gt;=6),"LOYAL CUSTOMER",AND(F197&gt;=6,G197&gt;=5,H197&gt;=5),"POTENTIAL LOYALIST",AND(F197&gt;=8,G197&lt;=2,H197&gt;=5),"NEW CUSTOMERS",AND(F197&gt;=6,G197&lt;=2,H197&gt;=3),"PROMISING",AND(F197&gt;=3,G197&gt;=3,H197&gt;=3),"NEED ATTENTION",AND(F197&lt;=4,G197&gt;=6,H197&gt;=6),"AT RISK",AND(F197&lt;=2,G197&gt;=8,H197&gt;=8),"CAN'T LOSE THEM",AND(F197&lt;=2,G197&lt;=2,H197&lt;=2),"HIBERNATING",TRUE(),"Other")</f>
        <v>Other</v>
      </c>
      <c r="K197" s="1" t="n">
        <f aca="false">RANK(E197,$E$7:$E$4378)+COUNTIF($E$7:E197,E197)-1</f>
        <v>2512</v>
      </c>
    </row>
    <row r="198" customFormat="false" ht="14.25" hidden="false" customHeight="true" outlineLevel="0" collapsed="false">
      <c r="A198" s="51" t="n">
        <v>12583</v>
      </c>
      <c r="B198" s="53" t="n">
        <v>40884.3381944444</v>
      </c>
      <c r="C198" s="57" t="n">
        <f aca="false">INT($C$2)-INT(Table3[[#This Row],[Last Purchase Date]])</f>
        <v>3</v>
      </c>
      <c r="D198" s="1" t="n">
        <v>18</v>
      </c>
      <c r="E198" s="1" t="n">
        <v>7187.33999999999</v>
      </c>
      <c r="F198" s="1" t="n">
        <f aca="false">ROUND((1-_xlfn.PERCENTRANK.INC($C$7:$C$4378,C198))*9,0)</f>
        <v>9</v>
      </c>
      <c r="G198" s="1" t="n">
        <f aca="false">ROUND(_xlfn.PERCENTRANK.INC($D$7:$D$4378,D198)*9,0)</f>
        <v>9</v>
      </c>
      <c r="H198" s="1" t="n">
        <f aca="false">ROUND(_xlfn.PERCENTRANK.INC($E$7:$E$4378,E198)*9,0)</f>
        <v>9</v>
      </c>
      <c r="I198" s="1" t="str">
        <f aca="false">CONCATENATE(F198,G198,H198)</f>
        <v>999</v>
      </c>
      <c r="J198" s="1" t="str">
        <f aca="false">_xlfn.IFS(AND(F198&gt;=8,G198&gt;=8,H198&gt;=8),"CHAMPION",AND(F198&gt;=6,G198&gt;=7,H198&gt;=6),"LOYAL CUSTOMER",AND(F198&gt;=6,G198&gt;=5,H198&gt;=5),"POTENTIAL LOYALIST",AND(F198&gt;=8,G198&lt;=2,H198&gt;=5),"NEW CUSTOMERS",AND(F198&gt;=6,G198&lt;=2,H198&gt;=3),"PROMISING",AND(F198&gt;=3,G198&gt;=3,H198&gt;=3),"NEED ATTENTION",AND(F198&lt;=4,G198&gt;=6,H198&gt;=6),"AT RISK",AND(F198&lt;=2,G198&gt;=8,H198&gt;=8),"CAN'T LOSE THEM",AND(F198&lt;=2,G198&lt;=2,H198&lt;=2),"HIBERNATING",TRUE(),"Other")</f>
        <v>CHAMPION</v>
      </c>
      <c r="K198" s="1" t="n">
        <f aca="false">RANK(E198,$E$7:$E$4378)+COUNTIF($E$7:E198,E198)-1</f>
        <v>146</v>
      </c>
    </row>
    <row r="199" customFormat="false" ht="14.25" hidden="false" customHeight="true" outlineLevel="0" collapsed="false">
      <c r="A199" s="51" t="n">
        <v>12584</v>
      </c>
      <c r="B199" s="53" t="n">
        <v>40883.3993055556</v>
      </c>
      <c r="C199" s="57" t="n">
        <f aca="false">INT($C$2)-INT(Table3[[#This Row],[Last Purchase Date]])</f>
        <v>4</v>
      </c>
      <c r="D199" s="1" t="n">
        <v>18</v>
      </c>
      <c r="E199" s="1" t="n">
        <v>1893.95</v>
      </c>
      <c r="F199" s="1" t="n">
        <f aca="false">ROUND((1-_xlfn.PERCENTRANK.INC($C$7:$C$4378,C199))*9,0)</f>
        <v>8</v>
      </c>
      <c r="G199" s="1" t="n">
        <f aca="false">ROUND(_xlfn.PERCENTRANK.INC($D$7:$D$4378,D199)*9,0)</f>
        <v>9</v>
      </c>
      <c r="H199" s="1" t="n">
        <f aca="false">ROUND(_xlfn.PERCENTRANK.INC($E$7:$E$4378,E199)*9,0)</f>
        <v>7</v>
      </c>
      <c r="I199" s="1" t="str">
        <f aca="false">CONCATENATE(F199,G199,H199)</f>
        <v>897</v>
      </c>
      <c r="J199" s="1" t="str">
        <f aca="false">_xlfn.IFS(AND(F199&gt;=8,G199&gt;=8,H199&gt;=8),"CHAMPION",AND(F199&gt;=6,G199&gt;=7,H199&gt;=6),"LOYAL CUSTOMER",AND(F199&gt;=6,G199&gt;=5,H199&gt;=5),"POTENTIAL LOYALIST",AND(F199&gt;=8,G199&lt;=2,H199&gt;=5),"NEW CUSTOMERS",AND(F199&gt;=6,G199&lt;=2,H199&gt;=3),"PROMISING",AND(F199&gt;=3,G199&gt;=3,H199&gt;=3),"NEED ATTENTION",AND(F199&lt;=4,G199&gt;=6,H199&gt;=6),"AT RISK",AND(F199&lt;=2,G199&gt;=8,H199&gt;=8),"CAN'T LOSE THEM",AND(F199&lt;=2,G199&lt;=2,H199&lt;=2),"HIBERNATING",TRUE(),"Other")</f>
        <v>LOYAL CUSTOMER</v>
      </c>
      <c r="K199" s="1" t="n">
        <f aca="false">RANK(E199,$E$7:$E$4378)+COUNTIF($E$7:E199,E199)-1</f>
        <v>923</v>
      </c>
    </row>
    <row r="200" customFormat="false" ht="14.25" hidden="false" customHeight="true" outlineLevel="0" collapsed="false">
      <c r="A200" s="51" t="n">
        <v>12585</v>
      </c>
      <c r="B200" s="53" t="n">
        <v>40652.56875</v>
      </c>
      <c r="C200" s="57" t="n">
        <f aca="false">INT($C$2)-INT(Table3[[#This Row],[Last Purchase Date]])</f>
        <v>235</v>
      </c>
      <c r="D200" s="1" t="n">
        <v>4</v>
      </c>
      <c r="E200" s="1" t="n">
        <v>1982.81</v>
      </c>
      <c r="F200" s="1" t="n">
        <f aca="false">ROUND((1-_xlfn.PERCENTRANK.INC($C$7:$C$4378,C200))*9,0)</f>
        <v>1</v>
      </c>
      <c r="G200" s="1" t="n">
        <f aca="false">ROUND(_xlfn.PERCENTRANK.INC($D$7:$D$4378,D200)*9,0)</f>
        <v>5</v>
      </c>
      <c r="H200" s="1" t="n">
        <f aca="false">ROUND(_xlfn.PERCENTRANK.INC($E$7:$E$4378,E200)*9,0)</f>
        <v>7</v>
      </c>
      <c r="I200" s="1" t="str">
        <f aca="false">CONCATENATE(F200,G200,H200)</f>
        <v>157</v>
      </c>
      <c r="J200" s="1" t="str">
        <f aca="false">_xlfn.IFS(AND(F200&gt;=8,G200&gt;=8,H200&gt;=8),"CHAMPION",AND(F200&gt;=6,G200&gt;=7,H200&gt;=6),"LOYAL CUSTOMER",AND(F200&gt;=6,G200&gt;=5,H200&gt;=5),"POTENTIAL LOYALIST",AND(F200&gt;=8,G200&lt;=2,H200&gt;=5),"NEW CUSTOMERS",AND(F200&gt;=6,G200&lt;=2,H200&gt;=3),"PROMISING",AND(F200&gt;=3,G200&gt;=3,H200&gt;=3),"NEED ATTENTION",AND(F200&lt;=4,G200&gt;=6,H200&gt;=6),"AT RISK",AND(F200&lt;=2,G200&gt;=8,H200&gt;=8),"CAN'T LOSE THEM",AND(F200&lt;=2,G200&lt;=2,H200&lt;=2),"HIBERNATING",TRUE(),"Other")</f>
        <v>Other</v>
      </c>
      <c r="K200" s="1" t="n">
        <f aca="false">RANK(E200,$E$7:$E$4378)+COUNTIF($E$7:E200,E200)-1</f>
        <v>887</v>
      </c>
    </row>
    <row r="201" customFormat="false" ht="14.25" hidden="false" customHeight="true" outlineLevel="0" collapsed="false">
      <c r="A201" s="51" t="n">
        <v>12586</v>
      </c>
      <c r="B201" s="53" t="n">
        <v>40869.6833333333</v>
      </c>
      <c r="C201" s="57" t="n">
        <f aca="false">INT($C$2)-INT(Table3[[#This Row],[Last Purchase Date]])</f>
        <v>18</v>
      </c>
      <c r="D201" s="1" t="n">
        <v>2</v>
      </c>
      <c r="E201" s="1" t="n">
        <v>179.94</v>
      </c>
      <c r="F201" s="1" t="n">
        <f aca="false">ROUND((1-_xlfn.PERCENTRANK.INC($C$7:$C$4378,C201))*9,0)</f>
        <v>7</v>
      </c>
      <c r="G201" s="1" t="n">
        <f aca="false">ROUND(_xlfn.PERCENTRANK.INC($D$7:$D$4378,D201)*9,0)</f>
        <v>3</v>
      </c>
      <c r="H201" s="1" t="n">
        <f aca="false">ROUND(_xlfn.PERCENTRANK.INC($E$7:$E$4378,E201)*9,0)</f>
        <v>1</v>
      </c>
      <c r="I201" s="1" t="str">
        <f aca="false">CONCATENATE(F201,G201,H201)</f>
        <v>731</v>
      </c>
      <c r="J201" s="1" t="str">
        <f aca="false">_xlfn.IFS(AND(F201&gt;=8,G201&gt;=8,H201&gt;=8),"CHAMPION",AND(F201&gt;=6,G201&gt;=7,H201&gt;=6),"LOYAL CUSTOMER",AND(F201&gt;=6,G201&gt;=5,H201&gt;=5),"POTENTIAL LOYALIST",AND(F201&gt;=8,G201&lt;=2,H201&gt;=5),"NEW CUSTOMERS",AND(F201&gt;=6,G201&lt;=2,H201&gt;=3),"PROMISING",AND(F201&gt;=3,G201&gt;=3,H201&gt;=3),"NEED ATTENTION",AND(F201&lt;=4,G201&gt;=6,H201&gt;=6),"AT RISK",AND(F201&lt;=2,G201&gt;=8,H201&gt;=8),"CAN'T LOSE THEM",AND(F201&lt;=2,G201&lt;=2,H201&lt;=2),"HIBERNATING",TRUE(),"Other")</f>
        <v>Other</v>
      </c>
      <c r="K201" s="1" t="n">
        <f aca="false">RANK(E201,$E$7:$E$4378)+COUNTIF($E$7:E201,E201)-1</f>
        <v>3752</v>
      </c>
    </row>
    <row r="202" customFormat="false" ht="14.25" hidden="false" customHeight="true" outlineLevel="0" collapsed="false">
      <c r="A202" s="51" t="n">
        <v>12587</v>
      </c>
      <c r="B202" s="53" t="n">
        <v>40879.5326388889</v>
      </c>
      <c r="C202" s="57" t="n">
        <f aca="false">INT($C$2)-INT(Table3[[#This Row],[Last Purchase Date]])</f>
        <v>8</v>
      </c>
      <c r="D202" s="1" t="n">
        <v>1</v>
      </c>
      <c r="E202" s="1" t="n">
        <v>144</v>
      </c>
      <c r="F202" s="1" t="n">
        <f aca="false">ROUND((1-_xlfn.PERCENTRANK.INC($C$7:$C$4378,C202))*9,0)</f>
        <v>8</v>
      </c>
      <c r="G202" s="1" t="n">
        <f aca="false">ROUND(_xlfn.PERCENTRANK.INC($D$7:$D$4378,D202)*9,0)</f>
        <v>0</v>
      </c>
      <c r="H202" s="1" t="n">
        <f aca="false">ROUND(_xlfn.PERCENTRANK.INC($E$7:$E$4378,E202)*9,0)</f>
        <v>1</v>
      </c>
      <c r="I202" s="1" t="str">
        <f aca="false">CONCATENATE(F202,G202,H202)</f>
        <v>801</v>
      </c>
      <c r="J202" s="1" t="str">
        <f aca="false">_xlfn.IFS(AND(F202&gt;=8,G202&gt;=8,H202&gt;=8),"CHAMPION",AND(F202&gt;=6,G202&gt;=7,H202&gt;=6),"LOYAL CUSTOMER",AND(F202&gt;=6,G202&gt;=5,H202&gt;=5),"POTENTIAL LOYALIST",AND(F202&gt;=8,G202&lt;=2,H202&gt;=5),"NEW CUSTOMERS",AND(F202&gt;=6,G202&lt;=2,H202&gt;=3),"PROMISING",AND(F202&gt;=3,G202&gt;=3,H202&gt;=3),"NEED ATTENTION",AND(F202&lt;=4,G202&gt;=6,H202&gt;=6),"AT RISK",AND(F202&lt;=2,G202&gt;=8,H202&gt;=8),"CAN'T LOSE THEM",AND(F202&lt;=2,G202&lt;=2,H202&lt;=2),"HIBERNATING",TRUE(),"Other")</f>
        <v>Other</v>
      </c>
      <c r="K202" s="1" t="n">
        <f aca="false">RANK(E202,$E$7:$E$4378)+COUNTIF($E$7:E202,E202)-1</f>
        <v>3942</v>
      </c>
    </row>
    <row r="203" customFormat="false" ht="14.25" hidden="false" customHeight="true" outlineLevel="0" collapsed="false">
      <c r="A203" s="51" t="n">
        <v>12588</v>
      </c>
      <c r="B203" s="53" t="n">
        <v>40847.6256944445</v>
      </c>
      <c r="C203" s="57" t="n">
        <f aca="false">INT($C$2)-INT(Table3[[#This Row],[Last Purchase Date]])</f>
        <v>40</v>
      </c>
      <c r="D203" s="1" t="n">
        <v>1</v>
      </c>
      <c r="E203" s="1" t="n">
        <v>214.9</v>
      </c>
      <c r="F203" s="1" t="n">
        <f aca="false">ROUND((1-_xlfn.PERCENTRANK.INC($C$7:$C$4378,C203))*9,0)</f>
        <v>5</v>
      </c>
      <c r="G203" s="1" t="n">
        <f aca="false">ROUND(_xlfn.PERCENTRANK.INC($D$7:$D$4378,D203)*9,0)</f>
        <v>0</v>
      </c>
      <c r="H203" s="1" t="n">
        <f aca="false">ROUND(_xlfn.PERCENTRANK.INC($E$7:$E$4378,E203)*9,0)</f>
        <v>2</v>
      </c>
      <c r="I203" s="1" t="str">
        <f aca="false">CONCATENATE(F203,G203,H203)</f>
        <v>502</v>
      </c>
      <c r="J203" s="1" t="str">
        <f aca="false">_xlfn.IFS(AND(F203&gt;=8,G203&gt;=8,H203&gt;=8),"CHAMPION",AND(F203&gt;=6,G203&gt;=7,H203&gt;=6),"LOYAL CUSTOMER",AND(F203&gt;=6,G203&gt;=5,H203&gt;=5),"POTENTIAL LOYALIST",AND(F203&gt;=8,G203&lt;=2,H203&gt;=5),"NEW CUSTOMERS",AND(F203&gt;=6,G203&lt;=2,H203&gt;=3),"PROMISING",AND(F203&gt;=3,G203&gt;=3,H203&gt;=3),"NEED ATTENTION",AND(F203&lt;=4,G203&gt;=6,H203&gt;=6),"AT RISK",AND(F203&lt;=2,G203&gt;=8,H203&gt;=8),"CAN'T LOSE THEM",AND(F203&lt;=2,G203&lt;=2,H203&lt;=2),"HIBERNATING",TRUE(),"Other")</f>
        <v>Other</v>
      </c>
      <c r="K203" s="1" t="n">
        <f aca="false">RANK(E203,$E$7:$E$4378)+COUNTIF($E$7:E203,E203)-1</f>
        <v>3589</v>
      </c>
    </row>
    <row r="204" customFormat="false" ht="14.25" hidden="false" customHeight="true" outlineLevel="0" collapsed="false">
      <c r="A204" s="51" t="n">
        <v>12589</v>
      </c>
      <c r="B204" s="53" t="n">
        <v>40858.4298611111</v>
      </c>
      <c r="C204" s="57" t="n">
        <f aca="false">INT($C$2)-INT(Table3[[#This Row],[Last Purchase Date]])</f>
        <v>29</v>
      </c>
      <c r="D204" s="1" t="n">
        <v>2</v>
      </c>
      <c r="E204" s="1" t="n">
        <v>646.68</v>
      </c>
      <c r="F204" s="1" t="n">
        <f aca="false">ROUND((1-_xlfn.PERCENTRANK.INC($C$7:$C$4378,C204))*9,0)</f>
        <v>6</v>
      </c>
      <c r="G204" s="1" t="n">
        <f aca="false">ROUND(_xlfn.PERCENTRANK.INC($D$7:$D$4378,D204)*9,0)</f>
        <v>3</v>
      </c>
      <c r="H204" s="1" t="n">
        <f aca="false">ROUND(_xlfn.PERCENTRANK.INC($E$7:$E$4378,E204)*9,0)</f>
        <v>4</v>
      </c>
      <c r="I204" s="1" t="str">
        <f aca="false">CONCATENATE(F204,G204,H204)</f>
        <v>634</v>
      </c>
      <c r="J204" s="1" t="str">
        <f aca="false">_xlfn.IFS(AND(F204&gt;=8,G204&gt;=8,H204&gt;=8),"CHAMPION",AND(F204&gt;=6,G204&gt;=7,H204&gt;=6),"LOYAL CUSTOMER",AND(F204&gt;=6,G204&gt;=5,H204&gt;=5),"POTENTIAL LOYALIST",AND(F204&gt;=8,G204&lt;=2,H204&gt;=5),"NEW CUSTOMERS",AND(F204&gt;=6,G204&lt;=2,H204&gt;=3),"PROMISING",AND(F204&gt;=3,G204&gt;=3,H204&gt;=3),"NEED ATTENTION",AND(F204&lt;=4,G204&gt;=6,H204&gt;=6),"AT RISK",AND(F204&lt;=2,G204&gt;=8,H204&gt;=8),"CAN'T LOSE THEM",AND(F204&lt;=2,G204&lt;=2,H204&lt;=2),"HIBERNATING",TRUE(),"Other")</f>
        <v>NEED ATTENTION</v>
      </c>
      <c r="K204" s="1" t="n">
        <f aca="false">RANK(E204,$E$7:$E$4378)+COUNTIF($E$7:E204,E204)-1</f>
        <v>2190</v>
      </c>
    </row>
    <row r="205" customFormat="false" ht="14.25" hidden="false" customHeight="true" outlineLevel="0" collapsed="false">
      <c r="A205" s="51" t="n">
        <v>12590</v>
      </c>
      <c r="B205" s="53" t="n">
        <v>40696.6006944445</v>
      </c>
      <c r="C205" s="57" t="n">
        <f aca="false">INT($C$2)-INT(Table3[[#This Row],[Last Purchase Date]])</f>
        <v>191</v>
      </c>
      <c r="D205" s="1" t="n">
        <v>3</v>
      </c>
      <c r="E205" s="1" t="n">
        <v>9861.38</v>
      </c>
      <c r="F205" s="1" t="n">
        <f aca="false">ROUND((1-_xlfn.PERCENTRANK.INC($C$7:$C$4378,C205))*9,0)</f>
        <v>2</v>
      </c>
      <c r="G205" s="1" t="n">
        <f aca="false">ROUND(_xlfn.PERCENTRANK.INC($D$7:$D$4378,D205)*9,0)</f>
        <v>4</v>
      </c>
      <c r="H205" s="1" t="n">
        <f aca="false">ROUND(_xlfn.PERCENTRANK.INC($E$7:$E$4378,E205)*9,0)</f>
        <v>9</v>
      </c>
      <c r="I205" s="1" t="str">
        <f aca="false">CONCATENATE(F205,G205,H205)</f>
        <v>249</v>
      </c>
      <c r="J205" s="1" t="str">
        <f aca="false">_xlfn.IFS(AND(F205&gt;=8,G205&gt;=8,H205&gt;=8),"CHAMPION",AND(F205&gt;=6,G205&gt;=7,H205&gt;=6),"LOYAL CUSTOMER",AND(F205&gt;=6,G205&gt;=5,H205&gt;=5),"POTENTIAL LOYALIST",AND(F205&gt;=8,G205&lt;=2,H205&gt;=5),"NEW CUSTOMERS",AND(F205&gt;=6,G205&lt;=2,H205&gt;=3),"PROMISING",AND(F205&gt;=3,G205&gt;=3,H205&gt;=3),"NEED ATTENTION",AND(F205&lt;=4,G205&gt;=6,H205&gt;=6),"AT RISK",AND(F205&lt;=2,G205&gt;=8,H205&gt;=8),"CAN'T LOSE THEM",AND(F205&lt;=2,G205&lt;=2,H205&lt;=2),"HIBERNATING",TRUE(),"Other")</f>
        <v>Other</v>
      </c>
      <c r="K205" s="1" t="n">
        <f aca="false">RANK(E205,$E$7:$E$4378)+COUNTIF($E$7:E205,E205)-1</f>
        <v>98</v>
      </c>
    </row>
    <row r="206" customFormat="false" ht="14.25" hidden="false" customHeight="true" outlineLevel="0" collapsed="false">
      <c r="A206" s="51" t="n">
        <v>12591</v>
      </c>
      <c r="B206" s="53" t="n">
        <v>40569.6076388889</v>
      </c>
      <c r="C206" s="57" t="n">
        <f aca="false">INT($C$2)-INT(Table3[[#This Row],[Last Purchase Date]])</f>
        <v>318</v>
      </c>
      <c r="D206" s="1" t="n">
        <v>1</v>
      </c>
      <c r="E206" s="1" t="n">
        <v>452.85</v>
      </c>
      <c r="F206" s="1" t="n">
        <f aca="false">ROUND((1-_xlfn.PERCENTRANK.INC($C$7:$C$4378,C206))*9,0)</f>
        <v>0</v>
      </c>
      <c r="G206" s="1" t="n">
        <f aca="false">ROUND(_xlfn.PERCENTRANK.INC($D$7:$D$4378,D206)*9,0)</f>
        <v>0</v>
      </c>
      <c r="H206" s="1" t="n">
        <f aca="false">ROUND(_xlfn.PERCENTRANK.INC($E$7:$E$4378,E206)*9,0)</f>
        <v>4</v>
      </c>
      <c r="I206" s="1" t="str">
        <f aca="false">CONCATENATE(F206,G206,H206)</f>
        <v>004</v>
      </c>
      <c r="J206" s="1" t="str">
        <f aca="false">_xlfn.IFS(AND(F206&gt;=8,G206&gt;=8,H206&gt;=8),"CHAMPION",AND(F206&gt;=6,G206&gt;=7,H206&gt;=6),"LOYAL CUSTOMER",AND(F206&gt;=6,G206&gt;=5,H206&gt;=5),"POTENTIAL LOYALIST",AND(F206&gt;=8,G206&lt;=2,H206&gt;=5),"NEW CUSTOMERS",AND(F206&gt;=6,G206&lt;=2,H206&gt;=3),"PROMISING",AND(F206&gt;=3,G206&gt;=3,H206&gt;=3),"NEED ATTENTION",AND(F206&lt;=4,G206&gt;=6,H206&gt;=6),"AT RISK",AND(F206&lt;=2,G206&gt;=8,H206&gt;=8),"CAN'T LOSE THEM",AND(F206&lt;=2,G206&lt;=2,H206&lt;=2),"HIBERNATING",TRUE(),"Other")</f>
        <v>Other</v>
      </c>
      <c r="K206" s="1" t="n">
        <f aca="false">RANK(E206,$E$7:$E$4378)+COUNTIF($E$7:E206,E206)-1</f>
        <v>2667</v>
      </c>
    </row>
    <row r="207" customFormat="false" ht="14.25" hidden="false" customHeight="true" outlineLevel="0" collapsed="false">
      <c r="A207" s="51" t="n">
        <v>12592</v>
      </c>
      <c r="B207" s="53" t="n">
        <v>40794.6277777778</v>
      </c>
      <c r="C207" s="57" t="n">
        <f aca="false">INT($C$2)-INT(Table3[[#This Row],[Last Purchase Date]])</f>
        <v>93</v>
      </c>
      <c r="D207" s="1" t="n">
        <v>2</v>
      </c>
      <c r="E207" s="1" t="n">
        <v>437.6</v>
      </c>
      <c r="F207" s="1" t="n">
        <f aca="false">ROUND((1-_xlfn.PERCENTRANK.INC($C$7:$C$4378,C207))*9,0)</f>
        <v>3</v>
      </c>
      <c r="G207" s="1" t="n">
        <f aca="false">ROUND(_xlfn.PERCENTRANK.INC($D$7:$D$4378,D207)*9,0)</f>
        <v>3</v>
      </c>
      <c r="H207" s="1" t="n">
        <f aca="false">ROUND(_xlfn.PERCENTRANK.INC($E$7:$E$4378,E207)*9,0)</f>
        <v>3</v>
      </c>
      <c r="I207" s="1" t="str">
        <f aca="false">CONCATENATE(F207,G207,H207)</f>
        <v>333</v>
      </c>
      <c r="J207" s="1" t="str">
        <f aca="false">_xlfn.IFS(AND(F207&gt;=8,G207&gt;=8,H207&gt;=8),"CHAMPION",AND(F207&gt;=6,G207&gt;=7,H207&gt;=6),"LOYAL CUSTOMER",AND(F207&gt;=6,G207&gt;=5,H207&gt;=5),"POTENTIAL LOYALIST",AND(F207&gt;=8,G207&lt;=2,H207&gt;=5),"NEW CUSTOMERS",AND(F207&gt;=6,G207&lt;=2,H207&gt;=3),"PROMISING",AND(F207&gt;=3,G207&gt;=3,H207&gt;=3),"NEED ATTENTION",AND(F207&lt;=4,G207&gt;=6,H207&gt;=6),"AT RISK",AND(F207&lt;=2,G207&gt;=8,H207&gt;=8),"CAN'T LOSE THEM",AND(F207&lt;=2,G207&lt;=2,H207&lt;=2),"HIBERNATING",TRUE(),"Other")</f>
        <v>NEED ATTENTION</v>
      </c>
      <c r="K207" s="1" t="n">
        <f aca="false">RANK(E207,$E$7:$E$4378)+COUNTIF($E$7:E207,E207)-1</f>
        <v>2705</v>
      </c>
    </row>
    <row r="208" customFormat="false" ht="14.25" hidden="false" customHeight="true" outlineLevel="0" collapsed="false">
      <c r="A208" s="51" t="n">
        <v>12593</v>
      </c>
      <c r="B208" s="53" t="n">
        <v>40778.5298611111</v>
      </c>
      <c r="C208" s="57" t="n">
        <f aca="false">INT($C$2)-INT(Table3[[#This Row],[Last Purchase Date]])</f>
        <v>109</v>
      </c>
      <c r="D208" s="1" t="n">
        <v>3</v>
      </c>
      <c r="E208" s="1" t="n">
        <v>418.1</v>
      </c>
      <c r="F208" s="1" t="n">
        <f aca="false">ROUND((1-_xlfn.PERCENTRANK.INC($C$7:$C$4378,C208))*9,0)</f>
        <v>3</v>
      </c>
      <c r="G208" s="1" t="n">
        <f aca="false">ROUND(_xlfn.PERCENTRANK.INC($D$7:$D$4378,D208)*9,0)</f>
        <v>4</v>
      </c>
      <c r="H208" s="1" t="n">
        <f aca="false">ROUND(_xlfn.PERCENTRANK.INC($E$7:$E$4378,E208)*9,0)</f>
        <v>3</v>
      </c>
      <c r="I208" s="1" t="str">
        <f aca="false">CONCATENATE(F208,G208,H208)</f>
        <v>343</v>
      </c>
      <c r="J208" s="1" t="str">
        <f aca="false">_xlfn.IFS(AND(F208&gt;=8,G208&gt;=8,H208&gt;=8),"CHAMPION",AND(F208&gt;=6,G208&gt;=7,H208&gt;=6),"LOYAL CUSTOMER",AND(F208&gt;=6,G208&gt;=5,H208&gt;=5),"POTENTIAL LOYALIST",AND(F208&gt;=8,G208&lt;=2,H208&gt;=5),"NEW CUSTOMERS",AND(F208&gt;=6,G208&lt;=2,H208&gt;=3),"PROMISING",AND(F208&gt;=3,G208&gt;=3,H208&gt;=3),"NEED ATTENTION",AND(F208&lt;=4,G208&gt;=6,H208&gt;=6),"AT RISK",AND(F208&lt;=2,G208&gt;=8,H208&gt;=8),"CAN'T LOSE THEM",AND(F208&lt;=2,G208&lt;=2,H208&lt;=2),"HIBERNATING",TRUE(),"Other")</f>
        <v>NEED ATTENTION</v>
      </c>
      <c r="K208" s="1" t="n">
        <f aca="false">RANK(E208,$E$7:$E$4378)+COUNTIF($E$7:E208,E208)-1</f>
        <v>2755</v>
      </c>
    </row>
    <row r="209" customFormat="false" ht="14.25" hidden="false" customHeight="true" outlineLevel="0" collapsed="false">
      <c r="A209" s="51" t="n">
        <v>12594</v>
      </c>
      <c r="B209" s="53" t="n">
        <v>40849.5138888889</v>
      </c>
      <c r="C209" s="57" t="n">
        <f aca="false">INT($C$2)-INT(Table3[[#This Row],[Last Purchase Date]])</f>
        <v>38</v>
      </c>
      <c r="D209" s="1" t="n">
        <v>11</v>
      </c>
      <c r="E209" s="1" t="n">
        <v>3320.22</v>
      </c>
      <c r="F209" s="1" t="n">
        <f aca="false">ROUND((1-_xlfn.PERCENTRANK.INC($C$7:$C$4378,C209))*9,0)</f>
        <v>5</v>
      </c>
      <c r="G209" s="1" t="n">
        <f aca="false">ROUND(_xlfn.PERCENTRANK.INC($D$7:$D$4378,D209)*9,0)</f>
        <v>8</v>
      </c>
      <c r="H209" s="1" t="n">
        <f aca="false">ROUND(_xlfn.PERCENTRANK.INC($E$7:$E$4378,E209)*9,0)</f>
        <v>8</v>
      </c>
      <c r="I209" s="1" t="str">
        <f aca="false">CONCATENATE(F209,G209,H209)</f>
        <v>588</v>
      </c>
      <c r="J209" s="1" t="str">
        <f aca="false">_xlfn.IFS(AND(F209&gt;=8,G209&gt;=8,H209&gt;=8),"CHAMPION",AND(F209&gt;=6,G209&gt;=7,H209&gt;=6),"LOYAL CUSTOMER",AND(F209&gt;=6,G209&gt;=5,H209&gt;=5),"POTENTIAL LOYALIST",AND(F209&gt;=8,G209&lt;=2,H209&gt;=5),"NEW CUSTOMERS",AND(F209&gt;=6,G209&lt;=2,H209&gt;=3),"PROMISING",AND(F209&gt;=3,G209&gt;=3,H209&gt;=3),"NEED ATTENTION",AND(F209&lt;=4,G209&gt;=6,H209&gt;=6),"AT RISK",AND(F209&lt;=2,G209&gt;=8,H209&gt;=8),"CAN'T LOSE THEM",AND(F209&lt;=2,G209&lt;=2,H209&lt;=2),"HIBERNATING",TRUE(),"Other")</f>
        <v>NEED ATTENTION</v>
      </c>
      <c r="K209" s="1" t="n">
        <f aca="false">RANK(E209,$E$7:$E$4378)+COUNTIF($E$7:E209,E209)-1</f>
        <v>472</v>
      </c>
    </row>
    <row r="210" customFormat="false" ht="14.25" hidden="false" customHeight="true" outlineLevel="0" collapsed="false">
      <c r="A210" s="51" t="n">
        <v>12596</v>
      </c>
      <c r="B210" s="53" t="n">
        <v>40835.5430555556</v>
      </c>
      <c r="C210" s="57" t="n">
        <f aca="false">INT($C$2)-INT(Table3[[#This Row],[Last Purchase Date]])</f>
        <v>52</v>
      </c>
      <c r="D210" s="1" t="n">
        <v>2</v>
      </c>
      <c r="E210" s="1" t="n">
        <v>618.27</v>
      </c>
      <c r="F210" s="1" t="n">
        <f aca="false">ROUND((1-_xlfn.PERCENTRANK.INC($C$7:$C$4378,C210))*9,0)</f>
        <v>4</v>
      </c>
      <c r="G210" s="1" t="n">
        <f aca="false">ROUND(_xlfn.PERCENTRANK.INC($D$7:$D$4378,D210)*9,0)</f>
        <v>3</v>
      </c>
      <c r="H210" s="1" t="n">
        <f aca="false">ROUND(_xlfn.PERCENTRANK.INC($E$7:$E$4378,E210)*9,0)</f>
        <v>4</v>
      </c>
      <c r="I210" s="1" t="str">
        <f aca="false">CONCATENATE(F210,G210,H210)</f>
        <v>434</v>
      </c>
      <c r="J210" s="1" t="str">
        <f aca="false">_xlfn.IFS(AND(F210&gt;=8,G210&gt;=8,H210&gt;=8),"CHAMPION",AND(F210&gt;=6,G210&gt;=7,H210&gt;=6),"LOYAL CUSTOMER",AND(F210&gt;=6,G210&gt;=5,H210&gt;=5),"POTENTIAL LOYALIST",AND(F210&gt;=8,G210&lt;=2,H210&gt;=5),"NEW CUSTOMERS",AND(F210&gt;=6,G210&lt;=2,H210&gt;=3),"PROMISING",AND(F210&gt;=3,G210&gt;=3,H210&gt;=3),"NEED ATTENTION",AND(F210&lt;=4,G210&gt;=6,H210&gt;=6),"AT RISK",AND(F210&lt;=2,G210&gt;=8,H210&gt;=8),"CAN'T LOSE THEM",AND(F210&lt;=2,G210&lt;=2,H210&lt;=2),"HIBERNATING",TRUE(),"Other")</f>
        <v>NEED ATTENTION</v>
      </c>
      <c r="K210" s="1" t="n">
        <f aca="false">RANK(E210,$E$7:$E$4378)+COUNTIF($E$7:E210,E210)-1</f>
        <v>2261</v>
      </c>
    </row>
    <row r="211" customFormat="false" ht="14.25" hidden="false" customHeight="true" outlineLevel="0" collapsed="false">
      <c r="A211" s="51" t="n">
        <v>12597</v>
      </c>
      <c r="B211" s="53" t="n">
        <v>40867.5645833333</v>
      </c>
      <c r="C211" s="57" t="n">
        <f aca="false">INT($C$2)-INT(Table3[[#This Row],[Last Purchase Date]])</f>
        <v>20</v>
      </c>
      <c r="D211" s="1" t="n">
        <v>5</v>
      </c>
      <c r="E211" s="1" t="n">
        <v>3683.13</v>
      </c>
      <c r="F211" s="1" t="n">
        <f aca="false">ROUND((1-_xlfn.PERCENTRANK.INC($C$7:$C$4378,C211))*9,0)</f>
        <v>6</v>
      </c>
      <c r="G211" s="1" t="n">
        <f aca="false">ROUND(_xlfn.PERCENTRANK.INC($D$7:$D$4378,D211)*9,0)</f>
        <v>6</v>
      </c>
      <c r="H211" s="1" t="n">
        <f aca="false">ROUND(_xlfn.PERCENTRANK.INC($E$7:$E$4378,E211)*9,0)</f>
        <v>8</v>
      </c>
      <c r="I211" s="1" t="str">
        <f aca="false">CONCATENATE(F211,G211,H211)</f>
        <v>668</v>
      </c>
      <c r="J211" s="1" t="str">
        <f aca="false">_xlfn.IFS(AND(F211&gt;=8,G211&gt;=8,H211&gt;=8),"CHAMPION",AND(F211&gt;=6,G211&gt;=7,H211&gt;=6),"LOYAL CUSTOMER",AND(F211&gt;=6,G211&gt;=5,H211&gt;=5),"POTENTIAL LOYALIST",AND(F211&gt;=8,G211&lt;=2,H211&gt;=5),"NEW CUSTOMERS",AND(F211&gt;=6,G211&lt;=2,H211&gt;=3),"PROMISING",AND(F211&gt;=3,G211&gt;=3,H211&gt;=3),"NEED ATTENTION",AND(F211&lt;=4,G211&gt;=6,H211&gt;=6),"AT RISK",AND(F211&lt;=2,G211&gt;=8,H211&gt;=8),"CAN'T LOSE THEM",AND(F211&lt;=2,G211&lt;=2,H211&lt;=2),"HIBERNATING",TRUE(),"Other")</f>
        <v>POTENTIAL LOYALIST</v>
      </c>
      <c r="K211" s="1" t="n">
        <f aca="false">RANK(E211,$E$7:$E$4378)+COUNTIF($E$7:E211,E211)-1</f>
        <v>406</v>
      </c>
    </row>
    <row r="212" customFormat="false" ht="14.25" hidden="false" customHeight="true" outlineLevel="0" collapsed="false">
      <c r="A212" s="51" t="n">
        <v>12598</v>
      </c>
      <c r="B212" s="53" t="n">
        <v>40877.5125</v>
      </c>
      <c r="C212" s="57" t="n">
        <f aca="false">INT($C$2)-INT(Table3[[#This Row],[Last Purchase Date]])</f>
        <v>10</v>
      </c>
      <c r="D212" s="1" t="n">
        <v>9</v>
      </c>
      <c r="E212" s="1" t="n">
        <v>3002.68</v>
      </c>
      <c r="F212" s="1" t="n">
        <f aca="false">ROUND((1-_xlfn.PERCENTRANK.INC($C$7:$C$4378,C212))*9,0)</f>
        <v>8</v>
      </c>
      <c r="G212" s="1" t="n">
        <f aca="false">ROUND(_xlfn.PERCENTRANK.INC($D$7:$D$4378,D212)*9,0)</f>
        <v>8</v>
      </c>
      <c r="H212" s="1" t="n">
        <f aca="false">ROUND(_xlfn.PERCENTRANK.INC($E$7:$E$4378,E212)*9,0)</f>
        <v>8</v>
      </c>
      <c r="I212" s="1" t="str">
        <f aca="false">CONCATENATE(F212,G212,H212)</f>
        <v>888</v>
      </c>
      <c r="J212" s="1" t="str">
        <f aca="false">_xlfn.IFS(AND(F212&gt;=8,G212&gt;=8,H212&gt;=8),"CHAMPION",AND(F212&gt;=6,G212&gt;=7,H212&gt;=6),"LOYAL CUSTOMER",AND(F212&gt;=6,G212&gt;=5,H212&gt;=5),"POTENTIAL LOYALIST",AND(F212&gt;=8,G212&lt;=2,H212&gt;=5),"NEW CUSTOMERS",AND(F212&gt;=6,G212&lt;=2,H212&gt;=3),"PROMISING",AND(F212&gt;=3,G212&gt;=3,H212&gt;=3),"NEED ATTENTION",AND(F212&lt;=4,G212&gt;=6,H212&gt;=6),"AT RISK",AND(F212&lt;=2,G212&gt;=8,H212&gt;=8),"CAN'T LOSE THEM",AND(F212&lt;=2,G212&lt;=2,H212&lt;=2),"HIBERNATING",TRUE(),"Other")</f>
        <v>CHAMPION</v>
      </c>
      <c r="K212" s="1" t="n">
        <f aca="false">RANK(E212,$E$7:$E$4378)+COUNTIF($E$7:E212,E212)-1</f>
        <v>538</v>
      </c>
    </row>
    <row r="213" customFormat="false" ht="14.25" hidden="false" customHeight="true" outlineLevel="0" collapsed="false">
      <c r="A213" s="51" t="n">
        <v>12599</v>
      </c>
      <c r="B213" s="53" t="n">
        <v>40857.5652777778</v>
      </c>
      <c r="C213" s="57" t="n">
        <f aca="false">INT($C$2)-INT(Table3[[#This Row],[Last Purchase Date]])</f>
        <v>30</v>
      </c>
      <c r="D213" s="1" t="n">
        <v>7</v>
      </c>
      <c r="E213" s="1" t="n">
        <v>1032.58</v>
      </c>
      <c r="F213" s="1" t="n">
        <f aca="false">ROUND((1-_xlfn.PERCENTRANK.INC($C$7:$C$4378,C213))*9,0)</f>
        <v>6</v>
      </c>
      <c r="G213" s="1" t="n">
        <f aca="false">ROUND(_xlfn.PERCENTRANK.INC($D$7:$D$4378,D213)*9,0)</f>
        <v>7</v>
      </c>
      <c r="H213" s="1" t="n">
        <f aca="false">ROUND(_xlfn.PERCENTRANK.INC($E$7:$E$4378,E213)*9,0)</f>
        <v>6</v>
      </c>
      <c r="I213" s="1" t="str">
        <f aca="false">CONCATENATE(F213,G213,H213)</f>
        <v>676</v>
      </c>
      <c r="J213" s="1" t="str">
        <f aca="false">_xlfn.IFS(AND(F213&gt;=8,G213&gt;=8,H213&gt;=8),"CHAMPION",AND(F213&gt;=6,G213&gt;=7,H213&gt;=6),"LOYAL CUSTOMER",AND(F213&gt;=6,G213&gt;=5,H213&gt;=5),"POTENTIAL LOYALIST",AND(F213&gt;=8,G213&lt;=2,H213&gt;=5),"NEW CUSTOMERS",AND(F213&gt;=6,G213&lt;=2,H213&gt;=3),"PROMISING",AND(F213&gt;=3,G213&gt;=3,H213&gt;=3),"NEED ATTENTION",AND(F213&lt;=4,G213&gt;=6,H213&gt;=6),"AT RISK",AND(F213&lt;=2,G213&gt;=8,H213&gt;=8),"CAN'T LOSE THEM",AND(F213&lt;=2,G213&lt;=2,H213&lt;=2),"HIBERNATING",TRUE(),"Other")</f>
        <v>LOYAL CUSTOMER</v>
      </c>
      <c r="K213" s="1" t="n">
        <f aca="false">RANK(E213,$E$7:$E$4378)+COUNTIF($E$7:E213,E213)-1</f>
        <v>1591</v>
      </c>
    </row>
    <row r="214" customFormat="false" ht="14.25" hidden="false" customHeight="true" outlineLevel="0" collapsed="false">
      <c r="A214" s="51" t="n">
        <v>12600</v>
      </c>
      <c r="B214" s="53" t="n">
        <v>40858.4368055556</v>
      </c>
      <c r="C214" s="57" t="n">
        <f aca="false">INT($C$2)-INT(Table3[[#This Row],[Last Purchase Date]])</f>
        <v>29</v>
      </c>
      <c r="D214" s="1" t="n">
        <v>11</v>
      </c>
      <c r="E214" s="1" t="n">
        <v>2581.04</v>
      </c>
      <c r="F214" s="1" t="n">
        <f aca="false">ROUND((1-_xlfn.PERCENTRANK.INC($C$7:$C$4378,C214))*9,0)</f>
        <v>6</v>
      </c>
      <c r="G214" s="1" t="n">
        <f aca="false">ROUND(_xlfn.PERCENTRANK.INC($D$7:$D$4378,D214)*9,0)</f>
        <v>8</v>
      </c>
      <c r="H214" s="1" t="n">
        <f aca="false">ROUND(_xlfn.PERCENTRANK.INC($E$7:$E$4378,E214)*9,0)</f>
        <v>8</v>
      </c>
      <c r="I214" s="1" t="str">
        <f aca="false">CONCATENATE(F214,G214,H214)</f>
        <v>688</v>
      </c>
      <c r="J214" s="1" t="str">
        <f aca="false">_xlfn.IFS(AND(F214&gt;=8,G214&gt;=8,H214&gt;=8),"CHAMPION",AND(F214&gt;=6,G214&gt;=7,H214&gt;=6),"LOYAL CUSTOMER",AND(F214&gt;=6,G214&gt;=5,H214&gt;=5),"POTENTIAL LOYALIST",AND(F214&gt;=8,G214&lt;=2,H214&gt;=5),"NEW CUSTOMERS",AND(F214&gt;=6,G214&lt;=2,H214&gt;=3),"PROMISING",AND(F214&gt;=3,G214&gt;=3,H214&gt;=3),"NEED ATTENTION",AND(F214&lt;=4,G214&gt;=6,H214&gt;=6),"AT RISK",AND(F214&lt;=2,G214&gt;=8,H214&gt;=8),"CAN'T LOSE THEM",AND(F214&lt;=2,G214&lt;=2,H214&lt;=2),"HIBERNATING",TRUE(),"Other")</f>
        <v>LOYAL CUSTOMER</v>
      </c>
      <c r="K214" s="1" t="n">
        <f aca="false">RANK(E214,$E$7:$E$4378)+COUNTIF($E$7:E214,E214)-1</f>
        <v>656</v>
      </c>
    </row>
    <row r="215" customFormat="false" ht="14.25" hidden="false" customHeight="true" outlineLevel="0" collapsed="false">
      <c r="A215" s="51" t="n">
        <v>12601</v>
      </c>
      <c r="B215" s="53" t="n">
        <v>40697.4284722222</v>
      </c>
      <c r="C215" s="57" t="n">
        <f aca="false">INT($C$2)-INT(Table3[[#This Row],[Last Purchase Date]])</f>
        <v>190</v>
      </c>
      <c r="D215" s="1" t="n">
        <v>6</v>
      </c>
      <c r="E215" s="1" t="n">
        <v>569.56</v>
      </c>
      <c r="F215" s="1" t="n">
        <f aca="false">ROUND((1-_xlfn.PERCENTRANK.INC($C$7:$C$4378,C215))*9,0)</f>
        <v>2</v>
      </c>
      <c r="G215" s="1" t="n">
        <f aca="false">ROUND(_xlfn.PERCENTRANK.INC($D$7:$D$4378,D215)*9,0)</f>
        <v>7</v>
      </c>
      <c r="H215" s="1" t="n">
        <f aca="false">ROUND(_xlfn.PERCENTRANK.INC($E$7:$E$4378,E215)*9,0)</f>
        <v>4</v>
      </c>
      <c r="I215" s="1" t="str">
        <f aca="false">CONCATENATE(F215,G215,H215)</f>
        <v>274</v>
      </c>
      <c r="J215" s="1" t="str">
        <f aca="false">_xlfn.IFS(AND(F215&gt;=8,G215&gt;=8,H215&gt;=8),"CHAMPION",AND(F215&gt;=6,G215&gt;=7,H215&gt;=6),"LOYAL CUSTOMER",AND(F215&gt;=6,G215&gt;=5,H215&gt;=5),"POTENTIAL LOYALIST",AND(F215&gt;=8,G215&lt;=2,H215&gt;=5),"NEW CUSTOMERS",AND(F215&gt;=6,G215&lt;=2,H215&gt;=3),"PROMISING",AND(F215&gt;=3,G215&gt;=3,H215&gt;=3),"NEED ATTENTION",AND(F215&lt;=4,G215&gt;=6,H215&gt;=6),"AT RISK",AND(F215&lt;=2,G215&gt;=8,H215&gt;=8),"CAN'T LOSE THEM",AND(F215&lt;=2,G215&lt;=2,H215&lt;=2),"HIBERNATING",TRUE(),"Other")</f>
        <v>Other</v>
      </c>
      <c r="K215" s="1" t="n">
        <f aca="false">RANK(E215,$E$7:$E$4378)+COUNTIF($E$7:E215,E215)-1</f>
        <v>2396</v>
      </c>
    </row>
    <row r="216" customFormat="false" ht="14.25" hidden="false" customHeight="true" outlineLevel="0" collapsed="false">
      <c r="A216" s="51" t="n">
        <v>12602</v>
      </c>
      <c r="B216" s="53" t="n">
        <v>40828.4736111111</v>
      </c>
      <c r="C216" s="57" t="n">
        <f aca="false">INT($C$2)-INT(Table3[[#This Row],[Last Purchase Date]])</f>
        <v>59</v>
      </c>
      <c r="D216" s="1" t="n">
        <v>1</v>
      </c>
      <c r="E216" s="1" t="n">
        <v>153.12</v>
      </c>
      <c r="F216" s="1" t="n">
        <f aca="false">ROUND((1-_xlfn.PERCENTRANK.INC($C$7:$C$4378,C216))*9,0)</f>
        <v>4</v>
      </c>
      <c r="G216" s="1" t="n">
        <f aca="false">ROUND(_xlfn.PERCENTRANK.INC($D$7:$D$4378,D216)*9,0)</f>
        <v>0</v>
      </c>
      <c r="H216" s="1" t="n">
        <f aca="false">ROUND(_xlfn.PERCENTRANK.INC($E$7:$E$4378,E216)*9,0)</f>
        <v>1</v>
      </c>
      <c r="I216" s="1" t="str">
        <f aca="false">CONCATENATE(F216,G216,H216)</f>
        <v>401</v>
      </c>
      <c r="J216" s="1" t="str">
        <f aca="false">_xlfn.IFS(AND(F216&gt;=8,G216&gt;=8,H216&gt;=8),"CHAMPION",AND(F216&gt;=6,G216&gt;=7,H216&gt;=6),"LOYAL CUSTOMER",AND(F216&gt;=6,G216&gt;=5,H216&gt;=5),"POTENTIAL LOYALIST",AND(F216&gt;=8,G216&lt;=2,H216&gt;=5),"NEW CUSTOMERS",AND(F216&gt;=6,G216&lt;=2,H216&gt;=3),"PROMISING",AND(F216&gt;=3,G216&gt;=3,H216&gt;=3),"NEED ATTENTION",AND(F216&lt;=4,G216&gt;=6,H216&gt;=6),"AT RISK",AND(F216&lt;=2,G216&gt;=8,H216&gt;=8),"CAN'T LOSE THEM",AND(F216&lt;=2,G216&lt;=2,H216&lt;=2),"HIBERNATING",TRUE(),"Other")</f>
        <v>Other</v>
      </c>
      <c r="K216" s="1" t="n">
        <f aca="false">RANK(E216,$E$7:$E$4378)+COUNTIF($E$7:E216,E216)-1</f>
        <v>3899</v>
      </c>
    </row>
    <row r="217" customFormat="false" ht="14.25" hidden="false" customHeight="true" outlineLevel="0" collapsed="false">
      <c r="A217" s="51" t="n">
        <v>12603</v>
      </c>
      <c r="B217" s="53" t="n">
        <v>40865.4458333333</v>
      </c>
      <c r="C217" s="57" t="n">
        <f aca="false">INT($C$2)-INT(Table3[[#This Row],[Last Purchase Date]])</f>
        <v>22</v>
      </c>
      <c r="D217" s="1" t="n">
        <v>1</v>
      </c>
      <c r="E217" s="1" t="n">
        <v>739.2</v>
      </c>
      <c r="F217" s="1" t="n">
        <f aca="false">ROUND((1-_xlfn.PERCENTRANK.INC($C$7:$C$4378,C217))*9,0)</f>
        <v>6</v>
      </c>
      <c r="G217" s="1" t="n">
        <f aca="false">ROUND(_xlfn.PERCENTRANK.INC($D$7:$D$4378,D217)*9,0)</f>
        <v>0</v>
      </c>
      <c r="H217" s="1" t="n">
        <f aca="false">ROUND(_xlfn.PERCENTRANK.INC($E$7:$E$4378,E217)*9,0)</f>
        <v>5</v>
      </c>
      <c r="I217" s="1" t="str">
        <f aca="false">CONCATENATE(F217,G217,H217)</f>
        <v>605</v>
      </c>
      <c r="J217" s="1" t="str">
        <f aca="false">_xlfn.IFS(AND(F217&gt;=8,G217&gt;=8,H217&gt;=8),"CHAMPION",AND(F217&gt;=6,G217&gt;=7,H217&gt;=6),"LOYAL CUSTOMER",AND(F217&gt;=6,G217&gt;=5,H217&gt;=5),"POTENTIAL LOYALIST",AND(F217&gt;=8,G217&lt;=2,H217&gt;=5),"NEW CUSTOMERS",AND(F217&gt;=6,G217&lt;=2,H217&gt;=3),"PROMISING",AND(F217&gt;=3,G217&gt;=3,H217&gt;=3),"NEED ATTENTION",AND(F217&lt;=4,G217&gt;=6,H217&gt;=6),"AT RISK",AND(F217&lt;=2,G217&gt;=8,H217&gt;=8),"CAN'T LOSE THEM",AND(F217&lt;=2,G217&lt;=2,H217&lt;=2),"HIBERNATING",TRUE(),"Other")</f>
        <v>PROMISING</v>
      </c>
      <c r="K217" s="1" t="n">
        <f aca="false">RANK(E217,$E$7:$E$4378)+COUNTIF($E$7:E217,E217)-1</f>
        <v>1995</v>
      </c>
    </row>
    <row r="218" customFormat="false" ht="14.25" hidden="false" customHeight="true" outlineLevel="0" collapsed="false">
      <c r="A218" s="51" t="n">
        <v>12604</v>
      </c>
      <c r="B218" s="53" t="n">
        <v>40807.5888888889</v>
      </c>
      <c r="C218" s="57" t="n">
        <f aca="false">INT($C$2)-INT(Table3[[#This Row],[Last Purchase Date]])</f>
        <v>80</v>
      </c>
      <c r="D218" s="1" t="n">
        <v>2</v>
      </c>
      <c r="E218" s="1" t="n">
        <v>254.18</v>
      </c>
      <c r="F218" s="1" t="n">
        <f aca="false">ROUND((1-_xlfn.PERCENTRANK.INC($C$7:$C$4378,C218))*9,0)</f>
        <v>3</v>
      </c>
      <c r="G218" s="1" t="n">
        <f aca="false">ROUND(_xlfn.PERCENTRANK.INC($D$7:$D$4378,D218)*9,0)</f>
        <v>3</v>
      </c>
      <c r="H218" s="1" t="n">
        <f aca="false">ROUND(_xlfn.PERCENTRANK.INC($E$7:$E$4378,E218)*9,0)</f>
        <v>2</v>
      </c>
      <c r="I218" s="1" t="str">
        <f aca="false">CONCATENATE(F218,G218,H218)</f>
        <v>332</v>
      </c>
      <c r="J218" s="1" t="str">
        <f aca="false">_xlfn.IFS(AND(F218&gt;=8,G218&gt;=8,H218&gt;=8),"CHAMPION",AND(F218&gt;=6,G218&gt;=7,H218&gt;=6),"LOYAL CUSTOMER",AND(F218&gt;=6,G218&gt;=5,H218&gt;=5),"POTENTIAL LOYALIST",AND(F218&gt;=8,G218&lt;=2,H218&gt;=5),"NEW CUSTOMERS",AND(F218&gt;=6,G218&lt;=2,H218&gt;=3),"PROMISING",AND(F218&gt;=3,G218&gt;=3,H218&gt;=3),"NEED ATTENTION",AND(F218&lt;=4,G218&gt;=6,H218&gt;=6),"AT RISK",AND(F218&lt;=2,G218&gt;=8,H218&gt;=8),"CAN'T LOSE THEM",AND(F218&lt;=2,G218&lt;=2,H218&lt;=2),"HIBERNATING",TRUE(),"Other")</f>
        <v>Other</v>
      </c>
      <c r="K218" s="1" t="n">
        <f aca="false">RANK(E218,$E$7:$E$4378)+COUNTIF($E$7:E218,E218)-1</f>
        <v>3418</v>
      </c>
    </row>
    <row r="219" customFormat="false" ht="14.25" hidden="false" customHeight="true" outlineLevel="0" collapsed="false">
      <c r="A219" s="51" t="n">
        <v>12605</v>
      </c>
      <c r="B219" s="53" t="n">
        <v>40521.6534722222</v>
      </c>
      <c r="C219" s="57" t="n">
        <f aca="false">INT($C$2)-INT(Table3[[#This Row],[Last Purchase Date]])</f>
        <v>366</v>
      </c>
      <c r="D219" s="1" t="n">
        <v>1</v>
      </c>
      <c r="E219" s="1" t="n">
        <v>-7.5</v>
      </c>
      <c r="F219" s="1" t="n">
        <f aca="false">ROUND((1-_xlfn.PERCENTRANK.INC($C$7:$C$4378,C219))*9,0)</f>
        <v>0</v>
      </c>
      <c r="G219" s="1" t="n">
        <f aca="false">ROUND(_xlfn.PERCENTRANK.INC($D$7:$D$4378,D219)*9,0)</f>
        <v>0</v>
      </c>
      <c r="H219" s="1" t="n">
        <f aca="false">ROUND(_xlfn.PERCENTRANK.INC($E$7:$E$4378,E219)*9,0)</f>
        <v>0</v>
      </c>
      <c r="I219" s="1" t="str">
        <f aca="false">CONCATENATE(F219,G219,H219)</f>
        <v>000</v>
      </c>
      <c r="J219" s="1" t="str">
        <f aca="false">_xlfn.IFS(AND(F219&gt;=8,G219&gt;=8,H219&gt;=8),"CHAMPION",AND(F219&gt;=6,G219&gt;=7,H219&gt;=6),"LOYAL CUSTOMER",AND(F219&gt;=6,G219&gt;=5,H219&gt;=5),"POTENTIAL LOYALIST",AND(F219&gt;=8,G219&lt;=2,H219&gt;=5),"NEW CUSTOMERS",AND(F219&gt;=6,G219&lt;=2,H219&gt;=3),"PROMISING",AND(F219&gt;=3,G219&gt;=3,H219&gt;=3),"NEED ATTENTION",AND(F219&lt;=4,G219&gt;=6,H219&gt;=6),"AT RISK",AND(F219&lt;=2,G219&gt;=8,H219&gt;=8),"CAN'T LOSE THEM",AND(F219&lt;=2,G219&lt;=2,H219&lt;=2),"HIBERNATING",TRUE(),"Other")</f>
        <v>HIBERNATING</v>
      </c>
      <c r="K219" s="1" t="n">
        <f aca="false">RANK(E219,$E$7:$E$4378)+COUNTIF($E$7:E219,E219)-1</f>
        <v>4337</v>
      </c>
    </row>
    <row r="220" customFormat="false" ht="14.25" hidden="false" customHeight="true" outlineLevel="0" collapsed="false">
      <c r="A220" s="51" t="n">
        <v>12607</v>
      </c>
      <c r="B220" s="53" t="n">
        <v>40828.6784722222</v>
      </c>
      <c r="C220" s="57" t="n">
        <f aca="false">INT($C$2)-INT(Table3[[#This Row],[Last Purchase Date]])</f>
        <v>59</v>
      </c>
      <c r="D220" s="1" t="n">
        <v>2</v>
      </c>
      <c r="E220" s="1" t="n">
        <v>-6.82121026329696E-013</v>
      </c>
      <c r="F220" s="1" t="n">
        <f aca="false">ROUND((1-_xlfn.PERCENTRANK.INC($C$7:$C$4378,C220))*9,0)</f>
        <v>4</v>
      </c>
      <c r="G220" s="1" t="n">
        <f aca="false">ROUND(_xlfn.PERCENTRANK.INC($D$7:$D$4378,D220)*9,0)</f>
        <v>3</v>
      </c>
      <c r="H220" s="1" t="n">
        <f aca="false">ROUND(_xlfn.PERCENTRANK.INC($E$7:$E$4378,E220)*9,0)</f>
        <v>0</v>
      </c>
      <c r="I220" s="1" t="str">
        <f aca="false">CONCATENATE(F220,G220,H220)</f>
        <v>430</v>
      </c>
      <c r="J220" s="1" t="str">
        <f aca="false">_xlfn.IFS(AND(F220&gt;=8,G220&gt;=8,H220&gt;=8),"CHAMPION",AND(F220&gt;=6,G220&gt;=7,H220&gt;=6),"LOYAL CUSTOMER",AND(F220&gt;=6,G220&gt;=5,H220&gt;=5),"POTENTIAL LOYALIST",AND(F220&gt;=8,G220&lt;=2,H220&gt;=5),"NEW CUSTOMERS",AND(F220&gt;=6,G220&lt;=2,H220&gt;=3),"PROMISING",AND(F220&gt;=3,G220&gt;=3,H220&gt;=3),"NEED ATTENTION",AND(F220&lt;=4,G220&gt;=6,H220&gt;=6),"AT RISK",AND(F220&lt;=2,G220&gt;=8,H220&gt;=8),"CAN'T LOSE THEM",AND(F220&lt;=2,G220&lt;=2,H220&lt;=2),"HIBERNATING",TRUE(),"Other")</f>
        <v>Other</v>
      </c>
      <c r="K220" s="1" t="n">
        <f aca="false">RANK(E220,$E$7:$E$4378)+COUNTIF($E$7:E220,E220)-1</f>
        <v>4331</v>
      </c>
    </row>
    <row r="221" customFormat="false" ht="14.25" hidden="false" customHeight="true" outlineLevel="0" collapsed="false">
      <c r="A221" s="51" t="n">
        <v>12609</v>
      </c>
      <c r="B221" s="53" t="n">
        <v>40808.6902777778</v>
      </c>
      <c r="C221" s="57" t="n">
        <f aca="false">INT($C$2)-INT(Table3[[#This Row],[Last Purchase Date]])</f>
        <v>79</v>
      </c>
      <c r="D221" s="1" t="n">
        <v>3</v>
      </c>
      <c r="E221" s="1" t="n">
        <v>1126.85</v>
      </c>
      <c r="F221" s="1" t="n">
        <f aca="false">ROUND((1-_xlfn.PERCENTRANK.INC($C$7:$C$4378,C221))*9,0)</f>
        <v>3</v>
      </c>
      <c r="G221" s="1" t="n">
        <f aca="false">ROUND(_xlfn.PERCENTRANK.INC($D$7:$D$4378,D221)*9,0)</f>
        <v>4</v>
      </c>
      <c r="H221" s="1" t="n">
        <f aca="false">ROUND(_xlfn.PERCENTRANK.INC($E$7:$E$4378,E221)*9,0)</f>
        <v>6</v>
      </c>
      <c r="I221" s="1" t="str">
        <f aca="false">CONCATENATE(F221,G221,H221)</f>
        <v>346</v>
      </c>
      <c r="J221" s="1" t="str">
        <f aca="false">_xlfn.IFS(AND(F221&gt;=8,G221&gt;=8,H221&gt;=8),"CHAMPION",AND(F221&gt;=6,G221&gt;=7,H221&gt;=6),"LOYAL CUSTOMER",AND(F221&gt;=6,G221&gt;=5,H221&gt;=5),"POTENTIAL LOYALIST",AND(F221&gt;=8,G221&lt;=2,H221&gt;=5),"NEW CUSTOMERS",AND(F221&gt;=6,G221&lt;=2,H221&gt;=3),"PROMISING",AND(F221&gt;=3,G221&gt;=3,H221&gt;=3),"NEED ATTENTION",AND(F221&lt;=4,G221&gt;=6,H221&gt;=6),"AT RISK",AND(F221&lt;=2,G221&gt;=8,H221&gt;=8),"CAN'T LOSE THEM",AND(F221&lt;=2,G221&lt;=2,H221&lt;=2),"HIBERNATING",TRUE(),"Other")</f>
        <v>NEED ATTENTION</v>
      </c>
      <c r="K221" s="1" t="n">
        <f aca="false">RANK(E221,$E$7:$E$4378)+COUNTIF($E$7:E221,E221)-1</f>
        <v>1476</v>
      </c>
    </row>
    <row r="222" customFormat="false" ht="14.25" hidden="false" customHeight="true" outlineLevel="0" collapsed="false">
      <c r="A222" s="51" t="n">
        <v>12610</v>
      </c>
      <c r="B222" s="53" t="n">
        <v>40864.3986111111</v>
      </c>
      <c r="C222" s="57" t="n">
        <f aca="false">INT($C$2)-INT(Table3[[#This Row],[Last Purchase Date]])</f>
        <v>23</v>
      </c>
      <c r="D222" s="1" t="n">
        <v>7</v>
      </c>
      <c r="E222" s="1" t="n">
        <v>2057.99</v>
      </c>
      <c r="F222" s="1" t="n">
        <f aca="false">ROUND((1-_xlfn.PERCENTRANK.INC($C$7:$C$4378,C222))*9,0)</f>
        <v>6</v>
      </c>
      <c r="G222" s="1" t="n">
        <f aca="false">ROUND(_xlfn.PERCENTRANK.INC($D$7:$D$4378,D222)*9,0)</f>
        <v>7</v>
      </c>
      <c r="H222" s="1" t="n">
        <f aca="false">ROUND(_xlfn.PERCENTRANK.INC($E$7:$E$4378,E222)*9,0)</f>
        <v>7</v>
      </c>
      <c r="I222" s="1" t="str">
        <f aca="false">CONCATENATE(F222,G222,H222)</f>
        <v>677</v>
      </c>
      <c r="J222" s="1" t="str">
        <f aca="false">_xlfn.IFS(AND(F222&gt;=8,G222&gt;=8,H222&gt;=8),"CHAMPION",AND(F222&gt;=6,G222&gt;=7,H222&gt;=6),"LOYAL CUSTOMER",AND(F222&gt;=6,G222&gt;=5,H222&gt;=5),"POTENTIAL LOYALIST",AND(F222&gt;=8,G222&lt;=2,H222&gt;=5),"NEW CUSTOMERS",AND(F222&gt;=6,G222&lt;=2,H222&gt;=3),"PROMISING",AND(F222&gt;=3,G222&gt;=3,H222&gt;=3),"NEED ATTENTION",AND(F222&lt;=4,G222&gt;=6,H222&gt;=6),"AT RISK",AND(F222&lt;=2,G222&gt;=8,H222&gt;=8),"CAN'T LOSE THEM",AND(F222&lt;=2,G222&lt;=2,H222&lt;=2),"HIBERNATING",TRUE(),"Other")</f>
        <v>LOYAL CUSTOMER</v>
      </c>
      <c r="K222" s="1" t="n">
        <f aca="false">RANK(E222,$E$7:$E$4378)+COUNTIF($E$7:E222,E222)-1</f>
        <v>847</v>
      </c>
    </row>
    <row r="223" customFormat="false" ht="14.25" hidden="false" customHeight="true" outlineLevel="0" collapsed="false">
      <c r="A223" s="51" t="n">
        <v>12611</v>
      </c>
      <c r="B223" s="53" t="n">
        <v>40834.55</v>
      </c>
      <c r="C223" s="57" t="n">
        <f aca="false">INT($C$2)-INT(Table3[[#This Row],[Last Purchase Date]])</f>
        <v>53</v>
      </c>
      <c r="D223" s="1" t="n">
        <v>1</v>
      </c>
      <c r="E223" s="1" t="n">
        <v>1193.32</v>
      </c>
      <c r="F223" s="1" t="n">
        <f aca="false">ROUND((1-_xlfn.PERCENTRANK.INC($C$7:$C$4378,C223))*9,0)</f>
        <v>4</v>
      </c>
      <c r="G223" s="1" t="n">
        <f aca="false">ROUND(_xlfn.PERCENTRANK.INC($D$7:$D$4378,D223)*9,0)</f>
        <v>0</v>
      </c>
      <c r="H223" s="1" t="n">
        <f aca="false">ROUND(_xlfn.PERCENTRANK.INC($E$7:$E$4378,E223)*9,0)</f>
        <v>6</v>
      </c>
      <c r="I223" s="1" t="str">
        <f aca="false">CONCATENATE(F223,G223,H223)</f>
        <v>406</v>
      </c>
      <c r="J223" s="1" t="str">
        <f aca="false">_xlfn.IFS(AND(F223&gt;=8,G223&gt;=8,H223&gt;=8),"CHAMPION",AND(F223&gt;=6,G223&gt;=7,H223&gt;=6),"LOYAL CUSTOMER",AND(F223&gt;=6,G223&gt;=5,H223&gt;=5),"POTENTIAL LOYALIST",AND(F223&gt;=8,G223&lt;=2,H223&gt;=5),"NEW CUSTOMERS",AND(F223&gt;=6,G223&lt;=2,H223&gt;=3),"PROMISING",AND(F223&gt;=3,G223&gt;=3,H223&gt;=3),"NEED ATTENTION",AND(F223&lt;=4,G223&gt;=6,H223&gt;=6),"AT RISK",AND(F223&lt;=2,G223&gt;=8,H223&gt;=8),"CAN'T LOSE THEM",AND(F223&lt;=2,G223&lt;=2,H223&lt;=2),"HIBERNATING",TRUE(),"Other")</f>
        <v>Other</v>
      </c>
      <c r="K223" s="1" t="n">
        <f aca="false">RANK(E223,$E$7:$E$4378)+COUNTIF($E$7:E223,E223)-1</f>
        <v>1420</v>
      </c>
    </row>
    <row r="224" customFormat="false" ht="14.25" hidden="false" customHeight="true" outlineLevel="0" collapsed="false">
      <c r="A224" s="51" t="n">
        <v>12612</v>
      </c>
      <c r="B224" s="53" t="n">
        <v>40829.5083333333</v>
      </c>
      <c r="C224" s="57" t="n">
        <f aca="false">INT($C$2)-INT(Table3[[#This Row],[Last Purchase Date]])</f>
        <v>58</v>
      </c>
      <c r="D224" s="1" t="n">
        <v>2</v>
      </c>
      <c r="E224" s="1" t="n">
        <v>643.59</v>
      </c>
      <c r="F224" s="1" t="n">
        <f aca="false">ROUND((1-_xlfn.PERCENTRANK.INC($C$7:$C$4378,C224))*9,0)</f>
        <v>4</v>
      </c>
      <c r="G224" s="1" t="n">
        <f aca="false">ROUND(_xlfn.PERCENTRANK.INC($D$7:$D$4378,D224)*9,0)</f>
        <v>3</v>
      </c>
      <c r="H224" s="1" t="n">
        <f aca="false">ROUND(_xlfn.PERCENTRANK.INC($E$7:$E$4378,E224)*9,0)</f>
        <v>4</v>
      </c>
      <c r="I224" s="1" t="str">
        <f aca="false">CONCATENATE(F224,G224,H224)</f>
        <v>434</v>
      </c>
      <c r="J224" s="1" t="str">
        <f aca="false">_xlfn.IFS(AND(F224&gt;=8,G224&gt;=8,H224&gt;=8),"CHAMPION",AND(F224&gt;=6,G224&gt;=7,H224&gt;=6),"LOYAL CUSTOMER",AND(F224&gt;=6,G224&gt;=5,H224&gt;=5),"POTENTIAL LOYALIST",AND(F224&gt;=8,G224&lt;=2,H224&gt;=5),"NEW CUSTOMERS",AND(F224&gt;=6,G224&lt;=2,H224&gt;=3),"PROMISING",AND(F224&gt;=3,G224&gt;=3,H224&gt;=3),"NEED ATTENTION",AND(F224&lt;=4,G224&gt;=6,H224&gt;=6),"AT RISK",AND(F224&lt;=2,G224&gt;=8,H224&gt;=8),"CAN'T LOSE THEM",AND(F224&lt;=2,G224&lt;=2,H224&lt;=2),"HIBERNATING",TRUE(),"Other")</f>
        <v>NEED ATTENTION</v>
      </c>
      <c r="K224" s="1" t="n">
        <f aca="false">RANK(E224,$E$7:$E$4378)+COUNTIF($E$7:E224,E224)-1</f>
        <v>2198</v>
      </c>
    </row>
    <row r="225" customFormat="false" ht="14.25" hidden="false" customHeight="true" outlineLevel="0" collapsed="false">
      <c r="A225" s="51" t="n">
        <v>12613</v>
      </c>
      <c r="B225" s="53" t="n">
        <v>40855.5625</v>
      </c>
      <c r="C225" s="57" t="n">
        <f aca="false">INT($C$2)-INT(Table3[[#This Row],[Last Purchase Date]])</f>
        <v>32</v>
      </c>
      <c r="D225" s="1" t="n">
        <v>6</v>
      </c>
      <c r="E225" s="1" t="n">
        <v>3218.98</v>
      </c>
      <c r="F225" s="1" t="n">
        <f aca="false">ROUND((1-_xlfn.PERCENTRANK.INC($C$7:$C$4378,C225))*9,0)</f>
        <v>5</v>
      </c>
      <c r="G225" s="1" t="n">
        <f aca="false">ROUND(_xlfn.PERCENTRANK.INC($D$7:$D$4378,D225)*9,0)</f>
        <v>7</v>
      </c>
      <c r="H225" s="1" t="n">
        <f aca="false">ROUND(_xlfn.PERCENTRANK.INC($E$7:$E$4378,E225)*9,0)</f>
        <v>8</v>
      </c>
      <c r="I225" s="1" t="str">
        <f aca="false">CONCATENATE(F225,G225,H225)</f>
        <v>578</v>
      </c>
      <c r="J225" s="1" t="str">
        <f aca="false">_xlfn.IFS(AND(F225&gt;=8,G225&gt;=8,H225&gt;=8),"CHAMPION",AND(F225&gt;=6,G225&gt;=7,H225&gt;=6),"LOYAL CUSTOMER",AND(F225&gt;=6,G225&gt;=5,H225&gt;=5),"POTENTIAL LOYALIST",AND(F225&gt;=8,G225&lt;=2,H225&gt;=5),"NEW CUSTOMERS",AND(F225&gt;=6,G225&lt;=2,H225&gt;=3),"PROMISING",AND(F225&gt;=3,G225&gt;=3,H225&gt;=3),"NEED ATTENTION",AND(F225&lt;=4,G225&gt;=6,H225&gt;=6),"AT RISK",AND(F225&lt;=2,G225&gt;=8,H225&gt;=8),"CAN'T LOSE THEM",AND(F225&lt;=2,G225&lt;=2,H225&lt;=2),"HIBERNATING",TRUE(),"Other")</f>
        <v>NEED ATTENTION</v>
      </c>
      <c r="K225" s="1" t="n">
        <f aca="false">RANK(E225,$E$7:$E$4378)+COUNTIF($E$7:E225,E225)-1</f>
        <v>489</v>
      </c>
    </row>
    <row r="226" customFormat="false" ht="14.25" hidden="false" customHeight="true" outlineLevel="0" collapsed="false">
      <c r="A226" s="51" t="n">
        <v>12614</v>
      </c>
      <c r="B226" s="53" t="n">
        <v>40609.4319444444</v>
      </c>
      <c r="C226" s="57" t="n">
        <f aca="false">INT($C$2)-INT(Table3[[#This Row],[Last Purchase Date]])</f>
        <v>278</v>
      </c>
      <c r="D226" s="1" t="n">
        <v>1</v>
      </c>
      <c r="E226" s="1" t="n">
        <v>315.6</v>
      </c>
      <c r="F226" s="1" t="n">
        <f aca="false">ROUND((1-_xlfn.PERCENTRANK.INC($C$7:$C$4378,C226))*9,0)</f>
        <v>1</v>
      </c>
      <c r="G226" s="1" t="n">
        <f aca="false">ROUND(_xlfn.PERCENTRANK.INC($D$7:$D$4378,D226)*9,0)</f>
        <v>0</v>
      </c>
      <c r="H226" s="1" t="n">
        <f aca="false">ROUND(_xlfn.PERCENTRANK.INC($E$7:$E$4378,E226)*9,0)</f>
        <v>2</v>
      </c>
      <c r="I226" s="1" t="str">
        <f aca="false">CONCATENATE(F226,G226,H226)</f>
        <v>102</v>
      </c>
      <c r="J226" s="1" t="str">
        <f aca="false">_xlfn.IFS(AND(F226&gt;=8,G226&gt;=8,H226&gt;=8),"CHAMPION",AND(F226&gt;=6,G226&gt;=7,H226&gt;=6),"LOYAL CUSTOMER",AND(F226&gt;=6,G226&gt;=5,H226&gt;=5),"POTENTIAL LOYALIST",AND(F226&gt;=8,G226&lt;=2,H226&gt;=5),"NEW CUSTOMERS",AND(F226&gt;=6,G226&lt;=2,H226&gt;=3),"PROMISING",AND(F226&gt;=3,G226&gt;=3,H226&gt;=3),"NEED ATTENTION",AND(F226&lt;=4,G226&gt;=6,H226&gt;=6),"AT RISK",AND(F226&lt;=2,G226&gt;=8,H226&gt;=8),"CAN'T LOSE THEM",AND(F226&lt;=2,G226&lt;=2,H226&lt;=2),"HIBERNATING",TRUE(),"Other")</f>
        <v>HIBERNATING</v>
      </c>
      <c r="K226" s="1" t="n">
        <f aca="false">RANK(E226,$E$7:$E$4378)+COUNTIF($E$7:E226,E226)-1</f>
        <v>3161</v>
      </c>
    </row>
    <row r="227" customFormat="false" ht="14.25" hidden="false" customHeight="true" outlineLevel="0" collapsed="false">
      <c r="A227" s="51" t="n">
        <v>12615</v>
      </c>
      <c r="B227" s="53" t="n">
        <v>40884.6263888889</v>
      </c>
      <c r="C227" s="57" t="n">
        <f aca="false">INT($C$2)-INT(Table3[[#This Row],[Last Purchase Date]])</f>
        <v>3</v>
      </c>
      <c r="D227" s="1" t="n">
        <v>4</v>
      </c>
      <c r="E227" s="1" t="n">
        <v>2291.19</v>
      </c>
      <c r="F227" s="1" t="n">
        <f aca="false">ROUND((1-_xlfn.PERCENTRANK.INC($C$7:$C$4378,C227))*9,0)</f>
        <v>9</v>
      </c>
      <c r="G227" s="1" t="n">
        <f aca="false">ROUND(_xlfn.PERCENTRANK.INC($D$7:$D$4378,D227)*9,0)</f>
        <v>5</v>
      </c>
      <c r="H227" s="1" t="n">
        <f aca="false">ROUND(_xlfn.PERCENTRANK.INC($E$7:$E$4378,E227)*9,0)</f>
        <v>7</v>
      </c>
      <c r="I227" s="1" t="str">
        <f aca="false">CONCATENATE(F227,G227,H227)</f>
        <v>957</v>
      </c>
      <c r="J227" s="1" t="str">
        <f aca="false">_xlfn.IFS(AND(F227&gt;=8,G227&gt;=8,H227&gt;=8),"CHAMPION",AND(F227&gt;=6,G227&gt;=7,H227&gt;=6),"LOYAL CUSTOMER",AND(F227&gt;=6,G227&gt;=5,H227&gt;=5),"POTENTIAL LOYALIST",AND(F227&gt;=8,G227&lt;=2,H227&gt;=5),"NEW CUSTOMERS",AND(F227&gt;=6,G227&lt;=2,H227&gt;=3),"PROMISING",AND(F227&gt;=3,G227&gt;=3,H227&gt;=3),"NEED ATTENTION",AND(F227&lt;=4,G227&gt;=6,H227&gt;=6),"AT RISK",AND(F227&lt;=2,G227&gt;=8,H227&gt;=8),"CAN'T LOSE THEM",AND(F227&lt;=2,G227&lt;=2,H227&lt;=2),"HIBERNATING",TRUE(),"Other")</f>
        <v>POTENTIAL LOYALIST</v>
      </c>
      <c r="K227" s="1" t="n">
        <f aca="false">RANK(E227,$E$7:$E$4378)+COUNTIF($E$7:E227,E227)-1</f>
        <v>747</v>
      </c>
    </row>
    <row r="228" customFormat="false" ht="14.25" hidden="false" customHeight="true" outlineLevel="0" collapsed="false">
      <c r="A228" s="51" t="n">
        <v>12616</v>
      </c>
      <c r="B228" s="53" t="n">
        <v>40801.7097222222</v>
      </c>
      <c r="C228" s="57" t="n">
        <f aca="false">INT($C$2)-INT(Table3[[#This Row],[Last Purchase Date]])</f>
        <v>86</v>
      </c>
      <c r="D228" s="1" t="n">
        <v>5</v>
      </c>
      <c r="E228" s="1" t="n">
        <v>657.25</v>
      </c>
      <c r="F228" s="1" t="n">
        <f aca="false">ROUND((1-_xlfn.PERCENTRANK.INC($C$7:$C$4378,C228))*9,0)</f>
        <v>3</v>
      </c>
      <c r="G228" s="1" t="n">
        <f aca="false">ROUND(_xlfn.PERCENTRANK.INC($D$7:$D$4378,D228)*9,0)</f>
        <v>6</v>
      </c>
      <c r="H228" s="1" t="n">
        <f aca="false">ROUND(_xlfn.PERCENTRANK.INC($E$7:$E$4378,E228)*9,0)</f>
        <v>5</v>
      </c>
      <c r="I228" s="1" t="str">
        <f aca="false">CONCATENATE(F228,G228,H228)</f>
        <v>365</v>
      </c>
      <c r="J228" s="1" t="str">
        <f aca="false">_xlfn.IFS(AND(F228&gt;=8,G228&gt;=8,H228&gt;=8),"CHAMPION",AND(F228&gt;=6,G228&gt;=7,H228&gt;=6),"LOYAL CUSTOMER",AND(F228&gt;=6,G228&gt;=5,H228&gt;=5),"POTENTIAL LOYALIST",AND(F228&gt;=8,G228&lt;=2,H228&gt;=5),"NEW CUSTOMERS",AND(F228&gt;=6,G228&lt;=2,H228&gt;=3),"PROMISING",AND(F228&gt;=3,G228&gt;=3,H228&gt;=3),"NEED ATTENTION",AND(F228&lt;=4,G228&gt;=6,H228&gt;=6),"AT RISK",AND(F228&lt;=2,G228&gt;=8,H228&gt;=8),"CAN'T LOSE THEM",AND(F228&lt;=2,G228&lt;=2,H228&lt;=2),"HIBERNATING",TRUE(),"Other")</f>
        <v>NEED ATTENTION</v>
      </c>
      <c r="K228" s="1" t="n">
        <f aca="false">RANK(E228,$E$7:$E$4378)+COUNTIF($E$7:E228,E228)-1</f>
        <v>2163</v>
      </c>
    </row>
    <row r="229" customFormat="false" ht="14.25" hidden="false" customHeight="true" outlineLevel="0" collapsed="false">
      <c r="A229" s="51" t="n">
        <v>12617</v>
      </c>
      <c r="B229" s="53" t="n">
        <v>40857.6104166667</v>
      </c>
      <c r="C229" s="57" t="n">
        <f aca="false">INT($C$2)-INT(Table3[[#This Row],[Last Purchase Date]])</f>
        <v>30</v>
      </c>
      <c r="D229" s="1" t="n">
        <v>1</v>
      </c>
      <c r="E229" s="1" t="n">
        <v>355.53</v>
      </c>
      <c r="F229" s="1" t="n">
        <f aca="false">ROUND((1-_xlfn.PERCENTRANK.INC($C$7:$C$4378,C229))*9,0)</f>
        <v>6</v>
      </c>
      <c r="G229" s="1" t="n">
        <f aca="false">ROUND(_xlfn.PERCENTRANK.INC($D$7:$D$4378,D229)*9,0)</f>
        <v>0</v>
      </c>
      <c r="H229" s="1" t="n">
        <f aca="false">ROUND(_xlfn.PERCENTRANK.INC($E$7:$E$4378,E229)*9,0)</f>
        <v>3</v>
      </c>
      <c r="I229" s="1" t="str">
        <f aca="false">CONCATENATE(F229,G229,H229)</f>
        <v>603</v>
      </c>
      <c r="J229" s="1" t="str">
        <f aca="false">_xlfn.IFS(AND(F229&gt;=8,G229&gt;=8,H229&gt;=8),"CHAMPION",AND(F229&gt;=6,G229&gt;=7,H229&gt;=6),"LOYAL CUSTOMER",AND(F229&gt;=6,G229&gt;=5,H229&gt;=5),"POTENTIAL LOYALIST",AND(F229&gt;=8,G229&lt;=2,H229&gt;=5),"NEW CUSTOMERS",AND(F229&gt;=6,G229&lt;=2,H229&gt;=3),"PROMISING",AND(F229&gt;=3,G229&gt;=3,H229&gt;=3),"NEED ATTENTION",AND(F229&lt;=4,G229&gt;=6,H229&gt;=6),"AT RISK",AND(F229&lt;=2,G229&gt;=8,H229&gt;=8),"CAN'T LOSE THEM",AND(F229&lt;=2,G229&lt;=2,H229&lt;=2),"HIBERNATING",TRUE(),"Other")</f>
        <v>PROMISING</v>
      </c>
      <c r="K229" s="1" t="n">
        <f aca="false">RANK(E229,$E$7:$E$4378)+COUNTIF($E$7:E229,E229)-1</f>
        <v>2983</v>
      </c>
    </row>
    <row r="230" customFormat="false" ht="14.25" hidden="false" customHeight="true" outlineLevel="0" collapsed="false">
      <c r="A230" s="51" t="n">
        <v>12618</v>
      </c>
      <c r="B230" s="53" t="n">
        <v>40865.4652777778</v>
      </c>
      <c r="C230" s="57" t="n">
        <f aca="false">INT($C$2)-INT(Table3[[#This Row],[Last Purchase Date]])</f>
        <v>22</v>
      </c>
      <c r="D230" s="1" t="n">
        <v>1</v>
      </c>
      <c r="E230" s="1" t="n">
        <v>177.31</v>
      </c>
      <c r="F230" s="1" t="n">
        <f aca="false">ROUND((1-_xlfn.PERCENTRANK.INC($C$7:$C$4378,C230))*9,0)</f>
        <v>6</v>
      </c>
      <c r="G230" s="1" t="n">
        <f aca="false">ROUND(_xlfn.PERCENTRANK.INC($D$7:$D$4378,D230)*9,0)</f>
        <v>0</v>
      </c>
      <c r="H230" s="1" t="n">
        <f aca="false">ROUND(_xlfn.PERCENTRANK.INC($E$7:$E$4378,E230)*9,0)</f>
        <v>1</v>
      </c>
      <c r="I230" s="1" t="str">
        <f aca="false">CONCATENATE(F230,G230,H230)</f>
        <v>601</v>
      </c>
      <c r="J230" s="1" t="str">
        <f aca="false">_xlfn.IFS(AND(F230&gt;=8,G230&gt;=8,H230&gt;=8),"CHAMPION",AND(F230&gt;=6,G230&gt;=7,H230&gt;=6),"LOYAL CUSTOMER",AND(F230&gt;=6,G230&gt;=5,H230&gt;=5),"POTENTIAL LOYALIST",AND(F230&gt;=8,G230&lt;=2,H230&gt;=5),"NEW CUSTOMERS",AND(F230&gt;=6,G230&lt;=2,H230&gt;=3),"PROMISING",AND(F230&gt;=3,G230&gt;=3,H230&gt;=3),"NEED ATTENTION",AND(F230&lt;=4,G230&gt;=6,H230&gt;=6),"AT RISK",AND(F230&lt;=2,G230&gt;=8,H230&gt;=8),"CAN'T LOSE THEM",AND(F230&lt;=2,G230&lt;=2,H230&lt;=2),"HIBERNATING",TRUE(),"Other")</f>
        <v>Other</v>
      </c>
      <c r="K230" s="1" t="n">
        <f aca="false">RANK(E230,$E$7:$E$4378)+COUNTIF($E$7:E230,E230)-1</f>
        <v>3769</v>
      </c>
    </row>
    <row r="231" customFormat="false" ht="14.25" hidden="false" customHeight="true" outlineLevel="0" collapsed="false">
      <c r="A231" s="51" t="n">
        <v>12619</v>
      </c>
      <c r="B231" s="53" t="n">
        <v>40870.6194444444</v>
      </c>
      <c r="C231" s="57" t="n">
        <f aca="false">INT($C$2)-INT(Table3[[#This Row],[Last Purchase Date]])</f>
        <v>17</v>
      </c>
      <c r="D231" s="1" t="n">
        <v>13</v>
      </c>
      <c r="E231" s="1" t="n">
        <v>3214.81</v>
      </c>
      <c r="F231" s="1" t="n">
        <f aca="false">ROUND((1-_xlfn.PERCENTRANK.INC($C$7:$C$4378,C231))*9,0)</f>
        <v>7</v>
      </c>
      <c r="G231" s="1" t="n">
        <f aca="false">ROUND(_xlfn.PERCENTRANK.INC($D$7:$D$4378,D231)*9,0)</f>
        <v>8</v>
      </c>
      <c r="H231" s="1" t="n">
        <f aca="false">ROUND(_xlfn.PERCENTRANK.INC($E$7:$E$4378,E231)*9,0)</f>
        <v>8</v>
      </c>
      <c r="I231" s="1" t="str">
        <f aca="false">CONCATENATE(F231,G231,H231)</f>
        <v>788</v>
      </c>
      <c r="J231" s="1" t="str">
        <f aca="false">_xlfn.IFS(AND(F231&gt;=8,G231&gt;=8,H231&gt;=8),"CHAMPION",AND(F231&gt;=6,G231&gt;=7,H231&gt;=6),"LOYAL CUSTOMER",AND(F231&gt;=6,G231&gt;=5,H231&gt;=5),"POTENTIAL LOYALIST",AND(F231&gt;=8,G231&lt;=2,H231&gt;=5),"NEW CUSTOMERS",AND(F231&gt;=6,G231&lt;=2,H231&gt;=3),"PROMISING",AND(F231&gt;=3,G231&gt;=3,H231&gt;=3),"NEED ATTENTION",AND(F231&lt;=4,G231&gt;=6,H231&gt;=6),"AT RISK",AND(F231&lt;=2,G231&gt;=8,H231&gt;=8),"CAN'T LOSE THEM",AND(F231&lt;=2,G231&lt;=2,H231&lt;=2),"HIBERNATING",TRUE(),"Other")</f>
        <v>LOYAL CUSTOMER</v>
      </c>
      <c r="K231" s="1" t="n">
        <f aca="false">RANK(E231,$E$7:$E$4378)+COUNTIF($E$7:E231,E231)-1</f>
        <v>490</v>
      </c>
    </row>
    <row r="232" customFormat="false" ht="14.25" hidden="false" customHeight="true" outlineLevel="0" collapsed="false">
      <c r="A232" s="51" t="n">
        <v>12620</v>
      </c>
      <c r="B232" s="53" t="n">
        <v>40872.4305555556</v>
      </c>
      <c r="C232" s="57" t="n">
        <f aca="false">INT($C$2)-INT(Table3[[#This Row],[Last Purchase Date]])</f>
        <v>15</v>
      </c>
      <c r="D232" s="1" t="n">
        <v>3</v>
      </c>
      <c r="E232" s="1" t="n">
        <v>1339.41</v>
      </c>
      <c r="F232" s="1" t="n">
        <f aca="false">ROUND((1-_xlfn.PERCENTRANK.INC($C$7:$C$4378,C232))*9,0)</f>
        <v>7</v>
      </c>
      <c r="G232" s="1" t="n">
        <f aca="false">ROUND(_xlfn.PERCENTRANK.INC($D$7:$D$4378,D232)*9,0)</f>
        <v>4</v>
      </c>
      <c r="H232" s="1" t="n">
        <f aca="false">ROUND(_xlfn.PERCENTRANK.INC($E$7:$E$4378,E232)*9,0)</f>
        <v>6</v>
      </c>
      <c r="I232" s="1" t="str">
        <f aca="false">CONCATENATE(F232,G232,H232)</f>
        <v>746</v>
      </c>
      <c r="J232" s="1" t="str">
        <f aca="false">_xlfn.IFS(AND(F232&gt;=8,G232&gt;=8,H232&gt;=8),"CHAMPION",AND(F232&gt;=6,G232&gt;=7,H232&gt;=6),"LOYAL CUSTOMER",AND(F232&gt;=6,G232&gt;=5,H232&gt;=5),"POTENTIAL LOYALIST",AND(F232&gt;=8,G232&lt;=2,H232&gt;=5),"NEW CUSTOMERS",AND(F232&gt;=6,G232&lt;=2,H232&gt;=3),"PROMISING",AND(F232&gt;=3,G232&gt;=3,H232&gt;=3),"NEED ATTENTION",AND(F232&lt;=4,G232&gt;=6,H232&gt;=6),"AT RISK",AND(F232&lt;=2,G232&gt;=8,H232&gt;=8),"CAN'T LOSE THEM",AND(F232&lt;=2,G232&lt;=2,H232&lt;=2),"HIBERNATING",TRUE(),"Other")</f>
        <v>NEED ATTENTION</v>
      </c>
      <c r="K232" s="1" t="n">
        <f aca="false">RANK(E232,$E$7:$E$4378)+COUNTIF($E$7:E232,E232)-1</f>
        <v>1289</v>
      </c>
    </row>
    <row r="233" customFormat="false" ht="14.25" hidden="false" customHeight="true" outlineLevel="0" collapsed="false">
      <c r="A233" s="51" t="n">
        <v>12621</v>
      </c>
      <c r="B233" s="53" t="n">
        <v>40885.4756944445</v>
      </c>
      <c r="C233" s="57" t="n">
        <f aca="false">INT($C$2)-INT(Table3[[#This Row],[Last Purchase Date]])</f>
        <v>2</v>
      </c>
      <c r="D233" s="1" t="n">
        <v>23</v>
      </c>
      <c r="E233" s="1" t="n">
        <v>13612.07</v>
      </c>
      <c r="F233" s="1" t="n">
        <f aca="false">ROUND((1-_xlfn.PERCENTRANK.INC($C$7:$C$4378,C233))*9,0)</f>
        <v>9</v>
      </c>
      <c r="G233" s="1" t="n">
        <f aca="false">ROUND(_xlfn.PERCENTRANK.INC($D$7:$D$4378,D233)*9,0)</f>
        <v>9</v>
      </c>
      <c r="H233" s="1" t="n">
        <f aca="false">ROUND(_xlfn.PERCENTRANK.INC($E$7:$E$4378,E233)*9,0)</f>
        <v>9</v>
      </c>
      <c r="I233" s="1" t="str">
        <f aca="false">CONCATENATE(F233,G233,H233)</f>
        <v>999</v>
      </c>
      <c r="J233" s="1" t="str">
        <f aca="false">_xlfn.IFS(AND(F233&gt;=8,G233&gt;=8,H233&gt;=8),"CHAMPION",AND(F233&gt;=6,G233&gt;=7,H233&gt;=6),"LOYAL CUSTOMER",AND(F233&gt;=6,G233&gt;=5,H233&gt;=5),"POTENTIAL LOYALIST",AND(F233&gt;=8,G233&lt;=2,H233&gt;=5),"NEW CUSTOMERS",AND(F233&gt;=6,G233&lt;=2,H233&gt;=3),"PROMISING",AND(F233&gt;=3,G233&gt;=3,H233&gt;=3),"NEED ATTENTION",AND(F233&lt;=4,G233&gt;=6,H233&gt;=6),"AT RISK",AND(F233&lt;=2,G233&gt;=8,H233&gt;=8),"CAN'T LOSE THEM",AND(F233&lt;=2,G233&lt;=2,H233&lt;=2),"HIBERNATING",TRUE(),"Other")</f>
        <v>CHAMPION</v>
      </c>
      <c r="K233" s="1" t="n">
        <f aca="false">RANK(E233,$E$7:$E$4378)+COUNTIF($E$7:E233,E233)-1</f>
        <v>61</v>
      </c>
    </row>
    <row r="234" customFormat="false" ht="14.25" hidden="false" customHeight="true" outlineLevel="0" collapsed="false">
      <c r="A234" s="51" t="n">
        <v>12622</v>
      </c>
      <c r="B234" s="53" t="n">
        <v>40654.69375</v>
      </c>
      <c r="C234" s="57" t="n">
        <f aca="false">INT($C$2)-INT(Table3[[#This Row],[Last Purchase Date]])</f>
        <v>233</v>
      </c>
      <c r="D234" s="1" t="n">
        <v>1</v>
      </c>
      <c r="E234" s="1" t="n">
        <v>180.1</v>
      </c>
      <c r="F234" s="1" t="n">
        <f aca="false">ROUND((1-_xlfn.PERCENTRANK.INC($C$7:$C$4378,C234))*9,0)</f>
        <v>1</v>
      </c>
      <c r="G234" s="1" t="n">
        <f aca="false">ROUND(_xlfn.PERCENTRANK.INC($D$7:$D$4378,D234)*9,0)</f>
        <v>0</v>
      </c>
      <c r="H234" s="1" t="n">
        <f aca="false">ROUND(_xlfn.PERCENTRANK.INC($E$7:$E$4378,E234)*9,0)</f>
        <v>1</v>
      </c>
      <c r="I234" s="1" t="str">
        <f aca="false">CONCATENATE(F234,G234,H234)</f>
        <v>101</v>
      </c>
      <c r="J234" s="1" t="str">
        <f aca="false">_xlfn.IFS(AND(F234&gt;=8,G234&gt;=8,H234&gt;=8),"CHAMPION",AND(F234&gt;=6,G234&gt;=7,H234&gt;=6),"LOYAL CUSTOMER",AND(F234&gt;=6,G234&gt;=5,H234&gt;=5),"POTENTIAL LOYALIST",AND(F234&gt;=8,G234&lt;=2,H234&gt;=5),"NEW CUSTOMERS",AND(F234&gt;=6,G234&lt;=2,H234&gt;=3),"PROMISING",AND(F234&gt;=3,G234&gt;=3,H234&gt;=3),"NEED ATTENTION",AND(F234&lt;=4,G234&gt;=6,H234&gt;=6),"AT RISK",AND(F234&lt;=2,G234&gt;=8,H234&gt;=8),"CAN'T LOSE THEM",AND(F234&lt;=2,G234&lt;=2,H234&lt;=2),"HIBERNATING",TRUE(),"Other")</f>
        <v>HIBERNATING</v>
      </c>
      <c r="K234" s="1" t="n">
        <f aca="false">RANK(E234,$E$7:$E$4378)+COUNTIF($E$7:E234,E234)-1</f>
        <v>3751</v>
      </c>
    </row>
    <row r="235" customFormat="false" ht="14.25" hidden="false" customHeight="true" outlineLevel="0" collapsed="false">
      <c r="A235" s="51" t="n">
        <v>12623</v>
      </c>
      <c r="B235" s="53" t="n">
        <v>40610.5763888889</v>
      </c>
      <c r="C235" s="57" t="n">
        <f aca="false">INT($C$2)-INT(Table3[[#This Row],[Last Purchase Date]])</f>
        <v>277</v>
      </c>
      <c r="D235" s="1" t="n">
        <v>1</v>
      </c>
      <c r="E235" s="1" t="n">
        <v>305.1</v>
      </c>
      <c r="F235" s="1" t="n">
        <f aca="false">ROUND((1-_xlfn.PERCENTRANK.INC($C$7:$C$4378,C235))*9,0)</f>
        <v>1</v>
      </c>
      <c r="G235" s="1" t="n">
        <f aca="false">ROUND(_xlfn.PERCENTRANK.INC($D$7:$D$4378,D235)*9,0)</f>
        <v>0</v>
      </c>
      <c r="H235" s="1" t="n">
        <f aca="false">ROUND(_xlfn.PERCENTRANK.INC($E$7:$E$4378,E235)*9,0)</f>
        <v>2</v>
      </c>
      <c r="I235" s="1" t="str">
        <f aca="false">CONCATENATE(F235,G235,H235)</f>
        <v>102</v>
      </c>
      <c r="J235" s="1" t="str">
        <f aca="false">_xlfn.IFS(AND(F235&gt;=8,G235&gt;=8,H235&gt;=8),"CHAMPION",AND(F235&gt;=6,G235&gt;=7,H235&gt;=6),"LOYAL CUSTOMER",AND(F235&gt;=6,G235&gt;=5,H235&gt;=5),"POTENTIAL LOYALIST",AND(F235&gt;=8,G235&lt;=2,H235&gt;=5),"NEW CUSTOMERS",AND(F235&gt;=6,G235&lt;=2,H235&gt;=3),"PROMISING",AND(F235&gt;=3,G235&gt;=3,H235&gt;=3),"NEED ATTENTION",AND(F235&lt;=4,G235&gt;=6,H235&gt;=6),"AT RISK",AND(F235&lt;=2,G235&gt;=8,H235&gt;=8),"CAN'T LOSE THEM",AND(F235&lt;=2,G235&lt;=2,H235&lt;=2),"HIBERNATING",TRUE(),"Other")</f>
        <v>HIBERNATING</v>
      </c>
      <c r="K235" s="1" t="n">
        <f aca="false">RANK(E235,$E$7:$E$4378)+COUNTIF($E$7:E235,E235)-1</f>
        <v>3226</v>
      </c>
    </row>
    <row r="236" customFormat="false" ht="14.25" hidden="false" customHeight="true" outlineLevel="0" collapsed="false">
      <c r="A236" s="51" t="n">
        <v>12624</v>
      </c>
      <c r="B236" s="53" t="n">
        <v>40780.6277777778</v>
      </c>
      <c r="C236" s="57" t="n">
        <f aca="false">INT($C$2)-INT(Table3[[#This Row],[Last Purchase Date]])</f>
        <v>107</v>
      </c>
      <c r="D236" s="1" t="n">
        <v>2</v>
      </c>
      <c r="E236" s="1" t="n">
        <v>641.13</v>
      </c>
      <c r="F236" s="1" t="n">
        <f aca="false">ROUND((1-_xlfn.PERCENTRANK.INC($C$7:$C$4378,C236))*9,0)</f>
        <v>3</v>
      </c>
      <c r="G236" s="1" t="n">
        <f aca="false">ROUND(_xlfn.PERCENTRANK.INC($D$7:$D$4378,D236)*9,0)</f>
        <v>3</v>
      </c>
      <c r="H236" s="1" t="n">
        <f aca="false">ROUND(_xlfn.PERCENTRANK.INC($E$7:$E$4378,E236)*9,0)</f>
        <v>4</v>
      </c>
      <c r="I236" s="1" t="str">
        <f aca="false">CONCATENATE(F236,G236,H236)</f>
        <v>334</v>
      </c>
      <c r="J236" s="1" t="str">
        <f aca="false">_xlfn.IFS(AND(F236&gt;=8,G236&gt;=8,H236&gt;=8),"CHAMPION",AND(F236&gt;=6,G236&gt;=7,H236&gt;=6),"LOYAL CUSTOMER",AND(F236&gt;=6,G236&gt;=5,H236&gt;=5),"POTENTIAL LOYALIST",AND(F236&gt;=8,G236&lt;=2,H236&gt;=5),"NEW CUSTOMERS",AND(F236&gt;=6,G236&lt;=2,H236&gt;=3),"PROMISING",AND(F236&gt;=3,G236&gt;=3,H236&gt;=3),"NEED ATTENTION",AND(F236&lt;=4,G236&gt;=6,H236&gt;=6),"AT RISK",AND(F236&lt;=2,G236&gt;=8,H236&gt;=8),"CAN'T LOSE THEM",AND(F236&lt;=2,G236&lt;=2,H236&lt;=2),"HIBERNATING",TRUE(),"Other")</f>
        <v>NEED ATTENTION</v>
      </c>
      <c r="K236" s="1" t="n">
        <f aca="false">RANK(E236,$E$7:$E$4378)+COUNTIF($E$7:E236,E236)-1</f>
        <v>2205</v>
      </c>
    </row>
    <row r="237" customFormat="false" ht="14.25" hidden="false" customHeight="true" outlineLevel="0" collapsed="false">
      <c r="A237" s="51" t="n">
        <v>12625</v>
      </c>
      <c r="B237" s="53" t="n">
        <v>40675.4125</v>
      </c>
      <c r="C237" s="57" t="n">
        <f aca="false">INT($C$2)-INT(Table3[[#This Row],[Last Purchase Date]])</f>
        <v>212</v>
      </c>
      <c r="D237" s="1" t="n">
        <v>3</v>
      </c>
      <c r="E237" s="1" t="n">
        <v>2614.32</v>
      </c>
      <c r="F237" s="1" t="n">
        <f aca="false">ROUND((1-_xlfn.PERCENTRANK.INC($C$7:$C$4378,C237))*9,0)</f>
        <v>1</v>
      </c>
      <c r="G237" s="1" t="n">
        <f aca="false">ROUND(_xlfn.PERCENTRANK.INC($D$7:$D$4378,D237)*9,0)</f>
        <v>4</v>
      </c>
      <c r="H237" s="1" t="n">
        <f aca="false">ROUND(_xlfn.PERCENTRANK.INC($E$7:$E$4378,E237)*9,0)</f>
        <v>8</v>
      </c>
      <c r="I237" s="1" t="str">
        <f aca="false">CONCATENATE(F237,G237,H237)</f>
        <v>148</v>
      </c>
      <c r="J237" s="1" t="str">
        <f aca="false">_xlfn.IFS(AND(F237&gt;=8,G237&gt;=8,H237&gt;=8),"CHAMPION",AND(F237&gt;=6,G237&gt;=7,H237&gt;=6),"LOYAL CUSTOMER",AND(F237&gt;=6,G237&gt;=5,H237&gt;=5),"POTENTIAL LOYALIST",AND(F237&gt;=8,G237&lt;=2,H237&gt;=5),"NEW CUSTOMERS",AND(F237&gt;=6,G237&lt;=2,H237&gt;=3),"PROMISING",AND(F237&gt;=3,G237&gt;=3,H237&gt;=3),"NEED ATTENTION",AND(F237&lt;=4,G237&gt;=6,H237&gt;=6),"AT RISK",AND(F237&lt;=2,G237&gt;=8,H237&gt;=8),"CAN'T LOSE THEM",AND(F237&lt;=2,G237&lt;=2,H237&lt;=2),"HIBERNATING",TRUE(),"Other")</f>
        <v>Other</v>
      </c>
      <c r="K237" s="1" t="n">
        <f aca="false">RANK(E237,$E$7:$E$4378)+COUNTIF($E$7:E237,E237)-1</f>
        <v>640</v>
      </c>
    </row>
    <row r="238" customFormat="false" ht="14.25" hidden="false" customHeight="true" outlineLevel="0" collapsed="false">
      <c r="A238" s="51" t="n">
        <v>12626</v>
      </c>
      <c r="B238" s="53" t="n">
        <v>40863.6708333333</v>
      </c>
      <c r="C238" s="57" t="n">
        <f aca="false">INT($C$2)-INT(Table3[[#This Row],[Last Purchase Date]])</f>
        <v>24</v>
      </c>
      <c r="D238" s="1" t="n">
        <v>13</v>
      </c>
      <c r="E238" s="1" t="n">
        <v>6388.35</v>
      </c>
      <c r="F238" s="1" t="n">
        <f aca="false">ROUND((1-_xlfn.PERCENTRANK.INC($C$7:$C$4378,C238))*9,0)</f>
        <v>6</v>
      </c>
      <c r="G238" s="1" t="n">
        <f aca="false">ROUND(_xlfn.PERCENTRANK.INC($D$7:$D$4378,D238)*9,0)</f>
        <v>8</v>
      </c>
      <c r="H238" s="1" t="n">
        <f aca="false">ROUND(_xlfn.PERCENTRANK.INC($E$7:$E$4378,E238)*9,0)</f>
        <v>9</v>
      </c>
      <c r="I238" s="1" t="str">
        <f aca="false">CONCATENATE(F238,G238,H238)</f>
        <v>689</v>
      </c>
      <c r="J238" s="1" t="str">
        <f aca="false">_xlfn.IFS(AND(F238&gt;=8,G238&gt;=8,H238&gt;=8),"CHAMPION",AND(F238&gt;=6,G238&gt;=7,H238&gt;=6),"LOYAL CUSTOMER",AND(F238&gt;=6,G238&gt;=5,H238&gt;=5),"POTENTIAL LOYALIST",AND(F238&gt;=8,G238&lt;=2,H238&gt;=5),"NEW CUSTOMERS",AND(F238&gt;=6,G238&lt;=2,H238&gt;=3),"PROMISING",AND(F238&gt;=3,G238&gt;=3,H238&gt;=3),"NEED ATTENTION",AND(F238&lt;=4,G238&gt;=6,H238&gt;=6),"AT RISK",AND(F238&lt;=2,G238&gt;=8,H238&gt;=8),"CAN'T LOSE THEM",AND(F238&lt;=2,G238&lt;=2,H238&lt;=2),"HIBERNATING",TRUE(),"Other")</f>
        <v>LOYAL CUSTOMER</v>
      </c>
      <c r="K238" s="1" t="n">
        <f aca="false">RANK(E238,$E$7:$E$4378)+COUNTIF($E$7:E238,E238)-1</f>
        <v>184</v>
      </c>
    </row>
    <row r="239" customFormat="false" ht="14.25" hidden="false" customHeight="true" outlineLevel="0" collapsed="false">
      <c r="A239" s="51" t="n">
        <v>12627</v>
      </c>
      <c r="B239" s="53" t="n">
        <v>40876.5048611111</v>
      </c>
      <c r="C239" s="57" t="n">
        <f aca="false">INT($C$2)-INT(Table3[[#This Row],[Last Purchase Date]])</f>
        <v>11</v>
      </c>
      <c r="D239" s="1" t="n">
        <v>7</v>
      </c>
      <c r="E239" s="1" t="n">
        <v>4478.53</v>
      </c>
      <c r="F239" s="1" t="n">
        <f aca="false">ROUND((1-_xlfn.PERCENTRANK.INC($C$7:$C$4378,C239))*9,0)</f>
        <v>7</v>
      </c>
      <c r="G239" s="1" t="n">
        <f aca="false">ROUND(_xlfn.PERCENTRANK.INC($D$7:$D$4378,D239)*9,0)</f>
        <v>7</v>
      </c>
      <c r="H239" s="1" t="n">
        <f aca="false">ROUND(_xlfn.PERCENTRANK.INC($E$7:$E$4378,E239)*9,0)</f>
        <v>8</v>
      </c>
      <c r="I239" s="1" t="str">
        <f aca="false">CONCATENATE(F239,G239,H239)</f>
        <v>778</v>
      </c>
      <c r="J239" s="1" t="str">
        <f aca="false">_xlfn.IFS(AND(F239&gt;=8,G239&gt;=8,H239&gt;=8),"CHAMPION",AND(F239&gt;=6,G239&gt;=7,H239&gt;=6),"LOYAL CUSTOMER",AND(F239&gt;=6,G239&gt;=5,H239&gt;=5),"POTENTIAL LOYALIST",AND(F239&gt;=8,G239&lt;=2,H239&gt;=5),"NEW CUSTOMERS",AND(F239&gt;=6,G239&lt;=2,H239&gt;=3),"PROMISING",AND(F239&gt;=3,G239&gt;=3,H239&gt;=3),"NEED ATTENTION",AND(F239&lt;=4,G239&gt;=6,H239&gt;=6),"AT RISK",AND(F239&lt;=2,G239&gt;=8,H239&gt;=8),"CAN'T LOSE THEM",AND(F239&lt;=2,G239&lt;=2,H239&lt;=2),"HIBERNATING",TRUE(),"Other")</f>
        <v>LOYAL CUSTOMER</v>
      </c>
      <c r="K239" s="1" t="n">
        <f aca="false">RANK(E239,$E$7:$E$4378)+COUNTIF($E$7:E239,E239)-1</f>
        <v>304</v>
      </c>
    </row>
    <row r="240" customFormat="false" ht="14.25" hidden="false" customHeight="true" outlineLevel="0" collapsed="false">
      <c r="A240" s="51" t="n">
        <v>12628</v>
      </c>
      <c r="B240" s="53" t="n">
        <v>40882.5520833333</v>
      </c>
      <c r="C240" s="57" t="n">
        <f aca="false">INT($C$2)-INT(Table3[[#This Row],[Last Purchase Date]])</f>
        <v>5</v>
      </c>
      <c r="D240" s="1" t="n">
        <v>4</v>
      </c>
      <c r="E240" s="1" t="n">
        <v>769.61</v>
      </c>
      <c r="F240" s="1" t="n">
        <f aca="false">ROUND((1-_xlfn.PERCENTRANK.INC($C$7:$C$4378,C240))*9,0)</f>
        <v>8</v>
      </c>
      <c r="G240" s="1" t="n">
        <f aca="false">ROUND(_xlfn.PERCENTRANK.INC($D$7:$D$4378,D240)*9,0)</f>
        <v>5</v>
      </c>
      <c r="H240" s="1" t="n">
        <f aca="false">ROUND(_xlfn.PERCENTRANK.INC($E$7:$E$4378,E240)*9,0)</f>
        <v>5</v>
      </c>
      <c r="I240" s="1" t="str">
        <f aca="false">CONCATENATE(F240,G240,H240)</f>
        <v>855</v>
      </c>
      <c r="J240" s="1" t="str">
        <f aca="false">_xlfn.IFS(AND(F240&gt;=8,G240&gt;=8,H240&gt;=8),"CHAMPION",AND(F240&gt;=6,G240&gt;=7,H240&gt;=6),"LOYAL CUSTOMER",AND(F240&gt;=6,G240&gt;=5,H240&gt;=5),"POTENTIAL LOYALIST",AND(F240&gt;=8,G240&lt;=2,H240&gt;=5),"NEW CUSTOMERS",AND(F240&gt;=6,G240&lt;=2,H240&gt;=3),"PROMISING",AND(F240&gt;=3,G240&gt;=3,H240&gt;=3),"NEED ATTENTION",AND(F240&lt;=4,G240&gt;=6,H240&gt;=6),"AT RISK",AND(F240&lt;=2,G240&gt;=8,H240&gt;=8),"CAN'T LOSE THEM",AND(F240&lt;=2,G240&lt;=2,H240&lt;=2),"HIBERNATING",TRUE(),"Other")</f>
        <v>POTENTIAL LOYALIST</v>
      </c>
      <c r="K240" s="1" t="n">
        <f aca="false">RANK(E240,$E$7:$E$4378)+COUNTIF($E$7:E240,E240)-1</f>
        <v>1946</v>
      </c>
    </row>
    <row r="241" customFormat="false" ht="14.25" hidden="false" customHeight="true" outlineLevel="0" collapsed="false">
      <c r="A241" s="51" t="n">
        <v>12630</v>
      </c>
      <c r="B241" s="53" t="n">
        <v>40877.45</v>
      </c>
      <c r="C241" s="57" t="n">
        <f aca="false">INT($C$2)-INT(Table3[[#This Row],[Last Purchase Date]])</f>
        <v>10</v>
      </c>
      <c r="D241" s="1" t="n">
        <v>2</v>
      </c>
      <c r="E241" s="1" t="n">
        <v>1270.88</v>
      </c>
      <c r="F241" s="1" t="n">
        <f aca="false">ROUND((1-_xlfn.PERCENTRANK.INC($C$7:$C$4378,C241))*9,0)</f>
        <v>8</v>
      </c>
      <c r="G241" s="1" t="n">
        <f aca="false">ROUND(_xlfn.PERCENTRANK.INC($D$7:$D$4378,D241)*9,0)</f>
        <v>3</v>
      </c>
      <c r="H241" s="1" t="n">
        <f aca="false">ROUND(_xlfn.PERCENTRANK.INC($E$7:$E$4378,E241)*9,0)</f>
        <v>6</v>
      </c>
      <c r="I241" s="1" t="str">
        <f aca="false">CONCATENATE(F241,G241,H241)</f>
        <v>836</v>
      </c>
      <c r="J241" s="1" t="str">
        <f aca="false">_xlfn.IFS(AND(F241&gt;=8,G241&gt;=8,H241&gt;=8),"CHAMPION",AND(F241&gt;=6,G241&gt;=7,H241&gt;=6),"LOYAL CUSTOMER",AND(F241&gt;=6,G241&gt;=5,H241&gt;=5),"POTENTIAL LOYALIST",AND(F241&gt;=8,G241&lt;=2,H241&gt;=5),"NEW CUSTOMERS",AND(F241&gt;=6,G241&lt;=2,H241&gt;=3),"PROMISING",AND(F241&gt;=3,G241&gt;=3,H241&gt;=3),"NEED ATTENTION",AND(F241&lt;=4,G241&gt;=6,H241&gt;=6),"AT RISK",AND(F241&lt;=2,G241&gt;=8,H241&gt;=8),"CAN'T LOSE THEM",AND(F241&lt;=2,G241&lt;=2,H241&lt;=2),"HIBERNATING",TRUE(),"Other")</f>
        <v>NEED ATTENTION</v>
      </c>
      <c r="K241" s="1" t="n">
        <f aca="false">RANK(E241,$E$7:$E$4378)+COUNTIF($E$7:E241,E241)-1</f>
        <v>1350</v>
      </c>
    </row>
    <row r="242" customFormat="false" ht="14.25" hidden="false" customHeight="true" outlineLevel="0" collapsed="false">
      <c r="A242" s="51" t="n">
        <v>12631</v>
      </c>
      <c r="B242" s="53" t="n">
        <v>40829.5784722222</v>
      </c>
      <c r="C242" s="57" t="n">
        <f aca="false">INT($C$2)-INT(Table3[[#This Row],[Last Purchase Date]])</f>
        <v>58</v>
      </c>
      <c r="D242" s="1" t="n">
        <v>1</v>
      </c>
      <c r="E242" s="1" t="n">
        <v>640.5</v>
      </c>
      <c r="F242" s="1" t="n">
        <f aca="false">ROUND((1-_xlfn.PERCENTRANK.INC($C$7:$C$4378,C242))*9,0)</f>
        <v>4</v>
      </c>
      <c r="G242" s="1" t="n">
        <f aca="false">ROUND(_xlfn.PERCENTRANK.INC($D$7:$D$4378,D242)*9,0)</f>
        <v>0</v>
      </c>
      <c r="H242" s="1" t="n">
        <f aca="false">ROUND(_xlfn.PERCENTRANK.INC($E$7:$E$4378,E242)*9,0)</f>
        <v>4</v>
      </c>
      <c r="I242" s="1" t="str">
        <f aca="false">CONCATENATE(F242,G242,H242)</f>
        <v>404</v>
      </c>
      <c r="J242" s="1" t="str">
        <f aca="false">_xlfn.IFS(AND(F242&gt;=8,G242&gt;=8,H242&gt;=8),"CHAMPION",AND(F242&gt;=6,G242&gt;=7,H242&gt;=6),"LOYAL CUSTOMER",AND(F242&gt;=6,G242&gt;=5,H242&gt;=5),"POTENTIAL LOYALIST",AND(F242&gt;=8,G242&lt;=2,H242&gt;=5),"NEW CUSTOMERS",AND(F242&gt;=6,G242&lt;=2,H242&gt;=3),"PROMISING",AND(F242&gt;=3,G242&gt;=3,H242&gt;=3),"NEED ATTENTION",AND(F242&lt;=4,G242&gt;=6,H242&gt;=6),"AT RISK",AND(F242&lt;=2,G242&gt;=8,H242&gt;=8),"CAN'T LOSE THEM",AND(F242&lt;=2,G242&lt;=2,H242&lt;=2),"HIBERNATING",TRUE(),"Other")</f>
        <v>Other</v>
      </c>
      <c r="K242" s="1" t="n">
        <f aca="false">RANK(E242,$E$7:$E$4378)+COUNTIF($E$7:E242,E242)-1</f>
        <v>2208</v>
      </c>
    </row>
    <row r="243" customFormat="false" ht="14.25" hidden="false" customHeight="true" outlineLevel="0" collapsed="false">
      <c r="A243" s="51" t="n">
        <v>12633</v>
      </c>
      <c r="B243" s="53" t="n">
        <v>40828.4861111111</v>
      </c>
      <c r="C243" s="57" t="n">
        <f aca="false">INT($C$2)-INT(Table3[[#This Row],[Last Purchase Date]])</f>
        <v>59</v>
      </c>
      <c r="D243" s="1" t="n">
        <v>5</v>
      </c>
      <c r="E243" s="1" t="n">
        <v>2140.63</v>
      </c>
      <c r="F243" s="1" t="n">
        <f aca="false">ROUND((1-_xlfn.PERCENTRANK.INC($C$7:$C$4378,C243))*9,0)</f>
        <v>4</v>
      </c>
      <c r="G243" s="1" t="n">
        <f aca="false">ROUND(_xlfn.PERCENTRANK.INC($D$7:$D$4378,D243)*9,0)</f>
        <v>6</v>
      </c>
      <c r="H243" s="1" t="n">
        <f aca="false">ROUND(_xlfn.PERCENTRANK.INC($E$7:$E$4378,E243)*9,0)</f>
        <v>7</v>
      </c>
      <c r="I243" s="1" t="str">
        <f aca="false">CONCATENATE(F243,G243,H243)</f>
        <v>467</v>
      </c>
      <c r="J243" s="1" t="str">
        <f aca="false">_xlfn.IFS(AND(F243&gt;=8,G243&gt;=8,H243&gt;=8),"CHAMPION",AND(F243&gt;=6,G243&gt;=7,H243&gt;=6),"LOYAL CUSTOMER",AND(F243&gt;=6,G243&gt;=5,H243&gt;=5),"POTENTIAL LOYALIST",AND(F243&gt;=8,G243&lt;=2,H243&gt;=5),"NEW CUSTOMERS",AND(F243&gt;=6,G243&lt;=2,H243&gt;=3),"PROMISING",AND(F243&gt;=3,G243&gt;=3,H243&gt;=3),"NEED ATTENTION",AND(F243&lt;=4,G243&gt;=6,H243&gt;=6),"AT RISK",AND(F243&lt;=2,G243&gt;=8,H243&gt;=8),"CAN'T LOSE THEM",AND(F243&lt;=2,G243&lt;=2,H243&lt;=2),"HIBERNATING",TRUE(),"Other")</f>
        <v>NEED ATTENTION</v>
      </c>
      <c r="K243" s="1" t="n">
        <f aca="false">RANK(E243,$E$7:$E$4378)+COUNTIF($E$7:E243,E243)-1</f>
        <v>806</v>
      </c>
    </row>
    <row r="244" customFormat="false" ht="14.25" hidden="false" customHeight="true" outlineLevel="0" collapsed="false">
      <c r="A244" s="51" t="n">
        <v>12635</v>
      </c>
      <c r="B244" s="53" t="n">
        <v>40797.4611111111</v>
      </c>
      <c r="C244" s="57" t="n">
        <f aca="false">INT($C$2)-INT(Table3[[#This Row],[Last Purchase Date]])</f>
        <v>90</v>
      </c>
      <c r="D244" s="1" t="n">
        <v>2</v>
      </c>
      <c r="E244" s="1" t="n">
        <v>1689.18</v>
      </c>
      <c r="F244" s="1" t="n">
        <f aca="false">ROUND((1-_xlfn.PERCENTRANK.INC($C$7:$C$4378,C244))*9,0)</f>
        <v>3</v>
      </c>
      <c r="G244" s="1" t="n">
        <f aca="false">ROUND(_xlfn.PERCENTRANK.INC($D$7:$D$4378,D244)*9,0)</f>
        <v>3</v>
      </c>
      <c r="H244" s="1" t="n">
        <f aca="false">ROUND(_xlfn.PERCENTRANK.INC($E$7:$E$4378,E244)*9,0)</f>
        <v>7</v>
      </c>
      <c r="I244" s="1" t="str">
        <f aca="false">CONCATENATE(F244,G244,H244)</f>
        <v>337</v>
      </c>
      <c r="J244" s="1" t="str">
        <f aca="false">_xlfn.IFS(AND(F244&gt;=8,G244&gt;=8,H244&gt;=8),"CHAMPION",AND(F244&gt;=6,G244&gt;=7,H244&gt;=6),"LOYAL CUSTOMER",AND(F244&gt;=6,G244&gt;=5,H244&gt;=5),"POTENTIAL LOYALIST",AND(F244&gt;=8,G244&lt;=2,H244&gt;=5),"NEW CUSTOMERS",AND(F244&gt;=6,G244&lt;=2,H244&gt;=3),"PROMISING",AND(F244&gt;=3,G244&gt;=3,H244&gt;=3),"NEED ATTENTION",AND(F244&lt;=4,G244&gt;=6,H244&gt;=6),"AT RISK",AND(F244&lt;=2,G244&gt;=8,H244&gt;=8),"CAN'T LOSE THEM",AND(F244&lt;=2,G244&lt;=2,H244&lt;=2),"HIBERNATING",TRUE(),"Other")</f>
        <v>NEED ATTENTION</v>
      </c>
      <c r="K244" s="1" t="n">
        <f aca="false">RANK(E244,$E$7:$E$4378)+COUNTIF($E$7:E244,E244)-1</f>
        <v>1045</v>
      </c>
    </row>
    <row r="245" customFormat="false" ht="14.25" hidden="false" customHeight="true" outlineLevel="0" collapsed="false">
      <c r="A245" s="51" t="n">
        <v>12637</v>
      </c>
      <c r="B245" s="53" t="n">
        <v>40819.5736111111</v>
      </c>
      <c r="C245" s="57" t="n">
        <f aca="false">INT($C$2)-INT(Table3[[#This Row],[Last Purchase Date]])</f>
        <v>68</v>
      </c>
      <c r="D245" s="1" t="n">
        <v>10</v>
      </c>
      <c r="E245" s="1" t="n">
        <v>5953.25</v>
      </c>
      <c r="F245" s="1" t="n">
        <f aca="false">ROUND((1-_xlfn.PERCENTRANK.INC($C$7:$C$4378,C245))*9,0)</f>
        <v>4</v>
      </c>
      <c r="G245" s="1" t="n">
        <f aca="false">ROUND(_xlfn.PERCENTRANK.INC($D$7:$D$4378,D245)*9,0)</f>
        <v>8</v>
      </c>
      <c r="H245" s="1" t="n">
        <f aca="false">ROUND(_xlfn.PERCENTRANK.INC($E$7:$E$4378,E245)*9,0)</f>
        <v>9</v>
      </c>
      <c r="I245" s="1" t="str">
        <f aca="false">CONCATENATE(F245,G245,H245)</f>
        <v>489</v>
      </c>
      <c r="J245" s="1" t="str">
        <f aca="false">_xlfn.IFS(AND(F245&gt;=8,G245&gt;=8,H245&gt;=8),"CHAMPION",AND(F245&gt;=6,G245&gt;=7,H245&gt;=6),"LOYAL CUSTOMER",AND(F245&gt;=6,G245&gt;=5,H245&gt;=5),"POTENTIAL LOYALIST",AND(F245&gt;=8,G245&lt;=2,H245&gt;=5),"NEW CUSTOMERS",AND(F245&gt;=6,G245&lt;=2,H245&gt;=3),"PROMISING",AND(F245&gt;=3,G245&gt;=3,H245&gt;=3),"NEED ATTENTION",AND(F245&lt;=4,G245&gt;=6,H245&gt;=6),"AT RISK",AND(F245&lt;=2,G245&gt;=8,H245&gt;=8),"CAN'T LOSE THEM",AND(F245&lt;=2,G245&lt;=2,H245&lt;=2),"HIBERNATING",TRUE(),"Other")</f>
        <v>NEED ATTENTION</v>
      </c>
      <c r="K245" s="1" t="n">
        <f aca="false">RANK(E245,$E$7:$E$4378)+COUNTIF($E$7:E245,E245)-1</f>
        <v>201</v>
      </c>
    </row>
    <row r="246" customFormat="false" ht="14.25" hidden="false" customHeight="true" outlineLevel="0" collapsed="false">
      <c r="A246" s="51" t="n">
        <v>12638</v>
      </c>
      <c r="B246" s="53" t="n">
        <v>40853.5493055556</v>
      </c>
      <c r="C246" s="57" t="n">
        <f aca="false">INT($C$2)-INT(Table3[[#This Row],[Last Purchase Date]])</f>
        <v>34</v>
      </c>
      <c r="D246" s="1" t="n">
        <v>1</v>
      </c>
      <c r="E246" s="1" t="n">
        <v>671.69</v>
      </c>
      <c r="F246" s="1" t="n">
        <f aca="false">ROUND((1-_xlfn.PERCENTRANK.INC($C$7:$C$4378,C246))*9,0)</f>
        <v>5</v>
      </c>
      <c r="G246" s="1" t="n">
        <f aca="false">ROUND(_xlfn.PERCENTRANK.INC($D$7:$D$4378,D246)*9,0)</f>
        <v>0</v>
      </c>
      <c r="H246" s="1" t="n">
        <f aca="false">ROUND(_xlfn.PERCENTRANK.INC($E$7:$E$4378,E246)*9,0)</f>
        <v>5</v>
      </c>
      <c r="I246" s="1" t="str">
        <f aca="false">CONCATENATE(F246,G246,H246)</f>
        <v>505</v>
      </c>
      <c r="J246" s="1" t="str">
        <f aca="false">_xlfn.IFS(AND(F246&gt;=8,G246&gt;=8,H246&gt;=8),"CHAMPION",AND(F246&gt;=6,G246&gt;=7,H246&gt;=6),"LOYAL CUSTOMER",AND(F246&gt;=6,G246&gt;=5,H246&gt;=5),"POTENTIAL LOYALIST",AND(F246&gt;=8,G246&lt;=2,H246&gt;=5),"NEW CUSTOMERS",AND(F246&gt;=6,G246&lt;=2,H246&gt;=3),"PROMISING",AND(F246&gt;=3,G246&gt;=3,H246&gt;=3),"NEED ATTENTION",AND(F246&lt;=4,G246&gt;=6,H246&gt;=6),"AT RISK",AND(F246&lt;=2,G246&gt;=8,H246&gt;=8),"CAN'T LOSE THEM",AND(F246&lt;=2,G246&lt;=2,H246&lt;=2),"HIBERNATING",TRUE(),"Other")</f>
        <v>Other</v>
      </c>
      <c r="K246" s="1" t="n">
        <f aca="false">RANK(E246,$E$7:$E$4378)+COUNTIF($E$7:E246,E246)-1</f>
        <v>2127</v>
      </c>
    </row>
    <row r="247" customFormat="false" ht="14.25" hidden="false" customHeight="true" outlineLevel="0" collapsed="false">
      <c r="A247" s="51" t="n">
        <v>12639</v>
      </c>
      <c r="B247" s="53" t="n">
        <v>40648.5333333333</v>
      </c>
      <c r="C247" s="57" t="n">
        <f aca="false">INT($C$2)-INT(Table3[[#This Row],[Last Purchase Date]])</f>
        <v>239</v>
      </c>
      <c r="D247" s="1" t="n">
        <v>1</v>
      </c>
      <c r="E247" s="1" t="n">
        <v>486.1</v>
      </c>
      <c r="F247" s="1" t="n">
        <f aca="false">ROUND((1-_xlfn.PERCENTRANK.INC($C$7:$C$4378,C247))*9,0)</f>
        <v>1</v>
      </c>
      <c r="G247" s="1" t="n">
        <f aca="false">ROUND(_xlfn.PERCENTRANK.INC($D$7:$D$4378,D247)*9,0)</f>
        <v>0</v>
      </c>
      <c r="H247" s="1" t="n">
        <f aca="false">ROUND(_xlfn.PERCENTRANK.INC($E$7:$E$4378,E247)*9,0)</f>
        <v>4</v>
      </c>
      <c r="I247" s="1" t="str">
        <f aca="false">CONCATENATE(F247,G247,H247)</f>
        <v>104</v>
      </c>
      <c r="J247" s="1" t="str">
        <f aca="false">_xlfn.IFS(AND(F247&gt;=8,G247&gt;=8,H247&gt;=8),"CHAMPION",AND(F247&gt;=6,G247&gt;=7,H247&gt;=6),"LOYAL CUSTOMER",AND(F247&gt;=6,G247&gt;=5,H247&gt;=5),"POTENTIAL LOYALIST",AND(F247&gt;=8,G247&lt;=2,H247&gt;=5),"NEW CUSTOMERS",AND(F247&gt;=6,G247&lt;=2,H247&gt;=3),"PROMISING",AND(F247&gt;=3,G247&gt;=3,H247&gt;=3),"NEED ATTENTION",AND(F247&lt;=4,G247&gt;=6,H247&gt;=6),"AT RISK",AND(F247&lt;=2,G247&gt;=8,H247&gt;=8),"CAN'T LOSE THEM",AND(F247&lt;=2,G247&lt;=2,H247&lt;=2),"HIBERNATING",TRUE(),"Other")</f>
        <v>Other</v>
      </c>
      <c r="K247" s="1" t="n">
        <f aca="false">RANK(E247,$E$7:$E$4378)+COUNTIF($E$7:E247,E247)-1</f>
        <v>2579</v>
      </c>
    </row>
    <row r="248" customFormat="false" ht="14.25" hidden="false" customHeight="true" outlineLevel="0" collapsed="false">
      <c r="A248" s="51" t="n">
        <v>12640</v>
      </c>
      <c r="B248" s="53" t="n">
        <v>40863.4944444444</v>
      </c>
      <c r="C248" s="57" t="n">
        <f aca="false">INT($C$2)-INT(Table3[[#This Row],[Last Purchase Date]])</f>
        <v>24</v>
      </c>
      <c r="D248" s="1" t="n">
        <v>3</v>
      </c>
      <c r="E248" s="1" t="n">
        <v>1174.58</v>
      </c>
      <c r="F248" s="1" t="n">
        <f aca="false">ROUND((1-_xlfn.PERCENTRANK.INC($C$7:$C$4378,C248))*9,0)</f>
        <v>6</v>
      </c>
      <c r="G248" s="1" t="n">
        <f aca="false">ROUND(_xlfn.PERCENTRANK.INC($D$7:$D$4378,D248)*9,0)</f>
        <v>4</v>
      </c>
      <c r="H248" s="1" t="n">
        <f aca="false">ROUND(_xlfn.PERCENTRANK.INC($E$7:$E$4378,E248)*9,0)</f>
        <v>6</v>
      </c>
      <c r="I248" s="1" t="str">
        <f aca="false">CONCATENATE(F248,G248,H248)</f>
        <v>646</v>
      </c>
      <c r="J248" s="1" t="str">
        <f aca="false">_xlfn.IFS(AND(F248&gt;=8,G248&gt;=8,H248&gt;=8),"CHAMPION",AND(F248&gt;=6,G248&gt;=7,H248&gt;=6),"LOYAL CUSTOMER",AND(F248&gt;=6,G248&gt;=5,H248&gt;=5),"POTENTIAL LOYALIST",AND(F248&gt;=8,G248&lt;=2,H248&gt;=5),"NEW CUSTOMERS",AND(F248&gt;=6,G248&lt;=2,H248&gt;=3),"PROMISING",AND(F248&gt;=3,G248&gt;=3,H248&gt;=3),"NEED ATTENTION",AND(F248&lt;=4,G248&gt;=6,H248&gt;=6),"AT RISK",AND(F248&lt;=2,G248&gt;=8,H248&gt;=8),"CAN'T LOSE THEM",AND(F248&lt;=2,G248&lt;=2,H248&lt;=2),"HIBERNATING",TRUE(),"Other")</f>
        <v>NEED ATTENTION</v>
      </c>
      <c r="K248" s="1" t="n">
        <f aca="false">RANK(E248,$E$7:$E$4378)+COUNTIF($E$7:E248,E248)-1</f>
        <v>1429</v>
      </c>
    </row>
    <row r="249" customFormat="false" ht="14.25" hidden="false" customHeight="true" outlineLevel="0" collapsed="false">
      <c r="A249" s="51" t="n">
        <v>12641</v>
      </c>
      <c r="B249" s="53" t="n">
        <v>40771.5597222222</v>
      </c>
      <c r="C249" s="57" t="n">
        <f aca="false">INT($C$2)-INT(Table3[[#This Row],[Last Purchase Date]])</f>
        <v>116</v>
      </c>
      <c r="D249" s="1" t="n">
        <v>1</v>
      </c>
      <c r="E249" s="1" t="n">
        <v>185.9</v>
      </c>
      <c r="F249" s="1" t="n">
        <f aca="false">ROUND((1-_xlfn.PERCENTRANK.INC($C$7:$C$4378,C249))*9,0)</f>
        <v>3</v>
      </c>
      <c r="G249" s="1" t="n">
        <f aca="false">ROUND(_xlfn.PERCENTRANK.INC($D$7:$D$4378,D249)*9,0)</f>
        <v>0</v>
      </c>
      <c r="H249" s="1" t="n">
        <f aca="false">ROUND(_xlfn.PERCENTRANK.INC($E$7:$E$4378,E249)*9,0)</f>
        <v>1</v>
      </c>
      <c r="I249" s="1" t="str">
        <f aca="false">CONCATENATE(F249,G249,H249)</f>
        <v>301</v>
      </c>
      <c r="J249" s="1" t="str">
        <f aca="false">_xlfn.IFS(AND(F249&gt;=8,G249&gt;=8,H249&gt;=8),"CHAMPION",AND(F249&gt;=6,G249&gt;=7,H249&gt;=6),"LOYAL CUSTOMER",AND(F249&gt;=6,G249&gt;=5,H249&gt;=5),"POTENTIAL LOYALIST",AND(F249&gt;=8,G249&lt;=2,H249&gt;=5),"NEW CUSTOMERS",AND(F249&gt;=6,G249&lt;=2,H249&gt;=3),"PROMISING",AND(F249&gt;=3,G249&gt;=3,H249&gt;=3),"NEED ATTENTION",AND(F249&lt;=4,G249&gt;=6,H249&gt;=6),"AT RISK",AND(F249&lt;=2,G249&gt;=8,H249&gt;=8),"CAN'T LOSE THEM",AND(F249&lt;=2,G249&lt;=2,H249&lt;=2),"HIBERNATING",TRUE(),"Other")</f>
        <v>Other</v>
      </c>
      <c r="K249" s="1" t="n">
        <f aca="false">RANK(E249,$E$7:$E$4378)+COUNTIF($E$7:E249,E249)-1</f>
        <v>3725</v>
      </c>
    </row>
    <row r="250" customFormat="false" ht="14.25" hidden="false" customHeight="true" outlineLevel="0" collapsed="false">
      <c r="A250" s="51" t="n">
        <v>12642</v>
      </c>
      <c r="B250" s="53" t="n">
        <v>40861.6270833333</v>
      </c>
      <c r="C250" s="57" t="n">
        <f aca="false">INT($C$2)-INT(Table3[[#This Row],[Last Purchase Date]])</f>
        <v>26</v>
      </c>
      <c r="D250" s="1" t="n">
        <v>3</v>
      </c>
      <c r="E250" s="1" t="n">
        <v>1013.26</v>
      </c>
      <c r="F250" s="1" t="n">
        <f aca="false">ROUND((1-_xlfn.PERCENTRANK.INC($C$7:$C$4378,C250))*9,0)</f>
        <v>6</v>
      </c>
      <c r="G250" s="1" t="n">
        <f aca="false">ROUND(_xlfn.PERCENTRANK.INC($D$7:$D$4378,D250)*9,0)</f>
        <v>4</v>
      </c>
      <c r="H250" s="1" t="n">
        <f aca="false">ROUND(_xlfn.PERCENTRANK.INC($E$7:$E$4378,E250)*9,0)</f>
        <v>6</v>
      </c>
      <c r="I250" s="1" t="str">
        <f aca="false">CONCATENATE(F250,G250,H250)</f>
        <v>646</v>
      </c>
      <c r="J250" s="1" t="str">
        <f aca="false">_xlfn.IFS(AND(F250&gt;=8,G250&gt;=8,H250&gt;=8),"CHAMPION",AND(F250&gt;=6,G250&gt;=7,H250&gt;=6),"LOYAL CUSTOMER",AND(F250&gt;=6,G250&gt;=5,H250&gt;=5),"POTENTIAL LOYALIST",AND(F250&gt;=8,G250&lt;=2,H250&gt;=5),"NEW CUSTOMERS",AND(F250&gt;=6,G250&lt;=2,H250&gt;=3),"PROMISING",AND(F250&gt;=3,G250&gt;=3,H250&gt;=3),"NEED ATTENTION",AND(F250&lt;=4,G250&gt;=6,H250&gt;=6),"AT RISK",AND(F250&lt;=2,G250&gt;=8,H250&gt;=8),"CAN'T LOSE THEM",AND(F250&lt;=2,G250&lt;=2,H250&lt;=2),"HIBERNATING",TRUE(),"Other")</f>
        <v>NEED ATTENTION</v>
      </c>
      <c r="K250" s="1" t="n">
        <f aca="false">RANK(E250,$E$7:$E$4378)+COUNTIF($E$7:E250,E250)-1</f>
        <v>1614</v>
      </c>
    </row>
    <row r="251" customFormat="false" ht="14.25" hidden="false" customHeight="true" outlineLevel="0" collapsed="false">
      <c r="A251" s="51" t="n">
        <v>12643</v>
      </c>
      <c r="B251" s="53" t="n">
        <v>40758.5388888889</v>
      </c>
      <c r="C251" s="57" t="n">
        <f aca="false">INT($C$2)-INT(Table3[[#This Row],[Last Purchase Date]])</f>
        <v>129</v>
      </c>
      <c r="D251" s="1" t="n">
        <v>6</v>
      </c>
      <c r="E251" s="1" t="n">
        <v>3344.64</v>
      </c>
      <c r="F251" s="1" t="n">
        <f aca="false">ROUND((1-_xlfn.PERCENTRANK.INC($C$7:$C$4378,C251))*9,0)</f>
        <v>2</v>
      </c>
      <c r="G251" s="1" t="n">
        <f aca="false">ROUND(_xlfn.PERCENTRANK.INC($D$7:$D$4378,D251)*9,0)</f>
        <v>7</v>
      </c>
      <c r="H251" s="1" t="n">
        <f aca="false">ROUND(_xlfn.PERCENTRANK.INC($E$7:$E$4378,E251)*9,0)</f>
        <v>8</v>
      </c>
      <c r="I251" s="1" t="str">
        <f aca="false">CONCATENATE(F251,G251,H251)</f>
        <v>278</v>
      </c>
      <c r="J251" s="1" t="str">
        <f aca="false">_xlfn.IFS(AND(F251&gt;=8,G251&gt;=8,H251&gt;=8),"CHAMPION",AND(F251&gt;=6,G251&gt;=7,H251&gt;=6),"LOYAL CUSTOMER",AND(F251&gt;=6,G251&gt;=5,H251&gt;=5),"POTENTIAL LOYALIST",AND(F251&gt;=8,G251&lt;=2,H251&gt;=5),"NEW CUSTOMERS",AND(F251&gt;=6,G251&lt;=2,H251&gt;=3),"PROMISING",AND(F251&gt;=3,G251&gt;=3,H251&gt;=3),"NEED ATTENTION",AND(F251&lt;=4,G251&gt;=6,H251&gt;=6),"AT RISK",AND(F251&lt;=2,G251&gt;=8,H251&gt;=8),"CAN'T LOSE THEM",AND(F251&lt;=2,G251&lt;=2,H251&lt;=2),"HIBERNATING",TRUE(),"Other")</f>
        <v>AT RISK</v>
      </c>
      <c r="K251" s="1" t="n">
        <f aca="false">RANK(E251,$E$7:$E$4378)+COUNTIF($E$7:E251,E251)-1</f>
        <v>469</v>
      </c>
    </row>
    <row r="252" customFormat="false" ht="14.25" hidden="false" customHeight="true" outlineLevel="0" collapsed="false">
      <c r="A252" s="51" t="n">
        <v>12644</v>
      </c>
      <c r="B252" s="53" t="n">
        <v>40757.4395833333</v>
      </c>
      <c r="C252" s="57" t="n">
        <f aca="false">INT($C$2)-INT(Table3[[#This Row],[Last Purchase Date]])</f>
        <v>130</v>
      </c>
      <c r="D252" s="1" t="n">
        <v>1</v>
      </c>
      <c r="E252" s="1" t="n">
        <v>477.91</v>
      </c>
      <c r="F252" s="1" t="n">
        <f aca="false">ROUND((1-_xlfn.PERCENTRANK.INC($C$7:$C$4378,C252))*9,0)</f>
        <v>2</v>
      </c>
      <c r="G252" s="1" t="n">
        <f aca="false">ROUND(_xlfn.PERCENTRANK.INC($D$7:$D$4378,D252)*9,0)</f>
        <v>0</v>
      </c>
      <c r="H252" s="1" t="n">
        <f aca="false">ROUND(_xlfn.PERCENTRANK.INC($E$7:$E$4378,E252)*9,0)</f>
        <v>4</v>
      </c>
      <c r="I252" s="1" t="str">
        <f aca="false">CONCATENATE(F252,G252,H252)</f>
        <v>204</v>
      </c>
      <c r="J252" s="1" t="str">
        <f aca="false">_xlfn.IFS(AND(F252&gt;=8,G252&gt;=8,H252&gt;=8),"CHAMPION",AND(F252&gt;=6,G252&gt;=7,H252&gt;=6),"LOYAL CUSTOMER",AND(F252&gt;=6,G252&gt;=5,H252&gt;=5),"POTENTIAL LOYALIST",AND(F252&gt;=8,G252&lt;=2,H252&gt;=5),"NEW CUSTOMERS",AND(F252&gt;=6,G252&lt;=2,H252&gt;=3),"PROMISING",AND(F252&gt;=3,G252&gt;=3,H252&gt;=3),"NEED ATTENTION",AND(F252&lt;=4,G252&gt;=6,H252&gt;=6),"AT RISK",AND(F252&lt;=2,G252&gt;=8,H252&gt;=8),"CAN'T LOSE THEM",AND(F252&lt;=2,G252&lt;=2,H252&lt;=2),"HIBERNATING",TRUE(),"Other")</f>
        <v>Other</v>
      </c>
      <c r="K252" s="1" t="n">
        <f aca="false">RANK(E252,$E$7:$E$4378)+COUNTIF($E$7:E252,E252)-1</f>
        <v>2598</v>
      </c>
    </row>
    <row r="253" customFormat="false" ht="14.25" hidden="false" customHeight="true" outlineLevel="0" collapsed="false">
      <c r="A253" s="51" t="n">
        <v>12645</v>
      </c>
      <c r="B253" s="53" t="n">
        <v>40853.5263888889</v>
      </c>
      <c r="C253" s="57" t="n">
        <f aca="false">INT($C$2)-INT(Table3[[#This Row],[Last Purchase Date]])</f>
        <v>34</v>
      </c>
      <c r="D253" s="1" t="n">
        <v>5</v>
      </c>
      <c r="E253" s="1" t="n">
        <v>1755.38</v>
      </c>
      <c r="F253" s="1" t="n">
        <f aca="false">ROUND((1-_xlfn.PERCENTRANK.INC($C$7:$C$4378,C253))*9,0)</f>
        <v>5</v>
      </c>
      <c r="G253" s="1" t="n">
        <f aca="false">ROUND(_xlfn.PERCENTRANK.INC($D$7:$D$4378,D253)*9,0)</f>
        <v>6</v>
      </c>
      <c r="H253" s="1" t="n">
        <f aca="false">ROUND(_xlfn.PERCENTRANK.INC($E$7:$E$4378,E253)*9,0)</f>
        <v>7</v>
      </c>
      <c r="I253" s="1" t="str">
        <f aca="false">CONCATENATE(F253,G253,H253)</f>
        <v>567</v>
      </c>
      <c r="J253" s="1" t="str">
        <f aca="false">_xlfn.IFS(AND(F253&gt;=8,G253&gt;=8,H253&gt;=8),"CHAMPION",AND(F253&gt;=6,G253&gt;=7,H253&gt;=6),"LOYAL CUSTOMER",AND(F253&gt;=6,G253&gt;=5,H253&gt;=5),"POTENTIAL LOYALIST",AND(F253&gt;=8,G253&lt;=2,H253&gt;=5),"NEW CUSTOMERS",AND(F253&gt;=6,G253&lt;=2,H253&gt;=3),"PROMISING",AND(F253&gt;=3,G253&gt;=3,H253&gt;=3),"NEED ATTENTION",AND(F253&lt;=4,G253&gt;=6,H253&gt;=6),"AT RISK",AND(F253&lt;=2,G253&gt;=8,H253&gt;=8),"CAN'T LOSE THEM",AND(F253&lt;=2,G253&lt;=2,H253&lt;=2),"HIBERNATING",TRUE(),"Other")</f>
        <v>NEED ATTENTION</v>
      </c>
      <c r="K253" s="1" t="n">
        <f aca="false">RANK(E253,$E$7:$E$4378)+COUNTIF($E$7:E253,E253)-1</f>
        <v>1008</v>
      </c>
    </row>
    <row r="254" customFormat="false" ht="14.25" hidden="false" customHeight="true" outlineLevel="0" collapsed="false">
      <c r="A254" s="51" t="n">
        <v>12646</v>
      </c>
      <c r="B254" s="53" t="n">
        <v>40882.4263888889</v>
      </c>
      <c r="C254" s="57" t="n">
        <f aca="false">INT($C$2)-INT(Table3[[#This Row],[Last Purchase Date]])</f>
        <v>5</v>
      </c>
      <c r="D254" s="1" t="n">
        <v>2</v>
      </c>
      <c r="E254" s="1" t="n">
        <v>1346.97</v>
      </c>
      <c r="F254" s="1" t="n">
        <f aca="false">ROUND((1-_xlfn.PERCENTRANK.INC($C$7:$C$4378,C254))*9,0)</f>
        <v>8</v>
      </c>
      <c r="G254" s="1" t="n">
        <f aca="false">ROUND(_xlfn.PERCENTRANK.INC($D$7:$D$4378,D254)*9,0)</f>
        <v>3</v>
      </c>
      <c r="H254" s="1" t="n">
        <f aca="false">ROUND(_xlfn.PERCENTRANK.INC($E$7:$E$4378,E254)*9,0)</f>
        <v>6</v>
      </c>
      <c r="I254" s="1" t="str">
        <f aca="false">CONCATENATE(F254,G254,H254)</f>
        <v>836</v>
      </c>
      <c r="J254" s="1" t="str">
        <f aca="false">_xlfn.IFS(AND(F254&gt;=8,G254&gt;=8,H254&gt;=8),"CHAMPION",AND(F254&gt;=6,G254&gt;=7,H254&gt;=6),"LOYAL CUSTOMER",AND(F254&gt;=6,G254&gt;=5,H254&gt;=5),"POTENTIAL LOYALIST",AND(F254&gt;=8,G254&lt;=2,H254&gt;=5),"NEW CUSTOMERS",AND(F254&gt;=6,G254&lt;=2,H254&gt;=3),"PROMISING",AND(F254&gt;=3,G254&gt;=3,H254&gt;=3),"NEED ATTENTION",AND(F254&lt;=4,G254&gt;=6,H254&gt;=6),"AT RISK",AND(F254&lt;=2,G254&gt;=8,H254&gt;=8),"CAN'T LOSE THEM",AND(F254&lt;=2,G254&lt;=2,H254&lt;=2),"HIBERNATING",TRUE(),"Other")</f>
        <v>NEED ATTENTION</v>
      </c>
      <c r="K254" s="1" t="n">
        <f aca="false">RANK(E254,$E$7:$E$4378)+COUNTIF($E$7:E254,E254)-1</f>
        <v>1279</v>
      </c>
    </row>
    <row r="255" customFormat="false" ht="14.25" hidden="false" customHeight="true" outlineLevel="0" collapsed="false">
      <c r="A255" s="51" t="n">
        <v>12647</v>
      </c>
      <c r="B255" s="53" t="n">
        <v>40864.5388888889</v>
      </c>
      <c r="C255" s="57" t="n">
        <f aca="false">INT($C$2)-INT(Table3[[#This Row],[Last Purchase Date]])</f>
        <v>23</v>
      </c>
      <c r="D255" s="1" t="n">
        <v>13</v>
      </c>
      <c r="E255" s="1" t="n">
        <v>3669.92</v>
      </c>
      <c r="F255" s="1" t="n">
        <f aca="false">ROUND((1-_xlfn.PERCENTRANK.INC($C$7:$C$4378,C255))*9,0)</f>
        <v>6</v>
      </c>
      <c r="G255" s="1" t="n">
        <f aca="false">ROUND(_xlfn.PERCENTRANK.INC($D$7:$D$4378,D255)*9,0)</f>
        <v>8</v>
      </c>
      <c r="H255" s="1" t="n">
        <f aca="false">ROUND(_xlfn.PERCENTRANK.INC($E$7:$E$4378,E255)*9,0)</f>
        <v>8</v>
      </c>
      <c r="I255" s="1" t="str">
        <f aca="false">CONCATENATE(F255,G255,H255)</f>
        <v>688</v>
      </c>
      <c r="J255" s="1" t="str">
        <f aca="false">_xlfn.IFS(AND(F255&gt;=8,G255&gt;=8,H255&gt;=8),"CHAMPION",AND(F255&gt;=6,G255&gt;=7,H255&gt;=6),"LOYAL CUSTOMER",AND(F255&gt;=6,G255&gt;=5,H255&gt;=5),"POTENTIAL LOYALIST",AND(F255&gt;=8,G255&lt;=2,H255&gt;=5),"NEW CUSTOMERS",AND(F255&gt;=6,G255&lt;=2,H255&gt;=3),"PROMISING",AND(F255&gt;=3,G255&gt;=3,H255&gt;=3),"NEED ATTENTION",AND(F255&lt;=4,G255&gt;=6,H255&gt;=6),"AT RISK",AND(F255&lt;=2,G255&gt;=8,H255&gt;=8),"CAN'T LOSE THEM",AND(F255&lt;=2,G255&lt;=2,H255&lt;=2),"HIBERNATING",TRUE(),"Other")</f>
        <v>LOYAL CUSTOMER</v>
      </c>
      <c r="K255" s="1" t="n">
        <f aca="false">RANK(E255,$E$7:$E$4378)+COUNTIF($E$7:E255,E255)-1</f>
        <v>407</v>
      </c>
    </row>
    <row r="256" customFormat="false" ht="14.25" hidden="false" customHeight="true" outlineLevel="0" collapsed="false">
      <c r="A256" s="51" t="n">
        <v>12648</v>
      </c>
      <c r="B256" s="53" t="n">
        <v>40732.4965277778</v>
      </c>
      <c r="C256" s="57" t="n">
        <f aca="false">INT($C$2)-INT(Table3[[#This Row],[Last Purchase Date]])</f>
        <v>155</v>
      </c>
      <c r="D256" s="1" t="n">
        <v>1</v>
      </c>
      <c r="E256" s="1" t="n">
        <v>318.05</v>
      </c>
      <c r="F256" s="1" t="n">
        <f aca="false">ROUND((1-_xlfn.PERCENTRANK.INC($C$7:$C$4378,C256))*9,0)</f>
        <v>2</v>
      </c>
      <c r="G256" s="1" t="n">
        <f aca="false">ROUND(_xlfn.PERCENTRANK.INC($D$7:$D$4378,D256)*9,0)</f>
        <v>0</v>
      </c>
      <c r="H256" s="1" t="n">
        <f aca="false">ROUND(_xlfn.PERCENTRANK.INC($E$7:$E$4378,E256)*9,0)</f>
        <v>3</v>
      </c>
      <c r="I256" s="1" t="str">
        <f aca="false">CONCATENATE(F256,G256,H256)</f>
        <v>203</v>
      </c>
      <c r="J256" s="1" t="str">
        <f aca="false">_xlfn.IFS(AND(F256&gt;=8,G256&gt;=8,H256&gt;=8),"CHAMPION",AND(F256&gt;=6,G256&gt;=7,H256&gt;=6),"LOYAL CUSTOMER",AND(F256&gt;=6,G256&gt;=5,H256&gt;=5),"POTENTIAL LOYALIST",AND(F256&gt;=8,G256&lt;=2,H256&gt;=5),"NEW CUSTOMERS",AND(F256&gt;=6,G256&lt;=2,H256&gt;=3),"PROMISING",AND(F256&gt;=3,G256&gt;=3,H256&gt;=3),"NEED ATTENTION",AND(F256&lt;=4,G256&gt;=6,H256&gt;=6),"AT RISK",AND(F256&lt;=2,G256&gt;=8,H256&gt;=8),"CAN'T LOSE THEM",AND(F256&lt;=2,G256&lt;=2,H256&lt;=2),"HIBERNATING",TRUE(),"Other")</f>
        <v>Other</v>
      </c>
      <c r="K256" s="1" t="n">
        <f aca="false">RANK(E256,$E$7:$E$4378)+COUNTIF($E$7:E256,E256)-1</f>
        <v>3148</v>
      </c>
    </row>
    <row r="257" customFormat="false" ht="14.25" hidden="false" customHeight="true" outlineLevel="0" collapsed="false">
      <c r="A257" s="51" t="n">
        <v>12649</v>
      </c>
      <c r="B257" s="53" t="n">
        <v>40779.6118055556</v>
      </c>
      <c r="C257" s="57" t="n">
        <f aca="false">INT($C$2)-INT(Table3[[#This Row],[Last Purchase Date]])</f>
        <v>108</v>
      </c>
      <c r="D257" s="1" t="n">
        <v>4</v>
      </c>
      <c r="E257" s="1" t="n">
        <v>603.71</v>
      </c>
      <c r="F257" s="1" t="n">
        <f aca="false">ROUND((1-_xlfn.PERCENTRANK.INC($C$7:$C$4378,C257))*9,0)</f>
        <v>3</v>
      </c>
      <c r="G257" s="1" t="n">
        <f aca="false">ROUND(_xlfn.PERCENTRANK.INC($D$7:$D$4378,D257)*9,0)</f>
        <v>5</v>
      </c>
      <c r="H257" s="1" t="n">
        <f aca="false">ROUND(_xlfn.PERCENTRANK.INC($E$7:$E$4378,E257)*9,0)</f>
        <v>4</v>
      </c>
      <c r="I257" s="1" t="str">
        <f aca="false">CONCATENATE(F257,G257,H257)</f>
        <v>354</v>
      </c>
      <c r="J257" s="1" t="str">
        <f aca="false">_xlfn.IFS(AND(F257&gt;=8,G257&gt;=8,H257&gt;=8),"CHAMPION",AND(F257&gt;=6,G257&gt;=7,H257&gt;=6),"LOYAL CUSTOMER",AND(F257&gt;=6,G257&gt;=5,H257&gt;=5),"POTENTIAL LOYALIST",AND(F257&gt;=8,G257&lt;=2,H257&gt;=5),"NEW CUSTOMERS",AND(F257&gt;=6,G257&lt;=2,H257&gt;=3),"PROMISING",AND(F257&gt;=3,G257&gt;=3,H257&gt;=3),"NEED ATTENTION",AND(F257&lt;=4,G257&gt;=6,H257&gt;=6),"AT RISK",AND(F257&lt;=2,G257&gt;=8,H257&gt;=8),"CAN'T LOSE THEM",AND(F257&lt;=2,G257&lt;=2,H257&lt;=2),"HIBERNATING",TRUE(),"Other")</f>
        <v>NEED ATTENTION</v>
      </c>
      <c r="K257" s="1" t="n">
        <f aca="false">RANK(E257,$E$7:$E$4378)+COUNTIF($E$7:E257,E257)-1</f>
        <v>2304</v>
      </c>
    </row>
    <row r="258" customFormat="false" ht="14.25" hidden="false" customHeight="true" outlineLevel="0" collapsed="false">
      <c r="A258" s="51" t="n">
        <v>12650</v>
      </c>
      <c r="B258" s="53" t="n">
        <v>40883.6902777778</v>
      </c>
      <c r="C258" s="57" t="n">
        <f aca="false">INT($C$2)-INT(Table3[[#This Row],[Last Purchase Date]])</f>
        <v>4</v>
      </c>
      <c r="D258" s="1" t="n">
        <v>1</v>
      </c>
      <c r="E258" s="1" t="n">
        <v>314.44</v>
      </c>
      <c r="F258" s="1" t="n">
        <f aca="false">ROUND((1-_xlfn.PERCENTRANK.INC($C$7:$C$4378,C258))*9,0)</f>
        <v>8</v>
      </c>
      <c r="G258" s="1" t="n">
        <f aca="false">ROUND(_xlfn.PERCENTRANK.INC($D$7:$D$4378,D258)*9,0)</f>
        <v>0</v>
      </c>
      <c r="H258" s="1" t="n">
        <f aca="false">ROUND(_xlfn.PERCENTRANK.INC($E$7:$E$4378,E258)*9,0)</f>
        <v>2</v>
      </c>
      <c r="I258" s="1" t="str">
        <f aca="false">CONCATENATE(F258,G258,H258)</f>
        <v>802</v>
      </c>
      <c r="J258" s="1" t="str">
        <f aca="false">_xlfn.IFS(AND(F258&gt;=8,G258&gt;=8,H258&gt;=8),"CHAMPION",AND(F258&gt;=6,G258&gt;=7,H258&gt;=6),"LOYAL CUSTOMER",AND(F258&gt;=6,G258&gt;=5,H258&gt;=5),"POTENTIAL LOYALIST",AND(F258&gt;=8,G258&lt;=2,H258&gt;=5),"NEW CUSTOMERS",AND(F258&gt;=6,G258&lt;=2,H258&gt;=3),"PROMISING",AND(F258&gt;=3,G258&gt;=3,H258&gt;=3),"NEED ATTENTION",AND(F258&lt;=4,G258&gt;=6,H258&gt;=6),"AT RISK",AND(F258&lt;=2,G258&gt;=8,H258&gt;=8),"CAN'T LOSE THEM",AND(F258&lt;=2,G258&lt;=2,H258&lt;=2),"HIBERNATING",TRUE(),"Other")</f>
        <v>Other</v>
      </c>
      <c r="K258" s="1" t="n">
        <f aca="false">RANK(E258,$E$7:$E$4378)+COUNTIF($E$7:E258,E258)-1</f>
        <v>3167</v>
      </c>
    </row>
    <row r="259" customFormat="false" ht="14.25" hidden="false" customHeight="true" outlineLevel="0" collapsed="false">
      <c r="A259" s="51" t="n">
        <v>12651</v>
      </c>
      <c r="B259" s="53" t="n">
        <v>40552.5319444445</v>
      </c>
      <c r="C259" s="57" t="n">
        <f aca="false">INT($C$2)-INT(Table3[[#This Row],[Last Purchase Date]])</f>
        <v>335</v>
      </c>
      <c r="D259" s="1" t="n">
        <v>1</v>
      </c>
      <c r="E259" s="1" t="n">
        <v>114</v>
      </c>
      <c r="F259" s="1" t="n">
        <f aca="false">ROUND((1-_xlfn.PERCENTRANK.INC($C$7:$C$4378,C259))*9,0)</f>
        <v>0</v>
      </c>
      <c r="G259" s="1" t="n">
        <f aca="false">ROUND(_xlfn.PERCENTRANK.INC($D$7:$D$4378,D259)*9,0)</f>
        <v>0</v>
      </c>
      <c r="H259" s="1" t="n">
        <f aca="false">ROUND(_xlfn.PERCENTRANK.INC($E$7:$E$4378,E259)*9,0)</f>
        <v>1</v>
      </c>
      <c r="I259" s="1" t="str">
        <f aca="false">CONCATENATE(F259,G259,H259)</f>
        <v>001</v>
      </c>
      <c r="J259" s="1" t="str">
        <f aca="false">_xlfn.IFS(AND(F259&gt;=8,G259&gt;=8,H259&gt;=8),"CHAMPION",AND(F259&gt;=6,G259&gt;=7,H259&gt;=6),"LOYAL CUSTOMER",AND(F259&gt;=6,G259&gt;=5,H259&gt;=5),"POTENTIAL LOYALIST",AND(F259&gt;=8,G259&lt;=2,H259&gt;=5),"NEW CUSTOMERS",AND(F259&gt;=6,G259&lt;=2,H259&gt;=3),"PROMISING",AND(F259&gt;=3,G259&gt;=3,H259&gt;=3),"NEED ATTENTION",AND(F259&lt;=4,G259&gt;=6,H259&gt;=6),"AT RISK",AND(F259&lt;=2,G259&gt;=8,H259&gt;=8),"CAN'T LOSE THEM",AND(F259&lt;=2,G259&lt;=2,H259&lt;=2),"HIBERNATING",TRUE(),"Other")</f>
        <v>HIBERNATING</v>
      </c>
      <c r="K259" s="1" t="n">
        <f aca="false">RANK(E259,$E$7:$E$4378)+COUNTIF($E$7:E259,E259)-1</f>
        <v>4084</v>
      </c>
    </row>
    <row r="260" customFormat="false" ht="14.25" hidden="false" customHeight="true" outlineLevel="0" collapsed="false">
      <c r="A260" s="51" t="n">
        <v>12652</v>
      </c>
      <c r="B260" s="53" t="n">
        <v>40564.7090277778</v>
      </c>
      <c r="C260" s="57" t="n">
        <f aca="false">INT($C$2)-INT(Table3[[#This Row],[Last Purchase Date]])</f>
        <v>323</v>
      </c>
      <c r="D260" s="1" t="n">
        <v>2</v>
      </c>
      <c r="E260" s="1" t="n">
        <v>914.53</v>
      </c>
      <c r="F260" s="1" t="n">
        <f aca="false">ROUND((1-_xlfn.PERCENTRANK.INC($C$7:$C$4378,C260))*9,0)</f>
        <v>0</v>
      </c>
      <c r="G260" s="1" t="n">
        <f aca="false">ROUND(_xlfn.PERCENTRANK.INC($D$7:$D$4378,D260)*9,0)</f>
        <v>3</v>
      </c>
      <c r="H260" s="1" t="n">
        <f aca="false">ROUND(_xlfn.PERCENTRANK.INC($E$7:$E$4378,E260)*9,0)</f>
        <v>5</v>
      </c>
      <c r="I260" s="1" t="str">
        <f aca="false">CONCATENATE(F260,G260,H260)</f>
        <v>035</v>
      </c>
      <c r="J260" s="1" t="str">
        <f aca="false">_xlfn.IFS(AND(F260&gt;=8,G260&gt;=8,H260&gt;=8),"CHAMPION",AND(F260&gt;=6,G260&gt;=7,H260&gt;=6),"LOYAL CUSTOMER",AND(F260&gt;=6,G260&gt;=5,H260&gt;=5),"POTENTIAL LOYALIST",AND(F260&gt;=8,G260&lt;=2,H260&gt;=5),"NEW CUSTOMERS",AND(F260&gt;=6,G260&lt;=2,H260&gt;=3),"PROMISING",AND(F260&gt;=3,G260&gt;=3,H260&gt;=3),"NEED ATTENTION",AND(F260&lt;=4,G260&gt;=6,H260&gt;=6),"AT RISK",AND(F260&lt;=2,G260&gt;=8,H260&gt;=8),"CAN'T LOSE THEM",AND(F260&lt;=2,G260&lt;=2,H260&lt;=2),"HIBERNATING",TRUE(),"Other")</f>
        <v>Other</v>
      </c>
      <c r="K260" s="1" t="n">
        <f aca="false">RANK(E260,$E$7:$E$4378)+COUNTIF($E$7:E260,E260)-1</f>
        <v>1737</v>
      </c>
    </row>
    <row r="261" customFormat="false" ht="14.25" hidden="false" customHeight="true" outlineLevel="0" collapsed="false">
      <c r="A261" s="51" t="n">
        <v>12653</v>
      </c>
      <c r="B261" s="53" t="n">
        <v>40738.4451388889</v>
      </c>
      <c r="C261" s="57" t="n">
        <f aca="false">INT($C$2)-INT(Table3[[#This Row],[Last Purchase Date]])</f>
        <v>149</v>
      </c>
      <c r="D261" s="1" t="n">
        <v>2</v>
      </c>
      <c r="E261" s="1" t="n">
        <v>2209.85</v>
      </c>
      <c r="F261" s="1" t="n">
        <f aca="false">ROUND((1-_xlfn.PERCENTRANK.INC($C$7:$C$4378,C261))*9,0)</f>
        <v>2</v>
      </c>
      <c r="G261" s="1" t="n">
        <f aca="false">ROUND(_xlfn.PERCENTRANK.INC($D$7:$D$4378,D261)*9,0)</f>
        <v>3</v>
      </c>
      <c r="H261" s="1" t="n">
        <f aca="false">ROUND(_xlfn.PERCENTRANK.INC($E$7:$E$4378,E261)*9,0)</f>
        <v>7</v>
      </c>
      <c r="I261" s="1" t="str">
        <f aca="false">CONCATENATE(F261,G261,H261)</f>
        <v>237</v>
      </c>
      <c r="J261" s="1" t="str">
        <f aca="false">_xlfn.IFS(AND(F261&gt;=8,G261&gt;=8,H261&gt;=8),"CHAMPION",AND(F261&gt;=6,G261&gt;=7,H261&gt;=6),"LOYAL CUSTOMER",AND(F261&gt;=6,G261&gt;=5,H261&gt;=5),"POTENTIAL LOYALIST",AND(F261&gt;=8,G261&lt;=2,H261&gt;=5),"NEW CUSTOMERS",AND(F261&gt;=6,G261&lt;=2,H261&gt;=3),"PROMISING",AND(F261&gt;=3,G261&gt;=3,H261&gt;=3),"NEED ATTENTION",AND(F261&lt;=4,G261&gt;=6,H261&gt;=6),"AT RISK",AND(F261&lt;=2,G261&gt;=8,H261&gt;=8),"CAN'T LOSE THEM",AND(F261&lt;=2,G261&lt;=2,H261&lt;=2),"HIBERNATING",TRUE(),"Other")</f>
        <v>Other</v>
      </c>
      <c r="K261" s="1" t="n">
        <f aca="false">RANK(E261,$E$7:$E$4378)+COUNTIF($E$7:E261,E261)-1</f>
        <v>776</v>
      </c>
    </row>
    <row r="262" customFormat="false" ht="14.25" hidden="false" customHeight="true" outlineLevel="0" collapsed="false">
      <c r="A262" s="51" t="n">
        <v>12654</v>
      </c>
      <c r="B262" s="53" t="n">
        <v>40876.4236111111</v>
      </c>
      <c r="C262" s="57" t="n">
        <f aca="false">INT($C$2)-INT(Table3[[#This Row],[Last Purchase Date]])</f>
        <v>11</v>
      </c>
      <c r="D262" s="1" t="n">
        <v>5</v>
      </c>
      <c r="E262" s="1" t="n">
        <v>601.98</v>
      </c>
      <c r="F262" s="1" t="n">
        <f aca="false">ROUND((1-_xlfn.PERCENTRANK.INC($C$7:$C$4378,C262))*9,0)</f>
        <v>7</v>
      </c>
      <c r="G262" s="1" t="n">
        <f aca="false">ROUND(_xlfn.PERCENTRANK.INC($D$7:$D$4378,D262)*9,0)</f>
        <v>6</v>
      </c>
      <c r="H262" s="1" t="n">
        <f aca="false">ROUND(_xlfn.PERCENTRANK.INC($E$7:$E$4378,E262)*9,0)</f>
        <v>4</v>
      </c>
      <c r="I262" s="1" t="str">
        <f aca="false">CONCATENATE(F262,G262,H262)</f>
        <v>764</v>
      </c>
      <c r="J262" s="1" t="str">
        <f aca="false">_xlfn.IFS(AND(F262&gt;=8,G262&gt;=8,H262&gt;=8),"CHAMPION",AND(F262&gt;=6,G262&gt;=7,H262&gt;=6),"LOYAL CUSTOMER",AND(F262&gt;=6,G262&gt;=5,H262&gt;=5),"POTENTIAL LOYALIST",AND(F262&gt;=8,G262&lt;=2,H262&gt;=5),"NEW CUSTOMERS",AND(F262&gt;=6,G262&lt;=2,H262&gt;=3),"PROMISING",AND(F262&gt;=3,G262&gt;=3,H262&gt;=3),"NEED ATTENTION",AND(F262&lt;=4,G262&gt;=6,H262&gt;=6),"AT RISK",AND(F262&lt;=2,G262&gt;=8,H262&gt;=8),"CAN'T LOSE THEM",AND(F262&lt;=2,G262&lt;=2,H262&lt;=2),"HIBERNATING",TRUE(),"Other")</f>
        <v>NEED ATTENTION</v>
      </c>
      <c r="K262" s="1" t="n">
        <f aca="false">RANK(E262,$E$7:$E$4378)+COUNTIF($E$7:E262,E262)-1</f>
        <v>2312</v>
      </c>
    </row>
    <row r="263" customFormat="false" ht="14.25" hidden="false" customHeight="true" outlineLevel="0" collapsed="false">
      <c r="A263" s="51" t="n">
        <v>12656</v>
      </c>
      <c r="B263" s="53" t="n">
        <v>40869.5708333333</v>
      </c>
      <c r="C263" s="57" t="n">
        <f aca="false">INT($C$2)-INT(Table3[[#This Row],[Last Purchase Date]])</f>
        <v>18</v>
      </c>
      <c r="D263" s="1" t="n">
        <v>8</v>
      </c>
      <c r="E263" s="1" t="n">
        <v>3982.72</v>
      </c>
      <c r="F263" s="1" t="n">
        <f aca="false">ROUND((1-_xlfn.PERCENTRANK.INC($C$7:$C$4378,C263))*9,0)</f>
        <v>7</v>
      </c>
      <c r="G263" s="1" t="n">
        <f aca="false">ROUND(_xlfn.PERCENTRANK.INC($D$7:$D$4378,D263)*9,0)</f>
        <v>7</v>
      </c>
      <c r="H263" s="1" t="n">
        <f aca="false">ROUND(_xlfn.PERCENTRANK.INC($E$7:$E$4378,E263)*9,0)</f>
        <v>8</v>
      </c>
      <c r="I263" s="1" t="str">
        <f aca="false">CONCATENATE(F263,G263,H263)</f>
        <v>778</v>
      </c>
      <c r="J263" s="1" t="str">
        <f aca="false">_xlfn.IFS(AND(F263&gt;=8,G263&gt;=8,H263&gt;=8),"CHAMPION",AND(F263&gt;=6,G263&gt;=7,H263&gt;=6),"LOYAL CUSTOMER",AND(F263&gt;=6,G263&gt;=5,H263&gt;=5),"POTENTIAL LOYALIST",AND(F263&gt;=8,G263&lt;=2,H263&gt;=5),"NEW CUSTOMERS",AND(F263&gt;=6,G263&lt;=2,H263&gt;=3),"PROMISING",AND(F263&gt;=3,G263&gt;=3,H263&gt;=3),"NEED ATTENTION",AND(F263&lt;=4,G263&gt;=6,H263&gt;=6),"AT RISK",AND(F263&lt;=2,G263&gt;=8,H263&gt;=8),"CAN'T LOSE THEM",AND(F263&lt;=2,G263&lt;=2,H263&lt;=2),"HIBERNATING",TRUE(),"Other")</f>
        <v>LOYAL CUSTOMER</v>
      </c>
      <c r="K263" s="1" t="n">
        <f aca="false">RANK(E263,$E$7:$E$4378)+COUNTIF($E$7:E263,E263)-1</f>
        <v>356</v>
      </c>
    </row>
    <row r="264" customFormat="false" ht="14.25" hidden="false" customHeight="true" outlineLevel="0" collapsed="false">
      <c r="A264" s="51" t="n">
        <v>12657</v>
      </c>
      <c r="B264" s="53" t="n">
        <v>40875.6576388889</v>
      </c>
      <c r="C264" s="57" t="n">
        <f aca="false">INT($C$2)-INT(Table3[[#This Row],[Last Purchase Date]])</f>
        <v>12</v>
      </c>
      <c r="D264" s="1" t="n">
        <v>5</v>
      </c>
      <c r="E264" s="1" t="n">
        <v>1152.06</v>
      </c>
      <c r="F264" s="1" t="n">
        <f aca="false">ROUND((1-_xlfn.PERCENTRANK.INC($C$7:$C$4378,C264))*9,0)</f>
        <v>7</v>
      </c>
      <c r="G264" s="1" t="n">
        <f aca="false">ROUND(_xlfn.PERCENTRANK.INC($D$7:$D$4378,D264)*9,0)</f>
        <v>6</v>
      </c>
      <c r="H264" s="1" t="n">
        <f aca="false">ROUND(_xlfn.PERCENTRANK.INC($E$7:$E$4378,E264)*9,0)</f>
        <v>6</v>
      </c>
      <c r="I264" s="1" t="str">
        <f aca="false">CONCATENATE(F264,G264,H264)</f>
        <v>766</v>
      </c>
      <c r="J264" s="1" t="str">
        <f aca="false">_xlfn.IFS(AND(F264&gt;=8,G264&gt;=8,H264&gt;=8),"CHAMPION",AND(F264&gt;=6,G264&gt;=7,H264&gt;=6),"LOYAL CUSTOMER",AND(F264&gt;=6,G264&gt;=5,H264&gt;=5),"POTENTIAL LOYALIST",AND(F264&gt;=8,G264&lt;=2,H264&gt;=5),"NEW CUSTOMERS",AND(F264&gt;=6,G264&lt;=2,H264&gt;=3),"PROMISING",AND(F264&gt;=3,G264&gt;=3,H264&gt;=3),"NEED ATTENTION",AND(F264&lt;=4,G264&gt;=6,H264&gt;=6),"AT RISK",AND(F264&lt;=2,G264&gt;=8,H264&gt;=8),"CAN'T LOSE THEM",AND(F264&lt;=2,G264&lt;=2,H264&lt;=2),"HIBERNATING",TRUE(),"Other")</f>
        <v>POTENTIAL LOYALIST</v>
      </c>
      <c r="K264" s="1" t="n">
        <f aca="false">RANK(E264,$E$7:$E$4378)+COUNTIF($E$7:E264,E264)-1</f>
        <v>1448</v>
      </c>
    </row>
    <row r="265" customFormat="false" ht="14.25" hidden="false" customHeight="true" outlineLevel="0" collapsed="false">
      <c r="A265" s="51" t="n">
        <v>12658</v>
      </c>
      <c r="B265" s="53" t="n">
        <v>40868.4319444444</v>
      </c>
      <c r="C265" s="57" t="n">
        <f aca="false">INT($C$2)-INT(Table3[[#This Row],[Last Purchase Date]])</f>
        <v>19</v>
      </c>
      <c r="D265" s="1" t="n">
        <v>1</v>
      </c>
      <c r="E265" s="1" t="n">
        <v>686.05</v>
      </c>
      <c r="F265" s="1" t="n">
        <f aca="false">ROUND((1-_xlfn.PERCENTRANK.INC($C$7:$C$4378,C265))*9,0)</f>
        <v>7</v>
      </c>
      <c r="G265" s="1" t="n">
        <f aca="false">ROUND(_xlfn.PERCENTRANK.INC($D$7:$D$4378,D265)*9,0)</f>
        <v>0</v>
      </c>
      <c r="H265" s="1" t="n">
        <f aca="false">ROUND(_xlfn.PERCENTRANK.INC($E$7:$E$4378,E265)*9,0)</f>
        <v>5</v>
      </c>
      <c r="I265" s="1" t="str">
        <f aca="false">CONCATENATE(F265,G265,H265)</f>
        <v>705</v>
      </c>
      <c r="J265" s="1" t="str">
        <f aca="false">_xlfn.IFS(AND(F265&gt;=8,G265&gt;=8,H265&gt;=8),"CHAMPION",AND(F265&gt;=6,G265&gt;=7,H265&gt;=6),"LOYAL CUSTOMER",AND(F265&gt;=6,G265&gt;=5,H265&gt;=5),"POTENTIAL LOYALIST",AND(F265&gt;=8,G265&lt;=2,H265&gt;=5),"NEW CUSTOMERS",AND(F265&gt;=6,G265&lt;=2,H265&gt;=3),"PROMISING",AND(F265&gt;=3,G265&gt;=3,H265&gt;=3),"NEED ATTENTION",AND(F265&lt;=4,G265&gt;=6,H265&gt;=6),"AT RISK",AND(F265&lt;=2,G265&gt;=8,H265&gt;=8),"CAN'T LOSE THEM",AND(F265&lt;=2,G265&lt;=2,H265&lt;=2),"HIBERNATING",TRUE(),"Other")</f>
        <v>PROMISING</v>
      </c>
      <c r="K265" s="1" t="n">
        <f aca="false">RANK(E265,$E$7:$E$4378)+COUNTIF($E$7:E265,E265)-1</f>
        <v>2089</v>
      </c>
    </row>
    <row r="266" customFormat="false" ht="14.25" hidden="false" customHeight="true" outlineLevel="0" collapsed="false">
      <c r="A266" s="51" t="n">
        <v>12659</v>
      </c>
      <c r="B266" s="53" t="n">
        <v>40857.4951388889</v>
      </c>
      <c r="C266" s="57" t="n">
        <f aca="false">INT($C$2)-INT(Table3[[#This Row],[Last Purchase Date]])</f>
        <v>30</v>
      </c>
      <c r="D266" s="1" t="n">
        <v>1</v>
      </c>
      <c r="E266" s="1" t="n">
        <v>91.68</v>
      </c>
      <c r="F266" s="1" t="n">
        <f aca="false">ROUND((1-_xlfn.PERCENTRANK.INC($C$7:$C$4378,C266))*9,0)</f>
        <v>6</v>
      </c>
      <c r="G266" s="1" t="n">
        <f aca="false">ROUND(_xlfn.PERCENTRANK.INC($D$7:$D$4378,D266)*9,0)</f>
        <v>0</v>
      </c>
      <c r="H266" s="1" t="n">
        <f aca="false">ROUND(_xlfn.PERCENTRANK.INC($E$7:$E$4378,E266)*9,0)</f>
        <v>0</v>
      </c>
      <c r="I266" s="1" t="str">
        <f aca="false">CONCATENATE(F266,G266,H266)</f>
        <v>600</v>
      </c>
      <c r="J266" s="1" t="str">
        <f aca="false">_xlfn.IFS(AND(F266&gt;=8,G266&gt;=8,H266&gt;=8),"CHAMPION",AND(F266&gt;=6,G266&gt;=7,H266&gt;=6),"LOYAL CUSTOMER",AND(F266&gt;=6,G266&gt;=5,H266&gt;=5),"POTENTIAL LOYALIST",AND(F266&gt;=8,G266&lt;=2,H266&gt;=5),"NEW CUSTOMERS",AND(F266&gt;=6,G266&lt;=2,H266&gt;=3),"PROMISING",AND(F266&gt;=3,G266&gt;=3,H266&gt;=3),"NEED ATTENTION",AND(F266&lt;=4,G266&gt;=6,H266&gt;=6),"AT RISK",AND(F266&lt;=2,G266&gt;=8,H266&gt;=8),"CAN'T LOSE THEM",AND(F266&lt;=2,G266&lt;=2,H266&lt;=2),"HIBERNATING",TRUE(),"Other")</f>
        <v>Other</v>
      </c>
      <c r="K266" s="1" t="n">
        <f aca="false">RANK(E266,$E$7:$E$4378)+COUNTIF($E$7:E266,E266)-1</f>
        <v>4188</v>
      </c>
    </row>
    <row r="267" customFormat="false" ht="14.25" hidden="false" customHeight="true" outlineLevel="0" collapsed="false">
      <c r="A267" s="51" t="n">
        <v>12660</v>
      </c>
      <c r="B267" s="53" t="n">
        <v>40875.5597222222</v>
      </c>
      <c r="C267" s="57" t="n">
        <f aca="false">INT($C$2)-INT(Table3[[#This Row],[Last Purchase Date]])</f>
        <v>12</v>
      </c>
      <c r="D267" s="1" t="n">
        <v>1</v>
      </c>
      <c r="E267" s="1" t="n">
        <v>245.1</v>
      </c>
      <c r="F267" s="1" t="n">
        <f aca="false">ROUND((1-_xlfn.PERCENTRANK.INC($C$7:$C$4378,C267))*9,0)</f>
        <v>7</v>
      </c>
      <c r="G267" s="1" t="n">
        <f aca="false">ROUND(_xlfn.PERCENTRANK.INC($D$7:$D$4378,D267)*9,0)</f>
        <v>0</v>
      </c>
      <c r="H267" s="1" t="n">
        <f aca="false">ROUND(_xlfn.PERCENTRANK.INC($E$7:$E$4378,E267)*9,0)</f>
        <v>2</v>
      </c>
      <c r="I267" s="1" t="str">
        <f aca="false">CONCATENATE(F267,G267,H267)</f>
        <v>702</v>
      </c>
      <c r="J267" s="1" t="str">
        <f aca="false">_xlfn.IFS(AND(F267&gt;=8,G267&gt;=8,H267&gt;=8),"CHAMPION",AND(F267&gt;=6,G267&gt;=7,H267&gt;=6),"LOYAL CUSTOMER",AND(F267&gt;=6,G267&gt;=5,H267&gt;=5),"POTENTIAL LOYALIST",AND(F267&gt;=8,G267&lt;=2,H267&gt;=5),"NEW CUSTOMERS",AND(F267&gt;=6,G267&lt;=2,H267&gt;=3),"PROMISING",AND(F267&gt;=3,G267&gt;=3,H267&gt;=3),"NEED ATTENTION",AND(F267&lt;=4,G267&gt;=6,H267&gt;=6),"AT RISK",AND(F267&lt;=2,G267&gt;=8,H267&gt;=8),"CAN'T LOSE THEM",AND(F267&lt;=2,G267&lt;=2,H267&lt;=2),"HIBERNATING",TRUE(),"Other")</f>
        <v>Other</v>
      </c>
      <c r="K267" s="1" t="n">
        <f aca="false">RANK(E267,$E$7:$E$4378)+COUNTIF($E$7:E267,E267)-1</f>
        <v>3458</v>
      </c>
    </row>
    <row r="268" customFormat="false" ht="14.25" hidden="false" customHeight="true" outlineLevel="0" collapsed="false">
      <c r="A268" s="51" t="n">
        <v>12662</v>
      </c>
      <c r="B268" s="53" t="n">
        <v>40886.4993055556</v>
      </c>
      <c r="C268" s="57" t="n">
        <f aca="false">INT($C$2)-INT(Table3[[#This Row],[Last Purchase Date]])</f>
        <v>1</v>
      </c>
      <c r="D268" s="1" t="n">
        <v>12</v>
      </c>
      <c r="E268" s="1" t="n">
        <v>3817.08</v>
      </c>
      <c r="F268" s="1" t="n">
        <f aca="false">ROUND((1-_xlfn.PERCENTRANK.INC($C$7:$C$4378,C268))*9,0)</f>
        <v>9</v>
      </c>
      <c r="G268" s="1" t="n">
        <f aca="false">ROUND(_xlfn.PERCENTRANK.INC($D$7:$D$4378,D268)*9,0)</f>
        <v>8</v>
      </c>
      <c r="H268" s="1" t="n">
        <f aca="false">ROUND(_xlfn.PERCENTRANK.INC($E$7:$E$4378,E268)*9,0)</f>
        <v>8</v>
      </c>
      <c r="I268" s="1" t="str">
        <f aca="false">CONCATENATE(F268,G268,H268)</f>
        <v>988</v>
      </c>
      <c r="J268" s="1" t="str">
        <f aca="false">_xlfn.IFS(AND(F268&gt;=8,G268&gt;=8,H268&gt;=8),"CHAMPION",AND(F268&gt;=6,G268&gt;=7,H268&gt;=6),"LOYAL CUSTOMER",AND(F268&gt;=6,G268&gt;=5,H268&gt;=5),"POTENTIAL LOYALIST",AND(F268&gt;=8,G268&lt;=2,H268&gt;=5),"NEW CUSTOMERS",AND(F268&gt;=6,G268&lt;=2,H268&gt;=3),"PROMISING",AND(F268&gt;=3,G268&gt;=3,H268&gt;=3),"NEED ATTENTION",AND(F268&lt;=4,G268&gt;=6,H268&gt;=6),"AT RISK",AND(F268&lt;=2,G268&gt;=8,H268&gt;=8),"CAN'T LOSE THEM",AND(F268&lt;=2,G268&lt;=2,H268&lt;=2),"HIBERNATING",TRUE(),"Other")</f>
        <v>CHAMPION</v>
      </c>
      <c r="K268" s="1" t="n">
        <f aca="false">RANK(E268,$E$7:$E$4378)+COUNTIF($E$7:E268,E268)-1</f>
        <v>382</v>
      </c>
    </row>
    <row r="269" customFormat="false" ht="14.25" hidden="false" customHeight="true" outlineLevel="0" collapsed="false">
      <c r="A269" s="51" t="n">
        <v>12664</v>
      </c>
      <c r="B269" s="53" t="n">
        <v>40878.7131944444</v>
      </c>
      <c r="C269" s="57" t="n">
        <f aca="false">INT($C$2)-INT(Table3[[#This Row],[Last Purchase Date]])</f>
        <v>9</v>
      </c>
      <c r="D269" s="1" t="n">
        <v>10</v>
      </c>
      <c r="E269" s="1" t="n">
        <v>4863.88</v>
      </c>
      <c r="F269" s="1" t="n">
        <f aca="false">ROUND((1-_xlfn.PERCENTRANK.INC($C$7:$C$4378,C269))*9,0)</f>
        <v>8</v>
      </c>
      <c r="G269" s="1" t="n">
        <f aca="false">ROUND(_xlfn.PERCENTRANK.INC($D$7:$D$4378,D269)*9,0)</f>
        <v>8</v>
      </c>
      <c r="H269" s="1" t="n">
        <f aca="false">ROUND(_xlfn.PERCENTRANK.INC($E$7:$E$4378,E269)*9,0)</f>
        <v>8</v>
      </c>
      <c r="I269" s="1" t="str">
        <f aca="false">CONCATENATE(F269,G269,H269)</f>
        <v>888</v>
      </c>
      <c r="J269" s="1" t="str">
        <f aca="false">_xlfn.IFS(AND(F269&gt;=8,G269&gt;=8,H269&gt;=8),"CHAMPION",AND(F269&gt;=6,G269&gt;=7,H269&gt;=6),"LOYAL CUSTOMER",AND(F269&gt;=6,G269&gt;=5,H269&gt;=5),"POTENTIAL LOYALIST",AND(F269&gt;=8,G269&lt;=2,H269&gt;=5),"NEW CUSTOMERS",AND(F269&gt;=6,G269&lt;=2,H269&gt;=3),"PROMISING",AND(F269&gt;=3,G269&gt;=3,H269&gt;=3),"NEED ATTENTION",AND(F269&lt;=4,G269&gt;=6,H269&gt;=6),"AT RISK",AND(F269&lt;=2,G269&gt;=8,H269&gt;=8),"CAN'T LOSE THEM",AND(F269&lt;=2,G269&lt;=2,H269&lt;=2),"HIBERNATING",TRUE(),"Other")</f>
        <v>CHAMPION</v>
      </c>
      <c r="K269" s="1" t="n">
        <f aca="false">RANK(E269,$E$7:$E$4378)+COUNTIF($E$7:E269,E269)-1</f>
        <v>274</v>
      </c>
    </row>
    <row r="270" customFormat="false" ht="14.25" hidden="false" customHeight="true" outlineLevel="0" collapsed="false">
      <c r="A270" s="51" t="n">
        <v>12665</v>
      </c>
      <c r="B270" s="53" t="n">
        <v>40562.3569444444</v>
      </c>
      <c r="C270" s="57" t="n">
        <f aca="false">INT($C$2)-INT(Table3[[#This Row],[Last Purchase Date]])</f>
        <v>325</v>
      </c>
      <c r="D270" s="1" t="n">
        <v>2</v>
      </c>
      <c r="E270" s="1" t="n">
        <v>61.75</v>
      </c>
      <c r="F270" s="1" t="n">
        <f aca="false">ROUND((1-_xlfn.PERCENTRANK.INC($C$7:$C$4378,C270))*9,0)</f>
        <v>0</v>
      </c>
      <c r="G270" s="1" t="n">
        <f aca="false">ROUND(_xlfn.PERCENTRANK.INC($D$7:$D$4378,D270)*9,0)</f>
        <v>3</v>
      </c>
      <c r="H270" s="1" t="n">
        <f aca="false">ROUND(_xlfn.PERCENTRANK.INC($E$7:$E$4378,E270)*9,0)</f>
        <v>0</v>
      </c>
      <c r="I270" s="1" t="str">
        <f aca="false">CONCATENATE(F270,G270,H270)</f>
        <v>030</v>
      </c>
      <c r="J270" s="1" t="str">
        <f aca="false">_xlfn.IFS(AND(F270&gt;=8,G270&gt;=8,H270&gt;=8),"CHAMPION",AND(F270&gt;=6,G270&gt;=7,H270&gt;=6),"LOYAL CUSTOMER",AND(F270&gt;=6,G270&gt;=5,H270&gt;=5),"POTENTIAL LOYALIST",AND(F270&gt;=8,G270&lt;=2,H270&gt;=5),"NEW CUSTOMERS",AND(F270&gt;=6,G270&lt;=2,H270&gt;=3),"PROMISING",AND(F270&gt;=3,G270&gt;=3,H270&gt;=3),"NEED ATTENTION",AND(F270&lt;=4,G270&gt;=6,H270&gt;=6),"AT RISK",AND(F270&lt;=2,G270&gt;=8,H270&gt;=8),"CAN'T LOSE THEM",AND(F270&lt;=2,G270&lt;=2,H270&lt;=2),"HIBERNATING",TRUE(),"Other")</f>
        <v>Other</v>
      </c>
      <c r="K270" s="1" t="n">
        <f aca="false">RANK(E270,$E$7:$E$4378)+COUNTIF($E$7:E270,E270)-1</f>
        <v>4262</v>
      </c>
    </row>
    <row r="271" customFormat="false" ht="14.25" hidden="false" customHeight="true" outlineLevel="0" collapsed="false">
      <c r="A271" s="51" t="n">
        <v>12666</v>
      </c>
      <c r="B271" s="53" t="n">
        <v>40527.6125</v>
      </c>
      <c r="C271" s="57" t="n">
        <f aca="false">INT($C$2)-INT(Table3[[#This Row],[Last Purchase Date]])</f>
        <v>360</v>
      </c>
      <c r="D271" s="1" t="n">
        <v>1</v>
      </c>
      <c r="E271" s="1" t="n">
        <v>-227.44</v>
      </c>
      <c r="F271" s="1" t="n">
        <f aca="false">ROUND((1-_xlfn.PERCENTRANK.INC($C$7:$C$4378,C271))*9,0)</f>
        <v>0</v>
      </c>
      <c r="G271" s="1" t="n">
        <f aca="false">ROUND(_xlfn.PERCENTRANK.INC($D$7:$D$4378,D271)*9,0)</f>
        <v>0</v>
      </c>
      <c r="H271" s="1" t="n">
        <f aca="false">ROUND(_xlfn.PERCENTRANK.INC($E$7:$E$4378,E271)*9,0)</f>
        <v>0</v>
      </c>
      <c r="I271" s="1" t="str">
        <f aca="false">CONCATENATE(F271,G271,H271)</f>
        <v>000</v>
      </c>
      <c r="J271" s="1" t="str">
        <f aca="false">_xlfn.IFS(AND(F271&gt;=8,G271&gt;=8,H271&gt;=8),"CHAMPION",AND(F271&gt;=6,G271&gt;=7,H271&gt;=6),"LOYAL CUSTOMER",AND(F271&gt;=6,G271&gt;=5,H271&gt;=5),"POTENTIAL LOYALIST",AND(F271&gt;=8,G271&lt;=2,H271&gt;=5),"NEW CUSTOMERS",AND(F271&gt;=6,G271&lt;=2,H271&gt;=3),"PROMISING",AND(F271&gt;=3,G271&gt;=3,H271&gt;=3),"NEED ATTENTION",AND(F271&lt;=4,G271&gt;=6,H271&gt;=6),"AT RISK",AND(F271&lt;=2,G271&gt;=8,H271&gt;=8),"CAN'T LOSE THEM",AND(F271&lt;=2,G271&lt;=2,H271&lt;=2),"HIBERNATING",TRUE(),"Other")</f>
        <v>HIBERNATING</v>
      </c>
      <c r="K271" s="1" t="n">
        <f aca="false">RANK(E271,$E$7:$E$4378)+COUNTIF($E$7:E271,E271)-1</f>
        <v>4363</v>
      </c>
    </row>
    <row r="272" customFormat="false" ht="14.25" hidden="false" customHeight="true" outlineLevel="0" collapsed="false">
      <c r="A272" s="51" t="n">
        <v>12667</v>
      </c>
      <c r="B272" s="53" t="n">
        <v>40828.7083333333</v>
      </c>
      <c r="C272" s="57" t="n">
        <f aca="false">INT($C$2)-INT(Table3[[#This Row],[Last Purchase Date]])</f>
        <v>59</v>
      </c>
      <c r="D272" s="1" t="n">
        <v>1</v>
      </c>
      <c r="E272" s="1" t="n">
        <v>620.13</v>
      </c>
      <c r="F272" s="1" t="n">
        <f aca="false">ROUND((1-_xlfn.PERCENTRANK.INC($C$7:$C$4378,C272))*9,0)</f>
        <v>4</v>
      </c>
      <c r="G272" s="1" t="n">
        <f aca="false">ROUND(_xlfn.PERCENTRANK.INC($D$7:$D$4378,D272)*9,0)</f>
        <v>0</v>
      </c>
      <c r="H272" s="1" t="n">
        <f aca="false">ROUND(_xlfn.PERCENTRANK.INC($E$7:$E$4378,E272)*9,0)</f>
        <v>4</v>
      </c>
      <c r="I272" s="1" t="str">
        <f aca="false">CONCATENATE(F272,G272,H272)</f>
        <v>404</v>
      </c>
      <c r="J272" s="1" t="str">
        <f aca="false">_xlfn.IFS(AND(F272&gt;=8,G272&gt;=8,H272&gt;=8),"CHAMPION",AND(F272&gt;=6,G272&gt;=7,H272&gt;=6),"LOYAL CUSTOMER",AND(F272&gt;=6,G272&gt;=5,H272&gt;=5),"POTENTIAL LOYALIST",AND(F272&gt;=8,G272&lt;=2,H272&gt;=5),"NEW CUSTOMERS",AND(F272&gt;=6,G272&lt;=2,H272&gt;=3),"PROMISING",AND(F272&gt;=3,G272&gt;=3,H272&gt;=3),"NEED ATTENTION",AND(F272&lt;=4,G272&gt;=6,H272&gt;=6),"AT RISK",AND(F272&lt;=2,G272&gt;=8,H272&gt;=8),"CAN'T LOSE THEM",AND(F272&lt;=2,G272&lt;=2,H272&lt;=2),"HIBERNATING",TRUE(),"Other")</f>
        <v>Other</v>
      </c>
      <c r="K272" s="1" t="n">
        <f aca="false">RANK(E272,$E$7:$E$4378)+COUNTIF($E$7:E272,E272)-1</f>
        <v>2257</v>
      </c>
    </row>
    <row r="273" customFormat="false" ht="14.25" hidden="false" customHeight="true" outlineLevel="0" collapsed="false">
      <c r="A273" s="51" t="n">
        <v>12668</v>
      </c>
      <c r="B273" s="53" t="n">
        <v>40879.6319444445</v>
      </c>
      <c r="C273" s="57" t="n">
        <f aca="false">INT($C$2)-INT(Table3[[#This Row],[Last Purchase Date]])</f>
        <v>8</v>
      </c>
      <c r="D273" s="1" t="n">
        <v>6</v>
      </c>
      <c r="E273" s="1" t="n">
        <v>3743.18</v>
      </c>
      <c r="F273" s="1" t="n">
        <f aca="false">ROUND((1-_xlfn.PERCENTRANK.INC($C$7:$C$4378,C273))*9,0)</f>
        <v>8</v>
      </c>
      <c r="G273" s="1" t="n">
        <f aca="false">ROUND(_xlfn.PERCENTRANK.INC($D$7:$D$4378,D273)*9,0)</f>
        <v>7</v>
      </c>
      <c r="H273" s="1" t="n">
        <f aca="false">ROUND(_xlfn.PERCENTRANK.INC($E$7:$E$4378,E273)*9,0)</f>
        <v>8</v>
      </c>
      <c r="I273" s="1" t="str">
        <f aca="false">CONCATENATE(F273,G273,H273)</f>
        <v>878</v>
      </c>
      <c r="J273" s="1" t="str">
        <f aca="false">_xlfn.IFS(AND(F273&gt;=8,G273&gt;=8,H273&gt;=8),"CHAMPION",AND(F273&gt;=6,G273&gt;=7,H273&gt;=6),"LOYAL CUSTOMER",AND(F273&gt;=6,G273&gt;=5,H273&gt;=5),"POTENTIAL LOYALIST",AND(F273&gt;=8,G273&lt;=2,H273&gt;=5),"NEW CUSTOMERS",AND(F273&gt;=6,G273&lt;=2,H273&gt;=3),"PROMISING",AND(F273&gt;=3,G273&gt;=3,H273&gt;=3),"NEED ATTENTION",AND(F273&lt;=4,G273&gt;=6,H273&gt;=6),"AT RISK",AND(F273&lt;=2,G273&gt;=8,H273&gt;=8),"CAN'T LOSE THEM",AND(F273&lt;=2,G273&lt;=2,H273&lt;=2),"HIBERNATING",TRUE(),"Other")</f>
        <v>LOYAL CUSTOMER</v>
      </c>
      <c r="K273" s="1" t="n">
        <f aca="false">RANK(E273,$E$7:$E$4378)+COUNTIF($E$7:E273,E273)-1</f>
        <v>397</v>
      </c>
    </row>
    <row r="274" customFormat="false" ht="14.25" hidden="false" customHeight="true" outlineLevel="0" collapsed="false">
      <c r="A274" s="51" t="n">
        <v>12669</v>
      </c>
      <c r="B274" s="53" t="n">
        <v>40736.4125</v>
      </c>
      <c r="C274" s="57" t="n">
        <f aca="false">INT($C$2)-INT(Table3[[#This Row],[Last Purchase Date]])</f>
        <v>151</v>
      </c>
      <c r="D274" s="1" t="n">
        <v>4</v>
      </c>
      <c r="E274" s="1" t="n">
        <v>1607.73</v>
      </c>
      <c r="F274" s="1" t="n">
        <f aca="false">ROUND((1-_xlfn.PERCENTRANK.INC($C$7:$C$4378,C274))*9,0)</f>
        <v>2</v>
      </c>
      <c r="G274" s="1" t="n">
        <f aca="false">ROUND(_xlfn.PERCENTRANK.INC($D$7:$D$4378,D274)*9,0)</f>
        <v>5</v>
      </c>
      <c r="H274" s="1" t="n">
        <f aca="false">ROUND(_xlfn.PERCENTRANK.INC($E$7:$E$4378,E274)*9,0)</f>
        <v>7</v>
      </c>
      <c r="I274" s="1" t="str">
        <f aca="false">CONCATENATE(F274,G274,H274)</f>
        <v>257</v>
      </c>
      <c r="J274" s="1" t="str">
        <f aca="false">_xlfn.IFS(AND(F274&gt;=8,G274&gt;=8,H274&gt;=8),"CHAMPION",AND(F274&gt;=6,G274&gt;=7,H274&gt;=6),"LOYAL CUSTOMER",AND(F274&gt;=6,G274&gt;=5,H274&gt;=5),"POTENTIAL LOYALIST",AND(F274&gt;=8,G274&lt;=2,H274&gt;=5),"NEW CUSTOMERS",AND(F274&gt;=6,G274&lt;=2,H274&gt;=3),"PROMISING",AND(F274&gt;=3,G274&gt;=3,H274&gt;=3),"NEED ATTENTION",AND(F274&lt;=4,G274&gt;=6,H274&gt;=6),"AT RISK",AND(F274&lt;=2,G274&gt;=8,H274&gt;=8),"CAN'T LOSE THEM",AND(F274&lt;=2,G274&lt;=2,H274&lt;=2),"HIBERNATING",TRUE(),"Other")</f>
        <v>Other</v>
      </c>
      <c r="K274" s="1" t="n">
        <f aca="false">RANK(E274,$E$7:$E$4378)+COUNTIF($E$7:E274,E274)-1</f>
        <v>1097</v>
      </c>
    </row>
    <row r="275" customFormat="false" ht="14.25" hidden="false" customHeight="true" outlineLevel="0" collapsed="false">
      <c r="A275" s="51" t="n">
        <v>12670</v>
      </c>
      <c r="B275" s="53" t="n">
        <v>40876.6409722222</v>
      </c>
      <c r="C275" s="57" t="n">
        <f aca="false">INT($C$2)-INT(Table3[[#This Row],[Last Purchase Date]])</f>
        <v>11</v>
      </c>
      <c r="D275" s="1" t="n">
        <v>6</v>
      </c>
      <c r="E275" s="1" t="n">
        <v>2986.15</v>
      </c>
      <c r="F275" s="1" t="n">
        <f aca="false">ROUND((1-_xlfn.PERCENTRANK.INC($C$7:$C$4378,C275))*9,0)</f>
        <v>7</v>
      </c>
      <c r="G275" s="1" t="n">
        <f aca="false">ROUND(_xlfn.PERCENTRANK.INC($D$7:$D$4378,D275)*9,0)</f>
        <v>7</v>
      </c>
      <c r="H275" s="1" t="n">
        <f aca="false">ROUND(_xlfn.PERCENTRANK.INC($E$7:$E$4378,E275)*9,0)</f>
        <v>8</v>
      </c>
      <c r="I275" s="1" t="str">
        <f aca="false">CONCATENATE(F275,G275,H275)</f>
        <v>778</v>
      </c>
      <c r="J275" s="1" t="str">
        <f aca="false">_xlfn.IFS(AND(F275&gt;=8,G275&gt;=8,H275&gt;=8),"CHAMPION",AND(F275&gt;=6,G275&gt;=7,H275&gt;=6),"LOYAL CUSTOMER",AND(F275&gt;=6,G275&gt;=5,H275&gt;=5),"POTENTIAL LOYALIST",AND(F275&gt;=8,G275&lt;=2,H275&gt;=5),"NEW CUSTOMERS",AND(F275&gt;=6,G275&lt;=2,H275&gt;=3),"PROMISING",AND(F275&gt;=3,G275&gt;=3,H275&gt;=3),"NEED ATTENTION",AND(F275&lt;=4,G275&gt;=6,H275&gt;=6),"AT RISK",AND(F275&lt;=2,G275&gt;=8,H275&gt;=8),"CAN'T LOSE THEM",AND(F275&lt;=2,G275&lt;=2,H275&lt;=2),"HIBERNATING",TRUE(),"Other")</f>
        <v>LOYAL CUSTOMER</v>
      </c>
      <c r="K275" s="1" t="n">
        <f aca="false">RANK(E275,$E$7:$E$4378)+COUNTIF($E$7:E275,E275)-1</f>
        <v>542</v>
      </c>
    </row>
    <row r="276" customFormat="false" ht="14.25" hidden="false" customHeight="true" outlineLevel="0" collapsed="false">
      <c r="A276" s="51" t="n">
        <v>12672</v>
      </c>
      <c r="B276" s="53" t="n">
        <v>40557.3888888889</v>
      </c>
      <c r="C276" s="57" t="n">
        <f aca="false">INT($C$2)-INT(Table3[[#This Row],[Last Purchase Date]])</f>
        <v>330</v>
      </c>
      <c r="D276" s="1" t="n">
        <v>1</v>
      </c>
      <c r="E276" s="1" t="n">
        <v>225.9</v>
      </c>
      <c r="F276" s="1" t="n">
        <f aca="false">ROUND((1-_xlfn.PERCENTRANK.INC($C$7:$C$4378,C276))*9,0)</f>
        <v>0</v>
      </c>
      <c r="G276" s="1" t="n">
        <f aca="false">ROUND(_xlfn.PERCENTRANK.INC($D$7:$D$4378,D276)*9,0)</f>
        <v>0</v>
      </c>
      <c r="H276" s="1" t="n">
        <f aca="false">ROUND(_xlfn.PERCENTRANK.INC($E$7:$E$4378,E276)*9,0)</f>
        <v>2</v>
      </c>
      <c r="I276" s="1" t="str">
        <f aca="false">CONCATENATE(F276,G276,H276)</f>
        <v>002</v>
      </c>
      <c r="J276" s="1" t="str">
        <f aca="false">_xlfn.IFS(AND(F276&gt;=8,G276&gt;=8,H276&gt;=8),"CHAMPION",AND(F276&gt;=6,G276&gt;=7,H276&gt;=6),"LOYAL CUSTOMER",AND(F276&gt;=6,G276&gt;=5,H276&gt;=5),"POTENTIAL LOYALIST",AND(F276&gt;=8,G276&lt;=2,H276&gt;=5),"NEW CUSTOMERS",AND(F276&gt;=6,G276&lt;=2,H276&gt;=3),"PROMISING",AND(F276&gt;=3,G276&gt;=3,H276&gt;=3),"NEED ATTENTION",AND(F276&lt;=4,G276&gt;=6,H276&gt;=6),"AT RISK",AND(F276&lt;=2,G276&gt;=8,H276&gt;=8),"CAN'T LOSE THEM",AND(F276&lt;=2,G276&lt;=2,H276&lt;=2),"HIBERNATING",TRUE(),"Other")</f>
        <v>HIBERNATING</v>
      </c>
      <c r="K276" s="1" t="n">
        <f aca="false">RANK(E276,$E$7:$E$4378)+COUNTIF($E$7:E276,E276)-1</f>
        <v>3534</v>
      </c>
    </row>
    <row r="277" customFormat="false" ht="14.25" hidden="false" customHeight="true" outlineLevel="0" collapsed="false">
      <c r="A277" s="51" t="n">
        <v>12673</v>
      </c>
      <c r="B277" s="53" t="n">
        <v>40881.5798611111</v>
      </c>
      <c r="C277" s="57" t="n">
        <f aca="false">INT($C$2)-INT(Table3[[#This Row],[Last Purchase Date]])</f>
        <v>6</v>
      </c>
      <c r="D277" s="1" t="n">
        <v>2</v>
      </c>
      <c r="E277" s="1" t="n">
        <v>610.52</v>
      </c>
      <c r="F277" s="1" t="n">
        <f aca="false">ROUND((1-_xlfn.PERCENTRANK.INC($C$7:$C$4378,C277))*9,0)</f>
        <v>8</v>
      </c>
      <c r="G277" s="1" t="n">
        <f aca="false">ROUND(_xlfn.PERCENTRANK.INC($D$7:$D$4378,D277)*9,0)</f>
        <v>3</v>
      </c>
      <c r="H277" s="1" t="n">
        <f aca="false">ROUND(_xlfn.PERCENTRANK.INC($E$7:$E$4378,E277)*9,0)</f>
        <v>4</v>
      </c>
      <c r="I277" s="1" t="str">
        <f aca="false">CONCATENATE(F277,G277,H277)</f>
        <v>834</v>
      </c>
      <c r="J277" s="1" t="str">
        <f aca="false">_xlfn.IFS(AND(F277&gt;=8,G277&gt;=8,H277&gt;=8),"CHAMPION",AND(F277&gt;=6,G277&gt;=7,H277&gt;=6),"LOYAL CUSTOMER",AND(F277&gt;=6,G277&gt;=5,H277&gt;=5),"POTENTIAL LOYALIST",AND(F277&gt;=8,G277&lt;=2,H277&gt;=5),"NEW CUSTOMERS",AND(F277&gt;=6,G277&lt;=2,H277&gt;=3),"PROMISING",AND(F277&gt;=3,G277&gt;=3,H277&gt;=3),"NEED ATTENTION",AND(F277&lt;=4,G277&gt;=6,H277&gt;=6),"AT RISK",AND(F277&lt;=2,G277&gt;=8,H277&gt;=8),"CAN'T LOSE THEM",AND(F277&lt;=2,G277&lt;=2,H277&lt;=2),"HIBERNATING",TRUE(),"Other")</f>
        <v>NEED ATTENTION</v>
      </c>
      <c r="K277" s="1" t="n">
        <f aca="false">RANK(E277,$E$7:$E$4378)+COUNTIF($E$7:E277,E277)-1</f>
        <v>2281</v>
      </c>
    </row>
    <row r="278" customFormat="false" ht="14.25" hidden="false" customHeight="true" outlineLevel="0" collapsed="false">
      <c r="A278" s="51" t="n">
        <v>12674</v>
      </c>
      <c r="B278" s="53" t="n">
        <v>40875.5152777778</v>
      </c>
      <c r="C278" s="57" t="n">
        <f aca="false">INT($C$2)-INT(Table3[[#This Row],[Last Purchase Date]])</f>
        <v>12</v>
      </c>
      <c r="D278" s="1" t="n">
        <v>7</v>
      </c>
      <c r="E278" s="1" t="n">
        <v>1919.31</v>
      </c>
      <c r="F278" s="1" t="n">
        <f aca="false">ROUND((1-_xlfn.PERCENTRANK.INC($C$7:$C$4378,C278))*9,0)</f>
        <v>7</v>
      </c>
      <c r="G278" s="1" t="n">
        <f aca="false">ROUND(_xlfn.PERCENTRANK.INC($D$7:$D$4378,D278)*9,0)</f>
        <v>7</v>
      </c>
      <c r="H278" s="1" t="n">
        <f aca="false">ROUND(_xlfn.PERCENTRANK.INC($E$7:$E$4378,E278)*9,0)</f>
        <v>7</v>
      </c>
      <c r="I278" s="1" t="str">
        <f aca="false">CONCATENATE(F278,G278,H278)</f>
        <v>777</v>
      </c>
      <c r="J278" s="1" t="str">
        <f aca="false">_xlfn.IFS(AND(F278&gt;=8,G278&gt;=8,H278&gt;=8),"CHAMPION",AND(F278&gt;=6,G278&gt;=7,H278&gt;=6),"LOYAL CUSTOMER",AND(F278&gt;=6,G278&gt;=5,H278&gt;=5),"POTENTIAL LOYALIST",AND(F278&gt;=8,G278&lt;=2,H278&gt;=5),"NEW CUSTOMERS",AND(F278&gt;=6,G278&lt;=2,H278&gt;=3),"PROMISING",AND(F278&gt;=3,G278&gt;=3,H278&gt;=3),"NEED ATTENTION",AND(F278&lt;=4,G278&gt;=6,H278&gt;=6),"AT RISK",AND(F278&lt;=2,G278&gt;=8,H278&gt;=8),"CAN'T LOSE THEM",AND(F278&lt;=2,G278&lt;=2,H278&lt;=2),"HIBERNATING",TRUE(),"Other")</f>
        <v>LOYAL CUSTOMER</v>
      </c>
      <c r="K278" s="1" t="n">
        <f aca="false">RANK(E278,$E$7:$E$4378)+COUNTIF($E$7:E278,E278)-1</f>
        <v>909</v>
      </c>
    </row>
    <row r="279" customFormat="false" ht="14.25" hidden="false" customHeight="true" outlineLevel="0" collapsed="false">
      <c r="A279" s="51" t="n">
        <v>12676</v>
      </c>
      <c r="B279" s="53" t="n">
        <v>40862.5173611111</v>
      </c>
      <c r="C279" s="57" t="n">
        <f aca="false">INT($C$2)-INT(Table3[[#This Row],[Last Purchase Date]])</f>
        <v>25</v>
      </c>
      <c r="D279" s="1" t="n">
        <v>6</v>
      </c>
      <c r="E279" s="1" t="n">
        <v>1331.39</v>
      </c>
      <c r="F279" s="1" t="n">
        <f aca="false">ROUND((1-_xlfn.PERCENTRANK.INC($C$7:$C$4378,C279))*9,0)</f>
        <v>6</v>
      </c>
      <c r="G279" s="1" t="n">
        <f aca="false">ROUND(_xlfn.PERCENTRANK.INC($D$7:$D$4378,D279)*9,0)</f>
        <v>7</v>
      </c>
      <c r="H279" s="1" t="n">
        <f aca="false">ROUND(_xlfn.PERCENTRANK.INC($E$7:$E$4378,E279)*9,0)</f>
        <v>6</v>
      </c>
      <c r="I279" s="1" t="str">
        <f aca="false">CONCATENATE(F279,G279,H279)</f>
        <v>676</v>
      </c>
      <c r="J279" s="1" t="str">
        <f aca="false">_xlfn.IFS(AND(F279&gt;=8,G279&gt;=8,H279&gt;=8),"CHAMPION",AND(F279&gt;=6,G279&gt;=7,H279&gt;=6),"LOYAL CUSTOMER",AND(F279&gt;=6,G279&gt;=5,H279&gt;=5),"POTENTIAL LOYALIST",AND(F279&gt;=8,G279&lt;=2,H279&gt;=5),"NEW CUSTOMERS",AND(F279&gt;=6,G279&lt;=2,H279&gt;=3),"PROMISING",AND(F279&gt;=3,G279&gt;=3,H279&gt;=3),"NEED ATTENTION",AND(F279&lt;=4,G279&gt;=6,H279&gt;=6),"AT RISK",AND(F279&lt;=2,G279&gt;=8,H279&gt;=8),"CAN'T LOSE THEM",AND(F279&lt;=2,G279&lt;=2,H279&lt;=2),"HIBERNATING",TRUE(),"Other")</f>
        <v>LOYAL CUSTOMER</v>
      </c>
      <c r="K279" s="1" t="n">
        <f aca="false">RANK(E279,$E$7:$E$4378)+COUNTIF($E$7:E279,E279)-1</f>
        <v>1294</v>
      </c>
    </row>
    <row r="280" customFormat="false" ht="14.25" hidden="false" customHeight="true" outlineLevel="0" collapsed="false">
      <c r="A280" s="51" t="n">
        <v>12678</v>
      </c>
      <c r="B280" s="53" t="n">
        <v>40844.5444444444</v>
      </c>
      <c r="C280" s="57" t="n">
        <f aca="false">INT($C$2)-INT(Table3[[#This Row],[Last Purchase Date]])</f>
        <v>43</v>
      </c>
      <c r="D280" s="1" t="n">
        <v>13</v>
      </c>
      <c r="E280" s="1" t="n">
        <v>17588.26</v>
      </c>
      <c r="F280" s="1" t="n">
        <f aca="false">ROUND((1-_xlfn.PERCENTRANK.INC($C$7:$C$4378,C280))*9,0)</f>
        <v>5</v>
      </c>
      <c r="G280" s="1" t="n">
        <f aca="false">ROUND(_xlfn.PERCENTRANK.INC($D$7:$D$4378,D280)*9,0)</f>
        <v>8</v>
      </c>
      <c r="H280" s="1" t="n">
        <f aca="false">ROUND(_xlfn.PERCENTRANK.INC($E$7:$E$4378,E280)*9,0)</f>
        <v>9</v>
      </c>
      <c r="I280" s="1" t="str">
        <f aca="false">CONCATENATE(F280,G280,H280)</f>
        <v>589</v>
      </c>
      <c r="J280" s="1" t="str">
        <f aca="false">_xlfn.IFS(AND(F280&gt;=8,G280&gt;=8,H280&gt;=8),"CHAMPION",AND(F280&gt;=6,G280&gt;=7,H280&gt;=6),"LOYAL CUSTOMER",AND(F280&gt;=6,G280&gt;=5,H280&gt;=5),"POTENTIAL LOYALIST",AND(F280&gt;=8,G280&lt;=2,H280&gt;=5),"NEW CUSTOMERS",AND(F280&gt;=6,G280&lt;=2,H280&gt;=3),"PROMISING",AND(F280&gt;=3,G280&gt;=3,H280&gt;=3),"NEED ATTENTION",AND(F280&lt;=4,G280&gt;=6,H280&gt;=6),"AT RISK",AND(F280&lt;=2,G280&gt;=8,H280&gt;=8),"CAN'T LOSE THEM",AND(F280&lt;=2,G280&lt;=2,H280&lt;=2),"HIBERNATING",TRUE(),"Other")</f>
        <v>NEED ATTENTION</v>
      </c>
      <c r="K280" s="1" t="n">
        <f aca="false">RANK(E280,$E$7:$E$4378)+COUNTIF($E$7:E280,E280)-1</f>
        <v>44</v>
      </c>
    </row>
    <row r="281" customFormat="false" ht="14.25" hidden="false" customHeight="true" outlineLevel="0" collapsed="false">
      <c r="A281" s="51" t="n">
        <v>12679</v>
      </c>
      <c r="B281" s="53" t="n">
        <v>40834.5715277778</v>
      </c>
      <c r="C281" s="57" t="n">
        <f aca="false">INT($C$2)-INT(Table3[[#This Row],[Last Purchase Date]])</f>
        <v>53</v>
      </c>
      <c r="D281" s="1" t="n">
        <v>9</v>
      </c>
      <c r="E281" s="1" t="n">
        <v>1058.67</v>
      </c>
      <c r="F281" s="1" t="n">
        <f aca="false">ROUND((1-_xlfn.PERCENTRANK.INC($C$7:$C$4378,C281))*9,0)</f>
        <v>4</v>
      </c>
      <c r="G281" s="1" t="n">
        <f aca="false">ROUND(_xlfn.PERCENTRANK.INC($D$7:$D$4378,D281)*9,0)</f>
        <v>8</v>
      </c>
      <c r="H281" s="1" t="n">
        <f aca="false">ROUND(_xlfn.PERCENTRANK.INC($E$7:$E$4378,E281)*9,0)</f>
        <v>6</v>
      </c>
      <c r="I281" s="1" t="str">
        <f aca="false">CONCATENATE(F281,G281,H281)</f>
        <v>486</v>
      </c>
      <c r="J281" s="1" t="str">
        <f aca="false">_xlfn.IFS(AND(F281&gt;=8,G281&gt;=8,H281&gt;=8),"CHAMPION",AND(F281&gt;=6,G281&gt;=7,H281&gt;=6),"LOYAL CUSTOMER",AND(F281&gt;=6,G281&gt;=5,H281&gt;=5),"POTENTIAL LOYALIST",AND(F281&gt;=8,G281&lt;=2,H281&gt;=5),"NEW CUSTOMERS",AND(F281&gt;=6,G281&lt;=2,H281&gt;=3),"PROMISING",AND(F281&gt;=3,G281&gt;=3,H281&gt;=3),"NEED ATTENTION",AND(F281&lt;=4,G281&gt;=6,H281&gt;=6),"AT RISK",AND(F281&lt;=2,G281&gt;=8,H281&gt;=8),"CAN'T LOSE THEM",AND(F281&lt;=2,G281&lt;=2,H281&lt;=2),"HIBERNATING",TRUE(),"Other")</f>
        <v>NEED ATTENTION</v>
      </c>
      <c r="K281" s="1" t="n">
        <f aca="false">RANK(E281,$E$7:$E$4378)+COUNTIF($E$7:E281,E281)-1</f>
        <v>1547</v>
      </c>
    </row>
    <row r="282" customFormat="false" ht="14.25" hidden="false" customHeight="true" outlineLevel="0" collapsed="false">
      <c r="A282" s="51" t="n">
        <v>12680</v>
      </c>
      <c r="B282" s="53" t="n">
        <v>40886.5347222222</v>
      </c>
      <c r="C282" s="57" t="n">
        <f aca="false">INT($C$2)-INT(Table3[[#This Row],[Last Purchase Date]])</f>
        <v>1</v>
      </c>
      <c r="D282" s="1" t="n">
        <v>4</v>
      </c>
      <c r="E282" s="1" t="n">
        <v>862.81</v>
      </c>
      <c r="F282" s="1" t="n">
        <f aca="false">ROUND((1-_xlfn.PERCENTRANK.INC($C$7:$C$4378,C282))*9,0)</f>
        <v>9</v>
      </c>
      <c r="G282" s="1" t="n">
        <f aca="false">ROUND(_xlfn.PERCENTRANK.INC($D$7:$D$4378,D282)*9,0)</f>
        <v>5</v>
      </c>
      <c r="H282" s="1" t="n">
        <f aca="false">ROUND(_xlfn.PERCENTRANK.INC($E$7:$E$4378,E282)*9,0)</f>
        <v>5</v>
      </c>
      <c r="I282" s="1" t="str">
        <f aca="false">CONCATENATE(F282,G282,H282)</f>
        <v>955</v>
      </c>
      <c r="J282" s="1" t="str">
        <f aca="false">_xlfn.IFS(AND(F282&gt;=8,G282&gt;=8,H282&gt;=8),"CHAMPION",AND(F282&gt;=6,G282&gt;=7,H282&gt;=6),"LOYAL CUSTOMER",AND(F282&gt;=6,G282&gt;=5,H282&gt;=5),"POTENTIAL LOYALIST",AND(F282&gt;=8,G282&lt;=2,H282&gt;=5),"NEW CUSTOMERS",AND(F282&gt;=6,G282&lt;=2,H282&gt;=3),"PROMISING",AND(F282&gt;=3,G282&gt;=3,H282&gt;=3),"NEED ATTENTION",AND(F282&lt;=4,G282&gt;=6,H282&gt;=6),"AT RISK",AND(F282&lt;=2,G282&gt;=8,H282&gt;=8),"CAN'T LOSE THEM",AND(F282&lt;=2,G282&lt;=2,H282&lt;=2),"HIBERNATING",TRUE(),"Other")</f>
        <v>POTENTIAL LOYALIST</v>
      </c>
      <c r="K282" s="1" t="n">
        <f aca="false">RANK(E282,$E$7:$E$4378)+COUNTIF($E$7:E282,E282)-1</f>
        <v>1813</v>
      </c>
    </row>
    <row r="283" customFormat="false" ht="14.25" hidden="false" customHeight="true" outlineLevel="0" collapsed="false">
      <c r="A283" s="51" t="n">
        <v>12681</v>
      </c>
      <c r="B283" s="53" t="n">
        <v>40872.4826388889</v>
      </c>
      <c r="C283" s="57" t="n">
        <f aca="false">INT($C$2)-INT(Table3[[#This Row],[Last Purchase Date]])</f>
        <v>15</v>
      </c>
      <c r="D283" s="1" t="n">
        <v>27</v>
      </c>
      <c r="E283" s="1" t="n">
        <v>13677.59</v>
      </c>
      <c r="F283" s="1" t="n">
        <f aca="false">ROUND((1-_xlfn.PERCENTRANK.INC($C$7:$C$4378,C283))*9,0)</f>
        <v>7</v>
      </c>
      <c r="G283" s="1" t="n">
        <f aca="false">ROUND(_xlfn.PERCENTRANK.INC($D$7:$D$4378,D283)*9,0)</f>
        <v>9</v>
      </c>
      <c r="H283" s="1" t="n">
        <f aca="false">ROUND(_xlfn.PERCENTRANK.INC($E$7:$E$4378,E283)*9,0)</f>
        <v>9</v>
      </c>
      <c r="I283" s="1" t="str">
        <f aca="false">CONCATENATE(F283,G283,H283)</f>
        <v>799</v>
      </c>
      <c r="J283" s="1" t="str">
        <f aca="false">_xlfn.IFS(AND(F283&gt;=8,G283&gt;=8,H283&gt;=8),"CHAMPION",AND(F283&gt;=6,G283&gt;=7,H283&gt;=6),"LOYAL CUSTOMER",AND(F283&gt;=6,G283&gt;=5,H283&gt;=5),"POTENTIAL LOYALIST",AND(F283&gt;=8,G283&lt;=2,H283&gt;=5),"NEW CUSTOMERS",AND(F283&gt;=6,G283&lt;=2,H283&gt;=3),"PROMISING",AND(F283&gt;=3,G283&gt;=3,H283&gt;=3),"NEED ATTENTION",AND(F283&lt;=4,G283&gt;=6,H283&gt;=6),"AT RISK",AND(F283&lt;=2,G283&gt;=8,H283&gt;=8),"CAN'T LOSE THEM",AND(F283&lt;=2,G283&lt;=2,H283&lt;=2),"HIBERNATING",TRUE(),"Other")</f>
        <v>LOYAL CUSTOMER</v>
      </c>
      <c r="K283" s="1" t="n">
        <f aca="false">RANK(E283,$E$7:$E$4378)+COUNTIF($E$7:E283,E283)-1</f>
        <v>60</v>
      </c>
    </row>
    <row r="284" customFormat="false" ht="14.25" hidden="false" customHeight="true" outlineLevel="0" collapsed="false">
      <c r="A284" s="51" t="n">
        <v>12682</v>
      </c>
      <c r="B284" s="53" t="n">
        <v>40883.4166666667</v>
      </c>
      <c r="C284" s="57" t="n">
        <f aca="false">INT($C$2)-INT(Table3[[#This Row],[Last Purchase Date]])</f>
        <v>4</v>
      </c>
      <c r="D284" s="1" t="n">
        <v>31</v>
      </c>
      <c r="E284" s="1" t="n">
        <v>12288.22</v>
      </c>
      <c r="F284" s="1" t="n">
        <f aca="false">ROUND((1-_xlfn.PERCENTRANK.INC($C$7:$C$4378,C284))*9,0)</f>
        <v>8</v>
      </c>
      <c r="G284" s="1" t="n">
        <f aca="false">ROUND(_xlfn.PERCENTRANK.INC($D$7:$D$4378,D284)*9,0)</f>
        <v>9</v>
      </c>
      <c r="H284" s="1" t="n">
        <f aca="false">ROUND(_xlfn.PERCENTRANK.INC($E$7:$E$4378,E284)*9,0)</f>
        <v>9</v>
      </c>
      <c r="I284" s="1" t="str">
        <f aca="false">CONCATENATE(F284,G284,H284)</f>
        <v>899</v>
      </c>
      <c r="J284" s="1" t="str">
        <f aca="false">_xlfn.IFS(AND(F284&gt;=8,G284&gt;=8,H284&gt;=8),"CHAMPION",AND(F284&gt;=6,G284&gt;=7,H284&gt;=6),"LOYAL CUSTOMER",AND(F284&gt;=6,G284&gt;=5,H284&gt;=5),"POTENTIAL LOYALIST",AND(F284&gt;=8,G284&lt;=2,H284&gt;=5),"NEW CUSTOMERS",AND(F284&gt;=6,G284&lt;=2,H284&gt;=3),"PROMISING",AND(F284&gt;=3,G284&gt;=3,H284&gt;=3),"NEED ATTENTION",AND(F284&lt;=4,G284&gt;=6,H284&gt;=6),"AT RISK",AND(F284&lt;=2,G284&gt;=8,H284&gt;=8),"CAN'T LOSE THEM",AND(F284&lt;=2,G284&lt;=2,H284&lt;=2),"HIBERNATING",TRUE(),"Other")</f>
        <v>CHAMPION</v>
      </c>
      <c r="K284" s="1" t="n">
        <f aca="false">RANK(E284,$E$7:$E$4378)+COUNTIF($E$7:E284,E284)-1</f>
        <v>71</v>
      </c>
    </row>
    <row r="285" customFormat="false" ht="14.25" hidden="false" customHeight="true" outlineLevel="0" collapsed="false">
      <c r="A285" s="51" t="n">
        <v>12683</v>
      </c>
      <c r="B285" s="53" t="n">
        <v>40882.6881944445</v>
      </c>
      <c r="C285" s="57" t="n">
        <f aca="false">INT($C$2)-INT(Table3[[#This Row],[Last Purchase Date]])</f>
        <v>5</v>
      </c>
      <c r="D285" s="1" t="n">
        <v>20</v>
      </c>
      <c r="E285" s="1" t="n">
        <v>8221.09</v>
      </c>
      <c r="F285" s="1" t="n">
        <f aca="false">ROUND((1-_xlfn.PERCENTRANK.INC($C$7:$C$4378,C285))*9,0)</f>
        <v>8</v>
      </c>
      <c r="G285" s="1" t="n">
        <f aca="false">ROUND(_xlfn.PERCENTRANK.INC($D$7:$D$4378,D285)*9,0)</f>
        <v>9</v>
      </c>
      <c r="H285" s="1" t="n">
        <f aca="false">ROUND(_xlfn.PERCENTRANK.INC($E$7:$E$4378,E285)*9,0)</f>
        <v>9</v>
      </c>
      <c r="I285" s="1" t="str">
        <f aca="false">CONCATENATE(F285,G285,H285)</f>
        <v>899</v>
      </c>
      <c r="J285" s="1" t="str">
        <f aca="false">_xlfn.IFS(AND(F285&gt;=8,G285&gt;=8,H285&gt;=8),"CHAMPION",AND(F285&gt;=6,G285&gt;=7,H285&gt;=6),"LOYAL CUSTOMER",AND(F285&gt;=6,G285&gt;=5,H285&gt;=5),"POTENTIAL LOYALIST",AND(F285&gt;=8,G285&lt;=2,H285&gt;=5),"NEW CUSTOMERS",AND(F285&gt;=6,G285&lt;=2,H285&gt;=3),"PROMISING",AND(F285&gt;=3,G285&gt;=3,H285&gt;=3),"NEED ATTENTION",AND(F285&lt;=4,G285&gt;=6,H285&gt;=6),"AT RISK",AND(F285&lt;=2,G285&gt;=8,H285&gt;=8),"CAN'T LOSE THEM",AND(F285&lt;=2,G285&lt;=2,H285&lt;=2),"HIBERNATING",TRUE(),"Other")</f>
        <v>CHAMPION</v>
      </c>
      <c r="K285" s="1" t="n">
        <f aca="false">RANK(E285,$E$7:$E$4378)+COUNTIF($E$7:E285,E285)-1</f>
        <v>123</v>
      </c>
    </row>
    <row r="286" customFormat="false" ht="14.25" hidden="false" customHeight="true" outlineLevel="0" collapsed="false">
      <c r="A286" s="51" t="n">
        <v>12684</v>
      </c>
      <c r="B286" s="53" t="n">
        <v>40879.4118055556</v>
      </c>
      <c r="C286" s="57" t="n">
        <f aca="false">INT($C$2)-INT(Table3[[#This Row],[Last Purchase Date]])</f>
        <v>8</v>
      </c>
      <c r="D286" s="1" t="n">
        <v>7</v>
      </c>
      <c r="E286" s="1" t="n">
        <v>2283.63</v>
      </c>
      <c r="F286" s="1" t="n">
        <f aca="false">ROUND((1-_xlfn.PERCENTRANK.INC($C$7:$C$4378,C286))*9,0)</f>
        <v>8</v>
      </c>
      <c r="G286" s="1" t="n">
        <f aca="false">ROUND(_xlfn.PERCENTRANK.INC($D$7:$D$4378,D286)*9,0)</f>
        <v>7</v>
      </c>
      <c r="H286" s="1" t="n">
        <f aca="false">ROUND(_xlfn.PERCENTRANK.INC($E$7:$E$4378,E286)*9,0)</f>
        <v>7</v>
      </c>
      <c r="I286" s="1" t="str">
        <f aca="false">CONCATENATE(F286,G286,H286)</f>
        <v>877</v>
      </c>
      <c r="J286" s="1" t="str">
        <f aca="false">_xlfn.IFS(AND(F286&gt;=8,G286&gt;=8,H286&gt;=8),"CHAMPION",AND(F286&gt;=6,G286&gt;=7,H286&gt;=6),"LOYAL CUSTOMER",AND(F286&gt;=6,G286&gt;=5,H286&gt;=5),"POTENTIAL LOYALIST",AND(F286&gt;=8,G286&lt;=2,H286&gt;=5),"NEW CUSTOMERS",AND(F286&gt;=6,G286&lt;=2,H286&gt;=3),"PROMISING",AND(F286&gt;=3,G286&gt;=3,H286&gt;=3),"NEED ATTENTION",AND(F286&lt;=4,G286&gt;=6,H286&gt;=6),"AT RISK",AND(F286&lt;=2,G286&gt;=8,H286&gt;=8),"CAN'T LOSE THEM",AND(F286&lt;=2,G286&lt;=2,H286&lt;=2),"HIBERNATING",TRUE(),"Other")</f>
        <v>LOYAL CUSTOMER</v>
      </c>
      <c r="K286" s="1" t="n">
        <f aca="false">RANK(E286,$E$7:$E$4378)+COUNTIF($E$7:E286,E286)-1</f>
        <v>750</v>
      </c>
    </row>
    <row r="287" customFormat="false" ht="14.25" hidden="false" customHeight="true" outlineLevel="0" collapsed="false">
      <c r="A287" s="51" t="n">
        <v>12685</v>
      </c>
      <c r="B287" s="53" t="n">
        <v>40858.5736111111</v>
      </c>
      <c r="C287" s="57" t="n">
        <f aca="false">INT($C$2)-INT(Table3[[#This Row],[Last Purchase Date]])</f>
        <v>29</v>
      </c>
      <c r="D287" s="1" t="n">
        <v>6</v>
      </c>
      <c r="E287" s="1" t="n">
        <v>2863.08</v>
      </c>
      <c r="F287" s="1" t="n">
        <f aca="false">ROUND((1-_xlfn.PERCENTRANK.INC($C$7:$C$4378,C287))*9,0)</f>
        <v>6</v>
      </c>
      <c r="G287" s="1" t="n">
        <f aca="false">ROUND(_xlfn.PERCENTRANK.INC($D$7:$D$4378,D287)*9,0)</f>
        <v>7</v>
      </c>
      <c r="H287" s="1" t="n">
        <f aca="false">ROUND(_xlfn.PERCENTRANK.INC($E$7:$E$4378,E287)*9,0)</f>
        <v>8</v>
      </c>
      <c r="I287" s="1" t="str">
        <f aca="false">CONCATENATE(F287,G287,H287)</f>
        <v>678</v>
      </c>
      <c r="J287" s="1" t="str">
        <f aca="false">_xlfn.IFS(AND(F287&gt;=8,G287&gt;=8,H287&gt;=8),"CHAMPION",AND(F287&gt;=6,G287&gt;=7,H287&gt;=6),"LOYAL CUSTOMER",AND(F287&gt;=6,G287&gt;=5,H287&gt;=5),"POTENTIAL LOYALIST",AND(F287&gt;=8,G287&lt;=2,H287&gt;=5),"NEW CUSTOMERS",AND(F287&gt;=6,G287&lt;=2,H287&gt;=3),"PROMISING",AND(F287&gt;=3,G287&gt;=3,H287&gt;=3),"NEED ATTENTION",AND(F287&lt;=4,G287&gt;=6,H287&gt;=6),"AT RISK",AND(F287&lt;=2,G287&gt;=8,H287&gt;=8),"CAN'T LOSE THEM",AND(F287&lt;=2,G287&lt;=2,H287&lt;=2),"HIBERNATING",TRUE(),"Other")</f>
        <v>LOYAL CUSTOMER</v>
      </c>
      <c r="K287" s="1" t="n">
        <f aca="false">RANK(E287,$E$7:$E$4378)+COUNTIF($E$7:E287,E287)-1</f>
        <v>571</v>
      </c>
    </row>
    <row r="288" customFormat="false" ht="14.25" hidden="false" customHeight="true" outlineLevel="0" collapsed="false">
      <c r="A288" s="51" t="n">
        <v>12686</v>
      </c>
      <c r="B288" s="53" t="n">
        <v>40515.4104166667</v>
      </c>
      <c r="C288" s="57" t="n">
        <f aca="false">INT($C$2)-INT(Table3[[#This Row],[Last Purchase Date]])</f>
        <v>372</v>
      </c>
      <c r="D288" s="1" t="n">
        <v>1</v>
      </c>
      <c r="E288" s="1" t="n">
        <v>89.14</v>
      </c>
      <c r="F288" s="1" t="n">
        <f aca="false">ROUND((1-_xlfn.PERCENTRANK.INC($C$7:$C$4378,C288))*9,0)</f>
        <v>0</v>
      </c>
      <c r="G288" s="1" t="n">
        <f aca="false">ROUND(_xlfn.PERCENTRANK.INC($D$7:$D$4378,D288)*9,0)</f>
        <v>0</v>
      </c>
      <c r="H288" s="1" t="n">
        <f aca="false">ROUND(_xlfn.PERCENTRANK.INC($E$7:$E$4378,E288)*9,0)</f>
        <v>0</v>
      </c>
      <c r="I288" s="1" t="str">
        <f aca="false">CONCATENATE(F288,G288,H288)</f>
        <v>000</v>
      </c>
      <c r="J288" s="1" t="str">
        <f aca="false">_xlfn.IFS(AND(F288&gt;=8,G288&gt;=8,H288&gt;=8),"CHAMPION",AND(F288&gt;=6,G288&gt;=7,H288&gt;=6),"LOYAL CUSTOMER",AND(F288&gt;=6,G288&gt;=5,H288&gt;=5),"POTENTIAL LOYALIST",AND(F288&gt;=8,G288&lt;=2,H288&gt;=5),"NEW CUSTOMERS",AND(F288&gt;=6,G288&lt;=2,H288&gt;=3),"PROMISING",AND(F288&gt;=3,G288&gt;=3,H288&gt;=3),"NEED ATTENTION",AND(F288&lt;=4,G288&gt;=6,H288&gt;=6),"AT RISK",AND(F288&lt;=2,G288&gt;=8,H288&gt;=8),"CAN'T LOSE THEM",AND(F288&lt;=2,G288&lt;=2,H288&lt;=2),"HIBERNATING",TRUE(),"Other")</f>
        <v>HIBERNATING</v>
      </c>
      <c r="K288" s="1" t="n">
        <f aca="false">RANK(E288,$E$7:$E$4378)+COUNTIF($E$7:E288,E288)-1</f>
        <v>4197</v>
      </c>
    </row>
    <row r="289" customFormat="false" ht="14.25" hidden="false" customHeight="true" outlineLevel="0" collapsed="false">
      <c r="A289" s="51" t="n">
        <v>12688</v>
      </c>
      <c r="B289" s="53" t="n">
        <v>40773.3673611111</v>
      </c>
      <c r="C289" s="57" t="n">
        <f aca="false">INT($C$2)-INT(Table3[[#This Row],[Last Purchase Date]])</f>
        <v>114</v>
      </c>
      <c r="D289" s="1" t="n">
        <v>1</v>
      </c>
      <c r="E289" s="1" t="n">
        <v>4873.81000000001</v>
      </c>
      <c r="F289" s="1" t="n">
        <f aca="false">ROUND((1-_xlfn.PERCENTRANK.INC($C$7:$C$4378,C289))*9,0)</f>
        <v>3</v>
      </c>
      <c r="G289" s="1" t="n">
        <f aca="false">ROUND(_xlfn.PERCENTRANK.INC($D$7:$D$4378,D289)*9,0)</f>
        <v>0</v>
      </c>
      <c r="H289" s="1" t="n">
        <f aca="false">ROUND(_xlfn.PERCENTRANK.INC($E$7:$E$4378,E289)*9,0)</f>
        <v>8</v>
      </c>
      <c r="I289" s="1" t="str">
        <f aca="false">CONCATENATE(F289,G289,H289)</f>
        <v>308</v>
      </c>
      <c r="J289" s="1" t="str">
        <f aca="false">_xlfn.IFS(AND(F289&gt;=8,G289&gt;=8,H289&gt;=8),"CHAMPION",AND(F289&gt;=6,G289&gt;=7,H289&gt;=6),"LOYAL CUSTOMER",AND(F289&gt;=6,G289&gt;=5,H289&gt;=5),"POTENTIAL LOYALIST",AND(F289&gt;=8,G289&lt;=2,H289&gt;=5),"NEW CUSTOMERS",AND(F289&gt;=6,G289&lt;=2,H289&gt;=3),"PROMISING",AND(F289&gt;=3,G289&gt;=3,H289&gt;=3),"NEED ATTENTION",AND(F289&lt;=4,G289&gt;=6,H289&gt;=6),"AT RISK",AND(F289&lt;=2,G289&gt;=8,H289&gt;=8),"CAN'T LOSE THEM",AND(F289&lt;=2,G289&lt;=2,H289&lt;=2),"HIBERNATING",TRUE(),"Other")</f>
        <v>Other</v>
      </c>
      <c r="K289" s="1" t="n">
        <f aca="false">RANK(E289,$E$7:$E$4378)+COUNTIF($E$7:E289,E289)-1</f>
        <v>272</v>
      </c>
    </row>
    <row r="290" customFormat="false" ht="14.25" hidden="false" customHeight="true" outlineLevel="0" collapsed="false">
      <c r="A290" s="51" t="n">
        <v>12689</v>
      </c>
      <c r="B290" s="53" t="n">
        <v>40861.3548611111</v>
      </c>
      <c r="C290" s="57" t="n">
        <f aca="false">INT($C$2)-INT(Table3[[#This Row],[Last Purchase Date]])</f>
        <v>26</v>
      </c>
      <c r="D290" s="1" t="n">
        <v>2</v>
      </c>
      <c r="E290" s="1" t="n">
        <v>1247.61</v>
      </c>
      <c r="F290" s="1" t="n">
        <f aca="false">ROUND((1-_xlfn.PERCENTRANK.INC($C$7:$C$4378,C290))*9,0)</f>
        <v>6</v>
      </c>
      <c r="G290" s="1" t="n">
        <f aca="false">ROUND(_xlfn.PERCENTRANK.INC($D$7:$D$4378,D290)*9,0)</f>
        <v>3</v>
      </c>
      <c r="H290" s="1" t="n">
        <f aca="false">ROUND(_xlfn.PERCENTRANK.INC($E$7:$E$4378,E290)*9,0)</f>
        <v>6</v>
      </c>
      <c r="I290" s="1" t="str">
        <f aca="false">CONCATENATE(F290,G290,H290)</f>
        <v>636</v>
      </c>
      <c r="J290" s="1" t="str">
        <f aca="false">_xlfn.IFS(AND(F290&gt;=8,G290&gt;=8,H290&gt;=8),"CHAMPION",AND(F290&gt;=6,G290&gt;=7,H290&gt;=6),"LOYAL CUSTOMER",AND(F290&gt;=6,G290&gt;=5,H290&gt;=5),"POTENTIAL LOYALIST",AND(F290&gt;=8,G290&lt;=2,H290&gt;=5),"NEW CUSTOMERS",AND(F290&gt;=6,G290&lt;=2,H290&gt;=3),"PROMISING",AND(F290&gt;=3,G290&gt;=3,H290&gt;=3),"NEED ATTENTION",AND(F290&lt;=4,G290&gt;=6,H290&gt;=6),"AT RISK",AND(F290&lt;=2,G290&gt;=8,H290&gt;=8),"CAN'T LOSE THEM",AND(F290&lt;=2,G290&lt;=2,H290&lt;=2),"HIBERNATING",TRUE(),"Other")</f>
        <v>NEED ATTENTION</v>
      </c>
      <c r="K290" s="1" t="n">
        <f aca="false">RANK(E290,$E$7:$E$4378)+COUNTIF($E$7:E290,E290)-1</f>
        <v>1378</v>
      </c>
    </row>
    <row r="291" customFormat="false" ht="14.25" hidden="false" customHeight="true" outlineLevel="0" collapsed="false">
      <c r="A291" s="51" t="n">
        <v>12690</v>
      </c>
      <c r="B291" s="53" t="n">
        <v>40681.38125</v>
      </c>
      <c r="C291" s="57" t="n">
        <f aca="false">INT($C$2)-INT(Table3[[#This Row],[Last Purchase Date]])</f>
        <v>206</v>
      </c>
      <c r="D291" s="1" t="n">
        <v>1</v>
      </c>
      <c r="E291" s="1" t="n">
        <v>389.01</v>
      </c>
      <c r="F291" s="1" t="n">
        <f aca="false">ROUND((1-_xlfn.PERCENTRANK.INC($C$7:$C$4378,C291))*9,0)</f>
        <v>1</v>
      </c>
      <c r="G291" s="1" t="n">
        <f aca="false">ROUND(_xlfn.PERCENTRANK.INC($D$7:$D$4378,D291)*9,0)</f>
        <v>0</v>
      </c>
      <c r="H291" s="1" t="n">
        <f aca="false">ROUND(_xlfn.PERCENTRANK.INC($E$7:$E$4378,E291)*9,0)</f>
        <v>3</v>
      </c>
      <c r="I291" s="1" t="str">
        <f aca="false">CONCATENATE(F291,G291,H291)</f>
        <v>103</v>
      </c>
      <c r="J291" s="1" t="str">
        <f aca="false">_xlfn.IFS(AND(F291&gt;=8,G291&gt;=8,H291&gt;=8),"CHAMPION",AND(F291&gt;=6,G291&gt;=7,H291&gt;=6),"LOYAL CUSTOMER",AND(F291&gt;=6,G291&gt;=5,H291&gt;=5),"POTENTIAL LOYALIST",AND(F291&gt;=8,G291&lt;=2,H291&gt;=5),"NEW CUSTOMERS",AND(F291&gt;=6,G291&lt;=2,H291&gt;=3),"PROMISING",AND(F291&gt;=3,G291&gt;=3,H291&gt;=3),"NEED ATTENTION",AND(F291&lt;=4,G291&gt;=6,H291&gt;=6),"AT RISK",AND(F291&lt;=2,G291&gt;=8,H291&gt;=8),"CAN'T LOSE THEM",AND(F291&lt;=2,G291&lt;=2,H291&lt;=2),"HIBERNATING",TRUE(),"Other")</f>
        <v>Other</v>
      </c>
      <c r="K291" s="1" t="n">
        <f aca="false">RANK(E291,$E$7:$E$4378)+COUNTIF($E$7:E291,E291)-1</f>
        <v>2852</v>
      </c>
    </row>
    <row r="292" customFormat="false" ht="14.25" hidden="false" customHeight="true" outlineLevel="0" collapsed="false">
      <c r="A292" s="51" t="n">
        <v>12691</v>
      </c>
      <c r="B292" s="53" t="n">
        <v>40858.7006944444</v>
      </c>
      <c r="C292" s="57" t="n">
        <f aca="false">INT($C$2)-INT(Table3[[#This Row],[Last Purchase Date]])</f>
        <v>29</v>
      </c>
      <c r="D292" s="1" t="n">
        <v>6</v>
      </c>
      <c r="E292" s="1" t="n">
        <v>1035.8</v>
      </c>
      <c r="F292" s="1" t="n">
        <f aca="false">ROUND((1-_xlfn.PERCENTRANK.INC($C$7:$C$4378,C292))*9,0)</f>
        <v>6</v>
      </c>
      <c r="G292" s="1" t="n">
        <f aca="false">ROUND(_xlfn.PERCENTRANK.INC($D$7:$D$4378,D292)*9,0)</f>
        <v>7</v>
      </c>
      <c r="H292" s="1" t="n">
        <f aca="false">ROUND(_xlfn.PERCENTRANK.INC($E$7:$E$4378,E292)*9,0)</f>
        <v>6</v>
      </c>
      <c r="I292" s="1" t="str">
        <f aca="false">CONCATENATE(F292,G292,H292)</f>
        <v>676</v>
      </c>
      <c r="J292" s="1" t="str">
        <f aca="false">_xlfn.IFS(AND(F292&gt;=8,G292&gt;=8,H292&gt;=8),"CHAMPION",AND(F292&gt;=6,G292&gt;=7,H292&gt;=6),"LOYAL CUSTOMER",AND(F292&gt;=6,G292&gt;=5,H292&gt;=5),"POTENTIAL LOYALIST",AND(F292&gt;=8,G292&lt;=2,H292&gt;=5),"NEW CUSTOMERS",AND(F292&gt;=6,G292&lt;=2,H292&gt;=3),"PROMISING",AND(F292&gt;=3,G292&gt;=3,H292&gt;=3),"NEED ATTENTION",AND(F292&lt;=4,G292&gt;=6,H292&gt;=6),"AT RISK",AND(F292&lt;=2,G292&gt;=8,H292&gt;=8),"CAN'T LOSE THEM",AND(F292&lt;=2,G292&lt;=2,H292&lt;=2),"HIBERNATING",TRUE(),"Other")</f>
        <v>LOYAL CUSTOMER</v>
      </c>
      <c r="K292" s="1" t="n">
        <f aca="false">RANK(E292,$E$7:$E$4378)+COUNTIF($E$7:E292,E292)-1</f>
        <v>1586</v>
      </c>
    </row>
    <row r="293" customFormat="false" ht="14.25" hidden="false" customHeight="true" outlineLevel="0" collapsed="false">
      <c r="A293" s="51" t="n">
        <v>12693</v>
      </c>
      <c r="B293" s="53" t="n">
        <v>40766.3861111111</v>
      </c>
      <c r="C293" s="57" t="n">
        <f aca="false">INT($C$2)-INT(Table3[[#This Row],[Last Purchase Date]])</f>
        <v>121</v>
      </c>
      <c r="D293" s="1" t="n">
        <v>6</v>
      </c>
      <c r="E293" s="1" t="n">
        <v>830.96</v>
      </c>
      <c r="F293" s="1" t="n">
        <f aca="false">ROUND((1-_xlfn.PERCENTRANK.INC($C$7:$C$4378,C293))*9,0)</f>
        <v>3</v>
      </c>
      <c r="G293" s="1" t="n">
        <f aca="false">ROUND(_xlfn.PERCENTRANK.INC($D$7:$D$4378,D293)*9,0)</f>
        <v>7</v>
      </c>
      <c r="H293" s="1" t="n">
        <f aca="false">ROUND(_xlfn.PERCENTRANK.INC($E$7:$E$4378,E293)*9,0)</f>
        <v>5</v>
      </c>
      <c r="I293" s="1" t="str">
        <f aca="false">CONCATENATE(F293,G293,H293)</f>
        <v>375</v>
      </c>
      <c r="J293" s="1" t="str">
        <f aca="false">_xlfn.IFS(AND(F293&gt;=8,G293&gt;=8,H293&gt;=8),"CHAMPION",AND(F293&gt;=6,G293&gt;=7,H293&gt;=6),"LOYAL CUSTOMER",AND(F293&gt;=6,G293&gt;=5,H293&gt;=5),"POTENTIAL LOYALIST",AND(F293&gt;=8,G293&lt;=2,H293&gt;=5),"NEW CUSTOMERS",AND(F293&gt;=6,G293&lt;=2,H293&gt;=3),"PROMISING",AND(F293&gt;=3,G293&gt;=3,H293&gt;=3),"NEED ATTENTION",AND(F293&lt;=4,G293&gt;=6,H293&gt;=6),"AT RISK",AND(F293&lt;=2,G293&gt;=8,H293&gt;=8),"CAN'T LOSE THEM",AND(F293&lt;=2,G293&lt;=2,H293&lt;=2),"HIBERNATING",TRUE(),"Other")</f>
        <v>NEED ATTENTION</v>
      </c>
      <c r="K293" s="1" t="n">
        <f aca="false">RANK(E293,$E$7:$E$4378)+COUNTIF($E$7:E293,E293)-1</f>
        <v>1854</v>
      </c>
    </row>
    <row r="294" customFormat="false" ht="14.25" hidden="false" customHeight="true" outlineLevel="0" collapsed="false">
      <c r="A294" s="51" t="n">
        <v>12694</v>
      </c>
      <c r="B294" s="53" t="n">
        <v>40816.5458333333</v>
      </c>
      <c r="C294" s="57" t="n">
        <f aca="false">INT($C$2)-INT(Table3[[#This Row],[Last Purchase Date]])</f>
        <v>71</v>
      </c>
      <c r="D294" s="1" t="n">
        <v>2</v>
      </c>
      <c r="E294" s="1" t="n">
        <v>869.67</v>
      </c>
      <c r="F294" s="1" t="n">
        <f aca="false">ROUND((1-_xlfn.PERCENTRANK.INC($C$7:$C$4378,C294))*9,0)</f>
        <v>4</v>
      </c>
      <c r="G294" s="1" t="n">
        <f aca="false">ROUND(_xlfn.PERCENTRANK.INC($D$7:$D$4378,D294)*9,0)</f>
        <v>3</v>
      </c>
      <c r="H294" s="1" t="n">
        <f aca="false">ROUND(_xlfn.PERCENTRANK.INC($E$7:$E$4378,E294)*9,0)</f>
        <v>5</v>
      </c>
      <c r="I294" s="1" t="str">
        <f aca="false">CONCATENATE(F294,G294,H294)</f>
        <v>435</v>
      </c>
      <c r="J294" s="1" t="str">
        <f aca="false">_xlfn.IFS(AND(F294&gt;=8,G294&gt;=8,H294&gt;=8),"CHAMPION",AND(F294&gt;=6,G294&gt;=7,H294&gt;=6),"LOYAL CUSTOMER",AND(F294&gt;=6,G294&gt;=5,H294&gt;=5),"POTENTIAL LOYALIST",AND(F294&gt;=8,G294&lt;=2,H294&gt;=5),"NEW CUSTOMERS",AND(F294&gt;=6,G294&lt;=2,H294&gt;=3),"PROMISING",AND(F294&gt;=3,G294&gt;=3,H294&gt;=3),"NEED ATTENTION",AND(F294&lt;=4,G294&gt;=6,H294&gt;=6),"AT RISK",AND(F294&lt;=2,G294&gt;=8,H294&gt;=8),"CAN'T LOSE THEM",AND(F294&lt;=2,G294&lt;=2,H294&lt;=2),"HIBERNATING",TRUE(),"Other")</f>
        <v>NEED ATTENTION</v>
      </c>
      <c r="K294" s="1" t="n">
        <f aca="false">RANK(E294,$E$7:$E$4378)+COUNTIF($E$7:E294,E294)-1</f>
        <v>1802</v>
      </c>
    </row>
    <row r="295" customFormat="false" ht="14.25" hidden="false" customHeight="true" outlineLevel="0" collapsed="false">
      <c r="A295" s="51" t="n">
        <v>12695</v>
      </c>
      <c r="B295" s="53" t="n">
        <v>40879.5569444444</v>
      </c>
      <c r="C295" s="57" t="n">
        <f aca="false">INT($C$2)-INT(Table3[[#This Row],[Last Purchase Date]])</f>
        <v>8</v>
      </c>
      <c r="D295" s="1" t="n">
        <v>4</v>
      </c>
      <c r="E295" s="1" t="n">
        <v>582.1</v>
      </c>
      <c r="F295" s="1" t="n">
        <f aca="false">ROUND((1-_xlfn.PERCENTRANK.INC($C$7:$C$4378,C295))*9,0)</f>
        <v>8</v>
      </c>
      <c r="G295" s="1" t="n">
        <f aca="false">ROUND(_xlfn.PERCENTRANK.INC($D$7:$D$4378,D295)*9,0)</f>
        <v>5</v>
      </c>
      <c r="H295" s="1" t="n">
        <f aca="false">ROUND(_xlfn.PERCENTRANK.INC($E$7:$E$4378,E295)*9,0)</f>
        <v>4</v>
      </c>
      <c r="I295" s="1" t="str">
        <f aca="false">CONCATENATE(F295,G295,H295)</f>
        <v>854</v>
      </c>
      <c r="J295" s="1" t="str">
        <f aca="false">_xlfn.IFS(AND(F295&gt;=8,G295&gt;=8,H295&gt;=8),"CHAMPION",AND(F295&gt;=6,G295&gt;=7,H295&gt;=6),"LOYAL CUSTOMER",AND(F295&gt;=6,G295&gt;=5,H295&gt;=5),"POTENTIAL LOYALIST",AND(F295&gt;=8,G295&lt;=2,H295&gt;=5),"NEW CUSTOMERS",AND(F295&gt;=6,G295&lt;=2,H295&gt;=3),"PROMISING",AND(F295&gt;=3,G295&gt;=3,H295&gt;=3),"NEED ATTENTION",AND(F295&lt;=4,G295&gt;=6,H295&gt;=6),"AT RISK",AND(F295&lt;=2,G295&gt;=8,H295&gt;=8),"CAN'T LOSE THEM",AND(F295&lt;=2,G295&lt;=2,H295&lt;=2),"HIBERNATING",TRUE(),"Other")</f>
        <v>NEED ATTENTION</v>
      </c>
      <c r="K295" s="1" t="n">
        <f aca="false">RANK(E295,$E$7:$E$4378)+COUNTIF($E$7:E295,E295)-1</f>
        <v>2368</v>
      </c>
    </row>
    <row r="296" customFormat="false" ht="14.25" hidden="false" customHeight="true" outlineLevel="0" collapsed="false">
      <c r="A296" s="51" t="n">
        <v>12697</v>
      </c>
      <c r="B296" s="53" t="n">
        <v>40865.6784722222</v>
      </c>
      <c r="C296" s="57" t="n">
        <f aca="false">INT($C$2)-INT(Table3[[#This Row],[Last Purchase Date]])</f>
        <v>22</v>
      </c>
      <c r="D296" s="1" t="n">
        <v>5</v>
      </c>
      <c r="E296" s="1" t="n">
        <v>939.02</v>
      </c>
      <c r="F296" s="1" t="n">
        <f aca="false">ROUND((1-_xlfn.PERCENTRANK.INC($C$7:$C$4378,C296))*9,0)</f>
        <v>6</v>
      </c>
      <c r="G296" s="1" t="n">
        <f aca="false">ROUND(_xlfn.PERCENTRANK.INC($D$7:$D$4378,D296)*9,0)</f>
        <v>6</v>
      </c>
      <c r="H296" s="1" t="n">
        <f aca="false">ROUND(_xlfn.PERCENTRANK.INC($E$7:$E$4378,E296)*9,0)</f>
        <v>5</v>
      </c>
      <c r="I296" s="1" t="str">
        <f aca="false">CONCATENATE(F296,G296,H296)</f>
        <v>665</v>
      </c>
      <c r="J296" s="1" t="str">
        <f aca="false">_xlfn.IFS(AND(F296&gt;=8,G296&gt;=8,H296&gt;=8),"CHAMPION",AND(F296&gt;=6,G296&gt;=7,H296&gt;=6),"LOYAL CUSTOMER",AND(F296&gt;=6,G296&gt;=5,H296&gt;=5),"POTENTIAL LOYALIST",AND(F296&gt;=8,G296&lt;=2,H296&gt;=5),"NEW CUSTOMERS",AND(F296&gt;=6,G296&lt;=2,H296&gt;=3),"PROMISING",AND(F296&gt;=3,G296&gt;=3,H296&gt;=3),"NEED ATTENTION",AND(F296&lt;=4,G296&gt;=6,H296&gt;=6),"AT RISK",AND(F296&lt;=2,G296&gt;=8,H296&gt;=8),"CAN'T LOSE THEM",AND(F296&lt;=2,G296&lt;=2,H296&lt;=2),"HIBERNATING",TRUE(),"Other")</f>
        <v>POTENTIAL LOYALIST</v>
      </c>
      <c r="K296" s="1" t="n">
        <f aca="false">RANK(E296,$E$7:$E$4378)+COUNTIF($E$7:E296,E296)-1</f>
        <v>1710</v>
      </c>
    </row>
    <row r="297" customFormat="false" ht="14.25" hidden="false" customHeight="true" outlineLevel="0" collapsed="false">
      <c r="A297" s="51" t="n">
        <v>12700</v>
      </c>
      <c r="B297" s="53" t="n">
        <v>40879.4506944444</v>
      </c>
      <c r="C297" s="57" t="n">
        <f aca="false">INT($C$2)-INT(Table3[[#This Row],[Last Purchase Date]])</f>
        <v>8</v>
      </c>
      <c r="D297" s="1" t="n">
        <v>6</v>
      </c>
      <c r="E297" s="1" t="n">
        <v>4867.99</v>
      </c>
      <c r="F297" s="1" t="n">
        <f aca="false">ROUND((1-_xlfn.PERCENTRANK.INC($C$7:$C$4378,C297))*9,0)</f>
        <v>8</v>
      </c>
      <c r="G297" s="1" t="n">
        <f aca="false">ROUND(_xlfn.PERCENTRANK.INC($D$7:$D$4378,D297)*9,0)</f>
        <v>7</v>
      </c>
      <c r="H297" s="1" t="n">
        <f aca="false">ROUND(_xlfn.PERCENTRANK.INC($E$7:$E$4378,E297)*9,0)</f>
        <v>8</v>
      </c>
      <c r="I297" s="1" t="str">
        <f aca="false">CONCATENATE(F297,G297,H297)</f>
        <v>878</v>
      </c>
      <c r="J297" s="1" t="str">
        <f aca="false">_xlfn.IFS(AND(F297&gt;=8,G297&gt;=8,H297&gt;=8),"CHAMPION",AND(F297&gt;=6,G297&gt;=7,H297&gt;=6),"LOYAL CUSTOMER",AND(F297&gt;=6,G297&gt;=5,H297&gt;=5),"POTENTIAL LOYALIST",AND(F297&gt;=8,G297&lt;=2,H297&gt;=5),"NEW CUSTOMERS",AND(F297&gt;=6,G297&lt;=2,H297&gt;=3),"PROMISING",AND(F297&gt;=3,G297&gt;=3,H297&gt;=3),"NEED ATTENTION",AND(F297&lt;=4,G297&gt;=6,H297&gt;=6),"AT RISK",AND(F297&lt;=2,G297&gt;=8,H297&gt;=8),"CAN'T LOSE THEM",AND(F297&lt;=2,G297&lt;=2,H297&lt;=2),"HIBERNATING",TRUE(),"Other")</f>
        <v>LOYAL CUSTOMER</v>
      </c>
      <c r="K297" s="1" t="n">
        <f aca="false">RANK(E297,$E$7:$E$4378)+COUNTIF($E$7:E297,E297)-1</f>
        <v>273</v>
      </c>
    </row>
    <row r="298" customFormat="false" ht="14.25" hidden="false" customHeight="true" outlineLevel="0" collapsed="false">
      <c r="A298" s="51" t="n">
        <v>12701</v>
      </c>
      <c r="B298" s="53" t="n">
        <v>40807.4493055556</v>
      </c>
      <c r="C298" s="57" t="n">
        <f aca="false">INT($C$2)-INT(Table3[[#This Row],[Last Purchase Date]])</f>
        <v>80</v>
      </c>
      <c r="D298" s="1" t="n">
        <v>2</v>
      </c>
      <c r="E298" s="1" t="n">
        <v>797.71</v>
      </c>
      <c r="F298" s="1" t="n">
        <f aca="false">ROUND((1-_xlfn.PERCENTRANK.INC($C$7:$C$4378,C298))*9,0)</f>
        <v>3</v>
      </c>
      <c r="G298" s="1" t="n">
        <f aca="false">ROUND(_xlfn.PERCENTRANK.INC($D$7:$D$4378,D298)*9,0)</f>
        <v>3</v>
      </c>
      <c r="H298" s="1" t="n">
        <f aca="false">ROUND(_xlfn.PERCENTRANK.INC($E$7:$E$4378,E298)*9,0)</f>
        <v>5</v>
      </c>
      <c r="I298" s="1" t="str">
        <f aca="false">CONCATENATE(F298,G298,H298)</f>
        <v>335</v>
      </c>
      <c r="J298" s="1" t="str">
        <f aca="false">_xlfn.IFS(AND(F298&gt;=8,G298&gt;=8,H298&gt;=8),"CHAMPION",AND(F298&gt;=6,G298&gt;=7,H298&gt;=6),"LOYAL CUSTOMER",AND(F298&gt;=6,G298&gt;=5,H298&gt;=5),"POTENTIAL LOYALIST",AND(F298&gt;=8,G298&lt;=2,H298&gt;=5),"NEW CUSTOMERS",AND(F298&gt;=6,G298&lt;=2,H298&gt;=3),"PROMISING",AND(F298&gt;=3,G298&gt;=3,H298&gt;=3),"NEED ATTENTION",AND(F298&lt;=4,G298&gt;=6,H298&gt;=6),"AT RISK",AND(F298&lt;=2,G298&gt;=8,H298&gt;=8),"CAN'T LOSE THEM",AND(F298&lt;=2,G298&lt;=2,H298&lt;=2),"HIBERNATING",TRUE(),"Other")</f>
        <v>NEED ATTENTION</v>
      </c>
      <c r="K298" s="1" t="n">
        <f aca="false">RANK(E298,$E$7:$E$4378)+COUNTIF($E$7:E298,E298)-1</f>
        <v>1906</v>
      </c>
    </row>
    <row r="299" customFormat="false" ht="14.25" hidden="false" customHeight="true" outlineLevel="0" collapsed="false">
      <c r="A299" s="51" t="n">
        <v>12702</v>
      </c>
      <c r="B299" s="53" t="n">
        <v>40867.4416666667</v>
      </c>
      <c r="C299" s="57" t="n">
        <f aca="false">INT($C$2)-INT(Table3[[#This Row],[Last Purchase Date]])</f>
        <v>20</v>
      </c>
      <c r="D299" s="1" t="n">
        <v>1</v>
      </c>
      <c r="E299" s="1" t="n">
        <v>219</v>
      </c>
      <c r="F299" s="1" t="n">
        <f aca="false">ROUND((1-_xlfn.PERCENTRANK.INC($C$7:$C$4378,C299))*9,0)</f>
        <v>6</v>
      </c>
      <c r="G299" s="1" t="n">
        <f aca="false">ROUND(_xlfn.PERCENTRANK.INC($D$7:$D$4378,D299)*9,0)</f>
        <v>0</v>
      </c>
      <c r="H299" s="1" t="n">
        <f aca="false">ROUND(_xlfn.PERCENTRANK.INC($E$7:$E$4378,E299)*9,0)</f>
        <v>2</v>
      </c>
      <c r="I299" s="1" t="str">
        <f aca="false">CONCATENATE(F299,G299,H299)</f>
        <v>602</v>
      </c>
      <c r="J299" s="1" t="str">
        <f aca="false">_xlfn.IFS(AND(F299&gt;=8,G299&gt;=8,H299&gt;=8),"CHAMPION",AND(F299&gt;=6,G299&gt;=7,H299&gt;=6),"LOYAL CUSTOMER",AND(F299&gt;=6,G299&gt;=5,H299&gt;=5),"POTENTIAL LOYALIST",AND(F299&gt;=8,G299&lt;=2,H299&gt;=5),"NEW CUSTOMERS",AND(F299&gt;=6,G299&lt;=2,H299&gt;=3),"PROMISING",AND(F299&gt;=3,G299&gt;=3,H299&gt;=3),"NEED ATTENTION",AND(F299&lt;=4,G299&gt;=6,H299&gt;=6),"AT RISK",AND(F299&lt;=2,G299&gt;=8,H299&gt;=8),"CAN'T LOSE THEM",AND(F299&lt;=2,G299&lt;=2,H299&lt;=2),"HIBERNATING",TRUE(),"Other")</f>
        <v>Other</v>
      </c>
      <c r="K299" s="1" t="n">
        <f aca="false">RANK(E299,$E$7:$E$4378)+COUNTIF($E$7:E299,E299)-1</f>
        <v>3564</v>
      </c>
    </row>
    <row r="300" customFormat="false" ht="14.25" hidden="false" customHeight="true" outlineLevel="0" collapsed="false">
      <c r="A300" s="51" t="n">
        <v>12703</v>
      </c>
      <c r="B300" s="53" t="n">
        <v>40822.8076388889</v>
      </c>
      <c r="C300" s="57" t="n">
        <f aca="false">INT($C$2)-INT(Table3[[#This Row],[Last Purchase Date]])</f>
        <v>65</v>
      </c>
      <c r="D300" s="1" t="n">
        <v>2</v>
      </c>
      <c r="E300" s="1" t="n">
        <v>274.7</v>
      </c>
      <c r="F300" s="1" t="n">
        <f aca="false">ROUND((1-_xlfn.PERCENTRANK.INC($C$7:$C$4378,C300))*9,0)</f>
        <v>4</v>
      </c>
      <c r="G300" s="1" t="n">
        <f aca="false">ROUND(_xlfn.PERCENTRANK.INC($D$7:$D$4378,D300)*9,0)</f>
        <v>3</v>
      </c>
      <c r="H300" s="1" t="n">
        <f aca="false">ROUND(_xlfn.PERCENTRANK.INC($E$7:$E$4378,E300)*9,0)</f>
        <v>2</v>
      </c>
      <c r="I300" s="1" t="str">
        <f aca="false">CONCATENATE(F300,G300,H300)</f>
        <v>432</v>
      </c>
      <c r="J300" s="1" t="str">
        <f aca="false">_xlfn.IFS(AND(F300&gt;=8,G300&gt;=8,H300&gt;=8),"CHAMPION",AND(F300&gt;=6,G300&gt;=7,H300&gt;=6),"LOYAL CUSTOMER",AND(F300&gt;=6,G300&gt;=5,H300&gt;=5),"POTENTIAL LOYALIST",AND(F300&gt;=8,G300&lt;=2,H300&gt;=5),"NEW CUSTOMERS",AND(F300&gt;=6,G300&lt;=2,H300&gt;=3),"PROMISING",AND(F300&gt;=3,G300&gt;=3,H300&gt;=3),"NEED ATTENTION",AND(F300&lt;=4,G300&gt;=6,H300&gt;=6),"AT RISK",AND(F300&lt;=2,G300&gt;=8,H300&gt;=8),"CAN'T LOSE THEM",AND(F300&lt;=2,G300&lt;=2,H300&lt;=2),"HIBERNATING",TRUE(),"Other")</f>
        <v>Other</v>
      </c>
      <c r="K300" s="1" t="n">
        <f aca="false">RANK(E300,$E$7:$E$4378)+COUNTIF($E$7:E300,E300)-1</f>
        <v>3345</v>
      </c>
    </row>
    <row r="301" customFormat="false" ht="14.25" hidden="false" customHeight="true" outlineLevel="0" collapsed="false">
      <c r="A301" s="51" t="n">
        <v>12704</v>
      </c>
      <c r="B301" s="53" t="n">
        <v>40879.5520833333</v>
      </c>
      <c r="C301" s="57" t="n">
        <f aca="false">INT($C$2)-INT(Table3[[#This Row],[Last Purchase Date]])</f>
        <v>8</v>
      </c>
      <c r="D301" s="1" t="n">
        <v>10</v>
      </c>
      <c r="E301" s="1" t="n">
        <v>2220.84</v>
      </c>
      <c r="F301" s="1" t="n">
        <f aca="false">ROUND((1-_xlfn.PERCENTRANK.INC($C$7:$C$4378,C301))*9,0)</f>
        <v>8</v>
      </c>
      <c r="G301" s="1" t="n">
        <f aca="false">ROUND(_xlfn.PERCENTRANK.INC($D$7:$D$4378,D301)*9,0)</f>
        <v>8</v>
      </c>
      <c r="H301" s="1" t="n">
        <f aca="false">ROUND(_xlfn.PERCENTRANK.INC($E$7:$E$4378,E301)*9,0)</f>
        <v>7</v>
      </c>
      <c r="I301" s="1" t="str">
        <f aca="false">CONCATENATE(F301,G301,H301)</f>
        <v>887</v>
      </c>
      <c r="J301" s="1" t="str">
        <f aca="false">_xlfn.IFS(AND(F301&gt;=8,G301&gt;=8,H301&gt;=8),"CHAMPION",AND(F301&gt;=6,G301&gt;=7,H301&gt;=6),"LOYAL CUSTOMER",AND(F301&gt;=6,G301&gt;=5,H301&gt;=5),"POTENTIAL LOYALIST",AND(F301&gt;=8,G301&lt;=2,H301&gt;=5),"NEW CUSTOMERS",AND(F301&gt;=6,G301&lt;=2,H301&gt;=3),"PROMISING",AND(F301&gt;=3,G301&gt;=3,H301&gt;=3),"NEED ATTENTION",AND(F301&lt;=4,G301&gt;=6,H301&gt;=6),"AT RISK",AND(F301&lt;=2,G301&gt;=8,H301&gt;=8),"CAN'T LOSE THEM",AND(F301&lt;=2,G301&lt;=2,H301&lt;=2),"HIBERNATING",TRUE(),"Other")</f>
        <v>LOYAL CUSTOMER</v>
      </c>
      <c r="K301" s="1" t="n">
        <f aca="false">RANK(E301,$E$7:$E$4378)+COUNTIF($E$7:E301,E301)-1</f>
        <v>771</v>
      </c>
    </row>
    <row r="302" customFormat="false" ht="14.25" hidden="false" customHeight="true" outlineLevel="0" collapsed="false">
      <c r="A302" s="51" t="n">
        <v>12705</v>
      </c>
      <c r="B302" s="53" t="n">
        <v>40871.5534722222</v>
      </c>
      <c r="C302" s="57" t="n">
        <f aca="false">INT($C$2)-INT(Table3[[#This Row],[Last Purchase Date]])</f>
        <v>16</v>
      </c>
      <c r="D302" s="1" t="n">
        <v>14</v>
      </c>
      <c r="E302" s="1" t="n">
        <v>6814.24</v>
      </c>
      <c r="F302" s="1" t="n">
        <f aca="false">ROUND((1-_xlfn.PERCENTRANK.INC($C$7:$C$4378,C302))*9,0)</f>
        <v>7</v>
      </c>
      <c r="G302" s="1" t="n">
        <f aca="false">ROUND(_xlfn.PERCENTRANK.INC($D$7:$D$4378,D302)*9,0)</f>
        <v>8</v>
      </c>
      <c r="H302" s="1" t="n">
        <f aca="false">ROUND(_xlfn.PERCENTRANK.INC($E$7:$E$4378,E302)*9,0)</f>
        <v>9</v>
      </c>
      <c r="I302" s="1" t="str">
        <f aca="false">CONCATENATE(F302,G302,H302)</f>
        <v>789</v>
      </c>
      <c r="J302" s="1" t="str">
        <f aca="false">_xlfn.IFS(AND(F302&gt;=8,G302&gt;=8,H302&gt;=8),"CHAMPION",AND(F302&gt;=6,G302&gt;=7,H302&gt;=6),"LOYAL CUSTOMER",AND(F302&gt;=6,G302&gt;=5,H302&gt;=5),"POTENTIAL LOYALIST",AND(F302&gt;=8,G302&lt;=2,H302&gt;=5),"NEW CUSTOMERS",AND(F302&gt;=6,G302&lt;=2,H302&gt;=3),"PROMISING",AND(F302&gt;=3,G302&gt;=3,H302&gt;=3),"NEED ATTENTION",AND(F302&lt;=4,G302&gt;=6,H302&gt;=6),"AT RISK",AND(F302&lt;=2,G302&gt;=8,H302&gt;=8),"CAN'T LOSE THEM",AND(F302&lt;=2,G302&lt;=2,H302&lt;=2),"HIBERNATING",TRUE(),"Other")</f>
        <v>LOYAL CUSTOMER</v>
      </c>
      <c r="K302" s="1" t="n">
        <f aca="false">RANK(E302,$E$7:$E$4378)+COUNTIF($E$7:E302,E302)-1</f>
        <v>163</v>
      </c>
    </row>
    <row r="303" customFormat="false" ht="14.25" hidden="false" customHeight="true" outlineLevel="0" collapsed="false">
      <c r="A303" s="51" t="n">
        <v>12707</v>
      </c>
      <c r="B303" s="53" t="n">
        <v>40595.3597222222</v>
      </c>
      <c r="C303" s="57" t="n">
        <f aca="false">INT($C$2)-INT(Table3[[#This Row],[Last Purchase Date]])</f>
        <v>292</v>
      </c>
      <c r="D303" s="1" t="n">
        <v>1</v>
      </c>
      <c r="E303" s="1" t="n">
        <v>603.42</v>
      </c>
      <c r="F303" s="1" t="n">
        <f aca="false">ROUND((1-_xlfn.PERCENTRANK.INC($C$7:$C$4378,C303))*9,0)</f>
        <v>1</v>
      </c>
      <c r="G303" s="1" t="n">
        <f aca="false">ROUND(_xlfn.PERCENTRANK.INC($D$7:$D$4378,D303)*9,0)</f>
        <v>0</v>
      </c>
      <c r="H303" s="1" t="n">
        <f aca="false">ROUND(_xlfn.PERCENTRANK.INC($E$7:$E$4378,E303)*9,0)</f>
        <v>4</v>
      </c>
      <c r="I303" s="1" t="str">
        <f aca="false">CONCATENATE(F303,G303,H303)</f>
        <v>104</v>
      </c>
      <c r="J303" s="1" t="str">
        <f aca="false">_xlfn.IFS(AND(F303&gt;=8,G303&gt;=8,H303&gt;=8),"CHAMPION",AND(F303&gt;=6,G303&gt;=7,H303&gt;=6),"LOYAL CUSTOMER",AND(F303&gt;=6,G303&gt;=5,H303&gt;=5),"POTENTIAL LOYALIST",AND(F303&gt;=8,G303&lt;=2,H303&gt;=5),"NEW CUSTOMERS",AND(F303&gt;=6,G303&lt;=2,H303&gt;=3),"PROMISING",AND(F303&gt;=3,G303&gt;=3,H303&gt;=3),"NEED ATTENTION",AND(F303&lt;=4,G303&gt;=6,H303&gt;=6),"AT RISK",AND(F303&lt;=2,G303&gt;=8,H303&gt;=8),"CAN'T LOSE THEM",AND(F303&lt;=2,G303&lt;=2,H303&lt;=2),"HIBERNATING",TRUE(),"Other")</f>
        <v>Other</v>
      </c>
      <c r="K303" s="1" t="n">
        <f aca="false">RANK(E303,$E$7:$E$4378)+COUNTIF($E$7:E303,E303)-1</f>
        <v>2306</v>
      </c>
    </row>
    <row r="304" customFormat="false" ht="14.25" hidden="false" customHeight="true" outlineLevel="0" collapsed="false">
      <c r="A304" s="51" t="n">
        <v>12708</v>
      </c>
      <c r="B304" s="53" t="n">
        <v>40857.4111111111</v>
      </c>
      <c r="C304" s="57" t="n">
        <f aca="false">INT($C$2)-INT(Table3[[#This Row],[Last Purchase Date]])</f>
        <v>30</v>
      </c>
      <c r="D304" s="1" t="n">
        <v>16</v>
      </c>
      <c r="E304" s="1" t="n">
        <v>2616.32</v>
      </c>
      <c r="F304" s="1" t="n">
        <f aca="false">ROUND((1-_xlfn.PERCENTRANK.INC($C$7:$C$4378,C304))*9,0)</f>
        <v>6</v>
      </c>
      <c r="G304" s="1" t="n">
        <f aca="false">ROUND(_xlfn.PERCENTRANK.INC($D$7:$D$4378,D304)*9,0)</f>
        <v>9</v>
      </c>
      <c r="H304" s="1" t="n">
        <f aca="false">ROUND(_xlfn.PERCENTRANK.INC($E$7:$E$4378,E304)*9,0)</f>
        <v>8</v>
      </c>
      <c r="I304" s="1" t="str">
        <f aca="false">CONCATENATE(F304,G304,H304)</f>
        <v>698</v>
      </c>
      <c r="J304" s="1" t="str">
        <f aca="false">_xlfn.IFS(AND(F304&gt;=8,G304&gt;=8,H304&gt;=8),"CHAMPION",AND(F304&gt;=6,G304&gt;=7,H304&gt;=6),"LOYAL CUSTOMER",AND(F304&gt;=6,G304&gt;=5,H304&gt;=5),"POTENTIAL LOYALIST",AND(F304&gt;=8,G304&lt;=2,H304&gt;=5),"NEW CUSTOMERS",AND(F304&gt;=6,G304&lt;=2,H304&gt;=3),"PROMISING",AND(F304&gt;=3,G304&gt;=3,H304&gt;=3),"NEED ATTENTION",AND(F304&lt;=4,G304&gt;=6,H304&gt;=6),"AT RISK",AND(F304&lt;=2,G304&gt;=8,H304&gt;=8),"CAN'T LOSE THEM",AND(F304&lt;=2,G304&lt;=2,H304&lt;=2),"HIBERNATING",TRUE(),"Other")</f>
        <v>LOYAL CUSTOMER</v>
      </c>
      <c r="K304" s="1" t="n">
        <f aca="false">RANK(E304,$E$7:$E$4378)+COUNTIF($E$7:E304,E304)-1</f>
        <v>639</v>
      </c>
    </row>
    <row r="305" customFormat="false" ht="14.25" hidden="false" customHeight="true" outlineLevel="0" collapsed="false">
      <c r="A305" s="51" t="n">
        <v>12709</v>
      </c>
      <c r="B305" s="53" t="n">
        <v>40883.6958333333</v>
      </c>
      <c r="C305" s="57" t="n">
        <f aca="false">INT($C$2)-INT(Table3[[#This Row],[Last Purchase Date]])</f>
        <v>4</v>
      </c>
      <c r="D305" s="1" t="n">
        <v>26</v>
      </c>
      <c r="E305" s="1" t="n">
        <v>9294.09999999999</v>
      </c>
      <c r="F305" s="1" t="n">
        <f aca="false">ROUND((1-_xlfn.PERCENTRANK.INC($C$7:$C$4378,C305))*9,0)</f>
        <v>8</v>
      </c>
      <c r="G305" s="1" t="n">
        <f aca="false">ROUND(_xlfn.PERCENTRANK.INC($D$7:$D$4378,D305)*9,0)</f>
        <v>9</v>
      </c>
      <c r="H305" s="1" t="n">
        <f aca="false">ROUND(_xlfn.PERCENTRANK.INC($E$7:$E$4378,E305)*9,0)</f>
        <v>9</v>
      </c>
      <c r="I305" s="1" t="str">
        <f aca="false">CONCATENATE(F305,G305,H305)</f>
        <v>899</v>
      </c>
      <c r="J305" s="1" t="str">
        <f aca="false">_xlfn.IFS(AND(F305&gt;=8,G305&gt;=8,H305&gt;=8),"CHAMPION",AND(F305&gt;=6,G305&gt;=7,H305&gt;=6),"LOYAL CUSTOMER",AND(F305&gt;=6,G305&gt;=5,H305&gt;=5),"POTENTIAL LOYALIST",AND(F305&gt;=8,G305&lt;=2,H305&gt;=5),"NEW CUSTOMERS",AND(F305&gt;=6,G305&lt;=2,H305&gt;=3),"PROMISING",AND(F305&gt;=3,G305&gt;=3,H305&gt;=3),"NEED ATTENTION",AND(F305&lt;=4,G305&gt;=6,H305&gt;=6),"AT RISK",AND(F305&lt;=2,G305&gt;=8,H305&gt;=8),"CAN'T LOSE THEM",AND(F305&lt;=2,G305&lt;=2,H305&lt;=2),"HIBERNATING",TRUE(),"Other")</f>
        <v>CHAMPION</v>
      </c>
      <c r="K305" s="1" t="n">
        <f aca="false">RANK(E305,$E$7:$E$4378)+COUNTIF($E$7:E305,E305)-1</f>
        <v>105</v>
      </c>
    </row>
    <row r="306" customFormat="false" ht="14.25" hidden="false" customHeight="true" outlineLevel="0" collapsed="false">
      <c r="A306" s="51" t="n">
        <v>12710</v>
      </c>
      <c r="B306" s="53" t="n">
        <v>40790.5</v>
      </c>
      <c r="C306" s="57" t="n">
        <f aca="false">INT($C$2)-INT(Table3[[#This Row],[Last Purchase Date]])</f>
        <v>97</v>
      </c>
      <c r="D306" s="1" t="n">
        <v>4</v>
      </c>
      <c r="E306" s="1" t="n">
        <v>1130.57</v>
      </c>
      <c r="F306" s="1" t="n">
        <f aca="false">ROUND((1-_xlfn.PERCENTRANK.INC($C$7:$C$4378,C306))*9,0)</f>
        <v>3</v>
      </c>
      <c r="G306" s="1" t="n">
        <f aca="false">ROUND(_xlfn.PERCENTRANK.INC($D$7:$D$4378,D306)*9,0)</f>
        <v>5</v>
      </c>
      <c r="H306" s="1" t="n">
        <f aca="false">ROUND(_xlfn.PERCENTRANK.INC($E$7:$E$4378,E306)*9,0)</f>
        <v>6</v>
      </c>
      <c r="I306" s="1" t="str">
        <f aca="false">CONCATENATE(F306,G306,H306)</f>
        <v>356</v>
      </c>
      <c r="J306" s="1" t="str">
        <f aca="false">_xlfn.IFS(AND(F306&gt;=8,G306&gt;=8,H306&gt;=8),"CHAMPION",AND(F306&gt;=6,G306&gt;=7,H306&gt;=6),"LOYAL CUSTOMER",AND(F306&gt;=6,G306&gt;=5,H306&gt;=5),"POTENTIAL LOYALIST",AND(F306&gt;=8,G306&lt;=2,H306&gt;=5),"NEW CUSTOMERS",AND(F306&gt;=6,G306&lt;=2,H306&gt;=3),"PROMISING",AND(F306&gt;=3,G306&gt;=3,H306&gt;=3),"NEED ATTENTION",AND(F306&lt;=4,G306&gt;=6,H306&gt;=6),"AT RISK",AND(F306&lt;=2,G306&gt;=8,H306&gt;=8),"CAN'T LOSE THEM",AND(F306&lt;=2,G306&lt;=2,H306&lt;=2),"HIBERNATING",TRUE(),"Other")</f>
        <v>NEED ATTENTION</v>
      </c>
      <c r="K306" s="1" t="n">
        <f aca="false">RANK(E306,$E$7:$E$4378)+COUNTIF($E$7:E306,E306)-1</f>
        <v>1474</v>
      </c>
    </row>
    <row r="307" customFormat="false" ht="14.25" hidden="false" customHeight="true" outlineLevel="0" collapsed="false">
      <c r="A307" s="51" t="n">
        <v>12712</v>
      </c>
      <c r="B307" s="53" t="n">
        <v>40864.3854166667</v>
      </c>
      <c r="C307" s="57" t="n">
        <f aca="false">INT($C$2)-INT(Table3[[#This Row],[Last Purchase Date]])</f>
        <v>23</v>
      </c>
      <c r="D307" s="1" t="n">
        <v>17</v>
      </c>
      <c r="E307" s="1" t="n">
        <v>4241.63</v>
      </c>
      <c r="F307" s="1" t="n">
        <f aca="false">ROUND((1-_xlfn.PERCENTRANK.INC($C$7:$C$4378,C307))*9,0)</f>
        <v>6</v>
      </c>
      <c r="G307" s="1" t="n">
        <f aca="false">ROUND(_xlfn.PERCENTRANK.INC($D$7:$D$4378,D307)*9,0)</f>
        <v>9</v>
      </c>
      <c r="H307" s="1" t="n">
        <f aca="false">ROUND(_xlfn.PERCENTRANK.INC($E$7:$E$4378,E307)*9,0)</f>
        <v>8</v>
      </c>
      <c r="I307" s="1" t="str">
        <f aca="false">CONCATENATE(F307,G307,H307)</f>
        <v>698</v>
      </c>
      <c r="J307" s="1" t="str">
        <f aca="false">_xlfn.IFS(AND(F307&gt;=8,G307&gt;=8,H307&gt;=8),"CHAMPION",AND(F307&gt;=6,G307&gt;=7,H307&gt;=6),"LOYAL CUSTOMER",AND(F307&gt;=6,G307&gt;=5,H307&gt;=5),"POTENTIAL LOYALIST",AND(F307&gt;=8,G307&lt;=2,H307&gt;=5),"NEW CUSTOMERS",AND(F307&gt;=6,G307&lt;=2,H307&gt;=3),"PROMISING",AND(F307&gt;=3,G307&gt;=3,H307&gt;=3),"NEED ATTENTION",AND(F307&lt;=4,G307&gt;=6,H307&gt;=6),"AT RISK",AND(F307&lt;=2,G307&gt;=8,H307&gt;=8),"CAN'T LOSE THEM",AND(F307&lt;=2,G307&lt;=2,H307&lt;=2),"HIBERNATING",TRUE(),"Other")</f>
        <v>LOYAL CUSTOMER</v>
      </c>
      <c r="K307" s="1" t="n">
        <f aca="false">RANK(E307,$E$7:$E$4378)+COUNTIF($E$7:E307,E307)-1</f>
        <v>324</v>
      </c>
    </row>
    <row r="308" customFormat="false" ht="14.25" hidden="false" customHeight="true" outlineLevel="0" collapsed="false">
      <c r="A308" s="51" t="n">
        <v>12713</v>
      </c>
      <c r="B308" s="53" t="n">
        <v>40886.5111111111</v>
      </c>
      <c r="C308" s="57" t="n">
        <f aca="false">INT($C$2)-INT(Table3[[#This Row],[Last Purchase Date]])</f>
        <v>1</v>
      </c>
      <c r="D308" s="1" t="n">
        <v>1</v>
      </c>
      <c r="E308" s="1" t="n">
        <v>848.55</v>
      </c>
      <c r="F308" s="1" t="n">
        <f aca="false">ROUND((1-_xlfn.PERCENTRANK.INC($C$7:$C$4378,C308))*9,0)</f>
        <v>9</v>
      </c>
      <c r="G308" s="1" t="n">
        <f aca="false">ROUND(_xlfn.PERCENTRANK.INC($D$7:$D$4378,D308)*9,0)</f>
        <v>0</v>
      </c>
      <c r="H308" s="1" t="n">
        <f aca="false">ROUND(_xlfn.PERCENTRANK.INC($E$7:$E$4378,E308)*9,0)</f>
        <v>5</v>
      </c>
      <c r="I308" s="1" t="str">
        <f aca="false">CONCATENATE(F308,G308,H308)</f>
        <v>905</v>
      </c>
      <c r="J308" s="1" t="str">
        <f aca="false">_xlfn.IFS(AND(F308&gt;=8,G308&gt;=8,H308&gt;=8),"CHAMPION",AND(F308&gt;=6,G308&gt;=7,H308&gt;=6),"LOYAL CUSTOMER",AND(F308&gt;=6,G308&gt;=5,H308&gt;=5),"POTENTIAL LOYALIST",AND(F308&gt;=8,G308&lt;=2,H308&gt;=5),"NEW CUSTOMERS",AND(F308&gt;=6,G308&lt;=2,H308&gt;=3),"PROMISING",AND(F308&gt;=3,G308&gt;=3,H308&gt;=3),"NEED ATTENTION",AND(F308&lt;=4,G308&gt;=6,H308&gt;=6),"AT RISK",AND(F308&lt;=2,G308&gt;=8,H308&gt;=8),"CAN'T LOSE THEM",AND(F308&lt;=2,G308&lt;=2,H308&lt;=2),"HIBERNATING",TRUE(),"Other")</f>
        <v>NEW CUSTOMERS</v>
      </c>
      <c r="K308" s="1" t="n">
        <f aca="false">RANK(E308,$E$7:$E$4378)+COUNTIF($E$7:E308,E308)-1</f>
        <v>1832</v>
      </c>
    </row>
    <row r="309" customFormat="false" ht="14.25" hidden="false" customHeight="true" outlineLevel="0" collapsed="false">
      <c r="A309" s="51" t="n">
        <v>12714</v>
      </c>
      <c r="B309" s="53" t="n">
        <v>40877.6548611111</v>
      </c>
      <c r="C309" s="57" t="n">
        <f aca="false">INT($C$2)-INT(Table3[[#This Row],[Last Purchase Date]])</f>
        <v>10</v>
      </c>
      <c r="D309" s="1" t="n">
        <v>5</v>
      </c>
      <c r="E309" s="1" t="n">
        <v>4708.86</v>
      </c>
      <c r="F309" s="1" t="n">
        <f aca="false">ROUND((1-_xlfn.PERCENTRANK.INC($C$7:$C$4378,C309))*9,0)</f>
        <v>8</v>
      </c>
      <c r="G309" s="1" t="n">
        <f aca="false">ROUND(_xlfn.PERCENTRANK.INC($D$7:$D$4378,D309)*9,0)</f>
        <v>6</v>
      </c>
      <c r="H309" s="1" t="n">
        <f aca="false">ROUND(_xlfn.PERCENTRANK.INC($E$7:$E$4378,E309)*9,0)</f>
        <v>8</v>
      </c>
      <c r="I309" s="1" t="str">
        <f aca="false">CONCATENATE(F309,G309,H309)</f>
        <v>868</v>
      </c>
      <c r="J309" s="1" t="str">
        <f aca="false">_xlfn.IFS(AND(F309&gt;=8,G309&gt;=8,H309&gt;=8),"CHAMPION",AND(F309&gt;=6,G309&gt;=7,H309&gt;=6),"LOYAL CUSTOMER",AND(F309&gt;=6,G309&gt;=5,H309&gt;=5),"POTENTIAL LOYALIST",AND(F309&gt;=8,G309&lt;=2,H309&gt;=5),"NEW CUSTOMERS",AND(F309&gt;=6,G309&lt;=2,H309&gt;=3),"PROMISING",AND(F309&gt;=3,G309&gt;=3,H309&gt;=3),"NEED ATTENTION",AND(F309&lt;=4,G309&gt;=6,H309&gt;=6),"AT RISK",AND(F309&lt;=2,G309&gt;=8,H309&gt;=8),"CAN'T LOSE THEM",AND(F309&lt;=2,G309&lt;=2,H309&lt;=2),"HIBERNATING",TRUE(),"Other")</f>
        <v>POTENTIAL LOYALIST</v>
      </c>
      <c r="K309" s="1" t="n">
        <f aca="false">RANK(E309,$E$7:$E$4378)+COUNTIF($E$7:E309,E309)-1</f>
        <v>286</v>
      </c>
    </row>
    <row r="310" customFormat="false" ht="14.25" hidden="false" customHeight="true" outlineLevel="0" collapsed="false">
      <c r="A310" s="51" t="n">
        <v>12715</v>
      </c>
      <c r="B310" s="53" t="n">
        <v>40780.6402777778</v>
      </c>
      <c r="C310" s="57" t="n">
        <f aca="false">INT($C$2)-INT(Table3[[#This Row],[Last Purchase Date]])</f>
        <v>107</v>
      </c>
      <c r="D310" s="1" t="n">
        <v>1</v>
      </c>
      <c r="E310" s="1" t="n">
        <v>353.86</v>
      </c>
      <c r="F310" s="1" t="n">
        <f aca="false">ROUND((1-_xlfn.PERCENTRANK.INC($C$7:$C$4378,C310))*9,0)</f>
        <v>3</v>
      </c>
      <c r="G310" s="1" t="n">
        <f aca="false">ROUND(_xlfn.PERCENTRANK.INC($D$7:$D$4378,D310)*9,0)</f>
        <v>0</v>
      </c>
      <c r="H310" s="1" t="n">
        <f aca="false">ROUND(_xlfn.PERCENTRANK.INC($E$7:$E$4378,E310)*9,0)</f>
        <v>3</v>
      </c>
      <c r="I310" s="1" t="str">
        <f aca="false">CONCATENATE(F310,G310,H310)</f>
        <v>303</v>
      </c>
      <c r="J310" s="1" t="str">
        <f aca="false">_xlfn.IFS(AND(F310&gt;=8,G310&gt;=8,H310&gt;=8),"CHAMPION",AND(F310&gt;=6,G310&gt;=7,H310&gt;=6),"LOYAL CUSTOMER",AND(F310&gt;=6,G310&gt;=5,H310&gt;=5),"POTENTIAL LOYALIST",AND(F310&gt;=8,G310&lt;=2,H310&gt;=5),"NEW CUSTOMERS",AND(F310&gt;=6,G310&lt;=2,H310&gt;=3),"PROMISING",AND(F310&gt;=3,G310&gt;=3,H310&gt;=3),"NEED ATTENTION",AND(F310&lt;=4,G310&gt;=6,H310&gt;=6),"AT RISK",AND(F310&lt;=2,G310&gt;=8,H310&gt;=8),"CAN'T LOSE THEM",AND(F310&lt;=2,G310&lt;=2,H310&lt;=2),"HIBERNATING",TRUE(),"Other")</f>
        <v>Other</v>
      </c>
      <c r="K310" s="1" t="n">
        <f aca="false">RANK(E310,$E$7:$E$4378)+COUNTIF($E$7:E310,E310)-1</f>
        <v>2989</v>
      </c>
    </row>
    <row r="311" customFormat="false" ht="14.25" hidden="false" customHeight="true" outlineLevel="0" collapsed="false">
      <c r="A311" s="51" t="n">
        <v>12716</v>
      </c>
      <c r="B311" s="53" t="n">
        <v>40883.3715277778</v>
      </c>
      <c r="C311" s="57" t="n">
        <f aca="false">INT($C$2)-INT(Table3[[#This Row],[Last Purchase Date]])</f>
        <v>4</v>
      </c>
      <c r="D311" s="1" t="n">
        <v>2</v>
      </c>
      <c r="E311" s="1" t="n">
        <v>1053.49</v>
      </c>
      <c r="F311" s="1" t="n">
        <f aca="false">ROUND((1-_xlfn.PERCENTRANK.INC($C$7:$C$4378,C311))*9,0)</f>
        <v>8</v>
      </c>
      <c r="G311" s="1" t="n">
        <f aca="false">ROUND(_xlfn.PERCENTRANK.INC($D$7:$D$4378,D311)*9,0)</f>
        <v>3</v>
      </c>
      <c r="H311" s="1" t="n">
        <f aca="false">ROUND(_xlfn.PERCENTRANK.INC($E$7:$E$4378,E311)*9,0)</f>
        <v>6</v>
      </c>
      <c r="I311" s="1" t="str">
        <f aca="false">CONCATENATE(F311,G311,H311)</f>
        <v>836</v>
      </c>
      <c r="J311" s="1" t="str">
        <f aca="false">_xlfn.IFS(AND(F311&gt;=8,G311&gt;=8,H311&gt;=8),"CHAMPION",AND(F311&gt;=6,G311&gt;=7,H311&gt;=6),"LOYAL CUSTOMER",AND(F311&gt;=6,G311&gt;=5,H311&gt;=5),"POTENTIAL LOYALIST",AND(F311&gt;=8,G311&lt;=2,H311&gt;=5),"NEW CUSTOMERS",AND(F311&gt;=6,G311&lt;=2,H311&gt;=3),"PROMISING",AND(F311&gt;=3,G311&gt;=3,H311&gt;=3),"NEED ATTENTION",AND(F311&lt;=4,G311&gt;=6,H311&gt;=6),"AT RISK",AND(F311&lt;=2,G311&gt;=8,H311&gt;=8),"CAN'T LOSE THEM",AND(F311&lt;=2,G311&lt;=2,H311&lt;=2),"HIBERNATING",TRUE(),"Other")</f>
        <v>NEED ATTENTION</v>
      </c>
      <c r="K311" s="1" t="n">
        <f aca="false">RANK(E311,$E$7:$E$4378)+COUNTIF($E$7:E311,E311)-1</f>
        <v>1557</v>
      </c>
    </row>
    <row r="312" customFormat="false" ht="14.25" hidden="false" customHeight="true" outlineLevel="0" collapsed="false">
      <c r="A312" s="51" t="n">
        <v>12717</v>
      </c>
      <c r="B312" s="53" t="n">
        <v>40735.61875</v>
      </c>
      <c r="C312" s="57" t="n">
        <f aca="false">INT($C$2)-INT(Table3[[#This Row],[Last Purchase Date]])</f>
        <v>152</v>
      </c>
      <c r="D312" s="1" t="n">
        <v>3</v>
      </c>
      <c r="E312" s="1" t="n">
        <v>980.98</v>
      </c>
      <c r="F312" s="1" t="n">
        <f aca="false">ROUND((1-_xlfn.PERCENTRANK.INC($C$7:$C$4378,C312))*9,0)</f>
        <v>2</v>
      </c>
      <c r="G312" s="1" t="n">
        <f aca="false">ROUND(_xlfn.PERCENTRANK.INC($D$7:$D$4378,D312)*9,0)</f>
        <v>4</v>
      </c>
      <c r="H312" s="1" t="n">
        <f aca="false">ROUND(_xlfn.PERCENTRANK.INC($E$7:$E$4378,E312)*9,0)</f>
        <v>6</v>
      </c>
      <c r="I312" s="1" t="str">
        <f aca="false">CONCATENATE(F312,G312,H312)</f>
        <v>246</v>
      </c>
      <c r="J312" s="1" t="str">
        <f aca="false">_xlfn.IFS(AND(F312&gt;=8,G312&gt;=8,H312&gt;=8),"CHAMPION",AND(F312&gt;=6,G312&gt;=7,H312&gt;=6),"LOYAL CUSTOMER",AND(F312&gt;=6,G312&gt;=5,H312&gt;=5),"POTENTIAL LOYALIST",AND(F312&gt;=8,G312&lt;=2,H312&gt;=5),"NEW CUSTOMERS",AND(F312&gt;=6,G312&lt;=2,H312&gt;=3),"PROMISING",AND(F312&gt;=3,G312&gt;=3,H312&gt;=3),"NEED ATTENTION",AND(F312&lt;=4,G312&gt;=6,H312&gt;=6),"AT RISK",AND(F312&lt;=2,G312&gt;=8,H312&gt;=8),"CAN'T LOSE THEM",AND(F312&lt;=2,G312&lt;=2,H312&lt;=2),"HIBERNATING",TRUE(),"Other")</f>
        <v>Other</v>
      </c>
      <c r="K312" s="1" t="n">
        <f aca="false">RANK(E312,$E$7:$E$4378)+COUNTIF($E$7:E312,E312)-1</f>
        <v>1663</v>
      </c>
    </row>
    <row r="313" customFormat="false" ht="14.25" hidden="false" customHeight="true" outlineLevel="0" collapsed="false">
      <c r="A313" s="51" t="n">
        <v>12718</v>
      </c>
      <c r="B313" s="53" t="n">
        <v>40815.6930555556</v>
      </c>
      <c r="C313" s="57" t="n">
        <f aca="false">INT($C$2)-INT(Table3[[#This Row],[Last Purchase Date]])</f>
        <v>72</v>
      </c>
      <c r="D313" s="1" t="n">
        <v>1</v>
      </c>
      <c r="E313" s="1" t="n">
        <v>238.25</v>
      </c>
      <c r="F313" s="1" t="n">
        <f aca="false">ROUND((1-_xlfn.PERCENTRANK.INC($C$7:$C$4378,C313))*9,0)</f>
        <v>4</v>
      </c>
      <c r="G313" s="1" t="n">
        <f aca="false">ROUND(_xlfn.PERCENTRANK.INC($D$7:$D$4378,D313)*9,0)</f>
        <v>0</v>
      </c>
      <c r="H313" s="1" t="n">
        <f aca="false">ROUND(_xlfn.PERCENTRANK.INC($E$7:$E$4378,E313)*9,0)</f>
        <v>2</v>
      </c>
      <c r="I313" s="1" t="str">
        <f aca="false">CONCATENATE(F313,G313,H313)</f>
        <v>402</v>
      </c>
      <c r="J313" s="1" t="str">
        <f aca="false">_xlfn.IFS(AND(F313&gt;=8,G313&gt;=8,H313&gt;=8),"CHAMPION",AND(F313&gt;=6,G313&gt;=7,H313&gt;=6),"LOYAL CUSTOMER",AND(F313&gt;=6,G313&gt;=5,H313&gt;=5),"POTENTIAL LOYALIST",AND(F313&gt;=8,G313&lt;=2,H313&gt;=5),"NEW CUSTOMERS",AND(F313&gt;=6,G313&lt;=2,H313&gt;=3),"PROMISING",AND(F313&gt;=3,G313&gt;=3,H313&gt;=3),"NEED ATTENTION",AND(F313&lt;=4,G313&gt;=6,H313&gt;=6),"AT RISK",AND(F313&lt;=2,G313&gt;=8,H313&gt;=8),"CAN'T LOSE THEM",AND(F313&lt;=2,G313&lt;=2,H313&lt;=2),"HIBERNATING",TRUE(),"Other")</f>
        <v>Other</v>
      </c>
      <c r="K313" s="1" t="n">
        <f aca="false">RANK(E313,$E$7:$E$4378)+COUNTIF($E$7:E313,E313)-1</f>
        <v>3489</v>
      </c>
    </row>
    <row r="314" customFormat="false" ht="14.25" hidden="false" customHeight="true" outlineLevel="0" collapsed="false">
      <c r="A314" s="51" t="n">
        <v>12719</v>
      </c>
      <c r="B314" s="53" t="n">
        <v>40881.5729166667</v>
      </c>
      <c r="C314" s="57" t="n">
        <f aca="false">INT($C$2)-INT(Table3[[#This Row],[Last Purchase Date]])</f>
        <v>6</v>
      </c>
      <c r="D314" s="1" t="n">
        <v>3</v>
      </c>
      <c r="E314" s="1" t="n">
        <v>608.1</v>
      </c>
      <c r="F314" s="1" t="n">
        <f aca="false">ROUND((1-_xlfn.PERCENTRANK.INC($C$7:$C$4378,C314))*9,0)</f>
        <v>8</v>
      </c>
      <c r="G314" s="1" t="n">
        <f aca="false">ROUND(_xlfn.PERCENTRANK.INC($D$7:$D$4378,D314)*9,0)</f>
        <v>4</v>
      </c>
      <c r="H314" s="1" t="n">
        <f aca="false">ROUND(_xlfn.PERCENTRANK.INC($E$7:$E$4378,E314)*9,0)</f>
        <v>4</v>
      </c>
      <c r="I314" s="1" t="str">
        <f aca="false">CONCATENATE(F314,G314,H314)</f>
        <v>844</v>
      </c>
      <c r="J314" s="1" t="str">
        <f aca="false">_xlfn.IFS(AND(F314&gt;=8,G314&gt;=8,H314&gt;=8),"CHAMPION",AND(F314&gt;=6,G314&gt;=7,H314&gt;=6),"LOYAL CUSTOMER",AND(F314&gt;=6,G314&gt;=5,H314&gt;=5),"POTENTIAL LOYALIST",AND(F314&gt;=8,G314&lt;=2,H314&gt;=5),"NEW CUSTOMERS",AND(F314&gt;=6,G314&lt;=2,H314&gt;=3),"PROMISING",AND(F314&gt;=3,G314&gt;=3,H314&gt;=3),"NEED ATTENTION",AND(F314&lt;=4,G314&gt;=6,H314&gt;=6),"AT RISK",AND(F314&lt;=2,G314&gt;=8,H314&gt;=8),"CAN'T LOSE THEM",AND(F314&lt;=2,G314&lt;=2,H314&lt;=2),"HIBERNATING",TRUE(),"Other")</f>
        <v>NEED ATTENTION</v>
      </c>
      <c r="K314" s="1" t="n">
        <f aca="false">RANK(E314,$E$7:$E$4378)+COUNTIF($E$7:E314,E314)-1</f>
        <v>2288</v>
      </c>
    </row>
    <row r="315" customFormat="false" ht="14.25" hidden="false" customHeight="true" outlineLevel="0" collapsed="false">
      <c r="A315" s="51" t="n">
        <v>12720</v>
      </c>
      <c r="B315" s="53" t="n">
        <v>40884.3354166667</v>
      </c>
      <c r="C315" s="57" t="n">
        <f aca="false">INT($C$2)-INT(Table3[[#This Row],[Last Purchase Date]])</f>
        <v>3</v>
      </c>
      <c r="D315" s="1" t="n">
        <v>29</v>
      </c>
      <c r="E315" s="1" t="n">
        <v>5713.28</v>
      </c>
      <c r="F315" s="1" t="n">
        <f aca="false">ROUND((1-_xlfn.PERCENTRANK.INC($C$7:$C$4378,C315))*9,0)</f>
        <v>9</v>
      </c>
      <c r="G315" s="1" t="n">
        <f aca="false">ROUND(_xlfn.PERCENTRANK.INC($D$7:$D$4378,D315)*9,0)</f>
        <v>9</v>
      </c>
      <c r="H315" s="1" t="n">
        <f aca="false">ROUND(_xlfn.PERCENTRANK.INC($E$7:$E$4378,E315)*9,0)</f>
        <v>9</v>
      </c>
      <c r="I315" s="1" t="str">
        <f aca="false">CONCATENATE(F315,G315,H315)</f>
        <v>999</v>
      </c>
      <c r="J315" s="1" t="str">
        <f aca="false">_xlfn.IFS(AND(F315&gt;=8,G315&gt;=8,H315&gt;=8),"CHAMPION",AND(F315&gt;=6,G315&gt;=7,H315&gt;=6),"LOYAL CUSTOMER",AND(F315&gt;=6,G315&gt;=5,H315&gt;=5),"POTENTIAL LOYALIST",AND(F315&gt;=8,G315&lt;=2,H315&gt;=5),"NEW CUSTOMERS",AND(F315&gt;=6,G315&lt;=2,H315&gt;=3),"PROMISING",AND(F315&gt;=3,G315&gt;=3,H315&gt;=3),"NEED ATTENTION",AND(F315&lt;=4,G315&gt;=6,H315&gt;=6),"AT RISK",AND(F315&lt;=2,G315&gt;=8,H315&gt;=8),"CAN'T LOSE THEM",AND(F315&lt;=2,G315&lt;=2,H315&lt;=2),"HIBERNATING",TRUE(),"Other")</f>
        <v>CHAMPION</v>
      </c>
      <c r="K315" s="1" t="n">
        <f aca="false">RANK(E315,$E$7:$E$4378)+COUNTIF($E$7:E315,E315)-1</f>
        <v>214</v>
      </c>
    </row>
    <row r="316" customFormat="false" ht="14.25" hidden="false" customHeight="true" outlineLevel="0" collapsed="false">
      <c r="A316" s="51" t="n">
        <v>12721</v>
      </c>
      <c r="B316" s="53" t="n">
        <v>40855.5090277778</v>
      </c>
      <c r="C316" s="57" t="n">
        <f aca="false">INT($C$2)-INT(Table3[[#This Row],[Last Purchase Date]])</f>
        <v>32</v>
      </c>
      <c r="D316" s="1" t="n">
        <v>7</v>
      </c>
      <c r="E316" s="1" t="n">
        <v>2628.98</v>
      </c>
      <c r="F316" s="1" t="n">
        <f aca="false">ROUND((1-_xlfn.PERCENTRANK.INC($C$7:$C$4378,C316))*9,0)</f>
        <v>5</v>
      </c>
      <c r="G316" s="1" t="n">
        <f aca="false">ROUND(_xlfn.PERCENTRANK.INC($D$7:$D$4378,D316)*9,0)</f>
        <v>7</v>
      </c>
      <c r="H316" s="1" t="n">
        <f aca="false">ROUND(_xlfn.PERCENTRANK.INC($E$7:$E$4378,E316)*9,0)</f>
        <v>8</v>
      </c>
      <c r="I316" s="1" t="str">
        <f aca="false">CONCATENATE(F316,G316,H316)</f>
        <v>578</v>
      </c>
      <c r="J316" s="1" t="str">
        <f aca="false">_xlfn.IFS(AND(F316&gt;=8,G316&gt;=8,H316&gt;=8),"CHAMPION",AND(F316&gt;=6,G316&gt;=7,H316&gt;=6),"LOYAL CUSTOMER",AND(F316&gt;=6,G316&gt;=5,H316&gt;=5),"POTENTIAL LOYALIST",AND(F316&gt;=8,G316&lt;=2,H316&gt;=5),"NEW CUSTOMERS",AND(F316&gt;=6,G316&lt;=2,H316&gt;=3),"PROMISING",AND(F316&gt;=3,G316&gt;=3,H316&gt;=3),"NEED ATTENTION",AND(F316&lt;=4,G316&gt;=6,H316&gt;=6),"AT RISK",AND(F316&lt;=2,G316&gt;=8,H316&gt;=8),"CAN'T LOSE THEM",AND(F316&lt;=2,G316&lt;=2,H316&lt;=2),"HIBERNATING",TRUE(),"Other")</f>
        <v>NEED ATTENTION</v>
      </c>
      <c r="K316" s="1" t="n">
        <f aca="false">RANK(E316,$E$7:$E$4378)+COUNTIF($E$7:E316,E316)-1</f>
        <v>634</v>
      </c>
    </row>
    <row r="317" customFormat="false" ht="14.25" hidden="false" customHeight="true" outlineLevel="0" collapsed="false">
      <c r="A317" s="51" t="n">
        <v>12722</v>
      </c>
      <c r="B317" s="53" t="n">
        <v>40801.6180555556</v>
      </c>
      <c r="C317" s="57" t="n">
        <f aca="false">INT($C$2)-INT(Table3[[#This Row],[Last Purchase Date]])</f>
        <v>86</v>
      </c>
      <c r="D317" s="1" t="n">
        <v>6</v>
      </c>
      <c r="E317" s="1" t="n">
        <v>904.33</v>
      </c>
      <c r="F317" s="1" t="n">
        <f aca="false">ROUND((1-_xlfn.PERCENTRANK.INC($C$7:$C$4378,C317))*9,0)</f>
        <v>3</v>
      </c>
      <c r="G317" s="1" t="n">
        <f aca="false">ROUND(_xlfn.PERCENTRANK.INC($D$7:$D$4378,D317)*9,0)</f>
        <v>7</v>
      </c>
      <c r="H317" s="1" t="n">
        <f aca="false">ROUND(_xlfn.PERCENTRANK.INC($E$7:$E$4378,E317)*9,0)</f>
        <v>5</v>
      </c>
      <c r="I317" s="1" t="str">
        <f aca="false">CONCATENATE(F317,G317,H317)</f>
        <v>375</v>
      </c>
      <c r="J317" s="1" t="str">
        <f aca="false">_xlfn.IFS(AND(F317&gt;=8,G317&gt;=8,H317&gt;=8),"CHAMPION",AND(F317&gt;=6,G317&gt;=7,H317&gt;=6),"LOYAL CUSTOMER",AND(F317&gt;=6,G317&gt;=5,H317&gt;=5),"POTENTIAL LOYALIST",AND(F317&gt;=8,G317&lt;=2,H317&gt;=5),"NEW CUSTOMERS",AND(F317&gt;=6,G317&lt;=2,H317&gt;=3),"PROMISING",AND(F317&gt;=3,G317&gt;=3,H317&gt;=3),"NEED ATTENTION",AND(F317&lt;=4,G317&gt;=6,H317&gt;=6),"AT RISK",AND(F317&lt;=2,G317&gt;=8,H317&gt;=8),"CAN'T LOSE THEM",AND(F317&lt;=2,G317&lt;=2,H317&lt;=2),"HIBERNATING",TRUE(),"Other")</f>
        <v>NEED ATTENTION</v>
      </c>
      <c r="K317" s="1" t="n">
        <f aca="false">RANK(E317,$E$7:$E$4378)+COUNTIF($E$7:E317,E317)-1</f>
        <v>1757</v>
      </c>
    </row>
    <row r="318" customFormat="false" ht="14.25" hidden="false" customHeight="true" outlineLevel="0" collapsed="false">
      <c r="A318" s="51" t="n">
        <v>12723</v>
      </c>
      <c r="B318" s="53" t="n">
        <v>40883.4298611111</v>
      </c>
      <c r="C318" s="57" t="n">
        <f aca="false">INT($C$2)-INT(Table3[[#This Row],[Last Purchase Date]])</f>
        <v>4</v>
      </c>
      <c r="D318" s="1" t="n">
        <v>5</v>
      </c>
      <c r="E318" s="1" t="n">
        <v>725.07</v>
      </c>
      <c r="F318" s="1" t="n">
        <f aca="false">ROUND((1-_xlfn.PERCENTRANK.INC($C$7:$C$4378,C318))*9,0)</f>
        <v>8</v>
      </c>
      <c r="G318" s="1" t="n">
        <f aca="false">ROUND(_xlfn.PERCENTRANK.INC($D$7:$D$4378,D318)*9,0)</f>
        <v>6</v>
      </c>
      <c r="H318" s="1" t="n">
        <f aca="false">ROUND(_xlfn.PERCENTRANK.INC($E$7:$E$4378,E318)*9,0)</f>
        <v>5</v>
      </c>
      <c r="I318" s="1" t="str">
        <f aca="false">CONCATENATE(F318,G318,H318)</f>
        <v>865</v>
      </c>
      <c r="J318" s="1" t="str">
        <f aca="false">_xlfn.IFS(AND(F318&gt;=8,G318&gt;=8,H318&gt;=8),"CHAMPION",AND(F318&gt;=6,G318&gt;=7,H318&gt;=6),"LOYAL CUSTOMER",AND(F318&gt;=6,G318&gt;=5,H318&gt;=5),"POTENTIAL LOYALIST",AND(F318&gt;=8,G318&lt;=2,H318&gt;=5),"NEW CUSTOMERS",AND(F318&gt;=6,G318&lt;=2,H318&gt;=3),"PROMISING",AND(F318&gt;=3,G318&gt;=3,H318&gt;=3),"NEED ATTENTION",AND(F318&lt;=4,G318&gt;=6,H318&gt;=6),"AT RISK",AND(F318&lt;=2,G318&gt;=8,H318&gt;=8),"CAN'T LOSE THEM",AND(F318&lt;=2,G318&lt;=2,H318&lt;=2),"HIBERNATING",TRUE(),"Other")</f>
        <v>POTENTIAL LOYALIST</v>
      </c>
      <c r="K318" s="1" t="n">
        <f aca="false">RANK(E318,$E$7:$E$4378)+COUNTIF($E$7:E318,E318)-1</f>
        <v>2016</v>
      </c>
    </row>
    <row r="319" customFormat="false" ht="14.25" hidden="false" customHeight="true" outlineLevel="0" collapsed="false">
      <c r="A319" s="51" t="n">
        <v>12724</v>
      </c>
      <c r="B319" s="53" t="n">
        <v>40881.6680555556</v>
      </c>
      <c r="C319" s="57" t="n">
        <f aca="false">INT($C$2)-INT(Table3[[#This Row],[Last Purchase Date]])</f>
        <v>6</v>
      </c>
      <c r="D319" s="1" t="n">
        <v>4</v>
      </c>
      <c r="E319" s="1" t="n">
        <v>1031.41</v>
      </c>
      <c r="F319" s="1" t="n">
        <f aca="false">ROUND((1-_xlfn.PERCENTRANK.INC($C$7:$C$4378,C319))*9,0)</f>
        <v>8</v>
      </c>
      <c r="G319" s="1" t="n">
        <f aca="false">ROUND(_xlfn.PERCENTRANK.INC($D$7:$D$4378,D319)*9,0)</f>
        <v>5</v>
      </c>
      <c r="H319" s="1" t="n">
        <f aca="false">ROUND(_xlfn.PERCENTRANK.INC($E$7:$E$4378,E319)*9,0)</f>
        <v>6</v>
      </c>
      <c r="I319" s="1" t="str">
        <f aca="false">CONCATENATE(F319,G319,H319)</f>
        <v>856</v>
      </c>
      <c r="J319" s="1" t="str">
        <f aca="false">_xlfn.IFS(AND(F319&gt;=8,G319&gt;=8,H319&gt;=8),"CHAMPION",AND(F319&gt;=6,G319&gt;=7,H319&gt;=6),"LOYAL CUSTOMER",AND(F319&gt;=6,G319&gt;=5,H319&gt;=5),"POTENTIAL LOYALIST",AND(F319&gt;=8,G319&lt;=2,H319&gt;=5),"NEW CUSTOMERS",AND(F319&gt;=6,G319&lt;=2,H319&gt;=3),"PROMISING",AND(F319&gt;=3,G319&gt;=3,H319&gt;=3),"NEED ATTENTION",AND(F319&lt;=4,G319&gt;=6,H319&gt;=6),"AT RISK",AND(F319&lt;=2,G319&gt;=8,H319&gt;=8),"CAN'T LOSE THEM",AND(F319&lt;=2,G319&lt;=2,H319&lt;=2),"HIBERNATING",TRUE(),"Other")</f>
        <v>POTENTIAL LOYALIST</v>
      </c>
      <c r="K319" s="1" t="n">
        <f aca="false">RANK(E319,$E$7:$E$4378)+COUNTIF($E$7:E319,E319)-1</f>
        <v>1592</v>
      </c>
    </row>
    <row r="320" customFormat="false" ht="14.25" hidden="false" customHeight="true" outlineLevel="0" collapsed="false">
      <c r="A320" s="51" t="n">
        <v>12725</v>
      </c>
      <c r="B320" s="53" t="n">
        <v>40515.65625</v>
      </c>
      <c r="C320" s="57" t="n">
        <f aca="false">INT($C$2)-INT(Table3[[#This Row],[Last Purchase Date]])</f>
        <v>372</v>
      </c>
      <c r="D320" s="1" t="n">
        <v>1</v>
      </c>
      <c r="E320" s="1" t="n">
        <v>427.8</v>
      </c>
      <c r="F320" s="1" t="n">
        <f aca="false">ROUND((1-_xlfn.PERCENTRANK.INC($C$7:$C$4378,C320))*9,0)</f>
        <v>0</v>
      </c>
      <c r="G320" s="1" t="n">
        <f aca="false">ROUND(_xlfn.PERCENTRANK.INC($D$7:$D$4378,D320)*9,0)</f>
        <v>0</v>
      </c>
      <c r="H320" s="1" t="n">
        <f aca="false">ROUND(_xlfn.PERCENTRANK.INC($E$7:$E$4378,E320)*9,0)</f>
        <v>3</v>
      </c>
      <c r="I320" s="1" t="str">
        <f aca="false">CONCATENATE(F320,G320,H320)</f>
        <v>003</v>
      </c>
      <c r="J320" s="1" t="str">
        <f aca="false">_xlfn.IFS(AND(F320&gt;=8,G320&gt;=8,H320&gt;=8),"CHAMPION",AND(F320&gt;=6,G320&gt;=7,H320&gt;=6),"LOYAL CUSTOMER",AND(F320&gt;=6,G320&gt;=5,H320&gt;=5),"POTENTIAL LOYALIST",AND(F320&gt;=8,G320&lt;=2,H320&gt;=5),"NEW CUSTOMERS",AND(F320&gt;=6,G320&lt;=2,H320&gt;=3),"PROMISING",AND(F320&gt;=3,G320&gt;=3,H320&gt;=3),"NEED ATTENTION",AND(F320&lt;=4,G320&gt;=6,H320&gt;=6),"AT RISK",AND(F320&lt;=2,G320&gt;=8,H320&gt;=8),"CAN'T LOSE THEM",AND(F320&lt;=2,G320&lt;=2,H320&lt;=2),"HIBERNATING",TRUE(),"Other")</f>
        <v>Other</v>
      </c>
      <c r="K320" s="1" t="n">
        <f aca="false">RANK(E320,$E$7:$E$4378)+COUNTIF($E$7:E320,E320)-1</f>
        <v>2730</v>
      </c>
    </row>
    <row r="321" customFormat="false" ht="14.25" hidden="false" customHeight="true" outlineLevel="0" collapsed="false">
      <c r="A321" s="51" t="n">
        <v>12726</v>
      </c>
      <c r="B321" s="53" t="n">
        <v>40858.5659722222</v>
      </c>
      <c r="C321" s="57" t="n">
        <f aca="false">INT($C$2)-INT(Table3[[#This Row],[Last Purchase Date]])</f>
        <v>29</v>
      </c>
      <c r="D321" s="1" t="n">
        <v>7</v>
      </c>
      <c r="E321" s="1" t="n">
        <v>2609.1</v>
      </c>
      <c r="F321" s="1" t="n">
        <f aca="false">ROUND((1-_xlfn.PERCENTRANK.INC($C$7:$C$4378,C321))*9,0)</f>
        <v>6</v>
      </c>
      <c r="G321" s="1" t="n">
        <f aca="false">ROUND(_xlfn.PERCENTRANK.INC($D$7:$D$4378,D321)*9,0)</f>
        <v>7</v>
      </c>
      <c r="H321" s="1" t="n">
        <f aca="false">ROUND(_xlfn.PERCENTRANK.INC($E$7:$E$4378,E321)*9,0)</f>
        <v>8</v>
      </c>
      <c r="I321" s="1" t="str">
        <f aca="false">CONCATENATE(F321,G321,H321)</f>
        <v>678</v>
      </c>
      <c r="J321" s="1" t="str">
        <f aca="false">_xlfn.IFS(AND(F321&gt;=8,G321&gt;=8,H321&gt;=8),"CHAMPION",AND(F321&gt;=6,G321&gt;=7,H321&gt;=6),"LOYAL CUSTOMER",AND(F321&gt;=6,G321&gt;=5,H321&gt;=5),"POTENTIAL LOYALIST",AND(F321&gt;=8,G321&lt;=2,H321&gt;=5),"NEW CUSTOMERS",AND(F321&gt;=6,G321&lt;=2,H321&gt;=3),"PROMISING",AND(F321&gt;=3,G321&gt;=3,H321&gt;=3),"NEED ATTENTION",AND(F321&lt;=4,G321&gt;=6,H321&gt;=6),"AT RISK",AND(F321&lt;=2,G321&gt;=8,H321&gt;=8),"CAN'T LOSE THEM",AND(F321&lt;=2,G321&lt;=2,H321&lt;=2),"HIBERNATING",TRUE(),"Other")</f>
        <v>LOYAL CUSTOMER</v>
      </c>
      <c r="K321" s="1" t="n">
        <f aca="false">RANK(E321,$E$7:$E$4378)+COUNTIF($E$7:E321,E321)-1</f>
        <v>644</v>
      </c>
    </row>
    <row r="322" customFormat="false" ht="14.25" hidden="false" customHeight="true" outlineLevel="0" collapsed="false">
      <c r="A322" s="51" t="n">
        <v>12727</v>
      </c>
      <c r="B322" s="53" t="n">
        <v>40876.4902777778</v>
      </c>
      <c r="C322" s="57" t="n">
        <f aca="false">INT($C$2)-INT(Table3[[#This Row],[Last Purchase Date]])</f>
        <v>11</v>
      </c>
      <c r="D322" s="1" t="n">
        <v>9</v>
      </c>
      <c r="E322" s="1" t="n">
        <v>3947.7</v>
      </c>
      <c r="F322" s="1" t="n">
        <f aca="false">ROUND((1-_xlfn.PERCENTRANK.INC($C$7:$C$4378,C322))*9,0)</f>
        <v>7</v>
      </c>
      <c r="G322" s="1" t="n">
        <f aca="false">ROUND(_xlfn.PERCENTRANK.INC($D$7:$D$4378,D322)*9,0)</f>
        <v>8</v>
      </c>
      <c r="H322" s="1" t="n">
        <f aca="false">ROUND(_xlfn.PERCENTRANK.INC($E$7:$E$4378,E322)*9,0)</f>
        <v>8</v>
      </c>
      <c r="I322" s="1" t="str">
        <f aca="false">CONCATENATE(F322,G322,H322)</f>
        <v>788</v>
      </c>
      <c r="J322" s="1" t="str">
        <f aca="false">_xlfn.IFS(AND(F322&gt;=8,G322&gt;=8,H322&gt;=8),"CHAMPION",AND(F322&gt;=6,G322&gt;=7,H322&gt;=6),"LOYAL CUSTOMER",AND(F322&gt;=6,G322&gt;=5,H322&gt;=5),"POTENTIAL LOYALIST",AND(F322&gt;=8,G322&lt;=2,H322&gt;=5),"NEW CUSTOMERS",AND(F322&gt;=6,G322&lt;=2,H322&gt;=3),"PROMISING",AND(F322&gt;=3,G322&gt;=3,H322&gt;=3),"NEED ATTENTION",AND(F322&lt;=4,G322&gt;=6,H322&gt;=6),"AT RISK",AND(F322&lt;=2,G322&gt;=8,H322&gt;=8),"CAN'T LOSE THEM",AND(F322&lt;=2,G322&lt;=2,H322&lt;=2),"HIBERNATING",TRUE(),"Other")</f>
        <v>LOYAL CUSTOMER</v>
      </c>
      <c r="K322" s="1" t="n">
        <f aca="false">RANK(E322,$E$7:$E$4378)+COUNTIF($E$7:E322,E322)-1</f>
        <v>364</v>
      </c>
    </row>
    <row r="323" customFormat="false" ht="14.25" hidden="false" customHeight="true" outlineLevel="0" collapsed="false">
      <c r="A323" s="51" t="n">
        <v>12728</v>
      </c>
      <c r="B323" s="53" t="n">
        <v>40815.6465277778</v>
      </c>
      <c r="C323" s="57" t="n">
        <f aca="false">INT($C$2)-INT(Table3[[#This Row],[Last Purchase Date]])</f>
        <v>72</v>
      </c>
      <c r="D323" s="1" t="n">
        <v>4</v>
      </c>
      <c r="E323" s="1" t="n">
        <v>836.33</v>
      </c>
      <c r="F323" s="1" t="n">
        <f aca="false">ROUND((1-_xlfn.PERCENTRANK.INC($C$7:$C$4378,C323))*9,0)</f>
        <v>4</v>
      </c>
      <c r="G323" s="1" t="n">
        <f aca="false">ROUND(_xlfn.PERCENTRANK.INC($D$7:$D$4378,D323)*9,0)</f>
        <v>5</v>
      </c>
      <c r="H323" s="1" t="n">
        <f aca="false">ROUND(_xlfn.PERCENTRANK.INC($E$7:$E$4378,E323)*9,0)</f>
        <v>5</v>
      </c>
      <c r="I323" s="1" t="str">
        <f aca="false">CONCATENATE(F323,G323,H323)</f>
        <v>455</v>
      </c>
      <c r="J323" s="1" t="str">
        <f aca="false">_xlfn.IFS(AND(F323&gt;=8,G323&gt;=8,H323&gt;=8),"CHAMPION",AND(F323&gt;=6,G323&gt;=7,H323&gt;=6),"LOYAL CUSTOMER",AND(F323&gt;=6,G323&gt;=5,H323&gt;=5),"POTENTIAL LOYALIST",AND(F323&gt;=8,G323&lt;=2,H323&gt;=5),"NEW CUSTOMERS",AND(F323&gt;=6,G323&lt;=2,H323&gt;=3),"PROMISING",AND(F323&gt;=3,G323&gt;=3,H323&gt;=3),"NEED ATTENTION",AND(F323&lt;=4,G323&gt;=6,H323&gt;=6),"AT RISK",AND(F323&lt;=2,G323&gt;=8,H323&gt;=8),"CAN'T LOSE THEM",AND(F323&lt;=2,G323&lt;=2,H323&lt;=2),"HIBERNATING",TRUE(),"Other")</f>
        <v>NEED ATTENTION</v>
      </c>
      <c r="K323" s="1" t="n">
        <f aca="false">RANK(E323,$E$7:$E$4378)+COUNTIF($E$7:E323,E323)-1</f>
        <v>1848</v>
      </c>
    </row>
    <row r="324" customFormat="false" ht="14.25" hidden="false" customHeight="true" outlineLevel="0" collapsed="false">
      <c r="A324" s="51" t="n">
        <v>12729</v>
      </c>
      <c r="B324" s="53" t="n">
        <v>40773.4861111111</v>
      </c>
      <c r="C324" s="57" t="n">
        <f aca="false">INT($C$2)-INT(Table3[[#This Row],[Last Purchase Date]])</f>
        <v>114</v>
      </c>
      <c r="D324" s="1" t="n">
        <v>1</v>
      </c>
      <c r="E324" s="1" t="n">
        <v>453.01</v>
      </c>
      <c r="F324" s="1" t="n">
        <f aca="false">ROUND((1-_xlfn.PERCENTRANK.INC($C$7:$C$4378,C324))*9,0)</f>
        <v>3</v>
      </c>
      <c r="G324" s="1" t="n">
        <f aca="false">ROUND(_xlfn.PERCENTRANK.INC($D$7:$D$4378,D324)*9,0)</f>
        <v>0</v>
      </c>
      <c r="H324" s="1" t="n">
        <f aca="false">ROUND(_xlfn.PERCENTRANK.INC($E$7:$E$4378,E324)*9,0)</f>
        <v>4</v>
      </c>
      <c r="I324" s="1" t="str">
        <f aca="false">CONCATENATE(F324,G324,H324)</f>
        <v>304</v>
      </c>
      <c r="J324" s="1" t="str">
        <f aca="false">_xlfn.IFS(AND(F324&gt;=8,G324&gt;=8,H324&gt;=8),"CHAMPION",AND(F324&gt;=6,G324&gt;=7,H324&gt;=6),"LOYAL CUSTOMER",AND(F324&gt;=6,G324&gt;=5,H324&gt;=5),"POTENTIAL LOYALIST",AND(F324&gt;=8,G324&lt;=2,H324&gt;=5),"NEW CUSTOMERS",AND(F324&gt;=6,G324&lt;=2,H324&gt;=3),"PROMISING",AND(F324&gt;=3,G324&gt;=3,H324&gt;=3),"NEED ATTENTION",AND(F324&lt;=4,G324&gt;=6,H324&gt;=6),"AT RISK",AND(F324&lt;=2,G324&gt;=8,H324&gt;=8),"CAN'T LOSE THEM",AND(F324&lt;=2,G324&lt;=2,H324&lt;=2),"HIBERNATING",TRUE(),"Other")</f>
        <v>Other</v>
      </c>
      <c r="K324" s="1" t="n">
        <f aca="false">RANK(E324,$E$7:$E$4378)+COUNTIF($E$7:E324,E324)-1</f>
        <v>2664</v>
      </c>
    </row>
    <row r="325" customFormat="false" ht="14.25" hidden="false" customHeight="true" outlineLevel="0" collapsed="false">
      <c r="A325" s="51" t="n">
        <v>12731</v>
      </c>
      <c r="B325" s="53" t="n">
        <v>40863.4993055556</v>
      </c>
      <c r="C325" s="57" t="n">
        <f aca="false">INT($C$2)-INT(Table3[[#This Row],[Last Purchase Date]])</f>
        <v>24</v>
      </c>
      <c r="D325" s="1" t="n">
        <v>14</v>
      </c>
      <c r="E325" s="1" t="n">
        <v>18793.41</v>
      </c>
      <c r="F325" s="1" t="n">
        <f aca="false">ROUND((1-_xlfn.PERCENTRANK.INC($C$7:$C$4378,C325))*9,0)</f>
        <v>6</v>
      </c>
      <c r="G325" s="1" t="n">
        <f aca="false">ROUND(_xlfn.PERCENTRANK.INC($D$7:$D$4378,D325)*9,0)</f>
        <v>8</v>
      </c>
      <c r="H325" s="1" t="n">
        <f aca="false">ROUND(_xlfn.PERCENTRANK.INC($E$7:$E$4378,E325)*9,0)</f>
        <v>9</v>
      </c>
      <c r="I325" s="1" t="str">
        <f aca="false">CONCATENATE(F325,G325,H325)</f>
        <v>689</v>
      </c>
      <c r="J325" s="1" t="str">
        <f aca="false">_xlfn.IFS(AND(F325&gt;=8,G325&gt;=8,H325&gt;=8),"CHAMPION",AND(F325&gt;=6,G325&gt;=7,H325&gt;=6),"LOYAL CUSTOMER",AND(F325&gt;=6,G325&gt;=5,H325&gt;=5),"POTENTIAL LOYALIST",AND(F325&gt;=8,G325&lt;=2,H325&gt;=5),"NEW CUSTOMERS",AND(F325&gt;=6,G325&lt;=2,H325&gt;=3),"PROMISING",AND(F325&gt;=3,G325&gt;=3,H325&gt;=3),"NEED ATTENTION",AND(F325&lt;=4,G325&gt;=6,H325&gt;=6),"AT RISK",AND(F325&lt;=2,G325&gt;=8,H325&gt;=8),"CAN'T LOSE THEM",AND(F325&lt;=2,G325&lt;=2,H325&lt;=2),"HIBERNATING",TRUE(),"Other")</f>
        <v>LOYAL CUSTOMER</v>
      </c>
      <c r="K325" s="1" t="n">
        <f aca="false">RANK(E325,$E$7:$E$4378)+COUNTIF($E$7:E325,E325)-1</f>
        <v>41</v>
      </c>
    </row>
    <row r="326" customFormat="false" ht="14.25" hidden="false" customHeight="true" outlineLevel="0" collapsed="false">
      <c r="A326" s="51" t="n">
        <v>12732</v>
      </c>
      <c r="B326" s="53" t="n">
        <v>40707.48125</v>
      </c>
      <c r="C326" s="57" t="n">
        <f aca="false">INT($C$2)-INT(Table3[[#This Row],[Last Purchase Date]])</f>
        <v>180</v>
      </c>
      <c r="D326" s="1" t="n">
        <v>1</v>
      </c>
      <c r="E326" s="1" t="n">
        <v>236.26</v>
      </c>
      <c r="F326" s="1" t="n">
        <f aca="false">ROUND((1-_xlfn.PERCENTRANK.INC($C$7:$C$4378,C326))*9,0)</f>
        <v>2</v>
      </c>
      <c r="G326" s="1" t="n">
        <f aca="false">ROUND(_xlfn.PERCENTRANK.INC($D$7:$D$4378,D326)*9,0)</f>
        <v>0</v>
      </c>
      <c r="H326" s="1" t="n">
        <f aca="false">ROUND(_xlfn.PERCENTRANK.INC($E$7:$E$4378,E326)*9,0)</f>
        <v>2</v>
      </c>
      <c r="I326" s="1" t="str">
        <f aca="false">CONCATENATE(F326,G326,H326)</f>
        <v>202</v>
      </c>
      <c r="J326" s="1" t="str">
        <f aca="false">_xlfn.IFS(AND(F326&gt;=8,G326&gt;=8,H326&gt;=8),"CHAMPION",AND(F326&gt;=6,G326&gt;=7,H326&gt;=6),"LOYAL CUSTOMER",AND(F326&gt;=6,G326&gt;=5,H326&gt;=5),"POTENTIAL LOYALIST",AND(F326&gt;=8,G326&lt;=2,H326&gt;=5),"NEW CUSTOMERS",AND(F326&gt;=6,G326&lt;=2,H326&gt;=3),"PROMISING",AND(F326&gt;=3,G326&gt;=3,H326&gt;=3),"NEED ATTENTION",AND(F326&lt;=4,G326&gt;=6,H326&gt;=6),"AT RISK",AND(F326&lt;=2,G326&gt;=8,H326&gt;=8),"CAN'T LOSE THEM",AND(F326&lt;=2,G326&lt;=2,H326&lt;=2),"HIBERNATING",TRUE(),"Other")</f>
        <v>HIBERNATING</v>
      </c>
      <c r="K326" s="1" t="n">
        <f aca="false">RANK(E326,$E$7:$E$4378)+COUNTIF($E$7:E326,E326)-1</f>
        <v>3493</v>
      </c>
    </row>
    <row r="327" customFormat="false" ht="14.25" hidden="false" customHeight="true" outlineLevel="0" collapsed="false">
      <c r="A327" s="51" t="n">
        <v>12733</v>
      </c>
      <c r="B327" s="53" t="n">
        <v>40652.6798611111</v>
      </c>
      <c r="C327" s="57" t="n">
        <f aca="false">INT($C$2)-INT(Table3[[#This Row],[Last Purchase Date]])</f>
        <v>235</v>
      </c>
      <c r="D327" s="1" t="n">
        <v>1</v>
      </c>
      <c r="E327" s="1" t="n">
        <v>383.95</v>
      </c>
      <c r="F327" s="1" t="n">
        <f aca="false">ROUND((1-_xlfn.PERCENTRANK.INC($C$7:$C$4378,C327))*9,0)</f>
        <v>1</v>
      </c>
      <c r="G327" s="1" t="n">
        <f aca="false">ROUND(_xlfn.PERCENTRANK.INC($D$7:$D$4378,D327)*9,0)</f>
        <v>0</v>
      </c>
      <c r="H327" s="1" t="n">
        <f aca="false">ROUND(_xlfn.PERCENTRANK.INC($E$7:$E$4378,E327)*9,0)</f>
        <v>3</v>
      </c>
      <c r="I327" s="1" t="str">
        <f aca="false">CONCATENATE(F327,G327,H327)</f>
        <v>103</v>
      </c>
      <c r="J327" s="1" t="str">
        <f aca="false">_xlfn.IFS(AND(F327&gt;=8,G327&gt;=8,H327&gt;=8),"CHAMPION",AND(F327&gt;=6,G327&gt;=7,H327&gt;=6),"LOYAL CUSTOMER",AND(F327&gt;=6,G327&gt;=5,H327&gt;=5),"POTENTIAL LOYALIST",AND(F327&gt;=8,G327&lt;=2,H327&gt;=5),"NEW CUSTOMERS",AND(F327&gt;=6,G327&lt;=2,H327&gt;=3),"PROMISING",AND(F327&gt;=3,G327&gt;=3,H327&gt;=3),"NEED ATTENTION",AND(F327&lt;=4,G327&gt;=6,H327&gt;=6),"AT RISK",AND(F327&lt;=2,G327&gt;=8,H327&gt;=8),"CAN'T LOSE THEM",AND(F327&lt;=2,G327&lt;=2,H327&lt;=2),"HIBERNATING",TRUE(),"Other")</f>
        <v>Other</v>
      </c>
      <c r="K327" s="1" t="n">
        <f aca="false">RANK(E327,$E$7:$E$4378)+COUNTIF($E$7:E327,E327)-1</f>
        <v>2872</v>
      </c>
    </row>
    <row r="328" customFormat="false" ht="14.25" hidden="false" customHeight="true" outlineLevel="0" collapsed="false">
      <c r="A328" s="51" t="n">
        <v>12734</v>
      </c>
      <c r="B328" s="53" t="n">
        <v>40534.5326388889</v>
      </c>
      <c r="C328" s="57" t="n">
        <f aca="false">INT($C$2)-INT(Table3[[#This Row],[Last Purchase Date]])</f>
        <v>353</v>
      </c>
      <c r="D328" s="1" t="n">
        <v>1</v>
      </c>
      <c r="E328" s="1" t="n">
        <v>110.4</v>
      </c>
      <c r="F328" s="1" t="n">
        <f aca="false">ROUND((1-_xlfn.PERCENTRANK.INC($C$7:$C$4378,C328))*9,0)</f>
        <v>0</v>
      </c>
      <c r="G328" s="1" t="n">
        <f aca="false">ROUND(_xlfn.PERCENTRANK.INC($D$7:$D$4378,D328)*9,0)</f>
        <v>0</v>
      </c>
      <c r="H328" s="1" t="n">
        <f aca="false">ROUND(_xlfn.PERCENTRANK.INC($E$7:$E$4378,E328)*9,0)</f>
        <v>1</v>
      </c>
      <c r="I328" s="1" t="str">
        <f aca="false">CONCATENATE(F328,G328,H328)</f>
        <v>001</v>
      </c>
      <c r="J328" s="1" t="str">
        <f aca="false">_xlfn.IFS(AND(F328&gt;=8,G328&gt;=8,H328&gt;=8),"CHAMPION",AND(F328&gt;=6,G328&gt;=7,H328&gt;=6),"LOYAL CUSTOMER",AND(F328&gt;=6,G328&gt;=5,H328&gt;=5),"POTENTIAL LOYALIST",AND(F328&gt;=8,G328&lt;=2,H328&gt;=5),"NEW CUSTOMERS",AND(F328&gt;=6,G328&lt;=2,H328&gt;=3),"PROMISING",AND(F328&gt;=3,G328&gt;=3,H328&gt;=3),"NEED ATTENTION",AND(F328&lt;=4,G328&gt;=6,H328&gt;=6),"AT RISK",AND(F328&lt;=2,G328&gt;=8,H328&gt;=8),"CAN'T LOSE THEM",AND(F328&lt;=2,G328&lt;=2,H328&lt;=2),"HIBERNATING",TRUE(),"Other")</f>
        <v>HIBERNATING</v>
      </c>
      <c r="K328" s="1" t="n">
        <f aca="false">RANK(E328,$E$7:$E$4378)+COUNTIF($E$7:E328,E328)-1</f>
        <v>4113</v>
      </c>
    </row>
    <row r="329" customFormat="false" ht="14.25" hidden="false" customHeight="true" outlineLevel="0" collapsed="false">
      <c r="A329" s="51" t="n">
        <v>12735</v>
      </c>
      <c r="B329" s="53" t="n">
        <v>40571.5673611111</v>
      </c>
      <c r="C329" s="57" t="n">
        <f aca="false">INT($C$2)-INT(Table3[[#This Row],[Last Purchase Date]])</f>
        <v>316</v>
      </c>
      <c r="D329" s="1" t="n">
        <v>2</v>
      </c>
      <c r="E329" s="1" t="n">
        <v>779.57</v>
      </c>
      <c r="F329" s="1" t="n">
        <f aca="false">ROUND((1-_xlfn.PERCENTRANK.INC($C$7:$C$4378,C329))*9,0)</f>
        <v>0</v>
      </c>
      <c r="G329" s="1" t="n">
        <f aca="false">ROUND(_xlfn.PERCENTRANK.INC($D$7:$D$4378,D329)*9,0)</f>
        <v>3</v>
      </c>
      <c r="H329" s="1" t="n">
        <f aca="false">ROUND(_xlfn.PERCENTRANK.INC($E$7:$E$4378,E329)*9,0)</f>
        <v>5</v>
      </c>
      <c r="I329" s="1" t="str">
        <f aca="false">CONCATENATE(F329,G329,H329)</f>
        <v>035</v>
      </c>
      <c r="J329" s="1" t="str">
        <f aca="false">_xlfn.IFS(AND(F329&gt;=8,G329&gt;=8,H329&gt;=8),"CHAMPION",AND(F329&gt;=6,G329&gt;=7,H329&gt;=6),"LOYAL CUSTOMER",AND(F329&gt;=6,G329&gt;=5,H329&gt;=5),"POTENTIAL LOYALIST",AND(F329&gt;=8,G329&lt;=2,H329&gt;=5),"NEW CUSTOMERS",AND(F329&gt;=6,G329&lt;=2,H329&gt;=3),"PROMISING",AND(F329&gt;=3,G329&gt;=3,H329&gt;=3),"NEED ATTENTION",AND(F329&lt;=4,G329&gt;=6,H329&gt;=6),"AT RISK",AND(F329&lt;=2,G329&gt;=8,H329&gt;=8),"CAN'T LOSE THEM",AND(F329&lt;=2,G329&lt;=2,H329&lt;=2),"HIBERNATING",TRUE(),"Other")</f>
        <v>Other</v>
      </c>
      <c r="K329" s="1" t="n">
        <f aca="false">RANK(E329,$E$7:$E$4378)+COUNTIF($E$7:E329,E329)-1</f>
        <v>1926</v>
      </c>
    </row>
    <row r="330" customFormat="false" ht="14.25" hidden="false" customHeight="true" outlineLevel="0" collapsed="false">
      <c r="A330" s="51" t="n">
        <v>12736</v>
      </c>
      <c r="B330" s="53" t="n">
        <v>40554.33125</v>
      </c>
      <c r="C330" s="57" t="n">
        <f aca="false">INT($C$2)-INT(Table3[[#This Row],[Last Purchase Date]])</f>
        <v>333</v>
      </c>
      <c r="D330" s="1" t="n">
        <v>1</v>
      </c>
      <c r="E330" s="1" t="n">
        <v>234</v>
      </c>
      <c r="F330" s="1" t="n">
        <f aca="false">ROUND((1-_xlfn.PERCENTRANK.INC($C$7:$C$4378,C330))*9,0)</f>
        <v>0</v>
      </c>
      <c r="G330" s="1" t="n">
        <f aca="false">ROUND(_xlfn.PERCENTRANK.INC($D$7:$D$4378,D330)*9,0)</f>
        <v>0</v>
      </c>
      <c r="H330" s="1" t="n">
        <f aca="false">ROUND(_xlfn.PERCENTRANK.INC($E$7:$E$4378,E330)*9,0)</f>
        <v>2</v>
      </c>
      <c r="I330" s="1" t="str">
        <f aca="false">CONCATENATE(F330,G330,H330)</f>
        <v>002</v>
      </c>
      <c r="J330" s="1" t="str">
        <f aca="false">_xlfn.IFS(AND(F330&gt;=8,G330&gt;=8,H330&gt;=8),"CHAMPION",AND(F330&gt;=6,G330&gt;=7,H330&gt;=6),"LOYAL CUSTOMER",AND(F330&gt;=6,G330&gt;=5,H330&gt;=5),"POTENTIAL LOYALIST",AND(F330&gt;=8,G330&lt;=2,H330&gt;=5),"NEW CUSTOMERS",AND(F330&gt;=6,G330&lt;=2,H330&gt;=3),"PROMISING",AND(F330&gt;=3,G330&gt;=3,H330&gt;=3),"NEED ATTENTION",AND(F330&lt;=4,G330&gt;=6,H330&gt;=6),"AT RISK",AND(F330&lt;=2,G330&gt;=8,H330&gt;=8),"CAN'T LOSE THEM",AND(F330&lt;=2,G330&lt;=2,H330&lt;=2),"HIBERNATING",TRUE(),"Other")</f>
        <v>HIBERNATING</v>
      </c>
      <c r="K330" s="1" t="n">
        <f aca="false">RANK(E330,$E$7:$E$4378)+COUNTIF($E$7:E330,E330)-1</f>
        <v>3501</v>
      </c>
    </row>
    <row r="331" customFormat="false" ht="14.25" hidden="false" customHeight="true" outlineLevel="0" collapsed="false">
      <c r="A331" s="51" t="n">
        <v>12738</v>
      </c>
      <c r="B331" s="53" t="n">
        <v>40514.76875</v>
      </c>
      <c r="C331" s="57" t="n">
        <f aca="false">INT($C$2)-INT(Table3[[#This Row],[Last Purchase Date]])</f>
        <v>373</v>
      </c>
      <c r="D331" s="1" t="n">
        <v>1</v>
      </c>
      <c r="E331" s="1" t="n">
        <v>155.35</v>
      </c>
      <c r="F331" s="1" t="n">
        <f aca="false">ROUND((1-_xlfn.PERCENTRANK.INC($C$7:$C$4378,C331))*9,0)</f>
        <v>0</v>
      </c>
      <c r="G331" s="1" t="n">
        <f aca="false">ROUND(_xlfn.PERCENTRANK.INC($D$7:$D$4378,D331)*9,0)</f>
        <v>0</v>
      </c>
      <c r="H331" s="1" t="n">
        <f aca="false">ROUND(_xlfn.PERCENTRANK.INC($E$7:$E$4378,E331)*9,0)</f>
        <v>1</v>
      </c>
      <c r="I331" s="1" t="str">
        <f aca="false">CONCATENATE(F331,G331,H331)</f>
        <v>001</v>
      </c>
      <c r="J331" s="1" t="str">
        <f aca="false">_xlfn.IFS(AND(F331&gt;=8,G331&gt;=8,H331&gt;=8),"CHAMPION",AND(F331&gt;=6,G331&gt;=7,H331&gt;=6),"LOYAL CUSTOMER",AND(F331&gt;=6,G331&gt;=5,H331&gt;=5),"POTENTIAL LOYALIST",AND(F331&gt;=8,G331&lt;=2,H331&gt;=5),"NEW CUSTOMERS",AND(F331&gt;=6,G331&lt;=2,H331&gt;=3),"PROMISING",AND(F331&gt;=3,G331&gt;=3,H331&gt;=3),"NEED ATTENTION",AND(F331&lt;=4,G331&gt;=6,H331&gt;=6),"AT RISK",AND(F331&lt;=2,G331&gt;=8,H331&gt;=8),"CAN'T LOSE THEM",AND(F331&lt;=2,G331&lt;=2,H331&lt;=2),"HIBERNATING",TRUE(),"Other")</f>
        <v>HIBERNATING</v>
      </c>
      <c r="K331" s="1" t="n">
        <f aca="false">RANK(E331,$E$7:$E$4378)+COUNTIF($E$7:E331,E331)-1</f>
        <v>3885</v>
      </c>
    </row>
    <row r="332" customFormat="false" ht="14.25" hidden="false" customHeight="true" outlineLevel="0" collapsed="false">
      <c r="A332" s="51" t="n">
        <v>12739</v>
      </c>
      <c r="B332" s="53" t="n">
        <v>40808.5416666667</v>
      </c>
      <c r="C332" s="57" t="n">
        <f aca="false">INT($C$2)-INT(Table3[[#This Row],[Last Purchase Date]])</f>
        <v>79</v>
      </c>
      <c r="D332" s="1" t="n">
        <v>2</v>
      </c>
      <c r="E332" s="1" t="n">
        <v>1013.04</v>
      </c>
      <c r="F332" s="1" t="n">
        <f aca="false">ROUND((1-_xlfn.PERCENTRANK.INC($C$7:$C$4378,C332))*9,0)</f>
        <v>3</v>
      </c>
      <c r="G332" s="1" t="n">
        <f aca="false">ROUND(_xlfn.PERCENTRANK.INC($D$7:$D$4378,D332)*9,0)</f>
        <v>3</v>
      </c>
      <c r="H332" s="1" t="n">
        <f aca="false">ROUND(_xlfn.PERCENTRANK.INC($E$7:$E$4378,E332)*9,0)</f>
        <v>6</v>
      </c>
      <c r="I332" s="1" t="str">
        <f aca="false">CONCATENATE(F332,G332,H332)</f>
        <v>336</v>
      </c>
      <c r="J332" s="1" t="str">
        <f aca="false">_xlfn.IFS(AND(F332&gt;=8,G332&gt;=8,H332&gt;=8),"CHAMPION",AND(F332&gt;=6,G332&gt;=7,H332&gt;=6),"LOYAL CUSTOMER",AND(F332&gt;=6,G332&gt;=5,H332&gt;=5),"POTENTIAL LOYALIST",AND(F332&gt;=8,G332&lt;=2,H332&gt;=5),"NEW CUSTOMERS",AND(F332&gt;=6,G332&lt;=2,H332&gt;=3),"PROMISING",AND(F332&gt;=3,G332&gt;=3,H332&gt;=3),"NEED ATTENTION",AND(F332&lt;=4,G332&gt;=6,H332&gt;=6),"AT RISK",AND(F332&lt;=2,G332&gt;=8,H332&gt;=8),"CAN'T LOSE THEM",AND(F332&lt;=2,G332&lt;=2,H332&lt;=2),"HIBERNATING",TRUE(),"Other")</f>
        <v>NEED ATTENTION</v>
      </c>
      <c r="K332" s="1" t="n">
        <f aca="false">RANK(E332,$E$7:$E$4378)+COUNTIF($E$7:E332,E332)-1</f>
        <v>1615</v>
      </c>
    </row>
    <row r="333" customFormat="false" ht="14.25" hidden="false" customHeight="true" outlineLevel="0" collapsed="false">
      <c r="A333" s="51" t="n">
        <v>12740</v>
      </c>
      <c r="B333" s="53" t="n">
        <v>40823.4472222222</v>
      </c>
      <c r="C333" s="57" t="n">
        <f aca="false">INT($C$2)-INT(Table3[[#This Row],[Last Purchase Date]])</f>
        <v>64</v>
      </c>
      <c r="D333" s="1" t="n">
        <v>1</v>
      </c>
      <c r="E333" s="1" t="n">
        <v>427.6</v>
      </c>
      <c r="F333" s="1" t="n">
        <f aca="false">ROUND((1-_xlfn.PERCENTRANK.INC($C$7:$C$4378,C333))*9,0)</f>
        <v>4</v>
      </c>
      <c r="G333" s="1" t="n">
        <f aca="false">ROUND(_xlfn.PERCENTRANK.INC($D$7:$D$4378,D333)*9,0)</f>
        <v>0</v>
      </c>
      <c r="H333" s="1" t="n">
        <f aca="false">ROUND(_xlfn.PERCENTRANK.INC($E$7:$E$4378,E333)*9,0)</f>
        <v>3</v>
      </c>
      <c r="I333" s="1" t="str">
        <f aca="false">CONCATENATE(F333,G333,H333)</f>
        <v>403</v>
      </c>
      <c r="J333" s="1" t="str">
        <f aca="false">_xlfn.IFS(AND(F333&gt;=8,G333&gt;=8,H333&gt;=8),"CHAMPION",AND(F333&gt;=6,G333&gt;=7,H333&gt;=6),"LOYAL CUSTOMER",AND(F333&gt;=6,G333&gt;=5,H333&gt;=5),"POTENTIAL LOYALIST",AND(F333&gt;=8,G333&lt;=2,H333&gt;=5),"NEW CUSTOMERS",AND(F333&gt;=6,G333&lt;=2,H333&gt;=3),"PROMISING",AND(F333&gt;=3,G333&gt;=3,H333&gt;=3),"NEED ATTENTION",AND(F333&lt;=4,G333&gt;=6,H333&gt;=6),"AT RISK",AND(F333&lt;=2,G333&gt;=8,H333&gt;=8),"CAN'T LOSE THEM",AND(F333&lt;=2,G333&lt;=2,H333&lt;=2),"HIBERNATING",TRUE(),"Other")</f>
        <v>Other</v>
      </c>
      <c r="K333" s="1" t="n">
        <f aca="false">RANK(E333,$E$7:$E$4378)+COUNTIF($E$7:E333,E333)-1</f>
        <v>2731</v>
      </c>
    </row>
    <row r="334" customFormat="false" ht="14.25" hidden="false" customHeight="true" outlineLevel="0" collapsed="false">
      <c r="A334" s="51" t="n">
        <v>12743</v>
      </c>
      <c r="B334" s="53" t="n">
        <v>40752.68125</v>
      </c>
      <c r="C334" s="57" t="n">
        <f aca="false">INT($C$2)-INT(Table3[[#This Row],[Last Purchase Date]])</f>
        <v>135</v>
      </c>
      <c r="D334" s="1" t="n">
        <v>2</v>
      </c>
      <c r="E334" s="1" t="n">
        <v>546.43</v>
      </c>
      <c r="F334" s="1" t="n">
        <f aca="false">ROUND((1-_xlfn.PERCENTRANK.INC($C$7:$C$4378,C334))*9,0)</f>
        <v>2</v>
      </c>
      <c r="G334" s="1" t="n">
        <f aca="false">ROUND(_xlfn.PERCENTRANK.INC($D$7:$D$4378,D334)*9,0)</f>
        <v>3</v>
      </c>
      <c r="H334" s="1" t="n">
        <f aca="false">ROUND(_xlfn.PERCENTRANK.INC($E$7:$E$4378,E334)*9,0)</f>
        <v>4</v>
      </c>
      <c r="I334" s="1" t="str">
        <f aca="false">CONCATENATE(F334,G334,H334)</f>
        <v>234</v>
      </c>
      <c r="J334" s="1" t="str">
        <f aca="false">_xlfn.IFS(AND(F334&gt;=8,G334&gt;=8,H334&gt;=8),"CHAMPION",AND(F334&gt;=6,G334&gt;=7,H334&gt;=6),"LOYAL CUSTOMER",AND(F334&gt;=6,G334&gt;=5,H334&gt;=5),"POTENTIAL LOYALIST",AND(F334&gt;=8,G334&lt;=2,H334&gt;=5),"NEW CUSTOMERS",AND(F334&gt;=6,G334&lt;=2,H334&gt;=3),"PROMISING",AND(F334&gt;=3,G334&gt;=3,H334&gt;=3),"NEED ATTENTION",AND(F334&lt;=4,G334&gt;=6,H334&gt;=6),"AT RISK",AND(F334&lt;=2,G334&gt;=8,H334&gt;=8),"CAN'T LOSE THEM",AND(F334&lt;=2,G334&lt;=2,H334&lt;=2),"HIBERNATING",TRUE(),"Other")</f>
        <v>Other</v>
      </c>
      <c r="K334" s="1" t="n">
        <f aca="false">RANK(E334,$E$7:$E$4378)+COUNTIF($E$7:E334,E334)-1</f>
        <v>2438</v>
      </c>
    </row>
    <row r="335" customFormat="false" ht="14.25" hidden="false" customHeight="true" outlineLevel="0" collapsed="false">
      <c r="A335" s="51" t="n">
        <v>12744</v>
      </c>
      <c r="B335" s="53" t="n">
        <v>40835.4708333333</v>
      </c>
      <c r="C335" s="57" t="n">
        <f aca="false">INT($C$2)-INT(Table3[[#This Row],[Last Purchase Date]])</f>
        <v>52</v>
      </c>
      <c r="D335" s="1" t="n">
        <v>10</v>
      </c>
      <c r="E335" s="1" t="n">
        <v>9120.39</v>
      </c>
      <c r="F335" s="1" t="n">
        <f aca="false">ROUND((1-_xlfn.PERCENTRANK.INC($C$7:$C$4378,C335))*9,0)</f>
        <v>4</v>
      </c>
      <c r="G335" s="1" t="n">
        <f aca="false">ROUND(_xlfn.PERCENTRANK.INC($D$7:$D$4378,D335)*9,0)</f>
        <v>8</v>
      </c>
      <c r="H335" s="1" t="n">
        <f aca="false">ROUND(_xlfn.PERCENTRANK.INC($E$7:$E$4378,E335)*9,0)</f>
        <v>9</v>
      </c>
      <c r="I335" s="1" t="str">
        <f aca="false">CONCATENATE(F335,G335,H335)</f>
        <v>489</v>
      </c>
      <c r="J335" s="1" t="str">
        <f aca="false">_xlfn.IFS(AND(F335&gt;=8,G335&gt;=8,H335&gt;=8),"CHAMPION",AND(F335&gt;=6,G335&gt;=7,H335&gt;=6),"LOYAL CUSTOMER",AND(F335&gt;=6,G335&gt;=5,H335&gt;=5),"POTENTIAL LOYALIST",AND(F335&gt;=8,G335&lt;=2,H335&gt;=5),"NEW CUSTOMERS",AND(F335&gt;=6,G335&lt;=2,H335&gt;=3),"PROMISING",AND(F335&gt;=3,G335&gt;=3,H335&gt;=3),"NEED ATTENTION",AND(F335&lt;=4,G335&gt;=6,H335&gt;=6),"AT RISK",AND(F335&lt;=2,G335&gt;=8,H335&gt;=8),"CAN'T LOSE THEM",AND(F335&lt;=2,G335&lt;=2,H335&lt;=2),"HIBERNATING",TRUE(),"Other")</f>
        <v>NEED ATTENTION</v>
      </c>
      <c r="K335" s="1" t="n">
        <f aca="false">RANK(E335,$E$7:$E$4378)+COUNTIF($E$7:E335,E335)-1</f>
        <v>108</v>
      </c>
    </row>
    <row r="336" customFormat="false" ht="14.25" hidden="false" customHeight="true" outlineLevel="0" collapsed="false">
      <c r="A336" s="51" t="n">
        <v>12747</v>
      </c>
      <c r="B336" s="53" t="n">
        <v>40884.6069444444</v>
      </c>
      <c r="C336" s="57" t="n">
        <f aca="false">INT($C$2)-INT(Table3[[#This Row],[Last Purchase Date]])</f>
        <v>3</v>
      </c>
      <c r="D336" s="1" t="n">
        <v>11</v>
      </c>
      <c r="E336" s="1" t="n">
        <v>4196.01</v>
      </c>
      <c r="F336" s="1" t="n">
        <f aca="false">ROUND((1-_xlfn.PERCENTRANK.INC($C$7:$C$4378,C336))*9,0)</f>
        <v>9</v>
      </c>
      <c r="G336" s="1" t="n">
        <f aca="false">ROUND(_xlfn.PERCENTRANK.INC($D$7:$D$4378,D336)*9,0)</f>
        <v>8</v>
      </c>
      <c r="H336" s="1" t="n">
        <f aca="false">ROUND(_xlfn.PERCENTRANK.INC($E$7:$E$4378,E336)*9,0)</f>
        <v>8</v>
      </c>
      <c r="I336" s="1" t="str">
        <f aca="false">CONCATENATE(F336,G336,H336)</f>
        <v>988</v>
      </c>
      <c r="J336" s="1" t="str">
        <f aca="false">_xlfn.IFS(AND(F336&gt;=8,G336&gt;=8,H336&gt;=8),"CHAMPION",AND(F336&gt;=6,G336&gt;=7,H336&gt;=6),"LOYAL CUSTOMER",AND(F336&gt;=6,G336&gt;=5,H336&gt;=5),"POTENTIAL LOYALIST",AND(F336&gt;=8,G336&lt;=2,H336&gt;=5),"NEW CUSTOMERS",AND(F336&gt;=6,G336&lt;=2,H336&gt;=3),"PROMISING",AND(F336&gt;=3,G336&gt;=3,H336&gt;=3),"NEED ATTENTION",AND(F336&lt;=4,G336&gt;=6,H336&gt;=6),"AT RISK",AND(F336&lt;=2,G336&gt;=8,H336&gt;=8),"CAN'T LOSE THEM",AND(F336&lt;=2,G336&lt;=2,H336&lt;=2),"HIBERNATING",TRUE(),"Other")</f>
        <v>CHAMPION</v>
      </c>
      <c r="K336" s="1" t="n">
        <f aca="false">RANK(E336,$E$7:$E$4378)+COUNTIF($E$7:E336,E336)-1</f>
        <v>332</v>
      </c>
    </row>
    <row r="337" customFormat="false" ht="14.25" hidden="false" customHeight="true" outlineLevel="0" collapsed="false">
      <c r="A337" s="51" t="n">
        <v>12748</v>
      </c>
      <c r="B337" s="53" t="n">
        <v>40886.5138888889</v>
      </c>
      <c r="C337" s="57" t="n">
        <f aca="false">INT($C$2)-INT(Table3[[#This Row],[Last Purchase Date]])</f>
        <v>1</v>
      </c>
      <c r="D337" s="1" t="n">
        <v>224</v>
      </c>
      <c r="E337" s="1" t="n">
        <v>29072.1000000003</v>
      </c>
      <c r="F337" s="1" t="n">
        <f aca="false">ROUND((1-_xlfn.PERCENTRANK.INC($C$7:$C$4378,C337))*9,0)</f>
        <v>9</v>
      </c>
      <c r="G337" s="1" t="n">
        <f aca="false">ROUND(_xlfn.PERCENTRANK.INC($D$7:$D$4378,D337)*9,0)</f>
        <v>9</v>
      </c>
      <c r="H337" s="1" t="n">
        <f aca="false">ROUND(_xlfn.PERCENTRANK.INC($E$7:$E$4378,E337)*9,0)</f>
        <v>9</v>
      </c>
      <c r="I337" s="1" t="str">
        <f aca="false">CONCATENATE(F337,G337,H337)</f>
        <v>999</v>
      </c>
      <c r="J337" s="1" t="str">
        <f aca="false">_xlfn.IFS(AND(F337&gt;=8,G337&gt;=8,H337&gt;=8),"CHAMPION",AND(F337&gt;=6,G337&gt;=7,H337&gt;=6),"LOYAL CUSTOMER",AND(F337&gt;=6,G337&gt;=5,H337&gt;=5),"POTENTIAL LOYALIST",AND(F337&gt;=8,G337&lt;=2,H337&gt;=5),"NEW CUSTOMERS",AND(F337&gt;=6,G337&lt;=2,H337&gt;=3),"PROMISING",AND(F337&gt;=3,G337&gt;=3,H337&gt;=3),"NEED ATTENTION",AND(F337&lt;=4,G337&gt;=6,H337&gt;=6),"AT RISK",AND(F337&lt;=2,G337&gt;=8,H337&gt;=8),"CAN'T LOSE THEM",AND(F337&lt;=2,G337&lt;=2,H337&lt;=2),"HIBERNATING",TRUE(),"Other")</f>
        <v>CHAMPION</v>
      </c>
      <c r="K337" s="1" t="n">
        <f aca="false">RANK(E337,$E$7:$E$4378)+COUNTIF($E$7:E337,E337)-1</f>
        <v>27</v>
      </c>
    </row>
    <row r="338" customFormat="false" ht="14.25" hidden="false" customHeight="true" outlineLevel="0" collapsed="false">
      <c r="A338" s="51" t="n">
        <v>12749</v>
      </c>
      <c r="B338" s="53" t="n">
        <v>40883.4138888889</v>
      </c>
      <c r="C338" s="57" t="n">
        <f aca="false">INT($C$2)-INT(Table3[[#This Row],[Last Purchase Date]])</f>
        <v>4</v>
      </c>
      <c r="D338" s="1" t="n">
        <v>8</v>
      </c>
      <c r="E338" s="1" t="n">
        <v>3868.2</v>
      </c>
      <c r="F338" s="1" t="n">
        <f aca="false">ROUND((1-_xlfn.PERCENTRANK.INC($C$7:$C$4378,C338))*9,0)</f>
        <v>8</v>
      </c>
      <c r="G338" s="1" t="n">
        <f aca="false">ROUND(_xlfn.PERCENTRANK.INC($D$7:$D$4378,D338)*9,0)</f>
        <v>7</v>
      </c>
      <c r="H338" s="1" t="n">
        <f aca="false">ROUND(_xlfn.PERCENTRANK.INC($E$7:$E$4378,E338)*9,0)</f>
        <v>8</v>
      </c>
      <c r="I338" s="1" t="str">
        <f aca="false">CONCATENATE(F338,G338,H338)</f>
        <v>878</v>
      </c>
      <c r="J338" s="1" t="str">
        <f aca="false">_xlfn.IFS(AND(F338&gt;=8,G338&gt;=8,H338&gt;=8),"CHAMPION",AND(F338&gt;=6,G338&gt;=7,H338&gt;=6),"LOYAL CUSTOMER",AND(F338&gt;=6,G338&gt;=5,H338&gt;=5),"POTENTIAL LOYALIST",AND(F338&gt;=8,G338&lt;=2,H338&gt;=5),"NEW CUSTOMERS",AND(F338&gt;=6,G338&lt;=2,H338&gt;=3),"PROMISING",AND(F338&gt;=3,G338&gt;=3,H338&gt;=3),"NEED ATTENTION",AND(F338&lt;=4,G338&gt;=6,H338&gt;=6),"AT RISK",AND(F338&lt;=2,G338&gt;=8,H338&gt;=8),"CAN'T LOSE THEM",AND(F338&lt;=2,G338&lt;=2,H338&lt;=2),"HIBERNATING",TRUE(),"Other")</f>
        <v>LOYAL CUSTOMER</v>
      </c>
      <c r="K338" s="1" t="n">
        <f aca="false">RANK(E338,$E$7:$E$4378)+COUNTIF($E$7:E338,E338)-1</f>
        <v>374</v>
      </c>
    </row>
    <row r="339" customFormat="false" ht="14.25" hidden="false" customHeight="true" outlineLevel="0" collapsed="false">
      <c r="A339" s="51" t="n">
        <v>12750</v>
      </c>
      <c r="B339" s="53" t="n">
        <v>40758.3840277778</v>
      </c>
      <c r="C339" s="57" t="n">
        <f aca="false">INT($C$2)-INT(Table3[[#This Row],[Last Purchase Date]])</f>
        <v>129</v>
      </c>
      <c r="D339" s="1" t="n">
        <v>1</v>
      </c>
      <c r="E339" s="1" t="n">
        <v>275.88</v>
      </c>
      <c r="F339" s="1" t="n">
        <f aca="false">ROUND((1-_xlfn.PERCENTRANK.INC($C$7:$C$4378,C339))*9,0)</f>
        <v>2</v>
      </c>
      <c r="G339" s="1" t="n">
        <f aca="false">ROUND(_xlfn.PERCENTRANK.INC($D$7:$D$4378,D339)*9,0)</f>
        <v>0</v>
      </c>
      <c r="H339" s="1" t="n">
        <f aca="false">ROUND(_xlfn.PERCENTRANK.INC($E$7:$E$4378,E339)*9,0)</f>
        <v>2</v>
      </c>
      <c r="I339" s="1" t="str">
        <f aca="false">CONCATENATE(F339,G339,H339)</f>
        <v>202</v>
      </c>
      <c r="J339" s="1" t="str">
        <f aca="false">_xlfn.IFS(AND(F339&gt;=8,G339&gt;=8,H339&gt;=8),"CHAMPION",AND(F339&gt;=6,G339&gt;=7,H339&gt;=6),"LOYAL CUSTOMER",AND(F339&gt;=6,G339&gt;=5,H339&gt;=5),"POTENTIAL LOYALIST",AND(F339&gt;=8,G339&lt;=2,H339&gt;=5),"NEW CUSTOMERS",AND(F339&gt;=6,G339&lt;=2,H339&gt;=3),"PROMISING",AND(F339&gt;=3,G339&gt;=3,H339&gt;=3),"NEED ATTENTION",AND(F339&lt;=4,G339&gt;=6,H339&gt;=6),"AT RISK",AND(F339&lt;=2,G339&gt;=8,H339&gt;=8),"CAN'T LOSE THEM",AND(F339&lt;=2,G339&lt;=2,H339&lt;=2),"HIBERNATING",TRUE(),"Other")</f>
        <v>HIBERNATING</v>
      </c>
      <c r="K339" s="1" t="n">
        <f aca="false">RANK(E339,$E$7:$E$4378)+COUNTIF($E$7:E339,E339)-1</f>
        <v>3341</v>
      </c>
    </row>
    <row r="340" customFormat="false" ht="14.25" hidden="false" customHeight="true" outlineLevel="0" collapsed="false">
      <c r="A340" s="51" t="n">
        <v>12752</v>
      </c>
      <c r="B340" s="53" t="n">
        <v>40805.5638888889</v>
      </c>
      <c r="C340" s="57" t="n">
        <f aca="false">INT($C$2)-INT(Table3[[#This Row],[Last Purchase Date]])</f>
        <v>82</v>
      </c>
      <c r="D340" s="1" t="n">
        <v>1</v>
      </c>
      <c r="E340" s="1" t="n">
        <v>4366.78</v>
      </c>
      <c r="F340" s="1" t="n">
        <f aca="false">ROUND((1-_xlfn.PERCENTRANK.INC($C$7:$C$4378,C340))*9,0)</f>
        <v>3</v>
      </c>
      <c r="G340" s="1" t="n">
        <f aca="false">ROUND(_xlfn.PERCENTRANK.INC($D$7:$D$4378,D340)*9,0)</f>
        <v>0</v>
      </c>
      <c r="H340" s="1" t="n">
        <f aca="false">ROUND(_xlfn.PERCENTRANK.INC($E$7:$E$4378,E340)*9,0)</f>
        <v>8</v>
      </c>
      <c r="I340" s="1" t="str">
        <f aca="false">CONCATENATE(F340,G340,H340)</f>
        <v>308</v>
      </c>
      <c r="J340" s="1" t="str">
        <f aca="false">_xlfn.IFS(AND(F340&gt;=8,G340&gt;=8,H340&gt;=8),"CHAMPION",AND(F340&gt;=6,G340&gt;=7,H340&gt;=6),"LOYAL CUSTOMER",AND(F340&gt;=6,G340&gt;=5,H340&gt;=5),"POTENTIAL LOYALIST",AND(F340&gt;=8,G340&lt;=2,H340&gt;=5),"NEW CUSTOMERS",AND(F340&gt;=6,G340&lt;=2,H340&gt;=3),"PROMISING",AND(F340&gt;=3,G340&gt;=3,H340&gt;=3),"NEED ATTENTION",AND(F340&lt;=4,G340&gt;=6,H340&gt;=6),"AT RISK",AND(F340&lt;=2,G340&gt;=8,H340&gt;=8),"CAN'T LOSE THEM",AND(F340&lt;=2,G340&lt;=2,H340&lt;=2),"HIBERNATING",TRUE(),"Other")</f>
        <v>Other</v>
      </c>
      <c r="K340" s="1" t="n">
        <f aca="false">RANK(E340,$E$7:$E$4378)+COUNTIF($E$7:E340,E340)-1</f>
        <v>314</v>
      </c>
    </row>
    <row r="341" customFormat="false" ht="14.25" hidden="false" customHeight="true" outlineLevel="0" collapsed="false">
      <c r="A341" s="51" t="n">
        <v>12753</v>
      </c>
      <c r="B341" s="53" t="n">
        <v>40883.4861111111</v>
      </c>
      <c r="C341" s="57" t="n">
        <f aca="false">INT($C$2)-INT(Table3[[#This Row],[Last Purchase Date]])</f>
        <v>4</v>
      </c>
      <c r="D341" s="1" t="n">
        <v>11</v>
      </c>
      <c r="E341" s="1" t="n">
        <v>21024.01</v>
      </c>
      <c r="F341" s="1" t="n">
        <f aca="false">ROUND((1-_xlfn.PERCENTRANK.INC($C$7:$C$4378,C341))*9,0)</f>
        <v>8</v>
      </c>
      <c r="G341" s="1" t="n">
        <f aca="false">ROUND(_xlfn.PERCENTRANK.INC($D$7:$D$4378,D341)*9,0)</f>
        <v>8</v>
      </c>
      <c r="H341" s="1" t="n">
        <f aca="false">ROUND(_xlfn.PERCENTRANK.INC($E$7:$E$4378,E341)*9,0)</f>
        <v>9</v>
      </c>
      <c r="I341" s="1" t="str">
        <f aca="false">CONCATENATE(F341,G341,H341)</f>
        <v>889</v>
      </c>
      <c r="J341" s="1" t="str">
        <f aca="false">_xlfn.IFS(AND(F341&gt;=8,G341&gt;=8,H341&gt;=8),"CHAMPION",AND(F341&gt;=6,G341&gt;=7,H341&gt;=6),"LOYAL CUSTOMER",AND(F341&gt;=6,G341&gt;=5,H341&gt;=5),"POTENTIAL LOYALIST",AND(F341&gt;=8,G341&lt;=2,H341&gt;=5),"NEW CUSTOMERS",AND(F341&gt;=6,G341&lt;=2,H341&gt;=3),"PROMISING",AND(F341&gt;=3,G341&gt;=3,H341&gt;=3),"NEED ATTENTION",AND(F341&lt;=4,G341&gt;=6,H341&gt;=6),"AT RISK",AND(F341&lt;=2,G341&gt;=8,H341&gt;=8),"CAN'T LOSE THEM",AND(F341&lt;=2,G341&lt;=2,H341&lt;=2),"HIBERNATING",TRUE(),"Other")</f>
        <v>CHAMPION</v>
      </c>
      <c r="K341" s="1" t="n">
        <f aca="false">RANK(E341,$E$7:$E$4378)+COUNTIF($E$7:E341,E341)-1</f>
        <v>37</v>
      </c>
    </row>
    <row r="342" customFormat="false" ht="14.25" hidden="false" customHeight="true" outlineLevel="0" collapsed="false">
      <c r="A342" s="51" t="n">
        <v>12754</v>
      </c>
      <c r="B342" s="53" t="n">
        <v>40651.375</v>
      </c>
      <c r="C342" s="57" t="n">
        <f aca="false">INT($C$2)-INT(Table3[[#This Row],[Last Purchase Date]])</f>
        <v>236</v>
      </c>
      <c r="D342" s="1" t="n">
        <v>5</v>
      </c>
      <c r="E342" s="1" t="n">
        <v>2949.12</v>
      </c>
      <c r="F342" s="1" t="n">
        <f aca="false">ROUND((1-_xlfn.PERCENTRANK.INC($C$7:$C$4378,C342))*9,0)</f>
        <v>1</v>
      </c>
      <c r="G342" s="1" t="n">
        <f aca="false">ROUND(_xlfn.PERCENTRANK.INC($D$7:$D$4378,D342)*9,0)</f>
        <v>6</v>
      </c>
      <c r="H342" s="1" t="n">
        <f aca="false">ROUND(_xlfn.PERCENTRANK.INC($E$7:$E$4378,E342)*9,0)</f>
        <v>8</v>
      </c>
      <c r="I342" s="1" t="str">
        <f aca="false">CONCATENATE(F342,G342,H342)</f>
        <v>168</v>
      </c>
      <c r="J342" s="1" t="str">
        <f aca="false">_xlfn.IFS(AND(F342&gt;=8,G342&gt;=8,H342&gt;=8),"CHAMPION",AND(F342&gt;=6,G342&gt;=7,H342&gt;=6),"LOYAL CUSTOMER",AND(F342&gt;=6,G342&gt;=5,H342&gt;=5),"POTENTIAL LOYALIST",AND(F342&gt;=8,G342&lt;=2,H342&gt;=5),"NEW CUSTOMERS",AND(F342&gt;=6,G342&lt;=2,H342&gt;=3),"PROMISING",AND(F342&gt;=3,G342&gt;=3,H342&gt;=3),"NEED ATTENTION",AND(F342&lt;=4,G342&gt;=6,H342&gt;=6),"AT RISK",AND(F342&lt;=2,G342&gt;=8,H342&gt;=8),"CAN'T LOSE THEM",AND(F342&lt;=2,G342&lt;=2,H342&lt;=2),"HIBERNATING",TRUE(),"Other")</f>
        <v>AT RISK</v>
      </c>
      <c r="K342" s="1" t="n">
        <f aca="false">RANK(E342,$E$7:$E$4378)+COUNTIF($E$7:E342,E342)-1</f>
        <v>552</v>
      </c>
    </row>
    <row r="343" customFormat="false" ht="14.25" hidden="false" customHeight="true" outlineLevel="0" collapsed="false">
      <c r="A343" s="51" t="n">
        <v>12755</v>
      </c>
      <c r="B343" s="53" t="n">
        <v>40637.425</v>
      </c>
      <c r="C343" s="57" t="n">
        <f aca="false">INT($C$2)-INT(Table3[[#This Row],[Last Purchase Date]])</f>
        <v>250</v>
      </c>
      <c r="D343" s="1" t="n">
        <v>4</v>
      </c>
      <c r="E343" s="1" t="n">
        <v>2203.2</v>
      </c>
      <c r="F343" s="1" t="n">
        <f aca="false">ROUND((1-_xlfn.PERCENTRANK.INC($C$7:$C$4378,C343))*9,0)</f>
        <v>1</v>
      </c>
      <c r="G343" s="1" t="n">
        <f aca="false">ROUND(_xlfn.PERCENTRANK.INC($D$7:$D$4378,D343)*9,0)</f>
        <v>5</v>
      </c>
      <c r="H343" s="1" t="n">
        <f aca="false">ROUND(_xlfn.PERCENTRANK.INC($E$7:$E$4378,E343)*9,0)</f>
        <v>7</v>
      </c>
      <c r="I343" s="1" t="str">
        <f aca="false">CONCATENATE(F343,G343,H343)</f>
        <v>157</v>
      </c>
      <c r="J343" s="1" t="str">
        <f aca="false">_xlfn.IFS(AND(F343&gt;=8,G343&gt;=8,H343&gt;=8),"CHAMPION",AND(F343&gt;=6,G343&gt;=7,H343&gt;=6),"LOYAL CUSTOMER",AND(F343&gt;=6,G343&gt;=5,H343&gt;=5),"POTENTIAL LOYALIST",AND(F343&gt;=8,G343&lt;=2,H343&gt;=5),"NEW CUSTOMERS",AND(F343&gt;=6,G343&lt;=2,H343&gt;=3),"PROMISING",AND(F343&gt;=3,G343&gt;=3,H343&gt;=3),"NEED ATTENTION",AND(F343&lt;=4,G343&gt;=6,H343&gt;=6),"AT RISK",AND(F343&lt;=2,G343&gt;=8,H343&gt;=8),"CAN'T LOSE THEM",AND(F343&lt;=2,G343&lt;=2,H343&lt;=2),"HIBERNATING",TRUE(),"Other")</f>
        <v>Other</v>
      </c>
      <c r="K343" s="1" t="n">
        <f aca="false">RANK(E343,$E$7:$E$4378)+COUNTIF($E$7:E343,E343)-1</f>
        <v>780</v>
      </c>
    </row>
    <row r="344" customFormat="false" ht="14.25" hidden="false" customHeight="true" outlineLevel="0" collapsed="false">
      <c r="A344" s="51" t="n">
        <v>12756</v>
      </c>
      <c r="B344" s="53" t="n">
        <v>40800.3965277778</v>
      </c>
      <c r="C344" s="57" t="n">
        <f aca="false">INT($C$2)-INT(Table3[[#This Row],[Last Purchase Date]])</f>
        <v>87</v>
      </c>
      <c r="D344" s="1" t="n">
        <v>1</v>
      </c>
      <c r="E344" s="1" t="n">
        <v>112.08</v>
      </c>
      <c r="F344" s="1" t="n">
        <f aca="false">ROUND((1-_xlfn.PERCENTRANK.INC($C$7:$C$4378,C344))*9,0)</f>
        <v>3</v>
      </c>
      <c r="G344" s="1" t="n">
        <f aca="false">ROUND(_xlfn.PERCENTRANK.INC($D$7:$D$4378,D344)*9,0)</f>
        <v>0</v>
      </c>
      <c r="H344" s="1" t="n">
        <f aca="false">ROUND(_xlfn.PERCENTRANK.INC($E$7:$E$4378,E344)*9,0)</f>
        <v>1</v>
      </c>
      <c r="I344" s="1" t="str">
        <f aca="false">CONCATENATE(F344,G344,H344)</f>
        <v>301</v>
      </c>
      <c r="J344" s="1" t="str">
        <f aca="false">_xlfn.IFS(AND(F344&gt;=8,G344&gt;=8,H344&gt;=8),"CHAMPION",AND(F344&gt;=6,G344&gt;=7,H344&gt;=6),"LOYAL CUSTOMER",AND(F344&gt;=6,G344&gt;=5,H344&gt;=5),"POTENTIAL LOYALIST",AND(F344&gt;=8,G344&lt;=2,H344&gt;=5),"NEW CUSTOMERS",AND(F344&gt;=6,G344&lt;=2,H344&gt;=3),"PROMISING",AND(F344&gt;=3,G344&gt;=3,H344&gt;=3),"NEED ATTENTION",AND(F344&lt;=4,G344&gt;=6,H344&gt;=6),"AT RISK",AND(F344&lt;=2,G344&gt;=8,H344&gt;=8),"CAN'T LOSE THEM",AND(F344&lt;=2,G344&lt;=2,H344&lt;=2),"HIBERNATING",TRUE(),"Other")</f>
        <v>Other</v>
      </c>
      <c r="K344" s="1" t="n">
        <f aca="false">RANK(E344,$E$7:$E$4378)+COUNTIF($E$7:E344,E344)-1</f>
        <v>4100</v>
      </c>
    </row>
    <row r="345" customFormat="false" ht="14.25" hidden="false" customHeight="true" outlineLevel="0" collapsed="false">
      <c r="A345" s="51" t="n">
        <v>12757</v>
      </c>
      <c r="B345" s="53" t="n">
        <v>40871.5208333333</v>
      </c>
      <c r="C345" s="57" t="n">
        <f aca="false">INT($C$2)-INT(Table3[[#This Row],[Last Purchase Date]])</f>
        <v>16</v>
      </c>
      <c r="D345" s="1" t="n">
        <v>19</v>
      </c>
      <c r="E345" s="1" t="n">
        <v>4227.7</v>
      </c>
      <c r="F345" s="1" t="n">
        <f aca="false">ROUND((1-_xlfn.PERCENTRANK.INC($C$7:$C$4378,C345))*9,0)</f>
        <v>7</v>
      </c>
      <c r="G345" s="1" t="n">
        <f aca="false">ROUND(_xlfn.PERCENTRANK.INC($D$7:$D$4378,D345)*9,0)</f>
        <v>9</v>
      </c>
      <c r="H345" s="1" t="n">
        <f aca="false">ROUND(_xlfn.PERCENTRANK.INC($E$7:$E$4378,E345)*9,0)</f>
        <v>8</v>
      </c>
      <c r="I345" s="1" t="str">
        <f aca="false">CONCATENATE(F345,G345,H345)</f>
        <v>798</v>
      </c>
      <c r="J345" s="1" t="str">
        <f aca="false">_xlfn.IFS(AND(F345&gt;=8,G345&gt;=8,H345&gt;=8),"CHAMPION",AND(F345&gt;=6,G345&gt;=7,H345&gt;=6),"LOYAL CUSTOMER",AND(F345&gt;=6,G345&gt;=5,H345&gt;=5),"POTENTIAL LOYALIST",AND(F345&gt;=8,G345&lt;=2,H345&gt;=5),"NEW CUSTOMERS",AND(F345&gt;=6,G345&lt;=2,H345&gt;=3),"PROMISING",AND(F345&gt;=3,G345&gt;=3,H345&gt;=3),"NEED ATTENTION",AND(F345&lt;=4,G345&gt;=6,H345&gt;=6),"AT RISK",AND(F345&lt;=2,G345&gt;=8,H345&gt;=8),"CAN'T LOSE THEM",AND(F345&lt;=2,G345&lt;=2,H345&lt;=2),"HIBERNATING",TRUE(),"Other")</f>
        <v>LOYAL CUSTOMER</v>
      </c>
      <c r="K345" s="1" t="n">
        <f aca="false">RANK(E345,$E$7:$E$4378)+COUNTIF($E$7:E345,E345)-1</f>
        <v>326</v>
      </c>
    </row>
    <row r="346" customFormat="false" ht="14.25" hidden="false" customHeight="true" outlineLevel="0" collapsed="false">
      <c r="A346" s="51" t="n">
        <v>12758</v>
      </c>
      <c r="B346" s="53" t="n">
        <v>40770.4319444444</v>
      </c>
      <c r="C346" s="57" t="n">
        <f aca="false">INT($C$2)-INT(Table3[[#This Row],[Last Purchase Date]])</f>
        <v>117</v>
      </c>
      <c r="D346" s="1" t="n">
        <v>2</v>
      </c>
      <c r="E346" s="1" t="n">
        <v>2791.59</v>
      </c>
      <c r="F346" s="1" t="n">
        <f aca="false">ROUND((1-_xlfn.PERCENTRANK.INC($C$7:$C$4378,C346))*9,0)</f>
        <v>3</v>
      </c>
      <c r="G346" s="1" t="n">
        <f aca="false">ROUND(_xlfn.PERCENTRANK.INC($D$7:$D$4378,D346)*9,0)</f>
        <v>3</v>
      </c>
      <c r="H346" s="1" t="n">
        <f aca="false">ROUND(_xlfn.PERCENTRANK.INC($E$7:$E$4378,E346)*9,0)</f>
        <v>8</v>
      </c>
      <c r="I346" s="1" t="str">
        <f aca="false">CONCATENATE(F346,G346,H346)</f>
        <v>338</v>
      </c>
      <c r="J346" s="1" t="str">
        <f aca="false">_xlfn.IFS(AND(F346&gt;=8,G346&gt;=8,H346&gt;=8),"CHAMPION",AND(F346&gt;=6,G346&gt;=7,H346&gt;=6),"LOYAL CUSTOMER",AND(F346&gt;=6,G346&gt;=5,H346&gt;=5),"POTENTIAL LOYALIST",AND(F346&gt;=8,G346&lt;=2,H346&gt;=5),"NEW CUSTOMERS",AND(F346&gt;=6,G346&lt;=2,H346&gt;=3),"PROMISING",AND(F346&gt;=3,G346&gt;=3,H346&gt;=3),"NEED ATTENTION",AND(F346&lt;=4,G346&gt;=6,H346&gt;=6),"AT RISK",AND(F346&lt;=2,G346&gt;=8,H346&gt;=8),"CAN'T LOSE THEM",AND(F346&lt;=2,G346&lt;=2,H346&lt;=2),"HIBERNATING",TRUE(),"Other")</f>
        <v>NEED ATTENTION</v>
      </c>
      <c r="K346" s="1" t="n">
        <f aca="false">RANK(E346,$E$7:$E$4378)+COUNTIF($E$7:E346,E346)-1</f>
        <v>585</v>
      </c>
    </row>
    <row r="347" customFormat="false" ht="14.25" hidden="false" customHeight="true" outlineLevel="0" collapsed="false">
      <c r="A347" s="51" t="n">
        <v>12759</v>
      </c>
      <c r="B347" s="53" t="n">
        <v>40834.6173611111</v>
      </c>
      <c r="C347" s="57" t="n">
        <f aca="false">INT($C$2)-INT(Table3[[#This Row],[Last Purchase Date]])</f>
        <v>53</v>
      </c>
      <c r="D347" s="1" t="n">
        <v>3</v>
      </c>
      <c r="E347" s="1" t="n">
        <v>1531.44</v>
      </c>
      <c r="F347" s="1" t="n">
        <f aca="false">ROUND((1-_xlfn.PERCENTRANK.INC($C$7:$C$4378,C347))*9,0)</f>
        <v>4</v>
      </c>
      <c r="G347" s="1" t="n">
        <f aca="false">ROUND(_xlfn.PERCENTRANK.INC($D$7:$D$4378,D347)*9,0)</f>
        <v>4</v>
      </c>
      <c r="H347" s="1" t="n">
        <f aca="false">ROUND(_xlfn.PERCENTRANK.INC($E$7:$E$4378,E347)*9,0)</f>
        <v>7</v>
      </c>
      <c r="I347" s="1" t="str">
        <f aca="false">CONCATENATE(F347,G347,H347)</f>
        <v>447</v>
      </c>
      <c r="J347" s="1" t="str">
        <f aca="false">_xlfn.IFS(AND(F347&gt;=8,G347&gt;=8,H347&gt;=8),"CHAMPION",AND(F347&gt;=6,G347&gt;=7,H347&gt;=6),"LOYAL CUSTOMER",AND(F347&gt;=6,G347&gt;=5,H347&gt;=5),"POTENTIAL LOYALIST",AND(F347&gt;=8,G347&lt;=2,H347&gt;=5),"NEW CUSTOMERS",AND(F347&gt;=6,G347&lt;=2,H347&gt;=3),"PROMISING",AND(F347&gt;=3,G347&gt;=3,H347&gt;=3),"NEED ATTENTION",AND(F347&lt;=4,G347&gt;=6,H347&gt;=6),"AT RISK",AND(F347&lt;=2,G347&gt;=8,H347&gt;=8),"CAN'T LOSE THEM",AND(F347&lt;=2,G347&lt;=2,H347&lt;=2),"HIBERNATING",TRUE(),"Other")</f>
        <v>NEED ATTENTION</v>
      </c>
      <c r="K347" s="1" t="n">
        <f aca="false">RANK(E347,$E$7:$E$4378)+COUNTIF($E$7:E347,E347)-1</f>
        <v>1141</v>
      </c>
    </row>
    <row r="348" customFormat="false" ht="14.25" hidden="false" customHeight="true" outlineLevel="0" collapsed="false">
      <c r="A348" s="51" t="n">
        <v>12762</v>
      </c>
      <c r="B348" s="53" t="n">
        <v>40879.4326388889</v>
      </c>
      <c r="C348" s="57" t="n">
        <f aca="false">INT($C$2)-INT(Table3[[#This Row],[Last Purchase Date]])</f>
        <v>8</v>
      </c>
      <c r="D348" s="1" t="n">
        <v>2</v>
      </c>
      <c r="E348" s="1" t="n">
        <v>1898.52</v>
      </c>
      <c r="F348" s="1" t="n">
        <f aca="false">ROUND((1-_xlfn.PERCENTRANK.INC($C$7:$C$4378,C348))*9,0)</f>
        <v>8</v>
      </c>
      <c r="G348" s="1" t="n">
        <f aca="false">ROUND(_xlfn.PERCENTRANK.INC($D$7:$D$4378,D348)*9,0)</f>
        <v>3</v>
      </c>
      <c r="H348" s="1" t="n">
        <f aca="false">ROUND(_xlfn.PERCENTRANK.INC($E$7:$E$4378,E348)*9,0)</f>
        <v>7</v>
      </c>
      <c r="I348" s="1" t="str">
        <f aca="false">CONCATENATE(F348,G348,H348)</f>
        <v>837</v>
      </c>
      <c r="J348" s="1" t="str">
        <f aca="false">_xlfn.IFS(AND(F348&gt;=8,G348&gt;=8,H348&gt;=8),"CHAMPION",AND(F348&gt;=6,G348&gt;=7,H348&gt;=6),"LOYAL CUSTOMER",AND(F348&gt;=6,G348&gt;=5,H348&gt;=5),"POTENTIAL LOYALIST",AND(F348&gt;=8,G348&lt;=2,H348&gt;=5),"NEW CUSTOMERS",AND(F348&gt;=6,G348&lt;=2,H348&gt;=3),"PROMISING",AND(F348&gt;=3,G348&gt;=3,H348&gt;=3),"NEED ATTENTION",AND(F348&lt;=4,G348&gt;=6,H348&gt;=6),"AT RISK",AND(F348&lt;=2,G348&gt;=8,H348&gt;=8),"CAN'T LOSE THEM",AND(F348&lt;=2,G348&lt;=2,H348&lt;=2),"HIBERNATING",TRUE(),"Other")</f>
        <v>NEED ATTENTION</v>
      </c>
      <c r="K348" s="1" t="n">
        <f aca="false">RANK(E348,$E$7:$E$4378)+COUNTIF($E$7:E348,E348)-1</f>
        <v>921</v>
      </c>
    </row>
    <row r="349" customFormat="false" ht="14.25" hidden="false" customHeight="true" outlineLevel="0" collapsed="false">
      <c r="A349" s="51" t="n">
        <v>12763</v>
      </c>
      <c r="B349" s="53" t="n">
        <v>40748.5916666667</v>
      </c>
      <c r="C349" s="57" t="n">
        <f aca="false">INT($C$2)-INT(Table3[[#This Row],[Last Purchase Date]])</f>
        <v>139</v>
      </c>
      <c r="D349" s="1" t="n">
        <v>2</v>
      </c>
      <c r="E349" s="1" t="n">
        <v>494.08</v>
      </c>
      <c r="F349" s="1" t="n">
        <f aca="false">ROUND((1-_xlfn.PERCENTRANK.INC($C$7:$C$4378,C349))*9,0)</f>
        <v>2</v>
      </c>
      <c r="G349" s="1" t="n">
        <f aca="false">ROUND(_xlfn.PERCENTRANK.INC($D$7:$D$4378,D349)*9,0)</f>
        <v>3</v>
      </c>
      <c r="H349" s="1" t="n">
        <f aca="false">ROUND(_xlfn.PERCENTRANK.INC($E$7:$E$4378,E349)*9,0)</f>
        <v>4</v>
      </c>
      <c r="I349" s="1" t="str">
        <f aca="false">CONCATENATE(F349,G349,H349)</f>
        <v>234</v>
      </c>
      <c r="J349" s="1" t="str">
        <f aca="false">_xlfn.IFS(AND(F349&gt;=8,G349&gt;=8,H349&gt;=8),"CHAMPION",AND(F349&gt;=6,G349&gt;=7,H349&gt;=6),"LOYAL CUSTOMER",AND(F349&gt;=6,G349&gt;=5,H349&gt;=5),"POTENTIAL LOYALIST",AND(F349&gt;=8,G349&lt;=2,H349&gt;=5),"NEW CUSTOMERS",AND(F349&gt;=6,G349&lt;=2,H349&gt;=3),"PROMISING",AND(F349&gt;=3,G349&gt;=3,H349&gt;=3),"NEED ATTENTION",AND(F349&lt;=4,G349&gt;=6,H349&gt;=6),"AT RISK",AND(F349&lt;=2,G349&gt;=8,H349&gt;=8),"CAN'T LOSE THEM",AND(F349&lt;=2,G349&lt;=2,H349&lt;=2),"HIBERNATING",TRUE(),"Other")</f>
        <v>Other</v>
      </c>
      <c r="K349" s="1" t="n">
        <f aca="false">RANK(E349,$E$7:$E$4378)+COUNTIF($E$7:E349,E349)-1</f>
        <v>2559</v>
      </c>
    </row>
    <row r="350" customFormat="false" ht="14.25" hidden="false" customHeight="true" outlineLevel="0" collapsed="false">
      <c r="A350" s="51" t="n">
        <v>12764</v>
      </c>
      <c r="B350" s="53" t="n">
        <v>40570.4298611111</v>
      </c>
      <c r="C350" s="57" t="n">
        <f aca="false">INT($C$2)-INT(Table3[[#This Row],[Last Purchase Date]])</f>
        <v>317</v>
      </c>
      <c r="D350" s="1" t="n">
        <v>1</v>
      </c>
      <c r="E350" s="1" t="n">
        <v>1693.88</v>
      </c>
      <c r="F350" s="1" t="n">
        <f aca="false">ROUND((1-_xlfn.PERCENTRANK.INC($C$7:$C$4378,C350))*9,0)</f>
        <v>0</v>
      </c>
      <c r="G350" s="1" t="n">
        <f aca="false">ROUND(_xlfn.PERCENTRANK.INC($D$7:$D$4378,D350)*9,0)</f>
        <v>0</v>
      </c>
      <c r="H350" s="1" t="n">
        <f aca="false">ROUND(_xlfn.PERCENTRANK.INC($E$7:$E$4378,E350)*9,0)</f>
        <v>7</v>
      </c>
      <c r="I350" s="1" t="str">
        <f aca="false">CONCATENATE(F350,G350,H350)</f>
        <v>007</v>
      </c>
      <c r="J350" s="1" t="str">
        <f aca="false">_xlfn.IFS(AND(F350&gt;=8,G350&gt;=8,H350&gt;=8),"CHAMPION",AND(F350&gt;=6,G350&gt;=7,H350&gt;=6),"LOYAL CUSTOMER",AND(F350&gt;=6,G350&gt;=5,H350&gt;=5),"POTENTIAL LOYALIST",AND(F350&gt;=8,G350&lt;=2,H350&gt;=5),"NEW CUSTOMERS",AND(F350&gt;=6,G350&lt;=2,H350&gt;=3),"PROMISING",AND(F350&gt;=3,G350&gt;=3,H350&gt;=3),"NEED ATTENTION",AND(F350&lt;=4,G350&gt;=6,H350&gt;=6),"AT RISK",AND(F350&lt;=2,G350&gt;=8,H350&gt;=8),"CAN'T LOSE THEM",AND(F350&lt;=2,G350&lt;=2,H350&lt;=2),"HIBERNATING",TRUE(),"Other")</f>
        <v>Other</v>
      </c>
      <c r="K350" s="1" t="n">
        <f aca="false">RANK(E350,$E$7:$E$4378)+COUNTIF($E$7:E350,E350)-1</f>
        <v>1041</v>
      </c>
    </row>
    <row r="351" customFormat="false" ht="14.25" hidden="false" customHeight="true" outlineLevel="0" collapsed="false">
      <c r="A351" s="51" t="n">
        <v>12766</v>
      </c>
      <c r="B351" s="53" t="n">
        <v>40883.3652777778</v>
      </c>
      <c r="C351" s="57" t="n">
        <f aca="false">INT($C$2)-INT(Table3[[#This Row],[Last Purchase Date]])</f>
        <v>4</v>
      </c>
      <c r="D351" s="1" t="n">
        <v>7</v>
      </c>
      <c r="E351" s="1" t="n">
        <v>6989.63</v>
      </c>
      <c r="F351" s="1" t="n">
        <f aca="false">ROUND((1-_xlfn.PERCENTRANK.INC($C$7:$C$4378,C351))*9,0)</f>
        <v>8</v>
      </c>
      <c r="G351" s="1" t="n">
        <f aca="false">ROUND(_xlfn.PERCENTRANK.INC($D$7:$D$4378,D351)*9,0)</f>
        <v>7</v>
      </c>
      <c r="H351" s="1" t="n">
        <f aca="false">ROUND(_xlfn.PERCENTRANK.INC($E$7:$E$4378,E351)*9,0)</f>
        <v>9</v>
      </c>
      <c r="I351" s="1" t="str">
        <f aca="false">CONCATENATE(F351,G351,H351)</f>
        <v>879</v>
      </c>
      <c r="J351" s="1" t="str">
        <f aca="false">_xlfn.IFS(AND(F351&gt;=8,G351&gt;=8,H351&gt;=8),"CHAMPION",AND(F351&gt;=6,G351&gt;=7,H351&gt;=6),"LOYAL CUSTOMER",AND(F351&gt;=6,G351&gt;=5,H351&gt;=5),"POTENTIAL LOYALIST",AND(F351&gt;=8,G351&lt;=2,H351&gt;=5),"NEW CUSTOMERS",AND(F351&gt;=6,G351&lt;=2,H351&gt;=3),"PROMISING",AND(F351&gt;=3,G351&gt;=3,H351&gt;=3),"NEED ATTENTION",AND(F351&lt;=4,G351&gt;=6,H351&gt;=6),"AT RISK",AND(F351&lt;=2,G351&gt;=8,H351&gt;=8),"CAN'T LOSE THEM",AND(F351&lt;=2,G351&lt;=2,H351&lt;=2),"HIBERNATING",TRUE(),"Other")</f>
        <v>LOYAL CUSTOMER</v>
      </c>
      <c r="K351" s="1" t="n">
        <f aca="false">RANK(E351,$E$7:$E$4378)+COUNTIF($E$7:E351,E351)-1</f>
        <v>155</v>
      </c>
    </row>
    <row r="352" customFormat="false" ht="14.25" hidden="false" customHeight="true" outlineLevel="0" collapsed="false">
      <c r="A352" s="51" t="n">
        <v>12769</v>
      </c>
      <c r="B352" s="53" t="n">
        <v>40648.4340277778</v>
      </c>
      <c r="C352" s="57" t="n">
        <f aca="false">INT($C$2)-INT(Table3[[#This Row],[Last Purchase Date]])</f>
        <v>239</v>
      </c>
      <c r="D352" s="1" t="n">
        <v>1</v>
      </c>
      <c r="E352" s="1" t="n">
        <v>1143.6</v>
      </c>
      <c r="F352" s="1" t="n">
        <f aca="false">ROUND((1-_xlfn.PERCENTRANK.INC($C$7:$C$4378,C352))*9,0)</f>
        <v>1</v>
      </c>
      <c r="G352" s="1" t="n">
        <f aca="false">ROUND(_xlfn.PERCENTRANK.INC($D$7:$D$4378,D352)*9,0)</f>
        <v>0</v>
      </c>
      <c r="H352" s="1" t="n">
        <f aca="false">ROUND(_xlfn.PERCENTRANK.INC($E$7:$E$4378,E352)*9,0)</f>
        <v>6</v>
      </c>
      <c r="I352" s="1" t="str">
        <f aca="false">CONCATENATE(F352,G352,H352)</f>
        <v>106</v>
      </c>
      <c r="J352" s="1" t="str">
        <f aca="false">_xlfn.IFS(AND(F352&gt;=8,G352&gt;=8,H352&gt;=8),"CHAMPION",AND(F352&gt;=6,G352&gt;=7,H352&gt;=6),"LOYAL CUSTOMER",AND(F352&gt;=6,G352&gt;=5,H352&gt;=5),"POTENTIAL LOYALIST",AND(F352&gt;=8,G352&lt;=2,H352&gt;=5),"NEW CUSTOMERS",AND(F352&gt;=6,G352&lt;=2,H352&gt;=3),"PROMISING",AND(F352&gt;=3,G352&gt;=3,H352&gt;=3),"NEED ATTENTION",AND(F352&lt;=4,G352&gt;=6,H352&gt;=6),"AT RISK",AND(F352&lt;=2,G352&gt;=8,H352&gt;=8),"CAN'T LOSE THEM",AND(F352&lt;=2,G352&lt;=2,H352&lt;=2),"HIBERNATING",TRUE(),"Other")</f>
        <v>Other</v>
      </c>
      <c r="K352" s="1" t="n">
        <f aca="false">RANK(E352,$E$7:$E$4378)+COUNTIF($E$7:E352,E352)-1</f>
        <v>1454</v>
      </c>
    </row>
    <row r="353" customFormat="false" ht="14.25" hidden="false" customHeight="true" outlineLevel="0" collapsed="false">
      <c r="A353" s="51" t="n">
        <v>12770</v>
      </c>
      <c r="B353" s="53" t="n">
        <v>40676.3979166667</v>
      </c>
      <c r="C353" s="57" t="n">
        <f aca="false">INT($C$2)-INT(Table3[[#This Row],[Last Purchase Date]])</f>
        <v>211</v>
      </c>
      <c r="D353" s="1" t="n">
        <v>1</v>
      </c>
      <c r="E353" s="1" t="n">
        <v>1351.45</v>
      </c>
      <c r="F353" s="1" t="n">
        <f aca="false">ROUND((1-_xlfn.PERCENTRANK.INC($C$7:$C$4378,C353))*9,0)</f>
        <v>1</v>
      </c>
      <c r="G353" s="1" t="n">
        <f aca="false">ROUND(_xlfn.PERCENTRANK.INC($D$7:$D$4378,D353)*9,0)</f>
        <v>0</v>
      </c>
      <c r="H353" s="1" t="n">
        <f aca="false">ROUND(_xlfn.PERCENTRANK.INC($E$7:$E$4378,E353)*9,0)</f>
        <v>6</v>
      </c>
      <c r="I353" s="1" t="str">
        <f aca="false">CONCATENATE(F353,G353,H353)</f>
        <v>106</v>
      </c>
      <c r="J353" s="1" t="str">
        <f aca="false">_xlfn.IFS(AND(F353&gt;=8,G353&gt;=8,H353&gt;=8),"CHAMPION",AND(F353&gt;=6,G353&gt;=7,H353&gt;=6),"LOYAL CUSTOMER",AND(F353&gt;=6,G353&gt;=5,H353&gt;=5),"POTENTIAL LOYALIST",AND(F353&gt;=8,G353&lt;=2,H353&gt;=5),"NEW CUSTOMERS",AND(F353&gt;=6,G353&lt;=2,H353&gt;=3),"PROMISING",AND(F353&gt;=3,G353&gt;=3,H353&gt;=3),"NEED ATTENTION",AND(F353&lt;=4,G353&gt;=6,H353&gt;=6),"AT RISK",AND(F353&lt;=2,G353&gt;=8,H353&gt;=8),"CAN'T LOSE THEM",AND(F353&lt;=2,G353&lt;=2,H353&lt;=2),"HIBERNATING",TRUE(),"Other")</f>
        <v>Other</v>
      </c>
      <c r="K353" s="1" t="n">
        <f aca="false">RANK(E353,$E$7:$E$4378)+COUNTIF($E$7:E353,E353)-1</f>
        <v>1275</v>
      </c>
    </row>
    <row r="354" customFormat="false" ht="14.25" hidden="false" customHeight="true" outlineLevel="0" collapsed="false">
      <c r="A354" s="51" t="n">
        <v>12772</v>
      </c>
      <c r="B354" s="53" t="n">
        <v>40827.3881944444</v>
      </c>
      <c r="C354" s="57" t="n">
        <f aca="false">INT($C$2)-INT(Table3[[#This Row],[Last Purchase Date]])</f>
        <v>60</v>
      </c>
      <c r="D354" s="1" t="n">
        <v>1</v>
      </c>
      <c r="E354" s="1" t="n">
        <v>892.47</v>
      </c>
      <c r="F354" s="1" t="n">
        <f aca="false">ROUND((1-_xlfn.PERCENTRANK.INC($C$7:$C$4378,C354))*9,0)</f>
        <v>4</v>
      </c>
      <c r="G354" s="1" t="n">
        <f aca="false">ROUND(_xlfn.PERCENTRANK.INC($D$7:$D$4378,D354)*9,0)</f>
        <v>0</v>
      </c>
      <c r="H354" s="1" t="n">
        <f aca="false">ROUND(_xlfn.PERCENTRANK.INC($E$7:$E$4378,E354)*9,0)</f>
        <v>5</v>
      </c>
      <c r="I354" s="1" t="str">
        <f aca="false">CONCATENATE(F354,G354,H354)</f>
        <v>405</v>
      </c>
      <c r="J354" s="1" t="str">
        <f aca="false">_xlfn.IFS(AND(F354&gt;=8,G354&gt;=8,H354&gt;=8),"CHAMPION",AND(F354&gt;=6,G354&gt;=7,H354&gt;=6),"LOYAL CUSTOMER",AND(F354&gt;=6,G354&gt;=5,H354&gt;=5),"POTENTIAL LOYALIST",AND(F354&gt;=8,G354&lt;=2,H354&gt;=5),"NEW CUSTOMERS",AND(F354&gt;=6,G354&lt;=2,H354&gt;=3),"PROMISING",AND(F354&gt;=3,G354&gt;=3,H354&gt;=3),"NEED ATTENTION",AND(F354&lt;=4,G354&gt;=6,H354&gt;=6),"AT RISK",AND(F354&lt;=2,G354&gt;=8,H354&gt;=8),"CAN'T LOSE THEM",AND(F354&lt;=2,G354&lt;=2,H354&lt;=2),"HIBERNATING",TRUE(),"Other")</f>
        <v>Other</v>
      </c>
      <c r="K354" s="1" t="n">
        <f aca="false">RANK(E354,$E$7:$E$4378)+COUNTIF($E$7:E354,E354)-1</f>
        <v>1771</v>
      </c>
    </row>
    <row r="355" customFormat="false" ht="14.25" hidden="false" customHeight="true" outlineLevel="0" collapsed="false">
      <c r="A355" s="51" t="n">
        <v>12775</v>
      </c>
      <c r="B355" s="53" t="n">
        <v>40869.6895833333</v>
      </c>
      <c r="C355" s="57" t="n">
        <f aca="false">INT($C$2)-INT(Table3[[#This Row],[Last Purchase Date]])</f>
        <v>18</v>
      </c>
      <c r="D355" s="1" t="n">
        <v>6</v>
      </c>
      <c r="E355" s="1" t="n">
        <v>1351.24</v>
      </c>
      <c r="F355" s="1" t="n">
        <f aca="false">ROUND((1-_xlfn.PERCENTRANK.INC($C$7:$C$4378,C355))*9,0)</f>
        <v>7</v>
      </c>
      <c r="G355" s="1" t="n">
        <f aca="false">ROUND(_xlfn.PERCENTRANK.INC($D$7:$D$4378,D355)*9,0)</f>
        <v>7</v>
      </c>
      <c r="H355" s="1" t="n">
        <f aca="false">ROUND(_xlfn.PERCENTRANK.INC($E$7:$E$4378,E355)*9,0)</f>
        <v>6</v>
      </c>
      <c r="I355" s="1" t="str">
        <f aca="false">CONCATENATE(F355,G355,H355)</f>
        <v>776</v>
      </c>
      <c r="J355" s="1" t="str">
        <f aca="false">_xlfn.IFS(AND(F355&gt;=8,G355&gt;=8,H355&gt;=8),"CHAMPION",AND(F355&gt;=6,G355&gt;=7,H355&gt;=6),"LOYAL CUSTOMER",AND(F355&gt;=6,G355&gt;=5,H355&gt;=5),"POTENTIAL LOYALIST",AND(F355&gt;=8,G355&lt;=2,H355&gt;=5),"NEW CUSTOMERS",AND(F355&gt;=6,G355&lt;=2,H355&gt;=3),"PROMISING",AND(F355&gt;=3,G355&gt;=3,H355&gt;=3),"NEED ATTENTION",AND(F355&lt;=4,G355&gt;=6,H355&gt;=6),"AT RISK",AND(F355&lt;=2,G355&gt;=8,H355&gt;=8),"CAN'T LOSE THEM",AND(F355&lt;=2,G355&lt;=2,H355&lt;=2),"HIBERNATING",TRUE(),"Other")</f>
        <v>LOYAL CUSTOMER</v>
      </c>
      <c r="K355" s="1" t="n">
        <f aca="false">RANK(E355,$E$7:$E$4378)+COUNTIF($E$7:E355,E355)-1</f>
        <v>1276</v>
      </c>
    </row>
    <row r="356" customFormat="false" ht="14.25" hidden="false" customHeight="true" outlineLevel="0" collapsed="false">
      <c r="A356" s="51" t="n">
        <v>12778</v>
      </c>
      <c r="B356" s="53" t="n">
        <v>40867.4854166667</v>
      </c>
      <c r="C356" s="57" t="n">
        <f aca="false">INT($C$2)-INT(Table3[[#This Row],[Last Purchase Date]])</f>
        <v>20</v>
      </c>
      <c r="D356" s="1" t="n">
        <v>7</v>
      </c>
      <c r="E356" s="1" t="n">
        <v>804.23</v>
      </c>
      <c r="F356" s="1" t="n">
        <f aca="false">ROUND((1-_xlfn.PERCENTRANK.INC($C$7:$C$4378,C356))*9,0)</f>
        <v>6</v>
      </c>
      <c r="G356" s="1" t="n">
        <f aca="false">ROUND(_xlfn.PERCENTRANK.INC($D$7:$D$4378,D356)*9,0)</f>
        <v>7</v>
      </c>
      <c r="H356" s="1" t="n">
        <f aca="false">ROUND(_xlfn.PERCENTRANK.INC($E$7:$E$4378,E356)*9,0)</f>
        <v>5</v>
      </c>
      <c r="I356" s="1" t="str">
        <f aca="false">CONCATENATE(F356,G356,H356)</f>
        <v>675</v>
      </c>
      <c r="J356" s="1" t="str">
        <f aca="false">_xlfn.IFS(AND(F356&gt;=8,G356&gt;=8,H356&gt;=8),"CHAMPION",AND(F356&gt;=6,G356&gt;=7,H356&gt;=6),"LOYAL CUSTOMER",AND(F356&gt;=6,G356&gt;=5,H356&gt;=5),"POTENTIAL LOYALIST",AND(F356&gt;=8,G356&lt;=2,H356&gt;=5),"NEW CUSTOMERS",AND(F356&gt;=6,G356&lt;=2,H356&gt;=3),"PROMISING",AND(F356&gt;=3,G356&gt;=3,H356&gt;=3),"NEED ATTENTION",AND(F356&lt;=4,G356&gt;=6,H356&gt;=6),"AT RISK",AND(F356&lt;=2,G356&gt;=8,H356&gt;=8),"CAN'T LOSE THEM",AND(F356&lt;=2,G356&lt;=2,H356&lt;=2),"HIBERNATING",TRUE(),"Other")</f>
        <v>POTENTIAL LOYALIST</v>
      </c>
      <c r="K356" s="1" t="n">
        <f aca="false">RANK(E356,$E$7:$E$4378)+COUNTIF($E$7:E356,E356)-1</f>
        <v>1893</v>
      </c>
    </row>
    <row r="357" customFormat="false" ht="14.25" hidden="false" customHeight="true" outlineLevel="0" collapsed="false">
      <c r="A357" s="51" t="n">
        <v>12779</v>
      </c>
      <c r="B357" s="53" t="n">
        <v>40865.7152777778</v>
      </c>
      <c r="C357" s="57" t="n">
        <f aca="false">INT($C$2)-INT(Table3[[#This Row],[Last Purchase Date]])</f>
        <v>22</v>
      </c>
      <c r="D357" s="1" t="n">
        <v>12</v>
      </c>
      <c r="E357" s="1" t="n">
        <v>3868.7</v>
      </c>
      <c r="F357" s="1" t="n">
        <f aca="false">ROUND((1-_xlfn.PERCENTRANK.INC($C$7:$C$4378,C357))*9,0)</f>
        <v>6</v>
      </c>
      <c r="G357" s="1" t="n">
        <f aca="false">ROUND(_xlfn.PERCENTRANK.INC($D$7:$D$4378,D357)*9,0)</f>
        <v>8</v>
      </c>
      <c r="H357" s="1" t="n">
        <f aca="false">ROUND(_xlfn.PERCENTRANK.INC($E$7:$E$4378,E357)*9,0)</f>
        <v>8</v>
      </c>
      <c r="I357" s="1" t="str">
        <f aca="false">CONCATENATE(F357,G357,H357)</f>
        <v>688</v>
      </c>
      <c r="J357" s="1" t="str">
        <f aca="false">_xlfn.IFS(AND(F357&gt;=8,G357&gt;=8,H357&gt;=8),"CHAMPION",AND(F357&gt;=6,G357&gt;=7,H357&gt;=6),"LOYAL CUSTOMER",AND(F357&gt;=6,G357&gt;=5,H357&gt;=5),"POTENTIAL LOYALIST",AND(F357&gt;=8,G357&lt;=2,H357&gt;=5),"NEW CUSTOMERS",AND(F357&gt;=6,G357&lt;=2,H357&gt;=3),"PROMISING",AND(F357&gt;=3,G357&gt;=3,H357&gt;=3),"NEED ATTENTION",AND(F357&lt;=4,G357&gt;=6,H357&gt;=6),"AT RISK",AND(F357&lt;=2,G357&gt;=8,H357&gt;=8),"CAN'T LOSE THEM",AND(F357&lt;=2,G357&lt;=2,H357&lt;=2),"HIBERNATING",TRUE(),"Other")</f>
        <v>LOYAL CUSTOMER</v>
      </c>
      <c r="K357" s="1" t="n">
        <f aca="false">RANK(E357,$E$7:$E$4378)+COUNTIF($E$7:E357,E357)-1</f>
        <v>373</v>
      </c>
    </row>
    <row r="358" customFormat="false" ht="14.25" hidden="false" customHeight="true" outlineLevel="0" collapsed="false">
      <c r="A358" s="51" t="n">
        <v>12781</v>
      </c>
      <c r="B358" s="53" t="n">
        <v>40865.65625</v>
      </c>
      <c r="C358" s="57" t="n">
        <f aca="false">INT($C$2)-INT(Table3[[#This Row],[Last Purchase Date]])</f>
        <v>22</v>
      </c>
      <c r="D358" s="1" t="n">
        <v>5</v>
      </c>
      <c r="E358" s="1" t="n">
        <v>707.72</v>
      </c>
      <c r="F358" s="1" t="n">
        <f aca="false">ROUND((1-_xlfn.PERCENTRANK.INC($C$7:$C$4378,C358))*9,0)</f>
        <v>6</v>
      </c>
      <c r="G358" s="1" t="n">
        <f aca="false">ROUND(_xlfn.PERCENTRANK.INC($D$7:$D$4378,D358)*9,0)</f>
        <v>6</v>
      </c>
      <c r="H358" s="1" t="n">
        <f aca="false">ROUND(_xlfn.PERCENTRANK.INC($E$7:$E$4378,E358)*9,0)</f>
        <v>5</v>
      </c>
      <c r="I358" s="1" t="str">
        <f aca="false">CONCATENATE(F358,G358,H358)</f>
        <v>665</v>
      </c>
      <c r="J358" s="1" t="str">
        <f aca="false">_xlfn.IFS(AND(F358&gt;=8,G358&gt;=8,H358&gt;=8),"CHAMPION",AND(F358&gt;=6,G358&gt;=7,H358&gt;=6),"LOYAL CUSTOMER",AND(F358&gt;=6,G358&gt;=5,H358&gt;=5),"POTENTIAL LOYALIST",AND(F358&gt;=8,G358&lt;=2,H358&gt;=5),"NEW CUSTOMERS",AND(F358&gt;=6,G358&lt;=2,H358&gt;=3),"PROMISING",AND(F358&gt;=3,G358&gt;=3,H358&gt;=3),"NEED ATTENTION",AND(F358&lt;=4,G358&gt;=6,H358&gt;=6),"AT RISK",AND(F358&lt;=2,G358&gt;=8,H358&gt;=8),"CAN'T LOSE THEM",AND(F358&lt;=2,G358&lt;=2,H358&lt;=2),"HIBERNATING",TRUE(),"Other")</f>
        <v>POTENTIAL LOYALIST</v>
      </c>
      <c r="K358" s="1" t="n">
        <f aca="false">RANK(E358,$E$7:$E$4378)+COUNTIF($E$7:E358,E358)-1</f>
        <v>2051</v>
      </c>
    </row>
    <row r="359" customFormat="false" ht="14.25" hidden="false" customHeight="true" outlineLevel="0" collapsed="false">
      <c r="A359" s="51" t="n">
        <v>12782</v>
      </c>
      <c r="B359" s="53" t="n">
        <v>40882.3861111111</v>
      </c>
      <c r="C359" s="57" t="n">
        <f aca="false">INT($C$2)-INT(Table3[[#This Row],[Last Purchase Date]])</f>
        <v>5</v>
      </c>
      <c r="D359" s="1" t="n">
        <v>6</v>
      </c>
      <c r="E359" s="1" t="n">
        <v>2273.32</v>
      </c>
      <c r="F359" s="1" t="n">
        <f aca="false">ROUND((1-_xlfn.PERCENTRANK.INC($C$7:$C$4378,C359))*9,0)</f>
        <v>8</v>
      </c>
      <c r="G359" s="1" t="n">
        <f aca="false">ROUND(_xlfn.PERCENTRANK.INC($D$7:$D$4378,D359)*9,0)</f>
        <v>7</v>
      </c>
      <c r="H359" s="1" t="n">
        <f aca="false">ROUND(_xlfn.PERCENTRANK.INC($E$7:$E$4378,E359)*9,0)</f>
        <v>7</v>
      </c>
      <c r="I359" s="1" t="str">
        <f aca="false">CONCATENATE(F359,G359,H359)</f>
        <v>877</v>
      </c>
      <c r="J359" s="1" t="str">
        <f aca="false">_xlfn.IFS(AND(F359&gt;=8,G359&gt;=8,H359&gt;=8),"CHAMPION",AND(F359&gt;=6,G359&gt;=7,H359&gt;=6),"LOYAL CUSTOMER",AND(F359&gt;=6,G359&gt;=5,H359&gt;=5),"POTENTIAL LOYALIST",AND(F359&gt;=8,G359&lt;=2,H359&gt;=5),"NEW CUSTOMERS",AND(F359&gt;=6,G359&lt;=2,H359&gt;=3),"PROMISING",AND(F359&gt;=3,G359&gt;=3,H359&gt;=3),"NEED ATTENTION",AND(F359&lt;=4,G359&gt;=6,H359&gt;=6),"AT RISK",AND(F359&lt;=2,G359&gt;=8,H359&gt;=8),"CAN'T LOSE THEM",AND(F359&lt;=2,G359&lt;=2,H359&lt;=2),"HIBERNATING",TRUE(),"Other")</f>
        <v>LOYAL CUSTOMER</v>
      </c>
      <c r="K359" s="1" t="n">
        <f aca="false">RANK(E359,$E$7:$E$4378)+COUNTIF($E$7:E359,E359)-1</f>
        <v>752</v>
      </c>
    </row>
    <row r="360" customFormat="false" ht="14.25" hidden="false" customHeight="true" outlineLevel="0" collapsed="false">
      <c r="A360" s="51" t="n">
        <v>12783</v>
      </c>
      <c r="B360" s="53" t="n">
        <v>40884.6638888889</v>
      </c>
      <c r="C360" s="57" t="n">
        <f aca="false">INT($C$2)-INT(Table3[[#This Row],[Last Purchase Date]])</f>
        <v>3</v>
      </c>
      <c r="D360" s="1" t="n">
        <v>8</v>
      </c>
      <c r="E360" s="1" t="n">
        <v>1603.87</v>
      </c>
      <c r="F360" s="1" t="n">
        <f aca="false">ROUND((1-_xlfn.PERCENTRANK.INC($C$7:$C$4378,C360))*9,0)</f>
        <v>9</v>
      </c>
      <c r="G360" s="1" t="n">
        <f aca="false">ROUND(_xlfn.PERCENTRANK.INC($D$7:$D$4378,D360)*9,0)</f>
        <v>7</v>
      </c>
      <c r="H360" s="1" t="n">
        <f aca="false">ROUND(_xlfn.PERCENTRANK.INC($E$7:$E$4378,E360)*9,0)</f>
        <v>7</v>
      </c>
      <c r="I360" s="1" t="str">
        <f aca="false">CONCATENATE(F360,G360,H360)</f>
        <v>977</v>
      </c>
      <c r="J360" s="1" t="str">
        <f aca="false">_xlfn.IFS(AND(F360&gt;=8,G360&gt;=8,H360&gt;=8),"CHAMPION",AND(F360&gt;=6,G360&gt;=7,H360&gt;=6),"LOYAL CUSTOMER",AND(F360&gt;=6,G360&gt;=5,H360&gt;=5),"POTENTIAL LOYALIST",AND(F360&gt;=8,G360&lt;=2,H360&gt;=5),"NEW CUSTOMERS",AND(F360&gt;=6,G360&lt;=2,H360&gt;=3),"PROMISING",AND(F360&gt;=3,G360&gt;=3,H360&gt;=3),"NEED ATTENTION",AND(F360&lt;=4,G360&gt;=6,H360&gt;=6),"AT RISK",AND(F360&lt;=2,G360&gt;=8,H360&gt;=8),"CAN'T LOSE THEM",AND(F360&lt;=2,G360&lt;=2,H360&lt;=2),"HIBERNATING",TRUE(),"Other")</f>
        <v>LOYAL CUSTOMER</v>
      </c>
      <c r="K360" s="1" t="n">
        <f aca="false">RANK(E360,$E$7:$E$4378)+COUNTIF($E$7:E360,E360)-1</f>
        <v>1100</v>
      </c>
    </row>
    <row r="361" customFormat="false" ht="14.25" hidden="false" customHeight="true" outlineLevel="0" collapsed="false">
      <c r="A361" s="51" t="n">
        <v>12784</v>
      </c>
      <c r="B361" s="53" t="n">
        <v>40877.6513888889</v>
      </c>
      <c r="C361" s="57" t="n">
        <f aca="false">INT($C$2)-INT(Table3[[#This Row],[Last Purchase Date]])</f>
        <v>10</v>
      </c>
      <c r="D361" s="1" t="n">
        <v>2</v>
      </c>
      <c r="E361" s="1" t="n">
        <v>574.42</v>
      </c>
      <c r="F361" s="1" t="n">
        <f aca="false">ROUND((1-_xlfn.PERCENTRANK.INC($C$7:$C$4378,C361))*9,0)</f>
        <v>8</v>
      </c>
      <c r="G361" s="1" t="n">
        <f aca="false">ROUND(_xlfn.PERCENTRANK.INC($D$7:$D$4378,D361)*9,0)</f>
        <v>3</v>
      </c>
      <c r="H361" s="1" t="n">
        <f aca="false">ROUND(_xlfn.PERCENTRANK.INC($E$7:$E$4378,E361)*9,0)</f>
        <v>4</v>
      </c>
      <c r="I361" s="1" t="str">
        <f aca="false">CONCATENATE(F361,G361,H361)</f>
        <v>834</v>
      </c>
      <c r="J361" s="1" t="str">
        <f aca="false">_xlfn.IFS(AND(F361&gt;=8,G361&gt;=8,H361&gt;=8),"CHAMPION",AND(F361&gt;=6,G361&gt;=7,H361&gt;=6),"LOYAL CUSTOMER",AND(F361&gt;=6,G361&gt;=5,H361&gt;=5),"POTENTIAL LOYALIST",AND(F361&gt;=8,G361&lt;=2,H361&gt;=5),"NEW CUSTOMERS",AND(F361&gt;=6,G361&lt;=2,H361&gt;=3),"PROMISING",AND(F361&gt;=3,G361&gt;=3,H361&gt;=3),"NEED ATTENTION",AND(F361&lt;=4,G361&gt;=6,H361&gt;=6),"AT RISK",AND(F361&lt;=2,G361&gt;=8,H361&gt;=8),"CAN'T LOSE THEM",AND(F361&lt;=2,G361&lt;=2,H361&lt;=2),"HIBERNATING",TRUE(),"Other")</f>
        <v>NEED ATTENTION</v>
      </c>
      <c r="K361" s="1" t="n">
        <f aca="false">RANK(E361,$E$7:$E$4378)+COUNTIF($E$7:E361,E361)-1</f>
        <v>2383</v>
      </c>
    </row>
    <row r="362" customFormat="false" ht="14.25" hidden="false" customHeight="true" outlineLevel="0" collapsed="false">
      <c r="A362" s="51" t="n">
        <v>12785</v>
      </c>
      <c r="B362" s="53" t="n">
        <v>40884.5319444445</v>
      </c>
      <c r="C362" s="57" t="n">
        <f aca="false">INT($C$2)-INT(Table3[[#This Row],[Last Purchase Date]])</f>
        <v>3</v>
      </c>
      <c r="D362" s="1" t="n">
        <v>2</v>
      </c>
      <c r="E362" s="1" t="n">
        <v>305.71</v>
      </c>
      <c r="F362" s="1" t="n">
        <f aca="false">ROUND((1-_xlfn.PERCENTRANK.INC($C$7:$C$4378,C362))*9,0)</f>
        <v>9</v>
      </c>
      <c r="G362" s="1" t="n">
        <f aca="false">ROUND(_xlfn.PERCENTRANK.INC($D$7:$D$4378,D362)*9,0)</f>
        <v>3</v>
      </c>
      <c r="H362" s="1" t="n">
        <f aca="false">ROUND(_xlfn.PERCENTRANK.INC($E$7:$E$4378,E362)*9,0)</f>
        <v>2</v>
      </c>
      <c r="I362" s="1" t="str">
        <f aca="false">CONCATENATE(F362,G362,H362)</f>
        <v>932</v>
      </c>
      <c r="J362" s="1" t="str">
        <f aca="false">_xlfn.IFS(AND(F362&gt;=8,G362&gt;=8,H362&gt;=8),"CHAMPION",AND(F362&gt;=6,G362&gt;=7,H362&gt;=6),"LOYAL CUSTOMER",AND(F362&gt;=6,G362&gt;=5,H362&gt;=5),"POTENTIAL LOYALIST",AND(F362&gt;=8,G362&lt;=2,H362&gt;=5),"NEW CUSTOMERS",AND(F362&gt;=6,G362&lt;=2,H362&gt;=3),"PROMISING",AND(F362&gt;=3,G362&gt;=3,H362&gt;=3),"NEED ATTENTION",AND(F362&lt;=4,G362&gt;=6,H362&gt;=6),"AT RISK",AND(F362&lt;=2,G362&gt;=8,H362&gt;=8),"CAN'T LOSE THEM",AND(F362&lt;=2,G362&lt;=2,H362&lt;=2),"HIBERNATING",TRUE(),"Other")</f>
        <v>Other</v>
      </c>
      <c r="K362" s="1" t="n">
        <f aca="false">RANK(E362,$E$7:$E$4378)+COUNTIF($E$7:E362,E362)-1</f>
        <v>3222</v>
      </c>
    </row>
    <row r="363" customFormat="false" ht="14.25" hidden="false" customHeight="true" outlineLevel="0" collapsed="false">
      <c r="A363" s="51" t="n">
        <v>12787</v>
      </c>
      <c r="B363" s="53" t="n">
        <v>40877.3638888889</v>
      </c>
      <c r="C363" s="57" t="n">
        <f aca="false">INT($C$2)-INT(Table3[[#This Row],[Last Purchase Date]])</f>
        <v>10</v>
      </c>
      <c r="D363" s="1" t="n">
        <v>3</v>
      </c>
      <c r="E363" s="1" t="n">
        <v>463.66</v>
      </c>
      <c r="F363" s="1" t="n">
        <f aca="false">ROUND((1-_xlfn.PERCENTRANK.INC($C$7:$C$4378,C363))*9,0)</f>
        <v>8</v>
      </c>
      <c r="G363" s="1" t="n">
        <f aca="false">ROUND(_xlfn.PERCENTRANK.INC($D$7:$D$4378,D363)*9,0)</f>
        <v>4</v>
      </c>
      <c r="H363" s="1" t="n">
        <f aca="false">ROUND(_xlfn.PERCENTRANK.INC($E$7:$E$4378,E363)*9,0)</f>
        <v>4</v>
      </c>
      <c r="I363" s="1" t="str">
        <f aca="false">CONCATENATE(F363,G363,H363)</f>
        <v>844</v>
      </c>
      <c r="J363" s="1" t="str">
        <f aca="false">_xlfn.IFS(AND(F363&gt;=8,G363&gt;=8,H363&gt;=8),"CHAMPION",AND(F363&gt;=6,G363&gt;=7,H363&gt;=6),"LOYAL CUSTOMER",AND(F363&gt;=6,G363&gt;=5,H363&gt;=5),"POTENTIAL LOYALIST",AND(F363&gt;=8,G363&lt;=2,H363&gt;=5),"NEW CUSTOMERS",AND(F363&gt;=6,G363&lt;=2,H363&gt;=3),"PROMISING",AND(F363&gt;=3,G363&gt;=3,H363&gt;=3),"NEED ATTENTION",AND(F363&lt;=4,G363&gt;=6,H363&gt;=6),"AT RISK",AND(F363&lt;=2,G363&gt;=8,H363&gt;=8),"CAN'T LOSE THEM",AND(F363&lt;=2,G363&lt;=2,H363&lt;=2),"HIBERNATING",TRUE(),"Other")</f>
        <v>NEED ATTENTION</v>
      </c>
      <c r="K363" s="1" t="n">
        <f aca="false">RANK(E363,$E$7:$E$4378)+COUNTIF($E$7:E363,E363)-1</f>
        <v>2629</v>
      </c>
    </row>
    <row r="364" customFormat="false" ht="14.25" hidden="false" customHeight="true" outlineLevel="0" collapsed="false">
      <c r="A364" s="51" t="n">
        <v>12789</v>
      </c>
      <c r="B364" s="53" t="n">
        <v>40821.5652777778</v>
      </c>
      <c r="C364" s="57" t="n">
        <f aca="false">INT($C$2)-INT(Table3[[#This Row],[Last Purchase Date]])</f>
        <v>66</v>
      </c>
      <c r="D364" s="1" t="n">
        <v>1</v>
      </c>
      <c r="E364" s="1" t="n">
        <v>91.85</v>
      </c>
      <c r="F364" s="1" t="n">
        <f aca="false">ROUND((1-_xlfn.PERCENTRANK.INC($C$7:$C$4378,C364))*9,0)</f>
        <v>4</v>
      </c>
      <c r="G364" s="1" t="n">
        <f aca="false">ROUND(_xlfn.PERCENTRANK.INC($D$7:$D$4378,D364)*9,0)</f>
        <v>0</v>
      </c>
      <c r="H364" s="1" t="n">
        <f aca="false">ROUND(_xlfn.PERCENTRANK.INC($E$7:$E$4378,E364)*9,0)</f>
        <v>0</v>
      </c>
      <c r="I364" s="1" t="str">
        <f aca="false">CONCATENATE(F364,G364,H364)</f>
        <v>400</v>
      </c>
      <c r="J364" s="1" t="str">
        <f aca="false">_xlfn.IFS(AND(F364&gt;=8,G364&gt;=8,H364&gt;=8),"CHAMPION",AND(F364&gt;=6,G364&gt;=7,H364&gt;=6),"LOYAL CUSTOMER",AND(F364&gt;=6,G364&gt;=5,H364&gt;=5),"POTENTIAL LOYALIST",AND(F364&gt;=8,G364&lt;=2,H364&gt;=5),"NEW CUSTOMERS",AND(F364&gt;=6,G364&lt;=2,H364&gt;=3),"PROMISING",AND(F364&gt;=3,G364&gt;=3,H364&gt;=3),"NEED ATTENTION",AND(F364&lt;=4,G364&gt;=6,H364&gt;=6),"AT RISK",AND(F364&lt;=2,G364&gt;=8,H364&gt;=8),"CAN'T LOSE THEM",AND(F364&lt;=2,G364&lt;=2,H364&lt;=2),"HIBERNATING",TRUE(),"Other")</f>
        <v>Other</v>
      </c>
      <c r="K364" s="1" t="n">
        <f aca="false">RANK(E364,$E$7:$E$4378)+COUNTIF($E$7:E364,E364)-1</f>
        <v>4185</v>
      </c>
    </row>
    <row r="365" customFormat="false" ht="14.25" hidden="false" customHeight="true" outlineLevel="0" collapsed="false">
      <c r="A365" s="51" t="n">
        <v>12790</v>
      </c>
      <c r="B365" s="53" t="n">
        <v>40694.5930555556</v>
      </c>
      <c r="C365" s="57" t="n">
        <f aca="false">INT($C$2)-INT(Table3[[#This Row],[Last Purchase Date]])</f>
        <v>193</v>
      </c>
      <c r="D365" s="1" t="n">
        <v>1</v>
      </c>
      <c r="E365" s="1" t="n">
        <v>324.92</v>
      </c>
      <c r="F365" s="1" t="n">
        <f aca="false">ROUND((1-_xlfn.PERCENTRANK.INC($C$7:$C$4378,C365))*9,0)</f>
        <v>2</v>
      </c>
      <c r="G365" s="1" t="n">
        <f aca="false">ROUND(_xlfn.PERCENTRANK.INC($D$7:$D$4378,D365)*9,0)</f>
        <v>0</v>
      </c>
      <c r="H365" s="1" t="n">
        <f aca="false">ROUND(_xlfn.PERCENTRANK.INC($E$7:$E$4378,E365)*9,0)</f>
        <v>3</v>
      </c>
      <c r="I365" s="1" t="str">
        <f aca="false">CONCATENATE(F365,G365,H365)</f>
        <v>203</v>
      </c>
      <c r="J365" s="1" t="str">
        <f aca="false">_xlfn.IFS(AND(F365&gt;=8,G365&gt;=8,H365&gt;=8),"CHAMPION",AND(F365&gt;=6,G365&gt;=7,H365&gt;=6),"LOYAL CUSTOMER",AND(F365&gt;=6,G365&gt;=5,H365&gt;=5),"POTENTIAL LOYALIST",AND(F365&gt;=8,G365&lt;=2,H365&gt;=5),"NEW CUSTOMERS",AND(F365&gt;=6,G365&lt;=2,H365&gt;=3),"PROMISING",AND(F365&gt;=3,G365&gt;=3,H365&gt;=3),"NEED ATTENTION",AND(F365&lt;=4,G365&gt;=6,H365&gt;=6),"AT RISK",AND(F365&lt;=2,G365&gt;=8,H365&gt;=8),"CAN'T LOSE THEM",AND(F365&lt;=2,G365&lt;=2,H365&lt;=2),"HIBERNATING",TRUE(),"Other")</f>
        <v>Other</v>
      </c>
      <c r="K365" s="1" t="n">
        <f aca="false">RANK(E365,$E$7:$E$4378)+COUNTIF($E$7:E365,E365)-1</f>
        <v>3118</v>
      </c>
    </row>
    <row r="366" customFormat="false" ht="14.25" hidden="false" customHeight="true" outlineLevel="0" collapsed="false">
      <c r="A366" s="51" t="n">
        <v>12791</v>
      </c>
      <c r="B366" s="53" t="n">
        <v>40513.4770833333</v>
      </c>
      <c r="C366" s="57" t="n">
        <f aca="false">INT($C$2)-INT(Table3[[#This Row],[Last Purchase Date]])</f>
        <v>374</v>
      </c>
      <c r="D366" s="1" t="n">
        <v>1</v>
      </c>
      <c r="E366" s="1" t="n">
        <v>192.6</v>
      </c>
      <c r="F366" s="1" t="n">
        <f aca="false">ROUND((1-_xlfn.PERCENTRANK.INC($C$7:$C$4378,C366))*9,0)</f>
        <v>0</v>
      </c>
      <c r="G366" s="1" t="n">
        <f aca="false">ROUND(_xlfn.PERCENTRANK.INC($D$7:$D$4378,D366)*9,0)</f>
        <v>0</v>
      </c>
      <c r="H366" s="1" t="n">
        <f aca="false">ROUND(_xlfn.PERCENTRANK.INC($E$7:$E$4378,E366)*9,0)</f>
        <v>1</v>
      </c>
      <c r="I366" s="1" t="str">
        <f aca="false">CONCATENATE(F366,G366,H366)</f>
        <v>001</v>
      </c>
      <c r="J366" s="1" t="str">
        <f aca="false">_xlfn.IFS(AND(F366&gt;=8,G366&gt;=8,H366&gt;=8),"CHAMPION",AND(F366&gt;=6,G366&gt;=7,H366&gt;=6),"LOYAL CUSTOMER",AND(F366&gt;=6,G366&gt;=5,H366&gt;=5),"POTENTIAL LOYALIST",AND(F366&gt;=8,G366&lt;=2,H366&gt;=5),"NEW CUSTOMERS",AND(F366&gt;=6,G366&lt;=2,H366&gt;=3),"PROMISING",AND(F366&gt;=3,G366&gt;=3,H366&gt;=3),"NEED ATTENTION",AND(F366&lt;=4,G366&gt;=6,H366&gt;=6),"AT RISK",AND(F366&lt;=2,G366&gt;=8,H366&gt;=8),"CAN'T LOSE THEM",AND(F366&lt;=2,G366&lt;=2,H366&lt;=2),"HIBERNATING",TRUE(),"Other")</f>
        <v>HIBERNATING</v>
      </c>
      <c r="K366" s="1" t="n">
        <f aca="false">RANK(E366,$E$7:$E$4378)+COUNTIF($E$7:E366,E366)-1</f>
        <v>3698</v>
      </c>
    </row>
    <row r="367" customFormat="false" ht="14.25" hidden="false" customHeight="true" outlineLevel="0" collapsed="false">
      <c r="A367" s="51" t="n">
        <v>12792</v>
      </c>
      <c r="B367" s="53" t="n">
        <v>40630.4833333333</v>
      </c>
      <c r="C367" s="57" t="n">
        <f aca="false">INT($C$2)-INT(Table3[[#This Row],[Last Purchase Date]])</f>
        <v>257</v>
      </c>
      <c r="D367" s="1" t="n">
        <v>1</v>
      </c>
      <c r="E367" s="1" t="n">
        <v>400.54</v>
      </c>
      <c r="F367" s="1" t="n">
        <f aca="false">ROUND((1-_xlfn.PERCENTRANK.INC($C$7:$C$4378,C367))*9,0)</f>
        <v>1</v>
      </c>
      <c r="G367" s="1" t="n">
        <f aca="false">ROUND(_xlfn.PERCENTRANK.INC($D$7:$D$4378,D367)*9,0)</f>
        <v>0</v>
      </c>
      <c r="H367" s="1" t="n">
        <f aca="false">ROUND(_xlfn.PERCENTRANK.INC($E$7:$E$4378,E367)*9,0)</f>
        <v>3</v>
      </c>
      <c r="I367" s="1" t="str">
        <f aca="false">CONCATENATE(F367,G367,H367)</f>
        <v>103</v>
      </c>
      <c r="J367" s="1" t="str">
        <f aca="false">_xlfn.IFS(AND(F367&gt;=8,G367&gt;=8,H367&gt;=8),"CHAMPION",AND(F367&gt;=6,G367&gt;=7,H367&gt;=6),"LOYAL CUSTOMER",AND(F367&gt;=6,G367&gt;=5,H367&gt;=5),"POTENTIAL LOYALIST",AND(F367&gt;=8,G367&lt;=2,H367&gt;=5),"NEW CUSTOMERS",AND(F367&gt;=6,G367&lt;=2,H367&gt;=3),"PROMISING",AND(F367&gt;=3,G367&gt;=3,H367&gt;=3),"NEED ATTENTION",AND(F367&lt;=4,G367&gt;=6,H367&gt;=6),"AT RISK",AND(F367&lt;=2,G367&gt;=8,H367&gt;=8),"CAN'T LOSE THEM",AND(F367&lt;=2,G367&lt;=2,H367&lt;=2),"HIBERNATING",TRUE(),"Other")</f>
        <v>Other</v>
      </c>
      <c r="K367" s="1" t="n">
        <f aca="false">RANK(E367,$E$7:$E$4378)+COUNTIF($E$7:E367,E367)-1</f>
        <v>2817</v>
      </c>
    </row>
    <row r="368" customFormat="false" ht="14.25" hidden="false" customHeight="true" outlineLevel="0" collapsed="false">
      <c r="A368" s="51" t="n">
        <v>12793</v>
      </c>
      <c r="B368" s="53" t="n">
        <v>40552.5083333333</v>
      </c>
      <c r="C368" s="57" t="n">
        <f aca="false">INT($C$2)-INT(Table3[[#This Row],[Last Purchase Date]])</f>
        <v>335</v>
      </c>
      <c r="D368" s="1" t="n">
        <v>2</v>
      </c>
      <c r="E368" s="1" t="n">
        <v>545.48</v>
      </c>
      <c r="F368" s="1" t="n">
        <f aca="false">ROUND((1-_xlfn.PERCENTRANK.INC($C$7:$C$4378,C368))*9,0)</f>
        <v>0</v>
      </c>
      <c r="G368" s="1" t="n">
        <f aca="false">ROUND(_xlfn.PERCENTRANK.INC($D$7:$D$4378,D368)*9,0)</f>
        <v>3</v>
      </c>
      <c r="H368" s="1" t="n">
        <f aca="false">ROUND(_xlfn.PERCENTRANK.INC($E$7:$E$4378,E368)*9,0)</f>
        <v>4</v>
      </c>
      <c r="I368" s="1" t="str">
        <f aca="false">CONCATENATE(F368,G368,H368)</f>
        <v>034</v>
      </c>
      <c r="J368" s="1" t="str">
        <f aca="false">_xlfn.IFS(AND(F368&gt;=8,G368&gt;=8,H368&gt;=8),"CHAMPION",AND(F368&gt;=6,G368&gt;=7,H368&gt;=6),"LOYAL CUSTOMER",AND(F368&gt;=6,G368&gt;=5,H368&gt;=5),"POTENTIAL LOYALIST",AND(F368&gt;=8,G368&lt;=2,H368&gt;=5),"NEW CUSTOMERS",AND(F368&gt;=6,G368&lt;=2,H368&gt;=3),"PROMISING",AND(F368&gt;=3,G368&gt;=3,H368&gt;=3),"NEED ATTENTION",AND(F368&lt;=4,G368&gt;=6,H368&gt;=6),"AT RISK",AND(F368&lt;=2,G368&gt;=8,H368&gt;=8),"CAN'T LOSE THEM",AND(F368&lt;=2,G368&lt;=2,H368&lt;=2),"HIBERNATING",TRUE(),"Other")</f>
        <v>Other</v>
      </c>
      <c r="K368" s="1" t="n">
        <f aca="false">RANK(E368,$E$7:$E$4378)+COUNTIF($E$7:E368,E368)-1</f>
        <v>2440</v>
      </c>
    </row>
    <row r="369" customFormat="false" ht="14.25" hidden="false" customHeight="true" outlineLevel="0" collapsed="false">
      <c r="A369" s="51" t="n">
        <v>12794</v>
      </c>
      <c r="B369" s="53" t="n">
        <v>40833.6208333333</v>
      </c>
      <c r="C369" s="57" t="n">
        <f aca="false">INT($C$2)-INT(Table3[[#This Row],[Last Purchase Date]])</f>
        <v>54</v>
      </c>
      <c r="D369" s="1" t="n">
        <v>2</v>
      </c>
      <c r="E369" s="1" t="n">
        <v>860.41</v>
      </c>
      <c r="F369" s="1" t="n">
        <f aca="false">ROUND((1-_xlfn.PERCENTRANK.INC($C$7:$C$4378,C369))*9,0)</f>
        <v>4</v>
      </c>
      <c r="G369" s="1" t="n">
        <f aca="false">ROUND(_xlfn.PERCENTRANK.INC($D$7:$D$4378,D369)*9,0)</f>
        <v>3</v>
      </c>
      <c r="H369" s="1" t="n">
        <f aca="false">ROUND(_xlfn.PERCENTRANK.INC($E$7:$E$4378,E369)*9,0)</f>
        <v>5</v>
      </c>
      <c r="I369" s="1" t="str">
        <f aca="false">CONCATENATE(F369,G369,H369)</f>
        <v>435</v>
      </c>
      <c r="J369" s="1" t="str">
        <f aca="false">_xlfn.IFS(AND(F369&gt;=8,G369&gt;=8,H369&gt;=8),"CHAMPION",AND(F369&gt;=6,G369&gt;=7,H369&gt;=6),"LOYAL CUSTOMER",AND(F369&gt;=6,G369&gt;=5,H369&gt;=5),"POTENTIAL LOYALIST",AND(F369&gt;=8,G369&lt;=2,H369&gt;=5),"NEW CUSTOMERS",AND(F369&gt;=6,G369&lt;=2,H369&gt;=3),"PROMISING",AND(F369&gt;=3,G369&gt;=3,H369&gt;=3),"NEED ATTENTION",AND(F369&lt;=4,G369&gt;=6,H369&gt;=6),"AT RISK",AND(F369&lt;=2,G369&gt;=8,H369&gt;=8),"CAN'T LOSE THEM",AND(F369&lt;=2,G369&lt;=2,H369&lt;=2),"HIBERNATING",TRUE(),"Other")</f>
        <v>NEED ATTENTION</v>
      </c>
      <c r="K369" s="1" t="n">
        <f aca="false">RANK(E369,$E$7:$E$4378)+COUNTIF($E$7:E369,E369)-1</f>
        <v>1816</v>
      </c>
    </row>
    <row r="370" customFormat="false" ht="14.25" hidden="false" customHeight="true" outlineLevel="0" collapsed="false">
      <c r="A370" s="51" t="n">
        <v>12795</v>
      </c>
      <c r="B370" s="53" t="n">
        <v>40868.4354166667</v>
      </c>
      <c r="C370" s="57" t="n">
        <f aca="false">INT($C$2)-INT(Table3[[#This Row],[Last Purchase Date]])</f>
        <v>19</v>
      </c>
      <c r="D370" s="1" t="n">
        <v>1</v>
      </c>
      <c r="E370" s="1" t="n">
        <v>430.48</v>
      </c>
      <c r="F370" s="1" t="n">
        <f aca="false">ROUND((1-_xlfn.PERCENTRANK.INC($C$7:$C$4378,C370))*9,0)</f>
        <v>7</v>
      </c>
      <c r="G370" s="1" t="n">
        <f aca="false">ROUND(_xlfn.PERCENTRANK.INC($D$7:$D$4378,D370)*9,0)</f>
        <v>0</v>
      </c>
      <c r="H370" s="1" t="n">
        <f aca="false">ROUND(_xlfn.PERCENTRANK.INC($E$7:$E$4378,E370)*9,0)</f>
        <v>3</v>
      </c>
      <c r="I370" s="1" t="str">
        <f aca="false">CONCATENATE(F370,G370,H370)</f>
        <v>703</v>
      </c>
      <c r="J370" s="1" t="str">
        <f aca="false">_xlfn.IFS(AND(F370&gt;=8,G370&gt;=8,H370&gt;=8),"CHAMPION",AND(F370&gt;=6,G370&gt;=7,H370&gt;=6),"LOYAL CUSTOMER",AND(F370&gt;=6,G370&gt;=5,H370&gt;=5),"POTENTIAL LOYALIST",AND(F370&gt;=8,G370&lt;=2,H370&gt;=5),"NEW CUSTOMERS",AND(F370&gt;=6,G370&lt;=2,H370&gt;=3),"PROMISING",AND(F370&gt;=3,G370&gt;=3,H370&gt;=3),"NEED ATTENTION",AND(F370&lt;=4,G370&gt;=6,H370&gt;=6),"AT RISK",AND(F370&lt;=2,G370&gt;=8,H370&gt;=8),"CAN'T LOSE THEM",AND(F370&lt;=2,G370&lt;=2,H370&lt;=2),"HIBERNATING",TRUE(),"Other")</f>
        <v>PROMISING</v>
      </c>
      <c r="K370" s="1" t="n">
        <f aca="false">RANK(E370,$E$7:$E$4378)+COUNTIF($E$7:E370,E370)-1</f>
        <v>2718</v>
      </c>
    </row>
    <row r="371" customFormat="false" ht="14.25" hidden="false" customHeight="true" outlineLevel="0" collapsed="false">
      <c r="A371" s="51" t="n">
        <v>12797</v>
      </c>
      <c r="B371" s="53" t="n">
        <v>40526.6833333333</v>
      </c>
      <c r="C371" s="57" t="n">
        <f aca="false">INT($C$2)-INT(Table3[[#This Row],[Last Purchase Date]])</f>
        <v>361</v>
      </c>
      <c r="D371" s="1" t="n">
        <v>3</v>
      </c>
      <c r="E371" s="1" t="n">
        <v>194.18</v>
      </c>
      <c r="F371" s="1" t="n">
        <f aca="false">ROUND((1-_xlfn.PERCENTRANK.INC($C$7:$C$4378,C371))*9,0)</f>
        <v>0</v>
      </c>
      <c r="G371" s="1" t="n">
        <f aca="false">ROUND(_xlfn.PERCENTRANK.INC($D$7:$D$4378,D371)*9,0)</f>
        <v>4</v>
      </c>
      <c r="H371" s="1" t="n">
        <f aca="false">ROUND(_xlfn.PERCENTRANK.INC($E$7:$E$4378,E371)*9,0)</f>
        <v>1</v>
      </c>
      <c r="I371" s="1" t="str">
        <f aca="false">CONCATENATE(F371,G371,H371)</f>
        <v>041</v>
      </c>
      <c r="J371" s="1" t="str">
        <f aca="false">_xlfn.IFS(AND(F371&gt;=8,G371&gt;=8,H371&gt;=8),"CHAMPION",AND(F371&gt;=6,G371&gt;=7,H371&gt;=6),"LOYAL CUSTOMER",AND(F371&gt;=6,G371&gt;=5,H371&gt;=5),"POTENTIAL LOYALIST",AND(F371&gt;=8,G371&lt;=2,H371&gt;=5),"NEW CUSTOMERS",AND(F371&gt;=6,G371&lt;=2,H371&gt;=3),"PROMISING",AND(F371&gt;=3,G371&gt;=3,H371&gt;=3),"NEED ATTENTION",AND(F371&lt;=4,G371&gt;=6,H371&gt;=6),"AT RISK",AND(F371&lt;=2,G371&gt;=8,H371&gt;=8),"CAN'T LOSE THEM",AND(F371&lt;=2,G371&lt;=2,H371&lt;=2),"HIBERNATING",TRUE(),"Other")</f>
        <v>Other</v>
      </c>
      <c r="K371" s="1" t="n">
        <f aca="false">RANK(E371,$E$7:$E$4378)+COUNTIF($E$7:E371,E371)-1</f>
        <v>3688</v>
      </c>
    </row>
    <row r="372" customFormat="false" ht="14.25" hidden="false" customHeight="true" outlineLevel="0" collapsed="false">
      <c r="A372" s="51" t="n">
        <v>12798</v>
      </c>
      <c r="B372" s="53" t="n">
        <v>40876.6611111111</v>
      </c>
      <c r="C372" s="57" t="n">
        <f aca="false">INT($C$2)-INT(Table3[[#This Row],[Last Purchase Date]])</f>
        <v>11</v>
      </c>
      <c r="D372" s="1" t="n">
        <v>3</v>
      </c>
      <c r="E372" s="1" t="n">
        <v>6977.04</v>
      </c>
      <c r="F372" s="1" t="n">
        <f aca="false">ROUND((1-_xlfn.PERCENTRANK.INC($C$7:$C$4378,C372))*9,0)</f>
        <v>7</v>
      </c>
      <c r="G372" s="1" t="n">
        <f aca="false">ROUND(_xlfn.PERCENTRANK.INC($D$7:$D$4378,D372)*9,0)</f>
        <v>4</v>
      </c>
      <c r="H372" s="1" t="n">
        <f aca="false">ROUND(_xlfn.PERCENTRANK.INC($E$7:$E$4378,E372)*9,0)</f>
        <v>9</v>
      </c>
      <c r="I372" s="1" t="str">
        <f aca="false">CONCATENATE(F372,G372,H372)</f>
        <v>749</v>
      </c>
      <c r="J372" s="1" t="str">
        <f aca="false">_xlfn.IFS(AND(F372&gt;=8,G372&gt;=8,H372&gt;=8),"CHAMPION",AND(F372&gt;=6,G372&gt;=7,H372&gt;=6),"LOYAL CUSTOMER",AND(F372&gt;=6,G372&gt;=5,H372&gt;=5),"POTENTIAL LOYALIST",AND(F372&gt;=8,G372&lt;=2,H372&gt;=5),"NEW CUSTOMERS",AND(F372&gt;=6,G372&lt;=2,H372&gt;=3),"PROMISING",AND(F372&gt;=3,G372&gt;=3,H372&gt;=3),"NEED ATTENTION",AND(F372&lt;=4,G372&gt;=6,H372&gt;=6),"AT RISK",AND(F372&lt;=2,G372&gt;=8,H372&gt;=8),"CAN'T LOSE THEM",AND(F372&lt;=2,G372&lt;=2,H372&lt;=2),"HIBERNATING",TRUE(),"Other")</f>
        <v>NEED ATTENTION</v>
      </c>
      <c r="K372" s="1" t="n">
        <f aca="false">RANK(E372,$E$7:$E$4378)+COUNTIF($E$7:E372,E372)-1</f>
        <v>156</v>
      </c>
    </row>
    <row r="373" customFormat="false" ht="14.25" hidden="false" customHeight="true" outlineLevel="0" collapsed="false">
      <c r="A373" s="51" t="n">
        <v>12802</v>
      </c>
      <c r="B373" s="53" t="n">
        <v>40703.4055555556</v>
      </c>
      <c r="C373" s="57" t="n">
        <f aca="false">INT($C$2)-INT(Table3[[#This Row],[Last Purchase Date]])</f>
        <v>184</v>
      </c>
      <c r="D373" s="1" t="n">
        <v>2</v>
      </c>
      <c r="E373" s="1" t="n">
        <v>412.58</v>
      </c>
      <c r="F373" s="1" t="n">
        <f aca="false">ROUND((1-_xlfn.PERCENTRANK.INC($C$7:$C$4378,C373))*9,0)</f>
        <v>2</v>
      </c>
      <c r="G373" s="1" t="n">
        <f aca="false">ROUND(_xlfn.PERCENTRANK.INC($D$7:$D$4378,D373)*9,0)</f>
        <v>3</v>
      </c>
      <c r="H373" s="1" t="n">
        <f aca="false">ROUND(_xlfn.PERCENTRANK.INC($E$7:$E$4378,E373)*9,0)</f>
        <v>3</v>
      </c>
      <c r="I373" s="1" t="str">
        <f aca="false">CONCATENATE(F373,G373,H373)</f>
        <v>233</v>
      </c>
      <c r="J373" s="1" t="str">
        <f aca="false">_xlfn.IFS(AND(F373&gt;=8,G373&gt;=8,H373&gt;=8),"CHAMPION",AND(F373&gt;=6,G373&gt;=7,H373&gt;=6),"LOYAL CUSTOMER",AND(F373&gt;=6,G373&gt;=5,H373&gt;=5),"POTENTIAL LOYALIST",AND(F373&gt;=8,G373&lt;=2,H373&gt;=5),"NEW CUSTOMERS",AND(F373&gt;=6,G373&lt;=2,H373&gt;=3),"PROMISING",AND(F373&gt;=3,G373&gt;=3,H373&gt;=3),"NEED ATTENTION",AND(F373&lt;=4,G373&gt;=6,H373&gt;=6),"AT RISK",AND(F373&lt;=2,G373&gt;=8,H373&gt;=8),"CAN'T LOSE THEM",AND(F373&lt;=2,G373&lt;=2,H373&lt;=2),"HIBERNATING",TRUE(),"Other")</f>
        <v>Other</v>
      </c>
      <c r="K373" s="1" t="n">
        <f aca="false">RANK(E373,$E$7:$E$4378)+COUNTIF($E$7:E373,E373)-1</f>
        <v>2780</v>
      </c>
    </row>
    <row r="374" customFormat="false" ht="14.25" hidden="false" customHeight="true" outlineLevel="0" collapsed="false">
      <c r="A374" s="51" t="n">
        <v>12808</v>
      </c>
      <c r="B374" s="53" t="n">
        <v>40850.4201388889</v>
      </c>
      <c r="C374" s="57" t="n">
        <f aca="false">INT($C$2)-INT(Table3[[#This Row],[Last Purchase Date]])</f>
        <v>37</v>
      </c>
      <c r="D374" s="1" t="n">
        <v>3</v>
      </c>
      <c r="E374" s="1" t="n">
        <v>483.65</v>
      </c>
      <c r="F374" s="1" t="n">
        <f aca="false">ROUND((1-_xlfn.PERCENTRANK.INC($C$7:$C$4378,C374))*9,0)</f>
        <v>5</v>
      </c>
      <c r="G374" s="1" t="n">
        <f aca="false">ROUND(_xlfn.PERCENTRANK.INC($D$7:$D$4378,D374)*9,0)</f>
        <v>4</v>
      </c>
      <c r="H374" s="1" t="n">
        <f aca="false">ROUND(_xlfn.PERCENTRANK.INC($E$7:$E$4378,E374)*9,0)</f>
        <v>4</v>
      </c>
      <c r="I374" s="1" t="str">
        <f aca="false">CONCATENATE(F374,G374,H374)</f>
        <v>544</v>
      </c>
      <c r="J374" s="1" t="str">
        <f aca="false">_xlfn.IFS(AND(F374&gt;=8,G374&gt;=8,H374&gt;=8),"CHAMPION",AND(F374&gt;=6,G374&gt;=7,H374&gt;=6),"LOYAL CUSTOMER",AND(F374&gt;=6,G374&gt;=5,H374&gt;=5),"POTENTIAL LOYALIST",AND(F374&gt;=8,G374&lt;=2,H374&gt;=5),"NEW CUSTOMERS",AND(F374&gt;=6,G374&lt;=2,H374&gt;=3),"PROMISING",AND(F374&gt;=3,G374&gt;=3,H374&gt;=3),"NEED ATTENTION",AND(F374&lt;=4,G374&gt;=6,H374&gt;=6),"AT RISK",AND(F374&lt;=2,G374&gt;=8,H374&gt;=8),"CAN'T LOSE THEM",AND(F374&lt;=2,G374&lt;=2,H374&lt;=2),"HIBERNATING",TRUE(),"Other")</f>
        <v>NEED ATTENTION</v>
      </c>
      <c r="K374" s="1" t="n">
        <f aca="false">RANK(E374,$E$7:$E$4378)+COUNTIF($E$7:E374,E374)-1</f>
        <v>2588</v>
      </c>
    </row>
    <row r="375" customFormat="false" ht="14.25" hidden="false" customHeight="true" outlineLevel="0" collapsed="false">
      <c r="A375" s="51" t="n">
        <v>12809</v>
      </c>
      <c r="B375" s="53" t="n">
        <v>40718.6354166667</v>
      </c>
      <c r="C375" s="57" t="n">
        <f aca="false">INT($C$2)-INT(Table3[[#This Row],[Last Purchase Date]])</f>
        <v>169</v>
      </c>
      <c r="D375" s="1" t="n">
        <v>2</v>
      </c>
      <c r="E375" s="1" t="n">
        <v>484.36</v>
      </c>
      <c r="F375" s="1" t="n">
        <f aca="false">ROUND((1-_xlfn.PERCENTRANK.INC($C$7:$C$4378,C375))*9,0)</f>
        <v>2</v>
      </c>
      <c r="G375" s="1" t="n">
        <f aca="false">ROUND(_xlfn.PERCENTRANK.INC($D$7:$D$4378,D375)*9,0)</f>
        <v>3</v>
      </c>
      <c r="H375" s="1" t="n">
        <f aca="false">ROUND(_xlfn.PERCENTRANK.INC($E$7:$E$4378,E375)*9,0)</f>
        <v>4</v>
      </c>
      <c r="I375" s="1" t="str">
        <f aca="false">CONCATENATE(F375,G375,H375)</f>
        <v>234</v>
      </c>
      <c r="J375" s="1" t="str">
        <f aca="false">_xlfn.IFS(AND(F375&gt;=8,G375&gt;=8,H375&gt;=8),"CHAMPION",AND(F375&gt;=6,G375&gt;=7,H375&gt;=6),"LOYAL CUSTOMER",AND(F375&gt;=6,G375&gt;=5,H375&gt;=5),"POTENTIAL LOYALIST",AND(F375&gt;=8,G375&lt;=2,H375&gt;=5),"NEW CUSTOMERS",AND(F375&gt;=6,G375&lt;=2,H375&gt;=3),"PROMISING",AND(F375&gt;=3,G375&gt;=3,H375&gt;=3),"NEED ATTENTION",AND(F375&lt;=4,G375&gt;=6,H375&gt;=6),"AT RISK",AND(F375&lt;=2,G375&gt;=8,H375&gt;=8),"CAN'T LOSE THEM",AND(F375&lt;=2,G375&lt;=2,H375&lt;=2),"HIBERNATING",TRUE(),"Other")</f>
        <v>Other</v>
      </c>
      <c r="K375" s="1" t="n">
        <f aca="false">RANK(E375,$E$7:$E$4378)+COUNTIF($E$7:E375,E375)-1</f>
        <v>2585</v>
      </c>
    </row>
    <row r="376" customFormat="false" ht="14.25" hidden="false" customHeight="true" outlineLevel="0" collapsed="false">
      <c r="A376" s="51" t="n">
        <v>12811</v>
      </c>
      <c r="B376" s="53" t="n">
        <v>40626.4041666667</v>
      </c>
      <c r="C376" s="57" t="n">
        <f aca="false">INT($C$2)-INT(Table3[[#This Row],[Last Purchase Date]])</f>
        <v>261</v>
      </c>
      <c r="D376" s="1" t="n">
        <v>3</v>
      </c>
      <c r="E376" s="1" t="n">
        <v>514.85</v>
      </c>
      <c r="F376" s="1" t="n">
        <f aca="false">ROUND((1-_xlfn.PERCENTRANK.INC($C$7:$C$4378,C376))*9,0)</f>
        <v>1</v>
      </c>
      <c r="G376" s="1" t="n">
        <f aca="false">ROUND(_xlfn.PERCENTRANK.INC($D$7:$D$4378,D376)*9,0)</f>
        <v>4</v>
      </c>
      <c r="H376" s="1" t="n">
        <f aca="false">ROUND(_xlfn.PERCENTRANK.INC($E$7:$E$4378,E376)*9,0)</f>
        <v>4</v>
      </c>
      <c r="I376" s="1" t="str">
        <f aca="false">CONCATENATE(F376,G376,H376)</f>
        <v>144</v>
      </c>
      <c r="J376" s="1" t="str">
        <f aca="false">_xlfn.IFS(AND(F376&gt;=8,G376&gt;=8,H376&gt;=8),"CHAMPION",AND(F376&gt;=6,G376&gt;=7,H376&gt;=6),"LOYAL CUSTOMER",AND(F376&gt;=6,G376&gt;=5,H376&gt;=5),"POTENTIAL LOYALIST",AND(F376&gt;=8,G376&lt;=2,H376&gt;=5),"NEW CUSTOMERS",AND(F376&gt;=6,G376&lt;=2,H376&gt;=3),"PROMISING",AND(F376&gt;=3,G376&gt;=3,H376&gt;=3),"NEED ATTENTION",AND(F376&lt;=4,G376&gt;=6,H376&gt;=6),"AT RISK",AND(F376&lt;=2,G376&gt;=8,H376&gt;=8),"CAN'T LOSE THEM",AND(F376&lt;=2,G376&lt;=2,H376&lt;=2),"HIBERNATING",TRUE(),"Other")</f>
        <v>Other</v>
      </c>
      <c r="K376" s="1" t="n">
        <f aca="false">RANK(E376,$E$7:$E$4378)+COUNTIF($E$7:E376,E376)-1</f>
        <v>2505</v>
      </c>
    </row>
    <row r="377" customFormat="false" ht="14.25" hidden="false" customHeight="true" outlineLevel="0" collapsed="false">
      <c r="A377" s="51" t="n">
        <v>12812</v>
      </c>
      <c r="B377" s="53" t="n">
        <v>40842.4125</v>
      </c>
      <c r="C377" s="57" t="n">
        <f aca="false">INT($C$2)-INT(Table3[[#This Row],[Last Purchase Date]])</f>
        <v>45</v>
      </c>
      <c r="D377" s="1" t="n">
        <v>1</v>
      </c>
      <c r="E377" s="1" t="n">
        <v>229.64</v>
      </c>
      <c r="F377" s="1" t="n">
        <f aca="false">ROUND((1-_xlfn.PERCENTRANK.INC($C$7:$C$4378,C377))*9,0)</f>
        <v>5</v>
      </c>
      <c r="G377" s="1" t="n">
        <f aca="false">ROUND(_xlfn.PERCENTRANK.INC($D$7:$D$4378,D377)*9,0)</f>
        <v>0</v>
      </c>
      <c r="H377" s="1" t="n">
        <f aca="false">ROUND(_xlfn.PERCENTRANK.INC($E$7:$E$4378,E377)*9,0)</f>
        <v>2</v>
      </c>
      <c r="I377" s="1" t="str">
        <f aca="false">CONCATENATE(F377,G377,H377)</f>
        <v>502</v>
      </c>
      <c r="J377" s="1" t="str">
        <f aca="false">_xlfn.IFS(AND(F377&gt;=8,G377&gt;=8,H377&gt;=8),"CHAMPION",AND(F377&gt;=6,G377&gt;=7,H377&gt;=6),"LOYAL CUSTOMER",AND(F377&gt;=6,G377&gt;=5,H377&gt;=5),"POTENTIAL LOYALIST",AND(F377&gt;=8,G377&lt;=2,H377&gt;=5),"NEW CUSTOMERS",AND(F377&gt;=6,G377&lt;=2,H377&gt;=3),"PROMISING",AND(F377&gt;=3,G377&gt;=3,H377&gt;=3),"NEED ATTENTION",AND(F377&lt;=4,G377&gt;=6,H377&gt;=6),"AT RISK",AND(F377&lt;=2,G377&gt;=8,H377&gt;=8),"CAN'T LOSE THEM",AND(F377&lt;=2,G377&lt;=2,H377&lt;=2),"HIBERNATING",TRUE(),"Other")</f>
        <v>Other</v>
      </c>
      <c r="K377" s="1" t="n">
        <f aca="false">RANK(E377,$E$7:$E$4378)+COUNTIF($E$7:E377,E377)-1</f>
        <v>3520</v>
      </c>
    </row>
    <row r="378" customFormat="false" ht="14.25" hidden="false" customHeight="true" outlineLevel="0" collapsed="false">
      <c r="A378" s="51" t="n">
        <v>12814</v>
      </c>
      <c r="B378" s="53" t="n">
        <v>40785.5076388889</v>
      </c>
      <c r="C378" s="57" t="n">
        <f aca="false">INT($C$2)-INT(Table3[[#This Row],[Last Purchase Date]])</f>
        <v>102</v>
      </c>
      <c r="D378" s="1" t="n">
        <v>1</v>
      </c>
      <c r="E378" s="1" t="n">
        <v>125.92</v>
      </c>
      <c r="F378" s="1" t="n">
        <f aca="false">ROUND((1-_xlfn.PERCENTRANK.INC($C$7:$C$4378,C378))*9,0)</f>
        <v>3</v>
      </c>
      <c r="G378" s="1" t="n">
        <f aca="false">ROUND(_xlfn.PERCENTRANK.INC($D$7:$D$4378,D378)*9,0)</f>
        <v>0</v>
      </c>
      <c r="H378" s="1" t="n">
        <f aca="false">ROUND(_xlfn.PERCENTRANK.INC($E$7:$E$4378,E378)*9,0)</f>
        <v>1</v>
      </c>
      <c r="I378" s="1" t="str">
        <f aca="false">CONCATENATE(F378,G378,H378)</f>
        <v>301</v>
      </c>
      <c r="J378" s="1" t="str">
        <f aca="false">_xlfn.IFS(AND(F378&gt;=8,G378&gt;=8,H378&gt;=8),"CHAMPION",AND(F378&gt;=6,G378&gt;=7,H378&gt;=6),"LOYAL CUSTOMER",AND(F378&gt;=6,G378&gt;=5,H378&gt;=5),"POTENTIAL LOYALIST",AND(F378&gt;=8,G378&lt;=2,H378&gt;=5),"NEW CUSTOMERS",AND(F378&gt;=6,G378&lt;=2,H378&gt;=3),"PROMISING",AND(F378&gt;=3,G378&gt;=3,H378&gt;=3),"NEED ATTENTION",AND(F378&lt;=4,G378&gt;=6,H378&gt;=6),"AT RISK",AND(F378&lt;=2,G378&gt;=8,H378&gt;=8),"CAN'T LOSE THEM",AND(F378&lt;=2,G378&lt;=2,H378&lt;=2),"HIBERNATING",TRUE(),"Other")</f>
        <v>Other</v>
      </c>
      <c r="K378" s="1" t="n">
        <f aca="false">RANK(E378,$E$7:$E$4378)+COUNTIF($E$7:E378,E378)-1</f>
        <v>4022</v>
      </c>
    </row>
    <row r="379" customFormat="false" ht="14.25" hidden="false" customHeight="true" outlineLevel="0" collapsed="false">
      <c r="A379" s="51" t="n">
        <v>12815</v>
      </c>
      <c r="B379" s="53" t="n">
        <v>40739.43125</v>
      </c>
      <c r="C379" s="57" t="n">
        <f aca="false">INT($C$2)-INT(Table3[[#This Row],[Last Purchase Date]])</f>
        <v>148</v>
      </c>
      <c r="D379" s="1" t="n">
        <v>2</v>
      </c>
      <c r="E379" s="1" t="n">
        <v>1063.46</v>
      </c>
      <c r="F379" s="1" t="n">
        <f aca="false">ROUND((1-_xlfn.PERCENTRANK.INC($C$7:$C$4378,C379))*9,0)</f>
        <v>2</v>
      </c>
      <c r="G379" s="1" t="n">
        <f aca="false">ROUND(_xlfn.PERCENTRANK.INC($D$7:$D$4378,D379)*9,0)</f>
        <v>3</v>
      </c>
      <c r="H379" s="1" t="n">
        <f aca="false">ROUND(_xlfn.PERCENTRANK.INC($E$7:$E$4378,E379)*9,0)</f>
        <v>6</v>
      </c>
      <c r="I379" s="1" t="str">
        <f aca="false">CONCATENATE(F379,G379,H379)</f>
        <v>236</v>
      </c>
      <c r="J379" s="1" t="str">
        <f aca="false">_xlfn.IFS(AND(F379&gt;=8,G379&gt;=8,H379&gt;=8),"CHAMPION",AND(F379&gt;=6,G379&gt;=7,H379&gt;=6),"LOYAL CUSTOMER",AND(F379&gt;=6,G379&gt;=5,H379&gt;=5),"POTENTIAL LOYALIST",AND(F379&gt;=8,G379&lt;=2,H379&gt;=5),"NEW CUSTOMERS",AND(F379&gt;=6,G379&lt;=2,H379&gt;=3),"PROMISING",AND(F379&gt;=3,G379&gt;=3,H379&gt;=3),"NEED ATTENTION",AND(F379&lt;=4,G379&gt;=6,H379&gt;=6),"AT RISK",AND(F379&lt;=2,G379&gt;=8,H379&gt;=8),"CAN'T LOSE THEM",AND(F379&lt;=2,G379&lt;=2,H379&lt;=2),"HIBERNATING",TRUE(),"Other")</f>
        <v>Other</v>
      </c>
      <c r="K379" s="1" t="n">
        <f aca="false">RANK(E379,$E$7:$E$4378)+COUNTIF($E$7:E379,E379)-1</f>
        <v>1544</v>
      </c>
    </row>
    <row r="380" customFormat="false" ht="14.25" hidden="false" customHeight="true" outlineLevel="0" collapsed="false">
      <c r="A380" s="51" t="n">
        <v>12816</v>
      </c>
      <c r="B380" s="53" t="n">
        <v>40791.5284722222</v>
      </c>
      <c r="C380" s="57" t="n">
        <f aca="false">INT($C$2)-INT(Table3[[#This Row],[Last Purchase Date]])</f>
        <v>96</v>
      </c>
      <c r="D380" s="1" t="n">
        <v>2</v>
      </c>
      <c r="E380" s="1" t="n">
        <v>572.2</v>
      </c>
      <c r="F380" s="1" t="n">
        <f aca="false">ROUND((1-_xlfn.PERCENTRANK.INC($C$7:$C$4378,C380))*9,0)</f>
        <v>3</v>
      </c>
      <c r="G380" s="1" t="n">
        <f aca="false">ROUND(_xlfn.PERCENTRANK.INC($D$7:$D$4378,D380)*9,0)</f>
        <v>3</v>
      </c>
      <c r="H380" s="1" t="n">
        <f aca="false">ROUND(_xlfn.PERCENTRANK.INC($E$7:$E$4378,E380)*9,0)</f>
        <v>4</v>
      </c>
      <c r="I380" s="1" t="str">
        <f aca="false">CONCATENATE(F380,G380,H380)</f>
        <v>334</v>
      </c>
      <c r="J380" s="1" t="str">
        <f aca="false">_xlfn.IFS(AND(F380&gt;=8,G380&gt;=8,H380&gt;=8),"CHAMPION",AND(F380&gt;=6,G380&gt;=7,H380&gt;=6),"LOYAL CUSTOMER",AND(F380&gt;=6,G380&gt;=5,H380&gt;=5),"POTENTIAL LOYALIST",AND(F380&gt;=8,G380&lt;=2,H380&gt;=5),"NEW CUSTOMERS",AND(F380&gt;=6,G380&lt;=2,H380&gt;=3),"PROMISING",AND(F380&gt;=3,G380&gt;=3,H380&gt;=3),"NEED ATTENTION",AND(F380&lt;=4,G380&gt;=6,H380&gt;=6),"AT RISK",AND(F380&lt;=2,G380&gt;=8,H380&gt;=8),"CAN'T LOSE THEM",AND(F380&lt;=2,G380&lt;=2,H380&lt;=2),"HIBERNATING",TRUE(),"Other")</f>
        <v>NEED ATTENTION</v>
      </c>
      <c r="K380" s="1" t="n">
        <f aca="false">RANK(E380,$E$7:$E$4378)+COUNTIF($E$7:E380,E380)-1</f>
        <v>2390</v>
      </c>
    </row>
    <row r="381" customFormat="false" ht="14.25" hidden="false" customHeight="true" outlineLevel="0" collapsed="false">
      <c r="A381" s="51" t="n">
        <v>12817</v>
      </c>
      <c r="B381" s="53" t="n">
        <v>40605.6861111111</v>
      </c>
      <c r="C381" s="57" t="n">
        <f aca="false">INT($C$2)-INT(Table3[[#This Row],[Last Purchase Date]])</f>
        <v>282</v>
      </c>
      <c r="D381" s="1" t="n">
        <v>1</v>
      </c>
      <c r="E381" s="1" t="n">
        <v>166.04</v>
      </c>
      <c r="F381" s="1" t="n">
        <f aca="false">ROUND((1-_xlfn.PERCENTRANK.INC($C$7:$C$4378,C381))*9,0)</f>
        <v>1</v>
      </c>
      <c r="G381" s="1" t="n">
        <f aca="false">ROUND(_xlfn.PERCENTRANK.INC($D$7:$D$4378,D381)*9,0)</f>
        <v>0</v>
      </c>
      <c r="H381" s="1" t="n">
        <f aca="false">ROUND(_xlfn.PERCENTRANK.INC($E$7:$E$4378,E381)*9,0)</f>
        <v>1</v>
      </c>
      <c r="I381" s="1" t="str">
        <f aca="false">CONCATENATE(F381,G381,H381)</f>
        <v>101</v>
      </c>
      <c r="J381" s="1" t="str">
        <f aca="false">_xlfn.IFS(AND(F381&gt;=8,G381&gt;=8,H381&gt;=8),"CHAMPION",AND(F381&gt;=6,G381&gt;=7,H381&gt;=6),"LOYAL CUSTOMER",AND(F381&gt;=6,G381&gt;=5,H381&gt;=5),"POTENTIAL LOYALIST",AND(F381&gt;=8,G381&lt;=2,H381&gt;=5),"NEW CUSTOMERS",AND(F381&gt;=6,G381&lt;=2,H381&gt;=3),"PROMISING",AND(F381&gt;=3,G381&gt;=3,H381&gt;=3),"NEED ATTENTION",AND(F381&lt;=4,G381&gt;=6,H381&gt;=6),"AT RISK",AND(F381&lt;=2,G381&gt;=8,H381&gt;=8),"CAN'T LOSE THEM",AND(F381&lt;=2,G381&lt;=2,H381&lt;=2),"HIBERNATING",TRUE(),"Other")</f>
        <v>HIBERNATING</v>
      </c>
      <c r="K381" s="1" t="n">
        <f aca="false">RANK(E381,$E$7:$E$4378)+COUNTIF($E$7:E381,E381)-1</f>
        <v>3827</v>
      </c>
    </row>
    <row r="382" customFormat="false" ht="14.25" hidden="false" customHeight="true" outlineLevel="0" collapsed="false">
      <c r="A382" s="51" t="n">
        <v>12818</v>
      </c>
      <c r="B382" s="53" t="n">
        <v>40708.5791666667</v>
      </c>
      <c r="C382" s="57" t="n">
        <f aca="false">INT($C$2)-INT(Table3[[#This Row],[Last Purchase Date]])</f>
        <v>179</v>
      </c>
      <c r="D382" s="1" t="n">
        <v>2</v>
      </c>
      <c r="E382" s="1" t="n">
        <v>1517.88</v>
      </c>
      <c r="F382" s="1" t="n">
        <f aca="false">ROUND((1-_xlfn.PERCENTRANK.INC($C$7:$C$4378,C382))*9,0)</f>
        <v>2</v>
      </c>
      <c r="G382" s="1" t="n">
        <f aca="false">ROUND(_xlfn.PERCENTRANK.INC($D$7:$D$4378,D382)*9,0)</f>
        <v>3</v>
      </c>
      <c r="H382" s="1" t="n">
        <f aca="false">ROUND(_xlfn.PERCENTRANK.INC($E$7:$E$4378,E382)*9,0)</f>
        <v>7</v>
      </c>
      <c r="I382" s="1" t="str">
        <f aca="false">CONCATENATE(F382,G382,H382)</f>
        <v>237</v>
      </c>
      <c r="J382" s="1" t="str">
        <f aca="false">_xlfn.IFS(AND(F382&gt;=8,G382&gt;=8,H382&gt;=8),"CHAMPION",AND(F382&gt;=6,G382&gt;=7,H382&gt;=6),"LOYAL CUSTOMER",AND(F382&gt;=6,G382&gt;=5,H382&gt;=5),"POTENTIAL LOYALIST",AND(F382&gt;=8,G382&lt;=2,H382&gt;=5),"NEW CUSTOMERS",AND(F382&gt;=6,G382&lt;=2,H382&gt;=3),"PROMISING",AND(F382&gt;=3,G382&gt;=3,H382&gt;=3),"NEED ATTENTION",AND(F382&lt;=4,G382&gt;=6,H382&gt;=6),"AT RISK",AND(F382&lt;=2,G382&gt;=8,H382&gt;=8),"CAN'T LOSE THEM",AND(F382&lt;=2,G382&lt;=2,H382&lt;=2),"HIBERNATING",TRUE(),"Other")</f>
        <v>Other</v>
      </c>
      <c r="K382" s="1" t="n">
        <f aca="false">RANK(E382,$E$7:$E$4378)+COUNTIF($E$7:E382,E382)-1</f>
        <v>1154</v>
      </c>
    </row>
    <row r="383" customFormat="false" ht="14.25" hidden="false" customHeight="true" outlineLevel="0" collapsed="false">
      <c r="A383" s="51" t="n">
        <v>12820</v>
      </c>
      <c r="B383" s="53" t="n">
        <v>40883.6333333333</v>
      </c>
      <c r="C383" s="57" t="n">
        <f aca="false">INT($C$2)-INT(Table3[[#This Row],[Last Purchase Date]])</f>
        <v>4</v>
      </c>
      <c r="D383" s="1" t="n">
        <v>4</v>
      </c>
      <c r="E383" s="1" t="n">
        <v>942.34</v>
      </c>
      <c r="F383" s="1" t="n">
        <f aca="false">ROUND((1-_xlfn.PERCENTRANK.INC($C$7:$C$4378,C383))*9,0)</f>
        <v>8</v>
      </c>
      <c r="G383" s="1" t="n">
        <f aca="false">ROUND(_xlfn.PERCENTRANK.INC($D$7:$D$4378,D383)*9,0)</f>
        <v>5</v>
      </c>
      <c r="H383" s="1" t="n">
        <f aca="false">ROUND(_xlfn.PERCENTRANK.INC($E$7:$E$4378,E383)*9,0)</f>
        <v>5</v>
      </c>
      <c r="I383" s="1" t="str">
        <f aca="false">CONCATENATE(F383,G383,H383)</f>
        <v>855</v>
      </c>
      <c r="J383" s="1" t="str">
        <f aca="false">_xlfn.IFS(AND(F383&gt;=8,G383&gt;=8,H383&gt;=8),"CHAMPION",AND(F383&gt;=6,G383&gt;=7,H383&gt;=6),"LOYAL CUSTOMER",AND(F383&gt;=6,G383&gt;=5,H383&gt;=5),"POTENTIAL LOYALIST",AND(F383&gt;=8,G383&lt;=2,H383&gt;=5),"NEW CUSTOMERS",AND(F383&gt;=6,G383&lt;=2,H383&gt;=3),"PROMISING",AND(F383&gt;=3,G383&gt;=3,H383&gt;=3),"NEED ATTENTION",AND(F383&lt;=4,G383&gt;=6,H383&gt;=6),"AT RISK",AND(F383&lt;=2,G383&gt;=8,H383&gt;=8),"CAN'T LOSE THEM",AND(F383&lt;=2,G383&lt;=2,H383&lt;=2),"HIBERNATING",TRUE(),"Other")</f>
        <v>POTENTIAL LOYALIST</v>
      </c>
      <c r="K383" s="1" t="n">
        <f aca="false">RANK(E383,$E$7:$E$4378)+COUNTIF($E$7:E383,E383)-1</f>
        <v>1704</v>
      </c>
    </row>
    <row r="384" customFormat="false" ht="14.25" hidden="false" customHeight="true" outlineLevel="0" collapsed="false">
      <c r="A384" s="51" t="n">
        <v>12821</v>
      </c>
      <c r="B384" s="53" t="n">
        <v>40672.6604166667</v>
      </c>
      <c r="C384" s="57" t="n">
        <f aca="false">INT($C$2)-INT(Table3[[#This Row],[Last Purchase Date]])</f>
        <v>215</v>
      </c>
      <c r="D384" s="1" t="n">
        <v>1</v>
      </c>
      <c r="E384" s="1" t="n">
        <v>92.72</v>
      </c>
      <c r="F384" s="1" t="n">
        <f aca="false">ROUND((1-_xlfn.PERCENTRANK.INC($C$7:$C$4378,C384))*9,0)</f>
        <v>1</v>
      </c>
      <c r="G384" s="1" t="n">
        <f aca="false">ROUND(_xlfn.PERCENTRANK.INC($D$7:$D$4378,D384)*9,0)</f>
        <v>0</v>
      </c>
      <c r="H384" s="1" t="n">
        <f aca="false">ROUND(_xlfn.PERCENTRANK.INC($E$7:$E$4378,E384)*9,0)</f>
        <v>0</v>
      </c>
      <c r="I384" s="1" t="str">
        <f aca="false">CONCATENATE(F384,G384,H384)</f>
        <v>100</v>
      </c>
      <c r="J384" s="1" t="str">
        <f aca="false">_xlfn.IFS(AND(F384&gt;=8,G384&gt;=8,H384&gt;=8),"CHAMPION",AND(F384&gt;=6,G384&gt;=7,H384&gt;=6),"LOYAL CUSTOMER",AND(F384&gt;=6,G384&gt;=5,H384&gt;=5),"POTENTIAL LOYALIST",AND(F384&gt;=8,G384&lt;=2,H384&gt;=5),"NEW CUSTOMERS",AND(F384&gt;=6,G384&lt;=2,H384&gt;=3),"PROMISING",AND(F384&gt;=3,G384&gt;=3,H384&gt;=3),"NEED ATTENTION",AND(F384&lt;=4,G384&gt;=6,H384&gt;=6),"AT RISK",AND(F384&lt;=2,G384&gt;=8,H384&gt;=8),"CAN'T LOSE THEM",AND(F384&lt;=2,G384&lt;=2,H384&lt;=2),"HIBERNATING",TRUE(),"Other")</f>
        <v>HIBERNATING</v>
      </c>
      <c r="K384" s="1" t="n">
        <f aca="false">RANK(E384,$E$7:$E$4378)+COUNTIF($E$7:E384,E384)-1</f>
        <v>4183</v>
      </c>
    </row>
    <row r="385" customFormat="false" ht="14.25" hidden="false" customHeight="true" outlineLevel="0" collapsed="false">
      <c r="A385" s="51" t="n">
        <v>12822</v>
      </c>
      <c r="B385" s="53" t="n">
        <v>40816.4194444444</v>
      </c>
      <c r="C385" s="57" t="n">
        <f aca="false">INT($C$2)-INT(Table3[[#This Row],[Last Purchase Date]])</f>
        <v>71</v>
      </c>
      <c r="D385" s="1" t="n">
        <v>3</v>
      </c>
      <c r="E385" s="1" t="n">
        <v>918.98</v>
      </c>
      <c r="F385" s="1" t="n">
        <f aca="false">ROUND((1-_xlfn.PERCENTRANK.INC($C$7:$C$4378,C385))*9,0)</f>
        <v>4</v>
      </c>
      <c r="G385" s="1" t="n">
        <f aca="false">ROUND(_xlfn.PERCENTRANK.INC($D$7:$D$4378,D385)*9,0)</f>
        <v>4</v>
      </c>
      <c r="H385" s="1" t="n">
        <f aca="false">ROUND(_xlfn.PERCENTRANK.INC($E$7:$E$4378,E385)*9,0)</f>
        <v>5</v>
      </c>
      <c r="I385" s="1" t="str">
        <f aca="false">CONCATENATE(F385,G385,H385)</f>
        <v>445</v>
      </c>
      <c r="J385" s="1" t="str">
        <f aca="false">_xlfn.IFS(AND(F385&gt;=8,G385&gt;=8,H385&gt;=8),"CHAMPION",AND(F385&gt;=6,G385&gt;=7,H385&gt;=6),"LOYAL CUSTOMER",AND(F385&gt;=6,G385&gt;=5,H385&gt;=5),"POTENTIAL LOYALIST",AND(F385&gt;=8,G385&lt;=2,H385&gt;=5),"NEW CUSTOMERS",AND(F385&gt;=6,G385&lt;=2,H385&gt;=3),"PROMISING",AND(F385&gt;=3,G385&gt;=3,H385&gt;=3),"NEED ATTENTION",AND(F385&lt;=4,G385&gt;=6,H385&gt;=6),"AT RISK",AND(F385&lt;=2,G385&gt;=8,H385&gt;=8),"CAN'T LOSE THEM",AND(F385&lt;=2,G385&lt;=2,H385&lt;=2),"HIBERNATING",TRUE(),"Other")</f>
        <v>NEED ATTENTION</v>
      </c>
      <c r="K385" s="1" t="n">
        <f aca="false">RANK(E385,$E$7:$E$4378)+COUNTIF($E$7:E385,E385)-1</f>
        <v>1730</v>
      </c>
    </row>
    <row r="386" customFormat="false" ht="14.25" hidden="false" customHeight="true" outlineLevel="0" collapsed="false">
      <c r="A386" s="51" t="n">
        <v>12823</v>
      </c>
      <c r="B386" s="53" t="n">
        <v>40812.3159722222</v>
      </c>
      <c r="C386" s="57" t="n">
        <f aca="false">INT($C$2)-INT(Table3[[#This Row],[Last Purchase Date]])</f>
        <v>75</v>
      </c>
      <c r="D386" s="1" t="n">
        <v>5</v>
      </c>
      <c r="E386" s="1" t="n">
        <v>1759.5</v>
      </c>
      <c r="F386" s="1" t="n">
        <f aca="false">ROUND((1-_xlfn.PERCENTRANK.INC($C$7:$C$4378,C386))*9,0)</f>
        <v>3</v>
      </c>
      <c r="G386" s="1" t="n">
        <f aca="false">ROUND(_xlfn.PERCENTRANK.INC($D$7:$D$4378,D386)*9,0)</f>
        <v>6</v>
      </c>
      <c r="H386" s="1" t="n">
        <f aca="false">ROUND(_xlfn.PERCENTRANK.INC($E$7:$E$4378,E386)*9,0)</f>
        <v>7</v>
      </c>
      <c r="I386" s="1" t="str">
        <f aca="false">CONCATENATE(F386,G386,H386)</f>
        <v>367</v>
      </c>
      <c r="J386" s="1" t="str">
        <f aca="false">_xlfn.IFS(AND(F386&gt;=8,G386&gt;=8,H386&gt;=8),"CHAMPION",AND(F386&gt;=6,G386&gt;=7,H386&gt;=6),"LOYAL CUSTOMER",AND(F386&gt;=6,G386&gt;=5,H386&gt;=5),"POTENTIAL LOYALIST",AND(F386&gt;=8,G386&lt;=2,H386&gt;=5),"NEW CUSTOMERS",AND(F386&gt;=6,G386&lt;=2,H386&gt;=3),"PROMISING",AND(F386&gt;=3,G386&gt;=3,H386&gt;=3),"NEED ATTENTION",AND(F386&lt;=4,G386&gt;=6,H386&gt;=6),"AT RISK",AND(F386&lt;=2,G386&gt;=8,H386&gt;=8),"CAN'T LOSE THEM",AND(F386&lt;=2,G386&lt;=2,H386&lt;=2),"HIBERNATING",TRUE(),"Other")</f>
        <v>NEED ATTENTION</v>
      </c>
      <c r="K386" s="1" t="n">
        <f aca="false">RANK(E386,$E$7:$E$4378)+COUNTIF($E$7:E386,E386)-1</f>
        <v>1005</v>
      </c>
    </row>
    <row r="387" customFormat="false" ht="14.25" hidden="false" customHeight="true" outlineLevel="0" collapsed="false">
      <c r="A387" s="51" t="n">
        <v>12824</v>
      </c>
      <c r="B387" s="53" t="n">
        <v>40827.5340277778</v>
      </c>
      <c r="C387" s="57" t="n">
        <f aca="false">INT($C$2)-INT(Table3[[#This Row],[Last Purchase Date]])</f>
        <v>60</v>
      </c>
      <c r="D387" s="1" t="n">
        <v>1</v>
      </c>
      <c r="E387" s="1" t="n">
        <v>397.12</v>
      </c>
      <c r="F387" s="1" t="n">
        <f aca="false">ROUND((1-_xlfn.PERCENTRANK.INC($C$7:$C$4378,C387))*9,0)</f>
        <v>4</v>
      </c>
      <c r="G387" s="1" t="n">
        <f aca="false">ROUND(_xlfn.PERCENTRANK.INC($D$7:$D$4378,D387)*9,0)</f>
        <v>0</v>
      </c>
      <c r="H387" s="1" t="n">
        <f aca="false">ROUND(_xlfn.PERCENTRANK.INC($E$7:$E$4378,E387)*9,0)</f>
        <v>3</v>
      </c>
      <c r="I387" s="1" t="str">
        <f aca="false">CONCATENATE(F387,G387,H387)</f>
        <v>403</v>
      </c>
      <c r="J387" s="1" t="str">
        <f aca="false">_xlfn.IFS(AND(F387&gt;=8,G387&gt;=8,H387&gt;=8),"CHAMPION",AND(F387&gt;=6,G387&gt;=7,H387&gt;=6),"LOYAL CUSTOMER",AND(F387&gt;=6,G387&gt;=5,H387&gt;=5),"POTENTIAL LOYALIST",AND(F387&gt;=8,G387&lt;=2,H387&gt;=5),"NEW CUSTOMERS",AND(F387&gt;=6,G387&lt;=2,H387&gt;=3),"PROMISING",AND(F387&gt;=3,G387&gt;=3,H387&gt;=3),"NEED ATTENTION",AND(F387&lt;=4,G387&gt;=6,H387&gt;=6),"AT RISK",AND(F387&lt;=2,G387&gt;=8,H387&gt;=8),"CAN'T LOSE THEM",AND(F387&lt;=2,G387&lt;=2,H387&lt;=2),"HIBERNATING",TRUE(),"Other")</f>
        <v>Other</v>
      </c>
      <c r="K387" s="1" t="n">
        <f aca="false">RANK(E387,$E$7:$E$4378)+COUNTIF($E$7:E387,E387)-1</f>
        <v>2827</v>
      </c>
    </row>
    <row r="388" customFormat="false" ht="14.25" hidden="false" customHeight="true" outlineLevel="0" collapsed="false">
      <c r="A388" s="51" t="n">
        <v>12826</v>
      </c>
      <c r="B388" s="53" t="n">
        <v>40884.4340277778</v>
      </c>
      <c r="C388" s="57" t="n">
        <f aca="false">INT($C$2)-INT(Table3[[#This Row],[Last Purchase Date]])</f>
        <v>3</v>
      </c>
      <c r="D388" s="1" t="n">
        <v>8</v>
      </c>
      <c r="E388" s="1" t="n">
        <v>1468.12</v>
      </c>
      <c r="F388" s="1" t="n">
        <f aca="false">ROUND((1-_xlfn.PERCENTRANK.INC($C$7:$C$4378,C388))*9,0)</f>
        <v>9</v>
      </c>
      <c r="G388" s="1" t="n">
        <f aca="false">ROUND(_xlfn.PERCENTRANK.INC($D$7:$D$4378,D388)*9,0)</f>
        <v>7</v>
      </c>
      <c r="H388" s="1" t="n">
        <f aca="false">ROUND(_xlfn.PERCENTRANK.INC($E$7:$E$4378,E388)*9,0)</f>
        <v>7</v>
      </c>
      <c r="I388" s="1" t="str">
        <f aca="false">CONCATENATE(F388,G388,H388)</f>
        <v>977</v>
      </c>
      <c r="J388" s="1" t="str">
        <f aca="false">_xlfn.IFS(AND(F388&gt;=8,G388&gt;=8,H388&gt;=8),"CHAMPION",AND(F388&gt;=6,G388&gt;=7,H388&gt;=6),"LOYAL CUSTOMER",AND(F388&gt;=6,G388&gt;=5,H388&gt;=5),"POTENTIAL LOYALIST",AND(F388&gt;=8,G388&lt;=2,H388&gt;=5),"NEW CUSTOMERS",AND(F388&gt;=6,G388&lt;=2,H388&gt;=3),"PROMISING",AND(F388&gt;=3,G388&gt;=3,H388&gt;=3),"NEED ATTENTION",AND(F388&lt;=4,G388&gt;=6,H388&gt;=6),"AT RISK",AND(F388&lt;=2,G388&gt;=8,H388&gt;=8),"CAN'T LOSE THEM",AND(F388&lt;=2,G388&lt;=2,H388&lt;=2),"HIBERNATING",TRUE(),"Other")</f>
        <v>LOYAL CUSTOMER</v>
      </c>
      <c r="K388" s="1" t="n">
        <f aca="false">RANK(E388,$E$7:$E$4378)+COUNTIF($E$7:E388,E388)-1</f>
        <v>1187</v>
      </c>
    </row>
    <row r="389" customFormat="false" ht="14.25" hidden="false" customHeight="true" outlineLevel="0" collapsed="false">
      <c r="A389" s="51" t="n">
        <v>12827</v>
      </c>
      <c r="B389" s="53" t="n">
        <v>40881.5118055556</v>
      </c>
      <c r="C389" s="57" t="n">
        <f aca="false">INT($C$2)-INT(Table3[[#This Row],[Last Purchase Date]])</f>
        <v>6</v>
      </c>
      <c r="D389" s="1" t="n">
        <v>3</v>
      </c>
      <c r="E389" s="1" t="n">
        <v>430.15</v>
      </c>
      <c r="F389" s="1" t="n">
        <f aca="false">ROUND((1-_xlfn.PERCENTRANK.INC($C$7:$C$4378,C389))*9,0)</f>
        <v>8</v>
      </c>
      <c r="G389" s="1" t="n">
        <f aca="false">ROUND(_xlfn.PERCENTRANK.INC($D$7:$D$4378,D389)*9,0)</f>
        <v>4</v>
      </c>
      <c r="H389" s="1" t="n">
        <f aca="false">ROUND(_xlfn.PERCENTRANK.INC($E$7:$E$4378,E389)*9,0)</f>
        <v>3</v>
      </c>
      <c r="I389" s="1" t="str">
        <f aca="false">CONCATENATE(F389,G389,H389)</f>
        <v>843</v>
      </c>
      <c r="J389" s="1" t="str">
        <f aca="false">_xlfn.IFS(AND(F389&gt;=8,G389&gt;=8,H389&gt;=8),"CHAMPION",AND(F389&gt;=6,G389&gt;=7,H389&gt;=6),"LOYAL CUSTOMER",AND(F389&gt;=6,G389&gt;=5,H389&gt;=5),"POTENTIAL LOYALIST",AND(F389&gt;=8,G389&lt;=2,H389&gt;=5),"NEW CUSTOMERS",AND(F389&gt;=6,G389&lt;=2,H389&gt;=3),"PROMISING",AND(F389&gt;=3,G389&gt;=3,H389&gt;=3),"NEED ATTENTION",AND(F389&lt;=4,G389&gt;=6,H389&gt;=6),"AT RISK",AND(F389&lt;=2,G389&gt;=8,H389&gt;=8),"CAN'T LOSE THEM",AND(F389&lt;=2,G389&lt;=2,H389&lt;=2),"HIBERNATING",TRUE(),"Other")</f>
        <v>NEED ATTENTION</v>
      </c>
      <c r="K389" s="1" t="n">
        <f aca="false">RANK(E389,$E$7:$E$4378)+COUNTIF($E$7:E389,E389)-1</f>
        <v>2719</v>
      </c>
    </row>
    <row r="390" customFormat="false" ht="14.25" hidden="false" customHeight="true" outlineLevel="0" collapsed="false">
      <c r="A390" s="51" t="n">
        <v>12828</v>
      </c>
      <c r="B390" s="53" t="n">
        <v>40884.3645833333</v>
      </c>
      <c r="C390" s="57" t="n">
        <f aca="false">INT($C$2)-INT(Table3[[#This Row],[Last Purchase Date]])</f>
        <v>3</v>
      </c>
      <c r="D390" s="1" t="n">
        <v>6</v>
      </c>
      <c r="E390" s="1" t="n">
        <v>1018.71</v>
      </c>
      <c r="F390" s="1" t="n">
        <f aca="false">ROUND((1-_xlfn.PERCENTRANK.INC($C$7:$C$4378,C390))*9,0)</f>
        <v>9</v>
      </c>
      <c r="G390" s="1" t="n">
        <f aca="false">ROUND(_xlfn.PERCENTRANK.INC($D$7:$D$4378,D390)*9,0)</f>
        <v>7</v>
      </c>
      <c r="H390" s="1" t="n">
        <f aca="false">ROUND(_xlfn.PERCENTRANK.INC($E$7:$E$4378,E390)*9,0)</f>
        <v>6</v>
      </c>
      <c r="I390" s="1" t="str">
        <f aca="false">CONCATENATE(F390,G390,H390)</f>
        <v>976</v>
      </c>
      <c r="J390" s="1" t="str">
        <f aca="false">_xlfn.IFS(AND(F390&gt;=8,G390&gt;=8,H390&gt;=8),"CHAMPION",AND(F390&gt;=6,G390&gt;=7,H390&gt;=6),"LOYAL CUSTOMER",AND(F390&gt;=6,G390&gt;=5,H390&gt;=5),"POTENTIAL LOYALIST",AND(F390&gt;=8,G390&lt;=2,H390&gt;=5),"NEW CUSTOMERS",AND(F390&gt;=6,G390&lt;=2,H390&gt;=3),"PROMISING",AND(F390&gt;=3,G390&gt;=3,H390&gt;=3),"NEED ATTENTION",AND(F390&lt;=4,G390&gt;=6,H390&gt;=6),"AT RISK",AND(F390&lt;=2,G390&gt;=8,H390&gt;=8),"CAN'T LOSE THEM",AND(F390&lt;=2,G390&lt;=2,H390&lt;=2),"HIBERNATING",TRUE(),"Other")</f>
        <v>LOYAL CUSTOMER</v>
      </c>
      <c r="K390" s="1" t="n">
        <f aca="false">RANK(E390,$E$7:$E$4378)+COUNTIF($E$7:E390,E390)-1</f>
        <v>1608</v>
      </c>
    </row>
    <row r="391" customFormat="false" ht="14.25" hidden="false" customHeight="true" outlineLevel="0" collapsed="false">
      <c r="A391" s="51" t="n">
        <v>12829</v>
      </c>
      <c r="B391" s="53" t="n">
        <v>40564.5388888889</v>
      </c>
      <c r="C391" s="57" t="n">
        <f aca="false">INT($C$2)-INT(Table3[[#This Row],[Last Purchase Date]])</f>
        <v>323</v>
      </c>
      <c r="D391" s="1" t="n">
        <v>3</v>
      </c>
      <c r="E391" s="1" t="n">
        <v>253.05</v>
      </c>
      <c r="F391" s="1" t="n">
        <f aca="false">ROUND((1-_xlfn.PERCENTRANK.INC($C$7:$C$4378,C391))*9,0)</f>
        <v>0</v>
      </c>
      <c r="G391" s="1" t="n">
        <f aca="false">ROUND(_xlfn.PERCENTRANK.INC($D$7:$D$4378,D391)*9,0)</f>
        <v>4</v>
      </c>
      <c r="H391" s="1" t="n">
        <f aca="false">ROUND(_xlfn.PERCENTRANK.INC($E$7:$E$4378,E391)*9,0)</f>
        <v>2</v>
      </c>
      <c r="I391" s="1" t="str">
        <f aca="false">CONCATENATE(F391,G391,H391)</f>
        <v>042</v>
      </c>
      <c r="J391" s="1" t="str">
        <f aca="false">_xlfn.IFS(AND(F391&gt;=8,G391&gt;=8,H391&gt;=8),"CHAMPION",AND(F391&gt;=6,G391&gt;=7,H391&gt;=6),"LOYAL CUSTOMER",AND(F391&gt;=6,G391&gt;=5,H391&gt;=5),"POTENTIAL LOYALIST",AND(F391&gt;=8,G391&lt;=2,H391&gt;=5),"NEW CUSTOMERS",AND(F391&gt;=6,G391&lt;=2,H391&gt;=3),"PROMISING",AND(F391&gt;=3,G391&gt;=3,H391&gt;=3),"NEED ATTENTION",AND(F391&lt;=4,G391&gt;=6,H391&gt;=6),"AT RISK",AND(F391&lt;=2,G391&gt;=8,H391&gt;=8),"CAN'T LOSE THEM",AND(F391&lt;=2,G391&lt;=2,H391&lt;=2),"HIBERNATING",TRUE(),"Other")</f>
        <v>Other</v>
      </c>
      <c r="K391" s="1" t="n">
        <f aca="false">RANK(E391,$E$7:$E$4378)+COUNTIF($E$7:E391,E391)-1</f>
        <v>3421</v>
      </c>
    </row>
    <row r="392" customFormat="false" ht="14.25" hidden="false" customHeight="true" outlineLevel="0" collapsed="false">
      <c r="A392" s="51" t="n">
        <v>12830</v>
      </c>
      <c r="B392" s="53" t="n">
        <v>40849.4958333333</v>
      </c>
      <c r="C392" s="57" t="n">
        <f aca="false">INT($C$2)-INT(Table3[[#This Row],[Last Purchase Date]])</f>
        <v>38</v>
      </c>
      <c r="D392" s="1" t="n">
        <v>7</v>
      </c>
      <c r="E392" s="1" t="n">
        <v>6748.4</v>
      </c>
      <c r="F392" s="1" t="n">
        <f aca="false">ROUND((1-_xlfn.PERCENTRANK.INC($C$7:$C$4378,C392))*9,0)</f>
        <v>5</v>
      </c>
      <c r="G392" s="1" t="n">
        <f aca="false">ROUND(_xlfn.PERCENTRANK.INC($D$7:$D$4378,D392)*9,0)</f>
        <v>7</v>
      </c>
      <c r="H392" s="1" t="n">
        <f aca="false">ROUND(_xlfn.PERCENTRANK.INC($E$7:$E$4378,E392)*9,0)</f>
        <v>9</v>
      </c>
      <c r="I392" s="1" t="str">
        <f aca="false">CONCATENATE(F392,G392,H392)</f>
        <v>579</v>
      </c>
      <c r="J392" s="1" t="str">
        <f aca="false">_xlfn.IFS(AND(F392&gt;=8,G392&gt;=8,H392&gt;=8),"CHAMPION",AND(F392&gt;=6,G392&gt;=7,H392&gt;=6),"LOYAL CUSTOMER",AND(F392&gt;=6,G392&gt;=5,H392&gt;=5),"POTENTIAL LOYALIST",AND(F392&gt;=8,G392&lt;=2,H392&gt;=5),"NEW CUSTOMERS",AND(F392&gt;=6,G392&lt;=2,H392&gt;=3),"PROMISING",AND(F392&gt;=3,G392&gt;=3,H392&gt;=3),"NEED ATTENTION",AND(F392&lt;=4,G392&gt;=6,H392&gt;=6),"AT RISK",AND(F392&lt;=2,G392&gt;=8,H392&gt;=8),"CAN'T LOSE THEM",AND(F392&lt;=2,G392&lt;=2,H392&lt;=2),"HIBERNATING",TRUE(),"Other")</f>
        <v>NEED ATTENTION</v>
      </c>
      <c r="K392" s="1" t="n">
        <f aca="false">RANK(E392,$E$7:$E$4378)+COUNTIF($E$7:E392,E392)-1</f>
        <v>167</v>
      </c>
    </row>
    <row r="393" customFormat="false" ht="14.25" hidden="false" customHeight="true" outlineLevel="0" collapsed="false">
      <c r="A393" s="51" t="n">
        <v>12831</v>
      </c>
      <c r="B393" s="53" t="n">
        <v>40624.5430555556</v>
      </c>
      <c r="C393" s="57" t="n">
        <f aca="false">INT($C$2)-INT(Table3[[#This Row],[Last Purchase Date]])</f>
        <v>263</v>
      </c>
      <c r="D393" s="1" t="n">
        <v>1</v>
      </c>
      <c r="E393" s="1" t="n">
        <v>215.05</v>
      </c>
      <c r="F393" s="1" t="n">
        <f aca="false">ROUND((1-_xlfn.PERCENTRANK.INC($C$7:$C$4378,C393))*9,0)</f>
        <v>1</v>
      </c>
      <c r="G393" s="1" t="n">
        <f aca="false">ROUND(_xlfn.PERCENTRANK.INC($D$7:$D$4378,D393)*9,0)</f>
        <v>0</v>
      </c>
      <c r="H393" s="1" t="n">
        <f aca="false">ROUND(_xlfn.PERCENTRANK.INC($E$7:$E$4378,E393)*9,0)</f>
        <v>2</v>
      </c>
      <c r="I393" s="1" t="str">
        <f aca="false">CONCATENATE(F393,G393,H393)</f>
        <v>102</v>
      </c>
      <c r="J393" s="1" t="str">
        <f aca="false">_xlfn.IFS(AND(F393&gt;=8,G393&gt;=8,H393&gt;=8),"CHAMPION",AND(F393&gt;=6,G393&gt;=7,H393&gt;=6),"LOYAL CUSTOMER",AND(F393&gt;=6,G393&gt;=5,H393&gt;=5),"POTENTIAL LOYALIST",AND(F393&gt;=8,G393&lt;=2,H393&gt;=5),"NEW CUSTOMERS",AND(F393&gt;=6,G393&lt;=2,H393&gt;=3),"PROMISING",AND(F393&gt;=3,G393&gt;=3,H393&gt;=3),"NEED ATTENTION",AND(F393&lt;=4,G393&gt;=6,H393&gt;=6),"AT RISK",AND(F393&lt;=2,G393&gt;=8,H393&gt;=8),"CAN'T LOSE THEM",AND(F393&lt;=2,G393&lt;=2,H393&lt;=2),"HIBERNATING",TRUE(),"Other")</f>
        <v>HIBERNATING</v>
      </c>
      <c r="K393" s="1" t="n">
        <f aca="false">RANK(E393,$E$7:$E$4378)+COUNTIF($E$7:E393,E393)-1</f>
        <v>3588</v>
      </c>
    </row>
    <row r="394" customFormat="false" ht="14.25" hidden="false" customHeight="true" outlineLevel="0" collapsed="false">
      <c r="A394" s="51" t="n">
        <v>12832</v>
      </c>
      <c r="B394" s="53" t="n">
        <v>40854.5625</v>
      </c>
      <c r="C394" s="57" t="n">
        <f aca="false">INT($C$2)-INT(Table3[[#This Row],[Last Purchase Date]])</f>
        <v>33</v>
      </c>
      <c r="D394" s="1" t="n">
        <v>2</v>
      </c>
      <c r="E394" s="1" t="n">
        <v>383.03</v>
      </c>
      <c r="F394" s="1" t="n">
        <f aca="false">ROUND((1-_xlfn.PERCENTRANK.INC($C$7:$C$4378,C394))*9,0)</f>
        <v>5</v>
      </c>
      <c r="G394" s="1" t="n">
        <f aca="false">ROUND(_xlfn.PERCENTRANK.INC($D$7:$D$4378,D394)*9,0)</f>
        <v>3</v>
      </c>
      <c r="H394" s="1" t="n">
        <f aca="false">ROUND(_xlfn.PERCENTRANK.INC($E$7:$E$4378,E394)*9,0)</f>
        <v>3</v>
      </c>
      <c r="I394" s="1" t="str">
        <f aca="false">CONCATENATE(F394,G394,H394)</f>
        <v>533</v>
      </c>
      <c r="J394" s="1" t="str">
        <f aca="false">_xlfn.IFS(AND(F394&gt;=8,G394&gt;=8,H394&gt;=8),"CHAMPION",AND(F394&gt;=6,G394&gt;=7,H394&gt;=6),"LOYAL CUSTOMER",AND(F394&gt;=6,G394&gt;=5,H394&gt;=5),"POTENTIAL LOYALIST",AND(F394&gt;=8,G394&lt;=2,H394&gt;=5),"NEW CUSTOMERS",AND(F394&gt;=6,G394&lt;=2,H394&gt;=3),"PROMISING",AND(F394&gt;=3,G394&gt;=3,H394&gt;=3),"NEED ATTENTION",AND(F394&lt;=4,G394&gt;=6,H394&gt;=6),"AT RISK",AND(F394&lt;=2,G394&gt;=8,H394&gt;=8),"CAN'T LOSE THEM",AND(F394&lt;=2,G394&lt;=2,H394&lt;=2),"HIBERNATING",TRUE(),"Other")</f>
        <v>NEED ATTENTION</v>
      </c>
      <c r="K394" s="1" t="n">
        <f aca="false">RANK(E394,$E$7:$E$4378)+COUNTIF($E$7:E394,E394)-1</f>
        <v>2877</v>
      </c>
    </row>
    <row r="395" customFormat="false" ht="14.25" hidden="false" customHeight="true" outlineLevel="0" collapsed="false">
      <c r="A395" s="51" t="n">
        <v>12833</v>
      </c>
      <c r="B395" s="53" t="n">
        <v>40741.5736111111</v>
      </c>
      <c r="C395" s="57" t="n">
        <f aca="false">INT($C$2)-INT(Table3[[#This Row],[Last Purchase Date]])</f>
        <v>146</v>
      </c>
      <c r="D395" s="1" t="n">
        <v>1</v>
      </c>
      <c r="E395" s="1" t="n">
        <v>417.38</v>
      </c>
      <c r="F395" s="1" t="n">
        <f aca="false">ROUND((1-_xlfn.PERCENTRANK.INC($C$7:$C$4378,C395))*9,0)</f>
        <v>2</v>
      </c>
      <c r="G395" s="1" t="n">
        <f aca="false">ROUND(_xlfn.PERCENTRANK.INC($D$7:$D$4378,D395)*9,0)</f>
        <v>0</v>
      </c>
      <c r="H395" s="1" t="n">
        <f aca="false">ROUND(_xlfn.PERCENTRANK.INC($E$7:$E$4378,E395)*9,0)</f>
        <v>3</v>
      </c>
      <c r="I395" s="1" t="str">
        <f aca="false">CONCATENATE(F395,G395,H395)</f>
        <v>203</v>
      </c>
      <c r="J395" s="1" t="str">
        <f aca="false">_xlfn.IFS(AND(F395&gt;=8,G395&gt;=8,H395&gt;=8),"CHAMPION",AND(F395&gt;=6,G395&gt;=7,H395&gt;=6),"LOYAL CUSTOMER",AND(F395&gt;=6,G395&gt;=5,H395&gt;=5),"POTENTIAL LOYALIST",AND(F395&gt;=8,G395&lt;=2,H395&gt;=5),"NEW CUSTOMERS",AND(F395&gt;=6,G395&lt;=2,H395&gt;=3),"PROMISING",AND(F395&gt;=3,G395&gt;=3,H395&gt;=3),"NEED ATTENTION",AND(F395&lt;=4,G395&gt;=6,H395&gt;=6),"AT RISK",AND(F395&lt;=2,G395&gt;=8,H395&gt;=8),"CAN'T LOSE THEM",AND(F395&lt;=2,G395&lt;=2,H395&lt;=2),"HIBERNATING",TRUE(),"Other")</f>
        <v>Other</v>
      </c>
      <c r="K395" s="1" t="n">
        <f aca="false">RANK(E395,$E$7:$E$4378)+COUNTIF($E$7:E395,E395)-1</f>
        <v>2761</v>
      </c>
    </row>
    <row r="396" customFormat="false" ht="14.25" hidden="false" customHeight="true" outlineLevel="0" collapsed="false">
      <c r="A396" s="51" t="n">
        <v>12834</v>
      </c>
      <c r="B396" s="53" t="n">
        <v>40604.4090277778</v>
      </c>
      <c r="C396" s="57" t="n">
        <f aca="false">INT($C$2)-INT(Table3[[#This Row],[Last Purchase Date]])</f>
        <v>283</v>
      </c>
      <c r="D396" s="1" t="n">
        <v>1</v>
      </c>
      <c r="E396" s="1" t="n">
        <v>312.38</v>
      </c>
      <c r="F396" s="1" t="n">
        <f aca="false">ROUND((1-_xlfn.PERCENTRANK.INC($C$7:$C$4378,C396))*9,0)</f>
        <v>1</v>
      </c>
      <c r="G396" s="1" t="n">
        <f aca="false">ROUND(_xlfn.PERCENTRANK.INC($D$7:$D$4378,D396)*9,0)</f>
        <v>0</v>
      </c>
      <c r="H396" s="1" t="n">
        <f aca="false">ROUND(_xlfn.PERCENTRANK.INC($E$7:$E$4378,E396)*9,0)</f>
        <v>2</v>
      </c>
      <c r="I396" s="1" t="str">
        <f aca="false">CONCATENATE(F396,G396,H396)</f>
        <v>102</v>
      </c>
      <c r="J396" s="1" t="str">
        <f aca="false">_xlfn.IFS(AND(F396&gt;=8,G396&gt;=8,H396&gt;=8),"CHAMPION",AND(F396&gt;=6,G396&gt;=7,H396&gt;=6),"LOYAL CUSTOMER",AND(F396&gt;=6,G396&gt;=5,H396&gt;=5),"POTENTIAL LOYALIST",AND(F396&gt;=8,G396&lt;=2,H396&gt;=5),"NEW CUSTOMERS",AND(F396&gt;=6,G396&lt;=2,H396&gt;=3),"PROMISING",AND(F396&gt;=3,G396&gt;=3,H396&gt;=3),"NEED ATTENTION",AND(F396&lt;=4,G396&gt;=6,H396&gt;=6),"AT RISK",AND(F396&lt;=2,G396&gt;=8,H396&gt;=8),"CAN'T LOSE THEM",AND(F396&lt;=2,G396&lt;=2,H396&lt;=2),"HIBERNATING",TRUE(),"Other")</f>
        <v>HIBERNATING</v>
      </c>
      <c r="K396" s="1" t="n">
        <f aca="false">RANK(E396,$E$7:$E$4378)+COUNTIF($E$7:E396,E396)-1</f>
        <v>3179</v>
      </c>
    </row>
    <row r="397" customFormat="false" ht="14.25" hidden="false" customHeight="true" outlineLevel="0" collapsed="false">
      <c r="A397" s="51" t="n">
        <v>12836</v>
      </c>
      <c r="B397" s="53" t="n">
        <v>40827.6319444445</v>
      </c>
      <c r="C397" s="57" t="n">
        <f aca="false">INT($C$2)-INT(Table3[[#This Row],[Last Purchase Date]])</f>
        <v>60</v>
      </c>
      <c r="D397" s="1" t="n">
        <v>4</v>
      </c>
      <c r="E397" s="1" t="n">
        <v>2612.86</v>
      </c>
      <c r="F397" s="1" t="n">
        <f aca="false">ROUND((1-_xlfn.PERCENTRANK.INC($C$7:$C$4378,C397))*9,0)</f>
        <v>4</v>
      </c>
      <c r="G397" s="1" t="n">
        <f aca="false">ROUND(_xlfn.PERCENTRANK.INC($D$7:$D$4378,D397)*9,0)</f>
        <v>5</v>
      </c>
      <c r="H397" s="1" t="n">
        <f aca="false">ROUND(_xlfn.PERCENTRANK.INC($E$7:$E$4378,E397)*9,0)</f>
        <v>8</v>
      </c>
      <c r="I397" s="1" t="str">
        <f aca="false">CONCATENATE(F397,G397,H397)</f>
        <v>458</v>
      </c>
      <c r="J397" s="1" t="str">
        <f aca="false">_xlfn.IFS(AND(F397&gt;=8,G397&gt;=8,H397&gt;=8),"CHAMPION",AND(F397&gt;=6,G397&gt;=7,H397&gt;=6),"LOYAL CUSTOMER",AND(F397&gt;=6,G397&gt;=5,H397&gt;=5),"POTENTIAL LOYALIST",AND(F397&gt;=8,G397&lt;=2,H397&gt;=5),"NEW CUSTOMERS",AND(F397&gt;=6,G397&lt;=2,H397&gt;=3),"PROMISING",AND(F397&gt;=3,G397&gt;=3,H397&gt;=3),"NEED ATTENTION",AND(F397&lt;=4,G397&gt;=6,H397&gt;=6),"AT RISK",AND(F397&lt;=2,G397&gt;=8,H397&gt;=8),"CAN'T LOSE THEM",AND(F397&lt;=2,G397&lt;=2,H397&lt;=2),"HIBERNATING",TRUE(),"Other")</f>
        <v>NEED ATTENTION</v>
      </c>
      <c r="K397" s="1" t="n">
        <f aca="false">RANK(E397,$E$7:$E$4378)+COUNTIF($E$7:E397,E397)-1</f>
        <v>641</v>
      </c>
    </row>
    <row r="398" customFormat="false" ht="14.25" hidden="false" customHeight="true" outlineLevel="0" collapsed="false">
      <c r="A398" s="51" t="n">
        <v>12837</v>
      </c>
      <c r="B398" s="53" t="n">
        <v>40713.6715277778</v>
      </c>
      <c r="C398" s="57" t="n">
        <f aca="false">INT($C$2)-INT(Table3[[#This Row],[Last Purchase Date]])</f>
        <v>174</v>
      </c>
      <c r="D398" s="1" t="n">
        <v>1</v>
      </c>
      <c r="E398" s="1" t="n">
        <v>134.1</v>
      </c>
      <c r="F398" s="1" t="n">
        <f aca="false">ROUND((1-_xlfn.PERCENTRANK.INC($C$7:$C$4378,C398))*9,0)</f>
        <v>2</v>
      </c>
      <c r="G398" s="1" t="n">
        <f aca="false">ROUND(_xlfn.PERCENTRANK.INC($D$7:$D$4378,D398)*9,0)</f>
        <v>0</v>
      </c>
      <c r="H398" s="1" t="n">
        <f aca="false">ROUND(_xlfn.PERCENTRANK.INC($E$7:$E$4378,E398)*9,0)</f>
        <v>1</v>
      </c>
      <c r="I398" s="1" t="str">
        <f aca="false">CONCATENATE(F398,G398,H398)</f>
        <v>201</v>
      </c>
      <c r="J398" s="1" t="str">
        <f aca="false">_xlfn.IFS(AND(F398&gt;=8,G398&gt;=8,H398&gt;=8),"CHAMPION",AND(F398&gt;=6,G398&gt;=7,H398&gt;=6),"LOYAL CUSTOMER",AND(F398&gt;=6,G398&gt;=5,H398&gt;=5),"POTENTIAL LOYALIST",AND(F398&gt;=8,G398&lt;=2,H398&gt;=5),"NEW CUSTOMERS",AND(F398&gt;=6,G398&lt;=2,H398&gt;=3),"PROMISING",AND(F398&gt;=3,G398&gt;=3,H398&gt;=3),"NEED ATTENTION",AND(F398&lt;=4,G398&gt;=6,H398&gt;=6),"AT RISK",AND(F398&lt;=2,G398&gt;=8,H398&gt;=8),"CAN'T LOSE THEM",AND(F398&lt;=2,G398&lt;=2,H398&lt;=2),"HIBERNATING",TRUE(),"Other")</f>
        <v>HIBERNATING</v>
      </c>
      <c r="K398" s="1" t="n">
        <f aca="false">RANK(E398,$E$7:$E$4378)+COUNTIF($E$7:E398,E398)-1</f>
        <v>3992</v>
      </c>
    </row>
    <row r="399" customFormat="false" ht="14.25" hidden="false" customHeight="true" outlineLevel="0" collapsed="false">
      <c r="A399" s="51" t="n">
        <v>12838</v>
      </c>
      <c r="B399" s="53" t="n">
        <v>40853.5138888889</v>
      </c>
      <c r="C399" s="57" t="n">
        <f aca="false">INT($C$2)-INT(Table3[[#This Row],[Last Purchase Date]])</f>
        <v>34</v>
      </c>
      <c r="D399" s="1" t="n">
        <v>2</v>
      </c>
      <c r="E399" s="1" t="n">
        <v>683.13</v>
      </c>
      <c r="F399" s="1" t="n">
        <f aca="false">ROUND((1-_xlfn.PERCENTRANK.INC($C$7:$C$4378,C399))*9,0)</f>
        <v>5</v>
      </c>
      <c r="G399" s="1" t="n">
        <f aca="false">ROUND(_xlfn.PERCENTRANK.INC($D$7:$D$4378,D399)*9,0)</f>
        <v>3</v>
      </c>
      <c r="H399" s="1" t="n">
        <f aca="false">ROUND(_xlfn.PERCENTRANK.INC($E$7:$E$4378,E399)*9,0)</f>
        <v>5</v>
      </c>
      <c r="I399" s="1" t="str">
        <f aca="false">CONCATENATE(F399,G399,H399)</f>
        <v>535</v>
      </c>
      <c r="J399" s="1" t="str">
        <f aca="false">_xlfn.IFS(AND(F399&gt;=8,G399&gt;=8,H399&gt;=8),"CHAMPION",AND(F399&gt;=6,G399&gt;=7,H399&gt;=6),"LOYAL CUSTOMER",AND(F399&gt;=6,G399&gt;=5,H399&gt;=5),"POTENTIAL LOYALIST",AND(F399&gt;=8,G399&lt;=2,H399&gt;=5),"NEW CUSTOMERS",AND(F399&gt;=6,G399&lt;=2,H399&gt;=3),"PROMISING",AND(F399&gt;=3,G399&gt;=3,H399&gt;=3),"NEED ATTENTION",AND(F399&lt;=4,G399&gt;=6,H399&gt;=6),"AT RISK",AND(F399&lt;=2,G399&gt;=8,H399&gt;=8),"CAN'T LOSE THEM",AND(F399&lt;=2,G399&lt;=2,H399&lt;=2),"HIBERNATING",TRUE(),"Other")</f>
        <v>NEED ATTENTION</v>
      </c>
      <c r="K399" s="1" t="n">
        <f aca="false">RANK(E399,$E$7:$E$4378)+COUNTIF($E$7:E399,E399)-1</f>
        <v>2096</v>
      </c>
    </row>
    <row r="400" customFormat="false" ht="14.25" hidden="false" customHeight="true" outlineLevel="0" collapsed="false">
      <c r="A400" s="51" t="n">
        <v>12839</v>
      </c>
      <c r="B400" s="53" t="n">
        <v>40884.5229166667</v>
      </c>
      <c r="C400" s="57" t="n">
        <f aca="false">INT($C$2)-INT(Table3[[#This Row],[Last Purchase Date]])</f>
        <v>3</v>
      </c>
      <c r="D400" s="1" t="n">
        <v>16</v>
      </c>
      <c r="E400" s="1" t="n">
        <v>5583.62</v>
      </c>
      <c r="F400" s="1" t="n">
        <f aca="false">ROUND((1-_xlfn.PERCENTRANK.INC($C$7:$C$4378,C400))*9,0)</f>
        <v>9</v>
      </c>
      <c r="G400" s="1" t="n">
        <f aca="false">ROUND(_xlfn.PERCENTRANK.INC($D$7:$D$4378,D400)*9,0)</f>
        <v>9</v>
      </c>
      <c r="H400" s="1" t="n">
        <f aca="false">ROUND(_xlfn.PERCENTRANK.INC($E$7:$E$4378,E400)*9,0)</f>
        <v>9</v>
      </c>
      <c r="I400" s="1" t="str">
        <f aca="false">CONCATENATE(F400,G400,H400)</f>
        <v>999</v>
      </c>
      <c r="J400" s="1" t="str">
        <f aca="false">_xlfn.IFS(AND(F400&gt;=8,G400&gt;=8,H400&gt;=8),"CHAMPION",AND(F400&gt;=6,G400&gt;=7,H400&gt;=6),"LOYAL CUSTOMER",AND(F400&gt;=6,G400&gt;=5,H400&gt;=5),"POTENTIAL LOYALIST",AND(F400&gt;=8,G400&lt;=2,H400&gt;=5),"NEW CUSTOMERS",AND(F400&gt;=6,G400&lt;=2,H400&gt;=3),"PROMISING",AND(F400&gt;=3,G400&gt;=3,H400&gt;=3),"NEED ATTENTION",AND(F400&lt;=4,G400&gt;=6,H400&gt;=6),"AT RISK",AND(F400&lt;=2,G400&gt;=8,H400&gt;=8),"CAN'T LOSE THEM",AND(F400&lt;=2,G400&lt;=2,H400&lt;=2),"HIBERNATING",TRUE(),"Other")</f>
        <v>CHAMPION</v>
      </c>
      <c r="K400" s="1" t="n">
        <f aca="false">RANK(E400,$E$7:$E$4378)+COUNTIF($E$7:E400,E400)-1</f>
        <v>226</v>
      </c>
    </row>
    <row r="401" customFormat="false" ht="14.25" hidden="false" customHeight="true" outlineLevel="0" collapsed="false">
      <c r="A401" s="51" t="n">
        <v>12840</v>
      </c>
      <c r="B401" s="53" t="n">
        <v>40743.3951388889</v>
      </c>
      <c r="C401" s="57" t="n">
        <f aca="false">INT($C$2)-INT(Table3[[#This Row],[Last Purchase Date]])</f>
        <v>144</v>
      </c>
      <c r="D401" s="1" t="n">
        <v>6</v>
      </c>
      <c r="E401" s="1" t="n">
        <v>2714.27</v>
      </c>
      <c r="F401" s="1" t="n">
        <f aca="false">ROUND((1-_xlfn.PERCENTRANK.INC($C$7:$C$4378,C401))*9,0)</f>
        <v>2</v>
      </c>
      <c r="G401" s="1" t="n">
        <f aca="false">ROUND(_xlfn.PERCENTRANK.INC($D$7:$D$4378,D401)*9,0)</f>
        <v>7</v>
      </c>
      <c r="H401" s="1" t="n">
        <f aca="false">ROUND(_xlfn.PERCENTRANK.INC($E$7:$E$4378,E401)*9,0)</f>
        <v>8</v>
      </c>
      <c r="I401" s="1" t="str">
        <f aca="false">CONCATENATE(F401,G401,H401)</f>
        <v>278</v>
      </c>
      <c r="J401" s="1" t="str">
        <f aca="false">_xlfn.IFS(AND(F401&gt;=8,G401&gt;=8,H401&gt;=8),"CHAMPION",AND(F401&gt;=6,G401&gt;=7,H401&gt;=6),"LOYAL CUSTOMER",AND(F401&gt;=6,G401&gt;=5,H401&gt;=5),"POTENTIAL LOYALIST",AND(F401&gt;=8,G401&lt;=2,H401&gt;=5),"NEW CUSTOMERS",AND(F401&gt;=6,G401&lt;=2,H401&gt;=3),"PROMISING",AND(F401&gt;=3,G401&gt;=3,H401&gt;=3),"NEED ATTENTION",AND(F401&lt;=4,G401&gt;=6,H401&gt;=6),"AT RISK",AND(F401&lt;=2,G401&gt;=8,H401&gt;=8),"CAN'T LOSE THEM",AND(F401&lt;=2,G401&lt;=2,H401&lt;=2),"HIBERNATING",TRUE(),"Other")</f>
        <v>AT RISK</v>
      </c>
      <c r="K401" s="1" t="n">
        <f aca="false">RANK(E401,$E$7:$E$4378)+COUNTIF($E$7:E401,E401)-1</f>
        <v>612</v>
      </c>
    </row>
    <row r="402" customFormat="false" ht="14.25" hidden="false" customHeight="true" outlineLevel="0" collapsed="false">
      <c r="A402" s="51" t="n">
        <v>12841</v>
      </c>
      <c r="B402" s="53" t="n">
        <v>40882.4673611111</v>
      </c>
      <c r="C402" s="57" t="n">
        <f aca="false">INT($C$2)-INT(Table3[[#This Row],[Last Purchase Date]])</f>
        <v>5</v>
      </c>
      <c r="D402" s="1" t="n">
        <v>26</v>
      </c>
      <c r="E402" s="1" t="n">
        <v>3876.4</v>
      </c>
      <c r="F402" s="1" t="n">
        <f aca="false">ROUND((1-_xlfn.PERCENTRANK.INC($C$7:$C$4378,C402))*9,0)</f>
        <v>8</v>
      </c>
      <c r="G402" s="1" t="n">
        <f aca="false">ROUND(_xlfn.PERCENTRANK.INC($D$7:$D$4378,D402)*9,0)</f>
        <v>9</v>
      </c>
      <c r="H402" s="1" t="n">
        <f aca="false">ROUND(_xlfn.PERCENTRANK.INC($E$7:$E$4378,E402)*9,0)</f>
        <v>8</v>
      </c>
      <c r="I402" s="1" t="str">
        <f aca="false">CONCATENATE(F402,G402,H402)</f>
        <v>898</v>
      </c>
      <c r="J402" s="1" t="str">
        <f aca="false">_xlfn.IFS(AND(F402&gt;=8,G402&gt;=8,H402&gt;=8),"CHAMPION",AND(F402&gt;=6,G402&gt;=7,H402&gt;=6),"LOYAL CUSTOMER",AND(F402&gt;=6,G402&gt;=5,H402&gt;=5),"POTENTIAL LOYALIST",AND(F402&gt;=8,G402&lt;=2,H402&gt;=5),"NEW CUSTOMERS",AND(F402&gt;=6,G402&lt;=2,H402&gt;=3),"PROMISING",AND(F402&gt;=3,G402&gt;=3,H402&gt;=3),"NEED ATTENTION",AND(F402&lt;=4,G402&gt;=6,H402&gt;=6),"AT RISK",AND(F402&lt;=2,G402&gt;=8,H402&gt;=8),"CAN'T LOSE THEM",AND(F402&lt;=2,G402&lt;=2,H402&lt;=2),"HIBERNATING",TRUE(),"Other")</f>
        <v>CHAMPION</v>
      </c>
      <c r="K402" s="1" t="n">
        <f aca="false">RANK(E402,$E$7:$E$4378)+COUNTIF($E$7:E402,E402)-1</f>
        <v>371</v>
      </c>
    </row>
    <row r="403" customFormat="false" ht="14.25" hidden="false" customHeight="true" outlineLevel="0" collapsed="false">
      <c r="A403" s="51" t="n">
        <v>12842</v>
      </c>
      <c r="B403" s="53" t="n">
        <v>40816.6479166667</v>
      </c>
      <c r="C403" s="57" t="n">
        <f aca="false">INT($C$2)-INT(Table3[[#This Row],[Last Purchase Date]])</f>
        <v>71</v>
      </c>
      <c r="D403" s="1" t="n">
        <v>2</v>
      </c>
      <c r="E403" s="1" t="n">
        <v>1118.99</v>
      </c>
      <c r="F403" s="1" t="n">
        <f aca="false">ROUND((1-_xlfn.PERCENTRANK.INC($C$7:$C$4378,C403))*9,0)</f>
        <v>4</v>
      </c>
      <c r="G403" s="1" t="n">
        <f aca="false">ROUND(_xlfn.PERCENTRANK.INC($D$7:$D$4378,D403)*9,0)</f>
        <v>3</v>
      </c>
      <c r="H403" s="1" t="n">
        <f aca="false">ROUND(_xlfn.PERCENTRANK.INC($E$7:$E$4378,E403)*9,0)</f>
        <v>6</v>
      </c>
      <c r="I403" s="1" t="str">
        <f aca="false">CONCATENATE(F403,G403,H403)</f>
        <v>436</v>
      </c>
      <c r="J403" s="1" t="str">
        <f aca="false">_xlfn.IFS(AND(F403&gt;=8,G403&gt;=8,H403&gt;=8),"CHAMPION",AND(F403&gt;=6,G403&gt;=7,H403&gt;=6),"LOYAL CUSTOMER",AND(F403&gt;=6,G403&gt;=5,H403&gt;=5),"POTENTIAL LOYALIST",AND(F403&gt;=8,G403&lt;=2,H403&gt;=5),"NEW CUSTOMERS",AND(F403&gt;=6,G403&lt;=2,H403&gt;=3),"PROMISING",AND(F403&gt;=3,G403&gt;=3,H403&gt;=3),"NEED ATTENTION",AND(F403&lt;=4,G403&gt;=6,H403&gt;=6),"AT RISK",AND(F403&lt;=2,G403&gt;=8,H403&gt;=8),"CAN'T LOSE THEM",AND(F403&lt;=2,G403&lt;=2,H403&lt;=2),"HIBERNATING",TRUE(),"Other")</f>
        <v>NEED ATTENTION</v>
      </c>
      <c r="K403" s="1" t="n">
        <f aca="false">RANK(E403,$E$7:$E$4378)+COUNTIF($E$7:E403,E403)-1</f>
        <v>1490</v>
      </c>
    </row>
    <row r="404" customFormat="false" ht="14.25" hidden="false" customHeight="true" outlineLevel="0" collapsed="false">
      <c r="A404" s="51" t="n">
        <v>12843</v>
      </c>
      <c r="B404" s="53" t="n">
        <v>40821.50625</v>
      </c>
      <c r="C404" s="57" t="n">
        <f aca="false">INT($C$2)-INT(Table3[[#This Row],[Last Purchase Date]])</f>
        <v>66</v>
      </c>
      <c r="D404" s="1" t="n">
        <v>9</v>
      </c>
      <c r="E404" s="1" t="n">
        <v>1680.76</v>
      </c>
      <c r="F404" s="1" t="n">
        <f aca="false">ROUND((1-_xlfn.PERCENTRANK.INC($C$7:$C$4378,C404))*9,0)</f>
        <v>4</v>
      </c>
      <c r="G404" s="1" t="n">
        <f aca="false">ROUND(_xlfn.PERCENTRANK.INC($D$7:$D$4378,D404)*9,0)</f>
        <v>8</v>
      </c>
      <c r="H404" s="1" t="n">
        <f aca="false">ROUND(_xlfn.PERCENTRANK.INC($E$7:$E$4378,E404)*9,0)</f>
        <v>7</v>
      </c>
      <c r="I404" s="1" t="str">
        <f aca="false">CONCATENATE(F404,G404,H404)</f>
        <v>487</v>
      </c>
      <c r="J404" s="1" t="str">
        <f aca="false">_xlfn.IFS(AND(F404&gt;=8,G404&gt;=8,H404&gt;=8),"CHAMPION",AND(F404&gt;=6,G404&gt;=7,H404&gt;=6),"LOYAL CUSTOMER",AND(F404&gt;=6,G404&gt;=5,H404&gt;=5),"POTENTIAL LOYALIST",AND(F404&gt;=8,G404&lt;=2,H404&gt;=5),"NEW CUSTOMERS",AND(F404&gt;=6,G404&lt;=2,H404&gt;=3),"PROMISING",AND(F404&gt;=3,G404&gt;=3,H404&gt;=3),"NEED ATTENTION",AND(F404&lt;=4,G404&gt;=6,H404&gt;=6),"AT RISK",AND(F404&lt;=2,G404&gt;=8,H404&gt;=8),"CAN'T LOSE THEM",AND(F404&lt;=2,G404&lt;=2,H404&lt;=2),"HIBERNATING",TRUE(),"Other")</f>
        <v>NEED ATTENTION</v>
      </c>
      <c r="K404" s="1" t="n">
        <f aca="false">RANK(E404,$E$7:$E$4378)+COUNTIF($E$7:E404,E404)-1</f>
        <v>1049</v>
      </c>
    </row>
    <row r="405" customFormat="false" ht="14.25" hidden="false" customHeight="true" outlineLevel="0" collapsed="false">
      <c r="A405" s="51" t="n">
        <v>12844</v>
      </c>
      <c r="B405" s="53" t="n">
        <v>40857.5631944445</v>
      </c>
      <c r="C405" s="57" t="n">
        <f aca="false">INT($C$2)-INT(Table3[[#This Row],[Last Purchase Date]])</f>
        <v>30</v>
      </c>
      <c r="D405" s="1" t="n">
        <v>2</v>
      </c>
      <c r="E405" s="1" t="n">
        <v>325.96</v>
      </c>
      <c r="F405" s="1" t="n">
        <f aca="false">ROUND((1-_xlfn.PERCENTRANK.INC($C$7:$C$4378,C405))*9,0)</f>
        <v>6</v>
      </c>
      <c r="G405" s="1" t="n">
        <f aca="false">ROUND(_xlfn.PERCENTRANK.INC($D$7:$D$4378,D405)*9,0)</f>
        <v>3</v>
      </c>
      <c r="H405" s="1" t="n">
        <f aca="false">ROUND(_xlfn.PERCENTRANK.INC($E$7:$E$4378,E405)*9,0)</f>
        <v>3</v>
      </c>
      <c r="I405" s="1" t="str">
        <f aca="false">CONCATENATE(F405,G405,H405)</f>
        <v>633</v>
      </c>
      <c r="J405" s="1" t="str">
        <f aca="false">_xlfn.IFS(AND(F405&gt;=8,G405&gt;=8,H405&gt;=8),"CHAMPION",AND(F405&gt;=6,G405&gt;=7,H405&gt;=6),"LOYAL CUSTOMER",AND(F405&gt;=6,G405&gt;=5,H405&gt;=5),"POTENTIAL LOYALIST",AND(F405&gt;=8,G405&lt;=2,H405&gt;=5),"NEW CUSTOMERS",AND(F405&gt;=6,G405&lt;=2,H405&gt;=3),"PROMISING",AND(F405&gt;=3,G405&gt;=3,H405&gt;=3),"NEED ATTENTION",AND(F405&lt;=4,G405&gt;=6,H405&gt;=6),"AT RISK",AND(F405&lt;=2,G405&gt;=8,H405&gt;=8),"CAN'T LOSE THEM",AND(F405&lt;=2,G405&lt;=2,H405&lt;=2),"HIBERNATING",TRUE(),"Other")</f>
        <v>NEED ATTENTION</v>
      </c>
      <c r="K405" s="1" t="n">
        <f aca="false">RANK(E405,$E$7:$E$4378)+COUNTIF($E$7:E405,E405)-1</f>
        <v>3113</v>
      </c>
    </row>
    <row r="406" customFormat="false" ht="14.25" hidden="false" customHeight="true" outlineLevel="0" collapsed="false">
      <c r="A406" s="51" t="n">
        <v>12845</v>
      </c>
      <c r="B406" s="53" t="n">
        <v>40619.5652777778</v>
      </c>
      <c r="C406" s="57" t="n">
        <f aca="false">INT($C$2)-INT(Table3[[#This Row],[Last Purchase Date]])</f>
        <v>268</v>
      </c>
      <c r="D406" s="1" t="n">
        <v>4</v>
      </c>
      <c r="E406" s="1" t="n">
        <v>354.09</v>
      </c>
      <c r="F406" s="1" t="n">
        <f aca="false">ROUND((1-_xlfn.PERCENTRANK.INC($C$7:$C$4378,C406))*9,0)</f>
        <v>1</v>
      </c>
      <c r="G406" s="1" t="n">
        <f aca="false">ROUND(_xlfn.PERCENTRANK.INC($D$7:$D$4378,D406)*9,0)</f>
        <v>5</v>
      </c>
      <c r="H406" s="1" t="n">
        <f aca="false">ROUND(_xlfn.PERCENTRANK.INC($E$7:$E$4378,E406)*9,0)</f>
        <v>3</v>
      </c>
      <c r="I406" s="1" t="str">
        <f aca="false">CONCATENATE(F406,G406,H406)</f>
        <v>153</v>
      </c>
      <c r="J406" s="1" t="str">
        <f aca="false">_xlfn.IFS(AND(F406&gt;=8,G406&gt;=8,H406&gt;=8),"CHAMPION",AND(F406&gt;=6,G406&gt;=7,H406&gt;=6),"LOYAL CUSTOMER",AND(F406&gt;=6,G406&gt;=5,H406&gt;=5),"POTENTIAL LOYALIST",AND(F406&gt;=8,G406&lt;=2,H406&gt;=5),"NEW CUSTOMERS",AND(F406&gt;=6,G406&lt;=2,H406&gt;=3),"PROMISING",AND(F406&gt;=3,G406&gt;=3,H406&gt;=3),"NEED ATTENTION",AND(F406&lt;=4,G406&gt;=6,H406&gt;=6),"AT RISK",AND(F406&lt;=2,G406&gt;=8,H406&gt;=8),"CAN'T LOSE THEM",AND(F406&lt;=2,G406&lt;=2,H406&lt;=2),"HIBERNATING",TRUE(),"Other")</f>
        <v>Other</v>
      </c>
      <c r="K406" s="1" t="n">
        <f aca="false">RANK(E406,$E$7:$E$4378)+COUNTIF($E$7:E406,E406)-1</f>
        <v>2987</v>
      </c>
    </row>
    <row r="407" customFormat="false" ht="14.25" hidden="false" customHeight="true" outlineLevel="0" collapsed="false">
      <c r="A407" s="51" t="n">
        <v>12847</v>
      </c>
      <c r="B407" s="53" t="n">
        <v>40864.5527777778</v>
      </c>
      <c r="C407" s="57" t="n">
        <f aca="false">INT($C$2)-INT(Table3[[#This Row],[Last Purchase Date]])</f>
        <v>23</v>
      </c>
      <c r="D407" s="1" t="n">
        <v>1</v>
      </c>
      <c r="E407" s="1" t="n">
        <v>871.54</v>
      </c>
      <c r="F407" s="1" t="n">
        <f aca="false">ROUND((1-_xlfn.PERCENTRANK.INC($C$7:$C$4378,C407))*9,0)</f>
        <v>6</v>
      </c>
      <c r="G407" s="1" t="n">
        <f aca="false">ROUND(_xlfn.PERCENTRANK.INC($D$7:$D$4378,D407)*9,0)</f>
        <v>0</v>
      </c>
      <c r="H407" s="1" t="n">
        <f aca="false">ROUND(_xlfn.PERCENTRANK.INC($E$7:$E$4378,E407)*9,0)</f>
        <v>5</v>
      </c>
      <c r="I407" s="1" t="str">
        <f aca="false">CONCATENATE(F407,G407,H407)</f>
        <v>605</v>
      </c>
      <c r="J407" s="1" t="str">
        <f aca="false">_xlfn.IFS(AND(F407&gt;=8,G407&gt;=8,H407&gt;=8),"CHAMPION",AND(F407&gt;=6,G407&gt;=7,H407&gt;=6),"LOYAL CUSTOMER",AND(F407&gt;=6,G407&gt;=5,H407&gt;=5),"POTENTIAL LOYALIST",AND(F407&gt;=8,G407&lt;=2,H407&gt;=5),"NEW CUSTOMERS",AND(F407&gt;=6,G407&lt;=2,H407&gt;=3),"PROMISING",AND(F407&gt;=3,G407&gt;=3,H407&gt;=3),"NEED ATTENTION",AND(F407&lt;=4,G407&gt;=6,H407&gt;=6),"AT RISK",AND(F407&lt;=2,G407&gt;=8,H407&gt;=8),"CAN'T LOSE THEM",AND(F407&lt;=2,G407&lt;=2,H407&lt;=2),"HIBERNATING",TRUE(),"Other")</f>
        <v>PROMISING</v>
      </c>
      <c r="K407" s="1" t="n">
        <f aca="false">RANK(E407,$E$7:$E$4378)+COUNTIF($E$7:E407,E407)-1</f>
        <v>1798</v>
      </c>
    </row>
    <row r="408" customFormat="false" ht="14.25" hidden="false" customHeight="true" outlineLevel="0" collapsed="false">
      <c r="A408" s="51" t="n">
        <v>12849</v>
      </c>
      <c r="B408" s="53" t="n">
        <v>40855.5701388889</v>
      </c>
      <c r="C408" s="57" t="n">
        <f aca="false">INT($C$2)-INT(Table3[[#This Row],[Last Purchase Date]])</f>
        <v>32</v>
      </c>
      <c r="D408" s="1" t="n">
        <v>2</v>
      </c>
      <c r="E408" s="1" t="n">
        <v>1050.89</v>
      </c>
      <c r="F408" s="1" t="n">
        <f aca="false">ROUND((1-_xlfn.PERCENTRANK.INC($C$7:$C$4378,C408))*9,0)</f>
        <v>5</v>
      </c>
      <c r="G408" s="1" t="n">
        <f aca="false">ROUND(_xlfn.PERCENTRANK.INC($D$7:$D$4378,D408)*9,0)</f>
        <v>3</v>
      </c>
      <c r="H408" s="1" t="n">
        <f aca="false">ROUND(_xlfn.PERCENTRANK.INC($E$7:$E$4378,E408)*9,0)</f>
        <v>6</v>
      </c>
      <c r="I408" s="1" t="str">
        <f aca="false">CONCATENATE(F408,G408,H408)</f>
        <v>536</v>
      </c>
      <c r="J408" s="1" t="str">
        <f aca="false">_xlfn.IFS(AND(F408&gt;=8,G408&gt;=8,H408&gt;=8),"CHAMPION",AND(F408&gt;=6,G408&gt;=7,H408&gt;=6),"LOYAL CUSTOMER",AND(F408&gt;=6,G408&gt;=5,H408&gt;=5),"POTENTIAL LOYALIST",AND(F408&gt;=8,G408&lt;=2,H408&gt;=5),"NEW CUSTOMERS",AND(F408&gt;=6,G408&lt;=2,H408&gt;=3),"PROMISING",AND(F408&gt;=3,G408&gt;=3,H408&gt;=3),"NEED ATTENTION",AND(F408&lt;=4,G408&gt;=6,H408&gt;=6),"AT RISK",AND(F408&lt;=2,G408&gt;=8,H408&gt;=8),"CAN'T LOSE THEM",AND(F408&lt;=2,G408&lt;=2,H408&lt;=2),"HIBERNATING",TRUE(),"Other")</f>
        <v>NEED ATTENTION</v>
      </c>
      <c r="K408" s="1" t="n">
        <f aca="false">RANK(E408,$E$7:$E$4378)+COUNTIF($E$7:E408,E408)-1</f>
        <v>1560</v>
      </c>
    </row>
    <row r="409" customFormat="false" ht="14.25" hidden="false" customHeight="true" outlineLevel="0" collapsed="false">
      <c r="A409" s="51" t="n">
        <v>12851</v>
      </c>
      <c r="B409" s="53" t="n">
        <v>40790.5284722222</v>
      </c>
      <c r="C409" s="57" t="n">
        <f aca="false">INT($C$2)-INT(Table3[[#This Row],[Last Purchase Date]])</f>
        <v>97</v>
      </c>
      <c r="D409" s="1" t="n">
        <v>1</v>
      </c>
      <c r="E409" s="1" t="n">
        <v>135.18</v>
      </c>
      <c r="F409" s="1" t="n">
        <f aca="false">ROUND((1-_xlfn.PERCENTRANK.INC($C$7:$C$4378,C409))*9,0)</f>
        <v>3</v>
      </c>
      <c r="G409" s="1" t="n">
        <f aca="false">ROUND(_xlfn.PERCENTRANK.INC($D$7:$D$4378,D409)*9,0)</f>
        <v>0</v>
      </c>
      <c r="H409" s="1" t="n">
        <f aca="false">ROUND(_xlfn.PERCENTRANK.INC($E$7:$E$4378,E409)*9,0)</f>
        <v>1</v>
      </c>
      <c r="I409" s="1" t="str">
        <f aca="false">CONCATENATE(F409,G409,H409)</f>
        <v>301</v>
      </c>
      <c r="J409" s="1" t="str">
        <f aca="false">_xlfn.IFS(AND(F409&gt;=8,G409&gt;=8,H409&gt;=8),"CHAMPION",AND(F409&gt;=6,G409&gt;=7,H409&gt;=6),"LOYAL CUSTOMER",AND(F409&gt;=6,G409&gt;=5,H409&gt;=5),"POTENTIAL LOYALIST",AND(F409&gt;=8,G409&lt;=2,H409&gt;=5),"NEW CUSTOMERS",AND(F409&gt;=6,G409&lt;=2,H409&gt;=3),"PROMISING",AND(F409&gt;=3,G409&gt;=3,H409&gt;=3),"NEED ATTENTION",AND(F409&lt;=4,G409&gt;=6,H409&gt;=6),"AT RISK",AND(F409&lt;=2,G409&gt;=8,H409&gt;=8),"CAN'T LOSE THEM",AND(F409&lt;=2,G409&lt;=2,H409&lt;=2),"HIBERNATING",TRUE(),"Other")</f>
        <v>Other</v>
      </c>
      <c r="K409" s="1" t="n">
        <f aca="false">RANK(E409,$E$7:$E$4378)+COUNTIF($E$7:E409,E409)-1</f>
        <v>3986</v>
      </c>
    </row>
    <row r="410" customFormat="false" ht="14.25" hidden="false" customHeight="true" outlineLevel="0" collapsed="false">
      <c r="A410" s="51" t="n">
        <v>12852</v>
      </c>
      <c r="B410" s="53" t="n">
        <v>40596.6222222222</v>
      </c>
      <c r="C410" s="57" t="n">
        <f aca="false">INT($C$2)-INT(Table3[[#This Row],[Last Purchase Date]])</f>
        <v>291</v>
      </c>
      <c r="D410" s="1" t="n">
        <v>2</v>
      </c>
      <c r="E410" s="1" t="n">
        <v>299.75</v>
      </c>
      <c r="F410" s="1" t="n">
        <f aca="false">ROUND((1-_xlfn.PERCENTRANK.INC($C$7:$C$4378,C410))*9,0)</f>
        <v>1</v>
      </c>
      <c r="G410" s="1" t="n">
        <f aca="false">ROUND(_xlfn.PERCENTRANK.INC($D$7:$D$4378,D410)*9,0)</f>
        <v>3</v>
      </c>
      <c r="H410" s="1" t="n">
        <f aca="false">ROUND(_xlfn.PERCENTRANK.INC($E$7:$E$4378,E410)*9,0)</f>
        <v>2</v>
      </c>
      <c r="I410" s="1" t="str">
        <f aca="false">CONCATENATE(F410,G410,H410)</f>
        <v>132</v>
      </c>
      <c r="J410" s="1" t="str">
        <f aca="false">_xlfn.IFS(AND(F410&gt;=8,G410&gt;=8,H410&gt;=8),"CHAMPION",AND(F410&gt;=6,G410&gt;=7,H410&gt;=6),"LOYAL CUSTOMER",AND(F410&gt;=6,G410&gt;=5,H410&gt;=5),"POTENTIAL LOYALIST",AND(F410&gt;=8,G410&lt;=2,H410&gt;=5),"NEW CUSTOMERS",AND(F410&gt;=6,G410&lt;=2,H410&gt;=3),"PROMISING",AND(F410&gt;=3,G410&gt;=3,H410&gt;=3),"NEED ATTENTION",AND(F410&lt;=4,G410&gt;=6,H410&gt;=6),"AT RISK",AND(F410&lt;=2,G410&gt;=8,H410&gt;=8),"CAN'T LOSE THEM",AND(F410&lt;=2,G410&lt;=2,H410&lt;=2),"HIBERNATING",TRUE(),"Other")</f>
        <v>Other</v>
      </c>
      <c r="K410" s="1" t="n">
        <f aca="false">RANK(E410,$E$7:$E$4378)+COUNTIF($E$7:E410,E410)-1</f>
        <v>3254</v>
      </c>
    </row>
    <row r="411" customFormat="false" ht="14.25" hidden="false" customHeight="true" outlineLevel="0" collapsed="false">
      <c r="A411" s="51" t="n">
        <v>12853</v>
      </c>
      <c r="B411" s="53" t="n">
        <v>40779.4583333333</v>
      </c>
      <c r="C411" s="57" t="n">
        <f aca="false">INT($C$2)-INT(Table3[[#This Row],[Last Purchase Date]])</f>
        <v>108</v>
      </c>
      <c r="D411" s="1" t="n">
        <v>9</v>
      </c>
      <c r="E411" s="1" t="n">
        <v>1881.7</v>
      </c>
      <c r="F411" s="1" t="n">
        <f aca="false">ROUND((1-_xlfn.PERCENTRANK.INC($C$7:$C$4378,C411))*9,0)</f>
        <v>3</v>
      </c>
      <c r="G411" s="1" t="n">
        <f aca="false">ROUND(_xlfn.PERCENTRANK.INC($D$7:$D$4378,D411)*9,0)</f>
        <v>8</v>
      </c>
      <c r="H411" s="1" t="n">
        <f aca="false">ROUND(_xlfn.PERCENTRANK.INC($E$7:$E$4378,E411)*9,0)</f>
        <v>7</v>
      </c>
      <c r="I411" s="1" t="str">
        <f aca="false">CONCATENATE(F411,G411,H411)</f>
        <v>387</v>
      </c>
      <c r="J411" s="1" t="str">
        <f aca="false">_xlfn.IFS(AND(F411&gt;=8,G411&gt;=8,H411&gt;=8),"CHAMPION",AND(F411&gt;=6,G411&gt;=7,H411&gt;=6),"LOYAL CUSTOMER",AND(F411&gt;=6,G411&gt;=5,H411&gt;=5),"POTENTIAL LOYALIST",AND(F411&gt;=8,G411&lt;=2,H411&gt;=5),"NEW CUSTOMERS",AND(F411&gt;=6,G411&lt;=2,H411&gt;=3),"PROMISING",AND(F411&gt;=3,G411&gt;=3,H411&gt;=3),"NEED ATTENTION",AND(F411&lt;=4,G411&gt;=6,H411&gt;=6),"AT RISK",AND(F411&lt;=2,G411&gt;=8,H411&gt;=8),"CAN'T LOSE THEM",AND(F411&lt;=2,G411&lt;=2,H411&lt;=2),"HIBERNATING",TRUE(),"Other")</f>
        <v>NEED ATTENTION</v>
      </c>
      <c r="K411" s="1" t="n">
        <f aca="false">RANK(E411,$E$7:$E$4378)+COUNTIF($E$7:E411,E411)-1</f>
        <v>928</v>
      </c>
    </row>
    <row r="412" customFormat="false" ht="14.25" hidden="false" customHeight="true" outlineLevel="0" collapsed="false">
      <c r="A412" s="51" t="n">
        <v>12854</v>
      </c>
      <c r="B412" s="53" t="n">
        <v>40808.5104166667</v>
      </c>
      <c r="C412" s="57" t="n">
        <f aca="false">INT($C$2)-INT(Table3[[#This Row],[Last Purchase Date]])</f>
        <v>79</v>
      </c>
      <c r="D412" s="1" t="n">
        <v>5</v>
      </c>
      <c r="E412" s="1" t="n">
        <v>1289.15</v>
      </c>
      <c r="F412" s="1" t="n">
        <f aca="false">ROUND((1-_xlfn.PERCENTRANK.INC($C$7:$C$4378,C412))*9,0)</f>
        <v>3</v>
      </c>
      <c r="G412" s="1" t="n">
        <f aca="false">ROUND(_xlfn.PERCENTRANK.INC($D$7:$D$4378,D412)*9,0)</f>
        <v>6</v>
      </c>
      <c r="H412" s="1" t="n">
        <f aca="false">ROUND(_xlfn.PERCENTRANK.INC($E$7:$E$4378,E412)*9,0)</f>
        <v>6</v>
      </c>
      <c r="I412" s="1" t="str">
        <f aca="false">CONCATENATE(F412,G412,H412)</f>
        <v>366</v>
      </c>
      <c r="J412" s="1" t="str">
        <f aca="false">_xlfn.IFS(AND(F412&gt;=8,G412&gt;=8,H412&gt;=8),"CHAMPION",AND(F412&gt;=6,G412&gt;=7,H412&gt;=6),"LOYAL CUSTOMER",AND(F412&gt;=6,G412&gt;=5,H412&gt;=5),"POTENTIAL LOYALIST",AND(F412&gt;=8,G412&lt;=2,H412&gt;=5),"NEW CUSTOMERS",AND(F412&gt;=6,G412&lt;=2,H412&gt;=3),"PROMISING",AND(F412&gt;=3,G412&gt;=3,H412&gt;=3),"NEED ATTENTION",AND(F412&lt;=4,G412&gt;=6,H412&gt;=6),"AT RISK",AND(F412&lt;=2,G412&gt;=8,H412&gt;=8),"CAN'T LOSE THEM",AND(F412&lt;=2,G412&lt;=2,H412&lt;=2),"HIBERNATING",TRUE(),"Other")</f>
        <v>NEED ATTENTION</v>
      </c>
      <c r="K412" s="1" t="n">
        <f aca="false">RANK(E412,$E$7:$E$4378)+COUNTIF($E$7:E412,E412)-1</f>
        <v>1337</v>
      </c>
    </row>
    <row r="413" customFormat="false" ht="14.25" hidden="false" customHeight="true" outlineLevel="0" collapsed="false">
      <c r="A413" s="51" t="n">
        <v>12855</v>
      </c>
      <c r="B413" s="53" t="n">
        <v>40514.4006944444</v>
      </c>
      <c r="C413" s="57" t="n">
        <f aca="false">INT($C$2)-INT(Table3[[#This Row],[Last Purchase Date]])</f>
        <v>373</v>
      </c>
      <c r="D413" s="1" t="n">
        <v>1</v>
      </c>
      <c r="E413" s="1" t="n">
        <v>38.1</v>
      </c>
      <c r="F413" s="1" t="n">
        <f aca="false">ROUND((1-_xlfn.PERCENTRANK.INC($C$7:$C$4378,C413))*9,0)</f>
        <v>0</v>
      </c>
      <c r="G413" s="1" t="n">
        <f aca="false">ROUND(_xlfn.PERCENTRANK.INC($D$7:$D$4378,D413)*9,0)</f>
        <v>0</v>
      </c>
      <c r="H413" s="1" t="n">
        <f aca="false">ROUND(_xlfn.PERCENTRANK.INC($E$7:$E$4378,E413)*9,0)</f>
        <v>0</v>
      </c>
      <c r="I413" s="1" t="str">
        <f aca="false">CONCATENATE(F413,G413,H413)</f>
        <v>000</v>
      </c>
      <c r="J413" s="1" t="str">
        <f aca="false">_xlfn.IFS(AND(F413&gt;=8,G413&gt;=8,H413&gt;=8),"CHAMPION",AND(F413&gt;=6,G413&gt;=7,H413&gt;=6),"LOYAL CUSTOMER",AND(F413&gt;=6,G413&gt;=5,H413&gt;=5),"POTENTIAL LOYALIST",AND(F413&gt;=8,G413&lt;=2,H413&gt;=5),"NEW CUSTOMERS",AND(F413&gt;=6,G413&lt;=2,H413&gt;=3),"PROMISING",AND(F413&gt;=3,G413&gt;=3,H413&gt;=3),"NEED ATTENTION",AND(F413&lt;=4,G413&gt;=6,H413&gt;=6),"AT RISK",AND(F413&lt;=2,G413&gt;=8,H413&gt;=8),"CAN'T LOSE THEM",AND(F413&lt;=2,G413&lt;=2,H413&lt;=2),"HIBERNATING",TRUE(),"Other")</f>
        <v>HIBERNATING</v>
      </c>
      <c r="K413" s="1" t="n">
        <f aca="false">RANK(E413,$E$7:$E$4378)+COUNTIF($E$7:E413,E413)-1</f>
        <v>4296</v>
      </c>
    </row>
    <row r="414" customFormat="false" ht="14.25" hidden="false" customHeight="true" outlineLevel="0" collapsed="false">
      <c r="A414" s="51" t="n">
        <v>12856</v>
      </c>
      <c r="B414" s="53" t="n">
        <v>40879.4527777778</v>
      </c>
      <c r="C414" s="57" t="n">
        <f aca="false">INT($C$2)-INT(Table3[[#This Row],[Last Purchase Date]])</f>
        <v>8</v>
      </c>
      <c r="D414" s="1" t="n">
        <v>8</v>
      </c>
      <c r="E414" s="1" t="n">
        <v>2162.68</v>
      </c>
      <c r="F414" s="1" t="n">
        <f aca="false">ROUND((1-_xlfn.PERCENTRANK.INC($C$7:$C$4378,C414))*9,0)</f>
        <v>8</v>
      </c>
      <c r="G414" s="1" t="n">
        <f aca="false">ROUND(_xlfn.PERCENTRANK.INC($D$7:$D$4378,D414)*9,0)</f>
        <v>7</v>
      </c>
      <c r="H414" s="1" t="n">
        <f aca="false">ROUND(_xlfn.PERCENTRANK.INC($E$7:$E$4378,E414)*9,0)</f>
        <v>7</v>
      </c>
      <c r="I414" s="1" t="str">
        <f aca="false">CONCATENATE(F414,G414,H414)</f>
        <v>877</v>
      </c>
      <c r="J414" s="1" t="str">
        <f aca="false">_xlfn.IFS(AND(F414&gt;=8,G414&gt;=8,H414&gt;=8),"CHAMPION",AND(F414&gt;=6,G414&gt;=7,H414&gt;=6),"LOYAL CUSTOMER",AND(F414&gt;=6,G414&gt;=5,H414&gt;=5),"POTENTIAL LOYALIST",AND(F414&gt;=8,G414&lt;=2,H414&gt;=5),"NEW CUSTOMERS",AND(F414&gt;=6,G414&lt;=2,H414&gt;=3),"PROMISING",AND(F414&gt;=3,G414&gt;=3,H414&gt;=3),"NEED ATTENTION",AND(F414&lt;=4,G414&gt;=6,H414&gt;=6),"AT RISK",AND(F414&lt;=2,G414&gt;=8,H414&gt;=8),"CAN'T LOSE THEM",AND(F414&lt;=2,G414&lt;=2,H414&lt;=2),"HIBERNATING",TRUE(),"Other")</f>
        <v>LOYAL CUSTOMER</v>
      </c>
      <c r="K414" s="1" t="n">
        <f aca="false">RANK(E414,$E$7:$E$4378)+COUNTIF($E$7:E414,E414)-1</f>
        <v>799</v>
      </c>
    </row>
    <row r="415" customFormat="false" ht="14.25" hidden="false" customHeight="true" outlineLevel="0" collapsed="false">
      <c r="A415" s="51" t="n">
        <v>12857</v>
      </c>
      <c r="B415" s="53" t="n">
        <v>40676.4305555556</v>
      </c>
      <c r="C415" s="57" t="n">
        <f aca="false">INT($C$2)-INT(Table3[[#This Row],[Last Purchase Date]])</f>
        <v>211</v>
      </c>
      <c r="D415" s="1" t="n">
        <v>2</v>
      </c>
      <c r="E415" s="1" t="n">
        <v>1106.4</v>
      </c>
      <c r="F415" s="1" t="n">
        <f aca="false">ROUND((1-_xlfn.PERCENTRANK.INC($C$7:$C$4378,C415))*9,0)</f>
        <v>1</v>
      </c>
      <c r="G415" s="1" t="n">
        <f aca="false">ROUND(_xlfn.PERCENTRANK.INC($D$7:$D$4378,D415)*9,0)</f>
        <v>3</v>
      </c>
      <c r="H415" s="1" t="n">
        <f aca="false">ROUND(_xlfn.PERCENTRANK.INC($E$7:$E$4378,E415)*9,0)</f>
        <v>6</v>
      </c>
      <c r="I415" s="1" t="str">
        <f aca="false">CONCATENATE(F415,G415,H415)</f>
        <v>136</v>
      </c>
      <c r="J415" s="1" t="str">
        <f aca="false">_xlfn.IFS(AND(F415&gt;=8,G415&gt;=8,H415&gt;=8),"CHAMPION",AND(F415&gt;=6,G415&gt;=7,H415&gt;=6),"LOYAL CUSTOMER",AND(F415&gt;=6,G415&gt;=5,H415&gt;=5),"POTENTIAL LOYALIST",AND(F415&gt;=8,G415&lt;=2,H415&gt;=5),"NEW CUSTOMERS",AND(F415&gt;=6,G415&lt;=2,H415&gt;=3),"PROMISING",AND(F415&gt;=3,G415&gt;=3,H415&gt;=3),"NEED ATTENTION",AND(F415&lt;=4,G415&gt;=6,H415&gt;=6),"AT RISK",AND(F415&lt;=2,G415&gt;=8,H415&gt;=8),"CAN'T LOSE THEM",AND(F415&lt;=2,G415&lt;=2,H415&lt;=2),"HIBERNATING",TRUE(),"Other")</f>
        <v>Other</v>
      </c>
      <c r="K415" s="1" t="n">
        <f aca="false">RANK(E415,$E$7:$E$4378)+COUNTIF($E$7:E415,E415)-1</f>
        <v>1505</v>
      </c>
    </row>
    <row r="416" customFormat="false" ht="14.25" hidden="false" customHeight="true" outlineLevel="0" collapsed="false">
      <c r="A416" s="51" t="n">
        <v>12863</v>
      </c>
      <c r="B416" s="53" t="n">
        <v>40834.59375</v>
      </c>
      <c r="C416" s="57" t="n">
        <f aca="false">INT($C$2)-INT(Table3[[#This Row],[Last Purchase Date]])</f>
        <v>53</v>
      </c>
      <c r="D416" s="1" t="n">
        <v>2</v>
      </c>
      <c r="E416" s="1" t="n">
        <v>504.2</v>
      </c>
      <c r="F416" s="1" t="n">
        <f aca="false">ROUND((1-_xlfn.PERCENTRANK.INC($C$7:$C$4378,C416))*9,0)</f>
        <v>4</v>
      </c>
      <c r="G416" s="1" t="n">
        <f aca="false">ROUND(_xlfn.PERCENTRANK.INC($D$7:$D$4378,D416)*9,0)</f>
        <v>3</v>
      </c>
      <c r="H416" s="1" t="n">
        <f aca="false">ROUND(_xlfn.PERCENTRANK.INC($E$7:$E$4378,E416)*9,0)</f>
        <v>4</v>
      </c>
      <c r="I416" s="1" t="str">
        <f aca="false">CONCATENATE(F416,G416,H416)</f>
        <v>434</v>
      </c>
      <c r="J416" s="1" t="str">
        <f aca="false">_xlfn.IFS(AND(F416&gt;=8,G416&gt;=8,H416&gt;=8),"CHAMPION",AND(F416&gt;=6,G416&gt;=7,H416&gt;=6),"LOYAL CUSTOMER",AND(F416&gt;=6,G416&gt;=5,H416&gt;=5),"POTENTIAL LOYALIST",AND(F416&gt;=8,G416&lt;=2,H416&gt;=5),"NEW CUSTOMERS",AND(F416&gt;=6,G416&lt;=2,H416&gt;=3),"PROMISING",AND(F416&gt;=3,G416&gt;=3,H416&gt;=3),"NEED ATTENTION",AND(F416&lt;=4,G416&gt;=6,H416&gt;=6),"AT RISK",AND(F416&lt;=2,G416&gt;=8,H416&gt;=8),"CAN'T LOSE THEM",AND(F416&lt;=2,G416&lt;=2,H416&lt;=2),"HIBERNATING",TRUE(),"Other")</f>
        <v>NEED ATTENTION</v>
      </c>
      <c r="K416" s="1" t="n">
        <f aca="false">RANK(E416,$E$7:$E$4378)+COUNTIF($E$7:E416,E416)-1</f>
        <v>2533</v>
      </c>
    </row>
    <row r="417" customFormat="false" ht="14.25" hidden="false" customHeight="true" outlineLevel="0" collapsed="false">
      <c r="A417" s="51" t="n">
        <v>12864</v>
      </c>
      <c r="B417" s="53" t="n">
        <v>40748.54375</v>
      </c>
      <c r="C417" s="57" t="n">
        <f aca="false">INT($C$2)-INT(Table3[[#This Row],[Last Purchase Date]])</f>
        <v>139</v>
      </c>
      <c r="D417" s="1" t="n">
        <v>1</v>
      </c>
      <c r="E417" s="1" t="n">
        <v>147.12</v>
      </c>
      <c r="F417" s="1" t="n">
        <f aca="false">ROUND((1-_xlfn.PERCENTRANK.INC($C$7:$C$4378,C417))*9,0)</f>
        <v>2</v>
      </c>
      <c r="G417" s="1" t="n">
        <f aca="false">ROUND(_xlfn.PERCENTRANK.INC($D$7:$D$4378,D417)*9,0)</f>
        <v>0</v>
      </c>
      <c r="H417" s="1" t="n">
        <f aca="false">ROUND(_xlfn.PERCENTRANK.INC($E$7:$E$4378,E417)*9,0)</f>
        <v>1</v>
      </c>
      <c r="I417" s="1" t="str">
        <f aca="false">CONCATENATE(F417,G417,H417)</f>
        <v>201</v>
      </c>
      <c r="J417" s="1" t="str">
        <f aca="false">_xlfn.IFS(AND(F417&gt;=8,G417&gt;=8,H417&gt;=8),"CHAMPION",AND(F417&gt;=6,G417&gt;=7,H417&gt;=6),"LOYAL CUSTOMER",AND(F417&gt;=6,G417&gt;=5,H417&gt;=5),"POTENTIAL LOYALIST",AND(F417&gt;=8,G417&lt;=2,H417&gt;=5),"NEW CUSTOMERS",AND(F417&gt;=6,G417&lt;=2,H417&gt;=3),"PROMISING",AND(F417&gt;=3,G417&gt;=3,H417&gt;=3),"NEED ATTENTION",AND(F417&lt;=4,G417&gt;=6,H417&gt;=6),"AT RISK",AND(F417&lt;=2,G417&gt;=8,H417&gt;=8),"CAN'T LOSE THEM",AND(F417&lt;=2,G417&lt;=2,H417&lt;=2),"HIBERNATING",TRUE(),"Other")</f>
        <v>HIBERNATING</v>
      </c>
      <c r="K417" s="1" t="n">
        <f aca="false">RANK(E417,$E$7:$E$4378)+COUNTIF($E$7:E417,E417)-1</f>
        <v>3931</v>
      </c>
    </row>
    <row r="418" customFormat="false" ht="14.25" hidden="false" customHeight="true" outlineLevel="0" collapsed="false">
      <c r="A418" s="51" t="n">
        <v>12865</v>
      </c>
      <c r="B418" s="53" t="n">
        <v>40860.6048611111</v>
      </c>
      <c r="C418" s="57" t="n">
        <f aca="false">INT($C$2)-INT(Table3[[#This Row],[Last Purchase Date]])</f>
        <v>27</v>
      </c>
      <c r="D418" s="1" t="n">
        <v>3</v>
      </c>
      <c r="E418" s="1" t="n">
        <v>1548.07</v>
      </c>
      <c r="F418" s="1" t="n">
        <f aca="false">ROUND((1-_xlfn.PERCENTRANK.INC($C$7:$C$4378,C418))*9,0)</f>
        <v>6</v>
      </c>
      <c r="G418" s="1" t="n">
        <f aca="false">ROUND(_xlfn.PERCENTRANK.INC($D$7:$D$4378,D418)*9,0)</f>
        <v>4</v>
      </c>
      <c r="H418" s="1" t="n">
        <f aca="false">ROUND(_xlfn.PERCENTRANK.INC($E$7:$E$4378,E418)*9,0)</f>
        <v>7</v>
      </c>
      <c r="I418" s="1" t="str">
        <f aca="false">CONCATENATE(F418,G418,H418)</f>
        <v>647</v>
      </c>
      <c r="J418" s="1" t="str">
        <f aca="false">_xlfn.IFS(AND(F418&gt;=8,G418&gt;=8,H418&gt;=8),"CHAMPION",AND(F418&gt;=6,G418&gt;=7,H418&gt;=6),"LOYAL CUSTOMER",AND(F418&gt;=6,G418&gt;=5,H418&gt;=5),"POTENTIAL LOYALIST",AND(F418&gt;=8,G418&lt;=2,H418&gt;=5),"NEW CUSTOMERS",AND(F418&gt;=6,G418&lt;=2,H418&gt;=3),"PROMISING",AND(F418&gt;=3,G418&gt;=3,H418&gt;=3),"NEED ATTENTION",AND(F418&lt;=4,G418&gt;=6,H418&gt;=6),"AT RISK",AND(F418&lt;=2,G418&gt;=8,H418&gt;=8),"CAN'T LOSE THEM",AND(F418&lt;=2,G418&lt;=2,H418&lt;=2),"HIBERNATING",TRUE(),"Other")</f>
        <v>NEED ATTENTION</v>
      </c>
      <c r="K418" s="1" t="n">
        <f aca="false">RANK(E418,$E$7:$E$4378)+COUNTIF($E$7:E418,E418)-1</f>
        <v>1128</v>
      </c>
    </row>
    <row r="419" customFormat="false" ht="14.25" hidden="false" customHeight="true" outlineLevel="0" collapsed="false">
      <c r="A419" s="51" t="n">
        <v>12866</v>
      </c>
      <c r="B419" s="53" t="n">
        <v>40603.5909722222</v>
      </c>
      <c r="C419" s="57" t="n">
        <f aca="false">INT($C$2)-INT(Table3[[#This Row],[Last Purchase Date]])</f>
        <v>284</v>
      </c>
      <c r="D419" s="1" t="n">
        <v>1</v>
      </c>
      <c r="E419" s="1" t="n">
        <v>559.12</v>
      </c>
      <c r="F419" s="1" t="n">
        <f aca="false">ROUND((1-_xlfn.PERCENTRANK.INC($C$7:$C$4378,C419))*9,0)</f>
        <v>1</v>
      </c>
      <c r="G419" s="1" t="n">
        <f aca="false">ROUND(_xlfn.PERCENTRANK.INC($D$7:$D$4378,D419)*9,0)</f>
        <v>0</v>
      </c>
      <c r="H419" s="1" t="n">
        <f aca="false">ROUND(_xlfn.PERCENTRANK.INC($E$7:$E$4378,E419)*9,0)</f>
        <v>4</v>
      </c>
      <c r="I419" s="1" t="str">
        <f aca="false">CONCATENATE(F419,G419,H419)</f>
        <v>104</v>
      </c>
      <c r="J419" s="1" t="str">
        <f aca="false">_xlfn.IFS(AND(F419&gt;=8,G419&gt;=8,H419&gt;=8),"CHAMPION",AND(F419&gt;=6,G419&gt;=7,H419&gt;=6),"LOYAL CUSTOMER",AND(F419&gt;=6,G419&gt;=5,H419&gt;=5),"POTENTIAL LOYALIST",AND(F419&gt;=8,G419&lt;=2,H419&gt;=5),"NEW CUSTOMERS",AND(F419&gt;=6,G419&lt;=2,H419&gt;=3),"PROMISING",AND(F419&gt;=3,G419&gt;=3,H419&gt;=3),"NEED ATTENTION",AND(F419&lt;=4,G419&gt;=6,H419&gt;=6),"AT RISK",AND(F419&lt;=2,G419&gt;=8,H419&gt;=8),"CAN'T LOSE THEM",AND(F419&lt;=2,G419&lt;=2,H419&lt;=2),"HIBERNATING",TRUE(),"Other")</f>
        <v>Other</v>
      </c>
      <c r="K419" s="1" t="n">
        <f aca="false">RANK(E419,$E$7:$E$4378)+COUNTIF($E$7:E419,E419)-1</f>
        <v>2410</v>
      </c>
    </row>
    <row r="420" customFormat="false" ht="14.25" hidden="false" customHeight="true" outlineLevel="0" collapsed="false">
      <c r="A420" s="51" t="n">
        <v>12867</v>
      </c>
      <c r="B420" s="53" t="n">
        <v>40860.6458333333</v>
      </c>
      <c r="C420" s="57" t="n">
        <f aca="false">INT($C$2)-INT(Table3[[#This Row],[Last Purchase Date]])</f>
        <v>27</v>
      </c>
      <c r="D420" s="1" t="n">
        <v>10</v>
      </c>
      <c r="E420" s="1" t="n">
        <v>3986.22</v>
      </c>
      <c r="F420" s="1" t="n">
        <f aca="false">ROUND((1-_xlfn.PERCENTRANK.INC($C$7:$C$4378,C420))*9,0)</f>
        <v>6</v>
      </c>
      <c r="G420" s="1" t="n">
        <f aca="false">ROUND(_xlfn.PERCENTRANK.INC($D$7:$D$4378,D420)*9,0)</f>
        <v>8</v>
      </c>
      <c r="H420" s="1" t="n">
        <f aca="false">ROUND(_xlfn.PERCENTRANK.INC($E$7:$E$4378,E420)*9,0)</f>
        <v>8</v>
      </c>
      <c r="I420" s="1" t="str">
        <f aca="false">CONCATENATE(F420,G420,H420)</f>
        <v>688</v>
      </c>
      <c r="J420" s="1" t="str">
        <f aca="false">_xlfn.IFS(AND(F420&gt;=8,G420&gt;=8,H420&gt;=8),"CHAMPION",AND(F420&gt;=6,G420&gt;=7,H420&gt;=6),"LOYAL CUSTOMER",AND(F420&gt;=6,G420&gt;=5,H420&gt;=5),"POTENTIAL LOYALIST",AND(F420&gt;=8,G420&lt;=2,H420&gt;=5),"NEW CUSTOMERS",AND(F420&gt;=6,G420&lt;=2,H420&gt;=3),"PROMISING",AND(F420&gt;=3,G420&gt;=3,H420&gt;=3),"NEED ATTENTION",AND(F420&lt;=4,G420&gt;=6,H420&gt;=6),"AT RISK",AND(F420&lt;=2,G420&gt;=8,H420&gt;=8),"CAN'T LOSE THEM",AND(F420&lt;=2,G420&lt;=2,H420&lt;=2),"HIBERNATING",TRUE(),"Other")</f>
        <v>LOYAL CUSTOMER</v>
      </c>
      <c r="K420" s="1" t="n">
        <f aca="false">RANK(E420,$E$7:$E$4378)+COUNTIF($E$7:E420,E420)-1</f>
        <v>355</v>
      </c>
    </row>
    <row r="421" customFormat="false" ht="14.25" hidden="false" customHeight="true" outlineLevel="0" collapsed="false">
      <c r="A421" s="51" t="n">
        <v>12868</v>
      </c>
      <c r="B421" s="53" t="n">
        <v>40701.4458333333</v>
      </c>
      <c r="C421" s="57" t="n">
        <f aca="false">INT($C$2)-INT(Table3[[#This Row],[Last Purchase Date]])</f>
        <v>186</v>
      </c>
      <c r="D421" s="1" t="n">
        <v>6</v>
      </c>
      <c r="E421" s="1" t="n">
        <v>1607.06</v>
      </c>
      <c r="F421" s="1" t="n">
        <f aca="false">ROUND((1-_xlfn.PERCENTRANK.INC($C$7:$C$4378,C421))*9,0)</f>
        <v>2</v>
      </c>
      <c r="G421" s="1" t="n">
        <f aca="false">ROUND(_xlfn.PERCENTRANK.INC($D$7:$D$4378,D421)*9,0)</f>
        <v>7</v>
      </c>
      <c r="H421" s="1" t="n">
        <f aca="false">ROUND(_xlfn.PERCENTRANK.INC($E$7:$E$4378,E421)*9,0)</f>
        <v>7</v>
      </c>
      <c r="I421" s="1" t="str">
        <f aca="false">CONCATENATE(F421,G421,H421)</f>
        <v>277</v>
      </c>
      <c r="J421" s="1" t="str">
        <f aca="false">_xlfn.IFS(AND(F421&gt;=8,G421&gt;=8,H421&gt;=8),"CHAMPION",AND(F421&gt;=6,G421&gt;=7,H421&gt;=6),"LOYAL CUSTOMER",AND(F421&gt;=6,G421&gt;=5,H421&gt;=5),"POTENTIAL LOYALIST",AND(F421&gt;=8,G421&lt;=2,H421&gt;=5),"NEW CUSTOMERS",AND(F421&gt;=6,G421&lt;=2,H421&gt;=3),"PROMISING",AND(F421&gt;=3,G421&gt;=3,H421&gt;=3),"NEED ATTENTION",AND(F421&lt;=4,G421&gt;=6,H421&gt;=6),"AT RISK",AND(F421&lt;=2,G421&gt;=8,H421&gt;=8),"CAN'T LOSE THEM",AND(F421&lt;=2,G421&lt;=2,H421&lt;=2),"HIBERNATING",TRUE(),"Other")</f>
        <v>AT RISK</v>
      </c>
      <c r="K421" s="1" t="n">
        <f aca="false">RANK(E421,$E$7:$E$4378)+COUNTIF($E$7:E421,E421)-1</f>
        <v>1098</v>
      </c>
    </row>
    <row r="422" customFormat="false" ht="14.25" hidden="false" customHeight="true" outlineLevel="0" collapsed="false">
      <c r="A422" s="51" t="n">
        <v>12870</v>
      </c>
      <c r="B422" s="53" t="n">
        <v>40520.6020833333</v>
      </c>
      <c r="C422" s="57" t="n">
        <f aca="false">INT($C$2)-INT(Table3[[#This Row],[Last Purchase Date]])</f>
        <v>367</v>
      </c>
      <c r="D422" s="1" t="n">
        <v>1</v>
      </c>
      <c r="E422" s="1" t="n">
        <v>-14.9</v>
      </c>
      <c r="F422" s="1" t="n">
        <f aca="false">ROUND((1-_xlfn.PERCENTRANK.INC($C$7:$C$4378,C422))*9,0)</f>
        <v>0</v>
      </c>
      <c r="G422" s="1" t="n">
        <f aca="false">ROUND(_xlfn.PERCENTRANK.INC($D$7:$D$4378,D422)*9,0)</f>
        <v>0</v>
      </c>
      <c r="H422" s="1" t="n">
        <f aca="false">ROUND(_xlfn.PERCENTRANK.INC($E$7:$E$4378,E422)*9,0)</f>
        <v>0</v>
      </c>
      <c r="I422" s="1" t="str">
        <f aca="false">CONCATENATE(F422,G422,H422)</f>
        <v>000</v>
      </c>
      <c r="J422" s="1" t="str">
        <f aca="false">_xlfn.IFS(AND(F422&gt;=8,G422&gt;=8,H422&gt;=8),"CHAMPION",AND(F422&gt;=6,G422&gt;=7,H422&gt;=6),"LOYAL CUSTOMER",AND(F422&gt;=6,G422&gt;=5,H422&gt;=5),"POTENTIAL LOYALIST",AND(F422&gt;=8,G422&lt;=2,H422&gt;=5),"NEW CUSTOMERS",AND(F422&gt;=6,G422&lt;=2,H422&gt;=3),"PROMISING",AND(F422&gt;=3,G422&gt;=3,H422&gt;=3),"NEED ATTENTION",AND(F422&lt;=4,G422&gt;=6,H422&gt;=6),"AT RISK",AND(F422&lt;=2,G422&gt;=8,H422&gt;=8),"CAN'T LOSE THEM",AND(F422&lt;=2,G422&lt;=2,H422&lt;=2),"HIBERNATING",TRUE(),"Other")</f>
        <v>HIBERNATING</v>
      </c>
      <c r="K422" s="1" t="n">
        <f aca="false">RANK(E422,$E$7:$E$4378)+COUNTIF($E$7:E422,E422)-1</f>
        <v>4341</v>
      </c>
    </row>
    <row r="423" customFormat="false" ht="14.25" hidden="false" customHeight="true" outlineLevel="0" collapsed="false">
      <c r="A423" s="51" t="n">
        <v>12871</v>
      </c>
      <c r="B423" s="53" t="n">
        <v>40802.6298611111</v>
      </c>
      <c r="C423" s="57" t="n">
        <f aca="false">INT($C$2)-INT(Table3[[#This Row],[Last Purchase Date]])</f>
        <v>85</v>
      </c>
      <c r="D423" s="1" t="n">
        <v>2</v>
      </c>
      <c r="E423" s="1" t="n">
        <v>380.64</v>
      </c>
      <c r="F423" s="1" t="n">
        <f aca="false">ROUND((1-_xlfn.PERCENTRANK.INC($C$7:$C$4378,C423))*9,0)</f>
        <v>3</v>
      </c>
      <c r="G423" s="1" t="n">
        <f aca="false">ROUND(_xlfn.PERCENTRANK.INC($D$7:$D$4378,D423)*9,0)</f>
        <v>3</v>
      </c>
      <c r="H423" s="1" t="n">
        <f aca="false">ROUND(_xlfn.PERCENTRANK.INC($E$7:$E$4378,E423)*9,0)</f>
        <v>3</v>
      </c>
      <c r="I423" s="1" t="str">
        <f aca="false">CONCATENATE(F423,G423,H423)</f>
        <v>333</v>
      </c>
      <c r="J423" s="1" t="str">
        <f aca="false">_xlfn.IFS(AND(F423&gt;=8,G423&gt;=8,H423&gt;=8),"CHAMPION",AND(F423&gt;=6,G423&gt;=7,H423&gt;=6),"LOYAL CUSTOMER",AND(F423&gt;=6,G423&gt;=5,H423&gt;=5),"POTENTIAL LOYALIST",AND(F423&gt;=8,G423&lt;=2,H423&gt;=5),"NEW CUSTOMERS",AND(F423&gt;=6,G423&lt;=2,H423&gt;=3),"PROMISING",AND(F423&gt;=3,G423&gt;=3,H423&gt;=3),"NEED ATTENTION",AND(F423&lt;=4,G423&gt;=6,H423&gt;=6),"AT RISK",AND(F423&lt;=2,G423&gt;=8,H423&gt;=8),"CAN'T LOSE THEM",AND(F423&lt;=2,G423&lt;=2,H423&lt;=2),"HIBERNATING",TRUE(),"Other")</f>
        <v>NEED ATTENTION</v>
      </c>
      <c r="K423" s="1" t="n">
        <f aca="false">RANK(E423,$E$7:$E$4378)+COUNTIF($E$7:E423,E423)-1</f>
        <v>2885</v>
      </c>
    </row>
    <row r="424" customFormat="false" ht="14.25" hidden="false" customHeight="true" outlineLevel="0" collapsed="false">
      <c r="A424" s="51" t="n">
        <v>12872</v>
      </c>
      <c r="B424" s="53" t="n">
        <v>40560.4527777778</v>
      </c>
      <c r="C424" s="57" t="n">
        <f aca="false">INT($C$2)-INT(Table3[[#This Row],[Last Purchase Date]])</f>
        <v>327</v>
      </c>
      <c r="D424" s="1" t="n">
        <v>2</v>
      </c>
      <c r="E424" s="1" t="n">
        <v>599.97</v>
      </c>
      <c r="F424" s="1" t="n">
        <f aca="false">ROUND((1-_xlfn.PERCENTRANK.INC($C$7:$C$4378,C424))*9,0)</f>
        <v>0</v>
      </c>
      <c r="G424" s="1" t="n">
        <f aca="false">ROUND(_xlfn.PERCENTRANK.INC($D$7:$D$4378,D424)*9,0)</f>
        <v>3</v>
      </c>
      <c r="H424" s="1" t="n">
        <f aca="false">ROUND(_xlfn.PERCENTRANK.INC($E$7:$E$4378,E424)*9,0)</f>
        <v>4</v>
      </c>
      <c r="I424" s="1" t="str">
        <f aca="false">CONCATENATE(F424,G424,H424)</f>
        <v>034</v>
      </c>
      <c r="J424" s="1" t="str">
        <f aca="false">_xlfn.IFS(AND(F424&gt;=8,G424&gt;=8,H424&gt;=8),"CHAMPION",AND(F424&gt;=6,G424&gt;=7,H424&gt;=6),"LOYAL CUSTOMER",AND(F424&gt;=6,G424&gt;=5,H424&gt;=5),"POTENTIAL LOYALIST",AND(F424&gt;=8,G424&lt;=2,H424&gt;=5),"NEW CUSTOMERS",AND(F424&gt;=6,G424&lt;=2,H424&gt;=3),"PROMISING",AND(F424&gt;=3,G424&gt;=3,H424&gt;=3),"NEED ATTENTION",AND(F424&lt;=4,G424&gt;=6,H424&gt;=6),"AT RISK",AND(F424&lt;=2,G424&gt;=8,H424&gt;=8),"CAN'T LOSE THEM",AND(F424&lt;=2,G424&lt;=2,H424&lt;=2),"HIBERNATING",TRUE(),"Other")</f>
        <v>Other</v>
      </c>
      <c r="K424" s="1" t="n">
        <f aca="false">RANK(E424,$E$7:$E$4378)+COUNTIF($E$7:E424,E424)-1</f>
        <v>2318</v>
      </c>
    </row>
    <row r="425" customFormat="false" ht="14.25" hidden="false" customHeight="true" outlineLevel="0" collapsed="false">
      <c r="A425" s="51" t="n">
        <v>12873</v>
      </c>
      <c r="B425" s="53" t="n">
        <v>40604.6236111111</v>
      </c>
      <c r="C425" s="57" t="n">
        <f aca="false">INT($C$2)-INT(Table3[[#This Row],[Last Purchase Date]])</f>
        <v>283</v>
      </c>
      <c r="D425" s="1" t="n">
        <v>1</v>
      </c>
      <c r="E425" s="1" t="n">
        <v>374</v>
      </c>
      <c r="F425" s="1" t="n">
        <f aca="false">ROUND((1-_xlfn.PERCENTRANK.INC($C$7:$C$4378,C425))*9,0)</f>
        <v>1</v>
      </c>
      <c r="G425" s="1" t="n">
        <f aca="false">ROUND(_xlfn.PERCENTRANK.INC($D$7:$D$4378,D425)*9,0)</f>
        <v>0</v>
      </c>
      <c r="H425" s="1" t="n">
        <f aca="false">ROUND(_xlfn.PERCENTRANK.INC($E$7:$E$4378,E425)*9,0)</f>
        <v>3</v>
      </c>
      <c r="I425" s="1" t="str">
        <f aca="false">CONCATENATE(F425,G425,H425)</f>
        <v>103</v>
      </c>
      <c r="J425" s="1" t="str">
        <f aca="false">_xlfn.IFS(AND(F425&gt;=8,G425&gt;=8,H425&gt;=8),"CHAMPION",AND(F425&gt;=6,G425&gt;=7,H425&gt;=6),"LOYAL CUSTOMER",AND(F425&gt;=6,G425&gt;=5,H425&gt;=5),"POTENTIAL LOYALIST",AND(F425&gt;=8,G425&lt;=2,H425&gt;=5),"NEW CUSTOMERS",AND(F425&gt;=6,G425&lt;=2,H425&gt;=3),"PROMISING",AND(F425&gt;=3,G425&gt;=3,H425&gt;=3),"NEED ATTENTION",AND(F425&lt;=4,G425&gt;=6,H425&gt;=6),"AT RISK",AND(F425&lt;=2,G425&gt;=8,H425&gt;=8),"CAN'T LOSE THEM",AND(F425&lt;=2,G425&lt;=2,H425&lt;=2),"HIBERNATING",TRUE(),"Other")</f>
        <v>Other</v>
      </c>
      <c r="K425" s="1" t="n">
        <f aca="false">RANK(E425,$E$7:$E$4378)+COUNTIF($E$7:E425,E425)-1</f>
        <v>2916</v>
      </c>
    </row>
    <row r="426" customFormat="false" ht="14.25" hidden="false" customHeight="true" outlineLevel="0" collapsed="false">
      <c r="A426" s="51" t="n">
        <v>12875</v>
      </c>
      <c r="B426" s="53" t="n">
        <v>40743.6458333333</v>
      </c>
      <c r="C426" s="57" t="n">
        <f aca="false">INT($C$2)-INT(Table3[[#This Row],[Last Purchase Date]])</f>
        <v>144</v>
      </c>
      <c r="D426" s="1" t="n">
        <v>2</v>
      </c>
      <c r="E426" s="1" t="n">
        <v>343.23</v>
      </c>
      <c r="F426" s="1" t="n">
        <f aca="false">ROUND((1-_xlfn.PERCENTRANK.INC($C$7:$C$4378,C426))*9,0)</f>
        <v>2</v>
      </c>
      <c r="G426" s="1" t="n">
        <f aca="false">ROUND(_xlfn.PERCENTRANK.INC($D$7:$D$4378,D426)*9,0)</f>
        <v>3</v>
      </c>
      <c r="H426" s="1" t="n">
        <f aca="false">ROUND(_xlfn.PERCENTRANK.INC($E$7:$E$4378,E426)*9,0)</f>
        <v>3</v>
      </c>
      <c r="I426" s="1" t="str">
        <f aca="false">CONCATENATE(F426,G426,H426)</f>
        <v>233</v>
      </c>
      <c r="J426" s="1" t="str">
        <f aca="false">_xlfn.IFS(AND(F426&gt;=8,G426&gt;=8,H426&gt;=8),"CHAMPION",AND(F426&gt;=6,G426&gt;=7,H426&gt;=6),"LOYAL CUSTOMER",AND(F426&gt;=6,G426&gt;=5,H426&gt;=5),"POTENTIAL LOYALIST",AND(F426&gt;=8,G426&lt;=2,H426&gt;=5),"NEW CUSTOMERS",AND(F426&gt;=6,G426&lt;=2,H426&gt;=3),"PROMISING",AND(F426&gt;=3,G426&gt;=3,H426&gt;=3),"NEED ATTENTION",AND(F426&lt;=4,G426&gt;=6,H426&gt;=6),"AT RISK",AND(F426&lt;=2,G426&gt;=8,H426&gt;=8),"CAN'T LOSE THEM",AND(F426&lt;=2,G426&lt;=2,H426&lt;=2),"HIBERNATING",TRUE(),"Other")</f>
        <v>Other</v>
      </c>
      <c r="K426" s="1" t="n">
        <f aca="false">RANK(E426,$E$7:$E$4378)+COUNTIF($E$7:E426,E426)-1</f>
        <v>3041</v>
      </c>
    </row>
    <row r="427" customFormat="false" ht="14.25" hidden="false" customHeight="true" outlineLevel="0" collapsed="false">
      <c r="A427" s="51" t="n">
        <v>12876</v>
      </c>
      <c r="B427" s="53" t="n">
        <v>40829.5180555556</v>
      </c>
      <c r="C427" s="57" t="n">
        <f aca="false">INT($C$2)-INT(Table3[[#This Row],[Last Purchase Date]])</f>
        <v>58</v>
      </c>
      <c r="D427" s="1" t="n">
        <v>2</v>
      </c>
      <c r="E427" s="1" t="n">
        <v>2218.02</v>
      </c>
      <c r="F427" s="1" t="n">
        <f aca="false">ROUND((1-_xlfn.PERCENTRANK.INC($C$7:$C$4378,C427))*9,0)</f>
        <v>4</v>
      </c>
      <c r="G427" s="1" t="n">
        <f aca="false">ROUND(_xlfn.PERCENTRANK.INC($D$7:$D$4378,D427)*9,0)</f>
        <v>3</v>
      </c>
      <c r="H427" s="1" t="n">
        <f aca="false">ROUND(_xlfn.PERCENTRANK.INC($E$7:$E$4378,E427)*9,0)</f>
        <v>7</v>
      </c>
      <c r="I427" s="1" t="str">
        <f aca="false">CONCATENATE(F427,G427,H427)</f>
        <v>437</v>
      </c>
      <c r="J427" s="1" t="str">
        <f aca="false">_xlfn.IFS(AND(F427&gt;=8,G427&gt;=8,H427&gt;=8),"CHAMPION",AND(F427&gt;=6,G427&gt;=7,H427&gt;=6),"LOYAL CUSTOMER",AND(F427&gt;=6,G427&gt;=5,H427&gt;=5),"POTENTIAL LOYALIST",AND(F427&gt;=8,G427&lt;=2,H427&gt;=5),"NEW CUSTOMERS",AND(F427&gt;=6,G427&lt;=2,H427&gt;=3),"PROMISING",AND(F427&gt;=3,G427&gt;=3,H427&gt;=3),"NEED ATTENTION",AND(F427&lt;=4,G427&gt;=6,H427&gt;=6),"AT RISK",AND(F427&lt;=2,G427&gt;=8,H427&gt;=8),"CAN'T LOSE THEM",AND(F427&lt;=2,G427&lt;=2,H427&lt;=2),"HIBERNATING",TRUE(),"Other")</f>
        <v>NEED ATTENTION</v>
      </c>
      <c r="K427" s="1" t="n">
        <f aca="false">RANK(E427,$E$7:$E$4378)+COUNTIF($E$7:E427,E427)-1</f>
        <v>772</v>
      </c>
    </row>
    <row r="428" customFormat="false" ht="14.25" hidden="false" customHeight="true" outlineLevel="0" collapsed="false">
      <c r="A428" s="51" t="n">
        <v>12877</v>
      </c>
      <c r="B428" s="53" t="n">
        <v>40883.4375</v>
      </c>
      <c r="C428" s="57" t="n">
        <f aca="false">INT($C$2)-INT(Table3[[#This Row],[Last Purchase Date]])</f>
        <v>4</v>
      </c>
      <c r="D428" s="1" t="n">
        <v>12</v>
      </c>
      <c r="E428" s="1" t="n">
        <v>1535.77</v>
      </c>
      <c r="F428" s="1" t="n">
        <f aca="false">ROUND((1-_xlfn.PERCENTRANK.INC($C$7:$C$4378,C428))*9,0)</f>
        <v>8</v>
      </c>
      <c r="G428" s="1" t="n">
        <f aca="false">ROUND(_xlfn.PERCENTRANK.INC($D$7:$D$4378,D428)*9,0)</f>
        <v>8</v>
      </c>
      <c r="H428" s="1" t="n">
        <f aca="false">ROUND(_xlfn.PERCENTRANK.INC($E$7:$E$4378,E428)*9,0)</f>
        <v>7</v>
      </c>
      <c r="I428" s="1" t="str">
        <f aca="false">CONCATENATE(F428,G428,H428)</f>
        <v>887</v>
      </c>
      <c r="J428" s="1" t="str">
        <f aca="false">_xlfn.IFS(AND(F428&gt;=8,G428&gt;=8,H428&gt;=8),"CHAMPION",AND(F428&gt;=6,G428&gt;=7,H428&gt;=6),"LOYAL CUSTOMER",AND(F428&gt;=6,G428&gt;=5,H428&gt;=5),"POTENTIAL LOYALIST",AND(F428&gt;=8,G428&lt;=2,H428&gt;=5),"NEW CUSTOMERS",AND(F428&gt;=6,G428&lt;=2,H428&gt;=3),"PROMISING",AND(F428&gt;=3,G428&gt;=3,H428&gt;=3),"NEED ATTENTION",AND(F428&lt;=4,G428&gt;=6,H428&gt;=6),"AT RISK",AND(F428&lt;=2,G428&gt;=8,H428&gt;=8),"CAN'T LOSE THEM",AND(F428&lt;=2,G428&lt;=2,H428&lt;=2),"HIBERNATING",TRUE(),"Other")</f>
        <v>LOYAL CUSTOMER</v>
      </c>
      <c r="K428" s="1" t="n">
        <f aca="false">RANK(E428,$E$7:$E$4378)+COUNTIF($E$7:E428,E428)-1</f>
        <v>1138</v>
      </c>
    </row>
    <row r="429" customFormat="false" ht="14.25" hidden="false" customHeight="true" outlineLevel="0" collapsed="false">
      <c r="A429" s="51" t="n">
        <v>12878</v>
      </c>
      <c r="B429" s="53" t="n">
        <v>40868.6041666667</v>
      </c>
      <c r="C429" s="57" t="n">
        <f aca="false">INT($C$2)-INT(Table3[[#This Row],[Last Purchase Date]])</f>
        <v>19</v>
      </c>
      <c r="D429" s="1" t="n">
        <v>3</v>
      </c>
      <c r="E429" s="1" t="n">
        <v>841.64</v>
      </c>
      <c r="F429" s="1" t="n">
        <f aca="false">ROUND((1-_xlfn.PERCENTRANK.INC($C$7:$C$4378,C429))*9,0)</f>
        <v>7</v>
      </c>
      <c r="G429" s="1" t="n">
        <f aca="false">ROUND(_xlfn.PERCENTRANK.INC($D$7:$D$4378,D429)*9,0)</f>
        <v>4</v>
      </c>
      <c r="H429" s="1" t="n">
        <f aca="false">ROUND(_xlfn.PERCENTRANK.INC($E$7:$E$4378,E429)*9,0)</f>
        <v>5</v>
      </c>
      <c r="I429" s="1" t="str">
        <f aca="false">CONCATENATE(F429,G429,H429)</f>
        <v>745</v>
      </c>
      <c r="J429" s="1" t="str">
        <f aca="false">_xlfn.IFS(AND(F429&gt;=8,G429&gt;=8,H429&gt;=8),"CHAMPION",AND(F429&gt;=6,G429&gt;=7,H429&gt;=6),"LOYAL CUSTOMER",AND(F429&gt;=6,G429&gt;=5,H429&gt;=5),"POTENTIAL LOYALIST",AND(F429&gt;=8,G429&lt;=2,H429&gt;=5),"NEW CUSTOMERS",AND(F429&gt;=6,G429&lt;=2,H429&gt;=3),"PROMISING",AND(F429&gt;=3,G429&gt;=3,H429&gt;=3),"NEED ATTENTION",AND(F429&lt;=4,G429&gt;=6,H429&gt;=6),"AT RISK",AND(F429&lt;=2,G429&gt;=8,H429&gt;=8),"CAN'T LOSE THEM",AND(F429&lt;=2,G429&lt;=2,H429&lt;=2),"HIBERNATING",TRUE(),"Other")</f>
        <v>NEED ATTENTION</v>
      </c>
      <c r="K429" s="1" t="n">
        <f aca="false">RANK(E429,$E$7:$E$4378)+COUNTIF($E$7:E429,E429)-1</f>
        <v>1841</v>
      </c>
    </row>
    <row r="430" customFormat="false" ht="14.25" hidden="false" customHeight="true" outlineLevel="0" collapsed="false">
      <c r="A430" s="51" t="n">
        <v>12879</v>
      </c>
      <c r="B430" s="53" t="n">
        <v>40842.5166666667</v>
      </c>
      <c r="C430" s="57" t="n">
        <f aca="false">INT($C$2)-INT(Table3[[#This Row],[Last Purchase Date]])</f>
        <v>45</v>
      </c>
      <c r="D430" s="1" t="n">
        <v>4</v>
      </c>
      <c r="E430" s="1" t="n">
        <v>552.57</v>
      </c>
      <c r="F430" s="1" t="n">
        <f aca="false">ROUND((1-_xlfn.PERCENTRANK.INC($C$7:$C$4378,C430))*9,0)</f>
        <v>5</v>
      </c>
      <c r="G430" s="1" t="n">
        <f aca="false">ROUND(_xlfn.PERCENTRANK.INC($D$7:$D$4378,D430)*9,0)</f>
        <v>5</v>
      </c>
      <c r="H430" s="1" t="n">
        <f aca="false">ROUND(_xlfn.PERCENTRANK.INC($E$7:$E$4378,E430)*9,0)</f>
        <v>4</v>
      </c>
      <c r="I430" s="1" t="str">
        <f aca="false">CONCATENATE(F430,G430,H430)</f>
        <v>554</v>
      </c>
      <c r="J430" s="1" t="str">
        <f aca="false">_xlfn.IFS(AND(F430&gt;=8,G430&gt;=8,H430&gt;=8),"CHAMPION",AND(F430&gt;=6,G430&gt;=7,H430&gt;=6),"LOYAL CUSTOMER",AND(F430&gt;=6,G430&gt;=5,H430&gt;=5),"POTENTIAL LOYALIST",AND(F430&gt;=8,G430&lt;=2,H430&gt;=5),"NEW CUSTOMERS",AND(F430&gt;=6,G430&lt;=2,H430&gt;=3),"PROMISING",AND(F430&gt;=3,G430&gt;=3,H430&gt;=3),"NEED ATTENTION",AND(F430&lt;=4,G430&gt;=6,H430&gt;=6),"AT RISK",AND(F430&lt;=2,G430&gt;=8,H430&gt;=8),"CAN'T LOSE THEM",AND(F430&lt;=2,G430&lt;=2,H430&lt;=2),"HIBERNATING",TRUE(),"Other")</f>
        <v>NEED ATTENTION</v>
      </c>
      <c r="K430" s="1" t="n">
        <f aca="false">RANK(E430,$E$7:$E$4378)+COUNTIF($E$7:E430,E430)-1</f>
        <v>2425</v>
      </c>
    </row>
    <row r="431" customFormat="false" ht="14.25" hidden="false" customHeight="true" outlineLevel="0" collapsed="false">
      <c r="A431" s="51" t="n">
        <v>12881</v>
      </c>
      <c r="B431" s="53" t="n">
        <v>40611.4888888889</v>
      </c>
      <c r="C431" s="57" t="n">
        <f aca="false">INT($C$2)-INT(Table3[[#This Row],[Last Purchase Date]])</f>
        <v>276</v>
      </c>
      <c r="D431" s="1" t="n">
        <v>1</v>
      </c>
      <c r="E431" s="1" t="n">
        <v>298</v>
      </c>
      <c r="F431" s="1" t="n">
        <f aca="false">ROUND((1-_xlfn.PERCENTRANK.INC($C$7:$C$4378,C431))*9,0)</f>
        <v>1</v>
      </c>
      <c r="G431" s="1" t="n">
        <f aca="false">ROUND(_xlfn.PERCENTRANK.INC($D$7:$D$4378,D431)*9,0)</f>
        <v>0</v>
      </c>
      <c r="H431" s="1" t="n">
        <f aca="false">ROUND(_xlfn.PERCENTRANK.INC($E$7:$E$4378,E431)*9,0)</f>
        <v>2</v>
      </c>
      <c r="I431" s="1" t="str">
        <f aca="false">CONCATENATE(F431,G431,H431)</f>
        <v>102</v>
      </c>
      <c r="J431" s="1" t="str">
        <f aca="false">_xlfn.IFS(AND(F431&gt;=8,G431&gt;=8,H431&gt;=8),"CHAMPION",AND(F431&gt;=6,G431&gt;=7,H431&gt;=6),"LOYAL CUSTOMER",AND(F431&gt;=6,G431&gt;=5,H431&gt;=5),"POTENTIAL LOYALIST",AND(F431&gt;=8,G431&lt;=2,H431&gt;=5),"NEW CUSTOMERS",AND(F431&gt;=6,G431&lt;=2,H431&gt;=3),"PROMISING",AND(F431&gt;=3,G431&gt;=3,H431&gt;=3),"NEED ATTENTION",AND(F431&lt;=4,G431&gt;=6,H431&gt;=6),"AT RISK",AND(F431&lt;=2,G431&gt;=8,H431&gt;=8),"CAN'T LOSE THEM",AND(F431&lt;=2,G431&lt;=2,H431&lt;=2),"HIBERNATING",TRUE(),"Other")</f>
        <v>HIBERNATING</v>
      </c>
      <c r="K431" s="1" t="n">
        <f aca="false">RANK(E431,$E$7:$E$4378)+COUNTIF($E$7:E431,E431)-1</f>
        <v>3262</v>
      </c>
    </row>
    <row r="432" customFormat="false" ht="14.25" hidden="false" customHeight="true" outlineLevel="0" collapsed="false">
      <c r="A432" s="51" t="n">
        <v>12882</v>
      </c>
      <c r="B432" s="53" t="n">
        <v>40877.6791666667</v>
      </c>
      <c r="C432" s="57" t="n">
        <f aca="false">INT($C$2)-INT(Table3[[#This Row],[Last Purchase Date]])</f>
        <v>10</v>
      </c>
      <c r="D432" s="1" t="n">
        <v>2</v>
      </c>
      <c r="E432" s="1" t="n">
        <v>1463.04</v>
      </c>
      <c r="F432" s="1" t="n">
        <f aca="false">ROUND((1-_xlfn.PERCENTRANK.INC($C$7:$C$4378,C432))*9,0)</f>
        <v>8</v>
      </c>
      <c r="G432" s="1" t="n">
        <f aca="false">ROUND(_xlfn.PERCENTRANK.INC($D$7:$D$4378,D432)*9,0)</f>
        <v>3</v>
      </c>
      <c r="H432" s="1" t="n">
        <f aca="false">ROUND(_xlfn.PERCENTRANK.INC($E$7:$E$4378,E432)*9,0)</f>
        <v>7</v>
      </c>
      <c r="I432" s="1" t="str">
        <f aca="false">CONCATENATE(F432,G432,H432)</f>
        <v>837</v>
      </c>
      <c r="J432" s="1" t="str">
        <f aca="false">_xlfn.IFS(AND(F432&gt;=8,G432&gt;=8,H432&gt;=8),"CHAMPION",AND(F432&gt;=6,G432&gt;=7,H432&gt;=6),"LOYAL CUSTOMER",AND(F432&gt;=6,G432&gt;=5,H432&gt;=5),"POTENTIAL LOYALIST",AND(F432&gt;=8,G432&lt;=2,H432&gt;=5),"NEW CUSTOMERS",AND(F432&gt;=6,G432&lt;=2,H432&gt;=3),"PROMISING",AND(F432&gt;=3,G432&gt;=3,H432&gt;=3),"NEED ATTENTION",AND(F432&lt;=4,G432&gt;=6,H432&gt;=6),"AT RISK",AND(F432&lt;=2,G432&gt;=8,H432&gt;=8),"CAN'T LOSE THEM",AND(F432&lt;=2,G432&lt;=2,H432&lt;=2),"HIBERNATING",TRUE(),"Other")</f>
        <v>NEED ATTENTION</v>
      </c>
      <c r="K432" s="1" t="n">
        <f aca="false">RANK(E432,$E$7:$E$4378)+COUNTIF($E$7:E432,E432)-1</f>
        <v>1190</v>
      </c>
    </row>
    <row r="433" customFormat="false" ht="14.25" hidden="false" customHeight="true" outlineLevel="0" collapsed="false">
      <c r="A433" s="51" t="n">
        <v>12883</v>
      </c>
      <c r="B433" s="53" t="n">
        <v>40862.3972222222</v>
      </c>
      <c r="C433" s="57" t="n">
        <f aca="false">INT($C$2)-INT(Table3[[#This Row],[Last Purchase Date]])</f>
        <v>25</v>
      </c>
      <c r="D433" s="1" t="n">
        <v>4</v>
      </c>
      <c r="E433" s="1" t="n">
        <v>703.47</v>
      </c>
      <c r="F433" s="1" t="n">
        <f aca="false">ROUND((1-_xlfn.PERCENTRANK.INC($C$7:$C$4378,C433))*9,0)</f>
        <v>6</v>
      </c>
      <c r="G433" s="1" t="n">
        <f aca="false">ROUND(_xlfn.PERCENTRANK.INC($D$7:$D$4378,D433)*9,0)</f>
        <v>5</v>
      </c>
      <c r="H433" s="1" t="n">
        <f aca="false">ROUND(_xlfn.PERCENTRANK.INC($E$7:$E$4378,E433)*9,0)</f>
        <v>5</v>
      </c>
      <c r="I433" s="1" t="str">
        <f aca="false">CONCATENATE(F433,G433,H433)</f>
        <v>655</v>
      </c>
      <c r="J433" s="1" t="str">
        <f aca="false">_xlfn.IFS(AND(F433&gt;=8,G433&gt;=8,H433&gt;=8),"CHAMPION",AND(F433&gt;=6,G433&gt;=7,H433&gt;=6),"LOYAL CUSTOMER",AND(F433&gt;=6,G433&gt;=5,H433&gt;=5),"POTENTIAL LOYALIST",AND(F433&gt;=8,G433&lt;=2,H433&gt;=5),"NEW CUSTOMERS",AND(F433&gt;=6,G433&lt;=2,H433&gt;=3),"PROMISING",AND(F433&gt;=3,G433&gt;=3,H433&gt;=3),"NEED ATTENTION",AND(F433&lt;=4,G433&gt;=6,H433&gt;=6),"AT RISK",AND(F433&lt;=2,G433&gt;=8,H433&gt;=8),"CAN'T LOSE THEM",AND(F433&lt;=2,G433&lt;=2,H433&lt;=2),"HIBERNATING",TRUE(),"Other")</f>
        <v>POTENTIAL LOYALIST</v>
      </c>
      <c r="K433" s="1" t="n">
        <f aca="false">RANK(E433,$E$7:$E$4378)+COUNTIF($E$7:E433,E433)-1</f>
        <v>2059</v>
      </c>
    </row>
    <row r="434" customFormat="false" ht="14.25" hidden="false" customHeight="true" outlineLevel="0" collapsed="false">
      <c r="A434" s="51" t="n">
        <v>12884</v>
      </c>
      <c r="B434" s="53" t="n">
        <v>40798.5486111111</v>
      </c>
      <c r="C434" s="57" t="n">
        <f aca="false">INT($C$2)-INT(Table3[[#This Row],[Last Purchase Date]])</f>
        <v>89</v>
      </c>
      <c r="D434" s="1" t="n">
        <v>1</v>
      </c>
      <c r="E434" s="1" t="n">
        <v>309.05</v>
      </c>
      <c r="F434" s="1" t="n">
        <f aca="false">ROUND((1-_xlfn.PERCENTRANK.INC($C$7:$C$4378,C434))*9,0)</f>
        <v>3</v>
      </c>
      <c r="G434" s="1" t="n">
        <f aca="false">ROUND(_xlfn.PERCENTRANK.INC($D$7:$D$4378,D434)*9,0)</f>
        <v>0</v>
      </c>
      <c r="H434" s="1" t="n">
        <f aca="false">ROUND(_xlfn.PERCENTRANK.INC($E$7:$E$4378,E434)*9,0)</f>
        <v>2</v>
      </c>
      <c r="I434" s="1" t="str">
        <f aca="false">CONCATENATE(F434,G434,H434)</f>
        <v>302</v>
      </c>
      <c r="J434" s="1" t="str">
        <f aca="false">_xlfn.IFS(AND(F434&gt;=8,G434&gt;=8,H434&gt;=8),"CHAMPION",AND(F434&gt;=6,G434&gt;=7,H434&gt;=6),"LOYAL CUSTOMER",AND(F434&gt;=6,G434&gt;=5,H434&gt;=5),"POTENTIAL LOYALIST",AND(F434&gt;=8,G434&lt;=2,H434&gt;=5),"NEW CUSTOMERS",AND(F434&gt;=6,G434&lt;=2,H434&gt;=3),"PROMISING",AND(F434&gt;=3,G434&gt;=3,H434&gt;=3),"NEED ATTENTION",AND(F434&lt;=4,G434&gt;=6,H434&gt;=6),"AT RISK",AND(F434&lt;=2,G434&gt;=8,H434&gt;=8),"CAN'T LOSE THEM",AND(F434&lt;=2,G434&lt;=2,H434&lt;=2),"HIBERNATING",TRUE(),"Other")</f>
        <v>Other</v>
      </c>
      <c r="K434" s="1" t="n">
        <f aca="false">RANK(E434,$E$7:$E$4378)+COUNTIF($E$7:E434,E434)-1</f>
        <v>3199</v>
      </c>
    </row>
    <row r="435" customFormat="false" ht="14.25" hidden="false" customHeight="true" outlineLevel="0" collapsed="false">
      <c r="A435" s="51" t="n">
        <v>12885</v>
      </c>
      <c r="B435" s="53" t="n">
        <v>40823.5694444445</v>
      </c>
      <c r="C435" s="57" t="n">
        <f aca="false">INT($C$2)-INT(Table3[[#This Row],[Last Purchase Date]])</f>
        <v>64</v>
      </c>
      <c r="D435" s="1" t="n">
        <v>4</v>
      </c>
      <c r="E435" s="1" t="n">
        <v>1158.27</v>
      </c>
      <c r="F435" s="1" t="n">
        <f aca="false">ROUND((1-_xlfn.PERCENTRANK.INC($C$7:$C$4378,C435))*9,0)</f>
        <v>4</v>
      </c>
      <c r="G435" s="1" t="n">
        <f aca="false">ROUND(_xlfn.PERCENTRANK.INC($D$7:$D$4378,D435)*9,0)</f>
        <v>5</v>
      </c>
      <c r="H435" s="1" t="n">
        <f aca="false">ROUND(_xlfn.PERCENTRANK.INC($E$7:$E$4378,E435)*9,0)</f>
        <v>6</v>
      </c>
      <c r="I435" s="1" t="str">
        <f aca="false">CONCATENATE(F435,G435,H435)</f>
        <v>456</v>
      </c>
      <c r="J435" s="1" t="str">
        <f aca="false">_xlfn.IFS(AND(F435&gt;=8,G435&gt;=8,H435&gt;=8),"CHAMPION",AND(F435&gt;=6,G435&gt;=7,H435&gt;=6),"LOYAL CUSTOMER",AND(F435&gt;=6,G435&gt;=5,H435&gt;=5),"POTENTIAL LOYALIST",AND(F435&gt;=8,G435&lt;=2,H435&gt;=5),"NEW CUSTOMERS",AND(F435&gt;=6,G435&lt;=2,H435&gt;=3),"PROMISING",AND(F435&gt;=3,G435&gt;=3,H435&gt;=3),"NEED ATTENTION",AND(F435&lt;=4,G435&gt;=6,H435&gt;=6),"AT RISK",AND(F435&lt;=2,G435&gt;=8,H435&gt;=8),"CAN'T LOSE THEM",AND(F435&lt;=2,G435&lt;=2,H435&lt;=2),"HIBERNATING",TRUE(),"Other")</f>
        <v>NEED ATTENTION</v>
      </c>
      <c r="K435" s="1" t="n">
        <f aca="false">RANK(E435,$E$7:$E$4378)+COUNTIF($E$7:E435,E435)-1</f>
        <v>1443</v>
      </c>
    </row>
    <row r="436" customFormat="false" ht="14.25" hidden="false" customHeight="true" outlineLevel="0" collapsed="false">
      <c r="A436" s="51" t="n">
        <v>12886</v>
      </c>
      <c r="B436" s="53" t="n">
        <v>40819.4229166667</v>
      </c>
      <c r="C436" s="57" t="n">
        <f aca="false">INT($C$2)-INT(Table3[[#This Row],[Last Purchase Date]])</f>
        <v>68</v>
      </c>
      <c r="D436" s="1" t="n">
        <v>3</v>
      </c>
      <c r="E436" s="1" t="n">
        <v>1351.09</v>
      </c>
      <c r="F436" s="1" t="n">
        <f aca="false">ROUND((1-_xlfn.PERCENTRANK.INC($C$7:$C$4378,C436))*9,0)</f>
        <v>4</v>
      </c>
      <c r="G436" s="1" t="n">
        <f aca="false">ROUND(_xlfn.PERCENTRANK.INC($D$7:$D$4378,D436)*9,0)</f>
        <v>4</v>
      </c>
      <c r="H436" s="1" t="n">
        <f aca="false">ROUND(_xlfn.PERCENTRANK.INC($E$7:$E$4378,E436)*9,0)</f>
        <v>6</v>
      </c>
      <c r="I436" s="1" t="str">
        <f aca="false">CONCATENATE(F436,G436,H436)</f>
        <v>446</v>
      </c>
      <c r="J436" s="1" t="str">
        <f aca="false">_xlfn.IFS(AND(F436&gt;=8,G436&gt;=8,H436&gt;=8),"CHAMPION",AND(F436&gt;=6,G436&gt;=7,H436&gt;=6),"LOYAL CUSTOMER",AND(F436&gt;=6,G436&gt;=5,H436&gt;=5),"POTENTIAL LOYALIST",AND(F436&gt;=8,G436&lt;=2,H436&gt;=5),"NEW CUSTOMERS",AND(F436&gt;=6,G436&lt;=2,H436&gt;=3),"PROMISING",AND(F436&gt;=3,G436&gt;=3,H436&gt;=3),"NEED ATTENTION",AND(F436&lt;=4,G436&gt;=6,H436&gt;=6),"AT RISK",AND(F436&lt;=2,G436&gt;=8,H436&gt;=8),"CAN'T LOSE THEM",AND(F436&lt;=2,G436&lt;=2,H436&lt;=2),"HIBERNATING",TRUE(),"Other")</f>
        <v>NEED ATTENTION</v>
      </c>
      <c r="K436" s="1" t="n">
        <f aca="false">RANK(E436,$E$7:$E$4378)+COUNTIF($E$7:E436,E436)-1</f>
        <v>1277</v>
      </c>
    </row>
    <row r="437" customFormat="false" ht="14.25" hidden="false" customHeight="true" outlineLevel="0" collapsed="false">
      <c r="A437" s="51" t="n">
        <v>12888</v>
      </c>
      <c r="B437" s="53" t="n">
        <v>40672.6680555556</v>
      </c>
      <c r="C437" s="57" t="n">
        <f aca="false">INT($C$2)-INT(Table3[[#This Row],[Last Purchase Date]])</f>
        <v>215</v>
      </c>
      <c r="D437" s="1" t="n">
        <v>4</v>
      </c>
      <c r="E437" s="1" t="n">
        <v>313.77</v>
      </c>
      <c r="F437" s="1" t="n">
        <f aca="false">ROUND((1-_xlfn.PERCENTRANK.INC($C$7:$C$4378,C437))*9,0)</f>
        <v>1</v>
      </c>
      <c r="G437" s="1" t="n">
        <f aca="false">ROUND(_xlfn.PERCENTRANK.INC($D$7:$D$4378,D437)*9,0)</f>
        <v>5</v>
      </c>
      <c r="H437" s="1" t="n">
        <f aca="false">ROUND(_xlfn.PERCENTRANK.INC($E$7:$E$4378,E437)*9,0)</f>
        <v>2</v>
      </c>
      <c r="I437" s="1" t="str">
        <f aca="false">CONCATENATE(F437,G437,H437)</f>
        <v>152</v>
      </c>
      <c r="J437" s="1" t="str">
        <f aca="false">_xlfn.IFS(AND(F437&gt;=8,G437&gt;=8,H437&gt;=8),"CHAMPION",AND(F437&gt;=6,G437&gt;=7,H437&gt;=6),"LOYAL CUSTOMER",AND(F437&gt;=6,G437&gt;=5,H437&gt;=5),"POTENTIAL LOYALIST",AND(F437&gt;=8,G437&lt;=2,H437&gt;=5),"NEW CUSTOMERS",AND(F437&gt;=6,G437&lt;=2,H437&gt;=3),"PROMISING",AND(F437&gt;=3,G437&gt;=3,H437&gt;=3),"NEED ATTENTION",AND(F437&lt;=4,G437&gt;=6,H437&gt;=6),"AT RISK",AND(F437&lt;=2,G437&gt;=8,H437&gt;=8),"CAN'T LOSE THEM",AND(F437&lt;=2,G437&lt;=2,H437&lt;=2),"HIBERNATING",TRUE(),"Other")</f>
        <v>Other</v>
      </c>
      <c r="K437" s="1" t="n">
        <f aca="false">RANK(E437,$E$7:$E$4378)+COUNTIF($E$7:E437,E437)-1</f>
        <v>3171</v>
      </c>
    </row>
    <row r="438" customFormat="false" ht="14.25" hidden="false" customHeight="true" outlineLevel="0" collapsed="false">
      <c r="A438" s="51" t="n">
        <v>12890</v>
      </c>
      <c r="B438" s="53" t="n">
        <v>40862.7263888889</v>
      </c>
      <c r="C438" s="57" t="n">
        <f aca="false">INT($C$2)-INT(Table3[[#This Row],[Last Purchase Date]])</f>
        <v>25</v>
      </c>
      <c r="D438" s="1" t="n">
        <v>1</v>
      </c>
      <c r="E438" s="1" t="n">
        <v>380.47</v>
      </c>
      <c r="F438" s="1" t="n">
        <f aca="false">ROUND((1-_xlfn.PERCENTRANK.INC($C$7:$C$4378,C438))*9,0)</f>
        <v>6</v>
      </c>
      <c r="G438" s="1" t="n">
        <f aca="false">ROUND(_xlfn.PERCENTRANK.INC($D$7:$D$4378,D438)*9,0)</f>
        <v>0</v>
      </c>
      <c r="H438" s="1" t="n">
        <f aca="false">ROUND(_xlfn.PERCENTRANK.INC($E$7:$E$4378,E438)*9,0)</f>
        <v>3</v>
      </c>
      <c r="I438" s="1" t="str">
        <f aca="false">CONCATENATE(F438,G438,H438)</f>
        <v>603</v>
      </c>
      <c r="J438" s="1" t="str">
        <f aca="false">_xlfn.IFS(AND(F438&gt;=8,G438&gt;=8,H438&gt;=8),"CHAMPION",AND(F438&gt;=6,G438&gt;=7,H438&gt;=6),"LOYAL CUSTOMER",AND(F438&gt;=6,G438&gt;=5,H438&gt;=5),"POTENTIAL LOYALIST",AND(F438&gt;=8,G438&lt;=2,H438&gt;=5),"NEW CUSTOMERS",AND(F438&gt;=6,G438&lt;=2,H438&gt;=3),"PROMISING",AND(F438&gt;=3,G438&gt;=3,H438&gt;=3),"NEED ATTENTION",AND(F438&lt;=4,G438&gt;=6,H438&gt;=6),"AT RISK",AND(F438&lt;=2,G438&gt;=8,H438&gt;=8),"CAN'T LOSE THEM",AND(F438&lt;=2,G438&lt;=2,H438&lt;=2),"HIBERNATING",TRUE(),"Other")</f>
        <v>PROMISING</v>
      </c>
      <c r="K438" s="1" t="n">
        <f aca="false">RANK(E438,$E$7:$E$4378)+COUNTIF($E$7:E438,E438)-1</f>
        <v>2889</v>
      </c>
    </row>
    <row r="439" customFormat="false" ht="14.25" hidden="false" customHeight="true" outlineLevel="0" collapsed="false">
      <c r="A439" s="51" t="n">
        <v>12891</v>
      </c>
      <c r="B439" s="53" t="n">
        <v>40701.5215277778</v>
      </c>
      <c r="C439" s="57" t="n">
        <f aca="false">INT($C$2)-INT(Table3[[#This Row],[Last Purchase Date]])</f>
        <v>186</v>
      </c>
      <c r="D439" s="1" t="n">
        <v>3</v>
      </c>
      <c r="E439" s="1" t="n">
        <v>331</v>
      </c>
      <c r="F439" s="1" t="n">
        <f aca="false">ROUND((1-_xlfn.PERCENTRANK.INC($C$7:$C$4378,C439))*9,0)</f>
        <v>2</v>
      </c>
      <c r="G439" s="1" t="n">
        <f aca="false">ROUND(_xlfn.PERCENTRANK.INC($D$7:$D$4378,D439)*9,0)</f>
        <v>4</v>
      </c>
      <c r="H439" s="1" t="n">
        <f aca="false">ROUND(_xlfn.PERCENTRANK.INC($E$7:$E$4378,E439)*9,0)</f>
        <v>3</v>
      </c>
      <c r="I439" s="1" t="str">
        <f aca="false">CONCATENATE(F439,G439,H439)</f>
        <v>243</v>
      </c>
      <c r="J439" s="1" t="str">
        <f aca="false">_xlfn.IFS(AND(F439&gt;=8,G439&gt;=8,H439&gt;=8),"CHAMPION",AND(F439&gt;=6,G439&gt;=7,H439&gt;=6),"LOYAL CUSTOMER",AND(F439&gt;=6,G439&gt;=5,H439&gt;=5),"POTENTIAL LOYALIST",AND(F439&gt;=8,G439&lt;=2,H439&gt;=5),"NEW CUSTOMERS",AND(F439&gt;=6,G439&lt;=2,H439&gt;=3),"PROMISING",AND(F439&gt;=3,G439&gt;=3,H439&gt;=3),"NEED ATTENTION",AND(F439&lt;=4,G439&gt;=6,H439&gt;=6),"AT RISK",AND(F439&lt;=2,G439&gt;=8,H439&gt;=8),"CAN'T LOSE THEM",AND(F439&lt;=2,G439&lt;=2,H439&lt;=2),"HIBERNATING",TRUE(),"Other")</f>
        <v>Other</v>
      </c>
      <c r="K439" s="1" t="n">
        <f aca="false">RANK(E439,$E$7:$E$4378)+COUNTIF($E$7:E439,E439)-1</f>
        <v>3088</v>
      </c>
    </row>
    <row r="440" customFormat="false" ht="14.25" hidden="false" customHeight="true" outlineLevel="0" collapsed="false">
      <c r="A440" s="51" t="n">
        <v>12893</v>
      </c>
      <c r="B440" s="53" t="n">
        <v>40856.5236111111</v>
      </c>
      <c r="C440" s="57" t="n">
        <f aca="false">INT($C$2)-INT(Table3[[#This Row],[Last Purchase Date]])</f>
        <v>31</v>
      </c>
      <c r="D440" s="1" t="n">
        <v>1</v>
      </c>
      <c r="E440" s="1" t="n">
        <v>188.14</v>
      </c>
      <c r="F440" s="1" t="n">
        <f aca="false">ROUND((1-_xlfn.PERCENTRANK.INC($C$7:$C$4378,C440))*9,0)</f>
        <v>6</v>
      </c>
      <c r="G440" s="1" t="n">
        <f aca="false">ROUND(_xlfn.PERCENTRANK.INC($D$7:$D$4378,D440)*9,0)</f>
        <v>0</v>
      </c>
      <c r="H440" s="1" t="n">
        <f aca="false">ROUND(_xlfn.PERCENTRANK.INC($E$7:$E$4378,E440)*9,0)</f>
        <v>1</v>
      </c>
      <c r="I440" s="1" t="str">
        <f aca="false">CONCATENATE(F440,G440,H440)</f>
        <v>601</v>
      </c>
      <c r="J440" s="1" t="str">
        <f aca="false">_xlfn.IFS(AND(F440&gt;=8,G440&gt;=8,H440&gt;=8),"CHAMPION",AND(F440&gt;=6,G440&gt;=7,H440&gt;=6),"LOYAL CUSTOMER",AND(F440&gt;=6,G440&gt;=5,H440&gt;=5),"POTENTIAL LOYALIST",AND(F440&gt;=8,G440&lt;=2,H440&gt;=5),"NEW CUSTOMERS",AND(F440&gt;=6,G440&lt;=2,H440&gt;=3),"PROMISING",AND(F440&gt;=3,G440&gt;=3,H440&gt;=3),"NEED ATTENTION",AND(F440&lt;=4,G440&gt;=6,H440&gt;=6),"AT RISK",AND(F440&lt;=2,G440&gt;=8,H440&gt;=8),"CAN'T LOSE THEM",AND(F440&lt;=2,G440&lt;=2,H440&lt;=2),"HIBERNATING",TRUE(),"Other")</f>
        <v>Other</v>
      </c>
      <c r="K440" s="1" t="n">
        <f aca="false">RANK(E440,$E$7:$E$4378)+COUNTIF($E$7:E440,E440)-1</f>
        <v>3715</v>
      </c>
    </row>
    <row r="441" customFormat="false" ht="14.25" hidden="false" customHeight="true" outlineLevel="0" collapsed="false">
      <c r="A441" s="51" t="n">
        <v>12895</v>
      </c>
      <c r="B441" s="53" t="n">
        <v>40844.5770833333</v>
      </c>
      <c r="C441" s="57" t="n">
        <f aca="false">INT($C$2)-INT(Table3[[#This Row],[Last Purchase Date]])</f>
        <v>43</v>
      </c>
      <c r="D441" s="1" t="n">
        <v>3</v>
      </c>
      <c r="E441" s="1" t="n">
        <v>347.3</v>
      </c>
      <c r="F441" s="1" t="n">
        <f aca="false">ROUND((1-_xlfn.PERCENTRANK.INC($C$7:$C$4378,C441))*9,0)</f>
        <v>5</v>
      </c>
      <c r="G441" s="1" t="n">
        <f aca="false">ROUND(_xlfn.PERCENTRANK.INC($D$7:$D$4378,D441)*9,0)</f>
        <v>4</v>
      </c>
      <c r="H441" s="1" t="n">
        <f aca="false">ROUND(_xlfn.PERCENTRANK.INC($E$7:$E$4378,E441)*9,0)</f>
        <v>3</v>
      </c>
      <c r="I441" s="1" t="str">
        <f aca="false">CONCATENATE(F441,G441,H441)</f>
        <v>543</v>
      </c>
      <c r="J441" s="1" t="str">
        <f aca="false">_xlfn.IFS(AND(F441&gt;=8,G441&gt;=8,H441&gt;=8),"CHAMPION",AND(F441&gt;=6,G441&gt;=7,H441&gt;=6),"LOYAL CUSTOMER",AND(F441&gt;=6,G441&gt;=5,H441&gt;=5),"POTENTIAL LOYALIST",AND(F441&gt;=8,G441&lt;=2,H441&gt;=5),"NEW CUSTOMERS",AND(F441&gt;=6,G441&lt;=2,H441&gt;=3),"PROMISING",AND(F441&gt;=3,G441&gt;=3,H441&gt;=3),"NEED ATTENTION",AND(F441&lt;=4,G441&gt;=6,H441&gt;=6),"AT RISK",AND(F441&lt;=2,G441&gt;=8,H441&gt;=8),"CAN'T LOSE THEM",AND(F441&lt;=2,G441&lt;=2,H441&lt;=2),"HIBERNATING",TRUE(),"Other")</f>
        <v>NEED ATTENTION</v>
      </c>
      <c r="K441" s="1" t="n">
        <f aca="false">RANK(E441,$E$7:$E$4378)+COUNTIF($E$7:E441,E441)-1</f>
        <v>3022</v>
      </c>
    </row>
    <row r="442" customFormat="false" ht="14.25" hidden="false" customHeight="true" outlineLevel="0" collapsed="false">
      <c r="A442" s="51" t="n">
        <v>12897</v>
      </c>
      <c r="B442" s="53" t="n">
        <v>40682.5090277778</v>
      </c>
      <c r="C442" s="57" t="n">
        <f aca="false">INT($C$2)-INT(Table3[[#This Row],[Last Purchase Date]])</f>
        <v>205</v>
      </c>
      <c r="D442" s="1" t="n">
        <v>2</v>
      </c>
      <c r="E442" s="1" t="n">
        <v>216.5</v>
      </c>
      <c r="F442" s="1" t="n">
        <f aca="false">ROUND((1-_xlfn.PERCENTRANK.INC($C$7:$C$4378,C442))*9,0)</f>
        <v>2</v>
      </c>
      <c r="G442" s="1" t="n">
        <f aca="false">ROUND(_xlfn.PERCENTRANK.INC($D$7:$D$4378,D442)*9,0)</f>
        <v>3</v>
      </c>
      <c r="H442" s="1" t="n">
        <f aca="false">ROUND(_xlfn.PERCENTRANK.INC($E$7:$E$4378,E442)*9,0)</f>
        <v>2</v>
      </c>
      <c r="I442" s="1" t="str">
        <f aca="false">CONCATENATE(F442,G442,H442)</f>
        <v>232</v>
      </c>
      <c r="J442" s="1" t="str">
        <f aca="false">_xlfn.IFS(AND(F442&gt;=8,G442&gt;=8,H442&gt;=8),"CHAMPION",AND(F442&gt;=6,G442&gt;=7,H442&gt;=6),"LOYAL CUSTOMER",AND(F442&gt;=6,G442&gt;=5,H442&gt;=5),"POTENTIAL LOYALIST",AND(F442&gt;=8,G442&lt;=2,H442&gt;=5),"NEW CUSTOMERS",AND(F442&gt;=6,G442&lt;=2,H442&gt;=3),"PROMISING",AND(F442&gt;=3,G442&gt;=3,H442&gt;=3),"NEED ATTENTION",AND(F442&lt;=4,G442&gt;=6,H442&gt;=6),"AT RISK",AND(F442&lt;=2,G442&gt;=8,H442&gt;=8),"CAN'T LOSE THEM",AND(F442&lt;=2,G442&lt;=2,H442&lt;=2),"HIBERNATING",TRUE(),"Other")</f>
        <v>Other</v>
      </c>
      <c r="K442" s="1" t="n">
        <f aca="false">RANK(E442,$E$7:$E$4378)+COUNTIF($E$7:E442,E442)-1</f>
        <v>3576</v>
      </c>
    </row>
    <row r="443" customFormat="false" ht="14.25" hidden="false" customHeight="true" outlineLevel="0" collapsed="false">
      <c r="A443" s="51" t="n">
        <v>12901</v>
      </c>
      <c r="B443" s="53" t="n">
        <v>40878.4215277778</v>
      </c>
      <c r="C443" s="57" t="n">
        <f aca="false">INT($C$2)-INT(Table3[[#This Row],[Last Purchase Date]])</f>
        <v>9</v>
      </c>
      <c r="D443" s="1" t="n">
        <v>36</v>
      </c>
      <c r="E443" s="1" t="n">
        <v>16293.1</v>
      </c>
      <c r="F443" s="1" t="n">
        <f aca="false">ROUND((1-_xlfn.PERCENTRANK.INC($C$7:$C$4378,C443))*9,0)</f>
        <v>8</v>
      </c>
      <c r="G443" s="1" t="n">
        <f aca="false">ROUND(_xlfn.PERCENTRANK.INC($D$7:$D$4378,D443)*9,0)</f>
        <v>9</v>
      </c>
      <c r="H443" s="1" t="n">
        <f aca="false">ROUND(_xlfn.PERCENTRANK.INC($E$7:$E$4378,E443)*9,0)</f>
        <v>9</v>
      </c>
      <c r="I443" s="1" t="str">
        <f aca="false">CONCATENATE(F443,G443,H443)</f>
        <v>899</v>
      </c>
      <c r="J443" s="1" t="str">
        <f aca="false">_xlfn.IFS(AND(F443&gt;=8,G443&gt;=8,H443&gt;=8),"CHAMPION",AND(F443&gt;=6,G443&gt;=7,H443&gt;=6),"LOYAL CUSTOMER",AND(F443&gt;=6,G443&gt;=5,H443&gt;=5),"POTENTIAL LOYALIST",AND(F443&gt;=8,G443&lt;=2,H443&gt;=5),"NEW CUSTOMERS",AND(F443&gt;=6,G443&lt;=2,H443&gt;=3),"PROMISING",AND(F443&gt;=3,G443&gt;=3,H443&gt;=3),"NEED ATTENTION",AND(F443&lt;=4,G443&gt;=6,H443&gt;=6),"AT RISK",AND(F443&lt;=2,G443&gt;=8,H443&gt;=8),"CAN'T LOSE THEM",AND(F443&lt;=2,G443&lt;=2,H443&lt;=2),"HIBERNATING",TRUE(),"Other")</f>
        <v>CHAMPION</v>
      </c>
      <c r="K443" s="1" t="n">
        <f aca="false">RANK(E443,$E$7:$E$4378)+COUNTIF($E$7:E443,E443)-1</f>
        <v>49</v>
      </c>
    </row>
    <row r="444" customFormat="false" ht="14.25" hidden="false" customHeight="true" outlineLevel="0" collapsed="false">
      <c r="A444" s="51" t="n">
        <v>12902</v>
      </c>
      <c r="B444" s="53" t="n">
        <v>40622.5041666667</v>
      </c>
      <c r="C444" s="57" t="n">
        <f aca="false">INT($C$2)-INT(Table3[[#This Row],[Last Purchase Date]])</f>
        <v>265</v>
      </c>
      <c r="D444" s="1" t="n">
        <v>1</v>
      </c>
      <c r="E444" s="1" t="n">
        <v>138.68</v>
      </c>
      <c r="F444" s="1" t="n">
        <f aca="false">ROUND((1-_xlfn.PERCENTRANK.INC($C$7:$C$4378,C444))*9,0)</f>
        <v>1</v>
      </c>
      <c r="G444" s="1" t="n">
        <f aca="false">ROUND(_xlfn.PERCENTRANK.INC($D$7:$D$4378,D444)*9,0)</f>
        <v>0</v>
      </c>
      <c r="H444" s="1" t="n">
        <f aca="false">ROUND(_xlfn.PERCENTRANK.INC($E$7:$E$4378,E444)*9,0)</f>
        <v>1</v>
      </c>
      <c r="I444" s="1" t="str">
        <f aca="false">CONCATENATE(F444,G444,H444)</f>
        <v>101</v>
      </c>
      <c r="J444" s="1" t="str">
        <f aca="false">_xlfn.IFS(AND(F444&gt;=8,G444&gt;=8,H444&gt;=8),"CHAMPION",AND(F444&gt;=6,G444&gt;=7,H444&gt;=6),"LOYAL CUSTOMER",AND(F444&gt;=6,G444&gt;=5,H444&gt;=5),"POTENTIAL LOYALIST",AND(F444&gt;=8,G444&lt;=2,H444&gt;=5),"NEW CUSTOMERS",AND(F444&gt;=6,G444&lt;=2,H444&gt;=3),"PROMISING",AND(F444&gt;=3,G444&gt;=3,H444&gt;=3),"NEED ATTENTION",AND(F444&lt;=4,G444&gt;=6,H444&gt;=6),"AT RISK",AND(F444&lt;=2,G444&gt;=8,H444&gt;=8),"CAN'T LOSE THEM",AND(F444&lt;=2,G444&lt;=2,H444&lt;=2),"HIBERNATING",TRUE(),"Other")</f>
        <v>HIBERNATING</v>
      </c>
      <c r="K444" s="1" t="n">
        <f aca="false">RANK(E444,$E$7:$E$4378)+COUNTIF($E$7:E444,E444)-1</f>
        <v>3966</v>
      </c>
    </row>
    <row r="445" customFormat="false" ht="14.25" hidden="false" customHeight="true" outlineLevel="0" collapsed="false">
      <c r="A445" s="51" t="n">
        <v>12904</v>
      </c>
      <c r="B445" s="53" t="n">
        <v>40868.6069444444</v>
      </c>
      <c r="C445" s="57" t="n">
        <f aca="false">INT($C$2)-INT(Table3[[#This Row],[Last Purchase Date]])</f>
        <v>19</v>
      </c>
      <c r="D445" s="1" t="n">
        <v>2</v>
      </c>
      <c r="E445" s="1" t="n">
        <v>509.58</v>
      </c>
      <c r="F445" s="1" t="n">
        <f aca="false">ROUND((1-_xlfn.PERCENTRANK.INC($C$7:$C$4378,C445))*9,0)</f>
        <v>7</v>
      </c>
      <c r="G445" s="1" t="n">
        <f aca="false">ROUND(_xlfn.PERCENTRANK.INC($D$7:$D$4378,D445)*9,0)</f>
        <v>3</v>
      </c>
      <c r="H445" s="1" t="n">
        <f aca="false">ROUND(_xlfn.PERCENTRANK.INC($E$7:$E$4378,E445)*9,0)</f>
        <v>4</v>
      </c>
      <c r="I445" s="1" t="str">
        <f aca="false">CONCATENATE(F445,G445,H445)</f>
        <v>734</v>
      </c>
      <c r="J445" s="1" t="str">
        <f aca="false">_xlfn.IFS(AND(F445&gt;=8,G445&gt;=8,H445&gt;=8),"CHAMPION",AND(F445&gt;=6,G445&gt;=7,H445&gt;=6),"LOYAL CUSTOMER",AND(F445&gt;=6,G445&gt;=5,H445&gt;=5),"POTENTIAL LOYALIST",AND(F445&gt;=8,G445&lt;=2,H445&gt;=5),"NEW CUSTOMERS",AND(F445&gt;=6,G445&lt;=2,H445&gt;=3),"PROMISING",AND(F445&gt;=3,G445&gt;=3,H445&gt;=3),"NEED ATTENTION",AND(F445&lt;=4,G445&gt;=6,H445&gt;=6),"AT RISK",AND(F445&lt;=2,G445&gt;=8,H445&gt;=8),"CAN'T LOSE THEM",AND(F445&lt;=2,G445&lt;=2,H445&lt;=2),"HIBERNATING",TRUE(),"Other")</f>
        <v>NEED ATTENTION</v>
      </c>
      <c r="K445" s="1" t="n">
        <f aca="false">RANK(E445,$E$7:$E$4378)+COUNTIF($E$7:E445,E445)-1</f>
        <v>2517</v>
      </c>
    </row>
    <row r="446" customFormat="false" ht="14.25" hidden="false" customHeight="true" outlineLevel="0" collapsed="false">
      <c r="A446" s="51" t="n">
        <v>12906</v>
      </c>
      <c r="B446" s="53" t="n">
        <v>40875.4131944445</v>
      </c>
      <c r="C446" s="57" t="n">
        <f aca="false">INT($C$2)-INT(Table3[[#This Row],[Last Purchase Date]])</f>
        <v>12</v>
      </c>
      <c r="D446" s="1" t="n">
        <v>5</v>
      </c>
      <c r="E446" s="1" t="n">
        <v>2919.81</v>
      </c>
      <c r="F446" s="1" t="n">
        <f aca="false">ROUND((1-_xlfn.PERCENTRANK.INC($C$7:$C$4378,C446))*9,0)</f>
        <v>7</v>
      </c>
      <c r="G446" s="1" t="n">
        <f aca="false">ROUND(_xlfn.PERCENTRANK.INC($D$7:$D$4378,D446)*9,0)</f>
        <v>6</v>
      </c>
      <c r="H446" s="1" t="n">
        <f aca="false">ROUND(_xlfn.PERCENTRANK.INC($E$7:$E$4378,E446)*9,0)</f>
        <v>8</v>
      </c>
      <c r="I446" s="1" t="str">
        <f aca="false">CONCATENATE(F446,G446,H446)</f>
        <v>768</v>
      </c>
      <c r="J446" s="1" t="str">
        <f aca="false">_xlfn.IFS(AND(F446&gt;=8,G446&gt;=8,H446&gt;=8),"CHAMPION",AND(F446&gt;=6,G446&gt;=7,H446&gt;=6),"LOYAL CUSTOMER",AND(F446&gt;=6,G446&gt;=5,H446&gt;=5),"POTENTIAL LOYALIST",AND(F446&gt;=8,G446&lt;=2,H446&gt;=5),"NEW CUSTOMERS",AND(F446&gt;=6,G446&lt;=2,H446&gt;=3),"PROMISING",AND(F446&gt;=3,G446&gt;=3,H446&gt;=3),"NEED ATTENTION",AND(F446&lt;=4,G446&gt;=6,H446&gt;=6),"AT RISK",AND(F446&lt;=2,G446&gt;=8,H446&gt;=8),"CAN'T LOSE THEM",AND(F446&lt;=2,G446&lt;=2,H446&lt;=2),"HIBERNATING",TRUE(),"Other")</f>
        <v>POTENTIAL LOYALIST</v>
      </c>
      <c r="K446" s="1" t="n">
        <f aca="false">RANK(E446,$E$7:$E$4378)+COUNTIF($E$7:E446,E446)-1</f>
        <v>559</v>
      </c>
    </row>
    <row r="447" customFormat="false" ht="14.25" hidden="false" customHeight="true" outlineLevel="0" collapsed="false">
      <c r="A447" s="51" t="n">
        <v>12908</v>
      </c>
      <c r="B447" s="53" t="n">
        <v>40828.4243055556</v>
      </c>
      <c r="C447" s="57" t="n">
        <f aca="false">INT($C$2)-INT(Table3[[#This Row],[Last Purchase Date]])</f>
        <v>59</v>
      </c>
      <c r="D447" s="1" t="n">
        <v>4</v>
      </c>
      <c r="E447" s="1" t="n">
        <v>246</v>
      </c>
      <c r="F447" s="1" t="n">
        <f aca="false">ROUND((1-_xlfn.PERCENTRANK.INC($C$7:$C$4378,C447))*9,0)</f>
        <v>4</v>
      </c>
      <c r="G447" s="1" t="n">
        <f aca="false">ROUND(_xlfn.PERCENTRANK.INC($D$7:$D$4378,D447)*9,0)</f>
        <v>5</v>
      </c>
      <c r="H447" s="1" t="n">
        <f aca="false">ROUND(_xlfn.PERCENTRANK.INC($E$7:$E$4378,E447)*9,0)</f>
        <v>2</v>
      </c>
      <c r="I447" s="1" t="str">
        <f aca="false">CONCATENATE(F447,G447,H447)</f>
        <v>452</v>
      </c>
      <c r="J447" s="1" t="str">
        <f aca="false">_xlfn.IFS(AND(F447&gt;=8,G447&gt;=8,H447&gt;=8),"CHAMPION",AND(F447&gt;=6,G447&gt;=7,H447&gt;=6),"LOYAL CUSTOMER",AND(F447&gt;=6,G447&gt;=5,H447&gt;=5),"POTENTIAL LOYALIST",AND(F447&gt;=8,G447&lt;=2,H447&gt;=5),"NEW CUSTOMERS",AND(F447&gt;=6,G447&lt;=2,H447&gt;=3),"PROMISING",AND(F447&gt;=3,G447&gt;=3,H447&gt;=3),"NEED ATTENTION",AND(F447&lt;=4,G447&gt;=6,H447&gt;=6),"AT RISK",AND(F447&lt;=2,G447&gt;=8,H447&gt;=8),"CAN'T LOSE THEM",AND(F447&lt;=2,G447&lt;=2,H447&lt;=2),"HIBERNATING",TRUE(),"Other")</f>
        <v>Other</v>
      </c>
      <c r="K447" s="1" t="n">
        <f aca="false">RANK(E447,$E$7:$E$4378)+COUNTIF($E$7:E447,E447)-1</f>
        <v>3455</v>
      </c>
    </row>
    <row r="448" customFormat="false" ht="14.25" hidden="false" customHeight="true" outlineLevel="0" collapsed="false">
      <c r="A448" s="51" t="n">
        <v>12909</v>
      </c>
      <c r="B448" s="53" t="n">
        <v>40847.5298611111</v>
      </c>
      <c r="C448" s="57" t="n">
        <f aca="false">INT($C$2)-INT(Table3[[#This Row],[Last Purchase Date]])</f>
        <v>40</v>
      </c>
      <c r="D448" s="1" t="n">
        <v>8</v>
      </c>
      <c r="E448" s="1" t="n">
        <v>2128.83</v>
      </c>
      <c r="F448" s="1" t="n">
        <f aca="false">ROUND((1-_xlfn.PERCENTRANK.INC($C$7:$C$4378,C448))*9,0)</f>
        <v>5</v>
      </c>
      <c r="G448" s="1" t="n">
        <f aca="false">ROUND(_xlfn.PERCENTRANK.INC($D$7:$D$4378,D448)*9,0)</f>
        <v>7</v>
      </c>
      <c r="H448" s="1" t="n">
        <f aca="false">ROUND(_xlfn.PERCENTRANK.INC($E$7:$E$4378,E448)*9,0)</f>
        <v>7</v>
      </c>
      <c r="I448" s="1" t="str">
        <f aca="false">CONCATENATE(F448,G448,H448)</f>
        <v>577</v>
      </c>
      <c r="J448" s="1" t="str">
        <f aca="false">_xlfn.IFS(AND(F448&gt;=8,G448&gt;=8,H448&gt;=8),"CHAMPION",AND(F448&gt;=6,G448&gt;=7,H448&gt;=6),"LOYAL CUSTOMER",AND(F448&gt;=6,G448&gt;=5,H448&gt;=5),"POTENTIAL LOYALIST",AND(F448&gt;=8,G448&lt;=2,H448&gt;=5),"NEW CUSTOMERS",AND(F448&gt;=6,G448&lt;=2,H448&gt;=3),"PROMISING",AND(F448&gt;=3,G448&gt;=3,H448&gt;=3),"NEED ATTENTION",AND(F448&lt;=4,G448&gt;=6,H448&gt;=6),"AT RISK",AND(F448&lt;=2,G448&gt;=8,H448&gt;=8),"CAN'T LOSE THEM",AND(F448&lt;=2,G448&lt;=2,H448&lt;=2),"HIBERNATING",TRUE(),"Other")</f>
        <v>NEED ATTENTION</v>
      </c>
      <c r="K448" s="1" t="n">
        <f aca="false">RANK(E448,$E$7:$E$4378)+COUNTIF($E$7:E448,E448)-1</f>
        <v>812</v>
      </c>
    </row>
    <row r="449" customFormat="false" ht="14.25" hidden="false" customHeight="true" outlineLevel="0" collapsed="false">
      <c r="A449" s="51" t="n">
        <v>12910</v>
      </c>
      <c r="B449" s="53" t="n">
        <v>40863.6027777778</v>
      </c>
      <c r="C449" s="57" t="n">
        <f aca="false">INT($C$2)-INT(Table3[[#This Row],[Last Purchase Date]])</f>
        <v>24</v>
      </c>
      <c r="D449" s="1" t="n">
        <v>8</v>
      </c>
      <c r="E449" s="1" t="n">
        <v>3075.04</v>
      </c>
      <c r="F449" s="1" t="n">
        <f aca="false">ROUND((1-_xlfn.PERCENTRANK.INC($C$7:$C$4378,C449))*9,0)</f>
        <v>6</v>
      </c>
      <c r="G449" s="1" t="n">
        <f aca="false">ROUND(_xlfn.PERCENTRANK.INC($D$7:$D$4378,D449)*9,0)</f>
        <v>7</v>
      </c>
      <c r="H449" s="1" t="n">
        <f aca="false">ROUND(_xlfn.PERCENTRANK.INC($E$7:$E$4378,E449)*9,0)</f>
        <v>8</v>
      </c>
      <c r="I449" s="1" t="str">
        <f aca="false">CONCATENATE(F449,G449,H449)</f>
        <v>678</v>
      </c>
      <c r="J449" s="1" t="str">
        <f aca="false">_xlfn.IFS(AND(F449&gt;=8,G449&gt;=8,H449&gt;=8),"CHAMPION",AND(F449&gt;=6,G449&gt;=7,H449&gt;=6),"LOYAL CUSTOMER",AND(F449&gt;=6,G449&gt;=5,H449&gt;=5),"POTENTIAL LOYALIST",AND(F449&gt;=8,G449&lt;=2,H449&gt;=5),"NEW CUSTOMERS",AND(F449&gt;=6,G449&lt;=2,H449&gt;=3),"PROMISING",AND(F449&gt;=3,G449&gt;=3,H449&gt;=3),"NEED ATTENTION",AND(F449&lt;=4,G449&gt;=6,H449&gt;=6),"AT RISK",AND(F449&lt;=2,G449&gt;=8,H449&gt;=8),"CAN'T LOSE THEM",AND(F449&lt;=2,G449&lt;=2,H449&lt;=2),"HIBERNATING",TRUE(),"Other")</f>
        <v>LOYAL CUSTOMER</v>
      </c>
      <c r="K449" s="1" t="n">
        <f aca="false">RANK(E449,$E$7:$E$4378)+COUNTIF($E$7:E449,E449)-1</f>
        <v>524</v>
      </c>
    </row>
    <row r="450" customFormat="false" ht="14.25" hidden="false" customHeight="true" outlineLevel="0" collapsed="false">
      <c r="A450" s="51" t="n">
        <v>12912</v>
      </c>
      <c r="B450" s="53" t="n">
        <v>40884.3715277778</v>
      </c>
      <c r="C450" s="57" t="n">
        <f aca="false">INT($C$2)-INT(Table3[[#This Row],[Last Purchase Date]])</f>
        <v>3</v>
      </c>
      <c r="D450" s="1" t="n">
        <v>5</v>
      </c>
      <c r="E450" s="1" t="n">
        <v>1662.3</v>
      </c>
      <c r="F450" s="1" t="n">
        <f aca="false">ROUND((1-_xlfn.PERCENTRANK.INC($C$7:$C$4378,C450))*9,0)</f>
        <v>9</v>
      </c>
      <c r="G450" s="1" t="n">
        <f aca="false">ROUND(_xlfn.PERCENTRANK.INC($D$7:$D$4378,D450)*9,0)</f>
        <v>6</v>
      </c>
      <c r="H450" s="1" t="n">
        <f aca="false">ROUND(_xlfn.PERCENTRANK.INC($E$7:$E$4378,E450)*9,0)</f>
        <v>7</v>
      </c>
      <c r="I450" s="1" t="str">
        <f aca="false">CONCATENATE(F450,G450,H450)</f>
        <v>967</v>
      </c>
      <c r="J450" s="1" t="str">
        <f aca="false">_xlfn.IFS(AND(F450&gt;=8,G450&gt;=8,H450&gt;=8),"CHAMPION",AND(F450&gt;=6,G450&gt;=7,H450&gt;=6),"LOYAL CUSTOMER",AND(F450&gt;=6,G450&gt;=5,H450&gt;=5),"POTENTIAL LOYALIST",AND(F450&gt;=8,G450&lt;=2,H450&gt;=5),"NEW CUSTOMERS",AND(F450&gt;=6,G450&lt;=2,H450&gt;=3),"PROMISING",AND(F450&gt;=3,G450&gt;=3,H450&gt;=3),"NEED ATTENTION",AND(F450&lt;=4,G450&gt;=6,H450&gt;=6),"AT RISK",AND(F450&lt;=2,G450&gt;=8,H450&gt;=8),"CAN'T LOSE THEM",AND(F450&lt;=2,G450&lt;=2,H450&lt;=2),"HIBERNATING",TRUE(),"Other")</f>
        <v>POTENTIAL LOYALIST</v>
      </c>
      <c r="K450" s="1" t="n">
        <f aca="false">RANK(E450,$E$7:$E$4378)+COUNTIF($E$7:E450,E450)-1</f>
        <v>1058</v>
      </c>
    </row>
    <row r="451" customFormat="false" ht="14.25" hidden="false" customHeight="true" outlineLevel="0" collapsed="false">
      <c r="A451" s="51" t="n">
        <v>12913</v>
      </c>
      <c r="B451" s="53" t="n">
        <v>40882.5076388889</v>
      </c>
      <c r="C451" s="57" t="n">
        <f aca="false">INT($C$2)-INT(Table3[[#This Row],[Last Purchase Date]])</f>
        <v>5</v>
      </c>
      <c r="D451" s="1" t="n">
        <v>5</v>
      </c>
      <c r="E451" s="1" t="n">
        <v>2483.63</v>
      </c>
      <c r="F451" s="1" t="n">
        <f aca="false">ROUND((1-_xlfn.PERCENTRANK.INC($C$7:$C$4378,C451))*9,0)</f>
        <v>8</v>
      </c>
      <c r="G451" s="1" t="n">
        <f aca="false">ROUND(_xlfn.PERCENTRANK.INC($D$7:$D$4378,D451)*9,0)</f>
        <v>6</v>
      </c>
      <c r="H451" s="1" t="n">
        <f aca="false">ROUND(_xlfn.PERCENTRANK.INC($E$7:$E$4378,E451)*9,0)</f>
        <v>8</v>
      </c>
      <c r="I451" s="1" t="str">
        <f aca="false">CONCATENATE(F451,G451,H451)</f>
        <v>868</v>
      </c>
      <c r="J451" s="1" t="str">
        <f aca="false">_xlfn.IFS(AND(F451&gt;=8,G451&gt;=8,H451&gt;=8),"CHAMPION",AND(F451&gt;=6,G451&gt;=7,H451&gt;=6),"LOYAL CUSTOMER",AND(F451&gt;=6,G451&gt;=5,H451&gt;=5),"POTENTIAL LOYALIST",AND(F451&gt;=8,G451&lt;=2,H451&gt;=5),"NEW CUSTOMERS",AND(F451&gt;=6,G451&lt;=2,H451&gt;=3),"PROMISING",AND(F451&gt;=3,G451&gt;=3,H451&gt;=3),"NEED ATTENTION",AND(F451&lt;=4,G451&gt;=6,H451&gt;=6),"AT RISK",AND(F451&lt;=2,G451&gt;=8,H451&gt;=8),"CAN'T LOSE THEM",AND(F451&lt;=2,G451&lt;=2,H451&lt;=2),"HIBERNATING",TRUE(),"Other")</f>
        <v>POTENTIAL LOYALIST</v>
      </c>
      <c r="K451" s="1" t="n">
        <f aca="false">RANK(E451,$E$7:$E$4378)+COUNTIF($E$7:E451,E451)-1</f>
        <v>687</v>
      </c>
    </row>
    <row r="452" customFormat="false" ht="14.25" hidden="false" customHeight="true" outlineLevel="0" collapsed="false">
      <c r="A452" s="51" t="n">
        <v>12915</v>
      </c>
      <c r="B452" s="53" t="n">
        <v>40738.4819444444</v>
      </c>
      <c r="C452" s="57" t="n">
        <f aca="false">INT($C$2)-INT(Table3[[#This Row],[Last Purchase Date]])</f>
        <v>149</v>
      </c>
      <c r="D452" s="1" t="n">
        <v>2</v>
      </c>
      <c r="E452" s="1" t="n">
        <v>363.65</v>
      </c>
      <c r="F452" s="1" t="n">
        <f aca="false">ROUND((1-_xlfn.PERCENTRANK.INC($C$7:$C$4378,C452))*9,0)</f>
        <v>2</v>
      </c>
      <c r="G452" s="1" t="n">
        <f aca="false">ROUND(_xlfn.PERCENTRANK.INC($D$7:$D$4378,D452)*9,0)</f>
        <v>3</v>
      </c>
      <c r="H452" s="1" t="n">
        <f aca="false">ROUND(_xlfn.PERCENTRANK.INC($E$7:$E$4378,E452)*9,0)</f>
        <v>3</v>
      </c>
      <c r="I452" s="1" t="str">
        <f aca="false">CONCATENATE(F452,G452,H452)</f>
        <v>233</v>
      </c>
      <c r="J452" s="1" t="str">
        <f aca="false">_xlfn.IFS(AND(F452&gt;=8,G452&gt;=8,H452&gt;=8),"CHAMPION",AND(F452&gt;=6,G452&gt;=7,H452&gt;=6),"LOYAL CUSTOMER",AND(F452&gt;=6,G452&gt;=5,H452&gt;=5),"POTENTIAL LOYALIST",AND(F452&gt;=8,G452&lt;=2,H452&gt;=5),"NEW CUSTOMERS",AND(F452&gt;=6,G452&lt;=2,H452&gt;=3),"PROMISING",AND(F452&gt;=3,G452&gt;=3,H452&gt;=3),"NEED ATTENTION",AND(F452&lt;=4,G452&gt;=6,H452&gt;=6),"AT RISK",AND(F452&lt;=2,G452&gt;=8,H452&gt;=8),"CAN'T LOSE THEM",AND(F452&lt;=2,G452&lt;=2,H452&lt;=2),"HIBERNATING",TRUE(),"Other")</f>
        <v>Other</v>
      </c>
      <c r="K452" s="1" t="n">
        <f aca="false">RANK(E452,$E$7:$E$4378)+COUNTIF($E$7:E452,E452)-1</f>
        <v>2950</v>
      </c>
    </row>
    <row r="453" customFormat="false" ht="14.25" hidden="false" customHeight="true" outlineLevel="0" collapsed="false">
      <c r="A453" s="51" t="n">
        <v>12916</v>
      </c>
      <c r="B453" s="53" t="n">
        <v>40748.4409722222</v>
      </c>
      <c r="C453" s="57" t="n">
        <f aca="false">INT($C$2)-INT(Table3[[#This Row],[Last Purchase Date]])</f>
        <v>139</v>
      </c>
      <c r="D453" s="1" t="n">
        <v>5</v>
      </c>
      <c r="E453" s="1" t="n">
        <v>2982.35</v>
      </c>
      <c r="F453" s="1" t="n">
        <f aca="false">ROUND((1-_xlfn.PERCENTRANK.INC($C$7:$C$4378,C453))*9,0)</f>
        <v>2</v>
      </c>
      <c r="G453" s="1" t="n">
        <f aca="false">ROUND(_xlfn.PERCENTRANK.INC($D$7:$D$4378,D453)*9,0)</f>
        <v>6</v>
      </c>
      <c r="H453" s="1" t="n">
        <f aca="false">ROUND(_xlfn.PERCENTRANK.INC($E$7:$E$4378,E453)*9,0)</f>
        <v>8</v>
      </c>
      <c r="I453" s="1" t="str">
        <f aca="false">CONCATENATE(F453,G453,H453)</f>
        <v>268</v>
      </c>
      <c r="J453" s="1" t="str">
        <f aca="false">_xlfn.IFS(AND(F453&gt;=8,G453&gt;=8,H453&gt;=8),"CHAMPION",AND(F453&gt;=6,G453&gt;=7,H453&gt;=6),"LOYAL CUSTOMER",AND(F453&gt;=6,G453&gt;=5,H453&gt;=5),"POTENTIAL LOYALIST",AND(F453&gt;=8,G453&lt;=2,H453&gt;=5),"NEW CUSTOMERS",AND(F453&gt;=6,G453&lt;=2,H453&gt;=3),"PROMISING",AND(F453&gt;=3,G453&gt;=3,H453&gt;=3),"NEED ATTENTION",AND(F453&lt;=4,G453&gt;=6,H453&gt;=6),"AT RISK",AND(F453&lt;=2,G453&gt;=8,H453&gt;=8),"CAN'T LOSE THEM",AND(F453&lt;=2,G453&lt;=2,H453&lt;=2),"HIBERNATING",TRUE(),"Other")</f>
        <v>AT RISK</v>
      </c>
      <c r="K453" s="1" t="n">
        <f aca="false">RANK(E453,$E$7:$E$4378)+COUNTIF($E$7:E453,E453)-1</f>
        <v>543</v>
      </c>
    </row>
    <row r="454" customFormat="false" ht="14.25" hidden="false" customHeight="true" outlineLevel="0" collapsed="false">
      <c r="A454" s="51" t="n">
        <v>12917</v>
      </c>
      <c r="B454" s="53" t="n">
        <v>40758.6958333333</v>
      </c>
      <c r="C454" s="57" t="n">
        <f aca="false">INT($C$2)-INT(Table3[[#This Row],[Last Purchase Date]])</f>
        <v>129</v>
      </c>
      <c r="D454" s="1" t="n">
        <v>1</v>
      </c>
      <c r="E454" s="1" t="n">
        <v>594</v>
      </c>
      <c r="F454" s="1" t="n">
        <f aca="false">ROUND((1-_xlfn.PERCENTRANK.INC($C$7:$C$4378,C454))*9,0)</f>
        <v>2</v>
      </c>
      <c r="G454" s="1" t="n">
        <f aca="false">ROUND(_xlfn.PERCENTRANK.INC($D$7:$D$4378,D454)*9,0)</f>
        <v>0</v>
      </c>
      <c r="H454" s="1" t="n">
        <f aca="false">ROUND(_xlfn.PERCENTRANK.INC($E$7:$E$4378,E454)*9,0)</f>
        <v>4</v>
      </c>
      <c r="I454" s="1" t="str">
        <f aca="false">CONCATENATE(F454,G454,H454)</f>
        <v>204</v>
      </c>
      <c r="J454" s="1" t="str">
        <f aca="false">_xlfn.IFS(AND(F454&gt;=8,G454&gt;=8,H454&gt;=8),"CHAMPION",AND(F454&gt;=6,G454&gt;=7,H454&gt;=6),"LOYAL CUSTOMER",AND(F454&gt;=6,G454&gt;=5,H454&gt;=5),"POTENTIAL LOYALIST",AND(F454&gt;=8,G454&lt;=2,H454&gt;=5),"NEW CUSTOMERS",AND(F454&gt;=6,G454&lt;=2,H454&gt;=3),"PROMISING",AND(F454&gt;=3,G454&gt;=3,H454&gt;=3),"NEED ATTENTION",AND(F454&lt;=4,G454&gt;=6,H454&gt;=6),"AT RISK",AND(F454&lt;=2,G454&gt;=8,H454&gt;=8),"CAN'T LOSE THEM",AND(F454&lt;=2,G454&lt;=2,H454&lt;=2),"HIBERNATING",TRUE(),"Other")</f>
        <v>Other</v>
      </c>
      <c r="K454" s="1" t="n">
        <f aca="false">RANK(E454,$E$7:$E$4378)+COUNTIF($E$7:E454,E454)-1</f>
        <v>2338</v>
      </c>
    </row>
    <row r="455" customFormat="false" ht="14.25" hidden="false" customHeight="true" outlineLevel="0" collapsed="false">
      <c r="A455" s="51" t="n">
        <v>12919</v>
      </c>
      <c r="B455" s="53" t="n">
        <v>40878.5743055556</v>
      </c>
      <c r="C455" s="57" t="n">
        <f aca="false">INT($C$2)-INT(Table3[[#This Row],[Last Purchase Date]])</f>
        <v>9</v>
      </c>
      <c r="D455" s="1" t="n">
        <v>8</v>
      </c>
      <c r="E455" s="1" t="n">
        <v>1301.44</v>
      </c>
      <c r="F455" s="1" t="n">
        <f aca="false">ROUND((1-_xlfn.PERCENTRANK.INC($C$7:$C$4378,C455))*9,0)</f>
        <v>8</v>
      </c>
      <c r="G455" s="1" t="n">
        <f aca="false">ROUND(_xlfn.PERCENTRANK.INC($D$7:$D$4378,D455)*9,0)</f>
        <v>7</v>
      </c>
      <c r="H455" s="1" t="n">
        <f aca="false">ROUND(_xlfn.PERCENTRANK.INC($E$7:$E$4378,E455)*9,0)</f>
        <v>6</v>
      </c>
      <c r="I455" s="1" t="str">
        <f aca="false">CONCATENATE(F455,G455,H455)</f>
        <v>876</v>
      </c>
      <c r="J455" s="1" t="str">
        <f aca="false">_xlfn.IFS(AND(F455&gt;=8,G455&gt;=8,H455&gt;=8),"CHAMPION",AND(F455&gt;=6,G455&gt;=7,H455&gt;=6),"LOYAL CUSTOMER",AND(F455&gt;=6,G455&gt;=5,H455&gt;=5),"POTENTIAL LOYALIST",AND(F455&gt;=8,G455&lt;=2,H455&gt;=5),"NEW CUSTOMERS",AND(F455&gt;=6,G455&lt;=2,H455&gt;=3),"PROMISING",AND(F455&gt;=3,G455&gt;=3,H455&gt;=3),"NEED ATTENTION",AND(F455&lt;=4,G455&gt;=6,H455&gt;=6),"AT RISK",AND(F455&lt;=2,G455&gt;=8,H455&gt;=8),"CAN'T LOSE THEM",AND(F455&lt;=2,G455&lt;=2,H455&lt;=2),"HIBERNATING",TRUE(),"Other")</f>
        <v>LOYAL CUSTOMER</v>
      </c>
      <c r="K455" s="1" t="n">
        <f aca="false">RANK(E455,$E$7:$E$4378)+COUNTIF($E$7:E455,E455)-1</f>
        <v>1326</v>
      </c>
    </row>
    <row r="456" customFormat="false" ht="14.25" hidden="false" customHeight="true" outlineLevel="0" collapsed="false">
      <c r="A456" s="51" t="n">
        <v>12920</v>
      </c>
      <c r="B456" s="53" t="n">
        <v>40869.6284722222</v>
      </c>
      <c r="C456" s="57" t="n">
        <f aca="false">INT($C$2)-INT(Table3[[#This Row],[Last Purchase Date]])</f>
        <v>18</v>
      </c>
      <c r="D456" s="1" t="n">
        <v>1</v>
      </c>
      <c r="E456" s="1" t="n">
        <v>164.23</v>
      </c>
      <c r="F456" s="1" t="n">
        <f aca="false">ROUND((1-_xlfn.PERCENTRANK.INC($C$7:$C$4378,C456))*9,0)</f>
        <v>7</v>
      </c>
      <c r="G456" s="1" t="n">
        <f aca="false">ROUND(_xlfn.PERCENTRANK.INC($D$7:$D$4378,D456)*9,0)</f>
        <v>0</v>
      </c>
      <c r="H456" s="1" t="n">
        <f aca="false">ROUND(_xlfn.PERCENTRANK.INC($E$7:$E$4378,E456)*9,0)</f>
        <v>1</v>
      </c>
      <c r="I456" s="1" t="str">
        <f aca="false">CONCATENATE(F456,G456,H456)</f>
        <v>701</v>
      </c>
      <c r="J456" s="1" t="str">
        <f aca="false">_xlfn.IFS(AND(F456&gt;=8,G456&gt;=8,H456&gt;=8),"CHAMPION",AND(F456&gt;=6,G456&gt;=7,H456&gt;=6),"LOYAL CUSTOMER",AND(F456&gt;=6,G456&gt;=5,H456&gt;=5),"POTENTIAL LOYALIST",AND(F456&gt;=8,G456&lt;=2,H456&gt;=5),"NEW CUSTOMERS",AND(F456&gt;=6,G456&lt;=2,H456&gt;=3),"PROMISING",AND(F456&gt;=3,G456&gt;=3,H456&gt;=3),"NEED ATTENTION",AND(F456&lt;=4,G456&gt;=6,H456&gt;=6),"AT RISK",AND(F456&lt;=2,G456&gt;=8,H456&gt;=8),"CAN'T LOSE THEM",AND(F456&lt;=2,G456&lt;=2,H456&lt;=2),"HIBERNATING",TRUE(),"Other")</f>
        <v>Other</v>
      </c>
      <c r="K456" s="1" t="n">
        <f aca="false">RANK(E456,$E$7:$E$4378)+COUNTIF($E$7:E456,E456)-1</f>
        <v>3836</v>
      </c>
    </row>
    <row r="457" customFormat="false" ht="14.25" hidden="false" customHeight="true" outlineLevel="0" collapsed="false">
      <c r="A457" s="51" t="n">
        <v>12921</v>
      </c>
      <c r="B457" s="53" t="n">
        <v>40883.4138888889</v>
      </c>
      <c r="C457" s="57" t="n">
        <f aca="false">INT($C$2)-INT(Table3[[#This Row],[Last Purchase Date]])</f>
        <v>4</v>
      </c>
      <c r="D457" s="1" t="n">
        <v>50</v>
      </c>
      <c r="E457" s="1" t="n">
        <v>16389.74</v>
      </c>
      <c r="F457" s="1" t="n">
        <f aca="false">ROUND((1-_xlfn.PERCENTRANK.INC($C$7:$C$4378,C457))*9,0)</f>
        <v>8</v>
      </c>
      <c r="G457" s="1" t="n">
        <f aca="false">ROUND(_xlfn.PERCENTRANK.INC($D$7:$D$4378,D457)*9,0)</f>
        <v>9</v>
      </c>
      <c r="H457" s="1" t="n">
        <f aca="false">ROUND(_xlfn.PERCENTRANK.INC($E$7:$E$4378,E457)*9,0)</f>
        <v>9</v>
      </c>
      <c r="I457" s="1" t="str">
        <f aca="false">CONCATENATE(F457,G457,H457)</f>
        <v>899</v>
      </c>
      <c r="J457" s="1" t="str">
        <f aca="false">_xlfn.IFS(AND(F457&gt;=8,G457&gt;=8,H457&gt;=8),"CHAMPION",AND(F457&gt;=6,G457&gt;=7,H457&gt;=6),"LOYAL CUSTOMER",AND(F457&gt;=6,G457&gt;=5,H457&gt;=5),"POTENTIAL LOYALIST",AND(F457&gt;=8,G457&lt;=2,H457&gt;=5),"NEW CUSTOMERS",AND(F457&gt;=6,G457&lt;=2,H457&gt;=3),"PROMISING",AND(F457&gt;=3,G457&gt;=3,H457&gt;=3),"NEED ATTENTION",AND(F457&lt;=4,G457&gt;=6,H457&gt;=6),"AT RISK",AND(F457&lt;=2,G457&gt;=8,H457&gt;=8),"CAN'T LOSE THEM",AND(F457&lt;=2,G457&lt;=2,H457&lt;=2),"HIBERNATING",TRUE(),"Other")</f>
        <v>CHAMPION</v>
      </c>
      <c r="K457" s="1" t="n">
        <f aca="false">RANK(E457,$E$7:$E$4378)+COUNTIF($E$7:E457,E457)-1</f>
        <v>48</v>
      </c>
    </row>
    <row r="458" customFormat="false" ht="14.25" hidden="false" customHeight="true" outlineLevel="0" collapsed="false">
      <c r="A458" s="51" t="n">
        <v>12922</v>
      </c>
      <c r="B458" s="53" t="n">
        <v>40725.6493055556</v>
      </c>
      <c r="C458" s="57" t="n">
        <f aca="false">INT($C$2)-INT(Table3[[#This Row],[Last Purchase Date]])</f>
        <v>162</v>
      </c>
      <c r="D458" s="1" t="n">
        <v>1</v>
      </c>
      <c r="E458" s="1" t="n">
        <v>405.38</v>
      </c>
      <c r="F458" s="1" t="n">
        <f aca="false">ROUND((1-_xlfn.PERCENTRANK.INC($C$7:$C$4378,C458))*9,0)</f>
        <v>2</v>
      </c>
      <c r="G458" s="1" t="n">
        <f aca="false">ROUND(_xlfn.PERCENTRANK.INC($D$7:$D$4378,D458)*9,0)</f>
        <v>0</v>
      </c>
      <c r="H458" s="1" t="n">
        <f aca="false">ROUND(_xlfn.PERCENTRANK.INC($E$7:$E$4378,E458)*9,0)</f>
        <v>3</v>
      </c>
      <c r="I458" s="1" t="str">
        <f aca="false">CONCATENATE(F458,G458,H458)</f>
        <v>203</v>
      </c>
      <c r="J458" s="1" t="str">
        <f aca="false">_xlfn.IFS(AND(F458&gt;=8,G458&gt;=8,H458&gt;=8),"CHAMPION",AND(F458&gt;=6,G458&gt;=7,H458&gt;=6),"LOYAL CUSTOMER",AND(F458&gt;=6,G458&gt;=5,H458&gt;=5),"POTENTIAL LOYALIST",AND(F458&gt;=8,G458&lt;=2,H458&gt;=5),"NEW CUSTOMERS",AND(F458&gt;=6,G458&lt;=2,H458&gt;=3),"PROMISING",AND(F458&gt;=3,G458&gt;=3,H458&gt;=3),"NEED ATTENTION",AND(F458&lt;=4,G458&gt;=6,H458&gt;=6),"AT RISK",AND(F458&lt;=2,G458&gt;=8,H458&gt;=8),"CAN'T LOSE THEM",AND(F458&lt;=2,G458&lt;=2,H458&lt;=2),"HIBERNATING",TRUE(),"Other")</f>
        <v>Other</v>
      </c>
      <c r="K458" s="1" t="n">
        <f aca="false">RANK(E458,$E$7:$E$4378)+COUNTIF($E$7:E458,E458)-1</f>
        <v>2807</v>
      </c>
    </row>
    <row r="459" customFormat="false" ht="14.25" hidden="false" customHeight="true" outlineLevel="0" collapsed="false">
      <c r="A459" s="51" t="n">
        <v>12923</v>
      </c>
      <c r="B459" s="53" t="n">
        <v>40822.6805555556</v>
      </c>
      <c r="C459" s="57" t="n">
        <f aca="false">INT($C$2)-INT(Table3[[#This Row],[Last Purchase Date]])</f>
        <v>65</v>
      </c>
      <c r="D459" s="1" t="n">
        <v>1</v>
      </c>
      <c r="E459" s="1" t="n">
        <v>176.97</v>
      </c>
      <c r="F459" s="1" t="n">
        <f aca="false">ROUND((1-_xlfn.PERCENTRANK.INC($C$7:$C$4378,C459))*9,0)</f>
        <v>4</v>
      </c>
      <c r="G459" s="1" t="n">
        <f aca="false">ROUND(_xlfn.PERCENTRANK.INC($D$7:$D$4378,D459)*9,0)</f>
        <v>0</v>
      </c>
      <c r="H459" s="1" t="n">
        <f aca="false">ROUND(_xlfn.PERCENTRANK.INC($E$7:$E$4378,E459)*9,0)</f>
        <v>1</v>
      </c>
      <c r="I459" s="1" t="str">
        <f aca="false">CONCATENATE(F459,G459,H459)</f>
        <v>401</v>
      </c>
      <c r="J459" s="1" t="str">
        <f aca="false">_xlfn.IFS(AND(F459&gt;=8,G459&gt;=8,H459&gt;=8),"CHAMPION",AND(F459&gt;=6,G459&gt;=7,H459&gt;=6),"LOYAL CUSTOMER",AND(F459&gt;=6,G459&gt;=5,H459&gt;=5),"POTENTIAL LOYALIST",AND(F459&gt;=8,G459&lt;=2,H459&gt;=5),"NEW CUSTOMERS",AND(F459&gt;=6,G459&lt;=2,H459&gt;=3),"PROMISING",AND(F459&gt;=3,G459&gt;=3,H459&gt;=3),"NEED ATTENTION",AND(F459&lt;=4,G459&gt;=6,H459&gt;=6),"AT RISK",AND(F459&lt;=2,G459&gt;=8,H459&gt;=8),"CAN'T LOSE THEM",AND(F459&lt;=2,G459&lt;=2,H459&lt;=2),"HIBERNATING",TRUE(),"Other")</f>
        <v>Other</v>
      </c>
      <c r="K459" s="1" t="n">
        <f aca="false">RANK(E459,$E$7:$E$4378)+COUNTIF($E$7:E459,E459)-1</f>
        <v>3772</v>
      </c>
    </row>
    <row r="460" customFormat="false" ht="14.25" hidden="false" customHeight="true" outlineLevel="0" collapsed="false">
      <c r="A460" s="51" t="n">
        <v>12924</v>
      </c>
      <c r="B460" s="53" t="n">
        <v>40798.5798611111</v>
      </c>
      <c r="C460" s="57" t="n">
        <f aca="false">INT($C$2)-INT(Table3[[#This Row],[Last Purchase Date]])</f>
        <v>89</v>
      </c>
      <c r="D460" s="1" t="n">
        <v>5</v>
      </c>
      <c r="E460" s="1" t="n">
        <v>929.95</v>
      </c>
      <c r="F460" s="1" t="n">
        <f aca="false">ROUND((1-_xlfn.PERCENTRANK.INC($C$7:$C$4378,C460))*9,0)</f>
        <v>3</v>
      </c>
      <c r="G460" s="1" t="n">
        <f aca="false">ROUND(_xlfn.PERCENTRANK.INC($D$7:$D$4378,D460)*9,0)</f>
        <v>6</v>
      </c>
      <c r="H460" s="1" t="n">
        <f aca="false">ROUND(_xlfn.PERCENTRANK.INC($E$7:$E$4378,E460)*9,0)</f>
        <v>5</v>
      </c>
      <c r="I460" s="1" t="str">
        <f aca="false">CONCATENATE(F460,G460,H460)</f>
        <v>365</v>
      </c>
      <c r="J460" s="1" t="str">
        <f aca="false">_xlfn.IFS(AND(F460&gt;=8,G460&gt;=8,H460&gt;=8),"CHAMPION",AND(F460&gt;=6,G460&gt;=7,H460&gt;=6),"LOYAL CUSTOMER",AND(F460&gt;=6,G460&gt;=5,H460&gt;=5),"POTENTIAL LOYALIST",AND(F460&gt;=8,G460&lt;=2,H460&gt;=5),"NEW CUSTOMERS",AND(F460&gt;=6,G460&lt;=2,H460&gt;=3),"PROMISING",AND(F460&gt;=3,G460&gt;=3,H460&gt;=3),"NEED ATTENTION",AND(F460&lt;=4,G460&gt;=6,H460&gt;=6),"AT RISK",AND(F460&lt;=2,G460&gt;=8,H460&gt;=8),"CAN'T LOSE THEM",AND(F460&lt;=2,G460&lt;=2,H460&lt;=2),"HIBERNATING",TRUE(),"Other")</f>
        <v>NEED ATTENTION</v>
      </c>
      <c r="K460" s="1" t="n">
        <f aca="false">RANK(E460,$E$7:$E$4378)+COUNTIF($E$7:E460,E460)-1</f>
        <v>1719</v>
      </c>
    </row>
    <row r="461" customFormat="false" ht="14.25" hidden="false" customHeight="true" outlineLevel="0" collapsed="false">
      <c r="A461" s="51" t="n">
        <v>12925</v>
      </c>
      <c r="B461" s="53" t="n">
        <v>40882.4659722222</v>
      </c>
      <c r="C461" s="57" t="n">
        <f aca="false">INT($C$2)-INT(Table3[[#This Row],[Last Purchase Date]])</f>
        <v>5</v>
      </c>
      <c r="D461" s="1" t="n">
        <v>2</v>
      </c>
      <c r="E461" s="1" t="n">
        <v>694.05</v>
      </c>
      <c r="F461" s="1" t="n">
        <f aca="false">ROUND((1-_xlfn.PERCENTRANK.INC($C$7:$C$4378,C461))*9,0)</f>
        <v>8</v>
      </c>
      <c r="G461" s="1" t="n">
        <f aca="false">ROUND(_xlfn.PERCENTRANK.INC($D$7:$D$4378,D461)*9,0)</f>
        <v>3</v>
      </c>
      <c r="H461" s="1" t="n">
        <f aca="false">ROUND(_xlfn.PERCENTRANK.INC($E$7:$E$4378,E461)*9,0)</f>
        <v>5</v>
      </c>
      <c r="I461" s="1" t="str">
        <f aca="false">CONCATENATE(F461,G461,H461)</f>
        <v>835</v>
      </c>
      <c r="J461" s="1" t="str">
        <f aca="false">_xlfn.IFS(AND(F461&gt;=8,G461&gt;=8,H461&gt;=8),"CHAMPION",AND(F461&gt;=6,G461&gt;=7,H461&gt;=6),"LOYAL CUSTOMER",AND(F461&gt;=6,G461&gt;=5,H461&gt;=5),"POTENTIAL LOYALIST",AND(F461&gt;=8,G461&lt;=2,H461&gt;=5),"NEW CUSTOMERS",AND(F461&gt;=6,G461&lt;=2,H461&gt;=3),"PROMISING",AND(F461&gt;=3,G461&gt;=3,H461&gt;=3),"NEED ATTENTION",AND(F461&lt;=4,G461&gt;=6,H461&gt;=6),"AT RISK",AND(F461&lt;=2,G461&gt;=8,H461&gt;=8),"CAN'T LOSE THEM",AND(F461&lt;=2,G461&lt;=2,H461&lt;=2),"HIBERNATING",TRUE(),"Other")</f>
        <v>NEED ATTENTION</v>
      </c>
      <c r="K461" s="1" t="n">
        <f aca="false">RANK(E461,$E$7:$E$4378)+COUNTIF($E$7:E461,E461)-1</f>
        <v>2075</v>
      </c>
    </row>
    <row r="462" customFormat="false" ht="14.25" hidden="false" customHeight="true" outlineLevel="0" collapsed="false">
      <c r="A462" s="51" t="n">
        <v>12928</v>
      </c>
      <c r="B462" s="53" t="n">
        <v>40851.6</v>
      </c>
      <c r="C462" s="57" t="n">
        <f aca="false">INT($C$2)-INT(Table3[[#This Row],[Last Purchase Date]])</f>
        <v>36</v>
      </c>
      <c r="D462" s="1" t="n">
        <v>5</v>
      </c>
      <c r="E462" s="1" t="n">
        <v>2062.7</v>
      </c>
      <c r="F462" s="1" t="n">
        <f aca="false">ROUND((1-_xlfn.PERCENTRANK.INC($C$7:$C$4378,C462))*9,0)</f>
        <v>5</v>
      </c>
      <c r="G462" s="1" t="n">
        <f aca="false">ROUND(_xlfn.PERCENTRANK.INC($D$7:$D$4378,D462)*9,0)</f>
        <v>6</v>
      </c>
      <c r="H462" s="1" t="n">
        <f aca="false">ROUND(_xlfn.PERCENTRANK.INC($E$7:$E$4378,E462)*9,0)</f>
        <v>7</v>
      </c>
      <c r="I462" s="1" t="str">
        <f aca="false">CONCATENATE(F462,G462,H462)</f>
        <v>567</v>
      </c>
      <c r="J462" s="1" t="str">
        <f aca="false">_xlfn.IFS(AND(F462&gt;=8,G462&gt;=8,H462&gt;=8),"CHAMPION",AND(F462&gt;=6,G462&gt;=7,H462&gt;=6),"LOYAL CUSTOMER",AND(F462&gt;=6,G462&gt;=5,H462&gt;=5),"POTENTIAL LOYALIST",AND(F462&gt;=8,G462&lt;=2,H462&gt;=5),"NEW CUSTOMERS",AND(F462&gt;=6,G462&lt;=2,H462&gt;=3),"PROMISING",AND(F462&gt;=3,G462&gt;=3,H462&gt;=3),"NEED ATTENTION",AND(F462&lt;=4,G462&gt;=6,H462&gt;=6),"AT RISK",AND(F462&lt;=2,G462&gt;=8,H462&gt;=8),"CAN'T LOSE THEM",AND(F462&lt;=2,G462&lt;=2,H462&lt;=2),"HIBERNATING",TRUE(),"Other")</f>
        <v>NEED ATTENTION</v>
      </c>
      <c r="K462" s="1" t="n">
        <f aca="false">RANK(E462,$E$7:$E$4378)+COUNTIF($E$7:E462,E462)-1</f>
        <v>843</v>
      </c>
    </row>
    <row r="463" customFormat="false" ht="14.25" hidden="false" customHeight="true" outlineLevel="0" collapsed="false">
      <c r="A463" s="51" t="n">
        <v>12929</v>
      </c>
      <c r="B463" s="53" t="n">
        <v>40764.6041666667</v>
      </c>
      <c r="C463" s="57" t="n">
        <f aca="false">INT($C$2)-INT(Table3[[#This Row],[Last Purchase Date]])</f>
        <v>123</v>
      </c>
      <c r="D463" s="1" t="n">
        <v>2</v>
      </c>
      <c r="E463" s="1" t="n">
        <v>105.1</v>
      </c>
      <c r="F463" s="1" t="n">
        <f aca="false">ROUND((1-_xlfn.PERCENTRANK.INC($C$7:$C$4378,C463))*9,0)</f>
        <v>3</v>
      </c>
      <c r="G463" s="1" t="n">
        <f aca="false">ROUND(_xlfn.PERCENTRANK.INC($D$7:$D$4378,D463)*9,0)</f>
        <v>3</v>
      </c>
      <c r="H463" s="1" t="n">
        <f aca="false">ROUND(_xlfn.PERCENTRANK.INC($E$7:$E$4378,E463)*9,0)</f>
        <v>0</v>
      </c>
      <c r="I463" s="1" t="str">
        <f aca="false">CONCATENATE(F463,G463,H463)</f>
        <v>330</v>
      </c>
      <c r="J463" s="1" t="str">
        <f aca="false">_xlfn.IFS(AND(F463&gt;=8,G463&gt;=8,H463&gt;=8),"CHAMPION",AND(F463&gt;=6,G463&gt;=7,H463&gt;=6),"LOYAL CUSTOMER",AND(F463&gt;=6,G463&gt;=5,H463&gt;=5),"POTENTIAL LOYALIST",AND(F463&gt;=8,G463&lt;=2,H463&gt;=5),"NEW CUSTOMERS",AND(F463&gt;=6,G463&lt;=2,H463&gt;=3),"PROMISING",AND(F463&gt;=3,G463&gt;=3,H463&gt;=3),"NEED ATTENTION",AND(F463&lt;=4,G463&gt;=6,H463&gt;=6),"AT RISK",AND(F463&lt;=2,G463&gt;=8,H463&gt;=8),"CAN'T LOSE THEM",AND(F463&lt;=2,G463&lt;=2,H463&lt;=2),"HIBERNATING",TRUE(),"Other")</f>
        <v>Other</v>
      </c>
      <c r="K463" s="1" t="n">
        <f aca="false">RANK(E463,$E$7:$E$4378)+COUNTIF($E$7:E463,E463)-1</f>
        <v>4133</v>
      </c>
    </row>
    <row r="464" customFormat="false" ht="14.25" hidden="false" customHeight="true" outlineLevel="0" collapsed="false">
      <c r="A464" s="51" t="n">
        <v>12930</v>
      </c>
      <c r="B464" s="53" t="n">
        <v>40808.6375</v>
      </c>
      <c r="C464" s="57" t="n">
        <f aca="false">INT($C$2)-INT(Table3[[#This Row],[Last Purchase Date]])</f>
        <v>79</v>
      </c>
      <c r="D464" s="1" t="n">
        <v>4</v>
      </c>
      <c r="E464" s="1" t="n">
        <v>409.9</v>
      </c>
      <c r="F464" s="1" t="n">
        <f aca="false">ROUND((1-_xlfn.PERCENTRANK.INC($C$7:$C$4378,C464))*9,0)</f>
        <v>3</v>
      </c>
      <c r="G464" s="1" t="n">
        <f aca="false">ROUND(_xlfn.PERCENTRANK.INC($D$7:$D$4378,D464)*9,0)</f>
        <v>5</v>
      </c>
      <c r="H464" s="1" t="n">
        <f aca="false">ROUND(_xlfn.PERCENTRANK.INC($E$7:$E$4378,E464)*9,0)</f>
        <v>3</v>
      </c>
      <c r="I464" s="1" t="str">
        <f aca="false">CONCATENATE(F464,G464,H464)</f>
        <v>353</v>
      </c>
      <c r="J464" s="1" t="str">
        <f aca="false">_xlfn.IFS(AND(F464&gt;=8,G464&gt;=8,H464&gt;=8),"CHAMPION",AND(F464&gt;=6,G464&gt;=7,H464&gt;=6),"LOYAL CUSTOMER",AND(F464&gt;=6,G464&gt;=5,H464&gt;=5),"POTENTIAL LOYALIST",AND(F464&gt;=8,G464&lt;=2,H464&gt;=5),"NEW CUSTOMERS",AND(F464&gt;=6,G464&lt;=2,H464&gt;=3),"PROMISING",AND(F464&gt;=3,G464&gt;=3,H464&gt;=3),"NEED ATTENTION",AND(F464&lt;=4,G464&gt;=6,H464&gt;=6),"AT RISK",AND(F464&lt;=2,G464&gt;=8,H464&gt;=8),"CAN'T LOSE THEM",AND(F464&lt;=2,G464&lt;=2,H464&lt;=2),"HIBERNATING",TRUE(),"Other")</f>
        <v>NEED ATTENTION</v>
      </c>
      <c r="K464" s="1" t="n">
        <f aca="false">RANK(E464,$E$7:$E$4378)+COUNTIF($E$7:E464,E464)-1</f>
        <v>2790</v>
      </c>
    </row>
    <row r="465" customFormat="false" ht="14.25" hidden="false" customHeight="true" outlineLevel="0" collapsed="false">
      <c r="A465" s="51" t="n">
        <v>12931</v>
      </c>
      <c r="B465" s="53" t="n">
        <v>40865.5270833333</v>
      </c>
      <c r="C465" s="57" t="n">
        <f aca="false">INT($C$2)-INT(Table3[[#This Row],[Last Purchase Date]])</f>
        <v>22</v>
      </c>
      <c r="D465" s="1" t="n">
        <v>20</v>
      </c>
      <c r="E465" s="1" t="n">
        <v>33462.81</v>
      </c>
      <c r="F465" s="1" t="n">
        <f aca="false">ROUND((1-_xlfn.PERCENTRANK.INC($C$7:$C$4378,C465))*9,0)</f>
        <v>6</v>
      </c>
      <c r="G465" s="1" t="n">
        <f aca="false">ROUND(_xlfn.PERCENTRANK.INC($D$7:$D$4378,D465)*9,0)</f>
        <v>9</v>
      </c>
      <c r="H465" s="1" t="n">
        <f aca="false">ROUND(_xlfn.PERCENTRANK.INC($E$7:$E$4378,E465)*9,0)</f>
        <v>9</v>
      </c>
      <c r="I465" s="1" t="str">
        <f aca="false">CONCATENATE(F465,G465,H465)</f>
        <v>699</v>
      </c>
      <c r="J465" s="1" t="str">
        <f aca="false">_xlfn.IFS(AND(F465&gt;=8,G465&gt;=8,H465&gt;=8),"CHAMPION",AND(F465&gt;=6,G465&gt;=7,H465&gt;=6),"LOYAL CUSTOMER",AND(F465&gt;=6,G465&gt;=5,H465&gt;=5),"POTENTIAL LOYALIST",AND(F465&gt;=8,G465&lt;=2,H465&gt;=5),"NEW CUSTOMERS",AND(F465&gt;=6,G465&lt;=2,H465&gt;=3),"PROMISING",AND(F465&gt;=3,G465&gt;=3,H465&gt;=3),"NEED ATTENTION",AND(F465&lt;=4,G465&gt;=6,H465&gt;=6),"AT RISK",AND(F465&lt;=2,G465&gt;=8,H465&gt;=8),"CAN'T LOSE THEM",AND(F465&lt;=2,G465&lt;=2,H465&lt;=2),"HIBERNATING",TRUE(),"Other")</f>
        <v>LOYAL CUSTOMER</v>
      </c>
      <c r="K465" s="1" t="n">
        <f aca="false">RANK(E465,$E$7:$E$4378)+COUNTIF($E$7:E465,E465)-1</f>
        <v>22</v>
      </c>
    </row>
    <row r="466" customFormat="false" ht="14.25" hidden="false" customHeight="true" outlineLevel="0" collapsed="false">
      <c r="A466" s="51" t="n">
        <v>12933</v>
      </c>
      <c r="B466" s="53" t="n">
        <v>40862.6930555556</v>
      </c>
      <c r="C466" s="57" t="n">
        <f aca="false">INT($C$2)-INT(Table3[[#This Row],[Last Purchase Date]])</f>
        <v>25</v>
      </c>
      <c r="D466" s="1" t="n">
        <v>4</v>
      </c>
      <c r="E466" s="1" t="n">
        <v>606.28</v>
      </c>
      <c r="F466" s="1" t="n">
        <f aca="false">ROUND((1-_xlfn.PERCENTRANK.INC($C$7:$C$4378,C466))*9,0)</f>
        <v>6</v>
      </c>
      <c r="G466" s="1" t="n">
        <f aca="false">ROUND(_xlfn.PERCENTRANK.INC($D$7:$D$4378,D466)*9,0)</f>
        <v>5</v>
      </c>
      <c r="H466" s="1" t="n">
        <f aca="false">ROUND(_xlfn.PERCENTRANK.INC($E$7:$E$4378,E466)*9,0)</f>
        <v>4</v>
      </c>
      <c r="I466" s="1" t="str">
        <f aca="false">CONCATENATE(F466,G466,H466)</f>
        <v>654</v>
      </c>
      <c r="J466" s="1" t="str">
        <f aca="false">_xlfn.IFS(AND(F466&gt;=8,G466&gt;=8,H466&gt;=8),"CHAMPION",AND(F466&gt;=6,G466&gt;=7,H466&gt;=6),"LOYAL CUSTOMER",AND(F466&gt;=6,G466&gt;=5,H466&gt;=5),"POTENTIAL LOYALIST",AND(F466&gt;=8,G466&lt;=2,H466&gt;=5),"NEW CUSTOMERS",AND(F466&gt;=6,G466&lt;=2,H466&gt;=3),"PROMISING",AND(F466&gt;=3,G466&gt;=3,H466&gt;=3),"NEED ATTENTION",AND(F466&lt;=4,G466&gt;=6,H466&gt;=6),"AT RISK",AND(F466&lt;=2,G466&gt;=8,H466&gt;=8),"CAN'T LOSE THEM",AND(F466&lt;=2,G466&lt;=2,H466&lt;=2),"HIBERNATING",TRUE(),"Other")</f>
        <v>NEED ATTENTION</v>
      </c>
      <c r="K466" s="1" t="n">
        <f aca="false">RANK(E466,$E$7:$E$4378)+COUNTIF($E$7:E466,E466)-1</f>
        <v>2291</v>
      </c>
    </row>
    <row r="467" customFormat="false" ht="14.25" hidden="false" customHeight="true" outlineLevel="0" collapsed="false">
      <c r="A467" s="51" t="n">
        <v>12935</v>
      </c>
      <c r="B467" s="53" t="n">
        <v>40884.7256944445</v>
      </c>
      <c r="C467" s="57" t="n">
        <f aca="false">INT($C$2)-INT(Table3[[#This Row],[Last Purchase Date]])</f>
        <v>3</v>
      </c>
      <c r="D467" s="1" t="n">
        <v>8</v>
      </c>
      <c r="E467" s="1" t="n">
        <v>2156.45</v>
      </c>
      <c r="F467" s="1" t="n">
        <f aca="false">ROUND((1-_xlfn.PERCENTRANK.INC($C$7:$C$4378,C467))*9,0)</f>
        <v>9</v>
      </c>
      <c r="G467" s="1" t="n">
        <f aca="false">ROUND(_xlfn.PERCENTRANK.INC($D$7:$D$4378,D467)*9,0)</f>
        <v>7</v>
      </c>
      <c r="H467" s="1" t="n">
        <f aca="false">ROUND(_xlfn.PERCENTRANK.INC($E$7:$E$4378,E467)*9,0)</f>
        <v>7</v>
      </c>
      <c r="I467" s="1" t="str">
        <f aca="false">CONCATENATE(F467,G467,H467)</f>
        <v>977</v>
      </c>
      <c r="J467" s="1" t="str">
        <f aca="false">_xlfn.IFS(AND(F467&gt;=8,G467&gt;=8,H467&gt;=8),"CHAMPION",AND(F467&gt;=6,G467&gt;=7,H467&gt;=6),"LOYAL CUSTOMER",AND(F467&gt;=6,G467&gt;=5,H467&gt;=5),"POTENTIAL LOYALIST",AND(F467&gt;=8,G467&lt;=2,H467&gt;=5),"NEW CUSTOMERS",AND(F467&gt;=6,G467&lt;=2,H467&gt;=3),"PROMISING",AND(F467&gt;=3,G467&gt;=3,H467&gt;=3),"NEED ATTENTION",AND(F467&lt;=4,G467&gt;=6,H467&gt;=6),"AT RISK",AND(F467&lt;=2,G467&gt;=8,H467&gt;=8),"CAN'T LOSE THEM",AND(F467&lt;=2,G467&lt;=2,H467&lt;=2),"HIBERNATING",TRUE(),"Other")</f>
        <v>LOYAL CUSTOMER</v>
      </c>
      <c r="K467" s="1" t="n">
        <f aca="false">RANK(E467,$E$7:$E$4378)+COUNTIF($E$7:E467,E467)-1</f>
        <v>801</v>
      </c>
    </row>
    <row r="468" customFormat="false" ht="14.25" hidden="false" customHeight="true" outlineLevel="0" collapsed="false">
      <c r="A468" s="51" t="n">
        <v>12936</v>
      </c>
      <c r="B468" s="53" t="n">
        <v>40869.7305555556</v>
      </c>
      <c r="C468" s="57" t="n">
        <f aca="false">INT($C$2)-INT(Table3[[#This Row],[Last Purchase Date]])</f>
        <v>18</v>
      </c>
      <c r="D468" s="1" t="n">
        <v>5</v>
      </c>
      <c r="E468" s="1" t="n">
        <v>1012.9</v>
      </c>
      <c r="F468" s="1" t="n">
        <f aca="false">ROUND((1-_xlfn.PERCENTRANK.INC($C$7:$C$4378,C468))*9,0)</f>
        <v>7</v>
      </c>
      <c r="G468" s="1" t="n">
        <f aca="false">ROUND(_xlfn.PERCENTRANK.INC($D$7:$D$4378,D468)*9,0)</f>
        <v>6</v>
      </c>
      <c r="H468" s="1" t="n">
        <f aca="false">ROUND(_xlfn.PERCENTRANK.INC($E$7:$E$4378,E468)*9,0)</f>
        <v>6</v>
      </c>
      <c r="I468" s="1" t="str">
        <f aca="false">CONCATENATE(F468,G468,H468)</f>
        <v>766</v>
      </c>
      <c r="J468" s="1" t="str">
        <f aca="false">_xlfn.IFS(AND(F468&gt;=8,G468&gt;=8,H468&gt;=8),"CHAMPION",AND(F468&gt;=6,G468&gt;=7,H468&gt;=6),"LOYAL CUSTOMER",AND(F468&gt;=6,G468&gt;=5,H468&gt;=5),"POTENTIAL LOYALIST",AND(F468&gt;=8,G468&lt;=2,H468&gt;=5),"NEW CUSTOMERS",AND(F468&gt;=6,G468&lt;=2,H468&gt;=3),"PROMISING",AND(F468&gt;=3,G468&gt;=3,H468&gt;=3),"NEED ATTENTION",AND(F468&lt;=4,G468&gt;=6,H468&gt;=6),"AT RISK",AND(F468&lt;=2,G468&gt;=8,H468&gt;=8),"CAN'T LOSE THEM",AND(F468&lt;=2,G468&lt;=2,H468&lt;=2),"HIBERNATING",TRUE(),"Other")</f>
        <v>POTENTIAL LOYALIST</v>
      </c>
      <c r="K468" s="1" t="n">
        <f aca="false">RANK(E468,$E$7:$E$4378)+COUNTIF($E$7:E468,E468)-1</f>
        <v>1617</v>
      </c>
    </row>
    <row r="469" customFormat="false" ht="14.25" hidden="false" customHeight="true" outlineLevel="0" collapsed="false">
      <c r="A469" s="51" t="n">
        <v>12937</v>
      </c>
      <c r="B469" s="53" t="n">
        <v>40871.6284722222</v>
      </c>
      <c r="C469" s="57" t="n">
        <f aca="false">INT($C$2)-INT(Table3[[#This Row],[Last Purchase Date]])</f>
        <v>16</v>
      </c>
      <c r="D469" s="1" t="n">
        <v>4</v>
      </c>
      <c r="E469" s="1" t="n">
        <v>1504.27</v>
      </c>
      <c r="F469" s="1" t="n">
        <f aca="false">ROUND((1-_xlfn.PERCENTRANK.INC($C$7:$C$4378,C469))*9,0)</f>
        <v>7</v>
      </c>
      <c r="G469" s="1" t="n">
        <f aca="false">ROUND(_xlfn.PERCENTRANK.INC($D$7:$D$4378,D469)*9,0)</f>
        <v>5</v>
      </c>
      <c r="H469" s="1" t="n">
        <f aca="false">ROUND(_xlfn.PERCENTRANK.INC($E$7:$E$4378,E469)*9,0)</f>
        <v>7</v>
      </c>
      <c r="I469" s="1" t="str">
        <f aca="false">CONCATENATE(F469,G469,H469)</f>
        <v>757</v>
      </c>
      <c r="J469" s="1" t="str">
        <f aca="false">_xlfn.IFS(AND(F469&gt;=8,G469&gt;=8,H469&gt;=8),"CHAMPION",AND(F469&gt;=6,G469&gt;=7,H469&gt;=6),"LOYAL CUSTOMER",AND(F469&gt;=6,G469&gt;=5,H469&gt;=5),"POTENTIAL LOYALIST",AND(F469&gt;=8,G469&lt;=2,H469&gt;=5),"NEW CUSTOMERS",AND(F469&gt;=6,G469&lt;=2,H469&gt;=3),"PROMISING",AND(F469&gt;=3,G469&gt;=3,H469&gt;=3),"NEED ATTENTION",AND(F469&lt;=4,G469&gt;=6,H469&gt;=6),"AT RISK",AND(F469&lt;=2,G469&gt;=8,H469&gt;=8),"CAN'T LOSE THEM",AND(F469&lt;=2,G469&lt;=2,H469&lt;=2),"HIBERNATING",TRUE(),"Other")</f>
        <v>POTENTIAL LOYALIST</v>
      </c>
      <c r="K469" s="1" t="n">
        <f aca="false">RANK(E469,$E$7:$E$4378)+COUNTIF($E$7:E469,E469)-1</f>
        <v>1163</v>
      </c>
    </row>
    <row r="470" customFormat="false" ht="14.25" hidden="false" customHeight="true" outlineLevel="0" collapsed="false">
      <c r="A470" s="51" t="n">
        <v>12938</v>
      </c>
      <c r="B470" s="53" t="n">
        <v>40861.4729166667</v>
      </c>
      <c r="C470" s="57" t="n">
        <f aca="false">INT($C$2)-INT(Table3[[#This Row],[Last Purchase Date]])</f>
        <v>26</v>
      </c>
      <c r="D470" s="1" t="n">
        <v>1</v>
      </c>
      <c r="E470" s="1" t="n">
        <v>114.14</v>
      </c>
      <c r="F470" s="1" t="n">
        <f aca="false">ROUND((1-_xlfn.PERCENTRANK.INC($C$7:$C$4378,C470))*9,0)</f>
        <v>6</v>
      </c>
      <c r="G470" s="1" t="n">
        <f aca="false">ROUND(_xlfn.PERCENTRANK.INC($D$7:$D$4378,D470)*9,0)</f>
        <v>0</v>
      </c>
      <c r="H470" s="1" t="n">
        <f aca="false">ROUND(_xlfn.PERCENTRANK.INC($E$7:$E$4378,E470)*9,0)</f>
        <v>1</v>
      </c>
      <c r="I470" s="1" t="str">
        <f aca="false">CONCATENATE(F470,G470,H470)</f>
        <v>601</v>
      </c>
      <c r="J470" s="1" t="str">
        <f aca="false">_xlfn.IFS(AND(F470&gt;=8,G470&gt;=8,H470&gt;=8),"CHAMPION",AND(F470&gt;=6,G470&gt;=7,H470&gt;=6),"LOYAL CUSTOMER",AND(F470&gt;=6,G470&gt;=5,H470&gt;=5),"POTENTIAL LOYALIST",AND(F470&gt;=8,G470&lt;=2,H470&gt;=5),"NEW CUSTOMERS",AND(F470&gt;=6,G470&lt;=2,H470&gt;=3),"PROMISING",AND(F470&gt;=3,G470&gt;=3,H470&gt;=3),"NEED ATTENTION",AND(F470&lt;=4,G470&gt;=6,H470&gt;=6),"AT RISK",AND(F470&lt;=2,G470&gt;=8,H470&gt;=8),"CAN'T LOSE THEM",AND(F470&lt;=2,G470&lt;=2,H470&lt;=2),"HIBERNATING",TRUE(),"Other")</f>
        <v>Other</v>
      </c>
      <c r="K470" s="1" t="n">
        <f aca="false">RANK(E470,$E$7:$E$4378)+COUNTIF($E$7:E470,E470)-1</f>
        <v>4080</v>
      </c>
    </row>
    <row r="471" customFormat="false" ht="14.25" hidden="false" customHeight="true" outlineLevel="0" collapsed="false">
      <c r="A471" s="51" t="n">
        <v>12939</v>
      </c>
      <c r="B471" s="53" t="n">
        <v>40822.60625</v>
      </c>
      <c r="C471" s="57" t="n">
        <f aca="false">INT($C$2)-INT(Table3[[#This Row],[Last Purchase Date]])</f>
        <v>65</v>
      </c>
      <c r="D471" s="1" t="n">
        <v>8</v>
      </c>
      <c r="E471" s="1" t="n">
        <v>11581.8</v>
      </c>
      <c r="F471" s="1" t="n">
        <f aca="false">ROUND((1-_xlfn.PERCENTRANK.INC($C$7:$C$4378,C471))*9,0)</f>
        <v>4</v>
      </c>
      <c r="G471" s="1" t="n">
        <f aca="false">ROUND(_xlfn.PERCENTRANK.INC($D$7:$D$4378,D471)*9,0)</f>
        <v>7</v>
      </c>
      <c r="H471" s="1" t="n">
        <f aca="false">ROUND(_xlfn.PERCENTRANK.INC($E$7:$E$4378,E471)*9,0)</f>
        <v>9</v>
      </c>
      <c r="I471" s="1" t="str">
        <f aca="false">CONCATENATE(F471,G471,H471)</f>
        <v>479</v>
      </c>
      <c r="J471" s="1" t="str">
        <f aca="false">_xlfn.IFS(AND(F471&gt;=8,G471&gt;=8,H471&gt;=8),"CHAMPION",AND(F471&gt;=6,G471&gt;=7,H471&gt;=6),"LOYAL CUSTOMER",AND(F471&gt;=6,G471&gt;=5,H471&gt;=5),"POTENTIAL LOYALIST",AND(F471&gt;=8,G471&lt;=2,H471&gt;=5),"NEW CUSTOMERS",AND(F471&gt;=6,G471&lt;=2,H471&gt;=3),"PROMISING",AND(F471&gt;=3,G471&gt;=3,H471&gt;=3),"NEED ATTENTION",AND(F471&lt;=4,G471&gt;=6,H471&gt;=6),"AT RISK",AND(F471&lt;=2,G471&gt;=8,H471&gt;=8),"CAN'T LOSE THEM",AND(F471&lt;=2,G471&lt;=2,H471&lt;=2),"HIBERNATING",TRUE(),"Other")</f>
        <v>NEED ATTENTION</v>
      </c>
      <c r="K471" s="1" t="n">
        <f aca="false">RANK(E471,$E$7:$E$4378)+COUNTIF($E$7:E471,E471)-1</f>
        <v>76</v>
      </c>
    </row>
    <row r="472" customFormat="false" ht="14.25" hidden="false" customHeight="true" outlineLevel="0" collapsed="false">
      <c r="A472" s="51" t="n">
        <v>12940</v>
      </c>
      <c r="B472" s="53" t="n">
        <v>40840.5861111111</v>
      </c>
      <c r="C472" s="57" t="n">
        <f aca="false">INT($C$2)-INT(Table3[[#This Row],[Last Purchase Date]])</f>
        <v>47</v>
      </c>
      <c r="D472" s="1" t="n">
        <v>4</v>
      </c>
      <c r="E472" s="1" t="n">
        <v>876.29</v>
      </c>
      <c r="F472" s="1" t="n">
        <f aca="false">ROUND((1-_xlfn.PERCENTRANK.INC($C$7:$C$4378,C472))*9,0)</f>
        <v>5</v>
      </c>
      <c r="G472" s="1" t="n">
        <f aca="false">ROUND(_xlfn.PERCENTRANK.INC($D$7:$D$4378,D472)*9,0)</f>
        <v>5</v>
      </c>
      <c r="H472" s="1" t="n">
        <f aca="false">ROUND(_xlfn.PERCENTRANK.INC($E$7:$E$4378,E472)*9,0)</f>
        <v>5</v>
      </c>
      <c r="I472" s="1" t="str">
        <f aca="false">CONCATENATE(F472,G472,H472)</f>
        <v>555</v>
      </c>
      <c r="J472" s="1" t="str">
        <f aca="false">_xlfn.IFS(AND(F472&gt;=8,G472&gt;=8,H472&gt;=8),"CHAMPION",AND(F472&gt;=6,G472&gt;=7,H472&gt;=6),"LOYAL CUSTOMER",AND(F472&gt;=6,G472&gt;=5,H472&gt;=5),"POTENTIAL LOYALIST",AND(F472&gt;=8,G472&lt;=2,H472&gt;=5),"NEW CUSTOMERS",AND(F472&gt;=6,G472&lt;=2,H472&gt;=3),"PROMISING",AND(F472&gt;=3,G472&gt;=3,H472&gt;=3),"NEED ATTENTION",AND(F472&lt;=4,G472&gt;=6,H472&gt;=6),"AT RISK",AND(F472&lt;=2,G472&gt;=8,H472&gt;=8),"CAN'T LOSE THEM",AND(F472&lt;=2,G472&lt;=2,H472&lt;=2),"HIBERNATING",TRUE(),"Other")</f>
        <v>NEED ATTENTION</v>
      </c>
      <c r="K472" s="1" t="n">
        <f aca="false">RANK(E472,$E$7:$E$4378)+COUNTIF($E$7:E472,E472)-1</f>
        <v>1794</v>
      </c>
    </row>
    <row r="473" customFormat="false" ht="14.25" hidden="false" customHeight="true" outlineLevel="0" collapsed="false">
      <c r="A473" s="51" t="n">
        <v>12942</v>
      </c>
      <c r="B473" s="53" t="n">
        <v>40755.6104166667</v>
      </c>
      <c r="C473" s="57" t="n">
        <f aca="false">INT($C$2)-INT(Table3[[#This Row],[Last Purchase Date]])</f>
        <v>132</v>
      </c>
      <c r="D473" s="1" t="n">
        <v>3</v>
      </c>
      <c r="E473" s="1" t="n">
        <v>683.9</v>
      </c>
      <c r="F473" s="1" t="n">
        <f aca="false">ROUND((1-_xlfn.PERCENTRANK.INC($C$7:$C$4378,C473))*9,0)</f>
        <v>2</v>
      </c>
      <c r="G473" s="1" t="n">
        <f aca="false">ROUND(_xlfn.PERCENTRANK.INC($D$7:$D$4378,D473)*9,0)</f>
        <v>4</v>
      </c>
      <c r="H473" s="1" t="n">
        <f aca="false">ROUND(_xlfn.PERCENTRANK.INC($E$7:$E$4378,E473)*9,0)</f>
        <v>5</v>
      </c>
      <c r="I473" s="1" t="str">
        <f aca="false">CONCATENATE(F473,G473,H473)</f>
        <v>245</v>
      </c>
      <c r="J473" s="1" t="str">
        <f aca="false">_xlfn.IFS(AND(F473&gt;=8,G473&gt;=8,H473&gt;=8),"CHAMPION",AND(F473&gt;=6,G473&gt;=7,H473&gt;=6),"LOYAL CUSTOMER",AND(F473&gt;=6,G473&gt;=5,H473&gt;=5),"POTENTIAL LOYALIST",AND(F473&gt;=8,G473&lt;=2,H473&gt;=5),"NEW CUSTOMERS",AND(F473&gt;=6,G473&lt;=2,H473&gt;=3),"PROMISING",AND(F473&gt;=3,G473&gt;=3,H473&gt;=3),"NEED ATTENTION",AND(F473&lt;=4,G473&gt;=6,H473&gt;=6),"AT RISK",AND(F473&lt;=2,G473&gt;=8,H473&gt;=8),"CAN'T LOSE THEM",AND(F473&lt;=2,G473&lt;=2,H473&lt;=2),"HIBERNATING",TRUE(),"Other")</f>
        <v>Other</v>
      </c>
      <c r="K473" s="1" t="n">
        <f aca="false">RANK(E473,$E$7:$E$4378)+COUNTIF($E$7:E473,E473)-1</f>
        <v>2094</v>
      </c>
    </row>
    <row r="474" customFormat="false" ht="14.25" hidden="false" customHeight="true" outlineLevel="0" collapsed="false">
      <c r="A474" s="51" t="n">
        <v>12943</v>
      </c>
      <c r="B474" s="53" t="n">
        <v>40585.6340277778</v>
      </c>
      <c r="C474" s="57" t="n">
        <f aca="false">INT($C$2)-INT(Table3[[#This Row],[Last Purchase Date]])</f>
        <v>302</v>
      </c>
      <c r="D474" s="1" t="n">
        <v>1</v>
      </c>
      <c r="E474" s="1" t="n">
        <v>-3.75</v>
      </c>
      <c r="F474" s="1" t="n">
        <f aca="false">ROUND((1-_xlfn.PERCENTRANK.INC($C$7:$C$4378,C474))*9,0)</f>
        <v>1</v>
      </c>
      <c r="G474" s="1" t="n">
        <f aca="false">ROUND(_xlfn.PERCENTRANK.INC($D$7:$D$4378,D474)*9,0)</f>
        <v>0</v>
      </c>
      <c r="H474" s="1" t="n">
        <f aca="false">ROUND(_xlfn.PERCENTRANK.INC($E$7:$E$4378,E474)*9,0)</f>
        <v>0</v>
      </c>
      <c r="I474" s="1" t="str">
        <f aca="false">CONCATENATE(F474,G474,H474)</f>
        <v>100</v>
      </c>
      <c r="J474" s="1" t="str">
        <f aca="false">_xlfn.IFS(AND(F474&gt;=8,G474&gt;=8,H474&gt;=8),"CHAMPION",AND(F474&gt;=6,G474&gt;=7,H474&gt;=6),"LOYAL CUSTOMER",AND(F474&gt;=6,G474&gt;=5,H474&gt;=5),"POTENTIAL LOYALIST",AND(F474&gt;=8,G474&lt;=2,H474&gt;=5),"NEW CUSTOMERS",AND(F474&gt;=6,G474&lt;=2,H474&gt;=3),"PROMISING",AND(F474&gt;=3,G474&gt;=3,H474&gt;=3),"NEED ATTENTION",AND(F474&lt;=4,G474&gt;=6,H474&gt;=6),"AT RISK",AND(F474&lt;=2,G474&gt;=8,H474&gt;=8),"CAN'T LOSE THEM",AND(F474&lt;=2,G474&lt;=2,H474&lt;=2),"HIBERNATING",TRUE(),"Other")</f>
        <v>HIBERNATING</v>
      </c>
      <c r="K474" s="1" t="n">
        <f aca="false">RANK(E474,$E$7:$E$4378)+COUNTIF($E$7:E474,E474)-1</f>
        <v>4335</v>
      </c>
    </row>
    <row r="475" customFormat="false" ht="14.25" hidden="false" customHeight="true" outlineLevel="0" collapsed="false">
      <c r="A475" s="51" t="n">
        <v>12944</v>
      </c>
      <c r="B475" s="53" t="n">
        <v>40851.4611111111</v>
      </c>
      <c r="C475" s="57" t="n">
        <f aca="false">INT($C$2)-INT(Table3[[#This Row],[Last Purchase Date]])</f>
        <v>36</v>
      </c>
      <c r="D475" s="1" t="n">
        <v>2</v>
      </c>
      <c r="E475" s="1" t="n">
        <v>604.51</v>
      </c>
      <c r="F475" s="1" t="n">
        <f aca="false">ROUND((1-_xlfn.PERCENTRANK.INC($C$7:$C$4378,C475))*9,0)</f>
        <v>5</v>
      </c>
      <c r="G475" s="1" t="n">
        <f aca="false">ROUND(_xlfn.PERCENTRANK.INC($D$7:$D$4378,D475)*9,0)</f>
        <v>3</v>
      </c>
      <c r="H475" s="1" t="n">
        <f aca="false">ROUND(_xlfn.PERCENTRANK.INC($E$7:$E$4378,E475)*9,0)</f>
        <v>4</v>
      </c>
      <c r="I475" s="1" t="str">
        <f aca="false">CONCATENATE(F475,G475,H475)</f>
        <v>534</v>
      </c>
      <c r="J475" s="1" t="str">
        <f aca="false">_xlfn.IFS(AND(F475&gt;=8,G475&gt;=8,H475&gt;=8),"CHAMPION",AND(F475&gt;=6,G475&gt;=7,H475&gt;=6),"LOYAL CUSTOMER",AND(F475&gt;=6,G475&gt;=5,H475&gt;=5),"POTENTIAL LOYALIST",AND(F475&gt;=8,G475&lt;=2,H475&gt;=5),"NEW CUSTOMERS",AND(F475&gt;=6,G475&lt;=2,H475&gt;=3),"PROMISING",AND(F475&gt;=3,G475&gt;=3,H475&gt;=3),"NEED ATTENTION",AND(F475&lt;=4,G475&gt;=6,H475&gt;=6),"AT RISK",AND(F475&lt;=2,G475&gt;=8,H475&gt;=8),"CAN'T LOSE THEM",AND(F475&lt;=2,G475&lt;=2,H475&lt;=2),"HIBERNATING",TRUE(),"Other")</f>
        <v>NEED ATTENTION</v>
      </c>
      <c r="K475" s="1" t="n">
        <f aca="false">RANK(E475,$E$7:$E$4378)+COUNTIF($E$7:E475,E475)-1</f>
        <v>2301</v>
      </c>
    </row>
    <row r="476" customFormat="false" ht="14.25" hidden="false" customHeight="true" outlineLevel="0" collapsed="false">
      <c r="A476" s="51" t="n">
        <v>12945</v>
      </c>
      <c r="B476" s="53" t="n">
        <v>40598.59375</v>
      </c>
      <c r="C476" s="57" t="n">
        <f aca="false">INT($C$2)-INT(Table3[[#This Row],[Last Purchase Date]])</f>
        <v>289</v>
      </c>
      <c r="D476" s="1" t="n">
        <v>1</v>
      </c>
      <c r="E476" s="1" t="n">
        <v>462.95</v>
      </c>
      <c r="F476" s="1" t="n">
        <f aca="false">ROUND((1-_xlfn.PERCENTRANK.INC($C$7:$C$4378,C476))*9,0)</f>
        <v>1</v>
      </c>
      <c r="G476" s="1" t="n">
        <f aca="false">ROUND(_xlfn.PERCENTRANK.INC($D$7:$D$4378,D476)*9,0)</f>
        <v>0</v>
      </c>
      <c r="H476" s="1" t="n">
        <f aca="false">ROUND(_xlfn.PERCENTRANK.INC($E$7:$E$4378,E476)*9,0)</f>
        <v>4</v>
      </c>
      <c r="I476" s="1" t="str">
        <f aca="false">CONCATENATE(F476,G476,H476)</f>
        <v>104</v>
      </c>
      <c r="J476" s="1" t="str">
        <f aca="false">_xlfn.IFS(AND(F476&gt;=8,G476&gt;=8,H476&gt;=8),"CHAMPION",AND(F476&gt;=6,G476&gt;=7,H476&gt;=6),"LOYAL CUSTOMER",AND(F476&gt;=6,G476&gt;=5,H476&gt;=5),"POTENTIAL LOYALIST",AND(F476&gt;=8,G476&lt;=2,H476&gt;=5),"NEW CUSTOMERS",AND(F476&gt;=6,G476&lt;=2,H476&gt;=3),"PROMISING",AND(F476&gt;=3,G476&gt;=3,H476&gt;=3),"NEED ATTENTION",AND(F476&lt;=4,G476&gt;=6,H476&gt;=6),"AT RISK",AND(F476&lt;=2,G476&gt;=8,H476&gt;=8),"CAN'T LOSE THEM",AND(F476&lt;=2,G476&lt;=2,H476&lt;=2),"HIBERNATING",TRUE(),"Other")</f>
        <v>Other</v>
      </c>
      <c r="K476" s="1" t="n">
        <f aca="false">RANK(E476,$E$7:$E$4378)+COUNTIF($E$7:E476,E476)-1</f>
        <v>2633</v>
      </c>
    </row>
    <row r="477" customFormat="false" ht="14.25" hidden="false" customHeight="true" outlineLevel="0" collapsed="false">
      <c r="A477" s="51" t="n">
        <v>12947</v>
      </c>
      <c r="B477" s="53" t="n">
        <v>40743.4208333333</v>
      </c>
      <c r="C477" s="57" t="n">
        <f aca="false">INT($C$2)-INT(Table3[[#This Row],[Last Purchase Date]])</f>
        <v>144</v>
      </c>
      <c r="D477" s="1" t="n">
        <v>11</v>
      </c>
      <c r="E477" s="1" t="n">
        <v>1407.29</v>
      </c>
      <c r="F477" s="1" t="n">
        <f aca="false">ROUND((1-_xlfn.PERCENTRANK.INC($C$7:$C$4378,C477))*9,0)</f>
        <v>2</v>
      </c>
      <c r="G477" s="1" t="n">
        <f aca="false">ROUND(_xlfn.PERCENTRANK.INC($D$7:$D$4378,D477)*9,0)</f>
        <v>8</v>
      </c>
      <c r="H477" s="1" t="n">
        <f aca="false">ROUND(_xlfn.PERCENTRANK.INC($E$7:$E$4378,E477)*9,0)</f>
        <v>6</v>
      </c>
      <c r="I477" s="1" t="str">
        <f aca="false">CONCATENATE(F477,G477,H477)</f>
        <v>286</v>
      </c>
      <c r="J477" s="1" t="str">
        <f aca="false">_xlfn.IFS(AND(F477&gt;=8,G477&gt;=8,H477&gt;=8),"CHAMPION",AND(F477&gt;=6,G477&gt;=7,H477&gt;=6),"LOYAL CUSTOMER",AND(F477&gt;=6,G477&gt;=5,H477&gt;=5),"POTENTIAL LOYALIST",AND(F477&gt;=8,G477&lt;=2,H477&gt;=5),"NEW CUSTOMERS",AND(F477&gt;=6,G477&lt;=2,H477&gt;=3),"PROMISING",AND(F477&gt;=3,G477&gt;=3,H477&gt;=3),"NEED ATTENTION",AND(F477&lt;=4,G477&gt;=6,H477&gt;=6),"AT RISK",AND(F477&lt;=2,G477&gt;=8,H477&gt;=8),"CAN'T LOSE THEM",AND(F477&lt;=2,G477&lt;=2,H477&lt;=2),"HIBERNATING",TRUE(),"Other")</f>
        <v>AT RISK</v>
      </c>
      <c r="K477" s="1" t="n">
        <f aca="false">RANK(E477,$E$7:$E$4378)+COUNTIF($E$7:E477,E477)-1</f>
        <v>1232</v>
      </c>
    </row>
    <row r="478" customFormat="false" ht="14.25" hidden="false" customHeight="true" outlineLevel="0" collapsed="false">
      <c r="A478" s="51" t="n">
        <v>12948</v>
      </c>
      <c r="B478" s="53" t="n">
        <v>40870.7152777778</v>
      </c>
      <c r="C478" s="57" t="n">
        <f aca="false">INT($C$2)-INT(Table3[[#This Row],[Last Purchase Date]])</f>
        <v>17</v>
      </c>
      <c r="D478" s="1" t="n">
        <v>8</v>
      </c>
      <c r="E478" s="1" t="n">
        <v>2053.7</v>
      </c>
      <c r="F478" s="1" t="n">
        <f aca="false">ROUND((1-_xlfn.PERCENTRANK.INC($C$7:$C$4378,C478))*9,0)</f>
        <v>7</v>
      </c>
      <c r="G478" s="1" t="n">
        <f aca="false">ROUND(_xlfn.PERCENTRANK.INC($D$7:$D$4378,D478)*9,0)</f>
        <v>7</v>
      </c>
      <c r="H478" s="1" t="n">
        <f aca="false">ROUND(_xlfn.PERCENTRANK.INC($E$7:$E$4378,E478)*9,0)</f>
        <v>7</v>
      </c>
      <c r="I478" s="1" t="str">
        <f aca="false">CONCATENATE(F478,G478,H478)</f>
        <v>777</v>
      </c>
      <c r="J478" s="1" t="str">
        <f aca="false">_xlfn.IFS(AND(F478&gt;=8,G478&gt;=8,H478&gt;=8),"CHAMPION",AND(F478&gt;=6,G478&gt;=7,H478&gt;=6),"LOYAL CUSTOMER",AND(F478&gt;=6,G478&gt;=5,H478&gt;=5),"POTENTIAL LOYALIST",AND(F478&gt;=8,G478&lt;=2,H478&gt;=5),"NEW CUSTOMERS",AND(F478&gt;=6,G478&lt;=2,H478&gt;=3),"PROMISING",AND(F478&gt;=3,G478&gt;=3,H478&gt;=3),"NEED ATTENTION",AND(F478&lt;=4,G478&gt;=6,H478&gt;=6),"AT RISK",AND(F478&lt;=2,G478&gt;=8,H478&gt;=8),"CAN'T LOSE THEM",AND(F478&lt;=2,G478&lt;=2,H478&lt;=2),"HIBERNATING",TRUE(),"Other")</f>
        <v>LOYAL CUSTOMER</v>
      </c>
      <c r="K478" s="1" t="n">
        <f aca="false">RANK(E478,$E$7:$E$4378)+COUNTIF($E$7:E478,E478)-1</f>
        <v>851</v>
      </c>
    </row>
    <row r="479" customFormat="false" ht="14.25" hidden="false" customHeight="true" outlineLevel="0" collapsed="false">
      <c r="A479" s="51" t="n">
        <v>12949</v>
      </c>
      <c r="B479" s="53" t="n">
        <v>40856.4756944445</v>
      </c>
      <c r="C479" s="57" t="n">
        <f aca="false">INT($C$2)-INT(Table3[[#This Row],[Last Purchase Date]])</f>
        <v>31</v>
      </c>
      <c r="D479" s="1" t="n">
        <v>10</v>
      </c>
      <c r="E479" s="1" t="n">
        <v>4143.02</v>
      </c>
      <c r="F479" s="1" t="n">
        <f aca="false">ROUND((1-_xlfn.PERCENTRANK.INC($C$7:$C$4378,C479))*9,0)</f>
        <v>6</v>
      </c>
      <c r="G479" s="1" t="n">
        <f aca="false">ROUND(_xlfn.PERCENTRANK.INC($D$7:$D$4378,D479)*9,0)</f>
        <v>8</v>
      </c>
      <c r="H479" s="1" t="n">
        <f aca="false">ROUND(_xlfn.PERCENTRANK.INC($E$7:$E$4378,E479)*9,0)</f>
        <v>8</v>
      </c>
      <c r="I479" s="1" t="str">
        <f aca="false">CONCATENATE(F479,G479,H479)</f>
        <v>688</v>
      </c>
      <c r="J479" s="1" t="str">
        <f aca="false">_xlfn.IFS(AND(F479&gt;=8,G479&gt;=8,H479&gt;=8),"CHAMPION",AND(F479&gt;=6,G479&gt;=7,H479&gt;=6),"LOYAL CUSTOMER",AND(F479&gt;=6,G479&gt;=5,H479&gt;=5),"POTENTIAL LOYALIST",AND(F479&gt;=8,G479&lt;=2,H479&gt;=5),"NEW CUSTOMERS",AND(F479&gt;=6,G479&lt;=2,H479&gt;=3),"PROMISING",AND(F479&gt;=3,G479&gt;=3,H479&gt;=3),"NEED ATTENTION",AND(F479&lt;=4,G479&gt;=6,H479&gt;=6),"AT RISK",AND(F479&lt;=2,G479&gt;=8,H479&gt;=8),"CAN'T LOSE THEM",AND(F479&lt;=2,G479&lt;=2,H479&lt;=2),"HIBERNATING",TRUE(),"Other")</f>
        <v>LOYAL CUSTOMER</v>
      </c>
      <c r="K479" s="1" t="n">
        <f aca="false">RANK(E479,$E$7:$E$4378)+COUNTIF($E$7:E479,E479)-1</f>
        <v>336</v>
      </c>
    </row>
    <row r="480" customFormat="false" ht="14.25" hidden="false" customHeight="true" outlineLevel="0" collapsed="false">
      <c r="A480" s="51" t="n">
        <v>12950</v>
      </c>
      <c r="B480" s="53" t="n">
        <v>40884.5534722222</v>
      </c>
      <c r="C480" s="57" t="n">
        <f aca="false">INT($C$2)-INT(Table3[[#This Row],[Last Purchase Date]])</f>
        <v>3</v>
      </c>
      <c r="D480" s="1" t="n">
        <v>3</v>
      </c>
      <c r="E480" s="1" t="n">
        <v>1843</v>
      </c>
      <c r="F480" s="1" t="n">
        <f aca="false">ROUND((1-_xlfn.PERCENTRANK.INC($C$7:$C$4378,C480))*9,0)</f>
        <v>9</v>
      </c>
      <c r="G480" s="1" t="n">
        <f aca="false">ROUND(_xlfn.PERCENTRANK.INC($D$7:$D$4378,D480)*9,0)</f>
        <v>4</v>
      </c>
      <c r="H480" s="1" t="n">
        <f aca="false">ROUND(_xlfn.PERCENTRANK.INC($E$7:$E$4378,E480)*9,0)</f>
        <v>7</v>
      </c>
      <c r="I480" s="1" t="str">
        <f aca="false">CONCATENATE(F480,G480,H480)</f>
        <v>947</v>
      </c>
      <c r="J480" s="1" t="str">
        <f aca="false">_xlfn.IFS(AND(F480&gt;=8,G480&gt;=8,H480&gt;=8),"CHAMPION",AND(F480&gt;=6,G480&gt;=7,H480&gt;=6),"LOYAL CUSTOMER",AND(F480&gt;=6,G480&gt;=5,H480&gt;=5),"POTENTIAL LOYALIST",AND(F480&gt;=8,G480&lt;=2,H480&gt;=5),"NEW CUSTOMERS",AND(F480&gt;=6,G480&lt;=2,H480&gt;=3),"PROMISING",AND(F480&gt;=3,G480&gt;=3,H480&gt;=3),"NEED ATTENTION",AND(F480&lt;=4,G480&gt;=6,H480&gt;=6),"AT RISK",AND(F480&lt;=2,G480&gt;=8,H480&gt;=8),"CAN'T LOSE THEM",AND(F480&lt;=2,G480&lt;=2,H480&lt;=2),"HIBERNATING",TRUE(),"Other")</f>
        <v>NEED ATTENTION</v>
      </c>
      <c r="K480" s="1" t="n">
        <f aca="false">RANK(E480,$E$7:$E$4378)+COUNTIF($E$7:E480,E480)-1</f>
        <v>949</v>
      </c>
    </row>
    <row r="481" customFormat="false" ht="14.25" hidden="false" customHeight="true" outlineLevel="0" collapsed="false">
      <c r="A481" s="51" t="n">
        <v>12951</v>
      </c>
      <c r="B481" s="53" t="n">
        <v>40878.5097222222</v>
      </c>
      <c r="C481" s="57" t="n">
        <f aca="false">INT($C$2)-INT(Table3[[#This Row],[Last Purchase Date]])</f>
        <v>9</v>
      </c>
      <c r="D481" s="1" t="n">
        <v>8</v>
      </c>
      <c r="E481" s="1" t="n">
        <v>1042.07</v>
      </c>
      <c r="F481" s="1" t="n">
        <f aca="false">ROUND((1-_xlfn.PERCENTRANK.INC($C$7:$C$4378,C481))*9,0)</f>
        <v>8</v>
      </c>
      <c r="G481" s="1" t="n">
        <f aca="false">ROUND(_xlfn.PERCENTRANK.INC($D$7:$D$4378,D481)*9,0)</f>
        <v>7</v>
      </c>
      <c r="H481" s="1" t="n">
        <f aca="false">ROUND(_xlfn.PERCENTRANK.INC($E$7:$E$4378,E481)*9,0)</f>
        <v>6</v>
      </c>
      <c r="I481" s="1" t="str">
        <f aca="false">CONCATENATE(F481,G481,H481)</f>
        <v>876</v>
      </c>
      <c r="J481" s="1" t="str">
        <f aca="false">_xlfn.IFS(AND(F481&gt;=8,G481&gt;=8,H481&gt;=8),"CHAMPION",AND(F481&gt;=6,G481&gt;=7,H481&gt;=6),"LOYAL CUSTOMER",AND(F481&gt;=6,G481&gt;=5,H481&gt;=5),"POTENTIAL LOYALIST",AND(F481&gt;=8,G481&lt;=2,H481&gt;=5),"NEW CUSTOMERS",AND(F481&gt;=6,G481&lt;=2,H481&gt;=3),"PROMISING",AND(F481&gt;=3,G481&gt;=3,H481&gt;=3),"NEED ATTENTION",AND(F481&lt;=4,G481&gt;=6,H481&gt;=6),"AT RISK",AND(F481&lt;=2,G481&gt;=8,H481&gt;=8),"CAN'T LOSE THEM",AND(F481&lt;=2,G481&lt;=2,H481&lt;=2),"HIBERNATING",TRUE(),"Other")</f>
        <v>LOYAL CUSTOMER</v>
      </c>
      <c r="K481" s="1" t="n">
        <f aca="false">RANK(E481,$E$7:$E$4378)+COUNTIF($E$7:E481,E481)-1</f>
        <v>1577</v>
      </c>
    </row>
    <row r="482" customFormat="false" ht="14.25" hidden="false" customHeight="true" outlineLevel="0" collapsed="false">
      <c r="A482" s="51" t="n">
        <v>12952</v>
      </c>
      <c r="B482" s="53" t="n">
        <v>40881.4409722222</v>
      </c>
      <c r="C482" s="57" t="n">
        <f aca="false">INT($C$2)-INT(Table3[[#This Row],[Last Purchase Date]])</f>
        <v>6</v>
      </c>
      <c r="D482" s="1" t="n">
        <v>5</v>
      </c>
      <c r="E482" s="1" t="n">
        <v>1382.84</v>
      </c>
      <c r="F482" s="1" t="n">
        <f aca="false">ROUND((1-_xlfn.PERCENTRANK.INC($C$7:$C$4378,C482))*9,0)</f>
        <v>8</v>
      </c>
      <c r="G482" s="1" t="n">
        <f aca="false">ROUND(_xlfn.PERCENTRANK.INC($D$7:$D$4378,D482)*9,0)</f>
        <v>6</v>
      </c>
      <c r="H482" s="1" t="n">
        <f aca="false">ROUND(_xlfn.PERCENTRANK.INC($E$7:$E$4378,E482)*9,0)</f>
        <v>6</v>
      </c>
      <c r="I482" s="1" t="str">
        <f aca="false">CONCATENATE(F482,G482,H482)</f>
        <v>866</v>
      </c>
      <c r="J482" s="1" t="str">
        <f aca="false">_xlfn.IFS(AND(F482&gt;=8,G482&gt;=8,H482&gt;=8),"CHAMPION",AND(F482&gt;=6,G482&gt;=7,H482&gt;=6),"LOYAL CUSTOMER",AND(F482&gt;=6,G482&gt;=5,H482&gt;=5),"POTENTIAL LOYALIST",AND(F482&gt;=8,G482&lt;=2,H482&gt;=5),"NEW CUSTOMERS",AND(F482&gt;=6,G482&lt;=2,H482&gt;=3),"PROMISING",AND(F482&gt;=3,G482&gt;=3,H482&gt;=3),"NEED ATTENTION",AND(F482&lt;=4,G482&gt;=6,H482&gt;=6),"AT RISK",AND(F482&lt;=2,G482&gt;=8,H482&gt;=8),"CAN'T LOSE THEM",AND(F482&lt;=2,G482&lt;=2,H482&lt;=2),"HIBERNATING",TRUE(),"Other")</f>
        <v>POTENTIAL LOYALIST</v>
      </c>
      <c r="K482" s="1" t="n">
        <f aca="false">RANK(E482,$E$7:$E$4378)+COUNTIF($E$7:E482,E482)-1</f>
        <v>1253</v>
      </c>
    </row>
    <row r="483" customFormat="false" ht="14.25" hidden="false" customHeight="true" outlineLevel="0" collapsed="false">
      <c r="A483" s="51" t="n">
        <v>12953</v>
      </c>
      <c r="B483" s="53" t="n">
        <v>40877.3916666667</v>
      </c>
      <c r="C483" s="57" t="n">
        <f aca="false">INT($C$2)-INT(Table3[[#This Row],[Last Purchase Date]])</f>
        <v>10</v>
      </c>
      <c r="D483" s="1" t="n">
        <v>1</v>
      </c>
      <c r="E483" s="1" t="n">
        <v>329.85</v>
      </c>
      <c r="F483" s="1" t="n">
        <f aca="false">ROUND((1-_xlfn.PERCENTRANK.INC($C$7:$C$4378,C483))*9,0)</f>
        <v>8</v>
      </c>
      <c r="G483" s="1" t="n">
        <f aca="false">ROUND(_xlfn.PERCENTRANK.INC($D$7:$D$4378,D483)*9,0)</f>
        <v>0</v>
      </c>
      <c r="H483" s="1" t="n">
        <f aca="false">ROUND(_xlfn.PERCENTRANK.INC($E$7:$E$4378,E483)*9,0)</f>
        <v>3</v>
      </c>
      <c r="I483" s="1" t="str">
        <f aca="false">CONCATENATE(F483,G483,H483)</f>
        <v>803</v>
      </c>
      <c r="J483" s="1" t="str">
        <f aca="false">_xlfn.IFS(AND(F483&gt;=8,G483&gt;=8,H483&gt;=8),"CHAMPION",AND(F483&gt;=6,G483&gt;=7,H483&gt;=6),"LOYAL CUSTOMER",AND(F483&gt;=6,G483&gt;=5,H483&gt;=5),"POTENTIAL LOYALIST",AND(F483&gt;=8,G483&lt;=2,H483&gt;=5),"NEW CUSTOMERS",AND(F483&gt;=6,G483&lt;=2,H483&gt;=3),"PROMISING",AND(F483&gt;=3,G483&gt;=3,H483&gt;=3),"NEED ATTENTION",AND(F483&lt;=4,G483&gt;=6,H483&gt;=6),"AT RISK",AND(F483&lt;=2,G483&gt;=8,H483&gt;=8),"CAN'T LOSE THEM",AND(F483&lt;=2,G483&lt;=2,H483&lt;=2),"HIBERNATING",TRUE(),"Other")</f>
        <v>PROMISING</v>
      </c>
      <c r="K483" s="1" t="n">
        <f aca="false">RANK(E483,$E$7:$E$4378)+COUNTIF($E$7:E483,E483)-1</f>
        <v>3096</v>
      </c>
    </row>
    <row r="484" customFormat="false" ht="14.25" hidden="false" customHeight="true" outlineLevel="0" collapsed="false">
      <c r="A484" s="51" t="n">
        <v>12955</v>
      </c>
      <c r="B484" s="53" t="n">
        <v>40885.6868055556</v>
      </c>
      <c r="C484" s="57" t="n">
        <f aca="false">INT($C$2)-INT(Table3[[#This Row],[Last Purchase Date]])</f>
        <v>2</v>
      </c>
      <c r="D484" s="1" t="n">
        <v>14</v>
      </c>
      <c r="E484" s="1" t="n">
        <v>4734.26</v>
      </c>
      <c r="F484" s="1" t="n">
        <f aca="false">ROUND((1-_xlfn.PERCENTRANK.INC($C$7:$C$4378,C484))*9,0)</f>
        <v>9</v>
      </c>
      <c r="G484" s="1" t="n">
        <f aca="false">ROUND(_xlfn.PERCENTRANK.INC($D$7:$D$4378,D484)*9,0)</f>
        <v>8</v>
      </c>
      <c r="H484" s="1" t="n">
        <f aca="false">ROUND(_xlfn.PERCENTRANK.INC($E$7:$E$4378,E484)*9,0)</f>
        <v>8</v>
      </c>
      <c r="I484" s="1" t="str">
        <f aca="false">CONCATENATE(F484,G484,H484)</f>
        <v>988</v>
      </c>
      <c r="J484" s="1" t="str">
        <f aca="false">_xlfn.IFS(AND(F484&gt;=8,G484&gt;=8,H484&gt;=8),"CHAMPION",AND(F484&gt;=6,G484&gt;=7,H484&gt;=6),"LOYAL CUSTOMER",AND(F484&gt;=6,G484&gt;=5,H484&gt;=5),"POTENTIAL LOYALIST",AND(F484&gt;=8,G484&lt;=2,H484&gt;=5),"NEW CUSTOMERS",AND(F484&gt;=6,G484&lt;=2,H484&gt;=3),"PROMISING",AND(F484&gt;=3,G484&gt;=3,H484&gt;=3),"NEED ATTENTION",AND(F484&lt;=4,G484&gt;=6,H484&gt;=6),"AT RISK",AND(F484&lt;=2,G484&gt;=8,H484&gt;=8),"CAN'T LOSE THEM",AND(F484&lt;=2,G484&lt;=2,H484&lt;=2),"HIBERNATING",TRUE(),"Other")</f>
        <v>CHAMPION</v>
      </c>
      <c r="K484" s="1" t="n">
        <f aca="false">RANK(E484,$E$7:$E$4378)+COUNTIF($E$7:E484,E484)-1</f>
        <v>283</v>
      </c>
    </row>
    <row r="485" customFormat="false" ht="14.25" hidden="false" customHeight="true" outlineLevel="0" collapsed="false">
      <c r="A485" s="51" t="n">
        <v>12956</v>
      </c>
      <c r="B485" s="53" t="n">
        <v>40580.6722222222</v>
      </c>
      <c r="C485" s="57" t="n">
        <f aca="false">INT($C$2)-INT(Table3[[#This Row],[Last Purchase Date]])</f>
        <v>307</v>
      </c>
      <c r="D485" s="1" t="n">
        <v>1</v>
      </c>
      <c r="E485" s="1" t="n">
        <v>108.07</v>
      </c>
      <c r="F485" s="1" t="n">
        <f aca="false">ROUND((1-_xlfn.PERCENTRANK.INC($C$7:$C$4378,C485))*9,0)</f>
        <v>1</v>
      </c>
      <c r="G485" s="1" t="n">
        <f aca="false">ROUND(_xlfn.PERCENTRANK.INC($D$7:$D$4378,D485)*9,0)</f>
        <v>0</v>
      </c>
      <c r="H485" s="1" t="n">
        <f aca="false">ROUND(_xlfn.PERCENTRANK.INC($E$7:$E$4378,E485)*9,0)</f>
        <v>1</v>
      </c>
      <c r="I485" s="1" t="str">
        <f aca="false">CONCATENATE(F485,G485,H485)</f>
        <v>101</v>
      </c>
      <c r="J485" s="1" t="str">
        <f aca="false">_xlfn.IFS(AND(F485&gt;=8,G485&gt;=8,H485&gt;=8),"CHAMPION",AND(F485&gt;=6,G485&gt;=7,H485&gt;=6),"LOYAL CUSTOMER",AND(F485&gt;=6,G485&gt;=5,H485&gt;=5),"POTENTIAL LOYALIST",AND(F485&gt;=8,G485&lt;=2,H485&gt;=5),"NEW CUSTOMERS",AND(F485&gt;=6,G485&lt;=2,H485&gt;=3),"PROMISING",AND(F485&gt;=3,G485&gt;=3,H485&gt;=3),"NEED ATTENTION",AND(F485&lt;=4,G485&gt;=6,H485&gt;=6),"AT RISK",AND(F485&lt;=2,G485&gt;=8,H485&gt;=8),"CAN'T LOSE THEM",AND(F485&lt;=2,G485&lt;=2,H485&lt;=2),"HIBERNATING",TRUE(),"Other")</f>
        <v>HIBERNATING</v>
      </c>
      <c r="K485" s="1" t="n">
        <f aca="false">RANK(E485,$E$7:$E$4378)+COUNTIF($E$7:E485,E485)-1</f>
        <v>4125</v>
      </c>
    </row>
    <row r="486" customFormat="false" ht="14.25" hidden="false" customHeight="true" outlineLevel="0" collapsed="false">
      <c r="A486" s="51" t="n">
        <v>12957</v>
      </c>
      <c r="B486" s="53" t="n">
        <v>40882.6888888889</v>
      </c>
      <c r="C486" s="57" t="n">
        <f aca="false">INT($C$2)-INT(Table3[[#This Row],[Last Purchase Date]])</f>
        <v>5</v>
      </c>
      <c r="D486" s="1" t="n">
        <v>12</v>
      </c>
      <c r="E486" s="1" t="n">
        <v>3979.04</v>
      </c>
      <c r="F486" s="1" t="n">
        <f aca="false">ROUND((1-_xlfn.PERCENTRANK.INC($C$7:$C$4378,C486))*9,0)</f>
        <v>8</v>
      </c>
      <c r="G486" s="1" t="n">
        <f aca="false">ROUND(_xlfn.PERCENTRANK.INC($D$7:$D$4378,D486)*9,0)</f>
        <v>8</v>
      </c>
      <c r="H486" s="1" t="n">
        <f aca="false">ROUND(_xlfn.PERCENTRANK.INC($E$7:$E$4378,E486)*9,0)</f>
        <v>8</v>
      </c>
      <c r="I486" s="1" t="str">
        <f aca="false">CONCATENATE(F486,G486,H486)</f>
        <v>888</v>
      </c>
      <c r="J486" s="1" t="str">
        <f aca="false">_xlfn.IFS(AND(F486&gt;=8,G486&gt;=8,H486&gt;=8),"CHAMPION",AND(F486&gt;=6,G486&gt;=7,H486&gt;=6),"LOYAL CUSTOMER",AND(F486&gt;=6,G486&gt;=5,H486&gt;=5),"POTENTIAL LOYALIST",AND(F486&gt;=8,G486&lt;=2,H486&gt;=5),"NEW CUSTOMERS",AND(F486&gt;=6,G486&lt;=2,H486&gt;=3),"PROMISING",AND(F486&gt;=3,G486&gt;=3,H486&gt;=3),"NEED ATTENTION",AND(F486&lt;=4,G486&gt;=6,H486&gt;=6),"AT RISK",AND(F486&lt;=2,G486&gt;=8,H486&gt;=8),"CAN'T LOSE THEM",AND(F486&lt;=2,G486&lt;=2,H486&lt;=2),"HIBERNATING",TRUE(),"Other")</f>
        <v>CHAMPION</v>
      </c>
      <c r="K486" s="1" t="n">
        <f aca="false">RANK(E486,$E$7:$E$4378)+COUNTIF($E$7:E486,E486)-1</f>
        <v>357</v>
      </c>
    </row>
    <row r="487" customFormat="false" ht="14.25" hidden="false" customHeight="true" outlineLevel="0" collapsed="false">
      <c r="A487" s="51" t="n">
        <v>12962</v>
      </c>
      <c r="B487" s="53" t="n">
        <v>40879.6631944445</v>
      </c>
      <c r="C487" s="57" t="n">
        <f aca="false">INT($C$2)-INT(Table3[[#This Row],[Last Purchase Date]])</f>
        <v>8</v>
      </c>
      <c r="D487" s="1" t="n">
        <v>2</v>
      </c>
      <c r="E487" s="1" t="n">
        <v>266.39</v>
      </c>
      <c r="F487" s="1" t="n">
        <f aca="false">ROUND((1-_xlfn.PERCENTRANK.INC($C$7:$C$4378,C487))*9,0)</f>
        <v>8</v>
      </c>
      <c r="G487" s="1" t="n">
        <f aca="false">ROUND(_xlfn.PERCENTRANK.INC($D$7:$D$4378,D487)*9,0)</f>
        <v>3</v>
      </c>
      <c r="H487" s="1" t="n">
        <f aca="false">ROUND(_xlfn.PERCENTRANK.INC($E$7:$E$4378,E487)*9,0)</f>
        <v>2</v>
      </c>
      <c r="I487" s="1" t="str">
        <f aca="false">CONCATENATE(F487,G487,H487)</f>
        <v>832</v>
      </c>
      <c r="J487" s="1" t="str">
        <f aca="false">_xlfn.IFS(AND(F487&gt;=8,G487&gt;=8,H487&gt;=8),"CHAMPION",AND(F487&gt;=6,G487&gt;=7,H487&gt;=6),"LOYAL CUSTOMER",AND(F487&gt;=6,G487&gt;=5,H487&gt;=5),"POTENTIAL LOYALIST",AND(F487&gt;=8,G487&lt;=2,H487&gt;=5),"NEW CUSTOMERS",AND(F487&gt;=6,G487&lt;=2,H487&gt;=3),"PROMISING",AND(F487&gt;=3,G487&gt;=3,H487&gt;=3),"NEED ATTENTION",AND(F487&lt;=4,G487&gt;=6,H487&gt;=6),"AT RISK",AND(F487&lt;=2,G487&gt;=8,H487&gt;=8),"CAN'T LOSE THEM",AND(F487&lt;=2,G487&lt;=2,H487&lt;=2),"HIBERNATING",TRUE(),"Other")</f>
        <v>Other</v>
      </c>
      <c r="K487" s="1" t="n">
        <f aca="false">RANK(E487,$E$7:$E$4378)+COUNTIF($E$7:E487,E487)-1</f>
        <v>3376</v>
      </c>
    </row>
    <row r="488" customFormat="false" ht="14.25" hidden="false" customHeight="true" outlineLevel="0" collapsed="false">
      <c r="A488" s="51" t="n">
        <v>12963</v>
      </c>
      <c r="B488" s="53" t="n">
        <v>40878.5381944445</v>
      </c>
      <c r="C488" s="57" t="n">
        <f aca="false">INT($C$2)-INT(Table3[[#This Row],[Last Purchase Date]])</f>
        <v>9</v>
      </c>
      <c r="D488" s="1" t="n">
        <v>9</v>
      </c>
      <c r="E488" s="1" t="n">
        <v>1841.03</v>
      </c>
      <c r="F488" s="1" t="n">
        <f aca="false">ROUND((1-_xlfn.PERCENTRANK.INC($C$7:$C$4378,C488))*9,0)</f>
        <v>8</v>
      </c>
      <c r="G488" s="1" t="n">
        <f aca="false">ROUND(_xlfn.PERCENTRANK.INC($D$7:$D$4378,D488)*9,0)</f>
        <v>8</v>
      </c>
      <c r="H488" s="1" t="n">
        <f aca="false">ROUND(_xlfn.PERCENTRANK.INC($E$7:$E$4378,E488)*9,0)</f>
        <v>7</v>
      </c>
      <c r="I488" s="1" t="str">
        <f aca="false">CONCATENATE(F488,G488,H488)</f>
        <v>887</v>
      </c>
      <c r="J488" s="1" t="str">
        <f aca="false">_xlfn.IFS(AND(F488&gt;=8,G488&gt;=8,H488&gt;=8),"CHAMPION",AND(F488&gt;=6,G488&gt;=7,H488&gt;=6),"LOYAL CUSTOMER",AND(F488&gt;=6,G488&gt;=5,H488&gt;=5),"POTENTIAL LOYALIST",AND(F488&gt;=8,G488&lt;=2,H488&gt;=5),"NEW CUSTOMERS",AND(F488&gt;=6,G488&lt;=2,H488&gt;=3),"PROMISING",AND(F488&gt;=3,G488&gt;=3,H488&gt;=3),"NEED ATTENTION",AND(F488&lt;=4,G488&gt;=6,H488&gt;=6),"AT RISK",AND(F488&lt;=2,G488&gt;=8,H488&gt;=8),"CAN'T LOSE THEM",AND(F488&lt;=2,G488&lt;=2,H488&lt;=2),"HIBERNATING",TRUE(),"Other")</f>
        <v>LOYAL CUSTOMER</v>
      </c>
      <c r="K488" s="1" t="n">
        <f aca="false">RANK(E488,$E$7:$E$4378)+COUNTIF($E$7:E488,E488)-1</f>
        <v>954</v>
      </c>
    </row>
    <row r="489" customFormat="false" ht="14.25" hidden="false" customHeight="true" outlineLevel="0" collapsed="false">
      <c r="A489" s="51" t="n">
        <v>12965</v>
      </c>
      <c r="B489" s="53" t="n">
        <v>40797.6465277778</v>
      </c>
      <c r="C489" s="57" t="n">
        <f aca="false">INT($C$2)-INT(Table3[[#This Row],[Last Purchase Date]])</f>
        <v>90</v>
      </c>
      <c r="D489" s="1" t="n">
        <v>1</v>
      </c>
      <c r="E489" s="1" t="n">
        <v>771.91</v>
      </c>
      <c r="F489" s="1" t="n">
        <f aca="false">ROUND((1-_xlfn.PERCENTRANK.INC($C$7:$C$4378,C489))*9,0)</f>
        <v>3</v>
      </c>
      <c r="G489" s="1" t="n">
        <f aca="false">ROUND(_xlfn.PERCENTRANK.INC($D$7:$D$4378,D489)*9,0)</f>
        <v>0</v>
      </c>
      <c r="H489" s="1" t="n">
        <f aca="false">ROUND(_xlfn.PERCENTRANK.INC($E$7:$E$4378,E489)*9,0)</f>
        <v>5</v>
      </c>
      <c r="I489" s="1" t="str">
        <f aca="false">CONCATENATE(F489,G489,H489)</f>
        <v>305</v>
      </c>
      <c r="J489" s="1" t="str">
        <f aca="false">_xlfn.IFS(AND(F489&gt;=8,G489&gt;=8,H489&gt;=8),"CHAMPION",AND(F489&gt;=6,G489&gt;=7,H489&gt;=6),"LOYAL CUSTOMER",AND(F489&gt;=6,G489&gt;=5,H489&gt;=5),"POTENTIAL LOYALIST",AND(F489&gt;=8,G489&lt;=2,H489&gt;=5),"NEW CUSTOMERS",AND(F489&gt;=6,G489&lt;=2,H489&gt;=3),"PROMISING",AND(F489&gt;=3,G489&gt;=3,H489&gt;=3),"NEED ATTENTION",AND(F489&lt;=4,G489&gt;=6,H489&gt;=6),"AT RISK",AND(F489&lt;=2,G489&gt;=8,H489&gt;=8),"CAN'T LOSE THEM",AND(F489&lt;=2,G489&lt;=2,H489&lt;=2),"HIBERNATING",TRUE(),"Other")</f>
        <v>Other</v>
      </c>
      <c r="K489" s="1" t="n">
        <f aca="false">RANK(E489,$E$7:$E$4378)+COUNTIF($E$7:E489,E489)-1</f>
        <v>1943</v>
      </c>
    </row>
    <row r="490" customFormat="false" ht="14.25" hidden="false" customHeight="true" outlineLevel="0" collapsed="false">
      <c r="A490" s="51" t="n">
        <v>12966</v>
      </c>
      <c r="B490" s="53" t="n">
        <v>40877.5263888889</v>
      </c>
      <c r="C490" s="57" t="n">
        <f aca="false">INT($C$2)-INT(Table3[[#This Row],[Last Purchase Date]])</f>
        <v>10</v>
      </c>
      <c r="D490" s="1" t="n">
        <v>1</v>
      </c>
      <c r="E490" s="1" t="n">
        <v>160.18</v>
      </c>
      <c r="F490" s="1" t="n">
        <f aca="false">ROUND((1-_xlfn.PERCENTRANK.INC($C$7:$C$4378,C490))*9,0)</f>
        <v>8</v>
      </c>
      <c r="G490" s="1" t="n">
        <f aca="false">ROUND(_xlfn.PERCENTRANK.INC($D$7:$D$4378,D490)*9,0)</f>
        <v>0</v>
      </c>
      <c r="H490" s="1" t="n">
        <f aca="false">ROUND(_xlfn.PERCENTRANK.INC($E$7:$E$4378,E490)*9,0)</f>
        <v>1</v>
      </c>
      <c r="I490" s="1" t="str">
        <f aca="false">CONCATENATE(F490,G490,H490)</f>
        <v>801</v>
      </c>
      <c r="J490" s="1" t="str">
        <f aca="false">_xlfn.IFS(AND(F490&gt;=8,G490&gt;=8,H490&gt;=8),"CHAMPION",AND(F490&gt;=6,G490&gt;=7,H490&gt;=6),"LOYAL CUSTOMER",AND(F490&gt;=6,G490&gt;=5,H490&gt;=5),"POTENTIAL LOYALIST",AND(F490&gt;=8,G490&lt;=2,H490&gt;=5),"NEW CUSTOMERS",AND(F490&gt;=6,G490&lt;=2,H490&gt;=3),"PROMISING",AND(F490&gt;=3,G490&gt;=3,H490&gt;=3),"NEED ATTENTION",AND(F490&lt;=4,G490&gt;=6,H490&gt;=6),"AT RISK",AND(F490&lt;=2,G490&gt;=8,H490&gt;=8),"CAN'T LOSE THEM",AND(F490&lt;=2,G490&lt;=2,H490&lt;=2),"HIBERNATING",TRUE(),"Other")</f>
        <v>Other</v>
      </c>
      <c r="K490" s="1" t="n">
        <f aca="false">RANK(E490,$E$7:$E$4378)+COUNTIF($E$7:E490,E490)-1</f>
        <v>3862</v>
      </c>
    </row>
    <row r="491" customFormat="false" ht="14.25" hidden="false" customHeight="true" outlineLevel="0" collapsed="false">
      <c r="A491" s="51" t="n">
        <v>12967</v>
      </c>
      <c r="B491" s="53" t="n">
        <v>40883.5965277778</v>
      </c>
      <c r="C491" s="57" t="n">
        <f aca="false">INT($C$2)-INT(Table3[[#This Row],[Last Purchase Date]])</f>
        <v>4</v>
      </c>
      <c r="D491" s="1" t="n">
        <v>4</v>
      </c>
      <c r="E491" s="1" t="n">
        <v>1194.75</v>
      </c>
      <c r="F491" s="1" t="n">
        <f aca="false">ROUND((1-_xlfn.PERCENTRANK.INC($C$7:$C$4378,C491))*9,0)</f>
        <v>8</v>
      </c>
      <c r="G491" s="1" t="n">
        <f aca="false">ROUND(_xlfn.PERCENTRANK.INC($D$7:$D$4378,D491)*9,0)</f>
        <v>5</v>
      </c>
      <c r="H491" s="1" t="n">
        <f aca="false">ROUND(_xlfn.PERCENTRANK.INC($E$7:$E$4378,E491)*9,0)</f>
        <v>6</v>
      </c>
      <c r="I491" s="1" t="str">
        <f aca="false">CONCATENATE(F491,G491,H491)</f>
        <v>856</v>
      </c>
      <c r="J491" s="1" t="str">
        <f aca="false">_xlfn.IFS(AND(F491&gt;=8,G491&gt;=8,H491&gt;=8),"CHAMPION",AND(F491&gt;=6,G491&gt;=7,H491&gt;=6),"LOYAL CUSTOMER",AND(F491&gt;=6,G491&gt;=5,H491&gt;=5),"POTENTIAL LOYALIST",AND(F491&gt;=8,G491&lt;=2,H491&gt;=5),"NEW CUSTOMERS",AND(F491&gt;=6,G491&lt;=2,H491&gt;=3),"PROMISING",AND(F491&gt;=3,G491&gt;=3,H491&gt;=3),"NEED ATTENTION",AND(F491&lt;=4,G491&gt;=6,H491&gt;=6),"AT RISK",AND(F491&lt;=2,G491&gt;=8,H491&gt;=8),"CAN'T LOSE THEM",AND(F491&lt;=2,G491&lt;=2,H491&lt;=2),"HIBERNATING",TRUE(),"Other")</f>
        <v>POTENTIAL LOYALIST</v>
      </c>
      <c r="K491" s="1" t="n">
        <f aca="false">RANK(E491,$E$7:$E$4378)+COUNTIF($E$7:E491,E491)-1</f>
        <v>1418</v>
      </c>
    </row>
    <row r="492" customFormat="false" ht="14.25" hidden="false" customHeight="true" outlineLevel="0" collapsed="false">
      <c r="A492" s="51" t="n">
        <v>12968</v>
      </c>
      <c r="B492" s="53" t="n">
        <v>40774.6555555556</v>
      </c>
      <c r="C492" s="57" t="n">
        <f aca="false">INT($C$2)-INT(Table3[[#This Row],[Last Purchase Date]])</f>
        <v>113</v>
      </c>
      <c r="D492" s="1" t="n">
        <v>1</v>
      </c>
      <c r="E492" s="1" t="n">
        <v>135.95</v>
      </c>
      <c r="F492" s="1" t="n">
        <f aca="false">ROUND((1-_xlfn.PERCENTRANK.INC($C$7:$C$4378,C492))*9,0)</f>
        <v>3</v>
      </c>
      <c r="G492" s="1" t="n">
        <f aca="false">ROUND(_xlfn.PERCENTRANK.INC($D$7:$D$4378,D492)*9,0)</f>
        <v>0</v>
      </c>
      <c r="H492" s="1" t="n">
        <f aca="false">ROUND(_xlfn.PERCENTRANK.INC($E$7:$E$4378,E492)*9,0)</f>
        <v>1</v>
      </c>
      <c r="I492" s="1" t="str">
        <f aca="false">CONCATENATE(F492,G492,H492)</f>
        <v>301</v>
      </c>
      <c r="J492" s="1" t="str">
        <f aca="false">_xlfn.IFS(AND(F492&gt;=8,G492&gt;=8,H492&gt;=8),"CHAMPION",AND(F492&gt;=6,G492&gt;=7,H492&gt;=6),"LOYAL CUSTOMER",AND(F492&gt;=6,G492&gt;=5,H492&gt;=5),"POTENTIAL LOYALIST",AND(F492&gt;=8,G492&lt;=2,H492&gt;=5),"NEW CUSTOMERS",AND(F492&gt;=6,G492&lt;=2,H492&gt;=3),"PROMISING",AND(F492&gt;=3,G492&gt;=3,H492&gt;=3),"NEED ATTENTION",AND(F492&lt;=4,G492&gt;=6,H492&gt;=6),"AT RISK",AND(F492&lt;=2,G492&gt;=8,H492&gt;=8),"CAN'T LOSE THEM",AND(F492&lt;=2,G492&lt;=2,H492&lt;=2),"HIBERNATING",TRUE(),"Other")</f>
        <v>Other</v>
      </c>
      <c r="K492" s="1" t="n">
        <f aca="false">RANK(E492,$E$7:$E$4378)+COUNTIF($E$7:E492,E492)-1</f>
        <v>3978</v>
      </c>
    </row>
    <row r="493" customFormat="false" ht="14.25" hidden="false" customHeight="true" outlineLevel="0" collapsed="false">
      <c r="A493" s="51" t="n">
        <v>12970</v>
      </c>
      <c r="B493" s="53" t="n">
        <v>40879.6041666667</v>
      </c>
      <c r="C493" s="57" t="n">
        <f aca="false">INT($C$2)-INT(Table3[[#This Row],[Last Purchase Date]])</f>
        <v>8</v>
      </c>
      <c r="D493" s="1" t="n">
        <v>4</v>
      </c>
      <c r="E493" s="1" t="n">
        <v>452.24</v>
      </c>
      <c r="F493" s="1" t="n">
        <f aca="false">ROUND((1-_xlfn.PERCENTRANK.INC($C$7:$C$4378,C493))*9,0)</f>
        <v>8</v>
      </c>
      <c r="G493" s="1" t="n">
        <f aca="false">ROUND(_xlfn.PERCENTRANK.INC($D$7:$D$4378,D493)*9,0)</f>
        <v>5</v>
      </c>
      <c r="H493" s="1" t="n">
        <f aca="false">ROUND(_xlfn.PERCENTRANK.INC($E$7:$E$4378,E493)*9,0)</f>
        <v>4</v>
      </c>
      <c r="I493" s="1" t="str">
        <f aca="false">CONCATENATE(F493,G493,H493)</f>
        <v>854</v>
      </c>
      <c r="J493" s="1" t="str">
        <f aca="false">_xlfn.IFS(AND(F493&gt;=8,G493&gt;=8,H493&gt;=8),"CHAMPION",AND(F493&gt;=6,G493&gt;=7,H493&gt;=6),"LOYAL CUSTOMER",AND(F493&gt;=6,G493&gt;=5,H493&gt;=5),"POTENTIAL LOYALIST",AND(F493&gt;=8,G493&lt;=2,H493&gt;=5),"NEW CUSTOMERS",AND(F493&gt;=6,G493&lt;=2,H493&gt;=3),"PROMISING",AND(F493&gt;=3,G493&gt;=3,H493&gt;=3),"NEED ATTENTION",AND(F493&lt;=4,G493&gt;=6,H493&gt;=6),"AT RISK",AND(F493&lt;=2,G493&gt;=8,H493&gt;=8),"CAN'T LOSE THEM",AND(F493&lt;=2,G493&lt;=2,H493&lt;=2),"HIBERNATING",TRUE(),"Other")</f>
        <v>NEED ATTENTION</v>
      </c>
      <c r="K493" s="1" t="n">
        <f aca="false">RANK(E493,$E$7:$E$4378)+COUNTIF($E$7:E493,E493)-1</f>
        <v>2670</v>
      </c>
    </row>
    <row r="494" customFormat="false" ht="14.25" hidden="false" customHeight="true" outlineLevel="0" collapsed="false">
      <c r="A494" s="51" t="n">
        <v>12971</v>
      </c>
      <c r="B494" s="53" t="n">
        <v>40883.5138888889</v>
      </c>
      <c r="C494" s="57" t="n">
        <f aca="false">INT($C$2)-INT(Table3[[#This Row],[Last Purchase Date]])</f>
        <v>4</v>
      </c>
      <c r="D494" s="1" t="n">
        <v>89</v>
      </c>
      <c r="E494" s="1" t="n">
        <v>10930.26</v>
      </c>
      <c r="F494" s="1" t="n">
        <f aca="false">ROUND((1-_xlfn.PERCENTRANK.INC($C$7:$C$4378,C494))*9,0)</f>
        <v>8</v>
      </c>
      <c r="G494" s="1" t="n">
        <f aca="false">ROUND(_xlfn.PERCENTRANK.INC($D$7:$D$4378,D494)*9,0)</f>
        <v>9</v>
      </c>
      <c r="H494" s="1" t="n">
        <f aca="false">ROUND(_xlfn.PERCENTRANK.INC($E$7:$E$4378,E494)*9,0)</f>
        <v>9</v>
      </c>
      <c r="I494" s="1" t="str">
        <f aca="false">CONCATENATE(F494,G494,H494)</f>
        <v>899</v>
      </c>
      <c r="J494" s="1" t="str">
        <f aca="false">_xlfn.IFS(AND(F494&gt;=8,G494&gt;=8,H494&gt;=8),"CHAMPION",AND(F494&gt;=6,G494&gt;=7,H494&gt;=6),"LOYAL CUSTOMER",AND(F494&gt;=6,G494&gt;=5,H494&gt;=5),"POTENTIAL LOYALIST",AND(F494&gt;=8,G494&lt;=2,H494&gt;=5),"NEW CUSTOMERS",AND(F494&gt;=6,G494&lt;=2,H494&gt;=3),"PROMISING",AND(F494&gt;=3,G494&gt;=3,H494&gt;=3),"NEED ATTENTION",AND(F494&lt;=4,G494&gt;=6,H494&gt;=6),"AT RISK",AND(F494&lt;=2,G494&gt;=8,H494&gt;=8),"CAN'T LOSE THEM",AND(F494&lt;=2,G494&lt;=2,H494&lt;=2),"HIBERNATING",TRUE(),"Other")</f>
        <v>CHAMPION</v>
      </c>
      <c r="K494" s="1" t="n">
        <f aca="false">RANK(E494,$E$7:$E$4378)+COUNTIF($E$7:E494,E494)-1</f>
        <v>82</v>
      </c>
    </row>
    <row r="495" customFormat="false" ht="14.25" hidden="false" customHeight="true" outlineLevel="0" collapsed="false">
      <c r="A495" s="51" t="n">
        <v>12974</v>
      </c>
      <c r="B495" s="53" t="n">
        <v>40689.3979166667</v>
      </c>
      <c r="C495" s="57" t="n">
        <f aca="false">INT($C$2)-INT(Table3[[#This Row],[Last Purchase Date]])</f>
        <v>198</v>
      </c>
      <c r="D495" s="1" t="n">
        <v>1</v>
      </c>
      <c r="E495" s="1" t="n">
        <v>144.8</v>
      </c>
      <c r="F495" s="1" t="n">
        <f aca="false">ROUND((1-_xlfn.PERCENTRANK.INC($C$7:$C$4378,C495))*9,0)</f>
        <v>2</v>
      </c>
      <c r="G495" s="1" t="n">
        <f aca="false">ROUND(_xlfn.PERCENTRANK.INC($D$7:$D$4378,D495)*9,0)</f>
        <v>0</v>
      </c>
      <c r="H495" s="1" t="n">
        <f aca="false">ROUND(_xlfn.PERCENTRANK.INC($E$7:$E$4378,E495)*9,0)</f>
        <v>1</v>
      </c>
      <c r="I495" s="1" t="str">
        <f aca="false">CONCATENATE(F495,G495,H495)</f>
        <v>201</v>
      </c>
      <c r="J495" s="1" t="str">
        <f aca="false">_xlfn.IFS(AND(F495&gt;=8,G495&gt;=8,H495&gt;=8),"CHAMPION",AND(F495&gt;=6,G495&gt;=7,H495&gt;=6),"LOYAL CUSTOMER",AND(F495&gt;=6,G495&gt;=5,H495&gt;=5),"POTENTIAL LOYALIST",AND(F495&gt;=8,G495&lt;=2,H495&gt;=5),"NEW CUSTOMERS",AND(F495&gt;=6,G495&lt;=2,H495&gt;=3),"PROMISING",AND(F495&gt;=3,G495&gt;=3,H495&gt;=3),"NEED ATTENTION",AND(F495&lt;=4,G495&gt;=6,H495&gt;=6),"AT RISK",AND(F495&lt;=2,G495&gt;=8,H495&gt;=8),"CAN'T LOSE THEM",AND(F495&lt;=2,G495&lt;=2,H495&lt;=2),"HIBERNATING",TRUE(),"Other")</f>
        <v>HIBERNATING</v>
      </c>
      <c r="K495" s="1" t="n">
        <f aca="false">RANK(E495,$E$7:$E$4378)+COUNTIF($E$7:E495,E495)-1</f>
        <v>3941</v>
      </c>
    </row>
    <row r="496" customFormat="false" ht="14.25" hidden="false" customHeight="true" outlineLevel="0" collapsed="false">
      <c r="A496" s="51" t="n">
        <v>12976</v>
      </c>
      <c r="B496" s="53" t="n">
        <v>40675.4131944445</v>
      </c>
      <c r="C496" s="57" t="n">
        <f aca="false">INT($C$2)-INT(Table3[[#This Row],[Last Purchase Date]])</f>
        <v>212</v>
      </c>
      <c r="D496" s="1" t="n">
        <v>1</v>
      </c>
      <c r="E496" s="1" t="n">
        <v>738.6</v>
      </c>
      <c r="F496" s="1" t="n">
        <f aca="false">ROUND((1-_xlfn.PERCENTRANK.INC($C$7:$C$4378,C496))*9,0)</f>
        <v>1</v>
      </c>
      <c r="G496" s="1" t="n">
        <f aca="false">ROUND(_xlfn.PERCENTRANK.INC($D$7:$D$4378,D496)*9,0)</f>
        <v>0</v>
      </c>
      <c r="H496" s="1" t="n">
        <f aca="false">ROUND(_xlfn.PERCENTRANK.INC($E$7:$E$4378,E496)*9,0)</f>
        <v>5</v>
      </c>
      <c r="I496" s="1" t="str">
        <f aca="false">CONCATENATE(F496,G496,H496)</f>
        <v>105</v>
      </c>
      <c r="J496" s="1" t="str">
        <f aca="false">_xlfn.IFS(AND(F496&gt;=8,G496&gt;=8,H496&gt;=8),"CHAMPION",AND(F496&gt;=6,G496&gt;=7,H496&gt;=6),"LOYAL CUSTOMER",AND(F496&gt;=6,G496&gt;=5,H496&gt;=5),"POTENTIAL LOYALIST",AND(F496&gt;=8,G496&lt;=2,H496&gt;=5),"NEW CUSTOMERS",AND(F496&gt;=6,G496&lt;=2,H496&gt;=3),"PROMISING",AND(F496&gt;=3,G496&gt;=3,H496&gt;=3),"NEED ATTENTION",AND(F496&lt;=4,G496&gt;=6,H496&gt;=6),"AT RISK",AND(F496&lt;=2,G496&gt;=8,H496&gt;=8),"CAN'T LOSE THEM",AND(F496&lt;=2,G496&lt;=2,H496&lt;=2),"HIBERNATING",TRUE(),"Other")</f>
        <v>Other</v>
      </c>
      <c r="K496" s="1" t="n">
        <f aca="false">RANK(E496,$E$7:$E$4378)+COUNTIF($E$7:E496,E496)-1</f>
        <v>1997</v>
      </c>
    </row>
    <row r="497" customFormat="false" ht="14.25" hidden="false" customHeight="true" outlineLevel="0" collapsed="false">
      <c r="A497" s="51" t="n">
        <v>12977</v>
      </c>
      <c r="B497" s="53" t="n">
        <v>40730.6944444445</v>
      </c>
      <c r="C497" s="57" t="n">
        <f aca="false">INT($C$2)-INT(Table3[[#This Row],[Last Purchase Date]])</f>
        <v>157</v>
      </c>
      <c r="D497" s="1" t="n">
        <v>1</v>
      </c>
      <c r="E497" s="1" t="n">
        <v>39.24</v>
      </c>
      <c r="F497" s="1" t="n">
        <f aca="false">ROUND((1-_xlfn.PERCENTRANK.INC($C$7:$C$4378,C497))*9,0)</f>
        <v>2</v>
      </c>
      <c r="G497" s="1" t="n">
        <f aca="false">ROUND(_xlfn.PERCENTRANK.INC($D$7:$D$4378,D497)*9,0)</f>
        <v>0</v>
      </c>
      <c r="H497" s="1" t="n">
        <f aca="false">ROUND(_xlfn.PERCENTRANK.INC($E$7:$E$4378,E497)*9,0)</f>
        <v>0</v>
      </c>
      <c r="I497" s="1" t="str">
        <f aca="false">CONCATENATE(F497,G497,H497)</f>
        <v>200</v>
      </c>
      <c r="J497" s="1" t="str">
        <f aca="false">_xlfn.IFS(AND(F497&gt;=8,G497&gt;=8,H497&gt;=8),"CHAMPION",AND(F497&gt;=6,G497&gt;=7,H497&gt;=6),"LOYAL CUSTOMER",AND(F497&gt;=6,G497&gt;=5,H497&gt;=5),"POTENTIAL LOYALIST",AND(F497&gt;=8,G497&lt;=2,H497&gt;=5),"NEW CUSTOMERS",AND(F497&gt;=6,G497&lt;=2,H497&gt;=3),"PROMISING",AND(F497&gt;=3,G497&gt;=3,H497&gt;=3),"NEED ATTENTION",AND(F497&lt;=4,G497&gt;=6,H497&gt;=6),"AT RISK",AND(F497&lt;=2,G497&gt;=8,H497&gt;=8),"CAN'T LOSE THEM",AND(F497&lt;=2,G497&lt;=2,H497&lt;=2),"HIBERNATING",TRUE(),"Other")</f>
        <v>HIBERNATING</v>
      </c>
      <c r="K497" s="1" t="n">
        <f aca="false">RANK(E497,$E$7:$E$4378)+COUNTIF($E$7:E497,E497)-1</f>
        <v>4293</v>
      </c>
    </row>
    <row r="498" customFormat="false" ht="14.25" hidden="false" customHeight="true" outlineLevel="0" collapsed="false">
      <c r="A498" s="51" t="n">
        <v>12980</v>
      </c>
      <c r="B498" s="53" t="n">
        <v>40731.4875</v>
      </c>
      <c r="C498" s="57" t="n">
        <f aca="false">INT($C$2)-INT(Table3[[#This Row],[Last Purchase Date]])</f>
        <v>156</v>
      </c>
      <c r="D498" s="1" t="n">
        <v>12</v>
      </c>
      <c r="E498" s="1" t="n">
        <v>7092.06</v>
      </c>
      <c r="F498" s="1" t="n">
        <f aca="false">ROUND((1-_xlfn.PERCENTRANK.INC($C$7:$C$4378,C498))*9,0)</f>
        <v>2</v>
      </c>
      <c r="G498" s="1" t="n">
        <f aca="false">ROUND(_xlfn.PERCENTRANK.INC($D$7:$D$4378,D498)*9,0)</f>
        <v>8</v>
      </c>
      <c r="H498" s="1" t="n">
        <f aca="false">ROUND(_xlfn.PERCENTRANK.INC($E$7:$E$4378,E498)*9,0)</f>
        <v>9</v>
      </c>
      <c r="I498" s="1" t="str">
        <f aca="false">CONCATENATE(F498,G498,H498)</f>
        <v>289</v>
      </c>
      <c r="J498" s="1" t="str">
        <f aca="false">_xlfn.IFS(AND(F498&gt;=8,G498&gt;=8,H498&gt;=8),"CHAMPION",AND(F498&gt;=6,G498&gt;=7,H498&gt;=6),"LOYAL CUSTOMER",AND(F498&gt;=6,G498&gt;=5,H498&gt;=5),"POTENTIAL LOYALIST",AND(F498&gt;=8,G498&lt;=2,H498&gt;=5),"NEW CUSTOMERS",AND(F498&gt;=6,G498&lt;=2,H498&gt;=3),"PROMISING",AND(F498&gt;=3,G498&gt;=3,H498&gt;=3),"NEED ATTENTION",AND(F498&lt;=4,G498&gt;=6,H498&gt;=6),"AT RISK",AND(F498&lt;=2,G498&gt;=8,H498&gt;=8),"CAN'T LOSE THEM",AND(F498&lt;=2,G498&lt;=2,H498&lt;=2),"HIBERNATING",TRUE(),"Other")</f>
        <v>AT RISK</v>
      </c>
      <c r="K498" s="1" t="n">
        <f aca="false">RANK(E498,$E$7:$E$4378)+COUNTIF($E$7:E498,E498)-1</f>
        <v>149</v>
      </c>
    </row>
    <row r="499" customFormat="false" ht="14.25" hidden="false" customHeight="true" outlineLevel="0" collapsed="false">
      <c r="A499" s="51" t="n">
        <v>12981</v>
      </c>
      <c r="B499" s="53" t="n">
        <v>40857.5</v>
      </c>
      <c r="C499" s="57" t="n">
        <f aca="false">INT($C$2)-INT(Table3[[#This Row],[Last Purchase Date]])</f>
        <v>30</v>
      </c>
      <c r="D499" s="1" t="n">
        <v>2</v>
      </c>
      <c r="E499" s="1" t="n">
        <v>372.22</v>
      </c>
      <c r="F499" s="1" t="n">
        <f aca="false">ROUND((1-_xlfn.PERCENTRANK.INC($C$7:$C$4378,C499))*9,0)</f>
        <v>6</v>
      </c>
      <c r="G499" s="1" t="n">
        <f aca="false">ROUND(_xlfn.PERCENTRANK.INC($D$7:$D$4378,D499)*9,0)</f>
        <v>3</v>
      </c>
      <c r="H499" s="1" t="n">
        <f aca="false">ROUND(_xlfn.PERCENTRANK.INC($E$7:$E$4378,E499)*9,0)</f>
        <v>3</v>
      </c>
      <c r="I499" s="1" t="str">
        <f aca="false">CONCATENATE(F499,G499,H499)</f>
        <v>633</v>
      </c>
      <c r="J499" s="1" t="str">
        <f aca="false">_xlfn.IFS(AND(F499&gt;=8,G499&gt;=8,H499&gt;=8),"CHAMPION",AND(F499&gt;=6,G499&gt;=7,H499&gt;=6),"LOYAL CUSTOMER",AND(F499&gt;=6,G499&gt;=5,H499&gt;=5),"POTENTIAL LOYALIST",AND(F499&gt;=8,G499&lt;=2,H499&gt;=5),"NEW CUSTOMERS",AND(F499&gt;=6,G499&lt;=2,H499&gt;=3),"PROMISING",AND(F499&gt;=3,G499&gt;=3,H499&gt;=3),"NEED ATTENTION",AND(F499&lt;=4,G499&gt;=6,H499&gt;=6),"AT RISK",AND(F499&lt;=2,G499&gt;=8,H499&gt;=8),"CAN'T LOSE THEM",AND(F499&lt;=2,G499&lt;=2,H499&lt;=2),"HIBERNATING",TRUE(),"Other")</f>
        <v>NEED ATTENTION</v>
      </c>
      <c r="K499" s="1" t="n">
        <f aca="false">RANK(E499,$E$7:$E$4378)+COUNTIF($E$7:E499,E499)-1</f>
        <v>2922</v>
      </c>
    </row>
    <row r="500" customFormat="false" ht="14.25" hidden="false" customHeight="true" outlineLevel="0" collapsed="false">
      <c r="A500" s="51" t="n">
        <v>12982</v>
      </c>
      <c r="B500" s="53" t="n">
        <v>40647.4506944444</v>
      </c>
      <c r="C500" s="57" t="n">
        <f aca="false">INT($C$2)-INT(Table3[[#This Row],[Last Purchase Date]])</f>
        <v>240</v>
      </c>
      <c r="D500" s="1" t="n">
        <v>2</v>
      </c>
      <c r="E500" s="1" t="n">
        <v>377.2</v>
      </c>
      <c r="F500" s="1" t="n">
        <f aca="false">ROUND((1-_xlfn.PERCENTRANK.INC($C$7:$C$4378,C500))*9,0)</f>
        <v>1</v>
      </c>
      <c r="G500" s="1" t="n">
        <f aca="false">ROUND(_xlfn.PERCENTRANK.INC($D$7:$D$4378,D500)*9,0)</f>
        <v>3</v>
      </c>
      <c r="H500" s="1" t="n">
        <f aca="false">ROUND(_xlfn.PERCENTRANK.INC($E$7:$E$4378,E500)*9,0)</f>
        <v>3</v>
      </c>
      <c r="I500" s="1" t="str">
        <f aca="false">CONCATENATE(F500,G500,H500)</f>
        <v>133</v>
      </c>
      <c r="J500" s="1" t="str">
        <f aca="false">_xlfn.IFS(AND(F500&gt;=8,G500&gt;=8,H500&gt;=8),"CHAMPION",AND(F500&gt;=6,G500&gt;=7,H500&gt;=6),"LOYAL CUSTOMER",AND(F500&gt;=6,G500&gt;=5,H500&gt;=5),"POTENTIAL LOYALIST",AND(F500&gt;=8,G500&lt;=2,H500&gt;=5),"NEW CUSTOMERS",AND(F500&gt;=6,G500&lt;=2,H500&gt;=3),"PROMISING",AND(F500&gt;=3,G500&gt;=3,H500&gt;=3),"NEED ATTENTION",AND(F500&lt;=4,G500&gt;=6,H500&gt;=6),"AT RISK",AND(F500&lt;=2,G500&gt;=8,H500&gt;=8),"CAN'T LOSE THEM",AND(F500&lt;=2,G500&lt;=2,H500&lt;=2),"HIBERNATING",TRUE(),"Other")</f>
        <v>Other</v>
      </c>
      <c r="K500" s="1" t="n">
        <f aca="false">RANK(E500,$E$7:$E$4378)+COUNTIF($E$7:E500,E500)-1</f>
        <v>2907</v>
      </c>
    </row>
    <row r="501" customFormat="false" ht="14.25" hidden="false" customHeight="true" outlineLevel="0" collapsed="false">
      <c r="A501" s="51" t="n">
        <v>12984</v>
      </c>
      <c r="B501" s="53" t="n">
        <v>40868.5256944444</v>
      </c>
      <c r="C501" s="57" t="n">
        <f aca="false">INT($C$2)-INT(Table3[[#This Row],[Last Purchase Date]])</f>
        <v>19</v>
      </c>
      <c r="D501" s="1" t="n">
        <v>1</v>
      </c>
      <c r="E501" s="1" t="n">
        <v>97.5</v>
      </c>
      <c r="F501" s="1" t="n">
        <f aca="false">ROUND((1-_xlfn.PERCENTRANK.INC($C$7:$C$4378,C501))*9,0)</f>
        <v>7</v>
      </c>
      <c r="G501" s="1" t="n">
        <f aca="false">ROUND(_xlfn.PERCENTRANK.INC($D$7:$D$4378,D501)*9,0)</f>
        <v>0</v>
      </c>
      <c r="H501" s="1" t="n">
        <f aca="false">ROUND(_xlfn.PERCENTRANK.INC($E$7:$E$4378,E501)*9,0)</f>
        <v>0</v>
      </c>
      <c r="I501" s="1" t="str">
        <f aca="false">CONCATENATE(F501,G501,H501)</f>
        <v>700</v>
      </c>
      <c r="J501" s="1" t="str">
        <f aca="false">_xlfn.IFS(AND(F501&gt;=8,G501&gt;=8,H501&gt;=8),"CHAMPION",AND(F501&gt;=6,G501&gt;=7,H501&gt;=6),"LOYAL CUSTOMER",AND(F501&gt;=6,G501&gt;=5,H501&gt;=5),"POTENTIAL LOYALIST",AND(F501&gt;=8,G501&lt;=2,H501&gt;=5),"NEW CUSTOMERS",AND(F501&gt;=6,G501&lt;=2,H501&gt;=3),"PROMISING",AND(F501&gt;=3,G501&gt;=3,H501&gt;=3),"NEED ATTENTION",AND(F501&lt;=4,G501&gt;=6,H501&gt;=6),"AT RISK",AND(F501&lt;=2,G501&gt;=8,H501&gt;=8),"CAN'T LOSE THEM",AND(F501&lt;=2,G501&lt;=2,H501&lt;=2),"HIBERNATING",TRUE(),"Other")</f>
        <v>Other</v>
      </c>
      <c r="K501" s="1" t="n">
        <f aca="false">RANK(E501,$E$7:$E$4378)+COUNTIF($E$7:E501,E501)-1</f>
        <v>4168</v>
      </c>
    </row>
    <row r="502" customFormat="false" ht="14.25" hidden="false" customHeight="true" outlineLevel="0" collapsed="false">
      <c r="A502" s="51" t="n">
        <v>12985</v>
      </c>
      <c r="B502" s="53" t="n">
        <v>40886.4486111111</v>
      </c>
      <c r="C502" s="57" t="n">
        <f aca="false">INT($C$2)-INT(Table3[[#This Row],[Last Purchase Date]])</f>
        <v>1</v>
      </c>
      <c r="D502" s="1" t="n">
        <v>3</v>
      </c>
      <c r="E502" s="1" t="n">
        <v>1215.62</v>
      </c>
      <c r="F502" s="1" t="n">
        <f aca="false">ROUND((1-_xlfn.PERCENTRANK.INC($C$7:$C$4378,C502))*9,0)</f>
        <v>9</v>
      </c>
      <c r="G502" s="1" t="n">
        <f aca="false">ROUND(_xlfn.PERCENTRANK.INC($D$7:$D$4378,D502)*9,0)</f>
        <v>4</v>
      </c>
      <c r="H502" s="1" t="n">
        <f aca="false">ROUND(_xlfn.PERCENTRANK.INC($E$7:$E$4378,E502)*9,0)</f>
        <v>6</v>
      </c>
      <c r="I502" s="1" t="str">
        <f aca="false">CONCATENATE(F502,G502,H502)</f>
        <v>946</v>
      </c>
      <c r="J502" s="1" t="str">
        <f aca="false">_xlfn.IFS(AND(F502&gt;=8,G502&gt;=8,H502&gt;=8),"CHAMPION",AND(F502&gt;=6,G502&gt;=7,H502&gt;=6),"LOYAL CUSTOMER",AND(F502&gt;=6,G502&gt;=5,H502&gt;=5),"POTENTIAL LOYALIST",AND(F502&gt;=8,G502&lt;=2,H502&gt;=5),"NEW CUSTOMERS",AND(F502&gt;=6,G502&lt;=2,H502&gt;=3),"PROMISING",AND(F502&gt;=3,G502&gt;=3,H502&gt;=3),"NEED ATTENTION",AND(F502&lt;=4,G502&gt;=6,H502&gt;=6),"AT RISK",AND(F502&lt;=2,G502&gt;=8,H502&gt;=8),"CAN'T LOSE THEM",AND(F502&lt;=2,G502&lt;=2,H502&lt;=2),"HIBERNATING",TRUE(),"Other")</f>
        <v>NEED ATTENTION</v>
      </c>
      <c r="K502" s="1" t="n">
        <f aca="false">RANK(E502,$E$7:$E$4378)+COUNTIF($E$7:E502,E502)-1</f>
        <v>1399</v>
      </c>
    </row>
    <row r="503" customFormat="false" ht="14.25" hidden="false" customHeight="true" outlineLevel="0" collapsed="false">
      <c r="A503" s="51" t="n">
        <v>12987</v>
      </c>
      <c r="B503" s="53" t="n">
        <v>40813.5020833333</v>
      </c>
      <c r="C503" s="57" t="n">
        <f aca="false">INT($C$2)-INT(Table3[[#This Row],[Last Purchase Date]])</f>
        <v>74</v>
      </c>
      <c r="D503" s="1" t="n">
        <v>3</v>
      </c>
      <c r="E503" s="1" t="n">
        <v>545</v>
      </c>
      <c r="F503" s="1" t="n">
        <f aca="false">ROUND((1-_xlfn.PERCENTRANK.INC($C$7:$C$4378,C503))*9,0)</f>
        <v>3</v>
      </c>
      <c r="G503" s="1" t="n">
        <f aca="false">ROUND(_xlfn.PERCENTRANK.INC($D$7:$D$4378,D503)*9,0)</f>
        <v>4</v>
      </c>
      <c r="H503" s="1" t="n">
        <f aca="false">ROUND(_xlfn.PERCENTRANK.INC($E$7:$E$4378,E503)*9,0)</f>
        <v>4</v>
      </c>
      <c r="I503" s="1" t="str">
        <f aca="false">CONCATENATE(F503,G503,H503)</f>
        <v>344</v>
      </c>
      <c r="J503" s="1" t="str">
        <f aca="false">_xlfn.IFS(AND(F503&gt;=8,G503&gt;=8,H503&gt;=8),"CHAMPION",AND(F503&gt;=6,G503&gt;=7,H503&gt;=6),"LOYAL CUSTOMER",AND(F503&gt;=6,G503&gt;=5,H503&gt;=5),"POTENTIAL LOYALIST",AND(F503&gt;=8,G503&lt;=2,H503&gt;=5),"NEW CUSTOMERS",AND(F503&gt;=6,G503&lt;=2,H503&gt;=3),"PROMISING",AND(F503&gt;=3,G503&gt;=3,H503&gt;=3),"NEED ATTENTION",AND(F503&lt;=4,G503&gt;=6,H503&gt;=6),"AT RISK",AND(F503&lt;=2,G503&gt;=8,H503&gt;=8),"CAN'T LOSE THEM",AND(F503&lt;=2,G503&lt;=2,H503&lt;=2),"HIBERNATING",TRUE(),"Other")</f>
        <v>NEED ATTENTION</v>
      </c>
      <c r="K503" s="1" t="n">
        <f aca="false">RANK(E503,$E$7:$E$4378)+COUNTIF($E$7:E503,E503)-1</f>
        <v>2441</v>
      </c>
    </row>
    <row r="504" customFormat="false" ht="14.25" hidden="false" customHeight="true" outlineLevel="0" collapsed="false">
      <c r="A504" s="51" t="n">
        <v>12988</v>
      </c>
      <c r="B504" s="53" t="n">
        <v>40594.6048611111</v>
      </c>
      <c r="C504" s="57" t="n">
        <f aca="false">INT($C$2)-INT(Table3[[#This Row],[Last Purchase Date]])</f>
        <v>293</v>
      </c>
      <c r="D504" s="1" t="n">
        <v>1</v>
      </c>
      <c r="E504" s="1" t="n">
        <v>535.32</v>
      </c>
      <c r="F504" s="1" t="n">
        <f aca="false">ROUND((1-_xlfn.PERCENTRANK.INC($C$7:$C$4378,C504))*9,0)</f>
        <v>1</v>
      </c>
      <c r="G504" s="1" t="n">
        <f aca="false">ROUND(_xlfn.PERCENTRANK.INC($D$7:$D$4378,D504)*9,0)</f>
        <v>0</v>
      </c>
      <c r="H504" s="1" t="n">
        <f aca="false">ROUND(_xlfn.PERCENTRANK.INC($E$7:$E$4378,E504)*9,0)</f>
        <v>4</v>
      </c>
      <c r="I504" s="1" t="str">
        <f aca="false">CONCATENATE(F504,G504,H504)</f>
        <v>104</v>
      </c>
      <c r="J504" s="1" t="str">
        <f aca="false">_xlfn.IFS(AND(F504&gt;=8,G504&gt;=8,H504&gt;=8),"CHAMPION",AND(F504&gt;=6,G504&gt;=7,H504&gt;=6),"LOYAL CUSTOMER",AND(F504&gt;=6,G504&gt;=5,H504&gt;=5),"POTENTIAL LOYALIST",AND(F504&gt;=8,G504&lt;=2,H504&gt;=5),"NEW CUSTOMERS",AND(F504&gt;=6,G504&lt;=2,H504&gt;=3),"PROMISING",AND(F504&gt;=3,G504&gt;=3,H504&gt;=3),"NEED ATTENTION",AND(F504&lt;=4,G504&gt;=6,H504&gt;=6),"AT RISK",AND(F504&lt;=2,G504&gt;=8,H504&gt;=8),"CAN'T LOSE THEM",AND(F504&lt;=2,G504&lt;=2,H504&lt;=2),"HIBERNATING",TRUE(),"Other")</f>
        <v>Other</v>
      </c>
      <c r="K504" s="1" t="n">
        <f aca="false">RANK(E504,$E$7:$E$4378)+COUNTIF($E$7:E504,E504)-1</f>
        <v>2470</v>
      </c>
    </row>
    <row r="505" customFormat="false" ht="14.25" hidden="false" customHeight="true" outlineLevel="0" collapsed="false">
      <c r="A505" s="51" t="n">
        <v>12989</v>
      </c>
      <c r="B505" s="53" t="n">
        <v>40883.6444444444</v>
      </c>
      <c r="C505" s="57" t="n">
        <f aca="false">INT($C$2)-INT(Table3[[#This Row],[Last Purchase Date]])</f>
        <v>4</v>
      </c>
      <c r="D505" s="1" t="n">
        <v>19</v>
      </c>
      <c r="E505" s="1" t="n">
        <v>6854.51</v>
      </c>
      <c r="F505" s="1" t="n">
        <f aca="false">ROUND((1-_xlfn.PERCENTRANK.INC($C$7:$C$4378,C505))*9,0)</f>
        <v>8</v>
      </c>
      <c r="G505" s="1" t="n">
        <f aca="false">ROUND(_xlfn.PERCENTRANK.INC($D$7:$D$4378,D505)*9,0)</f>
        <v>9</v>
      </c>
      <c r="H505" s="1" t="n">
        <f aca="false">ROUND(_xlfn.PERCENTRANK.INC($E$7:$E$4378,E505)*9,0)</f>
        <v>9</v>
      </c>
      <c r="I505" s="1" t="str">
        <f aca="false">CONCATENATE(F505,G505,H505)</f>
        <v>899</v>
      </c>
      <c r="J505" s="1" t="str">
        <f aca="false">_xlfn.IFS(AND(F505&gt;=8,G505&gt;=8,H505&gt;=8),"CHAMPION",AND(F505&gt;=6,G505&gt;=7,H505&gt;=6),"LOYAL CUSTOMER",AND(F505&gt;=6,G505&gt;=5,H505&gt;=5),"POTENTIAL LOYALIST",AND(F505&gt;=8,G505&lt;=2,H505&gt;=5),"NEW CUSTOMERS",AND(F505&gt;=6,G505&lt;=2,H505&gt;=3),"PROMISING",AND(F505&gt;=3,G505&gt;=3,H505&gt;=3),"NEED ATTENTION",AND(F505&lt;=4,G505&gt;=6,H505&gt;=6),"AT RISK",AND(F505&lt;=2,G505&gt;=8,H505&gt;=8),"CAN'T LOSE THEM",AND(F505&lt;=2,G505&lt;=2,H505&lt;=2),"HIBERNATING",TRUE(),"Other")</f>
        <v>CHAMPION</v>
      </c>
      <c r="K505" s="1" t="n">
        <f aca="false">RANK(E505,$E$7:$E$4378)+COUNTIF($E$7:E505,E505)-1</f>
        <v>159</v>
      </c>
    </row>
    <row r="506" customFormat="false" ht="14.25" hidden="false" customHeight="true" outlineLevel="0" collapsed="false">
      <c r="A506" s="51" t="n">
        <v>12990</v>
      </c>
      <c r="B506" s="53" t="n">
        <v>40855.5423611111</v>
      </c>
      <c r="C506" s="57" t="n">
        <f aca="false">INT($C$2)-INT(Table3[[#This Row],[Last Purchase Date]])</f>
        <v>32</v>
      </c>
      <c r="D506" s="1" t="n">
        <v>3</v>
      </c>
      <c r="E506" s="1" t="n">
        <v>409.5</v>
      </c>
      <c r="F506" s="1" t="n">
        <f aca="false">ROUND((1-_xlfn.PERCENTRANK.INC($C$7:$C$4378,C506))*9,0)</f>
        <v>5</v>
      </c>
      <c r="G506" s="1" t="n">
        <f aca="false">ROUND(_xlfn.PERCENTRANK.INC($D$7:$D$4378,D506)*9,0)</f>
        <v>4</v>
      </c>
      <c r="H506" s="1" t="n">
        <f aca="false">ROUND(_xlfn.PERCENTRANK.INC($E$7:$E$4378,E506)*9,0)</f>
        <v>3</v>
      </c>
      <c r="I506" s="1" t="str">
        <f aca="false">CONCATENATE(F506,G506,H506)</f>
        <v>543</v>
      </c>
      <c r="J506" s="1" t="str">
        <f aca="false">_xlfn.IFS(AND(F506&gt;=8,G506&gt;=8,H506&gt;=8),"CHAMPION",AND(F506&gt;=6,G506&gt;=7,H506&gt;=6),"LOYAL CUSTOMER",AND(F506&gt;=6,G506&gt;=5,H506&gt;=5),"POTENTIAL LOYALIST",AND(F506&gt;=8,G506&lt;=2,H506&gt;=5),"NEW CUSTOMERS",AND(F506&gt;=6,G506&lt;=2,H506&gt;=3),"PROMISING",AND(F506&gt;=3,G506&gt;=3,H506&gt;=3),"NEED ATTENTION",AND(F506&lt;=4,G506&gt;=6,H506&gt;=6),"AT RISK",AND(F506&lt;=2,G506&gt;=8,H506&gt;=8),"CAN'T LOSE THEM",AND(F506&lt;=2,G506&lt;=2,H506&lt;=2),"HIBERNATING",TRUE(),"Other")</f>
        <v>NEED ATTENTION</v>
      </c>
      <c r="K506" s="1" t="n">
        <f aca="false">RANK(E506,$E$7:$E$4378)+COUNTIF($E$7:E506,E506)-1</f>
        <v>2793</v>
      </c>
    </row>
    <row r="507" customFormat="false" ht="14.25" hidden="false" customHeight="true" outlineLevel="0" collapsed="false">
      <c r="A507" s="51" t="n">
        <v>12991</v>
      </c>
      <c r="B507" s="53" t="n">
        <v>40863.6486111111</v>
      </c>
      <c r="C507" s="57" t="n">
        <f aca="false">INT($C$2)-INT(Table3[[#This Row],[Last Purchase Date]])</f>
        <v>24</v>
      </c>
      <c r="D507" s="1" t="n">
        <v>2</v>
      </c>
      <c r="E507" s="1" t="n">
        <v>503.76</v>
      </c>
      <c r="F507" s="1" t="n">
        <f aca="false">ROUND((1-_xlfn.PERCENTRANK.INC($C$7:$C$4378,C507))*9,0)</f>
        <v>6</v>
      </c>
      <c r="G507" s="1" t="n">
        <f aca="false">ROUND(_xlfn.PERCENTRANK.INC($D$7:$D$4378,D507)*9,0)</f>
        <v>3</v>
      </c>
      <c r="H507" s="1" t="n">
        <f aca="false">ROUND(_xlfn.PERCENTRANK.INC($E$7:$E$4378,E507)*9,0)</f>
        <v>4</v>
      </c>
      <c r="I507" s="1" t="str">
        <f aca="false">CONCATENATE(F507,G507,H507)</f>
        <v>634</v>
      </c>
      <c r="J507" s="1" t="str">
        <f aca="false">_xlfn.IFS(AND(F507&gt;=8,G507&gt;=8,H507&gt;=8),"CHAMPION",AND(F507&gt;=6,G507&gt;=7,H507&gt;=6),"LOYAL CUSTOMER",AND(F507&gt;=6,G507&gt;=5,H507&gt;=5),"POTENTIAL LOYALIST",AND(F507&gt;=8,G507&lt;=2,H507&gt;=5),"NEW CUSTOMERS",AND(F507&gt;=6,G507&lt;=2,H507&gt;=3),"PROMISING",AND(F507&gt;=3,G507&gt;=3,H507&gt;=3),"NEED ATTENTION",AND(F507&lt;=4,G507&gt;=6,H507&gt;=6),"AT RISK",AND(F507&lt;=2,G507&gt;=8,H507&gt;=8),"CAN'T LOSE THEM",AND(F507&lt;=2,G507&lt;=2,H507&lt;=2),"HIBERNATING",TRUE(),"Other")</f>
        <v>NEED ATTENTION</v>
      </c>
      <c r="K507" s="1" t="n">
        <f aca="false">RANK(E507,$E$7:$E$4378)+COUNTIF($E$7:E507,E507)-1</f>
        <v>2534</v>
      </c>
    </row>
    <row r="508" customFormat="false" ht="14.25" hidden="false" customHeight="true" outlineLevel="0" collapsed="false">
      <c r="A508" s="51" t="n">
        <v>12993</v>
      </c>
      <c r="B508" s="53" t="n">
        <v>40863.6590277778</v>
      </c>
      <c r="C508" s="57" t="n">
        <f aca="false">INT($C$2)-INT(Table3[[#This Row],[Last Purchase Date]])</f>
        <v>24</v>
      </c>
      <c r="D508" s="1" t="n">
        <v>4</v>
      </c>
      <c r="E508" s="1" t="n">
        <v>414.76</v>
      </c>
      <c r="F508" s="1" t="n">
        <f aca="false">ROUND((1-_xlfn.PERCENTRANK.INC($C$7:$C$4378,C508))*9,0)</f>
        <v>6</v>
      </c>
      <c r="G508" s="1" t="n">
        <f aca="false">ROUND(_xlfn.PERCENTRANK.INC($D$7:$D$4378,D508)*9,0)</f>
        <v>5</v>
      </c>
      <c r="H508" s="1" t="n">
        <f aca="false">ROUND(_xlfn.PERCENTRANK.INC($E$7:$E$4378,E508)*9,0)</f>
        <v>3</v>
      </c>
      <c r="I508" s="1" t="str">
        <f aca="false">CONCATENATE(F508,G508,H508)</f>
        <v>653</v>
      </c>
      <c r="J508" s="1" t="str">
        <f aca="false">_xlfn.IFS(AND(F508&gt;=8,G508&gt;=8,H508&gt;=8),"CHAMPION",AND(F508&gt;=6,G508&gt;=7,H508&gt;=6),"LOYAL CUSTOMER",AND(F508&gt;=6,G508&gt;=5,H508&gt;=5),"POTENTIAL LOYALIST",AND(F508&gt;=8,G508&lt;=2,H508&gt;=5),"NEW CUSTOMERS",AND(F508&gt;=6,G508&lt;=2,H508&gt;=3),"PROMISING",AND(F508&gt;=3,G508&gt;=3,H508&gt;=3),"NEED ATTENTION",AND(F508&lt;=4,G508&gt;=6,H508&gt;=6),"AT RISK",AND(F508&lt;=2,G508&gt;=8,H508&gt;=8),"CAN'T LOSE THEM",AND(F508&lt;=2,G508&lt;=2,H508&lt;=2),"HIBERNATING",TRUE(),"Other")</f>
        <v>NEED ATTENTION</v>
      </c>
      <c r="K508" s="1" t="n">
        <f aca="false">RANK(E508,$E$7:$E$4378)+COUNTIF($E$7:E508,E508)-1</f>
        <v>2773</v>
      </c>
    </row>
    <row r="509" customFormat="false" ht="14.25" hidden="false" customHeight="true" outlineLevel="0" collapsed="false">
      <c r="A509" s="51" t="n">
        <v>12994</v>
      </c>
      <c r="B509" s="53" t="n">
        <v>40882.6548611111</v>
      </c>
      <c r="C509" s="57" t="n">
        <f aca="false">INT($C$2)-INT(Table3[[#This Row],[Last Purchase Date]])</f>
        <v>5</v>
      </c>
      <c r="D509" s="1" t="n">
        <v>5</v>
      </c>
      <c r="E509" s="1" t="n">
        <v>902.22</v>
      </c>
      <c r="F509" s="1" t="n">
        <f aca="false">ROUND((1-_xlfn.PERCENTRANK.INC($C$7:$C$4378,C509))*9,0)</f>
        <v>8</v>
      </c>
      <c r="G509" s="1" t="n">
        <f aca="false">ROUND(_xlfn.PERCENTRANK.INC($D$7:$D$4378,D509)*9,0)</f>
        <v>6</v>
      </c>
      <c r="H509" s="1" t="n">
        <f aca="false">ROUND(_xlfn.PERCENTRANK.INC($E$7:$E$4378,E509)*9,0)</f>
        <v>5</v>
      </c>
      <c r="I509" s="1" t="str">
        <f aca="false">CONCATENATE(F509,G509,H509)</f>
        <v>865</v>
      </c>
      <c r="J509" s="1" t="str">
        <f aca="false">_xlfn.IFS(AND(F509&gt;=8,G509&gt;=8,H509&gt;=8),"CHAMPION",AND(F509&gt;=6,G509&gt;=7,H509&gt;=6),"LOYAL CUSTOMER",AND(F509&gt;=6,G509&gt;=5,H509&gt;=5),"POTENTIAL LOYALIST",AND(F509&gt;=8,G509&lt;=2,H509&gt;=5),"NEW CUSTOMERS",AND(F509&gt;=6,G509&lt;=2,H509&gt;=3),"PROMISING",AND(F509&gt;=3,G509&gt;=3,H509&gt;=3),"NEED ATTENTION",AND(F509&lt;=4,G509&gt;=6,H509&gt;=6),"AT RISK",AND(F509&lt;=2,G509&gt;=8,H509&gt;=8),"CAN'T LOSE THEM",AND(F509&lt;=2,G509&lt;=2,H509&lt;=2),"HIBERNATING",TRUE(),"Other")</f>
        <v>POTENTIAL LOYALIST</v>
      </c>
      <c r="K509" s="1" t="n">
        <f aca="false">RANK(E509,$E$7:$E$4378)+COUNTIF($E$7:E509,E509)-1</f>
        <v>1759</v>
      </c>
    </row>
    <row r="510" customFormat="false" ht="14.25" hidden="false" customHeight="true" outlineLevel="0" collapsed="false">
      <c r="A510" s="51" t="n">
        <v>12995</v>
      </c>
      <c r="B510" s="53" t="n">
        <v>40809.3888888889</v>
      </c>
      <c r="C510" s="57" t="n">
        <f aca="false">INT($C$2)-INT(Table3[[#This Row],[Last Purchase Date]])</f>
        <v>78</v>
      </c>
      <c r="D510" s="1" t="n">
        <v>2</v>
      </c>
      <c r="E510" s="1" t="n">
        <v>200.72</v>
      </c>
      <c r="F510" s="1" t="n">
        <f aca="false">ROUND((1-_xlfn.PERCENTRANK.INC($C$7:$C$4378,C510))*9,0)</f>
        <v>3</v>
      </c>
      <c r="G510" s="1" t="n">
        <f aca="false">ROUND(_xlfn.PERCENTRANK.INC($D$7:$D$4378,D510)*9,0)</f>
        <v>3</v>
      </c>
      <c r="H510" s="1" t="n">
        <f aca="false">ROUND(_xlfn.PERCENTRANK.INC($E$7:$E$4378,E510)*9,0)</f>
        <v>1</v>
      </c>
      <c r="I510" s="1" t="str">
        <f aca="false">CONCATENATE(F510,G510,H510)</f>
        <v>331</v>
      </c>
      <c r="J510" s="1" t="str">
        <f aca="false">_xlfn.IFS(AND(F510&gt;=8,G510&gt;=8,H510&gt;=8),"CHAMPION",AND(F510&gt;=6,G510&gt;=7,H510&gt;=6),"LOYAL CUSTOMER",AND(F510&gt;=6,G510&gt;=5,H510&gt;=5),"POTENTIAL LOYALIST",AND(F510&gt;=8,G510&lt;=2,H510&gt;=5),"NEW CUSTOMERS",AND(F510&gt;=6,G510&lt;=2,H510&gt;=3),"PROMISING",AND(F510&gt;=3,G510&gt;=3,H510&gt;=3),"NEED ATTENTION",AND(F510&lt;=4,G510&gt;=6,H510&gt;=6),"AT RISK",AND(F510&lt;=2,G510&gt;=8,H510&gt;=8),"CAN'T LOSE THEM",AND(F510&lt;=2,G510&lt;=2,H510&lt;=2),"HIBERNATING",TRUE(),"Other")</f>
        <v>Other</v>
      </c>
      <c r="K510" s="1" t="n">
        <f aca="false">RANK(E510,$E$7:$E$4378)+COUNTIF($E$7:E510,E510)-1</f>
        <v>3655</v>
      </c>
    </row>
    <row r="511" customFormat="false" ht="14.25" hidden="false" customHeight="true" outlineLevel="0" collapsed="false">
      <c r="A511" s="51" t="n">
        <v>12997</v>
      </c>
      <c r="B511" s="53" t="n">
        <v>40864.6576388889</v>
      </c>
      <c r="C511" s="57" t="n">
        <f aca="false">INT($C$2)-INT(Table3[[#This Row],[Last Purchase Date]])</f>
        <v>23</v>
      </c>
      <c r="D511" s="1" t="n">
        <v>7</v>
      </c>
      <c r="E511" s="1" t="n">
        <v>1197.94</v>
      </c>
      <c r="F511" s="1" t="n">
        <f aca="false">ROUND((1-_xlfn.PERCENTRANK.INC($C$7:$C$4378,C511))*9,0)</f>
        <v>6</v>
      </c>
      <c r="G511" s="1" t="n">
        <f aca="false">ROUND(_xlfn.PERCENTRANK.INC($D$7:$D$4378,D511)*9,0)</f>
        <v>7</v>
      </c>
      <c r="H511" s="1" t="n">
        <f aca="false">ROUND(_xlfn.PERCENTRANK.INC($E$7:$E$4378,E511)*9,0)</f>
        <v>6</v>
      </c>
      <c r="I511" s="1" t="str">
        <f aca="false">CONCATENATE(F511,G511,H511)</f>
        <v>676</v>
      </c>
      <c r="J511" s="1" t="str">
        <f aca="false">_xlfn.IFS(AND(F511&gt;=8,G511&gt;=8,H511&gt;=8),"CHAMPION",AND(F511&gt;=6,G511&gt;=7,H511&gt;=6),"LOYAL CUSTOMER",AND(F511&gt;=6,G511&gt;=5,H511&gt;=5),"POTENTIAL LOYALIST",AND(F511&gt;=8,G511&lt;=2,H511&gt;=5),"NEW CUSTOMERS",AND(F511&gt;=6,G511&lt;=2,H511&gt;=3),"PROMISING",AND(F511&gt;=3,G511&gt;=3,H511&gt;=3),"NEED ATTENTION",AND(F511&lt;=4,G511&gt;=6,H511&gt;=6),"AT RISK",AND(F511&lt;=2,G511&gt;=8,H511&gt;=8),"CAN'T LOSE THEM",AND(F511&lt;=2,G511&lt;=2,H511&lt;=2),"HIBERNATING",TRUE(),"Other")</f>
        <v>LOYAL CUSTOMER</v>
      </c>
      <c r="K511" s="1" t="n">
        <f aca="false">RANK(E511,$E$7:$E$4378)+COUNTIF($E$7:E511,E511)-1</f>
        <v>1415</v>
      </c>
    </row>
    <row r="512" customFormat="false" ht="14.25" hidden="false" customHeight="true" outlineLevel="0" collapsed="false">
      <c r="A512" s="51" t="n">
        <v>12999</v>
      </c>
      <c r="B512" s="53" t="n">
        <v>40690.5583333333</v>
      </c>
      <c r="C512" s="57" t="n">
        <f aca="false">INT($C$2)-INT(Table3[[#This Row],[Last Purchase Date]])</f>
        <v>197</v>
      </c>
      <c r="D512" s="1" t="n">
        <v>3</v>
      </c>
      <c r="E512" s="1" t="n">
        <v>455.88</v>
      </c>
      <c r="F512" s="1" t="n">
        <f aca="false">ROUND((1-_xlfn.PERCENTRANK.INC($C$7:$C$4378,C512))*9,0)</f>
        <v>2</v>
      </c>
      <c r="G512" s="1" t="n">
        <f aca="false">ROUND(_xlfn.PERCENTRANK.INC($D$7:$D$4378,D512)*9,0)</f>
        <v>4</v>
      </c>
      <c r="H512" s="1" t="n">
        <f aca="false">ROUND(_xlfn.PERCENTRANK.INC($E$7:$E$4378,E512)*9,0)</f>
        <v>4</v>
      </c>
      <c r="I512" s="1" t="str">
        <f aca="false">CONCATENATE(F512,G512,H512)</f>
        <v>244</v>
      </c>
      <c r="J512" s="1" t="str">
        <f aca="false">_xlfn.IFS(AND(F512&gt;=8,G512&gt;=8,H512&gt;=8),"CHAMPION",AND(F512&gt;=6,G512&gt;=7,H512&gt;=6),"LOYAL CUSTOMER",AND(F512&gt;=6,G512&gt;=5,H512&gt;=5),"POTENTIAL LOYALIST",AND(F512&gt;=8,G512&lt;=2,H512&gt;=5),"NEW CUSTOMERS",AND(F512&gt;=6,G512&lt;=2,H512&gt;=3),"PROMISING",AND(F512&gt;=3,G512&gt;=3,H512&gt;=3),"NEED ATTENTION",AND(F512&lt;=4,G512&gt;=6,H512&gt;=6),"AT RISK",AND(F512&lt;=2,G512&gt;=8,H512&gt;=8),"CAN'T LOSE THEM",AND(F512&lt;=2,G512&lt;=2,H512&lt;=2),"HIBERNATING",TRUE(),"Other")</f>
        <v>Other</v>
      </c>
      <c r="K512" s="1" t="n">
        <f aca="false">RANK(E512,$E$7:$E$4378)+COUNTIF($E$7:E512,E512)-1</f>
        <v>2654</v>
      </c>
    </row>
    <row r="513" customFormat="false" ht="14.25" hidden="false" customHeight="true" outlineLevel="0" collapsed="false">
      <c r="A513" s="51" t="n">
        <v>13000</v>
      </c>
      <c r="B513" s="53" t="n">
        <v>40780.4465277778</v>
      </c>
      <c r="C513" s="57" t="n">
        <f aca="false">INT($C$2)-INT(Table3[[#This Row],[Last Purchase Date]])</f>
        <v>107</v>
      </c>
      <c r="D513" s="1" t="n">
        <v>3</v>
      </c>
      <c r="E513" s="1" t="n">
        <v>534.85</v>
      </c>
      <c r="F513" s="1" t="n">
        <f aca="false">ROUND((1-_xlfn.PERCENTRANK.INC($C$7:$C$4378,C513))*9,0)</f>
        <v>3</v>
      </c>
      <c r="G513" s="1" t="n">
        <f aca="false">ROUND(_xlfn.PERCENTRANK.INC($D$7:$D$4378,D513)*9,0)</f>
        <v>4</v>
      </c>
      <c r="H513" s="1" t="n">
        <f aca="false">ROUND(_xlfn.PERCENTRANK.INC($E$7:$E$4378,E513)*9,0)</f>
        <v>4</v>
      </c>
      <c r="I513" s="1" t="str">
        <f aca="false">CONCATENATE(F513,G513,H513)</f>
        <v>344</v>
      </c>
      <c r="J513" s="1" t="str">
        <f aca="false">_xlfn.IFS(AND(F513&gt;=8,G513&gt;=8,H513&gt;=8),"CHAMPION",AND(F513&gt;=6,G513&gt;=7,H513&gt;=6),"LOYAL CUSTOMER",AND(F513&gt;=6,G513&gt;=5,H513&gt;=5),"POTENTIAL LOYALIST",AND(F513&gt;=8,G513&lt;=2,H513&gt;=5),"NEW CUSTOMERS",AND(F513&gt;=6,G513&lt;=2,H513&gt;=3),"PROMISING",AND(F513&gt;=3,G513&gt;=3,H513&gt;=3),"NEED ATTENTION",AND(F513&lt;=4,G513&gt;=6,H513&gt;=6),"AT RISK",AND(F513&lt;=2,G513&gt;=8,H513&gt;=8),"CAN'T LOSE THEM",AND(F513&lt;=2,G513&lt;=2,H513&lt;=2),"HIBERNATING",TRUE(),"Other")</f>
        <v>NEED ATTENTION</v>
      </c>
      <c r="K513" s="1" t="n">
        <f aca="false">RANK(E513,$E$7:$E$4378)+COUNTIF($E$7:E513,E513)-1</f>
        <v>2471</v>
      </c>
    </row>
    <row r="514" customFormat="false" ht="14.25" hidden="false" customHeight="true" outlineLevel="0" collapsed="false">
      <c r="A514" s="51" t="n">
        <v>13001</v>
      </c>
      <c r="B514" s="53" t="n">
        <v>40882.61875</v>
      </c>
      <c r="C514" s="57" t="n">
        <f aca="false">INT($C$2)-INT(Table3[[#This Row],[Last Purchase Date]])</f>
        <v>5</v>
      </c>
      <c r="D514" s="1" t="n">
        <v>15</v>
      </c>
      <c r="E514" s="1" t="n">
        <v>9797.92000000001</v>
      </c>
      <c r="F514" s="1" t="n">
        <f aca="false">ROUND((1-_xlfn.PERCENTRANK.INC($C$7:$C$4378,C514))*9,0)</f>
        <v>8</v>
      </c>
      <c r="G514" s="1" t="n">
        <f aca="false">ROUND(_xlfn.PERCENTRANK.INC($D$7:$D$4378,D514)*9,0)</f>
        <v>8</v>
      </c>
      <c r="H514" s="1" t="n">
        <f aca="false">ROUND(_xlfn.PERCENTRANK.INC($E$7:$E$4378,E514)*9,0)</f>
        <v>9</v>
      </c>
      <c r="I514" s="1" t="str">
        <f aca="false">CONCATENATE(F514,G514,H514)</f>
        <v>889</v>
      </c>
      <c r="J514" s="1" t="str">
        <f aca="false">_xlfn.IFS(AND(F514&gt;=8,G514&gt;=8,H514&gt;=8),"CHAMPION",AND(F514&gt;=6,G514&gt;=7,H514&gt;=6),"LOYAL CUSTOMER",AND(F514&gt;=6,G514&gt;=5,H514&gt;=5),"POTENTIAL LOYALIST",AND(F514&gt;=8,G514&lt;=2,H514&gt;=5),"NEW CUSTOMERS",AND(F514&gt;=6,G514&lt;=2,H514&gt;=3),"PROMISING",AND(F514&gt;=3,G514&gt;=3,H514&gt;=3),"NEED ATTENTION",AND(F514&lt;=4,G514&gt;=6,H514&gt;=6),"AT RISK",AND(F514&lt;=2,G514&gt;=8,H514&gt;=8),"CAN'T LOSE THEM",AND(F514&lt;=2,G514&lt;=2,H514&lt;=2),"HIBERNATING",TRUE(),"Other")</f>
        <v>CHAMPION</v>
      </c>
      <c r="K514" s="1" t="n">
        <f aca="false">RANK(E514,$E$7:$E$4378)+COUNTIF($E$7:E514,E514)-1</f>
        <v>100</v>
      </c>
    </row>
    <row r="515" customFormat="false" ht="14.25" hidden="false" customHeight="true" outlineLevel="0" collapsed="false">
      <c r="A515" s="51" t="n">
        <v>13002</v>
      </c>
      <c r="B515" s="53" t="n">
        <v>40568.6375</v>
      </c>
      <c r="C515" s="57" t="n">
        <f aca="false">INT($C$2)-INT(Table3[[#This Row],[Last Purchase Date]])</f>
        <v>319</v>
      </c>
      <c r="D515" s="1" t="n">
        <v>1</v>
      </c>
      <c r="E515" s="1" t="n">
        <v>120.95</v>
      </c>
      <c r="F515" s="1" t="n">
        <f aca="false">ROUND((1-_xlfn.PERCENTRANK.INC($C$7:$C$4378,C515))*9,0)</f>
        <v>0</v>
      </c>
      <c r="G515" s="1" t="n">
        <f aca="false">ROUND(_xlfn.PERCENTRANK.INC($D$7:$D$4378,D515)*9,0)</f>
        <v>0</v>
      </c>
      <c r="H515" s="1" t="n">
        <f aca="false">ROUND(_xlfn.PERCENTRANK.INC($E$7:$E$4378,E515)*9,0)</f>
        <v>1</v>
      </c>
      <c r="I515" s="1" t="str">
        <f aca="false">CONCATENATE(F515,G515,H515)</f>
        <v>001</v>
      </c>
      <c r="J515" s="1" t="str">
        <f aca="false">_xlfn.IFS(AND(F515&gt;=8,G515&gt;=8,H515&gt;=8),"CHAMPION",AND(F515&gt;=6,G515&gt;=7,H515&gt;=6),"LOYAL CUSTOMER",AND(F515&gt;=6,G515&gt;=5,H515&gt;=5),"POTENTIAL LOYALIST",AND(F515&gt;=8,G515&lt;=2,H515&gt;=5),"NEW CUSTOMERS",AND(F515&gt;=6,G515&lt;=2,H515&gt;=3),"PROMISING",AND(F515&gt;=3,G515&gt;=3,H515&gt;=3),"NEED ATTENTION",AND(F515&lt;=4,G515&gt;=6,H515&gt;=6),"AT RISK",AND(F515&lt;=2,G515&gt;=8,H515&gt;=8),"CAN'T LOSE THEM",AND(F515&lt;=2,G515&lt;=2,H515&lt;=2),"HIBERNATING",TRUE(),"Other")</f>
        <v>HIBERNATING</v>
      </c>
      <c r="K515" s="1" t="n">
        <f aca="false">RANK(E515,$E$7:$E$4378)+COUNTIF($E$7:E515,E515)-1</f>
        <v>4047</v>
      </c>
    </row>
    <row r="516" customFormat="false" ht="14.25" hidden="false" customHeight="true" outlineLevel="0" collapsed="false">
      <c r="A516" s="51" t="n">
        <v>13003</v>
      </c>
      <c r="B516" s="53" t="n">
        <v>40781.4513888889</v>
      </c>
      <c r="C516" s="57" t="n">
        <f aca="false">INT($C$2)-INT(Table3[[#This Row],[Last Purchase Date]])</f>
        <v>106</v>
      </c>
      <c r="D516" s="1" t="n">
        <v>3</v>
      </c>
      <c r="E516" s="1" t="n">
        <v>149.05</v>
      </c>
      <c r="F516" s="1" t="n">
        <f aca="false">ROUND((1-_xlfn.PERCENTRANK.INC($C$7:$C$4378,C516))*9,0)</f>
        <v>3</v>
      </c>
      <c r="G516" s="1" t="n">
        <f aca="false">ROUND(_xlfn.PERCENTRANK.INC($D$7:$D$4378,D516)*9,0)</f>
        <v>4</v>
      </c>
      <c r="H516" s="1" t="n">
        <f aca="false">ROUND(_xlfn.PERCENTRANK.INC($E$7:$E$4378,E516)*9,0)</f>
        <v>1</v>
      </c>
      <c r="I516" s="1" t="str">
        <f aca="false">CONCATENATE(F516,G516,H516)</f>
        <v>341</v>
      </c>
      <c r="J516" s="1" t="str">
        <f aca="false">_xlfn.IFS(AND(F516&gt;=8,G516&gt;=8,H516&gt;=8),"CHAMPION",AND(F516&gt;=6,G516&gt;=7,H516&gt;=6),"LOYAL CUSTOMER",AND(F516&gt;=6,G516&gt;=5,H516&gt;=5),"POTENTIAL LOYALIST",AND(F516&gt;=8,G516&lt;=2,H516&gt;=5),"NEW CUSTOMERS",AND(F516&gt;=6,G516&lt;=2,H516&gt;=3),"PROMISING",AND(F516&gt;=3,G516&gt;=3,H516&gt;=3),"NEED ATTENTION",AND(F516&lt;=4,G516&gt;=6,H516&gt;=6),"AT RISK",AND(F516&lt;=2,G516&gt;=8,H516&gt;=8),"CAN'T LOSE THEM",AND(F516&lt;=2,G516&lt;=2,H516&lt;=2),"HIBERNATING",TRUE(),"Other")</f>
        <v>Other</v>
      </c>
      <c r="K516" s="1" t="n">
        <f aca="false">RANK(E516,$E$7:$E$4378)+COUNTIF($E$7:E516,E516)-1</f>
        <v>3924</v>
      </c>
    </row>
    <row r="517" customFormat="false" ht="14.25" hidden="false" customHeight="true" outlineLevel="0" collapsed="false">
      <c r="A517" s="51" t="n">
        <v>13004</v>
      </c>
      <c r="B517" s="53" t="n">
        <v>40875.4770833333</v>
      </c>
      <c r="C517" s="57" t="n">
        <f aca="false">INT($C$2)-INT(Table3[[#This Row],[Last Purchase Date]])</f>
        <v>12</v>
      </c>
      <c r="D517" s="1" t="n">
        <v>22</v>
      </c>
      <c r="E517" s="1" t="n">
        <v>5613.43</v>
      </c>
      <c r="F517" s="1" t="n">
        <f aca="false">ROUND((1-_xlfn.PERCENTRANK.INC($C$7:$C$4378,C517))*9,0)</f>
        <v>7</v>
      </c>
      <c r="G517" s="1" t="n">
        <f aca="false">ROUND(_xlfn.PERCENTRANK.INC($D$7:$D$4378,D517)*9,0)</f>
        <v>9</v>
      </c>
      <c r="H517" s="1" t="n">
        <f aca="false">ROUND(_xlfn.PERCENTRANK.INC($E$7:$E$4378,E517)*9,0)</f>
        <v>9</v>
      </c>
      <c r="I517" s="1" t="str">
        <f aca="false">CONCATENATE(F517,G517,H517)</f>
        <v>799</v>
      </c>
      <c r="J517" s="1" t="str">
        <f aca="false">_xlfn.IFS(AND(F517&gt;=8,G517&gt;=8,H517&gt;=8),"CHAMPION",AND(F517&gt;=6,G517&gt;=7,H517&gt;=6),"LOYAL CUSTOMER",AND(F517&gt;=6,G517&gt;=5,H517&gt;=5),"POTENTIAL LOYALIST",AND(F517&gt;=8,G517&lt;=2,H517&gt;=5),"NEW CUSTOMERS",AND(F517&gt;=6,G517&lt;=2,H517&gt;=3),"PROMISING",AND(F517&gt;=3,G517&gt;=3,H517&gt;=3),"NEED ATTENTION",AND(F517&lt;=4,G517&gt;=6,H517&gt;=6),"AT RISK",AND(F517&lt;=2,G517&gt;=8,H517&gt;=8),"CAN'T LOSE THEM",AND(F517&lt;=2,G517&lt;=2,H517&lt;=2),"HIBERNATING",TRUE(),"Other")</f>
        <v>LOYAL CUSTOMER</v>
      </c>
      <c r="K517" s="1" t="n">
        <f aca="false">RANK(E517,$E$7:$E$4378)+COUNTIF($E$7:E517,E517)-1</f>
        <v>220</v>
      </c>
    </row>
    <row r="518" customFormat="false" ht="14.25" hidden="false" customHeight="true" outlineLevel="0" collapsed="false">
      <c r="A518" s="51" t="n">
        <v>13005</v>
      </c>
      <c r="B518" s="53" t="n">
        <v>40713.4534722222</v>
      </c>
      <c r="C518" s="57" t="n">
        <f aca="false">INT($C$2)-INT(Table3[[#This Row],[Last Purchase Date]])</f>
        <v>174</v>
      </c>
      <c r="D518" s="1" t="n">
        <v>3</v>
      </c>
      <c r="E518" s="1" t="n">
        <v>468.95</v>
      </c>
      <c r="F518" s="1" t="n">
        <f aca="false">ROUND((1-_xlfn.PERCENTRANK.INC($C$7:$C$4378,C518))*9,0)</f>
        <v>2</v>
      </c>
      <c r="G518" s="1" t="n">
        <f aca="false">ROUND(_xlfn.PERCENTRANK.INC($D$7:$D$4378,D518)*9,0)</f>
        <v>4</v>
      </c>
      <c r="H518" s="1" t="n">
        <f aca="false">ROUND(_xlfn.PERCENTRANK.INC($E$7:$E$4378,E518)*9,0)</f>
        <v>4</v>
      </c>
      <c r="I518" s="1" t="str">
        <f aca="false">CONCATENATE(F518,G518,H518)</f>
        <v>244</v>
      </c>
      <c r="J518" s="1" t="str">
        <f aca="false">_xlfn.IFS(AND(F518&gt;=8,G518&gt;=8,H518&gt;=8),"CHAMPION",AND(F518&gt;=6,G518&gt;=7,H518&gt;=6),"LOYAL CUSTOMER",AND(F518&gt;=6,G518&gt;=5,H518&gt;=5),"POTENTIAL LOYALIST",AND(F518&gt;=8,G518&lt;=2,H518&gt;=5),"NEW CUSTOMERS",AND(F518&gt;=6,G518&lt;=2,H518&gt;=3),"PROMISING",AND(F518&gt;=3,G518&gt;=3,H518&gt;=3),"NEED ATTENTION",AND(F518&lt;=4,G518&gt;=6,H518&gt;=6),"AT RISK",AND(F518&lt;=2,G518&gt;=8,H518&gt;=8),"CAN'T LOSE THEM",AND(F518&lt;=2,G518&lt;=2,H518&lt;=2),"HIBERNATING",TRUE(),"Other")</f>
        <v>Other</v>
      </c>
      <c r="K518" s="1" t="n">
        <f aca="false">RANK(E518,$E$7:$E$4378)+COUNTIF($E$7:E518,E518)-1</f>
        <v>2616</v>
      </c>
    </row>
    <row r="519" customFormat="false" ht="14.25" hidden="false" customHeight="true" outlineLevel="0" collapsed="false">
      <c r="A519" s="51" t="n">
        <v>13006</v>
      </c>
      <c r="B519" s="53" t="n">
        <v>40830.5756944444</v>
      </c>
      <c r="C519" s="57" t="n">
        <f aca="false">INT($C$2)-INT(Table3[[#This Row],[Last Purchase Date]])</f>
        <v>57</v>
      </c>
      <c r="D519" s="1" t="n">
        <v>1</v>
      </c>
      <c r="E519" s="1" t="n">
        <v>81.57</v>
      </c>
      <c r="F519" s="1" t="n">
        <f aca="false">ROUND((1-_xlfn.PERCENTRANK.INC($C$7:$C$4378,C519))*9,0)</f>
        <v>4</v>
      </c>
      <c r="G519" s="1" t="n">
        <f aca="false">ROUND(_xlfn.PERCENTRANK.INC($D$7:$D$4378,D519)*9,0)</f>
        <v>0</v>
      </c>
      <c r="H519" s="1" t="n">
        <f aca="false">ROUND(_xlfn.PERCENTRANK.INC($E$7:$E$4378,E519)*9,0)</f>
        <v>0</v>
      </c>
      <c r="I519" s="1" t="str">
        <f aca="false">CONCATENATE(F519,G519,H519)</f>
        <v>400</v>
      </c>
      <c r="J519" s="1" t="str">
        <f aca="false">_xlfn.IFS(AND(F519&gt;=8,G519&gt;=8,H519&gt;=8),"CHAMPION",AND(F519&gt;=6,G519&gt;=7,H519&gt;=6),"LOYAL CUSTOMER",AND(F519&gt;=6,G519&gt;=5,H519&gt;=5),"POTENTIAL LOYALIST",AND(F519&gt;=8,G519&lt;=2,H519&gt;=5),"NEW CUSTOMERS",AND(F519&gt;=6,G519&lt;=2,H519&gt;=3),"PROMISING",AND(F519&gt;=3,G519&gt;=3,H519&gt;=3),"NEED ATTENTION",AND(F519&lt;=4,G519&gt;=6,H519&gt;=6),"AT RISK",AND(F519&lt;=2,G519&gt;=8,H519&gt;=8),"CAN'T LOSE THEM",AND(F519&lt;=2,G519&lt;=2,H519&lt;=2),"HIBERNATING",TRUE(),"Other")</f>
        <v>Other</v>
      </c>
      <c r="K519" s="1" t="n">
        <f aca="false">RANK(E519,$E$7:$E$4378)+COUNTIF($E$7:E519,E519)-1</f>
        <v>4212</v>
      </c>
    </row>
    <row r="520" customFormat="false" ht="14.25" hidden="false" customHeight="true" outlineLevel="0" collapsed="false">
      <c r="A520" s="51" t="n">
        <v>13008</v>
      </c>
      <c r="B520" s="53" t="n">
        <v>40563.6</v>
      </c>
      <c r="C520" s="57" t="n">
        <f aca="false">INT($C$2)-INT(Table3[[#This Row],[Last Purchase Date]])</f>
        <v>324</v>
      </c>
      <c r="D520" s="1" t="n">
        <v>2</v>
      </c>
      <c r="E520" s="1" t="n">
        <v>178.47</v>
      </c>
      <c r="F520" s="1" t="n">
        <f aca="false">ROUND((1-_xlfn.PERCENTRANK.INC($C$7:$C$4378,C520))*9,0)</f>
        <v>0</v>
      </c>
      <c r="G520" s="1" t="n">
        <f aca="false">ROUND(_xlfn.PERCENTRANK.INC($D$7:$D$4378,D520)*9,0)</f>
        <v>3</v>
      </c>
      <c r="H520" s="1" t="n">
        <f aca="false">ROUND(_xlfn.PERCENTRANK.INC($E$7:$E$4378,E520)*9,0)</f>
        <v>1</v>
      </c>
      <c r="I520" s="1" t="str">
        <f aca="false">CONCATENATE(F520,G520,H520)</f>
        <v>031</v>
      </c>
      <c r="J520" s="1" t="str">
        <f aca="false">_xlfn.IFS(AND(F520&gt;=8,G520&gt;=8,H520&gt;=8),"CHAMPION",AND(F520&gt;=6,G520&gt;=7,H520&gt;=6),"LOYAL CUSTOMER",AND(F520&gt;=6,G520&gt;=5,H520&gt;=5),"POTENTIAL LOYALIST",AND(F520&gt;=8,G520&lt;=2,H520&gt;=5),"NEW CUSTOMERS",AND(F520&gt;=6,G520&lt;=2,H520&gt;=3),"PROMISING",AND(F520&gt;=3,G520&gt;=3,H520&gt;=3),"NEED ATTENTION",AND(F520&lt;=4,G520&gt;=6,H520&gt;=6),"AT RISK",AND(F520&lt;=2,G520&gt;=8,H520&gt;=8),"CAN'T LOSE THEM",AND(F520&lt;=2,G520&lt;=2,H520&lt;=2),"HIBERNATING",TRUE(),"Other")</f>
        <v>Other</v>
      </c>
      <c r="K520" s="1" t="n">
        <f aca="false">RANK(E520,$E$7:$E$4378)+COUNTIF($E$7:E520,E520)-1</f>
        <v>3764</v>
      </c>
    </row>
    <row r="521" customFormat="false" ht="14.25" hidden="false" customHeight="true" outlineLevel="0" collapsed="false">
      <c r="A521" s="51" t="n">
        <v>13011</v>
      </c>
      <c r="B521" s="53" t="n">
        <v>40514.7236111111</v>
      </c>
      <c r="C521" s="57" t="n">
        <f aca="false">INT($C$2)-INT(Table3[[#This Row],[Last Purchase Date]])</f>
        <v>373</v>
      </c>
      <c r="D521" s="1" t="n">
        <v>1</v>
      </c>
      <c r="E521" s="1" t="n">
        <v>50.55</v>
      </c>
      <c r="F521" s="1" t="n">
        <f aca="false">ROUND((1-_xlfn.PERCENTRANK.INC($C$7:$C$4378,C521))*9,0)</f>
        <v>0</v>
      </c>
      <c r="G521" s="1" t="n">
        <f aca="false">ROUND(_xlfn.PERCENTRANK.INC($D$7:$D$4378,D521)*9,0)</f>
        <v>0</v>
      </c>
      <c r="H521" s="1" t="n">
        <f aca="false">ROUND(_xlfn.PERCENTRANK.INC($E$7:$E$4378,E521)*9,0)</f>
        <v>0</v>
      </c>
      <c r="I521" s="1" t="str">
        <f aca="false">CONCATENATE(F521,G521,H521)</f>
        <v>000</v>
      </c>
      <c r="J521" s="1" t="str">
        <f aca="false">_xlfn.IFS(AND(F521&gt;=8,G521&gt;=8,H521&gt;=8),"CHAMPION",AND(F521&gt;=6,G521&gt;=7,H521&gt;=6),"LOYAL CUSTOMER",AND(F521&gt;=6,G521&gt;=5,H521&gt;=5),"POTENTIAL LOYALIST",AND(F521&gt;=8,G521&lt;=2,H521&gt;=5),"NEW CUSTOMERS",AND(F521&gt;=6,G521&lt;=2,H521&gt;=3),"PROMISING",AND(F521&gt;=3,G521&gt;=3,H521&gt;=3),"NEED ATTENTION",AND(F521&lt;=4,G521&gt;=6,H521&gt;=6),"AT RISK",AND(F521&lt;=2,G521&gt;=8,H521&gt;=8),"CAN'T LOSE THEM",AND(F521&lt;=2,G521&lt;=2,H521&lt;=2),"HIBERNATING",TRUE(),"Other")</f>
        <v>HIBERNATING</v>
      </c>
      <c r="K521" s="1" t="n">
        <f aca="false">RANK(E521,$E$7:$E$4378)+COUNTIF($E$7:E521,E521)-1</f>
        <v>4281</v>
      </c>
    </row>
    <row r="522" customFormat="false" ht="14.25" hidden="false" customHeight="true" outlineLevel="0" collapsed="false">
      <c r="A522" s="51" t="n">
        <v>13012</v>
      </c>
      <c r="B522" s="53" t="n">
        <v>40877.5451388889</v>
      </c>
      <c r="C522" s="57" t="n">
        <f aca="false">INT($C$2)-INT(Table3[[#This Row],[Last Purchase Date]])</f>
        <v>10</v>
      </c>
      <c r="D522" s="1" t="n">
        <v>11</v>
      </c>
      <c r="E522" s="1" t="n">
        <v>1311.62</v>
      </c>
      <c r="F522" s="1" t="n">
        <f aca="false">ROUND((1-_xlfn.PERCENTRANK.INC($C$7:$C$4378,C522))*9,0)</f>
        <v>8</v>
      </c>
      <c r="G522" s="1" t="n">
        <f aca="false">ROUND(_xlfn.PERCENTRANK.INC($D$7:$D$4378,D522)*9,0)</f>
        <v>8</v>
      </c>
      <c r="H522" s="1" t="n">
        <f aca="false">ROUND(_xlfn.PERCENTRANK.INC($E$7:$E$4378,E522)*9,0)</f>
        <v>6</v>
      </c>
      <c r="I522" s="1" t="str">
        <f aca="false">CONCATENATE(F522,G522,H522)</f>
        <v>886</v>
      </c>
      <c r="J522" s="1" t="str">
        <f aca="false">_xlfn.IFS(AND(F522&gt;=8,G522&gt;=8,H522&gt;=8),"CHAMPION",AND(F522&gt;=6,G522&gt;=7,H522&gt;=6),"LOYAL CUSTOMER",AND(F522&gt;=6,G522&gt;=5,H522&gt;=5),"POTENTIAL LOYALIST",AND(F522&gt;=8,G522&lt;=2,H522&gt;=5),"NEW CUSTOMERS",AND(F522&gt;=6,G522&lt;=2,H522&gt;=3),"PROMISING",AND(F522&gt;=3,G522&gt;=3,H522&gt;=3),"NEED ATTENTION",AND(F522&lt;=4,G522&gt;=6,H522&gt;=6),"AT RISK",AND(F522&lt;=2,G522&gt;=8,H522&gt;=8),"CAN'T LOSE THEM",AND(F522&lt;=2,G522&lt;=2,H522&lt;=2),"HIBERNATING",TRUE(),"Other")</f>
        <v>LOYAL CUSTOMER</v>
      </c>
      <c r="K522" s="1" t="n">
        <f aca="false">RANK(E522,$E$7:$E$4378)+COUNTIF($E$7:E522,E522)-1</f>
        <v>1314</v>
      </c>
    </row>
    <row r="523" customFormat="false" ht="14.25" hidden="false" customHeight="true" outlineLevel="0" collapsed="false">
      <c r="A523" s="51" t="n">
        <v>13013</v>
      </c>
      <c r="B523" s="53" t="n">
        <v>40885.6256944445</v>
      </c>
      <c r="C523" s="57" t="n">
        <f aca="false">INT($C$2)-INT(Table3[[#This Row],[Last Purchase Date]])</f>
        <v>2</v>
      </c>
      <c r="D523" s="1" t="n">
        <v>15</v>
      </c>
      <c r="E523" s="1" t="n">
        <v>4786.99</v>
      </c>
      <c r="F523" s="1" t="n">
        <f aca="false">ROUND((1-_xlfn.PERCENTRANK.INC($C$7:$C$4378,C523))*9,0)</f>
        <v>9</v>
      </c>
      <c r="G523" s="1" t="n">
        <f aca="false">ROUND(_xlfn.PERCENTRANK.INC($D$7:$D$4378,D523)*9,0)</f>
        <v>8</v>
      </c>
      <c r="H523" s="1" t="n">
        <f aca="false">ROUND(_xlfn.PERCENTRANK.INC($E$7:$E$4378,E523)*9,0)</f>
        <v>8</v>
      </c>
      <c r="I523" s="1" t="str">
        <f aca="false">CONCATENATE(F523,G523,H523)</f>
        <v>988</v>
      </c>
      <c r="J523" s="1" t="str">
        <f aca="false">_xlfn.IFS(AND(F523&gt;=8,G523&gt;=8,H523&gt;=8),"CHAMPION",AND(F523&gt;=6,G523&gt;=7,H523&gt;=6),"LOYAL CUSTOMER",AND(F523&gt;=6,G523&gt;=5,H523&gt;=5),"POTENTIAL LOYALIST",AND(F523&gt;=8,G523&lt;=2,H523&gt;=5),"NEW CUSTOMERS",AND(F523&gt;=6,G523&lt;=2,H523&gt;=3),"PROMISING",AND(F523&gt;=3,G523&gt;=3,H523&gt;=3),"NEED ATTENTION",AND(F523&lt;=4,G523&gt;=6,H523&gt;=6),"AT RISK",AND(F523&lt;=2,G523&gt;=8,H523&gt;=8),"CAN'T LOSE THEM",AND(F523&lt;=2,G523&lt;=2,H523&lt;=2),"HIBERNATING",TRUE(),"Other")</f>
        <v>CHAMPION</v>
      </c>
      <c r="K523" s="1" t="n">
        <f aca="false">RANK(E523,$E$7:$E$4378)+COUNTIF($E$7:E523,E523)-1</f>
        <v>279</v>
      </c>
    </row>
    <row r="524" customFormat="false" ht="14.25" hidden="false" customHeight="true" outlineLevel="0" collapsed="false">
      <c r="A524" s="51" t="n">
        <v>13014</v>
      </c>
      <c r="B524" s="53" t="n">
        <v>40884.3916666667</v>
      </c>
      <c r="C524" s="57" t="n">
        <f aca="false">INT($C$2)-INT(Table3[[#This Row],[Last Purchase Date]])</f>
        <v>3</v>
      </c>
      <c r="D524" s="1" t="n">
        <v>16</v>
      </c>
      <c r="E524" s="1" t="n">
        <v>3365.43</v>
      </c>
      <c r="F524" s="1" t="n">
        <f aca="false">ROUND((1-_xlfn.PERCENTRANK.INC($C$7:$C$4378,C524))*9,0)</f>
        <v>9</v>
      </c>
      <c r="G524" s="1" t="n">
        <f aca="false">ROUND(_xlfn.PERCENTRANK.INC($D$7:$D$4378,D524)*9,0)</f>
        <v>9</v>
      </c>
      <c r="H524" s="1" t="n">
        <f aca="false">ROUND(_xlfn.PERCENTRANK.INC($E$7:$E$4378,E524)*9,0)</f>
        <v>8</v>
      </c>
      <c r="I524" s="1" t="str">
        <f aca="false">CONCATENATE(F524,G524,H524)</f>
        <v>998</v>
      </c>
      <c r="J524" s="1" t="str">
        <f aca="false">_xlfn.IFS(AND(F524&gt;=8,G524&gt;=8,H524&gt;=8),"CHAMPION",AND(F524&gt;=6,G524&gt;=7,H524&gt;=6),"LOYAL CUSTOMER",AND(F524&gt;=6,G524&gt;=5,H524&gt;=5),"POTENTIAL LOYALIST",AND(F524&gt;=8,G524&lt;=2,H524&gt;=5),"NEW CUSTOMERS",AND(F524&gt;=6,G524&lt;=2,H524&gt;=3),"PROMISING",AND(F524&gt;=3,G524&gt;=3,H524&gt;=3),"NEED ATTENTION",AND(F524&lt;=4,G524&gt;=6,H524&gt;=6),"AT RISK",AND(F524&lt;=2,G524&gt;=8,H524&gt;=8),"CAN'T LOSE THEM",AND(F524&lt;=2,G524&lt;=2,H524&lt;=2),"HIBERNATING",TRUE(),"Other")</f>
        <v>CHAMPION</v>
      </c>
      <c r="K524" s="1" t="n">
        <f aca="false">RANK(E524,$E$7:$E$4378)+COUNTIF($E$7:E524,E524)-1</f>
        <v>465</v>
      </c>
    </row>
    <row r="525" customFormat="false" ht="14.25" hidden="false" customHeight="true" outlineLevel="0" collapsed="false">
      <c r="A525" s="51" t="n">
        <v>13015</v>
      </c>
      <c r="B525" s="53" t="n">
        <v>40833.5548611111</v>
      </c>
      <c r="C525" s="57" t="n">
        <f aca="false">INT($C$2)-INT(Table3[[#This Row],[Last Purchase Date]])</f>
        <v>54</v>
      </c>
      <c r="D525" s="1" t="n">
        <v>5</v>
      </c>
      <c r="E525" s="1" t="n">
        <v>3346.28</v>
      </c>
      <c r="F525" s="1" t="n">
        <f aca="false">ROUND((1-_xlfn.PERCENTRANK.INC($C$7:$C$4378,C525))*9,0)</f>
        <v>4</v>
      </c>
      <c r="G525" s="1" t="n">
        <f aca="false">ROUND(_xlfn.PERCENTRANK.INC($D$7:$D$4378,D525)*9,0)</f>
        <v>6</v>
      </c>
      <c r="H525" s="1" t="n">
        <f aca="false">ROUND(_xlfn.PERCENTRANK.INC($E$7:$E$4378,E525)*9,0)</f>
        <v>8</v>
      </c>
      <c r="I525" s="1" t="str">
        <f aca="false">CONCATENATE(F525,G525,H525)</f>
        <v>468</v>
      </c>
      <c r="J525" s="1" t="str">
        <f aca="false">_xlfn.IFS(AND(F525&gt;=8,G525&gt;=8,H525&gt;=8),"CHAMPION",AND(F525&gt;=6,G525&gt;=7,H525&gt;=6),"LOYAL CUSTOMER",AND(F525&gt;=6,G525&gt;=5,H525&gt;=5),"POTENTIAL LOYALIST",AND(F525&gt;=8,G525&lt;=2,H525&gt;=5),"NEW CUSTOMERS",AND(F525&gt;=6,G525&lt;=2,H525&gt;=3),"PROMISING",AND(F525&gt;=3,G525&gt;=3,H525&gt;=3),"NEED ATTENTION",AND(F525&lt;=4,G525&gt;=6,H525&gt;=6),"AT RISK",AND(F525&lt;=2,G525&gt;=8,H525&gt;=8),"CAN'T LOSE THEM",AND(F525&lt;=2,G525&lt;=2,H525&lt;=2),"HIBERNATING",TRUE(),"Other")</f>
        <v>NEED ATTENTION</v>
      </c>
      <c r="K525" s="1" t="n">
        <f aca="false">RANK(E525,$E$7:$E$4378)+COUNTIF($E$7:E525,E525)-1</f>
        <v>468</v>
      </c>
    </row>
    <row r="526" customFormat="false" ht="14.25" hidden="false" customHeight="true" outlineLevel="0" collapsed="false">
      <c r="A526" s="51" t="n">
        <v>13016</v>
      </c>
      <c r="B526" s="53" t="n">
        <v>40813.5888888889</v>
      </c>
      <c r="C526" s="57" t="n">
        <f aca="false">INT($C$2)-INT(Table3[[#This Row],[Last Purchase Date]])</f>
        <v>74</v>
      </c>
      <c r="D526" s="1" t="n">
        <v>3</v>
      </c>
      <c r="E526" s="1" t="n">
        <v>789.89</v>
      </c>
      <c r="F526" s="1" t="n">
        <f aca="false">ROUND((1-_xlfn.PERCENTRANK.INC($C$7:$C$4378,C526))*9,0)</f>
        <v>3</v>
      </c>
      <c r="G526" s="1" t="n">
        <f aca="false">ROUND(_xlfn.PERCENTRANK.INC($D$7:$D$4378,D526)*9,0)</f>
        <v>4</v>
      </c>
      <c r="H526" s="1" t="n">
        <f aca="false">ROUND(_xlfn.PERCENTRANK.INC($E$7:$E$4378,E526)*9,0)</f>
        <v>5</v>
      </c>
      <c r="I526" s="1" t="str">
        <f aca="false">CONCATENATE(F526,G526,H526)</f>
        <v>345</v>
      </c>
      <c r="J526" s="1" t="str">
        <f aca="false">_xlfn.IFS(AND(F526&gt;=8,G526&gt;=8,H526&gt;=8),"CHAMPION",AND(F526&gt;=6,G526&gt;=7,H526&gt;=6),"LOYAL CUSTOMER",AND(F526&gt;=6,G526&gt;=5,H526&gt;=5),"POTENTIAL LOYALIST",AND(F526&gt;=8,G526&lt;=2,H526&gt;=5),"NEW CUSTOMERS",AND(F526&gt;=6,G526&lt;=2,H526&gt;=3),"PROMISING",AND(F526&gt;=3,G526&gt;=3,H526&gt;=3),"NEED ATTENTION",AND(F526&lt;=4,G526&gt;=6,H526&gt;=6),"AT RISK",AND(F526&lt;=2,G526&gt;=8,H526&gt;=8),"CAN'T LOSE THEM",AND(F526&lt;=2,G526&lt;=2,H526&lt;=2),"HIBERNATING",TRUE(),"Other")</f>
        <v>NEED ATTENTION</v>
      </c>
      <c r="K526" s="1" t="n">
        <f aca="false">RANK(E526,$E$7:$E$4378)+COUNTIF($E$7:E526,E526)-1</f>
        <v>1910</v>
      </c>
    </row>
    <row r="527" customFormat="false" ht="14.25" hidden="false" customHeight="true" outlineLevel="0" collapsed="false">
      <c r="A527" s="51" t="n">
        <v>13017</v>
      </c>
      <c r="B527" s="53" t="n">
        <v>40879.6618055556</v>
      </c>
      <c r="C527" s="57" t="n">
        <f aca="false">INT($C$2)-INT(Table3[[#This Row],[Last Purchase Date]])</f>
        <v>8</v>
      </c>
      <c r="D527" s="1" t="n">
        <v>1</v>
      </c>
      <c r="E527" s="1" t="n">
        <v>204</v>
      </c>
      <c r="F527" s="1" t="n">
        <f aca="false">ROUND((1-_xlfn.PERCENTRANK.INC($C$7:$C$4378,C527))*9,0)</f>
        <v>8</v>
      </c>
      <c r="G527" s="1" t="n">
        <f aca="false">ROUND(_xlfn.PERCENTRANK.INC($D$7:$D$4378,D527)*9,0)</f>
        <v>0</v>
      </c>
      <c r="H527" s="1" t="n">
        <f aca="false">ROUND(_xlfn.PERCENTRANK.INC($E$7:$E$4378,E527)*9,0)</f>
        <v>2</v>
      </c>
      <c r="I527" s="1" t="str">
        <f aca="false">CONCATENATE(F527,G527,H527)</f>
        <v>802</v>
      </c>
      <c r="J527" s="1" t="str">
        <f aca="false">_xlfn.IFS(AND(F527&gt;=8,G527&gt;=8,H527&gt;=8),"CHAMPION",AND(F527&gt;=6,G527&gt;=7,H527&gt;=6),"LOYAL CUSTOMER",AND(F527&gt;=6,G527&gt;=5,H527&gt;=5),"POTENTIAL LOYALIST",AND(F527&gt;=8,G527&lt;=2,H527&gt;=5),"NEW CUSTOMERS",AND(F527&gt;=6,G527&lt;=2,H527&gt;=3),"PROMISING",AND(F527&gt;=3,G527&gt;=3,H527&gt;=3),"NEED ATTENTION",AND(F527&lt;=4,G527&gt;=6,H527&gt;=6),"AT RISK",AND(F527&lt;=2,G527&gt;=8,H527&gt;=8),"CAN'T LOSE THEM",AND(F527&lt;=2,G527&lt;=2,H527&lt;=2),"HIBERNATING",TRUE(),"Other")</f>
        <v>Other</v>
      </c>
      <c r="K527" s="1" t="n">
        <f aca="false">RANK(E527,$E$7:$E$4378)+COUNTIF($E$7:E527,E527)-1</f>
        <v>3641</v>
      </c>
    </row>
    <row r="528" customFormat="false" ht="14.25" hidden="false" customHeight="true" outlineLevel="0" collapsed="false">
      <c r="A528" s="51" t="n">
        <v>13018</v>
      </c>
      <c r="B528" s="53" t="n">
        <v>40870.5611111111</v>
      </c>
      <c r="C528" s="57" t="n">
        <f aca="false">INT($C$2)-INT(Table3[[#This Row],[Last Purchase Date]])</f>
        <v>17</v>
      </c>
      <c r="D528" s="1" t="n">
        <v>29</v>
      </c>
      <c r="E528" s="1" t="n">
        <v>7272.75</v>
      </c>
      <c r="F528" s="1" t="n">
        <f aca="false">ROUND((1-_xlfn.PERCENTRANK.INC($C$7:$C$4378,C528))*9,0)</f>
        <v>7</v>
      </c>
      <c r="G528" s="1" t="n">
        <f aca="false">ROUND(_xlfn.PERCENTRANK.INC($D$7:$D$4378,D528)*9,0)</f>
        <v>9</v>
      </c>
      <c r="H528" s="1" t="n">
        <f aca="false">ROUND(_xlfn.PERCENTRANK.INC($E$7:$E$4378,E528)*9,0)</f>
        <v>9</v>
      </c>
      <c r="I528" s="1" t="str">
        <f aca="false">CONCATENATE(F528,G528,H528)</f>
        <v>799</v>
      </c>
      <c r="J528" s="1" t="str">
        <f aca="false">_xlfn.IFS(AND(F528&gt;=8,G528&gt;=8,H528&gt;=8),"CHAMPION",AND(F528&gt;=6,G528&gt;=7,H528&gt;=6),"LOYAL CUSTOMER",AND(F528&gt;=6,G528&gt;=5,H528&gt;=5),"POTENTIAL LOYALIST",AND(F528&gt;=8,G528&lt;=2,H528&gt;=5),"NEW CUSTOMERS",AND(F528&gt;=6,G528&lt;=2,H528&gt;=3),"PROMISING",AND(F528&gt;=3,G528&gt;=3,H528&gt;=3),"NEED ATTENTION",AND(F528&lt;=4,G528&gt;=6,H528&gt;=6),"AT RISK",AND(F528&lt;=2,G528&gt;=8,H528&gt;=8),"CAN'T LOSE THEM",AND(F528&lt;=2,G528&lt;=2,H528&lt;=2),"HIBERNATING",TRUE(),"Other")</f>
        <v>LOYAL CUSTOMER</v>
      </c>
      <c r="K528" s="1" t="n">
        <f aca="false">RANK(E528,$E$7:$E$4378)+COUNTIF($E$7:E528,E528)-1</f>
        <v>145</v>
      </c>
    </row>
    <row r="529" customFormat="false" ht="14.25" hidden="false" customHeight="true" outlineLevel="0" collapsed="false">
      <c r="A529" s="51" t="n">
        <v>13021</v>
      </c>
      <c r="B529" s="53" t="n">
        <v>40882.6923611111</v>
      </c>
      <c r="C529" s="57" t="n">
        <f aca="false">INT($C$2)-INT(Table3[[#This Row],[Last Purchase Date]])</f>
        <v>5</v>
      </c>
      <c r="D529" s="1" t="n">
        <v>12</v>
      </c>
      <c r="E529" s="1" t="n">
        <v>2584.4</v>
      </c>
      <c r="F529" s="1" t="n">
        <f aca="false">ROUND((1-_xlfn.PERCENTRANK.INC($C$7:$C$4378,C529))*9,0)</f>
        <v>8</v>
      </c>
      <c r="G529" s="1" t="n">
        <f aca="false">ROUND(_xlfn.PERCENTRANK.INC($D$7:$D$4378,D529)*9,0)</f>
        <v>8</v>
      </c>
      <c r="H529" s="1" t="n">
        <f aca="false">ROUND(_xlfn.PERCENTRANK.INC($E$7:$E$4378,E529)*9,0)</f>
        <v>8</v>
      </c>
      <c r="I529" s="1" t="str">
        <f aca="false">CONCATENATE(F529,G529,H529)</f>
        <v>888</v>
      </c>
      <c r="J529" s="1" t="str">
        <f aca="false">_xlfn.IFS(AND(F529&gt;=8,G529&gt;=8,H529&gt;=8),"CHAMPION",AND(F529&gt;=6,G529&gt;=7,H529&gt;=6),"LOYAL CUSTOMER",AND(F529&gt;=6,G529&gt;=5,H529&gt;=5),"POTENTIAL LOYALIST",AND(F529&gt;=8,G529&lt;=2,H529&gt;=5),"NEW CUSTOMERS",AND(F529&gt;=6,G529&lt;=2,H529&gt;=3),"PROMISING",AND(F529&gt;=3,G529&gt;=3,H529&gt;=3),"NEED ATTENTION",AND(F529&lt;=4,G529&gt;=6,H529&gt;=6),"AT RISK",AND(F529&lt;=2,G529&gt;=8,H529&gt;=8),"CAN'T LOSE THEM",AND(F529&lt;=2,G529&lt;=2,H529&lt;=2),"HIBERNATING",TRUE(),"Other")</f>
        <v>CHAMPION</v>
      </c>
      <c r="K529" s="1" t="n">
        <f aca="false">RANK(E529,$E$7:$E$4378)+COUNTIF($E$7:E529,E529)-1</f>
        <v>654</v>
      </c>
    </row>
    <row r="530" customFormat="false" ht="14.25" hidden="false" customHeight="true" outlineLevel="0" collapsed="false">
      <c r="A530" s="51" t="n">
        <v>13023</v>
      </c>
      <c r="B530" s="53" t="n">
        <v>40822.6854166667</v>
      </c>
      <c r="C530" s="57" t="n">
        <f aca="false">INT($C$2)-INT(Table3[[#This Row],[Last Purchase Date]])</f>
        <v>65</v>
      </c>
      <c r="D530" s="1" t="n">
        <v>2</v>
      </c>
      <c r="E530" s="1" t="n">
        <v>689.9</v>
      </c>
      <c r="F530" s="1" t="n">
        <f aca="false">ROUND((1-_xlfn.PERCENTRANK.INC($C$7:$C$4378,C530))*9,0)</f>
        <v>4</v>
      </c>
      <c r="G530" s="1" t="n">
        <f aca="false">ROUND(_xlfn.PERCENTRANK.INC($D$7:$D$4378,D530)*9,0)</f>
        <v>3</v>
      </c>
      <c r="H530" s="1" t="n">
        <f aca="false">ROUND(_xlfn.PERCENTRANK.INC($E$7:$E$4378,E530)*9,0)</f>
        <v>5</v>
      </c>
      <c r="I530" s="1" t="str">
        <f aca="false">CONCATENATE(F530,G530,H530)</f>
        <v>435</v>
      </c>
      <c r="J530" s="1" t="str">
        <f aca="false">_xlfn.IFS(AND(F530&gt;=8,G530&gt;=8,H530&gt;=8),"CHAMPION",AND(F530&gt;=6,G530&gt;=7,H530&gt;=6),"LOYAL CUSTOMER",AND(F530&gt;=6,G530&gt;=5,H530&gt;=5),"POTENTIAL LOYALIST",AND(F530&gt;=8,G530&lt;=2,H530&gt;=5),"NEW CUSTOMERS",AND(F530&gt;=6,G530&lt;=2,H530&gt;=3),"PROMISING",AND(F530&gt;=3,G530&gt;=3,H530&gt;=3),"NEED ATTENTION",AND(F530&lt;=4,G530&gt;=6,H530&gt;=6),"AT RISK",AND(F530&lt;=2,G530&gt;=8,H530&gt;=8),"CAN'T LOSE THEM",AND(F530&lt;=2,G530&lt;=2,H530&lt;=2),"HIBERNATING",TRUE(),"Other")</f>
        <v>NEED ATTENTION</v>
      </c>
      <c r="K530" s="1" t="n">
        <f aca="false">RANK(E530,$E$7:$E$4378)+COUNTIF($E$7:E530,E530)-1</f>
        <v>2082</v>
      </c>
    </row>
    <row r="531" customFormat="false" ht="14.25" hidden="false" customHeight="true" outlineLevel="0" collapsed="false">
      <c r="A531" s="51" t="n">
        <v>13026</v>
      </c>
      <c r="B531" s="53" t="n">
        <v>40885.7069444444</v>
      </c>
      <c r="C531" s="57" t="n">
        <f aca="false">INT($C$2)-INT(Table3[[#This Row],[Last Purchase Date]])</f>
        <v>2</v>
      </c>
      <c r="D531" s="1" t="n">
        <v>8</v>
      </c>
      <c r="E531" s="1" t="n">
        <v>936.15</v>
      </c>
      <c r="F531" s="1" t="n">
        <f aca="false">ROUND((1-_xlfn.PERCENTRANK.INC($C$7:$C$4378,C531))*9,0)</f>
        <v>9</v>
      </c>
      <c r="G531" s="1" t="n">
        <f aca="false">ROUND(_xlfn.PERCENTRANK.INC($D$7:$D$4378,D531)*9,0)</f>
        <v>7</v>
      </c>
      <c r="H531" s="1" t="n">
        <f aca="false">ROUND(_xlfn.PERCENTRANK.INC($E$7:$E$4378,E531)*9,0)</f>
        <v>5</v>
      </c>
      <c r="I531" s="1" t="str">
        <f aca="false">CONCATENATE(F531,G531,H531)</f>
        <v>975</v>
      </c>
      <c r="J531" s="1" t="str">
        <f aca="false">_xlfn.IFS(AND(F531&gt;=8,G531&gt;=8,H531&gt;=8),"CHAMPION",AND(F531&gt;=6,G531&gt;=7,H531&gt;=6),"LOYAL CUSTOMER",AND(F531&gt;=6,G531&gt;=5,H531&gt;=5),"POTENTIAL LOYALIST",AND(F531&gt;=8,G531&lt;=2,H531&gt;=5),"NEW CUSTOMERS",AND(F531&gt;=6,G531&lt;=2,H531&gt;=3),"PROMISING",AND(F531&gt;=3,G531&gt;=3,H531&gt;=3),"NEED ATTENTION",AND(F531&lt;=4,G531&gt;=6,H531&gt;=6),"AT RISK",AND(F531&lt;=2,G531&gt;=8,H531&gt;=8),"CAN'T LOSE THEM",AND(F531&lt;=2,G531&lt;=2,H531&lt;=2),"HIBERNATING",TRUE(),"Other")</f>
        <v>POTENTIAL LOYALIST</v>
      </c>
      <c r="K531" s="1" t="n">
        <f aca="false">RANK(E531,$E$7:$E$4378)+COUNTIF($E$7:E531,E531)-1</f>
        <v>1713</v>
      </c>
    </row>
    <row r="532" customFormat="false" ht="14.25" hidden="false" customHeight="true" outlineLevel="0" collapsed="false">
      <c r="A532" s="51" t="n">
        <v>13027</v>
      </c>
      <c r="B532" s="53" t="n">
        <v>40773.4020833333</v>
      </c>
      <c r="C532" s="57" t="n">
        <f aca="false">INT($C$2)-INT(Table3[[#This Row],[Last Purchase Date]])</f>
        <v>114</v>
      </c>
      <c r="D532" s="1" t="n">
        <v>6</v>
      </c>
      <c r="E532" s="1" t="n">
        <v>6912</v>
      </c>
      <c r="F532" s="1" t="n">
        <f aca="false">ROUND((1-_xlfn.PERCENTRANK.INC($C$7:$C$4378,C532))*9,0)</f>
        <v>3</v>
      </c>
      <c r="G532" s="1" t="n">
        <f aca="false">ROUND(_xlfn.PERCENTRANK.INC($D$7:$D$4378,D532)*9,0)</f>
        <v>7</v>
      </c>
      <c r="H532" s="1" t="n">
        <f aca="false">ROUND(_xlfn.PERCENTRANK.INC($E$7:$E$4378,E532)*9,0)</f>
        <v>9</v>
      </c>
      <c r="I532" s="1" t="str">
        <f aca="false">CONCATENATE(F532,G532,H532)</f>
        <v>379</v>
      </c>
      <c r="J532" s="1" t="str">
        <f aca="false">_xlfn.IFS(AND(F532&gt;=8,G532&gt;=8,H532&gt;=8),"CHAMPION",AND(F532&gt;=6,G532&gt;=7,H532&gt;=6),"LOYAL CUSTOMER",AND(F532&gt;=6,G532&gt;=5,H532&gt;=5),"POTENTIAL LOYALIST",AND(F532&gt;=8,G532&lt;=2,H532&gt;=5),"NEW CUSTOMERS",AND(F532&gt;=6,G532&lt;=2,H532&gt;=3),"PROMISING",AND(F532&gt;=3,G532&gt;=3,H532&gt;=3),"NEED ATTENTION",AND(F532&lt;=4,G532&gt;=6,H532&gt;=6),"AT RISK",AND(F532&lt;=2,G532&gt;=8,H532&gt;=8),"CAN'T LOSE THEM",AND(F532&lt;=2,G532&lt;=2,H532&lt;=2),"HIBERNATING",TRUE(),"Other")</f>
        <v>NEED ATTENTION</v>
      </c>
      <c r="K532" s="1" t="n">
        <f aca="false">RANK(E532,$E$7:$E$4378)+COUNTIF($E$7:E532,E532)-1</f>
        <v>158</v>
      </c>
    </row>
    <row r="533" customFormat="false" ht="14.25" hidden="false" customHeight="true" outlineLevel="0" collapsed="false">
      <c r="A533" s="51" t="n">
        <v>13028</v>
      </c>
      <c r="B533" s="53" t="n">
        <v>40864.4652777778</v>
      </c>
      <c r="C533" s="57" t="n">
        <f aca="false">INT($C$2)-INT(Table3[[#This Row],[Last Purchase Date]])</f>
        <v>23</v>
      </c>
      <c r="D533" s="1" t="n">
        <v>3</v>
      </c>
      <c r="E533" s="1" t="n">
        <v>659.68</v>
      </c>
      <c r="F533" s="1" t="n">
        <f aca="false">ROUND((1-_xlfn.PERCENTRANK.INC($C$7:$C$4378,C533))*9,0)</f>
        <v>6</v>
      </c>
      <c r="G533" s="1" t="n">
        <f aca="false">ROUND(_xlfn.PERCENTRANK.INC($D$7:$D$4378,D533)*9,0)</f>
        <v>4</v>
      </c>
      <c r="H533" s="1" t="n">
        <f aca="false">ROUND(_xlfn.PERCENTRANK.INC($E$7:$E$4378,E533)*9,0)</f>
        <v>5</v>
      </c>
      <c r="I533" s="1" t="str">
        <f aca="false">CONCATENATE(F533,G533,H533)</f>
        <v>645</v>
      </c>
      <c r="J533" s="1" t="str">
        <f aca="false">_xlfn.IFS(AND(F533&gt;=8,G533&gt;=8,H533&gt;=8),"CHAMPION",AND(F533&gt;=6,G533&gt;=7,H533&gt;=6),"LOYAL CUSTOMER",AND(F533&gt;=6,G533&gt;=5,H533&gt;=5),"POTENTIAL LOYALIST",AND(F533&gt;=8,G533&lt;=2,H533&gt;=5),"NEW CUSTOMERS",AND(F533&gt;=6,G533&lt;=2,H533&gt;=3),"PROMISING",AND(F533&gt;=3,G533&gt;=3,H533&gt;=3),"NEED ATTENTION",AND(F533&lt;=4,G533&gt;=6,H533&gt;=6),"AT RISK",AND(F533&lt;=2,G533&gt;=8,H533&gt;=8),"CAN'T LOSE THEM",AND(F533&lt;=2,G533&lt;=2,H533&lt;=2),"HIBERNATING",TRUE(),"Other")</f>
        <v>NEED ATTENTION</v>
      </c>
      <c r="K533" s="1" t="n">
        <f aca="false">RANK(E533,$E$7:$E$4378)+COUNTIF($E$7:E533,E533)-1</f>
        <v>2153</v>
      </c>
    </row>
    <row r="534" customFormat="false" ht="14.25" hidden="false" customHeight="true" outlineLevel="0" collapsed="false">
      <c r="A534" s="51" t="n">
        <v>13029</v>
      </c>
      <c r="B534" s="53" t="n">
        <v>40856.3840277778</v>
      </c>
      <c r="C534" s="57" t="n">
        <f aca="false">INT($C$2)-INT(Table3[[#This Row],[Last Purchase Date]])</f>
        <v>31</v>
      </c>
      <c r="D534" s="1" t="n">
        <v>3</v>
      </c>
      <c r="E534" s="1" t="n">
        <v>1247.5</v>
      </c>
      <c r="F534" s="1" t="n">
        <f aca="false">ROUND((1-_xlfn.PERCENTRANK.INC($C$7:$C$4378,C534))*9,0)</f>
        <v>6</v>
      </c>
      <c r="G534" s="1" t="n">
        <f aca="false">ROUND(_xlfn.PERCENTRANK.INC($D$7:$D$4378,D534)*9,0)</f>
        <v>4</v>
      </c>
      <c r="H534" s="1" t="n">
        <f aca="false">ROUND(_xlfn.PERCENTRANK.INC($E$7:$E$4378,E534)*9,0)</f>
        <v>6</v>
      </c>
      <c r="I534" s="1" t="str">
        <f aca="false">CONCATENATE(F534,G534,H534)</f>
        <v>646</v>
      </c>
      <c r="J534" s="1" t="str">
        <f aca="false">_xlfn.IFS(AND(F534&gt;=8,G534&gt;=8,H534&gt;=8),"CHAMPION",AND(F534&gt;=6,G534&gt;=7,H534&gt;=6),"LOYAL CUSTOMER",AND(F534&gt;=6,G534&gt;=5,H534&gt;=5),"POTENTIAL LOYALIST",AND(F534&gt;=8,G534&lt;=2,H534&gt;=5),"NEW CUSTOMERS",AND(F534&gt;=6,G534&lt;=2,H534&gt;=3),"PROMISING",AND(F534&gt;=3,G534&gt;=3,H534&gt;=3),"NEED ATTENTION",AND(F534&lt;=4,G534&gt;=6,H534&gt;=6),"AT RISK",AND(F534&lt;=2,G534&gt;=8,H534&gt;=8),"CAN'T LOSE THEM",AND(F534&lt;=2,G534&lt;=2,H534&lt;=2),"HIBERNATING",TRUE(),"Other")</f>
        <v>NEED ATTENTION</v>
      </c>
      <c r="K534" s="1" t="n">
        <f aca="false">RANK(E534,$E$7:$E$4378)+COUNTIF($E$7:E534,E534)-1</f>
        <v>1379</v>
      </c>
    </row>
    <row r="535" customFormat="false" ht="14.25" hidden="false" customHeight="true" outlineLevel="0" collapsed="false">
      <c r="A535" s="51" t="n">
        <v>13030</v>
      </c>
      <c r="B535" s="53" t="n">
        <v>40875.6041666667</v>
      </c>
      <c r="C535" s="57" t="n">
        <f aca="false">INT($C$2)-INT(Table3[[#This Row],[Last Purchase Date]])</f>
        <v>12</v>
      </c>
      <c r="D535" s="1" t="n">
        <v>2</v>
      </c>
      <c r="E535" s="1" t="n">
        <v>799.48</v>
      </c>
      <c r="F535" s="1" t="n">
        <f aca="false">ROUND((1-_xlfn.PERCENTRANK.INC($C$7:$C$4378,C535))*9,0)</f>
        <v>7</v>
      </c>
      <c r="G535" s="1" t="n">
        <f aca="false">ROUND(_xlfn.PERCENTRANK.INC($D$7:$D$4378,D535)*9,0)</f>
        <v>3</v>
      </c>
      <c r="H535" s="1" t="n">
        <f aca="false">ROUND(_xlfn.PERCENTRANK.INC($E$7:$E$4378,E535)*9,0)</f>
        <v>5</v>
      </c>
      <c r="I535" s="1" t="str">
        <f aca="false">CONCATENATE(F535,G535,H535)</f>
        <v>735</v>
      </c>
      <c r="J535" s="1" t="str">
        <f aca="false">_xlfn.IFS(AND(F535&gt;=8,G535&gt;=8,H535&gt;=8),"CHAMPION",AND(F535&gt;=6,G535&gt;=7,H535&gt;=6),"LOYAL CUSTOMER",AND(F535&gt;=6,G535&gt;=5,H535&gt;=5),"POTENTIAL LOYALIST",AND(F535&gt;=8,G535&lt;=2,H535&gt;=5),"NEW CUSTOMERS",AND(F535&gt;=6,G535&lt;=2,H535&gt;=3),"PROMISING",AND(F535&gt;=3,G535&gt;=3,H535&gt;=3),"NEED ATTENTION",AND(F535&lt;=4,G535&gt;=6,H535&gt;=6),"AT RISK",AND(F535&lt;=2,G535&gt;=8,H535&gt;=8),"CAN'T LOSE THEM",AND(F535&lt;=2,G535&lt;=2,H535&lt;=2),"HIBERNATING",TRUE(),"Other")</f>
        <v>NEED ATTENTION</v>
      </c>
      <c r="K535" s="1" t="n">
        <f aca="false">RANK(E535,$E$7:$E$4378)+COUNTIF($E$7:E535,E535)-1</f>
        <v>1902</v>
      </c>
    </row>
    <row r="536" customFormat="false" ht="14.25" hidden="false" customHeight="true" outlineLevel="0" collapsed="false">
      <c r="A536" s="51" t="n">
        <v>13032</v>
      </c>
      <c r="B536" s="53" t="n">
        <v>40848.4138888889</v>
      </c>
      <c r="C536" s="57" t="n">
        <f aca="false">INT($C$2)-INT(Table3[[#This Row],[Last Purchase Date]])</f>
        <v>39</v>
      </c>
      <c r="D536" s="1" t="n">
        <v>3</v>
      </c>
      <c r="E536" s="1" t="n">
        <v>996.52</v>
      </c>
      <c r="F536" s="1" t="n">
        <f aca="false">ROUND((1-_xlfn.PERCENTRANK.INC($C$7:$C$4378,C536))*9,0)</f>
        <v>5</v>
      </c>
      <c r="G536" s="1" t="n">
        <f aca="false">ROUND(_xlfn.PERCENTRANK.INC($D$7:$D$4378,D536)*9,0)</f>
        <v>4</v>
      </c>
      <c r="H536" s="1" t="n">
        <f aca="false">ROUND(_xlfn.PERCENTRANK.INC($E$7:$E$4378,E536)*9,0)</f>
        <v>6</v>
      </c>
      <c r="I536" s="1" t="str">
        <f aca="false">CONCATENATE(F536,G536,H536)</f>
        <v>546</v>
      </c>
      <c r="J536" s="1" t="str">
        <f aca="false">_xlfn.IFS(AND(F536&gt;=8,G536&gt;=8,H536&gt;=8),"CHAMPION",AND(F536&gt;=6,G536&gt;=7,H536&gt;=6),"LOYAL CUSTOMER",AND(F536&gt;=6,G536&gt;=5,H536&gt;=5),"POTENTIAL LOYALIST",AND(F536&gt;=8,G536&lt;=2,H536&gt;=5),"NEW CUSTOMERS",AND(F536&gt;=6,G536&lt;=2,H536&gt;=3),"PROMISING",AND(F536&gt;=3,G536&gt;=3,H536&gt;=3),"NEED ATTENTION",AND(F536&lt;=4,G536&gt;=6,H536&gt;=6),"AT RISK",AND(F536&lt;=2,G536&gt;=8,H536&gt;=8),"CAN'T LOSE THEM",AND(F536&lt;=2,G536&lt;=2,H536&lt;=2),"HIBERNATING",TRUE(),"Other")</f>
        <v>NEED ATTENTION</v>
      </c>
      <c r="K536" s="1" t="n">
        <f aca="false">RANK(E536,$E$7:$E$4378)+COUNTIF($E$7:E536,E536)-1</f>
        <v>1637</v>
      </c>
    </row>
    <row r="537" customFormat="false" ht="14.25" hidden="false" customHeight="true" outlineLevel="0" collapsed="false">
      <c r="A537" s="51" t="n">
        <v>13033</v>
      </c>
      <c r="B537" s="53" t="n">
        <v>40529.5993055556</v>
      </c>
      <c r="C537" s="57" t="n">
        <f aca="false">INT($C$2)-INT(Table3[[#This Row],[Last Purchase Date]])</f>
        <v>358</v>
      </c>
      <c r="D537" s="1" t="n">
        <v>1</v>
      </c>
      <c r="E537" s="1" t="n">
        <v>190.55</v>
      </c>
      <c r="F537" s="1" t="n">
        <f aca="false">ROUND((1-_xlfn.PERCENTRANK.INC($C$7:$C$4378,C537))*9,0)</f>
        <v>0</v>
      </c>
      <c r="G537" s="1" t="n">
        <f aca="false">ROUND(_xlfn.PERCENTRANK.INC($D$7:$D$4378,D537)*9,0)</f>
        <v>0</v>
      </c>
      <c r="H537" s="1" t="n">
        <f aca="false">ROUND(_xlfn.PERCENTRANK.INC($E$7:$E$4378,E537)*9,0)</f>
        <v>1</v>
      </c>
      <c r="I537" s="1" t="str">
        <f aca="false">CONCATENATE(F537,G537,H537)</f>
        <v>001</v>
      </c>
      <c r="J537" s="1" t="str">
        <f aca="false">_xlfn.IFS(AND(F537&gt;=8,G537&gt;=8,H537&gt;=8),"CHAMPION",AND(F537&gt;=6,G537&gt;=7,H537&gt;=6),"LOYAL CUSTOMER",AND(F537&gt;=6,G537&gt;=5,H537&gt;=5),"POTENTIAL LOYALIST",AND(F537&gt;=8,G537&lt;=2,H537&gt;=5),"NEW CUSTOMERS",AND(F537&gt;=6,G537&lt;=2,H537&gt;=3),"PROMISING",AND(F537&gt;=3,G537&gt;=3,H537&gt;=3),"NEED ATTENTION",AND(F537&lt;=4,G537&gt;=6,H537&gt;=6),"AT RISK",AND(F537&lt;=2,G537&gt;=8,H537&gt;=8),"CAN'T LOSE THEM",AND(F537&lt;=2,G537&lt;=2,H537&lt;=2),"HIBERNATING",TRUE(),"Other")</f>
        <v>HIBERNATING</v>
      </c>
      <c r="K537" s="1" t="n">
        <f aca="false">RANK(E537,$E$7:$E$4378)+COUNTIF($E$7:E537,E537)-1</f>
        <v>3704</v>
      </c>
    </row>
    <row r="538" customFormat="false" ht="14.25" hidden="false" customHeight="true" outlineLevel="0" collapsed="false">
      <c r="A538" s="51" t="n">
        <v>13034</v>
      </c>
      <c r="B538" s="53" t="n">
        <v>40832.5145833333</v>
      </c>
      <c r="C538" s="57" t="n">
        <f aca="false">INT($C$2)-INT(Table3[[#This Row],[Last Purchase Date]])</f>
        <v>55</v>
      </c>
      <c r="D538" s="1" t="n">
        <v>2</v>
      </c>
      <c r="E538" s="1" t="n">
        <v>642.77</v>
      </c>
      <c r="F538" s="1" t="n">
        <f aca="false">ROUND((1-_xlfn.PERCENTRANK.INC($C$7:$C$4378,C538))*9,0)</f>
        <v>4</v>
      </c>
      <c r="G538" s="1" t="n">
        <f aca="false">ROUND(_xlfn.PERCENTRANK.INC($D$7:$D$4378,D538)*9,0)</f>
        <v>3</v>
      </c>
      <c r="H538" s="1" t="n">
        <f aca="false">ROUND(_xlfn.PERCENTRANK.INC($E$7:$E$4378,E538)*9,0)</f>
        <v>4</v>
      </c>
      <c r="I538" s="1" t="str">
        <f aca="false">CONCATENATE(F538,G538,H538)</f>
        <v>434</v>
      </c>
      <c r="J538" s="1" t="str">
        <f aca="false">_xlfn.IFS(AND(F538&gt;=8,G538&gt;=8,H538&gt;=8),"CHAMPION",AND(F538&gt;=6,G538&gt;=7,H538&gt;=6),"LOYAL CUSTOMER",AND(F538&gt;=6,G538&gt;=5,H538&gt;=5),"POTENTIAL LOYALIST",AND(F538&gt;=8,G538&lt;=2,H538&gt;=5),"NEW CUSTOMERS",AND(F538&gt;=6,G538&lt;=2,H538&gt;=3),"PROMISING",AND(F538&gt;=3,G538&gt;=3,H538&gt;=3),"NEED ATTENTION",AND(F538&lt;=4,G538&gt;=6,H538&gt;=6),"AT RISK",AND(F538&lt;=2,G538&gt;=8,H538&gt;=8),"CAN'T LOSE THEM",AND(F538&lt;=2,G538&lt;=2,H538&lt;=2),"HIBERNATING",TRUE(),"Other")</f>
        <v>NEED ATTENTION</v>
      </c>
      <c r="K538" s="1" t="n">
        <f aca="false">RANK(E538,$E$7:$E$4378)+COUNTIF($E$7:E538,E538)-1</f>
        <v>2201</v>
      </c>
    </row>
    <row r="539" customFormat="false" ht="14.25" hidden="false" customHeight="true" outlineLevel="0" collapsed="false">
      <c r="A539" s="51" t="n">
        <v>13035</v>
      </c>
      <c r="B539" s="53" t="n">
        <v>40829.5159722222</v>
      </c>
      <c r="C539" s="57" t="n">
        <f aca="false">INT($C$2)-INT(Table3[[#This Row],[Last Purchase Date]])</f>
        <v>58</v>
      </c>
      <c r="D539" s="1" t="n">
        <v>3</v>
      </c>
      <c r="E539" s="1" t="n">
        <v>886.63</v>
      </c>
      <c r="F539" s="1" t="n">
        <f aca="false">ROUND((1-_xlfn.PERCENTRANK.INC($C$7:$C$4378,C539))*9,0)</f>
        <v>4</v>
      </c>
      <c r="G539" s="1" t="n">
        <f aca="false">ROUND(_xlfn.PERCENTRANK.INC($D$7:$D$4378,D539)*9,0)</f>
        <v>4</v>
      </c>
      <c r="H539" s="1" t="n">
        <f aca="false">ROUND(_xlfn.PERCENTRANK.INC($E$7:$E$4378,E539)*9,0)</f>
        <v>5</v>
      </c>
      <c r="I539" s="1" t="str">
        <f aca="false">CONCATENATE(F539,G539,H539)</f>
        <v>445</v>
      </c>
      <c r="J539" s="1" t="str">
        <f aca="false">_xlfn.IFS(AND(F539&gt;=8,G539&gt;=8,H539&gt;=8),"CHAMPION",AND(F539&gt;=6,G539&gt;=7,H539&gt;=6),"LOYAL CUSTOMER",AND(F539&gt;=6,G539&gt;=5,H539&gt;=5),"POTENTIAL LOYALIST",AND(F539&gt;=8,G539&lt;=2,H539&gt;=5),"NEW CUSTOMERS",AND(F539&gt;=6,G539&lt;=2,H539&gt;=3),"PROMISING",AND(F539&gt;=3,G539&gt;=3,H539&gt;=3),"NEED ATTENTION",AND(F539&lt;=4,G539&gt;=6,H539&gt;=6),"AT RISK",AND(F539&lt;=2,G539&gt;=8,H539&gt;=8),"CAN'T LOSE THEM",AND(F539&lt;=2,G539&lt;=2,H539&lt;=2),"HIBERNATING",TRUE(),"Other")</f>
        <v>NEED ATTENTION</v>
      </c>
      <c r="K539" s="1" t="n">
        <f aca="false">RANK(E539,$E$7:$E$4378)+COUNTIF($E$7:E539,E539)-1</f>
        <v>1779</v>
      </c>
    </row>
    <row r="540" customFormat="false" ht="14.25" hidden="false" customHeight="true" outlineLevel="0" collapsed="false">
      <c r="A540" s="51" t="n">
        <v>13037</v>
      </c>
      <c r="B540" s="53" t="n">
        <v>40748.6569444445</v>
      </c>
      <c r="C540" s="57" t="n">
        <f aca="false">INT($C$2)-INT(Table3[[#This Row],[Last Purchase Date]])</f>
        <v>139</v>
      </c>
      <c r="D540" s="1" t="n">
        <v>3</v>
      </c>
      <c r="E540" s="1" t="n">
        <v>881.07</v>
      </c>
      <c r="F540" s="1" t="n">
        <f aca="false">ROUND((1-_xlfn.PERCENTRANK.INC($C$7:$C$4378,C540))*9,0)</f>
        <v>2</v>
      </c>
      <c r="G540" s="1" t="n">
        <f aca="false">ROUND(_xlfn.PERCENTRANK.INC($D$7:$D$4378,D540)*9,0)</f>
        <v>4</v>
      </c>
      <c r="H540" s="1" t="n">
        <f aca="false">ROUND(_xlfn.PERCENTRANK.INC($E$7:$E$4378,E540)*9,0)</f>
        <v>5</v>
      </c>
      <c r="I540" s="1" t="str">
        <f aca="false">CONCATENATE(F540,G540,H540)</f>
        <v>245</v>
      </c>
      <c r="J540" s="1" t="str">
        <f aca="false">_xlfn.IFS(AND(F540&gt;=8,G540&gt;=8,H540&gt;=8),"CHAMPION",AND(F540&gt;=6,G540&gt;=7,H540&gt;=6),"LOYAL CUSTOMER",AND(F540&gt;=6,G540&gt;=5,H540&gt;=5),"POTENTIAL LOYALIST",AND(F540&gt;=8,G540&lt;=2,H540&gt;=5),"NEW CUSTOMERS",AND(F540&gt;=6,G540&lt;=2,H540&gt;=3),"PROMISING",AND(F540&gt;=3,G540&gt;=3,H540&gt;=3),"NEED ATTENTION",AND(F540&lt;=4,G540&gt;=6,H540&gt;=6),"AT RISK",AND(F540&lt;=2,G540&gt;=8,H540&gt;=8),"CAN'T LOSE THEM",AND(F540&lt;=2,G540&lt;=2,H540&lt;=2),"HIBERNATING",TRUE(),"Other")</f>
        <v>Other</v>
      </c>
      <c r="K540" s="1" t="n">
        <f aca="false">RANK(E540,$E$7:$E$4378)+COUNTIF($E$7:E540,E540)-1</f>
        <v>1786</v>
      </c>
    </row>
    <row r="541" customFormat="false" ht="14.25" hidden="false" customHeight="true" outlineLevel="0" collapsed="false">
      <c r="A541" s="51" t="n">
        <v>13038</v>
      </c>
      <c r="B541" s="53" t="n">
        <v>40806.6090277778</v>
      </c>
      <c r="C541" s="57" t="n">
        <f aca="false">INT($C$2)-INT(Table3[[#This Row],[Last Purchase Date]])</f>
        <v>81</v>
      </c>
      <c r="D541" s="1" t="n">
        <v>3</v>
      </c>
      <c r="E541" s="1" t="n">
        <v>908.46</v>
      </c>
      <c r="F541" s="1" t="n">
        <f aca="false">ROUND((1-_xlfn.PERCENTRANK.INC($C$7:$C$4378,C541))*9,0)</f>
        <v>3</v>
      </c>
      <c r="G541" s="1" t="n">
        <f aca="false">ROUND(_xlfn.PERCENTRANK.INC($D$7:$D$4378,D541)*9,0)</f>
        <v>4</v>
      </c>
      <c r="H541" s="1" t="n">
        <f aca="false">ROUND(_xlfn.PERCENTRANK.INC($E$7:$E$4378,E541)*9,0)</f>
        <v>5</v>
      </c>
      <c r="I541" s="1" t="str">
        <f aca="false">CONCATENATE(F541,G541,H541)</f>
        <v>345</v>
      </c>
      <c r="J541" s="1" t="str">
        <f aca="false">_xlfn.IFS(AND(F541&gt;=8,G541&gt;=8,H541&gt;=8),"CHAMPION",AND(F541&gt;=6,G541&gt;=7,H541&gt;=6),"LOYAL CUSTOMER",AND(F541&gt;=6,G541&gt;=5,H541&gt;=5),"POTENTIAL LOYALIST",AND(F541&gt;=8,G541&lt;=2,H541&gt;=5),"NEW CUSTOMERS",AND(F541&gt;=6,G541&lt;=2,H541&gt;=3),"PROMISING",AND(F541&gt;=3,G541&gt;=3,H541&gt;=3),"NEED ATTENTION",AND(F541&lt;=4,G541&gt;=6,H541&gt;=6),"AT RISK",AND(F541&lt;=2,G541&gt;=8,H541&gt;=8),"CAN'T LOSE THEM",AND(F541&lt;=2,G541&lt;=2,H541&lt;=2),"HIBERNATING",TRUE(),"Other")</f>
        <v>NEED ATTENTION</v>
      </c>
      <c r="K541" s="1" t="n">
        <f aca="false">RANK(E541,$E$7:$E$4378)+COUNTIF($E$7:E541,E541)-1</f>
        <v>1751</v>
      </c>
    </row>
    <row r="542" customFormat="false" ht="14.25" hidden="false" customHeight="true" outlineLevel="0" collapsed="false">
      <c r="A542" s="51" t="n">
        <v>13040</v>
      </c>
      <c r="B542" s="53" t="n">
        <v>40878.4430555556</v>
      </c>
      <c r="C542" s="57" t="n">
        <f aca="false">INT($C$2)-INT(Table3[[#This Row],[Last Purchase Date]])</f>
        <v>9</v>
      </c>
      <c r="D542" s="1" t="n">
        <v>2</v>
      </c>
      <c r="E542" s="1" t="n">
        <v>676.99</v>
      </c>
      <c r="F542" s="1" t="n">
        <f aca="false">ROUND((1-_xlfn.PERCENTRANK.INC($C$7:$C$4378,C542))*9,0)</f>
        <v>8</v>
      </c>
      <c r="G542" s="1" t="n">
        <f aca="false">ROUND(_xlfn.PERCENTRANK.INC($D$7:$D$4378,D542)*9,0)</f>
        <v>3</v>
      </c>
      <c r="H542" s="1" t="n">
        <f aca="false">ROUND(_xlfn.PERCENTRANK.INC($E$7:$E$4378,E542)*9,0)</f>
        <v>5</v>
      </c>
      <c r="I542" s="1" t="str">
        <f aca="false">CONCATENATE(F542,G542,H542)</f>
        <v>835</v>
      </c>
      <c r="J542" s="1" t="str">
        <f aca="false">_xlfn.IFS(AND(F542&gt;=8,G542&gt;=8,H542&gt;=8),"CHAMPION",AND(F542&gt;=6,G542&gt;=7,H542&gt;=6),"LOYAL CUSTOMER",AND(F542&gt;=6,G542&gt;=5,H542&gt;=5),"POTENTIAL LOYALIST",AND(F542&gt;=8,G542&lt;=2,H542&gt;=5),"NEW CUSTOMERS",AND(F542&gt;=6,G542&lt;=2,H542&gt;=3),"PROMISING",AND(F542&gt;=3,G542&gt;=3,H542&gt;=3),"NEED ATTENTION",AND(F542&lt;=4,G542&gt;=6,H542&gt;=6),"AT RISK",AND(F542&lt;=2,G542&gt;=8,H542&gt;=8),"CAN'T LOSE THEM",AND(F542&lt;=2,G542&lt;=2,H542&lt;=2),"HIBERNATING",TRUE(),"Other")</f>
        <v>NEED ATTENTION</v>
      </c>
      <c r="K542" s="1" t="n">
        <f aca="false">RANK(E542,$E$7:$E$4378)+COUNTIF($E$7:E542,E542)-1</f>
        <v>2112</v>
      </c>
    </row>
    <row r="543" customFormat="false" ht="14.25" hidden="false" customHeight="true" outlineLevel="0" collapsed="false">
      <c r="A543" s="51" t="n">
        <v>13043</v>
      </c>
      <c r="B543" s="53" t="n">
        <v>40633.5097222222</v>
      </c>
      <c r="C543" s="57" t="n">
        <f aca="false">INT($C$2)-INT(Table3[[#This Row],[Last Purchase Date]])</f>
        <v>254</v>
      </c>
      <c r="D543" s="1" t="n">
        <v>2</v>
      </c>
      <c r="E543" s="1" t="n">
        <v>471.57</v>
      </c>
      <c r="F543" s="1" t="n">
        <f aca="false">ROUND((1-_xlfn.PERCENTRANK.INC($C$7:$C$4378,C543))*9,0)</f>
        <v>1</v>
      </c>
      <c r="G543" s="1" t="n">
        <f aca="false">ROUND(_xlfn.PERCENTRANK.INC($D$7:$D$4378,D543)*9,0)</f>
        <v>3</v>
      </c>
      <c r="H543" s="1" t="n">
        <f aca="false">ROUND(_xlfn.PERCENTRANK.INC($E$7:$E$4378,E543)*9,0)</f>
        <v>4</v>
      </c>
      <c r="I543" s="1" t="str">
        <f aca="false">CONCATENATE(F543,G543,H543)</f>
        <v>134</v>
      </c>
      <c r="J543" s="1" t="str">
        <f aca="false">_xlfn.IFS(AND(F543&gt;=8,G543&gt;=8,H543&gt;=8),"CHAMPION",AND(F543&gt;=6,G543&gt;=7,H543&gt;=6),"LOYAL CUSTOMER",AND(F543&gt;=6,G543&gt;=5,H543&gt;=5),"POTENTIAL LOYALIST",AND(F543&gt;=8,G543&lt;=2,H543&gt;=5),"NEW CUSTOMERS",AND(F543&gt;=6,G543&lt;=2,H543&gt;=3),"PROMISING",AND(F543&gt;=3,G543&gt;=3,H543&gt;=3),"NEED ATTENTION",AND(F543&lt;=4,G543&gt;=6,H543&gt;=6),"AT RISK",AND(F543&lt;=2,G543&gt;=8,H543&gt;=8),"CAN'T LOSE THEM",AND(F543&lt;=2,G543&lt;=2,H543&lt;=2),"HIBERNATING",TRUE(),"Other")</f>
        <v>Other</v>
      </c>
      <c r="K543" s="1" t="n">
        <f aca="false">RANK(E543,$E$7:$E$4378)+COUNTIF($E$7:E543,E543)-1</f>
        <v>2611</v>
      </c>
    </row>
    <row r="544" customFormat="false" ht="14.25" hidden="false" customHeight="true" outlineLevel="0" collapsed="false">
      <c r="A544" s="51" t="n">
        <v>13044</v>
      </c>
      <c r="B544" s="53" t="n">
        <v>40595.6388888889</v>
      </c>
      <c r="C544" s="57" t="n">
        <f aca="false">INT($C$2)-INT(Table3[[#This Row],[Last Purchase Date]])</f>
        <v>292</v>
      </c>
      <c r="D544" s="1" t="n">
        <v>1</v>
      </c>
      <c r="E544" s="1" t="n">
        <v>560.47</v>
      </c>
      <c r="F544" s="1" t="n">
        <f aca="false">ROUND((1-_xlfn.PERCENTRANK.INC($C$7:$C$4378,C544))*9,0)</f>
        <v>1</v>
      </c>
      <c r="G544" s="1" t="n">
        <f aca="false">ROUND(_xlfn.PERCENTRANK.INC($D$7:$D$4378,D544)*9,0)</f>
        <v>0</v>
      </c>
      <c r="H544" s="1" t="n">
        <f aca="false">ROUND(_xlfn.PERCENTRANK.INC($E$7:$E$4378,E544)*9,0)</f>
        <v>4</v>
      </c>
      <c r="I544" s="1" t="str">
        <f aca="false">CONCATENATE(F544,G544,H544)</f>
        <v>104</v>
      </c>
      <c r="J544" s="1" t="str">
        <f aca="false">_xlfn.IFS(AND(F544&gt;=8,G544&gt;=8,H544&gt;=8),"CHAMPION",AND(F544&gt;=6,G544&gt;=7,H544&gt;=6),"LOYAL CUSTOMER",AND(F544&gt;=6,G544&gt;=5,H544&gt;=5),"POTENTIAL LOYALIST",AND(F544&gt;=8,G544&lt;=2,H544&gt;=5),"NEW CUSTOMERS",AND(F544&gt;=6,G544&lt;=2,H544&gt;=3),"PROMISING",AND(F544&gt;=3,G544&gt;=3,H544&gt;=3),"NEED ATTENTION",AND(F544&lt;=4,G544&gt;=6,H544&gt;=6),"AT RISK",AND(F544&lt;=2,G544&gt;=8,H544&gt;=8),"CAN'T LOSE THEM",AND(F544&lt;=2,G544&lt;=2,H544&lt;=2),"HIBERNATING",TRUE(),"Other")</f>
        <v>Other</v>
      </c>
      <c r="K544" s="1" t="n">
        <f aca="false">RANK(E544,$E$7:$E$4378)+COUNTIF($E$7:E544,E544)-1</f>
        <v>2405</v>
      </c>
    </row>
    <row r="545" customFormat="false" ht="14.25" hidden="false" customHeight="true" outlineLevel="0" collapsed="false">
      <c r="A545" s="51" t="n">
        <v>13045</v>
      </c>
      <c r="B545" s="53" t="n">
        <v>40787.6277777778</v>
      </c>
      <c r="C545" s="57" t="n">
        <f aca="false">INT($C$2)-INT(Table3[[#This Row],[Last Purchase Date]])</f>
        <v>100</v>
      </c>
      <c r="D545" s="1" t="n">
        <v>1</v>
      </c>
      <c r="E545" s="1" t="n">
        <v>305.28</v>
      </c>
      <c r="F545" s="1" t="n">
        <f aca="false">ROUND((1-_xlfn.PERCENTRANK.INC($C$7:$C$4378,C545))*9,0)</f>
        <v>3</v>
      </c>
      <c r="G545" s="1" t="n">
        <f aca="false">ROUND(_xlfn.PERCENTRANK.INC($D$7:$D$4378,D545)*9,0)</f>
        <v>0</v>
      </c>
      <c r="H545" s="1" t="n">
        <f aca="false">ROUND(_xlfn.PERCENTRANK.INC($E$7:$E$4378,E545)*9,0)</f>
        <v>2</v>
      </c>
      <c r="I545" s="1" t="str">
        <f aca="false">CONCATENATE(F545,G545,H545)</f>
        <v>302</v>
      </c>
      <c r="J545" s="1" t="str">
        <f aca="false">_xlfn.IFS(AND(F545&gt;=8,G545&gt;=8,H545&gt;=8),"CHAMPION",AND(F545&gt;=6,G545&gt;=7,H545&gt;=6),"LOYAL CUSTOMER",AND(F545&gt;=6,G545&gt;=5,H545&gt;=5),"POTENTIAL LOYALIST",AND(F545&gt;=8,G545&lt;=2,H545&gt;=5),"NEW CUSTOMERS",AND(F545&gt;=6,G545&lt;=2,H545&gt;=3),"PROMISING",AND(F545&gt;=3,G545&gt;=3,H545&gt;=3),"NEED ATTENTION",AND(F545&lt;=4,G545&gt;=6,H545&gt;=6),"AT RISK",AND(F545&lt;=2,G545&gt;=8,H545&gt;=8),"CAN'T LOSE THEM",AND(F545&lt;=2,G545&lt;=2,H545&lt;=2),"HIBERNATING",TRUE(),"Other")</f>
        <v>Other</v>
      </c>
      <c r="K545" s="1" t="n">
        <f aca="false">RANK(E545,$E$7:$E$4378)+COUNTIF($E$7:E545,E545)-1</f>
        <v>3225</v>
      </c>
    </row>
    <row r="546" customFormat="false" ht="14.25" hidden="false" customHeight="true" outlineLevel="0" collapsed="false">
      <c r="A546" s="51" t="n">
        <v>13046</v>
      </c>
      <c r="B546" s="53" t="n">
        <v>40856.3583333333</v>
      </c>
      <c r="C546" s="57" t="n">
        <f aca="false">INT($C$2)-INT(Table3[[#This Row],[Last Purchase Date]])</f>
        <v>31</v>
      </c>
      <c r="D546" s="1" t="n">
        <v>2</v>
      </c>
      <c r="E546" s="1" t="n">
        <v>629.31</v>
      </c>
      <c r="F546" s="1" t="n">
        <f aca="false">ROUND((1-_xlfn.PERCENTRANK.INC($C$7:$C$4378,C546))*9,0)</f>
        <v>6</v>
      </c>
      <c r="G546" s="1" t="n">
        <f aca="false">ROUND(_xlfn.PERCENTRANK.INC($D$7:$D$4378,D546)*9,0)</f>
        <v>3</v>
      </c>
      <c r="H546" s="1" t="n">
        <f aca="false">ROUND(_xlfn.PERCENTRANK.INC($E$7:$E$4378,E546)*9,0)</f>
        <v>4</v>
      </c>
      <c r="I546" s="1" t="str">
        <f aca="false">CONCATENATE(F546,G546,H546)</f>
        <v>634</v>
      </c>
      <c r="J546" s="1" t="str">
        <f aca="false">_xlfn.IFS(AND(F546&gt;=8,G546&gt;=8,H546&gt;=8),"CHAMPION",AND(F546&gt;=6,G546&gt;=7,H546&gt;=6),"LOYAL CUSTOMER",AND(F546&gt;=6,G546&gt;=5,H546&gt;=5),"POTENTIAL LOYALIST",AND(F546&gt;=8,G546&lt;=2,H546&gt;=5),"NEW CUSTOMERS",AND(F546&gt;=6,G546&lt;=2,H546&gt;=3),"PROMISING",AND(F546&gt;=3,G546&gt;=3,H546&gt;=3),"NEED ATTENTION",AND(F546&lt;=4,G546&gt;=6,H546&gt;=6),"AT RISK",AND(F546&lt;=2,G546&gt;=8,H546&gt;=8),"CAN'T LOSE THEM",AND(F546&lt;=2,G546&lt;=2,H546&lt;=2),"HIBERNATING",TRUE(),"Other")</f>
        <v>NEED ATTENTION</v>
      </c>
      <c r="K546" s="1" t="n">
        <f aca="false">RANK(E546,$E$7:$E$4378)+COUNTIF($E$7:E546,E546)-1</f>
        <v>2234</v>
      </c>
    </row>
    <row r="547" customFormat="false" ht="14.25" hidden="false" customHeight="true" outlineLevel="0" collapsed="false">
      <c r="A547" s="51" t="n">
        <v>13047</v>
      </c>
      <c r="B547" s="53" t="n">
        <v>40855.5069444445</v>
      </c>
      <c r="C547" s="57" t="n">
        <f aca="false">INT($C$2)-INT(Table3[[#This Row],[Last Purchase Date]])</f>
        <v>32</v>
      </c>
      <c r="D547" s="1" t="n">
        <v>18</v>
      </c>
      <c r="E547" s="1" t="n">
        <v>3079.1</v>
      </c>
      <c r="F547" s="1" t="n">
        <f aca="false">ROUND((1-_xlfn.PERCENTRANK.INC($C$7:$C$4378,C547))*9,0)</f>
        <v>5</v>
      </c>
      <c r="G547" s="1" t="n">
        <f aca="false">ROUND(_xlfn.PERCENTRANK.INC($D$7:$D$4378,D547)*9,0)</f>
        <v>9</v>
      </c>
      <c r="H547" s="1" t="n">
        <f aca="false">ROUND(_xlfn.PERCENTRANK.INC($E$7:$E$4378,E547)*9,0)</f>
        <v>8</v>
      </c>
      <c r="I547" s="1" t="str">
        <f aca="false">CONCATENATE(F547,G547,H547)</f>
        <v>598</v>
      </c>
      <c r="J547" s="1" t="str">
        <f aca="false">_xlfn.IFS(AND(F547&gt;=8,G547&gt;=8,H547&gt;=8),"CHAMPION",AND(F547&gt;=6,G547&gt;=7,H547&gt;=6),"LOYAL CUSTOMER",AND(F547&gt;=6,G547&gt;=5,H547&gt;=5),"POTENTIAL LOYALIST",AND(F547&gt;=8,G547&lt;=2,H547&gt;=5),"NEW CUSTOMERS",AND(F547&gt;=6,G547&lt;=2,H547&gt;=3),"PROMISING",AND(F547&gt;=3,G547&gt;=3,H547&gt;=3),"NEED ATTENTION",AND(F547&lt;=4,G547&gt;=6,H547&gt;=6),"AT RISK",AND(F547&lt;=2,G547&gt;=8,H547&gt;=8),"CAN'T LOSE THEM",AND(F547&lt;=2,G547&lt;=2,H547&lt;=2),"HIBERNATING",TRUE(),"Other")</f>
        <v>NEED ATTENTION</v>
      </c>
      <c r="K547" s="1" t="n">
        <f aca="false">RANK(E547,$E$7:$E$4378)+COUNTIF($E$7:E547,E547)-1</f>
        <v>523</v>
      </c>
    </row>
    <row r="548" customFormat="false" ht="14.25" hidden="false" customHeight="true" outlineLevel="0" collapsed="false">
      <c r="A548" s="51" t="n">
        <v>13048</v>
      </c>
      <c r="B548" s="53" t="n">
        <v>40872.5576388889</v>
      </c>
      <c r="C548" s="57" t="n">
        <f aca="false">INT($C$2)-INT(Table3[[#This Row],[Last Purchase Date]])</f>
        <v>15</v>
      </c>
      <c r="D548" s="1" t="n">
        <v>5</v>
      </c>
      <c r="E548" s="1" t="n">
        <v>1805.91</v>
      </c>
      <c r="F548" s="1" t="n">
        <f aca="false">ROUND((1-_xlfn.PERCENTRANK.INC($C$7:$C$4378,C548))*9,0)</f>
        <v>7</v>
      </c>
      <c r="G548" s="1" t="n">
        <f aca="false">ROUND(_xlfn.PERCENTRANK.INC($D$7:$D$4378,D548)*9,0)</f>
        <v>6</v>
      </c>
      <c r="H548" s="1" t="n">
        <f aca="false">ROUND(_xlfn.PERCENTRANK.INC($E$7:$E$4378,E548)*9,0)</f>
        <v>7</v>
      </c>
      <c r="I548" s="1" t="str">
        <f aca="false">CONCATENATE(F548,G548,H548)</f>
        <v>767</v>
      </c>
      <c r="J548" s="1" t="str">
        <f aca="false">_xlfn.IFS(AND(F548&gt;=8,G548&gt;=8,H548&gt;=8),"CHAMPION",AND(F548&gt;=6,G548&gt;=7,H548&gt;=6),"LOYAL CUSTOMER",AND(F548&gt;=6,G548&gt;=5,H548&gt;=5),"POTENTIAL LOYALIST",AND(F548&gt;=8,G548&lt;=2,H548&gt;=5),"NEW CUSTOMERS",AND(F548&gt;=6,G548&lt;=2,H548&gt;=3),"PROMISING",AND(F548&gt;=3,G548&gt;=3,H548&gt;=3),"NEED ATTENTION",AND(F548&lt;=4,G548&gt;=6,H548&gt;=6),"AT RISK",AND(F548&lt;=2,G548&gt;=8,H548&gt;=8),"CAN'T LOSE THEM",AND(F548&lt;=2,G548&lt;=2,H548&lt;=2),"HIBERNATING",TRUE(),"Other")</f>
        <v>POTENTIAL LOYALIST</v>
      </c>
      <c r="K548" s="1" t="n">
        <f aca="false">RANK(E548,$E$7:$E$4378)+COUNTIF($E$7:E548,E548)-1</f>
        <v>971</v>
      </c>
    </row>
    <row r="549" customFormat="false" ht="14.25" hidden="false" customHeight="true" outlineLevel="0" collapsed="false">
      <c r="A549" s="51" t="n">
        <v>13049</v>
      </c>
      <c r="B549" s="53" t="n">
        <v>40822.6465277778</v>
      </c>
      <c r="C549" s="57" t="n">
        <f aca="false">INT($C$2)-INT(Table3[[#This Row],[Last Purchase Date]])</f>
        <v>65</v>
      </c>
      <c r="D549" s="1" t="n">
        <v>2</v>
      </c>
      <c r="E549" s="1" t="n">
        <v>656.68</v>
      </c>
      <c r="F549" s="1" t="n">
        <f aca="false">ROUND((1-_xlfn.PERCENTRANK.INC($C$7:$C$4378,C549))*9,0)</f>
        <v>4</v>
      </c>
      <c r="G549" s="1" t="n">
        <f aca="false">ROUND(_xlfn.PERCENTRANK.INC($D$7:$D$4378,D549)*9,0)</f>
        <v>3</v>
      </c>
      <c r="H549" s="1" t="n">
        <f aca="false">ROUND(_xlfn.PERCENTRANK.INC($E$7:$E$4378,E549)*9,0)</f>
        <v>5</v>
      </c>
      <c r="I549" s="1" t="str">
        <f aca="false">CONCATENATE(F549,G549,H549)</f>
        <v>435</v>
      </c>
      <c r="J549" s="1" t="str">
        <f aca="false">_xlfn.IFS(AND(F549&gt;=8,G549&gt;=8,H549&gt;=8),"CHAMPION",AND(F549&gt;=6,G549&gt;=7,H549&gt;=6),"LOYAL CUSTOMER",AND(F549&gt;=6,G549&gt;=5,H549&gt;=5),"POTENTIAL LOYALIST",AND(F549&gt;=8,G549&lt;=2,H549&gt;=5),"NEW CUSTOMERS",AND(F549&gt;=6,G549&lt;=2,H549&gt;=3),"PROMISING",AND(F549&gt;=3,G549&gt;=3,H549&gt;=3),"NEED ATTENTION",AND(F549&lt;=4,G549&gt;=6,H549&gt;=6),"AT RISK",AND(F549&lt;=2,G549&gt;=8,H549&gt;=8),"CAN'T LOSE THEM",AND(F549&lt;=2,G549&lt;=2,H549&lt;=2),"HIBERNATING",TRUE(),"Other")</f>
        <v>NEED ATTENTION</v>
      </c>
      <c r="K549" s="1" t="n">
        <f aca="false">RANK(E549,$E$7:$E$4378)+COUNTIF($E$7:E549,E549)-1</f>
        <v>2165</v>
      </c>
    </row>
    <row r="550" customFormat="false" ht="14.25" hidden="false" customHeight="true" outlineLevel="0" collapsed="false">
      <c r="A550" s="51" t="n">
        <v>13050</v>
      </c>
      <c r="B550" s="53" t="n">
        <v>40877.7277777778</v>
      </c>
      <c r="C550" s="57" t="n">
        <f aca="false">INT($C$2)-INT(Table3[[#This Row],[Last Purchase Date]])</f>
        <v>10</v>
      </c>
      <c r="D550" s="1" t="n">
        <v>28</v>
      </c>
      <c r="E550" s="1" t="n">
        <v>5684.61000000001</v>
      </c>
      <c r="F550" s="1" t="n">
        <f aca="false">ROUND((1-_xlfn.PERCENTRANK.INC($C$7:$C$4378,C550))*9,0)</f>
        <v>8</v>
      </c>
      <c r="G550" s="1" t="n">
        <f aca="false">ROUND(_xlfn.PERCENTRANK.INC($D$7:$D$4378,D550)*9,0)</f>
        <v>9</v>
      </c>
      <c r="H550" s="1" t="n">
        <f aca="false">ROUND(_xlfn.PERCENTRANK.INC($E$7:$E$4378,E550)*9,0)</f>
        <v>9</v>
      </c>
      <c r="I550" s="1" t="str">
        <f aca="false">CONCATENATE(F550,G550,H550)</f>
        <v>899</v>
      </c>
      <c r="J550" s="1" t="str">
        <f aca="false">_xlfn.IFS(AND(F550&gt;=8,G550&gt;=8,H550&gt;=8),"CHAMPION",AND(F550&gt;=6,G550&gt;=7,H550&gt;=6),"LOYAL CUSTOMER",AND(F550&gt;=6,G550&gt;=5,H550&gt;=5),"POTENTIAL LOYALIST",AND(F550&gt;=8,G550&lt;=2,H550&gt;=5),"NEW CUSTOMERS",AND(F550&gt;=6,G550&lt;=2,H550&gt;=3),"PROMISING",AND(F550&gt;=3,G550&gt;=3,H550&gt;=3),"NEED ATTENTION",AND(F550&lt;=4,G550&gt;=6,H550&gt;=6),"AT RISK",AND(F550&lt;=2,G550&gt;=8,H550&gt;=8),"CAN'T LOSE THEM",AND(F550&lt;=2,G550&lt;=2,H550&lt;=2),"HIBERNATING",TRUE(),"Other")</f>
        <v>CHAMPION</v>
      </c>
      <c r="K550" s="1" t="n">
        <f aca="false">RANK(E550,$E$7:$E$4378)+COUNTIF($E$7:E550,E550)-1</f>
        <v>215</v>
      </c>
    </row>
    <row r="551" customFormat="false" ht="14.25" hidden="false" customHeight="true" outlineLevel="0" collapsed="false">
      <c r="A551" s="51" t="n">
        <v>13052</v>
      </c>
      <c r="B551" s="53" t="n">
        <v>40674.5916666667</v>
      </c>
      <c r="C551" s="57" t="n">
        <f aca="false">INT($C$2)-INT(Table3[[#This Row],[Last Purchase Date]])</f>
        <v>213</v>
      </c>
      <c r="D551" s="1" t="n">
        <v>1</v>
      </c>
      <c r="E551" s="1" t="n">
        <v>348.15</v>
      </c>
      <c r="F551" s="1" t="n">
        <f aca="false">ROUND((1-_xlfn.PERCENTRANK.INC($C$7:$C$4378,C551))*9,0)</f>
        <v>1</v>
      </c>
      <c r="G551" s="1" t="n">
        <f aca="false">ROUND(_xlfn.PERCENTRANK.INC($D$7:$D$4378,D551)*9,0)</f>
        <v>0</v>
      </c>
      <c r="H551" s="1" t="n">
        <f aca="false">ROUND(_xlfn.PERCENTRANK.INC($E$7:$E$4378,E551)*9,0)</f>
        <v>3</v>
      </c>
      <c r="I551" s="1" t="str">
        <f aca="false">CONCATENATE(F551,G551,H551)</f>
        <v>103</v>
      </c>
      <c r="J551" s="1" t="str">
        <f aca="false">_xlfn.IFS(AND(F551&gt;=8,G551&gt;=8,H551&gt;=8),"CHAMPION",AND(F551&gt;=6,G551&gt;=7,H551&gt;=6),"LOYAL CUSTOMER",AND(F551&gt;=6,G551&gt;=5,H551&gt;=5),"POTENTIAL LOYALIST",AND(F551&gt;=8,G551&lt;=2,H551&gt;=5),"NEW CUSTOMERS",AND(F551&gt;=6,G551&lt;=2,H551&gt;=3),"PROMISING",AND(F551&gt;=3,G551&gt;=3,H551&gt;=3),"NEED ATTENTION",AND(F551&lt;=4,G551&gt;=6,H551&gt;=6),"AT RISK",AND(F551&lt;=2,G551&gt;=8,H551&gt;=8),"CAN'T LOSE THEM",AND(F551&lt;=2,G551&lt;=2,H551&lt;=2),"HIBERNATING",TRUE(),"Other")</f>
        <v>Other</v>
      </c>
      <c r="K551" s="1" t="n">
        <f aca="false">RANK(E551,$E$7:$E$4378)+COUNTIF($E$7:E551,E551)-1</f>
        <v>3018</v>
      </c>
    </row>
    <row r="552" customFormat="false" ht="14.25" hidden="false" customHeight="true" outlineLevel="0" collapsed="false">
      <c r="A552" s="51" t="n">
        <v>13055</v>
      </c>
      <c r="B552" s="53" t="n">
        <v>40822.7895833333</v>
      </c>
      <c r="C552" s="57" t="n">
        <f aca="false">INT($C$2)-INT(Table3[[#This Row],[Last Purchase Date]])</f>
        <v>65</v>
      </c>
      <c r="D552" s="1" t="n">
        <v>4</v>
      </c>
      <c r="E552" s="1" t="n">
        <v>1201.96</v>
      </c>
      <c r="F552" s="1" t="n">
        <f aca="false">ROUND((1-_xlfn.PERCENTRANK.INC($C$7:$C$4378,C552))*9,0)</f>
        <v>4</v>
      </c>
      <c r="G552" s="1" t="n">
        <f aca="false">ROUND(_xlfn.PERCENTRANK.INC($D$7:$D$4378,D552)*9,0)</f>
        <v>5</v>
      </c>
      <c r="H552" s="1" t="n">
        <f aca="false">ROUND(_xlfn.PERCENTRANK.INC($E$7:$E$4378,E552)*9,0)</f>
        <v>6</v>
      </c>
      <c r="I552" s="1" t="str">
        <f aca="false">CONCATENATE(F552,G552,H552)</f>
        <v>456</v>
      </c>
      <c r="J552" s="1" t="str">
        <f aca="false">_xlfn.IFS(AND(F552&gt;=8,G552&gt;=8,H552&gt;=8),"CHAMPION",AND(F552&gt;=6,G552&gt;=7,H552&gt;=6),"LOYAL CUSTOMER",AND(F552&gt;=6,G552&gt;=5,H552&gt;=5),"POTENTIAL LOYALIST",AND(F552&gt;=8,G552&lt;=2,H552&gt;=5),"NEW CUSTOMERS",AND(F552&gt;=6,G552&lt;=2,H552&gt;=3),"PROMISING",AND(F552&gt;=3,G552&gt;=3,H552&gt;=3),"NEED ATTENTION",AND(F552&lt;=4,G552&gt;=6,H552&gt;=6),"AT RISK",AND(F552&lt;=2,G552&gt;=8,H552&gt;=8),"CAN'T LOSE THEM",AND(F552&lt;=2,G552&lt;=2,H552&lt;=2),"HIBERNATING",TRUE(),"Other")</f>
        <v>NEED ATTENTION</v>
      </c>
      <c r="K552" s="1" t="n">
        <f aca="false">RANK(E552,$E$7:$E$4378)+COUNTIF($E$7:E552,E552)-1</f>
        <v>1408</v>
      </c>
    </row>
    <row r="553" customFormat="false" ht="14.25" hidden="false" customHeight="true" outlineLevel="0" collapsed="false">
      <c r="A553" s="51" t="n">
        <v>13058</v>
      </c>
      <c r="B553" s="53" t="n">
        <v>40862.5298611111</v>
      </c>
      <c r="C553" s="57" t="n">
        <f aca="false">INT($C$2)-INT(Table3[[#This Row],[Last Purchase Date]])</f>
        <v>25</v>
      </c>
      <c r="D553" s="1" t="n">
        <v>3</v>
      </c>
      <c r="E553" s="1" t="n">
        <v>271.4</v>
      </c>
      <c r="F553" s="1" t="n">
        <f aca="false">ROUND((1-_xlfn.PERCENTRANK.INC($C$7:$C$4378,C553))*9,0)</f>
        <v>6</v>
      </c>
      <c r="G553" s="1" t="n">
        <f aca="false">ROUND(_xlfn.PERCENTRANK.INC($D$7:$D$4378,D553)*9,0)</f>
        <v>4</v>
      </c>
      <c r="H553" s="1" t="n">
        <f aca="false">ROUND(_xlfn.PERCENTRANK.INC($E$7:$E$4378,E553)*9,0)</f>
        <v>2</v>
      </c>
      <c r="I553" s="1" t="str">
        <f aca="false">CONCATENATE(F553,G553,H553)</f>
        <v>642</v>
      </c>
      <c r="J553" s="1" t="str">
        <f aca="false">_xlfn.IFS(AND(F553&gt;=8,G553&gt;=8,H553&gt;=8),"CHAMPION",AND(F553&gt;=6,G553&gt;=7,H553&gt;=6),"LOYAL CUSTOMER",AND(F553&gt;=6,G553&gt;=5,H553&gt;=5),"POTENTIAL LOYALIST",AND(F553&gt;=8,G553&lt;=2,H553&gt;=5),"NEW CUSTOMERS",AND(F553&gt;=6,G553&lt;=2,H553&gt;=3),"PROMISING",AND(F553&gt;=3,G553&gt;=3,H553&gt;=3),"NEED ATTENTION",AND(F553&lt;=4,G553&gt;=6,H553&gt;=6),"AT RISK",AND(F553&lt;=2,G553&gt;=8,H553&gt;=8),"CAN'T LOSE THEM",AND(F553&lt;=2,G553&lt;=2,H553&lt;=2),"HIBERNATING",TRUE(),"Other")</f>
        <v>Other</v>
      </c>
      <c r="K553" s="1" t="n">
        <f aca="false">RANK(E553,$E$7:$E$4378)+COUNTIF($E$7:E553,E553)-1</f>
        <v>3355</v>
      </c>
    </row>
    <row r="554" customFormat="false" ht="14.25" hidden="false" customHeight="true" outlineLevel="0" collapsed="false">
      <c r="A554" s="51" t="n">
        <v>13059</v>
      </c>
      <c r="B554" s="53" t="n">
        <v>40637.4444444445</v>
      </c>
      <c r="C554" s="57" t="n">
        <f aca="false">INT($C$2)-INT(Table3[[#This Row],[Last Purchase Date]])</f>
        <v>250</v>
      </c>
      <c r="D554" s="1" t="n">
        <v>1</v>
      </c>
      <c r="E554" s="1" t="n">
        <v>183.4</v>
      </c>
      <c r="F554" s="1" t="n">
        <f aca="false">ROUND((1-_xlfn.PERCENTRANK.INC($C$7:$C$4378,C554))*9,0)</f>
        <v>1</v>
      </c>
      <c r="G554" s="1" t="n">
        <f aca="false">ROUND(_xlfn.PERCENTRANK.INC($D$7:$D$4378,D554)*9,0)</f>
        <v>0</v>
      </c>
      <c r="H554" s="1" t="n">
        <f aca="false">ROUND(_xlfn.PERCENTRANK.INC($E$7:$E$4378,E554)*9,0)</f>
        <v>1</v>
      </c>
      <c r="I554" s="1" t="str">
        <f aca="false">CONCATENATE(F554,G554,H554)</f>
        <v>101</v>
      </c>
      <c r="J554" s="1" t="str">
        <f aca="false">_xlfn.IFS(AND(F554&gt;=8,G554&gt;=8,H554&gt;=8),"CHAMPION",AND(F554&gt;=6,G554&gt;=7,H554&gt;=6),"LOYAL CUSTOMER",AND(F554&gt;=6,G554&gt;=5,H554&gt;=5),"POTENTIAL LOYALIST",AND(F554&gt;=8,G554&lt;=2,H554&gt;=5),"NEW CUSTOMERS",AND(F554&gt;=6,G554&lt;=2,H554&gt;=3),"PROMISING",AND(F554&gt;=3,G554&gt;=3,H554&gt;=3),"NEED ATTENTION",AND(F554&lt;=4,G554&gt;=6,H554&gt;=6),"AT RISK",AND(F554&lt;=2,G554&gt;=8,H554&gt;=8),"CAN'T LOSE THEM",AND(F554&lt;=2,G554&lt;=2,H554&lt;=2),"HIBERNATING",TRUE(),"Other")</f>
        <v>HIBERNATING</v>
      </c>
      <c r="K554" s="1" t="n">
        <f aca="false">RANK(E554,$E$7:$E$4378)+COUNTIF($E$7:E554,E554)-1</f>
        <v>3737</v>
      </c>
    </row>
    <row r="555" customFormat="false" ht="14.25" hidden="false" customHeight="true" outlineLevel="0" collapsed="false">
      <c r="A555" s="51" t="n">
        <v>13060</v>
      </c>
      <c r="B555" s="53" t="n">
        <v>40633.4840277778</v>
      </c>
      <c r="C555" s="57" t="n">
        <f aca="false">INT($C$2)-INT(Table3[[#This Row],[Last Purchase Date]])</f>
        <v>254</v>
      </c>
      <c r="D555" s="1" t="n">
        <v>1</v>
      </c>
      <c r="E555" s="1" t="n">
        <v>307.53</v>
      </c>
      <c r="F555" s="1" t="n">
        <f aca="false">ROUND((1-_xlfn.PERCENTRANK.INC($C$7:$C$4378,C555))*9,0)</f>
        <v>1</v>
      </c>
      <c r="G555" s="1" t="n">
        <f aca="false">ROUND(_xlfn.PERCENTRANK.INC($D$7:$D$4378,D555)*9,0)</f>
        <v>0</v>
      </c>
      <c r="H555" s="1" t="n">
        <f aca="false">ROUND(_xlfn.PERCENTRANK.INC($E$7:$E$4378,E555)*9,0)</f>
        <v>2</v>
      </c>
      <c r="I555" s="1" t="str">
        <f aca="false">CONCATENATE(F555,G555,H555)</f>
        <v>102</v>
      </c>
      <c r="J555" s="1" t="str">
        <f aca="false">_xlfn.IFS(AND(F555&gt;=8,G555&gt;=8,H555&gt;=8),"CHAMPION",AND(F555&gt;=6,G555&gt;=7,H555&gt;=6),"LOYAL CUSTOMER",AND(F555&gt;=6,G555&gt;=5,H555&gt;=5),"POTENTIAL LOYALIST",AND(F555&gt;=8,G555&lt;=2,H555&gt;=5),"NEW CUSTOMERS",AND(F555&gt;=6,G555&lt;=2,H555&gt;=3),"PROMISING",AND(F555&gt;=3,G555&gt;=3,H555&gt;=3),"NEED ATTENTION",AND(F555&lt;=4,G555&gt;=6,H555&gt;=6),"AT RISK",AND(F555&lt;=2,G555&gt;=8,H555&gt;=8),"CAN'T LOSE THEM",AND(F555&lt;=2,G555&lt;=2,H555&lt;=2),"HIBERNATING",TRUE(),"Other")</f>
        <v>HIBERNATING</v>
      </c>
      <c r="K555" s="1" t="n">
        <f aca="false">RANK(E555,$E$7:$E$4378)+COUNTIF($E$7:E555,E555)-1</f>
        <v>3209</v>
      </c>
    </row>
    <row r="556" customFormat="false" ht="14.25" hidden="false" customHeight="true" outlineLevel="0" collapsed="false">
      <c r="A556" s="51" t="n">
        <v>13061</v>
      </c>
      <c r="B556" s="53" t="n">
        <v>40814.6694444444</v>
      </c>
      <c r="C556" s="57" t="n">
        <f aca="false">INT($C$2)-INT(Table3[[#This Row],[Last Purchase Date]])</f>
        <v>73</v>
      </c>
      <c r="D556" s="1" t="n">
        <v>1</v>
      </c>
      <c r="E556" s="1" t="n">
        <v>248.61</v>
      </c>
      <c r="F556" s="1" t="n">
        <f aca="false">ROUND((1-_xlfn.PERCENTRANK.INC($C$7:$C$4378,C556))*9,0)</f>
        <v>4</v>
      </c>
      <c r="G556" s="1" t="n">
        <f aca="false">ROUND(_xlfn.PERCENTRANK.INC($D$7:$D$4378,D556)*9,0)</f>
        <v>0</v>
      </c>
      <c r="H556" s="1" t="n">
        <f aca="false">ROUND(_xlfn.PERCENTRANK.INC($E$7:$E$4378,E556)*9,0)</f>
        <v>2</v>
      </c>
      <c r="I556" s="1" t="str">
        <f aca="false">CONCATENATE(F556,G556,H556)</f>
        <v>402</v>
      </c>
      <c r="J556" s="1" t="str">
        <f aca="false">_xlfn.IFS(AND(F556&gt;=8,G556&gt;=8,H556&gt;=8),"CHAMPION",AND(F556&gt;=6,G556&gt;=7,H556&gt;=6),"LOYAL CUSTOMER",AND(F556&gt;=6,G556&gt;=5,H556&gt;=5),"POTENTIAL LOYALIST",AND(F556&gt;=8,G556&lt;=2,H556&gt;=5),"NEW CUSTOMERS",AND(F556&gt;=6,G556&lt;=2,H556&gt;=3),"PROMISING",AND(F556&gt;=3,G556&gt;=3,H556&gt;=3),"NEED ATTENTION",AND(F556&lt;=4,G556&gt;=6,H556&gt;=6),"AT RISK",AND(F556&lt;=2,G556&gt;=8,H556&gt;=8),"CAN'T LOSE THEM",AND(F556&lt;=2,G556&lt;=2,H556&lt;=2),"HIBERNATING",TRUE(),"Other")</f>
        <v>Other</v>
      </c>
      <c r="K556" s="1" t="n">
        <f aca="false">RANK(E556,$E$7:$E$4378)+COUNTIF($E$7:E556,E556)-1</f>
        <v>3443</v>
      </c>
    </row>
    <row r="557" customFormat="false" ht="14.25" hidden="false" customHeight="true" outlineLevel="0" collapsed="false">
      <c r="A557" s="51" t="n">
        <v>13062</v>
      </c>
      <c r="B557" s="53" t="n">
        <v>40695.6333333333</v>
      </c>
      <c r="C557" s="57" t="n">
        <f aca="false">INT($C$2)-INT(Table3[[#This Row],[Last Purchase Date]])</f>
        <v>192</v>
      </c>
      <c r="D557" s="1" t="n">
        <v>1</v>
      </c>
      <c r="E557" s="1" t="n">
        <v>346.98</v>
      </c>
      <c r="F557" s="1" t="n">
        <f aca="false">ROUND((1-_xlfn.PERCENTRANK.INC($C$7:$C$4378,C557))*9,0)</f>
        <v>2</v>
      </c>
      <c r="G557" s="1" t="n">
        <f aca="false">ROUND(_xlfn.PERCENTRANK.INC($D$7:$D$4378,D557)*9,0)</f>
        <v>0</v>
      </c>
      <c r="H557" s="1" t="n">
        <f aca="false">ROUND(_xlfn.PERCENTRANK.INC($E$7:$E$4378,E557)*9,0)</f>
        <v>3</v>
      </c>
      <c r="I557" s="1" t="str">
        <f aca="false">CONCATENATE(F557,G557,H557)</f>
        <v>203</v>
      </c>
      <c r="J557" s="1" t="str">
        <f aca="false">_xlfn.IFS(AND(F557&gt;=8,G557&gt;=8,H557&gt;=8),"CHAMPION",AND(F557&gt;=6,G557&gt;=7,H557&gt;=6),"LOYAL CUSTOMER",AND(F557&gt;=6,G557&gt;=5,H557&gt;=5),"POTENTIAL LOYALIST",AND(F557&gt;=8,G557&lt;=2,H557&gt;=5),"NEW CUSTOMERS",AND(F557&gt;=6,G557&lt;=2,H557&gt;=3),"PROMISING",AND(F557&gt;=3,G557&gt;=3,H557&gt;=3),"NEED ATTENTION",AND(F557&lt;=4,G557&gt;=6,H557&gt;=6),"AT RISK",AND(F557&lt;=2,G557&gt;=8,H557&gt;=8),"CAN'T LOSE THEM",AND(F557&lt;=2,G557&lt;=2,H557&lt;=2),"HIBERNATING",TRUE(),"Other")</f>
        <v>Other</v>
      </c>
      <c r="K557" s="1" t="n">
        <f aca="false">RANK(E557,$E$7:$E$4378)+COUNTIF($E$7:E557,E557)-1</f>
        <v>3024</v>
      </c>
    </row>
    <row r="558" customFormat="false" ht="14.25" hidden="false" customHeight="true" outlineLevel="0" collapsed="false">
      <c r="A558" s="51" t="n">
        <v>13064</v>
      </c>
      <c r="B558" s="53" t="n">
        <v>40874.5215277778</v>
      </c>
      <c r="C558" s="57" t="n">
        <f aca="false">INT($C$2)-INT(Table3[[#This Row],[Last Purchase Date]])</f>
        <v>13</v>
      </c>
      <c r="D558" s="1" t="n">
        <v>4</v>
      </c>
      <c r="E558" s="1" t="n">
        <v>1119.49</v>
      </c>
      <c r="F558" s="1" t="n">
        <f aca="false">ROUND((1-_xlfn.PERCENTRANK.INC($C$7:$C$4378,C558))*9,0)</f>
        <v>7</v>
      </c>
      <c r="G558" s="1" t="n">
        <f aca="false">ROUND(_xlfn.PERCENTRANK.INC($D$7:$D$4378,D558)*9,0)</f>
        <v>5</v>
      </c>
      <c r="H558" s="1" t="n">
        <f aca="false">ROUND(_xlfn.PERCENTRANK.INC($E$7:$E$4378,E558)*9,0)</f>
        <v>6</v>
      </c>
      <c r="I558" s="1" t="str">
        <f aca="false">CONCATENATE(F558,G558,H558)</f>
        <v>756</v>
      </c>
      <c r="J558" s="1" t="str">
        <f aca="false">_xlfn.IFS(AND(F558&gt;=8,G558&gt;=8,H558&gt;=8),"CHAMPION",AND(F558&gt;=6,G558&gt;=7,H558&gt;=6),"LOYAL CUSTOMER",AND(F558&gt;=6,G558&gt;=5,H558&gt;=5),"POTENTIAL LOYALIST",AND(F558&gt;=8,G558&lt;=2,H558&gt;=5),"NEW CUSTOMERS",AND(F558&gt;=6,G558&lt;=2,H558&gt;=3),"PROMISING",AND(F558&gt;=3,G558&gt;=3,H558&gt;=3),"NEED ATTENTION",AND(F558&lt;=4,G558&gt;=6,H558&gt;=6),"AT RISK",AND(F558&lt;=2,G558&gt;=8,H558&gt;=8),"CAN'T LOSE THEM",AND(F558&lt;=2,G558&lt;=2,H558&lt;=2),"HIBERNATING",TRUE(),"Other")</f>
        <v>POTENTIAL LOYALIST</v>
      </c>
      <c r="K558" s="1" t="n">
        <f aca="false">RANK(E558,$E$7:$E$4378)+COUNTIF($E$7:E558,E558)-1</f>
        <v>1488</v>
      </c>
    </row>
    <row r="559" customFormat="false" ht="14.25" hidden="false" customHeight="true" outlineLevel="0" collapsed="false">
      <c r="A559" s="51" t="n">
        <v>13065</v>
      </c>
      <c r="B559" s="53" t="n">
        <v>40513.7027777778</v>
      </c>
      <c r="C559" s="57" t="n">
        <f aca="false">INT($C$2)-INT(Table3[[#This Row],[Last Purchase Date]])</f>
        <v>374</v>
      </c>
      <c r="D559" s="1" t="n">
        <v>1</v>
      </c>
      <c r="E559" s="1" t="n">
        <v>205.86</v>
      </c>
      <c r="F559" s="1" t="n">
        <f aca="false">ROUND((1-_xlfn.PERCENTRANK.INC($C$7:$C$4378,C559))*9,0)</f>
        <v>0</v>
      </c>
      <c r="G559" s="1" t="n">
        <f aca="false">ROUND(_xlfn.PERCENTRANK.INC($D$7:$D$4378,D559)*9,0)</f>
        <v>0</v>
      </c>
      <c r="H559" s="1" t="n">
        <f aca="false">ROUND(_xlfn.PERCENTRANK.INC($E$7:$E$4378,E559)*9,0)</f>
        <v>2</v>
      </c>
      <c r="I559" s="1" t="str">
        <f aca="false">CONCATENATE(F559,G559,H559)</f>
        <v>002</v>
      </c>
      <c r="J559" s="1" t="str">
        <f aca="false">_xlfn.IFS(AND(F559&gt;=8,G559&gt;=8,H559&gt;=8),"CHAMPION",AND(F559&gt;=6,G559&gt;=7,H559&gt;=6),"LOYAL CUSTOMER",AND(F559&gt;=6,G559&gt;=5,H559&gt;=5),"POTENTIAL LOYALIST",AND(F559&gt;=8,G559&lt;=2,H559&gt;=5),"NEW CUSTOMERS",AND(F559&gt;=6,G559&lt;=2,H559&gt;=3),"PROMISING",AND(F559&gt;=3,G559&gt;=3,H559&gt;=3),"NEED ATTENTION",AND(F559&lt;=4,G559&gt;=6,H559&gt;=6),"AT RISK",AND(F559&lt;=2,G559&gt;=8,H559&gt;=8),"CAN'T LOSE THEM",AND(F559&lt;=2,G559&lt;=2,H559&lt;=2),"HIBERNATING",TRUE(),"Other")</f>
        <v>HIBERNATING</v>
      </c>
      <c r="K559" s="1" t="n">
        <f aca="false">RANK(E559,$E$7:$E$4378)+COUNTIF($E$7:E559,E559)-1</f>
        <v>3632</v>
      </c>
    </row>
    <row r="560" customFormat="false" ht="14.25" hidden="false" customHeight="true" outlineLevel="0" collapsed="false">
      <c r="A560" s="51" t="n">
        <v>13066</v>
      </c>
      <c r="B560" s="53" t="n">
        <v>40862.56875</v>
      </c>
      <c r="C560" s="57" t="n">
        <f aca="false">INT($C$2)-INT(Table3[[#This Row],[Last Purchase Date]])</f>
        <v>25</v>
      </c>
      <c r="D560" s="1" t="n">
        <v>3</v>
      </c>
      <c r="E560" s="1" t="n">
        <v>430.9</v>
      </c>
      <c r="F560" s="1" t="n">
        <f aca="false">ROUND((1-_xlfn.PERCENTRANK.INC($C$7:$C$4378,C560))*9,0)</f>
        <v>6</v>
      </c>
      <c r="G560" s="1" t="n">
        <f aca="false">ROUND(_xlfn.PERCENTRANK.INC($D$7:$D$4378,D560)*9,0)</f>
        <v>4</v>
      </c>
      <c r="H560" s="1" t="n">
        <f aca="false">ROUND(_xlfn.PERCENTRANK.INC($E$7:$E$4378,E560)*9,0)</f>
        <v>3</v>
      </c>
      <c r="I560" s="1" t="str">
        <f aca="false">CONCATENATE(F560,G560,H560)</f>
        <v>643</v>
      </c>
      <c r="J560" s="1" t="str">
        <f aca="false">_xlfn.IFS(AND(F560&gt;=8,G560&gt;=8,H560&gt;=8),"CHAMPION",AND(F560&gt;=6,G560&gt;=7,H560&gt;=6),"LOYAL CUSTOMER",AND(F560&gt;=6,G560&gt;=5,H560&gt;=5),"POTENTIAL LOYALIST",AND(F560&gt;=8,G560&lt;=2,H560&gt;=5),"NEW CUSTOMERS",AND(F560&gt;=6,G560&lt;=2,H560&gt;=3),"PROMISING",AND(F560&gt;=3,G560&gt;=3,H560&gt;=3),"NEED ATTENTION",AND(F560&lt;=4,G560&gt;=6,H560&gt;=6),"AT RISK",AND(F560&lt;=2,G560&gt;=8,H560&gt;=8),"CAN'T LOSE THEM",AND(F560&lt;=2,G560&lt;=2,H560&lt;=2),"HIBERNATING",TRUE(),"Other")</f>
        <v>NEED ATTENTION</v>
      </c>
      <c r="K560" s="1" t="n">
        <f aca="false">RANK(E560,$E$7:$E$4378)+COUNTIF($E$7:E560,E560)-1</f>
        <v>2715</v>
      </c>
    </row>
    <row r="561" customFormat="false" ht="14.25" hidden="false" customHeight="true" outlineLevel="0" collapsed="false">
      <c r="A561" s="51" t="n">
        <v>13067</v>
      </c>
      <c r="B561" s="53" t="n">
        <v>40804.5680555556</v>
      </c>
      <c r="C561" s="57" t="n">
        <f aca="false">INT($C$2)-INT(Table3[[#This Row],[Last Purchase Date]])</f>
        <v>83</v>
      </c>
      <c r="D561" s="1" t="n">
        <v>1</v>
      </c>
      <c r="E561" s="1" t="n">
        <v>115.46</v>
      </c>
      <c r="F561" s="1" t="n">
        <f aca="false">ROUND((1-_xlfn.PERCENTRANK.INC($C$7:$C$4378,C561))*9,0)</f>
        <v>3</v>
      </c>
      <c r="G561" s="1" t="n">
        <f aca="false">ROUND(_xlfn.PERCENTRANK.INC($D$7:$D$4378,D561)*9,0)</f>
        <v>0</v>
      </c>
      <c r="H561" s="1" t="n">
        <f aca="false">ROUND(_xlfn.PERCENTRANK.INC($E$7:$E$4378,E561)*9,0)</f>
        <v>1</v>
      </c>
      <c r="I561" s="1" t="str">
        <f aca="false">CONCATENATE(F561,G561,H561)</f>
        <v>301</v>
      </c>
      <c r="J561" s="1" t="str">
        <f aca="false">_xlfn.IFS(AND(F561&gt;=8,G561&gt;=8,H561&gt;=8),"CHAMPION",AND(F561&gt;=6,G561&gt;=7,H561&gt;=6),"LOYAL CUSTOMER",AND(F561&gt;=6,G561&gt;=5,H561&gt;=5),"POTENTIAL LOYALIST",AND(F561&gt;=8,G561&lt;=2,H561&gt;=5),"NEW CUSTOMERS",AND(F561&gt;=6,G561&lt;=2,H561&gt;=3),"PROMISING",AND(F561&gt;=3,G561&gt;=3,H561&gt;=3),"NEED ATTENTION",AND(F561&lt;=4,G561&gt;=6,H561&gt;=6),"AT RISK",AND(F561&lt;=2,G561&gt;=8,H561&gt;=8),"CAN'T LOSE THEM",AND(F561&lt;=2,G561&lt;=2,H561&lt;=2),"HIBERNATING",TRUE(),"Other")</f>
        <v>Other</v>
      </c>
      <c r="K561" s="1" t="n">
        <f aca="false">RANK(E561,$E$7:$E$4378)+COUNTIF($E$7:E561,E561)-1</f>
        <v>4070</v>
      </c>
    </row>
    <row r="562" customFormat="false" ht="14.25" hidden="false" customHeight="true" outlineLevel="0" collapsed="false">
      <c r="A562" s="51" t="n">
        <v>13068</v>
      </c>
      <c r="B562" s="53" t="n">
        <v>40876.625</v>
      </c>
      <c r="C562" s="57" t="n">
        <f aca="false">INT($C$2)-INT(Table3[[#This Row],[Last Purchase Date]])</f>
        <v>11</v>
      </c>
      <c r="D562" s="1" t="n">
        <v>2</v>
      </c>
      <c r="E562" s="1" t="n">
        <v>344</v>
      </c>
      <c r="F562" s="1" t="n">
        <f aca="false">ROUND((1-_xlfn.PERCENTRANK.INC($C$7:$C$4378,C562))*9,0)</f>
        <v>7</v>
      </c>
      <c r="G562" s="1" t="n">
        <f aca="false">ROUND(_xlfn.PERCENTRANK.INC($D$7:$D$4378,D562)*9,0)</f>
        <v>3</v>
      </c>
      <c r="H562" s="1" t="n">
        <f aca="false">ROUND(_xlfn.PERCENTRANK.INC($E$7:$E$4378,E562)*9,0)</f>
        <v>3</v>
      </c>
      <c r="I562" s="1" t="str">
        <f aca="false">CONCATENATE(F562,G562,H562)</f>
        <v>733</v>
      </c>
      <c r="J562" s="1" t="str">
        <f aca="false">_xlfn.IFS(AND(F562&gt;=8,G562&gt;=8,H562&gt;=8),"CHAMPION",AND(F562&gt;=6,G562&gt;=7,H562&gt;=6),"LOYAL CUSTOMER",AND(F562&gt;=6,G562&gt;=5,H562&gt;=5),"POTENTIAL LOYALIST",AND(F562&gt;=8,G562&lt;=2,H562&gt;=5),"NEW CUSTOMERS",AND(F562&gt;=6,G562&lt;=2,H562&gt;=3),"PROMISING",AND(F562&gt;=3,G562&gt;=3,H562&gt;=3),"NEED ATTENTION",AND(F562&lt;=4,G562&gt;=6,H562&gt;=6),"AT RISK",AND(F562&lt;=2,G562&gt;=8,H562&gt;=8),"CAN'T LOSE THEM",AND(F562&lt;=2,G562&lt;=2,H562&lt;=2),"HIBERNATING",TRUE(),"Other")</f>
        <v>NEED ATTENTION</v>
      </c>
      <c r="K562" s="1" t="n">
        <f aca="false">RANK(E562,$E$7:$E$4378)+COUNTIF($E$7:E562,E562)-1</f>
        <v>3036</v>
      </c>
    </row>
    <row r="563" customFormat="false" ht="14.25" hidden="false" customHeight="true" outlineLevel="0" collapsed="false">
      <c r="A563" s="51" t="n">
        <v>13069</v>
      </c>
      <c r="B563" s="53" t="n">
        <v>40886.3604166667</v>
      </c>
      <c r="C563" s="57" t="n">
        <f aca="false">INT($C$2)-INT(Table3[[#This Row],[Last Purchase Date]])</f>
        <v>1</v>
      </c>
      <c r="D563" s="1" t="n">
        <v>27</v>
      </c>
      <c r="E563" s="1" t="n">
        <v>3717.82</v>
      </c>
      <c r="F563" s="1" t="n">
        <f aca="false">ROUND((1-_xlfn.PERCENTRANK.INC($C$7:$C$4378,C563))*9,0)</f>
        <v>9</v>
      </c>
      <c r="G563" s="1" t="n">
        <f aca="false">ROUND(_xlfn.PERCENTRANK.INC($D$7:$D$4378,D563)*9,0)</f>
        <v>9</v>
      </c>
      <c r="H563" s="1" t="n">
        <f aca="false">ROUND(_xlfn.PERCENTRANK.INC($E$7:$E$4378,E563)*9,0)</f>
        <v>8</v>
      </c>
      <c r="I563" s="1" t="str">
        <f aca="false">CONCATENATE(F563,G563,H563)</f>
        <v>998</v>
      </c>
      <c r="J563" s="1" t="str">
        <f aca="false">_xlfn.IFS(AND(F563&gt;=8,G563&gt;=8,H563&gt;=8),"CHAMPION",AND(F563&gt;=6,G563&gt;=7,H563&gt;=6),"LOYAL CUSTOMER",AND(F563&gt;=6,G563&gt;=5,H563&gt;=5),"POTENTIAL LOYALIST",AND(F563&gt;=8,G563&lt;=2,H563&gt;=5),"NEW CUSTOMERS",AND(F563&gt;=6,G563&lt;=2,H563&gt;=3),"PROMISING",AND(F563&gt;=3,G563&gt;=3,H563&gt;=3),"NEED ATTENTION",AND(F563&lt;=4,G563&gt;=6,H563&gt;=6),"AT RISK",AND(F563&lt;=2,G563&gt;=8,H563&gt;=8),"CAN'T LOSE THEM",AND(F563&lt;=2,G563&lt;=2,H563&lt;=2),"HIBERNATING",TRUE(),"Other")</f>
        <v>CHAMPION</v>
      </c>
      <c r="K563" s="1" t="n">
        <f aca="false">RANK(E563,$E$7:$E$4378)+COUNTIF($E$7:E563,E563)-1</f>
        <v>402</v>
      </c>
    </row>
    <row r="564" customFormat="false" ht="14.25" hidden="false" customHeight="true" outlineLevel="0" collapsed="false">
      <c r="A564" s="51" t="n">
        <v>13070</v>
      </c>
      <c r="B564" s="53" t="n">
        <v>40694.5729166667</v>
      </c>
      <c r="C564" s="57" t="n">
        <f aca="false">INT($C$2)-INT(Table3[[#This Row],[Last Purchase Date]])</f>
        <v>193</v>
      </c>
      <c r="D564" s="1" t="n">
        <v>1</v>
      </c>
      <c r="E564" s="1" t="n">
        <v>228.8</v>
      </c>
      <c r="F564" s="1" t="n">
        <f aca="false">ROUND((1-_xlfn.PERCENTRANK.INC($C$7:$C$4378,C564))*9,0)</f>
        <v>2</v>
      </c>
      <c r="G564" s="1" t="n">
        <f aca="false">ROUND(_xlfn.PERCENTRANK.INC($D$7:$D$4378,D564)*9,0)</f>
        <v>0</v>
      </c>
      <c r="H564" s="1" t="n">
        <f aca="false">ROUND(_xlfn.PERCENTRANK.INC($E$7:$E$4378,E564)*9,0)</f>
        <v>2</v>
      </c>
      <c r="I564" s="1" t="str">
        <f aca="false">CONCATENATE(F564,G564,H564)</f>
        <v>202</v>
      </c>
      <c r="J564" s="1" t="str">
        <f aca="false">_xlfn.IFS(AND(F564&gt;=8,G564&gt;=8,H564&gt;=8),"CHAMPION",AND(F564&gt;=6,G564&gt;=7,H564&gt;=6),"LOYAL CUSTOMER",AND(F564&gt;=6,G564&gt;=5,H564&gt;=5),"POTENTIAL LOYALIST",AND(F564&gt;=8,G564&lt;=2,H564&gt;=5),"NEW CUSTOMERS",AND(F564&gt;=6,G564&lt;=2,H564&gt;=3),"PROMISING",AND(F564&gt;=3,G564&gt;=3,H564&gt;=3),"NEED ATTENTION",AND(F564&lt;=4,G564&gt;=6,H564&gt;=6),"AT RISK",AND(F564&lt;=2,G564&gt;=8,H564&gt;=8),"CAN'T LOSE THEM",AND(F564&lt;=2,G564&lt;=2,H564&lt;=2),"HIBERNATING",TRUE(),"Other")</f>
        <v>HIBERNATING</v>
      </c>
      <c r="K564" s="1" t="n">
        <f aca="false">RANK(E564,$E$7:$E$4378)+COUNTIF($E$7:E564,E564)-1</f>
        <v>3526</v>
      </c>
    </row>
    <row r="565" customFormat="false" ht="14.25" hidden="false" customHeight="true" outlineLevel="0" collapsed="false">
      <c r="A565" s="51" t="n">
        <v>13072</v>
      </c>
      <c r="B565" s="53" t="n">
        <v>40620.3416666667</v>
      </c>
      <c r="C565" s="57" t="n">
        <f aca="false">INT($C$2)-INT(Table3[[#This Row],[Last Purchase Date]])</f>
        <v>267</v>
      </c>
      <c r="D565" s="1" t="n">
        <v>1</v>
      </c>
      <c r="E565" s="1" t="n">
        <v>177.15</v>
      </c>
      <c r="F565" s="1" t="n">
        <f aca="false">ROUND((1-_xlfn.PERCENTRANK.INC($C$7:$C$4378,C565))*9,0)</f>
        <v>1</v>
      </c>
      <c r="G565" s="1" t="n">
        <f aca="false">ROUND(_xlfn.PERCENTRANK.INC($D$7:$D$4378,D565)*9,0)</f>
        <v>0</v>
      </c>
      <c r="H565" s="1" t="n">
        <f aca="false">ROUND(_xlfn.PERCENTRANK.INC($E$7:$E$4378,E565)*9,0)</f>
        <v>1</v>
      </c>
      <c r="I565" s="1" t="str">
        <f aca="false">CONCATENATE(F565,G565,H565)</f>
        <v>101</v>
      </c>
      <c r="J565" s="1" t="str">
        <f aca="false">_xlfn.IFS(AND(F565&gt;=8,G565&gt;=8,H565&gt;=8),"CHAMPION",AND(F565&gt;=6,G565&gt;=7,H565&gt;=6),"LOYAL CUSTOMER",AND(F565&gt;=6,G565&gt;=5,H565&gt;=5),"POTENTIAL LOYALIST",AND(F565&gt;=8,G565&lt;=2,H565&gt;=5),"NEW CUSTOMERS",AND(F565&gt;=6,G565&lt;=2,H565&gt;=3),"PROMISING",AND(F565&gt;=3,G565&gt;=3,H565&gt;=3),"NEED ATTENTION",AND(F565&lt;=4,G565&gt;=6,H565&gt;=6),"AT RISK",AND(F565&lt;=2,G565&gt;=8,H565&gt;=8),"CAN'T LOSE THEM",AND(F565&lt;=2,G565&lt;=2,H565&lt;=2),"HIBERNATING",TRUE(),"Other")</f>
        <v>HIBERNATING</v>
      </c>
      <c r="K565" s="1" t="n">
        <f aca="false">RANK(E565,$E$7:$E$4378)+COUNTIF($E$7:E565,E565)-1</f>
        <v>3770</v>
      </c>
    </row>
    <row r="566" customFormat="false" ht="14.25" hidden="false" customHeight="true" outlineLevel="0" collapsed="false">
      <c r="A566" s="51" t="n">
        <v>13075</v>
      </c>
      <c r="B566" s="53" t="n">
        <v>40757.4298611111</v>
      </c>
      <c r="C566" s="57" t="n">
        <f aca="false">INT($C$2)-INT(Table3[[#This Row],[Last Purchase Date]])</f>
        <v>130</v>
      </c>
      <c r="D566" s="1" t="n">
        <v>1</v>
      </c>
      <c r="E566" s="1" t="n">
        <v>919.61</v>
      </c>
      <c r="F566" s="1" t="n">
        <f aca="false">ROUND((1-_xlfn.PERCENTRANK.INC($C$7:$C$4378,C566))*9,0)</f>
        <v>2</v>
      </c>
      <c r="G566" s="1" t="n">
        <f aca="false">ROUND(_xlfn.PERCENTRANK.INC($D$7:$D$4378,D566)*9,0)</f>
        <v>0</v>
      </c>
      <c r="H566" s="1" t="n">
        <f aca="false">ROUND(_xlfn.PERCENTRANK.INC($E$7:$E$4378,E566)*9,0)</f>
        <v>5</v>
      </c>
      <c r="I566" s="1" t="str">
        <f aca="false">CONCATENATE(F566,G566,H566)</f>
        <v>205</v>
      </c>
      <c r="J566" s="1" t="str">
        <f aca="false">_xlfn.IFS(AND(F566&gt;=8,G566&gt;=8,H566&gt;=8),"CHAMPION",AND(F566&gt;=6,G566&gt;=7,H566&gt;=6),"LOYAL CUSTOMER",AND(F566&gt;=6,G566&gt;=5,H566&gt;=5),"POTENTIAL LOYALIST",AND(F566&gt;=8,G566&lt;=2,H566&gt;=5),"NEW CUSTOMERS",AND(F566&gt;=6,G566&lt;=2,H566&gt;=3),"PROMISING",AND(F566&gt;=3,G566&gt;=3,H566&gt;=3),"NEED ATTENTION",AND(F566&lt;=4,G566&gt;=6,H566&gt;=6),"AT RISK",AND(F566&lt;=2,G566&gt;=8,H566&gt;=8),"CAN'T LOSE THEM",AND(F566&lt;=2,G566&lt;=2,H566&lt;=2),"HIBERNATING",TRUE(),"Other")</f>
        <v>Other</v>
      </c>
      <c r="K566" s="1" t="n">
        <f aca="false">RANK(E566,$E$7:$E$4378)+COUNTIF($E$7:E566,E566)-1</f>
        <v>1729</v>
      </c>
    </row>
    <row r="567" customFormat="false" ht="14.25" hidden="false" customHeight="true" outlineLevel="0" collapsed="false">
      <c r="A567" s="51" t="n">
        <v>13077</v>
      </c>
      <c r="B567" s="53" t="n">
        <v>40885.8083333333</v>
      </c>
      <c r="C567" s="57" t="n">
        <f aca="false">INT($C$2)-INT(Table3[[#This Row],[Last Purchase Date]])</f>
        <v>2</v>
      </c>
      <c r="D567" s="1" t="n">
        <v>4</v>
      </c>
      <c r="E567" s="1" t="n">
        <v>729.27</v>
      </c>
      <c r="F567" s="1" t="n">
        <f aca="false">ROUND((1-_xlfn.PERCENTRANK.INC($C$7:$C$4378,C567))*9,0)</f>
        <v>9</v>
      </c>
      <c r="G567" s="1" t="n">
        <f aca="false">ROUND(_xlfn.PERCENTRANK.INC($D$7:$D$4378,D567)*9,0)</f>
        <v>5</v>
      </c>
      <c r="H567" s="1" t="n">
        <f aca="false">ROUND(_xlfn.PERCENTRANK.INC($E$7:$E$4378,E567)*9,0)</f>
        <v>5</v>
      </c>
      <c r="I567" s="1" t="str">
        <f aca="false">CONCATENATE(F567,G567,H567)</f>
        <v>955</v>
      </c>
      <c r="J567" s="1" t="str">
        <f aca="false">_xlfn.IFS(AND(F567&gt;=8,G567&gt;=8,H567&gt;=8),"CHAMPION",AND(F567&gt;=6,G567&gt;=7,H567&gt;=6),"LOYAL CUSTOMER",AND(F567&gt;=6,G567&gt;=5,H567&gt;=5),"POTENTIAL LOYALIST",AND(F567&gt;=8,G567&lt;=2,H567&gt;=5),"NEW CUSTOMERS",AND(F567&gt;=6,G567&lt;=2,H567&gt;=3),"PROMISING",AND(F567&gt;=3,G567&gt;=3,H567&gt;=3),"NEED ATTENTION",AND(F567&lt;=4,G567&gt;=6,H567&gt;=6),"AT RISK",AND(F567&lt;=2,G567&gt;=8,H567&gt;=8),"CAN'T LOSE THEM",AND(F567&lt;=2,G567&lt;=2,H567&lt;=2),"HIBERNATING",TRUE(),"Other")</f>
        <v>POTENTIAL LOYALIST</v>
      </c>
      <c r="K567" s="1" t="n">
        <f aca="false">RANK(E567,$E$7:$E$4378)+COUNTIF($E$7:E567,E567)-1</f>
        <v>2011</v>
      </c>
    </row>
    <row r="568" customFormat="false" ht="14.25" hidden="false" customHeight="true" outlineLevel="0" collapsed="false">
      <c r="A568" s="51" t="n">
        <v>13078</v>
      </c>
      <c r="B568" s="53" t="n">
        <v>40885.7833333333</v>
      </c>
      <c r="C568" s="57" t="n">
        <f aca="false">INT($C$2)-INT(Table3[[#This Row],[Last Purchase Date]])</f>
        <v>2</v>
      </c>
      <c r="D568" s="1" t="n">
        <v>43</v>
      </c>
      <c r="E568" s="1" t="n">
        <v>12432.28</v>
      </c>
      <c r="F568" s="1" t="n">
        <f aca="false">ROUND((1-_xlfn.PERCENTRANK.INC($C$7:$C$4378,C568))*9,0)</f>
        <v>9</v>
      </c>
      <c r="G568" s="1" t="n">
        <f aca="false">ROUND(_xlfn.PERCENTRANK.INC($D$7:$D$4378,D568)*9,0)</f>
        <v>9</v>
      </c>
      <c r="H568" s="1" t="n">
        <f aca="false">ROUND(_xlfn.PERCENTRANK.INC($E$7:$E$4378,E568)*9,0)</f>
        <v>9</v>
      </c>
      <c r="I568" s="1" t="str">
        <f aca="false">CONCATENATE(F568,G568,H568)</f>
        <v>999</v>
      </c>
      <c r="J568" s="1" t="str">
        <f aca="false">_xlfn.IFS(AND(F568&gt;=8,G568&gt;=8,H568&gt;=8),"CHAMPION",AND(F568&gt;=6,G568&gt;=7,H568&gt;=6),"LOYAL CUSTOMER",AND(F568&gt;=6,G568&gt;=5,H568&gt;=5),"POTENTIAL LOYALIST",AND(F568&gt;=8,G568&lt;=2,H568&gt;=5),"NEW CUSTOMERS",AND(F568&gt;=6,G568&lt;=2,H568&gt;=3),"PROMISING",AND(F568&gt;=3,G568&gt;=3,H568&gt;=3),"NEED ATTENTION",AND(F568&lt;=4,G568&gt;=6,H568&gt;=6),"AT RISK",AND(F568&lt;=2,G568&gt;=8,H568&gt;=8),"CAN'T LOSE THEM",AND(F568&lt;=2,G568&lt;=2,H568&lt;=2),"HIBERNATING",TRUE(),"Other")</f>
        <v>CHAMPION</v>
      </c>
      <c r="K568" s="1" t="n">
        <f aca="false">RANK(E568,$E$7:$E$4378)+COUNTIF($E$7:E568,E568)-1</f>
        <v>68</v>
      </c>
    </row>
    <row r="569" customFormat="false" ht="14.25" hidden="false" customHeight="true" outlineLevel="0" collapsed="false">
      <c r="A569" s="51" t="n">
        <v>13079</v>
      </c>
      <c r="B569" s="53" t="n">
        <v>40882.7034722222</v>
      </c>
      <c r="C569" s="57" t="n">
        <f aca="false">INT($C$2)-INT(Table3[[#This Row],[Last Purchase Date]])</f>
        <v>5</v>
      </c>
      <c r="D569" s="1" t="n">
        <v>5</v>
      </c>
      <c r="E569" s="1" t="n">
        <v>220.1</v>
      </c>
      <c r="F569" s="1" t="n">
        <f aca="false">ROUND((1-_xlfn.PERCENTRANK.INC($C$7:$C$4378,C569))*9,0)</f>
        <v>8</v>
      </c>
      <c r="G569" s="1" t="n">
        <f aca="false">ROUND(_xlfn.PERCENTRANK.INC($D$7:$D$4378,D569)*9,0)</f>
        <v>6</v>
      </c>
      <c r="H569" s="1" t="n">
        <f aca="false">ROUND(_xlfn.PERCENTRANK.INC($E$7:$E$4378,E569)*9,0)</f>
        <v>2</v>
      </c>
      <c r="I569" s="1" t="str">
        <f aca="false">CONCATENATE(F569,G569,H569)</f>
        <v>862</v>
      </c>
      <c r="J569" s="1" t="str">
        <f aca="false">_xlfn.IFS(AND(F569&gt;=8,G569&gt;=8,H569&gt;=8),"CHAMPION",AND(F569&gt;=6,G569&gt;=7,H569&gt;=6),"LOYAL CUSTOMER",AND(F569&gt;=6,G569&gt;=5,H569&gt;=5),"POTENTIAL LOYALIST",AND(F569&gt;=8,G569&lt;=2,H569&gt;=5),"NEW CUSTOMERS",AND(F569&gt;=6,G569&lt;=2,H569&gt;=3),"PROMISING",AND(F569&gt;=3,G569&gt;=3,H569&gt;=3),"NEED ATTENTION",AND(F569&lt;=4,G569&gt;=6,H569&gt;=6),"AT RISK",AND(F569&lt;=2,G569&gt;=8,H569&gt;=8),"CAN'T LOSE THEM",AND(F569&lt;=2,G569&lt;=2,H569&lt;=2),"HIBERNATING",TRUE(),"Other")</f>
        <v>Other</v>
      </c>
      <c r="K569" s="1" t="n">
        <f aca="false">RANK(E569,$E$7:$E$4378)+COUNTIF($E$7:E569,E569)-1</f>
        <v>3559</v>
      </c>
    </row>
    <row r="570" customFormat="false" ht="14.25" hidden="false" customHeight="true" outlineLevel="0" collapsed="false">
      <c r="A570" s="51" t="n">
        <v>13080</v>
      </c>
      <c r="B570" s="53" t="n">
        <v>40707.6243055556</v>
      </c>
      <c r="C570" s="57" t="n">
        <f aca="false">INT($C$2)-INT(Table3[[#This Row],[Last Purchase Date]])</f>
        <v>180</v>
      </c>
      <c r="D570" s="1" t="n">
        <v>1</v>
      </c>
      <c r="E570" s="1" t="n">
        <v>58.08</v>
      </c>
      <c r="F570" s="1" t="n">
        <f aca="false">ROUND((1-_xlfn.PERCENTRANK.INC($C$7:$C$4378,C570))*9,0)</f>
        <v>2</v>
      </c>
      <c r="G570" s="1" t="n">
        <f aca="false">ROUND(_xlfn.PERCENTRANK.INC($D$7:$D$4378,D570)*9,0)</f>
        <v>0</v>
      </c>
      <c r="H570" s="1" t="n">
        <f aca="false">ROUND(_xlfn.PERCENTRANK.INC($E$7:$E$4378,E570)*9,0)</f>
        <v>0</v>
      </c>
      <c r="I570" s="1" t="str">
        <f aca="false">CONCATENATE(F570,G570,H570)</f>
        <v>200</v>
      </c>
      <c r="J570" s="1" t="str">
        <f aca="false">_xlfn.IFS(AND(F570&gt;=8,G570&gt;=8,H570&gt;=8),"CHAMPION",AND(F570&gt;=6,G570&gt;=7,H570&gt;=6),"LOYAL CUSTOMER",AND(F570&gt;=6,G570&gt;=5,H570&gt;=5),"POTENTIAL LOYALIST",AND(F570&gt;=8,G570&lt;=2,H570&gt;=5),"NEW CUSTOMERS",AND(F570&gt;=6,G570&lt;=2,H570&gt;=3),"PROMISING",AND(F570&gt;=3,G570&gt;=3,H570&gt;=3),"NEED ATTENTION",AND(F570&lt;=4,G570&gt;=6,H570&gt;=6),"AT RISK",AND(F570&lt;=2,G570&gt;=8,H570&gt;=8),"CAN'T LOSE THEM",AND(F570&lt;=2,G570&lt;=2,H570&lt;=2),"HIBERNATING",TRUE(),"Other")</f>
        <v>HIBERNATING</v>
      </c>
      <c r="K570" s="1" t="n">
        <f aca="false">RANK(E570,$E$7:$E$4378)+COUNTIF($E$7:E570,E570)-1</f>
        <v>4269</v>
      </c>
    </row>
    <row r="571" customFormat="false" ht="14.25" hidden="false" customHeight="true" outlineLevel="0" collapsed="false">
      <c r="A571" s="51" t="n">
        <v>13081</v>
      </c>
      <c r="B571" s="53" t="n">
        <v>40885.5506944444</v>
      </c>
      <c r="C571" s="57" t="n">
        <f aca="false">INT($C$2)-INT(Table3[[#This Row],[Last Purchase Date]])</f>
        <v>2</v>
      </c>
      <c r="D571" s="1" t="n">
        <v>21</v>
      </c>
      <c r="E571" s="1" t="n">
        <v>27964.48</v>
      </c>
      <c r="F571" s="1" t="n">
        <f aca="false">ROUND((1-_xlfn.PERCENTRANK.INC($C$7:$C$4378,C571))*9,0)</f>
        <v>9</v>
      </c>
      <c r="G571" s="1" t="n">
        <f aca="false">ROUND(_xlfn.PERCENTRANK.INC($D$7:$D$4378,D571)*9,0)</f>
        <v>9</v>
      </c>
      <c r="H571" s="1" t="n">
        <f aca="false">ROUND(_xlfn.PERCENTRANK.INC($E$7:$E$4378,E571)*9,0)</f>
        <v>9</v>
      </c>
      <c r="I571" s="1" t="str">
        <f aca="false">CONCATENATE(F571,G571,H571)</f>
        <v>999</v>
      </c>
      <c r="J571" s="1" t="str">
        <f aca="false">_xlfn.IFS(AND(F571&gt;=8,G571&gt;=8,H571&gt;=8),"CHAMPION",AND(F571&gt;=6,G571&gt;=7,H571&gt;=6),"LOYAL CUSTOMER",AND(F571&gt;=6,G571&gt;=5,H571&gt;=5),"POTENTIAL LOYALIST",AND(F571&gt;=8,G571&lt;=2,H571&gt;=5),"NEW CUSTOMERS",AND(F571&gt;=6,G571&lt;=2,H571&gt;=3),"PROMISING",AND(F571&gt;=3,G571&gt;=3,H571&gt;=3),"NEED ATTENTION",AND(F571&lt;=4,G571&gt;=6,H571&gt;=6),"AT RISK",AND(F571&lt;=2,G571&gt;=8,H571&gt;=8),"CAN'T LOSE THEM",AND(F571&lt;=2,G571&lt;=2,H571&lt;=2),"HIBERNATING",TRUE(),"Other")</f>
        <v>CHAMPION</v>
      </c>
      <c r="K571" s="1" t="n">
        <f aca="false">RANK(E571,$E$7:$E$4378)+COUNTIF($E$7:E571,E571)-1</f>
        <v>29</v>
      </c>
    </row>
    <row r="572" customFormat="false" ht="14.25" hidden="false" customHeight="true" outlineLevel="0" collapsed="false">
      <c r="A572" s="51" t="n">
        <v>13082</v>
      </c>
      <c r="B572" s="53" t="n">
        <v>40760.6777777778</v>
      </c>
      <c r="C572" s="57" t="n">
        <f aca="false">INT($C$2)-INT(Table3[[#This Row],[Last Purchase Date]])</f>
        <v>127</v>
      </c>
      <c r="D572" s="1" t="n">
        <v>10</v>
      </c>
      <c r="E572" s="1" t="n">
        <v>3595.48</v>
      </c>
      <c r="F572" s="1" t="n">
        <f aca="false">ROUND((1-_xlfn.PERCENTRANK.INC($C$7:$C$4378,C572))*9,0)</f>
        <v>2</v>
      </c>
      <c r="G572" s="1" t="n">
        <f aca="false">ROUND(_xlfn.PERCENTRANK.INC($D$7:$D$4378,D572)*9,0)</f>
        <v>8</v>
      </c>
      <c r="H572" s="1" t="n">
        <f aca="false">ROUND(_xlfn.PERCENTRANK.INC($E$7:$E$4378,E572)*9,0)</f>
        <v>8</v>
      </c>
      <c r="I572" s="1" t="str">
        <f aca="false">CONCATENATE(F572,G572,H572)</f>
        <v>288</v>
      </c>
      <c r="J572" s="1" t="str">
        <f aca="false">_xlfn.IFS(AND(F572&gt;=8,G572&gt;=8,H572&gt;=8),"CHAMPION",AND(F572&gt;=6,G572&gt;=7,H572&gt;=6),"LOYAL CUSTOMER",AND(F572&gt;=6,G572&gt;=5,H572&gt;=5),"POTENTIAL LOYALIST",AND(F572&gt;=8,G572&lt;=2,H572&gt;=5),"NEW CUSTOMERS",AND(F572&gt;=6,G572&lt;=2,H572&gt;=3),"PROMISING",AND(F572&gt;=3,G572&gt;=3,H572&gt;=3),"NEED ATTENTION",AND(F572&lt;=4,G572&gt;=6,H572&gt;=6),"AT RISK",AND(F572&lt;=2,G572&gt;=8,H572&gt;=8),"CAN'T LOSE THEM",AND(F572&lt;=2,G572&lt;=2,H572&lt;=2),"HIBERNATING",TRUE(),"Other")</f>
        <v>AT RISK</v>
      </c>
      <c r="K572" s="1" t="n">
        <f aca="false">RANK(E572,$E$7:$E$4378)+COUNTIF($E$7:E572,E572)-1</f>
        <v>422</v>
      </c>
    </row>
    <row r="573" customFormat="false" ht="14.25" hidden="false" customHeight="true" outlineLevel="0" collapsed="false">
      <c r="A573" s="51" t="n">
        <v>13083</v>
      </c>
      <c r="B573" s="53" t="n">
        <v>40882.6256944445</v>
      </c>
      <c r="C573" s="57" t="n">
        <f aca="false">INT($C$2)-INT(Table3[[#This Row],[Last Purchase Date]])</f>
        <v>5</v>
      </c>
      <c r="D573" s="1" t="n">
        <v>2</v>
      </c>
      <c r="E573" s="1" t="n">
        <v>303.75</v>
      </c>
      <c r="F573" s="1" t="n">
        <f aca="false">ROUND((1-_xlfn.PERCENTRANK.INC($C$7:$C$4378,C573))*9,0)</f>
        <v>8</v>
      </c>
      <c r="G573" s="1" t="n">
        <f aca="false">ROUND(_xlfn.PERCENTRANK.INC($D$7:$D$4378,D573)*9,0)</f>
        <v>3</v>
      </c>
      <c r="H573" s="1" t="n">
        <f aca="false">ROUND(_xlfn.PERCENTRANK.INC($E$7:$E$4378,E573)*9,0)</f>
        <v>2</v>
      </c>
      <c r="I573" s="1" t="str">
        <f aca="false">CONCATENATE(F573,G573,H573)</f>
        <v>832</v>
      </c>
      <c r="J573" s="1" t="str">
        <f aca="false">_xlfn.IFS(AND(F573&gt;=8,G573&gt;=8,H573&gt;=8),"CHAMPION",AND(F573&gt;=6,G573&gt;=7,H573&gt;=6),"LOYAL CUSTOMER",AND(F573&gt;=6,G573&gt;=5,H573&gt;=5),"POTENTIAL LOYALIST",AND(F573&gt;=8,G573&lt;=2,H573&gt;=5),"NEW CUSTOMERS",AND(F573&gt;=6,G573&lt;=2,H573&gt;=3),"PROMISING",AND(F573&gt;=3,G573&gt;=3,H573&gt;=3),"NEED ATTENTION",AND(F573&lt;=4,G573&gt;=6,H573&gt;=6),"AT RISK",AND(F573&lt;=2,G573&gt;=8,H573&gt;=8),"CAN'T LOSE THEM",AND(F573&lt;=2,G573&lt;=2,H573&lt;=2),"HIBERNATING",TRUE(),"Other")</f>
        <v>Other</v>
      </c>
      <c r="K573" s="1" t="n">
        <f aca="false">RANK(E573,$E$7:$E$4378)+COUNTIF($E$7:E573,E573)-1</f>
        <v>3234</v>
      </c>
    </row>
    <row r="574" customFormat="false" ht="14.25" hidden="false" customHeight="true" outlineLevel="0" collapsed="false">
      <c r="A574" s="51" t="n">
        <v>13085</v>
      </c>
      <c r="B574" s="53" t="n">
        <v>40729.5076388889</v>
      </c>
      <c r="C574" s="57" t="n">
        <f aca="false">INT($C$2)-INT(Table3[[#This Row],[Last Purchase Date]])</f>
        <v>158</v>
      </c>
      <c r="D574" s="1" t="n">
        <v>3</v>
      </c>
      <c r="E574" s="1" t="n">
        <v>272.38</v>
      </c>
      <c r="F574" s="1" t="n">
        <f aca="false">ROUND((1-_xlfn.PERCENTRANK.INC($C$7:$C$4378,C574))*9,0)</f>
        <v>2</v>
      </c>
      <c r="G574" s="1" t="n">
        <f aca="false">ROUND(_xlfn.PERCENTRANK.INC($D$7:$D$4378,D574)*9,0)</f>
        <v>4</v>
      </c>
      <c r="H574" s="1" t="n">
        <f aca="false">ROUND(_xlfn.PERCENTRANK.INC($E$7:$E$4378,E574)*9,0)</f>
        <v>2</v>
      </c>
      <c r="I574" s="1" t="str">
        <f aca="false">CONCATENATE(F574,G574,H574)</f>
        <v>242</v>
      </c>
      <c r="J574" s="1" t="str">
        <f aca="false">_xlfn.IFS(AND(F574&gt;=8,G574&gt;=8,H574&gt;=8),"CHAMPION",AND(F574&gt;=6,G574&gt;=7,H574&gt;=6),"LOYAL CUSTOMER",AND(F574&gt;=6,G574&gt;=5,H574&gt;=5),"POTENTIAL LOYALIST",AND(F574&gt;=8,G574&lt;=2,H574&gt;=5),"NEW CUSTOMERS",AND(F574&gt;=6,G574&lt;=2,H574&gt;=3),"PROMISING",AND(F574&gt;=3,G574&gt;=3,H574&gt;=3),"NEED ATTENTION",AND(F574&lt;=4,G574&gt;=6,H574&gt;=6),"AT RISK",AND(F574&lt;=2,G574&gt;=8,H574&gt;=8),"CAN'T LOSE THEM",AND(F574&lt;=2,G574&lt;=2,H574&lt;=2),"HIBERNATING",TRUE(),"Other")</f>
        <v>Other</v>
      </c>
      <c r="K574" s="1" t="n">
        <f aca="false">RANK(E574,$E$7:$E$4378)+COUNTIF($E$7:E574,E574)-1</f>
        <v>3350</v>
      </c>
    </row>
    <row r="575" customFormat="false" ht="14.25" hidden="false" customHeight="true" outlineLevel="0" collapsed="false">
      <c r="A575" s="51" t="n">
        <v>13089</v>
      </c>
      <c r="B575" s="53" t="n">
        <v>40884.3763888889</v>
      </c>
      <c r="C575" s="57" t="n">
        <f aca="false">INT($C$2)-INT(Table3[[#This Row],[Last Purchase Date]])</f>
        <v>3</v>
      </c>
      <c r="D575" s="1" t="n">
        <v>118</v>
      </c>
      <c r="E575" s="1" t="n">
        <v>57385.8800000001</v>
      </c>
      <c r="F575" s="1" t="n">
        <f aca="false">ROUND((1-_xlfn.PERCENTRANK.INC($C$7:$C$4378,C575))*9,0)</f>
        <v>9</v>
      </c>
      <c r="G575" s="1" t="n">
        <f aca="false">ROUND(_xlfn.PERCENTRANK.INC($D$7:$D$4378,D575)*9,0)</f>
        <v>9</v>
      </c>
      <c r="H575" s="1" t="n">
        <f aca="false">ROUND(_xlfn.PERCENTRANK.INC($E$7:$E$4378,E575)*9,0)</f>
        <v>9</v>
      </c>
      <c r="I575" s="1" t="str">
        <f aca="false">CONCATENATE(F575,G575,H575)</f>
        <v>999</v>
      </c>
      <c r="J575" s="1" t="str">
        <f aca="false">_xlfn.IFS(AND(F575&gt;=8,G575&gt;=8,H575&gt;=8),"CHAMPION",AND(F575&gt;=6,G575&gt;=7,H575&gt;=6),"LOYAL CUSTOMER",AND(F575&gt;=6,G575&gt;=5,H575&gt;=5),"POTENTIAL LOYALIST",AND(F575&gt;=8,G575&lt;=2,H575&gt;=5),"NEW CUSTOMERS",AND(F575&gt;=6,G575&lt;=2,H575&gt;=3),"PROMISING",AND(F575&gt;=3,G575&gt;=3,H575&gt;=3),"NEED ATTENTION",AND(F575&lt;=4,G575&gt;=6,H575&gt;=6),"AT RISK",AND(F575&lt;=2,G575&gt;=8,H575&gt;=8),"CAN'T LOSE THEM",AND(F575&lt;=2,G575&lt;=2,H575&lt;=2),"HIBERNATING",TRUE(),"Other")</f>
        <v>CHAMPION</v>
      </c>
      <c r="K575" s="1" t="n">
        <f aca="false">RANK(E575,$E$7:$E$4378)+COUNTIF($E$7:E575,E575)-1</f>
        <v>11</v>
      </c>
    </row>
    <row r="576" customFormat="false" ht="14.25" hidden="false" customHeight="true" outlineLevel="0" collapsed="false">
      <c r="A576" s="51" t="n">
        <v>13090</v>
      </c>
      <c r="B576" s="53" t="n">
        <v>40878.5270833333</v>
      </c>
      <c r="C576" s="57" t="n">
        <f aca="false">INT($C$2)-INT(Table3[[#This Row],[Last Purchase Date]])</f>
        <v>9</v>
      </c>
      <c r="D576" s="1" t="n">
        <v>18</v>
      </c>
      <c r="E576" s="1" t="n">
        <v>8689.39</v>
      </c>
      <c r="F576" s="1" t="n">
        <f aca="false">ROUND((1-_xlfn.PERCENTRANK.INC($C$7:$C$4378,C576))*9,0)</f>
        <v>8</v>
      </c>
      <c r="G576" s="1" t="n">
        <f aca="false">ROUND(_xlfn.PERCENTRANK.INC($D$7:$D$4378,D576)*9,0)</f>
        <v>9</v>
      </c>
      <c r="H576" s="1" t="n">
        <f aca="false">ROUND(_xlfn.PERCENTRANK.INC($E$7:$E$4378,E576)*9,0)</f>
        <v>9</v>
      </c>
      <c r="I576" s="1" t="str">
        <f aca="false">CONCATENATE(F576,G576,H576)</f>
        <v>899</v>
      </c>
      <c r="J576" s="1" t="str">
        <f aca="false">_xlfn.IFS(AND(F576&gt;=8,G576&gt;=8,H576&gt;=8),"CHAMPION",AND(F576&gt;=6,G576&gt;=7,H576&gt;=6),"LOYAL CUSTOMER",AND(F576&gt;=6,G576&gt;=5,H576&gt;=5),"POTENTIAL LOYALIST",AND(F576&gt;=8,G576&lt;=2,H576&gt;=5),"NEW CUSTOMERS",AND(F576&gt;=6,G576&lt;=2,H576&gt;=3),"PROMISING",AND(F576&gt;=3,G576&gt;=3,H576&gt;=3),"NEED ATTENTION",AND(F576&lt;=4,G576&gt;=6,H576&gt;=6),"AT RISK",AND(F576&lt;=2,G576&gt;=8,H576&gt;=8),"CAN'T LOSE THEM",AND(F576&lt;=2,G576&lt;=2,H576&lt;=2),"HIBERNATING",TRUE(),"Other")</f>
        <v>CHAMPION</v>
      </c>
      <c r="K576" s="1" t="n">
        <f aca="false">RANK(E576,$E$7:$E$4378)+COUNTIF($E$7:E576,E576)-1</f>
        <v>115</v>
      </c>
    </row>
    <row r="577" customFormat="false" ht="14.25" hidden="false" customHeight="true" outlineLevel="0" collapsed="false">
      <c r="A577" s="51" t="n">
        <v>13091</v>
      </c>
      <c r="B577" s="53" t="n">
        <v>40865.7</v>
      </c>
      <c r="C577" s="57" t="n">
        <f aca="false">INT($C$2)-INT(Table3[[#This Row],[Last Purchase Date]])</f>
        <v>22</v>
      </c>
      <c r="D577" s="1" t="n">
        <v>2</v>
      </c>
      <c r="E577" s="1" t="n">
        <v>319.82</v>
      </c>
      <c r="F577" s="1" t="n">
        <f aca="false">ROUND((1-_xlfn.PERCENTRANK.INC($C$7:$C$4378,C577))*9,0)</f>
        <v>6</v>
      </c>
      <c r="G577" s="1" t="n">
        <f aca="false">ROUND(_xlfn.PERCENTRANK.INC($D$7:$D$4378,D577)*9,0)</f>
        <v>3</v>
      </c>
      <c r="H577" s="1" t="n">
        <f aca="false">ROUND(_xlfn.PERCENTRANK.INC($E$7:$E$4378,E577)*9,0)</f>
        <v>3</v>
      </c>
      <c r="I577" s="1" t="str">
        <f aca="false">CONCATENATE(F577,G577,H577)</f>
        <v>633</v>
      </c>
      <c r="J577" s="1" t="str">
        <f aca="false">_xlfn.IFS(AND(F577&gt;=8,G577&gt;=8,H577&gt;=8),"CHAMPION",AND(F577&gt;=6,G577&gt;=7,H577&gt;=6),"LOYAL CUSTOMER",AND(F577&gt;=6,G577&gt;=5,H577&gt;=5),"POTENTIAL LOYALIST",AND(F577&gt;=8,G577&lt;=2,H577&gt;=5),"NEW CUSTOMERS",AND(F577&gt;=6,G577&lt;=2,H577&gt;=3),"PROMISING",AND(F577&gt;=3,G577&gt;=3,H577&gt;=3),"NEED ATTENTION",AND(F577&lt;=4,G577&gt;=6,H577&gt;=6),"AT RISK",AND(F577&lt;=2,G577&gt;=8,H577&gt;=8),"CAN'T LOSE THEM",AND(F577&lt;=2,G577&lt;=2,H577&lt;=2),"HIBERNATING",TRUE(),"Other")</f>
        <v>NEED ATTENTION</v>
      </c>
      <c r="K577" s="1" t="n">
        <f aca="false">RANK(E577,$E$7:$E$4378)+COUNTIF($E$7:E577,E577)-1</f>
        <v>3139</v>
      </c>
    </row>
    <row r="578" customFormat="false" ht="14.25" hidden="false" customHeight="true" outlineLevel="0" collapsed="false">
      <c r="A578" s="51" t="n">
        <v>13092</v>
      </c>
      <c r="B578" s="53" t="n">
        <v>40816.4708333333</v>
      </c>
      <c r="C578" s="57" t="n">
        <f aca="false">INT($C$2)-INT(Table3[[#This Row],[Last Purchase Date]])</f>
        <v>71</v>
      </c>
      <c r="D578" s="1" t="n">
        <v>6</v>
      </c>
      <c r="E578" s="1" t="n">
        <v>459.83</v>
      </c>
      <c r="F578" s="1" t="n">
        <f aca="false">ROUND((1-_xlfn.PERCENTRANK.INC($C$7:$C$4378,C578))*9,0)</f>
        <v>4</v>
      </c>
      <c r="G578" s="1" t="n">
        <f aca="false">ROUND(_xlfn.PERCENTRANK.INC($D$7:$D$4378,D578)*9,0)</f>
        <v>7</v>
      </c>
      <c r="H578" s="1" t="n">
        <f aca="false">ROUND(_xlfn.PERCENTRANK.INC($E$7:$E$4378,E578)*9,0)</f>
        <v>4</v>
      </c>
      <c r="I578" s="1" t="str">
        <f aca="false">CONCATENATE(F578,G578,H578)</f>
        <v>474</v>
      </c>
      <c r="J578" s="1" t="str">
        <f aca="false">_xlfn.IFS(AND(F578&gt;=8,G578&gt;=8,H578&gt;=8),"CHAMPION",AND(F578&gt;=6,G578&gt;=7,H578&gt;=6),"LOYAL CUSTOMER",AND(F578&gt;=6,G578&gt;=5,H578&gt;=5),"POTENTIAL LOYALIST",AND(F578&gt;=8,G578&lt;=2,H578&gt;=5),"NEW CUSTOMERS",AND(F578&gt;=6,G578&lt;=2,H578&gt;=3),"PROMISING",AND(F578&gt;=3,G578&gt;=3,H578&gt;=3),"NEED ATTENTION",AND(F578&lt;=4,G578&gt;=6,H578&gt;=6),"AT RISK",AND(F578&lt;=2,G578&gt;=8,H578&gt;=8),"CAN'T LOSE THEM",AND(F578&lt;=2,G578&lt;=2,H578&lt;=2),"HIBERNATING",TRUE(),"Other")</f>
        <v>NEED ATTENTION</v>
      </c>
      <c r="K578" s="1" t="n">
        <f aca="false">RANK(E578,$E$7:$E$4378)+COUNTIF($E$7:E578,E578)-1</f>
        <v>2641</v>
      </c>
    </row>
    <row r="579" customFormat="false" ht="14.25" hidden="false" customHeight="true" outlineLevel="0" collapsed="false">
      <c r="A579" s="51" t="n">
        <v>13093</v>
      </c>
      <c r="B579" s="53" t="n">
        <v>40619.7194444445</v>
      </c>
      <c r="C579" s="57" t="n">
        <f aca="false">INT($C$2)-INT(Table3[[#This Row],[Last Purchase Date]])</f>
        <v>268</v>
      </c>
      <c r="D579" s="1" t="n">
        <v>13</v>
      </c>
      <c r="E579" s="1" t="n">
        <v>7741.47</v>
      </c>
      <c r="F579" s="1" t="n">
        <f aca="false">ROUND((1-_xlfn.PERCENTRANK.INC($C$7:$C$4378,C579))*9,0)</f>
        <v>1</v>
      </c>
      <c r="G579" s="1" t="n">
        <f aca="false">ROUND(_xlfn.PERCENTRANK.INC($D$7:$D$4378,D579)*9,0)</f>
        <v>8</v>
      </c>
      <c r="H579" s="1" t="n">
        <f aca="false">ROUND(_xlfn.PERCENTRANK.INC($E$7:$E$4378,E579)*9,0)</f>
        <v>9</v>
      </c>
      <c r="I579" s="1" t="str">
        <f aca="false">CONCATENATE(F579,G579,H579)</f>
        <v>189</v>
      </c>
      <c r="J579" s="1" t="str">
        <f aca="false">_xlfn.IFS(AND(F579&gt;=8,G579&gt;=8,H579&gt;=8),"CHAMPION",AND(F579&gt;=6,G579&gt;=7,H579&gt;=6),"LOYAL CUSTOMER",AND(F579&gt;=6,G579&gt;=5,H579&gt;=5),"POTENTIAL LOYALIST",AND(F579&gt;=8,G579&lt;=2,H579&gt;=5),"NEW CUSTOMERS",AND(F579&gt;=6,G579&lt;=2,H579&gt;=3),"PROMISING",AND(F579&gt;=3,G579&gt;=3,H579&gt;=3),"NEED ATTENTION",AND(F579&lt;=4,G579&gt;=6,H579&gt;=6),"AT RISK",AND(F579&lt;=2,G579&gt;=8,H579&gt;=8),"CAN'T LOSE THEM",AND(F579&lt;=2,G579&lt;=2,H579&lt;=2),"HIBERNATING",TRUE(),"Other")</f>
        <v>AT RISK</v>
      </c>
      <c r="K579" s="1" t="n">
        <f aca="false">RANK(E579,$E$7:$E$4378)+COUNTIF($E$7:E579,E579)-1</f>
        <v>136</v>
      </c>
    </row>
    <row r="580" customFormat="false" ht="14.25" hidden="false" customHeight="true" outlineLevel="0" collapsed="false">
      <c r="A580" s="51" t="n">
        <v>13094</v>
      </c>
      <c r="B580" s="53" t="n">
        <v>40865.5881944444</v>
      </c>
      <c r="C580" s="57" t="n">
        <f aca="false">INT($C$2)-INT(Table3[[#This Row],[Last Purchase Date]])</f>
        <v>22</v>
      </c>
      <c r="D580" s="1" t="n">
        <v>16</v>
      </c>
      <c r="E580" s="1" t="n">
        <v>1708.86</v>
      </c>
      <c r="F580" s="1" t="n">
        <f aca="false">ROUND((1-_xlfn.PERCENTRANK.INC($C$7:$C$4378,C580))*9,0)</f>
        <v>6</v>
      </c>
      <c r="G580" s="1" t="n">
        <f aca="false">ROUND(_xlfn.PERCENTRANK.INC($D$7:$D$4378,D580)*9,0)</f>
        <v>9</v>
      </c>
      <c r="H580" s="1" t="n">
        <f aca="false">ROUND(_xlfn.PERCENTRANK.INC($E$7:$E$4378,E580)*9,0)</f>
        <v>7</v>
      </c>
      <c r="I580" s="1" t="str">
        <f aca="false">CONCATENATE(F580,G580,H580)</f>
        <v>697</v>
      </c>
      <c r="J580" s="1" t="str">
        <f aca="false">_xlfn.IFS(AND(F580&gt;=8,G580&gt;=8,H580&gt;=8),"CHAMPION",AND(F580&gt;=6,G580&gt;=7,H580&gt;=6),"LOYAL CUSTOMER",AND(F580&gt;=6,G580&gt;=5,H580&gt;=5),"POTENTIAL LOYALIST",AND(F580&gt;=8,G580&lt;=2,H580&gt;=5),"NEW CUSTOMERS",AND(F580&gt;=6,G580&lt;=2,H580&gt;=3),"PROMISING",AND(F580&gt;=3,G580&gt;=3,H580&gt;=3),"NEED ATTENTION",AND(F580&lt;=4,G580&gt;=6,H580&gt;=6),"AT RISK",AND(F580&lt;=2,G580&gt;=8,H580&gt;=8),"CAN'T LOSE THEM",AND(F580&lt;=2,G580&lt;=2,H580&lt;=2),"HIBERNATING",TRUE(),"Other")</f>
        <v>LOYAL CUSTOMER</v>
      </c>
      <c r="K580" s="1" t="n">
        <f aca="false">RANK(E580,$E$7:$E$4378)+COUNTIF($E$7:E580,E580)-1</f>
        <v>1029</v>
      </c>
    </row>
    <row r="581" customFormat="false" ht="14.25" hidden="false" customHeight="true" outlineLevel="0" collapsed="false">
      <c r="A581" s="51" t="n">
        <v>13095</v>
      </c>
      <c r="B581" s="53" t="n">
        <v>40816.5020833333</v>
      </c>
      <c r="C581" s="57" t="n">
        <f aca="false">INT($C$2)-INT(Table3[[#This Row],[Last Purchase Date]])</f>
        <v>71</v>
      </c>
      <c r="D581" s="1" t="n">
        <v>1</v>
      </c>
      <c r="E581" s="1" t="n">
        <v>74.4</v>
      </c>
      <c r="F581" s="1" t="n">
        <f aca="false">ROUND((1-_xlfn.PERCENTRANK.INC($C$7:$C$4378,C581))*9,0)</f>
        <v>4</v>
      </c>
      <c r="G581" s="1" t="n">
        <f aca="false">ROUND(_xlfn.PERCENTRANK.INC($D$7:$D$4378,D581)*9,0)</f>
        <v>0</v>
      </c>
      <c r="H581" s="1" t="n">
        <f aca="false">ROUND(_xlfn.PERCENTRANK.INC($E$7:$E$4378,E581)*9,0)</f>
        <v>0</v>
      </c>
      <c r="I581" s="1" t="str">
        <f aca="false">CONCATENATE(F581,G581,H581)</f>
        <v>400</v>
      </c>
      <c r="J581" s="1" t="str">
        <f aca="false">_xlfn.IFS(AND(F581&gt;=8,G581&gt;=8,H581&gt;=8),"CHAMPION",AND(F581&gt;=6,G581&gt;=7,H581&gt;=6),"LOYAL CUSTOMER",AND(F581&gt;=6,G581&gt;=5,H581&gt;=5),"POTENTIAL LOYALIST",AND(F581&gt;=8,G581&lt;=2,H581&gt;=5),"NEW CUSTOMERS",AND(F581&gt;=6,G581&lt;=2,H581&gt;=3),"PROMISING",AND(F581&gt;=3,G581&gt;=3,H581&gt;=3),"NEED ATTENTION",AND(F581&lt;=4,G581&gt;=6,H581&gt;=6),"AT RISK",AND(F581&lt;=2,G581&gt;=8,H581&gt;=8),"CAN'T LOSE THEM",AND(F581&lt;=2,G581&lt;=2,H581&lt;=2),"HIBERNATING",TRUE(),"Other")</f>
        <v>Other</v>
      </c>
      <c r="K581" s="1" t="n">
        <f aca="false">RANK(E581,$E$7:$E$4378)+COUNTIF($E$7:E581,E581)-1</f>
        <v>4237</v>
      </c>
    </row>
    <row r="582" customFormat="false" ht="14.25" hidden="false" customHeight="true" outlineLevel="0" collapsed="false">
      <c r="A582" s="51" t="n">
        <v>13097</v>
      </c>
      <c r="B582" s="53" t="n">
        <v>40854.4465277778</v>
      </c>
      <c r="C582" s="57" t="n">
        <f aca="false">INT($C$2)-INT(Table3[[#This Row],[Last Purchase Date]])</f>
        <v>33</v>
      </c>
      <c r="D582" s="1" t="n">
        <v>14</v>
      </c>
      <c r="E582" s="1" t="n">
        <v>5893.32</v>
      </c>
      <c r="F582" s="1" t="n">
        <f aca="false">ROUND((1-_xlfn.PERCENTRANK.INC($C$7:$C$4378,C582))*9,0)</f>
        <v>5</v>
      </c>
      <c r="G582" s="1" t="n">
        <f aca="false">ROUND(_xlfn.PERCENTRANK.INC($D$7:$D$4378,D582)*9,0)</f>
        <v>8</v>
      </c>
      <c r="H582" s="1" t="n">
        <f aca="false">ROUND(_xlfn.PERCENTRANK.INC($E$7:$E$4378,E582)*9,0)</f>
        <v>9</v>
      </c>
      <c r="I582" s="1" t="str">
        <f aca="false">CONCATENATE(F582,G582,H582)</f>
        <v>589</v>
      </c>
      <c r="J582" s="1" t="str">
        <f aca="false">_xlfn.IFS(AND(F582&gt;=8,G582&gt;=8,H582&gt;=8),"CHAMPION",AND(F582&gt;=6,G582&gt;=7,H582&gt;=6),"LOYAL CUSTOMER",AND(F582&gt;=6,G582&gt;=5,H582&gt;=5),"POTENTIAL LOYALIST",AND(F582&gt;=8,G582&lt;=2,H582&gt;=5),"NEW CUSTOMERS",AND(F582&gt;=6,G582&lt;=2,H582&gt;=3),"PROMISING",AND(F582&gt;=3,G582&gt;=3,H582&gt;=3),"NEED ATTENTION",AND(F582&lt;=4,G582&gt;=6,H582&gt;=6),"AT RISK",AND(F582&lt;=2,G582&gt;=8,H582&gt;=8),"CAN'T LOSE THEM",AND(F582&lt;=2,G582&lt;=2,H582&lt;=2),"HIBERNATING",TRUE(),"Other")</f>
        <v>NEED ATTENTION</v>
      </c>
      <c r="K582" s="1" t="n">
        <f aca="false">RANK(E582,$E$7:$E$4378)+COUNTIF($E$7:E582,E582)-1</f>
        <v>203</v>
      </c>
    </row>
    <row r="583" customFormat="false" ht="14.25" hidden="false" customHeight="true" outlineLevel="0" collapsed="false">
      <c r="A583" s="51" t="n">
        <v>13098</v>
      </c>
      <c r="B583" s="53" t="n">
        <v>40885.5930555556</v>
      </c>
      <c r="C583" s="57" t="n">
        <f aca="false">INT($C$2)-INT(Table3[[#This Row],[Last Purchase Date]])</f>
        <v>2</v>
      </c>
      <c r="D583" s="1" t="n">
        <v>41</v>
      </c>
      <c r="E583" s="1" t="n">
        <v>28658.88</v>
      </c>
      <c r="F583" s="1" t="n">
        <f aca="false">ROUND((1-_xlfn.PERCENTRANK.INC($C$7:$C$4378,C583))*9,0)</f>
        <v>9</v>
      </c>
      <c r="G583" s="1" t="n">
        <f aca="false">ROUND(_xlfn.PERCENTRANK.INC($D$7:$D$4378,D583)*9,0)</f>
        <v>9</v>
      </c>
      <c r="H583" s="1" t="n">
        <f aca="false">ROUND(_xlfn.PERCENTRANK.INC($E$7:$E$4378,E583)*9,0)</f>
        <v>9</v>
      </c>
      <c r="I583" s="1" t="str">
        <f aca="false">CONCATENATE(F583,G583,H583)</f>
        <v>999</v>
      </c>
      <c r="J583" s="1" t="str">
        <f aca="false">_xlfn.IFS(AND(F583&gt;=8,G583&gt;=8,H583&gt;=8),"CHAMPION",AND(F583&gt;=6,G583&gt;=7,H583&gt;=6),"LOYAL CUSTOMER",AND(F583&gt;=6,G583&gt;=5,H583&gt;=5),"POTENTIAL LOYALIST",AND(F583&gt;=8,G583&lt;=2,H583&gt;=5),"NEW CUSTOMERS",AND(F583&gt;=6,G583&lt;=2,H583&gt;=3),"PROMISING",AND(F583&gt;=3,G583&gt;=3,H583&gt;=3),"NEED ATTENTION",AND(F583&lt;=4,G583&gt;=6,H583&gt;=6),"AT RISK",AND(F583&lt;=2,G583&gt;=8,H583&gt;=8),"CAN'T LOSE THEM",AND(F583&lt;=2,G583&lt;=2,H583&lt;=2),"HIBERNATING",TRUE(),"Other")</f>
        <v>CHAMPION</v>
      </c>
      <c r="K583" s="1" t="n">
        <f aca="false">RANK(E583,$E$7:$E$4378)+COUNTIF($E$7:E583,E583)-1</f>
        <v>28</v>
      </c>
    </row>
    <row r="584" customFormat="false" ht="14.25" hidden="false" customHeight="true" outlineLevel="0" collapsed="false">
      <c r="A584" s="51" t="n">
        <v>13099</v>
      </c>
      <c r="B584" s="53" t="n">
        <v>40787.7361111111</v>
      </c>
      <c r="C584" s="57" t="n">
        <f aca="false">INT($C$2)-INT(Table3[[#This Row],[Last Purchase Date]])</f>
        <v>100</v>
      </c>
      <c r="D584" s="1" t="n">
        <v>1</v>
      </c>
      <c r="E584" s="1" t="n">
        <v>207.36</v>
      </c>
      <c r="F584" s="1" t="n">
        <f aca="false">ROUND((1-_xlfn.PERCENTRANK.INC($C$7:$C$4378,C584))*9,0)</f>
        <v>3</v>
      </c>
      <c r="G584" s="1" t="n">
        <f aca="false">ROUND(_xlfn.PERCENTRANK.INC($D$7:$D$4378,D584)*9,0)</f>
        <v>0</v>
      </c>
      <c r="H584" s="1" t="n">
        <f aca="false">ROUND(_xlfn.PERCENTRANK.INC($E$7:$E$4378,E584)*9,0)</f>
        <v>2</v>
      </c>
      <c r="I584" s="1" t="str">
        <f aca="false">CONCATENATE(F584,G584,H584)</f>
        <v>302</v>
      </c>
      <c r="J584" s="1" t="str">
        <f aca="false">_xlfn.IFS(AND(F584&gt;=8,G584&gt;=8,H584&gt;=8),"CHAMPION",AND(F584&gt;=6,G584&gt;=7,H584&gt;=6),"LOYAL CUSTOMER",AND(F584&gt;=6,G584&gt;=5,H584&gt;=5),"POTENTIAL LOYALIST",AND(F584&gt;=8,G584&lt;=2,H584&gt;=5),"NEW CUSTOMERS",AND(F584&gt;=6,G584&lt;=2,H584&gt;=3),"PROMISING",AND(F584&gt;=3,G584&gt;=3,H584&gt;=3),"NEED ATTENTION",AND(F584&lt;=4,G584&gt;=6,H584&gt;=6),"AT RISK",AND(F584&lt;=2,G584&gt;=8,H584&gt;=8),"CAN'T LOSE THEM",AND(F584&lt;=2,G584&lt;=2,H584&lt;=2),"HIBERNATING",TRUE(),"Other")</f>
        <v>Other</v>
      </c>
      <c r="K584" s="1" t="n">
        <f aca="false">RANK(E584,$E$7:$E$4378)+COUNTIF($E$7:E584,E584)-1</f>
        <v>3626</v>
      </c>
    </row>
    <row r="585" customFormat="false" ht="14.25" hidden="false" customHeight="true" outlineLevel="0" collapsed="false">
      <c r="A585" s="51" t="n">
        <v>13101</v>
      </c>
      <c r="B585" s="53" t="n">
        <v>40652.6090277778</v>
      </c>
      <c r="C585" s="57" t="n">
        <f aca="false">INT($C$2)-INT(Table3[[#This Row],[Last Purchase Date]])</f>
        <v>235</v>
      </c>
      <c r="D585" s="1" t="n">
        <v>1</v>
      </c>
      <c r="E585" s="1" t="n">
        <v>101.19</v>
      </c>
      <c r="F585" s="1" t="n">
        <f aca="false">ROUND((1-_xlfn.PERCENTRANK.INC($C$7:$C$4378,C585))*9,0)</f>
        <v>1</v>
      </c>
      <c r="G585" s="1" t="n">
        <f aca="false">ROUND(_xlfn.PERCENTRANK.INC($D$7:$D$4378,D585)*9,0)</f>
        <v>0</v>
      </c>
      <c r="H585" s="1" t="n">
        <f aca="false">ROUND(_xlfn.PERCENTRANK.INC($E$7:$E$4378,E585)*9,0)</f>
        <v>0</v>
      </c>
      <c r="I585" s="1" t="str">
        <f aca="false">CONCATENATE(F585,G585,H585)</f>
        <v>100</v>
      </c>
      <c r="J585" s="1" t="str">
        <f aca="false">_xlfn.IFS(AND(F585&gt;=8,G585&gt;=8,H585&gt;=8),"CHAMPION",AND(F585&gt;=6,G585&gt;=7,H585&gt;=6),"LOYAL CUSTOMER",AND(F585&gt;=6,G585&gt;=5,H585&gt;=5),"POTENTIAL LOYALIST",AND(F585&gt;=8,G585&lt;=2,H585&gt;=5),"NEW CUSTOMERS",AND(F585&gt;=6,G585&lt;=2,H585&gt;=3),"PROMISING",AND(F585&gt;=3,G585&gt;=3,H585&gt;=3),"NEED ATTENTION",AND(F585&lt;=4,G585&gt;=6,H585&gt;=6),"AT RISK",AND(F585&lt;=2,G585&gt;=8,H585&gt;=8),"CAN'T LOSE THEM",AND(F585&lt;=2,G585&lt;=2,H585&lt;=2),"HIBERNATING",TRUE(),"Other")</f>
        <v>HIBERNATING</v>
      </c>
      <c r="K585" s="1" t="n">
        <f aca="false">RANK(E585,$E$7:$E$4378)+COUNTIF($E$7:E585,E585)-1</f>
        <v>4152</v>
      </c>
    </row>
    <row r="586" customFormat="false" ht="14.25" hidden="false" customHeight="true" outlineLevel="0" collapsed="false">
      <c r="A586" s="51" t="n">
        <v>13102</v>
      </c>
      <c r="B586" s="53" t="n">
        <v>40885.5361111111</v>
      </c>
      <c r="C586" s="57" t="n">
        <f aca="false">INT($C$2)-INT(Table3[[#This Row],[Last Purchase Date]])</f>
        <v>2</v>
      </c>
      <c r="D586" s="1" t="n">
        <v>27</v>
      </c>
      <c r="E586" s="1" t="n">
        <v>6336.29</v>
      </c>
      <c r="F586" s="1" t="n">
        <f aca="false">ROUND((1-_xlfn.PERCENTRANK.INC($C$7:$C$4378,C586))*9,0)</f>
        <v>9</v>
      </c>
      <c r="G586" s="1" t="n">
        <f aca="false">ROUND(_xlfn.PERCENTRANK.INC($D$7:$D$4378,D586)*9,0)</f>
        <v>9</v>
      </c>
      <c r="H586" s="1" t="n">
        <f aca="false">ROUND(_xlfn.PERCENTRANK.INC($E$7:$E$4378,E586)*9,0)</f>
        <v>9</v>
      </c>
      <c r="I586" s="1" t="str">
        <f aca="false">CONCATENATE(F586,G586,H586)</f>
        <v>999</v>
      </c>
      <c r="J586" s="1" t="str">
        <f aca="false">_xlfn.IFS(AND(F586&gt;=8,G586&gt;=8,H586&gt;=8),"CHAMPION",AND(F586&gt;=6,G586&gt;=7,H586&gt;=6),"LOYAL CUSTOMER",AND(F586&gt;=6,G586&gt;=5,H586&gt;=5),"POTENTIAL LOYALIST",AND(F586&gt;=8,G586&lt;=2,H586&gt;=5),"NEW CUSTOMERS",AND(F586&gt;=6,G586&lt;=2,H586&gt;=3),"PROMISING",AND(F586&gt;=3,G586&gt;=3,H586&gt;=3),"NEED ATTENTION",AND(F586&lt;=4,G586&gt;=6,H586&gt;=6),"AT RISK",AND(F586&lt;=2,G586&gt;=8,H586&gt;=8),"CAN'T LOSE THEM",AND(F586&lt;=2,G586&lt;=2,H586&lt;=2),"HIBERNATING",TRUE(),"Other")</f>
        <v>CHAMPION</v>
      </c>
      <c r="K586" s="1" t="n">
        <f aca="false">RANK(E586,$E$7:$E$4378)+COUNTIF($E$7:E586,E586)-1</f>
        <v>185</v>
      </c>
    </row>
    <row r="587" customFormat="false" ht="14.25" hidden="false" customHeight="true" outlineLevel="0" collapsed="false">
      <c r="A587" s="51" t="n">
        <v>13103</v>
      </c>
      <c r="B587" s="53" t="n">
        <v>40847.4013888889</v>
      </c>
      <c r="C587" s="57" t="n">
        <f aca="false">INT($C$2)-INT(Table3[[#This Row],[Last Purchase Date]])</f>
        <v>40</v>
      </c>
      <c r="D587" s="1" t="n">
        <v>1</v>
      </c>
      <c r="E587" s="1" t="n">
        <v>243.94</v>
      </c>
      <c r="F587" s="1" t="n">
        <f aca="false">ROUND((1-_xlfn.PERCENTRANK.INC($C$7:$C$4378,C587))*9,0)</f>
        <v>5</v>
      </c>
      <c r="G587" s="1" t="n">
        <f aca="false">ROUND(_xlfn.PERCENTRANK.INC($D$7:$D$4378,D587)*9,0)</f>
        <v>0</v>
      </c>
      <c r="H587" s="1" t="n">
        <f aca="false">ROUND(_xlfn.PERCENTRANK.INC($E$7:$E$4378,E587)*9,0)</f>
        <v>2</v>
      </c>
      <c r="I587" s="1" t="str">
        <f aca="false">CONCATENATE(F587,G587,H587)</f>
        <v>502</v>
      </c>
      <c r="J587" s="1" t="str">
        <f aca="false">_xlfn.IFS(AND(F587&gt;=8,G587&gt;=8,H587&gt;=8),"CHAMPION",AND(F587&gt;=6,G587&gt;=7,H587&gt;=6),"LOYAL CUSTOMER",AND(F587&gt;=6,G587&gt;=5,H587&gt;=5),"POTENTIAL LOYALIST",AND(F587&gt;=8,G587&lt;=2,H587&gt;=5),"NEW CUSTOMERS",AND(F587&gt;=6,G587&lt;=2,H587&gt;=3),"PROMISING",AND(F587&gt;=3,G587&gt;=3,H587&gt;=3),"NEED ATTENTION",AND(F587&lt;=4,G587&gt;=6,H587&gt;=6),"AT RISK",AND(F587&lt;=2,G587&gt;=8,H587&gt;=8),"CAN'T LOSE THEM",AND(F587&lt;=2,G587&lt;=2,H587&lt;=2),"HIBERNATING",TRUE(),"Other")</f>
        <v>Other</v>
      </c>
      <c r="K587" s="1" t="n">
        <f aca="false">RANK(E587,$E$7:$E$4378)+COUNTIF($E$7:E587,E587)-1</f>
        <v>3464</v>
      </c>
    </row>
    <row r="588" customFormat="false" ht="14.25" hidden="false" customHeight="true" outlineLevel="0" collapsed="false">
      <c r="A588" s="51" t="n">
        <v>13104</v>
      </c>
      <c r="B588" s="53" t="n">
        <v>40883.5486111111</v>
      </c>
      <c r="C588" s="57" t="n">
        <f aca="false">INT($C$2)-INT(Table3[[#This Row],[Last Purchase Date]])</f>
        <v>4</v>
      </c>
      <c r="D588" s="1" t="n">
        <v>6</v>
      </c>
      <c r="E588" s="1" t="n">
        <v>1098.48</v>
      </c>
      <c r="F588" s="1" t="n">
        <f aca="false">ROUND((1-_xlfn.PERCENTRANK.INC($C$7:$C$4378,C588))*9,0)</f>
        <v>8</v>
      </c>
      <c r="G588" s="1" t="n">
        <f aca="false">ROUND(_xlfn.PERCENTRANK.INC($D$7:$D$4378,D588)*9,0)</f>
        <v>7</v>
      </c>
      <c r="H588" s="1" t="n">
        <f aca="false">ROUND(_xlfn.PERCENTRANK.INC($E$7:$E$4378,E588)*9,0)</f>
        <v>6</v>
      </c>
      <c r="I588" s="1" t="str">
        <f aca="false">CONCATENATE(F588,G588,H588)</f>
        <v>876</v>
      </c>
      <c r="J588" s="1" t="str">
        <f aca="false">_xlfn.IFS(AND(F588&gt;=8,G588&gt;=8,H588&gt;=8),"CHAMPION",AND(F588&gt;=6,G588&gt;=7,H588&gt;=6),"LOYAL CUSTOMER",AND(F588&gt;=6,G588&gt;=5,H588&gt;=5),"POTENTIAL LOYALIST",AND(F588&gt;=8,G588&lt;=2,H588&gt;=5),"NEW CUSTOMERS",AND(F588&gt;=6,G588&lt;=2,H588&gt;=3),"PROMISING",AND(F588&gt;=3,G588&gt;=3,H588&gt;=3),"NEED ATTENTION",AND(F588&lt;=4,G588&gt;=6,H588&gt;=6),"AT RISK",AND(F588&lt;=2,G588&gt;=8,H588&gt;=8),"CAN'T LOSE THEM",AND(F588&lt;=2,G588&lt;=2,H588&lt;=2),"HIBERNATING",TRUE(),"Other")</f>
        <v>LOYAL CUSTOMER</v>
      </c>
      <c r="K588" s="1" t="n">
        <f aca="false">RANK(E588,$E$7:$E$4378)+COUNTIF($E$7:E588,E588)-1</f>
        <v>1511</v>
      </c>
    </row>
    <row r="589" customFormat="false" ht="14.25" hidden="false" customHeight="true" outlineLevel="0" collapsed="false">
      <c r="A589" s="51" t="n">
        <v>13106</v>
      </c>
      <c r="B589" s="53" t="n">
        <v>40758.4930555556</v>
      </c>
      <c r="C589" s="57" t="n">
        <f aca="false">INT($C$2)-INT(Table3[[#This Row],[Last Purchase Date]])</f>
        <v>129</v>
      </c>
      <c r="D589" s="1" t="n">
        <v>2</v>
      </c>
      <c r="E589" s="1" t="n">
        <v>59.5</v>
      </c>
      <c r="F589" s="1" t="n">
        <f aca="false">ROUND((1-_xlfn.PERCENTRANK.INC($C$7:$C$4378,C589))*9,0)</f>
        <v>2</v>
      </c>
      <c r="G589" s="1" t="n">
        <f aca="false">ROUND(_xlfn.PERCENTRANK.INC($D$7:$D$4378,D589)*9,0)</f>
        <v>3</v>
      </c>
      <c r="H589" s="1" t="n">
        <f aca="false">ROUND(_xlfn.PERCENTRANK.INC($E$7:$E$4378,E589)*9,0)</f>
        <v>0</v>
      </c>
      <c r="I589" s="1" t="str">
        <f aca="false">CONCATENATE(F589,G589,H589)</f>
        <v>230</v>
      </c>
      <c r="J589" s="1" t="str">
        <f aca="false">_xlfn.IFS(AND(F589&gt;=8,G589&gt;=8,H589&gt;=8),"CHAMPION",AND(F589&gt;=6,G589&gt;=7,H589&gt;=6),"LOYAL CUSTOMER",AND(F589&gt;=6,G589&gt;=5,H589&gt;=5),"POTENTIAL LOYALIST",AND(F589&gt;=8,G589&lt;=2,H589&gt;=5),"NEW CUSTOMERS",AND(F589&gt;=6,G589&lt;=2,H589&gt;=3),"PROMISING",AND(F589&gt;=3,G589&gt;=3,H589&gt;=3),"NEED ATTENTION",AND(F589&lt;=4,G589&gt;=6,H589&gt;=6),"AT RISK",AND(F589&lt;=2,G589&gt;=8,H589&gt;=8),"CAN'T LOSE THEM",AND(F589&lt;=2,G589&lt;=2,H589&lt;=2),"HIBERNATING",TRUE(),"Other")</f>
        <v>Other</v>
      </c>
      <c r="K589" s="1" t="n">
        <f aca="false">RANK(E589,$E$7:$E$4378)+COUNTIF($E$7:E589,E589)-1</f>
        <v>4266</v>
      </c>
    </row>
    <row r="590" customFormat="false" ht="14.25" hidden="false" customHeight="true" outlineLevel="0" collapsed="false">
      <c r="A590" s="51" t="n">
        <v>13107</v>
      </c>
      <c r="B590" s="53" t="n">
        <v>40842.6194444444</v>
      </c>
      <c r="C590" s="57" t="n">
        <f aca="false">INT($C$2)-INT(Table3[[#This Row],[Last Purchase Date]])</f>
        <v>45</v>
      </c>
      <c r="D590" s="1" t="n">
        <v>5</v>
      </c>
      <c r="E590" s="1" t="n">
        <v>1524.07</v>
      </c>
      <c r="F590" s="1" t="n">
        <f aca="false">ROUND((1-_xlfn.PERCENTRANK.INC($C$7:$C$4378,C590))*9,0)</f>
        <v>5</v>
      </c>
      <c r="G590" s="1" t="n">
        <f aca="false">ROUND(_xlfn.PERCENTRANK.INC($D$7:$D$4378,D590)*9,0)</f>
        <v>6</v>
      </c>
      <c r="H590" s="1" t="n">
        <f aca="false">ROUND(_xlfn.PERCENTRANK.INC($E$7:$E$4378,E590)*9,0)</f>
        <v>7</v>
      </c>
      <c r="I590" s="1" t="str">
        <f aca="false">CONCATENATE(F590,G590,H590)</f>
        <v>567</v>
      </c>
      <c r="J590" s="1" t="str">
        <f aca="false">_xlfn.IFS(AND(F590&gt;=8,G590&gt;=8,H590&gt;=8),"CHAMPION",AND(F590&gt;=6,G590&gt;=7,H590&gt;=6),"LOYAL CUSTOMER",AND(F590&gt;=6,G590&gt;=5,H590&gt;=5),"POTENTIAL LOYALIST",AND(F590&gt;=8,G590&lt;=2,H590&gt;=5),"NEW CUSTOMERS",AND(F590&gt;=6,G590&lt;=2,H590&gt;=3),"PROMISING",AND(F590&gt;=3,G590&gt;=3,H590&gt;=3),"NEED ATTENTION",AND(F590&lt;=4,G590&gt;=6,H590&gt;=6),"AT RISK",AND(F590&lt;=2,G590&gt;=8,H590&gt;=8),"CAN'T LOSE THEM",AND(F590&lt;=2,G590&lt;=2,H590&lt;=2),"HIBERNATING",TRUE(),"Other")</f>
        <v>NEED ATTENTION</v>
      </c>
      <c r="K590" s="1" t="n">
        <f aca="false">RANK(E590,$E$7:$E$4378)+COUNTIF($E$7:E590,E590)-1</f>
        <v>1145</v>
      </c>
    </row>
    <row r="591" customFormat="false" ht="14.25" hidden="false" customHeight="true" outlineLevel="0" collapsed="false">
      <c r="A591" s="51" t="n">
        <v>13108</v>
      </c>
      <c r="B591" s="53" t="n">
        <v>40514.4409722222</v>
      </c>
      <c r="C591" s="57" t="n">
        <f aca="false">INT($C$2)-INT(Table3[[#This Row],[Last Purchase Date]])</f>
        <v>373</v>
      </c>
      <c r="D591" s="1" t="n">
        <v>1</v>
      </c>
      <c r="E591" s="1" t="n">
        <v>350.06</v>
      </c>
      <c r="F591" s="1" t="n">
        <f aca="false">ROUND((1-_xlfn.PERCENTRANK.INC($C$7:$C$4378,C591))*9,0)</f>
        <v>0</v>
      </c>
      <c r="G591" s="1" t="n">
        <f aca="false">ROUND(_xlfn.PERCENTRANK.INC($D$7:$D$4378,D591)*9,0)</f>
        <v>0</v>
      </c>
      <c r="H591" s="1" t="n">
        <f aca="false">ROUND(_xlfn.PERCENTRANK.INC($E$7:$E$4378,E591)*9,0)</f>
        <v>3</v>
      </c>
      <c r="I591" s="1" t="str">
        <f aca="false">CONCATENATE(F591,G591,H591)</f>
        <v>003</v>
      </c>
      <c r="J591" s="1" t="str">
        <f aca="false">_xlfn.IFS(AND(F591&gt;=8,G591&gt;=8,H591&gt;=8),"CHAMPION",AND(F591&gt;=6,G591&gt;=7,H591&gt;=6),"LOYAL CUSTOMER",AND(F591&gt;=6,G591&gt;=5,H591&gt;=5),"POTENTIAL LOYALIST",AND(F591&gt;=8,G591&lt;=2,H591&gt;=5),"NEW CUSTOMERS",AND(F591&gt;=6,G591&lt;=2,H591&gt;=3),"PROMISING",AND(F591&gt;=3,G591&gt;=3,H591&gt;=3),"NEED ATTENTION",AND(F591&lt;=4,G591&gt;=6,H591&gt;=6),"AT RISK",AND(F591&lt;=2,G591&gt;=8,H591&gt;=8),"CAN'T LOSE THEM",AND(F591&lt;=2,G591&lt;=2,H591&lt;=2),"HIBERNATING",TRUE(),"Other")</f>
        <v>Other</v>
      </c>
      <c r="K591" s="1" t="n">
        <f aca="false">RANK(E591,$E$7:$E$4378)+COUNTIF($E$7:E591,E591)-1</f>
        <v>3007</v>
      </c>
    </row>
    <row r="592" customFormat="false" ht="14.25" hidden="false" customHeight="true" outlineLevel="0" collapsed="false">
      <c r="A592" s="51" t="n">
        <v>13109</v>
      </c>
      <c r="B592" s="53" t="n">
        <v>40884.5263888889</v>
      </c>
      <c r="C592" s="57" t="n">
        <f aca="false">INT($C$2)-INT(Table3[[#This Row],[Last Purchase Date]])</f>
        <v>3</v>
      </c>
      <c r="D592" s="1" t="n">
        <v>5</v>
      </c>
      <c r="E592" s="1" t="n">
        <v>766.84</v>
      </c>
      <c r="F592" s="1" t="n">
        <f aca="false">ROUND((1-_xlfn.PERCENTRANK.INC($C$7:$C$4378,C592))*9,0)</f>
        <v>9</v>
      </c>
      <c r="G592" s="1" t="n">
        <f aca="false">ROUND(_xlfn.PERCENTRANK.INC($D$7:$D$4378,D592)*9,0)</f>
        <v>6</v>
      </c>
      <c r="H592" s="1" t="n">
        <f aca="false">ROUND(_xlfn.PERCENTRANK.INC($E$7:$E$4378,E592)*9,0)</f>
        <v>5</v>
      </c>
      <c r="I592" s="1" t="str">
        <f aca="false">CONCATENATE(F592,G592,H592)</f>
        <v>965</v>
      </c>
      <c r="J592" s="1" t="str">
        <f aca="false">_xlfn.IFS(AND(F592&gt;=8,G592&gt;=8,H592&gt;=8),"CHAMPION",AND(F592&gt;=6,G592&gt;=7,H592&gt;=6),"LOYAL CUSTOMER",AND(F592&gt;=6,G592&gt;=5,H592&gt;=5),"POTENTIAL LOYALIST",AND(F592&gt;=8,G592&lt;=2,H592&gt;=5),"NEW CUSTOMERS",AND(F592&gt;=6,G592&lt;=2,H592&gt;=3),"PROMISING",AND(F592&gt;=3,G592&gt;=3,H592&gt;=3),"NEED ATTENTION",AND(F592&lt;=4,G592&gt;=6,H592&gt;=6),"AT RISK",AND(F592&lt;=2,G592&gt;=8,H592&gt;=8),"CAN'T LOSE THEM",AND(F592&lt;=2,G592&lt;=2,H592&lt;=2),"HIBERNATING",TRUE(),"Other")</f>
        <v>POTENTIAL LOYALIST</v>
      </c>
      <c r="K592" s="1" t="n">
        <f aca="false">RANK(E592,$E$7:$E$4378)+COUNTIF($E$7:E592,E592)-1</f>
        <v>1951</v>
      </c>
    </row>
    <row r="593" customFormat="false" ht="14.25" hidden="false" customHeight="true" outlineLevel="0" collapsed="false">
      <c r="A593" s="51" t="n">
        <v>13110</v>
      </c>
      <c r="B593" s="53" t="n">
        <v>40855.6041666667</v>
      </c>
      <c r="C593" s="57" t="n">
        <f aca="false">INT($C$2)-INT(Table3[[#This Row],[Last Purchase Date]])</f>
        <v>32</v>
      </c>
      <c r="D593" s="1" t="n">
        <v>8</v>
      </c>
      <c r="E593" s="1" t="n">
        <v>1452.87</v>
      </c>
      <c r="F593" s="1" t="n">
        <f aca="false">ROUND((1-_xlfn.PERCENTRANK.INC($C$7:$C$4378,C593))*9,0)</f>
        <v>5</v>
      </c>
      <c r="G593" s="1" t="n">
        <f aca="false">ROUND(_xlfn.PERCENTRANK.INC($D$7:$D$4378,D593)*9,0)</f>
        <v>7</v>
      </c>
      <c r="H593" s="1" t="n">
        <f aca="false">ROUND(_xlfn.PERCENTRANK.INC($E$7:$E$4378,E593)*9,0)</f>
        <v>7</v>
      </c>
      <c r="I593" s="1" t="str">
        <f aca="false">CONCATENATE(F593,G593,H593)</f>
        <v>577</v>
      </c>
      <c r="J593" s="1" t="str">
        <f aca="false">_xlfn.IFS(AND(F593&gt;=8,G593&gt;=8,H593&gt;=8),"CHAMPION",AND(F593&gt;=6,G593&gt;=7,H593&gt;=6),"LOYAL CUSTOMER",AND(F593&gt;=6,G593&gt;=5,H593&gt;=5),"POTENTIAL LOYALIST",AND(F593&gt;=8,G593&lt;=2,H593&gt;=5),"NEW CUSTOMERS",AND(F593&gt;=6,G593&lt;=2,H593&gt;=3),"PROMISING",AND(F593&gt;=3,G593&gt;=3,H593&gt;=3),"NEED ATTENTION",AND(F593&lt;=4,G593&gt;=6,H593&gt;=6),"AT RISK",AND(F593&lt;=2,G593&gt;=8,H593&gt;=8),"CAN'T LOSE THEM",AND(F593&lt;=2,G593&lt;=2,H593&lt;=2),"HIBERNATING",TRUE(),"Other")</f>
        <v>NEED ATTENTION</v>
      </c>
      <c r="K593" s="1" t="n">
        <f aca="false">RANK(E593,$E$7:$E$4378)+COUNTIF($E$7:E593,E593)-1</f>
        <v>1195</v>
      </c>
    </row>
    <row r="594" customFormat="false" ht="14.25" hidden="false" customHeight="true" outlineLevel="0" collapsed="false">
      <c r="A594" s="51" t="n">
        <v>13113</v>
      </c>
      <c r="B594" s="53" t="n">
        <v>40886.5340277778</v>
      </c>
      <c r="C594" s="57" t="n">
        <f aca="false">INT($C$2)-INT(Table3[[#This Row],[Last Purchase Date]])</f>
        <v>1</v>
      </c>
      <c r="D594" s="1" t="n">
        <v>40</v>
      </c>
      <c r="E594" s="1" t="n">
        <v>10510</v>
      </c>
      <c r="F594" s="1" t="n">
        <f aca="false">ROUND((1-_xlfn.PERCENTRANK.INC($C$7:$C$4378,C594))*9,0)</f>
        <v>9</v>
      </c>
      <c r="G594" s="1" t="n">
        <f aca="false">ROUND(_xlfn.PERCENTRANK.INC($D$7:$D$4378,D594)*9,0)</f>
        <v>9</v>
      </c>
      <c r="H594" s="1" t="n">
        <f aca="false">ROUND(_xlfn.PERCENTRANK.INC($E$7:$E$4378,E594)*9,0)</f>
        <v>9</v>
      </c>
      <c r="I594" s="1" t="str">
        <f aca="false">CONCATENATE(F594,G594,H594)</f>
        <v>999</v>
      </c>
      <c r="J594" s="1" t="str">
        <f aca="false">_xlfn.IFS(AND(F594&gt;=8,G594&gt;=8,H594&gt;=8),"CHAMPION",AND(F594&gt;=6,G594&gt;=7,H594&gt;=6),"LOYAL CUSTOMER",AND(F594&gt;=6,G594&gt;=5,H594&gt;=5),"POTENTIAL LOYALIST",AND(F594&gt;=8,G594&lt;=2,H594&gt;=5),"NEW CUSTOMERS",AND(F594&gt;=6,G594&lt;=2,H594&gt;=3),"PROMISING",AND(F594&gt;=3,G594&gt;=3,H594&gt;=3),"NEED ATTENTION",AND(F594&lt;=4,G594&gt;=6,H594&gt;=6),"AT RISK",AND(F594&lt;=2,G594&gt;=8,H594&gt;=8),"CAN'T LOSE THEM",AND(F594&lt;=2,G594&lt;=2,H594&lt;=2),"HIBERNATING",TRUE(),"Other")</f>
        <v>CHAMPION</v>
      </c>
      <c r="K594" s="1" t="n">
        <f aca="false">RANK(E594,$E$7:$E$4378)+COUNTIF($E$7:E594,E594)-1</f>
        <v>88</v>
      </c>
    </row>
    <row r="595" customFormat="false" ht="14.25" hidden="false" customHeight="true" outlineLevel="0" collapsed="false">
      <c r="A595" s="51" t="n">
        <v>13115</v>
      </c>
      <c r="B595" s="53" t="n">
        <v>40878.4020833333</v>
      </c>
      <c r="C595" s="57" t="n">
        <f aca="false">INT($C$2)-INT(Table3[[#This Row],[Last Purchase Date]])</f>
        <v>9</v>
      </c>
      <c r="D595" s="1" t="n">
        <v>14</v>
      </c>
      <c r="E595" s="1" t="n">
        <v>2205.63</v>
      </c>
      <c r="F595" s="1" t="n">
        <f aca="false">ROUND((1-_xlfn.PERCENTRANK.INC($C$7:$C$4378,C595))*9,0)</f>
        <v>8</v>
      </c>
      <c r="G595" s="1" t="n">
        <f aca="false">ROUND(_xlfn.PERCENTRANK.INC($D$7:$D$4378,D595)*9,0)</f>
        <v>8</v>
      </c>
      <c r="H595" s="1" t="n">
        <f aca="false">ROUND(_xlfn.PERCENTRANK.INC($E$7:$E$4378,E595)*9,0)</f>
        <v>7</v>
      </c>
      <c r="I595" s="1" t="str">
        <f aca="false">CONCATENATE(F595,G595,H595)</f>
        <v>887</v>
      </c>
      <c r="J595" s="1" t="str">
        <f aca="false">_xlfn.IFS(AND(F595&gt;=8,G595&gt;=8,H595&gt;=8),"CHAMPION",AND(F595&gt;=6,G595&gt;=7,H595&gt;=6),"LOYAL CUSTOMER",AND(F595&gt;=6,G595&gt;=5,H595&gt;=5),"POTENTIAL LOYALIST",AND(F595&gt;=8,G595&lt;=2,H595&gt;=5),"NEW CUSTOMERS",AND(F595&gt;=6,G595&lt;=2,H595&gt;=3),"PROMISING",AND(F595&gt;=3,G595&gt;=3,H595&gt;=3),"NEED ATTENTION",AND(F595&lt;=4,G595&gt;=6,H595&gt;=6),"AT RISK",AND(F595&lt;=2,G595&gt;=8,H595&gt;=8),"CAN'T LOSE THEM",AND(F595&lt;=2,G595&lt;=2,H595&lt;=2),"HIBERNATING",TRUE(),"Other")</f>
        <v>LOYAL CUSTOMER</v>
      </c>
      <c r="K595" s="1" t="n">
        <f aca="false">RANK(E595,$E$7:$E$4378)+COUNTIF($E$7:E595,E595)-1</f>
        <v>779</v>
      </c>
    </row>
    <row r="596" customFormat="false" ht="14.25" hidden="false" customHeight="true" outlineLevel="0" collapsed="false">
      <c r="A596" s="51" t="n">
        <v>13116</v>
      </c>
      <c r="B596" s="53" t="n">
        <v>40769.6083333333</v>
      </c>
      <c r="C596" s="57" t="n">
        <f aca="false">INT($C$2)-INT(Table3[[#This Row],[Last Purchase Date]])</f>
        <v>118</v>
      </c>
      <c r="D596" s="1" t="n">
        <v>2</v>
      </c>
      <c r="E596" s="1" t="n">
        <v>485.19</v>
      </c>
      <c r="F596" s="1" t="n">
        <f aca="false">ROUND((1-_xlfn.PERCENTRANK.INC($C$7:$C$4378,C596))*9,0)</f>
        <v>3</v>
      </c>
      <c r="G596" s="1" t="n">
        <f aca="false">ROUND(_xlfn.PERCENTRANK.INC($D$7:$D$4378,D596)*9,0)</f>
        <v>3</v>
      </c>
      <c r="H596" s="1" t="n">
        <f aca="false">ROUND(_xlfn.PERCENTRANK.INC($E$7:$E$4378,E596)*9,0)</f>
        <v>4</v>
      </c>
      <c r="I596" s="1" t="str">
        <f aca="false">CONCATENATE(F596,G596,H596)</f>
        <v>334</v>
      </c>
      <c r="J596" s="1" t="str">
        <f aca="false">_xlfn.IFS(AND(F596&gt;=8,G596&gt;=8,H596&gt;=8),"CHAMPION",AND(F596&gt;=6,G596&gt;=7,H596&gt;=6),"LOYAL CUSTOMER",AND(F596&gt;=6,G596&gt;=5,H596&gt;=5),"POTENTIAL LOYALIST",AND(F596&gt;=8,G596&lt;=2,H596&gt;=5),"NEW CUSTOMERS",AND(F596&gt;=6,G596&lt;=2,H596&gt;=3),"PROMISING",AND(F596&gt;=3,G596&gt;=3,H596&gt;=3),"NEED ATTENTION",AND(F596&lt;=4,G596&gt;=6,H596&gt;=6),"AT RISK",AND(F596&lt;=2,G596&gt;=8,H596&gt;=8),"CAN'T LOSE THEM",AND(F596&lt;=2,G596&lt;=2,H596&lt;=2),"HIBERNATING",TRUE(),"Other")</f>
        <v>NEED ATTENTION</v>
      </c>
      <c r="K596" s="1" t="n">
        <f aca="false">RANK(E596,$E$7:$E$4378)+COUNTIF($E$7:E596,E596)-1</f>
        <v>2582</v>
      </c>
    </row>
    <row r="597" customFormat="false" ht="14.25" hidden="false" customHeight="true" outlineLevel="0" collapsed="false">
      <c r="A597" s="51" t="n">
        <v>13117</v>
      </c>
      <c r="B597" s="53" t="n">
        <v>40865.5013888889</v>
      </c>
      <c r="C597" s="57" t="n">
        <f aca="false">INT($C$2)-INT(Table3[[#This Row],[Last Purchase Date]])</f>
        <v>22</v>
      </c>
      <c r="D597" s="1" t="n">
        <v>8</v>
      </c>
      <c r="E597" s="1" t="n">
        <v>984.91</v>
      </c>
      <c r="F597" s="1" t="n">
        <f aca="false">ROUND((1-_xlfn.PERCENTRANK.INC($C$7:$C$4378,C597))*9,0)</f>
        <v>6</v>
      </c>
      <c r="G597" s="1" t="n">
        <f aca="false">ROUND(_xlfn.PERCENTRANK.INC($D$7:$D$4378,D597)*9,0)</f>
        <v>7</v>
      </c>
      <c r="H597" s="1" t="n">
        <f aca="false">ROUND(_xlfn.PERCENTRANK.INC($E$7:$E$4378,E597)*9,0)</f>
        <v>6</v>
      </c>
      <c r="I597" s="1" t="str">
        <f aca="false">CONCATENATE(F597,G597,H597)</f>
        <v>676</v>
      </c>
      <c r="J597" s="1" t="str">
        <f aca="false">_xlfn.IFS(AND(F597&gt;=8,G597&gt;=8,H597&gt;=8),"CHAMPION",AND(F597&gt;=6,G597&gt;=7,H597&gt;=6),"LOYAL CUSTOMER",AND(F597&gt;=6,G597&gt;=5,H597&gt;=5),"POTENTIAL LOYALIST",AND(F597&gt;=8,G597&lt;=2,H597&gt;=5),"NEW CUSTOMERS",AND(F597&gt;=6,G597&lt;=2,H597&gt;=3),"PROMISING",AND(F597&gt;=3,G597&gt;=3,H597&gt;=3),"NEED ATTENTION",AND(F597&lt;=4,G597&gt;=6,H597&gt;=6),"AT RISK",AND(F597&lt;=2,G597&gt;=8,H597&gt;=8),"CAN'T LOSE THEM",AND(F597&lt;=2,G597&lt;=2,H597&lt;=2),"HIBERNATING",TRUE(),"Other")</f>
        <v>LOYAL CUSTOMER</v>
      </c>
      <c r="K597" s="1" t="n">
        <f aca="false">RANK(E597,$E$7:$E$4378)+COUNTIF($E$7:E597,E597)-1</f>
        <v>1651</v>
      </c>
    </row>
    <row r="598" customFormat="false" ht="14.25" hidden="false" customHeight="true" outlineLevel="0" collapsed="false">
      <c r="A598" s="51" t="n">
        <v>13118</v>
      </c>
      <c r="B598" s="53" t="n">
        <v>40867.5319444445</v>
      </c>
      <c r="C598" s="57" t="n">
        <f aca="false">INT($C$2)-INT(Table3[[#This Row],[Last Purchase Date]])</f>
        <v>20</v>
      </c>
      <c r="D598" s="1" t="n">
        <v>7</v>
      </c>
      <c r="E598" s="1" t="n">
        <v>1125</v>
      </c>
      <c r="F598" s="1" t="n">
        <f aca="false">ROUND((1-_xlfn.PERCENTRANK.INC($C$7:$C$4378,C598))*9,0)</f>
        <v>6</v>
      </c>
      <c r="G598" s="1" t="n">
        <f aca="false">ROUND(_xlfn.PERCENTRANK.INC($D$7:$D$4378,D598)*9,0)</f>
        <v>7</v>
      </c>
      <c r="H598" s="1" t="n">
        <f aca="false">ROUND(_xlfn.PERCENTRANK.INC($E$7:$E$4378,E598)*9,0)</f>
        <v>6</v>
      </c>
      <c r="I598" s="1" t="str">
        <f aca="false">CONCATENATE(F598,G598,H598)</f>
        <v>676</v>
      </c>
      <c r="J598" s="1" t="str">
        <f aca="false">_xlfn.IFS(AND(F598&gt;=8,G598&gt;=8,H598&gt;=8),"CHAMPION",AND(F598&gt;=6,G598&gt;=7,H598&gt;=6),"LOYAL CUSTOMER",AND(F598&gt;=6,G598&gt;=5,H598&gt;=5),"POTENTIAL LOYALIST",AND(F598&gt;=8,G598&lt;=2,H598&gt;=5),"NEW CUSTOMERS",AND(F598&gt;=6,G598&lt;=2,H598&gt;=3),"PROMISING",AND(F598&gt;=3,G598&gt;=3,H598&gt;=3),"NEED ATTENTION",AND(F598&lt;=4,G598&gt;=6,H598&gt;=6),"AT RISK",AND(F598&lt;=2,G598&gt;=8,H598&gt;=8),"CAN'T LOSE THEM",AND(F598&lt;=2,G598&lt;=2,H598&lt;=2),"HIBERNATING",TRUE(),"Other")</f>
        <v>LOYAL CUSTOMER</v>
      </c>
      <c r="K598" s="1" t="n">
        <f aca="false">RANK(E598,$E$7:$E$4378)+COUNTIF($E$7:E598,E598)-1</f>
        <v>1478</v>
      </c>
    </row>
    <row r="599" customFormat="false" ht="14.25" hidden="false" customHeight="true" outlineLevel="0" collapsed="false">
      <c r="A599" s="51" t="n">
        <v>13120</v>
      </c>
      <c r="B599" s="53" t="n">
        <v>40648.4298611111</v>
      </c>
      <c r="C599" s="57" t="n">
        <f aca="false">INT($C$2)-INT(Table3[[#This Row],[Last Purchase Date]])</f>
        <v>239</v>
      </c>
      <c r="D599" s="1" t="n">
        <v>1</v>
      </c>
      <c r="E599" s="1" t="n">
        <v>30.6</v>
      </c>
      <c r="F599" s="1" t="n">
        <f aca="false">ROUND((1-_xlfn.PERCENTRANK.INC($C$7:$C$4378,C599))*9,0)</f>
        <v>1</v>
      </c>
      <c r="G599" s="1" t="n">
        <f aca="false">ROUND(_xlfn.PERCENTRANK.INC($D$7:$D$4378,D599)*9,0)</f>
        <v>0</v>
      </c>
      <c r="H599" s="1" t="n">
        <f aca="false">ROUND(_xlfn.PERCENTRANK.INC($E$7:$E$4378,E599)*9,0)</f>
        <v>0</v>
      </c>
      <c r="I599" s="1" t="str">
        <f aca="false">CONCATENATE(F599,G599,H599)</f>
        <v>100</v>
      </c>
      <c r="J599" s="1" t="str">
        <f aca="false">_xlfn.IFS(AND(F599&gt;=8,G599&gt;=8,H599&gt;=8),"CHAMPION",AND(F599&gt;=6,G599&gt;=7,H599&gt;=6),"LOYAL CUSTOMER",AND(F599&gt;=6,G599&gt;=5,H599&gt;=5),"POTENTIAL LOYALIST",AND(F599&gt;=8,G599&lt;=2,H599&gt;=5),"NEW CUSTOMERS",AND(F599&gt;=6,G599&lt;=2,H599&gt;=3),"PROMISING",AND(F599&gt;=3,G599&gt;=3,H599&gt;=3),"NEED ATTENTION",AND(F599&lt;=4,G599&gt;=6,H599&gt;=6),"AT RISK",AND(F599&lt;=2,G599&gt;=8,H599&gt;=8),"CAN'T LOSE THEM",AND(F599&lt;=2,G599&lt;=2,H599&lt;=2),"HIBERNATING",TRUE(),"Other")</f>
        <v>HIBERNATING</v>
      </c>
      <c r="K599" s="1" t="n">
        <f aca="false">RANK(E599,$E$7:$E$4378)+COUNTIF($E$7:E599,E599)-1</f>
        <v>4306</v>
      </c>
    </row>
    <row r="600" customFormat="false" ht="14.25" hidden="false" customHeight="true" outlineLevel="0" collapsed="false">
      <c r="A600" s="51" t="n">
        <v>13121</v>
      </c>
      <c r="B600" s="53" t="n">
        <v>40617.7020833333</v>
      </c>
      <c r="C600" s="57" t="n">
        <f aca="false">INT($C$2)-INT(Table3[[#This Row],[Last Purchase Date]])</f>
        <v>270</v>
      </c>
      <c r="D600" s="1" t="n">
        <v>2</v>
      </c>
      <c r="E600" s="1" t="n">
        <v>254.73</v>
      </c>
      <c r="F600" s="1" t="n">
        <f aca="false">ROUND((1-_xlfn.PERCENTRANK.INC($C$7:$C$4378,C600))*9,0)</f>
        <v>1</v>
      </c>
      <c r="G600" s="1" t="n">
        <f aca="false">ROUND(_xlfn.PERCENTRANK.INC($D$7:$D$4378,D600)*9,0)</f>
        <v>3</v>
      </c>
      <c r="H600" s="1" t="n">
        <f aca="false">ROUND(_xlfn.PERCENTRANK.INC($E$7:$E$4378,E600)*9,0)</f>
        <v>2</v>
      </c>
      <c r="I600" s="1" t="str">
        <f aca="false">CONCATENATE(F600,G600,H600)</f>
        <v>132</v>
      </c>
      <c r="J600" s="1" t="str">
        <f aca="false">_xlfn.IFS(AND(F600&gt;=8,G600&gt;=8,H600&gt;=8),"CHAMPION",AND(F600&gt;=6,G600&gt;=7,H600&gt;=6),"LOYAL CUSTOMER",AND(F600&gt;=6,G600&gt;=5,H600&gt;=5),"POTENTIAL LOYALIST",AND(F600&gt;=8,G600&lt;=2,H600&gt;=5),"NEW CUSTOMERS",AND(F600&gt;=6,G600&lt;=2,H600&gt;=3),"PROMISING",AND(F600&gt;=3,G600&gt;=3,H600&gt;=3),"NEED ATTENTION",AND(F600&lt;=4,G600&gt;=6,H600&gt;=6),"AT RISK",AND(F600&lt;=2,G600&gt;=8,H600&gt;=8),"CAN'T LOSE THEM",AND(F600&lt;=2,G600&lt;=2,H600&lt;=2),"HIBERNATING",TRUE(),"Other")</f>
        <v>Other</v>
      </c>
      <c r="K600" s="1" t="n">
        <f aca="false">RANK(E600,$E$7:$E$4378)+COUNTIF($E$7:E600,E600)-1</f>
        <v>3417</v>
      </c>
    </row>
    <row r="601" customFormat="false" ht="14.25" hidden="false" customHeight="true" outlineLevel="0" collapsed="false">
      <c r="A601" s="51" t="n">
        <v>13122</v>
      </c>
      <c r="B601" s="53" t="n">
        <v>40792.6618055556</v>
      </c>
      <c r="C601" s="57" t="n">
        <f aca="false">INT($C$2)-INT(Table3[[#This Row],[Last Purchase Date]])</f>
        <v>95</v>
      </c>
      <c r="D601" s="1" t="n">
        <v>2</v>
      </c>
      <c r="E601" s="1" t="n">
        <v>922.39</v>
      </c>
      <c r="F601" s="1" t="n">
        <f aca="false">ROUND((1-_xlfn.PERCENTRANK.INC($C$7:$C$4378,C601))*9,0)</f>
        <v>3</v>
      </c>
      <c r="G601" s="1" t="n">
        <f aca="false">ROUND(_xlfn.PERCENTRANK.INC($D$7:$D$4378,D601)*9,0)</f>
        <v>3</v>
      </c>
      <c r="H601" s="1" t="n">
        <f aca="false">ROUND(_xlfn.PERCENTRANK.INC($E$7:$E$4378,E601)*9,0)</f>
        <v>5</v>
      </c>
      <c r="I601" s="1" t="str">
        <f aca="false">CONCATENATE(F601,G601,H601)</f>
        <v>335</v>
      </c>
      <c r="J601" s="1" t="str">
        <f aca="false">_xlfn.IFS(AND(F601&gt;=8,G601&gt;=8,H601&gt;=8),"CHAMPION",AND(F601&gt;=6,G601&gt;=7,H601&gt;=6),"LOYAL CUSTOMER",AND(F601&gt;=6,G601&gt;=5,H601&gt;=5),"POTENTIAL LOYALIST",AND(F601&gt;=8,G601&lt;=2,H601&gt;=5),"NEW CUSTOMERS",AND(F601&gt;=6,G601&lt;=2,H601&gt;=3),"PROMISING",AND(F601&gt;=3,G601&gt;=3,H601&gt;=3),"NEED ATTENTION",AND(F601&lt;=4,G601&gt;=6,H601&gt;=6),"AT RISK",AND(F601&lt;=2,G601&gt;=8,H601&gt;=8),"CAN'T LOSE THEM",AND(F601&lt;=2,G601&lt;=2,H601&lt;=2),"HIBERNATING",TRUE(),"Other")</f>
        <v>NEED ATTENTION</v>
      </c>
      <c r="K601" s="1" t="n">
        <f aca="false">RANK(E601,$E$7:$E$4378)+COUNTIF($E$7:E601,E601)-1</f>
        <v>1723</v>
      </c>
    </row>
    <row r="602" customFormat="false" ht="14.25" hidden="false" customHeight="true" outlineLevel="0" collapsed="false">
      <c r="A602" s="51" t="n">
        <v>13124</v>
      </c>
      <c r="B602" s="53" t="n">
        <v>40797.53125</v>
      </c>
      <c r="C602" s="57" t="n">
        <f aca="false">INT($C$2)-INT(Table3[[#This Row],[Last Purchase Date]])</f>
        <v>90</v>
      </c>
      <c r="D602" s="1" t="n">
        <v>3</v>
      </c>
      <c r="E602" s="1" t="n">
        <v>3866.33</v>
      </c>
      <c r="F602" s="1" t="n">
        <f aca="false">ROUND((1-_xlfn.PERCENTRANK.INC($C$7:$C$4378,C602))*9,0)</f>
        <v>3</v>
      </c>
      <c r="G602" s="1" t="n">
        <f aca="false">ROUND(_xlfn.PERCENTRANK.INC($D$7:$D$4378,D602)*9,0)</f>
        <v>4</v>
      </c>
      <c r="H602" s="1" t="n">
        <f aca="false">ROUND(_xlfn.PERCENTRANK.INC($E$7:$E$4378,E602)*9,0)</f>
        <v>8</v>
      </c>
      <c r="I602" s="1" t="str">
        <f aca="false">CONCATENATE(F602,G602,H602)</f>
        <v>348</v>
      </c>
      <c r="J602" s="1" t="str">
        <f aca="false">_xlfn.IFS(AND(F602&gt;=8,G602&gt;=8,H602&gt;=8),"CHAMPION",AND(F602&gt;=6,G602&gt;=7,H602&gt;=6),"LOYAL CUSTOMER",AND(F602&gt;=6,G602&gt;=5,H602&gt;=5),"POTENTIAL LOYALIST",AND(F602&gt;=8,G602&lt;=2,H602&gt;=5),"NEW CUSTOMERS",AND(F602&gt;=6,G602&lt;=2,H602&gt;=3),"PROMISING",AND(F602&gt;=3,G602&gt;=3,H602&gt;=3),"NEED ATTENTION",AND(F602&lt;=4,G602&gt;=6,H602&gt;=6),"AT RISK",AND(F602&lt;=2,G602&gt;=8,H602&gt;=8),"CAN'T LOSE THEM",AND(F602&lt;=2,G602&lt;=2,H602&lt;=2),"HIBERNATING",TRUE(),"Other")</f>
        <v>NEED ATTENTION</v>
      </c>
      <c r="K602" s="1" t="n">
        <f aca="false">RANK(E602,$E$7:$E$4378)+COUNTIF($E$7:E602,E602)-1</f>
        <v>375</v>
      </c>
    </row>
    <row r="603" customFormat="false" ht="14.25" hidden="false" customHeight="true" outlineLevel="0" collapsed="false">
      <c r="A603" s="51" t="n">
        <v>13126</v>
      </c>
      <c r="B603" s="53" t="n">
        <v>40882.4166666667</v>
      </c>
      <c r="C603" s="57" t="n">
        <f aca="false">INT($C$2)-INT(Table3[[#This Row],[Last Purchase Date]])</f>
        <v>5</v>
      </c>
      <c r="D603" s="1" t="n">
        <v>10</v>
      </c>
      <c r="E603" s="1" t="n">
        <v>2056.29</v>
      </c>
      <c r="F603" s="1" t="n">
        <f aca="false">ROUND((1-_xlfn.PERCENTRANK.INC($C$7:$C$4378,C603))*9,0)</f>
        <v>8</v>
      </c>
      <c r="G603" s="1" t="n">
        <f aca="false">ROUND(_xlfn.PERCENTRANK.INC($D$7:$D$4378,D603)*9,0)</f>
        <v>8</v>
      </c>
      <c r="H603" s="1" t="n">
        <f aca="false">ROUND(_xlfn.PERCENTRANK.INC($E$7:$E$4378,E603)*9,0)</f>
        <v>7</v>
      </c>
      <c r="I603" s="1" t="str">
        <f aca="false">CONCATENATE(F603,G603,H603)</f>
        <v>887</v>
      </c>
      <c r="J603" s="1" t="str">
        <f aca="false">_xlfn.IFS(AND(F603&gt;=8,G603&gt;=8,H603&gt;=8),"CHAMPION",AND(F603&gt;=6,G603&gt;=7,H603&gt;=6),"LOYAL CUSTOMER",AND(F603&gt;=6,G603&gt;=5,H603&gt;=5),"POTENTIAL LOYALIST",AND(F603&gt;=8,G603&lt;=2,H603&gt;=5),"NEW CUSTOMERS",AND(F603&gt;=6,G603&lt;=2,H603&gt;=3),"PROMISING",AND(F603&gt;=3,G603&gt;=3,H603&gt;=3),"NEED ATTENTION",AND(F603&lt;=4,G603&gt;=6,H603&gt;=6),"AT RISK",AND(F603&lt;=2,G603&gt;=8,H603&gt;=8),"CAN'T LOSE THEM",AND(F603&lt;=2,G603&lt;=2,H603&lt;=2),"HIBERNATING",TRUE(),"Other")</f>
        <v>LOYAL CUSTOMER</v>
      </c>
      <c r="K603" s="1" t="n">
        <f aca="false">RANK(E603,$E$7:$E$4378)+COUNTIF($E$7:E603,E603)-1</f>
        <v>849</v>
      </c>
    </row>
    <row r="604" customFormat="false" ht="14.25" hidden="false" customHeight="true" outlineLevel="0" collapsed="false">
      <c r="A604" s="51" t="n">
        <v>13127</v>
      </c>
      <c r="B604" s="53" t="n">
        <v>40809.4347222222</v>
      </c>
      <c r="C604" s="57" t="n">
        <f aca="false">INT($C$2)-INT(Table3[[#This Row],[Last Purchase Date]])</f>
        <v>78</v>
      </c>
      <c r="D604" s="1" t="n">
        <v>1</v>
      </c>
      <c r="E604" s="1" t="n">
        <v>259.17</v>
      </c>
      <c r="F604" s="1" t="n">
        <f aca="false">ROUND((1-_xlfn.PERCENTRANK.INC($C$7:$C$4378,C604))*9,0)</f>
        <v>3</v>
      </c>
      <c r="G604" s="1" t="n">
        <f aca="false">ROUND(_xlfn.PERCENTRANK.INC($D$7:$D$4378,D604)*9,0)</f>
        <v>0</v>
      </c>
      <c r="H604" s="1" t="n">
        <f aca="false">ROUND(_xlfn.PERCENTRANK.INC($E$7:$E$4378,E604)*9,0)</f>
        <v>2</v>
      </c>
      <c r="I604" s="1" t="str">
        <f aca="false">CONCATENATE(F604,G604,H604)</f>
        <v>302</v>
      </c>
      <c r="J604" s="1" t="str">
        <f aca="false">_xlfn.IFS(AND(F604&gt;=8,G604&gt;=8,H604&gt;=8),"CHAMPION",AND(F604&gt;=6,G604&gt;=7,H604&gt;=6),"LOYAL CUSTOMER",AND(F604&gt;=6,G604&gt;=5,H604&gt;=5),"POTENTIAL LOYALIST",AND(F604&gt;=8,G604&lt;=2,H604&gt;=5),"NEW CUSTOMERS",AND(F604&gt;=6,G604&lt;=2,H604&gt;=3),"PROMISING",AND(F604&gt;=3,G604&gt;=3,H604&gt;=3),"NEED ATTENTION",AND(F604&lt;=4,G604&gt;=6,H604&gt;=6),"AT RISK",AND(F604&lt;=2,G604&gt;=8,H604&gt;=8),"CAN'T LOSE THEM",AND(F604&lt;=2,G604&lt;=2,H604&lt;=2),"HIBERNATING",TRUE(),"Other")</f>
        <v>Other</v>
      </c>
      <c r="K604" s="1" t="n">
        <f aca="false">RANK(E604,$E$7:$E$4378)+COUNTIF($E$7:E604,E604)-1</f>
        <v>3400</v>
      </c>
    </row>
    <row r="605" customFormat="false" ht="14.25" hidden="false" customHeight="true" outlineLevel="0" collapsed="false">
      <c r="A605" s="51" t="n">
        <v>13130</v>
      </c>
      <c r="B605" s="53" t="n">
        <v>40792.6458333333</v>
      </c>
      <c r="C605" s="57" t="n">
        <f aca="false">INT($C$2)-INT(Table3[[#This Row],[Last Purchase Date]])</f>
        <v>95</v>
      </c>
      <c r="D605" s="1" t="n">
        <v>1</v>
      </c>
      <c r="E605" s="1" t="n">
        <v>64</v>
      </c>
      <c r="F605" s="1" t="n">
        <f aca="false">ROUND((1-_xlfn.PERCENTRANK.INC($C$7:$C$4378,C605))*9,0)</f>
        <v>3</v>
      </c>
      <c r="G605" s="1" t="n">
        <f aca="false">ROUND(_xlfn.PERCENTRANK.INC($D$7:$D$4378,D605)*9,0)</f>
        <v>0</v>
      </c>
      <c r="H605" s="1" t="n">
        <f aca="false">ROUND(_xlfn.PERCENTRANK.INC($E$7:$E$4378,E605)*9,0)</f>
        <v>0</v>
      </c>
      <c r="I605" s="1" t="str">
        <f aca="false">CONCATENATE(F605,G605,H605)</f>
        <v>300</v>
      </c>
      <c r="J605" s="1" t="str">
        <f aca="false">_xlfn.IFS(AND(F605&gt;=8,G605&gt;=8,H605&gt;=8),"CHAMPION",AND(F605&gt;=6,G605&gt;=7,H605&gt;=6),"LOYAL CUSTOMER",AND(F605&gt;=6,G605&gt;=5,H605&gt;=5),"POTENTIAL LOYALIST",AND(F605&gt;=8,G605&lt;=2,H605&gt;=5),"NEW CUSTOMERS",AND(F605&gt;=6,G605&lt;=2,H605&gt;=3),"PROMISING",AND(F605&gt;=3,G605&gt;=3,H605&gt;=3),"NEED ATTENTION",AND(F605&lt;=4,G605&gt;=6,H605&gt;=6),"AT RISK",AND(F605&lt;=2,G605&gt;=8,H605&gt;=8),"CAN'T LOSE THEM",AND(F605&lt;=2,G605&lt;=2,H605&lt;=2),"HIBERNATING",TRUE(),"Other")</f>
        <v>Other</v>
      </c>
      <c r="K605" s="1" t="n">
        <f aca="false">RANK(E605,$E$7:$E$4378)+COUNTIF($E$7:E605,E605)-1</f>
        <v>4255</v>
      </c>
    </row>
    <row r="606" customFormat="false" ht="14.25" hidden="false" customHeight="true" outlineLevel="0" collapsed="false">
      <c r="A606" s="51" t="n">
        <v>13131</v>
      </c>
      <c r="B606" s="53" t="n">
        <v>40863.55625</v>
      </c>
      <c r="C606" s="57" t="n">
        <f aca="false">INT($C$2)-INT(Table3[[#This Row],[Last Purchase Date]])</f>
        <v>24</v>
      </c>
      <c r="D606" s="1" t="n">
        <v>4</v>
      </c>
      <c r="E606" s="1" t="n">
        <v>1039.3</v>
      </c>
      <c r="F606" s="1" t="n">
        <f aca="false">ROUND((1-_xlfn.PERCENTRANK.INC($C$7:$C$4378,C606))*9,0)</f>
        <v>6</v>
      </c>
      <c r="G606" s="1" t="n">
        <f aca="false">ROUND(_xlfn.PERCENTRANK.INC($D$7:$D$4378,D606)*9,0)</f>
        <v>5</v>
      </c>
      <c r="H606" s="1" t="n">
        <f aca="false">ROUND(_xlfn.PERCENTRANK.INC($E$7:$E$4378,E606)*9,0)</f>
        <v>6</v>
      </c>
      <c r="I606" s="1" t="str">
        <f aca="false">CONCATENATE(F606,G606,H606)</f>
        <v>656</v>
      </c>
      <c r="J606" s="1" t="str">
        <f aca="false">_xlfn.IFS(AND(F606&gt;=8,G606&gt;=8,H606&gt;=8),"CHAMPION",AND(F606&gt;=6,G606&gt;=7,H606&gt;=6),"LOYAL CUSTOMER",AND(F606&gt;=6,G606&gt;=5,H606&gt;=5),"POTENTIAL LOYALIST",AND(F606&gt;=8,G606&lt;=2,H606&gt;=5),"NEW CUSTOMERS",AND(F606&gt;=6,G606&lt;=2,H606&gt;=3),"PROMISING",AND(F606&gt;=3,G606&gt;=3,H606&gt;=3),"NEED ATTENTION",AND(F606&lt;=4,G606&gt;=6,H606&gt;=6),"AT RISK",AND(F606&lt;=2,G606&gt;=8,H606&gt;=8),"CAN'T LOSE THEM",AND(F606&lt;=2,G606&lt;=2,H606&lt;=2),"HIBERNATING",TRUE(),"Other")</f>
        <v>POTENTIAL LOYALIST</v>
      </c>
      <c r="K606" s="1" t="n">
        <f aca="false">RANK(E606,$E$7:$E$4378)+COUNTIF($E$7:E606,E606)-1</f>
        <v>1581</v>
      </c>
    </row>
    <row r="607" customFormat="false" ht="14.25" hidden="false" customHeight="true" outlineLevel="0" collapsed="false">
      <c r="A607" s="51" t="n">
        <v>13132</v>
      </c>
      <c r="B607" s="53" t="n">
        <v>40625.5305555556</v>
      </c>
      <c r="C607" s="57" t="n">
        <f aca="false">INT($C$2)-INT(Table3[[#This Row],[Last Purchase Date]])</f>
        <v>262</v>
      </c>
      <c r="D607" s="1" t="n">
        <v>1</v>
      </c>
      <c r="E607" s="1" t="n">
        <v>77.3</v>
      </c>
      <c r="F607" s="1" t="n">
        <f aca="false">ROUND((1-_xlfn.PERCENTRANK.INC($C$7:$C$4378,C607))*9,0)</f>
        <v>1</v>
      </c>
      <c r="G607" s="1" t="n">
        <f aca="false">ROUND(_xlfn.PERCENTRANK.INC($D$7:$D$4378,D607)*9,0)</f>
        <v>0</v>
      </c>
      <c r="H607" s="1" t="n">
        <f aca="false">ROUND(_xlfn.PERCENTRANK.INC($E$7:$E$4378,E607)*9,0)</f>
        <v>0</v>
      </c>
      <c r="I607" s="1" t="str">
        <f aca="false">CONCATENATE(F607,G607,H607)</f>
        <v>100</v>
      </c>
      <c r="J607" s="1" t="str">
        <f aca="false">_xlfn.IFS(AND(F607&gt;=8,G607&gt;=8,H607&gt;=8),"CHAMPION",AND(F607&gt;=6,G607&gt;=7,H607&gt;=6),"LOYAL CUSTOMER",AND(F607&gt;=6,G607&gt;=5,H607&gt;=5),"POTENTIAL LOYALIST",AND(F607&gt;=8,G607&lt;=2,H607&gt;=5),"NEW CUSTOMERS",AND(F607&gt;=6,G607&lt;=2,H607&gt;=3),"PROMISING",AND(F607&gt;=3,G607&gt;=3,H607&gt;=3),"NEED ATTENTION",AND(F607&lt;=4,G607&gt;=6,H607&gt;=6),"AT RISK",AND(F607&lt;=2,G607&gt;=8,H607&gt;=8),"CAN'T LOSE THEM",AND(F607&lt;=2,G607&lt;=2,H607&lt;=2),"HIBERNATING",TRUE(),"Other")</f>
        <v>HIBERNATING</v>
      </c>
      <c r="K607" s="1" t="n">
        <f aca="false">RANK(E607,$E$7:$E$4378)+COUNTIF($E$7:E607,E607)-1</f>
        <v>4224</v>
      </c>
    </row>
    <row r="608" customFormat="false" ht="14.25" hidden="false" customHeight="true" outlineLevel="0" collapsed="false">
      <c r="A608" s="51" t="n">
        <v>13133</v>
      </c>
      <c r="B608" s="53" t="n">
        <v>40613.4381944445</v>
      </c>
      <c r="C608" s="57" t="n">
        <f aca="false">INT($C$2)-INT(Table3[[#This Row],[Last Purchase Date]])</f>
        <v>274</v>
      </c>
      <c r="D608" s="1" t="n">
        <v>2</v>
      </c>
      <c r="E608" s="1" t="n">
        <v>109.8</v>
      </c>
      <c r="F608" s="1" t="n">
        <f aca="false">ROUND((1-_xlfn.PERCENTRANK.INC($C$7:$C$4378,C608))*9,0)</f>
        <v>1</v>
      </c>
      <c r="G608" s="1" t="n">
        <f aca="false">ROUND(_xlfn.PERCENTRANK.INC($D$7:$D$4378,D608)*9,0)</f>
        <v>3</v>
      </c>
      <c r="H608" s="1" t="n">
        <f aca="false">ROUND(_xlfn.PERCENTRANK.INC($E$7:$E$4378,E608)*9,0)</f>
        <v>1</v>
      </c>
      <c r="I608" s="1" t="str">
        <f aca="false">CONCATENATE(F608,G608,H608)</f>
        <v>131</v>
      </c>
      <c r="J608" s="1" t="str">
        <f aca="false">_xlfn.IFS(AND(F608&gt;=8,G608&gt;=8,H608&gt;=8),"CHAMPION",AND(F608&gt;=6,G608&gt;=7,H608&gt;=6),"LOYAL CUSTOMER",AND(F608&gt;=6,G608&gt;=5,H608&gt;=5),"POTENTIAL LOYALIST",AND(F608&gt;=8,G608&lt;=2,H608&gt;=5),"NEW CUSTOMERS",AND(F608&gt;=6,G608&lt;=2,H608&gt;=3),"PROMISING",AND(F608&gt;=3,G608&gt;=3,H608&gt;=3),"NEED ATTENTION",AND(F608&lt;=4,G608&gt;=6,H608&gt;=6),"AT RISK",AND(F608&lt;=2,G608&gt;=8,H608&gt;=8),"CAN'T LOSE THEM",AND(F608&lt;=2,G608&lt;=2,H608&lt;=2),"HIBERNATING",TRUE(),"Other")</f>
        <v>Other</v>
      </c>
      <c r="K608" s="1" t="n">
        <f aca="false">RANK(E608,$E$7:$E$4378)+COUNTIF($E$7:E608,E608)-1</f>
        <v>4118</v>
      </c>
    </row>
    <row r="609" customFormat="false" ht="14.25" hidden="false" customHeight="true" outlineLevel="0" collapsed="false">
      <c r="A609" s="51" t="n">
        <v>13134</v>
      </c>
      <c r="B609" s="53" t="n">
        <v>40814.3902777778</v>
      </c>
      <c r="C609" s="57" t="n">
        <f aca="false">INT($C$2)-INT(Table3[[#This Row],[Last Purchase Date]])</f>
        <v>73</v>
      </c>
      <c r="D609" s="1" t="n">
        <v>7</v>
      </c>
      <c r="E609" s="1" t="n">
        <v>1740.63</v>
      </c>
      <c r="F609" s="1" t="n">
        <f aca="false">ROUND((1-_xlfn.PERCENTRANK.INC($C$7:$C$4378,C609))*9,0)</f>
        <v>4</v>
      </c>
      <c r="G609" s="1" t="n">
        <f aca="false">ROUND(_xlfn.PERCENTRANK.INC($D$7:$D$4378,D609)*9,0)</f>
        <v>7</v>
      </c>
      <c r="H609" s="1" t="n">
        <f aca="false">ROUND(_xlfn.PERCENTRANK.INC($E$7:$E$4378,E609)*9,0)</f>
        <v>7</v>
      </c>
      <c r="I609" s="1" t="str">
        <f aca="false">CONCATENATE(F609,G609,H609)</f>
        <v>477</v>
      </c>
      <c r="J609" s="1" t="str">
        <f aca="false">_xlfn.IFS(AND(F609&gt;=8,G609&gt;=8,H609&gt;=8),"CHAMPION",AND(F609&gt;=6,G609&gt;=7,H609&gt;=6),"LOYAL CUSTOMER",AND(F609&gt;=6,G609&gt;=5,H609&gt;=5),"POTENTIAL LOYALIST",AND(F609&gt;=8,G609&lt;=2,H609&gt;=5),"NEW CUSTOMERS",AND(F609&gt;=6,G609&lt;=2,H609&gt;=3),"PROMISING",AND(F609&gt;=3,G609&gt;=3,H609&gt;=3),"NEED ATTENTION",AND(F609&lt;=4,G609&gt;=6,H609&gt;=6),"AT RISK",AND(F609&lt;=2,G609&gt;=8,H609&gt;=8),"CAN'T LOSE THEM",AND(F609&lt;=2,G609&lt;=2,H609&lt;=2),"HIBERNATING",TRUE(),"Other")</f>
        <v>NEED ATTENTION</v>
      </c>
      <c r="K609" s="1" t="n">
        <f aca="false">RANK(E609,$E$7:$E$4378)+COUNTIF($E$7:E609,E609)-1</f>
        <v>1013</v>
      </c>
    </row>
    <row r="610" customFormat="false" ht="14.25" hidden="false" customHeight="true" outlineLevel="0" collapsed="false">
      <c r="A610" s="51" t="n">
        <v>13135</v>
      </c>
      <c r="B610" s="53" t="n">
        <v>40690.4527777778</v>
      </c>
      <c r="C610" s="57" t="n">
        <f aca="false">INT($C$2)-INT(Table3[[#This Row],[Last Purchase Date]])</f>
        <v>197</v>
      </c>
      <c r="D610" s="1" t="n">
        <v>1</v>
      </c>
      <c r="E610" s="1" t="n">
        <v>3096</v>
      </c>
      <c r="F610" s="1" t="n">
        <f aca="false">ROUND((1-_xlfn.PERCENTRANK.INC($C$7:$C$4378,C610))*9,0)</f>
        <v>2</v>
      </c>
      <c r="G610" s="1" t="n">
        <f aca="false">ROUND(_xlfn.PERCENTRANK.INC($D$7:$D$4378,D610)*9,0)</f>
        <v>0</v>
      </c>
      <c r="H610" s="1" t="n">
        <f aca="false">ROUND(_xlfn.PERCENTRANK.INC($E$7:$E$4378,E610)*9,0)</f>
        <v>8</v>
      </c>
      <c r="I610" s="1" t="str">
        <f aca="false">CONCATENATE(F610,G610,H610)</f>
        <v>208</v>
      </c>
      <c r="J610" s="1" t="str">
        <f aca="false">_xlfn.IFS(AND(F610&gt;=8,G610&gt;=8,H610&gt;=8),"CHAMPION",AND(F610&gt;=6,G610&gt;=7,H610&gt;=6),"LOYAL CUSTOMER",AND(F610&gt;=6,G610&gt;=5,H610&gt;=5),"POTENTIAL LOYALIST",AND(F610&gt;=8,G610&lt;=2,H610&gt;=5),"NEW CUSTOMERS",AND(F610&gt;=6,G610&lt;=2,H610&gt;=3),"PROMISING",AND(F610&gt;=3,G610&gt;=3,H610&gt;=3),"NEED ATTENTION",AND(F610&lt;=4,G610&gt;=6,H610&gt;=6),"AT RISK",AND(F610&lt;=2,G610&gt;=8,H610&gt;=8),"CAN'T LOSE THEM",AND(F610&lt;=2,G610&lt;=2,H610&lt;=2),"HIBERNATING",TRUE(),"Other")</f>
        <v>Other</v>
      </c>
      <c r="K610" s="1" t="n">
        <f aca="false">RANK(E610,$E$7:$E$4378)+COUNTIF($E$7:E610,E610)-1</f>
        <v>513</v>
      </c>
    </row>
    <row r="611" customFormat="false" ht="14.25" hidden="false" customHeight="true" outlineLevel="0" collapsed="false">
      <c r="A611" s="51" t="n">
        <v>13136</v>
      </c>
      <c r="B611" s="53" t="n">
        <v>40836.8006944444</v>
      </c>
      <c r="C611" s="57" t="n">
        <f aca="false">INT($C$2)-INT(Table3[[#This Row],[Last Purchase Date]])</f>
        <v>51</v>
      </c>
      <c r="D611" s="1" t="n">
        <v>11</v>
      </c>
      <c r="E611" s="1" t="n">
        <v>2545.38</v>
      </c>
      <c r="F611" s="1" t="n">
        <f aca="false">ROUND((1-_xlfn.PERCENTRANK.INC($C$7:$C$4378,C611))*9,0)</f>
        <v>5</v>
      </c>
      <c r="G611" s="1" t="n">
        <f aca="false">ROUND(_xlfn.PERCENTRANK.INC($D$7:$D$4378,D611)*9,0)</f>
        <v>8</v>
      </c>
      <c r="H611" s="1" t="n">
        <f aca="false">ROUND(_xlfn.PERCENTRANK.INC($E$7:$E$4378,E611)*9,0)</f>
        <v>8</v>
      </c>
      <c r="I611" s="1" t="str">
        <f aca="false">CONCATENATE(F611,G611,H611)</f>
        <v>588</v>
      </c>
      <c r="J611" s="1" t="str">
        <f aca="false">_xlfn.IFS(AND(F611&gt;=8,G611&gt;=8,H611&gt;=8),"CHAMPION",AND(F611&gt;=6,G611&gt;=7,H611&gt;=6),"LOYAL CUSTOMER",AND(F611&gt;=6,G611&gt;=5,H611&gt;=5),"POTENTIAL LOYALIST",AND(F611&gt;=8,G611&lt;=2,H611&gt;=5),"NEW CUSTOMERS",AND(F611&gt;=6,G611&lt;=2,H611&gt;=3),"PROMISING",AND(F611&gt;=3,G611&gt;=3,H611&gt;=3),"NEED ATTENTION",AND(F611&lt;=4,G611&gt;=6,H611&gt;=6),"AT RISK",AND(F611&lt;=2,G611&gt;=8,H611&gt;=8),"CAN'T LOSE THEM",AND(F611&lt;=2,G611&lt;=2,H611&lt;=2),"HIBERNATING",TRUE(),"Other")</f>
        <v>NEED ATTENTION</v>
      </c>
      <c r="K611" s="1" t="n">
        <f aca="false">RANK(E611,$E$7:$E$4378)+COUNTIF($E$7:E611,E611)-1</f>
        <v>665</v>
      </c>
    </row>
    <row r="612" customFormat="false" ht="14.25" hidden="false" customHeight="true" outlineLevel="0" collapsed="false">
      <c r="A612" s="51" t="n">
        <v>13137</v>
      </c>
      <c r="B612" s="53" t="n">
        <v>40876.50625</v>
      </c>
      <c r="C612" s="57" t="n">
        <f aca="false">INT($C$2)-INT(Table3[[#This Row],[Last Purchase Date]])</f>
        <v>11</v>
      </c>
      <c r="D612" s="1" t="n">
        <v>9</v>
      </c>
      <c r="E612" s="1" t="n">
        <v>3605.08</v>
      </c>
      <c r="F612" s="1" t="n">
        <f aca="false">ROUND((1-_xlfn.PERCENTRANK.INC($C$7:$C$4378,C612))*9,0)</f>
        <v>7</v>
      </c>
      <c r="G612" s="1" t="n">
        <f aca="false">ROUND(_xlfn.PERCENTRANK.INC($D$7:$D$4378,D612)*9,0)</f>
        <v>8</v>
      </c>
      <c r="H612" s="1" t="n">
        <f aca="false">ROUND(_xlfn.PERCENTRANK.INC($E$7:$E$4378,E612)*9,0)</f>
        <v>8</v>
      </c>
      <c r="I612" s="1" t="str">
        <f aca="false">CONCATENATE(F612,G612,H612)</f>
        <v>788</v>
      </c>
      <c r="J612" s="1" t="str">
        <f aca="false">_xlfn.IFS(AND(F612&gt;=8,G612&gt;=8,H612&gt;=8),"CHAMPION",AND(F612&gt;=6,G612&gt;=7,H612&gt;=6),"LOYAL CUSTOMER",AND(F612&gt;=6,G612&gt;=5,H612&gt;=5),"POTENTIAL LOYALIST",AND(F612&gt;=8,G612&lt;=2,H612&gt;=5),"NEW CUSTOMERS",AND(F612&gt;=6,G612&lt;=2,H612&gt;=3),"PROMISING",AND(F612&gt;=3,G612&gt;=3,H612&gt;=3),"NEED ATTENTION",AND(F612&lt;=4,G612&gt;=6,H612&gt;=6),"AT RISK",AND(F612&lt;=2,G612&gt;=8,H612&gt;=8),"CAN'T LOSE THEM",AND(F612&lt;=2,G612&lt;=2,H612&lt;=2),"HIBERNATING",TRUE(),"Other")</f>
        <v>LOYAL CUSTOMER</v>
      </c>
      <c r="K612" s="1" t="n">
        <f aca="false">RANK(E612,$E$7:$E$4378)+COUNTIF($E$7:E612,E612)-1</f>
        <v>420</v>
      </c>
    </row>
    <row r="613" customFormat="false" ht="14.25" hidden="false" customHeight="true" outlineLevel="0" collapsed="false">
      <c r="A613" s="51" t="n">
        <v>13138</v>
      </c>
      <c r="B613" s="53" t="n">
        <v>40864.7020833333</v>
      </c>
      <c r="C613" s="57" t="n">
        <f aca="false">INT($C$2)-INT(Table3[[#This Row],[Last Purchase Date]])</f>
        <v>23</v>
      </c>
      <c r="D613" s="1" t="n">
        <v>6</v>
      </c>
      <c r="E613" s="1" t="n">
        <v>962.39</v>
      </c>
      <c r="F613" s="1" t="n">
        <f aca="false">ROUND((1-_xlfn.PERCENTRANK.INC($C$7:$C$4378,C613))*9,0)</f>
        <v>6</v>
      </c>
      <c r="G613" s="1" t="n">
        <f aca="false">ROUND(_xlfn.PERCENTRANK.INC($D$7:$D$4378,D613)*9,0)</f>
        <v>7</v>
      </c>
      <c r="H613" s="1" t="n">
        <f aca="false">ROUND(_xlfn.PERCENTRANK.INC($E$7:$E$4378,E613)*9,0)</f>
        <v>6</v>
      </c>
      <c r="I613" s="1" t="str">
        <f aca="false">CONCATENATE(F613,G613,H613)</f>
        <v>676</v>
      </c>
      <c r="J613" s="1" t="str">
        <f aca="false">_xlfn.IFS(AND(F613&gt;=8,G613&gt;=8,H613&gt;=8),"CHAMPION",AND(F613&gt;=6,G613&gt;=7,H613&gt;=6),"LOYAL CUSTOMER",AND(F613&gt;=6,G613&gt;=5,H613&gt;=5),"POTENTIAL LOYALIST",AND(F613&gt;=8,G613&lt;=2,H613&gt;=5),"NEW CUSTOMERS",AND(F613&gt;=6,G613&lt;=2,H613&gt;=3),"PROMISING",AND(F613&gt;=3,G613&gt;=3,H613&gt;=3),"NEED ATTENTION",AND(F613&lt;=4,G613&gt;=6,H613&gt;=6),"AT RISK",AND(F613&lt;=2,G613&gt;=8,H613&gt;=8),"CAN'T LOSE THEM",AND(F613&lt;=2,G613&lt;=2,H613&lt;=2),"HIBERNATING",TRUE(),"Other")</f>
        <v>LOYAL CUSTOMER</v>
      </c>
      <c r="K613" s="1" t="n">
        <f aca="false">RANK(E613,$E$7:$E$4378)+COUNTIF($E$7:E613,E613)-1</f>
        <v>1684</v>
      </c>
    </row>
    <row r="614" customFormat="false" ht="14.25" hidden="false" customHeight="true" outlineLevel="0" collapsed="false">
      <c r="A614" s="51" t="n">
        <v>13139</v>
      </c>
      <c r="B614" s="53" t="n">
        <v>40870.5791666667</v>
      </c>
      <c r="C614" s="57" t="n">
        <f aca="false">INT($C$2)-INT(Table3[[#This Row],[Last Purchase Date]])</f>
        <v>17</v>
      </c>
      <c r="D614" s="1" t="n">
        <v>8</v>
      </c>
      <c r="E614" s="1" t="n">
        <v>5055.79</v>
      </c>
      <c r="F614" s="1" t="n">
        <f aca="false">ROUND((1-_xlfn.PERCENTRANK.INC($C$7:$C$4378,C614))*9,0)</f>
        <v>7</v>
      </c>
      <c r="G614" s="1" t="n">
        <f aca="false">ROUND(_xlfn.PERCENTRANK.INC($D$7:$D$4378,D614)*9,0)</f>
        <v>7</v>
      </c>
      <c r="H614" s="1" t="n">
        <f aca="false">ROUND(_xlfn.PERCENTRANK.INC($E$7:$E$4378,E614)*9,0)</f>
        <v>8</v>
      </c>
      <c r="I614" s="1" t="str">
        <f aca="false">CONCATENATE(F614,G614,H614)</f>
        <v>778</v>
      </c>
      <c r="J614" s="1" t="str">
        <f aca="false">_xlfn.IFS(AND(F614&gt;=8,G614&gt;=8,H614&gt;=8),"CHAMPION",AND(F614&gt;=6,G614&gt;=7,H614&gt;=6),"LOYAL CUSTOMER",AND(F614&gt;=6,G614&gt;=5,H614&gt;=5),"POTENTIAL LOYALIST",AND(F614&gt;=8,G614&lt;=2,H614&gt;=5),"NEW CUSTOMERS",AND(F614&gt;=6,G614&lt;=2,H614&gt;=3),"PROMISING",AND(F614&gt;=3,G614&gt;=3,H614&gt;=3),"NEED ATTENTION",AND(F614&lt;=4,G614&gt;=6,H614&gt;=6),"AT RISK",AND(F614&lt;=2,G614&gt;=8,H614&gt;=8),"CAN'T LOSE THEM",AND(F614&lt;=2,G614&lt;=2,H614&lt;=2),"HIBERNATING",TRUE(),"Other")</f>
        <v>LOYAL CUSTOMER</v>
      </c>
      <c r="K614" s="1" t="n">
        <f aca="false">RANK(E614,$E$7:$E$4378)+COUNTIF($E$7:E614,E614)-1</f>
        <v>256</v>
      </c>
    </row>
    <row r="615" customFormat="false" ht="14.25" hidden="false" customHeight="true" outlineLevel="0" collapsed="false">
      <c r="A615" s="51" t="n">
        <v>13140</v>
      </c>
      <c r="B615" s="53" t="n">
        <v>40778.6479166667</v>
      </c>
      <c r="C615" s="57" t="n">
        <f aca="false">INT($C$2)-INT(Table3[[#This Row],[Last Purchase Date]])</f>
        <v>109</v>
      </c>
      <c r="D615" s="1" t="n">
        <v>3</v>
      </c>
      <c r="E615" s="1" t="n">
        <v>423.72</v>
      </c>
      <c r="F615" s="1" t="n">
        <f aca="false">ROUND((1-_xlfn.PERCENTRANK.INC($C$7:$C$4378,C615))*9,0)</f>
        <v>3</v>
      </c>
      <c r="G615" s="1" t="n">
        <f aca="false">ROUND(_xlfn.PERCENTRANK.INC($D$7:$D$4378,D615)*9,0)</f>
        <v>4</v>
      </c>
      <c r="H615" s="1" t="n">
        <f aca="false">ROUND(_xlfn.PERCENTRANK.INC($E$7:$E$4378,E615)*9,0)</f>
        <v>3</v>
      </c>
      <c r="I615" s="1" t="str">
        <f aca="false">CONCATENATE(F615,G615,H615)</f>
        <v>343</v>
      </c>
      <c r="J615" s="1" t="str">
        <f aca="false">_xlfn.IFS(AND(F615&gt;=8,G615&gt;=8,H615&gt;=8),"CHAMPION",AND(F615&gt;=6,G615&gt;=7,H615&gt;=6),"LOYAL CUSTOMER",AND(F615&gt;=6,G615&gt;=5,H615&gt;=5),"POTENTIAL LOYALIST",AND(F615&gt;=8,G615&lt;=2,H615&gt;=5),"NEW CUSTOMERS",AND(F615&gt;=6,G615&lt;=2,H615&gt;=3),"PROMISING",AND(F615&gt;=3,G615&gt;=3,H615&gt;=3),"NEED ATTENTION",AND(F615&lt;=4,G615&gt;=6,H615&gt;=6),"AT RISK",AND(F615&lt;=2,G615&gt;=8,H615&gt;=8),"CAN'T LOSE THEM",AND(F615&lt;=2,G615&lt;=2,H615&lt;=2),"HIBERNATING",TRUE(),"Other")</f>
        <v>NEED ATTENTION</v>
      </c>
      <c r="K615" s="1" t="n">
        <f aca="false">RANK(E615,$E$7:$E$4378)+COUNTIF($E$7:E615,E615)-1</f>
        <v>2742</v>
      </c>
    </row>
    <row r="616" customFormat="false" ht="14.25" hidden="false" customHeight="true" outlineLevel="0" collapsed="false">
      <c r="A616" s="51" t="n">
        <v>13141</v>
      </c>
      <c r="B616" s="53" t="n">
        <v>40802.4125</v>
      </c>
      <c r="C616" s="57" t="n">
        <f aca="false">INT($C$2)-INT(Table3[[#This Row],[Last Purchase Date]])</f>
        <v>85</v>
      </c>
      <c r="D616" s="1" t="n">
        <v>6</v>
      </c>
      <c r="E616" s="1" t="n">
        <v>2385.8</v>
      </c>
      <c r="F616" s="1" t="n">
        <f aca="false">ROUND((1-_xlfn.PERCENTRANK.INC($C$7:$C$4378,C616))*9,0)</f>
        <v>3</v>
      </c>
      <c r="G616" s="1" t="n">
        <f aca="false">ROUND(_xlfn.PERCENTRANK.INC($D$7:$D$4378,D616)*9,0)</f>
        <v>7</v>
      </c>
      <c r="H616" s="1" t="n">
        <f aca="false">ROUND(_xlfn.PERCENTRANK.INC($E$7:$E$4378,E616)*9,0)</f>
        <v>8</v>
      </c>
      <c r="I616" s="1" t="str">
        <f aca="false">CONCATENATE(F616,G616,H616)</f>
        <v>378</v>
      </c>
      <c r="J616" s="1" t="str">
        <f aca="false">_xlfn.IFS(AND(F616&gt;=8,G616&gt;=8,H616&gt;=8),"CHAMPION",AND(F616&gt;=6,G616&gt;=7,H616&gt;=6),"LOYAL CUSTOMER",AND(F616&gt;=6,G616&gt;=5,H616&gt;=5),"POTENTIAL LOYALIST",AND(F616&gt;=8,G616&lt;=2,H616&gt;=5),"NEW CUSTOMERS",AND(F616&gt;=6,G616&lt;=2,H616&gt;=3),"PROMISING",AND(F616&gt;=3,G616&gt;=3,H616&gt;=3),"NEED ATTENTION",AND(F616&lt;=4,G616&gt;=6,H616&gt;=6),"AT RISK",AND(F616&lt;=2,G616&gt;=8,H616&gt;=8),"CAN'T LOSE THEM",AND(F616&lt;=2,G616&lt;=2,H616&lt;=2),"HIBERNATING",TRUE(),"Other")</f>
        <v>NEED ATTENTION</v>
      </c>
      <c r="K616" s="1" t="n">
        <f aca="false">RANK(E616,$E$7:$E$4378)+COUNTIF($E$7:E616,E616)-1</f>
        <v>712</v>
      </c>
    </row>
    <row r="617" customFormat="false" ht="14.25" hidden="false" customHeight="true" outlineLevel="0" collapsed="false">
      <c r="A617" s="51" t="n">
        <v>13142</v>
      </c>
      <c r="B617" s="53" t="n">
        <v>40867.6715277778</v>
      </c>
      <c r="C617" s="57" t="n">
        <f aca="false">INT($C$2)-INT(Table3[[#This Row],[Last Purchase Date]])</f>
        <v>20</v>
      </c>
      <c r="D617" s="1" t="n">
        <v>1</v>
      </c>
      <c r="E617" s="1" t="n">
        <v>307.09</v>
      </c>
      <c r="F617" s="1" t="n">
        <f aca="false">ROUND((1-_xlfn.PERCENTRANK.INC($C$7:$C$4378,C617))*9,0)</f>
        <v>6</v>
      </c>
      <c r="G617" s="1" t="n">
        <f aca="false">ROUND(_xlfn.PERCENTRANK.INC($D$7:$D$4378,D617)*9,0)</f>
        <v>0</v>
      </c>
      <c r="H617" s="1" t="n">
        <f aca="false">ROUND(_xlfn.PERCENTRANK.INC($E$7:$E$4378,E617)*9,0)</f>
        <v>2</v>
      </c>
      <c r="I617" s="1" t="str">
        <f aca="false">CONCATENATE(F617,G617,H617)</f>
        <v>602</v>
      </c>
      <c r="J617" s="1" t="str">
        <f aca="false">_xlfn.IFS(AND(F617&gt;=8,G617&gt;=8,H617&gt;=8),"CHAMPION",AND(F617&gt;=6,G617&gt;=7,H617&gt;=6),"LOYAL CUSTOMER",AND(F617&gt;=6,G617&gt;=5,H617&gt;=5),"POTENTIAL LOYALIST",AND(F617&gt;=8,G617&lt;=2,H617&gt;=5),"NEW CUSTOMERS",AND(F617&gt;=6,G617&lt;=2,H617&gt;=3),"PROMISING",AND(F617&gt;=3,G617&gt;=3,H617&gt;=3),"NEED ATTENTION",AND(F617&lt;=4,G617&gt;=6,H617&gt;=6),"AT RISK",AND(F617&lt;=2,G617&gt;=8,H617&gt;=8),"CAN'T LOSE THEM",AND(F617&lt;=2,G617&lt;=2,H617&lt;=2),"HIBERNATING",TRUE(),"Other")</f>
        <v>Other</v>
      </c>
      <c r="K617" s="1" t="n">
        <f aca="false">RANK(E617,$E$7:$E$4378)+COUNTIF($E$7:E617,E617)-1</f>
        <v>3212</v>
      </c>
    </row>
    <row r="618" customFormat="false" ht="14.25" hidden="false" customHeight="true" outlineLevel="0" collapsed="false">
      <c r="A618" s="51" t="n">
        <v>13144</v>
      </c>
      <c r="B618" s="53" t="n">
        <v>40554.46875</v>
      </c>
      <c r="C618" s="57" t="n">
        <f aca="false">INT($C$2)-INT(Table3[[#This Row],[Last Purchase Date]])</f>
        <v>333</v>
      </c>
      <c r="D618" s="1" t="n">
        <v>1</v>
      </c>
      <c r="E618" s="1" t="n">
        <v>110.95</v>
      </c>
      <c r="F618" s="1" t="n">
        <f aca="false">ROUND((1-_xlfn.PERCENTRANK.INC($C$7:$C$4378,C618))*9,0)</f>
        <v>0</v>
      </c>
      <c r="G618" s="1" t="n">
        <f aca="false">ROUND(_xlfn.PERCENTRANK.INC($D$7:$D$4378,D618)*9,0)</f>
        <v>0</v>
      </c>
      <c r="H618" s="1" t="n">
        <f aca="false">ROUND(_xlfn.PERCENTRANK.INC($E$7:$E$4378,E618)*9,0)</f>
        <v>1</v>
      </c>
      <c r="I618" s="1" t="str">
        <f aca="false">CONCATENATE(F618,G618,H618)</f>
        <v>001</v>
      </c>
      <c r="J618" s="1" t="str">
        <f aca="false">_xlfn.IFS(AND(F618&gt;=8,G618&gt;=8,H618&gt;=8),"CHAMPION",AND(F618&gt;=6,G618&gt;=7,H618&gt;=6),"LOYAL CUSTOMER",AND(F618&gt;=6,G618&gt;=5,H618&gt;=5),"POTENTIAL LOYALIST",AND(F618&gt;=8,G618&lt;=2,H618&gt;=5),"NEW CUSTOMERS",AND(F618&gt;=6,G618&lt;=2,H618&gt;=3),"PROMISING",AND(F618&gt;=3,G618&gt;=3,H618&gt;=3),"NEED ATTENTION",AND(F618&lt;=4,G618&gt;=6,H618&gt;=6),"AT RISK",AND(F618&lt;=2,G618&gt;=8,H618&gt;=8),"CAN'T LOSE THEM",AND(F618&lt;=2,G618&lt;=2,H618&lt;=2),"HIBERNATING",TRUE(),"Other")</f>
        <v>HIBERNATING</v>
      </c>
      <c r="K618" s="1" t="n">
        <f aca="false">RANK(E618,$E$7:$E$4378)+COUNTIF($E$7:E618,E618)-1</f>
        <v>4106</v>
      </c>
    </row>
    <row r="619" customFormat="false" ht="14.25" hidden="false" customHeight="true" outlineLevel="0" collapsed="false">
      <c r="A619" s="51" t="n">
        <v>13145</v>
      </c>
      <c r="B619" s="53" t="n">
        <v>40847.53125</v>
      </c>
      <c r="C619" s="57" t="n">
        <f aca="false">INT($C$2)-INT(Table3[[#This Row],[Last Purchase Date]])</f>
        <v>40</v>
      </c>
      <c r="D619" s="1" t="n">
        <v>5</v>
      </c>
      <c r="E619" s="1" t="n">
        <v>614.77</v>
      </c>
      <c r="F619" s="1" t="n">
        <f aca="false">ROUND((1-_xlfn.PERCENTRANK.INC($C$7:$C$4378,C619))*9,0)</f>
        <v>5</v>
      </c>
      <c r="G619" s="1" t="n">
        <f aca="false">ROUND(_xlfn.PERCENTRANK.INC($D$7:$D$4378,D619)*9,0)</f>
        <v>6</v>
      </c>
      <c r="H619" s="1" t="n">
        <f aca="false">ROUND(_xlfn.PERCENTRANK.INC($E$7:$E$4378,E619)*9,0)</f>
        <v>4</v>
      </c>
      <c r="I619" s="1" t="str">
        <f aca="false">CONCATENATE(F619,G619,H619)</f>
        <v>564</v>
      </c>
      <c r="J619" s="1" t="str">
        <f aca="false">_xlfn.IFS(AND(F619&gt;=8,G619&gt;=8,H619&gt;=8),"CHAMPION",AND(F619&gt;=6,G619&gt;=7,H619&gt;=6),"LOYAL CUSTOMER",AND(F619&gt;=6,G619&gt;=5,H619&gt;=5),"POTENTIAL LOYALIST",AND(F619&gt;=8,G619&lt;=2,H619&gt;=5),"NEW CUSTOMERS",AND(F619&gt;=6,G619&lt;=2,H619&gt;=3),"PROMISING",AND(F619&gt;=3,G619&gt;=3,H619&gt;=3),"NEED ATTENTION",AND(F619&lt;=4,G619&gt;=6,H619&gt;=6),"AT RISK",AND(F619&lt;=2,G619&gt;=8,H619&gt;=8),"CAN'T LOSE THEM",AND(F619&lt;=2,G619&lt;=2,H619&lt;=2),"HIBERNATING",TRUE(),"Other")</f>
        <v>NEED ATTENTION</v>
      </c>
      <c r="K619" s="1" t="n">
        <f aca="false">RANK(E619,$E$7:$E$4378)+COUNTIF($E$7:E619,E619)-1</f>
        <v>2271</v>
      </c>
    </row>
    <row r="620" customFormat="false" ht="14.25" hidden="false" customHeight="true" outlineLevel="0" collapsed="false">
      <c r="A620" s="51" t="n">
        <v>13146</v>
      </c>
      <c r="B620" s="53" t="n">
        <v>40860.6451388889</v>
      </c>
      <c r="C620" s="57" t="n">
        <f aca="false">INT($C$2)-INT(Table3[[#This Row],[Last Purchase Date]])</f>
        <v>27</v>
      </c>
      <c r="D620" s="1" t="n">
        <v>1</v>
      </c>
      <c r="E620" s="1" t="n">
        <v>228.91</v>
      </c>
      <c r="F620" s="1" t="n">
        <f aca="false">ROUND((1-_xlfn.PERCENTRANK.INC($C$7:$C$4378,C620))*9,0)</f>
        <v>6</v>
      </c>
      <c r="G620" s="1" t="n">
        <f aca="false">ROUND(_xlfn.PERCENTRANK.INC($D$7:$D$4378,D620)*9,0)</f>
        <v>0</v>
      </c>
      <c r="H620" s="1" t="n">
        <f aca="false">ROUND(_xlfn.PERCENTRANK.INC($E$7:$E$4378,E620)*9,0)</f>
        <v>2</v>
      </c>
      <c r="I620" s="1" t="str">
        <f aca="false">CONCATENATE(F620,G620,H620)</f>
        <v>602</v>
      </c>
      <c r="J620" s="1" t="str">
        <f aca="false">_xlfn.IFS(AND(F620&gt;=8,G620&gt;=8,H620&gt;=8),"CHAMPION",AND(F620&gt;=6,G620&gt;=7,H620&gt;=6),"LOYAL CUSTOMER",AND(F620&gt;=6,G620&gt;=5,H620&gt;=5),"POTENTIAL LOYALIST",AND(F620&gt;=8,G620&lt;=2,H620&gt;=5),"NEW CUSTOMERS",AND(F620&gt;=6,G620&lt;=2,H620&gt;=3),"PROMISING",AND(F620&gt;=3,G620&gt;=3,H620&gt;=3),"NEED ATTENTION",AND(F620&lt;=4,G620&gt;=6,H620&gt;=6),"AT RISK",AND(F620&lt;=2,G620&gt;=8,H620&gt;=8),"CAN'T LOSE THEM",AND(F620&lt;=2,G620&lt;=2,H620&lt;=2),"HIBERNATING",TRUE(),"Other")</f>
        <v>Other</v>
      </c>
      <c r="K620" s="1" t="n">
        <f aca="false">RANK(E620,$E$7:$E$4378)+COUNTIF($E$7:E620,E620)-1</f>
        <v>3524</v>
      </c>
    </row>
    <row r="621" customFormat="false" ht="14.25" hidden="false" customHeight="true" outlineLevel="0" collapsed="false">
      <c r="A621" s="51" t="n">
        <v>13147</v>
      </c>
      <c r="B621" s="53" t="n">
        <v>40876.5826388889</v>
      </c>
      <c r="C621" s="57" t="n">
        <f aca="false">INT($C$2)-INT(Table3[[#This Row],[Last Purchase Date]])</f>
        <v>11</v>
      </c>
      <c r="D621" s="1" t="n">
        <v>4</v>
      </c>
      <c r="E621" s="1" t="n">
        <v>712.8</v>
      </c>
      <c r="F621" s="1" t="n">
        <f aca="false">ROUND((1-_xlfn.PERCENTRANK.INC($C$7:$C$4378,C621))*9,0)</f>
        <v>7</v>
      </c>
      <c r="G621" s="1" t="n">
        <f aca="false">ROUND(_xlfn.PERCENTRANK.INC($D$7:$D$4378,D621)*9,0)</f>
        <v>5</v>
      </c>
      <c r="H621" s="1" t="n">
        <f aca="false">ROUND(_xlfn.PERCENTRANK.INC($E$7:$E$4378,E621)*9,0)</f>
        <v>5</v>
      </c>
      <c r="I621" s="1" t="str">
        <f aca="false">CONCATENATE(F621,G621,H621)</f>
        <v>755</v>
      </c>
      <c r="J621" s="1" t="str">
        <f aca="false">_xlfn.IFS(AND(F621&gt;=8,G621&gt;=8,H621&gt;=8),"CHAMPION",AND(F621&gt;=6,G621&gt;=7,H621&gt;=6),"LOYAL CUSTOMER",AND(F621&gt;=6,G621&gt;=5,H621&gt;=5),"POTENTIAL LOYALIST",AND(F621&gt;=8,G621&lt;=2,H621&gt;=5),"NEW CUSTOMERS",AND(F621&gt;=6,G621&lt;=2,H621&gt;=3),"PROMISING",AND(F621&gt;=3,G621&gt;=3,H621&gt;=3),"NEED ATTENTION",AND(F621&lt;=4,G621&gt;=6,H621&gt;=6),"AT RISK",AND(F621&lt;=2,G621&gt;=8,H621&gt;=8),"CAN'T LOSE THEM",AND(F621&lt;=2,G621&lt;=2,H621&lt;=2),"HIBERNATING",TRUE(),"Other")</f>
        <v>POTENTIAL LOYALIST</v>
      </c>
      <c r="K621" s="1" t="n">
        <f aca="false">RANK(E621,$E$7:$E$4378)+COUNTIF($E$7:E621,E621)-1</f>
        <v>2039</v>
      </c>
    </row>
    <row r="622" customFormat="false" ht="14.25" hidden="false" customHeight="true" outlineLevel="0" collapsed="false">
      <c r="A622" s="51" t="n">
        <v>13148</v>
      </c>
      <c r="B622" s="53" t="n">
        <v>40857.6409722222</v>
      </c>
      <c r="C622" s="57" t="n">
        <f aca="false">INT($C$2)-INT(Table3[[#This Row],[Last Purchase Date]])</f>
        <v>30</v>
      </c>
      <c r="D622" s="1" t="n">
        <v>17</v>
      </c>
      <c r="E622" s="1" t="n">
        <v>3348.48</v>
      </c>
      <c r="F622" s="1" t="n">
        <f aca="false">ROUND((1-_xlfn.PERCENTRANK.INC($C$7:$C$4378,C622))*9,0)</f>
        <v>6</v>
      </c>
      <c r="G622" s="1" t="n">
        <f aca="false">ROUND(_xlfn.PERCENTRANK.INC($D$7:$D$4378,D622)*9,0)</f>
        <v>9</v>
      </c>
      <c r="H622" s="1" t="n">
        <f aca="false">ROUND(_xlfn.PERCENTRANK.INC($E$7:$E$4378,E622)*9,0)</f>
        <v>8</v>
      </c>
      <c r="I622" s="1" t="str">
        <f aca="false">CONCATENATE(F622,G622,H622)</f>
        <v>698</v>
      </c>
      <c r="J622" s="1" t="str">
        <f aca="false">_xlfn.IFS(AND(F622&gt;=8,G622&gt;=8,H622&gt;=8),"CHAMPION",AND(F622&gt;=6,G622&gt;=7,H622&gt;=6),"LOYAL CUSTOMER",AND(F622&gt;=6,G622&gt;=5,H622&gt;=5),"POTENTIAL LOYALIST",AND(F622&gt;=8,G622&lt;=2,H622&gt;=5),"NEW CUSTOMERS",AND(F622&gt;=6,G622&lt;=2,H622&gt;=3),"PROMISING",AND(F622&gt;=3,G622&gt;=3,H622&gt;=3),"NEED ATTENTION",AND(F622&lt;=4,G622&gt;=6,H622&gt;=6),"AT RISK",AND(F622&lt;=2,G622&gt;=8,H622&gt;=8),"CAN'T LOSE THEM",AND(F622&lt;=2,G622&lt;=2,H622&lt;=2),"HIBERNATING",TRUE(),"Other")</f>
        <v>LOYAL CUSTOMER</v>
      </c>
      <c r="K622" s="1" t="n">
        <f aca="false">RANK(E622,$E$7:$E$4378)+COUNTIF($E$7:E622,E622)-1</f>
        <v>467</v>
      </c>
    </row>
    <row r="623" customFormat="false" ht="14.25" hidden="false" customHeight="true" outlineLevel="0" collapsed="false">
      <c r="A623" s="51" t="n">
        <v>13149</v>
      </c>
      <c r="B623" s="53" t="n">
        <v>40872.5479166667</v>
      </c>
      <c r="C623" s="57" t="n">
        <f aca="false">INT($C$2)-INT(Table3[[#This Row],[Last Purchase Date]])</f>
        <v>15</v>
      </c>
      <c r="D623" s="1" t="n">
        <v>4</v>
      </c>
      <c r="E623" s="1" t="n">
        <v>1676.06</v>
      </c>
      <c r="F623" s="1" t="n">
        <f aca="false">ROUND((1-_xlfn.PERCENTRANK.INC($C$7:$C$4378,C623))*9,0)</f>
        <v>7</v>
      </c>
      <c r="G623" s="1" t="n">
        <f aca="false">ROUND(_xlfn.PERCENTRANK.INC($D$7:$D$4378,D623)*9,0)</f>
        <v>5</v>
      </c>
      <c r="H623" s="1" t="n">
        <f aca="false">ROUND(_xlfn.PERCENTRANK.INC($E$7:$E$4378,E623)*9,0)</f>
        <v>7</v>
      </c>
      <c r="I623" s="1" t="str">
        <f aca="false">CONCATENATE(F623,G623,H623)</f>
        <v>757</v>
      </c>
      <c r="J623" s="1" t="str">
        <f aca="false">_xlfn.IFS(AND(F623&gt;=8,G623&gt;=8,H623&gt;=8),"CHAMPION",AND(F623&gt;=6,G623&gt;=7,H623&gt;=6),"LOYAL CUSTOMER",AND(F623&gt;=6,G623&gt;=5,H623&gt;=5),"POTENTIAL LOYALIST",AND(F623&gt;=8,G623&lt;=2,H623&gt;=5),"NEW CUSTOMERS",AND(F623&gt;=6,G623&lt;=2,H623&gt;=3),"PROMISING",AND(F623&gt;=3,G623&gt;=3,H623&gt;=3),"NEED ATTENTION",AND(F623&lt;=4,G623&gt;=6,H623&gt;=6),"AT RISK",AND(F623&lt;=2,G623&gt;=8,H623&gt;=8),"CAN'T LOSE THEM",AND(F623&lt;=2,G623&lt;=2,H623&lt;=2),"HIBERNATING",TRUE(),"Other")</f>
        <v>POTENTIAL LOYALIST</v>
      </c>
      <c r="K623" s="1" t="n">
        <f aca="false">RANK(E623,$E$7:$E$4378)+COUNTIF($E$7:E623,E623)-1</f>
        <v>1053</v>
      </c>
    </row>
    <row r="624" customFormat="false" ht="14.25" hidden="false" customHeight="true" outlineLevel="0" collapsed="false">
      <c r="A624" s="51" t="n">
        <v>13151</v>
      </c>
      <c r="B624" s="53" t="n">
        <v>40683.5381944445</v>
      </c>
      <c r="C624" s="57" t="n">
        <f aca="false">INT($C$2)-INT(Table3[[#This Row],[Last Purchase Date]])</f>
        <v>204</v>
      </c>
      <c r="D624" s="1" t="n">
        <v>2</v>
      </c>
      <c r="E624" s="1" t="n">
        <v>1250.37</v>
      </c>
      <c r="F624" s="1" t="n">
        <f aca="false">ROUND((1-_xlfn.PERCENTRANK.INC($C$7:$C$4378,C624))*9,0)</f>
        <v>2</v>
      </c>
      <c r="G624" s="1" t="n">
        <f aca="false">ROUND(_xlfn.PERCENTRANK.INC($D$7:$D$4378,D624)*9,0)</f>
        <v>3</v>
      </c>
      <c r="H624" s="1" t="n">
        <f aca="false">ROUND(_xlfn.PERCENTRANK.INC($E$7:$E$4378,E624)*9,0)</f>
        <v>6</v>
      </c>
      <c r="I624" s="1" t="str">
        <f aca="false">CONCATENATE(F624,G624,H624)</f>
        <v>236</v>
      </c>
      <c r="J624" s="1" t="str">
        <f aca="false">_xlfn.IFS(AND(F624&gt;=8,G624&gt;=8,H624&gt;=8),"CHAMPION",AND(F624&gt;=6,G624&gt;=7,H624&gt;=6),"LOYAL CUSTOMER",AND(F624&gt;=6,G624&gt;=5,H624&gt;=5),"POTENTIAL LOYALIST",AND(F624&gt;=8,G624&lt;=2,H624&gt;=5),"NEW CUSTOMERS",AND(F624&gt;=6,G624&lt;=2,H624&gt;=3),"PROMISING",AND(F624&gt;=3,G624&gt;=3,H624&gt;=3),"NEED ATTENTION",AND(F624&lt;=4,G624&gt;=6,H624&gt;=6),"AT RISK",AND(F624&lt;=2,G624&gt;=8,H624&gt;=8),"CAN'T LOSE THEM",AND(F624&lt;=2,G624&lt;=2,H624&lt;=2),"HIBERNATING",TRUE(),"Other")</f>
        <v>Other</v>
      </c>
      <c r="K624" s="1" t="n">
        <f aca="false">RANK(E624,$E$7:$E$4378)+COUNTIF($E$7:E624,E624)-1</f>
        <v>1375</v>
      </c>
    </row>
    <row r="625" customFormat="false" ht="14.25" hidden="false" customHeight="true" outlineLevel="0" collapsed="false">
      <c r="A625" s="51" t="n">
        <v>13153</v>
      </c>
      <c r="B625" s="53" t="n">
        <v>40881.5097222222</v>
      </c>
      <c r="C625" s="57" t="n">
        <f aca="false">INT($C$2)-INT(Table3[[#This Row],[Last Purchase Date]])</f>
        <v>6</v>
      </c>
      <c r="D625" s="1" t="n">
        <v>1</v>
      </c>
      <c r="E625" s="1" t="n">
        <v>486.22</v>
      </c>
      <c r="F625" s="1" t="n">
        <f aca="false">ROUND((1-_xlfn.PERCENTRANK.INC($C$7:$C$4378,C625))*9,0)</f>
        <v>8</v>
      </c>
      <c r="G625" s="1" t="n">
        <f aca="false">ROUND(_xlfn.PERCENTRANK.INC($D$7:$D$4378,D625)*9,0)</f>
        <v>0</v>
      </c>
      <c r="H625" s="1" t="n">
        <f aca="false">ROUND(_xlfn.PERCENTRANK.INC($E$7:$E$4378,E625)*9,0)</f>
        <v>4</v>
      </c>
      <c r="I625" s="1" t="str">
        <f aca="false">CONCATENATE(F625,G625,H625)</f>
        <v>804</v>
      </c>
      <c r="J625" s="1" t="str">
        <f aca="false">_xlfn.IFS(AND(F625&gt;=8,G625&gt;=8,H625&gt;=8),"CHAMPION",AND(F625&gt;=6,G625&gt;=7,H625&gt;=6),"LOYAL CUSTOMER",AND(F625&gt;=6,G625&gt;=5,H625&gt;=5),"POTENTIAL LOYALIST",AND(F625&gt;=8,G625&lt;=2,H625&gt;=5),"NEW CUSTOMERS",AND(F625&gt;=6,G625&lt;=2,H625&gt;=3),"PROMISING",AND(F625&gt;=3,G625&gt;=3,H625&gt;=3),"NEED ATTENTION",AND(F625&lt;=4,G625&gt;=6,H625&gt;=6),"AT RISK",AND(F625&lt;=2,G625&gt;=8,H625&gt;=8),"CAN'T LOSE THEM",AND(F625&lt;=2,G625&lt;=2,H625&lt;=2),"HIBERNATING",TRUE(),"Other")</f>
        <v>PROMISING</v>
      </c>
      <c r="K625" s="1" t="n">
        <f aca="false">RANK(E625,$E$7:$E$4378)+COUNTIF($E$7:E625,E625)-1</f>
        <v>2578</v>
      </c>
    </row>
    <row r="626" customFormat="false" ht="14.25" hidden="false" customHeight="true" outlineLevel="0" collapsed="false">
      <c r="A626" s="51" t="n">
        <v>13154</v>
      </c>
      <c r="B626" s="53" t="n">
        <v>40742.6395833333</v>
      </c>
      <c r="C626" s="57" t="n">
        <f aca="false">INT($C$2)-INT(Table3[[#This Row],[Last Purchase Date]])</f>
        <v>145</v>
      </c>
      <c r="D626" s="1" t="n">
        <v>1</v>
      </c>
      <c r="E626" s="1" t="n">
        <v>-611.86</v>
      </c>
      <c r="F626" s="1" t="n">
        <f aca="false">ROUND((1-_xlfn.PERCENTRANK.INC($C$7:$C$4378,C626))*9,0)</f>
        <v>2</v>
      </c>
      <c r="G626" s="1" t="n">
        <f aca="false">ROUND(_xlfn.PERCENTRANK.INC($D$7:$D$4378,D626)*9,0)</f>
        <v>0</v>
      </c>
      <c r="H626" s="1" t="n">
        <f aca="false">ROUND(_xlfn.PERCENTRANK.INC($E$7:$E$4378,E626)*9,0)</f>
        <v>0</v>
      </c>
      <c r="I626" s="1" t="str">
        <f aca="false">CONCATENATE(F626,G626,H626)</f>
        <v>200</v>
      </c>
      <c r="J626" s="1" t="str">
        <f aca="false">_xlfn.IFS(AND(F626&gt;=8,G626&gt;=8,H626&gt;=8),"CHAMPION",AND(F626&gt;=6,G626&gt;=7,H626&gt;=6),"LOYAL CUSTOMER",AND(F626&gt;=6,G626&gt;=5,H626&gt;=5),"POTENTIAL LOYALIST",AND(F626&gt;=8,G626&lt;=2,H626&gt;=5),"NEW CUSTOMERS",AND(F626&gt;=6,G626&lt;=2,H626&gt;=3),"PROMISING",AND(F626&gt;=3,G626&gt;=3,H626&gt;=3),"NEED ATTENTION",AND(F626&lt;=4,G626&gt;=6,H626&gt;=6),"AT RISK",AND(F626&lt;=2,G626&gt;=8,H626&gt;=8),"CAN'T LOSE THEM",AND(F626&lt;=2,G626&lt;=2,H626&lt;=2),"HIBERNATING",TRUE(),"Other")</f>
        <v>HIBERNATING</v>
      </c>
      <c r="K626" s="1" t="n">
        <f aca="false">RANK(E626,$E$7:$E$4378)+COUNTIF($E$7:E626,E626)-1</f>
        <v>4366</v>
      </c>
    </row>
    <row r="627" customFormat="false" ht="14.25" hidden="false" customHeight="true" outlineLevel="0" collapsed="false">
      <c r="A627" s="51" t="n">
        <v>13155</v>
      </c>
      <c r="B627" s="53" t="n">
        <v>40853.6534722222</v>
      </c>
      <c r="C627" s="57" t="n">
        <f aca="false">INT($C$2)-INT(Table3[[#This Row],[Last Purchase Date]])</f>
        <v>34</v>
      </c>
      <c r="D627" s="1" t="n">
        <v>4</v>
      </c>
      <c r="E627" s="1" t="n">
        <v>971.76</v>
      </c>
      <c r="F627" s="1" t="n">
        <f aca="false">ROUND((1-_xlfn.PERCENTRANK.INC($C$7:$C$4378,C627))*9,0)</f>
        <v>5</v>
      </c>
      <c r="G627" s="1" t="n">
        <f aca="false">ROUND(_xlfn.PERCENTRANK.INC($D$7:$D$4378,D627)*9,0)</f>
        <v>5</v>
      </c>
      <c r="H627" s="1" t="n">
        <f aca="false">ROUND(_xlfn.PERCENTRANK.INC($E$7:$E$4378,E627)*9,0)</f>
        <v>6</v>
      </c>
      <c r="I627" s="1" t="str">
        <f aca="false">CONCATENATE(F627,G627,H627)</f>
        <v>556</v>
      </c>
      <c r="J627" s="1" t="str">
        <f aca="false">_xlfn.IFS(AND(F627&gt;=8,G627&gt;=8,H627&gt;=8),"CHAMPION",AND(F627&gt;=6,G627&gt;=7,H627&gt;=6),"LOYAL CUSTOMER",AND(F627&gt;=6,G627&gt;=5,H627&gt;=5),"POTENTIAL LOYALIST",AND(F627&gt;=8,G627&lt;=2,H627&gt;=5),"NEW CUSTOMERS",AND(F627&gt;=6,G627&lt;=2,H627&gt;=3),"PROMISING",AND(F627&gt;=3,G627&gt;=3,H627&gt;=3),"NEED ATTENTION",AND(F627&lt;=4,G627&gt;=6,H627&gt;=6),"AT RISK",AND(F627&lt;=2,G627&gt;=8,H627&gt;=8),"CAN'T LOSE THEM",AND(F627&lt;=2,G627&lt;=2,H627&lt;=2),"HIBERNATING",TRUE(),"Other")</f>
        <v>NEED ATTENTION</v>
      </c>
      <c r="K627" s="1" t="n">
        <f aca="false">RANK(E627,$E$7:$E$4378)+COUNTIF($E$7:E627,E627)-1</f>
        <v>1674</v>
      </c>
    </row>
    <row r="628" customFormat="false" ht="14.25" hidden="false" customHeight="true" outlineLevel="0" collapsed="false">
      <c r="A628" s="51" t="n">
        <v>13157</v>
      </c>
      <c r="B628" s="53" t="n">
        <v>40837.5763888889</v>
      </c>
      <c r="C628" s="57" t="n">
        <f aca="false">INT($C$2)-INT(Table3[[#This Row],[Last Purchase Date]])</f>
        <v>50</v>
      </c>
      <c r="D628" s="1" t="n">
        <v>5</v>
      </c>
      <c r="E628" s="1" t="n">
        <v>1721.57</v>
      </c>
      <c r="F628" s="1" t="n">
        <f aca="false">ROUND((1-_xlfn.PERCENTRANK.INC($C$7:$C$4378,C628))*9,0)</f>
        <v>5</v>
      </c>
      <c r="G628" s="1" t="n">
        <f aca="false">ROUND(_xlfn.PERCENTRANK.INC($D$7:$D$4378,D628)*9,0)</f>
        <v>6</v>
      </c>
      <c r="H628" s="1" t="n">
        <f aca="false">ROUND(_xlfn.PERCENTRANK.INC($E$7:$E$4378,E628)*9,0)</f>
        <v>7</v>
      </c>
      <c r="I628" s="1" t="str">
        <f aca="false">CONCATENATE(F628,G628,H628)</f>
        <v>567</v>
      </c>
      <c r="J628" s="1" t="str">
        <f aca="false">_xlfn.IFS(AND(F628&gt;=8,G628&gt;=8,H628&gt;=8),"CHAMPION",AND(F628&gt;=6,G628&gt;=7,H628&gt;=6),"LOYAL CUSTOMER",AND(F628&gt;=6,G628&gt;=5,H628&gt;=5),"POTENTIAL LOYALIST",AND(F628&gt;=8,G628&lt;=2,H628&gt;=5),"NEW CUSTOMERS",AND(F628&gt;=6,G628&lt;=2,H628&gt;=3),"PROMISING",AND(F628&gt;=3,G628&gt;=3,H628&gt;=3),"NEED ATTENTION",AND(F628&lt;=4,G628&gt;=6,H628&gt;=6),"AT RISK",AND(F628&lt;=2,G628&gt;=8,H628&gt;=8),"CAN'T LOSE THEM",AND(F628&lt;=2,G628&lt;=2,H628&lt;=2),"HIBERNATING",TRUE(),"Other")</f>
        <v>NEED ATTENTION</v>
      </c>
      <c r="K628" s="1" t="n">
        <f aca="false">RANK(E628,$E$7:$E$4378)+COUNTIF($E$7:E628,E628)-1</f>
        <v>1024</v>
      </c>
    </row>
    <row r="629" customFormat="false" ht="14.25" hidden="false" customHeight="true" outlineLevel="0" collapsed="false">
      <c r="A629" s="51" t="n">
        <v>13158</v>
      </c>
      <c r="B629" s="53" t="n">
        <v>40792.4986111111</v>
      </c>
      <c r="C629" s="57" t="n">
        <f aca="false">INT($C$2)-INT(Table3[[#This Row],[Last Purchase Date]])</f>
        <v>95</v>
      </c>
      <c r="D629" s="1" t="n">
        <v>4</v>
      </c>
      <c r="E629" s="1" t="n">
        <v>1201.06</v>
      </c>
      <c r="F629" s="1" t="n">
        <f aca="false">ROUND((1-_xlfn.PERCENTRANK.INC($C$7:$C$4378,C629))*9,0)</f>
        <v>3</v>
      </c>
      <c r="G629" s="1" t="n">
        <f aca="false">ROUND(_xlfn.PERCENTRANK.INC($D$7:$D$4378,D629)*9,0)</f>
        <v>5</v>
      </c>
      <c r="H629" s="1" t="n">
        <f aca="false">ROUND(_xlfn.PERCENTRANK.INC($E$7:$E$4378,E629)*9,0)</f>
        <v>6</v>
      </c>
      <c r="I629" s="1" t="str">
        <f aca="false">CONCATENATE(F629,G629,H629)</f>
        <v>356</v>
      </c>
      <c r="J629" s="1" t="str">
        <f aca="false">_xlfn.IFS(AND(F629&gt;=8,G629&gt;=8,H629&gt;=8),"CHAMPION",AND(F629&gt;=6,G629&gt;=7,H629&gt;=6),"LOYAL CUSTOMER",AND(F629&gt;=6,G629&gt;=5,H629&gt;=5),"POTENTIAL LOYALIST",AND(F629&gt;=8,G629&lt;=2,H629&gt;=5),"NEW CUSTOMERS",AND(F629&gt;=6,G629&lt;=2,H629&gt;=3),"PROMISING",AND(F629&gt;=3,G629&gt;=3,H629&gt;=3),"NEED ATTENTION",AND(F629&lt;=4,G629&gt;=6,H629&gt;=6),"AT RISK",AND(F629&lt;=2,G629&gt;=8,H629&gt;=8),"CAN'T LOSE THEM",AND(F629&lt;=2,G629&lt;=2,H629&lt;=2),"HIBERNATING",TRUE(),"Other")</f>
        <v>NEED ATTENTION</v>
      </c>
      <c r="K629" s="1" t="n">
        <f aca="false">RANK(E629,$E$7:$E$4378)+COUNTIF($E$7:E629,E629)-1</f>
        <v>1411</v>
      </c>
    </row>
    <row r="630" customFormat="false" ht="14.25" hidden="false" customHeight="true" outlineLevel="0" collapsed="false">
      <c r="A630" s="51" t="n">
        <v>13159</v>
      </c>
      <c r="B630" s="53" t="n">
        <v>40878.4722222222</v>
      </c>
      <c r="C630" s="57" t="n">
        <f aca="false">INT($C$2)-INT(Table3[[#This Row],[Last Purchase Date]])</f>
        <v>9</v>
      </c>
      <c r="D630" s="1" t="n">
        <v>5</v>
      </c>
      <c r="E630" s="1" t="n">
        <v>1379.75</v>
      </c>
      <c r="F630" s="1" t="n">
        <f aca="false">ROUND((1-_xlfn.PERCENTRANK.INC($C$7:$C$4378,C630))*9,0)</f>
        <v>8</v>
      </c>
      <c r="G630" s="1" t="n">
        <f aca="false">ROUND(_xlfn.PERCENTRANK.INC($D$7:$D$4378,D630)*9,0)</f>
        <v>6</v>
      </c>
      <c r="H630" s="1" t="n">
        <f aca="false">ROUND(_xlfn.PERCENTRANK.INC($E$7:$E$4378,E630)*9,0)</f>
        <v>6</v>
      </c>
      <c r="I630" s="1" t="str">
        <f aca="false">CONCATENATE(F630,G630,H630)</f>
        <v>866</v>
      </c>
      <c r="J630" s="1" t="str">
        <f aca="false">_xlfn.IFS(AND(F630&gt;=8,G630&gt;=8,H630&gt;=8),"CHAMPION",AND(F630&gt;=6,G630&gt;=7,H630&gt;=6),"LOYAL CUSTOMER",AND(F630&gt;=6,G630&gt;=5,H630&gt;=5),"POTENTIAL LOYALIST",AND(F630&gt;=8,G630&lt;=2,H630&gt;=5),"NEW CUSTOMERS",AND(F630&gt;=6,G630&lt;=2,H630&gt;=3),"PROMISING",AND(F630&gt;=3,G630&gt;=3,H630&gt;=3),"NEED ATTENTION",AND(F630&lt;=4,G630&gt;=6,H630&gt;=6),"AT RISK",AND(F630&lt;=2,G630&gt;=8,H630&gt;=8),"CAN'T LOSE THEM",AND(F630&lt;=2,G630&lt;=2,H630&lt;=2),"HIBERNATING",TRUE(),"Other")</f>
        <v>POTENTIAL LOYALIST</v>
      </c>
      <c r="K630" s="1" t="n">
        <f aca="false">RANK(E630,$E$7:$E$4378)+COUNTIF($E$7:E630,E630)-1</f>
        <v>1256</v>
      </c>
    </row>
    <row r="631" customFormat="false" ht="14.25" hidden="false" customHeight="true" outlineLevel="0" collapsed="false">
      <c r="A631" s="51" t="n">
        <v>13160</v>
      </c>
      <c r="B631" s="53" t="n">
        <v>40864.5465277778</v>
      </c>
      <c r="C631" s="57" t="n">
        <f aca="false">INT($C$2)-INT(Table3[[#This Row],[Last Purchase Date]])</f>
        <v>23</v>
      </c>
      <c r="D631" s="1" t="n">
        <v>1</v>
      </c>
      <c r="E631" s="1" t="n">
        <v>91.8</v>
      </c>
      <c r="F631" s="1" t="n">
        <f aca="false">ROUND((1-_xlfn.PERCENTRANK.INC($C$7:$C$4378,C631))*9,0)</f>
        <v>6</v>
      </c>
      <c r="G631" s="1" t="n">
        <f aca="false">ROUND(_xlfn.PERCENTRANK.INC($D$7:$D$4378,D631)*9,0)</f>
        <v>0</v>
      </c>
      <c r="H631" s="1" t="n">
        <f aca="false">ROUND(_xlfn.PERCENTRANK.INC($E$7:$E$4378,E631)*9,0)</f>
        <v>0</v>
      </c>
      <c r="I631" s="1" t="str">
        <f aca="false">CONCATENATE(F631,G631,H631)</f>
        <v>600</v>
      </c>
      <c r="J631" s="1" t="str">
        <f aca="false">_xlfn.IFS(AND(F631&gt;=8,G631&gt;=8,H631&gt;=8),"CHAMPION",AND(F631&gt;=6,G631&gt;=7,H631&gt;=6),"LOYAL CUSTOMER",AND(F631&gt;=6,G631&gt;=5,H631&gt;=5),"POTENTIAL LOYALIST",AND(F631&gt;=8,G631&lt;=2,H631&gt;=5),"NEW CUSTOMERS",AND(F631&gt;=6,G631&lt;=2,H631&gt;=3),"PROMISING",AND(F631&gt;=3,G631&gt;=3,H631&gt;=3),"NEED ATTENTION",AND(F631&lt;=4,G631&gt;=6,H631&gt;=6),"AT RISK",AND(F631&lt;=2,G631&gt;=8,H631&gt;=8),"CAN'T LOSE THEM",AND(F631&lt;=2,G631&lt;=2,H631&lt;=2),"HIBERNATING",TRUE(),"Other")</f>
        <v>Other</v>
      </c>
      <c r="K631" s="1" t="n">
        <f aca="false">RANK(E631,$E$7:$E$4378)+COUNTIF($E$7:E631,E631)-1</f>
        <v>4186</v>
      </c>
    </row>
    <row r="632" customFormat="false" ht="14.25" hidden="false" customHeight="true" outlineLevel="0" collapsed="false">
      <c r="A632" s="51" t="n">
        <v>13161</v>
      </c>
      <c r="B632" s="53" t="n">
        <v>40573.5854166667</v>
      </c>
      <c r="C632" s="57" t="n">
        <f aca="false">INT($C$2)-INT(Table3[[#This Row],[Last Purchase Date]])</f>
        <v>314</v>
      </c>
      <c r="D632" s="1" t="n">
        <v>1</v>
      </c>
      <c r="E632" s="1" t="n">
        <v>112.75</v>
      </c>
      <c r="F632" s="1" t="n">
        <f aca="false">ROUND((1-_xlfn.PERCENTRANK.INC($C$7:$C$4378,C632))*9,0)</f>
        <v>0</v>
      </c>
      <c r="G632" s="1" t="n">
        <f aca="false">ROUND(_xlfn.PERCENTRANK.INC($D$7:$D$4378,D632)*9,0)</f>
        <v>0</v>
      </c>
      <c r="H632" s="1" t="n">
        <f aca="false">ROUND(_xlfn.PERCENTRANK.INC($E$7:$E$4378,E632)*9,0)</f>
        <v>1</v>
      </c>
      <c r="I632" s="1" t="str">
        <f aca="false">CONCATENATE(F632,G632,H632)</f>
        <v>001</v>
      </c>
      <c r="J632" s="1" t="str">
        <f aca="false">_xlfn.IFS(AND(F632&gt;=8,G632&gt;=8,H632&gt;=8),"CHAMPION",AND(F632&gt;=6,G632&gt;=7,H632&gt;=6),"LOYAL CUSTOMER",AND(F632&gt;=6,G632&gt;=5,H632&gt;=5),"POTENTIAL LOYALIST",AND(F632&gt;=8,G632&lt;=2,H632&gt;=5),"NEW CUSTOMERS",AND(F632&gt;=6,G632&lt;=2,H632&gt;=3),"PROMISING",AND(F632&gt;=3,G632&gt;=3,H632&gt;=3),"NEED ATTENTION",AND(F632&lt;=4,G632&gt;=6,H632&gt;=6),"AT RISK",AND(F632&lt;=2,G632&gt;=8,H632&gt;=8),"CAN'T LOSE THEM",AND(F632&lt;=2,G632&lt;=2,H632&lt;=2),"HIBERNATING",TRUE(),"Other")</f>
        <v>HIBERNATING</v>
      </c>
      <c r="K632" s="1" t="n">
        <f aca="false">RANK(E632,$E$7:$E$4378)+COUNTIF($E$7:E632,E632)-1</f>
        <v>4092</v>
      </c>
    </row>
    <row r="633" customFormat="false" ht="14.25" hidden="false" customHeight="true" outlineLevel="0" collapsed="false">
      <c r="A633" s="51" t="n">
        <v>13162</v>
      </c>
      <c r="B633" s="53" t="n">
        <v>40764.6659722222</v>
      </c>
      <c r="C633" s="57" t="n">
        <f aca="false">INT($C$2)-INT(Table3[[#This Row],[Last Purchase Date]])</f>
        <v>123</v>
      </c>
      <c r="D633" s="1" t="n">
        <v>5</v>
      </c>
      <c r="E633" s="1" t="n">
        <v>1644.99</v>
      </c>
      <c r="F633" s="1" t="n">
        <f aca="false">ROUND((1-_xlfn.PERCENTRANK.INC($C$7:$C$4378,C633))*9,0)</f>
        <v>3</v>
      </c>
      <c r="G633" s="1" t="n">
        <f aca="false">ROUND(_xlfn.PERCENTRANK.INC($D$7:$D$4378,D633)*9,0)</f>
        <v>6</v>
      </c>
      <c r="H633" s="1" t="n">
        <f aca="false">ROUND(_xlfn.PERCENTRANK.INC($E$7:$E$4378,E633)*9,0)</f>
        <v>7</v>
      </c>
      <c r="I633" s="1" t="str">
        <f aca="false">CONCATENATE(F633,G633,H633)</f>
        <v>367</v>
      </c>
      <c r="J633" s="1" t="str">
        <f aca="false">_xlfn.IFS(AND(F633&gt;=8,G633&gt;=8,H633&gt;=8),"CHAMPION",AND(F633&gt;=6,G633&gt;=7,H633&gt;=6),"LOYAL CUSTOMER",AND(F633&gt;=6,G633&gt;=5,H633&gt;=5),"POTENTIAL LOYALIST",AND(F633&gt;=8,G633&lt;=2,H633&gt;=5),"NEW CUSTOMERS",AND(F633&gt;=6,G633&lt;=2,H633&gt;=3),"PROMISING",AND(F633&gt;=3,G633&gt;=3,H633&gt;=3),"NEED ATTENTION",AND(F633&lt;=4,G633&gt;=6,H633&gt;=6),"AT RISK",AND(F633&lt;=2,G633&gt;=8,H633&gt;=8),"CAN'T LOSE THEM",AND(F633&lt;=2,G633&lt;=2,H633&lt;=2),"HIBERNATING",TRUE(),"Other")</f>
        <v>NEED ATTENTION</v>
      </c>
      <c r="K633" s="1" t="n">
        <f aca="false">RANK(E633,$E$7:$E$4378)+COUNTIF($E$7:E633,E633)-1</f>
        <v>1070</v>
      </c>
    </row>
    <row r="634" customFormat="false" ht="14.25" hidden="false" customHeight="true" outlineLevel="0" collapsed="false">
      <c r="A634" s="51" t="n">
        <v>13165</v>
      </c>
      <c r="B634" s="53" t="n">
        <v>40840.6284722222</v>
      </c>
      <c r="C634" s="57" t="n">
        <f aca="false">INT($C$2)-INT(Table3[[#This Row],[Last Purchase Date]])</f>
        <v>47</v>
      </c>
      <c r="D634" s="1" t="n">
        <v>2</v>
      </c>
      <c r="E634" s="1" t="n">
        <v>1021.48</v>
      </c>
      <c r="F634" s="1" t="n">
        <f aca="false">ROUND((1-_xlfn.PERCENTRANK.INC($C$7:$C$4378,C634))*9,0)</f>
        <v>5</v>
      </c>
      <c r="G634" s="1" t="n">
        <f aca="false">ROUND(_xlfn.PERCENTRANK.INC($D$7:$D$4378,D634)*9,0)</f>
        <v>3</v>
      </c>
      <c r="H634" s="1" t="n">
        <f aca="false">ROUND(_xlfn.PERCENTRANK.INC($E$7:$E$4378,E634)*9,0)</f>
        <v>6</v>
      </c>
      <c r="I634" s="1" t="str">
        <f aca="false">CONCATENATE(F634,G634,H634)</f>
        <v>536</v>
      </c>
      <c r="J634" s="1" t="str">
        <f aca="false">_xlfn.IFS(AND(F634&gt;=8,G634&gt;=8,H634&gt;=8),"CHAMPION",AND(F634&gt;=6,G634&gt;=7,H634&gt;=6),"LOYAL CUSTOMER",AND(F634&gt;=6,G634&gt;=5,H634&gt;=5),"POTENTIAL LOYALIST",AND(F634&gt;=8,G634&lt;=2,H634&gt;=5),"NEW CUSTOMERS",AND(F634&gt;=6,G634&lt;=2,H634&gt;=3),"PROMISING",AND(F634&gt;=3,G634&gt;=3,H634&gt;=3),"NEED ATTENTION",AND(F634&lt;=4,G634&gt;=6,H634&gt;=6),"AT RISK",AND(F634&lt;=2,G634&gt;=8,H634&gt;=8),"CAN'T LOSE THEM",AND(F634&lt;=2,G634&lt;=2,H634&lt;=2),"HIBERNATING",TRUE(),"Other")</f>
        <v>NEED ATTENTION</v>
      </c>
      <c r="K634" s="1" t="n">
        <f aca="false">RANK(E634,$E$7:$E$4378)+COUNTIF($E$7:E634,E634)-1</f>
        <v>1604</v>
      </c>
    </row>
    <row r="635" customFormat="false" ht="14.25" hidden="false" customHeight="true" outlineLevel="0" collapsed="false">
      <c r="A635" s="51" t="n">
        <v>13166</v>
      </c>
      <c r="B635" s="53" t="n">
        <v>40604.6027777778</v>
      </c>
      <c r="C635" s="57" t="n">
        <f aca="false">INT($C$2)-INT(Table3[[#This Row],[Last Purchase Date]])</f>
        <v>283</v>
      </c>
      <c r="D635" s="1" t="n">
        <v>2</v>
      </c>
      <c r="E635" s="1" t="n">
        <v>414.7</v>
      </c>
      <c r="F635" s="1" t="n">
        <f aca="false">ROUND((1-_xlfn.PERCENTRANK.INC($C$7:$C$4378,C635))*9,0)</f>
        <v>1</v>
      </c>
      <c r="G635" s="1" t="n">
        <f aca="false">ROUND(_xlfn.PERCENTRANK.INC($D$7:$D$4378,D635)*9,0)</f>
        <v>3</v>
      </c>
      <c r="H635" s="1" t="n">
        <f aca="false">ROUND(_xlfn.PERCENTRANK.INC($E$7:$E$4378,E635)*9,0)</f>
        <v>3</v>
      </c>
      <c r="I635" s="1" t="str">
        <f aca="false">CONCATENATE(F635,G635,H635)</f>
        <v>133</v>
      </c>
      <c r="J635" s="1" t="str">
        <f aca="false">_xlfn.IFS(AND(F635&gt;=8,G635&gt;=8,H635&gt;=8),"CHAMPION",AND(F635&gt;=6,G635&gt;=7,H635&gt;=6),"LOYAL CUSTOMER",AND(F635&gt;=6,G635&gt;=5,H635&gt;=5),"POTENTIAL LOYALIST",AND(F635&gt;=8,G635&lt;=2,H635&gt;=5),"NEW CUSTOMERS",AND(F635&gt;=6,G635&lt;=2,H635&gt;=3),"PROMISING",AND(F635&gt;=3,G635&gt;=3,H635&gt;=3),"NEED ATTENTION",AND(F635&lt;=4,G635&gt;=6,H635&gt;=6),"AT RISK",AND(F635&lt;=2,G635&gt;=8,H635&gt;=8),"CAN'T LOSE THEM",AND(F635&lt;=2,G635&lt;=2,H635&lt;=2),"HIBERNATING",TRUE(),"Other")</f>
        <v>Other</v>
      </c>
      <c r="K635" s="1" t="n">
        <f aca="false">RANK(E635,$E$7:$E$4378)+COUNTIF($E$7:E635,E635)-1</f>
        <v>2774</v>
      </c>
    </row>
    <row r="636" customFormat="false" ht="14.25" hidden="false" customHeight="true" outlineLevel="0" collapsed="false">
      <c r="A636" s="51" t="n">
        <v>13167</v>
      </c>
      <c r="B636" s="53" t="n">
        <v>40868.5166666667</v>
      </c>
      <c r="C636" s="57" t="n">
        <f aca="false">INT($C$2)-INT(Table3[[#This Row],[Last Purchase Date]])</f>
        <v>19</v>
      </c>
      <c r="D636" s="1" t="n">
        <v>4</v>
      </c>
      <c r="E636" s="1" t="n">
        <v>791.33</v>
      </c>
      <c r="F636" s="1" t="n">
        <f aca="false">ROUND((1-_xlfn.PERCENTRANK.INC($C$7:$C$4378,C636))*9,0)</f>
        <v>7</v>
      </c>
      <c r="G636" s="1" t="n">
        <f aca="false">ROUND(_xlfn.PERCENTRANK.INC($D$7:$D$4378,D636)*9,0)</f>
        <v>5</v>
      </c>
      <c r="H636" s="1" t="n">
        <f aca="false">ROUND(_xlfn.PERCENTRANK.INC($E$7:$E$4378,E636)*9,0)</f>
        <v>5</v>
      </c>
      <c r="I636" s="1" t="str">
        <f aca="false">CONCATENATE(F636,G636,H636)</f>
        <v>755</v>
      </c>
      <c r="J636" s="1" t="str">
        <f aca="false">_xlfn.IFS(AND(F636&gt;=8,G636&gt;=8,H636&gt;=8),"CHAMPION",AND(F636&gt;=6,G636&gt;=7,H636&gt;=6),"LOYAL CUSTOMER",AND(F636&gt;=6,G636&gt;=5,H636&gt;=5),"POTENTIAL LOYALIST",AND(F636&gt;=8,G636&lt;=2,H636&gt;=5),"NEW CUSTOMERS",AND(F636&gt;=6,G636&lt;=2,H636&gt;=3),"PROMISING",AND(F636&gt;=3,G636&gt;=3,H636&gt;=3),"NEED ATTENTION",AND(F636&lt;=4,G636&gt;=6,H636&gt;=6),"AT RISK",AND(F636&lt;=2,G636&gt;=8,H636&gt;=8),"CAN'T LOSE THEM",AND(F636&lt;=2,G636&lt;=2,H636&lt;=2),"HIBERNATING",TRUE(),"Other")</f>
        <v>POTENTIAL LOYALIST</v>
      </c>
      <c r="K636" s="1" t="n">
        <f aca="false">RANK(E636,$E$7:$E$4378)+COUNTIF($E$7:E636,E636)-1</f>
        <v>1909</v>
      </c>
    </row>
    <row r="637" customFormat="false" ht="14.25" hidden="false" customHeight="true" outlineLevel="0" collapsed="false">
      <c r="A637" s="51" t="n">
        <v>13168</v>
      </c>
      <c r="B637" s="53" t="n">
        <v>40850.5388888889</v>
      </c>
      <c r="C637" s="57" t="n">
        <f aca="false">INT($C$2)-INT(Table3[[#This Row],[Last Purchase Date]])</f>
        <v>37</v>
      </c>
      <c r="D637" s="1" t="n">
        <v>5</v>
      </c>
      <c r="E637" s="1" t="n">
        <v>1310.14</v>
      </c>
      <c r="F637" s="1" t="n">
        <f aca="false">ROUND((1-_xlfn.PERCENTRANK.INC($C$7:$C$4378,C637))*9,0)</f>
        <v>5</v>
      </c>
      <c r="G637" s="1" t="n">
        <f aca="false">ROUND(_xlfn.PERCENTRANK.INC($D$7:$D$4378,D637)*9,0)</f>
        <v>6</v>
      </c>
      <c r="H637" s="1" t="n">
        <f aca="false">ROUND(_xlfn.PERCENTRANK.INC($E$7:$E$4378,E637)*9,0)</f>
        <v>6</v>
      </c>
      <c r="I637" s="1" t="str">
        <f aca="false">CONCATENATE(F637,G637,H637)</f>
        <v>566</v>
      </c>
      <c r="J637" s="1" t="str">
        <f aca="false">_xlfn.IFS(AND(F637&gt;=8,G637&gt;=8,H637&gt;=8),"CHAMPION",AND(F637&gt;=6,G637&gt;=7,H637&gt;=6),"LOYAL CUSTOMER",AND(F637&gt;=6,G637&gt;=5,H637&gt;=5),"POTENTIAL LOYALIST",AND(F637&gt;=8,G637&lt;=2,H637&gt;=5),"NEW CUSTOMERS",AND(F637&gt;=6,G637&lt;=2,H637&gt;=3),"PROMISING",AND(F637&gt;=3,G637&gt;=3,H637&gt;=3),"NEED ATTENTION",AND(F637&lt;=4,G637&gt;=6,H637&gt;=6),"AT RISK",AND(F637&lt;=2,G637&gt;=8,H637&gt;=8),"CAN'T LOSE THEM",AND(F637&lt;=2,G637&lt;=2,H637&lt;=2),"HIBERNATING",TRUE(),"Other")</f>
        <v>NEED ATTENTION</v>
      </c>
      <c r="K637" s="1" t="n">
        <f aca="false">RANK(E637,$E$7:$E$4378)+COUNTIF($E$7:E637,E637)-1</f>
        <v>1317</v>
      </c>
    </row>
    <row r="638" customFormat="false" ht="14.25" hidden="false" customHeight="true" outlineLevel="0" collapsed="false">
      <c r="A638" s="51" t="n">
        <v>13169</v>
      </c>
      <c r="B638" s="53" t="n">
        <v>40823.5076388889</v>
      </c>
      <c r="C638" s="57" t="n">
        <f aca="false">INT($C$2)-INT(Table3[[#This Row],[Last Purchase Date]])</f>
        <v>64</v>
      </c>
      <c r="D638" s="1" t="n">
        <v>2</v>
      </c>
      <c r="E638" s="1" t="n">
        <v>712.88</v>
      </c>
      <c r="F638" s="1" t="n">
        <f aca="false">ROUND((1-_xlfn.PERCENTRANK.INC($C$7:$C$4378,C638))*9,0)</f>
        <v>4</v>
      </c>
      <c r="G638" s="1" t="n">
        <f aca="false">ROUND(_xlfn.PERCENTRANK.INC($D$7:$D$4378,D638)*9,0)</f>
        <v>3</v>
      </c>
      <c r="H638" s="1" t="n">
        <f aca="false">ROUND(_xlfn.PERCENTRANK.INC($E$7:$E$4378,E638)*9,0)</f>
        <v>5</v>
      </c>
      <c r="I638" s="1" t="str">
        <f aca="false">CONCATENATE(F638,G638,H638)</f>
        <v>435</v>
      </c>
      <c r="J638" s="1" t="str">
        <f aca="false">_xlfn.IFS(AND(F638&gt;=8,G638&gt;=8,H638&gt;=8),"CHAMPION",AND(F638&gt;=6,G638&gt;=7,H638&gt;=6),"LOYAL CUSTOMER",AND(F638&gt;=6,G638&gt;=5,H638&gt;=5),"POTENTIAL LOYALIST",AND(F638&gt;=8,G638&lt;=2,H638&gt;=5),"NEW CUSTOMERS",AND(F638&gt;=6,G638&lt;=2,H638&gt;=3),"PROMISING",AND(F638&gt;=3,G638&gt;=3,H638&gt;=3),"NEED ATTENTION",AND(F638&lt;=4,G638&gt;=6,H638&gt;=6),"AT RISK",AND(F638&lt;=2,G638&gt;=8,H638&gt;=8),"CAN'T LOSE THEM",AND(F638&lt;=2,G638&lt;=2,H638&lt;=2),"HIBERNATING",TRUE(),"Other")</f>
        <v>NEED ATTENTION</v>
      </c>
      <c r="K638" s="1" t="n">
        <f aca="false">RANK(E638,$E$7:$E$4378)+COUNTIF($E$7:E638,E638)-1</f>
        <v>2038</v>
      </c>
    </row>
    <row r="639" customFormat="false" ht="14.25" hidden="false" customHeight="true" outlineLevel="0" collapsed="false">
      <c r="A639" s="51" t="n">
        <v>13170</v>
      </c>
      <c r="B639" s="53" t="n">
        <v>40860.5131944444</v>
      </c>
      <c r="C639" s="57" t="n">
        <f aca="false">INT($C$2)-INT(Table3[[#This Row],[Last Purchase Date]])</f>
        <v>27</v>
      </c>
      <c r="D639" s="1" t="n">
        <v>1</v>
      </c>
      <c r="E639" s="1" t="n">
        <v>116.01</v>
      </c>
      <c r="F639" s="1" t="n">
        <f aca="false">ROUND((1-_xlfn.PERCENTRANK.INC($C$7:$C$4378,C639))*9,0)</f>
        <v>6</v>
      </c>
      <c r="G639" s="1" t="n">
        <f aca="false">ROUND(_xlfn.PERCENTRANK.INC($D$7:$D$4378,D639)*9,0)</f>
        <v>0</v>
      </c>
      <c r="H639" s="1" t="n">
        <f aca="false">ROUND(_xlfn.PERCENTRANK.INC($E$7:$E$4378,E639)*9,0)</f>
        <v>1</v>
      </c>
      <c r="I639" s="1" t="str">
        <f aca="false">CONCATENATE(F639,G639,H639)</f>
        <v>601</v>
      </c>
      <c r="J639" s="1" t="str">
        <f aca="false">_xlfn.IFS(AND(F639&gt;=8,G639&gt;=8,H639&gt;=8),"CHAMPION",AND(F639&gt;=6,G639&gt;=7,H639&gt;=6),"LOYAL CUSTOMER",AND(F639&gt;=6,G639&gt;=5,H639&gt;=5),"POTENTIAL LOYALIST",AND(F639&gt;=8,G639&lt;=2,H639&gt;=5),"NEW CUSTOMERS",AND(F639&gt;=6,G639&lt;=2,H639&gt;=3),"PROMISING",AND(F639&gt;=3,G639&gt;=3,H639&gt;=3),"NEED ATTENTION",AND(F639&lt;=4,G639&gt;=6,H639&gt;=6),"AT RISK",AND(F639&lt;=2,G639&gt;=8,H639&gt;=8),"CAN'T LOSE THEM",AND(F639&lt;=2,G639&lt;=2,H639&lt;=2),"HIBERNATING",TRUE(),"Other")</f>
        <v>Other</v>
      </c>
      <c r="K639" s="1" t="n">
        <f aca="false">RANK(E639,$E$7:$E$4378)+COUNTIF($E$7:E639,E639)-1</f>
        <v>4066</v>
      </c>
    </row>
    <row r="640" customFormat="false" ht="14.25" hidden="false" customHeight="true" outlineLevel="0" collapsed="false">
      <c r="A640" s="51" t="n">
        <v>13171</v>
      </c>
      <c r="B640" s="53" t="n">
        <v>40878.6291666667</v>
      </c>
      <c r="C640" s="57" t="n">
        <f aca="false">INT($C$2)-INT(Table3[[#This Row],[Last Purchase Date]])</f>
        <v>9</v>
      </c>
      <c r="D640" s="1" t="n">
        <v>5</v>
      </c>
      <c r="E640" s="1" t="n">
        <v>426.81</v>
      </c>
      <c r="F640" s="1" t="n">
        <f aca="false">ROUND((1-_xlfn.PERCENTRANK.INC($C$7:$C$4378,C640))*9,0)</f>
        <v>8</v>
      </c>
      <c r="G640" s="1" t="n">
        <f aca="false">ROUND(_xlfn.PERCENTRANK.INC($D$7:$D$4378,D640)*9,0)</f>
        <v>6</v>
      </c>
      <c r="H640" s="1" t="n">
        <f aca="false">ROUND(_xlfn.PERCENTRANK.INC($E$7:$E$4378,E640)*9,0)</f>
        <v>3</v>
      </c>
      <c r="I640" s="1" t="str">
        <f aca="false">CONCATENATE(F640,G640,H640)</f>
        <v>863</v>
      </c>
      <c r="J640" s="1" t="str">
        <f aca="false">_xlfn.IFS(AND(F640&gt;=8,G640&gt;=8,H640&gt;=8),"CHAMPION",AND(F640&gt;=6,G640&gt;=7,H640&gt;=6),"LOYAL CUSTOMER",AND(F640&gt;=6,G640&gt;=5,H640&gt;=5),"POTENTIAL LOYALIST",AND(F640&gt;=8,G640&lt;=2,H640&gt;=5),"NEW CUSTOMERS",AND(F640&gt;=6,G640&lt;=2,H640&gt;=3),"PROMISING",AND(F640&gt;=3,G640&gt;=3,H640&gt;=3),"NEED ATTENTION",AND(F640&lt;=4,G640&gt;=6,H640&gt;=6),"AT RISK",AND(F640&lt;=2,G640&gt;=8,H640&gt;=8),"CAN'T LOSE THEM",AND(F640&lt;=2,G640&lt;=2,H640&lt;=2),"HIBERNATING",TRUE(),"Other")</f>
        <v>NEED ATTENTION</v>
      </c>
      <c r="K640" s="1" t="n">
        <f aca="false">RANK(E640,$E$7:$E$4378)+COUNTIF($E$7:E640,E640)-1</f>
        <v>2733</v>
      </c>
    </row>
    <row r="641" customFormat="false" ht="14.25" hidden="false" customHeight="true" outlineLevel="0" collapsed="false">
      <c r="A641" s="51" t="n">
        <v>13173</v>
      </c>
      <c r="B641" s="53" t="n">
        <v>40882.6604166667</v>
      </c>
      <c r="C641" s="57" t="n">
        <f aca="false">INT($C$2)-INT(Table3[[#This Row],[Last Purchase Date]])</f>
        <v>5</v>
      </c>
      <c r="D641" s="1" t="n">
        <v>2</v>
      </c>
      <c r="E641" s="1" t="n">
        <v>353.65</v>
      </c>
      <c r="F641" s="1" t="n">
        <f aca="false">ROUND((1-_xlfn.PERCENTRANK.INC($C$7:$C$4378,C641))*9,0)</f>
        <v>8</v>
      </c>
      <c r="G641" s="1" t="n">
        <f aca="false">ROUND(_xlfn.PERCENTRANK.INC($D$7:$D$4378,D641)*9,0)</f>
        <v>3</v>
      </c>
      <c r="H641" s="1" t="n">
        <f aca="false">ROUND(_xlfn.PERCENTRANK.INC($E$7:$E$4378,E641)*9,0)</f>
        <v>3</v>
      </c>
      <c r="I641" s="1" t="str">
        <f aca="false">CONCATENATE(F641,G641,H641)</f>
        <v>833</v>
      </c>
      <c r="J641" s="1" t="str">
        <f aca="false">_xlfn.IFS(AND(F641&gt;=8,G641&gt;=8,H641&gt;=8),"CHAMPION",AND(F641&gt;=6,G641&gt;=7,H641&gt;=6),"LOYAL CUSTOMER",AND(F641&gt;=6,G641&gt;=5,H641&gt;=5),"POTENTIAL LOYALIST",AND(F641&gt;=8,G641&lt;=2,H641&gt;=5),"NEW CUSTOMERS",AND(F641&gt;=6,G641&lt;=2,H641&gt;=3),"PROMISING",AND(F641&gt;=3,G641&gt;=3,H641&gt;=3),"NEED ATTENTION",AND(F641&lt;=4,G641&gt;=6,H641&gt;=6),"AT RISK",AND(F641&lt;=2,G641&gt;=8,H641&gt;=8),"CAN'T LOSE THEM",AND(F641&lt;=2,G641&lt;=2,H641&lt;=2),"HIBERNATING",TRUE(),"Other")</f>
        <v>NEED ATTENTION</v>
      </c>
      <c r="K641" s="1" t="n">
        <f aca="false">RANK(E641,$E$7:$E$4378)+COUNTIF($E$7:E641,E641)-1</f>
        <v>2991</v>
      </c>
    </row>
    <row r="642" customFormat="false" ht="14.25" hidden="false" customHeight="true" outlineLevel="0" collapsed="false">
      <c r="A642" s="51" t="n">
        <v>13174</v>
      </c>
      <c r="B642" s="53" t="n">
        <v>40870.6076388889</v>
      </c>
      <c r="C642" s="57" t="n">
        <f aca="false">INT($C$2)-INT(Table3[[#This Row],[Last Purchase Date]])</f>
        <v>17</v>
      </c>
      <c r="D642" s="1" t="n">
        <v>3</v>
      </c>
      <c r="E642" s="1" t="n">
        <v>2817.03</v>
      </c>
      <c r="F642" s="1" t="n">
        <f aca="false">ROUND((1-_xlfn.PERCENTRANK.INC($C$7:$C$4378,C642))*9,0)</f>
        <v>7</v>
      </c>
      <c r="G642" s="1" t="n">
        <f aca="false">ROUND(_xlfn.PERCENTRANK.INC($D$7:$D$4378,D642)*9,0)</f>
        <v>4</v>
      </c>
      <c r="H642" s="1" t="n">
        <f aca="false">ROUND(_xlfn.PERCENTRANK.INC($E$7:$E$4378,E642)*9,0)</f>
        <v>8</v>
      </c>
      <c r="I642" s="1" t="str">
        <f aca="false">CONCATENATE(F642,G642,H642)</f>
        <v>748</v>
      </c>
      <c r="J642" s="1" t="str">
        <f aca="false">_xlfn.IFS(AND(F642&gt;=8,G642&gt;=8,H642&gt;=8),"CHAMPION",AND(F642&gt;=6,G642&gt;=7,H642&gt;=6),"LOYAL CUSTOMER",AND(F642&gt;=6,G642&gt;=5,H642&gt;=5),"POTENTIAL LOYALIST",AND(F642&gt;=8,G642&lt;=2,H642&gt;=5),"NEW CUSTOMERS",AND(F642&gt;=6,G642&lt;=2,H642&gt;=3),"PROMISING",AND(F642&gt;=3,G642&gt;=3,H642&gt;=3),"NEED ATTENTION",AND(F642&lt;=4,G642&gt;=6,H642&gt;=6),"AT RISK",AND(F642&lt;=2,G642&gt;=8,H642&gt;=8),"CAN'T LOSE THEM",AND(F642&lt;=2,G642&lt;=2,H642&lt;=2),"HIBERNATING",TRUE(),"Other")</f>
        <v>NEED ATTENTION</v>
      </c>
      <c r="K642" s="1" t="n">
        <f aca="false">RANK(E642,$E$7:$E$4378)+COUNTIF($E$7:E642,E642)-1</f>
        <v>580</v>
      </c>
    </row>
    <row r="643" customFormat="false" ht="14.25" hidden="false" customHeight="true" outlineLevel="0" collapsed="false">
      <c r="A643" s="51" t="n">
        <v>13176</v>
      </c>
      <c r="B643" s="53" t="n">
        <v>40840.6548611111</v>
      </c>
      <c r="C643" s="57" t="n">
        <f aca="false">INT($C$2)-INT(Table3[[#This Row],[Last Purchase Date]])</f>
        <v>47</v>
      </c>
      <c r="D643" s="1" t="n">
        <v>1</v>
      </c>
      <c r="E643" s="1" t="n">
        <v>492.84</v>
      </c>
      <c r="F643" s="1" t="n">
        <f aca="false">ROUND((1-_xlfn.PERCENTRANK.INC($C$7:$C$4378,C643))*9,0)</f>
        <v>5</v>
      </c>
      <c r="G643" s="1" t="n">
        <f aca="false">ROUND(_xlfn.PERCENTRANK.INC($D$7:$D$4378,D643)*9,0)</f>
        <v>0</v>
      </c>
      <c r="H643" s="1" t="n">
        <f aca="false">ROUND(_xlfn.PERCENTRANK.INC($E$7:$E$4378,E643)*9,0)</f>
        <v>4</v>
      </c>
      <c r="I643" s="1" t="str">
        <f aca="false">CONCATENATE(F643,G643,H643)</f>
        <v>504</v>
      </c>
      <c r="J643" s="1" t="str">
        <f aca="false">_xlfn.IFS(AND(F643&gt;=8,G643&gt;=8,H643&gt;=8),"CHAMPION",AND(F643&gt;=6,G643&gt;=7,H643&gt;=6),"LOYAL CUSTOMER",AND(F643&gt;=6,G643&gt;=5,H643&gt;=5),"POTENTIAL LOYALIST",AND(F643&gt;=8,G643&lt;=2,H643&gt;=5),"NEW CUSTOMERS",AND(F643&gt;=6,G643&lt;=2,H643&gt;=3),"PROMISING",AND(F643&gt;=3,G643&gt;=3,H643&gt;=3),"NEED ATTENTION",AND(F643&lt;=4,G643&gt;=6,H643&gt;=6),"AT RISK",AND(F643&lt;=2,G643&gt;=8,H643&gt;=8),"CAN'T LOSE THEM",AND(F643&lt;=2,G643&lt;=2,H643&lt;=2),"HIBERNATING",TRUE(),"Other")</f>
        <v>Other</v>
      </c>
      <c r="K643" s="1" t="n">
        <f aca="false">RANK(E643,$E$7:$E$4378)+COUNTIF($E$7:E643,E643)-1</f>
        <v>2561</v>
      </c>
    </row>
    <row r="644" customFormat="false" ht="14.25" hidden="false" customHeight="true" outlineLevel="0" collapsed="false">
      <c r="A644" s="51" t="n">
        <v>13177</v>
      </c>
      <c r="B644" s="53" t="n">
        <v>40822.4138888889</v>
      </c>
      <c r="C644" s="57" t="n">
        <f aca="false">INT($C$2)-INT(Table3[[#This Row],[Last Purchase Date]])</f>
        <v>65</v>
      </c>
      <c r="D644" s="1" t="n">
        <v>1</v>
      </c>
      <c r="E644" s="1" t="n">
        <v>282.45</v>
      </c>
      <c r="F644" s="1" t="n">
        <f aca="false">ROUND((1-_xlfn.PERCENTRANK.INC($C$7:$C$4378,C644))*9,0)</f>
        <v>4</v>
      </c>
      <c r="G644" s="1" t="n">
        <f aca="false">ROUND(_xlfn.PERCENTRANK.INC($D$7:$D$4378,D644)*9,0)</f>
        <v>0</v>
      </c>
      <c r="H644" s="1" t="n">
        <f aca="false">ROUND(_xlfn.PERCENTRANK.INC($E$7:$E$4378,E644)*9,0)</f>
        <v>2</v>
      </c>
      <c r="I644" s="1" t="str">
        <f aca="false">CONCATENATE(F644,G644,H644)</f>
        <v>402</v>
      </c>
      <c r="J644" s="1" t="str">
        <f aca="false">_xlfn.IFS(AND(F644&gt;=8,G644&gt;=8,H644&gt;=8),"CHAMPION",AND(F644&gt;=6,G644&gt;=7,H644&gt;=6),"LOYAL CUSTOMER",AND(F644&gt;=6,G644&gt;=5,H644&gt;=5),"POTENTIAL LOYALIST",AND(F644&gt;=8,G644&lt;=2,H644&gt;=5),"NEW CUSTOMERS",AND(F644&gt;=6,G644&lt;=2,H644&gt;=3),"PROMISING",AND(F644&gt;=3,G644&gt;=3,H644&gt;=3),"NEED ATTENTION",AND(F644&lt;=4,G644&gt;=6,H644&gt;=6),"AT RISK",AND(F644&lt;=2,G644&gt;=8,H644&gt;=8),"CAN'T LOSE THEM",AND(F644&lt;=2,G644&lt;=2,H644&lt;=2),"HIBERNATING",TRUE(),"Other")</f>
        <v>Other</v>
      </c>
      <c r="K644" s="1" t="n">
        <f aca="false">RANK(E644,$E$7:$E$4378)+COUNTIF($E$7:E644,E644)-1</f>
        <v>3319</v>
      </c>
    </row>
    <row r="645" customFormat="false" ht="14.25" hidden="false" customHeight="true" outlineLevel="0" collapsed="false">
      <c r="A645" s="51" t="n">
        <v>13178</v>
      </c>
      <c r="B645" s="53" t="n">
        <v>40860.6763888889</v>
      </c>
      <c r="C645" s="57" t="n">
        <f aca="false">INT($C$2)-INT(Table3[[#This Row],[Last Purchase Date]])</f>
        <v>27</v>
      </c>
      <c r="D645" s="1" t="n">
        <v>11</v>
      </c>
      <c r="E645" s="1" t="n">
        <v>5725.47</v>
      </c>
      <c r="F645" s="1" t="n">
        <f aca="false">ROUND((1-_xlfn.PERCENTRANK.INC($C$7:$C$4378,C645))*9,0)</f>
        <v>6</v>
      </c>
      <c r="G645" s="1" t="n">
        <f aca="false">ROUND(_xlfn.PERCENTRANK.INC($D$7:$D$4378,D645)*9,0)</f>
        <v>8</v>
      </c>
      <c r="H645" s="1" t="n">
        <f aca="false">ROUND(_xlfn.PERCENTRANK.INC($E$7:$E$4378,E645)*9,0)</f>
        <v>9</v>
      </c>
      <c r="I645" s="1" t="str">
        <f aca="false">CONCATENATE(F645,G645,H645)</f>
        <v>689</v>
      </c>
      <c r="J645" s="1" t="str">
        <f aca="false">_xlfn.IFS(AND(F645&gt;=8,G645&gt;=8,H645&gt;=8),"CHAMPION",AND(F645&gt;=6,G645&gt;=7,H645&gt;=6),"LOYAL CUSTOMER",AND(F645&gt;=6,G645&gt;=5,H645&gt;=5),"POTENTIAL LOYALIST",AND(F645&gt;=8,G645&lt;=2,H645&gt;=5),"NEW CUSTOMERS",AND(F645&gt;=6,G645&lt;=2,H645&gt;=3),"PROMISING",AND(F645&gt;=3,G645&gt;=3,H645&gt;=3),"NEED ATTENTION",AND(F645&lt;=4,G645&gt;=6,H645&gt;=6),"AT RISK",AND(F645&lt;=2,G645&gt;=8,H645&gt;=8),"CAN'T LOSE THEM",AND(F645&lt;=2,G645&lt;=2,H645&lt;=2),"HIBERNATING",TRUE(),"Other")</f>
        <v>LOYAL CUSTOMER</v>
      </c>
      <c r="K645" s="1" t="n">
        <f aca="false">RANK(E645,$E$7:$E$4378)+COUNTIF($E$7:E645,E645)-1</f>
        <v>213</v>
      </c>
    </row>
    <row r="646" customFormat="false" ht="14.25" hidden="false" customHeight="true" outlineLevel="0" collapsed="false">
      <c r="A646" s="51" t="n">
        <v>13182</v>
      </c>
      <c r="B646" s="53" t="n">
        <v>40841.5736111111</v>
      </c>
      <c r="C646" s="57" t="n">
        <f aca="false">INT($C$2)-INT(Table3[[#This Row],[Last Purchase Date]])</f>
        <v>46</v>
      </c>
      <c r="D646" s="1" t="n">
        <v>1</v>
      </c>
      <c r="E646" s="1" t="n">
        <v>121.18</v>
      </c>
      <c r="F646" s="1" t="n">
        <f aca="false">ROUND((1-_xlfn.PERCENTRANK.INC($C$7:$C$4378,C646))*9,0)</f>
        <v>5</v>
      </c>
      <c r="G646" s="1" t="n">
        <f aca="false">ROUND(_xlfn.PERCENTRANK.INC($D$7:$D$4378,D646)*9,0)</f>
        <v>0</v>
      </c>
      <c r="H646" s="1" t="n">
        <f aca="false">ROUND(_xlfn.PERCENTRANK.INC($E$7:$E$4378,E646)*9,0)</f>
        <v>1</v>
      </c>
      <c r="I646" s="1" t="str">
        <f aca="false">CONCATENATE(F646,G646,H646)</f>
        <v>501</v>
      </c>
      <c r="J646" s="1" t="str">
        <f aca="false">_xlfn.IFS(AND(F646&gt;=8,G646&gt;=8,H646&gt;=8),"CHAMPION",AND(F646&gt;=6,G646&gt;=7,H646&gt;=6),"LOYAL CUSTOMER",AND(F646&gt;=6,G646&gt;=5,H646&gt;=5),"POTENTIAL LOYALIST",AND(F646&gt;=8,G646&lt;=2,H646&gt;=5),"NEW CUSTOMERS",AND(F646&gt;=6,G646&lt;=2,H646&gt;=3),"PROMISING",AND(F646&gt;=3,G646&gt;=3,H646&gt;=3),"NEED ATTENTION",AND(F646&lt;=4,G646&gt;=6,H646&gt;=6),"AT RISK",AND(F646&lt;=2,G646&gt;=8,H646&gt;=8),"CAN'T LOSE THEM",AND(F646&lt;=2,G646&lt;=2,H646&lt;=2),"HIBERNATING",TRUE(),"Other")</f>
        <v>Other</v>
      </c>
      <c r="K646" s="1" t="n">
        <f aca="false">RANK(E646,$E$7:$E$4378)+COUNTIF($E$7:E646,E646)-1</f>
        <v>4043</v>
      </c>
    </row>
    <row r="647" customFormat="false" ht="14.25" hidden="false" customHeight="true" outlineLevel="0" collapsed="false">
      <c r="A647" s="51" t="n">
        <v>13183</v>
      </c>
      <c r="B647" s="53" t="n">
        <v>40879.4375</v>
      </c>
      <c r="C647" s="57" t="n">
        <f aca="false">INT($C$2)-INT(Table3[[#This Row],[Last Purchase Date]])</f>
        <v>8</v>
      </c>
      <c r="D647" s="1" t="n">
        <v>9</v>
      </c>
      <c r="E647" s="1" t="n">
        <v>3957.78</v>
      </c>
      <c r="F647" s="1" t="n">
        <f aca="false">ROUND((1-_xlfn.PERCENTRANK.INC($C$7:$C$4378,C647))*9,0)</f>
        <v>8</v>
      </c>
      <c r="G647" s="1" t="n">
        <f aca="false">ROUND(_xlfn.PERCENTRANK.INC($D$7:$D$4378,D647)*9,0)</f>
        <v>8</v>
      </c>
      <c r="H647" s="1" t="n">
        <f aca="false">ROUND(_xlfn.PERCENTRANK.INC($E$7:$E$4378,E647)*9,0)</f>
        <v>8</v>
      </c>
      <c r="I647" s="1" t="str">
        <f aca="false">CONCATENATE(F647,G647,H647)</f>
        <v>888</v>
      </c>
      <c r="J647" s="1" t="str">
        <f aca="false">_xlfn.IFS(AND(F647&gt;=8,G647&gt;=8,H647&gt;=8),"CHAMPION",AND(F647&gt;=6,G647&gt;=7,H647&gt;=6),"LOYAL CUSTOMER",AND(F647&gt;=6,G647&gt;=5,H647&gt;=5),"POTENTIAL LOYALIST",AND(F647&gt;=8,G647&lt;=2,H647&gt;=5),"NEW CUSTOMERS",AND(F647&gt;=6,G647&lt;=2,H647&gt;=3),"PROMISING",AND(F647&gt;=3,G647&gt;=3,H647&gt;=3),"NEED ATTENTION",AND(F647&lt;=4,G647&gt;=6,H647&gt;=6),"AT RISK",AND(F647&lt;=2,G647&gt;=8,H647&gt;=8),"CAN'T LOSE THEM",AND(F647&lt;=2,G647&lt;=2,H647&lt;=2),"HIBERNATING",TRUE(),"Other")</f>
        <v>CHAMPION</v>
      </c>
      <c r="K647" s="1" t="n">
        <f aca="false">RANK(E647,$E$7:$E$4378)+COUNTIF($E$7:E647,E647)-1</f>
        <v>361</v>
      </c>
    </row>
    <row r="648" customFormat="false" ht="14.25" hidden="false" customHeight="true" outlineLevel="0" collapsed="false">
      <c r="A648" s="51" t="n">
        <v>13184</v>
      </c>
      <c r="B648" s="53" t="n">
        <v>40872.5013888889</v>
      </c>
      <c r="C648" s="57" t="n">
        <f aca="false">INT($C$2)-INT(Table3[[#This Row],[Last Purchase Date]])</f>
        <v>15</v>
      </c>
      <c r="D648" s="1" t="n">
        <v>12</v>
      </c>
      <c r="E648" s="1" t="n">
        <v>1648.79</v>
      </c>
      <c r="F648" s="1" t="n">
        <f aca="false">ROUND((1-_xlfn.PERCENTRANK.INC($C$7:$C$4378,C648))*9,0)</f>
        <v>7</v>
      </c>
      <c r="G648" s="1" t="n">
        <f aca="false">ROUND(_xlfn.PERCENTRANK.INC($D$7:$D$4378,D648)*9,0)</f>
        <v>8</v>
      </c>
      <c r="H648" s="1" t="n">
        <f aca="false">ROUND(_xlfn.PERCENTRANK.INC($E$7:$E$4378,E648)*9,0)</f>
        <v>7</v>
      </c>
      <c r="I648" s="1" t="str">
        <f aca="false">CONCATENATE(F648,G648,H648)</f>
        <v>787</v>
      </c>
      <c r="J648" s="1" t="str">
        <f aca="false">_xlfn.IFS(AND(F648&gt;=8,G648&gt;=8,H648&gt;=8),"CHAMPION",AND(F648&gt;=6,G648&gt;=7,H648&gt;=6),"LOYAL CUSTOMER",AND(F648&gt;=6,G648&gt;=5,H648&gt;=5),"POTENTIAL LOYALIST",AND(F648&gt;=8,G648&lt;=2,H648&gt;=5),"NEW CUSTOMERS",AND(F648&gt;=6,G648&lt;=2,H648&gt;=3),"PROMISING",AND(F648&gt;=3,G648&gt;=3,H648&gt;=3),"NEED ATTENTION",AND(F648&lt;=4,G648&gt;=6,H648&gt;=6),"AT RISK",AND(F648&lt;=2,G648&gt;=8,H648&gt;=8),"CAN'T LOSE THEM",AND(F648&lt;=2,G648&lt;=2,H648&lt;=2),"HIBERNATING",TRUE(),"Other")</f>
        <v>LOYAL CUSTOMER</v>
      </c>
      <c r="K648" s="1" t="n">
        <f aca="false">RANK(E648,$E$7:$E$4378)+COUNTIF($E$7:E648,E648)-1</f>
        <v>1068</v>
      </c>
    </row>
    <row r="649" customFormat="false" ht="14.25" hidden="false" customHeight="true" outlineLevel="0" collapsed="false">
      <c r="A649" s="51" t="n">
        <v>13185</v>
      </c>
      <c r="B649" s="53" t="n">
        <v>40619.4972222222</v>
      </c>
      <c r="C649" s="57" t="n">
        <f aca="false">INT($C$2)-INT(Table3[[#This Row],[Last Purchase Date]])</f>
        <v>268</v>
      </c>
      <c r="D649" s="1" t="n">
        <v>1</v>
      </c>
      <c r="E649" s="1" t="n">
        <v>71.4</v>
      </c>
      <c r="F649" s="1" t="n">
        <f aca="false">ROUND((1-_xlfn.PERCENTRANK.INC($C$7:$C$4378,C649))*9,0)</f>
        <v>1</v>
      </c>
      <c r="G649" s="1" t="n">
        <f aca="false">ROUND(_xlfn.PERCENTRANK.INC($D$7:$D$4378,D649)*9,0)</f>
        <v>0</v>
      </c>
      <c r="H649" s="1" t="n">
        <f aca="false">ROUND(_xlfn.PERCENTRANK.INC($E$7:$E$4378,E649)*9,0)</f>
        <v>0</v>
      </c>
      <c r="I649" s="1" t="str">
        <f aca="false">CONCATENATE(F649,G649,H649)</f>
        <v>100</v>
      </c>
      <c r="J649" s="1" t="str">
        <f aca="false">_xlfn.IFS(AND(F649&gt;=8,G649&gt;=8,H649&gt;=8),"CHAMPION",AND(F649&gt;=6,G649&gt;=7,H649&gt;=6),"LOYAL CUSTOMER",AND(F649&gt;=6,G649&gt;=5,H649&gt;=5),"POTENTIAL LOYALIST",AND(F649&gt;=8,G649&lt;=2,H649&gt;=5),"NEW CUSTOMERS",AND(F649&gt;=6,G649&lt;=2,H649&gt;=3),"PROMISING",AND(F649&gt;=3,G649&gt;=3,H649&gt;=3),"NEED ATTENTION",AND(F649&lt;=4,G649&gt;=6,H649&gt;=6),"AT RISK",AND(F649&lt;=2,G649&gt;=8,H649&gt;=8),"CAN'T LOSE THEM",AND(F649&lt;=2,G649&lt;=2,H649&lt;=2),"HIBERNATING",TRUE(),"Other")</f>
        <v>HIBERNATING</v>
      </c>
      <c r="K649" s="1" t="n">
        <f aca="false">RANK(E649,$E$7:$E$4378)+COUNTIF($E$7:E649,E649)-1</f>
        <v>4246</v>
      </c>
    </row>
    <row r="650" customFormat="false" ht="14.25" hidden="false" customHeight="true" outlineLevel="0" collapsed="false">
      <c r="A650" s="51" t="n">
        <v>13186</v>
      </c>
      <c r="B650" s="53" t="n">
        <v>40847.4861111111</v>
      </c>
      <c r="C650" s="57" t="n">
        <f aca="false">INT($C$2)-INT(Table3[[#This Row],[Last Purchase Date]])</f>
        <v>40</v>
      </c>
      <c r="D650" s="1" t="n">
        <v>5</v>
      </c>
      <c r="E650" s="1" t="n">
        <v>1539.69</v>
      </c>
      <c r="F650" s="1" t="n">
        <f aca="false">ROUND((1-_xlfn.PERCENTRANK.INC($C$7:$C$4378,C650))*9,0)</f>
        <v>5</v>
      </c>
      <c r="G650" s="1" t="n">
        <f aca="false">ROUND(_xlfn.PERCENTRANK.INC($D$7:$D$4378,D650)*9,0)</f>
        <v>6</v>
      </c>
      <c r="H650" s="1" t="n">
        <f aca="false">ROUND(_xlfn.PERCENTRANK.INC($E$7:$E$4378,E650)*9,0)</f>
        <v>7</v>
      </c>
      <c r="I650" s="1" t="str">
        <f aca="false">CONCATENATE(F650,G650,H650)</f>
        <v>567</v>
      </c>
      <c r="J650" s="1" t="str">
        <f aca="false">_xlfn.IFS(AND(F650&gt;=8,G650&gt;=8,H650&gt;=8),"CHAMPION",AND(F650&gt;=6,G650&gt;=7,H650&gt;=6),"LOYAL CUSTOMER",AND(F650&gt;=6,G650&gt;=5,H650&gt;=5),"POTENTIAL LOYALIST",AND(F650&gt;=8,G650&lt;=2,H650&gt;=5),"NEW CUSTOMERS",AND(F650&gt;=6,G650&lt;=2,H650&gt;=3),"PROMISING",AND(F650&gt;=3,G650&gt;=3,H650&gt;=3),"NEED ATTENTION",AND(F650&lt;=4,G650&gt;=6,H650&gt;=6),"AT RISK",AND(F650&lt;=2,G650&gt;=8,H650&gt;=8),"CAN'T LOSE THEM",AND(F650&lt;=2,G650&lt;=2,H650&lt;=2),"HIBERNATING",TRUE(),"Other")</f>
        <v>NEED ATTENTION</v>
      </c>
      <c r="K650" s="1" t="n">
        <f aca="false">RANK(E650,$E$7:$E$4378)+COUNTIF($E$7:E650,E650)-1</f>
        <v>1135</v>
      </c>
    </row>
    <row r="651" customFormat="false" ht="14.25" hidden="false" customHeight="true" outlineLevel="0" collapsed="false">
      <c r="A651" s="51" t="n">
        <v>13187</v>
      </c>
      <c r="B651" s="53" t="n">
        <v>40549.7895833333</v>
      </c>
      <c r="C651" s="57" t="n">
        <f aca="false">INT($C$2)-INT(Table3[[#This Row],[Last Purchase Date]])</f>
        <v>338</v>
      </c>
      <c r="D651" s="1" t="n">
        <v>1</v>
      </c>
      <c r="E651" s="1" t="n">
        <v>236.02</v>
      </c>
      <c r="F651" s="1" t="n">
        <f aca="false">ROUND((1-_xlfn.PERCENTRANK.INC($C$7:$C$4378,C651))*9,0)</f>
        <v>0</v>
      </c>
      <c r="G651" s="1" t="n">
        <f aca="false">ROUND(_xlfn.PERCENTRANK.INC($D$7:$D$4378,D651)*9,0)</f>
        <v>0</v>
      </c>
      <c r="H651" s="1" t="n">
        <f aca="false">ROUND(_xlfn.PERCENTRANK.INC($E$7:$E$4378,E651)*9,0)</f>
        <v>2</v>
      </c>
      <c r="I651" s="1" t="str">
        <f aca="false">CONCATENATE(F651,G651,H651)</f>
        <v>002</v>
      </c>
      <c r="J651" s="1" t="str">
        <f aca="false">_xlfn.IFS(AND(F651&gt;=8,G651&gt;=8,H651&gt;=8),"CHAMPION",AND(F651&gt;=6,G651&gt;=7,H651&gt;=6),"LOYAL CUSTOMER",AND(F651&gt;=6,G651&gt;=5,H651&gt;=5),"POTENTIAL LOYALIST",AND(F651&gt;=8,G651&lt;=2,H651&gt;=5),"NEW CUSTOMERS",AND(F651&gt;=6,G651&lt;=2,H651&gt;=3),"PROMISING",AND(F651&gt;=3,G651&gt;=3,H651&gt;=3),"NEED ATTENTION",AND(F651&lt;=4,G651&gt;=6,H651&gt;=6),"AT RISK",AND(F651&lt;=2,G651&gt;=8,H651&gt;=8),"CAN'T LOSE THEM",AND(F651&lt;=2,G651&lt;=2,H651&lt;=2),"HIBERNATING",TRUE(),"Other")</f>
        <v>HIBERNATING</v>
      </c>
      <c r="K651" s="1" t="n">
        <f aca="false">RANK(E651,$E$7:$E$4378)+COUNTIF($E$7:E651,E651)-1</f>
        <v>3495</v>
      </c>
    </row>
    <row r="652" customFormat="false" ht="14.25" hidden="false" customHeight="true" outlineLevel="0" collapsed="false">
      <c r="A652" s="51" t="n">
        <v>13188</v>
      </c>
      <c r="B652" s="53" t="n">
        <v>40875.6444444444</v>
      </c>
      <c r="C652" s="57" t="n">
        <f aca="false">INT($C$2)-INT(Table3[[#This Row],[Last Purchase Date]])</f>
        <v>12</v>
      </c>
      <c r="D652" s="1" t="n">
        <v>1</v>
      </c>
      <c r="E652" s="1" t="n">
        <v>114.6</v>
      </c>
      <c r="F652" s="1" t="n">
        <f aca="false">ROUND((1-_xlfn.PERCENTRANK.INC($C$7:$C$4378,C652))*9,0)</f>
        <v>7</v>
      </c>
      <c r="G652" s="1" t="n">
        <f aca="false">ROUND(_xlfn.PERCENTRANK.INC($D$7:$D$4378,D652)*9,0)</f>
        <v>0</v>
      </c>
      <c r="H652" s="1" t="n">
        <f aca="false">ROUND(_xlfn.PERCENTRANK.INC($E$7:$E$4378,E652)*9,0)</f>
        <v>1</v>
      </c>
      <c r="I652" s="1" t="str">
        <f aca="false">CONCATENATE(F652,G652,H652)</f>
        <v>701</v>
      </c>
      <c r="J652" s="1" t="str">
        <f aca="false">_xlfn.IFS(AND(F652&gt;=8,G652&gt;=8,H652&gt;=8),"CHAMPION",AND(F652&gt;=6,G652&gt;=7,H652&gt;=6),"LOYAL CUSTOMER",AND(F652&gt;=6,G652&gt;=5,H652&gt;=5),"POTENTIAL LOYALIST",AND(F652&gt;=8,G652&lt;=2,H652&gt;=5),"NEW CUSTOMERS",AND(F652&gt;=6,G652&lt;=2,H652&gt;=3),"PROMISING",AND(F652&gt;=3,G652&gt;=3,H652&gt;=3),"NEED ATTENTION",AND(F652&lt;=4,G652&gt;=6,H652&gt;=6),"AT RISK",AND(F652&lt;=2,G652&gt;=8,H652&gt;=8),"CAN'T LOSE THEM",AND(F652&lt;=2,G652&lt;=2,H652&lt;=2),"HIBERNATING",TRUE(),"Other")</f>
        <v>Other</v>
      </c>
      <c r="K652" s="1" t="n">
        <f aca="false">RANK(E652,$E$7:$E$4378)+COUNTIF($E$7:E652,E652)-1</f>
        <v>4073</v>
      </c>
    </row>
    <row r="653" customFormat="false" ht="14.25" hidden="false" customHeight="true" outlineLevel="0" collapsed="false">
      <c r="A653" s="51" t="n">
        <v>13189</v>
      </c>
      <c r="B653" s="53" t="n">
        <v>40868.44375</v>
      </c>
      <c r="C653" s="57" t="n">
        <f aca="false">INT($C$2)-INT(Table3[[#This Row],[Last Purchase Date]])</f>
        <v>19</v>
      </c>
      <c r="D653" s="1" t="n">
        <v>2</v>
      </c>
      <c r="E653" s="1" t="n">
        <v>260.68</v>
      </c>
      <c r="F653" s="1" t="n">
        <f aca="false">ROUND((1-_xlfn.PERCENTRANK.INC($C$7:$C$4378,C653))*9,0)</f>
        <v>7</v>
      </c>
      <c r="G653" s="1" t="n">
        <f aca="false">ROUND(_xlfn.PERCENTRANK.INC($D$7:$D$4378,D653)*9,0)</f>
        <v>3</v>
      </c>
      <c r="H653" s="1" t="n">
        <f aca="false">ROUND(_xlfn.PERCENTRANK.INC($E$7:$E$4378,E653)*9,0)</f>
        <v>2</v>
      </c>
      <c r="I653" s="1" t="str">
        <f aca="false">CONCATENATE(F653,G653,H653)</f>
        <v>732</v>
      </c>
      <c r="J653" s="1" t="str">
        <f aca="false">_xlfn.IFS(AND(F653&gt;=8,G653&gt;=8,H653&gt;=8),"CHAMPION",AND(F653&gt;=6,G653&gt;=7,H653&gt;=6),"LOYAL CUSTOMER",AND(F653&gt;=6,G653&gt;=5,H653&gt;=5),"POTENTIAL LOYALIST",AND(F653&gt;=8,G653&lt;=2,H653&gt;=5),"NEW CUSTOMERS",AND(F653&gt;=6,G653&lt;=2,H653&gt;=3),"PROMISING",AND(F653&gt;=3,G653&gt;=3,H653&gt;=3),"NEED ATTENTION",AND(F653&lt;=4,G653&gt;=6,H653&gt;=6),"AT RISK",AND(F653&lt;=2,G653&gt;=8,H653&gt;=8),"CAN'T LOSE THEM",AND(F653&lt;=2,G653&lt;=2,H653&lt;=2),"HIBERNATING",TRUE(),"Other")</f>
        <v>Other</v>
      </c>
      <c r="K653" s="1" t="n">
        <f aca="false">RANK(E653,$E$7:$E$4378)+COUNTIF($E$7:E653,E653)-1</f>
        <v>3393</v>
      </c>
    </row>
    <row r="654" customFormat="false" ht="14.25" hidden="false" customHeight="true" outlineLevel="0" collapsed="false">
      <c r="A654" s="51" t="n">
        <v>13192</v>
      </c>
      <c r="B654" s="53" t="n">
        <v>40791.5923611111</v>
      </c>
      <c r="C654" s="57" t="n">
        <f aca="false">INT($C$2)-INT(Table3[[#This Row],[Last Purchase Date]])</f>
        <v>96</v>
      </c>
      <c r="D654" s="1" t="n">
        <v>2</v>
      </c>
      <c r="E654" s="1" t="n">
        <v>911.94</v>
      </c>
      <c r="F654" s="1" t="n">
        <f aca="false">ROUND((1-_xlfn.PERCENTRANK.INC($C$7:$C$4378,C654))*9,0)</f>
        <v>3</v>
      </c>
      <c r="G654" s="1" t="n">
        <f aca="false">ROUND(_xlfn.PERCENTRANK.INC($D$7:$D$4378,D654)*9,0)</f>
        <v>3</v>
      </c>
      <c r="H654" s="1" t="n">
        <f aca="false">ROUND(_xlfn.PERCENTRANK.INC($E$7:$E$4378,E654)*9,0)</f>
        <v>5</v>
      </c>
      <c r="I654" s="1" t="str">
        <f aca="false">CONCATENATE(F654,G654,H654)</f>
        <v>335</v>
      </c>
      <c r="J654" s="1" t="str">
        <f aca="false">_xlfn.IFS(AND(F654&gt;=8,G654&gt;=8,H654&gt;=8),"CHAMPION",AND(F654&gt;=6,G654&gt;=7,H654&gt;=6),"LOYAL CUSTOMER",AND(F654&gt;=6,G654&gt;=5,H654&gt;=5),"POTENTIAL LOYALIST",AND(F654&gt;=8,G654&lt;=2,H654&gt;=5),"NEW CUSTOMERS",AND(F654&gt;=6,G654&lt;=2,H654&gt;=3),"PROMISING",AND(F654&gt;=3,G654&gt;=3,H654&gt;=3),"NEED ATTENTION",AND(F654&lt;=4,G654&gt;=6,H654&gt;=6),"AT RISK",AND(F654&lt;=2,G654&gt;=8,H654&gt;=8),"CAN'T LOSE THEM",AND(F654&lt;=2,G654&lt;=2,H654&lt;=2),"HIBERNATING",TRUE(),"Other")</f>
        <v>NEED ATTENTION</v>
      </c>
      <c r="K654" s="1" t="n">
        <f aca="false">RANK(E654,$E$7:$E$4378)+COUNTIF($E$7:E654,E654)-1</f>
        <v>1742</v>
      </c>
    </row>
    <row r="655" customFormat="false" ht="14.25" hidden="false" customHeight="true" outlineLevel="0" collapsed="false">
      <c r="A655" s="51" t="n">
        <v>13193</v>
      </c>
      <c r="B655" s="53" t="n">
        <v>40825.6041666667</v>
      </c>
      <c r="C655" s="57" t="n">
        <f aca="false">INT($C$2)-INT(Table3[[#This Row],[Last Purchase Date]])</f>
        <v>62</v>
      </c>
      <c r="D655" s="1" t="n">
        <v>1</v>
      </c>
      <c r="E655" s="1" t="n">
        <v>117.88</v>
      </c>
      <c r="F655" s="1" t="n">
        <f aca="false">ROUND((1-_xlfn.PERCENTRANK.INC($C$7:$C$4378,C655))*9,0)</f>
        <v>4</v>
      </c>
      <c r="G655" s="1" t="n">
        <f aca="false">ROUND(_xlfn.PERCENTRANK.INC($D$7:$D$4378,D655)*9,0)</f>
        <v>0</v>
      </c>
      <c r="H655" s="1" t="n">
        <f aca="false">ROUND(_xlfn.PERCENTRANK.INC($E$7:$E$4378,E655)*9,0)</f>
        <v>1</v>
      </c>
      <c r="I655" s="1" t="str">
        <f aca="false">CONCATENATE(F655,G655,H655)</f>
        <v>401</v>
      </c>
      <c r="J655" s="1" t="str">
        <f aca="false">_xlfn.IFS(AND(F655&gt;=8,G655&gt;=8,H655&gt;=8),"CHAMPION",AND(F655&gt;=6,G655&gt;=7,H655&gt;=6),"LOYAL CUSTOMER",AND(F655&gt;=6,G655&gt;=5,H655&gt;=5),"POTENTIAL LOYALIST",AND(F655&gt;=8,G655&lt;=2,H655&gt;=5),"NEW CUSTOMERS",AND(F655&gt;=6,G655&lt;=2,H655&gt;=3),"PROMISING",AND(F655&gt;=3,G655&gt;=3,H655&gt;=3),"NEED ATTENTION",AND(F655&lt;=4,G655&gt;=6,H655&gt;=6),"AT RISK",AND(F655&lt;=2,G655&gt;=8,H655&gt;=8),"CAN'T LOSE THEM",AND(F655&lt;=2,G655&lt;=2,H655&lt;=2),"HIBERNATING",TRUE(),"Other")</f>
        <v>Other</v>
      </c>
      <c r="K655" s="1" t="n">
        <f aca="false">RANK(E655,$E$7:$E$4378)+COUNTIF($E$7:E655,E655)-1</f>
        <v>4060</v>
      </c>
    </row>
    <row r="656" customFormat="false" ht="14.25" hidden="false" customHeight="true" outlineLevel="0" collapsed="false">
      <c r="A656" s="51" t="n">
        <v>13194</v>
      </c>
      <c r="B656" s="53" t="n">
        <v>40751.3756944445</v>
      </c>
      <c r="C656" s="57" t="n">
        <f aca="false">INT($C$2)-INT(Table3[[#This Row],[Last Purchase Date]])</f>
        <v>136</v>
      </c>
      <c r="D656" s="1" t="n">
        <v>1</v>
      </c>
      <c r="E656" s="1" t="n">
        <v>60.7</v>
      </c>
      <c r="F656" s="1" t="n">
        <f aca="false">ROUND((1-_xlfn.PERCENTRANK.INC($C$7:$C$4378,C656))*9,0)</f>
        <v>2</v>
      </c>
      <c r="G656" s="1" t="n">
        <f aca="false">ROUND(_xlfn.PERCENTRANK.INC($D$7:$D$4378,D656)*9,0)</f>
        <v>0</v>
      </c>
      <c r="H656" s="1" t="n">
        <f aca="false">ROUND(_xlfn.PERCENTRANK.INC($E$7:$E$4378,E656)*9,0)</f>
        <v>0</v>
      </c>
      <c r="I656" s="1" t="str">
        <f aca="false">CONCATENATE(F656,G656,H656)</f>
        <v>200</v>
      </c>
      <c r="J656" s="1" t="str">
        <f aca="false">_xlfn.IFS(AND(F656&gt;=8,G656&gt;=8,H656&gt;=8),"CHAMPION",AND(F656&gt;=6,G656&gt;=7,H656&gt;=6),"LOYAL CUSTOMER",AND(F656&gt;=6,G656&gt;=5,H656&gt;=5),"POTENTIAL LOYALIST",AND(F656&gt;=8,G656&lt;=2,H656&gt;=5),"NEW CUSTOMERS",AND(F656&gt;=6,G656&lt;=2,H656&gt;=3),"PROMISING",AND(F656&gt;=3,G656&gt;=3,H656&gt;=3),"NEED ATTENTION",AND(F656&lt;=4,G656&gt;=6,H656&gt;=6),"AT RISK",AND(F656&lt;=2,G656&gt;=8,H656&gt;=8),"CAN'T LOSE THEM",AND(F656&lt;=2,G656&lt;=2,H656&lt;=2),"HIBERNATING",TRUE(),"Other")</f>
        <v>HIBERNATING</v>
      </c>
      <c r="K656" s="1" t="n">
        <f aca="false">RANK(E656,$E$7:$E$4378)+COUNTIF($E$7:E656,E656)-1</f>
        <v>4263</v>
      </c>
    </row>
    <row r="657" customFormat="false" ht="14.25" hidden="false" customHeight="true" outlineLevel="0" collapsed="false">
      <c r="A657" s="51" t="n">
        <v>13196</v>
      </c>
      <c r="B657" s="53" t="n">
        <v>40875.5791666667</v>
      </c>
      <c r="C657" s="57" t="n">
        <f aca="false">INT($C$2)-INT(Table3[[#This Row],[Last Purchase Date]])</f>
        <v>12</v>
      </c>
      <c r="D657" s="1" t="n">
        <v>4</v>
      </c>
      <c r="E657" s="1" t="n">
        <v>1797.78</v>
      </c>
      <c r="F657" s="1" t="n">
        <f aca="false">ROUND((1-_xlfn.PERCENTRANK.INC($C$7:$C$4378,C657))*9,0)</f>
        <v>7</v>
      </c>
      <c r="G657" s="1" t="n">
        <f aca="false">ROUND(_xlfn.PERCENTRANK.INC($D$7:$D$4378,D657)*9,0)</f>
        <v>5</v>
      </c>
      <c r="H657" s="1" t="n">
        <f aca="false">ROUND(_xlfn.PERCENTRANK.INC($E$7:$E$4378,E657)*9,0)</f>
        <v>7</v>
      </c>
      <c r="I657" s="1" t="str">
        <f aca="false">CONCATENATE(F657,G657,H657)</f>
        <v>757</v>
      </c>
      <c r="J657" s="1" t="str">
        <f aca="false">_xlfn.IFS(AND(F657&gt;=8,G657&gt;=8,H657&gt;=8),"CHAMPION",AND(F657&gt;=6,G657&gt;=7,H657&gt;=6),"LOYAL CUSTOMER",AND(F657&gt;=6,G657&gt;=5,H657&gt;=5),"POTENTIAL LOYALIST",AND(F657&gt;=8,G657&lt;=2,H657&gt;=5),"NEW CUSTOMERS",AND(F657&gt;=6,G657&lt;=2,H657&gt;=3),"PROMISING",AND(F657&gt;=3,G657&gt;=3,H657&gt;=3),"NEED ATTENTION",AND(F657&lt;=4,G657&gt;=6,H657&gt;=6),"AT RISK",AND(F657&lt;=2,G657&gt;=8,H657&gt;=8),"CAN'T LOSE THEM",AND(F657&lt;=2,G657&lt;=2,H657&lt;=2),"HIBERNATING",TRUE(),"Other")</f>
        <v>POTENTIAL LOYALIST</v>
      </c>
      <c r="K657" s="1" t="n">
        <f aca="false">RANK(E657,$E$7:$E$4378)+COUNTIF($E$7:E657,E657)-1</f>
        <v>977</v>
      </c>
    </row>
    <row r="658" customFormat="false" ht="14.25" hidden="false" customHeight="true" outlineLevel="0" collapsed="false">
      <c r="A658" s="51" t="n">
        <v>13198</v>
      </c>
      <c r="B658" s="53" t="n">
        <v>40876.6368055556</v>
      </c>
      <c r="C658" s="57" t="n">
        <f aca="false">INT($C$2)-INT(Table3[[#This Row],[Last Purchase Date]])</f>
        <v>11</v>
      </c>
      <c r="D658" s="1" t="n">
        <v>8</v>
      </c>
      <c r="E658" s="1" t="n">
        <v>3384.09</v>
      </c>
      <c r="F658" s="1" t="n">
        <f aca="false">ROUND((1-_xlfn.PERCENTRANK.INC($C$7:$C$4378,C658))*9,0)</f>
        <v>7</v>
      </c>
      <c r="G658" s="1" t="n">
        <f aca="false">ROUND(_xlfn.PERCENTRANK.INC($D$7:$D$4378,D658)*9,0)</f>
        <v>7</v>
      </c>
      <c r="H658" s="1" t="n">
        <f aca="false">ROUND(_xlfn.PERCENTRANK.INC($E$7:$E$4378,E658)*9,0)</f>
        <v>8</v>
      </c>
      <c r="I658" s="1" t="str">
        <f aca="false">CONCATENATE(F658,G658,H658)</f>
        <v>778</v>
      </c>
      <c r="J658" s="1" t="str">
        <f aca="false">_xlfn.IFS(AND(F658&gt;=8,G658&gt;=8,H658&gt;=8),"CHAMPION",AND(F658&gt;=6,G658&gt;=7,H658&gt;=6),"LOYAL CUSTOMER",AND(F658&gt;=6,G658&gt;=5,H658&gt;=5),"POTENTIAL LOYALIST",AND(F658&gt;=8,G658&lt;=2,H658&gt;=5),"NEW CUSTOMERS",AND(F658&gt;=6,G658&lt;=2,H658&gt;=3),"PROMISING",AND(F658&gt;=3,G658&gt;=3,H658&gt;=3),"NEED ATTENTION",AND(F658&lt;=4,G658&gt;=6,H658&gt;=6),"AT RISK",AND(F658&lt;=2,G658&gt;=8,H658&gt;=8),"CAN'T LOSE THEM",AND(F658&lt;=2,G658&lt;=2,H658&lt;=2),"HIBERNATING",TRUE(),"Other")</f>
        <v>LOYAL CUSTOMER</v>
      </c>
      <c r="K658" s="1" t="n">
        <f aca="false">RANK(E658,$E$7:$E$4378)+COUNTIF($E$7:E658,E658)-1</f>
        <v>462</v>
      </c>
    </row>
    <row r="659" customFormat="false" ht="14.25" hidden="false" customHeight="true" outlineLevel="0" collapsed="false">
      <c r="A659" s="51" t="n">
        <v>13199</v>
      </c>
      <c r="B659" s="53" t="n">
        <v>40883.5208333333</v>
      </c>
      <c r="C659" s="57" t="n">
        <f aca="false">INT($C$2)-INT(Table3[[#This Row],[Last Purchase Date]])</f>
        <v>4</v>
      </c>
      <c r="D659" s="1" t="n">
        <v>39</v>
      </c>
      <c r="E659" s="1" t="n">
        <v>9803.96</v>
      </c>
      <c r="F659" s="1" t="n">
        <f aca="false">ROUND((1-_xlfn.PERCENTRANK.INC($C$7:$C$4378,C659))*9,0)</f>
        <v>8</v>
      </c>
      <c r="G659" s="1" t="n">
        <f aca="false">ROUND(_xlfn.PERCENTRANK.INC($D$7:$D$4378,D659)*9,0)</f>
        <v>9</v>
      </c>
      <c r="H659" s="1" t="n">
        <f aca="false">ROUND(_xlfn.PERCENTRANK.INC($E$7:$E$4378,E659)*9,0)</f>
        <v>9</v>
      </c>
      <c r="I659" s="1" t="str">
        <f aca="false">CONCATENATE(F659,G659,H659)</f>
        <v>899</v>
      </c>
      <c r="J659" s="1" t="str">
        <f aca="false">_xlfn.IFS(AND(F659&gt;=8,G659&gt;=8,H659&gt;=8),"CHAMPION",AND(F659&gt;=6,G659&gt;=7,H659&gt;=6),"LOYAL CUSTOMER",AND(F659&gt;=6,G659&gt;=5,H659&gt;=5),"POTENTIAL LOYALIST",AND(F659&gt;=8,G659&lt;=2,H659&gt;=5),"NEW CUSTOMERS",AND(F659&gt;=6,G659&lt;=2,H659&gt;=3),"PROMISING",AND(F659&gt;=3,G659&gt;=3,H659&gt;=3),"NEED ATTENTION",AND(F659&lt;=4,G659&gt;=6,H659&gt;=6),"AT RISK",AND(F659&lt;=2,G659&gt;=8,H659&gt;=8),"CAN'T LOSE THEM",AND(F659&lt;=2,G659&lt;=2,H659&lt;=2),"HIBERNATING",TRUE(),"Other")</f>
        <v>CHAMPION</v>
      </c>
      <c r="K659" s="1" t="n">
        <f aca="false">RANK(E659,$E$7:$E$4378)+COUNTIF($E$7:E659,E659)-1</f>
        <v>99</v>
      </c>
    </row>
    <row r="660" customFormat="false" ht="14.25" hidden="false" customHeight="true" outlineLevel="0" collapsed="false">
      <c r="A660" s="51" t="n">
        <v>13200</v>
      </c>
      <c r="B660" s="53" t="n">
        <v>40867.6493055556</v>
      </c>
      <c r="C660" s="57" t="n">
        <f aca="false">INT($C$2)-INT(Table3[[#This Row],[Last Purchase Date]])</f>
        <v>20</v>
      </c>
      <c r="D660" s="1" t="n">
        <v>4</v>
      </c>
      <c r="E660" s="1" t="n">
        <v>870.09</v>
      </c>
      <c r="F660" s="1" t="n">
        <f aca="false">ROUND((1-_xlfn.PERCENTRANK.INC($C$7:$C$4378,C660))*9,0)</f>
        <v>6</v>
      </c>
      <c r="G660" s="1" t="n">
        <f aca="false">ROUND(_xlfn.PERCENTRANK.INC($D$7:$D$4378,D660)*9,0)</f>
        <v>5</v>
      </c>
      <c r="H660" s="1" t="n">
        <f aca="false">ROUND(_xlfn.PERCENTRANK.INC($E$7:$E$4378,E660)*9,0)</f>
        <v>5</v>
      </c>
      <c r="I660" s="1" t="str">
        <f aca="false">CONCATENATE(F660,G660,H660)</f>
        <v>655</v>
      </c>
      <c r="J660" s="1" t="str">
        <f aca="false">_xlfn.IFS(AND(F660&gt;=8,G660&gt;=8,H660&gt;=8),"CHAMPION",AND(F660&gt;=6,G660&gt;=7,H660&gt;=6),"LOYAL CUSTOMER",AND(F660&gt;=6,G660&gt;=5,H660&gt;=5),"POTENTIAL LOYALIST",AND(F660&gt;=8,G660&lt;=2,H660&gt;=5),"NEW CUSTOMERS",AND(F660&gt;=6,G660&lt;=2,H660&gt;=3),"PROMISING",AND(F660&gt;=3,G660&gt;=3,H660&gt;=3),"NEED ATTENTION",AND(F660&lt;=4,G660&gt;=6,H660&gt;=6),"AT RISK",AND(F660&lt;=2,G660&gt;=8,H660&gt;=8),"CAN'T LOSE THEM",AND(F660&lt;=2,G660&lt;=2,H660&lt;=2),"HIBERNATING",TRUE(),"Other")</f>
        <v>POTENTIAL LOYALIST</v>
      </c>
      <c r="K660" s="1" t="n">
        <f aca="false">RANK(E660,$E$7:$E$4378)+COUNTIF($E$7:E660,E660)-1</f>
        <v>1799</v>
      </c>
    </row>
    <row r="661" customFormat="false" ht="14.25" hidden="false" customHeight="true" outlineLevel="0" collapsed="false">
      <c r="A661" s="51" t="n">
        <v>13203</v>
      </c>
      <c r="B661" s="53" t="n">
        <v>40877.4479166667</v>
      </c>
      <c r="C661" s="57" t="n">
        <f aca="false">INT($C$2)-INT(Table3[[#This Row],[Last Purchase Date]])</f>
        <v>10</v>
      </c>
      <c r="D661" s="1" t="n">
        <v>4</v>
      </c>
      <c r="E661" s="1" t="n">
        <v>869.46</v>
      </c>
      <c r="F661" s="1" t="n">
        <f aca="false">ROUND((1-_xlfn.PERCENTRANK.INC($C$7:$C$4378,C661))*9,0)</f>
        <v>8</v>
      </c>
      <c r="G661" s="1" t="n">
        <f aca="false">ROUND(_xlfn.PERCENTRANK.INC($D$7:$D$4378,D661)*9,0)</f>
        <v>5</v>
      </c>
      <c r="H661" s="1" t="n">
        <f aca="false">ROUND(_xlfn.PERCENTRANK.INC($E$7:$E$4378,E661)*9,0)</f>
        <v>5</v>
      </c>
      <c r="I661" s="1" t="str">
        <f aca="false">CONCATENATE(F661,G661,H661)</f>
        <v>855</v>
      </c>
      <c r="J661" s="1" t="str">
        <f aca="false">_xlfn.IFS(AND(F661&gt;=8,G661&gt;=8,H661&gt;=8),"CHAMPION",AND(F661&gt;=6,G661&gt;=7,H661&gt;=6),"LOYAL CUSTOMER",AND(F661&gt;=6,G661&gt;=5,H661&gt;=5),"POTENTIAL LOYALIST",AND(F661&gt;=8,G661&lt;=2,H661&gt;=5),"NEW CUSTOMERS",AND(F661&gt;=6,G661&lt;=2,H661&gt;=3),"PROMISING",AND(F661&gt;=3,G661&gt;=3,H661&gt;=3),"NEED ATTENTION",AND(F661&lt;=4,G661&gt;=6,H661&gt;=6),"AT RISK",AND(F661&lt;=2,G661&gt;=8,H661&gt;=8),"CAN'T LOSE THEM",AND(F661&lt;=2,G661&lt;=2,H661&lt;=2),"HIBERNATING",TRUE(),"Other")</f>
        <v>POTENTIAL LOYALIST</v>
      </c>
      <c r="K661" s="1" t="n">
        <f aca="false">RANK(E661,$E$7:$E$4378)+COUNTIF($E$7:E661,E661)-1</f>
        <v>1803</v>
      </c>
    </row>
    <row r="662" customFormat="false" ht="14.25" hidden="false" customHeight="true" outlineLevel="0" collapsed="false">
      <c r="A662" s="51" t="n">
        <v>13207</v>
      </c>
      <c r="B662" s="53" t="n">
        <v>40871.6194444444</v>
      </c>
      <c r="C662" s="57" t="n">
        <f aca="false">INT($C$2)-INT(Table3[[#This Row],[Last Purchase Date]])</f>
        <v>16</v>
      </c>
      <c r="D662" s="1" t="n">
        <v>2</v>
      </c>
      <c r="E662" s="1" t="n">
        <v>250.26</v>
      </c>
      <c r="F662" s="1" t="n">
        <f aca="false">ROUND((1-_xlfn.PERCENTRANK.INC($C$7:$C$4378,C662))*9,0)</f>
        <v>7</v>
      </c>
      <c r="G662" s="1" t="n">
        <f aca="false">ROUND(_xlfn.PERCENTRANK.INC($D$7:$D$4378,D662)*9,0)</f>
        <v>3</v>
      </c>
      <c r="H662" s="1" t="n">
        <f aca="false">ROUND(_xlfn.PERCENTRANK.INC($E$7:$E$4378,E662)*9,0)</f>
        <v>2</v>
      </c>
      <c r="I662" s="1" t="str">
        <f aca="false">CONCATENATE(F662,G662,H662)</f>
        <v>732</v>
      </c>
      <c r="J662" s="1" t="str">
        <f aca="false">_xlfn.IFS(AND(F662&gt;=8,G662&gt;=8,H662&gt;=8),"CHAMPION",AND(F662&gt;=6,G662&gt;=7,H662&gt;=6),"LOYAL CUSTOMER",AND(F662&gt;=6,G662&gt;=5,H662&gt;=5),"POTENTIAL LOYALIST",AND(F662&gt;=8,G662&lt;=2,H662&gt;=5),"NEW CUSTOMERS",AND(F662&gt;=6,G662&lt;=2,H662&gt;=3),"PROMISING",AND(F662&gt;=3,G662&gt;=3,H662&gt;=3),"NEED ATTENTION",AND(F662&lt;=4,G662&gt;=6,H662&gt;=6),"AT RISK",AND(F662&lt;=2,G662&gt;=8,H662&gt;=8),"CAN'T LOSE THEM",AND(F662&lt;=2,G662&lt;=2,H662&lt;=2),"HIBERNATING",TRUE(),"Other")</f>
        <v>Other</v>
      </c>
      <c r="K662" s="1" t="n">
        <f aca="false">RANK(E662,$E$7:$E$4378)+COUNTIF($E$7:E662,E662)-1</f>
        <v>3436</v>
      </c>
    </row>
    <row r="663" customFormat="false" ht="14.25" hidden="false" customHeight="true" outlineLevel="0" collapsed="false">
      <c r="A663" s="51" t="n">
        <v>13208</v>
      </c>
      <c r="B663" s="53" t="n">
        <v>40828.4125</v>
      </c>
      <c r="C663" s="57" t="n">
        <f aca="false">INT($C$2)-INT(Table3[[#This Row],[Last Purchase Date]])</f>
        <v>59</v>
      </c>
      <c r="D663" s="1" t="n">
        <v>7</v>
      </c>
      <c r="E663" s="1" t="n">
        <v>1205.9</v>
      </c>
      <c r="F663" s="1" t="n">
        <f aca="false">ROUND((1-_xlfn.PERCENTRANK.INC($C$7:$C$4378,C663))*9,0)</f>
        <v>4</v>
      </c>
      <c r="G663" s="1" t="n">
        <f aca="false">ROUND(_xlfn.PERCENTRANK.INC($D$7:$D$4378,D663)*9,0)</f>
        <v>7</v>
      </c>
      <c r="H663" s="1" t="n">
        <f aca="false">ROUND(_xlfn.PERCENTRANK.INC($E$7:$E$4378,E663)*9,0)</f>
        <v>6</v>
      </c>
      <c r="I663" s="1" t="str">
        <f aca="false">CONCATENATE(F663,G663,H663)</f>
        <v>476</v>
      </c>
      <c r="J663" s="1" t="str">
        <f aca="false">_xlfn.IFS(AND(F663&gt;=8,G663&gt;=8,H663&gt;=8),"CHAMPION",AND(F663&gt;=6,G663&gt;=7,H663&gt;=6),"LOYAL CUSTOMER",AND(F663&gt;=6,G663&gt;=5,H663&gt;=5),"POTENTIAL LOYALIST",AND(F663&gt;=8,G663&lt;=2,H663&gt;=5),"NEW CUSTOMERS",AND(F663&gt;=6,G663&lt;=2,H663&gt;=3),"PROMISING",AND(F663&gt;=3,G663&gt;=3,H663&gt;=3),"NEED ATTENTION",AND(F663&lt;=4,G663&gt;=6,H663&gt;=6),"AT RISK",AND(F663&lt;=2,G663&gt;=8,H663&gt;=8),"CAN'T LOSE THEM",AND(F663&lt;=2,G663&lt;=2,H663&lt;=2),"HIBERNATING",TRUE(),"Other")</f>
        <v>NEED ATTENTION</v>
      </c>
      <c r="K663" s="1" t="n">
        <f aca="false">RANK(E663,$E$7:$E$4378)+COUNTIF($E$7:E663,E663)-1</f>
        <v>1407</v>
      </c>
    </row>
    <row r="664" customFormat="false" ht="14.25" hidden="false" customHeight="true" outlineLevel="0" collapsed="false">
      <c r="A664" s="51" t="n">
        <v>13209</v>
      </c>
      <c r="B664" s="53" t="n">
        <v>40856.5791666667</v>
      </c>
      <c r="C664" s="57" t="n">
        <f aca="false">INT($C$2)-INT(Table3[[#This Row],[Last Purchase Date]])</f>
        <v>31</v>
      </c>
      <c r="D664" s="1" t="n">
        <v>11</v>
      </c>
      <c r="E664" s="1" t="n">
        <v>5820.16</v>
      </c>
      <c r="F664" s="1" t="n">
        <f aca="false">ROUND((1-_xlfn.PERCENTRANK.INC($C$7:$C$4378,C664))*9,0)</f>
        <v>6</v>
      </c>
      <c r="G664" s="1" t="n">
        <f aca="false">ROUND(_xlfn.PERCENTRANK.INC($D$7:$D$4378,D664)*9,0)</f>
        <v>8</v>
      </c>
      <c r="H664" s="1" t="n">
        <f aca="false">ROUND(_xlfn.PERCENTRANK.INC($E$7:$E$4378,E664)*9,0)</f>
        <v>9</v>
      </c>
      <c r="I664" s="1" t="str">
        <f aca="false">CONCATENATE(F664,G664,H664)</f>
        <v>689</v>
      </c>
      <c r="J664" s="1" t="str">
        <f aca="false">_xlfn.IFS(AND(F664&gt;=8,G664&gt;=8,H664&gt;=8),"CHAMPION",AND(F664&gt;=6,G664&gt;=7,H664&gt;=6),"LOYAL CUSTOMER",AND(F664&gt;=6,G664&gt;=5,H664&gt;=5),"POTENTIAL LOYALIST",AND(F664&gt;=8,G664&lt;=2,H664&gt;=5),"NEW CUSTOMERS",AND(F664&gt;=6,G664&lt;=2,H664&gt;=3),"PROMISING",AND(F664&gt;=3,G664&gt;=3,H664&gt;=3),"NEED ATTENTION",AND(F664&lt;=4,G664&gt;=6,H664&gt;=6),"AT RISK",AND(F664&lt;=2,G664&gt;=8,H664&gt;=8),"CAN'T LOSE THEM",AND(F664&lt;=2,G664&lt;=2,H664&lt;=2),"HIBERNATING",TRUE(),"Other")</f>
        <v>LOYAL CUSTOMER</v>
      </c>
      <c r="K664" s="1" t="n">
        <f aca="false">RANK(E664,$E$7:$E$4378)+COUNTIF($E$7:E664,E664)-1</f>
        <v>206</v>
      </c>
    </row>
    <row r="665" customFormat="false" ht="14.25" hidden="false" customHeight="true" outlineLevel="0" collapsed="false">
      <c r="A665" s="51" t="n">
        <v>13210</v>
      </c>
      <c r="B665" s="53" t="n">
        <v>40793.3458333333</v>
      </c>
      <c r="C665" s="57" t="n">
        <f aca="false">INT($C$2)-INT(Table3[[#This Row],[Last Purchase Date]])</f>
        <v>94</v>
      </c>
      <c r="D665" s="1" t="n">
        <v>1</v>
      </c>
      <c r="E665" s="1" t="n">
        <v>353.48</v>
      </c>
      <c r="F665" s="1" t="n">
        <f aca="false">ROUND((1-_xlfn.PERCENTRANK.INC($C$7:$C$4378,C665))*9,0)</f>
        <v>3</v>
      </c>
      <c r="G665" s="1" t="n">
        <f aca="false">ROUND(_xlfn.PERCENTRANK.INC($D$7:$D$4378,D665)*9,0)</f>
        <v>0</v>
      </c>
      <c r="H665" s="1" t="n">
        <f aca="false">ROUND(_xlfn.PERCENTRANK.INC($E$7:$E$4378,E665)*9,0)</f>
        <v>3</v>
      </c>
      <c r="I665" s="1" t="str">
        <f aca="false">CONCATENATE(F665,G665,H665)</f>
        <v>303</v>
      </c>
      <c r="J665" s="1" t="str">
        <f aca="false">_xlfn.IFS(AND(F665&gt;=8,G665&gt;=8,H665&gt;=8),"CHAMPION",AND(F665&gt;=6,G665&gt;=7,H665&gt;=6),"LOYAL CUSTOMER",AND(F665&gt;=6,G665&gt;=5,H665&gt;=5),"POTENTIAL LOYALIST",AND(F665&gt;=8,G665&lt;=2,H665&gt;=5),"NEW CUSTOMERS",AND(F665&gt;=6,G665&lt;=2,H665&gt;=3),"PROMISING",AND(F665&gt;=3,G665&gt;=3,H665&gt;=3),"NEED ATTENTION",AND(F665&lt;=4,G665&gt;=6,H665&gt;=6),"AT RISK",AND(F665&lt;=2,G665&gt;=8,H665&gt;=8),"CAN'T LOSE THEM",AND(F665&lt;=2,G665&lt;=2,H665&lt;=2),"HIBERNATING",TRUE(),"Other")</f>
        <v>Other</v>
      </c>
      <c r="K665" s="1" t="n">
        <f aca="false">RANK(E665,$E$7:$E$4378)+COUNTIF($E$7:E665,E665)-1</f>
        <v>2992</v>
      </c>
    </row>
    <row r="666" customFormat="false" ht="14.25" hidden="false" customHeight="true" outlineLevel="0" collapsed="false">
      <c r="A666" s="51" t="n">
        <v>13211</v>
      </c>
      <c r="B666" s="53" t="n">
        <v>40876.6131944444</v>
      </c>
      <c r="C666" s="57" t="n">
        <f aca="false">INT($C$2)-INT(Table3[[#This Row],[Last Purchase Date]])</f>
        <v>11</v>
      </c>
      <c r="D666" s="1" t="n">
        <v>3</v>
      </c>
      <c r="E666" s="1" t="n">
        <v>1197.42</v>
      </c>
      <c r="F666" s="1" t="n">
        <f aca="false">ROUND((1-_xlfn.PERCENTRANK.INC($C$7:$C$4378,C666))*9,0)</f>
        <v>7</v>
      </c>
      <c r="G666" s="1" t="n">
        <f aca="false">ROUND(_xlfn.PERCENTRANK.INC($D$7:$D$4378,D666)*9,0)</f>
        <v>4</v>
      </c>
      <c r="H666" s="1" t="n">
        <f aca="false">ROUND(_xlfn.PERCENTRANK.INC($E$7:$E$4378,E666)*9,0)</f>
        <v>6</v>
      </c>
      <c r="I666" s="1" t="str">
        <f aca="false">CONCATENATE(F666,G666,H666)</f>
        <v>746</v>
      </c>
      <c r="J666" s="1" t="str">
        <f aca="false">_xlfn.IFS(AND(F666&gt;=8,G666&gt;=8,H666&gt;=8),"CHAMPION",AND(F666&gt;=6,G666&gt;=7,H666&gt;=6),"LOYAL CUSTOMER",AND(F666&gt;=6,G666&gt;=5,H666&gt;=5),"POTENTIAL LOYALIST",AND(F666&gt;=8,G666&lt;=2,H666&gt;=5),"NEW CUSTOMERS",AND(F666&gt;=6,G666&lt;=2,H666&gt;=3),"PROMISING",AND(F666&gt;=3,G666&gt;=3,H666&gt;=3),"NEED ATTENTION",AND(F666&lt;=4,G666&gt;=6,H666&gt;=6),"AT RISK",AND(F666&lt;=2,G666&gt;=8,H666&gt;=8),"CAN'T LOSE THEM",AND(F666&lt;=2,G666&lt;=2,H666&lt;=2),"HIBERNATING",TRUE(),"Other")</f>
        <v>NEED ATTENTION</v>
      </c>
      <c r="K666" s="1" t="n">
        <f aca="false">RANK(E666,$E$7:$E$4378)+COUNTIF($E$7:E666,E666)-1</f>
        <v>1416</v>
      </c>
    </row>
    <row r="667" customFormat="false" ht="14.25" hidden="false" customHeight="true" outlineLevel="0" collapsed="false">
      <c r="A667" s="51" t="n">
        <v>13212</v>
      </c>
      <c r="B667" s="53" t="n">
        <v>40877.6333333333</v>
      </c>
      <c r="C667" s="57" t="n">
        <f aca="false">INT($C$2)-INT(Table3[[#This Row],[Last Purchase Date]])</f>
        <v>10</v>
      </c>
      <c r="D667" s="1" t="n">
        <v>4</v>
      </c>
      <c r="E667" s="1" t="n">
        <v>780.58</v>
      </c>
      <c r="F667" s="1" t="n">
        <f aca="false">ROUND((1-_xlfn.PERCENTRANK.INC($C$7:$C$4378,C667))*9,0)</f>
        <v>8</v>
      </c>
      <c r="G667" s="1" t="n">
        <f aca="false">ROUND(_xlfn.PERCENTRANK.INC($D$7:$D$4378,D667)*9,0)</f>
        <v>5</v>
      </c>
      <c r="H667" s="1" t="n">
        <f aca="false">ROUND(_xlfn.PERCENTRANK.INC($E$7:$E$4378,E667)*9,0)</f>
        <v>5</v>
      </c>
      <c r="I667" s="1" t="str">
        <f aca="false">CONCATENATE(F667,G667,H667)</f>
        <v>855</v>
      </c>
      <c r="J667" s="1" t="str">
        <f aca="false">_xlfn.IFS(AND(F667&gt;=8,G667&gt;=8,H667&gt;=8),"CHAMPION",AND(F667&gt;=6,G667&gt;=7,H667&gt;=6),"LOYAL CUSTOMER",AND(F667&gt;=6,G667&gt;=5,H667&gt;=5),"POTENTIAL LOYALIST",AND(F667&gt;=8,G667&lt;=2,H667&gt;=5),"NEW CUSTOMERS",AND(F667&gt;=6,G667&lt;=2,H667&gt;=3),"PROMISING",AND(F667&gt;=3,G667&gt;=3,H667&gt;=3),"NEED ATTENTION",AND(F667&lt;=4,G667&gt;=6,H667&gt;=6),"AT RISK",AND(F667&lt;=2,G667&gt;=8,H667&gt;=8),"CAN'T LOSE THEM",AND(F667&lt;=2,G667&lt;=2,H667&lt;=2),"HIBERNATING",TRUE(),"Other")</f>
        <v>POTENTIAL LOYALIST</v>
      </c>
      <c r="K667" s="1" t="n">
        <f aca="false">RANK(E667,$E$7:$E$4378)+COUNTIF($E$7:E667,E667)-1</f>
        <v>1922</v>
      </c>
    </row>
    <row r="668" customFormat="false" ht="14.25" hidden="false" customHeight="true" outlineLevel="0" collapsed="false">
      <c r="A668" s="51" t="n">
        <v>13213</v>
      </c>
      <c r="B668" s="53" t="n">
        <v>40830.4875</v>
      </c>
      <c r="C668" s="57" t="n">
        <f aca="false">INT($C$2)-INT(Table3[[#This Row],[Last Purchase Date]])</f>
        <v>57</v>
      </c>
      <c r="D668" s="1" t="n">
        <v>6</v>
      </c>
      <c r="E668" s="1" t="n">
        <v>1518.43</v>
      </c>
      <c r="F668" s="1" t="n">
        <f aca="false">ROUND((1-_xlfn.PERCENTRANK.INC($C$7:$C$4378,C668))*9,0)</f>
        <v>4</v>
      </c>
      <c r="G668" s="1" t="n">
        <f aca="false">ROUND(_xlfn.PERCENTRANK.INC($D$7:$D$4378,D668)*9,0)</f>
        <v>7</v>
      </c>
      <c r="H668" s="1" t="n">
        <f aca="false">ROUND(_xlfn.PERCENTRANK.INC($E$7:$E$4378,E668)*9,0)</f>
        <v>7</v>
      </c>
      <c r="I668" s="1" t="str">
        <f aca="false">CONCATENATE(F668,G668,H668)</f>
        <v>477</v>
      </c>
      <c r="J668" s="1" t="str">
        <f aca="false">_xlfn.IFS(AND(F668&gt;=8,G668&gt;=8,H668&gt;=8),"CHAMPION",AND(F668&gt;=6,G668&gt;=7,H668&gt;=6),"LOYAL CUSTOMER",AND(F668&gt;=6,G668&gt;=5,H668&gt;=5),"POTENTIAL LOYALIST",AND(F668&gt;=8,G668&lt;=2,H668&gt;=5),"NEW CUSTOMERS",AND(F668&gt;=6,G668&lt;=2,H668&gt;=3),"PROMISING",AND(F668&gt;=3,G668&gt;=3,H668&gt;=3),"NEED ATTENTION",AND(F668&lt;=4,G668&gt;=6,H668&gt;=6),"AT RISK",AND(F668&lt;=2,G668&gt;=8,H668&gt;=8),"CAN'T LOSE THEM",AND(F668&lt;=2,G668&lt;=2,H668&lt;=2),"HIBERNATING",TRUE(),"Other")</f>
        <v>NEED ATTENTION</v>
      </c>
      <c r="K668" s="1" t="n">
        <f aca="false">RANK(E668,$E$7:$E$4378)+COUNTIF($E$7:E668,E668)-1</f>
        <v>1153</v>
      </c>
    </row>
    <row r="669" customFormat="false" ht="14.25" hidden="false" customHeight="true" outlineLevel="0" collapsed="false">
      <c r="A669" s="51" t="n">
        <v>13216</v>
      </c>
      <c r="B669" s="53" t="n">
        <v>40619.5125</v>
      </c>
      <c r="C669" s="57" t="n">
        <f aca="false">INT($C$2)-INT(Table3[[#This Row],[Last Purchase Date]])</f>
        <v>268</v>
      </c>
      <c r="D669" s="1" t="n">
        <v>1</v>
      </c>
      <c r="E669" s="1" t="n">
        <v>333.74</v>
      </c>
      <c r="F669" s="1" t="n">
        <f aca="false">ROUND((1-_xlfn.PERCENTRANK.INC($C$7:$C$4378,C669))*9,0)</f>
        <v>1</v>
      </c>
      <c r="G669" s="1" t="n">
        <f aca="false">ROUND(_xlfn.PERCENTRANK.INC($D$7:$D$4378,D669)*9,0)</f>
        <v>0</v>
      </c>
      <c r="H669" s="1" t="n">
        <f aca="false">ROUND(_xlfn.PERCENTRANK.INC($E$7:$E$4378,E669)*9,0)</f>
        <v>3</v>
      </c>
      <c r="I669" s="1" t="str">
        <f aca="false">CONCATENATE(F669,G669,H669)</f>
        <v>103</v>
      </c>
      <c r="J669" s="1" t="str">
        <f aca="false">_xlfn.IFS(AND(F669&gt;=8,G669&gt;=8,H669&gt;=8),"CHAMPION",AND(F669&gt;=6,G669&gt;=7,H669&gt;=6),"LOYAL CUSTOMER",AND(F669&gt;=6,G669&gt;=5,H669&gt;=5),"POTENTIAL LOYALIST",AND(F669&gt;=8,G669&lt;=2,H669&gt;=5),"NEW CUSTOMERS",AND(F669&gt;=6,G669&lt;=2,H669&gt;=3),"PROMISING",AND(F669&gt;=3,G669&gt;=3,H669&gt;=3),"NEED ATTENTION",AND(F669&lt;=4,G669&gt;=6,H669&gt;=6),"AT RISK",AND(F669&lt;=2,G669&gt;=8,H669&gt;=8),"CAN'T LOSE THEM",AND(F669&lt;=2,G669&lt;=2,H669&lt;=2),"HIBERNATING",TRUE(),"Other")</f>
        <v>Other</v>
      </c>
      <c r="K669" s="1" t="n">
        <f aca="false">RANK(E669,$E$7:$E$4378)+COUNTIF($E$7:E669,E669)-1</f>
        <v>3078</v>
      </c>
    </row>
    <row r="670" customFormat="false" ht="14.25" hidden="false" customHeight="true" outlineLevel="0" collapsed="false">
      <c r="A670" s="51" t="n">
        <v>13217</v>
      </c>
      <c r="B670" s="53" t="n">
        <v>40764.6472222222</v>
      </c>
      <c r="C670" s="57" t="n">
        <f aca="false">INT($C$2)-INT(Table3[[#This Row],[Last Purchase Date]])</f>
        <v>123</v>
      </c>
      <c r="D670" s="1" t="n">
        <v>5</v>
      </c>
      <c r="E670" s="1" t="n">
        <v>133.62</v>
      </c>
      <c r="F670" s="1" t="n">
        <f aca="false">ROUND((1-_xlfn.PERCENTRANK.INC($C$7:$C$4378,C670))*9,0)</f>
        <v>3</v>
      </c>
      <c r="G670" s="1" t="n">
        <f aca="false">ROUND(_xlfn.PERCENTRANK.INC($D$7:$D$4378,D670)*9,0)</f>
        <v>6</v>
      </c>
      <c r="H670" s="1" t="n">
        <f aca="false">ROUND(_xlfn.PERCENTRANK.INC($E$7:$E$4378,E670)*9,0)</f>
        <v>1</v>
      </c>
      <c r="I670" s="1" t="str">
        <f aca="false">CONCATENATE(F670,G670,H670)</f>
        <v>361</v>
      </c>
      <c r="J670" s="1" t="str">
        <f aca="false">_xlfn.IFS(AND(F670&gt;=8,G670&gt;=8,H670&gt;=8),"CHAMPION",AND(F670&gt;=6,G670&gt;=7,H670&gt;=6),"LOYAL CUSTOMER",AND(F670&gt;=6,G670&gt;=5,H670&gt;=5),"POTENTIAL LOYALIST",AND(F670&gt;=8,G670&lt;=2,H670&gt;=5),"NEW CUSTOMERS",AND(F670&gt;=6,G670&lt;=2,H670&gt;=3),"PROMISING",AND(F670&gt;=3,G670&gt;=3,H670&gt;=3),"NEED ATTENTION",AND(F670&lt;=4,G670&gt;=6,H670&gt;=6),"AT RISK",AND(F670&lt;=2,G670&gt;=8,H670&gt;=8),"CAN'T LOSE THEM",AND(F670&lt;=2,G670&lt;=2,H670&lt;=2),"HIBERNATING",TRUE(),"Other")</f>
        <v>Other</v>
      </c>
      <c r="K670" s="1" t="n">
        <f aca="false">RANK(E670,$E$7:$E$4378)+COUNTIF($E$7:E670,E670)-1</f>
        <v>3994</v>
      </c>
    </row>
    <row r="671" customFormat="false" ht="14.25" hidden="false" customHeight="true" outlineLevel="0" collapsed="false">
      <c r="A671" s="51" t="n">
        <v>13218</v>
      </c>
      <c r="B671" s="53" t="n">
        <v>40759.7076388889</v>
      </c>
      <c r="C671" s="57" t="n">
        <f aca="false">INT($C$2)-INT(Table3[[#This Row],[Last Purchase Date]])</f>
        <v>128</v>
      </c>
      <c r="D671" s="1" t="n">
        <v>1</v>
      </c>
      <c r="E671" s="1" t="n">
        <v>62.64</v>
      </c>
      <c r="F671" s="1" t="n">
        <f aca="false">ROUND((1-_xlfn.PERCENTRANK.INC($C$7:$C$4378,C671))*9,0)</f>
        <v>2</v>
      </c>
      <c r="G671" s="1" t="n">
        <f aca="false">ROUND(_xlfn.PERCENTRANK.INC($D$7:$D$4378,D671)*9,0)</f>
        <v>0</v>
      </c>
      <c r="H671" s="1" t="n">
        <f aca="false">ROUND(_xlfn.PERCENTRANK.INC($E$7:$E$4378,E671)*9,0)</f>
        <v>0</v>
      </c>
      <c r="I671" s="1" t="str">
        <f aca="false">CONCATENATE(F671,G671,H671)</f>
        <v>200</v>
      </c>
      <c r="J671" s="1" t="str">
        <f aca="false">_xlfn.IFS(AND(F671&gt;=8,G671&gt;=8,H671&gt;=8),"CHAMPION",AND(F671&gt;=6,G671&gt;=7,H671&gt;=6),"LOYAL CUSTOMER",AND(F671&gt;=6,G671&gt;=5,H671&gt;=5),"POTENTIAL LOYALIST",AND(F671&gt;=8,G671&lt;=2,H671&gt;=5),"NEW CUSTOMERS",AND(F671&gt;=6,G671&lt;=2,H671&gt;=3),"PROMISING",AND(F671&gt;=3,G671&gt;=3,H671&gt;=3),"NEED ATTENTION",AND(F671&lt;=4,G671&gt;=6,H671&gt;=6),"AT RISK",AND(F671&lt;=2,G671&gt;=8,H671&gt;=8),"CAN'T LOSE THEM",AND(F671&lt;=2,G671&lt;=2,H671&lt;=2),"HIBERNATING",TRUE(),"Other")</f>
        <v>HIBERNATING</v>
      </c>
      <c r="K671" s="1" t="n">
        <f aca="false">RANK(E671,$E$7:$E$4378)+COUNTIF($E$7:E671,E671)-1</f>
        <v>4259</v>
      </c>
    </row>
    <row r="672" customFormat="false" ht="14.25" hidden="false" customHeight="true" outlineLevel="0" collapsed="false">
      <c r="A672" s="51" t="n">
        <v>13220</v>
      </c>
      <c r="B672" s="53" t="n">
        <v>40808.5680555556</v>
      </c>
      <c r="C672" s="57" t="n">
        <f aca="false">INT($C$2)-INT(Table3[[#This Row],[Last Purchase Date]])</f>
        <v>79</v>
      </c>
      <c r="D672" s="1" t="n">
        <v>4</v>
      </c>
      <c r="E672" s="1" t="n">
        <v>819.29</v>
      </c>
      <c r="F672" s="1" t="n">
        <f aca="false">ROUND((1-_xlfn.PERCENTRANK.INC($C$7:$C$4378,C672))*9,0)</f>
        <v>3</v>
      </c>
      <c r="G672" s="1" t="n">
        <f aca="false">ROUND(_xlfn.PERCENTRANK.INC($D$7:$D$4378,D672)*9,0)</f>
        <v>5</v>
      </c>
      <c r="H672" s="1" t="n">
        <f aca="false">ROUND(_xlfn.PERCENTRANK.INC($E$7:$E$4378,E672)*9,0)</f>
        <v>5</v>
      </c>
      <c r="I672" s="1" t="str">
        <f aca="false">CONCATENATE(F672,G672,H672)</f>
        <v>355</v>
      </c>
      <c r="J672" s="1" t="str">
        <f aca="false">_xlfn.IFS(AND(F672&gt;=8,G672&gt;=8,H672&gt;=8),"CHAMPION",AND(F672&gt;=6,G672&gt;=7,H672&gt;=6),"LOYAL CUSTOMER",AND(F672&gt;=6,G672&gt;=5,H672&gt;=5),"POTENTIAL LOYALIST",AND(F672&gt;=8,G672&lt;=2,H672&gt;=5),"NEW CUSTOMERS",AND(F672&gt;=6,G672&lt;=2,H672&gt;=3),"PROMISING",AND(F672&gt;=3,G672&gt;=3,H672&gt;=3),"NEED ATTENTION",AND(F672&lt;=4,G672&gt;=6,H672&gt;=6),"AT RISK",AND(F672&lt;=2,G672&gt;=8,H672&gt;=8),"CAN'T LOSE THEM",AND(F672&lt;=2,G672&lt;=2,H672&lt;=2),"HIBERNATING",TRUE(),"Other")</f>
        <v>NEED ATTENTION</v>
      </c>
      <c r="K672" s="1" t="n">
        <f aca="false">RANK(E672,$E$7:$E$4378)+COUNTIF($E$7:E672,E672)-1</f>
        <v>1863</v>
      </c>
    </row>
    <row r="673" customFormat="false" ht="14.25" hidden="false" customHeight="true" outlineLevel="0" collapsed="false">
      <c r="A673" s="51" t="n">
        <v>13221</v>
      </c>
      <c r="B673" s="53" t="n">
        <v>40646.7069444444</v>
      </c>
      <c r="C673" s="57" t="n">
        <f aca="false">INT($C$2)-INT(Table3[[#This Row],[Last Purchase Date]])</f>
        <v>241</v>
      </c>
      <c r="D673" s="1" t="n">
        <v>2</v>
      </c>
      <c r="E673" s="1" t="n">
        <v>847.41</v>
      </c>
      <c r="F673" s="1" t="n">
        <f aca="false">ROUND((1-_xlfn.PERCENTRANK.INC($C$7:$C$4378,C673))*9,0)</f>
        <v>1</v>
      </c>
      <c r="G673" s="1" t="n">
        <f aca="false">ROUND(_xlfn.PERCENTRANK.INC($D$7:$D$4378,D673)*9,0)</f>
        <v>3</v>
      </c>
      <c r="H673" s="1" t="n">
        <f aca="false">ROUND(_xlfn.PERCENTRANK.INC($E$7:$E$4378,E673)*9,0)</f>
        <v>5</v>
      </c>
      <c r="I673" s="1" t="str">
        <f aca="false">CONCATENATE(F673,G673,H673)</f>
        <v>135</v>
      </c>
      <c r="J673" s="1" t="str">
        <f aca="false">_xlfn.IFS(AND(F673&gt;=8,G673&gt;=8,H673&gt;=8),"CHAMPION",AND(F673&gt;=6,G673&gt;=7,H673&gt;=6),"LOYAL CUSTOMER",AND(F673&gt;=6,G673&gt;=5,H673&gt;=5),"POTENTIAL LOYALIST",AND(F673&gt;=8,G673&lt;=2,H673&gt;=5),"NEW CUSTOMERS",AND(F673&gt;=6,G673&lt;=2,H673&gt;=3),"PROMISING",AND(F673&gt;=3,G673&gt;=3,H673&gt;=3),"NEED ATTENTION",AND(F673&lt;=4,G673&gt;=6,H673&gt;=6),"AT RISK",AND(F673&lt;=2,G673&gt;=8,H673&gt;=8),"CAN'T LOSE THEM",AND(F673&lt;=2,G673&lt;=2,H673&lt;=2),"HIBERNATING",TRUE(),"Other")</f>
        <v>Other</v>
      </c>
      <c r="K673" s="1" t="n">
        <f aca="false">RANK(E673,$E$7:$E$4378)+COUNTIF($E$7:E673,E673)-1</f>
        <v>1835</v>
      </c>
    </row>
    <row r="674" customFormat="false" ht="14.25" hidden="false" customHeight="true" outlineLevel="0" collapsed="false">
      <c r="A674" s="51" t="n">
        <v>13223</v>
      </c>
      <c r="B674" s="53" t="n">
        <v>40686.54375</v>
      </c>
      <c r="C674" s="57" t="n">
        <f aca="false">INT($C$2)-INT(Table3[[#This Row],[Last Purchase Date]])</f>
        <v>201</v>
      </c>
      <c r="D674" s="1" t="n">
        <v>2</v>
      </c>
      <c r="E674" s="1" t="n">
        <v>163.2</v>
      </c>
      <c r="F674" s="1" t="n">
        <f aca="false">ROUND((1-_xlfn.PERCENTRANK.INC($C$7:$C$4378,C674))*9,0)</f>
        <v>2</v>
      </c>
      <c r="G674" s="1" t="n">
        <f aca="false">ROUND(_xlfn.PERCENTRANK.INC($D$7:$D$4378,D674)*9,0)</f>
        <v>3</v>
      </c>
      <c r="H674" s="1" t="n">
        <f aca="false">ROUND(_xlfn.PERCENTRANK.INC($E$7:$E$4378,E674)*9,0)</f>
        <v>1</v>
      </c>
      <c r="I674" s="1" t="str">
        <f aca="false">CONCATENATE(F674,G674,H674)</f>
        <v>231</v>
      </c>
      <c r="J674" s="1" t="str">
        <f aca="false">_xlfn.IFS(AND(F674&gt;=8,G674&gt;=8,H674&gt;=8),"CHAMPION",AND(F674&gt;=6,G674&gt;=7,H674&gt;=6),"LOYAL CUSTOMER",AND(F674&gt;=6,G674&gt;=5,H674&gt;=5),"POTENTIAL LOYALIST",AND(F674&gt;=8,G674&lt;=2,H674&gt;=5),"NEW CUSTOMERS",AND(F674&gt;=6,G674&lt;=2,H674&gt;=3),"PROMISING",AND(F674&gt;=3,G674&gt;=3,H674&gt;=3),"NEED ATTENTION",AND(F674&lt;=4,G674&gt;=6,H674&gt;=6),"AT RISK",AND(F674&lt;=2,G674&gt;=8,H674&gt;=8),"CAN'T LOSE THEM",AND(F674&lt;=2,G674&lt;=2,H674&lt;=2),"HIBERNATING",TRUE(),"Other")</f>
        <v>Other</v>
      </c>
      <c r="K674" s="1" t="n">
        <f aca="false">RANK(E674,$E$7:$E$4378)+COUNTIF($E$7:E674,E674)-1</f>
        <v>3840</v>
      </c>
    </row>
    <row r="675" customFormat="false" ht="14.25" hidden="false" customHeight="true" outlineLevel="0" collapsed="false">
      <c r="A675" s="51" t="n">
        <v>13224</v>
      </c>
      <c r="B675" s="53" t="n">
        <v>40826.625</v>
      </c>
      <c r="C675" s="57" t="n">
        <f aca="false">INT($C$2)-INT(Table3[[#This Row],[Last Purchase Date]])</f>
        <v>61</v>
      </c>
      <c r="D675" s="1" t="n">
        <v>3</v>
      </c>
      <c r="E675" s="1" t="n">
        <v>2150.85</v>
      </c>
      <c r="F675" s="1" t="n">
        <f aca="false">ROUND((1-_xlfn.PERCENTRANK.INC($C$7:$C$4378,C675))*9,0)</f>
        <v>4</v>
      </c>
      <c r="G675" s="1" t="n">
        <f aca="false">ROUND(_xlfn.PERCENTRANK.INC($D$7:$D$4378,D675)*9,0)</f>
        <v>4</v>
      </c>
      <c r="H675" s="1" t="n">
        <f aca="false">ROUND(_xlfn.PERCENTRANK.INC($E$7:$E$4378,E675)*9,0)</f>
        <v>7</v>
      </c>
      <c r="I675" s="1" t="str">
        <f aca="false">CONCATENATE(F675,G675,H675)</f>
        <v>447</v>
      </c>
      <c r="J675" s="1" t="str">
        <f aca="false">_xlfn.IFS(AND(F675&gt;=8,G675&gt;=8,H675&gt;=8),"CHAMPION",AND(F675&gt;=6,G675&gt;=7,H675&gt;=6),"LOYAL CUSTOMER",AND(F675&gt;=6,G675&gt;=5,H675&gt;=5),"POTENTIAL LOYALIST",AND(F675&gt;=8,G675&lt;=2,H675&gt;=5),"NEW CUSTOMERS",AND(F675&gt;=6,G675&lt;=2,H675&gt;=3),"PROMISING",AND(F675&gt;=3,G675&gt;=3,H675&gt;=3),"NEED ATTENTION",AND(F675&lt;=4,G675&gt;=6,H675&gt;=6),"AT RISK",AND(F675&lt;=2,G675&gt;=8,H675&gt;=8),"CAN'T LOSE THEM",AND(F675&lt;=2,G675&lt;=2,H675&lt;=2),"HIBERNATING",TRUE(),"Other")</f>
        <v>NEED ATTENTION</v>
      </c>
      <c r="K675" s="1" t="n">
        <f aca="false">RANK(E675,$E$7:$E$4378)+COUNTIF($E$7:E675,E675)-1</f>
        <v>803</v>
      </c>
    </row>
    <row r="676" customFormat="false" ht="14.25" hidden="false" customHeight="true" outlineLevel="0" collapsed="false">
      <c r="A676" s="51" t="n">
        <v>13225</v>
      </c>
      <c r="B676" s="53" t="n">
        <v>40883.5618055556</v>
      </c>
      <c r="C676" s="57" t="n">
        <f aca="false">INT($C$2)-INT(Table3[[#This Row],[Last Purchase Date]])</f>
        <v>4</v>
      </c>
      <c r="D676" s="1" t="n">
        <v>8</v>
      </c>
      <c r="E676" s="1" t="n">
        <v>6083.04</v>
      </c>
      <c r="F676" s="1" t="n">
        <f aca="false">ROUND((1-_xlfn.PERCENTRANK.INC($C$7:$C$4378,C676))*9,0)</f>
        <v>8</v>
      </c>
      <c r="G676" s="1" t="n">
        <f aca="false">ROUND(_xlfn.PERCENTRANK.INC($D$7:$D$4378,D676)*9,0)</f>
        <v>7</v>
      </c>
      <c r="H676" s="1" t="n">
        <f aca="false">ROUND(_xlfn.PERCENTRANK.INC($E$7:$E$4378,E676)*9,0)</f>
        <v>9</v>
      </c>
      <c r="I676" s="1" t="str">
        <f aca="false">CONCATENATE(F676,G676,H676)</f>
        <v>879</v>
      </c>
      <c r="J676" s="1" t="str">
        <f aca="false">_xlfn.IFS(AND(F676&gt;=8,G676&gt;=8,H676&gt;=8),"CHAMPION",AND(F676&gt;=6,G676&gt;=7,H676&gt;=6),"LOYAL CUSTOMER",AND(F676&gt;=6,G676&gt;=5,H676&gt;=5),"POTENTIAL LOYALIST",AND(F676&gt;=8,G676&lt;=2,H676&gt;=5),"NEW CUSTOMERS",AND(F676&gt;=6,G676&lt;=2,H676&gt;=3),"PROMISING",AND(F676&gt;=3,G676&gt;=3,H676&gt;=3),"NEED ATTENTION",AND(F676&lt;=4,G676&gt;=6,H676&gt;=6),"AT RISK",AND(F676&lt;=2,G676&gt;=8,H676&gt;=8),"CAN'T LOSE THEM",AND(F676&lt;=2,G676&lt;=2,H676&lt;=2),"HIBERNATING",TRUE(),"Other")</f>
        <v>LOYAL CUSTOMER</v>
      </c>
      <c r="K676" s="1" t="n">
        <f aca="false">RANK(E676,$E$7:$E$4378)+COUNTIF($E$7:E676,E676)-1</f>
        <v>199</v>
      </c>
    </row>
    <row r="677" customFormat="false" ht="14.25" hidden="false" customHeight="true" outlineLevel="0" collapsed="false">
      <c r="A677" s="51" t="n">
        <v>13226</v>
      </c>
      <c r="B677" s="53" t="n">
        <v>40613.6076388889</v>
      </c>
      <c r="C677" s="57" t="n">
        <f aca="false">INT($C$2)-INT(Table3[[#This Row],[Last Purchase Date]])</f>
        <v>274</v>
      </c>
      <c r="D677" s="1" t="n">
        <v>1</v>
      </c>
      <c r="E677" s="1" t="n">
        <v>108.21</v>
      </c>
      <c r="F677" s="1" t="n">
        <f aca="false">ROUND((1-_xlfn.PERCENTRANK.INC($C$7:$C$4378,C677))*9,0)</f>
        <v>1</v>
      </c>
      <c r="G677" s="1" t="n">
        <f aca="false">ROUND(_xlfn.PERCENTRANK.INC($D$7:$D$4378,D677)*9,0)</f>
        <v>0</v>
      </c>
      <c r="H677" s="1" t="n">
        <f aca="false">ROUND(_xlfn.PERCENTRANK.INC($E$7:$E$4378,E677)*9,0)</f>
        <v>1</v>
      </c>
      <c r="I677" s="1" t="str">
        <f aca="false">CONCATENATE(F677,G677,H677)</f>
        <v>101</v>
      </c>
      <c r="J677" s="1" t="str">
        <f aca="false">_xlfn.IFS(AND(F677&gt;=8,G677&gt;=8,H677&gt;=8),"CHAMPION",AND(F677&gt;=6,G677&gt;=7,H677&gt;=6),"LOYAL CUSTOMER",AND(F677&gt;=6,G677&gt;=5,H677&gt;=5),"POTENTIAL LOYALIST",AND(F677&gt;=8,G677&lt;=2,H677&gt;=5),"NEW CUSTOMERS",AND(F677&gt;=6,G677&lt;=2,H677&gt;=3),"PROMISING",AND(F677&gt;=3,G677&gt;=3,H677&gt;=3),"NEED ATTENTION",AND(F677&lt;=4,G677&gt;=6,H677&gt;=6),"AT RISK",AND(F677&lt;=2,G677&gt;=8,H677&gt;=8),"CAN'T LOSE THEM",AND(F677&lt;=2,G677&lt;=2,H677&lt;=2),"HIBERNATING",TRUE(),"Other")</f>
        <v>HIBERNATING</v>
      </c>
      <c r="K677" s="1" t="n">
        <f aca="false">RANK(E677,$E$7:$E$4378)+COUNTIF($E$7:E677,E677)-1</f>
        <v>4124</v>
      </c>
    </row>
    <row r="678" customFormat="false" ht="14.25" hidden="false" customHeight="true" outlineLevel="0" collapsed="false">
      <c r="A678" s="51" t="n">
        <v>13227</v>
      </c>
      <c r="B678" s="53" t="n">
        <v>40685.4909722222</v>
      </c>
      <c r="C678" s="57" t="n">
        <f aca="false">INT($C$2)-INT(Table3[[#This Row],[Last Purchase Date]])</f>
        <v>202</v>
      </c>
      <c r="D678" s="1" t="n">
        <v>1</v>
      </c>
      <c r="E678" s="1" t="n">
        <v>257.7</v>
      </c>
      <c r="F678" s="1" t="n">
        <f aca="false">ROUND((1-_xlfn.PERCENTRANK.INC($C$7:$C$4378,C678))*9,0)</f>
        <v>2</v>
      </c>
      <c r="G678" s="1" t="n">
        <f aca="false">ROUND(_xlfn.PERCENTRANK.INC($D$7:$D$4378,D678)*9,0)</f>
        <v>0</v>
      </c>
      <c r="H678" s="1" t="n">
        <f aca="false">ROUND(_xlfn.PERCENTRANK.INC($E$7:$E$4378,E678)*9,0)</f>
        <v>2</v>
      </c>
      <c r="I678" s="1" t="str">
        <f aca="false">CONCATENATE(F678,G678,H678)</f>
        <v>202</v>
      </c>
      <c r="J678" s="1" t="str">
        <f aca="false">_xlfn.IFS(AND(F678&gt;=8,G678&gt;=8,H678&gt;=8),"CHAMPION",AND(F678&gt;=6,G678&gt;=7,H678&gt;=6),"LOYAL CUSTOMER",AND(F678&gt;=6,G678&gt;=5,H678&gt;=5),"POTENTIAL LOYALIST",AND(F678&gt;=8,G678&lt;=2,H678&gt;=5),"NEW CUSTOMERS",AND(F678&gt;=6,G678&lt;=2,H678&gt;=3),"PROMISING",AND(F678&gt;=3,G678&gt;=3,H678&gt;=3),"NEED ATTENTION",AND(F678&lt;=4,G678&gt;=6,H678&gt;=6),"AT RISK",AND(F678&lt;=2,G678&gt;=8,H678&gt;=8),"CAN'T LOSE THEM",AND(F678&lt;=2,G678&lt;=2,H678&lt;=2),"HIBERNATING",TRUE(),"Other")</f>
        <v>HIBERNATING</v>
      </c>
      <c r="K678" s="1" t="n">
        <f aca="false">RANK(E678,$E$7:$E$4378)+COUNTIF($E$7:E678,E678)-1</f>
        <v>3406</v>
      </c>
    </row>
    <row r="679" customFormat="false" ht="14.25" hidden="false" customHeight="true" outlineLevel="0" collapsed="false">
      <c r="A679" s="51" t="n">
        <v>13228</v>
      </c>
      <c r="B679" s="53" t="n">
        <v>40805.6027777778</v>
      </c>
      <c r="C679" s="57" t="n">
        <f aca="false">INT($C$2)-INT(Table3[[#This Row],[Last Purchase Date]])</f>
        <v>82</v>
      </c>
      <c r="D679" s="1" t="n">
        <v>1</v>
      </c>
      <c r="E679" s="1" t="n">
        <v>358</v>
      </c>
      <c r="F679" s="1" t="n">
        <f aca="false">ROUND((1-_xlfn.PERCENTRANK.INC($C$7:$C$4378,C679))*9,0)</f>
        <v>3</v>
      </c>
      <c r="G679" s="1" t="n">
        <f aca="false">ROUND(_xlfn.PERCENTRANK.INC($D$7:$D$4378,D679)*9,0)</f>
        <v>0</v>
      </c>
      <c r="H679" s="1" t="n">
        <f aca="false">ROUND(_xlfn.PERCENTRANK.INC($E$7:$E$4378,E679)*9,0)</f>
        <v>3</v>
      </c>
      <c r="I679" s="1" t="str">
        <f aca="false">CONCATENATE(F679,G679,H679)</f>
        <v>303</v>
      </c>
      <c r="J679" s="1" t="str">
        <f aca="false">_xlfn.IFS(AND(F679&gt;=8,G679&gt;=8,H679&gt;=8),"CHAMPION",AND(F679&gt;=6,G679&gt;=7,H679&gt;=6),"LOYAL CUSTOMER",AND(F679&gt;=6,G679&gt;=5,H679&gt;=5),"POTENTIAL LOYALIST",AND(F679&gt;=8,G679&lt;=2,H679&gt;=5),"NEW CUSTOMERS",AND(F679&gt;=6,G679&lt;=2,H679&gt;=3),"PROMISING",AND(F679&gt;=3,G679&gt;=3,H679&gt;=3),"NEED ATTENTION",AND(F679&lt;=4,G679&gt;=6,H679&gt;=6),"AT RISK",AND(F679&lt;=2,G679&gt;=8,H679&gt;=8),"CAN'T LOSE THEM",AND(F679&lt;=2,G679&lt;=2,H679&lt;=2),"HIBERNATING",TRUE(),"Other")</f>
        <v>Other</v>
      </c>
      <c r="K679" s="1" t="n">
        <f aca="false">RANK(E679,$E$7:$E$4378)+COUNTIF($E$7:E679,E679)-1</f>
        <v>2973</v>
      </c>
    </row>
    <row r="680" customFormat="false" ht="14.25" hidden="false" customHeight="true" outlineLevel="0" collapsed="false">
      <c r="A680" s="51" t="n">
        <v>13229</v>
      </c>
      <c r="B680" s="53" t="n">
        <v>40661.5048611111</v>
      </c>
      <c r="C680" s="57" t="n">
        <f aca="false">INT($C$2)-INT(Table3[[#This Row],[Last Purchase Date]])</f>
        <v>226</v>
      </c>
      <c r="D680" s="1" t="n">
        <v>1</v>
      </c>
      <c r="E680" s="1" t="n">
        <v>160.95</v>
      </c>
      <c r="F680" s="1" t="n">
        <f aca="false">ROUND((1-_xlfn.PERCENTRANK.INC($C$7:$C$4378,C680))*9,0)</f>
        <v>1</v>
      </c>
      <c r="G680" s="1" t="n">
        <f aca="false">ROUND(_xlfn.PERCENTRANK.INC($D$7:$D$4378,D680)*9,0)</f>
        <v>0</v>
      </c>
      <c r="H680" s="1" t="n">
        <f aca="false">ROUND(_xlfn.PERCENTRANK.INC($E$7:$E$4378,E680)*9,0)</f>
        <v>1</v>
      </c>
      <c r="I680" s="1" t="str">
        <f aca="false">CONCATENATE(F680,G680,H680)</f>
        <v>101</v>
      </c>
      <c r="J680" s="1" t="str">
        <f aca="false">_xlfn.IFS(AND(F680&gt;=8,G680&gt;=8,H680&gt;=8),"CHAMPION",AND(F680&gt;=6,G680&gt;=7,H680&gt;=6),"LOYAL CUSTOMER",AND(F680&gt;=6,G680&gt;=5,H680&gt;=5),"POTENTIAL LOYALIST",AND(F680&gt;=8,G680&lt;=2,H680&gt;=5),"NEW CUSTOMERS",AND(F680&gt;=6,G680&lt;=2,H680&gt;=3),"PROMISING",AND(F680&gt;=3,G680&gt;=3,H680&gt;=3),"NEED ATTENTION",AND(F680&lt;=4,G680&gt;=6,H680&gt;=6),"AT RISK",AND(F680&lt;=2,G680&gt;=8,H680&gt;=8),"CAN'T LOSE THEM",AND(F680&lt;=2,G680&lt;=2,H680&lt;=2),"HIBERNATING",TRUE(),"Other")</f>
        <v>HIBERNATING</v>
      </c>
      <c r="K680" s="1" t="n">
        <f aca="false">RANK(E680,$E$7:$E$4378)+COUNTIF($E$7:E680,E680)-1</f>
        <v>3855</v>
      </c>
    </row>
    <row r="681" customFormat="false" ht="14.25" hidden="false" customHeight="true" outlineLevel="0" collapsed="false">
      <c r="A681" s="51" t="n">
        <v>13230</v>
      </c>
      <c r="B681" s="53" t="n">
        <v>40882.66875</v>
      </c>
      <c r="C681" s="57" t="n">
        <f aca="false">INT($C$2)-INT(Table3[[#This Row],[Last Purchase Date]])</f>
        <v>5</v>
      </c>
      <c r="D681" s="1" t="n">
        <v>15</v>
      </c>
      <c r="E681" s="1" t="n">
        <v>2763.41</v>
      </c>
      <c r="F681" s="1" t="n">
        <f aca="false">ROUND((1-_xlfn.PERCENTRANK.INC($C$7:$C$4378,C681))*9,0)</f>
        <v>8</v>
      </c>
      <c r="G681" s="1" t="n">
        <f aca="false">ROUND(_xlfn.PERCENTRANK.INC($D$7:$D$4378,D681)*9,0)</f>
        <v>8</v>
      </c>
      <c r="H681" s="1" t="n">
        <f aca="false">ROUND(_xlfn.PERCENTRANK.INC($E$7:$E$4378,E681)*9,0)</f>
        <v>8</v>
      </c>
      <c r="I681" s="1" t="str">
        <f aca="false">CONCATENATE(F681,G681,H681)</f>
        <v>888</v>
      </c>
      <c r="J681" s="1" t="str">
        <f aca="false">_xlfn.IFS(AND(F681&gt;=8,G681&gt;=8,H681&gt;=8),"CHAMPION",AND(F681&gt;=6,G681&gt;=7,H681&gt;=6),"LOYAL CUSTOMER",AND(F681&gt;=6,G681&gt;=5,H681&gt;=5),"POTENTIAL LOYALIST",AND(F681&gt;=8,G681&lt;=2,H681&gt;=5),"NEW CUSTOMERS",AND(F681&gt;=6,G681&lt;=2,H681&gt;=3),"PROMISING",AND(F681&gt;=3,G681&gt;=3,H681&gt;=3),"NEED ATTENTION",AND(F681&lt;=4,G681&gt;=6,H681&gt;=6),"AT RISK",AND(F681&lt;=2,G681&gt;=8,H681&gt;=8),"CAN'T LOSE THEM",AND(F681&lt;=2,G681&lt;=2,H681&lt;=2),"HIBERNATING",TRUE(),"Other")</f>
        <v>CHAMPION</v>
      </c>
      <c r="K681" s="1" t="n">
        <f aca="false">RANK(E681,$E$7:$E$4378)+COUNTIF($E$7:E681,E681)-1</f>
        <v>594</v>
      </c>
    </row>
    <row r="682" customFormat="false" ht="14.25" hidden="false" customHeight="true" outlineLevel="0" collapsed="false">
      <c r="A682" s="51" t="n">
        <v>13232</v>
      </c>
      <c r="B682" s="53" t="n">
        <v>40874.44375</v>
      </c>
      <c r="C682" s="57" t="n">
        <f aca="false">INT($C$2)-INT(Table3[[#This Row],[Last Purchase Date]])</f>
        <v>13</v>
      </c>
      <c r="D682" s="1" t="n">
        <v>7</v>
      </c>
      <c r="E682" s="1" t="n">
        <v>1357.6</v>
      </c>
      <c r="F682" s="1" t="n">
        <f aca="false">ROUND((1-_xlfn.PERCENTRANK.INC($C$7:$C$4378,C682))*9,0)</f>
        <v>7</v>
      </c>
      <c r="G682" s="1" t="n">
        <f aca="false">ROUND(_xlfn.PERCENTRANK.INC($D$7:$D$4378,D682)*9,0)</f>
        <v>7</v>
      </c>
      <c r="H682" s="1" t="n">
        <f aca="false">ROUND(_xlfn.PERCENTRANK.INC($E$7:$E$4378,E682)*9,0)</f>
        <v>6</v>
      </c>
      <c r="I682" s="1" t="str">
        <f aca="false">CONCATENATE(F682,G682,H682)</f>
        <v>776</v>
      </c>
      <c r="J682" s="1" t="str">
        <f aca="false">_xlfn.IFS(AND(F682&gt;=8,G682&gt;=8,H682&gt;=8),"CHAMPION",AND(F682&gt;=6,G682&gt;=7,H682&gt;=6),"LOYAL CUSTOMER",AND(F682&gt;=6,G682&gt;=5,H682&gt;=5),"POTENTIAL LOYALIST",AND(F682&gt;=8,G682&lt;=2,H682&gt;=5),"NEW CUSTOMERS",AND(F682&gt;=6,G682&lt;=2,H682&gt;=3),"PROMISING",AND(F682&gt;=3,G682&gt;=3,H682&gt;=3),"NEED ATTENTION",AND(F682&lt;=4,G682&gt;=6,H682&gt;=6),"AT RISK",AND(F682&lt;=2,G682&gt;=8,H682&gt;=8),"CAN'T LOSE THEM",AND(F682&lt;=2,G682&lt;=2,H682&lt;=2),"HIBERNATING",TRUE(),"Other")</f>
        <v>LOYAL CUSTOMER</v>
      </c>
      <c r="K682" s="1" t="n">
        <f aca="false">RANK(E682,$E$7:$E$4378)+COUNTIF($E$7:E682,E682)-1</f>
        <v>1266</v>
      </c>
    </row>
    <row r="683" customFormat="false" ht="14.25" hidden="false" customHeight="true" outlineLevel="0" collapsed="false">
      <c r="A683" s="51" t="n">
        <v>13233</v>
      </c>
      <c r="B683" s="53" t="n">
        <v>40812.5590277778</v>
      </c>
      <c r="C683" s="57" t="n">
        <f aca="false">INT($C$2)-INT(Table3[[#This Row],[Last Purchase Date]])</f>
        <v>75</v>
      </c>
      <c r="D683" s="1" t="n">
        <v>2</v>
      </c>
      <c r="E683" s="1" t="n">
        <v>605.12</v>
      </c>
      <c r="F683" s="1" t="n">
        <f aca="false">ROUND((1-_xlfn.PERCENTRANK.INC($C$7:$C$4378,C683))*9,0)</f>
        <v>3</v>
      </c>
      <c r="G683" s="1" t="n">
        <f aca="false">ROUND(_xlfn.PERCENTRANK.INC($D$7:$D$4378,D683)*9,0)</f>
        <v>3</v>
      </c>
      <c r="H683" s="1" t="n">
        <f aca="false">ROUND(_xlfn.PERCENTRANK.INC($E$7:$E$4378,E683)*9,0)</f>
        <v>4</v>
      </c>
      <c r="I683" s="1" t="str">
        <f aca="false">CONCATENATE(F683,G683,H683)</f>
        <v>334</v>
      </c>
      <c r="J683" s="1" t="str">
        <f aca="false">_xlfn.IFS(AND(F683&gt;=8,G683&gt;=8,H683&gt;=8),"CHAMPION",AND(F683&gt;=6,G683&gt;=7,H683&gt;=6),"LOYAL CUSTOMER",AND(F683&gt;=6,G683&gt;=5,H683&gt;=5),"POTENTIAL LOYALIST",AND(F683&gt;=8,G683&lt;=2,H683&gt;=5),"NEW CUSTOMERS",AND(F683&gt;=6,G683&lt;=2,H683&gt;=3),"PROMISING",AND(F683&gt;=3,G683&gt;=3,H683&gt;=3),"NEED ATTENTION",AND(F683&lt;=4,G683&gt;=6,H683&gt;=6),"AT RISK",AND(F683&lt;=2,G683&gt;=8,H683&gt;=8),"CAN'T LOSE THEM",AND(F683&lt;=2,G683&lt;=2,H683&lt;=2),"HIBERNATING",TRUE(),"Other")</f>
        <v>NEED ATTENTION</v>
      </c>
      <c r="K683" s="1" t="n">
        <f aca="false">RANK(E683,$E$7:$E$4378)+COUNTIF($E$7:E683,E683)-1</f>
        <v>2297</v>
      </c>
    </row>
    <row r="684" customFormat="false" ht="14.25" hidden="false" customHeight="true" outlineLevel="0" collapsed="false">
      <c r="A684" s="51" t="n">
        <v>13235</v>
      </c>
      <c r="B684" s="53" t="n">
        <v>40675.4083333333</v>
      </c>
      <c r="C684" s="57" t="n">
        <f aca="false">INT($C$2)-INT(Table3[[#This Row],[Last Purchase Date]])</f>
        <v>212</v>
      </c>
      <c r="D684" s="1" t="n">
        <v>2</v>
      </c>
      <c r="E684" s="1" t="n">
        <v>101.17</v>
      </c>
      <c r="F684" s="1" t="n">
        <f aca="false">ROUND((1-_xlfn.PERCENTRANK.INC($C$7:$C$4378,C684))*9,0)</f>
        <v>1</v>
      </c>
      <c r="G684" s="1" t="n">
        <f aca="false">ROUND(_xlfn.PERCENTRANK.INC($D$7:$D$4378,D684)*9,0)</f>
        <v>3</v>
      </c>
      <c r="H684" s="1" t="n">
        <f aca="false">ROUND(_xlfn.PERCENTRANK.INC($E$7:$E$4378,E684)*9,0)</f>
        <v>0</v>
      </c>
      <c r="I684" s="1" t="str">
        <f aca="false">CONCATENATE(F684,G684,H684)</f>
        <v>130</v>
      </c>
      <c r="J684" s="1" t="str">
        <f aca="false">_xlfn.IFS(AND(F684&gt;=8,G684&gt;=8,H684&gt;=8),"CHAMPION",AND(F684&gt;=6,G684&gt;=7,H684&gt;=6),"LOYAL CUSTOMER",AND(F684&gt;=6,G684&gt;=5,H684&gt;=5),"POTENTIAL LOYALIST",AND(F684&gt;=8,G684&lt;=2,H684&gt;=5),"NEW CUSTOMERS",AND(F684&gt;=6,G684&lt;=2,H684&gt;=3),"PROMISING",AND(F684&gt;=3,G684&gt;=3,H684&gt;=3),"NEED ATTENTION",AND(F684&lt;=4,G684&gt;=6,H684&gt;=6),"AT RISK",AND(F684&lt;=2,G684&gt;=8,H684&gt;=8),"CAN'T LOSE THEM",AND(F684&lt;=2,G684&lt;=2,H684&lt;=2),"HIBERNATING",TRUE(),"Other")</f>
        <v>Other</v>
      </c>
      <c r="K684" s="1" t="n">
        <f aca="false">RANK(E684,$E$7:$E$4378)+COUNTIF($E$7:E684,E684)-1</f>
        <v>4153</v>
      </c>
    </row>
    <row r="685" customFormat="false" ht="14.25" hidden="false" customHeight="true" outlineLevel="0" collapsed="false">
      <c r="A685" s="51" t="n">
        <v>13236</v>
      </c>
      <c r="B685" s="53" t="n">
        <v>40862.5347222222</v>
      </c>
      <c r="C685" s="57" t="n">
        <f aca="false">INT($C$2)-INT(Table3[[#This Row],[Last Purchase Date]])</f>
        <v>25</v>
      </c>
      <c r="D685" s="1" t="n">
        <v>3</v>
      </c>
      <c r="E685" s="1" t="n">
        <v>727.27</v>
      </c>
      <c r="F685" s="1" t="n">
        <f aca="false">ROUND((1-_xlfn.PERCENTRANK.INC($C$7:$C$4378,C685))*9,0)</f>
        <v>6</v>
      </c>
      <c r="G685" s="1" t="n">
        <f aca="false">ROUND(_xlfn.PERCENTRANK.INC($D$7:$D$4378,D685)*9,0)</f>
        <v>4</v>
      </c>
      <c r="H685" s="1" t="n">
        <f aca="false">ROUND(_xlfn.PERCENTRANK.INC($E$7:$E$4378,E685)*9,0)</f>
        <v>5</v>
      </c>
      <c r="I685" s="1" t="str">
        <f aca="false">CONCATENATE(F685,G685,H685)</f>
        <v>645</v>
      </c>
      <c r="J685" s="1" t="str">
        <f aca="false">_xlfn.IFS(AND(F685&gt;=8,G685&gt;=8,H685&gt;=8),"CHAMPION",AND(F685&gt;=6,G685&gt;=7,H685&gt;=6),"LOYAL CUSTOMER",AND(F685&gt;=6,G685&gt;=5,H685&gt;=5),"POTENTIAL LOYALIST",AND(F685&gt;=8,G685&lt;=2,H685&gt;=5),"NEW CUSTOMERS",AND(F685&gt;=6,G685&lt;=2,H685&gt;=3),"PROMISING",AND(F685&gt;=3,G685&gt;=3,H685&gt;=3),"NEED ATTENTION",AND(F685&lt;=4,G685&gt;=6,H685&gt;=6),"AT RISK",AND(F685&lt;=2,G685&gt;=8,H685&gt;=8),"CAN'T LOSE THEM",AND(F685&lt;=2,G685&lt;=2,H685&lt;=2),"HIBERNATING",TRUE(),"Other")</f>
        <v>NEED ATTENTION</v>
      </c>
      <c r="K685" s="1" t="n">
        <f aca="false">RANK(E685,$E$7:$E$4378)+COUNTIF($E$7:E685,E685)-1</f>
        <v>2014</v>
      </c>
    </row>
    <row r="686" customFormat="false" ht="14.25" hidden="false" customHeight="true" outlineLevel="0" collapsed="false">
      <c r="A686" s="51" t="n">
        <v>13238</v>
      </c>
      <c r="B686" s="53" t="n">
        <v>40875.6458333333</v>
      </c>
      <c r="C686" s="57" t="n">
        <f aca="false">INT($C$2)-INT(Table3[[#This Row],[Last Purchase Date]])</f>
        <v>12</v>
      </c>
      <c r="D686" s="1" t="n">
        <v>5</v>
      </c>
      <c r="E686" s="1" t="n">
        <v>680.83</v>
      </c>
      <c r="F686" s="1" t="n">
        <f aca="false">ROUND((1-_xlfn.PERCENTRANK.INC($C$7:$C$4378,C686))*9,0)</f>
        <v>7</v>
      </c>
      <c r="G686" s="1" t="n">
        <f aca="false">ROUND(_xlfn.PERCENTRANK.INC($D$7:$D$4378,D686)*9,0)</f>
        <v>6</v>
      </c>
      <c r="H686" s="1" t="n">
        <f aca="false">ROUND(_xlfn.PERCENTRANK.INC($E$7:$E$4378,E686)*9,0)</f>
        <v>5</v>
      </c>
      <c r="I686" s="1" t="str">
        <f aca="false">CONCATENATE(F686,G686,H686)</f>
        <v>765</v>
      </c>
      <c r="J686" s="1" t="str">
        <f aca="false">_xlfn.IFS(AND(F686&gt;=8,G686&gt;=8,H686&gt;=8),"CHAMPION",AND(F686&gt;=6,G686&gt;=7,H686&gt;=6),"LOYAL CUSTOMER",AND(F686&gt;=6,G686&gt;=5,H686&gt;=5),"POTENTIAL LOYALIST",AND(F686&gt;=8,G686&lt;=2,H686&gt;=5),"NEW CUSTOMERS",AND(F686&gt;=6,G686&lt;=2,H686&gt;=3),"PROMISING",AND(F686&gt;=3,G686&gt;=3,H686&gt;=3),"NEED ATTENTION",AND(F686&lt;=4,G686&gt;=6,H686&gt;=6),"AT RISK",AND(F686&lt;=2,G686&gt;=8,H686&gt;=8),"CAN'T LOSE THEM",AND(F686&lt;=2,G686&lt;=2,H686&lt;=2),"HIBERNATING",TRUE(),"Other")</f>
        <v>POTENTIAL LOYALIST</v>
      </c>
      <c r="K686" s="1" t="n">
        <f aca="false">RANK(E686,$E$7:$E$4378)+COUNTIF($E$7:E686,E686)-1</f>
        <v>2103</v>
      </c>
    </row>
    <row r="687" customFormat="false" ht="14.25" hidden="false" customHeight="true" outlineLevel="0" collapsed="false">
      <c r="A687" s="51" t="n">
        <v>13239</v>
      </c>
      <c r="B687" s="53" t="n">
        <v>40625.4340277778</v>
      </c>
      <c r="C687" s="57" t="n">
        <f aca="false">INT($C$2)-INT(Table3[[#This Row],[Last Purchase Date]])</f>
        <v>262</v>
      </c>
      <c r="D687" s="1" t="n">
        <v>1</v>
      </c>
      <c r="E687" s="1" t="n">
        <v>329.56</v>
      </c>
      <c r="F687" s="1" t="n">
        <f aca="false">ROUND((1-_xlfn.PERCENTRANK.INC($C$7:$C$4378,C687))*9,0)</f>
        <v>1</v>
      </c>
      <c r="G687" s="1" t="n">
        <f aca="false">ROUND(_xlfn.PERCENTRANK.INC($D$7:$D$4378,D687)*9,0)</f>
        <v>0</v>
      </c>
      <c r="H687" s="1" t="n">
        <f aca="false">ROUND(_xlfn.PERCENTRANK.INC($E$7:$E$4378,E687)*9,0)</f>
        <v>3</v>
      </c>
      <c r="I687" s="1" t="str">
        <f aca="false">CONCATENATE(F687,G687,H687)</f>
        <v>103</v>
      </c>
      <c r="J687" s="1" t="str">
        <f aca="false">_xlfn.IFS(AND(F687&gt;=8,G687&gt;=8,H687&gt;=8),"CHAMPION",AND(F687&gt;=6,G687&gt;=7,H687&gt;=6),"LOYAL CUSTOMER",AND(F687&gt;=6,G687&gt;=5,H687&gt;=5),"POTENTIAL LOYALIST",AND(F687&gt;=8,G687&lt;=2,H687&gt;=5),"NEW CUSTOMERS",AND(F687&gt;=6,G687&lt;=2,H687&gt;=3),"PROMISING",AND(F687&gt;=3,G687&gt;=3,H687&gt;=3),"NEED ATTENTION",AND(F687&lt;=4,G687&gt;=6,H687&gt;=6),"AT RISK",AND(F687&lt;=2,G687&gt;=8,H687&gt;=8),"CAN'T LOSE THEM",AND(F687&lt;=2,G687&lt;=2,H687&lt;=2),"HIBERNATING",TRUE(),"Other")</f>
        <v>Other</v>
      </c>
      <c r="K687" s="1" t="n">
        <f aca="false">RANK(E687,$E$7:$E$4378)+COUNTIF($E$7:E687,E687)-1</f>
        <v>3099</v>
      </c>
    </row>
    <row r="688" customFormat="false" ht="14.25" hidden="false" customHeight="true" outlineLevel="0" collapsed="false">
      <c r="A688" s="51" t="n">
        <v>13240</v>
      </c>
      <c r="B688" s="53" t="n">
        <v>40790.5888888889</v>
      </c>
      <c r="C688" s="57" t="n">
        <f aca="false">INT($C$2)-INT(Table3[[#This Row],[Last Purchase Date]])</f>
        <v>97</v>
      </c>
      <c r="D688" s="1" t="n">
        <v>4</v>
      </c>
      <c r="E688" s="1" t="n">
        <v>663.65</v>
      </c>
      <c r="F688" s="1" t="n">
        <f aca="false">ROUND((1-_xlfn.PERCENTRANK.INC($C$7:$C$4378,C688))*9,0)</f>
        <v>3</v>
      </c>
      <c r="G688" s="1" t="n">
        <f aca="false">ROUND(_xlfn.PERCENTRANK.INC($D$7:$D$4378,D688)*9,0)</f>
        <v>5</v>
      </c>
      <c r="H688" s="1" t="n">
        <f aca="false">ROUND(_xlfn.PERCENTRANK.INC($E$7:$E$4378,E688)*9,0)</f>
        <v>5</v>
      </c>
      <c r="I688" s="1" t="str">
        <f aca="false">CONCATENATE(F688,G688,H688)</f>
        <v>355</v>
      </c>
      <c r="J688" s="1" t="str">
        <f aca="false">_xlfn.IFS(AND(F688&gt;=8,G688&gt;=8,H688&gt;=8),"CHAMPION",AND(F688&gt;=6,G688&gt;=7,H688&gt;=6),"LOYAL CUSTOMER",AND(F688&gt;=6,G688&gt;=5,H688&gt;=5),"POTENTIAL LOYALIST",AND(F688&gt;=8,G688&lt;=2,H688&gt;=5),"NEW CUSTOMERS",AND(F688&gt;=6,G688&lt;=2,H688&gt;=3),"PROMISING",AND(F688&gt;=3,G688&gt;=3,H688&gt;=3),"NEED ATTENTION",AND(F688&lt;=4,G688&gt;=6,H688&gt;=6),"AT RISK",AND(F688&lt;=2,G688&gt;=8,H688&gt;=8),"CAN'T LOSE THEM",AND(F688&lt;=2,G688&lt;=2,H688&lt;=2),"HIBERNATING",TRUE(),"Other")</f>
        <v>NEED ATTENTION</v>
      </c>
      <c r="K688" s="1" t="n">
        <f aca="false">RANK(E688,$E$7:$E$4378)+COUNTIF($E$7:E688,E688)-1</f>
        <v>2147</v>
      </c>
    </row>
    <row r="689" customFormat="false" ht="14.25" hidden="false" customHeight="true" outlineLevel="0" collapsed="false">
      <c r="A689" s="51" t="n">
        <v>13242</v>
      </c>
      <c r="B689" s="53" t="n">
        <v>40774.5368055556</v>
      </c>
      <c r="C689" s="57" t="n">
        <f aca="false">INT($C$2)-INT(Table3[[#This Row],[Last Purchase Date]])</f>
        <v>113</v>
      </c>
      <c r="D689" s="1" t="n">
        <v>3</v>
      </c>
      <c r="E689" s="1" t="n">
        <v>270.4</v>
      </c>
      <c r="F689" s="1" t="n">
        <f aca="false">ROUND((1-_xlfn.PERCENTRANK.INC($C$7:$C$4378,C689))*9,0)</f>
        <v>3</v>
      </c>
      <c r="G689" s="1" t="n">
        <f aca="false">ROUND(_xlfn.PERCENTRANK.INC($D$7:$D$4378,D689)*9,0)</f>
        <v>4</v>
      </c>
      <c r="H689" s="1" t="n">
        <f aca="false">ROUND(_xlfn.PERCENTRANK.INC($E$7:$E$4378,E689)*9,0)</f>
        <v>2</v>
      </c>
      <c r="I689" s="1" t="str">
        <f aca="false">CONCATENATE(F689,G689,H689)</f>
        <v>342</v>
      </c>
      <c r="J689" s="1" t="str">
        <f aca="false">_xlfn.IFS(AND(F689&gt;=8,G689&gt;=8,H689&gt;=8),"CHAMPION",AND(F689&gt;=6,G689&gt;=7,H689&gt;=6),"LOYAL CUSTOMER",AND(F689&gt;=6,G689&gt;=5,H689&gt;=5),"POTENTIAL LOYALIST",AND(F689&gt;=8,G689&lt;=2,H689&gt;=5),"NEW CUSTOMERS",AND(F689&gt;=6,G689&lt;=2,H689&gt;=3),"PROMISING",AND(F689&gt;=3,G689&gt;=3,H689&gt;=3),"NEED ATTENTION",AND(F689&lt;=4,G689&gt;=6,H689&gt;=6),"AT RISK",AND(F689&lt;=2,G689&gt;=8,H689&gt;=8),"CAN'T LOSE THEM",AND(F689&lt;=2,G689&lt;=2,H689&lt;=2),"HIBERNATING",TRUE(),"Other")</f>
        <v>Other</v>
      </c>
      <c r="K689" s="1" t="n">
        <f aca="false">RANK(E689,$E$7:$E$4378)+COUNTIF($E$7:E689,E689)-1</f>
        <v>3364</v>
      </c>
    </row>
    <row r="690" customFormat="false" ht="14.25" hidden="false" customHeight="true" outlineLevel="0" collapsed="false">
      <c r="A690" s="51" t="n">
        <v>13243</v>
      </c>
      <c r="B690" s="53" t="n">
        <v>40683.5513888889</v>
      </c>
      <c r="C690" s="57" t="n">
        <f aca="false">INT($C$2)-INT(Table3[[#This Row],[Last Purchase Date]])</f>
        <v>204</v>
      </c>
      <c r="D690" s="1" t="n">
        <v>1</v>
      </c>
      <c r="E690" s="1" t="n">
        <v>600.07</v>
      </c>
      <c r="F690" s="1" t="n">
        <f aca="false">ROUND((1-_xlfn.PERCENTRANK.INC($C$7:$C$4378,C690))*9,0)</f>
        <v>2</v>
      </c>
      <c r="G690" s="1" t="n">
        <f aca="false">ROUND(_xlfn.PERCENTRANK.INC($D$7:$D$4378,D690)*9,0)</f>
        <v>0</v>
      </c>
      <c r="H690" s="1" t="n">
        <f aca="false">ROUND(_xlfn.PERCENTRANK.INC($E$7:$E$4378,E690)*9,0)</f>
        <v>4</v>
      </c>
      <c r="I690" s="1" t="str">
        <f aca="false">CONCATENATE(F690,G690,H690)</f>
        <v>204</v>
      </c>
      <c r="J690" s="1" t="str">
        <f aca="false">_xlfn.IFS(AND(F690&gt;=8,G690&gt;=8,H690&gt;=8),"CHAMPION",AND(F690&gt;=6,G690&gt;=7,H690&gt;=6),"LOYAL CUSTOMER",AND(F690&gt;=6,G690&gt;=5,H690&gt;=5),"POTENTIAL LOYALIST",AND(F690&gt;=8,G690&lt;=2,H690&gt;=5),"NEW CUSTOMERS",AND(F690&gt;=6,G690&lt;=2,H690&gt;=3),"PROMISING",AND(F690&gt;=3,G690&gt;=3,H690&gt;=3),"NEED ATTENTION",AND(F690&lt;=4,G690&gt;=6,H690&gt;=6),"AT RISK",AND(F690&lt;=2,G690&gt;=8,H690&gt;=8),"CAN'T LOSE THEM",AND(F690&lt;=2,G690&lt;=2,H690&lt;=2),"HIBERNATING",TRUE(),"Other")</f>
        <v>Other</v>
      </c>
      <c r="K690" s="1" t="n">
        <f aca="false">RANK(E690,$E$7:$E$4378)+COUNTIF($E$7:E690,E690)-1</f>
        <v>2316</v>
      </c>
    </row>
    <row r="691" customFormat="false" ht="14.25" hidden="false" customHeight="true" outlineLevel="0" collapsed="false">
      <c r="A691" s="51" t="n">
        <v>13244</v>
      </c>
      <c r="B691" s="53" t="n">
        <v>40794.4902777778</v>
      </c>
      <c r="C691" s="57" t="n">
        <f aca="false">INT($C$2)-INT(Table3[[#This Row],[Last Purchase Date]])</f>
        <v>93</v>
      </c>
      <c r="D691" s="1" t="n">
        <v>1</v>
      </c>
      <c r="E691" s="1" t="n">
        <v>121.74</v>
      </c>
      <c r="F691" s="1" t="n">
        <f aca="false">ROUND((1-_xlfn.PERCENTRANK.INC($C$7:$C$4378,C691))*9,0)</f>
        <v>3</v>
      </c>
      <c r="G691" s="1" t="n">
        <f aca="false">ROUND(_xlfn.PERCENTRANK.INC($D$7:$D$4378,D691)*9,0)</f>
        <v>0</v>
      </c>
      <c r="H691" s="1" t="n">
        <f aca="false">ROUND(_xlfn.PERCENTRANK.INC($E$7:$E$4378,E691)*9,0)</f>
        <v>1</v>
      </c>
      <c r="I691" s="1" t="str">
        <f aca="false">CONCATENATE(F691,G691,H691)</f>
        <v>301</v>
      </c>
      <c r="J691" s="1" t="str">
        <f aca="false">_xlfn.IFS(AND(F691&gt;=8,G691&gt;=8,H691&gt;=8),"CHAMPION",AND(F691&gt;=6,G691&gt;=7,H691&gt;=6),"LOYAL CUSTOMER",AND(F691&gt;=6,G691&gt;=5,H691&gt;=5),"POTENTIAL LOYALIST",AND(F691&gt;=8,G691&lt;=2,H691&gt;=5),"NEW CUSTOMERS",AND(F691&gt;=6,G691&lt;=2,H691&gt;=3),"PROMISING",AND(F691&gt;=3,G691&gt;=3,H691&gt;=3),"NEED ATTENTION",AND(F691&lt;=4,G691&gt;=6,H691&gt;=6),"AT RISK",AND(F691&lt;=2,G691&gt;=8,H691&gt;=8),"CAN'T LOSE THEM",AND(F691&lt;=2,G691&lt;=2,H691&lt;=2),"HIBERNATING",TRUE(),"Other")</f>
        <v>Other</v>
      </c>
      <c r="K691" s="1" t="n">
        <f aca="false">RANK(E691,$E$7:$E$4378)+COUNTIF($E$7:E691,E691)-1</f>
        <v>4042</v>
      </c>
    </row>
    <row r="692" customFormat="false" ht="14.25" hidden="false" customHeight="true" outlineLevel="0" collapsed="false">
      <c r="A692" s="51" t="n">
        <v>13245</v>
      </c>
      <c r="B692" s="53" t="n">
        <v>40836.4861111111</v>
      </c>
      <c r="C692" s="57" t="n">
        <f aca="false">INT($C$2)-INT(Table3[[#This Row],[Last Purchase Date]])</f>
        <v>51</v>
      </c>
      <c r="D692" s="1" t="n">
        <v>1</v>
      </c>
      <c r="E692" s="1" t="n">
        <v>430.5</v>
      </c>
      <c r="F692" s="1" t="n">
        <f aca="false">ROUND((1-_xlfn.PERCENTRANK.INC($C$7:$C$4378,C692))*9,0)</f>
        <v>5</v>
      </c>
      <c r="G692" s="1" t="n">
        <f aca="false">ROUND(_xlfn.PERCENTRANK.INC($D$7:$D$4378,D692)*9,0)</f>
        <v>0</v>
      </c>
      <c r="H692" s="1" t="n">
        <f aca="false">ROUND(_xlfn.PERCENTRANK.INC($E$7:$E$4378,E692)*9,0)</f>
        <v>3</v>
      </c>
      <c r="I692" s="1" t="str">
        <f aca="false">CONCATENATE(F692,G692,H692)</f>
        <v>503</v>
      </c>
      <c r="J692" s="1" t="str">
        <f aca="false">_xlfn.IFS(AND(F692&gt;=8,G692&gt;=8,H692&gt;=8),"CHAMPION",AND(F692&gt;=6,G692&gt;=7,H692&gt;=6),"LOYAL CUSTOMER",AND(F692&gt;=6,G692&gt;=5,H692&gt;=5),"POTENTIAL LOYALIST",AND(F692&gt;=8,G692&lt;=2,H692&gt;=5),"NEW CUSTOMERS",AND(F692&gt;=6,G692&lt;=2,H692&gt;=3),"PROMISING",AND(F692&gt;=3,G692&gt;=3,H692&gt;=3),"NEED ATTENTION",AND(F692&lt;=4,G692&gt;=6,H692&gt;=6),"AT RISK",AND(F692&lt;=2,G692&gt;=8,H692&gt;=8),"CAN'T LOSE THEM",AND(F692&lt;=2,G692&lt;=2,H692&lt;=2),"HIBERNATING",TRUE(),"Other")</f>
        <v>Other</v>
      </c>
      <c r="K692" s="1" t="n">
        <f aca="false">RANK(E692,$E$7:$E$4378)+COUNTIF($E$7:E692,E692)-1</f>
        <v>2717</v>
      </c>
    </row>
    <row r="693" customFormat="false" ht="14.25" hidden="false" customHeight="true" outlineLevel="0" collapsed="false">
      <c r="A693" s="51" t="n">
        <v>13246</v>
      </c>
      <c r="B693" s="53" t="n">
        <v>40868.7013888889</v>
      </c>
      <c r="C693" s="57" t="n">
        <f aca="false">INT($C$2)-INT(Table3[[#This Row],[Last Purchase Date]])</f>
        <v>19</v>
      </c>
      <c r="D693" s="1" t="n">
        <v>7</v>
      </c>
      <c r="E693" s="1" t="n">
        <v>1922.1</v>
      </c>
      <c r="F693" s="1" t="n">
        <f aca="false">ROUND((1-_xlfn.PERCENTRANK.INC($C$7:$C$4378,C693))*9,0)</f>
        <v>7</v>
      </c>
      <c r="G693" s="1" t="n">
        <f aca="false">ROUND(_xlfn.PERCENTRANK.INC($D$7:$D$4378,D693)*9,0)</f>
        <v>7</v>
      </c>
      <c r="H693" s="1" t="n">
        <f aca="false">ROUND(_xlfn.PERCENTRANK.INC($E$7:$E$4378,E693)*9,0)</f>
        <v>7</v>
      </c>
      <c r="I693" s="1" t="str">
        <f aca="false">CONCATENATE(F693,G693,H693)</f>
        <v>777</v>
      </c>
      <c r="J693" s="1" t="str">
        <f aca="false">_xlfn.IFS(AND(F693&gt;=8,G693&gt;=8,H693&gt;=8),"CHAMPION",AND(F693&gt;=6,G693&gt;=7,H693&gt;=6),"LOYAL CUSTOMER",AND(F693&gt;=6,G693&gt;=5,H693&gt;=5),"POTENTIAL LOYALIST",AND(F693&gt;=8,G693&lt;=2,H693&gt;=5),"NEW CUSTOMERS",AND(F693&gt;=6,G693&lt;=2,H693&gt;=3),"PROMISING",AND(F693&gt;=3,G693&gt;=3,H693&gt;=3),"NEED ATTENTION",AND(F693&lt;=4,G693&gt;=6,H693&gt;=6),"AT RISK",AND(F693&lt;=2,G693&gt;=8,H693&gt;=8),"CAN'T LOSE THEM",AND(F693&lt;=2,G693&lt;=2,H693&lt;=2),"HIBERNATING",TRUE(),"Other")</f>
        <v>LOYAL CUSTOMER</v>
      </c>
      <c r="K693" s="1" t="n">
        <f aca="false">RANK(E693,$E$7:$E$4378)+COUNTIF($E$7:E693,E693)-1</f>
        <v>907</v>
      </c>
    </row>
    <row r="694" customFormat="false" ht="14.25" hidden="false" customHeight="true" outlineLevel="0" collapsed="false">
      <c r="A694" s="51" t="n">
        <v>13247</v>
      </c>
      <c r="B694" s="53" t="n">
        <v>40869.4576388889</v>
      </c>
      <c r="C694" s="57" t="n">
        <f aca="false">INT($C$2)-INT(Table3[[#This Row],[Last Purchase Date]])</f>
        <v>18</v>
      </c>
      <c r="D694" s="1" t="n">
        <v>4</v>
      </c>
      <c r="E694" s="1" t="n">
        <v>501.12</v>
      </c>
      <c r="F694" s="1" t="n">
        <f aca="false">ROUND((1-_xlfn.PERCENTRANK.INC($C$7:$C$4378,C694))*9,0)</f>
        <v>7</v>
      </c>
      <c r="G694" s="1" t="n">
        <f aca="false">ROUND(_xlfn.PERCENTRANK.INC($D$7:$D$4378,D694)*9,0)</f>
        <v>5</v>
      </c>
      <c r="H694" s="1" t="n">
        <f aca="false">ROUND(_xlfn.PERCENTRANK.INC($E$7:$E$4378,E694)*9,0)</f>
        <v>4</v>
      </c>
      <c r="I694" s="1" t="str">
        <f aca="false">CONCATENATE(F694,G694,H694)</f>
        <v>754</v>
      </c>
      <c r="J694" s="1" t="str">
        <f aca="false">_xlfn.IFS(AND(F694&gt;=8,G694&gt;=8,H694&gt;=8),"CHAMPION",AND(F694&gt;=6,G694&gt;=7,H694&gt;=6),"LOYAL CUSTOMER",AND(F694&gt;=6,G694&gt;=5,H694&gt;=5),"POTENTIAL LOYALIST",AND(F694&gt;=8,G694&lt;=2,H694&gt;=5),"NEW CUSTOMERS",AND(F694&gt;=6,G694&lt;=2,H694&gt;=3),"PROMISING",AND(F694&gt;=3,G694&gt;=3,H694&gt;=3),"NEED ATTENTION",AND(F694&lt;=4,G694&gt;=6,H694&gt;=6),"AT RISK",AND(F694&lt;=2,G694&gt;=8,H694&gt;=8),"CAN'T LOSE THEM",AND(F694&lt;=2,G694&lt;=2,H694&lt;=2),"HIBERNATING",TRUE(),"Other")</f>
        <v>NEED ATTENTION</v>
      </c>
      <c r="K694" s="1" t="n">
        <f aca="false">RANK(E694,$E$7:$E$4378)+COUNTIF($E$7:E694,E694)-1</f>
        <v>2538</v>
      </c>
    </row>
    <row r="695" customFormat="false" ht="14.25" hidden="false" customHeight="true" outlineLevel="0" collapsed="false">
      <c r="A695" s="51" t="n">
        <v>13248</v>
      </c>
      <c r="B695" s="53" t="n">
        <v>40762.5277777778</v>
      </c>
      <c r="C695" s="57" t="n">
        <f aca="false">INT($C$2)-INT(Table3[[#This Row],[Last Purchase Date]])</f>
        <v>125</v>
      </c>
      <c r="D695" s="1" t="n">
        <v>2</v>
      </c>
      <c r="E695" s="1" t="n">
        <v>465.68</v>
      </c>
      <c r="F695" s="1" t="n">
        <f aca="false">ROUND((1-_xlfn.PERCENTRANK.INC($C$7:$C$4378,C695))*9,0)</f>
        <v>2</v>
      </c>
      <c r="G695" s="1" t="n">
        <f aca="false">ROUND(_xlfn.PERCENTRANK.INC($D$7:$D$4378,D695)*9,0)</f>
        <v>3</v>
      </c>
      <c r="H695" s="1" t="n">
        <f aca="false">ROUND(_xlfn.PERCENTRANK.INC($E$7:$E$4378,E695)*9,0)</f>
        <v>4</v>
      </c>
      <c r="I695" s="1" t="str">
        <f aca="false">CONCATENATE(F695,G695,H695)</f>
        <v>234</v>
      </c>
      <c r="J695" s="1" t="str">
        <f aca="false">_xlfn.IFS(AND(F695&gt;=8,G695&gt;=8,H695&gt;=8),"CHAMPION",AND(F695&gt;=6,G695&gt;=7,H695&gt;=6),"LOYAL CUSTOMER",AND(F695&gt;=6,G695&gt;=5,H695&gt;=5),"POTENTIAL LOYALIST",AND(F695&gt;=8,G695&lt;=2,H695&gt;=5),"NEW CUSTOMERS",AND(F695&gt;=6,G695&lt;=2,H695&gt;=3),"PROMISING",AND(F695&gt;=3,G695&gt;=3,H695&gt;=3),"NEED ATTENTION",AND(F695&lt;=4,G695&gt;=6,H695&gt;=6),"AT RISK",AND(F695&lt;=2,G695&gt;=8,H695&gt;=8),"CAN'T LOSE THEM",AND(F695&lt;=2,G695&lt;=2,H695&lt;=2),"HIBERNATING",TRUE(),"Other")</f>
        <v>Other</v>
      </c>
      <c r="K695" s="1" t="n">
        <f aca="false">RANK(E695,$E$7:$E$4378)+COUNTIF($E$7:E695,E695)-1</f>
        <v>2622</v>
      </c>
    </row>
    <row r="696" customFormat="false" ht="14.25" hidden="false" customHeight="true" outlineLevel="0" collapsed="false">
      <c r="A696" s="51" t="n">
        <v>13249</v>
      </c>
      <c r="B696" s="53" t="n">
        <v>40794.5597222222</v>
      </c>
      <c r="C696" s="57" t="n">
        <f aca="false">INT($C$2)-INT(Table3[[#This Row],[Last Purchase Date]])</f>
        <v>93</v>
      </c>
      <c r="D696" s="1" t="n">
        <v>3</v>
      </c>
      <c r="E696" s="1" t="n">
        <v>711.41</v>
      </c>
      <c r="F696" s="1" t="n">
        <f aca="false">ROUND((1-_xlfn.PERCENTRANK.INC($C$7:$C$4378,C696))*9,0)</f>
        <v>3</v>
      </c>
      <c r="G696" s="1" t="n">
        <f aca="false">ROUND(_xlfn.PERCENTRANK.INC($D$7:$D$4378,D696)*9,0)</f>
        <v>4</v>
      </c>
      <c r="H696" s="1" t="n">
        <f aca="false">ROUND(_xlfn.PERCENTRANK.INC($E$7:$E$4378,E696)*9,0)</f>
        <v>5</v>
      </c>
      <c r="I696" s="1" t="str">
        <f aca="false">CONCATENATE(F696,G696,H696)</f>
        <v>345</v>
      </c>
      <c r="J696" s="1" t="str">
        <f aca="false">_xlfn.IFS(AND(F696&gt;=8,G696&gt;=8,H696&gt;=8),"CHAMPION",AND(F696&gt;=6,G696&gt;=7,H696&gt;=6),"LOYAL CUSTOMER",AND(F696&gt;=6,G696&gt;=5,H696&gt;=5),"POTENTIAL LOYALIST",AND(F696&gt;=8,G696&lt;=2,H696&gt;=5),"NEW CUSTOMERS",AND(F696&gt;=6,G696&lt;=2,H696&gt;=3),"PROMISING",AND(F696&gt;=3,G696&gt;=3,H696&gt;=3),"NEED ATTENTION",AND(F696&lt;=4,G696&gt;=6,H696&gt;=6),"AT RISK",AND(F696&lt;=2,G696&gt;=8,H696&gt;=8),"CAN'T LOSE THEM",AND(F696&lt;=2,G696&lt;=2,H696&lt;=2),"HIBERNATING",TRUE(),"Other")</f>
        <v>NEED ATTENTION</v>
      </c>
      <c r="K696" s="1" t="n">
        <f aca="false">RANK(E696,$E$7:$E$4378)+COUNTIF($E$7:E696,E696)-1</f>
        <v>2046</v>
      </c>
    </row>
    <row r="697" customFormat="false" ht="14.25" hidden="false" customHeight="true" outlineLevel="0" collapsed="false">
      <c r="A697" s="51" t="n">
        <v>13253</v>
      </c>
      <c r="B697" s="53" t="n">
        <v>40730.4229166667</v>
      </c>
      <c r="C697" s="57" t="n">
        <f aca="false">INT($C$2)-INT(Table3[[#This Row],[Last Purchase Date]])</f>
        <v>157</v>
      </c>
      <c r="D697" s="1" t="n">
        <v>2</v>
      </c>
      <c r="E697" s="1" t="n">
        <v>1030.4</v>
      </c>
      <c r="F697" s="1" t="n">
        <f aca="false">ROUND((1-_xlfn.PERCENTRANK.INC($C$7:$C$4378,C697))*9,0)</f>
        <v>2</v>
      </c>
      <c r="G697" s="1" t="n">
        <f aca="false">ROUND(_xlfn.PERCENTRANK.INC($D$7:$D$4378,D697)*9,0)</f>
        <v>3</v>
      </c>
      <c r="H697" s="1" t="n">
        <f aca="false">ROUND(_xlfn.PERCENTRANK.INC($E$7:$E$4378,E697)*9,0)</f>
        <v>6</v>
      </c>
      <c r="I697" s="1" t="str">
        <f aca="false">CONCATENATE(F697,G697,H697)</f>
        <v>236</v>
      </c>
      <c r="J697" s="1" t="str">
        <f aca="false">_xlfn.IFS(AND(F697&gt;=8,G697&gt;=8,H697&gt;=8),"CHAMPION",AND(F697&gt;=6,G697&gt;=7,H697&gt;=6),"LOYAL CUSTOMER",AND(F697&gt;=6,G697&gt;=5,H697&gt;=5),"POTENTIAL LOYALIST",AND(F697&gt;=8,G697&lt;=2,H697&gt;=5),"NEW CUSTOMERS",AND(F697&gt;=6,G697&lt;=2,H697&gt;=3),"PROMISING",AND(F697&gt;=3,G697&gt;=3,H697&gt;=3),"NEED ATTENTION",AND(F697&lt;=4,G697&gt;=6,H697&gt;=6),"AT RISK",AND(F697&lt;=2,G697&gt;=8,H697&gt;=8),"CAN'T LOSE THEM",AND(F697&lt;=2,G697&lt;=2,H697&lt;=2),"HIBERNATING",TRUE(),"Other")</f>
        <v>Other</v>
      </c>
      <c r="K697" s="1" t="n">
        <f aca="false">RANK(E697,$E$7:$E$4378)+COUNTIF($E$7:E697,E697)-1</f>
        <v>1593</v>
      </c>
    </row>
    <row r="698" customFormat="false" ht="14.25" hidden="false" customHeight="true" outlineLevel="0" collapsed="false">
      <c r="A698" s="51" t="n">
        <v>13255</v>
      </c>
      <c r="B698" s="53" t="n">
        <v>40883.4555555556</v>
      </c>
      <c r="C698" s="57" t="n">
        <f aca="false">INT($C$2)-INT(Table3[[#This Row],[Last Purchase Date]])</f>
        <v>4</v>
      </c>
      <c r="D698" s="1" t="n">
        <v>3</v>
      </c>
      <c r="E698" s="1" t="n">
        <v>390.66</v>
      </c>
      <c r="F698" s="1" t="n">
        <f aca="false">ROUND((1-_xlfn.PERCENTRANK.INC($C$7:$C$4378,C698))*9,0)</f>
        <v>8</v>
      </c>
      <c r="G698" s="1" t="n">
        <f aca="false">ROUND(_xlfn.PERCENTRANK.INC($D$7:$D$4378,D698)*9,0)</f>
        <v>4</v>
      </c>
      <c r="H698" s="1" t="n">
        <f aca="false">ROUND(_xlfn.PERCENTRANK.INC($E$7:$E$4378,E698)*9,0)</f>
        <v>3</v>
      </c>
      <c r="I698" s="1" t="str">
        <f aca="false">CONCATENATE(F698,G698,H698)</f>
        <v>843</v>
      </c>
      <c r="J698" s="1" t="str">
        <f aca="false">_xlfn.IFS(AND(F698&gt;=8,G698&gt;=8,H698&gt;=8),"CHAMPION",AND(F698&gt;=6,G698&gt;=7,H698&gt;=6),"LOYAL CUSTOMER",AND(F698&gt;=6,G698&gt;=5,H698&gt;=5),"POTENTIAL LOYALIST",AND(F698&gt;=8,G698&lt;=2,H698&gt;=5),"NEW CUSTOMERS",AND(F698&gt;=6,G698&lt;=2,H698&gt;=3),"PROMISING",AND(F698&gt;=3,G698&gt;=3,H698&gt;=3),"NEED ATTENTION",AND(F698&lt;=4,G698&gt;=6,H698&gt;=6),"AT RISK",AND(F698&lt;=2,G698&gt;=8,H698&gt;=8),"CAN'T LOSE THEM",AND(F698&lt;=2,G698&lt;=2,H698&lt;=2),"HIBERNATING",TRUE(),"Other")</f>
        <v>NEED ATTENTION</v>
      </c>
      <c r="K698" s="1" t="n">
        <f aca="false">RANK(E698,$E$7:$E$4378)+COUNTIF($E$7:E698,E698)-1</f>
        <v>2844</v>
      </c>
    </row>
    <row r="699" customFormat="false" ht="14.25" hidden="false" customHeight="true" outlineLevel="0" collapsed="false">
      <c r="A699" s="51" t="n">
        <v>13256</v>
      </c>
      <c r="B699" s="53" t="n">
        <v>40872.6645833333</v>
      </c>
      <c r="C699" s="57" t="n">
        <f aca="false">INT($C$2)-INT(Table3[[#This Row],[Last Purchase Date]])</f>
        <v>15</v>
      </c>
      <c r="D699" s="1" t="n">
        <v>1</v>
      </c>
      <c r="E699" s="1" t="n">
        <v>0</v>
      </c>
      <c r="F699" s="1" t="n">
        <f aca="false">ROUND((1-_xlfn.PERCENTRANK.INC($C$7:$C$4378,C699))*9,0)</f>
        <v>7</v>
      </c>
      <c r="G699" s="1" t="n">
        <f aca="false">ROUND(_xlfn.PERCENTRANK.INC($D$7:$D$4378,D699)*9,0)</f>
        <v>0</v>
      </c>
      <c r="H699" s="1" t="n">
        <f aca="false">ROUND(_xlfn.PERCENTRANK.INC($E$7:$E$4378,E699)*9,0)</f>
        <v>0</v>
      </c>
      <c r="I699" s="1" t="str">
        <f aca="false">CONCATENATE(F699,G699,H699)</f>
        <v>700</v>
      </c>
      <c r="J699" s="1" t="str">
        <f aca="false">_xlfn.IFS(AND(F699&gt;=8,G699&gt;=8,H699&gt;=8),"CHAMPION",AND(F699&gt;=6,G699&gt;=7,H699&gt;=6),"LOYAL CUSTOMER",AND(F699&gt;=6,G699&gt;=5,H699&gt;=5),"POTENTIAL LOYALIST",AND(F699&gt;=8,G699&lt;=2,H699&gt;=5),"NEW CUSTOMERS",AND(F699&gt;=6,G699&lt;=2,H699&gt;=3),"PROMISING",AND(F699&gt;=3,G699&gt;=3,H699&gt;=3),"NEED ATTENTION",AND(F699&lt;=4,G699&gt;=6,H699&gt;=6),"AT RISK",AND(F699&lt;=2,G699&gt;=8,H699&gt;=8),"CAN'T LOSE THEM",AND(F699&lt;=2,G699&lt;=2,H699&lt;=2),"HIBERNATING",TRUE(),"Other")</f>
        <v>Other</v>
      </c>
      <c r="K699" s="1" t="n">
        <f aca="false">RANK(E699,$E$7:$E$4378)+COUNTIF($E$7:E699,E699)-1</f>
        <v>4323</v>
      </c>
    </row>
    <row r="700" customFormat="false" ht="14.25" hidden="false" customHeight="true" outlineLevel="0" collapsed="false">
      <c r="A700" s="51" t="n">
        <v>13258</v>
      </c>
      <c r="B700" s="53" t="n">
        <v>40875.3965277778</v>
      </c>
      <c r="C700" s="57" t="n">
        <f aca="false">INT($C$2)-INT(Table3[[#This Row],[Last Purchase Date]])</f>
        <v>12</v>
      </c>
      <c r="D700" s="1" t="n">
        <v>3</v>
      </c>
      <c r="E700" s="1" t="n">
        <v>698.58</v>
      </c>
      <c r="F700" s="1" t="n">
        <f aca="false">ROUND((1-_xlfn.PERCENTRANK.INC($C$7:$C$4378,C700))*9,0)</f>
        <v>7</v>
      </c>
      <c r="G700" s="1" t="n">
        <f aca="false">ROUND(_xlfn.PERCENTRANK.INC($D$7:$D$4378,D700)*9,0)</f>
        <v>4</v>
      </c>
      <c r="H700" s="1" t="n">
        <f aca="false">ROUND(_xlfn.PERCENTRANK.INC($E$7:$E$4378,E700)*9,0)</f>
        <v>5</v>
      </c>
      <c r="I700" s="1" t="str">
        <f aca="false">CONCATENATE(F700,G700,H700)</f>
        <v>745</v>
      </c>
      <c r="J700" s="1" t="str">
        <f aca="false">_xlfn.IFS(AND(F700&gt;=8,G700&gt;=8,H700&gt;=8),"CHAMPION",AND(F700&gt;=6,G700&gt;=7,H700&gt;=6),"LOYAL CUSTOMER",AND(F700&gt;=6,G700&gt;=5,H700&gt;=5),"POTENTIAL LOYALIST",AND(F700&gt;=8,G700&lt;=2,H700&gt;=5),"NEW CUSTOMERS",AND(F700&gt;=6,G700&lt;=2,H700&gt;=3),"PROMISING",AND(F700&gt;=3,G700&gt;=3,H700&gt;=3),"NEED ATTENTION",AND(F700&lt;=4,G700&gt;=6,H700&gt;=6),"AT RISK",AND(F700&lt;=2,G700&gt;=8,H700&gt;=8),"CAN'T LOSE THEM",AND(F700&lt;=2,G700&lt;=2,H700&lt;=2),"HIBERNATING",TRUE(),"Other")</f>
        <v>NEED ATTENTION</v>
      </c>
      <c r="K700" s="1" t="n">
        <f aca="false">RANK(E700,$E$7:$E$4378)+COUNTIF($E$7:E700,E700)-1</f>
        <v>2069</v>
      </c>
    </row>
    <row r="701" customFormat="false" ht="14.25" hidden="false" customHeight="true" outlineLevel="0" collapsed="false">
      <c r="A701" s="51" t="n">
        <v>13259</v>
      </c>
      <c r="B701" s="53" t="n">
        <v>40825.45</v>
      </c>
      <c r="C701" s="57" t="n">
        <f aca="false">INT($C$2)-INT(Table3[[#This Row],[Last Purchase Date]])</f>
        <v>62</v>
      </c>
      <c r="D701" s="1" t="n">
        <v>1</v>
      </c>
      <c r="E701" s="1" t="n">
        <v>292.32</v>
      </c>
      <c r="F701" s="1" t="n">
        <f aca="false">ROUND((1-_xlfn.PERCENTRANK.INC($C$7:$C$4378,C701))*9,0)</f>
        <v>4</v>
      </c>
      <c r="G701" s="1" t="n">
        <f aca="false">ROUND(_xlfn.PERCENTRANK.INC($D$7:$D$4378,D701)*9,0)</f>
        <v>0</v>
      </c>
      <c r="H701" s="1" t="n">
        <f aca="false">ROUND(_xlfn.PERCENTRANK.INC($E$7:$E$4378,E701)*9,0)</f>
        <v>2</v>
      </c>
      <c r="I701" s="1" t="str">
        <f aca="false">CONCATENATE(F701,G701,H701)</f>
        <v>402</v>
      </c>
      <c r="J701" s="1" t="str">
        <f aca="false">_xlfn.IFS(AND(F701&gt;=8,G701&gt;=8,H701&gt;=8),"CHAMPION",AND(F701&gt;=6,G701&gt;=7,H701&gt;=6),"LOYAL CUSTOMER",AND(F701&gt;=6,G701&gt;=5,H701&gt;=5),"POTENTIAL LOYALIST",AND(F701&gt;=8,G701&lt;=2,H701&gt;=5),"NEW CUSTOMERS",AND(F701&gt;=6,G701&lt;=2,H701&gt;=3),"PROMISING",AND(F701&gt;=3,G701&gt;=3,H701&gt;=3),"NEED ATTENTION",AND(F701&lt;=4,G701&gt;=6,H701&gt;=6),"AT RISK",AND(F701&lt;=2,G701&gt;=8,H701&gt;=8),"CAN'T LOSE THEM",AND(F701&lt;=2,G701&lt;=2,H701&lt;=2),"HIBERNATING",TRUE(),"Other")</f>
        <v>Other</v>
      </c>
      <c r="K701" s="1" t="n">
        <f aca="false">RANK(E701,$E$7:$E$4378)+COUNTIF($E$7:E701,E701)-1</f>
        <v>3284</v>
      </c>
    </row>
    <row r="702" customFormat="false" ht="14.25" hidden="false" customHeight="true" outlineLevel="0" collapsed="false">
      <c r="A702" s="51" t="n">
        <v>13260</v>
      </c>
      <c r="B702" s="53" t="n">
        <v>40825.55625</v>
      </c>
      <c r="C702" s="57" t="n">
        <f aca="false">INT($C$2)-INT(Table3[[#This Row],[Last Purchase Date]])</f>
        <v>62</v>
      </c>
      <c r="D702" s="1" t="n">
        <v>1</v>
      </c>
      <c r="E702" s="1" t="n">
        <v>557.62</v>
      </c>
      <c r="F702" s="1" t="n">
        <f aca="false">ROUND((1-_xlfn.PERCENTRANK.INC($C$7:$C$4378,C702))*9,0)</f>
        <v>4</v>
      </c>
      <c r="G702" s="1" t="n">
        <f aca="false">ROUND(_xlfn.PERCENTRANK.INC($D$7:$D$4378,D702)*9,0)</f>
        <v>0</v>
      </c>
      <c r="H702" s="1" t="n">
        <f aca="false">ROUND(_xlfn.PERCENTRANK.INC($E$7:$E$4378,E702)*9,0)</f>
        <v>4</v>
      </c>
      <c r="I702" s="1" t="str">
        <f aca="false">CONCATENATE(F702,G702,H702)</f>
        <v>404</v>
      </c>
      <c r="J702" s="1" t="str">
        <f aca="false">_xlfn.IFS(AND(F702&gt;=8,G702&gt;=8,H702&gt;=8),"CHAMPION",AND(F702&gt;=6,G702&gt;=7,H702&gt;=6),"LOYAL CUSTOMER",AND(F702&gt;=6,G702&gt;=5,H702&gt;=5),"POTENTIAL LOYALIST",AND(F702&gt;=8,G702&lt;=2,H702&gt;=5),"NEW CUSTOMERS",AND(F702&gt;=6,G702&lt;=2,H702&gt;=3),"PROMISING",AND(F702&gt;=3,G702&gt;=3,H702&gt;=3),"NEED ATTENTION",AND(F702&lt;=4,G702&gt;=6,H702&gt;=6),"AT RISK",AND(F702&lt;=2,G702&gt;=8,H702&gt;=8),"CAN'T LOSE THEM",AND(F702&lt;=2,G702&lt;=2,H702&lt;=2),"HIBERNATING",TRUE(),"Other")</f>
        <v>Other</v>
      </c>
      <c r="K702" s="1" t="n">
        <f aca="false">RANK(E702,$E$7:$E$4378)+COUNTIF($E$7:E702,E702)-1</f>
        <v>2413</v>
      </c>
    </row>
    <row r="703" customFormat="false" ht="14.25" hidden="false" customHeight="true" outlineLevel="0" collapsed="false">
      <c r="A703" s="51" t="n">
        <v>13261</v>
      </c>
      <c r="B703" s="53" t="n">
        <v>40618.5152777778</v>
      </c>
      <c r="C703" s="57" t="n">
        <f aca="false">INT($C$2)-INT(Table3[[#This Row],[Last Purchase Date]])</f>
        <v>269</v>
      </c>
      <c r="D703" s="1" t="n">
        <v>2</v>
      </c>
      <c r="E703" s="1" t="n">
        <v>944.1</v>
      </c>
      <c r="F703" s="1" t="n">
        <f aca="false">ROUND((1-_xlfn.PERCENTRANK.INC($C$7:$C$4378,C703))*9,0)</f>
        <v>1</v>
      </c>
      <c r="G703" s="1" t="n">
        <f aca="false">ROUND(_xlfn.PERCENTRANK.INC($D$7:$D$4378,D703)*9,0)</f>
        <v>3</v>
      </c>
      <c r="H703" s="1" t="n">
        <f aca="false">ROUND(_xlfn.PERCENTRANK.INC($E$7:$E$4378,E703)*9,0)</f>
        <v>5</v>
      </c>
      <c r="I703" s="1" t="str">
        <f aca="false">CONCATENATE(F703,G703,H703)</f>
        <v>135</v>
      </c>
      <c r="J703" s="1" t="str">
        <f aca="false">_xlfn.IFS(AND(F703&gt;=8,G703&gt;=8,H703&gt;=8),"CHAMPION",AND(F703&gt;=6,G703&gt;=7,H703&gt;=6),"LOYAL CUSTOMER",AND(F703&gt;=6,G703&gt;=5,H703&gt;=5),"POTENTIAL LOYALIST",AND(F703&gt;=8,G703&lt;=2,H703&gt;=5),"NEW CUSTOMERS",AND(F703&gt;=6,G703&lt;=2,H703&gt;=3),"PROMISING",AND(F703&gt;=3,G703&gt;=3,H703&gt;=3),"NEED ATTENTION",AND(F703&lt;=4,G703&gt;=6,H703&gt;=6),"AT RISK",AND(F703&lt;=2,G703&gt;=8,H703&gt;=8),"CAN'T LOSE THEM",AND(F703&lt;=2,G703&lt;=2,H703&lt;=2),"HIBERNATING",TRUE(),"Other")</f>
        <v>Other</v>
      </c>
      <c r="K703" s="1" t="n">
        <f aca="false">RANK(E703,$E$7:$E$4378)+COUNTIF($E$7:E703,E703)-1</f>
        <v>1703</v>
      </c>
    </row>
    <row r="704" customFormat="false" ht="14.25" hidden="false" customHeight="true" outlineLevel="0" collapsed="false">
      <c r="A704" s="51" t="n">
        <v>13262</v>
      </c>
      <c r="B704" s="53" t="n">
        <v>40623.6291666667</v>
      </c>
      <c r="C704" s="57" t="n">
        <f aca="false">INT($C$2)-INT(Table3[[#This Row],[Last Purchase Date]])</f>
        <v>264</v>
      </c>
      <c r="D704" s="1" t="n">
        <v>1</v>
      </c>
      <c r="E704" s="1" t="n">
        <v>200.29</v>
      </c>
      <c r="F704" s="1" t="n">
        <f aca="false">ROUND((1-_xlfn.PERCENTRANK.INC($C$7:$C$4378,C704))*9,0)</f>
        <v>1</v>
      </c>
      <c r="G704" s="1" t="n">
        <f aca="false">ROUND(_xlfn.PERCENTRANK.INC($D$7:$D$4378,D704)*9,0)</f>
        <v>0</v>
      </c>
      <c r="H704" s="1" t="n">
        <f aca="false">ROUND(_xlfn.PERCENTRANK.INC($E$7:$E$4378,E704)*9,0)</f>
        <v>1</v>
      </c>
      <c r="I704" s="1" t="str">
        <f aca="false">CONCATENATE(F704,G704,H704)</f>
        <v>101</v>
      </c>
      <c r="J704" s="1" t="str">
        <f aca="false">_xlfn.IFS(AND(F704&gt;=8,G704&gt;=8,H704&gt;=8),"CHAMPION",AND(F704&gt;=6,G704&gt;=7,H704&gt;=6),"LOYAL CUSTOMER",AND(F704&gt;=6,G704&gt;=5,H704&gt;=5),"POTENTIAL LOYALIST",AND(F704&gt;=8,G704&lt;=2,H704&gt;=5),"NEW CUSTOMERS",AND(F704&gt;=6,G704&lt;=2,H704&gt;=3),"PROMISING",AND(F704&gt;=3,G704&gt;=3,H704&gt;=3),"NEED ATTENTION",AND(F704&lt;=4,G704&gt;=6,H704&gt;=6),"AT RISK",AND(F704&lt;=2,G704&gt;=8,H704&gt;=8),"CAN'T LOSE THEM",AND(F704&lt;=2,G704&lt;=2,H704&lt;=2),"HIBERNATING",TRUE(),"Other")</f>
        <v>HIBERNATING</v>
      </c>
      <c r="K704" s="1" t="n">
        <f aca="false">RANK(E704,$E$7:$E$4378)+COUNTIF($E$7:E704,E704)-1</f>
        <v>3656</v>
      </c>
    </row>
    <row r="705" customFormat="false" ht="14.25" hidden="false" customHeight="true" outlineLevel="0" collapsed="false">
      <c r="A705" s="51" t="n">
        <v>13263</v>
      </c>
      <c r="B705" s="53" t="n">
        <v>40885.5826388889</v>
      </c>
      <c r="C705" s="57" t="n">
        <f aca="false">INT($C$2)-INT(Table3[[#This Row],[Last Purchase Date]])</f>
        <v>2</v>
      </c>
      <c r="D705" s="1" t="n">
        <v>35</v>
      </c>
      <c r="E705" s="1" t="n">
        <v>7454.06999999997</v>
      </c>
      <c r="F705" s="1" t="n">
        <f aca="false">ROUND((1-_xlfn.PERCENTRANK.INC($C$7:$C$4378,C705))*9,0)</f>
        <v>9</v>
      </c>
      <c r="G705" s="1" t="n">
        <f aca="false">ROUND(_xlfn.PERCENTRANK.INC($D$7:$D$4378,D705)*9,0)</f>
        <v>9</v>
      </c>
      <c r="H705" s="1" t="n">
        <f aca="false">ROUND(_xlfn.PERCENTRANK.INC($E$7:$E$4378,E705)*9,0)</f>
        <v>9</v>
      </c>
      <c r="I705" s="1" t="str">
        <f aca="false">CONCATENATE(F705,G705,H705)</f>
        <v>999</v>
      </c>
      <c r="J705" s="1" t="str">
        <f aca="false">_xlfn.IFS(AND(F705&gt;=8,G705&gt;=8,H705&gt;=8),"CHAMPION",AND(F705&gt;=6,G705&gt;=7,H705&gt;=6),"LOYAL CUSTOMER",AND(F705&gt;=6,G705&gt;=5,H705&gt;=5),"POTENTIAL LOYALIST",AND(F705&gt;=8,G705&lt;=2,H705&gt;=5),"NEW CUSTOMERS",AND(F705&gt;=6,G705&lt;=2,H705&gt;=3),"PROMISING",AND(F705&gt;=3,G705&gt;=3,H705&gt;=3),"NEED ATTENTION",AND(F705&lt;=4,G705&gt;=6,H705&gt;=6),"AT RISK",AND(F705&lt;=2,G705&gt;=8,H705&gt;=8),"CAN'T LOSE THEM",AND(F705&lt;=2,G705&lt;=2,H705&lt;=2),"HIBERNATING",TRUE(),"Other")</f>
        <v>CHAMPION</v>
      </c>
      <c r="K705" s="1" t="n">
        <f aca="false">RANK(E705,$E$7:$E$4378)+COUNTIF($E$7:E705,E705)-1</f>
        <v>142</v>
      </c>
    </row>
    <row r="706" customFormat="false" ht="14.25" hidden="false" customHeight="true" outlineLevel="0" collapsed="false">
      <c r="A706" s="51" t="n">
        <v>13265</v>
      </c>
      <c r="B706" s="53" t="n">
        <v>40833.6263888889</v>
      </c>
      <c r="C706" s="57" t="n">
        <f aca="false">INT($C$2)-INT(Table3[[#This Row],[Last Purchase Date]])</f>
        <v>54</v>
      </c>
      <c r="D706" s="1" t="n">
        <v>5</v>
      </c>
      <c r="E706" s="1" t="n">
        <v>2107.66</v>
      </c>
      <c r="F706" s="1" t="n">
        <f aca="false">ROUND((1-_xlfn.PERCENTRANK.INC($C$7:$C$4378,C706))*9,0)</f>
        <v>4</v>
      </c>
      <c r="G706" s="1" t="n">
        <f aca="false">ROUND(_xlfn.PERCENTRANK.INC($D$7:$D$4378,D706)*9,0)</f>
        <v>6</v>
      </c>
      <c r="H706" s="1" t="n">
        <f aca="false">ROUND(_xlfn.PERCENTRANK.INC($E$7:$E$4378,E706)*9,0)</f>
        <v>7</v>
      </c>
      <c r="I706" s="1" t="str">
        <f aca="false">CONCATENATE(F706,G706,H706)</f>
        <v>467</v>
      </c>
      <c r="J706" s="1" t="str">
        <f aca="false">_xlfn.IFS(AND(F706&gt;=8,G706&gt;=8,H706&gt;=8),"CHAMPION",AND(F706&gt;=6,G706&gt;=7,H706&gt;=6),"LOYAL CUSTOMER",AND(F706&gt;=6,G706&gt;=5,H706&gt;=5),"POTENTIAL LOYALIST",AND(F706&gt;=8,G706&lt;=2,H706&gt;=5),"NEW CUSTOMERS",AND(F706&gt;=6,G706&lt;=2,H706&gt;=3),"PROMISING",AND(F706&gt;=3,G706&gt;=3,H706&gt;=3),"NEED ATTENTION",AND(F706&lt;=4,G706&gt;=6,H706&gt;=6),"AT RISK",AND(F706&lt;=2,G706&gt;=8,H706&gt;=8),"CAN'T LOSE THEM",AND(F706&lt;=2,G706&lt;=2,H706&lt;=2),"HIBERNATING",TRUE(),"Other")</f>
        <v>NEED ATTENTION</v>
      </c>
      <c r="K706" s="1" t="n">
        <f aca="false">RANK(E706,$E$7:$E$4378)+COUNTIF($E$7:E706,E706)-1</f>
        <v>822</v>
      </c>
    </row>
    <row r="707" customFormat="false" ht="14.25" hidden="false" customHeight="true" outlineLevel="0" collapsed="false">
      <c r="A707" s="51" t="n">
        <v>13266</v>
      </c>
      <c r="B707" s="53" t="n">
        <v>40875.6104166667</v>
      </c>
      <c r="C707" s="57" t="n">
        <f aca="false">INT($C$2)-INT(Table3[[#This Row],[Last Purchase Date]])</f>
        <v>12</v>
      </c>
      <c r="D707" s="1" t="n">
        <v>19</v>
      </c>
      <c r="E707" s="1" t="n">
        <v>3717.67</v>
      </c>
      <c r="F707" s="1" t="n">
        <f aca="false">ROUND((1-_xlfn.PERCENTRANK.INC($C$7:$C$4378,C707))*9,0)</f>
        <v>7</v>
      </c>
      <c r="G707" s="1" t="n">
        <f aca="false">ROUND(_xlfn.PERCENTRANK.INC($D$7:$D$4378,D707)*9,0)</f>
        <v>9</v>
      </c>
      <c r="H707" s="1" t="n">
        <f aca="false">ROUND(_xlfn.PERCENTRANK.INC($E$7:$E$4378,E707)*9,0)</f>
        <v>8</v>
      </c>
      <c r="I707" s="1" t="str">
        <f aca="false">CONCATENATE(F707,G707,H707)</f>
        <v>798</v>
      </c>
      <c r="J707" s="1" t="str">
        <f aca="false">_xlfn.IFS(AND(F707&gt;=8,G707&gt;=8,H707&gt;=8),"CHAMPION",AND(F707&gt;=6,G707&gt;=7,H707&gt;=6),"LOYAL CUSTOMER",AND(F707&gt;=6,G707&gt;=5,H707&gt;=5),"POTENTIAL LOYALIST",AND(F707&gt;=8,G707&lt;=2,H707&gt;=5),"NEW CUSTOMERS",AND(F707&gt;=6,G707&lt;=2,H707&gt;=3),"PROMISING",AND(F707&gt;=3,G707&gt;=3,H707&gt;=3),"NEED ATTENTION",AND(F707&lt;=4,G707&gt;=6,H707&gt;=6),"AT RISK",AND(F707&lt;=2,G707&gt;=8,H707&gt;=8),"CAN'T LOSE THEM",AND(F707&lt;=2,G707&lt;=2,H707&lt;=2),"HIBERNATING",TRUE(),"Other")</f>
        <v>LOYAL CUSTOMER</v>
      </c>
      <c r="K707" s="1" t="n">
        <f aca="false">RANK(E707,$E$7:$E$4378)+COUNTIF($E$7:E707,E707)-1</f>
        <v>403</v>
      </c>
    </row>
    <row r="708" customFormat="false" ht="14.25" hidden="false" customHeight="true" outlineLevel="0" collapsed="false">
      <c r="A708" s="51" t="n">
        <v>13267</v>
      </c>
      <c r="B708" s="53" t="n">
        <v>40884.4666666667</v>
      </c>
      <c r="C708" s="57" t="n">
        <f aca="false">INT($C$2)-INT(Table3[[#This Row],[Last Purchase Date]])</f>
        <v>3</v>
      </c>
      <c r="D708" s="1" t="n">
        <v>27</v>
      </c>
      <c r="E708" s="1" t="n">
        <v>4404.44</v>
      </c>
      <c r="F708" s="1" t="n">
        <f aca="false">ROUND((1-_xlfn.PERCENTRANK.INC($C$7:$C$4378,C708))*9,0)</f>
        <v>9</v>
      </c>
      <c r="G708" s="1" t="n">
        <f aca="false">ROUND(_xlfn.PERCENTRANK.INC($D$7:$D$4378,D708)*9,0)</f>
        <v>9</v>
      </c>
      <c r="H708" s="1" t="n">
        <f aca="false">ROUND(_xlfn.PERCENTRANK.INC($E$7:$E$4378,E708)*9,0)</f>
        <v>8</v>
      </c>
      <c r="I708" s="1" t="str">
        <f aca="false">CONCATENATE(F708,G708,H708)</f>
        <v>998</v>
      </c>
      <c r="J708" s="1" t="str">
        <f aca="false">_xlfn.IFS(AND(F708&gt;=8,G708&gt;=8,H708&gt;=8),"CHAMPION",AND(F708&gt;=6,G708&gt;=7,H708&gt;=6),"LOYAL CUSTOMER",AND(F708&gt;=6,G708&gt;=5,H708&gt;=5),"POTENTIAL LOYALIST",AND(F708&gt;=8,G708&lt;=2,H708&gt;=5),"NEW CUSTOMERS",AND(F708&gt;=6,G708&lt;=2,H708&gt;=3),"PROMISING",AND(F708&gt;=3,G708&gt;=3,H708&gt;=3),"NEED ATTENTION",AND(F708&lt;=4,G708&gt;=6,H708&gt;=6),"AT RISK",AND(F708&lt;=2,G708&gt;=8,H708&gt;=8),"CAN'T LOSE THEM",AND(F708&lt;=2,G708&lt;=2,H708&lt;=2),"HIBERNATING",TRUE(),"Other")</f>
        <v>CHAMPION</v>
      </c>
      <c r="K708" s="1" t="n">
        <f aca="false">RANK(E708,$E$7:$E$4378)+COUNTIF($E$7:E708,E708)-1</f>
        <v>309</v>
      </c>
    </row>
    <row r="709" customFormat="false" ht="14.25" hidden="false" customHeight="true" outlineLevel="0" collapsed="false">
      <c r="A709" s="51" t="n">
        <v>13268</v>
      </c>
      <c r="B709" s="53" t="n">
        <v>40869.49375</v>
      </c>
      <c r="C709" s="57" t="n">
        <f aca="false">INT($C$2)-INT(Table3[[#This Row],[Last Purchase Date]])</f>
        <v>18</v>
      </c>
      <c r="D709" s="1" t="n">
        <v>15</v>
      </c>
      <c r="E709" s="1" t="n">
        <v>3167.64</v>
      </c>
      <c r="F709" s="1" t="n">
        <f aca="false">ROUND((1-_xlfn.PERCENTRANK.INC($C$7:$C$4378,C709))*9,0)</f>
        <v>7</v>
      </c>
      <c r="G709" s="1" t="n">
        <f aca="false">ROUND(_xlfn.PERCENTRANK.INC($D$7:$D$4378,D709)*9,0)</f>
        <v>8</v>
      </c>
      <c r="H709" s="1" t="n">
        <f aca="false">ROUND(_xlfn.PERCENTRANK.INC($E$7:$E$4378,E709)*9,0)</f>
        <v>8</v>
      </c>
      <c r="I709" s="1" t="str">
        <f aca="false">CONCATENATE(F709,G709,H709)</f>
        <v>788</v>
      </c>
      <c r="J709" s="1" t="str">
        <f aca="false">_xlfn.IFS(AND(F709&gt;=8,G709&gt;=8,H709&gt;=8),"CHAMPION",AND(F709&gt;=6,G709&gt;=7,H709&gt;=6),"LOYAL CUSTOMER",AND(F709&gt;=6,G709&gt;=5,H709&gt;=5),"POTENTIAL LOYALIST",AND(F709&gt;=8,G709&lt;=2,H709&gt;=5),"NEW CUSTOMERS",AND(F709&gt;=6,G709&lt;=2,H709&gt;=3),"PROMISING",AND(F709&gt;=3,G709&gt;=3,H709&gt;=3),"NEED ATTENTION",AND(F709&lt;=4,G709&gt;=6,H709&gt;=6),"AT RISK",AND(F709&lt;=2,G709&gt;=8,H709&gt;=8),"CAN'T LOSE THEM",AND(F709&lt;=2,G709&lt;=2,H709&lt;=2),"HIBERNATING",TRUE(),"Other")</f>
        <v>LOYAL CUSTOMER</v>
      </c>
      <c r="K709" s="1" t="n">
        <f aca="false">RANK(E709,$E$7:$E$4378)+COUNTIF($E$7:E709,E709)-1</f>
        <v>500</v>
      </c>
    </row>
    <row r="710" customFormat="false" ht="14.25" hidden="false" customHeight="true" outlineLevel="0" collapsed="false">
      <c r="A710" s="51" t="n">
        <v>13269</v>
      </c>
      <c r="B710" s="53" t="n">
        <v>40885.6201388889</v>
      </c>
      <c r="C710" s="57" t="n">
        <f aca="false">INT($C$2)-INT(Table3[[#This Row],[Last Purchase Date]])</f>
        <v>2</v>
      </c>
      <c r="D710" s="1" t="n">
        <v>17</v>
      </c>
      <c r="E710" s="1" t="n">
        <v>5315.92</v>
      </c>
      <c r="F710" s="1" t="n">
        <f aca="false">ROUND((1-_xlfn.PERCENTRANK.INC($C$7:$C$4378,C710))*9,0)</f>
        <v>9</v>
      </c>
      <c r="G710" s="1" t="n">
        <f aca="false">ROUND(_xlfn.PERCENTRANK.INC($D$7:$D$4378,D710)*9,0)</f>
        <v>9</v>
      </c>
      <c r="H710" s="1" t="n">
        <f aca="false">ROUND(_xlfn.PERCENTRANK.INC($E$7:$E$4378,E710)*9,0)</f>
        <v>9</v>
      </c>
      <c r="I710" s="1" t="str">
        <f aca="false">CONCATENATE(F710,G710,H710)</f>
        <v>999</v>
      </c>
      <c r="J710" s="1" t="str">
        <f aca="false">_xlfn.IFS(AND(F710&gt;=8,G710&gt;=8,H710&gt;=8),"CHAMPION",AND(F710&gt;=6,G710&gt;=7,H710&gt;=6),"LOYAL CUSTOMER",AND(F710&gt;=6,G710&gt;=5,H710&gt;=5),"POTENTIAL LOYALIST",AND(F710&gt;=8,G710&lt;=2,H710&gt;=5),"NEW CUSTOMERS",AND(F710&gt;=6,G710&lt;=2,H710&gt;=3),"PROMISING",AND(F710&gt;=3,G710&gt;=3,H710&gt;=3),"NEED ATTENTION",AND(F710&lt;=4,G710&gt;=6,H710&gt;=6),"AT RISK",AND(F710&lt;=2,G710&gt;=8,H710&gt;=8),"CAN'T LOSE THEM",AND(F710&lt;=2,G710&lt;=2,H710&lt;=2),"HIBERNATING",TRUE(),"Other")</f>
        <v>CHAMPION</v>
      </c>
      <c r="K710" s="1" t="n">
        <f aca="false">RANK(E710,$E$7:$E$4378)+COUNTIF($E$7:E710,E710)-1</f>
        <v>238</v>
      </c>
    </row>
    <row r="711" customFormat="false" ht="14.25" hidden="false" customHeight="true" outlineLevel="0" collapsed="false">
      <c r="A711" s="51" t="n">
        <v>13270</v>
      </c>
      <c r="B711" s="53" t="n">
        <v>40520.6201388889</v>
      </c>
      <c r="C711" s="57" t="n">
        <f aca="false">INT($C$2)-INT(Table3[[#This Row],[Last Purchase Date]])</f>
        <v>367</v>
      </c>
      <c r="D711" s="1" t="n">
        <v>1</v>
      </c>
      <c r="E711" s="1" t="n">
        <v>590</v>
      </c>
      <c r="F711" s="1" t="n">
        <f aca="false">ROUND((1-_xlfn.PERCENTRANK.INC($C$7:$C$4378,C711))*9,0)</f>
        <v>0</v>
      </c>
      <c r="G711" s="1" t="n">
        <f aca="false">ROUND(_xlfn.PERCENTRANK.INC($D$7:$D$4378,D711)*9,0)</f>
        <v>0</v>
      </c>
      <c r="H711" s="1" t="n">
        <f aca="false">ROUND(_xlfn.PERCENTRANK.INC($E$7:$E$4378,E711)*9,0)</f>
        <v>4</v>
      </c>
      <c r="I711" s="1" t="str">
        <f aca="false">CONCATENATE(F711,G711,H711)</f>
        <v>004</v>
      </c>
      <c r="J711" s="1" t="str">
        <f aca="false">_xlfn.IFS(AND(F711&gt;=8,G711&gt;=8,H711&gt;=8),"CHAMPION",AND(F711&gt;=6,G711&gt;=7,H711&gt;=6),"LOYAL CUSTOMER",AND(F711&gt;=6,G711&gt;=5,H711&gt;=5),"POTENTIAL LOYALIST",AND(F711&gt;=8,G711&lt;=2,H711&gt;=5),"NEW CUSTOMERS",AND(F711&gt;=6,G711&lt;=2,H711&gt;=3),"PROMISING",AND(F711&gt;=3,G711&gt;=3,H711&gt;=3),"NEED ATTENTION",AND(F711&lt;=4,G711&gt;=6,H711&gt;=6),"AT RISK",AND(F711&lt;=2,G711&gt;=8,H711&gt;=8),"CAN'T LOSE THEM",AND(F711&lt;=2,G711&lt;=2,H711&lt;=2),"HIBERNATING",TRUE(),"Other")</f>
        <v>Other</v>
      </c>
      <c r="K711" s="1" t="n">
        <f aca="false">RANK(E711,$E$7:$E$4378)+COUNTIF($E$7:E711,E711)-1</f>
        <v>2346</v>
      </c>
    </row>
    <row r="712" customFormat="false" ht="14.25" hidden="false" customHeight="true" outlineLevel="0" collapsed="false">
      <c r="A712" s="51" t="n">
        <v>13271</v>
      </c>
      <c r="B712" s="53" t="n">
        <v>40849.6131944444</v>
      </c>
      <c r="C712" s="57" t="n">
        <f aca="false">INT($C$2)-INT(Table3[[#This Row],[Last Purchase Date]])</f>
        <v>38</v>
      </c>
      <c r="D712" s="1" t="n">
        <v>2</v>
      </c>
      <c r="E712" s="1" t="n">
        <v>178.26</v>
      </c>
      <c r="F712" s="1" t="n">
        <f aca="false">ROUND((1-_xlfn.PERCENTRANK.INC($C$7:$C$4378,C712))*9,0)</f>
        <v>5</v>
      </c>
      <c r="G712" s="1" t="n">
        <f aca="false">ROUND(_xlfn.PERCENTRANK.INC($D$7:$D$4378,D712)*9,0)</f>
        <v>3</v>
      </c>
      <c r="H712" s="1" t="n">
        <f aca="false">ROUND(_xlfn.PERCENTRANK.INC($E$7:$E$4378,E712)*9,0)</f>
        <v>1</v>
      </c>
      <c r="I712" s="1" t="str">
        <f aca="false">CONCATENATE(F712,G712,H712)</f>
        <v>531</v>
      </c>
      <c r="J712" s="1" t="str">
        <f aca="false">_xlfn.IFS(AND(F712&gt;=8,G712&gt;=8,H712&gt;=8),"CHAMPION",AND(F712&gt;=6,G712&gt;=7,H712&gt;=6),"LOYAL CUSTOMER",AND(F712&gt;=6,G712&gt;=5,H712&gt;=5),"POTENTIAL LOYALIST",AND(F712&gt;=8,G712&lt;=2,H712&gt;=5),"NEW CUSTOMERS",AND(F712&gt;=6,G712&lt;=2,H712&gt;=3),"PROMISING",AND(F712&gt;=3,G712&gt;=3,H712&gt;=3),"NEED ATTENTION",AND(F712&lt;=4,G712&gt;=6,H712&gt;=6),"AT RISK",AND(F712&lt;=2,G712&gt;=8,H712&gt;=8),"CAN'T LOSE THEM",AND(F712&lt;=2,G712&lt;=2,H712&lt;=2),"HIBERNATING",TRUE(),"Other")</f>
        <v>Other</v>
      </c>
      <c r="K712" s="1" t="n">
        <f aca="false">RANK(E712,$E$7:$E$4378)+COUNTIF($E$7:E712,E712)-1</f>
        <v>3765</v>
      </c>
    </row>
    <row r="713" customFormat="false" ht="14.25" hidden="false" customHeight="true" outlineLevel="0" collapsed="false">
      <c r="A713" s="51" t="n">
        <v>13272</v>
      </c>
      <c r="B713" s="53" t="n">
        <v>40855.5833333333</v>
      </c>
      <c r="C713" s="57" t="n">
        <f aca="false">INT($C$2)-INT(Table3[[#This Row],[Last Purchase Date]])</f>
        <v>32</v>
      </c>
      <c r="D713" s="1" t="n">
        <v>2</v>
      </c>
      <c r="E713" s="1" t="n">
        <v>276.56</v>
      </c>
      <c r="F713" s="1" t="n">
        <f aca="false">ROUND((1-_xlfn.PERCENTRANK.INC($C$7:$C$4378,C713))*9,0)</f>
        <v>5</v>
      </c>
      <c r="G713" s="1" t="n">
        <f aca="false">ROUND(_xlfn.PERCENTRANK.INC($D$7:$D$4378,D713)*9,0)</f>
        <v>3</v>
      </c>
      <c r="H713" s="1" t="n">
        <f aca="false">ROUND(_xlfn.PERCENTRANK.INC($E$7:$E$4378,E713)*9,0)</f>
        <v>2</v>
      </c>
      <c r="I713" s="1" t="str">
        <f aca="false">CONCATENATE(F713,G713,H713)</f>
        <v>532</v>
      </c>
      <c r="J713" s="1" t="str">
        <f aca="false">_xlfn.IFS(AND(F713&gt;=8,G713&gt;=8,H713&gt;=8),"CHAMPION",AND(F713&gt;=6,G713&gt;=7,H713&gt;=6),"LOYAL CUSTOMER",AND(F713&gt;=6,G713&gt;=5,H713&gt;=5),"POTENTIAL LOYALIST",AND(F713&gt;=8,G713&lt;=2,H713&gt;=5),"NEW CUSTOMERS",AND(F713&gt;=6,G713&lt;=2,H713&gt;=3),"PROMISING",AND(F713&gt;=3,G713&gt;=3,H713&gt;=3),"NEED ATTENTION",AND(F713&lt;=4,G713&gt;=6,H713&gt;=6),"AT RISK",AND(F713&lt;=2,G713&gt;=8,H713&gt;=8),"CAN'T LOSE THEM",AND(F713&lt;=2,G713&lt;=2,H713&lt;=2),"HIBERNATING",TRUE(),"Other")</f>
        <v>Other</v>
      </c>
      <c r="K713" s="1" t="n">
        <f aca="false">RANK(E713,$E$7:$E$4378)+COUNTIF($E$7:E713,E713)-1</f>
        <v>3339</v>
      </c>
    </row>
    <row r="714" customFormat="false" ht="14.25" hidden="false" customHeight="true" outlineLevel="0" collapsed="false">
      <c r="A714" s="51" t="n">
        <v>13273</v>
      </c>
      <c r="B714" s="53" t="n">
        <v>40773.5847222222</v>
      </c>
      <c r="C714" s="57" t="n">
        <f aca="false">INT($C$2)-INT(Table3[[#This Row],[Last Purchase Date]])</f>
        <v>114</v>
      </c>
      <c r="D714" s="1" t="n">
        <v>1</v>
      </c>
      <c r="E714" s="1" t="n">
        <v>138.98</v>
      </c>
      <c r="F714" s="1" t="n">
        <f aca="false">ROUND((1-_xlfn.PERCENTRANK.INC($C$7:$C$4378,C714))*9,0)</f>
        <v>3</v>
      </c>
      <c r="G714" s="1" t="n">
        <f aca="false">ROUND(_xlfn.PERCENTRANK.INC($D$7:$D$4378,D714)*9,0)</f>
        <v>0</v>
      </c>
      <c r="H714" s="1" t="n">
        <f aca="false">ROUND(_xlfn.PERCENTRANK.INC($E$7:$E$4378,E714)*9,0)</f>
        <v>1</v>
      </c>
      <c r="I714" s="1" t="str">
        <f aca="false">CONCATENATE(F714,G714,H714)</f>
        <v>301</v>
      </c>
      <c r="J714" s="1" t="str">
        <f aca="false">_xlfn.IFS(AND(F714&gt;=8,G714&gt;=8,H714&gt;=8),"CHAMPION",AND(F714&gt;=6,G714&gt;=7,H714&gt;=6),"LOYAL CUSTOMER",AND(F714&gt;=6,G714&gt;=5,H714&gt;=5),"POTENTIAL LOYALIST",AND(F714&gt;=8,G714&lt;=2,H714&gt;=5),"NEW CUSTOMERS",AND(F714&gt;=6,G714&lt;=2,H714&gt;=3),"PROMISING",AND(F714&gt;=3,G714&gt;=3,H714&gt;=3),"NEED ATTENTION",AND(F714&lt;=4,G714&gt;=6,H714&gt;=6),"AT RISK",AND(F714&lt;=2,G714&gt;=8,H714&gt;=8),"CAN'T LOSE THEM",AND(F714&lt;=2,G714&lt;=2,H714&lt;=2),"HIBERNATING",TRUE(),"Other")</f>
        <v>Other</v>
      </c>
      <c r="K714" s="1" t="n">
        <f aca="false">RANK(E714,$E$7:$E$4378)+COUNTIF($E$7:E714,E714)-1</f>
        <v>3964</v>
      </c>
    </row>
    <row r="715" customFormat="false" ht="14.25" hidden="false" customHeight="true" outlineLevel="0" collapsed="false">
      <c r="A715" s="51" t="n">
        <v>13276</v>
      </c>
      <c r="B715" s="53" t="n">
        <v>40823.5305555556</v>
      </c>
      <c r="C715" s="57" t="n">
        <f aca="false">INT($C$2)-INT(Table3[[#This Row],[Last Purchase Date]])</f>
        <v>64</v>
      </c>
      <c r="D715" s="1" t="n">
        <v>2</v>
      </c>
      <c r="E715" s="1" t="n">
        <v>590.93</v>
      </c>
      <c r="F715" s="1" t="n">
        <f aca="false">ROUND((1-_xlfn.PERCENTRANK.INC($C$7:$C$4378,C715))*9,0)</f>
        <v>4</v>
      </c>
      <c r="G715" s="1" t="n">
        <f aca="false">ROUND(_xlfn.PERCENTRANK.INC($D$7:$D$4378,D715)*9,0)</f>
        <v>3</v>
      </c>
      <c r="H715" s="1" t="n">
        <f aca="false">ROUND(_xlfn.PERCENTRANK.INC($E$7:$E$4378,E715)*9,0)</f>
        <v>4</v>
      </c>
      <c r="I715" s="1" t="str">
        <f aca="false">CONCATENATE(F715,G715,H715)</f>
        <v>434</v>
      </c>
      <c r="J715" s="1" t="str">
        <f aca="false">_xlfn.IFS(AND(F715&gt;=8,G715&gt;=8,H715&gt;=8),"CHAMPION",AND(F715&gt;=6,G715&gt;=7,H715&gt;=6),"LOYAL CUSTOMER",AND(F715&gt;=6,G715&gt;=5,H715&gt;=5),"POTENTIAL LOYALIST",AND(F715&gt;=8,G715&lt;=2,H715&gt;=5),"NEW CUSTOMERS",AND(F715&gt;=6,G715&lt;=2,H715&gt;=3),"PROMISING",AND(F715&gt;=3,G715&gt;=3,H715&gt;=3),"NEED ATTENTION",AND(F715&lt;=4,G715&gt;=6,H715&gt;=6),"AT RISK",AND(F715&lt;=2,G715&gt;=8,H715&gt;=8),"CAN'T LOSE THEM",AND(F715&lt;=2,G715&lt;=2,H715&lt;=2),"HIBERNATING",TRUE(),"Other")</f>
        <v>NEED ATTENTION</v>
      </c>
      <c r="K715" s="1" t="n">
        <f aca="false">RANK(E715,$E$7:$E$4378)+COUNTIF($E$7:E715,E715)-1</f>
        <v>2344</v>
      </c>
    </row>
    <row r="716" customFormat="false" ht="14.25" hidden="false" customHeight="true" outlineLevel="0" collapsed="false">
      <c r="A716" s="51" t="n">
        <v>13277</v>
      </c>
      <c r="B716" s="53" t="n">
        <v>40871.3895833333</v>
      </c>
      <c r="C716" s="57" t="n">
        <f aca="false">INT($C$2)-INT(Table3[[#This Row],[Last Purchase Date]])</f>
        <v>16</v>
      </c>
      <c r="D716" s="1" t="n">
        <v>4</v>
      </c>
      <c r="E716" s="1" t="n">
        <v>258.4</v>
      </c>
      <c r="F716" s="1" t="n">
        <f aca="false">ROUND((1-_xlfn.PERCENTRANK.INC($C$7:$C$4378,C716))*9,0)</f>
        <v>7</v>
      </c>
      <c r="G716" s="1" t="n">
        <f aca="false">ROUND(_xlfn.PERCENTRANK.INC($D$7:$D$4378,D716)*9,0)</f>
        <v>5</v>
      </c>
      <c r="H716" s="1" t="n">
        <f aca="false">ROUND(_xlfn.PERCENTRANK.INC($E$7:$E$4378,E716)*9,0)</f>
        <v>2</v>
      </c>
      <c r="I716" s="1" t="str">
        <f aca="false">CONCATENATE(F716,G716,H716)</f>
        <v>752</v>
      </c>
      <c r="J716" s="1" t="str">
        <f aca="false">_xlfn.IFS(AND(F716&gt;=8,G716&gt;=8,H716&gt;=8),"CHAMPION",AND(F716&gt;=6,G716&gt;=7,H716&gt;=6),"LOYAL CUSTOMER",AND(F716&gt;=6,G716&gt;=5,H716&gt;=5),"POTENTIAL LOYALIST",AND(F716&gt;=8,G716&lt;=2,H716&gt;=5),"NEW CUSTOMERS",AND(F716&gt;=6,G716&lt;=2,H716&gt;=3),"PROMISING",AND(F716&gt;=3,G716&gt;=3,H716&gt;=3),"NEED ATTENTION",AND(F716&lt;=4,G716&gt;=6,H716&gt;=6),"AT RISK",AND(F716&lt;=2,G716&gt;=8,H716&gt;=8),"CAN'T LOSE THEM",AND(F716&lt;=2,G716&lt;=2,H716&lt;=2),"HIBERNATING",TRUE(),"Other")</f>
        <v>Other</v>
      </c>
      <c r="K716" s="1" t="n">
        <f aca="false">RANK(E716,$E$7:$E$4378)+COUNTIF($E$7:E716,E716)-1</f>
        <v>3405</v>
      </c>
    </row>
    <row r="717" customFormat="false" ht="14.25" hidden="false" customHeight="true" outlineLevel="0" collapsed="false">
      <c r="A717" s="51" t="n">
        <v>13278</v>
      </c>
      <c r="B717" s="53" t="n">
        <v>40846.4923611111</v>
      </c>
      <c r="C717" s="57" t="n">
        <f aca="false">INT($C$2)-INT(Table3[[#This Row],[Last Purchase Date]])</f>
        <v>41</v>
      </c>
      <c r="D717" s="1" t="n">
        <v>1</v>
      </c>
      <c r="E717" s="1" t="n">
        <v>542.73</v>
      </c>
      <c r="F717" s="1" t="n">
        <f aca="false">ROUND((1-_xlfn.PERCENTRANK.INC($C$7:$C$4378,C717))*9,0)</f>
        <v>5</v>
      </c>
      <c r="G717" s="1" t="n">
        <f aca="false">ROUND(_xlfn.PERCENTRANK.INC($D$7:$D$4378,D717)*9,0)</f>
        <v>0</v>
      </c>
      <c r="H717" s="1" t="n">
        <f aca="false">ROUND(_xlfn.PERCENTRANK.INC($E$7:$E$4378,E717)*9,0)</f>
        <v>4</v>
      </c>
      <c r="I717" s="1" t="str">
        <f aca="false">CONCATENATE(F717,G717,H717)</f>
        <v>504</v>
      </c>
      <c r="J717" s="1" t="str">
        <f aca="false">_xlfn.IFS(AND(F717&gt;=8,G717&gt;=8,H717&gt;=8),"CHAMPION",AND(F717&gt;=6,G717&gt;=7,H717&gt;=6),"LOYAL CUSTOMER",AND(F717&gt;=6,G717&gt;=5,H717&gt;=5),"POTENTIAL LOYALIST",AND(F717&gt;=8,G717&lt;=2,H717&gt;=5),"NEW CUSTOMERS",AND(F717&gt;=6,G717&lt;=2,H717&gt;=3),"PROMISING",AND(F717&gt;=3,G717&gt;=3,H717&gt;=3),"NEED ATTENTION",AND(F717&lt;=4,G717&gt;=6,H717&gt;=6),"AT RISK",AND(F717&lt;=2,G717&gt;=8,H717&gt;=8),"CAN'T LOSE THEM",AND(F717&lt;=2,G717&lt;=2,H717&lt;=2),"HIBERNATING",TRUE(),"Other")</f>
        <v>Other</v>
      </c>
      <c r="K717" s="1" t="n">
        <f aca="false">RANK(E717,$E$7:$E$4378)+COUNTIF($E$7:E717,E717)-1</f>
        <v>2447</v>
      </c>
    </row>
    <row r="718" customFormat="false" ht="14.25" hidden="false" customHeight="true" outlineLevel="0" collapsed="false">
      <c r="A718" s="51" t="n">
        <v>13279</v>
      </c>
      <c r="B718" s="53" t="n">
        <v>40822.7854166667</v>
      </c>
      <c r="C718" s="57" t="n">
        <f aca="false">INT($C$2)-INT(Table3[[#This Row],[Last Purchase Date]])</f>
        <v>65</v>
      </c>
      <c r="D718" s="1" t="n">
        <v>2</v>
      </c>
      <c r="E718" s="1" t="n">
        <v>126.3</v>
      </c>
      <c r="F718" s="1" t="n">
        <f aca="false">ROUND((1-_xlfn.PERCENTRANK.INC($C$7:$C$4378,C718))*9,0)</f>
        <v>4</v>
      </c>
      <c r="G718" s="1" t="n">
        <f aca="false">ROUND(_xlfn.PERCENTRANK.INC($D$7:$D$4378,D718)*9,0)</f>
        <v>3</v>
      </c>
      <c r="H718" s="1" t="n">
        <f aca="false">ROUND(_xlfn.PERCENTRANK.INC($E$7:$E$4378,E718)*9,0)</f>
        <v>1</v>
      </c>
      <c r="I718" s="1" t="str">
        <f aca="false">CONCATENATE(F718,G718,H718)</f>
        <v>431</v>
      </c>
      <c r="J718" s="1" t="str">
        <f aca="false">_xlfn.IFS(AND(F718&gt;=8,G718&gt;=8,H718&gt;=8),"CHAMPION",AND(F718&gt;=6,G718&gt;=7,H718&gt;=6),"LOYAL CUSTOMER",AND(F718&gt;=6,G718&gt;=5,H718&gt;=5),"POTENTIAL LOYALIST",AND(F718&gt;=8,G718&lt;=2,H718&gt;=5),"NEW CUSTOMERS",AND(F718&gt;=6,G718&lt;=2,H718&gt;=3),"PROMISING",AND(F718&gt;=3,G718&gt;=3,H718&gt;=3),"NEED ATTENTION",AND(F718&lt;=4,G718&gt;=6,H718&gt;=6),"AT RISK",AND(F718&lt;=2,G718&gt;=8,H718&gt;=8),"CAN'T LOSE THEM",AND(F718&lt;=2,G718&lt;=2,H718&lt;=2),"HIBERNATING",TRUE(),"Other")</f>
        <v>Other</v>
      </c>
      <c r="K718" s="1" t="n">
        <f aca="false">RANK(E718,$E$7:$E$4378)+COUNTIF($E$7:E718,E718)-1</f>
        <v>4018</v>
      </c>
    </row>
    <row r="719" customFormat="false" ht="14.25" hidden="false" customHeight="true" outlineLevel="0" collapsed="false">
      <c r="A719" s="51" t="n">
        <v>13280</v>
      </c>
      <c r="B719" s="53" t="n">
        <v>40764.5513888889</v>
      </c>
      <c r="C719" s="57" t="n">
        <f aca="false">INT($C$2)-INT(Table3[[#This Row],[Last Purchase Date]])</f>
        <v>123</v>
      </c>
      <c r="D719" s="1" t="n">
        <v>3</v>
      </c>
      <c r="E719" s="1" t="n">
        <v>814.86</v>
      </c>
      <c r="F719" s="1" t="n">
        <f aca="false">ROUND((1-_xlfn.PERCENTRANK.INC($C$7:$C$4378,C719))*9,0)</f>
        <v>3</v>
      </c>
      <c r="G719" s="1" t="n">
        <f aca="false">ROUND(_xlfn.PERCENTRANK.INC($D$7:$D$4378,D719)*9,0)</f>
        <v>4</v>
      </c>
      <c r="H719" s="1" t="n">
        <f aca="false">ROUND(_xlfn.PERCENTRANK.INC($E$7:$E$4378,E719)*9,0)</f>
        <v>5</v>
      </c>
      <c r="I719" s="1" t="str">
        <f aca="false">CONCATENATE(F719,G719,H719)</f>
        <v>345</v>
      </c>
      <c r="J719" s="1" t="str">
        <f aca="false">_xlfn.IFS(AND(F719&gt;=8,G719&gt;=8,H719&gt;=8),"CHAMPION",AND(F719&gt;=6,G719&gt;=7,H719&gt;=6),"LOYAL CUSTOMER",AND(F719&gt;=6,G719&gt;=5,H719&gt;=5),"POTENTIAL LOYALIST",AND(F719&gt;=8,G719&lt;=2,H719&gt;=5),"NEW CUSTOMERS",AND(F719&gt;=6,G719&lt;=2,H719&gt;=3),"PROMISING",AND(F719&gt;=3,G719&gt;=3,H719&gt;=3),"NEED ATTENTION",AND(F719&lt;=4,G719&gt;=6,H719&gt;=6),"AT RISK",AND(F719&lt;=2,G719&gt;=8,H719&gt;=8),"CAN'T LOSE THEM",AND(F719&lt;=2,G719&lt;=2,H719&lt;=2),"HIBERNATING",TRUE(),"Other")</f>
        <v>NEED ATTENTION</v>
      </c>
      <c r="K719" s="1" t="n">
        <f aca="false">RANK(E719,$E$7:$E$4378)+COUNTIF($E$7:E719,E719)-1</f>
        <v>1872</v>
      </c>
    </row>
    <row r="720" customFormat="false" ht="14.25" hidden="false" customHeight="true" outlineLevel="0" collapsed="false">
      <c r="A720" s="51" t="n">
        <v>13282</v>
      </c>
      <c r="B720" s="53" t="n">
        <v>40868.6479166667</v>
      </c>
      <c r="C720" s="57" t="n">
        <f aca="false">INT($C$2)-INT(Table3[[#This Row],[Last Purchase Date]])</f>
        <v>19</v>
      </c>
      <c r="D720" s="1" t="n">
        <v>6</v>
      </c>
      <c r="E720" s="1" t="n">
        <v>1047.84</v>
      </c>
      <c r="F720" s="1" t="n">
        <f aca="false">ROUND((1-_xlfn.PERCENTRANK.INC($C$7:$C$4378,C720))*9,0)</f>
        <v>7</v>
      </c>
      <c r="G720" s="1" t="n">
        <f aca="false">ROUND(_xlfn.PERCENTRANK.INC($D$7:$D$4378,D720)*9,0)</f>
        <v>7</v>
      </c>
      <c r="H720" s="1" t="n">
        <f aca="false">ROUND(_xlfn.PERCENTRANK.INC($E$7:$E$4378,E720)*9,0)</f>
        <v>6</v>
      </c>
      <c r="I720" s="1" t="str">
        <f aca="false">CONCATENATE(F720,G720,H720)</f>
        <v>776</v>
      </c>
      <c r="J720" s="1" t="str">
        <f aca="false">_xlfn.IFS(AND(F720&gt;=8,G720&gt;=8,H720&gt;=8),"CHAMPION",AND(F720&gt;=6,G720&gt;=7,H720&gt;=6),"LOYAL CUSTOMER",AND(F720&gt;=6,G720&gt;=5,H720&gt;=5),"POTENTIAL LOYALIST",AND(F720&gt;=8,G720&lt;=2,H720&gt;=5),"NEW CUSTOMERS",AND(F720&gt;=6,G720&lt;=2,H720&gt;=3),"PROMISING",AND(F720&gt;=3,G720&gt;=3,H720&gt;=3),"NEED ATTENTION",AND(F720&lt;=4,G720&gt;=6,H720&gt;=6),"AT RISK",AND(F720&lt;=2,G720&gt;=8,H720&gt;=8),"CAN'T LOSE THEM",AND(F720&lt;=2,G720&lt;=2,H720&lt;=2),"HIBERNATING",TRUE(),"Other")</f>
        <v>LOYAL CUSTOMER</v>
      </c>
      <c r="K720" s="1" t="n">
        <f aca="false">RANK(E720,$E$7:$E$4378)+COUNTIF($E$7:E720,E720)-1</f>
        <v>1565</v>
      </c>
    </row>
    <row r="721" customFormat="false" ht="14.25" hidden="false" customHeight="true" outlineLevel="0" collapsed="false">
      <c r="A721" s="51" t="n">
        <v>13283</v>
      </c>
      <c r="B721" s="53" t="n">
        <v>40827.4097222222</v>
      </c>
      <c r="C721" s="57" t="n">
        <f aca="false">INT($C$2)-INT(Table3[[#This Row],[Last Purchase Date]])</f>
        <v>60</v>
      </c>
      <c r="D721" s="1" t="n">
        <v>2</v>
      </c>
      <c r="E721" s="1" t="n">
        <v>93.66</v>
      </c>
      <c r="F721" s="1" t="n">
        <f aca="false">ROUND((1-_xlfn.PERCENTRANK.INC($C$7:$C$4378,C721))*9,0)</f>
        <v>4</v>
      </c>
      <c r="G721" s="1" t="n">
        <f aca="false">ROUND(_xlfn.PERCENTRANK.INC($D$7:$D$4378,D721)*9,0)</f>
        <v>3</v>
      </c>
      <c r="H721" s="1" t="n">
        <f aca="false">ROUND(_xlfn.PERCENTRANK.INC($E$7:$E$4378,E721)*9,0)</f>
        <v>0</v>
      </c>
      <c r="I721" s="1" t="str">
        <f aca="false">CONCATENATE(F721,G721,H721)</f>
        <v>430</v>
      </c>
      <c r="J721" s="1" t="str">
        <f aca="false">_xlfn.IFS(AND(F721&gt;=8,G721&gt;=8,H721&gt;=8),"CHAMPION",AND(F721&gt;=6,G721&gt;=7,H721&gt;=6),"LOYAL CUSTOMER",AND(F721&gt;=6,G721&gt;=5,H721&gt;=5),"POTENTIAL LOYALIST",AND(F721&gt;=8,G721&lt;=2,H721&gt;=5),"NEW CUSTOMERS",AND(F721&gt;=6,G721&lt;=2,H721&gt;=3),"PROMISING",AND(F721&gt;=3,G721&gt;=3,H721&gt;=3),"NEED ATTENTION",AND(F721&lt;=4,G721&gt;=6,H721&gt;=6),"AT RISK",AND(F721&lt;=2,G721&gt;=8,H721&gt;=8),"CAN'T LOSE THEM",AND(F721&lt;=2,G721&lt;=2,H721&lt;=2),"HIBERNATING",TRUE(),"Other")</f>
        <v>Other</v>
      </c>
      <c r="K721" s="1" t="n">
        <f aca="false">RANK(E721,$E$7:$E$4378)+COUNTIF($E$7:E721,E721)-1</f>
        <v>4181</v>
      </c>
    </row>
    <row r="722" customFormat="false" ht="14.25" hidden="false" customHeight="true" outlineLevel="0" collapsed="false">
      <c r="A722" s="51" t="n">
        <v>13284</v>
      </c>
      <c r="B722" s="53" t="n">
        <v>40564.4340277778</v>
      </c>
      <c r="C722" s="57" t="n">
        <f aca="false">INT($C$2)-INT(Table3[[#This Row],[Last Purchase Date]])</f>
        <v>323</v>
      </c>
      <c r="D722" s="1" t="n">
        <v>2</v>
      </c>
      <c r="E722" s="1" t="n">
        <v>196.15</v>
      </c>
      <c r="F722" s="1" t="n">
        <f aca="false">ROUND((1-_xlfn.PERCENTRANK.INC($C$7:$C$4378,C722))*9,0)</f>
        <v>0</v>
      </c>
      <c r="G722" s="1" t="n">
        <f aca="false">ROUND(_xlfn.PERCENTRANK.INC($D$7:$D$4378,D722)*9,0)</f>
        <v>3</v>
      </c>
      <c r="H722" s="1" t="n">
        <f aca="false">ROUND(_xlfn.PERCENTRANK.INC($E$7:$E$4378,E722)*9,0)</f>
        <v>1</v>
      </c>
      <c r="I722" s="1" t="str">
        <f aca="false">CONCATENATE(F722,G722,H722)</f>
        <v>031</v>
      </c>
      <c r="J722" s="1" t="str">
        <f aca="false">_xlfn.IFS(AND(F722&gt;=8,G722&gt;=8,H722&gt;=8),"CHAMPION",AND(F722&gt;=6,G722&gt;=7,H722&gt;=6),"LOYAL CUSTOMER",AND(F722&gt;=6,G722&gt;=5,H722&gt;=5),"POTENTIAL LOYALIST",AND(F722&gt;=8,G722&lt;=2,H722&gt;=5),"NEW CUSTOMERS",AND(F722&gt;=6,G722&lt;=2,H722&gt;=3),"PROMISING",AND(F722&gt;=3,G722&gt;=3,H722&gt;=3),"NEED ATTENTION",AND(F722&lt;=4,G722&gt;=6,H722&gt;=6),"AT RISK",AND(F722&lt;=2,G722&gt;=8,H722&gt;=8),"CAN'T LOSE THEM",AND(F722&lt;=2,G722&lt;=2,H722&lt;=2),"HIBERNATING",TRUE(),"Other")</f>
        <v>Other</v>
      </c>
      <c r="K722" s="1" t="n">
        <f aca="false">RANK(E722,$E$7:$E$4378)+COUNTIF($E$7:E722,E722)-1</f>
        <v>3679</v>
      </c>
    </row>
    <row r="723" customFormat="false" ht="14.25" hidden="false" customHeight="true" outlineLevel="0" collapsed="false">
      <c r="A723" s="51" t="n">
        <v>13285</v>
      </c>
      <c r="B723" s="53" t="n">
        <v>40863.5548611111</v>
      </c>
      <c r="C723" s="57" t="n">
        <f aca="false">INT($C$2)-INT(Table3[[#This Row],[Last Purchase Date]])</f>
        <v>24</v>
      </c>
      <c r="D723" s="1" t="n">
        <v>4</v>
      </c>
      <c r="E723" s="1" t="n">
        <v>2709.12</v>
      </c>
      <c r="F723" s="1" t="n">
        <f aca="false">ROUND((1-_xlfn.PERCENTRANK.INC($C$7:$C$4378,C723))*9,0)</f>
        <v>6</v>
      </c>
      <c r="G723" s="1" t="n">
        <f aca="false">ROUND(_xlfn.PERCENTRANK.INC($D$7:$D$4378,D723)*9,0)</f>
        <v>5</v>
      </c>
      <c r="H723" s="1" t="n">
        <f aca="false">ROUND(_xlfn.PERCENTRANK.INC($E$7:$E$4378,E723)*9,0)</f>
        <v>8</v>
      </c>
      <c r="I723" s="1" t="str">
        <f aca="false">CONCATENATE(F723,G723,H723)</f>
        <v>658</v>
      </c>
      <c r="J723" s="1" t="str">
        <f aca="false">_xlfn.IFS(AND(F723&gt;=8,G723&gt;=8,H723&gt;=8),"CHAMPION",AND(F723&gt;=6,G723&gt;=7,H723&gt;=6),"LOYAL CUSTOMER",AND(F723&gt;=6,G723&gt;=5,H723&gt;=5),"POTENTIAL LOYALIST",AND(F723&gt;=8,G723&lt;=2,H723&gt;=5),"NEW CUSTOMERS",AND(F723&gt;=6,G723&lt;=2,H723&gt;=3),"PROMISING",AND(F723&gt;=3,G723&gt;=3,H723&gt;=3),"NEED ATTENTION",AND(F723&lt;=4,G723&gt;=6,H723&gt;=6),"AT RISK",AND(F723&lt;=2,G723&gt;=8,H723&gt;=8),"CAN'T LOSE THEM",AND(F723&lt;=2,G723&lt;=2,H723&lt;=2),"HIBERNATING",TRUE(),"Other")</f>
        <v>POTENTIAL LOYALIST</v>
      </c>
      <c r="K723" s="1" t="n">
        <f aca="false">RANK(E723,$E$7:$E$4378)+COUNTIF($E$7:E723,E723)-1</f>
        <v>613</v>
      </c>
    </row>
    <row r="724" customFormat="false" ht="14.25" hidden="false" customHeight="true" outlineLevel="0" collapsed="false">
      <c r="A724" s="51" t="n">
        <v>13291</v>
      </c>
      <c r="B724" s="53" t="n">
        <v>40731.4416666667</v>
      </c>
      <c r="C724" s="57" t="n">
        <f aca="false">INT($C$2)-INT(Table3[[#This Row],[Last Purchase Date]])</f>
        <v>156</v>
      </c>
      <c r="D724" s="1" t="n">
        <v>1</v>
      </c>
      <c r="E724" s="1" t="n">
        <v>361.11</v>
      </c>
      <c r="F724" s="1" t="n">
        <f aca="false">ROUND((1-_xlfn.PERCENTRANK.INC($C$7:$C$4378,C724))*9,0)</f>
        <v>2</v>
      </c>
      <c r="G724" s="1" t="n">
        <f aca="false">ROUND(_xlfn.PERCENTRANK.INC($D$7:$D$4378,D724)*9,0)</f>
        <v>0</v>
      </c>
      <c r="H724" s="1" t="n">
        <f aca="false">ROUND(_xlfn.PERCENTRANK.INC($E$7:$E$4378,E724)*9,0)</f>
        <v>3</v>
      </c>
      <c r="I724" s="1" t="str">
        <f aca="false">CONCATENATE(F724,G724,H724)</f>
        <v>203</v>
      </c>
      <c r="J724" s="1" t="str">
        <f aca="false">_xlfn.IFS(AND(F724&gt;=8,G724&gt;=8,H724&gt;=8),"CHAMPION",AND(F724&gt;=6,G724&gt;=7,H724&gt;=6),"LOYAL CUSTOMER",AND(F724&gt;=6,G724&gt;=5,H724&gt;=5),"POTENTIAL LOYALIST",AND(F724&gt;=8,G724&lt;=2,H724&gt;=5),"NEW CUSTOMERS",AND(F724&gt;=6,G724&lt;=2,H724&gt;=3),"PROMISING",AND(F724&gt;=3,G724&gt;=3,H724&gt;=3),"NEED ATTENTION",AND(F724&lt;=4,G724&gt;=6,H724&gt;=6),"AT RISK",AND(F724&lt;=2,G724&gt;=8,H724&gt;=8),"CAN'T LOSE THEM",AND(F724&lt;=2,G724&lt;=2,H724&lt;=2),"HIBERNATING",TRUE(),"Other")</f>
        <v>Other</v>
      </c>
      <c r="K724" s="1" t="n">
        <f aca="false">RANK(E724,$E$7:$E$4378)+COUNTIF($E$7:E724,E724)-1</f>
        <v>2964</v>
      </c>
    </row>
    <row r="725" customFormat="false" ht="14.25" hidden="false" customHeight="true" outlineLevel="0" collapsed="false">
      <c r="A725" s="51" t="n">
        <v>13292</v>
      </c>
      <c r="B725" s="53" t="n">
        <v>40848.4194444444</v>
      </c>
      <c r="C725" s="57" t="n">
        <f aca="false">INT($C$2)-INT(Table3[[#This Row],[Last Purchase Date]])</f>
        <v>39</v>
      </c>
      <c r="D725" s="1" t="n">
        <v>2</v>
      </c>
      <c r="E725" s="1" t="n">
        <v>578.94</v>
      </c>
      <c r="F725" s="1" t="n">
        <f aca="false">ROUND((1-_xlfn.PERCENTRANK.INC($C$7:$C$4378,C725))*9,0)</f>
        <v>5</v>
      </c>
      <c r="G725" s="1" t="n">
        <f aca="false">ROUND(_xlfn.PERCENTRANK.INC($D$7:$D$4378,D725)*9,0)</f>
        <v>3</v>
      </c>
      <c r="H725" s="1" t="n">
        <f aca="false">ROUND(_xlfn.PERCENTRANK.INC($E$7:$E$4378,E725)*9,0)</f>
        <v>4</v>
      </c>
      <c r="I725" s="1" t="str">
        <f aca="false">CONCATENATE(F725,G725,H725)</f>
        <v>534</v>
      </c>
      <c r="J725" s="1" t="str">
        <f aca="false">_xlfn.IFS(AND(F725&gt;=8,G725&gt;=8,H725&gt;=8),"CHAMPION",AND(F725&gt;=6,G725&gt;=7,H725&gt;=6),"LOYAL CUSTOMER",AND(F725&gt;=6,G725&gt;=5,H725&gt;=5),"POTENTIAL LOYALIST",AND(F725&gt;=8,G725&lt;=2,H725&gt;=5),"NEW CUSTOMERS",AND(F725&gt;=6,G725&lt;=2,H725&gt;=3),"PROMISING",AND(F725&gt;=3,G725&gt;=3,H725&gt;=3),"NEED ATTENTION",AND(F725&lt;=4,G725&gt;=6,H725&gt;=6),"AT RISK",AND(F725&lt;=2,G725&gt;=8,H725&gt;=8),"CAN'T LOSE THEM",AND(F725&lt;=2,G725&lt;=2,H725&lt;=2),"HIBERNATING",TRUE(),"Other")</f>
        <v>NEED ATTENTION</v>
      </c>
      <c r="K725" s="1" t="n">
        <f aca="false">RANK(E725,$E$7:$E$4378)+COUNTIF($E$7:E725,E725)-1</f>
        <v>2374</v>
      </c>
    </row>
    <row r="726" customFormat="false" ht="14.25" hidden="false" customHeight="true" outlineLevel="0" collapsed="false">
      <c r="A726" s="51" t="n">
        <v>13294</v>
      </c>
      <c r="B726" s="53" t="n">
        <v>40697.3708333333</v>
      </c>
      <c r="C726" s="57" t="n">
        <f aca="false">INT($C$2)-INT(Table3[[#This Row],[Last Purchase Date]])</f>
        <v>190</v>
      </c>
      <c r="D726" s="1" t="n">
        <v>2</v>
      </c>
      <c r="E726" s="1" t="n">
        <v>873.74</v>
      </c>
      <c r="F726" s="1" t="n">
        <f aca="false">ROUND((1-_xlfn.PERCENTRANK.INC($C$7:$C$4378,C726))*9,0)</f>
        <v>2</v>
      </c>
      <c r="G726" s="1" t="n">
        <f aca="false">ROUND(_xlfn.PERCENTRANK.INC($D$7:$D$4378,D726)*9,0)</f>
        <v>3</v>
      </c>
      <c r="H726" s="1" t="n">
        <f aca="false">ROUND(_xlfn.PERCENTRANK.INC($E$7:$E$4378,E726)*9,0)</f>
        <v>5</v>
      </c>
      <c r="I726" s="1" t="str">
        <f aca="false">CONCATENATE(F726,G726,H726)</f>
        <v>235</v>
      </c>
      <c r="J726" s="1" t="str">
        <f aca="false">_xlfn.IFS(AND(F726&gt;=8,G726&gt;=8,H726&gt;=8),"CHAMPION",AND(F726&gt;=6,G726&gt;=7,H726&gt;=6),"LOYAL CUSTOMER",AND(F726&gt;=6,G726&gt;=5,H726&gt;=5),"POTENTIAL LOYALIST",AND(F726&gt;=8,G726&lt;=2,H726&gt;=5),"NEW CUSTOMERS",AND(F726&gt;=6,G726&lt;=2,H726&gt;=3),"PROMISING",AND(F726&gt;=3,G726&gt;=3,H726&gt;=3),"NEED ATTENTION",AND(F726&lt;=4,G726&gt;=6,H726&gt;=6),"AT RISK",AND(F726&lt;=2,G726&gt;=8,H726&gt;=8),"CAN'T LOSE THEM",AND(F726&lt;=2,G726&lt;=2,H726&lt;=2),"HIBERNATING",TRUE(),"Other")</f>
        <v>Other</v>
      </c>
      <c r="K726" s="1" t="n">
        <f aca="false">RANK(E726,$E$7:$E$4378)+COUNTIF($E$7:E726,E726)-1</f>
        <v>1797</v>
      </c>
    </row>
    <row r="727" customFormat="false" ht="14.25" hidden="false" customHeight="true" outlineLevel="0" collapsed="false">
      <c r="A727" s="51" t="n">
        <v>13295</v>
      </c>
      <c r="B727" s="53" t="n">
        <v>40527.4729166667</v>
      </c>
      <c r="C727" s="57" t="n">
        <f aca="false">INT($C$2)-INT(Table3[[#This Row],[Last Purchase Date]])</f>
        <v>360</v>
      </c>
      <c r="D727" s="1" t="n">
        <v>2</v>
      </c>
      <c r="E727" s="1" t="n">
        <v>197.95</v>
      </c>
      <c r="F727" s="1" t="n">
        <f aca="false">ROUND((1-_xlfn.PERCENTRANK.INC($C$7:$C$4378,C727))*9,0)</f>
        <v>0</v>
      </c>
      <c r="G727" s="1" t="n">
        <f aca="false">ROUND(_xlfn.PERCENTRANK.INC($D$7:$D$4378,D727)*9,0)</f>
        <v>3</v>
      </c>
      <c r="H727" s="1" t="n">
        <f aca="false">ROUND(_xlfn.PERCENTRANK.INC($E$7:$E$4378,E727)*9,0)</f>
        <v>1</v>
      </c>
      <c r="I727" s="1" t="str">
        <f aca="false">CONCATENATE(F727,G727,H727)</f>
        <v>031</v>
      </c>
      <c r="J727" s="1" t="str">
        <f aca="false">_xlfn.IFS(AND(F727&gt;=8,G727&gt;=8,H727&gt;=8),"CHAMPION",AND(F727&gt;=6,G727&gt;=7,H727&gt;=6),"LOYAL CUSTOMER",AND(F727&gt;=6,G727&gt;=5,H727&gt;=5),"POTENTIAL LOYALIST",AND(F727&gt;=8,G727&lt;=2,H727&gt;=5),"NEW CUSTOMERS",AND(F727&gt;=6,G727&lt;=2,H727&gt;=3),"PROMISING",AND(F727&gt;=3,G727&gt;=3,H727&gt;=3),"NEED ATTENTION",AND(F727&lt;=4,G727&gt;=6,H727&gt;=6),"AT RISK",AND(F727&lt;=2,G727&gt;=8,H727&gt;=8),"CAN'T LOSE THEM",AND(F727&lt;=2,G727&lt;=2,H727&lt;=2),"HIBERNATING",TRUE(),"Other")</f>
        <v>Other</v>
      </c>
      <c r="K727" s="1" t="n">
        <f aca="false">RANK(E727,$E$7:$E$4378)+COUNTIF($E$7:E727,E727)-1</f>
        <v>3666</v>
      </c>
    </row>
    <row r="728" customFormat="false" ht="14.25" hidden="false" customHeight="true" outlineLevel="0" collapsed="false">
      <c r="A728" s="51" t="n">
        <v>13296</v>
      </c>
      <c r="B728" s="53" t="n">
        <v>40749.5736111111</v>
      </c>
      <c r="C728" s="57" t="n">
        <f aca="false">INT($C$2)-INT(Table3[[#This Row],[Last Purchase Date]])</f>
        <v>138</v>
      </c>
      <c r="D728" s="1" t="n">
        <v>1</v>
      </c>
      <c r="E728" s="1" t="n">
        <v>87.4</v>
      </c>
      <c r="F728" s="1" t="n">
        <f aca="false">ROUND((1-_xlfn.PERCENTRANK.INC($C$7:$C$4378,C728))*9,0)</f>
        <v>2</v>
      </c>
      <c r="G728" s="1" t="n">
        <f aca="false">ROUND(_xlfn.PERCENTRANK.INC($D$7:$D$4378,D728)*9,0)</f>
        <v>0</v>
      </c>
      <c r="H728" s="1" t="n">
        <f aca="false">ROUND(_xlfn.PERCENTRANK.INC($E$7:$E$4378,E728)*9,0)</f>
        <v>0</v>
      </c>
      <c r="I728" s="1" t="str">
        <f aca="false">CONCATENATE(F728,G728,H728)</f>
        <v>200</v>
      </c>
      <c r="J728" s="1" t="str">
        <f aca="false">_xlfn.IFS(AND(F728&gt;=8,G728&gt;=8,H728&gt;=8),"CHAMPION",AND(F728&gt;=6,G728&gt;=7,H728&gt;=6),"LOYAL CUSTOMER",AND(F728&gt;=6,G728&gt;=5,H728&gt;=5),"POTENTIAL LOYALIST",AND(F728&gt;=8,G728&lt;=2,H728&gt;=5),"NEW CUSTOMERS",AND(F728&gt;=6,G728&lt;=2,H728&gt;=3),"PROMISING",AND(F728&gt;=3,G728&gt;=3,H728&gt;=3),"NEED ATTENTION",AND(F728&lt;=4,G728&gt;=6,H728&gt;=6),"AT RISK",AND(F728&lt;=2,G728&gt;=8,H728&gt;=8),"CAN'T LOSE THEM",AND(F728&lt;=2,G728&lt;=2,H728&lt;=2),"HIBERNATING",TRUE(),"Other")</f>
        <v>HIBERNATING</v>
      </c>
      <c r="K728" s="1" t="n">
        <f aca="false">RANK(E728,$E$7:$E$4378)+COUNTIF($E$7:E728,E728)-1</f>
        <v>4204</v>
      </c>
    </row>
    <row r="729" customFormat="false" ht="14.25" hidden="false" customHeight="true" outlineLevel="0" collapsed="false">
      <c r="A729" s="51" t="n">
        <v>13297</v>
      </c>
      <c r="B729" s="53" t="n">
        <v>40879.3972222222</v>
      </c>
      <c r="C729" s="57" t="n">
        <f aca="false">INT($C$2)-INT(Table3[[#This Row],[Last Purchase Date]])</f>
        <v>8</v>
      </c>
      <c r="D729" s="1" t="n">
        <v>4</v>
      </c>
      <c r="E729" s="1" t="n">
        <v>2089.85</v>
      </c>
      <c r="F729" s="1" t="n">
        <f aca="false">ROUND((1-_xlfn.PERCENTRANK.INC($C$7:$C$4378,C729))*9,0)</f>
        <v>8</v>
      </c>
      <c r="G729" s="1" t="n">
        <f aca="false">ROUND(_xlfn.PERCENTRANK.INC($D$7:$D$4378,D729)*9,0)</f>
        <v>5</v>
      </c>
      <c r="H729" s="1" t="n">
        <f aca="false">ROUND(_xlfn.PERCENTRANK.INC($E$7:$E$4378,E729)*9,0)</f>
        <v>7</v>
      </c>
      <c r="I729" s="1" t="str">
        <f aca="false">CONCATENATE(F729,G729,H729)</f>
        <v>857</v>
      </c>
      <c r="J729" s="1" t="str">
        <f aca="false">_xlfn.IFS(AND(F729&gt;=8,G729&gt;=8,H729&gt;=8),"CHAMPION",AND(F729&gt;=6,G729&gt;=7,H729&gt;=6),"LOYAL CUSTOMER",AND(F729&gt;=6,G729&gt;=5,H729&gt;=5),"POTENTIAL LOYALIST",AND(F729&gt;=8,G729&lt;=2,H729&gt;=5),"NEW CUSTOMERS",AND(F729&gt;=6,G729&lt;=2,H729&gt;=3),"PROMISING",AND(F729&gt;=3,G729&gt;=3,H729&gt;=3),"NEED ATTENTION",AND(F729&lt;=4,G729&gt;=6,H729&gt;=6),"AT RISK",AND(F729&lt;=2,G729&gt;=8,H729&gt;=8),"CAN'T LOSE THEM",AND(F729&lt;=2,G729&lt;=2,H729&lt;=2),"HIBERNATING",TRUE(),"Other")</f>
        <v>POTENTIAL LOYALIST</v>
      </c>
      <c r="K729" s="1" t="n">
        <f aca="false">RANK(E729,$E$7:$E$4378)+COUNTIF($E$7:E729,E729)-1</f>
        <v>831</v>
      </c>
    </row>
    <row r="730" customFormat="false" ht="14.25" hidden="false" customHeight="true" outlineLevel="0" collapsed="false">
      <c r="A730" s="51" t="n">
        <v>13298</v>
      </c>
      <c r="B730" s="53" t="n">
        <v>40885.5493055556</v>
      </c>
      <c r="C730" s="57" t="n">
        <f aca="false">INT($C$2)-INT(Table3[[#This Row],[Last Purchase Date]])</f>
        <v>2</v>
      </c>
      <c r="D730" s="1" t="n">
        <v>1</v>
      </c>
      <c r="E730" s="1" t="n">
        <v>360</v>
      </c>
      <c r="F730" s="1" t="n">
        <f aca="false">ROUND((1-_xlfn.PERCENTRANK.INC($C$7:$C$4378,C730))*9,0)</f>
        <v>9</v>
      </c>
      <c r="G730" s="1" t="n">
        <f aca="false">ROUND(_xlfn.PERCENTRANK.INC($D$7:$D$4378,D730)*9,0)</f>
        <v>0</v>
      </c>
      <c r="H730" s="1" t="n">
        <f aca="false">ROUND(_xlfn.PERCENTRANK.INC($E$7:$E$4378,E730)*9,0)</f>
        <v>3</v>
      </c>
      <c r="I730" s="1" t="str">
        <f aca="false">CONCATENATE(F730,G730,H730)</f>
        <v>903</v>
      </c>
      <c r="J730" s="1" t="str">
        <f aca="false">_xlfn.IFS(AND(F730&gt;=8,G730&gt;=8,H730&gt;=8),"CHAMPION",AND(F730&gt;=6,G730&gt;=7,H730&gt;=6),"LOYAL CUSTOMER",AND(F730&gt;=6,G730&gt;=5,H730&gt;=5),"POTENTIAL LOYALIST",AND(F730&gt;=8,G730&lt;=2,H730&gt;=5),"NEW CUSTOMERS",AND(F730&gt;=6,G730&lt;=2,H730&gt;=3),"PROMISING",AND(F730&gt;=3,G730&gt;=3,H730&gt;=3),"NEED ATTENTION",AND(F730&lt;=4,G730&gt;=6,H730&gt;=6),"AT RISK",AND(F730&lt;=2,G730&gt;=8,H730&gt;=8),"CAN'T LOSE THEM",AND(F730&lt;=2,G730&lt;=2,H730&lt;=2),"HIBERNATING",TRUE(),"Other")</f>
        <v>PROMISING</v>
      </c>
      <c r="K730" s="1" t="n">
        <f aca="false">RANK(E730,$E$7:$E$4378)+COUNTIF($E$7:E730,E730)-1</f>
        <v>2968</v>
      </c>
    </row>
    <row r="731" customFormat="false" ht="14.25" hidden="false" customHeight="true" outlineLevel="0" collapsed="false">
      <c r="A731" s="51" t="n">
        <v>13299</v>
      </c>
      <c r="B731" s="53" t="n">
        <v>40618.5381944445</v>
      </c>
      <c r="C731" s="57" t="n">
        <f aca="false">INT($C$2)-INT(Table3[[#This Row],[Last Purchase Date]])</f>
        <v>269</v>
      </c>
      <c r="D731" s="1" t="n">
        <v>1</v>
      </c>
      <c r="E731" s="1" t="n">
        <v>142.5</v>
      </c>
      <c r="F731" s="1" t="n">
        <f aca="false">ROUND((1-_xlfn.PERCENTRANK.INC($C$7:$C$4378,C731))*9,0)</f>
        <v>1</v>
      </c>
      <c r="G731" s="1" t="n">
        <f aca="false">ROUND(_xlfn.PERCENTRANK.INC($D$7:$D$4378,D731)*9,0)</f>
        <v>0</v>
      </c>
      <c r="H731" s="1" t="n">
        <f aca="false">ROUND(_xlfn.PERCENTRANK.INC($E$7:$E$4378,E731)*9,0)</f>
        <v>1</v>
      </c>
      <c r="I731" s="1" t="str">
        <f aca="false">CONCATENATE(F731,G731,H731)</f>
        <v>101</v>
      </c>
      <c r="J731" s="1" t="str">
        <f aca="false">_xlfn.IFS(AND(F731&gt;=8,G731&gt;=8,H731&gt;=8),"CHAMPION",AND(F731&gt;=6,G731&gt;=7,H731&gt;=6),"LOYAL CUSTOMER",AND(F731&gt;=6,G731&gt;=5,H731&gt;=5),"POTENTIAL LOYALIST",AND(F731&gt;=8,G731&lt;=2,H731&gt;=5),"NEW CUSTOMERS",AND(F731&gt;=6,G731&lt;=2,H731&gt;=3),"PROMISING",AND(F731&gt;=3,G731&gt;=3,H731&gt;=3),"NEED ATTENTION",AND(F731&lt;=4,G731&gt;=6,H731&gt;=6),"AT RISK",AND(F731&lt;=2,G731&gt;=8,H731&gt;=8),"CAN'T LOSE THEM",AND(F731&lt;=2,G731&lt;=2,H731&lt;=2),"HIBERNATING",TRUE(),"Other")</f>
        <v>HIBERNATING</v>
      </c>
      <c r="K731" s="1" t="n">
        <f aca="false">RANK(E731,$E$7:$E$4378)+COUNTIF($E$7:E731,E731)-1</f>
        <v>3946</v>
      </c>
    </row>
    <row r="732" customFormat="false" ht="14.25" hidden="false" customHeight="true" outlineLevel="0" collapsed="false">
      <c r="A732" s="51" t="n">
        <v>13300</v>
      </c>
      <c r="B732" s="53" t="n">
        <v>40722.4993055556</v>
      </c>
      <c r="C732" s="57" t="n">
        <f aca="false">INT($C$2)-INT(Table3[[#This Row],[Last Purchase Date]])</f>
        <v>165</v>
      </c>
      <c r="D732" s="1" t="n">
        <v>2</v>
      </c>
      <c r="E732" s="1" t="n">
        <v>365.29</v>
      </c>
      <c r="F732" s="1" t="n">
        <f aca="false">ROUND((1-_xlfn.PERCENTRANK.INC($C$7:$C$4378,C732))*9,0)</f>
        <v>2</v>
      </c>
      <c r="G732" s="1" t="n">
        <f aca="false">ROUND(_xlfn.PERCENTRANK.INC($D$7:$D$4378,D732)*9,0)</f>
        <v>3</v>
      </c>
      <c r="H732" s="1" t="n">
        <f aca="false">ROUND(_xlfn.PERCENTRANK.INC($E$7:$E$4378,E732)*9,0)</f>
        <v>3</v>
      </c>
      <c r="I732" s="1" t="str">
        <f aca="false">CONCATENATE(F732,G732,H732)</f>
        <v>233</v>
      </c>
      <c r="J732" s="1" t="str">
        <f aca="false">_xlfn.IFS(AND(F732&gt;=8,G732&gt;=8,H732&gt;=8),"CHAMPION",AND(F732&gt;=6,G732&gt;=7,H732&gt;=6),"LOYAL CUSTOMER",AND(F732&gt;=6,G732&gt;=5,H732&gt;=5),"POTENTIAL LOYALIST",AND(F732&gt;=8,G732&lt;=2,H732&gt;=5),"NEW CUSTOMERS",AND(F732&gt;=6,G732&lt;=2,H732&gt;=3),"PROMISING",AND(F732&gt;=3,G732&gt;=3,H732&gt;=3),"NEED ATTENTION",AND(F732&lt;=4,G732&gt;=6,H732&gt;=6),"AT RISK",AND(F732&lt;=2,G732&gt;=8,H732&gt;=8),"CAN'T LOSE THEM",AND(F732&lt;=2,G732&lt;=2,H732&lt;=2),"HIBERNATING",TRUE(),"Other")</f>
        <v>Other</v>
      </c>
      <c r="K732" s="1" t="n">
        <f aca="false">RANK(E732,$E$7:$E$4378)+COUNTIF($E$7:E732,E732)-1</f>
        <v>2936</v>
      </c>
    </row>
    <row r="733" customFormat="false" ht="14.25" hidden="false" customHeight="true" outlineLevel="0" collapsed="false">
      <c r="A733" s="51" t="n">
        <v>13301</v>
      </c>
      <c r="B733" s="53" t="n">
        <v>40783.4756944445</v>
      </c>
      <c r="C733" s="57" t="n">
        <f aca="false">INT($C$2)-INT(Table3[[#This Row],[Last Purchase Date]])</f>
        <v>104</v>
      </c>
      <c r="D733" s="1" t="n">
        <v>4</v>
      </c>
      <c r="E733" s="1" t="n">
        <v>618.09</v>
      </c>
      <c r="F733" s="1" t="n">
        <f aca="false">ROUND((1-_xlfn.PERCENTRANK.INC($C$7:$C$4378,C733))*9,0)</f>
        <v>3</v>
      </c>
      <c r="G733" s="1" t="n">
        <f aca="false">ROUND(_xlfn.PERCENTRANK.INC($D$7:$D$4378,D733)*9,0)</f>
        <v>5</v>
      </c>
      <c r="H733" s="1" t="n">
        <f aca="false">ROUND(_xlfn.PERCENTRANK.INC($E$7:$E$4378,E733)*9,0)</f>
        <v>4</v>
      </c>
      <c r="I733" s="1" t="str">
        <f aca="false">CONCATENATE(F733,G733,H733)</f>
        <v>354</v>
      </c>
      <c r="J733" s="1" t="str">
        <f aca="false">_xlfn.IFS(AND(F733&gt;=8,G733&gt;=8,H733&gt;=8),"CHAMPION",AND(F733&gt;=6,G733&gt;=7,H733&gt;=6),"LOYAL CUSTOMER",AND(F733&gt;=6,G733&gt;=5,H733&gt;=5),"POTENTIAL LOYALIST",AND(F733&gt;=8,G733&lt;=2,H733&gt;=5),"NEW CUSTOMERS",AND(F733&gt;=6,G733&lt;=2,H733&gt;=3),"PROMISING",AND(F733&gt;=3,G733&gt;=3,H733&gt;=3),"NEED ATTENTION",AND(F733&lt;=4,G733&gt;=6,H733&gt;=6),"AT RISK",AND(F733&lt;=2,G733&gt;=8,H733&gt;=8),"CAN'T LOSE THEM",AND(F733&lt;=2,G733&lt;=2,H733&lt;=2),"HIBERNATING",TRUE(),"Other")</f>
        <v>NEED ATTENTION</v>
      </c>
      <c r="K733" s="1" t="n">
        <f aca="false">RANK(E733,$E$7:$E$4378)+COUNTIF($E$7:E733,E733)-1</f>
        <v>2262</v>
      </c>
    </row>
    <row r="734" customFormat="false" ht="14.25" hidden="false" customHeight="true" outlineLevel="0" collapsed="false">
      <c r="A734" s="51" t="n">
        <v>13302</v>
      </c>
      <c r="B734" s="53" t="n">
        <v>40731.7472222222</v>
      </c>
      <c r="C734" s="57" t="n">
        <f aca="false">INT($C$2)-INT(Table3[[#This Row],[Last Purchase Date]])</f>
        <v>156</v>
      </c>
      <c r="D734" s="1" t="n">
        <v>1</v>
      </c>
      <c r="E734" s="1" t="n">
        <v>63.75</v>
      </c>
      <c r="F734" s="1" t="n">
        <f aca="false">ROUND((1-_xlfn.PERCENTRANK.INC($C$7:$C$4378,C734))*9,0)</f>
        <v>2</v>
      </c>
      <c r="G734" s="1" t="n">
        <f aca="false">ROUND(_xlfn.PERCENTRANK.INC($D$7:$D$4378,D734)*9,0)</f>
        <v>0</v>
      </c>
      <c r="H734" s="1" t="n">
        <f aca="false">ROUND(_xlfn.PERCENTRANK.INC($E$7:$E$4378,E734)*9,0)</f>
        <v>0</v>
      </c>
      <c r="I734" s="1" t="str">
        <f aca="false">CONCATENATE(F734,G734,H734)</f>
        <v>200</v>
      </c>
      <c r="J734" s="1" t="str">
        <f aca="false">_xlfn.IFS(AND(F734&gt;=8,G734&gt;=8,H734&gt;=8),"CHAMPION",AND(F734&gt;=6,G734&gt;=7,H734&gt;=6),"LOYAL CUSTOMER",AND(F734&gt;=6,G734&gt;=5,H734&gt;=5),"POTENTIAL LOYALIST",AND(F734&gt;=8,G734&lt;=2,H734&gt;=5),"NEW CUSTOMERS",AND(F734&gt;=6,G734&lt;=2,H734&gt;=3),"PROMISING",AND(F734&gt;=3,G734&gt;=3,H734&gt;=3),"NEED ATTENTION",AND(F734&lt;=4,G734&gt;=6,H734&gt;=6),"AT RISK",AND(F734&lt;=2,G734&gt;=8,H734&gt;=8),"CAN'T LOSE THEM",AND(F734&lt;=2,G734&lt;=2,H734&lt;=2),"HIBERNATING",TRUE(),"Other")</f>
        <v>HIBERNATING</v>
      </c>
      <c r="K734" s="1" t="n">
        <f aca="false">RANK(E734,$E$7:$E$4378)+COUNTIF($E$7:E734,E734)-1</f>
        <v>4256</v>
      </c>
    </row>
    <row r="735" customFormat="false" ht="14.25" hidden="false" customHeight="true" outlineLevel="0" collapsed="false">
      <c r="A735" s="51" t="n">
        <v>13304</v>
      </c>
      <c r="B735" s="53" t="n">
        <v>40535.6076388889</v>
      </c>
      <c r="C735" s="57" t="n">
        <f aca="false">INT($C$2)-INT(Table3[[#This Row],[Last Purchase Date]])</f>
        <v>352</v>
      </c>
      <c r="D735" s="1" t="n">
        <v>1</v>
      </c>
      <c r="E735" s="1" t="n">
        <v>300.42</v>
      </c>
      <c r="F735" s="1" t="n">
        <f aca="false">ROUND((1-_xlfn.PERCENTRANK.INC($C$7:$C$4378,C735))*9,0)</f>
        <v>0</v>
      </c>
      <c r="G735" s="1" t="n">
        <f aca="false">ROUND(_xlfn.PERCENTRANK.INC($D$7:$D$4378,D735)*9,0)</f>
        <v>0</v>
      </c>
      <c r="H735" s="1" t="n">
        <f aca="false">ROUND(_xlfn.PERCENTRANK.INC($E$7:$E$4378,E735)*9,0)</f>
        <v>2</v>
      </c>
      <c r="I735" s="1" t="str">
        <f aca="false">CONCATENATE(F735,G735,H735)</f>
        <v>002</v>
      </c>
      <c r="J735" s="1" t="str">
        <f aca="false">_xlfn.IFS(AND(F735&gt;=8,G735&gt;=8,H735&gt;=8),"CHAMPION",AND(F735&gt;=6,G735&gt;=7,H735&gt;=6),"LOYAL CUSTOMER",AND(F735&gt;=6,G735&gt;=5,H735&gt;=5),"POTENTIAL LOYALIST",AND(F735&gt;=8,G735&lt;=2,H735&gt;=5),"NEW CUSTOMERS",AND(F735&gt;=6,G735&lt;=2,H735&gt;=3),"PROMISING",AND(F735&gt;=3,G735&gt;=3,H735&gt;=3),"NEED ATTENTION",AND(F735&lt;=4,G735&gt;=6,H735&gt;=6),"AT RISK",AND(F735&lt;=2,G735&gt;=8,H735&gt;=8),"CAN'T LOSE THEM",AND(F735&lt;=2,G735&lt;=2,H735&lt;=2),"HIBERNATING",TRUE(),"Other")</f>
        <v>HIBERNATING</v>
      </c>
      <c r="K735" s="1" t="n">
        <f aca="false">RANK(E735,$E$7:$E$4378)+COUNTIF($E$7:E735,E735)-1</f>
        <v>3252</v>
      </c>
    </row>
    <row r="736" customFormat="false" ht="14.25" hidden="false" customHeight="true" outlineLevel="0" collapsed="false">
      <c r="A736" s="51" t="n">
        <v>13305</v>
      </c>
      <c r="B736" s="53" t="n">
        <v>40882.6354166667</v>
      </c>
      <c r="C736" s="57" t="n">
        <f aca="false">INT($C$2)-INT(Table3[[#This Row],[Last Purchase Date]])</f>
        <v>5</v>
      </c>
      <c r="D736" s="1" t="n">
        <v>10</v>
      </c>
      <c r="E736" s="1" t="n">
        <v>2000.86</v>
      </c>
      <c r="F736" s="1" t="n">
        <f aca="false">ROUND((1-_xlfn.PERCENTRANK.INC($C$7:$C$4378,C736))*9,0)</f>
        <v>8</v>
      </c>
      <c r="G736" s="1" t="n">
        <f aca="false">ROUND(_xlfn.PERCENTRANK.INC($D$7:$D$4378,D736)*9,0)</f>
        <v>8</v>
      </c>
      <c r="H736" s="1" t="n">
        <f aca="false">ROUND(_xlfn.PERCENTRANK.INC($E$7:$E$4378,E736)*9,0)</f>
        <v>7</v>
      </c>
      <c r="I736" s="1" t="str">
        <f aca="false">CONCATENATE(F736,G736,H736)</f>
        <v>887</v>
      </c>
      <c r="J736" s="1" t="str">
        <f aca="false">_xlfn.IFS(AND(F736&gt;=8,G736&gt;=8,H736&gt;=8),"CHAMPION",AND(F736&gt;=6,G736&gt;=7,H736&gt;=6),"LOYAL CUSTOMER",AND(F736&gt;=6,G736&gt;=5,H736&gt;=5),"POTENTIAL LOYALIST",AND(F736&gt;=8,G736&lt;=2,H736&gt;=5),"NEW CUSTOMERS",AND(F736&gt;=6,G736&lt;=2,H736&gt;=3),"PROMISING",AND(F736&gt;=3,G736&gt;=3,H736&gt;=3),"NEED ATTENTION",AND(F736&lt;=4,G736&gt;=6,H736&gt;=6),"AT RISK",AND(F736&lt;=2,G736&gt;=8,H736&gt;=8),"CAN'T LOSE THEM",AND(F736&lt;=2,G736&lt;=2,H736&lt;=2),"HIBERNATING",TRUE(),"Other")</f>
        <v>LOYAL CUSTOMER</v>
      </c>
      <c r="K736" s="1" t="n">
        <f aca="false">RANK(E736,$E$7:$E$4378)+COUNTIF($E$7:E736,E736)-1</f>
        <v>876</v>
      </c>
    </row>
    <row r="737" customFormat="false" ht="14.25" hidden="false" customHeight="true" outlineLevel="0" collapsed="false">
      <c r="A737" s="51" t="n">
        <v>13307</v>
      </c>
      <c r="B737" s="53" t="n">
        <v>40766.7180555556</v>
      </c>
      <c r="C737" s="57" t="n">
        <f aca="false">INT($C$2)-INT(Table3[[#This Row],[Last Purchase Date]])</f>
        <v>121</v>
      </c>
      <c r="D737" s="1" t="n">
        <v>1</v>
      </c>
      <c r="E737" s="1" t="n">
        <v>15</v>
      </c>
      <c r="F737" s="1" t="n">
        <f aca="false">ROUND((1-_xlfn.PERCENTRANK.INC($C$7:$C$4378,C737))*9,0)</f>
        <v>3</v>
      </c>
      <c r="G737" s="1" t="n">
        <f aca="false">ROUND(_xlfn.PERCENTRANK.INC($D$7:$D$4378,D737)*9,0)</f>
        <v>0</v>
      </c>
      <c r="H737" s="1" t="n">
        <f aca="false">ROUND(_xlfn.PERCENTRANK.INC($E$7:$E$4378,E737)*9,0)</f>
        <v>0</v>
      </c>
      <c r="I737" s="1" t="str">
        <f aca="false">CONCATENATE(F737,G737,H737)</f>
        <v>300</v>
      </c>
      <c r="J737" s="1" t="str">
        <f aca="false">_xlfn.IFS(AND(F737&gt;=8,G737&gt;=8,H737&gt;=8),"CHAMPION",AND(F737&gt;=6,G737&gt;=7,H737&gt;=6),"LOYAL CUSTOMER",AND(F737&gt;=6,G737&gt;=5,H737&gt;=5),"POTENTIAL LOYALIST",AND(F737&gt;=8,G737&lt;=2,H737&gt;=5),"NEW CUSTOMERS",AND(F737&gt;=6,G737&lt;=2,H737&gt;=3),"PROMISING",AND(F737&gt;=3,G737&gt;=3,H737&gt;=3),"NEED ATTENTION",AND(F737&lt;=4,G737&gt;=6,H737&gt;=6),"AT RISK",AND(F737&lt;=2,G737&gt;=8,H737&gt;=8),"CAN'T LOSE THEM",AND(F737&lt;=2,G737&lt;=2,H737&lt;=2),"HIBERNATING",TRUE(),"Other")</f>
        <v>Other</v>
      </c>
      <c r="K737" s="1" t="n">
        <f aca="false">RANK(E737,$E$7:$E$4378)+COUNTIF($E$7:E737,E737)-1</f>
        <v>4312</v>
      </c>
    </row>
    <row r="738" customFormat="false" ht="14.25" hidden="false" customHeight="true" outlineLevel="0" collapsed="false">
      <c r="A738" s="51" t="n">
        <v>13308</v>
      </c>
      <c r="B738" s="53" t="n">
        <v>40864.3965277778</v>
      </c>
      <c r="C738" s="57" t="n">
        <f aca="false">INT($C$2)-INT(Table3[[#This Row],[Last Purchase Date]])</f>
        <v>23</v>
      </c>
      <c r="D738" s="1" t="n">
        <v>4</v>
      </c>
      <c r="E738" s="1" t="n">
        <v>1367.61</v>
      </c>
      <c r="F738" s="1" t="n">
        <f aca="false">ROUND((1-_xlfn.PERCENTRANK.INC($C$7:$C$4378,C738))*9,0)</f>
        <v>6</v>
      </c>
      <c r="G738" s="1" t="n">
        <f aca="false">ROUND(_xlfn.PERCENTRANK.INC($D$7:$D$4378,D738)*9,0)</f>
        <v>5</v>
      </c>
      <c r="H738" s="1" t="n">
        <f aca="false">ROUND(_xlfn.PERCENTRANK.INC($E$7:$E$4378,E738)*9,0)</f>
        <v>6</v>
      </c>
      <c r="I738" s="1" t="str">
        <f aca="false">CONCATENATE(F738,G738,H738)</f>
        <v>656</v>
      </c>
      <c r="J738" s="1" t="str">
        <f aca="false">_xlfn.IFS(AND(F738&gt;=8,G738&gt;=8,H738&gt;=8),"CHAMPION",AND(F738&gt;=6,G738&gt;=7,H738&gt;=6),"LOYAL CUSTOMER",AND(F738&gt;=6,G738&gt;=5,H738&gt;=5),"POTENTIAL LOYALIST",AND(F738&gt;=8,G738&lt;=2,H738&gt;=5),"NEW CUSTOMERS",AND(F738&gt;=6,G738&lt;=2,H738&gt;=3),"PROMISING",AND(F738&gt;=3,G738&gt;=3,H738&gt;=3),"NEED ATTENTION",AND(F738&lt;=4,G738&gt;=6,H738&gt;=6),"AT RISK",AND(F738&lt;=2,G738&gt;=8,H738&gt;=8),"CAN'T LOSE THEM",AND(F738&lt;=2,G738&lt;=2,H738&lt;=2),"HIBERNATING",TRUE(),"Other")</f>
        <v>POTENTIAL LOYALIST</v>
      </c>
      <c r="K738" s="1" t="n">
        <f aca="false">RANK(E738,$E$7:$E$4378)+COUNTIF($E$7:E738,E738)-1</f>
        <v>1262</v>
      </c>
    </row>
    <row r="739" customFormat="false" ht="14.25" hidden="false" customHeight="true" outlineLevel="0" collapsed="false">
      <c r="A739" s="51" t="n">
        <v>13309</v>
      </c>
      <c r="B739" s="53" t="n">
        <v>40879.6902777778</v>
      </c>
      <c r="C739" s="57" t="n">
        <f aca="false">INT($C$2)-INT(Table3[[#This Row],[Last Purchase Date]])</f>
        <v>8</v>
      </c>
      <c r="D739" s="1" t="n">
        <v>5</v>
      </c>
      <c r="E739" s="1" t="n">
        <v>1456.79</v>
      </c>
      <c r="F739" s="1" t="n">
        <f aca="false">ROUND((1-_xlfn.PERCENTRANK.INC($C$7:$C$4378,C739))*9,0)</f>
        <v>8</v>
      </c>
      <c r="G739" s="1" t="n">
        <f aca="false">ROUND(_xlfn.PERCENTRANK.INC($D$7:$D$4378,D739)*9,0)</f>
        <v>6</v>
      </c>
      <c r="H739" s="1" t="n">
        <f aca="false">ROUND(_xlfn.PERCENTRANK.INC($E$7:$E$4378,E739)*9,0)</f>
        <v>7</v>
      </c>
      <c r="I739" s="1" t="str">
        <f aca="false">CONCATENATE(F739,G739,H739)</f>
        <v>867</v>
      </c>
      <c r="J739" s="1" t="str">
        <f aca="false">_xlfn.IFS(AND(F739&gt;=8,G739&gt;=8,H739&gt;=8),"CHAMPION",AND(F739&gt;=6,G739&gt;=7,H739&gt;=6),"LOYAL CUSTOMER",AND(F739&gt;=6,G739&gt;=5,H739&gt;=5),"POTENTIAL LOYALIST",AND(F739&gt;=8,G739&lt;=2,H739&gt;=5),"NEW CUSTOMERS",AND(F739&gt;=6,G739&lt;=2,H739&gt;=3),"PROMISING",AND(F739&gt;=3,G739&gt;=3,H739&gt;=3),"NEED ATTENTION",AND(F739&lt;=4,G739&gt;=6,H739&gt;=6),"AT RISK",AND(F739&lt;=2,G739&gt;=8,H739&gt;=8),"CAN'T LOSE THEM",AND(F739&lt;=2,G739&lt;=2,H739&lt;=2),"HIBERNATING",TRUE(),"Other")</f>
        <v>POTENTIAL LOYALIST</v>
      </c>
      <c r="K739" s="1" t="n">
        <f aca="false">RANK(E739,$E$7:$E$4378)+COUNTIF($E$7:E739,E739)-1</f>
        <v>1194</v>
      </c>
    </row>
    <row r="740" customFormat="false" ht="14.25" hidden="false" customHeight="true" outlineLevel="0" collapsed="false">
      <c r="A740" s="51" t="n">
        <v>13310</v>
      </c>
      <c r="B740" s="53" t="n">
        <v>40878.3493055556</v>
      </c>
      <c r="C740" s="57" t="n">
        <f aca="false">INT($C$2)-INT(Table3[[#This Row],[Last Purchase Date]])</f>
        <v>9</v>
      </c>
      <c r="D740" s="1" t="n">
        <v>6</v>
      </c>
      <c r="E740" s="1" t="n">
        <v>1083.63</v>
      </c>
      <c r="F740" s="1" t="n">
        <f aca="false">ROUND((1-_xlfn.PERCENTRANK.INC($C$7:$C$4378,C740))*9,0)</f>
        <v>8</v>
      </c>
      <c r="G740" s="1" t="n">
        <f aca="false">ROUND(_xlfn.PERCENTRANK.INC($D$7:$D$4378,D740)*9,0)</f>
        <v>7</v>
      </c>
      <c r="H740" s="1" t="n">
        <f aca="false">ROUND(_xlfn.PERCENTRANK.INC($E$7:$E$4378,E740)*9,0)</f>
        <v>6</v>
      </c>
      <c r="I740" s="1" t="str">
        <f aca="false">CONCATENATE(F740,G740,H740)</f>
        <v>876</v>
      </c>
      <c r="J740" s="1" t="str">
        <f aca="false">_xlfn.IFS(AND(F740&gt;=8,G740&gt;=8,H740&gt;=8),"CHAMPION",AND(F740&gt;=6,G740&gt;=7,H740&gt;=6),"LOYAL CUSTOMER",AND(F740&gt;=6,G740&gt;=5,H740&gt;=5),"POTENTIAL LOYALIST",AND(F740&gt;=8,G740&lt;=2,H740&gt;=5),"NEW CUSTOMERS",AND(F740&gt;=6,G740&lt;=2,H740&gt;=3),"PROMISING",AND(F740&gt;=3,G740&gt;=3,H740&gt;=3),"NEED ATTENTION",AND(F740&lt;=4,G740&gt;=6,H740&gt;=6),"AT RISK",AND(F740&lt;=2,G740&gt;=8,H740&gt;=8),"CAN'T LOSE THEM",AND(F740&lt;=2,G740&lt;=2,H740&lt;=2),"HIBERNATING",TRUE(),"Other")</f>
        <v>LOYAL CUSTOMER</v>
      </c>
      <c r="K740" s="1" t="n">
        <f aca="false">RANK(E740,$E$7:$E$4378)+COUNTIF($E$7:E740,E740)-1</f>
        <v>1525</v>
      </c>
    </row>
    <row r="741" customFormat="false" ht="14.25" hidden="false" customHeight="true" outlineLevel="0" collapsed="false">
      <c r="A741" s="51" t="n">
        <v>13311</v>
      </c>
      <c r="B741" s="53" t="n">
        <v>40882.5381944445</v>
      </c>
      <c r="C741" s="57" t="n">
        <f aca="false">INT($C$2)-INT(Table3[[#This Row],[Last Purchase Date]])</f>
        <v>5</v>
      </c>
      <c r="D741" s="1" t="n">
        <v>2</v>
      </c>
      <c r="E741" s="1" t="n">
        <v>598.57</v>
      </c>
      <c r="F741" s="1" t="n">
        <f aca="false">ROUND((1-_xlfn.PERCENTRANK.INC($C$7:$C$4378,C741))*9,0)</f>
        <v>8</v>
      </c>
      <c r="G741" s="1" t="n">
        <f aca="false">ROUND(_xlfn.PERCENTRANK.INC($D$7:$D$4378,D741)*9,0)</f>
        <v>3</v>
      </c>
      <c r="H741" s="1" t="n">
        <f aca="false">ROUND(_xlfn.PERCENTRANK.INC($E$7:$E$4378,E741)*9,0)</f>
        <v>4</v>
      </c>
      <c r="I741" s="1" t="str">
        <f aca="false">CONCATENATE(F741,G741,H741)</f>
        <v>834</v>
      </c>
      <c r="J741" s="1" t="str">
        <f aca="false">_xlfn.IFS(AND(F741&gt;=8,G741&gt;=8,H741&gt;=8),"CHAMPION",AND(F741&gt;=6,G741&gt;=7,H741&gt;=6),"LOYAL CUSTOMER",AND(F741&gt;=6,G741&gt;=5,H741&gt;=5),"POTENTIAL LOYALIST",AND(F741&gt;=8,G741&lt;=2,H741&gt;=5),"NEW CUSTOMERS",AND(F741&gt;=6,G741&lt;=2,H741&gt;=3),"PROMISING",AND(F741&gt;=3,G741&gt;=3,H741&gt;=3),"NEED ATTENTION",AND(F741&lt;=4,G741&gt;=6,H741&gt;=6),"AT RISK",AND(F741&lt;=2,G741&gt;=8,H741&gt;=8),"CAN'T LOSE THEM",AND(F741&lt;=2,G741&lt;=2,H741&lt;=2),"HIBERNATING",TRUE(),"Other")</f>
        <v>NEED ATTENTION</v>
      </c>
      <c r="K741" s="1" t="n">
        <f aca="false">RANK(E741,$E$7:$E$4378)+COUNTIF($E$7:E741,E741)-1</f>
        <v>2326</v>
      </c>
    </row>
    <row r="742" customFormat="false" ht="14.25" hidden="false" customHeight="true" outlineLevel="0" collapsed="false">
      <c r="A742" s="51" t="n">
        <v>13313</v>
      </c>
      <c r="B742" s="53" t="n">
        <v>40864.7</v>
      </c>
      <c r="C742" s="57" t="n">
        <f aca="false">INT($C$2)-INT(Table3[[#This Row],[Last Purchase Date]])</f>
        <v>23</v>
      </c>
      <c r="D742" s="1" t="n">
        <v>5</v>
      </c>
      <c r="E742" s="1" t="n">
        <v>1555.32</v>
      </c>
      <c r="F742" s="1" t="n">
        <f aca="false">ROUND((1-_xlfn.PERCENTRANK.INC($C$7:$C$4378,C742))*9,0)</f>
        <v>6</v>
      </c>
      <c r="G742" s="1" t="n">
        <f aca="false">ROUND(_xlfn.PERCENTRANK.INC($D$7:$D$4378,D742)*9,0)</f>
        <v>6</v>
      </c>
      <c r="H742" s="1" t="n">
        <f aca="false">ROUND(_xlfn.PERCENTRANK.INC($E$7:$E$4378,E742)*9,0)</f>
        <v>7</v>
      </c>
      <c r="I742" s="1" t="str">
        <f aca="false">CONCATENATE(F742,G742,H742)</f>
        <v>667</v>
      </c>
      <c r="J742" s="1" t="str">
        <f aca="false">_xlfn.IFS(AND(F742&gt;=8,G742&gt;=8,H742&gt;=8),"CHAMPION",AND(F742&gt;=6,G742&gt;=7,H742&gt;=6),"LOYAL CUSTOMER",AND(F742&gt;=6,G742&gt;=5,H742&gt;=5),"POTENTIAL LOYALIST",AND(F742&gt;=8,G742&lt;=2,H742&gt;=5),"NEW CUSTOMERS",AND(F742&gt;=6,G742&lt;=2,H742&gt;=3),"PROMISING",AND(F742&gt;=3,G742&gt;=3,H742&gt;=3),"NEED ATTENTION",AND(F742&lt;=4,G742&gt;=6,H742&gt;=6),"AT RISK",AND(F742&lt;=2,G742&gt;=8,H742&gt;=8),"CAN'T LOSE THEM",AND(F742&lt;=2,G742&lt;=2,H742&lt;=2),"HIBERNATING",TRUE(),"Other")</f>
        <v>POTENTIAL LOYALIST</v>
      </c>
      <c r="K742" s="1" t="n">
        <f aca="false">RANK(E742,$E$7:$E$4378)+COUNTIF($E$7:E742,E742)-1</f>
        <v>1121</v>
      </c>
    </row>
    <row r="743" customFormat="false" ht="14.25" hidden="false" customHeight="true" outlineLevel="0" collapsed="false">
      <c r="A743" s="51" t="n">
        <v>13314</v>
      </c>
      <c r="B743" s="53" t="n">
        <v>40885.5201388889</v>
      </c>
      <c r="C743" s="57" t="n">
        <f aca="false">INT($C$2)-INT(Table3[[#This Row],[Last Purchase Date]])</f>
        <v>2</v>
      </c>
      <c r="D743" s="1" t="n">
        <v>4</v>
      </c>
      <c r="E743" s="1" t="n">
        <v>578.66</v>
      </c>
      <c r="F743" s="1" t="n">
        <f aca="false">ROUND((1-_xlfn.PERCENTRANK.INC($C$7:$C$4378,C743))*9,0)</f>
        <v>9</v>
      </c>
      <c r="G743" s="1" t="n">
        <f aca="false">ROUND(_xlfn.PERCENTRANK.INC($D$7:$D$4378,D743)*9,0)</f>
        <v>5</v>
      </c>
      <c r="H743" s="1" t="n">
        <f aca="false">ROUND(_xlfn.PERCENTRANK.INC($E$7:$E$4378,E743)*9,0)</f>
        <v>4</v>
      </c>
      <c r="I743" s="1" t="str">
        <f aca="false">CONCATENATE(F743,G743,H743)</f>
        <v>954</v>
      </c>
      <c r="J743" s="1" t="str">
        <f aca="false">_xlfn.IFS(AND(F743&gt;=8,G743&gt;=8,H743&gt;=8),"CHAMPION",AND(F743&gt;=6,G743&gt;=7,H743&gt;=6),"LOYAL CUSTOMER",AND(F743&gt;=6,G743&gt;=5,H743&gt;=5),"POTENTIAL LOYALIST",AND(F743&gt;=8,G743&lt;=2,H743&gt;=5),"NEW CUSTOMERS",AND(F743&gt;=6,G743&lt;=2,H743&gt;=3),"PROMISING",AND(F743&gt;=3,G743&gt;=3,H743&gt;=3),"NEED ATTENTION",AND(F743&lt;=4,G743&gt;=6,H743&gt;=6),"AT RISK",AND(F743&lt;=2,G743&gt;=8,H743&gt;=8),"CAN'T LOSE THEM",AND(F743&lt;=2,G743&lt;=2,H743&lt;=2),"HIBERNATING",TRUE(),"Other")</f>
        <v>NEED ATTENTION</v>
      </c>
      <c r="K743" s="1" t="n">
        <f aca="false">RANK(E743,$E$7:$E$4378)+COUNTIF($E$7:E743,E743)-1</f>
        <v>2375</v>
      </c>
    </row>
    <row r="744" customFormat="false" ht="14.25" hidden="false" customHeight="true" outlineLevel="0" collapsed="false">
      <c r="A744" s="51" t="n">
        <v>13316</v>
      </c>
      <c r="B744" s="53" t="n">
        <v>40849.5694444445</v>
      </c>
      <c r="C744" s="57" t="n">
        <f aca="false">INT($C$2)-INT(Table3[[#This Row],[Last Purchase Date]])</f>
        <v>38</v>
      </c>
      <c r="D744" s="1" t="n">
        <v>5</v>
      </c>
      <c r="E744" s="1" t="n">
        <v>5815.49</v>
      </c>
      <c r="F744" s="1" t="n">
        <f aca="false">ROUND((1-_xlfn.PERCENTRANK.INC($C$7:$C$4378,C744))*9,0)</f>
        <v>5</v>
      </c>
      <c r="G744" s="1" t="n">
        <f aca="false">ROUND(_xlfn.PERCENTRANK.INC($D$7:$D$4378,D744)*9,0)</f>
        <v>6</v>
      </c>
      <c r="H744" s="1" t="n">
        <f aca="false">ROUND(_xlfn.PERCENTRANK.INC($E$7:$E$4378,E744)*9,0)</f>
        <v>9</v>
      </c>
      <c r="I744" s="1" t="str">
        <f aca="false">CONCATENATE(F744,G744,H744)</f>
        <v>569</v>
      </c>
      <c r="J744" s="1" t="str">
        <f aca="false">_xlfn.IFS(AND(F744&gt;=8,G744&gt;=8,H744&gt;=8),"CHAMPION",AND(F744&gt;=6,G744&gt;=7,H744&gt;=6),"LOYAL CUSTOMER",AND(F744&gt;=6,G744&gt;=5,H744&gt;=5),"POTENTIAL LOYALIST",AND(F744&gt;=8,G744&lt;=2,H744&gt;=5),"NEW CUSTOMERS",AND(F744&gt;=6,G744&lt;=2,H744&gt;=3),"PROMISING",AND(F744&gt;=3,G744&gt;=3,H744&gt;=3),"NEED ATTENTION",AND(F744&lt;=4,G744&gt;=6,H744&gt;=6),"AT RISK",AND(F744&lt;=2,G744&gt;=8,H744&gt;=8),"CAN'T LOSE THEM",AND(F744&lt;=2,G744&lt;=2,H744&lt;=2),"HIBERNATING",TRUE(),"Other")</f>
        <v>NEED ATTENTION</v>
      </c>
      <c r="K744" s="1" t="n">
        <f aca="false">RANK(E744,$E$7:$E$4378)+COUNTIF($E$7:E744,E744)-1</f>
        <v>208</v>
      </c>
    </row>
    <row r="745" customFormat="false" ht="14.25" hidden="false" customHeight="true" outlineLevel="0" collapsed="false">
      <c r="A745" s="51" t="n">
        <v>13317</v>
      </c>
      <c r="B745" s="53" t="n">
        <v>40822.80625</v>
      </c>
      <c r="C745" s="57" t="n">
        <f aca="false">INT($C$2)-INT(Table3[[#This Row],[Last Purchase Date]])</f>
        <v>65</v>
      </c>
      <c r="D745" s="1" t="n">
        <v>9</v>
      </c>
      <c r="E745" s="1" t="n">
        <v>2140.07</v>
      </c>
      <c r="F745" s="1" t="n">
        <f aca="false">ROUND((1-_xlfn.PERCENTRANK.INC($C$7:$C$4378,C745))*9,0)</f>
        <v>4</v>
      </c>
      <c r="G745" s="1" t="n">
        <f aca="false">ROUND(_xlfn.PERCENTRANK.INC($D$7:$D$4378,D745)*9,0)</f>
        <v>8</v>
      </c>
      <c r="H745" s="1" t="n">
        <f aca="false">ROUND(_xlfn.PERCENTRANK.INC($E$7:$E$4378,E745)*9,0)</f>
        <v>7</v>
      </c>
      <c r="I745" s="1" t="str">
        <f aca="false">CONCATENATE(F745,G745,H745)</f>
        <v>487</v>
      </c>
      <c r="J745" s="1" t="str">
        <f aca="false">_xlfn.IFS(AND(F745&gt;=8,G745&gt;=8,H745&gt;=8),"CHAMPION",AND(F745&gt;=6,G745&gt;=7,H745&gt;=6),"LOYAL CUSTOMER",AND(F745&gt;=6,G745&gt;=5,H745&gt;=5),"POTENTIAL LOYALIST",AND(F745&gt;=8,G745&lt;=2,H745&gt;=5),"NEW CUSTOMERS",AND(F745&gt;=6,G745&lt;=2,H745&gt;=3),"PROMISING",AND(F745&gt;=3,G745&gt;=3,H745&gt;=3),"NEED ATTENTION",AND(F745&lt;=4,G745&gt;=6,H745&gt;=6),"AT RISK",AND(F745&lt;=2,G745&gt;=8,H745&gt;=8),"CAN'T LOSE THEM",AND(F745&lt;=2,G745&lt;=2,H745&lt;=2),"HIBERNATING",TRUE(),"Other")</f>
        <v>NEED ATTENTION</v>
      </c>
      <c r="K745" s="1" t="n">
        <f aca="false">RANK(E745,$E$7:$E$4378)+COUNTIF($E$7:E745,E745)-1</f>
        <v>808</v>
      </c>
    </row>
    <row r="746" customFormat="false" ht="14.25" hidden="false" customHeight="true" outlineLevel="0" collapsed="false">
      <c r="A746" s="51" t="n">
        <v>13318</v>
      </c>
      <c r="B746" s="53" t="n">
        <v>40885.7854166667</v>
      </c>
      <c r="C746" s="57" t="n">
        <f aca="false">INT($C$2)-INT(Table3[[#This Row],[Last Purchase Date]])</f>
        <v>2</v>
      </c>
      <c r="D746" s="1" t="n">
        <v>3</v>
      </c>
      <c r="E746" s="1" t="n">
        <v>640.76</v>
      </c>
      <c r="F746" s="1" t="n">
        <f aca="false">ROUND((1-_xlfn.PERCENTRANK.INC($C$7:$C$4378,C746))*9,0)</f>
        <v>9</v>
      </c>
      <c r="G746" s="1" t="n">
        <f aca="false">ROUND(_xlfn.PERCENTRANK.INC($D$7:$D$4378,D746)*9,0)</f>
        <v>4</v>
      </c>
      <c r="H746" s="1" t="n">
        <f aca="false">ROUND(_xlfn.PERCENTRANK.INC($E$7:$E$4378,E746)*9,0)</f>
        <v>4</v>
      </c>
      <c r="I746" s="1" t="str">
        <f aca="false">CONCATENATE(F746,G746,H746)</f>
        <v>944</v>
      </c>
      <c r="J746" s="1" t="str">
        <f aca="false">_xlfn.IFS(AND(F746&gt;=8,G746&gt;=8,H746&gt;=8),"CHAMPION",AND(F746&gt;=6,G746&gt;=7,H746&gt;=6),"LOYAL CUSTOMER",AND(F746&gt;=6,G746&gt;=5,H746&gt;=5),"POTENTIAL LOYALIST",AND(F746&gt;=8,G746&lt;=2,H746&gt;=5),"NEW CUSTOMERS",AND(F746&gt;=6,G746&lt;=2,H746&gt;=3),"PROMISING",AND(F746&gt;=3,G746&gt;=3,H746&gt;=3),"NEED ATTENTION",AND(F746&lt;=4,G746&gt;=6,H746&gt;=6),"AT RISK",AND(F746&lt;=2,G746&gt;=8,H746&gt;=8),"CAN'T LOSE THEM",AND(F746&lt;=2,G746&lt;=2,H746&lt;=2),"HIBERNATING",TRUE(),"Other")</f>
        <v>NEED ATTENTION</v>
      </c>
      <c r="K746" s="1" t="n">
        <f aca="false">RANK(E746,$E$7:$E$4378)+COUNTIF($E$7:E746,E746)-1</f>
        <v>2207</v>
      </c>
    </row>
    <row r="747" customFormat="false" ht="14.25" hidden="false" customHeight="true" outlineLevel="0" collapsed="false">
      <c r="A747" s="51" t="n">
        <v>13319</v>
      </c>
      <c r="B747" s="53" t="n">
        <v>40881.5652777778</v>
      </c>
      <c r="C747" s="57" t="n">
        <f aca="false">INT($C$2)-INT(Table3[[#This Row],[Last Purchase Date]])</f>
        <v>6</v>
      </c>
      <c r="D747" s="1" t="n">
        <v>36</v>
      </c>
      <c r="E747" s="1" t="n">
        <v>10664.34</v>
      </c>
      <c r="F747" s="1" t="n">
        <f aca="false">ROUND((1-_xlfn.PERCENTRANK.INC($C$7:$C$4378,C747))*9,0)</f>
        <v>8</v>
      </c>
      <c r="G747" s="1" t="n">
        <f aca="false">ROUND(_xlfn.PERCENTRANK.INC($D$7:$D$4378,D747)*9,0)</f>
        <v>9</v>
      </c>
      <c r="H747" s="1" t="n">
        <f aca="false">ROUND(_xlfn.PERCENTRANK.INC($E$7:$E$4378,E747)*9,0)</f>
        <v>9</v>
      </c>
      <c r="I747" s="1" t="str">
        <f aca="false">CONCATENATE(F747,G747,H747)</f>
        <v>899</v>
      </c>
      <c r="J747" s="1" t="str">
        <f aca="false">_xlfn.IFS(AND(F747&gt;=8,G747&gt;=8,H747&gt;=8),"CHAMPION",AND(F747&gt;=6,G747&gt;=7,H747&gt;=6),"LOYAL CUSTOMER",AND(F747&gt;=6,G747&gt;=5,H747&gt;=5),"POTENTIAL LOYALIST",AND(F747&gt;=8,G747&lt;=2,H747&gt;=5),"NEW CUSTOMERS",AND(F747&gt;=6,G747&lt;=2,H747&gt;=3),"PROMISING",AND(F747&gt;=3,G747&gt;=3,H747&gt;=3),"NEED ATTENTION",AND(F747&lt;=4,G747&gt;=6,H747&gt;=6),"AT RISK",AND(F747&lt;=2,G747&gt;=8,H747&gt;=8),"CAN'T LOSE THEM",AND(F747&lt;=2,G747&lt;=2,H747&lt;=2),"HIBERNATING",TRUE(),"Other")</f>
        <v>CHAMPION</v>
      </c>
      <c r="K747" s="1" t="n">
        <f aca="false">RANK(E747,$E$7:$E$4378)+COUNTIF($E$7:E747,E747)-1</f>
        <v>85</v>
      </c>
    </row>
    <row r="748" customFormat="false" ht="14.25" hidden="false" customHeight="true" outlineLevel="0" collapsed="false">
      <c r="A748" s="51" t="n">
        <v>13320</v>
      </c>
      <c r="B748" s="53" t="n">
        <v>40816.5361111111</v>
      </c>
      <c r="C748" s="57" t="n">
        <f aca="false">INT($C$2)-INT(Table3[[#This Row],[Last Purchase Date]])</f>
        <v>71</v>
      </c>
      <c r="D748" s="1" t="n">
        <v>6</v>
      </c>
      <c r="E748" s="1" t="n">
        <v>1491.7</v>
      </c>
      <c r="F748" s="1" t="n">
        <f aca="false">ROUND((1-_xlfn.PERCENTRANK.INC($C$7:$C$4378,C748))*9,0)</f>
        <v>4</v>
      </c>
      <c r="G748" s="1" t="n">
        <f aca="false">ROUND(_xlfn.PERCENTRANK.INC($D$7:$D$4378,D748)*9,0)</f>
        <v>7</v>
      </c>
      <c r="H748" s="1" t="n">
        <f aca="false">ROUND(_xlfn.PERCENTRANK.INC($E$7:$E$4378,E748)*9,0)</f>
        <v>7</v>
      </c>
      <c r="I748" s="1" t="str">
        <f aca="false">CONCATENATE(F748,G748,H748)</f>
        <v>477</v>
      </c>
      <c r="J748" s="1" t="str">
        <f aca="false">_xlfn.IFS(AND(F748&gt;=8,G748&gt;=8,H748&gt;=8),"CHAMPION",AND(F748&gt;=6,G748&gt;=7,H748&gt;=6),"LOYAL CUSTOMER",AND(F748&gt;=6,G748&gt;=5,H748&gt;=5),"POTENTIAL LOYALIST",AND(F748&gt;=8,G748&lt;=2,H748&gt;=5),"NEW CUSTOMERS",AND(F748&gt;=6,G748&lt;=2,H748&gt;=3),"PROMISING",AND(F748&gt;=3,G748&gt;=3,H748&gt;=3),"NEED ATTENTION",AND(F748&lt;=4,G748&gt;=6,H748&gt;=6),"AT RISK",AND(F748&lt;=2,G748&gt;=8,H748&gt;=8),"CAN'T LOSE THEM",AND(F748&lt;=2,G748&lt;=2,H748&lt;=2),"HIBERNATING",TRUE(),"Other")</f>
        <v>NEED ATTENTION</v>
      </c>
      <c r="K748" s="1" t="n">
        <f aca="false">RANK(E748,$E$7:$E$4378)+COUNTIF($E$7:E748,E748)-1</f>
        <v>1169</v>
      </c>
    </row>
    <row r="749" customFormat="false" ht="14.25" hidden="false" customHeight="true" outlineLevel="0" collapsed="false">
      <c r="A749" s="51" t="n">
        <v>13321</v>
      </c>
      <c r="B749" s="53" t="n">
        <v>40814.6416666667</v>
      </c>
      <c r="C749" s="57" t="n">
        <f aca="false">INT($C$2)-INT(Table3[[#This Row],[Last Purchase Date]])</f>
        <v>73</v>
      </c>
      <c r="D749" s="1" t="n">
        <v>2</v>
      </c>
      <c r="E749" s="1" t="n">
        <v>567.36</v>
      </c>
      <c r="F749" s="1" t="n">
        <f aca="false">ROUND((1-_xlfn.PERCENTRANK.INC($C$7:$C$4378,C749))*9,0)</f>
        <v>4</v>
      </c>
      <c r="G749" s="1" t="n">
        <f aca="false">ROUND(_xlfn.PERCENTRANK.INC($D$7:$D$4378,D749)*9,0)</f>
        <v>3</v>
      </c>
      <c r="H749" s="1" t="n">
        <f aca="false">ROUND(_xlfn.PERCENTRANK.INC($E$7:$E$4378,E749)*9,0)</f>
        <v>4</v>
      </c>
      <c r="I749" s="1" t="str">
        <f aca="false">CONCATENATE(F749,G749,H749)</f>
        <v>434</v>
      </c>
      <c r="J749" s="1" t="str">
        <f aca="false">_xlfn.IFS(AND(F749&gt;=8,G749&gt;=8,H749&gt;=8),"CHAMPION",AND(F749&gt;=6,G749&gt;=7,H749&gt;=6),"LOYAL CUSTOMER",AND(F749&gt;=6,G749&gt;=5,H749&gt;=5),"POTENTIAL LOYALIST",AND(F749&gt;=8,G749&lt;=2,H749&gt;=5),"NEW CUSTOMERS",AND(F749&gt;=6,G749&lt;=2,H749&gt;=3),"PROMISING",AND(F749&gt;=3,G749&gt;=3,H749&gt;=3),"NEED ATTENTION",AND(F749&lt;=4,G749&gt;=6,H749&gt;=6),"AT RISK",AND(F749&lt;=2,G749&gt;=8,H749&gt;=8),"CAN'T LOSE THEM",AND(F749&lt;=2,G749&lt;=2,H749&lt;=2),"HIBERNATING",TRUE(),"Other")</f>
        <v>NEED ATTENTION</v>
      </c>
      <c r="K749" s="1" t="n">
        <f aca="false">RANK(E749,$E$7:$E$4378)+COUNTIF($E$7:E749,E749)-1</f>
        <v>2397</v>
      </c>
    </row>
    <row r="750" customFormat="false" ht="14.25" hidden="false" customHeight="true" outlineLevel="0" collapsed="false">
      <c r="A750" s="51" t="n">
        <v>13322</v>
      </c>
      <c r="B750" s="53" t="n">
        <v>40869.5979166667</v>
      </c>
      <c r="C750" s="57" t="n">
        <f aca="false">INT($C$2)-INT(Table3[[#This Row],[Last Purchase Date]])</f>
        <v>18</v>
      </c>
      <c r="D750" s="1" t="n">
        <v>1</v>
      </c>
      <c r="E750" s="1" t="n">
        <v>199.48</v>
      </c>
      <c r="F750" s="1" t="n">
        <f aca="false">ROUND((1-_xlfn.PERCENTRANK.INC($C$7:$C$4378,C750))*9,0)</f>
        <v>7</v>
      </c>
      <c r="G750" s="1" t="n">
        <f aca="false">ROUND(_xlfn.PERCENTRANK.INC($D$7:$D$4378,D750)*9,0)</f>
        <v>0</v>
      </c>
      <c r="H750" s="1" t="n">
        <f aca="false">ROUND(_xlfn.PERCENTRANK.INC($E$7:$E$4378,E750)*9,0)</f>
        <v>1</v>
      </c>
      <c r="I750" s="1" t="str">
        <f aca="false">CONCATENATE(F750,G750,H750)</f>
        <v>701</v>
      </c>
      <c r="J750" s="1" t="str">
        <f aca="false">_xlfn.IFS(AND(F750&gt;=8,G750&gt;=8,H750&gt;=8),"CHAMPION",AND(F750&gt;=6,G750&gt;=7,H750&gt;=6),"LOYAL CUSTOMER",AND(F750&gt;=6,G750&gt;=5,H750&gt;=5),"POTENTIAL LOYALIST",AND(F750&gt;=8,G750&lt;=2,H750&gt;=5),"NEW CUSTOMERS",AND(F750&gt;=6,G750&lt;=2,H750&gt;=3),"PROMISING",AND(F750&gt;=3,G750&gt;=3,H750&gt;=3),"NEED ATTENTION",AND(F750&lt;=4,G750&gt;=6,H750&gt;=6),"AT RISK",AND(F750&lt;=2,G750&gt;=8,H750&gt;=8),"CAN'T LOSE THEM",AND(F750&lt;=2,G750&lt;=2,H750&lt;=2),"HIBERNATING",TRUE(),"Other")</f>
        <v>Other</v>
      </c>
      <c r="K750" s="1" t="n">
        <f aca="false">RANK(E750,$E$7:$E$4378)+COUNTIF($E$7:E750,E750)-1</f>
        <v>3662</v>
      </c>
    </row>
    <row r="751" customFormat="false" ht="14.25" hidden="false" customHeight="true" outlineLevel="0" collapsed="false">
      <c r="A751" s="51" t="n">
        <v>13323</v>
      </c>
      <c r="B751" s="53" t="n">
        <v>40883.7166666667</v>
      </c>
      <c r="C751" s="57" t="n">
        <f aca="false">INT($C$2)-INT(Table3[[#This Row],[Last Purchase Date]])</f>
        <v>4</v>
      </c>
      <c r="D751" s="1" t="n">
        <v>5</v>
      </c>
      <c r="E751" s="1" t="n">
        <v>787.85</v>
      </c>
      <c r="F751" s="1" t="n">
        <f aca="false">ROUND((1-_xlfn.PERCENTRANK.INC($C$7:$C$4378,C751))*9,0)</f>
        <v>8</v>
      </c>
      <c r="G751" s="1" t="n">
        <f aca="false">ROUND(_xlfn.PERCENTRANK.INC($D$7:$D$4378,D751)*9,0)</f>
        <v>6</v>
      </c>
      <c r="H751" s="1" t="n">
        <f aca="false">ROUND(_xlfn.PERCENTRANK.INC($E$7:$E$4378,E751)*9,0)</f>
        <v>5</v>
      </c>
      <c r="I751" s="1" t="str">
        <f aca="false">CONCATENATE(F751,G751,H751)</f>
        <v>865</v>
      </c>
      <c r="J751" s="1" t="str">
        <f aca="false">_xlfn.IFS(AND(F751&gt;=8,G751&gt;=8,H751&gt;=8),"CHAMPION",AND(F751&gt;=6,G751&gt;=7,H751&gt;=6),"LOYAL CUSTOMER",AND(F751&gt;=6,G751&gt;=5,H751&gt;=5),"POTENTIAL LOYALIST",AND(F751&gt;=8,G751&lt;=2,H751&gt;=5),"NEW CUSTOMERS",AND(F751&gt;=6,G751&lt;=2,H751&gt;=3),"PROMISING",AND(F751&gt;=3,G751&gt;=3,H751&gt;=3),"NEED ATTENTION",AND(F751&lt;=4,G751&gt;=6,H751&gt;=6),"AT RISK",AND(F751&lt;=2,G751&gt;=8,H751&gt;=8),"CAN'T LOSE THEM",AND(F751&lt;=2,G751&lt;=2,H751&lt;=2),"HIBERNATING",TRUE(),"Other")</f>
        <v>POTENTIAL LOYALIST</v>
      </c>
      <c r="K751" s="1" t="n">
        <f aca="false">RANK(E751,$E$7:$E$4378)+COUNTIF($E$7:E751,E751)-1</f>
        <v>1911</v>
      </c>
    </row>
    <row r="752" customFormat="false" ht="14.25" hidden="false" customHeight="true" outlineLevel="0" collapsed="false">
      <c r="A752" s="51" t="n">
        <v>13324</v>
      </c>
      <c r="B752" s="53" t="n">
        <v>40854.6604166667</v>
      </c>
      <c r="C752" s="57" t="n">
        <f aca="false">INT($C$2)-INT(Table3[[#This Row],[Last Purchase Date]])</f>
        <v>33</v>
      </c>
      <c r="D752" s="1" t="n">
        <v>12</v>
      </c>
      <c r="E752" s="1" t="n">
        <v>7072.79999999999</v>
      </c>
      <c r="F752" s="1" t="n">
        <f aca="false">ROUND((1-_xlfn.PERCENTRANK.INC($C$7:$C$4378,C752))*9,0)</f>
        <v>5</v>
      </c>
      <c r="G752" s="1" t="n">
        <f aca="false">ROUND(_xlfn.PERCENTRANK.INC($D$7:$D$4378,D752)*9,0)</f>
        <v>8</v>
      </c>
      <c r="H752" s="1" t="n">
        <f aca="false">ROUND(_xlfn.PERCENTRANK.INC($E$7:$E$4378,E752)*9,0)</f>
        <v>9</v>
      </c>
      <c r="I752" s="1" t="str">
        <f aca="false">CONCATENATE(F752,G752,H752)</f>
        <v>589</v>
      </c>
      <c r="J752" s="1" t="str">
        <f aca="false">_xlfn.IFS(AND(F752&gt;=8,G752&gt;=8,H752&gt;=8),"CHAMPION",AND(F752&gt;=6,G752&gt;=7,H752&gt;=6),"LOYAL CUSTOMER",AND(F752&gt;=6,G752&gt;=5,H752&gt;=5),"POTENTIAL LOYALIST",AND(F752&gt;=8,G752&lt;=2,H752&gt;=5),"NEW CUSTOMERS",AND(F752&gt;=6,G752&lt;=2,H752&gt;=3),"PROMISING",AND(F752&gt;=3,G752&gt;=3,H752&gt;=3),"NEED ATTENTION",AND(F752&lt;=4,G752&gt;=6,H752&gt;=6),"AT RISK",AND(F752&lt;=2,G752&gt;=8,H752&gt;=8),"CAN'T LOSE THEM",AND(F752&lt;=2,G752&lt;=2,H752&lt;=2),"HIBERNATING",TRUE(),"Other")</f>
        <v>NEED ATTENTION</v>
      </c>
      <c r="K752" s="1" t="n">
        <f aca="false">RANK(E752,$E$7:$E$4378)+COUNTIF($E$7:E752,E752)-1</f>
        <v>151</v>
      </c>
    </row>
    <row r="753" customFormat="false" ht="14.25" hidden="false" customHeight="true" outlineLevel="0" collapsed="false">
      <c r="A753" s="51" t="n">
        <v>13325</v>
      </c>
      <c r="B753" s="53" t="n">
        <v>40805.4416666667</v>
      </c>
      <c r="C753" s="57" t="n">
        <f aca="false">INT($C$2)-INT(Table3[[#This Row],[Last Purchase Date]])</f>
        <v>82</v>
      </c>
      <c r="D753" s="1" t="n">
        <v>1</v>
      </c>
      <c r="E753" s="1" t="n">
        <v>675.3</v>
      </c>
      <c r="F753" s="1" t="n">
        <f aca="false">ROUND((1-_xlfn.PERCENTRANK.INC($C$7:$C$4378,C753))*9,0)</f>
        <v>3</v>
      </c>
      <c r="G753" s="1" t="n">
        <f aca="false">ROUND(_xlfn.PERCENTRANK.INC($D$7:$D$4378,D753)*9,0)</f>
        <v>0</v>
      </c>
      <c r="H753" s="1" t="n">
        <f aca="false">ROUND(_xlfn.PERCENTRANK.INC($E$7:$E$4378,E753)*9,0)</f>
        <v>5</v>
      </c>
      <c r="I753" s="1" t="str">
        <f aca="false">CONCATENATE(F753,G753,H753)</f>
        <v>305</v>
      </c>
      <c r="J753" s="1" t="str">
        <f aca="false">_xlfn.IFS(AND(F753&gt;=8,G753&gt;=8,H753&gt;=8),"CHAMPION",AND(F753&gt;=6,G753&gt;=7,H753&gt;=6),"LOYAL CUSTOMER",AND(F753&gt;=6,G753&gt;=5,H753&gt;=5),"POTENTIAL LOYALIST",AND(F753&gt;=8,G753&lt;=2,H753&gt;=5),"NEW CUSTOMERS",AND(F753&gt;=6,G753&lt;=2,H753&gt;=3),"PROMISING",AND(F753&gt;=3,G753&gt;=3,H753&gt;=3),"NEED ATTENTION",AND(F753&lt;=4,G753&gt;=6,H753&gt;=6),"AT RISK",AND(F753&lt;=2,G753&gt;=8,H753&gt;=8),"CAN'T LOSE THEM",AND(F753&lt;=2,G753&lt;=2,H753&lt;=2),"HIBERNATING",TRUE(),"Other")</f>
        <v>Other</v>
      </c>
      <c r="K753" s="1" t="n">
        <f aca="false">RANK(E753,$E$7:$E$4378)+COUNTIF($E$7:E753,E753)-1</f>
        <v>2115</v>
      </c>
    </row>
    <row r="754" customFormat="false" ht="14.25" hidden="false" customHeight="true" outlineLevel="0" collapsed="false">
      <c r="A754" s="51" t="n">
        <v>13327</v>
      </c>
      <c r="B754" s="53" t="n">
        <v>40848.43125</v>
      </c>
      <c r="C754" s="57" t="n">
        <f aca="false">INT($C$2)-INT(Table3[[#This Row],[Last Purchase Date]])</f>
        <v>39</v>
      </c>
      <c r="D754" s="1" t="n">
        <v>9</v>
      </c>
      <c r="E754" s="1" t="n">
        <v>3617.57</v>
      </c>
      <c r="F754" s="1" t="n">
        <f aca="false">ROUND((1-_xlfn.PERCENTRANK.INC($C$7:$C$4378,C754))*9,0)</f>
        <v>5</v>
      </c>
      <c r="G754" s="1" t="n">
        <f aca="false">ROUND(_xlfn.PERCENTRANK.INC($D$7:$D$4378,D754)*9,0)</f>
        <v>8</v>
      </c>
      <c r="H754" s="1" t="n">
        <f aca="false">ROUND(_xlfn.PERCENTRANK.INC($E$7:$E$4378,E754)*9,0)</f>
        <v>8</v>
      </c>
      <c r="I754" s="1" t="str">
        <f aca="false">CONCATENATE(F754,G754,H754)</f>
        <v>588</v>
      </c>
      <c r="J754" s="1" t="str">
        <f aca="false">_xlfn.IFS(AND(F754&gt;=8,G754&gt;=8,H754&gt;=8),"CHAMPION",AND(F754&gt;=6,G754&gt;=7,H754&gt;=6),"LOYAL CUSTOMER",AND(F754&gt;=6,G754&gt;=5,H754&gt;=5),"POTENTIAL LOYALIST",AND(F754&gt;=8,G754&lt;=2,H754&gt;=5),"NEW CUSTOMERS",AND(F754&gt;=6,G754&lt;=2,H754&gt;=3),"PROMISING",AND(F754&gt;=3,G754&gt;=3,H754&gt;=3),"NEED ATTENTION",AND(F754&lt;=4,G754&gt;=6,H754&gt;=6),"AT RISK",AND(F754&lt;=2,G754&gt;=8,H754&gt;=8),"CAN'T LOSE THEM",AND(F754&lt;=2,G754&lt;=2,H754&lt;=2),"HIBERNATING",TRUE(),"Other")</f>
        <v>NEED ATTENTION</v>
      </c>
      <c r="K754" s="1" t="n">
        <f aca="false">RANK(E754,$E$7:$E$4378)+COUNTIF($E$7:E754,E754)-1</f>
        <v>418</v>
      </c>
    </row>
    <row r="755" customFormat="false" ht="14.25" hidden="false" customHeight="true" outlineLevel="0" collapsed="false">
      <c r="A755" s="51" t="n">
        <v>13328</v>
      </c>
      <c r="B755" s="53" t="n">
        <v>40570.6402777778</v>
      </c>
      <c r="C755" s="57" t="n">
        <f aca="false">INT($C$2)-INT(Table3[[#This Row],[Last Purchase Date]])</f>
        <v>317</v>
      </c>
      <c r="D755" s="1" t="n">
        <v>1</v>
      </c>
      <c r="E755" s="1" t="n">
        <v>1308.48</v>
      </c>
      <c r="F755" s="1" t="n">
        <f aca="false">ROUND((1-_xlfn.PERCENTRANK.INC($C$7:$C$4378,C755))*9,0)</f>
        <v>0</v>
      </c>
      <c r="G755" s="1" t="n">
        <f aca="false">ROUND(_xlfn.PERCENTRANK.INC($D$7:$D$4378,D755)*9,0)</f>
        <v>0</v>
      </c>
      <c r="H755" s="1" t="n">
        <f aca="false">ROUND(_xlfn.PERCENTRANK.INC($E$7:$E$4378,E755)*9,0)</f>
        <v>6</v>
      </c>
      <c r="I755" s="1" t="str">
        <f aca="false">CONCATENATE(F755,G755,H755)</f>
        <v>006</v>
      </c>
      <c r="J755" s="1" t="str">
        <f aca="false">_xlfn.IFS(AND(F755&gt;=8,G755&gt;=8,H755&gt;=8),"CHAMPION",AND(F755&gt;=6,G755&gt;=7,H755&gt;=6),"LOYAL CUSTOMER",AND(F755&gt;=6,G755&gt;=5,H755&gt;=5),"POTENTIAL LOYALIST",AND(F755&gt;=8,G755&lt;=2,H755&gt;=5),"NEW CUSTOMERS",AND(F755&gt;=6,G755&lt;=2,H755&gt;=3),"PROMISING",AND(F755&gt;=3,G755&gt;=3,H755&gt;=3),"NEED ATTENTION",AND(F755&lt;=4,G755&gt;=6,H755&gt;=6),"AT RISK",AND(F755&lt;=2,G755&gt;=8,H755&gt;=8),"CAN'T LOSE THEM",AND(F755&lt;=2,G755&lt;=2,H755&lt;=2),"HIBERNATING",TRUE(),"Other")</f>
        <v>Other</v>
      </c>
      <c r="K755" s="1" t="n">
        <f aca="false">RANK(E755,$E$7:$E$4378)+COUNTIF($E$7:E755,E755)-1</f>
        <v>1318</v>
      </c>
    </row>
    <row r="756" customFormat="false" ht="14.25" hidden="false" customHeight="true" outlineLevel="0" collapsed="false">
      <c r="A756" s="51" t="n">
        <v>13329</v>
      </c>
      <c r="B756" s="53" t="n">
        <v>40855.4368055556</v>
      </c>
      <c r="C756" s="57" t="n">
        <f aca="false">INT($C$2)-INT(Table3[[#This Row],[Last Purchase Date]])</f>
        <v>32</v>
      </c>
      <c r="D756" s="1" t="n">
        <v>4</v>
      </c>
      <c r="E756" s="1" t="n">
        <v>740.4</v>
      </c>
      <c r="F756" s="1" t="n">
        <f aca="false">ROUND((1-_xlfn.PERCENTRANK.INC($C$7:$C$4378,C756))*9,0)</f>
        <v>5</v>
      </c>
      <c r="G756" s="1" t="n">
        <f aca="false">ROUND(_xlfn.PERCENTRANK.INC($D$7:$D$4378,D756)*9,0)</f>
        <v>5</v>
      </c>
      <c r="H756" s="1" t="n">
        <f aca="false">ROUND(_xlfn.PERCENTRANK.INC($E$7:$E$4378,E756)*9,0)</f>
        <v>5</v>
      </c>
      <c r="I756" s="1" t="str">
        <f aca="false">CONCATENATE(F756,G756,H756)</f>
        <v>555</v>
      </c>
      <c r="J756" s="1" t="str">
        <f aca="false">_xlfn.IFS(AND(F756&gt;=8,G756&gt;=8,H756&gt;=8),"CHAMPION",AND(F756&gt;=6,G756&gt;=7,H756&gt;=6),"LOYAL CUSTOMER",AND(F756&gt;=6,G756&gt;=5,H756&gt;=5),"POTENTIAL LOYALIST",AND(F756&gt;=8,G756&lt;=2,H756&gt;=5),"NEW CUSTOMERS",AND(F756&gt;=6,G756&lt;=2,H756&gt;=3),"PROMISING",AND(F756&gt;=3,G756&gt;=3,H756&gt;=3),"NEED ATTENTION",AND(F756&lt;=4,G756&gt;=6,H756&gt;=6),"AT RISK",AND(F756&lt;=2,G756&gt;=8,H756&gt;=8),"CAN'T LOSE THEM",AND(F756&lt;=2,G756&lt;=2,H756&lt;=2),"HIBERNATING",TRUE(),"Other")</f>
        <v>NEED ATTENTION</v>
      </c>
      <c r="K756" s="1" t="n">
        <f aca="false">RANK(E756,$E$7:$E$4378)+COUNTIF($E$7:E756,E756)-1</f>
        <v>1993</v>
      </c>
    </row>
    <row r="757" customFormat="false" ht="14.25" hidden="false" customHeight="true" outlineLevel="0" collapsed="false">
      <c r="A757" s="51" t="n">
        <v>13330</v>
      </c>
      <c r="B757" s="53" t="n">
        <v>40794.51875</v>
      </c>
      <c r="C757" s="57" t="n">
        <f aca="false">INT($C$2)-INT(Table3[[#This Row],[Last Purchase Date]])</f>
        <v>93</v>
      </c>
      <c r="D757" s="1" t="n">
        <v>3</v>
      </c>
      <c r="E757" s="1" t="n">
        <v>1140.93</v>
      </c>
      <c r="F757" s="1" t="n">
        <f aca="false">ROUND((1-_xlfn.PERCENTRANK.INC($C$7:$C$4378,C757))*9,0)</f>
        <v>3</v>
      </c>
      <c r="G757" s="1" t="n">
        <f aca="false">ROUND(_xlfn.PERCENTRANK.INC($D$7:$D$4378,D757)*9,0)</f>
        <v>4</v>
      </c>
      <c r="H757" s="1" t="n">
        <f aca="false">ROUND(_xlfn.PERCENTRANK.INC($E$7:$E$4378,E757)*9,0)</f>
        <v>6</v>
      </c>
      <c r="I757" s="1" t="str">
        <f aca="false">CONCATENATE(F757,G757,H757)</f>
        <v>346</v>
      </c>
      <c r="J757" s="1" t="str">
        <f aca="false">_xlfn.IFS(AND(F757&gt;=8,G757&gt;=8,H757&gt;=8),"CHAMPION",AND(F757&gt;=6,G757&gt;=7,H757&gt;=6),"LOYAL CUSTOMER",AND(F757&gt;=6,G757&gt;=5,H757&gt;=5),"POTENTIAL LOYALIST",AND(F757&gt;=8,G757&lt;=2,H757&gt;=5),"NEW CUSTOMERS",AND(F757&gt;=6,G757&lt;=2,H757&gt;=3),"PROMISING",AND(F757&gt;=3,G757&gt;=3,H757&gt;=3),"NEED ATTENTION",AND(F757&lt;=4,G757&gt;=6,H757&gt;=6),"AT RISK",AND(F757&lt;=2,G757&gt;=8,H757&gt;=8),"CAN'T LOSE THEM",AND(F757&lt;=2,G757&lt;=2,H757&lt;=2),"HIBERNATING",TRUE(),"Other")</f>
        <v>NEED ATTENTION</v>
      </c>
      <c r="K757" s="1" t="n">
        <f aca="false">RANK(E757,$E$7:$E$4378)+COUNTIF($E$7:E757,E757)-1</f>
        <v>1459</v>
      </c>
    </row>
    <row r="758" customFormat="false" ht="14.25" hidden="false" customHeight="true" outlineLevel="0" collapsed="false">
      <c r="A758" s="51" t="n">
        <v>13332</v>
      </c>
      <c r="B758" s="53" t="n">
        <v>40872.5625</v>
      </c>
      <c r="C758" s="57" t="n">
        <f aca="false">INT($C$2)-INT(Table3[[#This Row],[Last Purchase Date]])</f>
        <v>15</v>
      </c>
      <c r="D758" s="1" t="n">
        <v>1</v>
      </c>
      <c r="E758" s="1" t="n">
        <v>350.9</v>
      </c>
      <c r="F758" s="1" t="n">
        <f aca="false">ROUND((1-_xlfn.PERCENTRANK.INC($C$7:$C$4378,C758))*9,0)</f>
        <v>7</v>
      </c>
      <c r="G758" s="1" t="n">
        <f aca="false">ROUND(_xlfn.PERCENTRANK.INC($D$7:$D$4378,D758)*9,0)</f>
        <v>0</v>
      </c>
      <c r="H758" s="1" t="n">
        <f aca="false">ROUND(_xlfn.PERCENTRANK.INC($E$7:$E$4378,E758)*9,0)</f>
        <v>3</v>
      </c>
      <c r="I758" s="1" t="str">
        <f aca="false">CONCATENATE(F758,G758,H758)</f>
        <v>703</v>
      </c>
      <c r="J758" s="1" t="str">
        <f aca="false">_xlfn.IFS(AND(F758&gt;=8,G758&gt;=8,H758&gt;=8),"CHAMPION",AND(F758&gt;=6,G758&gt;=7,H758&gt;=6),"LOYAL CUSTOMER",AND(F758&gt;=6,G758&gt;=5,H758&gt;=5),"POTENTIAL LOYALIST",AND(F758&gt;=8,G758&lt;=2,H758&gt;=5),"NEW CUSTOMERS",AND(F758&gt;=6,G758&lt;=2,H758&gt;=3),"PROMISING",AND(F758&gt;=3,G758&gt;=3,H758&gt;=3),"NEED ATTENTION",AND(F758&lt;=4,G758&gt;=6,H758&gt;=6),"AT RISK",AND(F758&lt;=2,G758&gt;=8,H758&gt;=8),"CAN'T LOSE THEM",AND(F758&lt;=2,G758&lt;=2,H758&lt;=2),"HIBERNATING",TRUE(),"Other")</f>
        <v>PROMISING</v>
      </c>
      <c r="K758" s="1" t="n">
        <f aca="false">RANK(E758,$E$7:$E$4378)+COUNTIF($E$7:E758,E758)-1</f>
        <v>3002</v>
      </c>
    </row>
    <row r="759" customFormat="false" ht="14.25" hidden="false" customHeight="true" outlineLevel="0" collapsed="false">
      <c r="A759" s="51" t="n">
        <v>13334</v>
      </c>
      <c r="B759" s="53" t="n">
        <v>40804.6395833333</v>
      </c>
      <c r="C759" s="57" t="n">
        <f aca="false">INT($C$2)-INT(Table3[[#This Row],[Last Purchase Date]])</f>
        <v>83</v>
      </c>
      <c r="D759" s="1" t="n">
        <v>3</v>
      </c>
      <c r="E759" s="1" t="n">
        <v>3536.82</v>
      </c>
      <c r="F759" s="1" t="n">
        <f aca="false">ROUND((1-_xlfn.PERCENTRANK.INC($C$7:$C$4378,C759))*9,0)</f>
        <v>3</v>
      </c>
      <c r="G759" s="1" t="n">
        <f aca="false">ROUND(_xlfn.PERCENTRANK.INC($D$7:$D$4378,D759)*9,0)</f>
        <v>4</v>
      </c>
      <c r="H759" s="1" t="n">
        <f aca="false">ROUND(_xlfn.PERCENTRANK.INC($E$7:$E$4378,E759)*9,0)</f>
        <v>8</v>
      </c>
      <c r="I759" s="1" t="str">
        <f aca="false">CONCATENATE(F759,G759,H759)</f>
        <v>348</v>
      </c>
      <c r="J759" s="1" t="str">
        <f aca="false">_xlfn.IFS(AND(F759&gt;=8,G759&gt;=8,H759&gt;=8),"CHAMPION",AND(F759&gt;=6,G759&gt;=7,H759&gt;=6),"LOYAL CUSTOMER",AND(F759&gt;=6,G759&gt;=5,H759&gt;=5),"POTENTIAL LOYALIST",AND(F759&gt;=8,G759&lt;=2,H759&gt;=5),"NEW CUSTOMERS",AND(F759&gt;=6,G759&lt;=2,H759&gt;=3),"PROMISING",AND(F759&gt;=3,G759&gt;=3,H759&gt;=3),"NEED ATTENTION",AND(F759&lt;=4,G759&gt;=6,H759&gt;=6),"AT RISK",AND(F759&lt;=2,G759&gt;=8,H759&gt;=8),"CAN'T LOSE THEM",AND(F759&lt;=2,G759&lt;=2,H759&lt;=2),"HIBERNATING",TRUE(),"Other")</f>
        <v>NEED ATTENTION</v>
      </c>
      <c r="K759" s="1" t="n">
        <f aca="false">RANK(E759,$E$7:$E$4378)+COUNTIF($E$7:E759,E759)-1</f>
        <v>435</v>
      </c>
    </row>
    <row r="760" customFormat="false" ht="14.25" hidden="false" customHeight="true" outlineLevel="0" collapsed="false">
      <c r="A760" s="51" t="n">
        <v>13336</v>
      </c>
      <c r="B760" s="53" t="n">
        <v>40809.5868055556</v>
      </c>
      <c r="C760" s="57" t="n">
        <f aca="false">INT($C$2)-INT(Table3[[#This Row],[Last Purchase Date]])</f>
        <v>78</v>
      </c>
      <c r="D760" s="1" t="n">
        <v>1</v>
      </c>
      <c r="E760" s="1" t="n">
        <v>795.12</v>
      </c>
      <c r="F760" s="1" t="n">
        <f aca="false">ROUND((1-_xlfn.PERCENTRANK.INC($C$7:$C$4378,C760))*9,0)</f>
        <v>3</v>
      </c>
      <c r="G760" s="1" t="n">
        <f aca="false">ROUND(_xlfn.PERCENTRANK.INC($D$7:$D$4378,D760)*9,0)</f>
        <v>0</v>
      </c>
      <c r="H760" s="1" t="n">
        <f aca="false">ROUND(_xlfn.PERCENTRANK.INC($E$7:$E$4378,E760)*9,0)</f>
        <v>5</v>
      </c>
      <c r="I760" s="1" t="str">
        <f aca="false">CONCATENATE(F760,G760,H760)</f>
        <v>305</v>
      </c>
      <c r="J760" s="1" t="str">
        <f aca="false">_xlfn.IFS(AND(F760&gt;=8,G760&gt;=8,H760&gt;=8),"CHAMPION",AND(F760&gt;=6,G760&gt;=7,H760&gt;=6),"LOYAL CUSTOMER",AND(F760&gt;=6,G760&gt;=5,H760&gt;=5),"POTENTIAL LOYALIST",AND(F760&gt;=8,G760&lt;=2,H760&gt;=5),"NEW CUSTOMERS",AND(F760&gt;=6,G760&lt;=2,H760&gt;=3),"PROMISING",AND(F760&gt;=3,G760&gt;=3,H760&gt;=3),"NEED ATTENTION",AND(F760&lt;=4,G760&gt;=6,H760&gt;=6),"AT RISK",AND(F760&lt;=2,G760&gt;=8,H760&gt;=8),"CAN'T LOSE THEM",AND(F760&lt;=2,G760&lt;=2,H760&lt;=2),"HIBERNATING",TRUE(),"Other")</f>
        <v>Other</v>
      </c>
      <c r="K760" s="1" t="n">
        <f aca="false">RANK(E760,$E$7:$E$4378)+COUNTIF($E$7:E760,E760)-1</f>
        <v>1907</v>
      </c>
    </row>
    <row r="761" customFormat="false" ht="14.25" hidden="false" customHeight="true" outlineLevel="0" collapsed="false">
      <c r="A761" s="51" t="n">
        <v>13338</v>
      </c>
      <c r="B761" s="53" t="n">
        <v>40732.6201388889</v>
      </c>
      <c r="C761" s="57" t="n">
        <f aca="false">INT($C$2)-INT(Table3[[#This Row],[Last Purchase Date]])</f>
        <v>155</v>
      </c>
      <c r="D761" s="1" t="n">
        <v>3</v>
      </c>
      <c r="E761" s="1" t="n">
        <v>431.82</v>
      </c>
      <c r="F761" s="1" t="n">
        <f aca="false">ROUND((1-_xlfn.PERCENTRANK.INC($C$7:$C$4378,C761))*9,0)</f>
        <v>2</v>
      </c>
      <c r="G761" s="1" t="n">
        <f aca="false">ROUND(_xlfn.PERCENTRANK.INC($D$7:$D$4378,D761)*9,0)</f>
        <v>4</v>
      </c>
      <c r="H761" s="1" t="n">
        <f aca="false">ROUND(_xlfn.PERCENTRANK.INC($E$7:$E$4378,E761)*9,0)</f>
        <v>3</v>
      </c>
      <c r="I761" s="1" t="str">
        <f aca="false">CONCATENATE(F761,G761,H761)</f>
        <v>243</v>
      </c>
      <c r="J761" s="1" t="str">
        <f aca="false">_xlfn.IFS(AND(F761&gt;=8,G761&gt;=8,H761&gt;=8),"CHAMPION",AND(F761&gt;=6,G761&gt;=7,H761&gt;=6),"LOYAL CUSTOMER",AND(F761&gt;=6,G761&gt;=5,H761&gt;=5),"POTENTIAL LOYALIST",AND(F761&gt;=8,G761&lt;=2,H761&gt;=5),"NEW CUSTOMERS",AND(F761&gt;=6,G761&lt;=2,H761&gt;=3),"PROMISING",AND(F761&gt;=3,G761&gt;=3,H761&gt;=3),"NEED ATTENTION",AND(F761&lt;=4,G761&gt;=6,H761&gt;=6),"AT RISK",AND(F761&lt;=2,G761&gt;=8,H761&gt;=8),"CAN'T LOSE THEM",AND(F761&lt;=2,G761&lt;=2,H761&lt;=2),"HIBERNATING",TRUE(),"Other")</f>
        <v>Other</v>
      </c>
      <c r="K761" s="1" t="n">
        <f aca="false">RANK(E761,$E$7:$E$4378)+COUNTIF($E$7:E761,E761)-1</f>
        <v>2712</v>
      </c>
    </row>
    <row r="762" customFormat="false" ht="14.25" hidden="false" customHeight="true" outlineLevel="0" collapsed="false">
      <c r="A762" s="51" t="n">
        <v>13339</v>
      </c>
      <c r="B762" s="53" t="n">
        <v>40686.3548611111</v>
      </c>
      <c r="C762" s="57" t="n">
        <f aca="false">INT($C$2)-INT(Table3[[#This Row],[Last Purchase Date]])</f>
        <v>201</v>
      </c>
      <c r="D762" s="1" t="n">
        <v>1</v>
      </c>
      <c r="E762" s="1" t="n">
        <v>860.12</v>
      </c>
      <c r="F762" s="1" t="n">
        <f aca="false">ROUND((1-_xlfn.PERCENTRANK.INC($C$7:$C$4378,C762))*9,0)</f>
        <v>2</v>
      </c>
      <c r="G762" s="1" t="n">
        <f aca="false">ROUND(_xlfn.PERCENTRANK.INC($D$7:$D$4378,D762)*9,0)</f>
        <v>0</v>
      </c>
      <c r="H762" s="1" t="n">
        <f aca="false">ROUND(_xlfn.PERCENTRANK.INC($E$7:$E$4378,E762)*9,0)</f>
        <v>5</v>
      </c>
      <c r="I762" s="1" t="str">
        <f aca="false">CONCATENATE(F762,G762,H762)</f>
        <v>205</v>
      </c>
      <c r="J762" s="1" t="str">
        <f aca="false">_xlfn.IFS(AND(F762&gt;=8,G762&gt;=8,H762&gt;=8),"CHAMPION",AND(F762&gt;=6,G762&gt;=7,H762&gt;=6),"LOYAL CUSTOMER",AND(F762&gt;=6,G762&gt;=5,H762&gt;=5),"POTENTIAL LOYALIST",AND(F762&gt;=8,G762&lt;=2,H762&gt;=5),"NEW CUSTOMERS",AND(F762&gt;=6,G762&lt;=2,H762&gt;=3),"PROMISING",AND(F762&gt;=3,G762&gt;=3,H762&gt;=3),"NEED ATTENTION",AND(F762&lt;=4,G762&gt;=6,H762&gt;=6),"AT RISK",AND(F762&lt;=2,G762&gt;=8,H762&gt;=8),"CAN'T LOSE THEM",AND(F762&lt;=2,G762&lt;=2,H762&lt;=2),"HIBERNATING",TRUE(),"Other")</f>
        <v>Other</v>
      </c>
      <c r="K762" s="1" t="n">
        <f aca="false">RANK(E762,$E$7:$E$4378)+COUNTIF($E$7:E762,E762)-1</f>
        <v>1817</v>
      </c>
    </row>
    <row r="763" customFormat="false" ht="14.25" hidden="false" customHeight="true" outlineLevel="0" collapsed="false">
      <c r="A763" s="51" t="n">
        <v>13340</v>
      </c>
      <c r="B763" s="53" t="n">
        <v>40841.5520833333</v>
      </c>
      <c r="C763" s="57" t="n">
        <f aca="false">INT($C$2)-INT(Table3[[#This Row],[Last Purchase Date]])</f>
        <v>46</v>
      </c>
      <c r="D763" s="1" t="n">
        <v>7</v>
      </c>
      <c r="E763" s="1" t="n">
        <v>10736.48</v>
      </c>
      <c r="F763" s="1" t="n">
        <f aca="false">ROUND((1-_xlfn.PERCENTRANK.INC($C$7:$C$4378,C763))*9,0)</f>
        <v>5</v>
      </c>
      <c r="G763" s="1" t="n">
        <f aca="false">ROUND(_xlfn.PERCENTRANK.INC($D$7:$D$4378,D763)*9,0)</f>
        <v>7</v>
      </c>
      <c r="H763" s="1" t="n">
        <f aca="false">ROUND(_xlfn.PERCENTRANK.INC($E$7:$E$4378,E763)*9,0)</f>
        <v>9</v>
      </c>
      <c r="I763" s="1" t="str">
        <f aca="false">CONCATENATE(F763,G763,H763)</f>
        <v>579</v>
      </c>
      <c r="J763" s="1" t="str">
        <f aca="false">_xlfn.IFS(AND(F763&gt;=8,G763&gt;=8,H763&gt;=8),"CHAMPION",AND(F763&gt;=6,G763&gt;=7,H763&gt;=6),"LOYAL CUSTOMER",AND(F763&gt;=6,G763&gt;=5,H763&gt;=5),"POTENTIAL LOYALIST",AND(F763&gt;=8,G763&lt;=2,H763&gt;=5),"NEW CUSTOMERS",AND(F763&gt;=6,G763&lt;=2,H763&gt;=3),"PROMISING",AND(F763&gt;=3,G763&gt;=3,H763&gt;=3),"NEED ATTENTION",AND(F763&lt;=4,G763&gt;=6,H763&gt;=6),"AT RISK",AND(F763&lt;=2,G763&gt;=8,H763&gt;=8),"CAN'T LOSE THEM",AND(F763&lt;=2,G763&lt;=2,H763&lt;=2),"HIBERNATING",TRUE(),"Other")</f>
        <v>NEED ATTENTION</v>
      </c>
      <c r="K763" s="1" t="n">
        <f aca="false">RANK(E763,$E$7:$E$4378)+COUNTIF($E$7:E763,E763)-1</f>
        <v>83</v>
      </c>
    </row>
    <row r="764" customFormat="false" ht="14.25" hidden="false" customHeight="true" outlineLevel="0" collapsed="false">
      <c r="A764" s="51" t="n">
        <v>13341</v>
      </c>
      <c r="B764" s="53" t="n">
        <v>40626.4097222222</v>
      </c>
      <c r="C764" s="57" t="n">
        <f aca="false">INT($C$2)-INT(Table3[[#This Row],[Last Purchase Date]])</f>
        <v>261</v>
      </c>
      <c r="D764" s="1" t="n">
        <v>1</v>
      </c>
      <c r="E764" s="1" t="n">
        <v>775.85</v>
      </c>
      <c r="F764" s="1" t="n">
        <f aca="false">ROUND((1-_xlfn.PERCENTRANK.INC($C$7:$C$4378,C764))*9,0)</f>
        <v>1</v>
      </c>
      <c r="G764" s="1" t="n">
        <f aca="false">ROUND(_xlfn.PERCENTRANK.INC($D$7:$D$4378,D764)*9,0)</f>
        <v>0</v>
      </c>
      <c r="H764" s="1" t="n">
        <f aca="false">ROUND(_xlfn.PERCENTRANK.INC($E$7:$E$4378,E764)*9,0)</f>
        <v>5</v>
      </c>
      <c r="I764" s="1" t="str">
        <f aca="false">CONCATENATE(F764,G764,H764)</f>
        <v>105</v>
      </c>
      <c r="J764" s="1" t="str">
        <f aca="false">_xlfn.IFS(AND(F764&gt;=8,G764&gt;=8,H764&gt;=8),"CHAMPION",AND(F764&gt;=6,G764&gt;=7,H764&gt;=6),"LOYAL CUSTOMER",AND(F764&gt;=6,G764&gt;=5,H764&gt;=5),"POTENTIAL LOYALIST",AND(F764&gt;=8,G764&lt;=2,H764&gt;=5),"NEW CUSTOMERS",AND(F764&gt;=6,G764&lt;=2,H764&gt;=3),"PROMISING",AND(F764&gt;=3,G764&gt;=3,H764&gt;=3),"NEED ATTENTION",AND(F764&lt;=4,G764&gt;=6,H764&gt;=6),"AT RISK",AND(F764&lt;=2,G764&gt;=8,H764&gt;=8),"CAN'T LOSE THEM",AND(F764&lt;=2,G764&lt;=2,H764&lt;=2),"HIBERNATING",TRUE(),"Other")</f>
        <v>Other</v>
      </c>
      <c r="K764" s="1" t="n">
        <f aca="false">RANK(E764,$E$7:$E$4378)+COUNTIF($E$7:E764,E764)-1</f>
        <v>1934</v>
      </c>
    </row>
    <row r="765" customFormat="false" ht="14.25" hidden="false" customHeight="true" outlineLevel="0" collapsed="false">
      <c r="A765" s="51" t="n">
        <v>13343</v>
      </c>
      <c r="B765" s="53" t="n">
        <v>40714.4840277778</v>
      </c>
      <c r="C765" s="57" t="n">
        <f aca="false">INT($C$2)-INT(Table3[[#This Row],[Last Purchase Date]])</f>
        <v>173</v>
      </c>
      <c r="D765" s="1" t="n">
        <v>2</v>
      </c>
      <c r="E765" s="1" t="n">
        <v>303.93</v>
      </c>
      <c r="F765" s="1" t="n">
        <f aca="false">ROUND((1-_xlfn.PERCENTRANK.INC($C$7:$C$4378,C765))*9,0)</f>
        <v>2</v>
      </c>
      <c r="G765" s="1" t="n">
        <f aca="false">ROUND(_xlfn.PERCENTRANK.INC($D$7:$D$4378,D765)*9,0)</f>
        <v>3</v>
      </c>
      <c r="H765" s="1" t="n">
        <f aca="false">ROUND(_xlfn.PERCENTRANK.INC($E$7:$E$4378,E765)*9,0)</f>
        <v>2</v>
      </c>
      <c r="I765" s="1" t="str">
        <f aca="false">CONCATENATE(F765,G765,H765)</f>
        <v>232</v>
      </c>
      <c r="J765" s="1" t="str">
        <f aca="false">_xlfn.IFS(AND(F765&gt;=8,G765&gt;=8,H765&gt;=8),"CHAMPION",AND(F765&gt;=6,G765&gt;=7,H765&gt;=6),"LOYAL CUSTOMER",AND(F765&gt;=6,G765&gt;=5,H765&gt;=5),"POTENTIAL LOYALIST",AND(F765&gt;=8,G765&lt;=2,H765&gt;=5),"NEW CUSTOMERS",AND(F765&gt;=6,G765&lt;=2,H765&gt;=3),"PROMISING",AND(F765&gt;=3,G765&gt;=3,H765&gt;=3),"NEED ATTENTION",AND(F765&lt;=4,G765&gt;=6,H765&gt;=6),"AT RISK",AND(F765&lt;=2,G765&gt;=8,H765&gt;=8),"CAN'T LOSE THEM",AND(F765&lt;=2,G765&lt;=2,H765&lt;=2),"HIBERNATING",TRUE(),"Other")</f>
        <v>Other</v>
      </c>
      <c r="K765" s="1" t="n">
        <f aca="false">RANK(E765,$E$7:$E$4378)+COUNTIF($E$7:E765,E765)-1</f>
        <v>3232</v>
      </c>
    </row>
    <row r="766" customFormat="false" ht="14.25" hidden="false" customHeight="true" outlineLevel="0" collapsed="false">
      <c r="A766" s="51" t="n">
        <v>13344</v>
      </c>
      <c r="B766" s="53" t="n">
        <v>40819.40625</v>
      </c>
      <c r="C766" s="57" t="n">
        <f aca="false">INT($C$2)-INT(Table3[[#This Row],[Last Purchase Date]])</f>
        <v>68</v>
      </c>
      <c r="D766" s="1" t="n">
        <v>3</v>
      </c>
      <c r="E766" s="1" t="n">
        <v>2543.72</v>
      </c>
      <c r="F766" s="1" t="n">
        <f aca="false">ROUND((1-_xlfn.PERCENTRANK.INC($C$7:$C$4378,C766))*9,0)</f>
        <v>4</v>
      </c>
      <c r="G766" s="1" t="n">
        <f aca="false">ROUND(_xlfn.PERCENTRANK.INC($D$7:$D$4378,D766)*9,0)</f>
        <v>4</v>
      </c>
      <c r="H766" s="1" t="n">
        <f aca="false">ROUND(_xlfn.PERCENTRANK.INC($E$7:$E$4378,E766)*9,0)</f>
        <v>8</v>
      </c>
      <c r="I766" s="1" t="str">
        <f aca="false">CONCATENATE(F766,G766,H766)</f>
        <v>448</v>
      </c>
      <c r="J766" s="1" t="str">
        <f aca="false">_xlfn.IFS(AND(F766&gt;=8,G766&gt;=8,H766&gt;=8),"CHAMPION",AND(F766&gt;=6,G766&gt;=7,H766&gt;=6),"LOYAL CUSTOMER",AND(F766&gt;=6,G766&gt;=5,H766&gt;=5),"POTENTIAL LOYALIST",AND(F766&gt;=8,G766&lt;=2,H766&gt;=5),"NEW CUSTOMERS",AND(F766&gt;=6,G766&lt;=2,H766&gt;=3),"PROMISING",AND(F766&gt;=3,G766&gt;=3,H766&gt;=3),"NEED ATTENTION",AND(F766&lt;=4,G766&gt;=6,H766&gt;=6),"AT RISK",AND(F766&lt;=2,G766&gt;=8,H766&gt;=8),"CAN'T LOSE THEM",AND(F766&lt;=2,G766&lt;=2,H766&lt;=2),"HIBERNATING",TRUE(),"Other")</f>
        <v>NEED ATTENTION</v>
      </c>
      <c r="K766" s="1" t="n">
        <f aca="false">RANK(E766,$E$7:$E$4378)+COUNTIF($E$7:E766,E766)-1</f>
        <v>666</v>
      </c>
    </row>
    <row r="767" customFormat="false" ht="14.25" hidden="false" customHeight="true" outlineLevel="0" collapsed="false">
      <c r="A767" s="51" t="n">
        <v>13345</v>
      </c>
      <c r="B767" s="53" t="n">
        <v>40610.3569444444</v>
      </c>
      <c r="C767" s="57" t="n">
        <f aca="false">INT($C$2)-INT(Table3[[#This Row],[Last Purchase Date]])</f>
        <v>277</v>
      </c>
      <c r="D767" s="1" t="n">
        <v>2</v>
      </c>
      <c r="E767" s="1" t="n">
        <v>377.6</v>
      </c>
      <c r="F767" s="1" t="n">
        <f aca="false">ROUND((1-_xlfn.PERCENTRANK.INC($C$7:$C$4378,C767))*9,0)</f>
        <v>1</v>
      </c>
      <c r="G767" s="1" t="n">
        <f aca="false">ROUND(_xlfn.PERCENTRANK.INC($D$7:$D$4378,D767)*9,0)</f>
        <v>3</v>
      </c>
      <c r="H767" s="1" t="n">
        <f aca="false">ROUND(_xlfn.PERCENTRANK.INC($E$7:$E$4378,E767)*9,0)</f>
        <v>3</v>
      </c>
      <c r="I767" s="1" t="str">
        <f aca="false">CONCATENATE(F767,G767,H767)</f>
        <v>133</v>
      </c>
      <c r="J767" s="1" t="str">
        <f aca="false">_xlfn.IFS(AND(F767&gt;=8,G767&gt;=8,H767&gt;=8),"CHAMPION",AND(F767&gt;=6,G767&gt;=7,H767&gt;=6),"LOYAL CUSTOMER",AND(F767&gt;=6,G767&gt;=5,H767&gt;=5),"POTENTIAL LOYALIST",AND(F767&gt;=8,G767&lt;=2,H767&gt;=5),"NEW CUSTOMERS",AND(F767&gt;=6,G767&lt;=2,H767&gt;=3),"PROMISING",AND(F767&gt;=3,G767&gt;=3,H767&gt;=3),"NEED ATTENTION",AND(F767&lt;=4,G767&gt;=6,H767&gt;=6),"AT RISK",AND(F767&lt;=2,G767&gt;=8,H767&gt;=8),"CAN'T LOSE THEM",AND(F767&lt;=2,G767&lt;=2,H767&lt;=2),"HIBERNATING",TRUE(),"Other")</f>
        <v>Other</v>
      </c>
      <c r="K767" s="1" t="n">
        <f aca="false">RANK(E767,$E$7:$E$4378)+COUNTIF($E$7:E767,E767)-1</f>
        <v>2906</v>
      </c>
    </row>
    <row r="768" customFormat="false" ht="14.25" hidden="false" customHeight="true" outlineLevel="0" collapsed="false">
      <c r="A768" s="51" t="n">
        <v>13347</v>
      </c>
      <c r="B768" s="53" t="n">
        <v>40816.5611111111</v>
      </c>
      <c r="C768" s="57" t="n">
        <f aca="false">INT($C$2)-INT(Table3[[#This Row],[Last Purchase Date]])</f>
        <v>71</v>
      </c>
      <c r="D768" s="1" t="n">
        <v>1</v>
      </c>
      <c r="E768" s="1" t="n">
        <v>341.36</v>
      </c>
      <c r="F768" s="1" t="n">
        <f aca="false">ROUND((1-_xlfn.PERCENTRANK.INC($C$7:$C$4378,C768))*9,0)</f>
        <v>4</v>
      </c>
      <c r="G768" s="1" t="n">
        <f aca="false">ROUND(_xlfn.PERCENTRANK.INC($D$7:$D$4378,D768)*9,0)</f>
        <v>0</v>
      </c>
      <c r="H768" s="1" t="n">
        <f aca="false">ROUND(_xlfn.PERCENTRANK.INC($E$7:$E$4378,E768)*9,0)</f>
        <v>3</v>
      </c>
      <c r="I768" s="1" t="str">
        <f aca="false">CONCATENATE(F768,G768,H768)</f>
        <v>403</v>
      </c>
      <c r="J768" s="1" t="str">
        <f aca="false">_xlfn.IFS(AND(F768&gt;=8,G768&gt;=8,H768&gt;=8),"CHAMPION",AND(F768&gt;=6,G768&gt;=7,H768&gt;=6),"LOYAL CUSTOMER",AND(F768&gt;=6,G768&gt;=5,H768&gt;=5),"POTENTIAL LOYALIST",AND(F768&gt;=8,G768&lt;=2,H768&gt;=5),"NEW CUSTOMERS",AND(F768&gt;=6,G768&lt;=2,H768&gt;=3),"PROMISING",AND(F768&gt;=3,G768&gt;=3,H768&gt;=3),"NEED ATTENTION",AND(F768&lt;=4,G768&gt;=6,H768&gt;=6),"AT RISK",AND(F768&lt;=2,G768&gt;=8,H768&gt;=8),"CAN'T LOSE THEM",AND(F768&lt;=2,G768&lt;=2,H768&lt;=2),"HIBERNATING",TRUE(),"Other")</f>
        <v>Other</v>
      </c>
      <c r="K768" s="1" t="n">
        <f aca="false">RANK(E768,$E$7:$E$4378)+COUNTIF($E$7:E768,E768)-1</f>
        <v>3047</v>
      </c>
    </row>
    <row r="769" customFormat="false" ht="14.25" hidden="false" customHeight="true" outlineLevel="0" collapsed="false">
      <c r="A769" s="51" t="n">
        <v>13348</v>
      </c>
      <c r="B769" s="53" t="n">
        <v>40822.7277777778</v>
      </c>
      <c r="C769" s="57" t="n">
        <f aca="false">INT($C$2)-INT(Table3[[#This Row],[Last Purchase Date]])</f>
        <v>65</v>
      </c>
      <c r="D769" s="1" t="n">
        <v>1</v>
      </c>
      <c r="E769" s="1" t="n">
        <v>233.76</v>
      </c>
      <c r="F769" s="1" t="n">
        <f aca="false">ROUND((1-_xlfn.PERCENTRANK.INC($C$7:$C$4378,C769))*9,0)</f>
        <v>4</v>
      </c>
      <c r="G769" s="1" t="n">
        <f aca="false">ROUND(_xlfn.PERCENTRANK.INC($D$7:$D$4378,D769)*9,0)</f>
        <v>0</v>
      </c>
      <c r="H769" s="1" t="n">
        <f aca="false">ROUND(_xlfn.PERCENTRANK.INC($E$7:$E$4378,E769)*9,0)</f>
        <v>2</v>
      </c>
      <c r="I769" s="1" t="str">
        <f aca="false">CONCATENATE(F769,G769,H769)</f>
        <v>402</v>
      </c>
      <c r="J769" s="1" t="str">
        <f aca="false">_xlfn.IFS(AND(F769&gt;=8,G769&gt;=8,H769&gt;=8),"CHAMPION",AND(F769&gt;=6,G769&gt;=7,H769&gt;=6),"LOYAL CUSTOMER",AND(F769&gt;=6,G769&gt;=5,H769&gt;=5),"POTENTIAL LOYALIST",AND(F769&gt;=8,G769&lt;=2,H769&gt;=5),"NEW CUSTOMERS",AND(F769&gt;=6,G769&lt;=2,H769&gt;=3),"PROMISING",AND(F769&gt;=3,G769&gt;=3,H769&gt;=3),"NEED ATTENTION",AND(F769&lt;=4,G769&gt;=6,H769&gt;=6),"AT RISK",AND(F769&lt;=2,G769&gt;=8,H769&gt;=8),"CAN'T LOSE THEM",AND(F769&lt;=2,G769&lt;=2,H769&lt;=2),"HIBERNATING",TRUE(),"Other")</f>
        <v>Other</v>
      </c>
      <c r="K769" s="1" t="n">
        <f aca="false">RANK(E769,$E$7:$E$4378)+COUNTIF($E$7:E769,E769)-1</f>
        <v>3503</v>
      </c>
    </row>
    <row r="770" customFormat="false" ht="14.25" hidden="false" customHeight="true" outlineLevel="0" collapsed="false">
      <c r="A770" s="51" t="n">
        <v>13349</v>
      </c>
      <c r="B770" s="53" t="n">
        <v>40876.3381944444</v>
      </c>
      <c r="C770" s="57" t="n">
        <f aca="false">INT($C$2)-INT(Table3[[#This Row],[Last Purchase Date]])</f>
        <v>11</v>
      </c>
      <c r="D770" s="1" t="n">
        <v>1</v>
      </c>
      <c r="E770" s="1" t="n">
        <v>247.32</v>
      </c>
      <c r="F770" s="1" t="n">
        <f aca="false">ROUND((1-_xlfn.PERCENTRANK.INC($C$7:$C$4378,C770))*9,0)</f>
        <v>7</v>
      </c>
      <c r="G770" s="1" t="n">
        <f aca="false">ROUND(_xlfn.PERCENTRANK.INC($D$7:$D$4378,D770)*9,0)</f>
        <v>0</v>
      </c>
      <c r="H770" s="1" t="n">
        <f aca="false">ROUND(_xlfn.PERCENTRANK.INC($E$7:$E$4378,E770)*9,0)</f>
        <v>2</v>
      </c>
      <c r="I770" s="1" t="str">
        <f aca="false">CONCATENATE(F770,G770,H770)</f>
        <v>702</v>
      </c>
      <c r="J770" s="1" t="str">
        <f aca="false">_xlfn.IFS(AND(F770&gt;=8,G770&gt;=8,H770&gt;=8),"CHAMPION",AND(F770&gt;=6,G770&gt;=7,H770&gt;=6),"LOYAL CUSTOMER",AND(F770&gt;=6,G770&gt;=5,H770&gt;=5),"POTENTIAL LOYALIST",AND(F770&gt;=8,G770&lt;=2,H770&gt;=5),"NEW CUSTOMERS",AND(F770&gt;=6,G770&lt;=2,H770&gt;=3),"PROMISING",AND(F770&gt;=3,G770&gt;=3,H770&gt;=3),"NEED ATTENTION",AND(F770&lt;=4,G770&gt;=6,H770&gt;=6),"AT RISK",AND(F770&lt;=2,G770&gt;=8,H770&gt;=8),"CAN'T LOSE THEM",AND(F770&lt;=2,G770&lt;=2,H770&lt;=2),"HIBERNATING",TRUE(),"Other")</f>
        <v>Other</v>
      </c>
      <c r="K770" s="1" t="n">
        <f aca="false">RANK(E770,$E$7:$E$4378)+COUNTIF($E$7:E770,E770)-1</f>
        <v>3450</v>
      </c>
    </row>
    <row r="771" customFormat="false" ht="14.25" hidden="false" customHeight="true" outlineLevel="0" collapsed="false">
      <c r="A771" s="51" t="n">
        <v>13350</v>
      </c>
      <c r="B771" s="53" t="n">
        <v>40870.6895833333</v>
      </c>
      <c r="C771" s="57" t="n">
        <f aca="false">INT($C$2)-INT(Table3[[#This Row],[Last Purchase Date]])</f>
        <v>17</v>
      </c>
      <c r="D771" s="1" t="n">
        <v>3</v>
      </c>
      <c r="E771" s="1" t="n">
        <v>910.72</v>
      </c>
      <c r="F771" s="1" t="n">
        <f aca="false">ROUND((1-_xlfn.PERCENTRANK.INC($C$7:$C$4378,C771))*9,0)</f>
        <v>7</v>
      </c>
      <c r="G771" s="1" t="n">
        <f aca="false">ROUND(_xlfn.PERCENTRANK.INC($D$7:$D$4378,D771)*9,0)</f>
        <v>4</v>
      </c>
      <c r="H771" s="1" t="n">
        <f aca="false">ROUND(_xlfn.PERCENTRANK.INC($E$7:$E$4378,E771)*9,0)</f>
        <v>5</v>
      </c>
      <c r="I771" s="1" t="str">
        <f aca="false">CONCATENATE(F771,G771,H771)</f>
        <v>745</v>
      </c>
      <c r="J771" s="1" t="str">
        <f aca="false">_xlfn.IFS(AND(F771&gt;=8,G771&gt;=8,H771&gt;=8),"CHAMPION",AND(F771&gt;=6,G771&gt;=7,H771&gt;=6),"LOYAL CUSTOMER",AND(F771&gt;=6,G771&gt;=5,H771&gt;=5),"POTENTIAL LOYALIST",AND(F771&gt;=8,G771&lt;=2,H771&gt;=5),"NEW CUSTOMERS",AND(F771&gt;=6,G771&lt;=2,H771&gt;=3),"PROMISING",AND(F771&gt;=3,G771&gt;=3,H771&gt;=3),"NEED ATTENTION",AND(F771&lt;=4,G771&gt;=6,H771&gt;=6),"AT RISK",AND(F771&lt;=2,G771&gt;=8,H771&gt;=8),"CAN'T LOSE THEM",AND(F771&lt;=2,G771&lt;=2,H771&lt;=2),"HIBERNATING",TRUE(),"Other")</f>
        <v>NEED ATTENTION</v>
      </c>
      <c r="K771" s="1" t="n">
        <f aca="false">RANK(E771,$E$7:$E$4378)+COUNTIF($E$7:E771,E771)-1</f>
        <v>1746</v>
      </c>
    </row>
    <row r="772" customFormat="false" ht="14.25" hidden="false" customHeight="true" outlineLevel="0" collapsed="false">
      <c r="A772" s="51" t="n">
        <v>13351</v>
      </c>
      <c r="B772" s="53" t="n">
        <v>40820.5381944445</v>
      </c>
      <c r="C772" s="57" t="n">
        <f aca="false">INT($C$2)-INT(Table3[[#This Row],[Last Purchase Date]])</f>
        <v>67</v>
      </c>
      <c r="D772" s="1" t="n">
        <v>1</v>
      </c>
      <c r="E772" s="1" t="n">
        <v>373.94</v>
      </c>
      <c r="F772" s="1" t="n">
        <f aca="false">ROUND((1-_xlfn.PERCENTRANK.INC($C$7:$C$4378,C772))*9,0)</f>
        <v>4</v>
      </c>
      <c r="G772" s="1" t="n">
        <f aca="false">ROUND(_xlfn.PERCENTRANK.INC($D$7:$D$4378,D772)*9,0)</f>
        <v>0</v>
      </c>
      <c r="H772" s="1" t="n">
        <f aca="false">ROUND(_xlfn.PERCENTRANK.INC($E$7:$E$4378,E772)*9,0)</f>
        <v>3</v>
      </c>
      <c r="I772" s="1" t="str">
        <f aca="false">CONCATENATE(F772,G772,H772)</f>
        <v>403</v>
      </c>
      <c r="J772" s="1" t="str">
        <f aca="false">_xlfn.IFS(AND(F772&gt;=8,G772&gt;=8,H772&gt;=8),"CHAMPION",AND(F772&gt;=6,G772&gt;=7,H772&gt;=6),"LOYAL CUSTOMER",AND(F772&gt;=6,G772&gt;=5,H772&gt;=5),"POTENTIAL LOYALIST",AND(F772&gt;=8,G772&lt;=2,H772&gt;=5),"NEW CUSTOMERS",AND(F772&gt;=6,G772&lt;=2,H772&gt;=3),"PROMISING",AND(F772&gt;=3,G772&gt;=3,H772&gt;=3),"NEED ATTENTION",AND(F772&lt;=4,G772&gt;=6,H772&gt;=6),"AT RISK",AND(F772&lt;=2,G772&gt;=8,H772&gt;=8),"CAN'T LOSE THEM",AND(F772&lt;=2,G772&lt;=2,H772&lt;=2),"HIBERNATING",TRUE(),"Other")</f>
        <v>Other</v>
      </c>
      <c r="K772" s="1" t="n">
        <f aca="false">RANK(E772,$E$7:$E$4378)+COUNTIF($E$7:E772,E772)-1</f>
        <v>2917</v>
      </c>
    </row>
    <row r="773" customFormat="false" ht="14.25" hidden="false" customHeight="true" outlineLevel="0" collapsed="false">
      <c r="A773" s="51" t="n">
        <v>13352</v>
      </c>
      <c r="B773" s="53" t="n">
        <v>40879.4986111111</v>
      </c>
      <c r="C773" s="57" t="n">
        <f aca="false">INT($C$2)-INT(Table3[[#This Row],[Last Purchase Date]])</f>
        <v>8</v>
      </c>
      <c r="D773" s="1" t="n">
        <v>2</v>
      </c>
      <c r="E773" s="1" t="n">
        <v>389.28</v>
      </c>
      <c r="F773" s="1" t="n">
        <f aca="false">ROUND((1-_xlfn.PERCENTRANK.INC($C$7:$C$4378,C773))*9,0)</f>
        <v>8</v>
      </c>
      <c r="G773" s="1" t="n">
        <f aca="false">ROUND(_xlfn.PERCENTRANK.INC($D$7:$D$4378,D773)*9,0)</f>
        <v>3</v>
      </c>
      <c r="H773" s="1" t="n">
        <f aca="false">ROUND(_xlfn.PERCENTRANK.INC($E$7:$E$4378,E773)*9,0)</f>
        <v>3</v>
      </c>
      <c r="I773" s="1" t="str">
        <f aca="false">CONCATENATE(F773,G773,H773)</f>
        <v>833</v>
      </c>
      <c r="J773" s="1" t="str">
        <f aca="false">_xlfn.IFS(AND(F773&gt;=8,G773&gt;=8,H773&gt;=8),"CHAMPION",AND(F773&gt;=6,G773&gt;=7,H773&gt;=6),"LOYAL CUSTOMER",AND(F773&gt;=6,G773&gt;=5,H773&gt;=5),"POTENTIAL LOYALIST",AND(F773&gt;=8,G773&lt;=2,H773&gt;=5),"NEW CUSTOMERS",AND(F773&gt;=6,G773&lt;=2,H773&gt;=3),"PROMISING",AND(F773&gt;=3,G773&gt;=3,H773&gt;=3),"NEED ATTENTION",AND(F773&lt;=4,G773&gt;=6,H773&gt;=6),"AT RISK",AND(F773&lt;=2,G773&gt;=8,H773&gt;=8),"CAN'T LOSE THEM",AND(F773&lt;=2,G773&lt;=2,H773&lt;=2),"HIBERNATING",TRUE(),"Other")</f>
        <v>NEED ATTENTION</v>
      </c>
      <c r="K773" s="1" t="n">
        <f aca="false">RANK(E773,$E$7:$E$4378)+COUNTIF($E$7:E773,E773)-1</f>
        <v>2850</v>
      </c>
    </row>
    <row r="774" customFormat="false" ht="14.25" hidden="false" customHeight="true" outlineLevel="0" collapsed="false">
      <c r="A774" s="51" t="n">
        <v>13354</v>
      </c>
      <c r="B774" s="53" t="n">
        <v>40815.5534722222</v>
      </c>
      <c r="C774" s="57" t="n">
        <f aca="false">INT($C$2)-INT(Table3[[#This Row],[Last Purchase Date]])</f>
        <v>72</v>
      </c>
      <c r="D774" s="1" t="n">
        <v>1</v>
      </c>
      <c r="E774" s="1" t="n">
        <v>743.53</v>
      </c>
      <c r="F774" s="1" t="n">
        <f aca="false">ROUND((1-_xlfn.PERCENTRANK.INC($C$7:$C$4378,C774))*9,0)</f>
        <v>4</v>
      </c>
      <c r="G774" s="1" t="n">
        <f aca="false">ROUND(_xlfn.PERCENTRANK.INC($D$7:$D$4378,D774)*9,0)</f>
        <v>0</v>
      </c>
      <c r="H774" s="1" t="n">
        <f aca="false">ROUND(_xlfn.PERCENTRANK.INC($E$7:$E$4378,E774)*9,0)</f>
        <v>5</v>
      </c>
      <c r="I774" s="1" t="str">
        <f aca="false">CONCATENATE(F774,G774,H774)</f>
        <v>405</v>
      </c>
      <c r="J774" s="1" t="str">
        <f aca="false">_xlfn.IFS(AND(F774&gt;=8,G774&gt;=8,H774&gt;=8),"CHAMPION",AND(F774&gt;=6,G774&gt;=7,H774&gt;=6),"LOYAL CUSTOMER",AND(F774&gt;=6,G774&gt;=5,H774&gt;=5),"POTENTIAL LOYALIST",AND(F774&gt;=8,G774&lt;=2,H774&gt;=5),"NEW CUSTOMERS",AND(F774&gt;=6,G774&lt;=2,H774&gt;=3),"PROMISING",AND(F774&gt;=3,G774&gt;=3,H774&gt;=3),"NEED ATTENTION",AND(F774&lt;=4,G774&gt;=6,H774&gt;=6),"AT RISK",AND(F774&lt;=2,G774&gt;=8,H774&gt;=8),"CAN'T LOSE THEM",AND(F774&lt;=2,G774&lt;=2,H774&lt;=2),"HIBERNATING",TRUE(),"Other")</f>
        <v>Other</v>
      </c>
      <c r="K774" s="1" t="n">
        <f aca="false">RANK(E774,$E$7:$E$4378)+COUNTIF($E$7:E774,E774)-1</f>
        <v>1987</v>
      </c>
    </row>
    <row r="775" customFormat="false" ht="14.25" hidden="false" customHeight="true" outlineLevel="0" collapsed="false">
      <c r="A775" s="51" t="n">
        <v>13355</v>
      </c>
      <c r="B775" s="53" t="n">
        <v>40764.6166666667</v>
      </c>
      <c r="C775" s="57" t="n">
        <f aca="false">INT($C$2)-INT(Table3[[#This Row],[Last Purchase Date]])</f>
        <v>123</v>
      </c>
      <c r="D775" s="1" t="n">
        <v>1</v>
      </c>
      <c r="E775" s="1" t="n">
        <v>674.7</v>
      </c>
      <c r="F775" s="1" t="n">
        <f aca="false">ROUND((1-_xlfn.PERCENTRANK.INC($C$7:$C$4378,C775))*9,0)</f>
        <v>3</v>
      </c>
      <c r="G775" s="1" t="n">
        <f aca="false">ROUND(_xlfn.PERCENTRANK.INC($D$7:$D$4378,D775)*9,0)</f>
        <v>0</v>
      </c>
      <c r="H775" s="1" t="n">
        <f aca="false">ROUND(_xlfn.PERCENTRANK.INC($E$7:$E$4378,E775)*9,0)</f>
        <v>5</v>
      </c>
      <c r="I775" s="1" t="str">
        <f aca="false">CONCATENATE(F775,G775,H775)</f>
        <v>305</v>
      </c>
      <c r="J775" s="1" t="str">
        <f aca="false">_xlfn.IFS(AND(F775&gt;=8,G775&gt;=8,H775&gt;=8),"CHAMPION",AND(F775&gt;=6,G775&gt;=7,H775&gt;=6),"LOYAL CUSTOMER",AND(F775&gt;=6,G775&gt;=5,H775&gt;=5),"POTENTIAL LOYALIST",AND(F775&gt;=8,G775&lt;=2,H775&gt;=5),"NEW CUSTOMERS",AND(F775&gt;=6,G775&lt;=2,H775&gt;=3),"PROMISING",AND(F775&gt;=3,G775&gt;=3,H775&gt;=3),"NEED ATTENTION",AND(F775&lt;=4,G775&gt;=6,H775&gt;=6),"AT RISK",AND(F775&lt;=2,G775&gt;=8,H775&gt;=8),"CAN'T LOSE THEM",AND(F775&lt;=2,G775&lt;=2,H775&lt;=2),"HIBERNATING",TRUE(),"Other")</f>
        <v>Other</v>
      </c>
      <c r="K775" s="1" t="n">
        <f aca="false">RANK(E775,$E$7:$E$4378)+COUNTIF($E$7:E775,E775)-1</f>
        <v>2117</v>
      </c>
    </row>
    <row r="776" customFormat="false" ht="14.25" hidden="false" customHeight="true" outlineLevel="0" collapsed="false">
      <c r="A776" s="51" t="n">
        <v>13356</v>
      </c>
      <c r="B776" s="53" t="n">
        <v>40806.60625</v>
      </c>
      <c r="C776" s="57" t="n">
        <f aca="false">INT($C$2)-INT(Table3[[#This Row],[Last Purchase Date]])</f>
        <v>81</v>
      </c>
      <c r="D776" s="1" t="n">
        <v>1</v>
      </c>
      <c r="E776" s="1" t="n">
        <v>768.24</v>
      </c>
      <c r="F776" s="1" t="n">
        <f aca="false">ROUND((1-_xlfn.PERCENTRANK.INC($C$7:$C$4378,C776))*9,0)</f>
        <v>3</v>
      </c>
      <c r="G776" s="1" t="n">
        <f aca="false">ROUND(_xlfn.PERCENTRANK.INC($D$7:$D$4378,D776)*9,0)</f>
        <v>0</v>
      </c>
      <c r="H776" s="1" t="n">
        <f aca="false">ROUND(_xlfn.PERCENTRANK.INC($E$7:$E$4378,E776)*9,0)</f>
        <v>5</v>
      </c>
      <c r="I776" s="1" t="str">
        <f aca="false">CONCATENATE(F776,G776,H776)</f>
        <v>305</v>
      </c>
      <c r="J776" s="1" t="str">
        <f aca="false">_xlfn.IFS(AND(F776&gt;=8,G776&gt;=8,H776&gt;=8),"CHAMPION",AND(F776&gt;=6,G776&gt;=7,H776&gt;=6),"LOYAL CUSTOMER",AND(F776&gt;=6,G776&gt;=5,H776&gt;=5),"POTENTIAL LOYALIST",AND(F776&gt;=8,G776&lt;=2,H776&gt;=5),"NEW CUSTOMERS",AND(F776&gt;=6,G776&lt;=2,H776&gt;=3),"PROMISING",AND(F776&gt;=3,G776&gt;=3,H776&gt;=3),"NEED ATTENTION",AND(F776&lt;=4,G776&gt;=6,H776&gt;=6),"AT RISK",AND(F776&lt;=2,G776&gt;=8,H776&gt;=8),"CAN'T LOSE THEM",AND(F776&lt;=2,G776&lt;=2,H776&lt;=2),"HIBERNATING",TRUE(),"Other")</f>
        <v>Other</v>
      </c>
      <c r="K776" s="1" t="n">
        <f aca="false">RANK(E776,$E$7:$E$4378)+COUNTIF($E$7:E776,E776)-1</f>
        <v>1949</v>
      </c>
    </row>
    <row r="777" customFormat="false" ht="14.25" hidden="false" customHeight="true" outlineLevel="0" collapsed="false">
      <c r="A777" s="51" t="n">
        <v>13357</v>
      </c>
      <c r="B777" s="53" t="n">
        <v>40629.5805555556</v>
      </c>
      <c r="C777" s="57" t="n">
        <f aca="false">INT($C$2)-INT(Table3[[#This Row],[Last Purchase Date]])</f>
        <v>258</v>
      </c>
      <c r="D777" s="1" t="n">
        <v>1</v>
      </c>
      <c r="E777" s="1" t="n">
        <v>609.95</v>
      </c>
      <c r="F777" s="1" t="n">
        <f aca="false">ROUND((1-_xlfn.PERCENTRANK.INC($C$7:$C$4378,C777))*9,0)</f>
        <v>1</v>
      </c>
      <c r="G777" s="1" t="n">
        <f aca="false">ROUND(_xlfn.PERCENTRANK.INC($D$7:$D$4378,D777)*9,0)</f>
        <v>0</v>
      </c>
      <c r="H777" s="1" t="n">
        <f aca="false">ROUND(_xlfn.PERCENTRANK.INC($E$7:$E$4378,E777)*9,0)</f>
        <v>4</v>
      </c>
      <c r="I777" s="1" t="str">
        <f aca="false">CONCATENATE(F777,G777,H777)</f>
        <v>104</v>
      </c>
      <c r="J777" s="1" t="str">
        <f aca="false">_xlfn.IFS(AND(F777&gt;=8,G777&gt;=8,H777&gt;=8),"CHAMPION",AND(F777&gt;=6,G777&gt;=7,H777&gt;=6),"LOYAL CUSTOMER",AND(F777&gt;=6,G777&gt;=5,H777&gt;=5),"POTENTIAL LOYALIST",AND(F777&gt;=8,G777&lt;=2,H777&gt;=5),"NEW CUSTOMERS",AND(F777&gt;=6,G777&lt;=2,H777&gt;=3),"PROMISING",AND(F777&gt;=3,G777&gt;=3,H777&gt;=3),"NEED ATTENTION",AND(F777&lt;=4,G777&gt;=6,H777&gt;=6),"AT RISK",AND(F777&lt;=2,G777&gt;=8,H777&gt;=8),"CAN'T LOSE THEM",AND(F777&lt;=2,G777&lt;=2,H777&lt;=2),"HIBERNATING",TRUE(),"Other")</f>
        <v>Other</v>
      </c>
      <c r="K777" s="1" t="n">
        <f aca="false">RANK(E777,$E$7:$E$4378)+COUNTIF($E$7:E777,E777)-1</f>
        <v>2283</v>
      </c>
    </row>
    <row r="778" customFormat="false" ht="14.25" hidden="false" customHeight="true" outlineLevel="0" collapsed="false">
      <c r="A778" s="51" t="n">
        <v>13358</v>
      </c>
      <c r="B778" s="53" t="n">
        <v>40618.4944444444</v>
      </c>
      <c r="C778" s="57" t="n">
        <f aca="false">INT($C$2)-INT(Table3[[#This Row],[Last Purchase Date]])</f>
        <v>269</v>
      </c>
      <c r="D778" s="1" t="n">
        <v>1</v>
      </c>
      <c r="E778" s="1" t="n">
        <v>439.03</v>
      </c>
      <c r="F778" s="1" t="n">
        <f aca="false">ROUND((1-_xlfn.PERCENTRANK.INC($C$7:$C$4378,C778))*9,0)</f>
        <v>1</v>
      </c>
      <c r="G778" s="1" t="n">
        <f aca="false">ROUND(_xlfn.PERCENTRANK.INC($D$7:$D$4378,D778)*9,0)</f>
        <v>0</v>
      </c>
      <c r="H778" s="1" t="n">
        <f aca="false">ROUND(_xlfn.PERCENTRANK.INC($E$7:$E$4378,E778)*9,0)</f>
        <v>3</v>
      </c>
      <c r="I778" s="1" t="str">
        <f aca="false">CONCATENATE(F778,G778,H778)</f>
        <v>103</v>
      </c>
      <c r="J778" s="1" t="str">
        <f aca="false">_xlfn.IFS(AND(F778&gt;=8,G778&gt;=8,H778&gt;=8),"CHAMPION",AND(F778&gt;=6,G778&gt;=7,H778&gt;=6),"LOYAL CUSTOMER",AND(F778&gt;=6,G778&gt;=5,H778&gt;=5),"POTENTIAL LOYALIST",AND(F778&gt;=8,G778&lt;=2,H778&gt;=5),"NEW CUSTOMERS",AND(F778&gt;=6,G778&lt;=2,H778&gt;=3),"PROMISING",AND(F778&gt;=3,G778&gt;=3,H778&gt;=3),"NEED ATTENTION",AND(F778&lt;=4,G778&gt;=6,H778&gt;=6),"AT RISK",AND(F778&lt;=2,G778&gt;=8,H778&gt;=8),"CAN'T LOSE THEM",AND(F778&lt;=2,G778&lt;=2,H778&lt;=2),"HIBERNATING",TRUE(),"Other")</f>
        <v>Other</v>
      </c>
      <c r="K778" s="1" t="n">
        <f aca="false">RANK(E778,$E$7:$E$4378)+COUNTIF($E$7:E778,E778)-1</f>
        <v>2698</v>
      </c>
    </row>
    <row r="779" customFormat="false" ht="14.25" hidden="false" customHeight="true" outlineLevel="0" collapsed="false">
      <c r="A779" s="51" t="n">
        <v>13359</v>
      </c>
      <c r="B779" s="53" t="n">
        <v>40827.7</v>
      </c>
      <c r="C779" s="57" t="n">
        <f aca="false">INT($C$2)-INT(Table3[[#This Row],[Last Purchase Date]])</f>
        <v>60</v>
      </c>
      <c r="D779" s="1" t="n">
        <v>2</v>
      </c>
      <c r="E779" s="1" t="n">
        <v>431.26</v>
      </c>
      <c r="F779" s="1" t="n">
        <f aca="false">ROUND((1-_xlfn.PERCENTRANK.INC($C$7:$C$4378,C779))*9,0)</f>
        <v>4</v>
      </c>
      <c r="G779" s="1" t="n">
        <f aca="false">ROUND(_xlfn.PERCENTRANK.INC($D$7:$D$4378,D779)*9,0)</f>
        <v>3</v>
      </c>
      <c r="H779" s="1" t="n">
        <f aca="false">ROUND(_xlfn.PERCENTRANK.INC($E$7:$E$4378,E779)*9,0)</f>
        <v>3</v>
      </c>
      <c r="I779" s="1" t="str">
        <f aca="false">CONCATENATE(F779,G779,H779)</f>
        <v>433</v>
      </c>
      <c r="J779" s="1" t="str">
        <f aca="false">_xlfn.IFS(AND(F779&gt;=8,G779&gt;=8,H779&gt;=8),"CHAMPION",AND(F779&gt;=6,G779&gt;=7,H779&gt;=6),"LOYAL CUSTOMER",AND(F779&gt;=6,G779&gt;=5,H779&gt;=5),"POTENTIAL LOYALIST",AND(F779&gt;=8,G779&lt;=2,H779&gt;=5),"NEW CUSTOMERS",AND(F779&gt;=6,G779&lt;=2,H779&gt;=3),"PROMISING",AND(F779&gt;=3,G779&gt;=3,H779&gt;=3),"NEED ATTENTION",AND(F779&lt;=4,G779&gt;=6,H779&gt;=6),"AT RISK",AND(F779&lt;=2,G779&gt;=8,H779&gt;=8),"CAN'T LOSE THEM",AND(F779&lt;=2,G779&lt;=2,H779&lt;=2),"HIBERNATING",TRUE(),"Other")</f>
        <v>NEED ATTENTION</v>
      </c>
      <c r="K779" s="1" t="n">
        <f aca="false">RANK(E779,$E$7:$E$4378)+COUNTIF($E$7:E779,E779)-1</f>
        <v>2713</v>
      </c>
    </row>
    <row r="780" customFormat="false" ht="14.25" hidden="false" customHeight="true" outlineLevel="0" collapsed="false">
      <c r="A780" s="51" t="n">
        <v>13362</v>
      </c>
      <c r="B780" s="53" t="n">
        <v>40883.58125</v>
      </c>
      <c r="C780" s="57" t="n">
        <f aca="false">INT($C$2)-INT(Table3[[#This Row],[Last Purchase Date]])</f>
        <v>4</v>
      </c>
      <c r="D780" s="1" t="n">
        <v>5</v>
      </c>
      <c r="E780" s="1" t="n">
        <v>3085.49</v>
      </c>
      <c r="F780" s="1" t="n">
        <f aca="false">ROUND((1-_xlfn.PERCENTRANK.INC($C$7:$C$4378,C780))*9,0)</f>
        <v>8</v>
      </c>
      <c r="G780" s="1" t="n">
        <f aca="false">ROUND(_xlfn.PERCENTRANK.INC($D$7:$D$4378,D780)*9,0)</f>
        <v>6</v>
      </c>
      <c r="H780" s="1" t="n">
        <f aca="false">ROUND(_xlfn.PERCENTRANK.INC($E$7:$E$4378,E780)*9,0)</f>
        <v>8</v>
      </c>
      <c r="I780" s="1" t="str">
        <f aca="false">CONCATENATE(F780,G780,H780)</f>
        <v>868</v>
      </c>
      <c r="J780" s="1" t="str">
        <f aca="false">_xlfn.IFS(AND(F780&gt;=8,G780&gt;=8,H780&gt;=8),"CHAMPION",AND(F780&gt;=6,G780&gt;=7,H780&gt;=6),"LOYAL CUSTOMER",AND(F780&gt;=6,G780&gt;=5,H780&gt;=5),"POTENTIAL LOYALIST",AND(F780&gt;=8,G780&lt;=2,H780&gt;=5),"NEW CUSTOMERS",AND(F780&gt;=6,G780&lt;=2,H780&gt;=3),"PROMISING",AND(F780&gt;=3,G780&gt;=3,H780&gt;=3),"NEED ATTENTION",AND(F780&lt;=4,G780&gt;=6,H780&gt;=6),"AT RISK",AND(F780&lt;=2,G780&gt;=8,H780&gt;=8),"CAN'T LOSE THEM",AND(F780&lt;=2,G780&lt;=2,H780&lt;=2),"HIBERNATING",TRUE(),"Other")</f>
        <v>POTENTIAL LOYALIST</v>
      </c>
      <c r="K780" s="1" t="n">
        <f aca="false">RANK(E780,$E$7:$E$4378)+COUNTIF($E$7:E780,E780)-1</f>
        <v>520</v>
      </c>
    </row>
    <row r="781" customFormat="false" ht="14.25" hidden="false" customHeight="true" outlineLevel="0" collapsed="false">
      <c r="A781" s="51" t="n">
        <v>13363</v>
      </c>
      <c r="B781" s="53" t="n">
        <v>40869.5277777778</v>
      </c>
      <c r="C781" s="57" t="n">
        <f aca="false">INT($C$2)-INT(Table3[[#This Row],[Last Purchase Date]])</f>
        <v>18</v>
      </c>
      <c r="D781" s="1" t="n">
        <v>2</v>
      </c>
      <c r="E781" s="1" t="n">
        <v>992.5</v>
      </c>
      <c r="F781" s="1" t="n">
        <f aca="false">ROUND((1-_xlfn.PERCENTRANK.INC($C$7:$C$4378,C781))*9,0)</f>
        <v>7</v>
      </c>
      <c r="G781" s="1" t="n">
        <f aca="false">ROUND(_xlfn.PERCENTRANK.INC($D$7:$D$4378,D781)*9,0)</f>
        <v>3</v>
      </c>
      <c r="H781" s="1" t="n">
        <f aca="false">ROUND(_xlfn.PERCENTRANK.INC($E$7:$E$4378,E781)*9,0)</f>
        <v>6</v>
      </c>
      <c r="I781" s="1" t="str">
        <f aca="false">CONCATENATE(F781,G781,H781)</f>
        <v>736</v>
      </c>
      <c r="J781" s="1" t="str">
        <f aca="false">_xlfn.IFS(AND(F781&gt;=8,G781&gt;=8,H781&gt;=8),"CHAMPION",AND(F781&gt;=6,G781&gt;=7,H781&gt;=6),"LOYAL CUSTOMER",AND(F781&gt;=6,G781&gt;=5,H781&gt;=5),"POTENTIAL LOYALIST",AND(F781&gt;=8,G781&lt;=2,H781&gt;=5),"NEW CUSTOMERS",AND(F781&gt;=6,G781&lt;=2,H781&gt;=3),"PROMISING",AND(F781&gt;=3,G781&gt;=3,H781&gt;=3),"NEED ATTENTION",AND(F781&lt;=4,G781&gt;=6,H781&gt;=6),"AT RISK",AND(F781&lt;=2,G781&gt;=8,H781&gt;=8),"CAN'T LOSE THEM",AND(F781&lt;=2,G781&lt;=2,H781&lt;=2),"HIBERNATING",TRUE(),"Other")</f>
        <v>NEED ATTENTION</v>
      </c>
      <c r="K781" s="1" t="n">
        <f aca="false">RANK(E781,$E$7:$E$4378)+COUNTIF($E$7:E781,E781)-1</f>
        <v>1644</v>
      </c>
    </row>
    <row r="782" customFormat="false" ht="14.25" hidden="false" customHeight="true" outlineLevel="0" collapsed="false">
      <c r="A782" s="51" t="n">
        <v>13364</v>
      </c>
      <c r="B782" s="53" t="n">
        <v>40820.4083333333</v>
      </c>
      <c r="C782" s="57" t="n">
        <f aca="false">INT($C$2)-INT(Table3[[#This Row],[Last Purchase Date]])</f>
        <v>67</v>
      </c>
      <c r="D782" s="1" t="n">
        <v>2</v>
      </c>
      <c r="E782" s="1" t="n">
        <v>2.1316282072803E-014</v>
      </c>
      <c r="F782" s="1" t="n">
        <f aca="false">ROUND((1-_xlfn.PERCENTRANK.INC($C$7:$C$4378,C782))*9,0)</f>
        <v>4</v>
      </c>
      <c r="G782" s="1" t="n">
        <f aca="false">ROUND(_xlfn.PERCENTRANK.INC($D$7:$D$4378,D782)*9,0)</f>
        <v>3</v>
      </c>
      <c r="H782" s="1" t="n">
        <f aca="false">ROUND(_xlfn.PERCENTRANK.INC($E$7:$E$4378,E782)*9,0)</f>
        <v>0</v>
      </c>
      <c r="I782" s="1" t="str">
        <f aca="false">CONCATENATE(F782,G782,H782)</f>
        <v>430</v>
      </c>
      <c r="J782" s="1" t="str">
        <f aca="false">_xlfn.IFS(AND(F782&gt;=8,G782&gt;=8,H782&gt;=8),"CHAMPION",AND(F782&gt;=6,G782&gt;=7,H782&gt;=6),"LOYAL CUSTOMER",AND(F782&gt;=6,G782&gt;=5,H782&gt;=5),"POTENTIAL LOYALIST",AND(F782&gt;=8,G782&lt;=2,H782&gt;=5),"NEW CUSTOMERS",AND(F782&gt;=6,G782&lt;=2,H782&gt;=3),"PROMISING",AND(F782&gt;=3,G782&gt;=3,H782&gt;=3),"NEED ATTENTION",AND(F782&lt;=4,G782&gt;=6,H782&gt;=6),"AT RISK",AND(F782&lt;=2,G782&gt;=8,H782&gt;=8),"CAN'T LOSE THEM",AND(F782&lt;=2,G782&lt;=2,H782&lt;=2),"HIBERNATING",TRUE(),"Other")</f>
        <v>Other</v>
      </c>
      <c r="K782" s="1" t="n">
        <f aca="false">RANK(E782,$E$7:$E$4378)+COUNTIF($E$7:E782,E782)-1</f>
        <v>4320</v>
      </c>
    </row>
    <row r="783" customFormat="false" ht="14.25" hidden="false" customHeight="true" outlineLevel="0" collapsed="false">
      <c r="A783" s="51" t="n">
        <v>13365</v>
      </c>
      <c r="B783" s="53" t="n">
        <v>40878.3604166667</v>
      </c>
      <c r="C783" s="57" t="n">
        <f aca="false">INT($C$2)-INT(Table3[[#This Row],[Last Purchase Date]])</f>
        <v>9</v>
      </c>
      <c r="D783" s="1" t="n">
        <v>3</v>
      </c>
      <c r="E783" s="1" t="n">
        <v>2191.22</v>
      </c>
      <c r="F783" s="1" t="n">
        <f aca="false">ROUND((1-_xlfn.PERCENTRANK.INC($C$7:$C$4378,C783))*9,0)</f>
        <v>8</v>
      </c>
      <c r="G783" s="1" t="n">
        <f aca="false">ROUND(_xlfn.PERCENTRANK.INC($D$7:$D$4378,D783)*9,0)</f>
        <v>4</v>
      </c>
      <c r="H783" s="1" t="n">
        <f aca="false">ROUND(_xlfn.PERCENTRANK.INC($E$7:$E$4378,E783)*9,0)</f>
        <v>7</v>
      </c>
      <c r="I783" s="1" t="str">
        <f aca="false">CONCATENATE(F783,G783,H783)</f>
        <v>847</v>
      </c>
      <c r="J783" s="1" t="str">
        <f aca="false">_xlfn.IFS(AND(F783&gt;=8,G783&gt;=8,H783&gt;=8),"CHAMPION",AND(F783&gt;=6,G783&gt;=7,H783&gt;=6),"LOYAL CUSTOMER",AND(F783&gt;=6,G783&gt;=5,H783&gt;=5),"POTENTIAL LOYALIST",AND(F783&gt;=8,G783&lt;=2,H783&gt;=5),"NEW CUSTOMERS",AND(F783&gt;=6,G783&lt;=2,H783&gt;=3),"PROMISING",AND(F783&gt;=3,G783&gt;=3,H783&gt;=3),"NEED ATTENTION",AND(F783&lt;=4,G783&gt;=6,H783&gt;=6),"AT RISK",AND(F783&lt;=2,G783&gt;=8,H783&gt;=8),"CAN'T LOSE THEM",AND(F783&lt;=2,G783&lt;=2,H783&lt;=2),"HIBERNATING",TRUE(),"Other")</f>
        <v>NEED ATTENTION</v>
      </c>
      <c r="K783" s="1" t="n">
        <f aca="false">RANK(E783,$E$7:$E$4378)+COUNTIF($E$7:E783,E783)-1</f>
        <v>788</v>
      </c>
    </row>
    <row r="784" customFormat="false" ht="14.25" hidden="false" customHeight="true" outlineLevel="0" collapsed="false">
      <c r="A784" s="51" t="n">
        <v>13366</v>
      </c>
      <c r="B784" s="53" t="n">
        <v>40836.5673611111</v>
      </c>
      <c r="C784" s="57" t="n">
        <f aca="false">INT($C$2)-INT(Table3[[#This Row],[Last Purchase Date]])</f>
        <v>51</v>
      </c>
      <c r="D784" s="1" t="n">
        <v>1</v>
      </c>
      <c r="E784" s="1" t="n">
        <v>56.16</v>
      </c>
      <c r="F784" s="1" t="n">
        <f aca="false">ROUND((1-_xlfn.PERCENTRANK.INC($C$7:$C$4378,C784))*9,0)</f>
        <v>5</v>
      </c>
      <c r="G784" s="1" t="n">
        <f aca="false">ROUND(_xlfn.PERCENTRANK.INC($D$7:$D$4378,D784)*9,0)</f>
        <v>0</v>
      </c>
      <c r="H784" s="1" t="n">
        <f aca="false">ROUND(_xlfn.PERCENTRANK.INC($E$7:$E$4378,E784)*9,0)</f>
        <v>0</v>
      </c>
      <c r="I784" s="1" t="str">
        <f aca="false">CONCATENATE(F784,G784,H784)</f>
        <v>500</v>
      </c>
      <c r="J784" s="1" t="str">
        <f aca="false">_xlfn.IFS(AND(F784&gt;=8,G784&gt;=8,H784&gt;=8),"CHAMPION",AND(F784&gt;=6,G784&gt;=7,H784&gt;=6),"LOYAL CUSTOMER",AND(F784&gt;=6,G784&gt;=5,H784&gt;=5),"POTENTIAL LOYALIST",AND(F784&gt;=8,G784&lt;=2,H784&gt;=5),"NEW CUSTOMERS",AND(F784&gt;=6,G784&lt;=2,H784&gt;=3),"PROMISING",AND(F784&gt;=3,G784&gt;=3,H784&gt;=3),"NEED ATTENTION",AND(F784&lt;=4,G784&gt;=6,H784&gt;=6),"AT RISK",AND(F784&lt;=2,G784&gt;=8,H784&gt;=8),"CAN'T LOSE THEM",AND(F784&lt;=2,G784&lt;=2,H784&lt;=2),"HIBERNATING",TRUE(),"Other")</f>
        <v>Other</v>
      </c>
      <c r="K784" s="1" t="n">
        <f aca="false">RANK(E784,$E$7:$E$4378)+COUNTIF($E$7:E784,E784)-1</f>
        <v>4272</v>
      </c>
    </row>
    <row r="785" customFormat="false" ht="14.25" hidden="false" customHeight="true" outlineLevel="0" collapsed="false">
      <c r="A785" s="51" t="n">
        <v>13368</v>
      </c>
      <c r="B785" s="53" t="n">
        <v>40630.4159722222</v>
      </c>
      <c r="C785" s="57" t="n">
        <f aca="false">INT($C$2)-INT(Table3[[#This Row],[Last Purchase Date]])</f>
        <v>257</v>
      </c>
      <c r="D785" s="1" t="n">
        <v>2</v>
      </c>
      <c r="E785" s="1" t="n">
        <v>623.4</v>
      </c>
      <c r="F785" s="1" t="n">
        <f aca="false">ROUND((1-_xlfn.PERCENTRANK.INC($C$7:$C$4378,C785))*9,0)</f>
        <v>1</v>
      </c>
      <c r="G785" s="1" t="n">
        <f aca="false">ROUND(_xlfn.PERCENTRANK.INC($D$7:$D$4378,D785)*9,0)</f>
        <v>3</v>
      </c>
      <c r="H785" s="1" t="n">
        <f aca="false">ROUND(_xlfn.PERCENTRANK.INC($E$7:$E$4378,E785)*9,0)</f>
        <v>4</v>
      </c>
      <c r="I785" s="1" t="str">
        <f aca="false">CONCATENATE(F785,G785,H785)</f>
        <v>134</v>
      </c>
      <c r="J785" s="1" t="str">
        <f aca="false">_xlfn.IFS(AND(F785&gt;=8,G785&gt;=8,H785&gt;=8),"CHAMPION",AND(F785&gt;=6,G785&gt;=7,H785&gt;=6),"LOYAL CUSTOMER",AND(F785&gt;=6,G785&gt;=5,H785&gt;=5),"POTENTIAL LOYALIST",AND(F785&gt;=8,G785&lt;=2,H785&gt;=5),"NEW CUSTOMERS",AND(F785&gt;=6,G785&lt;=2,H785&gt;=3),"PROMISING",AND(F785&gt;=3,G785&gt;=3,H785&gt;=3),"NEED ATTENTION",AND(F785&lt;=4,G785&gt;=6,H785&gt;=6),"AT RISK",AND(F785&lt;=2,G785&gt;=8,H785&gt;=8),"CAN'T LOSE THEM",AND(F785&lt;=2,G785&lt;=2,H785&lt;=2),"HIBERNATING",TRUE(),"Other")</f>
        <v>Other</v>
      </c>
      <c r="K785" s="1" t="n">
        <f aca="false">RANK(E785,$E$7:$E$4378)+COUNTIF($E$7:E785,E785)-1</f>
        <v>2247</v>
      </c>
    </row>
    <row r="786" customFormat="false" ht="14.25" hidden="false" customHeight="true" outlineLevel="0" collapsed="false">
      <c r="A786" s="51" t="n">
        <v>13369</v>
      </c>
      <c r="B786" s="53" t="n">
        <v>40532.5847222222</v>
      </c>
      <c r="C786" s="57" t="n">
        <f aca="false">INT($C$2)-INT(Table3[[#This Row],[Last Purchase Date]])</f>
        <v>355</v>
      </c>
      <c r="D786" s="1" t="n">
        <v>2</v>
      </c>
      <c r="E786" s="1" t="n">
        <v>263.75</v>
      </c>
      <c r="F786" s="1" t="n">
        <f aca="false">ROUND((1-_xlfn.PERCENTRANK.INC($C$7:$C$4378,C786))*9,0)</f>
        <v>0</v>
      </c>
      <c r="G786" s="1" t="n">
        <f aca="false">ROUND(_xlfn.PERCENTRANK.INC($D$7:$D$4378,D786)*9,0)</f>
        <v>3</v>
      </c>
      <c r="H786" s="1" t="n">
        <f aca="false">ROUND(_xlfn.PERCENTRANK.INC($E$7:$E$4378,E786)*9,0)</f>
        <v>2</v>
      </c>
      <c r="I786" s="1" t="str">
        <f aca="false">CONCATENATE(F786,G786,H786)</f>
        <v>032</v>
      </c>
      <c r="J786" s="1" t="str">
        <f aca="false">_xlfn.IFS(AND(F786&gt;=8,G786&gt;=8,H786&gt;=8),"CHAMPION",AND(F786&gt;=6,G786&gt;=7,H786&gt;=6),"LOYAL CUSTOMER",AND(F786&gt;=6,G786&gt;=5,H786&gt;=5),"POTENTIAL LOYALIST",AND(F786&gt;=8,G786&lt;=2,H786&gt;=5),"NEW CUSTOMERS",AND(F786&gt;=6,G786&lt;=2,H786&gt;=3),"PROMISING",AND(F786&gt;=3,G786&gt;=3,H786&gt;=3),"NEED ATTENTION",AND(F786&lt;=4,G786&gt;=6,H786&gt;=6),"AT RISK",AND(F786&lt;=2,G786&gt;=8,H786&gt;=8),"CAN'T LOSE THEM",AND(F786&lt;=2,G786&lt;=2,H786&lt;=2),"HIBERNATING",TRUE(),"Other")</f>
        <v>Other</v>
      </c>
      <c r="K786" s="1" t="n">
        <f aca="false">RANK(E786,$E$7:$E$4378)+COUNTIF($E$7:E786,E786)-1</f>
        <v>3386</v>
      </c>
    </row>
    <row r="787" customFormat="false" ht="14.25" hidden="false" customHeight="true" outlineLevel="0" collapsed="false">
      <c r="A787" s="51" t="n">
        <v>13370</v>
      </c>
      <c r="B787" s="53" t="n">
        <v>40520.6645833333</v>
      </c>
      <c r="C787" s="57" t="n">
        <f aca="false">INT($C$2)-INT(Table3[[#This Row],[Last Purchase Date]])</f>
        <v>367</v>
      </c>
      <c r="D787" s="1" t="n">
        <v>2</v>
      </c>
      <c r="E787" s="1" t="n">
        <v>721.32</v>
      </c>
      <c r="F787" s="1" t="n">
        <f aca="false">ROUND((1-_xlfn.PERCENTRANK.INC($C$7:$C$4378,C787))*9,0)</f>
        <v>0</v>
      </c>
      <c r="G787" s="1" t="n">
        <f aca="false">ROUND(_xlfn.PERCENTRANK.INC($D$7:$D$4378,D787)*9,0)</f>
        <v>3</v>
      </c>
      <c r="H787" s="1" t="n">
        <f aca="false">ROUND(_xlfn.PERCENTRANK.INC($E$7:$E$4378,E787)*9,0)</f>
        <v>5</v>
      </c>
      <c r="I787" s="1" t="str">
        <f aca="false">CONCATENATE(F787,G787,H787)</f>
        <v>035</v>
      </c>
      <c r="J787" s="1" t="str">
        <f aca="false">_xlfn.IFS(AND(F787&gt;=8,G787&gt;=8,H787&gt;=8),"CHAMPION",AND(F787&gt;=6,G787&gt;=7,H787&gt;=6),"LOYAL CUSTOMER",AND(F787&gt;=6,G787&gt;=5,H787&gt;=5),"POTENTIAL LOYALIST",AND(F787&gt;=8,G787&lt;=2,H787&gt;=5),"NEW CUSTOMERS",AND(F787&gt;=6,G787&lt;=2,H787&gt;=3),"PROMISING",AND(F787&gt;=3,G787&gt;=3,H787&gt;=3),"NEED ATTENTION",AND(F787&lt;=4,G787&gt;=6,H787&gt;=6),"AT RISK",AND(F787&lt;=2,G787&gt;=8,H787&gt;=8),"CAN'T LOSE THEM",AND(F787&lt;=2,G787&lt;=2,H787&lt;=2),"HIBERNATING",TRUE(),"Other")</f>
        <v>Other</v>
      </c>
      <c r="K787" s="1" t="n">
        <f aca="false">RANK(E787,$E$7:$E$4378)+COUNTIF($E$7:E787,E787)-1</f>
        <v>2026</v>
      </c>
    </row>
    <row r="788" customFormat="false" ht="14.25" hidden="false" customHeight="true" outlineLevel="0" collapsed="false">
      <c r="A788" s="51" t="n">
        <v>13372</v>
      </c>
      <c r="B788" s="53" t="n">
        <v>40797.5319444445</v>
      </c>
      <c r="C788" s="57" t="n">
        <f aca="false">INT($C$2)-INT(Table3[[#This Row],[Last Purchase Date]])</f>
        <v>90</v>
      </c>
      <c r="D788" s="1" t="n">
        <v>1</v>
      </c>
      <c r="E788" s="1" t="n">
        <v>378.64</v>
      </c>
      <c r="F788" s="1" t="n">
        <f aca="false">ROUND((1-_xlfn.PERCENTRANK.INC($C$7:$C$4378,C788))*9,0)</f>
        <v>3</v>
      </c>
      <c r="G788" s="1" t="n">
        <f aca="false">ROUND(_xlfn.PERCENTRANK.INC($D$7:$D$4378,D788)*9,0)</f>
        <v>0</v>
      </c>
      <c r="H788" s="1" t="n">
        <f aca="false">ROUND(_xlfn.PERCENTRANK.INC($E$7:$E$4378,E788)*9,0)</f>
        <v>3</v>
      </c>
      <c r="I788" s="1" t="str">
        <f aca="false">CONCATENATE(F788,G788,H788)</f>
        <v>303</v>
      </c>
      <c r="J788" s="1" t="str">
        <f aca="false">_xlfn.IFS(AND(F788&gt;=8,G788&gt;=8,H788&gt;=8),"CHAMPION",AND(F788&gt;=6,G788&gt;=7,H788&gt;=6),"LOYAL CUSTOMER",AND(F788&gt;=6,G788&gt;=5,H788&gt;=5),"POTENTIAL LOYALIST",AND(F788&gt;=8,G788&lt;=2,H788&gt;=5),"NEW CUSTOMERS",AND(F788&gt;=6,G788&lt;=2,H788&gt;=3),"PROMISING",AND(F788&gt;=3,G788&gt;=3,H788&gt;=3),"NEED ATTENTION",AND(F788&lt;=4,G788&gt;=6,H788&gt;=6),"AT RISK",AND(F788&lt;=2,G788&gt;=8,H788&gt;=8),"CAN'T LOSE THEM",AND(F788&lt;=2,G788&lt;=2,H788&lt;=2),"HIBERNATING",TRUE(),"Other")</f>
        <v>Other</v>
      </c>
      <c r="K788" s="1" t="n">
        <f aca="false">RANK(E788,$E$7:$E$4378)+COUNTIF($E$7:E788,E788)-1</f>
        <v>2902</v>
      </c>
    </row>
    <row r="789" customFormat="false" ht="14.25" hidden="false" customHeight="true" outlineLevel="0" collapsed="false">
      <c r="A789" s="51" t="n">
        <v>13373</v>
      </c>
      <c r="B789" s="53" t="n">
        <v>40826.4520833333</v>
      </c>
      <c r="C789" s="57" t="n">
        <f aca="false">INT($C$2)-INT(Table3[[#This Row],[Last Purchase Date]])</f>
        <v>61</v>
      </c>
      <c r="D789" s="1" t="n">
        <v>3</v>
      </c>
      <c r="E789" s="1" t="n">
        <v>3312.25</v>
      </c>
      <c r="F789" s="1" t="n">
        <f aca="false">ROUND((1-_xlfn.PERCENTRANK.INC($C$7:$C$4378,C789))*9,0)</f>
        <v>4</v>
      </c>
      <c r="G789" s="1" t="n">
        <f aca="false">ROUND(_xlfn.PERCENTRANK.INC($D$7:$D$4378,D789)*9,0)</f>
        <v>4</v>
      </c>
      <c r="H789" s="1" t="n">
        <f aca="false">ROUND(_xlfn.PERCENTRANK.INC($E$7:$E$4378,E789)*9,0)</f>
        <v>8</v>
      </c>
      <c r="I789" s="1" t="str">
        <f aca="false">CONCATENATE(F789,G789,H789)</f>
        <v>448</v>
      </c>
      <c r="J789" s="1" t="str">
        <f aca="false">_xlfn.IFS(AND(F789&gt;=8,G789&gt;=8,H789&gt;=8),"CHAMPION",AND(F789&gt;=6,G789&gt;=7,H789&gt;=6),"LOYAL CUSTOMER",AND(F789&gt;=6,G789&gt;=5,H789&gt;=5),"POTENTIAL LOYALIST",AND(F789&gt;=8,G789&lt;=2,H789&gt;=5),"NEW CUSTOMERS",AND(F789&gt;=6,G789&lt;=2,H789&gt;=3),"PROMISING",AND(F789&gt;=3,G789&gt;=3,H789&gt;=3),"NEED ATTENTION",AND(F789&lt;=4,G789&gt;=6,H789&gt;=6),"AT RISK",AND(F789&lt;=2,G789&gt;=8,H789&gt;=8),"CAN'T LOSE THEM",AND(F789&lt;=2,G789&lt;=2,H789&lt;=2),"HIBERNATING",TRUE(),"Other")</f>
        <v>NEED ATTENTION</v>
      </c>
      <c r="K789" s="1" t="n">
        <f aca="false">RANK(E789,$E$7:$E$4378)+COUNTIF($E$7:E789,E789)-1</f>
        <v>476</v>
      </c>
    </row>
    <row r="790" customFormat="false" ht="14.25" hidden="false" customHeight="true" outlineLevel="0" collapsed="false">
      <c r="A790" s="51" t="n">
        <v>13375</v>
      </c>
      <c r="B790" s="53" t="n">
        <v>40805.6673611111</v>
      </c>
      <c r="C790" s="57" t="n">
        <f aca="false">INT($C$2)-INT(Table3[[#This Row],[Last Purchase Date]])</f>
        <v>82</v>
      </c>
      <c r="D790" s="1" t="n">
        <v>2</v>
      </c>
      <c r="E790" s="1" t="n">
        <v>772.9</v>
      </c>
      <c r="F790" s="1" t="n">
        <f aca="false">ROUND((1-_xlfn.PERCENTRANK.INC($C$7:$C$4378,C790))*9,0)</f>
        <v>3</v>
      </c>
      <c r="G790" s="1" t="n">
        <f aca="false">ROUND(_xlfn.PERCENTRANK.INC($D$7:$D$4378,D790)*9,0)</f>
        <v>3</v>
      </c>
      <c r="H790" s="1" t="n">
        <f aca="false">ROUND(_xlfn.PERCENTRANK.INC($E$7:$E$4378,E790)*9,0)</f>
        <v>5</v>
      </c>
      <c r="I790" s="1" t="str">
        <f aca="false">CONCATENATE(F790,G790,H790)</f>
        <v>335</v>
      </c>
      <c r="J790" s="1" t="str">
        <f aca="false">_xlfn.IFS(AND(F790&gt;=8,G790&gt;=8,H790&gt;=8),"CHAMPION",AND(F790&gt;=6,G790&gt;=7,H790&gt;=6),"LOYAL CUSTOMER",AND(F790&gt;=6,G790&gt;=5,H790&gt;=5),"POTENTIAL LOYALIST",AND(F790&gt;=8,G790&lt;=2,H790&gt;=5),"NEW CUSTOMERS",AND(F790&gt;=6,G790&lt;=2,H790&gt;=3),"PROMISING",AND(F790&gt;=3,G790&gt;=3,H790&gt;=3),"NEED ATTENTION",AND(F790&lt;=4,G790&gt;=6,H790&gt;=6),"AT RISK",AND(F790&lt;=2,G790&gt;=8,H790&gt;=8),"CAN'T LOSE THEM",AND(F790&lt;=2,G790&lt;=2,H790&lt;=2),"HIBERNATING",TRUE(),"Other")</f>
        <v>NEED ATTENTION</v>
      </c>
      <c r="K790" s="1" t="n">
        <f aca="false">RANK(E790,$E$7:$E$4378)+COUNTIF($E$7:E790,E790)-1</f>
        <v>1941</v>
      </c>
    </row>
    <row r="791" customFormat="false" ht="14.25" hidden="false" customHeight="true" outlineLevel="0" collapsed="false">
      <c r="A791" s="51" t="n">
        <v>13376</v>
      </c>
      <c r="B791" s="53" t="n">
        <v>40787.6777777778</v>
      </c>
      <c r="C791" s="57" t="n">
        <f aca="false">INT($C$2)-INT(Table3[[#This Row],[Last Purchase Date]])</f>
        <v>100</v>
      </c>
      <c r="D791" s="1" t="n">
        <v>3</v>
      </c>
      <c r="E791" s="1" t="n">
        <v>1019.76</v>
      </c>
      <c r="F791" s="1" t="n">
        <f aca="false">ROUND((1-_xlfn.PERCENTRANK.INC($C$7:$C$4378,C791))*9,0)</f>
        <v>3</v>
      </c>
      <c r="G791" s="1" t="n">
        <f aca="false">ROUND(_xlfn.PERCENTRANK.INC($D$7:$D$4378,D791)*9,0)</f>
        <v>4</v>
      </c>
      <c r="H791" s="1" t="n">
        <f aca="false">ROUND(_xlfn.PERCENTRANK.INC($E$7:$E$4378,E791)*9,0)</f>
        <v>6</v>
      </c>
      <c r="I791" s="1" t="str">
        <f aca="false">CONCATENATE(F791,G791,H791)</f>
        <v>346</v>
      </c>
      <c r="J791" s="1" t="str">
        <f aca="false">_xlfn.IFS(AND(F791&gt;=8,G791&gt;=8,H791&gt;=8),"CHAMPION",AND(F791&gt;=6,G791&gt;=7,H791&gt;=6),"LOYAL CUSTOMER",AND(F791&gt;=6,G791&gt;=5,H791&gt;=5),"POTENTIAL LOYALIST",AND(F791&gt;=8,G791&lt;=2,H791&gt;=5),"NEW CUSTOMERS",AND(F791&gt;=6,G791&lt;=2,H791&gt;=3),"PROMISING",AND(F791&gt;=3,G791&gt;=3,H791&gt;=3),"NEED ATTENTION",AND(F791&lt;=4,G791&gt;=6,H791&gt;=6),"AT RISK",AND(F791&lt;=2,G791&gt;=8,H791&gt;=8),"CAN'T LOSE THEM",AND(F791&lt;=2,G791&lt;=2,H791&lt;=2),"HIBERNATING",TRUE(),"Other")</f>
        <v>NEED ATTENTION</v>
      </c>
      <c r="K791" s="1" t="n">
        <f aca="false">RANK(E791,$E$7:$E$4378)+COUNTIF($E$7:E791,E791)-1</f>
        <v>1606</v>
      </c>
    </row>
    <row r="792" customFormat="false" ht="14.25" hidden="false" customHeight="true" outlineLevel="0" collapsed="false">
      <c r="A792" s="51" t="n">
        <v>13379</v>
      </c>
      <c r="B792" s="53" t="n">
        <v>40860.5729166667</v>
      </c>
      <c r="C792" s="57" t="n">
        <f aca="false">INT($C$2)-INT(Table3[[#This Row],[Last Purchase Date]])</f>
        <v>27</v>
      </c>
      <c r="D792" s="1" t="n">
        <v>3</v>
      </c>
      <c r="E792" s="1" t="n">
        <v>572.56</v>
      </c>
      <c r="F792" s="1" t="n">
        <f aca="false">ROUND((1-_xlfn.PERCENTRANK.INC($C$7:$C$4378,C792))*9,0)</f>
        <v>6</v>
      </c>
      <c r="G792" s="1" t="n">
        <f aca="false">ROUND(_xlfn.PERCENTRANK.INC($D$7:$D$4378,D792)*9,0)</f>
        <v>4</v>
      </c>
      <c r="H792" s="1" t="n">
        <f aca="false">ROUND(_xlfn.PERCENTRANK.INC($E$7:$E$4378,E792)*9,0)</f>
        <v>4</v>
      </c>
      <c r="I792" s="1" t="str">
        <f aca="false">CONCATENATE(F792,G792,H792)</f>
        <v>644</v>
      </c>
      <c r="J792" s="1" t="str">
        <f aca="false">_xlfn.IFS(AND(F792&gt;=8,G792&gt;=8,H792&gt;=8),"CHAMPION",AND(F792&gt;=6,G792&gt;=7,H792&gt;=6),"LOYAL CUSTOMER",AND(F792&gt;=6,G792&gt;=5,H792&gt;=5),"POTENTIAL LOYALIST",AND(F792&gt;=8,G792&lt;=2,H792&gt;=5),"NEW CUSTOMERS",AND(F792&gt;=6,G792&lt;=2,H792&gt;=3),"PROMISING",AND(F792&gt;=3,G792&gt;=3,H792&gt;=3),"NEED ATTENTION",AND(F792&lt;=4,G792&gt;=6,H792&gt;=6),"AT RISK",AND(F792&lt;=2,G792&gt;=8,H792&gt;=8),"CAN'T LOSE THEM",AND(F792&lt;=2,G792&lt;=2,H792&lt;=2),"HIBERNATING",TRUE(),"Other")</f>
        <v>NEED ATTENTION</v>
      </c>
      <c r="K792" s="1" t="n">
        <f aca="false">RANK(E792,$E$7:$E$4378)+COUNTIF($E$7:E792,E792)-1</f>
        <v>2388</v>
      </c>
    </row>
    <row r="793" customFormat="false" ht="14.25" hidden="false" customHeight="true" outlineLevel="0" collapsed="false">
      <c r="A793" s="51" t="n">
        <v>13381</v>
      </c>
      <c r="B793" s="53" t="n">
        <v>40865.7076388889</v>
      </c>
      <c r="C793" s="57" t="n">
        <f aca="false">INT($C$2)-INT(Table3[[#This Row],[Last Purchase Date]])</f>
        <v>22</v>
      </c>
      <c r="D793" s="1" t="n">
        <v>7</v>
      </c>
      <c r="E793" s="1" t="n">
        <v>3626.81</v>
      </c>
      <c r="F793" s="1" t="n">
        <f aca="false">ROUND((1-_xlfn.PERCENTRANK.INC($C$7:$C$4378,C793))*9,0)</f>
        <v>6</v>
      </c>
      <c r="G793" s="1" t="n">
        <f aca="false">ROUND(_xlfn.PERCENTRANK.INC($D$7:$D$4378,D793)*9,0)</f>
        <v>7</v>
      </c>
      <c r="H793" s="1" t="n">
        <f aca="false">ROUND(_xlfn.PERCENTRANK.INC($E$7:$E$4378,E793)*9,0)</f>
        <v>8</v>
      </c>
      <c r="I793" s="1" t="str">
        <f aca="false">CONCATENATE(F793,G793,H793)</f>
        <v>678</v>
      </c>
      <c r="J793" s="1" t="str">
        <f aca="false">_xlfn.IFS(AND(F793&gt;=8,G793&gt;=8,H793&gt;=8),"CHAMPION",AND(F793&gt;=6,G793&gt;=7,H793&gt;=6),"LOYAL CUSTOMER",AND(F793&gt;=6,G793&gt;=5,H793&gt;=5),"POTENTIAL LOYALIST",AND(F793&gt;=8,G793&lt;=2,H793&gt;=5),"NEW CUSTOMERS",AND(F793&gt;=6,G793&lt;=2,H793&gt;=3),"PROMISING",AND(F793&gt;=3,G793&gt;=3,H793&gt;=3),"NEED ATTENTION",AND(F793&lt;=4,G793&gt;=6,H793&gt;=6),"AT RISK",AND(F793&lt;=2,G793&gt;=8,H793&gt;=8),"CAN'T LOSE THEM",AND(F793&lt;=2,G793&lt;=2,H793&lt;=2),"HIBERNATING",TRUE(),"Other")</f>
        <v>LOYAL CUSTOMER</v>
      </c>
      <c r="K793" s="1" t="n">
        <f aca="false">RANK(E793,$E$7:$E$4378)+COUNTIF($E$7:E793,E793)-1</f>
        <v>416</v>
      </c>
    </row>
    <row r="794" customFormat="false" ht="14.25" hidden="false" customHeight="true" outlineLevel="0" collapsed="false">
      <c r="A794" s="51" t="n">
        <v>13382</v>
      </c>
      <c r="B794" s="53" t="n">
        <v>40606.41875</v>
      </c>
      <c r="C794" s="57" t="n">
        <f aca="false">INT($C$2)-INT(Table3[[#This Row],[Last Purchase Date]])</f>
        <v>281</v>
      </c>
      <c r="D794" s="1" t="n">
        <v>1</v>
      </c>
      <c r="E794" s="1" t="n">
        <v>222.99</v>
      </c>
      <c r="F794" s="1" t="n">
        <f aca="false">ROUND((1-_xlfn.PERCENTRANK.INC($C$7:$C$4378,C794))*9,0)</f>
        <v>1</v>
      </c>
      <c r="G794" s="1" t="n">
        <f aca="false">ROUND(_xlfn.PERCENTRANK.INC($D$7:$D$4378,D794)*9,0)</f>
        <v>0</v>
      </c>
      <c r="H794" s="1" t="n">
        <f aca="false">ROUND(_xlfn.PERCENTRANK.INC($E$7:$E$4378,E794)*9,0)</f>
        <v>2</v>
      </c>
      <c r="I794" s="1" t="str">
        <f aca="false">CONCATENATE(F794,G794,H794)</f>
        <v>102</v>
      </c>
      <c r="J794" s="1" t="str">
        <f aca="false">_xlfn.IFS(AND(F794&gt;=8,G794&gt;=8,H794&gt;=8),"CHAMPION",AND(F794&gt;=6,G794&gt;=7,H794&gt;=6),"LOYAL CUSTOMER",AND(F794&gt;=6,G794&gt;=5,H794&gt;=5),"POTENTIAL LOYALIST",AND(F794&gt;=8,G794&lt;=2,H794&gt;=5),"NEW CUSTOMERS",AND(F794&gt;=6,G794&lt;=2,H794&gt;=3),"PROMISING",AND(F794&gt;=3,G794&gt;=3,H794&gt;=3),"NEED ATTENTION",AND(F794&lt;=4,G794&gt;=6,H794&gt;=6),"AT RISK",AND(F794&lt;=2,G794&gt;=8,H794&gt;=8),"CAN'T LOSE THEM",AND(F794&lt;=2,G794&lt;=2,H794&lt;=2),"HIBERNATING",TRUE(),"Other")</f>
        <v>HIBERNATING</v>
      </c>
      <c r="K794" s="1" t="n">
        <f aca="false">RANK(E794,$E$7:$E$4378)+COUNTIF($E$7:E794,E794)-1</f>
        <v>3550</v>
      </c>
    </row>
    <row r="795" customFormat="false" ht="14.25" hidden="false" customHeight="true" outlineLevel="0" collapsed="false">
      <c r="A795" s="51" t="n">
        <v>13384</v>
      </c>
      <c r="B795" s="53" t="n">
        <v>40856.4611111111</v>
      </c>
      <c r="C795" s="57" t="n">
        <f aca="false">INT($C$2)-INT(Table3[[#This Row],[Last Purchase Date]])</f>
        <v>31</v>
      </c>
      <c r="D795" s="1" t="n">
        <v>9</v>
      </c>
      <c r="E795" s="1" t="n">
        <v>4122.28</v>
      </c>
      <c r="F795" s="1" t="n">
        <f aca="false">ROUND((1-_xlfn.PERCENTRANK.INC($C$7:$C$4378,C795))*9,0)</f>
        <v>6</v>
      </c>
      <c r="G795" s="1" t="n">
        <f aca="false">ROUND(_xlfn.PERCENTRANK.INC($D$7:$D$4378,D795)*9,0)</f>
        <v>8</v>
      </c>
      <c r="H795" s="1" t="n">
        <f aca="false">ROUND(_xlfn.PERCENTRANK.INC($E$7:$E$4378,E795)*9,0)</f>
        <v>8</v>
      </c>
      <c r="I795" s="1" t="str">
        <f aca="false">CONCATENATE(F795,G795,H795)</f>
        <v>688</v>
      </c>
      <c r="J795" s="1" t="str">
        <f aca="false">_xlfn.IFS(AND(F795&gt;=8,G795&gt;=8,H795&gt;=8),"CHAMPION",AND(F795&gt;=6,G795&gt;=7,H795&gt;=6),"LOYAL CUSTOMER",AND(F795&gt;=6,G795&gt;=5,H795&gt;=5),"POTENTIAL LOYALIST",AND(F795&gt;=8,G795&lt;=2,H795&gt;=5),"NEW CUSTOMERS",AND(F795&gt;=6,G795&lt;=2,H795&gt;=3),"PROMISING",AND(F795&gt;=3,G795&gt;=3,H795&gt;=3),"NEED ATTENTION",AND(F795&lt;=4,G795&gt;=6,H795&gt;=6),"AT RISK",AND(F795&lt;=2,G795&gt;=8,H795&gt;=8),"CAN'T LOSE THEM",AND(F795&lt;=2,G795&lt;=2,H795&lt;=2),"HIBERNATING",TRUE(),"Other")</f>
        <v>LOYAL CUSTOMER</v>
      </c>
      <c r="K795" s="1" t="n">
        <f aca="false">RANK(E795,$E$7:$E$4378)+COUNTIF($E$7:E795,E795)-1</f>
        <v>337</v>
      </c>
    </row>
    <row r="796" customFormat="false" ht="14.25" hidden="false" customHeight="true" outlineLevel="0" collapsed="false">
      <c r="A796" s="51" t="n">
        <v>13385</v>
      </c>
      <c r="B796" s="53" t="n">
        <v>40557.4111111111</v>
      </c>
      <c r="C796" s="57" t="n">
        <f aca="false">INT($C$2)-INT(Table3[[#This Row],[Last Purchase Date]])</f>
        <v>330</v>
      </c>
      <c r="D796" s="1" t="n">
        <v>1</v>
      </c>
      <c r="E796" s="1" t="n">
        <v>534.57</v>
      </c>
      <c r="F796" s="1" t="n">
        <f aca="false">ROUND((1-_xlfn.PERCENTRANK.INC($C$7:$C$4378,C796))*9,0)</f>
        <v>0</v>
      </c>
      <c r="G796" s="1" t="n">
        <f aca="false">ROUND(_xlfn.PERCENTRANK.INC($D$7:$D$4378,D796)*9,0)</f>
        <v>0</v>
      </c>
      <c r="H796" s="1" t="n">
        <f aca="false">ROUND(_xlfn.PERCENTRANK.INC($E$7:$E$4378,E796)*9,0)</f>
        <v>4</v>
      </c>
      <c r="I796" s="1" t="str">
        <f aca="false">CONCATENATE(F796,G796,H796)</f>
        <v>004</v>
      </c>
      <c r="J796" s="1" t="str">
        <f aca="false">_xlfn.IFS(AND(F796&gt;=8,G796&gt;=8,H796&gt;=8),"CHAMPION",AND(F796&gt;=6,G796&gt;=7,H796&gt;=6),"LOYAL CUSTOMER",AND(F796&gt;=6,G796&gt;=5,H796&gt;=5),"POTENTIAL LOYALIST",AND(F796&gt;=8,G796&lt;=2,H796&gt;=5),"NEW CUSTOMERS",AND(F796&gt;=6,G796&lt;=2,H796&gt;=3),"PROMISING",AND(F796&gt;=3,G796&gt;=3,H796&gt;=3),"NEED ATTENTION",AND(F796&lt;=4,G796&gt;=6,H796&gt;=6),"AT RISK",AND(F796&lt;=2,G796&gt;=8,H796&gt;=8),"CAN'T LOSE THEM",AND(F796&lt;=2,G796&lt;=2,H796&lt;=2),"HIBERNATING",TRUE(),"Other")</f>
        <v>Other</v>
      </c>
      <c r="K796" s="1" t="n">
        <f aca="false">RANK(E796,$E$7:$E$4378)+COUNTIF($E$7:E796,E796)-1</f>
        <v>2472</v>
      </c>
    </row>
    <row r="797" customFormat="false" ht="14.25" hidden="false" customHeight="true" outlineLevel="0" collapsed="false">
      <c r="A797" s="51" t="n">
        <v>13388</v>
      </c>
      <c r="B797" s="53" t="n">
        <v>40765.5659722222</v>
      </c>
      <c r="C797" s="57" t="n">
        <f aca="false">INT($C$2)-INT(Table3[[#This Row],[Last Purchase Date]])</f>
        <v>122</v>
      </c>
      <c r="D797" s="1" t="n">
        <v>3</v>
      </c>
      <c r="E797" s="1" t="n">
        <v>627.15</v>
      </c>
      <c r="F797" s="1" t="n">
        <f aca="false">ROUND((1-_xlfn.PERCENTRANK.INC($C$7:$C$4378,C797))*9,0)</f>
        <v>3</v>
      </c>
      <c r="G797" s="1" t="n">
        <f aca="false">ROUND(_xlfn.PERCENTRANK.INC($D$7:$D$4378,D797)*9,0)</f>
        <v>4</v>
      </c>
      <c r="H797" s="1" t="n">
        <f aca="false">ROUND(_xlfn.PERCENTRANK.INC($E$7:$E$4378,E797)*9,0)</f>
        <v>4</v>
      </c>
      <c r="I797" s="1" t="str">
        <f aca="false">CONCATENATE(F797,G797,H797)</f>
        <v>344</v>
      </c>
      <c r="J797" s="1" t="str">
        <f aca="false">_xlfn.IFS(AND(F797&gt;=8,G797&gt;=8,H797&gt;=8),"CHAMPION",AND(F797&gt;=6,G797&gt;=7,H797&gt;=6),"LOYAL CUSTOMER",AND(F797&gt;=6,G797&gt;=5,H797&gt;=5),"POTENTIAL LOYALIST",AND(F797&gt;=8,G797&lt;=2,H797&gt;=5),"NEW CUSTOMERS",AND(F797&gt;=6,G797&lt;=2,H797&gt;=3),"PROMISING",AND(F797&gt;=3,G797&gt;=3,H797&gt;=3),"NEED ATTENTION",AND(F797&lt;=4,G797&gt;=6,H797&gt;=6),"AT RISK",AND(F797&lt;=2,G797&gt;=8,H797&gt;=8),"CAN'T LOSE THEM",AND(F797&lt;=2,G797&lt;=2,H797&lt;=2),"HIBERNATING",TRUE(),"Other")</f>
        <v>NEED ATTENTION</v>
      </c>
      <c r="K797" s="1" t="n">
        <f aca="false">RANK(E797,$E$7:$E$4378)+COUNTIF($E$7:E797,E797)-1</f>
        <v>2238</v>
      </c>
    </row>
    <row r="798" customFormat="false" ht="14.25" hidden="false" customHeight="true" outlineLevel="0" collapsed="false">
      <c r="A798" s="51" t="n">
        <v>13389</v>
      </c>
      <c r="B798" s="53" t="n">
        <v>40875.5840277778</v>
      </c>
      <c r="C798" s="57" t="n">
        <f aca="false">INT($C$2)-INT(Table3[[#This Row],[Last Purchase Date]])</f>
        <v>12</v>
      </c>
      <c r="D798" s="1" t="n">
        <v>3</v>
      </c>
      <c r="E798" s="1" t="n">
        <v>797.96</v>
      </c>
      <c r="F798" s="1" t="n">
        <f aca="false">ROUND((1-_xlfn.PERCENTRANK.INC($C$7:$C$4378,C798))*9,0)</f>
        <v>7</v>
      </c>
      <c r="G798" s="1" t="n">
        <f aca="false">ROUND(_xlfn.PERCENTRANK.INC($D$7:$D$4378,D798)*9,0)</f>
        <v>4</v>
      </c>
      <c r="H798" s="1" t="n">
        <f aca="false">ROUND(_xlfn.PERCENTRANK.INC($E$7:$E$4378,E798)*9,0)</f>
        <v>5</v>
      </c>
      <c r="I798" s="1" t="str">
        <f aca="false">CONCATENATE(F798,G798,H798)</f>
        <v>745</v>
      </c>
      <c r="J798" s="1" t="str">
        <f aca="false">_xlfn.IFS(AND(F798&gt;=8,G798&gt;=8,H798&gt;=8),"CHAMPION",AND(F798&gt;=6,G798&gt;=7,H798&gt;=6),"LOYAL CUSTOMER",AND(F798&gt;=6,G798&gt;=5,H798&gt;=5),"POTENTIAL LOYALIST",AND(F798&gt;=8,G798&lt;=2,H798&gt;=5),"NEW CUSTOMERS",AND(F798&gt;=6,G798&lt;=2,H798&gt;=3),"PROMISING",AND(F798&gt;=3,G798&gt;=3,H798&gt;=3),"NEED ATTENTION",AND(F798&lt;=4,G798&gt;=6,H798&gt;=6),"AT RISK",AND(F798&lt;=2,G798&gt;=8,H798&gt;=8),"CAN'T LOSE THEM",AND(F798&lt;=2,G798&lt;=2,H798&lt;=2),"HIBERNATING",TRUE(),"Other")</f>
        <v>NEED ATTENTION</v>
      </c>
      <c r="K798" s="1" t="n">
        <f aca="false">RANK(E798,$E$7:$E$4378)+COUNTIF($E$7:E798,E798)-1</f>
        <v>1905</v>
      </c>
    </row>
    <row r="799" customFormat="false" ht="14.25" hidden="false" customHeight="true" outlineLevel="0" collapsed="false">
      <c r="A799" s="51" t="n">
        <v>13390</v>
      </c>
      <c r="B799" s="53" t="n">
        <v>40812.3597222222</v>
      </c>
      <c r="C799" s="57" t="n">
        <f aca="false">INT($C$2)-INT(Table3[[#This Row],[Last Purchase Date]])</f>
        <v>75</v>
      </c>
      <c r="D799" s="1" t="n">
        <v>1</v>
      </c>
      <c r="E799" s="1" t="n">
        <v>544.08</v>
      </c>
      <c r="F799" s="1" t="n">
        <f aca="false">ROUND((1-_xlfn.PERCENTRANK.INC($C$7:$C$4378,C799))*9,0)</f>
        <v>3</v>
      </c>
      <c r="G799" s="1" t="n">
        <f aca="false">ROUND(_xlfn.PERCENTRANK.INC($D$7:$D$4378,D799)*9,0)</f>
        <v>0</v>
      </c>
      <c r="H799" s="1" t="n">
        <f aca="false">ROUND(_xlfn.PERCENTRANK.INC($E$7:$E$4378,E799)*9,0)</f>
        <v>4</v>
      </c>
      <c r="I799" s="1" t="str">
        <f aca="false">CONCATENATE(F799,G799,H799)</f>
        <v>304</v>
      </c>
      <c r="J799" s="1" t="str">
        <f aca="false">_xlfn.IFS(AND(F799&gt;=8,G799&gt;=8,H799&gt;=8),"CHAMPION",AND(F799&gt;=6,G799&gt;=7,H799&gt;=6),"LOYAL CUSTOMER",AND(F799&gt;=6,G799&gt;=5,H799&gt;=5),"POTENTIAL LOYALIST",AND(F799&gt;=8,G799&lt;=2,H799&gt;=5),"NEW CUSTOMERS",AND(F799&gt;=6,G799&lt;=2,H799&gt;=3),"PROMISING",AND(F799&gt;=3,G799&gt;=3,H799&gt;=3),"NEED ATTENTION",AND(F799&lt;=4,G799&gt;=6,H799&gt;=6),"AT RISK",AND(F799&lt;=2,G799&gt;=8,H799&gt;=8),"CAN'T LOSE THEM",AND(F799&lt;=2,G799&lt;=2,H799&lt;=2),"HIBERNATING",TRUE(),"Other")</f>
        <v>Other</v>
      </c>
      <c r="K799" s="1" t="n">
        <f aca="false">RANK(E799,$E$7:$E$4378)+COUNTIF($E$7:E799,E799)-1</f>
        <v>2444</v>
      </c>
    </row>
    <row r="800" customFormat="false" ht="14.25" hidden="false" customHeight="true" outlineLevel="0" collapsed="false">
      <c r="A800" s="51" t="n">
        <v>13391</v>
      </c>
      <c r="B800" s="53" t="n">
        <v>40683.4513888889</v>
      </c>
      <c r="C800" s="57" t="n">
        <f aca="false">INT($C$2)-INT(Table3[[#This Row],[Last Purchase Date]])</f>
        <v>204</v>
      </c>
      <c r="D800" s="1" t="n">
        <v>1</v>
      </c>
      <c r="E800" s="1" t="n">
        <v>59.8</v>
      </c>
      <c r="F800" s="1" t="n">
        <f aca="false">ROUND((1-_xlfn.PERCENTRANK.INC($C$7:$C$4378,C800))*9,0)</f>
        <v>2</v>
      </c>
      <c r="G800" s="1" t="n">
        <f aca="false">ROUND(_xlfn.PERCENTRANK.INC($D$7:$D$4378,D800)*9,0)</f>
        <v>0</v>
      </c>
      <c r="H800" s="1" t="n">
        <f aca="false">ROUND(_xlfn.PERCENTRANK.INC($E$7:$E$4378,E800)*9,0)</f>
        <v>0</v>
      </c>
      <c r="I800" s="1" t="str">
        <f aca="false">CONCATENATE(F800,G800,H800)</f>
        <v>200</v>
      </c>
      <c r="J800" s="1" t="str">
        <f aca="false">_xlfn.IFS(AND(F800&gt;=8,G800&gt;=8,H800&gt;=8),"CHAMPION",AND(F800&gt;=6,G800&gt;=7,H800&gt;=6),"LOYAL CUSTOMER",AND(F800&gt;=6,G800&gt;=5,H800&gt;=5),"POTENTIAL LOYALIST",AND(F800&gt;=8,G800&lt;=2,H800&gt;=5),"NEW CUSTOMERS",AND(F800&gt;=6,G800&lt;=2,H800&gt;=3),"PROMISING",AND(F800&gt;=3,G800&gt;=3,H800&gt;=3),"NEED ATTENTION",AND(F800&lt;=4,G800&gt;=6,H800&gt;=6),"AT RISK",AND(F800&lt;=2,G800&gt;=8,H800&gt;=8),"CAN'T LOSE THEM",AND(F800&lt;=2,G800&lt;=2,H800&lt;=2),"HIBERNATING",TRUE(),"Other")</f>
        <v>HIBERNATING</v>
      </c>
      <c r="K800" s="1" t="n">
        <f aca="false">RANK(E800,$E$7:$E$4378)+COUNTIF($E$7:E800,E800)-1</f>
        <v>4265</v>
      </c>
    </row>
    <row r="801" customFormat="false" ht="14.25" hidden="false" customHeight="true" outlineLevel="0" collapsed="false">
      <c r="A801" s="51" t="n">
        <v>13394</v>
      </c>
      <c r="B801" s="53" t="n">
        <v>40885.4833333333</v>
      </c>
      <c r="C801" s="57" t="n">
        <f aca="false">INT($C$2)-INT(Table3[[#This Row],[Last Purchase Date]])</f>
        <v>2</v>
      </c>
      <c r="D801" s="1" t="n">
        <v>10</v>
      </c>
      <c r="E801" s="1" t="n">
        <v>2312.8</v>
      </c>
      <c r="F801" s="1" t="n">
        <f aca="false">ROUND((1-_xlfn.PERCENTRANK.INC($C$7:$C$4378,C801))*9,0)</f>
        <v>9</v>
      </c>
      <c r="G801" s="1" t="n">
        <f aca="false">ROUND(_xlfn.PERCENTRANK.INC($D$7:$D$4378,D801)*9,0)</f>
        <v>8</v>
      </c>
      <c r="H801" s="1" t="n">
        <f aca="false">ROUND(_xlfn.PERCENTRANK.INC($E$7:$E$4378,E801)*9,0)</f>
        <v>7</v>
      </c>
      <c r="I801" s="1" t="str">
        <f aca="false">CONCATENATE(F801,G801,H801)</f>
        <v>987</v>
      </c>
      <c r="J801" s="1" t="str">
        <f aca="false">_xlfn.IFS(AND(F801&gt;=8,G801&gt;=8,H801&gt;=8),"CHAMPION",AND(F801&gt;=6,G801&gt;=7,H801&gt;=6),"LOYAL CUSTOMER",AND(F801&gt;=6,G801&gt;=5,H801&gt;=5),"POTENTIAL LOYALIST",AND(F801&gt;=8,G801&lt;=2,H801&gt;=5),"NEW CUSTOMERS",AND(F801&gt;=6,G801&lt;=2,H801&gt;=3),"PROMISING",AND(F801&gt;=3,G801&gt;=3,H801&gt;=3),"NEED ATTENTION",AND(F801&lt;=4,G801&gt;=6,H801&gt;=6),"AT RISK",AND(F801&lt;=2,G801&gt;=8,H801&gt;=8),"CAN'T LOSE THEM",AND(F801&lt;=2,G801&lt;=2,H801&lt;=2),"HIBERNATING",TRUE(),"Other")</f>
        <v>LOYAL CUSTOMER</v>
      </c>
      <c r="K801" s="1" t="n">
        <f aca="false">RANK(E801,$E$7:$E$4378)+COUNTIF($E$7:E801,E801)-1</f>
        <v>736</v>
      </c>
    </row>
    <row r="802" customFormat="false" ht="14.25" hidden="false" customHeight="true" outlineLevel="0" collapsed="false">
      <c r="A802" s="51" t="n">
        <v>13395</v>
      </c>
      <c r="B802" s="53" t="n">
        <v>40701.6277777778</v>
      </c>
      <c r="C802" s="57" t="n">
        <f aca="false">INT($C$2)-INT(Table3[[#This Row],[Last Purchase Date]])</f>
        <v>186</v>
      </c>
      <c r="D802" s="1" t="n">
        <v>1</v>
      </c>
      <c r="E802" s="1" t="n">
        <v>307.72</v>
      </c>
      <c r="F802" s="1" t="n">
        <f aca="false">ROUND((1-_xlfn.PERCENTRANK.INC($C$7:$C$4378,C802))*9,0)</f>
        <v>2</v>
      </c>
      <c r="G802" s="1" t="n">
        <f aca="false">ROUND(_xlfn.PERCENTRANK.INC($D$7:$D$4378,D802)*9,0)</f>
        <v>0</v>
      </c>
      <c r="H802" s="1" t="n">
        <f aca="false">ROUND(_xlfn.PERCENTRANK.INC($E$7:$E$4378,E802)*9,0)</f>
        <v>2</v>
      </c>
      <c r="I802" s="1" t="str">
        <f aca="false">CONCATENATE(F802,G802,H802)</f>
        <v>202</v>
      </c>
      <c r="J802" s="1" t="str">
        <f aca="false">_xlfn.IFS(AND(F802&gt;=8,G802&gt;=8,H802&gt;=8),"CHAMPION",AND(F802&gt;=6,G802&gt;=7,H802&gt;=6),"LOYAL CUSTOMER",AND(F802&gt;=6,G802&gt;=5,H802&gt;=5),"POTENTIAL LOYALIST",AND(F802&gt;=8,G802&lt;=2,H802&gt;=5),"NEW CUSTOMERS",AND(F802&gt;=6,G802&lt;=2,H802&gt;=3),"PROMISING",AND(F802&gt;=3,G802&gt;=3,H802&gt;=3),"NEED ATTENTION",AND(F802&lt;=4,G802&gt;=6,H802&gt;=6),"AT RISK",AND(F802&lt;=2,G802&gt;=8,H802&gt;=8),"CAN'T LOSE THEM",AND(F802&lt;=2,G802&lt;=2,H802&lt;=2),"HIBERNATING",TRUE(),"Other")</f>
        <v>HIBERNATING</v>
      </c>
      <c r="K802" s="1" t="n">
        <f aca="false">RANK(E802,$E$7:$E$4378)+COUNTIF($E$7:E802,E802)-1</f>
        <v>3208</v>
      </c>
    </row>
    <row r="803" customFormat="false" ht="14.25" hidden="false" customHeight="true" outlineLevel="0" collapsed="false">
      <c r="A803" s="51" t="n">
        <v>13396</v>
      </c>
      <c r="B803" s="53" t="n">
        <v>40865.4041666667</v>
      </c>
      <c r="C803" s="57" t="n">
        <f aca="false">INT($C$2)-INT(Table3[[#This Row],[Last Purchase Date]])</f>
        <v>22</v>
      </c>
      <c r="D803" s="1" t="n">
        <v>4</v>
      </c>
      <c r="E803" s="1" t="n">
        <v>1325.29</v>
      </c>
      <c r="F803" s="1" t="n">
        <f aca="false">ROUND((1-_xlfn.PERCENTRANK.INC($C$7:$C$4378,C803))*9,0)</f>
        <v>6</v>
      </c>
      <c r="G803" s="1" t="n">
        <f aca="false">ROUND(_xlfn.PERCENTRANK.INC($D$7:$D$4378,D803)*9,0)</f>
        <v>5</v>
      </c>
      <c r="H803" s="1" t="n">
        <f aca="false">ROUND(_xlfn.PERCENTRANK.INC($E$7:$E$4378,E803)*9,0)</f>
        <v>6</v>
      </c>
      <c r="I803" s="1" t="str">
        <f aca="false">CONCATENATE(F803,G803,H803)</f>
        <v>656</v>
      </c>
      <c r="J803" s="1" t="str">
        <f aca="false">_xlfn.IFS(AND(F803&gt;=8,G803&gt;=8,H803&gt;=8),"CHAMPION",AND(F803&gt;=6,G803&gt;=7,H803&gt;=6),"LOYAL CUSTOMER",AND(F803&gt;=6,G803&gt;=5,H803&gt;=5),"POTENTIAL LOYALIST",AND(F803&gt;=8,G803&lt;=2,H803&gt;=5),"NEW CUSTOMERS",AND(F803&gt;=6,G803&lt;=2,H803&gt;=3),"PROMISING",AND(F803&gt;=3,G803&gt;=3,H803&gt;=3),"NEED ATTENTION",AND(F803&lt;=4,G803&gt;=6,H803&gt;=6),"AT RISK",AND(F803&lt;=2,G803&gt;=8,H803&gt;=8),"CAN'T LOSE THEM",AND(F803&lt;=2,G803&lt;=2,H803&lt;=2),"HIBERNATING",TRUE(),"Other")</f>
        <v>POTENTIAL LOYALIST</v>
      </c>
      <c r="K803" s="1" t="n">
        <f aca="false">RANK(E803,$E$7:$E$4378)+COUNTIF($E$7:E803,E803)-1</f>
        <v>1299</v>
      </c>
    </row>
    <row r="804" customFormat="false" ht="14.25" hidden="false" customHeight="true" outlineLevel="0" collapsed="false">
      <c r="A804" s="51" t="n">
        <v>13397</v>
      </c>
      <c r="B804" s="53" t="n">
        <v>40814.4555555556</v>
      </c>
      <c r="C804" s="57" t="n">
        <f aca="false">INT($C$2)-INT(Table3[[#This Row],[Last Purchase Date]])</f>
        <v>73</v>
      </c>
      <c r="D804" s="1" t="n">
        <v>6</v>
      </c>
      <c r="E804" s="1" t="n">
        <v>1539.18</v>
      </c>
      <c r="F804" s="1" t="n">
        <f aca="false">ROUND((1-_xlfn.PERCENTRANK.INC($C$7:$C$4378,C804))*9,0)</f>
        <v>4</v>
      </c>
      <c r="G804" s="1" t="n">
        <f aca="false">ROUND(_xlfn.PERCENTRANK.INC($D$7:$D$4378,D804)*9,0)</f>
        <v>7</v>
      </c>
      <c r="H804" s="1" t="n">
        <f aca="false">ROUND(_xlfn.PERCENTRANK.INC($E$7:$E$4378,E804)*9,0)</f>
        <v>7</v>
      </c>
      <c r="I804" s="1" t="str">
        <f aca="false">CONCATENATE(F804,G804,H804)</f>
        <v>477</v>
      </c>
      <c r="J804" s="1" t="str">
        <f aca="false">_xlfn.IFS(AND(F804&gt;=8,G804&gt;=8,H804&gt;=8),"CHAMPION",AND(F804&gt;=6,G804&gt;=7,H804&gt;=6),"LOYAL CUSTOMER",AND(F804&gt;=6,G804&gt;=5,H804&gt;=5),"POTENTIAL LOYALIST",AND(F804&gt;=8,G804&lt;=2,H804&gt;=5),"NEW CUSTOMERS",AND(F804&gt;=6,G804&lt;=2,H804&gt;=3),"PROMISING",AND(F804&gt;=3,G804&gt;=3,H804&gt;=3),"NEED ATTENTION",AND(F804&lt;=4,G804&gt;=6,H804&gt;=6),"AT RISK",AND(F804&lt;=2,G804&gt;=8,H804&gt;=8),"CAN'T LOSE THEM",AND(F804&lt;=2,G804&lt;=2,H804&lt;=2),"HIBERNATING",TRUE(),"Other")</f>
        <v>NEED ATTENTION</v>
      </c>
      <c r="K804" s="1" t="n">
        <f aca="false">RANK(E804,$E$7:$E$4378)+COUNTIF($E$7:E804,E804)-1</f>
        <v>1136</v>
      </c>
    </row>
    <row r="805" customFormat="false" ht="14.25" hidden="false" customHeight="true" outlineLevel="0" collapsed="false">
      <c r="A805" s="51" t="n">
        <v>13398</v>
      </c>
      <c r="B805" s="53" t="n">
        <v>40694.5534722222</v>
      </c>
      <c r="C805" s="57" t="n">
        <f aca="false">INT($C$2)-INT(Table3[[#This Row],[Last Purchase Date]])</f>
        <v>193</v>
      </c>
      <c r="D805" s="1" t="n">
        <v>1</v>
      </c>
      <c r="E805" s="1" t="n">
        <v>457.34</v>
      </c>
      <c r="F805" s="1" t="n">
        <f aca="false">ROUND((1-_xlfn.PERCENTRANK.INC($C$7:$C$4378,C805))*9,0)</f>
        <v>2</v>
      </c>
      <c r="G805" s="1" t="n">
        <f aca="false">ROUND(_xlfn.PERCENTRANK.INC($D$7:$D$4378,D805)*9,0)</f>
        <v>0</v>
      </c>
      <c r="H805" s="1" t="n">
        <f aca="false">ROUND(_xlfn.PERCENTRANK.INC($E$7:$E$4378,E805)*9,0)</f>
        <v>4</v>
      </c>
      <c r="I805" s="1" t="str">
        <f aca="false">CONCATENATE(F805,G805,H805)</f>
        <v>204</v>
      </c>
      <c r="J805" s="1" t="str">
        <f aca="false">_xlfn.IFS(AND(F805&gt;=8,G805&gt;=8,H805&gt;=8),"CHAMPION",AND(F805&gt;=6,G805&gt;=7,H805&gt;=6),"LOYAL CUSTOMER",AND(F805&gt;=6,G805&gt;=5,H805&gt;=5),"POTENTIAL LOYALIST",AND(F805&gt;=8,G805&lt;=2,H805&gt;=5),"NEW CUSTOMERS",AND(F805&gt;=6,G805&lt;=2,H805&gt;=3),"PROMISING",AND(F805&gt;=3,G805&gt;=3,H805&gt;=3),"NEED ATTENTION",AND(F805&lt;=4,G805&gt;=6,H805&gt;=6),"AT RISK",AND(F805&lt;=2,G805&gt;=8,H805&gt;=8),"CAN'T LOSE THEM",AND(F805&lt;=2,G805&lt;=2,H805&lt;=2),"HIBERNATING",TRUE(),"Other")</f>
        <v>Other</v>
      </c>
      <c r="K805" s="1" t="n">
        <f aca="false">RANK(E805,$E$7:$E$4378)+COUNTIF($E$7:E805,E805)-1</f>
        <v>2650</v>
      </c>
    </row>
    <row r="806" customFormat="false" ht="14.25" hidden="false" customHeight="true" outlineLevel="0" collapsed="false">
      <c r="A806" s="51" t="n">
        <v>13402</v>
      </c>
      <c r="B806" s="53" t="n">
        <v>40759.6604166667</v>
      </c>
      <c r="C806" s="57" t="n">
        <f aca="false">INT($C$2)-INT(Table3[[#This Row],[Last Purchase Date]])</f>
        <v>128</v>
      </c>
      <c r="D806" s="1" t="n">
        <v>2</v>
      </c>
      <c r="E806" s="1" t="n">
        <v>621.23</v>
      </c>
      <c r="F806" s="1" t="n">
        <f aca="false">ROUND((1-_xlfn.PERCENTRANK.INC($C$7:$C$4378,C806))*9,0)</f>
        <v>2</v>
      </c>
      <c r="G806" s="1" t="n">
        <f aca="false">ROUND(_xlfn.PERCENTRANK.INC($D$7:$D$4378,D806)*9,0)</f>
        <v>3</v>
      </c>
      <c r="H806" s="1" t="n">
        <f aca="false">ROUND(_xlfn.PERCENTRANK.INC($E$7:$E$4378,E806)*9,0)</f>
        <v>4</v>
      </c>
      <c r="I806" s="1" t="str">
        <f aca="false">CONCATENATE(F806,G806,H806)</f>
        <v>234</v>
      </c>
      <c r="J806" s="1" t="str">
        <f aca="false">_xlfn.IFS(AND(F806&gt;=8,G806&gt;=8,H806&gt;=8),"CHAMPION",AND(F806&gt;=6,G806&gt;=7,H806&gt;=6),"LOYAL CUSTOMER",AND(F806&gt;=6,G806&gt;=5,H806&gt;=5),"POTENTIAL LOYALIST",AND(F806&gt;=8,G806&lt;=2,H806&gt;=5),"NEW CUSTOMERS",AND(F806&gt;=6,G806&lt;=2,H806&gt;=3),"PROMISING",AND(F806&gt;=3,G806&gt;=3,H806&gt;=3),"NEED ATTENTION",AND(F806&lt;=4,G806&gt;=6,H806&gt;=6),"AT RISK",AND(F806&lt;=2,G806&gt;=8,H806&gt;=8),"CAN'T LOSE THEM",AND(F806&lt;=2,G806&lt;=2,H806&lt;=2),"HIBERNATING",TRUE(),"Other")</f>
        <v>Other</v>
      </c>
      <c r="K806" s="1" t="n">
        <f aca="false">RANK(E806,$E$7:$E$4378)+COUNTIF($E$7:E806,E806)-1</f>
        <v>2255</v>
      </c>
    </row>
    <row r="807" customFormat="false" ht="14.25" hidden="false" customHeight="true" outlineLevel="0" collapsed="false">
      <c r="A807" s="51" t="n">
        <v>13403</v>
      </c>
      <c r="B807" s="53" t="n">
        <v>40869.3527777778</v>
      </c>
      <c r="C807" s="57" t="n">
        <f aca="false">INT($C$2)-INT(Table3[[#This Row],[Last Purchase Date]])</f>
        <v>18</v>
      </c>
      <c r="D807" s="1" t="n">
        <v>1</v>
      </c>
      <c r="E807" s="1" t="n">
        <v>75</v>
      </c>
      <c r="F807" s="1" t="n">
        <f aca="false">ROUND((1-_xlfn.PERCENTRANK.INC($C$7:$C$4378,C807))*9,0)</f>
        <v>7</v>
      </c>
      <c r="G807" s="1" t="n">
        <f aca="false">ROUND(_xlfn.PERCENTRANK.INC($D$7:$D$4378,D807)*9,0)</f>
        <v>0</v>
      </c>
      <c r="H807" s="1" t="n">
        <f aca="false">ROUND(_xlfn.PERCENTRANK.INC($E$7:$E$4378,E807)*9,0)</f>
        <v>0</v>
      </c>
      <c r="I807" s="1" t="str">
        <f aca="false">CONCATENATE(F807,G807,H807)</f>
        <v>700</v>
      </c>
      <c r="J807" s="1" t="str">
        <f aca="false">_xlfn.IFS(AND(F807&gt;=8,G807&gt;=8,H807&gt;=8),"CHAMPION",AND(F807&gt;=6,G807&gt;=7,H807&gt;=6),"LOYAL CUSTOMER",AND(F807&gt;=6,G807&gt;=5,H807&gt;=5),"POTENTIAL LOYALIST",AND(F807&gt;=8,G807&lt;=2,H807&gt;=5),"NEW CUSTOMERS",AND(F807&gt;=6,G807&lt;=2,H807&gt;=3),"PROMISING",AND(F807&gt;=3,G807&gt;=3,H807&gt;=3),"NEED ATTENTION",AND(F807&lt;=4,G807&gt;=6,H807&gt;=6),"AT RISK",AND(F807&lt;=2,G807&gt;=8,H807&gt;=8),"CAN'T LOSE THEM",AND(F807&lt;=2,G807&lt;=2,H807&lt;=2),"HIBERNATING",TRUE(),"Other")</f>
        <v>Other</v>
      </c>
      <c r="K807" s="1" t="n">
        <f aca="false">RANK(E807,$E$7:$E$4378)+COUNTIF($E$7:E807,E807)-1</f>
        <v>4235</v>
      </c>
    </row>
    <row r="808" customFormat="false" ht="14.25" hidden="false" customHeight="true" outlineLevel="0" collapsed="false">
      <c r="A808" s="51" t="n">
        <v>13404</v>
      </c>
      <c r="B808" s="53" t="n">
        <v>40885.6506944444</v>
      </c>
      <c r="C808" s="57" t="n">
        <f aca="false">INT($C$2)-INT(Table3[[#This Row],[Last Purchase Date]])</f>
        <v>2</v>
      </c>
      <c r="D808" s="1" t="n">
        <v>2</v>
      </c>
      <c r="E808" s="1" t="n">
        <v>252.49</v>
      </c>
      <c r="F808" s="1" t="n">
        <f aca="false">ROUND((1-_xlfn.PERCENTRANK.INC($C$7:$C$4378,C808))*9,0)</f>
        <v>9</v>
      </c>
      <c r="G808" s="1" t="n">
        <f aca="false">ROUND(_xlfn.PERCENTRANK.INC($D$7:$D$4378,D808)*9,0)</f>
        <v>3</v>
      </c>
      <c r="H808" s="1" t="n">
        <f aca="false">ROUND(_xlfn.PERCENTRANK.INC($E$7:$E$4378,E808)*9,0)</f>
        <v>2</v>
      </c>
      <c r="I808" s="1" t="str">
        <f aca="false">CONCATENATE(F808,G808,H808)</f>
        <v>932</v>
      </c>
      <c r="J808" s="1" t="str">
        <f aca="false">_xlfn.IFS(AND(F808&gt;=8,G808&gt;=8,H808&gt;=8),"CHAMPION",AND(F808&gt;=6,G808&gt;=7,H808&gt;=6),"LOYAL CUSTOMER",AND(F808&gt;=6,G808&gt;=5,H808&gt;=5),"POTENTIAL LOYALIST",AND(F808&gt;=8,G808&lt;=2,H808&gt;=5),"NEW CUSTOMERS",AND(F808&gt;=6,G808&lt;=2,H808&gt;=3),"PROMISING",AND(F808&gt;=3,G808&gt;=3,H808&gt;=3),"NEED ATTENTION",AND(F808&lt;=4,G808&gt;=6,H808&gt;=6),"AT RISK",AND(F808&lt;=2,G808&gt;=8,H808&gt;=8),"CAN'T LOSE THEM",AND(F808&lt;=2,G808&lt;=2,H808&lt;=2),"HIBERNATING",TRUE(),"Other")</f>
        <v>Other</v>
      </c>
      <c r="K808" s="1" t="n">
        <f aca="false">RANK(E808,$E$7:$E$4378)+COUNTIF($E$7:E808,E808)-1</f>
        <v>3425</v>
      </c>
    </row>
    <row r="809" customFormat="false" ht="14.25" hidden="false" customHeight="true" outlineLevel="0" collapsed="false">
      <c r="A809" s="51" t="n">
        <v>13405</v>
      </c>
      <c r="B809" s="53" t="n">
        <v>40812.7090277778</v>
      </c>
      <c r="C809" s="57" t="n">
        <f aca="false">INT($C$2)-INT(Table3[[#This Row],[Last Purchase Date]])</f>
        <v>75</v>
      </c>
      <c r="D809" s="1" t="n">
        <v>3</v>
      </c>
      <c r="E809" s="1" t="n">
        <v>572.451</v>
      </c>
      <c r="F809" s="1" t="n">
        <f aca="false">ROUND((1-_xlfn.PERCENTRANK.INC($C$7:$C$4378,C809))*9,0)</f>
        <v>3</v>
      </c>
      <c r="G809" s="1" t="n">
        <f aca="false">ROUND(_xlfn.PERCENTRANK.INC($D$7:$D$4378,D809)*9,0)</f>
        <v>4</v>
      </c>
      <c r="H809" s="1" t="n">
        <f aca="false">ROUND(_xlfn.PERCENTRANK.INC($E$7:$E$4378,E809)*9,0)</f>
        <v>4</v>
      </c>
      <c r="I809" s="1" t="str">
        <f aca="false">CONCATENATE(F809,G809,H809)</f>
        <v>344</v>
      </c>
      <c r="J809" s="1" t="str">
        <f aca="false">_xlfn.IFS(AND(F809&gt;=8,G809&gt;=8,H809&gt;=8),"CHAMPION",AND(F809&gt;=6,G809&gt;=7,H809&gt;=6),"LOYAL CUSTOMER",AND(F809&gt;=6,G809&gt;=5,H809&gt;=5),"POTENTIAL LOYALIST",AND(F809&gt;=8,G809&lt;=2,H809&gt;=5),"NEW CUSTOMERS",AND(F809&gt;=6,G809&lt;=2,H809&gt;=3),"PROMISING",AND(F809&gt;=3,G809&gt;=3,H809&gt;=3),"NEED ATTENTION",AND(F809&lt;=4,G809&gt;=6,H809&gt;=6),"AT RISK",AND(F809&lt;=2,G809&gt;=8,H809&gt;=8),"CAN'T LOSE THEM",AND(F809&lt;=2,G809&lt;=2,H809&lt;=2),"HIBERNATING",TRUE(),"Other")</f>
        <v>NEED ATTENTION</v>
      </c>
      <c r="K809" s="1" t="n">
        <f aca="false">RANK(E809,$E$7:$E$4378)+COUNTIF($E$7:E809,E809)-1</f>
        <v>2389</v>
      </c>
    </row>
    <row r="810" customFormat="false" ht="14.25" hidden="false" customHeight="true" outlineLevel="0" collapsed="false">
      <c r="A810" s="51" t="n">
        <v>13408</v>
      </c>
      <c r="B810" s="53" t="n">
        <v>40885.3784722222</v>
      </c>
      <c r="C810" s="57" t="n">
        <f aca="false">INT($C$2)-INT(Table3[[#This Row],[Last Purchase Date]])</f>
        <v>2</v>
      </c>
      <c r="D810" s="1" t="n">
        <v>81</v>
      </c>
      <c r="E810" s="1" t="n">
        <v>27487.41</v>
      </c>
      <c r="F810" s="1" t="n">
        <f aca="false">ROUND((1-_xlfn.PERCENTRANK.INC($C$7:$C$4378,C810))*9,0)</f>
        <v>9</v>
      </c>
      <c r="G810" s="1" t="n">
        <f aca="false">ROUND(_xlfn.PERCENTRANK.INC($D$7:$D$4378,D810)*9,0)</f>
        <v>9</v>
      </c>
      <c r="H810" s="1" t="n">
        <f aca="false">ROUND(_xlfn.PERCENTRANK.INC($E$7:$E$4378,E810)*9,0)</f>
        <v>9</v>
      </c>
      <c r="I810" s="1" t="str">
        <f aca="false">CONCATENATE(F810,G810,H810)</f>
        <v>999</v>
      </c>
      <c r="J810" s="1" t="str">
        <f aca="false">_xlfn.IFS(AND(F810&gt;=8,G810&gt;=8,H810&gt;=8),"CHAMPION",AND(F810&gt;=6,G810&gt;=7,H810&gt;=6),"LOYAL CUSTOMER",AND(F810&gt;=6,G810&gt;=5,H810&gt;=5),"POTENTIAL LOYALIST",AND(F810&gt;=8,G810&lt;=2,H810&gt;=5),"NEW CUSTOMERS",AND(F810&gt;=6,G810&lt;=2,H810&gt;=3),"PROMISING",AND(F810&gt;=3,G810&gt;=3,H810&gt;=3),"NEED ATTENTION",AND(F810&lt;=4,G810&gt;=6,H810&gt;=6),"AT RISK",AND(F810&lt;=2,G810&gt;=8,H810&gt;=8),"CAN'T LOSE THEM",AND(F810&lt;=2,G810&lt;=2,H810&lt;=2),"HIBERNATING",TRUE(),"Other")</f>
        <v>CHAMPION</v>
      </c>
      <c r="K810" s="1" t="n">
        <f aca="false">RANK(E810,$E$7:$E$4378)+COUNTIF($E$7:E810,E810)-1</f>
        <v>30</v>
      </c>
    </row>
    <row r="811" customFormat="false" ht="14.25" hidden="false" customHeight="true" outlineLevel="0" collapsed="false">
      <c r="A811" s="51" t="n">
        <v>13410</v>
      </c>
      <c r="B811" s="53" t="n">
        <v>40878.3736111111</v>
      </c>
      <c r="C811" s="57" t="n">
        <f aca="false">INT($C$2)-INT(Table3[[#This Row],[Last Purchase Date]])</f>
        <v>9</v>
      </c>
      <c r="D811" s="1" t="n">
        <v>7</v>
      </c>
      <c r="E811" s="1" t="n">
        <v>988.91</v>
      </c>
      <c r="F811" s="1" t="n">
        <f aca="false">ROUND((1-_xlfn.PERCENTRANK.INC($C$7:$C$4378,C811))*9,0)</f>
        <v>8</v>
      </c>
      <c r="G811" s="1" t="n">
        <f aca="false">ROUND(_xlfn.PERCENTRANK.INC($D$7:$D$4378,D811)*9,0)</f>
        <v>7</v>
      </c>
      <c r="H811" s="1" t="n">
        <f aca="false">ROUND(_xlfn.PERCENTRANK.INC($E$7:$E$4378,E811)*9,0)</f>
        <v>6</v>
      </c>
      <c r="I811" s="1" t="str">
        <f aca="false">CONCATENATE(F811,G811,H811)</f>
        <v>876</v>
      </c>
      <c r="J811" s="1" t="str">
        <f aca="false">_xlfn.IFS(AND(F811&gt;=8,G811&gt;=8,H811&gt;=8),"CHAMPION",AND(F811&gt;=6,G811&gt;=7,H811&gt;=6),"LOYAL CUSTOMER",AND(F811&gt;=6,G811&gt;=5,H811&gt;=5),"POTENTIAL LOYALIST",AND(F811&gt;=8,G811&lt;=2,H811&gt;=5),"NEW CUSTOMERS",AND(F811&gt;=6,G811&lt;=2,H811&gt;=3),"PROMISING",AND(F811&gt;=3,G811&gt;=3,H811&gt;=3),"NEED ATTENTION",AND(F811&lt;=4,G811&gt;=6,H811&gt;=6),"AT RISK",AND(F811&lt;=2,G811&gt;=8,H811&gt;=8),"CAN'T LOSE THEM",AND(F811&lt;=2,G811&lt;=2,H811&lt;=2),"HIBERNATING",TRUE(),"Other")</f>
        <v>LOYAL CUSTOMER</v>
      </c>
      <c r="K811" s="1" t="n">
        <f aca="false">RANK(E811,$E$7:$E$4378)+COUNTIF($E$7:E811,E811)-1</f>
        <v>1648</v>
      </c>
    </row>
    <row r="812" customFormat="false" ht="14.25" hidden="false" customHeight="true" outlineLevel="0" collapsed="false">
      <c r="A812" s="51" t="n">
        <v>13411</v>
      </c>
      <c r="B812" s="53" t="n">
        <v>40779.58125</v>
      </c>
      <c r="C812" s="57" t="n">
        <f aca="false">INT($C$2)-INT(Table3[[#This Row],[Last Purchase Date]])</f>
        <v>108</v>
      </c>
      <c r="D812" s="1" t="n">
        <v>1</v>
      </c>
      <c r="E812" s="1" t="n">
        <v>213.55</v>
      </c>
      <c r="F812" s="1" t="n">
        <f aca="false">ROUND((1-_xlfn.PERCENTRANK.INC($C$7:$C$4378,C812))*9,0)</f>
        <v>3</v>
      </c>
      <c r="G812" s="1" t="n">
        <f aca="false">ROUND(_xlfn.PERCENTRANK.INC($D$7:$D$4378,D812)*9,0)</f>
        <v>0</v>
      </c>
      <c r="H812" s="1" t="n">
        <f aca="false">ROUND(_xlfn.PERCENTRANK.INC($E$7:$E$4378,E812)*9,0)</f>
        <v>2</v>
      </c>
      <c r="I812" s="1" t="str">
        <f aca="false">CONCATENATE(F812,G812,H812)</f>
        <v>302</v>
      </c>
      <c r="J812" s="1" t="str">
        <f aca="false">_xlfn.IFS(AND(F812&gt;=8,G812&gt;=8,H812&gt;=8),"CHAMPION",AND(F812&gt;=6,G812&gt;=7,H812&gt;=6),"LOYAL CUSTOMER",AND(F812&gt;=6,G812&gt;=5,H812&gt;=5),"POTENTIAL LOYALIST",AND(F812&gt;=8,G812&lt;=2,H812&gt;=5),"NEW CUSTOMERS",AND(F812&gt;=6,G812&lt;=2,H812&gt;=3),"PROMISING",AND(F812&gt;=3,G812&gt;=3,H812&gt;=3),"NEED ATTENTION",AND(F812&lt;=4,G812&gt;=6,H812&gt;=6),"AT RISK",AND(F812&lt;=2,G812&gt;=8,H812&gt;=8),"CAN'T LOSE THEM",AND(F812&lt;=2,G812&lt;=2,H812&lt;=2),"HIBERNATING",TRUE(),"Other")</f>
        <v>Other</v>
      </c>
      <c r="K812" s="1" t="n">
        <f aca="false">RANK(E812,$E$7:$E$4378)+COUNTIF($E$7:E812,E812)-1</f>
        <v>3599</v>
      </c>
    </row>
    <row r="813" customFormat="false" ht="14.25" hidden="false" customHeight="true" outlineLevel="0" collapsed="false">
      <c r="A813" s="51" t="n">
        <v>13414</v>
      </c>
      <c r="B813" s="53" t="n">
        <v>40753.4895833333</v>
      </c>
      <c r="C813" s="57" t="n">
        <f aca="false">INT($C$2)-INT(Table3[[#This Row],[Last Purchase Date]])</f>
        <v>134</v>
      </c>
      <c r="D813" s="1" t="n">
        <v>3</v>
      </c>
      <c r="E813" s="1" t="n">
        <v>1390.5</v>
      </c>
      <c r="F813" s="1" t="n">
        <f aca="false">ROUND((1-_xlfn.PERCENTRANK.INC($C$7:$C$4378,C813))*9,0)</f>
        <v>2</v>
      </c>
      <c r="G813" s="1" t="n">
        <f aca="false">ROUND(_xlfn.PERCENTRANK.INC($D$7:$D$4378,D813)*9,0)</f>
        <v>4</v>
      </c>
      <c r="H813" s="1" t="n">
        <f aca="false">ROUND(_xlfn.PERCENTRANK.INC($E$7:$E$4378,E813)*9,0)</f>
        <v>6</v>
      </c>
      <c r="I813" s="1" t="str">
        <f aca="false">CONCATENATE(F813,G813,H813)</f>
        <v>246</v>
      </c>
      <c r="J813" s="1" t="str">
        <f aca="false">_xlfn.IFS(AND(F813&gt;=8,G813&gt;=8,H813&gt;=8),"CHAMPION",AND(F813&gt;=6,G813&gt;=7,H813&gt;=6),"LOYAL CUSTOMER",AND(F813&gt;=6,G813&gt;=5,H813&gt;=5),"POTENTIAL LOYALIST",AND(F813&gt;=8,G813&lt;=2,H813&gt;=5),"NEW CUSTOMERS",AND(F813&gt;=6,G813&lt;=2,H813&gt;=3),"PROMISING",AND(F813&gt;=3,G813&gt;=3,H813&gt;=3),"NEED ATTENTION",AND(F813&lt;=4,G813&gt;=6,H813&gt;=6),"AT RISK",AND(F813&lt;=2,G813&gt;=8,H813&gt;=8),"CAN'T LOSE THEM",AND(F813&lt;=2,G813&lt;=2,H813&lt;=2),"HIBERNATING",TRUE(),"Other")</f>
        <v>Other</v>
      </c>
      <c r="K813" s="1" t="n">
        <f aca="false">RANK(E813,$E$7:$E$4378)+COUNTIF($E$7:E813,E813)-1</f>
        <v>1242</v>
      </c>
    </row>
    <row r="814" customFormat="false" ht="14.25" hidden="false" customHeight="true" outlineLevel="0" collapsed="false">
      <c r="A814" s="51" t="n">
        <v>13416</v>
      </c>
      <c r="B814" s="53" t="n">
        <v>40843.3722222222</v>
      </c>
      <c r="C814" s="57" t="n">
        <f aca="false">INT($C$2)-INT(Table3[[#This Row],[Last Purchase Date]])</f>
        <v>44</v>
      </c>
      <c r="D814" s="1" t="n">
        <v>2</v>
      </c>
      <c r="E814" s="1" t="n">
        <v>712.5</v>
      </c>
      <c r="F814" s="1" t="n">
        <f aca="false">ROUND((1-_xlfn.PERCENTRANK.INC($C$7:$C$4378,C814))*9,0)</f>
        <v>5</v>
      </c>
      <c r="G814" s="1" t="n">
        <f aca="false">ROUND(_xlfn.PERCENTRANK.INC($D$7:$D$4378,D814)*9,0)</f>
        <v>3</v>
      </c>
      <c r="H814" s="1" t="n">
        <f aca="false">ROUND(_xlfn.PERCENTRANK.INC($E$7:$E$4378,E814)*9,0)</f>
        <v>5</v>
      </c>
      <c r="I814" s="1" t="str">
        <f aca="false">CONCATENATE(F814,G814,H814)</f>
        <v>535</v>
      </c>
      <c r="J814" s="1" t="str">
        <f aca="false">_xlfn.IFS(AND(F814&gt;=8,G814&gt;=8,H814&gt;=8),"CHAMPION",AND(F814&gt;=6,G814&gt;=7,H814&gt;=6),"LOYAL CUSTOMER",AND(F814&gt;=6,G814&gt;=5,H814&gt;=5),"POTENTIAL LOYALIST",AND(F814&gt;=8,G814&lt;=2,H814&gt;=5),"NEW CUSTOMERS",AND(F814&gt;=6,G814&lt;=2,H814&gt;=3),"PROMISING",AND(F814&gt;=3,G814&gt;=3,H814&gt;=3),"NEED ATTENTION",AND(F814&lt;=4,G814&gt;=6,H814&gt;=6),"AT RISK",AND(F814&lt;=2,G814&gt;=8,H814&gt;=8),"CAN'T LOSE THEM",AND(F814&lt;=2,G814&lt;=2,H814&lt;=2),"HIBERNATING",TRUE(),"Other")</f>
        <v>NEED ATTENTION</v>
      </c>
      <c r="K814" s="1" t="n">
        <f aca="false">RANK(E814,$E$7:$E$4378)+COUNTIF($E$7:E814,E814)-1</f>
        <v>2041</v>
      </c>
    </row>
    <row r="815" customFormat="false" ht="14.25" hidden="false" customHeight="true" outlineLevel="0" collapsed="false">
      <c r="A815" s="51" t="n">
        <v>13417</v>
      </c>
      <c r="B815" s="53" t="n">
        <v>40882.3673611111</v>
      </c>
      <c r="C815" s="57" t="n">
        <f aca="false">INT($C$2)-INT(Table3[[#This Row],[Last Purchase Date]])</f>
        <v>5</v>
      </c>
      <c r="D815" s="1" t="n">
        <v>2</v>
      </c>
      <c r="E815" s="1" t="n">
        <v>640.83</v>
      </c>
      <c r="F815" s="1" t="n">
        <f aca="false">ROUND((1-_xlfn.PERCENTRANK.INC($C$7:$C$4378,C815))*9,0)</f>
        <v>8</v>
      </c>
      <c r="G815" s="1" t="n">
        <f aca="false">ROUND(_xlfn.PERCENTRANK.INC($D$7:$D$4378,D815)*9,0)</f>
        <v>3</v>
      </c>
      <c r="H815" s="1" t="n">
        <f aca="false">ROUND(_xlfn.PERCENTRANK.INC($E$7:$E$4378,E815)*9,0)</f>
        <v>4</v>
      </c>
      <c r="I815" s="1" t="str">
        <f aca="false">CONCATENATE(F815,G815,H815)</f>
        <v>834</v>
      </c>
      <c r="J815" s="1" t="str">
        <f aca="false">_xlfn.IFS(AND(F815&gt;=8,G815&gt;=8,H815&gt;=8),"CHAMPION",AND(F815&gt;=6,G815&gt;=7,H815&gt;=6),"LOYAL CUSTOMER",AND(F815&gt;=6,G815&gt;=5,H815&gt;=5),"POTENTIAL LOYALIST",AND(F815&gt;=8,G815&lt;=2,H815&gt;=5),"NEW CUSTOMERS",AND(F815&gt;=6,G815&lt;=2,H815&gt;=3),"PROMISING",AND(F815&gt;=3,G815&gt;=3,H815&gt;=3),"NEED ATTENTION",AND(F815&lt;=4,G815&gt;=6,H815&gt;=6),"AT RISK",AND(F815&lt;=2,G815&gt;=8,H815&gt;=8),"CAN'T LOSE THEM",AND(F815&lt;=2,G815&lt;=2,H815&lt;=2),"HIBERNATING",TRUE(),"Other")</f>
        <v>NEED ATTENTION</v>
      </c>
      <c r="K815" s="1" t="n">
        <f aca="false">RANK(E815,$E$7:$E$4378)+COUNTIF($E$7:E815,E815)-1</f>
        <v>2206</v>
      </c>
    </row>
    <row r="816" customFormat="false" ht="14.25" hidden="false" customHeight="true" outlineLevel="0" collapsed="false">
      <c r="A816" s="51" t="n">
        <v>13418</v>
      </c>
      <c r="B816" s="53" t="n">
        <v>40875.4326388889</v>
      </c>
      <c r="C816" s="57" t="n">
        <f aca="false">INT($C$2)-INT(Table3[[#This Row],[Last Purchase Date]])</f>
        <v>12</v>
      </c>
      <c r="D816" s="1" t="n">
        <v>23</v>
      </c>
      <c r="E816" s="1" t="n">
        <v>5845.44</v>
      </c>
      <c r="F816" s="1" t="n">
        <f aca="false">ROUND((1-_xlfn.PERCENTRANK.INC($C$7:$C$4378,C816))*9,0)</f>
        <v>7</v>
      </c>
      <c r="G816" s="1" t="n">
        <f aca="false">ROUND(_xlfn.PERCENTRANK.INC($D$7:$D$4378,D816)*9,0)</f>
        <v>9</v>
      </c>
      <c r="H816" s="1" t="n">
        <f aca="false">ROUND(_xlfn.PERCENTRANK.INC($E$7:$E$4378,E816)*9,0)</f>
        <v>9</v>
      </c>
      <c r="I816" s="1" t="str">
        <f aca="false">CONCATENATE(F816,G816,H816)</f>
        <v>799</v>
      </c>
      <c r="J816" s="1" t="str">
        <f aca="false">_xlfn.IFS(AND(F816&gt;=8,G816&gt;=8,H816&gt;=8),"CHAMPION",AND(F816&gt;=6,G816&gt;=7,H816&gt;=6),"LOYAL CUSTOMER",AND(F816&gt;=6,G816&gt;=5,H816&gt;=5),"POTENTIAL LOYALIST",AND(F816&gt;=8,G816&lt;=2,H816&gt;=5),"NEW CUSTOMERS",AND(F816&gt;=6,G816&lt;=2,H816&gt;=3),"PROMISING",AND(F816&gt;=3,G816&gt;=3,H816&gt;=3),"NEED ATTENTION",AND(F816&lt;=4,G816&gt;=6,H816&gt;=6),"AT RISK",AND(F816&lt;=2,G816&gt;=8,H816&gt;=8),"CAN'T LOSE THEM",AND(F816&lt;=2,G816&lt;=2,H816&lt;=2),"HIBERNATING",TRUE(),"Other")</f>
        <v>LOYAL CUSTOMER</v>
      </c>
      <c r="K816" s="1" t="n">
        <f aca="false">RANK(E816,$E$7:$E$4378)+COUNTIF($E$7:E816,E816)-1</f>
        <v>204</v>
      </c>
    </row>
    <row r="817" customFormat="false" ht="14.25" hidden="false" customHeight="true" outlineLevel="0" collapsed="false">
      <c r="A817" s="51" t="n">
        <v>13419</v>
      </c>
      <c r="B817" s="53" t="n">
        <v>40823.5340277778</v>
      </c>
      <c r="C817" s="57" t="n">
        <f aca="false">INT($C$2)-INT(Table3[[#This Row],[Last Purchase Date]])</f>
        <v>64</v>
      </c>
      <c r="D817" s="1" t="n">
        <v>1</v>
      </c>
      <c r="E817" s="1" t="n">
        <v>221.06</v>
      </c>
      <c r="F817" s="1" t="n">
        <f aca="false">ROUND((1-_xlfn.PERCENTRANK.INC($C$7:$C$4378,C817))*9,0)</f>
        <v>4</v>
      </c>
      <c r="G817" s="1" t="n">
        <f aca="false">ROUND(_xlfn.PERCENTRANK.INC($D$7:$D$4378,D817)*9,0)</f>
        <v>0</v>
      </c>
      <c r="H817" s="1" t="n">
        <f aca="false">ROUND(_xlfn.PERCENTRANK.INC($E$7:$E$4378,E817)*9,0)</f>
        <v>2</v>
      </c>
      <c r="I817" s="1" t="str">
        <f aca="false">CONCATENATE(F817,G817,H817)</f>
        <v>402</v>
      </c>
      <c r="J817" s="1" t="str">
        <f aca="false">_xlfn.IFS(AND(F817&gt;=8,G817&gt;=8,H817&gt;=8),"CHAMPION",AND(F817&gt;=6,G817&gt;=7,H817&gt;=6),"LOYAL CUSTOMER",AND(F817&gt;=6,G817&gt;=5,H817&gt;=5),"POTENTIAL LOYALIST",AND(F817&gt;=8,G817&lt;=2,H817&gt;=5),"NEW CUSTOMERS",AND(F817&gt;=6,G817&lt;=2,H817&gt;=3),"PROMISING",AND(F817&gt;=3,G817&gt;=3,H817&gt;=3),"NEED ATTENTION",AND(F817&lt;=4,G817&gt;=6,H817&gt;=6),"AT RISK",AND(F817&lt;=2,G817&gt;=8,H817&gt;=8),"CAN'T LOSE THEM",AND(F817&lt;=2,G817&lt;=2,H817&lt;=2),"HIBERNATING",TRUE(),"Other")</f>
        <v>Other</v>
      </c>
      <c r="K817" s="1" t="n">
        <f aca="false">RANK(E817,$E$7:$E$4378)+COUNTIF($E$7:E817,E817)-1</f>
        <v>3555</v>
      </c>
    </row>
    <row r="818" customFormat="false" ht="14.25" hidden="false" customHeight="true" outlineLevel="0" collapsed="false">
      <c r="A818" s="51" t="n">
        <v>13420</v>
      </c>
      <c r="B818" s="53" t="n">
        <v>40752.5069444445</v>
      </c>
      <c r="C818" s="57" t="n">
        <f aca="false">INT($C$2)-INT(Table3[[#This Row],[Last Purchase Date]])</f>
        <v>135</v>
      </c>
      <c r="D818" s="1" t="n">
        <v>4</v>
      </c>
      <c r="E818" s="1" t="n">
        <v>140.35</v>
      </c>
      <c r="F818" s="1" t="n">
        <f aca="false">ROUND((1-_xlfn.PERCENTRANK.INC($C$7:$C$4378,C818))*9,0)</f>
        <v>2</v>
      </c>
      <c r="G818" s="1" t="n">
        <f aca="false">ROUND(_xlfn.PERCENTRANK.INC($D$7:$D$4378,D818)*9,0)</f>
        <v>5</v>
      </c>
      <c r="H818" s="1" t="n">
        <f aca="false">ROUND(_xlfn.PERCENTRANK.INC($E$7:$E$4378,E818)*9,0)</f>
        <v>1</v>
      </c>
      <c r="I818" s="1" t="str">
        <f aca="false">CONCATENATE(F818,G818,H818)</f>
        <v>251</v>
      </c>
      <c r="J818" s="1" t="str">
        <f aca="false">_xlfn.IFS(AND(F818&gt;=8,G818&gt;=8,H818&gt;=8),"CHAMPION",AND(F818&gt;=6,G818&gt;=7,H818&gt;=6),"LOYAL CUSTOMER",AND(F818&gt;=6,G818&gt;=5,H818&gt;=5),"POTENTIAL LOYALIST",AND(F818&gt;=8,G818&lt;=2,H818&gt;=5),"NEW CUSTOMERS",AND(F818&gt;=6,G818&lt;=2,H818&gt;=3),"PROMISING",AND(F818&gt;=3,G818&gt;=3,H818&gt;=3),"NEED ATTENTION",AND(F818&lt;=4,G818&gt;=6,H818&gt;=6),"AT RISK",AND(F818&lt;=2,G818&gt;=8,H818&gt;=8),"CAN'T LOSE THEM",AND(F818&lt;=2,G818&lt;=2,H818&lt;=2),"HIBERNATING",TRUE(),"Other")</f>
        <v>Other</v>
      </c>
      <c r="K818" s="1" t="n">
        <f aca="false">RANK(E818,$E$7:$E$4378)+COUNTIF($E$7:E818,E818)-1</f>
        <v>3955</v>
      </c>
    </row>
    <row r="819" customFormat="false" ht="14.25" hidden="false" customHeight="true" outlineLevel="0" collapsed="false">
      <c r="A819" s="51" t="n">
        <v>13421</v>
      </c>
      <c r="B819" s="53" t="n">
        <v>40846.5979166667</v>
      </c>
      <c r="C819" s="57" t="n">
        <f aca="false">INT($C$2)-INT(Table3[[#This Row],[Last Purchase Date]])</f>
        <v>41</v>
      </c>
      <c r="D819" s="1" t="n">
        <v>3</v>
      </c>
      <c r="E819" s="1" t="n">
        <v>1848.98</v>
      </c>
      <c r="F819" s="1" t="n">
        <f aca="false">ROUND((1-_xlfn.PERCENTRANK.INC($C$7:$C$4378,C819))*9,0)</f>
        <v>5</v>
      </c>
      <c r="G819" s="1" t="n">
        <f aca="false">ROUND(_xlfn.PERCENTRANK.INC($D$7:$D$4378,D819)*9,0)</f>
        <v>4</v>
      </c>
      <c r="H819" s="1" t="n">
        <f aca="false">ROUND(_xlfn.PERCENTRANK.INC($E$7:$E$4378,E819)*9,0)</f>
        <v>7</v>
      </c>
      <c r="I819" s="1" t="str">
        <f aca="false">CONCATENATE(F819,G819,H819)</f>
        <v>547</v>
      </c>
      <c r="J819" s="1" t="str">
        <f aca="false">_xlfn.IFS(AND(F819&gt;=8,G819&gt;=8,H819&gt;=8),"CHAMPION",AND(F819&gt;=6,G819&gt;=7,H819&gt;=6),"LOYAL CUSTOMER",AND(F819&gt;=6,G819&gt;=5,H819&gt;=5),"POTENTIAL LOYALIST",AND(F819&gt;=8,G819&lt;=2,H819&gt;=5),"NEW CUSTOMERS",AND(F819&gt;=6,G819&lt;=2,H819&gt;=3),"PROMISING",AND(F819&gt;=3,G819&gt;=3,H819&gt;=3),"NEED ATTENTION",AND(F819&lt;=4,G819&gt;=6,H819&gt;=6),"AT RISK",AND(F819&lt;=2,G819&gt;=8,H819&gt;=8),"CAN'T LOSE THEM",AND(F819&lt;=2,G819&lt;=2,H819&lt;=2),"HIBERNATING",TRUE(),"Other")</f>
        <v>NEED ATTENTION</v>
      </c>
      <c r="K819" s="1" t="n">
        <f aca="false">RANK(E819,$E$7:$E$4378)+COUNTIF($E$7:E819,E819)-1</f>
        <v>946</v>
      </c>
    </row>
    <row r="820" customFormat="false" ht="14.25" hidden="false" customHeight="true" outlineLevel="0" collapsed="false">
      <c r="A820" s="51" t="n">
        <v>13422</v>
      </c>
      <c r="B820" s="53" t="n">
        <v>40835.5729166667</v>
      </c>
      <c r="C820" s="57" t="n">
        <f aca="false">INT($C$2)-INT(Table3[[#This Row],[Last Purchase Date]])</f>
        <v>52</v>
      </c>
      <c r="D820" s="1" t="n">
        <v>2</v>
      </c>
      <c r="E820" s="1" t="n">
        <v>2601.55</v>
      </c>
      <c r="F820" s="1" t="n">
        <f aca="false">ROUND((1-_xlfn.PERCENTRANK.INC($C$7:$C$4378,C820))*9,0)</f>
        <v>4</v>
      </c>
      <c r="G820" s="1" t="n">
        <f aca="false">ROUND(_xlfn.PERCENTRANK.INC($D$7:$D$4378,D820)*9,0)</f>
        <v>3</v>
      </c>
      <c r="H820" s="1" t="n">
        <f aca="false">ROUND(_xlfn.PERCENTRANK.INC($E$7:$E$4378,E820)*9,0)</f>
        <v>8</v>
      </c>
      <c r="I820" s="1" t="str">
        <f aca="false">CONCATENATE(F820,G820,H820)</f>
        <v>438</v>
      </c>
      <c r="J820" s="1" t="str">
        <f aca="false">_xlfn.IFS(AND(F820&gt;=8,G820&gt;=8,H820&gt;=8),"CHAMPION",AND(F820&gt;=6,G820&gt;=7,H820&gt;=6),"LOYAL CUSTOMER",AND(F820&gt;=6,G820&gt;=5,H820&gt;=5),"POTENTIAL LOYALIST",AND(F820&gt;=8,G820&lt;=2,H820&gt;=5),"NEW CUSTOMERS",AND(F820&gt;=6,G820&lt;=2,H820&gt;=3),"PROMISING",AND(F820&gt;=3,G820&gt;=3,H820&gt;=3),"NEED ATTENTION",AND(F820&lt;=4,G820&gt;=6,H820&gt;=6),"AT RISK",AND(F820&lt;=2,G820&gt;=8,H820&gt;=8),"CAN'T LOSE THEM",AND(F820&lt;=2,G820&lt;=2,H820&lt;=2),"HIBERNATING",TRUE(),"Other")</f>
        <v>NEED ATTENTION</v>
      </c>
      <c r="K820" s="1" t="n">
        <f aca="false">RANK(E820,$E$7:$E$4378)+COUNTIF($E$7:E820,E820)-1</f>
        <v>647</v>
      </c>
    </row>
    <row r="821" customFormat="false" ht="14.25" hidden="false" customHeight="true" outlineLevel="0" collapsed="false">
      <c r="A821" s="51" t="n">
        <v>13425</v>
      </c>
      <c r="B821" s="53" t="n">
        <v>40778.7173611111</v>
      </c>
      <c r="C821" s="57" t="n">
        <f aca="false">INT($C$2)-INT(Table3[[#This Row],[Last Purchase Date]])</f>
        <v>109</v>
      </c>
      <c r="D821" s="1" t="n">
        <v>3</v>
      </c>
      <c r="E821" s="1" t="n">
        <v>1624.21</v>
      </c>
      <c r="F821" s="1" t="n">
        <f aca="false">ROUND((1-_xlfn.PERCENTRANK.INC($C$7:$C$4378,C821))*9,0)</f>
        <v>3</v>
      </c>
      <c r="G821" s="1" t="n">
        <f aca="false">ROUND(_xlfn.PERCENTRANK.INC($D$7:$D$4378,D821)*9,0)</f>
        <v>4</v>
      </c>
      <c r="H821" s="1" t="n">
        <f aca="false">ROUND(_xlfn.PERCENTRANK.INC($E$7:$E$4378,E821)*9,0)</f>
        <v>7</v>
      </c>
      <c r="I821" s="1" t="str">
        <f aca="false">CONCATENATE(F821,G821,H821)</f>
        <v>347</v>
      </c>
      <c r="J821" s="1" t="str">
        <f aca="false">_xlfn.IFS(AND(F821&gt;=8,G821&gt;=8,H821&gt;=8),"CHAMPION",AND(F821&gt;=6,G821&gt;=7,H821&gt;=6),"LOYAL CUSTOMER",AND(F821&gt;=6,G821&gt;=5,H821&gt;=5),"POTENTIAL LOYALIST",AND(F821&gt;=8,G821&lt;=2,H821&gt;=5),"NEW CUSTOMERS",AND(F821&gt;=6,G821&lt;=2,H821&gt;=3),"PROMISING",AND(F821&gt;=3,G821&gt;=3,H821&gt;=3),"NEED ATTENTION",AND(F821&lt;=4,G821&gt;=6,H821&gt;=6),"AT RISK",AND(F821&lt;=2,G821&gt;=8,H821&gt;=8),"CAN'T LOSE THEM",AND(F821&lt;=2,G821&lt;=2,H821&lt;=2),"HIBERNATING",TRUE(),"Other")</f>
        <v>NEED ATTENTION</v>
      </c>
      <c r="K821" s="1" t="n">
        <f aca="false">RANK(E821,$E$7:$E$4378)+COUNTIF($E$7:E821,E821)-1</f>
        <v>1083</v>
      </c>
    </row>
    <row r="822" customFormat="false" ht="14.25" hidden="false" customHeight="true" outlineLevel="0" collapsed="false">
      <c r="A822" s="51" t="n">
        <v>13426</v>
      </c>
      <c r="B822" s="53" t="n">
        <v>40886.3743055556</v>
      </c>
      <c r="C822" s="57" t="n">
        <f aca="false">INT($C$2)-INT(Table3[[#This Row],[Last Purchase Date]])</f>
        <v>1</v>
      </c>
      <c r="D822" s="1" t="n">
        <v>12</v>
      </c>
      <c r="E822" s="1" t="n">
        <v>3550.7</v>
      </c>
      <c r="F822" s="1" t="n">
        <f aca="false">ROUND((1-_xlfn.PERCENTRANK.INC($C$7:$C$4378,C822))*9,0)</f>
        <v>9</v>
      </c>
      <c r="G822" s="1" t="n">
        <f aca="false">ROUND(_xlfn.PERCENTRANK.INC($D$7:$D$4378,D822)*9,0)</f>
        <v>8</v>
      </c>
      <c r="H822" s="1" t="n">
        <f aca="false">ROUND(_xlfn.PERCENTRANK.INC($E$7:$E$4378,E822)*9,0)</f>
        <v>8</v>
      </c>
      <c r="I822" s="1" t="str">
        <f aca="false">CONCATENATE(F822,G822,H822)</f>
        <v>988</v>
      </c>
      <c r="J822" s="1" t="str">
        <f aca="false">_xlfn.IFS(AND(F822&gt;=8,G822&gt;=8,H822&gt;=8),"CHAMPION",AND(F822&gt;=6,G822&gt;=7,H822&gt;=6),"LOYAL CUSTOMER",AND(F822&gt;=6,G822&gt;=5,H822&gt;=5),"POTENTIAL LOYALIST",AND(F822&gt;=8,G822&lt;=2,H822&gt;=5),"NEW CUSTOMERS",AND(F822&gt;=6,G822&lt;=2,H822&gt;=3),"PROMISING",AND(F822&gt;=3,G822&gt;=3,H822&gt;=3),"NEED ATTENTION",AND(F822&lt;=4,G822&gt;=6,H822&gt;=6),"AT RISK",AND(F822&lt;=2,G822&gt;=8,H822&gt;=8),"CAN'T LOSE THEM",AND(F822&lt;=2,G822&lt;=2,H822&lt;=2),"HIBERNATING",TRUE(),"Other")</f>
        <v>CHAMPION</v>
      </c>
      <c r="K822" s="1" t="n">
        <f aca="false">RANK(E822,$E$7:$E$4378)+COUNTIF($E$7:E822,E822)-1</f>
        <v>427</v>
      </c>
    </row>
    <row r="823" customFormat="false" ht="14.25" hidden="false" customHeight="true" outlineLevel="0" collapsed="false">
      <c r="A823" s="51" t="n">
        <v>13427</v>
      </c>
      <c r="B823" s="53" t="n">
        <v>40867.5430555556</v>
      </c>
      <c r="C823" s="57" t="n">
        <f aca="false">INT($C$2)-INT(Table3[[#This Row],[Last Purchase Date]])</f>
        <v>20</v>
      </c>
      <c r="D823" s="1" t="n">
        <v>3</v>
      </c>
      <c r="E823" s="1" t="n">
        <v>582.6</v>
      </c>
      <c r="F823" s="1" t="n">
        <f aca="false">ROUND((1-_xlfn.PERCENTRANK.INC($C$7:$C$4378,C823))*9,0)</f>
        <v>6</v>
      </c>
      <c r="G823" s="1" t="n">
        <f aca="false">ROUND(_xlfn.PERCENTRANK.INC($D$7:$D$4378,D823)*9,0)</f>
        <v>4</v>
      </c>
      <c r="H823" s="1" t="n">
        <f aca="false">ROUND(_xlfn.PERCENTRANK.INC($E$7:$E$4378,E823)*9,0)</f>
        <v>4</v>
      </c>
      <c r="I823" s="1" t="str">
        <f aca="false">CONCATENATE(F823,G823,H823)</f>
        <v>644</v>
      </c>
      <c r="J823" s="1" t="str">
        <f aca="false">_xlfn.IFS(AND(F823&gt;=8,G823&gt;=8,H823&gt;=8),"CHAMPION",AND(F823&gt;=6,G823&gt;=7,H823&gt;=6),"LOYAL CUSTOMER",AND(F823&gt;=6,G823&gt;=5,H823&gt;=5),"POTENTIAL LOYALIST",AND(F823&gt;=8,G823&lt;=2,H823&gt;=5),"NEW CUSTOMERS",AND(F823&gt;=6,G823&lt;=2,H823&gt;=3),"PROMISING",AND(F823&gt;=3,G823&gt;=3,H823&gt;=3),"NEED ATTENTION",AND(F823&lt;=4,G823&gt;=6,H823&gt;=6),"AT RISK",AND(F823&lt;=2,G823&gt;=8,H823&gt;=8),"CAN'T LOSE THEM",AND(F823&lt;=2,G823&lt;=2,H823&lt;=2),"HIBERNATING",TRUE(),"Other")</f>
        <v>NEED ATTENTION</v>
      </c>
      <c r="K823" s="1" t="n">
        <f aca="false">RANK(E823,$E$7:$E$4378)+COUNTIF($E$7:E823,E823)-1</f>
        <v>2365</v>
      </c>
    </row>
    <row r="824" customFormat="false" ht="14.25" hidden="false" customHeight="true" outlineLevel="0" collapsed="false">
      <c r="A824" s="51" t="n">
        <v>13428</v>
      </c>
      <c r="B824" s="53" t="n">
        <v>40876.5972222222</v>
      </c>
      <c r="C824" s="57" t="n">
        <f aca="false">INT($C$2)-INT(Table3[[#This Row],[Last Purchase Date]])</f>
        <v>11</v>
      </c>
      <c r="D824" s="1" t="n">
        <v>1</v>
      </c>
      <c r="E824" s="1" t="n">
        <v>218.47</v>
      </c>
      <c r="F824" s="1" t="n">
        <f aca="false">ROUND((1-_xlfn.PERCENTRANK.INC($C$7:$C$4378,C824))*9,0)</f>
        <v>7</v>
      </c>
      <c r="G824" s="1" t="n">
        <f aca="false">ROUND(_xlfn.PERCENTRANK.INC($D$7:$D$4378,D824)*9,0)</f>
        <v>0</v>
      </c>
      <c r="H824" s="1" t="n">
        <f aca="false">ROUND(_xlfn.PERCENTRANK.INC($E$7:$E$4378,E824)*9,0)</f>
        <v>2</v>
      </c>
      <c r="I824" s="1" t="str">
        <f aca="false">CONCATENATE(F824,G824,H824)</f>
        <v>702</v>
      </c>
      <c r="J824" s="1" t="str">
        <f aca="false">_xlfn.IFS(AND(F824&gt;=8,G824&gt;=8,H824&gt;=8),"CHAMPION",AND(F824&gt;=6,G824&gt;=7,H824&gt;=6),"LOYAL CUSTOMER",AND(F824&gt;=6,G824&gt;=5,H824&gt;=5),"POTENTIAL LOYALIST",AND(F824&gt;=8,G824&lt;=2,H824&gt;=5),"NEW CUSTOMERS",AND(F824&gt;=6,G824&lt;=2,H824&gt;=3),"PROMISING",AND(F824&gt;=3,G824&gt;=3,H824&gt;=3),"NEED ATTENTION",AND(F824&lt;=4,G824&gt;=6,H824&gt;=6),"AT RISK",AND(F824&lt;=2,G824&gt;=8,H824&gt;=8),"CAN'T LOSE THEM",AND(F824&lt;=2,G824&lt;=2,H824&lt;=2),"HIBERNATING",TRUE(),"Other")</f>
        <v>Other</v>
      </c>
      <c r="K824" s="1" t="n">
        <f aca="false">RANK(E824,$E$7:$E$4378)+COUNTIF($E$7:E824,E824)-1</f>
        <v>3568</v>
      </c>
    </row>
    <row r="825" customFormat="false" ht="14.25" hidden="false" customHeight="true" outlineLevel="0" collapsed="false">
      <c r="A825" s="51" t="n">
        <v>13429</v>
      </c>
      <c r="B825" s="53" t="n">
        <v>40876.3819444445</v>
      </c>
      <c r="C825" s="57" t="n">
        <f aca="false">INT($C$2)-INT(Table3[[#This Row],[Last Purchase Date]])</f>
        <v>11</v>
      </c>
      <c r="D825" s="1" t="n">
        <v>4</v>
      </c>
      <c r="E825" s="1" t="n">
        <v>1006.8</v>
      </c>
      <c r="F825" s="1" t="n">
        <f aca="false">ROUND((1-_xlfn.PERCENTRANK.INC($C$7:$C$4378,C825))*9,0)</f>
        <v>7</v>
      </c>
      <c r="G825" s="1" t="n">
        <f aca="false">ROUND(_xlfn.PERCENTRANK.INC($D$7:$D$4378,D825)*9,0)</f>
        <v>5</v>
      </c>
      <c r="H825" s="1" t="n">
        <f aca="false">ROUND(_xlfn.PERCENTRANK.INC($E$7:$E$4378,E825)*9,0)</f>
        <v>6</v>
      </c>
      <c r="I825" s="1" t="str">
        <f aca="false">CONCATENATE(F825,G825,H825)</f>
        <v>756</v>
      </c>
      <c r="J825" s="1" t="str">
        <f aca="false">_xlfn.IFS(AND(F825&gt;=8,G825&gt;=8,H825&gt;=8),"CHAMPION",AND(F825&gt;=6,G825&gt;=7,H825&gt;=6),"LOYAL CUSTOMER",AND(F825&gt;=6,G825&gt;=5,H825&gt;=5),"POTENTIAL LOYALIST",AND(F825&gt;=8,G825&lt;=2,H825&gt;=5),"NEW CUSTOMERS",AND(F825&gt;=6,G825&lt;=2,H825&gt;=3),"PROMISING",AND(F825&gt;=3,G825&gt;=3,H825&gt;=3),"NEED ATTENTION",AND(F825&lt;=4,G825&gt;=6,H825&gt;=6),"AT RISK",AND(F825&lt;=2,G825&gt;=8,H825&gt;=8),"CAN'T LOSE THEM",AND(F825&lt;=2,G825&lt;=2,H825&lt;=2),"HIBERNATING",TRUE(),"Other")</f>
        <v>POTENTIAL LOYALIST</v>
      </c>
      <c r="K825" s="1" t="n">
        <f aca="false">RANK(E825,$E$7:$E$4378)+COUNTIF($E$7:E825,E825)-1</f>
        <v>1624</v>
      </c>
    </row>
    <row r="826" customFormat="false" ht="14.25" hidden="false" customHeight="true" outlineLevel="0" collapsed="false">
      <c r="A826" s="51" t="n">
        <v>13430</v>
      </c>
      <c r="B826" s="53" t="n">
        <v>40868.3465277778</v>
      </c>
      <c r="C826" s="57" t="n">
        <f aca="false">INT($C$2)-INT(Table3[[#This Row],[Last Purchase Date]])</f>
        <v>19</v>
      </c>
      <c r="D826" s="1" t="n">
        <v>4</v>
      </c>
      <c r="E826" s="1" t="n">
        <v>648.69</v>
      </c>
      <c r="F826" s="1" t="n">
        <f aca="false">ROUND((1-_xlfn.PERCENTRANK.INC($C$7:$C$4378,C826))*9,0)</f>
        <v>7</v>
      </c>
      <c r="G826" s="1" t="n">
        <f aca="false">ROUND(_xlfn.PERCENTRANK.INC($D$7:$D$4378,D826)*9,0)</f>
        <v>5</v>
      </c>
      <c r="H826" s="1" t="n">
        <f aca="false">ROUND(_xlfn.PERCENTRANK.INC($E$7:$E$4378,E826)*9,0)</f>
        <v>5</v>
      </c>
      <c r="I826" s="1" t="str">
        <f aca="false">CONCATENATE(F826,G826,H826)</f>
        <v>755</v>
      </c>
      <c r="J826" s="1" t="str">
        <f aca="false">_xlfn.IFS(AND(F826&gt;=8,G826&gt;=8,H826&gt;=8),"CHAMPION",AND(F826&gt;=6,G826&gt;=7,H826&gt;=6),"LOYAL CUSTOMER",AND(F826&gt;=6,G826&gt;=5,H826&gt;=5),"POTENTIAL LOYALIST",AND(F826&gt;=8,G826&lt;=2,H826&gt;=5),"NEW CUSTOMERS",AND(F826&gt;=6,G826&lt;=2,H826&gt;=3),"PROMISING",AND(F826&gt;=3,G826&gt;=3,H826&gt;=3),"NEED ATTENTION",AND(F826&lt;=4,G826&gt;=6,H826&gt;=6),"AT RISK",AND(F826&lt;=2,G826&gt;=8,H826&gt;=8),"CAN'T LOSE THEM",AND(F826&lt;=2,G826&lt;=2,H826&lt;=2),"HIBERNATING",TRUE(),"Other")</f>
        <v>POTENTIAL LOYALIST</v>
      </c>
      <c r="K826" s="1" t="n">
        <f aca="false">RANK(E826,$E$7:$E$4378)+COUNTIF($E$7:E826,E826)-1</f>
        <v>2185</v>
      </c>
    </row>
    <row r="827" customFormat="false" ht="14.25" hidden="false" customHeight="true" outlineLevel="0" collapsed="false">
      <c r="A827" s="51" t="n">
        <v>13431</v>
      </c>
      <c r="B827" s="53" t="n">
        <v>40819.5756944444</v>
      </c>
      <c r="C827" s="57" t="n">
        <f aca="false">INT($C$2)-INT(Table3[[#This Row],[Last Purchase Date]])</f>
        <v>68</v>
      </c>
      <c r="D827" s="1" t="n">
        <v>2</v>
      </c>
      <c r="E827" s="1" t="n">
        <v>1269.1</v>
      </c>
      <c r="F827" s="1" t="n">
        <f aca="false">ROUND((1-_xlfn.PERCENTRANK.INC($C$7:$C$4378,C827))*9,0)</f>
        <v>4</v>
      </c>
      <c r="G827" s="1" t="n">
        <f aca="false">ROUND(_xlfn.PERCENTRANK.INC($D$7:$D$4378,D827)*9,0)</f>
        <v>3</v>
      </c>
      <c r="H827" s="1" t="n">
        <f aca="false">ROUND(_xlfn.PERCENTRANK.INC($E$7:$E$4378,E827)*9,0)</f>
        <v>6</v>
      </c>
      <c r="I827" s="1" t="str">
        <f aca="false">CONCATENATE(F827,G827,H827)</f>
        <v>436</v>
      </c>
      <c r="J827" s="1" t="str">
        <f aca="false">_xlfn.IFS(AND(F827&gt;=8,G827&gt;=8,H827&gt;=8),"CHAMPION",AND(F827&gt;=6,G827&gt;=7,H827&gt;=6),"LOYAL CUSTOMER",AND(F827&gt;=6,G827&gt;=5,H827&gt;=5),"POTENTIAL LOYALIST",AND(F827&gt;=8,G827&lt;=2,H827&gt;=5),"NEW CUSTOMERS",AND(F827&gt;=6,G827&lt;=2,H827&gt;=3),"PROMISING",AND(F827&gt;=3,G827&gt;=3,H827&gt;=3),"NEED ATTENTION",AND(F827&lt;=4,G827&gt;=6,H827&gt;=6),"AT RISK",AND(F827&lt;=2,G827&gt;=8,H827&gt;=8),"CAN'T LOSE THEM",AND(F827&lt;=2,G827&lt;=2,H827&lt;=2),"HIBERNATING",TRUE(),"Other")</f>
        <v>NEED ATTENTION</v>
      </c>
      <c r="K827" s="1" t="n">
        <f aca="false">RANK(E827,$E$7:$E$4378)+COUNTIF($E$7:E827,E827)-1</f>
        <v>1353</v>
      </c>
    </row>
    <row r="828" customFormat="false" ht="14.25" hidden="false" customHeight="true" outlineLevel="0" collapsed="false">
      <c r="A828" s="51" t="n">
        <v>13434</v>
      </c>
      <c r="B828" s="53" t="n">
        <v>40812.6041666667</v>
      </c>
      <c r="C828" s="57" t="n">
        <f aca="false">INT($C$2)-INT(Table3[[#This Row],[Last Purchase Date]])</f>
        <v>75</v>
      </c>
      <c r="D828" s="1" t="n">
        <v>2</v>
      </c>
      <c r="E828" s="1" t="n">
        <v>534.24</v>
      </c>
      <c r="F828" s="1" t="n">
        <f aca="false">ROUND((1-_xlfn.PERCENTRANK.INC($C$7:$C$4378,C828))*9,0)</f>
        <v>3</v>
      </c>
      <c r="G828" s="1" t="n">
        <f aca="false">ROUND(_xlfn.PERCENTRANK.INC($D$7:$D$4378,D828)*9,0)</f>
        <v>3</v>
      </c>
      <c r="H828" s="1" t="n">
        <f aca="false">ROUND(_xlfn.PERCENTRANK.INC($E$7:$E$4378,E828)*9,0)</f>
        <v>4</v>
      </c>
      <c r="I828" s="1" t="str">
        <f aca="false">CONCATENATE(F828,G828,H828)</f>
        <v>334</v>
      </c>
      <c r="J828" s="1" t="str">
        <f aca="false">_xlfn.IFS(AND(F828&gt;=8,G828&gt;=8,H828&gt;=8),"CHAMPION",AND(F828&gt;=6,G828&gt;=7,H828&gt;=6),"LOYAL CUSTOMER",AND(F828&gt;=6,G828&gt;=5,H828&gt;=5),"POTENTIAL LOYALIST",AND(F828&gt;=8,G828&lt;=2,H828&gt;=5),"NEW CUSTOMERS",AND(F828&gt;=6,G828&lt;=2,H828&gt;=3),"PROMISING",AND(F828&gt;=3,G828&gt;=3,H828&gt;=3),"NEED ATTENTION",AND(F828&lt;=4,G828&gt;=6,H828&gt;=6),"AT RISK",AND(F828&lt;=2,G828&gt;=8,H828&gt;=8),"CAN'T LOSE THEM",AND(F828&lt;=2,G828&lt;=2,H828&lt;=2),"HIBERNATING",TRUE(),"Other")</f>
        <v>NEED ATTENTION</v>
      </c>
      <c r="K828" s="1" t="n">
        <f aca="false">RANK(E828,$E$7:$E$4378)+COUNTIF($E$7:E828,E828)-1</f>
        <v>2474</v>
      </c>
    </row>
    <row r="829" customFormat="false" ht="14.25" hidden="false" customHeight="true" outlineLevel="0" collapsed="false">
      <c r="A829" s="51" t="n">
        <v>13435</v>
      </c>
      <c r="B829" s="53" t="n">
        <v>40881.6243055556</v>
      </c>
      <c r="C829" s="57" t="n">
        <f aca="false">INT($C$2)-INT(Table3[[#This Row],[Last Purchase Date]])</f>
        <v>6</v>
      </c>
      <c r="D829" s="1" t="n">
        <v>9</v>
      </c>
      <c r="E829" s="1" t="n">
        <v>3794.49</v>
      </c>
      <c r="F829" s="1" t="n">
        <f aca="false">ROUND((1-_xlfn.PERCENTRANK.INC($C$7:$C$4378,C829))*9,0)</f>
        <v>8</v>
      </c>
      <c r="G829" s="1" t="n">
        <f aca="false">ROUND(_xlfn.PERCENTRANK.INC($D$7:$D$4378,D829)*9,0)</f>
        <v>8</v>
      </c>
      <c r="H829" s="1" t="n">
        <f aca="false">ROUND(_xlfn.PERCENTRANK.INC($E$7:$E$4378,E829)*9,0)</f>
        <v>8</v>
      </c>
      <c r="I829" s="1" t="str">
        <f aca="false">CONCATENATE(F829,G829,H829)</f>
        <v>888</v>
      </c>
      <c r="J829" s="1" t="str">
        <f aca="false">_xlfn.IFS(AND(F829&gt;=8,G829&gt;=8,H829&gt;=8),"CHAMPION",AND(F829&gt;=6,G829&gt;=7,H829&gt;=6),"LOYAL CUSTOMER",AND(F829&gt;=6,G829&gt;=5,H829&gt;=5),"POTENTIAL LOYALIST",AND(F829&gt;=8,G829&lt;=2,H829&gt;=5),"NEW CUSTOMERS",AND(F829&gt;=6,G829&lt;=2,H829&gt;=3),"PROMISING",AND(F829&gt;=3,G829&gt;=3,H829&gt;=3),"NEED ATTENTION",AND(F829&lt;=4,G829&gt;=6,H829&gt;=6),"AT RISK",AND(F829&lt;=2,G829&gt;=8,H829&gt;=8),"CAN'T LOSE THEM",AND(F829&lt;=2,G829&lt;=2,H829&lt;=2),"HIBERNATING",TRUE(),"Other")</f>
        <v>CHAMPION</v>
      </c>
      <c r="K829" s="1" t="n">
        <f aca="false">RANK(E829,$E$7:$E$4378)+COUNTIF($E$7:E829,E829)-1</f>
        <v>386</v>
      </c>
    </row>
    <row r="830" customFormat="false" ht="14.25" hidden="false" customHeight="true" outlineLevel="0" collapsed="false">
      <c r="A830" s="51" t="n">
        <v>13436</v>
      </c>
      <c r="B830" s="53" t="n">
        <v>40885.4395833333</v>
      </c>
      <c r="C830" s="57" t="n">
        <f aca="false">INT($C$2)-INT(Table3[[#This Row],[Last Purchase Date]])</f>
        <v>2</v>
      </c>
      <c r="D830" s="1" t="n">
        <v>1</v>
      </c>
      <c r="E830" s="1" t="n">
        <v>196.89</v>
      </c>
      <c r="F830" s="1" t="n">
        <f aca="false">ROUND((1-_xlfn.PERCENTRANK.INC($C$7:$C$4378,C830))*9,0)</f>
        <v>9</v>
      </c>
      <c r="G830" s="1" t="n">
        <f aca="false">ROUND(_xlfn.PERCENTRANK.INC($D$7:$D$4378,D830)*9,0)</f>
        <v>0</v>
      </c>
      <c r="H830" s="1" t="n">
        <f aca="false">ROUND(_xlfn.PERCENTRANK.INC($E$7:$E$4378,E830)*9,0)</f>
        <v>1</v>
      </c>
      <c r="I830" s="1" t="str">
        <f aca="false">CONCATENATE(F830,G830,H830)</f>
        <v>901</v>
      </c>
      <c r="J830" s="1" t="str">
        <f aca="false">_xlfn.IFS(AND(F830&gt;=8,G830&gt;=8,H830&gt;=8),"CHAMPION",AND(F830&gt;=6,G830&gt;=7,H830&gt;=6),"LOYAL CUSTOMER",AND(F830&gt;=6,G830&gt;=5,H830&gt;=5),"POTENTIAL LOYALIST",AND(F830&gt;=8,G830&lt;=2,H830&gt;=5),"NEW CUSTOMERS",AND(F830&gt;=6,G830&lt;=2,H830&gt;=3),"PROMISING",AND(F830&gt;=3,G830&gt;=3,H830&gt;=3),"NEED ATTENTION",AND(F830&lt;=4,G830&gt;=6,H830&gt;=6),"AT RISK",AND(F830&lt;=2,G830&gt;=8,H830&gt;=8),"CAN'T LOSE THEM",AND(F830&lt;=2,G830&lt;=2,H830&lt;=2),"HIBERNATING",TRUE(),"Other")</f>
        <v>Other</v>
      </c>
      <c r="K830" s="1" t="n">
        <f aca="false">RANK(E830,$E$7:$E$4378)+COUNTIF($E$7:E830,E830)-1</f>
        <v>3677</v>
      </c>
    </row>
    <row r="831" customFormat="false" ht="14.25" hidden="false" customHeight="true" outlineLevel="0" collapsed="false">
      <c r="A831" s="51" t="n">
        <v>13437</v>
      </c>
      <c r="B831" s="53" t="n">
        <v>40872.5833333333</v>
      </c>
      <c r="C831" s="57" t="n">
        <f aca="false">INT($C$2)-INT(Table3[[#This Row],[Last Purchase Date]])</f>
        <v>15</v>
      </c>
      <c r="D831" s="1" t="n">
        <v>7</v>
      </c>
      <c r="E831" s="1" t="n">
        <v>3408.06</v>
      </c>
      <c r="F831" s="1" t="n">
        <f aca="false">ROUND((1-_xlfn.PERCENTRANK.INC($C$7:$C$4378,C831))*9,0)</f>
        <v>7</v>
      </c>
      <c r="G831" s="1" t="n">
        <f aca="false">ROUND(_xlfn.PERCENTRANK.INC($D$7:$D$4378,D831)*9,0)</f>
        <v>7</v>
      </c>
      <c r="H831" s="1" t="n">
        <f aca="false">ROUND(_xlfn.PERCENTRANK.INC($E$7:$E$4378,E831)*9,0)</f>
        <v>8</v>
      </c>
      <c r="I831" s="1" t="str">
        <f aca="false">CONCATENATE(F831,G831,H831)</f>
        <v>778</v>
      </c>
      <c r="J831" s="1" t="str">
        <f aca="false">_xlfn.IFS(AND(F831&gt;=8,G831&gt;=8,H831&gt;=8),"CHAMPION",AND(F831&gt;=6,G831&gt;=7,H831&gt;=6),"LOYAL CUSTOMER",AND(F831&gt;=6,G831&gt;=5,H831&gt;=5),"POTENTIAL LOYALIST",AND(F831&gt;=8,G831&lt;=2,H831&gt;=5),"NEW CUSTOMERS",AND(F831&gt;=6,G831&lt;=2,H831&gt;=3),"PROMISING",AND(F831&gt;=3,G831&gt;=3,H831&gt;=3),"NEED ATTENTION",AND(F831&lt;=4,G831&gt;=6,H831&gt;=6),"AT RISK",AND(F831&lt;=2,G831&gt;=8,H831&gt;=8),"CAN'T LOSE THEM",AND(F831&lt;=2,G831&lt;=2,H831&lt;=2),"HIBERNATING",TRUE(),"Other")</f>
        <v>LOYAL CUSTOMER</v>
      </c>
      <c r="K831" s="1" t="n">
        <f aca="false">RANK(E831,$E$7:$E$4378)+COUNTIF($E$7:E831,E831)-1</f>
        <v>459</v>
      </c>
    </row>
    <row r="832" customFormat="false" ht="14.25" hidden="false" customHeight="true" outlineLevel="0" collapsed="false">
      <c r="A832" s="51" t="n">
        <v>13439</v>
      </c>
      <c r="B832" s="53" t="n">
        <v>40631.5972222222</v>
      </c>
      <c r="C832" s="57" t="n">
        <f aca="false">INT($C$2)-INT(Table3[[#This Row],[Last Purchase Date]])</f>
        <v>256</v>
      </c>
      <c r="D832" s="1" t="n">
        <v>1</v>
      </c>
      <c r="E832" s="1" t="n">
        <v>283.71</v>
      </c>
      <c r="F832" s="1" t="n">
        <f aca="false">ROUND((1-_xlfn.PERCENTRANK.INC($C$7:$C$4378,C832))*9,0)</f>
        <v>1</v>
      </c>
      <c r="G832" s="1" t="n">
        <f aca="false">ROUND(_xlfn.PERCENTRANK.INC($D$7:$D$4378,D832)*9,0)</f>
        <v>0</v>
      </c>
      <c r="H832" s="1" t="n">
        <f aca="false">ROUND(_xlfn.PERCENTRANK.INC($E$7:$E$4378,E832)*9,0)</f>
        <v>2</v>
      </c>
      <c r="I832" s="1" t="str">
        <f aca="false">CONCATENATE(F832,G832,H832)</f>
        <v>102</v>
      </c>
      <c r="J832" s="1" t="str">
        <f aca="false">_xlfn.IFS(AND(F832&gt;=8,G832&gt;=8,H832&gt;=8),"CHAMPION",AND(F832&gt;=6,G832&gt;=7,H832&gt;=6),"LOYAL CUSTOMER",AND(F832&gt;=6,G832&gt;=5,H832&gt;=5),"POTENTIAL LOYALIST",AND(F832&gt;=8,G832&lt;=2,H832&gt;=5),"NEW CUSTOMERS",AND(F832&gt;=6,G832&lt;=2,H832&gt;=3),"PROMISING",AND(F832&gt;=3,G832&gt;=3,H832&gt;=3),"NEED ATTENTION",AND(F832&lt;=4,G832&gt;=6,H832&gt;=6),"AT RISK",AND(F832&lt;=2,G832&gt;=8,H832&gt;=8),"CAN'T LOSE THEM",AND(F832&lt;=2,G832&lt;=2,H832&lt;=2),"HIBERNATING",TRUE(),"Other")</f>
        <v>HIBERNATING</v>
      </c>
      <c r="K832" s="1" t="n">
        <f aca="false">RANK(E832,$E$7:$E$4378)+COUNTIF($E$7:E832,E832)-1</f>
        <v>3314</v>
      </c>
    </row>
    <row r="833" customFormat="false" ht="14.25" hidden="false" customHeight="true" outlineLevel="0" collapsed="false">
      <c r="A833" s="51" t="n">
        <v>13441</v>
      </c>
      <c r="B833" s="53" t="n">
        <v>40795.4013888889</v>
      </c>
      <c r="C833" s="57" t="n">
        <f aca="false">INT($C$2)-INT(Table3[[#This Row],[Last Purchase Date]])</f>
        <v>92</v>
      </c>
      <c r="D833" s="1" t="n">
        <v>1</v>
      </c>
      <c r="E833" s="1" t="n">
        <v>296.64</v>
      </c>
      <c r="F833" s="1" t="n">
        <f aca="false">ROUND((1-_xlfn.PERCENTRANK.INC($C$7:$C$4378,C833))*9,0)</f>
        <v>3</v>
      </c>
      <c r="G833" s="1" t="n">
        <f aca="false">ROUND(_xlfn.PERCENTRANK.INC($D$7:$D$4378,D833)*9,0)</f>
        <v>0</v>
      </c>
      <c r="H833" s="1" t="n">
        <f aca="false">ROUND(_xlfn.PERCENTRANK.INC($E$7:$E$4378,E833)*9,0)</f>
        <v>2</v>
      </c>
      <c r="I833" s="1" t="str">
        <f aca="false">CONCATENATE(F833,G833,H833)</f>
        <v>302</v>
      </c>
      <c r="J833" s="1" t="str">
        <f aca="false">_xlfn.IFS(AND(F833&gt;=8,G833&gt;=8,H833&gt;=8),"CHAMPION",AND(F833&gt;=6,G833&gt;=7,H833&gt;=6),"LOYAL CUSTOMER",AND(F833&gt;=6,G833&gt;=5,H833&gt;=5),"POTENTIAL LOYALIST",AND(F833&gt;=8,G833&lt;=2,H833&gt;=5),"NEW CUSTOMERS",AND(F833&gt;=6,G833&lt;=2,H833&gt;=3),"PROMISING",AND(F833&gt;=3,G833&gt;=3,H833&gt;=3),"NEED ATTENTION",AND(F833&lt;=4,G833&gt;=6,H833&gt;=6),"AT RISK",AND(F833&lt;=2,G833&gt;=8,H833&gt;=8),"CAN'T LOSE THEM",AND(F833&lt;=2,G833&lt;=2,H833&lt;=2),"HIBERNATING",TRUE(),"Other")</f>
        <v>Other</v>
      </c>
      <c r="K833" s="1" t="n">
        <f aca="false">RANK(E833,$E$7:$E$4378)+COUNTIF($E$7:E833,E833)-1</f>
        <v>3270</v>
      </c>
    </row>
    <row r="834" customFormat="false" ht="14.25" hidden="false" customHeight="true" outlineLevel="0" collapsed="false">
      <c r="A834" s="51" t="n">
        <v>13447</v>
      </c>
      <c r="B834" s="53" t="n">
        <v>40863.5680555556</v>
      </c>
      <c r="C834" s="57" t="n">
        <f aca="false">INT($C$2)-INT(Table3[[#This Row],[Last Purchase Date]])</f>
        <v>24</v>
      </c>
      <c r="D834" s="1" t="n">
        <v>4</v>
      </c>
      <c r="E834" s="1" t="n">
        <v>1104.23</v>
      </c>
      <c r="F834" s="1" t="n">
        <f aca="false">ROUND((1-_xlfn.PERCENTRANK.INC($C$7:$C$4378,C834))*9,0)</f>
        <v>6</v>
      </c>
      <c r="G834" s="1" t="n">
        <f aca="false">ROUND(_xlfn.PERCENTRANK.INC($D$7:$D$4378,D834)*9,0)</f>
        <v>5</v>
      </c>
      <c r="H834" s="1" t="n">
        <f aca="false">ROUND(_xlfn.PERCENTRANK.INC($E$7:$E$4378,E834)*9,0)</f>
        <v>6</v>
      </c>
      <c r="I834" s="1" t="str">
        <f aca="false">CONCATENATE(F834,G834,H834)</f>
        <v>656</v>
      </c>
      <c r="J834" s="1" t="str">
        <f aca="false">_xlfn.IFS(AND(F834&gt;=8,G834&gt;=8,H834&gt;=8),"CHAMPION",AND(F834&gt;=6,G834&gt;=7,H834&gt;=6),"LOYAL CUSTOMER",AND(F834&gt;=6,G834&gt;=5,H834&gt;=5),"POTENTIAL LOYALIST",AND(F834&gt;=8,G834&lt;=2,H834&gt;=5),"NEW CUSTOMERS",AND(F834&gt;=6,G834&lt;=2,H834&gt;=3),"PROMISING",AND(F834&gt;=3,G834&gt;=3,H834&gt;=3),"NEED ATTENTION",AND(F834&lt;=4,G834&gt;=6,H834&gt;=6),"AT RISK",AND(F834&lt;=2,G834&gt;=8,H834&gt;=8),"CAN'T LOSE THEM",AND(F834&lt;=2,G834&lt;=2,H834&lt;=2),"HIBERNATING",TRUE(),"Other")</f>
        <v>POTENTIAL LOYALIST</v>
      </c>
      <c r="K834" s="1" t="n">
        <f aca="false">RANK(E834,$E$7:$E$4378)+COUNTIF($E$7:E834,E834)-1</f>
        <v>1506</v>
      </c>
    </row>
    <row r="835" customFormat="false" ht="14.25" hidden="false" customHeight="true" outlineLevel="0" collapsed="false">
      <c r="A835" s="51" t="n">
        <v>13448</v>
      </c>
      <c r="B835" s="53" t="n">
        <v>40870.5229166667</v>
      </c>
      <c r="C835" s="57" t="n">
        <f aca="false">INT($C$2)-INT(Table3[[#This Row],[Last Purchase Date]])</f>
        <v>17</v>
      </c>
      <c r="D835" s="1" t="n">
        <v>10</v>
      </c>
      <c r="E835" s="1" t="n">
        <v>3465.67</v>
      </c>
      <c r="F835" s="1" t="n">
        <f aca="false">ROUND((1-_xlfn.PERCENTRANK.INC($C$7:$C$4378,C835))*9,0)</f>
        <v>7</v>
      </c>
      <c r="G835" s="1" t="n">
        <f aca="false">ROUND(_xlfn.PERCENTRANK.INC($D$7:$D$4378,D835)*9,0)</f>
        <v>8</v>
      </c>
      <c r="H835" s="1" t="n">
        <f aca="false">ROUND(_xlfn.PERCENTRANK.INC($E$7:$E$4378,E835)*9,0)</f>
        <v>8</v>
      </c>
      <c r="I835" s="1" t="str">
        <f aca="false">CONCATENATE(F835,G835,H835)</f>
        <v>788</v>
      </c>
      <c r="J835" s="1" t="str">
        <f aca="false">_xlfn.IFS(AND(F835&gt;=8,G835&gt;=8,H835&gt;=8),"CHAMPION",AND(F835&gt;=6,G835&gt;=7,H835&gt;=6),"LOYAL CUSTOMER",AND(F835&gt;=6,G835&gt;=5,H835&gt;=5),"POTENTIAL LOYALIST",AND(F835&gt;=8,G835&lt;=2,H835&gt;=5),"NEW CUSTOMERS",AND(F835&gt;=6,G835&lt;=2,H835&gt;=3),"PROMISING",AND(F835&gt;=3,G835&gt;=3,H835&gt;=3),"NEED ATTENTION",AND(F835&lt;=4,G835&gt;=6,H835&gt;=6),"AT RISK",AND(F835&lt;=2,G835&gt;=8,H835&gt;=8),"CAN'T LOSE THEM",AND(F835&lt;=2,G835&lt;=2,H835&lt;=2),"HIBERNATING",TRUE(),"Other")</f>
        <v>LOYAL CUSTOMER</v>
      </c>
      <c r="K835" s="1" t="n">
        <f aca="false">RANK(E835,$E$7:$E$4378)+COUNTIF($E$7:E835,E835)-1</f>
        <v>445</v>
      </c>
    </row>
    <row r="836" customFormat="false" ht="14.25" hidden="false" customHeight="true" outlineLevel="0" collapsed="false">
      <c r="A836" s="51" t="n">
        <v>13449</v>
      </c>
      <c r="B836" s="53" t="n">
        <v>40863.3527777778</v>
      </c>
      <c r="C836" s="57" t="n">
        <f aca="false">INT($C$2)-INT(Table3[[#This Row],[Last Purchase Date]])</f>
        <v>24</v>
      </c>
      <c r="D836" s="1" t="n">
        <v>1</v>
      </c>
      <c r="E836" s="1" t="n">
        <v>291.88</v>
      </c>
      <c r="F836" s="1" t="n">
        <f aca="false">ROUND((1-_xlfn.PERCENTRANK.INC($C$7:$C$4378,C836))*9,0)</f>
        <v>6</v>
      </c>
      <c r="G836" s="1" t="n">
        <f aca="false">ROUND(_xlfn.PERCENTRANK.INC($D$7:$D$4378,D836)*9,0)</f>
        <v>0</v>
      </c>
      <c r="H836" s="1" t="n">
        <f aca="false">ROUND(_xlfn.PERCENTRANK.INC($E$7:$E$4378,E836)*9,0)</f>
        <v>2</v>
      </c>
      <c r="I836" s="1" t="str">
        <f aca="false">CONCATENATE(F836,G836,H836)</f>
        <v>602</v>
      </c>
      <c r="J836" s="1" t="str">
        <f aca="false">_xlfn.IFS(AND(F836&gt;=8,G836&gt;=8,H836&gt;=8),"CHAMPION",AND(F836&gt;=6,G836&gt;=7,H836&gt;=6),"LOYAL CUSTOMER",AND(F836&gt;=6,G836&gt;=5,H836&gt;=5),"POTENTIAL LOYALIST",AND(F836&gt;=8,G836&lt;=2,H836&gt;=5),"NEW CUSTOMERS",AND(F836&gt;=6,G836&lt;=2,H836&gt;=3),"PROMISING",AND(F836&gt;=3,G836&gt;=3,H836&gt;=3),"NEED ATTENTION",AND(F836&lt;=4,G836&gt;=6,H836&gt;=6),"AT RISK",AND(F836&lt;=2,G836&gt;=8,H836&gt;=8),"CAN'T LOSE THEM",AND(F836&lt;=2,G836&lt;=2,H836&lt;=2),"HIBERNATING",TRUE(),"Other")</f>
        <v>Other</v>
      </c>
      <c r="K836" s="1" t="n">
        <f aca="false">RANK(E836,$E$7:$E$4378)+COUNTIF($E$7:E836,E836)-1</f>
        <v>3286</v>
      </c>
    </row>
    <row r="837" customFormat="false" ht="14.25" hidden="false" customHeight="true" outlineLevel="0" collapsed="false">
      <c r="A837" s="51" t="n">
        <v>13450</v>
      </c>
      <c r="B837" s="53" t="n">
        <v>40860.4958333333</v>
      </c>
      <c r="C837" s="57" t="n">
        <f aca="false">INT($C$2)-INT(Table3[[#This Row],[Last Purchase Date]])</f>
        <v>27</v>
      </c>
      <c r="D837" s="1" t="n">
        <v>6</v>
      </c>
      <c r="E837" s="1" t="n">
        <v>2043.72</v>
      </c>
      <c r="F837" s="1" t="n">
        <f aca="false">ROUND((1-_xlfn.PERCENTRANK.INC($C$7:$C$4378,C837))*9,0)</f>
        <v>6</v>
      </c>
      <c r="G837" s="1" t="n">
        <f aca="false">ROUND(_xlfn.PERCENTRANK.INC($D$7:$D$4378,D837)*9,0)</f>
        <v>7</v>
      </c>
      <c r="H837" s="1" t="n">
        <f aca="false">ROUND(_xlfn.PERCENTRANK.INC($E$7:$E$4378,E837)*9,0)</f>
        <v>7</v>
      </c>
      <c r="I837" s="1" t="str">
        <f aca="false">CONCATENATE(F837,G837,H837)</f>
        <v>677</v>
      </c>
      <c r="J837" s="1" t="str">
        <f aca="false">_xlfn.IFS(AND(F837&gt;=8,G837&gt;=8,H837&gt;=8),"CHAMPION",AND(F837&gt;=6,G837&gt;=7,H837&gt;=6),"LOYAL CUSTOMER",AND(F837&gt;=6,G837&gt;=5,H837&gt;=5),"POTENTIAL LOYALIST",AND(F837&gt;=8,G837&lt;=2,H837&gt;=5),"NEW CUSTOMERS",AND(F837&gt;=6,G837&lt;=2,H837&gt;=3),"PROMISING",AND(F837&gt;=3,G837&gt;=3,H837&gt;=3),"NEED ATTENTION",AND(F837&lt;=4,G837&gt;=6,H837&gt;=6),"AT RISK",AND(F837&lt;=2,G837&gt;=8,H837&gt;=8),"CAN'T LOSE THEM",AND(F837&lt;=2,G837&lt;=2,H837&lt;=2),"HIBERNATING",TRUE(),"Other")</f>
        <v>LOYAL CUSTOMER</v>
      </c>
      <c r="K837" s="1" t="n">
        <f aca="false">RANK(E837,$E$7:$E$4378)+COUNTIF($E$7:E837,E837)-1</f>
        <v>856</v>
      </c>
    </row>
    <row r="838" customFormat="false" ht="14.25" hidden="false" customHeight="true" outlineLevel="0" collapsed="false">
      <c r="A838" s="51" t="n">
        <v>13451</v>
      </c>
      <c r="B838" s="53" t="n">
        <v>40860.6652777778</v>
      </c>
      <c r="C838" s="57" t="n">
        <f aca="false">INT($C$2)-INT(Table3[[#This Row],[Last Purchase Date]])</f>
        <v>27</v>
      </c>
      <c r="D838" s="1" t="n">
        <v>6</v>
      </c>
      <c r="E838" s="1" t="n">
        <v>2916.45</v>
      </c>
      <c r="F838" s="1" t="n">
        <f aca="false">ROUND((1-_xlfn.PERCENTRANK.INC($C$7:$C$4378,C838))*9,0)</f>
        <v>6</v>
      </c>
      <c r="G838" s="1" t="n">
        <f aca="false">ROUND(_xlfn.PERCENTRANK.INC($D$7:$D$4378,D838)*9,0)</f>
        <v>7</v>
      </c>
      <c r="H838" s="1" t="n">
        <f aca="false">ROUND(_xlfn.PERCENTRANK.INC($E$7:$E$4378,E838)*9,0)</f>
        <v>8</v>
      </c>
      <c r="I838" s="1" t="str">
        <f aca="false">CONCATENATE(F838,G838,H838)</f>
        <v>678</v>
      </c>
      <c r="J838" s="1" t="str">
        <f aca="false">_xlfn.IFS(AND(F838&gt;=8,G838&gt;=8,H838&gt;=8),"CHAMPION",AND(F838&gt;=6,G838&gt;=7,H838&gt;=6),"LOYAL CUSTOMER",AND(F838&gt;=6,G838&gt;=5,H838&gt;=5),"POTENTIAL LOYALIST",AND(F838&gt;=8,G838&lt;=2,H838&gt;=5),"NEW CUSTOMERS",AND(F838&gt;=6,G838&lt;=2,H838&gt;=3),"PROMISING",AND(F838&gt;=3,G838&gt;=3,H838&gt;=3),"NEED ATTENTION",AND(F838&lt;=4,G838&gt;=6,H838&gt;=6),"AT RISK",AND(F838&lt;=2,G838&gt;=8,H838&gt;=8),"CAN'T LOSE THEM",AND(F838&lt;=2,G838&lt;=2,H838&lt;=2),"HIBERNATING",TRUE(),"Other")</f>
        <v>LOYAL CUSTOMER</v>
      </c>
      <c r="K838" s="1" t="n">
        <f aca="false">RANK(E838,$E$7:$E$4378)+COUNTIF($E$7:E838,E838)-1</f>
        <v>560</v>
      </c>
    </row>
    <row r="839" customFormat="false" ht="14.25" hidden="false" customHeight="true" outlineLevel="0" collapsed="false">
      <c r="A839" s="51" t="n">
        <v>13452</v>
      </c>
      <c r="B839" s="53" t="n">
        <v>40627.5965277778</v>
      </c>
      <c r="C839" s="57" t="n">
        <f aca="false">INT($C$2)-INT(Table3[[#This Row],[Last Purchase Date]])</f>
        <v>260</v>
      </c>
      <c r="D839" s="1" t="n">
        <v>2</v>
      </c>
      <c r="E839" s="1" t="n">
        <v>590</v>
      </c>
      <c r="F839" s="1" t="n">
        <f aca="false">ROUND((1-_xlfn.PERCENTRANK.INC($C$7:$C$4378,C839))*9,0)</f>
        <v>1</v>
      </c>
      <c r="G839" s="1" t="n">
        <f aca="false">ROUND(_xlfn.PERCENTRANK.INC($D$7:$D$4378,D839)*9,0)</f>
        <v>3</v>
      </c>
      <c r="H839" s="1" t="n">
        <f aca="false">ROUND(_xlfn.PERCENTRANK.INC($E$7:$E$4378,E839)*9,0)</f>
        <v>4</v>
      </c>
      <c r="I839" s="1" t="str">
        <f aca="false">CONCATENATE(F839,G839,H839)</f>
        <v>134</v>
      </c>
      <c r="J839" s="1" t="str">
        <f aca="false">_xlfn.IFS(AND(F839&gt;=8,G839&gt;=8,H839&gt;=8),"CHAMPION",AND(F839&gt;=6,G839&gt;=7,H839&gt;=6),"LOYAL CUSTOMER",AND(F839&gt;=6,G839&gt;=5,H839&gt;=5),"POTENTIAL LOYALIST",AND(F839&gt;=8,G839&lt;=2,H839&gt;=5),"NEW CUSTOMERS",AND(F839&gt;=6,G839&lt;=2,H839&gt;=3),"PROMISING",AND(F839&gt;=3,G839&gt;=3,H839&gt;=3),"NEED ATTENTION",AND(F839&lt;=4,G839&gt;=6,H839&gt;=6),"AT RISK",AND(F839&lt;=2,G839&gt;=8,H839&gt;=8),"CAN'T LOSE THEM",AND(F839&lt;=2,G839&lt;=2,H839&lt;=2),"HIBERNATING",TRUE(),"Other")</f>
        <v>Other</v>
      </c>
      <c r="K839" s="1" t="n">
        <f aca="false">RANK(E839,$E$7:$E$4378)+COUNTIF($E$7:E839,E839)-1</f>
        <v>2347</v>
      </c>
    </row>
    <row r="840" customFormat="false" ht="14.25" hidden="false" customHeight="true" outlineLevel="0" collapsed="false">
      <c r="A840" s="51" t="n">
        <v>13453</v>
      </c>
      <c r="B840" s="53" t="n">
        <v>40721.3986111111</v>
      </c>
      <c r="C840" s="57" t="n">
        <f aca="false">INT($C$2)-INT(Table3[[#This Row],[Last Purchase Date]])</f>
        <v>166</v>
      </c>
      <c r="D840" s="1" t="n">
        <v>2</v>
      </c>
      <c r="E840" s="1" t="n">
        <v>356.98</v>
      </c>
      <c r="F840" s="1" t="n">
        <f aca="false">ROUND((1-_xlfn.PERCENTRANK.INC($C$7:$C$4378,C840))*9,0)</f>
        <v>2</v>
      </c>
      <c r="G840" s="1" t="n">
        <f aca="false">ROUND(_xlfn.PERCENTRANK.INC($D$7:$D$4378,D840)*9,0)</f>
        <v>3</v>
      </c>
      <c r="H840" s="1" t="n">
        <f aca="false">ROUND(_xlfn.PERCENTRANK.INC($E$7:$E$4378,E840)*9,0)</f>
        <v>3</v>
      </c>
      <c r="I840" s="1" t="str">
        <f aca="false">CONCATENATE(F840,G840,H840)</f>
        <v>233</v>
      </c>
      <c r="J840" s="1" t="str">
        <f aca="false">_xlfn.IFS(AND(F840&gt;=8,G840&gt;=8,H840&gt;=8),"CHAMPION",AND(F840&gt;=6,G840&gt;=7,H840&gt;=6),"LOYAL CUSTOMER",AND(F840&gt;=6,G840&gt;=5,H840&gt;=5),"POTENTIAL LOYALIST",AND(F840&gt;=8,G840&lt;=2,H840&gt;=5),"NEW CUSTOMERS",AND(F840&gt;=6,G840&lt;=2,H840&gt;=3),"PROMISING",AND(F840&gt;=3,G840&gt;=3,H840&gt;=3),"NEED ATTENTION",AND(F840&lt;=4,G840&gt;=6,H840&gt;=6),"AT RISK",AND(F840&lt;=2,G840&gt;=8,H840&gt;=8),"CAN'T LOSE THEM",AND(F840&lt;=2,G840&lt;=2,H840&lt;=2),"HIBERNATING",TRUE(),"Other")</f>
        <v>Other</v>
      </c>
      <c r="K840" s="1" t="n">
        <f aca="false">RANK(E840,$E$7:$E$4378)+COUNTIF($E$7:E840,E840)-1</f>
        <v>2978</v>
      </c>
    </row>
    <row r="841" customFormat="false" ht="14.25" hidden="false" customHeight="true" outlineLevel="0" collapsed="false">
      <c r="A841" s="51" t="n">
        <v>13455</v>
      </c>
      <c r="B841" s="53" t="n">
        <v>40862.4729166667</v>
      </c>
      <c r="C841" s="57" t="n">
        <f aca="false">INT($C$2)-INT(Table3[[#This Row],[Last Purchase Date]])</f>
        <v>25</v>
      </c>
      <c r="D841" s="1" t="n">
        <v>4</v>
      </c>
      <c r="E841" s="1" t="n">
        <v>1007.35</v>
      </c>
      <c r="F841" s="1" t="n">
        <f aca="false">ROUND((1-_xlfn.PERCENTRANK.INC($C$7:$C$4378,C841))*9,0)</f>
        <v>6</v>
      </c>
      <c r="G841" s="1" t="n">
        <f aca="false">ROUND(_xlfn.PERCENTRANK.INC($D$7:$D$4378,D841)*9,0)</f>
        <v>5</v>
      </c>
      <c r="H841" s="1" t="n">
        <f aca="false">ROUND(_xlfn.PERCENTRANK.INC($E$7:$E$4378,E841)*9,0)</f>
        <v>6</v>
      </c>
      <c r="I841" s="1" t="str">
        <f aca="false">CONCATENATE(F841,G841,H841)</f>
        <v>656</v>
      </c>
      <c r="J841" s="1" t="str">
        <f aca="false">_xlfn.IFS(AND(F841&gt;=8,G841&gt;=8,H841&gt;=8),"CHAMPION",AND(F841&gt;=6,G841&gt;=7,H841&gt;=6),"LOYAL CUSTOMER",AND(F841&gt;=6,G841&gt;=5,H841&gt;=5),"POTENTIAL LOYALIST",AND(F841&gt;=8,G841&lt;=2,H841&gt;=5),"NEW CUSTOMERS",AND(F841&gt;=6,G841&lt;=2,H841&gt;=3),"PROMISING",AND(F841&gt;=3,G841&gt;=3,H841&gt;=3),"NEED ATTENTION",AND(F841&lt;=4,G841&gt;=6,H841&gt;=6),"AT RISK",AND(F841&lt;=2,G841&gt;=8,H841&gt;=8),"CAN'T LOSE THEM",AND(F841&lt;=2,G841&lt;=2,H841&lt;=2),"HIBERNATING",TRUE(),"Other")</f>
        <v>POTENTIAL LOYALIST</v>
      </c>
      <c r="K841" s="1" t="n">
        <f aca="false">RANK(E841,$E$7:$E$4378)+COUNTIF($E$7:E841,E841)-1</f>
        <v>1622</v>
      </c>
    </row>
    <row r="842" customFormat="false" ht="14.25" hidden="false" customHeight="true" outlineLevel="0" collapsed="false">
      <c r="A842" s="51" t="n">
        <v>13456</v>
      </c>
      <c r="B842" s="53" t="n">
        <v>40869.3875</v>
      </c>
      <c r="C842" s="57" t="n">
        <f aca="false">INT($C$2)-INT(Table3[[#This Row],[Last Purchase Date]])</f>
        <v>18</v>
      </c>
      <c r="D842" s="1" t="n">
        <v>7</v>
      </c>
      <c r="E842" s="1" t="n">
        <v>1737.82</v>
      </c>
      <c r="F842" s="1" t="n">
        <f aca="false">ROUND((1-_xlfn.PERCENTRANK.INC($C$7:$C$4378,C842))*9,0)</f>
        <v>7</v>
      </c>
      <c r="G842" s="1" t="n">
        <f aca="false">ROUND(_xlfn.PERCENTRANK.INC($D$7:$D$4378,D842)*9,0)</f>
        <v>7</v>
      </c>
      <c r="H842" s="1" t="n">
        <f aca="false">ROUND(_xlfn.PERCENTRANK.INC($E$7:$E$4378,E842)*9,0)</f>
        <v>7</v>
      </c>
      <c r="I842" s="1" t="str">
        <f aca="false">CONCATENATE(F842,G842,H842)</f>
        <v>777</v>
      </c>
      <c r="J842" s="1" t="str">
        <f aca="false">_xlfn.IFS(AND(F842&gt;=8,G842&gt;=8,H842&gt;=8),"CHAMPION",AND(F842&gt;=6,G842&gt;=7,H842&gt;=6),"LOYAL CUSTOMER",AND(F842&gt;=6,G842&gt;=5,H842&gt;=5),"POTENTIAL LOYALIST",AND(F842&gt;=8,G842&lt;=2,H842&gt;=5),"NEW CUSTOMERS",AND(F842&gt;=6,G842&lt;=2,H842&gt;=3),"PROMISING",AND(F842&gt;=3,G842&gt;=3,H842&gt;=3),"NEED ATTENTION",AND(F842&lt;=4,G842&gt;=6,H842&gt;=6),"AT RISK",AND(F842&lt;=2,G842&gt;=8,H842&gt;=8),"CAN'T LOSE THEM",AND(F842&lt;=2,G842&lt;=2,H842&lt;=2),"HIBERNATING",TRUE(),"Other")</f>
        <v>LOYAL CUSTOMER</v>
      </c>
      <c r="K842" s="1" t="n">
        <f aca="false">RANK(E842,$E$7:$E$4378)+COUNTIF($E$7:E842,E842)-1</f>
        <v>1019</v>
      </c>
    </row>
    <row r="843" customFormat="false" ht="14.25" hidden="false" customHeight="true" outlineLevel="0" collapsed="false">
      <c r="A843" s="51" t="n">
        <v>13458</v>
      </c>
      <c r="B843" s="53" t="n">
        <v>40879.6451388889</v>
      </c>
      <c r="C843" s="57" t="n">
        <f aca="false">INT($C$2)-INT(Table3[[#This Row],[Last Purchase Date]])</f>
        <v>8</v>
      </c>
      <c r="D843" s="1" t="n">
        <v>22</v>
      </c>
      <c r="E843" s="1" t="n">
        <v>9537.92</v>
      </c>
      <c r="F843" s="1" t="n">
        <f aca="false">ROUND((1-_xlfn.PERCENTRANK.INC($C$7:$C$4378,C843))*9,0)</f>
        <v>8</v>
      </c>
      <c r="G843" s="1" t="n">
        <f aca="false">ROUND(_xlfn.PERCENTRANK.INC($D$7:$D$4378,D843)*9,0)</f>
        <v>9</v>
      </c>
      <c r="H843" s="1" t="n">
        <f aca="false">ROUND(_xlfn.PERCENTRANK.INC($E$7:$E$4378,E843)*9,0)</f>
        <v>9</v>
      </c>
      <c r="I843" s="1" t="str">
        <f aca="false">CONCATENATE(F843,G843,H843)</f>
        <v>899</v>
      </c>
      <c r="J843" s="1" t="str">
        <f aca="false">_xlfn.IFS(AND(F843&gt;=8,G843&gt;=8,H843&gt;=8),"CHAMPION",AND(F843&gt;=6,G843&gt;=7,H843&gt;=6),"LOYAL CUSTOMER",AND(F843&gt;=6,G843&gt;=5,H843&gt;=5),"POTENTIAL LOYALIST",AND(F843&gt;=8,G843&lt;=2,H843&gt;=5),"NEW CUSTOMERS",AND(F843&gt;=6,G843&lt;=2,H843&gt;=3),"PROMISING",AND(F843&gt;=3,G843&gt;=3,H843&gt;=3),"NEED ATTENTION",AND(F843&lt;=4,G843&gt;=6,H843&gt;=6),"AT RISK",AND(F843&lt;=2,G843&gt;=8,H843&gt;=8),"CAN'T LOSE THEM",AND(F843&lt;=2,G843&lt;=2,H843&lt;=2),"HIBERNATING",TRUE(),"Other")</f>
        <v>CHAMPION</v>
      </c>
      <c r="K843" s="1" t="n">
        <f aca="false">RANK(E843,$E$7:$E$4378)+COUNTIF($E$7:E843,E843)-1</f>
        <v>102</v>
      </c>
    </row>
    <row r="844" customFormat="false" ht="14.25" hidden="false" customHeight="true" outlineLevel="0" collapsed="false">
      <c r="A844" s="51" t="n">
        <v>13460</v>
      </c>
      <c r="B844" s="53" t="n">
        <v>40857.7201388889</v>
      </c>
      <c r="C844" s="57" t="n">
        <f aca="false">INT($C$2)-INT(Table3[[#This Row],[Last Purchase Date]])</f>
        <v>30</v>
      </c>
      <c r="D844" s="1" t="n">
        <v>2</v>
      </c>
      <c r="E844" s="1" t="n">
        <v>183.44</v>
      </c>
      <c r="F844" s="1" t="n">
        <f aca="false">ROUND((1-_xlfn.PERCENTRANK.INC($C$7:$C$4378,C844))*9,0)</f>
        <v>6</v>
      </c>
      <c r="G844" s="1" t="n">
        <f aca="false">ROUND(_xlfn.PERCENTRANK.INC($D$7:$D$4378,D844)*9,0)</f>
        <v>3</v>
      </c>
      <c r="H844" s="1" t="n">
        <f aca="false">ROUND(_xlfn.PERCENTRANK.INC($E$7:$E$4378,E844)*9,0)</f>
        <v>1</v>
      </c>
      <c r="I844" s="1" t="str">
        <f aca="false">CONCATENATE(F844,G844,H844)</f>
        <v>631</v>
      </c>
      <c r="J844" s="1" t="str">
        <f aca="false">_xlfn.IFS(AND(F844&gt;=8,G844&gt;=8,H844&gt;=8),"CHAMPION",AND(F844&gt;=6,G844&gt;=7,H844&gt;=6),"LOYAL CUSTOMER",AND(F844&gt;=6,G844&gt;=5,H844&gt;=5),"POTENTIAL LOYALIST",AND(F844&gt;=8,G844&lt;=2,H844&gt;=5),"NEW CUSTOMERS",AND(F844&gt;=6,G844&lt;=2,H844&gt;=3),"PROMISING",AND(F844&gt;=3,G844&gt;=3,H844&gt;=3),"NEED ATTENTION",AND(F844&lt;=4,G844&gt;=6,H844&gt;=6),"AT RISK",AND(F844&lt;=2,G844&gt;=8,H844&gt;=8),"CAN'T LOSE THEM",AND(F844&lt;=2,G844&lt;=2,H844&lt;=2),"HIBERNATING",TRUE(),"Other")</f>
        <v>Other</v>
      </c>
      <c r="K844" s="1" t="n">
        <f aca="false">RANK(E844,$E$7:$E$4378)+COUNTIF($E$7:E844,E844)-1</f>
        <v>3736</v>
      </c>
    </row>
    <row r="845" customFormat="false" ht="14.25" hidden="false" customHeight="true" outlineLevel="0" collapsed="false">
      <c r="A845" s="51" t="n">
        <v>13461</v>
      </c>
      <c r="B845" s="53" t="n">
        <v>40848.3756944445</v>
      </c>
      <c r="C845" s="57" t="n">
        <f aca="false">INT($C$2)-INT(Table3[[#This Row],[Last Purchase Date]])</f>
        <v>39</v>
      </c>
      <c r="D845" s="1" t="n">
        <v>3</v>
      </c>
      <c r="E845" s="1" t="n">
        <v>1445</v>
      </c>
      <c r="F845" s="1" t="n">
        <f aca="false">ROUND((1-_xlfn.PERCENTRANK.INC($C$7:$C$4378,C845))*9,0)</f>
        <v>5</v>
      </c>
      <c r="G845" s="1" t="n">
        <f aca="false">ROUND(_xlfn.PERCENTRANK.INC($D$7:$D$4378,D845)*9,0)</f>
        <v>4</v>
      </c>
      <c r="H845" s="1" t="n">
        <f aca="false">ROUND(_xlfn.PERCENTRANK.INC($E$7:$E$4378,E845)*9,0)</f>
        <v>7</v>
      </c>
      <c r="I845" s="1" t="str">
        <f aca="false">CONCATENATE(F845,G845,H845)</f>
        <v>547</v>
      </c>
      <c r="J845" s="1" t="str">
        <f aca="false">_xlfn.IFS(AND(F845&gt;=8,G845&gt;=8,H845&gt;=8),"CHAMPION",AND(F845&gt;=6,G845&gt;=7,H845&gt;=6),"LOYAL CUSTOMER",AND(F845&gt;=6,G845&gt;=5,H845&gt;=5),"POTENTIAL LOYALIST",AND(F845&gt;=8,G845&lt;=2,H845&gt;=5),"NEW CUSTOMERS",AND(F845&gt;=6,G845&lt;=2,H845&gt;=3),"PROMISING",AND(F845&gt;=3,G845&gt;=3,H845&gt;=3),"NEED ATTENTION",AND(F845&lt;=4,G845&gt;=6,H845&gt;=6),"AT RISK",AND(F845&lt;=2,G845&gt;=8,H845&gt;=8),"CAN'T LOSE THEM",AND(F845&lt;=2,G845&lt;=2,H845&lt;=2),"HIBERNATING",TRUE(),"Other")</f>
        <v>NEED ATTENTION</v>
      </c>
      <c r="K845" s="1" t="n">
        <f aca="false">RANK(E845,$E$7:$E$4378)+COUNTIF($E$7:E845,E845)-1</f>
        <v>1203</v>
      </c>
    </row>
    <row r="846" customFormat="false" ht="14.25" hidden="false" customHeight="true" outlineLevel="0" collapsed="false">
      <c r="A846" s="51" t="n">
        <v>13462</v>
      </c>
      <c r="B846" s="53" t="n">
        <v>40703.8284722222</v>
      </c>
      <c r="C846" s="57" t="n">
        <f aca="false">INT($C$2)-INT(Table3[[#This Row],[Last Purchase Date]])</f>
        <v>184</v>
      </c>
      <c r="D846" s="1" t="n">
        <v>2</v>
      </c>
      <c r="E846" s="1" t="n">
        <v>143.25</v>
      </c>
      <c r="F846" s="1" t="n">
        <f aca="false">ROUND((1-_xlfn.PERCENTRANK.INC($C$7:$C$4378,C846))*9,0)</f>
        <v>2</v>
      </c>
      <c r="G846" s="1" t="n">
        <f aca="false">ROUND(_xlfn.PERCENTRANK.INC($D$7:$D$4378,D846)*9,0)</f>
        <v>3</v>
      </c>
      <c r="H846" s="1" t="n">
        <f aca="false">ROUND(_xlfn.PERCENTRANK.INC($E$7:$E$4378,E846)*9,0)</f>
        <v>1</v>
      </c>
      <c r="I846" s="1" t="str">
        <f aca="false">CONCATENATE(F846,G846,H846)</f>
        <v>231</v>
      </c>
      <c r="J846" s="1" t="str">
        <f aca="false">_xlfn.IFS(AND(F846&gt;=8,G846&gt;=8,H846&gt;=8),"CHAMPION",AND(F846&gt;=6,G846&gt;=7,H846&gt;=6),"LOYAL CUSTOMER",AND(F846&gt;=6,G846&gt;=5,H846&gt;=5),"POTENTIAL LOYALIST",AND(F846&gt;=8,G846&lt;=2,H846&gt;=5),"NEW CUSTOMERS",AND(F846&gt;=6,G846&lt;=2,H846&gt;=3),"PROMISING",AND(F846&gt;=3,G846&gt;=3,H846&gt;=3),"NEED ATTENTION",AND(F846&lt;=4,G846&gt;=6,H846&gt;=6),"AT RISK",AND(F846&lt;=2,G846&gt;=8,H846&gt;=8),"CAN'T LOSE THEM",AND(F846&lt;=2,G846&lt;=2,H846&lt;=2),"HIBERNATING",TRUE(),"Other")</f>
        <v>Other</v>
      </c>
      <c r="K846" s="1" t="n">
        <f aca="false">RANK(E846,$E$7:$E$4378)+COUNTIF($E$7:E846,E846)-1</f>
        <v>3944</v>
      </c>
    </row>
    <row r="847" customFormat="false" ht="14.25" hidden="false" customHeight="true" outlineLevel="0" collapsed="false">
      <c r="A847" s="51" t="n">
        <v>13464</v>
      </c>
      <c r="B847" s="53" t="n">
        <v>40828.6256944445</v>
      </c>
      <c r="C847" s="57" t="n">
        <f aca="false">INT($C$2)-INT(Table3[[#This Row],[Last Purchase Date]])</f>
        <v>59</v>
      </c>
      <c r="D847" s="1" t="n">
        <v>1</v>
      </c>
      <c r="E847" s="1" t="n">
        <v>674.68</v>
      </c>
      <c r="F847" s="1" t="n">
        <f aca="false">ROUND((1-_xlfn.PERCENTRANK.INC($C$7:$C$4378,C847))*9,0)</f>
        <v>4</v>
      </c>
      <c r="G847" s="1" t="n">
        <f aca="false">ROUND(_xlfn.PERCENTRANK.INC($D$7:$D$4378,D847)*9,0)</f>
        <v>0</v>
      </c>
      <c r="H847" s="1" t="n">
        <f aca="false">ROUND(_xlfn.PERCENTRANK.INC($E$7:$E$4378,E847)*9,0)</f>
        <v>5</v>
      </c>
      <c r="I847" s="1" t="str">
        <f aca="false">CONCATENATE(F847,G847,H847)</f>
        <v>405</v>
      </c>
      <c r="J847" s="1" t="str">
        <f aca="false">_xlfn.IFS(AND(F847&gt;=8,G847&gt;=8,H847&gt;=8),"CHAMPION",AND(F847&gt;=6,G847&gt;=7,H847&gt;=6),"LOYAL CUSTOMER",AND(F847&gt;=6,G847&gt;=5,H847&gt;=5),"POTENTIAL LOYALIST",AND(F847&gt;=8,G847&lt;=2,H847&gt;=5),"NEW CUSTOMERS",AND(F847&gt;=6,G847&lt;=2,H847&gt;=3),"PROMISING",AND(F847&gt;=3,G847&gt;=3,H847&gt;=3),"NEED ATTENTION",AND(F847&lt;=4,G847&gt;=6,H847&gt;=6),"AT RISK",AND(F847&lt;=2,G847&gt;=8,H847&gt;=8),"CAN'T LOSE THEM",AND(F847&lt;=2,G847&lt;=2,H847&lt;=2),"HIBERNATING",TRUE(),"Other")</f>
        <v>Other</v>
      </c>
      <c r="K847" s="1" t="n">
        <f aca="false">RANK(E847,$E$7:$E$4378)+COUNTIF($E$7:E847,E847)-1</f>
        <v>2119</v>
      </c>
    </row>
    <row r="848" customFormat="false" ht="14.25" hidden="false" customHeight="true" outlineLevel="0" collapsed="false">
      <c r="A848" s="51" t="n">
        <v>13466</v>
      </c>
      <c r="B848" s="53" t="n">
        <v>40786.6451388889</v>
      </c>
      <c r="C848" s="57" t="n">
        <f aca="false">INT($C$2)-INT(Table3[[#This Row],[Last Purchase Date]])</f>
        <v>101</v>
      </c>
      <c r="D848" s="1" t="n">
        <v>2</v>
      </c>
      <c r="E848" s="1" t="n">
        <v>297.95</v>
      </c>
      <c r="F848" s="1" t="n">
        <f aca="false">ROUND((1-_xlfn.PERCENTRANK.INC($C$7:$C$4378,C848))*9,0)</f>
        <v>3</v>
      </c>
      <c r="G848" s="1" t="n">
        <f aca="false">ROUND(_xlfn.PERCENTRANK.INC($D$7:$D$4378,D848)*9,0)</f>
        <v>3</v>
      </c>
      <c r="H848" s="1" t="n">
        <f aca="false">ROUND(_xlfn.PERCENTRANK.INC($E$7:$E$4378,E848)*9,0)</f>
        <v>2</v>
      </c>
      <c r="I848" s="1" t="str">
        <f aca="false">CONCATENATE(F848,G848,H848)</f>
        <v>332</v>
      </c>
      <c r="J848" s="1" t="str">
        <f aca="false">_xlfn.IFS(AND(F848&gt;=8,G848&gt;=8,H848&gt;=8),"CHAMPION",AND(F848&gt;=6,G848&gt;=7,H848&gt;=6),"LOYAL CUSTOMER",AND(F848&gt;=6,G848&gt;=5,H848&gt;=5),"POTENTIAL LOYALIST",AND(F848&gt;=8,G848&lt;=2,H848&gt;=5),"NEW CUSTOMERS",AND(F848&gt;=6,G848&lt;=2,H848&gt;=3),"PROMISING",AND(F848&gt;=3,G848&gt;=3,H848&gt;=3),"NEED ATTENTION",AND(F848&lt;=4,G848&gt;=6,H848&gt;=6),"AT RISK",AND(F848&lt;=2,G848&gt;=8,H848&gt;=8),"CAN'T LOSE THEM",AND(F848&lt;=2,G848&lt;=2,H848&lt;=2),"HIBERNATING",TRUE(),"Other")</f>
        <v>Other</v>
      </c>
      <c r="K848" s="1" t="n">
        <f aca="false">RANK(E848,$E$7:$E$4378)+COUNTIF($E$7:E848,E848)-1</f>
        <v>3263</v>
      </c>
    </row>
    <row r="849" customFormat="false" ht="14.25" hidden="false" customHeight="true" outlineLevel="0" collapsed="false">
      <c r="A849" s="51" t="n">
        <v>13467</v>
      </c>
      <c r="B849" s="53" t="n">
        <v>40876.4173611111</v>
      </c>
      <c r="C849" s="57" t="n">
        <f aca="false">INT($C$2)-INT(Table3[[#This Row],[Last Purchase Date]])</f>
        <v>11</v>
      </c>
      <c r="D849" s="1" t="n">
        <v>2</v>
      </c>
      <c r="E849" s="1" t="n">
        <v>1083.71</v>
      </c>
      <c r="F849" s="1" t="n">
        <f aca="false">ROUND((1-_xlfn.PERCENTRANK.INC($C$7:$C$4378,C849))*9,0)</f>
        <v>7</v>
      </c>
      <c r="G849" s="1" t="n">
        <f aca="false">ROUND(_xlfn.PERCENTRANK.INC($D$7:$D$4378,D849)*9,0)</f>
        <v>3</v>
      </c>
      <c r="H849" s="1" t="n">
        <f aca="false">ROUND(_xlfn.PERCENTRANK.INC($E$7:$E$4378,E849)*9,0)</f>
        <v>6</v>
      </c>
      <c r="I849" s="1" t="str">
        <f aca="false">CONCATENATE(F849,G849,H849)</f>
        <v>736</v>
      </c>
      <c r="J849" s="1" t="str">
        <f aca="false">_xlfn.IFS(AND(F849&gt;=8,G849&gt;=8,H849&gt;=8),"CHAMPION",AND(F849&gt;=6,G849&gt;=7,H849&gt;=6),"LOYAL CUSTOMER",AND(F849&gt;=6,G849&gt;=5,H849&gt;=5),"POTENTIAL LOYALIST",AND(F849&gt;=8,G849&lt;=2,H849&gt;=5),"NEW CUSTOMERS",AND(F849&gt;=6,G849&lt;=2,H849&gt;=3),"PROMISING",AND(F849&gt;=3,G849&gt;=3,H849&gt;=3),"NEED ATTENTION",AND(F849&lt;=4,G849&gt;=6,H849&gt;=6),"AT RISK",AND(F849&lt;=2,G849&gt;=8,H849&gt;=8),"CAN'T LOSE THEM",AND(F849&lt;=2,G849&lt;=2,H849&lt;=2),"HIBERNATING",TRUE(),"Other")</f>
        <v>NEED ATTENTION</v>
      </c>
      <c r="K849" s="1" t="n">
        <f aca="false">RANK(E849,$E$7:$E$4378)+COUNTIF($E$7:E849,E849)-1</f>
        <v>1524</v>
      </c>
    </row>
    <row r="850" customFormat="false" ht="14.25" hidden="false" customHeight="true" outlineLevel="0" collapsed="false">
      <c r="A850" s="51" t="n">
        <v>13468</v>
      </c>
      <c r="B850" s="53" t="n">
        <v>40885.44375</v>
      </c>
      <c r="C850" s="57" t="n">
        <f aca="false">INT($C$2)-INT(Table3[[#This Row],[Last Purchase Date]])</f>
        <v>2</v>
      </c>
      <c r="D850" s="1" t="n">
        <v>41</v>
      </c>
      <c r="E850" s="1" t="n">
        <v>5656.75</v>
      </c>
      <c r="F850" s="1" t="n">
        <f aca="false">ROUND((1-_xlfn.PERCENTRANK.INC($C$7:$C$4378,C850))*9,0)</f>
        <v>9</v>
      </c>
      <c r="G850" s="1" t="n">
        <f aca="false">ROUND(_xlfn.PERCENTRANK.INC($D$7:$D$4378,D850)*9,0)</f>
        <v>9</v>
      </c>
      <c r="H850" s="1" t="n">
        <f aca="false">ROUND(_xlfn.PERCENTRANK.INC($E$7:$E$4378,E850)*9,0)</f>
        <v>9</v>
      </c>
      <c r="I850" s="1" t="str">
        <f aca="false">CONCATENATE(F850,G850,H850)</f>
        <v>999</v>
      </c>
      <c r="J850" s="1" t="str">
        <f aca="false">_xlfn.IFS(AND(F850&gt;=8,G850&gt;=8,H850&gt;=8),"CHAMPION",AND(F850&gt;=6,G850&gt;=7,H850&gt;=6),"LOYAL CUSTOMER",AND(F850&gt;=6,G850&gt;=5,H850&gt;=5),"POTENTIAL LOYALIST",AND(F850&gt;=8,G850&lt;=2,H850&gt;=5),"NEW CUSTOMERS",AND(F850&gt;=6,G850&lt;=2,H850&gt;=3),"PROMISING",AND(F850&gt;=3,G850&gt;=3,H850&gt;=3),"NEED ATTENTION",AND(F850&lt;=4,G850&gt;=6,H850&gt;=6),"AT RISK",AND(F850&lt;=2,G850&gt;=8,H850&gt;=8),"CAN'T LOSE THEM",AND(F850&lt;=2,G850&lt;=2,H850&lt;=2),"HIBERNATING",TRUE(),"Other")</f>
        <v>CHAMPION</v>
      </c>
      <c r="K850" s="1" t="n">
        <f aca="false">RANK(E850,$E$7:$E$4378)+COUNTIF($E$7:E850,E850)-1</f>
        <v>218</v>
      </c>
    </row>
    <row r="851" customFormat="false" ht="14.25" hidden="false" customHeight="true" outlineLevel="0" collapsed="false">
      <c r="A851" s="51" t="n">
        <v>13470</v>
      </c>
      <c r="B851" s="53" t="n">
        <v>40787.6229166667</v>
      </c>
      <c r="C851" s="57" t="n">
        <f aca="false">INT($C$2)-INT(Table3[[#This Row],[Last Purchase Date]])</f>
        <v>100</v>
      </c>
      <c r="D851" s="1" t="n">
        <v>2</v>
      </c>
      <c r="E851" s="1" t="n">
        <v>165</v>
      </c>
      <c r="F851" s="1" t="n">
        <f aca="false">ROUND((1-_xlfn.PERCENTRANK.INC($C$7:$C$4378,C851))*9,0)</f>
        <v>3</v>
      </c>
      <c r="G851" s="1" t="n">
        <f aca="false">ROUND(_xlfn.PERCENTRANK.INC($D$7:$D$4378,D851)*9,0)</f>
        <v>3</v>
      </c>
      <c r="H851" s="1" t="n">
        <f aca="false">ROUND(_xlfn.PERCENTRANK.INC($E$7:$E$4378,E851)*9,0)</f>
        <v>1</v>
      </c>
      <c r="I851" s="1" t="str">
        <f aca="false">CONCATENATE(F851,G851,H851)</f>
        <v>331</v>
      </c>
      <c r="J851" s="1" t="str">
        <f aca="false">_xlfn.IFS(AND(F851&gt;=8,G851&gt;=8,H851&gt;=8),"CHAMPION",AND(F851&gt;=6,G851&gt;=7,H851&gt;=6),"LOYAL CUSTOMER",AND(F851&gt;=6,G851&gt;=5,H851&gt;=5),"POTENTIAL LOYALIST",AND(F851&gt;=8,G851&lt;=2,H851&gt;=5),"NEW CUSTOMERS",AND(F851&gt;=6,G851&lt;=2,H851&gt;=3),"PROMISING",AND(F851&gt;=3,G851&gt;=3,H851&gt;=3),"NEED ATTENTION",AND(F851&lt;=4,G851&gt;=6,H851&gt;=6),"AT RISK",AND(F851&lt;=2,G851&gt;=8,H851&gt;=8),"CAN'T LOSE THEM",AND(F851&lt;=2,G851&lt;=2,H851&lt;=2),"HIBERNATING",TRUE(),"Other")</f>
        <v>Other</v>
      </c>
      <c r="K851" s="1" t="n">
        <f aca="false">RANK(E851,$E$7:$E$4378)+COUNTIF($E$7:E851,E851)-1</f>
        <v>3831</v>
      </c>
    </row>
    <row r="852" customFormat="false" ht="14.25" hidden="false" customHeight="true" outlineLevel="0" collapsed="false">
      <c r="A852" s="51" t="n">
        <v>13471</v>
      </c>
      <c r="B852" s="53" t="n">
        <v>40885.6555555556</v>
      </c>
      <c r="C852" s="57" t="n">
        <f aca="false">INT($C$2)-INT(Table3[[#This Row],[Last Purchase Date]])</f>
        <v>2</v>
      </c>
      <c r="D852" s="1" t="n">
        <v>4</v>
      </c>
      <c r="E852" s="1" t="n">
        <v>2531.58</v>
      </c>
      <c r="F852" s="1" t="n">
        <f aca="false">ROUND((1-_xlfn.PERCENTRANK.INC($C$7:$C$4378,C852))*9,0)</f>
        <v>9</v>
      </c>
      <c r="G852" s="1" t="n">
        <f aca="false">ROUND(_xlfn.PERCENTRANK.INC($D$7:$D$4378,D852)*9,0)</f>
        <v>5</v>
      </c>
      <c r="H852" s="1" t="n">
        <f aca="false">ROUND(_xlfn.PERCENTRANK.INC($E$7:$E$4378,E852)*9,0)</f>
        <v>8</v>
      </c>
      <c r="I852" s="1" t="str">
        <f aca="false">CONCATENATE(F852,G852,H852)</f>
        <v>958</v>
      </c>
      <c r="J852" s="1" t="str">
        <f aca="false">_xlfn.IFS(AND(F852&gt;=8,G852&gt;=8,H852&gt;=8),"CHAMPION",AND(F852&gt;=6,G852&gt;=7,H852&gt;=6),"LOYAL CUSTOMER",AND(F852&gt;=6,G852&gt;=5,H852&gt;=5),"POTENTIAL LOYALIST",AND(F852&gt;=8,G852&lt;=2,H852&gt;=5),"NEW CUSTOMERS",AND(F852&gt;=6,G852&lt;=2,H852&gt;=3),"PROMISING",AND(F852&gt;=3,G852&gt;=3,H852&gt;=3),"NEED ATTENTION",AND(F852&lt;=4,G852&gt;=6,H852&gt;=6),"AT RISK",AND(F852&lt;=2,G852&gt;=8,H852&gt;=8),"CAN'T LOSE THEM",AND(F852&lt;=2,G852&lt;=2,H852&lt;=2),"HIBERNATING",TRUE(),"Other")</f>
        <v>POTENTIAL LOYALIST</v>
      </c>
      <c r="K852" s="1" t="n">
        <f aca="false">RANK(E852,$E$7:$E$4378)+COUNTIF($E$7:E852,E852)-1</f>
        <v>672</v>
      </c>
    </row>
    <row r="853" customFormat="false" ht="14.25" hidden="false" customHeight="true" outlineLevel="0" collapsed="false">
      <c r="A853" s="51" t="n">
        <v>13473</v>
      </c>
      <c r="B853" s="53" t="n">
        <v>40826.4722222222</v>
      </c>
      <c r="C853" s="57" t="n">
        <f aca="false">INT($C$2)-INT(Table3[[#This Row],[Last Purchase Date]])</f>
        <v>61</v>
      </c>
      <c r="D853" s="1" t="n">
        <v>3</v>
      </c>
      <c r="E853" s="1" t="n">
        <v>417.54</v>
      </c>
      <c r="F853" s="1" t="n">
        <f aca="false">ROUND((1-_xlfn.PERCENTRANK.INC($C$7:$C$4378,C853))*9,0)</f>
        <v>4</v>
      </c>
      <c r="G853" s="1" t="n">
        <f aca="false">ROUND(_xlfn.PERCENTRANK.INC($D$7:$D$4378,D853)*9,0)</f>
        <v>4</v>
      </c>
      <c r="H853" s="1" t="n">
        <f aca="false">ROUND(_xlfn.PERCENTRANK.INC($E$7:$E$4378,E853)*9,0)</f>
        <v>3</v>
      </c>
      <c r="I853" s="1" t="str">
        <f aca="false">CONCATENATE(F853,G853,H853)</f>
        <v>443</v>
      </c>
      <c r="J853" s="1" t="str">
        <f aca="false">_xlfn.IFS(AND(F853&gt;=8,G853&gt;=8,H853&gt;=8),"CHAMPION",AND(F853&gt;=6,G853&gt;=7,H853&gt;=6),"LOYAL CUSTOMER",AND(F853&gt;=6,G853&gt;=5,H853&gt;=5),"POTENTIAL LOYALIST",AND(F853&gt;=8,G853&lt;=2,H853&gt;=5),"NEW CUSTOMERS",AND(F853&gt;=6,G853&lt;=2,H853&gt;=3),"PROMISING",AND(F853&gt;=3,G853&gt;=3,H853&gt;=3),"NEED ATTENTION",AND(F853&lt;=4,G853&gt;=6,H853&gt;=6),"AT RISK",AND(F853&lt;=2,G853&gt;=8,H853&gt;=8),"CAN'T LOSE THEM",AND(F853&lt;=2,G853&lt;=2,H853&lt;=2),"HIBERNATING",TRUE(),"Other")</f>
        <v>NEED ATTENTION</v>
      </c>
      <c r="K853" s="1" t="n">
        <f aca="false">RANK(E853,$E$7:$E$4378)+COUNTIF($E$7:E853,E853)-1</f>
        <v>2760</v>
      </c>
    </row>
    <row r="854" customFormat="false" ht="14.25" hidden="false" customHeight="true" outlineLevel="0" collapsed="false">
      <c r="A854" s="51" t="n">
        <v>13474</v>
      </c>
      <c r="B854" s="53" t="n">
        <v>40650.5784722222</v>
      </c>
      <c r="C854" s="57" t="n">
        <f aca="false">INT($C$2)-INT(Table3[[#This Row],[Last Purchase Date]])</f>
        <v>237</v>
      </c>
      <c r="D854" s="1" t="n">
        <v>1</v>
      </c>
      <c r="E854" s="1" t="n">
        <v>229.59</v>
      </c>
      <c r="F854" s="1" t="n">
        <f aca="false">ROUND((1-_xlfn.PERCENTRANK.INC($C$7:$C$4378,C854))*9,0)</f>
        <v>1</v>
      </c>
      <c r="G854" s="1" t="n">
        <f aca="false">ROUND(_xlfn.PERCENTRANK.INC($D$7:$D$4378,D854)*9,0)</f>
        <v>0</v>
      </c>
      <c r="H854" s="1" t="n">
        <f aca="false">ROUND(_xlfn.PERCENTRANK.INC($E$7:$E$4378,E854)*9,0)</f>
        <v>2</v>
      </c>
      <c r="I854" s="1" t="str">
        <f aca="false">CONCATENATE(F854,G854,H854)</f>
        <v>102</v>
      </c>
      <c r="J854" s="1" t="str">
        <f aca="false">_xlfn.IFS(AND(F854&gt;=8,G854&gt;=8,H854&gt;=8),"CHAMPION",AND(F854&gt;=6,G854&gt;=7,H854&gt;=6),"LOYAL CUSTOMER",AND(F854&gt;=6,G854&gt;=5,H854&gt;=5),"POTENTIAL LOYALIST",AND(F854&gt;=8,G854&lt;=2,H854&gt;=5),"NEW CUSTOMERS",AND(F854&gt;=6,G854&lt;=2,H854&gt;=3),"PROMISING",AND(F854&gt;=3,G854&gt;=3,H854&gt;=3),"NEED ATTENTION",AND(F854&lt;=4,G854&gt;=6,H854&gt;=6),"AT RISK",AND(F854&lt;=2,G854&gt;=8,H854&gt;=8),"CAN'T LOSE THEM",AND(F854&lt;=2,G854&lt;=2,H854&lt;=2),"HIBERNATING",TRUE(),"Other")</f>
        <v>HIBERNATING</v>
      </c>
      <c r="K854" s="1" t="n">
        <f aca="false">RANK(E854,$E$7:$E$4378)+COUNTIF($E$7:E854,E854)-1</f>
        <v>3521</v>
      </c>
    </row>
    <row r="855" customFormat="false" ht="14.25" hidden="false" customHeight="true" outlineLevel="0" collapsed="false">
      <c r="A855" s="51" t="n">
        <v>13475</v>
      </c>
      <c r="B855" s="53" t="n">
        <v>40695.5777777778</v>
      </c>
      <c r="C855" s="57" t="n">
        <f aca="false">INT($C$2)-INT(Table3[[#This Row],[Last Purchase Date]])</f>
        <v>192</v>
      </c>
      <c r="D855" s="1" t="n">
        <v>4</v>
      </c>
      <c r="E855" s="1" t="n">
        <v>1431.78</v>
      </c>
      <c r="F855" s="1" t="n">
        <f aca="false">ROUND((1-_xlfn.PERCENTRANK.INC($C$7:$C$4378,C855))*9,0)</f>
        <v>2</v>
      </c>
      <c r="G855" s="1" t="n">
        <f aca="false">ROUND(_xlfn.PERCENTRANK.INC($D$7:$D$4378,D855)*9,0)</f>
        <v>5</v>
      </c>
      <c r="H855" s="1" t="n">
        <f aca="false">ROUND(_xlfn.PERCENTRANK.INC($E$7:$E$4378,E855)*9,0)</f>
        <v>7</v>
      </c>
      <c r="I855" s="1" t="str">
        <f aca="false">CONCATENATE(F855,G855,H855)</f>
        <v>257</v>
      </c>
      <c r="J855" s="1" t="str">
        <f aca="false">_xlfn.IFS(AND(F855&gt;=8,G855&gt;=8,H855&gt;=8),"CHAMPION",AND(F855&gt;=6,G855&gt;=7,H855&gt;=6),"LOYAL CUSTOMER",AND(F855&gt;=6,G855&gt;=5,H855&gt;=5),"POTENTIAL LOYALIST",AND(F855&gt;=8,G855&lt;=2,H855&gt;=5),"NEW CUSTOMERS",AND(F855&gt;=6,G855&lt;=2,H855&gt;=3),"PROMISING",AND(F855&gt;=3,G855&gt;=3,H855&gt;=3),"NEED ATTENTION",AND(F855&lt;=4,G855&gt;=6,H855&gt;=6),"AT RISK",AND(F855&lt;=2,G855&gt;=8,H855&gt;=8),"CAN'T LOSE THEM",AND(F855&lt;=2,G855&lt;=2,H855&lt;=2),"HIBERNATING",TRUE(),"Other")</f>
        <v>Other</v>
      </c>
      <c r="K855" s="1" t="n">
        <f aca="false">RANK(E855,$E$7:$E$4378)+COUNTIF($E$7:E855,E855)-1</f>
        <v>1210</v>
      </c>
    </row>
    <row r="856" customFormat="false" ht="14.25" hidden="false" customHeight="true" outlineLevel="0" collapsed="false">
      <c r="A856" s="51" t="n">
        <v>13476</v>
      </c>
      <c r="B856" s="53" t="n">
        <v>40708.5</v>
      </c>
      <c r="C856" s="57" t="n">
        <f aca="false">INT($C$2)-INT(Table3[[#This Row],[Last Purchase Date]])</f>
        <v>179</v>
      </c>
      <c r="D856" s="1" t="n">
        <v>4</v>
      </c>
      <c r="E856" s="1" t="n">
        <v>1092.77</v>
      </c>
      <c r="F856" s="1" t="n">
        <f aca="false">ROUND((1-_xlfn.PERCENTRANK.INC($C$7:$C$4378,C856))*9,0)</f>
        <v>2</v>
      </c>
      <c r="G856" s="1" t="n">
        <f aca="false">ROUND(_xlfn.PERCENTRANK.INC($D$7:$D$4378,D856)*9,0)</f>
        <v>5</v>
      </c>
      <c r="H856" s="1" t="n">
        <f aca="false">ROUND(_xlfn.PERCENTRANK.INC($E$7:$E$4378,E856)*9,0)</f>
        <v>6</v>
      </c>
      <c r="I856" s="1" t="str">
        <f aca="false">CONCATENATE(F856,G856,H856)</f>
        <v>256</v>
      </c>
      <c r="J856" s="1" t="str">
        <f aca="false">_xlfn.IFS(AND(F856&gt;=8,G856&gt;=8,H856&gt;=8),"CHAMPION",AND(F856&gt;=6,G856&gt;=7,H856&gt;=6),"LOYAL CUSTOMER",AND(F856&gt;=6,G856&gt;=5,H856&gt;=5),"POTENTIAL LOYALIST",AND(F856&gt;=8,G856&lt;=2,H856&gt;=5),"NEW CUSTOMERS",AND(F856&gt;=6,G856&lt;=2,H856&gt;=3),"PROMISING",AND(F856&gt;=3,G856&gt;=3,H856&gt;=3),"NEED ATTENTION",AND(F856&lt;=4,G856&gt;=6,H856&gt;=6),"AT RISK",AND(F856&lt;=2,G856&gt;=8,H856&gt;=8),"CAN'T LOSE THEM",AND(F856&lt;=2,G856&lt;=2,H856&lt;=2),"HIBERNATING",TRUE(),"Other")</f>
        <v>Other</v>
      </c>
      <c r="K856" s="1" t="n">
        <f aca="false">RANK(E856,$E$7:$E$4378)+COUNTIF($E$7:E856,E856)-1</f>
        <v>1518</v>
      </c>
    </row>
    <row r="857" customFormat="false" ht="14.25" hidden="false" customHeight="true" outlineLevel="0" collapsed="false">
      <c r="A857" s="51" t="n">
        <v>13477</v>
      </c>
      <c r="B857" s="53" t="n">
        <v>40849.5027777778</v>
      </c>
      <c r="C857" s="57" t="n">
        <f aca="false">INT($C$2)-INT(Table3[[#This Row],[Last Purchase Date]])</f>
        <v>38</v>
      </c>
      <c r="D857" s="1" t="n">
        <v>8</v>
      </c>
      <c r="E857" s="1" t="n">
        <v>1441.53</v>
      </c>
      <c r="F857" s="1" t="n">
        <f aca="false">ROUND((1-_xlfn.PERCENTRANK.INC($C$7:$C$4378,C857))*9,0)</f>
        <v>5</v>
      </c>
      <c r="G857" s="1" t="n">
        <f aca="false">ROUND(_xlfn.PERCENTRANK.INC($D$7:$D$4378,D857)*9,0)</f>
        <v>7</v>
      </c>
      <c r="H857" s="1" t="n">
        <f aca="false">ROUND(_xlfn.PERCENTRANK.INC($E$7:$E$4378,E857)*9,0)</f>
        <v>7</v>
      </c>
      <c r="I857" s="1" t="str">
        <f aca="false">CONCATENATE(F857,G857,H857)</f>
        <v>577</v>
      </c>
      <c r="J857" s="1" t="str">
        <f aca="false">_xlfn.IFS(AND(F857&gt;=8,G857&gt;=8,H857&gt;=8),"CHAMPION",AND(F857&gt;=6,G857&gt;=7,H857&gt;=6),"LOYAL CUSTOMER",AND(F857&gt;=6,G857&gt;=5,H857&gt;=5),"POTENTIAL LOYALIST",AND(F857&gt;=8,G857&lt;=2,H857&gt;=5),"NEW CUSTOMERS",AND(F857&gt;=6,G857&lt;=2,H857&gt;=3),"PROMISING",AND(F857&gt;=3,G857&gt;=3,H857&gt;=3),"NEED ATTENTION",AND(F857&lt;=4,G857&gt;=6,H857&gt;=6),"AT RISK",AND(F857&lt;=2,G857&gt;=8,H857&gt;=8),"CAN'T LOSE THEM",AND(F857&lt;=2,G857&lt;=2,H857&lt;=2),"HIBERNATING",TRUE(),"Other")</f>
        <v>NEED ATTENTION</v>
      </c>
      <c r="K857" s="1" t="n">
        <f aca="false">RANK(E857,$E$7:$E$4378)+COUNTIF($E$7:E857,E857)-1</f>
        <v>1204</v>
      </c>
    </row>
    <row r="858" customFormat="false" ht="14.25" hidden="false" customHeight="true" outlineLevel="0" collapsed="false">
      <c r="A858" s="51" t="n">
        <v>13479</v>
      </c>
      <c r="B858" s="53" t="n">
        <v>40688.7006944444</v>
      </c>
      <c r="C858" s="57" t="n">
        <f aca="false">INT($C$2)-INT(Table3[[#This Row],[Last Purchase Date]])</f>
        <v>199</v>
      </c>
      <c r="D858" s="1" t="n">
        <v>3</v>
      </c>
      <c r="E858" s="1" t="n">
        <v>291</v>
      </c>
      <c r="F858" s="1" t="n">
        <f aca="false">ROUND((1-_xlfn.PERCENTRANK.INC($C$7:$C$4378,C858))*9,0)</f>
        <v>2</v>
      </c>
      <c r="G858" s="1" t="n">
        <f aca="false">ROUND(_xlfn.PERCENTRANK.INC($D$7:$D$4378,D858)*9,0)</f>
        <v>4</v>
      </c>
      <c r="H858" s="1" t="n">
        <f aca="false">ROUND(_xlfn.PERCENTRANK.INC($E$7:$E$4378,E858)*9,0)</f>
        <v>2</v>
      </c>
      <c r="I858" s="1" t="str">
        <f aca="false">CONCATENATE(F858,G858,H858)</f>
        <v>242</v>
      </c>
      <c r="J858" s="1" t="str">
        <f aca="false">_xlfn.IFS(AND(F858&gt;=8,G858&gt;=8,H858&gt;=8),"CHAMPION",AND(F858&gt;=6,G858&gt;=7,H858&gt;=6),"LOYAL CUSTOMER",AND(F858&gt;=6,G858&gt;=5,H858&gt;=5),"POTENTIAL LOYALIST",AND(F858&gt;=8,G858&lt;=2,H858&gt;=5),"NEW CUSTOMERS",AND(F858&gt;=6,G858&lt;=2,H858&gt;=3),"PROMISING",AND(F858&gt;=3,G858&gt;=3,H858&gt;=3),"NEED ATTENTION",AND(F858&lt;=4,G858&gt;=6,H858&gt;=6),"AT RISK",AND(F858&lt;=2,G858&gt;=8,H858&gt;=8),"CAN'T LOSE THEM",AND(F858&lt;=2,G858&lt;=2,H858&lt;=2),"HIBERNATING",TRUE(),"Other")</f>
        <v>Other</v>
      </c>
      <c r="K858" s="1" t="n">
        <f aca="false">RANK(E858,$E$7:$E$4378)+COUNTIF($E$7:E858,E858)-1</f>
        <v>3290</v>
      </c>
    </row>
    <row r="859" customFormat="false" ht="14.25" hidden="false" customHeight="true" outlineLevel="0" collapsed="false">
      <c r="A859" s="51" t="n">
        <v>13481</v>
      </c>
      <c r="B859" s="53" t="n">
        <v>40841.3798611111</v>
      </c>
      <c r="C859" s="57" t="n">
        <f aca="false">INT($C$2)-INT(Table3[[#This Row],[Last Purchase Date]])</f>
        <v>46</v>
      </c>
      <c r="D859" s="1" t="n">
        <v>8</v>
      </c>
      <c r="E859" s="1" t="n">
        <v>1776.81</v>
      </c>
      <c r="F859" s="1" t="n">
        <f aca="false">ROUND((1-_xlfn.PERCENTRANK.INC($C$7:$C$4378,C859))*9,0)</f>
        <v>5</v>
      </c>
      <c r="G859" s="1" t="n">
        <f aca="false">ROUND(_xlfn.PERCENTRANK.INC($D$7:$D$4378,D859)*9,0)</f>
        <v>7</v>
      </c>
      <c r="H859" s="1" t="n">
        <f aca="false">ROUND(_xlfn.PERCENTRANK.INC($E$7:$E$4378,E859)*9,0)</f>
        <v>7</v>
      </c>
      <c r="I859" s="1" t="str">
        <f aca="false">CONCATENATE(F859,G859,H859)</f>
        <v>577</v>
      </c>
      <c r="J859" s="1" t="str">
        <f aca="false">_xlfn.IFS(AND(F859&gt;=8,G859&gt;=8,H859&gt;=8),"CHAMPION",AND(F859&gt;=6,G859&gt;=7,H859&gt;=6),"LOYAL CUSTOMER",AND(F859&gt;=6,G859&gt;=5,H859&gt;=5),"POTENTIAL LOYALIST",AND(F859&gt;=8,G859&lt;=2,H859&gt;=5),"NEW CUSTOMERS",AND(F859&gt;=6,G859&lt;=2,H859&gt;=3),"PROMISING",AND(F859&gt;=3,G859&gt;=3,H859&gt;=3),"NEED ATTENTION",AND(F859&lt;=4,G859&gt;=6,H859&gt;=6),"AT RISK",AND(F859&lt;=2,G859&gt;=8,H859&gt;=8),"CAN'T LOSE THEM",AND(F859&lt;=2,G859&lt;=2,H859&lt;=2),"HIBERNATING",TRUE(),"Other")</f>
        <v>NEED ATTENTION</v>
      </c>
      <c r="K859" s="1" t="n">
        <f aca="false">RANK(E859,$E$7:$E$4378)+COUNTIF($E$7:E859,E859)-1</f>
        <v>994</v>
      </c>
    </row>
    <row r="860" customFormat="false" ht="14.25" hidden="false" customHeight="true" outlineLevel="0" collapsed="false">
      <c r="A860" s="51" t="n">
        <v>13482</v>
      </c>
      <c r="B860" s="53" t="n">
        <v>40654.7104166667</v>
      </c>
      <c r="C860" s="57" t="n">
        <f aca="false">INT($C$2)-INT(Table3[[#This Row],[Last Purchase Date]])</f>
        <v>233</v>
      </c>
      <c r="D860" s="1" t="n">
        <v>1</v>
      </c>
      <c r="E860" s="1" t="n">
        <v>184.64</v>
      </c>
      <c r="F860" s="1" t="n">
        <f aca="false">ROUND((1-_xlfn.PERCENTRANK.INC($C$7:$C$4378,C860))*9,0)</f>
        <v>1</v>
      </c>
      <c r="G860" s="1" t="n">
        <f aca="false">ROUND(_xlfn.PERCENTRANK.INC($D$7:$D$4378,D860)*9,0)</f>
        <v>0</v>
      </c>
      <c r="H860" s="1" t="n">
        <f aca="false">ROUND(_xlfn.PERCENTRANK.INC($E$7:$E$4378,E860)*9,0)</f>
        <v>1</v>
      </c>
      <c r="I860" s="1" t="str">
        <f aca="false">CONCATENATE(F860,G860,H860)</f>
        <v>101</v>
      </c>
      <c r="J860" s="1" t="str">
        <f aca="false">_xlfn.IFS(AND(F860&gt;=8,G860&gt;=8,H860&gt;=8),"CHAMPION",AND(F860&gt;=6,G860&gt;=7,H860&gt;=6),"LOYAL CUSTOMER",AND(F860&gt;=6,G860&gt;=5,H860&gt;=5),"POTENTIAL LOYALIST",AND(F860&gt;=8,G860&lt;=2,H860&gt;=5),"NEW CUSTOMERS",AND(F860&gt;=6,G860&lt;=2,H860&gt;=3),"PROMISING",AND(F860&gt;=3,G860&gt;=3,H860&gt;=3),"NEED ATTENTION",AND(F860&lt;=4,G860&gt;=6,H860&gt;=6),"AT RISK",AND(F860&lt;=2,G860&gt;=8,H860&gt;=8),"CAN'T LOSE THEM",AND(F860&lt;=2,G860&lt;=2,H860&lt;=2),"HIBERNATING",TRUE(),"Other")</f>
        <v>HIBERNATING</v>
      </c>
      <c r="K860" s="1" t="n">
        <f aca="false">RANK(E860,$E$7:$E$4378)+COUNTIF($E$7:E860,E860)-1</f>
        <v>3730</v>
      </c>
    </row>
    <row r="861" customFormat="false" ht="14.25" hidden="false" customHeight="true" outlineLevel="0" collapsed="false">
      <c r="A861" s="51" t="n">
        <v>13483</v>
      </c>
      <c r="B861" s="53" t="n">
        <v>40821.4951388889</v>
      </c>
      <c r="C861" s="57" t="n">
        <f aca="false">INT($C$2)-INT(Table3[[#This Row],[Last Purchase Date]])</f>
        <v>66</v>
      </c>
      <c r="D861" s="1" t="n">
        <v>1</v>
      </c>
      <c r="E861" s="1" t="n">
        <v>140.34</v>
      </c>
      <c r="F861" s="1" t="n">
        <f aca="false">ROUND((1-_xlfn.PERCENTRANK.INC($C$7:$C$4378,C861))*9,0)</f>
        <v>4</v>
      </c>
      <c r="G861" s="1" t="n">
        <f aca="false">ROUND(_xlfn.PERCENTRANK.INC($D$7:$D$4378,D861)*9,0)</f>
        <v>0</v>
      </c>
      <c r="H861" s="1" t="n">
        <f aca="false">ROUND(_xlfn.PERCENTRANK.INC($E$7:$E$4378,E861)*9,0)</f>
        <v>1</v>
      </c>
      <c r="I861" s="1" t="str">
        <f aca="false">CONCATENATE(F861,G861,H861)</f>
        <v>401</v>
      </c>
      <c r="J861" s="1" t="str">
        <f aca="false">_xlfn.IFS(AND(F861&gt;=8,G861&gt;=8,H861&gt;=8),"CHAMPION",AND(F861&gt;=6,G861&gt;=7,H861&gt;=6),"LOYAL CUSTOMER",AND(F861&gt;=6,G861&gt;=5,H861&gt;=5),"POTENTIAL LOYALIST",AND(F861&gt;=8,G861&lt;=2,H861&gt;=5),"NEW CUSTOMERS",AND(F861&gt;=6,G861&lt;=2,H861&gt;=3),"PROMISING",AND(F861&gt;=3,G861&gt;=3,H861&gt;=3),"NEED ATTENTION",AND(F861&lt;=4,G861&gt;=6,H861&gt;=6),"AT RISK",AND(F861&lt;=2,G861&gt;=8,H861&gt;=8),"CAN'T LOSE THEM",AND(F861&lt;=2,G861&lt;=2,H861&lt;=2),"HIBERNATING",TRUE(),"Other")</f>
        <v>Other</v>
      </c>
      <c r="K861" s="1" t="n">
        <f aca="false">RANK(E861,$E$7:$E$4378)+COUNTIF($E$7:E861,E861)-1</f>
        <v>3956</v>
      </c>
    </row>
    <row r="862" customFormat="false" ht="14.25" hidden="false" customHeight="true" outlineLevel="0" collapsed="false">
      <c r="A862" s="51" t="n">
        <v>13484</v>
      </c>
      <c r="B862" s="53" t="n">
        <v>40645.6875</v>
      </c>
      <c r="C862" s="57" t="n">
        <f aca="false">INT($C$2)-INT(Table3[[#This Row],[Last Purchase Date]])</f>
        <v>242</v>
      </c>
      <c r="D862" s="1" t="n">
        <v>1</v>
      </c>
      <c r="E862" s="1" t="n">
        <v>313.8</v>
      </c>
      <c r="F862" s="1" t="n">
        <f aca="false">ROUND((1-_xlfn.PERCENTRANK.INC($C$7:$C$4378,C862))*9,0)</f>
        <v>1</v>
      </c>
      <c r="G862" s="1" t="n">
        <f aca="false">ROUND(_xlfn.PERCENTRANK.INC($D$7:$D$4378,D862)*9,0)</f>
        <v>0</v>
      </c>
      <c r="H862" s="1" t="n">
        <f aca="false">ROUND(_xlfn.PERCENTRANK.INC($E$7:$E$4378,E862)*9,0)</f>
        <v>2</v>
      </c>
      <c r="I862" s="1" t="str">
        <f aca="false">CONCATENATE(F862,G862,H862)</f>
        <v>102</v>
      </c>
      <c r="J862" s="1" t="str">
        <f aca="false">_xlfn.IFS(AND(F862&gt;=8,G862&gt;=8,H862&gt;=8),"CHAMPION",AND(F862&gt;=6,G862&gt;=7,H862&gt;=6),"LOYAL CUSTOMER",AND(F862&gt;=6,G862&gt;=5,H862&gt;=5),"POTENTIAL LOYALIST",AND(F862&gt;=8,G862&lt;=2,H862&gt;=5),"NEW CUSTOMERS",AND(F862&gt;=6,G862&lt;=2,H862&gt;=3),"PROMISING",AND(F862&gt;=3,G862&gt;=3,H862&gt;=3),"NEED ATTENTION",AND(F862&lt;=4,G862&gt;=6,H862&gt;=6),"AT RISK",AND(F862&lt;=2,G862&gt;=8,H862&gt;=8),"CAN'T LOSE THEM",AND(F862&lt;=2,G862&lt;=2,H862&lt;=2),"HIBERNATING",TRUE(),"Other")</f>
        <v>HIBERNATING</v>
      </c>
      <c r="K862" s="1" t="n">
        <f aca="false">RANK(E862,$E$7:$E$4378)+COUNTIF($E$7:E862,E862)-1</f>
        <v>3170</v>
      </c>
    </row>
    <row r="863" customFormat="false" ht="14.25" hidden="false" customHeight="true" outlineLevel="0" collapsed="false">
      <c r="A863" s="51" t="n">
        <v>13485</v>
      </c>
      <c r="B863" s="53" t="n">
        <v>40653.5819444444</v>
      </c>
      <c r="C863" s="57" t="n">
        <f aca="false">INT($C$2)-INT(Table3[[#This Row],[Last Purchase Date]])</f>
        <v>234</v>
      </c>
      <c r="D863" s="1" t="n">
        <v>1</v>
      </c>
      <c r="E863" s="1" t="n">
        <v>454.24</v>
      </c>
      <c r="F863" s="1" t="n">
        <f aca="false">ROUND((1-_xlfn.PERCENTRANK.INC($C$7:$C$4378,C863))*9,0)</f>
        <v>1</v>
      </c>
      <c r="G863" s="1" t="n">
        <f aca="false">ROUND(_xlfn.PERCENTRANK.INC($D$7:$D$4378,D863)*9,0)</f>
        <v>0</v>
      </c>
      <c r="H863" s="1" t="n">
        <f aca="false">ROUND(_xlfn.PERCENTRANK.INC($E$7:$E$4378,E863)*9,0)</f>
        <v>4</v>
      </c>
      <c r="I863" s="1" t="str">
        <f aca="false">CONCATENATE(F863,G863,H863)</f>
        <v>104</v>
      </c>
      <c r="J863" s="1" t="str">
        <f aca="false">_xlfn.IFS(AND(F863&gt;=8,G863&gt;=8,H863&gt;=8),"CHAMPION",AND(F863&gt;=6,G863&gt;=7,H863&gt;=6),"LOYAL CUSTOMER",AND(F863&gt;=6,G863&gt;=5,H863&gt;=5),"POTENTIAL LOYALIST",AND(F863&gt;=8,G863&lt;=2,H863&gt;=5),"NEW CUSTOMERS",AND(F863&gt;=6,G863&lt;=2,H863&gt;=3),"PROMISING",AND(F863&gt;=3,G863&gt;=3,H863&gt;=3),"NEED ATTENTION",AND(F863&lt;=4,G863&gt;=6,H863&gt;=6),"AT RISK",AND(F863&lt;=2,G863&gt;=8,H863&gt;=8),"CAN'T LOSE THEM",AND(F863&lt;=2,G863&lt;=2,H863&lt;=2),"HIBERNATING",TRUE(),"Other")</f>
        <v>Other</v>
      </c>
      <c r="K863" s="1" t="n">
        <f aca="false">RANK(E863,$E$7:$E$4378)+COUNTIF($E$7:E863,E863)-1</f>
        <v>2661</v>
      </c>
    </row>
    <row r="864" customFormat="false" ht="14.25" hidden="false" customHeight="true" outlineLevel="0" collapsed="false">
      <c r="A864" s="51" t="n">
        <v>13486</v>
      </c>
      <c r="B864" s="53" t="n">
        <v>40808.5506944444</v>
      </c>
      <c r="C864" s="57" t="n">
        <f aca="false">INT($C$2)-INT(Table3[[#This Row],[Last Purchase Date]])</f>
        <v>79</v>
      </c>
      <c r="D864" s="1" t="n">
        <v>3</v>
      </c>
      <c r="E864" s="1" t="n">
        <v>1122.41</v>
      </c>
      <c r="F864" s="1" t="n">
        <f aca="false">ROUND((1-_xlfn.PERCENTRANK.INC($C$7:$C$4378,C864))*9,0)</f>
        <v>3</v>
      </c>
      <c r="G864" s="1" t="n">
        <f aca="false">ROUND(_xlfn.PERCENTRANK.INC($D$7:$D$4378,D864)*9,0)</f>
        <v>4</v>
      </c>
      <c r="H864" s="1" t="n">
        <f aca="false">ROUND(_xlfn.PERCENTRANK.INC($E$7:$E$4378,E864)*9,0)</f>
        <v>6</v>
      </c>
      <c r="I864" s="1" t="str">
        <f aca="false">CONCATENATE(F864,G864,H864)</f>
        <v>346</v>
      </c>
      <c r="J864" s="1" t="str">
        <f aca="false">_xlfn.IFS(AND(F864&gt;=8,G864&gt;=8,H864&gt;=8),"CHAMPION",AND(F864&gt;=6,G864&gt;=7,H864&gt;=6),"LOYAL CUSTOMER",AND(F864&gt;=6,G864&gt;=5,H864&gt;=5),"POTENTIAL LOYALIST",AND(F864&gt;=8,G864&lt;=2,H864&gt;=5),"NEW CUSTOMERS",AND(F864&gt;=6,G864&lt;=2,H864&gt;=3),"PROMISING",AND(F864&gt;=3,G864&gt;=3,H864&gt;=3),"NEED ATTENTION",AND(F864&lt;=4,G864&gt;=6,H864&gt;=6),"AT RISK",AND(F864&lt;=2,G864&gt;=8,H864&gt;=8),"CAN'T LOSE THEM",AND(F864&lt;=2,G864&lt;=2,H864&lt;=2),"HIBERNATING",TRUE(),"Other")</f>
        <v>NEED ATTENTION</v>
      </c>
      <c r="K864" s="1" t="n">
        <f aca="false">RANK(E864,$E$7:$E$4378)+COUNTIF($E$7:E864,E864)-1</f>
        <v>1483</v>
      </c>
    </row>
    <row r="865" customFormat="false" ht="14.25" hidden="false" customHeight="true" outlineLevel="0" collapsed="false">
      <c r="A865" s="51" t="n">
        <v>13487</v>
      </c>
      <c r="B865" s="53" t="n">
        <v>40829.5048611111</v>
      </c>
      <c r="C865" s="57" t="n">
        <f aca="false">INT($C$2)-INT(Table3[[#This Row],[Last Purchase Date]])</f>
        <v>58</v>
      </c>
      <c r="D865" s="1" t="n">
        <v>3</v>
      </c>
      <c r="E865" s="1" t="n">
        <v>575.4</v>
      </c>
      <c r="F865" s="1" t="n">
        <f aca="false">ROUND((1-_xlfn.PERCENTRANK.INC($C$7:$C$4378,C865))*9,0)</f>
        <v>4</v>
      </c>
      <c r="G865" s="1" t="n">
        <f aca="false">ROUND(_xlfn.PERCENTRANK.INC($D$7:$D$4378,D865)*9,0)</f>
        <v>4</v>
      </c>
      <c r="H865" s="1" t="n">
        <f aca="false">ROUND(_xlfn.PERCENTRANK.INC($E$7:$E$4378,E865)*9,0)</f>
        <v>4</v>
      </c>
      <c r="I865" s="1" t="str">
        <f aca="false">CONCATENATE(F865,G865,H865)</f>
        <v>444</v>
      </c>
      <c r="J865" s="1" t="str">
        <f aca="false">_xlfn.IFS(AND(F865&gt;=8,G865&gt;=8,H865&gt;=8),"CHAMPION",AND(F865&gt;=6,G865&gt;=7,H865&gt;=6),"LOYAL CUSTOMER",AND(F865&gt;=6,G865&gt;=5,H865&gt;=5),"POTENTIAL LOYALIST",AND(F865&gt;=8,G865&lt;=2,H865&gt;=5),"NEW CUSTOMERS",AND(F865&gt;=6,G865&lt;=2,H865&gt;=3),"PROMISING",AND(F865&gt;=3,G865&gt;=3,H865&gt;=3),"NEED ATTENTION",AND(F865&lt;=4,G865&gt;=6,H865&gt;=6),"AT RISK",AND(F865&lt;=2,G865&gt;=8,H865&gt;=8),"CAN'T LOSE THEM",AND(F865&lt;=2,G865&lt;=2,H865&lt;=2),"HIBERNATING",TRUE(),"Other")</f>
        <v>NEED ATTENTION</v>
      </c>
      <c r="K865" s="1" t="n">
        <f aca="false">RANK(E865,$E$7:$E$4378)+COUNTIF($E$7:E865,E865)-1</f>
        <v>2381</v>
      </c>
    </row>
    <row r="866" customFormat="false" ht="14.25" hidden="false" customHeight="true" outlineLevel="0" collapsed="false">
      <c r="A866" s="51" t="n">
        <v>13488</v>
      </c>
      <c r="B866" s="53" t="n">
        <v>40869.6118055556</v>
      </c>
      <c r="C866" s="57" t="n">
        <f aca="false">INT($C$2)-INT(Table3[[#This Row],[Last Purchase Date]])</f>
        <v>18</v>
      </c>
      <c r="D866" s="1" t="n">
        <v>17</v>
      </c>
      <c r="E866" s="1" t="n">
        <v>8910.61</v>
      </c>
      <c r="F866" s="1" t="n">
        <f aca="false">ROUND((1-_xlfn.PERCENTRANK.INC($C$7:$C$4378,C866))*9,0)</f>
        <v>7</v>
      </c>
      <c r="G866" s="1" t="n">
        <f aca="false">ROUND(_xlfn.PERCENTRANK.INC($D$7:$D$4378,D866)*9,0)</f>
        <v>9</v>
      </c>
      <c r="H866" s="1" t="n">
        <f aca="false">ROUND(_xlfn.PERCENTRANK.INC($E$7:$E$4378,E866)*9,0)</f>
        <v>9</v>
      </c>
      <c r="I866" s="1" t="str">
        <f aca="false">CONCATENATE(F866,G866,H866)</f>
        <v>799</v>
      </c>
      <c r="J866" s="1" t="str">
        <f aca="false">_xlfn.IFS(AND(F866&gt;=8,G866&gt;=8,H866&gt;=8),"CHAMPION",AND(F866&gt;=6,G866&gt;=7,H866&gt;=6),"LOYAL CUSTOMER",AND(F866&gt;=6,G866&gt;=5,H866&gt;=5),"POTENTIAL LOYALIST",AND(F866&gt;=8,G866&lt;=2,H866&gt;=5),"NEW CUSTOMERS",AND(F866&gt;=6,G866&lt;=2,H866&gt;=3),"PROMISING",AND(F866&gt;=3,G866&gt;=3,H866&gt;=3),"NEED ATTENTION",AND(F866&lt;=4,G866&gt;=6,H866&gt;=6),"AT RISK",AND(F866&lt;=2,G866&gt;=8,H866&gt;=8),"CAN'T LOSE THEM",AND(F866&lt;=2,G866&lt;=2,H866&lt;=2),"HIBERNATING",TRUE(),"Other")</f>
        <v>LOYAL CUSTOMER</v>
      </c>
      <c r="K866" s="1" t="n">
        <f aca="false">RANK(E866,$E$7:$E$4378)+COUNTIF($E$7:E866,E866)-1</f>
        <v>113</v>
      </c>
    </row>
    <row r="867" customFormat="false" ht="14.25" hidden="false" customHeight="true" outlineLevel="0" collapsed="false">
      <c r="A867" s="51" t="n">
        <v>13489</v>
      </c>
      <c r="B867" s="53" t="n">
        <v>40781.5527777778</v>
      </c>
      <c r="C867" s="57" t="n">
        <f aca="false">INT($C$2)-INT(Table3[[#This Row],[Last Purchase Date]])</f>
        <v>106</v>
      </c>
      <c r="D867" s="1" t="n">
        <v>4</v>
      </c>
      <c r="E867" s="1" t="n">
        <v>449.52</v>
      </c>
      <c r="F867" s="1" t="n">
        <f aca="false">ROUND((1-_xlfn.PERCENTRANK.INC($C$7:$C$4378,C867))*9,0)</f>
        <v>3</v>
      </c>
      <c r="G867" s="1" t="n">
        <f aca="false">ROUND(_xlfn.PERCENTRANK.INC($D$7:$D$4378,D867)*9,0)</f>
        <v>5</v>
      </c>
      <c r="H867" s="1" t="n">
        <f aca="false">ROUND(_xlfn.PERCENTRANK.INC($E$7:$E$4378,E867)*9,0)</f>
        <v>3</v>
      </c>
      <c r="I867" s="1" t="str">
        <f aca="false">CONCATENATE(F867,G867,H867)</f>
        <v>353</v>
      </c>
      <c r="J867" s="1" t="str">
        <f aca="false">_xlfn.IFS(AND(F867&gt;=8,G867&gt;=8,H867&gt;=8),"CHAMPION",AND(F867&gt;=6,G867&gt;=7,H867&gt;=6),"LOYAL CUSTOMER",AND(F867&gt;=6,G867&gt;=5,H867&gt;=5),"POTENTIAL LOYALIST",AND(F867&gt;=8,G867&lt;=2,H867&gt;=5),"NEW CUSTOMERS",AND(F867&gt;=6,G867&lt;=2,H867&gt;=3),"PROMISING",AND(F867&gt;=3,G867&gt;=3,H867&gt;=3),"NEED ATTENTION",AND(F867&lt;=4,G867&gt;=6,H867&gt;=6),"AT RISK",AND(F867&lt;=2,G867&gt;=8,H867&gt;=8),"CAN'T LOSE THEM",AND(F867&lt;=2,G867&lt;=2,H867&lt;=2),"HIBERNATING",TRUE(),"Other")</f>
        <v>NEED ATTENTION</v>
      </c>
      <c r="K867" s="1" t="n">
        <f aca="false">RANK(E867,$E$7:$E$4378)+COUNTIF($E$7:E867,E867)-1</f>
        <v>2675</v>
      </c>
    </row>
    <row r="868" customFormat="false" ht="14.25" hidden="false" customHeight="true" outlineLevel="0" collapsed="false">
      <c r="A868" s="51" t="n">
        <v>13491</v>
      </c>
      <c r="B868" s="53" t="n">
        <v>40835.3555555556</v>
      </c>
      <c r="C868" s="57" t="n">
        <f aca="false">INT($C$2)-INT(Table3[[#This Row],[Last Purchase Date]])</f>
        <v>52</v>
      </c>
      <c r="D868" s="1" t="n">
        <v>10</v>
      </c>
      <c r="E868" s="1" t="n">
        <v>1215.82</v>
      </c>
      <c r="F868" s="1" t="n">
        <f aca="false">ROUND((1-_xlfn.PERCENTRANK.INC($C$7:$C$4378,C868))*9,0)</f>
        <v>4</v>
      </c>
      <c r="G868" s="1" t="n">
        <f aca="false">ROUND(_xlfn.PERCENTRANK.INC($D$7:$D$4378,D868)*9,0)</f>
        <v>8</v>
      </c>
      <c r="H868" s="1" t="n">
        <f aca="false">ROUND(_xlfn.PERCENTRANK.INC($E$7:$E$4378,E868)*9,0)</f>
        <v>6</v>
      </c>
      <c r="I868" s="1" t="str">
        <f aca="false">CONCATENATE(F868,G868,H868)</f>
        <v>486</v>
      </c>
      <c r="J868" s="1" t="str">
        <f aca="false">_xlfn.IFS(AND(F868&gt;=8,G868&gt;=8,H868&gt;=8),"CHAMPION",AND(F868&gt;=6,G868&gt;=7,H868&gt;=6),"LOYAL CUSTOMER",AND(F868&gt;=6,G868&gt;=5,H868&gt;=5),"POTENTIAL LOYALIST",AND(F868&gt;=8,G868&lt;=2,H868&gt;=5),"NEW CUSTOMERS",AND(F868&gt;=6,G868&lt;=2,H868&gt;=3),"PROMISING",AND(F868&gt;=3,G868&gt;=3,H868&gt;=3),"NEED ATTENTION",AND(F868&lt;=4,G868&gt;=6,H868&gt;=6),"AT RISK",AND(F868&lt;=2,G868&gt;=8,H868&gt;=8),"CAN'T LOSE THEM",AND(F868&lt;=2,G868&lt;=2,H868&lt;=2),"HIBERNATING",TRUE(),"Other")</f>
        <v>NEED ATTENTION</v>
      </c>
      <c r="K868" s="1" t="n">
        <f aca="false">RANK(E868,$E$7:$E$4378)+COUNTIF($E$7:E868,E868)-1</f>
        <v>1398</v>
      </c>
    </row>
    <row r="869" customFormat="false" ht="14.25" hidden="false" customHeight="true" outlineLevel="0" collapsed="false">
      <c r="A869" s="51" t="n">
        <v>13492</v>
      </c>
      <c r="B869" s="53" t="n">
        <v>40750.6006944445</v>
      </c>
      <c r="C869" s="57" t="n">
        <f aca="false">INT($C$2)-INT(Table3[[#This Row],[Last Purchase Date]])</f>
        <v>137</v>
      </c>
      <c r="D869" s="1" t="n">
        <v>3</v>
      </c>
      <c r="E869" s="1" t="n">
        <v>1269.84</v>
      </c>
      <c r="F869" s="1" t="n">
        <f aca="false">ROUND((1-_xlfn.PERCENTRANK.INC($C$7:$C$4378,C869))*9,0)</f>
        <v>2</v>
      </c>
      <c r="G869" s="1" t="n">
        <f aca="false">ROUND(_xlfn.PERCENTRANK.INC($D$7:$D$4378,D869)*9,0)</f>
        <v>4</v>
      </c>
      <c r="H869" s="1" t="n">
        <f aca="false">ROUND(_xlfn.PERCENTRANK.INC($E$7:$E$4378,E869)*9,0)</f>
        <v>6</v>
      </c>
      <c r="I869" s="1" t="str">
        <f aca="false">CONCATENATE(F869,G869,H869)</f>
        <v>246</v>
      </c>
      <c r="J869" s="1" t="str">
        <f aca="false">_xlfn.IFS(AND(F869&gt;=8,G869&gt;=8,H869&gt;=8),"CHAMPION",AND(F869&gt;=6,G869&gt;=7,H869&gt;=6),"LOYAL CUSTOMER",AND(F869&gt;=6,G869&gt;=5,H869&gt;=5),"POTENTIAL LOYALIST",AND(F869&gt;=8,G869&lt;=2,H869&gt;=5),"NEW CUSTOMERS",AND(F869&gt;=6,G869&lt;=2,H869&gt;=3),"PROMISING",AND(F869&gt;=3,G869&gt;=3,H869&gt;=3),"NEED ATTENTION",AND(F869&lt;=4,G869&gt;=6,H869&gt;=6),"AT RISK",AND(F869&lt;=2,G869&gt;=8,H869&gt;=8),"CAN'T LOSE THEM",AND(F869&lt;=2,G869&lt;=2,H869&lt;=2),"HIBERNATING",TRUE(),"Other")</f>
        <v>Other</v>
      </c>
      <c r="K869" s="1" t="n">
        <f aca="false">RANK(E869,$E$7:$E$4378)+COUNTIF($E$7:E869,E869)-1</f>
        <v>1352</v>
      </c>
    </row>
    <row r="870" customFormat="false" ht="14.25" hidden="false" customHeight="true" outlineLevel="0" collapsed="false">
      <c r="A870" s="51" t="n">
        <v>13493</v>
      </c>
      <c r="B870" s="53" t="n">
        <v>40611.6493055556</v>
      </c>
      <c r="C870" s="57" t="n">
        <f aca="false">INT($C$2)-INT(Table3[[#This Row],[Last Purchase Date]])</f>
        <v>276</v>
      </c>
      <c r="D870" s="1" t="n">
        <v>2</v>
      </c>
      <c r="E870" s="1" t="n">
        <v>618.63</v>
      </c>
      <c r="F870" s="1" t="n">
        <f aca="false">ROUND((1-_xlfn.PERCENTRANK.INC($C$7:$C$4378,C870))*9,0)</f>
        <v>1</v>
      </c>
      <c r="G870" s="1" t="n">
        <f aca="false">ROUND(_xlfn.PERCENTRANK.INC($D$7:$D$4378,D870)*9,0)</f>
        <v>3</v>
      </c>
      <c r="H870" s="1" t="n">
        <f aca="false">ROUND(_xlfn.PERCENTRANK.INC($E$7:$E$4378,E870)*9,0)</f>
        <v>4</v>
      </c>
      <c r="I870" s="1" t="str">
        <f aca="false">CONCATENATE(F870,G870,H870)</f>
        <v>134</v>
      </c>
      <c r="J870" s="1" t="str">
        <f aca="false">_xlfn.IFS(AND(F870&gt;=8,G870&gt;=8,H870&gt;=8),"CHAMPION",AND(F870&gt;=6,G870&gt;=7,H870&gt;=6),"LOYAL CUSTOMER",AND(F870&gt;=6,G870&gt;=5,H870&gt;=5),"POTENTIAL LOYALIST",AND(F870&gt;=8,G870&lt;=2,H870&gt;=5),"NEW CUSTOMERS",AND(F870&gt;=6,G870&lt;=2,H870&gt;=3),"PROMISING",AND(F870&gt;=3,G870&gt;=3,H870&gt;=3),"NEED ATTENTION",AND(F870&lt;=4,G870&gt;=6,H870&gt;=6),"AT RISK",AND(F870&lt;=2,G870&gt;=8,H870&gt;=8),"CAN'T LOSE THEM",AND(F870&lt;=2,G870&lt;=2,H870&lt;=2),"HIBERNATING",TRUE(),"Other")</f>
        <v>Other</v>
      </c>
      <c r="K870" s="1" t="n">
        <f aca="false">RANK(E870,$E$7:$E$4378)+COUNTIF($E$7:E870,E870)-1</f>
        <v>2259</v>
      </c>
    </row>
    <row r="871" customFormat="false" ht="14.25" hidden="false" customHeight="true" outlineLevel="0" collapsed="false">
      <c r="A871" s="51" t="n">
        <v>13494</v>
      </c>
      <c r="B871" s="53" t="n">
        <v>40575.4986111111</v>
      </c>
      <c r="C871" s="57" t="n">
        <f aca="false">INT($C$2)-INT(Table3[[#This Row],[Last Purchase Date]])</f>
        <v>312</v>
      </c>
      <c r="D871" s="1" t="n">
        <v>1</v>
      </c>
      <c r="E871" s="1" t="n">
        <v>316.26</v>
      </c>
      <c r="F871" s="1" t="n">
        <f aca="false">ROUND((1-_xlfn.PERCENTRANK.INC($C$7:$C$4378,C871))*9,0)</f>
        <v>0</v>
      </c>
      <c r="G871" s="1" t="n">
        <f aca="false">ROUND(_xlfn.PERCENTRANK.INC($D$7:$D$4378,D871)*9,0)</f>
        <v>0</v>
      </c>
      <c r="H871" s="1" t="n">
        <f aca="false">ROUND(_xlfn.PERCENTRANK.INC($E$7:$E$4378,E871)*9,0)</f>
        <v>3</v>
      </c>
      <c r="I871" s="1" t="str">
        <f aca="false">CONCATENATE(F871,G871,H871)</f>
        <v>003</v>
      </c>
      <c r="J871" s="1" t="str">
        <f aca="false">_xlfn.IFS(AND(F871&gt;=8,G871&gt;=8,H871&gt;=8),"CHAMPION",AND(F871&gt;=6,G871&gt;=7,H871&gt;=6),"LOYAL CUSTOMER",AND(F871&gt;=6,G871&gt;=5,H871&gt;=5),"POTENTIAL LOYALIST",AND(F871&gt;=8,G871&lt;=2,H871&gt;=5),"NEW CUSTOMERS",AND(F871&gt;=6,G871&lt;=2,H871&gt;=3),"PROMISING",AND(F871&gt;=3,G871&gt;=3,H871&gt;=3),"NEED ATTENTION",AND(F871&lt;=4,G871&gt;=6,H871&gt;=6),"AT RISK",AND(F871&lt;=2,G871&gt;=8,H871&gt;=8),"CAN'T LOSE THEM",AND(F871&lt;=2,G871&lt;=2,H871&lt;=2),"HIBERNATING",TRUE(),"Other")</f>
        <v>Other</v>
      </c>
      <c r="K871" s="1" t="n">
        <f aca="false">RANK(E871,$E$7:$E$4378)+COUNTIF($E$7:E871,E871)-1</f>
        <v>3158</v>
      </c>
    </row>
    <row r="872" customFormat="false" ht="14.25" hidden="false" customHeight="true" outlineLevel="0" collapsed="false">
      <c r="A872" s="51" t="n">
        <v>13495</v>
      </c>
      <c r="B872" s="53" t="n">
        <v>40879.4729166667</v>
      </c>
      <c r="C872" s="57" t="n">
        <f aca="false">INT($C$2)-INT(Table3[[#This Row],[Last Purchase Date]])</f>
        <v>8</v>
      </c>
      <c r="D872" s="1" t="n">
        <v>6</v>
      </c>
      <c r="E872" s="1" t="n">
        <v>1990.12</v>
      </c>
      <c r="F872" s="1" t="n">
        <f aca="false">ROUND((1-_xlfn.PERCENTRANK.INC($C$7:$C$4378,C872))*9,0)</f>
        <v>8</v>
      </c>
      <c r="G872" s="1" t="n">
        <f aca="false">ROUND(_xlfn.PERCENTRANK.INC($D$7:$D$4378,D872)*9,0)</f>
        <v>7</v>
      </c>
      <c r="H872" s="1" t="n">
        <f aca="false">ROUND(_xlfn.PERCENTRANK.INC($E$7:$E$4378,E872)*9,0)</f>
        <v>7</v>
      </c>
      <c r="I872" s="1" t="str">
        <f aca="false">CONCATENATE(F872,G872,H872)</f>
        <v>877</v>
      </c>
      <c r="J872" s="1" t="str">
        <f aca="false">_xlfn.IFS(AND(F872&gt;=8,G872&gt;=8,H872&gt;=8),"CHAMPION",AND(F872&gt;=6,G872&gt;=7,H872&gt;=6),"LOYAL CUSTOMER",AND(F872&gt;=6,G872&gt;=5,H872&gt;=5),"POTENTIAL LOYALIST",AND(F872&gt;=8,G872&lt;=2,H872&gt;=5),"NEW CUSTOMERS",AND(F872&gt;=6,G872&lt;=2,H872&gt;=3),"PROMISING",AND(F872&gt;=3,G872&gt;=3,H872&gt;=3),"NEED ATTENTION",AND(F872&lt;=4,G872&gt;=6,H872&gt;=6),"AT RISK",AND(F872&lt;=2,G872&gt;=8,H872&gt;=8),"CAN'T LOSE THEM",AND(F872&lt;=2,G872&lt;=2,H872&lt;=2),"HIBERNATING",TRUE(),"Other")</f>
        <v>LOYAL CUSTOMER</v>
      </c>
      <c r="K872" s="1" t="n">
        <f aca="false">RANK(E872,$E$7:$E$4378)+COUNTIF($E$7:E872,E872)-1</f>
        <v>885</v>
      </c>
    </row>
    <row r="873" customFormat="false" ht="14.25" hidden="false" customHeight="true" outlineLevel="0" collapsed="false">
      <c r="A873" s="51" t="n">
        <v>13496</v>
      </c>
      <c r="B873" s="53" t="n">
        <v>40876.4569444444</v>
      </c>
      <c r="C873" s="57" t="n">
        <f aca="false">INT($C$2)-INT(Table3[[#This Row],[Last Purchase Date]])</f>
        <v>11</v>
      </c>
      <c r="D873" s="1" t="n">
        <v>3</v>
      </c>
      <c r="E873" s="1" t="n">
        <v>617.93</v>
      </c>
      <c r="F873" s="1" t="n">
        <f aca="false">ROUND((1-_xlfn.PERCENTRANK.INC($C$7:$C$4378,C873))*9,0)</f>
        <v>7</v>
      </c>
      <c r="G873" s="1" t="n">
        <f aca="false">ROUND(_xlfn.PERCENTRANK.INC($D$7:$D$4378,D873)*9,0)</f>
        <v>4</v>
      </c>
      <c r="H873" s="1" t="n">
        <f aca="false">ROUND(_xlfn.PERCENTRANK.INC($E$7:$E$4378,E873)*9,0)</f>
        <v>4</v>
      </c>
      <c r="I873" s="1" t="str">
        <f aca="false">CONCATENATE(F873,G873,H873)</f>
        <v>744</v>
      </c>
      <c r="J873" s="1" t="str">
        <f aca="false">_xlfn.IFS(AND(F873&gt;=8,G873&gt;=8,H873&gt;=8),"CHAMPION",AND(F873&gt;=6,G873&gt;=7,H873&gt;=6),"LOYAL CUSTOMER",AND(F873&gt;=6,G873&gt;=5,H873&gt;=5),"POTENTIAL LOYALIST",AND(F873&gt;=8,G873&lt;=2,H873&gt;=5),"NEW CUSTOMERS",AND(F873&gt;=6,G873&lt;=2,H873&gt;=3),"PROMISING",AND(F873&gt;=3,G873&gt;=3,H873&gt;=3),"NEED ATTENTION",AND(F873&lt;=4,G873&gt;=6,H873&gt;=6),"AT RISK",AND(F873&lt;=2,G873&gt;=8,H873&gt;=8),"CAN'T LOSE THEM",AND(F873&lt;=2,G873&lt;=2,H873&lt;=2),"HIBERNATING",TRUE(),"Other")</f>
        <v>NEED ATTENTION</v>
      </c>
      <c r="K873" s="1" t="n">
        <f aca="false">RANK(E873,$E$7:$E$4378)+COUNTIF($E$7:E873,E873)-1</f>
        <v>2264</v>
      </c>
    </row>
    <row r="874" customFormat="false" ht="14.25" hidden="false" customHeight="true" outlineLevel="0" collapsed="false">
      <c r="A874" s="51" t="n">
        <v>13497</v>
      </c>
      <c r="B874" s="53" t="n">
        <v>40604.3777777778</v>
      </c>
      <c r="C874" s="57" t="n">
        <f aca="false">INT($C$2)-INT(Table3[[#This Row],[Last Purchase Date]])</f>
        <v>283</v>
      </c>
      <c r="D874" s="1" t="n">
        <v>3</v>
      </c>
      <c r="E874" s="1" t="n">
        <v>321.05</v>
      </c>
      <c r="F874" s="1" t="n">
        <f aca="false">ROUND((1-_xlfn.PERCENTRANK.INC($C$7:$C$4378,C874))*9,0)</f>
        <v>1</v>
      </c>
      <c r="G874" s="1" t="n">
        <f aca="false">ROUND(_xlfn.PERCENTRANK.INC($D$7:$D$4378,D874)*9,0)</f>
        <v>4</v>
      </c>
      <c r="H874" s="1" t="n">
        <f aca="false">ROUND(_xlfn.PERCENTRANK.INC($E$7:$E$4378,E874)*9,0)</f>
        <v>3</v>
      </c>
      <c r="I874" s="1" t="str">
        <f aca="false">CONCATENATE(F874,G874,H874)</f>
        <v>143</v>
      </c>
      <c r="J874" s="1" t="str">
        <f aca="false">_xlfn.IFS(AND(F874&gt;=8,G874&gt;=8,H874&gt;=8),"CHAMPION",AND(F874&gt;=6,G874&gt;=7,H874&gt;=6),"LOYAL CUSTOMER",AND(F874&gt;=6,G874&gt;=5,H874&gt;=5),"POTENTIAL LOYALIST",AND(F874&gt;=8,G874&lt;=2,H874&gt;=5),"NEW CUSTOMERS",AND(F874&gt;=6,G874&lt;=2,H874&gt;=3),"PROMISING",AND(F874&gt;=3,G874&gt;=3,H874&gt;=3),"NEED ATTENTION",AND(F874&lt;=4,G874&gt;=6,H874&gt;=6),"AT RISK",AND(F874&lt;=2,G874&gt;=8,H874&gt;=8),"CAN'T LOSE THEM",AND(F874&lt;=2,G874&lt;=2,H874&lt;=2),"HIBERNATING",TRUE(),"Other")</f>
        <v>Other</v>
      </c>
      <c r="K874" s="1" t="n">
        <f aca="false">RANK(E874,$E$7:$E$4378)+COUNTIF($E$7:E874,E874)-1</f>
        <v>3132</v>
      </c>
    </row>
    <row r="875" customFormat="false" ht="14.25" hidden="false" customHeight="true" outlineLevel="0" collapsed="false">
      <c r="A875" s="51" t="n">
        <v>13499</v>
      </c>
      <c r="B875" s="53" t="n">
        <v>40869.4729166667</v>
      </c>
      <c r="C875" s="57" t="n">
        <f aca="false">INT($C$2)-INT(Table3[[#This Row],[Last Purchase Date]])</f>
        <v>18</v>
      </c>
      <c r="D875" s="1" t="n">
        <v>7</v>
      </c>
      <c r="E875" s="1" t="n">
        <v>1146.96</v>
      </c>
      <c r="F875" s="1" t="n">
        <f aca="false">ROUND((1-_xlfn.PERCENTRANK.INC($C$7:$C$4378,C875))*9,0)</f>
        <v>7</v>
      </c>
      <c r="G875" s="1" t="n">
        <f aca="false">ROUND(_xlfn.PERCENTRANK.INC($D$7:$D$4378,D875)*9,0)</f>
        <v>7</v>
      </c>
      <c r="H875" s="1" t="n">
        <f aca="false">ROUND(_xlfn.PERCENTRANK.INC($E$7:$E$4378,E875)*9,0)</f>
        <v>6</v>
      </c>
      <c r="I875" s="1" t="str">
        <f aca="false">CONCATENATE(F875,G875,H875)</f>
        <v>776</v>
      </c>
      <c r="J875" s="1" t="str">
        <f aca="false">_xlfn.IFS(AND(F875&gt;=8,G875&gt;=8,H875&gt;=8),"CHAMPION",AND(F875&gt;=6,G875&gt;=7,H875&gt;=6),"LOYAL CUSTOMER",AND(F875&gt;=6,G875&gt;=5,H875&gt;=5),"POTENTIAL LOYALIST",AND(F875&gt;=8,G875&lt;=2,H875&gt;=5),"NEW CUSTOMERS",AND(F875&gt;=6,G875&lt;=2,H875&gt;=3),"PROMISING",AND(F875&gt;=3,G875&gt;=3,H875&gt;=3),"NEED ATTENTION",AND(F875&lt;=4,G875&gt;=6,H875&gt;=6),"AT RISK",AND(F875&lt;=2,G875&gt;=8,H875&gt;=8),"CAN'T LOSE THEM",AND(F875&lt;=2,G875&lt;=2,H875&lt;=2),"HIBERNATING",TRUE(),"Other")</f>
        <v>LOYAL CUSTOMER</v>
      </c>
      <c r="K875" s="1" t="n">
        <f aca="false">RANK(E875,$E$7:$E$4378)+COUNTIF($E$7:E875,E875)-1</f>
        <v>1450</v>
      </c>
    </row>
    <row r="876" customFormat="false" ht="14.25" hidden="false" customHeight="true" outlineLevel="0" collapsed="false">
      <c r="A876" s="51" t="n">
        <v>13500</v>
      </c>
      <c r="B876" s="53" t="n">
        <v>40863.6493055556</v>
      </c>
      <c r="C876" s="57" t="n">
        <f aca="false">INT($C$2)-INT(Table3[[#This Row],[Last Purchase Date]])</f>
        <v>24</v>
      </c>
      <c r="D876" s="1" t="n">
        <v>4</v>
      </c>
      <c r="E876" s="1" t="n">
        <v>1136.77</v>
      </c>
      <c r="F876" s="1" t="n">
        <f aca="false">ROUND((1-_xlfn.PERCENTRANK.INC($C$7:$C$4378,C876))*9,0)</f>
        <v>6</v>
      </c>
      <c r="G876" s="1" t="n">
        <f aca="false">ROUND(_xlfn.PERCENTRANK.INC($D$7:$D$4378,D876)*9,0)</f>
        <v>5</v>
      </c>
      <c r="H876" s="1" t="n">
        <f aca="false">ROUND(_xlfn.PERCENTRANK.INC($E$7:$E$4378,E876)*9,0)</f>
        <v>6</v>
      </c>
      <c r="I876" s="1" t="str">
        <f aca="false">CONCATENATE(F876,G876,H876)</f>
        <v>656</v>
      </c>
      <c r="J876" s="1" t="str">
        <f aca="false">_xlfn.IFS(AND(F876&gt;=8,G876&gt;=8,H876&gt;=8),"CHAMPION",AND(F876&gt;=6,G876&gt;=7,H876&gt;=6),"LOYAL CUSTOMER",AND(F876&gt;=6,G876&gt;=5,H876&gt;=5),"POTENTIAL LOYALIST",AND(F876&gt;=8,G876&lt;=2,H876&gt;=5),"NEW CUSTOMERS",AND(F876&gt;=6,G876&lt;=2,H876&gt;=3),"PROMISING",AND(F876&gt;=3,G876&gt;=3,H876&gt;=3),"NEED ATTENTION",AND(F876&lt;=4,G876&gt;=6,H876&gt;=6),"AT RISK",AND(F876&lt;=2,G876&gt;=8,H876&gt;=8),"CAN'T LOSE THEM",AND(F876&lt;=2,G876&lt;=2,H876&lt;=2),"HIBERNATING",TRUE(),"Other")</f>
        <v>POTENTIAL LOYALIST</v>
      </c>
      <c r="K876" s="1" t="n">
        <f aca="false">RANK(E876,$E$7:$E$4378)+COUNTIF($E$7:E876,E876)-1</f>
        <v>1466</v>
      </c>
    </row>
    <row r="877" customFormat="false" ht="14.25" hidden="false" customHeight="true" outlineLevel="0" collapsed="false">
      <c r="A877" s="51" t="n">
        <v>13501</v>
      </c>
      <c r="B877" s="53" t="n">
        <v>40644.3993055556</v>
      </c>
      <c r="C877" s="57" t="n">
        <f aca="false">INT($C$2)-INT(Table3[[#This Row],[Last Purchase Date]])</f>
        <v>243</v>
      </c>
      <c r="D877" s="1" t="n">
        <v>2</v>
      </c>
      <c r="E877" s="1" t="n">
        <v>1310.47</v>
      </c>
      <c r="F877" s="1" t="n">
        <f aca="false">ROUND((1-_xlfn.PERCENTRANK.INC($C$7:$C$4378,C877))*9,0)</f>
        <v>1</v>
      </c>
      <c r="G877" s="1" t="n">
        <f aca="false">ROUND(_xlfn.PERCENTRANK.INC($D$7:$D$4378,D877)*9,0)</f>
        <v>3</v>
      </c>
      <c r="H877" s="1" t="n">
        <f aca="false">ROUND(_xlfn.PERCENTRANK.INC($E$7:$E$4378,E877)*9,0)</f>
        <v>6</v>
      </c>
      <c r="I877" s="1" t="str">
        <f aca="false">CONCATENATE(F877,G877,H877)</f>
        <v>136</v>
      </c>
      <c r="J877" s="1" t="str">
        <f aca="false">_xlfn.IFS(AND(F877&gt;=8,G877&gt;=8,H877&gt;=8),"CHAMPION",AND(F877&gt;=6,G877&gt;=7,H877&gt;=6),"LOYAL CUSTOMER",AND(F877&gt;=6,G877&gt;=5,H877&gt;=5),"POTENTIAL LOYALIST",AND(F877&gt;=8,G877&lt;=2,H877&gt;=5),"NEW CUSTOMERS",AND(F877&gt;=6,G877&lt;=2,H877&gt;=3),"PROMISING",AND(F877&gt;=3,G877&gt;=3,H877&gt;=3),"NEED ATTENTION",AND(F877&lt;=4,G877&gt;=6,H877&gt;=6),"AT RISK",AND(F877&lt;=2,G877&gt;=8,H877&gt;=8),"CAN'T LOSE THEM",AND(F877&lt;=2,G877&lt;=2,H877&lt;=2),"HIBERNATING",TRUE(),"Other")</f>
        <v>Other</v>
      </c>
      <c r="K877" s="1" t="n">
        <f aca="false">RANK(E877,$E$7:$E$4378)+COUNTIF($E$7:E877,E877)-1</f>
        <v>1316</v>
      </c>
    </row>
    <row r="878" customFormat="false" ht="14.25" hidden="false" customHeight="true" outlineLevel="0" collapsed="false">
      <c r="A878" s="51" t="n">
        <v>13502</v>
      </c>
      <c r="B878" s="53" t="n">
        <v>40870.44375</v>
      </c>
      <c r="C878" s="57" t="n">
        <f aca="false">INT($C$2)-INT(Table3[[#This Row],[Last Purchase Date]])</f>
        <v>17</v>
      </c>
      <c r="D878" s="1" t="n">
        <v>3</v>
      </c>
      <c r="E878" s="1" t="n">
        <v>292</v>
      </c>
      <c r="F878" s="1" t="n">
        <f aca="false">ROUND((1-_xlfn.PERCENTRANK.INC($C$7:$C$4378,C878))*9,0)</f>
        <v>7</v>
      </c>
      <c r="G878" s="1" t="n">
        <f aca="false">ROUND(_xlfn.PERCENTRANK.INC($D$7:$D$4378,D878)*9,0)</f>
        <v>4</v>
      </c>
      <c r="H878" s="1" t="n">
        <f aca="false">ROUND(_xlfn.PERCENTRANK.INC($E$7:$E$4378,E878)*9,0)</f>
        <v>2</v>
      </c>
      <c r="I878" s="1" t="str">
        <f aca="false">CONCATENATE(F878,G878,H878)</f>
        <v>742</v>
      </c>
      <c r="J878" s="1" t="str">
        <f aca="false">_xlfn.IFS(AND(F878&gt;=8,G878&gt;=8,H878&gt;=8),"CHAMPION",AND(F878&gt;=6,G878&gt;=7,H878&gt;=6),"LOYAL CUSTOMER",AND(F878&gt;=6,G878&gt;=5,H878&gt;=5),"POTENTIAL LOYALIST",AND(F878&gt;=8,G878&lt;=2,H878&gt;=5),"NEW CUSTOMERS",AND(F878&gt;=6,G878&lt;=2,H878&gt;=3),"PROMISING",AND(F878&gt;=3,G878&gt;=3,H878&gt;=3),"NEED ATTENTION",AND(F878&lt;=4,G878&gt;=6,H878&gt;=6),"AT RISK",AND(F878&lt;=2,G878&gt;=8,H878&gt;=8),"CAN'T LOSE THEM",AND(F878&lt;=2,G878&lt;=2,H878&lt;=2),"HIBERNATING",TRUE(),"Other")</f>
        <v>Other</v>
      </c>
      <c r="K878" s="1" t="n">
        <f aca="false">RANK(E878,$E$7:$E$4378)+COUNTIF($E$7:E878,E878)-1</f>
        <v>3285</v>
      </c>
    </row>
    <row r="879" customFormat="false" ht="14.25" hidden="false" customHeight="true" outlineLevel="0" collapsed="false">
      <c r="A879" s="51" t="n">
        <v>13503</v>
      </c>
      <c r="B879" s="53" t="n">
        <v>40815.5576388889</v>
      </c>
      <c r="C879" s="57" t="n">
        <f aca="false">INT($C$2)-INT(Table3[[#This Row],[Last Purchase Date]])</f>
        <v>72</v>
      </c>
      <c r="D879" s="1" t="n">
        <v>1</v>
      </c>
      <c r="E879" s="1" t="n">
        <v>216.85</v>
      </c>
      <c r="F879" s="1" t="n">
        <f aca="false">ROUND((1-_xlfn.PERCENTRANK.INC($C$7:$C$4378,C879))*9,0)</f>
        <v>4</v>
      </c>
      <c r="G879" s="1" t="n">
        <f aca="false">ROUND(_xlfn.PERCENTRANK.INC($D$7:$D$4378,D879)*9,0)</f>
        <v>0</v>
      </c>
      <c r="H879" s="1" t="n">
        <f aca="false">ROUND(_xlfn.PERCENTRANK.INC($E$7:$E$4378,E879)*9,0)</f>
        <v>2</v>
      </c>
      <c r="I879" s="1" t="str">
        <f aca="false">CONCATENATE(F879,G879,H879)</f>
        <v>402</v>
      </c>
      <c r="J879" s="1" t="str">
        <f aca="false">_xlfn.IFS(AND(F879&gt;=8,G879&gt;=8,H879&gt;=8),"CHAMPION",AND(F879&gt;=6,G879&gt;=7,H879&gt;=6),"LOYAL CUSTOMER",AND(F879&gt;=6,G879&gt;=5,H879&gt;=5),"POTENTIAL LOYALIST",AND(F879&gt;=8,G879&lt;=2,H879&gt;=5),"NEW CUSTOMERS",AND(F879&gt;=6,G879&lt;=2,H879&gt;=3),"PROMISING",AND(F879&gt;=3,G879&gt;=3,H879&gt;=3),"NEED ATTENTION",AND(F879&lt;=4,G879&gt;=6,H879&gt;=6),"AT RISK",AND(F879&lt;=2,G879&gt;=8,H879&gt;=8),"CAN'T LOSE THEM",AND(F879&lt;=2,G879&lt;=2,H879&lt;=2),"HIBERNATING",TRUE(),"Other")</f>
        <v>Other</v>
      </c>
      <c r="K879" s="1" t="n">
        <f aca="false">RANK(E879,$E$7:$E$4378)+COUNTIF($E$7:E879,E879)-1</f>
        <v>3574</v>
      </c>
    </row>
    <row r="880" customFormat="false" ht="14.25" hidden="false" customHeight="true" outlineLevel="0" collapsed="false">
      <c r="A880" s="51" t="n">
        <v>13504</v>
      </c>
      <c r="B880" s="53" t="n">
        <v>40822.5555555556</v>
      </c>
      <c r="C880" s="57" t="n">
        <f aca="false">INT($C$2)-INT(Table3[[#This Row],[Last Purchase Date]])</f>
        <v>65</v>
      </c>
      <c r="D880" s="1" t="n">
        <v>1</v>
      </c>
      <c r="E880" s="1" t="n">
        <v>295.93</v>
      </c>
      <c r="F880" s="1" t="n">
        <f aca="false">ROUND((1-_xlfn.PERCENTRANK.INC($C$7:$C$4378,C880))*9,0)</f>
        <v>4</v>
      </c>
      <c r="G880" s="1" t="n">
        <f aca="false">ROUND(_xlfn.PERCENTRANK.INC($D$7:$D$4378,D880)*9,0)</f>
        <v>0</v>
      </c>
      <c r="H880" s="1" t="n">
        <f aca="false">ROUND(_xlfn.PERCENTRANK.INC($E$7:$E$4378,E880)*9,0)</f>
        <v>2</v>
      </c>
      <c r="I880" s="1" t="str">
        <f aca="false">CONCATENATE(F880,G880,H880)</f>
        <v>402</v>
      </c>
      <c r="J880" s="1" t="str">
        <f aca="false">_xlfn.IFS(AND(F880&gt;=8,G880&gt;=8,H880&gt;=8),"CHAMPION",AND(F880&gt;=6,G880&gt;=7,H880&gt;=6),"LOYAL CUSTOMER",AND(F880&gt;=6,G880&gt;=5,H880&gt;=5),"POTENTIAL LOYALIST",AND(F880&gt;=8,G880&lt;=2,H880&gt;=5),"NEW CUSTOMERS",AND(F880&gt;=6,G880&lt;=2,H880&gt;=3),"PROMISING",AND(F880&gt;=3,G880&gt;=3,H880&gt;=3),"NEED ATTENTION",AND(F880&lt;=4,G880&gt;=6,H880&gt;=6),"AT RISK",AND(F880&lt;=2,G880&gt;=8,H880&gt;=8),"CAN'T LOSE THEM",AND(F880&lt;=2,G880&lt;=2,H880&lt;=2),"HIBERNATING",TRUE(),"Other")</f>
        <v>Other</v>
      </c>
      <c r="K880" s="1" t="n">
        <f aca="false">RANK(E880,$E$7:$E$4378)+COUNTIF($E$7:E880,E880)-1</f>
        <v>3272</v>
      </c>
    </row>
    <row r="881" customFormat="false" ht="14.25" hidden="false" customHeight="true" outlineLevel="0" collapsed="false">
      <c r="A881" s="51" t="n">
        <v>13505</v>
      </c>
      <c r="B881" s="53" t="n">
        <v>40819.5097222222</v>
      </c>
      <c r="C881" s="57" t="n">
        <f aca="false">INT($C$2)-INT(Table3[[#This Row],[Last Purchase Date]])</f>
        <v>68</v>
      </c>
      <c r="D881" s="1" t="n">
        <v>8</v>
      </c>
      <c r="E881" s="1" t="n">
        <v>4282.88</v>
      </c>
      <c r="F881" s="1" t="n">
        <f aca="false">ROUND((1-_xlfn.PERCENTRANK.INC($C$7:$C$4378,C881))*9,0)</f>
        <v>4</v>
      </c>
      <c r="G881" s="1" t="n">
        <f aca="false">ROUND(_xlfn.PERCENTRANK.INC($D$7:$D$4378,D881)*9,0)</f>
        <v>7</v>
      </c>
      <c r="H881" s="1" t="n">
        <f aca="false">ROUND(_xlfn.PERCENTRANK.INC($E$7:$E$4378,E881)*9,0)</f>
        <v>8</v>
      </c>
      <c r="I881" s="1" t="str">
        <f aca="false">CONCATENATE(F881,G881,H881)</f>
        <v>478</v>
      </c>
      <c r="J881" s="1" t="str">
        <f aca="false">_xlfn.IFS(AND(F881&gt;=8,G881&gt;=8,H881&gt;=8),"CHAMPION",AND(F881&gt;=6,G881&gt;=7,H881&gt;=6),"LOYAL CUSTOMER",AND(F881&gt;=6,G881&gt;=5,H881&gt;=5),"POTENTIAL LOYALIST",AND(F881&gt;=8,G881&lt;=2,H881&gt;=5),"NEW CUSTOMERS",AND(F881&gt;=6,G881&lt;=2,H881&gt;=3),"PROMISING",AND(F881&gt;=3,G881&gt;=3,H881&gt;=3),"NEED ATTENTION",AND(F881&lt;=4,G881&gt;=6,H881&gt;=6),"AT RISK",AND(F881&lt;=2,G881&gt;=8,H881&gt;=8),"CAN'T LOSE THEM",AND(F881&lt;=2,G881&lt;=2,H881&lt;=2),"HIBERNATING",TRUE(),"Other")</f>
        <v>NEED ATTENTION</v>
      </c>
      <c r="K881" s="1" t="n">
        <f aca="false">RANK(E881,$E$7:$E$4378)+COUNTIF($E$7:E881,E881)-1</f>
        <v>321</v>
      </c>
    </row>
    <row r="882" customFormat="false" ht="14.25" hidden="false" customHeight="true" outlineLevel="0" collapsed="false">
      <c r="A882" s="51" t="n">
        <v>13506</v>
      </c>
      <c r="B882" s="53" t="n">
        <v>40574.64375</v>
      </c>
      <c r="C882" s="57" t="n">
        <f aca="false">INT($C$2)-INT(Table3[[#This Row],[Last Purchase Date]])</f>
        <v>313</v>
      </c>
      <c r="D882" s="1" t="n">
        <v>3</v>
      </c>
      <c r="E882" s="1" t="n">
        <v>452.82</v>
      </c>
      <c r="F882" s="1" t="n">
        <f aca="false">ROUND((1-_xlfn.PERCENTRANK.INC($C$7:$C$4378,C882))*9,0)</f>
        <v>0</v>
      </c>
      <c r="G882" s="1" t="n">
        <f aca="false">ROUND(_xlfn.PERCENTRANK.INC($D$7:$D$4378,D882)*9,0)</f>
        <v>4</v>
      </c>
      <c r="H882" s="1" t="n">
        <f aca="false">ROUND(_xlfn.PERCENTRANK.INC($E$7:$E$4378,E882)*9,0)</f>
        <v>4</v>
      </c>
      <c r="I882" s="1" t="str">
        <f aca="false">CONCATENATE(F882,G882,H882)</f>
        <v>044</v>
      </c>
      <c r="J882" s="1" t="str">
        <f aca="false">_xlfn.IFS(AND(F882&gt;=8,G882&gt;=8,H882&gt;=8),"CHAMPION",AND(F882&gt;=6,G882&gt;=7,H882&gt;=6),"LOYAL CUSTOMER",AND(F882&gt;=6,G882&gt;=5,H882&gt;=5),"POTENTIAL LOYALIST",AND(F882&gt;=8,G882&lt;=2,H882&gt;=5),"NEW CUSTOMERS",AND(F882&gt;=6,G882&lt;=2,H882&gt;=3),"PROMISING",AND(F882&gt;=3,G882&gt;=3,H882&gt;=3),"NEED ATTENTION",AND(F882&lt;=4,G882&gt;=6,H882&gt;=6),"AT RISK",AND(F882&lt;=2,G882&gt;=8,H882&gt;=8),"CAN'T LOSE THEM",AND(F882&lt;=2,G882&lt;=2,H882&lt;=2),"HIBERNATING",TRUE(),"Other")</f>
        <v>Other</v>
      </c>
      <c r="K882" s="1" t="n">
        <f aca="false">RANK(E882,$E$7:$E$4378)+COUNTIF($E$7:E882,E882)-1</f>
        <v>2668</v>
      </c>
    </row>
    <row r="883" customFormat="false" ht="14.25" hidden="false" customHeight="true" outlineLevel="0" collapsed="false">
      <c r="A883" s="51" t="n">
        <v>13507</v>
      </c>
      <c r="B883" s="53" t="n">
        <v>40883.5506944444</v>
      </c>
      <c r="C883" s="57" t="n">
        <f aca="false">INT($C$2)-INT(Table3[[#This Row],[Last Purchase Date]])</f>
        <v>4</v>
      </c>
      <c r="D883" s="1" t="n">
        <v>4</v>
      </c>
      <c r="E883" s="1" t="n">
        <v>2479.16</v>
      </c>
      <c r="F883" s="1" t="n">
        <f aca="false">ROUND((1-_xlfn.PERCENTRANK.INC($C$7:$C$4378,C883))*9,0)</f>
        <v>8</v>
      </c>
      <c r="G883" s="1" t="n">
        <f aca="false">ROUND(_xlfn.PERCENTRANK.INC($D$7:$D$4378,D883)*9,0)</f>
        <v>5</v>
      </c>
      <c r="H883" s="1" t="n">
        <f aca="false">ROUND(_xlfn.PERCENTRANK.INC($E$7:$E$4378,E883)*9,0)</f>
        <v>8</v>
      </c>
      <c r="I883" s="1" t="str">
        <f aca="false">CONCATENATE(F883,G883,H883)</f>
        <v>858</v>
      </c>
      <c r="J883" s="1" t="str">
        <f aca="false">_xlfn.IFS(AND(F883&gt;=8,G883&gt;=8,H883&gt;=8),"CHAMPION",AND(F883&gt;=6,G883&gt;=7,H883&gt;=6),"LOYAL CUSTOMER",AND(F883&gt;=6,G883&gt;=5,H883&gt;=5),"POTENTIAL LOYALIST",AND(F883&gt;=8,G883&lt;=2,H883&gt;=5),"NEW CUSTOMERS",AND(F883&gt;=6,G883&lt;=2,H883&gt;=3),"PROMISING",AND(F883&gt;=3,G883&gt;=3,H883&gt;=3),"NEED ATTENTION",AND(F883&lt;=4,G883&gt;=6,H883&gt;=6),"AT RISK",AND(F883&lt;=2,G883&gt;=8,H883&gt;=8),"CAN'T LOSE THEM",AND(F883&lt;=2,G883&lt;=2,H883&lt;=2),"HIBERNATING",TRUE(),"Other")</f>
        <v>POTENTIAL LOYALIST</v>
      </c>
      <c r="K883" s="1" t="n">
        <f aca="false">RANK(E883,$E$7:$E$4378)+COUNTIF($E$7:E883,E883)-1</f>
        <v>689</v>
      </c>
    </row>
    <row r="884" customFormat="false" ht="14.25" hidden="false" customHeight="true" outlineLevel="0" collapsed="false">
      <c r="A884" s="51" t="n">
        <v>13508</v>
      </c>
      <c r="B884" s="53" t="n">
        <v>40643.4986111111</v>
      </c>
      <c r="C884" s="57" t="n">
        <f aca="false">INT($C$2)-INT(Table3[[#This Row],[Last Purchase Date]])</f>
        <v>244</v>
      </c>
      <c r="D884" s="1" t="n">
        <v>1</v>
      </c>
      <c r="E884" s="1" t="n">
        <v>110.97</v>
      </c>
      <c r="F884" s="1" t="n">
        <f aca="false">ROUND((1-_xlfn.PERCENTRANK.INC($C$7:$C$4378,C884))*9,0)</f>
        <v>1</v>
      </c>
      <c r="G884" s="1" t="n">
        <f aca="false">ROUND(_xlfn.PERCENTRANK.INC($D$7:$D$4378,D884)*9,0)</f>
        <v>0</v>
      </c>
      <c r="H884" s="1" t="n">
        <f aca="false">ROUND(_xlfn.PERCENTRANK.INC($E$7:$E$4378,E884)*9,0)</f>
        <v>1</v>
      </c>
      <c r="I884" s="1" t="str">
        <f aca="false">CONCATENATE(F884,G884,H884)</f>
        <v>101</v>
      </c>
      <c r="J884" s="1" t="str">
        <f aca="false">_xlfn.IFS(AND(F884&gt;=8,G884&gt;=8,H884&gt;=8),"CHAMPION",AND(F884&gt;=6,G884&gt;=7,H884&gt;=6),"LOYAL CUSTOMER",AND(F884&gt;=6,G884&gt;=5,H884&gt;=5),"POTENTIAL LOYALIST",AND(F884&gt;=8,G884&lt;=2,H884&gt;=5),"NEW CUSTOMERS",AND(F884&gt;=6,G884&lt;=2,H884&gt;=3),"PROMISING",AND(F884&gt;=3,G884&gt;=3,H884&gt;=3),"NEED ATTENTION",AND(F884&lt;=4,G884&gt;=6,H884&gt;=6),"AT RISK",AND(F884&lt;=2,G884&gt;=8,H884&gt;=8),"CAN'T LOSE THEM",AND(F884&lt;=2,G884&lt;=2,H884&lt;=2),"HIBERNATING",TRUE(),"Other")</f>
        <v>HIBERNATING</v>
      </c>
      <c r="K884" s="1" t="n">
        <f aca="false">RANK(E884,$E$7:$E$4378)+COUNTIF($E$7:E884,E884)-1</f>
        <v>4105</v>
      </c>
    </row>
    <row r="885" customFormat="false" ht="14.25" hidden="false" customHeight="true" outlineLevel="0" collapsed="false">
      <c r="A885" s="51" t="n">
        <v>13509</v>
      </c>
      <c r="B885" s="53" t="n">
        <v>40878.4236111111</v>
      </c>
      <c r="C885" s="57" t="n">
        <f aca="false">INT($C$2)-INT(Table3[[#This Row],[Last Purchase Date]])</f>
        <v>9</v>
      </c>
      <c r="D885" s="1" t="n">
        <v>7</v>
      </c>
      <c r="E885" s="1" t="n">
        <v>979.72</v>
      </c>
      <c r="F885" s="1" t="n">
        <f aca="false">ROUND((1-_xlfn.PERCENTRANK.INC($C$7:$C$4378,C885))*9,0)</f>
        <v>8</v>
      </c>
      <c r="G885" s="1" t="n">
        <f aca="false">ROUND(_xlfn.PERCENTRANK.INC($D$7:$D$4378,D885)*9,0)</f>
        <v>7</v>
      </c>
      <c r="H885" s="1" t="n">
        <f aca="false">ROUND(_xlfn.PERCENTRANK.INC($E$7:$E$4378,E885)*9,0)</f>
        <v>6</v>
      </c>
      <c r="I885" s="1" t="str">
        <f aca="false">CONCATENATE(F885,G885,H885)</f>
        <v>876</v>
      </c>
      <c r="J885" s="1" t="str">
        <f aca="false">_xlfn.IFS(AND(F885&gt;=8,G885&gt;=8,H885&gt;=8),"CHAMPION",AND(F885&gt;=6,G885&gt;=7,H885&gt;=6),"LOYAL CUSTOMER",AND(F885&gt;=6,G885&gt;=5,H885&gt;=5),"POTENTIAL LOYALIST",AND(F885&gt;=8,G885&lt;=2,H885&gt;=5),"NEW CUSTOMERS",AND(F885&gt;=6,G885&lt;=2,H885&gt;=3),"PROMISING",AND(F885&gt;=3,G885&gt;=3,H885&gt;=3),"NEED ATTENTION",AND(F885&lt;=4,G885&gt;=6,H885&gt;=6),"AT RISK",AND(F885&lt;=2,G885&gt;=8,H885&gt;=8),"CAN'T LOSE THEM",AND(F885&lt;=2,G885&lt;=2,H885&lt;=2),"HIBERNATING",TRUE(),"Other")</f>
        <v>LOYAL CUSTOMER</v>
      </c>
      <c r="K885" s="1" t="n">
        <f aca="false">RANK(E885,$E$7:$E$4378)+COUNTIF($E$7:E885,E885)-1</f>
        <v>1665</v>
      </c>
    </row>
    <row r="886" customFormat="false" ht="14.25" hidden="false" customHeight="true" outlineLevel="0" collapsed="false">
      <c r="A886" s="51" t="n">
        <v>13510</v>
      </c>
      <c r="B886" s="53" t="n">
        <v>40885.5736111111</v>
      </c>
      <c r="C886" s="57" t="n">
        <f aca="false">INT($C$2)-INT(Table3[[#This Row],[Last Purchase Date]])</f>
        <v>2</v>
      </c>
      <c r="D886" s="1" t="n">
        <v>5</v>
      </c>
      <c r="E886" s="1" t="n">
        <v>1785.16</v>
      </c>
      <c r="F886" s="1" t="n">
        <f aca="false">ROUND((1-_xlfn.PERCENTRANK.INC($C$7:$C$4378,C886))*9,0)</f>
        <v>9</v>
      </c>
      <c r="G886" s="1" t="n">
        <f aca="false">ROUND(_xlfn.PERCENTRANK.INC($D$7:$D$4378,D886)*9,0)</f>
        <v>6</v>
      </c>
      <c r="H886" s="1" t="n">
        <f aca="false">ROUND(_xlfn.PERCENTRANK.INC($E$7:$E$4378,E886)*9,0)</f>
        <v>7</v>
      </c>
      <c r="I886" s="1" t="str">
        <f aca="false">CONCATENATE(F886,G886,H886)</f>
        <v>967</v>
      </c>
      <c r="J886" s="1" t="str">
        <f aca="false">_xlfn.IFS(AND(F886&gt;=8,G886&gt;=8,H886&gt;=8),"CHAMPION",AND(F886&gt;=6,G886&gt;=7,H886&gt;=6),"LOYAL CUSTOMER",AND(F886&gt;=6,G886&gt;=5,H886&gt;=5),"POTENTIAL LOYALIST",AND(F886&gt;=8,G886&lt;=2,H886&gt;=5),"NEW CUSTOMERS",AND(F886&gt;=6,G886&lt;=2,H886&gt;=3),"PROMISING",AND(F886&gt;=3,G886&gt;=3,H886&gt;=3),"NEED ATTENTION",AND(F886&lt;=4,G886&gt;=6,H886&gt;=6),"AT RISK",AND(F886&lt;=2,G886&gt;=8,H886&gt;=8),"CAN'T LOSE THEM",AND(F886&lt;=2,G886&lt;=2,H886&lt;=2),"HIBERNATING",TRUE(),"Other")</f>
        <v>POTENTIAL LOYALIST</v>
      </c>
      <c r="K886" s="1" t="n">
        <f aca="false">RANK(E886,$E$7:$E$4378)+COUNTIF($E$7:E886,E886)-1</f>
        <v>985</v>
      </c>
    </row>
    <row r="887" customFormat="false" ht="14.25" hidden="false" customHeight="true" outlineLevel="0" collapsed="false">
      <c r="A887" s="51" t="n">
        <v>13512</v>
      </c>
      <c r="B887" s="53" t="n">
        <v>40626.41875</v>
      </c>
      <c r="C887" s="57" t="n">
        <f aca="false">INT($C$2)-INT(Table3[[#This Row],[Last Purchase Date]])</f>
        <v>261</v>
      </c>
      <c r="D887" s="1" t="n">
        <v>1</v>
      </c>
      <c r="E887" s="1" t="n">
        <v>251.21</v>
      </c>
      <c r="F887" s="1" t="n">
        <f aca="false">ROUND((1-_xlfn.PERCENTRANK.INC($C$7:$C$4378,C887))*9,0)</f>
        <v>1</v>
      </c>
      <c r="G887" s="1" t="n">
        <f aca="false">ROUND(_xlfn.PERCENTRANK.INC($D$7:$D$4378,D887)*9,0)</f>
        <v>0</v>
      </c>
      <c r="H887" s="1" t="n">
        <f aca="false">ROUND(_xlfn.PERCENTRANK.INC($E$7:$E$4378,E887)*9,0)</f>
        <v>2</v>
      </c>
      <c r="I887" s="1" t="str">
        <f aca="false">CONCATENATE(F887,G887,H887)</f>
        <v>102</v>
      </c>
      <c r="J887" s="1" t="str">
        <f aca="false">_xlfn.IFS(AND(F887&gt;=8,G887&gt;=8,H887&gt;=8),"CHAMPION",AND(F887&gt;=6,G887&gt;=7,H887&gt;=6),"LOYAL CUSTOMER",AND(F887&gt;=6,G887&gt;=5,H887&gt;=5),"POTENTIAL LOYALIST",AND(F887&gt;=8,G887&lt;=2,H887&gt;=5),"NEW CUSTOMERS",AND(F887&gt;=6,G887&lt;=2,H887&gt;=3),"PROMISING",AND(F887&gt;=3,G887&gt;=3,H887&gt;=3),"NEED ATTENTION",AND(F887&lt;=4,G887&gt;=6,H887&gt;=6),"AT RISK",AND(F887&lt;=2,G887&gt;=8,H887&gt;=8),"CAN'T LOSE THEM",AND(F887&lt;=2,G887&lt;=2,H887&lt;=2),"HIBERNATING",TRUE(),"Other")</f>
        <v>HIBERNATING</v>
      </c>
      <c r="K887" s="1" t="n">
        <f aca="false">RANK(E887,$E$7:$E$4378)+COUNTIF($E$7:E887,E887)-1</f>
        <v>3434</v>
      </c>
    </row>
    <row r="888" customFormat="false" ht="14.25" hidden="false" customHeight="true" outlineLevel="0" collapsed="false">
      <c r="A888" s="51" t="n">
        <v>13513</v>
      </c>
      <c r="B888" s="53" t="n">
        <v>40760.4930555556</v>
      </c>
      <c r="C888" s="57" t="n">
        <f aca="false">INT($C$2)-INT(Table3[[#This Row],[Last Purchase Date]])</f>
        <v>127</v>
      </c>
      <c r="D888" s="1" t="n">
        <v>1</v>
      </c>
      <c r="E888" s="1" t="n">
        <v>205.1</v>
      </c>
      <c r="F888" s="1" t="n">
        <f aca="false">ROUND((1-_xlfn.PERCENTRANK.INC($C$7:$C$4378,C888))*9,0)</f>
        <v>2</v>
      </c>
      <c r="G888" s="1" t="n">
        <f aca="false">ROUND(_xlfn.PERCENTRANK.INC($D$7:$D$4378,D888)*9,0)</f>
        <v>0</v>
      </c>
      <c r="H888" s="1" t="n">
        <f aca="false">ROUND(_xlfn.PERCENTRANK.INC($E$7:$E$4378,E888)*9,0)</f>
        <v>2</v>
      </c>
      <c r="I888" s="1" t="str">
        <f aca="false">CONCATENATE(F888,G888,H888)</f>
        <v>202</v>
      </c>
      <c r="J888" s="1" t="str">
        <f aca="false">_xlfn.IFS(AND(F888&gt;=8,G888&gt;=8,H888&gt;=8),"CHAMPION",AND(F888&gt;=6,G888&gt;=7,H888&gt;=6),"LOYAL CUSTOMER",AND(F888&gt;=6,G888&gt;=5,H888&gt;=5),"POTENTIAL LOYALIST",AND(F888&gt;=8,G888&lt;=2,H888&gt;=5),"NEW CUSTOMERS",AND(F888&gt;=6,G888&lt;=2,H888&gt;=3),"PROMISING",AND(F888&gt;=3,G888&gt;=3,H888&gt;=3),"NEED ATTENTION",AND(F888&lt;=4,G888&gt;=6,H888&gt;=6),"AT RISK",AND(F888&lt;=2,G888&gt;=8,H888&gt;=8),"CAN'T LOSE THEM",AND(F888&lt;=2,G888&lt;=2,H888&lt;=2),"HIBERNATING",TRUE(),"Other")</f>
        <v>HIBERNATING</v>
      </c>
      <c r="K888" s="1" t="n">
        <f aca="false">RANK(E888,$E$7:$E$4378)+COUNTIF($E$7:E888,E888)-1</f>
        <v>3637</v>
      </c>
    </row>
    <row r="889" customFormat="false" ht="14.25" hidden="false" customHeight="true" outlineLevel="0" collapsed="false">
      <c r="A889" s="51" t="n">
        <v>13514</v>
      </c>
      <c r="B889" s="53" t="n">
        <v>40813.4020833333</v>
      </c>
      <c r="C889" s="57" t="n">
        <f aca="false">INT($C$2)-INT(Table3[[#This Row],[Last Purchase Date]])</f>
        <v>74</v>
      </c>
      <c r="D889" s="1" t="n">
        <v>1</v>
      </c>
      <c r="E889" s="1" t="n">
        <v>152.2</v>
      </c>
      <c r="F889" s="1" t="n">
        <f aca="false">ROUND((1-_xlfn.PERCENTRANK.INC($C$7:$C$4378,C889))*9,0)</f>
        <v>3</v>
      </c>
      <c r="G889" s="1" t="n">
        <f aca="false">ROUND(_xlfn.PERCENTRANK.INC($D$7:$D$4378,D889)*9,0)</f>
        <v>0</v>
      </c>
      <c r="H889" s="1" t="n">
        <f aca="false">ROUND(_xlfn.PERCENTRANK.INC($E$7:$E$4378,E889)*9,0)</f>
        <v>1</v>
      </c>
      <c r="I889" s="1" t="str">
        <f aca="false">CONCATENATE(F889,G889,H889)</f>
        <v>301</v>
      </c>
      <c r="J889" s="1" t="str">
        <f aca="false">_xlfn.IFS(AND(F889&gt;=8,G889&gt;=8,H889&gt;=8),"CHAMPION",AND(F889&gt;=6,G889&gt;=7,H889&gt;=6),"LOYAL CUSTOMER",AND(F889&gt;=6,G889&gt;=5,H889&gt;=5),"POTENTIAL LOYALIST",AND(F889&gt;=8,G889&lt;=2,H889&gt;=5),"NEW CUSTOMERS",AND(F889&gt;=6,G889&lt;=2,H889&gt;=3),"PROMISING",AND(F889&gt;=3,G889&gt;=3,H889&gt;=3),"NEED ATTENTION",AND(F889&lt;=4,G889&gt;=6,H889&gt;=6),"AT RISK",AND(F889&lt;=2,G889&gt;=8,H889&gt;=8),"CAN'T LOSE THEM",AND(F889&lt;=2,G889&lt;=2,H889&lt;=2),"HIBERNATING",TRUE(),"Other")</f>
        <v>Other</v>
      </c>
      <c r="K889" s="1" t="n">
        <f aca="false">RANK(E889,$E$7:$E$4378)+COUNTIF($E$7:E889,E889)-1</f>
        <v>3906</v>
      </c>
    </row>
    <row r="890" customFormat="false" ht="14.25" hidden="false" customHeight="true" outlineLevel="0" collapsed="false">
      <c r="A890" s="51" t="n">
        <v>13515</v>
      </c>
      <c r="B890" s="53" t="n">
        <v>40814.4763888889</v>
      </c>
      <c r="C890" s="57" t="n">
        <f aca="false">INT($C$2)-INT(Table3[[#This Row],[Last Purchase Date]])</f>
        <v>73</v>
      </c>
      <c r="D890" s="1" t="n">
        <v>4</v>
      </c>
      <c r="E890" s="1" t="n">
        <v>891.12</v>
      </c>
      <c r="F890" s="1" t="n">
        <f aca="false">ROUND((1-_xlfn.PERCENTRANK.INC($C$7:$C$4378,C890))*9,0)</f>
        <v>4</v>
      </c>
      <c r="G890" s="1" t="n">
        <f aca="false">ROUND(_xlfn.PERCENTRANK.INC($D$7:$D$4378,D890)*9,0)</f>
        <v>5</v>
      </c>
      <c r="H890" s="1" t="n">
        <f aca="false">ROUND(_xlfn.PERCENTRANK.INC($E$7:$E$4378,E890)*9,0)</f>
        <v>5</v>
      </c>
      <c r="I890" s="1" t="str">
        <f aca="false">CONCATENATE(F890,G890,H890)</f>
        <v>455</v>
      </c>
      <c r="J890" s="1" t="str">
        <f aca="false">_xlfn.IFS(AND(F890&gt;=8,G890&gt;=8,H890&gt;=8),"CHAMPION",AND(F890&gt;=6,G890&gt;=7,H890&gt;=6),"LOYAL CUSTOMER",AND(F890&gt;=6,G890&gt;=5,H890&gt;=5),"POTENTIAL LOYALIST",AND(F890&gt;=8,G890&lt;=2,H890&gt;=5),"NEW CUSTOMERS",AND(F890&gt;=6,G890&lt;=2,H890&gt;=3),"PROMISING",AND(F890&gt;=3,G890&gt;=3,H890&gt;=3),"NEED ATTENTION",AND(F890&lt;=4,G890&gt;=6,H890&gt;=6),"AT RISK",AND(F890&lt;=2,G890&gt;=8,H890&gt;=8),"CAN'T LOSE THEM",AND(F890&lt;=2,G890&lt;=2,H890&lt;=2),"HIBERNATING",TRUE(),"Other")</f>
        <v>NEED ATTENTION</v>
      </c>
      <c r="K890" s="1" t="n">
        <f aca="false">RANK(E890,$E$7:$E$4378)+COUNTIF($E$7:E890,E890)-1</f>
        <v>1772</v>
      </c>
    </row>
    <row r="891" customFormat="false" ht="14.25" hidden="false" customHeight="true" outlineLevel="0" collapsed="false">
      <c r="A891" s="51" t="n">
        <v>13516</v>
      </c>
      <c r="B891" s="53" t="n">
        <v>40865.5520833333</v>
      </c>
      <c r="C891" s="57" t="n">
        <f aca="false">INT($C$2)-INT(Table3[[#This Row],[Last Purchase Date]])</f>
        <v>22</v>
      </c>
      <c r="D891" s="1" t="n">
        <v>3</v>
      </c>
      <c r="E891" s="1" t="n">
        <v>1389.41</v>
      </c>
      <c r="F891" s="1" t="n">
        <f aca="false">ROUND((1-_xlfn.PERCENTRANK.INC($C$7:$C$4378,C891))*9,0)</f>
        <v>6</v>
      </c>
      <c r="G891" s="1" t="n">
        <f aca="false">ROUND(_xlfn.PERCENTRANK.INC($D$7:$D$4378,D891)*9,0)</f>
        <v>4</v>
      </c>
      <c r="H891" s="1" t="n">
        <f aca="false">ROUND(_xlfn.PERCENTRANK.INC($E$7:$E$4378,E891)*9,0)</f>
        <v>6</v>
      </c>
      <c r="I891" s="1" t="str">
        <f aca="false">CONCATENATE(F891,G891,H891)</f>
        <v>646</v>
      </c>
      <c r="J891" s="1" t="str">
        <f aca="false">_xlfn.IFS(AND(F891&gt;=8,G891&gt;=8,H891&gt;=8),"CHAMPION",AND(F891&gt;=6,G891&gt;=7,H891&gt;=6),"LOYAL CUSTOMER",AND(F891&gt;=6,G891&gt;=5,H891&gt;=5),"POTENTIAL LOYALIST",AND(F891&gt;=8,G891&lt;=2,H891&gt;=5),"NEW CUSTOMERS",AND(F891&gt;=6,G891&lt;=2,H891&gt;=3),"PROMISING",AND(F891&gt;=3,G891&gt;=3,H891&gt;=3),"NEED ATTENTION",AND(F891&lt;=4,G891&gt;=6,H891&gt;=6),"AT RISK",AND(F891&lt;=2,G891&gt;=8,H891&gt;=8),"CAN'T LOSE THEM",AND(F891&lt;=2,G891&lt;=2,H891&lt;=2),"HIBERNATING",TRUE(),"Other")</f>
        <v>NEED ATTENTION</v>
      </c>
      <c r="K891" s="1" t="n">
        <f aca="false">RANK(E891,$E$7:$E$4378)+COUNTIF($E$7:E891,E891)-1</f>
        <v>1243</v>
      </c>
    </row>
    <row r="892" customFormat="false" ht="14.25" hidden="false" customHeight="true" outlineLevel="0" collapsed="false">
      <c r="A892" s="51" t="n">
        <v>13517</v>
      </c>
      <c r="B892" s="53" t="n">
        <v>40827.4881944444</v>
      </c>
      <c r="C892" s="57" t="n">
        <f aca="false">INT($C$2)-INT(Table3[[#This Row],[Last Purchase Date]])</f>
        <v>60</v>
      </c>
      <c r="D892" s="1" t="n">
        <v>5</v>
      </c>
      <c r="E892" s="1" t="n">
        <v>2109.07</v>
      </c>
      <c r="F892" s="1" t="n">
        <f aca="false">ROUND((1-_xlfn.PERCENTRANK.INC($C$7:$C$4378,C892))*9,0)</f>
        <v>4</v>
      </c>
      <c r="G892" s="1" t="n">
        <f aca="false">ROUND(_xlfn.PERCENTRANK.INC($D$7:$D$4378,D892)*9,0)</f>
        <v>6</v>
      </c>
      <c r="H892" s="1" t="n">
        <f aca="false">ROUND(_xlfn.PERCENTRANK.INC($E$7:$E$4378,E892)*9,0)</f>
        <v>7</v>
      </c>
      <c r="I892" s="1" t="str">
        <f aca="false">CONCATENATE(F892,G892,H892)</f>
        <v>467</v>
      </c>
      <c r="J892" s="1" t="str">
        <f aca="false">_xlfn.IFS(AND(F892&gt;=8,G892&gt;=8,H892&gt;=8),"CHAMPION",AND(F892&gt;=6,G892&gt;=7,H892&gt;=6),"LOYAL CUSTOMER",AND(F892&gt;=6,G892&gt;=5,H892&gt;=5),"POTENTIAL LOYALIST",AND(F892&gt;=8,G892&lt;=2,H892&gt;=5),"NEW CUSTOMERS",AND(F892&gt;=6,G892&lt;=2,H892&gt;=3),"PROMISING",AND(F892&gt;=3,G892&gt;=3,H892&gt;=3),"NEED ATTENTION",AND(F892&lt;=4,G892&gt;=6,H892&gt;=6),"AT RISK",AND(F892&lt;=2,G892&gt;=8,H892&gt;=8),"CAN'T LOSE THEM",AND(F892&lt;=2,G892&lt;=2,H892&lt;=2),"HIBERNATING",TRUE(),"Other")</f>
        <v>NEED ATTENTION</v>
      </c>
      <c r="K892" s="1" t="n">
        <f aca="false">RANK(E892,$E$7:$E$4378)+COUNTIF($E$7:E892,E892)-1</f>
        <v>821</v>
      </c>
    </row>
    <row r="893" customFormat="false" ht="14.25" hidden="false" customHeight="true" outlineLevel="0" collapsed="false">
      <c r="A893" s="51" t="n">
        <v>13518</v>
      </c>
      <c r="B893" s="53" t="n">
        <v>40801.4368055556</v>
      </c>
      <c r="C893" s="57" t="n">
        <f aca="false">INT($C$2)-INT(Table3[[#This Row],[Last Purchase Date]])</f>
        <v>86</v>
      </c>
      <c r="D893" s="1" t="n">
        <v>1</v>
      </c>
      <c r="E893" s="1" t="n">
        <v>659.44</v>
      </c>
      <c r="F893" s="1" t="n">
        <f aca="false">ROUND((1-_xlfn.PERCENTRANK.INC($C$7:$C$4378,C893))*9,0)</f>
        <v>3</v>
      </c>
      <c r="G893" s="1" t="n">
        <f aca="false">ROUND(_xlfn.PERCENTRANK.INC($D$7:$D$4378,D893)*9,0)</f>
        <v>0</v>
      </c>
      <c r="H893" s="1" t="n">
        <f aca="false">ROUND(_xlfn.PERCENTRANK.INC($E$7:$E$4378,E893)*9,0)</f>
        <v>5</v>
      </c>
      <c r="I893" s="1" t="str">
        <f aca="false">CONCATENATE(F893,G893,H893)</f>
        <v>305</v>
      </c>
      <c r="J893" s="1" t="str">
        <f aca="false">_xlfn.IFS(AND(F893&gt;=8,G893&gt;=8,H893&gt;=8),"CHAMPION",AND(F893&gt;=6,G893&gt;=7,H893&gt;=6),"LOYAL CUSTOMER",AND(F893&gt;=6,G893&gt;=5,H893&gt;=5),"POTENTIAL LOYALIST",AND(F893&gt;=8,G893&lt;=2,H893&gt;=5),"NEW CUSTOMERS",AND(F893&gt;=6,G893&lt;=2,H893&gt;=3),"PROMISING",AND(F893&gt;=3,G893&gt;=3,H893&gt;=3),"NEED ATTENTION",AND(F893&lt;=4,G893&gt;=6,H893&gt;=6),"AT RISK",AND(F893&lt;=2,G893&gt;=8,H893&gt;=8),"CAN'T LOSE THEM",AND(F893&lt;=2,G893&lt;=2,H893&lt;=2),"HIBERNATING",TRUE(),"Other")</f>
        <v>Other</v>
      </c>
      <c r="K893" s="1" t="n">
        <f aca="false">RANK(E893,$E$7:$E$4378)+COUNTIF($E$7:E893,E893)-1</f>
        <v>2155</v>
      </c>
    </row>
    <row r="894" customFormat="false" ht="14.25" hidden="false" customHeight="true" outlineLevel="0" collapsed="false">
      <c r="A894" s="51" t="n">
        <v>13519</v>
      </c>
      <c r="B894" s="53" t="n">
        <v>40836.6638888889</v>
      </c>
      <c r="C894" s="57" t="n">
        <f aca="false">INT($C$2)-INT(Table3[[#This Row],[Last Purchase Date]])</f>
        <v>51</v>
      </c>
      <c r="D894" s="1" t="n">
        <v>2</v>
      </c>
      <c r="E894" s="1" t="n">
        <v>110.8</v>
      </c>
      <c r="F894" s="1" t="n">
        <f aca="false">ROUND((1-_xlfn.PERCENTRANK.INC($C$7:$C$4378,C894))*9,0)</f>
        <v>5</v>
      </c>
      <c r="G894" s="1" t="n">
        <f aca="false">ROUND(_xlfn.PERCENTRANK.INC($D$7:$D$4378,D894)*9,0)</f>
        <v>3</v>
      </c>
      <c r="H894" s="1" t="n">
        <f aca="false">ROUND(_xlfn.PERCENTRANK.INC($E$7:$E$4378,E894)*9,0)</f>
        <v>1</v>
      </c>
      <c r="I894" s="1" t="str">
        <f aca="false">CONCATENATE(F894,G894,H894)</f>
        <v>531</v>
      </c>
      <c r="J894" s="1" t="str">
        <f aca="false">_xlfn.IFS(AND(F894&gt;=8,G894&gt;=8,H894&gt;=8),"CHAMPION",AND(F894&gt;=6,G894&gt;=7,H894&gt;=6),"LOYAL CUSTOMER",AND(F894&gt;=6,G894&gt;=5,H894&gt;=5),"POTENTIAL LOYALIST",AND(F894&gt;=8,G894&lt;=2,H894&gt;=5),"NEW CUSTOMERS",AND(F894&gt;=6,G894&lt;=2,H894&gt;=3),"PROMISING",AND(F894&gt;=3,G894&gt;=3,H894&gt;=3),"NEED ATTENTION",AND(F894&lt;=4,G894&gt;=6,H894&gt;=6),"AT RISK",AND(F894&lt;=2,G894&gt;=8,H894&gt;=8),"CAN'T LOSE THEM",AND(F894&lt;=2,G894&lt;=2,H894&lt;=2),"HIBERNATING",TRUE(),"Other")</f>
        <v>Other</v>
      </c>
      <c r="K894" s="1" t="n">
        <f aca="false">RANK(E894,$E$7:$E$4378)+COUNTIF($E$7:E894,E894)-1</f>
        <v>4108</v>
      </c>
    </row>
    <row r="895" customFormat="false" ht="14.25" hidden="false" customHeight="true" outlineLevel="0" collapsed="false">
      <c r="A895" s="51" t="n">
        <v>13520</v>
      </c>
      <c r="B895" s="53" t="n">
        <v>40828.4305555556</v>
      </c>
      <c r="C895" s="57" t="n">
        <f aca="false">INT($C$2)-INT(Table3[[#This Row],[Last Purchase Date]])</f>
        <v>59</v>
      </c>
      <c r="D895" s="1" t="n">
        <v>8</v>
      </c>
      <c r="E895" s="1" t="n">
        <v>3487.75</v>
      </c>
      <c r="F895" s="1" t="n">
        <f aca="false">ROUND((1-_xlfn.PERCENTRANK.INC($C$7:$C$4378,C895))*9,0)</f>
        <v>4</v>
      </c>
      <c r="G895" s="1" t="n">
        <f aca="false">ROUND(_xlfn.PERCENTRANK.INC($D$7:$D$4378,D895)*9,0)</f>
        <v>7</v>
      </c>
      <c r="H895" s="1" t="n">
        <f aca="false">ROUND(_xlfn.PERCENTRANK.INC($E$7:$E$4378,E895)*9,0)</f>
        <v>8</v>
      </c>
      <c r="I895" s="1" t="str">
        <f aca="false">CONCATENATE(F895,G895,H895)</f>
        <v>478</v>
      </c>
      <c r="J895" s="1" t="str">
        <f aca="false">_xlfn.IFS(AND(F895&gt;=8,G895&gt;=8,H895&gt;=8),"CHAMPION",AND(F895&gt;=6,G895&gt;=7,H895&gt;=6),"LOYAL CUSTOMER",AND(F895&gt;=6,G895&gt;=5,H895&gt;=5),"POTENTIAL LOYALIST",AND(F895&gt;=8,G895&lt;=2,H895&gt;=5),"NEW CUSTOMERS",AND(F895&gt;=6,G895&lt;=2,H895&gt;=3),"PROMISING",AND(F895&gt;=3,G895&gt;=3,H895&gt;=3),"NEED ATTENTION",AND(F895&lt;=4,G895&gt;=6,H895&gt;=6),"AT RISK",AND(F895&lt;=2,G895&gt;=8,H895&gt;=8),"CAN'T LOSE THEM",AND(F895&lt;=2,G895&lt;=2,H895&lt;=2),"HIBERNATING",TRUE(),"Other")</f>
        <v>NEED ATTENTION</v>
      </c>
      <c r="K895" s="1" t="n">
        <f aca="false">RANK(E895,$E$7:$E$4378)+COUNTIF($E$7:E895,E895)-1</f>
        <v>440</v>
      </c>
    </row>
    <row r="896" customFormat="false" ht="14.25" hidden="false" customHeight="true" outlineLevel="0" collapsed="false">
      <c r="A896" s="51" t="n">
        <v>13521</v>
      </c>
      <c r="B896" s="53" t="n">
        <v>40885.5763888889</v>
      </c>
      <c r="C896" s="57" t="n">
        <f aca="false">INT($C$2)-INT(Table3[[#This Row],[Last Purchase Date]])</f>
        <v>2</v>
      </c>
      <c r="D896" s="1" t="n">
        <v>3</v>
      </c>
      <c r="E896" s="1" t="n">
        <v>1093.65</v>
      </c>
      <c r="F896" s="1" t="n">
        <f aca="false">ROUND((1-_xlfn.PERCENTRANK.INC($C$7:$C$4378,C896))*9,0)</f>
        <v>9</v>
      </c>
      <c r="G896" s="1" t="n">
        <f aca="false">ROUND(_xlfn.PERCENTRANK.INC($D$7:$D$4378,D896)*9,0)</f>
        <v>4</v>
      </c>
      <c r="H896" s="1" t="n">
        <f aca="false">ROUND(_xlfn.PERCENTRANK.INC($E$7:$E$4378,E896)*9,0)</f>
        <v>6</v>
      </c>
      <c r="I896" s="1" t="str">
        <f aca="false">CONCATENATE(F896,G896,H896)</f>
        <v>946</v>
      </c>
      <c r="J896" s="1" t="str">
        <f aca="false">_xlfn.IFS(AND(F896&gt;=8,G896&gt;=8,H896&gt;=8),"CHAMPION",AND(F896&gt;=6,G896&gt;=7,H896&gt;=6),"LOYAL CUSTOMER",AND(F896&gt;=6,G896&gt;=5,H896&gt;=5),"POTENTIAL LOYALIST",AND(F896&gt;=8,G896&lt;=2,H896&gt;=5),"NEW CUSTOMERS",AND(F896&gt;=6,G896&lt;=2,H896&gt;=3),"PROMISING",AND(F896&gt;=3,G896&gt;=3,H896&gt;=3),"NEED ATTENTION",AND(F896&lt;=4,G896&gt;=6,H896&gt;=6),"AT RISK",AND(F896&lt;=2,G896&gt;=8,H896&gt;=8),"CAN'T LOSE THEM",AND(F896&lt;=2,G896&lt;=2,H896&lt;=2),"HIBERNATING",TRUE(),"Other")</f>
        <v>NEED ATTENTION</v>
      </c>
      <c r="K896" s="1" t="n">
        <f aca="false">RANK(E896,$E$7:$E$4378)+COUNTIF($E$7:E896,E896)-1</f>
        <v>1517</v>
      </c>
    </row>
    <row r="897" customFormat="false" ht="14.25" hidden="false" customHeight="true" outlineLevel="0" collapsed="false">
      <c r="A897" s="51" t="n">
        <v>13522</v>
      </c>
      <c r="B897" s="53" t="n">
        <v>40856.6326388889</v>
      </c>
      <c r="C897" s="57" t="n">
        <f aca="false">INT($C$2)-INT(Table3[[#This Row],[Last Purchase Date]])</f>
        <v>31</v>
      </c>
      <c r="D897" s="1" t="n">
        <v>1</v>
      </c>
      <c r="E897" s="1" t="n">
        <v>125.8</v>
      </c>
      <c r="F897" s="1" t="n">
        <f aca="false">ROUND((1-_xlfn.PERCENTRANK.INC($C$7:$C$4378,C897))*9,0)</f>
        <v>6</v>
      </c>
      <c r="G897" s="1" t="n">
        <f aca="false">ROUND(_xlfn.PERCENTRANK.INC($D$7:$D$4378,D897)*9,0)</f>
        <v>0</v>
      </c>
      <c r="H897" s="1" t="n">
        <f aca="false">ROUND(_xlfn.PERCENTRANK.INC($E$7:$E$4378,E897)*9,0)</f>
        <v>1</v>
      </c>
      <c r="I897" s="1" t="str">
        <f aca="false">CONCATENATE(F897,G897,H897)</f>
        <v>601</v>
      </c>
      <c r="J897" s="1" t="str">
        <f aca="false">_xlfn.IFS(AND(F897&gt;=8,G897&gt;=8,H897&gt;=8),"CHAMPION",AND(F897&gt;=6,G897&gt;=7,H897&gt;=6),"LOYAL CUSTOMER",AND(F897&gt;=6,G897&gt;=5,H897&gt;=5),"POTENTIAL LOYALIST",AND(F897&gt;=8,G897&lt;=2,H897&gt;=5),"NEW CUSTOMERS",AND(F897&gt;=6,G897&lt;=2,H897&gt;=3),"PROMISING",AND(F897&gt;=3,G897&gt;=3,H897&gt;=3),"NEED ATTENTION",AND(F897&lt;=4,G897&gt;=6,H897&gt;=6),"AT RISK",AND(F897&lt;=2,G897&gt;=8,H897&gt;=8),"CAN'T LOSE THEM",AND(F897&lt;=2,G897&lt;=2,H897&lt;=2),"HIBERNATING",TRUE(),"Other")</f>
        <v>Other</v>
      </c>
      <c r="K897" s="1" t="n">
        <f aca="false">RANK(E897,$E$7:$E$4378)+COUNTIF($E$7:E897,E897)-1</f>
        <v>4023</v>
      </c>
    </row>
    <row r="898" customFormat="false" ht="14.25" hidden="false" customHeight="true" outlineLevel="0" collapsed="false">
      <c r="A898" s="51" t="n">
        <v>13523</v>
      </c>
      <c r="B898" s="53" t="n">
        <v>40853.6326388889</v>
      </c>
      <c r="C898" s="57" t="n">
        <f aca="false">INT($C$2)-INT(Table3[[#This Row],[Last Purchase Date]])</f>
        <v>34</v>
      </c>
      <c r="D898" s="1" t="n">
        <v>6</v>
      </c>
      <c r="E898" s="1" t="n">
        <v>3755.38</v>
      </c>
      <c r="F898" s="1" t="n">
        <f aca="false">ROUND((1-_xlfn.PERCENTRANK.INC($C$7:$C$4378,C898))*9,0)</f>
        <v>5</v>
      </c>
      <c r="G898" s="1" t="n">
        <f aca="false">ROUND(_xlfn.PERCENTRANK.INC($D$7:$D$4378,D898)*9,0)</f>
        <v>7</v>
      </c>
      <c r="H898" s="1" t="n">
        <f aca="false">ROUND(_xlfn.PERCENTRANK.INC($E$7:$E$4378,E898)*9,0)</f>
        <v>8</v>
      </c>
      <c r="I898" s="1" t="str">
        <f aca="false">CONCATENATE(F898,G898,H898)</f>
        <v>578</v>
      </c>
      <c r="J898" s="1" t="str">
        <f aca="false">_xlfn.IFS(AND(F898&gt;=8,G898&gt;=8,H898&gt;=8),"CHAMPION",AND(F898&gt;=6,G898&gt;=7,H898&gt;=6),"LOYAL CUSTOMER",AND(F898&gt;=6,G898&gt;=5,H898&gt;=5),"POTENTIAL LOYALIST",AND(F898&gt;=8,G898&lt;=2,H898&gt;=5),"NEW CUSTOMERS",AND(F898&gt;=6,G898&lt;=2,H898&gt;=3),"PROMISING",AND(F898&gt;=3,G898&gt;=3,H898&gt;=3),"NEED ATTENTION",AND(F898&lt;=4,G898&gt;=6,H898&gt;=6),"AT RISK",AND(F898&lt;=2,G898&gt;=8,H898&gt;=8),"CAN'T LOSE THEM",AND(F898&lt;=2,G898&lt;=2,H898&lt;=2),"HIBERNATING",TRUE(),"Other")</f>
        <v>NEED ATTENTION</v>
      </c>
      <c r="K898" s="1" t="n">
        <f aca="false">RANK(E898,$E$7:$E$4378)+COUNTIF($E$7:E898,E898)-1</f>
        <v>393</v>
      </c>
    </row>
    <row r="899" customFormat="false" ht="14.25" hidden="false" customHeight="true" outlineLevel="0" collapsed="false">
      <c r="A899" s="51" t="n">
        <v>13524</v>
      </c>
      <c r="B899" s="53" t="n">
        <v>40846.5236111111</v>
      </c>
      <c r="C899" s="57" t="n">
        <f aca="false">INT($C$2)-INT(Table3[[#This Row],[Last Purchase Date]])</f>
        <v>41</v>
      </c>
      <c r="D899" s="1" t="n">
        <v>5</v>
      </c>
      <c r="E899" s="1" t="n">
        <v>680.18</v>
      </c>
      <c r="F899" s="1" t="n">
        <f aca="false">ROUND((1-_xlfn.PERCENTRANK.INC($C$7:$C$4378,C899))*9,0)</f>
        <v>5</v>
      </c>
      <c r="G899" s="1" t="n">
        <f aca="false">ROUND(_xlfn.PERCENTRANK.INC($D$7:$D$4378,D899)*9,0)</f>
        <v>6</v>
      </c>
      <c r="H899" s="1" t="n">
        <f aca="false">ROUND(_xlfn.PERCENTRANK.INC($E$7:$E$4378,E899)*9,0)</f>
        <v>5</v>
      </c>
      <c r="I899" s="1" t="str">
        <f aca="false">CONCATENATE(F899,G899,H899)</f>
        <v>565</v>
      </c>
      <c r="J899" s="1" t="str">
        <f aca="false">_xlfn.IFS(AND(F899&gt;=8,G899&gt;=8,H899&gt;=8),"CHAMPION",AND(F899&gt;=6,G899&gt;=7,H899&gt;=6),"LOYAL CUSTOMER",AND(F899&gt;=6,G899&gt;=5,H899&gt;=5),"POTENTIAL LOYALIST",AND(F899&gt;=8,G899&lt;=2,H899&gt;=5),"NEW CUSTOMERS",AND(F899&gt;=6,G899&lt;=2,H899&gt;=3),"PROMISING",AND(F899&gt;=3,G899&gt;=3,H899&gt;=3),"NEED ATTENTION",AND(F899&lt;=4,G899&gt;=6,H899&gt;=6),"AT RISK",AND(F899&lt;=2,G899&gt;=8,H899&gt;=8),"CAN'T LOSE THEM",AND(F899&lt;=2,G899&lt;=2,H899&lt;=2),"HIBERNATING",TRUE(),"Other")</f>
        <v>NEED ATTENTION</v>
      </c>
      <c r="K899" s="1" t="n">
        <f aca="false">RANK(E899,$E$7:$E$4378)+COUNTIF($E$7:E899,E899)-1</f>
        <v>2106</v>
      </c>
    </row>
    <row r="900" customFormat="false" ht="14.25" hidden="false" customHeight="true" outlineLevel="0" collapsed="false">
      <c r="A900" s="51" t="n">
        <v>13525</v>
      </c>
      <c r="B900" s="53" t="n">
        <v>40872.5006944445</v>
      </c>
      <c r="C900" s="57" t="n">
        <f aca="false">INT($C$2)-INT(Table3[[#This Row],[Last Purchase Date]])</f>
        <v>15</v>
      </c>
      <c r="D900" s="1" t="n">
        <v>2</v>
      </c>
      <c r="E900" s="1" t="n">
        <v>628.78</v>
      </c>
      <c r="F900" s="1" t="n">
        <f aca="false">ROUND((1-_xlfn.PERCENTRANK.INC($C$7:$C$4378,C900))*9,0)</f>
        <v>7</v>
      </c>
      <c r="G900" s="1" t="n">
        <f aca="false">ROUND(_xlfn.PERCENTRANK.INC($D$7:$D$4378,D900)*9,0)</f>
        <v>3</v>
      </c>
      <c r="H900" s="1" t="n">
        <f aca="false">ROUND(_xlfn.PERCENTRANK.INC($E$7:$E$4378,E900)*9,0)</f>
        <v>4</v>
      </c>
      <c r="I900" s="1" t="str">
        <f aca="false">CONCATENATE(F900,G900,H900)</f>
        <v>734</v>
      </c>
      <c r="J900" s="1" t="str">
        <f aca="false">_xlfn.IFS(AND(F900&gt;=8,G900&gt;=8,H900&gt;=8),"CHAMPION",AND(F900&gt;=6,G900&gt;=7,H900&gt;=6),"LOYAL CUSTOMER",AND(F900&gt;=6,G900&gt;=5,H900&gt;=5),"POTENTIAL LOYALIST",AND(F900&gt;=8,G900&lt;=2,H900&gt;=5),"NEW CUSTOMERS",AND(F900&gt;=6,G900&lt;=2,H900&gt;=3),"PROMISING",AND(F900&gt;=3,G900&gt;=3,H900&gt;=3),"NEED ATTENTION",AND(F900&lt;=4,G900&gt;=6,H900&gt;=6),"AT RISK",AND(F900&lt;=2,G900&gt;=8,H900&gt;=8),"CAN'T LOSE THEM",AND(F900&lt;=2,G900&lt;=2,H900&lt;=2),"HIBERNATING",TRUE(),"Other")</f>
        <v>NEED ATTENTION</v>
      </c>
      <c r="K900" s="1" t="n">
        <f aca="false">RANK(E900,$E$7:$E$4378)+COUNTIF($E$7:E900,E900)-1</f>
        <v>2235</v>
      </c>
    </row>
    <row r="901" customFormat="false" ht="14.25" hidden="false" customHeight="true" outlineLevel="0" collapsed="false">
      <c r="A901" s="51" t="n">
        <v>13527</v>
      </c>
      <c r="B901" s="53" t="n">
        <v>40853.5027777778</v>
      </c>
      <c r="C901" s="57" t="n">
        <f aca="false">INT($C$2)-INT(Table3[[#This Row],[Last Purchase Date]])</f>
        <v>34</v>
      </c>
      <c r="D901" s="1" t="n">
        <v>8</v>
      </c>
      <c r="E901" s="1" t="n">
        <v>2263.76</v>
      </c>
      <c r="F901" s="1" t="n">
        <f aca="false">ROUND((1-_xlfn.PERCENTRANK.INC($C$7:$C$4378,C901))*9,0)</f>
        <v>5</v>
      </c>
      <c r="G901" s="1" t="n">
        <f aca="false">ROUND(_xlfn.PERCENTRANK.INC($D$7:$D$4378,D901)*9,0)</f>
        <v>7</v>
      </c>
      <c r="H901" s="1" t="n">
        <f aca="false">ROUND(_xlfn.PERCENTRANK.INC($E$7:$E$4378,E901)*9,0)</f>
        <v>7</v>
      </c>
      <c r="I901" s="1" t="str">
        <f aca="false">CONCATENATE(F901,G901,H901)</f>
        <v>577</v>
      </c>
      <c r="J901" s="1" t="str">
        <f aca="false">_xlfn.IFS(AND(F901&gt;=8,G901&gt;=8,H901&gt;=8),"CHAMPION",AND(F901&gt;=6,G901&gt;=7,H901&gt;=6),"LOYAL CUSTOMER",AND(F901&gt;=6,G901&gt;=5,H901&gt;=5),"POTENTIAL LOYALIST",AND(F901&gt;=8,G901&lt;=2,H901&gt;=5),"NEW CUSTOMERS",AND(F901&gt;=6,G901&lt;=2,H901&gt;=3),"PROMISING",AND(F901&gt;=3,G901&gt;=3,H901&gt;=3),"NEED ATTENTION",AND(F901&lt;=4,G901&gt;=6,H901&gt;=6),"AT RISK",AND(F901&lt;=2,G901&gt;=8,H901&gt;=8),"CAN'T LOSE THEM",AND(F901&lt;=2,G901&lt;=2,H901&lt;=2),"HIBERNATING",TRUE(),"Other")</f>
        <v>NEED ATTENTION</v>
      </c>
      <c r="K901" s="1" t="n">
        <f aca="false">RANK(E901,$E$7:$E$4378)+COUNTIF($E$7:E901,E901)-1</f>
        <v>759</v>
      </c>
    </row>
    <row r="902" customFormat="false" ht="14.25" hidden="false" customHeight="true" outlineLevel="0" collapsed="false">
      <c r="A902" s="51" t="n">
        <v>13529</v>
      </c>
      <c r="B902" s="53" t="n">
        <v>40808.3854166667</v>
      </c>
      <c r="C902" s="57" t="n">
        <f aca="false">INT($C$2)-INT(Table3[[#This Row],[Last Purchase Date]])</f>
        <v>79</v>
      </c>
      <c r="D902" s="1" t="n">
        <v>2</v>
      </c>
      <c r="E902" s="1" t="n">
        <v>307.76</v>
      </c>
      <c r="F902" s="1" t="n">
        <f aca="false">ROUND((1-_xlfn.PERCENTRANK.INC($C$7:$C$4378,C902))*9,0)</f>
        <v>3</v>
      </c>
      <c r="G902" s="1" t="n">
        <f aca="false">ROUND(_xlfn.PERCENTRANK.INC($D$7:$D$4378,D902)*9,0)</f>
        <v>3</v>
      </c>
      <c r="H902" s="1" t="n">
        <f aca="false">ROUND(_xlfn.PERCENTRANK.INC($E$7:$E$4378,E902)*9,0)</f>
        <v>2</v>
      </c>
      <c r="I902" s="1" t="str">
        <f aca="false">CONCATENATE(F902,G902,H902)</f>
        <v>332</v>
      </c>
      <c r="J902" s="1" t="str">
        <f aca="false">_xlfn.IFS(AND(F902&gt;=8,G902&gt;=8,H902&gt;=8),"CHAMPION",AND(F902&gt;=6,G902&gt;=7,H902&gt;=6),"LOYAL CUSTOMER",AND(F902&gt;=6,G902&gt;=5,H902&gt;=5),"POTENTIAL LOYALIST",AND(F902&gt;=8,G902&lt;=2,H902&gt;=5),"NEW CUSTOMERS",AND(F902&gt;=6,G902&lt;=2,H902&gt;=3),"PROMISING",AND(F902&gt;=3,G902&gt;=3,H902&gt;=3),"NEED ATTENTION",AND(F902&lt;=4,G902&gt;=6,H902&gt;=6),"AT RISK",AND(F902&lt;=2,G902&gt;=8,H902&gt;=8),"CAN'T LOSE THEM",AND(F902&lt;=2,G902&lt;=2,H902&lt;=2),"HIBERNATING",TRUE(),"Other")</f>
        <v>Other</v>
      </c>
      <c r="K902" s="1" t="n">
        <f aca="false">RANK(E902,$E$7:$E$4378)+COUNTIF($E$7:E902,E902)-1</f>
        <v>3207</v>
      </c>
    </row>
    <row r="903" customFormat="false" ht="14.25" hidden="false" customHeight="true" outlineLevel="0" collapsed="false">
      <c r="A903" s="51" t="n">
        <v>13531</v>
      </c>
      <c r="B903" s="53" t="n">
        <v>40681.7055555556</v>
      </c>
      <c r="C903" s="57" t="n">
        <f aca="false">INT($C$2)-INT(Table3[[#This Row],[Last Purchase Date]])</f>
        <v>206</v>
      </c>
      <c r="D903" s="1" t="n">
        <v>2</v>
      </c>
      <c r="E903" s="1" t="n">
        <v>483.8</v>
      </c>
      <c r="F903" s="1" t="n">
        <f aca="false">ROUND((1-_xlfn.PERCENTRANK.INC($C$7:$C$4378,C903))*9,0)</f>
        <v>1</v>
      </c>
      <c r="G903" s="1" t="n">
        <f aca="false">ROUND(_xlfn.PERCENTRANK.INC($D$7:$D$4378,D903)*9,0)</f>
        <v>3</v>
      </c>
      <c r="H903" s="1" t="n">
        <f aca="false">ROUND(_xlfn.PERCENTRANK.INC($E$7:$E$4378,E903)*9,0)</f>
        <v>4</v>
      </c>
      <c r="I903" s="1" t="str">
        <f aca="false">CONCATENATE(F903,G903,H903)</f>
        <v>134</v>
      </c>
      <c r="J903" s="1" t="str">
        <f aca="false">_xlfn.IFS(AND(F903&gt;=8,G903&gt;=8,H903&gt;=8),"CHAMPION",AND(F903&gt;=6,G903&gt;=7,H903&gt;=6),"LOYAL CUSTOMER",AND(F903&gt;=6,G903&gt;=5,H903&gt;=5),"POTENTIAL LOYALIST",AND(F903&gt;=8,G903&lt;=2,H903&gt;=5),"NEW CUSTOMERS",AND(F903&gt;=6,G903&lt;=2,H903&gt;=3),"PROMISING",AND(F903&gt;=3,G903&gt;=3,H903&gt;=3),"NEED ATTENTION",AND(F903&lt;=4,G903&gt;=6,H903&gt;=6),"AT RISK",AND(F903&lt;=2,G903&gt;=8,H903&gt;=8),"CAN'T LOSE THEM",AND(F903&lt;=2,G903&lt;=2,H903&lt;=2),"HIBERNATING",TRUE(),"Other")</f>
        <v>Other</v>
      </c>
      <c r="K903" s="1" t="n">
        <f aca="false">RANK(E903,$E$7:$E$4378)+COUNTIF($E$7:E903,E903)-1</f>
        <v>2587</v>
      </c>
    </row>
    <row r="904" customFormat="false" ht="14.25" hidden="false" customHeight="true" outlineLevel="0" collapsed="false">
      <c r="A904" s="51" t="n">
        <v>13532</v>
      </c>
      <c r="B904" s="53" t="n">
        <v>40853.5173611111</v>
      </c>
      <c r="C904" s="57" t="n">
        <f aca="false">INT($C$2)-INT(Table3[[#This Row],[Last Purchase Date]])</f>
        <v>34</v>
      </c>
      <c r="D904" s="1" t="n">
        <v>1</v>
      </c>
      <c r="E904" s="1" t="n">
        <v>210.31</v>
      </c>
      <c r="F904" s="1" t="n">
        <f aca="false">ROUND((1-_xlfn.PERCENTRANK.INC($C$7:$C$4378,C904))*9,0)</f>
        <v>5</v>
      </c>
      <c r="G904" s="1" t="n">
        <f aca="false">ROUND(_xlfn.PERCENTRANK.INC($D$7:$D$4378,D904)*9,0)</f>
        <v>0</v>
      </c>
      <c r="H904" s="1" t="n">
        <f aca="false">ROUND(_xlfn.PERCENTRANK.INC($E$7:$E$4378,E904)*9,0)</f>
        <v>2</v>
      </c>
      <c r="I904" s="1" t="str">
        <f aca="false">CONCATENATE(F904,G904,H904)</f>
        <v>502</v>
      </c>
      <c r="J904" s="1" t="str">
        <f aca="false">_xlfn.IFS(AND(F904&gt;=8,G904&gt;=8,H904&gt;=8),"CHAMPION",AND(F904&gt;=6,G904&gt;=7,H904&gt;=6),"LOYAL CUSTOMER",AND(F904&gt;=6,G904&gt;=5,H904&gt;=5),"POTENTIAL LOYALIST",AND(F904&gt;=8,G904&lt;=2,H904&gt;=5),"NEW CUSTOMERS",AND(F904&gt;=6,G904&lt;=2,H904&gt;=3),"PROMISING",AND(F904&gt;=3,G904&gt;=3,H904&gt;=3),"NEED ATTENTION",AND(F904&lt;=4,G904&gt;=6,H904&gt;=6),"AT RISK",AND(F904&lt;=2,G904&gt;=8,H904&gt;=8),"CAN'T LOSE THEM",AND(F904&lt;=2,G904&lt;=2,H904&lt;=2),"HIBERNATING",TRUE(),"Other")</f>
        <v>Other</v>
      </c>
      <c r="K904" s="1" t="n">
        <f aca="false">RANK(E904,$E$7:$E$4378)+COUNTIF($E$7:E904,E904)-1</f>
        <v>3612</v>
      </c>
    </row>
    <row r="905" customFormat="false" ht="14.25" hidden="false" customHeight="true" outlineLevel="0" collapsed="false">
      <c r="A905" s="51" t="n">
        <v>13533</v>
      </c>
      <c r="B905" s="53" t="n">
        <v>40704.4958333333</v>
      </c>
      <c r="C905" s="57" t="n">
        <f aca="false">INT($C$2)-INT(Table3[[#This Row],[Last Purchase Date]])</f>
        <v>183</v>
      </c>
      <c r="D905" s="1" t="n">
        <v>3</v>
      </c>
      <c r="E905" s="1" t="n">
        <v>270.79</v>
      </c>
      <c r="F905" s="1" t="n">
        <f aca="false">ROUND((1-_xlfn.PERCENTRANK.INC($C$7:$C$4378,C905))*9,0)</f>
        <v>2</v>
      </c>
      <c r="G905" s="1" t="n">
        <f aca="false">ROUND(_xlfn.PERCENTRANK.INC($D$7:$D$4378,D905)*9,0)</f>
        <v>4</v>
      </c>
      <c r="H905" s="1" t="n">
        <f aca="false">ROUND(_xlfn.PERCENTRANK.INC($E$7:$E$4378,E905)*9,0)</f>
        <v>2</v>
      </c>
      <c r="I905" s="1" t="str">
        <f aca="false">CONCATENATE(F905,G905,H905)</f>
        <v>242</v>
      </c>
      <c r="J905" s="1" t="str">
        <f aca="false">_xlfn.IFS(AND(F905&gt;=8,G905&gt;=8,H905&gt;=8),"CHAMPION",AND(F905&gt;=6,G905&gt;=7,H905&gt;=6),"LOYAL CUSTOMER",AND(F905&gt;=6,G905&gt;=5,H905&gt;=5),"POTENTIAL LOYALIST",AND(F905&gt;=8,G905&lt;=2,H905&gt;=5),"NEW CUSTOMERS",AND(F905&gt;=6,G905&lt;=2,H905&gt;=3),"PROMISING",AND(F905&gt;=3,G905&gt;=3,H905&gt;=3),"NEED ATTENTION",AND(F905&lt;=4,G905&gt;=6,H905&gt;=6),"AT RISK",AND(F905&lt;=2,G905&gt;=8,H905&gt;=8),"CAN'T LOSE THEM",AND(F905&lt;=2,G905&lt;=2,H905&lt;=2),"HIBERNATING",TRUE(),"Other")</f>
        <v>Other</v>
      </c>
      <c r="K905" s="1" t="n">
        <f aca="false">RANK(E905,$E$7:$E$4378)+COUNTIF($E$7:E905,E905)-1</f>
        <v>3362</v>
      </c>
    </row>
    <row r="906" customFormat="false" ht="14.25" hidden="false" customHeight="true" outlineLevel="0" collapsed="false">
      <c r="A906" s="51" t="n">
        <v>13534</v>
      </c>
      <c r="B906" s="53" t="n">
        <v>40884.6194444444</v>
      </c>
      <c r="C906" s="57" t="n">
        <f aca="false">INT($C$2)-INT(Table3[[#This Row],[Last Purchase Date]])</f>
        <v>3</v>
      </c>
      <c r="D906" s="1" t="n">
        <v>43</v>
      </c>
      <c r="E906" s="1" t="n">
        <v>5613.08000000002</v>
      </c>
      <c r="F906" s="1" t="n">
        <f aca="false">ROUND((1-_xlfn.PERCENTRANK.INC($C$7:$C$4378,C906))*9,0)</f>
        <v>9</v>
      </c>
      <c r="G906" s="1" t="n">
        <f aca="false">ROUND(_xlfn.PERCENTRANK.INC($D$7:$D$4378,D906)*9,0)</f>
        <v>9</v>
      </c>
      <c r="H906" s="1" t="n">
        <f aca="false">ROUND(_xlfn.PERCENTRANK.INC($E$7:$E$4378,E906)*9,0)</f>
        <v>9</v>
      </c>
      <c r="I906" s="1" t="str">
        <f aca="false">CONCATENATE(F906,G906,H906)</f>
        <v>999</v>
      </c>
      <c r="J906" s="1" t="str">
        <f aca="false">_xlfn.IFS(AND(F906&gt;=8,G906&gt;=8,H906&gt;=8),"CHAMPION",AND(F906&gt;=6,G906&gt;=7,H906&gt;=6),"LOYAL CUSTOMER",AND(F906&gt;=6,G906&gt;=5,H906&gt;=5),"POTENTIAL LOYALIST",AND(F906&gt;=8,G906&lt;=2,H906&gt;=5),"NEW CUSTOMERS",AND(F906&gt;=6,G906&lt;=2,H906&gt;=3),"PROMISING",AND(F906&gt;=3,G906&gt;=3,H906&gt;=3),"NEED ATTENTION",AND(F906&lt;=4,G906&gt;=6,H906&gt;=6),"AT RISK",AND(F906&lt;=2,G906&gt;=8,H906&gt;=8),"CAN'T LOSE THEM",AND(F906&lt;=2,G906&lt;=2,H906&lt;=2),"HIBERNATING",TRUE(),"Other")</f>
        <v>CHAMPION</v>
      </c>
      <c r="K906" s="1" t="n">
        <f aca="false">RANK(E906,$E$7:$E$4378)+COUNTIF($E$7:E906,E906)-1</f>
        <v>221</v>
      </c>
    </row>
    <row r="907" customFormat="false" ht="14.25" hidden="false" customHeight="true" outlineLevel="0" collapsed="false">
      <c r="A907" s="51" t="n">
        <v>13536</v>
      </c>
      <c r="B907" s="53" t="n">
        <v>40885.6930555556</v>
      </c>
      <c r="C907" s="57" t="n">
        <f aca="false">INT($C$2)-INT(Table3[[#This Row],[Last Purchase Date]])</f>
        <v>2</v>
      </c>
      <c r="D907" s="1" t="n">
        <v>7</v>
      </c>
      <c r="E907" s="1" t="n">
        <v>3448.29</v>
      </c>
      <c r="F907" s="1" t="n">
        <f aca="false">ROUND((1-_xlfn.PERCENTRANK.INC($C$7:$C$4378,C907))*9,0)</f>
        <v>9</v>
      </c>
      <c r="G907" s="1" t="n">
        <f aca="false">ROUND(_xlfn.PERCENTRANK.INC($D$7:$D$4378,D907)*9,0)</f>
        <v>7</v>
      </c>
      <c r="H907" s="1" t="n">
        <f aca="false">ROUND(_xlfn.PERCENTRANK.INC($E$7:$E$4378,E907)*9,0)</f>
        <v>8</v>
      </c>
      <c r="I907" s="1" t="str">
        <f aca="false">CONCATENATE(F907,G907,H907)</f>
        <v>978</v>
      </c>
      <c r="J907" s="1" t="str">
        <f aca="false">_xlfn.IFS(AND(F907&gt;=8,G907&gt;=8,H907&gt;=8),"CHAMPION",AND(F907&gt;=6,G907&gt;=7,H907&gt;=6),"LOYAL CUSTOMER",AND(F907&gt;=6,G907&gt;=5,H907&gt;=5),"POTENTIAL LOYALIST",AND(F907&gt;=8,G907&lt;=2,H907&gt;=5),"NEW CUSTOMERS",AND(F907&gt;=6,G907&lt;=2,H907&gt;=3),"PROMISING",AND(F907&gt;=3,G907&gt;=3,H907&gt;=3),"NEED ATTENTION",AND(F907&lt;=4,G907&gt;=6,H907&gt;=6),"AT RISK",AND(F907&lt;=2,G907&gt;=8,H907&gt;=8),"CAN'T LOSE THEM",AND(F907&lt;=2,G907&lt;=2,H907&lt;=2),"HIBERNATING",TRUE(),"Other")</f>
        <v>LOYAL CUSTOMER</v>
      </c>
      <c r="K907" s="1" t="n">
        <f aca="false">RANK(E907,$E$7:$E$4378)+COUNTIF($E$7:E907,E907)-1</f>
        <v>450</v>
      </c>
    </row>
    <row r="908" customFormat="false" ht="14.25" hidden="false" customHeight="true" outlineLevel="0" collapsed="false">
      <c r="A908" s="51" t="n">
        <v>13538</v>
      </c>
      <c r="B908" s="53" t="n">
        <v>40843.6902777778</v>
      </c>
      <c r="C908" s="57" t="n">
        <f aca="false">INT($C$2)-INT(Table3[[#This Row],[Last Purchase Date]])</f>
        <v>44</v>
      </c>
      <c r="D908" s="1" t="n">
        <v>7</v>
      </c>
      <c r="E908" s="1" t="n">
        <v>1280.85</v>
      </c>
      <c r="F908" s="1" t="n">
        <f aca="false">ROUND((1-_xlfn.PERCENTRANK.INC($C$7:$C$4378,C908))*9,0)</f>
        <v>5</v>
      </c>
      <c r="G908" s="1" t="n">
        <f aca="false">ROUND(_xlfn.PERCENTRANK.INC($D$7:$D$4378,D908)*9,0)</f>
        <v>7</v>
      </c>
      <c r="H908" s="1" t="n">
        <f aca="false">ROUND(_xlfn.PERCENTRANK.INC($E$7:$E$4378,E908)*9,0)</f>
        <v>6</v>
      </c>
      <c r="I908" s="1" t="str">
        <f aca="false">CONCATENATE(F908,G908,H908)</f>
        <v>576</v>
      </c>
      <c r="J908" s="1" t="str">
        <f aca="false">_xlfn.IFS(AND(F908&gt;=8,G908&gt;=8,H908&gt;=8),"CHAMPION",AND(F908&gt;=6,G908&gt;=7,H908&gt;=6),"LOYAL CUSTOMER",AND(F908&gt;=6,G908&gt;=5,H908&gt;=5),"POTENTIAL LOYALIST",AND(F908&gt;=8,G908&lt;=2,H908&gt;=5),"NEW CUSTOMERS",AND(F908&gt;=6,G908&lt;=2,H908&gt;=3),"PROMISING",AND(F908&gt;=3,G908&gt;=3,H908&gt;=3),"NEED ATTENTION",AND(F908&lt;=4,G908&gt;=6,H908&gt;=6),"AT RISK",AND(F908&lt;=2,G908&gt;=8,H908&gt;=8),"CAN'T LOSE THEM",AND(F908&lt;=2,G908&lt;=2,H908&lt;=2),"HIBERNATING",TRUE(),"Other")</f>
        <v>NEED ATTENTION</v>
      </c>
      <c r="K908" s="1" t="n">
        <f aca="false">RANK(E908,$E$7:$E$4378)+COUNTIF($E$7:E908,E908)-1</f>
        <v>1344</v>
      </c>
    </row>
    <row r="909" customFormat="false" ht="14.25" hidden="false" customHeight="true" outlineLevel="0" collapsed="false">
      <c r="A909" s="51" t="n">
        <v>13539</v>
      </c>
      <c r="B909" s="53" t="n">
        <v>40801.4291666667</v>
      </c>
      <c r="C909" s="57" t="n">
        <f aca="false">INT($C$2)-INT(Table3[[#This Row],[Last Purchase Date]])</f>
        <v>86</v>
      </c>
      <c r="D909" s="1" t="n">
        <v>4</v>
      </c>
      <c r="E909" s="1" t="n">
        <v>605.84</v>
      </c>
      <c r="F909" s="1" t="n">
        <f aca="false">ROUND((1-_xlfn.PERCENTRANK.INC($C$7:$C$4378,C909))*9,0)</f>
        <v>3</v>
      </c>
      <c r="G909" s="1" t="n">
        <f aca="false">ROUND(_xlfn.PERCENTRANK.INC($D$7:$D$4378,D909)*9,0)</f>
        <v>5</v>
      </c>
      <c r="H909" s="1" t="n">
        <f aca="false">ROUND(_xlfn.PERCENTRANK.INC($E$7:$E$4378,E909)*9,0)</f>
        <v>4</v>
      </c>
      <c r="I909" s="1" t="str">
        <f aca="false">CONCATENATE(F909,G909,H909)</f>
        <v>354</v>
      </c>
      <c r="J909" s="1" t="str">
        <f aca="false">_xlfn.IFS(AND(F909&gt;=8,G909&gt;=8,H909&gt;=8),"CHAMPION",AND(F909&gt;=6,G909&gt;=7,H909&gt;=6),"LOYAL CUSTOMER",AND(F909&gt;=6,G909&gt;=5,H909&gt;=5),"POTENTIAL LOYALIST",AND(F909&gt;=8,G909&lt;=2,H909&gt;=5),"NEW CUSTOMERS",AND(F909&gt;=6,G909&lt;=2,H909&gt;=3),"PROMISING",AND(F909&gt;=3,G909&gt;=3,H909&gt;=3),"NEED ATTENTION",AND(F909&lt;=4,G909&gt;=6,H909&gt;=6),"AT RISK",AND(F909&lt;=2,G909&gt;=8,H909&gt;=8),"CAN'T LOSE THEM",AND(F909&lt;=2,G909&lt;=2,H909&lt;=2),"HIBERNATING",TRUE(),"Other")</f>
        <v>NEED ATTENTION</v>
      </c>
      <c r="K909" s="1" t="n">
        <f aca="false">RANK(E909,$E$7:$E$4378)+COUNTIF($E$7:E909,E909)-1</f>
        <v>2293</v>
      </c>
    </row>
    <row r="910" customFormat="false" ht="14.25" hidden="false" customHeight="true" outlineLevel="0" collapsed="false">
      <c r="A910" s="51" t="n">
        <v>13544</v>
      </c>
      <c r="B910" s="53" t="n">
        <v>40847.4979166667</v>
      </c>
      <c r="C910" s="57" t="n">
        <f aca="false">INT($C$2)-INT(Table3[[#This Row],[Last Purchase Date]])</f>
        <v>40</v>
      </c>
      <c r="D910" s="1" t="n">
        <v>2</v>
      </c>
      <c r="E910" s="1" t="n">
        <v>291.41</v>
      </c>
      <c r="F910" s="1" t="n">
        <f aca="false">ROUND((1-_xlfn.PERCENTRANK.INC($C$7:$C$4378,C910))*9,0)</f>
        <v>5</v>
      </c>
      <c r="G910" s="1" t="n">
        <f aca="false">ROUND(_xlfn.PERCENTRANK.INC($D$7:$D$4378,D910)*9,0)</f>
        <v>3</v>
      </c>
      <c r="H910" s="1" t="n">
        <f aca="false">ROUND(_xlfn.PERCENTRANK.INC($E$7:$E$4378,E910)*9,0)</f>
        <v>2</v>
      </c>
      <c r="I910" s="1" t="str">
        <f aca="false">CONCATENATE(F910,G910,H910)</f>
        <v>532</v>
      </c>
      <c r="J910" s="1" t="str">
        <f aca="false">_xlfn.IFS(AND(F910&gt;=8,G910&gt;=8,H910&gt;=8),"CHAMPION",AND(F910&gt;=6,G910&gt;=7,H910&gt;=6),"LOYAL CUSTOMER",AND(F910&gt;=6,G910&gt;=5,H910&gt;=5),"POTENTIAL LOYALIST",AND(F910&gt;=8,G910&lt;=2,H910&gt;=5),"NEW CUSTOMERS",AND(F910&gt;=6,G910&lt;=2,H910&gt;=3),"PROMISING",AND(F910&gt;=3,G910&gt;=3,H910&gt;=3),"NEED ATTENTION",AND(F910&lt;=4,G910&gt;=6,H910&gt;=6),"AT RISK",AND(F910&lt;=2,G910&gt;=8,H910&gt;=8),"CAN'T LOSE THEM",AND(F910&lt;=2,G910&lt;=2,H910&lt;=2),"HIBERNATING",TRUE(),"Other")</f>
        <v>Other</v>
      </c>
      <c r="K910" s="1" t="n">
        <f aca="false">RANK(E910,$E$7:$E$4378)+COUNTIF($E$7:E910,E910)-1</f>
        <v>3288</v>
      </c>
    </row>
    <row r="911" customFormat="false" ht="14.25" hidden="false" customHeight="true" outlineLevel="0" collapsed="false">
      <c r="A911" s="51" t="n">
        <v>13546</v>
      </c>
      <c r="B911" s="53" t="n">
        <v>40874.6180555556</v>
      </c>
      <c r="C911" s="57" t="n">
        <f aca="false">INT($C$2)-INT(Table3[[#This Row],[Last Purchase Date]])</f>
        <v>13</v>
      </c>
      <c r="D911" s="1" t="n">
        <v>3</v>
      </c>
      <c r="E911" s="1" t="n">
        <v>626.99</v>
      </c>
      <c r="F911" s="1" t="n">
        <f aca="false">ROUND((1-_xlfn.PERCENTRANK.INC($C$7:$C$4378,C911))*9,0)</f>
        <v>7</v>
      </c>
      <c r="G911" s="1" t="n">
        <f aca="false">ROUND(_xlfn.PERCENTRANK.INC($D$7:$D$4378,D911)*9,0)</f>
        <v>4</v>
      </c>
      <c r="H911" s="1" t="n">
        <f aca="false">ROUND(_xlfn.PERCENTRANK.INC($E$7:$E$4378,E911)*9,0)</f>
        <v>4</v>
      </c>
      <c r="I911" s="1" t="str">
        <f aca="false">CONCATENATE(F911,G911,H911)</f>
        <v>744</v>
      </c>
      <c r="J911" s="1" t="str">
        <f aca="false">_xlfn.IFS(AND(F911&gt;=8,G911&gt;=8,H911&gt;=8),"CHAMPION",AND(F911&gt;=6,G911&gt;=7,H911&gt;=6),"LOYAL CUSTOMER",AND(F911&gt;=6,G911&gt;=5,H911&gt;=5),"POTENTIAL LOYALIST",AND(F911&gt;=8,G911&lt;=2,H911&gt;=5),"NEW CUSTOMERS",AND(F911&gt;=6,G911&lt;=2,H911&gt;=3),"PROMISING",AND(F911&gt;=3,G911&gt;=3,H911&gt;=3),"NEED ATTENTION",AND(F911&lt;=4,G911&gt;=6,H911&gt;=6),"AT RISK",AND(F911&lt;=2,G911&gt;=8,H911&gt;=8),"CAN'T LOSE THEM",AND(F911&lt;=2,G911&lt;=2,H911&lt;=2),"HIBERNATING",TRUE(),"Other")</f>
        <v>NEED ATTENTION</v>
      </c>
      <c r="K911" s="1" t="n">
        <f aca="false">RANK(E911,$E$7:$E$4378)+COUNTIF($E$7:E911,E911)-1</f>
        <v>2240</v>
      </c>
    </row>
    <row r="912" customFormat="false" ht="14.25" hidden="false" customHeight="true" outlineLevel="0" collapsed="false">
      <c r="A912" s="51" t="n">
        <v>13548</v>
      </c>
      <c r="B912" s="53" t="n">
        <v>40790.6180555556</v>
      </c>
      <c r="C912" s="57" t="n">
        <f aca="false">INT($C$2)-INT(Table3[[#This Row],[Last Purchase Date]])</f>
        <v>97</v>
      </c>
      <c r="D912" s="1" t="n">
        <v>2</v>
      </c>
      <c r="E912" s="1" t="n">
        <v>682.41</v>
      </c>
      <c r="F912" s="1" t="n">
        <f aca="false">ROUND((1-_xlfn.PERCENTRANK.INC($C$7:$C$4378,C912))*9,0)</f>
        <v>3</v>
      </c>
      <c r="G912" s="1" t="n">
        <f aca="false">ROUND(_xlfn.PERCENTRANK.INC($D$7:$D$4378,D912)*9,0)</f>
        <v>3</v>
      </c>
      <c r="H912" s="1" t="n">
        <f aca="false">ROUND(_xlfn.PERCENTRANK.INC($E$7:$E$4378,E912)*9,0)</f>
        <v>5</v>
      </c>
      <c r="I912" s="1" t="str">
        <f aca="false">CONCATENATE(F912,G912,H912)</f>
        <v>335</v>
      </c>
      <c r="J912" s="1" t="str">
        <f aca="false">_xlfn.IFS(AND(F912&gt;=8,G912&gt;=8,H912&gt;=8),"CHAMPION",AND(F912&gt;=6,G912&gt;=7,H912&gt;=6),"LOYAL CUSTOMER",AND(F912&gt;=6,G912&gt;=5,H912&gt;=5),"POTENTIAL LOYALIST",AND(F912&gt;=8,G912&lt;=2,H912&gt;=5),"NEW CUSTOMERS",AND(F912&gt;=6,G912&lt;=2,H912&gt;=3),"PROMISING",AND(F912&gt;=3,G912&gt;=3,H912&gt;=3),"NEED ATTENTION",AND(F912&lt;=4,G912&gt;=6,H912&gt;=6),"AT RISK",AND(F912&lt;=2,G912&gt;=8,H912&gt;=8),"CAN'T LOSE THEM",AND(F912&lt;=2,G912&lt;=2,H912&lt;=2),"HIBERNATING",TRUE(),"Other")</f>
        <v>NEED ATTENTION</v>
      </c>
      <c r="K912" s="1" t="n">
        <f aca="false">RANK(E912,$E$7:$E$4378)+COUNTIF($E$7:E912,E912)-1</f>
        <v>2098</v>
      </c>
    </row>
    <row r="913" customFormat="false" ht="14.25" hidden="false" customHeight="true" outlineLevel="0" collapsed="false">
      <c r="A913" s="51" t="n">
        <v>13549</v>
      </c>
      <c r="B913" s="53" t="n">
        <v>40861.3888888889</v>
      </c>
      <c r="C913" s="57" t="n">
        <f aca="false">INT($C$2)-INT(Table3[[#This Row],[Last Purchase Date]])</f>
        <v>26</v>
      </c>
      <c r="D913" s="1" t="n">
        <v>8</v>
      </c>
      <c r="E913" s="1" t="n">
        <v>916.12</v>
      </c>
      <c r="F913" s="1" t="n">
        <f aca="false">ROUND((1-_xlfn.PERCENTRANK.INC($C$7:$C$4378,C913))*9,0)</f>
        <v>6</v>
      </c>
      <c r="G913" s="1" t="n">
        <f aca="false">ROUND(_xlfn.PERCENTRANK.INC($D$7:$D$4378,D913)*9,0)</f>
        <v>7</v>
      </c>
      <c r="H913" s="1" t="n">
        <f aca="false">ROUND(_xlfn.PERCENTRANK.INC($E$7:$E$4378,E913)*9,0)</f>
        <v>5</v>
      </c>
      <c r="I913" s="1" t="str">
        <f aca="false">CONCATENATE(F913,G913,H913)</f>
        <v>675</v>
      </c>
      <c r="J913" s="1" t="str">
        <f aca="false">_xlfn.IFS(AND(F913&gt;=8,G913&gt;=8,H913&gt;=8),"CHAMPION",AND(F913&gt;=6,G913&gt;=7,H913&gt;=6),"LOYAL CUSTOMER",AND(F913&gt;=6,G913&gt;=5,H913&gt;=5),"POTENTIAL LOYALIST",AND(F913&gt;=8,G913&lt;=2,H913&gt;=5),"NEW CUSTOMERS",AND(F913&gt;=6,G913&lt;=2,H913&gt;=3),"PROMISING",AND(F913&gt;=3,G913&gt;=3,H913&gt;=3),"NEED ATTENTION",AND(F913&lt;=4,G913&gt;=6,H913&gt;=6),"AT RISK",AND(F913&lt;=2,G913&gt;=8,H913&gt;=8),"CAN'T LOSE THEM",AND(F913&lt;=2,G913&lt;=2,H913&lt;=2),"HIBERNATING",TRUE(),"Other")</f>
        <v>POTENTIAL LOYALIST</v>
      </c>
      <c r="K913" s="1" t="n">
        <f aca="false">RANK(E913,$E$7:$E$4378)+COUNTIF($E$7:E913,E913)-1</f>
        <v>1734</v>
      </c>
    </row>
    <row r="914" customFormat="false" ht="14.25" hidden="false" customHeight="true" outlineLevel="0" collapsed="false">
      <c r="A914" s="51" t="n">
        <v>13551</v>
      </c>
      <c r="B914" s="53" t="n">
        <v>40567.6152777778</v>
      </c>
      <c r="C914" s="57" t="n">
        <f aca="false">INT($C$2)-INT(Table3[[#This Row],[Last Purchase Date]])</f>
        <v>320</v>
      </c>
      <c r="D914" s="1" t="n">
        <v>1</v>
      </c>
      <c r="E914" s="1" t="n">
        <v>91.8</v>
      </c>
      <c r="F914" s="1" t="n">
        <f aca="false">ROUND((1-_xlfn.PERCENTRANK.INC($C$7:$C$4378,C914))*9,0)</f>
        <v>0</v>
      </c>
      <c r="G914" s="1" t="n">
        <f aca="false">ROUND(_xlfn.PERCENTRANK.INC($D$7:$D$4378,D914)*9,0)</f>
        <v>0</v>
      </c>
      <c r="H914" s="1" t="n">
        <f aca="false">ROUND(_xlfn.PERCENTRANK.INC($E$7:$E$4378,E914)*9,0)</f>
        <v>0</v>
      </c>
      <c r="I914" s="1" t="str">
        <f aca="false">CONCATENATE(F914,G914,H914)</f>
        <v>000</v>
      </c>
      <c r="J914" s="1" t="str">
        <f aca="false">_xlfn.IFS(AND(F914&gt;=8,G914&gt;=8,H914&gt;=8),"CHAMPION",AND(F914&gt;=6,G914&gt;=7,H914&gt;=6),"LOYAL CUSTOMER",AND(F914&gt;=6,G914&gt;=5,H914&gt;=5),"POTENTIAL LOYALIST",AND(F914&gt;=8,G914&lt;=2,H914&gt;=5),"NEW CUSTOMERS",AND(F914&gt;=6,G914&lt;=2,H914&gt;=3),"PROMISING",AND(F914&gt;=3,G914&gt;=3,H914&gt;=3),"NEED ATTENTION",AND(F914&lt;=4,G914&gt;=6,H914&gt;=6),"AT RISK",AND(F914&lt;=2,G914&gt;=8,H914&gt;=8),"CAN'T LOSE THEM",AND(F914&lt;=2,G914&lt;=2,H914&lt;=2),"HIBERNATING",TRUE(),"Other")</f>
        <v>HIBERNATING</v>
      </c>
      <c r="K914" s="1" t="n">
        <f aca="false">RANK(E914,$E$7:$E$4378)+COUNTIF($E$7:E914,E914)-1</f>
        <v>4187</v>
      </c>
    </row>
    <row r="915" customFormat="false" ht="14.25" hidden="false" customHeight="true" outlineLevel="0" collapsed="false">
      <c r="A915" s="51" t="n">
        <v>13552</v>
      </c>
      <c r="B915" s="53" t="n">
        <v>40820.6381944444</v>
      </c>
      <c r="C915" s="57" t="n">
        <f aca="false">INT($C$2)-INT(Table3[[#This Row],[Last Purchase Date]])</f>
        <v>67</v>
      </c>
      <c r="D915" s="1" t="n">
        <v>16</v>
      </c>
      <c r="E915" s="1" t="n">
        <v>3539.53</v>
      </c>
      <c r="F915" s="1" t="n">
        <f aca="false">ROUND((1-_xlfn.PERCENTRANK.INC($C$7:$C$4378,C915))*9,0)</f>
        <v>4</v>
      </c>
      <c r="G915" s="1" t="n">
        <f aca="false">ROUND(_xlfn.PERCENTRANK.INC($D$7:$D$4378,D915)*9,0)</f>
        <v>9</v>
      </c>
      <c r="H915" s="1" t="n">
        <f aca="false">ROUND(_xlfn.PERCENTRANK.INC($E$7:$E$4378,E915)*9,0)</f>
        <v>8</v>
      </c>
      <c r="I915" s="1" t="str">
        <f aca="false">CONCATENATE(F915,G915,H915)</f>
        <v>498</v>
      </c>
      <c r="J915" s="1" t="str">
        <f aca="false">_xlfn.IFS(AND(F915&gt;=8,G915&gt;=8,H915&gt;=8),"CHAMPION",AND(F915&gt;=6,G915&gt;=7,H915&gt;=6),"LOYAL CUSTOMER",AND(F915&gt;=6,G915&gt;=5,H915&gt;=5),"POTENTIAL LOYALIST",AND(F915&gt;=8,G915&lt;=2,H915&gt;=5),"NEW CUSTOMERS",AND(F915&gt;=6,G915&lt;=2,H915&gt;=3),"PROMISING",AND(F915&gt;=3,G915&gt;=3,H915&gt;=3),"NEED ATTENTION",AND(F915&lt;=4,G915&gt;=6,H915&gt;=6),"AT RISK",AND(F915&lt;=2,G915&gt;=8,H915&gt;=8),"CAN'T LOSE THEM",AND(F915&lt;=2,G915&lt;=2,H915&lt;=2),"HIBERNATING",TRUE(),"Other")</f>
        <v>NEED ATTENTION</v>
      </c>
      <c r="K915" s="1" t="n">
        <f aca="false">RANK(E915,$E$7:$E$4378)+COUNTIF($E$7:E915,E915)-1</f>
        <v>434</v>
      </c>
    </row>
    <row r="916" customFormat="false" ht="14.25" hidden="false" customHeight="true" outlineLevel="0" collapsed="false">
      <c r="A916" s="51" t="n">
        <v>13555</v>
      </c>
      <c r="B916" s="53" t="n">
        <v>40813.525</v>
      </c>
      <c r="C916" s="57" t="n">
        <f aca="false">INT($C$2)-INT(Table3[[#This Row],[Last Purchase Date]])</f>
        <v>74</v>
      </c>
      <c r="D916" s="1" t="n">
        <v>4</v>
      </c>
      <c r="E916" s="1" t="n">
        <v>4149.28</v>
      </c>
      <c r="F916" s="1" t="n">
        <f aca="false">ROUND((1-_xlfn.PERCENTRANK.INC($C$7:$C$4378,C916))*9,0)</f>
        <v>3</v>
      </c>
      <c r="G916" s="1" t="n">
        <f aca="false">ROUND(_xlfn.PERCENTRANK.INC($D$7:$D$4378,D916)*9,0)</f>
        <v>5</v>
      </c>
      <c r="H916" s="1" t="n">
        <f aca="false">ROUND(_xlfn.PERCENTRANK.INC($E$7:$E$4378,E916)*9,0)</f>
        <v>8</v>
      </c>
      <c r="I916" s="1" t="str">
        <f aca="false">CONCATENATE(F916,G916,H916)</f>
        <v>358</v>
      </c>
      <c r="J916" s="1" t="str">
        <f aca="false">_xlfn.IFS(AND(F916&gt;=8,G916&gt;=8,H916&gt;=8),"CHAMPION",AND(F916&gt;=6,G916&gt;=7,H916&gt;=6),"LOYAL CUSTOMER",AND(F916&gt;=6,G916&gt;=5,H916&gt;=5),"POTENTIAL LOYALIST",AND(F916&gt;=8,G916&lt;=2,H916&gt;=5),"NEW CUSTOMERS",AND(F916&gt;=6,G916&lt;=2,H916&gt;=3),"PROMISING",AND(F916&gt;=3,G916&gt;=3,H916&gt;=3),"NEED ATTENTION",AND(F916&lt;=4,G916&gt;=6,H916&gt;=6),"AT RISK",AND(F916&lt;=2,G916&gt;=8,H916&gt;=8),"CAN'T LOSE THEM",AND(F916&lt;=2,G916&lt;=2,H916&lt;=2),"HIBERNATING",TRUE(),"Other")</f>
        <v>NEED ATTENTION</v>
      </c>
      <c r="K916" s="1" t="n">
        <f aca="false">RANK(E916,$E$7:$E$4378)+COUNTIF($E$7:E916,E916)-1</f>
        <v>335</v>
      </c>
    </row>
    <row r="917" customFormat="false" ht="14.25" hidden="false" customHeight="true" outlineLevel="0" collapsed="false">
      <c r="A917" s="51" t="n">
        <v>13557</v>
      </c>
      <c r="B917" s="53" t="n">
        <v>40858.6416666667</v>
      </c>
      <c r="C917" s="57" t="n">
        <f aca="false">INT($C$2)-INT(Table3[[#This Row],[Last Purchase Date]])</f>
        <v>29</v>
      </c>
      <c r="D917" s="1" t="n">
        <v>2</v>
      </c>
      <c r="E917" s="1" t="n">
        <v>584.06</v>
      </c>
      <c r="F917" s="1" t="n">
        <f aca="false">ROUND((1-_xlfn.PERCENTRANK.INC($C$7:$C$4378,C917))*9,0)</f>
        <v>6</v>
      </c>
      <c r="G917" s="1" t="n">
        <f aca="false">ROUND(_xlfn.PERCENTRANK.INC($D$7:$D$4378,D917)*9,0)</f>
        <v>3</v>
      </c>
      <c r="H917" s="1" t="n">
        <f aca="false">ROUND(_xlfn.PERCENTRANK.INC($E$7:$E$4378,E917)*9,0)</f>
        <v>4</v>
      </c>
      <c r="I917" s="1" t="str">
        <f aca="false">CONCATENATE(F917,G917,H917)</f>
        <v>634</v>
      </c>
      <c r="J917" s="1" t="str">
        <f aca="false">_xlfn.IFS(AND(F917&gt;=8,G917&gt;=8,H917&gt;=8),"CHAMPION",AND(F917&gt;=6,G917&gt;=7,H917&gt;=6),"LOYAL CUSTOMER",AND(F917&gt;=6,G917&gt;=5,H917&gt;=5),"POTENTIAL LOYALIST",AND(F917&gt;=8,G917&lt;=2,H917&gt;=5),"NEW CUSTOMERS",AND(F917&gt;=6,G917&lt;=2,H917&gt;=3),"PROMISING",AND(F917&gt;=3,G917&gt;=3,H917&gt;=3),"NEED ATTENTION",AND(F917&lt;=4,G917&gt;=6,H917&gt;=6),"AT RISK",AND(F917&lt;=2,G917&gt;=8,H917&gt;=8),"CAN'T LOSE THEM",AND(F917&lt;=2,G917&lt;=2,H917&lt;=2),"HIBERNATING",TRUE(),"Other")</f>
        <v>NEED ATTENTION</v>
      </c>
      <c r="K917" s="1" t="n">
        <f aca="false">RANK(E917,$E$7:$E$4378)+COUNTIF($E$7:E917,E917)-1</f>
        <v>2360</v>
      </c>
    </row>
    <row r="918" customFormat="false" ht="14.25" hidden="false" customHeight="true" outlineLevel="0" collapsed="false">
      <c r="A918" s="51" t="n">
        <v>13558</v>
      </c>
      <c r="B918" s="53" t="n">
        <v>40881.475</v>
      </c>
      <c r="C918" s="57" t="n">
        <f aca="false">INT($C$2)-INT(Table3[[#This Row],[Last Purchase Date]])</f>
        <v>6</v>
      </c>
      <c r="D918" s="1" t="n">
        <v>4</v>
      </c>
      <c r="E918" s="1" t="n">
        <v>605.06</v>
      </c>
      <c r="F918" s="1" t="n">
        <f aca="false">ROUND((1-_xlfn.PERCENTRANK.INC($C$7:$C$4378,C918))*9,0)</f>
        <v>8</v>
      </c>
      <c r="G918" s="1" t="n">
        <f aca="false">ROUND(_xlfn.PERCENTRANK.INC($D$7:$D$4378,D918)*9,0)</f>
        <v>5</v>
      </c>
      <c r="H918" s="1" t="n">
        <f aca="false">ROUND(_xlfn.PERCENTRANK.INC($E$7:$E$4378,E918)*9,0)</f>
        <v>4</v>
      </c>
      <c r="I918" s="1" t="str">
        <f aca="false">CONCATENATE(F918,G918,H918)</f>
        <v>854</v>
      </c>
      <c r="J918" s="1" t="str">
        <f aca="false">_xlfn.IFS(AND(F918&gt;=8,G918&gt;=8,H918&gt;=8),"CHAMPION",AND(F918&gt;=6,G918&gt;=7,H918&gt;=6),"LOYAL CUSTOMER",AND(F918&gt;=6,G918&gt;=5,H918&gt;=5),"POTENTIAL LOYALIST",AND(F918&gt;=8,G918&lt;=2,H918&gt;=5),"NEW CUSTOMERS",AND(F918&gt;=6,G918&lt;=2,H918&gt;=3),"PROMISING",AND(F918&gt;=3,G918&gt;=3,H918&gt;=3),"NEED ATTENTION",AND(F918&lt;=4,G918&gt;=6,H918&gt;=6),"AT RISK",AND(F918&lt;=2,G918&gt;=8,H918&gt;=8),"CAN'T LOSE THEM",AND(F918&lt;=2,G918&lt;=2,H918&lt;=2),"HIBERNATING",TRUE(),"Other")</f>
        <v>NEED ATTENTION</v>
      </c>
      <c r="K918" s="1" t="n">
        <f aca="false">RANK(E918,$E$7:$E$4378)+COUNTIF($E$7:E918,E918)-1</f>
        <v>2298</v>
      </c>
    </row>
    <row r="919" customFormat="false" ht="14.25" hidden="false" customHeight="true" outlineLevel="0" collapsed="false">
      <c r="A919" s="51" t="n">
        <v>13560</v>
      </c>
      <c r="B919" s="53" t="n">
        <v>40879.5493055556</v>
      </c>
      <c r="C919" s="57" t="n">
        <f aca="false">INT($C$2)-INT(Table3[[#This Row],[Last Purchase Date]])</f>
        <v>8</v>
      </c>
      <c r="D919" s="1" t="n">
        <v>1</v>
      </c>
      <c r="E919" s="1" t="n">
        <v>174.37</v>
      </c>
      <c r="F919" s="1" t="n">
        <f aca="false">ROUND((1-_xlfn.PERCENTRANK.INC($C$7:$C$4378,C919))*9,0)</f>
        <v>8</v>
      </c>
      <c r="G919" s="1" t="n">
        <f aca="false">ROUND(_xlfn.PERCENTRANK.INC($D$7:$D$4378,D919)*9,0)</f>
        <v>0</v>
      </c>
      <c r="H919" s="1" t="n">
        <f aca="false">ROUND(_xlfn.PERCENTRANK.INC($E$7:$E$4378,E919)*9,0)</f>
        <v>1</v>
      </c>
      <c r="I919" s="1" t="str">
        <f aca="false">CONCATENATE(F919,G919,H919)</f>
        <v>801</v>
      </c>
      <c r="J919" s="1" t="str">
        <f aca="false">_xlfn.IFS(AND(F919&gt;=8,G919&gt;=8,H919&gt;=8),"CHAMPION",AND(F919&gt;=6,G919&gt;=7,H919&gt;=6),"LOYAL CUSTOMER",AND(F919&gt;=6,G919&gt;=5,H919&gt;=5),"POTENTIAL LOYALIST",AND(F919&gt;=8,G919&lt;=2,H919&gt;=5),"NEW CUSTOMERS",AND(F919&gt;=6,G919&lt;=2,H919&gt;=3),"PROMISING",AND(F919&gt;=3,G919&gt;=3,H919&gt;=3),"NEED ATTENTION",AND(F919&lt;=4,G919&gt;=6,H919&gt;=6),"AT RISK",AND(F919&lt;=2,G919&gt;=8,H919&gt;=8),"CAN'T LOSE THEM",AND(F919&lt;=2,G919&lt;=2,H919&lt;=2),"HIBERNATING",TRUE(),"Other")</f>
        <v>Other</v>
      </c>
      <c r="K919" s="1" t="n">
        <f aca="false">RANK(E919,$E$7:$E$4378)+COUNTIF($E$7:E919,E919)-1</f>
        <v>3783</v>
      </c>
    </row>
    <row r="920" customFormat="false" ht="14.25" hidden="false" customHeight="true" outlineLevel="0" collapsed="false">
      <c r="A920" s="51" t="n">
        <v>13561</v>
      </c>
      <c r="B920" s="53" t="n">
        <v>40671.5270833333</v>
      </c>
      <c r="C920" s="57" t="n">
        <f aca="false">INT($C$2)-INT(Table3[[#This Row],[Last Purchase Date]])</f>
        <v>216</v>
      </c>
      <c r="D920" s="1" t="n">
        <v>1</v>
      </c>
      <c r="E920" s="1" t="n">
        <v>141.86</v>
      </c>
      <c r="F920" s="1" t="n">
        <f aca="false">ROUND((1-_xlfn.PERCENTRANK.INC($C$7:$C$4378,C920))*9,0)</f>
        <v>1</v>
      </c>
      <c r="G920" s="1" t="n">
        <f aca="false">ROUND(_xlfn.PERCENTRANK.INC($D$7:$D$4378,D920)*9,0)</f>
        <v>0</v>
      </c>
      <c r="H920" s="1" t="n">
        <f aca="false">ROUND(_xlfn.PERCENTRANK.INC($E$7:$E$4378,E920)*9,0)</f>
        <v>1</v>
      </c>
      <c r="I920" s="1" t="str">
        <f aca="false">CONCATENATE(F920,G920,H920)</f>
        <v>101</v>
      </c>
      <c r="J920" s="1" t="str">
        <f aca="false">_xlfn.IFS(AND(F920&gt;=8,G920&gt;=8,H920&gt;=8),"CHAMPION",AND(F920&gt;=6,G920&gt;=7,H920&gt;=6),"LOYAL CUSTOMER",AND(F920&gt;=6,G920&gt;=5,H920&gt;=5),"POTENTIAL LOYALIST",AND(F920&gt;=8,G920&lt;=2,H920&gt;=5),"NEW CUSTOMERS",AND(F920&gt;=6,G920&lt;=2,H920&gt;=3),"PROMISING",AND(F920&gt;=3,G920&gt;=3,H920&gt;=3),"NEED ATTENTION",AND(F920&lt;=4,G920&gt;=6,H920&gt;=6),"AT RISK",AND(F920&lt;=2,G920&gt;=8,H920&gt;=8),"CAN'T LOSE THEM",AND(F920&lt;=2,G920&lt;=2,H920&lt;=2),"HIBERNATING",TRUE(),"Other")</f>
        <v>HIBERNATING</v>
      </c>
      <c r="K920" s="1" t="n">
        <f aca="false">RANK(E920,$E$7:$E$4378)+COUNTIF($E$7:E920,E920)-1</f>
        <v>3950</v>
      </c>
    </row>
    <row r="921" customFormat="false" ht="14.25" hidden="false" customHeight="true" outlineLevel="0" collapsed="false">
      <c r="A921" s="51" t="n">
        <v>13562</v>
      </c>
      <c r="B921" s="53" t="n">
        <v>40805.4520833333</v>
      </c>
      <c r="C921" s="57" t="n">
        <f aca="false">INT($C$2)-INT(Table3[[#This Row],[Last Purchase Date]])</f>
        <v>82</v>
      </c>
      <c r="D921" s="1" t="n">
        <v>3</v>
      </c>
      <c r="E921" s="1" t="n">
        <v>1799.33</v>
      </c>
      <c r="F921" s="1" t="n">
        <f aca="false">ROUND((1-_xlfn.PERCENTRANK.INC($C$7:$C$4378,C921))*9,0)</f>
        <v>3</v>
      </c>
      <c r="G921" s="1" t="n">
        <f aca="false">ROUND(_xlfn.PERCENTRANK.INC($D$7:$D$4378,D921)*9,0)</f>
        <v>4</v>
      </c>
      <c r="H921" s="1" t="n">
        <f aca="false">ROUND(_xlfn.PERCENTRANK.INC($E$7:$E$4378,E921)*9,0)</f>
        <v>7</v>
      </c>
      <c r="I921" s="1" t="str">
        <f aca="false">CONCATENATE(F921,G921,H921)</f>
        <v>347</v>
      </c>
      <c r="J921" s="1" t="str">
        <f aca="false">_xlfn.IFS(AND(F921&gt;=8,G921&gt;=8,H921&gt;=8),"CHAMPION",AND(F921&gt;=6,G921&gt;=7,H921&gt;=6),"LOYAL CUSTOMER",AND(F921&gt;=6,G921&gt;=5,H921&gt;=5),"POTENTIAL LOYALIST",AND(F921&gt;=8,G921&lt;=2,H921&gt;=5),"NEW CUSTOMERS",AND(F921&gt;=6,G921&lt;=2,H921&gt;=3),"PROMISING",AND(F921&gt;=3,G921&gt;=3,H921&gt;=3),"NEED ATTENTION",AND(F921&lt;=4,G921&gt;=6,H921&gt;=6),"AT RISK",AND(F921&lt;=2,G921&gt;=8,H921&gt;=8),"CAN'T LOSE THEM",AND(F921&lt;=2,G921&lt;=2,H921&lt;=2),"HIBERNATING",TRUE(),"Other")</f>
        <v>NEED ATTENTION</v>
      </c>
      <c r="K921" s="1" t="n">
        <f aca="false">RANK(E921,$E$7:$E$4378)+COUNTIF($E$7:E921,E921)-1</f>
        <v>976</v>
      </c>
    </row>
    <row r="922" customFormat="false" ht="14.25" hidden="false" customHeight="true" outlineLevel="0" collapsed="false">
      <c r="A922" s="51" t="n">
        <v>13563</v>
      </c>
      <c r="B922" s="53" t="n">
        <v>40802.6145833333</v>
      </c>
      <c r="C922" s="57" t="n">
        <f aca="false">INT($C$2)-INT(Table3[[#This Row],[Last Purchase Date]])</f>
        <v>85</v>
      </c>
      <c r="D922" s="1" t="n">
        <v>2</v>
      </c>
      <c r="E922" s="1" t="n">
        <v>777.53</v>
      </c>
      <c r="F922" s="1" t="n">
        <f aca="false">ROUND((1-_xlfn.PERCENTRANK.INC($C$7:$C$4378,C922))*9,0)</f>
        <v>3</v>
      </c>
      <c r="G922" s="1" t="n">
        <f aca="false">ROUND(_xlfn.PERCENTRANK.INC($D$7:$D$4378,D922)*9,0)</f>
        <v>3</v>
      </c>
      <c r="H922" s="1" t="n">
        <f aca="false">ROUND(_xlfn.PERCENTRANK.INC($E$7:$E$4378,E922)*9,0)</f>
        <v>5</v>
      </c>
      <c r="I922" s="1" t="str">
        <f aca="false">CONCATENATE(F922,G922,H922)</f>
        <v>335</v>
      </c>
      <c r="J922" s="1" t="str">
        <f aca="false">_xlfn.IFS(AND(F922&gt;=8,G922&gt;=8,H922&gt;=8),"CHAMPION",AND(F922&gt;=6,G922&gt;=7,H922&gt;=6),"LOYAL CUSTOMER",AND(F922&gt;=6,G922&gt;=5,H922&gt;=5),"POTENTIAL LOYALIST",AND(F922&gt;=8,G922&lt;=2,H922&gt;=5),"NEW CUSTOMERS",AND(F922&gt;=6,G922&lt;=2,H922&gt;=3),"PROMISING",AND(F922&gt;=3,G922&gt;=3,H922&gt;=3),"NEED ATTENTION",AND(F922&lt;=4,G922&gt;=6,H922&gt;=6),"AT RISK",AND(F922&lt;=2,G922&gt;=8,H922&gt;=8),"CAN'T LOSE THEM",AND(F922&lt;=2,G922&lt;=2,H922&lt;=2),"HIBERNATING",TRUE(),"Other")</f>
        <v>NEED ATTENTION</v>
      </c>
      <c r="K922" s="1" t="n">
        <f aca="false">RANK(E922,$E$7:$E$4378)+COUNTIF($E$7:E922,E922)-1</f>
        <v>1931</v>
      </c>
    </row>
    <row r="923" customFormat="false" ht="14.25" hidden="false" customHeight="true" outlineLevel="0" collapsed="false">
      <c r="A923" s="51" t="n">
        <v>13564</v>
      </c>
      <c r="B923" s="53" t="n">
        <v>40742.6076388889</v>
      </c>
      <c r="C923" s="57" t="n">
        <f aca="false">INT($C$2)-INT(Table3[[#This Row],[Last Purchase Date]])</f>
        <v>145</v>
      </c>
      <c r="D923" s="1" t="n">
        <v>5</v>
      </c>
      <c r="E923" s="1" t="n">
        <v>647.740000000001</v>
      </c>
      <c r="F923" s="1" t="n">
        <f aca="false">ROUND((1-_xlfn.PERCENTRANK.INC($C$7:$C$4378,C923))*9,0)</f>
        <v>2</v>
      </c>
      <c r="G923" s="1" t="n">
        <f aca="false">ROUND(_xlfn.PERCENTRANK.INC($D$7:$D$4378,D923)*9,0)</f>
        <v>6</v>
      </c>
      <c r="H923" s="1" t="n">
        <f aca="false">ROUND(_xlfn.PERCENTRANK.INC($E$7:$E$4378,E923)*9,0)</f>
        <v>5</v>
      </c>
      <c r="I923" s="1" t="str">
        <f aca="false">CONCATENATE(F923,G923,H923)</f>
        <v>265</v>
      </c>
      <c r="J923" s="1" t="str">
        <f aca="false">_xlfn.IFS(AND(F923&gt;=8,G923&gt;=8,H923&gt;=8),"CHAMPION",AND(F923&gt;=6,G923&gt;=7,H923&gt;=6),"LOYAL CUSTOMER",AND(F923&gt;=6,G923&gt;=5,H923&gt;=5),"POTENTIAL LOYALIST",AND(F923&gt;=8,G923&lt;=2,H923&gt;=5),"NEW CUSTOMERS",AND(F923&gt;=6,G923&lt;=2,H923&gt;=3),"PROMISING",AND(F923&gt;=3,G923&gt;=3,H923&gt;=3),"NEED ATTENTION",AND(F923&lt;=4,G923&gt;=6,H923&gt;=6),"AT RISK",AND(F923&lt;=2,G923&gt;=8,H923&gt;=8),"CAN'T LOSE THEM",AND(F923&lt;=2,G923&lt;=2,H923&lt;=2),"HIBERNATING",TRUE(),"Other")</f>
        <v>Other</v>
      </c>
      <c r="K923" s="1" t="n">
        <f aca="false">RANK(E923,$E$7:$E$4378)+COUNTIF($E$7:E923,E923)-1</f>
        <v>2187</v>
      </c>
    </row>
    <row r="924" customFormat="false" ht="14.25" hidden="false" customHeight="true" outlineLevel="0" collapsed="false">
      <c r="A924" s="51" t="n">
        <v>13565</v>
      </c>
      <c r="B924" s="53" t="n">
        <v>40867.60625</v>
      </c>
      <c r="C924" s="57" t="n">
        <f aca="false">INT($C$2)-INT(Table3[[#This Row],[Last Purchase Date]])</f>
        <v>20</v>
      </c>
      <c r="D924" s="1" t="n">
        <v>2</v>
      </c>
      <c r="E924" s="1" t="n">
        <v>240.22</v>
      </c>
      <c r="F924" s="1" t="n">
        <f aca="false">ROUND((1-_xlfn.PERCENTRANK.INC($C$7:$C$4378,C924))*9,0)</f>
        <v>6</v>
      </c>
      <c r="G924" s="1" t="n">
        <f aca="false">ROUND(_xlfn.PERCENTRANK.INC($D$7:$D$4378,D924)*9,0)</f>
        <v>3</v>
      </c>
      <c r="H924" s="1" t="n">
        <f aca="false">ROUND(_xlfn.PERCENTRANK.INC($E$7:$E$4378,E924)*9,0)</f>
        <v>2</v>
      </c>
      <c r="I924" s="1" t="str">
        <f aca="false">CONCATENATE(F924,G924,H924)</f>
        <v>632</v>
      </c>
      <c r="J924" s="1" t="str">
        <f aca="false">_xlfn.IFS(AND(F924&gt;=8,G924&gt;=8,H924&gt;=8),"CHAMPION",AND(F924&gt;=6,G924&gt;=7,H924&gt;=6),"LOYAL CUSTOMER",AND(F924&gt;=6,G924&gt;=5,H924&gt;=5),"POTENTIAL LOYALIST",AND(F924&gt;=8,G924&lt;=2,H924&gt;=5),"NEW CUSTOMERS",AND(F924&gt;=6,G924&lt;=2,H924&gt;=3),"PROMISING",AND(F924&gt;=3,G924&gt;=3,H924&gt;=3),"NEED ATTENTION",AND(F924&lt;=4,G924&gt;=6,H924&gt;=6),"AT RISK",AND(F924&lt;=2,G924&gt;=8,H924&gt;=8),"CAN'T LOSE THEM",AND(F924&lt;=2,G924&lt;=2,H924&lt;=2),"HIBERNATING",TRUE(),"Other")</f>
        <v>Other</v>
      </c>
      <c r="K924" s="1" t="n">
        <f aca="false">RANK(E924,$E$7:$E$4378)+COUNTIF($E$7:E924,E924)-1</f>
        <v>3479</v>
      </c>
    </row>
    <row r="925" customFormat="false" ht="14.25" hidden="false" customHeight="true" outlineLevel="0" collapsed="false">
      <c r="A925" s="51" t="n">
        <v>13566</v>
      </c>
      <c r="B925" s="53" t="n">
        <v>40846.4993055556</v>
      </c>
      <c r="C925" s="57" t="n">
        <f aca="false">INT($C$2)-INT(Table3[[#This Row],[Last Purchase Date]])</f>
        <v>41</v>
      </c>
      <c r="D925" s="1" t="n">
        <v>2</v>
      </c>
      <c r="E925" s="1" t="n">
        <v>874.71</v>
      </c>
      <c r="F925" s="1" t="n">
        <f aca="false">ROUND((1-_xlfn.PERCENTRANK.INC($C$7:$C$4378,C925))*9,0)</f>
        <v>5</v>
      </c>
      <c r="G925" s="1" t="n">
        <f aca="false">ROUND(_xlfn.PERCENTRANK.INC($D$7:$D$4378,D925)*9,0)</f>
        <v>3</v>
      </c>
      <c r="H925" s="1" t="n">
        <f aca="false">ROUND(_xlfn.PERCENTRANK.INC($E$7:$E$4378,E925)*9,0)</f>
        <v>5</v>
      </c>
      <c r="I925" s="1" t="str">
        <f aca="false">CONCATENATE(F925,G925,H925)</f>
        <v>535</v>
      </c>
      <c r="J925" s="1" t="str">
        <f aca="false">_xlfn.IFS(AND(F925&gt;=8,G925&gt;=8,H925&gt;=8),"CHAMPION",AND(F925&gt;=6,G925&gt;=7,H925&gt;=6),"LOYAL CUSTOMER",AND(F925&gt;=6,G925&gt;=5,H925&gt;=5),"POTENTIAL LOYALIST",AND(F925&gt;=8,G925&lt;=2,H925&gt;=5),"NEW CUSTOMERS",AND(F925&gt;=6,G925&lt;=2,H925&gt;=3),"PROMISING",AND(F925&gt;=3,G925&gt;=3,H925&gt;=3),"NEED ATTENTION",AND(F925&lt;=4,G925&gt;=6,H925&gt;=6),"AT RISK",AND(F925&lt;=2,G925&gt;=8,H925&gt;=8),"CAN'T LOSE THEM",AND(F925&lt;=2,G925&lt;=2,H925&lt;=2),"HIBERNATING",TRUE(),"Other")</f>
        <v>NEED ATTENTION</v>
      </c>
      <c r="K925" s="1" t="n">
        <f aca="false">RANK(E925,$E$7:$E$4378)+COUNTIF($E$7:E925,E925)-1</f>
        <v>1795</v>
      </c>
    </row>
    <row r="926" customFormat="false" ht="14.25" hidden="false" customHeight="true" outlineLevel="0" collapsed="false">
      <c r="A926" s="51" t="n">
        <v>13568</v>
      </c>
      <c r="B926" s="53" t="n">
        <v>40713.6125</v>
      </c>
      <c r="C926" s="57" t="n">
        <f aca="false">INT($C$2)-INT(Table3[[#This Row],[Last Purchase Date]])</f>
        <v>174</v>
      </c>
      <c r="D926" s="1" t="n">
        <v>1</v>
      </c>
      <c r="E926" s="1" t="n">
        <v>192.85</v>
      </c>
      <c r="F926" s="1" t="n">
        <f aca="false">ROUND((1-_xlfn.PERCENTRANK.INC($C$7:$C$4378,C926))*9,0)</f>
        <v>2</v>
      </c>
      <c r="G926" s="1" t="n">
        <f aca="false">ROUND(_xlfn.PERCENTRANK.INC($D$7:$D$4378,D926)*9,0)</f>
        <v>0</v>
      </c>
      <c r="H926" s="1" t="n">
        <f aca="false">ROUND(_xlfn.PERCENTRANK.INC($E$7:$E$4378,E926)*9,0)</f>
        <v>1</v>
      </c>
      <c r="I926" s="1" t="str">
        <f aca="false">CONCATENATE(F926,G926,H926)</f>
        <v>201</v>
      </c>
      <c r="J926" s="1" t="str">
        <f aca="false">_xlfn.IFS(AND(F926&gt;=8,G926&gt;=8,H926&gt;=8),"CHAMPION",AND(F926&gt;=6,G926&gt;=7,H926&gt;=6),"LOYAL CUSTOMER",AND(F926&gt;=6,G926&gt;=5,H926&gt;=5),"POTENTIAL LOYALIST",AND(F926&gt;=8,G926&lt;=2,H926&gt;=5),"NEW CUSTOMERS",AND(F926&gt;=6,G926&lt;=2,H926&gt;=3),"PROMISING",AND(F926&gt;=3,G926&gt;=3,H926&gt;=3),"NEED ATTENTION",AND(F926&lt;=4,G926&gt;=6,H926&gt;=6),"AT RISK",AND(F926&lt;=2,G926&gt;=8,H926&gt;=8),"CAN'T LOSE THEM",AND(F926&lt;=2,G926&lt;=2,H926&lt;=2),"HIBERNATING",TRUE(),"Other")</f>
        <v>HIBERNATING</v>
      </c>
      <c r="K926" s="1" t="n">
        <f aca="false">RANK(E926,$E$7:$E$4378)+COUNTIF($E$7:E926,E926)-1</f>
        <v>3696</v>
      </c>
    </row>
    <row r="927" customFormat="false" ht="14.25" hidden="false" customHeight="true" outlineLevel="0" collapsed="false">
      <c r="A927" s="51" t="n">
        <v>13569</v>
      </c>
      <c r="B927" s="53" t="n">
        <v>40869.5465277778</v>
      </c>
      <c r="C927" s="57" t="n">
        <f aca="false">INT($C$2)-INT(Table3[[#This Row],[Last Purchase Date]])</f>
        <v>18</v>
      </c>
      <c r="D927" s="1" t="n">
        <v>2</v>
      </c>
      <c r="E927" s="1" t="n">
        <v>373.75</v>
      </c>
      <c r="F927" s="1" t="n">
        <f aca="false">ROUND((1-_xlfn.PERCENTRANK.INC($C$7:$C$4378,C927))*9,0)</f>
        <v>7</v>
      </c>
      <c r="G927" s="1" t="n">
        <f aca="false">ROUND(_xlfn.PERCENTRANK.INC($D$7:$D$4378,D927)*9,0)</f>
        <v>3</v>
      </c>
      <c r="H927" s="1" t="n">
        <f aca="false">ROUND(_xlfn.PERCENTRANK.INC($E$7:$E$4378,E927)*9,0)</f>
        <v>3</v>
      </c>
      <c r="I927" s="1" t="str">
        <f aca="false">CONCATENATE(F927,G927,H927)</f>
        <v>733</v>
      </c>
      <c r="J927" s="1" t="str">
        <f aca="false">_xlfn.IFS(AND(F927&gt;=8,G927&gt;=8,H927&gt;=8),"CHAMPION",AND(F927&gt;=6,G927&gt;=7,H927&gt;=6),"LOYAL CUSTOMER",AND(F927&gt;=6,G927&gt;=5,H927&gt;=5),"POTENTIAL LOYALIST",AND(F927&gt;=8,G927&lt;=2,H927&gt;=5),"NEW CUSTOMERS",AND(F927&gt;=6,G927&lt;=2,H927&gt;=3),"PROMISING",AND(F927&gt;=3,G927&gt;=3,H927&gt;=3),"NEED ATTENTION",AND(F927&lt;=4,G927&gt;=6,H927&gt;=6),"AT RISK",AND(F927&lt;=2,G927&gt;=8,H927&gt;=8),"CAN'T LOSE THEM",AND(F927&lt;=2,G927&lt;=2,H927&lt;=2),"HIBERNATING",TRUE(),"Other")</f>
        <v>NEED ATTENTION</v>
      </c>
      <c r="K927" s="1" t="n">
        <f aca="false">RANK(E927,$E$7:$E$4378)+COUNTIF($E$7:E927,E927)-1</f>
        <v>2918</v>
      </c>
    </row>
    <row r="928" customFormat="false" ht="14.25" hidden="false" customHeight="true" outlineLevel="0" collapsed="false">
      <c r="A928" s="51" t="n">
        <v>13570</v>
      </c>
      <c r="B928" s="53" t="n">
        <v>40643.5666666667</v>
      </c>
      <c r="C928" s="57" t="n">
        <f aca="false">INT($C$2)-INT(Table3[[#This Row],[Last Purchase Date]])</f>
        <v>244</v>
      </c>
      <c r="D928" s="1" t="n">
        <v>1</v>
      </c>
      <c r="E928" s="1" t="n">
        <v>239.49</v>
      </c>
      <c r="F928" s="1" t="n">
        <f aca="false">ROUND((1-_xlfn.PERCENTRANK.INC($C$7:$C$4378,C928))*9,0)</f>
        <v>1</v>
      </c>
      <c r="G928" s="1" t="n">
        <f aca="false">ROUND(_xlfn.PERCENTRANK.INC($D$7:$D$4378,D928)*9,0)</f>
        <v>0</v>
      </c>
      <c r="H928" s="1" t="n">
        <f aca="false">ROUND(_xlfn.PERCENTRANK.INC($E$7:$E$4378,E928)*9,0)</f>
        <v>2</v>
      </c>
      <c r="I928" s="1" t="str">
        <f aca="false">CONCATENATE(F928,G928,H928)</f>
        <v>102</v>
      </c>
      <c r="J928" s="1" t="str">
        <f aca="false">_xlfn.IFS(AND(F928&gt;=8,G928&gt;=8,H928&gt;=8),"CHAMPION",AND(F928&gt;=6,G928&gt;=7,H928&gt;=6),"LOYAL CUSTOMER",AND(F928&gt;=6,G928&gt;=5,H928&gt;=5),"POTENTIAL LOYALIST",AND(F928&gt;=8,G928&lt;=2,H928&gt;=5),"NEW CUSTOMERS",AND(F928&gt;=6,G928&lt;=2,H928&gt;=3),"PROMISING",AND(F928&gt;=3,G928&gt;=3,H928&gt;=3),"NEED ATTENTION",AND(F928&lt;=4,G928&gt;=6,H928&gt;=6),"AT RISK",AND(F928&lt;=2,G928&gt;=8,H928&gt;=8),"CAN'T LOSE THEM",AND(F928&lt;=2,G928&lt;=2,H928&lt;=2),"HIBERNATING",TRUE(),"Other")</f>
        <v>HIBERNATING</v>
      </c>
      <c r="K928" s="1" t="n">
        <f aca="false">RANK(E928,$E$7:$E$4378)+COUNTIF($E$7:E928,E928)-1</f>
        <v>3483</v>
      </c>
    </row>
    <row r="929" customFormat="false" ht="14.25" hidden="false" customHeight="true" outlineLevel="0" collapsed="false">
      <c r="A929" s="51" t="n">
        <v>13571</v>
      </c>
      <c r="B929" s="53" t="n">
        <v>40874.4493055556</v>
      </c>
      <c r="C929" s="57" t="n">
        <f aca="false">INT($C$2)-INT(Table3[[#This Row],[Last Purchase Date]])</f>
        <v>13</v>
      </c>
      <c r="D929" s="1" t="n">
        <v>12</v>
      </c>
      <c r="E929" s="1" t="n">
        <v>2092.32</v>
      </c>
      <c r="F929" s="1" t="n">
        <f aca="false">ROUND((1-_xlfn.PERCENTRANK.INC($C$7:$C$4378,C929))*9,0)</f>
        <v>7</v>
      </c>
      <c r="G929" s="1" t="n">
        <f aca="false">ROUND(_xlfn.PERCENTRANK.INC($D$7:$D$4378,D929)*9,0)</f>
        <v>8</v>
      </c>
      <c r="H929" s="1" t="n">
        <f aca="false">ROUND(_xlfn.PERCENTRANK.INC($E$7:$E$4378,E929)*9,0)</f>
        <v>7</v>
      </c>
      <c r="I929" s="1" t="str">
        <f aca="false">CONCATENATE(F929,G929,H929)</f>
        <v>787</v>
      </c>
      <c r="J929" s="1" t="str">
        <f aca="false">_xlfn.IFS(AND(F929&gt;=8,G929&gt;=8,H929&gt;=8),"CHAMPION",AND(F929&gt;=6,G929&gt;=7,H929&gt;=6),"LOYAL CUSTOMER",AND(F929&gt;=6,G929&gt;=5,H929&gt;=5),"POTENTIAL LOYALIST",AND(F929&gt;=8,G929&lt;=2,H929&gt;=5),"NEW CUSTOMERS",AND(F929&gt;=6,G929&lt;=2,H929&gt;=3),"PROMISING",AND(F929&gt;=3,G929&gt;=3,H929&gt;=3),"NEED ATTENTION",AND(F929&lt;=4,G929&gt;=6,H929&gt;=6),"AT RISK",AND(F929&lt;=2,G929&gt;=8,H929&gt;=8),"CAN'T LOSE THEM",AND(F929&lt;=2,G929&lt;=2,H929&lt;=2),"HIBERNATING",TRUE(),"Other")</f>
        <v>LOYAL CUSTOMER</v>
      </c>
      <c r="K929" s="1" t="n">
        <f aca="false">RANK(E929,$E$7:$E$4378)+COUNTIF($E$7:E929,E929)-1</f>
        <v>830</v>
      </c>
    </row>
    <row r="930" customFormat="false" ht="14.25" hidden="false" customHeight="true" outlineLevel="0" collapsed="false">
      <c r="A930" s="51" t="n">
        <v>13572</v>
      </c>
      <c r="B930" s="53" t="n">
        <v>40681.4993055556</v>
      </c>
      <c r="C930" s="57" t="n">
        <f aca="false">INT($C$2)-INT(Table3[[#This Row],[Last Purchase Date]])</f>
        <v>206</v>
      </c>
      <c r="D930" s="1" t="n">
        <v>1</v>
      </c>
      <c r="E930" s="1" t="n">
        <v>1384.25</v>
      </c>
      <c r="F930" s="1" t="n">
        <f aca="false">ROUND((1-_xlfn.PERCENTRANK.INC($C$7:$C$4378,C930))*9,0)</f>
        <v>1</v>
      </c>
      <c r="G930" s="1" t="n">
        <f aca="false">ROUND(_xlfn.PERCENTRANK.INC($D$7:$D$4378,D930)*9,0)</f>
        <v>0</v>
      </c>
      <c r="H930" s="1" t="n">
        <f aca="false">ROUND(_xlfn.PERCENTRANK.INC($E$7:$E$4378,E930)*9,0)</f>
        <v>6</v>
      </c>
      <c r="I930" s="1" t="str">
        <f aca="false">CONCATENATE(F930,G930,H930)</f>
        <v>106</v>
      </c>
      <c r="J930" s="1" t="str">
        <f aca="false">_xlfn.IFS(AND(F930&gt;=8,G930&gt;=8,H930&gt;=8),"CHAMPION",AND(F930&gt;=6,G930&gt;=7,H930&gt;=6),"LOYAL CUSTOMER",AND(F930&gt;=6,G930&gt;=5,H930&gt;=5),"POTENTIAL LOYALIST",AND(F930&gt;=8,G930&lt;=2,H930&gt;=5),"NEW CUSTOMERS",AND(F930&gt;=6,G930&lt;=2,H930&gt;=3),"PROMISING",AND(F930&gt;=3,G930&gt;=3,H930&gt;=3),"NEED ATTENTION",AND(F930&lt;=4,G930&gt;=6,H930&gt;=6),"AT RISK",AND(F930&lt;=2,G930&gt;=8,H930&gt;=8),"CAN'T LOSE THEM",AND(F930&lt;=2,G930&lt;=2,H930&lt;=2),"HIBERNATING",TRUE(),"Other")</f>
        <v>Other</v>
      </c>
      <c r="K930" s="1" t="n">
        <f aca="false">RANK(E930,$E$7:$E$4378)+COUNTIF($E$7:E930,E930)-1</f>
        <v>1249</v>
      </c>
    </row>
    <row r="931" customFormat="false" ht="14.25" hidden="false" customHeight="true" outlineLevel="0" collapsed="false">
      <c r="A931" s="51" t="n">
        <v>13573</v>
      </c>
      <c r="B931" s="53" t="n">
        <v>40836.60625</v>
      </c>
      <c r="C931" s="57" t="n">
        <f aca="false">INT($C$2)-INT(Table3[[#This Row],[Last Purchase Date]])</f>
        <v>51</v>
      </c>
      <c r="D931" s="1" t="n">
        <v>2</v>
      </c>
      <c r="E931" s="1" t="n">
        <v>294.4</v>
      </c>
      <c r="F931" s="1" t="n">
        <f aca="false">ROUND((1-_xlfn.PERCENTRANK.INC($C$7:$C$4378,C931))*9,0)</f>
        <v>5</v>
      </c>
      <c r="G931" s="1" t="n">
        <f aca="false">ROUND(_xlfn.PERCENTRANK.INC($D$7:$D$4378,D931)*9,0)</f>
        <v>3</v>
      </c>
      <c r="H931" s="1" t="n">
        <f aca="false">ROUND(_xlfn.PERCENTRANK.INC($E$7:$E$4378,E931)*9,0)</f>
        <v>2</v>
      </c>
      <c r="I931" s="1" t="str">
        <f aca="false">CONCATENATE(F931,G931,H931)</f>
        <v>532</v>
      </c>
      <c r="J931" s="1" t="str">
        <f aca="false">_xlfn.IFS(AND(F931&gt;=8,G931&gt;=8,H931&gt;=8),"CHAMPION",AND(F931&gt;=6,G931&gt;=7,H931&gt;=6),"LOYAL CUSTOMER",AND(F931&gt;=6,G931&gt;=5,H931&gt;=5),"POTENTIAL LOYALIST",AND(F931&gt;=8,G931&lt;=2,H931&gt;=5),"NEW CUSTOMERS",AND(F931&gt;=6,G931&lt;=2,H931&gt;=3),"PROMISING",AND(F931&gt;=3,G931&gt;=3,H931&gt;=3),"NEED ATTENTION",AND(F931&lt;=4,G931&gt;=6,H931&gt;=6),"AT RISK",AND(F931&lt;=2,G931&gt;=8,H931&gt;=8),"CAN'T LOSE THEM",AND(F931&lt;=2,G931&lt;=2,H931&lt;=2),"HIBERNATING",TRUE(),"Other")</f>
        <v>Other</v>
      </c>
      <c r="K931" s="1" t="n">
        <f aca="false">RANK(E931,$E$7:$E$4378)+COUNTIF($E$7:E931,E931)-1</f>
        <v>3275</v>
      </c>
    </row>
    <row r="932" customFormat="false" ht="14.25" hidden="false" customHeight="true" outlineLevel="0" collapsed="false">
      <c r="A932" s="51" t="n">
        <v>13575</v>
      </c>
      <c r="B932" s="53" t="n">
        <v>40863.5513888889</v>
      </c>
      <c r="C932" s="57" t="n">
        <f aca="false">INT($C$2)-INT(Table3[[#This Row],[Last Purchase Date]])</f>
        <v>24</v>
      </c>
      <c r="D932" s="1" t="n">
        <v>5</v>
      </c>
      <c r="E932" s="1" t="n">
        <v>732.07</v>
      </c>
      <c r="F932" s="1" t="n">
        <f aca="false">ROUND((1-_xlfn.PERCENTRANK.INC($C$7:$C$4378,C932))*9,0)</f>
        <v>6</v>
      </c>
      <c r="G932" s="1" t="n">
        <f aca="false">ROUND(_xlfn.PERCENTRANK.INC($D$7:$D$4378,D932)*9,0)</f>
        <v>6</v>
      </c>
      <c r="H932" s="1" t="n">
        <f aca="false">ROUND(_xlfn.PERCENTRANK.INC($E$7:$E$4378,E932)*9,0)</f>
        <v>5</v>
      </c>
      <c r="I932" s="1" t="str">
        <f aca="false">CONCATENATE(F932,G932,H932)</f>
        <v>665</v>
      </c>
      <c r="J932" s="1" t="str">
        <f aca="false">_xlfn.IFS(AND(F932&gt;=8,G932&gt;=8,H932&gt;=8),"CHAMPION",AND(F932&gt;=6,G932&gt;=7,H932&gt;=6),"LOYAL CUSTOMER",AND(F932&gt;=6,G932&gt;=5,H932&gt;=5),"POTENTIAL LOYALIST",AND(F932&gt;=8,G932&lt;=2,H932&gt;=5),"NEW CUSTOMERS",AND(F932&gt;=6,G932&lt;=2,H932&gt;=3),"PROMISING",AND(F932&gt;=3,G932&gt;=3,H932&gt;=3),"NEED ATTENTION",AND(F932&lt;=4,G932&gt;=6,H932&gt;=6),"AT RISK",AND(F932&lt;=2,G932&gt;=8,H932&gt;=8),"CAN'T LOSE THEM",AND(F932&lt;=2,G932&lt;=2,H932&lt;=2),"HIBERNATING",TRUE(),"Other")</f>
        <v>POTENTIAL LOYALIST</v>
      </c>
      <c r="K932" s="1" t="n">
        <f aca="false">RANK(E932,$E$7:$E$4378)+COUNTIF($E$7:E932,E932)-1</f>
        <v>2006</v>
      </c>
    </row>
    <row r="933" customFormat="false" ht="14.25" hidden="false" customHeight="true" outlineLevel="0" collapsed="false">
      <c r="A933" s="51" t="n">
        <v>13576</v>
      </c>
      <c r="B933" s="53" t="n">
        <v>40876.6486111111</v>
      </c>
      <c r="C933" s="57" t="n">
        <f aca="false">INT($C$2)-INT(Table3[[#This Row],[Last Purchase Date]])</f>
        <v>11</v>
      </c>
      <c r="D933" s="1" t="n">
        <v>20</v>
      </c>
      <c r="E933" s="1" t="n">
        <v>6703.3</v>
      </c>
      <c r="F933" s="1" t="n">
        <f aca="false">ROUND((1-_xlfn.PERCENTRANK.INC($C$7:$C$4378,C933))*9,0)</f>
        <v>7</v>
      </c>
      <c r="G933" s="1" t="n">
        <f aca="false">ROUND(_xlfn.PERCENTRANK.INC($D$7:$D$4378,D933)*9,0)</f>
        <v>9</v>
      </c>
      <c r="H933" s="1" t="n">
        <f aca="false">ROUND(_xlfn.PERCENTRANK.INC($E$7:$E$4378,E933)*9,0)</f>
        <v>9</v>
      </c>
      <c r="I933" s="1" t="str">
        <f aca="false">CONCATENATE(F933,G933,H933)</f>
        <v>799</v>
      </c>
      <c r="J933" s="1" t="str">
        <f aca="false">_xlfn.IFS(AND(F933&gt;=8,G933&gt;=8,H933&gt;=8),"CHAMPION",AND(F933&gt;=6,G933&gt;=7,H933&gt;=6),"LOYAL CUSTOMER",AND(F933&gt;=6,G933&gt;=5,H933&gt;=5),"POTENTIAL LOYALIST",AND(F933&gt;=8,G933&lt;=2,H933&gt;=5),"NEW CUSTOMERS",AND(F933&gt;=6,G933&lt;=2,H933&gt;=3),"PROMISING",AND(F933&gt;=3,G933&gt;=3,H933&gt;=3),"NEED ATTENTION",AND(F933&lt;=4,G933&gt;=6,H933&gt;=6),"AT RISK",AND(F933&lt;=2,G933&gt;=8,H933&gt;=8),"CAN'T LOSE THEM",AND(F933&lt;=2,G933&lt;=2,H933&lt;=2),"HIBERNATING",TRUE(),"Other")</f>
        <v>LOYAL CUSTOMER</v>
      </c>
      <c r="K933" s="1" t="n">
        <f aca="false">RANK(E933,$E$7:$E$4378)+COUNTIF($E$7:E933,E933)-1</f>
        <v>169</v>
      </c>
    </row>
    <row r="934" customFormat="false" ht="14.25" hidden="false" customHeight="true" outlineLevel="0" collapsed="false">
      <c r="A934" s="51" t="n">
        <v>13577</v>
      </c>
      <c r="B934" s="53" t="n">
        <v>40861.6381944444</v>
      </c>
      <c r="C934" s="57" t="n">
        <f aca="false">INT($C$2)-INT(Table3[[#This Row],[Last Purchase Date]])</f>
        <v>26</v>
      </c>
      <c r="D934" s="1" t="n">
        <v>5</v>
      </c>
      <c r="E934" s="1" t="n">
        <v>1658.3</v>
      </c>
      <c r="F934" s="1" t="n">
        <f aca="false">ROUND((1-_xlfn.PERCENTRANK.INC($C$7:$C$4378,C934))*9,0)</f>
        <v>6</v>
      </c>
      <c r="G934" s="1" t="n">
        <f aca="false">ROUND(_xlfn.PERCENTRANK.INC($D$7:$D$4378,D934)*9,0)</f>
        <v>6</v>
      </c>
      <c r="H934" s="1" t="n">
        <f aca="false">ROUND(_xlfn.PERCENTRANK.INC($E$7:$E$4378,E934)*9,0)</f>
        <v>7</v>
      </c>
      <c r="I934" s="1" t="str">
        <f aca="false">CONCATENATE(F934,G934,H934)</f>
        <v>667</v>
      </c>
      <c r="J934" s="1" t="str">
        <f aca="false">_xlfn.IFS(AND(F934&gt;=8,G934&gt;=8,H934&gt;=8),"CHAMPION",AND(F934&gt;=6,G934&gt;=7,H934&gt;=6),"LOYAL CUSTOMER",AND(F934&gt;=6,G934&gt;=5,H934&gt;=5),"POTENTIAL LOYALIST",AND(F934&gt;=8,G934&lt;=2,H934&gt;=5),"NEW CUSTOMERS",AND(F934&gt;=6,G934&lt;=2,H934&gt;=3),"PROMISING",AND(F934&gt;=3,G934&gt;=3,H934&gt;=3),"NEED ATTENTION",AND(F934&lt;=4,G934&gt;=6,H934&gt;=6),"AT RISK",AND(F934&lt;=2,G934&gt;=8,H934&gt;=8),"CAN'T LOSE THEM",AND(F934&lt;=2,G934&lt;=2,H934&lt;=2),"HIBERNATING",TRUE(),"Other")</f>
        <v>POTENTIAL LOYALIST</v>
      </c>
      <c r="K934" s="1" t="n">
        <f aca="false">RANK(E934,$E$7:$E$4378)+COUNTIF($E$7:E934,E934)-1</f>
        <v>1063</v>
      </c>
    </row>
    <row r="935" customFormat="false" ht="14.25" hidden="false" customHeight="true" outlineLevel="0" collapsed="false">
      <c r="A935" s="51" t="n">
        <v>13579</v>
      </c>
      <c r="B935" s="53" t="n">
        <v>40872.3618055556</v>
      </c>
      <c r="C935" s="57" t="n">
        <f aca="false">INT($C$2)-INT(Table3[[#This Row],[Last Purchase Date]])</f>
        <v>15</v>
      </c>
      <c r="D935" s="1" t="n">
        <v>2</v>
      </c>
      <c r="E935" s="1" t="n">
        <v>467.04</v>
      </c>
      <c r="F935" s="1" t="n">
        <f aca="false">ROUND((1-_xlfn.PERCENTRANK.INC($C$7:$C$4378,C935))*9,0)</f>
        <v>7</v>
      </c>
      <c r="G935" s="1" t="n">
        <f aca="false">ROUND(_xlfn.PERCENTRANK.INC($D$7:$D$4378,D935)*9,0)</f>
        <v>3</v>
      </c>
      <c r="H935" s="1" t="n">
        <f aca="false">ROUND(_xlfn.PERCENTRANK.INC($E$7:$E$4378,E935)*9,0)</f>
        <v>4</v>
      </c>
      <c r="I935" s="1" t="str">
        <f aca="false">CONCATENATE(F935,G935,H935)</f>
        <v>734</v>
      </c>
      <c r="J935" s="1" t="str">
        <f aca="false">_xlfn.IFS(AND(F935&gt;=8,G935&gt;=8,H935&gt;=8),"CHAMPION",AND(F935&gt;=6,G935&gt;=7,H935&gt;=6),"LOYAL CUSTOMER",AND(F935&gt;=6,G935&gt;=5,H935&gt;=5),"POTENTIAL LOYALIST",AND(F935&gt;=8,G935&lt;=2,H935&gt;=5),"NEW CUSTOMERS",AND(F935&gt;=6,G935&lt;=2,H935&gt;=3),"PROMISING",AND(F935&gt;=3,G935&gt;=3,H935&gt;=3),"NEED ATTENTION",AND(F935&lt;=4,G935&gt;=6,H935&gt;=6),"AT RISK",AND(F935&lt;=2,G935&gt;=8,H935&gt;=8),"CAN'T LOSE THEM",AND(F935&lt;=2,G935&lt;=2,H935&lt;=2),"HIBERNATING",TRUE(),"Other")</f>
        <v>NEED ATTENTION</v>
      </c>
      <c r="K935" s="1" t="n">
        <f aca="false">RANK(E935,$E$7:$E$4378)+COUNTIF($E$7:E935,E935)-1</f>
        <v>2621</v>
      </c>
    </row>
    <row r="936" customFormat="false" ht="14.25" hidden="false" customHeight="true" outlineLevel="0" collapsed="false">
      <c r="A936" s="51" t="n">
        <v>13581</v>
      </c>
      <c r="B936" s="53" t="n">
        <v>40577.6118055556</v>
      </c>
      <c r="C936" s="57" t="n">
        <f aca="false">INT($C$2)-INT(Table3[[#This Row],[Last Purchase Date]])</f>
        <v>310</v>
      </c>
      <c r="D936" s="1" t="n">
        <v>1</v>
      </c>
      <c r="E936" s="1" t="n">
        <v>118</v>
      </c>
      <c r="F936" s="1" t="n">
        <f aca="false">ROUND((1-_xlfn.PERCENTRANK.INC($C$7:$C$4378,C936))*9,0)</f>
        <v>1</v>
      </c>
      <c r="G936" s="1" t="n">
        <f aca="false">ROUND(_xlfn.PERCENTRANK.INC($D$7:$D$4378,D936)*9,0)</f>
        <v>0</v>
      </c>
      <c r="H936" s="1" t="n">
        <f aca="false">ROUND(_xlfn.PERCENTRANK.INC($E$7:$E$4378,E936)*9,0)</f>
        <v>1</v>
      </c>
      <c r="I936" s="1" t="str">
        <f aca="false">CONCATENATE(F936,G936,H936)</f>
        <v>101</v>
      </c>
      <c r="J936" s="1" t="str">
        <f aca="false">_xlfn.IFS(AND(F936&gt;=8,G936&gt;=8,H936&gt;=8),"CHAMPION",AND(F936&gt;=6,G936&gt;=7,H936&gt;=6),"LOYAL CUSTOMER",AND(F936&gt;=6,G936&gt;=5,H936&gt;=5),"POTENTIAL LOYALIST",AND(F936&gt;=8,G936&lt;=2,H936&gt;=5),"NEW CUSTOMERS",AND(F936&gt;=6,G936&lt;=2,H936&gt;=3),"PROMISING",AND(F936&gt;=3,G936&gt;=3,H936&gt;=3),"NEED ATTENTION",AND(F936&lt;=4,G936&gt;=6,H936&gt;=6),"AT RISK",AND(F936&lt;=2,G936&gt;=8,H936&gt;=8),"CAN'T LOSE THEM",AND(F936&lt;=2,G936&lt;=2,H936&lt;=2),"HIBERNATING",TRUE(),"Other")</f>
        <v>HIBERNATING</v>
      </c>
      <c r="K936" s="1" t="n">
        <f aca="false">RANK(E936,$E$7:$E$4378)+COUNTIF($E$7:E936,E936)-1</f>
        <v>4059</v>
      </c>
    </row>
    <row r="937" customFormat="false" ht="14.25" hidden="false" customHeight="true" outlineLevel="0" collapsed="false">
      <c r="A937" s="51" t="n">
        <v>13583</v>
      </c>
      <c r="B937" s="53" t="n">
        <v>40731.4444444445</v>
      </c>
      <c r="C937" s="57" t="n">
        <f aca="false">INT($C$2)-INT(Table3[[#This Row],[Last Purchase Date]])</f>
        <v>156</v>
      </c>
      <c r="D937" s="1" t="n">
        <v>1</v>
      </c>
      <c r="E937" s="1" t="n">
        <v>781.03</v>
      </c>
      <c r="F937" s="1" t="n">
        <f aca="false">ROUND((1-_xlfn.PERCENTRANK.INC($C$7:$C$4378,C937))*9,0)</f>
        <v>2</v>
      </c>
      <c r="G937" s="1" t="n">
        <f aca="false">ROUND(_xlfn.PERCENTRANK.INC($D$7:$D$4378,D937)*9,0)</f>
        <v>0</v>
      </c>
      <c r="H937" s="1" t="n">
        <f aca="false">ROUND(_xlfn.PERCENTRANK.INC($E$7:$E$4378,E937)*9,0)</f>
        <v>5</v>
      </c>
      <c r="I937" s="1" t="str">
        <f aca="false">CONCATENATE(F937,G937,H937)</f>
        <v>205</v>
      </c>
      <c r="J937" s="1" t="str">
        <f aca="false">_xlfn.IFS(AND(F937&gt;=8,G937&gt;=8,H937&gt;=8),"CHAMPION",AND(F937&gt;=6,G937&gt;=7,H937&gt;=6),"LOYAL CUSTOMER",AND(F937&gt;=6,G937&gt;=5,H937&gt;=5),"POTENTIAL LOYALIST",AND(F937&gt;=8,G937&lt;=2,H937&gt;=5),"NEW CUSTOMERS",AND(F937&gt;=6,G937&lt;=2,H937&gt;=3),"PROMISING",AND(F937&gt;=3,G937&gt;=3,H937&gt;=3),"NEED ATTENTION",AND(F937&lt;=4,G937&gt;=6,H937&gt;=6),"AT RISK",AND(F937&lt;=2,G937&gt;=8,H937&gt;=8),"CAN'T LOSE THEM",AND(F937&lt;=2,G937&lt;=2,H937&lt;=2),"HIBERNATING",TRUE(),"Other")</f>
        <v>Other</v>
      </c>
      <c r="K937" s="1" t="n">
        <f aca="false">RANK(E937,$E$7:$E$4378)+COUNTIF($E$7:E937,E937)-1</f>
        <v>1921</v>
      </c>
    </row>
    <row r="938" customFormat="false" ht="14.25" hidden="false" customHeight="true" outlineLevel="0" collapsed="false">
      <c r="A938" s="51" t="n">
        <v>13584</v>
      </c>
      <c r="B938" s="53" t="n">
        <v>40580.5340277778</v>
      </c>
      <c r="C938" s="57" t="n">
        <f aca="false">INT($C$2)-INT(Table3[[#This Row],[Last Purchase Date]])</f>
        <v>307</v>
      </c>
      <c r="D938" s="1" t="n">
        <v>1</v>
      </c>
      <c r="E938" s="1" t="n">
        <v>142.4</v>
      </c>
      <c r="F938" s="1" t="n">
        <f aca="false">ROUND((1-_xlfn.PERCENTRANK.INC($C$7:$C$4378,C938))*9,0)</f>
        <v>1</v>
      </c>
      <c r="G938" s="1" t="n">
        <f aca="false">ROUND(_xlfn.PERCENTRANK.INC($D$7:$D$4378,D938)*9,0)</f>
        <v>0</v>
      </c>
      <c r="H938" s="1" t="n">
        <f aca="false">ROUND(_xlfn.PERCENTRANK.INC($E$7:$E$4378,E938)*9,0)</f>
        <v>1</v>
      </c>
      <c r="I938" s="1" t="str">
        <f aca="false">CONCATENATE(F938,G938,H938)</f>
        <v>101</v>
      </c>
      <c r="J938" s="1" t="str">
        <f aca="false">_xlfn.IFS(AND(F938&gt;=8,G938&gt;=8,H938&gt;=8),"CHAMPION",AND(F938&gt;=6,G938&gt;=7,H938&gt;=6),"LOYAL CUSTOMER",AND(F938&gt;=6,G938&gt;=5,H938&gt;=5),"POTENTIAL LOYALIST",AND(F938&gt;=8,G938&lt;=2,H938&gt;=5),"NEW CUSTOMERS",AND(F938&gt;=6,G938&lt;=2,H938&gt;=3),"PROMISING",AND(F938&gt;=3,G938&gt;=3,H938&gt;=3),"NEED ATTENTION",AND(F938&lt;=4,G938&gt;=6,H938&gt;=6),"AT RISK",AND(F938&lt;=2,G938&gt;=8,H938&gt;=8),"CAN'T LOSE THEM",AND(F938&lt;=2,G938&lt;=2,H938&lt;=2),"HIBERNATING",TRUE(),"Other")</f>
        <v>HIBERNATING</v>
      </c>
      <c r="K938" s="1" t="n">
        <f aca="false">RANK(E938,$E$7:$E$4378)+COUNTIF($E$7:E938,E938)-1</f>
        <v>3948</v>
      </c>
    </row>
    <row r="939" customFormat="false" ht="14.25" hidden="false" customHeight="true" outlineLevel="0" collapsed="false">
      <c r="A939" s="51" t="n">
        <v>13587</v>
      </c>
      <c r="B939" s="53" t="n">
        <v>40855.4701388889</v>
      </c>
      <c r="C939" s="57" t="n">
        <f aca="false">INT($C$2)-INT(Table3[[#This Row],[Last Purchase Date]])</f>
        <v>32</v>
      </c>
      <c r="D939" s="1" t="n">
        <v>3</v>
      </c>
      <c r="E939" s="1" t="n">
        <v>347</v>
      </c>
      <c r="F939" s="1" t="n">
        <f aca="false">ROUND((1-_xlfn.PERCENTRANK.INC($C$7:$C$4378,C939))*9,0)</f>
        <v>5</v>
      </c>
      <c r="G939" s="1" t="n">
        <f aca="false">ROUND(_xlfn.PERCENTRANK.INC($D$7:$D$4378,D939)*9,0)</f>
        <v>4</v>
      </c>
      <c r="H939" s="1" t="n">
        <f aca="false">ROUND(_xlfn.PERCENTRANK.INC($E$7:$E$4378,E939)*9,0)</f>
        <v>3</v>
      </c>
      <c r="I939" s="1" t="str">
        <f aca="false">CONCATENATE(F939,G939,H939)</f>
        <v>543</v>
      </c>
      <c r="J939" s="1" t="str">
        <f aca="false">_xlfn.IFS(AND(F939&gt;=8,G939&gt;=8,H939&gt;=8),"CHAMPION",AND(F939&gt;=6,G939&gt;=7,H939&gt;=6),"LOYAL CUSTOMER",AND(F939&gt;=6,G939&gt;=5,H939&gt;=5),"POTENTIAL LOYALIST",AND(F939&gt;=8,G939&lt;=2,H939&gt;=5),"NEW CUSTOMERS",AND(F939&gt;=6,G939&lt;=2,H939&gt;=3),"PROMISING",AND(F939&gt;=3,G939&gt;=3,H939&gt;=3),"NEED ATTENTION",AND(F939&lt;=4,G939&gt;=6,H939&gt;=6),"AT RISK",AND(F939&lt;=2,G939&gt;=8,H939&gt;=8),"CAN'T LOSE THEM",AND(F939&lt;=2,G939&lt;=2,H939&lt;=2),"HIBERNATING",TRUE(),"Other")</f>
        <v>NEED ATTENTION</v>
      </c>
      <c r="K939" s="1" t="n">
        <f aca="false">RANK(E939,$E$7:$E$4378)+COUNTIF($E$7:E939,E939)-1</f>
        <v>3023</v>
      </c>
    </row>
    <row r="940" customFormat="false" ht="14.25" hidden="false" customHeight="true" outlineLevel="0" collapsed="false">
      <c r="A940" s="51" t="n">
        <v>13588</v>
      </c>
      <c r="B940" s="53" t="n">
        <v>40871.4458333333</v>
      </c>
      <c r="C940" s="57" t="n">
        <f aca="false">INT($C$2)-INT(Table3[[#This Row],[Last Purchase Date]])</f>
        <v>16</v>
      </c>
      <c r="D940" s="1" t="n">
        <v>13</v>
      </c>
      <c r="E940" s="1" t="n">
        <v>2445.12</v>
      </c>
      <c r="F940" s="1" t="n">
        <f aca="false">ROUND((1-_xlfn.PERCENTRANK.INC($C$7:$C$4378,C940))*9,0)</f>
        <v>7</v>
      </c>
      <c r="G940" s="1" t="n">
        <f aca="false">ROUND(_xlfn.PERCENTRANK.INC($D$7:$D$4378,D940)*9,0)</f>
        <v>8</v>
      </c>
      <c r="H940" s="1" t="n">
        <f aca="false">ROUND(_xlfn.PERCENTRANK.INC($E$7:$E$4378,E940)*9,0)</f>
        <v>8</v>
      </c>
      <c r="I940" s="1" t="str">
        <f aca="false">CONCATENATE(F940,G940,H940)</f>
        <v>788</v>
      </c>
      <c r="J940" s="1" t="str">
        <f aca="false">_xlfn.IFS(AND(F940&gt;=8,G940&gt;=8,H940&gt;=8),"CHAMPION",AND(F940&gt;=6,G940&gt;=7,H940&gt;=6),"LOYAL CUSTOMER",AND(F940&gt;=6,G940&gt;=5,H940&gt;=5),"POTENTIAL LOYALIST",AND(F940&gt;=8,G940&lt;=2,H940&gt;=5),"NEW CUSTOMERS",AND(F940&gt;=6,G940&lt;=2,H940&gt;=3),"PROMISING",AND(F940&gt;=3,G940&gt;=3,H940&gt;=3),"NEED ATTENTION",AND(F940&lt;=4,G940&gt;=6,H940&gt;=6),"AT RISK",AND(F940&lt;=2,G940&gt;=8,H940&gt;=8),"CAN'T LOSE THEM",AND(F940&lt;=2,G940&lt;=2,H940&lt;=2),"HIBERNATING",TRUE(),"Other")</f>
        <v>LOYAL CUSTOMER</v>
      </c>
      <c r="K940" s="1" t="n">
        <f aca="false">RANK(E940,$E$7:$E$4378)+COUNTIF($E$7:E940,E940)-1</f>
        <v>702</v>
      </c>
    </row>
    <row r="941" customFormat="false" ht="14.25" hidden="false" customHeight="true" outlineLevel="0" collapsed="false">
      <c r="A941" s="51" t="n">
        <v>13589</v>
      </c>
      <c r="B941" s="53" t="n">
        <v>40872.5069444445</v>
      </c>
      <c r="C941" s="57" t="n">
        <f aca="false">INT($C$2)-INT(Table3[[#This Row],[Last Purchase Date]])</f>
        <v>15</v>
      </c>
      <c r="D941" s="1" t="n">
        <v>2</v>
      </c>
      <c r="E941" s="1" t="n">
        <v>379.65</v>
      </c>
      <c r="F941" s="1" t="n">
        <f aca="false">ROUND((1-_xlfn.PERCENTRANK.INC($C$7:$C$4378,C941))*9,0)</f>
        <v>7</v>
      </c>
      <c r="G941" s="1" t="n">
        <f aca="false">ROUND(_xlfn.PERCENTRANK.INC($D$7:$D$4378,D941)*9,0)</f>
        <v>3</v>
      </c>
      <c r="H941" s="1" t="n">
        <f aca="false">ROUND(_xlfn.PERCENTRANK.INC($E$7:$E$4378,E941)*9,0)</f>
        <v>3</v>
      </c>
      <c r="I941" s="1" t="str">
        <f aca="false">CONCATENATE(F941,G941,H941)</f>
        <v>733</v>
      </c>
      <c r="J941" s="1" t="str">
        <f aca="false">_xlfn.IFS(AND(F941&gt;=8,G941&gt;=8,H941&gt;=8),"CHAMPION",AND(F941&gt;=6,G941&gt;=7,H941&gt;=6),"LOYAL CUSTOMER",AND(F941&gt;=6,G941&gt;=5,H941&gt;=5),"POTENTIAL LOYALIST",AND(F941&gt;=8,G941&lt;=2,H941&gt;=5),"NEW CUSTOMERS",AND(F941&gt;=6,G941&lt;=2,H941&gt;=3),"PROMISING",AND(F941&gt;=3,G941&gt;=3,H941&gt;=3),"NEED ATTENTION",AND(F941&lt;=4,G941&gt;=6,H941&gt;=6),"AT RISK",AND(F941&lt;=2,G941&gt;=8,H941&gt;=8),"CAN'T LOSE THEM",AND(F941&lt;=2,G941&lt;=2,H941&lt;=2),"HIBERNATING",TRUE(),"Other")</f>
        <v>NEED ATTENTION</v>
      </c>
      <c r="K941" s="1" t="n">
        <f aca="false">RANK(E941,$E$7:$E$4378)+COUNTIF($E$7:E941,E941)-1</f>
        <v>2896</v>
      </c>
    </row>
    <row r="942" customFormat="false" ht="14.25" hidden="false" customHeight="true" outlineLevel="0" collapsed="false">
      <c r="A942" s="51" t="n">
        <v>13590</v>
      </c>
      <c r="B942" s="53" t="n">
        <v>40875.5375</v>
      </c>
      <c r="C942" s="57" t="n">
        <f aca="false">INT($C$2)-INT(Table3[[#This Row],[Last Purchase Date]])</f>
        <v>12</v>
      </c>
      <c r="D942" s="1" t="n">
        <v>7</v>
      </c>
      <c r="E942" s="1" t="n">
        <v>1976.12</v>
      </c>
      <c r="F942" s="1" t="n">
        <f aca="false">ROUND((1-_xlfn.PERCENTRANK.INC($C$7:$C$4378,C942))*9,0)</f>
        <v>7</v>
      </c>
      <c r="G942" s="1" t="n">
        <f aca="false">ROUND(_xlfn.PERCENTRANK.INC($D$7:$D$4378,D942)*9,0)</f>
        <v>7</v>
      </c>
      <c r="H942" s="1" t="n">
        <f aca="false">ROUND(_xlfn.PERCENTRANK.INC($E$7:$E$4378,E942)*9,0)</f>
        <v>7</v>
      </c>
      <c r="I942" s="1" t="str">
        <f aca="false">CONCATENATE(F942,G942,H942)</f>
        <v>777</v>
      </c>
      <c r="J942" s="1" t="str">
        <f aca="false">_xlfn.IFS(AND(F942&gt;=8,G942&gt;=8,H942&gt;=8),"CHAMPION",AND(F942&gt;=6,G942&gt;=7,H942&gt;=6),"LOYAL CUSTOMER",AND(F942&gt;=6,G942&gt;=5,H942&gt;=5),"POTENTIAL LOYALIST",AND(F942&gt;=8,G942&lt;=2,H942&gt;=5),"NEW CUSTOMERS",AND(F942&gt;=6,G942&lt;=2,H942&gt;=3),"PROMISING",AND(F942&gt;=3,G942&gt;=3,H942&gt;=3),"NEED ATTENTION",AND(F942&lt;=4,G942&gt;=6,H942&gt;=6),"AT RISK",AND(F942&lt;=2,G942&gt;=8,H942&gt;=8),"CAN'T LOSE THEM",AND(F942&lt;=2,G942&lt;=2,H942&lt;=2),"HIBERNATING",TRUE(),"Other")</f>
        <v>LOYAL CUSTOMER</v>
      </c>
      <c r="K942" s="1" t="n">
        <f aca="false">RANK(E942,$E$7:$E$4378)+COUNTIF($E$7:E942,E942)-1</f>
        <v>889</v>
      </c>
    </row>
    <row r="943" customFormat="false" ht="14.25" hidden="false" customHeight="true" outlineLevel="0" collapsed="false">
      <c r="A943" s="51" t="n">
        <v>13591</v>
      </c>
      <c r="B943" s="53" t="n">
        <v>40822.5180555556</v>
      </c>
      <c r="C943" s="57" t="n">
        <f aca="false">INT($C$2)-INT(Table3[[#This Row],[Last Purchase Date]])</f>
        <v>65</v>
      </c>
      <c r="D943" s="1" t="n">
        <v>3</v>
      </c>
      <c r="E943" s="1" t="n">
        <v>1117.13</v>
      </c>
      <c r="F943" s="1" t="n">
        <f aca="false">ROUND((1-_xlfn.PERCENTRANK.INC($C$7:$C$4378,C943))*9,0)</f>
        <v>4</v>
      </c>
      <c r="G943" s="1" t="n">
        <f aca="false">ROUND(_xlfn.PERCENTRANK.INC($D$7:$D$4378,D943)*9,0)</f>
        <v>4</v>
      </c>
      <c r="H943" s="1" t="n">
        <f aca="false">ROUND(_xlfn.PERCENTRANK.INC($E$7:$E$4378,E943)*9,0)</f>
        <v>6</v>
      </c>
      <c r="I943" s="1" t="str">
        <f aca="false">CONCATENATE(F943,G943,H943)</f>
        <v>446</v>
      </c>
      <c r="J943" s="1" t="str">
        <f aca="false">_xlfn.IFS(AND(F943&gt;=8,G943&gt;=8,H943&gt;=8),"CHAMPION",AND(F943&gt;=6,G943&gt;=7,H943&gt;=6),"LOYAL CUSTOMER",AND(F943&gt;=6,G943&gt;=5,H943&gt;=5),"POTENTIAL LOYALIST",AND(F943&gt;=8,G943&lt;=2,H943&gt;=5),"NEW CUSTOMERS",AND(F943&gt;=6,G943&lt;=2,H943&gt;=3),"PROMISING",AND(F943&gt;=3,G943&gt;=3,H943&gt;=3),"NEED ATTENTION",AND(F943&lt;=4,G943&gt;=6,H943&gt;=6),"AT RISK",AND(F943&lt;=2,G943&gt;=8,H943&gt;=8),"CAN'T LOSE THEM",AND(F943&lt;=2,G943&lt;=2,H943&lt;=2),"HIBERNATING",TRUE(),"Other")</f>
        <v>NEED ATTENTION</v>
      </c>
      <c r="K943" s="1" t="n">
        <f aca="false">RANK(E943,$E$7:$E$4378)+COUNTIF($E$7:E943,E943)-1</f>
        <v>1493</v>
      </c>
    </row>
    <row r="944" customFormat="false" ht="14.25" hidden="false" customHeight="true" outlineLevel="0" collapsed="false">
      <c r="A944" s="51" t="n">
        <v>13592</v>
      </c>
      <c r="B944" s="53" t="n">
        <v>40851.4090277778</v>
      </c>
      <c r="C944" s="57" t="n">
        <f aca="false">INT($C$2)-INT(Table3[[#This Row],[Last Purchase Date]])</f>
        <v>36</v>
      </c>
      <c r="D944" s="1" t="n">
        <v>4</v>
      </c>
      <c r="E944" s="1" t="n">
        <v>247.96</v>
      </c>
      <c r="F944" s="1" t="n">
        <f aca="false">ROUND((1-_xlfn.PERCENTRANK.INC($C$7:$C$4378,C944))*9,0)</f>
        <v>5</v>
      </c>
      <c r="G944" s="1" t="n">
        <f aca="false">ROUND(_xlfn.PERCENTRANK.INC($D$7:$D$4378,D944)*9,0)</f>
        <v>5</v>
      </c>
      <c r="H944" s="1" t="n">
        <f aca="false">ROUND(_xlfn.PERCENTRANK.INC($E$7:$E$4378,E944)*9,0)</f>
        <v>2</v>
      </c>
      <c r="I944" s="1" t="str">
        <f aca="false">CONCATENATE(F944,G944,H944)</f>
        <v>552</v>
      </c>
      <c r="J944" s="1" t="str">
        <f aca="false">_xlfn.IFS(AND(F944&gt;=8,G944&gt;=8,H944&gt;=8),"CHAMPION",AND(F944&gt;=6,G944&gt;=7,H944&gt;=6),"LOYAL CUSTOMER",AND(F944&gt;=6,G944&gt;=5,H944&gt;=5),"POTENTIAL LOYALIST",AND(F944&gt;=8,G944&lt;=2,H944&gt;=5),"NEW CUSTOMERS",AND(F944&gt;=6,G944&lt;=2,H944&gt;=3),"PROMISING",AND(F944&gt;=3,G944&gt;=3,H944&gt;=3),"NEED ATTENTION",AND(F944&lt;=4,G944&gt;=6,H944&gt;=6),"AT RISK",AND(F944&lt;=2,G944&gt;=8,H944&gt;=8),"CAN'T LOSE THEM",AND(F944&lt;=2,G944&lt;=2,H944&lt;=2),"HIBERNATING",TRUE(),"Other")</f>
        <v>Other</v>
      </c>
      <c r="K944" s="1" t="n">
        <f aca="false">RANK(E944,$E$7:$E$4378)+COUNTIF($E$7:E944,E944)-1</f>
        <v>3448</v>
      </c>
    </row>
    <row r="945" customFormat="false" ht="14.25" hidden="false" customHeight="true" outlineLevel="0" collapsed="false">
      <c r="A945" s="51" t="n">
        <v>13593</v>
      </c>
      <c r="B945" s="53" t="n">
        <v>40778.5659722222</v>
      </c>
      <c r="C945" s="57" t="n">
        <f aca="false">INT($C$2)-INT(Table3[[#This Row],[Last Purchase Date]])</f>
        <v>109</v>
      </c>
      <c r="D945" s="1" t="n">
        <v>6</v>
      </c>
      <c r="E945" s="1" t="n">
        <v>1990.28</v>
      </c>
      <c r="F945" s="1" t="n">
        <f aca="false">ROUND((1-_xlfn.PERCENTRANK.INC($C$7:$C$4378,C945))*9,0)</f>
        <v>3</v>
      </c>
      <c r="G945" s="1" t="n">
        <f aca="false">ROUND(_xlfn.PERCENTRANK.INC($D$7:$D$4378,D945)*9,0)</f>
        <v>7</v>
      </c>
      <c r="H945" s="1" t="n">
        <f aca="false">ROUND(_xlfn.PERCENTRANK.INC($E$7:$E$4378,E945)*9,0)</f>
        <v>7</v>
      </c>
      <c r="I945" s="1" t="str">
        <f aca="false">CONCATENATE(F945,G945,H945)</f>
        <v>377</v>
      </c>
      <c r="J945" s="1" t="str">
        <f aca="false">_xlfn.IFS(AND(F945&gt;=8,G945&gt;=8,H945&gt;=8),"CHAMPION",AND(F945&gt;=6,G945&gt;=7,H945&gt;=6),"LOYAL CUSTOMER",AND(F945&gt;=6,G945&gt;=5,H945&gt;=5),"POTENTIAL LOYALIST",AND(F945&gt;=8,G945&lt;=2,H945&gt;=5),"NEW CUSTOMERS",AND(F945&gt;=6,G945&lt;=2,H945&gt;=3),"PROMISING",AND(F945&gt;=3,G945&gt;=3,H945&gt;=3),"NEED ATTENTION",AND(F945&lt;=4,G945&gt;=6,H945&gt;=6),"AT RISK",AND(F945&lt;=2,G945&gt;=8,H945&gt;=8),"CAN'T LOSE THEM",AND(F945&lt;=2,G945&lt;=2,H945&lt;=2),"HIBERNATING",TRUE(),"Other")</f>
        <v>NEED ATTENTION</v>
      </c>
      <c r="K945" s="1" t="n">
        <f aca="false">RANK(E945,$E$7:$E$4378)+COUNTIF($E$7:E945,E945)-1</f>
        <v>884</v>
      </c>
    </row>
    <row r="946" customFormat="false" ht="14.25" hidden="false" customHeight="true" outlineLevel="0" collapsed="false">
      <c r="A946" s="51" t="n">
        <v>13594</v>
      </c>
      <c r="B946" s="53" t="n">
        <v>40834.4298611111</v>
      </c>
      <c r="C946" s="57" t="n">
        <f aca="false">INT($C$2)-INT(Table3[[#This Row],[Last Purchase Date]])</f>
        <v>53</v>
      </c>
      <c r="D946" s="1" t="n">
        <v>1</v>
      </c>
      <c r="E946" s="1" t="n">
        <v>396.97</v>
      </c>
      <c r="F946" s="1" t="n">
        <f aca="false">ROUND((1-_xlfn.PERCENTRANK.INC($C$7:$C$4378,C946))*9,0)</f>
        <v>4</v>
      </c>
      <c r="G946" s="1" t="n">
        <f aca="false">ROUND(_xlfn.PERCENTRANK.INC($D$7:$D$4378,D946)*9,0)</f>
        <v>0</v>
      </c>
      <c r="H946" s="1" t="n">
        <f aca="false">ROUND(_xlfn.PERCENTRANK.INC($E$7:$E$4378,E946)*9,0)</f>
        <v>3</v>
      </c>
      <c r="I946" s="1" t="str">
        <f aca="false">CONCATENATE(F946,G946,H946)</f>
        <v>403</v>
      </c>
      <c r="J946" s="1" t="str">
        <f aca="false">_xlfn.IFS(AND(F946&gt;=8,G946&gt;=8,H946&gt;=8),"CHAMPION",AND(F946&gt;=6,G946&gt;=7,H946&gt;=6),"LOYAL CUSTOMER",AND(F946&gt;=6,G946&gt;=5,H946&gt;=5),"POTENTIAL LOYALIST",AND(F946&gt;=8,G946&lt;=2,H946&gt;=5),"NEW CUSTOMERS",AND(F946&gt;=6,G946&lt;=2,H946&gt;=3),"PROMISING",AND(F946&gt;=3,G946&gt;=3,H946&gt;=3),"NEED ATTENTION",AND(F946&lt;=4,G946&gt;=6,H946&gt;=6),"AT RISK",AND(F946&lt;=2,G946&gt;=8,H946&gt;=8),"CAN'T LOSE THEM",AND(F946&lt;=2,G946&lt;=2,H946&lt;=2),"HIBERNATING",TRUE(),"Other")</f>
        <v>Other</v>
      </c>
      <c r="K946" s="1" t="n">
        <f aca="false">RANK(E946,$E$7:$E$4378)+COUNTIF($E$7:E946,E946)-1</f>
        <v>2828</v>
      </c>
    </row>
    <row r="947" customFormat="false" ht="14.25" hidden="false" customHeight="true" outlineLevel="0" collapsed="false">
      <c r="A947" s="51" t="n">
        <v>13596</v>
      </c>
      <c r="B947" s="53" t="n">
        <v>40881.5006944445</v>
      </c>
      <c r="C947" s="57" t="n">
        <f aca="false">INT($C$2)-INT(Table3[[#This Row],[Last Purchase Date]])</f>
        <v>6</v>
      </c>
      <c r="D947" s="1" t="n">
        <v>2</v>
      </c>
      <c r="E947" s="1" t="n">
        <v>697.04</v>
      </c>
      <c r="F947" s="1" t="n">
        <f aca="false">ROUND((1-_xlfn.PERCENTRANK.INC($C$7:$C$4378,C947))*9,0)</f>
        <v>8</v>
      </c>
      <c r="G947" s="1" t="n">
        <f aca="false">ROUND(_xlfn.PERCENTRANK.INC($D$7:$D$4378,D947)*9,0)</f>
        <v>3</v>
      </c>
      <c r="H947" s="1" t="n">
        <f aca="false">ROUND(_xlfn.PERCENTRANK.INC($E$7:$E$4378,E947)*9,0)</f>
        <v>5</v>
      </c>
      <c r="I947" s="1" t="str">
        <f aca="false">CONCATENATE(F947,G947,H947)</f>
        <v>835</v>
      </c>
      <c r="J947" s="1" t="str">
        <f aca="false">_xlfn.IFS(AND(F947&gt;=8,G947&gt;=8,H947&gt;=8),"CHAMPION",AND(F947&gt;=6,G947&gt;=7,H947&gt;=6),"LOYAL CUSTOMER",AND(F947&gt;=6,G947&gt;=5,H947&gt;=5),"POTENTIAL LOYALIST",AND(F947&gt;=8,G947&lt;=2,H947&gt;=5),"NEW CUSTOMERS",AND(F947&gt;=6,G947&lt;=2,H947&gt;=3),"PROMISING",AND(F947&gt;=3,G947&gt;=3,H947&gt;=3),"NEED ATTENTION",AND(F947&lt;=4,G947&gt;=6,H947&gt;=6),"AT RISK",AND(F947&lt;=2,G947&gt;=8,H947&gt;=8),"CAN'T LOSE THEM",AND(F947&lt;=2,G947&lt;=2,H947&lt;=2),"HIBERNATING",TRUE(),"Other")</f>
        <v>NEED ATTENTION</v>
      </c>
      <c r="K947" s="1" t="n">
        <f aca="false">RANK(E947,$E$7:$E$4378)+COUNTIF($E$7:E947,E947)-1</f>
        <v>2072</v>
      </c>
    </row>
    <row r="948" customFormat="false" ht="14.25" hidden="false" customHeight="true" outlineLevel="0" collapsed="false">
      <c r="A948" s="51" t="n">
        <v>13598</v>
      </c>
      <c r="B948" s="53" t="n">
        <v>40839.6076388889</v>
      </c>
      <c r="C948" s="57" t="n">
        <f aca="false">INT($C$2)-INT(Table3[[#This Row],[Last Purchase Date]])</f>
        <v>48</v>
      </c>
      <c r="D948" s="1" t="n">
        <v>2</v>
      </c>
      <c r="E948" s="1" t="n">
        <v>167.42</v>
      </c>
      <c r="F948" s="1" t="n">
        <f aca="false">ROUND((1-_xlfn.PERCENTRANK.INC($C$7:$C$4378,C948))*9,0)</f>
        <v>5</v>
      </c>
      <c r="G948" s="1" t="n">
        <f aca="false">ROUND(_xlfn.PERCENTRANK.INC($D$7:$D$4378,D948)*9,0)</f>
        <v>3</v>
      </c>
      <c r="H948" s="1" t="n">
        <f aca="false">ROUND(_xlfn.PERCENTRANK.INC($E$7:$E$4378,E948)*9,0)</f>
        <v>1</v>
      </c>
      <c r="I948" s="1" t="str">
        <f aca="false">CONCATENATE(F948,G948,H948)</f>
        <v>531</v>
      </c>
      <c r="J948" s="1" t="str">
        <f aca="false">_xlfn.IFS(AND(F948&gt;=8,G948&gt;=8,H948&gt;=8),"CHAMPION",AND(F948&gt;=6,G948&gt;=7,H948&gt;=6),"LOYAL CUSTOMER",AND(F948&gt;=6,G948&gt;=5,H948&gt;=5),"POTENTIAL LOYALIST",AND(F948&gt;=8,G948&lt;=2,H948&gt;=5),"NEW CUSTOMERS",AND(F948&gt;=6,G948&lt;=2,H948&gt;=3),"PROMISING",AND(F948&gt;=3,G948&gt;=3,H948&gt;=3),"NEED ATTENTION",AND(F948&lt;=4,G948&gt;=6,H948&gt;=6),"AT RISK",AND(F948&lt;=2,G948&gt;=8,H948&gt;=8),"CAN'T LOSE THEM",AND(F948&lt;=2,G948&lt;=2,H948&lt;=2),"HIBERNATING",TRUE(),"Other")</f>
        <v>Other</v>
      </c>
      <c r="K948" s="1" t="n">
        <f aca="false">RANK(E948,$E$7:$E$4378)+COUNTIF($E$7:E948,E948)-1</f>
        <v>3822</v>
      </c>
    </row>
    <row r="949" customFormat="false" ht="14.25" hidden="false" customHeight="true" outlineLevel="0" collapsed="false">
      <c r="A949" s="51" t="n">
        <v>13599</v>
      </c>
      <c r="B949" s="53" t="n">
        <v>40885.8097222222</v>
      </c>
      <c r="C949" s="57" t="n">
        <f aca="false">INT($C$2)-INT(Table3[[#This Row],[Last Purchase Date]])</f>
        <v>2</v>
      </c>
      <c r="D949" s="1" t="n">
        <v>33</v>
      </c>
      <c r="E949" s="1" t="n">
        <v>5030.6</v>
      </c>
      <c r="F949" s="1" t="n">
        <f aca="false">ROUND((1-_xlfn.PERCENTRANK.INC($C$7:$C$4378,C949))*9,0)</f>
        <v>9</v>
      </c>
      <c r="G949" s="1" t="n">
        <f aca="false">ROUND(_xlfn.PERCENTRANK.INC($D$7:$D$4378,D949)*9,0)</f>
        <v>9</v>
      </c>
      <c r="H949" s="1" t="n">
        <f aca="false">ROUND(_xlfn.PERCENTRANK.INC($E$7:$E$4378,E949)*9,0)</f>
        <v>8</v>
      </c>
      <c r="I949" s="1" t="str">
        <f aca="false">CONCATENATE(F949,G949,H949)</f>
        <v>998</v>
      </c>
      <c r="J949" s="1" t="str">
        <f aca="false">_xlfn.IFS(AND(F949&gt;=8,G949&gt;=8,H949&gt;=8),"CHAMPION",AND(F949&gt;=6,G949&gt;=7,H949&gt;=6),"LOYAL CUSTOMER",AND(F949&gt;=6,G949&gt;=5,H949&gt;=5),"POTENTIAL LOYALIST",AND(F949&gt;=8,G949&lt;=2,H949&gt;=5),"NEW CUSTOMERS",AND(F949&gt;=6,G949&lt;=2,H949&gt;=3),"PROMISING",AND(F949&gt;=3,G949&gt;=3,H949&gt;=3),"NEED ATTENTION",AND(F949&lt;=4,G949&gt;=6,H949&gt;=6),"AT RISK",AND(F949&lt;=2,G949&gt;=8,H949&gt;=8),"CAN'T LOSE THEM",AND(F949&lt;=2,G949&lt;=2,H949&lt;=2),"HIBERNATING",TRUE(),"Other")</f>
        <v>CHAMPION</v>
      </c>
      <c r="K949" s="1" t="n">
        <f aca="false">RANK(E949,$E$7:$E$4378)+COUNTIF($E$7:E949,E949)-1</f>
        <v>260</v>
      </c>
    </row>
    <row r="950" customFormat="false" ht="14.25" hidden="false" customHeight="true" outlineLevel="0" collapsed="false">
      <c r="A950" s="51" t="n">
        <v>13600</v>
      </c>
      <c r="B950" s="53" t="n">
        <v>40574.64375</v>
      </c>
      <c r="C950" s="57" t="n">
        <f aca="false">INT($C$2)-INT(Table3[[#This Row],[Last Purchase Date]])</f>
        <v>313</v>
      </c>
      <c r="D950" s="1" t="n">
        <v>1</v>
      </c>
      <c r="E950" s="1" t="n">
        <v>219.52</v>
      </c>
      <c r="F950" s="1" t="n">
        <f aca="false">ROUND((1-_xlfn.PERCENTRANK.INC($C$7:$C$4378,C950))*9,0)</f>
        <v>0</v>
      </c>
      <c r="G950" s="1" t="n">
        <f aca="false">ROUND(_xlfn.PERCENTRANK.INC($D$7:$D$4378,D950)*9,0)</f>
        <v>0</v>
      </c>
      <c r="H950" s="1" t="n">
        <f aca="false">ROUND(_xlfn.PERCENTRANK.INC($E$7:$E$4378,E950)*9,0)</f>
        <v>2</v>
      </c>
      <c r="I950" s="1" t="str">
        <f aca="false">CONCATENATE(F950,G950,H950)</f>
        <v>002</v>
      </c>
      <c r="J950" s="1" t="str">
        <f aca="false">_xlfn.IFS(AND(F950&gt;=8,G950&gt;=8,H950&gt;=8),"CHAMPION",AND(F950&gt;=6,G950&gt;=7,H950&gt;=6),"LOYAL CUSTOMER",AND(F950&gt;=6,G950&gt;=5,H950&gt;=5),"POTENTIAL LOYALIST",AND(F950&gt;=8,G950&lt;=2,H950&gt;=5),"NEW CUSTOMERS",AND(F950&gt;=6,G950&lt;=2,H950&gt;=3),"PROMISING",AND(F950&gt;=3,G950&gt;=3,H950&gt;=3),"NEED ATTENTION",AND(F950&lt;=4,G950&gt;=6,H950&gt;=6),"AT RISK",AND(F950&lt;=2,G950&gt;=8,H950&gt;=8),"CAN'T LOSE THEM",AND(F950&lt;=2,G950&lt;=2,H950&lt;=2),"HIBERNATING",TRUE(),"Other")</f>
        <v>HIBERNATING</v>
      </c>
      <c r="K950" s="1" t="n">
        <f aca="false">RANK(E950,$E$7:$E$4378)+COUNTIF($E$7:E950,E950)-1</f>
        <v>3561</v>
      </c>
    </row>
    <row r="951" customFormat="false" ht="14.25" hidden="false" customHeight="true" outlineLevel="0" collapsed="false">
      <c r="A951" s="51" t="n">
        <v>13601</v>
      </c>
      <c r="B951" s="53" t="n">
        <v>40841.7298611111</v>
      </c>
      <c r="C951" s="57" t="n">
        <f aca="false">INT($C$2)-INT(Table3[[#This Row],[Last Purchase Date]])</f>
        <v>46</v>
      </c>
      <c r="D951" s="1" t="n">
        <v>2</v>
      </c>
      <c r="E951" s="1" t="n">
        <v>693.32</v>
      </c>
      <c r="F951" s="1" t="n">
        <f aca="false">ROUND((1-_xlfn.PERCENTRANK.INC($C$7:$C$4378,C951))*9,0)</f>
        <v>5</v>
      </c>
      <c r="G951" s="1" t="n">
        <f aca="false">ROUND(_xlfn.PERCENTRANK.INC($D$7:$D$4378,D951)*9,0)</f>
        <v>3</v>
      </c>
      <c r="H951" s="1" t="n">
        <f aca="false">ROUND(_xlfn.PERCENTRANK.INC($E$7:$E$4378,E951)*9,0)</f>
        <v>5</v>
      </c>
      <c r="I951" s="1" t="str">
        <f aca="false">CONCATENATE(F951,G951,H951)</f>
        <v>535</v>
      </c>
      <c r="J951" s="1" t="str">
        <f aca="false">_xlfn.IFS(AND(F951&gt;=8,G951&gt;=8,H951&gt;=8),"CHAMPION",AND(F951&gt;=6,G951&gt;=7,H951&gt;=6),"LOYAL CUSTOMER",AND(F951&gt;=6,G951&gt;=5,H951&gt;=5),"POTENTIAL LOYALIST",AND(F951&gt;=8,G951&lt;=2,H951&gt;=5),"NEW CUSTOMERS",AND(F951&gt;=6,G951&lt;=2,H951&gt;=3),"PROMISING",AND(F951&gt;=3,G951&gt;=3,H951&gt;=3),"NEED ATTENTION",AND(F951&lt;=4,G951&gt;=6,H951&gt;=6),"AT RISK",AND(F951&lt;=2,G951&gt;=8,H951&gt;=8),"CAN'T LOSE THEM",AND(F951&lt;=2,G951&lt;=2,H951&lt;=2),"HIBERNATING",TRUE(),"Other")</f>
        <v>NEED ATTENTION</v>
      </c>
      <c r="K951" s="1" t="n">
        <f aca="false">RANK(E951,$E$7:$E$4378)+COUNTIF($E$7:E951,E951)-1</f>
        <v>2076</v>
      </c>
    </row>
    <row r="952" customFormat="false" ht="14.25" hidden="false" customHeight="true" outlineLevel="0" collapsed="false">
      <c r="A952" s="51" t="n">
        <v>13602</v>
      </c>
      <c r="B952" s="53" t="n">
        <v>40822.4909722222</v>
      </c>
      <c r="C952" s="57" t="n">
        <f aca="false">INT($C$2)-INT(Table3[[#This Row],[Last Purchase Date]])</f>
        <v>65</v>
      </c>
      <c r="D952" s="1" t="n">
        <v>1</v>
      </c>
      <c r="E952" s="1" t="n">
        <v>428.89</v>
      </c>
      <c r="F952" s="1" t="n">
        <f aca="false">ROUND((1-_xlfn.PERCENTRANK.INC($C$7:$C$4378,C952))*9,0)</f>
        <v>4</v>
      </c>
      <c r="G952" s="1" t="n">
        <f aca="false">ROUND(_xlfn.PERCENTRANK.INC($D$7:$D$4378,D952)*9,0)</f>
        <v>0</v>
      </c>
      <c r="H952" s="1" t="n">
        <f aca="false">ROUND(_xlfn.PERCENTRANK.INC($E$7:$E$4378,E952)*9,0)</f>
        <v>3</v>
      </c>
      <c r="I952" s="1" t="str">
        <f aca="false">CONCATENATE(F952,G952,H952)</f>
        <v>403</v>
      </c>
      <c r="J952" s="1" t="str">
        <f aca="false">_xlfn.IFS(AND(F952&gt;=8,G952&gt;=8,H952&gt;=8),"CHAMPION",AND(F952&gt;=6,G952&gt;=7,H952&gt;=6),"LOYAL CUSTOMER",AND(F952&gt;=6,G952&gt;=5,H952&gt;=5),"POTENTIAL LOYALIST",AND(F952&gt;=8,G952&lt;=2,H952&gt;=5),"NEW CUSTOMERS",AND(F952&gt;=6,G952&lt;=2,H952&gt;=3),"PROMISING",AND(F952&gt;=3,G952&gt;=3,H952&gt;=3),"NEED ATTENTION",AND(F952&lt;=4,G952&gt;=6,H952&gt;=6),"AT RISK",AND(F952&lt;=2,G952&gt;=8,H952&gt;=8),"CAN'T LOSE THEM",AND(F952&lt;=2,G952&lt;=2,H952&lt;=2),"HIBERNATING",TRUE(),"Other")</f>
        <v>Other</v>
      </c>
      <c r="K952" s="1" t="n">
        <f aca="false">RANK(E952,$E$7:$E$4378)+COUNTIF($E$7:E952,E952)-1</f>
        <v>2724</v>
      </c>
    </row>
    <row r="953" customFormat="false" ht="14.25" hidden="false" customHeight="true" outlineLevel="0" collapsed="false">
      <c r="A953" s="51" t="n">
        <v>13603</v>
      </c>
      <c r="B953" s="53" t="n">
        <v>40860.6645833333</v>
      </c>
      <c r="C953" s="57" t="n">
        <f aca="false">INT($C$2)-INT(Table3[[#This Row],[Last Purchase Date]])</f>
        <v>27</v>
      </c>
      <c r="D953" s="1" t="n">
        <v>1</v>
      </c>
      <c r="E953" s="1" t="n">
        <v>164.34</v>
      </c>
      <c r="F953" s="1" t="n">
        <f aca="false">ROUND((1-_xlfn.PERCENTRANK.INC($C$7:$C$4378,C953))*9,0)</f>
        <v>6</v>
      </c>
      <c r="G953" s="1" t="n">
        <f aca="false">ROUND(_xlfn.PERCENTRANK.INC($D$7:$D$4378,D953)*9,0)</f>
        <v>0</v>
      </c>
      <c r="H953" s="1" t="n">
        <f aca="false">ROUND(_xlfn.PERCENTRANK.INC($E$7:$E$4378,E953)*9,0)</f>
        <v>1</v>
      </c>
      <c r="I953" s="1" t="str">
        <f aca="false">CONCATENATE(F953,G953,H953)</f>
        <v>601</v>
      </c>
      <c r="J953" s="1" t="str">
        <f aca="false">_xlfn.IFS(AND(F953&gt;=8,G953&gt;=8,H953&gt;=8),"CHAMPION",AND(F953&gt;=6,G953&gt;=7,H953&gt;=6),"LOYAL CUSTOMER",AND(F953&gt;=6,G953&gt;=5,H953&gt;=5),"POTENTIAL LOYALIST",AND(F953&gt;=8,G953&lt;=2,H953&gt;=5),"NEW CUSTOMERS",AND(F953&gt;=6,G953&lt;=2,H953&gt;=3),"PROMISING",AND(F953&gt;=3,G953&gt;=3,H953&gt;=3),"NEED ATTENTION",AND(F953&lt;=4,G953&gt;=6,H953&gt;=6),"AT RISK",AND(F953&lt;=2,G953&gt;=8,H953&gt;=8),"CAN'T LOSE THEM",AND(F953&lt;=2,G953&lt;=2,H953&lt;=2),"HIBERNATING",TRUE(),"Other")</f>
        <v>Other</v>
      </c>
      <c r="K953" s="1" t="n">
        <f aca="false">RANK(E953,$E$7:$E$4378)+COUNTIF($E$7:E953,E953)-1</f>
        <v>3835</v>
      </c>
    </row>
    <row r="954" customFormat="false" ht="14.25" hidden="false" customHeight="true" outlineLevel="0" collapsed="false">
      <c r="A954" s="51" t="n">
        <v>13606</v>
      </c>
      <c r="B954" s="53" t="n">
        <v>40857.7402777778</v>
      </c>
      <c r="C954" s="57" t="n">
        <f aca="false">INT($C$2)-INT(Table3[[#This Row],[Last Purchase Date]])</f>
        <v>30</v>
      </c>
      <c r="D954" s="1" t="n">
        <v>3</v>
      </c>
      <c r="E954" s="1" t="n">
        <v>280.54</v>
      </c>
      <c r="F954" s="1" t="n">
        <f aca="false">ROUND((1-_xlfn.PERCENTRANK.INC($C$7:$C$4378,C954))*9,0)</f>
        <v>6</v>
      </c>
      <c r="G954" s="1" t="n">
        <f aca="false">ROUND(_xlfn.PERCENTRANK.INC($D$7:$D$4378,D954)*9,0)</f>
        <v>4</v>
      </c>
      <c r="H954" s="1" t="n">
        <f aca="false">ROUND(_xlfn.PERCENTRANK.INC($E$7:$E$4378,E954)*9,0)</f>
        <v>2</v>
      </c>
      <c r="I954" s="1" t="str">
        <f aca="false">CONCATENATE(F954,G954,H954)</f>
        <v>642</v>
      </c>
      <c r="J954" s="1" t="str">
        <f aca="false">_xlfn.IFS(AND(F954&gt;=8,G954&gt;=8,H954&gt;=8),"CHAMPION",AND(F954&gt;=6,G954&gt;=7,H954&gt;=6),"LOYAL CUSTOMER",AND(F954&gt;=6,G954&gt;=5,H954&gt;=5),"POTENTIAL LOYALIST",AND(F954&gt;=8,G954&lt;=2,H954&gt;=5),"NEW CUSTOMERS",AND(F954&gt;=6,G954&lt;=2,H954&gt;=3),"PROMISING",AND(F954&gt;=3,G954&gt;=3,H954&gt;=3),"NEED ATTENTION",AND(F954&lt;=4,G954&gt;=6,H954&gt;=6),"AT RISK",AND(F954&lt;=2,G954&gt;=8,H954&gt;=8),"CAN'T LOSE THEM",AND(F954&lt;=2,G954&lt;=2,H954&lt;=2),"HIBERNATING",TRUE(),"Other")</f>
        <v>Other</v>
      </c>
      <c r="K954" s="1" t="n">
        <f aca="false">RANK(E954,$E$7:$E$4378)+COUNTIF($E$7:E954,E954)-1</f>
        <v>3326</v>
      </c>
    </row>
    <row r="955" customFormat="false" ht="14.25" hidden="false" customHeight="true" outlineLevel="0" collapsed="false">
      <c r="A955" s="51" t="n">
        <v>13607</v>
      </c>
      <c r="B955" s="53" t="n">
        <v>40846.6784722222</v>
      </c>
      <c r="C955" s="57" t="n">
        <f aca="false">INT($C$2)-INT(Table3[[#This Row],[Last Purchase Date]])</f>
        <v>41</v>
      </c>
      <c r="D955" s="1" t="n">
        <v>1</v>
      </c>
      <c r="E955" s="1" t="n">
        <v>678.01</v>
      </c>
      <c r="F955" s="1" t="n">
        <f aca="false">ROUND((1-_xlfn.PERCENTRANK.INC($C$7:$C$4378,C955))*9,0)</f>
        <v>5</v>
      </c>
      <c r="G955" s="1" t="n">
        <f aca="false">ROUND(_xlfn.PERCENTRANK.INC($D$7:$D$4378,D955)*9,0)</f>
        <v>0</v>
      </c>
      <c r="H955" s="1" t="n">
        <f aca="false">ROUND(_xlfn.PERCENTRANK.INC($E$7:$E$4378,E955)*9,0)</f>
        <v>5</v>
      </c>
      <c r="I955" s="1" t="str">
        <f aca="false">CONCATENATE(F955,G955,H955)</f>
        <v>505</v>
      </c>
      <c r="J955" s="1" t="str">
        <f aca="false">_xlfn.IFS(AND(F955&gt;=8,G955&gt;=8,H955&gt;=8),"CHAMPION",AND(F955&gt;=6,G955&gt;=7,H955&gt;=6),"LOYAL CUSTOMER",AND(F955&gt;=6,G955&gt;=5,H955&gt;=5),"POTENTIAL LOYALIST",AND(F955&gt;=8,G955&lt;=2,H955&gt;=5),"NEW CUSTOMERS",AND(F955&gt;=6,G955&lt;=2,H955&gt;=3),"PROMISING",AND(F955&gt;=3,G955&gt;=3,H955&gt;=3),"NEED ATTENTION",AND(F955&lt;=4,G955&gt;=6,H955&gt;=6),"AT RISK",AND(F955&lt;=2,G955&gt;=8,H955&gt;=8),"CAN'T LOSE THEM",AND(F955&lt;=2,G955&lt;=2,H955&lt;=2),"HIBERNATING",TRUE(),"Other")</f>
        <v>Other</v>
      </c>
      <c r="K955" s="1" t="n">
        <f aca="false">RANK(E955,$E$7:$E$4378)+COUNTIF($E$7:E955,E955)-1</f>
        <v>2110</v>
      </c>
    </row>
    <row r="956" customFormat="false" ht="14.25" hidden="false" customHeight="true" outlineLevel="0" collapsed="false">
      <c r="A956" s="51" t="n">
        <v>13610</v>
      </c>
      <c r="B956" s="53" t="n">
        <v>40874.6513888889</v>
      </c>
      <c r="C956" s="57" t="n">
        <f aca="false">INT($C$2)-INT(Table3[[#This Row],[Last Purchase Date]])</f>
        <v>13</v>
      </c>
      <c r="D956" s="1" t="n">
        <v>9</v>
      </c>
      <c r="E956" s="1" t="n">
        <v>1115.43</v>
      </c>
      <c r="F956" s="1" t="n">
        <f aca="false">ROUND((1-_xlfn.PERCENTRANK.INC($C$7:$C$4378,C956))*9,0)</f>
        <v>7</v>
      </c>
      <c r="G956" s="1" t="n">
        <f aca="false">ROUND(_xlfn.PERCENTRANK.INC($D$7:$D$4378,D956)*9,0)</f>
        <v>8</v>
      </c>
      <c r="H956" s="1" t="n">
        <f aca="false">ROUND(_xlfn.PERCENTRANK.INC($E$7:$E$4378,E956)*9,0)</f>
        <v>6</v>
      </c>
      <c r="I956" s="1" t="str">
        <f aca="false">CONCATENATE(F956,G956,H956)</f>
        <v>786</v>
      </c>
      <c r="J956" s="1" t="str">
        <f aca="false">_xlfn.IFS(AND(F956&gt;=8,G956&gt;=8,H956&gt;=8),"CHAMPION",AND(F956&gt;=6,G956&gt;=7,H956&gt;=6),"LOYAL CUSTOMER",AND(F956&gt;=6,G956&gt;=5,H956&gt;=5),"POTENTIAL LOYALIST",AND(F956&gt;=8,G956&lt;=2,H956&gt;=5),"NEW CUSTOMERS",AND(F956&gt;=6,G956&lt;=2,H956&gt;=3),"PROMISING",AND(F956&gt;=3,G956&gt;=3,H956&gt;=3),"NEED ATTENTION",AND(F956&lt;=4,G956&gt;=6,H956&gt;=6),"AT RISK",AND(F956&lt;=2,G956&gt;=8,H956&gt;=8),"CAN'T LOSE THEM",AND(F956&lt;=2,G956&lt;=2,H956&lt;=2),"HIBERNATING",TRUE(),"Other")</f>
        <v>LOYAL CUSTOMER</v>
      </c>
      <c r="K956" s="1" t="n">
        <f aca="false">RANK(E956,$E$7:$E$4378)+COUNTIF($E$7:E956,E956)-1</f>
        <v>1495</v>
      </c>
    </row>
    <row r="957" customFormat="false" ht="14.25" hidden="false" customHeight="true" outlineLevel="0" collapsed="false">
      <c r="A957" s="51" t="n">
        <v>13611</v>
      </c>
      <c r="B957" s="53" t="n">
        <v>40797.61875</v>
      </c>
      <c r="C957" s="57" t="n">
        <f aca="false">INT($C$2)-INT(Table3[[#This Row],[Last Purchase Date]])</f>
        <v>90</v>
      </c>
      <c r="D957" s="1" t="n">
        <v>4</v>
      </c>
      <c r="E957" s="1" t="n">
        <v>1158.2</v>
      </c>
      <c r="F957" s="1" t="n">
        <f aca="false">ROUND((1-_xlfn.PERCENTRANK.INC($C$7:$C$4378,C957))*9,0)</f>
        <v>3</v>
      </c>
      <c r="G957" s="1" t="n">
        <f aca="false">ROUND(_xlfn.PERCENTRANK.INC($D$7:$D$4378,D957)*9,0)</f>
        <v>5</v>
      </c>
      <c r="H957" s="1" t="n">
        <f aca="false">ROUND(_xlfn.PERCENTRANK.INC($E$7:$E$4378,E957)*9,0)</f>
        <v>6</v>
      </c>
      <c r="I957" s="1" t="str">
        <f aca="false">CONCATENATE(F957,G957,H957)</f>
        <v>356</v>
      </c>
      <c r="J957" s="1" t="str">
        <f aca="false">_xlfn.IFS(AND(F957&gt;=8,G957&gt;=8,H957&gt;=8),"CHAMPION",AND(F957&gt;=6,G957&gt;=7,H957&gt;=6),"LOYAL CUSTOMER",AND(F957&gt;=6,G957&gt;=5,H957&gt;=5),"POTENTIAL LOYALIST",AND(F957&gt;=8,G957&lt;=2,H957&gt;=5),"NEW CUSTOMERS",AND(F957&gt;=6,G957&lt;=2,H957&gt;=3),"PROMISING",AND(F957&gt;=3,G957&gt;=3,H957&gt;=3),"NEED ATTENTION",AND(F957&lt;=4,G957&gt;=6,H957&gt;=6),"AT RISK",AND(F957&lt;=2,G957&gt;=8,H957&gt;=8),"CAN'T LOSE THEM",AND(F957&lt;=2,G957&lt;=2,H957&lt;=2),"HIBERNATING",TRUE(),"Other")</f>
        <v>NEED ATTENTION</v>
      </c>
      <c r="K957" s="1" t="n">
        <f aca="false">RANK(E957,$E$7:$E$4378)+COUNTIF($E$7:E957,E957)-1</f>
        <v>1444</v>
      </c>
    </row>
    <row r="958" customFormat="false" ht="14.25" hidden="false" customHeight="true" outlineLevel="0" collapsed="false">
      <c r="A958" s="51" t="n">
        <v>13614</v>
      </c>
      <c r="B958" s="53" t="n">
        <v>40862.6159722222</v>
      </c>
      <c r="C958" s="57" t="n">
        <f aca="false">INT($C$2)-INT(Table3[[#This Row],[Last Purchase Date]])</f>
        <v>25</v>
      </c>
      <c r="D958" s="1" t="n">
        <v>4</v>
      </c>
      <c r="E958" s="1" t="n">
        <v>1610.46</v>
      </c>
      <c r="F958" s="1" t="n">
        <f aca="false">ROUND((1-_xlfn.PERCENTRANK.INC($C$7:$C$4378,C958))*9,0)</f>
        <v>6</v>
      </c>
      <c r="G958" s="1" t="n">
        <f aca="false">ROUND(_xlfn.PERCENTRANK.INC($D$7:$D$4378,D958)*9,0)</f>
        <v>5</v>
      </c>
      <c r="H958" s="1" t="n">
        <f aca="false">ROUND(_xlfn.PERCENTRANK.INC($E$7:$E$4378,E958)*9,0)</f>
        <v>7</v>
      </c>
      <c r="I958" s="1" t="str">
        <f aca="false">CONCATENATE(F958,G958,H958)</f>
        <v>657</v>
      </c>
      <c r="J958" s="1" t="str">
        <f aca="false">_xlfn.IFS(AND(F958&gt;=8,G958&gt;=8,H958&gt;=8),"CHAMPION",AND(F958&gt;=6,G958&gt;=7,H958&gt;=6),"LOYAL CUSTOMER",AND(F958&gt;=6,G958&gt;=5,H958&gt;=5),"POTENTIAL LOYALIST",AND(F958&gt;=8,G958&lt;=2,H958&gt;=5),"NEW CUSTOMERS",AND(F958&gt;=6,G958&lt;=2,H958&gt;=3),"PROMISING",AND(F958&gt;=3,G958&gt;=3,H958&gt;=3),"NEED ATTENTION",AND(F958&lt;=4,G958&gt;=6,H958&gt;=6),"AT RISK",AND(F958&lt;=2,G958&gt;=8,H958&gt;=8),"CAN'T LOSE THEM",AND(F958&lt;=2,G958&lt;=2,H958&lt;=2),"HIBERNATING",TRUE(),"Other")</f>
        <v>POTENTIAL LOYALIST</v>
      </c>
      <c r="K958" s="1" t="n">
        <f aca="false">RANK(E958,$E$7:$E$4378)+COUNTIF($E$7:E958,E958)-1</f>
        <v>1095</v>
      </c>
    </row>
    <row r="959" customFormat="false" ht="14.25" hidden="false" customHeight="true" outlineLevel="0" collapsed="false">
      <c r="A959" s="51" t="n">
        <v>13615</v>
      </c>
      <c r="B959" s="53" t="n">
        <v>40574.4784722222</v>
      </c>
      <c r="C959" s="57" t="n">
        <f aca="false">INT($C$2)-INT(Table3[[#This Row],[Last Purchase Date]])</f>
        <v>313</v>
      </c>
      <c r="D959" s="1" t="n">
        <v>2</v>
      </c>
      <c r="E959" s="1" t="n">
        <v>399.99</v>
      </c>
      <c r="F959" s="1" t="n">
        <f aca="false">ROUND((1-_xlfn.PERCENTRANK.INC($C$7:$C$4378,C959))*9,0)</f>
        <v>0</v>
      </c>
      <c r="G959" s="1" t="n">
        <f aca="false">ROUND(_xlfn.PERCENTRANK.INC($D$7:$D$4378,D959)*9,0)</f>
        <v>3</v>
      </c>
      <c r="H959" s="1" t="n">
        <f aca="false">ROUND(_xlfn.PERCENTRANK.INC($E$7:$E$4378,E959)*9,0)</f>
        <v>3</v>
      </c>
      <c r="I959" s="1" t="str">
        <f aca="false">CONCATENATE(F959,G959,H959)</f>
        <v>033</v>
      </c>
      <c r="J959" s="1" t="str">
        <f aca="false">_xlfn.IFS(AND(F959&gt;=8,G959&gt;=8,H959&gt;=8),"CHAMPION",AND(F959&gt;=6,G959&gt;=7,H959&gt;=6),"LOYAL CUSTOMER",AND(F959&gt;=6,G959&gt;=5,H959&gt;=5),"POTENTIAL LOYALIST",AND(F959&gt;=8,G959&lt;=2,H959&gt;=5),"NEW CUSTOMERS",AND(F959&gt;=6,G959&lt;=2,H959&gt;=3),"PROMISING",AND(F959&gt;=3,G959&gt;=3,H959&gt;=3),"NEED ATTENTION",AND(F959&lt;=4,G959&gt;=6,H959&gt;=6),"AT RISK",AND(F959&lt;=2,G959&gt;=8,H959&gt;=8),"CAN'T LOSE THEM",AND(F959&lt;=2,G959&lt;=2,H959&lt;=2),"HIBERNATING",TRUE(),"Other")</f>
        <v>Other</v>
      </c>
      <c r="K959" s="1" t="n">
        <f aca="false">RANK(E959,$E$7:$E$4378)+COUNTIF($E$7:E959,E959)-1</f>
        <v>2819</v>
      </c>
    </row>
    <row r="960" customFormat="false" ht="14.25" hidden="false" customHeight="true" outlineLevel="0" collapsed="false">
      <c r="A960" s="51" t="n">
        <v>13617</v>
      </c>
      <c r="B960" s="53" t="n">
        <v>40846.5763888889</v>
      </c>
      <c r="C960" s="57" t="n">
        <f aca="false">INT($C$2)-INT(Table3[[#This Row],[Last Purchase Date]])</f>
        <v>41</v>
      </c>
      <c r="D960" s="1" t="n">
        <v>3</v>
      </c>
      <c r="E960" s="1" t="n">
        <v>544.18</v>
      </c>
      <c r="F960" s="1" t="n">
        <f aca="false">ROUND((1-_xlfn.PERCENTRANK.INC($C$7:$C$4378,C960))*9,0)</f>
        <v>5</v>
      </c>
      <c r="G960" s="1" t="n">
        <f aca="false">ROUND(_xlfn.PERCENTRANK.INC($D$7:$D$4378,D960)*9,0)</f>
        <v>4</v>
      </c>
      <c r="H960" s="1" t="n">
        <f aca="false">ROUND(_xlfn.PERCENTRANK.INC($E$7:$E$4378,E960)*9,0)</f>
        <v>4</v>
      </c>
      <c r="I960" s="1" t="str">
        <f aca="false">CONCATENATE(F960,G960,H960)</f>
        <v>544</v>
      </c>
      <c r="J960" s="1" t="str">
        <f aca="false">_xlfn.IFS(AND(F960&gt;=8,G960&gt;=8,H960&gt;=8),"CHAMPION",AND(F960&gt;=6,G960&gt;=7,H960&gt;=6),"LOYAL CUSTOMER",AND(F960&gt;=6,G960&gt;=5,H960&gt;=5),"POTENTIAL LOYALIST",AND(F960&gt;=8,G960&lt;=2,H960&gt;=5),"NEW CUSTOMERS",AND(F960&gt;=6,G960&lt;=2,H960&gt;=3),"PROMISING",AND(F960&gt;=3,G960&gt;=3,H960&gt;=3),"NEED ATTENTION",AND(F960&lt;=4,G960&gt;=6,H960&gt;=6),"AT RISK",AND(F960&lt;=2,G960&gt;=8,H960&gt;=8),"CAN'T LOSE THEM",AND(F960&lt;=2,G960&lt;=2,H960&lt;=2),"HIBERNATING",TRUE(),"Other")</f>
        <v>NEED ATTENTION</v>
      </c>
      <c r="K960" s="1" t="n">
        <f aca="false">RANK(E960,$E$7:$E$4378)+COUNTIF($E$7:E960,E960)-1</f>
        <v>2443</v>
      </c>
    </row>
    <row r="961" customFormat="false" ht="14.25" hidden="false" customHeight="true" outlineLevel="0" collapsed="false">
      <c r="A961" s="51" t="n">
        <v>13618</v>
      </c>
      <c r="B961" s="53" t="n">
        <v>40713.4645833333</v>
      </c>
      <c r="C961" s="57" t="n">
        <f aca="false">INT($C$2)-INT(Table3[[#This Row],[Last Purchase Date]])</f>
        <v>174</v>
      </c>
      <c r="D961" s="1" t="n">
        <v>1</v>
      </c>
      <c r="E961" s="1" t="n">
        <v>177.34</v>
      </c>
      <c r="F961" s="1" t="n">
        <f aca="false">ROUND((1-_xlfn.PERCENTRANK.INC($C$7:$C$4378,C961))*9,0)</f>
        <v>2</v>
      </c>
      <c r="G961" s="1" t="n">
        <f aca="false">ROUND(_xlfn.PERCENTRANK.INC($D$7:$D$4378,D961)*9,0)</f>
        <v>0</v>
      </c>
      <c r="H961" s="1" t="n">
        <f aca="false">ROUND(_xlfn.PERCENTRANK.INC($E$7:$E$4378,E961)*9,0)</f>
        <v>1</v>
      </c>
      <c r="I961" s="1" t="str">
        <f aca="false">CONCATENATE(F961,G961,H961)</f>
        <v>201</v>
      </c>
      <c r="J961" s="1" t="str">
        <f aca="false">_xlfn.IFS(AND(F961&gt;=8,G961&gt;=8,H961&gt;=8),"CHAMPION",AND(F961&gt;=6,G961&gt;=7,H961&gt;=6),"LOYAL CUSTOMER",AND(F961&gt;=6,G961&gt;=5,H961&gt;=5),"POTENTIAL LOYALIST",AND(F961&gt;=8,G961&lt;=2,H961&gt;=5),"NEW CUSTOMERS",AND(F961&gt;=6,G961&lt;=2,H961&gt;=3),"PROMISING",AND(F961&gt;=3,G961&gt;=3,H961&gt;=3),"NEED ATTENTION",AND(F961&lt;=4,G961&gt;=6,H961&gt;=6),"AT RISK",AND(F961&lt;=2,G961&gt;=8,H961&gt;=8),"CAN'T LOSE THEM",AND(F961&lt;=2,G961&lt;=2,H961&lt;=2),"HIBERNATING",TRUE(),"Other")</f>
        <v>HIBERNATING</v>
      </c>
      <c r="K961" s="1" t="n">
        <f aca="false">RANK(E961,$E$7:$E$4378)+COUNTIF($E$7:E961,E961)-1</f>
        <v>3768</v>
      </c>
    </row>
    <row r="962" customFormat="false" ht="14.25" hidden="false" customHeight="true" outlineLevel="0" collapsed="false">
      <c r="A962" s="51" t="n">
        <v>13621</v>
      </c>
      <c r="B962" s="53" t="n">
        <v>40770.3513888889</v>
      </c>
      <c r="C962" s="57" t="n">
        <f aca="false">INT($C$2)-INT(Table3[[#This Row],[Last Purchase Date]])</f>
        <v>117</v>
      </c>
      <c r="D962" s="1" t="n">
        <v>1</v>
      </c>
      <c r="E962" s="1" t="n">
        <v>213.85</v>
      </c>
      <c r="F962" s="1" t="n">
        <f aca="false">ROUND((1-_xlfn.PERCENTRANK.INC($C$7:$C$4378,C962))*9,0)</f>
        <v>3</v>
      </c>
      <c r="G962" s="1" t="n">
        <f aca="false">ROUND(_xlfn.PERCENTRANK.INC($D$7:$D$4378,D962)*9,0)</f>
        <v>0</v>
      </c>
      <c r="H962" s="1" t="n">
        <f aca="false">ROUND(_xlfn.PERCENTRANK.INC($E$7:$E$4378,E962)*9,0)</f>
        <v>2</v>
      </c>
      <c r="I962" s="1" t="str">
        <f aca="false">CONCATENATE(F962,G962,H962)</f>
        <v>302</v>
      </c>
      <c r="J962" s="1" t="str">
        <f aca="false">_xlfn.IFS(AND(F962&gt;=8,G962&gt;=8,H962&gt;=8),"CHAMPION",AND(F962&gt;=6,G962&gt;=7,H962&gt;=6),"LOYAL CUSTOMER",AND(F962&gt;=6,G962&gt;=5,H962&gt;=5),"POTENTIAL LOYALIST",AND(F962&gt;=8,G962&lt;=2,H962&gt;=5),"NEW CUSTOMERS",AND(F962&gt;=6,G962&lt;=2,H962&gt;=3),"PROMISING",AND(F962&gt;=3,G962&gt;=3,H962&gt;=3),"NEED ATTENTION",AND(F962&lt;=4,G962&gt;=6,H962&gt;=6),"AT RISK",AND(F962&lt;=2,G962&gt;=8,H962&gt;=8),"CAN'T LOSE THEM",AND(F962&lt;=2,G962&lt;=2,H962&lt;=2),"HIBERNATING",TRUE(),"Other")</f>
        <v>Other</v>
      </c>
      <c r="K962" s="1" t="n">
        <f aca="false">RANK(E962,$E$7:$E$4378)+COUNTIF($E$7:E962,E962)-1</f>
        <v>3596</v>
      </c>
    </row>
    <row r="963" customFormat="false" ht="14.25" hidden="false" customHeight="true" outlineLevel="0" collapsed="false">
      <c r="A963" s="51" t="n">
        <v>13623</v>
      </c>
      <c r="B963" s="53" t="n">
        <v>40856.5</v>
      </c>
      <c r="C963" s="57" t="n">
        <f aca="false">INT($C$2)-INT(Table3[[#This Row],[Last Purchase Date]])</f>
        <v>31</v>
      </c>
      <c r="D963" s="1" t="n">
        <v>7</v>
      </c>
      <c r="E963" s="1" t="n">
        <v>672.44</v>
      </c>
      <c r="F963" s="1" t="n">
        <f aca="false">ROUND((1-_xlfn.PERCENTRANK.INC($C$7:$C$4378,C963))*9,0)</f>
        <v>6</v>
      </c>
      <c r="G963" s="1" t="n">
        <f aca="false">ROUND(_xlfn.PERCENTRANK.INC($D$7:$D$4378,D963)*9,0)</f>
        <v>7</v>
      </c>
      <c r="H963" s="1" t="n">
        <f aca="false">ROUND(_xlfn.PERCENTRANK.INC($E$7:$E$4378,E963)*9,0)</f>
        <v>5</v>
      </c>
      <c r="I963" s="1" t="str">
        <f aca="false">CONCATENATE(F963,G963,H963)</f>
        <v>675</v>
      </c>
      <c r="J963" s="1" t="str">
        <f aca="false">_xlfn.IFS(AND(F963&gt;=8,G963&gt;=8,H963&gt;=8),"CHAMPION",AND(F963&gt;=6,G963&gt;=7,H963&gt;=6),"LOYAL CUSTOMER",AND(F963&gt;=6,G963&gt;=5,H963&gt;=5),"POTENTIAL LOYALIST",AND(F963&gt;=8,G963&lt;=2,H963&gt;=5),"NEW CUSTOMERS",AND(F963&gt;=6,G963&lt;=2,H963&gt;=3),"PROMISING",AND(F963&gt;=3,G963&gt;=3,H963&gt;=3),"NEED ATTENTION",AND(F963&lt;=4,G963&gt;=6,H963&gt;=6),"AT RISK",AND(F963&lt;=2,G963&gt;=8,H963&gt;=8),"CAN'T LOSE THEM",AND(F963&lt;=2,G963&lt;=2,H963&lt;=2),"HIBERNATING",TRUE(),"Other")</f>
        <v>POTENTIAL LOYALIST</v>
      </c>
      <c r="K963" s="1" t="n">
        <f aca="false">RANK(E963,$E$7:$E$4378)+COUNTIF($E$7:E963,E963)-1</f>
        <v>2124</v>
      </c>
    </row>
    <row r="964" customFormat="false" ht="14.25" hidden="false" customHeight="true" outlineLevel="0" collapsed="false">
      <c r="A964" s="51" t="n">
        <v>13626</v>
      </c>
      <c r="B964" s="53" t="n">
        <v>40634.4201388889</v>
      </c>
      <c r="C964" s="57" t="n">
        <f aca="false">INT($C$2)-INT(Table3[[#This Row],[Last Purchase Date]])</f>
        <v>253</v>
      </c>
      <c r="D964" s="1" t="n">
        <v>1</v>
      </c>
      <c r="E964" s="1" t="n">
        <v>257.23</v>
      </c>
      <c r="F964" s="1" t="n">
        <f aca="false">ROUND((1-_xlfn.PERCENTRANK.INC($C$7:$C$4378,C964))*9,0)</f>
        <v>1</v>
      </c>
      <c r="G964" s="1" t="n">
        <f aca="false">ROUND(_xlfn.PERCENTRANK.INC($D$7:$D$4378,D964)*9,0)</f>
        <v>0</v>
      </c>
      <c r="H964" s="1" t="n">
        <f aca="false">ROUND(_xlfn.PERCENTRANK.INC($E$7:$E$4378,E964)*9,0)</f>
        <v>2</v>
      </c>
      <c r="I964" s="1" t="str">
        <f aca="false">CONCATENATE(F964,G964,H964)</f>
        <v>102</v>
      </c>
      <c r="J964" s="1" t="str">
        <f aca="false">_xlfn.IFS(AND(F964&gt;=8,G964&gt;=8,H964&gt;=8),"CHAMPION",AND(F964&gt;=6,G964&gt;=7,H964&gt;=6),"LOYAL CUSTOMER",AND(F964&gt;=6,G964&gt;=5,H964&gt;=5),"POTENTIAL LOYALIST",AND(F964&gt;=8,G964&lt;=2,H964&gt;=5),"NEW CUSTOMERS",AND(F964&gt;=6,G964&lt;=2,H964&gt;=3),"PROMISING",AND(F964&gt;=3,G964&gt;=3,H964&gt;=3),"NEED ATTENTION",AND(F964&lt;=4,G964&gt;=6,H964&gt;=6),"AT RISK",AND(F964&lt;=2,G964&gt;=8,H964&gt;=8),"CAN'T LOSE THEM",AND(F964&lt;=2,G964&lt;=2,H964&lt;=2),"HIBERNATING",TRUE(),"Other")</f>
        <v>HIBERNATING</v>
      </c>
      <c r="K964" s="1" t="n">
        <f aca="false">RANK(E964,$E$7:$E$4378)+COUNTIF($E$7:E964,E964)-1</f>
        <v>3408</v>
      </c>
    </row>
    <row r="965" customFormat="false" ht="14.25" hidden="false" customHeight="true" outlineLevel="0" collapsed="false">
      <c r="A965" s="51" t="n">
        <v>13627</v>
      </c>
      <c r="B965" s="53" t="n">
        <v>40827.5972222222</v>
      </c>
      <c r="C965" s="57" t="n">
        <f aca="false">INT($C$2)-INT(Table3[[#This Row],[Last Purchase Date]])</f>
        <v>60</v>
      </c>
      <c r="D965" s="1" t="n">
        <v>7</v>
      </c>
      <c r="E965" s="1" t="n">
        <v>1624.02</v>
      </c>
      <c r="F965" s="1" t="n">
        <f aca="false">ROUND((1-_xlfn.PERCENTRANK.INC($C$7:$C$4378,C965))*9,0)</f>
        <v>4</v>
      </c>
      <c r="G965" s="1" t="n">
        <f aca="false">ROUND(_xlfn.PERCENTRANK.INC($D$7:$D$4378,D965)*9,0)</f>
        <v>7</v>
      </c>
      <c r="H965" s="1" t="n">
        <f aca="false">ROUND(_xlfn.PERCENTRANK.INC($E$7:$E$4378,E965)*9,0)</f>
        <v>7</v>
      </c>
      <c r="I965" s="1" t="str">
        <f aca="false">CONCATENATE(F965,G965,H965)</f>
        <v>477</v>
      </c>
      <c r="J965" s="1" t="str">
        <f aca="false">_xlfn.IFS(AND(F965&gt;=8,G965&gt;=8,H965&gt;=8),"CHAMPION",AND(F965&gt;=6,G965&gt;=7,H965&gt;=6),"LOYAL CUSTOMER",AND(F965&gt;=6,G965&gt;=5,H965&gt;=5),"POTENTIAL LOYALIST",AND(F965&gt;=8,G965&lt;=2,H965&gt;=5),"NEW CUSTOMERS",AND(F965&gt;=6,G965&lt;=2,H965&gt;=3),"PROMISING",AND(F965&gt;=3,G965&gt;=3,H965&gt;=3),"NEED ATTENTION",AND(F965&lt;=4,G965&gt;=6,H965&gt;=6),"AT RISK",AND(F965&lt;=2,G965&gt;=8,H965&gt;=8),"CAN'T LOSE THEM",AND(F965&lt;=2,G965&lt;=2,H965&lt;=2),"HIBERNATING",TRUE(),"Other")</f>
        <v>NEED ATTENTION</v>
      </c>
      <c r="K965" s="1" t="n">
        <f aca="false">RANK(E965,$E$7:$E$4378)+COUNTIF($E$7:E965,E965)-1</f>
        <v>1085</v>
      </c>
    </row>
    <row r="966" customFormat="false" ht="14.25" hidden="false" customHeight="true" outlineLevel="0" collapsed="false">
      <c r="A966" s="51" t="n">
        <v>13629</v>
      </c>
      <c r="B966" s="53" t="n">
        <v>40863.55625</v>
      </c>
      <c r="C966" s="57" t="n">
        <f aca="false">INT($C$2)-INT(Table3[[#This Row],[Last Purchase Date]])</f>
        <v>24</v>
      </c>
      <c r="D966" s="1" t="n">
        <v>11</v>
      </c>
      <c r="E966" s="1" t="n">
        <v>7792.36</v>
      </c>
      <c r="F966" s="1" t="n">
        <f aca="false">ROUND((1-_xlfn.PERCENTRANK.INC($C$7:$C$4378,C966))*9,0)</f>
        <v>6</v>
      </c>
      <c r="G966" s="1" t="n">
        <f aca="false">ROUND(_xlfn.PERCENTRANK.INC($D$7:$D$4378,D966)*9,0)</f>
        <v>8</v>
      </c>
      <c r="H966" s="1" t="n">
        <f aca="false">ROUND(_xlfn.PERCENTRANK.INC($E$7:$E$4378,E966)*9,0)</f>
        <v>9</v>
      </c>
      <c r="I966" s="1" t="str">
        <f aca="false">CONCATENATE(F966,G966,H966)</f>
        <v>689</v>
      </c>
      <c r="J966" s="1" t="str">
        <f aca="false">_xlfn.IFS(AND(F966&gt;=8,G966&gt;=8,H966&gt;=8),"CHAMPION",AND(F966&gt;=6,G966&gt;=7,H966&gt;=6),"LOYAL CUSTOMER",AND(F966&gt;=6,G966&gt;=5,H966&gt;=5),"POTENTIAL LOYALIST",AND(F966&gt;=8,G966&lt;=2,H966&gt;=5),"NEW CUSTOMERS",AND(F966&gt;=6,G966&lt;=2,H966&gt;=3),"PROMISING",AND(F966&gt;=3,G966&gt;=3,H966&gt;=3),"NEED ATTENTION",AND(F966&lt;=4,G966&gt;=6,H966&gt;=6),"AT RISK",AND(F966&lt;=2,G966&gt;=8,H966&gt;=8),"CAN'T LOSE THEM",AND(F966&lt;=2,G966&lt;=2,H966&lt;=2),"HIBERNATING",TRUE(),"Other")</f>
        <v>LOYAL CUSTOMER</v>
      </c>
      <c r="K966" s="1" t="n">
        <f aca="false">RANK(E966,$E$7:$E$4378)+COUNTIF($E$7:E966,E966)-1</f>
        <v>135</v>
      </c>
    </row>
    <row r="967" customFormat="false" ht="14.25" hidden="false" customHeight="true" outlineLevel="0" collapsed="false">
      <c r="A967" s="51" t="n">
        <v>13630</v>
      </c>
      <c r="B967" s="53" t="n">
        <v>40881.6361111111</v>
      </c>
      <c r="C967" s="57" t="n">
        <f aca="false">INT($C$2)-INT(Table3[[#This Row],[Last Purchase Date]])</f>
        <v>6</v>
      </c>
      <c r="D967" s="1" t="n">
        <v>11</v>
      </c>
      <c r="E967" s="1" t="n">
        <v>1995.68</v>
      </c>
      <c r="F967" s="1" t="n">
        <f aca="false">ROUND((1-_xlfn.PERCENTRANK.INC($C$7:$C$4378,C967))*9,0)</f>
        <v>8</v>
      </c>
      <c r="G967" s="1" t="n">
        <f aca="false">ROUND(_xlfn.PERCENTRANK.INC($D$7:$D$4378,D967)*9,0)</f>
        <v>8</v>
      </c>
      <c r="H967" s="1" t="n">
        <f aca="false">ROUND(_xlfn.PERCENTRANK.INC($E$7:$E$4378,E967)*9,0)</f>
        <v>7</v>
      </c>
      <c r="I967" s="1" t="str">
        <f aca="false">CONCATENATE(F967,G967,H967)</f>
        <v>887</v>
      </c>
      <c r="J967" s="1" t="str">
        <f aca="false">_xlfn.IFS(AND(F967&gt;=8,G967&gt;=8,H967&gt;=8),"CHAMPION",AND(F967&gt;=6,G967&gt;=7,H967&gt;=6),"LOYAL CUSTOMER",AND(F967&gt;=6,G967&gt;=5,H967&gt;=5),"POTENTIAL LOYALIST",AND(F967&gt;=8,G967&lt;=2,H967&gt;=5),"NEW CUSTOMERS",AND(F967&gt;=6,G967&lt;=2,H967&gt;=3),"PROMISING",AND(F967&gt;=3,G967&gt;=3,H967&gt;=3),"NEED ATTENTION",AND(F967&lt;=4,G967&gt;=6,H967&gt;=6),"AT RISK",AND(F967&lt;=2,G967&gt;=8,H967&gt;=8),"CAN'T LOSE THEM",AND(F967&lt;=2,G967&lt;=2,H967&lt;=2),"HIBERNATING",TRUE(),"Other")</f>
        <v>LOYAL CUSTOMER</v>
      </c>
      <c r="K967" s="1" t="n">
        <f aca="false">RANK(E967,$E$7:$E$4378)+COUNTIF($E$7:E967,E967)-1</f>
        <v>879</v>
      </c>
    </row>
    <row r="968" customFormat="false" ht="14.25" hidden="false" customHeight="true" outlineLevel="0" collapsed="false">
      <c r="A968" s="51" t="n">
        <v>13631</v>
      </c>
      <c r="B968" s="53" t="n">
        <v>40787.4145833333</v>
      </c>
      <c r="C968" s="57" t="n">
        <f aca="false">INT($C$2)-INT(Table3[[#This Row],[Last Purchase Date]])</f>
        <v>100</v>
      </c>
      <c r="D968" s="1" t="n">
        <v>12</v>
      </c>
      <c r="E968" s="1" t="n">
        <v>3021.77</v>
      </c>
      <c r="F968" s="1" t="n">
        <f aca="false">ROUND((1-_xlfn.PERCENTRANK.INC($C$7:$C$4378,C968))*9,0)</f>
        <v>3</v>
      </c>
      <c r="G968" s="1" t="n">
        <f aca="false">ROUND(_xlfn.PERCENTRANK.INC($D$7:$D$4378,D968)*9,0)</f>
        <v>8</v>
      </c>
      <c r="H968" s="1" t="n">
        <f aca="false">ROUND(_xlfn.PERCENTRANK.INC($E$7:$E$4378,E968)*9,0)</f>
        <v>8</v>
      </c>
      <c r="I968" s="1" t="str">
        <f aca="false">CONCATENATE(F968,G968,H968)</f>
        <v>388</v>
      </c>
      <c r="J968" s="1" t="str">
        <f aca="false">_xlfn.IFS(AND(F968&gt;=8,G968&gt;=8,H968&gt;=8),"CHAMPION",AND(F968&gt;=6,G968&gt;=7,H968&gt;=6),"LOYAL CUSTOMER",AND(F968&gt;=6,G968&gt;=5,H968&gt;=5),"POTENTIAL LOYALIST",AND(F968&gt;=8,G968&lt;=2,H968&gt;=5),"NEW CUSTOMERS",AND(F968&gt;=6,G968&lt;=2,H968&gt;=3),"PROMISING",AND(F968&gt;=3,G968&gt;=3,H968&gt;=3),"NEED ATTENTION",AND(F968&lt;=4,G968&gt;=6,H968&gt;=6),"AT RISK",AND(F968&lt;=2,G968&gt;=8,H968&gt;=8),"CAN'T LOSE THEM",AND(F968&lt;=2,G968&lt;=2,H968&lt;=2),"HIBERNATING",TRUE(),"Other")</f>
        <v>NEED ATTENTION</v>
      </c>
      <c r="K968" s="1" t="n">
        <f aca="false">RANK(E968,$E$7:$E$4378)+COUNTIF($E$7:E968,E968)-1</f>
        <v>535</v>
      </c>
    </row>
    <row r="969" customFormat="false" ht="14.25" hidden="false" customHeight="true" outlineLevel="0" collapsed="false">
      <c r="A969" s="51" t="n">
        <v>13632</v>
      </c>
      <c r="B969" s="53" t="n">
        <v>40862.4520833333</v>
      </c>
      <c r="C969" s="57" t="n">
        <f aca="false">INT($C$2)-INT(Table3[[#This Row],[Last Purchase Date]])</f>
        <v>25</v>
      </c>
      <c r="D969" s="1" t="n">
        <v>6</v>
      </c>
      <c r="E969" s="1" t="n">
        <v>2117.02</v>
      </c>
      <c r="F969" s="1" t="n">
        <f aca="false">ROUND((1-_xlfn.PERCENTRANK.INC($C$7:$C$4378,C969))*9,0)</f>
        <v>6</v>
      </c>
      <c r="G969" s="1" t="n">
        <f aca="false">ROUND(_xlfn.PERCENTRANK.INC($D$7:$D$4378,D969)*9,0)</f>
        <v>7</v>
      </c>
      <c r="H969" s="1" t="n">
        <f aca="false">ROUND(_xlfn.PERCENTRANK.INC($E$7:$E$4378,E969)*9,0)</f>
        <v>7</v>
      </c>
      <c r="I969" s="1" t="str">
        <f aca="false">CONCATENATE(F969,G969,H969)</f>
        <v>677</v>
      </c>
      <c r="J969" s="1" t="str">
        <f aca="false">_xlfn.IFS(AND(F969&gt;=8,G969&gt;=8,H969&gt;=8),"CHAMPION",AND(F969&gt;=6,G969&gt;=7,H969&gt;=6),"LOYAL CUSTOMER",AND(F969&gt;=6,G969&gt;=5,H969&gt;=5),"POTENTIAL LOYALIST",AND(F969&gt;=8,G969&lt;=2,H969&gt;=5),"NEW CUSTOMERS",AND(F969&gt;=6,G969&lt;=2,H969&gt;=3),"PROMISING",AND(F969&gt;=3,G969&gt;=3,H969&gt;=3),"NEED ATTENTION",AND(F969&lt;=4,G969&gt;=6,H969&gt;=6),"AT RISK",AND(F969&lt;=2,G969&gt;=8,H969&gt;=8),"CAN'T LOSE THEM",AND(F969&lt;=2,G969&lt;=2,H969&lt;=2),"HIBERNATING",TRUE(),"Other")</f>
        <v>LOYAL CUSTOMER</v>
      </c>
      <c r="K969" s="1" t="n">
        <f aca="false">RANK(E969,$E$7:$E$4378)+COUNTIF($E$7:E969,E969)-1</f>
        <v>817</v>
      </c>
    </row>
    <row r="970" customFormat="false" ht="14.25" hidden="false" customHeight="true" outlineLevel="0" collapsed="false">
      <c r="A970" s="51" t="n">
        <v>13634</v>
      </c>
      <c r="B970" s="53" t="n">
        <v>40853.5694444445</v>
      </c>
      <c r="C970" s="57" t="n">
        <f aca="false">INT($C$2)-INT(Table3[[#This Row],[Last Purchase Date]])</f>
        <v>34</v>
      </c>
      <c r="D970" s="1" t="n">
        <v>5</v>
      </c>
      <c r="E970" s="1" t="n">
        <v>1575.16</v>
      </c>
      <c r="F970" s="1" t="n">
        <f aca="false">ROUND((1-_xlfn.PERCENTRANK.INC($C$7:$C$4378,C970))*9,0)</f>
        <v>5</v>
      </c>
      <c r="G970" s="1" t="n">
        <f aca="false">ROUND(_xlfn.PERCENTRANK.INC($D$7:$D$4378,D970)*9,0)</f>
        <v>6</v>
      </c>
      <c r="H970" s="1" t="n">
        <f aca="false">ROUND(_xlfn.PERCENTRANK.INC($E$7:$E$4378,E970)*9,0)</f>
        <v>7</v>
      </c>
      <c r="I970" s="1" t="str">
        <f aca="false">CONCATENATE(F970,G970,H970)</f>
        <v>567</v>
      </c>
      <c r="J970" s="1" t="str">
        <f aca="false">_xlfn.IFS(AND(F970&gt;=8,G970&gt;=8,H970&gt;=8),"CHAMPION",AND(F970&gt;=6,G970&gt;=7,H970&gt;=6),"LOYAL CUSTOMER",AND(F970&gt;=6,G970&gt;=5,H970&gt;=5),"POTENTIAL LOYALIST",AND(F970&gt;=8,G970&lt;=2,H970&gt;=5),"NEW CUSTOMERS",AND(F970&gt;=6,G970&lt;=2,H970&gt;=3),"PROMISING",AND(F970&gt;=3,G970&gt;=3,H970&gt;=3),"NEED ATTENTION",AND(F970&lt;=4,G970&gt;=6,H970&gt;=6),"AT RISK",AND(F970&lt;=2,G970&gt;=8,H970&gt;=8),"CAN'T LOSE THEM",AND(F970&lt;=2,G970&lt;=2,H970&lt;=2),"HIBERNATING",TRUE(),"Other")</f>
        <v>NEED ATTENTION</v>
      </c>
      <c r="K970" s="1" t="n">
        <f aca="false">RANK(E970,$E$7:$E$4378)+COUNTIF($E$7:E970,E970)-1</f>
        <v>1112</v>
      </c>
    </row>
    <row r="971" customFormat="false" ht="14.25" hidden="false" customHeight="true" outlineLevel="0" collapsed="false">
      <c r="A971" s="51" t="n">
        <v>13635</v>
      </c>
      <c r="B971" s="53" t="n">
        <v>40819.4548611111</v>
      </c>
      <c r="C971" s="57" t="n">
        <f aca="false">INT($C$2)-INT(Table3[[#This Row],[Last Purchase Date]])</f>
        <v>68</v>
      </c>
      <c r="D971" s="1" t="n">
        <v>1</v>
      </c>
      <c r="E971" s="1" t="n">
        <v>1071.03</v>
      </c>
      <c r="F971" s="1" t="n">
        <f aca="false">ROUND((1-_xlfn.PERCENTRANK.INC($C$7:$C$4378,C971))*9,0)</f>
        <v>4</v>
      </c>
      <c r="G971" s="1" t="n">
        <f aca="false">ROUND(_xlfn.PERCENTRANK.INC($D$7:$D$4378,D971)*9,0)</f>
        <v>0</v>
      </c>
      <c r="H971" s="1" t="n">
        <f aca="false">ROUND(_xlfn.PERCENTRANK.INC($E$7:$E$4378,E971)*9,0)</f>
        <v>6</v>
      </c>
      <c r="I971" s="1" t="str">
        <f aca="false">CONCATENATE(F971,G971,H971)</f>
        <v>406</v>
      </c>
      <c r="J971" s="1" t="str">
        <f aca="false">_xlfn.IFS(AND(F971&gt;=8,G971&gt;=8,H971&gt;=8),"CHAMPION",AND(F971&gt;=6,G971&gt;=7,H971&gt;=6),"LOYAL CUSTOMER",AND(F971&gt;=6,G971&gt;=5,H971&gt;=5),"POTENTIAL LOYALIST",AND(F971&gt;=8,G971&lt;=2,H971&gt;=5),"NEW CUSTOMERS",AND(F971&gt;=6,G971&lt;=2,H971&gt;=3),"PROMISING",AND(F971&gt;=3,G971&gt;=3,H971&gt;=3),"NEED ATTENTION",AND(F971&lt;=4,G971&gt;=6,H971&gt;=6),"AT RISK",AND(F971&lt;=2,G971&gt;=8,H971&gt;=8),"CAN'T LOSE THEM",AND(F971&lt;=2,G971&lt;=2,H971&lt;=2),"HIBERNATING",TRUE(),"Other")</f>
        <v>Other</v>
      </c>
      <c r="K971" s="1" t="n">
        <f aca="false">RANK(E971,$E$7:$E$4378)+COUNTIF($E$7:E971,E971)-1</f>
        <v>1536</v>
      </c>
    </row>
    <row r="972" customFormat="false" ht="14.25" hidden="false" customHeight="true" outlineLevel="0" collapsed="false">
      <c r="A972" s="51" t="n">
        <v>13636</v>
      </c>
      <c r="B972" s="53" t="n">
        <v>40850.4375</v>
      </c>
      <c r="C972" s="57" t="n">
        <f aca="false">INT($C$2)-INT(Table3[[#This Row],[Last Purchase Date]])</f>
        <v>37</v>
      </c>
      <c r="D972" s="1" t="n">
        <v>6</v>
      </c>
      <c r="E972" s="1" t="n">
        <v>941.62</v>
      </c>
      <c r="F972" s="1" t="n">
        <f aca="false">ROUND((1-_xlfn.PERCENTRANK.INC($C$7:$C$4378,C972))*9,0)</f>
        <v>5</v>
      </c>
      <c r="G972" s="1" t="n">
        <f aca="false">ROUND(_xlfn.PERCENTRANK.INC($D$7:$D$4378,D972)*9,0)</f>
        <v>7</v>
      </c>
      <c r="H972" s="1" t="n">
        <f aca="false">ROUND(_xlfn.PERCENTRANK.INC($E$7:$E$4378,E972)*9,0)</f>
        <v>5</v>
      </c>
      <c r="I972" s="1" t="str">
        <f aca="false">CONCATENATE(F972,G972,H972)</f>
        <v>575</v>
      </c>
      <c r="J972" s="1" t="str">
        <f aca="false">_xlfn.IFS(AND(F972&gt;=8,G972&gt;=8,H972&gt;=8),"CHAMPION",AND(F972&gt;=6,G972&gt;=7,H972&gt;=6),"LOYAL CUSTOMER",AND(F972&gt;=6,G972&gt;=5,H972&gt;=5),"POTENTIAL LOYALIST",AND(F972&gt;=8,G972&lt;=2,H972&gt;=5),"NEW CUSTOMERS",AND(F972&gt;=6,G972&lt;=2,H972&gt;=3),"PROMISING",AND(F972&gt;=3,G972&gt;=3,H972&gt;=3),"NEED ATTENTION",AND(F972&lt;=4,G972&gt;=6,H972&gt;=6),"AT RISK",AND(F972&lt;=2,G972&gt;=8,H972&gt;=8),"CAN'T LOSE THEM",AND(F972&lt;=2,G972&lt;=2,H972&lt;=2),"HIBERNATING",TRUE(),"Other")</f>
        <v>NEED ATTENTION</v>
      </c>
      <c r="K972" s="1" t="n">
        <f aca="false">RANK(E972,$E$7:$E$4378)+COUNTIF($E$7:E972,E972)-1</f>
        <v>1706</v>
      </c>
    </row>
    <row r="973" customFormat="false" ht="14.25" hidden="false" customHeight="true" outlineLevel="0" collapsed="false">
      <c r="A973" s="51" t="n">
        <v>13637</v>
      </c>
      <c r="B973" s="53" t="n">
        <v>40834.5638888889</v>
      </c>
      <c r="C973" s="57" t="n">
        <f aca="false">INT($C$2)-INT(Table3[[#This Row],[Last Purchase Date]])</f>
        <v>53</v>
      </c>
      <c r="D973" s="1" t="n">
        <v>3</v>
      </c>
      <c r="E973" s="1" t="n">
        <v>810.5</v>
      </c>
      <c r="F973" s="1" t="n">
        <f aca="false">ROUND((1-_xlfn.PERCENTRANK.INC($C$7:$C$4378,C973))*9,0)</f>
        <v>4</v>
      </c>
      <c r="G973" s="1" t="n">
        <f aca="false">ROUND(_xlfn.PERCENTRANK.INC($D$7:$D$4378,D973)*9,0)</f>
        <v>4</v>
      </c>
      <c r="H973" s="1" t="n">
        <f aca="false">ROUND(_xlfn.PERCENTRANK.INC($E$7:$E$4378,E973)*9,0)</f>
        <v>5</v>
      </c>
      <c r="I973" s="1" t="str">
        <f aca="false">CONCATENATE(F973,G973,H973)</f>
        <v>445</v>
      </c>
      <c r="J973" s="1" t="str">
        <f aca="false">_xlfn.IFS(AND(F973&gt;=8,G973&gt;=8,H973&gt;=8),"CHAMPION",AND(F973&gt;=6,G973&gt;=7,H973&gt;=6),"LOYAL CUSTOMER",AND(F973&gt;=6,G973&gt;=5,H973&gt;=5),"POTENTIAL LOYALIST",AND(F973&gt;=8,G973&lt;=2,H973&gt;=5),"NEW CUSTOMERS",AND(F973&gt;=6,G973&lt;=2,H973&gt;=3),"PROMISING",AND(F973&gt;=3,G973&gt;=3,H973&gt;=3),"NEED ATTENTION",AND(F973&lt;=4,G973&gt;=6,H973&gt;=6),"AT RISK",AND(F973&lt;=2,G973&gt;=8,H973&gt;=8),"CAN'T LOSE THEM",AND(F973&lt;=2,G973&lt;=2,H973&lt;=2),"HIBERNATING",TRUE(),"Other")</f>
        <v>NEED ATTENTION</v>
      </c>
      <c r="K973" s="1" t="n">
        <f aca="false">RANK(E973,$E$7:$E$4378)+COUNTIF($E$7:E973,E973)-1</f>
        <v>1884</v>
      </c>
    </row>
    <row r="974" customFormat="false" ht="14.25" hidden="false" customHeight="true" outlineLevel="0" collapsed="false">
      <c r="A974" s="51" t="n">
        <v>13638</v>
      </c>
      <c r="B974" s="53" t="n">
        <v>40871.4430555556</v>
      </c>
      <c r="C974" s="57" t="n">
        <f aca="false">INT($C$2)-INT(Table3[[#This Row],[Last Purchase Date]])</f>
        <v>16</v>
      </c>
      <c r="D974" s="1" t="n">
        <v>1</v>
      </c>
      <c r="E974" s="1" t="n">
        <v>122.64</v>
      </c>
      <c r="F974" s="1" t="n">
        <f aca="false">ROUND((1-_xlfn.PERCENTRANK.INC($C$7:$C$4378,C974))*9,0)</f>
        <v>7</v>
      </c>
      <c r="G974" s="1" t="n">
        <f aca="false">ROUND(_xlfn.PERCENTRANK.INC($D$7:$D$4378,D974)*9,0)</f>
        <v>0</v>
      </c>
      <c r="H974" s="1" t="n">
        <f aca="false">ROUND(_xlfn.PERCENTRANK.INC($E$7:$E$4378,E974)*9,0)</f>
        <v>1</v>
      </c>
      <c r="I974" s="1" t="str">
        <f aca="false">CONCATENATE(F974,G974,H974)</f>
        <v>701</v>
      </c>
      <c r="J974" s="1" t="str">
        <f aca="false">_xlfn.IFS(AND(F974&gt;=8,G974&gt;=8,H974&gt;=8),"CHAMPION",AND(F974&gt;=6,G974&gt;=7,H974&gt;=6),"LOYAL CUSTOMER",AND(F974&gt;=6,G974&gt;=5,H974&gt;=5),"POTENTIAL LOYALIST",AND(F974&gt;=8,G974&lt;=2,H974&gt;=5),"NEW CUSTOMERS",AND(F974&gt;=6,G974&lt;=2,H974&gt;=3),"PROMISING",AND(F974&gt;=3,G974&gt;=3,H974&gt;=3),"NEED ATTENTION",AND(F974&lt;=4,G974&gt;=6,H974&gt;=6),"AT RISK",AND(F974&lt;=2,G974&gt;=8,H974&gt;=8),"CAN'T LOSE THEM",AND(F974&lt;=2,G974&lt;=2,H974&lt;=2),"HIBERNATING",TRUE(),"Other")</f>
        <v>Other</v>
      </c>
      <c r="K974" s="1" t="n">
        <f aca="false">RANK(E974,$E$7:$E$4378)+COUNTIF($E$7:E974,E974)-1</f>
        <v>4038</v>
      </c>
    </row>
    <row r="975" customFormat="false" ht="14.25" hidden="false" customHeight="true" outlineLevel="0" collapsed="false">
      <c r="A975" s="51" t="n">
        <v>13639</v>
      </c>
      <c r="B975" s="53" t="n">
        <v>40812.5666666667</v>
      </c>
      <c r="C975" s="57" t="n">
        <f aca="false">INT($C$2)-INT(Table3[[#This Row],[Last Purchase Date]])</f>
        <v>75</v>
      </c>
      <c r="D975" s="1" t="n">
        <v>1</v>
      </c>
      <c r="E975" s="1" t="n">
        <v>1033.34</v>
      </c>
      <c r="F975" s="1" t="n">
        <f aca="false">ROUND((1-_xlfn.PERCENTRANK.INC($C$7:$C$4378,C975))*9,0)</f>
        <v>3</v>
      </c>
      <c r="G975" s="1" t="n">
        <f aca="false">ROUND(_xlfn.PERCENTRANK.INC($D$7:$D$4378,D975)*9,0)</f>
        <v>0</v>
      </c>
      <c r="H975" s="1" t="n">
        <f aca="false">ROUND(_xlfn.PERCENTRANK.INC($E$7:$E$4378,E975)*9,0)</f>
        <v>6</v>
      </c>
      <c r="I975" s="1" t="str">
        <f aca="false">CONCATENATE(F975,G975,H975)</f>
        <v>306</v>
      </c>
      <c r="J975" s="1" t="str">
        <f aca="false">_xlfn.IFS(AND(F975&gt;=8,G975&gt;=8,H975&gt;=8),"CHAMPION",AND(F975&gt;=6,G975&gt;=7,H975&gt;=6),"LOYAL CUSTOMER",AND(F975&gt;=6,G975&gt;=5,H975&gt;=5),"POTENTIAL LOYALIST",AND(F975&gt;=8,G975&lt;=2,H975&gt;=5),"NEW CUSTOMERS",AND(F975&gt;=6,G975&lt;=2,H975&gt;=3),"PROMISING",AND(F975&gt;=3,G975&gt;=3,H975&gt;=3),"NEED ATTENTION",AND(F975&lt;=4,G975&gt;=6,H975&gt;=6),"AT RISK",AND(F975&lt;=2,G975&gt;=8,H975&gt;=8),"CAN'T LOSE THEM",AND(F975&lt;=2,G975&lt;=2,H975&lt;=2),"HIBERNATING",TRUE(),"Other")</f>
        <v>Other</v>
      </c>
      <c r="K975" s="1" t="n">
        <f aca="false">RANK(E975,$E$7:$E$4378)+COUNTIF($E$7:E975,E975)-1</f>
        <v>1589</v>
      </c>
    </row>
    <row r="976" customFormat="false" ht="14.25" hidden="false" customHeight="true" outlineLevel="0" collapsed="false">
      <c r="A976" s="51" t="n">
        <v>13642</v>
      </c>
      <c r="B976" s="53" t="n">
        <v>40671.5236111111</v>
      </c>
      <c r="C976" s="57" t="n">
        <f aca="false">INT($C$2)-INT(Table3[[#This Row],[Last Purchase Date]])</f>
        <v>216</v>
      </c>
      <c r="D976" s="1" t="n">
        <v>1</v>
      </c>
      <c r="E976" s="1" t="n">
        <v>354.8</v>
      </c>
      <c r="F976" s="1" t="n">
        <f aca="false">ROUND((1-_xlfn.PERCENTRANK.INC($C$7:$C$4378,C976))*9,0)</f>
        <v>1</v>
      </c>
      <c r="G976" s="1" t="n">
        <f aca="false">ROUND(_xlfn.PERCENTRANK.INC($D$7:$D$4378,D976)*9,0)</f>
        <v>0</v>
      </c>
      <c r="H976" s="1" t="n">
        <f aca="false">ROUND(_xlfn.PERCENTRANK.INC($E$7:$E$4378,E976)*9,0)</f>
        <v>3</v>
      </c>
      <c r="I976" s="1" t="str">
        <f aca="false">CONCATENATE(F976,G976,H976)</f>
        <v>103</v>
      </c>
      <c r="J976" s="1" t="str">
        <f aca="false">_xlfn.IFS(AND(F976&gt;=8,G976&gt;=8,H976&gt;=8),"CHAMPION",AND(F976&gt;=6,G976&gt;=7,H976&gt;=6),"LOYAL CUSTOMER",AND(F976&gt;=6,G976&gt;=5,H976&gt;=5),"POTENTIAL LOYALIST",AND(F976&gt;=8,G976&lt;=2,H976&gt;=5),"NEW CUSTOMERS",AND(F976&gt;=6,G976&lt;=2,H976&gt;=3),"PROMISING",AND(F976&gt;=3,G976&gt;=3,H976&gt;=3),"NEED ATTENTION",AND(F976&lt;=4,G976&gt;=6,H976&gt;=6),"AT RISK",AND(F976&lt;=2,G976&gt;=8,H976&gt;=8),"CAN'T LOSE THEM",AND(F976&lt;=2,G976&lt;=2,H976&lt;=2),"HIBERNATING",TRUE(),"Other")</f>
        <v>Other</v>
      </c>
      <c r="K976" s="1" t="n">
        <f aca="false">RANK(E976,$E$7:$E$4378)+COUNTIF($E$7:E976,E976)-1</f>
        <v>2985</v>
      </c>
    </row>
    <row r="977" customFormat="false" ht="14.25" hidden="false" customHeight="true" outlineLevel="0" collapsed="false">
      <c r="A977" s="51" t="n">
        <v>13643</v>
      </c>
      <c r="B977" s="53" t="n">
        <v>40855.6506944444</v>
      </c>
      <c r="C977" s="57" t="n">
        <f aca="false">INT($C$2)-INT(Table3[[#This Row],[Last Purchase Date]])</f>
        <v>32</v>
      </c>
      <c r="D977" s="1" t="n">
        <v>3</v>
      </c>
      <c r="E977" s="1" t="n">
        <v>519.44</v>
      </c>
      <c r="F977" s="1" t="n">
        <f aca="false">ROUND((1-_xlfn.PERCENTRANK.INC($C$7:$C$4378,C977))*9,0)</f>
        <v>5</v>
      </c>
      <c r="G977" s="1" t="n">
        <f aca="false">ROUND(_xlfn.PERCENTRANK.INC($D$7:$D$4378,D977)*9,0)</f>
        <v>4</v>
      </c>
      <c r="H977" s="1" t="n">
        <f aca="false">ROUND(_xlfn.PERCENTRANK.INC($E$7:$E$4378,E977)*9,0)</f>
        <v>4</v>
      </c>
      <c r="I977" s="1" t="str">
        <f aca="false">CONCATENATE(F977,G977,H977)</f>
        <v>544</v>
      </c>
      <c r="J977" s="1" t="str">
        <f aca="false">_xlfn.IFS(AND(F977&gt;=8,G977&gt;=8,H977&gt;=8),"CHAMPION",AND(F977&gt;=6,G977&gt;=7,H977&gt;=6),"LOYAL CUSTOMER",AND(F977&gt;=6,G977&gt;=5,H977&gt;=5),"POTENTIAL LOYALIST",AND(F977&gt;=8,G977&lt;=2,H977&gt;=5),"NEW CUSTOMERS",AND(F977&gt;=6,G977&lt;=2,H977&gt;=3),"PROMISING",AND(F977&gt;=3,G977&gt;=3,H977&gt;=3),"NEED ATTENTION",AND(F977&lt;=4,G977&gt;=6,H977&gt;=6),"AT RISK",AND(F977&lt;=2,G977&gt;=8,H977&gt;=8),"CAN'T LOSE THEM",AND(F977&lt;=2,G977&lt;=2,H977&lt;=2),"HIBERNATING",TRUE(),"Other")</f>
        <v>NEED ATTENTION</v>
      </c>
      <c r="K977" s="1" t="n">
        <f aca="false">RANK(E977,$E$7:$E$4378)+COUNTIF($E$7:E977,E977)-1</f>
        <v>2499</v>
      </c>
    </row>
    <row r="978" customFormat="false" ht="14.25" hidden="false" customHeight="true" outlineLevel="0" collapsed="false">
      <c r="A978" s="51" t="n">
        <v>13644</v>
      </c>
      <c r="B978" s="53" t="n">
        <v>40878.3458333333</v>
      </c>
      <c r="C978" s="57" t="n">
        <f aca="false">INT($C$2)-INT(Table3[[#This Row],[Last Purchase Date]])</f>
        <v>9</v>
      </c>
      <c r="D978" s="1" t="n">
        <v>5</v>
      </c>
      <c r="E978" s="1" t="n">
        <v>2597.52</v>
      </c>
      <c r="F978" s="1" t="n">
        <f aca="false">ROUND((1-_xlfn.PERCENTRANK.INC($C$7:$C$4378,C978))*9,0)</f>
        <v>8</v>
      </c>
      <c r="G978" s="1" t="n">
        <f aca="false">ROUND(_xlfn.PERCENTRANK.INC($D$7:$D$4378,D978)*9,0)</f>
        <v>6</v>
      </c>
      <c r="H978" s="1" t="n">
        <f aca="false">ROUND(_xlfn.PERCENTRANK.INC($E$7:$E$4378,E978)*9,0)</f>
        <v>8</v>
      </c>
      <c r="I978" s="1" t="str">
        <f aca="false">CONCATENATE(F978,G978,H978)</f>
        <v>868</v>
      </c>
      <c r="J978" s="1" t="str">
        <f aca="false">_xlfn.IFS(AND(F978&gt;=8,G978&gt;=8,H978&gt;=8),"CHAMPION",AND(F978&gt;=6,G978&gt;=7,H978&gt;=6),"LOYAL CUSTOMER",AND(F978&gt;=6,G978&gt;=5,H978&gt;=5),"POTENTIAL LOYALIST",AND(F978&gt;=8,G978&lt;=2,H978&gt;=5),"NEW CUSTOMERS",AND(F978&gt;=6,G978&lt;=2,H978&gt;=3),"PROMISING",AND(F978&gt;=3,G978&gt;=3,H978&gt;=3),"NEED ATTENTION",AND(F978&lt;=4,G978&gt;=6,H978&gt;=6),"AT RISK",AND(F978&lt;=2,G978&gt;=8,H978&gt;=8),"CAN'T LOSE THEM",AND(F978&lt;=2,G978&lt;=2,H978&lt;=2),"HIBERNATING",TRUE(),"Other")</f>
        <v>POTENTIAL LOYALIST</v>
      </c>
      <c r="K978" s="1" t="n">
        <f aca="false">RANK(E978,$E$7:$E$4378)+COUNTIF($E$7:E978,E978)-1</f>
        <v>648</v>
      </c>
    </row>
    <row r="979" customFormat="false" ht="14.25" hidden="false" customHeight="true" outlineLevel="0" collapsed="false">
      <c r="A979" s="51" t="n">
        <v>13645</v>
      </c>
      <c r="B979" s="53" t="n">
        <v>40766.6743055556</v>
      </c>
      <c r="C979" s="57" t="n">
        <f aca="false">INT($C$2)-INT(Table3[[#This Row],[Last Purchase Date]])</f>
        <v>121</v>
      </c>
      <c r="D979" s="1" t="n">
        <v>1</v>
      </c>
      <c r="E979" s="1" t="n">
        <v>252.1</v>
      </c>
      <c r="F979" s="1" t="n">
        <f aca="false">ROUND((1-_xlfn.PERCENTRANK.INC($C$7:$C$4378,C979))*9,0)</f>
        <v>3</v>
      </c>
      <c r="G979" s="1" t="n">
        <f aca="false">ROUND(_xlfn.PERCENTRANK.INC($D$7:$D$4378,D979)*9,0)</f>
        <v>0</v>
      </c>
      <c r="H979" s="1" t="n">
        <f aca="false">ROUND(_xlfn.PERCENTRANK.INC($E$7:$E$4378,E979)*9,0)</f>
        <v>2</v>
      </c>
      <c r="I979" s="1" t="str">
        <f aca="false">CONCATENATE(F979,G979,H979)</f>
        <v>302</v>
      </c>
      <c r="J979" s="1" t="str">
        <f aca="false">_xlfn.IFS(AND(F979&gt;=8,G979&gt;=8,H979&gt;=8),"CHAMPION",AND(F979&gt;=6,G979&gt;=7,H979&gt;=6),"LOYAL CUSTOMER",AND(F979&gt;=6,G979&gt;=5,H979&gt;=5),"POTENTIAL LOYALIST",AND(F979&gt;=8,G979&lt;=2,H979&gt;=5),"NEW CUSTOMERS",AND(F979&gt;=6,G979&lt;=2,H979&gt;=3),"PROMISING",AND(F979&gt;=3,G979&gt;=3,H979&gt;=3),"NEED ATTENTION",AND(F979&lt;=4,G979&gt;=6,H979&gt;=6),"AT RISK",AND(F979&lt;=2,G979&gt;=8,H979&gt;=8),"CAN'T LOSE THEM",AND(F979&lt;=2,G979&lt;=2,H979&lt;=2),"HIBERNATING",TRUE(),"Other")</f>
        <v>Other</v>
      </c>
      <c r="K979" s="1" t="n">
        <f aca="false">RANK(E979,$E$7:$E$4378)+COUNTIF($E$7:E979,E979)-1</f>
        <v>3428</v>
      </c>
    </row>
    <row r="980" customFormat="false" ht="14.25" hidden="false" customHeight="true" outlineLevel="0" collapsed="false">
      <c r="A980" s="51" t="n">
        <v>13647</v>
      </c>
      <c r="B980" s="53" t="n">
        <v>40877.5</v>
      </c>
      <c r="C980" s="57" t="n">
        <f aca="false">INT($C$2)-INT(Table3[[#This Row],[Last Purchase Date]])</f>
        <v>10</v>
      </c>
      <c r="D980" s="1" t="n">
        <v>5</v>
      </c>
      <c r="E980" s="1" t="n">
        <v>1670.22</v>
      </c>
      <c r="F980" s="1" t="n">
        <f aca="false">ROUND((1-_xlfn.PERCENTRANK.INC($C$7:$C$4378,C980))*9,0)</f>
        <v>8</v>
      </c>
      <c r="G980" s="1" t="n">
        <f aca="false">ROUND(_xlfn.PERCENTRANK.INC($D$7:$D$4378,D980)*9,0)</f>
        <v>6</v>
      </c>
      <c r="H980" s="1" t="n">
        <f aca="false">ROUND(_xlfn.PERCENTRANK.INC($E$7:$E$4378,E980)*9,0)</f>
        <v>7</v>
      </c>
      <c r="I980" s="1" t="str">
        <f aca="false">CONCATENATE(F980,G980,H980)</f>
        <v>867</v>
      </c>
      <c r="J980" s="1" t="str">
        <f aca="false">_xlfn.IFS(AND(F980&gt;=8,G980&gt;=8,H980&gt;=8),"CHAMPION",AND(F980&gt;=6,G980&gt;=7,H980&gt;=6),"LOYAL CUSTOMER",AND(F980&gt;=6,G980&gt;=5,H980&gt;=5),"POTENTIAL LOYALIST",AND(F980&gt;=8,G980&lt;=2,H980&gt;=5),"NEW CUSTOMERS",AND(F980&gt;=6,G980&lt;=2,H980&gt;=3),"PROMISING",AND(F980&gt;=3,G980&gt;=3,H980&gt;=3),"NEED ATTENTION",AND(F980&lt;=4,G980&gt;=6,H980&gt;=6),"AT RISK",AND(F980&lt;=2,G980&gt;=8,H980&gt;=8),"CAN'T LOSE THEM",AND(F980&lt;=2,G980&lt;=2,H980&lt;=2),"HIBERNATING",TRUE(),"Other")</f>
        <v>POTENTIAL LOYALIST</v>
      </c>
      <c r="K980" s="1" t="n">
        <f aca="false">RANK(E980,$E$7:$E$4378)+COUNTIF($E$7:E980,E980)-1</f>
        <v>1056</v>
      </c>
    </row>
    <row r="981" customFormat="false" ht="14.25" hidden="false" customHeight="true" outlineLevel="0" collapsed="false">
      <c r="A981" s="51" t="n">
        <v>13649</v>
      </c>
      <c r="B981" s="53" t="n">
        <v>40630.49375</v>
      </c>
      <c r="C981" s="57" t="n">
        <f aca="false">INT($C$2)-INT(Table3[[#This Row],[Last Purchase Date]])</f>
        <v>257</v>
      </c>
      <c r="D981" s="1" t="n">
        <v>2</v>
      </c>
      <c r="E981" s="1" t="n">
        <v>346.6</v>
      </c>
      <c r="F981" s="1" t="n">
        <f aca="false">ROUND((1-_xlfn.PERCENTRANK.INC($C$7:$C$4378,C981))*9,0)</f>
        <v>1</v>
      </c>
      <c r="G981" s="1" t="n">
        <f aca="false">ROUND(_xlfn.PERCENTRANK.INC($D$7:$D$4378,D981)*9,0)</f>
        <v>3</v>
      </c>
      <c r="H981" s="1" t="n">
        <f aca="false">ROUND(_xlfn.PERCENTRANK.INC($E$7:$E$4378,E981)*9,0)</f>
        <v>3</v>
      </c>
      <c r="I981" s="1" t="str">
        <f aca="false">CONCATENATE(F981,G981,H981)</f>
        <v>133</v>
      </c>
      <c r="J981" s="1" t="str">
        <f aca="false">_xlfn.IFS(AND(F981&gt;=8,G981&gt;=8,H981&gt;=8),"CHAMPION",AND(F981&gt;=6,G981&gt;=7,H981&gt;=6),"LOYAL CUSTOMER",AND(F981&gt;=6,G981&gt;=5,H981&gt;=5),"POTENTIAL LOYALIST",AND(F981&gt;=8,G981&lt;=2,H981&gt;=5),"NEW CUSTOMERS",AND(F981&gt;=6,G981&lt;=2,H981&gt;=3),"PROMISING",AND(F981&gt;=3,G981&gt;=3,H981&gt;=3),"NEED ATTENTION",AND(F981&lt;=4,G981&gt;=6,H981&gt;=6),"AT RISK",AND(F981&lt;=2,G981&gt;=8,H981&gt;=8),"CAN'T LOSE THEM",AND(F981&lt;=2,G981&lt;=2,H981&lt;=2),"HIBERNATING",TRUE(),"Other")</f>
        <v>Other</v>
      </c>
      <c r="K981" s="1" t="n">
        <f aca="false">RANK(E981,$E$7:$E$4378)+COUNTIF($E$7:E981,E981)-1</f>
        <v>3027</v>
      </c>
    </row>
    <row r="982" customFormat="false" ht="14.25" hidden="false" customHeight="true" outlineLevel="0" collapsed="false">
      <c r="A982" s="51" t="n">
        <v>13650</v>
      </c>
      <c r="B982" s="53" t="n">
        <v>40870.5152777778</v>
      </c>
      <c r="C982" s="57" t="n">
        <f aca="false">INT($C$2)-INT(Table3[[#This Row],[Last Purchase Date]])</f>
        <v>17</v>
      </c>
      <c r="D982" s="1" t="n">
        <v>7</v>
      </c>
      <c r="E982" s="1" t="n">
        <v>1809.34</v>
      </c>
      <c r="F982" s="1" t="n">
        <f aca="false">ROUND((1-_xlfn.PERCENTRANK.INC($C$7:$C$4378,C982))*9,0)</f>
        <v>7</v>
      </c>
      <c r="G982" s="1" t="n">
        <f aca="false">ROUND(_xlfn.PERCENTRANK.INC($D$7:$D$4378,D982)*9,0)</f>
        <v>7</v>
      </c>
      <c r="H982" s="1" t="n">
        <f aca="false">ROUND(_xlfn.PERCENTRANK.INC($E$7:$E$4378,E982)*9,0)</f>
        <v>7</v>
      </c>
      <c r="I982" s="1" t="str">
        <f aca="false">CONCATENATE(F982,G982,H982)</f>
        <v>777</v>
      </c>
      <c r="J982" s="1" t="str">
        <f aca="false">_xlfn.IFS(AND(F982&gt;=8,G982&gt;=8,H982&gt;=8),"CHAMPION",AND(F982&gt;=6,G982&gt;=7,H982&gt;=6),"LOYAL CUSTOMER",AND(F982&gt;=6,G982&gt;=5,H982&gt;=5),"POTENTIAL LOYALIST",AND(F982&gt;=8,G982&lt;=2,H982&gt;=5),"NEW CUSTOMERS",AND(F982&gt;=6,G982&lt;=2,H982&gt;=3),"PROMISING",AND(F982&gt;=3,G982&gt;=3,H982&gt;=3),"NEED ATTENTION",AND(F982&lt;=4,G982&gt;=6,H982&gt;=6),"AT RISK",AND(F982&lt;=2,G982&gt;=8,H982&gt;=8),"CAN'T LOSE THEM",AND(F982&lt;=2,G982&lt;=2,H982&lt;=2),"HIBERNATING",TRUE(),"Other")</f>
        <v>LOYAL CUSTOMER</v>
      </c>
      <c r="K982" s="1" t="n">
        <f aca="false">RANK(E982,$E$7:$E$4378)+COUNTIF($E$7:E982,E982)-1</f>
        <v>969</v>
      </c>
    </row>
    <row r="983" customFormat="false" ht="14.25" hidden="false" customHeight="true" outlineLevel="0" collapsed="false">
      <c r="A983" s="51" t="n">
        <v>13651</v>
      </c>
      <c r="B983" s="53" t="n">
        <v>40851.6243055556</v>
      </c>
      <c r="C983" s="57" t="n">
        <f aca="false">INT($C$2)-INT(Table3[[#This Row],[Last Purchase Date]])</f>
        <v>36</v>
      </c>
      <c r="D983" s="1" t="n">
        <v>2</v>
      </c>
      <c r="E983" s="1" t="n">
        <v>94.2</v>
      </c>
      <c r="F983" s="1" t="n">
        <f aca="false">ROUND((1-_xlfn.PERCENTRANK.INC($C$7:$C$4378,C983))*9,0)</f>
        <v>5</v>
      </c>
      <c r="G983" s="1" t="n">
        <f aca="false">ROUND(_xlfn.PERCENTRANK.INC($D$7:$D$4378,D983)*9,0)</f>
        <v>3</v>
      </c>
      <c r="H983" s="1" t="n">
        <f aca="false">ROUND(_xlfn.PERCENTRANK.INC($E$7:$E$4378,E983)*9,0)</f>
        <v>0</v>
      </c>
      <c r="I983" s="1" t="str">
        <f aca="false">CONCATENATE(F983,G983,H983)</f>
        <v>530</v>
      </c>
      <c r="J983" s="1" t="str">
        <f aca="false">_xlfn.IFS(AND(F983&gt;=8,G983&gt;=8,H983&gt;=8),"CHAMPION",AND(F983&gt;=6,G983&gt;=7,H983&gt;=6),"LOYAL CUSTOMER",AND(F983&gt;=6,G983&gt;=5,H983&gt;=5),"POTENTIAL LOYALIST",AND(F983&gt;=8,G983&lt;=2,H983&gt;=5),"NEW CUSTOMERS",AND(F983&gt;=6,G983&lt;=2,H983&gt;=3),"PROMISING",AND(F983&gt;=3,G983&gt;=3,H983&gt;=3),"NEED ATTENTION",AND(F983&lt;=4,G983&gt;=6,H983&gt;=6),"AT RISK",AND(F983&lt;=2,G983&gt;=8,H983&gt;=8),"CAN'T LOSE THEM",AND(F983&lt;=2,G983&lt;=2,H983&lt;=2),"HIBERNATING",TRUE(),"Other")</f>
        <v>Other</v>
      </c>
      <c r="K983" s="1" t="n">
        <f aca="false">RANK(E983,$E$7:$E$4378)+COUNTIF($E$7:E983,E983)-1</f>
        <v>4177</v>
      </c>
    </row>
    <row r="984" customFormat="false" ht="14.25" hidden="false" customHeight="true" outlineLevel="0" collapsed="false">
      <c r="A984" s="51" t="n">
        <v>13652</v>
      </c>
      <c r="B984" s="53" t="n">
        <v>40841.36875</v>
      </c>
      <c r="C984" s="57" t="n">
        <f aca="false">INT($C$2)-INT(Table3[[#This Row],[Last Purchase Date]])</f>
        <v>46</v>
      </c>
      <c r="D984" s="1" t="n">
        <v>3</v>
      </c>
      <c r="E984" s="1" t="n">
        <v>1095.08</v>
      </c>
      <c r="F984" s="1" t="n">
        <f aca="false">ROUND((1-_xlfn.PERCENTRANK.INC($C$7:$C$4378,C984))*9,0)</f>
        <v>5</v>
      </c>
      <c r="G984" s="1" t="n">
        <f aca="false">ROUND(_xlfn.PERCENTRANK.INC($D$7:$D$4378,D984)*9,0)</f>
        <v>4</v>
      </c>
      <c r="H984" s="1" t="n">
        <f aca="false">ROUND(_xlfn.PERCENTRANK.INC($E$7:$E$4378,E984)*9,0)</f>
        <v>6</v>
      </c>
      <c r="I984" s="1" t="str">
        <f aca="false">CONCATENATE(F984,G984,H984)</f>
        <v>546</v>
      </c>
      <c r="J984" s="1" t="str">
        <f aca="false">_xlfn.IFS(AND(F984&gt;=8,G984&gt;=8,H984&gt;=8),"CHAMPION",AND(F984&gt;=6,G984&gt;=7,H984&gt;=6),"LOYAL CUSTOMER",AND(F984&gt;=6,G984&gt;=5,H984&gt;=5),"POTENTIAL LOYALIST",AND(F984&gt;=8,G984&lt;=2,H984&gt;=5),"NEW CUSTOMERS",AND(F984&gt;=6,G984&lt;=2,H984&gt;=3),"PROMISING",AND(F984&gt;=3,G984&gt;=3,H984&gt;=3),"NEED ATTENTION",AND(F984&lt;=4,G984&gt;=6,H984&gt;=6),"AT RISK",AND(F984&lt;=2,G984&gt;=8,H984&gt;=8),"CAN'T LOSE THEM",AND(F984&lt;=2,G984&lt;=2,H984&lt;=2),"HIBERNATING",TRUE(),"Other")</f>
        <v>NEED ATTENTION</v>
      </c>
      <c r="K984" s="1" t="n">
        <f aca="false">RANK(E984,$E$7:$E$4378)+COUNTIF($E$7:E984,E984)-1</f>
        <v>1515</v>
      </c>
    </row>
    <row r="985" customFormat="false" ht="14.25" hidden="false" customHeight="true" outlineLevel="0" collapsed="false">
      <c r="A985" s="51" t="n">
        <v>13654</v>
      </c>
      <c r="B985" s="53" t="n">
        <v>40843.6833333333</v>
      </c>
      <c r="C985" s="57" t="n">
        <f aca="false">INT($C$2)-INT(Table3[[#This Row],[Last Purchase Date]])</f>
        <v>44</v>
      </c>
      <c r="D985" s="1" t="n">
        <v>6</v>
      </c>
      <c r="E985" s="1" t="n">
        <v>2707.33</v>
      </c>
      <c r="F985" s="1" t="n">
        <f aca="false">ROUND((1-_xlfn.PERCENTRANK.INC($C$7:$C$4378,C985))*9,0)</f>
        <v>5</v>
      </c>
      <c r="G985" s="1" t="n">
        <f aca="false">ROUND(_xlfn.PERCENTRANK.INC($D$7:$D$4378,D985)*9,0)</f>
        <v>7</v>
      </c>
      <c r="H985" s="1" t="n">
        <f aca="false">ROUND(_xlfn.PERCENTRANK.INC($E$7:$E$4378,E985)*9,0)</f>
        <v>8</v>
      </c>
      <c r="I985" s="1" t="str">
        <f aca="false">CONCATENATE(F985,G985,H985)</f>
        <v>578</v>
      </c>
      <c r="J985" s="1" t="str">
        <f aca="false">_xlfn.IFS(AND(F985&gt;=8,G985&gt;=8,H985&gt;=8),"CHAMPION",AND(F985&gt;=6,G985&gt;=7,H985&gt;=6),"LOYAL CUSTOMER",AND(F985&gt;=6,G985&gt;=5,H985&gt;=5),"POTENTIAL LOYALIST",AND(F985&gt;=8,G985&lt;=2,H985&gt;=5),"NEW CUSTOMERS",AND(F985&gt;=6,G985&lt;=2,H985&gt;=3),"PROMISING",AND(F985&gt;=3,G985&gt;=3,H985&gt;=3),"NEED ATTENTION",AND(F985&lt;=4,G985&gt;=6,H985&gt;=6),"AT RISK",AND(F985&lt;=2,G985&gt;=8,H985&gt;=8),"CAN'T LOSE THEM",AND(F985&lt;=2,G985&lt;=2,H985&lt;=2),"HIBERNATING",TRUE(),"Other")</f>
        <v>NEED ATTENTION</v>
      </c>
      <c r="K985" s="1" t="n">
        <f aca="false">RANK(E985,$E$7:$E$4378)+COUNTIF($E$7:E985,E985)-1</f>
        <v>614</v>
      </c>
    </row>
    <row r="986" customFormat="false" ht="14.25" hidden="false" customHeight="true" outlineLevel="0" collapsed="false">
      <c r="A986" s="51" t="n">
        <v>13655</v>
      </c>
      <c r="B986" s="53" t="n">
        <v>40772.6006944445</v>
      </c>
      <c r="C986" s="57" t="n">
        <f aca="false">INT($C$2)-INT(Table3[[#This Row],[Last Purchase Date]])</f>
        <v>115</v>
      </c>
      <c r="D986" s="1" t="n">
        <v>2</v>
      </c>
      <c r="E986" s="1" t="n">
        <v>932.97</v>
      </c>
      <c r="F986" s="1" t="n">
        <f aca="false">ROUND((1-_xlfn.PERCENTRANK.INC($C$7:$C$4378,C986))*9,0)</f>
        <v>3</v>
      </c>
      <c r="G986" s="1" t="n">
        <f aca="false">ROUND(_xlfn.PERCENTRANK.INC($D$7:$D$4378,D986)*9,0)</f>
        <v>3</v>
      </c>
      <c r="H986" s="1" t="n">
        <f aca="false">ROUND(_xlfn.PERCENTRANK.INC($E$7:$E$4378,E986)*9,0)</f>
        <v>5</v>
      </c>
      <c r="I986" s="1" t="str">
        <f aca="false">CONCATENATE(F986,G986,H986)</f>
        <v>335</v>
      </c>
      <c r="J986" s="1" t="str">
        <f aca="false">_xlfn.IFS(AND(F986&gt;=8,G986&gt;=8,H986&gt;=8),"CHAMPION",AND(F986&gt;=6,G986&gt;=7,H986&gt;=6),"LOYAL CUSTOMER",AND(F986&gt;=6,G986&gt;=5,H986&gt;=5),"POTENTIAL LOYALIST",AND(F986&gt;=8,G986&lt;=2,H986&gt;=5),"NEW CUSTOMERS",AND(F986&gt;=6,G986&lt;=2,H986&gt;=3),"PROMISING",AND(F986&gt;=3,G986&gt;=3,H986&gt;=3),"NEED ATTENTION",AND(F986&lt;=4,G986&gt;=6,H986&gt;=6),"AT RISK",AND(F986&lt;=2,G986&gt;=8,H986&gt;=8),"CAN'T LOSE THEM",AND(F986&lt;=2,G986&lt;=2,H986&lt;=2),"HIBERNATING",TRUE(),"Other")</f>
        <v>NEED ATTENTION</v>
      </c>
      <c r="K986" s="1" t="n">
        <f aca="false">RANK(E986,$E$7:$E$4378)+COUNTIF($E$7:E986,E986)-1</f>
        <v>1717</v>
      </c>
    </row>
    <row r="987" customFormat="false" ht="14.25" hidden="false" customHeight="true" outlineLevel="0" collapsed="false">
      <c r="A987" s="51" t="n">
        <v>13656</v>
      </c>
      <c r="B987" s="53" t="n">
        <v>40722.4381944445</v>
      </c>
      <c r="C987" s="57" t="n">
        <f aca="false">INT($C$2)-INT(Table3[[#This Row],[Last Purchase Date]])</f>
        <v>165</v>
      </c>
      <c r="D987" s="1" t="n">
        <v>2</v>
      </c>
      <c r="E987" s="1" t="n">
        <v>379.65</v>
      </c>
      <c r="F987" s="1" t="n">
        <f aca="false">ROUND((1-_xlfn.PERCENTRANK.INC($C$7:$C$4378,C987))*9,0)</f>
        <v>2</v>
      </c>
      <c r="G987" s="1" t="n">
        <f aca="false">ROUND(_xlfn.PERCENTRANK.INC($D$7:$D$4378,D987)*9,0)</f>
        <v>3</v>
      </c>
      <c r="H987" s="1" t="n">
        <f aca="false">ROUND(_xlfn.PERCENTRANK.INC($E$7:$E$4378,E987)*9,0)</f>
        <v>3</v>
      </c>
      <c r="I987" s="1" t="str">
        <f aca="false">CONCATENATE(F987,G987,H987)</f>
        <v>233</v>
      </c>
      <c r="J987" s="1" t="str">
        <f aca="false">_xlfn.IFS(AND(F987&gt;=8,G987&gt;=8,H987&gt;=8),"CHAMPION",AND(F987&gt;=6,G987&gt;=7,H987&gt;=6),"LOYAL CUSTOMER",AND(F987&gt;=6,G987&gt;=5,H987&gt;=5),"POTENTIAL LOYALIST",AND(F987&gt;=8,G987&lt;=2,H987&gt;=5),"NEW CUSTOMERS",AND(F987&gt;=6,G987&lt;=2,H987&gt;=3),"PROMISING",AND(F987&gt;=3,G987&gt;=3,H987&gt;=3),"NEED ATTENTION",AND(F987&lt;=4,G987&gt;=6,H987&gt;=6),"AT RISK",AND(F987&lt;=2,G987&gt;=8,H987&gt;=8),"CAN'T LOSE THEM",AND(F987&lt;=2,G987&lt;=2,H987&lt;=2),"HIBERNATING",TRUE(),"Other")</f>
        <v>Other</v>
      </c>
      <c r="K987" s="1" t="n">
        <f aca="false">RANK(E987,$E$7:$E$4378)+COUNTIF($E$7:E987,E987)-1</f>
        <v>2897</v>
      </c>
    </row>
    <row r="988" customFormat="false" ht="14.25" hidden="false" customHeight="true" outlineLevel="0" collapsed="false">
      <c r="A988" s="51" t="n">
        <v>13657</v>
      </c>
      <c r="B988" s="53" t="n">
        <v>40876.5222222222</v>
      </c>
      <c r="C988" s="57" t="n">
        <f aca="false">INT($C$2)-INT(Table3[[#This Row],[Last Purchase Date]])</f>
        <v>11</v>
      </c>
      <c r="D988" s="1" t="n">
        <v>2</v>
      </c>
      <c r="E988" s="1" t="n">
        <v>382.14</v>
      </c>
      <c r="F988" s="1" t="n">
        <f aca="false">ROUND((1-_xlfn.PERCENTRANK.INC($C$7:$C$4378,C988))*9,0)</f>
        <v>7</v>
      </c>
      <c r="G988" s="1" t="n">
        <f aca="false">ROUND(_xlfn.PERCENTRANK.INC($D$7:$D$4378,D988)*9,0)</f>
        <v>3</v>
      </c>
      <c r="H988" s="1" t="n">
        <f aca="false">ROUND(_xlfn.PERCENTRANK.INC($E$7:$E$4378,E988)*9,0)</f>
        <v>3</v>
      </c>
      <c r="I988" s="1" t="str">
        <f aca="false">CONCATENATE(F988,G988,H988)</f>
        <v>733</v>
      </c>
      <c r="J988" s="1" t="str">
        <f aca="false">_xlfn.IFS(AND(F988&gt;=8,G988&gt;=8,H988&gt;=8),"CHAMPION",AND(F988&gt;=6,G988&gt;=7,H988&gt;=6),"LOYAL CUSTOMER",AND(F988&gt;=6,G988&gt;=5,H988&gt;=5),"POTENTIAL LOYALIST",AND(F988&gt;=8,G988&lt;=2,H988&gt;=5),"NEW CUSTOMERS",AND(F988&gt;=6,G988&lt;=2,H988&gt;=3),"PROMISING",AND(F988&gt;=3,G988&gt;=3,H988&gt;=3),"NEED ATTENTION",AND(F988&lt;=4,G988&gt;=6,H988&gt;=6),"AT RISK",AND(F988&lt;=2,G988&gt;=8,H988&gt;=8),"CAN'T LOSE THEM",AND(F988&lt;=2,G988&lt;=2,H988&lt;=2),"HIBERNATING",TRUE(),"Other")</f>
        <v>NEED ATTENTION</v>
      </c>
      <c r="K988" s="1" t="n">
        <f aca="false">RANK(E988,$E$7:$E$4378)+COUNTIF($E$7:E988,E988)-1</f>
        <v>2880</v>
      </c>
    </row>
    <row r="989" customFormat="false" ht="14.25" hidden="false" customHeight="true" outlineLevel="0" collapsed="false">
      <c r="A989" s="51" t="n">
        <v>13658</v>
      </c>
      <c r="B989" s="53" t="n">
        <v>40877.4256944444</v>
      </c>
      <c r="C989" s="57" t="n">
        <f aca="false">INT($C$2)-INT(Table3[[#This Row],[Last Purchase Date]])</f>
        <v>10</v>
      </c>
      <c r="D989" s="1" t="n">
        <v>7</v>
      </c>
      <c r="E989" s="1" t="n">
        <v>2421.47</v>
      </c>
      <c r="F989" s="1" t="n">
        <f aca="false">ROUND((1-_xlfn.PERCENTRANK.INC($C$7:$C$4378,C989))*9,0)</f>
        <v>8</v>
      </c>
      <c r="G989" s="1" t="n">
        <f aca="false">ROUND(_xlfn.PERCENTRANK.INC($D$7:$D$4378,D989)*9,0)</f>
        <v>7</v>
      </c>
      <c r="H989" s="1" t="n">
        <f aca="false">ROUND(_xlfn.PERCENTRANK.INC($E$7:$E$4378,E989)*9,0)</f>
        <v>8</v>
      </c>
      <c r="I989" s="1" t="str">
        <f aca="false">CONCATENATE(F989,G989,H989)</f>
        <v>878</v>
      </c>
      <c r="J989" s="1" t="str">
        <f aca="false">_xlfn.IFS(AND(F989&gt;=8,G989&gt;=8,H989&gt;=8),"CHAMPION",AND(F989&gt;=6,G989&gt;=7,H989&gt;=6),"LOYAL CUSTOMER",AND(F989&gt;=6,G989&gt;=5,H989&gt;=5),"POTENTIAL LOYALIST",AND(F989&gt;=8,G989&lt;=2,H989&gt;=5),"NEW CUSTOMERS",AND(F989&gt;=6,G989&lt;=2,H989&gt;=3),"PROMISING",AND(F989&gt;=3,G989&gt;=3,H989&gt;=3),"NEED ATTENTION",AND(F989&lt;=4,G989&gt;=6,H989&gt;=6),"AT RISK",AND(F989&lt;=2,G989&gt;=8,H989&gt;=8),"CAN'T LOSE THEM",AND(F989&lt;=2,G989&lt;=2,H989&lt;=2),"HIBERNATING",TRUE(),"Other")</f>
        <v>LOYAL CUSTOMER</v>
      </c>
      <c r="K989" s="1" t="n">
        <f aca="false">RANK(E989,$E$7:$E$4378)+COUNTIF($E$7:E989,E989)-1</f>
        <v>706</v>
      </c>
    </row>
    <row r="990" customFormat="false" ht="14.25" hidden="false" customHeight="true" outlineLevel="0" collapsed="false">
      <c r="A990" s="51" t="n">
        <v>13659</v>
      </c>
      <c r="B990" s="53" t="n">
        <v>40689.8305555556</v>
      </c>
      <c r="C990" s="57" t="n">
        <f aca="false">INT($C$2)-INT(Table3[[#This Row],[Last Purchase Date]])</f>
        <v>198</v>
      </c>
      <c r="D990" s="1" t="n">
        <v>3</v>
      </c>
      <c r="E990" s="1" t="n">
        <v>1550.85</v>
      </c>
      <c r="F990" s="1" t="n">
        <f aca="false">ROUND((1-_xlfn.PERCENTRANK.INC($C$7:$C$4378,C990))*9,0)</f>
        <v>2</v>
      </c>
      <c r="G990" s="1" t="n">
        <f aca="false">ROUND(_xlfn.PERCENTRANK.INC($D$7:$D$4378,D990)*9,0)</f>
        <v>4</v>
      </c>
      <c r="H990" s="1" t="n">
        <f aca="false">ROUND(_xlfn.PERCENTRANK.INC($E$7:$E$4378,E990)*9,0)</f>
        <v>7</v>
      </c>
      <c r="I990" s="1" t="str">
        <f aca="false">CONCATENATE(F990,G990,H990)</f>
        <v>247</v>
      </c>
      <c r="J990" s="1" t="str">
        <f aca="false">_xlfn.IFS(AND(F990&gt;=8,G990&gt;=8,H990&gt;=8),"CHAMPION",AND(F990&gt;=6,G990&gt;=7,H990&gt;=6),"LOYAL CUSTOMER",AND(F990&gt;=6,G990&gt;=5,H990&gt;=5),"POTENTIAL LOYALIST",AND(F990&gt;=8,G990&lt;=2,H990&gt;=5),"NEW CUSTOMERS",AND(F990&gt;=6,G990&lt;=2,H990&gt;=3),"PROMISING",AND(F990&gt;=3,G990&gt;=3,H990&gt;=3),"NEED ATTENTION",AND(F990&lt;=4,G990&gt;=6,H990&gt;=6),"AT RISK",AND(F990&lt;=2,G990&gt;=8,H990&gt;=8),"CAN'T LOSE THEM",AND(F990&lt;=2,G990&lt;=2,H990&lt;=2),"HIBERNATING",TRUE(),"Other")</f>
        <v>Other</v>
      </c>
      <c r="K990" s="1" t="n">
        <f aca="false">RANK(E990,$E$7:$E$4378)+COUNTIF($E$7:E990,E990)-1</f>
        <v>1126</v>
      </c>
    </row>
    <row r="991" customFormat="false" ht="14.25" hidden="false" customHeight="true" outlineLevel="0" collapsed="false">
      <c r="A991" s="51" t="n">
        <v>13662</v>
      </c>
      <c r="B991" s="53" t="n">
        <v>40801.5027777778</v>
      </c>
      <c r="C991" s="57" t="n">
        <f aca="false">INT($C$2)-INT(Table3[[#This Row],[Last Purchase Date]])</f>
        <v>86</v>
      </c>
      <c r="D991" s="1" t="n">
        <v>7</v>
      </c>
      <c r="E991" s="1" t="n">
        <v>879.08</v>
      </c>
      <c r="F991" s="1" t="n">
        <f aca="false">ROUND((1-_xlfn.PERCENTRANK.INC($C$7:$C$4378,C991))*9,0)</f>
        <v>3</v>
      </c>
      <c r="G991" s="1" t="n">
        <f aca="false">ROUND(_xlfn.PERCENTRANK.INC($D$7:$D$4378,D991)*9,0)</f>
        <v>7</v>
      </c>
      <c r="H991" s="1" t="n">
        <f aca="false">ROUND(_xlfn.PERCENTRANK.INC($E$7:$E$4378,E991)*9,0)</f>
        <v>5</v>
      </c>
      <c r="I991" s="1" t="str">
        <f aca="false">CONCATENATE(F991,G991,H991)</f>
        <v>375</v>
      </c>
      <c r="J991" s="1" t="str">
        <f aca="false">_xlfn.IFS(AND(F991&gt;=8,G991&gt;=8,H991&gt;=8),"CHAMPION",AND(F991&gt;=6,G991&gt;=7,H991&gt;=6),"LOYAL CUSTOMER",AND(F991&gt;=6,G991&gt;=5,H991&gt;=5),"POTENTIAL LOYALIST",AND(F991&gt;=8,G991&lt;=2,H991&gt;=5),"NEW CUSTOMERS",AND(F991&gt;=6,G991&lt;=2,H991&gt;=3),"PROMISING",AND(F991&gt;=3,G991&gt;=3,H991&gt;=3),"NEED ATTENTION",AND(F991&lt;=4,G991&gt;=6,H991&gt;=6),"AT RISK",AND(F991&lt;=2,G991&gt;=8,H991&gt;=8),"CAN'T LOSE THEM",AND(F991&lt;=2,G991&lt;=2,H991&lt;=2),"HIBERNATING",TRUE(),"Other")</f>
        <v>NEED ATTENTION</v>
      </c>
      <c r="K991" s="1" t="n">
        <f aca="false">RANK(E991,$E$7:$E$4378)+COUNTIF($E$7:E991,E991)-1</f>
        <v>1788</v>
      </c>
    </row>
    <row r="992" customFormat="false" ht="14.25" hidden="false" customHeight="true" outlineLevel="0" collapsed="false">
      <c r="A992" s="51" t="n">
        <v>13663</v>
      </c>
      <c r="B992" s="53" t="n">
        <v>40707.6555555556</v>
      </c>
      <c r="C992" s="57" t="n">
        <f aca="false">INT($C$2)-INT(Table3[[#This Row],[Last Purchase Date]])</f>
        <v>180</v>
      </c>
      <c r="D992" s="1" t="n">
        <v>1</v>
      </c>
      <c r="E992" s="1" t="n">
        <v>189.47</v>
      </c>
      <c r="F992" s="1" t="n">
        <f aca="false">ROUND((1-_xlfn.PERCENTRANK.INC($C$7:$C$4378,C992))*9,0)</f>
        <v>2</v>
      </c>
      <c r="G992" s="1" t="n">
        <f aca="false">ROUND(_xlfn.PERCENTRANK.INC($D$7:$D$4378,D992)*9,0)</f>
        <v>0</v>
      </c>
      <c r="H992" s="1" t="n">
        <f aca="false">ROUND(_xlfn.PERCENTRANK.INC($E$7:$E$4378,E992)*9,0)</f>
        <v>1</v>
      </c>
      <c r="I992" s="1" t="str">
        <f aca="false">CONCATENATE(F992,G992,H992)</f>
        <v>201</v>
      </c>
      <c r="J992" s="1" t="str">
        <f aca="false">_xlfn.IFS(AND(F992&gt;=8,G992&gt;=8,H992&gt;=8),"CHAMPION",AND(F992&gt;=6,G992&gt;=7,H992&gt;=6),"LOYAL CUSTOMER",AND(F992&gt;=6,G992&gt;=5,H992&gt;=5),"POTENTIAL LOYALIST",AND(F992&gt;=8,G992&lt;=2,H992&gt;=5),"NEW CUSTOMERS",AND(F992&gt;=6,G992&lt;=2,H992&gt;=3),"PROMISING",AND(F992&gt;=3,G992&gt;=3,H992&gt;=3),"NEED ATTENTION",AND(F992&lt;=4,G992&gt;=6,H992&gt;=6),"AT RISK",AND(F992&lt;=2,G992&gt;=8,H992&gt;=8),"CAN'T LOSE THEM",AND(F992&lt;=2,G992&lt;=2,H992&lt;=2),"HIBERNATING",TRUE(),"Other")</f>
        <v>HIBERNATING</v>
      </c>
      <c r="K992" s="1" t="n">
        <f aca="false">RANK(E992,$E$7:$E$4378)+COUNTIF($E$7:E992,E992)-1</f>
        <v>3711</v>
      </c>
    </row>
    <row r="993" customFormat="false" ht="14.25" hidden="false" customHeight="true" outlineLevel="0" collapsed="false">
      <c r="A993" s="51" t="n">
        <v>13666</v>
      </c>
      <c r="B993" s="53" t="n">
        <v>40826.6520833333</v>
      </c>
      <c r="C993" s="57" t="n">
        <f aca="false">INT($C$2)-INT(Table3[[#This Row],[Last Purchase Date]])</f>
        <v>61</v>
      </c>
      <c r="D993" s="1" t="n">
        <v>3</v>
      </c>
      <c r="E993" s="1" t="n">
        <v>84.65</v>
      </c>
      <c r="F993" s="1" t="n">
        <f aca="false">ROUND((1-_xlfn.PERCENTRANK.INC($C$7:$C$4378,C993))*9,0)</f>
        <v>4</v>
      </c>
      <c r="G993" s="1" t="n">
        <f aca="false">ROUND(_xlfn.PERCENTRANK.INC($D$7:$D$4378,D993)*9,0)</f>
        <v>4</v>
      </c>
      <c r="H993" s="1" t="n">
        <f aca="false">ROUND(_xlfn.PERCENTRANK.INC($E$7:$E$4378,E993)*9,0)</f>
        <v>0</v>
      </c>
      <c r="I993" s="1" t="str">
        <f aca="false">CONCATENATE(F993,G993,H993)</f>
        <v>440</v>
      </c>
      <c r="J993" s="1" t="str">
        <f aca="false">_xlfn.IFS(AND(F993&gt;=8,G993&gt;=8,H993&gt;=8),"CHAMPION",AND(F993&gt;=6,G993&gt;=7,H993&gt;=6),"LOYAL CUSTOMER",AND(F993&gt;=6,G993&gt;=5,H993&gt;=5),"POTENTIAL LOYALIST",AND(F993&gt;=8,G993&lt;=2,H993&gt;=5),"NEW CUSTOMERS",AND(F993&gt;=6,G993&lt;=2,H993&gt;=3),"PROMISING",AND(F993&gt;=3,G993&gt;=3,H993&gt;=3),"NEED ATTENTION",AND(F993&lt;=4,G993&gt;=6,H993&gt;=6),"AT RISK",AND(F993&lt;=2,G993&gt;=8,H993&gt;=8),"CAN'T LOSE THEM",AND(F993&lt;=2,G993&lt;=2,H993&lt;=2),"HIBERNATING",TRUE(),"Other")</f>
        <v>Other</v>
      </c>
      <c r="K993" s="1" t="n">
        <f aca="false">RANK(E993,$E$7:$E$4378)+COUNTIF($E$7:E993,E993)-1</f>
        <v>4208</v>
      </c>
    </row>
    <row r="994" customFormat="false" ht="14.25" hidden="false" customHeight="true" outlineLevel="0" collapsed="false">
      <c r="A994" s="51" t="n">
        <v>13667</v>
      </c>
      <c r="B994" s="53" t="n">
        <v>40737.6541666667</v>
      </c>
      <c r="C994" s="57" t="n">
        <f aca="false">INT($C$2)-INT(Table3[[#This Row],[Last Purchase Date]])</f>
        <v>150</v>
      </c>
      <c r="D994" s="1" t="n">
        <v>1</v>
      </c>
      <c r="E994" s="1" t="n">
        <v>305.02</v>
      </c>
      <c r="F994" s="1" t="n">
        <f aca="false">ROUND((1-_xlfn.PERCENTRANK.INC($C$7:$C$4378,C994))*9,0)</f>
        <v>2</v>
      </c>
      <c r="G994" s="1" t="n">
        <f aca="false">ROUND(_xlfn.PERCENTRANK.INC($D$7:$D$4378,D994)*9,0)</f>
        <v>0</v>
      </c>
      <c r="H994" s="1" t="n">
        <f aca="false">ROUND(_xlfn.PERCENTRANK.INC($E$7:$E$4378,E994)*9,0)</f>
        <v>2</v>
      </c>
      <c r="I994" s="1" t="str">
        <f aca="false">CONCATENATE(F994,G994,H994)</f>
        <v>202</v>
      </c>
      <c r="J994" s="1" t="str">
        <f aca="false">_xlfn.IFS(AND(F994&gt;=8,G994&gt;=8,H994&gt;=8),"CHAMPION",AND(F994&gt;=6,G994&gt;=7,H994&gt;=6),"LOYAL CUSTOMER",AND(F994&gt;=6,G994&gt;=5,H994&gt;=5),"POTENTIAL LOYALIST",AND(F994&gt;=8,G994&lt;=2,H994&gt;=5),"NEW CUSTOMERS",AND(F994&gt;=6,G994&lt;=2,H994&gt;=3),"PROMISING",AND(F994&gt;=3,G994&gt;=3,H994&gt;=3),"NEED ATTENTION",AND(F994&lt;=4,G994&gt;=6,H994&gt;=6),"AT RISK",AND(F994&lt;=2,G994&gt;=8,H994&gt;=8),"CAN'T LOSE THEM",AND(F994&lt;=2,G994&lt;=2,H994&lt;=2),"HIBERNATING",TRUE(),"Other")</f>
        <v>HIBERNATING</v>
      </c>
      <c r="K994" s="1" t="n">
        <f aca="false">RANK(E994,$E$7:$E$4378)+COUNTIF($E$7:E994,E994)-1</f>
        <v>3227</v>
      </c>
    </row>
    <row r="995" customFormat="false" ht="14.25" hidden="false" customHeight="true" outlineLevel="0" collapsed="false">
      <c r="A995" s="51" t="n">
        <v>13668</v>
      </c>
      <c r="B995" s="53" t="n">
        <v>40884.5097222222</v>
      </c>
      <c r="C995" s="57" t="n">
        <f aca="false">INT($C$2)-INT(Table3[[#This Row],[Last Purchase Date]])</f>
        <v>3</v>
      </c>
      <c r="D995" s="1" t="n">
        <v>29</v>
      </c>
      <c r="E995" s="1" t="n">
        <v>6216.06999999998</v>
      </c>
      <c r="F995" s="1" t="n">
        <f aca="false">ROUND((1-_xlfn.PERCENTRANK.INC($C$7:$C$4378,C995))*9,0)</f>
        <v>9</v>
      </c>
      <c r="G995" s="1" t="n">
        <f aca="false">ROUND(_xlfn.PERCENTRANK.INC($D$7:$D$4378,D995)*9,0)</f>
        <v>9</v>
      </c>
      <c r="H995" s="1" t="n">
        <f aca="false">ROUND(_xlfn.PERCENTRANK.INC($E$7:$E$4378,E995)*9,0)</f>
        <v>9</v>
      </c>
      <c r="I995" s="1" t="str">
        <f aca="false">CONCATENATE(F995,G995,H995)</f>
        <v>999</v>
      </c>
      <c r="J995" s="1" t="str">
        <f aca="false">_xlfn.IFS(AND(F995&gt;=8,G995&gt;=8,H995&gt;=8),"CHAMPION",AND(F995&gt;=6,G995&gt;=7,H995&gt;=6),"LOYAL CUSTOMER",AND(F995&gt;=6,G995&gt;=5,H995&gt;=5),"POTENTIAL LOYALIST",AND(F995&gt;=8,G995&lt;=2,H995&gt;=5),"NEW CUSTOMERS",AND(F995&gt;=6,G995&lt;=2,H995&gt;=3),"PROMISING",AND(F995&gt;=3,G995&gt;=3,H995&gt;=3),"NEED ATTENTION",AND(F995&lt;=4,G995&gt;=6,H995&gt;=6),"AT RISK",AND(F995&lt;=2,G995&gt;=8,H995&gt;=8),"CAN'T LOSE THEM",AND(F995&lt;=2,G995&lt;=2,H995&lt;=2),"HIBERNATING",TRUE(),"Other")</f>
        <v>CHAMPION</v>
      </c>
      <c r="K995" s="1" t="n">
        <f aca="false">RANK(E995,$E$7:$E$4378)+COUNTIF($E$7:E995,E995)-1</f>
        <v>191</v>
      </c>
    </row>
    <row r="996" customFormat="false" ht="14.25" hidden="false" customHeight="true" outlineLevel="0" collapsed="false">
      <c r="A996" s="51" t="n">
        <v>13669</v>
      </c>
      <c r="B996" s="53" t="n">
        <v>40836.3972222222</v>
      </c>
      <c r="C996" s="57" t="n">
        <f aca="false">INT($C$2)-INT(Table3[[#This Row],[Last Purchase Date]])</f>
        <v>51</v>
      </c>
      <c r="D996" s="1" t="n">
        <v>2</v>
      </c>
      <c r="E996" s="1" t="n">
        <v>218.55</v>
      </c>
      <c r="F996" s="1" t="n">
        <f aca="false">ROUND((1-_xlfn.PERCENTRANK.INC($C$7:$C$4378,C996))*9,0)</f>
        <v>5</v>
      </c>
      <c r="G996" s="1" t="n">
        <f aca="false">ROUND(_xlfn.PERCENTRANK.INC($D$7:$D$4378,D996)*9,0)</f>
        <v>3</v>
      </c>
      <c r="H996" s="1" t="n">
        <f aca="false">ROUND(_xlfn.PERCENTRANK.INC($E$7:$E$4378,E996)*9,0)</f>
        <v>2</v>
      </c>
      <c r="I996" s="1" t="str">
        <f aca="false">CONCATENATE(F996,G996,H996)</f>
        <v>532</v>
      </c>
      <c r="J996" s="1" t="str">
        <f aca="false">_xlfn.IFS(AND(F996&gt;=8,G996&gt;=8,H996&gt;=8),"CHAMPION",AND(F996&gt;=6,G996&gt;=7,H996&gt;=6),"LOYAL CUSTOMER",AND(F996&gt;=6,G996&gt;=5,H996&gt;=5),"POTENTIAL LOYALIST",AND(F996&gt;=8,G996&lt;=2,H996&gt;=5),"NEW CUSTOMERS",AND(F996&gt;=6,G996&lt;=2,H996&gt;=3),"PROMISING",AND(F996&gt;=3,G996&gt;=3,H996&gt;=3),"NEED ATTENTION",AND(F996&lt;=4,G996&gt;=6,H996&gt;=6),"AT RISK",AND(F996&lt;=2,G996&gt;=8,H996&gt;=8),"CAN'T LOSE THEM",AND(F996&lt;=2,G996&lt;=2,H996&lt;=2),"HIBERNATING",TRUE(),"Other")</f>
        <v>Other</v>
      </c>
      <c r="K996" s="1" t="n">
        <f aca="false">RANK(E996,$E$7:$E$4378)+COUNTIF($E$7:E996,E996)-1</f>
        <v>3566</v>
      </c>
    </row>
    <row r="997" customFormat="false" ht="14.25" hidden="false" customHeight="true" outlineLevel="0" collapsed="false">
      <c r="A997" s="51" t="n">
        <v>13670</v>
      </c>
      <c r="B997" s="53" t="n">
        <v>40811.6423611111</v>
      </c>
      <c r="C997" s="57" t="n">
        <f aca="false">INT($C$2)-INT(Table3[[#This Row],[Last Purchase Date]])</f>
        <v>76</v>
      </c>
      <c r="D997" s="1" t="n">
        <v>1</v>
      </c>
      <c r="E997" s="1" t="n">
        <v>349.7</v>
      </c>
      <c r="F997" s="1" t="n">
        <f aca="false">ROUND((1-_xlfn.PERCENTRANK.INC($C$7:$C$4378,C997))*9,0)</f>
        <v>3</v>
      </c>
      <c r="G997" s="1" t="n">
        <f aca="false">ROUND(_xlfn.PERCENTRANK.INC($D$7:$D$4378,D997)*9,0)</f>
        <v>0</v>
      </c>
      <c r="H997" s="1" t="n">
        <f aca="false">ROUND(_xlfn.PERCENTRANK.INC($E$7:$E$4378,E997)*9,0)</f>
        <v>3</v>
      </c>
      <c r="I997" s="1" t="str">
        <f aca="false">CONCATENATE(F997,G997,H997)</f>
        <v>303</v>
      </c>
      <c r="J997" s="1" t="str">
        <f aca="false">_xlfn.IFS(AND(F997&gt;=8,G997&gt;=8,H997&gt;=8),"CHAMPION",AND(F997&gt;=6,G997&gt;=7,H997&gt;=6),"LOYAL CUSTOMER",AND(F997&gt;=6,G997&gt;=5,H997&gt;=5),"POTENTIAL LOYALIST",AND(F997&gt;=8,G997&lt;=2,H997&gt;=5),"NEW CUSTOMERS",AND(F997&gt;=6,G997&lt;=2,H997&gt;=3),"PROMISING",AND(F997&gt;=3,G997&gt;=3,H997&gt;=3),"NEED ATTENTION",AND(F997&lt;=4,G997&gt;=6,H997&gt;=6),"AT RISK",AND(F997&lt;=2,G997&gt;=8,H997&gt;=8),"CAN'T LOSE THEM",AND(F997&lt;=2,G997&lt;=2,H997&lt;=2),"HIBERNATING",TRUE(),"Other")</f>
        <v>Other</v>
      </c>
      <c r="K997" s="1" t="n">
        <f aca="false">RANK(E997,$E$7:$E$4378)+COUNTIF($E$7:E997,E997)-1</f>
        <v>3009</v>
      </c>
    </row>
    <row r="998" customFormat="false" ht="14.25" hidden="false" customHeight="true" outlineLevel="0" collapsed="false">
      <c r="A998" s="51" t="n">
        <v>13672</v>
      </c>
      <c r="B998" s="53" t="n">
        <v>40585.5798611111</v>
      </c>
      <c r="C998" s="57" t="n">
        <f aca="false">INT($C$2)-INT(Table3[[#This Row],[Last Purchase Date]])</f>
        <v>302</v>
      </c>
      <c r="D998" s="1" t="n">
        <v>6</v>
      </c>
      <c r="E998" s="1" t="n">
        <v>-71.46</v>
      </c>
      <c r="F998" s="1" t="n">
        <f aca="false">ROUND((1-_xlfn.PERCENTRANK.INC($C$7:$C$4378,C998))*9,0)</f>
        <v>1</v>
      </c>
      <c r="G998" s="1" t="n">
        <f aca="false">ROUND(_xlfn.PERCENTRANK.INC($D$7:$D$4378,D998)*9,0)</f>
        <v>7</v>
      </c>
      <c r="H998" s="1" t="n">
        <f aca="false">ROUND(_xlfn.PERCENTRANK.INC($E$7:$E$4378,E998)*9,0)</f>
        <v>0</v>
      </c>
      <c r="I998" s="1" t="str">
        <f aca="false">CONCATENATE(F998,G998,H998)</f>
        <v>170</v>
      </c>
      <c r="J998" s="1" t="str">
        <f aca="false">_xlfn.IFS(AND(F998&gt;=8,G998&gt;=8,H998&gt;=8),"CHAMPION",AND(F998&gt;=6,G998&gt;=7,H998&gt;=6),"LOYAL CUSTOMER",AND(F998&gt;=6,G998&gt;=5,H998&gt;=5),"POTENTIAL LOYALIST",AND(F998&gt;=8,G998&lt;=2,H998&gt;=5),"NEW CUSTOMERS",AND(F998&gt;=6,G998&lt;=2,H998&gt;=3),"PROMISING",AND(F998&gt;=3,G998&gt;=3,H998&gt;=3),"NEED ATTENTION",AND(F998&lt;=4,G998&gt;=6,H998&gt;=6),"AT RISK",AND(F998&lt;=2,G998&gt;=8,H998&gt;=8),"CAN'T LOSE THEM",AND(F998&lt;=2,G998&lt;=2,H998&lt;=2),"HIBERNATING",TRUE(),"Other")</f>
        <v>Other</v>
      </c>
      <c r="K998" s="1" t="n">
        <f aca="false">RANK(E998,$E$7:$E$4378)+COUNTIF($E$7:E998,E998)-1</f>
        <v>4354</v>
      </c>
    </row>
    <row r="999" customFormat="false" ht="14.25" hidden="false" customHeight="true" outlineLevel="0" collapsed="false">
      <c r="A999" s="51" t="n">
        <v>13673</v>
      </c>
      <c r="B999" s="53" t="n">
        <v>40868.5076388889</v>
      </c>
      <c r="C999" s="57" t="n">
        <f aca="false">INT($C$2)-INT(Table3[[#This Row],[Last Purchase Date]])</f>
        <v>19</v>
      </c>
      <c r="D999" s="1" t="n">
        <v>2</v>
      </c>
      <c r="E999" s="1" t="n">
        <v>396.92</v>
      </c>
      <c r="F999" s="1" t="n">
        <f aca="false">ROUND((1-_xlfn.PERCENTRANK.INC($C$7:$C$4378,C999))*9,0)</f>
        <v>7</v>
      </c>
      <c r="G999" s="1" t="n">
        <f aca="false">ROUND(_xlfn.PERCENTRANK.INC($D$7:$D$4378,D999)*9,0)</f>
        <v>3</v>
      </c>
      <c r="H999" s="1" t="n">
        <f aca="false">ROUND(_xlfn.PERCENTRANK.INC($E$7:$E$4378,E999)*9,0)</f>
        <v>3</v>
      </c>
      <c r="I999" s="1" t="str">
        <f aca="false">CONCATENATE(F999,G999,H999)</f>
        <v>733</v>
      </c>
      <c r="J999" s="1" t="str">
        <f aca="false">_xlfn.IFS(AND(F999&gt;=8,G999&gt;=8,H999&gt;=8),"CHAMPION",AND(F999&gt;=6,G999&gt;=7,H999&gt;=6),"LOYAL CUSTOMER",AND(F999&gt;=6,G999&gt;=5,H999&gt;=5),"POTENTIAL LOYALIST",AND(F999&gt;=8,G999&lt;=2,H999&gt;=5),"NEW CUSTOMERS",AND(F999&gt;=6,G999&lt;=2,H999&gt;=3),"PROMISING",AND(F999&gt;=3,G999&gt;=3,H999&gt;=3),"NEED ATTENTION",AND(F999&lt;=4,G999&gt;=6,H999&gt;=6),"AT RISK",AND(F999&lt;=2,G999&gt;=8,H999&gt;=8),"CAN'T LOSE THEM",AND(F999&lt;=2,G999&lt;=2,H999&lt;=2),"HIBERNATING",TRUE(),"Other")</f>
        <v>NEED ATTENTION</v>
      </c>
      <c r="K999" s="1" t="n">
        <f aca="false">RANK(E999,$E$7:$E$4378)+COUNTIF($E$7:E999,E999)-1</f>
        <v>2829</v>
      </c>
    </row>
    <row r="1000" customFormat="false" ht="14.25" hidden="false" customHeight="true" outlineLevel="0" collapsed="false">
      <c r="A1000" s="51" t="n">
        <v>13675</v>
      </c>
      <c r="B1000" s="53" t="n">
        <v>40735.5395833333</v>
      </c>
      <c r="C1000" s="57" t="n">
        <f aca="false">INT($C$2)-INT(Table3[[#This Row],[Last Purchase Date]])</f>
        <v>152</v>
      </c>
      <c r="D1000" s="1" t="n">
        <v>2</v>
      </c>
      <c r="E1000" s="1" t="n">
        <v>486.82</v>
      </c>
      <c r="F1000" s="1" t="n">
        <f aca="false">ROUND((1-_xlfn.PERCENTRANK.INC($C$7:$C$4378,C1000))*9,0)</f>
        <v>2</v>
      </c>
      <c r="G1000" s="1" t="n">
        <f aca="false">ROUND(_xlfn.PERCENTRANK.INC($D$7:$D$4378,D1000)*9,0)</f>
        <v>3</v>
      </c>
      <c r="H1000" s="1" t="n">
        <f aca="false">ROUND(_xlfn.PERCENTRANK.INC($E$7:$E$4378,E1000)*9,0)</f>
        <v>4</v>
      </c>
      <c r="I1000" s="1" t="str">
        <f aca="false">CONCATENATE(F1000,G1000,H1000)</f>
        <v>234</v>
      </c>
      <c r="J1000" s="1" t="str">
        <f aca="false">_xlfn.IFS(AND(F1000&gt;=8,G1000&gt;=8,H1000&gt;=8),"CHAMPION",AND(F1000&gt;=6,G1000&gt;=7,H1000&gt;=6),"LOYAL CUSTOMER",AND(F1000&gt;=6,G1000&gt;=5,H1000&gt;=5),"POTENTIAL LOYALIST",AND(F1000&gt;=8,G1000&lt;=2,H1000&gt;=5),"NEW CUSTOMERS",AND(F1000&gt;=6,G1000&lt;=2,H1000&gt;=3),"PROMISING",AND(F1000&gt;=3,G1000&gt;=3,H1000&gt;=3),"NEED ATTENTION",AND(F1000&lt;=4,G1000&gt;=6,H1000&gt;=6),"AT RISK",AND(F1000&lt;=2,G1000&gt;=8,H1000&gt;=8),"CAN'T LOSE THEM",AND(F1000&lt;=2,G1000&lt;=2,H1000&lt;=2),"HIBERNATING",TRUE(),"Other")</f>
        <v>Other</v>
      </c>
      <c r="K1000" s="1" t="n">
        <f aca="false">RANK(E1000,$E$7:$E$4378)+COUNTIF($E$7:E1000,E1000)-1</f>
        <v>2576</v>
      </c>
    </row>
    <row r="1001" customFormat="false" ht="14.25" hidden="false" customHeight="true" outlineLevel="0" collapsed="false">
      <c r="A1001" s="51" t="n">
        <v>13678</v>
      </c>
      <c r="B1001" s="53" t="n">
        <v>40735.4263888889</v>
      </c>
      <c r="C1001" s="57" t="n">
        <f aca="false">INT($C$2)-INT(Table3[[#This Row],[Last Purchase Date]])</f>
        <v>152</v>
      </c>
      <c r="D1001" s="1" t="n">
        <v>1</v>
      </c>
      <c r="E1001" s="1" t="n">
        <v>232.6</v>
      </c>
      <c r="F1001" s="1" t="n">
        <f aca="false">ROUND((1-_xlfn.PERCENTRANK.INC($C$7:$C$4378,C1001))*9,0)</f>
        <v>2</v>
      </c>
      <c r="G1001" s="1" t="n">
        <f aca="false">ROUND(_xlfn.PERCENTRANK.INC($D$7:$D$4378,D1001)*9,0)</f>
        <v>0</v>
      </c>
      <c r="H1001" s="1" t="n">
        <f aca="false">ROUND(_xlfn.PERCENTRANK.INC($E$7:$E$4378,E1001)*9,0)</f>
        <v>2</v>
      </c>
      <c r="I1001" s="1" t="str">
        <f aca="false">CONCATENATE(F1001,G1001,H1001)</f>
        <v>202</v>
      </c>
      <c r="J1001" s="1" t="str">
        <f aca="false">_xlfn.IFS(AND(F1001&gt;=8,G1001&gt;=8,H1001&gt;=8),"CHAMPION",AND(F1001&gt;=6,G1001&gt;=7,H1001&gt;=6),"LOYAL CUSTOMER",AND(F1001&gt;=6,G1001&gt;=5,H1001&gt;=5),"POTENTIAL LOYALIST",AND(F1001&gt;=8,G1001&lt;=2,H1001&gt;=5),"NEW CUSTOMERS",AND(F1001&gt;=6,G1001&lt;=2,H1001&gt;=3),"PROMISING",AND(F1001&gt;=3,G1001&gt;=3,H1001&gt;=3),"NEED ATTENTION",AND(F1001&lt;=4,G1001&gt;=6,H1001&gt;=6),"AT RISK",AND(F1001&lt;=2,G1001&gt;=8,H1001&gt;=8),"CAN'T LOSE THEM",AND(F1001&lt;=2,G1001&lt;=2,H1001&lt;=2),"HIBERNATING",TRUE(),"Other")</f>
        <v>HIBERNATING</v>
      </c>
      <c r="K1001" s="1" t="n">
        <f aca="false">RANK(E1001,$E$7:$E$4378)+COUNTIF($E$7:E1001,E1001)-1</f>
        <v>3506</v>
      </c>
    </row>
    <row r="1002" customFormat="false" ht="14.25" hidden="false" customHeight="true" outlineLevel="0" collapsed="false">
      <c r="A1002" s="51" t="n">
        <v>13680</v>
      </c>
      <c r="B1002" s="53" t="n">
        <v>40885.5743055556</v>
      </c>
      <c r="C1002" s="57" t="n">
        <f aca="false">INT($C$2)-INT(Table3[[#This Row],[Last Purchase Date]])</f>
        <v>2</v>
      </c>
      <c r="D1002" s="1" t="n">
        <v>5</v>
      </c>
      <c r="E1002" s="1" t="n">
        <v>2202.31</v>
      </c>
      <c r="F1002" s="1" t="n">
        <f aca="false">ROUND((1-_xlfn.PERCENTRANK.INC($C$7:$C$4378,C1002))*9,0)</f>
        <v>9</v>
      </c>
      <c r="G1002" s="1" t="n">
        <f aca="false">ROUND(_xlfn.PERCENTRANK.INC($D$7:$D$4378,D1002)*9,0)</f>
        <v>6</v>
      </c>
      <c r="H1002" s="1" t="n">
        <f aca="false">ROUND(_xlfn.PERCENTRANK.INC($E$7:$E$4378,E1002)*9,0)</f>
        <v>7</v>
      </c>
      <c r="I1002" s="1" t="str">
        <f aca="false">CONCATENATE(F1002,G1002,H1002)</f>
        <v>967</v>
      </c>
      <c r="J1002" s="1" t="str">
        <f aca="false">_xlfn.IFS(AND(F1002&gt;=8,G1002&gt;=8,H1002&gt;=8),"CHAMPION",AND(F1002&gt;=6,G1002&gt;=7,H1002&gt;=6),"LOYAL CUSTOMER",AND(F1002&gt;=6,G1002&gt;=5,H1002&gt;=5),"POTENTIAL LOYALIST",AND(F1002&gt;=8,G1002&lt;=2,H1002&gt;=5),"NEW CUSTOMERS",AND(F1002&gt;=6,G1002&lt;=2,H1002&gt;=3),"PROMISING",AND(F1002&gt;=3,G1002&gt;=3,H1002&gt;=3),"NEED ATTENTION",AND(F1002&lt;=4,G1002&gt;=6,H1002&gt;=6),"AT RISK",AND(F1002&lt;=2,G1002&gt;=8,H1002&gt;=8),"CAN'T LOSE THEM",AND(F1002&lt;=2,G1002&lt;=2,H1002&lt;=2),"HIBERNATING",TRUE(),"Other")</f>
        <v>POTENTIAL LOYALIST</v>
      </c>
      <c r="K1002" s="1" t="n">
        <f aca="false">RANK(E1002,$E$7:$E$4378)+COUNTIF($E$7:E1002,E1002)-1</f>
        <v>782</v>
      </c>
    </row>
    <row r="1003" customFormat="false" ht="14.25" hidden="false" customHeight="true" outlineLevel="0" collapsed="false">
      <c r="A1003" s="51" t="n">
        <v>13681</v>
      </c>
      <c r="B1003" s="53" t="n">
        <v>40869.4673611111</v>
      </c>
      <c r="C1003" s="57" t="n">
        <f aca="false">INT($C$2)-INT(Table3[[#This Row],[Last Purchase Date]])</f>
        <v>18</v>
      </c>
      <c r="D1003" s="1" t="n">
        <v>4</v>
      </c>
      <c r="E1003" s="1" t="n">
        <v>827.83</v>
      </c>
      <c r="F1003" s="1" t="n">
        <f aca="false">ROUND((1-_xlfn.PERCENTRANK.INC($C$7:$C$4378,C1003))*9,0)</f>
        <v>7</v>
      </c>
      <c r="G1003" s="1" t="n">
        <f aca="false">ROUND(_xlfn.PERCENTRANK.INC($D$7:$D$4378,D1003)*9,0)</f>
        <v>5</v>
      </c>
      <c r="H1003" s="1" t="n">
        <f aca="false">ROUND(_xlfn.PERCENTRANK.INC($E$7:$E$4378,E1003)*9,0)</f>
        <v>5</v>
      </c>
      <c r="I1003" s="1" t="str">
        <f aca="false">CONCATENATE(F1003,G1003,H1003)</f>
        <v>755</v>
      </c>
      <c r="J1003" s="1" t="str">
        <f aca="false">_xlfn.IFS(AND(F1003&gt;=8,G1003&gt;=8,H1003&gt;=8),"CHAMPION",AND(F1003&gt;=6,G1003&gt;=7,H1003&gt;=6),"LOYAL CUSTOMER",AND(F1003&gt;=6,G1003&gt;=5,H1003&gt;=5),"POTENTIAL LOYALIST",AND(F1003&gt;=8,G1003&lt;=2,H1003&gt;=5),"NEW CUSTOMERS",AND(F1003&gt;=6,G1003&lt;=2,H1003&gt;=3),"PROMISING",AND(F1003&gt;=3,G1003&gt;=3,H1003&gt;=3),"NEED ATTENTION",AND(F1003&lt;=4,G1003&gt;=6,H1003&gt;=6),"AT RISK",AND(F1003&lt;=2,G1003&gt;=8,H1003&gt;=8),"CAN'T LOSE THEM",AND(F1003&lt;=2,G1003&lt;=2,H1003&lt;=2),"HIBERNATING",TRUE(),"Other")</f>
        <v>POTENTIAL LOYALIST</v>
      </c>
      <c r="K1003" s="1" t="n">
        <f aca="false">RANK(E1003,$E$7:$E$4378)+COUNTIF($E$7:E1003,E1003)-1</f>
        <v>1855</v>
      </c>
    </row>
    <row r="1004" customFormat="false" ht="14.25" hidden="false" customHeight="true" outlineLevel="0" collapsed="false">
      <c r="A1004" s="51" t="n">
        <v>13682</v>
      </c>
      <c r="B1004" s="53" t="n">
        <v>40699.5875</v>
      </c>
      <c r="C1004" s="57" t="n">
        <f aca="false">INT($C$2)-INT(Table3[[#This Row],[Last Purchase Date]])</f>
        <v>188</v>
      </c>
      <c r="D1004" s="1" t="n">
        <v>1</v>
      </c>
      <c r="E1004" s="1" t="n">
        <v>59.5</v>
      </c>
      <c r="F1004" s="1" t="n">
        <f aca="false">ROUND((1-_xlfn.PERCENTRANK.INC($C$7:$C$4378,C1004))*9,0)</f>
        <v>2</v>
      </c>
      <c r="G1004" s="1" t="n">
        <f aca="false">ROUND(_xlfn.PERCENTRANK.INC($D$7:$D$4378,D1004)*9,0)</f>
        <v>0</v>
      </c>
      <c r="H1004" s="1" t="n">
        <f aca="false">ROUND(_xlfn.PERCENTRANK.INC($E$7:$E$4378,E1004)*9,0)</f>
        <v>0</v>
      </c>
      <c r="I1004" s="1" t="str">
        <f aca="false">CONCATENATE(F1004,G1004,H1004)</f>
        <v>200</v>
      </c>
      <c r="J1004" s="1" t="str">
        <f aca="false">_xlfn.IFS(AND(F1004&gt;=8,G1004&gt;=8,H1004&gt;=8),"CHAMPION",AND(F1004&gt;=6,G1004&gt;=7,H1004&gt;=6),"LOYAL CUSTOMER",AND(F1004&gt;=6,G1004&gt;=5,H1004&gt;=5),"POTENTIAL LOYALIST",AND(F1004&gt;=8,G1004&lt;=2,H1004&gt;=5),"NEW CUSTOMERS",AND(F1004&gt;=6,G1004&lt;=2,H1004&gt;=3),"PROMISING",AND(F1004&gt;=3,G1004&gt;=3,H1004&gt;=3),"NEED ATTENTION",AND(F1004&lt;=4,G1004&gt;=6,H1004&gt;=6),"AT RISK",AND(F1004&lt;=2,G1004&gt;=8,H1004&gt;=8),"CAN'T LOSE THEM",AND(F1004&lt;=2,G1004&lt;=2,H1004&lt;=2),"HIBERNATING",TRUE(),"Other")</f>
        <v>HIBERNATING</v>
      </c>
      <c r="K1004" s="1" t="n">
        <f aca="false">RANK(E1004,$E$7:$E$4378)+COUNTIF($E$7:E1004,E1004)-1</f>
        <v>4267</v>
      </c>
    </row>
    <row r="1005" customFormat="false" ht="14.25" hidden="false" customHeight="true" outlineLevel="0" collapsed="false">
      <c r="A1005" s="51" t="n">
        <v>13684</v>
      </c>
      <c r="B1005" s="53" t="n">
        <v>40601.4340277778</v>
      </c>
      <c r="C1005" s="57" t="n">
        <f aca="false">INT($C$2)-INT(Table3[[#This Row],[Last Purchase Date]])</f>
        <v>286</v>
      </c>
      <c r="D1005" s="1" t="n">
        <v>2</v>
      </c>
      <c r="E1005" s="1" t="n">
        <v>64.23</v>
      </c>
      <c r="F1005" s="1" t="n">
        <f aca="false">ROUND((1-_xlfn.PERCENTRANK.INC($C$7:$C$4378,C1005))*9,0)</f>
        <v>1</v>
      </c>
      <c r="G1005" s="1" t="n">
        <f aca="false">ROUND(_xlfn.PERCENTRANK.INC($D$7:$D$4378,D1005)*9,0)</f>
        <v>3</v>
      </c>
      <c r="H1005" s="1" t="n">
        <f aca="false">ROUND(_xlfn.PERCENTRANK.INC($E$7:$E$4378,E1005)*9,0)</f>
        <v>0</v>
      </c>
      <c r="I1005" s="1" t="str">
        <f aca="false">CONCATENATE(F1005,G1005,H1005)</f>
        <v>130</v>
      </c>
      <c r="J1005" s="1" t="str">
        <f aca="false">_xlfn.IFS(AND(F1005&gt;=8,G1005&gt;=8,H1005&gt;=8),"CHAMPION",AND(F1005&gt;=6,G1005&gt;=7,H1005&gt;=6),"LOYAL CUSTOMER",AND(F1005&gt;=6,G1005&gt;=5,H1005&gt;=5),"POTENTIAL LOYALIST",AND(F1005&gt;=8,G1005&lt;=2,H1005&gt;=5),"NEW CUSTOMERS",AND(F1005&gt;=6,G1005&lt;=2,H1005&gt;=3),"PROMISING",AND(F1005&gt;=3,G1005&gt;=3,H1005&gt;=3),"NEED ATTENTION",AND(F1005&lt;=4,G1005&gt;=6,H1005&gt;=6),"AT RISK",AND(F1005&lt;=2,G1005&gt;=8,H1005&gt;=8),"CAN'T LOSE THEM",AND(F1005&lt;=2,G1005&lt;=2,H1005&lt;=2),"HIBERNATING",TRUE(),"Other")</f>
        <v>Other</v>
      </c>
      <c r="K1005" s="1" t="n">
        <f aca="false">RANK(E1005,$E$7:$E$4378)+COUNTIF($E$7:E1005,E1005)-1</f>
        <v>4254</v>
      </c>
    </row>
    <row r="1006" customFormat="false" ht="14.25" hidden="false" customHeight="true" outlineLevel="0" collapsed="false">
      <c r="A1006" s="51" t="n">
        <v>13685</v>
      </c>
      <c r="B1006" s="53" t="n">
        <v>40884.4868055556</v>
      </c>
      <c r="C1006" s="57" t="n">
        <f aca="false">INT($C$2)-INT(Table3[[#This Row],[Last Purchase Date]])</f>
        <v>3</v>
      </c>
      <c r="D1006" s="1" t="n">
        <v>7</v>
      </c>
      <c r="E1006" s="1" t="n">
        <v>3119.44</v>
      </c>
      <c r="F1006" s="1" t="n">
        <f aca="false">ROUND((1-_xlfn.PERCENTRANK.INC($C$7:$C$4378,C1006))*9,0)</f>
        <v>9</v>
      </c>
      <c r="G1006" s="1" t="n">
        <f aca="false">ROUND(_xlfn.PERCENTRANK.INC($D$7:$D$4378,D1006)*9,0)</f>
        <v>7</v>
      </c>
      <c r="H1006" s="1" t="n">
        <f aca="false">ROUND(_xlfn.PERCENTRANK.INC($E$7:$E$4378,E1006)*9,0)</f>
        <v>8</v>
      </c>
      <c r="I1006" s="1" t="str">
        <f aca="false">CONCATENATE(F1006,G1006,H1006)</f>
        <v>978</v>
      </c>
      <c r="J1006" s="1" t="str">
        <f aca="false">_xlfn.IFS(AND(F1006&gt;=8,G1006&gt;=8,H1006&gt;=8),"CHAMPION",AND(F1006&gt;=6,G1006&gt;=7,H1006&gt;=6),"LOYAL CUSTOMER",AND(F1006&gt;=6,G1006&gt;=5,H1006&gt;=5),"POTENTIAL LOYALIST",AND(F1006&gt;=8,G1006&lt;=2,H1006&gt;=5),"NEW CUSTOMERS",AND(F1006&gt;=6,G1006&lt;=2,H1006&gt;=3),"PROMISING",AND(F1006&gt;=3,G1006&gt;=3,H1006&gt;=3),"NEED ATTENTION",AND(F1006&lt;=4,G1006&gt;=6,H1006&gt;=6),"AT RISK",AND(F1006&lt;=2,G1006&gt;=8,H1006&gt;=8),"CAN'T LOSE THEM",AND(F1006&lt;=2,G1006&lt;=2,H1006&lt;=2),"HIBERNATING",TRUE(),"Other")</f>
        <v>LOYAL CUSTOMER</v>
      </c>
      <c r="K1006" s="1" t="n">
        <f aca="false">RANK(E1006,$E$7:$E$4378)+COUNTIF($E$7:E1006,E1006)-1</f>
        <v>508</v>
      </c>
    </row>
    <row r="1007" customFormat="false" ht="14.25" hidden="false" customHeight="true" outlineLevel="0" collapsed="false">
      <c r="A1007" s="51" t="n">
        <v>13686</v>
      </c>
      <c r="B1007" s="53" t="n">
        <v>40704.3819444445</v>
      </c>
      <c r="C1007" s="57" t="n">
        <f aca="false">INT($C$2)-INT(Table3[[#This Row],[Last Purchase Date]])</f>
        <v>183</v>
      </c>
      <c r="D1007" s="1" t="n">
        <v>1</v>
      </c>
      <c r="E1007" s="1" t="n">
        <v>72</v>
      </c>
      <c r="F1007" s="1" t="n">
        <f aca="false">ROUND((1-_xlfn.PERCENTRANK.INC($C$7:$C$4378,C1007))*9,0)</f>
        <v>2</v>
      </c>
      <c r="G1007" s="1" t="n">
        <f aca="false">ROUND(_xlfn.PERCENTRANK.INC($D$7:$D$4378,D1007)*9,0)</f>
        <v>0</v>
      </c>
      <c r="H1007" s="1" t="n">
        <f aca="false">ROUND(_xlfn.PERCENTRANK.INC($E$7:$E$4378,E1007)*9,0)</f>
        <v>0</v>
      </c>
      <c r="I1007" s="1" t="str">
        <f aca="false">CONCATENATE(F1007,G1007,H1007)</f>
        <v>200</v>
      </c>
      <c r="J1007" s="1" t="str">
        <f aca="false">_xlfn.IFS(AND(F1007&gt;=8,G1007&gt;=8,H1007&gt;=8),"CHAMPION",AND(F1007&gt;=6,G1007&gt;=7,H1007&gt;=6),"LOYAL CUSTOMER",AND(F1007&gt;=6,G1007&gt;=5,H1007&gt;=5),"POTENTIAL LOYALIST",AND(F1007&gt;=8,G1007&lt;=2,H1007&gt;=5),"NEW CUSTOMERS",AND(F1007&gt;=6,G1007&lt;=2,H1007&gt;=3),"PROMISING",AND(F1007&gt;=3,G1007&gt;=3,H1007&gt;=3),"NEED ATTENTION",AND(F1007&lt;=4,G1007&gt;=6,H1007&gt;=6),"AT RISK",AND(F1007&lt;=2,G1007&gt;=8,H1007&gt;=8),"CAN'T LOSE THEM",AND(F1007&lt;=2,G1007&lt;=2,H1007&lt;=2),"HIBERNATING",TRUE(),"Other")</f>
        <v>HIBERNATING</v>
      </c>
      <c r="K1007" s="1" t="n">
        <f aca="false">RANK(E1007,$E$7:$E$4378)+COUNTIF($E$7:E1007,E1007)-1</f>
        <v>4244</v>
      </c>
    </row>
    <row r="1008" customFormat="false" ht="14.25" hidden="false" customHeight="true" outlineLevel="0" collapsed="false">
      <c r="A1008" s="51" t="n">
        <v>13689</v>
      </c>
      <c r="B1008" s="53" t="n">
        <v>40823.55625</v>
      </c>
      <c r="C1008" s="57" t="n">
        <f aca="false">INT($C$2)-INT(Table3[[#This Row],[Last Purchase Date]])</f>
        <v>64</v>
      </c>
      <c r="D1008" s="1" t="n">
        <v>1</v>
      </c>
      <c r="E1008" s="1" t="n">
        <v>910</v>
      </c>
      <c r="F1008" s="1" t="n">
        <f aca="false">ROUND((1-_xlfn.PERCENTRANK.INC($C$7:$C$4378,C1008))*9,0)</f>
        <v>4</v>
      </c>
      <c r="G1008" s="1" t="n">
        <f aca="false">ROUND(_xlfn.PERCENTRANK.INC($D$7:$D$4378,D1008)*9,0)</f>
        <v>0</v>
      </c>
      <c r="H1008" s="1" t="n">
        <f aca="false">ROUND(_xlfn.PERCENTRANK.INC($E$7:$E$4378,E1008)*9,0)</f>
        <v>5</v>
      </c>
      <c r="I1008" s="1" t="str">
        <f aca="false">CONCATENATE(F1008,G1008,H1008)</f>
        <v>405</v>
      </c>
      <c r="J1008" s="1" t="str">
        <f aca="false">_xlfn.IFS(AND(F1008&gt;=8,G1008&gt;=8,H1008&gt;=8),"CHAMPION",AND(F1008&gt;=6,G1008&gt;=7,H1008&gt;=6),"LOYAL CUSTOMER",AND(F1008&gt;=6,G1008&gt;=5,H1008&gt;=5),"POTENTIAL LOYALIST",AND(F1008&gt;=8,G1008&lt;=2,H1008&gt;=5),"NEW CUSTOMERS",AND(F1008&gt;=6,G1008&lt;=2,H1008&gt;=3),"PROMISING",AND(F1008&gt;=3,G1008&gt;=3,H1008&gt;=3),"NEED ATTENTION",AND(F1008&lt;=4,G1008&gt;=6,H1008&gt;=6),"AT RISK",AND(F1008&lt;=2,G1008&gt;=8,H1008&gt;=8),"CAN'T LOSE THEM",AND(F1008&lt;=2,G1008&lt;=2,H1008&lt;=2),"HIBERNATING",TRUE(),"Other")</f>
        <v>Other</v>
      </c>
      <c r="K1008" s="1" t="n">
        <f aca="false">RANK(E1008,$E$7:$E$4378)+COUNTIF($E$7:E1008,E1008)-1</f>
        <v>1747</v>
      </c>
    </row>
    <row r="1009" customFormat="false" ht="14.25" hidden="false" customHeight="true" outlineLevel="0" collapsed="false">
      <c r="A1009" s="51" t="n">
        <v>13690</v>
      </c>
      <c r="B1009" s="53" t="n">
        <v>40827.6270833333</v>
      </c>
      <c r="C1009" s="57" t="n">
        <f aca="false">INT($C$2)-INT(Table3[[#This Row],[Last Purchase Date]])</f>
        <v>60</v>
      </c>
      <c r="D1009" s="1" t="n">
        <v>1</v>
      </c>
      <c r="E1009" s="1" t="n">
        <v>172.25</v>
      </c>
      <c r="F1009" s="1" t="n">
        <f aca="false">ROUND((1-_xlfn.PERCENTRANK.INC($C$7:$C$4378,C1009))*9,0)</f>
        <v>4</v>
      </c>
      <c r="G1009" s="1" t="n">
        <f aca="false">ROUND(_xlfn.PERCENTRANK.INC($D$7:$D$4378,D1009)*9,0)</f>
        <v>0</v>
      </c>
      <c r="H1009" s="1" t="n">
        <f aca="false">ROUND(_xlfn.PERCENTRANK.INC($E$7:$E$4378,E1009)*9,0)</f>
        <v>1</v>
      </c>
      <c r="I1009" s="1" t="str">
        <f aca="false">CONCATENATE(F1009,G1009,H1009)</f>
        <v>401</v>
      </c>
      <c r="J1009" s="1" t="str">
        <f aca="false">_xlfn.IFS(AND(F1009&gt;=8,G1009&gt;=8,H1009&gt;=8),"CHAMPION",AND(F1009&gt;=6,G1009&gt;=7,H1009&gt;=6),"LOYAL CUSTOMER",AND(F1009&gt;=6,G1009&gt;=5,H1009&gt;=5),"POTENTIAL LOYALIST",AND(F1009&gt;=8,G1009&lt;=2,H1009&gt;=5),"NEW CUSTOMERS",AND(F1009&gt;=6,G1009&lt;=2,H1009&gt;=3),"PROMISING",AND(F1009&gt;=3,G1009&gt;=3,H1009&gt;=3),"NEED ATTENTION",AND(F1009&lt;=4,G1009&gt;=6,H1009&gt;=6),"AT RISK",AND(F1009&lt;=2,G1009&gt;=8,H1009&gt;=8),"CAN'T LOSE THEM",AND(F1009&lt;=2,G1009&lt;=2,H1009&lt;=2),"HIBERNATING",TRUE(),"Other")</f>
        <v>Other</v>
      </c>
      <c r="K1009" s="1" t="n">
        <f aca="false">RANK(E1009,$E$7:$E$4378)+COUNTIF($E$7:E1009,E1009)-1</f>
        <v>3794</v>
      </c>
    </row>
    <row r="1010" customFormat="false" ht="14.25" hidden="false" customHeight="true" outlineLevel="0" collapsed="false">
      <c r="A1010" s="51" t="n">
        <v>13692</v>
      </c>
      <c r="B1010" s="53" t="n">
        <v>40862.4701388889</v>
      </c>
      <c r="C1010" s="57" t="n">
        <f aca="false">INT($C$2)-INT(Table3[[#This Row],[Last Purchase Date]])</f>
        <v>25</v>
      </c>
      <c r="D1010" s="1" t="n">
        <v>5</v>
      </c>
      <c r="E1010" s="1" t="n">
        <v>1466.87</v>
      </c>
      <c r="F1010" s="1" t="n">
        <f aca="false">ROUND((1-_xlfn.PERCENTRANK.INC($C$7:$C$4378,C1010))*9,0)</f>
        <v>6</v>
      </c>
      <c r="G1010" s="1" t="n">
        <f aca="false">ROUND(_xlfn.PERCENTRANK.INC($D$7:$D$4378,D1010)*9,0)</f>
        <v>6</v>
      </c>
      <c r="H1010" s="1" t="n">
        <f aca="false">ROUND(_xlfn.PERCENTRANK.INC($E$7:$E$4378,E1010)*9,0)</f>
        <v>7</v>
      </c>
      <c r="I1010" s="1" t="str">
        <f aca="false">CONCATENATE(F1010,G1010,H1010)</f>
        <v>667</v>
      </c>
      <c r="J1010" s="1" t="str">
        <f aca="false">_xlfn.IFS(AND(F1010&gt;=8,G1010&gt;=8,H1010&gt;=8),"CHAMPION",AND(F1010&gt;=6,G1010&gt;=7,H1010&gt;=6),"LOYAL CUSTOMER",AND(F1010&gt;=6,G1010&gt;=5,H1010&gt;=5),"POTENTIAL LOYALIST",AND(F1010&gt;=8,G1010&lt;=2,H1010&gt;=5),"NEW CUSTOMERS",AND(F1010&gt;=6,G1010&lt;=2,H1010&gt;=3),"PROMISING",AND(F1010&gt;=3,G1010&gt;=3,H1010&gt;=3),"NEED ATTENTION",AND(F1010&lt;=4,G1010&gt;=6,H1010&gt;=6),"AT RISK",AND(F1010&lt;=2,G1010&gt;=8,H1010&gt;=8),"CAN'T LOSE THEM",AND(F1010&lt;=2,G1010&lt;=2,H1010&lt;=2),"HIBERNATING",TRUE(),"Other")</f>
        <v>POTENTIAL LOYALIST</v>
      </c>
      <c r="K1010" s="1" t="n">
        <f aca="false">RANK(E1010,$E$7:$E$4378)+COUNTIF($E$7:E1010,E1010)-1</f>
        <v>1188</v>
      </c>
    </row>
    <row r="1011" customFormat="false" ht="14.25" hidden="false" customHeight="true" outlineLevel="0" collapsed="false">
      <c r="A1011" s="51" t="n">
        <v>13693</v>
      </c>
      <c r="B1011" s="53" t="n">
        <v>40561.6409722222</v>
      </c>
      <c r="C1011" s="57" t="n">
        <f aca="false">INT($C$2)-INT(Table3[[#This Row],[Last Purchase Date]])</f>
        <v>326</v>
      </c>
      <c r="D1011" s="1" t="n">
        <v>2</v>
      </c>
      <c r="E1011" s="1" t="n">
        <v>-32</v>
      </c>
      <c r="F1011" s="1" t="n">
        <f aca="false">ROUND((1-_xlfn.PERCENTRANK.INC($C$7:$C$4378,C1011))*9,0)</f>
        <v>0</v>
      </c>
      <c r="G1011" s="1" t="n">
        <f aca="false">ROUND(_xlfn.PERCENTRANK.INC($D$7:$D$4378,D1011)*9,0)</f>
        <v>3</v>
      </c>
      <c r="H1011" s="1" t="n">
        <f aca="false">ROUND(_xlfn.PERCENTRANK.INC($E$7:$E$4378,E1011)*9,0)</f>
        <v>0</v>
      </c>
      <c r="I1011" s="1" t="str">
        <f aca="false">CONCATENATE(F1011,G1011,H1011)</f>
        <v>030</v>
      </c>
      <c r="J1011" s="1" t="str">
        <f aca="false">_xlfn.IFS(AND(F1011&gt;=8,G1011&gt;=8,H1011&gt;=8),"CHAMPION",AND(F1011&gt;=6,G1011&gt;=7,H1011&gt;=6),"LOYAL CUSTOMER",AND(F1011&gt;=6,G1011&gt;=5,H1011&gt;=5),"POTENTIAL LOYALIST",AND(F1011&gt;=8,G1011&lt;=2,H1011&gt;=5),"NEW CUSTOMERS",AND(F1011&gt;=6,G1011&lt;=2,H1011&gt;=3),"PROMISING",AND(F1011&gt;=3,G1011&gt;=3,H1011&gt;=3),"NEED ATTENTION",AND(F1011&lt;=4,G1011&gt;=6,H1011&gt;=6),"AT RISK",AND(F1011&lt;=2,G1011&gt;=8,H1011&gt;=8),"CAN'T LOSE THEM",AND(F1011&lt;=2,G1011&lt;=2,H1011&lt;=2),"HIBERNATING",TRUE(),"Other")</f>
        <v>Other</v>
      </c>
      <c r="K1011" s="1" t="n">
        <f aca="false">RANK(E1011,$E$7:$E$4378)+COUNTIF($E$7:E1011,E1011)-1</f>
        <v>4350</v>
      </c>
    </row>
    <row r="1012" customFormat="false" ht="14.25" hidden="false" customHeight="true" outlineLevel="0" collapsed="false">
      <c r="A1012" s="51" t="n">
        <v>13694</v>
      </c>
      <c r="B1012" s="53" t="n">
        <v>40883.3972222222</v>
      </c>
      <c r="C1012" s="57" t="n">
        <f aca="false">INT($C$2)-INT(Table3[[#This Row],[Last Purchase Date]])</f>
        <v>4</v>
      </c>
      <c r="D1012" s="1" t="n">
        <v>60</v>
      </c>
      <c r="E1012" s="1" t="n">
        <v>62653.1</v>
      </c>
      <c r="F1012" s="1" t="n">
        <f aca="false">ROUND((1-_xlfn.PERCENTRANK.INC($C$7:$C$4378,C1012))*9,0)</f>
        <v>8</v>
      </c>
      <c r="G1012" s="1" t="n">
        <f aca="false">ROUND(_xlfn.PERCENTRANK.INC($D$7:$D$4378,D1012)*9,0)</f>
        <v>9</v>
      </c>
      <c r="H1012" s="1" t="n">
        <f aca="false">ROUND(_xlfn.PERCENTRANK.INC($E$7:$E$4378,E1012)*9,0)</f>
        <v>9</v>
      </c>
      <c r="I1012" s="1" t="str">
        <f aca="false">CONCATENATE(F1012,G1012,H1012)</f>
        <v>899</v>
      </c>
      <c r="J1012" s="1" t="str">
        <f aca="false">_xlfn.IFS(AND(F1012&gt;=8,G1012&gt;=8,H1012&gt;=8),"CHAMPION",AND(F1012&gt;=6,G1012&gt;=7,H1012&gt;=6),"LOYAL CUSTOMER",AND(F1012&gt;=6,G1012&gt;=5,H1012&gt;=5),"POTENTIAL LOYALIST",AND(F1012&gt;=8,G1012&lt;=2,H1012&gt;=5),"NEW CUSTOMERS",AND(F1012&gt;=6,G1012&lt;=2,H1012&gt;=3),"PROMISING",AND(F1012&gt;=3,G1012&gt;=3,H1012&gt;=3),"NEED ATTENTION",AND(F1012&lt;=4,G1012&gt;=6,H1012&gt;=6),"AT RISK",AND(F1012&lt;=2,G1012&gt;=8,H1012&gt;=8),"CAN'T LOSE THEM",AND(F1012&lt;=2,G1012&lt;=2,H1012&lt;=2),"HIBERNATING",TRUE(),"Other")</f>
        <v>CHAMPION</v>
      </c>
      <c r="K1012" s="1" t="n">
        <f aca="false">RANK(E1012,$E$7:$E$4378)+COUNTIF($E$7:E1012,E1012)-1</f>
        <v>9</v>
      </c>
    </row>
    <row r="1013" customFormat="false" ht="14.25" hidden="false" customHeight="true" outlineLevel="0" collapsed="false">
      <c r="A1013" s="51" t="n">
        <v>13695</v>
      </c>
      <c r="B1013" s="53" t="n">
        <v>40855.6013888889</v>
      </c>
      <c r="C1013" s="57" t="n">
        <f aca="false">INT($C$2)-INT(Table3[[#This Row],[Last Purchase Date]])</f>
        <v>32</v>
      </c>
      <c r="D1013" s="1" t="n">
        <v>15</v>
      </c>
      <c r="E1013" s="1" t="n">
        <v>2504.13</v>
      </c>
      <c r="F1013" s="1" t="n">
        <f aca="false">ROUND((1-_xlfn.PERCENTRANK.INC($C$7:$C$4378,C1013))*9,0)</f>
        <v>5</v>
      </c>
      <c r="G1013" s="1" t="n">
        <f aca="false">ROUND(_xlfn.PERCENTRANK.INC($D$7:$D$4378,D1013)*9,0)</f>
        <v>8</v>
      </c>
      <c r="H1013" s="1" t="n">
        <f aca="false">ROUND(_xlfn.PERCENTRANK.INC($E$7:$E$4378,E1013)*9,0)</f>
        <v>8</v>
      </c>
      <c r="I1013" s="1" t="str">
        <f aca="false">CONCATENATE(F1013,G1013,H1013)</f>
        <v>588</v>
      </c>
      <c r="J1013" s="1" t="str">
        <f aca="false">_xlfn.IFS(AND(F1013&gt;=8,G1013&gt;=8,H1013&gt;=8),"CHAMPION",AND(F1013&gt;=6,G1013&gt;=7,H1013&gt;=6),"LOYAL CUSTOMER",AND(F1013&gt;=6,G1013&gt;=5,H1013&gt;=5),"POTENTIAL LOYALIST",AND(F1013&gt;=8,G1013&lt;=2,H1013&gt;=5),"NEW CUSTOMERS",AND(F1013&gt;=6,G1013&lt;=2,H1013&gt;=3),"PROMISING",AND(F1013&gt;=3,G1013&gt;=3,H1013&gt;=3),"NEED ATTENTION",AND(F1013&lt;=4,G1013&gt;=6,H1013&gt;=6),"AT RISK",AND(F1013&lt;=2,G1013&gt;=8,H1013&gt;=8),"CAN'T LOSE THEM",AND(F1013&lt;=2,G1013&lt;=2,H1013&lt;=2),"HIBERNATING",TRUE(),"Other")</f>
        <v>NEED ATTENTION</v>
      </c>
      <c r="K1013" s="1" t="n">
        <f aca="false">RANK(E1013,$E$7:$E$4378)+COUNTIF($E$7:E1013,E1013)-1</f>
        <v>681</v>
      </c>
    </row>
    <row r="1014" customFormat="false" ht="14.25" hidden="false" customHeight="true" outlineLevel="0" collapsed="false">
      <c r="A1014" s="51" t="n">
        <v>13697</v>
      </c>
      <c r="B1014" s="53" t="n">
        <v>40848.3847222222</v>
      </c>
      <c r="C1014" s="57" t="n">
        <f aca="false">INT($C$2)-INT(Table3[[#This Row],[Last Purchase Date]])</f>
        <v>39</v>
      </c>
      <c r="D1014" s="1" t="n">
        <v>1</v>
      </c>
      <c r="E1014" s="1" t="n">
        <v>151.3</v>
      </c>
      <c r="F1014" s="1" t="n">
        <f aca="false">ROUND((1-_xlfn.PERCENTRANK.INC($C$7:$C$4378,C1014))*9,0)</f>
        <v>5</v>
      </c>
      <c r="G1014" s="1" t="n">
        <f aca="false">ROUND(_xlfn.PERCENTRANK.INC($D$7:$D$4378,D1014)*9,0)</f>
        <v>0</v>
      </c>
      <c r="H1014" s="1" t="n">
        <f aca="false">ROUND(_xlfn.PERCENTRANK.INC($E$7:$E$4378,E1014)*9,0)</f>
        <v>1</v>
      </c>
      <c r="I1014" s="1" t="str">
        <f aca="false">CONCATENATE(F1014,G1014,H1014)</f>
        <v>501</v>
      </c>
      <c r="J1014" s="1" t="str">
        <f aca="false">_xlfn.IFS(AND(F1014&gt;=8,G1014&gt;=8,H1014&gt;=8),"CHAMPION",AND(F1014&gt;=6,G1014&gt;=7,H1014&gt;=6),"LOYAL CUSTOMER",AND(F1014&gt;=6,G1014&gt;=5,H1014&gt;=5),"POTENTIAL LOYALIST",AND(F1014&gt;=8,G1014&lt;=2,H1014&gt;=5),"NEW CUSTOMERS",AND(F1014&gt;=6,G1014&lt;=2,H1014&gt;=3),"PROMISING",AND(F1014&gt;=3,G1014&gt;=3,H1014&gt;=3),"NEED ATTENTION",AND(F1014&lt;=4,G1014&gt;=6,H1014&gt;=6),"AT RISK",AND(F1014&lt;=2,G1014&gt;=8,H1014&gt;=8),"CAN'T LOSE THEM",AND(F1014&lt;=2,G1014&lt;=2,H1014&lt;=2),"HIBERNATING",TRUE(),"Other")</f>
        <v>Other</v>
      </c>
      <c r="K1014" s="1" t="n">
        <f aca="false">RANK(E1014,$E$7:$E$4378)+COUNTIF($E$7:E1014,E1014)-1</f>
        <v>3914</v>
      </c>
    </row>
    <row r="1015" customFormat="false" ht="14.25" hidden="false" customHeight="true" outlineLevel="0" collapsed="false">
      <c r="A1015" s="51" t="n">
        <v>13699</v>
      </c>
      <c r="B1015" s="53" t="n">
        <v>40731.7020833333</v>
      </c>
      <c r="C1015" s="57" t="n">
        <f aca="false">INT($C$2)-INT(Table3[[#This Row],[Last Purchase Date]])</f>
        <v>156</v>
      </c>
      <c r="D1015" s="1" t="n">
        <v>1</v>
      </c>
      <c r="E1015" s="1" t="n">
        <v>308.58</v>
      </c>
      <c r="F1015" s="1" t="n">
        <f aca="false">ROUND((1-_xlfn.PERCENTRANK.INC($C$7:$C$4378,C1015))*9,0)</f>
        <v>2</v>
      </c>
      <c r="G1015" s="1" t="n">
        <f aca="false">ROUND(_xlfn.PERCENTRANK.INC($D$7:$D$4378,D1015)*9,0)</f>
        <v>0</v>
      </c>
      <c r="H1015" s="1" t="n">
        <f aca="false">ROUND(_xlfn.PERCENTRANK.INC($E$7:$E$4378,E1015)*9,0)</f>
        <v>2</v>
      </c>
      <c r="I1015" s="1" t="str">
        <f aca="false">CONCATENATE(F1015,G1015,H1015)</f>
        <v>202</v>
      </c>
      <c r="J1015" s="1" t="str">
        <f aca="false">_xlfn.IFS(AND(F1015&gt;=8,G1015&gt;=8,H1015&gt;=8),"CHAMPION",AND(F1015&gt;=6,G1015&gt;=7,H1015&gt;=6),"LOYAL CUSTOMER",AND(F1015&gt;=6,G1015&gt;=5,H1015&gt;=5),"POTENTIAL LOYALIST",AND(F1015&gt;=8,G1015&lt;=2,H1015&gt;=5),"NEW CUSTOMERS",AND(F1015&gt;=6,G1015&lt;=2,H1015&gt;=3),"PROMISING",AND(F1015&gt;=3,G1015&gt;=3,H1015&gt;=3),"NEED ATTENTION",AND(F1015&lt;=4,G1015&gt;=6,H1015&gt;=6),"AT RISK",AND(F1015&lt;=2,G1015&gt;=8,H1015&gt;=8),"CAN'T LOSE THEM",AND(F1015&lt;=2,G1015&lt;=2,H1015&lt;=2),"HIBERNATING",TRUE(),"Other")</f>
        <v>HIBERNATING</v>
      </c>
      <c r="K1015" s="1" t="n">
        <f aca="false">RANK(E1015,$E$7:$E$4378)+COUNTIF($E$7:E1015,E1015)-1</f>
        <v>3202</v>
      </c>
    </row>
    <row r="1016" customFormat="false" ht="14.25" hidden="false" customHeight="true" outlineLevel="0" collapsed="false">
      <c r="A1016" s="51" t="n">
        <v>13700</v>
      </c>
      <c r="B1016" s="53" t="n">
        <v>40860.5416666667</v>
      </c>
      <c r="C1016" s="57" t="n">
        <f aca="false">INT($C$2)-INT(Table3[[#This Row],[Last Purchase Date]])</f>
        <v>27</v>
      </c>
      <c r="D1016" s="1" t="n">
        <v>10</v>
      </c>
      <c r="E1016" s="1" t="n">
        <v>2265.12</v>
      </c>
      <c r="F1016" s="1" t="n">
        <f aca="false">ROUND((1-_xlfn.PERCENTRANK.INC($C$7:$C$4378,C1016))*9,0)</f>
        <v>6</v>
      </c>
      <c r="G1016" s="1" t="n">
        <f aca="false">ROUND(_xlfn.PERCENTRANK.INC($D$7:$D$4378,D1016)*9,0)</f>
        <v>8</v>
      </c>
      <c r="H1016" s="1" t="n">
        <f aca="false">ROUND(_xlfn.PERCENTRANK.INC($E$7:$E$4378,E1016)*9,0)</f>
        <v>7</v>
      </c>
      <c r="I1016" s="1" t="str">
        <f aca="false">CONCATENATE(F1016,G1016,H1016)</f>
        <v>687</v>
      </c>
      <c r="J1016" s="1" t="str">
        <f aca="false">_xlfn.IFS(AND(F1016&gt;=8,G1016&gt;=8,H1016&gt;=8),"CHAMPION",AND(F1016&gt;=6,G1016&gt;=7,H1016&gt;=6),"LOYAL CUSTOMER",AND(F1016&gt;=6,G1016&gt;=5,H1016&gt;=5),"POTENTIAL LOYALIST",AND(F1016&gt;=8,G1016&lt;=2,H1016&gt;=5),"NEW CUSTOMERS",AND(F1016&gt;=6,G1016&lt;=2,H1016&gt;=3),"PROMISING",AND(F1016&gt;=3,G1016&gt;=3,H1016&gt;=3),"NEED ATTENTION",AND(F1016&lt;=4,G1016&gt;=6,H1016&gt;=6),"AT RISK",AND(F1016&lt;=2,G1016&gt;=8,H1016&gt;=8),"CAN'T LOSE THEM",AND(F1016&lt;=2,G1016&lt;=2,H1016&lt;=2),"HIBERNATING",TRUE(),"Other")</f>
        <v>LOYAL CUSTOMER</v>
      </c>
      <c r="K1016" s="1" t="n">
        <f aca="false">RANK(E1016,$E$7:$E$4378)+COUNTIF($E$7:E1016,E1016)-1</f>
        <v>758</v>
      </c>
    </row>
    <row r="1017" customFormat="false" ht="14.25" hidden="false" customHeight="true" outlineLevel="0" collapsed="false">
      <c r="A1017" s="51" t="n">
        <v>13703</v>
      </c>
      <c r="B1017" s="53" t="n">
        <v>40568.5486111111</v>
      </c>
      <c r="C1017" s="57" t="n">
        <f aca="false">INT($C$2)-INT(Table3[[#This Row],[Last Purchase Date]])</f>
        <v>319</v>
      </c>
      <c r="D1017" s="1" t="n">
        <v>1</v>
      </c>
      <c r="E1017" s="1" t="n">
        <v>99.5</v>
      </c>
      <c r="F1017" s="1" t="n">
        <f aca="false">ROUND((1-_xlfn.PERCENTRANK.INC($C$7:$C$4378,C1017))*9,0)</f>
        <v>0</v>
      </c>
      <c r="G1017" s="1" t="n">
        <f aca="false">ROUND(_xlfn.PERCENTRANK.INC($D$7:$D$4378,D1017)*9,0)</f>
        <v>0</v>
      </c>
      <c r="H1017" s="1" t="n">
        <f aca="false">ROUND(_xlfn.PERCENTRANK.INC($E$7:$E$4378,E1017)*9,0)</f>
        <v>0</v>
      </c>
      <c r="I1017" s="1" t="str">
        <f aca="false">CONCATENATE(F1017,G1017,H1017)</f>
        <v>000</v>
      </c>
      <c r="J1017" s="1" t="str">
        <f aca="false">_xlfn.IFS(AND(F1017&gt;=8,G1017&gt;=8,H1017&gt;=8),"CHAMPION",AND(F1017&gt;=6,G1017&gt;=7,H1017&gt;=6),"LOYAL CUSTOMER",AND(F1017&gt;=6,G1017&gt;=5,H1017&gt;=5),"POTENTIAL LOYALIST",AND(F1017&gt;=8,G1017&lt;=2,H1017&gt;=5),"NEW CUSTOMERS",AND(F1017&gt;=6,G1017&lt;=2,H1017&gt;=3),"PROMISING",AND(F1017&gt;=3,G1017&gt;=3,H1017&gt;=3),"NEED ATTENTION",AND(F1017&lt;=4,G1017&gt;=6,H1017&gt;=6),"AT RISK",AND(F1017&lt;=2,G1017&gt;=8,H1017&gt;=8),"CAN'T LOSE THEM",AND(F1017&lt;=2,G1017&lt;=2,H1017&lt;=2),"HIBERNATING",TRUE(),"Other")</f>
        <v>HIBERNATING</v>
      </c>
      <c r="K1017" s="1" t="n">
        <f aca="false">RANK(E1017,$E$7:$E$4378)+COUNTIF($E$7:E1017,E1017)-1</f>
        <v>4159</v>
      </c>
    </row>
    <row r="1018" customFormat="false" ht="14.25" hidden="false" customHeight="true" outlineLevel="0" collapsed="false">
      <c r="A1018" s="51" t="n">
        <v>13704</v>
      </c>
      <c r="B1018" s="53" t="n">
        <v>40881.6340277778</v>
      </c>
      <c r="C1018" s="57" t="n">
        <f aca="false">INT($C$2)-INT(Table3[[#This Row],[Last Purchase Date]])</f>
        <v>6</v>
      </c>
      <c r="D1018" s="1" t="n">
        <v>10</v>
      </c>
      <c r="E1018" s="1" t="n">
        <v>2295.31</v>
      </c>
      <c r="F1018" s="1" t="n">
        <f aca="false">ROUND((1-_xlfn.PERCENTRANK.INC($C$7:$C$4378,C1018))*9,0)</f>
        <v>8</v>
      </c>
      <c r="G1018" s="1" t="n">
        <f aca="false">ROUND(_xlfn.PERCENTRANK.INC($D$7:$D$4378,D1018)*9,0)</f>
        <v>8</v>
      </c>
      <c r="H1018" s="1" t="n">
        <f aca="false">ROUND(_xlfn.PERCENTRANK.INC($E$7:$E$4378,E1018)*9,0)</f>
        <v>7</v>
      </c>
      <c r="I1018" s="1" t="str">
        <f aca="false">CONCATENATE(F1018,G1018,H1018)</f>
        <v>887</v>
      </c>
      <c r="J1018" s="1" t="str">
        <f aca="false">_xlfn.IFS(AND(F1018&gt;=8,G1018&gt;=8,H1018&gt;=8),"CHAMPION",AND(F1018&gt;=6,G1018&gt;=7,H1018&gt;=6),"LOYAL CUSTOMER",AND(F1018&gt;=6,G1018&gt;=5,H1018&gt;=5),"POTENTIAL LOYALIST",AND(F1018&gt;=8,G1018&lt;=2,H1018&gt;=5),"NEW CUSTOMERS",AND(F1018&gt;=6,G1018&lt;=2,H1018&gt;=3),"PROMISING",AND(F1018&gt;=3,G1018&gt;=3,H1018&gt;=3),"NEED ATTENTION",AND(F1018&lt;=4,G1018&gt;=6,H1018&gt;=6),"AT RISK",AND(F1018&lt;=2,G1018&gt;=8,H1018&gt;=8),"CAN'T LOSE THEM",AND(F1018&lt;=2,G1018&lt;=2,H1018&lt;=2),"HIBERNATING",TRUE(),"Other")</f>
        <v>LOYAL CUSTOMER</v>
      </c>
      <c r="K1018" s="1" t="n">
        <f aca="false">RANK(E1018,$E$7:$E$4378)+COUNTIF($E$7:E1018,E1018)-1</f>
        <v>745</v>
      </c>
    </row>
    <row r="1019" customFormat="false" ht="14.25" hidden="false" customHeight="true" outlineLevel="0" collapsed="false">
      <c r="A1019" s="51" t="n">
        <v>13705</v>
      </c>
      <c r="B1019" s="53" t="n">
        <v>40879.5222222222</v>
      </c>
      <c r="C1019" s="57" t="n">
        <f aca="false">INT($C$2)-INT(Table3[[#This Row],[Last Purchase Date]])</f>
        <v>8</v>
      </c>
      <c r="D1019" s="1" t="n">
        <v>3</v>
      </c>
      <c r="E1019" s="1" t="n">
        <v>711.86</v>
      </c>
      <c r="F1019" s="1" t="n">
        <f aca="false">ROUND((1-_xlfn.PERCENTRANK.INC($C$7:$C$4378,C1019))*9,0)</f>
        <v>8</v>
      </c>
      <c r="G1019" s="1" t="n">
        <f aca="false">ROUND(_xlfn.PERCENTRANK.INC($D$7:$D$4378,D1019)*9,0)</f>
        <v>4</v>
      </c>
      <c r="H1019" s="1" t="n">
        <f aca="false">ROUND(_xlfn.PERCENTRANK.INC($E$7:$E$4378,E1019)*9,0)</f>
        <v>5</v>
      </c>
      <c r="I1019" s="1" t="str">
        <f aca="false">CONCATENATE(F1019,G1019,H1019)</f>
        <v>845</v>
      </c>
      <c r="J1019" s="1" t="str">
        <f aca="false">_xlfn.IFS(AND(F1019&gt;=8,G1019&gt;=8,H1019&gt;=8),"CHAMPION",AND(F1019&gt;=6,G1019&gt;=7,H1019&gt;=6),"LOYAL CUSTOMER",AND(F1019&gt;=6,G1019&gt;=5,H1019&gt;=5),"POTENTIAL LOYALIST",AND(F1019&gt;=8,G1019&lt;=2,H1019&gt;=5),"NEW CUSTOMERS",AND(F1019&gt;=6,G1019&lt;=2,H1019&gt;=3),"PROMISING",AND(F1019&gt;=3,G1019&gt;=3,H1019&gt;=3),"NEED ATTENTION",AND(F1019&lt;=4,G1019&gt;=6,H1019&gt;=6),"AT RISK",AND(F1019&lt;=2,G1019&gt;=8,H1019&gt;=8),"CAN'T LOSE THEM",AND(F1019&lt;=2,G1019&lt;=2,H1019&lt;=2),"HIBERNATING",TRUE(),"Other")</f>
        <v>NEED ATTENTION</v>
      </c>
      <c r="K1019" s="1" t="n">
        <f aca="false">RANK(E1019,$E$7:$E$4378)+COUNTIF($E$7:E1019,E1019)-1</f>
        <v>2044</v>
      </c>
    </row>
    <row r="1020" customFormat="false" ht="14.25" hidden="false" customHeight="true" outlineLevel="0" collapsed="false">
      <c r="A1020" s="51" t="n">
        <v>13706</v>
      </c>
      <c r="B1020" s="53" t="n">
        <v>40584.3895833333</v>
      </c>
      <c r="C1020" s="57" t="n">
        <f aca="false">INT($C$2)-INT(Table3[[#This Row],[Last Purchase Date]])</f>
        <v>303</v>
      </c>
      <c r="D1020" s="1" t="n">
        <v>1</v>
      </c>
      <c r="E1020" s="1" t="n">
        <v>330.79</v>
      </c>
      <c r="F1020" s="1" t="n">
        <f aca="false">ROUND((1-_xlfn.PERCENTRANK.INC($C$7:$C$4378,C1020))*9,0)</f>
        <v>1</v>
      </c>
      <c r="G1020" s="1" t="n">
        <f aca="false">ROUND(_xlfn.PERCENTRANK.INC($D$7:$D$4378,D1020)*9,0)</f>
        <v>0</v>
      </c>
      <c r="H1020" s="1" t="n">
        <f aca="false">ROUND(_xlfn.PERCENTRANK.INC($E$7:$E$4378,E1020)*9,0)</f>
        <v>3</v>
      </c>
      <c r="I1020" s="1" t="str">
        <f aca="false">CONCATENATE(F1020,G1020,H1020)</f>
        <v>103</v>
      </c>
      <c r="J1020" s="1" t="str">
        <f aca="false">_xlfn.IFS(AND(F1020&gt;=8,G1020&gt;=8,H1020&gt;=8),"CHAMPION",AND(F1020&gt;=6,G1020&gt;=7,H1020&gt;=6),"LOYAL CUSTOMER",AND(F1020&gt;=6,G1020&gt;=5,H1020&gt;=5),"POTENTIAL LOYALIST",AND(F1020&gt;=8,G1020&lt;=2,H1020&gt;=5),"NEW CUSTOMERS",AND(F1020&gt;=6,G1020&lt;=2,H1020&gt;=3),"PROMISING",AND(F1020&gt;=3,G1020&gt;=3,H1020&gt;=3),"NEED ATTENTION",AND(F1020&lt;=4,G1020&gt;=6,H1020&gt;=6),"AT RISK",AND(F1020&lt;=2,G1020&gt;=8,H1020&gt;=8),"CAN'T LOSE THEM",AND(F1020&lt;=2,G1020&lt;=2,H1020&lt;=2),"HIBERNATING",TRUE(),"Other")</f>
        <v>Other</v>
      </c>
      <c r="K1020" s="1" t="n">
        <f aca="false">RANK(E1020,$E$7:$E$4378)+COUNTIF($E$7:E1020,E1020)-1</f>
        <v>3092</v>
      </c>
    </row>
    <row r="1021" customFormat="false" ht="14.25" hidden="false" customHeight="true" outlineLevel="0" collapsed="false">
      <c r="A1021" s="51" t="n">
        <v>13707</v>
      </c>
      <c r="B1021" s="53" t="n">
        <v>40619.7520833333</v>
      </c>
      <c r="C1021" s="57" t="n">
        <f aca="false">INT($C$2)-INT(Table3[[#This Row],[Last Purchase Date]])</f>
        <v>268</v>
      </c>
      <c r="D1021" s="1" t="n">
        <v>2</v>
      </c>
      <c r="E1021" s="1" t="n">
        <v>806.41</v>
      </c>
      <c r="F1021" s="1" t="n">
        <f aca="false">ROUND((1-_xlfn.PERCENTRANK.INC($C$7:$C$4378,C1021))*9,0)</f>
        <v>1</v>
      </c>
      <c r="G1021" s="1" t="n">
        <f aca="false">ROUND(_xlfn.PERCENTRANK.INC($D$7:$D$4378,D1021)*9,0)</f>
        <v>3</v>
      </c>
      <c r="H1021" s="1" t="n">
        <f aca="false">ROUND(_xlfn.PERCENTRANK.INC($E$7:$E$4378,E1021)*9,0)</f>
        <v>5</v>
      </c>
      <c r="I1021" s="1" t="str">
        <f aca="false">CONCATENATE(F1021,G1021,H1021)</f>
        <v>135</v>
      </c>
      <c r="J1021" s="1" t="str">
        <f aca="false">_xlfn.IFS(AND(F1021&gt;=8,G1021&gt;=8,H1021&gt;=8),"CHAMPION",AND(F1021&gt;=6,G1021&gt;=7,H1021&gt;=6),"LOYAL CUSTOMER",AND(F1021&gt;=6,G1021&gt;=5,H1021&gt;=5),"POTENTIAL LOYALIST",AND(F1021&gt;=8,G1021&lt;=2,H1021&gt;=5),"NEW CUSTOMERS",AND(F1021&gt;=6,G1021&lt;=2,H1021&gt;=3),"PROMISING",AND(F1021&gt;=3,G1021&gt;=3,H1021&gt;=3),"NEED ATTENTION",AND(F1021&lt;=4,G1021&gt;=6,H1021&gt;=6),"AT RISK",AND(F1021&lt;=2,G1021&gt;=8,H1021&gt;=8),"CAN'T LOSE THEM",AND(F1021&lt;=2,G1021&lt;=2,H1021&lt;=2),"HIBERNATING",TRUE(),"Other")</f>
        <v>Other</v>
      </c>
      <c r="K1021" s="1" t="n">
        <f aca="false">RANK(E1021,$E$7:$E$4378)+COUNTIF($E$7:E1021,E1021)-1</f>
        <v>1889</v>
      </c>
    </row>
    <row r="1022" customFormat="false" ht="14.25" hidden="false" customHeight="true" outlineLevel="0" collapsed="false">
      <c r="A1022" s="51" t="n">
        <v>13708</v>
      </c>
      <c r="B1022" s="53" t="n">
        <v>40615.5736111111</v>
      </c>
      <c r="C1022" s="57" t="n">
        <f aca="false">INT($C$2)-INT(Table3[[#This Row],[Last Purchase Date]])</f>
        <v>272</v>
      </c>
      <c r="D1022" s="1" t="n">
        <v>1</v>
      </c>
      <c r="E1022" s="1" t="n">
        <v>296.88</v>
      </c>
      <c r="F1022" s="1" t="n">
        <f aca="false">ROUND((1-_xlfn.PERCENTRANK.INC($C$7:$C$4378,C1022))*9,0)</f>
        <v>1</v>
      </c>
      <c r="G1022" s="1" t="n">
        <f aca="false">ROUND(_xlfn.PERCENTRANK.INC($D$7:$D$4378,D1022)*9,0)</f>
        <v>0</v>
      </c>
      <c r="H1022" s="1" t="n">
        <f aca="false">ROUND(_xlfn.PERCENTRANK.INC($E$7:$E$4378,E1022)*9,0)</f>
        <v>2</v>
      </c>
      <c r="I1022" s="1" t="str">
        <f aca="false">CONCATENATE(F1022,G1022,H1022)</f>
        <v>102</v>
      </c>
      <c r="J1022" s="1" t="str">
        <f aca="false">_xlfn.IFS(AND(F1022&gt;=8,G1022&gt;=8,H1022&gt;=8),"CHAMPION",AND(F1022&gt;=6,G1022&gt;=7,H1022&gt;=6),"LOYAL CUSTOMER",AND(F1022&gt;=6,G1022&gt;=5,H1022&gt;=5),"POTENTIAL LOYALIST",AND(F1022&gt;=8,G1022&lt;=2,H1022&gt;=5),"NEW CUSTOMERS",AND(F1022&gt;=6,G1022&lt;=2,H1022&gt;=3),"PROMISING",AND(F1022&gt;=3,G1022&gt;=3,H1022&gt;=3),"NEED ATTENTION",AND(F1022&lt;=4,G1022&gt;=6,H1022&gt;=6),"AT RISK",AND(F1022&lt;=2,G1022&gt;=8,H1022&gt;=8),"CAN'T LOSE THEM",AND(F1022&lt;=2,G1022&lt;=2,H1022&lt;=2),"HIBERNATING",TRUE(),"Other")</f>
        <v>HIBERNATING</v>
      </c>
      <c r="K1022" s="1" t="n">
        <f aca="false">RANK(E1022,$E$7:$E$4378)+COUNTIF($E$7:E1022,E1022)-1</f>
        <v>3267</v>
      </c>
    </row>
    <row r="1023" customFormat="false" ht="14.25" hidden="false" customHeight="true" outlineLevel="0" collapsed="false">
      <c r="A1023" s="51" t="n">
        <v>13709</v>
      </c>
      <c r="B1023" s="53" t="n">
        <v>40883.4361111111</v>
      </c>
      <c r="C1023" s="57" t="n">
        <f aca="false">INT($C$2)-INT(Table3[[#This Row],[Last Purchase Date]])</f>
        <v>4</v>
      </c>
      <c r="D1023" s="1" t="n">
        <v>17</v>
      </c>
      <c r="E1023" s="1" t="n">
        <v>6249.11</v>
      </c>
      <c r="F1023" s="1" t="n">
        <f aca="false">ROUND((1-_xlfn.PERCENTRANK.INC($C$7:$C$4378,C1023))*9,0)</f>
        <v>8</v>
      </c>
      <c r="G1023" s="1" t="n">
        <f aca="false">ROUND(_xlfn.PERCENTRANK.INC($D$7:$D$4378,D1023)*9,0)</f>
        <v>9</v>
      </c>
      <c r="H1023" s="1" t="n">
        <f aca="false">ROUND(_xlfn.PERCENTRANK.INC($E$7:$E$4378,E1023)*9,0)</f>
        <v>9</v>
      </c>
      <c r="I1023" s="1" t="str">
        <f aca="false">CONCATENATE(F1023,G1023,H1023)</f>
        <v>899</v>
      </c>
      <c r="J1023" s="1" t="str">
        <f aca="false">_xlfn.IFS(AND(F1023&gt;=8,G1023&gt;=8,H1023&gt;=8),"CHAMPION",AND(F1023&gt;=6,G1023&gt;=7,H1023&gt;=6),"LOYAL CUSTOMER",AND(F1023&gt;=6,G1023&gt;=5,H1023&gt;=5),"POTENTIAL LOYALIST",AND(F1023&gt;=8,G1023&lt;=2,H1023&gt;=5),"NEW CUSTOMERS",AND(F1023&gt;=6,G1023&lt;=2,H1023&gt;=3),"PROMISING",AND(F1023&gt;=3,G1023&gt;=3,H1023&gt;=3),"NEED ATTENTION",AND(F1023&lt;=4,G1023&gt;=6,H1023&gt;=6),"AT RISK",AND(F1023&lt;=2,G1023&gt;=8,H1023&gt;=8),"CAN'T LOSE THEM",AND(F1023&lt;=2,G1023&lt;=2,H1023&lt;=2),"HIBERNATING",TRUE(),"Other")</f>
        <v>CHAMPION</v>
      </c>
      <c r="K1023" s="1" t="n">
        <f aca="false">RANK(E1023,$E$7:$E$4378)+COUNTIF($E$7:E1023,E1023)-1</f>
        <v>188</v>
      </c>
    </row>
    <row r="1024" customFormat="false" ht="14.25" hidden="false" customHeight="true" outlineLevel="0" collapsed="false">
      <c r="A1024" s="51" t="n">
        <v>13710</v>
      </c>
      <c r="B1024" s="53" t="n">
        <v>40855.3444444445</v>
      </c>
      <c r="C1024" s="57" t="n">
        <f aca="false">INT($C$2)-INT(Table3[[#This Row],[Last Purchase Date]])</f>
        <v>32</v>
      </c>
      <c r="D1024" s="1" t="n">
        <v>1</v>
      </c>
      <c r="E1024" s="1" t="n">
        <v>180.48</v>
      </c>
      <c r="F1024" s="1" t="n">
        <f aca="false">ROUND((1-_xlfn.PERCENTRANK.INC($C$7:$C$4378,C1024))*9,0)</f>
        <v>5</v>
      </c>
      <c r="G1024" s="1" t="n">
        <f aca="false">ROUND(_xlfn.PERCENTRANK.INC($D$7:$D$4378,D1024)*9,0)</f>
        <v>0</v>
      </c>
      <c r="H1024" s="1" t="n">
        <f aca="false">ROUND(_xlfn.PERCENTRANK.INC($E$7:$E$4378,E1024)*9,0)</f>
        <v>1</v>
      </c>
      <c r="I1024" s="1" t="str">
        <f aca="false">CONCATENATE(F1024,G1024,H1024)</f>
        <v>501</v>
      </c>
      <c r="J1024" s="1" t="str">
        <f aca="false">_xlfn.IFS(AND(F1024&gt;=8,G1024&gt;=8,H1024&gt;=8),"CHAMPION",AND(F1024&gt;=6,G1024&gt;=7,H1024&gt;=6),"LOYAL CUSTOMER",AND(F1024&gt;=6,G1024&gt;=5,H1024&gt;=5),"POTENTIAL LOYALIST",AND(F1024&gt;=8,G1024&lt;=2,H1024&gt;=5),"NEW CUSTOMERS",AND(F1024&gt;=6,G1024&lt;=2,H1024&gt;=3),"PROMISING",AND(F1024&gt;=3,G1024&gt;=3,H1024&gt;=3),"NEED ATTENTION",AND(F1024&lt;=4,G1024&gt;=6,H1024&gt;=6),"AT RISK",AND(F1024&lt;=2,G1024&gt;=8,H1024&gt;=8),"CAN'T LOSE THEM",AND(F1024&lt;=2,G1024&lt;=2,H1024&lt;=2),"HIBERNATING",TRUE(),"Other")</f>
        <v>Other</v>
      </c>
      <c r="K1024" s="1" t="n">
        <f aca="false">RANK(E1024,$E$7:$E$4378)+COUNTIF($E$7:E1024,E1024)-1</f>
        <v>3749</v>
      </c>
    </row>
    <row r="1025" customFormat="false" ht="14.25" hidden="false" customHeight="true" outlineLevel="0" collapsed="false">
      <c r="A1025" s="51" t="n">
        <v>13711</v>
      </c>
      <c r="B1025" s="53" t="n">
        <v>40668.4381944445</v>
      </c>
      <c r="C1025" s="57" t="n">
        <f aca="false">INT($C$2)-INT(Table3[[#This Row],[Last Purchase Date]])</f>
        <v>219</v>
      </c>
      <c r="D1025" s="1" t="n">
        <v>2</v>
      </c>
      <c r="E1025" s="1" t="n">
        <v>252.06</v>
      </c>
      <c r="F1025" s="1" t="n">
        <f aca="false">ROUND((1-_xlfn.PERCENTRANK.INC($C$7:$C$4378,C1025))*9,0)</f>
        <v>1</v>
      </c>
      <c r="G1025" s="1" t="n">
        <f aca="false">ROUND(_xlfn.PERCENTRANK.INC($D$7:$D$4378,D1025)*9,0)</f>
        <v>3</v>
      </c>
      <c r="H1025" s="1" t="n">
        <f aca="false">ROUND(_xlfn.PERCENTRANK.INC($E$7:$E$4378,E1025)*9,0)</f>
        <v>2</v>
      </c>
      <c r="I1025" s="1" t="str">
        <f aca="false">CONCATENATE(F1025,G1025,H1025)</f>
        <v>132</v>
      </c>
      <c r="J1025" s="1" t="str">
        <f aca="false">_xlfn.IFS(AND(F1025&gt;=8,G1025&gt;=8,H1025&gt;=8),"CHAMPION",AND(F1025&gt;=6,G1025&gt;=7,H1025&gt;=6),"LOYAL CUSTOMER",AND(F1025&gt;=6,G1025&gt;=5,H1025&gt;=5),"POTENTIAL LOYALIST",AND(F1025&gt;=8,G1025&lt;=2,H1025&gt;=5),"NEW CUSTOMERS",AND(F1025&gt;=6,G1025&lt;=2,H1025&gt;=3),"PROMISING",AND(F1025&gt;=3,G1025&gt;=3,H1025&gt;=3),"NEED ATTENTION",AND(F1025&lt;=4,G1025&gt;=6,H1025&gt;=6),"AT RISK",AND(F1025&lt;=2,G1025&gt;=8,H1025&gt;=8),"CAN'T LOSE THEM",AND(F1025&lt;=2,G1025&lt;=2,H1025&lt;=2),"HIBERNATING",TRUE(),"Other")</f>
        <v>Other</v>
      </c>
      <c r="K1025" s="1" t="n">
        <f aca="false">RANK(E1025,$E$7:$E$4378)+COUNTIF($E$7:E1025,E1025)-1</f>
        <v>3429</v>
      </c>
    </row>
    <row r="1026" customFormat="false" ht="14.25" hidden="false" customHeight="true" outlineLevel="0" collapsed="false">
      <c r="A1026" s="51" t="n">
        <v>13712</v>
      </c>
      <c r="B1026" s="53" t="n">
        <v>40640.5229166667</v>
      </c>
      <c r="C1026" s="57" t="n">
        <f aca="false">INT($C$2)-INT(Table3[[#This Row],[Last Purchase Date]])</f>
        <v>247</v>
      </c>
      <c r="D1026" s="1" t="n">
        <v>1</v>
      </c>
      <c r="E1026" s="1" t="n">
        <v>228.84</v>
      </c>
      <c r="F1026" s="1" t="n">
        <f aca="false">ROUND((1-_xlfn.PERCENTRANK.INC($C$7:$C$4378,C1026))*9,0)</f>
        <v>1</v>
      </c>
      <c r="G1026" s="1" t="n">
        <f aca="false">ROUND(_xlfn.PERCENTRANK.INC($D$7:$D$4378,D1026)*9,0)</f>
        <v>0</v>
      </c>
      <c r="H1026" s="1" t="n">
        <f aca="false">ROUND(_xlfn.PERCENTRANK.INC($E$7:$E$4378,E1026)*9,0)</f>
        <v>2</v>
      </c>
      <c r="I1026" s="1" t="str">
        <f aca="false">CONCATENATE(F1026,G1026,H1026)</f>
        <v>102</v>
      </c>
      <c r="J1026" s="1" t="str">
        <f aca="false">_xlfn.IFS(AND(F1026&gt;=8,G1026&gt;=8,H1026&gt;=8),"CHAMPION",AND(F1026&gt;=6,G1026&gt;=7,H1026&gt;=6),"LOYAL CUSTOMER",AND(F1026&gt;=6,G1026&gt;=5,H1026&gt;=5),"POTENTIAL LOYALIST",AND(F1026&gt;=8,G1026&lt;=2,H1026&gt;=5),"NEW CUSTOMERS",AND(F1026&gt;=6,G1026&lt;=2,H1026&gt;=3),"PROMISING",AND(F1026&gt;=3,G1026&gt;=3,H1026&gt;=3),"NEED ATTENTION",AND(F1026&lt;=4,G1026&gt;=6,H1026&gt;=6),"AT RISK",AND(F1026&lt;=2,G1026&gt;=8,H1026&gt;=8),"CAN'T LOSE THEM",AND(F1026&lt;=2,G1026&lt;=2,H1026&lt;=2),"HIBERNATING",TRUE(),"Other")</f>
        <v>HIBERNATING</v>
      </c>
      <c r="K1026" s="1" t="n">
        <f aca="false">RANK(E1026,$E$7:$E$4378)+COUNTIF($E$7:E1026,E1026)-1</f>
        <v>3525</v>
      </c>
    </row>
    <row r="1027" customFormat="false" ht="14.25" hidden="false" customHeight="true" outlineLevel="0" collapsed="false">
      <c r="A1027" s="51" t="n">
        <v>13715</v>
      </c>
      <c r="B1027" s="53" t="n">
        <v>40605.80625</v>
      </c>
      <c r="C1027" s="57" t="n">
        <f aca="false">INT($C$2)-INT(Table3[[#This Row],[Last Purchase Date]])</f>
        <v>282</v>
      </c>
      <c r="D1027" s="1" t="n">
        <v>8</v>
      </c>
      <c r="E1027" s="1" t="n">
        <v>1053.94</v>
      </c>
      <c r="F1027" s="1" t="n">
        <f aca="false">ROUND((1-_xlfn.PERCENTRANK.INC($C$7:$C$4378,C1027))*9,0)</f>
        <v>1</v>
      </c>
      <c r="G1027" s="1" t="n">
        <f aca="false">ROUND(_xlfn.PERCENTRANK.INC($D$7:$D$4378,D1027)*9,0)</f>
        <v>7</v>
      </c>
      <c r="H1027" s="1" t="n">
        <f aca="false">ROUND(_xlfn.PERCENTRANK.INC($E$7:$E$4378,E1027)*9,0)</f>
        <v>6</v>
      </c>
      <c r="I1027" s="1" t="str">
        <f aca="false">CONCATENATE(F1027,G1027,H1027)</f>
        <v>176</v>
      </c>
      <c r="J1027" s="1" t="str">
        <f aca="false">_xlfn.IFS(AND(F1027&gt;=8,G1027&gt;=8,H1027&gt;=8),"CHAMPION",AND(F1027&gt;=6,G1027&gt;=7,H1027&gt;=6),"LOYAL CUSTOMER",AND(F1027&gt;=6,G1027&gt;=5,H1027&gt;=5),"POTENTIAL LOYALIST",AND(F1027&gt;=8,G1027&lt;=2,H1027&gt;=5),"NEW CUSTOMERS",AND(F1027&gt;=6,G1027&lt;=2,H1027&gt;=3),"PROMISING",AND(F1027&gt;=3,G1027&gt;=3,H1027&gt;=3),"NEED ATTENTION",AND(F1027&lt;=4,G1027&gt;=6,H1027&gt;=6),"AT RISK",AND(F1027&lt;=2,G1027&gt;=8,H1027&gt;=8),"CAN'T LOSE THEM",AND(F1027&lt;=2,G1027&lt;=2,H1027&lt;=2),"HIBERNATING",TRUE(),"Other")</f>
        <v>AT RISK</v>
      </c>
      <c r="K1027" s="1" t="n">
        <f aca="false">RANK(E1027,$E$7:$E$4378)+COUNTIF($E$7:E1027,E1027)-1</f>
        <v>1556</v>
      </c>
    </row>
    <row r="1028" customFormat="false" ht="14.25" hidden="false" customHeight="true" outlineLevel="0" collapsed="false">
      <c r="A1028" s="51" t="n">
        <v>13716</v>
      </c>
      <c r="B1028" s="53" t="n">
        <v>40617.5756944444</v>
      </c>
      <c r="C1028" s="57" t="n">
        <f aca="false">INT($C$2)-INT(Table3[[#This Row],[Last Purchase Date]])</f>
        <v>270</v>
      </c>
      <c r="D1028" s="1" t="n">
        <v>1</v>
      </c>
      <c r="E1028" s="1" t="n">
        <v>138.28</v>
      </c>
      <c r="F1028" s="1" t="n">
        <f aca="false">ROUND((1-_xlfn.PERCENTRANK.INC($C$7:$C$4378,C1028))*9,0)</f>
        <v>1</v>
      </c>
      <c r="G1028" s="1" t="n">
        <f aca="false">ROUND(_xlfn.PERCENTRANK.INC($D$7:$D$4378,D1028)*9,0)</f>
        <v>0</v>
      </c>
      <c r="H1028" s="1" t="n">
        <f aca="false">ROUND(_xlfn.PERCENTRANK.INC($E$7:$E$4378,E1028)*9,0)</f>
        <v>1</v>
      </c>
      <c r="I1028" s="1" t="str">
        <f aca="false">CONCATENATE(F1028,G1028,H1028)</f>
        <v>101</v>
      </c>
      <c r="J1028" s="1" t="str">
        <f aca="false">_xlfn.IFS(AND(F1028&gt;=8,G1028&gt;=8,H1028&gt;=8),"CHAMPION",AND(F1028&gt;=6,G1028&gt;=7,H1028&gt;=6),"LOYAL CUSTOMER",AND(F1028&gt;=6,G1028&gt;=5,H1028&gt;=5),"POTENTIAL LOYALIST",AND(F1028&gt;=8,G1028&lt;=2,H1028&gt;=5),"NEW CUSTOMERS",AND(F1028&gt;=6,G1028&lt;=2,H1028&gt;=3),"PROMISING",AND(F1028&gt;=3,G1028&gt;=3,H1028&gt;=3),"NEED ATTENTION",AND(F1028&lt;=4,G1028&gt;=6,H1028&gt;=6),"AT RISK",AND(F1028&lt;=2,G1028&gt;=8,H1028&gt;=8),"CAN'T LOSE THEM",AND(F1028&lt;=2,G1028&lt;=2,H1028&lt;=2),"HIBERNATING",TRUE(),"Other")</f>
        <v>HIBERNATING</v>
      </c>
      <c r="K1028" s="1" t="n">
        <f aca="false">RANK(E1028,$E$7:$E$4378)+COUNTIF($E$7:E1028,E1028)-1</f>
        <v>3969</v>
      </c>
    </row>
    <row r="1029" customFormat="false" ht="14.25" hidden="false" customHeight="true" outlineLevel="0" collapsed="false">
      <c r="A1029" s="51" t="n">
        <v>13717</v>
      </c>
      <c r="B1029" s="53" t="n">
        <v>40854.5923611111</v>
      </c>
      <c r="C1029" s="57" t="n">
        <f aca="false">INT($C$2)-INT(Table3[[#This Row],[Last Purchase Date]])</f>
        <v>33</v>
      </c>
      <c r="D1029" s="1" t="n">
        <v>7</v>
      </c>
      <c r="E1029" s="1" t="n">
        <v>1432.26</v>
      </c>
      <c r="F1029" s="1" t="n">
        <f aca="false">ROUND((1-_xlfn.PERCENTRANK.INC($C$7:$C$4378,C1029))*9,0)</f>
        <v>5</v>
      </c>
      <c r="G1029" s="1" t="n">
        <f aca="false">ROUND(_xlfn.PERCENTRANK.INC($D$7:$D$4378,D1029)*9,0)</f>
        <v>7</v>
      </c>
      <c r="H1029" s="1" t="n">
        <f aca="false">ROUND(_xlfn.PERCENTRANK.INC($E$7:$E$4378,E1029)*9,0)</f>
        <v>7</v>
      </c>
      <c r="I1029" s="1" t="str">
        <f aca="false">CONCATENATE(F1029,G1029,H1029)</f>
        <v>577</v>
      </c>
      <c r="J1029" s="1" t="str">
        <f aca="false">_xlfn.IFS(AND(F1029&gt;=8,G1029&gt;=8,H1029&gt;=8),"CHAMPION",AND(F1029&gt;=6,G1029&gt;=7,H1029&gt;=6),"LOYAL CUSTOMER",AND(F1029&gt;=6,G1029&gt;=5,H1029&gt;=5),"POTENTIAL LOYALIST",AND(F1029&gt;=8,G1029&lt;=2,H1029&gt;=5),"NEW CUSTOMERS",AND(F1029&gt;=6,G1029&lt;=2,H1029&gt;=3),"PROMISING",AND(F1029&gt;=3,G1029&gt;=3,H1029&gt;=3),"NEED ATTENTION",AND(F1029&lt;=4,G1029&gt;=6,H1029&gt;=6),"AT RISK",AND(F1029&lt;=2,G1029&gt;=8,H1029&gt;=8),"CAN'T LOSE THEM",AND(F1029&lt;=2,G1029&lt;=2,H1029&lt;=2),"HIBERNATING",TRUE(),"Other")</f>
        <v>NEED ATTENTION</v>
      </c>
      <c r="K1029" s="1" t="n">
        <f aca="false">RANK(E1029,$E$7:$E$4378)+COUNTIF($E$7:E1029,E1029)-1</f>
        <v>1208</v>
      </c>
    </row>
    <row r="1030" customFormat="false" ht="14.25" hidden="false" customHeight="true" outlineLevel="0" collapsed="false">
      <c r="A1030" s="51" t="n">
        <v>13718</v>
      </c>
      <c r="B1030" s="53" t="n">
        <v>40640.5583333333</v>
      </c>
      <c r="C1030" s="57" t="n">
        <f aca="false">INT($C$2)-INT(Table3[[#This Row],[Last Purchase Date]])</f>
        <v>247</v>
      </c>
      <c r="D1030" s="1" t="n">
        <v>2</v>
      </c>
      <c r="E1030" s="1" t="n">
        <v>306.55</v>
      </c>
      <c r="F1030" s="1" t="n">
        <f aca="false">ROUND((1-_xlfn.PERCENTRANK.INC($C$7:$C$4378,C1030))*9,0)</f>
        <v>1</v>
      </c>
      <c r="G1030" s="1" t="n">
        <f aca="false">ROUND(_xlfn.PERCENTRANK.INC($D$7:$D$4378,D1030)*9,0)</f>
        <v>3</v>
      </c>
      <c r="H1030" s="1" t="n">
        <f aca="false">ROUND(_xlfn.PERCENTRANK.INC($E$7:$E$4378,E1030)*9,0)</f>
        <v>2</v>
      </c>
      <c r="I1030" s="1" t="str">
        <f aca="false">CONCATENATE(F1030,G1030,H1030)</f>
        <v>132</v>
      </c>
      <c r="J1030" s="1" t="str">
        <f aca="false">_xlfn.IFS(AND(F1030&gt;=8,G1030&gt;=8,H1030&gt;=8),"CHAMPION",AND(F1030&gt;=6,G1030&gt;=7,H1030&gt;=6),"LOYAL CUSTOMER",AND(F1030&gt;=6,G1030&gt;=5,H1030&gt;=5),"POTENTIAL LOYALIST",AND(F1030&gt;=8,G1030&lt;=2,H1030&gt;=5),"NEW CUSTOMERS",AND(F1030&gt;=6,G1030&lt;=2,H1030&gt;=3),"PROMISING",AND(F1030&gt;=3,G1030&gt;=3,H1030&gt;=3),"NEED ATTENTION",AND(F1030&lt;=4,G1030&gt;=6,H1030&gt;=6),"AT RISK",AND(F1030&lt;=2,G1030&gt;=8,H1030&gt;=8),"CAN'T LOSE THEM",AND(F1030&lt;=2,G1030&lt;=2,H1030&lt;=2),"HIBERNATING",TRUE(),"Other")</f>
        <v>Other</v>
      </c>
      <c r="K1030" s="1" t="n">
        <f aca="false">RANK(E1030,$E$7:$E$4378)+COUNTIF($E$7:E1030,E1030)-1</f>
        <v>3217</v>
      </c>
    </row>
    <row r="1031" customFormat="false" ht="14.25" hidden="false" customHeight="true" outlineLevel="0" collapsed="false">
      <c r="A1031" s="51" t="n">
        <v>13719</v>
      </c>
      <c r="B1031" s="53" t="n">
        <v>40871.6430555556</v>
      </c>
      <c r="C1031" s="57" t="n">
        <f aca="false">INT($C$2)-INT(Table3[[#This Row],[Last Purchase Date]])</f>
        <v>16</v>
      </c>
      <c r="D1031" s="1" t="n">
        <v>5</v>
      </c>
      <c r="E1031" s="1" t="n">
        <v>1041.68</v>
      </c>
      <c r="F1031" s="1" t="n">
        <f aca="false">ROUND((1-_xlfn.PERCENTRANK.INC($C$7:$C$4378,C1031))*9,0)</f>
        <v>7</v>
      </c>
      <c r="G1031" s="1" t="n">
        <f aca="false">ROUND(_xlfn.PERCENTRANK.INC($D$7:$D$4378,D1031)*9,0)</f>
        <v>6</v>
      </c>
      <c r="H1031" s="1" t="n">
        <f aca="false">ROUND(_xlfn.PERCENTRANK.INC($E$7:$E$4378,E1031)*9,0)</f>
        <v>6</v>
      </c>
      <c r="I1031" s="1" t="str">
        <f aca="false">CONCATENATE(F1031,G1031,H1031)</f>
        <v>766</v>
      </c>
      <c r="J1031" s="1" t="str">
        <f aca="false">_xlfn.IFS(AND(F1031&gt;=8,G1031&gt;=8,H1031&gt;=8),"CHAMPION",AND(F1031&gt;=6,G1031&gt;=7,H1031&gt;=6),"LOYAL CUSTOMER",AND(F1031&gt;=6,G1031&gt;=5,H1031&gt;=5),"POTENTIAL LOYALIST",AND(F1031&gt;=8,G1031&lt;=2,H1031&gt;=5),"NEW CUSTOMERS",AND(F1031&gt;=6,G1031&lt;=2,H1031&gt;=3),"PROMISING",AND(F1031&gt;=3,G1031&gt;=3,H1031&gt;=3),"NEED ATTENTION",AND(F1031&lt;=4,G1031&gt;=6,H1031&gt;=6),"AT RISK",AND(F1031&lt;=2,G1031&gt;=8,H1031&gt;=8),"CAN'T LOSE THEM",AND(F1031&lt;=2,G1031&lt;=2,H1031&lt;=2),"HIBERNATING",TRUE(),"Other")</f>
        <v>POTENTIAL LOYALIST</v>
      </c>
      <c r="K1031" s="1" t="n">
        <f aca="false">RANK(E1031,$E$7:$E$4378)+COUNTIF($E$7:E1031,E1031)-1</f>
        <v>1579</v>
      </c>
    </row>
    <row r="1032" customFormat="false" ht="14.25" hidden="false" customHeight="true" outlineLevel="0" collapsed="false">
      <c r="A1032" s="51" t="n">
        <v>13720</v>
      </c>
      <c r="B1032" s="53" t="n">
        <v>40770.5319444445</v>
      </c>
      <c r="C1032" s="57" t="n">
        <f aca="false">INT($C$2)-INT(Table3[[#This Row],[Last Purchase Date]])</f>
        <v>117</v>
      </c>
      <c r="D1032" s="1" t="n">
        <v>4</v>
      </c>
      <c r="E1032" s="1" t="n">
        <v>799.9</v>
      </c>
      <c r="F1032" s="1" t="n">
        <f aca="false">ROUND((1-_xlfn.PERCENTRANK.INC($C$7:$C$4378,C1032))*9,0)</f>
        <v>3</v>
      </c>
      <c r="G1032" s="1" t="n">
        <f aca="false">ROUND(_xlfn.PERCENTRANK.INC($D$7:$D$4378,D1032)*9,0)</f>
        <v>5</v>
      </c>
      <c r="H1032" s="1" t="n">
        <f aca="false">ROUND(_xlfn.PERCENTRANK.INC($E$7:$E$4378,E1032)*9,0)</f>
        <v>5</v>
      </c>
      <c r="I1032" s="1" t="str">
        <f aca="false">CONCATENATE(F1032,G1032,H1032)</f>
        <v>355</v>
      </c>
      <c r="J1032" s="1" t="str">
        <f aca="false">_xlfn.IFS(AND(F1032&gt;=8,G1032&gt;=8,H1032&gt;=8),"CHAMPION",AND(F1032&gt;=6,G1032&gt;=7,H1032&gt;=6),"LOYAL CUSTOMER",AND(F1032&gt;=6,G1032&gt;=5,H1032&gt;=5),"POTENTIAL LOYALIST",AND(F1032&gt;=8,G1032&lt;=2,H1032&gt;=5),"NEW CUSTOMERS",AND(F1032&gt;=6,G1032&lt;=2,H1032&gt;=3),"PROMISING",AND(F1032&gt;=3,G1032&gt;=3,H1032&gt;=3),"NEED ATTENTION",AND(F1032&lt;=4,G1032&gt;=6,H1032&gt;=6),"AT RISK",AND(F1032&lt;=2,G1032&gt;=8,H1032&gt;=8),"CAN'T LOSE THEM",AND(F1032&lt;=2,G1032&lt;=2,H1032&lt;=2),"HIBERNATING",TRUE(),"Other")</f>
        <v>NEED ATTENTION</v>
      </c>
      <c r="K1032" s="1" t="n">
        <f aca="false">RANK(E1032,$E$7:$E$4378)+COUNTIF($E$7:E1032,E1032)-1</f>
        <v>1900</v>
      </c>
    </row>
    <row r="1033" customFormat="false" ht="14.25" hidden="false" customHeight="true" outlineLevel="0" collapsed="false">
      <c r="A1033" s="51" t="n">
        <v>13721</v>
      </c>
      <c r="B1033" s="53" t="n">
        <v>40850.5868055556</v>
      </c>
      <c r="C1033" s="57" t="n">
        <f aca="false">INT($C$2)-INT(Table3[[#This Row],[Last Purchase Date]])</f>
        <v>37</v>
      </c>
      <c r="D1033" s="1" t="n">
        <v>1</v>
      </c>
      <c r="E1033" s="1" t="n">
        <v>524.14</v>
      </c>
      <c r="F1033" s="1" t="n">
        <f aca="false">ROUND((1-_xlfn.PERCENTRANK.INC($C$7:$C$4378,C1033))*9,0)</f>
        <v>5</v>
      </c>
      <c r="G1033" s="1" t="n">
        <f aca="false">ROUND(_xlfn.PERCENTRANK.INC($D$7:$D$4378,D1033)*9,0)</f>
        <v>0</v>
      </c>
      <c r="H1033" s="1" t="n">
        <f aca="false">ROUND(_xlfn.PERCENTRANK.INC($E$7:$E$4378,E1033)*9,0)</f>
        <v>4</v>
      </c>
      <c r="I1033" s="1" t="str">
        <f aca="false">CONCATENATE(F1033,G1033,H1033)</f>
        <v>504</v>
      </c>
      <c r="J1033" s="1" t="str">
        <f aca="false">_xlfn.IFS(AND(F1033&gt;=8,G1033&gt;=8,H1033&gt;=8),"CHAMPION",AND(F1033&gt;=6,G1033&gt;=7,H1033&gt;=6),"LOYAL CUSTOMER",AND(F1033&gt;=6,G1033&gt;=5,H1033&gt;=5),"POTENTIAL LOYALIST",AND(F1033&gt;=8,G1033&lt;=2,H1033&gt;=5),"NEW CUSTOMERS",AND(F1033&gt;=6,G1033&lt;=2,H1033&gt;=3),"PROMISING",AND(F1033&gt;=3,G1033&gt;=3,H1033&gt;=3),"NEED ATTENTION",AND(F1033&lt;=4,G1033&gt;=6,H1033&gt;=6),"AT RISK",AND(F1033&lt;=2,G1033&gt;=8,H1033&gt;=8),"CAN'T LOSE THEM",AND(F1033&lt;=2,G1033&lt;=2,H1033&lt;=2),"HIBERNATING",TRUE(),"Other")</f>
        <v>Other</v>
      </c>
      <c r="K1033" s="1" t="n">
        <f aca="false">RANK(E1033,$E$7:$E$4378)+COUNTIF($E$7:E1033,E1033)-1</f>
        <v>2491</v>
      </c>
    </row>
    <row r="1034" customFormat="false" ht="14.25" hidden="false" customHeight="true" outlineLevel="0" collapsed="false">
      <c r="A1034" s="51" t="n">
        <v>13722</v>
      </c>
      <c r="B1034" s="53" t="n">
        <v>40766.6430555556</v>
      </c>
      <c r="C1034" s="57" t="n">
        <f aca="false">INT($C$2)-INT(Table3[[#This Row],[Last Purchase Date]])</f>
        <v>121</v>
      </c>
      <c r="D1034" s="1" t="n">
        <v>4</v>
      </c>
      <c r="E1034" s="1" t="n">
        <v>2369.16</v>
      </c>
      <c r="F1034" s="1" t="n">
        <f aca="false">ROUND((1-_xlfn.PERCENTRANK.INC($C$7:$C$4378,C1034))*9,0)</f>
        <v>3</v>
      </c>
      <c r="G1034" s="1" t="n">
        <f aca="false">ROUND(_xlfn.PERCENTRANK.INC($D$7:$D$4378,D1034)*9,0)</f>
        <v>5</v>
      </c>
      <c r="H1034" s="1" t="n">
        <f aca="false">ROUND(_xlfn.PERCENTRANK.INC($E$7:$E$4378,E1034)*9,0)</f>
        <v>8</v>
      </c>
      <c r="I1034" s="1" t="str">
        <f aca="false">CONCATENATE(F1034,G1034,H1034)</f>
        <v>358</v>
      </c>
      <c r="J1034" s="1" t="str">
        <f aca="false">_xlfn.IFS(AND(F1034&gt;=8,G1034&gt;=8,H1034&gt;=8),"CHAMPION",AND(F1034&gt;=6,G1034&gt;=7,H1034&gt;=6),"LOYAL CUSTOMER",AND(F1034&gt;=6,G1034&gt;=5,H1034&gt;=5),"POTENTIAL LOYALIST",AND(F1034&gt;=8,G1034&lt;=2,H1034&gt;=5),"NEW CUSTOMERS",AND(F1034&gt;=6,G1034&lt;=2,H1034&gt;=3),"PROMISING",AND(F1034&gt;=3,G1034&gt;=3,H1034&gt;=3),"NEED ATTENTION",AND(F1034&lt;=4,G1034&gt;=6,H1034&gt;=6),"AT RISK",AND(F1034&lt;=2,G1034&gt;=8,H1034&gt;=8),"CAN'T LOSE THEM",AND(F1034&lt;=2,G1034&lt;=2,H1034&lt;=2),"HIBERNATING",TRUE(),"Other")</f>
        <v>NEED ATTENTION</v>
      </c>
      <c r="K1034" s="1" t="n">
        <f aca="false">RANK(E1034,$E$7:$E$4378)+COUNTIF($E$7:E1034,E1034)-1</f>
        <v>719</v>
      </c>
    </row>
    <row r="1035" customFormat="false" ht="14.25" hidden="false" customHeight="true" outlineLevel="0" collapsed="false">
      <c r="A1035" s="51" t="n">
        <v>13723</v>
      </c>
      <c r="B1035" s="53" t="n">
        <v>40669.7111111111</v>
      </c>
      <c r="C1035" s="57" t="n">
        <f aca="false">INT($C$2)-INT(Table3[[#This Row],[Last Purchase Date]])</f>
        <v>218</v>
      </c>
      <c r="D1035" s="1" t="n">
        <v>1</v>
      </c>
      <c r="E1035" s="1" t="n">
        <v>199.85</v>
      </c>
      <c r="F1035" s="1" t="n">
        <f aca="false">ROUND((1-_xlfn.PERCENTRANK.INC($C$7:$C$4378,C1035))*9,0)</f>
        <v>1</v>
      </c>
      <c r="G1035" s="1" t="n">
        <f aca="false">ROUND(_xlfn.PERCENTRANK.INC($D$7:$D$4378,D1035)*9,0)</f>
        <v>0</v>
      </c>
      <c r="H1035" s="1" t="n">
        <f aca="false">ROUND(_xlfn.PERCENTRANK.INC($E$7:$E$4378,E1035)*9,0)</f>
        <v>1</v>
      </c>
      <c r="I1035" s="1" t="str">
        <f aca="false">CONCATENATE(F1035,G1035,H1035)</f>
        <v>101</v>
      </c>
      <c r="J1035" s="1" t="str">
        <f aca="false">_xlfn.IFS(AND(F1035&gt;=8,G1035&gt;=8,H1035&gt;=8),"CHAMPION",AND(F1035&gt;=6,G1035&gt;=7,H1035&gt;=6),"LOYAL CUSTOMER",AND(F1035&gt;=6,G1035&gt;=5,H1035&gt;=5),"POTENTIAL LOYALIST",AND(F1035&gt;=8,G1035&lt;=2,H1035&gt;=5),"NEW CUSTOMERS",AND(F1035&gt;=6,G1035&lt;=2,H1035&gt;=3),"PROMISING",AND(F1035&gt;=3,G1035&gt;=3,H1035&gt;=3),"NEED ATTENTION",AND(F1035&lt;=4,G1035&gt;=6,H1035&gt;=6),"AT RISK",AND(F1035&lt;=2,G1035&gt;=8,H1035&gt;=8),"CAN'T LOSE THEM",AND(F1035&lt;=2,G1035&lt;=2,H1035&lt;=2),"HIBERNATING",TRUE(),"Other")</f>
        <v>HIBERNATING</v>
      </c>
      <c r="K1035" s="1" t="n">
        <f aca="false">RANK(E1035,$E$7:$E$4378)+COUNTIF($E$7:E1035,E1035)-1</f>
        <v>3660</v>
      </c>
    </row>
    <row r="1036" customFormat="false" ht="14.25" hidden="false" customHeight="true" outlineLevel="0" collapsed="false">
      <c r="A1036" s="51" t="n">
        <v>13725</v>
      </c>
      <c r="B1036" s="53" t="n">
        <v>40837.41875</v>
      </c>
      <c r="C1036" s="57" t="n">
        <f aca="false">INT($C$2)-INT(Table3[[#This Row],[Last Purchase Date]])</f>
        <v>50</v>
      </c>
      <c r="D1036" s="1" t="n">
        <v>11</v>
      </c>
      <c r="E1036" s="1" t="n">
        <v>1809.81</v>
      </c>
      <c r="F1036" s="1" t="n">
        <f aca="false">ROUND((1-_xlfn.PERCENTRANK.INC($C$7:$C$4378,C1036))*9,0)</f>
        <v>5</v>
      </c>
      <c r="G1036" s="1" t="n">
        <f aca="false">ROUND(_xlfn.PERCENTRANK.INC($D$7:$D$4378,D1036)*9,0)</f>
        <v>8</v>
      </c>
      <c r="H1036" s="1" t="n">
        <f aca="false">ROUND(_xlfn.PERCENTRANK.INC($E$7:$E$4378,E1036)*9,0)</f>
        <v>7</v>
      </c>
      <c r="I1036" s="1" t="str">
        <f aca="false">CONCATENATE(F1036,G1036,H1036)</f>
        <v>587</v>
      </c>
      <c r="J1036" s="1" t="str">
        <f aca="false">_xlfn.IFS(AND(F1036&gt;=8,G1036&gt;=8,H1036&gt;=8),"CHAMPION",AND(F1036&gt;=6,G1036&gt;=7,H1036&gt;=6),"LOYAL CUSTOMER",AND(F1036&gt;=6,G1036&gt;=5,H1036&gt;=5),"POTENTIAL LOYALIST",AND(F1036&gt;=8,G1036&lt;=2,H1036&gt;=5),"NEW CUSTOMERS",AND(F1036&gt;=6,G1036&lt;=2,H1036&gt;=3),"PROMISING",AND(F1036&gt;=3,G1036&gt;=3,H1036&gt;=3),"NEED ATTENTION",AND(F1036&lt;=4,G1036&gt;=6,H1036&gt;=6),"AT RISK",AND(F1036&lt;=2,G1036&gt;=8,H1036&gt;=8),"CAN'T LOSE THEM",AND(F1036&lt;=2,G1036&lt;=2,H1036&lt;=2),"HIBERNATING",TRUE(),"Other")</f>
        <v>NEED ATTENTION</v>
      </c>
      <c r="K1036" s="1" t="n">
        <f aca="false">RANK(E1036,$E$7:$E$4378)+COUNTIF($E$7:E1036,E1036)-1</f>
        <v>968</v>
      </c>
    </row>
    <row r="1037" customFormat="false" ht="14.25" hidden="false" customHeight="true" outlineLevel="0" collapsed="false">
      <c r="A1037" s="51" t="n">
        <v>13726</v>
      </c>
      <c r="B1037" s="53" t="n">
        <v>40848.4506944444</v>
      </c>
      <c r="C1037" s="57" t="n">
        <f aca="false">INT($C$2)-INT(Table3[[#This Row],[Last Purchase Date]])</f>
        <v>39</v>
      </c>
      <c r="D1037" s="1" t="n">
        <v>2</v>
      </c>
      <c r="E1037" s="1" t="n">
        <v>1079.66</v>
      </c>
      <c r="F1037" s="1" t="n">
        <f aca="false">ROUND((1-_xlfn.PERCENTRANK.INC($C$7:$C$4378,C1037))*9,0)</f>
        <v>5</v>
      </c>
      <c r="G1037" s="1" t="n">
        <f aca="false">ROUND(_xlfn.PERCENTRANK.INC($D$7:$D$4378,D1037)*9,0)</f>
        <v>3</v>
      </c>
      <c r="H1037" s="1" t="n">
        <f aca="false">ROUND(_xlfn.PERCENTRANK.INC($E$7:$E$4378,E1037)*9,0)</f>
        <v>6</v>
      </c>
      <c r="I1037" s="1" t="str">
        <f aca="false">CONCATENATE(F1037,G1037,H1037)</f>
        <v>536</v>
      </c>
      <c r="J1037" s="1" t="str">
        <f aca="false">_xlfn.IFS(AND(F1037&gt;=8,G1037&gt;=8,H1037&gt;=8),"CHAMPION",AND(F1037&gt;=6,G1037&gt;=7,H1037&gt;=6),"LOYAL CUSTOMER",AND(F1037&gt;=6,G1037&gt;=5,H1037&gt;=5),"POTENTIAL LOYALIST",AND(F1037&gt;=8,G1037&lt;=2,H1037&gt;=5),"NEW CUSTOMERS",AND(F1037&gt;=6,G1037&lt;=2,H1037&gt;=3),"PROMISING",AND(F1037&gt;=3,G1037&gt;=3,H1037&gt;=3),"NEED ATTENTION",AND(F1037&lt;=4,G1037&gt;=6,H1037&gt;=6),"AT RISK",AND(F1037&lt;=2,G1037&gt;=8,H1037&gt;=8),"CAN'T LOSE THEM",AND(F1037&lt;=2,G1037&lt;=2,H1037&lt;=2),"HIBERNATING",TRUE(),"Other")</f>
        <v>NEED ATTENTION</v>
      </c>
      <c r="K1037" s="1" t="n">
        <f aca="false">RANK(E1037,$E$7:$E$4378)+COUNTIF($E$7:E1037,E1037)-1</f>
        <v>1529</v>
      </c>
    </row>
    <row r="1038" customFormat="false" ht="14.25" hidden="false" customHeight="true" outlineLevel="0" collapsed="false">
      <c r="A1038" s="51" t="n">
        <v>13727</v>
      </c>
      <c r="B1038" s="53" t="n">
        <v>40858.4069444445</v>
      </c>
      <c r="C1038" s="57" t="n">
        <f aca="false">INT($C$2)-INT(Table3[[#This Row],[Last Purchase Date]])</f>
        <v>29</v>
      </c>
      <c r="D1038" s="1" t="n">
        <v>2</v>
      </c>
      <c r="E1038" s="1" t="n">
        <v>333.48</v>
      </c>
      <c r="F1038" s="1" t="n">
        <f aca="false">ROUND((1-_xlfn.PERCENTRANK.INC($C$7:$C$4378,C1038))*9,0)</f>
        <v>6</v>
      </c>
      <c r="G1038" s="1" t="n">
        <f aca="false">ROUND(_xlfn.PERCENTRANK.INC($D$7:$D$4378,D1038)*9,0)</f>
        <v>3</v>
      </c>
      <c r="H1038" s="1" t="n">
        <f aca="false">ROUND(_xlfn.PERCENTRANK.INC($E$7:$E$4378,E1038)*9,0)</f>
        <v>3</v>
      </c>
      <c r="I1038" s="1" t="str">
        <f aca="false">CONCATENATE(F1038,G1038,H1038)</f>
        <v>633</v>
      </c>
      <c r="J1038" s="1" t="str">
        <f aca="false">_xlfn.IFS(AND(F1038&gt;=8,G1038&gt;=8,H1038&gt;=8),"CHAMPION",AND(F1038&gt;=6,G1038&gt;=7,H1038&gt;=6),"LOYAL CUSTOMER",AND(F1038&gt;=6,G1038&gt;=5,H1038&gt;=5),"POTENTIAL LOYALIST",AND(F1038&gt;=8,G1038&lt;=2,H1038&gt;=5),"NEW CUSTOMERS",AND(F1038&gt;=6,G1038&lt;=2,H1038&gt;=3),"PROMISING",AND(F1038&gt;=3,G1038&gt;=3,H1038&gt;=3),"NEED ATTENTION",AND(F1038&lt;=4,G1038&gt;=6,H1038&gt;=6),"AT RISK",AND(F1038&lt;=2,G1038&gt;=8,H1038&gt;=8),"CAN'T LOSE THEM",AND(F1038&lt;=2,G1038&lt;=2,H1038&lt;=2),"HIBERNATING",TRUE(),"Other")</f>
        <v>NEED ATTENTION</v>
      </c>
      <c r="K1038" s="1" t="n">
        <f aca="false">RANK(E1038,$E$7:$E$4378)+COUNTIF($E$7:E1038,E1038)-1</f>
        <v>3080</v>
      </c>
    </row>
    <row r="1039" customFormat="false" ht="14.25" hidden="false" customHeight="true" outlineLevel="0" collapsed="false">
      <c r="A1039" s="51" t="n">
        <v>13728</v>
      </c>
      <c r="B1039" s="53" t="n">
        <v>40850.4506944444</v>
      </c>
      <c r="C1039" s="57" t="n">
        <f aca="false">INT($C$2)-INT(Table3[[#This Row],[Last Purchase Date]])</f>
        <v>37</v>
      </c>
      <c r="D1039" s="1" t="n">
        <v>6</v>
      </c>
      <c r="E1039" s="1" t="n">
        <v>1016.14</v>
      </c>
      <c r="F1039" s="1" t="n">
        <f aca="false">ROUND((1-_xlfn.PERCENTRANK.INC($C$7:$C$4378,C1039))*9,0)</f>
        <v>5</v>
      </c>
      <c r="G1039" s="1" t="n">
        <f aca="false">ROUND(_xlfn.PERCENTRANK.INC($D$7:$D$4378,D1039)*9,0)</f>
        <v>7</v>
      </c>
      <c r="H1039" s="1" t="n">
        <f aca="false">ROUND(_xlfn.PERCENTRANK.INC($E$7:$E$4378,E1039)*9,0)</f>
        <v>6</v>
      </c>
      <c r="I1039" s="1" t="str">
        <f aca="false">CONCATENATE(F1039,G1039,H1039)</f>
        <v>576</v>
      </c>
      <c r="J1039" s="1" t="str">
        <f aca="false">_xlfn.IFS(AND(F1039&gt;=8,G1039&gt;=8,H1039&gt;=8),"CHAMPION",AND(F1039&gt;=6,G1039&gt;=7,H1039&gt;=6),"LOYAL CUSTOMER",AND(F1039&gt;=6,G1039&gt;=5,H1039&gt;=5),"POTENTIAL LOYALIST",AND(F1039&gt;=8,G1039&lt;=2,H1039&gt;=5),"NEW CUSTOMERS",AND(F1039&gt;=6,G1039&lt;=2,H1039&gt;=3),"PROMISING",AND(F1039&gt;=3,G1039&gt;=3,H1039&gt;=3),"NEED ATTENTION",AND(F1039&lt;=4,G1039&gt;=6,H1039&gt;=6),"AT RISK",AND(F1039&lt;=2,G1039&gt;=8,H1039&gt;=8),"CAN'T LOSE THEM",AND(F1039&lt;=2,G1039&lt;=2,H1039&lt;=2),"HIBERNATING",TRUE(),"Other")</f>
        <v>NEED ATTENTION</v>
      </c>
      <c r="K1039" s="1" t="n">
        <f aca="false">RANK(E1039,$E$7:$E$4378)+COUNTIF($E$7:E1039,E1039)-1</f>
        <v>1611</v>
      </c>
    </row>
    <row r="1040" customFormat="false" ht="14.25" hidden="false" customHeight="true" outlineLevel="0" collapsed="false">
      <c r="A1040" s="51" t="n">
        <v>13730</v>
      </c>
      <c r="B1040" s="53" t="n">
        <v>40751.3576388889</v>
      </c>
      <c r="C1040" s="57" t="n">
        <f aca="false">INT($C$2)-INT(Table3[[#This Row],[Last Purchase Date]])</f>
        <v>136</v>
      </c>
      <c r="D1040" s="1" t="n">
        <v>2</v>
      </c>
      <c r="E1040" s="1" t="n">
        <v>752.6</v>
      </c>
      <c r="F1040" s="1" t="n">
        <f aca="false">ROUND((1-_xlfn.PERCENTRANK.INC($C$7:$C$4378,C1040))*9,0)</f>
        <v>2</v>
      </c>
      <c r="G1040" s="1" t="n">
        <f aca="false">ROUND(_xlfn.PERCENTRANK.INC($D$7:$D$4378,D1040)*9,0)</f>
        <v>3</v>
      </c>
      <c r="H1040" s="1" t="n">
        <f aca="false">ROUND(_xlfn.PERCENTRANK.INC($E$7:$E$4378,E1040)*9,0)</f>
        <v>5</v>
      </c>
      <c r="I1040" s="1" t="str">
        <f aca="false">CONCATENATE(F1040,G1040,H1040)</f>
        <v>235</v>
      </c>
      <c r="J1040" s="1" t="str">
        <f aca="false">_xlfn.IFS(AND(F1040&gt;=8,G1040&gt;=8,H1040&gt;=8),"CHAMPION",AND(F1040&gt;=6,G1040&gt;=7,H1040&gt;=6),"LOYAL CUSTOMER",AND(F1040&gt;=6,G1040&gt;=5,H1040&gt;=5),"POTENTIAL LOYALIST",AND(F1040&gt;=8,G1040&lt;=2,H1040&gt;=5),"NEW CUSTOMERS",AND(F1040&gt;=6,G1040&lt;=2,H1040&gt;=3),"PROMISING",AND(F1040&gt;=3,G1040&gt;=3,H1040&gt;=3),"NEED ATTENTION",AND(F1040&lt;=4,G1040&gt;=6,H1040&gt;=6),"AT RISK",AND(F1040&lt;=2,G1040&gt;=8,H1040&gt;=8),"CAN'T LOSE THEM",AND(F1040&lt;=2,G1040&lt;=2,H1040&lt;=2),"HIBERNATING",TRUE(),"Other")</f>
        <v>Other</v>
      </c>
      <c r="K1040" s="1" t="n">
        <f aca="false">RANK(E1040,$E$7:$E$4378)+COUNTIF($E$7:E1040,E1040)-1</f>
        <v>1973</v>
      </c>
    </row>
    <row r="1041" customFormat="false" ht="14.25" hidden="false" customHeight="true" outlineLevel="0" collapsed="false">
      <c r="A1041" s="51" t="n">
        <v>13731</v>
      </c>
      <c r="B1041" s="53" t="n">
        <v>40667.60625</v>
      </c>
      <c r="C1041" s="57" t="n">
        <f aca="false">INT($C$2)-INT(Table3[[#This Row],[Last Purchase Date]])</f>
        <v>220</v>
      </c>
      <c r="D1041" s="1" t="n">
        <v>2</v>
      </c>
      <c r="E1041" s="1" t="n">
        <v>610.59</v>
      </c>
      <c r="F1041" s="1" t="n">
        <f aca="false">ROUND((1-_xlfn.PERCENTRANK.INC($C$7:$C$4378,C1041))*9,0)</f>
        <v>1</v>
      </c>
      <c r="G1041" s="1" t="n">
        <f aca="false">ROUND(_xlfn.PERCENTRANK.INC($D$7:$D$4378,D1041)*9,0)</f>
        <v>3</v>
      </c>
      <c r="H1041" s="1" t="n">
        <f aca="false">ROUND(_xlfn.PERCENTRANK.INC($E$7:$E$4378,E1041)*9,0)</f>
        <v>4</v>
      </c>
      <c r="I1041" s="1" t="str">
        <f aca="false">CONCATENATE(F1041,G1041,H1041)</f>
        <v>134</v>
      </c>
      <c r="J1041" s="1" t="str">
        <f aca="false">_xlfn.IFS(AND(F1041&gt;=8,G1041&gt;=8,H1041&gt;=8),"CHAMPION",AND(F1041&gt;=6,G1041&gt;=7,H1041&gt;=6),"LOYAL CUSTOMER",AND(F1041&gt;=6,G1041&gt;=5,H1041&gt;=5),"POTENTIAL LOYALIST",AND(F1041&gt;=8,G1041&lt;=2,H1041&gt;=5),"NEW CUSTOMERS",AND(F1041&gt;=6,G1041&lt;=2,H1041&gt;=3),"PROMISING",AND(F1041&gt;=3,G1041&gt;=3,H1041&gt;=3),"NEED ATTENTION",AND(F1041&lt;=4,G1041&gt;=6,H1041&gt;=6),"AT RISK",AND(F1041&lt;=2,G1041&gt;=8,H1041&gt;=8),"CAN'T LOSE THEM",AND(F1041&lt;=2,G1041&lt;=2,H1041&lt;=2),"HIBERNATING",TRUE(),"Other")</f>
        <v>Other</v>
      </c>
      <c r="K1041" s="1" t="n">
        <f aca="false">RANK(E1041,$E$7:$E$4378)+COUNTIF($E$7:E1041,E1041)-1</f>
        <v>2280</v>
      </c>
    </row>
    <row r="1042" customFormat="false" ht="14.25" hidden="false" customHeight="true" outlineLevel="0" collapsed="false">
      <c r="A1042" s="51" t="n">
        <v>13732</v>
      </c>
      <c r="B1042" s="53" t="n">
        <v>40858.6590277778</v>
      </c>
      <c r="C1042" s="57" t="n">
        <f aca="false">INT($C$2)-INT(Table3[[#This Row],[Last Purchase Date]])</f>
        <v>29</v>
      </c>
      <c r="D1042" s="1" t="n">
        <v>1</v>
      </c>
      <c r="E1042" s="1" t="n">
        <v>491.86</v>
      </c>
      <c r="F1042" s="1" t="n">
        <f aca="false">ROUND((1-_xlfn.PERCENTRANK.INC($C$7:$C$4378,C1042))*9,0)</f>
        <v>6</v>
      </c>
      <c r="G1042" s="1" t="n">
        <f aca="false">ROUND(_xlfn.PERCENTRANK.INC($D$7:$D$4378,D1042)*9,0)</f>
        <v>0</v>
      </c>
      <c r="H1042" s="1" t="n">
        <f aca="false">ROUND(_xlfn.PERCENTRANK.INC($E$7:$E$4378,E1042)*9,0)</f>
        <v>4</v>
      </c>
      <c r="I1042" s="1" t="str">
        <f aca="false">CONCATENATE(F1042,G1042,H1042)</f>
        <v>604</v>
      </c>
      <c r="J1042" s="1" t="str">
        <f aca="false">_xlfn.IFS(AND(F1042&gt;=8,G1042&gt;=8,H1042&gt;=8),"CHAMPION",AND(F1042&gt;=6,G1042&gt;=7,H1042&gt;=6),"LOYAL CUSTOMER",AND(F1042&gt;=6,G1042&gt;=5,H1042&gt;=5),"POTENTIAL LOYALIST",AND(F1042&gt;=8,G1042&lt;=2,H1042&gt;=5),"NEW CUSTOMERS",AND(F1042&gt;=6,G1042&lt;=2,H1042&gt;=3),"PROMISING",AND(F1042&gt;=3,G1042&gt;=3,H1042&gt;=3),"NEED ATTENTION",AND(F1042&lt;=4,G1042&gt;=6,H1042&gt;=6),"AT RISK",AND(F1042&lt;=2,G1042&gt;=8,H1042&gt;=8),"CAN'T LOSE THEM",AND(F1042&lt;=2,G1042&lt;=2,H1042&lt;=2),"HIBERNATING",TRUE(),"Other")</f>
        <v>PROMISING</v>
      </c>
      <c r="K1042" s="1" t="n">
        <f aca="false">RANK(E1042,$E$7:$E$4378)+COUNTIF($E$7:E1042,E1042)-1</f>
        <v>2565</v>
      </c>
    </row>
    <row r="1043" customFormat="false" ht="14.25" hidden="false" customHeight="true" outlineLevel="0" collapsed="false">
      <c r="A1043" s="51" t="n">
        <v>13735</v>
      </c>
      <c r="B1043" s="53" t="n">
        <v>40862.4680555556</v>
      </c>
      <c r="C1043" s="57" t="n">
        <f aca="false">INT($C$2)-INT(Table3[[#This Row],[Last Purchase Date]])</f>
        <v>25</v>
      </c>
      <c r="D1043" s="1" t="n">
        <v>8</v>
      </c>
      <c r="E1043" s="1" t="n">
        <v>2766.18</v>
      </c>
      <c r="F1043" s="1" t="n">
        <f aca="false">ROUND((1-_xlfn.PERCENTRANK.INC($C$7:$C$4378,C1043))*9,0)</f>
        <v>6</v>
      </c>
      <c r="G1043" s="1" t="n">
        <f aca="false">ROUND(_xlfn.PERCENTRANK.INC($D$7:$D$4378,D1043)*9,0)</f>
        <v>7</v>
      </c>
      <c r="H1043" s="1" t="n">
        <f aca="false">ROUND(_xlfn.PERCENTRANK.INC($E$7:$E$4378,E1043)*9,0)</f>
        <v>8</v>
      </c>
      <c r="I1043" s="1" t="str">
        <f aca="false">CONCATENATE(F1043,G1043,H1043)</f>
        <v>678</v>
      </c>
      <c r="J1043" s="1" t="str">
        <f aca="false">_xlfn.IFS(AND(F1043&gt;=8,G1043&gt;=8,H1043&gt;=8),"CHAMPION",AND(F1043&gt;=6,G1043&gt;=7,H1043&gt;=6),"LOYAL CUSTOMER",AND(F1043&gt;=6,G1043&gt;=5,H1043&gt;=5),"POTENTIAL LOYALIST",AND(F1043&gt;=8,G1043&lt;=2,H1043&gt;=5),"NEW CUSTOMERS",AND(F1043&gt;=6,G1043&lt;=2,H1043&gt;=3),"PROMISING",AND(F1043&gt;=3,G1043&gt;=3,H1043&gt;=3),"NEED ATTENTION",AND(F1043&lt;=4,G1043&gt;=6,H1043&gt;=6),"AT RISK",AND(F1043&lt;=2,G1043&gt;=8,H1043&gt;=8),"CAN'T LOSE THEM",AND(F1043&lt;=2,G1043&lt;=2,H1043&lt;=2),"HIBERNATING",TRUE(),"Other")</f>
        <v>LOYAL CUSTOMER</v>
      </c>
      <c r="K1043" s="1" t="n">
        <f aca="false">RANK(E1043,$E$7:$E$4378)+COUNTIF($E$7:E1043,E1043)-1</f>
        <v>593</v>
      </c>
    </row>
    <row r="1044" customFormat="false" ht="14.25" hidden="false" customHeight="true" outlineLevel="0" collapsed="false">
      <c r="A1044" s="51" t="n">
        <v>13736</v>
      </c>
      <c r="B1044" s="53" t="n">
        <v>40881.6381944444</v>
      </c>
      <c r="C1044" s="57" t="n">
        <f aca="false">INT($C$2)-INT(Table3[[#This Row],[Last Purchase Date]])</f>
        <v>6</v>
      </c>
      <c r="D1044" s="1" t="n">
        <v>3</v>
      </c>
      <c r="E1044" s="1" t="n">
        <v>724</v>
      </c>
      <c r="F1044" s="1" t="n">
        <f aca="false">ROUND((1-_xlfn.PERCENTRANK.INC($C$7:$C$4378,C1044))*9,0)</f>
        <v>8</v>
      </c>
      <c r="G1044" s="1" t="n">
        <f aca="false">ROUND(_xlfn.PERCENTRANK.INC($D$7:$D$4378,D1044)*9,0)</f>
        <v>4</v>
      </c>
      <c r="H1044" s="1" t="n">
        <f aca="false">ROUND(_xlfn.PERCENTRANK.INC($E$7:$E$4378,E1044)*9,0)</f>
        <v>5</v>
      </c>
      <c r="I1044" s="1" t="str">
        <f aca="false">CONCATENATE(F1044,G1044,H1044)</f>
        <v>845</v>
      </c>
      <c r="J1044" s="1" t="str">
        <f aca="false">_xlfn.IFS(AND(F1044&gt;=8,G1044&gt;=8,H1044&gt;=8),"CHAMPION",AND(F1044&gt;=6,G1044&gt;=7,H1044&gt;=6),"LOYAL CUSTOMER",AND(F1044&gt;=6,G1044&gt;=5,H1044&gt;=5),"POTENTIAL LOYALIST",AND(F1044&gt;=8,G1044&lt;=2,H1044&gt;=5),"NEW CUSTOMERS",AND(F1044&gt;=6,G1044&lt;=2,H1044&gt;=3),"PROMISING",AND(F1044&gt;=3,G1044&gt;=3,H1044&gt;=3),"NEED ATTENTION",AND(F1044&lt;=4,G1044&gt;=6,H1044&gt;=6),"AT RISK",AND(F1044&lt;=2,G1044&gt;=8,H1044&gt;=8),"CAN'T LOSE THEM",AND(F1044&lt;=2,G1044&lt;=2,H1044&lt;=2),"HIBERNATING",TRUE(),"Other")</f>
        <v>NEED ATTENTION</v>
      </c>
      <c r="K1044" s="1" t="n">
        <f aca="false">RANK(E1044,$E$7:$E$4378)+COUNTIF($E$7:E1044,E1044)-1</f>
        <v>2019</v>
      </c>
    </row>
    <row r="1045" customFormat="false" ht="14.25" hidden="false" customHeight="true" outlineLevel="0" collapsed="false">
      <c r="A1045" s="51" t="n">
        <v>13737</v>
      </c>
      <c r="B1045" s="53" t="n">
        <v>40686.6888888889</v>
      </c>
      <c r="C1045" s="57" t="n">
        <f aca="false">INT($C$2)-INT(Table3[[#This Row],[Last Purchase Date]])</f>
        <v>201</v>
      </c>
      <c r="D1045" s="1" t="n">
        <v>1</v>
      </c>
      <c r="E1045" s="1" t="n">
        <v>339.6</v>
      </c>
      <c r="F1045" s="1" t="n">
        <f aca="false">ROUND((1-_xlfn.PERCENTRANK.INC($C$7:$C$4378,C1045))*9,0)</f>
        <v>2</v>
      </c>
      <c r="G1045" s="1" t="n">
        <f aca="false">ROUND(_xlfn.PERCENTRANK.INC($D$7:$D$4378,D1045)*9,0)</f>
        <v>0</v>
      </c>
      <c r="H1045" s="1" t="n">
        <f aca="false">ROUND(_xlfn.PERCENTRANK.INC($E$7:$E$4378,E1045)*9,0)</f>
        <v>3</v>
      </c>
      <c r="I1045" s="1" t="str">
        <f aca="false">CONCATENATE(F1045,G1045,H1045)</f>
        <v>203</v>
      </c>
      <c r="J1045" s="1" t="str">
        <f aca="false">_xlfn.IFS(AND(F1045&gt;=8,G1045&gt;=8,H1045&gt;=8),"CHAMPION",AND(F1045&gt;=6,G1045&gt;=7,H1045&gt;=6),"LOYAL CUSTOMER",AND(F1045&gt;=6,G1045&gt;=5,H1045&gt;=5),"POTENTIAL LOYALIST",AND(F1045&gt;=8,G1045&lt;=2,H1045&gt;=5),"NEW CUSTOMERS",AND(F1045&gt;=6,G1045&lt;=2,H1045&gt;=3),"PROMISING",AND(F1045&gt;=3,G1045&gt;=3,H1045&gt;=3),"NEED ATTENTION",AND(F1045&lt;=4,G1045&gt;=6,H1045&gt;=6),"AT RISK",AND(F1045&lt;=2,G1045&gt;=8,H1045&gt;=8),"CAN'T LOSE THEM",AND(F1045&lt;=2,G1045&lt;=2,H1045&lt;=2),"HIBERNATING",TRUE(),"Other")</f>
        <v>Other</v>
      </c>
      <c r="K1045" s="1" t="n">
        <f aca="false">RANK(E1045,$E$7:$E$4378)+COUNTIF($E$7:E1045,E1045)-1</f>
        <v>3052</v>
      </c>
    </row>
    <row r="1046" customFormat="false" ht="14.25" hidden="false" customHeight="true" outlineLevel="0" collapsed="false">
      <c r="A1046" s="51" t="n">
        <v>13739</v>
      </c>
      <c r="B1046" s="53" t="n">
        <v>40868.5659722222</v>
      </c>
      <c r="C1046" s="57" t="n">
        <f aca="false">INT($C$2)-INT(Table3[[#This Row],[Last Purchase Date]])</f>
        <v>19</v>
      </c>
      <c r="D1046" s="1" t="n">
        <v>1</v>
      </c>
      <c r="E1046" s="1" t="n">
        <v>216.9</v>
      </c>
      <c r="F1046" s="1" t="n">
        <f aca="false">ROUND((1-_xlfn.PERCENTRANK.INC($C$7:$C$4378,C1046))*9,0)</f>
        <v>7</v>
      </c>
      <c r="G1046" s="1" t="n">
        <f aca="false">ROUND(_xlfn.PERCENTRANK.INC($D$7:$D$4378,D1046)*9,0)</f>
        <v>0</v>
      </c>
      <c r="H1046" s="1" t="n">
        <f aca="false">ROUND(_xlfn.PERCENTRANK.INC($E$7:$E$4378,E1046)*9,0)</f>
        <v>2</v>
      </c>
      <c r="I1046" s="1" t="str">
        <f aca="false">CONCATENATE(F1046,G1046,H1046)</f>
        <v>702</v>
      </c>
      <c r="J1046" s="1" t="str">
        <f aca="false">_xlfn.IFS(AND(F1046&gt;=8,G1046&gt;=8,H1046&gt;=8),"CHAMPION",AND(F1046&gt;=6,G1046&gt;=7,H1046&gt;=6),"LOYAL CUSTOMER",AND(F1046&gt;=6,G1046&gt;=5,H1046&gt;=5),"POTENTIAL LOYALIST",AND(F1046&gt;=8,G1046&lt;=2,H1046&gt;=5),"NEW CUSTOMERS",AND(F1046&gt;=6,G1046&lt;=2,H1046&gt;=3),"PROMISING",AND(F1046&gt;=3,G1046&gt;=3,H1046&gt;=3),"NEED ATTENTION",AND(F1046&lt;=4,G1046&gt;=6,H1046&gt;=6),"AT RISK",AND(F1046&lt;=2,G1046&gt;=8,H1046&gt;=8),"CAN'T LOSE THEM",AND(F1046&lt;=2,G1046&lt;=2,H1046&lt;=2),"HIBERNATING",TRUE(),"Other")</f>
        <v>Other</v>
      </c>
      <c r="K1046" s="1" t="n">
        <f aca="false">RANK(E1046,$E$7:$E$4378)+COUNTIF($E$7:E1046,E1046)-1</f>
        <v>3573</v>
      </c>
    </row>
    <row r="1047" customFormat="false" ht="14.25" hidden="false" customHeight="true" outlineLevel="0" collapsed="false">
      <c r="A1047" s="51" t="n">
        <v>13740</v>
      </c>
      <c r="B1047" s="53" t="n">
        <v>40646.4388888889</v>
      </c>
      <c r="C1047" s="57" t="n">
        <f aca="false">INT($C$2)-INT(Table3[[#This Row],[Last Purchase Date]])</f>
        <v>241</v>
      </c>
      <c r="D1047" s="1" t="n">
        <v>1</v>
      </c>
      <c r="E1047" s="1" t="n">
        <v>350.75</v>
      </c>
      <c r="F1047" s="1" t="n">
        <f aca="false">ROUND((1-_xlfn.PERCENTRANK.INC($C$7:$C$4378,C1047))*9,0)</f>
        <v>1</v>
      </c>
      <c r="G1047" s="1" t="n">
        <f aca="false">ROUND(_xlfn.PERCENTRANK.INC($D$7:$D$4378,D1047)*9,0)</f>
        <v>0</v>
      </c>
      <c r="H1047" s="1" t="n">
        <f aca="false">ROUND(_xlfn.PERCENTRANK.INC($E$7:$E$4378,E1047)*9,0)</f>
        <v>3</v>
      </c>
      <c r="I1047" s="1" t="str">
        <f aca="false">CONCATENATE(F1047,G1047,H1047)</f>
        <v>103</v>
      </c>
      <c r="J1047" s="1" t="str">
        <f aca="false">_xlfn.IFS(AND(F1047&gt;=8,G1047&gt;=8,H1047&gt;=8),"CHAMPION",AND(F1047&gt;=6,G1047&gt;=7,H1047&gt;=6),"LOYAL CUSTOMER",AND(F1047&gt;=6,G1047&gt;=5,H1047&gt;=5),"POTENTIAL LOYALIST",AND(F1047&gt;=8,G1047&lt;=2,H1047&gt;=5),"NEW CUSTOMERS",AND(F1047&gt;=6,G1047&lt;=2,H1047&gt;=3),"PROMISING",AND(F1047&gt;=3,G1047&gt;=3,H1047&gt;=3),"NEED ATTENTION",AND(F1047&lt;=4,G1047&gt;=6,H1047&gt;=6),"AT RISK",AND(F1047&lt;=2,G1047&gt;=8,H1047&gt;=8),"CAN'T LOSE THEM",AND(F1047&lt;=2,G1047&lt;=2,H1047&lt;=2),"HIBERNATING",TRUE(),"Other")</f>
        <v>Other</v>
      </c>
      <c r="K1047" s="1" t="n">
        <f aca="false">RANK(E1047,$E$7:$E$4378)+COUNTIF($E$7:E1047,E1047)-1</f>
        <v>3003</v>
      </c>
    </row>
    <row r="1048" customFormat="false" ht="14.25" hidden="false" customHeight="true" outlineLevel="0" collapsed="false">
      <c r="A1048" s="51" t="n">
        <v>13741</v>
      </c>
      <c r="B1048" s="53" t="n">
        <v>40815.3881944444</v>
      </c>
      <c r="C1048" s="57" t="n">
        <f aca="false">INT($C$2)-INT(Table3[[#This Row],[Last Purchase Date]])</f>
        <v>72</v>
      </c>
      <c r="D1048" s="1" t="n">
        <v>4</v>
      </c>
      <c r="E1048" s="1" t="n">
        <v>666.33</v>
      </c>
      <c r="F1048" s="1" t="n">
        <f aca="false">ROUND((1-_xlfn.PERCENTRANK.INC($C$7:$C$4378,C1048))*9,0)</f>
        <v>4</v>
      </c>
      <c r="G1048" s="1" t="n">
        <f aca="false">ROUND(_xlfn.PERCENTRANK.INC($D$7:$D$4378,D1048)*9,0)</f>
        <v>5</v>
      </c>
      <c r="H1048" s="1" t="n">
        <f aca="false">ROUND(_xlfn.PERCENTRANK.INC($E$7:$E$4378,E1048)*9,0)</f>
        <v>5</v>
      </c>
      <c r="I1048" s="1" t="str">
        <f aca="false">CONCATENATE(F1048,G1048,H1048)</f>
        <v>455</v>
      </c>
      <c r="J1048" s="1" t="str">
        <f aca="false">_xlfn.IFS(AND(F1048&gt;=8,G1048&gt;=8,H1048&gt;=8),"CHAMPION",AND(F1048&gt;=6,G1048&gt;=7,H1048&gt;=6),"LOYAL CUSTOMER",AND(F1048&gt;=6,G1048&gt;=5,H1048&gt;=5),"POTENTIAL LOYALIST",AND(F1048&gt;=8,G1048&lt;=2,H1048&gt;=5),"NEW CUSTOMERS",AND(F1048&gt;=6,G1048&lt;=2,H1048&gt;=3),"PROMISING",AND(F1048&gt;=3,G1048&gt;=3,H1048&gt;=3),"NEED ATTENTION",AND(F1048&lt;=4,G1048&gt;=6,H1048&gt;=6),"AT RISK",AND(F1048&lt;=2,G1048&gt;=8,H1048&gt;=8),"CAN'T LOSE THEM",AND(F1048&lt;=2,G1048&lt;=2,H1048&lt;=2),"HIBERNATING",TRUE(),"Other")</f>
        <v>NEED ATTENTION</v>
      </c>
      <c r="K1048" s="1" t="n">
        <f aca="false">RANK(E1048,$E$7:$E$4378)+COUNTIF($E$7:E1048,E1048)-1</f>
        <v>2138</v>
      </c>
    </row>
    <row r="1049" customFormat="false" ht="14.25" hidden="false" customHeight="true" outlineLevel="0" collapsed="false">
      <c r="A1049" s="51" t="n">
        <v>13742</v>
      </c>
      <c r="B1049" s="53" t="n">
        <v>40870.4631944444</v>
      </c>
      <c r="C1049" s="57" t="n">
        <f aca="false">INT($C$2)-INT(Table3[[#This Row],[Last Purchase Date]])</f>
        <v>17</v>
      </c>
      <c r="D1049" s="1" t="n">
        <v>14</v>
      </c>
      <c r="E1049" s="1" t="n">
        <v>3102.42</v>
      </c>
      <c r="F1049" s="1" t="n">
        <f aca="false">ROUND((1-_xlfn.PERCENTRANK.INC($C$7:$C$4378,C1049))*9,0)</f>
        <v>7</v>
      </c>
      <c r="G1049" s="1" t="n">
        <f aca="false">ROUND(_xlfn.PERCENTRANK.INC($D$7:$D$4378,D1049)*9,0)</f>
        <v>8</v>
      </c>
      <c r="H1049" s="1" t="n">
        <f aca="false">ROUND(_xlfn.PERCENTRANK.INC($E$7:$E$4378,E1049)*9,0)</f>
        <v>8</v>
      </c>
      <c r="I1049" s="1" t="str">
        <f aca="false">CONCATENATE(F1049,G1049,H1049)</f>
        <v>788</v>
      </c>
      <c r="J1049" s="1" t="str">
        <f aca="false">_xlfn.IFS(AND(F1049&gt;=8,G1049&gt;=8,H1049&gt;=8),"CHAMPION",AND(F1049&gt;=6,G1049&gt;=7,H1049&gt;=6),"LOYAL CUSTOMER",AND(F1049&gt;=6,G1049&gt;=5,H1049&gt;=5),"POTENTIAL LOYALIST",AND(F1049&gt;=8,G1049&lt;=2,H1049&gt;=5),"NEW CUSTOMERS",AND(F1049&gt;=6,G1049&lt;=2,H1049&gt;=3),"PROMISING",AND(F1049&gt;=3,G1049&gt;=3,H1049&gt;=3),"NEED ATTENTION",AND(F1049&lt;=4,G1049&gt;=6,H1049&gt;=6),"AT RISK",AND(F1049&lt;=2,G1049&gt;=8,H1049&gt;=8),"CAN'T LOSE THEM",AND(F1049&lt;=2,G1049&lt;=2,H1049&lt;=2),"HIBERNATING",TRUE(),"Other")</f>
        <v>LOYAL CUSTOMER</v>
      </c>
      <c r="K1049" s="1" t="n">
        <f aca="false">RANK(E1049,$E$7:$E$4378)+COUNTIF($E$7:E1049,E1049)-1</f>
        <v>512</v>
      </c>
    </row>
    <row r="1050" customFormat="false" ht="14.25" hidden="false" customHeight="true" outlineLevel="0" collapsed="false">
      <c r="A1050" s="51" t="n">
        <v>13743</v>
      </c>
      <c r="B1050" s="53" t="n">
        <v>40884.4229166667</v>
      </c>
      <c r="C1050" s="57" t="n">
        <f aca="false">INT($C$2)-INT(Table3[[#This Row],[Last Purchase Date]])</f>
        <v>3</v>
      </c>
      <c r="D1050" s="1" t="n">
        <v>8</v>
      </c>
      <c r="E1050" s="1" t="n">
        <v>1340.15</v>
      </c>
      <c r="F1050" s="1" t="n">
        <f aca="false">ROUND((1-_xlfn.PERCENTRANK.INC($C$7:$C$4378,C1050))*9,0)</f>
        <v>9</v>
      </c>
      <c r="G1050" s="1" t="n">
        <f aca="false">ROUND(_xlfn.PERCENTRANK.INC($D$7:$D$4378,D1050)*9,0)</f>
        <v>7</v>
      </c>
      <c r="H1050" s="1" t="n">
        <f aca="false">ROUND(_xlfn.PERCENTRANK.INC($E$7:$E$4378,E1050)*9,0)</f>
        <v>6</v>
      </c>
      <c r="I1050" s="1" t="str">
        <f aca="false">CONCATENATE(F1050,G1050,H1050)</f>
        <v>976</v>
      </c>
      <c r="J1050" s="1" t="str">
        <f aca="false">_xlfn.IFS(AND(F1050&gt;=8,G1050&gt;=8,H1050&gt;=8),"CHAMPION",AND(F1050&gt;=6,G1050&gt;=7,H1050&gt;=6),"LOYAL CUSTOMER",AND(F1050&gt;=6,G1050&gt;=5,H1050&gt;=5),"POTENTIAL LOYALIST",AND(F1050&gt;=8,G1050&lt;=2,H1050&gt;=5),"NEW CUSTOMERS",AND(F1050&gt;=6,G1050&lt;=2,H1050&gt;=3),"PROMISING",AND(F1050&gt;=3,G1050&gt;=3,H1050&gt;=3),"NEED ATTENTION",AND(F1050&lt;=4,G1050&gt;=6,H1050&gt;=6),"AT RISK",AND(F1050&lt;=2,G1050&gt;=8,H1050&gt;=8),"CAN'T LOSE THEM",AND(F1050&lt;=2,G1050&lt;=2,H1050&lt;=2),"HIBERNATING",TRUE(),"Other")</f>
        <v>LOYAL CUSTOMER</v>
      </c>
      <c r="K1050" s="1" t="n">
        <f aca="false">RANK(E1050,$E$7:$E$4378)+COUNTIF($E$7:E1050,E1050)-1</f>
        <v>1286</v>
      </c>
    </row>
    <row r="1051" customFormat="false" ht="14.25" hidden="false" customHeight="true" outlineLevel="0" collapsed="false">
      <c r="A1051" s="51" t="n">
        <v>13744</v>
      </c>
      <c r="B1051" s="53" t="n">
        <v>40791.6381944444</v>
      </c>
      <c r="C1051" s="57" t="n">
        <f aca="false">INT($C$2)-INT(Table3[[#This Row],[Last Purchase Date]])</f>
        <v>96</v>
      </c>
      <c r="D1051" s="1" t="n">
        <v>2</v>
      </c>
      <c r="E1051" s="1" t="n">
        <v>1156.36</v>
      </c>
      <c r="F1051" s="1" t="n">
        <f aca="false">ROUND((1-_xlfn.PERCENTRANK.INC($C$7:$C$4378,C1051))*9,0)</f>
        <v>3</v>
      </c>
      <c r="G1051" s="1" t="n">
        <f aca="false">ROUND(_xlfn.PERCENTRANK.INC($D$7:$D$4378,D1051)*9,0)</f>
        <v>3</v>
      </c>
      <c r="H1051" s="1" t="n">
        <f aca="false">ROUND(_xlfn.PERCENTRANK.INC($E$7:$E$4378,E1051)*9,0)</f>
        <v>6</v>
      </c>
      <c r="I1051" s="1" t="str">
        <f aca="false">CONCATENATE(F1051,G1051,H1051)</f>
        <v>336</v>
      </c>
      <c r="J1051" s="1" t="str">
        <f aca="false">_xlfn.IFS(AND(F1051&gt;=8,G1051&gt;=8,H1051&gt;=8),"CHAMPION",AND(F1051&gt;=6,G1051&gt;=7,H1051&gt;=6),"LOYAL CUSTOMER",AND(F1051&gt;=6,G1051&gt;=5,H1051&gt;=5),"POTENTIAL LOYALIST",AND(F1051&gt;=8,G1051&lt;=2,H1051&gt;=5),"NEW CUSTOMERS",AND(F1051&gt;=6,G1051&lt;=2,H1051&gt;=3),"PROMISING",AND(F1051&gt;=3,G1051&gt;=3,H1051&gt;=3),"NEED ATTENTION",AND(F1051&lt;=4,G1051&gt;=6,H1051&gt;=6),"AT RISK",AND(F1051&lt;=2,G1051&gt;=8,H1051&gt;=8),"CAN'T LOSE THEM",AND(F1051&lt;=2,G1051&lt;=2,H1051&lt;=2),"HIBERNATING",TRUE(),"Other")</f>
        <v>NEED ATTENTION</v>
      </c>
      <c r="K1051" s="1" t="n">
        <f aca="false">RANK(E1051,$E$7:$E$4378)+COUNTIF($E$7:E1051,E1051)-1</f>
        <v>1445</v>
      </c>
    </row>
    <row r="1052" customFormat="false" ht="14.25" hidden="false" customHeight="true" outlineLevel="0" collapsed="false">
      <c r="A1052" s="51" t="n">
        <v>13745</v>
      </c>
      <c r="B1052" s="53" t="n">
        <v>40735.5979166667</v>
      </c>
      <c r="C1052" s="57" t="n">
        <f aca="false">INT($C$2)-INT(Table3[[#This Row],[Last Purchase Date]])</f>
        <v>152</v>
      </c>
      <c r="D1052" s="1" t="n">
        <v>2</v>
      </c>
      <c r="E1052" s="1" t="n">
        <v>291.54</v>
      </c>
      <c r="F1052" s="1" t="n">
        <f aca="false">ROUND((1-_xlfn.PERCENTRANK.INC($C$7:$C$4378,C1052))*9,0)</f>
        <v>2</v>
      </c>
      <c r="G1052" s="1" t="n">
        <f aca="false">ROUND(_xlfn.PERCENTRANK.INC($D$7:$D$4378,D1052)*9,0)</f>
        <v>3</v>
      </c>
      <c r="H1052" s="1" t="n">
        <f aca="false">ROUND(_xlfn.PERCENTRANK.INC($E$7:$E$4378,E1052)*9,0)</f>
        <v>2</v>
      </c>
      <c r="I1052" s="1" t="str">
        <f aca="false">CONCATENATE(F1052,G1052,H1052)</f>
        <v>232</v>
      </c>
      <c r="J1052" s="1" t="str">
        <f aca="false">_xlfn.IFS(AND(F1052&gt;=8,G1052&gt;=8,H1052&gt;=8),"CHAMPION",AND(F1052&gt;=6,G1052&gt;=7,H1052&gt;=6),"LOYAL CUSTOMER",AND(F1052&gt;=6,G1052&gt;=5,H1052&gt;=5),"POTENTIAL LOYALIST",AND(F1052&gt;=8,G1052&lt;=2,H1052&gt;=5),"NEW CUSTOMERS",AND(F1052&gt;=6,G1052&lt;=2,H1052&gt;=3),"PROMISING",AND(F1052&gt;=3,G1052&gt;=3,H1052&gt;=3),"NEED ATTENTION",AND(F1052&lt;=4,G1052&gt;=6,H1052&gt;=6),"AT RISK",AND(F1052&lt;=2,G1052&gt;=8,H1052&gt;=8),"CAN'T LOSE THEM",AND(F1052&lt;=2,G1052&lt;=2,H1052&lt;=2),"HIBERNATING",TRUE(),"Other")</f>
        <v>Other</v>
      </c>
      <c r="K1052" s="1" t="n">
        <f aca="false">RANK(E1052,$E$7:$E$4378)+COUNTIF($E$7:E1052,E1052)-1</f>
        <v>3287</v>
      </c>
    </row>
    <row r="1053" customFormat="false" ht="14.25" hidden="false" customHeight="true" outlineLevel="0" collapsed="false">
      <c r="A1053" s="51" t="n">
        <v>13747</v>
      </c>
      <c r="B1053" s="53" t="n">
        <v>40513.4423611111</v>
      </c>
      <c r="C1053" s="57" t="n">
        <f aca="false">INT($C$2)-INT(Table3[[#This Row],[Last Purchase Date]])</f>
        <v>374</v>
      </c>
      <c r="D1053" s="1" t="n">
        <v>1</v>
      </c>
      <c r="E1053" s="1" t="n">
        <v>79.6</v>
      </c>
      <c r="F1053" s="1" t="n">
        <f aca="false">ROUND((1-_xlfn.PERCENTRANK.INC($C$7:$C$4378,C1053))*9,0)</f>
        <v>0</v>
      </c>
      <c r="G1053" s="1" t="n">
        <f aca="false">ROUND(_xlfn.PERCENTRANK.INC($D$7:$D$4378,D1053)*9,0)</f>
        <v>0</v>
      </c>
      <c r="H1053" s="1" t="n">
        <f aca="false">ROUND(_xlfn.PERCENTRANK.INC($E$7:$E$4378,E1053)*9,0)</f>
        <v>0</v>
      </c>
      <c r="I1053" s="1" t="str">
        <f aca="false">CONCATENATE(F1053,G1053,H1053)</f>
        <v>000</v>
      </c>
      <c r="J1053" s="1" t="str">
        <f aca="false">_xlfn.IFS(AND(F1053&gt;=8,G1053&gt;=8,H1053&gt;=8),"CHAMPION",AND(F1053&gt;=6,G1053&gt;=7,H1053&gt;=6),"LOYAL CUSTOMER",AND(F1053&gt;=6,G1053&gt;=5,H1053&gt;=5),"POTENTIAL LOYALIST",AND(F1053&gt;=8,G1053&lt;=2,H1053&gt;=5),"NEW CUSTOMERS",AND(F1053&gt;=6,G1053&lt;=2,H1053&gt;=3),"PROMISING",AND(F1053&gt;=3,G1053&gt;=3,H1053&gt;=3),"NEED ATTENTION",AND(F1053&lt;=4,G1053&gt;=6,H1053&gt;=6),"AT RISK",AND(F1053&lt;=2,G1053&gt;=8,H1053&gt;=8),"CAN'T LOSE THEM",AND(F1053&lt;=2,G1053&lt;=2,H1053&lt;=2),"HIBERNATING",TRUE(),"Other")</f>
        <v>HIBERNATING</v>
      </c>
      <c r="K1053" s="1" t="n">
        <f aca="false">RANK(E1053,$E$7:$E$4378)+COUNTIF($E$7:E1053,E1053)-1</f>
        <v>4219</v>
      </c>
    </row>
    <row r="1054" customFormat="false" ht="14.25" hidden="false" customHeight="true" outlineLevel="0" collapsed="false">
      <c r="A1054" s="51" t="n">
        <v>13748</v>
      </c>
      <c r="B1054" s="53" t="n">
        <v>40791.40625</v>
      </c>
      <c r="C1054" s="57" t="n">
        <f aca="false">INT($C$2)-INT(Table3[[#This Row],[Last Purchase Date]])</f>
        <v>96</v>
      </c>
      <c r="D1054" s="1" t="n">
        <v>5</v>
      </c>
      <c r="E1054" s="1" t="n">
        <v>948.25</v>
      </c>
      <c r="F1054" s="1" t="n">
        <f aca="false">ROUND((1-_xlfn.PERCENTRANK.INC($C$7:$C$4378,C1054))*9,0)</f>
        <v>3</v>
      </c>
      <c r="G1054" s="1" t="n">
        <f aca="false">ROUND(_xlfn.PERCENTRANK.INC($D$7:$D$4378,D1054)*9,0)</f>
        <v>6</v>
      </c>
      <c r="H1054" s="1" t="n">
        <f aca="false">ROUND(_xlfn.PERCENTRANK.INC($E$7:$E$4378,E1054)*9,0)</f>
        <v>6</v>
      </c>
      <c r="I1054" s="1" t="str">
        <f aca="false">CONCATENATE(F1054,G1054,H1054)</f>
        <v>366</v>
      </c>
      <c r="J1054" s="1" t="str">
        <f aca="false">_xlfn.IFS(AND(F1054&gt;=8,G1054&gt;=8,H1054&gt;=8),"CHAMPION",AND(F1054&gt;=6,G1054&gt;=7,H1054&gt;=6),"LOYAL CUSTOMER",AND(F1054&gt;=6,G1054&gt;=5,H1054&gt;=5),"POTENTIAL LOYALIST",AND(F1054&gt;=8,G1054&lt;=2,H1054&gt;=5),"NEW CUSTOMERS",AND(F1054&gt;=6,G1054&lt;=2,H1054&gt;=3),"PROMISING",AND(F1054&gt;=3,G1054&gt;=3,H1054&gt;=3),"NEED ATTENTION",AND(F1054&lt;=4,G1054&gt;=6,H1054&gt;=6),"AT RISK",AND(F1054&lt;=2,G1054&gt;=8,H1054&gt;=8),"CAN'T LOSE THEM",AND(F1054&lt;=2,G1054&lt;=2,H1054&lt;=2),"HIBERNATING",TRUE(),"Other")</f>
        <v>NEED ATTENTION</v>
      </c>
      <c r="K1054" s="1" t="n">
        <f aca="false">RANK(E1054,$E$7:$E$4378)+COUNTIF($E$7:E1054,E1054)-1</f>
        <v>1698</v>
      </c>
    </row>
    <row r="1055" customFormat="false" ht="14.25" hidden="false" customHeight="true" outlineLevel="0" collapsed="false">
      <c r="A1055" s="51" t="n">
        <v>13750</v>
      </c>
      <c r="B1055" s="53" t="n">
        <v>40833.5111111111</v>
      </c>
      <c r="C1055" s="57" t="n">
        <f aca="false">INT($C$2)-INT(Table3[[#This Row],[Last Purchase Date]])</f>
        <v>54</v>
      </c>
      <c r="D1055" s="1" t="n">
        <v>5</v>
      </c>
      <c r="E1055" s="1" t="n">
        <v>1647.26</v>
      </c>
      <c r="F1055" s="1" t="n">
        <f aca="false">ROUND((1-_xlfn.PERCENTRANK.INC($C$7:$C$4378,C1055))*9,0)</f>
        <v>4</v>
      </c>
      <c r="G1055" s="1" t="n">
        <f aca="false">ROUND(_xlfn.PERCENTRANK.INC($D$7:$D$4378,D1055)*9,0)</f>
        <v>6</v>
      </c>
      <c r="H1055" s="1" t="n">
        <f aca="false">ROUND(_xlfn.PERCENTRANK.INC($E$7:$E$4378,E1055)*9,0)</f>
        <v>7</v>
      </c>
      <c r="I1055" s="1" t="str">
        <f aca="false">CONCATENATE(F1055,G1055,H1055)</f>
        <v>467</v>
      </c>
      <c r="J1055" s="1" t="str">
        <f aca="false">_xlfn.IFS(AND(F1055&gt;=8,G1055&gt;=8,H1055&gt;=8),"CHAMPION",AND(F1055&gt;=6,G1055&gt;=7,H1055&gt;=6),"LOYAL CUSTOMER",AND(F1055&gt;=6,G1055&gt;=5,H1055&gt;=5),"POTENTIAL LOYALIST",AND(F1055&gt;=8,G1055&lt;=2,H1055&gt;=5),"NEW CUSTOMERS",AND(F1055&gt;=6,G1055&lt;=2,H1055&gt;=3),"PROMISING",AND(F1055&gt;=3,G1055&gt;=3,H1055&gt;=3),"NEED ATTENTION",AND(F1055&lt;=4,G1055&gt;=6,H1055&gt;=6),"AT RISK",AND(F1055&lt;=2,G1055&gt;=8,H1055&gt;=8),"CAN'T LOSE THEM",AND(F1055&lt;=2,G1055&lt;=2,H1055&lt;=2),"HIBERNATING",TRUE(),"Other")</f>
        <v>NEED ATTENTION</v>
      </c>
      <c r="K1055" s="1" t="n">
        <f aca="false">RANK(E1055,$E$7:$E$4378)+COUNTIF($E$7:E1055,E1055)-1</f>
        <v>1069</v>
      </c>
    </row>
    <row r="1056" customFormat="false" ht="14.25" hidden="false" customHeight="true" outlineLevel="0" collapsed="false">
      <c r="A1056" s="51" t="n">
        <v>13751</v>
      </c>
      <c r="B1056" s="53" t="n">
        <v>40598.6638888889</v>
      </c>
      <c r="C1056" s="57" t="n">
        <f aca="false">INT($C$2)-INT(Table3[[#This Row],[Last Purchase Date]])</f>
        <v>289</v>
      </c>
      <c r="D1056" s="1" t="n">
        <v>1</v>
      </c>
      <c r="E1056" s="1" t="n">
        <v>296.25</v>
      </c>
      <c r="F1056" s="1" t="n">
        <f aca="false">ROUND((1-_xlfn.PERCENTRANK.INC($C$7:$C$4378,C1056))*9,0)</f>
        <v>1</v>
      </c>
      <c r="G1056" s="1" t="n">
        <f aca="false">ROUND(_xlfn.PERCENTRANK.INC($D$7:$D$4378,D1056)*9,0)</f>
        <v>0</v>
      </c>
      <c r="H1056" s="1" t="n">
        <f aca="false">ROUND(_xlfn.PERCENTRANK.INC($E$7:$E$4378,E1056)*9,0)</f>
        <v>2</v>
      </c>
      <c r="I1056" s="1" t="str">
        <f aca="false">CONCATENATE(F1056,G1056,H1056)</f>
        <v>102</v>
      </c>
      <c r="J1056" s="1" t="str">
        <f aca="false">_xlfn.IFS(AND(F1056&gt;=8,G1056&gt;=8,H1056&gt;=8),"CHAMPION",AND(F1056&gt;=6,G1056&gt;=7,H1056&gt;=6),"LOYAL CUSTOMER",AND(F1056&gt;=6,G1056&gt;=5,H1056&gt;=5),"POTENTIAL LOYALIST",AND(F1056&gt;=8,G1056&lt;=2,H1056&gt;=5),"NEW CUSTOMERS",AND(F1056&gt;=6,G1056&lt;=2,H1056&gt;=3),"PROMISING",AND(F1056&gt;=3,G1056&gt;=3,H1056&gt;=3),"NEED ATTENTION",AND(F1056&lt;=4,G1056&gt;=6,H1056&gt;=6),"AT RISK",AND(F1056&lt;=2,G1056&gt;=8,H1056&gt;=8),"CAN'T LOSE THEM",AND(F1056&lt;=2,G1056&lt;=2,H1056&lt;=2),"HIBERNATING",TRUE(),"Other")</f>
        <v>HIBERNATING</v>
      </c>
      <c r="K1056" s="1" t="n">
        <f aca="false">RANK(E1056,$E$7:$E$4378)+COUNTIF($E$7:E1056,E1056)-1</f>
        <v>3271</v>
      </c>
    </row>
    <row r="1057" customFormat="false" ht="14.25" hidden="false" customHeight="true" outlineLevel="0" collapsed="false">
      <c r="A1057" s="51" t="n">
        <v>13752</v>
      </c>
      <c r="B1057" s="53" t="n">
        <v>40762.5944444445</v>
      </c>
      <c r="C1057" s="57" t="n">
        <f aca="false">INT($C$2)-INT(Table3[[#This Row],[Last Purchase Date]])</f>
        <v>125</v>
      </c>
      <c r="D1057" s="1" t="n">
        <v>6</v>
      </c>
      <c r="E1057" s="1" t="n">
        <v>1186.28</v>
      </c>
      <c r="F1057" s="1" t="n">
        <f aca="false">ROUND((1-_xlfn.PERCENTRANK.INC($C$7:$C$4378,C1057))*9,0)</f>
        <v>2</v>
      </c>
      <c r="G1057" s="1" t="n">
        <f aca="false">ROUND(_xlfn.PERCENTRANK.INC($D$7:$D$4378,D1057)*9,0)</f>
        <v>7</v>
      </c>
      <c r="H1057" s="1" t="n">
        <f aca="false">ROUND(_xlfn.PERCENTRANK.INC($E$7:$E$4378,E1057)*9,0)</f>
        <v>6</v>
      </c>
      <c r="I1057" s="1" t="str">
        <f aca="false">CONCATENATE(F1057,G1057,H1057)</f>
        <v>276</v>
      </c>
      <c r="J1057" s="1" t="str">
        <f aca="false">_xlfn.IFS(AND(F1057&gt;=8,G1057&gt;=8,H1057&gt;=8),"CHAMPION",AND(F1057&gt;=6,G1057&gt;=7,H1057&gt;=6),"LOYAL CUSTOMER",AND(F1057&gt;=6,G1057&gt;=5,H1057&gt;=5),"POTENTIAL LOYALIST",AND(F1057&gt;=8,G1057&lt;=2,H1057&gt;=5),"NEW CUSTOMERS",AND(F1057&gt;=6,G1057&lt;=2,H1057&gt;=3),"PROMISING",AND(F1057&gt;=3,G1057&gt;=3,H1057&gt;=3),"NEED ATTENTION",AND(F1057&lt;=4,G1057&gt;=6,H1057&gt;=6),"AT RISK",AND(F1057&lt;=2,G1057&gt;=8,H1057&gt;=8),"CAN'T LOSE THEM",AND(F1057&lt;=2,G1057&lt;=2,H1057&lt;=2),"HIBERNATING",TRUE(),"Other")</f>
        <v>AT RISK</v>
      </c>
      <c r="K1057" s="1" t="n">
        <f aca="false">RANK(E1057,$E$7:$E$4378)+COUNTIF($E$7:E1057,E1057)-1</f>
        <v>1423</v>
      </c>
    </row>
    <row r="1058" customFormat="false" ht="14.25" hidden="false" customHeight="true" outlineLevel="0" collapsed="false">
      <c r="A1058" s="51" t="n">
        <v>13753</v>
      </c>
      <c r="B1058" s="53" t="n">
        <v>40599.5333333333</v>
      </c>
      <c r="C1058" s="57" t="n">
        <f aca="false">INT($C$2)-INT(Table3[[#This Row],[Last Purchase Date]])</f>
        <v>288</v>
      </c>
      <c r="D1058" s="1" t="n">
        <v>1</v>
      </c>
      <c r="E1058" s="1" t="n">
        <v>741.26</v>
      </c>
      <c r="F1058" s="1" t="n">
        <f aca="false">ROUND((1-_xlfn.PERCENTRANK.INC($C$7:$C$4378,C1058))*9,0)</f>
        <v>1</v>
      </c>
      <c r="G1058" s="1" t="n">
        <f aca="false">ROUND(_xlfn.PERCENTRANK.INC($D$7:$D$4378,D1058)*9,0)</f>
        <v>0</v>
      </c>
      <c r="H1058" s="1" t="n">
        <f aca="false">ROUND(_xlfn.PERCENTRANK.INC($E$7:$E$4378,E1058)*9,0)</f>
        <v>5</v>
      </c>
      <c r="I1058" s="1" t="str">
        <f aca="false">CONCATENATE(F1058,G1058,H1058)</f>
        <v>105</v>
      </c>
      <c r="J1058" s="1" t="str">
        <f aca="false">_xlfn.IFS(AND(F1058&gt;=8,G1058&gt;=8,H1058&gt;=8),"CHAMPION",AND(F1058&gt;=6,G1058&gt;=7,H1058&gt;=6),"LOYAL CUSTOMER",AND(F1058&gt;=6,G1058&gt;=5,H1058&gt;=5),"POTENTIAL LOYALIST",AND(F1058&gt;=8,G1058&lt;=2,H1058&gt;=5),"NEW CUSTOMERS",AND(F1058&gt;=6,G1058&lt;=2,H1058&gt;=3),"PROMISING",AND(F1058&gt;=3,G1058&gt;=3,H1058&gt;=3),"NEED ATTENTION",AND(F1058&lt;=4,G1058&gt;=6,H1058&gt;=6),"AT RISK",AND(F1058&lt;=2,G1058&gt;=8,H1058&gt;=8),"CAN'T LOSE THEM",AND(F1058&lt;=2,G1058&lt;=2,H1058&lt;=2),"HIBERNATING",TRUE(),"Other")</f>
        <v>Other</v>
      </c>
      <c r="K1058" s="1" t="n">
        <f aca="false">RANK(E1058,$E$7:$E$4378)+COUNTIF($E$7:E1058,E1058)-1</f>
        <v>1989</v>
      </c>
    </row>
    <row r="1059" customFormat="false" ht="14.25" hidden="false" customHeight="true" outlineLevel="0" collapsed="false">
      <c r="A1059" s="51" t="n">
        <v>13754</v>
      </c>
      <c r="B1059" s="53" t="n">
        <v>40735.49375</v>
      </c>
      <c r="C1059" s="57" t="n">
        <f aca="false">INT($C$2)-INT(Table3[[#This Row],[Last Purchase Date]])</f>
        <v>152</v>
      </c>
      <c r="D1059" s="1" t="n">
        <v>2</v>
      </c>
      <c r="E1059" s="1" t="n">
        <v>282.6</v>
      </c>
      <c r="F1059" s="1" t="n">
        <f aca="false">ROUND((1-_xlfn.PERCENTRANK.INC($C$7:$C$4378,C1059))*9,0)</f>
        <v>2</v>
      </c>
      <c r="G1059" s="1" t="n">
        <f aca="false">ROUND(_xlfn.PERCENTRANK.INC($D$7:$D$4378,D1059)*9,0)</f>
        <v>3</v>
      </c>
      <c r="H1059" s="1" t="n">
        <f aca="false">ROUND(_xlfn.PERCENTRANK.INC($E$7:$E$4378,E1059)*9,0)</f>
        <v>2</v>
      </c>
      <c r="I1059" s="1" t="str">
        <f aca="false">CONCATENATE(F1059,G1059,H1059)</f>
        <v>232</v>
      </c>
      <c r="J1059" s="1" t="str">
        <f aca="false">_xlfn.IFS(AND(F1059&gt;=8,G1059&gt;=8,H1059&gt;=8),"CHAMPION",AND(F1059&gt;=6,G1059&gt;=7,H1059&gt;=6),"LOYAL CUSTOMER",AND(F1059&gt;=6,G1059&gt;=5,H1059&gt;=5),"POTENTIAL LOYALIST",AND(F1059&gt;=8,G1059&lt;=2,H1059&gt;=5),"NEW CUSTOMERS",AND(F1059&gt;=6,G1059&lt;=2,H1059&gt;=3),"PROMISING",AND(F1059&gt;=3,G1059&gt;=3,H1059&gt;=3),"NEED ATTENTION",AND(F1059&lt;=4,G1059&gt;=6,H1059&gt;=6),"AT RISK",AND(F1059&lt;=2,G1059&gt;=8,H1059&gt;=8),"CAN'T LOSE THEM",AND(F1059&lt;=2,G1059&lt;=2,H1059&lt;=2),"HIBERNATING",TRUE(),"Other")</f>
        <v>Other</v>
      </c>
      <c r="K1059" s="1" t="n">
        <f aca="false">RANK(E1059,$E$7:$E$4378)+COUNTIF($E$7:E1059,E1059)-1</f>
        <v>3318</v>
      </c>
    </row>
    <row r="1060" customFormat="false" ht="14.25" hidden="false" customHeight="true" outlineLevel="0" collapsed="false">
      <c r="A1060" s="51" t="n">
        <v>13755</v>
      </c>
      <c r="B1060" s="53" t="n">
        <v>40883.5180555556</v>
      </c>
      <c r="C1060" s="57" t="n">
        <f aca="false">INT($C$2)-INT(Table3[[#This Row],[Last Purchase Date]])</f>
        <v>4</v>
      </c>
      <c r="D1060" s="1" t="n">
        <v>10</v>
      </c>
      <c r="E1060" s="1" t="n">
        <v>2154.68</v>
      </c>
      <c r="F1060" s="1" t="n">
        <f aca="false">ROUND((1-_xlfn.PERCENTRANK.INC($C$7:$C$4378,C1060))*9,0)</f>
        <v>8</v>
      </c>
      <c r="G1060" s="1" t="n">
        <f aca="false">ROUND(_xlfn.PERCENTRANK.INC($D$7:$D$4378,D1060)*9,0)</f>
        <v>8</v>
      </c>
      <c r="H1060" s="1" t="n">
        <f aca="false">ROUND(_xlfn.PERCENTRANK.INC($E$7:$E$4378,E1060)*9,0)</f>
        <v>7</v>
      </c>
      <c r="I1060" s="1" t="str">
        <f aca="false">CONCATENATE(F1060,G1060,H1060)</f>
        <v>887</v>
      </c>
      <c r="J1060" s="1" t="str">
        <f aca="false">_xlfn.IFS(AND(F1060&gt;=8,G1060&gt;=8,H1060&gt;=8),"CHAMPION",AND(F1060&gt;=6,G1060&gt;=7,H1060&gt;=6),"LOYAL CUSTOMER",AND(F1060&gt;=6,G1060&gt;=5,H1060&gt;=5),"POTENTIAL LOYALIST",AND(F1060&gt;=8,G1060&lt;=2,H1060&gt;=5),"NEW CUSTOMERS",AND(F1060&gt;=6,G1060&lt;=2,H1060&gt;=3),"PROMISING",AND(F1060&gt;=3,G1060&gt;=3,H1060&gt;=3),"NEED ATTENTION",AND(F1060&lt;=4,G1060&gt;=6,H1060&gt;=6),"AT RISK",AND(F1060&lt;=2,G1060&gt;=8,H1060&gt;=8),"CAN'T LOSE THEM",AND(F1060&lt;=2,G1060&lt;=2,H1060&lt;=2),"HIBERNATING",TRUE(),"Other")</f>
        <v>LOYAL CUSTOMER</v>
      </c>
      <c r="K1060" s="1" t="n">
        <f aca="false">RANK(E1060,$E$7:$E$4378)+COUNTIF($E$7:E1060,E1060)-1</f>
        <v>802</v>
      </c>
    </row>
    <row r="1061" customFormat="false" ht="14.25" hidden="false" customHeight="true" outlineLevel="0" collapsed="false">
      <c r="A1061" s="51" t="n">
        <v>13756</v>
      </c>
      <c r="B1061" s="53" t="n">
        <v>40884.6972222222</v>
      </c>
      <c r="C1061" s="57" t="n">
        <f aca="false">INT($C$2)-INT(Table3[[#This Row],[Last Purchase Date]])</f>
        <v>3</v>
      </c>
      <c r="D1061" s="1" t="n">
        <v>15</v>
      </c>
      <c r="E1061" s="1" t="n">
        <v>5145.12</v>
      </c>
      <c r="F1061" s="1" t="n">
        <f aca="false">ROUND((1-_xlfn.PERCENTRANK.INC($C$7:$C$4378,C1061))*9,0)</f>
        <v>9</v>
      </c>
      <c r="G1061" s="1" t="n">
        <f aca="false">ROUND(_xlfn.PERCENTRANK.INC($D$7:$D$4378,D1061)*9,0)</f>
        <v>8</v>
      </c>
      <c r="H1061" s="1" t="n">
        <f aca="false">ROUND(_xlfn.PERCENTRANK.INC($E$7:$E$4378,E1061)*9,0)</f>
        <v>8</v>
      </c>
      <c r="I1061" s="1" t="str">
        <f aca="false">CONCATENATE(F1061,G1061,H1061)</f>
        <v>988</v>
      </c>
      <c r="J1061" s="1" t="str">
        <f aca="false">_xlfn.IFS(AND(F1061&gt;=8,G1061&gt;=8,H1061&gt;=8),"CHAMPION",AND(F1061&gt;=6,G1061&gt;=7,H1061&gt;=6),"LOYAL CUSTOMER",AND(F1061&gt;=6,G1061&gt;=5,H1061&gt;=5),"POTENTIAL LOYALIST",AND(F1061&gt;=8,G1061&lt;=2,H1061&gt;=5),"NEW CUSTOMERS",AND(F1061&gt;=6,G1061&lt;=2,H1061&gt;=3),"PROMISING",AND(F1061&gt;=3,G1061&gt;=3,H1061&gt;=3),"NEED ATTENTION",AND(F1061&lt;=4,G1061&gt;=6,H1061&gt;=6),"AT RISK",AND(F1061&lt;=2,G1061&gt;=8,H1061&gt;=8),"CAN'T LOSE THEM",AND(F1061&lt;=2,G1061&lt;=2,H1061&lt;=2),"HIBERNATING",TRUE(),"Other")</f>
        <v>CHAMPION</v>
      </c>
      <c r="K1061" s="1" t="n">
        <f aca="false">RANK(E1061,$E$7:$E$4378)+COUNTIF($E$7:E1061,E1061)-1</f>
        <v>249</v>
      </c>
    </row>
    <row r="1062" customFormat="false" ht="14.25" hidden="false" customHeight="true" outlineLevel="0" collapsed="false">
      <c r="A1062" s="51" t="n">
        <v>13758</v>
      </c>
      <c r="B1062" s="53" t="n">
        <v>40875.4659722222</v>
      </c>
      <c r="C1062" s="57" t="n">
        <f aca="false">INT($C$2)-INT(Table3[[#This Row],[Last Purchase Date]])</f>
        <v>12</v>
      </c>
      <c r="D1062" s="1" t="n">
        <v>7</v>
      </c>
      <c r="E1062" s="1" t="n">
        <v>3190.55</v>
      </c>
      <c r="F1062" s="1" t="n">
        <f aca="false">ROUND((1-_xlfn.PERCENTRANK.INC($C$7:$C$4378,C1062))*9,0)</f>
        <v>7</v>
      </c>
      <c r="G1062" s="1" t="n">
        <f aca="false">ROUND(_xlfn.PERCENTRANK.INC($D$7:$D$4378,D1062)*9,0)</f>
        <v>7</v>
      </c>
      <c r="H1062" s="1" t="n">
        <f aca="false">ROUND(_xlfn.PERCENTRANK.INC($E$7:$E$4378,E1062)*9,0)</f>
        <v>8</v>
      </c>
      <c r="I1062" s="1" t="str">
        <f aca="false">CONCATENATE(F1062,G1062,H1062)</f>
        <v>778</v>
      </c>
      <c r="J1062" s="1" t="str">
        <f aca="false">_xlfn.IFS(AND(F1062&gt;=8,G1062&gt;=8,H1062&gt;=8),"CHAMPION",AND(F1062&gt;=6,G1062&gt;=7,H1062&gt;=6),"LOYAL CUSTOMER",AND(F1062&gt;=6,G1062&gt;=5,H1062&gt;=5),"POTENTIAL LOYALIST",AND(F1062&gt;=8,G1062&lt;=2,H1062&gt;=5),"NEW CUSTOMERS",AND(F1062&gt;=6,G1062&lt;=2,H1062&gt;=3),"PROMISING",AND(F1062&gt;=3,G1062&gt;=3,H1062&gt;=3),"NEED ATTENTION",AND(F1062&lt;=4,G1062&gt;=6,H1062&gt;=6),"AT RISK",AND(F1062&lt;=2,G1062&gt;=8,H1062&gt;=8),"CAN'T LOSE THEM",AND(F1062&lt;=2,G1062&lt;=2,H1062&lt;=2),"HIBERNATING",TRUE(),"Other")</f>
        <v>LOYAL CUSTOMER</v>
      </c>
      <c r="K1062" s="1" t="n">
        <f aca="false">RANK(E1062,$E$7:$E$4378)+COUNTIF($E$7:E1062,E1062)-1</f>
        <v>496</v>
      </c>
    </row>
    <row r="1063" customFormat="false" ht="14.25" hidden="false" customHeight="true" outlineLevel="0" collapsed="false">
      <c r="A1063" s="51" t="n">
        <v>13759</v>
      </c>
      <c r="B1063" s="53" t="n">
        <v>40853.6159722222</v>
      </c>
      <c r="C1063" s="57" t="n">
        <f aca="false">INT($C$2)-INT(Table3[[#This Row],[Last Purchase Date]])</f>
        <v>34</v>
      </c>
      <c r="D1063" s="1" t="n">
        <v>2</v>
      </c>
      <c r="E1063" s="1" t="n">
        <v>659.41</v>
      </c>
      <c r="F1063" s="1" t="n">
        <f aca="false">ROUND((1-_xlfn.PERCENTRANK.INC($C$7:$C$4378,C1063))*9,0)</f>
        <v>5</v>
      </c>
      <c r="G1063" s="1" t="n">
        <f aca="false">ROUND(_xlfn.PERCENTRANK.INC($D$7:$D$4378,D1063)*9,0)</f>
        <v>3</v>
      </c>
      <c r="H1063" s="1" t="n">
        <f aca="false">ROUND(_xlfn.PERCENTRANK.INC($E$7:$E$4378,E1063)*9,0)</f>
        <v>5</v>
      </c>
      <c r="I1063" s="1" t="str">
        <f aca="false">CONCATENATE(F1063,G1063,H1063)</f>
        <v>535</v>
      </c>
      <c r="J1063" s="1" t="str">
        <f aca="false">_xlfn.IFS(AND(F1063&gt;=8,G1063&gt;=8,H1063&gt;=8),"CHAMPION",AND(F1063&gt;=6,G1063&gt;=7,H1063&gt;=6),"LOYAL CUSTOMER",AND(F1063&gt;=6,G1063&gt;=5,H1063&gt;=5),"POTENTIAL LOYALIST",AND(F1063&gt;=8,G1063&lt;=2,H1063&gt;=5),"NEW CUSTOMERS",AND(F1063&gt;=6,G1063&lt;=2,H1063&gt;=3),"PROMISING",AND(F1063&gt;=3,G1063&gt;=3,H1063&gt;=3),"NEED ATTENTION",AND(F1063&lt;=4,G1063&gt;=6,H1063&gt;=6),"AT RISK",AND(F1063&lt;=2,G1063&gt;=8,H1063&gt;=8),"CAN'T LOSE THEM",AND(F1063&lt;=2,G1063&lt;=2,H1063&lt;=2),"HIBERNATING",TRUE(),"Other")</f>
        <v>NEED ATTENTION</v>
      </c>
      <c r="K1063" s="1" t="n">
        <f aca="false">RANK(E1063,$E$7:$E$4378)+COUNTIF($E$7:E1063,E1063)-1</f>
        <v>2156</v>
      </c>
    </row>
    <row r="1064" customFormat="false" ht="14.25" hidden="false" customHeight="true" outlineLevel="0" collapsed="false">
      <c r="A1064" s="51" t="n">
        <v>13760</v>
      </c>
      <c r="B1064" s="53" t="n">
        <v>40832.6756944444</v>
      </c>
      <c r="C1064" s="57" t="n">
        <f aca="false">INT($C$2)-INT(Table3[[#This Row],[Last Purchase Date]])</f>
        <v>55</v>
      </c>
      <c r="D1064" s="1" t="n">
        <v>2</v>
      </c>
      <c r="E1064" s="1" t="n">
        <v>286.79</v>
      </c>
      <c r="F1064" s="1" t="n">
        <f aca="false">ROUND((1-_xlfn.PERCENTRANK.INC($C$7:$C$4378,C1064))*9,0)</f>
        <v>4</v>
      </c>
      <c r="G1064" s="1" t="n">
        <f aca="false">ROUND(_xlfn.PERCENTRANK.INC($D$7:$D$4378,D1064)*9,0)</f>
        <v>3</v>
      </c>
      <c r="H1064" s="1" t="n">
        <f aca="false">ROUND(_xlfn.PERCENTRANK.INC($E$7:$E$4378,E1064)*9,0)</f>
        <v>2</v>
      </c>
      <c r="I1064" s="1" t="str">
        <f aca="false">CONCATENATE(F1064,G1064,H1064)</f>
        <v>432</v>
      </c>
      <c r="J1064" s="1" t="str">
        <f aca="false">_xlfn.IFS(AND(F1064&gt;=8,G1064&gt;=8,H1064&gt;=8),"CHAMPION",AND(F1064&gt;=6,G1064&gt;=7,H1064&gt;=6),"LOYAL CUSTOMER",AND(F1064&gt;=6,G1064&gt;=5,H1064&gt;=5),"POTENTIAL LOYALIST",AND(F1064&gt;=8,G1064&lt;=2,H1064&gt;=5),"NEW CUSTOMERS",AND(F1064&gt;=6,G1064&lt;=2,H1064&gt;=3),"PROMISING",AND(F1064&gt;=3,G1064&gt;=3,H1064&gt;=3),"NEED ATTENTION",AND(F1064&lt;=4,G1064&gt;=6,H1064&gt;=6),"AT RISK",AND(F1064&lt;=2,G1064&gt;=8,H1064&gt;=8),"CAN'T LOSE THEM",AND(F1064&lt;=2,G1064&lt;=2,H1064&lt;=2),"HIBERNATING",TRUE(),"Other")</f>
        <v>Other</v>
      </c>
      <c r="K1064" s="1" t="n">
        <f aca="false">RANK(E1064,$E$7:$E$4378)+COUNTIF($E$7:E1064,E1064)-1</f>
        <v>3309</v>
      </c>
    </row>
    <row r="1065" customFormat="false" ht="14.25" hidden="false" customHeight="true" outlineLevel="0" collapsed="false">
      <c r="A1065" s="51" t="n">
        <v>13761</v>
      </c>
      <c r="B1065" s="53" t="n">
        <v>40836.5840277778</v>
      </c>
      <c r="C1065" s="57" t="n">
        <f aca="false">INT($C$2)-INT(Table3[[#This Row],[Last Purchase Date]])</f>
        <v>51</v>
      </c>
      <c r="D1065" s="1" t="n">
        <v>2</v>
      </c>
      <c r="E1065" s="1" t="n">
        <v>1070.65</v>
      </c>
      <c r="F1065" s="1" t="n">
        <f aca="false">ROUND((1-_xlfn.PERCENTRANK.INC($C$7:$C$4378,C1065))*9,0)</f>
        <v>5</v>
      </c>
      <c r="G1065" s="1" t="n">
        <f aca="false">ROUND(_xlfn.PERCENTRANK.INC($D$7:$D$4378,D1065)*9,0)</f>
        <v>3</v>
      </c>
      <c r="H1065" s="1" t="n">
        <f aca="false">ROUND(_xlfn.PERCENTRANK.INC($E$7:$E$4378,E1065)*9,0)</f>
        <v>6</v>
      </c>
      <c r="I1065" s="1" t="str">
        <f aca="false">CONCATENATE(F1065,G1065,H1065)</f>
        <v>536</v>
      </c>
      <c r="J1065" s="1" t="str">
        <f aca="false">_xlfn.IFS(AND(F1065&gt;=8,G1065&gt;=8,H1065&gt;=8),"CHAMPION",AND(F1065&gt;=6,G1065&gt;=7,H1065&gt;=6),"LOYAL CUSTOMER",AND(F1065&gt;=6,G1065&gt;=5,H1065&gt;=5),"POTENTIAL LOYALIST",AND(F1065&gt;=8,G1065&lt;=2,H1065&gt;=5),"NEW CUSTOMERS",AND(F1065&gt;=6,G1065&lt;=2,H1065&gt;=3),"PROMISING",AND(F1065&gt;=3,G1065&gt;=3,H1065&gt;=3),"NEED ATTENTION",AND(F1065&lt;=4,G1065&gt;=6,H1065&gt;=6),"AT RISK",AND(F1065&lt;=2,G1065&gt;=8,H1065&gt;=8),"CAN'T LOSE THEM",AND(F1065&lt;=2,G1065&lt;=2,H1065&lt;=2),"HIBERNATING",TRUE(),"Other")</f>
        <v>NEED ATTENTION</v>
      </c>
      <c r="K1065" s="1" t="n">
        <f aca="false">RANK(E1065,$E$7:$E$4378)+COUNTIF($E$7:E1065,E1065)-1</f>
        <v>1538</v>
      </c>
    </row>
    <row r="1066" customFormat="false" ht="14.25" hidden="false" customHeight="true" outlineLevel="0" collapsed="false">
      <c r="A1066" s="51" t="n">
        <v>13762</v>
      </c>
      <c r="B1066" s="53" t="n">
        <v>40682.6409722222</v>
      </c>
      <c r="C1066" s="57" t="n">
        <f aca="false">INT($C$2)-INT(Table3[[#This Row],[Last Purchase Date]])</f>
        <v>205</v>
      </c>
      <c r="D1066" s="1" t="n">
        <v>2</v>
      </c>
      <c r="E1066" s="1" t="n">
        <v>4.2632564145606E-014</v>
      </c>
      <c r="F1066" s="1" t="n">
        <f aca="false">ROUND((1-_xlfn.PERCENTRANK.INC($C$7:$C$4378,C1066))*9,0)</f>
        <v>2</v>
      </c>
      <c r="G1066" s="1" t="n">
        <f aca="false">ROUND(_xlfn.PERCENTRANK.INC($D$7:$D$4378,D1066)*9,0)</f>
        <v>3</v>
      </c>
      <c r="H1066" s="1" t="n">
        <f aca="false">ROUND(_xlfn.PERCENTRANK.INC($E$7:$E$4378,E1066)*9,0)</f>
        <v>0</v>
      </c>
      <c r="I1066" s="1" t="str">
        <f aca="false">CONCATENATE(F1066,G1066,H1066)</f>
        <v>230</v>
      </c>
      <c r="J1066" s="1" t="str">
        <f aca="false">_xlfn.IFS(AND(F1066&gt;=8,G1066&gt;=8,H1066&gt;=8),"CHAMPION",AND(F1066&gt;=6,G1066&gt;=7,H1066&gt;=6),"LOYAL CUSTOMER",AND(F1066&gt;=6,G1066&gt;=5,H1066&gt;=5),"POTENTIAL LOYALIST",AND(F1066&gt;=8,G1066&lt;=2,H1066&gt;=5),"NEW CUSTOMERS",AND(F1066&gt;=6,G1066&lt;=2,H1066&gt;=3),"PROMISING",AND(F1066&gt;=3,G1066&gt;=3,H1066&gt;=3),"NEED ATTENTION",AND(F1066&lt;=4,G1066&gt;=6,H1066&gt;=6),"AT RISK",AND(F1066&lt;=2,G1066&gt;=8,H1066&gt;=8),"CAN'T LOSE THEM",AND(F1066&lt;=2,G1066&lt;=2,H1066&lt;=2),"HIBERNATING",TRUE(),"Other")</f>
        <v>Other</v>
      </c>
      <c r="K1066" s="1" t="n">
        <f aca="false">RANK(E1066,$E$7:$E$4378)+COUNTIF($E$7:E1066,E1066)-1</f>
        <v>4318</v>
      </c>
    </row>
    <row r="1067" customFormat="false" ht="14.25" hidden="false" customHeight="true" outlineLevel="0" collapsed="false">
      <c r="A1067" s="51" t="n">
        <v>13763</v>
      </c>
      <c r="B1067" s="53" t="n">
        <v>40823.6340277778</v>
      </c>
      <c r="C1067" s="57" t="n">
        <f aca="false">INT($C$2)-INT(Table3[[#This Row],[Last Purchase Date]])</f>
        <v>64</v>
      </c>
      <c r="D1067" s="1" t="n">
        <v>3</v>
      </c>
      <c r="E1067" s="1" t="n">
        <v>1689.46</v>
      </c>
      <c r="F1067" s="1" t="n">
        <f aca="false">ROUND((1-_xlfn.PERCENTRANK.INC($C$7:$C$4378,C1067))*9,0)</f>
        <v>4</v>
      </c>
      <c r="G1067" s="1" t="n">
        <f aca="false">ROUND(_xlfn.PERCENTRANK.INC($D$7:$D$4378,D1067)*9,0)</f>
        <v>4</v>
      </c>
      <c r="H1067" s="1" t="n">
        <f aca="false">ROUND(_xlfn.PERCENTRANK.INC($E$7:$E$4378,E1067)*9,0)</f>
        <v>7</v>
      </c>
      <c r="I1067" s="1" t="str">
        <f aca="false">CONCATENATE(F1067,G1067,H1067)</f>
        <v>447</v>
      </c>
      <c r="J1067" s="1" t="str">
        <f aca="false">_xlfn.IFS(AND(F1067&gt;=8,G1067&gt;=8,H1067&gt;=8),"CHAMPION",AND(F1067&gt;=6,G1067&gt;=7,H1067&gt;=6),"LOYAL CUSTOMER",AND(F1067&gt;=6,G1067&gt;=5,H1067&gt;=5),"POTENTIAL LOYALIST",AND(F1067&gt;=8,G1067&lt;=2,H1067&gt;=5),"NEW CUSTOMERS",AND(F1067&gt;=6,G1067&lt;=2,H1067&gt;=3),"PROMISING",AND(F1067&gt;=3,G1067&gt;=3,H1067&gt;=3),"NEED ATTENTION",AND(F1067&lt;=4,G1067&gt;=6,H1067&gt;=6),"AT RISK",AND(F1067&lt;=2,G1067&gt;=8,H1067&gt;=8),"CAN'T LOSE THEM",AND(F1067&lt;=2,G1067&lt;=2,H1067&lt;=2),"HIBERNATING",TRUE(),"Other")</f>
        <v>NEED ATTENTION</v>
      </c>
      <c r="K1067" s="1" t="n">
        <f aca="false">RANK(E1067,$E$7:$E$4378)+COUNTIF($E$7:E1067,E1067)-1</f>
        <v>1044</v>
      </c>
    </row>
    <row r="1068" customFormat="false" ht="14.25" hidden="false" customHeight="true" outlineLevel="0" collapsed="false">
      <c r="A1068" s="51" t="n">
        <v>13764</v>
      </c>
      <c r="B1068" s="53" t="n">
        <v>40816.5020833333</v>
      </c>
      <c r="C1068" s="57" t="n">
        <f aca="false">INT($C$2)-INT(Table3[[#This Row],[Last Purchase Date]])</f>
        <v>71</v>
      </c>
      <c r="D1068" s="1" t="n">
        <v>3</v>
      </c>
      <c r="E1068" s="1" t="n">
        <v>1521.76</v>
      </c>
      <c r="F1068" s="1" t="n">
        <f aca="false">ROUND((1-_xlfn.PERCENTRANK.INC($C$7:$C$4378,C1068))*9,0)</f>
        <v>4</v>
      </c>
      <c r="G1068" s="1" t="n">
        <f aca="false">ROUND(_xlfn.PERCENTRANK.INC($D$7:$D$4378,D1068)*9,0)</f>
        <v>4</v>
      </c>
      <c r="H1068" s="1" t="n">
        <f aca="false">ROUND(_xlfn.PERCENTRANK.INC($E$7:$E$4378,E1068)*9,0)</f>
        <v>7</v>
      </c>
      <c r="I1068" s="1" t="str">
        <f aca="false">CONCATENATE(F1068,G1068,H1068)</f>
        <v>447</v>
      </c>
      <c r="J1068" s="1" t="str">
        <f aca="false">_xlfn.IFS(AND(F1068&gt;=8,G1068&gt;=8,H1068&gt;=8),"CHAMPION",AND(F1068&gt;=6,G1068&gt;=7,H1068&gt;=6),"LOYAL CUSTOMER",AND(F1068&gt;=6,G1068&gt;=5,H1068&gt;=5),"POTENTIAL LOYALIST",AND(F1068&gt;=8,G1068&lt;=2,H1068&gt;=5),"NEW CUSTOMERS",AND(F1068&gt;=6,G1068&lt;=2,H1068&gt;=3),"PROMISING",AND(F1068&gt;=3,G1068&gt;=3,H1068&gt;=3),"NEED ATTENTION",AND(F1068&lt;=4,G1068&gt;=6,H1068&gt;=6),"AT RISK",AND(F1068&lt;=2,G1068&gt;=8,H1068&gt;=8),"CAN'T LOSE THEM",AND(F1068&lt;=2,G1068&lt;=2,H1068&lt;=2),"HIBERNATING",TRUE(),"Other")</f>
        <v>NEED ATTENTION</v>
      </c>
      <c r="K1068" s="1" t="n">
        <f aca="false">RANK(E1068,$E$7:$E$4378)+COUNTIF($E$7:E1068,E1068)-1</f>
        <v>1150</v>
      </c>
    </row>
    <row r="1069" customFormat="false" ht="14.25" hidden="false" customHeight="true" outlineLevel="0" collapsed="false">
      <c r="A1069" s="51" t="n">
        <v>13767</v>
      </c>
      <c r="B1069" s="53" t="n">
        <v>40884.625</v>
      </c>
      <c r="C1069" s="57" t="n">
        <f aca="false">INT($C$2)-INT(Table3[[#This Row],[Last Purchase Date]])</f>
        <v>3</v>
      </c>
      <c r="D1069" s="1" t="n">
        <v>52</v>
      </c>
      <c r="E1069" s="1" t="n">
        <v>16945.71</v>
      </c>
      <c r="F1069" s="1" t="n">
        <f aca="false">ROUND((1-_xlfn.PERCENTRANK.INC($C$7:$C$4378,C1069))*9,0)</f>
        <v>9</v>
      </c>
      <c r="G1069" s="1" t="n">
        <f aca="false">ROUND(_xlfn.PERCENTRANK.INC($D$7:$D$4378,D1069)*9,0)</f>
        <v>9</v>
      </c>
      <c r="H1069" s="1" t="n">
        <f aca="false">ROUND(_xlfn.PERCENTRANK.INC($E$7:$E$4378,E1069)*9,0)</f>
        <v>9</v>
      </c>
      <c r="I1069" s="1" t="str">
        <f aca="false">CONCATENATE(F1069,G1069,H1069)</f>
        <v>999</v>
      </c>
      <c r="J1069" s="1" t="str">
        <f aca="false">_xlfn.IFS(AND(F1069&gt;=8,G1069&gt;=8,H1069&gt;=8),"CHAMPION",AND(F1069&gt;=6,G1069&gt;=7,H1069&gt;=6),"LOYAL CUSTOMER",AND(F1069&gt;=6,G1069&gt;=5,H1069&gt;=5),"POTENTIAL LOYALIST",AND(F1069&gt;=8,G1069&lt;=2,H1069&gt;=5),"NEW CUSTOMERS",AND(F1069&gt;=6,G1069&lt;=2,H1069&gt;=3),"PROMISING",AND(F1069&gt;=3,G1069&gt;=3,H1069&gt;=3),"NEED ATTENTION",AND(F1069&lt;=4,G1069&gt;=6,H1069&gt;=6),"AT RISK",AND(F1069&lt;=2,G1069&gt;=8,H1069&gt;=8),"CAN'T LOSE THEM",AND(F1069&lt;=2,G1069&lt;=2,H1069&lt;=2),"HIBERNATING",TRUE(),"Other")</f>
        <v>CHAMPION</v>
      </c>
      <c r="K1069" s="1" t="n">
        <f aca="false">RANK(E1069,$E$7:$E$4378)+COUNTIF($E$7:E1069,E1069)-1</f>
        <v>47</v>
      </c>
    </row>
    <row r="1070" customFormat="false" ht="14.25" hidden="false" customHeight="true" outlineLevel="0" collapsed="false">
      <c r="A1070" s="51" t="n">
        <v>13769</v>
      </c>
      <c r="B1070" s="53" t="n">
        <v>40884.6305555556</v>
      </c>
      <c r="C1070" s="57" t="n">
        <f aca="false">INT($C$2)-INT(Table3[[#This Row],[Last Purchase Date]])</f>
        <v>3</v>
      </c>
      <c r="D1070" s="1" t="n">
        <v>16</v>
      </c>
      <c r="E1070" s="1" t="n">
        <v>2771.87</v>
      </c>
      <c r="F1070" s="1" t="n">
        <f aca="false">ROUND((1-_xlfn.PERCENTRANK.INC($C$7:$C$4378,C1070))*9,0)</f>
        <v>9</v>
      </c>
      <c r="G1070" s="1" t="n">
        <f aca="false">ROUND(_xlfn.PERCENTRANK.INC($D$7:$D$4378,D1070)*9,0)</f>
        <v>9</v>
      </c>
      <c r="H1070" s="1" t="n">
        <f aca="false">ROUND(_xlfn.PERCENTRANK.INC($E$7:$E$4378,E1070)*9,0)</f>
        <v>8</v>
      </c>
      <c r="I1070" s="1" t="str">
        <f aca="false">CONCATENATE(F1070,G1070,H1070)</f>
        <v>998</v>
      </c>
      <c r="J1070" s="1" t="str">
        <f aca="false">_xlfn.IFS(AND(F1070&gt;=8,G1070&gt;=8,H1070&gt;=8),"CHAMPION",AND(F1070&gt;=6,G1070&gt;=7,H1070&gt;=6),"LOYAL CUSTOMER",AND(F1070&gt;=6,G1070&gt;=5,H1070&gt;=5),"POTENTIAL LOYALIST",AND(F1070&gt;=8,G1070&lt;=2,H1070&gt;=5),"NEW CUSTOMERS",AND(F1070&gt;=6,G1070&lt;=2,H1070&gt;=3),"PROMISING",AND(F1070&gt;=3,G1070&gt;=3,H1070&gt;=3),"NEED ATTENTION",AND(F1070&lt;=4,G1070&gt;=6,H1070&gt;=6),"AT RISK",AND(F1070&lt;=2,G1070&gt;=8,H1070&gt;=8),"CAN'T LOSE THEM",AND(F1070&lt;=2,G1070&lt;=2,H1070&lt;=2),"HIBERNATING",TRUE(),"Other")</f>
        <v>CHAMPION</v>
      </c>
      <c r="K1070" s="1" t="n">
        <f aca="false">RANK(E1070,$E$7:$E$4378)+COUNTIF($E$7:E1070,E1070)-1</f>
        <v>590</v>
      </c>
    </row>
    <row r="1071" customFormat="false" ht="14.25" hidden="false" customHeight="true" outlineLevel="0" collapsed="false">
      <c r="A1071" s="51" t="n">
        <v>13771</v>
      </c>
      <c r="B1071" s="53" t="n">
        <v>40822.5958333333</v>
      </c>
      <c r="C1071" s="57" t="n">
        <f aca="false">INT($C$2)-INT(Table3[[#This Row],[Last Purchase Date]])</f>
        <v>65</v>
      </c>
      <c r="D1071" s="1" t="n">
        <v>5</v>
      </c>
      <c r="E1071" s="1" t="n">
        <v>2631.7</v>
      </c>
      <c r="F1071" s="1" t="n">
        <f aca="false">ROUND((1-_xlfn.PERCENTRANK.INC($C$7:$C$4378,C1071))*9,0)</f>
        <v>4</v>
      </c>
      <c r="G1071" s="1" t="n">
        <f aca="false">ROUND(_xlfn.PERCENTRANK.INC($D$7:$D$4378,D1071)*9,0)</f>
        <v>6</v>
      </c>
      <c r="H1071" s="1" t="n">
        <f aca="false">ROUND(_xlfn.PERCENTRANK.INC($E$7:$E$4378,E1071)*9,0)</f>
        <v>8</v>
      </c>
      <c r="I1071" s="1" t="str">
        <f aca="false">CONCATENATE(F1071,G1071,H1071)</f>
        <v>468</v>
      </c>
      <c r="J1071" s="1" t="str">
        <f aca="false">_xlfn.IFS(AND(F1071&gt;=8,G1071&gt;=8,H1071&gt;=8),"CHAMPION",AND(F1071&gt;=6,G1071&gt;=7,H1071&gt;=6),"LOYAL CUSTOMER",AND(F1071&gt;=6,G1071&gt;=5,H1071&gt;=5),"POTENTIAL LOYALIST",AND(F1071&gt;=8,G1071&lt;=2,H1071&gt;=5),"NEW CUSTOMERS",AND(F1071&gt;=6,G1071&lt;=2,H1071&gt;=3),"PROMISING",AND(F1071&gt;=3,G1071&gt;=3,H1071&gt;=3),"NEED ATTENTION",AND(F1071&lt;=4,G1071&gt;=6,H1071&gt;=6),"AT RISK",AND(F1071&lt;=2,G1071&gt;=8,H1071&gt;=8),"CAN'T LOSE THEM",AND(F1071&lt;=2,G1071&lt;=2,H1071&lt;=2),"HIBERNATING",TRUE(),"Other")</f>
        <v>NEED ATTENTION</v>
      </c>
      <c r="K1071" s="1" t="n">
        <f aca="false">RANK(E1071,$E$7:$E$4378)+COUNTIF($E$7:E1071,E1071)-1</f>
        <v>632</v>
      </c>
    </row>
    <row r="1072" customFormat="false" ht="14.25" hidden="false" customHeight="true" outlineLevel="0" collapsed="false">
      <c r="A1072" s="51" t="n">
        <v>13772</v>
      </c>
      <c r="B1072" s="53" t="n">
        <v>40853.4881944444</v>
      </c>
      <c r="C1072" s="57" t="n">
        <f aca="false">INT($C$2)-INT(Table3[[#This Row],[Last Purchase Date]])</f>
        <v>34</v>
      </c>
      <c r="D1072" s="1" t="n">
        <v>3</v>
      </c>
      <c r="E1072" s="1" t="n">
        <v>1132.13</v>
      </c>
      <c r="F1072" s="1" t="n">
        <f aca="false">ROUND((1-_xlfn.PERCENTRANK.INC($C$7:$C$4378,C1072))*9,0)</f>
        <v>5</v>
      </c>
      <c r="G1072" s="1" t="n">
        <f aca="false">ROUND(_xlfn.PERCENTRANK.INC($D$7:$D$4378,D1072)*9,0)</f>
        <v>4</v>
      </c>
      <c r="H1072" s="1" t="n">
        <f aca="false">ROUND(_xlfn.PERCENTRANK.INC($E$7:$E$4378,E1072)*9,0)</f>
        <v>6</v>
      </c>
      <c r="I1072" s="1" t="str">
        <f aca="false">CONCATENATE(F1072,G1072,H1072)</f>
        <v>546</v>
      </c>
      <c r="J1072" s="1" t="str">
        <f aca="false">_xlfn.IFS(AND(F1072&gt;=8,G1072&gt;=8,H1072&gt;=8),"CHAMPION",AND(F1072&gt;=6,G1072&gt;=7,H1072&gt;=6),"LOYAL CUSTOMER",AND(F1072&gt;=6,G1072&gt;=5,H1072&gt;=5),"POTENTIAL LOYALIST",AND(F1072&gt;=8,G1072&lt;=2,H1072&gt;=5),"NEW CUSTOMERS",AND(F1072&gt;=6,G1072&lt;=2,H1072&gt;=3),"PROMISING",AND(F1072&gt;=3,G1072&gt;=3,H1072&gt;=3),"NEED ATTENTION",AND(F1072&lt;=4,G1072&gt;=6,H1072&gt;=6),"AT RISK",AND(F1072&lt;=2,G1072&gt;=8,H1072&gt;=8),"CAN'T LOSE THEM",AND(F1072&lt;=2,G1072&lt;=2,H1072&lt;=2),"HIBERNATING",TRUE(),"Other")</f>
        <v>NEED ATTENTION</v>
      </c>
      <c r="K1072" s="1" t="n">
        <f aca="false">RANK(E1072,$E$7:$E$4378)+COUNTIF($E$7:E1072,E1072)-1</f>
        <v>1471</v>
      </c>
    </row>
    <row r="1073" customFormat="false" ht="14.25" hidden="false" customHeight="true" outlineLevel="0" collapsed="false">
      <c r="A1073" s="51" t="n">
        <v>13774</v>
      </c>
      <c r="B1073" s="53" t="n">
        <v>40805.5041666667</v>
      </c>
      <c r="C1073" s="57" t="n">
        <f aca="false">INT($C$2)-INT(Table3[[#This Row],[Last Purchase Date]])</f>
        <v>82</v>
      </c>
      <c r="D1073" s="1" t="n">
        <v>1</v>
      </c>
      <c r="E1073" s="1" t="n">
        <v>345</v>
      </c>
      <c r="F1073" s="1" t="n">
        <f aca="false">ROUND((1-_xlfn.PERCENTRANK.INC($C$7:$C$4378,C1073))*9,0)</f>
        <v>3</v>
      </c>
      <c r="G1073" s="1" t="n">
        <f aca="false">ROUND(_xlfn.PERCENTRANK.INC($D$7:$D$4378,D1073)*9,0)</f>
        <v>0</v>
      </c>
      <c r="H1073" s="1" t="n">
        <f aca="false">ROUND(_xlfn.PERCENTRANK.INC($E$7:$E$4378,E1073)*9,0)</f>
        <v>3</v>
      </c>
      <c r="I1073" s="1" t="str">
        <f aca="false">CONCATENATE(F1073,G1073,H1073)</f>
        <v>303</v>
      </c>
      <c r="J1073" s="1" t="str">
        <f aca="false">_xlfn.IFS(AND(F1073&gt;=8,G1073&gt;=8,H1073&gt;=8),"CHAMPION",AND(F1073&gt;=6,G1073&gt;=7,H1073&gt;=6),"LOYAL CUSTOMER",AND(F1073&gt;=6,G1073&gt;=5,H1073&gt;=5),"POTENTIAL LOYALIST",AND(F1073&gt;=8,G1073&lt;=2,H1073&gt;=5),"NEW CUSTOMERS",AND(F1073&gt;=6,G1073&lt;=2,H1073&gt;=3),"PROMISING",AND(F1073&gt;=3,G1073&gt;=3,H1073&gt;=3),"NEED ATTENTION",AND(F1073&lt;=4,G1073&gt;=6,H1073&gt;=6),"AT RISK",AND(F1073&lt;=2,G1073&gt;=8,H1073&gt;=8),"CAN'T LOSE THEM",AND(F1073&lt;=2,G1073&lt;=2,H1073&lt;=2),"HIBERNATING",TRUE(),"Other")</f>
        <v>Other</v>
      </c>
      <c r="K1073" s="1" t="n">
        <f aca="false">RANK(E1073,$E$7:$E$4378)+COUNTIF($E$7:E1073,E1073)-1</f>
        <v>3032</v>
      </c>
    </row>
    <row r="1074" customFormat="false" ht="14.25" hidden="false" customHeight="true" outlineLevel="0" collapsed="false">
      <c r="A1074" s="51" t="n">
        <v>13777</v>
      </c>
      <c r="B1074" s="53" t="n">
        <v>40886.5173611111</v>
      </c>
      <c r="C1074" s="57" t="n">
        <f aca="false">INT($C$2)-INT(Table3[[#This Row],[Last Purchase Date]])</f>
        <v>1</v>
      </c>
      <c r="D1074" s="1" t="n">
        <v>41</v>
      </c>
      <c r="E1074" s="1" t="n">
        <v>25748.35</v>
      </c>
      <c r="F1074" s="1" t="n">
        <f aca="false">ROUND((1-_xlfn.PERCENTRANK.INC($C$7:$C$4378,C1074))*9,0)</f>
        <v>9</v>
      </c>
      <c r="G1074" s="1" t="n">
        <f aca="false">ROUND(_xlfn.PERCENTRANK.INC($D$7:$D$4378,D1074)*9,0)</f>
        <v>9</v>
      </c>
      <c r="H1074" s="1" t="n">
        <f aca="false">ROUND(_xlfn.PERCENTRANK.INC($E$7:$E$4378,E1074)*9,0)</f>
        <v>9</v>
      </c>
      <c r="I1074" s="1" t="str">
        <f aca="false">CONCATENATE(F1074,G1074,H1074)</f>
        <v>999</v>
      </c>
      <c r="J1074" s="1" t="str">
        <f aca="false">_xlfn.IFS(AND(F1074&gt;=8,G1074&gt;=8,H1074&gt;=8),"CHAMPION",AND(F1074&gt;=6,G1074&gt;=7,H1074&gt;=6),"LOYAL CUSTOMER",AND(F1074&gt;=6,G1074&gt;=5,H1074&gt;=5),"POTENTIAL LOYALIST",AND(F1074&gt;=8,G1074&lt;=2,H1074&gt;=5),"NEW CUSTOMERS",AND(F1074&gt;=6,G1074&lt;=2,H1074&gt;=3),"PROMISING",AND(F1074&gt;=3,G1074&gt;=3,H1074&gt;=3),"NEED ATTENTION",AND(F1074&lt;=4,G1074&gt;=6,H1074&gt;=6),"AT RISK",AND(F1074&lt;=2,G1074&gt;=8,H1074&gt;=8),"CAN'T LOSE THEM",AND(F1074&lt;=2,G1074&lt;=2,H1074&lt;=2),"HIBERNATING",TRUE(),"Other")</f>
        <v>CHAMPION</v>
      </c>
      <c r="K1074" s="1" t="n">
        <f aca="false">RANK(E1074,$E$7:$E$4378)+COUNTIF($E$7:E1074,E1074)-1</f>
        <v>34</v>
      </c>
    </row>
    <row r="1075" customFormat="false" ht="14.25" hidden="false" customHeight="true" outlineLevel="0" collapsed="false">
      <c r="A1075" s="51" t="n">
        <v>13778</v>
      </c>
      <c r="B1075" s="53" t="n">
        <v>40783.6423611111</v>
      </c>
      <c r="C1075" s="57" t="n">
        <f aca="false">INT($C$2)-INT(Table3[[#This Row],[Last Purchase Date]])</f>
        <v>104</v>
      </c>
      <c r="D1075" s="1" t="n">
        <v>1</v>
      </c>
      <c r="E1075" s="1" t="n">
        <v>178.7</v>
      </c>
      <c r="F1075" s="1" t="n">
        <f aca="false">ROUND((1-_xlfn.PERCENTRANK.INC($C$7:$C$4378,C1075))*9,0)</f>
        <v>3</v>
      </c>
      <c r="G1075" s="1" t="n">
        <f aca="false">ROUND(_xlfn.PERCENTRANK.INC($D$7:$D$4378,D1075)*9,0)</f>
        <v>0</v>
      </c>
      <c r="H1075" s="1" t="n">
        <f aca="false">ROUND(_xlfn.PERCENTRANK.INC($E$7:$E$4378,E1075)*9,0)</f>
        <v>1</v>
      </c>
      <c r="I1075" s="1" t="str">
        <f aca="false">CONCATENATE(F1075,G1075,H1075)</f>
        <v>301</v>
      </c>
      <c r="J1075" s="1" t="str">
        <f aca="false">_xlfn.IFS(AND(F1075&gt;=8,G1075&gt;=8,H1075&gt;=8),"CHAMPION",AND(F1075&gt;=6,G1075&gt;=7,H1075&gt;=6),"LOYAL CUSTOMER",AND(F1075&gt;=6,G1075&gt;=5,H1075&gt;=5),"POTENTIAL LOYALIST",AND(F1075&gt;=8,G1075&lt;=2,H1075&gt;=5),"NEW CUSTOMERS",AND(F1075&gt;=6,G1075&lt;=2,H1075&gt;=3),"PROMISING",AND(F1075&gt;=3,G1075&gt;=3,H1075&gt;=3),"NEED ATTENTION",AND(F1075&lt;=4,G1075&gt;=6,H1075&gt;=6),"AT RISK",AND(F1075&lt;=2,G1075&gt;=8,H1075&gt;=8),"CAN'T LOSE THEM",AND(F1075&lt;=2,G1075&lt;=2,H1075&lt;=2),"HIBERNATING",TRUE(),"Other")</f>
        <v>Other</v>
      </c>
      <c r="K1075" s="1" t="n">
        <f aca="false">RANK(E1075,$E$7:$E$4378)+COUNTIF($E$7:E1075,E1075)-1</f>
        <v>3762</v>
      </c>
    </row>
    <row r="1076" customFormat="false" ht="14.25" hidden="false" customHeight="true" outlineLevel="0" collapsed="false">
      <c r="A1076" s="51" t="n">
        <v>13780</v>
      </c>
      <c r="B1076" s="53" t="n">
        <v>40879.5756944444</v>
      </c>
      <c r="C1076" s="57" t="n">
        <f aca="false">INT($C$2)-INT(Table3[[#This Row],[Last Purchase Date]])</f>
        <v>8</v>
      </c>
      <c r="D1076" s="1" t="n">
        <v>2</v>
      </c>
      <c r="E1076" s="1" t="n">
        <v>360.01</v>
      </c>
      <c r="F1076" s="1" t="n">
        <f aca="false">ROUND((1-_xlfn.PERCENTRANK.INC($C$7:$C$4378,C1076))*9,0)</f>
        <v>8</v>
      </c>
      <c r="G1076" s="1" t="n">
        <f aca="false">ROUND(_xlfn.PERCENTRANK.INC($D$7:$D$4378,D1076)*9,0)</f>
        <v>3</v>
      </c>
      <c r="H1076" s="1" t="n">
        <f aca="false">ROUND(_xlfn.PERCENTRANK.INC($E$7:$E$4378,E1076)*9,0)</f>
        <v>3</v>
      </c>
      <c r="I1076" s="1" t="str">
        <f aca="false">CONCATENATE(F1076,G1076,H1076)</f>
        <v>833</v>
      </c>
      <c r="J1076" s="1" t="str">
        <f aca="false">_xlfn.IFS(AND(F1076&gt;=8,G1076&gt;=8,H1076&gt;=8),"CHAMPION",AND(F1076&gt;=6,G1076&gt;=7,H1076&gt;=6),"LOYAL CUSTOMER",AND(F1076&gt;=6,G1076&gt;=5,H1076&gt;=5),"POTENTIAL LOYALIST",AND(F1076&gt;=8,G1076&lt;=2,H1076&gt;=5),"NEW CUSTOMERS",AND(F1076&gt;=6,G1076&lt;=2,H1076&gt;=3),"PROMISING",AND(F1076&gt;=3,G1076&gt;=3,H1076&gt;=3),"NEED ATTENTION",AND(F1076&lt;=4,G1076&gt;=6,H1076&gt;=6),"AT RISK",AND(F1076&lt;=2,G1076&gt;=8,H1076&gt;=8),"CAN'T LOSE THEM",AND(F1076&lt;=2,G1076&lt;=2,H1076&lt;=2),"HIBERNATING",TRUE(),"Other")</f>
        <v>NEED ATTENTION</v>
      </c>
      <c r="K1076" s="1" t="n">
        <f aca="false">RANK(E1076,$E$7:$E$4378)+COUNTIF($E$7:E1076,E1076)-1</f>
        <v>2967</v>
      </c>
    </row>
    <row r="1077" customFormat="false" ht="14.25" hidden="false" customHeight="true" outlineLevel="0" collapsed="false">
      <c r="A1077" s="51" t="n">
        <v>13781</v>
      </c>
      <c r="B1077" s="53" t="n">
        <v>40636.5055555556</v>
      </c>
      <c r="C1077" s="57" t="n">
        <f aca="false">INT($C$2)-INT(Table3[[#This Row],[Last Purchase Date]])</f>
        <v>251</v>
      </c>
      <c r="D1077" s="1" t="n">
        <v>1</v>
      </c>
      <c r="E1077" s="1" t="n">
        <v>127.84</v>
      </c>
      <c r="F1077" s="1" t="n">
        <f aca="false">ROUND((1-_xlfn.PERCENTRANK.INC($C$7:$C$4378,C1077))*9,0)</f>
        <v>1</v>
      </c>
      <c r="G1077" s="1" t="n">
        <f aca="false">ROUND(_xlfn.PERCENTRANK.INC($D$7:$D$4378,D1077)*9,0)</f>
        <v>0</v>
      </c>
      <c r="H1077" s="1" t="n">
        <f aca="false">ROUND(_xlfn.PERCENTRANK.INC($E$7:$E$4378,E1077)*9,0)</f>
        <v>1</v>
      </c>
      <c r="I1077" s="1" t="str">
        <f aca="false">CONCATENATE(F1077,G1077,H1077)</f>
        <v>101</v>
      </c>
      <c r="J1077" s="1" t="str">
        <f aca="false">_xlfn.IFS(AND(F1077&gt;=8,G1077&gt;=8,H1077&gt;=8),"CHAMPION",AND(F1077&gt;=6,G1077&gt;=7,H1077&gt;=6),"LOYAL CUSTOMER",AND(F1077&gt;=6,G1077&gt;=5,H1077&gt;=5),"POTENTIAL LOYALIST",AND(F1077&gt;=8,G1077&lt;=2,H1077&gt;=5),"NEW CUSTOMERS",AND(F1077&gt;=6,G1077&lt;=2,H1077&gt;=3),"PROMISING",AND(F1077&gt;=3,G1077&gt;=3,H1077&gt;=3),"NEED ATTENTION",AND(F1077&lt;=4,G1077&gt;=6,H1077&gt;=6),"AT RISK",AND(F1077&lt;=2,G1077&gt;=8,H1077&gt;=8),"CAN'T LOSE THEM",AND(F1077&lt;=2,G1077&lt;=2,H1077&lt;=2),"HIBERNATING",TRUE(),"Other")</f>
        <v>HIBERNATING</v>
      </c>
      <c r="K1077" s="1" t="n">
        <f aca="false">RANK(E1077,$E$7:$E$4378)+COUNTIF($E$7:E1077,E1077)-1</f>
        <v>4013</v>
      </c>
    </row>
    <row r="1078" customFormat="false" ht="14.25" hidden="false" customHeight="true" outlineLevel="0" collapsed="false">
      <c r="A1078" s="51" t="n">
        <v>13782</v>
      </c>
      <c r="B1078" s="53" t="n">
        <v>40874.4958333333</v>
      </c>
      <c r="C1078" s="57" t="n">
        <f aca="false">INT($C$2)-INT(Table3[[#This Row],[Last Purchase Date]])</f>
        <v>13</v>
      </c>
      <c r="D1078" s="1" t="n">
        <v>6</v>
      </c>
      <c r="E1078" s="1" t="n">
        <v>911.999999999999</v>
      </c>
      <c r="F1078" s="1" t="n">
        <f aca="false">ROUND((1-_xlfn.PERCENTRANK.INC($C$7:$C$4378,C1078))*9,0)</f>
        <v>7</v>
      </c>
      <c r="G1078" s="1" t="n">
        <f aca="false">ROUND(_xlfn.PERCENTRANK.INC($D$7:$D$4378,D1078)*9,0)</f>
        <v>7</v>
      </c>
      <c r="H1078" s="1" t="n">
        <f aca="false">ROUND(_xlfn.PERCENTRANK.INC($E$7:$E$4378,E1078)*9,0)</f>
        <v>5</v>
      </c>
      <c r="I1078" s="1" t="str">
        <f aca="false">CONCATENATE(F1078,G1078,H1078)</f>
        <v>775</v>
      </c>
      <c r="J1078" s="1" t="str">
        <f aca="false">_xlfn.IFS(AND(F1078&gt;=8,G1078&gt;=8,H1078&gt;=8),"CHAMPION",AND(F1078&gt;=6,G1078&gt;=7,H1078&gt;=6),"LOYAL CUSTOMER",AND(F1078&gt;=6,G1078&gt;=5,H1078&gt;=5),"POTENTIAL LOYALIST",AND(F1078&gt;=8,G1078&lt;=2,H1078&gt;=5),"NEW CUSTOMERS",AND(F1078&gt;=6,G1078&lt;=2,H1078&gt;=3),"PROMISING",AND(F1078&gt;=3,G1078&gt;=3,H1078&gt;=3),"NEED ATTENTION",AND(F1078&lt;=4,G1078&gt;=6,H1078&gt;=6),"AT RISK",AND(F1078&lt;=2,G1078&gt;=8,H1078&gt;=8),"CAN'T LOSE THEM",AND(F1078&lt;=2,G1078&lt;=2,H1078&lt;=2),"HIBERNATING",TRUE(),"Other")</f>
        <v>POTENTIAL LOYALIST</v>
      </c>
      <c r="K1078" s="1" t="n">
        <f aca="false">RANK(E1078,$E$7:$E$4378)+COUNTIF($E$7:E1078,E1078)-1</f>
        <v>1741</v>
      </c>
    </row>
    <row r="1079" customFormat="false" ht="14.25" hidden="false" customHeight="true" outlineLevel="0" collapsed="false">
      <c r="A1079" s="51" t="n">
        <v>13784</v>
      </c>
      <c r="B1079" s="53" t="n">
        <v>40877.3979166667</v>
      </c>
      <c r="C1079" s="57" t="n">
        <f aca="false">INT($C$2)-INT(Table3[[#This Row],[Last Purchase Date]])</f>
        <v>10</v>
      </c>
      <c r="D1079" s="1" t="n">
        <v>11</v>
      </c>
      <c r="E1079" s="1" t="n">
        <v>2462.79</v>
      </c>
      <c r="F1079" s="1" t="n">
        <f aca="false">ROUND((1-_xlfn.PERCENTRANK.INC($C$7:$C$4378,C1079))*9,0)</f>
        <v>8</v>
      </c>
      <c r="G1079" s="1" t="n">
        <f aca="false">ROUND(_xlfn.PERCENTRANK.INC($D$7:$D$4378,D1079)*9,0)</f>
        <v>8</v>
      </c>
      <c r="H1079" s="1" t="n">
        <f aca="false">ROUND(_xlfn.PERCENTRANK.INC($E$7:$E$4378,E1079)*9,0)</f>
        <v>8</v>
      </c>
      <c r="I1079" s="1" t="str">
        <f aca="false">CONCATENATE(F1079,G1079,H1079)</f>
        <v>888</v>
      </c>
      <c r="J1079" s="1" t="str">
        <f aca="false">_xlfn.IFS(AND(F1079&gt;=8,G1079&gt;=8,H1079&gt;=8),"CHAMPION",AND(F1079&gt;=6,G1079&gt;=7,H1079&gt;=6),"LOYAL CUSTOMER",AND(F1079&gt;=6,G1079&gt;=5,H1079&gt;=5),"POTENTIAL LOYALIST",AND(F1079&gt;=8,G1079&lt;=2,H1079&gt;=5),"NEW CUSTOMERS",AND(F1079&gt;=6,G1079&lt;=2,H1079&gt;=3),"PROMISING",AND(F1079&gt;=3,G1079&gt;=3,H1079&gt;=3),"NEED ATTENTION",AND(F1079&lt;=4,G1079&gt;=6,H1079&gt;=6),"AT RISK",AND(F1079&lt;=2,G1079&gt;=8,H1079&gt;=8),"CAN'T LOSE THEM",AND(F1079&lt;=2,G1079&lt;=2,H1079&lt;=2),"HIBERNATING",TRUE(),"Other")</f>
        <v>CHAMPION</v>
      </c>
      <c r="K1079" s="1" t="n">
        <f aca="false">RANK(E1079,$E$7:$E$4378)+COUNTIF($E$7:E1079,E1079)-1</f>
        <v>694</v>
      </c>
    </row>
    <row r="1080" customFormat="false" ht="14.25" hidden="false" customHeight="true" outlineLevel="0" collapsed="false">
      <c r="A1080" s="51" t="n">
        <v>13786</v>
      </c>
      <c r="B1080" s="53" t="n">
        <v>40519.5784722222</v>
      </c>
      <c r="C1080" s="57" t="n">
        <f aca="false">INT($C$2)-INT(Table3[[#This Row],[Last Purchase Date]])</f>
        <v>368</v>
      </c>
      <c r="D1080" s="1" t="n">
        <v>1</v>
      </c>
      <c r="E1080" s="1" t="n">
        <v>230.4</v>
      </c>
      <c r="F1080" s="1" t="n">
        <f aca="false">ROUND((1-_xlfn.PERCENTRANK.INC($C$7:$C$4378,C1080))*9,0)</f>
        <v>0</v>
      </c>
      <c r="G1080" s="1" t="n">
        <f aca="false">ROUND(_xlfn.PERCENTRANK.INC($D$7:$D$4378,D1080)*9,0)</f>
        <v>0</v>
      </c>
      <c r="H1080" s="1" t="n">
        <f aca="false">ROUND(_xlfn.PERCENTRANK.INC($E$7:$E$4378,E1080)*9,0)</f>
        <v>2</v>
      </c>
      <c r="I1080" s="1" t="str">
        <f aca="false">CONCATENATE(F1080,G1080,H1080)</f>
        <v>002</v>
      </c>
      <c r="J1080" s="1" t="str">
        <f aca="false">_xlfn.IFS(AND(F1080&gt;=8,G1080&gt;=8,H1080&gt;=8),"CHAMPION",AND(F1080&gt;=6,G1080&gt;=7,H1080&gt;=6),"LOYAL CUSTOMER",AND(F1080&gt;=6,G1080&gt;=5,H1080&gt;=5),"POTENTIAL LOYALIST",AND(F1080&gt;=8,G1080&lt;=2,H1080&gt;=5),"NEW CUSTOMERS",AND(F1080&gt;=6,G1080&lt;=2,H1080&gt;=3),"PROMISING",AND(F1080&gt;=3,G1080&gt;=3,H1080&gt;=3),"NEED ATTENTION",AND(F1080&lt;=4,G1080&gt;=6,H1080&gt;=6),"AT RISK",AND(F1080&lt;=2,G1080&gt;=8,H1080&gt;=8),"CAN'T LOSE THEM",AND(F1080&lt;=2,G1080&lt;=2,H1080&lt;=2),"HIBERNATING",TRUE(),"Other")</f>
        <v>HIBERNATING</v>
      </c>
      <c r="K1080" s="1" t="n">
        <f aca="false">RANK(E1080,$E$7:$E$4378)+COUNTIF($E$7:E1080,E1080)-1</f>
        <v>3516</v>
      </c>
    </row>
    <row r="1081" customFormat="false" ht="14.25" hidden="false" customHeight="true" outlineLevel="0" collapsed="false">
      <c r="A1081" s="51" t="n">
        <v>13787</v>
      </c>
      <c r="B1081" s="53" t="n">
        <v>40811.5041666667</v>
      </c>
      <c r="C1081" s="57" t="n">
        <f aca="false">INT($C$2)-INT(Table3[[#This Row],[Last Purchase Date]])</f>
        <v>76</v>
      </c>
      <c r="D1081" s="1" t="n">
        <v>2</v>
      </c>
      <c r="E1081" s="1" t="n">
        <v>309.04</v>
      </c>
      <c r="F1081" s="1" t="n">
        <f aca="false">ROUND((1-_xlfn.PERCENTRANK.INC($C$7:$C$4378,C1081))*9,0)</f>
        <v>3</v>
      </c>
      <c r="G1081" s="1" t="n">
        <f aca="false">ROUND(_xlfn.PERCENTRANK.INC($D$7:$D$4378,D1081)*9,0)</f>
        <v>3</v>
      </c>
      <c r="H1081" s="1" t="n">
        <f aca="false">ROUND(_xlfn.PERCENTRANK.INC($E$7:$E$4378,E1081)*9,0)</f>
        <v>2</v>
      </c>
      <c r="I1081" s="1" t="str">
        <f aca="false">CONCATENATE(F1081,G1081,H1081)</f>
        <v>332</v>
      </c>
      <c r="J1081" s="1" t="str">
        <f aca="false">_xlfn.IFS(AND(F1081&gt;=8,G1081&gt;=8,H1081&gt;=8),"CHAMPION",AND(F1081&gt;=6,G1081&gt;=7,H1081&gt;=6),"LOYAL CUSTOMER",AND(F1081&gt;=6,G1081&gt;=5,H1081&gt;=5),"POTENTIAL LOYALIST",AND(F1081&gt;=8,G1081&lt;=2,H1081&gt;=5),"NEW CUSTOMERS",AND(F1081&gt;=6,G1081&lt;=2,H1081&gt;=3),"PROMISING",AND(F1081&gt;=3,G1081&gt;=3,H1081&gt;=3),"NEED ATTENTION",AND(F1081&lt;=4,G1081&gt;=6,H1081&gt;=6),"AT RISK",AND(F1081&lt;=2,G1081&gt;=8,H1081&gt;=8),"CAN'T LOSE THEM",AND(F1081&lt;=2,G1081&lt;=2,H1081&lt;=2),"HIBERNATING",TRUE(),"Other")</f>
        <v>Other</v>
      </c>
      <c r="K1081" s="1" t="n">
        <f aca="false">RANK(E1081,$E$7:$E$4378)+COUNTIF($E$7:E1081,E1081)-1</f>
        <v>3200</v>
      </c>
    </row>
    <row r="1082" customFormat="false" ht="14.25" hidden="false" customHeight="true" outlineLevel="0" collapsed="false">
      <c r="A1082" s="51" t="n">
        <v>13790</v>
      </c>
      <c r="B1082" s="53" t="n">
        <v>40882.6583333333</v>
      </c>
      <c r="C1082" s="57" t="n">
        <f aca="false">INT($C$2)-INT(Table3[[#This Row],[Last Purchase Date]])</f>
        <v>5</v>
      </c>
      <c r="D1082" s="1" t="n">
        <v>1</v>
      </c>
      <c r="E1082" s="1" t="n">
        <v>348.8</v>
      </c>
      <c r="F1082" s="1" t="n">
        <f aca="false">ROUND((1-_xlfn.PERCENTRANK.INC($C$7:$C$4378,C1082))*9,0)</f>
        <v>8</v>
      </c>
      <c r="G1082" s="1" t="n">
        <f aca="false">ROUND(_xlfn.PERCENTRANK.INC($D$7:$D$4378,D1082)*9,0)</f>
        <v>0</v>
      </c>
      <c r="H1082" s="1" t="n">
        <f aca="false">ROUND(_xlfn.PERCENTRANK.INC($E$7:$E$4378,E1082)*9,0)</f>
        <v>3</v>
      </c>
      <c r="I1082" s="1" t="str">
        <f aca="false">CONCATENATE(F1082,G1082,H1082)</f>
        <v>803</v>
      </c>
      <c r="J1082" s="1" t="str">
        <f aca="false">_xlfn.IFS(AND(F1082&gt;=8,G1082&gt;=8,H1082&gt;=8),"CHAMPION",AND(F1082&gt;=6,G1082&gt;=7,H1082&gt;=6),"LOYAL CUSTOMER",AND(F1082&gt;=6,G1082&gt;=5,H1082&gt;=5),"POTENTIAL LOYALIST",AND(F1082&gt;=8,G1082&lt;=2,H1082&gt;=5),"NEW CUSTOMERS",AND(F1082&gt;=6,G1082&lt;=2,H1082&gt;=3),"PROMISING",AND(F1082&gt;=3,G1082&gt;=3,H1082&gt;=3),"NEED ATTENTION",AND(F1082&lt;=4,G1082&gt;=6,H1082&gt;=6),"AT RISK",AND(F1082&lt;=2,G1082&gt;=8,H1082&gt;=8),"CAN'T LOSE THEM",AND(F1082&lt;=2,G1082&lt;=2,H1082&lt;=2),"HIBERNATING",TRUE(),"Other")</f>
        <v>PROMISING</v>
      </c>
      <c r="K1082" s="1" t="n">
        <f aca="false">RANK(E1082,$E$7:$E$4378)+COUNTIF($E$7:E1082,E1082)-1</f>
        <v>3013</v>
      </c>
    </row>
    <row r="1083" customFormat="false" ht="14.25" hidden="false" customHeight="true" outlineLevel="0" collapsed="false">
      <c r="A1083" s="51" t="n">
        <v>13791</v>
      </c>
      <c r="B1083" s="53" t="n">
        <v>40843.6097222222</v>
      </c>
      <c r="C1083" s="57" t="n">
        <f aca="false">INT($C$2)-INT(Table3[[#This Row],[Last Purchase Date]])</f>
        <v>44</v>
      </c>
      <c r="D1083" s="1" t="n">
        <v>3</v>
      </c>
      <c r="E1083" s="1" t="n">
        <v>1047.68</v>
      </c>
      <c r="F1083" s="1" t="n">
        <f aca="false">ROUND((1-_xlfn.PERCENTRANK.INC($C$7:$C$4378,C1083))*9,0)</f>
        <v>5</v>
      </c>
      <c r="G1083" s="1" t="n">
        <f aca="false">ROUND(_xlfn.PERCENTRANK.INC($D$7:$D$4378,D1083)*9,0)</f>
        <v>4</v>
      </c>
      <c r="H1083" s="1" t="n">
        <f aca="false">ROUND(_xlfn.PERCENTRANK.INC($E$7:$E$4378,E1083)*9,0)</f>
        <v>6</v>
      </c>
      <c r="I1083" s="1" t="str">
        <f aca="false">CONCATENATE(F1083,G1083,H1083)</f>
        <v>546</v>
      </c>
      <c r="J1083" s="1" t="str">
        <f aca="false">_xlfn.IFS(AND(F1083&gt;=8,G1083&gt;=8,H1083&gt;=8),"CHAMPION",AND(F1083&gt;=6,G1083&gt;=7,H1083&gt;=6),"LOYAL CUSTOMER",AND(F1083&gt;=6,G1083&gt;=5,H1083&gt;=5),"POTENTIAL LOYALIST",AND(F1083&gt;=8,G1083&lt;=2,H1083&gt;=5),"NEW CUSTOMERS",AND(F1083&gt;=6,G1083&lt;=2,H1083&gt;=3),"PROMISING",AND(F1083&gt;=3,G1083&gt;=3,H1083&gt;=3),"NEED ATTENTION",AND(F1083&lt;=4,G1083&gt;=6,H1083&gt;=6),"AT RISK",AND(F1083&lt;=2,G1083&gt;=8,H1083&gt;=8),"CAN'T LOSE THEM",AND(F1083&lt;=2,G1083&lt;=2,H1083&lt;=2),"HIBERNATING",TRUE(),"Other")</f>
        <v>NEED ATTENTION</v>
      </c>
      <c r="K1083" s="1" t="n">
        <f aca="false">RANK(E1083,$E$7:$E$4378)+COUNTIF($E$7:E1083,E1083)-1</f>
        <v>1566</v>
      </c>
    </row>
    <row r="1084" customFormat="false" ht="14.25" hidden="false" customHeight="true" outlineLevel="0" collapsed="false">
      <c r="A1084" s="51" t="n">
        <v>13792</v>
      </c>
      <c r="B1084" s="53" t="n">
        <v>40820.6048611111</v>
      </c>
      <c r="C1084" s="57" t="n">
        <f aca="false">INT($C$2)-INT(Table3[[#This Row],[Last Purchase Date]])</f>
        <v>67</v>
      </c>
      <c r="D1084" s="1" t="n">
        <v>2</v>
      </c>
      <c r="E1084" s="1" t="n">
        <v>195.55</v>
      </c>
      <c r="F1084" s="1" t="n">
        <f aca="false">ROUND((1-_xlfn.PERCENTRANK.INC($C$7:$C$4378,C1084))*9,0)</f>
        <v>4</v>
      </c>
      <c r="G1084" s="1" t="n">
        <f aca="false">ROUND(_xlfn.PERCENTRANK.INC($D$7:$D$4378,D1084)*9,0)</f>
        <v>3</v>
      </c>
      <c r="H1084" s="1" t="n">
        <f aca="false">ROUND(_xlfn.PERCENTRANK.INC($E$7:$E$4378,E1084)*9,0)</f>
        <v>1</v>
      </c>
      <c r="I1084" s="1" t="str">
        <f aca="false">CONCATENATE(F1084,G1084,H1084)</f>
        <v>431</v>
      </c>
      <c r="J1084" s="1" t="str">
        <f aca="false">_xlfn.IFS(AND(F1084&gt;=8,G1084&gt;=8,H1084&gt;=8),"CHAMPION",AND(F1084&gt;=6,G1084&gt;=7,H1084&gt;=6),"LOYAL CUSTOMER",AND(F1084&gt;=6,G1084&gt;=5,H1084&gt;=5),"POTENTIAL LOYALIST",AND(F1084&gt;=8,G1084&lt;=2,H1084&gt;=5),"NEW CUSTOMERS",AND(F1084&gt;=6,G1084&lt;=2,H1084&gt;=3),"PROMISING",AND(F1084&gt;=3,G1084&gt;=3,H1084&gt;=3),"NEED ATTENTION",AND(F1084&lt;=4,G1084&gt;=6,H1084&gt;=6),"AT RISK",AND(F1084&lt;=2,G1084&gt;=8,H1084&gt;=8),"CAN'T LOSE THEM",AND(F1084&lt;=2,G1084&lt;=2,H1084&lt;=2),"HIBERNATING",TRUE(),"Other")</f>
        <v>Other</v>
      </c>
      <c r="K1084" s="1" t="n">
        <f aca="false">RANK(E1084,$E$7:$E$4378)+COUNTIF($E$7:E1084,E1084)-1</f>
        <v>3682</v>
      </c>
    </row>
    <row r="1085" customFormat="false" ht="14.25" hidden="false" customHeight="true" outlineLevel="0" collapsed="false">
      <c r="A1085" s="51" t="n">
        <v>13798</v>
      </c>
      <c r="B1085" s="53" t="n">
        <v>40885.6604166667</v>
      </c>
      <c r="C1085" s="57" t="n">
        <f aca="false">INT($C$2)-INT(Table3[[#This Row],[Last Purchase Date]])</f>
        <v>2</v>
      </c>
      <c r="D1085" s="1" t="n">
        <v>63</v>
      </c>
      <c r="E1085" s="1" t="n">
        <v>36351.42</v>
      </c>
      <c r="F1085" s="1" t="n">
        <f aca="false">ROUND((1-_xlfn.PERCENTRANK.INC($C$7:$C$4378,C1085))*9,0)</f>
        <v>9</v>
      </c>
      <c r="G1085" s="1" t="n">
        <f aca="false">ROUND(_xlfn.PERCENTRANK.INC($D$7:$D$4378,D1085)*9,0)</f>
        <v>9</v>
      </c>
      <c r="H1085" s="1" t="n">
        <f aca="false">ROUND(_xlfn.PERCENTRANK.INC($E$7:$E$4378,E1085)*9,0)</f>
        <v>9</v>
      </c>
      <c r="I1085" s="1" t="str">
        <f aca="false">CONCATENATE(F1085,G1085,H1085)</f>
        <v>999</v>
      </c>
      <c r="J1085" s="1" t="str">
        <f aca="false">_xlfn.IFS(AND(F1085&gt;=8,G1085&gt;=8,H1085&gt;=8),"CHAMPION",AND(F1085&gt;=6,G1085&gt;=7,H1085&gt;=6),"LOYAL CUSTOMER",AND(F1085&gt;=6,G1085&gt;=5,H1085&gt;=5),"POTENTIAL LOYALIST",AND(F1085&gt;=8,G1085&lt;=2,H1085&gt;=5),"NEW CUSTOMERS",AND(F1085&gt;=6,G1085&lt;=2,H1085&gt;=3),"PROMISING",AND(F1085&gt;=3,G1085&gt;=3,H1085&gt;=3),"NEED ATTENTION",AND(F1085&lt;=4,G1085&gt;=6,H1085&gt;=6),"AT RISK",AND(F1085&lt;=2,G1085&gt;=8,H1085&gt;=8),"CAN'T LOSE THEM",AND(F1085&lt;=2,G1085&lt;=2,H1085&lt;=2),"HIBERNATING",TRUE(),"Other")</f>
        <v>CHAMPION</v>
      </c>
      <c r="K1085" s="1" t="n">
        <f aca="false">RANK(E1085,$E$7:$E$4378)+COUNTIF($E$7:E1085,E1085)-1</f>
        <v>20</v>
      </c>
    </row>
    <row r="1086" customFormat="false" ht="14.25" hidden="false" customHeight="true" outlineLevel="0" collapsed="false">
      <c r="A1086" s="51" t="n">
        <v>13799</v>
      </c>
      <c r="B1086" s="53" t="n">
        <v>40770.5048611111</v>
      </c>
      <c r="C1086" s="57" t="n">
        <f aca="false">INT($C$2)-INT(Table3[[#This Row],[Last Purchase Date]])</f>
        <v>117</v>
      </c>
      <c r="D1086" s="1" t="n">
        <v>2</v>
      </c>
      <c r="E1086" s="1" t="n">
        <v>688.86</v>
      </c>
      <c r="F1086" s="1" t="n">
        <f aca="false">ROUND((1-_xlfn.PERCENTRANK.INC($C$7:$C$4378,C1086))*9,0)</f>
        <v>3</v>
      </c>
      <c r="G1086" s="1" t="n">
        <f aca="false">ROUND(_xlfn.PERCENTRANK.INC($D$7:$D$4378,D1086)*9,0)</f>
        <v>3</v>
      </c>
      <c r="H1086" s="1" t="n">
        <f aca="false">ROUND(_xlfn.PERCENTRANK.INC($E$7:$E$4378,E1086)*9,0)</f>
        <v>5</v>
      </c>
      <c r="I1086" s="1" t="str">
        <f aca="false">CONCATENATE(F1086,G1086,H1086)</f>
        <v>335</v>
      </c>
      <c r="J1086" s="1" t="str">
        <f aca="false">_xlfn.IFS(AND(F1086&gt;=8,G1086&gt;=8,H1086&gt;=8),"CHAMPION",AND(F1086&gt;=6,G1086&gt;=7,H1086&gt;=6),"LOYAL CUSTOMER",AND(F1086&gt;=6,G1086&gt;=5,H1086&gt;=5),"POTENTIAL LOYALIST",AND(F1086&gt;=8,G1086&lt;=2,H1086&gt;=5),"NEW CUSTOMERS",AND(F1086&gt;=6,G1086&lt;=2,H1086&gt;=3),"PROMISING",AND(F1086&gt;=3,G1086&gt;=3,H1086&gt;=3),"NEED ATTENTION",AND(F1086&lt;=4,G1086&gt;=6,H1086&gt;=6),"AT RISK",AND(F1086&lt;=2,G1086&gt;=8,H1086&gt;=8),"CAN'T LOSE THEM",AND(F1086&lt;=2,G1086&lt;=2,H1086&lt;=2),"HIBERNATING",TRUE(),"Other")</f>
        <v>NEED ATTENTION</v>
      </c>
      <c r="K1086" s="1" t="n">
        <f aca="false">RANK(E1086,$E$7:$E$4378)+COUNTIF($E$7:E1086,E1086)-1</f>
        <v>2085</v>
      </c>
    </row>
    <row r="1087" customFormat="false" ht="14.25" hidden="false" customHeight="true" outlineLevel="0" collapsed="false">
      <c r="A1087" s="51" t="n">
        <v>13800</v>
      </c>
      <c r="B1087" s="53" t="n">
        <v>40577.51875</v>
      </c>
      <c r="C1087" s="57" t="n">
        <f aca="false">INT($C$2)-INT(Table3[[#This Row],[Last Purchase Date]])</f>
        <v>310</v>
      </c>
      <c r="D1087" s="1" t="n">
        <v>1</v>
      </c>
      <c r="E1087" s="1" t="n">
        <v>558.32</v>
      </c>
      <c r="F1087" s="1" t="n">
        <f aca="false">ROUND((1-_xlfn.PERCENTRANK.INC($C$7:$C$4378,C1087))*9,0)</f>
        <v>1</v>
      </c>
      <c r="G1087" s="1" t="n">
        <f aca="false">ROUND(_xlfn.PERCENTRANK.INC($D$7:$D$4378,D1087)*9,0)</f>
        <v>0</v>
      </c>
      <c r="H1087" s="1" t="n">
        <f aca="false">ROUND(_xlfn.PERCENTRANK.INC($E$7:$E$4378,E1087)*9,0)</f>
        <v>4</v>
      </c>
      <c r="I1087" s="1" t="str">
        <f aca="false">CONCATENATE(F1087,G1087,H1087)</f>
        <v>104</v>
      </c>
      <c r="J1087" s="1" t="str">
        <f aca="false">_xlfn.IFS(AND(F1087&gt;=8,G1087&gt;=8,H1087&gt;=8),"CHAMPION",AND(F1087&gt;=6,G1087&gt;=7,H1087&gt;=6),"LOYAL CUSTOMER",AND(F1087&gt;=6,G1087&gt;=5,H1087&gt;=5),"POTENTIAL LOYALIST",AND(F1087&gt;=8,G1087&lt;=2,H1087&gt;=5),"NEW CUSTOMERS",AND(F1087&gt;=6,G1087&lt;=2,H1087&gt;=3),"PROMISING",AND(F1087&gt;=3,G1087&gt;=3,H1087&gt;=3),"NEED ATTENTION",AND(F1087&lt;=4,G1087&gt;=6,H1087&gt;=6),"AT RISK",AND(F1087&lt;=2,G1087&gt;=8,H1087&gt;=8),"CAN'T LOSE THEM",AND(F1087&lt;=2,G1087&lt;=2,H1087&lt;=2),"HIBERNATING",TRUE(),"Other")</f>
        <v>Other</v>
      </c>
      <c r="K1087" s="1" t="n">
        <f aca="false">RANK(E1087,$E$7:$E$4378)+COUNTIF($E$7:E1087,E1087)-1</f>
        <v>2412</v>
      </c>
    </row>
    <row r="1088" customFormat="false" ht="14.25" hidden="false" customHeight="true" outlineLevel="0" collapsed="false">
      <c r="A1088" s="51" t="n">
        <v>13801</v>
      </c>
      <c r="B1088" s="53" t="n">
        <v>40820.4270833333</v>
      </c>
      <c r="C1088" s="57" t="n">
        <f aca="false">INT($C$2)-INT(Table3[[#This Row],[Last Purchase Date]])</f>
        <v>67</v>
      </c>
      <c r="D1088" s="1" t="n">
        <v>1</v>
      </c>
      <c r="E1088" s="1" t="n">
        <v>324.8</v>
      </c>
      <c r="F1088" s="1" t="n">
        <f aca="false">ROUND((1-_xlfn.PERCENTRANK.INC($C$7:$C$4378,C1088))*9,0)</f>
        <v>4</v>
      </c>
      <c r="G1088" s="1" t="n">
        <f aca="false">ROUND(_xlfn.PERCENTRANK.INC($D$7:$D$4378,D1088)*9,0)</f>
        <v>0</v>
      </c>
      <c r="H1088" s="1" t="n">
        <f aca="false">ROUND(_xlfn.PERCENTRANK.INC($E$7:$E$4378,E1088)*9,0)</f>
        <v>3</v>
      </c>
      <c r="I1088" s="1" t="str">
        <f aca="false">CONCATENATE(F1088,G1088,H1088)</f>
        <v>403</v>
      </c>
      <c r="J1088" s="1" t="str">
        <f aca="false">_xlfn.IFS(AND(F1088&gt;=8,G1088&gt;=8,H1088&gt;=8),"CHAMPION",AND(F1088&gt;=6,G1088&gt;=7,H1088&gt;=6),"LOYAL CUSTOMER",AND(F1088&gt;=6,G1088&gt;=5,H1088&gt;=5),"POTENTIAL LOYALIST",AND(F1088&gt;=8,G1088&lt;=2,H1088&gt;=5),"NEW CUSTOMERS",AND(F1088&gt;=6,G1088&lt;=2,H1088&gt;=3),"PROMISING",AND(F1088&gt;=3,G1088&gt;=3,H1088&gt;=3),"NEED ATTENTION",AND(F1088&lt;=4,G1088&gt;=6,H1088&gt;=6),"AT RISK",AND(F1088&lt;=2,G1088&gt;=8,H1088&gt;=8),"CAN'T LOSE THEM",AND(F1088&lt;=2,G1088&lt;=2,H1088&lt;=2),"HIBERNATING",TRUE(),"Other")</f>
        <v>Other</v>
      </c>
      <c r="K1088" s="1" t="n">
        <f aca="false">RANK(E1088,$E$7:$E$4378)+COUNTIF($E$7:E1088,E1088)-1</f>
        <v>3119</v>
      </c>
    </row>
    <row r="1089" customFormat="false" ht="14.25" hidden="false" customHeight="true" outlineLevel="0" collapsed="false">
      <c r="A1089" s="51" t="n">
        <v>13802</v>
      </c>
      <c r="B1089" s="53" t="n">
        <v>40748.5597222222</v>
      </c>
      <c r="C1089" s="57" t="n">
        <f aca="false">INT($C$2)-INT(Table3[[#This Row],[Last Purchase Date]])</f>
        <v>139</v>
      </c>
      <c r="D1089" s="1" t="n">
        <v>6</v>
      </c>
      <c r="E1089" s="1" t="n">
        <v>3906.27</v>
      </c>
      <c r="F1089" s="1" t="n">
        <f aca="false">ROUND((1-_xlfn.PERCENTRANK.INC($C$7:$C$4378,C1089))*9,0)</f>
        <v>2</v>
      </c>
      <c r="G1089" s="1" t="n">
        <f aca="false">ROUND(_xlfn.PERCENTRANK.INC($D$7:$D$4378,D1089)*9,0)</f>
        <v>7</v>
      </c>
      <c r="H1089" s="1" t="n">
        <f aca="false">ROUND(_xlfn.PERCENTRANK.INC($E$7:$E$4378,E1089)*9,0)</f>
        <v>8</v>
      </c>
      <c r="I1089" s="1" t="str">
        <f aca="false">CONCATENATE(F1089,G1089,H1089)</f>
        <v>278</v>
      </c>
      <c r="J1089" s="1" t="str">
        <f aca="false">_xlfn.IFS(AND(F1089&gt;=8,G1089&gt;=8,H1089&gt;=8),"CHAMPION",AND(F1089&gt;=6,G1089&gt;=7,H1089&gt;=6),"LOYAL CUSTOMER",AND(F1089&gt;=6,G1089&gt;=5,H1089&gt;=5),"POTENTIAL LOYALIST",AND(F1089&gt;=8,G1089&lt;=2,H1089&gt;=5),"NEW CUSTOMERS",AND(F1089&gt;=6,G1089&lt;=2,H1089&gt;=3),"PROMISING",AND(F1089&gt;=3,G1089&gt;=3,H1089&gt;=3),"NEED ATTENTION",AND(F1089&lt;=4,G1089&gt;=6,H1089&gt;=6),"AT RISK",AND(F1089&lt;=2,G1089&gt;=8,H1089&gt;=8),"CAN'T LOSE THEM",AND(F1089&lt;=2,G1089&lt;=2,H1089&lt;=2),"HIBERNATING",TRUE(),"Other")</f>
        <v>AT RISK</v>
      </c>
      <c r="K1089" s="1" t="n">
        <f aca="false">RANK(E1089,$E$7:$E$4378)+COUNTIF($E$7:E1089,E1089)-1</f>
        <v>368</v>
      </c>
    </row>
    <row r="1090" customFormat="false" ht="14.25" hidden="false" customHeight="true" outlineLevel="0" collapsed="false">
      <c r="A1090" s="51" t="n">
        <v>13803</v>
      </c>
      <c r="B1090" s="53" t="n">
        <v>40631.5395833333</v>
      </c>
      <c r="C1090" s="57" t="n">
        <f aca="false">INT($C$2)-INT(Table3[[#This Row],[Last Purchase Date]])</f>
        <v>256</v>
      </c>
      <c r="D1090" s="1" t="n">
        <v>1</v>
      </c>
      <c r="E1090" s="1" t="n">
        <v>277.07</v>
      </c>
      <c r="F1090" s="1" t="n">
        <f aca="false">ROUND((1-_xlfn.PERCENTRANK.INC($C$7:$C$4378,C1090))*9,0)</f>
        <v>1</v>
      </c>
      <c r="G1090" s="1" t="n">
        <f aca="false">ROUND(_xlfn.PERCENTRANK.INC($D$7:$D$4378,D1090)*9,0)</f>
        <v>0</v>
      </c>
      <c r="H1090" s="1" t="n">
        <f aca="false">ROUND(_xlfn.PERCENTRANK.INC($E$7:$E$4378,E1090)*9,0)</f>
        <v>2</v>
      </c>
      <c r="I1090" s="1" t="str">
        <f aca="false">CONCATENATE(F1090,G1090,H1090)</f>
        <v>102</v>
      </c>
      <c r="J1090" s="1" t="str">
        <f aca="false">_xlfn.IFS(AND(F1090&gt;=8,G1090&gt;=8,H1090&gt;=8),"CHAMPION",AND(F1090&gt;=6,G1090&gt;=7,H1090&gt;=6),"LOYAL CUSTOMER",AND(F1090&gt;=6,G1090&gt;=5,H1090&gt;=5),"POTENTIAL LOYALIST",AND(F1090&gt;=8,G1090&lt;=2,H1090&gt;=5),"NEW CUSTOMERS",AND(F1090&gt;=6,G1090&lt;=2,H1090&gt;=3),"PROMISING",AND(F1090&gt;=3,G1090&gt;=3,H1090&gt;=3),"NEED ATTENTION",AND(F1090&lt;=4,G1090&gt;=6,H1090&gt;=6),"AT RISK",AND(F1090&lt;=2,G1090&gt;=8,H1090&gt;=8),"CAN'T LOSE THEM",AND(F1090&lt;=2,G1090&lt;=2,H1090&lt;=2),"HIBERNATING",TRUE(),"Other")</f>
        <v>HIBERNATING</v>
      </c>
      <c r="K1090" s="1" t="n">
        <f aca="false">RANK(E1090,$E$7:$E$4378)+COUNTIF($E$7:E1090,E1090)-1</f>
        <v>3336</v>
      </c>
    </row>
    <row r="1091" customFormat="false" ht="14.25" hidden="false" customHeight="true" outlineLevel="0" collapsed="false">
      <c r="A1091" s="51" t="n">
        <v>13804</v>
      </c>
      <c r="B1091" s="53" t="n">
        <v>40856.5222222222</v>
      </c>
      <c r="C1091" s="57" t="n">
        <f aca="false">INT($C$2)-INT(Table3[[#This Row],[Last Purchase Date]])</f>
        <v>31</v>
      </c>
      <c r="D1091" s="1" t="n">
        <v>7</v>
      </c>
      <c r="E1091" s="1" t="n">
        <v>2635.79</v>
      </c>
      <c r="F1091" s="1" t="n">
        <f aca="false">ROUND((1-_xlfn.PERCENTRANK.INC($C$7:$C$4378,C1091))*9,0)</f>
        <v>6</v>
      </c>
      <c r="G1091" s="1" t="n">
        <f aca="false">ROUND(_xlfn.PERCENTRANK.INC($D$7:$D$4378,D1091)*9,0)</f>
        <v>7</v>
      </c>
      <c r="H1091" s="1" t="n">
        <f aca="false">ROUND(_xlfn.PERCENTRANK.INC($E$7:$E$4378,E1091)*9,0)</f>
        <v>8</v>
      </c>
      <c r="I1091" s="1" t="str">
        <f aca="false">CONCATENATE(F1091,G1091,H1091)</f>
        <v>678</v>
      </c>
      <c r="J1091" s="1" t="str">
        <f aca="false">_xlfn.IFS(AND(F1091&gt;=8,G1091&gt;=8,H1091&gt;=8),"CHAMPION",AND(F1091&gt;=6,G1091&gt;=7,H1091&gt;=6),"LOYAL CUSTOMER",AND(F1091&gt;=6,G1091&gt;=5,H1091&gt;=5),"POTENTIAL LOYALIST",AND(F1091&gt;=8,G1091&lt;=2,H1091&gt;=5),"NEW CUSTOMERS",AND(F1091&gt;=6,G1091&lt;=2,H1091&gt;=3),"PROMISING",AND(F1091&gt;=3,G1091&gt;=3,H1091&gt;=3),"NEED ATTENTION",AND(F1091&lt;=4,G1091&gt;=6,H1091&gt;=6),"AT RISK",AND(F1091&lt;=2,G1091&gt;=8,H1091&gt;=8),"CAN'T LOSE THEM",AND(F1091&lt;=2,G1091&lt;=2,H1091&lt;=2),"HIBERNATING",TRUE(),"Other")</f>
        <v>LOYAL CUSTOMER</v>
      </c>
      <c r="K1091" s="1" t="n">
        <f aca="false">RANK(E1091,$E$7:$E$4378)+COUNTIF($E$7:E1091,E1091)-1</f>
        <v>628</v>
      </c>
    </row>
    <row r="1092" customFormat="false" ht="14.25" hidden="false" customHeight="true" outlineLevel="0" collapsed="false">
      <c r="A1092" s="51" t="n">
        <v>13805</v>
      </c>
      <c r="B1092" s="53" t="n">
        <v>40834.6180555556</v>
      </c>
      <c r="C1092" s="57" t="n">
        <f aca="false">INT($C$2)-INT(Table3[[#This Row],[Last Purchase Date]])</f>
        <v>53</v>
      </c>
      <c r="D1092" s="1" t="n">
        <v>2</v>
      </c>
      <c r="E1092" s="1" t="n">
        <v>924.6</v>
      </c>
      <c r="F1092" s="1" t="n">
        <f aca="false">ROUND((1-_xlfn.PERCENTRANK.INC($C$7:$C$4378,C1092))*9,0)</f>
        <v>4</v>
      </c>
      <c r="G1092" s="1" t="n">
        <f aca="false">ROUND(_xlfn.PERCENTRANK.INC($D$7:$D$4378,D1092)*9,0)</f>
        <v>3</v>
      </c>
      <c r="H1092" s="1" t="n">
        <f aca="false">ROUND(_xlfn.PERCENTRANK.INC($E$7:$E$4378,E1092)*9,0)</f>
        <v>5</v>
      </c>
      <c r="I1092" s="1" t="str">
        <f aca="false">CONCATENATE(F1092,G1092,H1092)</f>
        <v>435</v>
      </c>
      <c r="J1092" s="1" t="str">
        <f aca="false">_xlfn.IFS(AND(F1092&gt;=8,G1092&gt;=8,H1092&gt;=8),"CHAMPION",AND(F1092&gt;=6,G1092&gt;=7,H1092&gt;=6),"LOYAL CUSTOMER",AND(F1092&gt;=6,G1092&gt;=5,H1092&gt;=5),"POTENTIAL LOYALIST",AND(F1092&gt;=8,G1092&lt;=2,H1092&gt;=5),"NEW CUSTOMERS",AND(F1092&gt;=6,G1092&lt;=2,H1092&gt;=3),"PROMISING",AND(F1092&gt;=3,G1092&gt;=3,H1092&gt;=3),"NEED ATTENTION",AND(F1092&lt;=4,G1092&gt;=6,H1092&gt;=6),"AT RISK",AND(F1092&lt;=2,G1092&gt;=8,H1092&gt;=8),"CAN'T LOSE THEM",AND(F1092&lt;=2,G1092&lt;=2,H1092&lt;=2),"HIBERNATING",TRUE(),"Other")</f>
        <v>NEED ATTENTION</v>
      </c>
      <c r="K1092" s="1" t="n">
        <f aca="false">RANK(E1092,$E$7:$E$4378)+COUNTIF($E$7:E1092,E1092)-1</f>
        <v>1721</v>
      </c>
    </row>
    <row r="1093" customFormat="false" ht="14.25" hidden="false" customHeight="true" outlineLevel="0" collapsed="false">
      <c r="A1093" s="51" t="n">
        <v>13806</v>
      </c>
      <c r="B1093" s="53" t="n">
        <v>40823.4881944444</v>
      </c>
      <c r="C1093" s="57" t="n">
        <f aca="false">INT($C$2)-INT(Table3[[#This Row],[Last Purchase Date]])</f>
        <v>64</v>
      </c>
      <c r="D1093" s="1" t="n">
        <v>1</v>
      </c>
      <c r="E1093" s="1" t="n">
        <v>256.38</v>
      </c>
      <c r="F1093" s="1" t="n">
        <f aca="false">ROUND((1-_xlfn.PERCENTRANK.INC($C$7:$C$4378,C1093))*9,0)</f>
        <v>4</v>
      </c>
      <c r="G1093" s="1" t="n">
        <f aca="false">ROUND(_xlfn.PERCENTRANK.INC($D$7:$D$4378,D1093)*9,0)</f>
        <v>0</v>
      </c>
      <c r="H1093" s="1" t="n">
        <f aca="false">ROUND(_xlfn.PERCENTRANK.INC($E$7:$E$4378,E1093)*9,0)</f>
        <v>2</v>
      </c>
      <c r="I1093" s="1" t="str">
        <f aca="false">CONCATENATE(F1093,G1093,H1093)</f>
        <v>402</v>
      </c>
      <c r="J1093" s="1" t="str">
        <f aca="false">_xlfn.IFS(AND(F1093&gt;=8,G1093&gt;=8,H1093&gt;=8),"CHAMPION",AND(F1093&gt;=6,G1093&gt;=7,H1093&gt;=6),"LOYAL CUSTOMER",AND(F1093&gt;=6,G1093&gt;=5,H1093&gt;=5),"POTENTIAL LOYALIST",AND(F1093&gt;=8,G1093&lt;=2,H1093&gt;=5),"NEW CUSTOMERS",AND(F1093&gt;=6,G1093&lt;=2,H1093&gt;=3),"PROMISING",AND(F1093&gt;=3,G1093&gt;=3,H1093&gt;=3),"NEED ATTENTION",AND(F1093&lt;=4,G1093&gt;=6,H1093&gt;=6),"AT RISK",AND(F1093&lt;=2,G1093&gt;=8,H1093&gt;=8),"CAN'T LOSE THEM",AND(F1093&lt;=2,G1093&lt;=2,H1093&lt;=2),"HIBERNATING",TRUE(),"Other")</f>
        <v>Other</v>
      </c>
      <c r="K1093" s="1" t="n">
        <f aca="false">RANK(E1093,$E$7:$E$4378)+COUNTIF($E$7:E1093,E1093)-1</f>
        <v>3410</v>
      </c>
    </row>
    <row r="1094" customFormat="false" ht="14.25" hidden="false" customHeight="true" outlineLevel="0" collapsed="false">
      <c r="A1094" s="51" t="n">
        <v>13807</v>
      </c>
      <c r="B1094" s="53" t="n">
        <v>40519.6583333333</v>
      </c>
      <c r="C1094" s="57" t="n">
        <f aca="false">INT($C$2)-INT(Table3[[#This Row],[Last Purchase Date]])</f>
        <v>368</v>
      </c>
      <c r="D1094" s="1" t="n">
        <v>1</v>
      </c>
      <c r="E1094" s="1" t="n">
        <v>112.6</v>
      </c>
      <c r="F1094" s="1" t="n">
        <f aca="false">ROUND((1-_xlfn.PERCENTRANK.INC($C$7:$C$4378,C1094))*9,0)</f>
        <v>0</v>
      </c>
      <c r="G1094" s="1" t="n">
        <f aca="false">ROUND(_xlfn.PERCENTRANK.INC($D$7:$D$4378,D1094)*9,0)</f>
        <v>0</v>
      </c>
      <c r="H1094" s="1" t="n">
        <f aca="false">ROUND(_xlfn.PERCENTRANK.INC($E$7:$E$4378,E1094)*9,0)</f>
        <v>1</v>
      </c>
      <c r="I1094" s="1" t="str">
        <f aca="false">CONCATENATE(F1094,G1094,H1094)</f>
        <v>001</v>
      </c>
      <c r="J1094" s="1" t="str">
        <f aca="false">_xlfn.IFS(AND(F1094&gt;=8,G1094&gt;=8,H1094&gt;=8),"CHAMPION",AND(F1094&gt;=6,G1094&gt;=7,H1094&gt;=6),"LOYAL CUSTOMER",AND(F1094&gt;=6,G1094&gt;=5,H1094&gt;=5),"POTENTIAL LOYALIST",AND(F1094&gt;=8,G1094&lt;=2,H1094&gt;=5),"NEW CUSTOMERS",AND(F1094&gt;=6,G1094&lt;=2,H1094&gt;=3),"PROMISING",AND(F1094&gt;=3,G1094&gt;=3,H1094&gt;=3),"NEED ATTENTION",AND(F1094&lt;=4,G1094&gt;=6,H1094&gt;=6),"AT RISK",AND(F1094&lt;=2,G1094&gt;=8,H1094&gt;=8),"CAN'T LOSE THEM",AND(F1094&lt;=2,G1094&lt;=2,H1094&lt;=2),"HIBERNATING",TRUE(),"Other")</f>
        <v>HIBERNATING</v>
      </c>
      <c r="K1094" s="1" t="n">
        <f aca="false">RANK(E1094,$E$7:$E$4378)+COUNTIF($E$7:E1094,E1094)-1</f>
        <v>4094</v>
      </c>
    </row>
    <row r="1095" customFormat="false" ht="14.25" hidden="false" customHeight="true" outlineLevel="0" collapsed="false">
      <c r="A1095" s="51" t="n">
        <v>13808</v>
      </c>
      <c r="B1095" s="53" t="n">
        <v>40881.5125</v>
      </c>
      <c r="C1095" s="57" t="n">
        <f aca="false">INT($C$2)-INT(Table3[[#This Row],[Last Purchase Date]])</f>
        <v>6</v>
      </c>
      <c r="D1095" s="1" t="n">
        <v>5</v>
      </c>
      <c r="E1095" s="1" t="n">
        <v>1747.66</v>
      </c>
      <c r="F1095" s="1" t="n">
        <f aca="false">ROUND((1-_xlfn.PERCENTRANK.INC($C$7:$C$4378,C1095))*9,0)</f>
        <v>8</v>
      </c>
      <c r="G1095" s="1" t="n">
        <f aca="false">ROUND(_xlfn.PERCENTRANK.INC($D$7:$D$4378,D1095)*9,0)</f>
        <v>6</v>
      </c>
      <c r="H1095" s="1" t="n">
        <f aca="false">ROUND(_xlfn.PERCENTRANK.INC($E$7:$E$4378,E1095)*9,0)</f>
        <v>7</v>
      </c>
      <c r="I1095" s="1" t="str">
        <f aca="false">CONCATENATE(F1095,G1095,H1095)</f>
        <v>867</v>
      </c>
      <c r="J1095" s="1" t="str">
        <f aca="false">_xlfn.IFS(AND(F1095&gt;=8,G1095&gt;=8,H1095&gt;=8),"CHAMPION",AND(F1095&gt;=6,G1095&gt;=7,H1095&gt;=6),"LOYAL CUSTOMER",AND(F1095&gt;=6,G1095&gt;=5,H1095&gt;=5),"POTENTIAL LOYALIST",AND(F1095&gt;=8,G1095&lt;=2,H1095&gt;=5),"NEW CUSTOMERS",AND(F1095&gt;=6,G1095&lt;=2,H1095&gt;=3),"PROMISING",AND(F1095&gt;=3,G1095&gt;=3,H1095&gt;=3),"NEED ATTENTION",AND(F1095&lt;=4,G1095&gt;=6,H1095&gt;=6),"AT RISK",AND(F1095&lt;=2,G1095&gt;=8,H1095&gt;=8),"CAN'T LOSE THEM",AND(F1095&lt;=2,G1095&lt;=2,H1095&lt;=2),"HIBERNATING",TRUE(),"Other")</f>
        <v>POTENTIAL LOYALIST</v>
      </c>
      <c r="K1095" s="1" t="n">
        <f aca="false">RANK(E1095,$E$7:$E$4378)+COUNTIF($E$7:E1095,E1095)-1</f>
        <v>1009</v>
      </c>
    </row>
    <row r="1096" customFormat="false" ht="14.25" hidden="false" customHeight="true" outlineLevel="0" collapsed="false">
      <c r="A1096" s="51" t="n">
        <v>13809</v>
      </c>
      <c r="B1096" s="53" t="n">
        <v>40581.5520833333</v>
      </c>
      <c r="C1096" s="57" t="n">
        <f aca="false">INT($C$2)-INT(Table3[[#This Row],[Last Purchase Date]])</f>
        <v>306</v>
      </c>
      <c r="D1096" s="1" t="n">
        <v>1</v>
      </c>
      <c r="E1096" s="1" t="n">
        <v>155.05</v>
      </c>
      <c r="F1096" s="1" t="n">
        <f aca="false">ROUND((1-_xlfn.PERCENTRANK.INC($C$7:$C$4378,C1096))*9,0)</f>
        <v>1</v>
      </c>
      <c r="G1096" s="1" t="n">
        <f aca="false">ROUND(_xlfn.PERCENTRANK.INC($D$7:$D$4378,D1096)*9,0)</f>
        <v>0</v>
      </c>
      <c r="H1096" s="1" t="n">
        <f aca="false">ROUND(_xlfn.PERCENTRANK.INC($E$7:$E$4378,E1096)*9,0)</f>
        <v>1</v>
      </c>
      <c r="I1096" s="1" t="str">
        <f aca="false">CONCATENATE(F1096,G1096,H1096)</f>
        <v>101</v>
      </c>
      <c r="J1096" s="1" t="str">
        <f aca="false">_xlfn.IFS(AND(F1096&gt;=8,G1096&gt;=8,H1096&gt;=8),"CHAMPION",AND(F1096&gt;=6,G1096&gt;=7,H1096&gt;=6),"LOYAL CUSTOMER",AND(F1096&gt;=6,G1096&gt;=5,H1096&gt;=5),"POTENTIAL LOYALIST",AND(F1096&gt;=8,G1096&lt;=2,H1096&gt;=5),"NEW CUSTOMERS",AND(F1096&gt;=6,G1096&lt;=2,H1096&gt;=3),"PROMISING",AND(F1096&gt;=3,G1096&gt;=3,H1096&gt;=3),"NEED ATTENTION",AND(F1096&lt;=4,G1096&gt;=6,H1096&gt;=6),"AT RISK",AND(F1096&lt;=2,G1096&gt;=8,H1096&gt;=8),"CAN'T LOSE THEM",AND(F1096&lt;=2,G1096&lt;=2,H1096&lt;=2),"HIBERNATING",TRUE(),"Other")</f>
        <v>HIBERNATING</v>
      </c>
      <c r="K1096" s="1" t="n">
        <f aca="false">RANK(E1096,$E$7:$E$4378)+COUNTIF($E$7:E1096,E1096)-1</f>
        <v>3888</v>
      </c>
    </row>
    <row r="1097" customFormat="false" ht="14.25" hidden="false" customHeight="true" outlineLevel="0" collapsed="false">
      <c r="A1097" s="51" t="n">
        <v>13810</v>
      </c>
      <c r="B1097" s="53" t="n">
        <v>40858.35625</v>
      </c>
      <c r="C1097" s="57" t="n">
        <f aca="false">INT($C$2)-INT(Table3[[#This Row],[Last Purchase Date]])</f>
        <v>29</v>
      </c>
      <c r="D1097" s="1" t="n">
        <v>4</v>
      </c>
      <c r="E1097" s="1" t="n">
        <v>899.51</v>
      </c>
      <c r="F1097" s="1" t="n">
        <f aca="false">ROUND((1-_xlfn.PERCENTRANK.INC($C$7:$C$4378,C1097))*9,0)</f>
        <v>6</v>
      </c>
      <c r="G1097" s="1" t="n">
        <f aca="false">ROUND(_xlfn.PERCENTRANK.INC($D$7:$D$4378,D1097)*9,0)</f>
        <v>5</v>
      </c>
      <c r="H1097" s="1" t="n">
        <f aca="false">ROUND(_xlfn.PERCENTRANK.INC($E$7:$E$4378,E1097)*9,0)</f>
        <v>5</v>
      </c>
      <c r="I1097" s="1" t="str">
        <f aca="false">CONCATENATE(F1097,G1097,H1097)</f>
        <v>655</v>
      </c>
      <c r="J1097" s="1" t="str">
        <f aca="false">_xlfn.IFS(AND(F1097&gt;=8,G1097&gt;=8,H1097&gt;=8),"CHAMPION",AND(F1097&gt;=6,G1097&gt;=7,H1097&gt;=6),"LOYAL CUSTOMER",AND(F1097&gt;=6,G1097&gt;=5,H1097&gt;=5),"POTENTIAL LOYALIST",AND(F1097&gt;=8,G1097&lt;=2,H1097&gt;=5),"NEW CUSTOMERS",AND(F1097&gt;=6,G1097&lt;=2,H1097&gt;=3),"PROMISING",AND(F1097&gt;=3,G1097&gt;=3,H1097&gt;=3),"NEED ATTENTION",AND(F1097&lt;=4,G1097&gt;=6,H1097&gt;=6),"AT RISK",AND(F1097&lt;=2,G1097&gt;=8,H1097&gt;=8),"CAN'T LOSE THEM",AND(F1097&lt;=2,G1097&lt;=2,H1097&lt;=2),"HIBERNATING",TRUE(),"Other")</f>
        <v>POTENTIAL LOYALIST</v>
      </c>
      <c r="K1097" s="1" t="n">
        <f aca="false">RANK(E1097,$E$7:$E$4378)+COUNTIF($E$7:E1097,E1097)-1</f>
        <v>1763</v>
      </c>
    </row>
    <row r="1098" customFormat="false" ht="14.25" hidden="false" customHeight="true" outlineLevel="0" collapsed="false">
      <c r="A1098" s="51" t="n">
        <v>13811</v>
      </c>
      <c r="B1098" s="53" t="n">
        <v>40703.4125</v>
      </c>
      <c r="C1098" s="57" t="n">
        <f aca="false">INT($C$2)-INT(Table3[[#This Row],[Last Purchase Date]])</f>
        <v>184</v>
      </c>
      <c r="D1098" s="1" t="n">
        <v>4</v>
      </c>
      <c r="E1098" s="1" t="n">
        <v>591.75</v>
      </c>
      <c r="F1098" s="1" t="n">
        <f aca="false">ROUND((1-_xlfn.PERCENTRANK.INC($C$7:$C$4378,C1098))*9,0)</f>
        <v>2</v>
      </c>
      <c r="G1098" s="1" t="n">
        <f aca="false">ROUND(_xlfn.PERCENTRANK.INC($D$7:$D$4378,D1098)*9,0)</f>
        <v>5</v>
      </c>
      <c r="H1098" s="1" t="n">
        <f aca="false">ROUND(_xlfn.PERCENTRANK.INC($E$7:$E$4378,E1098)*9,0)</f>
        <v>4</v>
      </c>
      <c r="I1098" s="1" t="str">
        <f aca="false">CONCATENATE(F1098,G1098,H1098)</f>
        <v>254</v>
      </c>
      <c r="J1098" s="1" t="str">
        <f aca="false">_xlfn.IFS(AND(F1098&gt;=8,G1098&gt;=8,H1098&gt;=8),"CHAMPION",AND(F1098&gt;=6,G1098&gt;=7,H1098&gt;=6),"LOYAL CUSTOMER",AND(F1098&gt;=6,G1098&gt;=5,H1098&gt;=5),"POTENTIAL LOYALIST",AND(F1098&gt;=8,G1098&lt;=2,H1098&gt;=5),"NEW CUSTOMERS",AND(F1098&gt;=6,G1098&lt;=2,H1098&gt;=3),"PROMISING",AND(F1098&gt;=3,G1098&gt;=3,H1098&gt;=3),"NEED ATTENTION",AND(F1098&lt;=4,G1098&gt;=6,H1098&gt;=6),"AT RISK",AND(F1098&lt;=2,G1098&gt;=8,H1098&gt;=8),"CAN'T LOSE THEM",AND(F1098&lt;=2,G1098&lt;=2,H1098&lt;=2),"HIBERNATING",TRUE(),"Other")</f>
        <v>Other</v>
      </c>
      <c r="K1098" s="1" t="n">
        <f aca="false">RANK(E1098,$E$7:$E$4378)+COUNTIF($E$7:E1098,E1098)-1</f>
        <v>2343</v>
      </c>
    </row>
    <row r="1099" customFormat="false" ht="14.25" hidden="false" customHeight="true" outlineLevel="0" collapsed="false">
      <c r="A1099" s="51" t="n">
        <v>13812</v>
      </c>
      <c r="B1099" s="53" t="n">
        <v>40844.6020833333</v>
      </c>
      <c r="C1099" s="57" t="n">
        <f aca="false">INT($C$2)-INT(Table3[[#This Row],[Last Purchase Date]])</f>
        <v>43</v>
      </c>
      <c r="D1099" s="1" t="n">
        <v>3</v>
      </c>
      <c r="E1099" s="1" t="n">
        <v>539</v>
      </c>
      <c r="F1099" s="1" t="n">
        <f aca="false">ROUND((1-_xlfn.PERCENTRANK.INC($C$7:$C$4378,C1099))*9,0)</f>
        <v>5</v>
      </c>
      <c r="G1099" s="1" t="n">
        <f aca="false">ROUND(_xlfn.PERCENTRANK.INC($D$7:$D$4378,D1099)*9,0)</f>
        <v>4</v>
      </c>
      <c r="H1099" s="1" t="n">
        <f aca="false">ROUND(_xlfn.PERCENTRANK.INC($E$7:$E$4378,E1099)*9,0)</f>
        <v>4</v>
      </c>
      <c r="I1099" s="1" t="str">
        <f aca="false">CONCATENATE(F1099,G1099,H1099)</f>
        <v>544</v>
      </c>
      <c r="J1099" s="1" t="str">
        <f aca="false">_xlfn.IFS(AND(F1099&gt;=8,G1099&gt;=8,H1099&gt;=8),"CHAMPION",AND(F1099&gt;=6,G1099&gt;=7,H1099&gt;=6),"LOYAL CUSTOMER",AND(F1099&gt;=6,G1099&gt;=5,H1099&gt;=5),"POTENTIAL LOYALIST",AND(F1099&gt;=8,G1099&lt;=2,H1099&gt;=5),"NEW CUSTOMERS",AND(F1099&gt;=6,G1099&lt;=2,H1099&gt;=3),"PROMISING",AND(F1099&gt;=3,G1099&gt;=3,H1099&gt;=3),"NEED ATTENTION",AND(F1099&lt;=4,G1099&gt;=6,H1099&gt;=6),"AT RISK",AND(F1099&lt;=2,G1099&gt;=8,H1099&gt;=8),"CAN'T LOSE THEM",AND(F1099&lt;=2,G1099&lt;=2,H1099&lt;=2),"HIBERNATING",TRUE(),"Other")</f>
        <v>NEED ATTENTION</v>
      </c>
      <c r="K1099" s="1" t="n">
        <f aca="false">RANK(E1099,$E$7:$E$4378)+COUNTIF($E$7:E1099,E1099)-1</f>
        <v>2455</v>
      </c>
    </row>
    <row r="1100" customFormat="false" ht="14.25" hidden="false" customHeight="true" outlineLevel="0" collapsed="false">
      <c r="A1100" s="51" t="n">
        <v>13813</v>
      </c>
      <c r="B1100" s="53" t="n">
        <v>40847.4430555556</v>
      </c>
      <c r="C1100" s="57" t="n">
        <f aca="false">INT($C$2)-INT(Table3[[#This Row],[Last Purchase Date]])</f>
        <v>40</v>
      </c>
      <c r="D1100" s="1" t="n">
        <v>5</v>
      </c>
      <c r="E1100" s="1" t="n">
        <v>1353.41</v>
      </c>
      <c r="F1100" s="1" t="n">
        <f aca="false">ROUND((1-_xlfn.PERCENTRANK.INC($C$7:$C$4378,C1100))*9,0)</f>
        <v>5</v>
      </c>
      <c r="G1100" s="1" t="n">
        <f aca="false">ROUND(_xlfn.PERCENTRANK.INC($D$7:$D$4378,D1100)*9,0)</f>
        <v>6</v>
      </c>
      <c r="H1100" s="1" t="n">
        <f aca="false">ROUND(_xlfn.PERCENTRANK.INC($E$7:$E$4378,E1100)*9,0)</f>
        <v>6</v>
      </c>
      <c r="I1100" s="1" t="str">
        <f aca="false">CONCATENATE(F1100,G1100,H1100)</f>
        <v>566</v>
      </c>
      <c r="J1100" s="1" t="str">
        <f aca="false">_xlfn.IFS(AND(F1100&gt;=8,G1100&gt;=8,H1100&gt;=8),"CHAMPION",AND(F1100&gt;=6,G1100&gt;=7,H1100&gt;=6),"LOYAL CUSTOMER",AND(F1100&gt;=6,G1100&gt;=5,H1100&gt;=5),"POTENTIAL LOYALIST",AND(F1100&gt;=8,G1100&lt;=2,H1100&gt;=5),"NEW CUSTOMERS",AND(F1100&gt;=6,G1100&lt;=2,H1100&gt;=3),"PROMISING",AND(F1100&gt;=3,G1100&gt;=3,H1100&gt;=3),"NEED ATTENTION",AND(F1100&lt;=4,G1100&gt;=6,H1100&gt;=6),"AT RISK",AND(F1100&lt;=2,G1100&gt;=8,H1100&gt;=8),"CAN'T LOSE THEM",AND(F1100&lt;=2,G1100&lt;=2,H1100&lt;=2),"HIBERNATING",TRUE(),"Other")</f>
        <v>NEED ATTENTION</v>
      </c>
      <c r="K1100" s="1" t="n">
        <f aca="false">RANK(E1100,$E$7:$E$4378)+COUNTIF($E$7:E1100,E1100)-1</f>
        <v>1269</v>
      </c>
    </row>
    <row r="1101" customFormat="false" ht="14.25" hidden="false" customHeight="true" outlineLevel="0" collapsed="false">
      <c r="A1101" s="51" t="n">
        <v>13814</v>
      </c>
      <c r="B1101" s="53" t="n">
        <v>40830.70625</v>
      </c>
      <c r="C1101" s="57" t="n">
        <f aca="false">INT($C$2)-INT(Table3[[#This Row],[Last Purchase Date]])</f>
        <v>57</v>
      </c>
      <c r="D1101" s="1" t="n">
        <v>3</v>
      </c>
      <c r="E1101" s="1" t="n">
        <v>1562.12</v>
      </c>
      <c r="F1101" s="1" t="n">
        <f aca="false">ROUND((1-_xlfn.PERCENTRANK.INC($C$7:$C$4378,C1101))*9,0)</f>
        <v>4</v>
      </c>
      <c r="G1101" s="1" t="n">
        <f aca="false">ROUND(_xlfn.PERCENTRANK.INC($D$7:$D$4378,D1101)*9,0)</f>
        <v>4</v>
      </c>
      <c r="H1101" s="1" t="n">
        <f aca="false">ROUND(_xlfn.PERCENTRANK.INC($E$7:$E$4378,E1101)*9,0)</f>
        <v>7</v>
      </c>
      <c r="I1101" s="1" t="str">
        <f aca="false">CONCATENATE(F1101,G1101,H1101)</f>
        <v>447</v>
      </c>
      <c r="J1101" s="1" t="str">
        <f aca="false">_xlfn.IFS(AND(F1101&gt;=8,G1101&gt;=8,H1101&gt;=8),"CHAMPION",AND(F1101&gt;=6,G1101&gt;=7,H1101&gt;=6),"LOYAL CUSTOMER",AND(F1101&gt;=6,G1101&gt;=5,H1101&gt;=5),"POTENTIAL LOYALIST",AND(F1101&gt;=8,G1101&lt;=2,H1101&gt;=5),"NEW CUSTOMERS",AND(F1101&gt;=6,G1101&lt;=2,H1101&gt;=3),"PROMISING",AND(F1101&gt;=3,G1101&gt;=3,H1101&gt;=3),"NEED ATTENTION",AND(F1101&lt;=4,G1101&gt;=6,H1101&gt;=6),"AT RISK",AND(F1101&lt;=2,G1101&gt;=8,H1101&gt;=8),"CAN'T LOSE THEM",AND(F1101&lt;=2,G1101&lt;=2,H1101&lt;=2),"HIBERNATING",TRUE(),"Other")</f>
        <v>NEED ATTENTION</v>
      </c>
      <c r="K1101" s="1" t="n">
        <f aca="false">RANK(E1101,$E$7:$E$4378)+COUNTIF($E$7:E1101,E1101)-1</f>
        <v>1117</v>
      </c>
    </row>
    <row r="1102" customFormat="false" ht="14.25" hidden="false" customHeight="true" outlineLevel="0" collapsed="false">
      <c r="A1102" s="51" t="n">
        <v>13815</v>
      </c>
      <c r="B1102" s="53" t="n">
        <v>40864.5965277778</v>
      </c>
      <c r="C1102" s="57" t="n">
        <f aca="false">INT($C$2)-INT(Table3[[#This Row],[Last Purchase Date]])</f>
        <v>23</v>
      </c>
      <c r="D1102" s="1" t="n">
        <v>5</v>
      </c>
      <c r="E1102" s="1" t="n">
        <v>4014.91</v>
      </c>
      <c r="F1102" s="1" t="n">
        <f aca="false">ROUND((1-_xlfn.PERCENTRANK.INC($C$7:$C$4378,C1102))*9,0)</f>
        <v>6</v>
      </c>
      <c r="G1102" s="1" t="n">
        <f aca="false">ROUND(_xlfn.PERCENTRANK.INC($D$7:$D$4378,D1102)*9,0)</f>
        <v>6</v>
      </c>
      <c r="H1102" s="1" t="n">
        <f aca="false">ROUND(_xlfn.PERCENTRANK.INC($E$7:$E$4378,E1102)*9,0)</f>
        <v>8</v>
      </c>
      <c r="I1102" s="1" t="str">
        <f aca="false">CONCATENATE(F1102,G1102,H1102)</f>
        <v>668</v>
      </c>
      <c r="J1102" s="1" t="str">
        <f aca="false">_xlfn.IFS(AND(F1102&gt;=8,G1102&gt;=8,H1102&gt;=8),"CHAMPION",AND(F1102&gt;=6,G1102&gt;=7,H1102&gt;=6),"LOYAL CUSTOMER",AND(F1102&gt;=6,G1102&gt;=5,H1102&gt;=5),"POTENTIAL LOYALIST",AND(F1102&gt;=8,G1102&lt;=2,H1102&gt;=5),"NEW CUSTOMERS",AND(F1102&gt;=6,G1102&lt;=2,H1102&gt;=3),"PROMISING",AND(F1102&gt;=3,G1102&gt;=3,H1102&gt;=3),"NEED ATTENTION",AND(F1102&lt;=4,G1102&gt;=6,H1102&gt;=6),"AT RISK",AND(F1102&lt;=2,G1102&gt;=8,H1102&gt;=8),"CAN'T LOSE THEM",AND(F1102&lt;=2,G1102&lt;=2,H1102&lt;=2),"HIBERNATING",TRUE(),"Other")</f>
        <v>POTENTIAL LOYALIST</v>
      </c>
      <c r="K1102" s="1" t="n">
        <f aca="false">RANK(E1102,$E$7:$E$4378)+COUNTIF($E$7:E1102,E1102)-1</f>
        <v>349</v>
      </c>
    </row>
    <row r="1103" customFormat="false" ht="14.25" hidden="false" customHeight="true" outlineLevel="0" collapsed="false">
      <c r="A1103" s="51" t="n">
        <v>13816</v>
      </c>
      <c r="B1103" s="53" t="n">
        <v>40863.3597222222</v>
      </c>
      <c r="C1103" s="57" t="n">
        <f aca="false">INT($C$2)-INT(Table3[[#This Row],[Last Purchase Date]])</f>
        <v>24</v>
      </c>
      <c r="D1103" s="1" t="n">
        <v>4</v>
      </c>
      <c r="E1103" s="1" t="n">
        <v>555.04</v>
      </c>
      <c r="F1103" s="1" t="n">
        <f aca="false">ROUND((1-_xlfn.PERCENTRANK.INC($C$7:$C$4378,C1103))*9,0)</f>
        <v>6</v>
      </c>
      <c r="G1103" s="1" t="n">
        <f aca="false">ROUND(_xlfn.PERCENTRANK.INC($D$7:$D$4378,D1103)*9,0)</f>
        <v>5</v>
      </c>
      <c r="H1103" s="1" t="n">
        <f aca="false">ROUND(_xlfn.PERCENTRANK.INC($E$7:$E$4378,E1103)*9,0)</f>
        <v>4</v>
      </c>
      <c r="I1103" s="1" t="str">
        <f aca="false">CONCATENATE(F1103,G1103,H1103)</f>
        <v>654</v>
      </c>
      <c r="J1103" s="1" t="str">
        <f aca="false">_xlfn.IFS(AND(F1103&gt;=8,G1103&gt;=8,H1103&gt;=8),"CHAMPION",AND(F1103&gt;=6,G1103&gt;=7,H1103&gt;=6),"LOYAL CUSTOMER",AND(F1103&gt;=6,G1103&gt;=5,H1103&gt;=5),"POTENTIAL LOYALIST",AND(F1103&gt;=8,G1103&lt;=2,H1103&gt;=5),"NEW CUSTOMERS",AND(F1103&gt;=6,G1103&lt;=2,H1103&gt;=3),"PROMISING",AND(F1103&gt;=3,G1103&gt;=3,H1103&gt;=3),"NEED ATTENTION",AND(F1103&lt;=4,G1103&gt;=6,H1103&gt;=6),"AT RISK",AND(F1103&lt;=2,G1103&gt;=8,H1103&gt;=8),"CAN'T LOSE THEM",AND(F1103&lt;=2,G1103&lt;=2,H1103&lt;=2),"HIBERNATING",TRUE(),"Other")</f>
        <v>NEED ATTENTION</v>
      </c>
      <c r="K1103" s="1" t="n">
        <f aca="false">RANK(E1103,$E$7:$E$4378)+COUNTIF($E$7:E1103,E1103)-1</f>
        <v>2419</v>
      </c>
    </row>
    <row r="1104" customFormat="false" ht="14.25" hidden="false" customHeight="true" outlineLevel="0" collapsed="false">
      <c r="A1104" s="51" t="n">
        <v>13817</v>
      </c>
      <c r="B1104" s="53" t="n">
        <v>40857.7423611111</v>
      </c>
      <c r="C1104" s="57" t="n">
        <f aca="false">INT($C$2)-INT(Table3[[#This Row],[Last Purchase Date]])</f>
        <v>30</v>
      </c>
      <c r="D1104" s="1" t="n">
        <v>2</v>
      </c>
      <c r="E1104" s="1" t="n">
        <v>382.98</v>
      </c>
      <c r="F1104" s="1" t="n">
        <f aca="false">ROUND((1-_xlfn.PERCENTRANK.INC($C$7:$C$4378,C1104))*9,0)</f>
        <v>6</v>
      </c>
      <c r="G1104" s="1" t="n">
        <f aca="false">ROUND(_xlfn.PERCENTRANK.INC($D$7:$D$4378,D1104)*9,0)</f>
        <v>3</v>
      </c>
      <c r="H1104" s="1" t="n">
        <f aca="false">ROUND(_xlfn.PERCENTRANK.INC($E$7:$E$4378,E1104)*9,0)</f>
        <v>3</v>
      </c>
      <c r="I1104" s="1" t="str">
        <f aca="false">CONCATENATE(F1104,G1104,H1104)</f>
        <v>633</v>
      </c>
      <c r="J1104" s="1" t="str">
        <f aca="false">_xlfn.IFS(AND(F1104&gt;=8,G1104&gt;=8,H1104&gt;=8),"CHAMPION",AND(F1104&gt;=6,G1104&gt;=7,H1104&gt;=6),"LOYAL CUSTOMER",AND(F1104&gt;=6,G1104&gt;=5,H1104&gt;=5),"POTENTIAL LOYALIST",AND(F1104&gt;=8,G1104&lt;=2,H1104&gt;=5),"NEW CUSTOMERS",AND(F1104&gt;=6,G1104&lt;=2,H1104&gt;=3),"PROMISING",AND(F1104&gt;=3,G1104&gt;=3,H1104&gt;=3),"NEED ATTENTION",AND(F1104&lt;=4,G1104&gt;=6,H1104&gt;=6),"AT RISK",AND(F1104&lt;=2,G1104&gt;=8,H1104&gt;=8),"CAN'T LOSE THEM",AND(F1104&lt;=2,G1104&lt;=2,H1104&lt;=2),"HIBERNATING",TRUE(),"Other")</f>
        <v>NEED ATTENTION</v>
      </c>
      <c r="K1104" s="1" t="n">
        <f aca="false">RANK(E1104,$E$7:$E$4378)+COUNTIF($E$7:E1104,E1104)-1</f>
        <v>2878</v>
      </c>
    </row>
    <row r="1105" customFormat="false" ht="14.25" hidden="false" customHeight="true" outlineLevel="0" collapsed="false">
      <c r="A1105" s="51" t="n">
        <v>13819</v>
      </c>
      <c r="B1105" s="53" t="n">
        <v>40585.4430555556</v>
      </c>
      <c r="C1105" s="57" t="n">
        <f aca="false">INT($C$2)-INT(Table3[[#This Row],[Last Purchase Date]])</f>
        <v>302</v>
      </c>
      <c r="D1105" s="1" t="n">
        <v>3</v>
      </c>
      <c r="E1105" s="1" t="n">
        <v>1140.35</v>
      </c>
      <c r="F1105" s="1" t="n">
        <f aca="false">ROUND((1-_xlfn.PERCENTRANK.INC($C$7:$C$4378,C1105))*9,0)</f>
        <v>1</v>
      </c>
      <c r="G1105" s="1" t="n">
        <f aca="false">ROUND(_xlfn.PERCENTRANK.INC($D$7:$D$4378,D1105)*9,0)</f>
        <v>4</v>
      </c>
      <c r="H1105" s="1" t="n">
        <f aca="false">ROUND(_xlfn.PERCENTRANK.INC($E$7:$E$4378,E1105)*9,0)</f>
        <v>6</v>
      </c>
      <c r="I1105" s="1" t="str">
        <f aca="false">CONCATENATE(F1105,G1105,H1105)</f>
        <v>146</v>
      </c>
      <c r="J1105" s="1" t="str">
        <f aca="false">_xlfn.IFS(AND(F1105&gt;=8,G1105&gt;=8,H1105&gt;=8),"CHAMPION",AND(F1105&gt;=6,G1105&gt;=7,H1105&gt;=6),"LOYAL CUSTOMER",AND(F1105&gt;=6,G1105&gt;=5,H1105&gt;=5),"POTENTIAL LOYALIST",AND(F1105&gt;=8,G1105&lt;=2,H1105&gt;=5),"NEW CUSTOMERS",AND(F1105&gt;=6,G1105&lt;=2,H1105&gt;=3),"PROMISING",AND(F1105&gt;=3,G1105&gt;=3,H1105&gt;=3),"NEED ATTENTION",AND(F1105&lt;=4,G1105&gt;=6,H1105&gt;=6),"AT RISK",AND(F1105&lt;=2,G1105&gt;=8,H1105&gt;=8),"CAN'T LOSE THEM",AND(F1105&lt;=2,G1105&lt;=2,H1105&lt;=2),"HIBERNATING",TRUE(),"Other")</f>
        <v>Other</v>
      </c>
      <c r="K1105" s="1" t="n">
        <f aca="false">RANK(E1105,$E$7:$E$4378)+COUNTIF($E$7:E1105,E1105)-1</f>
        <v>1460</v>
      </c>
    </row>
    <row r="1106" customFormat="false" ht="14.25" hidden="false" customHeight="true" outlineLevel="0" collapsed="false">
      <c r="A1106" s="51" t="n">
        <v>13821</v>
      </c>
      <c r="B1106" s="53" t="n">
        <v>40742.4090277778</v>
      </c>
      <c r="C1106" s="57" t="n">
        <f aca="false">INT($C$2)-INT(Table3[[#This Row],[Last Purchase Date]])</f>
        <v>145</v>
      </c>
      <c r="D1106" s="1" t="n">
        <v>2</v>
      </c>
      <c r="E1106" s="1" t="n">
        <v>385.64</v>
      </c>
      <c r="F1106" s="1" t="n">
        <f aca="false">ROUND((1-_xlfn.PERCENTRANK.INC($C$7:$C$4378,C1106))*9,0)</f>
        <v>2</v>
      </c>
      <c r="G1106" s="1" t="n">
        <f aca="false">ROUND(_xlfn.PERCENTRANK.INC($D$7:$D$4378,D1106)*9,0)</f>
        <v>3</v>
      </c>
      <c r="H1106" s="1" t="n">
        <f aca="false">ROUND(_xlfn.PERCENTRANK.INC($E$7:$E$4378,E1106)*9,0)</f>
        <v>3</v>
      </c>
      <c r="I1106" s="1" t="str">
        <f aca="false">CONCATENATE(F1106,G1106,H1106)</f>
        <v>233</v>
      </c>
      <c r="J1106" s="1" t="str">
        <f aca="false">_xlfn.IFS(AND(F1106&gt;=8,G1106&gt;=8,H1106&gt;=8),"CHAMPION",AND(F1106&gt;=6,G1106&gt;=7,H1106&gt;=6),"LOYAL CUSTOMER",AND(F1106&gt;=6,G1106&gt;=5,H1106&gt;=5),"POTENTIAL LOYALIST",AND(F1106&gt;=8,G1106&lt;=2,H1106&gt;=5),"NEW CUSTOMERS",AND(F1106&gt;=6,G1106&lt;=2,H1106&gt;=3),"PROMISING",AND(F1106&gt;=3,G1106&gt;=3,H1106&gt;=3),"NEED ATTENTION",AND(F1106&lt;=4,G1106&gt;=6,H1106&gt;=6),"AT RISK",AND(F1106&lt;=2,G1106&gt;=8,H1106&gt;=8),"CAN'T LOSE THEM",AND(F1106&lt;=2,G1106&lt;=2,H1106&lt;=2),"HIBERNATING",TRUE(),"Other")</f>
        <v>Other</v>
      </c>
      <c r="K1106" s="1" t="n">
        <f aca="false">RANK(E1106,$E$7:$E$4378)+COUNTIF($E$7:E1106,E1106)-1</f>
        <v>2865</v>
      </c>
    </row>
    <row r="1107" customFormat="false" ht="14.25" hidden="false" customHeight="true" outlineLevel="0" collapsed="false">
      <c r="A1107" s="51" t="n">
        <v>13822</v>
      </c>
      <c r="B1107" s="53" t="n">
        <v>40881.5090277778</v>
      </c>
      <c r="C1107" s="57" t="n">
        <f aca="false">INT($C$2)-INT(Table3[[#This Row],[Last Purchase Date]])</f>
        <v>6</v>
      </c>
      <c r="D1107" s="1" t="n">
        <v>2</v>
      </c>
      <c r="E1107" s="1" t="n">
        <v>632</v>
      </c>
      <c r="F1107" s="1" t="n">
        <f aca="false">ROUND((1-_xlfn.PERCENTRANK.INC($C$7:$C$4378,C1107))*9,0)</f>
        <v>8</v>
      </c>
      <c r="G1107" s="1" t="n">
        <f aca="false">ROUND(_xlfn.PERCENTRANK.INC($D$7:$D$4378,D1107)*9,0)</f>
        <v>3</v>
      </c>
      <c r="H1107" s="1" t="n">
        <f aca="false">ROUND(_xlfn.PERCENTRANK.INC($E$7:$E$4378,E1107)*9,0)</f>
        <v>4</v>
      </c>
      <c r="I1107" s="1" t="str">
        <f aca="false">CONCATENATE(F1107,G1107,H1107)</f>
        <v>834</v>
      </c>
      <c r="J1107" s="1" t="str">
        <f aca="false">_xlfn.IFS(AND(F1107&gt;=8,G1107&gt;=8,H1107&gt;=8),"CHAMPION",AND(F1107&gt;=6,G1107&gt;=7,H1107&gt;=6),"LOYAL CUSTOMER",AND(F1107&gt;=6,G1107&gt;=5,H1107&gt;=5),"POTENTIAL LOYALIST",AND(F1107&gt;=8,G1107&lt;=2,H1107&gt;=5),"NEW CUSTOMERS",AND(F1107&gt;=6,G1107&lt;=2,H1107&gt;=3),"PROMISING",AND(F1107&gt;=3,G1107&gt;=3,H1107&gt;=3),"NEED ATTENTION",AND(F1107&lt;=4,G1107&gt;=6,H1107&gt;=6),"AT RISK",AND(F1107&lt;=2,G1107&gt;=8,H1107&gt;=8),"CAN'T LOSE THEM",AND(F1107&lt;=2,G1107&lt;=2,H1107&lt;=2),"HIBERNATING",TRUE(),"Other")</f>
        <v>NEED ATTENTION</v>
      </c>
      <c r="K1107" s="1" t="n">
        <f aca="false">RANK(E1107,$E$7:$E$4378)+COUNTIF($E$7:E1107,E1107)-1</f>
        <v>2229</v>
      </c>
    </row>
    <row r="1108" customFormat="false" ht="14.25" hidden="false" customHeight="true" outlineLevel="0" collapsed="false">
      <c r="A1108" s="51" t="n">
        <v>13823</v>
      </c>
      <c r="B1108" s="53" t="n">
        <v>40868.4319444444</v>
      </c>
      <c r="C1108" s="57" t="n">
        <f aca="false">INT($C$2)-INT(Table3[[#This Row],[Last Purchase Date]])</f>
        <v>19</v>
      </c>
      <c r="D1108" s="1" t="n">
        <v>2</v>
      </c>
      <c r="E1108" s="1" t="n">
        <v>957.66</v>
      </c>
      <c r="F1108" s="1" t="n">
        <f aca="false">ROUND((1-_xlfn.PERCENTRANK.INC($C$7:$C$4378,C1108))*9,0)</f>
        <v>7</v>
      </c>
      <c r="G1108" s="1" t="n">
        <f aca="false">ROUND(_xlfn.PERCENTRANK.INC($D$7:$D$4378,D1108)*9,0)</f>
        <v>3</v>
      </c>
      <c r="H1108" s="1" t="n">
        <f aca="false">ROUND(_xlfn.PERCENTRANK.INC($E$7:$E$4378,E1108)*9,0)</f>
        <v>6</v>
      </c>
      <c r="I1108" s="1" t="str">
        <f aca="false">CONCATENATE(F1108,G1108,H1108)</f>
        <v>736</v>
      </c>
      <c r="J1108" s="1" t="str">
        <f aca="false">_xlfn.IFS(AND(F1108&gt;=8,G1108&gt;=8,H1108&gt;=8),"CHAMPION",AND(F1108&gt;=6,G1108&gt;=7,H1108&gt;=6),"LOYAL CUSTOMER",AND(F1108&gt;=6,G1108&gt;=5,H1108&gt;=5),"POTENTIAL LOYALIST",AND(F1108&gt;=8,G1108&lt;=2,H1108&gt;=5),"NEW CUSTOMERS",AND(F1108&gt;=6,G1108&lt;=2,H1108&gt;=3),"PROMISING",AND(F1108&gt;=3,G1108&gt;=3,H1108&gt;=3),"NEED ATTENTION",AND(F1108&lt;=4,G1108&gt;=6,H1108&gt;=6),"AT RISK",AND(F1108&lt;=2,G1108&gt;=8,H1108&gt;=8),"CAN'T LOSE THEM",AND(F1108&lt;=2,G1108&lt;=2,H1108&lt;=2),"HIBERNATING",TRUE(),"Other")</f>
        <v>NEED ATTENTION</v>
      </c>
      <c r="K1108" s="1" t="n">
        <f aca="false">RANK(E1108,$E$7:$E$4378)+COUNTIF($E$7:E1108,E1108)-1</f>
        <v>1690</v>
      </c>
    </row>
    <row r="1109" customFormat="false" ht="14.25" hidden="false" customHeight="true" outlineLevel="0" collapsed="false">
      <c r="A1109" s="51" t="n">
        <v>13824</v>
      </c>
      <c r="B1109" s="53" t="n">
        <v>40854.5284722222</v>
      </c>
      <c r="C1109" s="57" t="n">
        <f aca="false">INT($C$2)-INT(Table3[[#This Row],[Last Purchase Date]])</f>
        <v>33</v>
      </c>
      <c r="D1109" s="1" t="n">
        <v>5</v>
      </c>
      <c r="E1109" s="1" t="n">
        <v>1698.94</v>
      </c>
      <c r="F1109" s="1" t="n">
        <f aca="false">ROUND((1-_xlfn.PERCENTRANK.INC($C$7:$C$4378,C1109))*9,0)</f>
        <v>5</v>
      </c>
      <c r="G1109" s="1" t="n">
        <f aca="false">ROUND(_xlfn.PERCENTRANK.INC($D$7:$D$4378,D1109)*9,0)</f>
        <v>6</v>
      </c>
      <c r="H1109" s="1" t="n">
        <f aca="false">ROUND(_xlfn.PERCENTRANK.INC($E$7:$E$4378,E1109)*9,0)</f>
        <v>7</v>
      </c>
      <c r="I1109" s="1" t="str">
        <f aca="false">CONCATENATE(F1109,G1109,H1109)</f>
        <v>567</v>
      </c>
      <c r="J1109" s="1" t="str">
        <f aca="false">_xlfn.IFS(AND(F1109&gt;=8,G1109&gt;=8,H1109&gt;=8),"CHAMPION",AND(F1109&gt;=6,G1109&gt;=7,H1109&gt;=6),"LOYAL CUSTOMER",AND(F1109&gt;=6,G1109&gt;=5,H1109&gt;=5),"POTENTIAL LOYALIST",AND(F1109&gt;=8,G1109&lt;=2,H1109&gt;=5),"NEW CUSTOMERS",AND(F1109&gt;=6,G1109&lt;=2,H1109&gt;=3),"PROMISING",AND(F1109&gt;=3,G1109&gt;=3,H1109&gt;=3),"NEED ATTENTION",AND(F1109&lt;=4,G1109&gt;=6,H1109&gt;=6),"AT RISK",AND(F1109&lt;=2,G1109&gt;=8,H1109&gt;=8),"CAN'T LOSE THEM",AND(F1109&lt;=2,G1109&lt;=2,H1109&lt;=2),"HIBERNATING",TRUE(),"Other")</f>
        <v>NEED ATTENTION</v>
      </c>
      <c r="K1109" s="1" t="n">
        <f aca="false">RANK(E1109,$E$7:$E$4378)+COUNTIF($E$7:E1109,E1109)-1</f>
        <v>1038</v>
      </c>
    </row>
    <row r="1110" customFormat="false" ht="14.25" hidden="false" customHeight="true" outlineLevel="0" collapsed="false">
      <c r="A1110" s="51" t="n">
        <v>13826</v>
      </c>
      <c r="B1110" s="53" t="n">
        <v>40728.6854166667</v>
      </c>
      <c r="C1110" s="57" t="n">
        <f aca="false">INT($C$2)-INT(Table3[[#This Row],[Last Purchase Date]])</f>
        <v>159</v>
      </c>
      <c r="D1110" s="1" t="n">
        <v>2</v>
      </c>
      <c r="E1110" s="1" t="n">
        <v>174.65</v>
      </c>
      <c r="F1110" s="1" t="n">
        <f aca="false">ROUND((1-_xlfn.PERCENTRANK.INC($C$7:$C$4378,C1110))*9,0)</f>
        <v>2</v>
      </c>
      <c r="G1110" s="1" t="n">
        <f aca="false">ROUND(_xlfn.PERCENTRANK.INC($D$7:$D$4378,D1110)*9,0)</f>
        <v>3</v>
      </c>
      <c r="H1110" s="1" t="n">
        <f aca="false">ROUND(_xlfn.PERCENTRANK.INC($E$7:$E$4378,E1110)*9,0)</f>
        <v>1</v>
      </c>
      <c r="I1110" s="1" t="str">
        <f aca="false">CONCATENATE(F1110,G1110,H1110)</f>
        <v>231</v>
      </c>
      <c r="J1110" s="1" t="str">
        <f aca="false">_xlfn.IFS(AND(F1110&gt;=8,G1110&gt;=8,H1110&gt;=8),"CHAMPION",AND(F1110&gt;=6,G1110&gt;=7,H1110&gt;=6),"LOYAL CUSTOMER",AND(F1110&gt;=6,G1110&gt;=5,H1110&gt;=5),"POTENTIAL LOYALIST",AND(F1110&gt;=8,G1110&lt;=2,H1110&gt;=5),"NEW CUSTOMERS",AND(F1110&gt;=6,G1110&lt;=2,H1110&gt;=3),"PROMISING",AND(F1110&gt;=3,G1110&gt;=3,H1110&gt;=3),"NEED ATTENTION",AND(F1110&lt;=4,G1110&gt;=6,H1110&gt;=6),"AT RISK",AND(F1110&lt;=2,G1110&gt;=8,H1110&gt;=8),"CAN'T LOSE THEM",AND(F1110&lt;=2,G1110&lt;=2,H1110&lt;=2),"HIBERNATING",TRUE(),"Other")</f>
        <v>Other</v>
      </c>
      <c r="K1110" s="1" t="n">
        <f aca="false">RANK(E1110,$E$7:$E$4378)+COUNTIF($E$7:E1110,E1110)-1</f>
        <v>3781</v>
      </c>
    </row>
    <row r="1111" customFormat="false" ht="14.25" hidden="false" customHeight="true" outlineLevel="0" collapsed="false">
      <c r="A1111" s="51" t="n">
        <v>13827</v>
      </c>
      <c r="B1111" s="53" t="n">
        <v>40829.5263888889</v>
      </c>
      <c r="C1111" s="57" t="n">
        <f aca="false">INT($C$2)-INT(Table3[[#This Row],[Last Purchase Date]])</f>
        <v>58</v>
      </c>
      <c r="D1111" s="1" t="n">
        <v>3</v>
      </c>
      <c r="E1111" s="1" t="n">
        <v>412.05</v>
      </c>
      <c r="F1111" s="1" t="n">
        <f aca="false">ROUND((1-_xlfn.PERCENTRANK.INC($C$7:$C$4378,C1111))*9,0)</f>
        <v>4</v>
      </c>
      <c r="G1111" s="1" t="n">
        <f aca="false">ROUND(_xlfn.PERCENTRANK.INC($D$7:$D$4378,D1111)*9,0)</f>
        <v>4</v>
      </c>
      <c r="H1111" s="1" t="n">
        <f aca="false">ROUND(_xlfn.PERCENTRANK.INC($E$7:$E$4378,E1111)*9,0)</f>
        <v>3</v>
      </c>
      <c r="I1111" s="1" t="str">
        <f aca="false">CONCATENATE(F1111,G1111,H1111)</f>
        <v>443</v>
      </c>
      <c r="J1111" s="1" t="str">
        <f aca="false">_xlfn.IFS(AND(F1111&gt;=8,G1111&gt;=8,H1111&gt;=8),"CHAMPION",AND(F1111&gt;=6,G1111&gt;=7,H1111&gt;=6),"LOYAL CUSTOMER",AND(F1111&gt;=6,G1111&gt;=5,H1111&gt;=5),"POTENTIAL LOYALIST",AND(F1111&gt;=8,G1111&lt;=2,H1111&gt;=5),"NEW CUSTOMERS",AND(F1111&gt;=6,G1111&lt;=2,H1111&gt;=3),"PROMISING",AND(F1111&gt;=3,G1111&gt;=3,H1111&gt;=3),"NEED ATTENTION",AND(F1111&lt;=4,G1111&gt;=6,H1111&gt;=6),"AT RISK",AND(F1111&lt;=2,G1111&gt;=8,H1111&gt;=8),"CAN'T LOSE THEM",AND(F1111&lt;=2,G1111&lt;=2,H1111&lt;=2),"HIBERNATING",TRUE(),"Other")</f>
        <v>NEED ATTENTION</v>
      </c>
      <c r="K1111" s="1" t="n">
        <f aca="false">RANK(E1111,$E$7:$E$4378)+COUNTIF($E$7:E1111,E1111)-1</f>
        <v>2781</v>
      </c>
    </row>
    <row r="1112" customFormat="false" ht="14.25" hidden="false" customHeight="true" outlineLevel="0" collapsed="false">
      <c r="A1112" s="51" t="n">
        <v>13828</v>
      </c>
      <c r="B1112" s="53" t="n">
        <v>40864.6680555556</v>
      </c>
      <c r="C1112" s="57" t="n">
        <f aca="false">INT($C$2)-INT(Table3[[#This Row],[Last Purchase Date]])</f>
        <v>23</v>
      </c>
      <c r="D1112" s="1" t="n">
        <v>1</v>
      </c>
      <c r="E1112" s="1" t="n">
        <v>209.49</v>
      </c>
      <c r="F1112" s="1" t="n">
        <f aca="false">ROUND((1-_xlfn.PERCENTRANK.INC($C$7:$C$4378,C1112))*9,0)</f>
        <v>6</v>
      </c>
      <c r="G1112" s="1" t="n">
        <f aca="false">ROUND(_xlfn.PERCENTRANK.INC($D$7:$D$4378,D1112)*9,0)</f>
        <v>0</v>
      </c>
      <c r="H1112" s="1" t="n">
        <f aca="false">ROUND(_xlfn.PERCENTRANK.INC($E$7:$E$4378,E1112)*9,0)</f>
        <v>2</v>
      </c>
      <c r="I1112" s="1" t="str">
        <f aca="false">CONCATENATE(F1112,G1112,H1112)</f>
        <v>602</v>
      </c>
      <c r="J1112" s="1" t="str">
        <f aca="false">_xlfn.IFS(AND(F1112&gt;=8,G1112&gt;=8,H1112&gt;=8),"CHAMPION",AND(F1112&gt;=6,G1112&gt;=7,H1112&gt;=6),"LOYAL CUSTOMER",AND(F1112&gt;=6,G1112&gt;=5,H1112&gt;=5),"POTENTIAL LOYALIST",AND(F1112&gt;=8,G1112&lt;=2,H1112&gt;=5),"NEW CUSTOMERS",AND(F1112&gt;=6,G1112&lt;=2,H1112&gt;=3),"PROMISING",AND(F1112&gt;=3,G1112&gt;=3,H1112&gt;=3),"NEED ATTENTION",AND(F1112&lt;=4,G1112&gt;=6,H1112&gt;=6),"AT RISK",AND(F1112&lt;=2,G1112&gt;=8,H1112&gt;=8),"CAN'T LOSE THEM",AND(F1112&lt;=2,G1112&lt;=2,H1112&lt;=2),"HIBERNATING",TRUE(),"Other")</f>
        <v>Other</v>
      </c>
      <c r="K1112" s="1" t="n">
        <f aca="false">RANK(E1112,$E$7:$E$4378)+COUNTIF($E$7:E1112,E1112)-1</f>
        <v>3613</v>
      </c>
    </row>
    <row r="1113" customFormat="false" ht="14.25" hidden="false" customHeight="true" outlineLevel="0" collapsed="false">
      <c r="A1113" s="51" t="n">
        <v>13829</v>
      </c>
      <c r="B1113" s="53" t="n">
        <v>40527.6916666667</v>
      </c>
      <c r="C1113" s="57" t="n">
        <f aca="false">INT($C$2)-INT(Table3[[#This Row],[Last Purchase Date]])</f>
        <v>360</v>
      </c>
      <c r="D1113" s="1" t="n">
        <v>1</v>
      </c>
      <c r="E1113" s="1" t="n">
        <v>-102</v>
      </c>
      <c r="F1113" s="1" t="n">
        <f aca="false">ROUND((1-_xlfn.PERCENTRANK.INC($C$7:$C$4378,C1113))*9,0)</f>
        <v>0</v>
      </c>
      <c r="G1113" s="1" t="n">
        <f aca="false">ROUND(_xlfn.PERCENTRANK.INC($D$7:$D$4378,D1113)*9,0)</f>
        <v>0</v>
      </c>
      <c r="H1113" s="1" t="n">
        <f aca="false">ROUND(_xlfn.PERCENTRANK.INC($E$7:$E$4378,E1113)*9,0)</f>
        <v>0</v>
      </c>
      <c r="I1113" s="1" t="str">
        <f aca="false">CONCATENATE(F1113,G1113,H1113)</f>
        <v>000</v>
      </c>
      <c r="J1113" s="1" t="str">
        <f aca="false">_xlfn.IFS(AND(F1113&gt;=8,G1113&gt;=8,H1113&gt;=8),"CHAMPION",AND(F1113&gt;=6,G1113&gt;=7,H1113&gt;=6),"LOYAL CUSTOMER",AND(F1113&gt;=6,G1113&gt;=5,H1113&gt;=5),"POTENTIAL LOYALIST",AND(F1113&gt;=8,G1113&lt;=2,H1113&gt;=5),"NEW CUSTOMERS",AND(F1113&gt;=6,G1113&lt;=2,H1113&gt;=3),"PROMISING",AND(F1113&gt;=3,G1113&gt;=3,H1113&gt;=3),"NEED ATTENTION",AND(F1113&lt;=4,G1113&gt;=6,H1113&gt;=6),"AT RISK",AND(F1113&lt;=2,G1113&gt;=8,H1113&gt;=8),"CAN'T LOSE THEM",AND(F1113&lt;=2,G1113&lt;=2,H1113&lt;=2),"HIBERNATING",TRUE(),"Other")</f>
        <v>HIBERNATING</v>
      </c>
      <c r="K1113" s="1" t="n">
        <f aca="false">RANK(E1113,$E$7:$E$4378)+COUNTIF($E$7:E1113,E1113)-1</f>
        <v>4357</v>
      </c>
    </row>
    <row r="1114" customFormat="false" ht="14.25" hidden="false" customHeight="true" outlineLevel="0" collapsed="false">
      <c r="A1114" s="51" t="n">
        <v>13831</v>
      </c>
      <c r="B1114" s="53" t="n">
        <v>40870.6534722222</v>
      </c>
      <c r="C1114" s="57" t="n">
        <f aca="false">INT($C$2)-INT(Table3[[#This Row],[Last Purchase Date]])</f>
        <v>17</v>
      </c>
      <c r="D1114" s="1" t="n">
        <v>6</v>
      </c>
      <c r="E1114" s="1" t="n">
        <v>2202.99</v>
      </c>
      <c r="F1114" s="1" t="n">
        <f aca="false">ROUND((1-_xlfn.PERCENTRANK.INC($C$7:$C$4378,C1114))*9,0)</f>
        <v>7</v>
      </c>
      <c r="G1114" s="1" t="n">
        <f aca="false">ROUND(_xlfn.PERCENTRANK.INC($D$7:$D$4378,D1114)*9,0)</f>
        <v>7</v>
      </c>
      <c r="H1114" s="1" t="n">
        <f aca="false">ROUND(_xlfn.PERCENTRANK.INC($E$7:$E$4378,E1114)*9,0)</f>
        <v>7</v>
      </c>
      <c r="I1114" s="1" t="str">
        <f aca="false">CONCATENATE(F1114,G1114,H1114)</f>
        <v>777</v>
      </c>
      <c r="J1114" s="1" t="str">
        <f aca="false">_xlfn.IFS(AND(F1114&gt;=8,G1114&gt;=8,H1114&gt;=8),"CHAMPION",AND(F1114&gt;=6,G1114&gt;=7,H1114&gt;=6),"LOYAL CUSTOMER",AND(F1114&gt;=6,G1114&gt;=5,H1114&gt;=5),"POTENTIAL LOYALIST",AND(F1114&gt;=8,G1114&lt;=2,H1114&gt;=5),"NEW CUSTOMERS",AND(F1114&gt;=6,G1114&lt;=2,H1114&gt;=3),"PROMISING",AND(F1114&gt;=3,G1114&gt;=3,H1114&gt;=3),"NEED ATTENTION",AND(F1114&lt;=4,G1114&gt;=6,H1114&gt;=6),"AT RISK",AND(F1114&lt;=2,G1114&gt;=8,H1114&gt;=8),"CAN'T LOSE THEM",AND(F1114&lt;=2,G1114&lt;=2,H1114&lt;=2),"HIBERNATING",TRUE(),"Other")</f>
        <v>LOYAL CUSTOMER</v>
      </c>
      <c r="K1114" s="1" t="n">
        <f aca="false">RANK(E1114,$E$7:$E$4378)+COUNTIF($E$7:E1114,E1114)-1</f>
        <v>781</v>
      </c>
    </row>
    <row r="1115" customFormat="false" ht="14.25" hidden="false" customHeight="true" outlineLevel="0" collapsed="false">
      <c r="A1115" s="51" t="n">
        <v>13832</v>
      </c>
      <c r="B1115" s="53" t="n">
        <v>40869.5215277778</v>
      </c>
      <c r="C1115" s="57" t="n">
        <f aca="false">INT($C$2)-INT(Table3[[#This Row],[Last Purchase Date]])</f>
        <v>18</v>
      </c>
      <c r="D1115" s="1" t="n">
        <v>2</v>
      </c>
      <c r="E1115" s="1" t="n">
        <v>40.95</v>
      </c>
      <c r="F1115" s="1" t="n">
        <f aca="false">ROUND((1-_xlfn.PERCENTRANK.INC($C$7:$C$4378,C1115))*9,0)</f>
        <v>7</v>
      </c>
      <c r="G1115" s="1" t="n">
        <f aca="false">ROUND(_xlfn.PERCENTRANK.INC($D$7:$D$4378,D1115)*9,0)</f>
        <v>3</v>
      </c>
      <c r="H1115" s="1" t="n">
        <f aca="false">ROUND(_xlfn.PERCENTRANK.INC($E$7:$E$4378,E1115)*9,0)</f>
        <v>0</v>
      </c>
      <c r="I1115" s="1" t="str">
        <f aca="false">CONCATENATE(F1115,G1115,H1115)</f>
        <v>730</v>
      </c>
      <c r="J1115" s="1" t="str">
        <f aca="false">_xlfn.IFS(AND(F1115&gt;=8,G1115&gt;=8,H1115&gt;=8),"CHAMPION",AND(F1115&gt;=6,G1115&gt;=7,H1115&gt;=6),"LOYAL CUSTOMER",AND(F1115&gt;=6,G1115&gt;=5,H1115&gt;=5),"POTENTIAL LOYALIST",AND(F1115&gt;=8,G1115&lt;=2,H1115&gt;=5),"NEW CUSTOMERS",AND(F1115&gt;=6,G1115&lt;=2,H1115&gt;=3),"PROMISING",AND(F1115&gt;=3,G1115&gt;=3,H1115&gt;=3),"NEED ATTENTION",AND(F1115&lt;=4,G1115&gt;=6,H1115&gt;=6),"AT RISK",AND(F1115&lt;=2,G1115&gt;=8,H1115&gt;=8),"CAN'T LOSE THEM",AND(F1115&lt;=2,G1115&lt;=2,H1115&lt;=2),"HIBERNATING",TRUE(),"Other")</f>
        <v>Other</v>
      </c>
      <c r="K1115" s="1" t="n">
        <f aca="false">RANK(E1115,$E$7:$E$4378)+COUNTIF($E$7:E1115,E1115)-1</f>
        <v>4290</v>
      </c>
    </row>
    <row r="1116" customFormat="false" ht="14.25" hidden="false" customHeight="true" outlineLevel="0" collapsed="false">
      <c r="A1116" s="51" t="n">
        <v>13833</v>
      </c>
      <c r="B1116" s="53" t="n">
        <v>40727.5604166667</v>
      </c>
      <c r="C1116" s="57" t="n">
        <f aca="false">INT($C$2)-INT(Table3[[#This Row],[Last Purchase Date]])</f>
        <v>160</v>
      </c>
      <c r="D1116" s="1" t="n">
        <v>1</v>
      </c>
      <c r="E1116" s="1" t="n">
        <v>384.8</v>
      </c>
      <c r="F1116" s="1" t="n">
        <f aca="false">ROUND((1-_xlfn.PERCENTRANK.INC($C$7:$C$4378,C1116))*9,0)</f>
        <v>2</v>
      </c>
      <c r="G1116" s="1" t="n">
        <f aca="false">ROUND(_xlfn.PERCENTRANK.INC($D$7:$D$4378,D1116)*9,0)</f>
        <v>0</v>
      </c>
      <c r="H1116" s="1" t="n">
        <f aca="false">ROUND(_xlfn.PERCENTRANK.INC($E$7:$E$4378,E1116)*9,0)</f>
        <v>3</v>
      </c>
      <c r="I1116" s="1" t="str">
        <f aca="false">CONCATENATE(F1116,G1116,H1116)</f>
        <v>203</v>
      </c>
      <c r="J1116" s="1" t="str">
        <f aca="false">_xlfn.IFS(AND(F1116&gt;=8,G1116&gt;=8,H1116&gt;=8),"CHAMPION",AND(F1116&gt;=6,G1116&gt;=7,H1116&gt;=6),"LOYAL CUSTOMER",AND(F1116&gt;=6,G1116&gt;=5,H1116&gt;=5),"POTENTIAL LOYALIST",AND(F1116&gt;=8,G1116&lt;=2,H1116&gt;=5),"NEW CUSTOMERS",AND(F1116&gt;=6,G1116&lt;=2,H1116&gt;=3),"PROMISING",AND(F1116&gt;=3,G1116&gt;=3,H1116&gt;=3),"NEED ATTENTION",AND(F1116&lt;=4,G1116&gt;=6,H1116&gt;=6),"AT RISK",AND(F1116&lt;=2,G1116&gt;=8,H1116&gt;=8),"CAN'T LOSE THEM",AND(F1116&lt;=2,G1116&lt;=2,H1116&lt;=2),"HIBERNATING",TRUE(),"Other")</f>
        <v>Other</v>
      </c>
      <c r="K1116" s="1" t="n">
        <f aca="false">RANK(E1116,$E$7:$E$4378)+COUNTIF($E$7:E1116,E1116)-1</f>
        <v>2867</v>
      </c>
    </row>
    <row r="1117" customFormat="false" ht="14.25" hidden="false" customHeight="true" outlineLevel="0" collapsed="false">
      <c r="A1117" s="51" t="n">
        <v>13835</v>
      </c>
      <c r="B1117" s="53" t="n">
        <v>40861.6506944444</v>
      </c>
      <c r="C1117" s="57" t="n">
        <f aca="false">INT($C$2)-INT(Table3[[#This Row],[Last Purchase Date]])</f>
        <v>26</v>
      </c>
      <c r="D1117" s="1" t="n">
        <v>4</v>
      </c>
      <c r="E1117" s="1" t="n">
        <v>834.57</v>
      </c>
      <c r="F1117" s="1" t="n">
        <f aca="false">ROUND((1-_xlfn.PERCENTRANK.INC($C$7:$C$4378,C1117))*9,0)</f>
        <v>6</v>
      </c>
      <c r="G1117" s="1" t="n">
        <f aca="false">ROUND(_xlfn.PERCENTRANK.INC($D$7:$D$4378,D1117)*9,0)</f>
        <v>5</v>
      </c>
      <c r="H1117" s="1" t="n">
        <f aca="false">ROUND(_xlfn.PERCENTRANK.INC($E$7:$E$4378,E1117)*9,0)</f>
        <v>5</v>
      </c>
      <c r="I1117" s="1" t="str">
        <f aca="false">CONCATENATE(F1117,G1117,H1117)</f>
        <v>655</v>
      </c>
      <c r="J1117" s="1" t="str">
        <f aca="false">_xlfn.IFS(AND(F1117&gt;=8,G1117&gt;=8,H1117&gt;=8),"CHAMPION",AND(F1117&gt;=6,G1117&gt;=7,H1117&gt;=6),"LOYAL CUSTOMER",AND(F1117&gt;=6,G1117&gt;=5,H1117&gt;=5),"POTENTIAL LOYALIST",AND(F1117&gt;=8,G1117&lt;=2,H1117&gt;=5),"NEW CUSTOMERS",AND(F1117&gt;=6,G1117&lt;=2,H1117&gt;=3),"PROMISING",AND(F1117&gt;=3,G1117&gt;=3,H1117&gt;=3),"NEED ATTENTION",AND(F1117&lt;=4,G1117&gt;=6,H1117&gt;=6),"AT RISK",AND(F1117&lt;=2,G1117&gt;=8,H1117&gt;=8),"CAN'T LOSE THEM",AND(F1117&lt;=2,G1117&lt;=2,H1117&lt;=2),"HIBERNATING",TRUE(),"Other")</f>
        <v>POTENTIAL LOYALIST</v>
      </c>
      <c r="K1117" s="1" t="n">
        <f aca="false">RANK(E1117,$E$7:$E$4378)+COUNTIF($E$7:E1117,E1117)-1</f>
        <v>1850</v>
      </c>
    </row>
    <row r="1118" customFormat="false" ht="14.25" hidden="false" customHeight="true" outlineLevel="0" collapsed="false">
      <c r="A1118" s="51" t="n">
        <v>13837</v>
      </c>
      <c r="B1118" s="53" t="n">
        <v>40675.5069444445</v>
      </c>
      <c r="C1118" s="57" t="n">
        <f aca="false">INT($C$2)-INT(Table3[[#This Row],[Last Purchase Date]])</f>
        <v>212</v>
      </c>
      <c r="D1118" s="1" t="n">
        <v>2</v>
      </c>
      <c r="E1118" s="1" t="n">
        <v>271.24</v>
      </c>
      <c r="F1118" s="1" t="n">
        <f aca="false">ROUND((1-_xlfn.PERCENTRANK.INC($C$7:$C$4378,C1118))*9,0)</f>
        <v>1</v>
      </c>
      <c r="G1118" s="1" t="n">
        <f aca="false">ROUND(_xlfn.PERCENTRANK.INC($D$7:$D$4378,D1118)*9,0)</f>
        <v>3</v>
      </c>
      <c r="H1118" s="1" t="n">
        <f aca="false">ROUND(_xlfn.PERCENTRANK.INC($E$7:$E$4378,E1118)*9,0)</f>
        <v>2</v>
      </c>
      <c r="I1118" s="1" t="str">
        <f aca="false">CONCATENATE(F1118,G1118,H1118)</f>
        <v>132</v>
      </c>
      <c r="J1118" s="1" t="str">
        <f aca="false">_xlfn.IFS(AND(F1118&gt;=8,G1118&gt;=8,H1118&gt;=8),"CHAMPION",AND(F1118&gt;=6,G1118&gt;=7,H1118&gt;=6),"LOYAL CUSTOMER",AND(F1118&gt;=6,G1118&gt;=5,H1118&gt;=5),"POTENTIAL LOYALIST",AND(F1118&gt;=8,G1118&lt;=2,H1118&gt;=5),"NEW CUSTOMERS",AND(F1118&gt;=6,G1118&lt;=2,H1118&gt;=3),"PROMISING",AND(F1118&gt;=3,G1118&gt;=3,H1118&gt;=3),"NEED ATTENTION",AND(F1118&lt;=4,G1118&gt;=6,H1118&gt;=6),"AT RISK",AND(F1118&lt;=2,G1118&gt;=8,H1118&gt;=8),"CAN'T LOSE THEM",AND(F1118&lt;=2,G1118&lt;=2,H1118&lt;=2),"HIBERNATING",TRUE(),"Other")</f>
        <v>Other</v>
      </c>
      <c r="K1118" s="1" t="n">
        <f aca="false">RANK(E1118,$E$7:$E$4378)+COUNTIF($E$7:E1118,E1118)-1</f>
        <v>3356</v>
      </c>
    </row>
    <row r="1119" customFormat="false" ht="14.25" hidden="false" customHeight="true" outlineLevel="0" collapsed="false">
      <c r="A1119" s="51" t="n">
        <v>13838</v>
      </c>
      <c r="B1119" s="53" t="n">
        <v>40881.4583333333</v>
      </c>
      <c r="C1119" s="57" t="n">
        <f aca="false">INT($C$2)-INT(Table3[[#This Row],[Last Purchase Date]])</f>
        <v>6</v>
      </c>
      <c r="D1119" s="1" t="n">
        <v>4</v>
      </c>
      <c r="E1119" s="1" t="n">
        <v>691.73</v>
      </c>
      <c r="F1119" s="1" t="n">
        <f aca="false">ROUND((1-_xlfn.PERCENTRANK.INC($C$7:$C$4378,C1119))*9,0)</f>
        <v>8</v>
      </c>
      <c r="G1119" s="1" t="n">
        <f aca="false">ROUND(_xlfn.PERCENTRANK.INC($D$7:$D$4378,D1119)*9,0)</f>
        <v>5</v>
      </c>
      <c r="H1119" s="1" t="n">
        <f aca="false">ROUND(_xlfn.PERCENTRANK.INC($E$7:$E$4378,E1119)*9,0)</f>
        <v>5</v>
      </c>
      <c r="I1119" s="1" t="str">
        <f aca="false">CONCATENATE(F1119,G1119,H1119)</f>
        <v>855</v>
      </c>
      <c r="J1119" s="1" t="str">
        <f aca="false">_xlfn.IFS(AND(F1119&gt;=8,G1119&gt;=8,H1119&gt;=8),"CHAMPION",AND(F1119&gt;=6,G1119&gt;=7,H1119&gt;=6),"LOYAL CUSTOMER",AND(F1119&gt;=6,G1119&gt;=5,H1119&gt;=5),"POTENTIAL LOYALIST",AND(F1119&gt;=8,G1119&lt;=2,H1119&gt;=5),"NEW CUSTOMERS",AND(F1119&gt;=6,G1119&lt;=2,H1119&gt;=3),"PROMISING",AND(F1119&gt;=3,G1119&gt;=3,H1119&gt;=3),"NEED ATTENTION",AND(F1119&lt;=4,G1119&gt;=6,H1119&gt;=6),"AT RISK",AND(F1119&lt;=2,G1119&gt;=8,H1119&gt;=8),"CAN'T LOSE THEM",AND(F1119&lt;=2,G1119&lt;=2,H1119&lt;=2),"HIBERNATING",TRUE(),"Other")</f>
        <v>POTENTIAL LOYALIST</v>
      </c>
      <c r="K1119" s="1" t="n">
        <f aca="false">RANK(E1119,$E$7:$E$4378)+COUNTIF($E$7:E1119,E1119)-1</f>
        <v>2079</v>
      </c>
    </row>
    <row r="1120" customFormat="false" ht="14.25" hidden="false" customHeight="true" outlineLevel="0" collapsed="false">
      <c r="A1120" s="51" t="n">
        <v>13841</v>
      </c>
      <c r="B1120" s="53" t="n">
        <v>40634.5069444445</v>
      </c>
      <c r="C1120" s="57" t="n">
        <f aca="false">INT($C$2)-INT(Table3[[#This Row],[Last Purchase Date]])</f>
        <v>253</v>
      </c>
      <c r="D1120" s="1" t="n">
        <v>1</v>
      </c>
      <c r="E1120" s="1" t="n">
        <v>85</v>
      </c>
      <c r="F1120" s="1" t="n">
        <f aca="false">ROUND((1-_xlfn.PERCENTRANK.INC($C$7:$C$4378,C1120))*9,0)</f>
        <v>1</v>
      </c>
      <c r="G1120" s="1" t="n">
        <f aca="false">ROUND(_xlfn.PERCENTRANK.INC($D$7:$D$4378,D1120)*9,0)</f>
        <v>0</v>
      </c>
      <c r="H1120" s="1" t="n">
        <f aca="false">ROUND(_xlfn.PERCENTRANK.INC($E$7:$E$4378,E1120)*9,0)</f>
        <v>0</v>
      </c>
      <c r="I1120" s="1" t="str">
        <f aca="false">CONCATENATE(F1120,G1120,H1120)</f>
        <v>100</v>
      </c>
      <c r="J1120" s="1" t="str">
        <f aca="false">_xlfn.IFS(AND(F1120&gt;=8,G1120&gt;=8,H1120&gt;=8),"CHAMPION",AND(F1120&gt;=6,G1120&gt;=7,H1120&gt;=6),"LOYAL CUSTOMER",AND(F1120&gt;=6,G1120&gt;=5,H1120&gt;=5),"POTENTIAL LOYALIST",AND(F1120&gt;=8,G1120&lt;=2,H1120&gt;=5),"NEW CUSTOMERS",AND(F1120&gt;=6,G1120&lt;=2,H1120&gt;=3),"PROMISING",AND(F1120&gt;=3,G1120&gt;=3,H1120&gt;=3),"NEED ATTENTION",AND(F1120&lt;=4,G1120&gt;=6,H1120&gt;=6),"AT RISK",AND(F1120&lt;=2,G1120&gt;=8,H1120&gt;=8),"CAN'T LOSE THEM",AND(F1120&lt;=2,G1120&lt;=2,H1120&lt;=2),"HIBERNATING",TRUE(),"Other")</f>
        <v>HIBERNATING</v>
      </c>
      <c r="K1120" s="1" t="n">
        <f aca="false">RANK(E1120,$E$7:$E$4378)+COUNTIF($E$7:E1120,E1120)-1</f>
        <v>4207</v>
      </c>
    </row>
    <row r="1121" customFormat="false" ht="14.25" hidden="false" customHeight="true" outlineLevel="0" collapsed="false">
      <c r="A1121" s="51" t="n">
        <v>13842</v>
      </c>
      <c r="B1121" s="53" t="n">
        <v>40828.4520833333</v>
      </c>
      <c r="C1121" s="57" t="n">
        <f aca="false">INT($C$2)-INT(Table3[[#This Row],[Last Purchase Date]])</f>
        <v>59</v>
      </c>
      <c r="D1121" s="1" t="n">
        <v>9</v>
      </c>
      <c r="E1121" s="1" t="n">
        <v>3385.62</v>
      </c>
      <c r="F1121" s="1" t="n">
        <f aca="false">ROUND((1-_xlfn.PERCENTRANK.INC($C$7:$C$4378,C1121))*9,0)</f>
        <v>4</v>
      </c>
      <c r="G1121" s="1" t="n">
        <f aca="false">ROUND(_xlfn.PERCENTRANK.INC($D$7:$D$4378,D1121)*9,0)</f>
        <v>8</v>
      </c>
      <c r="H1121" s="1" t="n">
        <f aca="false">ROUND(_xlfn.PERCENTRANK.INC($E$7:$E$4378,E1121)*9,0)</f>
        <v>8</v>
      </c>
      <c r="I1121" s="1" t="str">
        <f aca="false">CONCATENATE(F1121,G1121,H1121)</f>
        <v>488</v>
      </c>
      <c r="J1121" s="1" t="str">
        <f aca="false">_xlfn.IFS(AND(F1121&gt;=8,G1121&gt;=8,H1121&gt;=8),"CHAMPION",AND(F1121&gt;=6,G1121&gt;=7,H1121&gt;=6),"LOYAL CUSTOMER",AND(F1121&gt;=6,G1121&gt;=5,H1121&gt;=5),"POTENTIAL LOYALIST",AND(F1121&gt;=8,G1121&lt;=2,H1121&gt;=5),"NEW CUSTOMERS",AND(F1121&gt;=6,G1121&lt;=2,H1121&gt;=3),"PROMISING",AND(F1121&gt;=3,G1121&gt;=3,H1121&gt;=3),"NEED ATTENTION",AND(F1121&lt;=4,G1121&gt;=6,H1121&gt;=6),"AT RISK",AND(F1121&lt;=2,G1121&gt;=8,H1121&gt;=8),"CAN'T LOSE THEM",AND(F1121&lt;=2,G1121&lt;=2,H1121&lt;=2),"HIBERNATING",TRUE(),"Other")</f>
        <v>NEED ATTENTION</v>
      </c>
      <c r="K1121" s="1" t="n">
        <f aca="false">RANK(E1121,$E$7:$E$4378)+COUNTIF($E$7:E1121,E1121)-1</f>
        <v>461</v>
      </c>
    </row>
    <row r="1122" customFormat="false" ht="14.25" hidden="false" customHeight="true" outlineLevel="0" collapsed="false">
      <c r="A1122" s="51" t="n">
        <v>13844</v>
      </c>
      <c r="B1122" s="53" t="n">
        <v>40875.55625</v>
      </c>
      <c r="C1122" s="57" t="n">
        <f aca="false">INT($C$2)-INT(Table3[[#This Row],[Last Purchase Date]])</f>
        <v>12</v>
      </c>
      <c r="D1122" s="1" t="n">
        <v>1</v>
      </c>
      <c r="E1122" s="1" t="n">
        <v>361.62</v>
      </c>
      <c r="F1122" s="1" t="n">
        <f aca="false">ROUND((1-_xlfn.PERCENTRANK.INC($C$7:$C$4378,C1122))*9,0)</f>
        <v>7</v>
      </c>
      <c r="G1122" s="1" t="n">
        <f aca="false">ROUND(_xlfn.PERCENTRANK.INC($D$7:$D$4378,D1122)*9,0)</f>
        <v>0</v>
      </c>
      <c r="H1122" s="1" t="n">
        <f aca="false">ROUND(_xlfn.PERCENTRANK.INC($E$7:$E$4378,E1122)*9,0)</f>
        <v>3</v>
      </c>
      <c r="I1122" s="1" t="str">
        <f aca="false">CONCATENATE(F1122,G1122,H1122)</f>
        <v>703</v>
      </c>
      <c r="J1122" s="1" t="str">
        <f aca="false">_xlfn.IFS(AND(F1122&gt;=8,G1122&gt;=8,H1122&gt;=8),"CHAMPION",AND(F1122&gt;=6,G1122&gt;=7,H1122&gt;=6),"LOYAL CUSTOMER",AND(F1122&gt;=6,G1122&gt;=5,H1122&gt;=5),"POTENTIAL LOYALIST",AND(F1122&gt;=8,G1122&lt;=2,H1122&gt;=5),"NEW CUSTOMERS",AND(F1122&gt;=6,G1122&lt;=2,H1122&gt;=3),"PROMISING",AND(F1122&gt;=3,G1122&gt;=3,H1122&gt;=3),"NEED ATTENTION",AND(F1122&lt;=4,G1122&gt;=6,H1122&gt;=6),"AT RISK",AND(F1122&lt;=2,G1122&gt;=8,H1122&gt;=8),"CAN'T LOSE THEM",AND(F1122&lt;=2,G1122&lt;=2,H1122&lt;=2),"HIBERNATING",TRUE(),"Other")</f>
        <v>PROMISING</v>
      </c>
      <c r="K1122" s="1" t="n">
        <f aca="false">RANK(E1122,$E$7:$E$4378)+COUNTIF($E$7:E1122,E1122)-1</f>
        <v>2960</v>
      </c>
    </row>
    <row r="1123" customFormat="false" ht="14.25" hidden="false" customHeight="true" outlineLevel="0" collapsed="false">
      <c r="A1123" s="51" t="n">
        <v>13845</v>
      </c>
      <c r="B1123" s="53" t="n">
        <v>40822.3506944445</v>
      </c>
      <c r="C1123" s="57" t="n">
        <f aca="false">INT($C$2)-INT(Table3[[#This Row],[Last Purchase Date]])</f>
        <v>65</v>
      </c>
      <c r="D1123" s="1" t="n">
        <v>1</v>
      </c>
      <c r="E1123" s="1" t="n">
        <v>312.98</v>
      </c>
      <c r="F1123" s="1" t="n">
        <f aca="false">ROUND((1-_xlfn.PERCENTRANK.INC($C$7:$C$4378,C1123))*9,0)</f>
        <v>4</v>
      </c>
      <c r="G1123" s="1" t="n">
        <f aca="false">ROUND(_xlfn.PERCENTRANK.INC($D$7:$D$4378,D1123)*9,0)</f>
        <v>0</v>
      </c>
      <c r="H1123" s="1" t="n">
        <f aca="false">ROUND(_xlfn.PERCENTRANK.INC($E$7:$E$4378,E1123)*9,0)</f>
        <v>2</v>
      </c>
      <c r="I1123" s="1" t="str">
        <f aca="false">CONCATENATE(F1123,G1123,H1123)</f>
        <v>402</v>
      </c>
      <c r="J1123" s="1" t="str">
        <f aca="false">_xlfn.IFS(AND(F1123&gt;=8,G1123&gt;=8,H1123&gt;=8),"CHAMPION",AND(F1123&gt;=6,G1123&gt;=7,H1123&gt;=6),"LOYAL CUSTOMER",AND(F1123&gt;=6,G1123&gt;=5,H1123&gt;=5),"POTENTIAL LOYALIST",AND(F1123&gt;=8,G1123&lt;=2,H1123&gt;=5),"NEW CUSTOMERS",AND(F1123&gt;=6,G1123&lt;=2,H1123&gt;=3),"PROMISING",AND(F1123&gt;=3,G1123&gt;=3,H1123&gt;=3),"NEED ATTENTION",AND(F1123&lt;=4,G1123&gt;=6,H1123&gt;=6),"AT RISK",AND(F1123&lt;=2,G1123&gt;=8,H1123&gt;=8),"CAN'T LOSE THEM",AND(F1123&lt;=2,G1123&lt;=2,H1123&lt;=2),"HIBERNATING",TRUE(),"Other")</f>
        <v>Other</v>
      </c>
      <c r="K1123" s="1" t="n">
        <f aca="false">RANK(E1123,$E$7:$E$4378)+COUNTIF($E$7:E1123,E1123)-1</f>
        <v>3176</v>
      </c>
    </row>
    <row r="1124" customFormat="false" ht="14.25" hidden="false" customHeight="true" outlineLevel="0" collapsed="false">
      <c r="A1124" s="51" t="n">
        <v>13846</v>
      </c>
      <c r="B1124" s="53" t="n">
        <v>40862.5048611111</v>
      </c>
      <c r="C1124" s="57" t="n">
        <f aca="false">INT($C$2)-INT(Table3[[#This Row],[Last Purchase Date]])</f>
        <v>25</v>
      </c>
      <c r="D1124" s="1" t="n">
        <v>4</v>
      </c>
      <c r="E1124" s="1" t="n">
        <v>847.61</v>
      </c>
      <c r="F1124" s="1" t="n">
        <f aca="false">ROUND((1-_xlfn.PERCENTRANK.INC($C$7:$C$4378,C1124))*9,0)</f>
        <v>6</v>
      </c>
      <c r="G1124" s="1" t="n">
        <f aca="false">ROUND(_xlfn.PERCENTRANK.INC($D$7:$D$4378,D1124)*9,0)</f>
        <v>5</v>
      </c>
      <c r="H1124" s="1" t="n">
        <f aca="false">ROUND(_xlfn.PERCENTRANK.INC($E$7:$E$4378,E1124)*9,0)</f>
        <v>5</v>
      </c>
      <c r="I1124" s="1" t="str">
        <f aca="false">CONCATENATE(F1124,G1124,H1124)</f>
        <v>655</v>
      </c>
      <c r="J1124" s="1" t="str">
        <f aca="false">_xlfn.IFS(AND(F1124&gt;=8,G1124&gt;=8,H1124&gt;=8),"CHAMPION",AND(F1124&gt;=6,G1124&gt;=7,H1124&gt;=6),"LOYAL CUSTOMER",AND(F1124&gt;=6,G1124&gt;=5,H1124&gt;=5),"POTENTIAL LOYALIST",AND(F1124&gt;=8,G1124&lt;=2,H1124&gt;=5),"NEW CUSTOMERS",AND(F1124&gt;=6,G1124&lt;=2,H1124&gt;=3),"PROMISING",AND(F1124&gt;=3,G1124&gt;=3,H1124&gt;=3),"NEED ATTENTION",AND(F1124&lt;=4,G1124&gt;=6,H1124&gt;=6),"AT RISK",AND(F1124&lt;=2,G1124&gt;=8,H1124&gt;=8),"CAN'T LOSE THEM",AND(F1124&lt;=2,G1124&lt;=2,H1124&lt;=2),"HIBERNATING",TRUE(),"Other")</f>
        <v>POTENTIAL LOYALIST</v>
      </c>
      <c r="K1124" s="1" t="n">
        <f aca="false">RANK(E1124,$E$7:$E$4378)+COUNTIF($E$7:E1124,E1124)-1</f>
        <v>1834</v>
      </c>
    </row>
    <row r="1125" customFormat="false" ht="14.25" hidden="false" customHeight="true" outlineLevel="0" collapsed="false">
      <c r="A1125" s="51" t="n">
        <v>13848</v>
      </c>
      <c r="B1125" s="53" t="n">
        <v>40794.5402777778</v>
      </c>
      <c r="C1125" s="57" t="n">
        <f aca="false">INT($C$2)-INT(Table3[[#This Row],[Last Purchase Date]])</f>
        <v>93</v>
      </c>
      <c r="D1125" s="1" t="n">
        <v>3</v>
      </c>
      <c r="E1125" s="1" t="n">
        <v>1255</v>
      </c>
      <c r="F1125" s="1" t="n">
        <f aca="false">ROUND((1-_xlfn.PERCENTRANK.INC($C$7:$C$4378,C1125))*9,0)</f>
        <v>3</v>
      </c>
      <c r="G1125" s="1" t="n">
        <f aca="false">ROUND(_xlfn.PERCENTRANK.INC($D$7:$D$4378,D1125)*9,0)</f>
        <v>4</v>
      </c>
      <c r="H1125" s="1" t="n">
        <f aca="false">ROUND(_xlfn.PERCENTRANK.INC($E$7:$E$4378,E1125)*9,0)</f>
        <v>6</v>
      </c>
      <c r="I1125" s="1" t="str">
        <f aca="false">CONCATENATE(F1125,G1125,H1125)</f>
        <v>346</v>
      </c>
      <c r="J1125" s="1" t="str">
        <f aca="false">_xlfn.IFS(AND(F1125&gt;=8,G1125&gt;=8,H1125&gt;=8),"CHAMPION",AND(F1125&gt;=6,G1125&gt;=7,H1125&gt;=6),"LOYAL CUSTOMER",AND(F1125&gt;=6,G1125&gt;=5,H1125&gt;=5),"POTENTIAL LOYALIST",AND(F1125&gt;=8,G1125&lt;=2,H1125&gt;=5),"NEW CUSTOMERS",AND(F1125&gt;=6,G1125&lt;=2,H1125&gt;=3),"PROMISING",AND(F1125&gt;=3,G1125&gt;=3,H1125&gt;=3),"NEED ATTENTION",AND(F1125&lt;=4,G1125&gt;=6,H1125&gt;=6),"AT RISK",AND(F1125&lt;=2,G1125&gt;=8,H1125&gt;=8),"CAN'T LOSE THEM",AND(F1125&lt;=2,G1125&lt;=2,H1125&lt;=2),"HIBERNATING",TRUE(),"Other")</f>
        <v>NEED ATTENTION</v>
      </c>
      <c r="K1125" s="1" t="n">
        <f aca="false">RANK(E1125,$E$7:$E$4378)+COUNTIF($E$7:E1125,E1125)-1</f>
        <v>1370</v>
      </c>
    </row>
    <row r="1126" customFormat="false" ht="14.25" hidden="false" customHeight="true" outlineLevel="0" collapsed="false">
      <c r="A1126" s="51" t="n">
        <v>13849</v>
      </c>
      <c r="B1126" s="53" t="n">
        <v>40835.4576388889</v>
      </c>
      <c r="C1126" s="57" t="n">
        <f aca="false">INT($C$2)-INT(Table3[[#This Row],[Last Purchase Date]])</f>
        <v>52</v>
      </c>
      <c r="D1126" s="1" t="n">
        <v>2</v>
      </c>
      <c r="E1126" s="1" t="n">
        <v>1537.95</v>
      </c>
      <c r="F1126" s="1" t="n">
        <f aca="false">ROUND((1-_xlfn.PERCENTRANK.INC($C$7:$C$4378,C1126))*9,0)</f>
        <v>4</v>
      </c>
      <c r="G1126" s="1" t="n">
        <f aca="false">ROUND(_xlfn.PERCENTRANK.INC($D$7:$D$4378,D1126)*9,0)</f>
        <v>3</v>
      </c>
      <c r="H1126" s="1" t="n">
        <f aca="false">ROUND(_xlfn.PERCENTRANK.INC($E$7:$E$4378,E1126)*9,0)</f>
        <v>7</v>
      </c>
      <c r="I1126" s="1" t="str">
        <f aca="false">CONCATENATE(F1126,G1126,H1126)</f>
        <v>437</v>
      </c>
      <c r="J1126" s="1" t="str">
        <f aca="false">_xlfn.IFS(AND(F1126&gt;=8,G1126&gt;=8,H1126&gt;=8),"CHAMPION",AND(F1126&gt;=6,G1126&gt;=7,H1126&gt;=6),"LOYAL CUSTOMER",AND(F1126&gt;=6,G1126&gt;=5,H1126&gt;=5),"POTENTIAL LOYALIST",AND(F1126&gt;=8,G1126&lt;=2,H1126&gt;=5),"NEW CUSTOMERS",AND(F1126&gt;=6,G1126&lt;=2,H1126&gt;=3),"PROMISING",AND(F1126&gt;=3,G1126&gt;=3,H1126&gt;=3),"NEED ATTENTION",AND(F1126&lt;=4,G1126&gt;=6,H1126&gt;=6),"AT RISK",AND(F1126&lt;=2,G1126&gt;=8,H1126&gt;=8),"CAN'T LOSE THEM",AND(F1126&lt;=2,G1126&lt;=2,H1126&lt;=2),"HIBERNATING",TRUE(),"Other")</f>
        <v>NEED ATTENTION</v>
      </c>
      <c r="K1126" s="1" t="n">
        <f aca="false">RANK(E1126,$E$7:$E$4378)+COUNTIF($E$7:E1126,E1126)-1</f>
        <v>1137</v>
      </c>
    </row>
    <row r="1127" customFormat="false" ht="14.25" hidden="false" customHeight="true" outlineLevel="0" collapsed="false">
      <c r="A1127" s="51" t="n">
        <v>13850</v>
      </c>
      <c r="B1127" s="53" t="n">
        <v>40798.75</v>
      </c>
      <c r="C1127" s="57" t="n">
        <f aca="false">INT($C$2)-INT(Table3[[#This Row],[Last Purchase Date]])</f>
        <v>89</v>
      </c>
      <c r="D1127" s="1" t="n">
        <v>2</v>
      </c>
      <c r="E1127" s="1" t="n">
        <v>1586.81</v>
      </c>
      <c r="F1127" s="1" t="n">
        <f aca="false">ROUND((1-_xlfn.PERCENTRANK.INC($C$7:$C$4378,C1127))*9,0)</f>
        <v>3</v>
      </c>
      <c r="G1127" s="1" t="n">
        <f aca="false">ROUND(_xlfn.PERCENTRANK.INC($D$7:$D$4378,D1127)*9,0)</f>
        <v>3</v>
      </c>
      <c r="H1127" s="1" t="n">
        <f aca="false">ROUND(_xlfn.PERCENTRANK.INC($E$7:$E$4378,E1127)*9,0)</f>
        <v>7</v>
      </c>
      <c r="I1127" s="1" t="str">
        <f aca="false">CONCATENATE(F1127,G1127,H1127)</f>
        <v>337</v>
      </c>
      <c r="J1127" s="1" t="str">
        <f aca="false">_xlfn.IFS(AND(F1127&gt;=8,G1127&gt;=8,H1127&gt;=8),"CHAMPION",AND(F1127&gt;=6,G1127&gt;=7,H1127&gt;=6),"LOYAL CUSTOMER",AND(F1127&gt;=6,G1127&gt;=5,H1127&gt;=5),"POTENTIAL LOYALIST",AND(F1127&gt;=8,G1127&lt;=2,H1127&gt;=5),"NEW CUSTOMERS",AND(F1127&gt;=6,G1127&lt;=2,H1127&gt;=3),"PROMISING",AND(F1127&gt;=3,G1127&gt;=3,H1127&gt;=3),"NEED ATTENTION",AND(F1127&lt;=4,G1127&gt;=6,H1127&gt;=6),"AT RISK",AND(F1127&lt;=2,G1127&gt;=8,H1127&gt;=8),"CAN'T LOSE THEM",AND(F1127&lt;=2,G1127&lt;=2,H1127&lt;=2),"HIBERNATING",TRUE(),"Other")</f>
        <v>NEED ATTENTION</v>
      </c>
      <c r="K1127" s="1" t="n">
        <f aca="false">RANK(E1127,$E$7:$E$4378)+COUNTIF($E$7:E1127,E1127)-1</f>
        <v>1108</v>
      </c>
    </row>
    <row r="1128" customFormat="false" ht="14.25" hidden="false" customHeight="true" outlineLevel="0" collapsed="false">
      <c r="A1128" s="51" t="n">
        <v>13851</v>
      </c>
      <c r="B1128" s="53" t="n">
        <v>40791.525</v>
      </c>
      <c r="C1128" s="57" t="n">
        <f aca="false">INT($C$2)-INT(Table3[[#This Row],[Last Purchase Date]])</f>
        <v>96</v>
      </c>
      <c r="D1128" s="1" t="n">
        <v>3</v>
      </c>
      <c r="E1128" s="1" t="n">
        <v>2651.46</v>
      </c>
      <c r="F1128" s="1" t="n">
        <f aca="false">ROUND((1-_xlfn.PERCENTRANK.INC($C$7:$C$4378,C1128))*9,0)</f>
        <v>3</v>
      </c>
      <c r="G1128" s="1" t="n">
        <f aca="false">ROUND(_xlfn.PERCENTRANK.INC($D$7:$D$4378,D1128)*9,0)</f>
        <v>4</v>
      </c>
      <c r="H1128" s="1" t="n">
        <f aca="false">ROUND(_xlfn.PERCENTRANK.INC($E$7:$E$4378,E1128)*9,0)</f>
        <v>8</v>
      </c>
      <c r="I1128" s="1" t="str">
        <f aca="false">CONCATENATE(F1128,G1128,H1128)</f>
        <v>348</v>
      </c>
      <c r="J1128" s="1" t="str">
        <f aca="false">_xlfn.IFS(AND(F1128&gt;=8,G1128&gt;=8,H1128&gt;=8),"CHAMPION",AND(F1128&gt;=6,G1128&gt;=7,H1128&gt;=6),"LOYAL CUSTOMER",AND(F1128&gt;=6,G1128&gt;=5,H1128&gt;=5),"POTENTIAL LOYALIST",AND(F1128&gt;=8,G1128&lt;=2,H1128&gt;=5),"NEW CUSTOMERS",AND(F1128&gt;=6,G1128&lt;=2,H1128&gt;=3),"PROMISING",AND(F1128&gt;=3,G1128&gt;=3,H1128&gt;=3),"NEED ATTENTION",AND(F1128&lt;=4,G1128&gt;=6,H1128&gt;=6),"AT RISK",AND(F1128&lt;=2,G1128&gt;=8,H1128&gt;=8),"CAN'T LOSE THEM",AND(F1128&lt;=2,G1128&lt;=2,H1128&lt;=2),"HIBERNATING",TRUE(),"Other")</f>
        <v>NEED ATTENTION</v>
      </c>
      <c r="K1128" s="1" t="n">
        <f aca="false">RANK(E1128,$E$7:$E$4378)+COUNTIF($E$7:E1128,E1128)-1</f>
        <v>625</v>
      </c>
    </row>
    <row r="1129" customFormat="false" ht="14.25" hidden="false" customHeight="true" outlineLevel="0" collapsed="false">
      <c r="A1129" s="51" t="n">
        <v>13853</v>
      </c>
      <c r="B1129" s="53" t="n">
        <v>40878.3416666667</v>
      </c>
      <c r="C1129" s="57" t="n">
        <f aca="false">INT($C$2)-INT(Table3[[#This Row],[Last Purchase Date]])</f>
        <v>9</v>
      </c>
      <c r="D1129" s="1" t="n">
        <v>2</v>
      </c>
      <c r="E1129" s="1" t="n">
        <v>1056.94</v>
      </c>
      <c r="F1129" s="1" t="n">
        <f aca="false">ROUND((1-_xlfn.PERCENTRANK.INC($C$7:$C$4378,C1129))*9,0)</f>
        <v>8</v>
      </c>
      <c r="G1129" s="1" t="n">
        <f aca="false">ROUND(_xlfn.PERCENTRANK.INC($D$7:$D$4378,D1129)*9,0)</f>
        <v>3</v>
      </c>
      <c r="H1129" s="1" t="n">
        <f aca="false">ROUND(_xlfn.PERCENTRANK.INC($E$7:$E$4378,E1129)*9,0)</f>
        <v>6</v>
      </c>
      <c r="I1129" s="1" t="str">
        <f aca="false">CONCATENATE(F1129,G1129,H1129)</f>
        <v>836</v>
      </c>
      <c r="J1129" s="1" t="str">
        <f aca="false">_xlfn.IFS(AND(F1129&gt;=8,G1129&gt;=8,H1129&gt;=8),"CHAMPION",AND(F1129&gt;=6,G1129&gt;=7,H1129&gt;=6),"LOYAL CUSTOMER",AND(F1129&gt;=6,G1129&gt;=5,H1129&gt;=5),"POTENTIAL LOYALIST",AND(F1129&gt;=8,G1129&lt;=2,H1129&gt;=5),"NEW CUSTOMERS",AND(F1129&gt;=6,G1129&lt;=2,H1129&gt;=3),"PROMISING",AND(F1129&gt;=3,G1129&gt;=3,H1129&gt;=3),"NEED ATTENTION",AND(F1129&lt;=4,G1129&gt;=6,H1129&gt;=6),"AT RISK",AND(F1129&lt;=2,G1129&gt;=8,H1129&gt;=8),"CAN'T LOSE THEM",AND(F1129&lt;=2,G1129&lt;=2,H1129&lt;=2),"HIBERNATING",TRUE(),"Other")</f>
        <v>NEED ATTENTION</v>
      </c>
      <c r="K1129" s="1" t="n">
        <f aca="false">RANK(E1129,$E$7:$E$4378)+COUNTIF($E$7:E1129,E1129)-1</f>
        <v>1550</v>
      </c>
    </row>
    <row r="1130" customFormat="false" ht="14.25" hidden="false" customHeight="true" outlineLevel="0" collapsed="false">
      <c r="A1130" s="51" t="n">
        <v>13854</v>
      </c>
      <c r="B1130" s="53" t="n">
        <v>40878.3791666667</v>
      </c>
      <c r="C1130" s="57" t="n">
        <f aca="false">INT($C$2)-INT(Table3[[#This Row],[Last Purchase Date]])</f>
        <v>9</v>
      </c>
      <c r="D1130" s="1" t="n">
        <v>29</v>
      </c>
      <c r="E1130" s="1" t="n">
        <v>8025.02</v>
      </c>
      <c r="F1130" s="1" t="n">
        <f aca="false">ROUND((1-_xlfn.PERCENTRANK.INC($C$7:$C$4378,C1130))*9,0)</f>
        <v>8</v>
      </c>
      <c r="G1130" s="1" t="n">
        <f aca="false">ROUND(_xlfn.PERCENTRANK.INC($D$7:$D$4378,D1130)*9,0)</f>
        <v>9</v>
      </c>
      <c r="H1130" s="1" t="n">
        <f aca="false">ROUND(_xlfn.PERCENTRANK.INC($E$7:$E$4378,E1130)*9,0)</f>
        <v>9</v>
      </c>
      <c r="I1130" s="1" t="str">
        <f aca="false">CONCATENATE(F1130,G1130,H1130)</f>
        <v>899</v>
      </c>
      <c r="J1130" s="1" t="str">
        <f aca="false">_xlfn.IFS(AND(F1130&gt;=8,G1130&gt;=8,H1130&gt;=8),"CHAMPION",AND(F1130&gt;=6,G1130&gt;=7,H1130&gt;=6),"LOYAL CUSTOMER",AND(F1130&gt;=6,G1130&gt;=5,H1130&gt;=5),"POTENTIAL LOYALIST",AND(F1130&gt;=8,G1130&lt;=2,H1130&gt;=5),"NEW CUSTOMERS",AND(F1130&gt;=6,G1130&lt;=2,H1130&gt;=3),"PROMISING",AND(F1130&gt;=3,G1130&gt;=3,H1130&gt;=3),"NEED ATTENTION",AND(F1130&lt;=4,G1130&gt;=6,H1130&gt;=6),"AT RISK",AND(F1130&lt;=2,G1130&gt;=8,H1130&gt;=8),"CAN'T LOSE THEM",AND(F1130&lt;=2,G1130&lt;=2,H1130&lt;=2),"HIBERNATING",TRUE(),"Other")</f>
        <v>CHAMPION</v>
      </c>
      <c r="K1130" s="1" t="n">
        <f aca="false">RANK(E1130,$E$7:$E$4378)+COUNTIF($E$7:E1130,E1130)-1</f>
        <v>127</v>
      </c>
    </row>
    <row r="1131" customFormat="false" ht="14.25" hidden="false" customHeight="true" outlineLevel="0" collapsed="false">
      <c r="A1131" s="51" t="n">
        <v>13856</v>
      </c>
      <c r="B1131" s="53" t="n">
        <v>40718.41875</v>
      </c>
      <c r="C1131" s="57" t="n">
        <f aca="false">INT($C$2)-INT(Table3[[#This Row],[Last Purchase Date]])</f>
        <v>169</v>
      </c>
      <c r="D1131" s="1" t="n">
        <v>5</v>
      </c>
      <c r="E1131" s="1" t="n">
        <v>363.4</v>
      </c>
      <c r="F1131" s="1" t="n">
        <f aca="false">ROUND((1-_xlfn.PERCENTRANK.INC($C$7:$C$4378,C1131))*9,0)</f>
        <v>2</v>
      </c>
      <c r="G1131" s="1" t="n">
        <f aca="false">ROUND(_xlfn.PERCENTRANK.INC($D$7:$D$4378,D1131)*9,0)</f>
        <v>6</v>
      </c>
      <c r="H1131" s="1" t="n">
        <f aca="false">ROUND(_xlfn.PERCENTRANK.INC($E$7:$E$4378,E1131)*9,0)</f>
        <v>3</v>
      </c>
      <c r="I1131" s="1" t="str">
        <f aca="false">CONCATENATE(F1131,G1131,H1131)</f>
        <v>263</v>
      </c>
      <c r="J1131" s="1" t="str">
        <f aca="false">_xlfn.IFS(AND(F1131&gt;=8,G1131&gt;=8,H1131&gt;=8),"CHAMPION",AND(F1131&gt;=6,G1131&gt;=7,H1131&gt;=6),"LOYAL CUSTOMER",AND(F1131&gt;=6,G1131&gt;=5,H1131&gt;=5),"POTENTIAL LOYALIST",AND(F1131&gt;=8,G1131&lt;=2,H1131&gt;=5),"NEW CUSTOMERS",AND(F1131&gt;=6,G1131&lt;=2,H1131&gt;=3),"PROMISING",AND(F1131&gt;=3,G1131&gt;=3,H1131&gt;=3),"NEED ATTENTION",AND(F1131&lt;=4,G1131&gt;=6,H1131&gt;=6),"AT RISK",AND(F1131&lt;=2,G1131&gt;=8,H1131&gt;=8),"CAN'T LOSE THEM",AND(F1131&lt;=2,G1131&lt;=2,H1131&lt;=2),"HIBERNATING",TRUE(),"Other")</f>
        <v>Other</v>
      </c>
      <c r="K1131" s="1" t="n">
        <f aca="false">RANK(E1131,$E$7:$E$4378)+COUNTIF($E$7:E1131,E1131)-1</f>
        <v>2955</v>
      </c>
    </row>
    <row r="1132" customFormat="false" ht="14.25" hidden="false" customHeight="true" outlineLevel="0" collapsed="false">
      <c r="A1132" s="51" t="n">
        <v>13858</v>
      </c>
      <c r="B1132" s="53" t="n">
        <v>40829.6784722222</v>
      </c>
      <c r="C1132" s="57" t="n">
        <f aca="false">INT($C$2)-INT(Table3[[#This Row],[Last Purchase Date]])</f>
        <v>58</v>
      </c>
      <c r="D1132" s="1" t="n">
        <v>1</v>
      </c>
      <c r="E1132" s="1" t="n">
        <v>216.17</v>
      </c>
      <c r="F1132" s="1" t="n">
        <f aca="false">ROUND((1-_xlfn.PERCENTRANK.INC($C$7:$C$4378,C1132))*9,0)</f>
        <v>4</v>
      </c>
      <c r="G1132" s="1" t="n">
        <f aca="false">ROUND(_xlfn.PERCENTRANK.INC($D$7:$D$4378,D1132)*9,0)</f>
        <v>0</v>
      </c>
      <c r="H1132" s="1" t="n">
        <f aca="false">ROUND(_xlfn.PERCENTRANK.INC($E$7:$E$4378,E1132)*9,0)</f>
        <v>2</v>
      </c>
      <c r="I1132" s="1" t="str">
        <f aca="false">CONCATENATE(F1132,G1132,H1132)</f>
        <v>402</v>
      </c>
      <c r="J1132" s="1" t="str">
        <f aca="false">_xlfn.IFS(AND(F1132&gt;=8,G1132&gt;=8,H1132&gt;=8),"CHAMPION",AND(F1132&gt;=6,G1132&gt;=7,H1132&gt;=6),"LOYAL CUSTOMER",AND(F1132&gt;=6,G1132&gt;=5,H1132&gt;=5),"POTENTIAL LOYALIST",AND(F1132&gt;=8,G1132&lt;=2,H1132&gt;=5),"NEW CUSTOMERS",AND(F1132&gt;=6,G1132&lt;=2,H1132&gt;=3),"PROMISING",AND(F1132&gt;=3,G1132&gt;=3,H1132&gt;=3),"NEED ATTENTION",AND(F1132&lt;=4,G1132&gt;=6,H1132&gt;=6),"AT RISK",AND(F1132&lt;=2,G1132&gt;=8,H1132&gt;=8),"CAN'T LOSE THEM",AND(F1132&lt;=2,G1132&lt;=2,H1132&lt;=2),"HIBERNATING",TRUE(),"Other")</f>
        <v>Other</v>
      </c>
      <c r="K1132" s="1" t="n">
        <f aca="false">RANK(E1132,$E$7:$E$4378)+COUNTIF($E$7:E1132,E1132)-1</f>
        <v>3580</v>
      </c>
    </row>
    <row r="1133" customFormat="false" ht="14.25" hidden="false" customHeight="true" outlineLevel="0" collapsed="false">
      <c r="A1133" s="51" t="n">
        <v>13859</v>
      </c>
      <c r="B1133" s="53" t="n">
        <v>40560.6763888889</v>
      </c>
      <c r="C1133" s="57" t="n">
        <f aca="false">INT($C$2)-INT(Table3[[#This Row],[Last Purchase Date]])</f>
        <v>327</v>
      </c>
      <c r="D1133" s="1" t="n">
        <v>1</v>
      </c>
      <c r="E1133" s="1" t="n">
        <v>201.16</v>
      </c>
      <c r="F1133" s="1" t="n">
        <f aca="false">ROUND((1-_xlfn.PERCENTRANK.INC($C$7:$C$4378,C1133))*9,0)</f>
        <v>0</v>
      </c>
      <c r="G1133" s="1" t="n">
        <f aca="false">ROUND(_xlfn.PERCENTRANK.INC($D$7:$D$4378,D1133)*9,0)</f>
        <v>0</v>
      </c>
      <c r="H1133" s="1" t="n">
        <f aca="false">ROUND(_xlfn.PERCENTRANK.INC($E$7:$E$4378,E1133)*9,0)</f>
        <v>1</v>
      </c>
      <c r="I1133" s="1" t="str">
        <f aca="false">CONCATENATE(F1133,G1133,H1133)</f>
        <v>001</v>
      </c>
      <c r="J1133" s="1" t="str">
        <f aca="false">_xlfn.IFS(AND(F1133&gt;=8,G1133&gt;=8,H1133&gt;=8),"CHAMPION",AND(F1133&gt;=6,G1133&gt;=7,H1133&gt;=6),"LOYAL CUSTOMER",AND(F1133&gt;=6,G1133&gt;=5,H1133&gt;=5),"POTENTIAL LOYALIST",AND(F1133&gt;=8,G1133&lt;=2,H1133&gt;=5),"NEW CUSTOMERS",AND(F1133&gt;=6,G1133&lt;=2,H1133&gt;=3),"PROMISING",AND(F1133&gt;=3,G1133&gt;=3,H1133&gt;=3),"NEED ATTENTION",AND(F1133&lt;=4,G1133&gt;=6,H1133&gt;=6),"AT RISK",AND(F1133&lt;=2,G1133&gt;=8,H1133&gt;=8),"CAN'T LOSE THEM",AND(F1133&lt;=2,G1133&lt;=2,H1133&lt;=2),"HIBERNATING",TRUE(),"Other")</f>
        <v>HIBERNATING</v>
      </c>
      <c r="K1133" s="1" t="n">
        <f aca="false">RANK(E1133,$E$7:$E$4378)+COUNTIF($E$7:E1133,E1133)-1</f>
        <v>3654</v>
      </c>
    </row>
    <row r="1134" customFormat="false" ht="14.25" hidden="false" customHeight="true" outlineLevel="0" collapsed="false">
      <c r="A1134" s="51" t="n">
        <v>13860</v>
      </c>
      <c r="B1134" s="53" t="n">
        <v>40885.5395833333</v>
      </c>
      <c r="C1134" s="57" t="n">
        <f aca="false">INT($C$2)-INT(Table3[[#This Row],[Last Purchase Date]])</f>
        <v>2</v>
      </c>
      <c r="D1134" s="1" t="n">
        <v>6</v>
      </c>
      <c r="E1134" s="1" t="n">
        <v>1240</v>
      </c>
      <c r="F1134" s="1" t="n">
        <f aca="false">ROUND((1-_xlfn.PERCENTRANK.INC($C$7:$C$4378,C1134))*9,0)</f>
        <v>9</v>
      </c>
      <c r="G1134" s="1" t="n">
        <f aca="false">ROUND(_xlfn.PERCENTRANK.INC($D$7:$D$4378,D1134)*9,0)</f>
        <v>7</v>
      </c>
      <c r="H1134" s="1" t="n">
        <f aca="false">ROUND(_xlfn.PERCENTRANK.INC($E$7:$E$4378,E1134)*9,0)</f>
        <v>6</v>
      </c>
      <c r="I1134" s="1" t="str">
        <f aca="false">CONCATENATE(F1134,G1134,H1134)</f>
        <v>976</v>
      </c>
      <c r="J1134" s="1" t="str">
        <f aca="false">_xlfn.IFS(AND(F1134&gt;=8,G1134&gt;=8,H1134&gt;=8),"CHAMPION",AND(F1134&gt;=6,G1134&gt;=7,H1134&gt;=6),"LOYAL CUSTOMER",AND(F1134&gt;=6,G1134&gt;=5,H1134&gt;=5),"POTENTIAL LOYALIST",AND(F1134&gt;=8,G1134&lt;=2,H1134&gt;=5),"NEW CUSTOMERS",AND(F1134&gt;=6,G1134&lt;=2,H1134&gt;=3),"PROMISING",AND(F1134&gt;=3,G1134&gt;=3,H1134&gt;=3),"NEED ATTENTION",AND(F1134&lt;=4,G1134&gt;=6,H1134&gt;=6),"AT RISK",AND(F1134&lt;=2,G1134&gt;=8,H1134&gt;=8),"CAN'T LOSE THEM",AND(F1134&lt;=2,G1134&lt;=2,H1134&lt;=2),"HIBERNATING",TRUE(),"Other")</f>
        <v>LOYAL CUSTOMER</v>
      </c>
      <c r="K1134" s="1" t="n">
        <f aca="false">RANK(E1134,$E$7:$E$4378)+COUNTIF($E$7:E1134,E1134)-1</f>
        <v>1385</v>
      </c>
    </row>
    <row r="1135" customFormat="false" ht="14.25" hidden="false" customHeight="true" outlineLevel="0" collapsed="false">
      <c r="A1135" s="51" t="n">
        <v>13862</v>
      </c>
      <c r="B1135" s="53" t="n">
        <v>40868.6833333333</v>
      </c>
      <c r="C1135" s="57" t="n">
        <f aca="false">INT($C$2)-INT(Table3[[#This Row],[Last Purchase Date]])</f>
        <v>19</v>
      </c>
      <c r="D1135" s="1" t="n">
        <v>10</v>
      </c>
      <c r="E1135" s="1" t="n">
        <v>2187.31</v>
      </c>
      <c r="F1135" s="1" t="n">
        <f aca="false">ROUND((1-_xlfn.PERCENTRANK.INC($C$7:$C$4378,C1135))*9,0)</f>
        <v>7</v>
      </c>
      <c r="G1135" s="1" t="n">
        <f aca="false">ROUND(_xlfn.PERCENTRANK.INC($D$7:$D$4378,D1135)*9,0)</f>
        <v>8</v>
      </c>
      <c r="H1135" s="1" t="n">
        <f aca="false">ROUND(_xlfn.PERCENTRANK.INC($E$7:$E$4378,E1135)*9,0)</f>
        <v>7</v>
      </c>
      <c r="I1135" s="1" t="str">
        <f aca="false">CONCATENATE(F1135,G1135,H1135)</f>
        <v>787</v>
      </c>
      <c r="J1135" s="1" t="str">
        <f aca="false">_xlfn.IFS(AND(F1135&gt;=8,G1135&gt;=8,H1135&gt;=8),"CHAMPION",AND(F1135&gt;=6,G1135&gt;=7,H1135&gt;=6),"LOYAL CUSTOMER",AND(F1135&gt;=6,G1135&gt;=5,H1135&gt;=5),"POTENTIAL LOYALIST",AND(F1135&gt;=8,G1135&lt;=2,H1135&gt;=5),"NEW CUSTOMERS",AND(F1135&gt;=6,G1135&lt;=2,H1135&gt;=3),"PROMISING",AND(F1135&gt;=3,G1135&gt;=3,H1135&gt;=3),"NEED ATTENTION",AND(F1135&lt;=4,G1135&gt;=6,H1135&gt;=6),"AT RISK",AND(F1135&lt;=2,G1135&gt;=8,H1135&gt;=8),"CAN'T LOSE THEM",AND(F1135&lt;=2,G1135&lt;=2,H1135&lt;=2),"HIBERNATING",TRUE(),"Other")</f>
        <v>LOYAL CUSTOMER</v>
      </c>
      <c r="K1135" s="1" t="n">
        <f aca="false">RANK(E1135,$E$7:$E$4378)+COUNTIF($E$7:E1135,E1135)-1</f>
        <v>789</v>
      </c>
    </row>
    <row r="1136" customFormat="false" ht="14.25" hidden="false" customHeight="true" outlineLevel="0" collapsed="false">
      <c r="A1136" s="51" t="n">
        <v>13863</v>
      </c>
      <c r="B1136" s="53" t="n">
        <v>40641.7104166667</v>
      </c>
      <c r="C1136" s="57" t="n">
        <f aca="false">INT($C$2)-INT(Table3[[#This Row],[Last Purchase Date]])</f>
        <v>246</v>
      </c>
      <c r="D1136" s="1" t="n">
        <v>2</v>
      </c>
      <c r="E1136" s="1" t="n">
        <v>299.56</v>
      </c>
      <c r="F1136" s="1" t="n">
        <f aca="false">ROUND((1-_xlfn.PERCENTRANK.INC($C$7:$C$4378,C1136))*9,0)</f>
        <v>1</v>
      </c>
      <c r="G1136" s="1" t="n">
        <f aca="false">ROUND(_xlfn.PERCENTRANK.INC($D$7:$D$4378,D1136)*9,0)</f>
        <v>3</v>
      </c>
      <c r="H1136" s="1" t="n">
        <f aca="false">ROUND(_xlfn.PERCENTRANK.INC($E$7:$E$4378,E1136)*9,0)</f>
        <v>2</v>
      </c>
      <c r="I1136" s="1" t="str">
        <f aca="false">CONCATENATE(F1136,G1136,H1136)</f>
        <v>132</v>
      </c>
      <c r="J1136" s="1" t="str">
        <f aca="false">_xlfn.IFS(AND(F1136&gt;=8,G1136&gt;=8,H1136&gt;=8),"CHAMPION",AND(F1136&gt;=6,G1136&gt;=7,H1136&gt;=6),"LOYAL CUSTOMER",AND(F1136&gt;=6,G1136&gt;=5,H1136&gt;=5),"POTENTIAL LOYALIST",AND(F1136&gt;=8,G1136&lt;=2,H1136&gt;=5),"NEW CUSTOMERS",AND(F1136&gt;=6,G1136&lt;=2,H1136&gt;=3),"PROMISING",AND(F1136&gt;=3,G1136&gt;=3,H1136&gt;=3),"NEED ATTENTION",AND(F1136&lt;=4,G1136&gt;=6,H1136&gt;=6),"AT RISK",AND(F1136&lt;=2,G1136&gt;=8,H1136&gt;=8),"CAN'T LOSE THEM",AND(F1136&lt;=2,G1136&lt;=2,H1136&lt;=2),"HIBERNATING",TRUE(),"Other")</f>
        <v>Other</v>
      </c>
      <c r="K1136" s="1" t="n">
        <f aca="false">RANK(E1136,$E$7:$E$4378)+COUNTIF($E$7:E1136,E1136)-1</f>
        <v>3256</v>
      </c>
    </row>
    <row r="1137" customFormat="false" ht="14.25" hidden="false" customHeight="true" outlineLevel="0" collapsed="false">
      <c r="A1137" s="51" t="n">
        <v>13865</v>
      </c>
      <c r="B1137" s="53" t="n">
        <v>40828.5631944445</v>
      </c>
      <c r="C1137" s="57" t="n">
        <f aca="false">INT($C$2)-INT(Table3[[#This Row],[Last Purchase Date]])</f>
        <v>59</v>
      </c>
      <c r="D1137" s="1" t="n">
        <v>4</v>
      </c>
      <c r="E1137" s="1" t="n">
        <v>501.56</v>
      </c>
      <c r="F1137" s="1" t="n">
        <f aca="false">ROUND((1-_xlfn.PERCENTRANK.INC($C$7:$C$4378,C1137))*9,0)</f>
        <v>4</v>
      </c>
      <c r="G1137" s="1" t="n">
        <f aca="false">ROUND(_xlfn.PERCENTRANK.INC($D$7:$D$4378,D1137)*9,0)</f>
        <v>5</v>
      </c>
      <c r="H1137" s="1" t="n">
        <f aca="false">ROUND(_xlfn.PERCENTRANK.INC($E$7:$E$4378,E1137)*9,0)</f>
        <v>4</v>
      </c>
      <c r="I1137" s="1" t="str">
        <f aca="false">CONCATENATE(F1137,G1137,H1137)</f>
        <v>454</v>
      </c>
      <c r="J1137" s="1" t="str">
        <f aca="false">_xlfn.IFS(AND(F1137&gt;=8,G1137&gt;=8,H1137&gt;=8),"CHAMPION",AND(F1137&gt;=6,G1137&gt;=7,H1137&gt;=6),"LOYAL CUSTOMER",AND(F1137&gt;=6,G1137&gt;=5,H1137&gt;=5),"POTENTIAL LOYALIST",AND(F1137&gt;=8,G1137&lt;=2,H1137&gt;=5),"NEW CUSTOMERS",AND(F1137&gt;=6,G1137&lt;=2,H1137&gt;=3),"PROMISING",AND(F1137&gt;=3,G1137&gt;=3,H1137&gt;=3),"NEED ATTENTION",AND(F1137&lt;=4,G1137&gt;=6,H1137&gt;=6),"AT RISK",AND(F1137&lt;=2,G1137&gt;=8,H1137&gt;=8),"CAN'T LOSE THEM",AND(F1137&lt;=2,G1137&lt;=2,H1137&lt;=2),"HIBERNATING",TRUE(),"Other")</f>
        <v>NEED ATTENTION</v>
      </c>
      <c r="K1137" s="1" t="n">
        <f aca="false">RANK(E1137,$E$7:$E$4378)+COUNTIF($E$7:E1137,E1137)-1</f>
        <v>2537</v>
      </c>
    </row>
    <row r="1138" customFormat="false" ht="14.25" hidden="false" customHeight="true" outlineLevel="0" collapsed="false">
      <c r="A1138" s="51" t="n">
        <v>13866</v>
      </c>
      <c r="B1138" s="53" t="n">
        <v>40812.6208333333</v>
      </c>
      <c r="C1138" s="57" t="n">
        <f aca="false">INT($C$2)-INT(Table3[[#This Row],[Last Purchase Date]])</f>
        <v>75</v>
      </c>
      <c r="D1138" s="1" t="n">
        <v>1</v>
      </c>
      <c r="E1138" s="1" t="n">
        <v>145.67</v>
      </c>
      <c r="F1138" s="1" t="n">
        <f aca="false">ROUND((1-_xlfn.PERCENTRANK.INC($C$7:$C$4378,C1138))*9,0)</f>
        <v>3</v>
      </c>
      <c r="G1138" s="1" t="n">
        <f aca="false">ROUND(_xlfn.PERCENTRANK.INC($D$7:$D$4378,D1138)*9,0)</f>
        <v>0</v>
      </c>
      <c r="H1138" s="1" t="n">
        <f aca="false">ROUND(_xlfn.PERCENTRANK.INC($E$7:$E$4378,E1138)*9,0)</f>
        <v>1</v>
      </c>
      <c r="I1138" s="1" t="str">
        <f aca="false">CONCATENATE(F1138,G1138,H1138)</f>
        <v>301</v>
      </c>
      <c r="J1138" s="1" t="str">
        <f aca="false">_xlfn.IFS(AND(F1138&gt;=8,G1138&gt;=8,H1138&gt;=8),"CHAMPION",AND(F1138&gt;=6,G1138&gt;=7,H1138&gt;=6),"LOYAL CUSTOMER",AND(F1138&gt;=6,G1138&gt;=5,H1138&gt;=5),"POTENTIAL LOYALIST",AND(F1138&gt;=8,G1138&lt;=2,H1138&gt;=5),"NEW CUSTOMERS",AND(F1138&gt;=6,G1138&lt;=2,H1138&gt;=3),"PROMISING",AND(F1138&gt;=3,G1138&gt;=3,H1138&gt;=3),"NEED ATTENTION",AND(F1138&lt;=4,G1138&gt;=6,H1138&gt;=6),"AT RISK",AND(F1138&lt;=2,G1138&gt;=8,H1138&gt;=8),"CAN'T LOSE THEM",AND(F1138&lt;=2,G1138&lt;=2,H1138&lt;=2),"HIBERNATING",TRUE(),"Other")</f>
        <v>Other</v>
      </c>
      <c r="K1138" s="1" t="n">
        <f aca="false">RANK(E1138,$E$7:$E$4378)+COUNTIF($E$7:E1138,E1138)-1</f>
        <v>3937</v>
      </c>
    </row>
    <row r="1139" customFormat="false" ht="14.25" hidden="false" customHeight="true" outlineLevel="0" collapsed="false">
      <c r="A1139" s="51" t="n">
        <v>13867</v>
      </c>
      <c r="B1139" s="53" t="n">
        <v>40855.6583333333</v>
      </c>
      <c r="C1139" s="57" t="n">
        <f aca="false">INT($C$2)-INT(Table3[[#This Row],[Last Purchase Date]])</f>
        <v>32</v>
      </c>
      <c r="D1139" s="1" t="n">
        <v>3</v>
      </c>
      <c r="E1139" s="1" t="n">
        <v>1015.29</v>
      </c>
      <c r="F1139" s="1" t="n">
        <f aca="false">ROUND((1-_xlfn.PERCENTRANK.INC($C$7:$C$4378,C1139))*9,0)</f>
        <v>5</v>
      </c>
      <c r="G1139" s="1" t="n">
        <f aca="false">ROUND(_xlfn.PERCENTRANK.INC($D$7:$D$4378,D1139)*9,0)</f>
        <v>4</v>
      </c>
      <c r="H1139" s="1" t="n">
        <f aca="false">ROUND(_xlfn.PERCENTRANK.INC($E$7:$E$4378,E1139)*9,0)</f>
        <v>6</v>
      </c>
      <c r="I1139" s="1" t="str">
        <f aca="false">CONCATENATE(F1139,G1139,H1139)</f>
        <v>546</v>
      </c>
      <c r="J1139" s="1" t="str">
        <f aca="false">_xlfn.IFS(AND(F1139&gt;=8,G1139&gt;=8,H1139&gt;=8),"CHAMPION",AND(F1139&gt;=6,G1139&gt;=7,H1139&gt;=6),"LOYAL CUSTOMER",AND(F1139&gt;=6,G1139&gt;=5,H1139&gt;=5),"POTENTIAL LOYALIST",AND(F1139&gt;=8,G1139&lt;=2,H1139&gt;=5),"NEW CUSTOMERS",AND(F1139&gt;=6,G1139&lt;=2,H1139&gt;=3),"PROMISING",AND(F1139&gt;=3,G1139&gt;=3,H1139&gt;=3),"NEED ATTENTION",AND(F1139&lt;=4,G1139&gt;=6,H1139&gt;=6),"AT RISK",AND(F1139&lt;=2,G1139&gt;=8,H1139&gt;=8),"CAN'T LOSE THEM",AND(F1139&lt;=2,G1139&lt;=2,H1139&lt;=2),"HIBERNATING",TRUE(),"Other")</f>
        <v>NEED ATTENTION</v>
      </c>
      <c r="K1139" s="1" t="n">
        <f aca="false">RANK(E1139,$E$7:$E$4378)+COUNTIF($E$7:E1139,E1139)-1</f>
        <v>1612</v>
      </c>
    </row>
    <row r="1140" customFormat="false" ht="14.25" hidden="false" customHeight="true" outlineLevel="0" collapsed="false">
      <c r="A1140" s="51" t="n">
        <v>13868</v>
      </c>
      <c r="B1140" s="53" t="n">
        <v>40879.6888888889</v>
      </c>
      <c r="C1140" s="57" t="n">
        <f aca="false">INT($C$2)-INT(Table3[[#This Row],[Last Purchase Date]])</f>
        <v>8</v>
      </c>
      <c r="D1140" s="1" t="n">
        <v>2</v>
      </c>
      <c r="E1140" s="1" t="n">
        <v>3192.54</v>
      </c>
      <c r="F1140" s="1" t="n">
        <f aca="false">ROUND((1-_xlfn.PERCENTRANK.INC($C$7:$C$4378,C1140))*9,0)</f>
        <v>8</v>
      </c>
      <c r="G1140" s="1" t="n">
        <f aca="false">ROUND(_xlfn.PERCENTRANK.INC($D$7:$D$4378,D1140)*9,0)</f>
        <v>3</v>
      </c>
      <c r="H1140" s="1" t="n">
        <f aca="false">ROUND(_xlfn.PERCENTRANK.INC($E$7:$E$4378,E1140)*9,0)</f>
        <v>8</v>
      </c>
      <c r="I1140" s="1" t="str">
        <f aca="false">CONCATENATE(F1140,G1140,H1140)</f>
        <v>838</v>
      </c>
      <c r="J1140" s="1" t="str">
        <f aca="false">_xlfn.IFS(AND(F1140&gt;=8,G1140&gt;=8,H1140&gt;=8),"CHAMPION",AND(F1140&gt;=6,G1140&gt;=7,H1140&gt;=6),"LOYAL CUSTOMER",AND(F1140&gt;=6,G1140&gt;=5,H1140&gt;=5),"POTENTIAL LOYALIST",AND(F1140&gt;=8,G1140&lt;=2,H1140&gt;=5),"NEW CUSTOMERS",AND(F1140&gt;=6,G1140&lt;=2,H1140&gt;=3),"PROMISING",AND(F1140&gt;=3,G1140&gt;=3,H1140&gt;=3),"NEED ATTENTION",AND(F1140&lt;=4,G1140&gt;=6,H1140&gt;=6),"AT RISK",AND(F1140&lt;=2,G1140&gt;=8,H1140&gt;=8),"CAN'T LOSE THEM",AND(F1140&lt;=2,G1140&lt;=2,H1140&lt;=2),"HIBERNATING",TRUE(),"Other")</f>
        <v>NEED ATTENTION</v>
      </c>
      <c r="K1140" s="1" t="n">
        <f aca="false">RANK(E1140,$E$7:$E$4378)+COUNTIF($E$7:E1140,E1140)-1</f>
        <v>494</v>
      </c>
    </row>
    <row r="1141" customFormat="false" ht="14.25" hidden="false" customHeight="true" outlineLevel="0" collapsed="false">
      <c r="A1141" s="51" t="n">
        <v>13869</v>
      </c>
      <c r="B1141" s="53" t="n">
        <v>40763.5784722222</v>
      </c>
      <c r="C1141" s="57" t="n">
        <f aca="false">INT($C$2)-INT(Table3[[#This Row],[Last Purchase Date]])</f>
        <v>124</v>
      </c>
      <c r="D1141" s="1" t="n">
        <v>4</v>
      </c>
      <c r="E1141" s="1" t="n">
        <v>3104.95</v>
      </c>
      <c r="F1141" s="1" t="n">
        <f aca="false">ROUND((1-_xlfn.PERCENTRANK.INC($C$7:$C$4378,C1141))*9,0)</f>
        <v>2</v>
      </c>
      <c r="G1141" s="1" t="n">
        <f aca="false">ROUND(_xlfn.PERCENTRANK.INC($D$7:$D$4378,D1141)*9,0)</f>
        <v>5</v>
      </c>
      <c r="H1141" s="1" t="n">
        <f aca="false">ROUND(_xlfn.PERCENTRANK.INC($E$7:$E$4378,E1141)*9,0)</f>
        <v>8</v>
      </c>
      <c r="I1141" s="1" t="str">
        <f aca="false">CONCATENATE(F1141,G1141,H1141)</f>
        <v>258</v>
      </c>
      <c r="J1141" s="1" t="str">
        <f aca="false">_xlfn.IFS(AND(F1141&gt;=8,G1141&gt;=8,H1141&gt;=8),"CHAMPION",AND(F1141&gt;=6,G1141&gt;=7,H1141&gt;=6),"LOYAL CUSTOMER",AND(F1141&gt;=6,G1141&gt;=5,H1141&gt;=5),"POTENTIAL LOYALIST",AND(F1141&gt;=8,G1141&lt;=2,H1141&gt;=5),"NEW CUSTOMERS",AND(F1141&gt;=6,G1141&lt;=2,H1141&gt;=3),"PROMISING",AND(F1141&gt;=3,G1141&gt;=3,H1141&gt;=3),"NEED ATTENTION",AND(F1141&lt;=4,G1141&gt;=6,H1141&gt;=6),"AT RISK",AND(F1141&lt;=2,G1141&gt;=8,H1141&gt;=8),"CAN'T LOSE THEM",AND(F1141&lt;=2,G1141&lt;=2,H1141&lt;=2),"HIBERNATING",TRUE(),"Other")</f>
        <v>Other</v>
      </c>
      <c r="K1141" s="1" t="n">
        <f aca="false">RANK(E1141,$E$7:$E$4378)+COUNTIF($E$7:E1141,E1141)-1</f>
        <v>511</v>
      </c>
    </row>
    <row r="1142" customFormat="false" ht="14.25" hidden="false" customHeight="true" outlineLevel="0" collapsed="false">
      <c r="A1142" s="51" t="n">
        <v>13870</v>
      </c>
      <c r="B1142" s="53" t="n">
        <v>40884.5576388889</v>
      </c>
      <c r="C1142" s="57" t="n">
        <f aca="false">INT($C$2)-INT(Table3[[#This Row],[Last Purchase Date]])</f>
        <v>3</v>
      </c>
      <c r="D1142" s="1" t="n">
        <v>10</v>
      </c>
      <c r="E1142" s="1" t="n">
        <v>2751.25</v>
      </c>
      <c r="F1142" s="1" t="n">
        <f aca="false">ROUND((1-_xlfn.PERCENTRANK.INC($C$7:$C$4378,C1142))*9,0)</f>
        <v>9</v>
      </c>
      <c r="G1142" s="1" t="n">
        <f aca="false">ROUND(_xlfn.PERCENTRANK.INC($D$7:$D$4378,D1142)*9,0)</f>
        <v>8</v>
      </c>
      <c r="H1142" s="1" t="n">
        <f aca="false">ROUND(_xlfn.PERCENTRANK.INC($E$7:$E$4378,E1142)*9,0)</f>
        <v>8</v>
      </c>
      <c r="I1142" s="1" t="str">
        <f aca="false">CONCATENATE(F1142,G1142,H1142)</f>
        <v>988</v>
      </c>
      <c r="J1142" s="1" t="str">
        <f aca="false">_xlfn.IFS(AND(F1142&gt;=8,G1142&gt;=8,H1142&gt;=8),"CHAMPION",AND(F1142&gt;=6,G1142&gt;=7,H1142&gt;=6),"LOYAL CUSTOMER",AND(F1142&gt;=6,G1142&gt;=5,H1142&gt;=5),"POTENTIAL LOYALIST",AND(F1142&gt;=8,G1142&lt;=2,H1142&gt;=5),"NEW CUSTOMERS",AND(F1142&gt;=6,G1142&lt;=2,H1142&gt;=3),"PROMISING",AND(F1142&gt;=3,G1142&gt;=3,H1142&gt;=3),"NEED ATTENTION",AND(F1142&lt;=4,G1142&gt;=6,H1142&gt;=6),"AT RISK",AND(F1142&lt;=2,G1142&gt;=8,H1142&gt;=8),"CAN'T LOSE THEM",AND(F1142&lt;=2,G1142&lt;=2,H1142&lt;=2),"HIBERNATING",TRUE(),"Other")</f>
        <v>CHAMPION</v>
      </c>
      <c r="K1142" s="1" t="n">
        <f aca="false">RANK(E1142,$E$7:$E$4378)+COUNTIF($E$7:E1142,E1142)-1</f>
        <v>602</v>
      </c>
    </row>
    <row r="1143" customFormat="false" ht="14.25" hidden="false" customHeight="true" outlineLevel="0" collapsed="false">
      <c r="A1143" s="51" t="n">
        <v>13871</v>
      </c>
      <c r="B1143" s="53" t="n">
        <v>40864.4506944444</v>
      </c>
      <c r="C1143" s="57" t="n">
        <f aca="false">INT($C$2)-INT(Table3[[#This Row],[Last Purchase Date]])</f>
        <v>23</v>
      </c>
      <c r="D1143" s="1" t="n">
        <v>14</v>
      </c>
      <c r="E1143" s="1" t="n">
        <v>6389.8</v>
      </c>
      <c r="F1143" s="1" t="n">
        <f aca="false">ROUND((1-_xlfn.PERCENTRANK.INC($C$7:$C$4378,C1143))*9,0)</f>
        <v>6</v>
      </c>
      <c r="G1143" s="1" t="n">
        <f aca="false">ROUND(_xlfn.PERCENTRANK.INC($D$7:$D$4378,D1143)*9,0)</f>
        <v>8</v>
      </c>
      <c r="H1143" s="1" t="n">
        <f aca="false">ROUND(_xlfn.PERCENTRANK.INC($E$7:$E$4378,E1143)*9,0)</f>
        <v>9</v>
      </c>
      <c r="I1143" s="1" t="str">
        <f aca="false">CONCATENATE(F1143,G1143,H1143)</f>
        <v>689</v>
      </c>
      <c r="J1143" s="1" t="str">
        <f aca="false">_xlfn.IFS(AND(F1143&gt;=8,G1143&gt;=8,H1143&gt;=8),"CHAMPION",AND(F1143&gt;=6,G1143&gt;=7,H1143&gt;=6),"LOYAL CUSTOMER",AND(F1143&gt;=6,G1143&gt;=5,H1143&gt;=5),"POTENTIAL LOYALIST",AND(F1143&gt;=8,G1143&lt;=2,H1143&gt;=5),"NEW CUSTOMERS",AND(F1143&gt;=6,G1143&lt;=2,H1143&gt;=3),"PROMISING",AND(F1143&gt;=3,G1143&gt;=3,H1143&gt;=3),"NEED ATTENTION",AND(F1143&lt;=4,G1143&gt;=6,H1143&gt;=6),"AT RISK",AND(F1143&lt;=2,G1143&gt;=8,H1143&gt;=8),"CAN'T LOSE THEM",AND(F1143&lt;=2,G1143&lt;=2,H1143&lt;=2),"HIBERNATING",TRUE(),"Other")</f>
        <v>LOYAL CUSTOMER</v>
      </c>
      <c r="K1143" s="1" t="n">
        <f aca="false">RANK(E1143,$E$7:$E$4378)+COUNTIF($E$7:E1143,E1143)-1</f>
        <v>183</v>
      </c>
    </row>
    <row r="1144" customFormat="false" ht="14.25" hidden="false" customHeight="true" outlineLevel="0" collapsed="false">
      <c r="A1144" s="51" t="n">
        <v>13873</v>
      </c>
      <c r="B1144" s="53" t="n">
        <v>40767.4222222222</v>
      </c>
      <c r="C1144" s="57" t="n">
        <f aca="false">INT($C$2)-INT(Table3[[#This Row],[Last Purchase Date]])</f>
        <v>120</v>
      </c>
      <c r="D1144" s="1" t="n">
        <v>4</v>
      </c>
      <c r="E1144" s="1" t="n">
        <v>381.7</v>
      </c>
      <c r="F1144" s="1" t="n">
        <f aca="false">ROUND((1-_xlfn.PERCENTRANK.INC($C$7:$C$4378,C1144))*9,0)</f>
        <v>3</v>
      </c>
      <c r="G1144" s="1" t="n">
        <f aca="false">ROUND(_xlfn.PERCENTRANK.INC($D$7:$D$4378,D1144)*9,0)</f>
        <v>5</v>
      </c>
      <c r="H1144" s="1" t="n">
        <f aca="false">ROUND(_xlfn.PERCENTRANK.INC($E$7:$E$4378,E1144)*9,0)</f>
        <v>3</v>
      </c>
      <c r="I1144" s="1" t="str">
        <f aca="false">CONCATENATE(F1144,G1144,H1144)</f>
        <v>353</v>
      </c>
      <c r="J1144" s="1" t="str">
        <f aca="false">_xlfn.IFS(AND(F1144&gt;=8,G1144&gt;=8,H1144&gt;=8),"CHAMPION",AND(F1144&gt;=6,G1144&gt;=7,H1144&gt;=6),"LOYAL CUSTOMER",AND(F1144&gt;=6,G1144&gt;=5,H1144&gt;=5),"POTENTIAL LOYALIST",AND(F1144&gt;=8,G1144&lt;=2,H1144&gt;=5),"NEW CUSTOMERS",AND(F1144&gt;=6,G1144&lt;=2,H1144&gt;=3),"PROMISING",AND(F1144&gt;=3,G1144&gt;=3,H1144&gt;=3),"NEED ATTENTION",AND(F1144&lt;=4,G1144&gt;=6,H1144&gt;=6),"AT RISK",AND(F1144&lt;=2,G1144&gt;=8,H1144&gt;=8),"CAN'T LOSE THEM",AND(F1144&lt;=2,G1144&lt;=2,H1144&lt;=2),"HIBERNATING",TRUE(),"Other")</f>
        <v>NEED ATTENTION</v>
      </c>
      <c r="K1144" s="1" t="n">
        <f aca="false">RANK(E1144,$E$7:$E$4378)+COUNTIF($E$7:E1144,E1144)-1</f>
        <v>2882</v>
      </c>
    </row>
    <row r="1145" customFormat="false" ht="14.25" hidden="false" customHeight="true" outlineLevel="0" collapsed="false">
      <c r="A1145" s="51" t="n">
        <v>13874</v>
      </c>
      <c r="B1145" s="53" t="n">
        <v>40528.7638888889</v>
      </c>
      <c r="C1145" s="57" t="n">
        <f aca="false">INT($C$2)-INT(Table3[[#This Row],[Last Purchase Date]])</f>
        <v>359</v>
      </c>
      <c r="D1145" s="1" t="n">
        <v>1</v>
      </c>
      <c r="E1145" s="1" t="n">
        <v>540.45</v>
      </c>
      <c r="F1145" s="1" t="n">
        <f aca="false">ROUND((1-_xlfn.PERCENTRANK.INC($C$7:$C$4378,C1145))*9,0)</f>
        <v>0</v>
      </c>
      <c r="G1145" s="1" t="n">
        <f aca="false">ROUND(_xlfn.PERCENTRANK.INC($D$7:$D$4378,D1145)*9,0)</f>
        <v>0</v>
      </c>
      <c r="H1145" s="1" t="n">
        <f aca="false">ROUND(_xlfn.PERCENTRANK.INC($E$7:$E$4378,E1145)*9,0)</f>
        <v>4</v>
      </c>
      <c r="I1145" s="1" t="str">
        <f aca="false">CONCATENATE(F1145,G1145,H1145)</f>
        <v>004</v>
      </c>
      <c r="J1145" s="1" t="str">
        <f aca="false">_xlfn.IFS(AND(F1145&gt;=8,G1145&gt;=8,H1145&gt;=8),"CHAMPION",AND(F1145&gt;=6,G1145&gt;=7,H1145&gt;=6),"LOYAL CUSTOMER",AND(F1145&gt;=6,G1145&gt;=5,H1145&gt;=5),"POTENTIAL LOYALIST",AND(F1145&gt;=8,G1145&lt;=2,H1145&gt;=5),"NEW CUSTOMERS",AND(F1145&gt;=6,G1145&lt;=2,H1145&gt;=3),"PROMISING",AND(F1145&gt;=3,G1145&gt;=3,H1145&gt;=3),"NEED ATTENTION",AND(F1145&lt;=4,G1145&gt;=6,H1145&gt;=6),"AT RISK",AND(F1145&lt;=2,G1145&gt;=8,H1145&gt;=8),"CAN'T LOSE THEM",AND(F1145&lt;=2,G1145&lt;=2,H1145&lt;=2),"HIBERNATING",TRUE(),"Other")</f>
        <v>Other</v>
      </c>
      <c r="K1145" s="1" t="n">
        <f aca="false">RANK(E1145,$E$7:$E$4378)+COUNTIF($E$7:E1145,E1145)-1</f>
        <v>2453</v>
      </c>
    </row>
    <row r="1146" customFormat="false" ht="14.25" hidden="false" customHeight="true" outlineLevel="0" collapsed="false">
      <c r="A1146" s="51" t="n">
        <v>13875</v>
      </c>
      <c r="B1146" s="53" t="n">
        <v>40833.4</v>
      </c>
      <c r="C1146" s="57" t="n">
        <f aca="false">INT($C$2)-INT(Table3[[#This Row],[Last Purchase Date]])</f>
        <v>54</v>
      </c>
      <c r="D1146" s="1" t="n">
        <v>5</v>
      </c>
      <c r="E1146" s="1" t="n">
        <v>1786.79</v>
      </c>
      <c r="F1146" s="1" t="n">
        <f aca="false">ROUND((1-_xlfn.PERCENTRANK.INC($C$7:$C$4378,C1146))*9,0)</f>
        <v>4</v>
      </c>
      <c r="G1146" s="1" t="n">
        <f aca="false">ROUND(_xlfn.PERCENTRANK.INC($D$7:$D$4378,D1146)*9,0)</f>
        <v>6</v>
      </c>
      <c r="H1146" s="1" t="n">
        <f aca="false">ROUND(_xlfn.PERCENTRANK.INC($E$7:$E$4378,E1146)*9,0)</f>
        <v>7</v>
      </c>
      <c r="I1146" s="1" t="str">
        <f aca="false">CONCATENATE(F1146,G1146,H1146)</f>
        <v>467</v>
      </c>
      <c r="J1146" s="1" t="str">
        <f aca="false">_xlfn.IFS(AND(F1146&gt;=8,G1146&gt;=8,H1146&gt;=8),"CHAMPION",AND(F1146&gt;=6,G1146&gt;=7,H1146&gt;=6),"LOYAL CUSTOMER",AND(F1146&gt;=6,G1146&gt;=5,H1146&gt;=5),"POTENTIAL LOYALIST",AND(F1146&gt;=8,G1146&lt;=2,H1146&gt;=5),"NEW CUSTOMERS",AND(F1146&gt;=6,G1146&lt;=2,H1146&gt;=3),"PROMISING",AND(F1146&gt;=3,G1146&gt;=3,H1146&gt;=3),"NEED ATTENTION",AND(F1146&lt;=4,G1146&gt;=6,H1146&gt;=6),"AT RISK",AND(F1146&lt;=2,G1146&gt;=8,H1146&gt;=8),"CAN'T LOSE THEM",AND(F1146&lt;=2,G1146&lt;=2,H1146&lt;=2),"HIBERNATING",TRUE(),"Other")</f>
        <v>NEED ATTENTION</v>
      </c>
      <c r="K1146" s="1" t="n">
        <f aca="false">RANK(E1146,$E$7:$E$4378)+COUNTIF($E$7:E1146,E1146)-1</f>
        <v>984</v>
      </c>
    </row>
    <row r="1147" customFormat="false" ht="14.25" hidden="false" customHeight="true" outlineLevel="0" collapsed="false">
      <c r="A1147" s="51" t="n">
        <v>13876</v>
      </c>
      <c r="B1147" s="53" t="n">
        <v>40823.4319444444</v>
      </c>
      <c r="C1147" s="57" t="n">
        <f aca="false">INT($C$2)-INT(Table3[[#This Row],[Last Purchase Date]])</f>
        <v>64</v>
      </c>
      <c r="D1147" s="1" t="n">
        <v>1</v>
      </c>
      <c r="E1147" s="1" t="n">
        <v>122.7</v>
      </c>
      <c r="F1147" s="1" t="n">
        <f aca="false">ROUND((1-_xlfn.PERCENTRANK.INC($C$7:$C$4378,C1147))*9,0)</f>
        <v>4</v>
      </c>
      <c r="G1147" s="1" t="n">
        <f aca="false">ROUND(_xlfn.PERCENTRANK.INC($D$7:$D$4378,D1147)*9,0)</f>
        <v>0</v>
      </c>
      <c r="H1147" s="1" t="n">
        <f aca="false">ROUND(_xlfn.PERCENTRANK.INC($E$7:$E$4378,E1147)*9,0)</f>
        <v>1</v>
      </c>
      <c r="I1147" s="1" t="str">
        <f aca="false">CONCATENATE(F1147,G1147,H1147)</f>
        <v>401</v>
      </c>
      <c r="J1147" s="1" t="str">
        <f aca="false">_xlfn.IFS(AND(F1147&gt;=8,G1147&gt;=8,H1147&gt;=8),"CHAMPION",AND(F1147&gt;=6,G1147&gt;=7,H1147&gt;=6),"LOYAL CUSTOMER",AND(F1147&gt;=6,G1147&gt;=5,H1147&gt;=5),"POTENTIAL LOYALIST",AND(F1147&gt;=8,G1147&lt;=2,H1147&gt;=5),"NEW CUSTOMERS",AND(F1147&gt;=6,G1147&lt;=2,H1147&gt;=3),"PROMISING",AND(F1147&gt;=3,G1147&gt;=3,H1147&gt;=3),"NEED ATTENTION",AND(F1147&lt;=4,G1147&gt;=6,H1147&gt;=6),"AT RISK",AND(F1147&lt;=2,G1147&gt;=8,H1147&gt;=8),"CAN'T LOSE THEM",AND(F1147&lt;=2,G1147&lt;=2,H1147&lt;=2),"HIBERNATING",TRUE(),"Other")</f>
        <v>Other</v>
      </c>
      <c r="K1147" s="1" t="n">
        <f aca="false">RANK(E1147,$E$7:$E$4378)+COUNTIF($E$7:E1147,E1147)-1</f>
        <v>4036</v>
      </c>
    </row>
    <row r="1148" customFormat="false" ht="14.25" hidden="false" customHeight="true" outlineLevel="0" collapsed="false">
      <c r="A1148" s="51" t="n">
        <v>13877</v>
      </c>
      <c r="B1148" s="53" t="n">
        <v>40800.6590277778</v>
      </c>
      <c r="C1148" s="57" t="n">
        <f aca="false">INT($C$2)-INT(Table3[[#This Row],[Last Purchase Date]])</f>
        <v>87</v>
      </c>
      <c r="D1148" s="1" t="n">
        <v>1</v>
      </c>
      <c r="E1148" s="1" t="n">
        <v>117.24</v>
      </c>
      <c r="F1148" s="1" t="n">
        <f aca="false">ROUND((1-_xlfn.PERCENTRANK.INC($C$7:$C$4378,C1148))*9,0)</f>
        <v>3</v>
      </c>
      <c r="G1148" s="1" t="n">
        <f aca="false">ROUND(_xlfn.PERCENTRANK.INC($D$7:$D$4378,D1148)*9,0)</f>
        <v>0</v>
      </c>
      <c r="H1148" s="1" t="n">
        <f aca="false">ROUND(_xlfn.PERCENTRANK.INC($E$7:$E$4378,E1148)*9,0)</f>
        <v>1</v>
      </c>
      <c r="I1148" s="1" t="str">
        <f aca="false">CONCATENATE(F1148,G1148,H1148)</f>
        <v>301</v>
      </c>
      <c r="J1148" s="1" t="str">
        <f aca="false">_xlfn.IFS(AND(F1148&gt;=8,G1148&gt;=8,H1148&gt;=8),"CHAMPION",AND(F1148&gt;=6,G1148&gt;=7,H1148&gt;=6),"LOYAL CUSTOMER",AND(F1148&gt;=6,G1148&gt;=5,H1148&gt;=5),"POTENTIAL LOYALIST",AND(F1148&gt;=8,G1148&lt;=2,H1148&gt;=5),"NEW CUSTOMERS",AND(F1148&gt;=6,G1148&lt;=2,H1148&gt;=3),"PROMISING",AND(F1148&gt;=3,G1148&gt;=3,H1148&gt;=3),"NEED ATTENTION",AND(F1148&lt;=4,G1148&gt;=6,H1148&gt;=6),"AT RISK",AND(F1148&lt;=2,G1148&gt;=8,H1148&gt;=8),"CAN'T LOSE THEM",AND(F1148&lt;=2,G1148&lt;=2,H1148&lt;=2),"HIBERNATING",TRUE(),"Other")</f>
        <v>Other</v>
      </c>
      <c r="K1148" s="1" t="n">
        <f aca="false">RANK(E1148,$E$7:$E$4378)+COUNTIF($E$7:E1148,E1148)-1</f>
        <v>4064</v>
      </c>
    </row>
    <row r="1149" customFormat="false" ht="14.25" hidden="false" customHeight="true" outlineLevel="0" collapsed="false">
      <c r="A1149" s="51" t="n">
        <v>13878</v>
      </c>
      <c r="B1149" s="53" t="n">
        <v>40832.5131944444</v>
      </c>
      <c r="C1149" s="57" t="n">
        <f aca="false">INT($C$2)-INT(Table3[[#This Row],[Last Purchase Date]])</f>
        <v>55</v>
      </c>
      <c r="D1149" s="1" t="n">
        <v>1</v>
      </c>
      <c r="E1149" s="1" t="n">
        <v>1281.53</v>
      </c>
      <c r="F1149" s="1" t="n">
        <f aca="false">ROUND((1-_xlfn.PERCENTRANK.INC($C$7:$C$4378,C1149))*9,0)</f>
        <v>4</v>
      </c>
      <c r="G1149" s="1" t="n">
        <f aca="false">ROUND(_xlfn.PERCENTRANK.INC($D$7:$D$4378,D1149)*9,0)</f>
        <v>0</v>
      </c>
      <c r="H1149" s="1" t="n">
        <f aca="false">ROUND(_xlfn.PERCENTRANK.INC($E$7:$E$4378,E1149)*9,0)</f>
        <v>6</v>
      </c>
      <c r="I1149" s="1" t="str">
        <f aca="false">CONCATENATE(F1149,G1149,H1149)</f>
        <v>406</v>
      </c>
      <c r="J1149" s="1" t="str">
        <f aca="false">_xlfn.IFS(AND(F1149&gt;=8,G1149&gt;=8,H1149&gt;=8),"CHAMPION",AND(F1149&gt;=6,G1149&gt;=7,H1149&gt;=6),"LOYAL CUSTOMER",AND(F1149&gt;=6,G1149&gt;=5,H1149&gt;=5),"POTENTIAL LOYALIST",AND(F1149&gt;=8,G1149&lt;=2,H1149&gt;=5),"NEW CUSTOMERS",AND(F1149&gt;=6,G1149&lt;=2,H1149&gt;=3),"PROMISING",AND(F1149&gt;=3,G1149&gt;=3,H1149&gt;=3),"NEED ATTENTION",AND(F1149&lt;=4,G1149&gt;=6,H1149&gt;=6),"AT RISK",AND(F1149&lt;=2,G1149&gt;=8,H1149&gt;=8),"CAN'T LOSE THEM",AND(F1149&lt;=2,G1149&lt;=2,H1149&lt;=2),"HIBERNATING",TRUE(),"Other")</f>
        <v>Other</v>
      </c>
      <c r="K1149" s="1" t="n">
        <f aca="false">RANK(E1149,$E$7:$E$4378)+COUNTIF($E$7:E1149,E1149)-1</f>
        <v>1343</v>
      </c>
    </row>
    <row r="1150" customFormat="false" ht="14.25" hidden="false" customHeight="true" outlineLevel="0" collapsed="false">
      <c r="A1150" s="51" t="n">
        <v>13880</v>
      </c>
      <c r="B1150" s="53" t="n">
        <v>40865.5722222222</v>
      </c>
      <c r="C1150" s="57" t="n">
        <f aca="false">INT($C$2)-INT(Table3[[#This Row],[Last Purchase Date]])</f>
        <v>22</v>
      </c>
      <c r="D1150" s="1" t="n">
        <v>13</v>
      </c>
      <c r="E1150" s="1" t="n">
        <v>3219.77</v>
      </c>
      <c r="F1150" s="1" t="n">
        <f aca="false">ROUND((1-_xlfn.PERCENTRANK.INC($C$7:$C$4378,C1150))*9,0)</f>
        <v>6</v>
      </c>
      <c r="G1150" s="1" t="n">
        <f aca="false">ROUND(_xlfn.PERCENTRANK.INC($D$7:$D$4378,D1150)*9,0)</f>
        <v>8</v>
      </c>
      <c r="H1150" s="1" t="n">
        <f aca="false">ROUND(_xlfn.PERCENTRANK.INC($E$7:$E$4378,E1150)*9,0)</f>
        <v>8</v>
      </c>
      <c r="I1150" s="1" t="str">
        <f aca="false">CONCATENATE(F1150,G1150,H1150)</f>
        <v>688</v>
      </c>
      <c r="J1150" s="1" t="str">
        <f aca="false">_xlfn.IFS(AND(F1150&gt;=8,G1150&gt;=8,H1150&gt;=8),"CHAMPION",AND(F1150&gt;=6,G1150&gt;=7,H1150&gt;=6),"LOYAL CUSTOMER",AND(F1150&gt;=6,G1150&gt;=5,H1150&gt;=5),"POTENTIAL LOYALIST",AND(F1150&gt;=8,G1150&lt;=2,H1150&gt;=5),"NEW CUSTOMERS",AND(F1150&gt;=6,G1150&lt;=2,H1150&gt;=3),"PROMISING",AND(F1150&gt;=3,G1150&gt;=3,H1150&gt;=3),"NEED ATTENTION",AND(F1150&lt;=4,G1150&gt;=6,H1150&gt;=6),"AT RISK",AND(F1150&lt;=2,G1150&gt;=8,H1150&gt;=8),"CAN'T LOSE THEM",AND(F1150&lt;=2,G1150&lt;=2,H1150&lt;=2),"HIBERNATING",TRUE(),"Other")</f>
        <v>LOYAL CUSTOMER</v>
      </c>
      <c r="K1150" s="1" t="n">
        <f aca="false">RANK(E1150,$E$7:$E$4378)+COUNTIF($E$7:E1150,E1150)-1</f>
        <v>488</v>
      </c>
    </row>
    <row r="1151" customFormat="false" ht="14.25" hidden="false" customHeight="true" outlineLevel="0" collapsed="false">
      <c r="A1151" s="51" t="n">
        <v>13881</v>
      </c>
      <c r="B1151" s="53" t="n">
        <v>40883.5347222222</v>
      </c>
      <c r="C1151" s="57" t="n">
        <f aca="false">INT($C$2)-INT(Table3[[#This Row],[Last Purchase Date]])</f>
        <v>4</v>
      </c>
      <c r="D1151" s="1" t="n">
        <v>22</v>
      </c>
      <c r="E1151" s="1" t="n">
        <v>16989.52</v>
      </c>
      <c r="F1151" s="1" t="n">
        <f aca="false">ROUND((1-_xlfn.PERCENTRANK.INC($C$7:$C$4378,C1151))*9,0)</f>
        <v>8</v>
      </c>
      <c r="G1151" s="1" t="n">
        <f aca="false">ROUND(_xlfn.PERCENTRANK.INC($D$7:$D$4378,D1151)*9,0)</f>
        <v>9</v>
      </c>
      <c r="H1151" s="1" t="n">
        <f aca="false">ROUND(_xlfn.PERCENTRANK.INC($E$7:$E$4378,E1151)*9,0)</f>
        <v>9</v>
      </c>
      <c r="I1151" s="1" t="str">
        <f aca="false">CONCATENATE(F1151,G1151,H1151)</f>
        <v>899</v>
      </c>
      <c r="J1151" s="1" t="str">
        <f aca="false">_xlfn.IFS(AND(F1151&gt;=8,G1151&gt;=8,H1151&gt;=8),"CHAMPION",AND(F1151&gt;=6,G1151&gt;=7,H1151&gt;=6),"LOYAL CUSTOMER",AND(F1151&gt;=6,G1151&gt;=5,H1151&gt;=5),"POTENTIAL LOYALIST",AND(F1151&gt;=8,G1151&lt;=2,H1151&gt;=5),"NEW CUSTOMERS",AND(F1151&gt;=6,G1151&lt;=2,H1151&gt;=3),"PROMISING",AND(F1151&gt;=3,G1151&gt;=3,H1151&gt;=3),"NEED ATTENTION",AND(F1151&lt;=4,G1151&gt;=6,H1151&gt;=6),"AT RISK",AND(F1151&lt;=2,G1151&gt;=8,H1151&gt;=8),"CAN'T LOSE THEM",AND(F1151&lt;=2,G1151&lt;=2,H1151&lt;=2),"HIBERNATING",TRUE(),"Other")</f>
        <v>CHAMPION</v>
      </c>
      <c r="K1151" s="1" t="n">
        <f aca="false">RANK(E1151,$E$7:$E$4378)+COUNTIF($E$7:E1151,E1151)-1</f>
        <v>46</v>
      </c>
    </row>
    <row r="1152" customFormat="false" ht="14.25" hidden="false" customHeight="true" outlineLevel="0" collapsed="false">
      <c r="A1152" s="51" t="n">
        <v>13882</v>
      </c>
      <c r="B1152" s="53" t="n">
        <v>40884.4694444445</v>
      </c>
      <c r="C1152" s="57" t="n">
        <f aca="false">INT($C$2)-INT(Table3[[#This Row],[Last Purchase Date]])</f>
        <v>3</v>
      </c>
      <c r="D1152" s="1" t="n">
        <v>6</v>
      </c>
      <c r="E1152" s="1" t="n">
        <v>1131.28</v>
      </c>
      <c r="F1152" s="1" t="n">
        <f aca="false">ROUND((1-_xlfn.PERCENTRANK.INC($C$7:$C$4378,C1152))*9,0)</f>
        <v>9</v>
      </c>
      <c r="G1152" s="1" t="n">
        <f aca="false">ROUND(_xlfn.PERCENTRANK.INC($D$7:$D$4378,D1152)*9,0)</f>
        <v>7</v>
      </c>
      <c r="H1152" s="1" t="n">
        <f aca="false">ROUND(_xlfn.PERCENTRANK.INC($E$7:$E$4378,E1152)*9,0)</f>
        <v>6</v>
      </c>
      <c r="I1152" s="1" t="str">
        <f aca="false">CONCATENATE(F1152,G1152,H1152)</f>
        <v>976</v>
      </c>
      <c r="J1152" s="1" t="str">
        <f aca="false">_xlfn.IFS(AND(F1152&gt;=8,G1152&gt;=8,H1152&gt;=8),"CHAMPION",AND(F1152&gt;=6,G1152&gt;=7,H1152&gt;=6),"LOYAL CUSTOMER",AND(F1152&gt;=6,G1152&gt;=5,H1152&gt;=5),"POTENTIAL LOYALIST",AND(F1152&gt;=8,G1152&lt;=2,H1152&gt;=5),"NEW CUSTOMERS",AND(F1152&gt;=6,G1152&lt;=2,H1152&gt;=3),"PROMISING",AND(F1152&gt;=3,G1152&gt;=3,H1152&gt;=3),"NEED ATTENTION",AND(F1152&lt;=4,G1152&gt;=6,H1152&gt;=6),"AT RISK",AND(F1152&lt;=2,G1152&gt;=8,H1152&gt;=8),"CAN'T LOSE THEM",AND(F1152&lt;=2,G1152&lt;=2,H1152&lt;=2),"HIBERNATING",TRUE(),"Other")</f>
        <v>LOYAL CUSTOMER</v>
      </c>
      <c r="K1152" s="1" t="n">
        <f aca="false">RANK(E1152,$E$7:$E$4378)+COUNTIF($E$7:E1152,E1152)-1</f>
        <v>1473</v>
      </c>
    </row>
    <row r="1153" customFormat="false" ht="14.25" hidden="false" customHeight="true" outlineLevel="0" collapsed="false">
      <c r="A1153" s="51" t="n">
        <v>13883</v>
      </c>
      <c r="B1153" s="53" t="n">
        <v>40885.8055555556</v>
      </c>
      <c r="C1153" s="57" t="n">
        <f aca="false">INT($C$2)-INT(Table3[[#This Row],[Last Purchase Date]])</f>
        <v>2</v>
      </c>
      <c r="D1153" s="1" t="n">
        <v>9</v>
      </c>
      <c r="E1153" s="1" t="n">
        <v>2538.75</v>
      </c>
      <c r="F1153" s="1" t="n">
        <f aca="false">ROUND((1-_xlfn.PERCENTRANK.INC($C$7:$C$4378,C1153))*9,0)</f>
        <v>9</v>
      </c>
      <c r="G1153" s="1" t="n">
        <f aca="false">ROUND(_xlfn.PERCENTRANK.INC($D$7:$D$4378,D1153)*9,0)</f>
        <v>8</v>
      </c>
      <c r="H1153" s="1" t="n">
        <f aca="false">ROUND(_xlfn.PERCENTRANK.INC($E$7:$E$4378,E1153)*9,0)</f>
        <v>8</v>
      </c>
      <c r="I1153" s="1" t="str">
        <f aca="false">CONCATENATE(F1153,G1153,H1153)</f>
        <v>988</v>
      </c>
      <c r="J1153" s="1" t="str">
        <f aca="false">_xlfn.IFS(AND(F1153&gt;=8,G1153&gt;=8,H1153&gt;=8),"CHAMPION",AND(F1153&gt;=6,G1153&gt;=7,H1153&gt;=6),"LOYAL CUSTOMER",AND(F1153&gt;=6,G1153&gt;=5,H1153&gt;=5),"POTENTIAL LOYALIST",AND(F1153&gt;=8,G1153&lt;=2,H1153&gt;=5),"NEW CUSTOMERS",AND(F1153&gt;=6,G1153&lt;=2,H1153&gt;=3),"PROMISING",AND(F1153&gt;=3,G1153&gt;=3,H1153&gt;=3),"NEED ATTENTION",AND(F1153&lt;=4,G1153&gt;=6,H1153&gt;=6),"AT RISK",AND(F1153&lt;=2,G1153&gt;=8,H1153&gt;=8),"CAN'T LOSE THEM",AND(F1153&lt;=2,G1153&lt;=2,H1153&lt;=2),"HIBERNATING",TRUE(),"Other")</f>
        <v>CHAMPION</v>
      </c>
      <c r="K1153" s="1" t="n">
        <f aca="false">RANK(E1153,$E$7:$E$4378)+COUNTIF($E$7:E1153,E1153)-1</f>
        <v>669</v>
      </c>
    </row>
    <row r="1154" customFormat="false" ht="14.25" hidden="false" customHeight="true" outlineLevel="0" collapsed="false">
      <c r="A1154" s="51" t="n">
        <v>13884</v>
      </c>
      <c r="B1154" s="53" t="n">
        <v>40879.6875</v>
      </c>
      <c r="C1154" s="57" t="n">
        <f aca="false">INT($C$2)-INT(Table3[[#This Row],[Last Purchase Date]])</f>
        <v>8</v>
      </c>
      <c r="D1154" s="1" t="n">
        <v>6</v>
      </c>
      <c r="E1154" s="1" t="n">
        <v>781.3</v>
      </c>
      <c r="F1154" s="1" t="n">
        <f aca="false">ROUND((1-_xlfn.PERCENTRANK.INC($C$7:$C$4378,C1154))*9,0)</f>
        <v>8</v>
      </c>
      <c r="G1154" s="1" t="n">
        <f aca="false">ROUND(_xlfn.PERCENTRANK.INC($D$7:$D$4378,D1154)*9,0)</f>
        <v>7</v>
      </c>
      <c r="H1154" s="1" t="n">
        <f aca="false">ROUND(_xlfn.PERCENTRANK.INC($E$7:$E$4378,E1154)*9,0)</f>
        <v>5</v>
      </c>
      <c r="I1154" s="1" t="str">
        <f aca="false">CONCATENATE(F1154,G1154,H1154)</f>
        <v>875</v>
      </c>
      <c r="J1154" s="1" t="str">
        <f aca="false">_xlfn.IFS(AND(F1154&gt;=8,G1154&gt;=8,H1154&gt;=8),"CHAMPION",AND(F1154&gt;=6,G1154&gt;=7,H1154&gt;=6),"LOYAL CUSTOMER",AND(F1154&gt;=6,G1154&gt;=5,H1154&gt;=5),"POTENTIAL LOYALIST",AND(F1154&gt;=8,G1154&lt;=2,H1154&gt;=5),"NEW CUSTOMERS",AND(F1154&gt;=6,G1154&lt;=2,H1154&gt;=3),"PROMISING",AND(F1154&gt;=3,G1154&gt;=3,H1154&gt;=3),"NEED ATTENTION",AND(F1154&lt;=4,G1154&gt;=6,H1154&gt;=6),"AT RISK",AND(F1154&lt;=2,G1154&gt;=8,H1154&gt;=8),"CAN'T LOSE THEM",AND(F1154&lt;=2,G1154&lt;=2,H1154&lt;=2),"HIBERNATING",TRUE(),"Other")</f>
        <v>POTENTIAL LOYALIST</v>
      </c>
      <c r="K1154" s="1" t="n">
        <f aca="false">RANK(E1154,$E$7:$E$4378)+COUNTIF($E$7:E1154,E1154)-1</f>
        <v>1919</v>
      </c>
    </row>
    <row r="1155" customFormat="false" ht="14.25" hidden="false" customHeight="true" outlineLevel="0" collapsed="false">
      <c r="A1155" s="51" t="n">
        <v>13885</v>
      </c>
      <c r="B1155" s="53" t="n">
        <v>40697.6298611111</v>
      </c>
      <c r="C1155" s="57" t="n">
        <f aca="false">INT($C$2)-INT(Table3[[#This Row],[Last Purchase Date]])</f>
        <v>190</v>
      </c>
      <c r="D1155" s="1" t="n">
        <v>2</v>
      </c>
      <c r="E1155" s="1" t="n">
        <v>506.8</v>
      </c>
      <c r="F1155" s="1" t="n">
        <f aca="false">ROUND((1-_xlfn.PERCENTRANK.INC($C$7:$C$4378,C1155))*9,0)</f>
        <v>2</v>
      </c>
      <c r="G1155" s="1" t="n">
        <f aca="false">ROUND(_xlfn.PERCENTRANK.INC($D$7:$D$4378,D1155)*9,0)</f>
        <v>3</v>
      </c>
      <c r="H1155" s="1" t="n">
        <f aca="false">ROUND(_xlfn.PERCENTRANK.INC($E$7:$E$4378,E1155)*9,0)</f>
        <v>4</v>
      </c>
      <c r="I1155" s="1" t="str">
        <f aca="false">CONCATENATE(F1155,G1155,H1155)</f>
        <v>234</v>
      </c>
      <c r="J1155" s="1" t="str">
        <f aca="false">_xlfn.IFS(AND(F1155&gt;=8,G1155&gt;=8,H1155&gt;=8),"CHAMPION",AND(F1155&gt;=6,G1155&gt;=7,H1155&gt;=6),"LOYAL CUSTOMER",AND(F1155&gt;=6,G1155&gt;=5,H1155&gt;=5),"POTENTIAL LOYALIST",AND(F1155&gt;=8,G1155&lt;=2,H1155&gt;=5),"NEW CUSTOMERS",AND(F1155&gt;=6,G1155&lt;=2,H1155&gt;=3),"PROMISING",AND(F1155&gt;=3,G1155&gt;=3,H1155&gt;=3),"NEED ATTENTION",AND(F1155&lt;=4,G1155&gt;=6,H1155&gt;=6),"AT RISK",AND(F1155&lt;=2,G1155&gt;=8,H1155&gt;=8),"CAN'T LOSE THEM",AND(F1155&lt;=2,G1155&lt;=2,H1155&lt;=2),"HIBERNATING",TRUE(),"Other")</f>
        <v>Other</v>
      </c>
      <c r="K1155" s="1" t="n">
        <f aca="false">RANK(E1155,$E$7:$E$4378)+COUNTIF($E$7:E1155,E1155)-1</f>
        <v>2528</v>
      </c>
    </row>
    <row r="1156" customFormat="false" ht="14.25" hidden="false" customHeight="true" outlineLevel="0" collapsed="false">
      <c r="A1156" s="51" t="n">
        <v>13886</v>
      </c>
      <c r="B1156" s="53" t="n">
        <v>40815.5534722222</v>
      </c>
      <c r="C1156" s="57" t="n">
        <f aca="false">INT($C$2)-INT(Table3[[#This Row],[Last Purchase Date]])</f>
        <v>72</v>
      </c>
      <c r="D1156" s="1" t="n">
        <v>1</v>
      </c>
      <c r="E1156" s="1" t="n">
        <v>243.56</v>
      </c>
      <c r="F1156" s="1" t="n">
        <f aca="false">ROUND((1-_xlfn.PERCENTRANK.INC($C$7:$C$4378,C1156))*9,0)</f>
        <v>4</v>
      </c>
      <c r="G1156" s="1" t="n">
        <f aca="false">ROUND(_xlfn.PERCENTRANK.INC($D$7:$D$4378,D1156)*9,0)</f>
        <v>0</v>
      </c>
      <c r="H1156" s="1" t="n">
        <f aca="false">ROUND(_xlfn.PERCENTRANK.INC($E$7:$E$4378,E1156)*9,0)</f>
        <v>2</v>
      </c>
      <c r="I1156" s="1" t="str">
        <f aca="false">CONCATENATE(F1156,G1156,H1156)</f>
        <v>402</v>
      </c>
      <c r="J1156" s="1" t="str">
        <f aca="false">_xlfn.IFS(AND(F1156&gt;=8,G1156&gt;=8,H1156&gt;=8),"CHAMPION",AND(F1156&gt;=6,G1156&gt;=7,H1156&gt;=6),"LOYAL CUSTOMER",AND(F1156&gt;=6,G1156&gt;=5,H1156&gt;=5),"POTENTIAL LOYALIST",AND(F1156&gt;=8,G1156&lt;=2,H1156&gt;=5),"NEW CUSTOMERS",AND(F1156&gt;=6,G1156&lt;=2,H1156&gt;=3),"PROMISING",AND(F1156&gt;=3,G1156&gt;=3,H1156&gt;=3),"NEED ATTENTION",AND(F1156&lt;=4,G1156&gt;=6,H1156&gt;=6),"AT RISK",AND(F1156&lt;=2,G1156&gt;=8,H1156&gt;=8),"CAN'T LOSE THEM",AND(F1156&lt;=2,G1156&lt;=2,H1156&lt;=2),"HIBERNATING",TRUE(),"Other")</f>
        <v>Other</v>
      </c>
      <c r="K1156" s="1" t="n">
        <f aca="false">RANK(E1156,$E$7:$E$4378)+COUNTIF($E$7:E1156,E1156)-1</f>
        <v>3467</v>
      </c>
    </row>
    <row r="1157" customFormat="false" ht="14.25" hidden="false" customHeight="true" outlineLevel="0" collapsed="false">
      <c r="A1157" s="51" t="n">
        <v>13887</v>
      </c>
      <c r="B1157" s="53" t="n">
        <v>40682.7236111111</v>
      </c>
      <c r="C1157" s="57" t="n">
        <f aca="false">INT($C$2)-INT(Table3[[#This Row],[Last Purchase Date]])</f>
        <v>205</v>
      </c>
      <c r="D1157" s="1" t="n">
        <v>1</v>
      </c>
      <c r="E1157" s="1" t="n">
        <v>349.55</v>
      </c>
      <c r="F1157" s="1" t="n">
        <f aca="false">ROUND((1-_xlfn.PERCENTRANK.INC($C$7:$C$4378,C1157))*9,0)</f>
        <v>2</v>
      </c>
      <c r="G1157" s="1" t="n">
        <f aca="false">ROUND(_xlfn.PERCENTRANK.INC($D$7:$D$4378,D1157)*9,0)</f>
        <v>0</v>
      </c>
      <c r="H1157" s="1" t="n">
        <f aca="false">ROUND(_xlfn.PERCENTRANK.INC($E$7:$E$4378,E1157)*9,0)</f>
        <v>3</v>
      </c>
      <c r="I1157" s="1" t="str">
        <f aca="false">CONCATENATE(F1157,G1157,H1157)</f>
        <v>203</v>
      </c>
      <c r="J1157" s="1" t="str">
        <f aca="false">_xlfn.IFS(AND(F1157&gt;=8,G1157&gt;=8,H1157&gt;=8),"CHAMPION",AND(F1157&gt;=6,G1157&gt;=7,H1157&gt;=6),"LOYAL CUSTOMER",AND(F1157&gt;=6,G1157&gt;=5,H1157&gt;=5),"POTENTIAL LOYALIST",AND(F1157&gt;=8,G1157&lt;=2,H1157&gt;=5),"NEW CUSTOMERS",AND(F1157&gt;=6,G1157&lt;=2,H1157&gt;=3),"PROMISING",AND(F1157&gt;=3,G1157&gt;=3,H1157&gt;=3),"NEED ATTENTION",AND(F1157&lt;=4,G1157&gt;=6,H1157&gt;=6),"AT RISK",AND(F1157&lt;=2,G1157&gt;=8,H1157&gt;=8),"CAN'T LOSE THEM",AND(F1157&lt;=2,G1157&lt;=2,H1157&lt;=2),"HIBERNATING",TRUE(),"Other")</f>
        <v>Other</v>
      </c>
      <c r="K1157" s="1" t="n">
        <f aca="false">RANK(E1157,$E$7:$E$4378)+COUNTIF($E$7:E1157,E1157)-1</f>
        <v>3010</v>
      </c>
    </row>
    <row r="1158" customFormat="false" ht="14.25" hidden="false" customHeight="true" outlineLevel="0" collapsed="false">
      <c r="A1158" s="51" t="n">
        <v>13888</v>
      </c>
      <c r="B1158" s="53" t="n">
        <v>40767.4256944444</v>
      </c>
      <c r="C1158" s="57" t="n">
        <f aca="false">INT($C$2)-INT(Table3[[#This Row],[Last Purchase Date]])</f>
        <v>120</v>
      </c>
      <c r="D1158" s="1" t="n">
        <v>2</v>
      </c>
      <c r="E1158" s="1" t="n">
        <v>605.63</v>
      </c>
      <c r="F1158" s="1" t="n">
        <f aca="false">ROUND((1-_xlfn.PERCENTRANK.INC($C$7:$C$4378,C1158))*9,0)</f>
        <v>3</v>
      </c>
      <c r="G1158" s="1" t="n">
        <f aca="false">ROUND(_xlfn.PERCENTRANK.INC($D$7:$D$4378,D1158)*9,0)</f>
        <v>3</v>
      </c>
      <c r="H1158" s="1" t="n">
        <f aca="false">ROUND(_xlfn.PERCENTRANK.INC($E$7:$E$4378,E1158)*9,0)</f>
        <v>4</v>
      </c>
      <c r="I1158" s="1" t="str">
        <f aca="false">CONCATENATE(F1158,G1158,H1158)</f>
        <v>334</v>
      </c>
      <c r="J1158" s="1" t="str">
        <f aca="false">_xlfn.IFS(AND(F1158&gt;=8,G1158&gt;=8,H1158&gt;=8),"CHAMPION",AND(F1158&gt;=6,G1158&gt;=7,H1158&gt;=6),"LOYAL CUSTOMER",AND(F1158&gt;=6,G1158&gt;=5,H1158&gt;=5),"POTENTIAL LOYALIST",AND(F1158&gt;=8,G1158&lt;=2,H1158&gt;=5),"NEW CUSTOMERS",AND(F1158&gt;=6,G1158&lt;=2,H1158&gt;=3),"PROMISING",AND(F1158&gt;=3,G1158&gt;=3,H1158&gt;=3),"NEED ATTENTION",AND(F1158&lt;=4,G1158&gt;=6,H1158&gt;=6),"AT RISK",AND(F1158&lt;=2,G1158&gt;=8,H1158&gt;=8),"CAN'T LOSE THEM",AND(F1158&lt;=2,G1158&lt;=2,H1158&lt;=2),"HIBERNATING",TRUE(),"Other")</f>
        <v>NEED ATTENTION</v>
      </c>
      <c r="K1158" s="1" t="n">
        <f aca="false">RANK(E1158,$E$7:$E$4378)+COUNTIF($E$7:E1158,E1158)-1</f>
        <v>2295</v>
      </c>
    </row>
    <row r="1159" customFormat="false" ht="14.25" hidden="false" customHeight="true" outlineLevel="0" collapsed="false">
      <c r="A1159" s="51" t="n">
        <v>13889</v>
      </c>
      <c r="B1159" s="53" t="n">
        <v>40794.3840277778</v>
      </c>
      <c r="C1159" s="57" t="n">
        <f aca="false">INT($C$2)-INT(Table3[[#This Row],[Last Purchase Date]])</f>
        <v>93</v>
      </c>
      <c r="D1159" s="1" t="n">
        <v>1</v>
      </c>
      <c r="E1159" s="1" t="n">
        <v>416.9</v>
      </c>
      <c r="F1159" s="1" t="n">
        <f aca="false">ROUND((1-_xlfn.PERCENTRANK.INC($C$7:$C$4378,C1159))*9,0)</f>
        <v>3</v>
      </c>
      <c r="G1159" s="1" t="n">
        <f aca="false">ROUND(_xlfn.PERCENTRANK.INC($D$7:$D$4378,D1159)*9,0)</f>
        <v>0</v>
      </c>
      <c r="H1159" s="1" t="n">
        <f aca="false">ROUND(_xlfn.PERCENTRANK.INC($E$7:$E$4378,E1159)*9,0)</f>
        <v>3</v>
      </c>
      <c r="I1159" s="1" t="str">
        <f aca="false">CONCATENATE(F1159,G1159,H1159)</f>
        <v>303</v>
      </c>
      <c r="J1159" s="1" t="str">
        <f aca="false">_xlfn.IFS(AND(F1159&gt;=8,G1159&gt;=8,H1159&gt;=8),"CHAMPION",AND(F1159&gt;=6,G1159&gt;=7,H1159&gt;=6),"LOYAL CUSTOMER",AND(F1159&gt;=6,G1159&gt;=5,H1159&gt;=5),"POTENTIAL LOYALIST",AND(F1159&gt;=8,G1159&lt;=2,H1159&gt;=5),"NEW CUSTOMERS",AND(F1159&gt;=6,G1159&lt;=2,H1159&gt;=3),"PROMISING",AND(F1159&gt;=3,G1159&gt;=3,H1159&gt;=3),"NEED ATTENTION",AND(F1159&lt;=4,G1159&gt;=6,H1159&gt;=6),"AT RISK",AND(F1159&lt;=2,G1159&gt;=8,H1159&gt;=8),"CAN'T LOSE THEM",AND(F1159&lt;=2,G1159&lt;=2,H1159&lt;=2),"HIBERNATING",TRUE(),"Other")</f>
        <v>Other</v>
      </c>
      <c r="K1159" s="1" t="n">
        <f aca="false">RANK(E1159,$E$7:$E$4378)+COUNTIF($E$7:E1159,E1159)-1</f>
        <v>2764</v>
      </c>
    </row>
    <row r="1160" customFormat="false" ht="14.25" hidden="false" customHeight="true" outlineLevel="0" collapsed="false">
      <c r="A1160" s="51" t="n">
        <v>13890</v>
      </c>
      <c r="B1160" s="53" t="n">
        <v>40885.65</v>
      </c>
      <c r="C1160" s="57" t="n">
        <f aca="false">INT($C$2)-INT(Table3[[#This Row],[Last Purchase Date]])</f>
        <v>2</v>
      </c>
      <c r="D1160" s="1" t="n">
        <v>14</v>
      </c>
      <c r="E1160" s="1" t="n">
        <v>1860.86</v>
      </c>
      <c r="F1160" s="1" t="n">
        <f aca="false">ROUND((1-_xlfn.PERCENTRANK.INC($C$7:$C$4378,C1160))*9,0)</f>
        <v>9</v>
      </c>
      <c r="G1160" s="1" t="n">
        <f aca="false">ROUND(_xlfn.PERCENTRANK.INC($D$7:$D$4378,D1160)*9,0)</f>
        <v>8</v>
      </c>
      <c r="H1160" s="1" t="n">
        <f aca="false">ROUND(_xlfn.PERCENTRANK.INC($E$7:$E$4378,E1160)*9,0)</f>
        <v>7</v>
      </c>
      <c r="I1160" s="1" t="str">
        <f aca="false">CONCATENATE(F1160,G1160,H1160)</f>
        <v>987</v>
      </c>
      <c r="J1160" s="1" t="str">
        <f aca="false">_xlfn.IFS(AND(F1160&gt;=8,G1160&gt;=8,H1160&gt;=8),"CHAMPION",AND(F1160&gt;=6,G1160&gt;=7,H1160&gt;=6),"LOYAL CUSTOMER",AND(F1160&gt;=6,G1160&gt;=5,H1160&gt;=5),"POTENTIAL LOYALIST",AND(F1160&gt;=8,G1160&lt;=2,H1160&gt;=5),"NEW CUSTOMERS",AND(F1160&gt;=6,G1160&lt;=2,H1160&gt;=3),"PROMISING",AND(F1160&gt;=3,G1160&gt;=3,H1160&gt;=3),"NEED ATTENTION",AND(F1160&lt;=4,G1160&gt;=6,H1160&gt;=6),"AT RISK",AND(F1160&lt;=2,G1160&gt;=8,H1160&gt;=8),"CAN'T LOSE THEM",AND(F1160&lt;=2,G1160&lt;=2,H1160&lt;=2),"HIBERNATING",TRUE(),"Other")</f>
        <v>LOYAL CUSTOMER</v>
      </c>
      <c r="K1160" s="1" t="n">
        <f aca="false">RANK(E1160,$E$7:$E$4378)+COUNTIF($E$7:E1160,E1160)-1</f>
        <v>943</v>
      </c>
    </row>
    <row r="1161" customFormat="false" ht="14.25" hidden="false" customHeight="true" outlineLevel="0" collapsed="false">
      <c r="A1161" s="51" t="n">
        <v>13892</v>
      </c>
      <c r="B1161" s="53" t="n">
        <v>40860.4930555556</v>
      </c>
      <c r="C1161" s="57" t="n">
        <f aca="false">INT($C$2)-INT(Table3[[#This Row],[Last Purchase Date]])</f>
        <v>27</v>
      </c>
      <c r="D1161" s="1" t="n">
        <v>4</v>
      </c>
      <c r="E1161" s="1" t="n">
        <v>632.97</v>
      </c>
      <c r="F1161" s="1" t="n">
        <f aca="false">ROUND((1-_xlfn.PERCENTRANK.INC($C$7:$C$4378,C1161))*9,0)</f>
        <v>6</v>
      </c>
      <c r="G1161" s="1" t="n">
        <f aca="false">ROUND(_xlfn.PERCENTRANK.INC($D$7:$D$4378,D1161)*9,0)</f>
        <v>5</v>
      </c>
      <c r="H1161" s="1" t="n">
        <f aca="false">ROUND(_xlfn.PERCENTRANK.INC($E$7:$E$4378,E1161)*9,0)</f>
        <v>4</v>
      </c>
      <c r="I1161" s="1" t="str">
        <f aca="false">CONCATENATE(F1161,G1161,H1161)</f>
        <v>654</v>
      </c>
      <c r="J1161" s="1" t="str">
        <f aca="false">_xlfn.IFS(AND(F1161&gt;=8,G1161&gt;=8,H1161&gt;=8),"CHAMPION",AND(F1161&gt;=6,G1161&gt;=7,H1161&gt;=6),"LOYAL CUSTOMER",AND(F1161&gt;=6,G1161&gt;=5,H1161&gt;=5),"POTENTIAL LOYALIST",AND(F1161&gt;=8,G1161&lt;=2,H1161&gt;=5),"NEW CUSTOMERS",AND(F1161&gt;=6,G1161&lt;=2,H1161&gt;=3),"PROMISING",AND(F1161&gt;=3,G1161&gt;=3,H1161&gt;=3),"NEED ATTENTION",AND(F1161&lt;=4,G1161&gt;=6,H1161&gt;=6),"AT RISK",AND(F1161&lt;=2,G1161&gt;=8,H1161&gt;=8),"CAN'T LOSE THEM",AND(F1161&lt;=2,G1161&lt;=2,H1161&lt;=2),"HIBERNATING",TRUE(),"Other")</f>
        <v>NEED ATTENTION</v>
      </c>
      <c r="K1161" s="1" t="n">
        <f aca="false">RANK(E1161,$E$7:$E$4378)+COUNTIF($E$7:E1161,E1161)-1</f>
        <v>2226</v>
      </c>
    </row>
    <row r="1162" customFormat="false" ht="14.25" hidden="false" customHeight="true" outlineLevel="0" collapsed="false">
      <c r="A1162" s="51" t="n">
        <v>13893</v>
      </c>
      <c r="B1162" s="53" t="n">
        <v>40589.4791666667</v>
      </c>
      <c r="C1162" s="57" t="n">
        <f aca="false">INT($C$2)-INT(Table3[[#This Row],[Last Purchase Date]])</f>
        <v>298</v>
      </c>
      <c r="D1162" s="1" t="n">
        <v>1</v>
      </c>
      <c r="E1162" s="1" t="n">
        <v>821.1</v>
      </c>
      <c r="F1162" s="1" t="n">
        <f aca="false">ROUND((1-_xlfn.PERCENTRANK.INC($C$7:$C$4378,C1162))*9,0)</f>
        <v>1</v>
      </c>
      <c r="G1162" s="1" t="n">
        <f aca="false">ROUND(_xlfn.PERCENTRANK.INC($D$7:$D$4378,D1162)*9,0)</f>
        <v>0</v>
      </c>
      <c r="H1162" s="1" t="n">
        <f aca="false">ROUND(_xlfn.PERCENTRANK.INC($E$7:$E$4378,E1162)*9,0)</f>
        <v>5</v>
      </c>
      <c r="I1162" s="1" t="str">
        <f aca="false">CONCATENATE(F1162,G1162,H1162)</f>
        <v>105</v>
      </c>
      <c r="J1162" s="1" t="str">
        <f aca="false">_xlfn.IFS(AND(F1162&gt;=8,G1162&gt;=8,H1162&gt;=8),"CHAMPION",AND(F1162&gt;=6,G1162&gt;=7,H1162&gt;=6),"LOYAL CUSTOMER",AND(F1162&gt;=6,G1162&gt;=5,H1162&gt;=5),"POTENTIAL LOYALIST",AND(F1162&gt;=8,G1162&lt;=2,H1162&gt;=5),"NEW CUSTOMERS",AND(F1162&gt;=6,G1162&lt;=2,H1162&gt;=3),"PROMISING",AND(F1162&gt;=3,G1162&gt;=3,H1162&gt;=3),"NEED ATTENTION",AND(F1162&lt;=4,G1162&gt;=6,H1162&gt;=6),"AT RISK",AND(F1162&lt;=2,G1162&gt;=8,H1162&gt;=8),"CAN'T LOSE THEM",AND(F1162&lt;=2,G1162&lt;=2,H1162&lt;=2),"HIBERNATING",TRUE(),"Other")</f>
        <v>Other</v>
      </c>
      <c r="K1162" s="1" t="n">
        <f aca="false">RANK(E1162,$E$7:$E$4378)+COUNTIF($E$7:E1162,E1162)-1</f>
        <v>1862</v>
      </c>
    </row>
    <row r="1163" customFormat="false" ht="14.25" hidden="false" customHeight="true" outlineLevel="0" collapsed="false">
      <c r="A1163" s="51" t="n">
        <v>13894</v>
      </c>
      <c r="B1163" s="53" t="n">
        <v>40864.5659722222</v>
      </c>
      <c r="C1163" s="57" t="n">
        <f aca="false">INT($C$2)-INT(Table3[[#This Row],[Last Purchase Date]])</f>
        <v>23</v>
      </c>
      <c r="D1163" s="1" t="n">
        <v>5</v>
      </c>
      <c r="E1163" s="1" t="n">
        <v>535.97</v>
      </c>
      <c r="F1163" s="1" t="n">
        <f aca="false">ROUND((1-_xlfn.PERCENTRANK.INC($C$7:$C$4378,C1163))*9,0)</f>
        <v>6</v>
      </c>
      <c r="G1163" s="1" t="n">
        <f aca="false">ROUND(_xlfn.PERCENTRANK.INC($D$7:$D$4378,D1163)*9,0)</f>
        <v>6</v>
      </c>
      <c r="H1163" s="1" t="n">
        <f aca="false">ROUND(_xlfn.PERCENTRANK.INC($E$7:$E$4378,E1163)*9,0)</f>
        <v>4</v>
      </c>
      <c r="I1163" s="1" t="str">
        <f aca="false">CONCATENATE(F1163,G1163,H1163)</f>
        <v>664</v>
      </c>
      <c r="J1163" s="1" t="str">
        <f aca="false">_xlfn.IFS(AND(F1163&gt;=8,G1163&gt;=8,H1163&gt;=8),"CHAMPION",AND(F1163&gt;=6,G1163&gt;=7,H1163&gt;=6),"LOYAL CUSTOMER",AND(F1163&gt;=6,G1163&gt;=5,H1163&gt;=5),"POTENTIAL LOYALIST",AND(F1163&gt;=8,G1163&lt;=2,H1163&gt;=5),"NEW CUSTOMERS",AND(F1163&gt;=6,G1163&lt;=2,H1163&gt;=3),"PROMISING",AND(F1163&gt;=3,G1163&gt;=3,H1163&gt;=3),"NEED ATTENTION",AND(F1163&lt;=4,G1163&gt;=6,H1163&gt;=6),"AT RISK",AND(F1163&lt;=2,G1163&gt;=8,H1163&gt;=8),"CAN'T LOSE THEM",AND(F1163&lt;=2,G1163&lt;=2,H1163&lt;=2),"HIBERNATING",TRUE(),"Other")</f>
        <v>NEED ATTENTION</v>
      </c>
      <c r="K1163" s="1" t="n">
        <f aca="false">RANK(E1163,$E$7:$E$4378)+COUNTIF($E$7:E1163,E1163)-1</f>
        <v>2468</v>
      </c>
    </row>
    <row r="1164" customFormat="false" ht="14.25" hidden="false" customHeight="true" outlineLevel="0" collapsed="false">
      <c r="A1164" s="51" t="n">
        <v>13895</v>
      </c>
      <c r="B1164" s="53" t="n">
        <v>40865.71875</v>
      </c>
      <c r="C1164" s="57" t="n">
        <f aca="false">INT($C$2)-INT(Table3[[#This Row],[Last Purchase Date]])</f>
        <v>22</v>
      </c>
      <c r="D1164" s="1" t="n">
        <v>5</v>
      </c>
      <c r="E1164" s="1" t="n">
        <v>2588.12</v>
      </c>
      <c r="F1164" s="1" t="n">
        <f aca="false">ROUND((1-_xlfn.PERCENTRANK.INC($C$7:$C$4378,C1164))*9,0)</f>
        <v>6</v>
      </c>
      <c r="G1164" s="1" t="n">
        <f aca="false">ROUND(_xlfn.PERCENTRANK.INC($D$7:$D$4378,D1164)*9,0)</f>
        <v>6</v>
      </c>
      <c r="H1164" s="1" t="n">
        <f aca="false">ROUND(_xlfn.PERCENTRANK.INC($E$7:$E$4378,E1164)*9,0)</f>
        <v>8</v>
      </c>
      <c r="I1164" s="1" t="str">
        <f aca="false">CONCATENATE(F1164,G1164,H1164)</f>
        <v>668</v>
      </c>
      <c r="J1164" s="1" t="str">
        <f aca="false">_xlfn.IFS(AND(F1164&gt;=8,G1164&gt;=8,H1164&gt;=8),"CHAMPION",AND(F1164&gt;=6,G1164&gt;=7,H1164&gt;=6),"LOYAL CUSTOMER",AND(F1164&gt;=6,G1164&gt;=5,H1164&gt;=5),"POTENTIAL LOYALIST",AND(F1164&gt;=8,G1164&lt;=2,H1164&gt;=5),"NEW CUSTOMERS",AND(F1164&gt;=6,G1164&lt;=2,H1164&gt;=3),"PROMISING",AND(F1164&gt;=3,G1164&gt;=3,H1164&gt;=3),"NEED ATTENTION",AND(F1164&lt;=4,G1164&gt;=6,H1164&gt;=6),"AT RISK",AND(F1164&lt;=2,G1164&gt;=8,H1164&gt;=8),"CAN'T LOSE THEM",AND(F1164&lt;=2,G1164&lt;=2,H1164&lt;=2),"HIBERNATING",TRUE(),"Other")</f>
        <v>POTENTIAL LOYALIST</v>
      </c>
      <c r="K1164" s="1" t="n">
        <f aca="false">RANK(E1164,$E$7:$E$4378)+COUNTIF($E$7:E1164,E1164)-1</f>
        <v>653</v>
      </c>
    </row>
    <row r="1165" customFormat="false" ht="14.25" hidden="false" customHeight="true" outlineLevel="0" collapsed="false">
      <c r="A1165" s="51" t="n">
        <v>13897</v>
      </c>
      <c r="B1165" s="53" t="n">
        <v>40836.6041666667</v>
      </c>
      <c r="C1165" s="57" t="n">
        <f aca="false">INT($C$2)-INT(Table3[[#This Row],[Last Purchase Date]])</f>
        <v>51</v>
      </c>
      <c r="D1165" s="1" t="n">
        <v>1</v>
      </c>
      <c r="E1165" s="1" t="n">
        <v>311.16</v>
      </c>
      <c r="F1165" s="1" t="n">
        <f aca="false">ROUND((1-_xlfn.PERCENTRANK.INC($C$7:$C$4378,C1165))*9,0)</f>
        <v>5</v>
      </c>
      <c r="G1165" s="1" t="n">
        <f aca="false">ROUND(_xlfn.PERCENTRANK.INC($D$7:$D$4378,D1165)*9,0)</f>
        <v>0</v>
      </c>
      <c r="H1165" s="1" t="n">
        <f aca="false">ROUND(_xlfn.PERCENTRANK.INC($E$7:$E$4378,E1165)*9,0)</f>
        <v>2</v>
      </c>
      <c r="I1165" s="1" t="str">
        <f aca="false">CONCATENATE(F1165,G1165,H1165)</f>
        <v>502</v>
      </c>
      <c r="J1165" s="1" t="str">
        <f aca="false">_xlfn.IFS(AND(F1165&gt;=8,G1165&gt;=8,H1165&gt;=8),"CHAMPION",AND(F1165&gt;=6,G1165&gt;=7,H1165&gt;=6),"LOYAL CUSTOMER",AND(F1165&gt;=6,G1165&gt;=5,H1165&gt;=5),"POTENTIAL LOYALIST",AND(F1165&gt;=8,G1165&lt;=2,H1165&gt;=5),"NEW CUSTOMERS",AND(F1165&gt;=6,G1165&lt;=2,H1165&gt;=3),"PROMISING",AND(F1165&gt;=3,G1165&gt;=3,H1165&gt;=3),"NEED ATTENTION",AND(F1165&lt;=4,G1165&gt;=6,H1165&gt;=6),"AT RISK",AND(F1165&lt;=2,G1165&gt;=8,H1165&gt;=8),"CAN'T LOSE THEM",AND(F1165&lt;=2,G1165&lt;=2,H1165&lt;=2),"HIBERNATING",TRUE(),"Other")</f>
        <v>Other</v>
      </c>
      <c r="K1165" s="1" t="n">
        <f aca="false">RANK(E1165,$E$7:$E$4378)+COUNTIF($E$7:E1165,E1165)-1</f>
        <v>3189</v>
      </c>
    </row>
    <row r="1166" customFormat="false" ht="14.25" hidden="false" customHeight="true" outlineLevel="0" collapsed="false">
      <c r="A1166" s="51" t="n">
        <v>13898</v>
      </c>
      <c r="B1166" s="53" t="n">
        <v>40561.4361111111</v>
      </c>
      <c r="C1166" s="57" t="n">
        <f aca="false">INT($C$2)-INT(Table3[[#This Row],[Last Purchase Date]])</f>
        <v>326</v>
      </c>
      <c r="D1166" s="1" t="n">
        <v>1</v>
      </c>
      <c r="E1166" s="1" t="n">
        <v>155.93</v>
      </c>
      <c r="F1166" s="1" t="n">
        <f aca="false">ROUND((1-_xlfn.PERCENTRANK.INC($C$7:$C$4378,C1166))*9,0)</f>
        <v>0</v>
      </c>
      <c r="G1166" s="1" t="n">
        <f aca="false">ROUND(_xlfn.PERCENTRANK.INC($D$7:$D$4378,D1166)*9,0)</f>
        <v>0</v>
      </c>
      <c r="H1166" s="1" t="n">
        <f aca="false">ROUND(_xlfn.PERCENTRANK.INC($E$7:$E$4378,E1166)*9,0)</f>
        <v>1</v>
      </c>
      <c r="I1166" s="1" t="str">
        <f aca="false">CONCATENATE(F1166,G1166,H1166)</f>
        <v>001</v>
      </c>
      <c r="J1166" s="1" t="str">
        <f aca="false">_xlfn.IFS(AND(F1166&gt;=8,G1166&gt;=8,H1166&gt;=8),"CHAMPION",AND(F1166&gt;=6,G1166&gt;=7,H1166&gt;=6),"LOYAL CUSTOMER",AND(F1166&gt;=6,G1166&gt;=5,H1166&gt;=5),"POTENTIAL LOYALIST",AND(F1166&gt;=8,G1166&lt;=2,H1166&gt;=5),"NEW CUSTOMERS",AND(F1166&gt;=6,G1166&lt;=2,H1166&gt;=3),"PROMISING",AND(F1166&gt;=3,G1166&gt;=3,H1166&gt;=3),"NEED ATTENTION",AND(F1166&lt;=4,G1166&gt;=6,H1166&gt;=6),"AT RISK",AND(F1166&lt;=2,G1166&gt;=8,H1166&gt;=8),"CAN'T LOSE THEM",AND(F1166&lt;=2,G1166&lt;=2,H1166&lt;=2),"HIBERNATING",TRUE(),"Other")</f>
        <v>HIBERNATING</v>
      </c>
      <c r="K1166" s="1" t="n">
        <f aca="false">RANK(E1166,$E$7:$E$4378)+COUNTIF($E$7:E1166,E1166)-1</f>
        <v>3880</v>
      </c>
    </row>
    <row r="1167" customFormat="false" ht="14.25" hidden="false" customHeight="true" outlineLevel="0" collapsed="false">
      <c r="A1167" s="51" t="n">
        <v>13899</v>
      </c>
      <c r="B1167" s="53" t="n">
        <v>40870.5694444445</v>
      </c>
      <c r="C1167" s="57" t="n">
        <f aca="false">INT($C$2)-INT(Table3[[#This Row],[Last Purchase Date]])</f>
        <v>17</v>
      </c>
      <c r="D1167" s="1" t="n">
        <v>2</v>
      </c>
      <c r="E1167" s="1" t="n">
        <v>388.52</v>
      </c>
      <c r="F1167" s="1" t="n">
        <f aca="false">ROUND((1-_xlfn.PERCENTRANK.INC($C$7:$C$4378,C1167))*9,0)</f>
        <v>7</v>
      </c>
      <c r="G1167" s="1" t="n">
        <f aca="false">ROUND(_xlfn.PERCENTRANK.INC($D$7:$D$4378,D1167)*9,0)</f>
        <v>3</v>
      </c>
      <c r="H1167" s="1" t="n">
        <f aca="false">ROUND(_xlfn.PERCENTRANK.INC($E$7:$E$4378,E1167)*9,0)</f>
        <v>3</v>
      </c>
      <c r="I1167" s="1" t="str">
        <f aca="false">CONCATENATE(F1167,G1167,H1167)</f>
        <v>733</v>
      </c>
      <c r="J1167" s="1" t="str">
        <f aca="false">_xlfn.IFS(AND(F1167&gt;=8,G1167&gt;=8,H1167&gt;=8),"CHAMPION",AND(F1167&gt;=6,G1167&gt;=7,H1167&gt;=6),"LOYAL CUSTOMER",AND(F1167&gt;=6,G1167&gt;=5,H1167&gt;=5),"POTENTIAL LOYALIST",AND(F1167&gt;=8,G1167&lt;=2,H1167&gt;=5),"NEW CUSTOMERS",AND(F1167&gt;=6,G1167&lt;=2,H1167&gt;=3),"PROMISING",AND(F1167&gt;=3,G1167&gt;=3,H1167&gt;=3),"NEED ATTENTION",AND(F1167&lt;=4,G1167&gt;=6,H1167&gt;=6),"AT RISK",AND(F1167&lt;=2,G1167&gt;=8,H1167&gt;=8),"CAN'T LOSE THEM",AND(F1167&lt;=2,G1167&lt;=2,H1167&lt;=2),"HIBERNATING",TRUE(),"Other")</f>
        <v>NEED ATTENTION</v>
      </c>
      <c r="K1167" s="1" t="n">
        <f aca="false">RANK(E1167,$E$7:$E$4378)+COUNTIF($E$7:E1167,E1167)-1</f>
        <v>2855</v>
      </c>
    </row>
    <row r="1168" customFormat="false" ht="14.25" hidden="false" customHeight="true" outlineLevel="0" collapsed="false">
      <c r="A1168" s="51" t="n">
        <v>13900</v>
      </c>
      <c r="B1168" s="53" t="n">
        <v>40703.8097222222</v>
      </c>
      <c r="C1168" s="57" t="n">
        <f aca="false">INT($C$2)-INT(Table3[[#This Row],[Last Purchase Date]])</f>
        <v>184</v>
      </c>
      <c r="D1168" s="1" t="n">
        <v>3</v>
      </c>
      <c r="E1168" s="1" t="n">
        <v>740.95</v>
      </c>
      <c r="F1168" s="1" t="n">
        <f aca="false">ROUND((1-_xlfn.PERCENTRANK.INC($C$7:$C$4378,C1168))*9,0)</f>
        <v>2</v>
      </c>
      <c r="G1168" s="1" t="n">
        <f aca="false">ROUND(_xlfn.PERCENTRANK.INC($D$7:$D$4378,D1168)*9,0)</f>
        <v>4</v>
      </c>
      <c r="H1168" s="1" t="n">
        <f aca="false">ROUND(_xlfn.PERCENTRANK.INC($E$7:$E$4378,E1168)*9,0)</f>
        <v>5</v>
      </c>
      <c r="I1168" s="1" t="str">
        <f aca="false">CONCATENATE(F1168,G1168,H1168)</f>
        <v>245</v>
      </c>
      <c r="J1168" s="1" t="str">
        <f aca="false">_xlfn.IFS(AND(F1168&gt;=8,G1168&gt;=8,H1168&gt;=8),"CHAMPION",AND(F1168&gt;=6,G1168&gt;=7,H1168&gt;=6),"LOYAL CUSTOMER",AND(F1168&gt;=6,G1168&gt;=5,H1168&gt;=5),"POTENTIAL LOYALIST",AND(F1168&gt;=8,G1168&lt;=2,H1168&gt;=5),"NEW CUSTOMERS",AND(F1168&gt;=6,G1168&lt;=2,H1168&gt;=3),"PROMISING",AND(F1168&gt;=3,G1168&gt;=3,H1168&gt;=3),"NEED ATTENTION",AND(F1168&lt;=4,G1168&gt;=6,H1168&gt;=6),"AT RISK",AND(F1168&lt;=2,G1168&gt;=8,H1168&gt;=8),"CAN'T LOSE THEM",AND(F1168&lt;=2,G1168&lt;=2,H1168&lt;=2),"HIBERNATING",TRUE(),"Other")</f>
        <v>Other</v>
      </c>
      <c r="K1168" s="1" t="n">
        <f aca="false">RANK(E1168,$E$7:$E$4378)+COUNTIF($E$7:E1168,E1168)-1</f>
        <v>1990</v>
      </c>
    </row>
    <row r="1169" customFormat="false" ht="14.25" hidden="false" customHeight="true" outlineLevel="0" collapsed="false">
      <c r="A1169" s="51" t="n">
        <v>13901</v>
      </c>
      <c r="B1169" s="53" t="n">
        <v>40814.6166666667</v>
      </c>
      <c r="C1169" s="57" t="n">
        <f aca="false">INT($C$2)-INT(Table3[[#This Row],[Last Purchase Date]])</f>
        <v>73</v>
      </c>
      <c r="D1169" s="1" t="n">
        <v>5</v>
      </c>
      <c r="E1169" s="1" t="n">
        <v>2867.2</v>
      </c>
      <c r="F1169" s="1" t="n">
        <f aca="false">ROUND((1-_xlfn.PERCENTRANK.INC($C$7:$C$4378,C1169))*9,0)</f>
        <v>4</v>
      </c>
      <c r="G1169" s="1" t="n">
        <f aca="false">ROUND(_xlfn.PERCENTRANK.INC($D$7:$D$4378,D1169)*9,0)</f>
        <v>6</v>
      </c>
      <c r="H1169" s="1" t="n">
        <f aca="false">ROUND(_xlfn.PERCENTRANK.INC($E$7:$E$4378,E1169)*9,0)</f>
        <v>8</v>
      </c>
      <c r="I1169" s="1" t="str">
        <f aca="false">CONCATENATE(F1169,G1169,H1169)</f>
        <v>468</v>
      </c>
      <c r="J1169" s="1" t="str">
        <f aca="false">_xlfn.IFS(AND(F1169&gt;=8,G1169&gt;=8,H1169&gt;=8),"CHAMPION",AND(F1169&gt;=6,G1169&gt;=7,H1169&gt;=6),"LOYAL CUSTOMER",AND(F1169&gt;=6,G1169&gt;=5,H1169&gt;=5),"POTENTIAL LOYALIST",AND(F1169&gt;=8,G1169&lt;=2,H1169&gt;=5),"NEW CUSTOMERS",AND(F1169&gt;=6,G1169&lt;=2,H1169&gt;=3),"PROMISING",AND(F1169&gt;=3,G1169&gt;=3,H1169&gt;=3),"NEED ATTENTION",AND(F1169&lt;=4,G1169&gt;=6,H1169&gt;=6),"AT RISK",AND(F1169&lt;=2,G1169&gt;=8,H1169&gt;=8),"CAN'T LOSE THEM",AND(F1169&lt;=2,G1169&lt;=2,H1169&lt;=2),"HIBERNATING",TRUE(),"Other")</f>
        <v>NEED ATTENTION</v>
      </c>
      <c r="K1169" s="1" t="n">
        <f aca="false">RANK(E1169,$E$7:$E$4378)+COUNTIF($E$7:E1169,E1169)-1</f>
        <v>569</v>
      </c>
    </row>
    <row r="1170" customFormat="false" ht="14.25" hidden="false" customHeight="true" outlineLevel="0" collapsed="false">
      <c r="A1170" s="51" t="n">
        <v>13904</v>
      </c>
      <c r="B1170" s="53" t="n">
        <v>40849.5701388889</v>
      </c>
      <c r="C1170" s="57" t="n">
        <f aca="false">INT($C$2)-INT(Table3[[#This Row],[Last Purchase Date]])</f>
        <v>38</v>
      </c>
      <c r="D1170" s="1" t="n">
        <v>2</v>
      </c>
      <c r="E1170" s="1" t="n">
        <v>332.64</v>
      </c>
      <c r="F1170" s="1" t="n">
        <f aca="false">ROUND((1-_xlfn.PERCENTRANK.INC($C$7:$C$4378,C1170))*9,0)</f>
        <v>5</v>
      </c>
      <c r="G1170" s="1" t="n">
        <f aca="false">ROUND(_xlfn.PERCENTRANK.INC($D$7:$D$4378,D1170)*9,0)</f>
        <v>3</v>
      </c>
      <c r="H1170" s="1" t="n">
        <f aca="false">ROUND(_xlfn.PERCENTRANK.INC($E$7:$E$4378,E1170)*9,0)</f>
        <v>3</v>
      </c>
      <c r="I1170" s="1" t="str">
        <f aca="false">CONCATENATE(F1170,G1170,H1170)</f>
        <v>533</v>
      </c>
      <c r="J1170" s="1" t="str">
        <f aca="false">_xlfn.IFS(AND(F1170&gt;=8,G1170&gt;=8,H1170&gt;=8),"CHAMPION",AND(F1170&gt;=6,G1170&gt;=7,H1170&gt;=6),"LOYAL CUSTOMER",AND(F1170&gt;=6,G1170&gt;=5,H1170&gt;=5),"POTENTIAL LOYALIST",AND(F1170&gt;=8,G1170&lt;=2,H1170&gt;=5),"NEW CUSTOMERS",AND(F1170&gt;=6,G1170&lt;=2,H1170&gt;=3),"PROMISING",AND(F1170&gt;=3,G1170&gt;=3,H1170&gt;=3),"NEED ATTENTION",AND(F1170&lt;=4,G1170&gt;=6,H1170&gt;=6),"AT RISK",AND(F1170&lt;=2,G1170&gt;=8,H1170&gt;=8),"CAN'T LOSE THEM",AND(F1170&lt;=2,G1170&lt;=2,H1170&lt;=2),"HIBERNATING",TRUE(),"Other")</f>
        <v>NEED ATTENTION</v>
      </c>
      <c r="K1170" s="1" t="n">
        <f aca="false">RANK(E1170,$E$7:$E$4378)+COUNTIF($E$7:E1170,E1170)-1</f>
        <v>3082</v>
      </c>
    </row>
    <row r="1171" customFormat="false" ht="14.25" hidden="false" customHeight="true" outlineLevel="0" collapsed="false">
      <c r="A1171" s="51" t="n">
        <v>13908</v>
      </c>
      <c r="B1171" s="53" t="n">
        <v>40807.4923611111</v>
      </c>
      <c r="C1171" s="57" t="n">
        <f aca="false">INT($C$2)-INT(Table3[[#This Row],[Last Purchase Date]])</f>
        <v>80</v>
      </c>
      <c r="D1171" s="1" t="n">
        <v>5</v>
      </c>
      <c r="E1171" s="1" t="n">
        <v>2347.05</v>
      </c>
      <c r="F1171" s="1" t="n">
        <f aca="false">ROUND((1-_xlfn.PERCENTRANK.INC($C$7:$C$4378,C1171))*9,0)</f>
        <v>3</v>
      </c>
      <c r="G1171" s="1" t="n">
        <f aca="false">ROUND(_xlfn.PERCENTRANK.INC($D$7:$D$4378,D1171)*9,0)</f>
        <v>6</v>
      </c>
      <c r="H1171" s="1" t="n">
        <f aca="false">ROUND(_xlfn.PERCENTRANK.INC($E$7:$E$4378,E1171)*9,0)</f>
        <v>8</v>
      </c>
      <c r="I1171" s="1" t="str">
        <f aca="false">CONCATENATE(F1171,G1171,H1171)</f>
        <v>368</v>
      </c>
      <c r="J1171" s="1" t="str">
        <f aca="false">_xlfn.IFS(AND(F1171&gt;=8,G1171&gt;=8,H1171&gt;=8),"CHAMPION",AND(F1171&gt;=6,G1171&gt;=7,H1171&gt;=6),"LOYAL CUSTOMER",AND(F1171&gt;=6,G1171&gt;=5,H1171&gt;=5),"POTENTIAL LOYALIST",AND(F1171&gt;=8,G1171&lt;=2,H1171&gt;=5),"NEW CUSTOMERS",AND(F1171&gt;=6,G1171&lt;=2,H1171&gt;=3),"PROMISING",AND(F1171&gt;=3,G1171&gt;=3,H1171&gt;=3),"NEED ATTENTION",AND(F1171&lt;=4,G1171&gt;=6,H1171&gt;=6),"AT RISK",AND(F1171&lt;=2,G1171&gt;=8,H1171&gt;=8),"CAN'T LOSE THEM",AND(F1171&lt;=2,G1171&lt;=2,H1171&lt;=2),"HIBERNATING",TRUE(),"Other")</f>
        <v>NEED ATTENTION</v>
      </c>
      <c r="K1171" s="1" t="n">
        <f aca="false">RANK(E1171,$E$7:$E$4378)+COUNTIF($E$7:E1171,E1171)-1</f>
        <v>728</v>
      </c>
    </row>
    <row r="1172" customFormat="false" ht="14.25" hidden="false" customHeight="true" outlineLevel="0" collapsed="false">
      <c r="A1172" s="51" t="n">
        <v>13911</v>
      </c>
      <c r="B1172" s="53" t="n">
        <v>40829.6548611111</v>
      </c>
      <c r="C1172" s="57" t="n">
        <f aca="false">INT($C$2)-INT(Table3[[#This Row],[Last Purchase Date]])</f>
        <v>58</v>
      </c>
      <c r="D1172" s="1" t="n">
        <v>9</v>
      </c>
      <c r="E1172" s="1" t="n">
        <v>2580.91</v>
      </c>
      <c r="F1172" s="1" t="n">
        <f aca="false">ROUND((1-_xlfn.PERCENTRANK.INC($C$7:$C$4378,C1172))*9,0)</f>
        <v>4</v>
      </c>
      <c r="G1172" s="1" t="n">
        <f aca="false">ROUND(_xlfn.PERCENTRANK.INC($D$7:$D$4378,D1172)*9,0)</f>
        <v>8</v>
      </c>
      <c r="H1172" s="1" t="n">
        <f aca="false">ROUND(_xlfn.PERCENTRANK.INC($E$7:$E$4378,E1172)*9,0)</f>
        <v>8</v>
      </c>
      <c r="I1172" s="1" t="str">
        <f aca="false">CONCATENATE(F1172,G1172,H1172)</f>
        <v>488</v>
      </c>
      <c r="J1172" s="1" t="str">
        <f aca="false">_xlfn.IFS(AND(F1172&gt;=8,G1172&gt;=8,H1172&gt;=8),"CHAMPION",AND(F1172&gt;=6,G1172&gt;=7,H1172&gt;=6),"LOYAL CUSTOMER",AND(F1172&gt;=6,G1172&gt;=5,H1172&gt;=5),"POTENTIAL LOYALIST",AND(F1172&gt;=8,G1172&lt;=2,H1172&gt;=5),"NEW CUSTOMERS",AND(F1172&gt;=6,G1172&lt;=2,H1172&gt;=3),"PROMISING",AND(F1172&gt;=3,G1172&gt;=3,H1172&gt;=3),"NEED ATTENTION",AND(F1172&lt;=4,G1172&gt;=6,H1172&gt;=6),"AT RISK",AND(F1172&lt;=2,G1172&gt;=8,H1172&gt;=8),"CAN'T LOSE THEM",AND(F1172&lt;=2,G1172&lt;=2,H1172&lt;=2),"HIBERNATING",TRUE(),"Other")</f>
        <v>NEED ATTENTION</v>
      </c>
      <c r="K1172" s="1" t="n">
        <f aca="false">RANK(E1172,$E$7:$E$4378)+COUNTIF($E$7:E1172,E1172)-1</f>
        <v>657</v>
      </c>
    </row>
    <row r="1173" customFormat="false" ht="14.25" hidden="false" customHeight="true" outlineLevel="0" collapsed="false">
      <c r="A1173" s="51" t="n">
        <v>13914</v>
      </c>
      <c r="B1173" s="53" t="n">
        <v>40883.4541666667</v>
      </c>
      <c r="C1173" s="57" t="n">
        <f aca="false">INT($C$2)-INT(Table3[[#This Row],[Last Purchase Date]])</f>
        <v>4</v>
      </c>
      <c r="D1173" s="1" t="n">
        <v>3</v>
      </c>
      <c r="E1173" s="1" t="n">
        <v>613.95</v>
      </c>
      <c r="F1173" s="1" t="n">
        <f aca="false">ROUND((1-_xlfn.PERCENTRANK.INC($C$7:$C$4378,C1173))*9,0)</f>
        <v>8</v>
      </c>
      <c r="G1173" s="1" t="n">
        <f aca="false">ROUND(_xlfn.PERCENTRANK.INC($D$7:$D$4378,D1173)*9,0)</f>
        <v>4</v>
      </c>
      <c r="H1173" s="1" t="n">
        <f aca="false">ROUND(_xlfn.PERCENTRANK.INC($E$7:$E$4378,E1173)*9,0)</f>
        <v>4</v>
      </c>
      <c r="I1173" s="1" t="str">
        <f aca="false">CONCATENATE(F1173,G1173,H1173)</f>
        <v>844</v>
      </c>
      <c r="J1173" s="1" t="str">
        <f aca="false">_xlfn.IFS(AND(F1173&gt;=8,G1173&gt;=8,H1173&gt;=8),"CHAMPION",AND(F1173&gt;=6,G1173&gt;=7,H1173&gt;=6),"LOYAL CUSTOMER",AND(F1173&gt;=6,G1173&gt;=5,H1173&gt;=5),"POTENTIAL LOYALIST",AND(F1173&gt;=8,G1173&lt;=2,H1173&gt;=5),"NEW CUSTOMERS",AND(F1173&gt;=6,G1173&lt;=2,H1173&gt;=3),"PROMISING",AND(F1173&gt;=3,G1173&gt;=3,H1173&gt;=3),"NEED ATTENTION",AND(F1173&lt;=4,G1173&gt;=6,H1173&gt;=6),"AT RISK",AND(F1173&lt;=2,G1173&gt;=8,H1173&gt;=8),"CAN'T LOSE THEM",AND(F1173&lt;=2,G1173&lt;=2,H1173&lt;=2),"HIBERNATING",TRUE(),"Other")</f>
        <v>NEED ATTENTION</v>
      </c>
      <c r="K1173" s="1" t="n">
        <f aca="false">RANK(E1173,$E$7:$E$4378)+COUNTIF($E$7:E1173,E1173)-1</f>
        <v>2273</v>
      </c>
    </row>
    <row r="1174" customFormat="false" ht="14.25" hidden="false" customHeight="true" outlineLevel="0" collapsed="false">
      <c r="A1174" s="51" t="n">
        <v>13917</v>
      </c>
      <c r="B1174" s="53" t="n">
        <v>40837.4138888889</v>
      </c>
      <c r="C1174" s="57" t="n">
        <f aca="false">INT($C$2)-INT(Table3[[#This Row],[Last Purchase Date]])</f>
        <v>50</v>
      </c>
      <c r="D1174" s="1" t="n">
        <v>2</v>
      </c>
      <c r="E1174" s="1" t="n">
        <v>272.04</v>
      </c>
      <c r="F1174" s="1" t="n">
        <f aca="false">ROUND((1-_xlfn.PERCENTRANK.INC($C$7:$C$4378,C1174))*9,0)</f>
        <v>5</v>
      </c>
      <c r="G1174" s="1" t="n">
        <f aca="false">ROUND(_xlfn.PERCENTRANK.INC($D$7:$D$4378,D1174)*9,0)</f>
        <v>3</v>
      </c>
      <c r="H1174" s="1" t="n">
        <f aca="false">ROUND(_xlfn.PERCENTRANK.INC($E$7:$E$4378,E1174)*9,0)</f>
        <v>2</v>
      </c>
      <c r="I1174" s="1" t="str">
        <f aca="false">CONCATENATE(F1174,G1174,H1174)</f>
        <v>532</v>
      </c>
      <c r="J1174" s="1" t="str">
        <f aca="false">_xlfn.IFS(AND(F1174&gt;=8,G1174&gt;=8,H1174&gt;=8),"CHAMPION",AND(F1174&gt;=6,G1174&gt;=7,H1174&gt;=6),"LOYAL CUSTOMER",AND(F1174&gt;=6,G1174&gt;=5,H1174&gt;=5),"POTENTIAL LOYALIST",AND(F1174&gt;=8,G1174&lt;=2,H1174&gt;=5),"NEW CUSTOMERS",AND(F1174&gt;=6,G1174&lt;=2,H1174&gt;=3),"PROMISING",AND(F1174&gt;=3,G1174&gt;=3,H1174&gt;=3),"NEED ATTENTION",AND(F1174&lt;=4,G1174&gt;=6,H1174&gt;=6),"AT RISK",AND(F1174&lt;=2,G1174&gt;=8,H1174&gt;=8),"CAN'T LOSE THEM",AND(F1174&lt;=2,G1174&lt;=2,H1174&lt;=2),"HIBERNATING",TRUE(),"Other")</f>
        <v>Other</v>
      </c>
      <c r="K1174" s="1" t="n">
        <f aca="false">RANK(E1174,$E$7:$E$4378)+COUNTIF($E$7:E1174,E1174)-1</f>
        <v>3353</v>
      </c>
    </row>
    <row r="1175" customFormat="false" ht="14.25" hidden="false" customHeight="true" outlineLevel="0" collapsed="false">
      <c r="A1175" s="51" t="n">
        <v>13918</v>
      </c>
      <c r="B1175" s="53" t="n">
        <v>40837.5173611111</v>
      </c>
      <c r="C1175" s="57" t="n">
        <f aca="false">INT($C$2)-INT(Table3[[#This Row],[Last Purchase Date]])</f>
        <v>50</v>
      </c>
      <c r="D1175" s="1" t="n">
        <v>2</v>
      </c>
      <c r="E1175" s="1" t="n">
        <v>1212.84</v>
      </c>
      <c r="F1175" s="1" t="n">
        <f aca="false">ROUND((1-_xlfn.PERCENTRANK.INC($C$7:$C$4378,C1175))*9,0)</f>
        <v>5</v>
      </c>
      <c r="G1175" s="1" t="n">
        <f aca="false">ROUND(_xlfn.PERCENTRANK.INC($D$7:$D$4378,D1175)*9,0)</f>
        <v>3</v>
      </c>
      <c r="H1175" s="1" t="n">
        <f aca="false">ROUND(_xlfn.PERCENTRANK.INC($E$7:$E$4378,E1175)*9,0)</f>
        <v>6</v>
      </c>
      <c r="I1175" s="1" t="str">
        <f aca="false">CONCATENATE(F1175,G1175,H1175)</f>
        <v>536</v>
      </c>
      <c r="J1175" s="1" t="str">
        <f aca="false">_xlfn.IFS(AND(F1175&gt;=8,G1175&gt;=8,H1175&gt;=8),"CHAMPION",AND(F1175&gt;=6,G1175&gt;=7,H1175&gt;=6),"LOYAL CUSTOMER",AND(F1175&gt;=6,G1175&gt;=5,H1175&gt;=5),"POTENTIAL LOYALIST",AND(F1175&gt;=8,G1175&lt;=2,H1175&gt;=5),"NEW CUSTOMERS",AND(F1175&gt;=6,G1175&lt;=2,H1175&gt;=3),"PROMISING",AND(F1175&gt;=3,G1175&gt;=3,H1175&gt;=3),"NEED ATTENTION",AND(F1175&lt;=4,G1175&gt;=6,H1175&gt;=6),"AT RISK",AND(F1175&lt;=2,G1175&gt;=8,H1175&gt;=8),"CAN'T LOSE THEM",AND(F1175&lt;=2,G1175&lt;=2,H1175&lt;=2),"HIBERNATING",TRUE(),"Other")</f>
        <v>NEED ATTENTION</v>
      </c>
      <c r="K1175" s="1" t="n">
        <f aca="false">RANK(E1175,$E$7:$E$4378)+COUNTIF($E$7:E1175,E1175)-1</f>
        <v>1402</v>
      </c>
    </row>
    <row r="1176" customFormat="false" ht="14.25" hidden="false" customHeight="true" outlineLevel="0" collapsed="false">
      <c r="A1176" s="51" t="n">
        <v>13919</v>
      </c>
      <c r="B1176" s="53" t="n">
        <v>40833.6416666667</v>
      </c>
      <c r="C1176" s="57" t="n">
        <f aca="false">INT($C$2)-INT(Table3[[#This Row],[Last Purchase Date]])</f>
        <v>54</v>
      </c>
      <c r="D1176" s="1" t="n">
        <v>3</v>
      </c>
      <c r="E1176" s="1" t="n">
        <v>350.16</v>
      </c>
      <c r="F1176" s="1" t="n">
        <f aca="false">ROUND((1-_xlfn.PERCENTRANK.INC($C$7:$C$4378,C1176))*9,0)</f>
        <v>4</v>
      </c>
      <c r="G1176" s="1" t="n">
        <f aca="false">ROUND(_xlfn.PERCENTRANK.INC($D$7:$D$4378,D1176)*9,0)</f>
        <v>4</v>
      </c>
      <c r="H1176" s="1" t="n">
        <f aca="false">ROUND(_xlfn.PERCENTRANK.INC($E$7:$E$4378,E1176)*9,0)</f>
        <v>3</v>
      </c>
      <c r="I1176" s="1" t="str">
        <f aca="false">CONCATENATE(F1176,G1176,H1176)</f>
        <v>443</v>
      </c>
      <c r="J1176" s="1" t="str">
        <f aca="false">_xlfn.IFS(AND(F1176&gt;=8,G1176&gt;=8,H1176&gt;=8),"CHAMPION",AND(F1176&gt;=6,G1176&gt;=7,H1176&gt;=6),"LOYAL CUSTOMER",AND(F1176&gt;=6,G1176&gt;=5,H1176&gt;=5),"POTENTIAL LOYALIST",AND(F1176&gt;=8,G1176&lt;=2,H1176&gt;=5),"NEW CUSTOMERS",AND(F1176&gt;=6,G1176&lt;=2,H1176&gt;=3),"PROMISING",AND(F1176&gt;=3,G1176&gt;=3,H1176&gt;=3),"NEED ATTENTION",AND(F1176&lt;=4,G1176&gt;=6,H1176&gt;=6),"AT RISK",AND(F1176&lt;=2,G1176&gt;=8,H1176&gt;=8),"CAN'T LOSE THEM",AND(F1176&lt;=2,G1176&lt;=2,H1176&lt;=2),"HIBERNATING",TRUE(),"Other")</f>
        <v>NEED ATTENTION</v>
      </c>
      <c r="K1176" s="1" t="n">
        <f aca="false">RANK(E1176,$E$7:$E$4378)+COUNTIF($E$7:E1176,E1176)-1</f>
        <v>3006</v>
      </c>
    </row>
    <row r="1177" customFormat="false" ht="14.25" hidden="false" customHeight="true" outlineLevel="0" collapsed="false">
      <c r="A1177" s="51" t="n">
        <v>13922</v>
      </c>
      <c r="B1177" s="53" t="n">
        <v>40535.4430555556</v>
      </c>
      <c r="C1177" s="57" t="n">
        <f aca="false">INT($C$2)-INT(Table3[[#This Row],[Last Purchase Date]])</f>
        <v>352</v>
      </c>
      <c r="D1177" s="1" t="n">
        <v>1</v>
      </c>
      <c r="E1177" s="1" t="n">
        <v>172.25</v>
      </c>
      <c r="F1177" s="1" t="n">
        <f aca="false">ROUND((1-_xlfn.PERCENTRANK.INC($C$7:$C$4378,C1177))*9,0)</f>
        <v>0</v>
      </c>
      <c r="G1177" s="1" t="n">
        <f aca="false">ROUND(_xlfn.PERCENTRANK.INC($D$7:$D$4378,D1177)*9,0)</f>
        <v>0</v>
      </c>
      <c r="H1177" s="1" t="n">
        <f aca="false">ROUND(_xlfn.PERCENTRANK.INC($E$7:$E$4378,E1177)*9,0)</f>
        <v>1</v>
      </c>
      <c r="I1177" s="1" t="str">
        <f aca="false">CONCATENATE(F1177,G1177,H1177)</f>
        <v>001</v>
      </c>
      <c r="J1177" s="1" t="str">
        <f aca="false">_xlfn.IFS(AND(F1177&gt;=8,G1177&gt;=8,H1177&gt;=8),"CHAMPION",AND(F1177&gt;=6,G1177&gt;=7,H1177&gt;=6),"LOYAL CUSTOMER",AND(F1177&gt;=6,G1177&gt;=5,H1177&gt;=5),"POTENTIAL LOYALIST",AND(F1177&gt;=8,G1177&lt;=2,H1177&gt;=5),"NEW CUSTOMERS",AND(F1177&gt;=6,G1177&lt;=2,H1177&gt;=3),"PROMISING",AND(F1177&gt;=3,G1177&gt;=3,H1177&gt;=3),"NEED ATTENTION",AND(F1177&lt;=4,G1177&gt;=6,H1177&gt;=6),"AT RISK",AND(F1177&lt;=2,G1177&gt;=8,H1177&gt;=8),"CAN'T LOSE THEM",AND(F1177&lt;=2,G1177&lt;=2,H1177&lt;=2),"HIBERNATING",TRUE(),"Other")</f>
        <v>HIBERNATING</v>
      </c>
      <c r="K1177" s="1" t="n">
        <f aca="false">RANK(E1177,$E$7:$E$4378)+COUNTIF($E$7:E1177,E1177)-1</f>
        <v>3795</v>
      </c>
    </row>
    <row r="1178" customFormat="false" ht="14.25" hidden="false" customHeight="true" outlineLevel="0" collapsed="false">
      <c r="A1178" s="51" t="n">
        <v>13923</v>
      </c>
      <c r="B1178" s="53" t="n">
        <v>40833.5229166667</v>
      </c>
      <c r="C1178" s="57" t="n">
        <f aca="false">INT($C$2)-INT(Table3[[#This Row],[Last Purchase Date]])</f>
        <v>54</v>
      </c>
      <c r="D1178" s="1" t="n">
        <v>1</v>
      </c>
      <c r="E1178" s="1" t="n">
        <v>351.13</v>
      </c>
      <c r="F1178" s="1" t="n">
        <f aca="false">ROUND((1-_xlfn.PERCENTRANK.INC($C$7:$C$4378,C1178))*9,0)</f>
        <v>4</v>
      </c>
      <c r="G1178" s="1" t="n">
        <f aca="false">ROUND(_xlfn.PERCENTRANK.INC($D$7:$D$4378,D1178)*9,0)</f>
        <v>0</v>
      </c>
      <c r="H1178" s="1" t="n">
        <f aca="false">ROUND(_xlfn.PERCENTRANK.INC($E$7:$E$4378,E1178)*9,0)</f>
        <v>3</v>
      </c>
      <c r="I1178" s="1" t="str">
        <f aca="false">CONCATENATE(F1178,G1178,H1178)</f>
        <v>403</v>
      </c>
      <c r="J1178" s="1" t="str">
        <f aca="false">_xlfn.IFS(AND(F1178&gt;=8,G1178&gt;=8,H1178&gt;=8),"CHAMPION",AND(F1178&gt;=6,G1178&gt;=7,H1178&gt;=6),"LOYAL CUSTOMER",AND(F1178&gt;=6,G1178&gt;=5,H1178&gt;=5),"POTENTIAL LOYALIST",AND(F1178&gt;=8,G1178&lt;=2,H1178&gt;=5),"NEW CUSTOMERS",AND(F1178&gt;=6,G1178&lt;=2,H1178&gt;=3),"PROMISING",AND(F1178&gt;=3,G1178&gt;=3,H1178&gt;=3),"NEED ATTENTION",AND(F1178&lt;=4,G1178&gt;=6,H1178&gt;=6),"AT RISK",AND(F1178&lt;=2,G1178&gt;=8,H1178&gt;=8),"CAN'T LOSE THEM",AND(F1178&lt;=2,G1178&lt;=2,H1178&lt;=2),"HIBERNATING",TRUE(),"Other")</f>
        <v>Other</v>
      </c>
      <c r="K1178" s="1" t="n">
        <f aca="false">RANK(E1178,$E$7:$E$4378)+COUNTIF($E$7:E1178,E1178)-1</f>
        <v>3000</v>
      </c>
    </row>
    <row r="1179" customFormat="false" ht="14.25" hidden="false" customHeight="true" outlineLevel="0" collapsed="false">
      <c r="A1179" s="51" t="n">
        <v>13924</v>
      </c>
      <c r="B1179" s="53" t="n">
        <v>40885.4020833333</v>
      </c>
      <c r="C1179" s="57" t="n">
        <f aca="false">INT($C$2)-INT(Table3[[#This Row],[Last Purchase Date]])</f>
        <v>2</v>
      </c>
      <c r="D1179" s="1" t="n">
        <v>11</v>
      </c>
      <c r="E1179" s="1" t="n">
        <v>1682.08</v>
      </c>
      <c r="F1179" s="1" t="n">
        <f aca="false">ROUND((1-_xlfn.PERCENTRANK.INC($C$7:$C$4378,C1179))*9,0)</f>
        <v>9</v>
      </c>
      <c r="G1179" s="1" t="n">
        <f aca="false">ROUND(_xlfn.PERCENTRANK.INC($D$7:$D$4378,D1179)*9,0)</f>
        <v>8</v>
      </c>
      <c r="H1179" s="1" t="n">
        <f aca="false">ROUND(_xlfn.PERCENTRANK.INC($E$7:$E$4378,E1179)*9,0)</f>
        <v>7</v>
      </c>
      <c r="I1179" s="1" t="str">
        <f aca="false">CONCATENATE(F1179,G1179,H1179)</f>
        <v>987</v>
      </c>
      <c r="J1179" s="1" t="str">
        <f aca="false">_xlfn.IFS(AND(F1179&gt;=8,G1179&gt;=8,H1179&gt;=8),"CHAMPION",AND(F1179&gt;=6,G1179&gt;=7,H1179&gt;=6),"LOYAL CUSTOMER",AND(F1179&gt;=6,G1179&gt;=5,H1179&gt;=5),"POTENTIAL LOYALIST",AND(F1179&gt;=8,G1179&lt;=2,H1179&gt;=5),"NEW CUSTOMERS",AND(F1179&gt;=6,G1179&lt;=2,H1179&gt;=3),"PROMISING",AND(F1179&gt;=3,G1179&gt;=3,H1179&gt;=3),"NEED ATTENTION",AND(F1179&lt;=4,G1179&gt;=6,H1179&gt;=6),"AT RISK",AND(F1179&lt;=2,G1179&gt;=8,H1179&gt;=8),"CAN'T LOSE THEM",AND(F1179&lt;=2,G1179&lt;=2,H1179&lt;=2),"HIBERNATING",TRUE(),"Other")</f>
        <v>LOYAL CUSTOMER</v>
      </c>
      <c r="K1179" s="1" t="n">
        <f aca="false">RANK(E1179,$E$7:$E$4378)+COUNTIF($E$7:E1179,E1179)-1</f>
        <v>1048</v>
      </c>
    </row>
    <row r="1180" customFormat="false" ht="14.25" hidden="false" customHeight="true" outlineLevel="0" collapsed="false">
      <c r="A1180" s="51" t="n">
        <v>13925</v>
      </c>
      <c r="B1180" s="53" t="n">
        <v>40850.5416666667</v>
      </c>
      <c r="C1180" s="57" t="n">
        <f aca="false">INT($C$2)-INT(Table3[[#This Row],[Last Purchase Date]])</f>
        <v>37</v>
      </c>
      <c r="D1180" s="1" t="n">
        <v>6</v>
      </c>
      <c r="E1180" s="1" t="n">
        <v>616.65</v>
      </c>
      <c r="F1180" s="1" t="n">
        <f aca="false">ROUND((1-_xlfn.PERCENTRANK.INC($C$7:$C$4378,C1180))*9,0)</f>
        <v>5</v>
      </c>
      <c r="G1180" s="1" t="n">
        <f aca="false">ROUND(_xlfn.PERCENTRANK.INC($D$7:$D$4378,D1180)*9,0)</f>
        <v>7</v>
      </c>
      <c r="H1180" s="1" t="n">
        <f aca="false">ROUND(_xlfn.PERCENTRANK.INC($E$7:$E$4378,E1180)*9,0)</f>
        <v>4</v>
      </c>
      <c r="I1180" s="1" t="str">
        <f aca="false">CONCATENATE(F1180,G1180,H1180)</f>
        <v>574</v>
      </c>
      <c r="J1180" s="1" t="str">
        <f aca="false">_xlfn.IFS(AND(F1180&gt;=8,G1180&gt;=8,H1180&gt;=8),"CHAMPION",AND(F1180&gt;=6,G1180&gt;=7,H1180&gt;=6),"LOYAL CUSTOMER",AND(F1180&gt;=6,G1180&gt;=5,H1180&gt;=5),"POTENTIAL LOYALIST",AND(F1180&gt;=8,G1180&lt;=2,H1180&gt;=5),"NEW CUSTOMERS",AND(F1180&gt;=6,G1180&lt;=2,H1180&gt;=3),"PROMISING",AND(F1180&gt;=3,G1180&gt;=3,H1180&gt;=3),"NEED ATTENTION",AND(F1180&lt;=4,G1180&gt;=6,H1180&gt;=6),"AT RISK",AND(F1180&lt;=2,G1180&gt;=8,H1180&gt;=8),"CAN'T LOSE THEM",AND(F1180&lt;=2,G1180&lt;=2,H1180&lt;=2),"HIBERNATING",TRUE(),"Other")</f>
        <v>NEED ATTENTION</v>
      </c>
      <c r="K1180" s="1" t="n">
        <f aca="false">RANK(E1180,$E$7:$E$4378)+COUNTIF($E$7:E1180,E1180)-1</f>
        <v>2267</v>
      </c>
    </row>
    <row r="1181" customFormat="false" ht="14.25" hidden="false" customHeight="true" outlineLevel="0" collapsed="false">
      <c r="A1181" s="51" t="n">
        <v>13926</v>
      </c>
      <c r="B1181" s="53" t="n">
        <v>40863.5527777778</v>
      </c>
      <c r="C1181" s="57" t="n">
        <f aca="false">INT($C$2)-INT(Table3[[#This Row],[Last Purchase Date]])</f>
        <v>24</v>
      </c>
      <c r="D1181" s="1" t="n">
        <v>1</v>
      </c>
      <c r="E1181" s="1" t="n">
        <v>223.85</v>
      </c>
      <c r="F1181" s="1" t="n">
        <f aca="false">ROUND((1-_xlfn.PERCENTRANK.INC($C$7:$C$4378,C1181))*9,0)</f>
        <v>6</v>
      </c>
      <c r="G1181" s="1" t="n">
        <f aca="false">ROUND(_xlfn.PERCENTRANK.INC($D$7:$D$4378,D1181)*9,0)</f>
        <v>0</v>
      </c>
      <c r="H1181" s="1" t="n">
        <f aca="false">ROUND(_xlfn.PERCENTRANK.INC($E$7:$E$4378,E1181)*9,0)</f>
        <v>2</v>
      </c>
      <c r="I1181" s="1" t="str">
        <f aca="false">CONCATENATE(F1181,G1181,H1181)</f>
        <v>602</v>
      </c>
      <c r="J1181" s="1" t="str">
        <f aca="false">_xlfn.IFS(AND(F1181&gt;=8,G1181&gt;=8,H1181&gt;=8),"CHAMPION",AND(F1181&gt;=6,G1181&gt;=7,H1181&gt;=6),"LOYAL CUSTOMER",AND(F1181&gt;=6,G1181&gt;=5,H1181&gt;=5),"POTENTIAL LOYALIST",AND(F1181&gt;=8,G1181&lt;=2,H1181&gt;=5),"NEW CUSTOMERS",AND(F1181&gt;=6,G1181&lt;=2,H1181&gt;=3),"PROMISING",AND(F1181&gt;=3,G1181&gt;=3,H1181&gt;=3),"NEED ATTENTION",AND(F1181&lt;=4,G1181&gt;=6,H1181&gt;=6),"AT RISK",AND(F1181&lt;=2,G1181&gt;=8,H1181&gt;=8),"CAN'T LOSE THEM",AND(F1181&lt;=2,G1181&lt;=2,H1181&lt;=2),"HIBERNATING",TRUE(),"Other")</f>
        <v>Other</v>
      </c>
      <c r="K1181" s="1" t="n">
        <f aca="false">RANK(E1181,$E$7:$E$4378)+COUNTIF($E$7:E1181,E1181)-1</f>
        <v>3546</v>
      </c>
    </row>
    <row r="1182" customFormat="false" ht="14.25" hidden="false" customHeight="true" outlineLevel="0" collapsed="false">
      <c r="A1182" s="51" t="n">
        <v>13927</v>
      </c>
      <c r="B1182" s="53" t="n">
        <v>40812.5</v>
      </c>
      <c r="C1182" s="57" t="n">
        <f aca="false">INT($C$2)-INT(Table3[[#This Row],[Last Purchase Date]])</f>
        <v>75</v>
      </c>
      <c r="D1182" s="1" t="n">
        <v>1</v>
      </c>
      <c r="E1182" s="1" t="n">
        <v>348.99</v>
      </c>
      <c r="F1182" s="1" t="n">
        <f aca="false">ROUND((1-_xlfn.PERCENTRANK.INC($C$7:$C$4378,C1182))*9,0)</f>
        <v>3</v>
      </c>
      <c r="G1182" s="1" t="n">
        <f aca="false">ROUND(_xlfn.PERCENTRANK.INC($D$7:$D$4378,D1182)*9,0)</f>
        <v>0</v>
      </c>
      <c r="H1182" s="1" t="n">
        <f aca="false">ROUND(_xlfn.PERCENTRANK.INC($E$7:$E$4378,E1182)*9,0)</f>
        <v>3</v>
      </c>
      <c r="I1182" s="1" t="str">
        <f aca="false">CONCATENATE(F1182,G1182,H1182)</f>
        <v>303</v>
      </c>
      <c r="J1182" s="1" t="str">
        <f aca="false">_xlfn.IFS(AND(F1182&gt;=8,G1182&gt;=8,H1182&gt;=8),"CHAMPION",AND(F1182&gt;=6,G1182&gt;=7,H1182&gt;=6),"LOYAL CUSTOMER",AND(F1182&gt;=6,G1182&gt;=5,H1182&gt;=5),"POTENTIAL LOYALIST",AND(F1182&gt;=8,G1182&lt;=2,H1182&gt;=5),"NEW CUSTOMERS",AND(F1182&gt;=6,G1182&lt;=2,H1182&gt;=3),"PROMISING",AND(F1182&gt;=3,G1182&gt;=3,H1182&gt;=3),"NEED ATTENTION",AND(F1182&lt;=4,G1182&gt;=6,H1182&gt;=6),"AT RISK",AND(F1182&lt;=2,G1182&gt;=8,H1182&gt;=8),"CAN'T LOSE THEM",AND(F1182&lt;=2,G1182&lt;=2,H1182&lt;=2),"HIBERNATING",TRUE(),"Other")</f>
        <v>Other</v>
      </c>
      <c r="K1182" s="1" t="n">
        <f aca="false">RANK(E1182,$E$7:$E$4378)+COUNTIF($E$7:E1182,E1182)-1</f>
        <v>3012</v>
      </c>
    </row>
    <row r="1183" customFormat="false" ht="14.25" hidden="false" customHeight="true" outlineLevel="0" collapsed="false">
      <c r="A1183" s="51" t="n">
        <v>13928</v>
      </c>
      <c r="B1183" s="53" t="n">
        <v>40876.4395833333</v>
      </c>
      <c r="C1183" s="57" t="n">
        <f aca="false">INT($C$2)-INT(Table3[[#This Row],[Last Purchase Date]])</f>
        <v>11</v>
      </c>
      <c r="D1183" s="1" t="n">
        <v>4</v>
      </c>
      <c r="E1183" s="1" t="n">
        <v>464.57</v>
      </c>
      <c r="F1183" s="1" t="n">
        <f aca="false">ROUND((1-_xlfn.PERCENTRANK.INC($C$7:$C$4378,C1183))*9,0)</f>
        <v>7</v>
      </c>
      <c r="G1183" s="1" t="n">
        <f aca="false">ROUND(_xlfn.PERCENTRANK.INC($D$7:$D$4378,D1183)*9,0)</f>
        <v>5</v>
      </c>
      <c r="H1183" s="1" t="n">
        <f aca="false">ROUND(_xlfn.PERCENTRANK.INC($E$7:$E$4378,E1183)*9,0)</f>
        <v>4</v>
      </c>
      <c r="I1183" s="1" t="str">
        <f aca="false">CONCATENATE(F1183,G1183,H1183)</f>
        <v>754</v>
      </c>
      <c r="J1183" s="1" t="str">
        <f aca="false">_xlfn.IFS(AND(F1183&gt;=8,G1183&gt;=8,H1183&gt;=8),"CHAMPION",AND(F1183&gt;=6,G1183&gt;=7,H1183&gt;=6),"LOYAL CUSTOMER",AND(F1183&gt;=6,G1183&gt;=5,H1183&gt;=5),"POTENTIAL LOYALIST",AND(F1183&gt;=8,G1183&lt;=2,H1183&gt;=5),"NEW CUSTOMERS",AND(F1183&gt;=6,G1183&lt;=2,H1183&gt;=3),"PROMISING",AND(F1183&gt;=3,G1183&gt;=3,H1183&gt;=3),"NEED ATTENTION",AND(F1183&lt;=4,G1183&gt;=6,H1183&gt;=6),"AT RISK",AND(F1183&lt;=2,G1183&gt;=8,H1183&gt;=8),"CAN'T LOSE THEM",AND(F1183&lt;=2,G1183&lt;=2,H1183&lt;=2),"HIBERNATING",TRUE(),"Other")</f>
        <v>NEED ATTENTION</v>
      </c>
      <c r="K1183" s="1" t="n">
        <f aca="false">RANK(E1183,$E$7:$E$4378)+COUNTIF($E$7:E1183,E1183)-1</f>
        <v>2625</v>
      </c>
    </row>
    <row r="1184" customFormat="false" ht="14.25" hidden="false" customHeight="true" outlineLevel="0" collapsed="false">
      <c r="A1184" s="51" t="n">
        <v>13929</v>
      </c>
      <c r="B1184" s="53" t="n">
        <v>40717.6430555556</v>
      </c>
      <c r="C1184" s="57" t="n">
        <f aca="false">INT($C$2)-INT(Table3[[#This Row],[Last Purchase Date]])</f>
        <v>170</v>
      </c>
      <c r="D1184" s="1" t="n">
        <v>3</v>
      </c>
      <c r="E1184" s="1" t="n">
        <v>802.85</v>
      </c>
      <c r="F1184" s="1" t="n">
        <f aca="false">ROUND((1-_xlfn.PERCENTRANK.INC($C$7:$C$4378,C1184))*9,0)</f>
        <v>2</v>
      </c>
      <c r="G1184" s="1" t="n">
        <f aca="false">ROUND(_xlfn.PERCENTRANK.INC($D$7:$D$4378,D1184)*9,0)</f>
        <v>4</v>
      </c>
      <c r="H1184" s="1" t="n">
        <f aca="false">ROUND(_xlfn.PERCENTRANK.INC($E$7:$E$4378,E1184)*9,0)</f>
        <v>5</v>
      </c>
      <c r="I1184" s="1" t="str">
        <f aca="false">CONCATENATE(F1184,G1184,H1184)</f>
        <v>245</v>
      </c>
      <c r="J1184" s="1" t="str">
        <f aca="false">_xlfn.IFS(AND(F1184&gt;=8,G1184&gt;=8,H1184&gt;=8),"CHAMPION",AND(F1184&gt;=6,G1184&gt;=7,H1184&gt;=6),"LOYAL CUSTOMER",AND(F1184&gt;=6,G1184&gt;=5,H1184&gt;=5),"POTENTIAL LOYALIST",AND(F1184&gt;=8,G1184&lt;=2,H1184&gt;=5),"NEW CUSTOMERS",AND(F1184&gt;=6,G1184&lt;=2,H1184&gt;=3),"PROMISING",AND(F1184&gt;=3,G1184&gt;=3,H1184&gt;=3),"NEED ATTENTION",AND(F1184&lt;=4,G1184&gt;=6,H1184&gt;=6),"AT RISK",AND(F1184&lt;=2,G1184&gt;=8,H1184&gt;=8),"CAN'T LOSE THEM",AND(F1184&lt;=2,G1184&lt;=2,H1184&lt;=2),"HIBERNATING",TRUE(),"Other")</f>
        <v>Other</v>
      </c>
      <c r="K1184" s="1" t="n">
        <f aca="false">RANK(E1184,$E$7:$E$4378)+COUNTIF($E$7:E1184,E1184)-1</f>
        <v>1895</v>
      </c>
    </row>
    <row r="1185" customFormat="false" ht="14.25" hidden="false" customHeight="true" outlineLevel="0" collapsed="false">
      <c r="A1185" s="51" t="n">
        <v>13930</v>
      </c>
      <c r="B1185" s="53" t="n">
        <v>40829.40625</v>
      </c>
      <c r="C1185" s="57" t="n">
        <f aca="false">INT($C$2)-INT(Table3[[#This Row],[Last Purchase Date]])</f>
        <v>58</v>
      </c>
      <c r="D1185" s="1" t="n">
        <v>2</v>
      </c>
      <c r="E1185" s="1" t="n">
        <v>337.34</v>
      </c>
      <c r="F1185" s="1" t="n">
        <f aca="false">ROUND((1-_xlfn.PERCENTRANK.INC($C$7:$C$4378,C1185))*9,0)</f>
        <v>4</v>
      </c>
      <c r="G1185" s="1" t="n">
        <f aca="false">ROUND(_xlfn.PERCENTRANK.INC($D$7:$D$4378,D1185)*9,0)</f>
        <v>3</v>
      </c>
      <c r="H1185" s="1" t="n">
        <f aca="false">ROUND(_xlfn.PERCENTRANK.INC($E$7:$E$4378,E1185)*9,0)</f>
        <v>3</v>
      </c>
      <c r="I1185" s="1" t="str">
        <f aca="false">CONCATENATE(F1185,G1185,H1185)</f>
        <v>433</v>
      </c>
      <c r="J1185" s="1" t="str">
        <f aca="false">_xlfn.IFS(AND(F1185&gt;=8,G1185&gt;=8,H1185&gt;=8),"CHAMPION",AND(F1185&gt;=6,G1185&gt;=7,H1185&gt;=6),"LOYAL CUSTOMER",AND(F1185&gt;=6,G1185&gt;=5,H1185&gt;=5),"POTENTIAL LOYALIST",AND(F1185&gt;=8,G1185&lt;=2,H1185&gt;=5),"NEW CUSTOMERS",AND(F1185&gt;=6,G1185&lt;=2,H1185&gt;=3),"PROMISING",AND(F1185&gt;=3,G1185&gt;=3,H1185&gt;=3),"NEED ATTENTION",AND(F1185&lt;=4,G1185&gt;=6,H1185&gt;=6),"AT RISK",AND(F1185&lt;=2,G1185&gt;=8,H1185&gt;=8),"CAN'T LOSE THEM",AND(F1185&lt;=2,G1185&lt;=2,H1185&lt;=2),"HIBERNATING",TRUE(),"Other")</f>
        <v>NEED ATTENTION</v>
      </c>
      <c r="K1185" s="1" t="n">
        <f aca="false">RANK(E1185,$E$7:$E$4378)+COUNTIF($E$7:E1185,E1185)-1</f>
        <v>3061</v>
      </c>
    </row>
    <row r="1186" customFormat="false" ht="14.25" hidden="false" customHeight="true" outlineLevel="0" collapsed="false">
      <c r="A1186" s="51" t="n">
        <v>13931</v>
      </c>
      <c r="B1186" s="53" t="n">
        <v>40801.41875</v>
      </c>
      <c r="C1186" s="57" t="n">
        <f aca="false">INT($C$2)-INT(Table3[[#This Row],[Last Purchase Date]])</f>
        <v>86</v>
      </c>
      <c r="D1186" s="1" t="n">
        <v>3</v>
      </c>
      <c r="E1186" s="1" t="n">
        <v>1230.93</v>
      </c>
      <c r="F1186" s="1" t="n">
        <f aca="false">ROUND((1-_xlfn.PERCENTRANK.INC($C$7:$C$4378,C1186))*9,0)</f>
        <v>3</v>
      </c>
      <c r="G1186" s="1" t="n">
        <f aca="false">ROUND(_xlfn.PERCENTRANK.INC($D$7:$D$4378,D1186)*9,0)</f>
        <v>4</v>
      </c>
      <c r="H1186" s="1" t="n">
        <f aca="false">ROUND(_xlfn.PERCENTRANK.INC($E$7:$E$4378,E1186)*9,0)</f>
        <v>6</v>
      </c>
      <c r="I1186" s="1" t="str">
        <f aca="false">CONCATENATE(F1186,G1186,H1186)</f>
        <v>346</v>
      </c>
      <c r="J1186" s="1" t="str">
        <f aca="false">_xlfn.IFS(AND(F1186&gt;=8,G1186&gt;=8,H1186&gt;=8),"CHAMPION",AND(F1186&gt;=6,G1186&gt;=7,H1186&gt;=6),"LOYAL CUSTOMER",AND(F1186&gt;=6,G1186&gt;=5,H1186&gt;=5),"POTENTIAL LOYALIST",AND(F1186&gt;=8,G1186&lt;=2,H1186&gt;=5),"NEW CUSTOMERS",AND(F1186&gt;=6,G1186&lt;=2,H1186&gt;=3),"PROMISING",AND(F1186&gt;=3,G1186&gt;=3,H1186&gt;=3),"NEED ATTENTION",AND(F1186&lt;=4,G1186&gt;=6,H1186&gt;=6),"AT RISK",AND(F1186&lt;=2,G1186&gt;=8,H1186&gt;=8),"CAN'T LOSE THEM",AND(F1186&lt;=2,G1186&lt;=2,H1186&lt;=2),"HIBERNATING",TRUE(),"Other")</f>
        <v>NEED ATTENTION</v>
      </c>
      <c r="K1186" s="1" t="n">
        <f aca="false">RANK(E1186,$E$7:$E$4378)+COUNTIF($E$7:E1186,E1186)-1</f>
        <v>1391</v>
      </c>
    </row>
    <row r="1187" customFormat="false" ht="14.25" hidden="false" customHeight="true" outlineLevel="0" collapsed="false">
      <c r="A1187" s="51" t="n">
        <v>13932</v>
      </c>
      <c r="B1187" s="53" t="n">
        <v>40592.5013888889</v>
      </c>
      <c r="C1187" s="57" t="n">
        <f aca="false">INT($C$2)-INT(Table3[[#This Row],[Last Purchase Date]])</f>
        <v>295</v>
      </c>
      <c r="D1187" s="1" t="n">
        <v>1</v>
      </c>
      <c r="E1187" s="1" t="n">
        <v>307.4</v>
      </c>
      <c r="F1187" s="1" t="n">
        <f aca="false">ROUND((1-_xlfn.PERCENTRANK.INC($C$7:$C$4378,C1187))*9,0)</f>
        <v>1</v>
      </c>
      <c r="G1187" s="1" t="n">
        <f aca="false">ROUND(_xlfn.PERCENTRANK.INC($D$7:$D$4378,D1187)*9,0)</f>
        <v>0</v>
      </c>
      <c r="H1187" s="1" t="n">
        <f aca="false">ROUND(_xlfn.PERCENTRANK.INC($E$7:$E$4378,E1187)*9,0)</f>
        <v>2</v>
      </c>
      <c r="I1187" s="1" t="str">
        <f aca="false">CONCATENATE(F1187,G1187,H1187)</f>
        <v>102</v>
      </c>
      <c r="J1187" s="1" t="str">
        <f aca="false">_xlfn.IFS(AND(F1187&gt;=8,G1187&gt;=8,H1187&gt;=8),"CHAMPION",AND(F1187&gt;=6,G1187&gt;=7,H1187&gt;=6),"LOYAL CUSTOMER",AND(F1187&gt;=6,G1187&gt;=5,H1187&gt;=5),"POTENTIAL LOYALIST",AND(F1187&gt;=8,G1187&lt;=2,H1187&gt;=5),"NEW CUSTOMERS",AND(F1187&gt;=6,G1187&lt;=2,H1187&gt;=3),"PROMISING",AND(F1187&gt;=3,G1187&gt;=3,H1187&gt;=3),"NEED ATTENTION",AND(F1187&lt;=4,G1187&gt;=6,H1187&gt;=6),"AT RISK",AND(F1187&lt;=2,G1187&gt;=8,H1187&gt;=8),"CAN'T LOSE THEM",AND(F1187&lt;=2,G1187&lt;=2,H1187&lt;=2),"HIBERNATING",TRUE(),"Other")</f>
        <v>HIBERNATING</v>
      </c>
      <c r="K1187" s="1" t="n">
        <f aca="false">RANK(E1187,$E$7:$E$4378)+COUNTIF($E$7:E1187,E1187)-1</f>
        <v>3211</v>
      </c>
    </row>
    <row r="1188" customFormat="false" ht="14.25" hidden="false" customHeight="true" outlineLevel="0" collapsed="false">
      <c r="A1188" s="51" t="n">
        <v>13933</v>
      </c>
      <c r="B1188" s="53" t="n">
        <v>40777.5854166667</v>
      </c>
      <c r="C1188" s="57" t="n">
        <f aca="false">INT($C$2)-INT(Table3[[#This Row],[Last Purchase Date]])</f>
        <v>110</v>
      </c>
      <c r="D1188" s="1" t="n">
        <v>2</v>
      </c>
      <c r="E1188" s="1" t="n">
        <v>608.79</v>
      </c>
      <c r="F1188" s="1" t="n">
        <f aca="false">ROUND((1-_xlfn.PERCENTRANK.INC($C$7:$C$4378,C1188))*9,0)</f>
        <v>3</v>
      </c>
      <c r="G1188" s="1" t="n">
        <f aca="false">ROUND(_xlfn.PERCENTRANK.INC($D$7:$D$4378,D1188)*9,0)</f>
        <v>3</v>
      </c>
      <c r="H1188" s="1" t="n">
        <f aca="false">ROUND(_xlfn.PERCENTRANK.INC($E$7:$E$4378,E1188)*9,0)</f>
        <v>4</v>
      </c>
      <c r="I1188" s="1" t="str">
        <f aca="false">CONCATENATE(F1188,G1188,H1188)</f>
        <v>334</v>
      </c>
      <c r="J1188" s="1" t="str">
        <f aca="false">_xlfn.IFS(AND(F1188&gt;=8,G1188&gt;=8,H1188&gt;=8),"CHAMPION",AND(F1188&gt;=6,G1188&gt;=7,H1188&gt;=6),"LOYAL CUSTOMER",AND(F1188&gt;=6,G1188&gt;=5,H1188&gt;=5),"POTENTIAL LOYALIST",AND(F1188&gt;=8,G1188&lt;=2,H1188&gt;=5),"NEW CUSTOMERS",AND(F1188&gt;=6,G1188&lt;=2,H1188&gt;=3),"PROMISING",AND(F1188&gt;=3,G1188&gt;=3,H1188&gt;=3),"NEED ATTENTION",AND(F1188&lt;=4,G1188&gt;=6,H1188&gt;=6),"AT RISK",AND(F1188&lt;=2,G1188&gt;=8,H1188&gt;=8),"CAN'T LOSE THEM",AND(F1188&lt;=2,G1188&lt;=2,H1188&lt;=2),"HIBERNATING",TRUE(),"Other")</f>
        <v>NEED ATTENTION</v>
      </c>
      <c r="K1188" s="1" t="n">
        <f aca="false">RANK(E1188,$E$7:$E$4378)+COUNTIF($E$7:E1188,E1188)-1</f>
        <v>2286</v>
      </c>
    </row>
    <row r="1189" customFormat="false" ht="14.25" hidden="false" customHeight="true" outlineLevel="0" collapsed="false">
      <c r="A1189" s="51" t="n">
        <v>13934</v>
      </c>
      <c r="B1189" s="53" t="n">
        <v>40623.3604166667</v>
      </c>
      <c r="C1189" s="57" t="n">
        <f aca="false">INT($C$2)-INT(Table3[[#This Row],[Last Purchase Date]])</f>
        <v>264</v>
      </c>
      <c r="D1189" s="1" t="n">
        <v>1</v>
      </c>
      <c r="E1189" s="1" t="n">
        <v>922.1</v>
      </c>
      <c r="F1189" s="1" t="n">
        <f aca="false">ROUND((1-_xlfn.PERCENTRANK.INC($C$7:$C$4378,C1189))*9,0)</f>
        <v>1</v>
      </c>
      <c r="G1189" s="1" t="n">
        <f aca="false">ROUND(_xlfn.PERCENTRANK.INC($D$7:$D$4378,D1189)*9,0)</f>
        <v>0</v>
      </c>
      <c r="H1189" s="1" t="n">
        <f aca="false">ROUND(_xlfn.PERCENTRANK.INC($E$7:$E$4378,E1189)*9,0)</f>
        <v>5</v>
      </c>
      <c r="I1189" s="1" t="str">
        <f aca="false">CONCATENATE(F1189,G1189,H1189)</f>
        <v>105</v>
      </c>
      <c r="J1189" s="1" t="str">
        <f aca="false">_xlfn.IFS(AND(F1189&gt;=8,G1189&gt;=8,H1189&gt;=8),"CHAMPION",AND(F1189&gt;=6,G1189&gt;=7,H1189&gt;=6),"LOYAL CUSTOMER",AND(F1189&gt;=6,G1189&gt;=5,H1189&gt;=5),"POTENTIAL LOYALIST",AND(F1189&gt;=8,G1189&lt;=2,H1189&gt;=5),"NEW CUSTOMERS",AND(F1189&gt;=6,G1189&lt;=2,H1189&gt;=3),"PROMISING",AND(F1189&gt;=3,G1189&gt;=3,H1189&gt;=3),"NEED ATTENTION",AND(F1189&lt;=4,G1189&gt;=6,H1189&gt;=6),"AT RISK",AND(F1189&lt;=2,G1189&gt;=8,H1189&gt;=8),"CAN'T LOSE THEM",AND(F1189&lt;=2,G1189&lt;=2,H1189&lt;=2),"HIBERNATING",TRUE(),"Other")</f>
        <v>Other</v>
      </c>
      <c r="K1189" s="1" t="n">
        <f aca="false">RANK(E1189,$E$7:$E$4378)+COUNTIF($E$7:E1189,E1189)-1</f>
        <v>1725</v>
      </c>
    </row>
    <row r="1190" customFormat="false" ht="14.25" hidden="false" customHeight="true" outlineLevel="0" collapsed="false">
      <c r="A1190" s="51" t="n">
        <v>13936</v>
      </c>
      <c r="B1190" s="53" t="n">
        <v>40715.7388888889</v>
      </c>
      <c r="C1190" s="57" t="n">
        <f aca="false">INT($C$2)-INT(Table3[[#This Row],[Last Purchase Date]])</f>
        <v>172</v>
      </c>
      <c r="D1190" s="1" t="n">
        <v>2</v>
      </c>
      <c r="E1190" s="1" t="n">
        <v>361.28</v>
      </c>
      <c r="F1190" s="1" t="n">
        <f aca="false">ROUND((1-_xlfn.PERCENTRANK.INC($C$7:$C$4378,C1190))*9,0)</f>
        <v>2</v>
      </c>
      <c r="G1190" s="1" t="n">
        <f aca="false">ROUND(_xlfn.PERCENTRANK.INC($D$7:$D$4378,D1190)*9,0)</f>
        <v>3</v>
      </c>
      <c r="H1190" s="1" t="n">
        <f aca="false">ROUND(_xlfn.PERCENTRANK.INC($E$7:$E$4378,E1190)*9,0)</f>
        <v>3</v>
      </c>
      <c r="I1190" s="1" t="str">
        <f aca="false">CONCATENATE(F1190,G1190,H1190)</f>
        <v>233</v>
      </c>
      <c r="J1190" s="1" t="str">
        <f aca="false">_xlfn.IFS(AND(F1190&gt;=8,G1190&gt;=8,H1190&gt;=8),"CHAMPION",AND(F1190&gt;=6,G1190&gt;=7,H1190&gt;=6),"LOYAL CUSTOMER",AND(F1190&gt;=6,G1190&gt;=5,H1190&gt;=5),"POTENTIAL LOYALIST",AND(F1190&gt;=8,G1190&lt;=2,H1190&gt;=5),"NEW CUSTOMERS",AND(F1190&gt;=6,G1190&lt;=2,H1190&gt;=3),"PROMISING",AND(F1190&gt;=3,G1190&gt;=3,H1190&gt;=3),"NEED ATTENTION",AND(F1190&lt;=4,G1190&gt;=6,H1190&gt;=6),"AT RISK",AND(F1190&lt;=2,G1190&gt;=8,H1190&gt;=8),"CAN'T LOSE THEM",AND(F1190&lt;=2,G1190&lt;=2,H1190&lt;=2),"HIBERNATING",TRUE(),"Other")</f>
        <v>Other</v>
      </c>
      <c r="K1190" s="1" t="n">
        <f aca="false">RANK(E1190,$E$7:$E$4378)+COUNTIF($E$7:E1190,E1190)-1</f>
        <v>2961</v>
      </c>
    </row>
    <row r="1191" customFormat="false" ht="14.25" hidden="false" customHeight="true" outlineLevel="0" collapsed="false">
      <c r="A1191" s="51" t="n">
        <v>13937</v>
      </c>
      <c r="B1191" s="53" t="n">
        <v>40717.6909722222</v>
      </c>
      <c r="C1191" s="57" t="n">
        <f aca="false">INT($C$2)-INT(Table3[[#This Row],[Last Purchase Date]])</f>
        <v>170</v>
      </c>
      <c r="D1191" s="1" t="n">
        <v>1</v>
      </c>
      <c r="E1191" s="1" t="n">
        <v>158.85</v>
      </c>
      <c r="F1191" s="1" t="n">
        <f aca="false">ROUND((1-_xlfn.PERCENTRANK.INC($C$7:$C$4378,C1191))*9,0)</f>
        <v>2</v>
      </c>
      <c r="G1191" s="1" t="n">
        <f aca="false">ROUND(_xlfn.PERCENTRANK.INC($D$7:$D$4378,D1191)*9,0)</f>
        <v>0</v>
      </c>
      <c r="H1191" s="1" t="n">
        <f aca="false">ROUND(_xlfn.PERCENTRANK.INC($E$7:$E$4378,E1191)*9,0)</f>
        <v>1</v>
      </c>
      <c r="I1191" s="1" t="str">
        <f aca="false">CONCATENATE(F1191,G1191,H1191)</f>
        <v>201</v>
      </c>
      <c r="J1191" s="1" t="str">
        <f aca="false">_xlfn.IFS(AND(F1191&gt;=8,G1191&gt;=8,H1191&gt;=8),"CHAMPION",AND(F1191&gt;=6,G1191&gt;=7,H1191&gt;=6),"LOYAL CUSTOMER",AND(F1191&gt;=6,G1191&gt;=5,H1191&gt;=5),"POTENTIAL LOYALIST",AND(F1191&gt;=8,G1191&lt;=2,H1191&gt;=5),"NEW CUSTOMERS",AND(F1191&gt;=6,G1191&lt;=2,H1191&gt;=3),"PROMISING",AND(F1191&gt;=3,G1191&gt;=3,H1191&gt;=3),"NEED ATTENTION",AND(F1191&lt;=4,G1191&gt;=6,H1191&gt;=6),"AT RISK",AND(F1191&lt;=2,G1191&gt;=8,H1191&gt;=8),"CAN'T LOSE THEM",AND(F1191&lt;=2,G1191&lt;=2,H1191&lt;=2),"HIBERNATING",TRUE(),"Other")</f>
        <v>HIBERNATING</v>
      </c>
      <c r="K1191" s="1" t="n">
        <f aca="false">RANK(E1191,$E$7:$E$4378)+COUNTIF($E$7:E1191,E1191)-1</f>
        <v>3865</v>
      </c>
    </row>
    <row r="1192" customFormat="false" ht="14.25" hidden="false" customHeight="true" outlineLevel="0" collapsed="false">
      <c r="A1192" s="51" t="n">
        <v>13938</v>
      </c>
      <c r="B1192" s="53" t="n">
        <v>40851.6090277778</v>
      </c>
      <c r="C1192" s="57" t="n">
        <f aca="false">INT($C$2)-INT(Table3[[#This Row],[Last Purchase Date]])</f>
        <v>36</v>
      </c>
      <c r="D1192" s="1" t="n">
        <v>1</v>
      </c>
      <c r="E1192" s="1" t="n">
        <v>71.66</v>
      </c>
      <c r="F1192" s="1" t="n">
        <f aca="false">ROUND((1-_xlfn.PERCENTRANK.INC($C$7:$C$4378,C1192))*9,0)</f>
        <v>5</v>
      </c>
      <c r="G1192" s="1" t="n">
        <f aca="false">ROUND(_xlfn.PERCENTRANK.INC($D$7:$D$4378,D1192)*9,0)</f>
        <v>0</v>
      </c>
      <c r="H1192" s="1" t="n">
        <f aca="false">ROUND(_xlfn.PERCENTRANK.INC($E$7:$E$4378,E1192)*9,0)</f>
        <v>0</v>
      </c>
      <c r="I1192" s="1" t="str">
        <f aca="false">CONCATENATE(F1192,G1192,H1192)</f>
        <v>500</v>
      </c>
      <c r="J1192" s="1" t="str">
        <f aca="false">_xlfn.IFS(AND(F1192&gt;=8,G1192&gt;=8,H1192&gt;=8),"CHAMPION",AND(F1192&gt;=6,G1192&gt;=7,H1192&gt;=6),"LOYAL CUSTOMER",AND(F1192&gt;=6,G1192&gt;=5,H1192&gt;=5),"POTENTIAL LOYALIST",AND(F1192&gt;=8,G1192&lt;=2,H1192&gt;=5),"NEW CUSTOMERS",AND(F1192&gt;=6,G1192&lt;=2,H1192&gt;=3),"PROMISING",AND(F1192&gt;=3,G1192&gt;=3,H1192&gt;=3),"NEED ATTENTION",AND(F1192&lt;=4,G1192&gt;=6,H1192&gt;=6),"AT RISK",AND(F1192&lt;=2,G1192&gt;=8,H1192&gt;=8),"CAN'T LOSE THEM",AND(F1192&lt;=2,G1192&lt;=2,H1192&lt;=2),"HIBERNATING",TRUE(),"Other")</f>
        <v>Other</v>
      </c>
      <c r="K1192" s="1" t="n">
        <f aca="false">RANK(E1192,$E$7:$E$4378)+COUNTIF($E$7:E1192,E1192)-1</f>
        <v>4245</v>
      </c>
    </row>
    <row r="1193" customFormat="false" ht="14.25" hidden="false" customHeight="true" outlineLevel="0" collapsed="false">
      <c r="A1193" s="51" t="n">
        <v>13939</v>
      </c>
      <c r="B1193" s="53" t="n">
        <v>40863.5645833333</v>
      </c>
      <c r="C1193" s="57" t="n">
        <f aca="false">INT($C$2)-INT(Table3[[#This Row],[Last Purchase Date]])</f>
        <v>24</v>
      </c>
      <c r="D1193" s="1" t="n">
        <v>4</v>
      </c>
      <c r="E1193" s="1" t="n">
        <v>556.75</v>
      </c>
      <c r="F1193" s="1" t="n">
        <f aca="false">ROUND((1-_xlfn.PERCENTRANK.INC($C$7:$C$4378,C1193))*9,0)</f>
        <v>6</v>
      </c>
      <c r="G1193" s="1" t="n">
        <f aca="false">ROUND(_xlfn.PERCENTRANK.INC($D$7:$D$4378,D1193)*9,0)</f>
        <v>5</v>
      </c>
      <c r="H1193" s="1" t="n">
        <f aca="false">ROUND(_xlfn.PERCENTRANK.INC($E$7:$E$4378,E1193)*9,0)</f>
        <v>4</v>
      </c>
      <c r="I1193" s="1" t="str">
        <f aca="false">CONCATENATE(F1193,G1193,H1193)</f>
        <v>654</v>
      </c>
      <c r="J1193" s="1" t="str">
        <f aca="false">_xlfn.IFS(AND(F1193&gt;=8,G1193&gt;=8,H1193&gt;=8),"CHAMPION",AND(F1193&gt;=6,G1193&gt;=7,H1193&gt;=6),"LOYAL CUSTOMER",AND(F1193&gt;=6,G1193&gt;=5,H1193&gt;=5),"POTENTIAL LOYALIST",AND(F1193&gt;=8,G1193&lt;=2,H1193&gt;=5),"NEW CUSTOMERS",AND(F1193&gt;=6,G1193&lt;=2,H1193&gt;=3),"PROMISING",AND(F1193&gt;=3,G1193&gt;=3,H1193&gt;=3),"NEED ATTENTION",AND(F1193&lt;=4,G1193&gt;=6,H1193&gt;=6),"AT RISK",AND(F1193&lt;=2,G1193&gt;=8,H1193&gt;=8),"CAN'T LOSE THEM",AND(F1193&lt;=2,G1193&lt;=2,H1193&lt;=2),"HIBERNATING",TRUE(),"Other")</f>
        <v>NEED ATTENTION</v>
      </c>
      <c r="K1193" s="1" t="n">
        <f aca="false">RANK(E1193,$E$7:$E$4378)+COUNTIF($E$7:E1193,E1193)-1</f>
        <v>2417</v>
      </c>
    </row>
    <row r="1194" customFormat="false" ht="14.25" hidden="false" customHeight="true" outlineLevel="0" collapsed="false">
      <c r="A1194" s="51" t="n">
        <v>13940</v>
      </c>
      <c r="B1194" s="53" t="n">
        <v>40869.6354166667</v>
      </c>
      <c r="C1194" s="57" t="n">
        <f aca="false">INT($C$2)-INT(Table3[[#This Row],[Last Purchase Date]])</f>
        <v>18</v>
      </c>
      <c r="D1194" s="1" t="n">
        <v>4</v>
      </c>
      <c r="E1194" s="1" t="n">
        <v>839.14</v>
      </c>
      <c r="F1194" s="1" t="n">
        <f aca="false">ROUND((1-_xlfn.PERCENTRANK.INC($C$7:$C$4378,C1194))*9,0)</f>
        <v>7</v>
      </c>
      <c r="G1194" s="1" t="n">
        <f aca="false">ROUND(_xlfn.PERCENTRANK.INC($D$7:$D$4378,D1194)*9,0)</f>
        <v>5</v>
      </c>
      <c r="H1194" s="1" t="n">
        <f aca="false">ROUND(_xlfn.PERCENTRANK.INC($E$7:$E$4378,E1194)*9,0)</f>
        <v>5</v>
      </c>
      <c r="I1194" s="1" t="str">
        <f aca="false">CONCATENATE(F1194,G1194,H1194)</f>
        <v>755</v>
      </c>
      <c r="J1194" s="1" t="str">
        <f aca="false">_xlfn.IFS(AND(F1194&gt;=8,G1194&gt;=8,H1194&gt;=8),"CHAMPION",AND(F1194&gt;=6,G1194&gt;=7,H1194&gt;=6),"LOYAL CUSTOMER",AND(F1194&gt;=6,G1194&gt;=5,H1194&gt;=5),"POTENTIAL LOYALIST",AND(F1194&gt;=8,G1194&lt;=2,H1194&gt;=5),"NEW CUSTOMERS",AND(F1194&gt;=6,G1194&lt;=2,H1194&gt;=3),"PROMISING",AND(F1194&gt;=3,G1194&gt;=3,H1194&gt;=3),"NEED ATTENTION",AND(F1194&lt;=4,G1194&gt;=6,H1194&gt;=6),"AT RISK",AND(F1194&lt;=2,G1194&gt;=8,H1194&gt;=8),"CAN'T LOSE THEM",AND(F1194&lt;=2,G1194&lt;=2,H1194&lt;=2),"HIBERNATING",TRUE(),"Other")</f>
        <v>POTENTIAL LOYALIST</v>
      </c>
      <c r="K1194" s="1" t="n">
        <f aca="false">RANK(E1194,$E$7:$E$4378)+COUNTIF($E$7:E1194,E1194)-1</f>
        <v>1845</v>
      </c>
    </row>
    <row r="1195" customFormat="false" ht="14.25" hidden="false" customHeight="true" outlineLevel="0" collapsed="false">
      <c r="A1195" s="51" t="n">
        <v>13941</v>
      </c>
      <c r="B1195" s="53" t="n">
        <v>40865.4048611111</v>
      </c>
      <c r="C1195" s="57" t="n">
        <f aca="false">INT($C$2)-INT(Table3[[#This Row],[Last Purchase Date]])</f>
        <v>22</v>
      </c>
      <c r="D1195" s="1" t="n">
        <v>7</v>
      </c>
      <c r="E1195" s="1" t="n">
        <v>4912.41</v>
      </c>
      <c r="F1195" s="1" t="n">
        <f aca="false">ROUND((1-_xlfn.PERCENTRANK.INC($C$7:$C$4378,C1195))*9,0)</f>
        <v>6</v>
      </c>
      <c r="G1195" s="1" t="n">
        <f aca="false">ROUND(_xlfn.PERCENTRANK.INC($D$7:$D$4378,D1195)*9,0)</f>
        <v>7</v>
      </c>
      <c r="H1195" s="1" t="n">
        <f aca="false">ROUND(_xlfn.PERCENTRANK.INC($E$7:$E$4378,E1195)*9,0)</f>
        <v>8</v>
      </c>
      <c r="I1195" s="1" t="str">
        <f aca="false">CONCATENATE(F1195,G1195,H1195)</f>
        <v>678</v>
      </c>
      <c r="J1195" s="1" t="str">
        <f aca="false">_xlfn.IFS(AND(F1195&gt;=8,G1195&gt;=8,H1195&gt;=8),"CHAMPION",AND(F1195&gt;=6,G1195&gt;=7,H1195&gt;=6),"LOYAL CUSTOMER",AND(F1195&gt;=6,G1195&gt;=5,H1195&gt;=5),"POTENTIAL LOYALIST",AND(F1195&gt;=8,G1195&lt;=2,H1195&gt;=5),"NEW CUSTOMERS",AND(F1195&gt;=6,G1195&lt;=2,H1195&gt;=3),"PROMISING",AND(F1195&gt;=3,G1195&gt;=3,H1195&gt;=3),"NEED ATTENTION",AND(F1195&lt;=4,G1195&gt;=6,H1195&gt;=6),"AT RISK",AND(F1195&lt;=2,G1195&gt;=8,H1195&gt;=8),"CAN'T LOSE THEM",AND(F1195&lt;=2,G1195&lt;=2,H1195&lt;=2),"HIBERNATING",TRUE(),"Other")</f>
        <v>LOYAL CUSTOMER</v>
      </c>
      <c r="K1195" s="1" t="n">
        <f aca="false">RANK(E1195,$E$7:$E$4378)+COUNTIF($E$7:E1195,E1195)-1</f>
        <v>268</v>
      </c>
    </row>
    <row r="1196" customFormat="false" ht="14.25" hidden="false" customHeight="true" outlineLevel="0" collapsed="false">
      <c r="A1196" s="51" t="n">
        <v>13946</v>
      </c>
      <c r="B1196" s="53" t="n">
        <v>40807.5645833333</v>
      </c>
      <c r="C1196" s="57" t="n">
        <f aca="false">INT($C$2)-INT(Table3[[#This Row],[Last Purchase Date]])</f>
        <v>80</v>
      </c>
      <c r="D1196" s="1" t="n">
        <v>3</v>
      </c>
      <c r="E1196" s="1" t="n">
        <v>561.57</v>
      </c>
      <c r="F1196" s="1" t="n">
        <f aca="false">ROUND((1-_xlfn.PERCENTRANK.INC($C$7:$C$4378,C1196))*9,0)</f>
        <v>3</v>
      </c>
      <c r="G1196" s="1" t="n">
        <f aca="false">ROUND(_xlfn.PERCENTRANK.INC($D$7:$D$4378,D1196)*9,0)</f>
        <v>4</v>
      </c>
      <c r="H1196" s="1" t="n">
        <f aca="false">ROUND(_xlfn.PERCENTRANK.INC($E$7:$E$4378,E1196)*9,0)</f>
        <v>4</v>
      </c>
      <c r="I1196" s="1" t="str">
        <f aca="false">CONCATENATE(F1196,G1196,H1196)</f>
        <v>344</v>
      </c>
      <c r="J1196" s="1" t="str">
        <f aca="false">_xlfn.IFS(AND(F1196&gt;=8,G1196&gt;=8,H1196&gt;=8),"CHAMPION",AND(F1196&gt;=6,G1196&gt;=7,H1196&gt;=6),"LOYAL CUSTOMER",AND(F1196&gt;=6,G1196&gt;=5,H1196&gt;=5),"POTENTIAL LOYALIST",AND(F1196&gt;=8,G1196&lt;=2,H1196&gt;=5),"NEW CUSTOMERS",AND(F1196&gt;=6,G1196&lt;=2,H1196&gt;=3),"PROMISING",AND(F1196&gt;=3,G1196&gt;=3,H1196&gt;=3),"NEED ATTENTION",AND(F1196&lt;=4,G1196&gt;=6,H1196&gt;=6),"AT RISK",AND(F1196&lt;=2,G1196&gt;=8,H1196&gt;=8),"CAN'T LOSE THEM",AND(F1196&lt;=2,G1196&lt;=2,H1196&lt;=2),"HIBERNATING",TRUE(),"Other")</f>
        <v>NEED ATTENTION</v>
      </c>
      <c r="K1196" s="1" t="n">
        <f aca="false">RANK(E1196,$E$7:$E$4378)+COUNTIF($E$7:E1196,E1196)-1</f>
        <v>2404</v>
      </c>
    </row>
    <row r="1197" customFormat="false" ht="14.25" hidden="false" customHeight="true" outlineLevel="0" collapsed="false">
      <c r="A1197" s="51" t="n">
        <v>13947</v>
      </c>
      <c r="B1197" s="53" t="n">
        <v>40821.6125</v>
      </c>
      <c r="C1197" s="57" t="n">
        <f aca="false">INT($C$2)-INT(Table3[[#This Row],[Last Purchase Date]])</f>
        <v>66</v>
      </c>
      <c r="D1197" s="1" t="n">
        <v>1</v>
      </c>
      <c r="E1197" s="1" t="n">
        <v>90.6</v>
      </c>
      <c r="F1197" s="1" t="n">
        <f aca="false">ROUND((1-_xlfn.PERCENTRANK.INC($C$7:$C$4378,C1197))*9,0)</f>
        <v>4</v>
      </c>
      <c r="G1197" s="1" t="n">
        <f aca="false">ROUND(_xlfn.PERCENTRANK.INC($D$7:$D$4378,D1197)*9,0)</f>
        <v>0</v>
      </c>
      <c r="H1197" s="1" t="n">
        <f aca="false">ROUND(_xlfn.PERCENTRANK.INC($E$7:$E$4378,E1197)*9,0)</f>
        <v>0</v>
      </c>
      <c r="I1197" s="1" t="str">
        <f aca="false">CONCATENATE(F1197,G1197,H1197)</f>
        <v>400</v>
      </c>
      <c r="J1197" s="1" t="str">
        <f aca="false">_xlfn.IFS(AND(F1197&gt;=8,G1197&gt;=8,H1197&gt;=8),"CHAMPION",AND(F1197&gt;=6,G1197&gt;=7,H1197&gt;=6),"LOYAL CUSTOMER",AND(F1197&gt;=6,G1197&gt;=5,H1197&gt;=5),"POTENTIAL LOYALIST",AND(F1197&gt;=8,G1197&lt;=2,H1197&gt;=5),"NEW CUSTOMERS",AND(F1197&gt;=6,G1197&lt;=2,H1197&gt;=3),"PROMISING",AND(F1197&gt;=3,G1197&gt;=3,H1197&gt;=3),"NEED ATTENTION",AND(F1197&lt;=4,G1197&gt;=6,H1197&gt;=6),"AT RISK",AND(F1197&lt;=2,G1197&gt;=8,H1197&gt;=8),"CAN'T LOSE THEM",AND(F1197&lt;=2,G1197&lt;=2,H1197&lt;=2),"HIBERNATING",TRUE(),"Other")</f>
        <v>Other</v>
      </c>
      <c r="K1197" s="1" t="n">
        <f aca="false">RANK(E1197,$E$7:$E$4378)+COUNTIF($E$7:E1197,E1197)-1</f>
        <v>4190</v>
      </c>
    </row>
    <row r="1198" customFormat="false" ht="14.25" hidden="false" customHeight="true" outlineLevel="0" collapsed="false">
      <c r="A1198" s="51" t="n">
        <v>13948</v>
      </c>
      <c r="B1198" s="53" t="n">
        <v>40526.4291666667</v>
      </c>
      <c r="C1198" s="57" t="n">
        <f aca="false">INT($C$2)-INT(Table3[[#This Row],[Last Purchase Date]])</f>
        <v>361</v>
      </c>
      <c r="D1198" s="1" t="n">
        <v>1</v>
      </c>
      <c r="E1198" s="1" t="n">
        <v>102</v>
      </c>
      <c r="F1198" s="1" t="n">
        <f aca="false">ROUND((1-_xlfn.PERCENTRANK.INC($C$7:$C$4378,C1198))*9,0)</f>
        <v>0</v>
      </c>
      <c r="G1198" s="1" t="n">
        <f aca="false">ROUND(_xlfn.PERCENTRANK.INC($D$7:$D$4378,D1198)*9,0)</f>
        <v>0</v>
      </c>
      <c r="H1198" s="1" t="n">
        <f aca="false">ROUND(_xlfn.PERCENTRANK.INC($E$7:$E$4378,E1198)*9,0)</f>
        <v>0</v>
      </c>
      <c r="I1198" s="1" t="str">
        <f aca="false">CONCATENATE(F1198,G1198,H1198)</f>
        <v>000</v>
      </c>
      <c r="J1198" s="1" t="str">
        <f aca="false">_xlfn.IFS(AND(F1198&gt;=8,G1198&gt;=8,H1198&gt;=8),"CHAMPION",AND(F1198&gt;=6,G1198&gt;=7,H1198&gt;=6),"LOYAL CUSTOMER",AND(F1198&gt;=6,G1198&gt;=5,H1198&gt;=5),"POTENTIAL LOYALIST",AND(F1198&gt;=8,G1198&lt;=2,H1198&gt;=5),"NEW CUSTOMERS",AND(F1198&gt;=6,G1198&lt;=2,H1198&gt;=3),"PROMISING",AND(F1198&gt;=3,G1198&gt;=3,H1198&gt;=3),"NEED ATTENTION",AND(F1198&lt;=4,G1198&gt;=6,H1198&gt;=6),"AT RISK",AND(F1198&lt;=2,G1198&gt;=8,H1198&gt;=8),"CAN'T LOSE THEM",AND(F1198&lt;=2,G1198&lt;=2,H1198&lt;=2),"HIBERNATING",TRUE(),"Other")</f>
        <v>HIBERNATING</v>
      </c>
      <c r="K1198" s="1" t="n">
        <f aca="false">RANK(E1198,$E$7:$E$4378)+COUNTIF($E$7:E1198,E1198)-1</f>
        <v>4145</v>
      </c>
    </row>
    <row r="1199" customFormat="false" ht="14.25" hidden="false" customHeight="true" outlineLevel="0" collapsed="false">
      <c r="A1199" s="51" t="n">
        <v>13949</v>
      </c>
      <c r="B1199" s="53" t="n">
        <v>40884.3993055556</v>
      </c>
      <c r="C1199" s="57" t="n">
        <f aca="false">INT($C$2)-INT(Table3[[#This Row],[Last Purchase Date]])</f>
        <v>3</v>
      </c>
      <c r="D1199" s="1" t="n">
        <v>6</v>
      </c>
      <c r="E1199" s="1" t="n">
        <v>2427.32</v>
      </c>
      <c r="F1199" s="1" t="n">
        <f aca="false">ROUND((1-_xlfn.PERCENTRANK.INC($C$7:$C$4378,C1199))*9,0)</f>
        <v>9</v>
      </c>
      <c r="G1199" s="1" t="n">
        <f aca="false">ROUND(_xlfn.PERCENTRANK.INC($D$7:$D$4378,D1199)*9,0)</f>
        <v>7</v>
      </c>
      <c r="H1199" s="1" t="n">
        <f aca="false">ROUND(_xlfn.PERCENTRANK.INC($E$7:$E$4378,E1199)*9,0)</f>
        <v>8</v>
      </c>
      <c r="I1199" s="1" t="str">
        <f aca="false">CONCATENATE(F1199,G1199,H1199)</f>
        <v>978</v>
      </c>
      <c r="J1199" s="1" t="str">
        <f aca="false">_xlfn.IFS(AND(F1199&gt;=8,G1199&gt;=8,H1199&gt;=8),"CHAMPION",AND(F1199&gt;=6,G1199&gt;=7,H1199&gt;=6),"LOYAL CUSTOMER",AND(F1199&gt;=6,G1199&gt;=5,H1199&gt;=5),"POTENTIAL LOYALIST",AND(F1199&gt;=8,G1199&lt;=2,H1199&gt;=5),"NEW CUSTOMERS",AND(F1199&gt;=6,G1199&lt;=2,H1199&gt;=3),"PROMISING",AND(F1199&gt;=3,G1199&gt;=3,H1199&gt;=3),"NEED ATTENTION",AND(F1199&lt;=4,G1199&gt;=6,H1199&gt;=6),"AT RISK",AND(F1199&lt;=2,G1199&gt;=8,H1199&gt;=8),"CAN'T LOSE THEM",AND(F1199&lt;=2,G1199&lt;=2,H1199&lt;=2),"HIBERNATING",TRUE(),"Other")</f>
        <v>LOYAL CUSTOMER</v>
      </c>
      <c r="K1199" s="1" t="n">
        <f aca="false">RANK(E1199,$E$7:$E$4378)+COUNTIF($E$7:E1199,E1199)-1</f>
        <v>703</v>
      </c>
    </row>
    <row r="1200" customFormat="false" ht="14.25" hidden="false" customHeight="true" outlineLevel="0" collapsed="false">
      <c r="A1200" s="51" t="n">
        <v>13950</v>
      </c>
      <c r="B1200" s="53" t="n">
        <v>40875.6138888889</v>
      </c>
      <c r="C1200" s="57" t="n">
        <f aca="false">INT($C$2)-INT(Table3[[#This Row],[Last Purchase Date]])</f>
        <v>12</v>
      </c>
      <c r="D1200" s="1" t="n">
        <v>5</v>
      </c>
      <c r="E1200" s="1" t="n">
        <v>728.56</v>
      </c>
      <c r="F1200" s="1" t="n">
        <f aca="false">ROUND((1-_xlfn.PERCENTRANK.INC($C$7:$C$4378,C1200))*9,0)</f>
        <v>7</v>
      </c>
      <c r="G1200" s="1" t="n">
        <f aca="false">ROUND(_xlfn.PERCENTRANK.INC($D$7:$D$4378,D1200)*9,0)</f>
        <v>6</v>
      </c>
      <c r="H1200" s="1" t="n">
        <f aca="false">ROUND(_xlfn.PERCENTRANK.INC($E$7:$E$4378,E1200)*9,0)</f>
        <v>5</v>
      </c>
      <c r="I1200" s="1" t="str">
        <f aca="false">CONCATENATE(F1200,G1200,H1200)</f>
        <v>765</v>
      </c>
      <c r="J1200" s="1" t="str">
        <f aca="false">_xlfn.IFS(AND(F1200&gt;=8,G1200&gt;=8,H1200&gt;=8),"CHAMPION",AND(F1200&gt;=6,G1200&gt;=7,H1200&gt;=6),"LOYAL CUSTOMER",AND(F1200&gt;=6,G1200&gt;=5,H1200&gt;=5),"POTENTIAL LOYALIST",AND(F1200&gt;=8,G1200&lt;=2,H1200&gt;=5),"NEW CUSTOMERS",AND(F1200&gt;=6,G1200&lt;=2,H1200&gt;=3),"PROMISING",AND(F1200&gt;=3,G1200&gt;=3,H1200&gt;=3),"NEED ATTENTION",AND(F1200&lt;=4,G1200&gt;=6,H1200&gt;=6),"AT RISK",AND(F1200&lt;=2,G1200&gt;=8,H1200&gt;=8),"CAN'T LOSE THEM",AND(F1200&lt;=2,G1200&lt;=2,H1200&lt;=2),"HIBERNATING",TRUE(),"Other")</f>
        <v>POTENTIAL LOYALIST</v>
      </c>
      <c r="K1200" s="1" t="n">
        <f aca="false">RANK(E1200,$E$7:$E$4378)+COUNTIF($E$7:E1200,E1200)-1</f>
        <v>2012</v>
      </c>
    </row>
    <row r="1201" customFormat="false" ht="14.25" hidden="false" customHeight="true" outlineLevel="0" collapsed="false">
      <c r="A1201" s="51" t="n">
        <v>13951</v>
      </c>
      <c r="B1201" s="53" t="n">
        <v>40710.6965277778</v>
      </c>
      <c r="C1201" s="57" t="n">
        <f aca="false">INT($C$2)-INT(Table3[[#This Row],[Last Purchase Date]])</f>
        <v>177</v>
      </c>
      <c r="D1201" s="1" t="n">
        <v>3</v>
      </c>
      <c r="E1201" s="1" t="n">
        <v>674.45</v>
      </c>
      <c r="F1201" s="1" t="n">
        <f aca="false">ROUND((1-_xlfn.PERCENTRANK.INC($C$7:$C$4378,C1201))*9,0)</f>
        <v>2</v>
      </c>
      <c r="G1201" s="1" t="n">
        <f aca="false">ROUND(_xlfn.PERCENTRANK.INC($D$7:$D$4378,D1201)*9,0)</f>
        <v>4</v>
      </c>
      <c r="H1201" s="1" t="n">
        <f aca="false">ROUND(_xlfn.PERCENTRANK.INC($E$7:$E$4378,E1201)*9,0)</f>
        <v>5</v>
      </c>
      <c r="I1201" s="1" t="str">
        <f aca="false">CONCATENATE(F1201,G1201,H1201)</f>
        <v>245</v>
      </c>
      <c r="J1201" s="1" t="str">
        <f aca="false">_xlfn.IFS(AND(F1201&gt;=8,G1201&gt;=8,H1201&gt;=8),"CHAMPION",AND(F1201&gt;=6,G1201&gt;=7,H1201&gt;=6),"LOYAL CUSTOMER",AND(F1201&gt;=6,G1201&gt;=5,H1201&gt;=5),"POTENTIAL LOYALIST",AND(F1201&gt;=8,G1201&lt;=2,H1201&gt;=5),"NEW CUSTOMERS",AND(F1201&gt;=6,G1201&lt;=2,H1201&gt;=3),"PROMISING",AND(F1201&gt;=3,G1201&gt;=3,H1201&gt;=3),"NEED ATTENTION",AND(F1201&lt;=4,G1201&gt;=6,H1201&gt;=6),"AT RISK",AND(F1201&lt;=2,G1201&gt;=8,H1201&gt;=8),"CAN'T LOSE THEM",AND(F1201&lt;=2,G1201&lt;=2,H1201&lt;=2),"HIBERNATING",TRUE(),"Other")</f>
        <v>Other</v>
      </c>
      <c r="K1201" s="1" t="n">
        <f aca="false">RANK(E1201,$E$7:$E$4378)+COUNTIF($E$7:E1201,E1201)-1</f>
        <v>2121</v>
      </c>
    </row>
    <row r="1202" customFormat="false" ht="14.25" hidden="false" customHeight="true" outlineLevel="0" collapsed="false">
      <c r="A1202" s="51" t="n">
        <v>13952</v>
      </c>
      <c r="B1202" s="53" t="n">
        <v>40675.8104166667</v>
      </c>
      <c r="C1202" s="57" t="n">
        <f aca="false">INT($C$2)-INT(Table3[[#This Row],[Last Purchase Date]])</f>
        <v>212</v>
      </c>
      <c r="D1202" s="1" t="n">
        <v>3</v>
      </c>
      <c r="E1202" s="1" t="n">
        <v>3246.091</v>
      </c>
      <c r="F1202" s="1" t="n">
        <f aca="false">ROUND((1-_xlfn.PERCENTRANK.INC($C$7:$C$4378,C1202))*9,0)</f>
        <v>1</v>
      </c>
      <c r="G1202" s="1" t="n">
        <f aca="false">ROUND(_xlfn.PERCENTRANK.INC($D$7:$D$4378,D1202)*9,0)</f>
        <v>4</v>
      </c>
      <c r="H1202" s="1" t="n">
        <f aca="false">ROUND(_xlfn.PERCENTRANK.INC($E$7:$E$4378,E1202)*9,0)</f>
        <v>8</v>
      </c>
      <c r="I1202" s="1" t="str">
        <f aca="false">CONCATENATE(F1202,G1202,H1202)</f>
        <v>148</v>
      </c>
      <c r="J1202" s="1" t="str">
        <f aca="false">_xlfn.IFS(AND(F1202&gt;=8,G1202&gt;=8,H1202&gt;=8),"CHAMPION",AND(F1202&gt;=6,G1202&gt;=7,H1202&gt;=6),"LOYAL CUSTOMER",AND(F1202&gt;=6,G1202&gt;=5,H1202&gt;=5),"POTENTIAL LOYALIST",AND(F1202&gt;=8,G1202&lt;=2,H1202&gt;=5),"NEW CUSTOMERS",AND(F1202&gt;=6,G1202&lt;=2,H1202&gt;=3),"PROMISING",AND(F1202&gt;=3,G1202&gt;=3,H1202&gt;=3),"NEED ATTENTION",AND(F1202&lt;=4,G1202&gt;=6,H1202&gt;=6),"AT RISK",AND(F1202&lt;=2,G1202&gt;=8,H1202&gt;=8),"CAN'T LOSE THEM",AND(F1202&lt;=2,G1202&lt;=2,H1202&lt;=2),"HIBERNATING",TRUE(),"Other")</f>
        <v>Other</v>
      </c>
      <c r="K1202" s="1" t="n">
        <f aca="false">RANK(E1202,$E$7:$E$4378)+COUNTIF($E$7:E1202,E1202)-1</f>
        <v>484</v>
      </c>
    </row>
    <row r="1203" customFormat="false" ht="14.25" hidden="false" customHeight="true" outlineLevel="0" collapsed="false">
      <c r="A1203" s="51" t="n">
        <v>13953</v>
      </c>
      <c r="B1203" s="53" t="n">
        <v>40879.6694444444</v>
      </c>
      <c r="C1203" s="57" t="n">
        <f aca="false">INT($C$2)-INT(Table3[[#This Row],[Last Purchase Date]])</f>
        <v>8</v>
      </c>
      <c r="D1203" s="1" t="n">
        <v>7</v>
      </c>
      <c r="E1203" s="1" t="n">
        <v>3515.68</v>
      </c>
      <c r="F1203" s="1" t="n">
        <f aca="false">ROUND((1-_xlfn.PERCENTRANK.INC($C$7:$C$4378,C1203))*9,0)</f>
        <v>8</v>
      </c>
      <c r="G1203" s="1" t="n">
        <f aca="false">ROUND(_xlfn.PERCENTRANK.INC($D$7:$D$4378,D1203)*9,0)</f>
        <v>7</v>
      </c>
      <c r="H1203" s="1" t="n">
        <f aca="false">ROUND(_xlfn.PERCENTRANK.INC($E$7:$E$4378,E1203)*9,0)</f>
        <v>8</v>
      </c>
      <c r="I1203" s="1" t="str">
        <f aca="false">CONCATENATE(F1203,G1203,H1203)</f>
        <v>878</v>
      </c>
      <c r="J1203" s="1" t="str">
        <f aca="false">_xlfn.IFS(AND(F1203&gt;=8,G1203&gt;=8,H1203&gt;=8),"CHAMPION",AND(F1203&gt;=6,G1203&gt;=7,H1203&gt;=6),"LOYAL CUSTOMER",AND(F1203&gt;=6,G1203&gt;=5,H1203&gt;=5),"POTENTIAL LOYALIST",AND(F1203&gt;=8,G1203&lt;=2,H1203&gt;=5),"NEW CUSTOMERS",AND(F1203&gt;=6,G1203&lt;=2,H1203&gt;=3),"PROMISING",AND(F1203&gt;=3,G1203&gt;=3,H1203&gt;=3),"NEED ATTENTION",AND(F1203&lt;=4,G1203&gt;=6,H1203&gt;=6),"AT RISK",AND(F1203&lt;=2,G1203&gt;=8,H1203&gt;=8),"CAN'T LOSE THEM",AND(F1203&lt;=2,G1203&lt;=2,H1203&lt;=2),"HIBERNATING",TRUE(),"Other")</f>
        <v>LOYAL CUSTOMER</v>
      </c>
      <c r="K1203" s="1" t="n">
        <f aca="false">RANK(E1203,$E$7:$E$4378)+COUNTIF($E$7:E1203,E1203)-1</f>
        <v>437</v>
      </c>
    </row>
    <row r="1204" customFormat="false" ht="14.25" hidden="false" customHeight="true" outlineLevel="0" collapsed="false">
      <c r="A1204" s="51" t="n">
        <v>13954</v>
      </c>
      <c r="B1204" s="53" t="n">
        <v>40885.5347222222</v>
      </c>
      <c r="C1204" s="57" t="n">
        <f aca="false">INT($C$2)-INT(Table3[[#This Row],[Last Purchase Date]])</f>
        <v>2</v>
      </c>
      <c r="D1204" s="1" t="n">
        <v>3</v>
      </c>
      <c r="E1204" s="1" t="n">
        <v>378.59</v>
      </c>
      <c r="F1204" s="1" t="n">
        <f aca="false">ROUND((1-_xlfn.PERCENTRANK.INC($C$7:$C$4378,C1204))*9,0)</f>
        <v>9</v>
      </c>
      <c r="G1204" s="1" t="n">
        <f aca="false">ROUND(_xlfn.PERCENTRANK.INC($D$7:$D$4378,D1204)*9,0)</f>
        <v>4</v>
      </c>
      <c r="H1204" s="1" t="n">
        <f aca="false">ROUND(_xlfn.PERCENTRANK.INC($E$7:$E$4378,E1204)*9,0)</f>
        <v>3</v>
      </c>
      <c r="I1204" s="1" t="str">
        <f aca="false">CONCATENATE(F1204,G1204,H1204)</f>
        <v>943</v>
      </c>
      <c r="J1204" s="1" t="str">
        <f aca="false">_xlfn.IFS(AND(F1204&gt;=8,G1204&gt;=8,H1204&gt;=8),"CHAMPION",AND(F1204&gt;=6,G1204&gt;=7,H1204&gt;=6),"LOYAL CUSTOMER",AND(F1204&gt;=6,G1204&gt;=5,H1204&gt;=5),"POTENTIAL LOYALIST",AND(F1204&gt;=8,G1204&lt;=2,H1204&gt;=5),"NEW CUSTOMERS",AND(F1204&gt;=6,G1204&lt;=2,H1204&gt;=3),"PROMISING",AND(F1204&gt;=3,G1204&gt;=3,H1204&gt;=3),"NEED ATTENTION",AND(F1204&lt;=4,G1204&gt;=6,H1204&gt;=6),"AT RISK",AND(F1204&lt;=2,G1204&gt;=8,H1204&gt;=8),"CAN'T LOSE THEM",AND(F1204&lt;=2,G1204&lt;=2,H1204&lt;=2),"HIBERNATING",TRUE(),"Other")</f>
        <v>NEED ATTENTION</v>
      </c>
      <c r="K1204" s="1" t="n">
        <f aca="false">RANK(E1204,$E$7:$E$4378)+COUNTIF($E$7:E1204,E1204)-1</f>
        <v>2903</v>
      </c>
    </row>
    <row r="1205" customFormat="false" ht="14.25" hidden="false" customHeight="true" outlineLevel="0" collapsed="false">
      <c r="A1205" s="51" t="n">
        <v>13955</v>
      </c>
      <c r="B1205" s="53" t="n">
        <v>40732.7215277778</v>
      </c>
      <c r="C1205" s="57" t="n">
        <f aca="false">INT($C$2)-INT(Table3[[#This Row],[Last Purchase Date]])</f>
        <v>155</v>
      </c>
      <c r="D1205" s="1" t="n">
        <v>2</v>
      </c>
      <c r="E1205" s="1" t="n">
        <v>322.96</v>
      </c>
      <c r="F1205" s="1" t="n">
        <f aca="false">ROUND((1-_xlfn.PERCENTRANK.INC($C$7:$C$4378,C1205))*9,0)</f>
        <v>2</v>
      </c>
      <c r="G1205" s="1" t="n">
        <f aca="false">ROUND(_xlfn.PERCENTRANK.INC($D$7:$D$4378,D1205)*9,0)</f>
        <v>3</v>
      </c>
      <c r="H1205" s="1" t="n">
        <f aca="false">ROUND(_xlfn.PERCENTRANK.INC($E$7:$E$4378,E1205)*9,0)</f>
        <v>3</v>
      </c>
      <c r="I1205" s="1" t="str">
        <f aca="false">CONCATENATE(F1205,G1205,H1205)</f>
        <v>233</v>
      </c>
      <c r="J1205" s="1" t="str">
        <f aca="false">_xlfn.IFS(AND(F1205&gt;=8,G1205&gt;=8,H1205&gt;=8),"CHAMPION",AND(F1205&gt;=6,G1205&gt;=7,H1205&gt;=6),"LOYAL CUSTOMER",AND(F1205&gt;=6,G1205&gt;=5,H1205&gt;=5),"POTENTIAL LOYALIST",AND(F1205&gt;=8,G1205&lt;=2,H1205&gt;=5),"NEW CUSTOMERS",AND(F1205&gt;=6,G1205&lt;=2,H1205&gt;=3),"PROMISING",AND(F1205&gt;=3,G1205&gt;=3,H1205&gt;=3),"NEED ATTENTION",AND(F1205&lt;=4,G1205&gt;=6,H1205&gt;=6),"AT RISK",AND(F1205&lt;=2,G1205&gt;=8,H1205&gt;=8),"CAN'T LOSE THEM",AND(F1205&lt;=2,G1205&lt;=2,H1205&lt;=2),"HIBERNATING",TRUE(),"Other")</f>
        <v>Other</v>
      </c>
      <c r="K1205" s="1" t="n">
        <f aca="false">RANK(E1205,$E$7:$E$4378)+COUNTIF($E$7:E1205,E1205)-1</f>
        <v>3126</v>
      </c>
    </row>
    <row r="1206" customFormat="false" ht="14.25" hidden="false" customHeight="true" outlineLevel="0" collapsed="false">
      <c r="A1206" s="51" t="n">
        <v>13956</v>
      </c>
      <c r="B1206" s="53" t="n">
        <v>40881.5555555556</v>
      </c>
      <c r="C1206" s="57" t="n">
        <f aca="false">INT($C$2)-INT(Table3[[#This Row],[Last Purchase Date]])</f>
        <v>6</v>
      </c>
      <c r="D1206" s="1" t="n">
        <v>5</v>
      </c>
      <c r="E1206" s="1" t="n">
        <v>1026.42</v>
      </c>
      <c r="F1206" s="1" t="n">
        <f aca="false">ROUND((1-_xlfn.PERCENTRANK.INC($C$7:$C$4378,C1206))*9,0)</f>
        <v>8</v>
      </c>
      <c r="G1206" s="1" t="n">
        <f aca="false">ROUND(_xlfn.PERCENTRANK.INC($D$7:$D$4378,D1206)*9,0)</f>
        <v>6</v>
      </c>
      <c r="H1206" s="1" t="n">
        <f aca="false">ROUND(_xlfn.PERCENTRANK.INC($E$7:$E$4378,E1206)*9,0)</f>
        <v>6</v>
      </c>
      <c r="I1206" s="1" t="str">
        <f aca="false">CONCATENATE(F1206,G1206,H1206)</f>
        <v>866</v>
      </c>
      <c r="J1206" s="1" t="str">
        <f aca="false">_xlfn.IFS(AND(F1206&gt;=8,G1206&gt;=8,H1206&gt;=8),"CHAMPION",AND(F1206&gt;=6,G1206&gt;=7,H1206&gt;=6),"LOYAL CUSTOMER",AND(F1206&gt;=6,G1206&gt;=5,H1206&gt;=5),"POTENTIAL LOYALIST",AND(F1206&gt;=8,G1206&lt;=2,H1206&gt;=5),"NEW CUSTOMERS",AND(F1206&gt;=6,G1206&lt;=2,H1206&gt;=3),"PROMISING",AND(F1206&gt;=3,G1206&gt;=3,H1206&gt;=3),"NEED ATTENTION",AND(F1206&lt;=4,G1206&gt;=6,H1206&gt;=6),"AT RISK",AND(F1206&lt;=2,G1206&gt;=8,H1206&gt;=8),"CAN'T LOSE THEM",AND(F1206&lt;=2,G1206&lt;=2,H1206&lt;=2),"HIBERNATING",TRUE(),"Other")</f>
        <v>POTENTIAL LOYALIST</v>
      </c>
      <c r="K1206" s="1" t="n">
        <f aca="false">RANK(E1206,$E$7:$E$4378)+COUNTIF($E$7:E1206,E1206)-1</f>
        <v>1600</v>
      </c>
    </row>
    <row r="1207" customFormat="false" ht="14.25" hidden="false" customHeight="true" outlineLevel="0" collapsed="false">
      <c r="A1207" s="51" t="n">
        <v>13958</v>
      </c>
      <c r="B1207" s="53" t="n">
        <v>40514.7104166667</v>
      </c>
      <c r="C1207" s="57" t="n">
        <f aca="false">INT($C$2)-INT(Table3[[#This Row],[Last Purchase Date]])</f>
        <v>373</v>
      </c>
      <c r="D1207" s="1" t="n">
        <v>1</v>
      </c>
      <c r="E1207" s="1" t="n">
        <v>-102.45</v>
      </c>
      <c r="F1207" s="1" t="n">
        <f aca="false">ROUND((1-_xlfn.PERCENTRANK.INC($C$7:$C$4378,C1207))*9,0)</f>
        <v>0</v>
      </c>
      <c r="G1207" s="1" t="n">
        <f aca="false">ROUND(_xlfn.PERCENTRANK.INC($D$7:$D$4378,D1207)*9,0)</f>
        <v>0</v>
      </c>
      <c r="H1207" s="1" t="n">
        <f aca="false">ROUND(_xlfn.PERCENTRANK.INC($E$7:$E$4378,E1207)*9,0)</f>
        <v>0</v>
      </c>
      <c r="I1207" s="1" t="str">
        <f aca="false">CONCATENATE(F1207,G1207,H1207)</f>
        <v>000</v>
      </c>
      <c r="J1207" s="1" t="str">
        <f aca="false">_xlfn.IFS(AND(F1207&gt;=8,G1207&gt;=8,H1207&gt;=8),"CHAMPION",AND(F1207&gt;=6,G1207&gt;=7,H1207&gt;=6),"LOYAL CUSTOMER",AND(F1207&gt;=6,G1207&gt;=5,H1207&gt;=5),"POTENTIAL LOYALIST",AND(F1207&gt;=8,G1207&lt;=2,H1207&gt;=5),"NEW CUSTOMERS",AND(F1207&gt;=6,G1207&lt;=2,H1207&gt;=3),"PROMISING",AND(F1207&gt;=3,G1207&gt;=3,H1207&gt;=3),"NEED ATTENTION",AND(F1207&lt;=4,G1207&gt;=6,H1207&gt;=6),"AT RISK",AND(F1207&lt;=2,G1207&gt;=8,H1207&gt;=8),"CAN'T LOSE THEM",AND(F1207&lt;=2,G1207&lt;=2,H1207&lt;=2),"HIBERNATING",TRUE(),"Other")</f>
        <v>HIBERNATING</v>
      </c>
      <c r="K1207" s="1" t="n">
        <f aca="false">RANK(E1207,$E$7:$E$4378)+COUNTIF($E$7:E1207,E1207)-1</f>
        <v>4358</v>
      </c>
    </row>
    <row r="1208" customFormat="false" ht="14.25" hidden="false" customHeight="true" outlineLevel="0" collapsed="false">
      <c r="A1208" s="51" t="n">
        <v>13959</v>
      </c>
      <c r="B1208" s="53" t="n">
        <v>40807.6291666667</v>
      </c>
      <c r="C1208" s="57" t="n">
        <f aca="false">INT($C$2)-INT(Table3[[#This Row],[Last Purchase Date]])</f>
        <v>80</v>
      </c>
      <c r="D1208" s="1" t="n">
        <v>3</v>
      </c>
      <c r="E1208" s="1" t="n">
        <v>598.2</v>
      </c>
      <c r="F1208" s="1" t="n">
        <f aca="false">ROUND((1-_xlfn.PERCENTRANK.INC($C$7:$C$4378,C1208))*9,0)</f>
        <v>3</v>
      </c>
      <c r="G1208" s="1" t="n">
        <f aca="false">ROUND(_xlfn.PERCENTRANK.INC($D$7:$D$4378,D1208)*9,0)</f>
        <v>4</v>
      </c>
      <c r="H1208" s="1" t="n">
        <f aca="false">ROUND(_xlfn.PERCENTRANK.INC($E$7:$E$4378,E1208)*9,0)</f>
        <v>4</v>
      </c>
      <c r="I1208" s="1" t="str">
        <f aca="false">CONCATENATE(F1208,G1208,H1208)</f>
        <v>344</v>
      </c>
      <c r="J1208" s="1" t="str">
        <f aca="false">_xlfn.IFS(AND(F1208&gt;=8,G1208&gt;=8,H1208&gt;=8),"CHAMPION",AND(F1208&gt;=6,G1208&gt;=7,H1208&gt;=6),"LOYAL CUSTOMER",AND(F1208&gt;=6,G1208&gt;=5,H1208&gt;=5),"POTENTIAL LOYALIST",AND(F1208&gt;=8,G1208&lt;=2,H1208&gt;=5),"NEW CUSTOMERS",AND(F1208&gt;=6,G1208&lt;=2,H1208&gt;=3),"PROMISING",AND(F1208&gt;=3,G1208&gt;=3,H1208&gt;=3),"NEED ATTENTION",AND(F1208&lt;=4,G1208&gt;=6,H1208&gt;=6),"AT RISK",AND(F1208&lt;=2,G1208&gt;=8,H1208&gt;=8),"CAN'T LOSE THEM",AND(F1208&lt;=2,G1208&lt;=2,H1208&lt;=2),"HIBERNATING",TRUE(),"Other")</f>
        <v>NEED ATTENTION</v>
      </c>
      <c r="K1208" s="1" t="n">
        <f aca="false">RANK(E1208,$E$7:$E$4378)+COUNTIF($E$7:E1208,E1208)-1</f>
        <v>2327</v>
      </c>
    </row>
    <row r="1209" customFormat="false" ht="14.25" hidden="false" customHeight="true" outlineLevel="0" collapsed="false">
      <c r="A1209" s="51" t="n">
        <v>13960</v>
      </c>
      <c r="B1209" s="53" t="n">
        <v>40865.64375</v>
      </c>
      <c r="C1209" s="57" t="n">
        <f aca="false">INT($C$2)-INT(Table3[[#This Row],[Last Purchase Date]])</f>
        <v>22</v>
      </c>
      <c r="D1209" s="1" t="n">
        <v>2</v>
      </c>
      <c r="E1209" s="1" t="n">
        <v>230.22</v>
      </c>
      <c r="F1209" s="1" t="n">
        <f aca="false">ROUND((1-_xlfn.PERCENTRANK.INC($C$7:$C$4378,C1209))*9,0)</f>
        <v>6</v>
      </c>
      <c r="G1209" s="1" t="n">
        <f aca="false">ROUND(_xlfn.PERCENTRANK.INC($D$7:$D$4378,D1209)*9,0)</f>
        <v>3</v>
      </c>
      <c r="H1209" s="1" t="n">
        <f aca="false">ROUND(_xlfn.PERCENTRANK.INC($E$7:$E$4378,E1209)*9,0)</f>
        <v>2</v>
      </c>
      <c r="I1209" s="1" t="str">
        <f aca="false">CONCATENATE(F1209,G1209,H1209)</f>
        <v>632</v>
      </c>
      <c r="J1209" s="1" t="str">
        <f aca="false">_xlfn.IFS(AND(F1209&gt;=8,G1209&gt;=8,H1209&gt;=8),"CHAMPION",AND(F1209&gt;=6,G1209&gt;=7,H1209&gt;=6),"LOYAL CUSTOMER",AND(F1209&gt;=6,G1209&gt;=5,H1209&gt;=5),"POTENTIAL LOYALIST",AND(F1209&gt;=8,G1209&lt;=2,H1209&gt;=5),"NEW CUSTOMERS",AND(F1209&gt;=6,G1209&lt;=2,H1209&gt;=3),"PROMISING",AND(F1209&gt;=3,G1209&gt;=3,H1209&gt;=3),"NEED ATTENTION",AND(F1209&lt;=4,G1209&gt;=6,H1209&gt;=6),"AT RISK",AND(F1209&lt;=2,G1209&gt;=8,H1209&gt;=8),"CAN'T LOSE THEM",AND(F1209&lt;=2,G1209&lt;=2,H1209&lt;=2),"HIBERNATING",TRUE(),"Other")</f>
        <v>Other</v>
      </c>
      <c r="K1209" s="1" t="n">
        <f aca="false">RANK(E1209,$E$7:$E$4378)+COUNTIF($E$7:E1209,E1209)-1</f>
        <v>3518</v>
      </c>
    </row>
    <row r="1210" customFormat="false" ht="14.25" hidden="false" customHeight="true" outlineLevel="0" collapsed="false">
      <c r="A1210" s="51" t="n">
        <v>13962</v>
      </c>
      <c r="B1210" s="53" t="n">
        <v>40865.3659722222</v>
      </c>
      <c r="C1210" s="57" t="n">
        <f aca="false">INT($C$2)-INT(Table3[[#This Row],[Last Purchase Date]])</f>
        <v>22</v>
      </c>
      <c r="D1210" s="1" t="n">
        <v>2</v>
      </c>
      <c r="E1210" s="1" t="n">
        <v>169.55</v>
      </c>
      <c r="F1210" s="1" t="n">
        <f aca="false">ROUND((1-_xlfn.PERCENTRANK.INC($C$7:$C$4378,C1210))*9,0)</f>
        <v>6</v>
      </c>
      <c r="G1210" s="1" t="n">
        <f aca="false">ROUND(_xlfn.PERCENTRANK.INC($D$7:$D$4378,D1210)*9,0)</f>
        <v>3</v>
      </c>
      <c r="H1210" s="1" t="n">
        <f aca="false">ROUND(_xlfn.PERCENTRANK.INC($E$7:$E$4378,E1210)*9,0)</f>
        <v>1</v>
      </c>
      <c r="I1210" s="1" t="str">
        <f aca="false">CONCATENATE(F1210,G1210,H1210)</f>
        <v>631</v>
      </c>
      <c r="J1210" s="1" t="str">
        <f aca="false">_xlfn.IFS(AND(F1210&gt;=8,G1210&gt;=8,H1210&gt;=8),"CHAMPION",AND(F1210&gt;=6,G1210&gt;=7,H1210&gt;=6),"LOYAL CUSTOMER",AND(F1210&gt;=6,G1210&gt;=5,H1210&gt;=5),"POTENTIAL LOYALIST",AND(F1210&gt;=8,G1210&lt;=2,H1210&gt;=5),"NEW CUSTOMERS",AND(F1210&gt;=6,G1210&lt;=2,H1210&gt;=3),"PROMISING",AND(F1210&gt;=3,G1210&gt;=3,H1210&gt;=3),"NEED ATTENTION",AND(F1210&lt;=4,G1210&gt;=6,H1210&gt;=6),"AT RISK",AND(F1210&lt;=2,G1210&gt;=8,H1210&gt;=8),"CAN'T LOSE THEM",AND(F1210&lt;=2,G1210&lt;=2,H1210&lt;=2),"HIBERNATING",TRUE(),"Other")</f>
        <v>Other</v>
      </c>
      <c r="K1210" s="1" t="n">
        <f aca="false">RANK(E1210,$E$7:$E$4378)+COUNTIF($E$7:E1210,E1210)-1</f>
        <v>3805</v>
      </c>
    </row>
    <row r="1211" customFormat="false" ht="14.25" hidden="false" customHeight="true" outlineLevel="0" collapsed="false">
      <c r="A1211" s="51" t="n">
        <v>13963</v>
      </c>
      <c r="B1211" s="53" t="n">
        <v>40578.6131944444</v>
      </c>
      <c r="C1211" s="57" t="n">
        <f aca="false">INT($C$2)-INT(Table3[[#This Row],[Last Purchase Date]])</f>
        <v>309</v>
      </c>
      <c r="D1211" s="1" t="n">
        <v>4</v>
      </c>
      <c r="E1211" s="1" t="n">
        <v>664.54</v>
      </c>
      <c r="F1211" s="1" t="n">
        <f aca="false">ROUND((1-_xlfn.PERCENTRANK.INC($C$7:$C$4378,C1211))*9,0)</f>
        <v>1</v>
      </c>
      <c r="G1211" s="1" t="n">
        <f aca="false">ROUND(_xlfn.PERCENTRANK.INC($D$7:$D$4378,D1211)*9,0)</f>
        <v>5</v>
      </c>
      <c r="H1211" s="1" t="n">
        <f aca="false">ROUND(_xlfn.PERCENTRANK.INC($E$7:$E$4378,E1211)*9,0)</f>
        <v>5</v>
      </c>
      <c r="I1211" s="1" t="str">
        <f aca="false">CONCATENATE(F1211,G1211,H1211)</f>
        <v>155</v>
      </c>
      <c r="J1211" s="1" t="str">
        <f aca="false">_xlfn.IFS(AND(F1211&gt;=8,G1211&gt;=8,H1211&gt;=8),"CHAMPION",AND(F1211&gt;=6,G1211&gt;=7,H1211&gt;=6),"LOYAL CUSTOMER",AND(F1211&gt;=6,G1211&gt;=5,H1211&gt;=5),"POTENTIAL LOYALIST",AND(F1211&gt;=8,G1211&lt;=2,H1211&gt;=5),"NEW CUSTOMERS",AND(F1211&gt;=6,G1211&lt;=2,H1211&gt;=3),"PROMISING",AND(F1211&gt;=3,G1211&gt;=3,H1211&gt;=3),"NEED ATTENTION",AND(F1211&lt;=4,G1211&gt;=6,H1211&gt;=6),"AT RISK",AND(F1211&lt;=2,G1211&gt;=8,H1211&gt;=8),"CAN'T LOSE THEM",AND(F1211&lt;=2,G1211&lt;=2,H1211&lt;=2),"HIBERNATING",TRUE(),"Other")</f>
        <v>Other</v>
      </c>
      <c r="K1211" s="1" t="n">
        <f aca="false">RANK(E1211,$E$7:$E$4378)+COUNTIF($E$7:E1211,E1211)-1</f>
        <v>2143</v>
      </c>
    </row>
    <row r="1212" customFormat="false" ht="14.25" hidden="false" customHeight="true" outlineLevel="0" collapsed="false">
      <c r="A1212" s="51" t="n">
        <v>13967</v>
      </c>
      <c r="B1212" s="53" t="n">
        <v>40741.5013888889</v>
      </c>
      <c r="C1212" s="57" t="n">
        <f aca="false">INT($C$2)-INT(Table3[[#This Row],[Last Purchase Date]])</f>
        <v>146</v>
      </c>
      <c r="D1212" s="1" t="n">
        <v>1</v>
      </c>
      <c r="E1212" s="1" t="n">
        <v>80.7</v>
      </c>
      <c r="F1212" s="1" t="n">
        <f aca="false">ROUND((1-_xlfn.PERCENTRANK.INC($C$7:$C$4378,C1212))*9,0)</f>
        <v>2</v>
      </c>
      <c r="G1212" s="1" t="n">
        <f aca="false">ROUND(_xlfn.PERCENTRANK.INC($D$7:$D$4378,D1212)*9,0)</f>
        <v>0</v>
      </c>
      <c r="H1212" s="1" t="n">
        <f aca="false">ROUND(_xlfn.PERCENTRANK.INC($E$7:$E$4378,E1212)*9,0)</f>
        <v>0</v>
      </c>
      <c r="I1212" s="1" t="str">
        <f aca="false">CONCATENATE(F1212,G1212,H1212)</f>
        <v>200</v>
      </c>
      <c r="J1212" s="1" t="str">
        <f aca="false">_xlfn.IFS(AND(F1212&gt;=8,G1212&gt;=8,H1212&gt;=8),"CHAMPION",AND(F1212&gt;=6,G1212&gt;=7,H1212&gt;=6),"LOYAL CUSTOMER",AND(F1212&gt;=6,G1212&gt;=5,H1212&gt;=5),"POTENTIAL LOYALIST",AND(F1212&gt;=8,G1212&lt;=2,H1212&gt;=5),"NEW CUSTOMERS",AND(F1212&gt;=6,G1212&lt;=2,H1212&gt;=3),"PROMISING",AND(F1212&gt;=3,G1212&gt;=3,H1212&gt;=3),"NEED ATTENTION",AND(F1212&lt;=4,G1212&gt;=6,H1212&gt;=6),"AT RISK",AND(F1212&lt;=2,G1212&gt;=8,H1212&gt;=8),"CAN'T LOSE THEM",AND(F1212&lt;=2,G1212&lt;=2,H1212&lt;=2),"HIBERNATING",TRUE(),"Other")</f>
        <v>HIBERNATING</v>
      </c>
      <c r="K1212" s="1" t="n">
        <f aca="false">RANK(E1212,$E$7:$E$4378)+COUNTIF($E$7:E1212,E1212)-1</f>
        <v>4216</v>
      </c>
    </row>
    <row r="1213" customFormat="false" ht="14.25" hidden="false" customHeight="true" outlineLevel="0" collapsed="false">
      <c r="A1213" s="51" t="n">
        <v>13969</v>
      </c>
      <c r="B1213" s="53" t="n">
        <v>40879.6326388889</v>
      </c>
      <c r="C1213" s="57" t="n">
        <f aca="false">INT($C$2)-INT(Table3[[#This Row],[Last Purchase Date]])</f>
        <v>8</v>
      </c>
      <c r="D1213" s="1" t="n">
        <v>20</v>
      </c>
      <c r="E1213" s="1" t="n">
        <v>8986.69</v>
      </c>
      <c r="F1213" s="1" t="n">
        <f aca="false">ROUND((1-_xlfn.PERCENTRANK.INC($C$7:$C$4378,C1213))*9,0)</f>
        <v>8</v>
      </c>
      <c r="G1213" s="1" t="n">
        <f aca="false">ROUND(_xlfn.PERCENTRANK.INC($D$7:$D$4378,D1213)*9,0)</f>
        <v>9</v>
      </c>
      <c r="H1213" s="1" t="n">
        <f aca="false">ROUND(_xlfn.PERCENTRANK.INC($E$7:$E$4378,E1213)*9,0)</f>
        <v>9</v>
      </c>
      <c r="I1213" s="1" t="str">
        <f aca="false">CONCATENATE(F1213,G1213,H1213)</f>
        <v>899</v>
      </c>
      <c r="J1213" s="1" t="str">
        <f aca="false">_xlfn.IFS(AND(F1213&gt;=8,G1213&gt;=8,H1213&gt;=8),"CHAMPION",AND(F1213&gt;=6,G1213&gt;=7,H1213&gt;=6),"LOYAL CUSTOMER",AND(F1213&gt;=6,G1213&gt;=5,H1213&gt;=5),"POTENTIAL LOYALIST",AND(F1213&gt;=8,G1213&lt;=2,H1213&gt;=5),"NEW CUSTOMERS",AND(F1213&gt;=6,G1213&lt;=2,H1213&gt;=3),"PROMISING",AND(F1213&gt;=3,G1213&gt;=3,H1213&gt;=3),"NEED ATTENTION",AND(F1213&lt;=4,G1213&gt;=6,H1213&gt;=6),"AT RISK",AND(F1213&lt;=2,G1213&gt;=8,H1213&gt;=8),"CAN'T LOSE THEM",AND(F1213&lt;=2,G1213&lt;=2,H1213&lt;=2),"HIBERNATING",TRUE(),"Other")</f>
        <v>CHAMPION</v>
      </c>
      <c r="K1213" s="1" t="n">
        <f aca="false">RANK(E1213,$E$7:$E$4378)+COUNTIF($E$7:E1213,E1213)-1</f>
        <v>111</v>
      </c>
    </row>
    <row r="1214" customFormat="false" ht="14.25" hidden="false" customHeight="true" outlineLevel="0" collapsed="false">
      <c r="A1214" s="51" t="n">
        <v>13971</v>
      </c>
      <c r="B1214" s="53" t="n">
        <v>40878.3520833333</v>
      </c>
      <c r="C1214" s="57" t="n">
        <f aca="false">INT($C$2)-INT(Table3[[#This Row],[Last Purchase Date]])</f>
        <v>9</v>
      </c>
      <c r="D1214" s="1" t="n">
        <v>11</v>
      </c>
      <c r="E1214" s="1" t="n">
        <v>2702.22</v>
      </c>
      <c r="F1214" s="1" t="n">
        <f aca="false">ROUND((1-_xlfn.PERCENTRANK.INC($C$7:$C$4378,C1214))*9,0)</f>
        <v>8</v>
      </c>
      <c r="G1214" s="1" t="n">
        <f aca="false">ROUND(_xlfn.PERCENTRANK.INC($D$7:$D$4378,D1214)*9,0)</f>
        <v>8</v>
      </c>
      <c r="H1214" s="1" t="n">
        <f aca="false">ROUND(_xlfn.PERCENTRANK.INC($E$7:$E$4378,E1214)*9,0)</f>
        <v>8</v>
      </c>
      <c r="I1214" s="1" t="str">
        <f aca="false">CONCATENATE(F1214,G1214,H1214)</f>
        <v>888</v>
      </c>
      <c r="J1214" s="1" t="str">
        <f aca="false">_xlfn.IFS(AND(F1214&gt;=8,G1214&gt;=8,H1214&gt;=8),"CHAMPION",AND(F1214&gt;=6,G1214&gt;=7,H1214&gt;=6),"LOYAL CUSTOMER",AND(F1214&gt;=6,G1214&gt;=5,H1214&gt;=5),"POTENTIAL LOYALIST",AND(F1214&gt;=8,G1214&lt;=2,H1214&gt;=5),"NEW CUSTOMERS",AND(F1214&gt;=6,G1214&lt;=2,H1214&gt;=3),"PROMISING",AND(F1214&gt;=3,G1214&gt;=3,H1214&gt;=3),"NEED ATTENTION",AND(F1214&lt;=4,G1214&gt;=6,H1214&gt;=6),"AT RISK",AND(F1214&lt;=2,G1214&gt;=8,H1214&gt;=8),"CAN'T LOSE THEM",AND(F1214&lt;=2,G1214&lt;=2,H1214&lt;=2),"HIBERNATING",TRUE(),"Other")</f>
        <v>CHAMPION</v>
      </c>
      <c r="K1214" s="1" t="n">
        <f aca="false">RANK(E1214,$E$7:$E$4378)+COUNTIF($E$7:E1214,E1214)-1</f>
        <v>615</v>
      </c>
    </row>
    <row r="1215" customFormat="false" ht="14.25" hidden="false" customHeight="true" outlineLevel="0" collapsed="false">
      <c r="A1215" s="51" t="n">
        <v>13972</v>
      </c>
      <c r="B1215" s="53" t="n">
        <v>40816.4958333333</v>
      </c>
      <c r="C1215" s="57" t="n">
        <f aca="false">INT($C$2)-INT(Table3[[#This Row],[Last Purchase Date]])</f>
        <v>71</v>
      </c>
      <c r="D1215" s="1" t="n">
        <v>2</v>
      </c>
      <c r="E1215" s="1" t="n">
        <v>190.25</v>
      </c>
      <c r="F1215" s="1" t="n">
        <f aca="false">ROUND((1-_xlfn.PERCENTRANK.INC($C$7:$C$4378,C1215))*9,0)</f>
        <v>4</v>
      </c>
      <c r="G1215" s="1" t="n">
        <f aca="false">ROUND(_xlfn.PERCENTRANK.INC($D$7:$D$4378,D1215)*9,0)</f>
        <v>3</v>
      </c>
      <c r="H1215" s="1" t="n">
        <f aca="false">ROUND(_xlfn.PERCENTRANK.INC($E$7:$E$4378,E1215)*9,0)</f>
        <v>1</v>
      </c>
      <c r="I1215" s="1" t="str">
        <f aca="false">CONCATENATE(F1215,G1215,H1215)</f>
        <v>431</v>
      </c>
      <c r="J1215" s="1" t="str">
        <f aca="false">_xlfn.IFS(AND(F1215&gt;=8,G1215&gt;=8,H1215&gt;=8),"CHAMPION",AND(F1215&gt;=6,G1215&gt;=7,H1215&gt;=6),"LOYAL CUSTOMER",AND(F1215&gt;=6,G1215&gt;=5,H1215&gt;=5),"POTENTIAL LOYALIST",AND(F1215&gt;=8,G1215&lt;=2,H1215&gt;=5),"NEW CUSTOMERS",AND(F1215&gt;=6,G1215&lt;=2,H1215&gt;=3),"PROMISING",AND(F1215&gt;=3,G1215&gt;=3,H1215&gt;=3),"NEED ATTENTION",AND(F1215&lt;=4,G1215&gt;=6,H1215&gt;=6),"AT RISK",AND(F1215&lt;=2,G1215&gt;=8,H1215&gt;=8),"CAN'T LOSE THEM",AND(F1215&lt;=2,G1215&lt;=2,H1215&lt;=2),"HIBERNATING",TRUE(),"Other")</f>
        <v>Other</v>
      </c>
      <c r="K1215" s="1" t="n">
        <f aca="false">RANK(E1215,$E$7:$E$4378)+COUNTIF($E$7:E1215,E1215)-1</f>
        <v>3707</v>
      </c>
    </row>
    <row r="1216" customFormat="false" ht="14.25" hidden="false" customHeight="true" outlineLevel="0" collapsed="false">
      <c r="A1216" s="51" t="n">
        <v>13973</v>
      </c>
      <c r="B1216" s="53" t="n">
        <v>40599.6395833333</v>
      </c>
      <c r="C1216" s="57" t="n">
        <f aca="false">INT($C$2)-INT(Table3[[#This Row],[Last Purchase Date]])</f>
        <v>288</v>
      </c>
      <c r="D1216" s="1" t="n">
        <v>1</v>
      </c>
      <c r="E1216" s="1" t="n">
        <v>264.7</v>
      </c>
      <c r="F1216" s="1" t="n">
        <f aca="false">ROUND((1-_xlfn.PERCENTRANK.INC($C$7:$C$4378,C1216))*9,0)</f>
        <v>1</v>
      </c>
      <c r="G1216" s="1" t="n">
        <f aca="false">ROUND(_xlfn.PERCENTRANK.INC($D$7:$D$4378,D1216)*9,0)</f>
        <v>0</v>
      </c>
      <c r="H1216" s="1" t="n">
        <f aca="false">ROUND(_xlfn.PERCENTRANK.INC($E$7:$E$4378,E1216)*9,0)</f>
        <v>2</v>
      </c>
      <c r="I1216" s="1" t="str">
        <f aca="false">CONCATENATE(F1216,G1216,H1216)</f>
        <v>102</v>
      </c>
      <c r="J1216" s="1" t="str">
        <f aca="false">_xlfn.IFS(AND(F1216&gt;=8,G1216&gt;=8,H1216&gt;=8),"CHAMPION",AND(F1216&gt;=6,G1216&gt;=7,H1216&gt;=6),"LOYAL CUSTOMER",AND(F1216&gt;=6,G1216&gt;=5,H1216&gt;=5),"POTENTIAL LOYALIST",AND(F1216&gt;=8,G1216&lt;=2,H1216&gt;=5),"NEW CUSTOMERS",AND(F1216&gt;=6,G1216&lt;=2,H1216&gt;=3),"PROMISING",AND(F1216&gt;=3,G1216&gt;=3,H1216&gt;=3),"NEED ATTENTION",AND(F1216&lt;=4,G1216&gt;=6,H1216&gt;=6),"AT RISK",AND(F1216&lt;=2,G1216&gt;=8,H1216&gt;=8),"CAN'T LOSE THEM",AND(F1216&lt;=2,G1216&lt;=2,H1216&lt;=2),"HIBERNATING",TRUE(),"Other")</f>
        <v>HIBERNATING</v>
      </c>
      <c r="K1216" s="1" t="n">
        <f aca="false">RANK(E1216,$E$7:$E$4378)+COUNTIF($E$7:E1216,E1216)-1</f>
        <v>3382</v>
      </c>
    </row>
    <row r="1217" customFormat="false" ht="14.25" hidden="false" customHeight="true" outlineLevel="0" collapsed="false">
      <c r="A1217" s="51" t="n">
        <v>13974</v>
      </c>
      <c r="B1217" s="53" t="n">
        <v>40837.6118055556</v>
      </c>
      <c r="C1217" s="57" t="n">
        <f aca="false">INT($C$2)-INT(Table3[[#This Row],[Last Purchase Date]])</f>
        <v>50</v>
      </c>
      <c r="D1217" s="1" t="n">
        <v>1</v>
      </c>
      <c r="E1217" s="1" t="n">
        <v>413.59</v>
      </c>
      <c r="F1217" s="1" t="n">
        <f aca="false">ROUND((1-_xlfn.PERCENTRANK.INC($C$7:$C$4378,C1217))*9,0)</f>
        <v>5</v>
      </c>
      <c r="G1217" s="1" t="n">
        <f aca="false">ROUND(_xlfn.PERCENTRANK.INC($D$7:$D$4378,D1217)*9,0)</f>
        <v>0</v>
      </c>
      <c r="H1217" s="1" t="n">
        <f aca="false">ROUND(_xlfn.PERCENTRANK.INC($E$7:$E$4378,E1217)*9,0)</f>
        <v>3</v>
      </c>
      <c r="I1217" s="1" t="str">
        <f aca="false">CONCATENATE(F1217,G1217,H1217)</f>
        <v>503</v>
      </c>
      <c r="J1217" s="1" t="str">
        <f aca="false">_xlfn.IFS(AND(F1217&gt;=8,G1217&gt;=8,H1217&gt;=8),"CHAMPION",AND(F1217&gt;=6,G1217&gt;=7,H1217&gt;=6),"LOYAL CUSTOMER",AND(F1217&gt;=6,G1217&gt;=5,H1217&gt;=5),"POTENTIAL LOYALIST",AND(F1217&gt;=8,G1217&lt;=2,H1217&gt;=5),"NEW CUSTOMERS",AND(F1217&gt;=6,G1217&lt;=2,H1217&gt;=3),"PROMISING",AND(F1217&gt;=3,G1217&gt;=3,H1217&gt;=3),"NEED ATTENTION",AND(F1217&lt;=4,G1217&gt;=6,H1217&gt;=6),"AT RISK",AND(F1217&lt;=2,G1217&gt;=8,H1217&gt;=8),"CAN'T LOSE THEM",AND(F1217&lt;=2,G1217&lt;=2,H1217&lt;=2),"HIBERNATING",TRUE(),"Other")</f>
        <v>Other</v>
      </c>
      <c r="K1217" s="1" t="n">
        <f aca="false">RANK(E1217,$E$7:$E$4378)+COUNTIF($E$7:E1217,E1217)-1</f>
        <v>2778</v>
      </c>
    </row>
    <row r="1218" customFormat="false" ht="14.25" hidden="false" customHeight="true" outlineLevel="0" collapsed="false">
      <c r="A1218" s="51" t="n">
        <v>13975</v>
      </c>
      <c r="B1218" s="53" t="n">
        <v>40855.5548611111</v>
      </c>
      <c r="C1218" s="57" t="n">
        <f aca="false">INT($C$2)-INT(Table3[[#This Row],[Last Purchase Date]])</f>
        <v>32</v>
      </c>
      <c r="D1218" s="1" t="n">
        <v>7</v>
      </c>
      <c r="E1218" s="1" t="n">
        <v>2503.23</v>
      </c>
      <c r="F1218" s="1" t="n">
        <f aca="false">ROUND((1-_xlfn.PERCENTRANK.INC($C$7:$C$4378,C1218))*9,0)</f>
        <v>5</v>
      </c>
      <c r="G1218" s="1" t="n">
        <f aca="false">ROUND(_xlfn.PERCENTRANK.INC($D$7:$D$4378,D1218)*9,0)</f>
        <v>7</v>
      </c>
      <c r="H1218" s="1" t="n">
        <f aca="false">ROUND(_xlfn.PERCENTRANK.INC($E$7:$E$4378,E1218)*9,0)</f>
        <v>8</v>
      </c>
      <c r="I1218" s="1" t="str">
        <f aca="false">CONCATENATE(F1218,G1218,H1218)</f>
        <v>578</v>
      </c>
      <c r="J1218" s="1" t="str">
        <f aca="false">_xlfn.IFS(AND(F1218&gt;=8,G1218&gt;=8,H1218&gt;=8),"CHAMPION",AND(F1218&gt;=6,G1218&gt;=7,H1218&gt;=6),"LOYAL CUSTOMER",AND(F1218&gt;=6,G1218&gt;=5,H1218&gt;=5),"POTENTIAL LOYALIST",AND(F1218&gt;=8,G1218&lt;=2,H1218&gt;=5),"NEW CUSTOMERS",AND(F1218&gt;=6,G1218&lt;=2,H1218&gt;=3),"PROMISING",AND(F1218&gt;=3,G1218&gt;=3,H1218&gt;=3),"NEED ATTENTION",AND(F1218&lt;=4,G1218&gt;=6,H1218&gt;=6),"AT RISK",AND(F1218&lt;=2,G1218&gt;=8,H1218&gt;=8),"CAN'T LOSE THEM",AND(F1218&lt;=2,G1218&lt;=2,H1218&lt;=2),"HIBERNATING",TRUE(),"Other")</f>
        <v>NEED ATTENTION</v>
      </c>
      <c r="K1218" s="1" t="n">
        <f aca="false">RANK(E1218,$E$7:$E$4378)+COUNTIF($E$7:E1218,E1218)-1</f>
        <v>682</v>
      </c>
    </row>
    <row r="1219" customFormat="false" ht="14.25" hidden="false" customHeight="true" outlineLevel="0" collapsed="false">
      <c r="A1219" s="51" t="n">
        <v>13976</v>
      </c>
      <c r="B1219" s="53" t="n">
        <v>40680.3840277778</v>
      </c>
      <c r="C1219" s="57" t="n">
        <f aca="false">INT($C$2)-INT(Table3[[#This Row],[Last Purchase Date]])</f>
        <v>207</v>
      </c>
      <c r="D1219" s="1" t="n">
        <v>1</v>
      </c>
      <c r="E1219" s="1" t="n">
        <v>357.98</v>
      </c>
      <c r="F1219" s="1" t="n">
        <f aca="false">ROUND((1-_xlfn.PERCENTRANK.INC($C$7:$C$4378,C1219))*9,0)</f>
        <v>1</v>
      </c>
      <c r="G1219" s="1" t="n">
        <f aca="false">ROUND(_xlfn.PERCENTRANK.INC($D$7:$D$4378,D1219)*9,0)</f>
        <v>0</v>
      </c>
      <c r="H1219" s="1" t="n">
        <f aca="false">ROUND(_xlfn.PERCENTRANK.INC($E$7:$E$4378,E1219)*9,0)</f>
        <v>3</v>
      </c>
      <c r="I1219" s="1" t="str">
        <f aca="false">CONCATENATE(F1219,G1219,H1219)</f>
        <v>103</v>
      </c>
      <c r="J1219" s="1" t="str">
        <f aca="false">_xlfn.IFS(AND(F1219&gt;=8,G1219&gt;=8,H1219&gt;=8),"CHAMPION",AND(F1219&gt;=6,G1219&gt;=7,H1219&gt;=6),"LOYAL CUSTOMER",AND(F1219&gt;=6,G1219&gt;=5,H1219&gt;=5),"POTENTIAL LOYALIST",AND(F1219&gt;=8,G1219&lt;=2,H1219&gt;=5),"NEW CUSTOMERS",AND(F1219&gt;=6,G1219&lt;=2,H1219&gt;=3),"PROMISING",AND(F1219&gt;=3,G1219&gt;=3,H1219&gt;=3),"NEED ATTENTION",AND(F1219&lt;=4,G1219&gt;=6,H1219&gt;=6),"AT RISK",AND(F1219&lt;=2,G1219&gt;=8,H1219&gt;=8),"CAN'T LOSE THEM",AND(F1219&lt;=2,G1219&lt;=2,H1219&lt;=2),"HIBERNATING",TRUE(),"Other")</f>
        <v>Other</v>
      </c>
      <c r="K1219" s="1" t="n">
        <f aca="false">RANK(E1219,$E$7:$E$4378)+COUNTIF($E$7:E1219,E1219)-1</f>
        <v>2974</v>
      </c>
    </row>
    <row r="1220" customFormat="false" ht="14.25" hidden="false" customHeight="true" outlineLevel="0" collapsed="false">
      <c r="A1220" s="51" t="n">
        <v>13978</v>
      </c>
      <c r="B1220" s="53" t="n">
        <v>40872.4833333333</v>
      </c>
      <c r="C1220" s="57" t="n">
        <f aca="false">INT($C$2)-INT(Table3[[#This Row],[Last Purchase Date]])</f>
        <v>15</v>
      </c>
      <c r="D1220" s="1" t="n">
        <v>2</v>
      </c>
      <c r="E1220" s="1" t="n">
        <v>196.79</v>
      </c>
      <c r="F1220" s="1" t="n">
        <f aca="false">ROUND((1-_xlfn.PERCENTRANK.INC($C$7:$C$4378,C1220))*9,0)</f>
        <v>7</v>
      </c>
      <c r="G1220" s="1" t="n">
        <f aca="false">ROUND(_xlfn.PERCENTRANK.INC($D$7:$D$4378,D1220)*9,0)</f>
        <v>3</v>
      </c>
      <c r="H1220" s="1" t="n">
        <f aca="false">ROUND(_xlfn.PERCENTRANK.INC($E$7:$E$4378,E1220)*9,0)</f>
        <v>1</v>
      </c>
      <c r="I1220" s="1" t="str">
        <f aca="false">CONCATENATE(F1220,G1220,H1220)</f>
        <v>731</v>
      </c>
      <c r="J1220" s="1" t="str">
        <f aca="false">_xlfn.IFS(AND(F1220&gt;=8,G1220&gt;=8,H1220&gt;=8),"CHAMPION",AND(F1220&gt;=6,G1220&gt;=7,H1220&gt;=6),"LOYAL CUSTOMER",AND(F1220&gt;=6,G1220&gt;=5,H1220&gt;=5),"POTENTIAL LOYALIST",AND(F1220&gt;=8,G1220&lt;=2,H1220&gt;=5),"NEW CUSTOMERS",AND(F1220&gt;=6,G1220&lt;=2,H1220&gt;=3),"PROMISING",AND(F1220&gt;=3,G1220&gt;=3,H1220&gt;=3),"NEED ATTENTION",AND(F1220&lt;=4,G1220&gt;=6,H1220&gt;=6),"AT RISK",AND(F1220&lt;=2,G1220&gt;=8,H1220&gt;=8),"CAN'T LOSE THEM",AND(F1220&lt;=2,G1220&lt;=2,H1220&lt;=2),"HIBERNATING",TRUE(),"Other")</f>
        <v>Other</v>
      </c>
      <c r="K1220" s="1" t="n">
        <f aca="false">RANK(E1220,$E$7:$E$4378)+COUNTIF($E$7:E1220,E1220)-1</f>
        <v>3678</v>
      </c>
    </row>
    <row r="1221" customFormat="false" ht="14.25" hidden="false" customHeight="true" outlineLevel="0" collapsed="false">
      <c r="A1221" s="51" t="n">
        <v>13979</v>
      </c>
      <c r="B1221" s="53" t="n">
        <v>40813.5638888889</v>
      </c>
      <c r="C1221" s="57" t="n">
        <f aca="false">INT($C$2)-INT(Table3[[#This Row],[Last Purchase Date]])</f>
        <v>74</v>
      </c>
      <c r="D1221" s="1" t="n">
        <v>1</v>
      </c>
      <c r="E1221" s="1" t="n">
        <v>869.87</v>
      </c>
      <c r="F1221" s="1" t="n">
        <f aca="false">ROUND((1-_xlfn.PERCENTRANK.INC($C$7:$C$4378,C1221))*9,0)</f>
        <v>3</v>
      </c>
      <c r="G1221" s="1" t="n">
        <f aca="false">ROUND(_xlfn.PERCENTRANK.INC($D$7:$D$4378,D1221)*9,0)</f>
        <v>0</v>
      </c>
      <c r="H1221" s="1" t="n">
        <f aca="false">ROUND(_xlfn.PERCENTRANK.INC($E$7:$E$4378,E1221)*9,0)</f>
        <v>5</v>
      </c>
      <c r="I1221" s="1" t="str">
        <f aca="false">CONCATENATE(F1221,G1221,H1221)</f>
        <v>305</v>
      </c>
      <c r="J1221" s="1" t="str">
        <f aca="false">_xlfn.IFS(AND(F1221&gt;=8,G1221&gt;=8,H1221&gt;=8),"CHAMPION",AND(F1221&gt;=6,G1221&gt;=7,H1221&gt;=6),"LOYAL CUSTOMER",AND(F1221&gt;=6,G1221&gt;=5,H1221&gt;=5),"POTENTIAL LOYALIST",AND(F1221&gt;=8,G1221&lt;=2,H1221&gt;=5),"NEW CUSTOMERS",AND(F1221&gt;=6,G1221&lt;=2,H1221&gt;=3),"PROMISING",AND(F1221&gt;=3,G1221&gt;=3,H1221&gt;=3),"NEED ATTENTION",AND(F1221&lt;=4,G1221&gt;=6,H1221&gt;=6),"AT RISK",AND(F1221&lt;=2,G1221&gt;=8,H1221&gt;=8),"CAN'T LOSE THEM",AND(F1221&lt;=2,G1221&lt;=2,H1221&lt;=2),"HIBERNATING",TRUE(),"Other")</f>
        <v>Other</v>
      </c>
      <c r="K1221" s="1" t="n">
        <f aca="false">RANK(E1221,$E$7:$E$4378)+COUNTIF($E$7:E1221,E1221)-1</f>
        <v>1800</v>
      </c>
    </row>
    <row r="1222" customFormat="false" ht="14.25" hidden="false" customHeight="true" outlineLevel="0" collapsed="false">
      <c r="A1222" s="51" t="n">
        <v>13980</v>
      </c>
      <c r="B1222" s="53" t="n">
        <v>40826.5652777778</v>
      </c>
      <c r="C1222" s="57" t="n">
        <f aca="false">INT($C$2)-INT(Table3[[#This Row],[Last Purchase Date]])</f>
        <v>61</v>
      </c>
      <c r="D1222" s="1" t="n">
        <v>1</v>
      </c>
      <c r="E1222" s="1" t="n">
        <v>200.14</v>
      </c>
      <c r="F1222" s="1" t="n">
        <f aca="false">ROUND((1-_xlfn.PERCENTRANK.INC($C$7:$C$4378,C1222))*9,0)</f>
        <v>4</v>
      </c>
      <c r="G1222" s="1" t="n">
        <f aca="false">ROUND(_xlfn.PERCENTRANK.INC($D$7:$D$4378,D1222)*9,0)</f>
        <v>0</v>
      </c>
      <c r="H1222" s="1" t="n">
        <f aca="false">ROUND(_xlfn.PERCENTRANK.INC($E$7:$E$4378,E1222)*9,0)</f>
        <v>1</v>
      </c>
      <c r="I1222" s="1" t="str">
        <f aca="false">CONCATENATE(F1222,G1222,H1222)</f>
        <v>401</v>
      </c>
      <c r="J1222" s="1" t="str">
        <f aca="false">_xlfn.IFS(AND(F1222&gt;=8,G1222&gt;=8,H1222&gt;=8),"CHAMPION",AND(F1222&gt;=6,G1222&gt;=7,H1222&gt;=6),"LOYAL CUSTOMER",AND(F1222&gt;=6,G1222&gt;=5,H1222&gt;=5),"POTENTIAL LOYALIST",AND(F1222&gt;=8,G1222&lt;=2,H1222&gt;=5),"NEW CUSTOMERS",AND(F1222&gt;=6,G1222&lt;=2,H1222&gt;=3),"PROMISING",AND(F1222&gt;=3,G1222&gt;=3,H1222&gt;=3),"NEED ATTENTION",AND(F1222&lt;=4,G1222&gt;=6,H1222&gt;=6),"AT RISK",AND(F1222&lt;=2,G1222&gt;=8,H1222&gt;=8),"CAN'T LOSE THEM",AND(F1222&lt;=2,G1222&lt;=2,H1222&lt;=2),"HIBERNATING",TRUE(),"Other")</f>
        <v>Other</v>
      </c>
      <c r="K1222" s="1" t="n">
        <f aca="false">RANK(E1222,$E$7:$E$4378)+COUNTIF($E$7:E1222,E1222)-1</f>
        <v>3658</v>
      </c>
    </row>
    <row r="1223" customFormat="false" ht="14.25" hidden="false" customHeight="true" outlineLevel="0" collapsed="false">
      <c r="A1223" s="51" t="n">
        <v>13982</v>
      </c>
      <c r="B1223" s="53" t="n">
        <v>40847.6833333333</v>
      </c>
      <c r="C1223" s="57" t="n">
        <f aca="false">INT($C$2)-INT(Table3[[#This Row],[Last Purchase Date]])</f>
        <v>40</v>
      </c>
      <c r="D1223" s="1" t="n">
        <v>5</v>
      </c>
      <c r="E1223" s="1" t="n">
        <v>1861.11</v>
      </c>
      <c r="F1223" s="1" t="n">
        <f aca="false">ROUND((1-_xlfn.PERCENTRANK.INC($C$7:$C$4378,C1223))*9,0)</f>
        <v>5</v>
      </c>
      <c r="G1223" s="1" t="n">
        <f aca="false">ROUND(_xlfn.PERCENTRANK.INC($D$7:$D$4378,D1223)*9,0)</f>
        <v>6</v>
      </c>
      <c r="H1223" s="1" t="n">
        <f aca="false">ROUND(_xlfn.PERCENTRANK.INC($E$7:$E$4378,E1223)*9,0)</f>
        <v>7</v>
      </c>
      <c r="I1223" s="1" t="str">
        <f aca="false">CONCATENATE(F1223,G1223,H1223)</f>
        <v>567</v>
      </c>
      <c r="J1223" s="1" t="str">
        <f aca="false">_xlfn.IFS(AND(F1223&gt;=8,G1223&gt;=8,H1223&gt;=8),"CHAMPION",AND(F1223&gt;=6,G1223&gt;=7,H1223&gt;=6),"LOYAL CUSTOMER",AND(F1223&gt;=6,G1223&gt;=5,H1223&gt;=5),"POTENTIAL LOYALIST",AND(F1223&gt;=8,G1223&lt;=2,H1223&gt;=5),"NEW CUSTOMERS",AND(F1223&gt;=6,G1223&lt;=2,H1223&gt;=3),"PROMISING",AND(F1223&gt;=3,G1223&gt;=3,H1223&gt;=3),"NEED ATTENTION",AND(F1223&lt;=4,G1223&gt;=6,H1223&gt;=6),"AT RISK",AND(F1223&lt;=2,G1223&gt;=8,H1223&gt;=8),"CAN'T LOSE THEM",AND(F1223&lt;=2,G1223&lt;=2,H1223&lt;=2),"HIBERNATING",TRUE(),"Other")</f>
        <v>NEED ATTENTION</v>
      </c>
      <c r="K1223" s="1" t="n">
        <f aca="false">RANK(E1223,$E$7:$E$4378)+COUNTIF($E$7:E1223,E1223)-1</f>
        <v>942</v>
      </c>
    </row>
    <row r="1224" customFormat="false" ht="14.25" hidden="false" customHeight="true" outlineLevel="0" collapsed="false">
      <c r="A1224" s="51" t="n">
        <v>13983</v>
      </c>
      <c r="B1224" s="53" t="n">
        <v>40857.4625</v>
      </c>
      <c r="C1224" s="57" t="n">
        <f aca="false">INT($C$2)-INT(Table3[[#This Row],[Last Purchase Date]])</f>
        <v>30</v>
      </c>
      <c r="D1224" s="1" t="n">
        <v>13</v>
      </c>
      <c r="E1224" s="1" t="n">
        <v>2590.46</v>
      </c>
      <c r="F1224" s="1" t="n">
        <f aca="false">ROUND((1-_xlfn.PERCENTRANK.INC($C$7:$C$4378,C1224))*9,0)</f>
        <v>6</v>
      </c>
      <c r="G1224" s="1" t="n">
        <f aca="false">ROUND(_xlfn.PERCENTRANK.INC($D$7:$D$4378,D1224)*9,0)</f>
        <v>8</v>
      </c>
      <c r="H1224" s="1" t="n">
        <f aca="false">ROUND(_xlfn.PERCENTRANK.INC($E$7:$E$4378,E1224)*9,0)</f>
        <v>8</v>
      </c>
      <c r="I1224" s="1" t="str">
        <f aca="false">CONCATENATE(F1224,G1224,H1224)</f>
        <v>688</v>
      </c>
      <c r="J1224" s="1" t="str">
        <f aca="false">_xlfn.IFS(AND(F1224&gt;=8,G1224&gt;=8,H1224&gt;=8),"CHAMPION",AND(F1224&gt;=6,G1224&gt;=7,H1224&gt;=6),"LOYAL CUSTOMER",AND(F1224&gt;=6,G1224&gt;=5,H1224&gt;=5),"POTENTIAL LOYALIST",AND(F1224&gt;=8,G1224&lt;=2,H1224&gt;=5),"NEW CUSTOMERS",AND(F1224&gt;=6,G1224&lt;=2,H1224&gt;=3),"PROMISING",AND(F1224&gt;=3,G1224&gt;=3,H1224&gt;=3),"NEED ATTENTION",AND(F1224&lt;=4,G1224&gt;=6,H1224&gt;=6),"AT RISK",AND(F1224&lt;=2,G1224&gt;=8,H1224&gt;=8),"CAN'T LOSE THEM",AND(F1224&lt;=2,G1224&lt;=2,H1224&lt;=2),"HIBERNATING",TRUE(),"Other")</f>
        <v>LOYAL CUSTOMER</v>
      </c>
      <c r="K1224" s="1" t="n">
        <f aca="false">RANK(E1224,$E$7:$E$4378)+COUNTIF($E$7:E1224,E1224)-1</f>
        <v>652</v>
      </c>
    </row>
    <row r="1225" customFormat="false" ht="14.25" hidden="false" customHeight="true" outlineLevel="0" collapsed="false">
      <c r="A1225" s="51" t="n">
        <v>13984</v>
      </c>
      <c r="B1225" s="53" t="n">
        <v>40860.5263888889</v>
      </c>
      <c r="C1225" s="57" t="n">
        <f aca="false">INT($C$2)-INT(Table3[[#This Row],[Last Purchase Date]])</f>
        <v>27</v>
      </c>
      <c r="D1225" s="1" t="n">
        <v>6</v>
      </c>
      <c r="E1225" s="1" t="n">
        <v>488.03</v>
      </c>
      <c r="F1225" s="1" t="n">
        <f aca="false">ROUND((1-_xlfn.PERCENTRANK.INC($C$7:$C$4378,C1225))*9,0)</f>
        <v>6</v>
      </c>
      <c r="G1225" s="1" t="n">
        <f aca="false">ROUND(_xlfn.PERCENTRANK.INC($D$7:$D$4378,D1225)*9,0)</f>
        <v>7</v>
      </c>
      <c r="H1225" s="1" t="n">
        <f aca="false">ROUND(_xlfn.PERCENTRANK.INC($E$7:$E$4378,E1225)*9,0)</f>
        <v>4</v>
      </c>
      <c r="I1225" s="1" t="str">
        <f aca="false">CONCATENATE(F1225,G1225,H1225)</f>
        <v>674</v>
      </c>
      <c r="J1225" s="1" t="str">
        <f aca="false">_xlfn.IFS(AND(F1225&gt;=8,G1225&gt;=8,H1225&gt;=8),"CHAMPION",AND(F1225&gt;=6,G1225&gt;=7,H1225&gt;=6),"LOYAL CUSTOMER",AND(F1225&gt;=6,G1225&gt;=5,H1225&gt;=5),"POTENTIAL LOYALIST",AND(F1225&gt;=8,G1225&lt;=2,H1225&gt;=5),"NEW CUSTOMERS",AND(F1225&gt;=6,G1225&lt;=2,H1225&gt;=3),"PROMISING",AND(F1225&gt;=3,G1225&gt;=3,H1225&gt;=3),"NEED ATTENTION",AND(F1225&lt;=4,G1225&gt;=6,H1225&gt;=6),"AT RISK",AND(F1225&lt;=2,G1225&gt;=8,H1225&gt;=8),"CAN'T LOSE THEM",AND(F1225&lt;=2,G1225&lt;=2,H1225&lt;=2),"HIBERNATING",TRUE(),"Other")</f>
        <v>NEED ATTENTION</v>
      </c>
      <c r="K1225" s="1" t="n">
        <f aca="false">RANK(E1225,$E$7:$E$4378)+COUNTIF($E$7:E1225,E1225)-1</f>
        <v>2571</v>
      </c>
    </row>
    <row r="1226" customFormat="false" ht="14.25" hidden="false" customHeight="true" outlineLevel="0" collapsed="false">
      <c r="A1226" s="51" t="n">
        <v>13985</v>
      </c>
      <c r="B1226" s="53" t="n">
        <v>40882.7125</v>
      </c>
      <c r="C1226" s="57" t="n">
        <f aca="false">INT($C$2)-INT(Table3[[#This Row],[Last Purchase Date]])</f>
        <v>5</v>
      </c>
      <c r="D1226" s="1" t="n">
        <v>16</v>
      </c>
      <c r="E1226" s="1" t="n">
        <v>7024.53000000001</v>
      </c>
      <c r="F1226" s="1" t="n">
        <f aca="false">ROUND((1-_xlfn.PERCENTRANK.INC($C$7:$C$4378,C1226))*9,0)</f>
        <v>8</v>
      </c>
      <c r="G1226" s="1" t="n">
        <f aca="false">ROUND(_xlfn.PERCENTRANK.INC($D$7:$D$4378,D1226)*9,0)</f>
        <v>9</v>
      </c>
      <c r="H1226" s="1" t="n">
        <f aca="false">ROUND(_xlfn.PERCENTRANK.INC($E$7:$E$4378,E1226)*9,0)</f>
        <v>9</v>
      </c>
      <c r="I1226" s="1" t="str">
        <f aca="false">CONCATENATE(F1226,G1226,H1226)</f>
        <v>899</v>
      </c>
      <c r="J1226" s="1" t="str">
        <f aca="false">_xlfn.IFS(AND(F1226&gt;=8,G1226&gt;=8,H1226&gt;=8),"CHAMPION",AND(F1226&gt;=6,G1226&gt;=7,H1226&gt;=6),"LOYAL CUSTOMER",AND(F1226&gt;=6,G1226&gt;=5,H1226&gt;=5),"POTENTIAL LOYALIST",AND(F1226&gt;=8,G1226&lt;=2,H1226&gt;=5),"NEW CUSTOMERS",AND(F1226&gt;=6,G1226&lt;=2,H1226&gt;=3),"PROMISING",AND(F1226&gt;=3,G1226&gt;=3,H1226&gt;=3),"NEED ATTENTION",AND(F1226&lt;=4,G1226&gt;=6,H1226&gt;=6),"AT RISK",AND(F1226&lt;=2,G1226&gt;=8,H1226&gt;=8),"CAN'T LOSE THEM",AND(F1226&lt;=2,G1226&lt;=2,H1226&lt;=2),"HIBERNATING",TRUE(),"Other")</f>
        <v>CHAMPION</v>
      </c>
      <c r="K1226" s="1" t="n">
        <f aca="false">RANK(E1226,$E$7:$E$4378)+COUNTIF($E$7:E1226,E1226)-1</f>
        <v>153</v>
      </c>
    </row>
    <row r="1227" customFormat="false" ht="14.25" hidden="false" customHeight="true" outlineLevel="0" collapsed="false">
      <c r="A1227" s="51" t="n">
        <v>13986</v>
      </c>
      <c r="B1227" s="53" t="n">
        <v>40869.625</v>
      </c>
      <c r="C1227" s="57" t="n">
        <f aca="false">INT($C$2)-INT(Table3[[#This Row],[Last Purchase Date]])</f>
        <v>18</v>
      </c>
      <c r="D1227" s="1" t="n">
        <v>1</v>
      </c>
      <c r="E1227" s="1" t="n">
        <v>320.46</v>
      </c>
      <c r="F1227" s="1" t="n">
        <f aca="false">ROUND((1-_xlfn.PERCENTRANK.INC($C$7:$C$4378,C1227))*9,0)</f>
        <v>7</v>
      </c>
      <c r="G1227" s="1" t="n">
        <f aca="false">ROUND(_xlfn.PERCENTRANK.INC($D$7:$D$4378,D1227)*9,0)</f>
        <v>0</v>
      </c>
      <c r="H1227" s="1" t="n">
        <f aca="false">ROUND(_xlfn.PERCENTRANK.INC($E$7:$E$4378,E1227)*9,0)</f>
        <v>3</v>
      </c>
      <c r="I1227" s="1" t="str">
        <f aca="false">CONCATENATE(F1227,G1227,H1227)</f>
        <v>703</v>
      </c>
      <c r="J1227" s="1" t="str">
        <f aca="false">_xlfn.IFS(AND(F1227&gt;=8,G1227&gt;=8,H1227&gt;=8),"CHAMPION",AND(F1227&gt;=6,G1227&gt;=7,H1227&gt;=6),"LOYAL CUSTOMER",AND(F1227&gt;=6,G1227&gt;=5,H1227&gt;=5),"POTENTIAL LOYALIST",AND(F1227&gt;=8,G1227&lt;=2,H1227&gt;=5),"NEW CUSTOMERS",AND(F1227&gt;=6,G1227&lt;=2,H1227&gt;=3),"PROMISING",AND(F1227&gt;=3,G1227&gt;=3,H1227&gt;=3),"NEED ATTENTION",AND(F1227&lt;=4,G1227&gt;=6,H1227&gt;=6),"AT RISK",AND(F1227&lt;=2,G1227&gt;=8,H1227&gt;=8),"CAN'T LOSE THEM",AND(F1227&lt;=2,G1227&lt;=2,H1227&lt;=2),"HIBERNATING",TRUE(),"Other")</f>
        <v>PROMISING</v>
      </c>
      <c r="K1227" s="1" t="n">
        <f aca="false">RANK(E1227,$E$7:$E$4378)+COUNTIF($E$7:E1227,E1227)-1</f>
        <v>3138</v>
      </c>
    </row>
    <row r="1228" customFormat="false" ht="14.25" hidden="false" customHeight="true" outlineLevel="0" collapsed="false">
      <c r="A1228" s="51" t="n">
        <v>13988</v>
      </c>
      <c r="B1228" s="53" t="n">
        <v>40867.4270833333</v>
      </c>
      <c r="C1228" s="57" t="n">
        <f aca="false">INT($C$2)-INT(Table3[[#This Row],[Last Purchase Date]])</f>
        <v>20</v>
      </c>
      <c r="D1228" s="1" t="n">
        <v>9</v>
      </c>
      <c r="E1228" s="1" t="n">
        <v>4098.8</v>
      </c>
      <c r="F1228" s="1" t="n">
        <f aca="false">ROUND((1-_xlfn.PERCENTRANK.INC($C$7:$C$4378,C1228))*9,0)</f>
        <v>6</v>
      </c>
      <c r="G1228" s="1" t="n">
        <f aca="false">ROUND(_xlfn.PERCENTRANK.INC($D$7:$D$4378,D1228)*9,0)</f>
        <v>8</v>
      </c>
      <c r="H1228" s="1" t="n">
        <f aca="false">ROUND(_xlfn.PERCENTRANK.INC($E$7:$E$4378,E1228)*9,0)</f>
        <v>8</v>
      </c>
      <c r="I1228" s="1" t="str">
        <f aca="false">CONCATENATE(F1228,G1228,H1228)</f>
        <v>688</v>
      </c>
      <c r="J1228" s="1" t="str">
        <f aca="false">_xlfn.IFS(AND(F1228&gt;=8,G1228&gt;=8,H1228&gt;=8),"CHAMPION",AND(F1228&gt;=6,G1228&gt;=7,H1228&gt;=6),"LOYAL CUSTOMER",AND(F1228&gt;=6,G1228&gt;=5,H1228&gt;=5),"POTENTIAL LOYALIST",AND(F1228&gt;=8,G1228&lt;=2,H1228&gt;=5),"NEW CUSTOMERS",AND(F1228&gt;=6,G1228&lt;=2,H1228&gt;=3),"PROMISING",AND(F1228&gt;=3,G1228&gt;=3,H1228&gt;=3),"NEED ATTENTION",AND(F1228&lt;=4,G1228&gt;=6,H1228&gt;=6),"AT RISK",AND(F1228&lt;=2,G1228&gt;=8,H1228&gt;=8),"CAN'T LOSE THEM",AND(F1228&lt;=2,G1228&lt;=2,H1228&lt;=2),"HIBERNATING",TRUE(),"Other")</f>
        <v>LOYAL CUSTOMER</v>
      </c>
      <c r="K1228" s="1" t="n">
        <f aca="false">RANK(E1228,$E$7:$E$4378)+COUNTIF($E$7:E1228,E1228)-1</f>
        <v>340</v>
      </c>
    </row>
    <row r="1229" customFormat="false" ht="14.25" hidden="false" customHeight="true" outlineLevel="0" collapsed="false">
      <c r="A1229" s="51" t="n">
        <v>13989</v>
      </c>
      <c r="B1229" s="53" t="n">
        <v>40821.4076388889</v>
      </c>
      <c r="C1229" s="57" t="n">
        <f aca="false">INT($C$2)-INT(Table3[[#This Row],[Last Purchase Date]])</f>
        <v>66</v>
      </c>
      <c r="D1229" s="1" t="n">
        <v>2</v>
      </c>
      <c r="E1229" s="1" t="n">
        <v>1266.08</v>
      </c>
      <c r="F1229" s="1" t="n">
        <f aca="false">ROUND((1-_xlfn.PERCENTRANK.INC($C$7:$C$4378,C1229))*9,0)</f>
        <v>4</v>
      </c>
      <c r="G1229" s="1" t="n">
        <f aca="false">ROUND(_xlfn.PERCENTRANK.INC($D$7:$D$4378,D1229)*9,0)</f>
        <v>3</v>
      </c>
      <c r="H1229" s="1" t="n">
        <f aca="false">ROUND(_xlfn.PERCENTRANK.INC($E$7:$E$4378,E1229)*9,0)</f>
        <v>6</v>
      </c>
      <c r="I1229" s="1" t="str">
        <f aca="false">CONCATENATE(F1229,G1229,H1229)</f>
        <v>436</v>
      </c>
      <c r="J1229" s="1" t="str">
        <f aca="false">_xlfn.IFS(AND(F1229&gt;=8,G1229&gt;=8,H1229&gt;=8),"CHAMPION",AND(F1229&gt;=6,G1229&gt;=7,H1229&gt;=6),"LOYAL CUSTOMER",AND(F1229&gt;=6,G1229&gt;=5,H1229&gt;=5),"POTENTIAL LOYALIST",AND(F1229&gt;=8,G1229&lt;=2,H1229&gt;=5),"NEW CUSTOMERS",AND(F1229&gt;=6,G1229&lt;=2,H1229&gt;=3),"PROMISING",AND(F1229&gt;=3,G1229&gt;=3,H1229&gt;=3),"NEED ATTENTION",AND(F1229&lt;=4,G1229&gt;=6,H1229&gt;=6),"AT RISK",AND(F1229&lt;=2,G1229&gt;=8,H1229&gt;=8),"CAN'T LOSE THEM",AND(F1229&lt;=2,G1229&lt;=2,H1229&lt;=2),"HIBERNATING",TRUE(),"Other")</f>
        <v>NEED ATTENTION</v>
      </c>
      <c r="K1229" s="1" t="n">
        <f aca="false">RANK(E1229,$E$7:$E$4378)+COUNTIF($E$7:E1229,E1229)-1</f>
        <v>1357</v>
      </c>
    </row>
    <row r="1230" customFormat="false" ht="14.25" hidden="false" customHeight="true" outlineLevel="0" collapsed="false">
      <c r="A1230" s="51" t="n">
        <v>13990</v>
      </c>
      <c r="B1230" s="53" t="n">
        <v>40673.6381944444</v>
      </c>
      <c r="C1230" s="57" t="n">
        <f aca="false">INT($C$2)-INT(Table3[[#This Row],[Last Purchase Date]])</f>
        <v>214</v>
      </c>
      <c r="D1230" s="1" t="n">
        <v>1</v>
      </c>
      <c r="E1230" s="1" t="n">
        <v>311.3</v>
      </c>
      <c r="F1230" s="1" t="n">
        <f aca="false">ROUND((1-_xlfn.PERCENTRANK.INC($C$7:$C$4378,C1230))*9,0)</f>
        <v>1</v>
      </c>
      <c r="G1230" s="1" t="n">
        <f aca="false">ROUND(_xlfn.PERCENTRANK.INC($D$7:$D$4378,D1230)*9,0)</f>
        <v>0</v>
      </c>
      <c r="H1230" s="1" t="n">
        <f aca="false">ROUND(_xlfn.PERCENTRANK.INC($E$7:$E$4378,E1230)*9,0)</f>
        <v>2</v>
      </c>
      <c r="I1230" s="1" t="str">
        <f aca="false">CONCATENATE(F1230,G1230,H1230)</f>
        <v>102</v>
      </c>
      <c r="J1230" s="1" t="str">
        <f aca="false">_xlfn.IFS(AND(F1230&gt;=8,G1230&gt;=8,H1230&gt;=8),"CHAMPION",AND(F1230&gt;=6,G1230&gt;=7,H1230&gt;=6),"LOYAL CUSTOMER",AND(F1230&gt;=6,G1230&gt;=5,H1230&gt;=5),"POTENTIAL LOYALIST",AND(F1230&gt;=8,G1230&lt;=2,H1230&gt;=5),"NEW CUSTOMERS",AND(F1230&gt;=6,G1230&lt;=2,H1230&gt;=3),"PROMISING",AND(F1230&gt;=3,G1230&gt;=3,H1230&gt;=3),"NEED ATTENTION",AND(F1230&lt;=4,G1230&gt;=6,H1230&gt;=6),"AT RISK",AND(F1230&lt;=2,G1230&gt;=8,H1230&gt;=8),"CAN'T LOSE THEM",AND(F1230&lt;=2,G1230&lt;=2,H1230&lt;=2),"HIBERNATING",TRUE(),"Other")</f>
        <v>HIBERNATING</v>
      </c>
      <c r="K1230" s="1" t="n">
        <f aca="false">RANK(E1230,$E$7:$E$4378)+COUNTIF($E$7:E1230,E1230)-1</f>
        <v>3187</v>
      </c>
    </row>
    <row r="1231" customFormat="false" ht="14.25" hidden="false" customHeight="true" outlineLevel="0" collapsed="false">
      <c r="A1231" s="51" t="n">
        <v>13991</v>
      </c>
      <c r="B1231" s="53" t="n">
        <v>40874.6791666667</v>
      </c>
      <c r="C1231" s="57" t="n">
        <f aca="false">INT($C$2)-INT(Table3[[#This Row],[Last Purchase Date]])</f>
        <v>13</v>
      </c>
      <c r="D1231" s="1" t="n">
        <v>7</v>
      </c>
      <c r="E1231" s="1" t="n">
        <v>850.63</v>
      </c>
      <c r="F1231" s="1" t="n">
        <f aca="false">ROUND((1-_xlfn.PERCENTRANK.INC($C$7:$C$4378,C1231))*9,0)</f>
        <v>7</v>
      </c>
      <c r="G1231" s="1" t="n">
        <f aca="false">ROUND(_xlfn.PERCENTRANK.INC($D$7:$D$4378,D1231)*9,0)</f>
        <v>7</v>
      </c>
      <c r="H1231" s="1" t="n">
        <f aca="false">ROUND(_xlfn.PERCENTRANK.INC($E$7:$E$4378,E1231)*9,0)</f>
        <v>5</v>
      </c>
      <c r="I1231" s="1" t="str">
        <f aca="false">CONCATENATE(F1231,G1231,H1231)</f>
        <v>775</v>
      </c>
      <c r="J1231" s="1" t="str">
        <f aca="false">_xlfn.IFS(AND(F1231&gt;=8,G1231&gt;=8,H1231&gt;=8),"CHAMPION",AND(F1231&gt;=6,G1231&gt;=7,H1231&gt;=6),"LOYAL CUSTOMER",AND(F1231&gt;=6,G1231&gt;=5,H1231&gt;=5),"POTENTIAL LOYALIST",AND(F1231&gt;=8,G1231&lt;=2,H1231&gt;=5),"NEW CUSTOMERS",AND(F1231&gt;=6,G1231&lt;=2,H1231&gt;=3),"PROMISING",AND(F1231&gt;=3,G1231&gt;=3,H1231&gt;=3),"NEED ATTENTION",AND(F1231&lt;=4,G1231&gt;=6,H1231&gt;=6),"AT RISK",AND(F1231&lt;=2,G1231&gt;=8,H1231&gt;=8),"CAN'T LOSE THEM",AND(F1231&lt;=2,G1231&lt;=2,H1231&lt;=2),"HIBERNATING",TRUE(),"Other")</f>
        <v>POTENTIAL LOYALIST</v>
      </c>
      <c r="K1231" s="1" t="n">
        <f aca="false">RANK(E1231,$E$7:$E$4378)+COUNTIF($E$7:E1231,E1231)-1</f>
        <v>1829</v>
      </c>
    </row>
    <row r="1232" customFormat="false" ht="14.25" hidden="false" customHeight="true" outlineLevel="0" collapsed="false">
      <c r="A1232" s="51" t="n">
        <v>13992</v>
      </c>
      <c r="B1232" s="53" t="n">
        <v>40856.6409722222</v>
      </c>
      <c r="C1232" s="57" t="n">
        <f aca="false">INT($C$2)-INT(Table3[[#This Row],[Last Purchase Date]])</f>
        <v>31</v>
      </c>
      <c r="D1232" s="1" t="n">
        <v>1</v>
      </c>
      <c r="E1232" s="1" t="n">
        <v>76.8</v>
      </c>
      <c r="F1232" s="1" t="n">
        <f aca="false">ROUND((1-_xlfn.PERCENTRANK.INC($C$7:$C$4378,C1232))*9,0)</f>
        <v>6</v>
      </c>
      <c r="G1232" s="1" t="n">
        <f aca="false">ROUND(_xlfn.PERCENTRANK.INC($D$7:$D$4378,D1232)*9,0)</f>
        <v>0</v>
      </c>
      <c r="H1232" s="1" t="n">
        <f aca="false">ROUND(_xlfn.PERCENTRANK.INC($E$7:$E$4378,E1232)*9,0)</f>
        <v>0</v>
      </c>
      <c r="I1232" s="1" t="str">
        <f aca="false">CONCATENATE(F1232,G1232,H1232)</f>
        <v>600</v>
      </c>
      <c r="J1232" s="1" t="str">
        <f aca="false">_xlfn.IFS(AND(F1232&gt;=8,G1232&gt;=8,H1232&gt;=8),"CHAMPION",AND(F1232&gt;=6,G1232&gt;=7,H1232&gt;=6),"LOYAL CUSTOMER",AND(F1232&gt;=6,G1232&gt;=5,H1232&gt;=5),"POTENTIAL LOYALIST",AND(F1232&gt;=8,G1232&lt;=2,H1232&gt;=5),"NEW CUSTOMERS",AND(F1232&gt;=6,G1232&lt;=2,H1232&gt;=3),"PROMISING",AND(F1232&gt;=3,G1232&gt;=3,H1232&gt;=3),"NEED ATTENTION",AND(F1232&lt;=4,G1232&gt;=6,H1232&gt;=6),"AT RISK",AND(F1232&lt;=2,G1232&gt;=8,H1232&gt;=8),"CAN'T LOSE THEM",AND(F1232&lt;=2,G1232&lt;=2,H1232&lt;=2),"HIBERNATING",TRUE(),"Other")</f>
        <v>Other</v>
      </c>
      <c r="K1232" s="1" t="n">
        <f aca="false">RANK(E1232,$E$7:$E$4378)+COUNTIF($E$7:E1232,E1232)-1</f>
        <v>4225</v>
      </c>
    </row>
    <row r="1233" customFormat="false" ht="14.25" hidden="false" customHeight="true" outlineLevel="0" collapsed="false">
      <c r="A1233" s="51" t="n">
        <v>13993</v>
      </c>
      <c r="B1233" s="53" t="n">
        <v>40854.5416666667</v>
      </c>
      <c r="C1233" s="57" t="n">
        <f aca="false">INT($C$2)-INT(Table3[[#This Row],[Last Purchase Date]])</f>
        <v>33</v>
      </c>
      <c r="D1233" s="1" t="n">
        <v>12</v>
      </c>
      <c r="E1233" s="1" t="n">
        <v>3409.66</v>
      </c>
      <c r="F1233" s="1" t="n">
        <f aca="false">ROUND((1-_xlfn.PERCENTRANK.INC($C$7:$C$4378,C1233))*9,0)</f>
        <v>5</v>
      </c>
      <c r="G1233" s="1" t="n">
        <f aca="false">ROUND(_xlfn.PERCENTRANK.INC($D$7:$D$4378,D1233)*9,0)</f>
        <v>8</v>
      </c>
      <c r="H1233" s="1" t="n">
        <f aca="false">ROUND(_xlfn.PERCENTRANK.INC($E$7:$E$4378,E1233)*9,0)</f>
        <v>8</v>
      </c>
      <c r="I1233" s="1" t="str">
        <f aca="false">CONCATENATE(F1233,G1233,H1233)</f>
        <v>588</v>
      </c>
      <c r="J1233" s="1" t="str">
        <f aca="false">_xlfn.IFS(AND(F1233&gt;=8,G1233&gt;=8,H1233&gt;=8),"CHAMPION",AND(F1233&gt;=6,G1233&gt;=7,H1233&gt;=6),"LOYAL CUSTOMER",AND(F1233&gt;=6,G1233&gt;=5,H1233&gt;=5),"POTENTIAL LOYALIST",AND(F1233&gt;=8,G1233&lt;=2,H1233&gt;=5),"NEW CUSTOMERS",AND(F1233&gt;=6,G1233&lt;=2,H1233&gt;=3),"PROMISING",AND(F1233&gt;=3,G1233&gt;=3,H1233&gt;=3),"NEED ATTENTION",AND(F1233&lt;=4,G1233&gt;=6,H1233&gt;=6),"AT RISK",AND(F1233&lt;=2,G1233&gt;=8,H1233&gt;=8),"CAN'T LOSE THEM",AND(F1233&lt;=2,G1233&lt;=2,H1233&lt;=2),"HIBERNATING",TRUE(),"Other")</f>
        <v>NEED ATTENTION</v>
      </c>
      <c r="K1233" s="1" t="n">
        <f aca="false">RANK(E1233,$E$7:$E$4378)+COUNTIF($E$7:E1233,E1233)-1</f>
        <v>457</v>
      </c>
    </row>
    <row r="1234" customFormat="false" ht="14.25" hidden="false" customHeight="true" outlineLevel="0" collapsed="false">
      <c r="A1234" s="51" t="n">
        <v>13994</v>
      </c>
      <c r="B1234" s="53" t="n">
        <v>40883.4618055556</v>
      </c>
      <c r="C1234" s="57" t="n">
        <f aca="false">INT($C$2)-INT(Table3[[#This Row],[Last Purchase Date]])</f>
        <v>4</v>
      </c>
      <c r="D1234" s="1" t="n">
        <v>6</v>
      </c>
      <c r="E1234" s="1" t="n">
        <v>2313.14</v>
      </c>
      <c r="F1234" s="1" t="n">
        <f aca="false">ROUND((1-_xlfn.PERCENTRANK.INC($C$7:$C$4378,C1234))*9,0)</f>
        <v>8</v>
      </c>
      <c r="G1234" s="1" t="n">
        <f aca="false">ROUND(_xlfn.PERCENTRANK.INC($D$7:$D$4378,D1234)*9,0)</f>
        <v>7</v>
      </c>
      <c r="H1234" s="1" t="n">
        <f aca="false">ROUND(_xlfn.PERCENTRANK.INC($E$7:$E$4378,E1234)*9,0)</f>
        <v>7</v>
      </c>
      <c r="I1234" s="1" t="str">
        <f aca="false">CONCATENATE(F1234,G1234,H1234)</f>
        <v>877</v>
      </c>
      <c r="J1234" s="1" t="str">
        <f aca="false">_xlfn.IFS(AND(F1234&gt;=8,G1234&gt;=8,H1234&gt;=8),"CHAMPION",AND(F1234&gt;=6,G1234&gt;=7,H1234&gt;=6),"LOYAL CUSTOMER",AND(F1234&gt;=6,G1234&gt;=5,H1234&gt;=5),"POTENTIAL LOYALIST",AND(F1234&gt;=8,G1234&lt;=2,H1234&gt;=5),"NEW CUSTOMERS",AND(F1234&gt;=6,G1234&lt;=2,H1234&gt;=3),"PROMISING",AND(F1234&gt;=3,G1234&gt;=3,H1234&gt;=3),"NEED ATTENTION",AND(F1234&lt;=4,G1234&gt;=6,H1234&gt;=6),"AT RISK",AND(F1234&lt;=2,G1234&gt;=8,H1234&gt;=8),"CAN'T LOSE THEM",AND(F1234&lt;=2,G1234&lt;=2,H1234&lt;=2),"HIBERNATING",TRUE(),"Other")</f>
        <v>LOYAL CUSTOMER</v>
      </c>
      <c r="K1234" s="1" t="n">
        <f aca="false">RANK(E1234,$E$7:$E$4378)+COUNTIF($E$7:E1234,E1234)-1</f>
        <v>735</v>
      </c>
    </row>
    <row r="1235" customFormat="false" ht="14.25" hidden="false" customHeight="true" outlineLevel="0" collapsed="false">
      <c r="A1235" s="51" t="n">
        <v>13995</v>
      </c>
      <c r="B1235" s="53" t="n">
        <v>40871.5986111111</v>
      </c>
      <c r="C1235" s="57" t="n">
        <f aca="false">INT($C$2)-INT(Table3[[#This Row],[Last Purchase Date]])</f>
        <v>16</v>
      </c>
      <c r="D1235" s="1" t="n">
        <v>6</v>
      </c>
      <c r="E1235" s="1" t="n">
        <v>1383.49</v>
      </c>
      <c r="F1235" s="1" t="n">
        <f aca="false">ROUND((1-_xlfn.PERCENTRANK.INC($C$7:$C$4378,C1235))*9,0)</f>
        <v>7</v>
      </c>
      <c r="G1235" s="1" t="n">
        <f aca="false">ROUND(_xlfn.PERCENTRANK.INC($D$7:$D$4378,D1235)*9,0)</f>
        <v>7</v>
      </c>
      <c r="H1235" s="1" t="n">
        <f aca="false">ROUND(_xlfn.PERCENTRANK.INC($E$7:$E$4378,E1235)*9,0)</f>
        <v>6</v>
      </c>
      <c r="I1235" s="1" t="str">
        <f aca="false">CONCATENATE(F1235,G1235,H1235)</f>
        <v>776</v>
      </c>
      <c r="J1235" s="1" t="str">
        <f aca="false">_xlfn.IFS(AND(F1235&gt;=8,G1235&gt;=8,H1235&gt;=8),"CHAMPION",AND(F1235&gt;=6,G1235&gt;=7,H1235&gt;=6),"LOYAL CUSTOMER",AND(F1235&gt;=6,G1235&gt;=5,H1235&gt;=5),"POTENTIAL LOYALIST",AND(F1235&gt;=8,G1235&lt;=2,H1235&gt;=5),"NEW CUSTOMERS",AND(F1235&gt;=6,G1235&lt;=2,H1235&gt;=3),"PROMISING",AND(F1235&gt;=3,G1235&gt;=3,H1235&gt;=3),"NEED ATTENTION",AND(F1235&lt;=4,G1235&gt;=6,H1235&gt;=6),"AT RISK",AND(F1235&lt;=2,G1235&gt;=8,H1235&gt;=8),"CAN'T LOSE THEM",AND(F1235&lt;=2,G1235&lt;=2,H1235&lt;=2),"HIBERNATING",TRUE(),"Other")</f>
        <v>LOYAL CUSTOMER</v>
      </c>
      <c r="K1235" s="1" t="n">
        <f aca="false">RANK(E1235,$E$7:$E$4378)+COUNTIF($E$7:E1235,E1235)-1</f>
        <v>1251</v>
      </c>
    </row>
    <row r="1236" customFormat="false" ht="14.25" hidden="false" customHeight="true" outlineLevel="0" collapsed="false">
      <c r="A1236" s="51" t="n">
        <v>13999</v>
      </c>
      <c r="B1236" s="53" t="n">
        <v>40876.5694444445</v>
      </c>
      <c r="C1236" s="57" t="n">
        <f aca="false">INT($C$2)-INT(Table3[[#This Row],[Last Purchase Date]])</f>
        <v>11</v>
      </c>
      <c r="D1236" s="1" t="n">
        <v>15</v>
      </c>
      <c r="E1236" s="1" t="n">
        <v>3865.26</v>
      </c>
      <c r="F1236" s="1" t="n">
        <f aca="false">ROUND((1-_xlfn.PERCENTRANK.INC($C$7:$C$4378,C1236))*9,0)</f>
        <v>7</v>
      </c>
      <c r="G1236" s="1" t="n">
        <f aca="false">ROUND(_xlfn.PERCENTRANK.INC($D$7:$D$4378,D1236)*9,0)</f>
        <v>8</v>
      </c>
      <c r="H1236" s="1" t="n">
        <f aca="false">ROUND(_xlfn.PERCENTRANK.INC($E$7:$E$4378,E1236)*9,0)</f>
        <v>8</v>
      </c>
      <c r="I1236" s="1" t="str">
        <f aca="false">CONCATENATE(F1236,G1236,H1236)</f>
        <v>788</v>
      </c>
      <c r="J1236" s="1" t="str">
        <f aca="false">_xlfn.IFS(AND(F1236&gt;=8,G1236&gt;=8,H1236&gt;=8),"CHAMPION",AND(F1236&gt;=6,G1236&gt;=7,H1236&gt;=6),"LOYAL CUSTOMER",AND(F1236&gt;=6,G1236&gt;=5,H1236&gt;=5),"POTENTIAL LOYALIST",AND(F1236&gt;=8,G1236&lt;=2,H1236&gt;=5),"NEW CUSTOMERS",AND(F1236&gt;=6,G1236&lt;=2,H1236&gt;=3),"PROMISING",AND(F1236&gt;=3,G1236&gt;=3,H1236&gt;=3),"NEED ATTENTION",AND(F1236&lt;=4,G1236&gt;=6,H1236&gt;=6),"AT RISK",AND(F1236&lt;=2,G1236&gt;=8,H1236&gt;=8),"CAN'T LOSE THEM",AND(F1236&lt;=2,G1236&lt;=2,H1236&lt;=2),"HIBERNATING",TRUE(),"Other")</f>
        <v>LOYAL CUSTOMER</v>
      </c>
      <c r="K1236" s="1" t="n">
        <f aca="false">RANK(E1236,$E$7:$E$4378)+COUNTIF($E$7:E1236,E1236)-1</f>
        <v>376</v>
      </c>
    </row>
    <row r="1237" customFormat="false" ht="14.25" hidden="false" customHeight="true" outlineLevel="0" collapsed="false">
      <c r="A1237" s="51" t="n">
        <v>14000</v>
      </c>
      <c r="B1237" s="53" t="n">
        <v>40680.5722222222</v>
      </c>
      <c r="C1237" s="57" t="n">
        <f aca="false">INT($C$2)-INT(Table3[[#This Row],[Last Purchase Date]])</f>
        <v>207</v>
      </c>
      <c r="D1237" s="1" t="n">
        <v>2</v>
      </c>
      <c r="E1237" s="1" t="n">
        <v>633.71</v>
      </c>
      <c r="F1237" s="1" t="n">
        <f aca="false">ROUND((1-_xlfn.PERCENTRANK.INC($C$7:$C$4378,C1237))*9,0)</f>
        <v>1</v>
      </c>
      <c r="G1237" s="1" t="n">
        <f aca="false">ROUND(_xlfn.PERCENTRANK.INC($D$7:$D$4378,D1237)*9,0)</f>
        <v>3</v>
      </c>
      <c r="H1237" s="1" t="n">
        <f aca="false">ROUND(_xlfn.PERCENTRANK.INC($E$7:$E$4378,E1237)*9,0)</f>
        <v>4</v>
      </c>
      <c r="I1237" s="1" t="str">
        <f aca="false">CONCATENATE(F1237,G1237,H1237)</f>
        <v>134</v>
      </c>
      <c r="J1237" s="1" t="str">
        <f aca="false">_xlfn.IFS(AND(F1237&gt;=8,G1237&gt;=8,H1237&gt;=8),"CHAMPION",AND(F1237&gt;=6,G1237&gt;=7,H1237&gt;=6),"LOYAL CUSTOMER",AND(F1237&gt;=6,G1237&gt;=5,H1237&gt;=5),"POTENTIAL LOYALIST",AND(F1237&gt;=8,G1237&lt;=2,H1237&gt;=5),"NEW CUSTOMERS",AND(F1237&gt;=6,G1237&lt;=2,H1237&gt;=3),"PROMISING",AND(F1237&gt;=3,G1237&gt;=3,H1237&gt;=3),"NEED ATTENTION",AND(F1237&lt;=4,G1237&gt;=6,H1237&gt;=6),"AT RISK",AND(F1237&lt;=2,G1237&gt;=8,H1237&gt;=8),"CAN'T LOSE THEM",AND(F1237&lt;=2,G1237&lt;=2,H1237&lt;=2),"HIBERNATING",TRUE(),"Other")</f>
        <v>Other</v>
      </c>
      <c r="K1237" s="1" t="n">
        <f aca="false">RANK(E1237,$E$7:$E$4378)+COUNTIF($E$7:E1237,E1237)-1</f>
        <v>2224</v>
      </c>
    </row>
    <row r="1238" customFormat="false" ht="14.25" hidden="false" customHeight="true" outlineLevel="0" collapsed="false">
      <c r="A1238" s="51" t="n">
        <v>14001</v>
      </c>
      <c r="B1238" s="53" t="n">
        <v>40841.4381944445</v>
      </c>
      <c r="C1238" s="57" t="n">
        <f aca="false">INT($C$2)-INT(Table3[[#This Row],[Last Purchase Date]])</f>
        <v>46</v>
      </c>
      <c r="D1238" s="1" t="n">
        <v>4</v>
      </c>
      <c r="E1238" s="1" t="n">
        <v>2030.33</v>
      </c>
      <c r="F1238" s="1" t="n">
        <f aca="false">ROUND((1-_xlfn.PERCENTRANK.INC($C$7:$C$4378,C1238))*9,0)</f>
        <v>5</v>
      </c>
      <c r="G1238" s="1" t="n">
        <f aca="false">ROUND(_xlfn.PERCENTRANK.INC($D$7:$D$4378,D1238)*9,0)</f>
        <v>5</v>
      </c>
      <c r="H1238" s="1" t="n">
        <f aca="false">ROUND(_xlfn.PERCENTRANK.INC($E$7:$E$4378,E1238)*9,0)</f>
        <v>7</v>
      </c>
      <c r="I1238" s="1" t="str">
        <f aca="false">CONCATENATE(F1238,G1238,H1238)</f>
        <v>557</v>
      </c>
      <c r="J1238" s="1" t="str">
        <f aca="false">_xlfn.IFS(AND(F1238&gt;=8,G1238&gt;=8,H1238&gt;=8),"CHAMPION",AND(F1238&gt;=6,G1238&gt;=7,H1238&gt;=6),"LOYAL CUSTOMER",AND(F1238&gt;=6,G1238&gt;=5,H1238&gt;=5),"POTENTIAL LOYALIST",AND(F1238&gt;=8,G1238&lt;=2,H1238&gt;=5),"NEW CUSTOMERS",AND(F1238&gt;=6,G1238&lt;=2,H1238&gt;=3),"PROMISING",AND(F1238&gt;=3,G1238&gt;=3,H1238&gt;=3),"NEED ATTENTION",AND(F1238&lt;=4,G1238&gt;=6,H1238&gt;=6),"AT RISK",AND(F1238&lt;=2,G1238&gt;=8,H1238&gt;=8),"CAN'T LOSE THEM",AND(F1238&lt;=2,G1238&lt;=2,H1238&lt;=2),"HIBERNATING",TRUE(),"Other")</f>
        <v>NEED ATTENTION</v>
      </c>
      <c r="K1238" s="1" t="n">
        <f aca="false">RANK(E1238,$E$7:$E$4378)+COUNTIF($E$7:E1238,E1238)-1</f>
        <v>860</v>
      </c>
    </row>
    <row r="1239" customFormat="false" ht="14.25" hidden="false" customHeight="true" outlineLevel="0" collapsed="false">
      <c r="A1239" s="51" t="n">
        <v>14002</v>
      </c>
      <c r="B1239" s="53" t="n">
        <v>40752.6631944445</v>
      </c>
      <c r="C1239" s="57" t="n">
        <f aca="false">INT($C$2)-INT(Table3[[#This Row],[Last Purchase Date]])</f>
        <v>135</v>
      </c>
      <c r="D1239" s="1" t="n">
        <v>2</v>
      </c>
      <c r="E1239" s="1" t="n">
        <v>529.73</v>
      </c>
      <c r="F1239" s="1" t="n">
        <f aca="false">ROUND((1-_xlfn.PERCENTRANK.INC($C$7:$C$4378,C1239))*9,0)</f>
        <v>2</v>
      </c>
      <c r="G1239" s="1" t="n">
        <f aca="false">ROUND(_xlfn.PERCENTRANK.INC($D$7:$D$4378,D1239)*9,0)</f>
        <v>3</v>
      </c>
      <c r="H1239" s="1" t="n">
        <f aca="false">ROUND(_xlfn.PERCENTRANK.INC($E$7:$E$4378,E1239)*9,0)</f>
        <v>4</v>
      </c>
      <c r="I1239" s="1" t="str">
        <f aca="false">CONCATENATE(F1239,G1239,H1239)</f>
        <v>234</v>
      </c>
      <c r="J1239" s="1" t="str">
        <f aca="false">_xlfn.IFS(AND(F1239&gt;=8,G1239&gt;=8,H1239&gt;=8),"CHAMPION",AND(F1239&gt;=6,G1239&gt;=7,H1239&gt;=6),"LOYAL CUSTOMER",AND(F1239&gt;=6,G1239&gt;=5,H1239&gt;=5),"POTENTIAL LOYALIST",AND(F1239&gt;=8,G1239&lt;=2,H1239&gt;=5),"NEW CUSTOMERS",AND(F1239&gt;=6,G1239&lt;=2,H1239&gt;=3),"PROMISING",AND(F1239&gt;=3,G1239&gt;=3,H1239&gt;=3),"NEED ATTENTION",AND(F1239&lt;=4,G1239&gt;=6,H1239&gt;=6),"AT RISK",AND(F1239&lt;=2,G1239&gt;=8,H1239&gt;=8),"CAN'T LOSE THEM",AND(F1239&lt;=2,G1239&lt;=2,H1239&lt;=2),"HIBERNATING",TRUE(),"Other")</f>
        <v>Other</v>
      </c>
      <c r="K1239" s="1" t="n">
        <f aca="false">RANK(E1239,$E$7:$E$4378)+COUNTIF($E$7:E1239,E1239)-1</f>
        <v>2482</v>
      </c>
    </row>
    <row r="1240" customFormat="false" ht="14.25" hidden="false" customHeight="true" outlineLevel="0" collapsed="false">
      <c r="A1240" s="51" t="n">
        <v>14004</v>
      </c>
      <c r="B1240" s="53" t="n">
        <v>40843.6111111111</v>
      </c>
      <c r="C1240" s="57" t="n">
        <f aca="false">INT($C$2)-INT(Table3[[#This Row],[Last Purchase Date]])</f>
        <v>44</v>
      </c>
      <c r="D1240" s="1" t="n">
        <v>7</v>
      </c>
      <c r="E1240" s="1" t="n">
        <v>4582.64</v>
      </c>
      <c r="F1240" s="1" t="n">
        <f aca="false">ROUND((1-_xlfn.PERCENTRANK.INC($C$7:$C$4378,C1240))*9,0)</f>
        <v>5</v>
      </c>
      <c r="G1240" s="1" t="n">
        <f aca="false">ROUND(_xlfn.PERCENTRANK.INC($D$7:$D$4378,D1240)*9,0)</f>
        <v>7</v>
      </c>
      <c r="H1240" s="1" t="n">
        <f aca="false">ROUND(_xlfn.PERCENTRANK.INC($E$7:$E$4378,E1240)*9,0)</f>
        <v>8</v>
      </c>
      <c r="I1240" s="1" t="str">
        <f aca="false">CONCATENATE(F1240,G1240,H1240)</f>
        <v>578</v>
      </c>
      <c r="J1240" s="1" t="str">
        <f aca="false">_xlfn.IFS(AND(F1240&gt;=8,G1240&gt;=8,H1240&gt;=8),"CHAMPION",AND(F1240&gt;=6,G1240&gt;=7,H1240&gt;=6),"LOYAL CUSTOMER",AND(F1240&gt;=6,G1240&gt;=5,H1240&gt;=5),"POTENTIAL LOYALIST",AND(F1240&gt;=8,G1240&lt;=2,H1240&gt;=5),"NEW CUSTOMERS",AND(F1240&gt;=6,G1240&lt;=2,H1240&gt;=3),"PROMISING",AND(F1240&gt;=3,G1240&gt;=3,H1240&gt;=3),"NEED ATTENTION",AND(F1240&lt;=4,G1240&gt;=6,H1240&gt;=6),"AT RISK",AND(F1240&lt;=2,G1240&gt;=8,H1240&gt;=8),"CAN'T LOSE THEM",AND(F1240&lt;=2,G1240&lt;=2,H1240&lt;=2),"HIBERNATING",TRUE(),"Other")</f>
        <v>NEED ATTENTION</v>
      </c>
      <c r="K1240" s="1" t="n">
        <f aca="false">RANK(E1240,$E$7:$E$4378)+COUNTIF($E$7:E1240,E1240)-1</f>
        <v>299</v>
      </c>
    </row>
    <row r="1241" customFormat="false" ht="14.25" hidden="false" customHeight="true" outlineLevel="0" collapsed="false">
      <c r="A1241" s="51" t="n">
        <v>14005</v>
      </c>
      <c r="B1241" s="53" t="n">
        <v>40877.5284722222</v>
      </c>
      <c r="C1241" s="57" t="n">
        <f aca="false">INT($C$2)-INT(Table3[[#This Row],[Last Purchase Date]])</f>
        <v>10</v>
      </c>
      <c r="D1241" s="1" t="n">
        <v>5</v>
      </c>
      <c r="E1241" s="1" t="n">
        <v>2874.72</v>
      </c>
      <c r="F1241" s="1" t="n">
        <f aca="false">ROUND((1-_xlfn.PERCENTRANK.INC($C$7:$C$4378,C1241))*9,0)</f>
        <v>8</v>
      </c>
      <c r="G1241" s="1" t="n">
        <f aca="false">ROUND(_xlfn.PERCENTRANK.INC($D$7:$D$4378,D1241)*9,0)</f>
        <v>6</v>
      </c>
      <c r="H1241" s="1" t="n">
        <f aca="false">ROUND(_xlfn.PERCENTRANK.INC($E$7:$E$4378,E1241)*9,0)</f>
        <v>8</v>
      </c>
      <c r="I1241" s="1" t="str">
        <f aca="false">CONCATENATE(F1241,G1241,H1241)</f>
        <v>868</v>
      </c>
      <c r="J1241" s="1" t="str">
        <f aca="false">_xlfn.IFS(AND(F1241&gt;=8,G1241&gt;=8,H1241&gt;=8),"CHAMPION",AND(F1241&gt;=6,G1241&gt;=7,H1241&gt;=6),"LOYAL CUSTOMER",AND(F1241&gt;=6,G1241&gt;=5,H1241&gt;=5),"POTENTIAL LOYALIST",AND(F1241&gt;=8,G1241&lt;=2,H1241&gt;=5),"NEW CUSTOMERS",AND(F1241&gt;=6,G1241&lt;=2,H1241&gt;=3),"PROMISING",AND(F1241&gt;=3,G1241&gt;=3,H1241&gt;=3),"NEED ATTENTION",AND(F1241&lt;=4,G1241&gt;=6,H1241&gt;=6),"AT RISK",AND(F1241&lt;=2,G1241&gt;=8,H1241&gt;=8),"CAN'T LOSE THEM",AND(F1241&lt;=2,G1241&lt;=2,H1241&lt;=2),"HIBERNATING",TRUE(),"Other")</f>
        <v>POTENTIAL LOYALIST</v>
      </c>
      <c r="K1241" s="1" t="n">
        <f aca="false">RANK(E1241,$E$7:$E$4378)+COUNTIF($E$7:E1241,E1241)-1</f>
        <v>568</v>
      </c>
    </row>
    <row r="1242" customFormat="false" ht="14.25" hidden="false" customHeight="true" outlineLevel="0" collapsed="false">
      <c r="A1242" s="51" t="n">
        <v>14006</v>
      </c>
      <c r="B1242" s="53" t="n">
        <v>40771.4020833333</v>
      </c>
      <c r="C1242" s="57" t="n">
        <f aca="false">INT($C$2)-INT(Table3[[#This Row],[Last Purchase Date]])</f>
        <v>116</v>
      </c>
      <c r="D1242" s="1" t="n">
        <v>3</v>
      </c>
      <c r="E1242" s="1" t="n">
        <v>962.19</v>
      </c>
      <c r="F1242" s="1" t="n">
        <f aca="false">ROUND((1-_xlfn.PERCENTRANK.INC($C$7:$C$4378,C1242))*9,0)</f>
        <v>3</v>
      </c>
      <c r="G1242" s="1" t="n">
        <f aca="false">ROUND(_xlfn.PERCENTRANK.INC($D$7:$D$4378,D1242)*9,0)</f>
        <v>4</v>
      </c>
      <c r="H1242" s="1" t="n">
        <f aca="false">ROUND(_xlfn.PERCENTRANK.INC($E$7:$E$4378,E1242)*9,0)</f>
        <v>6</v>
      </c>
      <c r="I1242" s="1" t="str">
        <f aca="false">CONCATENATE(F1242,G1242,H1242)</f>
        <v>346</v>
      </c>
      <c r="J1242" s="1" t="str">
        <f aca="false">_xlfn.IFS(AND(F1242&gt;=8,G1242&gt;=8,H1242&gt;=8),"CHAMPION",AND(F1242&gt;=6,G1242&gt;=7,H1242&gt;=6),"LOYAL CUSTOMER",AND(F1242&gt;=6,G1242&gt;=5,H1242&gt;=5),"POTENTIAL LOYALIST",AND(F1242&gt;=8,G1242&lt;=2,H1242&gt;=5),"NEW CUSTOMERS",AND(F1242&gt;=6,G1242&lt;=2,H1242&gt;=3),"PROMISING",AND(F1242&gt;=3,G1242&gt;=3,H1242&gt;=3),"NEED ATTENTION",AND(F1242&lt;=4,G1242&gt;=6,H1242&gt;=6),"AT RISK",AND(F1242&lt;=2,G1242&gt;=8,H1242&gt;=8),"CAN'T LOSE THEM",AND(F1242&lt;=2,G1242&lt;=2,H1242&lt;=2),"HIBERNATING",TRUE(),"Other")</f>
        <v>NEED ATTENTION</v>
      </c>
      <c r="K1242" s="1" t="n">
        <f aca="false">RANK(E1242,$E$7:$E$4378)+COUNTIF($E$7:E1242,E1242)-1</f>
        <v>1685</v>
      </c>
    </row>
    <row r="1243" customFormat="false" ht="14.25" hidden="false" customHeight="true" outlineLevel="0" collapsed="false">
      <c r="A1243" s="51" t="n">
        <v>14009</v>
      </c>
      <c r="B1243" s="53" t="n">
        <v>40688.6576388889</v>
      </c>
      <c r="C1243" s="57" t="n">
        <f aca="false">INT($C$2)-INT(Table3[[#This Row],[Last Purchase Date]])</f>
        <v>199</v>
      </c>
      <c r="D1243" s="1" t="n">
        <v>3</v>
      </c>
      <c r="E1243" s="1" t="n">
        <v>685.93</v>
      </c>
      <c r="F1243" s="1" t="n">
        <f aca="false">ROUND((1-_xlfn.PERCENTRANK.INC($C$7:$C$4378,C1243))*9,0)</f>
        <v>2</v>
      </c>
      <c r="G1243" s="1" t="n">
        <f aca="false">ROUND(_xlfn.PERCENTRANK.INC($D$7:$D$4378,D1243)*9,0)</f>
        <v>4</v>
      </c>
      <c r="H1243" s="1" t="n">
        <f aca="false">ROUND(_xlfn.PERCENTRANK.INC($E$7:$E$4378,E1243)*9,0)</f>
        <v>5</v>
      </c>
      <c r="I1243" s="1" t="str">
        <f aca="false">CONCATENATE(F1243,G1243,H1243)</f>
        <v>245</v>
      </c>
      <c r="J1243" s="1" t="str">
        <f aca="false">_xlfn.IFS(AND(F1243&gt;=8,G1243&gt;=8,H1243&gt;=8),"CHAMPION",AND(F1243&gt;=6,G1243&gt;=7,H1243&gt;=6),"LOYAL CUSTOMER",AND(F1243&gt;=6,G1243&gt;=5,H1243&gt;=5),"POTENTIAL LOYALIST",AND(F1243&gt;=8,G1243&lt;=2,H1243&gt;=5),"NEW CUSTOMERS",AND(F1243&gt;=6,G1243&lt;=2,H1243&gt;=3),"PROMISING",AND(F1243&gt;=3,G1243&gt;=3,H1243&gt;=3),"NEED ATTENTION",AND(F1243&lt;=4,G1243&gt;=6,H1243&gt;=6),"AT RISK",AND(F1243&lt;=2,G1243&gt;=8,H1243&gt;=8),"CAN'T LOSE THEM",AND(F1243&lt;=2,G1243&lt;=2,H1243&lt;=2),"HIBERNATING",TRUE(),"Other")</f>
        <v>Other</v>
      </c>
      <c r="K1243" s="1" t="n">
        <f aca="false">RANK(E1243,$E$7:$E$4378)+COUNTIF($E$7:E1243,E1243)-1</f>
        <v>2090</v>
      </c>
    </row>
    <row r="1244" customFormat="false" ht="14.25" hidden="false" customHeight="true" outlineLevel="0" collapsed="false">
      <c r="A1244" s="51" t="n">
        <v>14012</v>
      </c>
      <c r="B1244" s="53" t="n">
        <v>40609.5180555556</v>
      </c>
      <c r="C1244" s="57" t="n">
        <f aca="false">INT($C$2)-INT(Table3[[#This Row],[Last Purchase Date]])</f>
        <v>278</v>
      </c>
      <c r="D1244" s="1" t="n">
        <v>1</v>
      </c>
      <c r="E1244" s="1" t="n">
        <v>328.8</v>
      </c>
      <c r="F1244" s="1" t="n">
        <f aca="false">ROUND((1-_xlfn.PERCENTRANK.INC($C$7:$C$4378,C1244))*9,0)</f>
        <v>1</v>
      </c>
      <c r="G1244" s="1" t="n">
        <f aca="false">ROUND(_xlfn.PERCENTRANK.INC($D$7:$D$4378,D1244)*9,0)</f>
        <v>0</v>
      </c>
      <c r="H1244" s="1" t="n">
        <f aca="false">ROUND(_xlfn.PERCENTRANK.INC($E$7:$E$4378,E1244)*9,0)</f>
        <v>3</v>
      </c>
      <c r="I1244" s="1" t="str">
        <f aca="false">CONCATENATE(F1244,G1244,H1244)</f>
        <v>103</v>
      </c>
      <c r="J1244" s="1" t="str">
        <f aca="false">_xlfn.IFS(AND(F1244&gt;=8,G1244&gt;=8,H1244&gt;=8),"CHAMPION",AND(F1244&gt;=6,G1244&gt;=7,H1244&gt;=6),"LOYAL CUSTOMER",AND(F1244&gt;=6,G1244&gt;=5,H1244&gt;=5),"POTENTIAL LOYALIST",AND(F1244&gt;=8,G1244&lt;=2,H1244&gt;=5),"NEW CUSTOMERS",AND(F1244&gt;=6,G1244&lt;=2,H1244&gt;=3),"PROMISING",AND(F1244&gt;=3,G1244&gt;=3,H1244&gt;=3),"NEED ATTENTION",AND(F1244&lt;=4,G1244&gt;=6,H1244&gt;=6),"AT RISK",AND(F1244&lt;=2,G1244&gt;=8,H1244&gt;=8),"CAN'T LOSE THEM",AND(F1244&lt;=2,G1244&lt;=2,H1244&lt;=2),"HIBERNATING",TRUE(),"Other")</f>
        <v>Other</v>
      </c>
      <c r="K1244" s="1" t="n">
        <f aca="false">RANK(E1244,$E$7:$E$4378)+COUNTIF($E$7:E1244,E1244)-1</f>
        <v>3102</v>
      </c>
    </row>
    <row r="1245" customFormat="false" ht="14.25" hidden="false" customHeight="true" outlineLevel="0" collapsed="false">
      <c r="A1245" s="51" t="n">
        <v>14013</v>
      </c>
      <c r="B1245" s="53" t="n">
        <v>40776.6256944445</v>
      </c>
      <c r="C1245" s="57" t="n">
        <f aca="false">INT($C$2)-INT(Table3[[#This Row],[Last Purchase Date]])</f>
        <v>111</v>
      </c>
      <c r="D1245" s="1" t="n">
        <v>3</v>
      </c>
      <c r="E1245" s="1" t="n">
        <v>473.02</v>
      </c>
      <c r="F1245" s="1" t="n">
        <f aca="false">ROUND((1-_xlfn.PERCENTRANK.INC($C$7:$C$4378,C1245))*9,0)</f>
        <v>3</v>
      </c>
      <c r="G1245" s="1" t="n">
        <f aca="false">ROUND(_xlfn.PERCENTRANK.INC($D$7:$D$4378,D1245)*9,0)</f>
        <v>4</v>
      </c>
      <c r="H1245" s="1" t="n">
        <f aca="false">ROUND(_xlfn.PERCENTRANK.INC($E$7:$E$4378,E1245)*9,0)</f>
        <v>4</v>
      </c>
      <c r="I1245" s="1" t="str">
        <f aca="false">CONCATENATE(F1245,G1245,H1245)</f>
        <v>344</v>
      </c>
      <c r="J1245" s="1" t="str">
        <f aca="false">_xlfn.IFS(AND(F1245&gt;=8,G1245&gt;=8,H1245&gt;=8),"CHAMPION",AND(F1245&gt;=6,G1245&gt;=7,H1245&gt;=6),"LOYAL CUSTOMER",AND(F1245&gt;=6,G1245&gt;=5,H1245&gt;=5),"POTENTIAL LOYALIST",AND(F1245&gt;=8,G1245&lt;=2,H1245&gt;=5),"NEW CUSTOMERS",AND(F1245&gt;=6,G1245&lt;=2,H1245&gt;=3),"PROMISING",AND(F1245&gt;=3,G1245&gt;=3,H1245&gt;=3),"NEED ATTENTION",AND(F1245&lt;=4,G1245&gt;=6,H1245&gt;=6),"AT RISK",AND(F1245&lt;=2,G1245&gt;=8,H1245&gt;=8),"CAN'T LOSE THEM",AND(F1245&lt;=2,G1245&lt;=2,H1245&lt;=2),"HIBERNATING",TRUE(),"Other")</f>
        <v>NEED ATTENTION</v>
      </c>
      <c r="K1245" s="1" t="n">
        <f aca="false">RANK(E1245,$E$7:$E$4378)+COUNTIF($E$7:E1245,E1245)-1</f>
        <v>2608</v>
      </c>
    </row>
    <row r="1246" customFormat="false" ht="14.25" hidden="false" customHeight="true" outlineLevel="0" collapsed="false">
      <c r="A1246" s="51" t="n">
        <v>14014</v>
      </c>
      <c r="B1246" s="53" t="n">
        <v>40809.5541666667</v>
      </c>
      <c r="C1246" s="57" t="n">
        <f aca="false">INT($C$2)-INT(Table3[[#This Row],[Last Purchase Date]])</f>
        <v>78</v>
      </c>
      <c r="D1246" s="1" t="n">
        <v>1</v>
      </c>
      <c r="E1246" s="1" t="n">
        <v>505.18</v>
      </c>
      <c r="F1246" s="1" t="n">
        <f aca="false">ROUND((1-_xlfn.PERCENTRANK.INC($C$7:$C$4378,C1246))*9,0)</f>
        <v>3</v>
      </c>
      <c r="G1246" s="1" t="n">
        <f aca="false">ROUND(_xlfn.PERCENTRANK.INC($D$7:$D$4378,D1246)*9,0)</f>
        <v>0</v>
      </c>
      <c r="H1246" s="1" t="n">
        <f aca="false">ROUND(_xlfn.PERCENTRANK.INC($E$7:$E$4378,E1246)*9,0)</f>
        <v>4</v>
      </c>
      <c r="I1246" s="1" t="str">
        <f aca="false">CONCATENATE(F1246,G1246,H1246)</f>
        <v>304</v>
      </c>
      <c r="J1246" s="1" t="str">
        <f aca="false">_xlfn.IFS(AND(F1246&gt;=8,G1246&gt;=8,H1246&gt;=8),"CHAMPION",AND(F1246&gt;=6,G1246&gt;=7,H1246&gt;=6),"LOYAL CUSTOMER",AND(F1246&gt;=6,G1246&gt;=5,H1246&gt;=5),"POTENTIAL LOYALIST",AND(F1246&gt;=8,G1246&lt;=2,H1246&gt;=5),"NEW CUSTOMERS",AND(F1246&gt;=6,G1246&lt;=2,H1246&gt;=3),"PROMISING",AND(F1246&gt;=3,G1246&gt;=3,H1246&gt;=3),"NEED ATTENTION",AND(F1246&lt;=4,G1246&gt;=6,H1246&gt;=6),"AT RISK",AND(F1246&lt;=2,G1246&gt;=8,H1246&gt;=8),"CAN'T LOSE THEM",AND(F1246&lt;=2,G1246&lt;=2,H1246&lt;=2),"HIBERNATING",TRUE(),"Other")</f>
        <v>Other</v>
      </c>
      <c r="K1246" s="1" t="n">
        <f aca="false">RANK(E1246,$E$7:$E$4378)+COUNTIF($E$7:E1246,E1246)-1</f>
        <v>2531</v>
      </c>
    </row>
    <row r="1247" customFormat="false" ht="14.25" hidden="false" customHeight="true" outlineLevel="0" collapsed="false">
      <c r="A1247" s="51" t="n">
        <v>14015</v>
      </c>
      <c r="B1247" s="53" t="n">
        <v>40834.4180555556</v>
      </c>
      <c r="C1247" s="57" t="n">
        <f aca="false">INT($C$2)-INT(Table3[[#This Row],[Last Purchase Date]])</f>
        <v>53</v>
      </c>
      <c r="D1247" s="1" t="n">
        <v>1</v>
      </c>
      <c r="E1247" s="1" t="n">
        <v>917.34</v>
      </c>
      <c r="F1247" s="1" t="n">
        <f aca="false">ROUND((1-_xlfn.PERCENTRANK.INC($C$7:$C$4378,C1247))*9,0)</f>
        <v>4</v>
      </c>
      <c r="G1247" s="1" t="n">
        <f aca="false">ROUND(_xlfn.PERCENTRANK.INC($D$7:$D$4378,D1247)*9,0)</f>
        <v>0</v>
      </c>
      <c r="H1247" s="1" t="n">
        <f aca="false">ROUND(_xlfn.PERCENTRANK.INC($E$7:$E$4378,E1247)*9,0)</f>
        <v>5</v>
      </c>
      <c r="I1247" s="1" t="str">
        <f aca="false">CONCATENATE(F1247,G1247,H1247)</f>
        <v>405</v>
      </c>
      <c r="J1247" s="1" t="str">
        <f aca="false">_xlfn.IFS(AND(F1247&gt;=8,G1247&gt;=8,H1247&gt;=8),"CHAMPION",AND(F1247&gt;=6,G1247&gt;=7,H1247&gt;=6),"LOYAL CUSTOMER",AND(F1247&gt;=6,G1247&gt;=5,H1247&gt;=5),"POTENTIAL LOYALIST",AND(F1247&gt;=8,G1247&lt;=2,H1247&gt;=5),"NEW CUSTOMERS",AND(F1247&gt;=6,G1247&lt;=2,H1247&gt;=3),"PROMISING",AND(F1247&gt;=3,G1247&gt;=3,H1247&gt;=3),"NEED ATTENTION",AND(F1247&lt;=4,G1247&gt;=6,H1247&gt;=6),"AT RISK",AND(F1247&lt;=2,G1247&gt;=8,H1247&gt;=8),"CAN'T LOSE THEM",AND(F1247&lt;=2,G1247&lt;=2,H1247&lt;=2),"HIBERNATING",TRUE(),"Other")</f>
        <v>Other</v>
      </c>
      <c r="K1247" s="1" t="n">
        <f aca="false">RANK(E1247,$E$7:$E$4378)+COUNTIF($E$7:E1247,E1247)-1</f>
        <v>1731</v>
      </c>
    </row>
    <row r="1248" customFormat="false" ht="14.25" hidden="false" customHeight="true" outlineLevel="0" collapsed="false">
      <c r="A1248" s="51" t="n">
        <v>14016</v>
      </c>
      <c r="B1248" s="53" t="n">
        <v>40732.6020833333</v>
      </c>
      <c r="C1248" s="57" t="n">
        <f aca="false">INT($C$2)-INT(Table3[[#This Row],[Last Purchase Date]])</f>
        <v>155</v>
      </c>
      <c r="D1248" s="1" t="n">
        <v>5</v>
      </c>
      <c r="E1248" s="1" t="n">
        <v>4328.46</v>
      </c>
      <c r="F1248" s="1" t="n">
        <f aca="false">ROUND((1-_xlfn.PERCENTRANK.INC($C$7:$C$4378,C1248))*9,0)</f>
        <v>2</v>
      </c>
      <c r="G1248" s="1" t="n">
        <f aca="false">ROUND(_xlfn.PERCENTRANK.INC($D$7:$D$4378,D1248)*9,0)</f>
        <v>6</v>
      </c>
      <c r="H1248" s="1" t="n">
        <f aca="false">ROUND(_xlfn.PERCENTRANK.INC($E$7:$E$4378,E1248)*9,0)</f>
        <v>8</v>
      </c>
      <c r="I1248" s="1" t="str">
        <f aca="false">CONCATENATE(F1248,G1248,H1248)</f>
        <v>268</v>
      </c>
      <c r="J1248" s="1" t="str">
        <f aca="false">_xlfn.IFS(AND(F1248&gt;=8,G1248&gt;=8,H1248&gt;=8),"CHAMPION",AND(F1248&gt;=6,G1248&gt;=7,H1248&gt;=6),"LOYAL CUSTOMER",AND(F1248&gt;=6,G1248&gt;=5,H1248&gt;=5),"POTENTIAL LOYALIST",AND(F1248&gt;=8,G1248&lt;=2,H1248&gt;=5),"NEW CUSTOMERS",AND(F1248&gt;=6,G1248&lt;=2,H1248&gt;=3),"PROMISING",AND(F1248&gt;=3,G1248&gt;=3,H1248&gt;=3),"NEED ATTENTION",AND(F1248&lt;=4,G1248&gt;=6,H1248&gt;=6),"AT RISK",AND(F1248&lt;=2,G1248&gt;=8,H1248&gt;=8),"CAN'T LOSE THEM",AND(F1248&lt;=2,G1248&lt;=2,H1248&lt;=2),"HIBERNATING",TRUE(),"Other")</f>
        <v>AT RISK</v>
      </c>
      <c r="K1248" s="1" t="n">
        <f aca="false">RANK(E1248,$E$7:$E$4378)+COUNTIF($E$7:E1248,E1248)-1</f>
        <v>317</v>
      </c>
    </row>
    <row r="1249" customFormat="false" ht="14.25" hidden="false" customHeight="true" outlineLevel="0" collapsed="false">
      <c r="A1249" s="51" t="n">
        <v>14019</v>
      </c>
      <c r="B1249" s="53" t="n">
        <v>40840.4256944444</v>
      </c>
      <c r="C1249" s="57" t="n">
        <f aca="false">INT($C$2)-INT(Table3[[#This Row],[Last Purchase Date]])</f>
        <v>47</v>
      </c>
      <c r="D1249" s="1" t="n">
        <v>4</v>
      </c>
      <c r="E1249" s="1" t="n">
        <v>1398.96</v>
      </c>
      <c r="F1249" s="1" t="n">
        <f aca="false">ROUND((1-_xlfn.PERCENTRANK.INC($C$7:$C$4378,C1249))*9,0)</f>
        <v>5</v>
      </c>
      <c r="G1249" s="1" t="n">
        <f aca="false">ROUND(_xlfn.PERCENTRANK.INC($D$7:$D$4378,D1249)*9,0)</f>
        <v>5</v>
      </c>
      <c r="H1249" s="1" t="n">
        <f aca="false">ROUND(_xlfn.PERCENTRANK.INC($E$7:$E$4378,E1249)*9,0)</f>
        <v>6</v>
      </c>
      <c r="I1249" s="1" t="str">
        <f aca="false">CONCATENATE(F1249,G1249,H1249)</f>
        <v>556</v>
      </c>
      <c r="J1249" s="1" t="str">
        <f aca="false">_xlfn.IFS(AND(F1249&gt;=8,G1249&gt;=8,H1249&gt;=8),"CHAMPION",AND(F1249&gt;=6,G1249&gt;=7,H1249&gt;=6),"LOYAL CUSTOMER",AND(F1249&gt;=6,G1249&gt;=5,H1249&gt;=5),"POTENTIAL LOYALIST",AND(F1249&gt;=8,G1249&lt;=2,H1249&gt;=5),"NEW CUSTOMERS",AND(F1249&gt;=6,G1249&lt;=2,H1249&gt;=3),"PROMISING",AND(F1249&gt;=3,G1249&gt;=3,H1249&gt;=3),"NEED ATTENTION",AND(F1249&lt;=4,G1249&gt;=6,H1249&gt;=6),"AT RISK",AND(F1249&lt;=2,G1249&gt;=8,H1249&gt;=8),"CAN'T LOSE THEM",AND(F1249&lt;=2,G1249&lt;=2,H1249&lt;=2),"HIBERNATING",TRUE(),"Other")</f>
        <v>NEED ATTENTION</v>
      </c>
      <c r="K1249" s="1" t="n">
        <f aca="false">RANK(E1249,$E$7:$E$4378)+COUNTIF($E$7:E1249,E1249)-1</f>
        <v>1237</v>
      </c>
    </row>
    <row r="1250" customFormat="false" ht="14.25" hidden="false" customHeight="true" outlineLevel="0" collapsed="false">
      <c r="A1250" s="51" t="n">
        <v>14020</v>
      </c>
      <c r="B1250" s="53" t="n">
        <v>40870.3902777778</v>
      </c>
      <c r="C1250" s="57" t="n">
        <f aca="false">INT($C$2)-INT(Table3[[#This Row],[Last Purchase Date]])</f>
        <v>17</v>
      </c>
      <c r="D1250" s="1" t="n">
        <v>2</v>
      </c>
      <c r="E1250" s="1" t="n">
        <v>642.8</v>
      </c>
      <c r="F1250" s="1" t="n">
        <f aca="false">ROUND((1-_xlfn.PERCENTRANK.INC($C$7:$C$4378,C1250))*9,0)</f>
        <v>7</v>
      </c>
      <c r="G1250" s="1" t="n">
        <f aca="false">ROUND(_xlfn.PERCENTRANK.INC($D$7:$D$4378,D1250)*9,0)</f>
        <v>3</v>
      </c>
      <c r="H1250" s="1" t="n">
        <f aca="false">ROUND(_xlfn.PERCENTRANK.INC($E$7:$E$4378,E1250)*9,0)</f>
        <v>4</v>
      </c>
      <c r="I1250" s="1" t="str">
        <f aca="false">CONCATENATE(F1250,G1250,H1250)</f>
        <v>734</v>
      </c>
      <c r="J1250" s="1" t="str">
        <f aca="false">_xlfn.IFS(AND(F1250&gt;=8,G1250&gt;=8,H1250&gt;=8),"CHAMPION",AND(F1250&gt;=6,G1250&gt;=7,H1250&gt;=6),"LOYAL CUSTOMER",AND(F1250&gt;=6,G1250&gt;=5,H1250&gt;=5),"POTENTIAL LOYALIST",AND(F1250&gt;=8,G1250&lt;=2,H1250&gt;=5),"NEW CUSTOMERS",AND(F1250&gt;=6,G1250&lt;=2,H1250&gt;=3),"PROMISING",AND(F1250&gt;=3,G1250&gt;=3,H1250&gt;=3),"NEED ATTENTION",AND(F1250&lt;=4,G1250&gt;=6,H1250&gt;=6),"AT RISK",AND(F1250&lt;=2,G1250&gt;=8,H1250&gt;=8),"CAN'T LOSE THEM",AND(F1250&lt;=2,G1250&lt;=2,H1250&lt;=2),"HIBERNATING",TRUE(),"Other")</f>
        <v>NEED ATTENTION</v>
      </c>
      <c r="K1250" s="1" t="n">
        <f aca="false">RANK(E1250,$E$7:$E$4378)+COUNTIF($E$7:E1250,E1250)-1</f>
        <v>2200</v>
      </c>
    </row>
    <row r="1251" customFormat="false" ht="14.25" hidden="false" customHeight="true" outlineLevel="0" collapsed="false">
      <c r="A1251" s="51" t="n">
        <v>14021</v>
      </c>
      <c r="B1251" s="53" t="n">
        <v>40731.6569444445</v>
      </c>
      <c r="C1251" s="57" t="n">
        <f aca="false">INT($C$2)-INT(Table3[[#This Row],[Last Purchase Date]])</f>
        <v>156</v>
      </c>
      <c r="D1251" s="1" t="n">
        <v>3</v>
      </c>
      <c r="E1251" s="1" t="n">
        <v>631.9</v>
      </c>
      <c r="F1251" s="1" t="n">
        <f aca="false">ROUND((1-_xlfn.PERCENTRANK.INC($C$7:$C$4378,C1251))*9,0)</f>
        <v>2</v>
      </c>
      <c r="G1251" s="1" t="n">
        <f aca="false">ROUND(_xlfn.PERCENTRANK.INC($D$7:$D$4378,D1251)*9,0)</f>
        <v>4</v>
      </c>
      <c r="H1251" s="1" t="n">
        <f aca="false">ROUND(_xlfn.PERCENTRANK.INC($E$7:$E$4378,E1251)*9,0)</f>
        <v>4</v>
      </c>
      <c r="I1251" s="1" t="str">
        <f aca="false">CONCATENATE(F1251,G1251,H1251)</f>
        <v>244</v>
      </c>
      <c r="J1251" s="1" t="str">
        <f aca="false">_xlfn.IFS(AND(F1251&gt;=8,G1251&gt;=8,H1251&gt;=8),"CHAMPION",AND(F1251&gt;=6,G1251&gt;=7,H1251&gt;=6),"LOYAL CUSTOMER",AND(F1251&gt;=6,G1251&gt;=5,H1251&gt;=5),"POTENTIAL LOYALIST",AND(F1251&gt;=8,G1251&lt;=2,H1251&gt;=5),"NEW CUSTOMERS",AND(F1251&gt;=6,G1251&lt;=2,H1251&gt;=3),"PROMISING",AND(F1251&gt;=3,G1251&gt;=3,H1251&gt;=3),"NEED ATTENTION",AND(F1251&lt;=4,G1251&gt;=6,H1251&gt;=6),"AT RISK",AND(F1251&lt;=2,G1251&gt;=8,H1251&gt;=8),"CAN'T LOSE THEM",AND(F1251&lt;=2,G1251&lt;=2,H1251&lt;=2),"HIBERNATING",TRUE(),"Other")</f>
        <v>Other</v>
      </c>
      <c r="K1251" s="1" t="n">
        <f aca="false">RANK(E1251,$E$7:$E$4378)+COUNTIF($E$7:E1251,E1251)-1</f>
        <v>2230</v>
      </c>
    </row>
    <row r="1252" customFormat="false" ht="14.25" hidden="false" customHeight="true" outlineLevel="0" collapsed="false">
      <c r="A1252" s="51" t="n">
        <v>14022</v>
      </c>
      <c r="B1252" s="53" t="n">
        <v>40661.6104166667</v>
      </c>
      <c r="C1252" s="57" t="n">
        <f aca="false">INT($C$2)-INT(Table3[[#This Row],[Last Purchase Date]])</f>
        <v>226</v>
      </c>
      <c r="D1252" s="1" t="n">
        <v>1</v>
      </c>
      <c r="E1252" s="1" t="n">
        <v>440</v>
      </c>
      <c r="F1252" s="1" t="n">
        <f aca="false">ROUND((1-_xlfn.PERCENTRANK.INC($C$7:$C$4378,C1252))*9,0)</f>
        <v>1</v>
      </c>
      <c r="G1252" s="1" t="n">
        <f aca="false">ROUND(_xlfn.PERCENTRANK.INC($D$7:$D$4378,D1252)*9,0)</f>
        <v>0</v>
      </c>
      <c r="H1252" s="1" t="n">
        <f aca="false">ROUND(_xlfn.PERCENTRANK.INC($E$7:$E$4378,E1252)*9,0)</f>
        <v>3</v>
      </c>
      <c r="I1252" s="1" t="str">
        <f aca="false">CONCATENATE(F1252,G1252,H1252)</f>
        <v>103</v>
      </c>
      <c r="J1252" s="1" t="str">
        <f aca="false">_xlfn.IFS(AND(F1252&gt;=8,G1252&gt;=8,H1252&gt;=8),"CHAMPION",AND(F1252&gt;=6,G1252&gt;=7,H1252&gt;=6),"LOYAL CUSTOMER",AND(F1252&gt;=6,G1252&gt;=5,H1252&gt;=5),"POTENTIAL LOYALIST",AND(F1252&gt;=8,G1252&lt;=2,H1252&gt;=5),"NEW CUSTOMERS",AND(F1252&gt;=6,G1252&lt;=2,H1252&gt;=3),"PROMISING",AND(F1252&gt;=3,G1252&gt;=3,H1252&gt;=3),"NEED ATTENTION",AND(F1252&lt;=4,G1252&gt;=6,H1252&gt;=6),"AT RISK",AND(F1252&lt;=2,G1252&gt;=8,H1252&gt;=8),"CAN'T LOSE THEM",AND(F1252&lt;=2,G1252&lt;=2,H1252&lt;=2),"HIBERNATING",TRUE(),"Other")</f>
        <v>Other</v>
      </c>
      <c r="K1252" s="1" t="n">
        <f aca="false">RANK(E1252,$E$7:$E$4378)+COUNTIF($E$7:E1252,E1252)-1</f>
        <v>2693</v>
      </c>
    </row>
    <row r="1253" customFormat="false" ht="14.25" hidden="false" customHeight="true" outlineLevel="0" collapsed="false">
      <c r="A1253" s="51" t="n">
        <v>14023</v>
      </c>
      <c r="B1253" s="53" t="n">
        <v>40879.5819444444</v>
      </c>
      <c r="C1253" s="57" t="n">
        <f aca="false">INT($C$2)-INT(Table3[[#This Row],[Last Purchase Date]])</f>
        <v>8</v>
      </c>
      <c r="D1253" s="1" t="n">
        <v>2</v>
      </c>
      <c r="E1253" s="1" t="n">
        <v>584.07</v>
      </c>
      <c r="F1253" s="1" t="n">
        <f aca="false">ROUND((1-_xlfn.PERCENTRANK.INC($C$7:$C$4378,C1253))*9,0)</f>
        <v>8</v>
      </c>
      <c r="G1253" s="1" t="n">
        <f aca="false">ROUND(_xlfn.PERCENTRANK.INC($D$7:$D$4378,D1253)*9,0)</f>
        <v>3</v>
      </c>
      <c r="H1253" s="1" t="n">
        <f aca="false">ROUND(_xlfn.PERCENTRANK.INC($E$7:$E$4378,E1253)*9,0)</f>
        <v>4</v>
      </c>
      <c r="I1253" s="1" t="str">
        <f aca="false">CONCATENATE(F1253,G1253,H1253)</f>
        <v>834</v>
      </c>
      <c r="J1253" s="1" t="str">
        <f aca="false">_xlfn.IFS(AND(F1253&gt;=8,G1253&gt;=8,H1253&gt;=8),"CHAMPION",AND(F1253&gt;=6,G1253&gt;=7,H1253&gt;=6),"LOYAL CUSTOMER",AND(F1253&gt;=6,G1253&gt;=5,H1253&gt;=5),"POTENTIAL LOYALIST",AND(F1253&gt;=8,G1253&lt;=2,H1253&gt;=5),"NEW CUSTOMERS",AND(F1253&gt;=6,G1253&lt;=2,H1253&gt;=3),"PROMISING",AND(F1253&gt;=3,G1253&gt;=3,H1253&gt;=3),"NEED ATTENTION",AND(F1253&lt;=4,G1253&gt;=6,H1253&gt;=6),"AT RISK",AND(F1253&lt;=2,G1253&gt;=8,H1253&gt;=8),"CAN'T LOSE THEM",AND(F1253&lt;=2,G1253&lt;=2,H1253&lt;=2),"HIBERNATING",TRUE(),"Other")</f>
        <v>NEED ATTENTION</v>
      </c>
      <c r="K1253" s="1" t="n">
        <f aca="false">RANK(E1253,$E$7:$E$4378)+COUNTIF($E$7:E1253,E1253)-1</f>
        <v>2359</v>
      </c>
    </row>
    <row r="1254" customFormat="false" ht="14.25" hidden="false" customHeight="true" outlineLevel="0" collapsed="false">
      <c r="A1254" s="51" t="n">
        <v>14024</v>
      </c>
      <c r="B1254" s="53" t="n">
        <v>40765.4791666667</v>
      </c>
      <c r="C1254" s="57" t="n">
        <f aca="false">INT($C$2)-INT(Table3[[#This Row],[Last Purchase Date]])</f>
        <v>122</v>
      </c>
      <c r="D1254" s="1" t="n">
        <v>2</v>
      </c>
      <c r="E1254" s="1" t="n">
        <v>327.7</v>
      </c>
      <c r="F1254" s="1" t="n">
        <f aca="false">ROUND((1-_xlfn.PERCENTRANK.INC($C$7:$C$4378,C1254))*9,0)</f>
        <v>3</v>
      </c>
      <c r="G1254" s="1" t="n">
        <f aca="false">ROUND(_xlfn.PERCENTRANK.INC($D$7:$D$4378,D1254)*9,0)</f>
        <v>3</v>
      </c>
      <c r="H1254" s="1" t="n">
        <f aca="false">ROUND(_xlfn.PERCENTRANK.INC($E$7:$E$4378,E1254)*9,0)</f>
        <v>3</v>
      </c>
      <c r="I1254" s="1" t="str">
        <f aca="false">CONCATENATE(F1254,G1254,H1254)</f>
        <v>333</v>
      </c>
      <c r="J1254" s="1" t="str">
        <f aca="false">_xlfn.IFS(AND(F1254&gt;=8,G1254&gt;=8,H1254&gt;=8),"CHAMPION",AND(F1254&gt;=6,G1254&gt;=7,H1254&gt;=6),"LOYAL CUSTOMER",AND(F1254&gt;=6,G1254&gt;=5,H1254&gt;=5),"POTENTIAL LOYALIST",AND(F1254&gt;=8,G1254&lt;=2,H1254&gt;=5),"NEW CUSTOMERS",AND(F1254&gt;=6,G1254&lt;=2,H1254&gt;=3),"PROMISING",AND(F1254&gt;=3,G1254&gt;=3,H1254&gt;=3),"NEED ATTENTION",AND(F1254&lt;=4,G1254&gt;=6,H1254&gt;=6),"AT RISK",AND(F1254&lt;=2,G1254&gt;=8,H1254&gt;=8),"CAN'T LOSE THEM",AND(F1254&lt;=2,G1254&lt;=2,H1254&lt;=2),"HIBERNATING",TRUE(),"Other")</f>
        <v>NEED ATTENTION</v>
      </c>
      <c r="K1254" s="1" t="n">
        <f aca="false">RANK(E1254,$E$7:$E$4378)+COUNTIF($E$7:E1254,E1254)-1</f>
        <v>3106</v>
      </c>
    </row>
    <row r="1255" customFormat="false" ht="14.25" hidden="false" customHeight="true" outlineLevel="0" collapsed="false">
      <c r="A1255" s="51" t="n">
        <v>14027</v>
      </c>
      <c r="B1255" s="53" t="n">
        <v>40826.3756944445</v>
      </c>
      <c r="C1255" s="57" t="n">
        <f aca="false">INT($C$2)-INT(Table3[[#This Row],[Last Purchase Date]])</f>
        <v>61</v>
      </c>
      <c r="D1255" s="1" t="n">
        <v>1</v>
      </c>
      <c r="E1255" s="1" t="n">
        <v>104.82</v>
      </c>
      <c r="F1255" s="1" t="n">
        <f aca="false">ROUND((1-_xlfn.PERCENTRANK.INC($C$7:$C$4378,C1255))*9,0)</f>
        <v>4</v>
      </c>
      <c r="G1255" s="1" t="n">
        <f aca="false">ROUND(_xlfn.PERCENTRANK.INC($D$7:$D$4378,D1255)*9,0)</f>
        <v>0</v>
      </c>
      <c r="H1255" s="1" t="n">
        <f aca="false">ROUND(_xlfn.PERCENTRANK.INC($E$7:$E$4378,E1255)*9,0)</f>
        <v>0</v>
      </c>
      <c r="I1255" s="1" t="str">
        <f aca="false">CONCATENATE(F1255,G1255,H1255)</f>
        <v>400</v>
      </c>
      <c r="J1255" s="1" t="str">
        <f aca="false">_xlfn.IFS(AND(F1255&gt;=8,G1255&gt;=8,H1255&gt;=8),"CHAMPION",AND(F1255&gt;=6,G1255&gt;=7,H1255&gt;=6),"LOYAL CUSTOMER",AND(F1255&gt;=6,G1255&gt;=5,H1255&gt;=5),"POTENTIAL LOYALIST",AND(F1255&gt;=8,G1255&lt;=2,H1255&gt;=5),"NEW CUSTOMERS",AND(F1255&gt;=6,G1255&lt;=2,H1255&gt;=3),"PROMISING",AND(F1255&gt;=3,G1255&gt;=3,H1255&gt;=3),"NEED ATTENTION",AND(F1255&lt;=4,G1255&gt;=6,H1255&gt;=6),"AT RISK",AND(F1255&lt;=2,G1255&gt;=8,H1255&gt;=8),"CAN'T LOSE THEM",AND(F1255&lt;=2,G1255&lt;=2,H1255&lt;=2),"HIBERNATING",TRUE(),"Other")</f>
        <v>Other</v>
      </c>
      <c r="K1255" s="1" t="n">
        <f aca="false">RANK(E1255,$E$7:$E$4378)+COUNTIF($E$7:E1255,E1255)-1</f>
        <v>4135</v>
      </c>
    </row>
    <row r="1256" customFormat="false" ht="14.25" hidden="false" customHeight="true" outlineLevel="0" collapsed="false">
      <c r="A1256" s="51" t="n">
        <v>14029</v>
      </c>
      <c r="B1256" s="53" t="n">
        <v>40823.6152777778</v>
      </c>
      <c r="C1256" s="57" t="n">
        <f aca="false">INT($C$2)-INT(Table3[[#This Row],[Last Purchase Date]])</f>
        <v>64</v>
      </c>
      <c r="D1256" s="1" t="n">
        <v>2</v>
      </c>
      <c r="E1256" s="1" t="n">
        <v>467.66</v>
      </c>
      <c r="F1256" s="1" t="n">
        <f aca="false">ROUND((1-_xlfn.PERCENTRANK.INC($C$7:$C$4378,C1256))*9,0)</f>
        <v>4</v>
      </c>
      <c r="G1256" s="1" t="n">
        <f aca="false">ROUND(_xlfn.PERCENTRANK.INC($D$7:$D$4378,D1256)*9,0)</f>
        <v>3</v>
      </c>
      <c r="H1256" s="1" t="n">
        <f aca="false">ROUND(_xlfn.PERCENTRANK.INC($E$7:$E$4378,E1256)*9,0)</f>
        <v>4</v>
      </c>
      <c r="I1256" s="1" t="str">
        <f aca="false">CONCATENATE(F1256,G1256,H1256)</f>
        <v>434</v>
      </c>
      <c r="J1256" s="1" t="str">
        <f aca="false">_xlfn.IFS(AND(F1256&gt;=8,G1256&gt;=8,H1256&gt;=8),"CHAMPION",AND(F1256&gt;=6,G1256&gt;=7,H1256&gt;=6),"LOYAL CUSTOMER",AND(F1256&gt;=6,G1256&gt;=5,H1256&gt;=5),"POTENTIAL LOYALIST",AND(F1256&gt;=8,G1256&lt;=2,H1256&gt;=5),"NEW CUSTOMERS",AND(F1256&gt;=6,G1256&lt;=2,H1256&gt;=3),"PROMISING",AND(F1256&gt;=3,G1256&gt;=3,H1256&gt;=3),"NEED ATTENTION",AND(F1256&lt;=4,G1256&gt;=6,H1256&gt;=6),"AT RISK",AND(F1256&lt;=2,G1256&gt;=8,H1256&gt;=8),"CAN'T LOSE THEM",AND(F1256&lt;=2,G1256&lt;=2,H1256&lt;=2),"HIBERNATING",TRUE(),"Other")</f>
        <v>NEED ATTENTION</v>
      </c>
      <c r="K1256" s="1" t="n">
        <f aca="false">RANK(E1256,$E$7:$E$4378)+COUNTIF($E$7:E1256,E1256)-1</f>
        <v>2620</v>
      </c>
    </row>
    <row r="1257" customFormat="false" ht="14.25" hidden="false" customHeight="true" outlineLevel="0" collapsed="false">
      <c r="A1257" s="51" t="n">
        <v>14030</v>
      </c>
      <c r="B1257" s="53" t="n">
        <v>40868.7</v>
      </c>
      <c r="C1257" s="57" t="n">
        <f aca="false">INT($C$2)-INT(Table3[[#This Row],[Last Purchase Date]])</f>
        <v>19</v>
      </c>
      <c r="D1257" s="1" t="n">
        <v>8</v>
      </c>
      <c r="E1257" s="1" t="n">
        <v>2360.09</v>
      </c>
      <c r="F1257" s="1" t="n">
        <f aca="false">ROUND((1-_xlfn.PERCENTRANK.INC($C$7:$C$4378,C1257))*9,0)</f>
        <v>7</v>
      </c>
      <c r="G1257" s="1" t="n">
        <f aca="false">ROUND(_xlfn.PERCENTRANK.INC($D$7:$D$4378,D1257)*9,0)</f>
        <v>7</v>
      </c>
      <c r="H1257" s="1" t="n">
        <f aca="false">ROUND(_xlfn.PERCENTRANK.INC($E$7:$E$4378,E1257)*9,0)</f>
        <v>8</v>
      </c>
      <c r="I1257" s="1" t="str">
        <f aca="false">CONCATENATE(F1257,G1257,H1257)</f>
        <v>778</v>
      </c>
      <c r="J1257" s="1" t="str">
        <f aca="false">_xlfn.IFS(AND(F1257&gt;=8,G1257&gt;=8,H1257&gt;=8),"CHAMPION",AND(F1257&gt;=6,G1257&gt;=7,H1257&gt;=6),"LOYAL CUSTOMER",AND(F1257&gt;=6,G1257&gt;=5,H1257&gt;=5),"POTENTIAL LOYALIST",AND(F1257&gt;=8,G1257&lt;=2,H1257&gt;=5),"NEW CUSTOMERS",AND(F1257&gt;=6,G1257&lt;=2,H1257&gt;=3),"PROMISING",AND(F1257&gt;=3,G1257&gt;=3,H1257&gt;=3),"NEED ATTENTION",AND(F1257&lt;=4,G1257&gt;=6,H1257&gt;=6),"AT RISK",AND(F1257&lt;=2,G1257&gt;=8,H1257&gt;=8),"CAN'T LOSE THEM",AND(F1257&lt;=2,G1257&lt;=2,H1257&lt;=2),"HIBERNATING",TRUE(),"Other")</f>
        <v>LOYAL CUSTOMER</v>
      </c>
      <c r="K1257" s="1" t="n">
        <f aca="false">RANK(E1257,$E$7:$E$4378)+COUNTIF($E$7:E1257,E1257)-1</f>
        <v>723</v>
      </c>
    </row>
    <row r="1258" customFormat="false" ht="14.25" hidden="false" customHeight="true" outlineLevel="0" collapsed="false">
      <c r="A1258" s="51" t="n">
        <v>14031</v>
      </c>
      <c r="B1258" s="53" t="n">
        <v>40879.7173611111</v>
      </c>
      <c r="C1258" s="57" t="n">
        <f aca="false">INT($C$2)-INT(Table3[[#This Row],[Last Purchase Date]])</f>
        <v>8</v>
      </c>
      <c r="D1258" s="1" t="n">
        <v>23</v>
      </c>
      <c r="E1258" s="1" t="n">
        <v>14634.64</v>
      </c>
      <c r="F1258" s="1" t="n">
        <f aca="false">ROUND((1-_xlfn.PERCENTRANK.INC($C$7:$C$4378,C1258))*9,0)</f>
        <v>8</v>
      </c>
      <c r="G1258" s="1" t="n">
        <f aca="false">ROUND(_xlfn.PERCENTRANK.INC($D$7:$D$4378,D1258)*9,0)</f>
        <v>9</v>
      </c>
      <c r="H1258" s="1" t="n">
        <f aca="false">ROUND(_xlfn.PERCENTRANK.INC($E$7:$E$4378,E1258)*9,0)</f>
        <v>9</v>
      </c>
      <c r="I1258" s="1" t="str">
        <f aca="false">CONCATENATE(F1258,G1258,H1258)</f>
        <v>899</v>
      </c>
      <c r="J1258" s="1" t="str">
        <f aca="false">_xlfn.IFS(AND(F1258&gt;=8,G1258&gt;=8,H1258&gt;=8),"CHAMPION",AND(F1258&gt;=6,G1258&gt;=7,H1258&gt;=6),"LOYAL CUSTOMER",AND(F1258&gt;=6,G1258&gt;=5,H1258&gt;=5),"POTENTIAL LOYALIST",AND(F1258&gt;=8,G1258&lt;=2,H1258&gt;=5),"NEW CUSTOMERS",AND(F1258&gt;=6,G1258&lt;=2,H1258&gt;=3),"PROMISING",AND(F1258&gt;=3,G1258&gt;=3,H1258&gt;=3),"NEED ATTENTION",AND(F1258&lt;=4,G1258&gt;=6,H1258&gt;=6),"AT RISK",AND(F1258&lt;=2,G1258&gt;=8,H1258&gt;=8),"CAN'T LOSE THEM",AND(F1258&lt;=2,G1258&lt;=2,H1258&lt;=2),"HIBERNATING",TRUE(),"Other")</f>
        <v>CHAMPION</v>
      </c>
      <c r="K1258" s="1" t="n">
        <f aca="false">RANK(E1258,$E$7:$E$4378)+COUNTIF($E$7:E1258,E1258)-1</f>
        <v>55</v>
      </c>
    </row>
    <row r="1259" customFormat="false" ht="14.25" hidden="false" customHeight="true" outlineLevel="0" collapsed="false">
      <c r="A1259" s="51" t="n">
        <v>14032</v>
      </c>
      <c r="B1259" s="53" t="n">
        <v>40884.6409722222</v>
      </c>
      <c r="C1259" s="57" t="n">
        <f aca="false">INT($C$2)-INT(Table3[[#This Row],[Last Purchase Date]])</f>
        <v>3</v>
      </c>
      <c r="D1259" s="1" t="n">
        <v>18</v>
      </c>
      <c r="E1259" s="1" t="n">
        <v>2929.84</v>
      </c>
      <c r="F1259" s="1" t="n">
        <f aca="false">ROUND((1-_xlfn.PERCENTRANK.INC($C$7:$C$4378,C1259))*9,0)</f>
        <v>9</v>
      </c>
      <c r="G1259" s="1" t="n">
        <f aca="false">ROUND(_xlfn.PERCENTRANK.INC($D$7:$D$4378,D1259)*9,0)</f>
        <v>9</v>
      </c>
      <c r="H1259" s="1" t="n">
        <f aca="false">ROUND(_xlfn.PERCENTRANK.INC($E$7:$E$4378,E1259)*9,0)</f>
        <v>8</v>
      </c>
      <c r="I1259" s="1" t="str">
        <f aca="false">CONCATENATE(F1259,G1259,H1259)</f>
        <v>998</v>
      </c>
      <c r="J1259" s="1" t="str">
        <f aca="false">_xlfn.IFS(AND(F1259&gt;=8,G1259&gt;=8,H1259&gt;=8),"CHAMPION",AND(F1259&gt;=6,G1259&gt;=7,H1259&gt;=6),"LOYAL CUSTOMER",AND(F1259&gt;=6,G1259&gt;=5,H1259&gt;=5),"POTENTIAL LOYALIST",AND(F1259&gt;=8,G1259&lt;=2,H1259&gt;=5),"NEW CUSTOMERS",AND(F1259&gt;=6,G1259&lt;=2,H1259&gt;=3),"PROMISING",AND(F1259&gt;=3,G1259&gt;=3,H1259&gt;=3),"NEED ATTENTION",AND(F1259&lt;=4,G1259&gt;=6,H1259&gt;=6),"AT RISK",AND(F1259&lt;=2,G1259&gt;=8,H1259&gt;=8),"CAN'T LOSE THEM",AND(F1259&lt;=2,G1259&lt;=2,H1259&lt;=2),"HIBERNATING",TRUE(),"Other")</f>
        <v>CHAMPION</v>
      </c>
      <c r="K1259" s="1" t="n">
        <f aca="false">RANK(E1259,$E$7:$E$4378)+COUNTIF($E$7:E1259,E1259)-1</f>
        <v>556</v>
      </c>
    </row>
    <row r="1260" customFormat="false" ht="14.25" hidden="false" customHeight="true" outlineLevel="0" collapsed="false">
      <c r="A1260" s="51" t="n">
        <v>14034</v>
      </c>
      <c r="B1260" s="53" t="n">
        <v>40864.5847222222</v>
      </c>
      <c r="C1260" s="57" t="n">
        <f aca="false">INT($C$2)-INT(Table3[[#This Row],[Last Purchase Date]])</f>
        <v>23</v>
      </c>
      <c r="D1260" s="1" t="n">
        <v>4</v>
      </c>
      <c r="E1260" s="1" t="n">
        <v>512.02</v>
      </c>
      <c r="F1260" s="1" t="n">
        <f aca="false">ROUND((1-_xlfn.PERCENTRANK.INC($C$7:$C$4378,C1260))*9,0)</f>
        <v>6</v>
      </c>
      <c r="G1260" s="1" t="n">
        <f aca="false">ROUND(_xlfn.PERCENTRANK.INC($D$7:$D$4378,D1260)*9,0)</f>
        <v>5</v>
      </c>
      <c r="H1260" s="1" t="n">
        <f aca="false">ROUND(_xlfn.PERCENTRANK.INC($E$7:$E$4378,E1260)*9,0)</f>
        <v>4</v>
      </c>
      <c r="I1260" s="1" t="str">
        <f aca="false">CONCATENATE(F1260,G1260,H1260)</f>
        <v>654</v>
      </c>
      <c r="J1260" s="1" t="str">
        <f aca="false">_xlfn.IFS(AND(F1260&gt;=8,G1260&gt;=8,H1260&gt;=8),"CHAMPION",AND(F1260&gt;=6,G1260&gt;=7,H1260&gt;=6),"LOYAL CUSTOMER",AND(F1260&gt;=6,G1260&gt;=5,H1260&gt;=5),"POTENTIAL LOYALIST",AND(F1260&gt;=8,G1260&lt;=2,H1260&gt;=5),"NEW CUSTOMERS",AND(F1260&gt;=6,G1260&lt;=2,H1260&gt;=3),"PROMISING",AND(F1260&gt;=3,G1260&gt;=3,H1260&gt;=3),"NEED ATTENTION",AND(F1260&lt;=4,G1260&gt;=6,H1260&gt;=6),"AT RISK",AND(F1260&lt;=2,G1260&gt;=8,H1260&gt;=8),"CAN'T LOSE THEM",AND(F1260&lt;=2,G1260&lt;=2,H1260&lt;=2),"HIBERNATING",TRUE(),"Other")</f>
        <v>NEED ATTENTION</v>
      </c>
      <c r="K1260" s="1" t="n">
        <f aca="false">RANK(E1260,$E$7:$E$4378)+COUNTIF($E$7:E1260,E1260)-1</f>
        <v>2510</v>
      </c>
    </row>
    <row r="1261" customFormat="false" ht="14.25" hidden="false" customHeight="true" outlineLevel="0" collapsed="false">
      <c r="A1261" s="51" t="n">
        <v>14035</v>
      </c>
      <c r="B1261" s="53" t="n">
        <v>40858.41875</v>
      </c>
      <c r="C1261" s="57" t="n">
        <f aca="false">INT($C$2)-INT(Table3[[#This Row],[Last Purchase Date]])</f>
        <v>29</v>
      </c>
      <c r="D1261" s="1" t="n">
        <v>5</v>
      </c>
      <c r="E1261" s="1" t="n">
        <v>1428.02</v>
      </c>
      <c r="F1261" s="1" t="n">
        <f aca="false">ROUND((1-_xlfn.PERCENTRANK.INC($C$7:$C$4378,C1261))*9,0)</f>
        <v>6</v>
      </c>
      <c r="G1261" s="1" t="n">
        <f aca="false">ROUND(_xlfn.PERCENTRANK.INC($D$7:$D$4378,D1261)*9,0)</f>
        <v>6</v>
      </c>
      <c r="H1261" s="1" t="n">
        <f aca="false">ROUND(_xlfn.PERCENTRANK.INC($E$7:$E$4378,E1261)*9,0)</f>
        <v>6</v>
      </c>
      <c r="I1261" s="1" t="str">
        <f aca="false">CONCATENATE(F1261,G1261,H1261)</f>
        <v>666</v>
      </c>
      <c r="J1261" s="1" t="str">
        <f aca="false">_xlfn.IFS(AND(F1261&gt;=8,G1261&gt;=8,H1261&gt;=8),"CHAMPION",AND(F1261&gt;=6,G1261&gt;=7,H1261&gt;=6),"LOYAL CUSTOMER",AND(F1261&gt;=6,G1261&gt;=5,H1261&gt;=5),"POTENTIAL LOYALIST",AND(F1261&gt;=8,G1261&lt;=2,H1261&gt;=5),"NEW CUSTOMERS",AND(F1261&gt;=6,G1261&lt;=2,H1261&gt;=3),"PROMISING",AND(F1261&gt;=3,G1261&gt;=3,H1261&gt;=3),"NEED ATTENTION",AND(F1261&lt;=4,G1261&gt;=6,H1261&gt;=6),"AT RISK",AND(F1261&lt;=2,G1261&gt;=8,H1261&gt;=8),"CAN'T LOSE THEM",AND(F1261&lt;=2,G1261&lt;=2,H1261&lt;=2),"HIBERNATING",TRUE(),"Other")</f>
        <v>POTENTIAL LOYALIST</v>
      </c>
      <c r="K1261" s="1" t="n">
        <f aca="false">RANK(E1261,$E$7:$E$4378)+COUNTIF($E$7:E1261,E1261)-1</f>
        <v>1214</v>
      </c>
    </row>
    <row r="1262" customFormat="false" ht="14.25" hidden="false" customHeight="true" outlineLevel="0" collapsed="false">
      <c r="A1262" s="51" t="n">
        <v>14036</v>
      </c>
      <c r="B1262" s="53" t="n">
        <v>40602.3930555556</v>
      </c>
      <c r="C1262" s="57" t="n">
        <f aca="false">INT($C$2)-INT(Table3[[#This Row],[Last Purchase Date]])</f>
        <v>285</v>
      </c>
      <c r="D1262" s="1" t="n">
        <v>1</v>
      </c>
      <c r="E1262" s="1" t="n">
        <v>626.65</v>
      </c>
      <c r="F1262" s="1" t="n">
        <f aca="false">ROUND((1-_xlfn.PERCENTRANK.INC($C$7:$C$4378,C1262))*9,0)</f>
        <v>1</v>
      </c>
      <c r="G1262" s="1" t="n">
        <f aca="false">ROUND(_xlfn.PERCENTRANK.INC($D$7:$D$4378,D1262)*9,0)</f>
        <v>0</v>
      </c>
      <c r="H1262" s="1" t="n">
        <f aca="false">ROUND(_xlfn.PERCENTRANK.INC($E$7:$E$4378,E1262)*9,0)</f>
        <v>4</v>
      </c>
      <c r="I1262" s="1" t="str">
        <f aca="false">CONCATENATE(F1262,G1262,H1262)</f>
        <v>104</v>
      </c>
      <c r="J1262" s="1" t="str">
        <f aca="false">_xlfn.IFS(AND(F1262&gt;=8,G1262&gt;=8,H1262&gt;=8),"CHAMPION",AND(F1262&gt;=6,G1262&gt;=7,H1262&gt;=6),"LOYAL CUSTOMER",AND(F1262&gt;=6,G1262&gt;=5,H1262&gt;=5),"POTENTIAL LOYALIST",AND(F1262&gt;=8,G1262&lt;=2,H1262&gt;=5),"NEW CUSTOMERS",AND(F1262&gt;=6,G1262&lt;=2,H1262&gt;=3),"PROMISING",AND(F1262&gt;=3,G1262&gt;=3,H1262&gt;=3),"NEED ATTENTION",AND(F1262&lt;=4,G1262&gt;=6,H1262&gt;=6),"AT RISK",AND(F1262&lt;=2,G1262&gt;=8,H1262&gt;=8),"CAN'T LOSE THEM",AND(F1262&lt;=2,G1262&lt;=2,H1262&lt;=2),"HIBERNATING",TRUE(),"Other")</f>
        <v>Other</v>
      </c>
      <c r="K1262" s="1" t="n">
        <f aca="false">RANK(E1262,$E$7:$E$4378)+COUNTIF($E$7:E1262,E1262)-1</f>
        <v>2242</v>
      </c>
    </row>
    <row r="1263" customFormat="false" ht="14.25" hidden="false" customHeight="true" outlineLevel="0" collapsed="false">
      <c r="A1263" s="51" t="n">
        <v>14037</v>
      </c>
      <c r="B1263" s="53" t="n">
        <v>40710.58125</v>
      </c>
      <c r="C1263" s="57" t="n">
        <f aca="false">INT($C$2)-INT(Table3[[#This Row],[Last Purchase Date]])</f>
        <v>177</v>
      </c>
      <c r="D1263" s="1" t="n">
        <v>2</v>
      </c>
      <c r="E1263" s="1" t="n">
        <v>147.2</v>
      </c>
      <c r="F1263" s="1" t="n">
        <f aca="false">ROUND((1-_xlfn.PERCENTRANK.INC($C$7:$C$4378,C1263))*9,0)</f>
        <v>2</v>
      </c>
      <c r="G1263" s="1" t="n">
        <f aca="false">ROUND(_xlfn.PERCENTRANK.INC($D$7:$D$4378,D1263)*9,0)</f>
        <v>3</v>
      </c>
      <c r="H1263" s="1" t="n">
        <f aca="false">ROUND(_xlfn.PERCENTRANK.INC($E$7:$E$4378,E1263)*9,0)</f>
        <v>1</v>
      </c>
      <c r="I1263" s="1" t="str">
        <f aca="false">CONCATENATE(F1263,G1263,H1263)</f>
        <v>231</v>
      </c>
      <c r="J1263" s="1" t="str">
        <f aca="false">_xlfn.IFS(AND(F1263&gt;=8,G1263&gt;=8,H1263&gt;=8),"CHAMPION",AND(F1263&gt;=6,G1263&gt;=7,H1263&gt;=6),"LOYAL CUSTOMER",AND(F1263&gt;=6,G1263&gt;=5,H1263&gt;=5),"POTENTIAL LOYALIST",AND(F1263&gt;=8,G1263&lt;=2,H1263&gt;=5),"NEW CUSTOMERS",AND(F1263&gt;=6,G1263&lt;=2,H1263&gt;=3),"PROMISING",AND(F1263&gt;=3,G1263&gt;=3,H1263&gt;=3),"NEED ATTENTION",AND(F1263&lt;=4,G1263&gt;=6,H1263&gt;=6),"AT RISK",AND(F1263&lt;=2,G1263&gt;=8,H1263&gt;=8),"CAN'T LOSE THEM",AND(F1263&lt;=2,G1263&lt;=2,H1263&lt;=2),"HIBERNATING",TRUE(),"Other")</f>
        <v>Other</v>
      </c>
      <c r="K1263" s="1" t="n">
        <f aca="false">RANK(E1263,$E$7:$E$4378)+COUNTIF($E$7:E1263,E1263)-1</f>
        <v>3930</v>
      </c>
    </row>
    <row r="1264" customFormat="false" ht="14.25" hidden="false" customHeight="true" outlineLevel="0" collapsed="false">
      <c r="A1264" s="51" t="n">
        <v>14038</v>
      </c>
      <c r="B1264" s="53" t="n">
        <v>40808.5673611111</v>
      </c>
      <c r="C1264" s="57" t="n">
        <f aca="false">INT($C$2)-INT(Table3[[#This Row],[Last Purchase Date]])</f>
        <v>79</v>
      </c>
      <c r="D1264" s="1" t="n">
        <v>4</v>
      </c>
      <c r="E1264" s="1" t="n">
        <v>1554.48</v>
      </c>
      <c r="F1264" s="1" t="n">
        <f aca="false">ROUND((1-_xlfn.PERCENTRANK.INC($C$7:$C$4378,C1264))*9,0)</f>
        <v>3</v>
      </c>
      <c r="G1264" s="1" t="n">
        <f aca="false">ROUND(_xlfn.PERCENTRANK.INC($D$7:$D$4378,D1264)*9,0)</f>
        <v>5</v>
      </c>
      <c r="H1264" s="1" t="n">
        <f aca="false">ROUND(_xlfn.PERCENTRANK.INC($E$7:$E$4378,E1264)*9,0)</f>
        <v>7</v>
      </c>
      <c r="I1264" s="1" t="str">
        <f aca="false">CONCATENATE(F1264,G1264,H1264)</f>
        <v>357</v>
      </c>
      <c r="J1264" s="1" t="str">
        <f aca="false">_xlfn.IFS(AND(F1264&gt;=8,G1264&gt;=8,H1264&gt;=8),"CHAMPION",AND(F1264&gt;=6,G1264&gt;=7,H1264&gt;=6),"LOYAL CUSTOMER",AND(F1264&gt;=6,G1264&gt;=5,H1264&gt;=5),"POTENTIAL LOYALIST",AND(F1264&gt;=8,G1264&lt;=2,H1264&gt;=5),"NEW CUSTOMERS",AND(F1264&gt;=6,G1264&lt;=2,H1264&gt;=3),"PROMISING",AND(F1264&gt;=3,G1264&gt;=3,H1264&gt;=3),"NEED ATTENTION",AND(F1264&lt;=4,G1264&gt;=6,H1264&gt;=6),"AT RISK",AND(F1264&lt;=2,G1264&gt;=8,H1264&gt;=8),"CAN'T LOSE THEM",AND(F1264&lt;=2,G1264&lt;=2,H1264&lt;=2),"HIBERNATING",TRUE(),"Other")</f>
        <v>NEED ATTENTION</v>
      </c>
      <c r="K1264" s="1" t="n">
        <f aca="false">RANK(E1264,$E$7:$E$4378)+COUNTIF($E$7:E1264,E1264)-1</f>
        <v>1123</v>
      </c>
    </row>
    <row r="1265" customFormat="false" ht="14.25" hidden="false" customHeight="true" outlineLevel="0" collapsed="false">
      <c r="A1265" s="51" t="n">
        <v>14039</v>
      </c>
      <c r="B1265" s="53" t="n">
        <v>40853.575</v>
      </c>
      <c r="C1265" s="57" t="n">
        <f aca="false">INT($C$2)-INT(Table3[[#This Row],[Last Purchase Date]])</f>
        <v>34</v>
      </c>
      <c r="D1265" s="1" t="n">
        <v>1</v>
      </c>
      <c r="E1265" s="1" t="n">
        <v>152.2</v>
      </c>
      <c r="F1265" s="1" t="n">
        <f aca="false">ROUND((1-_xlfn.PERCENTRANK.INC($C$7:$C$4378,C1265))*9,0)</f>
        <v>5</v>
      </c>
      <c r="G1265" s="1" t="n">
        <f aca="false">ROUND(_xlfn.PERCENTRANK.INC($D$7:$D$4378,D1265)*9,0)</f>
        <v>0</v>
      </c>
      <c r="H1265" s="1" t="n">
        <f aca="false">ROUND(_xlfn.PERCENTRANK.INC($E$7:$E$4378,E1265)*9,0)</f>
        <v>1</v>
      </c>
      <c r="I1265" s="1" t="str">
        <f aca="false">CONCATENATE(F1265,G1265,H1265)</f>
        <v>501</v>
      </c>
      <c r="J1265" s="1" t="str">
        <f aca="false">_xlfn.IFS(AND(F1265&gt;=8,G1265&gt;=8,H1265&gt;=8),"CHAMPION",AND(F1265&gt;=6,G1265&gt;=7,H1265&gt;=6),"LOYAL CUSTOMER",AND(F1265&gt;=6,G1265&gt;=5,H1265&gt;=5),"POTENTIAL LOYALIST",AND(F1265&gt;=8,G1265&lt;=2,H1265&gt;=5),"NEW CUSTOMERS",AND(F1265&gt;=6,G1265&lt;=2,H1265&gt;=3),"PROMISING",AND(F1265&gt;=3,G1265&gt;=3,H1265&gt;=3),"NEED ATTENTION",AND(F1265&lt;=4,G1265&gt;=6,H1265&gt;=6),"AT RISK",AND(F1265&lt;=2,G1265&gt;=8,H1265&gt;=8),"CAN'T LOSE THEM",AND(F1265&lt;=2,G1265&lt;=2,H1265&lt;=2),"HIBERNATING",TRUE(),"Other")</f>
        <v>Other</v>
      </c>
      <c r="K1265" s="1" t="n">
        <f aca="false">RANK(E1265,$E$7:$E$4378)+COUNTIF($E$7:E1265,E1265)-1</f>
        <v>3907</v>
      </c>
    </row>
    <row r="1266" customFormat="false" ht="14.25" hidden="false" customHeight="true" outlineLevel="0" collapsed="false">
      <c r="A1266" s="51" t="n">
        <v>14040</v>
      </c>
      <c r="B1266" s="53" t="n">
        <v>40846.5291666667</v>
      </c>
      <c r="C1266" s="57" t="n">
        <f aca="false">INT($C$2)-INT(Table3[[#This Row],[Last Purchase Date]])</f>
        <v>41</v>
      </c>
      <c r="D1266" s="1" t="n">
        <v>15</v>
      </c>
      <c r="E1266" s="1" t="n">
        <v>3542.19</v>
      </c>
      <c r="F1266" s="1" t="n">
        <f aca="false">ROUND((1-_xlfn.PERCENTRANK.INC($C$7:$C$4378,C1266))*9,0)</f>
        <v>5</v>
      </c>
      <c r="G1266" s="1" t="n">
        <f aca="false">ROUND(_xlfn.PERCENTRANK.INC($D$7:$D$4378,D1266)*9,0)</f>
        <v>8</v>
      </c>
      <c r="H1266" s="1" t="n">
        <f aca="false">ROUND(_xlfn.PERCENTRANK.INC($E$7:$E$4378,E1266)*9,0)</f>
        <v>8</v>
      </c>
      <c r="I1266" s="1" t="str">
        <f aca="false">CONCATENATE(F1266,G1266,H1266)</f>
        <v>588</v>
      </c>
      <c r="J1266" s="1" t="str">
        <f aca="false">_xlfn.IFS(AND(F1266&gt;=8,G1266&gt;=8,H1266&gt;=8),"CHAMPION",AND(F1266&gt;=6,G1266&gt;=7,H1266&gt;=6),"LOYAL CUSTOMER",AND(F1266&gt;=6,G1266&gt;=5,H1266&gt;=5),"POTENTIAL LOYALIST",AND(F1266&gt;=8,G1266&lt;=2,H1266&gt;=5),"NEW CUSTOMERS",AND(F1266&gt;=6,G1266&lt;=2,H1266&gt;=3),"PROMISING",AND(F1266&gt;=3,G1266&gt;=3,H1266&gt;=3),"NEED ATTENTION",AND(F1266&lt;=4,G1266&gt;=6,H1266&gt;=6),"AT RISK",AND(F1266&lt;=2,G1266&gt;=8,H1266&gt;=8),"CAN'T LOSE THEM",AND(F1266&lt;=2,G1266&lt;=2,H1266&lt;=2),"HIBERNATING",TRUE(),"Other")</f>
        <v>NEED ATTENTION</v>
      </c>
      <c r="K1266" s="1" t="n">
        <f aca="false">RANK(E1266,$E$7:$E$4378)+COUNTIF($E$7:E1266,E1266)-1</f>
        <v>431</v>
      </c>
    </row>
    <row r="1267" customFormat="false" ht="14.25" hidden="false" customHeight="true" outlineLevel="0" collapsed="false">
      <c r="A1267" s="51" t="n">
        <v>14041</v>
      </c>
      <c r="B1267" s="53" t="n">
        <v>40620.5590277778</v>
      </c>
      <c r="C1267" s="57" t="n">
        <f aca="false">INT($C$2)-INT(Table3[[#This Row],[Last Purchase Date]])</f>
        <v>267</v>
      </c>
      <c r="D1267" s="1" t="n">
        <v>1</v>
      </c>
      <c r="E1267" s="1" t="n">
        <v>141.41</v>
      </c>
      <c r="F1267" s="1" t="n">
        <f aca="false">ROUND((1-_xlfn.PERCENTRANK.INC($C$7:$C$4378,C1267))*9,0)</f>
        <v>1</v>
      </c>
      <c r="G1267" s="1" t="n">
        <f aca="false">ROUND(_xlfn.PERCENTRANK.INC($D$7:$D$4378,D1267)*9,0)</f>
        <v>0</v>
      </c>
      <c r="H1267" s="1" t="n">
        <f aca="false">ROUND(_xlfn.PERCENTRANK.INC($E$7:$E$4378,E1267)*9,0)</f>
        <v>1</v>
      </c>
      <c r="I1267" s="1" t="str">
        <f aca="false">CONCATENATE(F1267,G1267,H1267)</f>
        <v>101</v>
      </c>
      <c r="J1267" s="1" t="str">
        <f aca="false">_xlfn.IFS(AND(F1267&gt;=8,G1267&gt;=8,H1267&gt;=8),"CHAMPION",AND(F1267&gt;=6,G1267&gt;=7,H1267&gt;=6),"LOYAL CUSTOMER",AND(F1267&gt;=6,G1267&gt;=5,H1267&gt;=5),"POTENTIAL LOYALIST",AND(F1267&gt;=8,G1267&lt;=2,H1267&gt;=5),"NEW CUSTOMERS",AND(F1267&gt;=6,G1267&lt;=2,H1267&gt;=3),"PROMISING",AND(F1267&gt;=3,G1267&gt;=3,H1267&gt;=3),"NEED ATTENTION",AND(F1267&lt;=4,G1267&gt;=6,H1267&gt;=6),"AT RISK",AND(F1267&lt;=2,G1267&gt;=8,H1267&gt;=8),"CAN'T LOSE THEM",AND(F1267&lt;=2,G1267&lt;=2,H1267&lt;=2),"HIBERNATING",TRUE(),"Other")</f>
        <v>HIBERNATING</v>
      </c>
      <c r="K1267" s="1" t="n">
        <f aca="false">RANK(E1267,$E$7:$E$4378)+COUNTIF($E$7:E1267,E1267)-1</f>
        <v>3951</v>
      </c>
    </row>
    <row r="1268" customFormat="false" ht="14.25" hidden="false" customHeight="true" outlineLevel="0" collapsed="false">
      <c r="A1268" s="51" t="n">
        <v>14044</v>
      </c>
      <c r="B1268" s="53" t="n">
        <v>40860.5034722222</v>
      </c>
      <c r="C1268" s="57" t="n">
        <f aca="false">INT($C$2)-INT(Table3[[#This Row],[Last Purchase Date]])</f>
        <v>27</v>
      </c>
      <c r="D1268" s="1" t="n">
        <v>4</v>
      </c>
      <c r="E1268" s="1" t="n">
        <v>652.82</v>
      </c>
      <c r="F1268" s="1" t="n">
        <f aca="false">ROUND((1-_xlfn.PERCENTRANK.INC($C$7:$C$4378,C1268))*9,0)</f>
        <v>6</v>
      </c>
      <c r="G1268" s="1" t="n">
        <f aca="false">ROUND(_xlfn.PERCENTRANK.INC($D$7:$D$4378,D1268)*9,0)</f>
        <v>5</v>
      </c>
      <c r="H1268" s="1" t="n">
        <f aca="false">ROUND(_xlfn.PERCENTRANK.INC($E$7:$E$4378,E1268)*9,0)</f>
        <v>5</v>
      </c>
      <c r="I1268" s="1" t="str">
        <f aca="false">CONCATENATE(F1268,G1268,H1268)</f>
        <v>655</v>
      </c>
      <c r="J1268" s="1" t="str">
        <f aca="false">_xlfn.IFS(AND(F1268&gt;=8,G1268&gt;=8,H1268&gt;=8),"CHAMPION",AND(F1268&gt;=6,G1268&gt;=7,H1268&gt;=6),"LOYAL CUSTOMER",AND(F1268&gt;=6,G1268&gt;=5,H1268&gt;=5),"POTENTIAL LOYALIST",AND(F1268&gt;=8,G1268&lt;=2,H1268&gt;=5),"NEW CUSTOMERS",AND(F1268&gt;=6,G1268&lt;=2,H1268&gt;=3),"PROMISING",AND(F1268&gt;=3,G1268&gt;=3,H1268&gt;=3),"NEED ATTENTION",AND(F1268&lt;=4,G1268&gt;=6,H1268&gt;=6),"AT RISK",AND(F1268&lt;=2,G1268&gt;=8,H1268&gt;=8),"CAN'T LOSE THEM",AND(F1268&lt;=2,G1268&lt;=2,H1268&lt;=2),"HIBERNATING",TRUE(),"Other")</f>
        <v>POTENTIAL LOYALIST</v>
      </c>
      <c r="K1268" s="1" t="n">
        <f aca="false">RANK(E1268,$E$7:$E$4378)+COUNTIF($E$7:E1268,E1268)-1</f>
        <v>2175</v>
      </c>
    </row>
    <row r="1269" customFormat="false" ht="14.25" hidden="false" customHeight="true" outlineLevel="0" collapsed="false">
      <c r="A1269" s="51" t="n">
        <v>14045</v>
      </c>
      <c r="B1269" s="53" t="n">
        <v>40777.64375</v>
      </c>
      <c r="C1269" s="57" t="n">
        <f aca="false">INT($C$2)-INT(Table3[[#This Row],[Last Purchase Date]])</f>
        <v>110</v>
      </c>
      <c r="D1269" s="1" t="n">
        <v>4</v>
      </c>
      <c r="E1269" s="1" t="n">
        <v>1659.75</v>
      </c>
      <c r="F1269" s="1" t="n">
        <f aca="false">ROUND((1-_xlfn.PERCENTRANK.INC($C$7:$C$4378,C1269))*9,0)</f>
        <v>3</v>
      </c>
      <c r="G1269" s="1" t="n">
        <f aca="false">ROUND(_xlfn.PERCENTRANK.INC($D$7:$D$4378,D1269)*9,0)</f>
        <v>5</v>
      </c>
      <c r="H1269" s="1" t="n">
        <f aca="false">ROUND(_xlfn.PERCENTRANK.INC($E$7:$E$4378,E1269)*9,0)</f>
        <v>7</v>
      </c>
      <c r="I1269" s="1" t="str">
        <f aca="false">CONCATENATE(F1269,G1269,H1269)</f>
        <v>357</v>
      </c>
      <c r="J1269" s="1" t="str">
        <f aca="false">_xlfn.IFS(AND(F1269&gt;=8,G1269&gt;=8,H1269&gt;=8),"CHAMPION",AND(F1269&gt;=6,G1269&gt;=7,H1269&gt;=6),"LOYAL CUSTOMER",AND(F1269&gt;=6,G1269&gt;=5,H1269&gt;=5),"POTENTIAL LOYALIST",AND(F1269&gt;=8,G1269&lt;=2,H1269&gt;=5),"NEW CUSTOMERS",AND(F1269&gt;=6,G1269&lt;=2,H1269&gt;=3),"PROMISING",AND(F1269&gt;=3,G1269&gt;=3,H1269&gt;=3),"NEED ATTENTION",AND(F1269&lt;=4,G1269&gt;=6,H1269&gt;=6),"AT RISK",AND(F1269&lt;=2,G1269&gt;=8,H1269&gt;=8),"CAN'T LOSE THEM",AND(F1269&lt;=2,G1269&lt;=2,H1269&lt;=2),"HIBERNATING",TRUE(),"Other")</f>
        <v>NEED ATTENTION</v>
      </c>
      <c r="K1269" s="1" t="n">
        <f aca="false">RANK(E1269,$E$7:$E$4378)+COUNTIF($E$7:E1269,E1269)-1</f>
        <v>1062</v>
      </c>
    </row>
    <row r="1270" customFormat="false" ht="14.25" hidden="false" customHeight="true" outlineLevel="0" collapsed="false">
      <c r="A1270" s="51" t="n">
        <v>14046</v>
      </c>
      <c r="B1270" s="53" t="n">
        <v>40602.6166666667</v>
      </c>
      <c r="C1270" s="57" t="n">
        <f aca="false">INT($C$2)-INT(Table3[[#This Row],[Last Purchase Date]])</f>
        <v>285</v>
      </c>
      <c r="D1270" s="1" t="n">
        <v>1</v>
      </c>
      <c r="E1270" s="1" t="n">
        <v>154.99</v>
      </c>
      <c r="F1270" s="1" t="n">
        <f aca="false">ROUND((1-_xlfn.PERCENTRANK.INC($C$7:$C$4378,C1270))*9,0)</f>
        <v>1</v>
      </c>
      <c r="G1270" s="1" t="n">
        <f aca="false">ROUND(_xlfn.PERCENTRANK.INC($D$7:$D$4378,D1270)*9,0)</f>
        <v>0</v>
      </c>
      <c r="H1270" s="1" t="n">
        <f aca="false">ROUND(_xlfn.PERCENTRANK.INC($E$7:$E$4378,E1270)*9,0)</f>
        <v>1</v>
      </c>
      <c r="I1270" s="1" t="str">
        <f aca="false">CONCATENATE(F1270,G1270,H1270)</f>
        <v>101</v>
      </c>
      <c r="J1270" s="1" t="str">
        <f aca="false">_xlfn.IFS(AND(F1270&gt;=8,G1270&gt;=8,H1270&gt;=8),"CHAMPION",AND(F1270&gt;=6,G1270&gt;=7,H1270&gt;=6),"LOYAL CUSTOMER",AND(F1270&gt;=6,G1270&gt;=5,H1270&gt;=5),"POTENTIAL LOYALIST",AND(F1270&gt;=8,G1270&lt;=2,H1270&gt;=5),"NEW CUSTOMERS",AND(F1270&gt;=6,G1270&lt;=2,H1270&gt;=3),"PROMISING",AND(F1270&gt;=3,G1270&gt;=3,H1270&gt;=3),"NEED ATTENTION",AND(F1270&lt;=4,G1270&gt;=6,H1270&gt;=6),"AT RISK",AND(F1270&lt;=2,G1270&gt;=8,H1270&gt;=8),"CAN'T LOSE THEM",AND(F1270&lt;=2,G1270&lt;=2,H1270&lt;=2),"HIBERNATING",TRUE(),"Other")</f>
        <v>HIBERNATING</v>
      </c>
      <c r="K1270" s="1" t="n">
        <f aca="false">RANK(E1270,$E$7:$E$4378)+COUNTIF($E$7:E1270,E1270)-1</f>
        <v>3890</v>
      </c>
    </row>
    <row r="1271" customFormat="false" ht="14.25" hidden="false" customHeight="true" outlineLevel="0" collapsed="false">
      <c r="A1271" s="51" t="n">
        <v>14047</v>
      </c>
      <c r="B1271" s="53" t="n">
        <v>40878.4881944444</v>
      </c>
      <c r="C1271" s="57" t="n">
        <f aca="false">INT($C$2)-INT(Table3[[#This Row],[Last Purchase Date]])</f>
        <v>9</v>
      </c>
      <c r="D1271" s="1" t="n">
        <v>7</v>
      </c>
      <c r="E1271" s="1" t="n">
        <v>1290.01</v>
      </c>
      <c r="F1271" s="1" t="n">
        <f aca="false">ROUND((1-_xlfn.PERCENTRANK.INC($C$7:$C$4378,C1271))*9,0)</f>
        <v>8</v>
      </c>
      <c r="G1271" s="1" t="n">
        <f aca="false">ROUND(_xlfn.PERCENTRANK.INC($D$7:$D$4378,D1271)*9,0)</f>
        <v>7</v>
      </c>
      <c r="H1271" s="1" t="n">
        <f aca="false">ROUND(_xlfn.PERCENTRANK.INC($E$7:$E$4378,E1271)*9,0)</f>
        <v>6</v>
      </c>
      <c r="I1271" s="1" t="str">
        <f aca="false">CONCATENATE(F1271,G1271,H1271)</f>
        <v>876</v>
      </c>
      <c r="J1271" s="1" t="str">
        <f aca="false">_xlfn.IFS(AND(F1271&gt;=8,G1271&gt;=8,H1271&gt;=8),"CHAMPION",AND(F1271&gt;=6,G1271&gt;=7,H1271&gt;=6),"LOYAL CUSTOMER",AND(F1271&gt;=6,G1271&gt;=5,H1271&gt;=5),"POTENTIAL LOYALIST",AND(F1271&gt;=8,G1271&lt;=2,H1271&gt;=5),"NEW CUSTOMERS",AND(F1271&gt;=6,G1271&lt;=2,H1271&gt;=3),"PROMISING",AND(F1271&gt;=3,G1271&gt;=3,H1271&gt;=3),"NEED ATTENTION",AND(F1271&lt;=4,G1271&gt;=6,H1271&gt;=6),"AT RISK",AND(F1271&lt;=2,G1271&gt;=8,H1271&gt;=8),"CAN'T LOSE THEM",AND(F1271&lt;=2,G1271&lt;=2,H1271&lt;=2),"HIBERNATING",TRUE(),"Other")</f>
        <v>LOYAL CUSTOMER</v>
      </c>
      <c r="K1271" s="1" t="n">
        <f aca="false">RANK(E1271,$E$7:$E$4378)+COUNTIF($E$7:E1271,E1271)-1</f>
        <v>1335</v>
      </c>
    </row>
    <row r="1272" customFormat="false" ht="14.25" hidden="false" customHeight="true" outlineLevel="0" collapsed="false">
      <c r="A1272" s="51" t="n">
        <v>14048</v>
      </c>
      <c r="B1272" s="53" t="n">
        <v>40609.5756944444</v>
      </c>
      <c r="C1272" s="57" t="n">
        <f aca="false">INT($C$2)-INT(Table3[[#This Row],[Last Purchase Date]])</f>
        <v>278</v>
      </c>
      <c r="D1272" s="1" t="n">
        <v>2</v>
      </c>
      <c r="E1272" s="1" t="n">
        <v>375.13</v>
      </c>
      <c r="F1272" s="1" t="n">
        <f aca="false">ROUND((1-_xlfn.PERCENTRANK.INC($C$7:$C$4378,C1272))*9,0)</f>
        <v>1</v>
      </c>
      <c r="G1272" s="1" t="n">
        <f aca="false">ROUND(_xlfn.PERCENTRANK.INC($D$7:$D$4378,D1272)*9,0)</f>
        <v>3</v>
      </c>
      <c r="H1272" s="1" t="n">
        <f aca="false">ROUND(_xlfn.PERCENTRANK.INC($E$7:$E$4378,E1272)*9,0)</f>
        <v>3</v>
      </c>
      <c r="I1272" s="1" t="str">
        <f aca="false">CONCATENATE(F1272,G1272,H1272)</f>
        <v>133</v>
      </c>
      <c r="J1272" s="1" t="str">
        <f aca="false">_xlfn.IFS(AND(F1272&gt;=8,G1272&gt;=8,H1272&gt;=8),"CHAMPION",AND(F1272&gt;=6,G1272&gt;=7,H1272&gt;=6),"LOYAL CUSTOMER",AND(F1272&gt;=6,G1272&gt;=5,H1272&gt;=5),"POTENTIAL LOYALIST",AND(F1272&gt;=8,G1272&lt;=2,H1272&gt;=5),"NEW CUSTOMERS",AND(F1272&gt;=6,G1272&lt;=2,H1272&gt;=3),"PROMISING",AND(F1272&gt;=3,G1272&gt;=3,H1272&gt;=3),"NEED ATTENTION",AND(F1272&lt;=4,G1272&gt;=6,H1272&gt;=6),"AT RISK",AND(F1272&lt;=2,G1272&gt;=8,H1272&gt;=8),"CAN'T LOSE THEM",AND(F1272&lt;=2,G1272&lt;=2,H1272&lt;=2),"HIBERNATING",TRUE(),"Other")</f>
        <v>Other</v>
      </c>
      <c r="K1272" s="1" t="n">
        <f aca="false">RANK(E1272,$E$7:$E$4378)+COUNTIF($E$7:E1272,E1272)-1</f>
        <v>2911</v>
      </c>
    </row>
    <row r="1273" customFormat="false" ht="14.25" hidden="false" customHeight="true" outlineLevel="0" collapsed="false">
      <c r="A1273" s="51" t="n">
        <v>14049</v>
      </c>
      <c r="B1273" s="53" t="n">
        <v>40870.5138888889</v>
      </c>
      <c r="C1273" s="57" t="n">
        <f aca="false">INT($C$2)-INT(Table3[[#This Row],[Last Purchase Date]])</f>
        <v>17</v>
      </c>
      <c r="D1273" s="1" t="n">
        <v>6</v>
      </c>
      <c r="E1273" s="1" t="n">
        <v>5639.15</v>
      </c>
      <c r="F1273" s="1" t="n">
        <f aca="false">ROUND((1-_xlfn.PERCENTRANK.INC($C$7:$C$4378,C1273))*9,0)</f>
        <v>7</v>
      </c>
      <c r="G1273" s="1" t="n">
        <f aca="false">ROUND(_xlfn.PERCENTRANK.INC($D$7:$D$4378,D1273)*9,0)</f>
        <v>7</v>
      </c>
      <c r="H1273" s="1" t="n">
        <f aca="false">ROUND(_xlfn.PERCENTRANK.INC($E$7:$E$4378,E1273)*9,0)</f>
        <v>9</v>
      </c>
      <c r="I1273" s="1" t="str">
        <f aca="false">CONCATENATE(F1273,G1273,H1273)</f>
        <v>779</v>
      </c>
      <c r="J1273" s="1" t="str">
        <f aca="false">_xlfn.IFS(AND(F1273&gt;=8,G1273&gt;=8,H1273&gt;=8),"CHAMPION",AND(F1273&gt;=6,G1273&gt;=7,H1273&gt;=6),"LOYAL CUSTOMER",AND(F1273&gt;=6,G1273&gt;=5,H1273&gt;=5),"POTENTIAL LOYALIST",AND(F1273&gt;=8,G1273&lt;=2,H1273&gt;=5),"NEW CUSTOMERS",AND(F1273&gt;=6,G1273&lt;=2,H1273&gt;=3),"PROMISING",AND(F1273&gt;=3,G1273&gt;=3,H1273&gt;=3),"NEED ATTENTION",AND(F1273&lt;=4,G1273&gt;=6,H1273&gt;=6),"AT RISK",AND(F1273&lt;=2,G1273&gt;=8,H1273&gt;=8),"CAN'T LOSE THEM",AND(F1273&lt;=2,G1273&lt;=2,H1273&lt;=2),"HIBERNATING",TRUE(),"Other")</f>
        <v>LOYAL CUSTOMER</v>
      </c>
      <c r="K1273" s="1" t="n">
        <f aca="false">RANK(E1273,$E$7:$E$4378)+COUNTIF($E$7:E1273,E1273)-1</f>
        <v>219</v>
      </c>
    </row>
    <row r="1274" customFormat="false" ht="14.25" hidden="false" customHeight="true" outlineLevel="0" collapsed="false">
      <c r="A1274" s="51" t="n">
        <v>14050</v>
      </c>
      <c r="B1274" s="53" t="n">
        <v>40855.4166666667</v>
      </c>
      <c r="C1274" s="57" t="n">
        <f aca="false">INT($C$2)-INT(Table3[[#This Row],[Last Purchase Date]])</f>
        <v>32</v>
      </c>
      <c r="D1274" s="1" t="n">
        <v>2</v>
      </c>
      <c r="E1274" s="1" t="n">
        <v>746.36</v>
      </c>
      <c r="F1274" s="1" t="n">
        <f aca="false">ROUND((1-_xlfn.PERCENTRANK.INC($C$7:$C$4378,C1274))*9,0)</f>
        <v>5</v>
      </c>
      <c r="G1274" s="1" t="n">
        <f aca="false">ROUND(_xlfn.PERCENTRANK.INC($D$7:$D$4378,D1274)*9,0)</f>
        <v>3</v>
      </c>
      <c r="H1274" s="1" t="n">
        <f aca="false">ROUND(_xlfn.PERCENTRANK.INC($E$7:$E$4378,E1274)*9,0)</f>
        <v>5</v>
      </c>
      <c r="I1274" s="1" t="str">
        <f aca="false">CONCATENATE(F1274,G1274,H1274)</f>
        <v>535</v>
      </c>
      <c r="J1274" s="1" t="str">
        <f aca="false">_xlfn.IFS(AND(F1274&gt;=8,G1274&gt;=8,H1274&gt;=8),"CHAMPION",AND(F1274&gt;=6,G1274&gt;=7,H1274&gt;=6),"LOYAL CUSTOMER",AND(F1274&gt;=6,G1274&gt;=5,H1274&gt;=5),"POTENTIAL LOYALIST",AND(F1274&gt;=8,G1274&lt;=2,H1274&gt;=5),"NEW CUSTOMERS",AND(F1274&gt;=6,G1274&lt;=2,H1274&gt;=3),"PROMISING",AND(F1274&gt;=3,G1274&gt;=3,H1274&gt;=3),"NEED ATTENTION",AND(F1274&lt;=4,G1274&gt;=6,H1274&gt;=6),"AT RISK",AND(F1274&lt;=2,G1274&gt;=8,H1274&gt;=8),"CAN'T LOSE THEM",AND(F1274&lt;=2,G1274&lt;=2,H1274&lt;=2),"HIBERNATING",TRUE(),"Other")</f>
        <v>NEED ATTENTION</v>
      </c>
      <c r="K1274" s="1" t="n">
        <f aca="false">RANK(E1274,$E$7:$E$4378)+COUNTIF($E$7:E1274,E1274)-1</f>
        <v>1984</v>
      </c>
    </row>
    <row r="1275" customFormat="false" ht="14.25" hidden="false" customHeight="true" outlineLevel="0" collapsed="false">
      <c r="A1275" s="51" t="n">
        <v>14051</v>
      </c>
      <c r="B1275" s="53" t="n">
        <v>40886.4305555556</v>
      </c>
      <c r="C1275" s="57" t="n">
        <f aca="false">INT($C$2)-INT(Table3[[#This Row],[Last Purchase Date]])</f>
        <v>1</v>
      </c>
      <c r="D1275" s="1" t="n">
        <v>26</v>
      </c>
      <c r="E1275" s="1" t="n">
        <v>15477.34</v>
      </c>
      <c r="F1275" s="1" t="n">
        <f aca="false">ROUND((1-_xlfn.PERCENTRANK.INC($C$7:$C$4378,C1275))*9,0)</f>
        <v>9</v>
      </c>
      <c r="G1275" s="1" t="n">
        <f aca="false">ROUND(_xlfn.PERCENTRANK.INC($D$7:$D$4378,D1275)*9,0)</f>
        <v>9</v>
      </c>
      <c r="H1275" s="1" t="n">
        <f aca="false">ROUND(_xlfn.PERCENTRANK.INC($E$7:$E$4378,E1275)*9,0)</f>
        <v>9</v>
      </c>
      <c r="I1275" s="1" t="str">
        <f aca="false">CONCATENATE(F1275,G1275,H1275)</f>
        <v>999</v>
      </c>
      <c r="J1275" s="1" t="str">
        <f aca="false">_xlfn.IFS(AND(F1275&gt;=8,G1275&gt;=8,H1275&gt;=8),"CHAMPION",AND(F1275&gt;=6,G1275&gt;=7,H1275&gt;=6),"LOYAL CUSTOMER",AND(F1275&gt;=6,G1275&gt;=5,H1275&gt;=5),"POTENTIAL LOYALIST",AND(F1275&gt;=8,G1275&lt;=2,H1275&gt;=5),"NEW CUSTOMERS",AND(F1275&gt;=6,G1275&lt;=2,H1275&gt;=3),"PROMISING",AND(F1275&gt;=3,G1275&gt;=3,H1275&gt;=3),"NEED ATTENTION",AND(F1275&lt;=4,G1275&gt;=6,H1275&gt;=6),"AT RISK",AND(F1275&lt;=2,G1275&gt;=8,H1275&gt;=8),"CAN'T LOSE THEM",AND(F1275&lt;=2,G1275&lt;=2,H1275&lt;=2),"HIBERNATING",TRUE(),"Other")</f>
        <v>CHAMPION</v>
      </c>
      <c r="K1275" s="1" t="n">
        <f aca="false">RANK(E1275,$E$7:$E$4378)+COUNTIF($E$7:E1275,E1275)-1</f>
        <v>53</v>
      </c>
    </row>
    <row r="1276" customFormat="false" ht="14.25" hidden="false" customHeight="true" outlineLevel="0" collapsed="false">
      <c r="A1276" s="51" t="n">
        <v>14052</v>
      </c>
      <c r="B1276" s="53" t="n">
        <v>40867.5208333333</v>
      </c>
      <c r="C1276" s="57" t="n">
        <f aca="false">INT($C$2)-INT(Table3[[#This Row],[Last Purchase Date]])</f>
        <v>20</v>
      </c>
      <c r="D1276" s="1" t="n">
        <v>1</v>
      </c>
      <c r="E1276" s="1" t="n">
        <v>225.36</v>
      </c>
      <c r="F1276" s="1" t="n">
        <f aca="false">ROUND((1-_xlfn.PERCENTRANK.INC($C$7:$C$4378,C1276))*9,0)</f>
        <v>6</v>
      </c>
      <c r="G1276" s="1" t="n">
        <f aca="false">ROUND(_xlfn.PERCENTRANK.INC($D$7:$D$4378,D1276)*9,0)</f>
        <v>0</v>
      </c>
      <c r="H1276" s="1" t="n">
        <f aca="false">ROUND(_xlfn.PERCENTRANK.INC($E$7:$E$4378,E1276)*9,0)</f>
        <v>2</v>
      </c>
      <c r="I1276" s="1" t="str">
        <f aca="false">CONCATENATE(F1276,G1276,H1276)</f>
        <v>602</v>
      </c>
      <c r="J1276" s="1" t="str">
        <f aca="false">_xlfn.IFS(AND(F1276&gt;=8,G1276&gt;=8,H1276&gt;=8),"CHAMPION",AND(F1276&gt;=6,G1276&gt;=7,H1276&gt;=6),"LOYAL CUSTOMER",AND(F1276&gt;=6,G1276&gt;=5,H1276&gt;=5),"POTENTIAL LOYALIST",AND(F1276&gt;=8,G1276&lt;=2,H1276&gt;=5),"NEW CUSTOMERS",AND(F1276&gt;=6,G1276&lt;=2,H1276&gt;=3),"PROMISING",AND(F1276&gt;=3,G1276&gt;=3,H1276&gt;=3),"NEED ATTENTION",AND(F1276&lt;=4,G1276&gt;=6,H1276&gt;=6),"AT RISK",AND(F1276&lt;=2,G1276&gt;=8,H1276&gt;=8),"CAN'T LOSE THEM",AND(F1276&lt;=2,G1276&lt;=2,H1276&lt;=2),"HIBERNATING",TRUE(),"Other")</f>
        <v>Other</v>
      </c>
      <c r="K1276" s="1" t="n">
        <f aca="false">RANK(E1276,$E$7:$E$4378)+COUNTIF($E$7:E1276,E1276)-1</f>
        <v>3539</v>
      </c>
    </row>
    <row r="1277" customFormat="false" ht="14.25" hidden="false" customHeight="true" outlineLevel="0" collapsed="false">
      <c r="A1277" s="51" t="n">
        <v>14053</v>
      </c>
      <c r="B1277" s="53" t="n">
        <v>40762.6020833333</v>
      </c>
      <c r="C1277" s="57" t="n">
        <f aca="false">INT($C$2)-INT(Table3[[#This Row],[Last Purchase Date]])</f>
        <v>125</v>
      </c>
      <c r="D1277" s="1" t="n">
        <v>2</v>
      </c>
      <c r="E1277" s="1" t="n">
        <v>260.25</v>
      </c>
      <c r="F1277" s="1" t="n">
        <f aca="false">ROUND((1-_xlfn.PERCENTRANK.INC($C$7:$C$4378,C1277))*9,0)</f>
        <v>2</v>
      </c>
      <c r="G1277" s="1" t="n">
        <f aca="false">ROUND(_xlfn.PERCENTRANK.INC($D$7:$D$4378,D1277)*9,0)</f>
        <v>3</v>
      </c>
      <c r="H1277" s="1" t="n">
        <f aca="false">ROUND(_xlfn.PERCENTRANK.INC($E$7:$E$4378,E1277)*9,0)</f>
        <v>2</v>
      </c>
      <c r="I1277" s="1" t="str">
        <f aca="false">CONCATENATE(F1277,G1277,H1277)</f>
        <v>232</v>
      </c>
      <c r="J1277" s="1" t="str">
        <f aca="false">_xlfn.IFS(AND(F1277&gt;=8,G1277&gt;=8,H1277&gt;=8),"CHAMPION",AND(F1277&gt;=6,G1277&gt;=7,H1277&gt;=6),"LOYAL CUSTOMER",AND(F1277&gt;=6,G1277&gt;=5,H1277&gt;=5),"POTENTIAL LOYALIST",AND(F1277&gt;=8,G1277&lt;=2,H1277&gt;=5),"NEW CUSTOMERS",AND(F1277&gt;=6,G1277&lt;=2,H1277&gt;=3),"PROMISING",AND(F1277&gt;=3,G1277&gt;=3,H1277&gt;=3),"NEED ATTENTION",AND(F1277&lt;=4,G1277&gt;=6,H1277&gt;=6),"AT RISK",AND(F1277&lt;=2,G1277&gt;=8,H1277&gt;=8),"CAN'T LOSE THEM",AND(F1277&lt;=2,G1277&lt;=2,H1277&lt;=2),"HIBERNATING",TRUE(),"Other")</f>
        <v>Other</v>
      </c>
      <c r="K1277" s="1" t="n">
        <f aca="false">RANK(E1277,$E$7:$E$4378)+COUNTIF($E$7:E1277,E1277)-1</f>
        <v>3394</v>
      </c>
    </row>
    <row r="1278" customFormat="false" ht="14.25" hidden="false" customHeight="true" outlineLevel="0" collapsed="false">
      <c r="A1278" s="51" t="n">
        <v>14054</v>
      </c>
      <c r="B1278" s="53" t="n">
        <v>40821.6590277778</v>
      </c>
      <c r="C1278" s="57" t="n">
        <f aca="false">INT($C$2)-INT(Table3[[#This Row],[Last Purchase Date]])</f>
        <v>66</v>
      </c>
      <c r="D1278" s="1" t="n">
        <v>1</v>
      </c>
      <c r="E1278" s="1" t="n">
        <v>92.46</v>
      </c>
      <c r="F1278" s="1" t="n">
        <f aca="false">ROUND((1-_xlfn.PERCENTRANK.INC($C$7:$C$4378,C1278))*9,0)</f>
        <v>4</v>
      </c>
      <c r="G1278" s="1" t="n">
        <f aca="false">ROUND(_xlfn.PERCENTRANK.INC($D$7:$D$4378,D1278)*9,0)</f>
        <v>0</v>
      </c>
      <c r="H1278" s="1" t="n">
        <f aca="false">ROUND(_xlfn.PERCENTRANK.INC($E$7:$E$4378,E1278)*9,0)</f>
        <v>0</v>
      </c>
      <c r="I1278" s="1" t="str">
        <f aca="false">CONCATENATE(F1278,G1278,H1278)</f>
        <v>400</v>
      </c>
      <c r="J1278" s="1" t="str">
        <f aca="false">_xlfn.IFS(AND(F1278&gt;=8,G1278&gt;=8,H1278&gt;=8),"CHAMPION",AND(F1278&gt;=6,G1278&gt;=7,H1278&gt;=6),"LOYAL CUSTOMER",AND(F1278&gt;=6,G1278&gt;=5,H1278&gt;=5),"POTENTIAL LOYALIST",AND(F1278&gt;=8,G1278&lt;=2,H1278&gt;=5),"NEW CUSTOMERS",AND(F1278&gt;=6,G1278&lt;=2,H1278&gt;=3),"PROMISING",AND(F1278&gt;=3,G1278&gt;=3,H1278&gt;=3),"NEED ATTENTION",AND(F1278&lt;=4,G1278&gt;=6,H1278&gt;=6),"AT RISK",AND(F1278&lt;=2,G1278&gt;=8,H1278&gt;=8),"CAN'T LOSE THEM",AND(F1278&lt;=2,G1278&lt;=2,H1278&lt;=2),"HIBERNATING",TRUE(),"Other")</f>
        <v>Other</v>
      </c>
      <c r="K1278" s="1" t="n">
        <f aca="false">RANK(E1278,$E$7:$E$4378)+COUNTIF($E$7:E1278,E1278)-1</f>
        <v>4184</v>
      </c>
    </row>
    <row r="1279" customFormat="false" ht="14.25" hidden="false" customHeight="true" outlineLevel="0" collapsed="false">
      <c r="A1279" s="51" t="n">
        <v>14055</v>
      </c>
      <c r="B1279" s="53" t="n">
        <v>40780.6277777778</v>
      </c>
      <c r="C1279" s="57" t="n">
        <f aca="false">INT($C$2)-INT(Table3[[#This Row],[Last Purchase Date]])</f>
        <v>107</v>
      </c>
      <c r="D1279" s="1" t="n">
        <v>1</v>
      </c>
      <c r="E1279" s="1" t="n">
        <v>725.64</v>
      </c>
      <c r="F1279" s="1" t="n">
        <f aca="false">ROUND((1-_xlfn.PERCENTRANK.INC($C$7:$C$4378,C1279))*9,0)</f>
        <v>3</v>
      </c>
      <c r="G1279" s="1" t="n">
        <f aca="false">ROUND(_xlfn.PERCENTRANK.INC($D$7:$D$4378,D1279)*9,0)</f>
        <v>0</v>
      </c>
      <c r="H1279" s="1" t="n">
        <f aca="false">ROUND(_xlfn.PERCENTRANK.INC($E$7:$E$4378,E1279)*9,0)</f>
        <v>5</v>
      </c>
      <c r="I1279" s="1" t="str">
        <f aca="false">CONCATENATE(F1279,G1279,H1279)</f>
        <v>305</v>
      </c>
      <c r="J1279" s="1" t="str">
        <f aca="false">_xlfn.IFS(AND(F1279&gt;=8,G1279&gt;=8,H1279&gt;=8),"CHAMPION",AND(F1279&gt;=6,G1279&gt;=7,H1279&gt;=6),"LOYAL CUSTOMER",AND(F1279&gt;=6,G1279&gt;=5,H1279&gt;=5),"POTENTIAL LOYALIST",AND(F1279&gt;=8,G1279&lt;=2,H1279&gt;=5),"NEW CUSTOMERS",AND(F1279&gt;=6,G1279&lt;=2,H1279&gt;=3),"PROMISING",AND(F1279&gt;=3,G1279&gt;=3,H1279&gt;=3),"NEED ATTENTION",AND(F1279&lt;=4,G1279&gt;=6,H1279&gt;=6),"AT RISK",AND(F1279&lt;=2,G1279&gt;=8,H1279&gt;=8),"CAN'T LOSE THEM",AND(F1279&lt;=2,G1279&lt;=2,H1279&lt;=2),"HIBERNATING",TRUE(),"Other")</f>
        <v>Other</v>
      </c>
      <c r="K1279" s="1" t="n">
        <f aca="false">RANK(E1279,$E$7:$E$4378)+COUNTIF($E$7:E1279,E1279)-1</f>
        <v>2015</v>
      </c>
    </row>
    <row r="1280" customFormat="false" ht="14.25" hidden="false" customHeight="true" outlineLevel="0" collapsed="false">
      <c r="A1280" s="51" t="n">
        <v>14056</v>
      </c>
      <c r="B1280" s="53" t="n">
        <v>40885.5666666667</v>
      </c>
      <c r="C1280" s="57" t="n">
        <f aca="false">INT($C$2)-INT(Table3[[#This Row],[Last Purchase Date]])</f>
        <v>2</v>
      </c>
      <c r="D1280" s="1" t="n">
        <v>29</v>
      </c>
      <c r="E1280" s="1" t="n">
        <v>8124.39999999999</v>
      </c>
      <c r="F1280" s="1" t="n">
        <f aca="false">ROUND((1-_xlfn.PERCENTRANK.INC($C$7:$C$4378,C1280))*9,0)</f>
        <v>9</v>
      </c>
      <c r="G1280" s="1" t="n">
        <f aca="false">ROUND(_xlfn.PERCENTRANK.INC($D$7:$D$4378,D1280)*9,0)</f>
        <v>9</v>
      </c>
      <c r="H1280" s="1" t="n">
        <f aca="false">ROUND(_xlfn.PERCENTRANK.INC($E$7:$E$4378,E1280)*9,0)</f>
        <v>9</v>
      </c>
      <c r="I1280" s="1" t="str">
        <f aca="false">CONCATENATE(F1280,G1280,H1280)</f>
        <v>999</v>
      </c>
      <c r="J1280" s="1" t="str">
        <f aca="false">_xlfn.IFS(AND(F1280&gt;=8,G1280&gt;=8,H1280&gt;=8),"CHAMPION",AND(F1280&gt;=6,G1280&gt;=7,H1280&gt;=6),"LOYAL CUSTOMER",AND(F1280&gt;=6,G1280&gt;=5,H1280&gt;=5),"POTENTIAL LOYALIST",AND(F1280&gt;=8,G1280&lt;=2,H1280&gt;=5),"NEW CUSTOMERS",AND(F1280&gt;=6,G1280&lt;=2,H1280&gt;=3),"PROMISING",AND(F1280&gt;=3,G1280&gt;=3,H1280&gt;=3),"NEED ATTENTION",AND(F1280&lt;=4,G1280&gt;=6,H1280&gt;=6),"AT RISK",AND(F1280&lt;=2,G1280&gt;=8,H1280&gt;=8),"CAN'T LOSE THEM",AND(F1280&lt;=2,G1280&lt;=2,H1280&lt;=2),"HIBERNATING",TRUE(),"Other")</f>
        <v>CHAMPION</v>
      </c>
      <c r="K1280" s="1" t="n">
        <f aca="false">RANK(E1280,$E$7:$E$4378)+COUNTIF($E$7:E1280,E1280)-1</f>
        <v>124</v>
      </c>
    </row>
    <row r="1281" customFormat="false" ht="14.25" hidden="false" customHeight="true" outlineLevel="0" collapsed="false">
      <c r="A1281" s="51" t="n">
        <v>14057</v>
      </c>
      <c r="B1281" s="53" t="n">
        <v>40863.4388888889</v>
      </c>
      <c r="C1281" s="57" t="n">
        <f aca="false">INT($C$2)-INT(Table3[[#This Row],[Last Purchase Date]])</f>
        <v>24</v>
      </c>
      <c r="D1281" s="1" t="n">
        <v>18</v>
      </c>
      <c r="E1281" s="1" t="n">
        <v>6147.4</v>
      </c>
      <c r="F1281" s="1" t="n">
        <f aca="false">ROUND((1-_xlfn.PERCENTRANK.INC($C$7:$C$4378,C1281))*9,0)</f>
        <v>6</v>
      </c>
      <c r="G1281" s="1" t="n">
        <f aca="false">ROUND(_xlfn.PERCENTRANK.INC($D$7:$D$4378,D1281)*9,0)</f>
        <v>9</v>
      </c>
      <c r="H1281" s="1" t="n">
        <f aca="false">ROUND(_xlfn.PERCENTRANK.INC($E$7:$E$4378,E1281)*9,0)</f>
        <v>9</v>
      </c>
      <c r="I1281" s="1" t="str">
        <f aca="false">CONCATENATE(F1281,G1281,H1281)</f>
        <v>699</v>
      </c>
      <c r="J1281" s="1" t="str">
        <f aca="false">_xlfn.IFS(AND(F1281&gt;=8,G1281&gt;=8,H1281&gt;=8),"CHAMPION",AND(F1281&gt;=6,G1281&gt;=7,H1281&gt;=6),"LOYAL CUSTOMER",AND(F1281&gt;=6,G1281&gt;=5,H1281&gt;=5),"POTENTIAL LOYALIST",AND(F1281&gt;=8,G1281&lt;=2,H1281&gt;=5),"NEW CUSTOMERS",AND(F1281&gt;=6,G1281&lt;=2,H1281&gt;=3),"PROMISING",AND(F1281&gt;=3,G1281&gt;=3,H1281&gt;=3),"NEED ATTENTION",AND(F1281&lt;=4,G1281&gt;=6,H1281&gt;=6),"AT RISK",AND(F1281&lt;=2,G1281&gt;=8,H1281&gt;=8),"CAN'T LOSE THEM",AND(F1281&lt;=2,G1281&lt;=2,H1281&lt;=2),"HIBERNATING",TRUE(),"Other")</f>
        <v>LOYAL CUSTOMER</v>
      </c>
      <c r="K1281" s="1" t="n">
        <f aca="false">RANK(E1281,$E$7:$E$4378)+COUNTIF($E$7:E1281,E1281)-1</f>
        <v>195</v>
      </c>
    </row>
    <row r="1282" customFormat="false" ht="14.25" hidden="false" customHeight="true" outlineLevel="0" collapsed="false">
      <c r="A1282" s="51" t="n">
        <v>14059</v>
      </c>
      <c r="B1282" s="53" t="n">
        <v>40620.4208333333</v>
      </c>
      <c r="C1282" s="57" t="n">
        <f aca="false">INT($C$2)-INT(Table3[[#This Row],[Last Purchase Date]])</f>
        <v>267</v>
      </c>
      <c r="D1282" s="1" t="n">
        <v>1</v>
      </c>
      <c r="E1282" s="1" t="n">
        <v>183.6</v>
      </c>
      <c r="F1282" s="1" t="n">
        <f aca="false">ROUND((1-_xlfn.PERCENTRANK.INC($C$7:$C$4378,C1282))*9,0)</f>
        <v>1</v>
      </c>
      <c r="G1282" s="1" t="n">
        <f aca="false">ROUND(_xlfn.PERCENTRANK.INC($D$7:$D$4378,D1282)*9,0)</f>
        <v>0</v>
      </c>
      <c r="H1282" s="1" t="n">
        <f aca="false">ROUND(_xlfn.PERCENTRANK.INC($E$7:$E$4378,E1282)*9,0)</f>
        <v>1</v>
      </c>
      <c r="I1282" s="1" t="str">
        <f aca="false">CONCATENATE(F1282,G1282,H1282)</f>
        <v>101</v>
      </c>
      <c r="J1282" s="1" t="str">
        <f aca="false">_xlfn.IFS(AND(F1282&gt;=8,G1282&gt;=8,H1282&gt;=8),"CHAMPION",AND(F1282&gt;=6,G1282&gt;=7,H1282&gt;=6),"LOYAL CUSTOMER",AND(F1282&gt;=6,G1282&gt;=5,H1282&gt;=5),"POTENTIAL LOYALIST",AND(F1282&gt;=8,G1282&lt;=2,H1282&gt;=5),"NEW CUSTOMERS",AND(F1282&gt;=6,G1282&lt;=2,H1282&gt;=3),"PROMISING",AND(F1282&gt;=3,G1282&gt;=3,H1282&gt;=3),"NEED ATTENTION",AND(F1282&lt;=4,G1282&gt;=6,H1282&gt;=6),"AT RISK",AND(F1282&lt;=2,G1282&gt;=8,H1282&gt;=8),"CAN'T LOSE THEM",AND(F1282&lt;=2,G1282&lt;=2,H1282&lt;=2),"HIBERNATING",TRUE(),"Other")</f>
        <v>HIBERNATING</v>
      </c>
      <c r="K1282" s="1" t="n">
        <f aca="false">RANK(E1282,$E$7:$E$4378)+COUNTIF($E$7:E1282,E1282)-1</f>
        <v>3735</v>
      </c>
    </row>
    <row r="1283" customFormat="false" ht="14.25" hidden="false" customHeight="true" outlineLevel="0" collapsed="false">
      <c r="A1283" s="51" t="n">
        <v>14060</v>
      </c>
      <c r="B1283" s="53" t="n">
        <v>40882.5201388889</v>
      </c>
      <c r="C1283" s="57" t="n">
        <f aca="false">INT($C$2)-INT(Table3[[#This Row],[Last Purchase Date]])</f>
        <v>5</v>
      </c>
      <c r="D1283" s="1" t="n">
        <v>20</v>
      </c>
      <c r="E1283" s="1" t="n">
        <v>6135.38</v>
      </c>
      <c r="F1283" s="1" t="n">
        <f aca="false">ROUND((1-_xlfn.PERCENTRANK.INC($C$7:$C$4378,C1283))*9,0)</f>
        <v>8</v>
      </c>
      <c r="G1283" s="1" t="n">
        <f aca="false">ROUND(_xlfn.PERCENTRANK.INC($D$7:$D$4378,D1283)*9,0)</f>
        <v>9</v>
      </c>
      <c r="H1283" s="1" t="n">
        <f aca="false">ROUND(_xlfn.PERCENTRANK.INC($E$7:$E$4378,E1283)*9,0)</f>
        <v>9</v>
      </c>
      <c r="I1283" s="1" t="str">
        <f aca="false">CONCATENATE(F1283,G1283,H1283)</f>
        <v>899</v>
      </c>
      <c r="J1283" s="1" t="str">
        <f aca="false">_xlfn.IFS(AND(F1283&gt;=8,G1283&gt;=8,H1283&gt;=8),"CHAMPION",AND(F1283&gt;=6,G1283&gt;=7,H1283&gt;=6),"LOYAL CUSTOMER",AND(F1283&gt;=6,G1283&gt;=5,H1283&gt;=5),"POTENTIAL LOYALIST",AND(F1283&gt;=8,G1283&lt;=2,H1283&gt;=5),"NEW CUSTOMERS",AND(F1283&gt;=6,G1283&lt;=2,H1283&gt;=3),"PROMISING",AND(F1283&gt;=3,G1283&gt;=3,H1283&gt;=3),"NEED ATTENTION",AND(F1283&lt;=4,G1283&gt;=6,H1283&gt;=6),"AT RISK",AND(F1283&lt;=2,G1283&gt;=8,H1283&gt;=8),"CAN'T LOSE THEM",AND(F1283&lt;=2,G1283&lt;=2,H1283&lt;=2),"HIBERNATING",TRUE(),"Other")</f>
        <v>CHAMPION</v>
      </c>
      <c r="K1283" s="1" t="n">
        <f aca="false">RANK(E1283,$E$7:$E$4378)+COUNTIF($E$7:E1283,E1283)-1</f>
        <v>196</v>
      </c>
    </row>
    <row r="1284" customFormat="false" ht="14.25" hidden="false" customHeight="true" outlineLevel="0" collapsed="false">
      <c r="A1284" s="51" t="n">
        <v>14062</v>
      </c>
      <c r="B1284" s="53" t="n">
        <v>40877.4194444444</v>
      </c>
      <c r="C1284" s="57" t="n">
        <f aca="false">INT($C$2)-INT(Table3[[#This Row],[Last Purchase Date]])</f>
        <v>10</v>
      </c>
      <c r="D1284" s="1" t="n">
        <v>12</v>
      </c>
      <c r="E1284" s="1" t="n">
        <v>10464.85</v>
      </c>
      <c r="F1284" s="1" t="n">
        <f aca="false">ROUND((1-_xlfn.PERCENTRANK.INC($C$7:$C$4378,C1284))*9,0)</f>
        <v>8</v>
      </c>
      <c r="G1284" s="1" t="n">
        <f aca="false">ROUND(_xlfn.PERCENTRANK.INC($D$7:$D$4378,D1284)*9,0)</f>
        <v>8</v>
      </c>
      <c r="H1284" s="1" t="n">
        <f aca="false">ROUND(_xlfn.PERCENTRANK.INC($E$7:$E$4378,E1284)*9,0)</f>
        <v>9</v>
      </c>
      <c r="I1284" s="1" t="str">
        <f aca="false">CONCATENATE(F1284,G1284,H1284)</f>
        <v>889</v>
      </c>
      <c r="J1284" s="1" t="str">
        <f aca="false">_xlfn.IFS(AND(F1284&gt;=8,G1284&gt;=8,H1284&gt;=8),"CHAMPION",AND(F1284&gt;=6,G1284&gt;=7,H1284&gt;=6),"LOYAL CUSTOMER",AND(F1284&gt;=6,G1284&gt;=5,H1284&gt;=5),"POTENTIAL LOYALIST",AND(F1284&gt;=8,G1284&lt;=2,H1284&gt;=5),"NEW CUSTOMERS",AND(F1284&gt;=6,G1284&lt;=2,H1284&gt;=3),"PROMISING",AND(F1284&gt;=3,G1284&gt;=3,H1284&gt;=3),"NEED ATTENTION",AND(F1284&lt;=4,G1284&gt;=6,H1284&gt;=6),"AT RISK",AND(F1284&lt;=2,G1284&gt;=8,H1284&gt;=8),"CAN'T LOSE THEM",AND(F1284&lt;=2,G1284&lt;=2,H1284&lt;=2),"HIBERNATING",TRUE(),"Other")</f>
        <v>CHAMPION</v>
      </c>
      <c r="K1284" s="1" t="n">
        <f aca="false">RANK(E1284,$E$7:$E$4378)+COUNTIF($E$7:E1284,E1284)-1</f>
        <v>89</v>
      </c>
    </row>
    <row r="1285" customFormat="false" ht="14.25" hidden="false" customHeight="true" outlineLevel="0" collapsed="false">
      <c r="A1285" s="51" t="n">
        <v>14064</v>
      </c>
      <c r="B1285" s="53" t="n">
        <v>40857.5513888889</v>
      </c>
      <c r="C1285" s="57" t="n">
        <f aca="false">INT($C$2)-INT(Table3[[#This Row],[Last Purchase Date]])</f>
        <v>30</v>
      </c>
      <c r="D1285" s="1" t="n">
        <v>7</v>
      </c>
      <c r="E1285" s="1" t="n">
        <v>1188.32</v>
      </c>
      <c r="F1285" s="1" t="n">
        <f aca="false">ROUND((1-_xlfn.PERCENTRANK.INC($C$7:$C$4378,C1285))*9,0)</f>
        <v>6</v>
      </c>
      <c r="G1285" s="1" t="n">
        <f aca="false">ROUND(_xlfn.PERCENTRANK.INC($D$7:$D$4378,D1285)*9,0)</f>
        <v>7</v>
      </c>
      <c r="H1285" s="1" t="n">
        <f aca="false">ROUND(_xlfn.PERCENTRANK.INC($E$7:$E$4378,E1285)*9,0)</f>
        <v>6</v>
      </c>
      <c r="I1285" s="1" t="str">
        <f aca="false">CONCATENATE(F1285,G1285,H1285)</f>
        <v>676</v>
      </c>
      <c r="J1285" s="1" t="str">
        <f aca="false">_xlfn.IFS(AND(F1285&gt;=8,G1285&gt;=8,H1285&gt;=8),"CHAMPION",AND(F1285&gt;=6,G1285&gt;=7,H1285&gt;=6),"LOYAL CUSTOMER",AND(F1285&gt;=6,G1285&gt;=5,H1285&gt;=5),"POTENTIAL LOYALIST",AND(F1285&gt;=8,G1285&lt;=2,H1285&gt;=5),"NEW CUSTOMERS",AND(F1285&gt;=6,G1285&lt;=2,H1285&gt;=3),"PROMISING",AND(F1285&gt;=3,G1285&gt;=3,H1285&gt;=3),"NEED ATTENTION",AND(F1285&lt;=4,G1285&gt;=6,H1285&gt;=6),"AT RISK",AND(F1285&lt;=2,G1285&gt;=8,H1285&gt;=8),"CAN'T LOSE THEM",AND(F1285&lt;=2,G1285&lt;=2,H1285&lt;=2),"HIBERNATING",TRUE(),"Other")</f>
        <v>LOYAL CUSTOMER</v>
      </c>
      <c r="K1285" s="1" t="n">
        <f aca="false">RANK(E1285,$E$7:$E$4378)+COUNTIF($E$7:E1285,E1285)-1</f>
        <v>1421</v>
      </c>
    </row>
    <row r="1286" customFormat="false" ht="14.25" hidden="false" customHeight="true" outlineLevel="0" collapsed="false">
      <c r="A1286" s="51" t="n">
        <v>14066</v>
      </c>
      <c r="B1286" s="53" t="n">
        <v>40620.5145833333</v>
      </c>
      <c r="C1286" s="57" t="n">
        <f aca="false">INT($C$2)-INT(Table3[[#This Row],[Last Purchase Date]])</f>
        <v>267</v>
      </c>
      <c r="D1286" s="1" t="n">
        <v>1</v>
      </c>
      <c r="E1286" s="1" t="n">
        <v>152.55</v>
      </c>
      <c r="F1286" s="1" t="n">
        <f aca="false">ROUND((1-_xlfn.PERCENTRANK.INC($C$7:$C$4378,C1286))*9,0)</f>
        <v>1</v>
      </c>
      <c r="G1286" s="1" t="n">
        <f aca="false">ROUND(_xlfn.PERCENTRANK.INC($D$7:$D$4378,D1286)*9,0)</f>
        <v>0</v>
      </c>
      <c r="H1286" s="1" t="n">
        <f aca="false">ROUND(_xlfn.PERCENTRANK.INC($E$7:$E$4378,E1286)*9,0)</f>
        <v>1</v>
      </c>
      <c r="I1286" s="1" t="str">
        <f aca="false">CONCATENATE(F1286,G1286,H1286)</f>
        <v>101</v>
      </c>
      <c r="J1286" s="1" t="str">
        <f aca="false">_xlfn.IFS(AND(F1286&gt;=8,G1286&gt;=8,H1286&gt;=8),"CHAMPION",AND(F1286&gt;=6,G1286&gt;=7,H1286&gt;=6),"LOYAL CUSTOMER",AND(F1286&gt;=6,G1286&gt;=5,H1286&gt;=5),"POTENTIAL LOYALIST",AND(F1286&gt;=8,G1286&lt;=2,H1286&gt;=5),"NEW CUSTOMERS",AND(F1286&gt;=6,G1286&lt;=2,H1286&gt;=3),"PROMISING",AND(F1286&gt;=3,G1286&gt;=3,H1286&gt;=3),"NEED ATTENTION",AND(F1286&lt;=4,G1286&gt;=6,H1286&gt;=6),"AT RISK",AND(F1286&lt;=2,G1286&gt;=8,H1286&gt;=8),"CAN'T LOSE THEM",AND(F1286&lt;=2,G1286&lt;=2,H1286&lt;=2),"HIBERNATING",TRUE(),"Other")</f>
        <v>HIBERNATING</v>
      </c>
      <c r="K1286" s="1" t="n">
        <f aca="false">RANK(E1286,$E$7:$E$4378)+COUNTIF($E$7:E1286,E1286)-1</f>
        <v>3904</v>
      </c>
    </row>
    <row r="1287" customFormat="false" ht="14.25" hidden="false" customHeight="true" outlineLevel="0" collapsed="false">
      <c r="A1287" s="51" t="n">
        <v>14067</v>
      </c>
      <c r="B1287" s="53" t="n">
        <v>40823.43125</v>
      </c>
      <c r="C1287" s="57" t="n">
        <f aca="false">INT($C$2)-INT(Table3[[#This Row],[Last Purchase Date]])</f>
        <v>64</v>
      </c>
      <c r="D1287" s="1" t="n">
        <v>2</v>
      </c>
      <c r="E1287" s="1" t="n">
        <v>374.7</v>
      </c>
      <c r="F1287" s="1" t="n">
        <f aca="false">ROUND((1-_xlfn.PERCENTRANK.INC($C$7:$C$4378,C1287))*9,0)</f>
        <v>4</v>
      </c>
      <c r="G1287" s="1" t="n">
        <f aca="false">ROUND(_xlfn.PERCENTRANK.INC($D$7:$D$4378,D1287)*9,0)</f>
        <v>3</v>
      </c>
      <c r="H1287" s="1" t="n">
        <f aca="false">ROUND(_xlfn.PERCENTRANK.INC($E$7:$E$4378,E1287)*9,0)</f>
        <v>3</v>
      </c>
      <c r="I1287" s="1" t="str">
        <f aca="false">CONCATENATE(F1287,G1287,H1287)</f>
        <v>433</v>
      </c>
      <c r="J1287" s="1" t="str">
        <f aca="false">_xlfn.IFS(AND(F1287&gt;=8,G1287&gt;=8,H1287&gt;=8),"CHAMPION",AND(F1287&gt;=6,G1287&gt;=7,H1287&gt;=6),"LOYAL CUSTOMER",AND(F1287&gt;=6,G1287&gt;=5,H1287&gt;=5),"POTENTIAL LOYALIST",AND(F1287&gt;=8,G1287&lt;=2,H1287&gt;=5),"NEW CUSTOMERS",AND(F1287&gt;=6,G1287&lt;=2,H1287&gt;=3),"PROMISING",AND(F1287&gt;=3,G1287&gt;=3,H1287&gt;=3),"NEED ATTENTION",AND(F1287&lt;=4,G1287&gt;=6,H1287&gt;=6),"AT RISK",AND(F1287&lt;=2,G1287&gt;=8,H1287&gt;=8),"CAN'T LOSE THEM",AND(F1287&lt;=2,G1287&lt;=2,H1287&lt;=2),"HIBERNATING",TRUE(),"Other")</f>
        <v>NEED ATTENTION</v>
      </c>
      <c r="K1287" s="1" t="n">
        <f aca="false">RANK(E1287,$E$7:$E$4378)+COUNTIF($E$7:E1287,E1287)-1</f>
        <v>2914</v>
      </c>
    </row>
    <row r="1288" customFormat="false" ht="14.25" hidden="false" customHeight="true" outlineLevel="0" collapsed="false">
      <c r="A1288" s="51" t="n">
        <v>14068</v>
      </c>
      <c r="B1288" s="53" t="n">
        <v>40566.6680555556</v>
      </c>
      <c r="C1288" s="57" t="n">
        <f aca="false">INT($C$2)-INT(Table3[[#This Row],[Last Purchase Date]])</f>
        <v>321</v>
      </c>
      <c r="D1288" s="1" t="n">
        <v>1</v>
      </c>
      <c r="E1288" s="1" t="n">
        <v>265.85</v>
      </c>
      <c r="F1288" s="1" t="n">
        <f aca="false">ROUND((1-_xlfn.PERCENTRANK.INC($C$7:$C$4378,C1288))*9,0)</f>
        <v>0</v>
      </c>
      <c r="G1288" s="1" t="n">
        <f aca="false">ROUND(_xlfn.PERCENTRANK.INC($D$7:$D$4378,D1288)*9,0)</f>
        <v>0</v>
      </c>
      <c r="H1288" s="1" t="n">
        <f aca="false">ROUND(_xlfn.PERCENTRANK.INC($E$7:$E$4378,E1288)*9,0)</f>
        <v>2</v>
      </c>
      <c r="I1288" s="1" t="str">
        <f aca="false">CONCATENATE(F1288,G1288,H1288)</f>
        <v>002</v>
      </c>
      <c r="J1288" s="1" t="str">
        <f aca="false">_xlfn.IFS(AND(F1288&gt;=8,G1288&gt;=8,H1288&gt;=8),"CHAMPION",AND(F1288&gt;=6,G1288&gt;=7,H1288&gt;=6),"LOYAL CUSTOMER",AND(F1288&gt;=6,G1288&gt;=5,H1288&gt;=5),"POTENTIAL LOYALIST",AND(F1288&gt;=8,G1288&lt;=2,H1288&gt;=5),"NEW CUSTOMERS",AND(F1288&gt;=6,G1288&lt;=2,H1288&gt;=3),"PROMISING",AND(F1288&gt;=3,G1288&gt;=3,H1288&gt;=3),"NEED ATTENTION",AND(F1288&lt;=4,G1288&gt;=6,H1288&gt;=6),"AT RISK",AND(F1288&lt;=2,G1288&gt;=8,H1288&gt;=8),"CAN'T LOSE THEM",AND(F1288&lt;=2,G1288&lt;=2,H1288&lt;=2),"HIBERNATING",TRUE(),"Other")</f>
        <v>HIBERNATING</v>
      </c>
      <c r="K1288" s="1" t="n">
        <f aca="false">RANK(E1288,$E$7:$E$4378)+COUNTIF($E$7:E1288,E1288)-1</f>
        <v>3379</v>
      </c>
    </row>
    <row r="1289" customFormat="false" ht="14.25" hidden="false" customHeight="true" outlineLevel="0" collapsed="false">
      <c r="A1289" s="51" t="n">
        <v>14071</v>
      </c>
      <c r="B1289" s="53" t="n">
        <v>40883.51875</v>
      </c>
      <c r="C1289" s="57" t="n">
        <f aca="false">INT($C$2)-INT(Table3[[#This Row],[Last Purchase Date]])</f>
        <v>4</v>
      </c>
      <c r="D1289" s="1" t="n">
        <v>9</v>
      </c>
      <c r="E1289" s="1" t="n">
        <v>1307.41</v>
      </c>
      <c r="F1289" s="1" t="n">
        <f aca="false">ROUND((1-_xlfn.PERCENTRANK.INC($C$7:$C$4378,C1289))*9,0)</f>
        <v>8</v>
      </c>
      <c r="G1289" s="1" t="n">
        <f aca="false">ROUND(_xlfn.PERCENTRANK.INC($D$7:$D$4378,D1289)*9,0)</f>
        <v>8</v>
      </c>
      <c r="H1289" s="1" t="n">
        <f aca="false">ROUND(_xlfn.PERCENTRANK.INC($E$7:$E$4378,E1289)*9,0)</f>
        <v>6</v>
      </c>
      <c r="I1289" s="1" t="str">
        <f aca="false">CONCATENATE(F1289,G1289,H1289)</f>
        <v>886</v>
      </c>
      <c r="J1289" s="1" t="str">
        <f aca="false">_xlfn.IFS(AND(F1289&gt;=8,G1289&gt;=8,H1289&gt;=8),"CHAMPION",AND(F1289&gt;=6,G1289&gt;=7,H1289&gt;=6),"LOYAL CUSTOMER",AND(F1289&gt;=6,G1289&gt;=5,H1289&gt;=5),"POTENTIAL LOYALIST",AND(F1289&gt;=8,G1289&lt;=2,H1289&gt;=5),"NEW CUSTOMERS",AND(F1289&gt;=6,G1289&lt;=2,H1289&gt;=3),"PROMISING",AND(F1289&gt;=3,G1289&gt;=3,H1289&gt;=3),"NEED ATTENTION",AND(F1289&lt;=4,G1289&gt;=6,H1289&gt;=6),"AT RISK",AND(F1289&lt;=2,G1289&gt;=8,H1289&gt;=8),"CAN'T LOSE THEM",AND(F1289&lt;=2,G1289&lt;=2,H1289&lt;=2),"HIBERNATING",TRUE(),"Other")</f>
        <v>LOYAL CUSTOMER</v>
      </c>
      <c r="K1289" s="1" t="n">
        <f aca="false">RANK(E1289,$E$7:$E$4378)+COUNTIF($E$7:E1289,E1289)-1</f>
        <v>1320</v>
      </c>
    </row>
    <row r="1290" customFormat="false" ht="14.25" hidden="false" customHeight="true" outlineLevel="0" collapsed="false">
      <c r="A1290" s="51" t="n">
        <v>14073</v>
      </c>
      <c r="B1290" s="53" t="n">
        <v>40865.6763888889</v>
      </c>
      <c r="C1290" s="57" t="n">
        <f aca="false">INT($C$2)-INT(Table3[[#This Row],[Last Purchase Date]])</f>
        <v>22</v>
      </c>
      <c r="D1290" s="1" t="n">
        <v>2</v>
      </c>
      <c r="E1290" s="1" t="n">
        <v>139.54</v>
      </c>
      <c r="F1290" s="1" t="n">
        <f aca="false">ROUND((1-_xlfn.PERCENTRANK.INC($C$7:$C$4378,C1290))*9,0)</f>
        <v>6</v>
      </c>
      <c r="G1290" s="1" t="n">
        <f aca="false">ROUND(_xlfn.PERCENTRANK.INC($D$7:$D$4378,D1290)*9,0)</f>
        <v>3</v>
      </c>
      <c r="H1290" s="1" t="n">
        <f aca="false">ROUND(_xlfn.PERCENTRANK.INC($E$7:$E$4378,E1290)*9,0)</f>
        <v>1</v>
      </c>
      <c r="I1290" s="1" t="str">
        <f aca="false">CONCATENATE(F1290,G1290,H1290)</f>
        <v>631</v>
      </c>
      <c r="J1290" s="1" t="str">
        <f aca="false">_xlfn.IFS(AND(F1290&gt;=8,G1290&gt;=8,H1290&gt;=8),"CHAMPION",AND(F1290&gt;=6,G1290&gt;=7,H1290&gt;=6),"LOYAL CUSTOMER",AND(F1290&gt;=6,G1290&gt;=5,H1290&gt;=5),"POTENTIAL LOYALIST",AND(F1290&gt;=8,G1290&lt;=2,H1290&gt;=5),"NEW CUSTOMERS",AND(F1290&gt;=6,G1290&lt;=2,H1290&gt;=3),"PROMISING",AND(F1290&gt;=3,G1290&gt;=3,H1290&gt;=3),"NEED ATTENTION",AND(F1290&lt;=4,G1290&gt;=6,H1290&gt;=6),"AT RISK",AND(F1290&lt;=2,G1290&gt;=8,H1290&gt;=8),"CAN'T LOSE THEM",AND(F1290&lt;=2,G1290&lt;=2,H1290&lt;=2),"HIBERNATING",TRUE(),"Other")</f>
        <v>Other</v>
      </c>
      <c r="K1290" s="1" t="n">
        <f aca="false">RANK(E1290,$E$7:$E$4378)+COUNTIF($E$7:E1290,E1290)-1</f>
        <v>3958</v>
      </c>
    </row>
    <row r="1291" customFormat="false" ht="14.25" hidden="false" customHeight="true" outlineLevel="0" collapsed="false">
      <c r="A1291" s="51" t="n">
        <v>14075</v>
      </c>
      <c r="B1291" s="53" t="n">
        <v>40882.3597222222</v>
      </c>
      <c r="C1291" s="57" t="n">
        <f aca="false">INT($C$2)-INT(Table3[[#This Row],[Last Purchase Date]])</f>
        <v>5</v>
      </c>
      <c r="D1291" s="1" t="n">
        <v>3</v>
      </c>
      <c r="E1291" s="1" t="n">
        <v>942.26</v>
      </c>
      <c r="F1291" s="1" t="n">
        <f aca="false">ROUND((1-_xlfn.PERCENTRANK.INC($C$7:$C$4378,C1291))*9,0)</f>
        <v>8</v>
      </c>
      <c r="G1291" s="1" t="n">
        <f aca="false">ROUND(_xlfn.PERCENTRANK.INC($D$7:$D$4378,D1291)*9,0)</f>
        <v>4</v>
      </c>
      <c r="H1291" s="1" t="n">
        <f aca="false">ROUND(_xlfn.PERCENTRANK.INC($E$7:$E$4378,E1291)*9,0)</f>
        <v>5</v>
      </c>
      <c r="I1291" s="1" t="str">
        <f aca="false">CONCATENATE(F1291,G1291,H1291)</f>
        <v>845</v>
      </c>
      <c r="J1291" s="1" t="str">
        <f aca="false">_xlfn.IFS(AND(F1291&gt;=8,G1291&gt;=8,H1291&gt;=8),"CHAMPION",AND(F1291&gt;=6,G1291&gt;=7,H1291&gt;=6),"LOYAL CUSTOMER",AND(F1291&gt;=6,G1291&gt;=5,H1291&gt;=5),"POTENTIAL LOYALIST",AND(F1291&gt;=8,G1291&lt;=2,H1291&gt;=5),"NEW CUSTOMERS",AND(F1291&gt;=6,G1291&lt;=2,H1291&gt;=3),"PROMISING",AND(F1291&gt;=3,G1291&gt;=3,H1291&gt;=3),"NEED ATTENTION",AND(F1291&lt;=4,G1291&gt;=6,H1291&gt;=6),"AT RISK",AND(F1291&lt;=2,G1291&gt;=8,H1291&gt;=8),"CAN'T LOSE THEM",AND(F1291&lt;=2,G1291&lt;=2,H1291&lt;=2),"HIBERNATING",TRUE(),"Other")</f>
        <v>NEED ATTENTION</v>
      </c>
      <c r="K1291" s="1" t="n">
        <f aca="false">RANK(E1291,$E$7:$E$4378)+COUNTIF($E$7:E1291,E1291)-1</f>
        <v>1705</v>
      </c>
    </row>
    <row r="1292" customFormat="false" ht="14.25" hidden="false" customHeight="true" outlineLevel="0" collapsed="false">
      <c r="A1292" s="51" t="n">
        <v>14076</v>
      </c>
      <c r="B1292" s="53" t="n">
        <v>40757.6381944444</v>
      </c>
      <c r="C1292" s="57" t="n">
        <f aca="false">INT($C$2)-INT(Table3[[#This Row],[Last Purchase Date]])</f>
        <v>130</v>
      </c>
      <c r="D1292" s="1" t="n">
        <v>1</v>
      </c>
      <c r="E1292" s="1" t="n">
        <v>122.47</v>
      </c>
      <c r="F1292" s="1" t="n">
        <f aca="false">ROUND((1-_xlfn.PERCENTRANK.INC($C$7:$C$4378,C1292))*9,0)</f>
        <v>2</v>
      </c>
      <c r="G1292" s="1" t="n">
        <f aca="false">ROUND(_xlfn.PERCENTRANK.INC($D$7:$D$4378,D1292)*9,0)</f>
        <v>0</v>
      </c>
      <c r="H1292" s="1" t="n">
        <f aca="false">ROUND(_xlfn.PERCENTRANK.INC($E$7:$E$4378,E1292)*9,0)</f>
        <v>1</v>
      </c>
      <c r="I1292" s="1" t="str">
        <f aca="false">CONCATENATE(F1292,G1292,H1292)</f>
        <v>201</v>
      </c>
      <c r="J1292" s="1" t="str">
        <f aca="false">_xlfn.IFS(AND(F1292&gt;=8,G1292&gt;=8,H1292&gt;=8),"CHAMPION",AND(F1292&gt;=6,G1292&gt;=7,H1292&gt;=6),"LOYAL CUSTOMER",AND(F1292&gt;=6,G1292&gt;=5,H1292&gt;=5),"POTENTIAL LOYALIST",AND(F1292&gt;=8,G1292&lt;=2,H1292&gt;=5),"NEW CUSTOMERS",AND(F1292&gt;=6,G1292&lt;=2,H1292&gt;=3),"PROMISING",AND(F1292&gt;=3,G1292&gt;=3,H1292&gt;=3),"NEED ATTENTION",AND(F1292&lt;=4,G1292&gt;=6,H1292&gt;=6),"AT RISK",AND(F1292&lt;=2,G1292&gt;=8,H1292&gt;=8),"CAN'T LOSE THEM",AND(F1292&lt;=2,G1292&lt;=2,H1292&lt;=2),"HIBERNATING",TRUE(),"Other")</f>
        <v>HIBERNATING</v>
      </c>
      <c r="K1292" s="1" t="n">
        <f aca="false">RANK(E1292,$E$7:$E$4378)+COUNTIF($E$7:E1292,E1292)-1</f>
        <v>4040</v>
      </c>
    </row>
    <row r="1293" customFormat="false" ht="14.25" hidden="false" customHeight="true" outlineLevel="0" collapsed="false">
      <c r="A1293" s="51" t="n">
        <v>14077</v>
      </c>
      <c r="B1293" s="53" t="n">
        <v>40846.5243055556</v>
      </c>
      <c r="C1293" s="57" t="n">
        <f aca="false">INT($C$2)-INT(Table3[[#This Row],[Last Purchase Date]])</f>
        <v>41</v>
      </c>
      <c r="D1293" s="1" t="n">
        <v>5</v>
      </c>
      <c r="E1293" s="1" t="n">
        <v>499.42</v>
      </c>
      <c r="F1293" s="1" t="n">
        <f aca="false">ROUND((1-_xlfn.PERCENTRANK.INC($C$7:$C$4378,C1293))*9,0)</f>
        <v>5</v>
      </c>
      <c r="G1293" s="1" t="n">
        <f aca="false">ROUND(_xlfn.PERCENTRANK.INC($D$7:$D$4378,D1293)*9,0)</f>
        <v>6</v>
      </c>
      <c r="H1293" s="1" t="n">
        <f aca="false">ROUND(_xlfn.PERCENTRANK.INC($E$7:$E$4378,E1293)*9,0)</f>
        <v>4</v>
      </c>
      <c r="I1293" s="1" t="str">
        <f aca="false">CONCATENATE(F1293,G1293,H1293)</f>
        <v>564</v>
      </c>
      <c r="J1293" s="1" t="str">
        <f aca="false">_xlfn.IFS(AND(F1293&gt;=8,G1293&gt;=8,H1293&gt;=8),"CHAMPION",AND(F1293&gt;=6,G1293&gt;=7,H1293&gt;=6),"LOYAL CUSTOMER",AND(F1293&gt;=6,G1293&gt;=5,H1293&gt;=5),"POTENTIAL LOYALIST",AND(F1293&gt;=8,G1293&lt;=2,H1293&gt;=5),"NEW CUSTOMERS",AND(F1293&gt;=6,G1293&lt;=2,H1293&gt;=3),"PROMISING",AND(F1293&gt;=3,G1293&gt;=3,H1293&gt;=3),"NEED ATTENTION",AND(F1293&lt;=4,G1293&gt;=6,H1293&gt;=6),"AT RISK",AND(F1293&lt;=2,G1293&gt;=8,H1293&gt;=8),"CAN'T LOSE THEM",AND(F1293&lt;=2,G1293&lt;=2,H1293&lt;=2),"HIBERNATING",TRUE(),"Other")</f>
        <v>NEED ATTENTION</v>
      </c>
      <c r="K1293" s="1" t="n">
        <f aca="false">RANK(E1293,$E$7:$E$4378)+COUNTIF($E$7:E1293,E1293)-1</f>
        <v>2542</v>
      </c>
    </row>
    <row r="1294" customFormat="false" ht="14.25" hidden="false" customHeight="true" outlineLevel="0" collapsed="false">
      <c r="A1294" s="51" t="n">
        <v>14078</v>
      </c>
      <c r="B1294" s="53" t="n">
        <v>40785.5111111111</v>
      </c>
      <c r="C1294" s="57" t="n">
        <f aca="false">INT($C$2)-INT(Table3[[#This Row],[Last Purchase Date]])</f>
        <v>102</v>
      </c>
      <c r="D1294" s="1" t="n">
        <v>6</v>
      </c>
      <c r="E1294" s="1" t="n">
        <v>1049.37</v>
      </c>
      <c r="F1294" s="1" t="n">
        <f aca="false">ROUND((1-_xlfn.PERCENTRANK.INC($C$7:$C$4378,C1294))*9,0)</f>
        <v>3</v>
      </c>
      <c r="G1294" s="1" t="n">
        <f aca="false">ROUND(_xlfn.PERCENTRANK.INC($D$7:$D$4378,D1294)*9,0)</f>
        <v>7</v>
      </c>
      <c r="H1294" s="1" t="n">
        <f aca="false">ROUND(_xlfn.PERCENTRANK.INC($E$7:$E$4378,E1294)*9,0)</f>
        <v>6</v>
      </c>
      <c r="I1294" s="1" t="str">
        <f aca="false">CONCATENATE(F1294,G1294,H1294)</f>
        <v>376</v>
      </c>
      <c r="J1294" s="1" t="str">
        <f aca="false">_xlfn.IFS(AND(F1294&gt;=8,G1294&gt;=8,H1294&gt;=8),"CHAMPION",AND(F1294&gt;=6,G1294&gt;=7,H1294&gt;=6),"LOYAL CUSTOMER",AND(F1294&gt;=6,G1294&gt;=5,H1294&gt;=5),"POTENTIAL LOYALIST",AND(F1294&gt;=8,G1294&lt;=2,H1294&gt;=5),"NEW CUSTOMERS",AND(F1294&gt;=6,G1294&lt;=2,H1294&gt;=3),"PROMISING",AND(F1294&gt;=3,G1294&gt;=3,H1294&gt;=3),"NEED ATTENTION",AND(F1294&lt;=4,G1294&gt;=6,H1294&gt;=6),"AT RISK",AND(F1294&lt;=2,G1294&gt;=8,H1294&gt;=8),"CAN'T LOSE THEM",AND(F1294&lt;=2,G1294&lt;=2,H1294&lt;=2),"HIBERNATING",TRUE(),"Other")</f>
        <v>NEED ATTENTION</v>
      </c>
      <c r="K1294" s="1" t="n">
        <f aca="false">RANK(E1294,$E$7:$E$4378)+COUNTIF($E$7:E1294,E1294)-1</f>
        <v>1562</v>
      </c>
    </row>
    <row r="1295" customFormat="false" ht="14.25" hidden="false" customHeight="true" outlineLevel="0" collapsed="false">
      <c r="A1295" s="51" t="n">
        <v>14079</v>
      </c>
      <c r="B1295" s="53" t="n">
        <v>40762.5069444445</v>
      </c>
      <c r="C1295" s="57" t="n">
        <f aca="false">INT($C$2)-INT(Table3[[#This Row],[Last Purchase Date]])</f>
        <v>125</v>
      </c>
      <c r="D1295" s="1" t="n">
        <v>1</v>
      </c>
      <c r="E1295" s="1" t="n">
        <v>375.1</v>
      </c>
      <c r="F1295" s="1" t="n">
        <f aca="false">ROUND((1-_xlfn.PERCENTRANK.INC($C$7:$C$4378,C1295))*9,0)</f>
        <v>2</v>
      </c>
      <c r="G1295" s="1" t="n">
        <f aca="false">ROUND(_xlfn.PERCENTRANK.INC($D$7:$D$4378,D1295)*9,0)</f>
        <v>0</v>
      </c>
      <c r="H1295" s="1" t="n">
        <f aca="false">ROUND(_xlfn.PERCENTRANK.INC($E$7:$E$4378,E1295)*9,0)</f>
        <v>3</v>
      </c>
      <c r="I1295" s="1" t="str">
        <f aca="false">CONCATENATE(F1295,G1295,H1295)</f>
        <v>203</v>
      </c>
      <c r="J1295" s="1" t="str">
        <f aca="false">_xlfn.IFS(AND(F1295&gt;=8,G1295&gt;=8,H1295&gt;=8),"CHAMPION",AND(F1295&gt;=6,G1295&gt;=7,H1295&gt;=6),"LOYAL CUSTOMER",AND(F1295&gt;=6,G1295&gt;=5,H1295&gt;=5),"POTENTIAL LOYALIST",AND(F1295&gt;=8,G1295&lt;=2,H1295&gt;=5),"NEW CUSTOMERS",AND(F1295&gt;=6,G1295&lt;=2,H1295&gt;=3),"PROMISING",AND(F1295&gt;=3,G1295&gt;=3,H1295&gt;=3),"NEED ATTENTION",AND(F1295&lt;=4,G1295&gt;=6,H1295&gt;=6),"AT RISK",AND(F1295&lt;=2,G1295&gt;=8,H1295&gt;=8),"CAN'T LOSE THEM",AND(F1295&lt;=2,G1295&lt;=2,H1295&lt;=2),"HIBERNATING",TRUE(),"Other")</f>
        <v>Other</v>
      </c>
      <c r="K1295" s="1" t="n">
        <f aca="false">RANK(E1295,$E$7:$E$4378)+COUNTIF($E$7:E1295,E1295)-1</f>
        <v>2912</v>
      </c>
    </row>
    <row r="1296" customFormat="false" ht="14.25" hidden="false" customHeight="true" outlineLevel="0" collapsed="false">
      <c r="A1296" s="51" t="n">
        <v>14080</v>
      </c>
      <c r="B1296" s="53" t="n">
        <v>40854.4645833333</v>
      </c>
      <c r="C1296" s="57" t="n">
        <f aca="false">INT($C$2)-INT(Table3[[#This Row],[Last Purchase Date]])</f>
        <v>33</v>
      </c>
      <c r="D1296" s="1" t="n">
        <v>1</v>
      </c>
      <c r="E1296" s="1" t="n">
        <v>45.6</v>
      </c>
      <c r="F1296" s="1" t="n">
        <f aca="false">ROUND((1-_xlfn.PERCENTRANK.INC($C$7:$C$4378,C1296))*9,0)</f>
        <v>5</v>
      </c>
      <c r="G1296" s="1" t="n">
        <f aca="false">ROUND(_xlfn.PERCENTRANK.INC($D$7:$D$4378,D1296)*9,0)</f>
        <v>0</v>
      </c>
      <c r="H1296" s="1" t="n">
        <f aca="false">ROUND(_xlfn.PERCENTRANK.INC($E$7:$E$4378,E1296)*9,0)</f>
        <v>0</v>
      </c>
      <c r="I1296" s="1" t="str">
        <f aca="false">CONCATENATE(F1296,G1296,H1296)</f>
        <v>500</v>
      </c>
      <c r="J1296" s="1" t="str">
        <f aca="false">_xlfn.IFS(AND(F1296&gt;=8,G1296&gt;=8,H1296&gt;=8),"CHAMPION",AND(F1296&gt;=6,G1296&gt;=7,H1296&gt;=6),"LOYAL CUSTOMER",AND(F1296&gt;=6,G1296&gt;=5,H1296&gt;=5),"POTENTIAL LOYALIST",AND(F1296&gt;=8,G1296&lt;=2,H1296&gt;=5),"NEW CUSTOMERS",AND(F1296&gt;=6,G1296&lt;=2,H1296&gt;=3),"PROMISING",AND(F1296&gt;=3,G1296&gt;=3,H1296&gt;=3),"NEED ATTENTION",AND(F1296&lt;=4,G1296&gt;=6,H1296&gt;=6),"AT RISK",AND(F1296&lt;=2,G1296&gt;=8,H1296&gt;=8),"CAN'T LOSE THEM",AND(F1296&lt;=2,G1296&lt;=2,H1296&lt;=2),"HIBERNATING",TRUE(),"Other")</f>
        <v>Other</v>
      </c>
      <c r="K1296" s="1" t="n">
        <f aca="false">RANK(E1296,$E$7:$E$4378)+COUNTIF($E$7:E1296,E1296)-1</f>
        <v>4286</v>
      </c>
    </row>
    <row r="1297" customFormat="false" ht="14.25" hidden="false" customHeight="true" outlineLevel="0" collapsed="false">
      <c r="A1297" s="51" t="n">
        <v>14081</v>
      </c>
      <c r="B1297" s="53" t="n">
        <v>40619.6</v>
      </c>
      <c r="C1297" s="57" t="n">
        <f aca="false">INT($C$2)-INT(Table3[[#This Row],[Last Purchase Date]])</f>
        <v>268</v>
      </c>
      <c r="D1297" s="1" t="n">
        <v>4</v>
      </c>
      <c r="E1297" s="1" t="n">
        <v>904.67</v>
      </c>
      <c r="F1297" s="1" t="n">
        <f aca="false">ROUND((1-_xlfn.PERCENTRANK.INC($C$7:$C$4378,C1297))*9,0)</f>
        <v>1</v>
      </c>
      <c r="G1297" s="1" t="n">
        <f aca="false">ROUND(_xlfn.PERCENTRANK.INC($D$7:$D$4378,D1297)*9,0)</f>
        <v>5</v>
      </c>
      <c r="H1297" s="1" t="n">
        <f aca="false">ROUND(_xlfn.PERCENTRANK.INC($E$7:$E$4378,E1297)*9,0)</f>
        <v>5</v>
      </c>
      <c r="I1297" s="1" t="str">
        <f aca="false">CONCATENATE(F1297,G1297,H1297)</f>
        <v>155</v>
      </c>
      <c r="J1297" s="1" t="str">
        <f aca="false">_xlfn.IFS(AND(F1297&gt;=8,G1297&gt;=8,H1297&gt;=8),"CHAMPION",AND(F1297&gt;=6,G1297&gt;=7,H1297&gt;=6),"LOYAL CUSTOMER",AND(F1297&gt;=6,G1297&gt;=5,H1297&gt;=5),"POTENTIAL LOYALIST",AND(F1297&gt;=8,G1297&lt;=2,H1297&gt;=5),"NEW CUSTOMERS",AND(F1297&gt;=6,G1297&lt;=2,H1297&gt;=3),"PROMISING",AND(F1297&gt;=3,G1297&gt;=3,H1297&gt;=3),"NEED ATTENTION",AND(F1297&lt;=4,G1297&gt;=6,H1297&gt;=6),"AT RISK",AND(F1297&lt;=2,G1297&gt;=8,H1297&gt;=8),"CAN'T LOSE THEM",AND(F1297&lt;=2,G1297&lt;=2,H1297&lt;=2),"HIBERNATING",TRUE(),"Other")</f>
        <v>Other</v>
      </c>
      <c r="K1297" s="1" t="n">
        <f aca="false">RANK(E1297,$E$7:$E$4378)+COUNTIF($E$7:E1297,E1297)-1</f>
        <v>1756</v>
      </c>
    </row>
    <row r="1298" customFormat="false" ht="14.25" hidden="false" customHeight="true" outlineLevel="0" collapsed="false">
      <c r="A1298" s="51" t="n">
        <v>14082</v>
      </c>
      <c r="B1298" s="53" t="n">
        <v>40522.4597222222</v>
      </c>
      <c r="C1298" s="57" t="n">
        <f aca="false">INT($C$2)-INT(Table3[[#This Row],[Last Purchase Date]])</f>
        <v>365</v>
      </c>
      <c r="D1298" s="1" t="n">
        <v>1</v>
      </c>
      <c r="E1298" s="1" t="n">
        <v>182.25</v>
      </c>
      <c r="F1298" s="1" t="n">
        <f aca="false">ROUND((1-_xlfn.PERCENTRANK.INC($C$7:$C$4378,C1298))*9,0)</f>
        <v>0</v>
      </c>
      <c r="G1298" s="1" t="n">
        <f aca="false">ROUND(_xlfn.PERCENTRANK.INC($D$7:$D$4378,D1298)*9,0)</f>
        <v>0</v>
      </c>
      <c r="H1298" s="1" t="n">
        <f aca="false">ROUND(_xlfn.PERCENTRANK.INC($E$7:$E$4378,E1298)*9,0)</f>
        <v>1</v>
      </c>
      <c r="I1298" s="1" t="str">
        <f aca="false">CONCATENATE(F1298,G1298,H1298)</f>
        <v>001</v>
      </c>
      <c r="J1298" s="1" t="str">
        <f aca="false">_xlfn.IFS(AND(F1298&gt;=8,G1298&gt;=8,H1298&gt;=8),"CHAMPION",AND(F1298&gt;=6,G1298&gt;=7,H1298&gt;=6),"LOYAL CUSTOMER",AND(F1298&gt;=6,G1298&gt;=5,H1298&gt;=5),"POTENTIAL LOYALIST",AND(F1298&gt;=8,G1298&lt;=2,H1298&gt;=5),"NEW CUSTOMERS",AND(F1298&gt;=6,G1298&lt;=2,H1298&gt;=3),"PROMISING",AND(F1298&gt;=3,G1298&gt;=3,H1298&gt;=3),"NEED ATTENTION",AND(F1298&lt;=4,G1298&gt;=6,H1298&gt;=6),"AT RISK",AND(F1298&lt;=2,G1298&gt;=8,H1298&gt;=8),"CAN'T LOSE THEM",AND(F1298&lt;=2,G1298&lt;=2,H1298&lt;=2),"HIBERNATING",TRUE(),"Other")</f>
        <v>HIBERNATING</v>
      </c>
      <c r="K1298" s="1" t="n">
        <f aca="false">RANK(E1298,$E$7:$E$4378)+COUNTIF($E$7:E1298,E1298)-1</f>
        <v>3740</v>
      </c>
    </row>
    <row r="1299" customFormat="false" ht="14.25" hidden="false" customHeight="true" outlineLevel="0" collapsed="false">
      <c r="A1299" s="51" t="n">
        <v>14083</v>
      </c>
      <c r="B1299" s="53" t="n">
        <v>40882.5513888889</v>
      </c>
      <c r="C1299" s="57" t="n">
        <f aca="false">INT($C$2)-INT(Table3[[#This Row],[Last Purchase Date]])</f>
        <v>5</v>
      </c>
      <c r="D1299" s="1" t="n">
        <v>9</v>
      </c>
      <c r="E1299" s="1" t="n">
        <v>1018.43</v>
      </c>
      <c r="F1299" s="1" t="n">
        <f aca="false">ROUND((1-_xlfn.PERCENTRANK.INC($C$7:$C$4378,C1299))*9,0)</f>
        <v>8</v>
      </c>
      <c r="G1299" s="1" t="n">
        <f aca="false">ROUND(_xlfn.PERCENTRANK.INC($D$7:$D$4378,D1299)*9,0)</f>
        <v>8</v>
      </c>
      <c r="H1299" s="1" t="n">
        <f aca="false">ROUND(_xlfn.PERCENTRANK.INC($E$7:$E$4378,E1299)*9,0)</f>
        <v>6</v>
      </c>
      <c r="I1299" s="1" t="str">
        <f aca="false">CONCATENATE(F1299,G1299,H1299)</f>
        <v>886</v>
      </c>
      <c r="J1299" s="1" t="str">
        <f aca="false">_xlfn.IFS(AND(F1299&gt;=8,G1299&gt;=8,H1299&gt;=8),"CHAMPION",AND(F1299&gt;=6,G1299&gt;=7,H1299&gt;=6),"LOYAL CUSTOMER",AND(F1299&gt;=6,G1299&gt;=5,H1299&gt;=5),"POTENTIAL LOYALIST",AND(F1299&gt;=8,G1299&lt;=2,H1299&gt;=5),"NEW CUSTOMERS",AND(F1299&gt;=6,G1299&lt;=2,H1299&gt;=3),"PROMISING",AND(F1299&gt;=3,G1299&gt;=3,H1299&gt;=3),"NEED ATTENTION",AND(F1299&lt;=4,G1299&gt;=6,H1299&gt;=6),"AT RISK",AND(F1299&lt;=2,G1299&gt;=8,H1299&gt;=8),"CAN'T LOSE THEM",AND(F1299&lt;=2,G1299&lt;=2,H1299&lt;=2),"HIBERNATING",TRUE(),"Other")</f>
        <v>LOYAL CUSTOMER</v>
      </c>
      <c r="K1299" s="1" t="n">
        <f aca="false">RANK(E1299,$E$7:$E$4378)+COUNTIF($E$7:E1299,E1299)-1</f>
        <v>1609</v>
      </c>
    </row>
    <row r="1300" customFormat="false" ht="14.25" hidden="false" customHeight="true" outlineLevel="0" collapsed="false">
      <c r="A1300" s="51" t="n">
        <v>14085</v>
      </c>
      <c r="B1300" s="53" t="n">
        <v>40884.5736111111</v>
      </c>
      <c r="C1300" s="57" t="n">
        <f aca="false">INT($C$2)-INT(Table3[[#This Row],[Last Purchase Date]])</f>
        <v>3</v>
      </c>
      <c r="D1300" s="1" t="n">
        <v>19</v>
      </c>
      <c r="E1300" s="1" t="n">
        <v>4435.79</v>
      </c>
      <c r="F1300" s="1" t="n">
        <f aca="false">ROUND((1-_xlfn.PERCENTRANK.INC($C$7:$C$4378,C1300))*9,0)</f>
        <v>9</v>
      </c>
      <c r="G1300" s="1" t="n">
        <f aca="false">ROUND(_xlfn.PERCENTRANK.INC($D$7:$D$4378,D1300)*9,0)</f>
        <v>9</v>
      </c>
      <c r="H1300" s="1" t="n">
        <f aca="false">ROUND(_xlfn.PERCENTRANK.INC($E$7:$E$4378,E1300)*9,0)</f>
        <v>8</v>
      </c>
      <c r="I1300" s="1" t="str">
        <f aca="false">CONCATENATE(F1300,G1300,H1300)</f>
        <v>998</v>
      </c>
      <c r="J1300" s="1" t="str">
        <f aca="false">_xlfn.IFS(AND(F1300&gt;=8,G1300&gt;=8,H1300&gt;=8),"CHAMPION",AND(F1300&gt;=6,G1300&gt;=7,H1300&gt;=6),"LOYAL CUSTOMER",AND(F1300&gt;=6,G1300&gt;=5,H1300&gt;=5),"POTENTIAL LOYALIST",AND(F1300&gt;=8,G1300&lt;=2,H1300&gt;=5),"NEW CUSTOMERS",AND(F1300&gt;=6,G1300&lt;=2,H1300&gt;=3),"PROMISING",AND(F1300&gt;=3,G1300&gt;=3,H1300&gt;=3),"NEED ATTENTION",AND(F1300&lt;=4,G1300&gt;=6,H1300&gt;=6),"AT RISK",AND(F1300&lt;=2,G1300&gt;=8,H1300&gt;=8),"CAN'T LOSE THEM",AND(F1300&lt;=2,G1300&lt;=2,H1300&lt;=2),"HIBERNATING",TRUE(),"Other")</f>
        <v>CHAMPION</v>
      </c>
      <c r="K1300" s="1" t="n">
        <f aca="false">RANK(E1300,$E$7:$E$4378)+COUNTIF($E$7:E1300,E1300)-1</f>
        <v>307</v>
      </c>
    </row>
    <row r="1301" customFormat="false" ht="14.25" hidden="false" customHeight="true" outlineLevel="0" collapsed="false">
      <c r="A1301" s="51" t="n">
        <v>14087</v>
      </c>
      <c r="B1301" s="53" t="n">
        <v>40884.5284722222</v>
      </c>
      <c r="C1301" s="57" t="n">
        <f aca="false">INT($C$2)-INT(Table3[[#This Row],[Last Purchase Date]])</f>
        <v>3</v>
      </c>
      <c r="D1301" s="1" t="n">
        <v>2</v>
      </c>
      <c r="E1301" s="1" t="n">
        <v>181.67</v>
      </c>
      <c r="F1301" s="1" t="n">
        <f aca="false">ROUND((1-_xlfn.PERCENTRANK.INC($C$7:$C$4378,C1301))*9,0)</f>
        <v>9</v>
      </c>
      <c r="G1301" s="1" t="n">
        <f aca="false">ROUND(_xlfn.PERCENTRANK.INC($D$7:$D$4378,D1301)*9,0)</f>
        <v>3</v>
      </c>
      <c r="H1301" s="1" t="n">
        <f aca="false">ROUND(_xlfn.PERCENTRANK.INC($E$7:$E$4378,E1301)*9,0)</f>
        <v>1</v>
      </c>
      <c r="I1301" s="1" t="str">
        <f aca="false">CONCATENATE(F1301,G1301,H1301)</f>
        <v>931</v>
      </c>
      <c r="J1301" s="1" t="str">
        <f aca="false">_xlfn.IFS(AND(F1301&gt;=8,G1301&gt;=8,H1301&gt;=8),"CHAMPION",AND(F1301&gt;=6,G1301&gt;=7,H1301&gt;=6),"LOYAL CUSTOMER",AND(F1301&gt;=6,G1301&gt;=5,H1301&gt;=5),"POTENTIAL LOYALIST",AND(F1301&gt;=8,G1301&lt;=2,H1301&gt;=5),"NEW CUSTOMERS",AND(F1301&gt;=6,G1301&lt;=2,H1301&gt;=3),"PROMISING",AND(F1301&gt;=3,G1301&gt;=3,H1301&gt;=3),"NEED ATTENTION",AND(F1301&lt;=4,G1301&gt;=6,H1301&gt;=6),"AT RISK",AND(F1301&lt;=2,G1301&gt;=8,H1301&gt;=8),"CAN'T LOSE THEM",AND(F1301&lt;=2,G1301&lt;=2,H1301&lt;=2),"HIBERNATING",TRUE(),"Other")</f>
        <v>Other</v>
      </c>
      <c r="K1301" s="1" t="n">
        <f aca="false">RANK(E1301,$E$7:$E$4378)+COUNTIF($E$7:E1301,E1301)-1</f>
        <v>3741</v>
      </c>
    </row>
    <row r="1302" customFormat="false" ht="14.25" hidden="false" customHeight="true" outlineLevel="0" collapsed="false">
      <c r="A1302" s="51" t="n">
        <v>14088</v>
      </c>
      <c r="B1302" s="53" t="n">
        <v>40876.6777777778</v>
      </c>
      <c r="C1302" s="57" t="n">
        <f aca="false">INT($C$2)-INT(Table3[[#This Row],[Last Purchase Date]])</f>
        <v>11</v>
      </c>
      <c r="D1302" s="1" t="n">
        <v>14</v>
      </c>
      <c r="E1302" s="1" t="n">
        <v>50415.49</v>
      </c>
      <c r="F1302" s="1" t="n">
        <f aca="false">ROUND((1-_xlfn.PERCENTRANK.INC($C$7:$C$4378,C1302))*9,0)</f>
        <v>7</v>
      </c>
      <c r="G1302" s="1" t="n">
        <f aca="false">ROUND(_xlfn.PERCENTRANK.INC($D$7:$D$4378,D1302)*9,0)</f>
        <v>8</v>
      </c>
      <c r="H1302" s="1" t="n">
        <f aca="false">ROUND(_xlfn.PERCENTRANK.INC($E$7:$E$4378,E1302)*9,0)</f>
        <v>9</v>
      </c>
      <c r="I1302" s="1" t="str">
        <f aca="false">CONCATENATE(F1302,G1302,H1302)</f>
        <v>789</v>
      </c>
      <c r="J1302" s="1" t="str">
        <f aca="false">_xlfn.IFS(AND(F1302&gt;=8,G1302&gt;=8,H1302&gt;=8),"CHAMPION",AND(F1302&gt;=6,G1302&gt;=7,H1302&gt;=6),"LOYAL CUSTOMER",AND(F1302&gt;=6,G1302&gt;=5,H1302&gt;=5),"POTENTIAL LOYALIST",AND(F1302&gt;=8,G1302&lt;=2,H1302&gt;=5),"NEW CUSTOMERS",AND(F1302&gt;=6,G1302&lt;=2,H1302&gt;=3),"PROMISING",AND(F1302&gt;=3,G1302&gt;=3,H1302&gt;=3),"NEED ATTENTION",AND(F1302&lt;=4,G1302&gt;=6,H1302&gt;=6),"AT RISK",AND(F1302&lt;=2,G1302&gt;=8,H1302&gt;=8),"CAN'T LOSE THEM",AND(F1302&lt;=2,G1302&lt;=2,H1302&lt;=2),"HIBERNATING",TRUE(),"Other")</f>
        <v>LOYAL CUSTOMER</v>
      </c>
      <c r="K1302" s="1" t="n">
        <f aca="false">RANK(E1302,$E$7:$E$4378)+COUNTIF($E$7:E1302,E1302)-1</f>
        <v>18</v>
      </c>
    </row>
    <row r="1303" customFormat="false" ht="14.25" hidden="false" customHeight="true" outlineLevel="0" collapsed="false">
      <c r="A1303" s="51" t="n">
        <v>14089</v>
      </c>
      <c r="B1303" s="53" t="n">
        <v>40830.4430555556</v>
      </c>
      <c r="C1303" s="57" t="n">
        <f aca="false">INT($C$2)-INT(Table3[[#This Row],[Last Purchase Date]])</f>
        <v>57</v>
      </c>
      <c r="D1303" s="1" t="n">
        <v>1</v>
      </c>
      <c r="E1303" s="1" t="n">
        <v>161</v>
      </c>
      <c r="F1303" s="1" t="n">
        <f aca="false">ROUND((1-_xlfn.PERCENTRANK.INC($C$7:$C$4378,C1303))*9,0)</f>
        <v>4</v>
      </c>
      <c r="G1303" s="1" t="n">
        <f aca="false">ROUND(_xlfn.PERCENTRANK.INC($D$7:$D$4378,D1303)*9,0)</f>
        <v>0</v>
      </c>
      <c r="H1303" s="1" t="n">
        <f aca="false">ROUND(_xlfn.PERCENTRANK.INC($E$7:$E$4378,E1303)*9,0)</f>
        <v>1</v>
      </c>
      <c r="I1303" s="1" t="str">
        <f aca="false">CONCATENATE(F1303,G1303,H1303)</f>
        <v>401</v>
      </c>
      <c r="J1303" s="1" t="str">
        <f aca="false">_xlfn.IFS(AND(F1303&gt;=8,G1303&gt;=8,H1303&gt;=8),"CHAMPION",AND(F1303&gt;=6,G1303&gt;=7,H1303&gt;=6),"LOYAL CUSTOMER",AND(F1303&gt;=6,G1303&gt;=5,H1303&gt;=5),"POTENTIAL LOYALIST",AND(F1303&gt;=8,G1303&lt;=2,H1303&gt;=5),"NEW CUSTOMERS",AND(F1303&gt;=6,G1303&lt;=2,H1303&gt;=3),"PROMISING",AND(F1303&gt;=3,G1303&gt;=3,H1303&gt;=3),"NEED ATTENTION",AND(F1303&lt;=4,G1303&gt;=6,H1303&gt;=6),"AT RISK",AND(F1303&lt;=2,G1303&gt;=8,H1303&gt;=8),"CAN'T LOSE THEM",AND(F1303&lt;=2,G1303&lt;=2,H1303&lt;=2),"HIBERNATING",TRUE(),"Other")</f>
        <v>Other</v>
      </c>
      <c r="K1303" s="1" t="n">
        <f aca="false">RANK(E1303,$E$7:$E$4378)+COUNTIF($E$7:E1303,E1303)-1</f>
        <v>3853</v>
      </c>
    </row>
    <row r="1304" customFormat="false" ht="14.25" hidden="false" customHeight="true" outlineLevel="0" collapsed="false">
      <c r="A1304" s="51" t="n">
        <v>14090</v>
      </c>
      <c r="B1304" s="53" t="n">
        <v>40562.4520833333</v>
      </c>
      <c r="C1304" s="57" t="n">
        <f aca="false">INT($C$2)-INT(Table3[[#This Row],[Last Purchase Date]])</f>
        <v>325</v>
      </c>
      <c r="D1304" s="1" t="n">
        <v>1</v>
      </c>
      <c r="E1304" s="1" t="n">
        <v>76.32</v>
      </c>
      <c r="F1304" s="1" t="n">
        <f aca="false">ROUND((1-_xlfn.PERCENTRANK.INC($C$7:$C$4378,C1304))*9,0)</f>
        <v>0</v>
      </c>
      <c r="G1304" s="1" t="n">
        <f aca="false">ROUND(_xlfn.PERCENTRANK.INC($D$7:$D$4378,D1304)*9,0)</f>
        <v>0</v>
      </c>
      <c r="H1304" s="1" t="n">
        <f aca="false">ROUND(_xlfn.PERCENTRANK.INC($E$7:$E$4378,E1304)*9,0)</f>
        <v>0</v>
      </c>
      <c r="I1304" s="1" t="str">
        <f aca="false">CONCATENATE(F1304,G1304,H1304)</f>
        <v>000</v>
      </c>
      <c r="J1304" s="1" t="str">
        <f aca="false">_xlfn.IFS(AND(F1304&gt;=8,G1304&gt;=8,H1304&gt;=8),"CHAMPION",AND(F1304&gt;=6,G1304&gt;=7,H1304&gt;=6),"LOYAL CUSTOMER",AND(F1304&gt;=6,G1304&gt;=5,H1304&gt;=5),"POTENTIAL LOYALIST",AND(F1304&gt;=8,G1304&lt;=2,H1304&gt;=5),"NEW CUSTOMERS",AND(F1304&gt;=6,G1304&lt;=2,H1304&gt;=3),"PROMISING",AND(F1304&gt;=3,G1304&gt;=3,H1304&gt;=3),"NEED ATTENTION",AND(F1304&lt;=4,G1304&gt;=6,H1304&gt;=6),"AT RISK",AND(F1304&lt;=2,G1304&gt;=8,H1304&gt;=8),"CAN'T LOSE THEM",AND(F1304&lt;=2,G1304&lt;=2,H1304&lt;=2),"HIBERNATING",TRUE(),"Other")</f>
        <v>HIBERNATING</v>
      </c>
      <c r="K1304" s="1" t="n">
        <f aca="false">RANK(E1304,$E$7:$E$4378)+COUNTIF($E$7:E1304,E1304)-1</f>
        <v>4228</v>
      </c>
    </row>
    <row r="1305" customFormat="false" ht="14.25" hidden="false" customHeight="true" outlineLevel="0" collapsed="false">
      <c r="A1305" s="51" t="n">
        <v>14092</v>
      </c>
      <c r="B1305" s="53" t="n">
        <v>40879.5090277778</v>
      </c>
      <c r="C1305" s="57" t="n">
        <f aca="false">INT($C$2)-INT(Table3[[#This Row],[Last Purchase Date]])</f>
        <v>8</v>
      </c>
      <c r="D1305" s="1" t="n">
        <v>17</v>
      </c>
      <c r="E1305" s="1" t="n">
        <v>4063.1</v>
      </c>
      <c r="F1305" s="1" t="n">
        <f aca="false">ROUND((1-_xlfn.PERCENTRANK.INC($C$7:$C$4378,C1305))*9,0)</f>
        <v>8</v>
      </c>
      <c r="G1305" s="1" t="n">
        <f aca="false">ROUND(_xlfn.PERCENTRANK.INC($D$7:$D$4378,D1305)*9,0)</f>
        <v>9</v>
      </c>
      <c r="H1305" s="1" t="n">
        <f aca="false">ROUND(_xlfn.PERCENTRANK.INC($E$7:$E$4378,E1305)*9,0)</f>
        <v>8</v>
      </c>
      <c r="I1305" s="1" t="str">
        <f aca="false">CONCATENATE(F1305,G1305,H1305)</f>
        <v>898</v>
      </c>
      <c r="J1305" s="1" t="str">
        <f aca="false">_xlfn.IFS(AND(F1305&gt;=8,G1305&gt;=8,H1305&gt;=8),"CHAMPION",AND(F1305&gt;=6,G1305&gt;=7,H1305&gt;=6),"LOYAL CUSTOMER",AND(F1305&gt;=6,G1305&gt;=5,H1305&gt;=5),"POTENTIAL LOYALIST",AND(F1305&gt;=8,G1305&lt;=2,H1305&gt;=5),"NEW CUSTOMERS",AND(F1305&gt;=6,G1305&lt;=2,H1305&gt;=3),"PROMISING",AND(F1305&gt;=3,G1305&gt;=3,H1305&gt;=3),"NEED ATTENTION",AND(F1305&lt;=4,G1305&gt;=6,H1305&gt;=6),"AT RISK",AND(F1305&lt;=2,G1305&gt;=8,H1305&gt;=8),"CAN'T LOSE THEM",AND(F1305&lt;=2,G1305&lt;=2,H1305&lt;=2),"HIBERNATING",TRUE(),"Other")</f>
        <v>CHAMPION</v>
      </c>
      <c r="K1305" s="1" t="n">
        <f aca="false">RANK(E1305,$E$7:$E$4378)+COUNTIF($E$7:E1305,E1305)-1</f>
        <v>345</v>
      </c>
    </row>
    <row r="1306" customFormat="false" ht="14.25" hidden="false" customHeight="true" outlineLevel="0" collapsed="false">
      <c r="A1306" s="51" t="n">
        <v>14093</v>
      </c>
      <c r="B1306" s="53" t="n">
        <v>40874.6854166667</v>
      </c>
      <c r="C1306" s="57" t="n">
        <f aca="false">INT($C$2)-INT(Table3[[#This Row],[Last Purchase Date]])</f>
        <v>13</v>
      </c>
      <c r="D1306" s="1" t="n">
        <v>1</v>
      </c>
      <c r="E1306" s="1" t="n">
        <v>442.85</v>
      </c>
      <c r="F1306" s="1" t="n">
        <f aca="false">ROUND((1-_xlfn.PERCENTRANK.INC($C$7:$C$4378,C1306))*9,0)</f>
        <v>7</v>
      </c>
      <c r="G1306" s="1" t="n">
        <f aca="false">ROUND(_xlfn.PERCENTRANK.INC($D$7:$D$4378,D1306)*9,0)</f>
        <v>0</v>
      </c>
      <c r="H1306" s="1" t="n">
        <f aca="false">ROUND(_xlfn.PERCENTRANK.INC($E$7:$E$4378,E1306)*9,0)</f>
        <v>3</v>
      </c>
      <c r="I1306" s="1" t="str">
        <f aca="false">CONCATENATE(F1306,G1306,H1306)</f>
        <v>703</v>
      </c>
      <c r="J1306" s="1" t="str">
        <f aca="false">_xlfn.IFS(AND(F1306&gt;=8,G1306&gt;=8,H1306&gt;=8),"CHAMPION",AND(F1306&gt;=6,G1306&gt;=7,H1306&gt;=6),"LOYAL CUSTOMER",AND(F1306&gt;=6,G1306&gt;=5,H1306&gt;=5),"POTENTIAL LOYALIST",AND(F1306&gt;=8,G1306&lt;=2,H1306&gt;=5),"NEW CUSTOMERS",AND(F1306&gt;=6,G1306&lt;=2,H1306&gt;=3),"PROMISING",AND(F1306&gt;=3,G1306&gt;=3,H1306&gt;=3),"NEED ATTENTION",AND(F1306&lt;=4,G1306&gt;=6,H1306&gt;=6),"AT RISK",AND(F1306&lt;=2,G1306&gt;=8,H1306&gt;=8),"CAN'T LOSE THEM",AND(F1306&lt;=2,G1306&lt;=2,H1306&lt;=2),"HIBERNATING",TRUE(),"Other")</f>
        <v>PROMISING</v>
      </c>
      <c r="K1306" s="1" t="n">
        <f aca="false">RANK(E1306,$E$7:$E$4378)+COUNTIF($E$7:E1306,E1306)-1</f>
        <v>2689</v>
      </c>
    </row>
    <row r="1307" customFormat="false" ht="14.25" hidden="false" customHeight="true" outlineLevel="0" collapsed="false">
      <c r="A1307" s="51" t="n">
        <v>14096</v>
      </c>
      <c r="B1307" s="53" t="n">
        <v>40882.7201388889</v>
      </c>
      <c r="C1307" s="57" t="n">
        <f aca="false">INT($C$2)-INT(Table3[[#This Row],[Last Purchase Date]])</f>
        <v>5</v>
      </c>
      <c r="D1307" s="1" t="n">
        <v>34</v>
      </c>
      <c r="E1307" s="1" t="n">
        <v>57120.9100000001</v>
      </c>
      <c r="F1307" s="1" t="n">
        <f aca="false">ROUND((1-_xlfn.PERCENTRANK.INC($C$7:$C$4378,C1307))*9,0)</f>
        <v>8</v>
      </c>
      <c r="G1307" s="1" t="n">
        <f aca="false">ROUND(_xlfn.PERCENTRANK.INC($D$7:$D$4378,D1307)*9,0)</f>
        <v>9</v>
      </c>
      <c r="H1307" s="1" t="n">
        <f aca="false">ROUND(_xlfn.PERCENTRANK.INC($E$7:$E$4378,E1307)*9,0)</f>
        <v>9</v>
      </c>
      <c r="I1307" s="1" t="str">
        <f aca="false">CONCATENATE(F1307,G1307,H1307)</f>
        <v>899</v>
      </c>
      <c r="J1307" s="1" t="str">
        <f aca="false">_xlfn.IFS(AND(F1307&gt;=8,G1307&gt;=8,H1307&gt;=8),"CHAMPION",AND(F1307&gt;=6,G1307&gt;=7,H1307&gt;=6),"LOYAL CUSTOMER",AND(F1307&gt;=6,G1307&gt;=5,H1307&gt;=5),"POTENTIAL LOYALIST",AND(F1307&gt;=8,G1307&lt;=2,H1307&gt;=5),"NEW CUSTOMERS",AND(F1307&gt;=6,G1307&lt;=2,H1307&gt;=3),"PROMISING",AND(F1307&gt;=3,G1307&gt;=3,H1307&gt;=3),"NEED ATTENTION",AND(F1307&lt;=4,G1307&gt;=6,H1307&gt;=6),"AT RISK",AND(F1307&lt;=2,G1307&gt;=8,H1307&gt;=8),"CAN'T LOSE THEM",AND(F1307&lt;=2,G1307&lt;=2,H1307&lt;=2),"HIBERNATING",TRUE(),"Other")</f>
        <v>CHAMPION</v>
      </c>
      <c r="K1307" s="1" t="n">
        <f aca="false">RANK(E1307,$E$7:$E$4378)+COUNTIF($E$7:E1307,E1307)-1</f>
        <v>12</v>
      </c>
    </row>
    <row r="1308" customFormat="false" ht="14.25" hidden="false" customHeight="true" outlineLevel="0" collapsed="false">
      <c r="A1308" s="51" t="n">
        <v>14098</v>
      </c>
      <c r="B1308" s="53" t="n">
        <v>40850.4256944444</v>
      </c>
      <c r="C1308" s="57" t="n">
        <f aca="false">INT($C$2)-INT(Table3[[#This Row],[Last Purchase Date]])</f>
        <v>37</v>
      </c>
      <c r="D1308" s="1" t="n">
        <v>1</v>
      </c>
      <c r="E1308" s="1" t="n">
        <v>147.35</v>
      </c>
      <c r="F1308" s="1" t="n">
        <f aca="false">ROUND((1-_xlfn.PERCENTRANK.INC($C$7:$C$4378,C1308))*9,0)</f>
        <v>5</v>
      </c>
      <c r="G1308" s="1" t="n">
        <f aca="false">ROUND(_xlfn.PERCENTRANK.INC($D$7:$D$4378,D1308)*9,0)</f>
        <v>0</v>
      </c>
      <c r="H1308" s="1" t="n">
        <f aca="false">ROUND(_xlfn.PERCENTRANK.INC($E$7:$E$4378,E1308)*9,0)</f>
        <v>1</v>
      </c>
      <c r="I1308" s="1" t="str">
        <f aca="false">CONCATENATE(F1308,G1308,H1308)</f>
        <v>501</v>
      </c>
      <c r="J1308" s="1" t="str">
        <f aca="false">_xlfn.IFS(AND(F1308&gt;=8,G1308&gt;=8,H1308&gt;=8),"CHAMPION",AND(F1308&gt;=6,G1308&gt;=7,H1308&gt;=6),"LOYAL CUSTOMER",AND(F1308&gt;=6,G1308&gt;=5,H1308&gt;=5),"POTENTIAL LOYALIST",AND(F1308&gt;=8,G1308&lt;=2,H1308&gt;=5),"NEW CUSTOMERS",AND(F1308&gt;=6,G1308&lt;=2,H1308&gt;=3),"PROMISING",AND(F1308&gt;=3,G1308&gt;=3,H1308&gt;=3),"NEED ATTENTION",AND(F1308&lt;=4,G1308&gt;=6,H1308&gt;=6),"AT RISK",AND(F1308&lt;=2,G1308&gt;=8,H1308&gt;=8),"CAN'T LOSE THEM",AND(F1308&lt;=2,G1308&lt;=2,H1308&lt;=2),"HIBERNATING",TRUE(),"Other")</f>
        <v>Other</v>
      </c>
      <c r="K1308" s="1" t="n">
        <f aca="false">RANK(E1308,$E$7:$E$4378)+COUNTIF($E$7:E1308,E1308)-1</f>
        <v>3929</v>
      </c>
    </row>
    <row r="1309" customFormat="false" ht="14.25" hidden="false" customHeight="true" outlineLevel="0" collapsed="false">
      <c r="A1309" s="51" t="n">
        <v>14099</v>
      </c>
      <c r="B1309" s="53" t="n">
        <v>40870.5784722222</v>
      </c>
      <c r="C1309" s="57" t="n">
        <f aca="false">INT($C$2)-INT(Table3[[#This Row],[Last Purchase Date]])</f>
        <v>17</v>
      </c>
      <c r="D1309" s="1" t="n">
        <v>12</v>
      </c>
      <c r="E1309" s="1" t="n">
        <v>3092.97</v>
      </c>
      <c r="F1309" s="1" t="n">
        <f aca="false">ROUND((1-_xlfn.PERCENTRANK.INC($C$7:$C$4378,C1309))*9,0)</f>
        <v>7</v>
      </c>
      <c r="G1309" s="1" t="n">
        <f aca="false">ROUND(_xlfn.PERCENTRANK.INC($D$7:$D$4378,D1309)*9,0)</f>
        <v>8</v>
      </c>
      <c r="H1309" s="1" t="n">
        <f aca="false">ROUND(_xlfn.PERCENTRANK.INC($E$7:$E$4378,E1309)*9,0)</f>
        <v>8</v>
      </c>
      <c r="I1309" s="1" t="str">
        <f aca="false">CONCATENATE(F1309,G1309,H1309)</f>
        <v>788</v>
      </c>
      <c r="J1309" s="1" t="str">
        <f aca="false">_xlfn.IFS(AND(F1309&gt;=8,G1309&gt;=8,H1309&gt;=8),"CHAMPION",AND(F1309&gt;=6,G1309&gt;=7,H1309&gt;=6),"LOYAL CUSTOMER",AND(F1309&gt;=6,G1309&gt;=5,H1309&gt;=5),"POTENTIAL LOYALIST",AND(F1309&gt;=8,G1309&lt;=2,H1309&gt;=5),"NEW CUSTOMERS",AND(F1309&gt;=6,G1309&lt;=2,H1309&gt;=3),"PROMISING",AND(F1309&gt;=3,G1309&gt;=3,H1309&gt;=3),"NEED ATTENTION",AND(F1309&lt;=4,G1309&gt;=6,H1309&gt;=6),"AT RISK",AND(F1309&lt;=2,G1309&gt;=8,H1309&gt;=8),"CAN'T LOSE THEM",AND(F1309&lt;=2,G1309&lt;=2,H1309&lt;=2),"HIBERNATING",TRUE(),"Other")</f>
        <v>LOYAL CUSTOMER</v>
      </c>
      <c r="K1309" s="1" t="n">
        <f aca="false">RANK(E1309,$E$7:$E$4378)+COUNTIF($E$7:E1309,E1309)-1</f>
        <v>516</v>
      </c>
    </row>
    <row r="1310" customFormat="false" ht="14.25" hidden="false" customHeight="true" outlineLevel="0" collapsed="false">
      <c r="A1310" s="51" t="n">
        <v>14100</v>
      </c>
      <c r="B1310" s="53" t="n">
        <v>40749.4590277778</v>
      </c>
      <c r="C1310" s="57" t="n">
        <f aca="false">INT($C$2)-INT(Table3[[#This Row],[Last Purchase Date]])</f>
        <v>138</v>
      </c>
      <c r="D1310" s="1" t="n">
        <v>1</v>
      </c>
      <c r="E1310" s="1" t="n">
        <v>194.9</v>
      </c>
      <c r="F1310" s="1" t="n">
        <f aca="false">ROUND((1-_xlfn.PERCENTRANK.INC($C$7:$C$4378,C1310))*9,0)</f>
        <v>2</v>
      </c>
      <c r="G1310" s="1" t="n">
        <f aca="false">ROUND(_xlfn.PERCENTRANK.INC($D$7:$D$4378,D1310)*9,0)</f>
        <v>0</v>
      </c>
      <c r="H1310" s="1" t="n">
        <f aca="false">ROUND(_xlfn.PERCENTRANK.INC($E$7:$E$4378,E1310)*9,0)</f>
        <v>1</v>
      </c>
      <c r="I1310" s="1" t="str">
        <f aca="false">CONCATENATE(F1310,G1310,H1310)</f>
        <v>201</v>
      </c>
      <c r="J1310" s="1" t="str">
        <f aca="false">_xlfn.IFS(AND(F1310&gt;=8,G1310&gt;=8,H1310&gt;=8),"CHAMPION",AND(F1310&gt;=6,G1310&gt;=7,H1310&gt;=6),"LOYAL CUSTOMER",AND(F1310&gt;=6,G1310&gt;=5,H1310&gt;=5),"POTENTIAL LOYALIST",AND(F1310&gt;=8,G1310&lt;=2,H1310&gt;=5),"NEW CUSTOMERS",AND(F1310&gt;=6,G1310&lt;=2,H1310&gt;=3),"PROMISING",AND(F1310&gt;=3,G1310&gt;=3,H1310&gt;=3),"NEED ATTENTION",AND(F1310&lt;=4,G1310&gt;=6,H1310&gt;=6),"AT RISK",AND(F1310&lt;=2,G1310&gt;=8,H1310&gt;=8),"CAN'T LOSE THEM",AND(F1310&lt;=2,G1310&lt;=2,H1310&lt;=2),"HIBERNATING",TRUE(),"Other")</f>
        <v>HIBERNATING</v>
      </c>
      <c r="K1310" s="1" t="n">
        <f aca="false">RANK(E1310,$E$7:$E$4378)+COUNTIF($E$7:E1310,E1310)-1</f>
        <v>3685</v>
      </c>
    </row>
    <row r="1311" customFormat="false" ht="14.25" hidden="false" customHeight="true" outlineLevel="0" collapsed="false">
      <c r="A1311" s="51" t="n">
        <v>14101</v>
      </c>
      <c r="B1311" s="53" t="n">
        <v>40813.5194444444</v>
      </c>
      <c r="C1311" s="57" t="n">
        <f aca="false">INT($C$2)-INT(Table3[[#This Row],[Last Purchase Date]])</f>
        <v>74</v>
      </c>
      <c r="D1311" s="1" t="n">
        <v>6</v>
      </c>
      <c r="E1311" s="1" t="n">
        <v>5976.79</v>
      </c>
      <c r="F1311" s="1" t="n">
        <f aca="false">ROUND((1-_xlfn.PERCENTRANK.INC($C$7:$C$4378,C1311))*9,0)</f>
        <v>3</v>
      </c>
      <c r="G1311" s="1" t="n">
        <f aca="false">ROUND(_xlfn.PERCENTRANK.INC($D$7:$D$4378,D1311)*9,0)</f>
        <v>7</v>
      </c>
      <c r="H1311" s="1" t="n">
        <f aca="false">ROUND(_xlfn.PERCENTRANK.INC($E$7:$E$4378,E1311)*9,0)</f>
        <v>9</v>
      </c>
      <c r="I1311" s="1" t="str">
        <f aca="false">CONCATENATE(F1311,G1311,H1311)</f>
        <v>379</v>
      </c>
      <c r="J1311" s="1" t="str">
        <f aca="false">_xlfn.IFS(AND(F1311&gt;=8,G1311&gt;=8,H1311&gt;=8),"CHAMPION",AND(F1311&gt;=6,G1311&gt;=7,H1311&gt;=6),"LOYAL CUSTOMER",AND(F1311&gt;=6,G1311&gt;=5,H1311&gt;=5),"POTENTIAL LOYALIST",AND(F1311&gt;=8,G1311&lt;=2,H1311&gt;=5),"NEW CUSTOMERS",AND(F1311&gt;=6,G1311&lt;=2,H1311&gt;=3),"PROMISING",AND(F1311&gt;=3,G1311&gt;=3,H1311&gt;=3),"NEED ATTENTION",AND(F1311&lt;=4,G1311&gt;=6,H1311&gt;=6),"AT RISK",AND(F1311&lt;=2,G1311&gt;=8,H1311&gt;=8),"CAN'T LOSE THEM",AND(F1311&lt;=2,G1311&lt;=2,H1311&lt;=2),"HIBERNATING",TRUE(),"Other")</f>
        <v>NEED ATTENTION</v>
      </c>
      <c r="K1311" s="1" t="n">
        <f aca="false">RANK(E1311,$E$7:$E$4378)+COUNTIF($E$7:E1311,E1311)-1</f>
        <v>200</v>
      </c>
    </row>
    <row r="1312" customFormat="false" ht="14.25" hidden="false" customHeight="true" outlineLevel="0" collapsed="false">
      <c r="A1312" s="51" t="n">
        <v>14102</v>
      </c>
      <c r="B1312" s="53" t="n">
        <v>40881.6513888889</v>
      </c>
      <c r="C1312" s="57" t="n">
        <f aca="false">INT($C$2)-INT(Table3[[#This Row],[Last Purchase Date]])</f>
        <v>6</v>
      </c>
      <c r="D1312" s="1" t="n">
        <v>8</v>
      </c>
      <c r="E1312" s="1" t="n">
        <v>1314.73</v>
      </c>
      <c r="F1312" s="1" t="n">
        <f aca="false">ROUND((1-_xlfn.PERCENTRANK.INC($C$7:$C$4378,C1312))*9,0)</f>
        <v>8</v>
      </c>
      <c r="G1312" s="1" t="n">
        <f aca="false">ROUND(_xlfn.PERCENTRANK.INC($D$7:$D$4378,D1312)*9,0)</f>
        <v>7</v>
      </c>
      <c r="H1312" s="1" t="n">
        <f aca="false">ROUND(_xlfn.PERCENTRANK.INC($E$7:$E$4378,E1312)*9,0)</f>
        <v>6</v>
      </c>
      <c r="I1312" s="1" t="str">
        <f aca="false">CONCATENATE(F1312,G1312,H1312)</f>
        <v>876</v>
      </c>
      <c r="J1312" s="1" t="str">
        <f aca="false">_xlfn.IFS(AND(F1312&gt;=8,G1312&gt;=8,H1312&gt;=8),"CHAMPION",AND(F1312&gt;=6,G1312&gt;=7,H1312&gt;=6),"LOYAL CUSTOMER",AND(F1312&gt;=6,G1312&gt;=5,H1312&gt;=5),"POTENTIAL LOYALIST",AND(F1312&gt;=8,G1312&lt;=2,H1312&gt;=5),"NEW CUSTOMERS",AND(F1312&gt;=6,G1312&lt;=2,H1312&gt;=3),"PROMISING",AND(F1312&gt;=3,G1312&gt;=3,H1312&gt;=3),"NEED ATTENTION",AND(F1312&lt;=4,G1312&gt;=6,H1312&gt;=6),"AT RISK",AND(F1312&lt;=2,G1312&gt;=8,H1312&gt;=8),"CAN'T LOSE THEM",AND(F1312&lt;=2,G1312&lt;=2,H1312&lt;=2),"HIBERNATING",TRUE(),"Other")</f>
        <v>LOYAL CUSTOMER</v>
      </c>
      <c r="K1312" s="1" t="n">
        <f aca="false">RANK(E1312,$E$7:$E$4378)+COUNTIF($E$7:E1312,E1312)-1</f>
        <v>1305</v>
      </c>
    </row>
    <row r="1313" customFormat="false" ht="14.25" hidden="false" customHeight="true" outlineLevel="0" collapsed="false">
      <c r="A1313" s="51" t="n">
        <v>14104</v>
      </c>
      <c r="B1313" s="53" t="n">
        <v>40732.5347222222</v>
      </c>
      <c r="C1313" s="57" t="n">
        <f aca="false">INT($C$2)-INT(Table3[[#This Row],[Last Purchase Date]])</f>
        <v>155</v>
      </c>
      <c r="D1313" s="1" t="n">
        <v>2</v>
      </c>
      <c r="E1313" s="1" t="n">
        <v>216.21</v>
      </c>
      <c r="F1313" s="1" t="n">
        <f aca="false">ROUND((1-_xlfn.PERCENTRANK.INC($C$7:$C$4378,C1313))*9,0)</f>
        <v>2</v>
      </c>
      <c r="G1313" s="1" t="n">
        <f aca="false">ROUND(_xlfn.PERCENTRANK.INC($D$7:$D$4378,D1313)*9,0)</f>
        <v>3</v>
      </c>
      <c r="H1313" s="1" t="n">
        <f aca="false">ROUND(_xlfn.PERCENTRANK.INC($E$7:$E$4378,E1313)*9,0)</f>
        <v>2</v>
      </c>
      <c r="I1313" s="1" t="str">
        <f aca="false">CONCATENATE(F1313,G1313,H1313)</f>
        <v>232</v>
      </c>
      <c r="J1313" s="1" t="str">
        <f aca="false">_xlfn.IFS(AND(F1313&gt;=8,G1313&gt;=8,H1313&gt;=8),"CHAMPION",AND(F1313&gt;=6,G1313&gt;=7,H1313&gt;=6),"LOYAL CUSTOMER",AND(F1313&gt;=6,G1313&gt;=5,H1313&gt;=5),"POTENTIAL LOYALIST",AND(F1313&gt;=8,G1313&lt;=2,H1313&gt;=5),"NEW CUSTOMERS",AND(F1313&gt;=6,G1313&lt;=2,H1313&gt;=3),"PROMISING",AND(F1313&gt;=3,G1313&gt;=3,H1313&gt;=3),"NEED ATTENTION",AND(F1313&lt;=4,G1313&gt;=6,H1313&gt;=6),"AT RISK",AND(F1313&lt;=2,G1313&gt;=8,H1313&gt;=8),"CAN'T LOSE THEM",AND(F1313&lt;=2,G1313&lt;=2,H1313&lt;=2),"HIBERNATING",TRUE(),"Other")</f>
        <v>Other</v>
      </c>
      <c r="K1313" s="1" t="n">
        <f aca="false">RANK(E1313,$E$7:$E$4378)+COUNTIF($E$7:E1313,E1313)-1</f>
        <v>3579</v>
      </c>
    </row>
    <row r="1314" customFormat="false" ht="14.25" hidden="false" customHeight="true" outlineLevel="0" collapsed="false">
      <c r="A1314" s="51" t="n">
        <v>14105</v>
      </c>
      <c r="B1314" s="53" t="n">
        <v>40801.6756944444</v>
      </c>
      <c r="C1314" s="57" t="n">
        <f aca="false">INT($C$2)-INT(Table3[[#This Row],[Last Purchase Date]])</f>
        <v>86</v>
      </c>
      <c r="D1314" s="1" t="n">
        <v>2</v>
      </c>
      <c r="E1314" s="1" t="n">
        <v>1260.33</v>
      </c>
      <c r="F1314" s="1" t="n">
        <f aca="false">ROUND((1-_xlfn.PERCENTRANK.INC($C$7:$C$4378,C1314))*9,0)</f>
        <v>3</v>
      </c>
      <c r="G1314" s="1" t="n">
        <f aca="false">ROUND(_xlfn.PERCENTRANK.INC($D$7:$D$4378,D1314)*9,0)</f>
        <v>3</v>
      </c>
      <c r="H1314" s="1" t="n">
        <f aca="false">ROUND(_xlfn.PERCENTRANK.INC($E$7:$E$4378,E1314)*9,0)</f>
        <v>6</v>
      </c>
      <c r="I1314" s="1" t="str">
        <f aca="false">CONCATENATE(F1314,G1314,H1314)</f>
        <v>336</v>
      </c>
      <c r="J1314" s="1" t="str">
        <f aca="false">_xlfn.IFS(AND(F1314&gt;=8,G1314&gt;=8,H1314&gt;=8),"CHAMPION",AND(F1314&gt;=6,G1314&gt;=7,H1314&gt;=6),"LOYAL CUSTOMER",AND(F1314&gt;=6,G1314&gt;=5,H1314&gt;=5),"POTENTIAL LOYALIST",AND(F1314&gt;=8,G1314&lt;=2,H1314&gt;=5),"NEW CUSTOMERS",AND(F1314&gt;=6,G1314&lt;=2,H1314&gt;=3),"PROMISING",AND(F1314&gt;=3,G1314&gt;=3,H1314&gt;=3),"NEED ATTENTION",AND(F1314&lt;=4,G1314&gt;=6,H1314&gt;=6),"AT RISK",AND(F1314&lt;=2,G1314&gt;=8,H1314&gt;=8),"CAN'T LOSE THEM",AND(F1314&lt;=2,G1314&lt;=2,H1314&lt;=2),"HIBERNATING",TRUE(),"Other")</f>
        <v>NEED ATTENTION</v>
      </c>
      <c r="K1314" s="1" t="n">
        <f aca="false">RANK(E1314,$E$7:$E$4378)+COUNTIF($E$7:E1314,E1314)-1</f>
        <v>1363</v>
      </c>
    </row>
    <row r="1315" customFormat="false" ht="14.25" hidden="false" customHeight="true" outlineLevel="0" collapsed="false">
      <c r="A1315" s="51" t="n">
        <v>14107</v>
      </c>
      <c r="B1315" s="53" t="n">
        <v>40835.5083333333</v>
      </c>
      <c r="C1315" s="57" t="n">
        <f aca="false">INT($C$2)-INT(Table3[[#This Row],[Last Purchase Date]])</f>
        <v>52</v>
      </c>
      <c r="D1315" s="1" t="n">
        <v>8</v>
      </c>
      <c r="E1315" s="1" t="n">
        <v>2688.48</v>
      </c>
      <c r="F1315" s="1" t="n">
        <f aca="false">ROUND((1-_xlfn.PERCENTRANK.INC($C$7:$C$4378,C1315))*9,0)</f>
        <v>4</v>
      </c>
      <c r="G1315" s="1" t="n">
        <f aca="false">ROUND(_xlfn.PERCENTRANK.INC($D$7:$D$4378,D1315)*9,0)</f>
        <v>7</v>
      </c>
      <c r="H1315" s="1" t="n">
        <f aca="false">ROUND(_xlfn.PERCENTRANK.INC($E$7:$E$4378,E1315)*9,0)</f>
        <v>8</v>
      </c>
      <c r="I1315" s="1" t="str">
        <f aca="false">CONCATENATE(F1315,G1315,H1315)</f>
        <v>478</v>
      </c>
      <c r="J1315" s="1" t="str">
        <f aca="false">_xlfn.IFS(AND(F1315&gt;=8,G1315&gt;=8,H1315&gt;=8),"CHAMPION",AND(F1315&gt;=6,G1315&gt;=7,H1315&gt;=6),"LOYAL CUSTOMER",AND(F1315&gt;=6,G1315&gt;=5,H1315&gt;=5),"POTENTIAL LOYALIST",AND(F1315&gt;=8,G1315&lt;=2,H1315&gt;=5),"NEW CUSTOMERS",AND(F1315&gt;=6,G1315&lt;=2,H1315&gt;=3),"PROMISING",AND(F1315&gt;=3,G1315&gt;=3,H1315&gt;=3),"NEED ATTENTION",AND(F1315&lt;=4,G1315&gt;=6,H1315&gt;=6),"AT RISK",AND(F1315&lt;=2,G1315&gt;=8,H1315&gt;=8),"CAN'T LOSE THEM",AND(F1315&lt;=2,G1315&lt;=2,H1315&lt;=2),"HIBERNATING",TRUE(),"Other")</f>
        <v>NEED ATTENTION</v>
      </c>
      <c r="K1315" s="1" t="n">
        <f aca="false">RANK(E1315,$E$7:$E$4378)+COUNTIF($E$7:E1315,E1315)-1</f>
        <v>617</v>
      </c>
    </row>
    <row r="1316" customFormat="false" ht="14.25" hidden="false" customHeight="true" outlineLevel="0" collapsed="false">
      <c r="A1316" s="51" t="n">
        <v>14108</v>
      </c>
      <c r="B1316" s="53" t="n">
        <v>40856.4451388889</v>
      </c>
      <c r="C1316" s="57" t="n">
        <f aca="false">INT($C$2)-INT(Table3[[#This Row],[Last Purchase Date]])</f>
        <v>31</v>
      </c>
      <c r="D1316" s="1" t="n">
        <v>3</v>
      </c>
      <c r="E1316" s="1" t="n">
        <v>594.16</v>
      </c>
      <c r="F1316" s="1" t="n">
        <f aca="false">ROUND((1-_xlfn.PERCENTRANK.INC($C$7:$C$4378,C1316))*9,0)</f>
        <v>6</v>
      </c>
      <c r="G1316" s="1" t="n">
        <f aca="false">ROUND(_xlfn.PERCENTRANK.INC($D$7:$D$4378,D1316)*9,0)</f>
        <v>4</v>
      </c>
      <c r="H1316" s="1" t="n">
        <f aca="false">ROUND(_xlfn.PERCENTRANK.INC($E$7:$E$4378,E1316)*9,0)</f>
        <v>4</v>
      </c>
      <c r="I1316" s="1" t="str">
        <f aca="false">CONCATENATE(F1316,G1316,H1316)</f>
        <v>644</v>
      </c>
      <c r="J1316" s="1" t="str">
        <f aca="false">_xlfn.IFS(AND(F1316&gt;=8,G1316&gt;=8,H1316&gt;=8),"CHAMPION",AND(F1316&gt;=6,G1316&gt;=7,H1316&gt;=6),"LOYAL CUSTOMER",AND(F1316&gt;=6,G1316&gt;=5,H1316&gt;=5),"POTENTIAL LOYALIST",AND(F1316&gt;=8,G1316&lt;=2,H1316&gt;=5),"NEW CUSTOMERS",AND(F1316&gt;=6,G1316&lt;=2,H1316&gt;=3),"PROMISING",AND(F1316&gt;=3,G1316&gt;=3,H1316&gt;=3),"NEED ATTENTION",AND(F1316&lt;=4,G1316&gt;=6,H1316&gt;=6),"AT RISK",AND(F1316&lt;=2,G1316&gt;=8,H1316&gt;=8),"CAN'T LOSE THEM",AND(F1316&lt;=2,G1316&lt;=2,H1316&lt;=2),"HIBERNATING",TRUE(),"Other")</f>
        <v>NEED ATTENTION</v>
      </c>
      <c r="K1316" s="1" t="n">
        <f aca="false">RANK(E1316,$E$7:$E$4378)+COUNTIF($E$7:E1316,E1316)-1</f>
        <v>2337</v>
      </c>
    </row>
    <row r="1317" customFormat="false" ht="14.25" hidden="false" customHeight="true" outlineLevel="0" collapsed="false">
      <c r="A1317" s="51" t="n">
        <v>14109</v>
      </c>
      <c r="B1317" s="53" t="n">
        <v>40863.5770833333</v>
      </c>
      <c r="C1317" s="57" t="n">
        <f aca="false">INT($C$2)-INT(Table3[[#This Row],[Last Purchase Date]])</f>
        <v>24</v>
      </c>
      <c r="D1317" s="1" t="n">
        <v>2</v>
      </c>
      <c r="E1317" s="1" t="n">
        <v>80.2</v>
      </c>
      <c r="F1317" s="1" t="n">
        <f aca="false">ROUND((1-_xlfn.PERCENTRANK.INC($C$7:$C$4378,C1317))*9,0)</f>
        <v>6</v>
      </c>
      <c r="G1317" s="1" t="n">
        <f aca="false">ROUND(_xlfn.PERCENTRANK.INC($D$7:$D$4378,D1317)*9,0)</f>
        <v>3</v>
      </c>
      <c r="H1317" s="1" t="n">
        <f aca="false">ROUND(_xlfn.PERCENTRANK.INC($E$7:$E$4378,E1317)*9,0)</f>
        <v>0</v>
      </c>
      <c r="I1317" s="1" t="str">
        <f aca="false">CONCATENATE(F1317,G1317,H1317)</f>
        <v>630</v>
      </c>
      <c r="J1317" s="1" t="str">
        <f aca="false">_xlfn.IFS(AND(F1317&gt;=8,G1317&gt;=8,H1317&gt;=8),"CHAMPION",AND(F1317&gt;=6,G1317&gt;=7,H1317&gt;=6),"LOYAL CUSTOMER",AND(F1317&gt;=6,G1317&gt;=5,H1317&gt;=5),"POTENTIAL LOYALIST",AND(F1317&gt;=8,G1317&lt;=2,H1317&gt;=5),"NEW CUSTOMERS",AND(F1317&gt;=6,G1317&lt;=2,H1317&gt;=3),"PROMISING",AND(F1317&gt;=3,G1317&gt;=3,H1317&gt;=3),"NEED ATTENTION",AND(F1317&lt;=4,G1317&gt;=6,H1317&gt;=6),"AT RISK",AND(F1317&lt;=2,G1317&gt;=8,H1317&gt;=8),"CAN'T LOSE THEM",AND(F1317&lt;=2,G1317&lt;=2,H1317&lt;=2),"HIBERNATING",TRUE(),"Other")</f>
        <v>Other</v>
      </c>
      <c r="K1317" s="1" t="n">
        <f aca="false">RANK(E1317,$E$7:$E$4378)+COUNTIF($E$7:E1317,E1317)-1</f>
        <v>4218</v>
      </c>
    </row>
    <row r="1318" customFormat="false" ht="14.25" hidden="false" customHeight="true" outlineLevel="0" collapsed="false">
      <c r="A1318" s="51" t="n">
        <v>14110</v>
      </c>
      <c r="B1318" s="53" t="n">
        <v>40883.5180555556</v>
      </c>
      <c r="C1318" s="57" t="n">
        <f aca="false">INT($C$2)-INT(Table3[[#This Row],[Last Purchase Date]])</f>
        <v>4</v>
      </c>
      <c r="D1318" s="1" t="n">
        <v>13</v>
      </c>
      <c r="E1318" s="1" t="n">
        <v>5669.65</v>
      </c>
      <c r="F1318" s="1" t="n">
        <f aca="false">ROUND((1-_xlfn.PERCENTRANK.INC($C$7:$C$4378,C1318))*9,0)</f>
        <v>8</v>
      </c>
      <c r="G1318" s="1" t="n">
        <f aca="false">ROUND(_xlfn.PERCENTRANK.INC($D$7:$D$4378,D1318)*9,0)</f>
        <v>8</v>
      </c>
      <c r="H1318" s="1" t="n">
        <f aca="false">ROUND(_xlfn.PERCENTRANK.INC($E$7:$E$4378,E1318)*9,0)</f>
        <v>9</v>
      </c>
      <c r="I1318" s="1" t="str">
        <f aca="false">CONCATENATE(F1318,G1318,H1318)</f>
        <v>889</v>
      </c>
      <c r="J1318" s="1" t="str">
        <f aca="false">_xlfn.IFS(AND(F1318&gt;=8,G1318&gt;=8,H1318&gt;=8),"CHAMPION",AND(F1318&gt;=6,G1318&gt;=7,H1318&gt;=6),"LOYAL CUSTOMER",AND(F1318&gt;=6,G1318&gt;=5,H1318&gt;=5),"POTENTIAL LOYALIST",AND(F1318&gt;=8,G1318&lt;=2,H1318&gt;=5),"NEW CUSTOMERS",AND(F1318&gt;=6,G1318&lt;=2,H1318&gt;=3),"PROMISING",AND(F1318&gt;=3,G1318&gt;=3,H1318&gt;=3),"NEED ATTENTION",AND(F1318&lt;=4,G1318&gt;=6,H1318&gt;=6),"AT RISK",AND(F1318&lt;=2,G1318&gt;=8,H1318&gt;=8),"CAN'T LOSE THEM",AND(F1318&lt;=2,G1318&lt;=2,H1318&lt;=2),"HIBERNATING",TRUE(),"Other")</f>
        <v>CHAMPION</v>
      </c>
      <c r="K1318" s="1" t="n">
        <f aca="false">RANK(E1318,$E$7:$E$4378)+COUNTIF($E$7:E1318,E1318)-1</f>
        <v>216</v>
      </c>
    </row>
    <row r="1319" customFormat="false" ht="14.25" hidden="false" customHeight="true" outlineLevel="0" collapsed="false">
      <c r="A1319" s="51" t="n">
        <v>14111</v>
      </c>
      <c r="B1319" s="53" t="n">
        <v>40872.5722222222</v>
      </c>
      <c r="C1319" s="57" t="n">
        <f aca="false">INT($C$2)-INT(Table3[[#This Row],[Last Purchase Date]])</f>
        <v>15</v>
      </c>
      <c r="D1319" s="1" t="n">
        <v>5</v>
      </c>
      <c r="E1319" s="1" t="n">
        <v>688.6</v>
      </c>
      <c r="F1319" s="1" t="n">
        <f aca="false">ROUND((1-_xlfn.PERCENTRANK.INC($C$7:$C$4378,C1319))*9,0)</f>
        <v>7</v>
      </c>
      <c r="G1319" s="1" t="n">
        <f aca="false">ROUND(_xlfn.PERCENTRANK.INC($D$7:$D$4378,D1319)*9,0)</f>
        <v>6</v>
      </c>
      <c r="H1319" s="1" t="n">
        <f aca="false">ROUND(_xlfn.PERCENTRANK.INC($E$7:$E$4378,E1319)*9,0)</f>
        <v>5</v>
      </c>
      <c r="I1319" s="1" t="str">
        <f aca="false">CONCATENATE(F1319,G1319,H1319)</f>
        <v>765</v>
      </c>
      <c r="J1319" s="1" t="str">
        <f aca="false">_xlfn.IFS(AND(F1319&gt;=8,G1319&gt;=8,H1319&gt;=8),"CHAMPION",AND(F1319&gt;=6,G1319&gt;=7,H1319&gt;=6),"LOYAL CUSTOMER",AND(F1319&gt;=6,G1319&gt;=5,H1319&gt;=5),"POTENTIAL LOYALIST",AND(F1319&gt;=8,G1319&lt;=2,H1319&gt;=5),"NEW CUSTOMERS",AND(F1319&gt;=6,G1319&lt;=2,H1319&gt;=3),"PROMISING",AND(F1319&gt;=3,G1319&gt;=3,H1319&gt;=3),"NEED ATTENTION",AND(F1319&lt;=4,G1319&gt;=6,H1319&gt;=6),"AT RISK",AND(F1319&lt;=2,G1319&gt;=8,H1319&gt;=8),"CAN'T LOSE THEM",AND(F1319&lt;=2,G1319&lt;=2,H1319&lt;=2),"HIBERNATING",TRUE(),"Other")</f>
        <v>POTENTIAL LOYALIST</v>
      </c>
      <c r="K1319" s="1" t="n">
        <f aca="false">RANK(E1319,$E$7:$E$4378)+COUNTIF($E$7:E1319,E1319)-1</f>
        <v>2086</v>
      </c>
    </row>
    <row r="1320" customFormat="false" ht="14.25" hidden="false" customHeight="true" outlineLevel="0" collapsed="false">
      <c r="A1320" s="51" t="n">
        <v>14112</v>
      </c>
      <c r="B1320" s="53" t="n">
        <v>40864.5208333333</v>
      </c>
      <c r="C1320" s="57" t="n">
        <f aca="false">INT($C$2)-INT(Table3[[#This Row],[Last Purchase Date]])</f>
        <v>23</v>
      </c>
      <c r="D1320" s="1" t="n">
        <v>12</v>
      </c>
      <c r="E1320" s="1" t="n">
        <v>2774.17</v>
      </c>
      <c r="F1320" s="1" t="n">
        <f aca="false">ROUND((1-_xlfn.PERCENTRANK.INC($C$7:$C$4378,C1320))*9,0)</f>
        <v>6</v>
      </c>
      <c r="G1320" s="1" t="n">
        <f aca="false">ROUND(_xlfn.PERCENTRANK.INC($D$7:$D$4378,D1320)*9,0)</f>
        <v>8</v>
      </c>
      <c r="H1320" s="1" t="n">
        <f aca="false">ROUND(_xlfn.PERCENTRANK.INC($E$7:$E$4378,E1320)*9,0)</f>
        <v>8</v>
      </c>
      <c r="I1320" s="1" t="str">
        <f aca="false">CONCATENATE(F1320,G1320,H1320)</f>
        <v>688</v>
      </c>
      <c r="J1320" s="1" t="str">
        <f aca="false">_xlfn.IFS(AND(F1320&gt;=8,G1320&gt;=8,H1320&gt;=8),"CHAMPION",AND(F1320&gt;=6,G1320&gt;=7,H1320&gt;=6),"LOYAL CUSTOMER",AND(F1320&gt;=6,G1320&gt;=5,H1320&gt;=5),"POTENTIAL LOYALIST",AND(F1320&gt;=8,G1320&lt;=2,H1320&gt;=5),"NEW CUSTOMERS",AND(F1320&gt;=6,G1320&lt;=2,H1320&gt;=3),"PROMISING",AND(F1320&gt;=3,G1320&gt;=3,H1320&gt;=3),"NEED ATTENTION",AND(F1320&lt;=4,G1320&gt;=6,H1320&gt;=6),"AT RISK",AND(F1320&lt;=2,G1320&gt;=8,H1320&gt;=8),"CAN'T LOSE THEM",AND(F1320&lt;=2,G1320&lt;=2,H1320&lt;=2),"HIBERNATING",TRUE(),"Other")</f>
        <v>LOYAL CUSTOMER</v>
      </c>
      <c r="K1320" s="1" t="n">
        <f aca="false">RANK(E1320,$E$7:$E$4378)+COUNTIF($E$7:E1320,E1320)-1</f>
        <v>589</v>
      </c>
    </row>
    <row r="1321" customFormat="false" ht="14.25" hidden="false" customHeight="true" outlineLevel="0" collapsed="false">
      <c r="A1321" s="51" t="n">
        <v>14113</v>
      </c>
      <c r="B1321" s="53" t="n">
        <v>40883.5125</v>
      </c>
      <c r="C1321" s="57" t="n">
        <f aca="false">INT($C$2)-INT(Table3[[#This Row],[Last Purchase Date]])</f>
        <v>4</v>
      </c>
      <c r="D1321" s="1" t="n">
        <v>8</v>
      </c>
      <c r="E1321" s="1" t="n">
        <v>1377.92</v>
      </c>
      <c r="F1321" s="1" t="n">
        <f aca="false">ROUND((1-_xlfn.PERCENTRANK.INC($C$7:$C$4378,C1321))*9,0)</f>
        <v>8</v>
      </c>
      <c r="G1321" s="1" t="n">
        <f aca="false">ROUND(_xlfn.PERCENTRANK.INC($D$7:$D$4378,D1321)*9,0)</f>
        <v>7</v>
      </c>
      <c r="H1321" s="1" t="n">
        <f aca="false">ROUND(_xlfn.PERCENTRANK.INC($E$7:$E$4378,E1321)*9,0)</f>
        <v>6</v>
      </c>
      <c r="I1321" s="1" t="str">
        <f aca="false">CONCATENATE(F1321,G1321,H1321)</f>
        <v>876</v>
      </c>
      <c r="J1321" s="1" t="str">
        <f aca="false">_xlfn.IFS(AND(F1321&gt;=8,G1321&gt;=8,H1321&gt;=8),"CHAMPION",AND(F1321&gt;=6,G1321&gt;=7,H1321&gt;=6),"LOYAL CUSTOMER",AND(F1321&gt;=6,G1321&gt;=5,H1321&gt;=5),"POTENTIAL LOYALIST",AND(F1321&gt;=8,G1321&lt;=2,H1321&gt;=5),"NEW CUSTOMERS",AND(F1321&gt;=6,G1321&lt;=2,H1321&gt;=3),"PROMISING",AND(F1321&gt;=3,G1321&gt;=3,H1321&gt;=3),"NEED ATTENTION",AND(F1321&lt;=4,G1321&gt;=6,H1321&gt;=6),"AT RISK",AND(F1321&lt;=2,G1321&gt;=8,H1321&gt;=8),"CAN'T LOSE THEM",AND(F1321&lt;=2,G1321&lt;=2,H1321&lt;=2),"HIBERNATING",TRUE(),"Other")</f>
        <v>LOYAL CUSTOMER</v>
      </c>
      <c r="K1321" s="1" t="n">
        <f aca="false">RANK(E1321,$E$7:$E$4378)+COUNTIF($E$7:E1321,E1321)-1</f>
        <v>1257</v>
      </c>
    </row>
    <row r="1322" customFormat="false" ht="14.25" hidden="false" customHeight="true" outlineLevel="0" collapsed="false">
      <c r="A1322" s="51" t="n">
        <v>14114</v>
      </c>
      <c r="B1322" s="53" t="n">
        <v>40613.4041666667</v>
      </c>
      <c r="C1322" s="57" t="n">
        <f aca="false">INT($C$2)-INT(Table3[[#This Row],[Last Purchase Date]])</f>
        <v>274</v>
      </c>
      <c r="D1322" s="1" t="n">
        <v>2</v>
      </c>
      <c r="E1322" s="1" t="n">
        <v>386.53</v>
      </c>
      <c r="F1322" s="1" t="n">
        <f aca="false">ROUND((1-_xlfn.PERCENTRANK.INC($C$7:$C$4378,C1322))*9,0)</f>
        <v>1</v>
      </c>
      <c r="G1322" s="1" t="n">
        <f aca="false">ROUND(_xlfn.PERCENTRANK.INC($D$7:$D$4378,D1322)*9,0)</f>
        <v>3</v>
      </c>
      <c r="H1322" s="1" t="n">
        <f aca="false">ROUND(_xlfn.PERCENTRANK.INC($E$7:$E$4378,E1322)*9,0)</f>
        <v>3</v>
      </c>
      <c r="I1322" s="1" t="str">
        <f aca="false">CONCATENATE(F1322,G1322,H1322)</f>
        <v>133</v>
      </c>
      <c r="J1322" s="1" t="str">
        <f aca="false">_xlfn.IFS(AND(F1322&gt;=8,G1322&gt;=8,H1322&gt;=8),"CHAMPION",AND(F1322&gt;=6,G1322&gt;=7,H1322&gt;=6),"LOYAL CUSTOMER",AND(F1322&gt;=6,G1322&gt;=5,H1322&gt;=5),"POTENTIAL LOYALIST",AND(F1322&gt;=8,G1322&lt;=2,H1322&gt;=5),"NEW CUSTOMERS",AND(F1322&gt;=6,G1322&lt;=2,H1322&gt;=3),"PROMISING",AND(F1322&gt;=3,G1322&gt;=3,H1322&gt;=3),"NEED ATTENTION",AND(F1322&lt;=4,G1322&gt;=6,H1322&gt;=6),"AT RISK",AND(F1322&lt;=2,G1322&gt;=8,H1322&gt;=8),"CAN'T LOSE THEM",AND(F1322&lt;=2,G1322&lt;=2,H1322&lt;=2),"HIBERNATING",TRUE(),"Other")</f>
        <v>Other</v>
      </c>
      <c r="K1322" s="1" t="n">
        <f aca="false">RANK(E1322,$E$7:$E$4378)+COUNTIF($E$7:E1322,E1322)-1</f>
        <v>2862</v>
      </c>
    </row>
    <row r="1323" customFormat="false" ht="14.25" hidden="false" customHeight="true" outlineLevel="0" collapsed="false">
      <c r="A1323" s="51" t="n">
        <v>14116</v>
      </c>
      <c r="B1323" s="53" t="n">
        <v>40867.4368055556</v>
      </c>
      <c r="C1323" s="57" t="n">
        <f aca="false">INT($C$2)-INT(Table3[[#This Row],[Last Purchase Date]])</f>
        <v>20</v>
      </c>
      <c r="D1323" s="1" t="n">
        <v>5</v>
      </c>
      <c r="E1323" s="1" t="n">
        <v>1382.74</v>
      </c>
      <c r="F1323" s="1" t="n">
        <f aca="false">ROUND((1-_xlfn.PERCENTRANK.INC($C$7:$C$4378,C1323))*9,0)</f>
        <v>6</v>
      </c>
      <c r="G1323" s="1" t="n">
        <f aca="false">ROUND(_xlfn.PERCENTRANK.INC($D$7:$D$4378,D1323)*9,0)</f>
        <v>6</v>
      </c>
      <c r="H1323" s="1" t="n">
        <f aca="false">ROUND(_xlfn.PERCENTRANK.INC($E$7:$E$4378,E1323)*9,0)</f>
        <v>6</v>
      </c>
      <c r="I1323" s="1" t="str">
        <f aca="false">CONCATENATE(F1323,G1323,H1323)</f>
        <v>666</v>
      </c>
      <c r="J1323" s="1" t="str">
        <f aca="false">_xlfn.IFS(AND(F1323&gt;=8,G1323&gt;=8,H1323&gt;=8),"CHAMPION",AND(F1323&gt;=6,G1323&gt;=7,H1323&gt;=6),"LOYAL CUSTOMER",AND(F1323&gt;=6,G1323&gt;=5,H1323&gt;=5),"POTENTIAL LOYALIST",AND(F1323&gt;=8,G1323&lt;=2,H1323&gt;=5),"NEW CUSTOMERS",AND(F1323&gt;=6,G1323&lt;=2,H1323&gt;=3),"PROMISING",AND(F1323&gt;=3,G1323&gt;=3,H1323&gt;=3),"NEED ATTENTION",AND(F1323&lt;=4,G1323&gt;=6,H1323&gt;=6),"AT RISK",AND(F1323&lt;=2,G1323&gt;=8,H1323&gt;=8),"CAN'T LOSE THEM",AND(F1323&lt;=2,G1323&lt;=2,H1323&lt;=2),"HIBERNATING",TRUE(),"Other")</f>
        <v>POTENTIAL LOYALIST</v>
      </c>
      <c r="K1323" s="1" t="n">
        <f aca="false">RANK(E1323,$E$7:$E$4378)+COUNTIF($E$7:E1323,E1323)-1</f>
        <v>1254</v>
      </c>
    </row>
    <row r="1324" customFormat="false" ht="14.25" hidden="false" customHeight="true" outlineLevel="0" collapsed="false">
      <c r="A1324" s="51" t="n">
        <v>14117</v>
      </c>
      <c r="B1324" s="53" t="n">
        <v>40743.4090277778</v>
      </c>
      <c r="C1324" s="57" t="n">
        <f aca="false">INT($C$2)-INT(Table3[[#This Row],[Last Purchase Date]])</f>
        <v>144</v>
      </c>
      <c r="D1324" s="1" t="n">
        <v>1</v>
      </c>
      <c r="E1324" s="1" t="n">
        <v>90</v>
      </c>
      <c r="F1324" s="1" t="n">
        <f aca="false">ROUND((1-_xlfn.PERCENTRANK.INC($C$7:$C$4378,C1324))*9,0)</f>
        <v>2</v>
      </c>
      <c r="G1324" s="1" t="n">
        <f aca="false">ROUND(_xlfn.PERCENTRANK.INC($D$7:$D$4378,D1324)*9,0)</f>
        <v>0</v>
      </c>
      <c r="H1324" s="1" t="n">
        <f aca="false">ROUND(_xlfn.PERCENTRANK.INC($E$7:$E$4378,E1324)*9,0)</f>
        <v>0</v>
      </c>
      <c r="I1324" s="1" t="str">
        <f aca="false">CONCATENATE(F1324,G1324,H1324)</f>
        <v>200</v>
      </c>
      <c r="J1324" s="1" t="str">
        <f aca="false">_xlfn.IFS(AND(F1324&gt;=8,G1324&gt;=8,H1324&gt;=8),"CHAMPION",AND(F1324&gt;=6,G1324&gt;=7,H1324&gt;=6),"LOYAL CUSTOMER",AND(F1324&gt;=6,G1324&gt;=5,H1324&gt;=5),"POTENTIAL LOYALIST",AND(F1324&gt;=8,G1324&lt;=2,H1324&gt;=5),"NEW CUSTOMERS",AND(F1324&gt;=6,G1324&lt;=2,H1324&gt;=3),"PROMISING",AND(F1324&gt;=3,G1324&gt;=3,H1324&gt;=3),"NEED ATTENTION",AND(F1324&lt;=4,G1324&gt;=6,H1324&gt;=6),"AT RISK",AND(F1324&lt;=2,G1324&gt;=8,H1324&gt;=8),"CAN'T LOSE THEM",AND(F1324&lt;=2,G1324&lt;=2,H1324&lt;=2),"HIBERNATING",TRUE(),"Other")</f>
        <v>HIBERNATING</v>
      </c>
      <c r="K1324" s="1" t="n">
        <f aca="false">RANK(E1324,$E$7:$E$4378)+COUNTIF($E$7:E1324,E1324)-1</f>
        <v>4195</v>
      </c>
    </row>
    <row r="1325" customFormat="false" ht="14.25" hidden="false" customHeight="true" outlineLevel="0" collapsed="false">
      <c r="A1325" s="51" t="n">
        <v>14119</v>
      </c>
      <c r="B1325" s="53" t="n">
        <v>40532.5819444444</v>
      </c>
      <c r="C1325" s="57" t="n">
        <f aca="false">INT($C$2)-INT(Table3[[#This Row],[Last Purchase Date]])</f>
        <v>355</v>
      </c>
      <c r="D1325" s="1" t="n">
        <v>1</v>
      </c>
      <c r="E1325" s="1" t="n">
        <v>-19.9</v>
      </c>
      <c r="F1325" s="1" t="n">
        <f aca="false">ROUND((1-_xlfn.PERCENTRANK.INC($C$7:$C$4378,C1325))*9,0)</f>
        <v>0</v>
      </c>
      <c r="G1325" s="1" t="n">
        <f aca="false">ROUND(_xlfn.PERCENTRANK.INC($D$7:$D$4378,D1325)*9,0)</f>
        <v>0</v>
      </c>
      <c r="H1325" s="1" t="n">
        <f aca="false">ROUND(_xlfn.PERCENTRANK.INC($E$7:$E$4378,E1325)*9,0)</f>
        <v>0</v>
      </c>
      <c r="I1325" s="1" t="str">
        <f aca="false">CONCATENATE(F1325,G1325,H1325)</f>
        <v>000</v>
      </c>
      <c r="J1325" s="1" t="str">
        <f aca="false">_xlfn.IFS(AND(F1325&gt;=8,G1325&gt;=8,H1325&gt;=8),"CHAMPION",AND(F1325&gt;=6,G1325&gt;=7,H1325&gt;=6),"LOYAL CUSTOMER",AND(F1325&gt;=6,G1325&gt;=5,H1325&gt;=5),"POTENTIAL LOYALIST",AND(F1325&gt;=8,G1325&lt;=2,H1325&gt;=5),"NEW CUSTOMERS",AND(F1325&gt;=6,G1325&lt;=2,H1325&gt;=3),"PROMISING",AND(F1325&gt;=3,G1325&gt;=3,H1325&gt;=3),"NEED ATTENTION",AND(F1325&lt;=4,G1325&gt;=6,H1325&gt;=6),"AT RISK",AND(F1325&lt;=2,G1325&gt;=8,H1325&gt;=8),"CAN'T LOSE THEM",AND(F1325&lt;=2,G1325&lt;=2,H1325&lt;=2),"HIBERNATING",TRUE(),"Other")</f>
        <v>HIBERNATING</v>
      </c>
      <c r="K1325" s="1" t="n">
        <f aca="false">RANK(E1325,$E$7:$E$4378)+COUNTIF($E$7:E1325,E1325)-1</f>
        <v>4343</v>
      </c>
    </row>
    <row r="1326" customFormat="false" ht="14.25" hidden="false" customHeight="true" outlineLevel="0" collapsed="false">
      <c r="A1326" s="51" t="n">
        <v>14121</v>
      </c>
      <c r="B1326" s="53" t="n">
        <v>40883.5131944444</v>
      </c>
      <c r="C1326" s="57" t="n">
        <f aca="false">INT($C$2)-INT(Table3[[#This Row],[Last Purchase Date]])</f>
        <v>4</v>
      </c>
      <c r="D1326" s="1" t="n">
        <v>6</v>
      </c>
      <c r="E1326" s="1" t="n">
        <v>2740.3</v>
      </c>
      <c r="F1326" s="1" t="n">
        <f aca="false">ROUND((1-_xlfn.PERCENTRANK.INC($C$7:$C$4378,C1326))*9,0)</f>
        <v>8</v>
      </c>
      <c r="G1326" s="1" t="n">
        <f aca="false">ROUND(_xlfn.PERCENTRANK.INC($D$7:$D$4378,D1326)*9,0)</f>
        <v>7</v>
      </c>
      <c r="H1326" s="1" t="n">
        <f aca="false">ROUND(_xlfn.PERCENTRANK.INC($E$7:$E$4378,E1326)*9,0)</f>
        <v>8</v>
      </c>
      <c r="I1326" s="1" t="str">
        <f aca="false">CONCATENATE(F1326,G1326,H1326)</f>
        <v>878</v>
      </c>
      <c r="J1326" s="1" t="str">
        <f aca="false">_xlfn.IFS(AND(F1326&gt;=8,G1326&gt;=8,H1326&gt;=8),"CHAMPION",AND(F1326&gt;=6,G1326&gt;=7,H1326&gt;=6),"LOYAL CUSTOMER",AND(F1326&gt;=6,G1326&gt;=5,H1326&gt;=5),"POTENTIAL LOYALIST",AND(F1326&gt;=8,G1326&lt;=2,H1326&gt;=5),"NEW CUSTOMERS",AND(F1326&gt;=6,G1326&lt;=2,H1326&gt;=3),"PROMISING",AND(F1326&gt;=3,G1326&gt;=3,H1326&gt;=3),"NEED ATTENTION",AND(F1326&lt;=4,G1326&gt;=6,H1326&gt;=6),"AT RISK",AND(F1326&lt;=2,G1326&gt;=8,H1326&gt;=8),"CAN'T LOSE THEM",AND(F1326&lt;=2,G1326&lt;=2,H1326&lt;=2),"HIBERNATING",TRUE(),"Other")</f>
        <v>LOYAL CUSTOMER</v>
      </c>
      <c r="K1326" s="1" t="n">
        <f aca="false">RANK(E1326,$E$7:$E$4378)+COUNTIF($E$7:E1326,E1326)-1</f>
        <v>608</v>
      </c>
    </row>
    <row r="1327" customFormat="false" ht="14.25" hidden="false" customHeight="true" outlineLevel="0" collapsed="false">
      <c r="A1327" s="51" t="n">
        <v>14124</v>
      </c>
      <c r="B1327" s="53" t="n">
        <v>40802.5638888889</v>
      </c>
      <c r="C1327" s="57" t="n">
        <f aca="false">INT($C$2)-INT(Table3[[#This Row],[Last Purchase Date]])</f>
        <v>85</v>
      </c>
      <c r="D1327" s="1" t="n">
        <v>1</v>
      </c>
      <c r="E1327" s="1" t="n">
        <v>419.58</v>
      </c>
      <c r="F1327" s="1" t="n">
        <f aca="false">ROUND((1-_xlfn.PERCENTRANK.INC($C$7:$C$4378,C1327))*9,0)</f>
        <v>3</v>
      </c>
      <c r="G1327" s="1" t="n">
        <f aca="false">ROUND(_xlfn.PERCENTRANK.INC($D$7:$D$4378,D1327)*9,0)</f>
        <v>0</v>
      </c>
      <c r="H1327" s="1" t="n">
        <f aca="false">ROUND(_xlfn.PERCENTRANK.INC($E$7:$E$4378,E1327)*9,0)</f>
        <v>3</v>
      </c>
      <c r="I1327" s="1" t="str">
        <f aca="false">CONCATENATE(F1327,G1327,H1327)</f>
        <v>303</v>
      </c>
      <c r="J1327" s="1" t="str">
        <f aca="false">_xlfn.IFS(AND(F1327&gt;=8,G1327&gt;=8,H1327&gt;=8),"CHAMPION",AND(F1327&gt;=6,G1327&gt;=7,H1327&gt;=6),"LOYAL CUSTOMER",AND(F1327&gt;=6,G1327&gt;=5,H1327&gt;=5),"POTENTIAL LOYALIST",AND(F1327&gt;=8,G1327&lt;=2,H1327&gt;=5),"NEW CUSTOMERS",AND(F1327&gt;=6,G1327&lt;=2,H1327&gt;=3),"PROMISING",AND(F1327&gt;=3,G1327&gt;=3,H1327&gt;=3),"NEED ATTENTION",AND(F1327&lt;=4,G1327&gt;=6,H1327&gt;=6),"AT RISK",AND(F1327&lt;=2,G1327&gt;=8,H1327&gt;=8),"CAN'T LOSE THEM",AND(F1327&lt;=2,G1327&lt;=2,H1327&lt;=2),"HIBERNATING",TRUE(),"Other")</f>
        <v>Other</v>
      </c>
      <c r="K1327" s="1" t="n">
        <f aca="false">RANK(E1327,$E$7:$E$4378)+COUNTIF($E$7:E1327,E1327)-1</f>
        <v>2752</v>
      </c>
    </row>
    <row r="1328" customFormat="false" ht="14.25" hidden="false" customHeight="true" outlineLevel="0" collapsed="false">
      <c r="A1328" s="51" t="n">
        <v>14125</v>
      </c>
      <c r="B1328" s="53" t="n">
        <v>40876.5326388889</v>
      </c>
      <c r="C1328" s="57" t="n">
        <f aca="false">INT($C$2)-INT(Table3[[#This Row],[Last Purchase Date]])</f>
        <v>11</v>
      </c>
      <c r="D1328" s="1" t="n">
        <v>3</v>
      </c>
      <c r="E1328" s="1" t="n">
        <v>2740.43</v>
      </c>
      <c r="F1328" s="1" t="n">
        <f aca="false">ROUND((1-_xlfn.PERCENTRANK.INC($C$7:$C$4378,C1328))*9,0)</f>
        <v>7</v>
      </c>
      <c r="G1328" s="1" t="n">
        <f aca="false">ROUND(_xlfn.PERCENTRANK.INC($D$7:$D$4378,D1328)*9,0)</f>
        <v>4</v>
      </c>
      <c r="H1328" s="1" t="n">
        <f aca="false">ROUND(_xlfn.PERCENTRANK.INC($E$7:$E$4378,E1328)*9,0)</f>
        <v>8</v>
      </c>
      <c r="I1328" s="1" t="str">
        <f aca="false">CONCATENATE(F1328,G1328,H1328)</f>
        <v>748</v>
      </c>
      <c r="J1328" s="1" t="str">
        <f aca="false">_xlfn.IFS(AND(F1328&gt;=8,G1328&gt;=8,H1328&gt;=8),"CHAMPION",AND(F1328&gt;=6,G1328&gt;=7,H1328&gt;=6),"LOYAL CUSTOMER",AND(F1328&gt;=6,G1328&gt;=5,H1328&gt;=5),"POTENTIAL LOYALIST",AND(F1328&gt;=8,G1328&lt;=2,H1328&gt;=5),"NEW CUSTOMERS",AND(F1328&gt;=6,G1328&lt;=2,H1328&gt;=3),"PROMISING",AND(F1328&gt;=3,G1328&gt;=3,H1328&gt;=3),"NEED ATTENTION",AND(F1328&lt;=4,G1328&gt;=6,H1328&gt;=6),"AT RISK",AND(F1328&lt;=2,G1328&gt;=8,H1328&gt;=8),"CAN'T LOSE THEM",AND(F1328&lt;=2,G1328&lt;=2,H1328&lt;=2),"HIBERNATING",TRUE(),"Other")</f>
        <v>NEED ATTENTION</v>
      </c>
      <c r="K1328" s="1" t="n">
        <f aca="false">RANK(E1328,$E$7:$E$4378)+COUNTIF($E$7:E1328,E1328)-1</f>
        <v>607</v>
      </c>
    </row>
    <row r="1329" customFormat="false" ht="14.25" hidden="false" customHeight="true" outlineLevel="0" collapsed="false">
      <c r="A1329" s="51" t="n">
        <v>14126</v>
      </c>
      <c r="B1329" s="53" t="n">
        <v>40879.4895833333</v>
      </c>
      <c r="C1329" s="57" t="n">
        <f aca="false">INT($C$2)-INT(Table3[[#This Row],[Last Purchase Date]])</f>
        <v>8</v>
      </c>
      <c r="D1329" s="1" t="n">
        <v>4</v>
      </c>
      <c r="E1329" s="1" t="n">
        <v>643.63</v>
      </c>
      <c r="F1329" s="1" t="n">
        <f aca="false">ROUND((1-_xlfn.PERCENTRANK.INC($C$7:$C$4378,C1329))*9,0)</f>
        <v>8</v>
      </c>
      <c r="G1329" s="1" t="n">
        <f aca="false">ROUND(_xlfn.PERCENTRANK.INC($D$7:$D$4378,D1329)*9,0)</f>
        <v>5</v>
      </c>
      <c r="H1329" s="1" t="n">
        <f aca="false">ROUND(_xlfn.PERCENTRANK.INC($E$7:$E$4378,E1329)*9,0)</f>
        <v>4</v>
      </c>
      <c r="I1329" s="1" t="str">
        <f aca="false">CONCATENATE(F1329,G1329,H1329)</f>
        <v>854</v>
      </c>
      <c r="J1329" s="1" t="str">
        <f aca="false">_xlfn.IFS(AND(F1329&gt;=8,G1329&gt;=8,H1329&gt;=8),"CHAMPION",AND(F1329&gt;=6,G1329&gt;=7,H1329&gt;=6),"LOYAL CUSTOMER",AND(F1329&gt;=6,G1329&gt;=5,H1329&gt;=5),"POTENTIAL LOYALIST",AND(F1329&gt;=8,G1329&lt;=2,H1329&gt;=5),"NEW CUSTOMERS",AND(F1329&gt;=6,G1329&lt;=2,H1329&gt;=3),"PROMISING",AND(F1329&gt;=3,G1329&gt;=3,H1329&gt;=3),"NEED ATTENTION",AND(F1329&lt;=4,G1329&gt;=6,H1329&gt;=6),"AT RISK",AND(F1329&lt;=2,G1329&gt;=8,H1329&gt;=8),"CAN'T LOSE THEM",AND(F1329&lt;=2,G1329&lt;=2,H1329&lt;=2),"HIBERNATING",TRUE(),"Other")</f>
        <v>NEED ATTENTION</v>
      </c>
      <c r="K1329" s="1" t="n">
        <f aca="false">RANK(E1329,$E$7:$E$4378)+COUNTIF($E$7:E1329,E1329)-1</f>
        <v>2197</v>
      </c>
    </row>
    <row r="1330" customFormat="false" ht="14.25" hidden="false" customHeight="true" outlineLevel="0" collapsed="false">
      <c r="A1330" s="51" t="n">
        <v>14127</v>
      </c>
      <c r="B1330" s="53" t="n">
        <v>40764.4506944444</v>
      </c>
      <c r="C1330" s="57" t="n">
        <f aca="false">INT($C$2)-INT(Table3[[#This Row],[Last Purchase Date]])</f>
        <v>123</v>
      </c>
      <c r="D1330" s="1" t="n">
        <v>3</v>
      </c>
      <c r="E1330" s="1" t="n">
        <v>709.71</v>
      </c>
      <c r="F1330" s="1" t="n">
        <f aca="false">ROUND((1-_xlfn.PERCENTRANK.INC($C$7:$C$4378,C1330))*9,0)</f>
        <v>3</v>
      </c>
      <c r="G1330" s="1" t="n">
        <f aca="false">ROUND(_xlfn.PERCENTRANK.INC($D$7:$D$4378,D1330)*9,0)</f>
        <v>4</v>
      </c>
      <c r="H1330" s="1" t="n">
        <f aca="false">ROUND(_xlfn.PERCENTRANK.INC($E$7:$E$4378,E1330)*9,0)</f>
        <v>5</v>
      </c>
      <c r="I1330" s="1" t="str">
        <f aca="false">CONCATENATE(F1330,G1330,H1330)</f>
        <v>345</v>
      </c>
      <c r="J1330" s="1" t="str">
        <f aca="false">_xlfn.IFS(AND(F1330&gt;=8,G1330&gt;=8,H1330&gt;=8),"CHAMPION",AND(F1330&gt;=6,G1330&gt;=7,H1330&gt;=6),"LOYAL CUSTOMER",AND(F1330&gt;=6,G1330&gt;=5,H1330&gt;=5),"POTENTIAL LOYALIST",AND(F1330&gt;=8,G1330&lt;=2,H1330&gt;=5),"NEW CUSTOMERS",AND(F1330&gt;=6,G1330&lt;=2,H1330&gt;=3),"PROMISING",AND(F1330&gt;=3,G1330&gt;=3,H1330&gt;=3),"NEED ATTENTION",AND(F1330&lt;=4,G1330&gt;=6,H1330&gt;=6),"AT RISK",AND(F1330&lt;=2,G1330&gt;=8,H1330&gt;=8),"CAN'T LOSE THEM",AND(F1330&lt;=2,G1330&lt;=2,H1330&lt;=2),"HIBERNATING",TRUE(),"Other")</f>
        <v>NEED ATTENTION</v>
      </c>
      <c r="K1330" s="1" t="n">
        <f aca="false">RANK(E1330,$E$7:$E$4378)+COUNTIF($E$7:E1330,E1330)-1</f>
        <v>2048</v>
      </c>
    </row>
    <row r="1331" customFormat="false" ht="14.25" hidden="false" customHeight="true" outlineLevel="0" collapsed="false">
      <c r="A1331" s="51" t="n">
        <v>14128</v>
      </c>
      <c r="B1331" s="53" t="n">
        <v>40826.5</v>
      </c>
      <c r="C1331" s="57" t="n">
        <f aca="false">INT($C$2)-INT(Table3[[#This Row],[Last Purchase Date]])</f>
        <v>61</v>
      </c>
      <c r="D1331" s="1" t="n">
        <v>2</v>
      </c>
      <c r="E1331" s="1" t="n">
        <v>637.5</v>
      </c>
      <c r="F1331" s="1" t="n">
        <f aca="false">ROUND((1-_xlfn.PERCENTRANK.INC($C$7:$C$4378,C1331))*9,0)</f>
        <v>4</v>
      </c>
      <c r="G1331" s="1" t="n">
        <f aca="false">ROUND(_xlfn.PERCENTRANK.INC($D$7:$D$4378,D1331)*9,0)</f>
        <v>3</v>
      </c>
      <c r="H1331" s="1" t="n">
        <f aca="false">ROUND(_xlfn.PERCENTRANK.INC($E$7:$E$4378,E1331)*9,0)</f>
        <v>4</v>
      </c>
      <c r="I1331" s="1" t="str">
        <f aca="false">CONCATENATE(F1331,G1331,H1331)</f>
        <v>434</v>
      </c>
      <c r="J1331" s="1" t="str">
        <f aca="false">_xlfn.IFS(AND(F1331&gt;=8,G1331&gt;=8,H1331&gt;=8),"CHAMPION",AND(F1331&gt;=6,G1331&gt;=7,H1331&gt;=6),"LOYAL CUSTOMER",AND(F1331&gt;=6,G1331&gt;=5,H1331&gt;=5),"POTENTIAL LOYALIST",AND(F1331&gt;=8,G1331&lt;=2,H1331&gt;=5),"NEW CUSTOMERS",AND(F1331&gt;=6,G1331&lt;=2,H1331&gt;=3),"PROMISING",AND(F1331&gt;=3,G1331&gt;=3,H1331&gt;=3),"NEED ATTENTION",AND(F1331&lt;=4,G1331&gt;=6,H1331&gt;=6),"AT RISK",AND(F1331&lt;=2,G1331&gt;=8,H1331&gt;=8),"CAN'T LOSE THEM",AND(F1331&lt;=2,G1331&lt;=2,H1331&lt;=2),"HIBERNATING",TRUE(),"Other")</f>
        <v>NEED ATTENTION</v>
      </c>
      <c r="K1331" s="1" t="n">
        <f aca="false">RANK(E1331,$E$7:$E$4378)+COUNTIF($E$7:E1331,E1331)-1</f>
        <v>2215</v>
      </c>
    </row>
    <row r="1332" customFormat="false" ht="14.25" hidden="false" customHeight="true" outlineLevel="0" collapsed="false">
      <c r="A1332" s="51" t="n">
        <v>14129</v>
      </c>
      <c r="B1332" s="53" t="n">
        <v>40885.4597222222</v>
      </c>
      <c r="C1332" s="57" t="n">
        <f aca="false">INT($C$2)-INT(Table3[[#This Row],[Last Purchase Date]])</f>
        <v>2</v>
      </c>
      <c r="D1332" s="1" t="n">
        <v>5</v>
      </c>
      <c r="E1332" s="1" t="n">
        <v>1123.86</v>
      </c>
      <c r="F1332" s="1" t="n">
        <f aca="false">ROUND((1-_xlfn.PERCENTRANK.INC($C$7:$C$4378,C1332))*9,0)</f>
        <v>9</v>
      </c>
      <c r="G1332" s="1" t="n">
        <f aca="false">ROUND(_xlfn.PERCENTRANK.INC($D$7:$D$4378,D1332)*9,0)</f>
        <v>6</v>
      </c>
      <c r="H1332" s="1" t="n">
        <f aca="false">ROUND(_xlfn.PERCENTRANK.INC($E$7:$E$4378,E1332)*9,0)</f>
        <v>6</v>
      </c>
      <c r="I1332" s="1" t="str">
        <f aca="false">CONCATENATE(F1332,G1332,H1332)</f>
        <v>966</v>
      </c>
      <c r="J1332" s="1" t="str">
        <f aca="false">_xlfn.IFS(AND(F1332&gt;=8,G1332&gt;=8,H1332&gt;=8),"CHAMPION",AND(F1332&gt;=6,G1332&gt;=7,H1332&gt;=6),"LOYAL CUSTOMER",AND(F1332&gt;=6,G1332&gt;=5,H1332&gt;=5),"POTENTIAL LOYALIST",AND(F1332&gt;=8,G1332&lt;=2,H1332&gt;=5),"NEW CUSTOMERS",AND(F1332&gt;=6,G1332&lt;=2,H1332&gt;=3),"PROMISING",AND(F1332&gt;=3,G1332&gt;=3,H1332&gt;=3),"NEED ATTENTION",AND(F1332&lt;=4,G1332&gt;=6,H1332&gt;=6),"AT RISK",AND(F1332&lt;=2,G1332&gt;=8,H1332&gt;=8),"CAN'T LOSE THEM",AND(F1332&lt;=2,G1332&lt;=2,H1332&lt;=2),"HIBERNATING",TRUE(),"Other")</f>
        <v>POTENTIAL LOYALIST</v>
      </c>
      <c r="K1332" s="1" t="n">
        <f aca="false">RANK(E1332,$E$7:$E$4378)+COUNTIF($E$7:E1332,E1332)-1</f>
        <v>1481</v>
      </c>
    </row>
    <row r="1333" customFormat="false" ht="14.25" hidden="false" customHeight="true" outlineLevel="0" collapsed="false">
      <c r="A1333" s="51" t="n">
        <v>14130</v>
      </c>
      <c r="B1333" s="53" t="n">
        <v>40567.6701388889</v>
      </c>
      <c r="C1333" s="57" t="n">
        <f aca="false">INT($C$2)-INT(Table3[[#This Row],[Last Purchase Date]])</f>
        <v>320</v>
      </c>
      <c r="D1333" s="1" t="n">
        <v>1</v>
      </c>
      <c r="E1333" s="1" t="n">
        <v>483.86</v>
      </c>
      <c r="F1333" s="1" t="n">
        <f aca="false">ROUND((1-_xlfn.PERCENTRANK.INC($C$7:$C$4378,C1333))*9,0)</f>
        <v>0</v>
      </c>
      <c r="G1333" s="1" t="n">
        <f aca="false">ROUND(_xlfn.PERCENTRANK.INC($D$7:$D$4378,D1333)*9,0)</f>
        <v>0</v>
      </c>
      <c r="H1333" s="1" t="n">
        <f aca="false">ROUND(_xlfn.PERCENTRANK.INC($E$7:$E$4378,E1333)*9,0)</f>
        <v>4</v>
      </c>
      <c r="I1333" s="1" t="str">
        <f aca="false">CONCATENATE(F1333,G1333,H1333)</f>
        <v>004</v>
      </c>
      <c r="J1333" s="1" t="str">
        <f aca="false">_xlfn.IFS(AND(F1333&gt;=8,G1333&gt;=8,H1333&gt;=8),"CHAMPION",AND(F1333&gt;=6,G1333&gt;=7,H1333&gt;=6),"LOYAL CUSTOMER",AND(F1333&gt;=6,G1333&gt;=5,H1333&gt;=5),"POTENTIAL LOYALIST",AND(F1333&gt;=8,G1333&lt;=2,H1333&gt;=5),"NEW CUSTOMERS",AND(F1333&gt;=6,G1333&lt;=2,H1333&gt;=3),"PROMISING",AND(F1333&gt;=3,G1333&gt;=3,H1333&gt;=3),"NEED ATTENTION",AND(F1333&lt;=4,G1333&gt;=6,H1333&gt;=6),"AT RISK",AND(F1333&lt;=2,G1333&gt;=8,H1333&gt;=8),"CAN'T LOSE THEM",AND(F1333&lt;=2,G1333&lt;=2,H1333&lt;=2),"HIBERNATING",TRUE(),"Other")</f>
        <v>Other</v>
      </c>
      <c r="K1333" s="1" t="n">
        <f aca="false">RANK(E1333,$E$7:$E$4378)+COUNTIF($E$7:E1333,E1333)-1</f>
        <v>2586</v>
      </c>
    </row>
    <row r="1334" customFormat="false" ht="14.25" hidden="false" customHeight="true" outlineLevel="0" collapsed="false">
      <c r="A1334" s="51" t="n">
        <v>14132</v>
      </c>
      <c r="B1334" s="53" t="n">
        <v>40884.5659722222</v>
      </c>
      <c r="C1334" s="57" t="n">
        <f aca="false">INT($C$2)-INT(Table3[[#This Row],[Last Purchase Date]])</f>
        <v>3</v>
      </c>
      <c r="D1334" s="1" t="n">
        <v>12</v>
      </c>
      <c r="E1334" s="1" t="n">
        <v>3580.13</v>
      </c>
      <c r="F1334" s="1" t="n">
        <f aca="false">ROUND((1-_xlfn.PERCENTRANK.INC($C$7:$C$4378,C1334))*9,0)</f>
        <v>9</v>
      </c>
      <c r="G1334" s="1" t="n">
        <f aca="false">ROUND(_xlfn.PERCENTRANK.INC($D$7:$D$4378,D1334)*9,0)</f>
        <v>8</v>
      </c>
      <c r="H1334" s="1" t="n">
        <f aca="false">ROUND(_xlfn.PERCENTRANK.INC($E$7:$E$4378,E1334)*9,0)</f>
        <v>8</v>
      </c>
      <c r="I1334" s="1" t="str">
        <f aca="false">CONCATENATE(F1334,G1334,H1334)</f>
        <v>988</v>
      </c>
      <c r="J1334" s="1" t="str">
        <f aca="false">_xlfn.IFS(AND(F1334&gt;=8,G1334&gt;=8,H1334&gt;=8),"CHAMPION",AND(F1334&gt;=6,G1334&gt;=7,H1334&gt;=6),"LOYAL CUSTOMER",AND(F1334&gt;=6,G1334&gt;=5,H1334&gt;=5),"POTENTIAL LOYALIST",AND(F1334&gt;=8,G1334&lt;=2,H1334&gt;=5),"NEW CUSTOMERS",AND(F1334&gt;=6,G1334&lt;=2,H1334&gt;=3),"PROMISING",AND(F1334&gt;=3,G1334&gt;=3,H1334&gt;=3),"NEED ATTENTION",AND(F1334&lt;=4,G1334&gt;=6,H1334&gt;=6),"AT RISK",AND(F1334&lt;=2,G1334&gt;=8,H1334&gt;=8),"CAN'T LOSE THEM",AND(F1334&lt;=2,G1334&lt;=2,H1334&lt;=2),"HIBERNATING",TRUE(),"Other")</f>
        <v>CHAMPION</v>
      </c>
      <c r="K1334" s="1" t="n">
        <f aca="false">RANK(E1334,$E$7:$E$4378)+COUNTIF($E$7:E1334,E1334)-1</f>
        <v>423</v>
      </c>
    </row>
    <row r="1335" customFormat="false" ht="14.25" hidden="false" customHeight="true" outlineLevel="0" collapsed="false">
      <c r="A1335" s="51" t="n">
        <v>14133</v>
      </c>
      <c r="B1335" s="53" t="n">
        <v>40757.4819444444</v>
      </c>
      <c r="C1335" s="57" t="n">
        <f aca="false">INT($C$2)-INT(Table3[[#This Row],[Last Purchase Date]])</f>
        <v>130</v>
      </c>
      <c r="D1335" s="1" t="n">
        <v>5</v>
      </c>
      <c r="E1335" s="1" t="n">
        <v>590.34</v>
      </c>
      <c r="F1335" s="1" t="n">
        <f aca="false">ROUND((1-_xlfn.PERCENTRANK.INC($C$7:$C$4378,C1335))*9,0)</f>
        <v>2</v>
      </c>
      <c r="G1335" s="1" t="n">
        <f aca="false">ROUND(_xlfn.PERCENTRANK.INC($D$7:$D$4378,D1335)*9,0)</f>
        <v>6</v>
      </c>
      <c r="H1335" s="1" t="n">
        <f aca="false">ROUND(_xlfn.PERCENTRANK.INC($E$7:$E$4378,E1335)*9,0)</f>
        <v>4</v>
      </c>
      <c r="I1335" s="1" t="str">
        <f aca="false">CONCATENATE(F1335,G1335,H1335)</f>
        <v>264</v>
      </c>
      <c r="J1335" s="1" t="str">
        <f aca="false">_xlfn.IFS(AND(F1335&gt;=8,G1335&gt;=8,H1335&gt;=8),"CHAMPION",AND(F1335&gt;=6,G1335&gt;=7,H1335&gt;=6),"LOYAL CUSTOMER",AND(F1335&gt;=6,G1335&gt;=5,H1335&gt;=5),"POTENTIAL LOYALIST",AND(F1335&gt;=8,G1335&lt;=2,H1335&gt;=5),"NEW CUSTOMERS",AND(F1335&gt;=6,G1335&lt;=2,H1335&gt;=3),"PROMISING",AND(F1335&gt;=3,G1335&gt;=3,H1335&gt;=3),"NEED ATTENTION",AND(F1335&lt;=4,G1335&gt;=6,H1335&gt;=6),"AT RISK",AND(F1335&lt;=2,G1335&gt;=8,H1335&gt;=8),"CAN'T LOSE THEM",AND(F1335&lt;=2,G1335&lt;=2,H1335&lt;=2),"HIBERNATING",TRUE(),"Other")</f>
        <v>Other</v>
      </c>
      <c r="K1335" s="1" t="n">
        <f aca="false">RANK(E1335,$E$7:$E$4378)+COUNTIF($E$7:E1335,E1335)-1</f>
        <v>2345</v>
      </c>
    </row>
    <row r="1336" customFormat="false" ht="14.25" hidden="false" customHeight="true" outlineLevel="0" collapsed="false">
      <c r="A1336" s="51" t="n">
        <v>14135</v>
      </c>
      <c r="B1336" s="53" t="n">
        <v>40885.4847222222</v>
      </c>
      <c r="C1336" s="57" t="n">
        <f aca="false">INT($C$2)-INT(Table3[[#This Row],[Last Purchase Date]])</f>
        <v>2</v>
      </c>
      <c r="D1336" s="1" t="n">
        <v>15</v>
      </c>
      <c r="E1336" s="1" t="n">
        <v>4690.31</v>
      </c>
      <c r="F1336" s="1" t="n">
        <f aca="false">ROUND((1-_xlfn.PERCENTRANK.INC($C$7:$C$4378,C1336))*9,0)</f>
        <v>9</v>
      </c>
      <c r="G1336" s="1" t="n">
        <f aca="false">ROUND(_xlfn.PERCENTRANK.INC($D$7:$D$4378,D1336)*9,0)</f>
        <v>8</v>
      </c>
      <c r="H1336" s="1" t="n">
        <f aca="false">ROUND(_xlfn.PERCENTRANK.INC($E$7:$E$4378,E1336)*9,0)</f>
        <v>8</v>
      </c>
      <c r="I1336" s="1" t="str">
        <f aca="false">CONCATENATE(F1336,G1336,H1336)</f>
        <v>988</v>
      </c>
      <c r="J1336" s="1" t="str">
        <f aca="false">_xlfn.IFS(AND(F1336&gt;=8,G1336&gt;=8,H1336&gt;=8),"CHAMPION",AND(F1336&gt;=6,G1336&gt;=7,H1336&gt;=6),"LOYAL CUSTOMER",AND(F1336&gt;=6,G1336&gt;=5,H1336&gt;=5),"POTENTIAL LOYALIST",AND(F1336&gt;=8,G1336&lt;=2,H1336&gt;=5),"NEW CUSTOMERS",AND(F1336&gt;=6,G1336&lt;=2,H1336&gt;=3),"PROMISING",AND(F1336&gt;=3,G1336&gt;=3,H1336&gt;=3),"NEED ATTENTION",AND(F1336&lt;=4,G1336&gt;=6,H1336&gt;=6),"AT RISK",AND(F1336&lt;=2,G1336&gt;=8,H1336&gt;=8),"CAN'T LOSE THEM",AND(F1336&lt;=2,G1336&lt;=2,H1336&lt;=2),"HIBERNATING",TRUE(),"Other")</f>
        <v>CHAMPION</v>
      </c>
      <c r="K1336" s="1" t="n">
        <f aca="false">RANK(E1336,$E$7:$E$4378)+COUNTIF($E$7:E1336,E1336)-1</f>
        <v>287</v>
      </c>
    </row>
    <row r="1337" customFormat="false" ht="14.25" hidden="false" customHeight="true" outlineLevel="0" collapsed="false">
      <c r="A1337" s="51" t="n">
        <v>14138</v>
      </c>
      <c r="B1337" s="53" t="n">
        <v>40885.5305555556</v>
      </c>
      <c r="C1337" s="57" t="n">
        <f aca="false">INT($C$2)-INT(Table3[[#This Row],[Last Purchase Date]])</f>
        <v>2</v>
      </c>
      <c r="D1337" s="1" t="n">
        <v>2</v>
      </c>
      <c r="E1337" s="1" t="n">
        <v>982.380000000001</v>
      </c>
      <c r="F1337" s="1" t="n">
        <f aca="false">ROUND((1-_xlfn.PERCENTRANK.INC($C$7:$C$4378,C1337))*9,0)</f>
        <v>9</v>
      </c>
      <c r="G1337" s="1" t="n">
        <f aca="false">ROUND(_xlfn.PERCENTRANK.INC($D$7:$D$4378,D1337)*9,0)</f>
        <v>3</v>
      </c>
      <c r="H1337" s="1" t="n">
        <f aca="false">ROUND(_xlfn.PERCENTRANK.INC($E$7:$E$4378,E1337)*9,0)</f>
        <v>6</v>
      </c>
      <c r="I1337" s="1" t="str">
        <f aca="false">CONCATENATE(F1337,G1337,H1337)</f>
        <v>936</v>
      </c>
      <c r="J1337" s="1" t="str">
        <f aca="false">_xlfn.IFS(AND(F1337&gt;=8,G1337&gt;=8,H1337&gt;=8),"CHAMPION",AND(F1337&gt;=6,G1337&gt;=7,H1337&gt;=6),"LOYAL CUSTOMER",AND(F1337&gt;=6,G1337&gt;=5,H1337&gt;=5),"POTENTIAL LOYALIST",AND(F1337&gt;=8,G1337&lt;=2,H1337&gt;=5),"NEW CUSTOMERS",AND(F1337&gt;=6,G1337&lt;=2,H1337&gt;=3),"PROMISING",AND(F1337&gt;=3,G1337&gt;=3,H1337&gt;=3),"NEED ATTENTION",AND(F1337&lt;=4,G1337&gt;=6,H1337&gt;=6),"AT RISK",AND(F1337&lt;=2,G1337&gt;=8,H1337&gt;=8),"CAN'T LOSE THEM",AND(F1337&lt;=2,G1337&lt;=2,H1337&lt;=2),"HIBERNATING",TRUE(),"Other")</f>
        <v>NEED ATTENTION</v>
      </c>
      <c r="K1337" s="1" t="n">
        <f aca="false">RANK(E1337,$E$7:$E$4378)+COUNTIF($E$7:E1337,E1337)-1</f>
        <v>1657</v>
      </c>
    </row>
    <row r="1338" customFormat="false" ht="14.25" hidden="false" customHeight="true" outlineLevel="0" collapsed="false">
      <c r="A1338" s="51" t="n">
        <v>14139</v>
      </c>
      <c r="B1338" s="53" t="n">
        <v>40840.5652777778</v>
      </c>
      <c r="C1338" s="57" t="n">
        <f aca="false">INT($C$2)-INT(Table3[[#This Row],[Last Purchase Date]])</f>
        <v>47</v>
      </c>
      <c r="D1338" s="1" t="n">
        <v>1</v>
      </c>
      <c r="E1338" s="1" t="n">
        <v>415.82</v>
      </c>
      <c r="F1338" s="1" t="n">
        <f aca="false">ROUND((1-_xlfn.PERCENTRANK.INC($C$7:$C$4378,C1338))*9,0)</f>
        <v>5</v>
      </c>
      <c r="G1338" s="1" t="n">
        <f aca="false">ROUND(_xlfn.PERCENTRANK.INC($D$7:$D$4378,D1338)*9,0)</f>
        <v>0</v>
      </c>
      <c r="H1338" s="1" t="n">
        <f aca="false">ROUND(_xlfn.PERCENTRANK.INC($E$7:$E$4378,E1338)*9,0)</f>
        <v>3</v>
      </c>
      <c r="I1338" s="1" t="str">
        <f aca="false">CONCATENATE(F1338,G1338,H1338)</f>
        <v>503</v>
      </c>
      <c r="J1338" s="1" t="str">
        <f aca="false">_xlfn.IFS(AND(F1338&gt;=8,G1338&gt;=8,H1338&gt;=8),"CHAMPION",AND(F1338&gt;=6,G1338&gt;=7,H1338&gt;=6),"LOYAL CUSTOMER",AND(F1338&gt;=6,G1338&gt;=5,H1338&gt;=5),"POTENTIAL LOYALIST",AND(F1338&gt;=8,G1338&lt;=2,H1338&gt;=5),"NEW CUSTOMERS",AND(F1338&gt;=6,G1338&lt;=2,H1338&gt;=3),"PROMISING",AND(F1338&gt;=3,G1338&gt;=3,H1338&gt;=3),"NEED ATTENTION",AND(F1338&lt;=4,G1338&gt;=6,H1338&gt;=6),"AT RISK",AND(F1338&lt;=2,G1338&gt;=8,H1338&gt;=8),"CAN'T LOSE THEM",AND(F1338&lt;=2,G1338&lt;=2,H1338&lt;=2),"HIBERNATING",TRUE(),"Other")</f>
        <v>Other</v>
      </c>
      <c r="K1338" s="1" t="n">
        <f aca="false">RANK(E1338,$E$7:$E$4378)+COUNTIF($E$7:E1338,E1338)-1</f>
        <v>2768</v>
      </c>
    </row>
    <row r="1339" customFormat="false" ht="14.25" hidden="false" customHeight="true" outlineLevel="0" collapsed="false">
      <c r="A1339" s="51" t="n">
        <v>14140</v>
      </c>
      <c r="B1339" s="53" t="n">
        <v>40883.3784722222</v>
      </c>
      <c r="C1339" s="57" t="n">
        <f aca="false">INT($C$2)-INT(Table3[[#This Row],[Last Purchase Date]])</f>
        <v>4</v>
      </c>
      <c r="D1339" s="1" t="n">
        <v>3</v>
      </c>
      <c r="E1339" s="1" t="n">
        <v>920.05</v>
      </c>
      <c r="F1339" s="1" t="n">
        <f aca="false">ROUND((1-_xlfn.PERCENTRANK.INC($C$7:$C$4378,C1339))*9,0)</f>
        <v>8</v>
      </c>
      <c r="G1339" s="1" t="n">
        <f aca="false">ROUND(_xlfn.PERCENTRANK.INC($D$7:$D$4378,D1339)*9,0)</f>
        <v>4</v>
      </c>
      <c r="H1339" s="1" t="n">
        <f aca="false">ROUND(_xlfn.PERCENTRANK.INC($E$7:$E$4378,E1339)*9,0)</f>
        <v>5</v>
      </c>
      <c r="I1339" s="1" t="str">
        <f aca="false">CONCATENATE(F1339,G1339,H1339)</f>
        <v>845</v>
      </c>
      <c r="J1339" s="1" t="str">
        <f aca="false">_xlfn.IFS(AND(F1339&gt;=8,G1339&gt;=8,H1339&gt;=8),"CHAMPION",AND(F1339&gt;=6,G1339&gt;=7,H1339&gt;=6),"LOYAL CUSTOMER",AND(F1339&gt;=6,G1339&gt;=5,H1339&gt;=5),"POTENTIAL LOYALIST",AND(F1339&gt;=8,G1339&lt;=2,H1339&gt;=5),"NEW CUSTOMERS",AND(F1339&gt;=6,G1339&lt;=2,H1339&gt;=3),"PROMISING",AND(F1339&gt;=3,G1339&gt;=3,H1339&gt;=3),"NEED ATTENTION",AND(F1339&lt;=4,G1339&gt;=6,H1339&gt;=6),"AT RISK",AND(F1339&lt;=2,G1339&gt;=8,H1339&gt;=8),"CAN'T LOSE THEM",AND(F1339&lt;=2,G1339&lt;=2,H1339&lt;=2),"HIBERNATING",TRUE(),"Other")</f>
        <v>NEED ATTENTION</v>
      </c>
      <c r="K1339" s="1" t="n">
        <f aca="false">RANK(E1339,$E$7:$E$4378)+COUNTIF($E$7:E1339,E1339)-1</f>
        <v>1728</v>
      </c>
    </row>
    <row r="1340" customFormat="false" ht="14.25" hidden="false" customHeight="true" outlineLevel="0" collapsed="false">
      <c r="A1340" s="51" t="n">
        <v>14141</v>
      </c>
      <c r="B1340" s="53" t="n">
        <v>40884.4118055556</v>
      </c>
      <c r="C1340" s="57" t="n">
        <f aca="false">INT($C$2)-INT(Table3[[#This Row],[Last Purchase Date]])</f>
        <v>3</v>
      </c>
      <c r="D1340" s="1" t="n">
        <v>6</v>
      </c>
      <c r="E1340" s="1" t="n">
        <v>879.03</v>
      </c>
      <c r="F1340" s="1" t="n">
        <f aca="false">ROUND((1-_xlfn.PERCENTRANK.INC($C$7:$C$4378,C1340))*9,0)</f>
        <v>9</v>
      </c>
      <c r="G1340" s="1" t="n">
        <f aca="false">ROUND(_xlfn.PERCENTRANK.INC($D$7:$D$4378,D1340)*9,0)</f>
        <v>7</v>
      </c>
      <c r="H1340" s="1" t="n">
        <f aca="false">ROUND(_xlfn.PERCENTRANK.INC($E$7:$E$4378,E1340)*9,0)</f>
        <v>5</v>
      </c>
      <c r="I1340" s="1" t="str">
        <f aca="false">CONCATENATE(F1340,G1340,H1340)</f>
        <v>975</v>
      </c>
      <c r="J1340" s="1" t="str">
        <f aca="false">_xlfn.IFS(AND(F1340&gt;=8,G1340&gt;=8,H1340&gt;=8),"CHAMPION",AND(F1340&gt;=6,G1340&gt;=7,H1340&gt;=6),"LOYAL CUSTOMER",AND(F1340&gt;=6,G1340&gt;=5,H1340&gt;=5),"POTENTIAL LOYALIST",AND(F1340&gt;=8,G1340&lt;=2,H1340&gt;=5),"NEW CUSTOMERS",AND(F1340&gt;=6,G1340&lt;=2,H1340&gt;=3),"PROMISING",AND(F1340&gt;=3,G1340&gt;=3,H1340&gt;=3),"NEED ATTENTION",AND(F1340&lt;=4,G1340&gt;=6,H1340&gt;=6),"AT RISK",AND(F1340&lt;=2,G1340&gt;=8,H1340&gt;=8),"CAN'T LOSE THEM",AND(F1340&lt;=2,G1340&lt;=2,H1340&lt;=2),"HIBERNATING",TRUE(),"Other")</f>
        <v>POTENTIAL LOYALIST</v>
      </c>
      <c r="K1340" s="1" t="n">
        <f aca="false">RANK(E1340,$E$7:$E$4378)+COUNTIF($E$7:E1340,E1340)-1</f>
        <v>1789</v>
      </c>
    </row>
    <row r="1341" customFormat="false" ht="14.25" hidden="false" customHeight="true" outlineLevel="0" collapsed="false">
      <c r="A1341" s="51" t="n">
        <v>14142</v>
      </c>
      <c r="B1341" s="53" t="n">
        <v>40513.6895833333</v>
      </c>
      <c r="C1341" s="57" t="n">
        <f aca="false">INT($C$2)-INT(Table3[[#This Row],[Last Purchase Date]])</f>
        <v>374</v>
      </c>
      <c r="D1341" s="1" t="n">
        <v>1</v>
      </c>
      <c r="E1341" s="1" t="n">
        <v>311.81</v>
      </c>
      <c r="F1341" s="1" t="n">
        <f aca="false">ROUND((1-_xlfn.PERCENTRANK.INC($C$7:$C$4378,C1341))*9,0)</f>
        <v>0</v>
      </c>
      <c r="G1341" s="1" t="n">
        <f aca="false">ROUND(_xlfn.PERCENTRANK.INC($D$7:$D$4378,D1341)*9,0)</f>
        <v>0</v>
      </c>
      <c r="H1341" s="1" t="n">
        <f aca="false">ROUND(_xlfn.PERCENTRANK.INC($E$7:$E$4378,E1341)*9,0)</f>
        <v>2</v>
      </c>
      <c r="I1341" s="1" t="str">
        <f aca="false">CONCATENATE(F1341,G1341,H1341)</f>
        <v>002</v>
      </c>
      <c r="J1341" s="1" t="str">
        <f aca="false">_xlfn.IFS(AND(F1341&gt;=8,G1341&gt;=8,H1341&gt;=8),"CHAMPION",AND(F1341&gt;=6,G1341&gt;=7,H1341&gt;=6),"LOYAL CUSTOMER",AND(F1341&gt;=6,G1341&gt;=5,H1341&gt;=5),"POTENTIAL LOYALIST",AND(F1341&gt;=8,G1341&lt;=2,H1341&gt;=5),"NEW CUSTOMERS",AND(F1341&gt;=6,G1341&lt;=2,H1341&gt;=3),"PROMISING",AND(F1341&gt;=3,G1341&gt;=3,H1341&gt;=3),"NEED ATTENTION",AND(F1341&lt;=4,G1341&gt;=6,H1341&gt;=6),"AT RISK",AND(F1341&lt;=2,G1341&gt;=8,H1341&gt;=8),"CAN'T LOSE THEM",AND(F1341&lt;=2,G1341&lt;=2,H1341&lt;=2),"HIBERNATING",TRUE(),"Other")</f>
        <v>HIBERNATING</v>
      </c>
      <c r="K1341" s="1" t="n">
        <f aca="false">RANK(E1341,$E$7:$E$4378)+COUNTIF($E$7:E1341,E1341)-1</f>
        <v>3183</v>
      </c>
    </row>
    <row r="1342" customFormat="false" ht="14.25" hidden="false" customHeight="true" outlineLevel="0" collapsed="false">
      <c r="A1342" s="51" t="n">
        <v>14143</v>
      </c>
      <c r="B1342" s="53" t="n">
        <v>40753.4083333333</v>
      </c>
      <c r="C1342" s="57" t="n">
        <f aca="false">INT($C$2)-INT(Table3[[#This Row],[Last Purchase Date]])</f>
        <v>134</v>
      </c>
      <c r="D1342" s="1" t="n">
        <v>1</v>
      </c>
      <c r="E1342" s="1" t="n">
        <v>115.8</v>
      </c>
      <c r="F1342" s="1" t="n">
        <f aca="false">ROUND((1-_xlfn.PERCENTRANK.INC($C$7:$C$4378,C1342))*9,0)</f>
        <v>2</v>
      </c>
      <c r="G1342" s="1" t="n">
        <f aca="false">ROUND(_xlfn.PERCENTRANK.INC($D$7:$D$4378,D1342)*9,0)</f>
        <v>0</v>
      </c>
      <c r="H1342" s="1" t="n">
        <f aca="false">ROUND(_xlfn.PERCENTRANK.INC($E$7:$E$4378,E1342)*9,0)</f>
        <v>1</v>
      </c>
      <c r="I1342" s="1" t="str">
        <f aca="false">CONCATENATE(F1342,G1342,H1342)</f>
        <v>201</v>
      </c>
      <c r="J1342" s="1" t="str">
        <f aca="false">_xlfn.IFS(AND(F1342&gt;=8,G1342&gt;=8,H1342&gt;=8),"CHAMPION",AND(F1342&gt;=6,G1342&gt;=7,H1342&gt;=6),"LOYAL CUSTOMER",AND(F1342&gt;=6,G1342&gt;=5,H1342&gt;=5),"POTENTIAL LOYALIST",AND(F1342&gt;=8,G1342&lt;=2,H1342&gt;=5),"NEW CUSTOMERS",AND(F1342&gt;=6,G1342&lt;=2,H1342&gt;=3),"PROMISING",AND(F1342&gt;=3,G1342&gt;=3,H1342&gt;=3),"NEED ATTENTION",AND(F1342&lt;=4,G1342&gt;=6,H1342&gt;=6),"AT RISK",AND(F1342&lt;=2,G1342&gt;=8,H1342&gt;=8),"CAN'T LOSE THEM",AND(F1342&lt;=2,G1342&lt;=2,H1342&lt;=2),"HIBERNATING",TRUE(),"Other")</f>
        <v>HIBERNATING</v>
      </c>
      <c r="K1342" s="1" t="n">
        <f aca="false">RANK(E1342,$E$7:$E$4378)+COUNTIF($E$7:E1342,E1342)-1</f>
        <v>4068</v>
      </c>
    </row>
    <row r="1343" customFormat="false" ht="14.25" hidden="false" customHeight="true" outlineLevel="0" collapsed="false">
      <c r="A1343" s="51" t="n">
        <v>14145</v>
      </c>
      <c r="B1343" s="53" t="n">
        <v>40840.5069444445</v>
      </c>
      <c r="C1343" s="57" t="n">
        <f aca="false">INT($C$2)-INT(Table3[[#This Row],[Last Purchase Date]])</f>
        <v>47</v>
      </c>
      <c r="D1343" s="1" t="n">
        <v>5</v>
      </c>
      <c r="E1343" s="1" t="n">
        <v>3148.2</v>
      </c>
      <c r="F1343" s="1" t="n">
        <f aca="false">ROUND((1-_xlfn.PERCENTRANK.INC($C$7:$C$4378,C1343))*9,0)</f>
        <v>5</v>
      </c>
      <c r="G1343" s="1" t="n">
        <f aca="false">ROUND(_xlfn.PERCENTRANK.INC($D$7:$D$4378,D1343)*9,0)</f>
        <v>6</v>
      </c>
      <c r="H1343" s="1" t="n">
        <f aca="false">ROUND(_xlfn.PERCENTRANK.INC($E$7:$E$4378,E1343)*9,0)</f>
        <v>8</v>
      </c>
      <c r="I1343" s="1" t="str">
        <f aca="false">CONCATENATE(F1343,G1343,H1343)</f>
        <v>568</v>
      </c>
      <c r="J1343" s="1" t="str">
        <f aca="false">_xlfn.IFS(AND(F1343&gt;=8,G1343&gt;=8,H1343&gt;=8),"CHAMPION",AND(F1343&gt;=6,G1343&gt;=7,H1343&gt;=6),"LOYAL CUSTOMER",AND(F1343&gt;=6,G1343&gt;=5,H1343&gt;=5),"POTENTIAL LOYALIST",AND(F1343&gt;=8,G1343&lt;=2,H1343&gt;=5),"NEW CUSTOMERS",AND(F1343&gt;=6,G1343&lt;=2,H1343&gt;=3),"PROMISING",AND(F1343&gt;=3,G1343&gt;=3,H1343&gt;=3),"NEED ATTENTION",AND(F1343&lt;=4,G1343&gt;=6,H1343&gt;=6),"AT RISK",AND(F1343&lt;=2,G1343&gt;=8,H1343&gt;=8),"CAN'T LOSE THEM",AND(F1343&lt;=2,G1343&lt;=2,H1343&lt;=2),"HIBERNATING",TRUE(),"Other")</f>
        <v>NEED ATTENTION</v>
      </c>
      <c r="K1343" s="1" t="n">
        <f aca="false">RANK(E1343,$E$7:$E$4378)+COUNTIF($E$7:E1343,E1343)-1</f>
        <v>504</v>
      </c>
    </row>
    <row r="1344" customFormat="false" ht="14.25" hidden="false" customHeight="true" outlineLevel="0" collapsed="false">
      <c r="A1344" s="51" t="n">
        <v>14146</v>
      </c>
      <c r="B1344" s="53" t="n">
        <v>40878.4291666667</v>
      </c>
      <c r="C1344" s="57" t="n">
        <f aca="false">INT($C$2)-INT(Table3[[#This Row],[Last Purchase Date]])</f>
        <v>9</v>
      </c>
      <c r="D1344" s="1" t="n">
        <v>6</v>
      </c>
      <c r="E1344" s="1" t="n">
        <v>2949.57</v>
      </c>
      <c r="F1344" s="1" t="n">
        <f aca="false">ROUND((1-_xlfn.PERCENTRANK.INC($C$7:$C$4378,C1344))*9,0)</f>
        <v>8</v>
      </c>
      <c r="G1344" s="1" t="n">
        <f aca="false">ROUND(_xlfn.PERCENTRANK.INC($D$7:$D$4378,D1344)*9,0)</f>
        <v>7</v>
      </c>
      <c r="H1344" s="1" t="n">
        <f aca="false">ROUND(_xlfn.PERCENTRANK.INC($E$7:$E$4378,E1344)*9,0)</f>
        <v>8</v>
      </c>
      <c r="I1344" s="1" t="str">
        <f aca="false">CONCATENATE(F1344,G1344,H1344)</f>
        <v>878</v>
      </c>
      <c r="J1344" s="1" t="str">
        <f aca="false">_xlfn.IFS(AND(F1344&gt;=8,G1344&gt;=8,H1344&gt;=8),"CHAMPION",AND(F1344&gt;=6,G1344&gt;=7,H1344&gt;=6),"LOYAL CUSTOMER",AND(F1344&gt;=6,G1344&gt;=5,H1344&gt;=5),"POTENTIAL LOYALIST",AND(F1344&gt;=8,G1344&lt;=2,H1344&gt;=5),"NEW CUSTOMERS",AND(F1344&gt;=6,G1344&lt;=2,H1344&gt;=3),"PROMISING",AND(F1344&gt;=3,G1344&gt;=3,H1344&gt;=3),"NEED ATTENTION",AND(F1344&lt;=4,G1344&gt;=6,H1344&gt;=6),"AT RISK",AND(F1344&lt;=2,G1344&gt;=8,H1344&gt;=8),"CAN'T LOSE THEM",AND(F1344&lt;=2,G1344&lt;=2,H1344&lt;=2),"HIBERNATING",TRUE(),"Other")</f>
        <v>LOYAL CUSTOMER</v>
      </c>
      <c r="K1344" s="1" t="n">
        <f aca="false">RANK(E1344,$E$7:$E$4378)+COUNTIF($E$7:E1344,E1344)-1</f>
        <v>551</v>
      </c>
    </row>
    <row r="1345" customFormat="false" ht="14.25" hidden="false" customHeight="true" outlineLevel="0" collapsed="false">
      <c r="A1345" s="51" t="n">
        <v>14147</v>
      </c>
      <c r="B1345" s="53" t="n">
        <v>40837.5666666667</v>
      </c>
      <c r="C1345" s="57" t="n">
        <f aca="false">INT($C$2)-INT(Table3[[#This Row],[Last Purchase Date]])</f>
        <v>50</v>
      </c>
      <c r="D1345" s="1" t="n">
        <v>3</v>
      </c>
      <c r="E1345" s="1" t="n">
        <v>468.4</v>
      </c>
      <c r="F1345" s="1" t="n">
        <f aca="false">ROUND((1-_xlfn.PERCENTRANK.INC($C$7:$C$4378,C1345))*9,0)</f>
        <v>5</v>
      </c>
      <c r="G1345" s="1" t="n">
        <f aca="false">ROUND(_xlfn.PERCENTRANK.INC($D$7:$D$4378,D1345)*9,0)</f>
        <v>4</v>
      </c>
      <c r="H1345" s="1" t="n">
        <f aca="false">ROUND(_xlfn.PERCENTRANK.INC($E$7:$E$4378,E1345)*9,0)</f>
        <v>4</v>
      </c>
      <c r="I1345" s="1" t="str">
        <f aca="false">CONCATENATE(F1345,G1345,H1345)</f>
        <v>544</v>
      </c>
      <c r="J1345" s="1" t="str">
        <f aca="false">_xlfn.IFS(AND(F1345&gt;=8,G1345&gt;=8,H1345&gt;=8),"CHAMPION",AND(F1345&gt;=6,G1345&gt;=7,H1345&gt;=6),"LOYAL CUSTOMER",AND(F1345&gt;=6,G1345&gt;=5,H1345&gt;=5),"POTENTIAL LOYALIST",AND(F1345&gt;=8,G1345&lt;=2,H1345&gt;=5),"NEW CUSTOMERS",AND(F1345&gt;=6,G1345&lt;=2,H1345&gt;=3),"PROMISING",AND(F1345&gt;=3,G1345&gt;=3,H1345&gt;=3),"NEED ATTENTION",AND(F1345&lt;=4,G1345&gt;=6,H1345&gt;=6),"AT RISK",AND(F1345&lt;=2,G1345&gt;=8,H1345&gt;=8),"CAN'T LOSE THEM",AND(F1345&lt;=2,G1345&lt;=2,H1345&lt;=2),"HIBERNATING",TRUE(),"Other")</f>
        <v>NEED ATTENTION</v>
      </c>
      <c r="K1345" s="1" t="n">
        <f aca="false">RANK(E1345,$E$7:$E$4378)+COUNTIF($E$7:E1345,E1345)-1</f>
        <v>2618</v>
      </c>
    </row>
    <row r="1346" customFormat="false" ht="14.25" hidden="false" customHeight="true" outlineLevel="0" collapsed="false">
      <c r="A1346" s="51" t="n">
        <v>14148</v>
      </c>
      <c r="B1346" s="53" t="n">
        <v>40653.5013888889</v>
      </c>
      <c r="C1346" s="57" t="n">
        <f aca="false">INT($C$2)-INT(Table3[[#This Row],[Last Purchase Date]])</f>
        <v>234</v>
      </c>
      <c r="D1346" s="1" t="n">
        <v>1</v>
      </c>
      <c r="E1346" s="1" t="n">
        <v>157.2</v>
      </c>
      <c r="F1346" s="1" t="n">
        <f aca="false">ROUND((1-_xlfn.PERCENTRANK.INC($C$7:$C$4378,C1346))*9,0)</f>
        <v>1</v>
      </c>
      <c r="G1346" s="1" t="n">
        <f aca="false">ROUND(_xlfn.PERCENTRANK.INC($D$7:$D$4378,D1346)*9,0)</f>
        <v>0</v>
      </c>
      <c r="H1346" s="1" t="n">
        <f aca="false">ROUND(_xlfn.PERCENTRANK.INC($E$7:$E$4378,E1346)*9,0)</f>
        <v>1</v>
      </c>
      <c r="I1346" s="1" t="str">
        <f aca="false">CONCATENATE(F1346,G1346,H1346)</f>
        <v>101</v>
      </c>
      <c r="J1346" s="1" t="str">
        <f aca="false">_xlfn.IFS(AND(F1346&gt;=8,G1346&gt;=8,H1346&gt;=8),"CHAMPION",AND(F1346&gt;=6,G1346&gt;=7,H1346&gt;=6),"LOYAL CUSTOMER",AND(F1346&gt;=6,G1346&gt;=5,H1346&gt;=5),"POTENTIAL LOYALIST",AND(F1346&gt;=8,G1346&lt;=2,H1346&gt;=5),"NEW CUSTOMERS",AND(F1346&gt;=6,G1346&lt;=2,H1346&gt;=3),"PROMISING",AND(F1346&gt;=3,G1346&gt;=3,H1346&gt;=3),"NEED ATTENTION",AND(F1346&lt;=4,G1346&gt;=6,H1346&gt;=6),"AT RISK",AND(F1346&lt;=2,G1346&gt;=8,H1346&gt;=8),"CAN'T LOSE THEM",AND(F1346&lt;=2,G1346&lt;=2,H1346&lt;=2),"HIBERNATING",TRUE(),"Other")</f>
        <v>HIBERNATING</v>
      </c>
      <c r="K1346" s="1" t="n">
        <f aca="false">RANK(E1346,$E$7:$E$4378)+COUNTIF($E$7:E1346,E1346)-1</f>
        <v>3872</v>
      </c>
    </row>
    <row r="1347" customFormat="false" ht="14.25" hidden="false" customHeight="true" outlineLevel="0" collapsed="false">
      <c r="A1347" s="51" t="n">
        <v>14149</v>
      </c>
      <c r="B1347" s="53" t="n">
        <v>40674.5236111111</v>
      </c>
      <c r="C1347" s="57" t="n">
        <f aca="false">INT($C$2)-INT(Table3[[#This Row],[Last Purchase Date]])</f>
        <v>213</v>
      </c>
      <c r="D1347" s="1" t="n">
        <v>3</v>
      </c>
      <c r="E1347" s="1" t="n">
        <v>259.43</v>
      </c>
      <c r="F1347" s="1" t="n">
        <f aca="false">ROUND((1-_xlfn.PERCENTRANK.INC($C$7:$C$4378,C1347))*9,0)</f>
        <v>1</v>
      </c>
      <c r="G1347" s="1" t="n">
        <f aca="false">ROUND(_xlfn.PERCENTRANK.INC($D$7:$D$4378,D1347)*9,0)</f>
        <v>4</v>
      </c>
      <c r="H1347" s="1" t="n">
        <f aca="false">ROUND(_xlfn.PERCENTRANK.INC($E$7:$E$4378,E1347)*9,0)</f>
        <v>2</v>
      </c>
      <c r="I1347" s="1" t="str">
        <f aca="false">CONCATENATE(F1347,G1347,H1347)</f>
        <v>142</v>
      </c>
      <c r="J1347" s="1" t="str">
        <f aca="false">_xlfn.IFS(AND(F1347&gt;=8,G1347&gt;=8,H1347&gt;=8),"CHAMPION",AND(F1347&gt;=6,G1347&gt;=7,H1347&gt;=6),"LOYAL CUSTOMER",AND(F1347&gt;=6,G1347&gt;=5,H1347&gt;=5),"POTENTIAL LOYALIST",AND(F1347&gt;=8,G1347&lt;=2,H1347&gt;=5),"NEW CUSTOMERS",AND(F1347&gt;=6,G1347&lt;=2,H1347&gt;=3),"PROMISING",AND(F1347&gt;=3,G1347&gt;=3,H1347&gt;=3),"NEED ATTENTION",AND(F1347&lt;=4,G1347&gt;=6,H1347&gt;=6),"AT RISK",AND(F1347&lt;=2,G1347&gt;=8,H1347&gt;=8),"CAN'T LOSE THEM",AND(F1347&lt;=2,G1347&lt;=2,H1347&lt;=2),"HIBERNATING",TRUE(),"Other")</f>
        <v>Other</v>
      </c>
      <c r="K1347" s="1" t="n">
        <f aca="false">RANK(E1347,$E$7:$E$4378)+COUNTIF($E$7:E1347,E1347)-1</f>
        <v>3397</v>
      </c>
    </row>
    <row r="1348" customFormat="false" ht="14.25" hidden="false" customHeight="true" outlineLevel="0" collapsed="false">
      <c r="A1348" s="51" t="n">
        <v>14150</v>
      </c>
      <c r="B1348" s="53" t="n">
        <v>40851.4201388889</v>
      </c>
      <c r="C1348" s="57" t="n">
        <f aca="false">INT($C$2)-INT(Table3[[#This Row],[Last Purchase Date]])</f>
        <v>36</v>
      </c>
      <c r="D1348" s="1" t="n">
        <v>2</v>
      </c>
      <c r="E1348" s="1" t="n">
        <v>658.64</v>
      </c>
      <c r="F1348" s="1" t="n">
        <f aca="false">ROUND((1-_xlfn.PERCENTRANK.INC($C$7:$C$4378,C1348))*9,0)</f>
        <v>5</v>
      </c>
      <c r="G1348" s="1" t="n">
        <f aca="false">ROUND(_xlfn.PERCENTRANK.INC($D$7:$D$4378,D1348)*9,0)</f>
        <v>3</v>
      </c>
      <c r="H1348" s="1" t="n">
        <f aca="false">ROUND(_xlfn.PERCENTRANK.INC($E$7:$E$4378,E1348)*9,0)</f>
        <v>5</v>
      </c>
      <c r="I1348" s="1" t="str">
        <f aca="false">CONCATENATE(F1348,G1348,H1348)</f>
        <v>535</v>
      </c>
      <c r="J1348" s="1" t="str">
        <f aca="false">_xlfn.IFS(AND(F1348&gt;=8,G1348&gt;=8,H1348&gt;=8),"CHAMPION",AND(F1348&gt;=6,G1348&gt;=7,H1348&gt;=6),"LOYAL CUSTOMER",AND(F1348&gt;=6,G1348&gt;=5,H1348&gt;=5),"POTENTIAL LOYALIST",AND(F1348&gt;=8,G1348&lt;=2,H1348&gt;=5),"NEW CUSTOMERS",AND(F1348&gt;=6,G1348&lt;=2,H1348&gt;=3),"PROMISING",AND(F1348&gt;=3,G1348&gt;=3,H1348&gt;=3),"NEED ATTENTION",AND(F1348&lt;=4,G1348&gt;=6,H1348&gt;=6),"AT RISK",AND(F1348&lt;=2,G1348&gt;=8,H1348&gt;=8),"CAN'T LOSE THEM",AND(F1348&lt;=2,G1348&lt;=2,H1348&lt;=2),"HIBERNATING",TRUE(),"Other")</f>
        <v>NEED ATTENTION</v>
      </c>
      <c r="K1348" s="1" t="n">
        <f aca="false">RANK(E1348,$E$7:$E$4378)+COUNTIF($E$7:E1348,E1348)-1</f>
        <v>2158</v>
      </c>
    </row>
    <row r="1349" customFormat="false" ht="14.25" hidden="false" customHeight="true" outlineLevel="0" collapsed="false">
      <c r="A1349" s="51" t="n">
        <v>14152</v>
      </c>
      <c r="B1349" s="53" t="n">
        <v>40811.5375</v>
      </c>
      <c r="C1349" s="57" t="n">
        <f aca="false">INT($C$2)-INT(Table3[[#This Row],[Last Purchase Date]])</f>
        <v>76</v>
      </c>
      <c r="D1349" s="1" t="n">
        <v>3</v>
      </c>
      <c r="E1349" s="1" t="n">
        <v>611.09</v>
      </c>
      <c r="F1349" s="1" t="n">
        <f aca="false">ROUND((1-_xlfn.PERCENTRANK.INC($C$7:$C$4378,C1349))*9,0)</f>
        <v>3</v>
      </c>
      <c r="G1349" s="1" t="n">
        <f aca="false">ROUND(_xlfn.PERCENTRANK.INC($D$7:$D$4378,D1349)*9,0)</f>
        <v>4</v>
      </c>
      <c r="H1349" s="1" t="n">
        <f aca="false">ROUND(_xlfn.PERCENTRANK.INC($E$7:$E$4378,E1349)*9,0)</f>
        <v>4</v>
      </c>
      <c r="I1349" s="1" t="str">
        <f aca="false">CONCATENATE(F1349,G1349,H1349)</f>
        <v>344</v>
      </c>
      <c r="J1349" s="1" t="str">
        <f aca="false">_xlfn.IFS(AND(F1349&gt;=8,G1349&gt;=8,H1349&gt;=8),"CHAMPION",AND(F1349&gt;=6,G1349&gt;=7,H1349&gt;=6),"LOYAL CUSTOMER",AND(F1349&gt;=6,G1349&gt;=5,H1349&gt;=5),"POTENTIAL LOYALIST",AND(F1349&gt;=8,G1349&lt;=2,H1349&gt;=5),"NEW CUSTOMERS",AND(F1349&gt;=6,G1349&lt;=2,H1349&gt;=3),"PROMISING",AND(F1349&gt;=3,G1349&gt;=3,H1349&gt;=3),"NEED ATTENTION",AND(F1349&lt;=4,G1349&gt;=6,H1349&gt;=6),"AT RISK",AND(F1349&lt;=2,G1349&gt;=8,H1349&gt;=8),"CAN'T LOSE THEM",AND(F1349&lt;=2,G1349&lt;=2,H1349&lt;=2),"HIBERNATING",TRUE(),"Other")</f>
        <v>NEED ATTENTION</v>
      </c>
      <c r="K1349" s="1" t="n">
        <f aca="false">RANK(E1349,$E$7:$E$4378)+COUNTIF($E$7:E1349,E1349)-1</f>
        <v>2279</v>
      </c>
    </row>
    <row r="1350" customFormat="false" ht="14.25" hidden="false" customHeight="true" outlineLevel="0" collapsed="false">
      <c r="A1350" s="51" t="n">
        <v>14154</v>
      </c>
      <c r="B1350" s="53" t="n">
        <v>40647.6847222222</v>
      </c>
      <c r="C1350" s="57" t="n">
        <f aca="false">INT($C$2)-INT(Table3[[#This Row],[Last Purchase Date]])</f>
        <v>240</v>
      </c>
      <c r="D1350" s="1" t="n">
        <v>2</v>
      </c>
      <c r="E1350" s="1" t="n">
        <v>1345.62</v>
      </c>
      <c r="F1350" s="1" t="n">
        <f aca="false">ROUND((1-_xlfn.PERCENTRANK.INC($C$7:$C$4378,C1350))*9,0)</f>
        <v>1</v>
      </c>
      <c r="G1350" s="1" t="n">
        <f aca="false">ROUND(_xlfn.PERCENTRANK.INC($D$7:$D$4378,D1350)*9,0)</f>
        <v>3</v>
      </c>
      <c r="H1350" s="1" t="n">
        <f aca="false">ROUND(_xlfn.PERCENTRANK.INC($E$7:$E$4378,E1350)*9,0)</f>
        <v>6</v>
      </c>
      <c r="I1350" s="1" t="str">
        <f aca="false">CONCATENATE(F1350,G1350,H1350)</f>
        <v>136</v>
      </c>
      <c r="J1350" s="1" t="str">
        <f aca="false">_xlfn.IFS(AND(F1350&gt;=8,G1350&gt;=8,H1350&gt;=8),"CHAMPION",AND(F1350&gt;=6,G1350&gt;=7,H1350&gt;=6),"LOYAL CUSTOMER",AND(F1350&gt;=6,G1350&gt;=5,H1350&gt;=5),"POTENTIAL LOYALIST",AND(F1350&gt;=8,G1350&lt;=2,H1350&gt;=5),"NEW CUSTOMERS",AND(F1350&gt;=6,G1350&lt;=2,H1350&gt;=3),"PROMISING",AND(F1350&gt;=3,G1350&gt;=3,H1350&gt;=3),"NEED ATTENTION",AND(F1350&lt;=4,G1350&gt;=6,H1350&gt;=6),"AT RISK",AND(F1350&lt;=2,G1350&gt;=8,H1350&gt;=8),"CAN'T LOSE THEM",AND(F1350&lt;=2,G1350&lt;=2,H1350&lt;=2),"HIBERNATING",TRUE(),"Other")</f>
        <v>Other</v>
      </c>
      <c r="K1350" s="1" t="n">
        <f aca="false">RANK(E1350,$E$7:$E$4378)+COUNTIF($E$7:E1350,E1350)-1</f>
        <v>1281</v>
      </c>
    </row>
    <row r="1351" customFormat="false" ht="14.25" hidden="false" customHeight="true" outlineLevel="0" collapsed="false">
      <c r="A1351" s="51" t="n">
        <v>14155</v>
      </c>
      <c r="B1351" s="53" t="n">
        <v>40620.5923611111</v>
      </c>
      <c r="C1351" s="57" t="n">
        <f aca="false">INT($C$2)-INT(Table3[[#This Row],[Last Purchase Date]])</f>
        <v>267</v>
      </c>
      <c r="D1351" s="1" t="n">
        <v>1</v>
      </c>
      <c r="E1351" s="1" t="n">
        <v>118.75</v>
      </c>
      <c r="F1351" s="1" t="n">
        <f aca="false">ROUND((1-_xlfn.PERCENTRANK.INC($C$7:$C$4378,C1351))*9,0)</f>
        <v>1</v>
      </c>
      <c r="G1351" s="1" t="n">
        <f aca="false">ROUND(_xlfn.PERCENTRANK.INC($D$7:$D$4378,D1351)*9,0)</f>
        <v>0</v>
      </c>
      <c r="H1351" s="1" t="n">
        <f aca="false">ROUND(_xlfn.PERCENTRANK.INC($E$7:$E$4378,E1351)*9,0)</f>
        <v>1</v>
      </c>
      <c r="I1351" s="1" t="str">
        <f aca="false">CONCATENATE(F1351,G1351,H1351)</f>
        <v>101</v>
      </c>
      <c r="J1351" s="1" t="str">
        <f aca="false">_xlfn.IFS(AND(F1351&gt;=8,G1351&gt;=8,H1351&gt;=8),"CHAMPION",AND(F1351&gt;=6,G1351&gt;=7,H1351&gt;=6),"LOYAL CUSTOMER",AND(F1351&gt;=6,G1351&gt;=5,H1351&gt;=5),"POTENTIAL LOYALIST",AND(F1351&gt;=8,G1351&lt;=2,H1351&gt;=5),"NEW CUSTOMERS",AND(F1351&gt;=6,G1351&lt;=2,H1351&gt;=3),"PROMISING",AND(F1351&gt;=3,G1351&gt;=3,H1351&gt;=3),"NEED ATTENTION",AND(F1351&lt;=4,G1351&gt;=6,H1351&gt;=6),"AT RISK",AND(F1351&lt;=2,G1351&gt;=8,H1351&gt;=8),"CAN'T LOSE THEM",AND(F1351&lt;=2,G1351&lt;=2,H1351&lt;=2),"HIBERNATING",TRUE(),"Other")</f>
        <v>HIBERNATING</v>
      </c>
      <c r="K1351" s="1" t="n">
        <f aca="false">RANK(E1351,$E$7:$E$4378)+COUNTIF($E$7:E1351,E1351)-1</f>
        <v>4058</v>
      </c>
    </row>
    <row r="1352" customFormat="false" ht="14.25" hidden="false" customHeight="true" outlineLevel="0" collapsed="false">
      <c r="A1352" s="51" t="n">
        <v>14156</v>
      </c>
      <c r="B1352" s="53" t="n">
        <v>40877.4541666667</v>
      </c>
      <c r="C1352" s="57" t="n">
        <f aca="false">INT($C$2)-INT(Table3[[#This Row],[Last Purchase Date]])</f>
        <v>10</v>
      </c>
      <c r="D1352" s="1" t="n">
        <v>66</v>
      </c>
      <c r="E1352" s="1" t="n">
        <v>113384.14</v>
      </c>
      <c r="F1352" s="1" t="n">
        <f aca="false">ROUND((1-_xlfn.PERCENTRANK.INC($C$7:$C$4378,C1352))*9,0)</f>
        <v>8</v>
      </c>
      <c r="G1352" s="1" t="n">
        <f aca="false">ROUND(_xlfn.PERCENTRANK.INC($D$7:$D$4378,D1352)*9,0)</f>
        <v>9</v>
      </c>
      <c r="H1352" s="1" t="n">
        <f aca="false">ROUND(_xlfn.PERCENTRANK.INC($E$7:$E$4378,E1352)*9,0)</f>
        <v>9</v>
      </c>
      <c r="I1352" s="1" t="str">
        <f aca="false">CONCATENATE(F1352,G1352,H1352)</f>
        <v>899</v>
      </c>
      <c r="J1352" s="1" t="str">
        <f aca="false">_xlfn.IFS(AND(F1352&gt;=8,G1352&gt;=8,H1352&gt;=8),"CHAMPION",AND(F1352&gt;=6,G1352&gt;=7,H1352&gt;=6),"LOYAL CUSTOMER",AND(F1352&gt;=6,G1352&gt;=5,H1352&gt;=5),"POTENTIAL LOYALIST",AND(F1352&gt;=8,G1352&lt;=2,H1352&gt;=5),"NEW CUSTOMERS",AND(F1352&gt;=6,G1352&lt;=2,H1352&gt;=3),"PROMISING",AND(F1352&gt;=3,G1352&gt;=3,H1352&gt;=3),"NEED ATTENTION",AND(F1352&lt;=4,G1352&gt;=6,H1352&gt;=6),"AT RISK",AND(F1352&lt;=2,G1352&gt;=8,H1352&gt;=8),"CAN'T LOSE THEM",AND(F1352&lt;=2,G1352&lt;=2,H1352&lt;=2),"HIBERNATING",TRUE(),"Other")</f>
        <v>CHAMPION</v>
      </c>
      <c r="K1352" s="1" t="n">
        <f aca="false">RANK(E1352,$E$7:$E$4378)+COUNTIF($E$7:E1352,E1352)-1</f>
        <v>6</v>
      </c>
    </row>
    <row r="1353" customFormat="false" ht="14.25" hidden="false" customHeight="true" outlineLevel="0" collapsed="false">
      <c r="A1353" s="51" t="n">
        <v>14157</v>
      </c>
      <c r="B1353" s="53" t="n">
        <v>40867.4805555556</v>
      </c>
      <c r="C1353" s="57" t="n">
        <f aca="false">INT($C$2)-INT(Table3[[#This Row],[Last Purchase Date]])</f>
        <v>20</v>
      </c>
      <c r="D1353" s="1" t="n">
        <v>3</v>
      </c>
      <c r="E1353" s="1" t="n">
        <v>400.43</v>
      </c>
      <c r="F1353" s="1" t="n">
        <f aca="false">ROUND((1-_xlfn.PERCENTRANK.INC($C$7:$C$4378,C1353))*9,0)</f>
        <v>6</v>
      </c>
      <c r="G1353" s="1" t="n">
        <f aca="false">ROUND(_xlfn.PERCENTRANK.INC($D$7:$D$4378,D1353)*9,0)</f>
        <v>4</v>
      </c>
      <c r="H1353" s="1" t="n">
        <f aca="false">ROUND(_xlfn.PERCENTRANK.INC($E$7:$E$4378,E1353)*9,0)</f>
        <v>3</v>
      </c>
      <c r="I1353" s="1" t="str">
        <f aca="false">CONCATENATE(F1353,G1353,H1353)</f>
        <v>643</v>
      </c>
      <c r="J1353" s="1" t="str">
        <f aca="false">_xlfn.IFS(AND(F1353&gt;=8,G1353&gt;=8,H1353&gt;=8),"CHAMPION",AND(F1353&gt;=6,G1353&gt;=7,H1353&gt;=6),"LOYAL CUSTOMER",AND(F1353&gt;=6,G1353&gt;=5,H1353&gt;=5),"POTENTIAL LOYALIST",AND(F1353&gt;=8,G1353&lt;=2,H1353&gt;=5),"NEW CUSTOMERS",AND(F1353&gt;=6,G1353&lt;=2,H1353&gt;=3),"PROMISING",AND(F1353&gt;=3,G1353&gt;=3,H1353&gt;=3),"NEED ATTENTION",AND(F1353&lt;=4,G1353&gt;=6,H1353&gt;=6),"AT RISK",AND(F1353&lt;=2,G1353&gt;=8,H1353&gt;=8),"CAN'T LOSE THEM",AND(F1353&lt;=2,G1353&lt;=2,H1353&lt;=2),"HIBERNATING",TRUE(),"Other")</f>
        <v>NEED ATTENTION</v>
      </c>
      <c r="K1353" s="1" t="n">
        <f aca="false">RANK(E1353,$E$7:$E$4378)+COUNTIF($E$7:E1353,E1353)-1</f>
        <v>2818</v>
      </c>
    </row>
    <row r="1354" customFormat="false" ht="14.25" hidden="false" customHeight="true" outlineLevel="0" collapsed="false">
      <c r="A1354" s="51" t="n">
        <v>14158</v>
      </c>
      <c r="B1354" s="53" t="n">
        <v>40846.6305555556</v>
      </c>
      <c r="C1354" s="57" t="n">
        <f aca="false">INT($C$2)-INT(Table3[[#This Row],[Last Purchase Date]])</f>
        <v>41</v>
      </c>
      <c r="D1354" s="1" t="n">
        <v>1</v>
      </c>
      <c r="E1354" s="1" t="n">
        <v>507.66</v>
      </c>
      <c r="F1354" s="1" t="n">
        <f aca="false">ROUND((1-_xlfn.PERCENTRANK.INC($C$7:$C$4378,C1354))*9,0)</f>
        <v>5</v>
      </c>
      <c r="G1354" s="1" t="n">
        <f aca="false">ROUND(_xlfn.PERCENTRANK.INC($D$7:$D$4378,D1354)*9,0)</f>
        <v>0</v>
      </c>
      <c r="H1354" s="1" t="n">
        <f aca="false">ROUND(_xlfn.PERCENTRANK.INC($E$7:$E$4378,E1354)*9,0)</f>
        <v>4</v>
      </c>
      <c r="I1354" s="1" t="str">
        <f aca="false">CONCATENATE(F1354,G1354,H1354)</f>
        <v>504</v>
      </c>
      <c r="J1354" s="1" t="str">
        <f aca="false">_xlfn.IFS(AND(F1354&gt;=8,G1354&gt;=8,H1354&gt;=8),"CHAMPION",AND(F1354&gt;=6,G1354&gt;=7,H1354&gt;=6),"LOYAL CUSTOMER",AND(F1354&gt;=6,G1354&gt;=5,H1354&gt;=5),"POTENTIAL LOYALIST",AND(F1354&gt;=8,G1354&lt;=2,H1354&gt;=5),"NEW CUSTOMERS",AND(F1354&gt;=6,G1354&lt;=2,H1354&gt;=3),"PROMISING",AND(F1354&gt;=3,G1354&gt;=3,H1354&gt;=3),"NEED ATTENTION",AND(F1354&lt;=4,G1354&gt;=6,H1354&gt;=6),"AT RISK",AND(F1354&lt;=2,G1354&gt;=8,H1354&gt;=8),"CAN'T LOSE THEM",AND(F1354&lt;=2,G1354&lt;=2,H1354&lt;=2),"HIBERNATING",TRUE(),"Other")</f>
        <v>Other</v>
      </c>
      <c r="K1354" s="1" t="n">
        <f aca="false">RANK(E1354,$E$7:$E$4378)+COUNTIF($E$7:E1354,E1354)-1</f>
        <v>2524</v>
      </c>
    </row>
    <row r="1355" customFormat="false" ht="14.25" hidden="false" customHeight="true" outlineLevel="0" collapsed="false">
      <c r="A1355" s="51" t="n">
        <v>14159</v>
      </c>
      <c r="B1355" s="53" t="n">
        <v>40867.525</v>
      </c>
      <c r="C1355" s="57" t="n">
        <f aca="false">INT($C$2)-INT(Table3[[#This Row],[Last Purchase Date]])</f>
        <v>20</v>
      </c>
      <c r="D1355" s="1" t="n">
        <v>14</v>
      </c>
      <c r="E1355" s="1" t="n">
        <v>4678.3</v>
      </c>
      <c r="F1355" s="1" t="n">
        <f aca="false">ROUND((1-_xlfn.PERCENTRANK.INC($C$7:$C$4378,C1355))*9,0)</f>
        <v>6</v>
      </c>
      <c r="G1355" s="1" t="n">
        <f aca="false">ROUND(_xlfn.PERCENTRANK.INC($D$7:$D$4378,D1355)*9,0)</f>
        <v>8</v>
      </c>
      <c r="H1355" s="1" t="n">
        <f aca="false">ROUND(_xlfn.PERCENTRANK.INC($E$7:$E$4378,E1355)*9,0)</f>
        <v>8</v>
      </c>
      <c r="I1355" s="1" t="str">
        <f aca="false">CONCATENATE(F1355,G1355,H1355)</f>
        <v>688</v>
      </c>
      <c r="J1355" s="1" t="str">
        <f aca="false">_xlfn.IFS(AND(F1355&gt;=8,G1355&gt;=8,H1355&gt;=8),"CHAMPION",AND(F1355&gt;=6,G1355&gt;=7,H1355&gt;=6),"LOYAL CUSTOMER",AND(F1355&gt;=6,G1355&gt;=5,H1355&gt;=5),"POTENTIAL LOYALIST",AND(F1355&gt;=8,G1355&lt;=2,H1355&gt;=5),"NEW CUSTOMERS",AND(F1355&gt;=6,G1355&lt;=2,H1355&gt;=3),"PROMISING",AND(F1355&gt;=3,G1355&gt;=3,H1355&gt;=3),"NEED ATTENTION",AND(F1355&lt;=4,G1355&gt;=6,H1355&gt;=6),"AT RISK",AND(F1355&lt;=2,G1355&gt;=8,H1355&gt;=8),"CAN'T LOSE THEM",AND(F1355&lt;=2,G1355&lt;=2,H1355&lt;=2),"HIBERNATING",TRUE(),"Other")</f>
        <v>LOYAL CUSTOMER</v>
      </c>
      <c r="K1355" s="1" t="n">
        <f aca="false">RANK(E1355,$E$7:$E$4378)+COUNTIF($E$7:E1355,E1355)-1</f>
        <v>289</v>
      </c>
    </row>
    <row r="1356" customFormat="false" ht="14.25" hidden="false" customHeight="true" outlineLevel="0" collapsed="false">
      <c r="A1356" s="51" t="n">
        <v>14161</v>
      </c>
      <c r="B1356" s="53" t="n">
        <v>40671.4868055556</v>
      </c>
      <c r="C1356" s="57" t="n">
        <f aca="false">INT($C$2)-INT(Table3[[#This Row],[Last Purchase Date]])</f>
        <v>216</v>
      </c>
      <c r="D1356" s="1" t="n">
        <v>3</v>
      </c>
      <c r="E1356" s="1" t="n">
        <v>1110.52</v>
      </c>
      <c r="F1356" s="1" t="n">
        <f aca="false">ROUND((1-_xlfn.PERCENTRANK.INC($C$7:$C$4378,C1356))*9,0)</f>
        <v>1</v>
      </c>
      <c r="G1356" s="1" t="n">
        <f aca="false">ROUND(_xlfn.PERCENTRANK.INC($D$7:$D$4378,D1356)*9,0)</f>
        <v>4</v>
      </c>
      <c r="H1356" s="1" t="n">
        <f aca="false">ROUND(_xlfn.PERCENTRANK.INC($E$7:$E$4378,E1356)*9,0)</f>
        <v>6</v>
      </c>
      <c r="I1356" s="1" t="str">
        <f aca="false">CONCATENATE(F1356,G1356,H1356)</f>
        <v>146</v>
      </c>
      <c r="J1356" s="1" t="str">
        <f aca="false">_xlfn.IFS(AND(F1356&gt;=8,G1356&gt;=8,H1356&gt;=8),"CHAMPION",AND(F1356&gt;=6,G1356&gt;=7,H1356&gt;=6),"LOYAL CUSTOMER",AND(F1356&gt;=6,G1356&gt;=5,H1356&gt;=5),"POTENTIAL LOYALIST",AND(F1356&gt;=8,G1356&lt;=2,H1356&gt;=5),"NEW CUSTOMERS",AND(F1356&gt;=6,G1356&lt;=2,H1356&gt;=3),"PROMISING",AND(F1356&gt;=3,G1356&gt;=3,H1356&gt;=3),"NEED ATTENTION",AND(F1356&lt;=4,G1356&gt;=6,H1356&gt;=6),"AT RISK",AND(F1356&lt;=2,G1356&gt;=8,H1356&gt;=8),"CAN'T LOSE THEM",AND(F1356&lt;=2,G1356&lt;=2,H1356&lt;=2),"HIBERNATING",TRUE(),"Other")</f>
        <v>Other</v>
      </c>
      <c r="K1356" s="1" t="n">
        <f aca="false">RANK(E1356,$E$7:$E$4378)+COUNTIF($E$7:E1356,E1356)-1</f>
        <v>1497</v>
      </c>
    </row>
    <row r="1357" customFormat="false" ht="14.25" hidden="false" customHeight="true" outlineLevel="0" collapsed="false">
      <c r="A1357" s="51" t="n">
        <v>14162</v>
      </c>
      <c r="B1357" s="53" t="n">
        <v>40713.4833333333</v>
      </c>
      <c r="C1357" s="57" t="n">
        <f aca="false">INT($C$2)-INT(Table3[[#This Row],[Last Purchase Date]])</f>
        <v>174</v>
      </c>
      <c r="D1357" s="1" t="n">
        <v>2</v>
      </c>
      <c r="E1357" s="1" t="n">
        <v>289.36</v>
      </c>
      <c r="F1357" s="1" t="n">
        <f aca="false">ROUND((1-_xlfn.PERCENTRANK.INC($C$7:$C$4378,C1357))*9,0)</f>
        <v>2</v>
      </c>
      <c r="G1357" s="1" t="n">
        <f aca="false">ROUND(_xlfn.PERCENTRANK.INC($D$7:$D$4378,D1357)*9,0)</f>
        <v>3</v>
      </c>
      <c r="H1357" s="1" t="n">
        <f aca="false">ROUND(_xlfn.PERCENTRANK.INC($E$7:$E$4378,E1357)*9,0)</f>
        <v>2</v>
      </c>
      <c r="I1357" s="1" t="str">
        <f aca="false">CONCATENATE(F1357,G1357,H1357)</f>
        <v>232</v>
      </c>
      <c r="J1357" s="1" t="str">
        <f aca="false">_xlfn.IFS(AND(F1357&gt;=8,G1357&gt;=8,H1357&gt;=8),"CHAMPION",AND(F1357&gt;=6,G1357&gt;=7,H1357&gt;=6),"LOYAL CUSTOMER",AND(F1357&gt;=6,G1357&gt;=5,H1357&gt;=5),"POTENTIAL LOYALIST",AND(F1357&gt;=8,G1357&lt;=2,H1357&gt;=5),"NEW CUSTOMERS",AND(F1357&gt;=6,G1357&lt;=2,H1357&gt;=3),"PROMISING",AND(F1357&gt;=3,G1357&gt;=3,H1357&gt;=3),"NEED ATTENTION",AND(F1357&lt;=4,G1357&gt;=6,H1357&gt;=6),"AT RISK",AND(F1357&lt;=2,G1357&gt;=8,H1357&gt;=8),"CAN'T LOSE THEM",AND(F1357&lt;=2,G1357&lt;=2,H1357&lt;=2),"HIBERNATING",TRUE(),"Other")</f>
        <v>Other</v>
      </c>
      <c r="K1357" s="1" t="n">
        <f aca="false">RANK(E1357,$E$7:$E$4378)+COUNTIF($E$7:E1357,E1357)-1</f>
        <v>3299</v>
      </c>
    </row>
    <row r="1358" customFormat="false" ht="14.25" hidden="false" customHeight="true" outlineLevel="0" collapsed="false">
      <c r="A1358" s="51" t="n">
        <v>14163</v>
      </c>
      <c r="B1358" s="53" t="n">
        <v>40799.6375</v>
      </c>
      <c r="C1358" s="57" t="n">
        <f aca="false">INT($C$2)-INT(Table3[[#This Row],[Last Purchase Date]])</f>
        <v>88</v>
      </c>
      <c r="D1358" s="1" t="n">
        <v>4</v>
      </c>
      <c r="E1358" s="1" t="n">
        <v>2445.91</v>
      </c>
      <c r="F1358" s="1" t="n">
        <f aca="false">ROUND((1-_xlfn.PERCENTRANK.INC($C$7:$C$4378,C1358))*9,0)</f>
        <v>3</v>
      </c>
      <c r="G1358" s="1" t="n">
        <f aca="false">ROUND(_xlfn.PERCENTRANK.INC($D$7:$D$4378,D1358)*9,0)</f>
        <v>5</v>
      </c>
      <c r="H1358" s="1" t="n">
        <f aca="false">ROUND(_xlfn.PERCENTRANK.INC($E$7:$E$4378,E1358)*9,0)</f>
        <v>8</v>
      </c>
      <c r="I1358" s="1" t="str">
        <f aca="false">CONCATENATE(F1358,G1358,H1358)</f>
        <v>358</v>
      </c>
      <c r="J1358" s="1" t="str">
        <f aca="false">_xlfn.IFS(AND(F1358&gt;=8,G1358&gt;=8,H1358&gt;=8),"CHAMPION",AND(F1358&gt;=6,G1358&gt;=7,H1358&gt;=6),"LOYAL CUSTOMER",AND(F1358&gt;=6,G1358&gt;=5,H1358&gt;=5),"POTENTIAL LOYALIST",AND(F1358&gt;=8,G1358&lt;=2,H1358&gt;=5),"NEW CUSTOMERS",AND(F1358&gt;=6,G1358&lt;=2,H1358&gt;=3),"PROMISING",AND(F1358&gt;=3,G1358&gt;=3,H1358&gt;=3),"NEED ATTENTION",AND(F1358&lt;=4,G1358&gt;=6,H1358&gt;=6),"AT RISK",AND(F1358&lt;=2,G1358&gt;=8,H1358&gt;=8),"CAN'T LOSE THEM",AND(F1358&lt;=2,G1358&lt;=2,H1358&lt;=2),"HIBERNATING",TRUE(),"Other")</f>
        <v>NEED ATTENTION</v>
      </c>
      <c r="K1358" s="1" t="n">
        <f aca="false">RANK(E1358,$E$7:$E$4378)+COUNTIF($E$7:E1358,E1358)-1</f>
        <v>701</v>
      </c>
    </row>
    <row r="1359" customFormat="false" ht="14.25" hidden="false" customHeight="true" outlineLevel="0" collapsed="false">
      <c r="A1359" s="51" t="n">
        <v>14164</v>
      </c>
      <c r="B1359" s="53" t="n">
        <v>40816.5166666667</v>
      </c>
      <c r="C1359" s="57" t="n">
        <f aca="false">INT($C$2)-INT(Table3[[#This Row],[Last Purchase Date]])</f>
        <v>71</v>
      </c>
      <c r="D1359" s="1" t="n">
        <v>2</v>
      </c>
      <c r="E1359" s="1" t="n">
        <v>1631.77</v>
      </c>
      <c r="F1359" s="1" t="n">
        <f aca="false">ROUND((1-_xlfn.PERCENTRANK.INC($C$7:$C$4378,C1359))*9,0)</f>
        <v>4</v>
      </c>
      <c r="G1359" s="1" t="n">
        <f aca="false">ROUND(_xlfn.PERCENTRANK.INC($D$7:$D$4378,D1359)*9,0)</f>
        <v>3</v>
      </c>
      <c r="H1359" s="1" t="n">
        <f aca="false">ROUND(_xlfn.PERCENTRANK.INC($E$7:$E$4378,E1359)*9,0)</f>
        <v>7</v>
      </c>
      <c r="I1359" s="1" t="str">
        <f aca="false">CONCATENATE(F1359,G1359,H1359)</f>
        <v>437</v>
      </c>
      <c r="J1359" s="1" t="str">
        <f aca="false">_xlfn.IFS(AND(F1359&gt;=8,G1359&gt;=8,H1359&gt;=8),"CHAMPION",AND(F1359&gt;=6,G1359&gt;=7,H1359&gt;=6),"LOYAL CUSTOMER",AND(F1359&gt;=6,G1359&gt;=5,H1359&gt;=5),"POTENTIAL LOYALIST",AND(F1359&gt;=8,G1359&lt;=2,H1359&gt;=5),"NEW CUSTOMERS",AND(F1359&gt;=6,G1359&lt;=2,H1359&gt;=3),"PROMISING",AND(F1359&gt;=3,G1359&gt;=3,H1359&gt;=3),"NEED ATTENTION",AND(F1359&lt;=4,G1359&gt;=6,H1359&gt;=6),"AT RISK",AND(F1359&lt;=2,G1359&gt;=8,H1359&gt;=8),"CAN'T LOSE THEM",AND(F1359&lt;=2,G1359&lt;=2,H1359&lt;=2),"HIBERNATING",TRUE(),"Other")</f>
        <v>NEED ATTENTION</v>
      </c>
      <c r="K1359" s="1" t="n">
        <f aca="false">RANK(E1359,$E$7:$E$4378)+COUNTIF($E$7:E1359,E1359)-1</f>
        <v>1077</v>
      </c>
    </row>
    <row r="1360" customFormat="false" ht="14.25" hidden="false" customHeight="true" outlineLevel="0" collapsed="false">
      <c r="A1360" s="51" t="n">
        <v>14165</v>
      </c>
      <c r="B1360" s="53" t="n">
        <v>40611.5270833333</v>
      </c>
      <c r="C1360" s="57" t="n">
        <f aca="false">INT($C$2)-INT(Table3[[#This Row],[Last Purchase Date]])</f>
        <v>276</v>
      </c>
      <c r="D1360" s="1" t="n">
        <v>1</v>
      </c>
      <c r="E1360" s="1" t="n">
        <v>122.54</v>
      </c>
      <c r="F1360" s="1" t="n">
        <f aca="false">ROUND((1-_xlfn.PERCENTRANK.INC($C$7:$C$4378,C1360))*9,0)</f>
        <v>1</v>
      </c>
      <c r="G1360" s="1" t="n">
        <f aca="false">ROUND(_xlfn.PERCENTRANK.INC($D$7:$D$4378,D1360)*9,0)</f>
        <v>0</v>
      </c>
      <c r="H1360" s="1" t="n">
        <f aca="false">ROUND(_xlfn.PERCENTRANK.INC($E$7:$E$4378,E1360)*9,0)</f>
        <v>1</v>
      </c>
      <c r="I1360" s="1" t="str">
        <f aca="false">CONCATENATE(F1360,G1360,H1360)</f>
        <v>101</v>
      </c>
      <c r="J1360" s="1" t="str">
        <f aca="false">_xlfn.IFS(AND(F1360&gt;=8,G1360&gt;=8,H1360&gt;=8),"CHAMPION",AND(F1360&gt;=6,G1360&gt;=7,H1360&gt;=6),"LOYAL CUSTOMER",AND(F1360&gt;=6,G1360&gt;=5,H1360&gt;=5),"POTENTIAL LOYALIST",AND(F1360&gt;=8,G1360&lt;=2,H1360&gt;=5),"NEW CUSTOMERS",AND(F1360&gt;=6,G1360&lt;=2,H1360&gt;=3),"PROMISING",AND(F1360&gt;=3,G1360&gt;=3,H1360&gt;=3),"NEED ATTENTION",AND(F1360&lt;=4,G1360&gt;=6,H1360&gt;=6),"AT RISK",AND(F1360&lt;=2,G1360&gt;=8,H1360&gt;=8),"CAN'T LOSE THEM",AND(F1360&lt;=2,G1360&lt;=2,H1360&lt;=2),"HIBERNATING",TRUE(),"Other")</f>
        <v>HIBERNATING</v>
      </c>
      <c r="K1360" s="1" t="n">
        <f aca="false">RANK(E1360,$E$7:$E$4378)+COUNTIF($E$7:E1360,E1360)-1</f>
        <v>4039</v>
      </c>
    </row>
    <row r="1361" customFormat="false" ht="14.25" hidden="false" customHeight="true" outlineLevel="0" collapsed="false">
      <c r="A1361" s="51" t="n">
        <v>14167</v>
      </c>
      <c r="B1361" s="53" t="n">
        <v>40847.6034722222</v>
      </c>
      <c r="C1361" s="57" t="n">
        <f aca="false">INT($C$2)-INT(Table3[[#This Row],[Last Purchase Date]])</f>
        <v>40</v>
      </c>
      <c r="D1361" s="1" t="n">
        <v>4</v>
      </c>
      <c r="E1361" s="1" t="n">
        <v>574.84</v>
      </c>
      <c r="F1361" s="1" t="n">
        <f aca="false">ROUND((1-_xlfn.PERCENTRANK.INC($C$7:$C$4378,C1361))*9,0)</f>
        <v>5</v>
      </c>
      <c r="G1361" s="1" t="n">
        <f aca="false">ROUND(_xlfn.PERCENTRANK.INC($D$7:$D$4378,D1361)*9,0)</f>
        <v>5</v>
      </c>
      <c r="H1361" s="1" t="n">
        <f aca="false">ROUND(_xlfn.PERCENTRANK.INC($E$7:$E$4378,E1361)*9,0)</f>
        <v>4</v>
      </c>
      <c r="I1361" s="1" t="str">
        <f aca="false">CONCATENATE(F1361,G1361,H1361)</f>
        <v>554</v>
      </c>
      <c r="J1361" s="1" t="str">
        <f aca="false">_xlfn.IFS(AND(F1361&gt;=8,G1361&gt;=8,H1361&gt;=8),"CHAMPION",AND(F1361&gt;=6,G1361&gt;=7,H1361&gt;=6),"LOYAL CUSTOMER",AND(F1361&gt;=6,G1361&gt;=5,H1361&gt;=5),"POTENTIAL LOYALIST",AND(F1361&gt;=8,G1361&lt;=2,H1361&gt;=5),"NEW CUSTOMERS",AND(F1361&gt;=6,G1361&lt;=2,H1361&gt;=3),"PROMISING",AND(F1361&gt;=3,G1361&gt;=3,H1361&gt;=3),"NEED ATTENTION",AND(F1361&lt;=4,G1361&gt;=6,H1361&gt;=6),"AT RISK",AND(F1361&lt;=2,G1361&gt;=8,H1361&gt;=8),"CAN'T LOSE THEM",AND(F1361&lt;=2,G1361&lt;=2,H1361&lt;=2),"HIBERNATING",TRUE(),"Other")</f>
        <v>NEED ATTENTION</v>
      </c>
      <c r="K1361" s="1" t="n">
        <f aca="false">RANK(E1361,$E$7:$E$4378)+COUNTIF($E$7:E1361,E1361)-1</f>
        <v>2382</v>
      </c>
    </row>
    <row r="1362" customFormat="false" ht="14.25" hidden="false" customHeight="true" outlineLevel="0" collapsed="false">
      <c r="A1362" s="51" t="n">
        <v>14171</v>
      </c>
      <c r="B1362" s="53" t="n">
        <v>40788.6965277778</v>
      </c>
      <c r="C1362" s="57" t="n">
        <f aca="false">INT($C$2)-INT(Table3[[#This Row],[Last Purchase Date]])</f>
        <v>99</v>
      </c>
      <c r="D1362" s="1" t="n">
        <v>1</v>
      </c>
      <c r="E1362" s="1" t="n">
        <v>363.79</v>
      </c>
      <c r="F1362" s="1" t="n">
        <f aca="false">ROUND((1-_xlfn.PERCENTRANK.INC($C$7:$C$4378,C1362))*9,0)</f>
        <v>3</v>
      </c>
      <c r="G1362" s="1" t="n">
        <f aca="false">ROUND(_xlfn.PERCENTRANK.INC($D$7:$D$4378,D1362)*9,0)</f>
        <v>0</v>
      </c>
      <c r="H1362" s="1" t="n">
        <f aca="false">ROUND(_xlfn.PERCENTRANK.INC($E$7:$E$4378,E1362)*9,0)</f>
        <v>3</v>
      </c>
      <c r="I1362" s="1" t="str">
        <f aca="false">CONCATENATE(F1362,G1362,H1362)</f>
        <v>303</v>
      </c>
      <c r="J1362" s="1" t="str">
        <f aca="false">_xlfn.IFS(AND(F1362&gt;=8,G1362&gt;=8,H1362&gt;=8),"CHAMPION",AND(F1362&gt;=6,G1362&gt;=7,H1362&gt;=6),"LOYAL CUSTOMER",AND(F1362&gt;=6,G1362&gt;=5,H1362&gt;=5),"POTENTIAL LOYALIST",AND(F1362&gt;=8,G1362&lt;=2,H1362&gt;=5),"NEW CUSTOMERS",AND(F1362&gt;=6,G1362&lt;=2,H1362&gt;=3),"PROMISING",AND(F1362&gt;=3,G1362&gt;=3,H1362&gt;=3),"NEED ATTENTION",AND(F1362&lt;=4,G1362&gt;=6,H1362&gt;=6),"AT RISK",AND(F1362&lt;=2,G1362&gt;=8,H1362&gt;=8),"CAN'T LOSE THEM",AND(F1362&lt;=2,G1362&lt;=2,H1362&lt;=2),"HIBERNATING",TRUE(),"Other")</f>
        <v>Other</v>
      </c>
      <c r="K1362" s="1" t="n">
        <f aca="false">RANK(E1362,$E$7:$E$4378)+COUNTIF($E$7:E1362,E1362)-1</f>
        <v>2948</v>
      </c>
    </row>
    <row r="1363" customFormat="false" ht="14.25" hidden="false" customHeight="true" outlineLevel="0" collapsed="false">
      <c r="A1363" s="51" t="n">
        <v>14173</v>
      </c>
      <c r="B1363" s="53" t="n">
        <v>40876.4958333333</v>
      </c>
      <c r="C1363" s="57" t="n">
        <f aca="false">INT($C$2)-INT(Table3[[#This Row],[Last Purchase Date]])</f>
        <v>11</v>
      </c>
      <c r="D1363" s="1" t="n">
        <v>4</v>
      </c>
      <c r="E1363" s="1" t="n">
        <v>450.84</v>
      </c>
      <c r="F1363" s="1" t="n">
        <f aca="false">ROUND((1-_xlfn.PERCENTRANK.INC($C$7:$C$4378,C1363))*9,0)</f>
        <v>7</v>
      </c>
      <c r="G1363" s="1" t="n">
        <f aca="false">ROUND(_xlfn.PERCENTRANK.INC($D$7:$D$4378,D1363)*9,0)</f>
        <v>5</v>
      </c>
      <c r="H1363" s="1" t="n">
        <f aca="false">ROUND(_xlfn.PERCENTRANK.INC($E$7:$E$4378,E1363)*9,0)</f>
        <v>4</v>
      </c>
      <c r="I1363" s="1" t="str">
        <f aca="false">CONCATENATE(F1363,G1363,H1363)</f>
        <v>754</v>
      </c>
      <c r="J1363" s="1" t="str">
        <f aca="false">_xlfn.IFS(AND(F1363&gt;=8,G1363&gt;=8,H1363&gt;=8),"CHAMPION",AND(F1363&gt;=6,G1363&gt;=7,H1363&gt;=6),"LOYAL CUSTOMER",AND(F1363&gt;=6,G1363&gt;=5,H1363&gt;=5),"POTENTIAL LOYALIST",AND(F1363&gt;=8,G1363&lt;=2,H1363&gt;=5),"NEW CUSTOMERS",AND(F1363&gt;=6,G1363&lt;=2,H1363&gt;=3),"PROMISING",AND(F1363&gt;=3,G1363&gt;=3,H1363&gt;=3),"NEED ATTENTION",AND(F1363&lt;=4,G1363&gt;=6,H1363&gt;=6),"AT RISK",AND(F1363&lt;=2,G1363&gt;=8,H1363&gt;=8),"CAN'T LOSE THEM",AND(F1363&lt;=2,G1363&lt;=2,H1363&lt;=2),"HIBERNATING",TRUE(),"Other")</f>
        <v>NEED ATTENTION</v>
      </c>
      <c r="K1363" s="1" t="n">
        <f aca="false">RANK(E1363,$E$7:$E$4378)+COUNTIF($E$7:E1363,E1363)-1</f>
        <v>2673</v>
      </c>
    </row>
    <row r="1364" customFormat="false" ht="14.25" hidden="false" customHeight="true" outlineLevel="0" collapsed="false">
      <c r="A1364" s="51" t="n">
        <v>14174</v>
      </c>
      <c r="B1364" s="53" t="n">
        <v>40853.5534722222</v>
      </c>
      <c r="C1364" s="57" t="n">
        <f aca="false">INT($C$2)-INT(Table3[[#This Row],[Last Purchase Date]])</f>
        <v>34</v>
      </c>
      <c r="D1364" s="1" t="n">
        <v>1</v>
      </c>
      <c r="E1364" s="1" t="n">
        <v>134.46</v>
      </c>
      <c r="F1364" s="1" t="n">
        <f aca="false">ROUND((1-_xlfn.PERCENTRANK.INC($C$7:$C$4378,C1364))*9,0)</f>
        <v>5</v>
      </c>
      <c r="G1364" s="1" t="n">
        <f aca="false">ROUND(_xlfn.PERCENTRANK.INC($D$7:$D$4378,D1364)*9,0)</f>
        <v>0</v>
      </c>
      <c r="H1364" s="1" t="n">
        <f aca="false">ROUND(_xlfn.PERCENTRANK.INC($E$7:$E$4378,E1364)*9,0)</f>
        <v>1</v>
      </c>
      <c r="I1364" s="1" t="str">
        <f aca="false">CONCATENATE(F1364,G1364,H1364)</f>
        <v>501</v>
      </c>
      <c r="J1364" s="1" t="str">
        <f aca="false">_xlfn.IFS(AND(F1364&gt;=8,G1364&gt;=8,H1364&gt;=8),"CHAMPION",AND(F1364&gt;=6,G1364&gt;=7,H1364&gt;=6),"LOYAL CUSTOMER",AND(F1364&gt;=6,G1364&gt;=5,H1364&gt;=5),"POTENTIAL LOYALIST",AND(F1364&gt;=8,G1364&lt;=2,H1364&gt;=5),"NEW CUSTOMERS",AND(F1364&gt;=6,G1364&lt;=2,H1364&gt;=3),"PROMISING",AND(F1364&gt;=3,G1364&gt;=3,H1364&gt;=3),"NEED ATTENTION",AND(F1364&lt;=4,G1364&gt;=6,H1364&gt;=6),"AT RISK",AND(F1364&lt;=2,G1364&gt;=8,H1364&gt;=8),"CAN'T LOSE THEM",AND(F1364&lt;=2,G1364&lt;=2,H1364&lt;=2),"HIBERNATING",TRUE(),"Other")</f>
        <v>Other</v>
      </c>
      <c r="K1364" s="1" t="n">
        <f aca="false">RANK(E1364,$E$7:$E$4378)+COUNTIF($E$7:E1364,E1364)-1</f>
        <v>3990</v>
      </c>
    </row>
    <row r="1365" customFormat="false" ht="14.25" hidden="false" customHeight="true" outlineLevel="0" collapsed="false">
      <c r="A1365" s="51" t="n">
        <v>14175</v>
      </c>
      <c r="B1365" s="53" t="n">
        <v>40835.5708333333</v>
      </c>
      <c r="C1365" s="57" t="n">
        <f aca="false">INT($C$2)-INT(Table3[[#This Row],[Last Purchase Date]])</f>
        <v>52</v>
      </c>
      <c r="D1365" s="1" t="n">
        <v>7</v>
      </c>
      <c r="E1365" s="1" t="n">
        <v>3108.06</v>
      </c>
      <c r="F1365" s="1" t="n">
        <f aca="false">ROUND((1-_xlfn.PERCENTRANK.INC($C$7:$C$4378,C1365))*9,0)</f>
        <v>4</v>
      </c>
      <c r="G1365" s="1" t="n">
        <f aca="false">ROUND(_xlfn.PERCENTRANK.INC($D$7:$D$4378,D1365)*9,0)</f>
        <v>7</v>
      </c>
      <c r="H1365" s="1" t="n">
        <f aca="false">ROUND(_xlfn.PERCENTRANK.INC($E$7:$E$4378,E1365)*9,0)</f>
        <v>8</v>
      </c>
      <c r="I1365" s="1" t="str">
        <f aca="false">CONCATENATE(F1365,G1365,H1365)</f>
        <v>478</v>
      </c>
      <c r="J1365" s="1" t="str">
        <f aca="false">_xlfn.IFS(AND(F1365&gt;=8,G1365&gt;=8,H1365&gt;=8),"CHAMPION",AND(F1365&gt;=6,G1365&gt;=7,H1365&gt;=6),"LOYAL CUSTOMER",AND(F1365&gt;=6,G1365&gt;=5,H1365&gt;=5),"POTENTIAL LOYALIST",AND(F1365&gt;=8,G1365&lt;=2,H1365&gt;=5),"NEW CUSTOMERS",AND(F1365&gt;=6,G1365&lt;=2,H1365&gt;=3),"PROMISING",AND(F1365&gt;=3,G1365&gt;=3,H1365&gt;=3),"NEED ATTENTION",AND(F1365&lt;=4,G1365&gt;=6,H1365&gt;=6),"AT RISK",AND(F1365&lt;=2,G1365&gt;=8,H1365&gt;=8),"CAN'T LOSE THEM",AND(F1365&lt;=2,G1365&lt;=2,H1365&lt;=2),"HIBERNATING",TRUE(),"Other")</f>
        <v>NEED ATTENTION</v>
      </c>
      <c r="K1365" s="1" t="n">
        <f aca="false">RANK(E1365,$E$7:$E$4378)+COUNTIF($E$7:E1365,E1365)-1</f>
        <v>509</v>
      </c>
    </row>
    <row r="1366" customFormat="false" ht="14.25" hidden="false" customHeight="true" outlineLevel="0" collapsed="false">
      <c r="A1366" s="51" t="n">
        <v>14176</v>
      </c>
      <c r="B1366" s="53" t="n">
        <v>40589.55</v>
      </c>
      <c r="C1366" s="57" t="n">
        <f aca="false">INT($C$2)-INT(Table3[[#This Row],[Last Purchase Date]])</f>
        <v>298</v>
      </c>
      <c r="D1366" s="1" t="n">
        <v>5</v>
      </c>
      <c r="E1366" s="1" t="n">
        <v>574</v>
      </c>
      <c r="F1366" s="1" t="n">
        <f aca="false">ROUND((1-_xlfn.PERCENTRANK.INC($C$7:$C$4378,C1366))*9,0)</f>
        <v>1</v>
      </c>
      <c r="G1366" s="1" t="n">
        <f aca="false">ROUND(_xlfn.PERCENTRANK.INC($D$7:$D$4378,D1366)*9,0)</f>
        <v>6</v>
      </c>
      <c r="H1366" s="1" t="n">
        <f aca="false">ROUND(_xlfn.PERCENTRANK.INC($E$7:$E$4378,E1366)*9,0)</f>
        <v>4</v>
      </c>
      <c r="I1366" s="1" t="str">
        <f aca="false">CONCATENATE(F1366,G1366,H1366)</f>
        <v>164</v>
      </c>
      <c r="J1366" s="1" t="str">
        <f aca="false">_xlfn.IFS(AND(F1366&gt;=8,G1366&gt;=8,H1366&gt;=8),"CHAMPION",AND(F1366&gt;=6,G1366&gt;=7,H1366&gt;=6),"LOYAL CUSTOMER",AND(F1366&gt;=6,G1366&gt;=5,H1366&gt;=5),"POTENTIAL LOYALIST",AND(F1366&gt;=8,G1366&lt;=2,H1366&gt;=5),"NEW CUSTOMERS",AND(F1366&gt;=6,G1366&lt;=2,H1366&gt;=3),"PROMISING",AND(F1366&gt;=3,G1366&gt;=3,H1366&gt;=3),"NEED ATTENTION",AND(F1366&lt;=4,G1366&gt;=6,H1366&gt;=6),"AT RISK",AND(F1366&lt;=2,G1366&gt;=8,H1366&gt;=8),"CAN'T LOSE THEM",AND(F1366&lt;=2,G1366&lt;=2,H1366&lt;=2),"HIBERNATING",TRUE(),"Other")</f>
        <v>Other</v>
      </c>
      <c r="K1366" s="1" t="n">
        <f aca="false">RANK(E1366,$E$7:$E$4378)+COUNTIF($E$7:E1366,E1366)-1</f>
        <v>2386</v>
      </c>
    </row>
    <row r="1367" customFormat="false" ht="14.25" hidden="false" customHeight="true" outlineLevel="0" collapsed="false">
      <c r="A1367" s="51" t="n">
        <v>14177</v>
      </c>
      <c r="B1367" s="53" t="n">
        <v>40802.4111111111</v>
      </c>
      <c r="C1367" s="57" t="n">
        <f aca="false">INT($C$2)-INT(Table3[[#This Row],[Last Purchase Date]])</f>
        <v>85</v>
      </c>
      <c r="D1367" s="1" t="n">
        <v>5</v>
      </c>
      <c r="E1367" s="1" t="n">
        <v>554.46</v>
      </c>
      <c r="F1367" s="1" t="n">
        <f aca="false">ROUND((1-_xlfn.PERCENTRANK.INC($C$7:$C$4378,C1367))*9,0)</f>
        <v>3</v>
      </c>
      <c r="G1367" s="1" t="n">
        <f aca="false">ROUND(_xlfn.PERCENTRANK.INC($D$7:$D$4378,D1367)*9,0)</f>
        <v>6</v>
      </c>
      <c r="H1367" s="1" t="n">
        <f aca="false">ROUND(_xlfn.PERCENTRANK.INC($E$7:$E$4378,E1367)*9,0)</f>
        <v>4</v>
      </c>
      <c r="I1367" s="1" t="str">
        <f aca="false">CONCATENATE(F1367,G1367,H1367)</f>
        <v>364</v>
      </c>
      <c r="J1367" s="1" t="str">
        <f aca="false">_xlfn.IFS(AND(F1367&gt;=8,G1367&gt;=8,H1367&gt;=8),"CHAMPION",AND(F1367&gt;=6,G1367&gt;=7,H1367&gt;=6),"LOYAL CUSTOMER",AND(F1367&gt;=6,G1367&gt;=5,H1367&gt;=5),"POTENTIAL LOYALIST",AND(F1367&gt;=8,G1367&lt;=2,H1367&gt;=5),"NEW CUSTOMERS",AND(F1367&gt;=6,G1367&lt;=2,H1367&gt;=3),"PROMISING",AND(F1367&gt;=3,G1367&gt;=3,H1367&gt;=3),"NEED ATTENTION",AND(F1367&lt;=4,G1367&gt;=6,H1367&gt;=6),"AT RISK",AND(F1367&lt;=2,G1367&gt;=8,H1367&gt;=8),"CAN'T LOSE THEM",AND(F1367&lt;=2,G1367&lt;=2,H1367&lt;=2),"HIBERNATING",TRUE(),"Other")</f>
        <v>NEED ATTENTION</v>
      </c>
      <c r="K1367" s="1" t="n">
        <f aca="false">RANK(E1367,$E$7:$E$4378)+COUNTIF($E$7:E1367,E1367)-1</f>
        <v>2421</v>
      </c>
    </row>
    <row r="1368" customFormat="false" ht="14.25" hidden="false" customHeight="true" outlineLevel="0" collapsed="false">
      <c r="A1368" s="51" t="n">
        <v>14178</v>
      </c>
      <c r="B1368" s="53" t="n">
        <v>40878.5006944445</v>
      </c>
      <c r="C1368" s="57" t="n">
        <f aca="false">INT($C$2)-INT(Table3[[#This Row],[Last Purchase Date]])</f>
        <v>9</v>
      </c>
      <c r="D1368" s="1" t="n">
        <v>7</v>
      </c>
      <c r="E1368" s="1" t="n">
        <v>1620.93</v>
      </c>
      <c r="F1368" s="1" t="n">
        <f aca="false">ROUND((1-_xlfn.PERCENTRANK.INC($C$7:$C$4378,C1368))*9,0)</f>
        <v>8</v>
      </c>
      <c r="G1368" s="1" t="n">
        <f aca="false">ROUND(_xlfn.PERCENTRANK.INC($D$7:$D$4378,D1368)*9,0)</f>
        <v>7</v>
      </c>
      <c r="H1368" s="1" t="n">
        <f aca="false">ROUND(_xlfn.PERCENTRANK.INC($E$7:$E$4378,E1368)*9,0)</f>
        <v>7</v>
      </c>
      <c r="I1368" s="1" t="str">
        <f aca="false">CONCATENATE(F1368,G1368,H1368)</f>
        <v>877</v>
      </c>
      <c r="J1368" s="1" t="str">
        <f aca="false">_xlfn.IFS(AND(F1368&gt;=8,G1368&gt;=8,H1368&gt;=8),"CHAMPION",AND(F1368&gt;=6,G1368&gt;=7,H1368&gt;=6),"LOYAL CUSTOMER",AND(F1368&gt;=6,G1368&gt;=5,H1368&gt;=5),"POTENTIAL LOYALIST",AND(F1368&gt;=8,G1368&lt;=2,H1368&gt;=5),"NEW CUSTOMERS",AND(F1368&gt;=6,G1368&lt;=2,H1368&gt;=3),"PROMISING",AND(F1368&gt;=3,G1368&gt;=3,H1368&gt;=3),"NEED ATTENTION",AND(F1368&lt;=4,G1368&gt;=6,H1368&gt;=6),"AT RISK",AND(F1368&lt;=2,G1368&gt;=8,H1368&gt;=8),"CAN'T LOSE THEM",AND(F1368&lt;=2,G1368&lt;=2,H1368&lt;=2),"HIBERNATING",TRUE(),"Other")</f>
        <v>LOYAL CUSTOMER</v>
      </c>
      <c r="K1368" s="1" t="n">
        <f aca="false">RANK(E1368,$E$7:$E$4378)+COUNTIF($E$7:E1368,E1368)-1</f>
        <v>1089</v>
      </c>
    </row>
    <row r="1369" customFormat="false" ht="14.25" hidden="false" customHeight="true" outlineLevel="0" collapsed="false">
      <c r="A1369" s="51" t="n">
        <v>14179</v>
      </c>
      <c r="B1369" s="53" t="n">
        <v>40846.5048611111</v>
      </c>
      <c r="C1369" s="57" t="n">
        <f aca="false">INT($C$2)-INT(Table3[[#This Row],[Last Purchase Date]])</f>
        <v>41</v>
      </c>
      <c r="D1369" s="1" t="n">
        <v>2</v>
      </c>
      <c r="E1369" s="1" t="n">
        <v>719.78</v>
      </c>
      <c r="F1369" s="1" t="n">
        <f aca="false">ROUND((1-_xlfn.PERCENTRANK.INC($C$7:$C$4378,C1369))*9,0)</f>
        <v>5</v>
      </c>
      <c r="G1369" s="1" t="n">
        <f aca="false">ROUND(_xlfn.PERCENTRANK.INC($D$7:$D$4378,D1369)*9,0)</f>
        <v>3</v>
      </c>
      <c r="H1369" s="1" t="n">
        <f aca="false">ROUND(_xlfn.PERCENTRANK.INC($E$7:$E$4378,E1369)*9,0)</f>
        <v>5</v>
      </c>
      <c r="I1369" s="1" t="str">
        <f aca="false">CONCATENATE(F1369,G1369,H1369)</f>
        <v>535</v>
      </c>
      <c r="J1369" s="1" t="str">
        <f aca="false">_xlfn.IFS(AND(F1369&gt;=8,G1369&gt;=8,H1369&gt;=8),"CHAMPION",AND(F1369&gt;=6,G1369&gt;=7,H1369&gt;=6),"LOYAL CUSTOMER",AND(F1369&gt;=6,G1369&gt;=5,H1369&gt;=5),"POTENTIAL LOYALIST",AND(F1369&gt;=8,G1369&lt;=2,H1369&gt;=5),"NEW CUSTOMERS",AND(F1369&gt;=6,G1369&lt;=2,H1369&gt;=3),"PROMISING",AND(F1369&gt;=3,G1369&gt;=3,H1369&gt;=3),"NEED ATTENTION",AND(F1369&lt;=4,G1369&gt;=6,H1369&gt;=6),"AT RISK",AND(F1369&lt;=2,G1369&gt;=8,H1369&gt;=8),"CAN'T LOSE THEM",AND(F1369&lt;=2,G1369&lt;=2,H1369&lt;=2),"HIBERNATING",TRUE(),"Other")</f>
        <v>NEED ATTENTION</v>
      </c>
      <c r="K1369" s="1" t="n">
        <f aca="false">RANK(E1369,$E$7:$E$4378)+COUNTIF($E$7:E1369,E1369)-1</f>
        <v>2029</v>
      </c>
    </row>
    <row r="1370" customFormat="false" ht="14.25" hidden="false" customHeight="true" outlineLevel="0" collapsed="false">
      <c r="A1370" s="51" t="n">
        <v>14180</v>
      </c>
      <c r="B1370" s="53" t="n">
        <v>40876.4555555556</v>
      </c>
      <c r="C1370" s="57" t="n">
        <f aca="false">INT($C$2)-INT(Table3[[#This Row],[Last Purchase Date]])</f>
        <v>11</v>
      </c>
      <c r="D1370" s="1" t="n">
        <v>31</v>
      </c>
      <c r="E1370" s="1" t="n">
        <v>4640.77</v>
      </c>
      <c r="F1370" s="1" t="n">
        <f aca="false">ROUND((1-_xlfn.PERCENTRANK.INC($C$7:$C$4378,C1370))*9,0)</f>
        <v>7</v>
      </c>
      <c r="G1370" s="1" t="n">
        <f aca="false">ROUND(_xlfn.PERCENTRANK.INC($D$7:$D$4378,D1370)*9,0)</f>
        <v>9</v>
      </c>
      <c r="H1370" s="1" t="n">
        <f aca="false">ROUND(_xlfn.PERCENTRANK.INC($E$7:$E$4378,E1370)*9,0)</f>
        <v>8</v>
      </c>
      <c r="I1370" s="1" t="str">
        <f aca="false">CONCATENATE(F1370,G1370,H1370)</f>
        <v>798</v>
      </c>
      <c r="J1370" s="1" t="str">
        <f aca="false">_xlfn.IFS(AND(F1370&gt;=8,G1370&gt;=8,H1370&gt;=8),"CHAMPION",AND(F1370&gt;=6,G1370&gt;=7,H1370&gt;=6),"LOYAL CUSTOMER",AND(F1370&gt;=6,G1370&gt;=5,H1370&gt;=5),"POTENTIAL LOYALIST",AND(F1370&gt;=8,G1370&lt;=2,H1370&gt;=5),"NEW CUSTOMERS",AND(F1370&gt;=6,G1370&lt;=2,H1370&gt;=3),"PROMISING",AND(F1370&gt;=3,G1370&gt;=3,H1370&gt;=3),"NEED ATTENTION",AND(F1370&lt;=4,G1370&gt;=6,H1370&gt;=6),"AT RISK",AND(F1370&lt;=2,G1370&gt;=8,H1370&gt;=8),"CAN'T LOSE THEM",AND(F1370&lt;=2,G1370&lt;=2,H1370&lt;=2),"HIBERNATING",TRUE(),"Other")</f>
        <v>LOYAL CUSTOMER</v>
      </c>
      <c r="K1370" s="1" t="n">
        <f aca="false">RANK(E1370,$E$7:$E$4378)+COUNTIF($E$7:E1370,E1370)-1</f>
        <v>292</v>
      </c>
    </row>
    <row r="1371" customFormat="false" ht="14.25" hidden="false" customHeight="true" outlineLevel="0" collapsed="false">
      <c r="A1371" s="51" t="n">
        <v>14184</v>
      </c>
      <c r="B1371" s="53" t="n">
        <v>40820.5298611111</v>
      </c>
      <c r="C1371" s="57" t="n">
        <f aca="false">INT($C$2)-INT(Table3[[#This Row],[Last Purchase Date]])</f>
        <v>67</v>
      </c>
      <c r="D1371" s="1" t="n">
        <v>1</v>
      </c>
      <c r="E1371" s="1" t="n">
        <v>452.89</v>
      </c>
      <c r="F1371" s="1" t="n">
        <f aca="false">ROUND((1-_xlfn.PERCENTRANK.INC($C$7:$C$4378,C1371))*9,0)</f>
        <v>4</v>
      </c>
      <c r="G1371" s="1" t="n">
        <f aca="false">ROUND(_xlfn.PERCENTRANK.INC($D$7:$D$4378,D1371)*9,0)</f>
        <v>0</v>
      </c>
      <c r="H1371" s="1" t="n">
        <f aca="false">ROUND(_xlfn.PERCENTRANK.INC($E$7:$E$4378,E1371)*9,0)</f>
        <v>4</v>
      </c>
      <c r="I1371" s="1" t="str">
        <f aca="false">CONCATENATE(F1371,G1371,H1371)</f>
        <v>404</v>
      </c>
      <c r="J1371" s="1" t="str">
        <f aca="false">_xlfn.IFS(AND(F1371&gt;=8,G1371&gt;=8,H1371&gt;=8),"CHAMPION",AND(F1371&gt;=6,G1371&gt;=7,H1371&gt;=6),"LOYAL CUSTOMER",AND(F1371&gt;=6,G1371&gt;=5,H1371&gt;=5),"POTENTIAL LOYALIST",AND(F1371&gt;=8,G1371&lt;=2,H1371&gt;=5),"NEW CUSTOMERS",AND(F1371&gt;=6,G1371&lt;=2,H1371&gt;=3),"PROMISING",AND(F1371&gt;=3,G1371&gt;=3,H1371&gt;=3),"NEED ATTENTION",AND(F1371&lt;=4,G1371&gt;=6,H1371&gt;=6),"AT RISK",AND(F1371&lt;=2,G1371&gt;=8,H1371&gt;=8),"CAN'T LOSE THEM",AND(F1371&lt;=2,G1371&lt;=2,H1371&lt;=2),"HIBERNATING",TRUE(),"Other")</f>
        <v>Other</v>
      </c>
      <c r="K1371" s="1" t="n">
        <f aca="false">RANK(E1371,$E$7:$E$4378)+COUNTIF($E$7:E1371,E1371)-1</f>
        <v>2666</v>
      </c>
    </row>
    <row r="1372" customFormat="false" ht="14.25" hidden="false" customHeight="true" outlineLevel="0" collapsed="false">
      <c r="A1372" s="51" t="n">
        <v>14185</v>
      </c>
      <c r="B1372" s="53" t="n">
        <v>40555.5777777778</v>
      </c>
      <c r="C1372" s="57" t="n">
        <f aca="false">INT($C$2)-INT(Table3[[#This Row],[Last Purchase Date]])</f>
        <v>332</v>
      </c>
      <c r="D1372" s="1" t="n">
        <v>1</v>
      </c>
      <c r="E1372" s="1" t="n">
        <v>197.65</v>
      </c>
      <c r="F1372" s="1" t="n">
        <f aca="false">ROUND((1-_xlfn.PERCENTRANK.INC($C$7:$C$4378,C1372))*9,0)</f>
        <v>0</v>
      </c>
      <c r="G1372" s="1" t="n">
        <f aca="false">ROUND(_xlfn.PERCENTRANK.INC($D$7:$D$4378,D1372)*9,0)</f>
        <v>0</v>
      </c>
      <c r="H1372" s="1" t="n">
        <f aca="false">ROUND(_xlfn.PERCENTRANK.INC($E$7:$E$4378,E1372)*9,0)</f>
        <v>1</v>
      </c>
      <c r="I1372" s="1" t="str">
        <f aca="false">CONCATENATE(F1372,G1372,H1372)</f>
        <v>001</v>
      </c>
      <c r="J1372" s="1" t="str">
        <f aca="false">_xlfn.IFS(AND(F1372&gt;=8,G1372&gt;=8,H1372&gt;=8),"CHAMPION",AND(F1372&gt;=6,G1372&gt;=7,H1372&gt;=6),"LOYAL CUSTOMER",AND(F1372&gt;=6,G1372&gt;=5,H1372&gt;=5),"POTENTIAL LOYALIST",AND(F1372&gt;=8,G1372&lt;=2,H1372&gt;=5),"NEW CUSTOMERS",AND(F1372&gt;=6,G1372&lt;=2,H1372&gt;=3),"PROMISING",AND(F1372&gt;=3,G1372&gt;=3,H1372&gt;=3),"NEED ATTENTION",AND(F1372&lt;=4,G1372&gt;=6,H1372&gt;=6),"AT RISK",AND(F1372&lt;=2,G1372&gt;=8,H1372&gt;=8),"CAN'T LOSE THEM",AND(F1372&lt;=2,G1372&lt;=2,H1372&lt;=2),"HIBERNATING",TRUE(),"Other")</f>
        <v>HIBERNATING</v>
      </c>
      <c r="K1372" s="1" t="n">
        <f aca="false">RANK(E1372,$E$7:$E$4378)+COUNTIF($E$7:E1372,E1372)-1</f>
        <v>3670</v>
      </c>
    </row>
    <row r="1373" customFormat="false" ht="14.25" hidden="false" customHeight="true" outlineLevel="0" collapsed="false">
      <c r="A1373" s="51" t="n">
        <v>14188</v>
      </c>
      <c r="B1373" s="53" t="n">
        <v>40878.4069444445</v>
      </c>
      <c r="C1373" s="57" t="n">
        <f aca="false">INT($C$2)-INT(Table3[[#This Row],[Last Purchase Date]])</f>
        <v>9</v>
      </c>
      <c r="D1373" s="1" t="n">
        <v>10</v>
      </c>
      <c r="E1373" s="1" t="n">
        <v>2018.91</v>
      </c>
      <c r="F1373" s="1" t="n">
        <f aca="false">ROUND((1-_xlfn.PERCENTRANK.INC($C$7:$C$4378,C1373))*9,0)</f>
        <v>8</v>
      </c>
      <c r="G1373" s="1" t="n">
        <f aca="false">ROUND(_xlfn.PERCENTRANK.INC($D$7:$D$4378,D1373)*9,0)</f>
        <v>8</v>
      </c>
      <c r="H1373" s="1" t="n">
        <f aca="false">ROUND(_xlfn.PERCENTRANK.INC($E$7:$E$4378,E1373)*9,0)</f>
        <v>7</v>
      </c>
      <c r="I1373" s="1" t="str">
        <f aca="false">CONCATENATE(F1373,G1373,H1373)</f>
        <v>887</v>
      </c>
      <c r="J1373" s="1" t="str">
        <f aca="false">_xlfn.IFS(AND(F1373&gt;=8,G1373&gt;=8,H1373&gt;=8),"CHAMPION",AND(F1373&gt;=6,G1373&gt;=7,H1373&gt;=6),"LOYAL CUSTOMER",AND(F1373&gt;=6,G1373&gt;=5,H1373&gt;=5),"POTENTIAL LOYALIST",AND(F1373&gt;=8,G1373&lt;=2,H1373&gt;=5),"NEW CUSTOMERS",AND(F1373&gt;=6,G1373&lt;=2,H1373&gt;=3),"PROMISING",AND(F1373&gt;=3,G1373&gt;=3,H1373&gt;=3),"NEED ATTENTION",AND(F1373&lt;=4,G1373&gt;=6,H1373&gt;=6),"AT RISK",AND(F1373&lt;=2,G1373&gt;=8,H1373&gt;=8),"CAN'T LOSE THEM",AND(F1373&lt;=2,G1373&lt;=2,H1373&lt;=2),"HIBERNATING",TRUE(),"Other")</f>
        <v>LOYAL CUSTOMER</v>
      </c>
      <c r="K1373" s="1" t="n">
        <f aca="false">RANK(E1373,$E$7:$E$4378)+COUNTIF($E$7:E1373,E1373)-1</f>
        <v>868</v>
      </c>
    </row>
    <row r="1374" customFormat="false" ht="14.25" hidden="false" customHeight="true" outlineLevel="0" collapsed="false">
      <c r="A1374" s="51" t="n">
        <v>14189</v>
      </c>
      <c r="B1374" s="53" t="n">
        <v>40884.6631944445</v>
      </c>
      <c r="C1374" s="57" t="n">
        <f aca="false">INT($C$2)-INT(Table3[[#This Row],[Last Purchase Date]])</f>
        <v>3</v>
      </c>
      <c r="D1374" s="1" t="n">
        <v>24</v>
      </c>
      <c r="E1374" s="1" t="n">
        <v>4604.31</v>
      </c>
      <c r="F1374" s="1" t="n">
        <f aca="false">ROUND((1-_xlfn.PERCENTRANK.INC($C$7:$C$4378,C1374))*9,0)</f>
        <v>9</v>
      </c>
      <c r="G1374" s="1" t="n">
        <f aca="false">ROUND(_xlfn.PERCENTRANK.INC($D$7:$D$4378,D1374)*9,0)</f>
        <v>9</v>
      </c>
      <c r="H1374" s="1" t="n">
        <f aca="false">ROUND(_xlfn.PERCENTRANK.INC($E$7:$E$4378,E1374)*9,0)</f>
        <v>8</v>
      </c>
      <c r="I1374" s="1" t="str">
        <f aca="false">CONCATENATE(F1374,G1374,H1374)</f>
        <v>998</v>
      </c>
      <c r="J1374" s="1" t="str">
        <f aca="false">_xlfn.IFS(AND(F1374&gt;=8,G1374&gt;=8,H1374&gt;=8),"CHAMPION",AND(F1374&gt;=6,G1374&gt;=7,H1374&gt;=6),"LOYAL CUSTOMER",AND(F1374&gt;=6,G1374&gt;=5,H1374&gt;=5),"POTENTIAL LOYALIST",AND(F1374&gt;=8,G1374&lt;=2,H1374&gt;=5),"NEW CUSTOMERS",AND(F1374&gt;=6,G1374&lt;=2,H1374&gt;=3),"PROMISING",AND(F1374&gt;=3,G1374&gt;=3,H1374&gt;=3),"NEED ATTENTION",AND(F1374&lt;=4,G1374&gt;=6,H1374&gt;=6),"AT RISK",AND(F1374&lt;=2,G1374&gt;=8,H1374&gt;=8),"CAN'T LOSE THEM",AND(F1374&lt;=2,G1374&lt;=2,H1374&lt;=2),"HIBERNATING",TRUE(),"Other")</f>
        <v>CHAMPION</v>
      </c>
      <c r="K1374" s="1" t="n">
        <f aca="false">RANK(E1374,$E$7:$E$4378)+COUNTIF($E$7:E1374,E1374)-1</f>
        <v>294</v>
      </c>
    </row>
    <row r="1375" customFormat="false" ht="14.25" hidden="false" customHeight="true" outlineLevel="0" collapsed="false">
      <c r="A1375" s="51" t="n">
        <v>14191</v>
      </c>
      <c r="B1375" s="53" t="n">
        <v>40885.3909722222</v>
      </c>
      <c r="C1375" s="57" t="n">
        <f aca="false">INT($C$2)-INT(Table3[[#This Row],[Last Purchase Date]])</f>
        <v>2</v>
      </c>
      <c r="D1375" s="1" t="n">
        <v>14</v>
      </c>
      <c r="E1375" s="1" t="n">
        <v>4660.01</v>
      </c>
      <c r="F1375" s="1" t="n">
        <f aca="false">ROUND((1-_xlfn.PERCENTRANK.INC($C$7:$C$4378,C1375))*9,0)</f>
        <v>9</v>
      </c>
      <c r="G1375" s="1" t="n">
        <f aca="false">ROUND(_xlfn.PERCENTRANK.INC($D$7:$D$4378,D1375)*9,0)</f>
        <v>8</v>
      </c>
      <c r="H1375" s="1" t="n">
        <f aca="false">ROUND(_xlfn.PERCENTRANK.INC($E$7:$E$4378,E1375)*9,0)</f>
        <v>8</v>
      </c>
      <c r="I1375" s="1" t="str">
        <f aca="false">CONCATENATE(F1375,G1375,H1375)</f>
        <v>988</v>
      </c>
      <c r="J1375" s="1" t="str">
        <f aca="false">_xlfn.IFS(AND(F1375&gt;=8,G1375&gt;=8,H1375&gt;=8),"CHAMPION",AND(F1375&gt;=6,G1375&gt;=7,H1375&gt;=6),"LOYAL CUSTOMER",AND(F1375&gt;=6,G1375&gt;=5,H1375&gt;=5),"POTENTIAL LOYALIST",AND(F1375&gt;=8,G1375&lt;=2,H1375&gt;=5),"NEW CUSTOMERS",AND(F1375&gt;=6,G1375&lt;=2,H1375&gt;=3),"PROMISING",AND(F1375&gt;=3,G1375&gt;=3,H1375&gt;=3),"NEED ATTENTION",AND(F1375&lt;=4,G1375&gt;=6,H1375&gt;=6),"AT RISK",AND(F1375&lt;=2,G1375&gt;=8,H1375&gt;=8),"CAN'T LOSE THEM",AND(F1375&lt;=2,G1375&lt;=2,H1375&lt;=2),"HIBERNATING",TRUE(),"Other")</f>
        <v>CHAMPION</v>
      </c>
      <c r="K1375" s="1" t="n">
        <f aca="false">RANK(E1375,$E$7:$E$4378)+COUNTIF($E$7:E1375,E1375)-1</f>
        <v>291</v>
      </c>
    </row>
    <row r="1376" customFormat="false" ht="14.25" hidden="false" customHeight="true" outlineLevel="0" collapsed="false">
      <c r="A1376" s="51" t="n">
        <v>14193</v>
      </c>
      <c r="B1376" s="53" t="n">
        <v>40819.3986111111</v>
      </c>
      <c r="C1376" s="57" t="n">
        <f aca="false">INT($C$2)-INT(Table3[[#This Row],[Last Purchase Date]])</f>
        <v>68</v>
      </c>
      <c r="D1376" s="1" t="n">
        <v>2</v>
      </c>
      <c r="E1376" s="1" t="n">
        <v>853.39</v>
      </c>
      <c r="F1376" s="1" t="n">
        <f aca="false">ROUND((1-_xlfn.PERCENTRANK.INC($C$7:$C$4378,C1376))*9,0)</f>
        <v>4</v>
      </c>
      <c r="G1376" s="1" t="n">
        <f aca="false">ROUND(_xlfn.PERCENTRANK.INC($D$7:$D$4378,D1376)*9,0)</f>
        <v>3</v>
      </c>
      <c r="H1376" s="1" t="n">
        <f aca="false">ROUND(_xlfn.PERCENTRANK.INC($E$7:$E$4378,E1376)*9,0)</f>
        <v>5</v>
      </c>
      <c r="I1376" s="1" t="str">
        <f aca="false">CONCATENATE(F1376,G1376,H1376)</f>
        <v>435</v>
      </c>
      <c r="J1376" s="1" t="str">
        <f aca="false">_xlfn.IFS(AND(F1376&gt;=8,G1376&gt;=8,H1376&gt;=8),"CHAMPION",AND(F1376&gt;=6,G1376&gt;=7,H1376&gt;=6),"LOYAL CUSTOMER",AND(F1376&gt;=6,G1376&gt;=5,H1376&gt;=5),"POTENTIAL LOYALIST",AND(F1376&gt;=8,G1376&lt;=2,H1376&gt;=5),"NEW CUSTOMERS",AND(F1376&gt;=6,G1376&lt;=2,H1376&gt;=3),"PROMISING",AND(F1376&gt;=3,G1376&gt;=3,H1376&gt;=3),"NEED ATTENTION",AND(F1376&lt;=4,G1376&gt;=6,H1376&gt;=6),"AT RISK",AND(F1376&lt;=2,G1376&gt;=8,H1376&gt;=8),"CAN'T LOSE THEM",AND(F1376&lt;=2,G1376&lt;=2,H1376&lt;=2),"HIBERNATING",TRUE(),"Other")</f>
        <v>NEED ATTENTION</v>
      </c>
      <c r="K1376" s="1" t="n">
        <f aca="false">RANK(E1376,$E$7:$E$4378)+COUNTIF($E$7:E1376,E1376)-1</f>
        <v>1825</v>
      </c>
    </row>
    <row r="1377" customFormat="false" ht="14.25" hidden="false" customHeight="true" outlineLevel="0" collapsed="false">
      <c r="A1377" s="51" t="n">
        <v>14194</v>
      </c>
      <c r="B1377" s="53" t="n">
        <v>40882.4430555556</v>
      </c>
      <c r="C1377" s="57" t="n">
        <f aca="false">INT($C$2)-INT(Table3[[#This Row],[Last Purchase Date]])</f>
        <v>5</v>
      </c>
      <c r="D1377" s="1" t="n">
        <v>32</v>
      </c>
      <c r="E1377" s="1" t="n">
        <v>11216.75</v>
      </c>
      <c r="F1377" s="1" t="n">
        <f aca="false">ROUND((1-_xlfn.PERCENTRANK.INC($C$7:$C$4378,C1377))*9,0)</f>
        <v>8</v>
      </c>
      <c r="G1377" s="1" t="n">
        <f aca="false">ROUND(_xlfn.PERCENTRANK.INC($D$7:$D$4378,D1377)*9,0)</f>
        <v>9</v>
      </c>
      <c r="H1377" s="1" t="n">
        <f aca="false">ROUND(_xlfn.PERCENTRANK.INC($E$7:$E$4378,E1377)*9,0)</f>
        <v>9</v>
      </c>
      <c r="I1377" s="1" t="str">
        <f aca="false">CONCATENATE(F1377,G1377,H1377)</f>
        <v>899</v>
      </c>
      <c r="J1377" s="1" t="str">
        <f aca="false">_xlfn.IFS(AND(F1377&gt;=8,G1377&gt;=8,H1377&gt;=8),"CHAMPION",AND(F1377&gt;=6,G1377&gt;=7,H1377&gt;=6),"LOYAL CUSTOMER",AND(F1377&gt;=6,G1377&gt;=5,H1377&gt;=5),"POTENTIAL LOYALIST",AND(F1377&gt;=8,G1377&lt;=2,H1377&gt;=5),"NEW CUSTOMERS",AND(F1377&gt;=6,G1377&lt;=2,H1377&gt;=3),"PROMISING",AND(F1377&gt;=3,G1377&gt;=3,H1377&gt;=3),"NEED ATTENTION",AND(F1377&lt;=4,G1377&gt;=6,H1377&gt;=6),"AT RISK",AND(F1377&lt;=2,G1377&gt;=8,H1377&gt;=8),"CAN'T LOSE THEM",AND(F1377&lt;=2,G1377&lt;=2,H1377&lt;=2),"HIBERNATING",TRUE(),"Other")</f>
        <v>CHAMPION</v>
      </c>
      <c r="K1377" s="1" t="n">
        <f aca="false">RANK(E1377,$E$7:$E$4378)+COUNTIF($E$7:E1377,E1377)-1</f>
        <v>78</v>
      </c>
    </row>
    <row r="1378" customFormat="false" ht="14.25" hidden="false" customHeight="true" outlineLevel="0" collapsed="false">
      <c r="A1378" s="51" t="n">
        <v>14195</v>
      </c>
      <c r="B1378" s="53" t="n">
        <v>40685.4368055556</v>
      </c>
      <c r="C1378" s="57" t="n">
        <f aca="false">INT($C$2)-INT(Table3[[#This Row],[Last Purchase Date]])</f>
        <v>202</v>
      </c>
      <c r="D1378" s="1" t="n">
        <v>3</v>
      </c>
      <c r="E1378" s="1" t="n">
        <v>962.7</v>
      </c>
      <c r="F1378" s="1" t="n">
        <f aca="false">ROUND((1-_xlfn.PERCENTRANK.INC($C$7:$C$4378,C1378))*9,0)</f>
        <v>2</v>
      </c>
      <c r="G1378" s="1" t="n">
        <f aca="false">ROUND(_xlfn.PERCENTRANK.INC($D$7:$D$4378,D1378)*9,0)</f>
        <v>4</v>
      </c>
      <c r="H1378" s="1" t="n">
        <f aca="false">ROUND(_xlfn.PERCENTRANK.INC($E$7:$E$4378,E1378)*9,0)</f>
        <v>6</v>
      </c>
      <c r="I1378" s="1" t="str">
        <f aca="false">CONCATENATE(F1378,G1378,H1378)</f>
        <v>246</v>
      </c>
      <c r="J1378" s="1" t="str">
        <f aca="false">_xlfn.IFS(AND(F1378&gt;=8,G1378&gt;=8,H1378&gt;=8),"CHAMPION",AND(F1378&gt;=6,G1378&gt;=7,H1378&gt;=6),"LOYAL CUSTOMER",AND(F1378&gt;=6,G1378&gt;=5,H1378&gt;=5),"POTENTIAL LOYALIST",AND(F1378&gt;=8,G1378&lt;=2,H1378&gt;=5),"NEW CUSTOMERS",AND(F1378&gt;=6,G1378&lt;=2,H1378&gt;=3),"PROMISING",AND(F1378&gt;=3,G1378&gt;=3,H1378&gt;=3),"NEED ATTENTION",AND(F1378&lt;=4,G1378&gt;=6,H1378&gt;=6),"AT RISK",AND(F1378&lt;=2,G1378&gt;=8,H1378&gt;=8),"CAN'T LOSE THEM",AND(F1378&lt;=2,G1378&lt;=2,H1378&lt;=2),"HIBERNATING",TRUE(),"Other")</f>
        <v>Other</v>
      </c>
      <c r="K1378" s="1" t="n">
        <f aca="false">RANK(E1378,$E$7:$E$4378)+COUNTIF($E$7:E1378,E1378)-1</f>
        <v>1683</v>
      </c>
    </row>
    <row r="1379" customFormat="false" ht="14.25" hidden="false" customHeight="true" outlineLevel="0" collapsed="false">
      <c r="A1379" s="51" t="n">
        <v>14196</v>
      </c>
      <c r="B1379" s="53" t="n">
        <v>40780.4340277778</v>
      </c>
      <c r="C1379" s="57" t="n">
        <f aca="false">INT($C$2)-INT(Table3[[#This Row],[Last Purchase Date]])</f>
        <v>107</v>
      </c>
      <c r="D1379" s="1" t="n">
        <v>1</v>
      </c>
      <c r="E1379" s="1" t="n">
        <v>335.52</v>
      </c>
      <c r="F1379" s="1" t="n">
        <f aca="false">ROUND((1-_xlfn.PERCENTRANK.INC($C$7:$C$4378,C1379))*9,0)</f>
        <v>3</v>
      </c>
      <c r="G1379" s="1" t="n">
        <f aca="false">ROUND(_xlfn.PERCENTRANK.INC($D$7:$D$4378,D1379)*9,0)</f>
        <v>0</v>
      </c>
      <c r="H1379" s="1" t="n">
        <f aca="false">ROUND(_xlfn.PERCENTRANK.INC($E$7:$E$4378,E1379)*9,0)</f>
        <v>3</v>
      </c>
      <c r="I1379" s="1" t="str">
        <f aca="false">CONCATENATE(F1379,G1379,H1379)</f>
        <v>303</v>
      </c>
      <c r="J1379" s="1" t="str">
        <f aca="false">_xlfn.IFS(AND(F1379&gt;=8,G1379&gt;=8,H1379&gt;=8),"CHAMPION",AND(F1379&gt;=6,G1379&gt;=7,H1379&gt;=6),"LOYAL CUSTOMER",AND(F1379&gt;=6,G1379&gt;=5,H1379&gt;=5),"POTENTIAL LOYALIST",AND(F1379&gt;=8,G1379&lt;=2,H1379&gt;=5),"NEW CUSTOMERS",AND(F1379&gt;=6,G1379&lt;=2,H1379&gt;=3),"PROMISING",AND(F1379&gt;=3,G1379&gt;=3,H1379&gt;=3),"NEED ATTENTION",AND(F1379&lt;=4,G1379&gt;=6,H1379&gt;=6),"AT RISK",AND(F1379&lt;=2,G1379&gt;=8,H1379&gt;=8),"CAN'T LOSE THEM",AND(F1379&lt;=2,G1379&lt;=2,H1379&lt;=2),"HIBERNATING",TRUE(),"Other")</f>
        <v>Other</v>
      </c>
      <c r="K1379" s="1" t="n">
        <f aca="false">RANK(E1379,$E$7:$E$4378)+COUNTIF($E$7:E1379,E1379)-1</f>
        <v>3070</v>
      </c>
    </row>
    <row r="1380" customFormat="false" ht="14.25" hidden="false" customHeight="true" outlineLevel="0" collapsed="false">
      <c r="A1380" s="51" t="n">
        <v>14198</v>
      </c>
      <c r="B1380" s="53" t="n">
        <v>40882.6902777778</v>
      </c>
      <c r="C1380" s="57" t="n">
        <f aca="false">INT($C$2)-INT(Table3[[#This Row],[Last Purchase Date]])</f>
        <v>5</v>
      </c>
      <c r="D1380" s="1" t="n">
        <v>7</v>
      </c>
      <c r="E1380" s="1" t="n">
        <v>663.5</v>
      </c>
      <c r="F1380" s="1" t="n">
        <f aca="false">ROUND((1-_xlfn.PERCENTRANK.INC($C$7:$C$4378,C1380))*9,0)</f>
        <v>8</v>
      </c>
      <c r="G1380" s="1" t="n">
        <f aca="false">ROUND(_xlfn.PERCENTRANK.INC($D$7:$D$4378,D1380)*9,0)</f>
        <v>7</v>
      </c>
      <c r="H1380" s="1" t="n">
        <f aca="false">ROUND(_xlfn.PERCENTRANK.INC($E$7:$E$4378,E1380)*9,0)</f>
        <v>5</v>
      </c>
      <c r="I1380" s="1" t="str">
        <f aca="false">CONCATENATE(F1380,G1380,H1380)</f>
        <v>875</v>
      </c>
      <c r="J1380" s="1" t="str">
        <f aca="false">_xlfn.IFS(AND(F1380&gt;=8,G1380&gt;=8,H1380&gt;=8),"CHAMPION",AND(F1380&gt;=6,G1380&gt;=7,H1380&gt;=6),"LOYAL CUSTOMER",AND(F1380&gt;=6,G1380&gt;=5,H1380&gt;=5),"POTENTIAL LOYALIST",AND(F1380&gt;=8,G1380&lt;=2,H1380&gt;=5),"NEW CUSTOMERS",AND(F1380&gt;=6,G1380&lt;=2,H1380&gt;=3),"PROMISING",AND(F1380&gt;=3,G1380&gt;=3,H1380&gt;=3),"NEED ATTENTION",AND(F1380&lt;=4,G1380&gt;=6,H1380&gt;=6),"AT RISK",AND(F1380&lt;=2,G1380&gt;=8,H1380&gt;=8),"CAN'T LOSE THEM",AND(F1380&lt;=2,G1380&lt;=2,H1380&lt;=2),"HIBERNATING",TRUE(),"Other")</f>
        <v>POTENTIAL LOYALIST</v>
      </c>
      <c r="K1380" s="1" t="n">
        <f aca="false">RANK(E1380,$E$7:$E$4378)+COUNTIF($E$7:E1380,E1380)-1</f>
        <v>2149</v>
      </c>
    </row>
    <row r="1381" customFormat="false" ht="14.25" hidden="false" customHeight="true" outlineLevel="0" collapsed="false">
      <c r="A1381" s="51" t="n">
        <v>14199</v>
      </c>
      <c r="B1381" s="53" t="n">
        <v>40668.5722222222</v>
      </c>
      <c r="C1381" s="57" t="n">
        <f aca="false">INT($C$2)-INT(Table3[[#This Row],[Last Purchase Date]])</f>
        <v>219</v>
      </c>
      <c r="D1381" s="1" t="n">
        <v>1</v>
      </c>
      <c r="E1381" s="1" t="n">
        <v>185.4</v>
      </c>
      <c r="F1381" s="1" t="n">
        <f aca="false">ROUND((1-_xlfn.PERCENTRANK.INC($C$7:$C$4378,C1381))*9,0)</f>
        <v>1</v>
      </c>
      <c r="G1381" s="1" t="n">
        <f aca="false">ROUND(_xlfn.PERCENTRANK.INC($D$7:$D$4378,D1381)*9,0)</f>
        <v>0</v>
      </c>
      <c r="H1381" s="1" t="n">
        <f aca="false">ROUND(_xlfn.PERCENTRANK.INC($E$7:$E$4378,E1381)*9,0)</f>
        <v>1</v>
      </c>
      <c r="I1381" s="1" t="str">
        <f aca="false">CONCATENATE(F1381,G1381,H1381)</f>
        <v>101</v>
      </c>
      <c r="J1381" s="1" t="str">
        <f aca="false">_xlfn.IFS(AND(F1381&gt;=8,G1381&gt;=8,H1381&gt;=8),"CHAMPION",AND(F1381&gt;=6,G1381&gt;=7,H1381&gt;=6),"LOYAL CUSTOMER",AND(F1381&gt;=6,G1381&gt;=5,H1381&gt;=5),"POTENTIAL LOYALIST",AND(F1381&gt;=8,G1381&lt;=2,H1381&gt;=5),"NEW CUSTOMERS",AND(F1381&gt;=6,G1381&lt;=2,H1381&gt;=3),"PROMISING",AND(F1381&gt;=3,G1381&gt;=3,H1381&gt;=3),"NEED ATTENTION",AND(F1381&lt;=4,G1381&gt;=6,H1381&gt;=6),"AT RISK",AND(F1381&lt;=2,G1381&gt;=8,H1381&gt;=8),"CAN'T LOSE THEM",AND(F1381&lt;=2,G1381&lt;=2,H1381&lt;=2),"HIBERNATING",TRUE(),"Other")</f>
        <v>HIBERNATING</v>
      </c>
      <c r="K1381" s="1" t="n">
        <f aca="false">RANK(E1381,$E$7:$E$4378)+COUNTIF($E$7:E1381,E1381)-1</f>
        <v>3728</v>
      </c>
    </row>
    <row r="1382" customFormat="false" ht="14.25" hidden="false" customHeight="true" outlineLevel="0" collapsed="false">
      <c r="A1382" s="51" t="n">
        <v>14201</v>
      </c>
      <c r="B1382" s="53" t="n">
        <v>40826.5604166667</v>
      </c>
      <c r="C1382" s="57" t="n">
        <f aca="false">INT($C$2)-INT(Table3[[#This Row],[Last Purchase Date]])</f>
        <v>61</v>
      </c>
      <c r="D1382" s="1" t="n">
        <v>9</v>
      </c>
      <c r="E1382" s="1" t="n">
        <v>688.04</v>
      </c>
      <c r="F1382" s="1" t="n">
        <f aca="false">ROUND((1-_xlfn.PERCENTRANK.INC($C$7:$C$4378,C1382))*9,0)</f>
        <v>4</v>
      </c>
      <c r="G1382" s="1" t="n">
        <f aca="false">ROUND(_xlfn.PERCENTRANK.INC($D$7:$D$4378,D1382)*9,0)</f>
        <v>8</v>
      </c>
      <c r="H1382" s="1" t="n">
        <f aca="false">ROUND(_xlfn.PERCENTRANK.INC($E$7:$E$4378,E1382)*9,0)</f>
        <v>5</v>
      </c>
      <c r="I1382" s="1" t="str">
        <f aca="false">CONCATENATE(F1382,G1382,H1382)</f>
        <v>485</v>
      </c>
      <c r="J1382" s="1" t="str">
        <f aca="false">_xlfn.IFS(AND(F1382&gt;=8,G1382&gt;=8,H1382&gt;=8),"CHAMPION",AND(F1382&gt;=6,G1382&gt;=7,H1382&gt;=6),"LOYAL CUSTOMER",AND(F1382&gt;=6,G1382&gt;=5,H1382&gt;=5),"POTENTIAL LOYALIST",AND(F1382&gt;=8,G1382&lt;=2,H1382&gt;=5),"NEW CUSTOMERS",AND(F1382&gt;=6,G1382&lt;=2,H1382&gt;=3),"PROMISING",AND(F1382&gt;=3,G1382&gt;=3,H1382&gt;=3),"NEED ATTENTION",AND(F1382&lt;=4,G1382&gt;=6,H1382&gt;=6),"AT RISK",AND(F1382&lt;=2,G1382&gt;=8,H1382&gt;=8),"CAN'T LOSE THEM",AND(F1382&lt;=2,G1382&lt;=2,H1382&lt;=2),"HIBERNATING",TRUE(),"Other")</f>
        <v>NEED ATTENTION</v>
      </c>
      <c r="K1382" s="1" t="n">
        <f aca="false">RANK(E1382,$E$7:$E$4378)+COUNTIF($E$7:E1382,E1382)-1</f>
        <v>2087</v>
      </c>
    </row>
    <row r="1383" customFormat="false" ht="14.25" hidden="false" customHeight="true" outlineLevel="0" collapsed="false">
      <c r="A1383" s="51" t="n">
        <v>14204</v>
      </c>
      <c r="B1383" s="53" t="n">
        <v>40884.5680555556</v>
      </c>
      <c r="C1383" s="57" t="n">
        <f aca="false">INT($C$2)-INT(Table3[[#This Row],[Last Purchase Date]])</f>
        <v>3</v>
      </c>
      <c r="D1383" s="1" t="n">
        <v>1</v>
      </c>
      <c r="E1383" s="1" t="n">
        <v>161.03</v>
      </c>
      <c r="F1383" s="1" t="n">
        <f aca="false">ROUND((1-_xlfn.PERCENTRANK.INC($C$7:$C$4378,C1383))*9,0)</f>
        <v>9</v>
      </c>
      <c r="G1383" s="1" t="n">
        <f aca="false">ROUND(_xlfn.PERCENTRANK.INC($D$7:$D$4378,D1383)*9,0)</f>
        <v>0</v>
      </c>
      <c r="H1383" s="1" t="n">
        <f aca="false">ROUND(_xlfn.PERCENTRANK.INC($E$7:$E$4378,E1383)*9,0)</f>
        <v>1</v>
      </c>
      <c r="I1383" s="1" t="str">
        <f aca="false">CONCATENATE(F1383,G1383,H1383)</f>
        <v>901</v>
      </c>
      <c r="J1383" s="1" t="str">
        <f aca="false">_xlfn.IFS(AND(F1383&gt;=8,G1383&gt;=8,H1383&gt;=8),"CHAMPION",AND(F1383&gt;=6,G1383&gt;=7,H1383&gt;=6),"LOYAL CUSTOMER",AND(F1383&gt;=6,G1383&gt;=5,H1383&gt;=5),"POTENTIAL LOYALIST",AND(F1383&gt;=8,G1383&lt;=2,H1383&gt;=5),"NEW CUSTOMERS",AND(F1383&gt;=6,G1383&lt;=2,H1383&gt;=3),"PROMISING",AND(F1383&gt;=3,G1383&gt;=3,H1383&gt;=3),"NEED ATTENTION",AND(F1383&lt;=4,G1383&gt;=6,H1383&gt;=6),"AT RISK",AND(F1383&lt;=2,G1383&gt;=8,H1383&gt;=8),"CAN'T LOSE THEM",AND(F1383&lt;=2,G1383&lt;=2,H1383&lt;=2),"HIBERNATING",TRUE(),"Other")</f>
        <v>Other</v>
      </c>
      <c r="K1383" s="1" t="n">
        <f aca="false">RANK(E1383,$E$7:$E$4378)+COUNTIF($E$7:E1383,E1383)-1</f>
        <v>3852</v>
      </c>
    </row>
    <row r="1384" customFormat="false" ht="14.25" hidden="false" customHeight="true" outlineLevel="0" collapsed="false">
      <c r="A1384" s="51" t="n">
        <v>14205</v>
      </c>
      <c r="B1384" s="53" t="n">
        <v>40876.4972222222</v>
      </c>
      <c r="C1384" s="57" t="n">
        <f aca="false">INT($C$2)-INT(Table3[[#This Row],[Last Purchase Date]])</f>
        <v>11</v>
      </c>
      <c r="D1384" s="1" t="n">
        <v>4</v>
      </c>
      <c r="E1384" s="1" t="n">
        <v>218.78</v>
      </c>
      <c r="F1384" s="1" t="n">
        <f aca="false">ROUND((1-_xlfn.PERCENTRANK.INC($C$7:$C$4378,C1384))*9,0)</f>
        <v>7</v>
      </c>
      <c r="G1384" s="1" t="n">
        <f aca="false">ROUND(_xlfn.PERCENTRANK.INC($D$7:$D$4378,D1384)*9,0)</f>
        <v>5</v>
      </c>
      <c r="H1384" s="1" t="n">
        <f aca="false">ROUND(_xlfn.PERCENTRANK.INC($E$7:$E$4378,E1384)*9,0)</f>
        <v>2</v>
      </c>
      <c r="I1384" s="1" t="str">
        <f aca="false">CONCATENATE(F1384,G1384,H1384)</f>
        <v>752</v>
      </c>
      <c r="J1384" s="1" t="str">
        <f aca="false">_xlfn.IFS(AND(F1384&gt;=8,G1384&gt;=8,H1384&gt;=8),"CHAMPION",AND(F1384&gt;=6,G1384&gt;=7,H1384&gt;=6),"LOYAL CUSTOMER",AND(F1384&gt;=6,G1384&gt;=5,H1384&gt;=5),"POTENTIAL LOYALIST",AND(F1384&gt;=8,G1384&lt;=2,H1384&gt;=5),"NEW CUSTOMERS",AND(F1384&gt;=6,G1384&lt;=2,H1384&gt;=3),"PROMISING",AND(F1384&gt;=3,G1384&gt;=3,H1384&gt;=3),"NEED ATTENTION",AND(F1384&lt;=4,G1384&gt;=6,H1384&gt;=6),"AT RISK",AND(F1384&lt;=2,G1384&gt;=8,H1384&gt;=8),"CAN'T LOSE THEM",AND(F1384&lt;=2,G1384&lt;=2,H1384&lt;=2),"HIBERNATING",TRUE(),"Other")</f>
        <v>Other</v>
      </c>
      <c r="K1384" s="1" t="n">
        <f aca="false">RANK(E1384,$E$7:$E$4378)+COUNTIF($E$7:E1384,E1384)-1</f>
        <v>3565</v>
      </c>
    </row>
    <row r="1385" customFormat="false" ht="14.25" hidden="false" customHeight="true" outlineLevel="0" collapsed="false">
      <c r="A1385" s="51" t="n">
        <v>14206</v>
      </c>
      <c r="B1385" s="53" t="n">
        <v>40647.6930555556</v>
      </c>
      <c r="C1385" s="57" t="n">
        <f aca="false">INT($C$2)-INT(Table3[[#This Row],[Last Purchase Date]])</f>
        <v>240</v>
      </c>
      <c r="D1385" s="1" t="n">
        <v>2</v>
      </c>
      <c r="E1385" s="1" t="n">
        <v>308.26</v>
      </c>
      <c r="F1385" s="1" t="n">
        <f aca="false">ROUND((1-_xlfn.PERCENTRANK.INC($C$7:$C$4378,C1385))*9,0)</f>
        <v>1</v>
      </c>
      <c r="G1385" s="1" t="n">
        <f aca="false">ROUND(_xlfn.PERCENTRANK.INC($D$7:$D$4378,D1385)*9,0)</f>
        <v>3</v>
      </c>
      <c r="H1385" s="1" t="n">
        <f aca="false">ROUND(_xlfn.PERCENTRANK.INC($E$7:$E$4378,E1385)*9,0)</f>
        <v>2</v>
      </c>
      <c r="I1385" s="1" t="str">
        <f aca="false">CONCATENATE(F1385,G1385,H1385)</f>
        <v>132</v>
      </c>
      <c r="J1385" s="1" t="str">
        <f aca="false">_xlfn.IFS(AND(F1385&gt;=8,G1385&gt;=8,H1385&gt;=8),"CHAMPION",AND(F1385&gt;=6,G1385&gt;=7,H1385&gt;=6),"LOYAL CUSTOMER",AND(F1385&gt;=6,G1385&gt;=5,H1385&gt;=5),"POTENTIAL LOYALIST",AND(F1385&gt;=8,G1385&lt;=2,H1385&gt;=5),"NEW CUSTOMERS",AND(F1385&gt;=6,G1385&lt;=2,H1385&gt;=3),"PROMISING",AND(F1385&gt;=3,G1385&gt;=3,H1385&gt;=3),"NEED ATTENTION",AND(F1385&lt;=4,G1385&gt;=6,H1385&gt;=6),"AT RISK",AND(F1385&lt;=2,G1385&gt;=8,H1385&gt;=8),"CAN'T LOSE THEM",AND(F1385&lt;=2,G1385&lt;=2,H1385&lt;=2),"HIBERNATING",TRUE(),"Other")</f>
        <v>Other</v>
      </c>
      <c r="K1385" s="1" t="n">
        <f aca="false">RANK(E1385,$E$7:$E$4378)+COUNTIF($E$7:E1385,E1385)-1</f>
        <v>3205</v>
      </c>
    </row>
    <row r="1386" customFormat="false" ht="14.25" hidden="false" customHeight="true" outlineLevel="0" collapsed="false">
      <c r="A1386" s="51" t="n">
        <v>14208</v>
      </c>
      <c r="B1386" s="53" t="n">
        <v>40792.5333333333</v>
      </c>
      <c r="C1386" s="57" t="n">
        <f aca="false">INT($C$2)-INT(Table3[[#This Row],[Last Purchase Date]])</f>
        <v>95</v>
      </c>
      <c r="D1386" s="1" t="n">
        <v>1</v>
      </c>
      <c r="E1386" s="1" t="n">
        <v>151.74</v>
      </c>
      <c r="F1386" s="1" t="n">
        <f aca="false">ROUND((1-_xlfn.PERCENTRANK.INC($C$7:$C$4378,C1386))*9,0)</f>
        <v>3</v>
      </c>
      <c r="G1386" s="1" t="n">
        <f aca="false">ROUND(_xlfn.PERCENTRANK.INC($D$7:$D$4378,D1386)*9,0)</f>
        <v>0</v>
      </c>
      <c r="H1386" s="1" t="n">
        <f aca="false">ROUND(_xlfn.PERCENTRANK.INC($E$7:$E$4378,E1386)*9,0)</f>
        <v>1</v>
      </c>
      <c r="I1386" s="1" t="str">
        <f aca="false">CONCATENATE(F1386,G1386,H1386)</f>
        <v>301</v>
      </c>
      <c r="J1386" s="1" t="str">
        <f aca="false">_xlfn.IFS(AND(F1386&gt;=8,G1386&gt;=8,H1386&gt;=8),"CHAMPION",AND(F1386&gt;=6,G1386&gt;=7,H1386&gt;=6),"LOYAL CUSTOMER",AND(F1386&gt;=6,G1386&gt;=5,H1386&gt;=5),"POTENTIAL LOYALIST",AND(F1386&gt;=8,G1386&lt;=2,H1386&gt;=5),"NEW CUSTOMERS",AND(F1386&gt;=6,G1386&lt;=2,H1386&gt;=3),"PROMISING",AND(F1386&gt;=3,G1386&gt;=3,H1386&gt;=3),"NEED ATTENTION",AND(F1386&lt;=4,G1386&gt;=6,H1386&gt;=6),"AT RISK",AND(F1386&lt;=2,G1386&gt;=8,H1386&gt;=8),"CAN'T LOSE THEM",AND(F1386&lt;=2,G1386&lt;=2,H1386&lt;=2),"HIBERNATING",TRUE(),"Other")</f>
        <v>Other</v>
      </c>
      <c r="K1386" s="1" t="n">
        <f aca="false">RANK(E1386,$E$7:$E$4378)+COUNTIF($E$7:E1386,E1386)-1</f>
        <v>3911</v>
      </c>
    </row>
    <row r="1387" customFormat="false" ht="14.25" hidden="false" customHeight="true" outlineLevel="0" collapsed="false">
      <c r="A1387" s="51" t="n">
        <v>14209</v>
      </c>
      <c r="B1387" s="53" t="n">
        <v>40876.4291666667</v>
      </c>
      <c r="C1387" s="57" t="n">
        <f aca="false">INT($C$2)-INT(Table3[[#This Row],[Last Purchase Date]])</f>
        <v>11</v>
      </c>
      <c r="D1387" s="1" t="n">
        <v>7</v>
      </c>
      <c r="E1387" s="1" t="n">
        <v>2067.13</v>
      </c>
      <c r="F1387" s="1" t="n">
        <f aca="false">ROUND((1-_xlfn.PERCENTRANK.INC($C$7:$C$4378,C1387))*9,0)</f>
        <v>7</v>
      </c>
      <c r="G1387" s="1" t="n">
        <f aca="false">ROUND(_xlfn.PERCENTRANK.INC($D$7:$D$4378,D1387)*9,0)</f>
        <v>7</v>
      </c>
      <c r="H1387" s="1" t="n">
        <f aca="false">ROUND(_xlfn.PERCENTRANK.INC($E$7:$E$4378,E1387)*9,0)</f>
        <v>7</v>
      </c>
      <c r="I1387" s="1" t="str">
        <f aca="false">CONCATENATE(F1387,G1387,H1387)</f>
        <v>777</v>
      </c>
      <c r="J1387" s="1" t="str">
        <f aca="false">_xlfn.IFS(AND(F1387&gt;=8,G1387&gt;=8,H1387&gt;=8),"CHAMPION",AND(F1387&gt;=6,G1387&gt;=7,H1387&gt;=6),"LOYAL CUSTOMER",AND(F1387&gt;=6,G1387&gt;=5,H1387&gt;=5),"POTENTIAL LOYALIST",AND(F1387&gt;=8,G1387&lt;=2,H1387&gt;=5),"NEW CUSTOMERS",AND(F1387&gt;=6,G1387&lt;=2,H1387&gt;=3),"PROMISING",AND(F1387&gt;=3,G1387&gt;=3,H1387&gt;=3),"NEED ATTENTION",AND(F1387&lt;=4,G1387&gt;=6,H1387&gt;=6),"AT RISK",AND(F1387&lt;=2,G1387&gt;=8,H1387&gt;=8),"CAN'T LOSE THEM",AND(F1387&lt;=2,G1387&lt;=2,H1387&lt;=2),"HIBERNATING",TRUE(),"Other")</f>
        <v>LOYAL CUSTOMER</v>
      </c>
      <c r="K1387" s="1" t="n">
        <f aca="false">RANK(E1387,$E$7:$E$4378)+COUNTIF($E$7:E1387,E1387)-1</f>
        <v>841</v>
      </c>
    </row>
    <row r="1388" customFormat="false" ht="14.25" hidden="false" customHeight="true" outlineLevel="0" collapsed="false">
      <c r="A1388" s="51" t="n">
        <v>14210</v>
      </c>
      <c r="B1388" s="53" t="n">
        <v>40795.5381944445</v>
      </c>
      <c r="C1388" s="57" t="n">
        <f aca="false">INT($C$2)-INT(Table3[[#This Row],[Last Purchase Date]])</f>
        <v>92</v>
      </c>
      <c r="D1388" s="1" t="n">
        <v>7</v>
      </c>
      <c r="E1388" s="1" t="n">
        <v>1900.89</v>
      </c>
      <c r="F1388" s="1" t="n">
        <f aca="false">ROUND((1-_xlfn.PERCENTRANK.INC($C$7:$C$4378,C1388))*9,0)</f>
        <v>3</v>
      </c>
      <c r="G1388" s="1" t="n">
        <f aca="false">ROUND(_xlfn.PERCENTRANK.INC($D$7:$D$4378,D1388)*9,0)</f>
        <v>7</v>
      </c>
      <c r="H1388" s="1" t="n">
        <f aca="false">ROUND(_xlfn.PERCENTRANK.INC($E$7:$E$4378,E1388)*9,0)</f>
        <v>7</v>
      </c>
      <c r="I1388" s="1" t="str">
        <f aca="false">CONCATENATE(F1388,G1388,H1388)</f>
        <v>377</v>
      </c>
      <c r="J1388" s="1" t="str">
        <f aca="false">_xlfn.IFS(AND(F1388&gt;=8,G1388&gt;=8,H1388&gt;=8),"CHAMPION",AND(F1388&gt;=6,G1388&gt;=7,H1388&gt;=6),"LOYAL CUSTOMER",AND(F1388&gt;=6,G1388&gt;=5,H1388&gt;=5),"POTENTIAL LOYALIST",AND(F1388&gt;=8,G1388&lt;=2,H1388&gt;=5),"NEW CUSTOMERS",AND(F1388&gt;=6,G1388&lt;=2,H1388&gt;=3),"PROMISING",AND(F1388&gt;=3,G1388&gt;=3,H1388&gt;=3),"NEED ATTENTION",AND(F1388&lt;=4,G1388&gt;=6,H1388&gt;=6),"AT RISK",AND(F1388&lt;=2,G1388&gt;=8,H1388&gt;=8),"CAN'T LOSE THEM",AND(F1388&lt;=2,G1388&lt;=2,H1388&lt;=2),"HIBERNATING",TRUE(),"Other")</f>
        <v>NEED ATTENTION</v>
      </c>
      <c r="K1388" s="1" t="n">
        <f aca="false">RANK(E1388,$E$7:$E$4378)+COUNTIF($E$7:E1388,E1388)-1</f>
        <v>920</v>
      </c>
    </row>
    <row r="1389" customFormat="false" ht="14.25" hidden="false" customHeight="true" outlineLevel="0" collapsed="false">
      <c r="A1389" s="51" t="n">
        <v>14211</v>
      </c>
      <c r="B1389" s="53" t="n">
        <v>40833.5576388889</v>
      </c>
      <c r="C1389" s="57" t="n">
        <f aca="false">INT($C$2)-INT(Table3[[#This Row],[Last Purchase Date]])</f>
        <v>54</v>
      </c>
      <c r="D1389" s="1" t="n">
        <v>13</v>
      </c>
      <c r="E1389" s="1" t="n">
        <v>2208.3</v>
      </c>
      <c r="F1389" s="1" t="n">
        <f aca="false">ROUND((1-_xlfn.PERCENTRANK.INC($C$7:$C$4378,C1389))*9,0)</f>
        <v>4</v>
      </c>
      <c r="G1389" s="1" t="n">
        <f aca="false">ROUND(_xlfn.PERCENTRANK.INC($D$7:$D$4378,D1389)*9,0)</f>
        <v>8</v>
      </c>
      <c r="H1389" s="1" t="n">
        <f aca="false">ROUND(_xlfn.PERCENTRANK.INC($E$7:$E$4378,E1389)*9,0)</f>
        <v>7</v>
      </c>
      <c r="I1389" s="1" t="str">
        <f aca="false">CONCATENATE(F1389,G1389,H1389)</f>
        <v>487</v>
      </c>
      <c r="J1389" s="1" t="str">
        <f aca="false">_xlfn.IFS(AND(F1389&gt;=8,G1389&gt;=8,H1389&gt;=8),"CHAMPION",AND(F1389&gt;=6,G1389&gt;=7,H1389&gt;=6),"LOYAL CUSTOMER",AND(F1389&gt;=6,G1389&gt;=5,H1389&gt;=5),"POTENTIAL LOYALIST",AND(F1389&gt;=8,G1389&lt;=2,H1389&gt;=5),"NEW CUSTOMERS",AND(F1389&gt;=6,G1389&lt;=2,H1389&gt;=3),"PROMISING",AND(F1389&gt;=3,G1389&gt;=3,H1389&gt;=3),"NEED ATTENTION",AND(F1389&lt;=4,G1389&gt;=6,H1389&gt;=6),"AT RISK",AND(F1389&lt;=2,G1389&gt;=8,H1389&gt;=8),"CAN'T LOSE THEM",AND(F1389&lt;=2,G1389&lt;=2,H1389&lt;=2),"HIBERNATING",TRUE(),"Other")</f>
        <v>NEED ATTENTION</v>
      </c>
      <c r="K1389" s="1" t="n">
        <f aca="false">RANK(E1389,$E$7:$E$4378)+COUNTIF($E$7:E1389,E1389)-1</f>
        <v>777</v>
      </c>
    </row>
    <row r="1390" customFormat="false" ht="14.25" hidden="false" customHeight="true" outlineLevel="0" collapsed="false">
      <c r="A1390" s="51" t="n">
        <v>14212</v>
      </c>
      <c r="B1390" s="53" t="n">
        <v>40797.53125</v>
      </c>
      <c r="C1390" s="57" t="n">
        <f aca="false">INT($C$2)-INT(Table3[[#This Row],[Last Purchase Date]])</f>
        <v>90</v>
      </c>
      <c r="D1390" s="1" t="n">
        <v>1</v>
      </c>
      <c r="E1390" s="1" t="n">
        <v>1070.48</v>
      </c>
      <c r="F1390" s="1" t="n">
        <f aca="false">ROUND((1-_xlfn.PERCENTRANK.INC($C$7:$C$4378,C1390))*9,0)</f>
        <v>3</v>
      </c>
      <c r="G1390" s="1" t="n">
        <f aca="false">ROUND(_xlfn.PERCENTRANK.INC($D$7:$D$4378,D1390)*9,0)</f>
        <v>0</v>
      </c>
      <c r="H1390" s="1" t="n">
        <f aca="false">ROUND(_xlfn.PERCENTRANK.INC($E$7:$E$4378,E1390)*9,0)</f>
        <v>6</v>
      </c>
      <c r="I1390" s="1" t="str">
        <f aca="false">CONCATENATE(F1390,G1390,H1390)</f>
        <v>306</v>
      </c>
      <c r="J1390" s="1" t="str">
        <f aca="false">_xlfn.IFS(AND(F1390&gt;=8,G1390&gt;=8,H1390&gt;=8),"CHAMPION",AND(F1390&gt;=6,G1390&gt;=7,H1390&gt;=6),"LOYAL CUSTOMER",AND(F1390&gt;=6,G1390&gt;=5,H1390&gt;=5),"POTENTIAL LOYALIST",AND(F1390&gt;=8,G1390&lt;=2,H1390&gt;=5),"NEW CUSTOMERS",AND(F1390&gt;=6,G1390&lt;=2,H1390&gt;=3),"PROMISING",AND(F1390&gt;=3,G1390&gt;=3,H1390&gt;=3),"NEED ATTENTION",AND(F1390&lt;=4,G1390&gt;=6,H1390&gt;=6),"AT RISK",AND(F1390&lt;=2,G1390&gt;=8,H1390&gt;=8),"CAN'T LOSE THEM",AND(F1390&lt;=2,G1390&lt;=2,H1390&lt;=2),"HIBERNATING",TRUE(),"Other")</f>
        <v>Other</v>
      </c>
      <c r="K1390" s="1" t="n">
        <f aca="false">RANK(E1390,$E$7:$E$4378)+COUNTIF($E$7:E1390,E1390)-1</f>
        <v>1539</v>
      </c>
    </row>
    <row r="1391" customFormat="false" ht="14.25" hidden="false" customHeight="true" outlineLevel="0" collapsed="false">
      <c r="A1391" s="51" t="n">
        <v>14213</v>
      </c>
      <c r="B1391" s="53" t="n">
        <v>40515.4076388889</v>
      </c>
      <c r="C1391" s="57" t="n">
        <f aca="false">INT($C$2)-INT(Table3[[#This Row],[Last Purchase Date]])</f>
        <v>372</v>
      </c>
      <c r="D1391" s="1" t="n">
        <v>1</v>
      </c>
      <c r="E1391" s="1" t="n">
        <v>-1192.2</v>
      </c>
      <c r="F1391" s="1" t="n">
        <f aca="false">ROUND((1-_xlfn.PERCENTRANK.INC($C$7:$C$4378,C1391))*9,0)</f>
        <v>0</v>
      </c>
      <c r="G1391" s="1" t="n">
        <f aca="false">ROUND(_xlfn.PERCENTRANK.INC($D$7:$D$4378,D1391)*9,0)</f>
        <v>0</v>
      </c>
      <c r="H1391" s="1" t="n">
        <f aca="false">ROUND(_xlfn.PERCENTRANK.INC($E$7:$E$4378,E1391)*9,0)</f>
        <v>0</v>
      </c>
      <c r="I1391" s="1" t="str">
        <f aca="false">CONCATENATE(F1391,G1391,H1391)</f>
        <v>000</v>
      </c>
      <c r="J1391" s="1" t="str">
        <f aca="false">_xlfn.IFS(AND(F1391&gt;=8,G1391&gt;=8,H1391&gt;=8),"CHAMPION",AND(F1391&gt;=6,G1391&gt;=7,H1391&gt;=6),"LOYAL CUSTOMER",AND(F1391&gt;=6,G1391&gt;=5,H1391&gt;=5),"POTENTIAL LOYALIST",AND(F1391&gt;=8,G1391&lt;=2,H1391&gt;=5),"NEW CUSTOMERS",AND(F1391&gt;=6,G1391&lt;=2,H1391&gt;=3),"PROMISING",AND(F1391&gt;=3,G1391&gt;=3,H1391&gt;=3),"NEED ATTENTION",AND(F1391&lt;=4,G1391&gt;=6,H1391&gt;=6),"AT RISK",AND(F1391&lt;=2,G1391&gt;=8,H1391&gt;=8),"CAN'T LOSE THEM",AND(F1391&lt;=2,G1391&lt;=2,H1391&lt;=2),"HIBERNATING",TRUE(),"Other")</f>
        <v>HIBERNATING</v>
      </c>
      <c r="K1391" s="1" t="n">
        <f aca="false">RANK(E1391,$E$7:$E$4378)+COUNTIF($E$7:E1391,E1391)-1</f>
        <v>4370</v>
      </c>
    </row>
    <row r="1392" customFormat="false" ht="14.25" hidden="false" customHeight="true" outlineLevel="0" collapsed="false">
      <c r="A1392" s="51" t="n">
        <v>14214</v>
      </c>
      <c r="B1392" s="53" t="n">
        <v>40856.4381944445</v>
      </c>
      <c r="C1392" s="57" t="n">
        <f aca="false">INT($C$2)-INT(Table3[[#This Row],[Last Purchase Date]])</f>
        <v>31</v>
      </c>
      <c r="D1392" s="1" t="n">
        <v>7</v>
      </c>
      <c r="E1392" s="1" t="n">
        <v>1000.23</v>
      </c>
      <c r="F1392" s="1" t="n">
        <f aca="false">ROUND((1-_xlfn.PERCENTRANK.INC($C$7:$C$4378,C1392))*9,0)</f>
        <v>6</v>
      </c>
      <c r="G1392" s="1" t="n">
        <f aca="false">ROUND(_xlfn.PERCENTRANK.INC($D$7:$D$4378,D1392)*9,0)</f>
        <v>7</v>
      </c>
      <c r="H1392" s="1" t="n">
        <f aca="false">ROUND(_xlfn.PERCENTRANK.INC($E$7:$E$4378,E1392)*9,0)</f>
        <v>6</v>
      </c>
      <c r="I1392" s="1" t="str">
        <f aca="false">CONCATENATE(F1392,G1392,H1392)</f>
        <v>676</v>
      </c>
      <c r="J1392" s="1" t="str">
        <f aca="false">_xlfn.IFS(AND(F1392&gt;=8,G1392&gt;=8,H1392&gt;=8),"CHAMPION",AND(F1392&gt;=6,G1392&gt;=7,H1392&gt;=6),"LOYAL CUSTOMER",AND(F1392&gt;=6,G1392&gt;=5,H1392&gt;=5),"POTENTIAL LOYALIST",AND(F1392&gt;=8,G1392&lt;=2,H1392&gt;=5),"NEW CUSTOMERS",AND(F1392&gt;=6,G1392&lt;=2,H1392&gt;=3),"PROMISING",AND(F1392&gt;=3,G1392&gt;=3,H1392&gt;=3),"NEED ATTENTION",AND(F1392&lt;=4,G1392&gt;=6,H1392&gt;=6),"AT RISK",AND(F1392&lt;=2,G1392&gt;=8,H1392&gt;=8),"CAN'T LOSE THEM",AND(F1392&lt;=2,G1392&lt;=2,H1392&lt;=2),"HIBERNATING",TRUE(),"Other")</f>
        <v>LOYAL CUSTOMER</v>
      </c>
      <c r="K1392" s="1" t="n">
        <f aca="false">RANK(E1392,$E$7:$E$4378)+COUNTIF($E$7:E1392,E1392)-1</f>
        <v>1632</v>
      </c>
    </row>
    <row r="1393" customFormat="false" ht="14.25" hidden="false" customHeight="true" outlineLevel="0" collapsed="false">
      <c r="A1393" s="51" t="n">
        <v>14215</v>
      </c>
      <c r="B1393" s="53" t="n">
        <v>40875.5131944444</v>
      </c>
      <c r="C1393" s="57" t="n">
        <f aca="false">INT($C$2)-INT(Table3[[#This Row],[Last Purchase Date]])</f>
        <v>12</v>
      </c>
      <c r="D1393" s="1" t="n">
        <v>7</v>
      </c>
      <c r="E1393" s="1" t="n">
        <v>1777.92</v>
      </c>
      <c r="F1393" s="1" t="n">
        <f aca="false">ROUND((1-_xlfn.PERCENTRANK.INC($C$7:$C$4378,C1393))*9,0)</f>
        <v>7</v>
      </c>
      <c r="G1393" s="1" t="n">
        <f aca="false">ROUND(_xlfn.PERCENTRANK.INC($D$7:$D$4378,D1393)*9,0)</f>
        <v>7</v>
      </c>
      <c r="H1393" s="1" t="n">
        <f aca="false">ROUND(_xlfn.PERCENTRANK.INC($E$7:$E$4378,E1393)*9,0)</f>
        <v>7</v>
      </c>
      <c r="I1393" s="1" t="str">
        <f aca="false">CONCATENATE(F1393,G1393,H1393)</f>
        <v>777</v>
      </c>
      <c r="J1393" s="1" t="str">
        <f aca="false">_xlfn.IFS(AND(F1393&gt;=8,G1393&gt;=8,H1393&gt;=8),"CHAMPION",AND(F1393&gt;=6,G1393&gt;=7,H1393&gt;=6),"LOYAL CUSTOMER",AND(F1393&gt;=6,G1393&gt;=5,H1393&gt;=5),"POTENTIAL LOYALIST",AND(F1393&gt;=8,G1393&lt;=2,H1393&gt;=5),"NEW CUSTOMERS",AND(F1393&gt;=6,G1393&lt;=2,H1393&gt;=3),"PROMISING",AND(F1393&gt;=3,G1393&gt;=3,H1393&gt;=3),"NEED ATTENTION",AND(F1393&lt;=4,G1393&gt;=6,H1393&gt;=6),"AT RISK",AND(F1393&lt;=2,G1393&gt;=8,H1393&gt;=8),"CAN'T LOSE THEM",AND(F1393&lt;=2,G1393&lt;=2,H1393&lt;=2),"HIBERNATING",TRUE(),"Other")</f>
        <v>LOYAL CUSTOMER</v>
      </c>
      <c r="K1393" s="1" t="n">
        <f aca="false">RANK(E1393,$E$7:$E$4378)+COUNTIF($E$7:E1393,E1393)-1</f>
        <v>992</v>
      </c>
    </row>
    <row r="1394" customFormat="false" ht="14.25" hidden="false" customHeight="true" outlineLevel="0" collapsed="false">
      <c r="A1394" s="51" t="n">
        <v>14216</v>
      </c>
      <c r="B1394" s="53" t="n">
        <v>40883.6222222222</v>
      </c>
      <c r="C1394" s="57" t="n">
        <f aca="false">INT($C$2)-INT(Table3[[#This Row],[Last Purchase Date]])</f>
        <v>4</v>
      </c>
      <c r="D1394" s="1" t="n">
        <v>4</v>
      </c>
      <c r="E1394" s="1" t="n">
        <v>1839.3</v>
      </c>
      <c r="F1394" s="1" t="n">
        <f aca="false">ROUND((1-_xlfn.PERCENTRANK.INC($C$7:$C$4378,C1394))*9,0)</f>
        <v>8</v>
      </c>
      <c r="G1394" s="1" t="n">
        <f aca="false">ROUND(_xlfn.PERCENTRANK.INC($D$7:$D$4378,D1394)*9,0)</f>
        <v>5</v>
      </c>
      <c r="H1394" s="1" t="n">
        <f aca="false">ROUND(_xlfn.PERCENTRANK.INC($E$7:$E$4378,E1394)*9,0)</f>
        <v>7</v>
      </c>
      <c r="I1394" s="1" t="str">
        <f aca="false">CONCATENATE(F1394,G1394,H1394)</f>
        <v>857</v>
      </c>
      <c r="J1394" s="1" t="str">
        <f aca="false">_xlfn.IFS(AND(F1394&gt;=8,G1394&gt;=8,H1394&gt;=8),"CHAMPION",AND(F1394&gt;=6,G1394&gt;=7,H1394&gt;=6),"LOYAL CUSTOMER",AND(F1394&gt;=6,G1394&gt;=5,H1394&gt;=5),"POTENTIAL LOYALIST",AND(F1394&gt;=8,G1394&lt;=2,H1394&gt;=5),"NEW CUSTOMERS",AND(F1394&gt;=6,G1394&lt;=2,H1394&gt;=3),"PROMISING",AND(F1394&gt;=3,G1394&gt;=3,H1394&gt;=3),"NEED ATTENTION",AND(F1394&lt;=4,G1394&gt;=6,H1394&gt;=6),"AT RISK",AND(F1394&lt;=2,G1394&gt;=8,H1394&gt;=8),"CAN'T LOSE THEM",AND(F1394&lt;=2,G1394&lt;=2,H1394&lt;=2),"HIBERNATING",TRUE(),"Other")</f>
        <v>POTENTIAL LOYALIST</v>
      </c>
      <c r="K1394" s="1" t="n">
        <f aca="false">RANK(E1394,$E$7:$E$4378)+COUNTIF($E$7:E1394,E1394)-1</f>
        <v>956</v>
      </c>
    </row>
    <row r="1395" customFormat="false" ht="14.25" hidden="false" customHeight="true" outlineLevel="0" collapsed="false">
      <c r="A1395" s="51" t="n">
        <v>14217</v>
      </c>
      <c r="B1395" s="53" t="n">
        <v>40885.4951388889</v>
      </c>
      <c r="C1395" s="57" t="n">
        <f aca="false">INT($C$2)-INT(Table3[[#This Row],[Last Purchase Date]])</f>
        <v>2</v>
      </c>
      <c r="D1395" s="1" t="n">
        <v>24</v>
      </c>
      <c r="E1395" s="1" t="n">
        <v>1925.36</v>
      </c>
      <c r="F1395" s="1" t="n">
        <f aca="false">ROUND((1-_xlfn.PERCENTRANK.INC($C$7:$C$4378,C1395))*9,0)</f>
        <v>9</v>
      </c>
      <c r="G1395" s="1" t="n">
        <f aca="false">ROUND(_xlfn.PERCENTRANK.INC($D$7:$D$4378,D1395)*9,0)</f>
        <v>9</v>
      </c>
      <c r="H1395" s="1" t="n">
        <f aca="false">ROUND(_xlfn.PERCENTRANK.INC($E$7:$E$4378,E1395)*9,0)</f>
        <v>7</v>
      </c>
      <c r="I1395" s="1" t="str">
        <f aca="false">CONCATENATE(F1395,G1395,H1395)</f>
        <v>997</v>
      </c>
      <c r="J1395" s="1" t="str">
        <f aca="false">_xlfn.IFS(AND(F1395&gt;=8,G1395&gt;=8,H1395&gt;=8),"CHAMPION",AND(F1395&gt;=6,G1395&gt;=7,H1395&gt;=6),"LOYAL CUSTOMER",AND(F1395&gt;=6,G1395&gt;=5,H1395&gt;=5),"POTENTIAL LOYALIST",AND(F1395&gt;=8,G1395&lt;=2,H1395&gt;=5),"NEW CUSTOMERS",AND(F1395&gt;=6,G1395&lt;=2,H1395&gt;=3),"PROMISING",AND(F1395&gt;=3,G1395&gt;=3,H1395&gt;=3),"NEED ATTENTION",AND(F1395&lt;=4,G1395&gt;=6,H1395&gt;=6),"AT RISK",AND(F1395&lt;=2,G1395&gt;=8,H1395&gt;=8),"CAN'T LOSE THEM",AND(F1395&lt;=2,G1395&lt;=2,H1395&lt;=2),"HIBERNATING",TRUE(),"Other")</f>
        <v>LOYAL CUSTOMER</v>
      </c>
      <c r="K1395" s="1" t="n">
        <f aca="false">RANK(E1395,$E$7:$E$4378)+COUNTIF($E$7:E1395,E1395)-1</f>
        <v>905</v>
      </c>
    </row>
    <row r="1396" customFormat="false" ht="14.25" hidden="false" customHeight="true" outlineLevel="0" collapsed="false">
      <c r="A1396" s="51" t="n">
        <v>14218</v>
      </c>
      <c r="B1396" s="53" t="n">
        <v>40844.4166666667</v>
      </c>
      <c r="C1396" s="57" t="n">
        <f aca="false">INT($C$2)-INT(Table3[[#This Row],[Last Purchase Date]])</f>
        <v>43</v>
      </c>
      <c r="D1396" s="1" t="n">
        <v>1</v>
      </c>
      <c r="E1396" s="1" t="n">
        <v>169.48</v>
      </c>
      <c r="F1396" s="1" t="n">
        <f aca="false">ROUND((1-_xlfn.PERCENTRANK.INC($C$7:$C$4378,C1396))*9,0)</f>
        <v>5</v>
      </c>
      <c r="G1396" s="1" t="n">
        <f aca="false">ROUND(_xlfn.PERCENTRANK.INC($D$7:$D$4378,D1396)*9,0)</f>
        <v>0</v>
      </c>
      <c r="H1396" s="1" t="n">
        <f aca="false">ROUND(_xlfn.PERCENTRANK.INC($E$7:$E$4378,E1396)*9,0)</f>
        <v>1</v>
      </c>
      <c r="I1396" s="1" t="str">
        <f aca="false">CONCATENATE(F1396,G1396,H1396)</f>
        <v>501</v>
      </c>
      <c r="J1396" s="1" t="str">
        <f aca="false">_xlfn.IFS(AND(F1396&gt;=8,G1396&gt;=8,H1396&gt;=8),"CHAMPION",AND(F1396&gt;=6,G1396&gt;=7,H1396&gt;=6),"LOYAL CUSTOMER",AND(F1396&gt;=6,G1396&gt;=5,H1396&gt;=5),"POTENTIAL LOYALIST",AND(F1396&gt;=8,G1396&lt;=2,H1396&gt;=5),"NEW CUSTOMERS",AND(F1396&gt;=6,G1396&lt;=2,H1396&gt;=3),"PROMISING",AND(F1396&gt;=3,G1396&gt;=3,H1396&gt;=3),"NEED ATTENTION",AND(F1396&lt;=4,G1396&gt;=6,H1396&gt;=6),"AT RISK",AND(F1396&lt;=2,G1396&gt;=8,H1396&gt;=8),"CAN'T LOSE THEM",AND(F1396&lt;=2,G1396&lt;=2,H1396&lt;=2),"HIBERNATING",TRUE(),"Other")</f>
        <v>Other</v>
      </c>
      <c r="K1396" s="1" t="n">
        <f aca="false">RANK(E1396,$E$7:$E$4378)+COUNTIF($E$7:E1396,E1396)-1</f>
        <v>3806</v>
      </c>
    </row>
    <row r="1397" customFormat="false" ht="14.25" hidden="false" customHeight="true" outlineLevel="0" collapsed="false">
      <c r="A1397" s="51" t="n">
        <v>14219</v>
      </c>
      <c r="B1397" s="53" t="n">
        <v>40882.6826388889</v>
      </c>
      <c r="C1397" s="57" t="n">
        <f aca="false">INT($C$2)-INT(Table3[[#This Row],[Last Purchase Date]])</f>
        <v>5</v>
      </c>
      <c r="D1397" s="1" t="n">
        <v>1</v>
      </c>
      <c r="E1397" s="1" t="n">
        <v>89.94</v>
      </c>
      <c r="F1397" s="1" t="n">
        <f aca="false">ROUND((1-_xlfn.PERCENTRANK.INC($C$7:$C$4378,C1397))*9,0)</f>
        <v>8</v>
      </c>
      <c r="G1397" s="1" t="n">
        <f aca="false">ROUND(_xlfn.PERCENTRANK.INC($D$7:$D$4378,D1397)*9,0)</f>
        <v>0</v>
      </c>
      <c r="H1397" s="1" t="n">
        <f aca="false">ROUND(_xlfn.PERCENTRANK.INC($E$7:$E$4378,E1397)*9,0)</f>
        <v>0</v>
      </c>
      <c r="I1397" s="1" t="str">
        <f aca="false">CONCATENATE(F1397,G1397,H1397)</f>
        <v>800</v>
      </c>
      <c r="J1397" s="1" t="str">
        <f aca="false">_xlfn.IFS(AND(F1397&gt;=8,G1397&gt;=8,H1397&gt;=8),"CHAMPION",AND(F1397&gt;=6,G1397&gt;=7,H1397&gt;=6),"LOYAL CUSTOMER",AND(F1397&gt;=6,G1397&gt;=5,H1397&gt;=5),"POTENTIAL LOYALIST",AND(F1397&gt;=8,G1397&lt;=2,H1397&gt;=5),"NEW CUSTOMERS",AND(F1397&gt;=6,G1397&lt;=2,H1397&gt;=3),"PROMISING",AND(F1397&gt;=3,G1397&gt;=3,H1397&gt;=3),"NEED ATTENTION",AND(F1397&lt;=4,G1397&gt;=6,H1397&gt;=6),"AT RISK",AND(F1397&lt;=2,G1397&gt;=8,H1397&gt;=8),"CAN'T LOSE THEM",AND(F1397&lt;=2,G1397&lt;=2,H1397&lt;=2),"HIBERNATING",TRUE(),"Other")</f>
        <v>Other</v>
      </c>
      <c r="K1397" s="1" t="n">
        <f aca="false">RANK(E1397,$E$7:$E$4378)+COUNTIF($E$7:E1397,E1397)-1</f>
        <v>4196</v>
      </c>
    </row>
    <row r="1398" customFormat="false" ht="14.25" hidden="false" customHeight="true" outlineLevel="0" collapsed="false">
      <c r="A1398" s="51" t="n">
        <v>14220</v>
      </c>
      <c r="B1398" s="53" t="n">
        <v>40639.5576388889</v>
      </c>
      <c r="C1398" s="57" t="n">
        <f aca="false">INT($C$2)-INT(Table3[[#This Row],[Last Purchase Date]])</f>
        <v>248</v>
      </c>
      <c r="D1398" s="1" t="n">
        <v>2</v>
      </c>
      <c r="E1398" s="1" t="n">
        <v>632.4</v>
      </c>
      <c r="F1398" s="1" t="n">
        <f aca="false">ROUND((1-_xlfn.PERCENTRANK.INC($C$7:$C$4378,C1398))*9,0)</f>
        <v>1</v>
      </c>
      <c r="G1398" s="1" t="n">
        <f aca="false">ROUND(_xlfn.PERCENTRANK.INC($D$7:$D$4378,D1398)*9,0)</f>
        <v>3</v>
      </c>
      <c r="H1398" s="1" t="n">
        <f aca="false">ROUND(_xlfn.PERCENTRANK.INC($E$7:$E$4378,E1398)*9,0)</f>
        <v>4</v>
      </c>
      <c r="I1398" s="1" t="str">
        <f aca="false">CONCATENATE(F1398,G1398,H1398)</f>
        <v>134</v>
      </c>
      <c r="J1398" s="1" t="str">
        <f aca="false">_xlfn.IFS(AND(F1398&gt;=8,G1398&gt;=8,H1398&gt;=8),"CHAMPION",AND(F1398&gt;=6,G1398&gt;=7,H1398&gt;=6),"LOYAL CUSTOMER",AND(F1398&gt;=6,G1398&gt;=5,H1398&gt;=5),"POTENTIAL LOYALIST",AND(F1398&gt;=8,G1398&lt;=2,H1398&gt;=5),"NEW CUSTOMERS",AND(F1398&gt;=6,G1398&lt;=2,H1398&gt;=3),"PROMISING",AND(F1398&gt;=3,G1398&gt;=3,H1398&gt;=3),"NEED ATTENTION",AND(F1398&lt;=4,G1398&gt;=6,H1398&gt;=6),"AT RISK",AND(F1398&lt;=2,G1398&gt;=8,H1398&gt;=8),"CAN'T LOSE THEM",AND(F1398&lt;=2,G1398&lt;=2,H1398&lt;=2),"HIBERNATING",TRUE(),"Other")</f>
        <v>Other</v>
      </c>
      <c r="K1398" s="1" t="n">
        <f aca="false">RANK(E1398,$E$7:$E$4378)+COUNTIF($E$7:E1398,E1398)-1</f>
        <v>2227</v>
      </c>
    </row>
    <row r="1399" customFormat="false" ht="14.25" hidden="false" customHeight="true" outlineLevel="0" collapsed="false">
      <c r="A1399" s="51" t="n">
        <v>14221</v>
      </c>
      <c r="B1399" s="53" t="n">
        <v>40844.5708333333</v>
      </c>
      <c r="C1399" s="57" t="n">
        <f aca="false">INT($C$2)-INT(Table3[[#This Row],[Last Purchase Date]])</f>
        <v>43</v>
      </c>
      <c r="D1399" s="1" t="n">
        <v>10</v>
      </c>
      <c r="E1399" s="1" t="n">
        <v>3427.85</v>
      </c>
      <c r="F1399" s="1" t="n">
        <f aca="false">ROUND((1-_xlfn.PERCENTRANK.INC($C$7:$C$4378,C1399))*9,0)</f>
        <v>5</v>
      </c>
      <c r="G1399" s="1" t="n">
        <f aca="false">ROUND(_xlfn.PERCENTRANK.INC($D$7:$D$4378,D1399)*9,0)</f>
        <v>8</v>
      </c>
      <c r="H1399" s="1" t="n">
        <f aca="false">ROUND(_xlfn.PERCENTRANK.INC($E$7:$E$4378,E1399)*9,0)</f>
        <v>8</v>
      </c>
      <c r="I1399" s="1" t="str">
        <f aca="false">CONCATENATE(F1399,G1399,H1399)</f>
        <v>588</v>
      </c>
      <c r="J1399" s="1" t="str">
        <f aca="false">_xlfn.IFS(AND(F1399&gt;=8,G1399&gt;=8,H1399&gt;=8),"CHAMPION",AND(F1399&gt;=6,G1399&gt;=7,H1399&gt;=6),"LOYAL CUSTOMER",AND(F1399&gt;=6,G1399&gt;=5,H1399&gt;=5),"POTENTIAL LOYALIST",AND(F1399&gt;=8,G1399&lt;=2,H1399&gt;=5),"NEW CUSTOMERS",AND(F1399&gt;=6,G1399&lt;=2,H1399&gt;=3),"PROMISING",AND(F1399&gt;=3,G1399&gt;=3,H1399&gt;=3),"NEED ATTENTION",AND(F1399&lt;=4,G1399&gt;=6,H1399&gt;=6),"AT RISK",AND(F1399&lt;=2,G1399&gt;=8,H1399&gt;=8),"CAN'T LOSE THEM",AND(F1399&lt;=2,G1399&lt;=2,H1399&lt;=2),"HIBERNATING",TRUE(),"Other")</f>
        <v>NEED ATTENTION</v>
      </c>
      <c r="K1399" s="1" t="n">
        <f aca="false">RANK(E1399,$E$7:$E$4378)+COUNTIF($E$7:E1399,E1399)-1</f>
        <v>455</v>
      </c>
    </row>
    <row r="1400" customFormat="false" ht="14.25" hidden="false" customHeight="true" outlineLevel="0" collapsed="false">
      <c r="A1400" s="51" t="n">
        <v>14222</v>
      </c>
      <c r="B1400" s="53" t="n">
        <v>40709.6958333333</v>
      </c>
      <c r="C1400" s="57" t="n">
        <f aca="false">INT($C$2)-INT(Table3[[#This Row],[Last Purchase Date]])</f>
        <v>178</v>
      </c>
      <c r="D1400" s="1" t="n">
        <v>1</v>
      </c>
      <c r="E1400" s="1" t="n">
        <v>683.17</v>
      </c>
      <c r="F1400" s="1" t="n">
        <f aca="false">ROUND((1-_xlfn.PERCENTRANK.INC($C$7:$C$4378,C1400))*9,0)</f>
        <v>2</v>
      </c>
      <c r="G1400" s="1" t="n">
        <f aca="false">ROUND(_xlfn.PERCENTRANK.INC($D$7:$D$4378,D1400)*9,0)</f>
        <v>0</v>
      </c>
      <c r="H1400" s="1" t="n">
        <f aca="false">ROUND(_xlfn.PERCENTRANK.INC($E$7:$E$4378,E1400)*9,0)</f>
        <v>5</v>
      </c>
      <c r="I1400" s="1" t="str">
        <f aca="false">CONCATENATE(F1400,G1400,H1400)</f>
        <v>205</v>
      </c>
      <c r="J1400" s="1" t="str">
        <f aca="false">_xlfn.IFS(AND(F1400&gt;=8,G1400&gt;=8,H1400&gt;=8),"CHAMPION",AND(F1400&gt;=6,G1400&gt;=7,H1400&gt;=6),"LOYAL CUSTOMER",AND(F1400&gt;=6,G1400&gt;=5,H1400&gt;=5),"POTENTIAL LOYALIST",AND(F1400&gt;=8,G1400&lt;=2,H1400&gt;=5),"NEW CUSTOMERS",AND(F1400&gt;=6,G1400&lt;=2,H1400&gt;=3),"PROMISING",AND(F1400&gt;=3,G1400&gt;=3,H1400&gt;=3),"NEED ATTENTION",AND(F1400&lt;=4,G1400&gt;=6,H1400&gt;=6),"AT RISK",AND(F1400&lt;=2,G1400&gt;=8,H1400&gt;=8),"CAN'T LOSE THEM",AND(F1400&lt;=2,G1400&lt;=2,H1400&lt;=2),"HIBERNATING",TRUE(),"Other")</f>
        <v>Other</v>
      </c>
      <c r="K1400" s="1" t="n">
        <f aca="false">RANK(E1400,$E$7:$E$4378)+COUNTIF($E$7:E1400,E1400)-1</f>
        <v>2095</v>
      </c>
    </row>
    <row r="1401" customFormat="false" ht="14.25" hidden="false" customHeight="true" outlineLevel="0" collapsed="false">
      <c r="A1401" s="51" t="n">
        <v>14223</v>
      </c>
      <c r="B1401" s="53" t="n">
        <v>40794.5680555556</v>
      </c>
      <c r="C1401" s="57" t="n">
        <f aca="false">INT($C$2)-INT(Table3[[#This Row],[Last Purchase Date]])</f>
        <v>93</v>
      </c>
      <c r="D1401" s="1" t="n">
        <v>4</v>
      </c>
      <c r="E1401" s="1" t="n">
        <v>975.23</v>
      </c>
      <c r="F1401" s="1" t="n">
        <f aca="false">ROUND((1-_xlfn.PERCENTRANK.INC($C$7:$C$4378,C1401))*9,0)</f>
        <v>3</v>
      </c>
      <c r="G1401" s="1" t="n">
        <f aca="false">ROUND(_xlfn.PERCENTRANK.INC($D$7:$D$4378,D1401)*9,0)</f>
        <v>5</v>
      </c>
      <c r="H1401" s="1" t="n">
        <f aca="false">ROUND(_xlfn.PERCENTRANK.INC($E$7:$E$4378,E1401)*9,0)</f>
        <v>6</v>
      </c>
      <c r="I1401" s="1" t="str">
        <f aca="false">CONCATENATE(F1401,G1401,H1401)</f>
        <v>356</v>
      </c>
      <c r="J1401" s="1" t="str">
        <f aca="false">_xlfn.IFS(AND(F1401&gt;=8,G1401&gt;=8,H1401&gt;=8),"CHAMPION",AND(F1401&gt;=6,G1401&gt;=7,H1401&gt;=6),"LOYAL CUSTOMER",AND(F1401&gt;=6,G1401&gt;=5,H1401&gt;=5),"POTENTIAL LOYALIST",AND(F1401&gt;=8,G1401&lt;=2,H1401&gt;=5),"NEW CUSTOMERS",AND(F1401&gt;=6,G1401&lt;=2,H1401&gt;=3),"PROMISING",AND(F1401&gt;=3,G1401&gt;=3,H1401&gt;=3),"NEED ATTENTION",AND(F1401&lt;=4,G1401&gt;=6,H1401&gt;=6),"AT RISK",AND(F1401&lt;=2,G1401&gt;=8,H1401&gt;=8),"CAN'T LOSE THEM",AND(F1401&lt;=2,G1401&lt;=2,H1401&lt;=2),"HIBERNATING",TRUE(),"Other")</f>
        <v>NEED ATTENTION</v>
      </c>
      <c r="K1401" s="1" t="n">
        <f aca="false">RANK(E1401,$E$7:$E$4378)+COUNTIF($E$7:E1401,E1401)-1</f>
        <v>1671</v>
      </c>
    </row>
    <row r="1402" customFormat="false" ht="14.25" hidden="false" customHeight="true" outlineLevel="0" collapsed="false">
      <c r="A1402" s="51" t="n">
        <v>14224</v>
      </c>
      <c r="B1402" s="53" t="n">
        <v>40776.5583333333</v>
      </c>
      <c r="C1402" s="57" t="n">
        <f aca="false">INT($C$2)-INT(Table3[[#This Row],[Last Purchase Date]])</f>
        <v>111</v>
      </c>
      <c r="D1402" s="1" t="n">
        <v>4</v>
      </c>
      <c r="E1402" s="1" t="n">
        <v>1050.12</v>
      </c>
      <c r="F1402" s="1" t="n">
        <f aca="false">ROUND((1-_xlfn.PERCENTRANK.INC($C$7:$C$4378,C1402))*9,0)</f>
        <v>3</v>
      </c>
      <c r="G1402" s="1" t="n">
        <f aca="false">ROUND(_xlfn.PERCENTRANK.INC($D$7:$D$4378,D1402)*9,0)</f>
        <v>5</v>
      </c>
      <c r="H1402" s="1" t="n">
        <f aca="false">ROUND(_xlfn.PERCENTRANK.INC($E$7:$E$4378,E1402)*9,0)</f>
        <v>6</v>
      </c>
      <c r="I1402" s="1" t="str">
        <f aca="false">CONCATENATE(F1402,G1402,H1402)</f>
        <v>356</v>
      </c>
      <c r="J1402" s="1" t="str">
        <f aca="false">_xlfn.IFS(AND(F1402&gt;=8,G1402&gt;=8,H1402&gt;=8),"CHAMPION",AND(F1402&gt;=6,G1402&gt;=7,H1402&gt;=6),"LOYAL CUSTOMER",AND(F1402&gt;=6,G1402&gt;=5,H1402&gt;=5),"POTENTIAL LOYALIST",AND(F1402&gt;=8,G1402&lt;=2,H1402&gt;=5),"NEW CUSTOMERS",AND(F1402&gt;=6,G1402&lt;=2,H1402&gt;=3),"PROMISING",AND(F1402&gt;=3,G1402&gt;=3,H1402&gt;=3),"NEED ATTENTION",AND(F1402&lt;=4,G1402&gt;=6,H1402&gt;=6),"AT RISK",AND(F1402&lt;=2,G1402&gt;=8,H1402&gt;=8),"CAN'T LOSE THEM",AND(F1402&lt;=2,G1402&lt;=2,H1402&lt;=2),"HIBERNATING",TRUE(),"Other")</f>
        <v>NEED ATTENTION</v>
      </c>
      <c r="K1402" s="1" t="n">
        <f aca="false">RANK(E1402,$E$7:$E$4378)+COUNTIF($E$7:E1402,E1402)-1</f>
        <v>1561</v>
      </c>
    </row>
    <row r="1403" customFormat="false" ht="14.25" hidden="false" customHeight="true" outlineLevel="0" collapsed="false">
      <c r="A1403" s="51" t="n">
        <v>14226</v>
      </c>
      <c r="B1403" s="53" t="n">
        <v>40858.4819444444</v>
      </c>
      <c r="C1403" s="57" t="n">
        <f aca="false">INT($C$2)-INT(Table3[[#This Row],[Last Purchase Date]])</f>
        <v>29</v>
      </c>
      <c r="D1403" s="1" t="n">
        <v>7</v>
      </c>
      <c r="E1403" s="1" t="n">
        <v>2201.64</v>
      </c>
      <c r="F1403" s="1" t="n">
        <f aca="false">ROUND((1-_xlfn.PERCENTRANK.INC($C$7:$C$4378,C1403))*9,0)</f>
        <v>6</v>
      </c>
      <c r="G1403" s="1" t="n">
        <f aca="false">ROUND(_xlfn.PERCENTRANK.INC($D$7:$D$4378,D1403)*9,0)</f>
        <v>7</v>
      </c>
      <c r="H1403" s="1" t="n">
        <f aca="false">ROUND(_xlfn.PERCENTRANK.INC($E$7:$E$4378,E1403)*9,0)</f>
        <v>7</v>
      </c>
      <c r="I1403" s="1" t="str">
        <f aca="false">CONCATENATE(F1403,G1403,H1403)</f>
        <v>677</v>
      </c>
      <c r="J1403" s="1" t="str">
        <f aca="false">_xlfn.IFS(AND(F1403&gt;=8,G1403&gt;=8,H1403&gt;=8),"CHAMPION",AND(F1403&gt;=6,G1403&gt;=7,H1403&gt;=6),"LOYAL CUSTOMER",AND(F1403&gt;=6,G1403&gt;=5,H1403&gt;=5),"POTENTIAL LOYALIST",AND(F1403&gt;=8,G1403&lt;=2,H1403&gt;=5),"NEW CUSTOMERS",AND(F1403&gt;=6,G1403&lt;=2,H1403&gt;=3),"PROMISING",AND(F1403&gt;=3,G1403&gt;=3,H1403&gt;=3),"NEED ATTENTION",AND(F1403&lt;=4,G1403&gt;=6,H1403&gt;=6),"AT RISK",AND(F1403&lt;=2,G1403&gt;=8,H1403&gt;=8),"CAN'T LOSE THEM",AND(F1403&lt;=2,G1403&lt;=2,H1403&lt;=2),"HIBERNATING",TRUE(),"Other")</f>
        <v>LOYAL CUSTOMER</v>
      </c>
      <c r="K1403" s="1" t="n">
        <f aca="false">RANK(E1403,$E$7:$E$4378)+COUNTIF($E$7:E1403,E1403)-1</f>
        <v>783</v>
      </c>
    </row>
    <row r="1404" customFormat="false" ht="14.25" hidden="false" customHeight="true" outlineLevel="0" collapsed="false">
      <c r="A1404" s="51" t="n">
        <v>14227</v>
      </c>
      <c r="B1404" s="53" t="n">
        <v>40860.6583333333</v>
      </c>
      <c r="C1404" s="57" t="n">
        <f aca="false">INT($C$2)-INT(Table3[[#This Row],[Last Purchase Date]])</f>
        <v>27</v>
      </c>
      <c r="D1404" s="1" t="n">
        <v>15</v>
      </c>
      <c r="E1404" s="1" t="n">
        <v>3315.71</v>
      </c>
      <c r="F1404" s="1" t="n">
        <f aca="false">ROUND((1-_xlfn.PERCENTRANK.INC($C$7:$C$4378,C1404))*9,0)</f>
        <v>6</v>
      </c>
      <c r="G1404" s="1" t="n">
        <f aca="false">ROUND(_xlfn.PERCENTRANK.INC($D$7:$D$4378,D1404)*9,0)</f>
        <v>8</v>
      </c>
      <c r="H1404" s="1" t="n">
        <f aca="false">ROUND(_xlfn.PERCENTRANK.INC($E$7:$E$4378,E1404)*9,0)</f>
        <v>8</v>
      </c>
      <c r="I1404" s="1" t="str">
        <f aca="false">CONCATENATE(F1404,G1404,H1404)</f>
        <v>688</v>
      </c>
      <c r="J1404" s="1" t="str">
        <f aca="false">_xlfn.IFS(AND(F1404&gt;=8,G1404&gt;=8,H1404&gt;=8),"CHAMPION",AND(F1404&gt;=6,G1404&gt;=7,H1404&gt;=6),"LOYAL CUSTOMER",AND(F1404&gt;=6,G1404&gt;=5,H1404&gt;=5),"POTENTIAL LOYALIST",AND(F1404&gt;=8,G1404&lt;=2,H1404&gt;=5),"NEW CUSTOMERS",AND(F1404&gt;=6,G1404&lt;=2,H1404&gt;=3),"PROMISING",AND(F1404&gt;=3,G1404&gt;=3,H1404&gt;=3),"NEED ATTENTION",AND(F1404&lt;=4,G1404&gt;=6,H1404&gt;=6),"AT RISK",AND(F1404&lt;=2,G1404&gt;=8,H1404&gt;=8),"CAN'T LOSE THEM",AND(F1404&lt;=2,G1404&lt;=2,H1404&lt;=2),"HIBERNATING",TRUE(),"Other")</f>
        <v>LOYAL CUSTOMER</v>
      </c>
      <c r="K1404" s="1" t="n">
        <f aca="false">RANK(E1404,$E$7:$E$4378)+COUNTIF($E$7:E1404,E1404)-1</f>
        <v>474</v>
      </c>
    </row>
    <row r="1405" customFormat="false" ht="14.25" hidden="false" customHeight="true" outlineLevel="0" collapsed="false">
      <c r="A1405" s="51" t="n">
        <v>14229</v>
      </c>
      <c r="B1405" s="53" t="n">
        <v>40835.4194444444</v>
      </c>
      <c r="C1405" s="57" t="n">
        <f aca="false">INT($C$2)-INT(Table3[[#This Row],[Last Purchase Date]])</f>
        <v>52</v>
      </c>
      <c r="D1405" s="1" t="n">
        <v>5</v>
      </c>
      <c r="E1405" s="1" t="n">
        <v>1450.6</v>
      </c>
      <c r="F1405" s="1" t="n">
        <f aca="false">ROUND((1-_xlfn.PERCENTRANK.INC($C$7:$C$4378,C1405))*9,0)</f>
        <v>4</v>
      </c>
      <c r="G1405" s="1" t="n">
        <f aca="false">ROUND(_xlfn.PERCENTRANK.INC($D$7:$D$4378,D1405)*9,0)</f>
        <v>6</v>
      </c>
      <c r="H1405" s="1" t="n">
        <f aca="false">ROUND(_xlfn.PERCENTRANK.INC($E$7:$E$4378,E1405)*9,0)</f>
        <v>7</v>
      </c>
      <c r="I1405" s="1" t="str">
        <f aca="false">CONCATENATE(F1405,G1405,H1405)</f>
        <v>467</v>
      </c>
      <c r="J1405" s="1" t="str">
        <f aca="false">_xlfn.IFS(AND(F1405&gt;=8,G1405&gt;=8,H1405&gt;=8),"CHAMPION",AND(F1405&gt;=6,G1405&gt;=7,H1405&gt;=6),"LOYAL CUSTOMER",AND(F1405&gt;=6,G1405&gt;=5,H1405&gt;=5),"POTENTIAL LOYALIST",AND(F1405&gt;=8,G1405&lt;=2,H1405&gt;=5),"NEW CUSTOMERS",AND(F1405&gt;=6,G1405&lt;=2,H1405&gt;=3),"PROMISING",AND(F1405&gt;=3,G1405&gt;=3,H1405&gt;=3),"NEED ATTENTION",AND(F1405&lt;=4,G1405&gt;=6,H1405&gt;=6),"AT RISK",AND(F1405&lt;=2,G1405&gt;=8,H1405&gt;=8),"CAN'T LOSE THEM",AND(F1405&lt;=2,G1405&lt;=2,H1405&lt;=2),"HIBERNATING",TRUE(),"Other")</f>
        <v>NEED ATTENTION</v>
      </c>
      <c r="K1405" s="1" t="n">
        <f aca="false">RANK(E1405,$E$7:$E$4378)+COUNTIF($E$7:E1405,E1405)-1</f>
        <v>1197</v>
      </c>
    </row>
    <row r="1406" customFormat="false" ht="14.25" hidden="false" customHeight="true" outlineLevel="0" collapsed="false">
      <c r="A1406" s="51" t="n">
        <v>14231</v>
      </c>
      <c r="B1406" s="53" t="n">
        <v>40707.6493055556</v>
      </c>
      <c r="C1406" s="57" t="n">
        <f aca="false">INT($C$2)-INT(Table3[[#This Row],[Last Purchase Date]])</f>
        <v>180</v>
      </c>
      <c r="D1406" s="1" t="n">
        <v>5</v>
      </c>
      <c r="E1406" s="1" t="n">
        <v>822.06</v>
      </c>
      <c r="F1406" s="1" t="n">
        <f aca="false">ROUND((1-_xlfn.PERCENTRANK.INC($C$7:$C$4378,C1406))*9,0)</f>
        <v>2</v>
      </c>
      <c r="G1406" s="1" t="n">
        <f aca="false">ROUND(_xlfn.PERCENTRANK.INC($D$7:$D$4378,D1406)*9,0)</f>
        <v>6</v>
      </c>
      <c r="H1406" s="1" t="n">
        <f aca="false">ROUND(_xlfn.PERCENTRANK.INC($E$7:$E$4378,E1406)*9,0)</f>
        <v>5</v>
      </c>
      <c r="I1406" s="1" t="str">
        <f aca="false">CONCATENATE(F1406,G1406,H1406)</f>
        <v>265</v>
      </c>
      <c r="J1406" s="1" t="str">
        <f aca="false">_xlfn.IFS(AND(F1406&gt;=8,G1406&gt;=8,H1406&gt;=8),"CHAMPION",AND(F1406&gt;=6,G1406&gt;=7,H1406&gt;=6),"LOYAL CUSTOMER",AND(F1406&gt;=6,G1406&gt;=5,H1406&gt;=5),"POTENTIAL LOYALIST",AND(F1406&gt;=8,G1406&lt;=2,H1406&gt;=5),"NEW CUSTOMERS",AND(F1406&gt;=6,G1406&lt;=2,H1406&gt;=3),"PROMISING",AND(F1406&gt;=3,G1406&gt;=3,H1406&gt;=3),"NEED ATTENTION",AND(F1406&lt;=4,G1406&gt;=6,H1406&gt;=6),"AT RISK",AND(F1406&lt;=2,G1406&gt;=8,H1406&gt;=8),"CAN'T LOSE THEM",AND(F1406&lt;=2,G1406&lt;=2,H1406&lt;=2),"HIBERNATING",TRUE(),"Other")</f>
        <v>Other</v>
      </c>
      <c r="K1406" s="1" t="n">
        <f aca="false">RANK(E1406,$E$7:$E$4378)+COUNTIF($E$7:E1406,E1406)-1</f>
        <v>1861</v>
      </c>
    </row>
    <row r="1407" customFormat="false" ht="14.25" hidden="false" customHeight="true" outlineLevel="0" collapsed="false">
      <c r="A1407" s="51" t="n">
        <v>14232</v>
      </c>
      <c r="B1407" s="53" t="n">
        <v>40855.5118055556</v>
      </c>
      <c r="C1407" s="57" t="n">
        <f aca="false">INT($C$2)-INT(Table3[[#This Row],[Last Purchase Date]])</f>
        <v>32</v>
      </c>
      <c r="D1407" s="1" t="n">
        <v>8</v>
      </c>
      <c r="E1407" s="1" t="n">
        <v>2043.93</v>
      </c>
      <c r="F1407" s="1" t="n">
        <f aca="false">ROUND((1-_xlfn.PERCENTRANK.INC($C$7:$C$4378,C1407))*9,0)</f>
        <v>5</v>
      </c>
      <c r="G1407" s="1" t="n">
        <f aca="false">ROUND(_xlfn.PERCENTRANK.INC($D$7:$D$4378,D1407)*9,0)</f>
        <v>7</v>
      </c>
      <c r="H1407" s="1" t="n">
        <f aca="false">ROUND(_xlfn.PERCENTRANK.INC($E$7:$E$4378,E1407)*9,0)</f>
        <v>7</v>
      </c>
      <c r="I1407" s="1" t="str">
        <f aca="false">CONCATENATE(F1407,G1407,H1407)</f>
        <v>577</v>
      </c>
      <c r="J1407" s="1" t="str">
        <f aca="false">_xlfn.IFS(AND(F1407&gt;=8,G1407&gt;=8,H1407&gt;=8),"CHAMPION",AND(F1407&gt;=6,G1407&gt;=7,H1407&gt;=6),"LOYAL CUSTOMER",AND(F1407&gt;=6,G1407&gt;=5,H1407&gt;=5),"POTENTIAL LOYALIST",AND(F1407&gt;=8,G1407&lt;=2,H1407&gt;=5),"NEW CUSTOMERS",AND(F1407&gt;=6,G1407&lt;=2,H1407&gt;=3),"PROMISING",AND(F1407&gt;=3,G1407&gt;=3,H1407&gt;=3),"NEED ATTENTION",AND(F1407&lt;=4,G1407&gt;=6,H1407&gt;=6),"AT RISK",AND(F1407&lt;=2,G1407&gt;=8,H1407&gt;=8),"CAN'T LOSE THEM",AND(F1407&lt;=2,G1407&lt;=2,H1407&lt;=2),"HIBERNATING",TRUE(),"Other")</f>
        <v>NEED ATTENTION</v>
      </c>
      <c r="K1407" s="1" t="n">
        <f aca="false">RANK(E1407,$E$7:$E$4378)+COUNTIF($E$7:E1407,E1407)-1</f>
        <v>855</v>
      </c>
    </row>
    <row r="1408" customFormat="false" ht="14.25" hidden="false" customHeight="true" outlineLevel="0" collapsed="false">
      <c r="A1408" s="51" t="n">
        <v>14233</v>
      </c>
      <c r="B1408" s="53" t="n">
        <v>40843.3923611111</v>
      </c>
      <c r="C1408" s="57" t="n">
        <f aca="false">INT($C$2)-INT(Table3[[#This Row],[Last Purchase Date]])</f>
        <v>44</v>
      </c>
      <c r="D1408" s="1" t="n">
        <v>5</v>
      </c>
      <c r="E1408" s="1" t="n">
        <v>1447.51</v>
      </c>
      <c r="F1408" s="1" t="n">
        <f aca="false">ROUND((1-_xlfn.PERCENTRANK.INC($C$7:$C$4378,C1408))*9,0)</f>
        <v>5</v>
      </c>
      <c r="G1408" s="1" t="n">
        <f aca="false">ROUND(_xlfn.PERCENTRANK.INC($D$7:$D$4378,D1408)*9,0)</f>
        <v>6</v>
      </c>
      <c r="H1408" s="1" t="n">
        <f aca="false">ROUND(_xlfn.PERCENTRANK.INC($E$7:$E$4378,E1408)*9,0)</f>
        <v>7</v>
      </c>
      <c r="I1408" s="1" t="str">
        <f aca="false">CONCATENATE(F1408,G1408,H1408)</f>
        <v>567</v>
      </c>
      <c r="J1408" s="1" t="str">
        <f aca="false">_xlfn.IFS(AND(F1408&gt;=8,G1408&gt;=8,H1408&gt;=8),"CHAMPION",AND(F1408&gt;=6,G1408&gt;=7,H1408&gt;=6),"LOYAL CUSTOMER",AND(F1408&gt;=6,G1408&gt;=5,H1408&gt;=5),"POTENTIAL LOYALIST",AND(F1408&gt;=8,G1408&lt;=2,H1408&gt;=5),"NEW CUSTOMERS",AND(F1408&gt;=6,G1408&lt;=2,H1408&gt;=3),"PROMISING",AND(F1408&gt;=3,G1408&gt;=3,H1408&gt;=3),"NEED ATTENTION",AND(F1408&lt;=4,G1408&gt;=6,H1408&gt;=6),"AT RISK",AND(F1408&lt;=2,G1408&gt;=8,H1408&gt;=8),"CAN'T LOSE THEM",AND(F1408&lt;=2,G1408&lt;=2,H1408&lt;=2),"HIBERNATING",TRUE(),"Other")</f>
        <v>NEED ATTENTION</v>
      </c>
      <c r="K1408" s="1" t="n">
        <f aca="false">RANK(E1408,$E$7:$E$4378)+COUNTIF($E$7:E1408,E1408)-1</f>
        <v>1199</v>
      </c>
    </row>
    <row r="1409" customFormat="false" ht="14.25" hidden="false" customHeight="true" outlineLevel="0" collapsed="false">
      <c r="A1409" s="51" t="n">
        <v>14234</v>
      </c>
      <c r="B1409" s="53" t="n">
        <v>40864.7451388889</v>
      </c>
      <c r="C1409" s="57" t="n">
        <f aca="false">INT($C$2)-INT(Table3[[#This Row],[Last Purchase Date]])</f>
        <v>23</v>
      </c>
      <c r="D1409" s="1" t="n">
        <v>4</v>
      </c>
      <c r="E1409" s="1" t="n">
        <v>775.46</v>
      </c>
      <c r="F1409" s="1" t="n">
        <f aca="false">ROUND((1-_xlfn.PERCENTRANK.INC($C$7:$C$4378,C1409))*9,0)</f>
        <v>6</v>
      </c>
      <c r="G1409" s="1" t="n">
        <f aca="false">ROUND(_xlfn.PERCENTRANK.INC($D$7:$D$4378,D1409)*9,0)</f>
        <v>5</v>
      </c>
      <c r="H1409" s="1" t="n">
        <f aca="false">ROUND(_xlfn.PERCENTRANK.INC($E$7:$E$4378,E1409)*9,0)</f>
        <v>5</v>
      </c>
      <c r="I1409" s="1" t="str">
        <f aca="false">CONCATENATE(F1409,G1409,H1409)</f>
        <v>655</v>
      </c>
      <c r="J1409" s="1" t="str">
        <f aca="false">_xlfn.IFS(AND(F1409&gt;=8,G1409&gt;=8,H1409&gt;=8),"CHAMPION",AND(F1409&gt;=6,G1409&gt;=7,H1409&gt;=6),"LOYAL CUSTOMER",AND(F1409&gt;=6,G1409&gt;=5,H1409&gt;=5),"POTENTIAL LOYALIST",AND(F1409&gt;=8,G1409&lt;=2,H1409&gt;=5),"NEW CUSTOMERS",AND(F1409&gt;=6,G1409&lt;=2,H1409&gt;=3),"PROMISING",AND(F1409&gt;=3,G1409&gt;=3,H1409&gt;=3),"NEED ATTENTION",AND(F1409&lt;=4,G1409&gt;=6,H1409&gt;=6),"AT RISK",AND(F1409&lt;=2,G1409&gt;=8,H1409&gt;=8),"CAN'T LOSE THEM",AND(F1409&lt;=2,G1409&lt;=2,H1409&lt;=2),"HIBERNATING",TRUE(),"Other")</f>
        <v>POTENTIAL LOYALIST</v>
      </c>
      <c r="K1409" s="1" t="n">
        <f aca="false">RANK(E1409,$E$7:$E$4378)+COUNTIF($E$7:E1409,E1409)-1</f>
        <v>1935</v>
      </c>
    </row>
    <row r="1410" customFormat="false" ht="14.25" hidden="false" customHeight="true" outlineLevel="0" collapsed="false">
      <c r="A1410" s="51" t="n">
        <v>14235</v>
      </c>
      <c r="B1410" s="53" t="n">
        <v>40876.5597222222</v>
      </c>
      <c r="C1410" s="57" t="n">
        <f aca="false">INT($C$2)-INT(Table3[[#This Row],[Last Purchase Date]])</f>
        <v>11</v>
      </c>
      <c r="D1410" s="1" t="n">
        <v>6</v>
      </c>
      <c r="E1410" s="1" t="n">
        <v>3093.86</v>
      </c>
      <c r="F1410" s="1" t="n">
        <f aca="false">ROUND((1-_xlfn.PERCENTRANK.INC($C$7:$C$4378,C1410))*9,0)</f>
        <v>7</v>
      </c>
      <c r="G1410" s="1" t="n">
        <f aca="false">ROUND(_xlfn.PERCENTRANK.INC($D$7:$D$4378,D1410)*9,0)</f>
        <v>7</v>
      </c>
      <c r="H1410" s="1" t="n">
        <f aca="false">ROUND(_xlfn.PERCENTRANK.INC($E$7:$E$4378,E1410)*9,0)</f>
        <v>8</v>
      </c>
      <c r="I1410" s="1" t="str">
        <f aca="false">CONCATENATE(F1410,G1410,H1410)</f>
        <v>778</v>
      </c>
      <c r="J1410" s="1" t="str">
        <f aca="false">_xlfn.IFS(AND(F1410&gt;=8,G1410&gt;=8,H1410&gt;=8),"CHAMPION",AND(F1410&gt;=6,G1410&gt;=7,H1410&gt;=6),"LOYAL CUSTOMER",AND(F1410&gt;=6,G1410&gt;=5,H1410&gt;=5),"POTENTIAL LOYALIST",AND(F1410&gt;=8,G1410&lt;=2,H1410&gt;=5),"NEW CUSTOMERS",AND(F1410&gt;=6,G1410&lt;=2,H1410&gt;=3),"PROMISING",AND(F1410&gt;=3,G1410&gt;=3,H1410&gt;=3),"NEED ATTENTION",AND(F1410&lt;=4,G1410&gt;=6,H1410&gt;=6),"AT RISK",AND(F1410&lt;=2,G1410&gt;=8,H1410&gt;=8),"CAN'T LOSE THEM",AND(F1410&lt;=2,G1410&lt;=2,H1410&lt;=2),"HIBERNATING",TRUE(),"Other")</f>
        <v>LOYAL CUSTOMER</v>
      </c>
      <c r="K1410" s="1" t="n">
        <f aca="false">RANK(E1410,$E$7:$E$4378)+COUNTIF($E$7:E1410,E1410)-1</f>
        <v>515</v>
      </c>
    </row>
    <row r="1411" customFormat="false" ht="14.25" hidden="false" customHeight="true" outlineLevel="0" collapsed="false">
      <c r="A1411" s="51" t="n">
        <v>14236</v>
      </c>
      <c r="B1411" s="53" t="n">
        <v>40806.3840277778</v>
      </c>
      <c r="C1411" s="57" t="n">
        <f aca="false">INT($C$2)-INT(Table3[[#This Row],[Last Purchase Date]])</f>
        <v>81</v>
      </c>
      <c r="D1411" s="1" t="n">
        <v>2</v>
      </c>
      <c r="E1411" s="1" t="n">
        <v>490.86</v>
      </c>
      <c r="F1411" s="1" t="n">
        <f aca="false">ROUND((1-_xlfn.PERCENTRANK.INC($C$7:$C$4378,C1411))*9,0)</f>
        <v>3</v>
      </c>
      <c r="G1411" s="1" t="n">
        <f aca="false">ROUND(_xlfn.PERCENTRANK.INC($D$7:$D$4378,D1411)*9,0)</f>
        <v>3</v>
      </c>
      <c r="H1411" s="1" t="n">
        <f aca="false">ROUND(_xlfn.PERCENTRANK.INC($E$7:$E$4378,E1411)*9,0)</f>
        <v>4</v>
      </c>
      <c r="I1411" s="1" t="str">
        <f aca="false">CONCATENATE(F1411,G1411,H1411)</f>
        <v>334</v>
      </c>
      <c r="J1411" s="1" t="str">
        <f aca="false">_xlfn.IFS(AND(F1411&gt;=8,G1411&gt;=8,H1411&gt;=8),"CHAMPION",AND(F1411&gt;=6,G1411&gt;=7,H1411&gt;=6),"LOYAL CUSTOMER",AND(F1411&gt;=6,G1411&gt;=5,H1411&gt;=5),"POTENTIAL LOYALIST",AND(F1411&gt;=8,G1411&lt;=2,H1411&gt;=5),"NEW CUSTOMERS",AND(F1411&gt;=6,G1411&lt;=2,H1411&gt;=3),"PROMISING",AND(F1411&gt;=3,G1411&gt;=3,H1411&gt;=3),"NEED ATTENTION",AND(F1411&lt;=4,G1411&gt;=6,H1411&gt;=6),"AT RISK",AND(F1411&lt;=2,G1411&gt;=8,H1411&gt;=8),"CAN'T LOSE THEM",AND(F1411&lt;=2,G1411&lt;=2,H1411&lt;=2),"HIBERNATING",TRUE(),"Other")</f>
        <v>NEED ATTENTION</v>
      </c>
      <c r="K1411" s="1" t="n">
        <f aca="false">RANK(E1411,$E$7:$E$4378)+COUNTIF($E$7:E1411,E1411)-1</f>
        <v>2566</v>
      </c>
    </row>
    <row r="1412" customFormat="false" ht="14.25" hidden="false" customHeight="true" outlineLevel="0" collapsed="false">
      <c r="A1412" s="51" t="n">
        <v>14237</v>
      </c>
      <c r="B1412" s="53" t="n">
        <v>40513.5555555556</v>
      </c>
      <c r="C1412" s="57" t="n">
        <f aca="false">INT($C$2)-INT(Table3[[#This Row],[Last Purchase Date]])</f>
        <v>374</v>
      </c>
      <c r="D1412" s="1" t="n">
        <v>1</v>
      </c>
      <c r="E1412" s="1" t="n">
        <v>161</v>
      </c>
      <c r="F1412" s="1" t="n">
        <f aca="false">ROUND((1-_xlfn.PERCENTRANK.INC($C$7:$C$4378,C1412))*9,0)</f>
        <v>0</v>
      </c>
      <c r="G1412" s="1" t="n">
        <f aca="false">ROUND(_xlfn.PERCENTRANK.INC($D$7:$D$4378,D1412)*9,0)</f>
        <v>0</v>
      </c>
      <c r="H1412" s="1" t="n">
        <f aca="false">ROUND(_xlfn.PERCENTRANK.INC($E$7:$E$4378,E1412)*9,0)</f>
        <v>1</v>
      </c>
      <c r="I1412" s="1" t="str">
        <f aca="false">CONCATENATE(F1412,G1412,H1412)</f>
        <v>001</v>
      </c>
      <c r="J1412" s="1" t="str">
        <f aca="false">_xlfn.IFS(AND(F1412&gt;=8,G1412&gt;=8,H1412&gt;=8),"CHAMPION",AND(F1412&gt;=6,G1412&gt;=7,H1412&gt;=6),"LOYAL CUSTOMER",AND(F1412&gt;=6,G1412&gt;=5,H1412&gt;=5),"POTENTIAL LOYALIST",AND(F1412&gt;=8,G1412&lt;=2,H1412&gt;=5),"NEW CUSTOMERS",AND(F1412&gt;=6,G1412&lt;=2,H1412&gt;=3),"PROMISING",AND(F1412&gt;=3,G1412&gt;=3,H1412&gt;=3),"NEED ATTENTION",AND(F1412&lt;=4,G1412&gt;=6,H1412&gt;=6),"AT RISK",AND(F1412&lt;=2,G1412&gt;=8,H1412&gt;=8),"CAN'T LOSE THEM",AND(F1412&lt;=2,G1412&lt;=2,H1412&lt;=2),"HIBERNATING",TRUE(),"Other")</f>
        <v>HIBERNATING</v>
      </c>
      <c r="K1412" s="1" t="n">
        <f aca="false">RANK(E1412,$E$7:$E$4378)+COUNTIF($E$7:E1412,E1412)-1</f>
        <v>3854</v>
      </c>
    </row>
    <row r="1413" customFormat="false" ht="14.25" hidden="false" customHeight="true" outlineLevel="0" collapsed="false">
      <c r="A1413" s="51" t="n">
        <v>14238</v>
      </c>
      <c r="B1413" s="53" t="n">
        <v>40560.6111111111</v>
      </c>
      <c r="C1413" s="57" t="n">
        <f aca="false">INT($C$2)-INT(Table3[[#This Row],[Last Purchase Date]])</f>
        <v>327</v>
      </c>
      <c r="D1413" s="1" t="n">
        <v>1</v>
      </c>
      <c r="E1413" s="1" t="n">
        <v>146.85</v>
      </c>
      <c r="F1413" s="1" t="n">
        <f aca="false">ROUND((1-_xlfn.PERCENTRANK.INC($C$7:$C$4378,C1413))*9,0)</f>
        <v>0</v>
      </c>
      <c r="G1413" s="1" t="n">
        <f aca="false">ROUND(_xlfn.PERCENTRANK.INC($D$7:$D$4378,D1413)*9,0)</f>
        <v>0</v>
      </c>
      <c r="H1413" s="1" t="n">
        <f aca="false">ROUND(_xlfn.PERCENTRANK.INC($E$7:$E$4378,E1413)*9,0)</f>
        <v>1</v>
      </c>
      <c r="I1413" s="1" t="str">
        <f aca="false">CONCATENATE(F1413,G1413,H1413)</f>
        <v>001</v>
      </c>
      <c r="J1413" s="1" t="str">
        <f aca="false">_xlfn.IFS(AND(F1413&gt;=8,G1413&gt;=8,H1413&gt;=8),"CHAMPION",AND(F1413&gt;=6,G1413&gt;=7,H1413&gt;=6),"LOYAL CUSTOMER",AND(F1413&gt;=6,G1413&gt;=5,H1413&gt;=5),"POTENTIAL LOYALIST",AND(F1413&gt;=8,G1413&lt;=2,H1413&gt;=5),"NEW CUSTOMERS",AND(F1413&gt;=6,G1413&lt;=2,H1413&gt;=3),"PROMISING",AND(F1413&gt;=3,G1413&gt;=3,H1413&gt;=3),"NEED ATTENTION",AND(F1413&lt;=4,G1413&gt;=6,H1413&gt;=6),"AT RISK",AND(F1413&lt;=2,G1413&gt;=8,H1413&gt;=8),"CAN'T LOSE THEM",AND(F1413&lt;=2,G1413&lt;=2,H1413&lt;=2),"HIBERNATING",TRUE(),"Other")</f>
        <v>HIBERNATING</v>
      </c>
      <c r="K1413" s="1" t="n">
        <f aca="false">RANK(E1413,$E$7:$E$4378)+COUNTIF($E$7:E1413,E1413)-1</f>
        <v>3934</v>
      </c>
    </row>
    <row r="1414" customFormat="false" ht="14.25" hidden="false" customHeight="true" outlineLevel="0" collapsed="false">
      <c r="A1414" s="51" t="n">
        <v>14239</v>
      </c>
      <c r="B1414" s="53" t="n">
        <v>40843.6111111111</v>
      </c>
      <c r="C1414" s="57" t="n">
        <f aca="false">INT($C$2)-INT(Table3[[#This Row],[Last Purchase Date]])</f>
        <v>44</v>
      </c>
      <c r="D1414" s="1" t="n">
        <v>13</v>
      </c>
      <c r="E1414" s="1" t="n">
        <v>2323.5</v>
      </c>
      <c r="F1414" s="1" t="n">
        <f aca="false">ROUND((1-_xlfn.PERCENTRANK.INC($C$7:$C$4378,C1414))*9,0)</f>
        <v>5</v>
      </c>
      <c r="G1414" s="1" t="n">
        <f aca="false">ROUND(_xlfn.PERCENTRANK.INC($D$7:$D$4378,D1414)*9,0)</f>
        <v>8</v>
      </c>
      <c r="H1414" s="1" t="n">
        <f aca="false">ROUND(_xlfn.PERCENTRANK.INC($E$7:$E$4378,E1414)*9,0)</f>
        <v>7</v>
      </c>
      <c r="I1414" s="1" t="str">
        <f aca="false">CONCATENATE(F1414,G1414,H1414)</f>
        <v>587</v>
      </c>
      <c r="J1414" s="1" t="str">
        <f aca="false">_xlfn.IFS(AND(F1414&gt;=8,G1414&gt;=8,H1414&gt;=8),"CHAMPION",AND(F1414&gt;=6,G1414&gt;=7,H1414&gt;=6),"LOYAL CUSTOMER",AND(F1414&gt;=6,G1414&gt;=5,H1414&gt;=5),"POTENTIAL LOYALIST",AND(F1414&gt;=8,G1414&lt;=2,H1414&gt;=5),"NEW CUSTOMERS",AND(F1414&gt;=6,G1414&lt;=2,H1414&gt;=3),"PROMISING",AND(F1414&gt;=3,G1414&gt;=3,H1414&gt;=3),"NEED ATTENTION",AND(F1414&lt;=4,G1414&gt;=6,H1414&gt;=6),"AT RISK",AND(F1414&lt;=2,G1414&gt;=8,H1414&gt;=8),"CAN'T LOSE THEM",AND(F1414&lt;=2,G1414&lt;=2,H1414&lt;=2),"HIBERNATING",TRUE(),"Other")</f>
        <v>NEED ATTENTION</v>
      </c>
      <c r="K1414" s="1" t="n">
        <f aca="false">RANK(E1414,$E$7:$E$4378)+COUNTIF($E$7:E1414,E1414)-1</f>
        <v>732</v>
      </c>
    </row>
    <row r="1415" customFormat="false" ht="14.25" hidden="false" customHeight="true" outlineLevel="0" collapsed="false">
      <c r="A1415" s="51" t="n">
        <v>14240</v>
      </c>
      <c r="B1415" s="53" t="n">
        <v>40856.5729166667</v>
      </c>
      <c r="C1415" s="57" t="n">
        <f aca="false">INT($C$2)-INT(Table3[[#This Row],[Last Purchase Date]])</f>
        <v>31</v>
      </c>
      <c r="D1415" s="1" t="n">
        <v>2</v>
      </c>
      <c r="E1415" s="1" t="n">
        <v>890.340000000001</v>
      </c>
      <c r="F1415" s="1" t="n">
        <f aca="false">ROUND((1-_xlfn.PERCENTRANK.INC($C$7:$C$4378,C1415))*9,0)</f>
        <v>6</v>
      </c>
      <c r="G1415" s="1" t="n">
        <f aca="false">ROUND(_xlfn.PERCENTRANK.INC($D$7:$D$4378,D1415)*9,0)</f>
        <v>3</v>
      </c>
      <c r="H1415" s="1" t="n">
        <f aca="false">ROUND(_xlfn.PERCENTRANK.INC($E$7:$E$4378,E1415)*9,0)</f>
        <v>5</v>
      </c>
      <c r="I1415" s="1" t="str">
        <f aca="false">CONCATENATE(F1415,G1415,H1415)</f>
        <v>635</v>
      </c>
      <c r="J1415" s="1" t="str">
        <f aca="false">_xlfn.IFS(AND(F1415&gt;=8,G1415&gt;=8,H1415&gt;=8),"CHAMPION",AND(F1415&gt;=6,G1415&gt;=7,H1415&gt;=6),"LOYAL CUSTOMER",AND(F1415&gt;=6,G1415&gt;=5,H1415&gt;=5),"POTENTIAL LOYALIST",AND(F1415&gt;=8,G1415&lt;=2,H1415&gt;=5),"NEW CUSTOMERS",AND(F1415&gt;=6,G1415&lt;=2,H1415&gt;=3),"PROMISING",AND(F1415&gt;=3,G1415&gt;=3,H1415&gt;=3),"NEED ATTENTION",AND(F1415&lt;=4,G1415&gt;=6,H1415&gt;=6),"AT RISK",AND(F1415&lt;=2,G1415&gt;=8,H1415&gt;=8),"CAN'T LOSE THEM",AND(F1415&lt;=2,G1415&lt;=2,H1415&lt;=2),"HIBERNATING",TRUE(),"Other")</f>
        <v>NEED ATTENTION</v>
      </c>
      <c r="K1415" s="1" t="n">
        <f aca="false">RANK(E1415,$E$7:$E$4378)+COUNTIF($E$7:E1415,E1415)-1</f>
        <v>1774</v>
      </c>
    </row>
    <row r="1416" customFormat="false" ht="14.25" hidden="false" customHeight="true" outlineLevel="0" collapsed="false">
      <c r="A1416" s="51" t="n">
        <v>14241</v>
      </c>
      <c r="B1416" s="53" t="n">
        <v>40703.4902777778</v>
      </c>
      <c r="C1416" s="57" t="n">
        <f aca="false">INT($C$2)-INT(Table3[[#This Row],[Last Purchase Date]])</f>
        <v>184</v>
      </c>
      <c r="D1416" s="1" t="n">
        <v>1</v>
      </c>
      <c r="E1416" s="1" t="n">
        <v>213.7</v>
      </c>
      <c r="F1416" s="1" t="n">
        <f aca="false">ROUND((1-_xlfn.PERCENTRANK.INC($C$7:$C$4378,C1416))*9,0)</f>
        <v>2</v>
      </c>
      <c r="G1416" s="1" t="n">
        <f aca="false">ROUND(_xlfn.PERCENTRANK.INC($D$7:$D$4378,D1416)*9,0)</f>
        <v>0</v>
      </c>
      <c r="H1416" s="1" t="n">
        <f aca="false">ROUND(_xlfn.PERCENTRANK.INC($E$7:$E$4378,E1416)*9,0)</f>
        <v>2</v>
      </c>
      <c r="I1416" s="1" t="str">
        <f aca="false">CONCATENATE(F1416,G1416,H1416)</f>
        <v>202</v>
      </c>
      <c r="J1416" s="1" t="str">
        <f aca="false">_xlfn.IFS(AND(F1416&gt;=8,G1416&gt;=8,H1416&gt;=8),"CHAMPION",AND(F1416&gt;=6,G1416&gt;=7,H1416&gt;=6),"LOYAL CUSTOMER",AND(F1416&gt;=6,G1416&gt;=5,H1416&gt;=5),"POTENTIAL LOYALIST",AND(F1416&gt;=8,G1416&lt;=2,H1416&gt;=5),"NEW CUSTOMERS",AND(F1416&gt;=6,G1416&lt;=2,H1416&gt;=3),"PROMISING",AND(F1416&gt;=3,G1416&gt;=3,H1416&gt;=3),"NEED ATTENTION",AND(F1416&lt;=4,G1416&gt;=6,H1416&gt;=6),"AT RISK",AND(F1416&lt;=2,G1416&gt;=8,H1416&gt;=8),"CAN'T LOSE THEM",AND(F1416&lt;=2,G1416&lt;=2,H1416&lt;=2),"HIBERNATING",TRUE(),"Other")</f>
        <v>HIBERNATING</v>
      </c>
      <c r="K1416" s="1" t="n">
        <f aca="false">RANK(E1416,$E$7:$E$4378)+COUNTIF($E$7:E1416,E1416)-1</f>
        <v>3598</v>
      </c>
    </row>
    <row r="1417" customFormat="false" ht="14.25" hidden="false" customHeight="true" outlineLevel="0" collapsed="false">
      <c r="A1417" s="51" t="n">
        <v>14242</v>
      </c>
      <c r="B1417" s="53" t="n">
        <v>40652.4902777778</v>
      </c>
      <c r="C1417" s="57" t="n">
        <f aca="false">INT($C$2)-INT(Table3[[#This Row],[Last Purchase Date]])</f>
        <v>235</v>
      </c>
      <c r="D1417" s="1" t="n">
        <v>2</v>
      </c>
      <c r="E1417" s="1" t="n">
        <v>280.55</v>
      </c>
      <c r="F1417" s="1" t="n">
        <f aca="false">ROUND((1-_xlfn.PERCENTRANK.INC($C$7:$C$4378,C1417))*9,0)</f>
        <v>1</v>
      </c>
      <c r="G1417" s="1" t="n">
        <f aca="false">ROUND(_xlfn.PERCENTRANK.INC($D$7:$D$4378,D1417)*9,0)</f>
        <v>3</v>
      </c>
      <c r="H1417" s="1" t="n">
        <f aca="false">ROUND(_xlfn.PERCENTRANK.INC($E$7:$E$4378,E1417)*9,0)</f>
        <v>2</v>
      </c>
      <c r="I1417" s="1" t="str">
        <f aca="false">CONCATENATE(F1417,G1417,H1417)</f>
        <v>132</v>
      </c>
      <c r="J1417" s="1" t="str">
        <f aca="false">_xlfn.IFS(AND(F1417&gt;=8,G1417&gt;=8,H1417&gt;=8),"CHAMPION",AND(F1417&gt;=6,G1417&gt;=7,H1417&gt;=6),"LOYAL CUSTOMER",AND(F1417&gt;=6,G1417&gt;=5,H1417&gt;=5),"POTENTIAL LOYALIST",AND(F1417&gt;=8,G1417&lt;=2,H1417&gt;=5),"NEW CUSTOMERS",AND(F1417&gt;=6,G1417&lt;=2,H1417&gt;=3),"PROMISING",AND(F1417&gt;=3,G1417&gt;=3,H1417&gt;=3),"NEED ATTENTION",AND(F1417&lt;=4,G1417&gt;=6,H1417&gt;=6),"AT RISK",AND(F1417&lt;=2,G1417&gt;=8,H1417&gt;=8),"CAN'T LOSE THEM",AND(F1417&lt;=2,G1417&lt;=2,H1417&lt;=2),"HIBERNATING",TRUE(),"Other")</f>
        <v>Other</v>
      </c>
      <c r="K1417" s="1" t="n">
        <f aca="false">RANK(E1417,$E$7:$E$4378)+COUNTIF($E$7:E1417,E1417)-1</f>
        <v>3325</v>
      </c>
    </row>
    <row r="1418" customFormat="false" ht="14.25" hidden="false" customHeight="true" outlineLevel="0" collapsed="false">
      <c r="A1418" s="51" t="n">
        <v>14243</v>
      </c>
      <c r="B1418" s="53" t="n">
        <v>40878.4666666667</v>
      </c>
      <c r="C1418" s="57" t="n">
        <f aca="false">INT($C$2)-INT(Table3[[#This Row],[Last Purchase Date]])</f>
        <v>9</v>
      </c>
      <c r="D1418" s="1" t="n">
        <v>14</v>
      </c>
      <c r="E1418" s="1" t="n">
        <v>2535.88</v>
      </c>
      <c r="F1418" s="1" t="n">
        <f aca="false">ROUND((1-_xlfn.PERCENTRANK.INC($C$7:$C$4378,C1418))*9,0)</f>
        <v>8</v>
      </c>
      <c r="G1418" s="1" t="n">
        <f aca="false">ROUND(_xlfn.PERCENTRANK.INC($D$7:$D$4378,D1418)*9,0)</f>
        <v>8</v>
      </c>
      <c r="H1418" s="1" t="n">
        <f aca="false">ROUND(_xlfn.PERCENTRANK.INC($E$7:$E$4378,E1418)*9,0)</f>
        <v>8</v>
      </c>
      <c r="I1418" s="1" t="str">
        <f aca="false">CONCATENATE(F1418,G1418,H1418)</f>
        <v>888</v>
      </c>
      <c r="J1418" s="1" t="str">
        <f aca="false">_xlfn.IFS(AND(F1418&gt;=8,G1418&gt;=8,H1418&gt;=8),"CHAMPION",AND(F1418&gt;=6,G1418&gt;=7,H1418&gt;=6),"LOYAL CUSTOMER",AND(F1418&gt;=6,G1418&gt;=5,H1418&gt;=5),"POTENTIAL LOYALIST",AND(F1418&gt;=8,G1418&lt;=2,H1418&gt;=5),"NEW CUSTOMERS",AND(F1418&gt;=6,G1418&lt;=2,H1418&gt;=3),"PROMISING",AND(F1418&gt;=3,G1418&gt;=3,H1418&gt;=3),"NEED ATTENTION",AND(F1418&lt;=4,G1418&gt;=6,H1418&gt;=6),"AT RISK",AND(F1418&lt;=2,G1418&gt;=8,H1418&gt;=8),"CAN'T LOSE THEM",AND(F1418&lt;=2,G1418&lt;=2,H1418&lt;=2),"HIBERNATING",TRUE(),"Other")</f>
        <v>CHAMPION</v>
      </c>
      <c r="K1418" s="1" t="n">
        <f aca="false">RANK(E1418,$E$7:$E$4378)+COUNTIF($E$7:E1418,E1418)-1</f>
        <v>671</v>
      </c>
    </row>
    <row r="1419" customFormat="false" ht="14.25" hidden="false" customHeight="true" outlineLevel="0" collapsed="false">
      <c r="A1419" s="51" t="n">
        <v>14245</v>
      </c>
      <c r="B1419" s="53" t="n">
        <v>40710.60625</v>
      </c>
      <c r="C1419" s="57" t="n">
        <f aca="false">INT($C$2)-INT(Table3[[#This Row],[Last Purchase Date]])</f>
        <v>177</v>
      </c>
      <c r="D1419" s="1" t="n">
        <v>5</v>
      </c>
      <c r="E1419" s="1" t="n">
        <v>1677.48</v>
      </c>
      <c r="F1419" s="1" t="n">
        <f aca="false">ROUND((1-_xlfn.PERCENTRANK.INC($C$7:$C$4378,C1419))*9,0)</f>
        <v>2</v>
      </c>
      <c r="G1419" s="1" t="n">
        <f aca="false">ROUND(_xlfn.PERCENTRANK.INC($D$7:$D$4378,D1419)*9,0)</f>
        <v>6</v>
      </c>
      <c r="H1419" s="1" t="n">
        <f aca="false">ROUND(_xlfn.PERCENTRANK.INC($E$7:$E$4378,E1419)*9,0)</f>
        <v>7</v>
      </c>
      <c r="I1419" s="1" t="str">
        <f aca="false">CONCATENATE(F1419,G1419,H1419)</f>
        <v>267</v>
      </c>
      <c r="J1419" s="1" t="str">
        <f aca="false">_xlfn.IFS(AND(F1419&gt;=8,G1419&gt;=8,H1419&gt;=8),"CHAMPION",AND(F1419&gt;=6,G1419&gt;=7,H1419&gt;=6),"LOYAL CUSTOMER",AND(F1419&gt;=6,G1419&gt;=5,H1419&gt;=5),"POTENTIAL LOYALIST",AND(F1419&gt;=8,G1419&lt;=2,H1419&gt;=5),"NEW CUSTOMERS",AND(F1419&gt;=6,G1419&lt;=2,H1419&gt;=3),"PROMISING",AND(F1419&gt;=3,G1419&gt;=3,H1419&gt;=3),"NEED ATTENTION",AND(F1419&lt;=4,G1419&gt;=6,H1419&gt;=6),"AT RISK",AND(F1419&lt;=2,G1419&gt;=8,H1419&gt;=8),"CAN'T LOSE THEM",AND(F1419&lt;=2,G1419&lt;=2,H1419&lt;=2),"HIBERNATING",TRUE(),"Other")</f>
        <v>AT RISK</v>
      </c>
      <c r="K1419" s="1" t="n">
        <f aca="false">RANK(E1419,$E$7:$E$4378)+COUNTIF($E$7:E1419,E1419)-1</f>
        <v>1051</v>
      </c>
    </row>
    <row r="1420" customFormat="false" ht="14.25" hidden="false" customHeight="true" outlineLevel="0" collapsed="false">
      <c r="A1420" s="51" t="n">
        <v>14246</v>
      </c>
      <c r="B1420" s="53" t="n">
        <v>40776.4930555556</v>
      </c>
      <c r="C1420" s="57" t="n">
        <f aca="false">INT($C$2)-INT(Table3[[#This Row],[Last Purchase Date]])</f>
        <v>111</v>
      </c>
      <c r="D1420" s="1" t="n">
        <v>3</v>
      </c>
      <c r="E1420" s="1" t="n">
        <v>1474.06</v>
      </c>
      <c r="F1420" s="1" t="n">
        <f aca="false">ROUND((1-_xlfn.PERCENTRANK.INC($C$7:$C$4378,C1420))*9,0)</f>
        <v>3</v>
      </c>
      <c r="G1420" s="1" t="n">
        <f aca="false">ROUND(_xlfn.PERCENTRANK.INC($D$7:$D$4378,D1420)*9,0)</f>
        <v>4</v>
      </c>
      <c r="H1420" s="1" t="n">
        <f aca="false">ROUND(_xlfn.PERCENTRANK.INC($E$7:$E$4378,E1420)*9,0)</f>
        <v>7</v>
      </c>
      <c r="I1420" s="1" t="str">
        <f aca="false">CONCATENATE(F1420,G1420,H1420)</f>
        <v>347</v>
      </c>
      <c r="J1420" s="1" t="str">
        <f aca="false">_xlfn.IFS(AND(F1420&gt;=8,G1420&gt;=8,H1420&gt;=8),"CHAMPION",AND(F1420&gt;=6,G1420&gt;=7,H1420&gt;=6),"LOYAL CUSTOMER",AND(F1420&gt;=6,G1420&gt;=5,H1420&gt;=5),"POTENTIAL LOYALIST",AND(F1420&gt;=8,G1420&lt;=2,H1420&gt;=5),"NEW CUSTOMERS",AND(F1420&gt;=6,G1420&lt;=2,H1420&gt;=3),"PROMISING",AND(F1420&gt;=3,G1420&gt;=3,H1420&gt;=3),"NEED ATTENTION",AND(F1420&lt;=4,G1420&gt;=6,H1420&gt;=6),"AT RISK",AND(F1420&lt;=2,G1420&gt;=8,H1420&gt;=8),"CAN'T LOSE THEM",AND(F1420&lt;=2,G1420&lt;=2,H1420&lt;=2),"HIBERNATING",TRUE(),"Other")</f>
        <v>NEED ATTENTION</v>
      </c>
      <c r="K1420" s="1" t="n">
        <f aca="false">RANK(E1420,$E$7:$E$4378)+COUNTIF($E$7:E1420,E1420)-1</f>
        <v>1185</v>
      </c>
    </row>
    <row r="1421" customFormat="false" ht="14.25" hidden="false" customHeight="true" outlineLevel="0" collapsed="false">
      <c r="A1421" s="51" t="n">
        <v>14247</v>
      </c>
      <c r="B1421" s="53" t="n">
        <v>40608.6395833333</v>
      </c>
      <c r="C1421" s="57" t="n">
        <f aca="false">INT($C$2)-INT(Table3[[#This Row],[Last Purchase Date]])</f>
        <v>279</v>
      </c>
      <c r="D1421" s="1" t="n">
        <v>1</v>
      </c>
      <c r="E1421" s="1" t="n">
        <v>136.77</v>
      </c>
      <c r="F1421" s="1" t="n">
        <f aca="false">ROUND((1-_xlfn.PERCENTRANK.INC($C$7:$C$4378,C1421))*9,0)</f>
        <v>1</v>
      </c>
      <c r="G1421" s="1" t="n">
        <f aca="false">ROUND(_xlfn.PERCENTRANK.INC($D$7:$D$4378,D1421)*9,0)</f>
        <v>0</v>
      </c>
      <c r="H1421" s="1" t="n">
        <f aca="false">ROUND(_xlfn.PERCENTRANK.INC($E$7:$E$4378,E1421)*9,0)</f>
        <v>1</v>
      </c>
      <c r="I1421" s="1" t="str">
        <f aca="false">CONCATENATE(F1421,G1421,H1421)</f>
        <v>101</v>
      </c>
      <c r="J1421" s="1" t="str">
        <f aca="false">_xlfn.IFS(AND(F1421&gt;=8,G1421&gt;=8,H1421&gt;=8),"CHAMPION",AND(F1421&gt;=6,G1421&gt;=7,H1421&gt;=6),"LOYAL CUSTOMER",AND(F1421&gt;=6,G1421&gt;=5,H1421&gt;=5),"POTENTIAL LOYALIST",AND(F1421&gt;=8,G1421&lt;=2,H1421&gt;=5),"NEW CUSTOMERS",AND(F1421&gt;=6,G1421&lt;=2,H1421&gt;=3),"PROMISING",AND(F1421&gt;=3,G1421&gt;=3,H1421&gt;=3),"NEED ATTENTION",AND(F1421&lt;=4,G1421&gt;=6,H1421&gt;=6),"AT RISK",AND(F1421&lt;=2,G1421&gt;=8,H1421&gt;=8),"CAN'T LOSE THEM",AND(F1421&lt;=2,G1421&lt;=2,H1421&lt;=2),"HIBERNATING",TRUE(),"Other")</f>
        <v>HIBERNATING</v>
      </c>
      <c r="K1421" s="1" t="n">
        <f aca="false">RANK(E1421,$E$7:$E$4378)+COUNTIF($E$7:E1421,E1421)-1</f>
        <v>3976</v>
      </c>
    </row>
    <row r="1422" customFormat="false" ht="14.25" hidden="false" customHeight="true" outlineLevel="0" collapsed="false">
      <c r="A1422" s="51" t="n">
        <v>14248</v>
      </c>
      <c r="B1422" s="53" t="n">
        <v>40568.6145833333</v>
      </c>
      <c r="C1422" s="57" t="n">
        <f aca="false">INT($C$2)-INT(Table3[[#This Row],[Last Purchase Date]])</f>
        <v>319</v>
      </c>
      <c r="D1422" s="1" t="n">
        <v>1</v>
      </c>
      <c r="E1422" s="1" t="n">
        <v>302.58</v>
      </c>
      <c r="F1422" s="1" t="n">
        <f aca="false">ROUND((1-_xlfn.PERCENTRANK.INC($C$7:$C$4378,C1422))*9,0)</f>
        <v>0</v>
      </c>
      <c r="G1422" s="1" t="n">
        <f aca="false">ROUND(_xlfn.PERCENTRANK.INC($D$7:$D$4378,D1422)*9,0)</f>
        <v>0</v>
      </c>
      <c r="H1422" s="1" t="n">
        <f aca="false">ROUND(_xlfn.PERCENTRANK.INC($E$7:$E$4378,E1422)*9,0)</f>
        <v>2</v>
      </c>
      <c r="I1422" s="1" t="str">
        <f aca="false">CONCATENATE(F1422,G1422,H1422)</f>
        <v>002</v>
      </c>
      <c r="J1422" s="1" t="str">
        <f aca="false">_xlfn.IFS(AND(F1422&gt;=8,G1422&gt;=8,H1422&gt;=8),"CHAMPION",AND(F1422&gt;=6,G1422&gt;=7,H1422&gt;=6),"LOYAL CUSTOMER",AND(F1422&gt;=6,G1422&gt;=5,H1422&gt;=5),"POTENTIAL LOYALIST",AND(F1422&gt;=8,G1422&lt;=2,H1422&gt;=5),"NEW CUSTOMERS",AND(F1422&gt;=6,G1422&lt;=2,H1422&gt;=3),"PROMISING",AND(F1422&gt;=3,G1422&gt;=3,H1422&gt;=3),"NEED ATTENTION",AND(F1422&lt;=4,G1422&gt;=6,H1422&gt;=6),"AT RISK",AND(F1422&lt;=2,G1422&gt;=8,H1422&gt;=8),"CAN'T LOSE THEM",AND(F1422&lt;=2,G1422&lt;=2,H1422&lt;=2),"HIBERNATING",TRUE(),"Other")</f>
        <v>HIBERNATING</v>
      </c>
      <c r="K1422" s="1" t="n">
        <f aca="false">RANK(E1422,$E$7:$E$4378)+COUNTIF($E$7:E1422,E1422)-1</f>
        <v>3239</v>
      </c>
    </row>
    <row r="1423" customFormat="false" ht="14.25" hidden="false" customHeight="true" outlineLevel="0" collapsed="false">
      <c r="A1423" s="51" t="n">
        <v>14250</v>
      </c>
      <c r="B1423" s="53" t="n">
        <v>40879.6041666667</v>
      </c>
      <c r="C1423" s="57" t="n">
        <f aca="false">INT($C$2)-INT(Table3[[#This Row],[Last Purchase Date]])</f>
        <v>8</v>
      </c>
      <c r="D1423" s="1" t="n">
        <v>3</v>
      </c>
      <c r="E1423" s="1" t="n">
        <v>1904.05</v>
      </c>
      <c r="F1423" s="1" t="n">
        <f aca="false">ROUND((1-_xlfn.PERCENTRANK.INC($C$7:$C$4378,C1423))*9,0)</f>
        <v>8</v>
      </c>
      <c r="G1423" s="1" t="n">
        <f aca="false">ROUND(_xlfn.PERCENTRANK.INC($D$7:$D$4378,D1423)*9,0)</f>
        <v>4</v>
      </c>
      <c r="H1423" s="1" t="n">
        <f aca="false">ROUND(_xlfn.PERCENTRANK.INC($E$7:$E$4378,E1423)*9,0)</f>
        <v>7</v>
      </c>
      <c r="I1423" s="1" t="str">
        <f aca="false">CONCATENATE(F1423,G1423,H1423)</f>
        <v>847</v>
      </c>
      <c r="J1423" s="1" t="str">
        <f aca="false">_xlfn.IFS(AND(F1423&gt;=8,G1423&gt;=8,H1423&gt;=8),"CHAMPION",AND(F1423&gt;=6,G1423&gt;=7,H1423&gt;=6),"LOYAL CUSTOMER",AND(F1423&gt;=6,G1423&gt;=5,H1423&gt;=5),"POTENTIAL LOYALIST",AND(F1423&gt;=8,G1423&lt;=2,H1423&gt;=5),"NEW CUSTOMERS",AND(F1423&gt;=6,G1423&lt;=2,H1423&gt;=3),"PROMISING",AND(F1423&gt;=3,G1423&gt;=3,H1423&gt;=3),"NEED ATTENTION",AND(F1423&lt;=4,G1423&gt;=6,H1423&gt;=6),"AT RISK",AND(F1423&lt;=2,G1423&gt;=8,H1423&gt;=8),"CAN'T LOSE THEM",AND(F1423&lt;=2,G1423&lt;=2,H1423&lt;=2),"HIBERNATING",TRUE(),"Other")</f>
        <v>NEED ATTENTION</v>
      </c>
      <c r="K1423" s="1" t="n">
        <f aca="false">RANK(E1423,$E$7:$E$4378)+COUNTIF($E$7:E1423,E1423)-1</f>
        <v>918</v>
      </c>
    </row>
    <row r="1424" customFormat="false" ht="14.25" hidden="false" customHeight="true" outlineLevel="0" collapsed="false">
      <c r="A1424" s="51" t="n">
        <v>14251</v>
      </c>
      <c r="B1424" s="53" t="n">
        <v>40885.3555555556</v>
      </c>
      <c r="C1424" s="57" t="n">
        <f aca="false">INT($C$2)-INT(Table3[[#This Row],[Last Purchase Date]])</f>
        <v>2</v>
      </c>
      <c r="D1424" s="1" t="n">
        <v>5</v>
      </c>
      <c r="E1424" s="1" t="n">
        <v>2879.7</v>
      </c>
      <c r="F1424" s="1" t="n">
        <f aca="false">ROUND((1-_xlfn.PERCENTRANK.INC($C$7:$C$4378,C1424))*9,0)</f>
        <v>9</v>
      </c>
      <c r="G1424" s="1" t="n">
        <f aca="false">ROUND(_xlfn.PERCENTRANK.INC($D$7:$D$4378,D1424)*9,0)</f>
        <v>6</v>
      </c>
      <c r="H1424" s="1" t="n">
        <f aca="false">ROUND(_xlfn.PERCENTRANK.INC($E$7:$E$4378,E1424)*9,0)</f>
        <v>8</v>
      </c>
      <c r="I1424" s="1" t="str">
        <f aca="false">CONCATENATE(F1424,G1424,H1424)</f>
        <v>968</v>
      </c>
      <c r="J1424" s="1" t="str">
        <f aca="false">_xlfn.IFS(AND(F1424&gt;=8,G1424&gt;=8,H1424&gt;=8),"CHAMPION",AND(F1424&gt;=6,G1424&gt;=7,H1424&gt;=6),"LOYAL CUSTOMER",AND(F1424&gt;=6,G1424&gt;=5,H1424&gt;=5),"POTENTIAL LOYALIST",AND(F1424&gt;=8,G1424&lt;=2,H1424&gt;=5),"NEW CUSTOMERS",AND(F1424&gt;=6,G1424&lt;=2,H1424&gt;=3),"PROMISING",AND(F1424&gt;=3,G1424&gt;=3,H1424&gt;=3),"NEED ATTENTION",AND(F1424&lt;=4,G1424&gt;=6,H1424&gt;=6),"AT RISK",AND(F1424&lt;=2,G1424&gt;=8,H1424&gt;=8),"CAN'T LOSE THEM",AND(F1424&lt;=2,G1424&lt;=2,H1424&lt;=2),"HIBERNATING",TRUE(),"Other")</f>
        <v>POTENTIAL LOYALIST</v>
      </c>
      <c r="K1424" s="1" t="n">
        <f aca="false">RANK(E1424,$E$7:$E$4378)+COUNTIF($E$7:E1424,E1424)-1</f>
        <v>566</v>
      </c>
    </row>
    <row r="1425" customFormat="false" ht="14.25" hidden="false" customHeight="true" outlineLevel="0" collapsed="false">
      <c r="A1425" s="51" t="n">
        <v>14256</v>
      </c>
      <c r="B1425" s="53" t="n">
        <v>40632.69375</v>
      </c>
      <c r="C1425" s="57" t="n">
        <f aca="false">INT($C$2)-INT(Table3[[#This Row],[Last Purchase Date]])</f>
        <v>255</v>
      </c>
      <c r="D1425" s="1" t="n">
        <v>3</v>
      </c>
      <c r="E1425" s="1" t="n">
        <v>935.06</v>
      </c>
      <c r="F1425" s="1" t="n">
        <f aca="false">ROUND((1-_xlfn.PERCENTRANK.INC($C$7:$C$4378,C1425))*9,0)</f>
        <v>1</v>
      </c>
      <c r="G1425" s="1" t="n">
        <f aca="false">ROUND(_xlfn.PERCENTRANK.INC($D$7:$D$4378,D1425)*9,0)</f>
        <v>4</v>
      </c>
      <c r="H1425" s="1" t="n">
        <f aca="false">ROUND(_xlfn.PERCENTRANK.INC($E$7:$E$4378,E1425)*9,0)</f>
        <v>5</v>
      </c>
      <c r="I1425" s="1" t="str">
        <f aca="false">CONCATENATE(F1425,G1425,H1425)</f>
        <v>145</v>
      </c>
      <c r="J1425" s="1" t="str">
        <f aca="false">_xlfn.IFS(AND(F1425&gt;=8,G1425&gt;=8,H1425&gt;=8),"CHAMPION",AND(F1425&gt;=6,G1425&gt;=7,H1425&gt;=6),"LOYAL CUSTOMER",AND(F1425&gt;=6,G1425&gt;=5,H1425&gt;=5),"POTENTIAL LOYALIST",AND(F1425&gt;=8,G1425&lt;=2,H1425&gt;=5),"NEW CUSTOMERS",AND(F1425&gt;=6,G1425&lt;=2,H1425&gt;=3),"PROMISING",AND(F1425&gt;=3,G1425&gt;=3,H1425&gt;=3),"NEED ATTENTION",AND(F1425&lt;=4,G1425&gt;=6,H1425&gt;=6),"AT RISK",AND(F1425&lt;=2,G1425&gt;=8,H1425&gt;=8),"CAN'T LOSE THEM",AND(F1425&lt;=2,G1425&lt;=2,H1425&lt;=2),"HIBERNATING",TRUE(),"Other")</f>
        <v>Other</v>
      </c>
      <c r="K1425" s="1" t="n">
        <f aca="false">RANK(E1425,$E$7:$E$4378)+COUNTIF($E$7:E1425,E1425)-1</f>
        <v>1715</v>
      </c>
    </row>
    <row r="1426" customFormat="false" ht="14.25" hidden="false" customHeight="true" outlineLevel="0" collapsed="false">
      <c r="A1426" s="51" t="n">
        <v>14257</v>
      </c>
      <c r="B1426" s="53" t="n">
        <v>40835.5680555556</v>
      </c>
      <c r="C1426" s="57" t="n">
        <f aca="false">INT($C$2)-INT(Table3[[#This Row],[Last Purchase Date]])</f>
        <v>52</v>
      </c>
      <c r="D1426" s="1" t="n">
        <v>6</v>
      </c>
      <c r="E1426" s="1" t="n">
        <v>3087.27</v>
      </c>
      <c r="F1426" s="1" t="n">
        <f aca="false">ROUND((1-_xlfn.PERCENTRANK.INC($C$7:$C$4378,C1426))*9,0)</f>
        <v>4</v>
      </c>
      <c r="G1426" s="1" t="n">
        <f aca="false">ROUND(_xlfn.PERCENTRANK.INC($D$7:$D$4378,D1426)*9,0)</f>
        <v>7</v>
      </c>
      <c r="H1426" s="1" t="n">
        <f aca="false">ROUND(_xlfn.PERCENTRANK.INC($E$7:$E$4378,E1426)*9,0)</f>
        <v>8</v>
      </c>
      <c r="I1426" s="1" t="str">
        <f aca="false">CONCATENATE(F1426,G1426,H1426)</f>
        <v>478</v>
      </c>
      <c r="J1426" s="1" t="str">
        <f aca="false">_xlfn.IFS(AND(F1426&gt;=8,G1426&gt;=8,H1426&gt;=8),"CHAMPION",AND(F1426&gt;=6,G1426&gt;=7,H1426&gt;=6),"LOYAL CUSTOMER",AND(F1426&gt;=6,G1426&gt;=5,H1426&gt;=5),"POTENTIAL LOYALIST",AND(F1426&gt;=8,G1426&lt;=2,H1426&gt;=5),"NEW CUSTOMERS",AND(F1426&gt;=6,G1426&lt;=2,H1426&gt;=3),"PROMISING",AND(F1426&gt;=3,G1426&gt;=3,H1426&gt;=3),"NEED ATTENTION",AND(F1426&lt;=4,G1426&gt;=6,H1426&gt;=6),"AT RISK",AND(F1426&lt;=2,G1426&gt;=8,H1426&gt;=8),"CAN'T LOSE THEM",AND(F1426&lt;=2,G1426&lt;=2,H1426&lt;=2),"HIBERNATING",TRUE(),"Other")</f>
        <v>NEED ATTENTION</v>
      </c>
      <c r="K1426" s="1" t="n">
        <f aca="false">RANK(E1426,$E$7:$E$4378)+COUNTIF($E$7:E1426,E1426)-1</f>
        <v>518</v>
      </c>
    </row>
    <row r="1427" customFormat="false" ht="14.25" hidden="false" customHeight="true" outlineLevel="0" collapsed="false">
      <c r="A1427" s="51" t="n">
        <v>14258</v>
      </c>
      <c r="B1427" s="53" t="n">
        <v>40877.64375</v>
      </c>
      <c r="C1427" s="57" t="n">
        <f aca="false">INT($C$2)-INT(Table3[[#This Row],[Last Purchase Date]])</f>
        <v>10</v>
      </c>
      <c r="D1427" s="1" t="n">
        <v>10</v>
      </c>
      <c r="E1427" s="1" t="n">
        <v>12650.08</v>
      </c>
      <c r="F1427" s="1" t="n">
        <f aca="false">ROUND((1-_xlfn.PERCENTRANK.INC($C$7:$C$4378,C1427))*9,0)</f>
        <v>8</v>
      </c>
      <c r="G1427" s="1" t="n">
        <f aca="false">ROUND(_xlfn.PERCENTRANK.INC($D$7:$D$4378,D1427)*9,0)</f>
        <v>8</v>
      </c>
      <c r="H1427" s="1" t="n">
        <f aca="false">ROUND(_xlfn.PERCENTRANK.INC($E$7:$E$4378,E1427)*9,0)</f>
        <v>9</v>
      </c>
      <c r="I1427" s="1" t="str">
        <f aca="false">CONCATENATE(F1427,G1427,H1427)</f>
        <v>889</v>
      </c>
      <c r="J1427" s="1" t="str">
        <f aca="false">_xlfn.IFS(AND(F1427&gt;=8,G1427&gt;=8,H1427&gt;=8),"CHAMPION",AND(F1427&gt;=6,G1427&gt;=7,H1427&gt;=6),"LOYAL CUSTOMER",AND(F1427&gt;=6,G1427&gt;=5,H1427&gt;=5),"POTENTIAL LOYALIST",AND(F1427&gt;=8,G1427&lt;=2,H1427&gt;=5),"NEW CUSTOMERS",AND(F1427&gt;=6,G1427&lt;=2,H1427&gt;=3),"PROMISING",AND(F1427&gt;=3,G1427&gt;=3,H1427&gt;=3),"NEED ATTENTION",AND(F1427&lt;=4,G1427&gt;=6,H1427&gt;=6),"AT RISK",AND(F1427&lt;=2,G1427&gt;=8,H1427&gt;=8),"CAN'T LOSE THEM",AND(F1427&lt;=2,G1427&lt;=2,H1427&lt;=2),"HIBERNATING",TRUE(),"Other")</f>
        <v>CHAMPION</v>
      </c>
      <c r="K1427" s="1" t="n">
        <f aca="false">RANK(E1427,$E$7:$E$4378)+COUNTIF($E$7:E1427,E1427)-1</f>
        <v>66</v>
      </c>
    </row>
    <row r="1428" customFormat="false" ht="14.25" hidden="false" customHeight="true" outlineLevel="0" collapsed="false">
      <c r="A1428" s="51" t="n">
        <v>14259</v>
      </c>
      <c r="B1428" s="53" t="n">
        <v>40745.4472222222</v>
      </c>
      <c r="C1428" s="57" t="n">
        <f aca="false">INT($C$2)-INT(Table3[[#This Row],[Last Purchase Date]])</f>
        <v>142</v>
      </c>
      <c r="D1428" s="1" t="n">
        <v>1</v>
      </c>
      <c r="E1428" s="1" t="n">
        <v>120</v>
      </c>
      <c r="F1428" s="1" t="n">
        <f aca="false">ROUND((1-_xlfn.PERCENTRANK.INC($C$7:$C$4378,C1428))*9,0)</f>
        <v>2</v>
      </c>
      <c r="G1428" s="1" t="n">
        <f aca="false">ROUND(_xlfn.PERCENTRANK.INC($D$7:$D$4378,D1428)*9,0)</f>
        <v>0</v>
      </c>
      <c r="H1428" s="1" t="n">
        <f aca="false">ROUND(_xlfn.PERCENTRANK.INC($E$7:$E$4378,E1428)*9,0)</f>
        <v>1</v>
      </c>
      <c r="I1428" s="1" t="str">
        <f aca="false">CONCATENATE(F1428,G1428,H1428)</f>
        <v>201</v>
      </c>
      <c r="J1428" s="1" t="str">
        <f aca="false">_xlfn.IFS(AND(F1428&gt;=8,G1428&gt;=8,H1428&gt;=8),"CHAMPION",AND(F1428&gt;=6,G1428&gt;=7,H1428&gt;=6),"LOYAL CUSTOMER",AND(F1428&gt;=6,G1428&gt;=5,H1428&gt;=5),"POTENTIAL LOYALIST",AND(F1428&gt;=8,G1428&lt;=2,H1428&gt;=5),"NEW CUSTOMERS",AND(F1428&gt;=6,G1428&lt;=2,H1428&gt;=3),"PROMISING",AND(F1428&gt;=3,G1428&gt;=3,H1428&gt;=3),"NEED ATTENTION",AND(F1428&lt;=4,G1428&gt;=6,H1428&gt;=6),"AT RISK",AND(F1428&lt;=2,G1428&gt;=8,H1428&gt;=8),"CAN'T LOSE THEM",AND(F1428&lt;=2,G1428&lt;=2,H1428&lt;=2),"HIBERNATING",TRUE(),"Other")</f>
        <v>HIBERNATING</v>
      </c>
      <c r="K1428" s="1" t="n">
        <f aca="false">RANK(E1428,$E$7:$E$4378)+COUNTIF($E$7:E1428,E1428)-1</f>
        <v>4050</v>
      </c>
    </row>
    <row r="1429" customFormat="false" ht="14.25" hidden="false" customHeight="true" outlineLevel="0" collapsed="false">
      <c r="A1429" s="51" t="n">
        <v>14261</v>
      </c>
      <c r="B1429" s="53" t="n">
        <v>40836.4194444444</v>
      </c>
      <c r="C1429" s="57" t="n">
        <f aca="false">INT($C$2)-INT(Table3[[#This Row],[Last Purchase Date]])</f>
        <v>51</v>
      </c>
      <c r="D1429" s="1" t="n">
        <v>2</v>
      </c>
      <c r="E1429" s="1" t="n">
        <v>1163.45</v>
      </c>
      <c r="F1429" s="1" t="n">
        <f aca="false">ROUND((1-_xlfn.PERCENTRANK.INC($C$7:$C$4378,C1429))*9,0)</f>
        <v>5</v>
      </c>
      <c r="G1429" s="1" t="n">
        <f aca="false">ROUND(_xlfn.PERCENTRANK.INC($D$7:$D$4378,D1429)*9,0)</f>
        <v>3</v>
      </c>
      <c r="H1429" s="1" t="n">
        <f aca="false">ROUND(_xlfn.PERCENTRANK.INC($E$7:$E$4378,E1429)*9,0)</f>
        <v>6</v>
      </c>
      <c r="I1429" s="1" t="str">
        <f aca="false">CONCATENATE(F1429,G1429,H1429)</f>
        <v>536</v>
      </c>
      <c r="J1429" s="1" t="str">
        <f aca="false">_xlfn.IFS(AND(F1429&gt;=8,G1429&gt;=8,H1429&gt;=8),"CHAMPION",AND(F1429&gt;=6,G1429&gt;=7,H1429&gt;=6),"LOYAL CUSTOMER",AND(F1429&gt;=6,G1429&gt;=5,H1429&gt;=5),"POTENTIAL LOYALIST",AND(F1429&gt;=8,G1429&lt;=2,H1429&gt;=5),"NEW CUSTOMERS",AND(F1429&gt;=6,G1429&lt;=2,H1429&gt;=3),"PROMISING",AND(F1429&gt;=3,G1429&gt;=3,H1429&gt;=3),"NEED ATTENTION",AND(F1429&lt;=4,G1429&gt;=6,H1429&gt;=6),"AT RISK",AND(F1429&lt;=2,G1429&gt;=8,H1429&gt;=8),"CAN'T LOSE THEM",AND(F1429&lt;=2,G1429&lt;=2,H1429&lt;=2),"HIBERNATING",TRUE(),"Other")</f>
        <v>NEED ATTENTION</v>
      </c>
      <c r="K1429" s="1" t="n">
        <f aca="false">RANK(E1429,$E$7:$E$4378)+COUNTIF($E$7:E1429,E1429)-1</f>
        <v>1437</v>
      </c>
    </row>
    <row r="1430" customFormat="false" ht="14.25" hidden="false" customHeight="true" outlineLevel="0" collapsed="false">
      <c r="A1430" s="51" t="n">
        <v>14262</v>
      </c>
      <c r="B1430" s="53" t="n">
        <v>40878.5951388889</v>
      </c>
      <c r="C1430" s="57" t="n">
        <f aca="false">INT($C$2)-INT(Table3[[#This Row],[Last Purchase Date]])</f>
        <v>9</v>
      </c>
      <c r="D1430" s="1" t="n">
        <v>8</v>
      </c>
      <c r="E1430" s="1" t="n">
        <v>2618.23</v>
      </c>
      <c r="F1430" s="1" t="n">
        <f aca="false">ROUND((1-_xlfn.PERCENTRANK.INC($C$7:$C$4378,C1430))*9,0)</f>
        <v>8</v>
      </c>
      <c r="G1430" s="1" t="n">
        <f aca="false">ROUND(_xlfn.PERCENTRANK.INC($D$7:$D$4378,D1430)*9,0)</f>
        <v>7</v>
      </c>
      <c r="H1430" s="1" t="n">
        <f aca="false">ROUND(_xlfn.PERCENTRANK.INC($E$7:$E$4378,E1430)*9,0)</f>
        <v>8</v>
      </c>
      <c r="I1430" s="1" t="str">
        <f aca="false">CONCATENATE(F1430,G1430,H1430)</f>
        <v>878</v>
      </c>
      <c r="J1430" s="1" t="str">
        <f aca="false">_xlfn.IFS(AND(F1430&gt;=8,G1430&gt;=8,H1430&gt;=8),"CHAMPION",AND(F1430&gt;=6,G1430&gt;=7,H1430&gt;=6),"LOYAL CUSTOMER",AND(F1430&gt;=6,G1430&gt;=5,H1430&gt;=5),"POTENTIAL LOYALIST",AND(F1430&gt;=8,G1430&lt;=2,H1430&gt;=5),"NEW CUSTOMERS",AND(F1430&gt;=6,G1430&lt;=2,H1430&gt;=3),"PROMISING",AND(F1430&gt;=3,G1430&gt;=3,H1430&gt;=3),"NEED ATTENTION",AND(F1430&lt;=4,G1430&gt;=6,H1430&gt;=6),"AT RISK",AND(F1430&lt;=2,G1430&gt;=8,H1430&gt;=8),"CAN'T LOSE THEM",AND(F1430&lt;=2,G1430&lt;=2,H1430&lt;=2),"HIBERNATING",TRUE(),"Other")</f>
        <v>LOYAL CUSTOMER</v>
      </c>
      <c r="K1430" s="1" t="n">
        <f aca="false">RANK(E1430,$E$7:$E$4378)+COUNTIF($E$7:E1430,E1430)-1</f>
        <v>638</v>
      </c>
    </row>
    <row r="1431" customFormat="false" ht="14.25" hidden="false" customHeight="true" outlineLevel="0" collapsed="false">
      <c r="A1431" s="51" t="n">
        <v>14264</v>
      </c>
      <c r="B1431" s="53" t="n">
        <v>40732.4305555556</v>
      </c>
      <c r="C1431" s="57" t="n">
        <f aca="false">INT($C$2)-INT(Table3[[#This Row],[Last Purchase Date]])</f>
        <v>155</v>
      </c>
      <c r="D1431" s="1" t="n">
        <v>3</v>
      </c>
      <c r="E1431" s="1" t="n">
        <v>319.47</v>
      </c>
      <c r="F1431" s="1" t="n">
        <f aca="false">ROUND((1-_xlfn.PERCENTRANK.INC($C$7:$C$4378,C1431))*9,0)</f>
        <v>2</v>
      </c>
      <c r="G1431" s="1" t="n">
        <f aca="false">ROUND(_xlfn.PERCENTRANK.INC($D$7:$D$4378,D1431)*9,0)</f>
        <v>4</v>
      </c>
      <c r="H1431" s="1" t="n">
        <f aca="false">ROUND(_xlfn.PERCENTRANK.INC($E$7:$E$4378,E1431)*9,0)</f>
        <v>3</v>
      </c>
      <c r="I1431" s="1" t="str">
        <f aca="false">CONCATENATE(F1431,G1431,H1431)</f>
        <v>243</v>
      </c>
      <c r="J1431" s="1" t="str">
        <f aca="false">_xlfn.IFS(AND(F1431&gt;=8,G1431&gt;=8,H1431&gt;=8),"CHAMPION",AND(F1431&gt;=6,G1431&gt;=7,H1431&gt;=6),"LOYAL CUSTOMER",AND(F1431&gt;=6,G1431&gt;=5,H1431&gt;=5),"POTENTIAL LOYALIST",AND(F1431&gt;=8,G1431&lt;=2,H1431&gt;=5),"NEW CUSTOMERS",AND(F1431&gt;=6,G1431&lt;=2,H1431&gt;=3),"PROMISING",AND(F1431&gt;=3,G1431&gt;=3,H1431&gt;=3),"NEED ATTENTION",AND(F1431&lt;=4,G1431&gt;=6,H1431&gt;=6),"AT RISK",AND(F1431&lt;=2,G1431&gt;=8,H1431&gt;=8),"CAN'T LOSE THEM",AND(F1431&lt;=2,G1431&lt;=2,H1431&lt;=2),"HIBERNATING",TRUE(),"Other")</f>
        <v>Other</v>
      </c>
      <c r="K1431" s="1" t="n">
        <f aca="false">RANK(E1431,$E$7:$E$4378)+COUNTIF($E$7:E1431,E1431)-1</f>
        <v>3142</v>
      </c>
    </row>
    <row r="1432" customFormat="false" ht="14.25" hidden="false" customHeight="true" outlineLevel="0" collapsed="false">
      <c r="A1432" s="51" t="n">
        <v>14265</v>
      </c>
      <c r="B1432" s="53" t="n">
        <v>40777.5638888889</v>
      </c>
      <c r="C1432" s="57" t="n">
        <f aca="false">INT($C$2)-INT(Table3[[#This Row],[Last Purchase Date]])</f>
        <v>110</v>
      </c>
      <c r="D1432" s="1" t="n">
        <v>2</v>
      </c>
      <c r="E1432" s="1" t="n">
        <v>530.18</v>
      </c>
      <c r="F1432" s="1" t="n">
        <f aca="false">ROUND((1-_xlfn.PERCENTRANK.INC($C$7:$C$4378,C1432))*9,0)</f>
        <v>3</v>
      </c>
      <c r="G1432" s="1" t="n">
        <f aca="false">ROUND(_xlfn.PERCENTRANK.INC($D$7:$D$4378,D1432)*9,0)</f>
        <v>3</v>
      </c>
      <c r="H1432" s="1" t="n">
        <f aca="false">ROUND(_xlfn.PERCENTRANK.INC($E$7:$E$4378,E1432)*9,0)</f>
        <v>4</v>
      </c>
      <c r="I1432" s="1" t="str">
        <f aca="false">CONCATENATE(F1432,G1432,H1432)</f>
        <v>334</v>
      </c>
      <c r="J1432" s="1" t="str">
        <f aca="false">_xlfn.IFS(AND(F1432&gt;=8,G1432&gt;=8,H1432&gt;=8),"CHAMPION",AND(F1432&gt;=6,G1432&gt;=7,H1432&gt;=6),"LOYAL CUSTOMER",AND(F1432&gt;=6,G1432&gt;=5,H1432&gt;=5),"POTENTIAL LOYALIST",AND(F1432&gt;=8,G1432&lt;=2,H1432&gt;=5),"NEW CUSTOMERS",AND(F1432&gt;=6,G1432&lt;=2,H1432&gt;=3),"PROMISING",AND(F1432&gt;=3,G1432&gt;=3,H1432&gt;=3),"NEED ATTENTION",AND(F1432&lt;=4,G1432&gt;=6,H1432&gt;=6),"AT RISK",AND(F1432&lt;=2,G1432&gt;=8,H1432&gt;=8),"CAN'T LOSE THEM",AND(F1432&lt;=2,G1432&lt;=2,H1432&lt;=2),"HIBERNATING",TRUE(),"Other")</f>
        <v>NEED ATTENTION</v>
      </c>
      <c r="K1432" s="1" t="n">
        <f aca="false">RANK(E1432,$E$7:$E$4378)+COUNTIF($E$7:E1432,E1432)-1</f>
        <v>2479</v>
      </c>
    </row>
    <row r="1433" customFormat="false" ht="14.25" hidden="false" customHeight="true" outlineLevel="0" collapsed="false">
      <c r="A1433" s="51" t="n">
        <v>14267</v>
      </c>
      <c r="B1433" s="53" t="n">
        <v>40736.4659722222</v>
      </c>
      <c r="C1433" s="57" t="n">
        <f aca="false">INT($C$2)-INT(Table3[[#This Row],[Last Purchase Date]])</f>
        <v>151</v>
      </c>
      <c r="D1433" s="1" t="n">
        <v>7</v>
      </c>
      <c r="E1433" s="1" t="n">
        <v>1279.09</v>
      </c>
      <c r="F1433" s="1" t="n">
        <f aca="false">ROUND((1-_xlfn.PERCENTRANK.INC($C$7:$C$4378,C1433))*9,0)</f>
        <v>2</v>
      </c>
      <c r="G1433" s="1" t="n">
        <f aca="false">ROUND(_xlfn.PERCENTRANK.INC($D$7:$D$4378,D1433)*9,0)</f>
        <v>7</v>
      </c>
      <c r="H1433" s="1" t="n">
        <f aca="false">ROUND(_xlfn.PERCENTRANK.INC($E$7:$E$4378,E1433)*9,0)</f>
        <v>6</v>
      </c>
      <c r="I1433" s="1" t="str">
        <f aca="false">CONCATENATE(F1433,G1433,H1433)</f>
        <v>276</v>
      </c>
      <c r="J1433" s="1" t="str">
        <f aca="false">_xlfn.IFS(AND(F1433&gt;=8,G1433&gt;=8,H1433&gt;=8),"CHAMPION",AND(F1433&gt;=6,G1433&gt;=7,H1433&gt;=6),"LOYAL CUSTOMER",AND(F1433&gt;=6,G1433&gt;=5,H1433&gt;=5),"POTENTIAL LOYALIST",AND(F1433&gt;=8,G1433&lt;=2,H1433&gt;=5),"NEW CUSTOMERS",AND(F1433&gt;=6,G1433&lt;=2,H1433&gt;=3),"PROMISING",AND(F1433&gt;=3,G1433&gt;=3,H1433&gt;=3),"NEED ATTENTION",AND(F1433&lt;=4,G1433&gt;=6,H1433&gt;=6),"AT RISK",AND(F1433&lt;=2,G1433&gt;=8,H1433&gt;=8),"CAN'T LOSE THEM",AND(F1433&lt;=2,G1433&lt;=2,H1433&lt;=2),"HIBERNATING",TRUE(),"Other")</f>
        <v>AT RISK</v>
      </c>
      <c r="K1433" s="1" t="n">
        <f aca="false">RANK(E1433,$E$7:$E$4378)+COUNTIF($E$7:E1433,E1433)-1</f>
        <v>1345</v>
      </c>
    </row>
    <row r="1434" customFormat="false" ht="14.25" hidden="false" customHeight="true" outlineLevel="0" collapsed="false">
      <c r="A1434" s="51" t="n">
        <v>14270</v>
      </c>
      <c r="B1434" s="53" t="n">
        <v>40555.3979166667</v>
      </c>
      <c r="C1434" s="57" t="n">
        <f aca="false">INT($C$2)-INT(Table3[[#This Row],[Last Purchase Date]])</f>
        <v>332</v>
      </c>
      <c r="D1434" s="1" t="n">
        <v>1</v>
      </c>
      <c r="E1434" s="1" t="n">
        <v>492.65</v>
      </c>
      <c r="F1434" s="1" t="n">
        <f aca="false">ROUND((1-_xlfn.PERCENTRANK.INC($C$7:$C$4378,C1434))*9,0)</f>
        <v>0</v>
      </c>
      <c r="G1434" s="1" t="n">
        <f aca="false">ROUND(_xlfn.PERCENTRANK.INC($D$7:$D$4378,D1434)*9,0)</f>
        <v>0</v>
      </c>
      <c r="H1434" s="1" t="n">
        <f aca="false">ROUND(_xlfn.PERCENTRANK.INC($E$7:$E$4378,E1434)*9,0)</f>
        <v>4</v>
      </c>
      <c r="I1434" s="1" t="str">
        <f aca="false">CONCATENATE(F1434,G1434,H1434)</f>
        <v>004</v>
      </c>
      <c r="J1434" s="1" t="str">
        <f aca="false">_xlfn.IFS(AND(F1434&gt;=8,G1434&gt;=8,H1434&gt;=8),"CHAMPION",AND(F1434&gt;=6,G1434&gt;=7,H1434&gt;=6),"LOYAL CUSTOMER",AND(F1434&gt;=6,G1434&gt;=5,H1434&gt;=5),"POTENTIAL LOYALIST",AND(F1434&gt;=8,G1434&lt;=2,H1434&gt;=5),"NEW CUSTOMERS",AND(F1434&gt;=6,G1434&lt;=2,H1434&gt;=3),"PROMISING",AND(F1434&gt;=3,G1434&gt;=3,H1434&gt;=3),"NEED ATTENTION",AND(F1434&lt;=4,G1434&gt;=6,H1434&gt;=6),"AT RISK",AND(F1434&lt;=2,G1434&gt;=8,H1434&gt;=8),"CAN'T LOSE THEM",AND(F1434&lt;=2,G1434&lt;=2,H1434&lt;=2),"HIBERNATING",TRUE(),"Other")</f>
        <v>Other</v>
      </c>
      <c r="K1434" s="1" t="n">
        <f aca="false">RANK(E1434,$E$7:$E$4378)+COUNTIF($E$7:E1434,E1434)-1</f>
        <v>2562</v>
      </c>
    </row>
    <row r="1435" customFormat="false" ht="14.25" hidden="false" customHeight="true" outlineLevel="0" collapsed="false">
      <c r="A1435" s="51" t="n">
        <v>14271</v>
      </c>
      <c r="B1435" s="53" t="n">
        <v>40661.5326388889</v>
      </c>
      <c r="C1435" s="57" t="n">
        <f aca="false">INT($C$2)-INT(Table3[[#This Row],[Last Purchase Date]])</f>
        <v>226</v>
      </c>
      <c r="D1435" s="1" t="n">
        <v>1</v>
      </c>
      <c r="E1435" s="1" t="n">
        <v>112.32</v>
      </c>
      <c r="F1435" s="1" t="n">
        <f aca="false">ROUND((1-_xlfn.PERCENTRANK.INC($C$7:$C$4378,C1435))*9,0)</f>
        <v>1</v>
      </c>
      <c r="G1435" s="1" t="n">
        <f aca="false">ROUND(_xlfn.PERCENTRANK.INC($D$7:$D$4378,D1435)*9,0)</f>
        <v>0</v>
      </c>
      <c r="H1435" s="1" t="n">
        <f aca="false">ROUND(_xlfn.PERCENTRANK.INC($E$7:$E$4378,E1435)*9,0)</f>
        <v>1</v>
      </c>
      <c r="I1435" s="1" t="str">
        <f aca="false">CONCATENATE(F1435,G1435,H1435)</f>
        <v>101</v>
      </c>
      <c r="J1435" s="1" t="str">
        <f aca="false">_xlfn.IFS(AND(F1435&gt;=8,G1435&gt;=8,H1435&gt;=8),"CHAMPION",AND(F1435&gt;=6,G1435&gt;=7,H1435&gt;=6),"LOYAL CUSTOMER",AND(F1435&gt;=6,G1435&gt;=5,H1435&gt;=5),"POTENTIAL LOYALIST",AND(F1435&gt;=8,G1435&lt;=2,H1435&gt;=5),"NEW CUSTOMERS",AND(F1435&gt;=6,G1435&lt;=2,H1435&gt;=3),"PROMISING",AND(F1435&gt;=3,G1435&gt;=3,H1435&gt;=3),"NEED ATTENTION",AND(F1435&lt;=4,G1435&gt;=6,H1435&gt;=6),"AT RISK",AND(F1435&lt;=2,G1435&gt;=8,H1435&gt;=8),"CAN'T LOSE THEM",AND(F1435&lt;=2,G1435&lt;=2,H1435&lt;=2),"HIBERNATING",TRUE(),"Other")</f>
        <v>HIBERNATING</v>
      </c>
      <c r="K1435" s="1" t="n">
        <f aca="false">RANK(E1435,$E$7:$E$4378)+COUNTIF($E$7:E1435,E1435)-1</f>
        <v>4098</v>
      </c>
    </row>
    <row r="1436" customFormat="false" ht="14.25" hidden="false" customHeight="true" outlineLevel="0" collapsed="false">
      <c r="A1436" s="51" t="n">
        <v>14272</v>
      </c>
      <c r="B1436" s="53" t="n">
        <v>40813.4222222222</v>
      </c>
      <c r="C1436" s="57" t="n">
        <f aca="false">INT($C$2)-INT(Table3[[#This Row],[Last Purchase Date]])</f>
        <v>74</v>
      </c>
      <c r="D1436" s="1" t="n">
        <v>2</v>
      </c>
      <c r="E1436" s="1" t="n">
        <v>437.96</v>
      </c>
      <c r="F1436" s="1" t="n">
        <f aca="false">ROUND((1-_xlfn.PERCENTRANK.INC($C$7:$C$4378,C1436))*9,0)</f>
        <v>3</v>
      </c>
      <c r="G1436" s="1" t="n">
        <f aca="false">ROUND(_xlfn.PERCENTRANK.INC($D$7:$D$4378,D1436)*9,0)</f>
        <v>3</v>
      </c>
      <c r="H1436" s="1" t="n">
        <f aca="false">ROUND(_xlfn.PERCENTRANK.INC($E$7:$E$4378,E1436)*9,0)</f>
        <v>3</v>
      </c>
      <c r="I1436" s="1" t="str">
        <f aca="false">CONCATENATE(F1436,G1436,H1436)</f>
        <v>333</v>
      </c>
      <c r="J1436" s="1" t="str">
        <f aca="false">_xlfn.IFS(AND(F1436&gt;=8,G1436&gt;=8,H1436&gt;=8),"CHAMPION",AND(F1436&gt;=6,G1436&gt;=7,H1436&gt;=6),"LOYAL CUSTOMER",AND(F1436&gt;=6,G1436&gt;=5,H1436&gt;=5),"POTENTIAL LOYALIST",AND(F1436&gt;=8,G1436&lt;=2,H1436&gt;=5),"NEW CUSTOMERS",AND(F1436&gt;=6,G1436&lt;=2,H1436&gt;=3),"PROMISING",AND(F1436&gt;=3,G1436&gt;=3,H1436&gt;=3),"NEED ATTENTION",AND(F1436&lt;=4,G1436&gt;=6,H1436&gt;=6),"AT RISK",AND(F1436&lt;=2,G1436&gt;=8,H1436&gt;=8),"CAN'T LOSE THEM",AND(F1436&lt;=2,G1436&lt;=2,H1436&lt;=2),"HIBERNATING",TRUE(),"Other")</f>
        <v>NEED ATTENTION</v>
      </c>
      <c r="K1436" s="1" t="n">
        <f aca="false">RANK(E1436,$E$7:$E$4378)+COUNTIF($E$7:E1436,E1436)-1</f>
        <v>2702</v>
      </c>
    </row>
    <row r="1437" customFormat="false" ht="14.25" hidden="false" customHeight="true" outlineLevel="0" collapsed="false">
      <c r="A1437" s="51" t="n">
        <v>14273</v>
      </c>
      <c r="B1437" s="53" t="n">
        <v>40835.5555555556</v>
      </c>
      <c r="C1437" s="57" t="n">
        <f aca="false">INT($C$2)-INT(Table3[[#This Row],[Last Purchase Date]])</f>
        <v>52</v>
      </c>
      <c r="D1437" s="1" t="n">
        <v>4</v>
      </c>
      <c r="E1437" s="1" t="n">
        <v>559.97</v>
      </c>
      <c r="F1437" s="1" t="n">
        <f aca="false">ROUND((1-_xlfn.PERCENTRANK.INC($C$7:$C$4378,C1437))*9,0)</f>
        <v>4</v>
      </c>
      <c r="G1437" s="1" t="n">
        <f aca="false">ROUND(_xlfn.PERCENTRANK.INC($D$7:$D$4378,D1437)*9,0)</f>
        <v>5</v>
      </c>
      <c r="H1437" s="1" t="n">
        <f aca="false">ROUND(_xlfn.PERCENTRANK.INC($E$7:$E$4378,E1437)*9,0)</f>
        <v>4</v>
      </c>
      <c r="I1437" s="1" t="str">
        <f aca="false">CONCATENATE(F1437,G1437,H1437)</f>
        <v>454</v>
      </c>
      <c r="J1437" s="1" t="str">
        <f aca="false">_xlfn.IFS(AND(F1437&gt;=8,G1437&gt;=8,H1437&gt;=8),"CHAMPION",AND(F1437&gt;=6,G1437&gt;=7,H1437&gt;=6),"LOYAL CUSTOMER",AND(F1437&gt;=6,G1437&gt;=5,H1437&gt;=5),"POTENTIAL LOYALIST",AND(F1437&gt;=8,G1437&lt;=2,H1437&gt;=5),"NEW CUSTOMERS",AND(F1437&gt;=6,G1437&lt;=2,H1437&gt;=3),"PROMISING",AND(F1437&gt;=3,G1437&gt;=3,H1437&gt;=3),"NEED ATTENTION",AND(F1437&lt;=4,G1437&gt;=6,H1437&gt;=6),"AT RISK",AND(F1437&lt;=2,G1437&gt;=8,H1437&gt;=8),"CAN'T LOSE THEM",AND(F1437&lt;=2,G1437&lt;=2,H1437&lt;=2),"HIBERNATING",TRUE(),"Other")</f>
        <v>NEED ATTENTION</v>
      </c>
      <c r="K1437" s="1" t="n">
        <f aca="false">RANK(E1437,$E$7:$E$4378)+COUNTIF($E$7:E1437,E1437)-1</f>
        <v>2406</v>
      </c>
    </row>
    <row r="1438" customFormat="false" ht="14.25" hidden="false" customHeight="true" outlineLevel="0" collapsed="false">
      <c r="A1438" s="51" t="n">
        <v>14276</v>
      </c>
      <c r="B1438" s="53" t="n">
        <v>40798.7423611111</v>
      </c>
      <c r="C1438" s="57" t="n">
        <f aca="false">INT($C$2)-INT(Table3[[#This Row],[Last Purchase Date]])</f>
        <v>89</v>
      </c>
      <c r="D1438" s="1" t="n">
        <v>5</v>
      </c>
      <c r="E1438" s="1" t="n">
        <v>1019.39</v>
      </c>
      <c r="F1438" s="1" t="n">
        <f aca="false">ROUND((1-_xlfn.PERCENTRANK.INC($C$7:$C$4378,C1438))*9,0)</f>
        <v>3</v>
      </c>
      <c r="G1438" s="1" t="n">
        <f aca="false">ROUND(_xlfn.PERCENTRANK.INC($D$7:$D$4378,D1438)*9,0)</f>
        <v>6</v>
      </c>
      <c r="H1438" s="1" t="n">
        <f aca="false">ROUND(_xlfn.PERCENTRANK.INC($E$7:$E$4378,E1438)*9,0)</f>
        <v>6</v>
      </c>
      <c r="I1438" s="1" t="str">
        <f aca="false">CONCATENATE(F1438,G1438,H1438)</f>
        <v>366</v>
      </c>
      <c r="J1438" s="1" t="str">
        <f aca="false">_xlfn.IFS(AND(F1438&gt;=8,G1438&gt;=8,H1438&gt;=8),"CHAMPION",AND(F1438&gt;=6,G1438&gt;=7,H1438&gt;=6),"LOYAL CUSTOMER",AND(F1438&gt;=6,G1438&gt;=5,H1438&gt;=5),"POTENTIAL LOYALIST",AND(F1438&gt;=8,G1438&lt;=2,H1438&gt;=5),"NEW CUSTOMERS",AND(F1438&gt;=6,G1438&lt;=2,H1438&gt;=3),"PROMISING",AND(F1438&gt;=3,G1438&gt;=3,H1438&gt;=3),"NEED ATTENTION",AND(F1438&lt;=4,G1438&gt;=6,H1438&gt;=6),"AT RISK",AND(F1438&lt;=2,G1438&gt;=8,H1438&gt;=8),"CAN'T LOSE THEM",AND(F1438&lt;=2,G1438&lt;=2,H1438&lt;=2),"HIBERNATING",TRUE(),"Other")</f>
        <v>NEED ATTENTION</v>
      </c>
      <c r="K1438" s="1" t="n">
        <f aca="false">RANK(E1438,$E$7:$E$4378)+COUNTIF($E$7:E1438,E1438)-1</f>
        <v>1607</v>
      </c>
    </row>
    <row r="1439" customFormat="false" ht="14.25" hidden="false" customHeight="true" outlineLevel="0" collapsed="false">
      <c r="A1439" s="51" t="n">
        <v>14277</v>
      </c>
      <c r="B1439" s="53" t="n">
        <v>40871.6256944445</v>
      </c>
      <c r="C1439" s="57" t="n">
        <f aca="false">INT($C$2)-INT(Table3[[#This Row],[Last Purchase Date]])</f>
        <v>16</v>
      </c>
      <c r="D1439" s="1" t="n">
        <v>4</v>
      </c>
      <c r="E1439" s="1" t="n">
        <v>3957</v>
      </c>
      <c r="F1439" s="1" t="n">
        <f aca="false">ROUND((1-_xlfn.PERCENTRANK.INC($C$7:$C$4378,C1439))*9,0)</f>
        <v>7</v>
      </c>
      <c r="G1439" s="1" t="n">
        <f aca="false">ROUND(_xlfn.PERCENTRANK.INC($D$7:$D$4378,D1439)*9,0)</f>
        <v>5</v>
      </c>
      <c r="H1439" s="1" t="n">
        <f aca="false">ROUND(_xlfn.PERCENTRANK.INC($E$7:$E$4378,E1439)*9,0)</f>
        <v>8</v>
      </c>
      <c r="I1439" s="1" t="str">
        <f aca="false">CONCATENATE(F1439,G1439,H1439)</f>
        <v>758</v>
      </c>
      <c r="J1439" s="1" t="str">
        <f aca="false">_xlfn.IFS(AND(F1439&gt;=8,G1439&gt;=8,H1439&gt;=8),"CHAMPION",AND(F1439&gt;=6,G1439&gt;=7,H1439&gt;=6),"LOYAL CUSTOMER",AND(F1439&gt;=6,G1439&gt;=5,H1439&gt;=5),"POTENTIAL LOYALIST",AND(F1439&gt;=8,G1439&lt;=2,H1439&gt;=5),"NEW CUSTOMERS",AND(F1439&gt;=6,G1439&lt;=2,H1439&gt;=3),"PROMISING",AND(F1439&gt;=3,G1439&gt;=3,H1439&gt;=3),"NEED ATTENTION",AND(F1439&lt;=4,G1439&gt;=6,H1439&gt;=6),"AT RISK",AND(F1439&lt;=2,G1439&gt;=8,H1439&gt;=8),"CAN'T LOSE THEM",AND(F1439&lt;=2,G1439&lt;=2,H1439&lt;=2),"HIBERNATING",TRUE(),"Other")</f>
        <v>POTENTIAL LOYALIST</v>
      </c>
      <c r="K1439" s="1" t="n">
        <f aca="false">RANK(E1439,$E$7:$E$4378)+COUNTIF($E$7:E1439,E1439)-1</f>
        <v>362</v>
      </c>
    </row>
    <row r="1440" customFormat="false" ht="14.25" hidden="false" customHeight="true" outlineLevel="0" collapsed="false">
      <c r="A1440" s="51" t="n">
        <v>14280</v>
      </c>
      <c r="B1440" s="53" t="n">
        <v>40690.4423611111</v>
      </c>
      <c r="C1440" s="57" t="n">
        <f aca="false">INT($C$2)-INT(Table3[[#This Row],[Last Purchase Date]])</f>
        <v>197</v>
      </c>
      <c r="D1440" s="1" t="n">
        <v>1</v>
      </c>
      <c r="E1440" s="1" t="n">
        <v>134.04</v>
      </c>
      <c r="F1440" s="1" t="n">
        <f aca="false">ROUND((1-_xlfn.PERCENTRANK.INC($C$7:$C$4378,C1440))*9,0)</f>
        <v>2</v>
      </c>
      <c r="G1440" s="1" t="n">
        <f aca="false">ROUND(_xlfn.PERCENTRANK.INC($D$7:$D$4378,D1440)*9,0)</f>
        <v>0</v>
      </c>
      <c r="H1440" s="1" t="n">
        <f aca="false">ROUND(_xlfn.PERCENTRANK.INC($E$7:$E$4378,E1440)*9,0)</f>
        <v>1</v>
      </c>
      <c r="I1440" s="1" t="str">
        <f aca="false">CONCATENATE(F1440,G1440,H1440)</f>
        <v>201</v>
      </c>
      <c r="J1440" s="1" t="str">
        <f aca="false">_xlfn.IFS(AND(F1440&gt;=8,G1440&gt;=8,H1440&gt;=8),"CHAMPION",AND(F1440&gt;=6,G1440&gt;=7,H1440&gt;=6),"LOYAL CUSTOMER",AND(F1440&gt;=6,G1440&gt;=5,H1440&gt;=5),"POTENTIAL LOYALIST",AND(F1440&gt;=8,G1440&lt;=2,H1440&gt;=5),"NEW CUSTOMERS",AND(F1440&gt;=6,G1440&lt;=2,H1440&gt;=3),"PROMISING",AND(F1440&gt;=3,G1440&gt;=3,H1440&gt;=3),"NEED ATTENTION",AND(F1440&lt;=4,G1440&gt;=6,H1440&gt;=6),"AT RISK",AND(F1440&lt;=2,G1440&gt;=8,H1440&gt;=8),"CAN'T LOSE THEM",AND(F1440&lt;=2,G1440&lt;=2,H1440&lt;=2),"HIBERNATING",TRUE(),"Other")</f>
        <v>HIBERNATING</v>
      </c>
      <c r="K1440" s="1" t="n">
        <f aca="false">RANK(E1440,$E$7:$E$4378)+COUNTIF($E$7:E1440,E1440)-1</f>
        <v>3993</v>
      </c>
    </row>
    <row r="1441" customFormat="false" ht="14.25" hidden="false" customHeight="true" outlineLevel="0" collapsed="false">
      <c r="A1441" s="51" t="n">
        <v>14282</v>
      </c>
      <c r="B1441" s="53" t="n">
        <v>40883.7111111111</v>
      </c>
      <c r="C1441" s="57" t="n">
        <f aca="false">INT($C$2)-INT(Table3[[#This Row],[Last Purchase Date]])</f>
        <v>4</v>
      </c>
      <c r="D1441" s="1" t="n">
        <v>15</v>
      </c>
      <c r="E1441" s="1" t="n">
        <v>3729.34</v>
      </c>
      <c r="F1441" s="1" t="n">
        <f aca="false">ROUND((1-_xlfn.PERCENTRANK.INC($C$7:$C$4378,C1441))*9,0)</f>
        <v>8</v>
      </c>
      <c r="G1441" s="1" t="n">
        <f aca="false">ROUND(_xlfn.PERCENTRANK.INC($D$7:$D$4378,D1441)*9,0)</f>
        <v>8</v>
      </c>
      <c r="H1441" s="1" t="n">
        <f aca="false">ROUND(_xlfn.PERCENTRANK.INC($E$7:$E$4378,E1441)*9,0)</f>
        <v>8</v>
      </c>
      <c r="I1441" s="1" t="str">
        <f aca="false">CONCATENATE(F1441,G1441,H1441)</f>
        <v>888</v>
      </c>
      <c r="J1441" s="1" t="str">
        <f aca="false">_xlfn.IFS(AND(F1441&gt;=8,G1441&gt;=8,H1441&gt;=8),"CHAMPION",AND(F1441&gt;=6,G1441&gt;=7,H1441&gt;=6),"LOYAL CUSTOMER",AND(F1441&gt;=6,G1441&gt;=5,H1441&gt;=5),"POTENTIAL LOYALIST",AND(F1441&gt;=8,G1441&lt;=2,H1441&gt;=5),"NEW CUSTOMERS",AND(F1441&gt;=6,G1441&lt;=2,H1441&gt;=3),"PROMISING",AND(F1441&gt;=3,G1441&gt;=3,H1441&gt;=3),"NEED ATTENTION",AND(F1441&lt;=4,G1441&gt;=6,H1441&gt;=6),"AT RISK",AND(F1441&lt;=2,G1441&gt;=8,H1441&gt;=8),"CAN'T LOSE THEM",AND(F1441&lt;=2,G1441&lt;=2,H1441&lt;=2),"HIBERNATING",TRUE(),"Other")</f>
        <v>CHAMPION</v>
      </c>
      <c r="K1441" s="1" t="n">
        <f aca="false">RANK(E1441,$E$7:$E$4378)+COUNTIF($E$7:E1441,E1441)-1</f>
        <v>399</v>
      </c>
    </row>
    <row r="1442" customFormat="false" ht="14.25" hidden="false" customHeight="true" outlineLevel="0" collapsed="false">
      <c r="A1442" s="51" t="n">
        <v>14284</v>
      </c>
      <c r="B1442" s="53" t="n">
        <v>40856.3409722222</v>
      </c>
      <c r="C1442" s="57" t="n">
        <f aca="false">INT($C$2)-INT(Table3[[#This Row],[Last Purchase Date]])</f>
        <v>31</v>
      </c>
      <c r="D1442" s="1" t="n">
        <v>3</v>
      </c>
      <c r="E1442" s="1" t="n">
        <v>578.45</v>
      </c>
      <c r="F1442" s="1" t="n">
        <f aca="false">ROUND((1-_xlfn.PERCENTRANK.INC($C$7:$C$4378,C1442))*9,0)</f>
        <v>6</v>
      </c>
      <c r="G1442" s="1" t="n">
        <f aca="false">ROUND(_xlfn.PERCENTRANK.INC($D$7:$D$4378,D1442)*9,0)</f>
        <v>4</v>
      </c>
      <c r="H1442" s="1" t="n">
        <f aca="false">ROUND(_xlfn.PERCENTRANK.INC($E$7:$E$4378,E1442)*9,0)</f>
        <v>4</v>
      </c>
      <c r="I1442" s="1" t="str">
        <f aca="false">CONCATENATE(F1442,G1442,H1442)</f>
        <v>644</v>
      </c>
      <c r="J1442" s="1" t="str">
        <f aca="false">_xlfn.IFS(AND(F1442&gt;=8,G1442&gt;=8,H1442&gt;=8),"CHAMPION",AND(F1442&gt;=6,G1442&gt;=7,H1442&gt;=6),"LOYAL CUSTOMER",AND(F1442&gt;=6,G1442&gt;=5,H1442&gt;=5),"POTENTIAL LOYALIST",AND(F1442&gt;=8,G1442&lt;=2,H1442&gt;=5),"NEW CUSTOMERS",AND(F1442&gt;=6,G1442&lt;=2,H1442&gt;=3),"PROMISING",AND(F1442&gt;=3,G1442&gt;=3,H1442&gt;=3),"NEED ATTENTION",AND(F1442&lt;=4,G1442&gt;=6,H1442&gt;=6),"AT RISK",AND(F1442&lt;=2,G1442&gt;=8,H1442&gt;=8),"CAN'T LOSE THEM",AND(F1442&lt;=2,G1442&lt;=2,H1442&lt;=2),"HIBERNATING",TRUE(),"Other")</f>
        <v>NEED ATTENTION</v>
      </c>
      <c r="K1442" s="1" t="n">
        <f aca="false">RANK(E1442,$E$7:$E$4378)+COUNTIF($E$7:E1442,E1442)-1</f>
        <v>2376</v>
      </c>
    </row>
    <row r="1443" customFormat="false" ht="14.25" hidden="false" customHeight="true" outlineLevel="0" collapsed="false">
      <c r="A1443" s="51" t="n">
        <v>14285</v>
      </c>
      <c r="B1443" s="53" t="n">
        <v>40865.6180555556</v>
      </c>
      <c r="C1443" s="57" t="n">
        <f aca="false">INT($C$2)-INT(Table3[[#This Row],[Last Purchase Date]])</f>
        <v>22</v>
      </c>
      <c r="D1443" s="1" t="n">
        <v>4</v>
      </c>
      <c r="E1443" s="1" t="n">
        <v>1910.01</v>
      </c>
      <c r="F1443" s="1" t="n">
        <f aca="false">ROUND((1-_xlfn.PERCENTRANK.INC($C$7:$C$4378,C1443))*9,0)</f>
        <v>6</v>
      </c>
      <c r="G1443" s="1" t="n">
        <f aca="false">ROUND(_xlfn.PERCENTRANK.INC($D$7:$D$4378,D1443)*9,0)</f>
        <v>5</v>
      </c>
      <c r="H1443" s="1" t="n">
        <f aca="false">ROUND(_xlfn.PERCENTRANK.INC($E$7:$E$4378,E1443)*9,0)</f>
        <v>7</v>
      </c>
      <c r="I1443" s="1" t="str">
        <f aca="false">CONCATENATE(F1443,G1443,H1443)</f>
        <v>657</v>
      </c>
      <c r="J1443" s="1" t="str">
        <f aca="false">_xlfn.IFS(AND(F1443&gt;=8,G1443&gt;=8,H1443&gt;=8),"CHAMPION",AND(F1443&gt;=6,G1443&gt;=7,H1443&gt;=6),"LOYAL CUSTOMER",AND(F1443&gt;=6,G1443&gt;=5,H1443&gt;=5),"POTENTIAL LOYALIST",AND(F1443&gt;=8,G1443&lt;=2,H1443&gt;=5),"NEW CUSTOMERS",AND(F1443&gt;=6,G1443&lt;=2,H1443&gt;=3),"PROMISING",AND(F1443&gt;=3,G1443&gt;=3,H1443&gt;=3),"NEED ATTENTION",AND(F1443&lt;=4,G1443&gt;=6,H1443&gt;=6),"AT RISK",AND(F1443&lt;=2,G1443&gt;=8,H1443&gt;=8),"CAN'T LOSE THEM",AND(F1443&lt;=2,G1443&lt;=2,H1443&lt;=2),"HIBERNATING",TRUE(),"Other")</f>
        <v>POTENTIAL LOYALIST</v>
      </c>
      <c r="K1443" s="1" t="n">
        <f aca="false">RANK(E1443,$E$7:$E$4378)+COUNTIF($E$7:E1443,E1443)-1</f>
        <v>912</v>
      </c>
    </row>
    <row r="1444" customFormat="false" ht="14.25" hidden="false" customHeight="true" outlineLevel="0" collapsed="false">
      <c r="A1444" s="51" t="n">
        <v>14286</v>
      </c>
      <c r="B1444" s="53" t="n">
        <v>40863.4402777778</v>
      </c>
      <c r="C1444" s="57" t="n">
        <f aca="false">INT($C$2)-INT(Table3[[#This Row],[Last Purchase Date]])</f>
        <v>24</v>
      </c>
      <c r="D1444" s="1" t="n">
        <v>5</v>
      </c>
      <c r="E1444" s="1" t="n">
        <v>4595.81</v>
      </c>
      <c r="F1444" s="1" t="n">
        <f aca="false">ROUND((1-_xlfn.PERCENTRANK.INC($C$7:$C$4378,C1444))*9,0)</f>
        <v>6</v>
      </c>
      <c r="G1444" s="1" t="n">
        <f aca="false">ROUND(_xlfn.PERCENTRANK.INC($D$7:$D$4378,D1444)*9,0)</f>
        <v>6</v>
      </c>
      <c r="H1444" s="1" t="n">
        <f aca="false">ROUND(_xlfn.PERCENTRANK.INC($E$7:$E$4378,E1444)*9,0)</f>
        <v>8</v>
      </c>
      <c r="I1444" s="1" t="str">
        <f aca="false">CONCATENATE(F1444,G1444,H1444)</f>
        <v>668</v>
      </c>
      <c r="J1444" s="1" t="str">
        <f aca="false">_xlfn.IFS(AND(F1444&gt;=8,G1444&gt;=8,H1444&gt;=8),"CHAMPION",AND(F1444&gt;=6,G1444&gt;=7,H1444&gt;=6),"LOYAL CUSTOMER",AND(F1444&gt;=6,G1444&gt;=5,H1444&gt;=5),"POTENTIAL LOYALIST",AND(F1444&gt;=8,G1444&lt;=2,H1444&gt;=5),"NEW CUSTOMERS",AND(F1444&gt;=6,G1444&lt;=2,H1444&gt;=3),"PROMISING",AND(F1444&gt;=3,G1444&gt;=3,H1444&gt;=3),"NEED ATTENTION",AND(F1444&lt;=4,G1444&gt;=6,H1444&gt;=6),"AT RISK",AND(F1444&lt;=2,G1444&gt;=8,H1444&gt;=8),"CAN'T LOSE THEM",AND(F1444&lt;=2,G1444&lt;=2,H1444&lt;=2),"HIBERNATING",TRUE(),"Other")</f>
        <v>POTENTIAL LOYALIST</v>
      </c>
      <c r="K1444" s="1" t="n">
        <f aca="false">RANK(E1444,$E$7:$E$4378)+COUNTIF($E$7:E1444,E1444)-1</f>
        <v>297</v>
      </c>
    </row>
    <row r="1445" customFormat="false" ht="14.25" hidden="false" customHeight="true" outlineLevel="0" collapsed="false">
      <c r="A1445" s="51" t="n">
        <v>14287</v>
      </c>
      <c r="B1445" s="53" t="n">
        <v>40878.5590277778</v>
      </c>
      <c r="C1445" s="57" t="n">
        <f aca="false">INT($C$2)-INT(Table3[[#This Row],[Last Purchase Date]])</f>
        <v>9</v>
      </c>
      <c r="D1445" s="1" t="n">
        <v>4</v>
      </c>
      <c r="E1445" s="1" t="n">
        <v>151.23</v>
      </c>
      <c r="F1445" s="1" t="n">
        <f aca="false">ROUND((1-_xlfn.PERCENTRANK.INC($C$7:$C$4378,C1445))*9,0)</f>
        <v>8</v>
      </c>
      <c r="G1445" s="1" t="n">
        <f aca="false">ROUND(_xlfn.PERCENTRANK.INC($D$7:$D$4378,D1445)*9,0)</f>
        <v>5</v>
      </c>
      <c r="H1445" s="1" t="n">
        <f aca="false">ROUND(_xlfn.PERCENTRANK.INC($E$7:$E$4378,E1445)*9,0)</f>
        <v>1</v>
      </c>
      <c r="I1445" s="1" t="str">
        <f aca="false">CONCATENATE(F1445,G1445,H1445)</f>
        <v>851</v>
      </c>
      <c r="J1445" s="1" t="str">
        <f aca="false">_xlfn.IFS(AND(F1445&gt;=8,G1445&gt;=8,H1445&gt;=8),"CHAMPION",AND(F1445&gt;=6,G1445&gt;=7,H1445&gt;=6),"LOYAL CUSTOMER",AND(F1445&gt;=6,G1445&gt;=5,H1445&gt;=5),"POTENTIAL LOYALIST",AND(F1445&gt;=8,G1445&lt;=2,H1445&gt;=5),"NEW CUSTOMERS",AND(F1445&gt;=6,G1445&lt;=2,H1445&gt;=3),"PROMISING",AND(F1445&gt;=3,G1445&gt;=3,H1445&gt;=3),"NEED ATTENTION",AND(F1445&lt;=4,G1445&gt;=6,H1445&gt;=6),"AT RISK",AND(F1445&lt;=2,G1445&gt;=8,H1445&gt;=8),"CAN'T LOSE THEM",AND(F1445&lt;=2,G1445&lt;=2,H1445&lt;=2),"HIBERNATING",TRUE(),"Other")</f>
        <v>Other</v>
      </c>
      <c r="K1445" s="1" t="n">
        <f aca="false">RANK(E1445,$E$7:$E$4378)+COUNTIF($E$7:E1445,E1445)-1</f>
        <v>3915</v>
      </c>
    </row>
    <row r="1446" customFormat="false" ht="14.25" hidden="false" customHeight="true" outlineLevel="0" collapsed="false">
      <c r="A1446" s="51" t="n">
        <v>14288</v>
      </c>
      <c r="B1446" s="53" t="n">
        <v>40674.6368055556</v>
      </c>
      <c r="C1446" s="57" t="n">
        <f aca="false">INT($C$2)-INT(Table3[[#This Row],[Last Purchase Date]])</f>
        <v>213</v>
      </c>
      <c r="D1446" s="1" t="n">
        <v>2</v>
      </c>
      <c r="E1446" s="1" t="n">
        <v>413.85</v>
      </c>
      <c r="F1446" s="1" t="n">
        <f aca="false">ROUND((1-_xlfn.PERCENTRANK.INC($C$7:$C$4378,C1446))*9,0)</f>
        <v>1</v>
      </c>
      <c r="G1446" s="1" t="n">
        <f aca="false">ROUND(_xlfn.PERCENTRANK.INC($D$7:$D$4378,D1446)*9,0)</f>
        <v>3</v>
      </c>
      <c r="H1446" s="1" t="n">
        <f aca="false">ROUND(_xlfn.PERCENTRANK.INC($E$7:$E$4378,E1446)*9,0)</f>
        <v>3</v>
      </c>
      <c r="I1446" s="1" t="str">
        <f aca="false">CONCATENATE(F1446,G1446,H1446)</f>
        <v>133</v>
      </c>
      <c r="J1446" s="1" t="str">
        <f aca="false">_xlfn.IFS(AND(F1446&gt;=8,G1446&gt;=8,H1446&gt;=8),"CHAMPION",AND(F1446&gt;=6,G1446&gt;=7,H1446&gt;=6),"LOYAL CUSTOMER",AND(F1446&gt;=6,G1446&gt;=5,H1446&gt;=5),"POTENTIAL LOYALIST",AND(F1446&gt;=8,G1446&lt;=2,H1446&gt;=5),"NEW CUSTOMERS",AND(F1446&gt;=6,G1446&lt;=2,H1446&gt;=3),"PROMISING",AND(F1446&gt;=3,G1446&gt;=3,H1446&gt;=3),"NEED ATTENTION",AND(F1446&lt;=4,G1446&gt;=6,H1446&gt;=6),"AT RISK",AND(F1446&lt;=2,G1446&gt;=8,H1446&gt;=8),"CAN'T LOSE THEM",AND(F1446&lt;=2,G1446&lt;=2,H1446&lt;=2),"HIBERNATING",TRUE(),"Other")</f>
        <v>Other</v>
      </c>
      <c r="K1446" s="1" t="n">
        <f aca="false">RANK(E1446,$E$7:$E$4378)+COUNTIF($E$7:E1446,E1446)-1</f>
        <v>2776</v>
      </c>
    </row>
    <row r="1447" customFormat="false" ht="14.25" hidden="false" customHeight="true" outlineLevel="0" collapsed="false">
      <c r="A1447" s="51" t="n">
        <v>14289</v>
      </c>
      <c r="B1447" s="53" t="n">
        <v>40878.4888888889</v>
      </c>
      <c r="C1447" s="57" t="n">
        <f aca="false">INT($C$2)-INT(Table3[[#This Row],[Last Purchase Date]])</f>
        <v>9</v>
      </c>
      <c r="D1447" s="1" t="n">
        <v>6</v>
      </c>
      <c r="E1447" s="1" t="n">
        <v>911.26</v>
      </c>
      <c r="F1447" s="1" t="n">
        <f aca="false">ROUND((1-_xlfn.PERCENTRANK.INC($C$7:$C$4378,C1447))*9,0)</f>
        <v>8</v>
      </c>
      <c r="G1447" s="1" t="n">
        <f aca="false">ROUND(_xlfn.PERCENTRANK.INC($D$7:$D$4378,D1447)*9,0)</f>
        <v>7</v>
      </c>
      <c r="H1447" s="1" t="n">
        <f aca="false">ROUND(_xlfn.PERCENTRANK.INC($E$7:$E$4378,E1447)*9,0)</f>
        <v>5</v>
      </c>
      <c r="I1447" s="1" t="str">
        <f aca="false">CONCATENATE(F1447,G1447,H1447)</f>
        <v>875</v>
      </c>
      <c r="J1447" s="1" t="str">
        <f aca="false">_xlfn.IFS(AND(F1447&gt;=8,G1447&gt;=8,H1447&gt;=8),"CHAMPION",AND(F1447&gt;=6,G1447&gt;=7,H1447&gt;=6),"LOYAL CUSTOMER",AND(F1447&gt;=6,G1447&gt;=5,H1447&gt;=5),"POTENTIAL LOYALIST",AND(F1447&gt;=8,G1447&lt;=2,H1447&gt;=5),"NEW CUSTOMERS",AND(F1447&gt;=6,G1447&lt;=2,H1447&gt;=3),"PROMISING",AND(F1447&gt;=3,G1447&gt;=3,H1447&gt;=3),"NEED ATTENTION",AND(F1447&lt;=4,G1447&gt;=6,H1447&gt;=6),"AT RISK",AND(F1447&lt;=2,G1447&gt;=8,H1447&gt;=8),"CAN'T LOSE THEM",AND(F1447&lt;=2,G1447&lt;=2,H1447&lt;=2),"HIBERNATING",TRUE(),"Other")</f>
        <v>POTENTIAL LOYALIST</v>
      </c>
      <c r="K1447" s="1" t="n">
        <f aca="false">RANK(E1447,$E$7:$E$4378)+COUNTIF($E$7:E1447,E1447)-1</f>
        <v>1744</v>
      </c>
    </row>
    <row r="1448" customFormat="false" ht="14.25" hidden="false" customHeight="true" outlineLevel="0" collapsed="false">
      <c r="A1448" s="51" t="n">
        <v>14290</v>
      </c>
      <c r="B1448" s="53" t="n">
        <v>40875.5847222222</v>
      </c>
      <c r="C1448" s="57" t="n">
        <f aca="false">INT($C$2)-INT(Table3[[#This Row],[Last Purchase Date]])</f>
        <v>12</v>
      </c>
      <c r="D1448" s="1" t="n">
        <v>6</v>
      </c>
      <c r="E1448" s="1" t="n">
        <v>2307.45</v>
      </c>
      <c r="F1448" s="1" t="n">
        <f aca="false">ROUND((1-_xlfn.PERCENTRANK.INC($C$7:$C$4378,C1448))*9,0)</f>
        <v>7</v>
      </c>
      <c r="G1448" s="1" t="n">
        <f aca="false">ROUND(_xlfn.PERCENTRANK.INC($D$7:$D$4378,D1448)*9,0)</f>
        <v>7</v>
      </c>
      <c r="H1448" s="1" t="n">
        <f aca="false">ROUND(_xlfn.PERCENTRANK.INC($E$7:$E$4378,E1448)*9,0)</f>
        <v>7</v>
      </c>
      <c r="I1448" s="1" t="str">
        <f aca="false">CONCATENATE(F1448,G1448,H1448)</f>
        <v>777</v>
      </c>
      <c r="J1448" s="1" t="str">
        <f aca="false">_xlfn.IFS(AND(F1448&gt;=8,G1448&gt;=8,H1448&gt;=8),"CHAMPION",AND(F1448&gt;=6,G1448&gt;=7,H1448&gt;=6),"LOYAL CUSTOMER",AND(F1448&gt;=6,G1448&gt;=5,H1448&gt;=5),"POTENTIAL LOYALIST",AND(F1448&gt;=8,G1448&lt;=2,H1448&gt;=5),"NEW CUSTOMERS",AND(F1448&gt;=6,G1448&lt;=2,H1448&gt;=3),"PROMISING",AND(F1448&gt;=3,G1448&gt;=3,H1448&gt;=3),"NEED ATTENTION",AND(F1448&lt;=4,G1448&gt;=6,H1448&gt;=6),"AT RISK",AND(F1448&lt;=2,G1448&gt;=8,H1448&gt;=8),"CAN'T LOSE THEM",AND(F1448&lt;=2,G1448&lt;=2,H1448&lt;=2),"HIBERNATING",TRUE(),"Other")</f>
        <v>LOYAL CUSTOMER</v>
      </c>
      <c r="K1448" s="1" t="n">
        <f aca="false">RANK(E1448,$E$7:$E$4378)+COUNTIF($E$7:E1448,E1448)-1</f>
        <v>738</v>
      </c>
    </row>
    <row r="1449" customFormat="false" ht="14.25" hidden="false" customHeight="true" outlineLevel="0" collapsed="false">
      <c r="A1449" s="51" t="n">
        <v>14291</v>
      </c>
      <c r="B1449" s="53" t="n">
        <v>40885.4347222222</v>
      </c>
      <c r="C1449" s="57" t="n">
        <f aca="false">INT($C$2)-INT(Table3[[#This Row],[Last Purchase Date]])</f>
        <v>2</v>
      </c>
      <c r="D1449" s="1" t="n">
        <v>12</v>
      </c>
      <c r="E1449" s="1" t="n">
        <v>3873.3</v>
      </c>
      <c r="F1449" s="1" t="n">
        <f aca="false">ROUND((1-_xlfn.PERCENTRANK.INC($C$7:$C$4378,C1449))*9,0)</f>
        <v>9</v>
      </c>
      <c r="G1449" s="1" t="n">
        <f aca="false">ROUND(_xlfn.PERCENTRANK.INC($D$7:$D$4378,D1449)*9,0)</f>
        <v>8</v>
      </c>
      <c r="H1449" s="1" t="n">
        <f aca="false">ROUND(_xlfn.PERCENTRANK.INC($E$7:$E$4378,E1449)*9,0)</f>
        <v>8</v>
      </c>
      <c r="I1449" s="1" t="str">
        <f aca="false">CONCATENATE(F1449,G1449,H1449)</f>
        <v>988</v>
      </c>
      <c r="J1449" s="1" t="str">
        <f aca="false">_xlfn.IFS(AND(F1449&gt;=8,G1449&gt;=8,H1449&gt;=8),"CHAMPION",AND(F1449&gt;=6,G1449&gt;=7,H1449&gt;=6),"LOYAL CUSTOMER",AND(F1449&gt;=6,G1449&gt;=5,H1449&gt;=5),"POTENTIAL LOYALIST",AND(F1449&gt;=8,G1449&lt;=2,H1449&gt;=5),"NEW CUSTOMERS",AND(F1449&gt;=6,G1449&lt;=2,H1449&gt;=3),"PROMISING",AND(F1449&gt;=3,G1449&gt;=3,H1449&gt;=3),"NEED ATTENTION",AND(F1449&lt;=4,G1449&gt;=6,H1449&gt;=6),"AT RISK",AND(F1449&lt;=2,G1449&gt;=8,H1449&gt;=8),"CAN'T LOSE THEM",AND(F1449&lt;=2,G1449&lt;=2,H1449&lt;=2),"HIBERNATING",TRUE(),"Other")</f>
        <v>CHAMPION</v>
      </c>
      <c r="K1449" s="1" t="n">
        <f aca="false">RANK(E1449,$E$7:$E$4378)+COUNTIF($E$7:E1449,E1449)-1</f>
        <v>372</v>
      </c>
    </row>
    <row r="1450" customFormat="false" ht="14.25" hidden="false" customHeight="true" outlineLevel="0" collapsed="false">
      <c r="A1450" s="51" t="n">
        <v>14292</v>
      </c>
      <c r="B1450" s="53" t="n">
        <v>40879.4930555556</v>
      </c>
      <c r="C1450" s="57" t="n">
        <f aca="false">INT($C$2)-INT(Table3[[#This Row],[Last Purchase Date]])</f>
        <v>8</v>
      </c>
      <c r="D1450" s="1" t="n">
        <v>14</v>
      </c>
      <c r="E1450" s="1" t="n">
        <v>4819.33</v>
      </c>
      <c r="F1450" s="1" t="n">
        <f aca="false">ROUND((1-_xlfn.PERCENTRANK.INC($C$7:$C$4378,C1450))*9,0)</f>
        <v>8</v>
      </c>
      <c r="G1450" s="1" t="n">
        <f aca="false">ROUND(_xlfn.PERCENTRANK.INC($D$7:$D$4378,D1450)*9,0)</f>
        <v>8</v>
      </c>
      <c r="H1450" s="1" t="n">
        <f aca="false">ROUND(_xlfn.PERCENTRANK.INC($E$7:$E$4378,E1450)*9,0)</f>
        <v>8</v>
      </c>
      <c r="I1450" s="1" t="str">
        <f aca="false">CONCATENATE(F1450,G1450,H1450)</f>
        <v>888</v>
      </c>
      <c r="J1450" s="1" t="str">
        <f aca="false">_xlfn.IFS(AND(F1450&gt;=8,G1450&gt;=8,H1450&gt;=8),"CHAMPION",AND(F1450&gt;=6,G1450&gt;=7,H1450&gt;=6),"LOYAL CUSTOMER",AND(F1450&gt;=6,G1450&gt;=5,H1450&gt;=5),"POTENTIAL LOYALIST",AND(F1450&gt;=8,G1450&lt;=2,H1450&gt;=5),"NEW CUSTOMERS",AND(F1450&gt;=6,G1450&lt;=2,H1450&gt;=3),"PROMISING",AND(F1450&gt;=3,G1450&gt;=3,H1450&gt;=3),"NEED ATTENTION",AND(F1450&lt;=4,G1450&gt;=6,H1450&gt;=6),"AT RISK",AND(F1450&lt;=2,G1450&gt;=8,H1450&gt;=8),"CAN'T LOSE THEM",AND(F1450&lt;=2,G1450&lt;=2,H1450&lt;=2),"HIBERNATING",TRUE(),"Other")</f>
        <v>CHAMPION</v>
      </c>
      <c r="K1450" s="1" t="n">
        <f aca="false">RANK(E1450,$E$7:$E$4378)+COUNTIF($E$7:E1450,E1450)-1</f>
        <v>276</v>
      </c>
    </row>
    <row r="1451" customFormat="false" ht="14.25" hidden="false" customHeight="true" outlineLevel="0" collapsed="false">
      <c r="A1451" s="51" t="n">
        <v>14293</v>
      </c>
      <c r="B1451" s="53" t="n">
        <v>40883.6368055556</v>
      </c>
      <c r="C1451" s="57" t="n">
        <f aca="false">INT($C$2)-INT(Table3[[#This Row],[Last Purchase Date]])</f>
        <v>4</v>
      </c>
      <c r="D1451" s="1" t="n">
        <v>4</v>
      </c>
      <c r="E1451" s="1" t="n">
        <v>1046.56</v>
      </c>
      <c r="F1451" s="1" t="n">
        <f aca="false">ROUND((1-_xlfn.PERCENTRANK.INC($C$7:$C$4378,C1451))*9,0)</f>
        <v>8</v>
      </c>
      <c r="G1451" s="1" t="n">
        <f aca="false">ROUND(_xlfn.PERCENTRANK.INC($D$7:$D$4378,D1451)*9,0)</f>
        <v>5</v>
      </c>
      <c r="H1451" s="1" t="n">
        <f aca="false">ROUND(_xlfn.PERCENTRANK.INC($E$7:$E$4378,E1451)*9,0)</f>
        <v>6</v>
      </c>
      <c r="I1451" s="1" t="str">
        <f aca="false">CONCATENATE(F1451,G1451,H1451)</f>
        <v>856</v>
      </c>
      <c r="J1451" s="1" t="str">
        <f aca="false">_xlfn.IFS(AND(F1451&gt;=8,G1451&gt;=8,H1451&gt;=8),"CHAMPION",AND(F1451&gt;=6,G1451&gt;=7,H1451&gt;=6),"LOYAL CUSTOMER",AND(F1451&gt;=6,G1451&gt;=5,H1451&gt;=5),"POTENTIAL LOYALIST",AND(F1451&gt;=8,G1451&lt;=2,H1451&gt;=5),"NEW CUSTOMERS",AND(F1451&gt;=6,G1451&lt;=2,H1451&gt;=3),"PROMISING",AND(F1451&gt;=3,G1451&gt;=3,H1451&gt;=3),"NEED ATTENTION",AND(F1451&lt;=4,G1451&gt;=6,H1451&gt;=6),"AT RISK",AND(F1451&lt;=2,G1451&gt;=8,H1451&gt;=8),"CAN'T LOSE THEM",AND(F1451&lt;=2,G1451&lt;=2,H1451&lt;=2),"HIBERNATING",TRUE(),"Other")</f>
        <v>POTENTIAL LOYALIST</v>
      </c>
      <c r="K1451" s="1" t="n">
        <f aca="false">RANK(E1451,$E$7:$E$4378)+COUNTIF($E$7:E1451,E1451)-1</f>
        <v>1568</v>
      </c>
    </row>
    <row r="1452" customFormat="false" ht="14.25" hidden="false" customHeight="true" outlineLevel="0" collapsed="false">
      <c r="A1452" s="51" t="n">
        <v>14295</v>
      </c>
      <c r="B1452" s="53" t="n">
        <v>40846.6597222222</v>
      </c>
      <c r="C1452" s="57" t="n">
        <f aca="false">INT($C$2)-INT(Table3[[#This Row],[Last Purchase Date]])</f>
        <v>41</v>
      </c>
      <c r="D1452" s="1" t="n">
        <v>2</v>
      </c>
      <c r="E1452" s="1" t="n">
        <v>154.7</v>
      </c>
      <c r="F1452" s="1" t="n">
        <f aca="false">ROUND((1-_xlfn.PERCENTRANK.INC($C$7:$C$4378,C1452))*9,0)</f>
        <v>5</v>
      </c>
      <c r="G1452" s="1" t="n">
        <f aca="false">ROUND(_xlfn.PERCENTRANK.INC($D$7:$D$4378,D1452)*9,0)</f>
        <v>3</v>
      </c>
      <c r="H1452" s="1" t="n">
        <f aca="false">ROUND(_xlfn.PERCENTRANK.INC($E$7:$E$4378,E1452)*9,0)</f>
        <v>1</v>
      </c>
      <c r="I1452" s="1" t="str">
        <f aca="false">CONCATENATE(F1452,G1452,H1452)</f>
        <v>531</v>
      </c>
      <c r="J1452" s="1" t="str">
        <f aca="false">_xlfn.IFS(AND(F1452&gt;=8,G1452&gt;=8,H1452&gt;=8),"CHAMPION",AND(F1452&gt;=6,G1452&gt;=7,H1452&gt;=6),"LOYAL CUSTOMER",AND(F1452&gt;=6,G1452&gt;=5,H1452&gt;=5),"POTENTIAL LOYALIST",AND(F1452&gt;=8,G1452&lt;=2,H1452&gt;=5),"NEW CUSTOMERS",AND(F1452&gt;=6,G1452&lt;=2,H1452&gt;=3),"PROMISING",AND(F1452&gt;=3,G1452&gt;=3,H1452&gt;=3),"NEED ATTENTION",AND(F1452&lt;=4,G1452&gt;=6,H1452&gt;=6),"AT RISK",AND(F1452&lt;=2,G1452&gt;=8,H1452&gt;=8),"CAN'T LOSE THEM",AND(F1452&lt;=2,G1452&lt;=2,H1452&lt;=2),"HIBERNATING",TRUE(),"Other")</f>
        <v>Other</v>
      </c>
      <c r="K1452" s="1" t="n">
        <f aca="false">RANK(E1452,$E$7:$E$4378)+COUNTIF($E$7:E1452,E1452)-1</f>
        <v>3894</v>
      </c>
    </row>
    <row r="1453" customFormat="false" ht="14.25" hidden="false" customHeight="true" outlineLevel="0" collapsed="false">
      <c r="A1453" s="51" t="n">
        <v>14297</v>
      </c>
      <c r="B1453" s="53" t="n">
        <v>40869.3791666667</v>
      </c>
      <c r="C1453" s="57" t="n">
        <f aca="false">INT($C$2)-INT(Table3[[#This Row],[Last Purchase Date]])</f>
        <v>18</v>
      </c>
      <c r="D1453" s="1" t="n">
        <v>6</v>
      </c>
      <c r="E1453" s="1" t="n">
        <v>1284.06</v>
      </c>
      <c r="F1453" s="1" t="n">
        <f aca="false">ROUND((1-_xlfn.PERCENTRANK.INC($C$7:$C$4378,C1453))*9,0)</f>
        <v>7</v>
      </c>
      <c r="G1453" s="1" t="n">
        <f aca="false">ROUND(_xlfn.PERCENTRANK.INC($D$7:$D$4378,D1453)*9,0)</f>
        <v>7</v>
      </c>
      <c r="H1453" s="1" t="n">
        <f aca="false">ROUND(_xlfn.PERCENTRANK.INC($E$7:$E$4378,E1453)*9,0)</f>
        <v>6</v>
      </c>
      <c r="I1453" s="1" t="str">
        <f aca="false">CONCATENATE(F1453,G1453,H1453)</f>
        <v>776</v>
      </c>
      <c r="J1453" s="1" t="str">
        <f aca="false">_xlfn.IFS(AND(F1453&gt;=8,G1453&gt;=8,H1453&gt;=8),"CHAMPION",AND(F1453&gt;=6,G1453&gt;=7,H1453&gt;=6),"LOYAL CUSTOMER",AND(F1453&gt;=6,G1453&gt;=5,H1453&gt;=5),"POTENTIAL LOYALIST",AND(F1453&gt;=8,G1453&lt;=2,H1453&gt;=5),"NEW CUSTOMERS",AND(F1453&gt;=6,G1453&lt;=2,H1453&gt;=3),"PROMISING",AND(F1453&gt;=3,G1453&gt;=3,H1453&gt;=3),"NEED ATTENTION",AND(F1453&lt;=4,G1453&gt;=6,H1453&gt;=6),"AT RISK",AND(F1453&lt;=2,G1453&gt;=8,H1453&gt;=8),"CAN'T LOSE THEM",AND(F1453&lt;=2,G1453&lt;=2,H1453&lt;=2),"HIBERNATING",TRUE(),"Other")</f>
        <v>LOYAL CUSTOMER</v>
      </c>
      <c r="K1453" s="1" t="n">
        <f aca="false">RANK(E1453,$E$7:$E$4378)+COUNTIF($E$7:E1453,E1453)-1</f>
        <v>1340</v>
      </c>
    </row>
    <row r="1454" customFormat="false" ht="14.25" hidden="false" customHeight="true" outlineLevel="0" collapsed="false">
      <c r="A1454" s="51" t="n">
        <v>14298</v>
      </c>
      <c r="B1454" s="53" t="n">
        <v>40883.6277777778</v>
      </c>
      <c r="C1454" s="57" t="n">
        <f aca="false">INT($C$2)-INT(Table3[[#This Row],[Last Purchase Date]])</f>
        <v>4</v>
      </c>
      <c r="D1454" s="1" t="n">
        <v>45</v>
      </c>
      <c r="E1454" s="1" t="n">
        <v>50862.4400000001</v>
      </c>
      <c r="F1454" s="1" t="n">
        <f aca="false">ROUND((1-_xlfn.PERCENTRANK.INC($C$7:$C$4378,C1454))*9,0)</f>
        <v>8</v>
      </c>
      <c r="G1454" s="1" t="n">
        <f aca="false">ROUND(_xlfn.PERCENTRANK.INC($D$7:$D$4378,D1454)*9,0)</f>
        <v>9</v>
      </c>
      <c r="H1454" s="1" t="n">
        <f aca="false">ROUND(_xlfn.PERCENTRANK.INC($E$7:$E$4378,E1454)*9,0)</f>
        <v>9</v>
      </c>
      <c r="I1454" s="1" t="str">
        <f aca="false">CONCATENATE(F1454,G1454,H1454)</f>
        <v>899</v>
      </c>
      <c r="J1454" s="1" t="str">
        <f aca="false">_xlfn.IFS(AND(F1454&gt;=8,G1454&gt;=8,H1454&gt;=8),"CHAMPION",AND(F1454&gt;=6,G1454&gt;=7,H1454&gt;=6),"LOYAL CUSTOMER",AND(F1454&gt;=6,G1454&gt;=5,H1454&gt;=5),"POTENTIAL LOYALIST",AND(F1454&gt;=8,G1454&lt;=2,H1454&gt;=5),"NEW CUSTOMERS",AND(F1454&gt;=6,G1454&lt;=2,H1454&gt;=3),"PROMISING",AND(F1454&gt;=3,G1454&gt;=3,H1454&gt;=3),"NEED ATTENTION",AND(F1454&lt;=4,G1454&gt;=6,H1454&gt;=6),"AT RISK",AND(F1454&lt;=2,G1454&gt;=8,H1454&gt;=8),"CAN'T LOSE THEM",AND(F1454&lt;=2,G1454&lt;=2,H1454&lt;=2),"HIBERNATING",TRUE(),"Other")</f>
        <v>CHAMPION</v>
      </c>
      <c r="K1454" s="1" t="n">
        <f aca="false">RANK(E1454,$E$7:$E$4378)+COUNTIF($E$7:E1454,E1454)-1</f>
        <v>17</v>
      </c>
    </row>
    <row r="1455" customFormat="false" ht="14.25" hidden="false" customHeight="true" outlineLevel="0" collapsed="false">
      <c r="A1455" s="51" t="n">
        <v>14299</v>
      </c>
      <c r="B1455" s="53" t="n">
        <v>40878.6701388889</v>
      </c>
      <c r="C1455" s="57" t="n">
        <f aca="false">INT($C$2)-INT(Table3[[#This Row],[Last Purchase Date]])</f>
        <v>9</v>
      </c>
      <c r="D1455" s="1" t="n">
        <v>18</v>
      </c>
      <c r="E1455" s="1" t="n">
        <v>2855.35</v>
      </c>
      <c r="F1455" s="1" t="n">
        <f aca="false">ROUND((1-_xlfn.PERCENTRANK.INC($C$7:$C$4378,C1455))*9,0)</f>
        <v>8</v>
      </c>
      <c r="G1455" s="1" t="n">
        <f aca="false">ROUND(_xlfn.PERCENTRANK.INC($D$7:$D$4378,D1455)*9,0)</f>
        <v>9</v>
      </c>
      <c r="H1455" s="1" t="n">
        <f aca="false">ROUND(_xlfn.PERCENTRANK.INC($E$7:$E$4378,E1455)*9,0)</f>
        <v>8</v>
      </c>
      <c r="I1455" s="1" t="str">
        <f aca="false">CONCATENATE(F1455,G1455,H1455)</f>
        <v>898</v>
      </c>
      <c r="J1455" s="1" t="str">
        <f aca="false">_xlfn.IFS(AND(F1455&gt;=8,G1455&gt;=8,H1455&gt;=8),"CHAMPION",AND(F1455&gt;=6,G1455&gt;=7,H1455&gt;=6),"LOYAL CUSTOMER",AND(F1455&gt;=6,G1455&gt;=5,H1455&gt;=5),"POTENTIAL LOYALIST",AND(F1455&gt;=8,G1455&lt;=2,H1455&gt;=5),"NEW CUSTOMERS",AND(F1455&gt;=6,G1455&lt;=2,H1455&gt;=3),"PROMISING",AND(F1455&gt;=3,G1455&gt;=3,H1455&gt;=3),"NEED ATTENTION",AND(F1455&lt;=4,G1455&gt;=6,H1455&gt;=6),"AT RISK",AND(F1455&lt;=2,G1455&gt;=8,H1455&gt;=8),"CAN'T LOSE THEM",AND(F1455&lt;=2,G1455&lt;=2,H1455&lt;=2),"HIBERNATING",TRUE(),"Other")</f>
        <v>CHAMPION</v>
      </c>
      <c r="K1455" s="1" t="n">
        <f aca="false">RANK(E1455,$E$7:$E$4378)+COUNTIF($E$7:E1455,E1455)-1</f>
        <v>573</v>
      </c>
    </row>
    <row r="1456" customFormat="false" ht="14.25" hidden="false" customHeight="true" outlineLevel="0" collapsed="false">
      <c r="A1456" s="51" t="n">
        <v>14300</v>
      </c>
      <c r="B1456" s="53" t="n">
        <v>40868.3729166667</v>
      </c>
      <c r="C1456" s="57" t="n">
        <f aca="false">INT($C$2)-INT(Table3[[#This Row],[Last Purchase Date]])</f>
        <v>19</v>
      </c>
      <c r="D1456" s="1" t="n">
        <v>1</v>
      </c>
      <c r="E1456" s="1" t="n">
        <v>43.2</v>
      </c>
      <c r="F1456" s="1" t="n">
        <f aca="false">ROUND((1-_xlfn.PERCENTRANK.INC($C$7:$C$4378,C1456))*9,0)</f>
        <v>7</v>
      </c>
      <c r="G1456" s="1" t="n">
        <f aca="false">ROUND(_xlfn.PERCENTRANK.INC($D$7:$D$4378,D1456)*9,0)</f>
        <v>0</v>
      </c>
      <c r="H1456" s="1" t="n">
        <f aca="false">ROUND(_xlfn.PERCENTRANK.INC($E$7:$E$4378,E1456)*9,0)</f>
        <v>0</v>
      </c>
      <c r="I1456" s="1" t="str">
        <f aca="false">CONCATENATE(F1456,G1456,H1456)</f>
        <v>700</v>
      </c>
      <c r="J1456" s="1" t="str">
        <f aca="false">_xlfn.IFS(AND(F1456&gt;=8,G1456&gt;=8,H1456&gt;=8),"CHAMPION",AND(F1456&gt;=6,G1456&gt;=7,H1456&gt;=6),"LOYAL CUSTOMER",AND(F1456&gt;=6,G1456&gt;=5,H1456&gt;=5),"POTENTIAL LOYALIST",AND(F1456&gt;=8,G1456&lt;=2,H1456&gt;=5),"NEW CUSTOMERS",AND(F1456&gt;=6,G1456&lt;=2,H1456&gt;=3),"PROMISING",AND(F1456&gt;=3,G1456&gt;=3,H1456&gt;=3),"NEED ATTENTION",AND(F1456&lt;=4,G1456&gt;=6,H1456&gt;=6),"AT RISK",AND(F1456&lt;=2,G1456&gt;=8,H1456&gt;=8),"CAN'T LOSE THEM",AND(F1456&lt;=2,G1456&lt;=2,H1456&lt;=2),"HIBERNATING",TRUE(),"Other")</f>
        <v>Other</v>
      </c>
      <c r="K1456" s="1" t="n">
        <f aca="false">RANK(E1456,$E$7:$E$4378)+COUNTIF($E$7:E1456,E1456)-1</f>
        <v>4288</v>
      </c>
    </row>
    <row r="1457" customFormat="false" ht="14.25" hidden="false" customHeight="true" outlineLevel="0" collapsed="false">
      <c r="A1457" s="51" t="n">
        <v>14301</v>
      </c>
      <c r="B1457" s="53" t="n">
        <v>40779.3777777778</v>
      </c>
      <c r="C1457" s="57" t="n">
        <f aca="false">INT($C$2)-INT(Table3[[#This Row],[Last Purchase Date]])</f>
        <v>108</v>
      </c>
      <c r="D1457" s="1" t="n">
        <v>2</v>
      </c>
      <c r="E1457" s="1" t="n">
        <v>632.04</v>
      </c>
      <c r="F1457" s="1" t="n">
        <f aca="false">ROUND((1-_xlfn.PERCENTRANK.INC($C$7:$C$4378,C1457))*9,0)</f>
        <v>3</v>
      </c>
      <c r="G1457" s="1" t="n">
        <f aca="false">ROUND(_xlfn.PERCENTRANK.INC($D$7:$D$4378,D1457)*9,0)</f>
        <v>3</v>
      </c>
      <c r="H1457" s="1" t="n">
        <f aca="false">ROUND(_xlfn.PERCENTRANK.INC($E$7:$E$4378,E1457)*9,0)</f>
        <v>4</v>
      </c>
      <c r="I1457" s="1" t="str">
        <f aca="false">CONCATENATE(F1457,G1457,H1457)</f>
        <v>334</v>
      </c>
      <c r="J1457" s="1" t="str">
        <f aca="false">_xlfn.IFS(AND(F1457&gt;=8,G1457&gt;=8,H1457&gt;=8),"CHAMPION",AND(F1457&gt;=6,G1457&gt;=7,H1457&gt;=6),"LOYAL CUSTOMER",AND(F1457&gt;=6,G1457&gt;=5,H1457&gt;=5),"POTENTIAL LOYALIST",AND(F1457&gt;=8,G1457&lt;=2,H1457&gt;=5),"NEW CUSTOMERS",AND(F1457&gt;=6,G1457&lt;=2,H1457&gt;=3),"PROMISING",AND(F1457&gt;=3,G1457&gt;=3,H1457&gt;=3),"NEED ATTENTION",AND(F1457&lt;=4,G1457&gt;=6,H1457&gt;=6),"AT RISK",AND(F1457&lt;=2,G1457&gt;=8,H1457&gt;=8),"CAN'T LOSE THEM",AND(F1457&lt;=2,G1457&lt;=2,H1457&lt;=2),"HIBERNATING",TRUE(),"Other")</f>
        <v>NEED ATTENTION</v>
      </c>
      <c r="K1457" s="1" t="n">
        <f aca="false">RANK(E1457,$E$7:$E$4378)+COUNTIF($E$7:E1457,E1457)-1</f>
        <v>2228</v>
      </c>
    </row>
    <row r="1458" customFormat="false" ht="14.25" hidden="false" customHeight="true" outlineLevel="0" collapsed="false">
      <c r="A1458" s="51" t="n">
        <v>14304</v>
      </c>
      <c r="B1458" s="53" t="n">
        <v>40664.4930555556</v>
      </c>
      <c r="C1458" s="57" t="n">
        <f aca="false">INT($C$2)-INT(Table3[[#This Row],[Last Purchase Date]])</f>
        <v>223</v>
      </c>
      <c r="D1458" s="1" t="n">
        <v>2</v>
      </c>
      <c r="E1458" s="1" t="n">
        <v>197.1</v>
      </c>
      <c r="F1458" s="1" t="n">
        <f aca="false">ROUND((1-_xlfn.PERCENTRANK.INC($C$7:$C$4378,C1458))*9,0)</f>
        <v>1</v>
      </c>
      <c r="G1458" s="1" t="n">
        <f aca="false">ROUND(_xlfn.PERCENTRANK.INC($D$7:$D$4378,D1458)*9,0)</f>
        <v>3</v>
      </c>
      <c r="H1458" s="1" t="n">
        <f aca="false">ROUND(_xlfn.PERCENTRANK.INC($E$7:$E$4378,E1458)*9,0)</f>
        <v>1</v>
      </c>
      <c r="I1458" s="1" t="str">
        <f aca="false">CONCATENATE(F1458,G1458,H1458)</f>
        <v>131</v>
      </c>
      <c r="J1458" s="1" t="str">
        <f aca="false">_xlfn.IFS(AND(F1458&gt;=8,G1458&gt;=8,H1458&gt;=8),"CHAMPION",AND(F1458&gt;=6,G1458&gt;=7,H1458&gt;=6),"LOYAL CUSTOMER",AND(F1458&gt;=6,G1458&gt;=5,H1458&gt;=5),"POTENTIAL LOYALIST",AND(F1458&gt;=8,G1458&lt;=2,H1458&gt;=5),"NEW CUSTOMERS",AND(F1458&gt;=6,G1458&lt;=2,H1458&gt;=3),"PROMISING",AND(F1458&gt;=3,G1458&gt;=3,H1458&gt;=3),"NEED ATTENTION",AND(F1458&lt;=4,G1458&gt;=6,H1458&gt;=6),"AT RISK",AND(F1458&lt;=2,G1458&gt;=8,H1458&gt;=8),"CAN'T LOSE THEM",AND(F1458&lt;=2,G1458&lt;=2,H1458&lt;=2),"HIBERNATING",TRUE(),"Other")</f>
        <v>Other</v>
      </c>
      <c r="K1458" s="1" t="n">
        <f aca="false">RANK(E1458,$E$7:$E$4378)+COUNTIF($E$7:E1458,E1458)-1</f>
        <v>3675</v>
      </c>
    </row>
    <row r="1459" customFormat="false" ht="14.25" hidden="false" customHeight="true" outlineLevel="0" collapsed="false">
      <c r="A1459" s="51" t="n">
        <v>14305</v>
      </c>
      <c r="B1459" s="53" t="n">
        <v>40815.6451388889</v>
      </c>
      <c r="C1459" s="57" t="n">
        <f aca="false">INT($C$2)-INT(Table3[[#This Row],[Last Purchase Date]])</f>
        <v>72</v>
      </c>
      <c r="D1459" s="1" t="n">
        <v>5</v>
      </c>
      <c r="E1459" s="1" t="n">
        <v>1803.76</v>
      </c>
      <c r="F1459" s="1" t="n">
        <f aca="false">ROUND((1-_xlfn.PERCENTRANK.INC($C$7:$C$4378,C1459))*9,0)</f>
        <v>4</v>
      </c>
      <c r="G1459" s="1" t="n">
        <f aca="false">ROUND(_xlfn.PERCENTRANK.INC($D$7:$D$4378,D1459)*9,0)</f>
        <v>6</v>
      </c>
      <c r="H1459" s="1" t="n">
        <f aca="false">ROUND(_xlfn.PERCENTRANK.INC($E$7:$E$4378,E1459)*9,0)</f>
        <v>7</v>
      </c>
      <c r="I1459" s="1" t="str">
        <f aca="false">CONCATENATE(F1459,G1459,H1459)</f>
        <v>467</v>
      </c>
      <c r="J1459" s="1" t="str">
        <f aca="false">_xlfn.IFS(AND(F1459&gt;=8,G1459&gt;=8,H1459&gt;=8),"CHAMPION",AND(F1459&gt;=6,G1459&gt;=7,H1459&gt;=6),"LOYAL CUSTOMER",AND(F1459&gt;=6,G1459&gt;=5,H1459&gt;=5),"POTENTIAL LOYALIST",AND(F1459&gt;=8,G1459&lt;=2,H1459&gt;=5),"NEW CUSTOMERS",AND(F1459&gt;=6,G1459&lt;=2,H1459&gt;=3),"PROMISING",AND(F1459&gt;=3,G1459&gt;=3,H1459&gt;=3),"NEED ATTENTION",AND(F1459&lt;=4,G1459&gt;=6,H1459&gt;=6),"AT RISK",AND(F1459&lt;=2,G1459&gt;=8,H1459&gt;=8),"CAN'T LOSE THEM",AND(F1459&lt;=2,G1459&lt;=2,H1459&lt;=2),"HIBERNATING",TRUE(),"Other")</f>
        <v>NEED ATTENTION</v>
      </c>
      <c r="K1459" s="1" t="n">
        <f aca="false">RANK(E1459,$E$7:$E$4378)+COUNTIF($E$7:E1459,E1459)-1</f>
        <v>973</v>
      </c>
    </row>
    <row r="1460" customFormat="false" ht="14.25" hidden="false" customHeight="true" outlineLevel="0" collapsed="false">
      <c r="A1460" s="51" t="n">
        <v>14306</v>
      </c>
      <c r="B1460" s="53" t="n">
        <v>40835.5576388889</v>
      </c>
      <c r="C1460" s="57" t="n">
        <f aca="false">INT($C$2)-INT(Table3[[#This Row],[Last Purchase Date]])</f>
        <v>52</v>
      </c>
      <c r="D1460" s="1" t="n">
        <v>3</v>
      </c>
      <c r="E1460" s="1" t="n">
        <v>2083.42</v>
      </c>
      <c r="F1460" s="1" t="n">
        <f aca="false">ROUND((1-_xlfn.PERCENTRANK.INC($C$7:$C$4378,C1460))*9,0)</f>
        <v>4</v>
      </c>
      <c r="G1460" s="1" t="n">
        <f aca="false">ROUND(_xlfn.PERCENTRANK.INC($D$7:$D$4378,D1460)*9,0)</f>
        <v>4</v>
      </c>
      <c r="H1460" s="1" t="n">
        <f aca="false">ROUND(_xlfn.PERCENTRANK.INC($E$7:$E$4378,E1460)*9,0)</f>
        <v>7</v>
      </c>
      <c r="I1460" s="1" t="str">
        <f aca="false">CONCATENATE(F1460,G1460,H1460)</f>
        <v>447</v>
      </c>
      <c r="J1460" s="1" t="str">
        <f aca="false">_xlfn.IFS(AND(F1460&gt;=8,G1460&gt;=8,H1460&gt;=8),"CHAMPION",AND(F1460&gt;=6,G1460&gt;=7,H1460&gt;=6),"LOYAL CUSTOMER",AND(F1460&gt;=6,G1460&gt;=5,H1460&gt;=5),"POTENTIAL LOYALIST",AND(F1460&gt;=8,G1460&lt;=2,H1460&gt;=5),"NEW CUSTOMERS",AND(F1460&gt;=6,G1460&lt;=2,H1460&gt;=3),"PROMISING",AND(F1460&gt;=3,G1460&gt;=3,H1460&gt;=3),"NEED ATTENTION",AND(F1460&lt;=4,G1460&gt;=6,H1460&gt;=6),"AT RISK",AND(F1460&lt;=2,G1460&gt;=8,H1460&gt;=8),"CAN'T LOSE THEM",AND(F1460&lt;=2,G1460&lt;=2,H1460&lt;=2),"HIBERNATING",TRUE(),"Other")</f>
        <v>NEED ATTENTION</v>
      </c>
      <c r="K1460" s="1" t="n">
        <f aca="false">RANK(E1460,$E$7:$E$4378)+COUNTIF($E$7:E1460,E1460)-1</f>
        <v>837</v>
      </c>
    </row>
    <row r="1461" customFormat="false" ht="14.25" hidden="false" customHeight="true" outlineLevel="0" collapsed="false">
      <c r="A1461" s="51" t="n">
        <v>14307</v>
      </c>
      <c r="B1461" s="53" t="n">
        <v>40798.4013888889</v>
      </c>
      <c r="C1461" s="57" t="n">
        <f aca="false">INT($C$2)-INT(Table3[[#This Row],[Last Purchase Date]])</f>
        <v>89</v>
      </c>
      <c r="D1461" s="1" t="n">
        <v>6</v>
      </c>
      <c r="E1461" s="1" t="n">
        <v>2995.72</v>
      </c>
      <c r="F1461" s="1" t="n">
        <f aca="false">ROUND((1-_xlfn.PERCENTRANK.INC($C$7:$C$4378,C1461))*9,0)</f>
        <v>3</v>
      </c>
      <c r="G1461" s="1" t="n">
        <f aca="false">ROUND(_xlfn.PERCENTRANK.INC($D$7:$D$4378,D1461)*9,0)</f>
        <v>7</v>
      </c>
      <c r="H1461" s="1" t="n">
        <f aca="false">ROUND(_xlfn.PERCENTRANK.INC($E$7:$E$4378,E1461)*9,0)</f>
        <v>8</v>
      </c>
      <c r="I1461" s="1" t="str">
        <f aca="false">CONCATENATE(F1461,G1461,H1461)</f>
        <v>378</v>
      </c>
      <c r="J1461" s="1" t="str">
        <f aca="false">_xlfn.IFS(AND(F1461&gt;=8,G1461&gt;=8,H1461&gt;=8),"CHAMPION",AND(F1461&gt;=6,G1461&gt;=7,H1461&gt;=6),"LOYAL CUSTOMER",AND(F1461&gt;=6,G1461&gt;=5,H1461&gt;=5),"POTENTIAL LOYALIST",AND(F1461&gt;=8,G1461&lt;=2,H1461&gt;=5),"NEW CUSTOMERS",AND(F1461&gt;=6,G1461&lt;=2,H1461&gt;=3),"PROMISING",AND(F1461&gt;=3,G1461&gt;=3,H1461&gt;=3),"NEED ATTENTION",AND(F1461&lt;=4,G1461&gt;=6,H1461&gt;=6),"AT RISK",AND(F1461&lt;=2,G1461&gt;=8,H1461&gt;=8),"CAN'T LOSE THEM",AND(F1461&lt;=2,G1461&lt;=2,H1461&lt;=2),"HIBERNATING",TRUE(),"Other")</f>
        <v>NEED ATTENTION</v>
      </c>
      <c r="K1461" s="1" t="n">
        <f aca="false">RANK(E1461,$E$7:$E$4378)+COUNTIF($E$7:E1461,E1461)-1</f>
        <v>541</v>
      </c>
    </row>
    <row r="1462" customFormat="false" ht="14.25" hidden="false" customHeight="true" outlineLevel="0" collapsed="false">
      <c r="A1462" s="51" t="n">
        <v>14309</v>
      </c>
      <c r="B1462" s="53" t="n">
        <v>40878.5645833333</v>
      </c>
      <c r="C1462" s="57" t="n">
        <f aca="false">INT($C$2)-INT(Table3[[#This Row],[Last Purchase Date]])</f>
        <v>9</v>
      </c>
      <c r="D1462" s="1" t="n">
        <v>10</v>
      </c>
      <c r="E1462" s="1" t="n">
        <v>2319.68</v>
      </c>
      <c r="F1462" s="1" t="n">
        <f aca="false">ROUND((1-_xlfn.PERCENTRANK.INC($C$7:$C$4378,C1462))*9,0)</f>
        <v>8</v>
      </c>
      <c r="G1462" s="1" t="n">
        <f aca="false">ROUND(_xlfn.PERCENTRANK.INC($D$7:$D$4378,D1462)*9,0)</f>
        <v>8</v>
      </c>
      <c r="H1462" s="1" t="n">
        <f aca="false">ROUND(_xlfn.PERCENTRANK.INC($E$7:$E$4378,E1462)*9,0)</f>
        <v>7</v>
      </c>
      <c r="I1462" s="1" t="str">
        <f aca="false">CONCATENATE(F1462,G1462,H1462)</f>
        <v>887</v>
      </c>
      <c r="J1462" s="1" t="str">
        <f aca="false">_xlfn.IFS(AND(F1462&gt;=8,G1462&gt;=8,H1462&gt;=8),"CHAMPION",AND(F1462&gt;=6,G1462&gt;=7,H1462&gt;=6),"LOYAL CUSTOMER",AND(F1462&gt;=6,G1462&gt;=5,H1462&gt;=5),"POTENTIAL LOYALIST",AND(F1462&gt;=8,G1462&lt;=2,H1462&gt;=5),"NEW CUSTOMERS",AND(F1462&gt;=6,G1462&lt;=2,H1462&gt;=3),"PROMISING",AND(F1462&gt;=3,G1462&gt;=3,H1462&gt;=3),"NEED ATTENTION",AND(F1462&lt;=4,G1462&gt;=6,H1462&gt;=6),"AT RISK",AND(F1462&lt;=2,G1462&gt;=8,H1462&gt;=8),"CAN'T LOSE THEM",AND(F1462&lt;=2,G1462&lt;=2,H1462&lt;=2),"HIBERNATING",TRUE(),"Other")</f>
        <v>LOYAL CUSTOMER</v>
      </c>
      <c r="K1462" s="1" t="n">
        <f aca="false">RANK(E1462,$E$7:$E$4378)+COUNTIF($E$7:E1462,E1462)-1</f>
        <v>733</v>
      </c>
    </row>
    <row r="1463" customFormat="false" ht="14.25" hidden="false" customHeight="true" outlineLevel="0" collapsed="false">
      <c r="A1463" s="51" t="n">
        <v>14311</v>
      </c>
      <c r="B1463" s="53" t="n">
        <v>40661.8256944444</v>
      </c>
      <c r="C1463" s="57" t="n">
        <f aca="false">INT($C$2)-INT(Table3[[#This Row],[Last Purchase Date]])</f>
        <v>226</v>
      </c>
      <c r="D1463" s="1" t="n">
        <v>2</v>
      </c>
      <c r="E1463" s="1" t="n">
        <v>229.71</v>
      </c>
      <c r="F1463" s="1" t="n">
        <f aca="false">ROUND((1-_xlfn.PERCENTRANK.INC($C$7:$C$4378,C1463))*9,0)</f>
        <v>1</v>
      </c>
      <c r="G1463" s="1" t="n">
        <f aca="false">ROUND(_xlfn.PERCENTRANK.INC($D$7:$D$4378,D1463)*9,0)</f>
        <v>3</v>
      </c>
      <c r="H1463" s="1" t="n">
        <f aca="false">ROUND(_xlfn.PERCENTRANK.INC($E$7:$E$4378,E1463)*9,0)</f>
        <v>2</v>
      </c>
      <c r="I1463" s="1" t="str">
        <f aca="false">CONCATENATE(F1463,G1463,H1463)</f>
        <v>132</v>
      </c>
      <c r="J1463" s="1" t="str">
        <f aca="false">_xlfn.IFS(AND(F1463&gt;=8,G1463&gt;=8,H1463&gt;=8),"CHAMPION",AND(F1463&gt;=6,G1463&gt;=7,H1463&gt;=6),"LOYAL CUSTOMER",AND(F1463&gt;=6,G1463&gt;=5,H1463&gt;=5),"POTENTIAL LOYALIST",AND(F1463&gt;=8,G1463&lt;=2,H1463&gt;=5),"NEW CUSTOMERS",AND(F1463&gt;=6,G1463&lt;=2,H1463&gt;=3),"PROMISING",AND(F1463&gt;=3,G1463&gt;=3,H1463&gt;=3),"NEED ATTENTION",AND(F1463&lt;=4,G1463&gt;=6,H1463&gt;=6),"AT RISK",AND(F1463&lt;=2,G1463&gt;=8,H1463&gt;=8),"CAN'T LOSE THEM",AND(F1463&lt;=2,G1463&lt;=2,H1463&lt;=2),"HIBERNATING",TRUE(),"Other")</f>
        <v>Other</v>
      </c>
      <c r="K1463" s="1" t="n">
        <f aca="false">RANK(E1463,$E$7:$E$4378)+COUNTIF($E$7:E1463,E1463)-1</f>
        <v>3519</v>
      </c>
    </row>
    <row r="1464" customFormat="false" ht="14.25" hidden="false" customHeight="true" outlineLevel="0" collapsed="false">
      <c r="A1464" s="51" t="n">
        <v>14312</v>
      </c>
      <c r="B1464" s="53" t="n">
        <v>40840.4069444445</v>
      </c>
      <c r="C1464" s="57" t="n">
        <f aca="false">INT($C$2)-INT(Table3[[#This Row],[Last Purchase Date]])</f>
        <v>47</v>
      </c>
      <c r="D1464" s="1" t="n">
        <v>6</v>
      </c>
      <c r="E1464" s="1" t="n">
        <v>1611.59</v>
      </c>
      <c r="F1464" s="1" t="n">
        <f aca="false">ROUND((1-_xlfn.PERCENTRANK.INC($C$7:$C$4378,C1464))*9,0)</f>
        <v>5</v>
      </c>
      <c r="G1464" s="1" t="n">
        <f aca="false">ROUND(_xlfn.PERCENTRANK.INC($D$7:$D$4378,D1464)*9,0)</f>
        <v>7</v>
      </c>
      <c r="H1464" s="1" t="n">
        <f aca="false">ROUND(_xlfn.PERCENTRANK.INC($E$7:$E$4378,E1464)*9,0)</f>
        <v>7</v>
      </c>
      <c r="I1464" s="1" t="str">
        <f aca="false">CONCATENATE(F1464,G1464,H1464)</f>
        <v>577</v>
      </c>
      <c r="J1464" s="1" t="str">
        <f aca="false">_xlfn.IFS(AND(F1464&gt;=8,G1464&gt;=8,H1464&gt;=8),"CHAMPION",AND(F1464&gt;=6,G1464&gt;=7,H1464&gt;=6),"LOYAL CUSTOMER",AND(F1464&gt;=6,G1464&gt;=5,H1464&gt;=5),"POTENTIAL LOYALIST",AND(F1464&gt;=8,G1464&lt;=2,H1464&gt;=5),"NEW CUSTOMERS",AND(F1464&gt;=6,G1464&lt;=2,H1464&gt;=3),"PROMISING",AND(F1464&gt;=3,G1464&gt;=3,H1464&gt;=3),"NEED ATTENTION",AND(F1464&lt;=4,G1464&gt;=6,H1464&gt;=6),"AT RISK",AND(F1464&lt;=2,G1464&gt;=8,H1464&gt;=8),"CAN'T LOSE THEM",AND(F1464&lt;=2,G1464&lt;=2,H1464&lt;=2),"HIBERNATING",TRUE(),"Other")</f>
        <v>NEED ATTENTION</v>
      </c>
      <c r="K1464" s="1" t="n">
        <f aca="false">RANK(E1464,$E$7:$E$4378)+COUNTIF($E$7:E1464,E1464)-1</f>
        <v>1094</v>
      </c>
    </row>
    <row r="1465" customFormat="false" ht="14.25" hidden="false" customHeight="true" outlineLevel="0" collapsed="false">
      <c r="A1465" s="51" t="n">
        <v>14314</v>
      </c>
      <c r="B1465" s="53" t="n">
        <v>40780.44375</v>
      </c>
      <c r="C1465" s="57" t="n">
        <f aca="false">INT($C$2)-INT(Table3[[#This Row],[Last Purchase Date]])</f>
        <v>107</v>
      </c>
      <c r="D1465" s="1" t="n">
        <v>1</v>
      </c>
      <c r="E1465" s="1" t="n">
        <v>120</v>
      </c>
      <c r="F1465" s="1" t="n">
        <f aca="false">ROUND((1-_xlfn.PERCENTRANK.INC($C$7:$C$4378,C1465))*9,0)</f>
        <v>3</v>
      </c>
      <c r="G1465" s="1" t="n">
        <f aca="false">ROUND(_xlfn.PERCENTRANK.INC($D$7:$D$4378,D1465)*9,0)</f>
        <v>0</v>
      </c>
      <c r="H1465" s="1" t="n">
        <f aca="false">ROUND(_xlfn.PERCENTRANK.INC($E$7:$E$4378,E1465)*9,0)</f>
        <v>1</v>
      </c>
      <c r="I1465" s="1" t="str">
        <f aca="false">CONCATENATE(F1465,G1465,H1465)</f>
        <v>301</v>
      </c>
      <c r="J1465" s="1" t="str">
        <f aca="false">_xlfn.IFS(AND(F1465&gt;=8,G1465&gt;=8,H1465&gt;=8),"CHAMPION",AND(F1465&gt;=6,G1465&gt;=7,H1465&gt;=6),"LOYAL CUSTOMER",AND(F1465&gt;=6,G1465&gt;=5,H1465&gt;=5),"POTENTIAL LOYALIST",AND(F1465&gt;=8,G1465&lt;=2,H1465&gt;=5),"NEW CUSTOMERS",AND(F1465&gt;=6,G1465&lt;=2,H1465&gt;=3),"PROMISING",AND(F1465&gt;=3,G1465&gt;=3,H1465&gt;=3),"NEED ATTENTION",AND(F1465&lt;=4,G1465&gt;=6,H1465&gt;=6),"AT RISK",AND(F1465&lt;=2,G1465&gt;=8,H1465&gt;=8),"CAN'T LOSE THEM",AND(F1465&lt;=2,G1465&lt;=2,H1465&lt;=2),"HIBERNATING",TRUE(),"Other")</f>
        <v>Other</v>
      </c>
      <c r="K1465" s="1" t="n">
        <f aca="false">RANK(E1465,$E$7:$E$4378)+COUNTIF($E$7:E1465,E1465)-1</f>
        <v>4051</v>
      </c>
    </row>
    <row r="1466" customFormat="false" ht="14.25" hidden="false" customHeight="true" outlineLevel="0" collapsed="false">
      <c r="A1466" s="51" t="n">
        <v>14315</v>
      </c>
      <c r="B1466" s="53" t="n">
        <v>40865.6493055556</v>
      </c>
      <c r="C1466" s="57" t="n">
        <f aca="false">INT($C$2)-INT(Table3[[#This Row],[Last Purchase Date]])</f>
        <v>22</v>
      </c>
      <c r="D1466" s="1" t="n">
        <v>7</v>
      </c>
      <c r="E1466" s="1" t="n">
        <v>2456.98</v>
      </c>
      <c r="F1466" s="1" t="n">
        <f aca="false">ROUND((1-_xlfn.PERCENTRANK.INC($C$7:$C$4378,C1466))*9,0)</f>
        <v>6</v>
      </c>
      <c r="G1466" s="1" t="n">
        <f aca="false">ROUND(_xlfn.PERCENTRANK.INC($D$7:$D$4378,D1466)*9,0)</f>
        <v>7</v>
      </c>
      <c r="H1466" s="1" t="n">
        <f aca="false">ROUND(_xlfn.PERCENTRANK.INC($E$7:$E$4378,E1466)*9,0)</f>
        <v>8</v>
      </c>
      <c r="I1466" s="1" t="str">
        <f aca="false">CONCATENATE(F1466,G1466,H1466)</f>
        <v>678</v>
      </c>
      <c r="J1466" s="1" t="str">
        <f aca="false">_xlfn.IFS(AND(F1466&gt;=8,G1466&gt;=8,H1466&gt;=8),"CHAMPION",AND(F1466&gt;=6,G1466&gt;=7,H1466&gt;=6),"LOYAL CUSTOMER",AND(F1466&gt;=6,G1466&gt;=5,H1466&gt;=5),"POTENTIAL LOYALIST",AND(F1466&gt;=8,G1466&lt;=2,H1466&gt;=5),"NEW CUSTOMERS",AND(F1466&gt;=6,G1466&lt;=2,H1466&gt;=3),"PROMISING",AND(F1466&gt;=3,G1466&gt;=3,H1466&gt;=3),"NEED ATTENTION",AND(F1466&lt;=4,G1466&gt;=6,H1466&gt;=6),"AT RISK",AND(F1466&lt;=2,G1466&gt;=8,H1466&gt;=8),"CAN'T LOSE THEM",AND(F1466&lt;=2,G1466&lt;=2,H1466&lt;=2),"HIBERNATING",TRUE(),"Other")</f>
        <v>LOYAL CUSTOMER</v>
      </c>
      <c r="K1466" s="1" t="n">
        <f aca="false">RANK(E1466,$E$7:$E$4378)+COUNTIF($E$7:E1466,E1466)-1</f>
        <v>697</v>
      </c>
    </row>
    <row r="1467" customFormat="false" ht="14.25" hidden="false" customHeight="true" outlineLevel="0" collapsed="false">
      <c r="A1467" s="51" t="n">
        <v>14317</v>
      </c>
      <c r="B1467" s="53" t="n">
        <v>40822.4472222222</v>
      </c>
      <c r="C1467" s="57" t="n">
        <f aca="false">INT($C$2)-INT(Table3[[#This Row],[Last Purchase Date]])</f>
        <v>65</v>
      </c>
      <c r="D1467" s="1" t="n">
        <v>1</v>
      </c>
      <c r="E1467" s="1" t="n">
        <v>508.58</v>
      </c>
      <c r="F1467" s="1" t="n">
        <f aca="false">ROUND((1-_xlfn.PERCENTRANK.INC($C$7:$C$4378,C1467))*9,0)</f>
        <v>4</v>
      </c>
      <c r="G1467" s="1" t="n">
        <f aca="false">ROUND(_xlfn.PERCENTRANK.INC($D$7:$D$4378,D1467)*9,0)</f>
        <v>0</v>
      </c>
      <c r="H1467" s="1" t="n">
        <f aca="false">ROUND(_xlfn.PERCENTRANK.INC($E$7:$E$4378,E1467)*9,0)</f>
        <v>4</v>
      </c>
      <c r="I1467" s="1" t="str">
        <f aca="false">CONCATENATE(F1467,G1467,H1467)</f>
        <v>404</v>
      </c>
      <c r="J1467" s="1" t="str">
        <f aca="false">_xlfn.IFS(AND(F1467&gt;=8,G1467&gt;=8,H1467&gt;=8),"CHAMPION",AND(F1467&gt;=6,G1467&gt;=7,H1467&gt;=6),"LOYAL CUSTOMER",AND(F1467&gt;=6,G1467&gt;=5,H1467&gt;=5),"POTENTIAL LOYALIST",AND(F1467&gt;=8,G1467&lt;=2,H1467&gt;=5),"NEW CUSTOMERS",AND(F1467&gt;=6,G1467&lt;=2,H1467&gt;=3),"PROMISING",AND(F1467&gt;=3,G1467&gt;=3,H1467&gt;=3),"NEED ATTENTION",AND(F1467&lt;=4,G1467&gt;=6,H1467&gt;=6),"AT RISK",AND(F1467&lt;=2,G1467&gt;=8,H1467&gt;=8),"CAN'T LOSE THEM",AND(F1467&lt;=2,G1467&lt;=2,H1467&lt;=2),"HIBERNATING",TRUE(),"Other")</f>
        <v>Other</v>
      </c>
      <c r="K1467" s="1" t="n">
        <f aca="false">RANK(E1467,$E$7:$E$4378)+COUNTIF($E$7:E1467,E1467)-1</f>
        <v>2521</v>
      </c>
    </row>
    <row r="1468" customFormat="false" ht="14.25" hidden="false" customHeight="true" outlineLevel="0" collapsed="false">
      <c r="A1468" s="51" t="n">
        <v>14320</v>
      </c>
      <c r="B1468" s="53" t="n">
        <v>40680.3916666667</v>
      </c>
      <c r="C1468" s="57" t="n">
        <f aca="false">INT($C$2)-INT(Table3[[#This Row],[Last Purchase Date]])</f>
        <v>207</v>
      </c>
      <c r="D1468" s="1" t="n">
        <v>3</v>
      </c>
      <c r="E1468" s="1" t="n">
        <v>343.11</v>
      </c>
      <c r="F1468" s="1" t="n">
        <f aca="false">ROUND((1-_xlfn.PERCENTRANK.INC($C$7:$C$4378,C1468))*9,0)</f>
        <v>1</v>
      </c>
      <c r="G1468" s="1" t="n">
        <f aca="false">ROUND(_xlfn.PERCENTRANK.INC($D$7:$D$4378,D1468)*9,0)</f>
        <v>4</v>
      </c>
      <c r="H1468" s="1" t="n">
        <f aca="false">ROUND(_xlfn.PERCENTRANK.INC($E$7:$E$4378,E1468)*9,0)</f>
        <v>3</v>
      </c>
      <c r="I1468" s="1" t="str">
        <f aca="false">CONCATENATE(F1468,G1468,H1468)</f>
        <v>143</v>
      </c>
      <c r="J1468" s="1" t="str">
        <f aca="false">_xlfn.IFS(AND(F1468&gt;=8,G1468&gt;=8,H1468&gt;=8),"CHAMPION",AND(F1468&gt;=6,G1468&gt;=7,H1468&gt;=6),"LOYAL CUSTOMER",AND(F1468&gt;=6,G1468&gt;=5,H1468&gt;=5),"POTENTIAL LOYALIST",AND(F1468&gt;=8,G1468&lt;=2,H1468&gt;=5),"NEW CUSTOMERS",AND(F1468&gt;=6,G1468&lt;=2,H1468&gt;=3),"PROMISING",AND(F1468&gt;=3,G1468&gt;=3,H1468&gt;=3),"NEED ATTENTION",AND(F1468&lt;=4,G1468&gt;=6,H1468&gt;=6),"AT RISK",AND(F1468&lt;=2,G1468&gt;=8,H1468&gt;=8),"CAN'T LOSE THEM",AND(F1468&lt;=2,G1468&lt;=2,H1468&lt;=2),"HIBERNATING",TRUE(),"Other")</f>
        <v>Other</v>
      </c>
      <c r="K1468" s="1" t="n">
        <f aca="false">RANK(E1468,$E$7:$E$4378)+COUNTIF($E$7:E1468,E1468)-1</f>
        <v>3042</v>
      </c>
    </row>
    <row r="1469" customFormat="false" ht="14.25" hidden="false" customHeight="true" outlineLevel="0" collapsed="false">
      <c r="A1469" s="51" t="n">
        <v>14321</v>
      </c>
      <c r="B1469" s="53" t="n">
        <v>40876.4076388889</v>
      </c>
      <c r="C1469" s="57" t="n">
        <f aca="false">INT($C$2)-INT(Table3[[#This Row],[Last Purchase Date]])</f>
        <v>11</v>
      </c>
      <c r="D1469" s="1" t="n">
        <v>5</v>
      </c>
      <c r="E1469" s="1" t="n">
        <v>1530.75</v>
      </c>
      <c r="F1469" s="1" t="n">
        <f aca="false">ROUND((1-_xlfn.PERCENTRANK.INC($C$7:$C$4378,C1469))*9,0)</f>
        <v>7</v>
      </c>
      <c r="G1469" s="1" t="n">
        <f aca="false">ROUND(_xlfn.PERCENTRANK.INC($D$7:$D$4378,D1469)*9,0)</f>
        <v>6</v>
      </c>
      <c r="H1469" s="1" t="n">
        <f aca="false">ROUND(_xlfn.PERCENTRANK.INC($E$7:$E$4378,E1469)*9,0)</f>
        <v>7</v>
      </c>
      <c r="I1469" s="1" t="str">
        <f aca="false">CONCATENATE(F1469,G1469,H1469)</f>
        <v>767</v>
      </c>
      <c r="J1469" s="1" t="str">
        <f aca="false">_xlfn.IFS(AND(F1469&gt;=8,G1469&gt;=8,H1469&gt;=8),"CHAMPION",AND(F1469&gt;=6,G1469&gt;=7,H1469&gt;=6),"LOYAL CUSTOMER",AND(F1469&gt;=6,G1469&gt;=5,H1469&gt;=5),"POTENTIAL LOYALIST",AND(F1469&gt;=8,G1469&lt;=2,H1469&gt;=5),"NEW CUSTOMERS",AND(F1469&gt;=6,G1469&lt;=2,H1469&gt;=3),"PROMISING",AND(F1469&gt;=3,G1469&gt;=3,H1469&gt;=3),"NEED ATTENTION",AND(F1469&lt;=4,G1469&gt;=6,H1469&gt;=6),"AT RISK",AND(F1469&lt;=2,G1469&gt;=8,H1469&gt;=8),"CAN'T LOSE THEM",AND(F1469&lt;=2,G1469&lt;=2,H1469&lt;=2),"HIBERNATING",TRUE(),"Other")</f>
        <v>POTENTIAL LOYALIST</v>
      </c>
      <c r="K1469" s="1" t="n">
        <f aca="false">RANK(E1469,$E$7:$E$4378)+COUNTIF($E$7:E1469,E1469)-1</f>
        <v>1142</v>
      </c>
    </row>
    <row r="1470" customFormat="false" ht="14.25" hidden="false" customHeight="true" outlineLevel="0" collapsed="false">
      <c r="A1470" s="51" t="n">
        <v>14323</v>
      </c>
      <c r="B1470" s="53" t="n">
        <v>40772.4840277778</v>
      </c>
      <c r="C1470" s="57" t="n">
        <f aca="false">INT($C$2)-INT(Table3[[#This Row],[Last Purchase Date]])</f>
        <v>115</v>
      </c>
      <c r="D1470" s="1" t="n">
        <v>4</v>
      </c>
      <c r="E1470" s="1" t="n">
        <v>574.26</v>
      </c>
      <c r="F1470" s="1" t="n">
        <f aca="false">ROUND((1-_xlfn.PERCENTRANK.INC($C$7:$C$4378,C1470))*9,0)</f>
        <v>3</v>
      </c>
      <c r="G1470" s="1" t="n">
        <f aca="false">ROUND(_xlfn.PERCENTRANK.INC($D$7:$D$4378,D1470)*9,0)</f>
        <v>5</v>
      </c>
      <c r="H1470" s="1" t="n">
        <f aca="false">ROUND(_xlfn.PERCENTRANK.INC($E$7:$E$4378,E1470)*9,0)</f>
        <v>4</v>
      </c>
      <c r="I1470" s="1" t="str">
        <f aca="false">CONCATENATE(F1470,G1470,H1470)</f>
        <v>354</v>
      </c>
      <c r="J1470" s="1" t="str">
        <f aca="false">_xlfn.IFS(AND(F1470&gt;=8,G1470&gt;=8,H1470&gt;=8),"CHAMPION",AND(F1470&gt;=6,G1470&gt;=7,H1470&gt;=6),"LOYAL CUSTOMER",AND(F1470&gt;=6,G1470&gt;=5,H1470&gt;=5),"POTENTIAL LOYALIST",AND(F1470&gt;=8,G1470&lt;=2,H1470&gt;=5),"NEW CUSTOMERS",AND(F1470&gt;=6,G1470&lt;=2,H1470&gt;=3),"PROMISING",AND(F1470&gt;=3,G1470&gt;=3,H1470&gt;=3),"NEED ATTENTION",AND(F1470&lt;=4,G1470&gt;=6,H1470&gt;=6),"AT RISK",AND(F1470&lt;=2,G1470&gt;=8,H1470&gt;=8),"CAN'T LOSE THEM",AND(F1470&lt;=2,G1470&lt;=2,H1470&lt;=2),"HIBERNATING",TRUE(),"Other")</f>
        <v>NEED ATTENTION</v>
      </c>
      <c r="K1470" s="1" t="n">
        <f aca="false">RANK(E1470,$E$7:$E$4378)+COUNTIF($E$7:E1470,E1470)-1</f>
        <v>2384</v>
      </c>
    </row>
    <row r="1471" customFormat="false" ht="14.25" hidden="false" customHeight="true" outlineLevel="0" collapsed="false">
      <c r="A1471" s="51" t="n">
        <v>14326</v>
      </c>
      <c r="B1471" s="53" t="n">
        <v>40652.4638888889</v>
      </c>
      <c r="C1471" s="57" t="n">
        <f aca="false">INT($C$2)-INT(Table3[[#This Row],[Last Purchase Date]])</f>
        <v>235</v>
      </c>
      <c r="D1471" s="1" t="n">
        <v>2</v>
      </c>
      <c r="E1471" s="1" t="n">
        <v>166.85</v>
      </c>
      <c r="F1471" s="1" t="n">
        <f aca="false">ROUND((1-_xlfn.PERCENTRANK.INC($C$7:$C$4378,C1471))*9,0)</f>
        <v>1</v>
      </c>
      <c r="G1471" s="1" t="n">
        <f aca="false">ROUND(_xlfn.PERCENTRANK.INC($D$7:$D$4378,D1471)*9,0)</f>
        <v>3</v>
      </c>
      <c r="H1471" s="1" t="n">
        <f aca="false">ROUND(_xlfn.PERCENTRANK.INC($E$7:$E$4378,E1471)*9,0)</f>
        <v>1</v>
      </c>
      <c r="I1471" s="1" t="str">
        <f aca="false">CONCATENATE(F1471,G1471,H1471)</f>
        <v>131</v>
      </c>
      <c r="J1471" s="1" t="str">
        <f aca="false">_xlfn.IFS(AND(F1471&gt;=8,G1471&gt;=8,H1471&gt;=8),"CHAMPION",AND(F1471&gt;=6,G1471&gt;=7,H1471&gt;=6),"LOYAL CUSTOMER",AND(F1471&gt;=6,G1471&gt;=5,H1471&gt;=5),"POTENTIAL LOYALIST",AND(F1471&gt;=8,G1471&lt;=2,H1471&gt;=5),"NEW CUSTOMERS",AND(F1471&gt;=6,G1471&lt;=2,H1471&gt;=3),"PROMISING",AND(F1471&gt;=3,G1471&gt;=3,H1471&gt;=3),"NEED ATTENTION",AND(F1471&lt;=4,G1471&gt;=6,H1471&gt;=6),"AT RISK",AND(F1471&lt;=2,G1471&gt;=8,H1471&gt;=8),"CAN'T LOSE THEM",AND(F1471&lt;=2,G1471&lt;=2,H1471&lt;=2),"HIBERNATING",TRUE(),"Other")</f>
        <v>Other</v>
      </c>
      <c r="K1471" s="1" t="n">
        <f aca="false">RANK(E1471,$E$7:$E$4378)+COUNTIF($E$7:E1471,E1471)-1</f>
        <v>3824</v>
      </c>
    </row>
    <row r="1472" customFormat="false" ht="14.25" hidden="false" customHeight="true" outlineLevel="0" collapsed="false">
      <c r="A1472" s="51" t="n">
        <v>14327</v>
      </c>
      <c r="B1472" s="53" t="n">
        <v>40723.5819444444</v>
      </c>
      <c r="C1472" s="57" t="n">
        <f aca="false">INT($C$2)-INT(Table3[[#This Row],[Last Purchase Date]])</f>
        <v>164</v>
      </c>
      <c r="D1472" s="1" t="n">
        <v>1</v>
      </c>
      <c r="E1472" s="1" t="n">
        <v>311.65</v>
      </c>
      <c r="F1472" s="1" t="n">
        <f aca="false">ROUND((1-_xlfn.PERCENTRANK.INC($C$7:$C$4378,C1472))*9,0)</f>
        <v>2</v>
      </c>
      <c r="G1472" s="1" t="n">
        <f aca="false">ROUND(_xlfn.PERCENTRANK.INC($D$7:$D$4378,D1472)*9,0)</f>
        <v>0</v>
      </c>
      <c r="H1472" s="1" t="n">
        <f aca="false">ROUND(_xlfn.PERCENTRANK.INC($E$7:$E$4378,E1472)*9,0)</f>
        <v>2</v>
      </c>
      <c r="I1472" s="1" t="str">
        <f aca="false">CONCATENATE(F1472,G1472,H1472)</f>
        <v>202</v>
      </c>
      <c r="J1472" s="1" t="str">
        <f aca="false">_xlfn.IFS(AND(F1472&gt;=8,G1472&gt;=8,H1472&gt;=8),"CHAMPION",AND(F1472&gt;=6,G1472&gt;=7,H1472&gt;=6),"LOYAL CUSTOMER",AND(F1472&gt;=6,G1472&gt;=5,H1472&gt;=5),"POTENTIAL LOYALIST",AND(F1472&gt;=8,G1472&lt;=2,H1472&gt;=5),"NEW CUSTOMERS",AND(F1472&gt;=6,G1472&lt;=2,H1472&gt;=3),"PROMISING",AND(F1472&gt;=3,G1472&gt;=3,H1472&gt;=3),"NEED ATTENTION",AND(F1472&lt;=4,G1472&gt;=6,H1472&gt;=6),"AT RISK",AND(F1472&lt;=2,G1472&gt;=8,H1472&gt;=8),"CAN'T LOSE THEM",AND(F1472&lt;=2,G1472&lt;=2,H1472&lt;=2),"HIBERNATING",TRUE(),"Other")</f>
        <v>HIBERNATING</v>
      </c>
      <c r="K1472" s="1" t="n">
        <f aca="false">RANK(E1472,$E$7:$E$4378)+COUNTIF($E$7:E1472,E1472)-1</f>
        <v>3186</v>
      </c>
    </row>
    <row r="1473" customFormat="false" ht="14.25" hidden="false" customHeight="true" outlineLevel="0" collapsed="false">
      <c r="A1473" s="51" t="n">
        <v>14329</v>
      </c>
      <c r="B1473" s="53" t="n">
        <v>40878.3520833333</v>
      </c>
      <c r="C1473" s="57" t="n">
        <f aca="false">INT($C$2)-INT(Table3[[#This Row],[Last Purchase Date]])</f>
        <v>9</v>
      </c>
      <c r="D1473" s="1" t="n">
        <v>14</v>
      </c>
      <c r="E1473" s="1" t="n">
        <v>4928.74</v>
      </c>
      <c r="F1473" s="1" t="n">
        <f aca="false">ROUND((1-_xlfn.PERCENTRANK.INC($C$7:$C$4378,C1473))*9,0)</f>
        <v>8</v>
      </c>
      <c r="G1473" s="1" t="n">
        <f aca="false">ROUND(_xlfn.PERCENTRANK.INC($D$7:$D$4378,D1473)*9,0)</f>
        <v>8</v>
      </c>
      <c r="H1473" s="1" t="n">
        <f aca="false">ROUND(_xlfn.PERCENTRANK.INC($E$7:$E$4378,E1473)*9,0)</f>
        <v>8</v>
      </c>
      <c r="I1473" s="1" t="str">
        <f aca="false">CONCATENATE(F1473,G1473,H1473)</f>
        <v>888</v>
      </c>
      <c r="J1473" s="1" t="str">
        <f aca="false">_xlfn.IFS(AND(F1473&gt;=8,G1473&gt;=8,H1473&gt;=8),"CHAMPION",AND(F1473&gt;=6,G1473&gt;=7,H1473&gt;=6),"LOYAL CUSTOMER",AND(F1473&gt;=6,G1473&gt;=5,H1473&gt;=5),"POTENTIAL LOYALIST",AND(F1473&gt;=8,G1473&lt;=2,H1473&gt;=5),"NEW CUSTOMERS",AND(F1473&gt;=6,G1473&lt;=2,H1473&gt;=3),"PROMISING",AND(F1473&gt;=3,G1473&gt;=3,H1473&gt;=3),"NEED ATTENTION",AND(F1473&lt;=4,G1473&gt;=6,H1473&gt;=6),"AT RISK",AND(F1473&lt;=2,G1473&gt;=8,H1473&gt;=8),"CAN'T LOSE THEM",AND(F1473&lt;=2,G1473&lt;=2,H1473&lt;=2),"HIBERNATING",TRUE(),"Other")</f>
        <v>CHAMPION</v>
      </c>
      <c r="K1473" s="1" t="n">
        <f aca="false">RANK(E1473,$E$7:$E$4378)+COUNTIF($E$7:E1473,E1473)-1</f>
        <v>266</v>
      </c>
    </row>
    <row r="1474" customFormat="false" ht="14.25" hidden="false" customHeight="true" outlineLevel="0" collapsed="false">
      <c r="A1474" s="51" t="n">
        <v>14331</v>
      </c>
      <c r="B1474" s="53" t="n">
        <v>40762.5534722222</v>
      </c>
      <c r="C1474" s="57" t="n">
        <f aca="false">INT($C$2)-INT(Table3[[#This Row],[Last Purchase Date]])</f>
        <v>125</v>
      </c>
      <c r="D1474" s="1" t="n">
        <v>2</v>
      </c>
      <c r="E1474" s="1" t="n">
        <v>462.66</v>
      </c>
      <c r="F1474" s="1" t="n">
        <f aca="false">ROUND((1-_xlfn.PERCENTRANK.INC($C$7:$C$4378,C1474))*9,0)</f>
        <v>2</v>
      </c>
      <c r="G1474" s="1" t="n">
        <f aca="false">ROUND(_xlfn.PERCENTRANK.INC($D$7:$D$4378,D1474)*9,0)</f>
        <v>3</v>
      </c>
      <c r="H1474" s="1" t="n">
        <f aca="false">ROUND(_xlfn.PERCENTRANK.INC($E$7:$E$4378,E1474)*9,0)</f>
        <v>4</v>
      </c>
      <c r="I1474" s="1" t="str">
        <f aca="false">CONCATENATE(F1474,G1474,H1474)</f>
        <v>234</v>
      </c>
      <c r="J1474" s="1" t="str">
        <f aca="false">_xlfn.IFS(AND(F1474&gt;=8,G1474&gt;=8,H1474&gt;=8),"CHAMPION",AND(F1474&gt;=6,G1474&gt;=7,H1474&gt;=6),"LOYAL CUSTOMER",AND(F1474&gt;=6,G1474&gt;=5,H1474&gt;=5),"POTENTIAL LOYALIST",AND(F1474&gt;=8,G1474&lt;=2,H1474&gt;=5),"NEW CUSTOMERS",AND(F1474&gt;=6,G1474&lt;=2,H1474&gt;=3),"PROMISING",AND(F1474&gt;=3,G1474&gt;=3,H1474&gt;=3),"NEED ATTENTION",AND(F1474&lt;=4,G1474&gt;=6,H1474&gt;=6),"AT RISK",AND(F1474&lt;=2,G1474&gt;=8,H1474&gt;=8),"CAN'T LOSE THEM",AND(F1474&lt;=2,G1474&lt;=2,H1474&lt;=2),"HIBERNATING",TRUE(),"Other")</f>
        <v>Other</v>
      </c>
      <c r="K1474" s="1" t="n">
        <f aca="false">RANK(E1474,$E$7:$E$4378)+COUNTIF($E$7:E1474,E1474)-1</f>
        <v>2634</v>
      </c>
    </row>
    <row r="1475" customFormat="false" ht="14.25" hidden="false" customHeight="true" outlineLevel="0" collapsed="false">
      <c r="A1475" s="51" t="n">
        <v>14332</v>
      </c>
      <c r="B1475" s="53" t="n">
        <v>40864.4958333333</v>
      </c>
      <c r="C1475" s="57" t="n">
        <f aca="false">INT($C$2)-INT(Table3[[#This Row],[Last Purchase Date]])</f>
        <v>23</v>
      </c>
      <c r="D1475" s="1" t="n">
        <v>3</v>
      </c>
      <c r="E1475" s="1" t="n">
        <v>866.31</v>
      </c>
      <c r="F1475" s="1" t="n">
        <f aca="false">ROUND((1-_xlfn.PERCENTRANK.INC($C$7:$C$4378,C1475))*9,0)</f>
        <v>6</v>
      </c>
      <c r="G1475" s="1" t="n">
        <f aca="false">ROUND(_xlfn.PERCENTRANK.INC($D$7:$D$4378,D1475)*9,0)</f>
        <v>4</v>
      </c>
      <c r="H1475" s="1" t="n">
        <f aca="false">ROUND(_xlfn.PERCENTRANK.INC($E$7:$E$4378,E1475)*9,0)</f>
        <v>5</v>
      </c>
      <c r="I1475" s="1" t="str">
        <f aca="false">CONCATENATE(F1475,G1475,H1475)</f>
        <v>645</v>
      </c>
      <c r="J1475" s="1" t="str">
        <f aca="false">_xlfn.IFS(AND(F1475&gt;=8,G1475&gt;=8,H1475&gt;=8),"CHAMPION",AND(F1475&gt;=6,G1475&gt;=7,H1475&gt;=6),"LOYAL CUSTOMER",AND(F1475&gt;=6,G1475&gt;=5,H1475&gt;=5),"POTENTIAL LOYALIST",AND(F1475&gt;=8,G1475&lt;=2,H1475&gt;=5),"NEW CUSTOMERS",AND(F1475&gt;=6,G1475&lt;=2,H1475&gt;=3),"PROMISING",AND(F1475&gt;=3,G1475&gt;=3,H1475&gt;=3),"NEED ATTENTION",AND(F1475&lt;=4,G1475&gt;=6,H1475&gt;=6),"AT RISK",AND(F1475&lt;=2,G1475&gt;=8,H1475&gt;=8),"CAN'T LOSE THEM",AND(F1475&lt;=2,G1475&lt;=2,H1475&lt;=2),"HIBERNATING",TRUE(),"Other")</f>
        <v>NEED ATTENTION</v>
      </c>
      <c r="K1475" s="1" t="n">
        <f aca="false">RANK(E1475,$E$7:$E$4378)+COUNTIF($E$7:E1475,E1475)-1</f>
        <v>1809</v>
      </c>
    </row>
    <row r="1476" customFormat="false" ht="14.25" hidden="false" customHeight="true" outlineLevel="0" collapsed="false">
      <c r="A1476" s="51" t="n">
        <v>14333</v>
      </c>
      <c r="B1476" s="53" t="n">
        <v>40822.8090277778</v>
      </c>
      <c r="C1476" s="57" t="n">
        <f aca="false">INT($C$2)-INT(Table3[[#This Row],[Last Purchase Date]])</f>
        <v>65</v>
      </c>
      <c r="D1476" s="1" t="n">
        <v>2</v>
      </c>
      <c r="E1476" s="1" t="n">
        <v>351.45</v>
      </c>
      <c r="F1476" s="1" t="n">
        <f aca="false">ROUND((1-_xlfn.PERCENTRANK.INC($C$7:$C$4378,C1476))*9,0)</f>
        <v>4</v>
      </c>
      <c r="G1476" s="1" t="n">
        <f aca="false">ROUND(_xlfn.PERCENTRANK.INC($D$7:$D$4378,D1476)*9,0)</f>
        <v>3</v>
      </c>
      <c r="H1476" s="1" t="n">
        <f aca="false">ROUND(_xlfn.PERCENTRANK.INC($E$7:$E$4378,E1476)*9,0)</f>
        <v>3</v>
      </c>
      <c r="I1476" s="1" t="str">
        <f aca="false">CONCATENATE(F1476,G1476,H1476)</f>
        <v>433</v>
      </c>
      <c r="J1476" s="1" t="str">
        <f aca="false">_xlfn.IFS(AND(F1476&gt;=8,G1476&gt;=8,H1476&gt;=8),"CHAMPION",AND(F1476&gt;=6,G1476&gt;=7,H1476&gt;=6),"LOYAL CUSTOMER",AND(F1476&gt;=6,G1476&gt;=5,H1476&gt;=5),"POTENTIAL LOYALIST",AND(F1476&gt;=8,G1476&lt;=2,H1476&gt;=5),"NEW CUSTOMERS",AND(F1476&gt;=6,G1476&lt;=2,H1476&gt;=3),"PROMISING",AND(F1476&gt;=3,G1476&gt;=3,H1476&gt;=3),"NEED ATTENTION",AND(F1476&lt;=4,G1476&gt;=6,H1476&gt;=6),"AT RISK",AND(F1476&lt;=2,G1476&gt;=8,H1476&gt;=8),"CAN'T LOSE THEM",AND(F1476&lt;=2,G1476&lt;=2,H1476&lt;=2),"HIBERNATING",TRUE(),"Other")</f>
        <v>NEED ATTENTION</v>
      </c>
      <c r="K1476" s="1" t="n">
        <f aca="false">RANK(E1476,$E$7:$E$4378)+COUNTIF($E$7:E1476,E1476)-1</f>
        <v>2998</v>
      </c>
    </row>
    <row r="1477" customFormat="false" ht="14.25" hidden="false" customHeight="true" outlineLevel="0" collapsed="false">
      <c r="A1477" s="51" t="n">
        <v>14334</v>
      </c>
      <c r="B1477" s="53" t="n">
        <v>40870.4173611111</v>
      </c>
      <c r="C1477" s="57" t="n">
        <f aca="false">INT($C$2)-INT(Table3[[#This Row],[Last Purchase Date]])</f>
        <v>17</v>
      </c>
      <c r="D1477" s="1" t="n">
        <v>9</v>
      </c>
      <c r="E1477" s="1" t="n">
        <v>2539.46</v>
      </c>
      <c r="F1477" s="1" t="n">
        <f aca="false">ROUND((1-_xlfn.PERCENTRANK.INC($C$7:$C$4378,C1477))*9,0)</f>
        <v>7</v>
      </c>
      <c r="G1477" s="1" t="n">
        <f aca="false">ROUND(_xlfn.PERCENTRANK.INC($D$7:$D$4378,D1477)*9,0)</f>
        <v>8</v>
      </c>
      <c r="H1477" s="1" t="n">
        <f aca="false">ROUND(_xlfn.PERCENTRANK.INC($E$7:$E$4378,E1477)*9,0)</f>
        <v>8</v>
      </c>
      <c r="I1477" s="1" t="str">
        <f aca="false">CONCATENATE(F1477,G1477,H1477)</f>
        <v>788</v>
      </c>
      <c r="J1477" s="1" t="str">
        <f aca="false">_xlfn.IFS(AND(F1477&gt;=8,G1477&gt;=8,H1477&gt;=8),"CHAMPION",AND(F1477&gt;=6,G1477&gt;=7,H1477&gt;=6),"LOYAL CUSTOMER",AND(F1477&gt;=6,G1477&gt;=5,H1477&gt;=5),"POTENTIAL LOYALIST",AND(F1477&gt;=8,G1477&lt;=2,H1477&gt;=5),"NEW CUSTOMERS",AND(F1477&gt;=6,G1477&lt;=2,H1477&gt;=3),"PROMISING",AND(F1477&gt;=3,G1477&gt;=3,H1477&gt;=3),"NEED ATTENTION",AND(F1477&lt;=4,G1477&gt;=6,H1477&gt;=6),"AT RISK",AND(F1477&lt;=2,G1477&gt;=8,H1477&gt;=8),"CAN'T LOSE THEM",AND(F1477&lt;=2,G1477&lt;=2,H1477&lt;=2),"HIBERNATING",TRUE(),"Other")</f>
        <v>LOYAL CUSTOMER</v>
      </c>
      <c r="K1477" s="1" t="n">
        <f aca="false">RANK(E1477,$E$7:$E$4378)+COUNTIF($E$7:E1477,E1477)-1</f>
        <v>668</v>
      </c>
    </row>
    <row r="1478" customFormat="false" ht="14.25" hidden="false" customHeight="true" outlineLevel="0" collapsed="false">
      <c r="A1478" s="51" t="n">
        <v>14335</v>
      </c>
      <c r="B1478" s="53" t="n">
        <v>40870.5701388889</v>
      </c>
      <c r="C1478" s="57" t="n">
        <f aca="false">INT($C$2)-INT(Table3[[#This Row],[Last Purchase Date]])</f>
        <v>17</v>
      </c>
      <c r="D1478" s="1" t="n">
        <v>2</v>
      </c>
      <c r="E1478" s="1" t="n">
        <v>468.26</v>
      </c>
      <c r="F1478" s="1" t="n">
        <f aca="false">ROUND((1-_xlfn.PERCENTRANK.INC($C$7:$C$4378,C1478))*9,0)</f>
        <v>7</v>
      </c>
      <c r="G1478" s="1" t="n">
        <f aca="false">ROUND(_xlfn.PERCENTRANK.INC($D$7:$D$4378,D1478)*9,0)</f>
        <v>3</v>
      </c>
      <c r="H1478" s="1" t="n">
        <f aca="false">ROUND(_xlfn.PERCENTRANK.INC($E$7:$E$4378,E1478)*9,0)</f>
        <v>4</v>
      </c>
      <c r="I1478" s="1" t="str">
        <f aca="false">CONCATENATE(F1478,G1478,H1478)</f>
        <v>734</v>
      </c>
      <c r="J1478" s="1" t="str">
        <f aca="false">_xlfn.IFS(AND(F1478&gt;=8,G1478&gt;=8,H1478&gt;=8),"CHAMPION",AND(F1478&gt;=6,G1478&gt;=7,H1478&gt;=6),"LOYAL CUSTOMER",AND(F1478&gt;=6,G1478&gt;=5,H1478&gt;=5),"POTENTIAL LOYALIST",AND(F1478&gt;=8,G1478&lt;=2,H1478&gt;=5),"NEW CUSTOMERS",AND(F1478&gt;=6,G1478&lt;=2,H1478&gt;=3),"PROMISING",AND(F1478&gt;=3,G1478&gt;=3,H1478&gt;=3),"NEED ATTENTION",AND(F1478&lt;=4,G1478&gt;=6,H1478&gt;=6),"AT RISK",AND(F1478&lt;=2,G1478&gt;=8,H1478&gt;=8),"CAN'T LOSE THEM",AND(F1478&lt;=2,G1478&lt;=2,H1478&lt;=2),"HIBERNATING",TRUE(),"Other")</f>
        <v>NEED ATTENTION</v>
      </c>
      <c r="K1478" s="1" t="n">
        <f aca="false">RANK(E1478,$E$7:$E$4378)+COUNTIF($E$7:E1478,E1478)-1</f>
        <v>2619</v>
      </c>
    </row>
    <row r="1479" customFormat="false" ht="14.25" hidden="false" customHeight="true" outlineLevel="0" collapsed="false">
      <c r="A1479" s="51" t="n">
        <v>14336</v>
      </c>
      <c r="B1479" s="53" t="n">
        <v>40870.4861111111</v>
      </c>
      <c r="C1479" s="57" t="n">
        <f aca="false">INT($C$2)-INT(Table3[[#This Row],[Last Purchase Date]])</f>
        <v>17</v>
      </c>
      <c r="D1479" s="1" t="n">
        <v>4</v>
      </c>
      <c r="E1479" s="1" t="n">
        <v>1614.91</v>
      </c>
      <c r="F1479" s="1" t="n">
        <f aca="false">ROUND((1-_xlfn.PERCENTRANK.INC($C$7:$C$4378,C1479))*9,0)</f>
        <v>7</v>
      </c>
      <c r="G1479" s="1" t="n">
        <f aca="false">ROUND(_xlfn.PERCENTRANK.INC($D$7:$D$4378,D1479)*9,0)</f>
        <v>5</v>
      </c>
      <c r="H1479" s="1" t="n">
        <f aca="false">ROUND(_xlfn.PERCENTRANK.INC($E$7:$E$4378,E1479)*9,0)</f>
        <v>7</v>
      </c>
      <c r="I1479" s="1" t="str">
        <f aca="false">CONCATENATE(F1479,G1479,H1479)</f>
        <v>757</v>
      </c>
      <c r="J1479" s="1" t="str">
        <f aca="false">_xlfn.IFS(AND(F1479&gt;=8,G1479&gt;=8,H1479&gt;=8),"CHAMPION",AND(F1479&gt;=6,G1479&gt;=7,H1479&gt;=6),"LOYAL CUSTOMER",AND(F1479&gt;=6,G1479&gt;=5,H1479&gt;=5),"POTENTIAL LOYALIST",AND(F1479&gt;=8,G1479&lt;=2,H1479&gt;=5),"NEW CUSTOMERS",AND(F1479&gt;=6,G1479&lt;=2,H1479&gt;=3),"PROMISING",AND(F1479&gt;=3,G1479&gt;=3,H1479&gt;=3),"NEED ATTENTION",AND(F1479&lt;=4,G1479&gt;=6,H1479&gt;=6),"AT RISK",AND(F1479&lt;=2,G1479&gt;=8,H1479&gt;=8),"CAN'T LOSE THEM",AND(F1479&lt;=2,G1479&lt;=2,H1479&lt;=2),"HIBERNATING",TRUE(),"Other")</f>
        <v>POTENTIAL LOYALIST</v>
      </c>
      <c r="K1479" s="1" t="n">
        <f aca="false">RANK(E1479,$E$7:$E$4378)+COUNTIF($E$7:E1479,E1479)-1</f>
        <v>1091</v>
      </c>
    </row>
    <row r="1480" customFormat="false" ht="14.25" hidden="false" customHeight="true" outlineLevel="0" collapsed="false">
      <c r="A1480" s="51" t="n">
        <v>14338</v>
      </c>
      <c r="B1480" s="53" t="n">
        <v>40728.6666666667</v>
      </c>
      <c r="C1480" s="57" t="n">
        <f aca="false">INT($C$2)-INT(Table3[[#This Row],[Last Purchase Date]])</f>
        <v>159</v>
      </c>
      <c r="D1480" s="1" t="n">
        <v>4</v>
      </c>
      <c r="E1480" s="1" t="n">
        <v>554.22</v>
      </c>
      <c r="F1480" s="1" t="n">
        <f aca="false">ROUND((1-_xlfn.PERCENTRANK.INC($C$7:$C$4378,C1480))*9,0)</f>
        <v>2</v>
      </c>
      <c r="G1480" s="1" t="n">
        <f aca="false">ROUND(_xlfn.PERCENTRANK.INC($D$7:$D$4378,D1480)*9,0)</f>
        <v>5</v>
      </c>
      <c r="H1480" s="1" t="n">
        <f aca="false">ROUND(_xlfn.PERCENTRANK.INC($E$7:$E$4378,E1480)*9,0)</f>
        <v>4</v>
      </c>
      <c r="I1480" s="1" t="str">
        <f aca="false">CONCATENATE(F1480,G1480,H1480)</f>
        <v>254</v>
      </c>
      <c r="J1480" s="1" t="str">
        <f aca="false">_xlfn.IFS(AND(F1480&gt;=8,G1480&gt;=8,H1480&gt;=8),"CHAMPION",AND(F1480&gt;=6,G1480&gt;=7,H1480&gt;=6),"LOYAL CUSTOMER",AND(F1480&gt;=6,G1480&gt;=5,H1480&gt;=5),"POTENTIAL LOYALIST",AND(F1480&gt;=8,G1480&lt;=2,H1480&gt;=5),"NEW CUSTOMERS",AND(F1480&gt;=6,G1480&lt;=2,H1480&gt;=3),"PROMISING",AND(F1480&gt;=3,G1480&gt;=3,H1480&gt;=3),"NEED ATTENTION",AND(F1480&lt;=4,G1480&gt;=6,H1480&gt;=6),"AT RISK",AND(F1480&lt;=2,G1480&gt;=8,H1480&gt;=8),"CAN'T LOSE THEM",AND(F1480&lt;=2,G1480&lt;=2,H1480&lt;=2),"HIBERNATING",TRUE(),"Other")</f>
        <v>Other</v>
      </c>
      <c r="K1480" s="1" t="n">
        <f aca="false">RANK(E1480,$E$7:$E$4378)+COUNTIF($E$7:E1480,E1480)-1</f>
        <v>2423</v>
      </c>
    </row>
    <row r="1481" customFormat="false" ht="14.25" hidden="false" customHeight="true" outlineLevel="0" collapsed="false">
      <c r="A1481" s="51" t="n">
        <v>14339</v>
      </c>
      <c r="B1481" s="53" t="n">
        <v>40652.4798611111</v>
      </c>
      <c r="C1481" s="57" t="n">
        <f aca="false">INT($C$2)-INT(Table3[[#This Row],[Last Purchase Date]])</f>
        <v>235</v>
      </c>
      <c r="D1481" s="1" t="n">
        <v>4</v>
      </c>
      <c r="E1481" s="1" t="n">
        <v>289.91</v>
      </c>
      <c r="F1481" s="1" t="n">
        <f aca="false">ROUND((1-_xlfn.PERCENTRANK.INC($C$7:$C$4378,C1481))*9,0)</f>
        <v>1</v>
      </c>
      <c r="G1481" s="1" t="n">
        <f aca="false">ROUND(_xlfn.PERCENTRANK.INC($D$7:$D$4378,D1481)*9,0)</f>
        <v>5</v>
      </c>
      <c r="H1481" s="1" t="n">
        <f aca="false">ROUND(_xlfn.PERCENTRANK.INC($E$7:$E$4378,E1481)*9,0)</f>
        <v>2</v>
      </c>
      <c r="I1481" s="1" t="str">
        <f aca="false">CONCATENATE(F1481,G1481,H1481)</f>
        <v>152</v>
      </c>
      <c r="J1481" s="1" t="str">
        <f aca="false">_xlfn.IFS(AND(F1481&gt;=8,G1481&gt;=8,H1481&gt;=8),"CHAMPION",AND(F1481&gt;=6,G1481&gt;=7,H1481&gt;=6),"LOYAL CUSTOMER",AND(F1481&gt;=6,G1481&gt;=5,H1481&gt;=5),"POTENTIAL LOYALIST",AND(F1481&gt;=8,G1481&lt;=2,H1481&gt;=5),"NEW CUSTOMERS",AND(F1481&gt;=6,G1481&lt;=2,H1481&gt;=3),"PROMISING",AND(F1481&gt;=3,G1481&gt;=3,H1481&gt;=3),"NEED ATTENTION",AND(F1481&lt;=4,G1481&gt;=6,H1481&gt;=6),"AT RISK",AND(F1481&lt;=2,G1481&gt;=8,H1481&gt;=8),"CAN'T LOSE THEM",AND(F1481&lt;=2,G1481&lt;=2,H1481&lt;=2),"HIBERNATING",TRUE(),"Other")</f>
        <v>Other</v>
      </c>
      <c r="K1481" s="1" t="n">
        <f aca="false">RANK(E1481,$E$7:$E$4378)+COUNTIF($E$7:E1481,E1481)-1</f>
        <v>3297</v>
      </c>
    </row>
    <row r="1482" customFormat="false" ht="14.25" hidden="false" customHeight="true" outlineLevel="0" collapsed="false">
      <c r="A1482" s="51" t="n">
        <v>14340</v>
      </c>
      <c r="B1482" s="53" t="n">
        <v>40668.4055555556</v>
      </c>
      <c r="C1482" s="57" t="n">
        <f aca="false">INT($C$2)-INT(Table3[[#This Row],[Last Purchase Date]])</f>
        <v>219</v>
      </c>
      <c r="D1482" s="1" t="n">
        <v>1</v>
      </c>
      <c r="E1482" s="1" t="n">
        <v>134.7</v>
      </c>
      <c r="F1482" s="1" t="n">
        <f aca="false">ROUND((1-_xlfn.PERCENTRANK.INC($C$7:$C$4378,C1482))*9,0)</f>
        <v>1</v>
      </c>
      <c r="G1482" s="1" t="n">
        <f aca="false">ROUND(_xlfn.PERCENTRANK.INC($D$7:$D$4378,D1482)*9,0)</f>
        <v>0</v>
      </c>
      <c r="H1482" s="1" t="n">
        <f aca="false">ROUND(_xlfn.PERCENTRANK.INC($E$7:$E$4378,E1482)*9,0)</f>
        <v>1</v>
      </c>
      <c r="I1482" s="1" t="str">
        <f aca="false">CONCATENATE(F1482,G1482,H1482)</f>
        <v>101</v>
      </c>
      <c r="J1482" s="1" t="str">
        <f aca="false">_xlfn.IFS(AND(F1482&gt;=8,G1482&gt;=8,H1482&gt;=8),"CHAMPION",AND(F1482&gt;=6,G1482&gt;=7,H1482&gt;=6),"LOYAL CUSTOMER",AND(F1482&gt;=6,G1482&gt;=5,H1482&gt;=5),"POTENTIAL LOYALIST",AND(F1482&gt;=8,G1482&lt;=2,H1482&gt;=5),"NEW CUSTOMERS",AND(F1482&gt;=6,G1482&lt;=2,H1482&gt;=3),"PROMISING",AND(F1482&gt;=3,G1482&gt;=3,H1482&gt;=3),"NEED ATTENTION",AND(F1482&lt;=4,G1482&gt;=6,H1482&gt;=6),"AT RISK",AND(F1482&lt;=2,G1482&gt;=8,H1482&gt;=8),"CAN'T LOSE THEM",AND(F1482&lt;=2,G1482&lt;=2,H1482&lt;=2),"HIBERNATING",TRUE(),"Other")</f>
        <v>HIBERNATING</v>
      </c>
      <c r="K1482" s="1" t="n">
        <f aca="false">RANK(E1482,$E$7:$E$4378)+COUNTIF($E$7:E1482,E1482)-1</f>
        <v>3988</v>
      </c>
    </row>
    <row r="1483" customFormat="false" ht="14.25" hidden="false" customHeight="true" outlineLevel="0" collapsed="false">
      <c r="A1483" s="51" t="n">
        <v>14341</v>
      </c>
      <c r="B1483" s="53" t="n">
        <v>40841.6583333333</v>
      </c>
      <c r="C1483" s="57" t="n">
        <f aca="false">INT($C$2)-INT(Table3[[#This Row],[Last Purchase Date]])</f>
        <v>46</v>
      </c>
      <c r="D1483" s="1" t="n">
        <v>9</v>
      </c>
      <c r="E1483" s="1" t="n">
        <v>2166.38</v>
      </c>
      <c r="F1483" s="1" t="n">
        <f aca="false">ROUND((1-_xlfn.PERCENTRANK.INC($C$7:$C$4378,C1483))*9,0)</f>
        <v>5</v>
      </c>
      <c r="G1483" s="1" t="n">
        <f aca="false">ROUND(_xlfn.PERCENTRANK.INC($D$7:$D$4378,D1483)*9,0)</f>
        <v>8</v>
      </c>
      <c r="H1483" s="1" t="n">
        <f aca="false">ROUND(_xlfn.PERCENTRANK.INC($E$7:$E$4378,E1483)*9,0)</f>
        <v>7</v>
      </c>
      <c r="I1483" s="1" t="str">
        <f aca="false">CONCATENATE(F1483,G1483,H1483)</f>
        <v>587</v>
      </c>
      <c r="J1483" s="1" t="str">
        <f aca="false">_xlfn.IFS(AND(F1483&gt;=8,G1483&gt;=8,H1483&gt;=8),"CHAMPION",AND(F1483&gt;=6,G1483&gt;=7,H1483&gt;=6),"LOYAL CUSTOMER",AND(F1483&gt;=6,G1483&gt;=5,H1483&gt;=5),"POTENTIAL LOYALIST",AND(F1483&gt;=8,G1483&lt;=2,H1483&gt;=5),"NEW CUSTOMERS",AND(F1483&gt;=6,G1483&lt;=2,H1483&gt;=3),"PROMISING",AND(F1483&gt;=3,G1483&gt;=3,H1483&gt;=3),"NEED ATTENTION",AND(F1483&lt;=4,G1483&gt;=6,H1483&gt;=6),"AT RISK",AND(F1483&lt;=2,G1483&gt;=8,H1483&gt;=8),"CAN'T LOSE THEM",AND(F1483&lt;=2,G1483&lt;=2,H1483&lt;=2),"HIBERNATING",TRUE(),"Other")</f>
        <v>NEED ATTENTION</v>
      </c>
      <c r="K1483" s="1" t="n">
        <f aca="false">RANK(E1483,$E$7:$E$4378)+COUNTIF($E$7:E1483,E1483)-1</f>
        <v>798</v>
      </c>
    </row>
    <row r="1484" customFormat="false" ht="14.25" hidden="false" customHeight="true" outlineLevel="0" collapsed="false">
      <c r="A1484" s="51" t="n">
        <v>14342</v>
      </c>
      <c r="B1484" s="53" t="n">
        <v>40865.55625</v>
      </c>
      <c r="C1484" s="57" t="n">
        <f aca="false">INT($C$2)-INT(Table3[[#This Row],[Last Purchase Date]])</f>
        <v>22</v>
      </c>
      <c r="D1484" s="1" t="n">
        <v>6</v>
      </c>
      <c r="E1484" s="1" t="n">
        <v>607.71</v>
      </c>
      <c r="F1484" s="1" t="n">
        <f aca="false">ROUND((1-_xlfn.PERCENTRANK.INC($C$7:$C$4378,C1484))*9,0)</f>
        <v>6</v>
      </c>
      <c r="G1484" s="1" t="n">
        <f aca="false">ROUND(_xlfn.PERCENTRANK.INC($D$7:$D$4378,D1484)*9,0)</f>
        <v>7</v>
      </c>
      <c r="H1484" s="1" t="n">
        <f aca="false">ROUND(_xlfn.PERCENTRANK.INC($E$7:$E$4378,E1484)*9,0)</f>
        <v>4</v>
      </c>
      <c r="I1484" s="1" t="str">
        <f aca="false">CONCATENATE(F1484,G1484,H1484)</f>
        <v>674</v>
      </c>
      <c r="J1484" s="1" t="str">
        <f aca="false">_xlfn.IFS(AND(F1484&gt;=8,G1484&gt;=8,H1484&gt;=8),"CHAMPION",AND(F1484&gt;=6,G1484&gt;=7,H1484&gt;=6),"LOYAL CUSTOMER",AND(F1484&gt;=6,G1484&gt;=5,H1484&gt;=5),"POTENTIAL LOYALIST",AND(F1484&gt;=8,G1484&lt;=2,H1484&gt;=5),"NEW CUSTOMERS",AND(F1484&gt;=6,G1484&lt;=2,H1484&gt;=3),"PROMISING",AND(F1484&gt;=3,G1484&gt;=3,H1484&gt;=3),"NEED ATTENTION",AND(F1484&lt;=4,G1484&gt;=6,H1484&gt;=6),"AT RISK",AND(F1484&lt;=2,G1484&gt;=8,H1484&gt;=8),"CAN'T LOSE THEM",AND(F1484&lt;=2,G1484&lt;=2,H1484&lt;=2),"HIBERNATING",TRUE(),"Other")</f>
        <v>NEED ATTENTION</v>
      </c>
      <c r="K1484" s="1" t="n">
        <f aca="false">RANK(E1484,$E$7:$E$4378)+COUNTIF($E$7:E1484,E1484)-1</f>
        <v>2289</v>
      </c>
    </row>
    <row r="1485" customFormat="false" ht="14.25" hidden="false" customHeight="true" outlineLevel="0" collapsed="false">
      <c r="A1485" s="51" t="n">
        <v>14344</v>
      </c>
      <c r="B1485" s="53" t="n">
        <v>40759.5770833333</v>
      </c>
      <c r="C1485" s="57" t="n">
        <f aca="false">INT($C$2)-INT(Table3[[#This Row],[Last Purchase Date]])</f>
        <v>128</v>
      </c>
      <c r="D1485" s="1" t="n">
        <v>8</v>
      </c>
      <c r="E1485" s="1" t="n">
        <v>889.93</v>
      </c>
      <c r="F1485" s="1" t="n">
        <f aca="false">ROUND((1-_xlfn.PERCENTRANK.INC($C$7:$C$4378,C1485))*9,0)</f>
        <v>2</v>
      </c>
      <c r="G1485" s="1" t="n">
        <f aca="false">ROUND(_xlfn.PERCENTRANK.INC($D$7:$D$4378,D1485)*9,0)</f>
        <v>7</v>
      </c>
      <c r="H1485" s="1" t="n">
        <f aca="false">ROUND(_xlfn.PERCENTRANK.INC($E$7:$E$4378,E1485)*9,0)</f>
        <v>5</v>
      </c>
      <c r="I1485" s="1" t="str">
        <f aca="false">CONCATENATE(F1485,G1485,H1485)</f>
        <v>275</v>
      </c>
      <c r="J1485" s="1" t="str">
        <f aca="false">_xlfn.IFS(AND(F1485&gt;=8,G1485&gt;=8,H1485&gt;=8),"CHAMPION",AND(F1485&gt;=6,G1485&gt;=7,H1485&gt;=6),"LOYAL CUSTOMER",AND(F1485&gt;=6,G1485&gt;=5,H1485&gt;=5),"POTENTIAL LOYALIST",AND(F1485&gt;=8,G1485&lt;=2,H1485&gt;=5),"NEW CUSTOMERS",AND(F1485&gt;=6,G1485&lt;=2,H1485&gt;=3),"PROMISING",AND(F1485&gt;=3,G1485&gt;=3,H1485&gt;=3),"NEED ATTENTION",AND(F1485&lt;=4,G1485&gt;=6,H1485&gt;=6),"AT RISK",AND(F1485&lt;=2,G1485&gt;=8,H1485&gt;=8),"CAN'T LOSE THEM",AND(F1485&lt;=2,G1485&lt;=2,H1485&lt;=2),"HIBERNATING",TRUE(),"Other")</f>
        <v>Other</v>
      </c>
      <c r="K1485" s="1" t="n">
        <f aca="false">RANK(E1485,$E$7:$E$4378)+COUNTIF($E$7:E1485,E1485)-1</f>
        <v>1775</v>
      </c>
    </row>
    <row r="1486" customFormat="false" ht="14.25" hidden="false" customHeight="true" outlineLevel="0" collapsed="false">
      <c r="A1486" s="51" t="n">
        <v>14345</v>
      </c>
      <c r="B1486" s="53" t="n">
        <v>40848.4104166667</v>
      </c>
      <c r="C1486" s="57" t="n">
        <f aca="false">INT($C$2)-INT(Table3[[#This Row],[Last Purchase Date]])</f>
        <v>39</v>
      </c>
      <c r="D1486" s="1" t="n">
        <v>1</v>
      </c>
      <c r="E1486" s="1" t="n">
        <v>108.98</v>
      </c>
      <c r="F1486" s="1" t="n">
        <f aca="false">ROUND((1-_xlfn.PERCENTRANK.INC($C$7:$C$4378,C1486))*9,0)</f>
        <v>5</v>
      </c>
      <c r="G1486" s="1" t="n">
        <f aca="false">ROUND(_xlfn.PERCENTRANK.INC($D$7:$D$4378,D1486)*9,0)</f>
        <v>0</v>
      </c>
      <c r="H1486" s="1" t="n">
        <f aca="false">ROUND(_xlfn.PERCENTRANK.INC($E$7:$E$4378,E1486)*9,0)</f>
        <v>1</v>
      </c>
      <c r="I1486" s="1" t="str">
        <f aca="false">CONCATENATE(F1486,G1486,H1486)</f>
        <v>501</v>
      </c>
      <c r="J1486" s="1" t="str">
        <f aca="false">_xlfn.IFS(AND(F1486&gt;=8,G1486&gt;=8,H1486&gt;=8),"CHAMPION",AND(F1486&gt;=6,G1486&gt;=7,H1486&gt;=6),"LOYAL CUSTOMER",AND(F1486&gt;=6,G1486&gt;=5,H1486&gt;=5),"POTENTIAL LOYALIST",AND(F1486&gt;=8,G1486&lt;=2,H1486&gt;=5),"NEW CUSTOMERS",AND(F1486&gt;=6,G1486&lt;=2,H1486&gt;=3),"PROMISING",AND(F1486&gt;=3,G1486&gt;=3,H1486&gt;=3),"NEED ATTENTION",AND(F1486&lt;=4,G1486&gt;=6,H1486&gt;=6),"AT RISK",AND(F1486&lt;=2,G1486&gt;=8,H1486&gt;=8),"CAN'T LOSE THEM",AND(F1486&lt;=2,G1486&lt;=2,H1486&lt;=2),"HIBERNATING",TRUE(),"Other")</f>
        <v>Other</v>
      </c>
      <c r="K1486" s="1" t="n">
        <f aca="false">RANK(E1486,$E$7:$E$4378)+COUNTIF($E$7:E1486,E1486)-1</f>
        <v>4121</v>
      </c>
    </row>
    <row r="1487" customFormat="false" ht="14.25" hidden="false" customHeight="true" outlineLevel="0" collapsed="false">
      <c r="A1487" s="51" t="n">
        <v>14346</v>
      </c>
      <c r="B1487" s="53" t="n">
        <v>40766.4076388889</v>
      </c>
      <c r="C1487" s="57" t="n">
        <f aca="false">INT($C$2)-INT(Table3[[#This Row],[Last Purchase Date]])</f>
        <v>121</v>
      </c>
      <c r="D1487" s="1" t="n">
        <v>2</v>
      </c>
      <c r="E1487" s="1" t="n">
        <v>1021.58</v>
      </c>
      <c r="F1487" s="1" t="n">
        <f aca="false">ROUND((1-_xlfn.PERCENTRANK.INC($C$7:$C$4378,C1487))*9,0)</f>
        <v>3</v>
      </c>
      <c r="G1487" s="1" t="n">
        <f aca="false">ROUND(_xlfn.PERCENTRANK.INC($D$7:$D$4378,D1487)*9,0)</f>
        <v>3</v>
      </c>
      <c r="H1487" s="1" t="n">
        <f aca="false">ROUND(_xlfn.PERCENTRANK.INC($E$7:$E$4378,E1487)*9,0)</f>
        <v>6</v>
      </c>
      <c r="I1487" s="1" t="str">
        <f aca="false">CONCATENATE(F1487,G1487,H1487)</f>
        <v>336</v>
      </c>
      <c r="J1487" s="1" t="str">
        <f aca="false">_xlfn.IFS(AND(F1487&gt;=8,G1487&gt;=8,H1487&gt;=8),"CHAMPION",AND(F1487&gt;=6,G1487&gt;=7,H1487&gt;=6),"LOYAL CUSTOMER",AND(F1487&gt;=6,G1487&gt;=5,H1487&gt;=5),"POTENTIAL LOYALIST",AND(F1487&gt;=8,G1487&lt;=2,H1487&gt;=5),"NEW CUSTOMERS",AND(F1487&gt;=6,G1487&lt;=2,H1487&gt;=3),"PROMISING",AND(F1487&gt;=3,G1487&gt;=3,H1487&gt;=3),"NEED ATTENTION",AND(F1487&lt;=4,G1487&gt;=6,H1487&gt;=6),"AT RISK",AND(F1487&lt;=2,G1487&gt;=8,H1487&gt;=8),"CAN'T LOSE THEM",AND(F1487&lt;=2,G1487&lt;=2,H1487&lt;=2),"HIBERNATING",TRUE(),"Other")</f>
        <v>NEED ATTENTION</v>
      </c>
      <c r="K1487" s="1" t="n">
        <f aca="false">RANK(E1487,$E$7:$E$4378)+COUNTIF($E$7:E1487,E1487)-1</f>
        <v>1603</v>
      </c>
    </row>
    <row r="1488" customFormat="false" ht="14.25" hidden="false" customHeight="true" outlineLevel="0" collapsed="false">
      <c r="A1488" s="51" t="n">
        <v>14348</v>
      </c>
      <c r="B1488" s="53" t="n">
        <v>40626.6826388889</v>
      </c>
      <c r="C1488" s="57" t="n">
        <f aca="false">INT($C$2)-INT(Table3[[#This Row],[Last Purchase Date]])</f>
        <v>261</v>
      </c>
      <c r="D1488" s="1" t="n">
        <v>1</v>
      </c>
      <c r="E1488" s="1" t="n">
        <v>409.57</v>
      </c>
      <c r="F1488" s="1" t="n">
        <f aca="false">ROUND((1-_xlfn.PERCENTRANK.INC($C$7:$C$4378,C1488))*9,0)</f>
        <v>1</v>
      </c>
      <c r="G1488" s="1" t="n">
        <f aca="false">ROUND(_xlfn.PERCENTRANK.INC($D$7:$D$4378,D1488)*9,0)</f>
        <v>0</v>
      </c>
      <c r="H1488" s="1" t="n">
        <f aca="false">ROUND(_xlfn.PERCENTRANK.INC($E$7:$E$4378,E1488)*9,0)</f>
        <v>3</v>
      </c>
      <c r="I1488" s="1" t="str">
        <f aca="false">CONCATENATE(F1488,G1488,H1488)</f>
        <v>103</v>
      </c>
      <c r="J1488" s="1" t="str">
        <f aca="false">_xlfn.IFS(AND(F1488&gt;=8,G1488&gt;=8,H1488&gt;=8),"CHAMPION",AND(F1488&gt;=6,G1488&gt;=7,H1488&gt;=6),"LOYAL CUSTOMER",AND(F1488&gt;=6,G1488&gt;=5,H1488&gt;=5),"POTENTIAL LOYALIST",AND(F1488&gt;=8,G1488&lt;=2,H1488&gt;=5),"NEW CUSTOMERS",AND(F1488&gt;=6,G1488&lt;=2,H1488&gt;=3),"PROMISING",AND(F1488&gt;=3,G1488&gt;=3,H1488&gt;=3),"NEED ATTENTION",AND(F1488&lt;=4,G1488&gt;=6,H1488&gt;=6),"AT RISK",AND(F1488&lt;=2,G1488&gt;=8,H1488&gt;=8),"CAN'T LOSE THEM",AND(F1488&lt;=2,G1488&lt;=2,H1488&lt;=2),"HIBERNATING",TRUE(),"Other")</f>
        <v>Other</v>
      </c>
      <c r="K1488" s="1" t="n">
        <f aca="false">RANK(E1488,$E$7:$E$4378)+COUNTIF($E$7:E1488,E1488)-1</f>
        <v>2792</v>
      </c>
    </row>
    <row r="1489" customFormat="false" ht="14.25" hidden="false" customHeight="true" outlineLevel="0" collapsed="false">
      <c r="A1489" s="51" t="n">
        <v>14349</v>
      </c>
      <c r="B1489" s="53" t="n">
        <v>40876.6520833333</v>
      </c>
      <c r="C1489" s="57" t="n">
        <f aca="false">INT($C$2)-INT(Table3[[#This Row],[Last Purchase Date]])</f>
        <v>11</v>
      </c>
      <c r="D1489" s="1" t="n">
        <v>1</v>
      </c>
      <c r="E1489" s="1" t="n">
        <v>133.5</v>
      </c>
      <c r="F1489" s="1" t="n">
        <f aca="false">ROUND((1-_xlfn.PERCENTRANK.INC($C$7:$C$4378,C1489))*9,0)</f>
        <v>7</v>
      </c>
      <c r="G1489" s="1" t="n">
        <f aca="false">ROUND(_xlfn.PERCENTRANK.INC($D$7:$D$4378,D1489)*9,0)</f>
        <v>0</v>
      </c>
      <c r="H1489" s="1" t="n">
        <f aca="false">ROUND(_xlfn.PERCENTRANK.INC($E$7:$E$4378,E1489)*9,0)</f>
        <v>1</v>
      </c>
      <c r="I1489" s="1" t="str">
        <f aca="false">CONCATENATE(F1489,G1489,H1489)</f>
        <v>701</v>
      </c>
      <c r="J1489" s="1" t="str">
        <f aca="false">_xlfn.IFS(AND(F1489&gt;=8,G1489&gt;=8,H1489&gt;=8),"CHAMPION",AND(F1489&gt;=6,G1489&gt;=7,H1489&gt;=6),"LOYAL CUSTOMER",AND(F1489&gt;=6,G1489&gt;=5,H1489&gt;=5),"POTENTIAL LOYALIST",AND(F1489&gt;=8,G1489&lt;=2,H1489&gt;=5),"NEW CUSTOMERS",AND(F1489&gt;=6,G1489&lt;=2,H1489&gt;=3),"PROMISING",AND(F1489&gt;=3,G1489&gt;=3,H1489&gt;=3),"NEED ATTENTION",AND(F1489&lt;=4,G1489&gt;=6,H1489&gt;=6),"AT RISK",AND(F1489&lt;=2,G1489&gt;=8,H1489&gt;=8),"CAN'T LOSE THEM",AND(F1489&lt;=2,G1489&lt;=2,H1489&lt;=2),"HIBERNATING",TRUE(),"Other")</f>
        <v>Other</v>
      </c>
      <c r="K1489" s="1" t="n">
        <f aca="false">RANK(E1489,$E$7:$E$4378)+COUNTIF($E$7:E1489,E1489)-1</f>
        <v>3995</v>
      </c>
    </row>
    <row r="1490" customFormat="false" ht="14.25" hidden="false" customHeight="true" outlineLevel="0" collapsed="false">
      <c r="A1490" s="51" t="n">
        <v>14350</v>
      </c>
      <c r="B1490" s="53" t="n">
        <v>40616.51875</v>
      </c>
      <c r="C1490" s="57" t="n">
        <f aca="false">INT($C$2)-INT(Table3[[#This Row],[Last Purchase Date]])</f>
        <v>271</v>
      </c>
      <c r="D1490" s="1" t="n">
        <v>2</v>
      </c>
      <c r="E1490" s="1" t="n">
        <v>258.7</v>
      </c>
      <c r="F1490" s="1" t="n">
        <f aca="false">ROUND((1-_xlfn.PERCENTRANK.INC($C$7:$C$4378,C1490))*9,0)</f>
        <v>1</v>
      </c>
      <c r="G1490" s="1" t="n">
        <f aca="false">ROUND(_xlfn.PERCENTRANK.INC($D$7:$D$4378,D1490)*9,0)</f>
        <v>3</v>
      </c>
      <c r="H1490" s="1" t="n">
        <f aca="false">ROUND(_xlfn.PERCENTRANK.INC($E$7:$E$4378,E1490)*9,0)</f>
        <v>2</v>
      </c>
      <c r="I1490" s="1" t="str">
        <f aca="false">CONCATENATE(F1490,G1490,H1490)</f>
        <v>132</v>
      </c>
      <c r="J1490" s="1" t="str">
        <f aca="false">_xlfn.IFS(AND(F1490&gt;=8,G1490&gt;=8,H1490&gt;=8),"CHAMPION",AND(F1490&gt;=6,G1490&gt;=7,H1490&gt;=6),"LOYAL CUSTOMER",AND(F1490&gt;=6,G1490&gt;=5,H1490&gt;=5),"POTENTIAL LOYALIST",AND(F1490&gt;=8,G1490&lt;=2,H1490&gt;=5),"NEW CUSTOMERS",AND(F1490&gt;=6,G1490&lt;=2,H1490&gt;=3),"PROMISING",AND(F1490&gt;=3,G1490&gt;=3,H1490&gt;=3),"NEED ATTENTION",AND(F1490&lt;=4,G1490&gt;=6,H1490&gt;=6),"AT RISK",AND(F1490&lt;=2,G1490&gt;=8,H1490&gt;=8),"CAN'T LOSE THEM",AND(F1490&lt;=2,G1490&lt;=2,H1490&lt;=2),"HIBERNATING",TRUE(),"Other")</f>
        <v>Other</v>
      </c>
      <c r="K1490" s="1" t="n">
        <f aca="false">RANK(E1490,$E$7:$E$4378)+COUNTIF($E$7:E1490,E1490)-1</f>
        <v>3404</v>
      </c>
    </row>
    <row r="1491" customFormat="false" ht="14.25" hidden="false" customHeight="true" outlineLevel="0" collapsed="false">
      <c r="A1491" s="51" t="n">
        <v>14351</v>
      </c>
      <c r="B1491" s="53" t="n">
        <v>40722.4972222222</v>
      </c>
      <c r="C1491" s="57" t="n">
        <f aca="false">INT($C$2)-INT(Table3[[#This Row],[Last Purchase Date]])</f>
        <v>165</v>
      </c>
      <c r="D1491" s="1" t="n">
        <v>1</v>
      </c>
      <c r="E1491" s="1" t="n">
        <v>51</v>
      </c>
      <c r="F1491" s="1" t="n">
        <f aca="false">ROUND((1-_xlfn.PERCENTRANK.INC($C$7:$C$4378,C1491))*9,0)</f>
        <v>2</v>
      </c>
      <c r="G1491" s="1" t="n">
        <f aca="false">ROUND(_xlfn.PERCENTRANK.INC($D$7:$D$4378,D1491)*9,0)</f>
        <v>0</v>
      </c>
      <c r="H1491" s="1" t="n">
        <f aca="false">ROUND(_xlfn.PERCENTRANK.INC($E$7:$E$4378,E1491)*9,0)</f>
        <v>0</v>
      </c>
      <c r="I1491" s="1" t="str">
        <f aca="false">CONCATENATE(F1491,G1491,H1491)</f>
        <v>200</v>
      </c>
      <c r="J1491" s="1" t="str">
        <f aca="false">_xlfn.IFS(AND(F1491&gt;=8,G1491&gt;=8,H1491&gt;=8),"CHAMPION",AND(F1491&gt;=6,G1491&gt;=7,H1491&gt;=6),"LOYAL CUSTOMER",AND(F1491&gt;=6,G1491&gt;=5,H1491&gt;=5),"POTENTIAL LOYALIST",AND(F1491&gt;=8,G1491&lt;=2,H1491&gt;=5),"NEW CUSTOMERS",AND(F1491&gt;=6,G1491&lt;=2,H1491&gt;=3),"PROMISING",AND(F1491&gt;=3,G1491&gt;=3,H1491&gt;=3),"NEED ATTENTION",AND(F1491&lt;=4,G1491&gt;=6,H1491&gt;=6),"AT RISK",AND(F1491&lt;=2,G1491&gt;=8,H1491&gt;=8),"CAN'T LOSE THEM",AND(F1491&lt;=2,G1491&lt;=2,H1491&lt;=2),"HIBERNATING",TRUE(),"Other")</f>
        <v>HIBERNATING</v>
      </c>
      <c r="K1491" s="1" t="n">
        <f aca="false">RANK(E1491,$E$7:$E$4378)+COUNTIF($E$7:E1491,E1491)-1</f>
        <v>4280</v>
      </c>
    </row>
    <row r="1492" customFormat="false" ht="14.25" hidden="false" customHeight="true" outlineLevel="0" collapsed="false">
      <c r="A1492" s="51" t="n">
        <v>14352</v>
      </c>
      <c r="B1492" s="53" t="n">
        <v>40729.6534722222</v>
      </c>
      <c r="C1492" s="57" t="n">
        <f aca="false">INT($C$2)-INT(Table3[[#This Row],[Last Purchase Date]])</f>
        <v>158</v>
      </c>
      <c r="D1492" s="1" t="n">
        <v>4</v>
      </c>
      <c r="E1492" s="1" t="n">
        <v>1078.96</v>
      </c>
      <c r="F1492" s="1" t="n">
        <f aca="false">ROUND((1-_xlfn.PERCENTRANK.INC($C$7:$C$4378,C1492))*9,0)</f>
        <v>2</v>
      </c>
      <c r="G1492" s="1" t="n">
        <f aca="false">ROUND(_xlfn.PERCENTRANK.INC($D$7:$D$4378,D1492)*9,0)</f>
        <v>5</v>
      </c>
      <c r="H1492" s="1" t="n">
        <f aca="false">ROUND(_xlfn.PERCENTRANK.INC($E$7:$E$4378,E1492)*9,0)</f>
        <v>6</v>
      </c>
      <c r="I1492" s="1" t="str">
        <f aca="false">CONCATENATE(F1492,G1492,H1492)</f>
        <v>256</v>
      </c>
      <c r="J1492" s="1" t="str">
        <f aca="false">_xlfn.IFS(AND(F1492&gt;=8,G1492&gt;=8,H1492&gt;=8),"CHAMPION",AND(F1492&gt;=6,G1492&gt;=7,H1492&gt;=6),"LOYAL CUSTOMER",AND(F1492&gt;=6,G1492&gt;=5,H1492&gt;=5),"POTENTIAL LOYALIST",AND(F1492&gt;=8,G1492&lt;=2,H1492&gt;=5),"NEW CUSTOMERS",AND(F1492&gt;=6,G1492&lt;=2,H1492&gt;=3),"PROMISING",AND(F1492&gt;=3,G1492&gt;=3,H1492&gt;=3),"NEED ATTENTION",AND(F1492&lt;=4,G1492&gt;=6,H1492&gt;=6),"AT RISK",AND(F1492&lt;=2,G1492&gt;=8,H1492&gt;=8),"CAN'T LOSE THEM",AND(F1492&lt;=2,G1492&lt;=2,H1492&lt;=2),"HIBERNATING",TRUE(),"Other")</f>
        <v>Other</v>
      </c>
      <c r="K1492" s="1" t="n">
        <f aca="false">RANK(E1492,$E$7:$E$4378)+COUNTIF($E$7:E1492,E1492)-1</f>
        <v>1531</v>
      </c>
    </row>
    <row r="1493" customFormat="false" ht="14.25" hidden="false" customHeight="true" outlineLevel="0" collapsed="false">
      <c r="A1493" s="51" t="n">
        <v>14353</v>
      </c>
      <c r="B1493" s="53" t="n">
        <v>40671.6708333333</v>
      </c>
      <c r="C1493" s="57" t="n">
        <f aca="false">INT($C$2)-INT(Table3[[#This Row],[Last Purchase Date]])</f>
        <v>216</v>
      </c>
      <c r="D1493" s="1" t="n">
        <v>1</v>
      </c>
      <c r="E1493" s="1" t="n">
        <v>90.6</v>
      </c>
      <c r="F1493" s="1" t="n">
        <f aca="false">ROUND((1-_xlfn.PERCENTRANK.INC($C$7:$C$4378,C1493))*9,0)</f>
        <v>1</v>
      </c>
      <c r="G1493" s="1" t="n">
        <f aca="false">ROUND(_xlfn.PERCENTRANK.INC($D$7:$D$4378,D1493)*9,0)</f>
        <v>0</v>
      </c>
      <c r="H1493" s="1" t="n">
        <f aca="false">ROUND(_xlfn.PERCENTRANK.INC($E$7:$E$4378,E1493)*9,0)</f>
        <v>0</v>
      </c>
      <c r="I1493" s="1" t="str">
        <f aca="false">CONCATENATE(F1493,G1493,H1493)</f>
        <v>100</v>
      </c>
      <c r="J1493" s="1" t="str">
        <f aca="false">_xlfn.IFS(AND(F1493&gt;=8,G1493&gt;=8,H1493&gt;=8),"CHAMPION",AND(F1493&gt;=6,G1493&gt;=7,H1493&gt;=6),"LOYAL CUSTOMER",AND(F1493&gt;=6,G1493&gt;=5,H1493&gt;=5),"POTENTIAL LOYALIST",AND(F1493&gt;=8,G1493&lt;=2,H1493&gt;=5),"NEW CUSTOMERS",AND(F1493&gt;=6,G1493&lt;=2,H1493&gt;=3),"PROMISING",AND(F1493&gt;=3,G1493&gt;=3,H1493&gt;=3),"NEED ATTENTION",AND(F1493&lt;=4,G1493&gt;=6,H1493&gt;=6),"AT RISK",AND(F1493&lt;=2,G1493&gt;=8,H1493&gt;=8),"CAN'T LOSE THEM",AND(F1493&lt;=2,G1493&lt;=2,H1493&lt;=2),"HIBERNATING",TRUE(),"Other")</f>
        <v>HIBERNATING</v>
      </c>
      <c r="K1493" s="1" t="n">
        <f aca="false">RANK(E1493,$E$7:$E$4378)+COUNTIF($E$7:E1493,E1493)-1</f>
        <v>4191</v>
      </c>
    </row>
    <row r="1494" customFormat="false" ht="14.25" hidden="false" customHeight="true" outlineLevel="0" collapsed="false">
      <c r="A1494" s="51" t="n">
        <v>14354</v>
      </c>
      <c r="B1494" s="53" t="n">
        <v>40881.4805555556</v>
      </c>
      <c r="C1494" s="57" t="n">
        <f aca="false">INT($C$2)-INT(Table3[[#This Row],[Last Purchase Date]])</f>
        <v>6</v>
      </c>
      <c r="D1494" s="1" t="n">
        <v>2</v>
      </c>
      <c r="E1494" s="1" t="n">
        <v>163.62</v>
      </c>
      <c r="F1494" s="1" t="n">
        <f aca="false">ROUND((1-_xlfn.PERCENTRANK.INC($C$7:$C$4378,C1494))*9,0)</f>
        <v>8</v>
      </c>
      <c r="G1494" s="1" t="n">
        <f aca="false">ROUND(_xlfn.PERCENTRANK.INC($D$7:$D$4378,D1494)*9,0)</f>
        <v>3</v>
      </c>
      <c r="H1494" s="1" t="n">
        <f aca="false">ROUND(_xlfn.PERCENTRANK.INC($E$7:$E$4378,E1494)*9,0)</f>
        <v>1</v>
      </c>
      <c r="I1494" s="1" t="str">
        <f aca="false">CONCATENATE(F1494,G1494,H1494)</f>
        <v>831</v>
      </c>
      <c r="J1494" s="1" t="str">
        <f aca="false">_xlfn.IFS(AND(F1494&gt;=8,G1494&gt;=8,H1494&gt;=8),"CHAMPION",AND(F1494&gt;=6,G1494&gt;=7,H1494&gt;=6),"LOYAL CUSTOMER",AND(F1494&gt;=6,G1494&gt;=5,H1494&gt;=5),"POTENTIAL LOYALIST",AND(F1494&gt;=8,G1494&lt;=2,H1494&gt;=5),"NEW CUSTOMERS",AND(F1494&gt;=6,G1494&lt;=2,H1494&gt;=3),"PROMISING",AND(F1494&gt;=3,G1494&gt;=3,H1494&gt;=3),"NEED ATTENTION",AND(F1494&lt;=4,G1494&gt;=6,H1494&gt;=6),"AT RISK",AND(F1494&lt;=2,G1494&gt;=8,H1494&gt;=8),"CAN'T LOSE THEM",AND(F1494&lt;=2,G1494&lt;=2,H1494&lt;=2),"HIBERNATING",TRUE(),"Other")</f>
        <v>Other</v>
      </c>
      <c r="K1494" s="1" t="n">
        <f aca="false">RANK(E1494,$E$7:$E$4378)+COUNTIF($E$7:E1494,E1494)-1</f>
        <v>3838</v>
      </c>
    </row>
    <row r="1495" customFormat="false" ht="14.25" hidden="false" customHeight="true" outlineLevel="0" collapsed="false">
      <c r="A1495" s="51" t="n">
        <v>14355</v>
      </c>
      <c r="B1495" s="53" t="n">
        <v>40521.5111111111</v>
      </c>
      <c r="C1495" s="57" t="n">
        <f aca="false">INT($C$2)-INT(Table3[[#This Row],[Last Purchase Date]])</f>
        <v>366</v>
      </c>
      <c r="D1495" s="1" t="n">
        <v>1</v>
      </c>
      <c r="E1495" s="1" t="n">
        <v>174.4</v>
      </c>
      <c r="F1495" s="1" t="n">
        <f aca="false">ROUND((1-_xlfn.PERCENTRANK.INC($C$7:$C$4378,C1495))*9,0)</f>
        <v>0</v>
      </c>
      <c r="G1495" s="1" t="n">
        <f aca="false">ROUND(_xlfn.PERCENTRANK.INC($D$7:$D$4378,D1495)*9,0)</f>
        <v>0</v>
      </c>
      <c r="H1495" s="1" t="n">
        <f aca="false">ROUND(_xlfn.PERCENTRANK.INC($E$7:$E$4378,E1495)*9,0)</f>
        <v>1</v>
      </c>
      <c r="I1495" s="1" t="str">
        <f aca="false">CONCATENATE(F1495,G1495,H1495)</f>
        <v>001</v>
      </c>
      <c r="J1495" s="1" t="str">
        <f aca="false">_xlfn.IFS(AND(F1495&gt;=8,G1495&gt;=8,H1495&gt;=8),"CHAMPION",AND(F1495&gt;=6,G1495&gt;=7,H1495&gt;=6),"LOYAL CUSTOMER",AND(F1495&gt;=6,G1495&gt;=5,H1495&gt;=5),"POTENTIAL LOYALIST",AND(F1495&gt;=8,G1495&lt;=2,H1495&gt;=5),"NEW CUSTOMERS",AND(F1495&gt;=6,G1495&lt;=2,H1495&gt;=3),"PROMISING",AND(F1495&gt;=3,G1495&gt;=3,H1495&gt;=3),"NEED ATTENTION",AND(F1495&lt;=4,G1495&gt;=6,H1495&gt;=6),"AT RISK",AND(F1495&lt;=2,G1495&gt;=8,H1495&gt;=8),"CAN'T LOSE THEM",AND(F1495&lt;=2,G1495&lt;=2,H1495&lt;=2),"HIBERNATING",TRUE(),"Other")</f>
        <v>HIBERNATING</v>
      </c>
      <c r="K1495" s="1" t="n">
        <f aca="false">RANK(E1495,$E$7:$E$4378)+COUNTIF($E$7:E1495,E1495)-1</f>
        <v>3782</v>
      </c>
    </row>
    <row r="1496" customFormat="false" ht="14.25" hidden="false" customHeight="true" outlineLevel="0" collapsed="false">
      <c r="A1496" s="51" t="n">
        <v>14356</v>
      </c>
      <c r="B1496" s="53" t="n">
        <v>40826.7194444445</v>
      </c>
      <c r="C1496" s="57" t="n">
        <f aca="false">INT($C$2)-INT(Table3[[#This Row],[Last Purchase Date]])</f>
        <v>61</v>
      </c>
      <c r="D1496" s="1" t="n">
        <v>4</v>
      </c>
      <c r="E1496" s="1" t="n">
        <v>666.94</v>
      </c>
      <c r="F1496" s="1" t="n">
        <f aca="false">ROUND((1-_xlfn.PERCENTRANK.INC($C$7:$C$4378,C1496))*9,0)</f>
        <v>4</v>
      </c>
      <c r="G1496" s="1" t="n">
        <f aca="false">ROUND(_xlfn.PERCENTRANK.INC($D$7:$D$4378,D1496)*9,0)</f>
        <v>5</v>
      </c>
      <c r="H1496" s="1" t="n">
        <f aca="false">ROUND(_xlfn.PERCENTRANK.INC($E$7:$E$4378,E1496)*9,0)</f>
        <v>5</v>
      </c>
      <c r="I1496" s="1" t="str">
        <f aca="false">CONCATENATE(F1496,G1496,H1496)</f>
        <v>455</v>
      </c>
      <c r="J1496" s="1" t="str">
        <f aca="false">_xlfn.IFS(AND(F1496&gt;=8,G1496&gt;=8,H1496&gt;=8),"CHAMPION",AND(F1496&gt;=6,G1496&gt;=7,H1496&gt;=6),"LOYAL CUSTOMER",AND(F1496&gt;=6,G1496&gt;=5,H1496&gt;=5),"POTENTIAL LOYALIST",AND(F1496&gt;=8,G1496&lt;=2,H1496&gt;=5),"NEW CUSTOMERS",AND(F1496&gt;=6,G1496&lt;=2,H1496&gt;=3),"PROMISING",AND(F1496&gt;=3,G1496&gt;=3,H1496&gt;=3),"NEED ATTENTION",AND(F1496&lt;=4,G1496&gt;=6,H1496&gt;=6),"AT RISK",AND(F1496&lt;=2,G1496&gt;=8,H1496&gt;=8),"CAN'T LOSE THEM",AND(F1496&lt;=2,G1496&lt;=2,H1496&lt;=2),"HIBERNATING",TRUE(),"Other")</f>
        <v>NEED ATTENTION</v>
      </c>
      <c r="K1496" s="1" t="n">
        <f aca="false">RANK(E1496,$E$7:$E$4378)+COUNTIF($E$7:E1496,E1496)-1</f>
        <v>2136</v>
      </c>
    </row>
    <row r="1497" customFormat="false" ht="14.25" hidden="false" customHeight="true" outlineLevel="0" collapsed="false">
      <c r="A1497" s="51" t="n">
        <v>14357</v>
      </c>
      <c r="B1497" s="53" t="n">
        <v>40843.6826388889</v>
      </c>
      <c r="C1497" s="57" t="n">
        <f aca="false">INT($C$2)-INT(Table3[[#This Row],[Last Purchase Date]])</f>
        <v>44</v>
      </c>
      <c r="D1497" s="1" t="n">
        <v>1</v>
      </c>
      <c r="E1497" s="1" t="n">
        <v>225.77</v>
      </c>
      <c r="F1497" s="1" t="n">
        <f aca="false">ROUND((1-_xlfn.PERCENTRANK.INC($C$7:$C$4378,C1497))*9,0)</f>
        <v>5</v>
      </c>
      <c r="G1497" s="1" t="n">
        <f aca="false">ROUND(_xlfn.PERCENTRANK.INC($D$7:$D$4378,D1497)*9,0)</f>
        <v>0</v>
      </c>
      <c r="H1497" s="1" t="n">
        <f aca="false">ROUND(_xlfn.PERCENTRANK.INC($E$7:$E$4378,E1497)*9,0)</f>
        <v>2</v>
      </c>
      <c r="I1497" s="1" t="str">
        <f aca="false">CONCATENATE(F1497,G1497,H1497)</f>
        <v>502</v>
      </c>
      <c r="J1497" s="1" t="str">
        <f aca="false">_xlfn.IFS(AND(F1497&gt;=8,G1497&gt;=8,H1497&gt;=8),"CHAMPION",AND(F1497&gt;=6,G1497&gt;=7,H1497&gt;=6),"LOYAL CUSTOMER",AND(F1497&gt;=6,G1497&gt;=5,H1497&gt;=5),"POTENTIAL LOYALIST",AND(F1497&gt;=8,G1497&lt;=2,H1497&gt;=5),"NEW CUSTOMERS",AND(F1497&gt;=6,G1497&lt;=2,H1497&gt;=3),"PROMISING",AND(F1497&gt;=3,G1497&gt;=3,H1497&gt;=3),"NEED ATTENTION",AND(F1497&lt;=4,G1497&gt;=6,H1497&gt;=6),"AT RISK",AND(F1497&lt;=2,G1497&gt;=8,H1497&gt;=8),"CAN'T LOSE THEM",AND(F1497&lt;=2,G1497&lt;=2,H1497&lt;=2),"HIBERNATING",TRUE(),"Other")</f>
        <v>Other</v>
      </c>
      <c r="K1497" s="1" t="n">
        <f aca="false">RANK(E1497,$E$7:$E$4378)+COUNTIF($E$7:E1497,E1497)-1</f>
        <v>3537</v>
      </c>
    </row>
    <row r="1498" customFormat="false" ht="14.25" hidden="false" customHeight="true" outlineLevel="0" collapsed="false">
      <c r="A1498" s="51" t="n">
        <v>14359</v>
      </c>
      <c r="B1498" s="53" t="n">
        <v>40867.5534722222</v>
      </c>
      <c r="C1498" s="57" t="n">
        <f aca="false">INT($C$2)-INT(Table3[[#This Row],[Last Purchase Date]])</f>
        <v>20</v>
      </c>
      <c r="D1498" s="1" t="n">
        <v>6</v>
      </c>
      <c r="E1498" s="1" t="n">
        <v>882.58</v>
      </c>
      <c r="F1498" s="1" t="n">
        <f aca="false">ROUND((1-_xlfn.PERCENTRANK.INC($C$7:$C$4378,C1498))*9,0)</f>
        <v>6</v>
      </c>
      <c r="G1498" s="1" t="n">
        <f aca="false">ROUND(_xlfn.PERCENTRANK.INC($D$7:$D$4378,D1498)*9,0)</f>
        <v>7</v>
      </c>
      <c r="H1498" s="1" t="n">
        <f aca="false">ROUND(_xlfn.PERCENTRANK.INC($E$7:$E$4378,E1498)*9,0)</f>
        <v>5</v>
      </c>
      <c r="I1498" s="1" t="str">
        <f aca="false">CONCATENATE(F1498,G1498,H1498)</f>
        <v>675</v>
      </c>
      <c r="J1498" s="1" t="str">
        <f aca="false">_xlfn.IFS(AND(F1498&gt;=8,G1498&gt;=8,H1498&gt;=8),"CHAMPION",AND(F1498&gt;=6,G1498&gt;=7,H1498&gt;=6),"LOYAL CUSTOMER",AND(F1498&gt;=6,G1498&gt;=5,H1498&gt;=5),"POTENTIAL LOYALIST",AND(F1498&gt;=8,G1498&lt;=2,H1498&gt;=5),"NEW CUSTOMERS",AND(F1498&gt;=6,G1498&lt;=2,H1498&gt;=3),"PROMISING",AND(F1498&gt;=3,G1498&gt;=3,H1498&gt;=3),"NEED ATTENTION",AND(F1498&lt;=4,G1498&gt;=6,H1498&gt;=6),"AT RISK",AND(F1498&lt;=2,G1498&gt;=8,H1498&gt;=8),"CAN'T LOSE THEM",AND(F1498&lt;=2,G1498&lt;=2,H1498&lt;=2),"HIBERNATING",TRUE(),"Other")</f>
        <v>POTENTIAL LOYALIST</v>
      </c>
      <c r="K1498" s="1" t="n">
        <f aca="false">RANK(E1498,$E$7:$E$4378)+COUNTIF($E$7:E1498,E1498)-1</f>
        <v>1784</v>
      </c>
    </row>
    <row r="1499" customFormat="false" ht="14.25" hidden="false" customHeight="true" outlineLevel="0" collapsed="false">
      <c r="A1499" s="51" t="n">
        <v>14360</v>
      </c>
      <c r="B1499" s="53" t="n">
        <v>40855.3833333333</v>
      </c>
      <c r="C1499" s="57" t="n">
        <f aca="false">INT($C$2)-INT(Table3[[#This Row],[Last Purchase Date]])</f>
        <v>32</v>
      </c>
      <c r="D1499" s="1" t="n">
        <v>4</v>
      </c>
      <c r="E1499" s="1" t="n">
        <v>2128.23</v>
      </c>
      <c r="F1499" s="1" t="n">
        <f aca="false">ROUND((1-_xlfn.PERCENTRANK.INC($C$7:$C$4378,C1499))*9,0)</f>
        <v>5</v>
      </c>
      <c r="G1499" s="1" t="n">
        <f aca="false">ROUND(_xlfn.PERCENTRANK.INC($D$7:$D$4378,D1499)*9,0)</f>
        <v>5</v>
      </c>
      <c r="H1499" s="1" t="n">
        <f aca="false">ROUND(_xlfn.PERCENTRANK.INC($E$7:$E$4378,E1499)*9,0)</f>
        <v>7</v>
      </c>
      <c r="I1499" s="1" t="str">
        <f aca="false">CONCATENATE(F1499,G1499,H1499)</f>
        <v>557</v>
      </c>
      <c r="J1499" s="1" t="str">
        <f aca="false">_xlfn.IFS(AND(F1499&gt;=8,G1499&gt;=8,H1499&gt;=8),"CHAMPION",AND(F1499&gt;=6,G1499&gt;=7,H1499&gt;=6),"LOYAL CUSTOMER",AND(F1499&gt;=6,G1499&gt;=5,H1499&gt;=5),"POTENTIAL LOYALIST",AND(F1499&gt;=8,G1499&lt;=2,H1499&gt;=5),"NEW CUSTOMERS",AND(F1499&gt;=6,G1499&lt;=2,H1499&gt;=3),"PROMISING",AND(F1499&gt;=3,G1499&gt;=3,H1499&gt;=3),"NEED ATTENTION",AND(F1499&lt;=4,G1499&gt;=6,H1499&gt;=6),"AT RISK",AND(F1499&lt;=2,G1499&gt;=8,H1499&gt;=8),"CAN'T LOSE THEM",AND(F1499&lt;=2,G1499&lt;=2,H1499&lt;=2),"HIBERNATING",TRUE(),"Other")</f>
        <v>NEED ATTENTION</v>
      </c>
      <c r="K1499" s="1" t="n">
        <f aca="false">RANK(E1499,$E$7:$E$4378)+COUNTIF($E$7:E1499,E1499)-1</f>
        <v>813</v>
      </c>
    </row>
    <row r="1500" customFormat="false" ht="14.25" hidden="false" customHeight="true" outlineLevel="0" collapsed="false">
      <c r="A1500" s="51" t="n">
        <v>14362</v>
      </c>
      <c r="B1500" s="53" t="n">
        <v>40864.6305555556</v>
      </c>
      <c r="C1500" s="57" t="n">
        <f aca="false">INT($C$2)-INT(Table3[[#This Row],[Last Purchase Date]])</f>
        <v>23</v>
      </c>
      <c r="D1500" s="1" t="n">
        <v>1</v>
      </c>
      <c r="E1500" s="1" t="n">
        <v>161.2</v>
      </c>
      <c r="F1500" s="1" t="n">
        <f aca="false">ROUND((1-_xlfn.PERCENTRANK.INC($C$7:$C$4378,C1500))*9,0)</f>
        <v>6</v>
      </c>
      <c r="G1500" s="1" t="n">
        <f aca="false">ROUND(_xlfn.PERCENTRANK.INC($D$7:$D$4378,D1500)*9,0)</f>
        <v>0</v>
      </c>
      <c r="H1500" s="1" t="n">
        <f aca="false">ROUND(_xlfn.PERCENTRANK.INC($E$7:$E$4378,E1500)*9,0)</f>
        <v>1</v>
      </c>
      <c r="I1500" s="1" t="str">
        <f aca="false">CONCATENATE(F1500,G1500,H1500)</f>
        <v>601</v>
      </c>
      <c r="J1500" s="1" t="str">
        <f aca="false">_xlfn.IFS(AND(F1500&gt;=8,G1500&gt;=8,H1500&gt;=8),"CHAMPION",AND(F1500&gt;=6,G1500&gt;=7,H1500&gt;=6),"LOYAL CUSTOMER",AND(F1500&gt;=6,G1500&gt;=5,H1500&gt;=5),"POTENTIAL LOYALIST",AND(F1500&gt;=8,G1500&lt;=2,H1500&gt;=5),"NEW CUSTOMERS",AND(F1500&gt;=6,G1500&lt;=2,H1500&gt;=3),"PROMISING",AND(F1500&gt;=3,G1500&gt;=3,H1500&gt;=3),"NEED ATTENTION",AND(F1500&lt;=4,G1500&gt;=6,H1500&gt;=6),"AT RISK",AND(F1500&lt;=2,G1500&gt;=8,H1500&gt;=8),"CAN'T LOSE THEM",AND(F1500&lt;=2,G1500&lt;=2,H1500&lt;=2),"HIBERNATING",TRUE(),"Other")</f>
        <v>Other</v>
      </c>
      <c r="K1500" s="1" t="n">
        <f aca="false">RANK(E1500,$E$7:$E$4378)+COUNTIF($E$7:E1500,E1500)-1</f>
        <v>3850</v>
      </c>
    </row>
    <row r="1501" customFormat="false" ht="14.25" hidden="false" customHeight="true" outlineLevel="0" collapsed="false">
      <c r="A1501" s="51" t="n">
        <v>14364</v>
      </c>
      <c r="B1501" s="53" t="n">
        <v>40778.4590277778</v>
      </c>
      <c r="C1501" s="57" t="n">
        <f aca="false">INT($C$2)-INT(Table3[[#This Row],[Last Purchase Date]])</f>
        <v>109</v>
      </c>
      <c r="D1501" s="1" t="n">
        <v>8</v>
      </c>
      <c r="E1501" s="1" t="n">
        <v>3717.35</v>
      </c>
      <c r="F1501" s="1" t="n">
        <f aca="false">ROUND((1-_xlfn.PERCENTRANK.INC($C$7:$C$4378,C1501))*9,0)</f>
        <v>3</v>
      </c>
      <c r="G1501" s="1" t="n">
        <f aca="false">ROUND(_xlfn.PERCENTRANK.INC($D$7:$D$4378,D1501)*9,0)</f>
        <v>7</v>
      </c>
      <c r="H1501" s="1" t="n">
        <f aca="false">ROUND(_xlfn.PERCENTRANK.INC($E$7:$E$4378,E1501)*9,0)</f>
        <v>8</v>
      </c>
      <c r="I1501" s="1" t="str">
        <f aca="false">CONCATENATE(F1501,G1501,H1501)</f>
        <v>378</v>
      </c>
      <c r="J1501" s="1" t="str">
        <f aca="false">_xlfn.IFS(AND(F1501&gt;=8,G1501&gt;=8,H1501&gt;=8),"CHAMPION",AND(F1501&gt;=6,G1501&gt;=7,H1501&gt;=6),"LOYAL CUSTOMER",AND(F1501&gt;=6,G1501&gt;=5,H1501&gt;=5),"POTENTIAL LOYALIST",AND(F1501&gt;=8,G1501&lt;=2,H1501&gt;=5),"NEW CUSTOMERS",AND(F1501&gt;=6,G1501&lt;=2,H1501&gt;=3),"PROMISING",AND(F1501&gt;=3,G1501&gt;=3,H1501&gt;=3),"NEED ATTENTION",AND(F1501&lt;=4,G1501&gt;=6,H1501&gt;=6),"AT RISK",AND(F1501&lt;=2,G1501&gt;=8,H1501&gt;=8),"CAN'T LOSE THEM",AND(F1501&lt;=2,G1501&lt;=2,H1501&lt;=2),"HIBERNATING",TRUE(),"Other")</f>
        <v>NEED ATTENTION</v>
      </c>
      <c r="K1501" s="1" t="n">
        <f aca="false">RANK(E1501,$E$7:$E$4378)+COUNTIF($E$7:E1501,E1501)-1</f>
        <v>404</v>
      </c>
    </row>
    <row r="1502" customFormat="false" ht="14.25" hidden="false" customHeight="true" outlineLevel="0" collapsed="false">
      <c r="A1502" s="51" t="n">
        <v>14367</v>
      </c>
      <c r="B1502" s="53" t="n">
        <v>40878.5548611111</v>
      </c>
      <c r="C1502" s="57" t="n">
        <f aca="false">INT($C$2)-INT(Table3[[#This Row],[Last Purchase Date]])</f>
        <v>9</v>
      </c>
      <c r="D1502" s="1" t="n">
        <v>19</v>
      </c>
      <c r="E1502" s="1" t="n">
        <v>9167.82000000001</v>
      </c>
      <c r="F1502" s="1" t="n">
        <f aca="false">ROUND((1-_xlfn.PERCENTRANK.INC($C$7:$C$4378,C1502))*9,0)</f>
        <v>8</v>
      </c>
      <c r="G1502" s="1" t="n">
        <f aca="false">ROUND(_xlfn.PERCENTRANK.INC($D$7:$D$4378,D1502)*9,0)</f>
        <v>9</v>
      </c>
      <c r="H1502" s="1" t="n">
        <f aca="false">ROUND(_xlfn.PERCENTRANK.INC($E$7:$E$4378,E1502)*9,0)</f>
        <v>9</v>
      </c>
      <c r="I1502" s="1" t="str">
        <f aca="false">CONCATENATE(F1502,G1502,H1502)</f>
        <v>899</v>
      </c>
      <c r="J1502" s="1" t="str">
        <f aca="false">_xlfn.IFS(AND(F1502&gt;=8,G1502&gt;=8,H1502&gt;=8),"CHAMPION",AND(F1502&gt;=6,G1502&gt;=7,H1502&gt;=6),"LOYAL CUSTOMER",AND(F1502&gt;=6,G1502&gt;=5,H1502&gt;=5),"POTENTIAL LOYALIST",AND(F1502&gt;=8,G1502&lt;=2,H1502&gt;=5),"NEW CUSTOMERS",AND(F1502&gt;=6,G1502&lt;=2,H1502&gt;=3),"PROMISING",AND(F1502&gt;=3,G1502&gt;=3,H1502&gt;=3),"NEED ATTENTION",AND(F1502&lt;=4,G1502&gt;=6,H1502&gt;=6),"AT RISK",AND(F1502&lt;=2,G1502&gt;=8,H1502&gt;=8),"CAN'T LOSE THEM",AND(F1502&lt;=2,G1502&lt;=2,H1502&lt;=2),"HIBERNATING",TRUE(),"Other")</f>
        <v>CHAMPION</v>
      </c>
      <c r="K1502" s="1" t="n">
        <f aca="false">RANK(E1502,$E$7:$E$4378)+COUNTIF($E$7:E1502,E1502)-1</f>
        <v>107</v>
      </c>
    </row>
    <row r="1503" customFormat="false" ht="14.25" hidden="false" customHeight="true" outlineLevel="0" collapsed="false">
      <c r="A1503" s="51" t="n">
        <v>14368</v>
      </c>
      <c r="B1503" s="53" t="n">
        <v>40567.4111111111</v>
      </c>
      <c r="C1503" s="57" t="n">
        <f aca="false">INT($C$2)-INT(Table3[[#This Row],[Last Purchase Date]])</f>
        <v>320</v>
      </c>
      <c r="D1503" s="1" t="n">
        <v>1</v>
      </c>
      <c r="E1503" s="1" t="n">
        <v>155</v>
      </c>
      <c r="F1503" s="1" t="n">
        <f aca="false">ROUND((1-_xlfn.PERCENTRANK.INC($C$7:$C$4378,C1503))*9,0)</f>
        <v>0</v>
      </c>
      <c r="G1503" s="1" t="n">
        <f aca="false">ROUND(_xlfn.PERCENTRANK.INC($D$7:$D$4378,D1503)*9,0)</f>
        <v>0</v>
      </c>
      <c r="H1503" s="1" t="n">
        <f aca="false">ROUND(_xlfn.PERCENTRANK.INC($E$7:$E$4378,E1503)*9,0)</f>
        <v>1</v>
      </c>
      <c r="I1503" s="1" t="str">
        <f aca="false">CONCATENATE(F1503,G1503,H1503)</f>
        <v>001</v>
      </c>
      <c r="J1503" s="1" t="str">
        <f aca="false">_xlfn.IFS(AND(F1503&gt;=8,G1503&gt;=8,H1503&gt;=8),"CHAMPION",AND(F1503&gt;=6,G1503&gt;=7,H1503&gt;=6),"LOYAL CUSTOMER",AND(F1503&gt;=6,G1503&gt;=5,H1503&gt;=5),"POTENTIAL LOYALIST",AND(F1503&gt;=8,G1503&lt;=2,H1503&gt;=5),"NEW CUSTOMERS",AND(F1503&gt;=6,G1503&lt;=2,H1503&gt;=3),"PROMISING",AND(F1503&gt;=3,G1503&gt;=3,H1503&gt;=3),"NEED ATTENTION",AND(F1503&lt;=4,G1503&gt;=6,H1503&gt;=6),"AT RISK",AND(F1503&lt;=2,G1503&gt;=8,H1503&gt;=8),"CAN'T LOSE THEM",AND(F1503&lt;=2,G1503&lt;=2,H1503&lt;=2),"HIBERNATING",TRUE(),"Other")</f>
        <v>HIBERNATING</v>
      </c>
      <c r="K1503" s="1" t="n">
        <f aca="false">RANK(E1503,$E$7:$E$4378)+COUNTIF($E$7:E1503,E1503)-1</f>
        <v>3889</v>
      </c>
    </row>
    <row r="1504" customFormat="false" ht="14.25" hidden="false" customHeight="true" outlineLevel="0" collapsed="false">
      <c r="A1504" s="51" t="n">
        <v>14371</v>
      </c>
      <c r="B1504" s="53" t="n">
        <v>40591.6909722222</v>
      </c>
      <c r="C1504" s="57" t="n">
        <f aca="false">INT($C$2)-INT(Table3[[#This Row],[Last Purchase Date]])</f>
        <v>296</v>
      </c>
      <c r="D1504" s="1" t="n">
        <v>1</v>
      </c>
      <c r="E1504" s="1" t="n">
        <v>100.5</v>
      </c>
      <c r="F1504" s="1" t="n">
        <f aca="false">ROUND((1-_xlfn.PERCENTRANK.INC($C$7:$C$4378,C1504))*9,0)</f>
        <v>1</v>
      </c>
      <c r="G1504" s="1" t="n">
        <f aca="false">ROUND(_xlfn.PERCENTRANK.INC($D$7:$D$4378,D1504)*9,0)</f>
        <v>0</v>
      </c>
      <c r="H1504" s="1" t="n">
        <f aca="false">ROUND(_xlfn.PERCENTRANK.INC($E$7:$E$4378,E1504)*9,0)</f>
        <v>0</v>
      </c>
      <c r="I1504" s="1" t="str">
        <f aca="false">CONCATENATE(F1504,G1504,H1504)</f>
        <v>100</v>
      </c>
      <c r="J1504" s="1" t="str">
        <f aca="false">_xlfn.IFS(AND(F1504&gt;=8,G1504&gt;=8,H1504&gt;=8),"CHAMPION",AND(F1504&gt;=6,G1504&gt;=7,H1504&gt;=6),"LOYAL CUSTOMER",AND(F1504&gt;=6,G1504&gt;=5,H1504&gt;=5),"POTENTIAL LOYALIST",AND(F1504&gt;=8,G1504&lt;=2,H1504&gt;=5),"NEW CUSTOMERS",AND(F1504&gt;=6,G1504&lt;=2,H1504&gt;=3),"PROMISING",AND(F1504&gt;=3,G1504&gt;=3,H1504&gt;=3),"NEED ATTENTION",AND(F1504&lt;=4,G1504&gt;=6,H1504&gt;=6),"AT RISK",AND(F1504&lt;=2,G1504&gt;=8,H1504&gt;=8),"CAN'T LOSE THEM",AND(F1504&lt;=2,G1504&lt;=2,H1504&lt;=2),"HIBERNATING",TRUE(),"Other")</f>
        <v>HIBERNATING</v>
      </c>
      <c r="K1504" s="1" t="n">
        <f aca="false">RANK(E1504,$E$7:$E$4378)+COUNTIF($E$7:E1504,E1504)-1</f>
        <v>4157</v>
      </c>
    </row>
    <row r="1505" customFormat="false" ht="14.25" hidden="false" customHeight="true" outlineLevel="0" collapsed="false">
      <c r="A1505" s="51" t="n">
        <v>14373</v>
      </c>
      <c r="B1505" s="53" t="n">
        <v>40528.6527777778</v>
      </c>
      <c r="C1505" s="57" t="n">
        <f aca="false">INT($C$2)-INT(Table3[[#This Row],[Last Purchase Date]])</f>
        <v>359</v>
      </c>
      <c r="D1505" s="1" t="n">
        <v>1</v>
      </c>
      <c r="E1505" s="1" t="n">
        <v>76.55</v>
      </c>
      <c r="F1505" s="1" t="n">
        <f aca="false">ROUND((1-_xlfn.PERCENTRANK.INC($C$7:$C$4378,C1505))*9,0)</f>
        <v>0</v>
      </c>
      <c r="G1505" s="1" t="n">
        <f aca="false">ROUND(_xlfn.PERCENTRANK.INC($D$7:$D$4378,D1505)*9,0)</f>
        <v>0</v>
      </c>
      <c r="H1505" s="1" t="n">
        <f aca="false">ROUND(_xlfn.PERCENTRANK.INC($E$7:$E$4378,E1505)*9,0)</f>
        <v>0</v>
      </c>
      <c r="I1505" s="1" t="str">
        <f aca="false">CONCATENATE(F1505,G1505,H1505)</f>
        <v>000</v>
      </c>
      <c r="J1505" s="1" t="str">
        <f aca="false">_xlfn.IFS(AND(F1505&gt;=8,G1505&gt;=8,H1505&gt;=8),"CHAMPION",AND(F1505&gt;=6,G1505&gt;=7,H1505&gt;=6),"LOYAL CUSTOMER",AND(F1505&gt;=6,G1505&gt;=5,H1505&gt;=5),"POTENTIAL LOYALIST",AND(F1505&gt;=8,G1505&lt;=2,H1505&gt;=5),"NEW CUSTOMERS",AND(F1505&gt;=6,G1505&lt;=2,H1505&gt;=3),"PROMISING",AND(F1505&gt;=3,G1505&gt;=3,H1505&gt;=3),"NEED ATTENTION",AND(F1505&lt;=4,G1505&gt;=6,H1505&gt;=6),"AT RISK",AND(F1505&lt;=2,G1505&gt;=8,H1505&gt;=8),"CAN'T LOSE THEM",AND(F1505&lt;=2,G1505&lt;=2,H1505&lt;=2),"HIBERNATING",TRUE(),"Other")</f>
        <v>HIBERNATING</v>
      </c>
      <c r="K1505" s="1" t="n">
        <f aca="false">RANK(E1505,$E$7:$E$4378)+COUNTIF($E$7:E1505,E1505)-1</f>
        <v>4226</v>
      </c>
    </row>
    <row r="1506" customFormat="false" ht="14.25" hidden="false" customHeight="true" outlineLevel="0" collapsed="false">
      <c r="A1506" s="51" t="n">
        <v>14375</v>
      </c>
      <c r="B1506" s="53" t="n">
        <v>40701.5722222222</v>
      </c>
      <c r="C1506" s="57" t="n">
        <f aca="false">INT($C$2)-INT(Table3[[#This Row],[Last Purchase Date]])</f>
        <v>186</v>
      </c>
      <c r="D1506" s="1" t="n">
        <v>1</v>
      </c>
      <c r="E1506" s="1" t="n">
        <v>257.68</v>
      </c>
      <c r="F1506" s="1" t="n">
        <f aca="false">ROUND((1-_xlfn.PERCENTRANK.INC($C$7:$C$4378,C1506))*9,0)</f>
        <v>2</v>
      </c>
      <c r="G1506" s="1" t="n">
        <f aca="false">ROUND(_xlfn.PERCENTRANK.INC($D$7:$D$4378,D1506)*9,0)</f>
        <v>0</v>
      </c>
      <c r="H1506" s="1" t="n">
        <f aca="false">ROUND(_xlfn.PERCENTRANK.INC($E$7:$E$4378,E1506)*9,0)</f>
        <v>2</v>
      </c>
      <c r="I1506" s="1" t="str">
        <f aca="false">CONCATENATE(F1506,G1506,H1506)</f>
        <v>202</v>
      </c>
      <c r="J1506" s="1" t="str">
        <f aca="false">_xlfn.IFS(AND(F1506&gt;=8,G1506&gt;=8,H1506&gt;=8),"CHAMPION",AND(F1506&gt;=6,G1506&gt;=7,H1506&gt;=6),"LOYAL CUSTOMER",AND(F1506&gt;=6,G1506&gt;=5,H1506&gt;=5),"POTENTIAL LOYALIST",AND(F1506&gt;=8,G1506&lt;=2,H1506&gt;=5),"NEW CUSTOMERS",AND(F1506&gt;=6,G1506&lt;=2,H1506&gt;=3),"PROMISING",AND(F1506&gt;=3,G1506&gt;=3,H1506&gt;=3),"NEED ATTENTION",AND(F1506&lt;=4,G1506&gt;=6,H1506&gt;=6),"AT RISK",AND(F1506&lt;=2,G1506&gt;=8,H1506&gt;=8),"CAN'T LOSE THEM",AND(F1506&lt;=2,G1506&lt;=2,H1506&lt;=2),"HIBERNATING",TRUE(),"Other")</f>
        <v>HIBERNATING</v>
      </c>
      <c r="K1506" s="1" t="n">
        <f aca="false">RANK(E1506,$E$7:$E$4378)+COUNTIF($E$7:E1506,E1506)-1</f>
        <v>3407</v>
      </c>
    </row>
    <row r="1507" customFormat="false" ht="14.25" hidden="false" customHeight="true" outlineLevel="0" collapsed="false">
      <c r="A1507" s="51" t="n">
        <v>14377</v>
      </c>
      <c r="B1507" s="53" t="n">
        <v>40695.5638888889</v>
      </c>
      <c r="C1507" s="57" t="n">
        <f aca="false">INT($C$2)-INT(Table3[[#This Row],[Last Purchase Date]])</f>
        <v>192</v>
      </c>
      <c r="D1507" s="1" t="n">
        <v>2</v>
      </c>
      <c r="E1507" s="1" t="n">
        <v>617.05</v>
      </c>
      <c r="F1507" s="1" t="n">
        <f aca="false">ROUND((1-_xlfn.PERCENTRANK.INC($C$7:$C$4378,C1507))*9,0)</f>
        <v>2</v>
      </c>
      <c r="G1507" s="1" t="n">
        <f aca="false">ROUND(_xlfn.PERCENTRANK.INC($D$7:$D$4378,D1507)*9,0)</f>
        <v>3</v>
      </c>
      <c r="H1507" s="1" t="n">
        <f aca="false">ROUND(_xlfn.PERCENTRANK.INC($E$7:$E$4378,E1507)*9,0)</f>
        <v>4</v>
      </c>
      <c r="I1507" s="1" t="str">
        <f aca="false">CONCATENATE(F1507,G1507,H1507)</f>
        <v>234</v>
      </c>
      <c r="J1507" s="1" t="str">
        <f aca="false">_xlfn.IFS(AND(F1507&gt;=8,G1507&gt;=8,H1507&gt;=8),"CHAMPION",AND(F1507&gt;=6,G1507&gt;=7,H1507&gt;=6),"LOYAL CUSTOMER",AND(F1507&gt;=6,G1507&gt;=5,H1507&gt;=5),"POTENTIAL LOYALIST",AND(F1507&gt;=8,G1507&lt;=2,H1507&gt;=5),"NEW CUSTOMERS",AND(F1507&gt;=6,G1507&lt;=2,H1507&gt;=3),"PROMISING",AND(F1507&gt;=3,G1507&gt;=3,H1507&gt;=3),"NEED ATTENTION",AND(F1507&lt;=4,G1507&gt;=6,H1507&gt;=6),"AT RISK",AND(F1507&lt;=2,G1507&gt;=8,H1507&gt;=8),"CAN'T LOSE THEM",AND(F1507&lt;=2,G1507&lt;=2,H1507&lt;=2),"HIBERNATING",TRUE(),"Other")</f>
        <v>Other</v>
      </c>
      <c r="K1507" s="1" t="n">
        <f aca="false">RANK(E1507,$E$7:$E$4378)+COUNTIF($E$7:E1507,E1507)-1</f>
        <v>2265</v>
      </c>
    </row>
    <row r="1508" customFormat="false" ht="14.25" hidden="false" customHeight="true" outlineLevel="0" collapsed="false">
      <c r="A1508" s="51" t="n">
        <v>14379</v>
      </c>
      <c r="B1508" s="53" t="n">
        <v>40842.6965277778</v>
      </c>
      <c r="C1508" s="57" t="n">
        <f aca="false">INT($C$2)-INT(Table3[[#This Row],[Last Purchase Date]])</f>
        <v>45</v>
      </c>
      <c r="D1508" s="1" t="n">
        <v>2</v>
      </c>
      <c r="E1508" s="1" t="n">
        <v>348.1</v>
      </c>
      <c r="F1508" s="1" t="n">
        <f aca="false">ROUND((1-_xlfn.PERCENTRANK.INC($C$7:$C$4378,C1508))*9,0)</f>
        <v>5</v>
      </c>
      <c r="G1508" s="1" t="n">
        <f aca="false">ROUND(_xlfn.PERCENTRANK.INC($D$7:$D$4378,D1508)*9,0)</f>
        <v>3</v>
      </c>
      <c r="H1508" s="1" t="n">
        <f aca="false">ROUND(_xlfn.PERCENTRANK.INC($E$7:$E$4378,E1508)*9,0)</f>
        <v>3</v>
      </c>
      <c r="I1508" s="1" t="str">
        <f aca="false">CONCATENATE(F1508,G1508,H1508)</f>
        <v>533</v>
      </c>
      <c r="J1508" s="1" t="str">
        <f aca="false">_xlfn.IFS(AND(F1508&gt;=8,G1508&gt;=8,H1508&gt;=8),"CHAMPION",AND(F1508&gt;=6,G1508&gt;=7,H1508&gt;=6),"LOYAL CUSTOMER",AND(F1508&gt;=6,G1508&gt;=5,H1508&gt;=5),"POTENTIAL LOYALIST",AND(F1508&gt;=8,G1508&lt;=2,H1508&gt;=5),"NEW CUSTOMERS",AND(F1508&gt;=6,G1508&lt;=2,H1508&gt;=3),"PROMISING",AND(F1508&gt;=3,G1508&gt;=3,H1508&gt;=3),"NEED ATTENTION",AND(F1508&lt;=4,G1508&gt;=6,H1508&gt;=6),"AT RISK",AND(F1508&lt;=2,G1508&gt;=8,H1508&gt;=8),"CAN'T LOSE THEM",AND(F1508&lt;=2,G1508&lt;=2,H1508&lt;=2),"HIBERNATING",TRUE(),"Other")</f>
        <v>NEED ATTENTION</v>
      </c>
      <c r="K1508" s="1" t="n">
        <f aca="false">RANK(E1508,$E$7:$E$4378)+COUNTIF($E$7:E1508,E1508)-1</f>
        <v>3019</v>
      </c>
    </row>
    <row r="1509" customFormat="false" ht="14.25" hidden="false" customHeight="true" outlineLevel="0" collapsed="false">
      <c r="A1509" s="51" t="n">
        <v>14381</v>
      </c>
      <c r="B1509" s="53" t="n">
        <v>40834.7152777778</v>
      </c>
      <c r="C1509" s="57" t="n">
        <f aca="false">INT($C$2)-INT(Table3[[#This Row],[Last Purchase Date]])</f>
        <v>53</v>
      </c>
      <c r="D1509" s="1" t="n">
        <v>1</v>
      </c>
      <c r="E1509" s="1" t="n">
        <v>202.68</v>
      </c>
      <c r="F1509" s="1" t="n">
        <f aca="false">ROUND((1-_xlfn.PERCENTRANK.INC($C$7:$C$4378,C1509))*9,0)</f>
        <v>4</v>
      </c>
      <c r="G1509" s="1" t="n">
        <f aca="false">ROUND(_xlfn.PERCENTRANK.INC($D$7:$D$4378,D1509)*9,0)</f>
        <v>0</v>
      </c>
      <c r="H1509" s="1" t="n">
        <f aca="false">ROUND(_xlfn.PERCENTRANK.INC($E$7:$E$4378,E1509)*9,0)</f>
        <v>1</v>
      </c>
      <c r="I1509" s="1" t="str">
        <f aca="false">CONCATENATE(F1509,G1509,H1509)</f>
        <v>401</v>
      </c>
      <c r="J1509" s="1" t="str">
        <f aca="false">_xlfn.IFS(AND(F1509&gt;=8,G1509&gt;=8,H1509&gt;=8),"CHAMPION",AND(F1509&gt;=6,G1509&gt;=7,H1509&gt;=6),"LOYAL CUSTOMER",AND(F1509&gt;=6,G1509&gt;=5,H1509&gt;=5),"POTENTIAL LOYALIST",AND(F1509&gt;=8,G1509&lt;=2,H1509&gt;=5),"NEW CUSTOMERS",AND(F1509&gt;=6,G1509&lt;=2,H1509&gt;=3),"PROMISING",AND(F1509&gt;=3,G1509&gt;=3,H1509&gt;=3),"NEED ATTENTION",AND(F1509&lt;=4,G1509&gt;=6,H1509&gt;=6),"AT RISK",AND(F1509&lt;=2,G1509&gt;=8,H1509&gt;=8),"CAN'T LOSE THEM",AND(F1509&lt;=2,G1509&lt;=2,H1509&lt;=2),"HIBERNATING",TRUE(),"Other")</f>
        <v>Other</v>
      </c>
      <c r="K1509" s="1" t="n">
        <f aca="false">RANK(E1509,$E$7:$E$4378)+COUNTIF($E$7:E1509,E1509)-1</f>
        <v>3649</v>
      </c>
    </row>
    <row r="1510" customFormat="false" ht="14.25" hidden="false" customHeight="true" outlineLevel="0" collapsed="false">
      <c r="A1510" s="51" t="n">
        <v>14382</v>
      </c>
      <c r="B1510" s="53" t="n">
        <v>40860.6791666667</v>
      </c>
      <c r="C1510" s="57" t="n">
        <f aca="false">INT($C$2)-INT(Table3[[#This Row],[Last Purchase Date]])</f>
        <v>27</v>
      </c>
      <c r="D1510" s="1" t="n">
        <v>1</v>
      </c>
      <c r="E1510" s="1" t="n">
        <v>626.07</v>
      </c>
      <c r="F1510" s="1" t="n">
        <f aca="false">ROUND((1-_xlfn.PERCENTRANK.INC($C$7:$C$4378,C1510))*9,0)</f>
        <v>6</v>
      </c>
      <c r="G1510" s="1" t="n">
        <f aca="false">ROUND(_xlfn.PERCENTRANK.INC($D$7:$D$4378,D1510)*9,0)</f>
        <v>0</v>
      </c>
      <c r="H1510" s="1" t="n">
        <f aca="false">ROUND(_xlfn.PERCENTRANK.INC($E$7:$E$4378,E1510)*9,0)</f>
        <v>4</v>
      </c>
      <c r="I1510" s="1" t="str">
        <f aca="false">CONCATENATE(F1510,G1510,H1510)</f>
        <v>604</v>
      </c>
      <c r="J1510" s="1" t="str">
        <f aca="false">_xlfn.IFS(AND(F1510&gt;=8,G1510&gt;=8,H1510&gt;=8),"CHAMPION",AND(F1510&gt;=6,G1510&gt;=7,H1510&gt;=6),"LOYAL CUSTOMER",AND(F1510&gt;=6,G1510&gt;=5,H1510&gt;=5),"POTENTIAL LOYALIST",AND(F1510&gt;=8,G1510&lt;=2,H1510&gt;=5),"NEW CUSTOMERS",AND(F1510&gt;=6,G1510&lt;=2,H1510&gt;=3),"PROMISING",AND(F1510&gt;=3,G1510&gt;=3,H1510&gt;=3),"NEED ATTENTION",AND(F1510&lt;=4,G1510&gt;=6,H1510&gt;=6),"AT RISK",AND(F1510&lt;=2,G1510&gt;=8,H1510&gt;=8),"CAN'T LOSE THEM",AND(F1510&lt;=2,G1510&lt;=2,H1510&lt;=2),"HIBERNATING",TRUE(),"Other")</f>
        <v>PROMISING</v>
      </c>
      <c r="K1510" s="1" t="n">
        <f aca="false">RANK(E1510,$E$7:$E$4378)+COUNTIF($E$7:E1510,E1510)-1</f>
        <v>2244</v>
      </c>
    </row>
    <row r="1511" customFormat="false" ht="14.25" hidden="false" customHeight="true" outlineLevel="0" collapsed="false">
      <c r="A1511" s="51" t="n">
        <v>14383</v>
      </c>
      <c r="B1511" s="53" t="n">
        <v>40848.6618055556</v>
      </c>
      <c r="C1511" s="57" t="n">
        <f aca="false">INT($C$2)-INT(Table3[[#This Row],[Last Purchase Date]])</f>
        <v>39</v>
      </c>
      <c r="D1511" s="1" t="n">
        <v>3</v>
      </c>
      <c r="E1511" s="1" t="n">
        <v>1247.69</v>
      </c>
      <c r="F1511" s="1" t="n">
        <f aca="false">ROUND((1-_xlfn.PERCENTRANK.INC($C$7:$C$4378,C1511))*9,0)</f>
        <v>5</v>
      </c>
      <c r="G1511" s="1" t="n">
        <f aca="false">ROUND(_xlfn.PERCENTRANK.INC($D$7:$D$4378,D1511)*9,0)</f>
        <v>4</v>
      </c>
      <c r="H1511" s="1" t="n">
        <f aca="false">ROUND(_xlfn.PERCENTRANK.INC($E$7:$E$4378,E1511)*9,0)</f>
        <v>6</v>
      </c>
      <c r="I1511" s="1" t="str">
        <f aca="false">CONCATENATE(F1511,G1511,H1511)</f>
        <v>546</v>
      </c>
      <c r="J1511" s="1" t="str">
        <f aca="false">_xlfn.IFS(AND(F1511&gt;=8,G1511&gt;=8,H1511&gt;=8),"CHAMPION",AND(F1511&gt;=6,G1511&gt;=7,H1511&gt;=6),"LOYAL CUSTOMER",AND(F1511&gt;=6,G1511&gt;=5,H1511&gt;=5),"POTENTIAL LOYALIST",AND(F1511&gt;=8,G1511&lt;=2,H1511&gt;=5),"NEW CUSTOMERS",AND(F1511&gt;=6,G1511&lt;=2,H1511&gt;=3),"PROMISING",AND(F1511&gt;=3,G1511&gt;=3,H1511&gt;=3),"NEED ATTENTION",AND(F1511&lt;=4,G1511&gt;=6,H1511&gt;=6),"AT RISK",AND(F1511&lt;=2,G1511&gt;=8,H1511&gt;=8),"CAN'T LOSE THEM",AND(F1511&lt;=2,G1511&lt;=2,H1511&lt;=2),"HIBERNATING",TRUE(),"Other")</f>
        <v>NEED ATTENTION</v>
      </c>
      <c r="K1511" s="1" t="n">
        <f aca="false">RANK(E1511,$E$7:$E$4378)+COUNTIF($E$7:E1511,E1511)-1</f>
        <v>1377</v>
      </c>
    </row>
    <row r="1512" customFormat="false" ht="14.25" hidden="false" customHeight="true" outlineLevel="0" collapsed="false">
      <c r="A1512" s="51" t="n">
        <v>14385</v>
      </c>
      <c r="B1512" s="53" t="n">
        <v>40877.65</v>
      </c>
      <c r="C1512" s="57" t="n">
        <f aca="false">INT($C$2)-INT(Table3[[#This Row],[Last Purchase Date]])</f>
        <v>10</v>
      </c>
      <c r="D1512" s="1" t="n">
        <v>3</v>
      </c>
      <c r="E1512" s="1" t="n">
        <v>202.11</v>
      </c>
      <c r="F1512" s="1" t="n">
        <f aca="false">ROUND((1-_xlfn.PERCENTRANK.INC($C$7:$C$4378,C1512))*9,0)</f>
        <v>8</v>
      </c>
      <c r="G1512" s="1" t="n">
        <f aca="false">ROUND(_xlfn.PERCENTRANK.INC($D$7:$D$4378,D1512)*9,0)</f>
        <v>4</v>
      </c>
      <c r="H1512" s="1" t="n">
        <f aca="false">ROUND(_xlfn.PERCENTRANK.INC($E$7:$E$4378,E1512)*9,0)</f>
        <v>1</v>
      </c>
      <c r="I1512" s="1" t="str">
        <f aca="false">CONCATENATE(F1512,G1512,H1512)</f>
        <v>841</v>
      </c>
      <c r="J1512" s="1" t="str">
        <f aca="false">_xlfn.IFS(AND(F1512&gt;=8,G1512&gt;=8,H1512&gt;=8),"CHAMPION",AND(F1512&gt;=6,G1512&gt;=7,H1512&gt;=6),"LOYAL CUSTOMER",AND(F1512&gt;=6,G1512&gt;=5,H1512&gt;=5),"POTENTIAL LOYALIST",AND(F1512&gt;=8,G1512&lt;=2,H1512&gt;=5),"NEW CUSTOMERS",AND(F1512&gt;=6,G1512&lt;=2,H1512&gt;=3),"PROMISING",AND(F1512&gt;=3,G1512&gt;=3,H1512&gt;=3),"NEED ATTENTION",AND(F1512&lt;=4,G1512&gt;=6,H1512&gt;=6),"AT RISK",AND(F1512&lt;=2,G1512&gt;=8,H1512&gt;=8),"CAN'T LOSE THEM",AND(F1512&lt;=2,G1512&lt;=2,H1512&lt;=2),"HIBERNATING",TRUE(),"Other")</f>
        <v>Other</v>
      </c>
      <c r="K1512" s="1" t="n">
        <f aca="false">RANK(E1512,$E$7:$E$4378)+COUNTIF($E$7:E1512,E1512)-1</f>
        <v>3651</v>
      </c>
    </row>
    <row r="1513" customFormat="false" ht="14.25" hidden="false" customHeight="true" outlineLevel="0" collapsed="false">
      <c r="A1513" s="51" t="n">
        <v>14386</v>
      </c>
      <c r="B1513" s="53" t="n">
        <v>40590.40625</v>
      </c>
      <c r="C1513" s="57" t="n">
        <f aca="false">INT($C$2)-INT(Table3[[#This Row],[Last Purchase Date]])</f>
        <v>297</v>
      </c>
      <c r="D1513" s="1" t="n">
        <v>1</v>
      </c>
      <c r="E1513" s="1" t="n">
        <v>142.4</v>
      </c>
      <c r="F1513" s="1" t="n">
        <f aca="false">ROUND((1-_xlfn.PERCENTRANK.INC($C$7:$C$4378,C1513))*9,0)</f>
        <v>1</v>
      </c>
      <c r="G1513" s="1" t="n">
        <f aca="false">ROUND(_xlfn.PERCENTRANK.INC($D$7:$D$4378,D1513)*9,0)</f>
        <v>0</v>
      </c>
      <c r="H1513" s="1" t="n">
        <f aca="false">ROUND(_xlfn.PERCENTRANK.INC($E$7:$E$4378,E1513)*9,0)</f>
        <v>1</v>
      </c>
      <c r="I1513" s="1" t="str">
        <f aca="false">CONCATENATE(F1513,G1513,H1513)</f>
        <v>101</v>
      </c>
      <c r="J1513" s="1" t="str">
        <f aca="false">_xlfn.IFS(AND(F1513&gt;=8,G1513&gt;=8,H1513&gt;=8),"CHAMPION",AND(F1513&gt;=6,G1513&gt;=7,H1513&gt;=6),"LOYAL CUSTOMER",AND(F1513&gt;=6,G1513&gt;=5,H1513&gt;=5),"POTENTIAL LOYALIST",AND(F1513&gt;=8,G1513&lt;=2,H1513&gt;=5),"NEW CUSTOMERS",AND(F1513&gt;=6,G1513&lt;=2,H1513&gt;=3),"PROMISING",AND(F1513&gt;=3,G1513&gt;=3,H1513&gt;=3),"NEED ATTENTION",AND(F1513&lt;=4,G1513&gt;=6,H1513&gt;=6),"AT RISK",AND(F1513&lt;=2,G1513&gt;=8,H1513&gt;=8),"CAN'T LOSE THEM",AND(F1513&lt;=2,G1513&lt;=2,H1513&lt;=2),"HIBERNATING",TRUE(),"Other")</f>
        <v>HIBERNATING</v>
      </c>
      <c r="K1513" s="1" t="n">
        <f aca="false">RANK(E1513,$E$7:$E$4378)+COUNTIF($E$7:E1513,E1513)-1</f>
        <v>3949</v>
      </c>
    </row>
    <row r="1514" customFormat="false" ht="14.25" hidden="false" customHeight="true" outlineLevel="0" collapsed="false">
      <c r="A1514" s="51" t="n">
        <v>14387</v>
      </c>
      <c r="B1514" s="53" t="n">
        <v>40854.5201388889</v>
      </c>
      <c r="C1514" s="57" t="n">
        <f aca="false">INT($C$2)-INT(Table3[[#This Row],[Last Purchase Date]])</f>
        <v>33</v>
      </c>
      <c r="D1514" s="1" t="n">
        <v>3</v>
      </c>
      <c r="E1514" s="1" t="n">
        <v>1770.56</v>
      </c>
      <c r="F1514" s="1" t="n">
        <f aca="false">ROUND((1-_xlfn.PERCENTRANK.INC($C$7:$C$4378,C1514))*9,0)</f>
        <v>5</v>
      </c>
      <c r="G1514" s="1" t="n">
        <f aca="false">ROUND(_xlfn.PERCENTRANK.INC($D$7:$D$4378,D1514)*9,0)</f>
        <v>4</v>
      </c>
      <c r="H1514" s="1" t="n">
        <f aca="false">ROUND(_xlfn.PERCENTRANK.INC($E$7:$E$4378,E1514)*9,0)</f>
        <v>7</v>
      </c>
      <c r="I1514" s="1" t="str">
        <f aca="false">CONCATENATE(F1514,G1514,H1514)</f>
        <v>547</v>
      </c>
      <c r="J1514" s="1" t="str">
        <f aca="false">_xlfn.IFS(AND(F1514&gt;=8,G1514&gt;=8,H1514&gt;=8),"CHAMPION",AND(F1514&gt;=6,G1514&gt;=7,H1514&gt;=6),"LOYAL CUSTOMER",AND(F1514&gt;=6,G1514&gt;=5,H1514&gt;=5),"POTENTIAL LOYALIST",AND(F1514&gt;=8,G1514&lt;=2,H1514&gt;=5),"NEW CUSTOMERS",AND(F1514&gt;=6,G1514&lt;=2,H1514&gt;=3),"PROMISING",AND(F1514&gt;=3,G1514&gt;=3,H1514&gt;=3),"NEED ATTENTION",AND(F1514&lt;=4,G1514&gt;=6,H1514&gt;=6),"AT RISK",AND(F1514&lt;=2,G1514&gt;=8,H1514&gt;=8),"CAN'T LOSE THEM",AND(F1514&lt;=2,G1514&lt;=2,H1514&lt;=2),"HIBERNATING",TRUE(),"Other")</f>
        <v>NEED ATTENTION</v>
      </c>
      <c r="K1514" s="1" t="n">
        <f aca="false">RANK(E1514,$E$7:$E$4378)+COUNTIF($E$7:E1514,E1514)-1</f>
        <v>997</v>
      </c>
    </row>
    <row r="1515" customFormat="false" ht="14.25" hidden="false" customHeight="true" outlineLevel="0" collapsed="false">
      <c r="A1515" s="51" t="n">
        <v>14388</v>
      </c>
      <c r="B1515" s="53" t="n">
        <v>40878.4673611111</v>
      </c>
      <c r="C1515" s="57" t="n">
        <f aca="false">INT($C$2)-INT(Table3[[#This Row],[Last Purchase Date]])</f>
        <v>9</v>
      </c>
      <c r="D1515" s="1" t="n">
        <v>10</v>
      </c>
      <c r="E1515" s="1" t="n">
        <v>3172.04</v>
      </c>
      <c r="F1515" s="1" t="n">
        <f aca="false">ROUND((1-_xlfn.PERCENTRANK.INC($C$7:$C$4378,C1515))*9,0)</f>
        <v>8</v>
      </c>
      <c r="G1515" s="1" t="n">
        <f aca="false">ROUND(_xlfn.PERCENTRANK.INC($D$7:$D$4378,D1515)*9,0)</f>
        <v>8</v>
      </c>
      <c r="H1515" s="1" t="n">
        <f aca="false">ROUND(_xlfn.PERCENTRANK.INC($E$7:$E$4378,E1515)*9,0)</f>
        <v>8</v>
      </c>
      <c r="I1515" s="1" t="str">
        <f aca="false">CONCATENATE(F1515,G1515,H1515)</f>
        <v>888</v>
      </c>
      <c r="J1515" s="1" t="str">
        <f aca="false">_xlfn.IFS(AND(F1515&gt;=8,G1515&gt;=8,H1515&gt;=8),"CHAMPION",AND(F1515&gt;=6,G1515&gt;=7,H1515&gt;=6),"LOYAL CUSTOMER",AND(F1515&gt;=6,G1515&gt;=5,H1515&gt;=5),"POTENTIAL LOYALIST",AND(F1515&gt;=8,G1515&lt;=2,H1515&gt;=5),"NEW CUSTOMERS",AND(F1515&gt;=6,G1515&lt;=2,H1515&gt;=3),"PROMISING",AND(F1515&gt;=3,G1515&gt;=3,H1515&gt;=3),"NEED ATTENTION",AND(F1515&lt;=4,G1515&gt;=6,H1515&gt;=6),"AT RISK",AND(F1515&lt;=2,G1515&gt;=8,H1515&gt;=8),"CAN'T LOSE THEM",AND(F1515&lt;=2,G1515&lt;=2,H1515&lt;=2),"HIBERNATING",TRUE(),"Other")</f>
        <v>CHAMPION</v>
      </c>
      <c r="K1515" s="1" t="n">
        <f aca="false">RANK(E1515,$E$7:$E$4378)+COUNTIF($E$7:E1515,E1515)-1</f>
        <v>498</v>
      </c>
    </row>
    <row r="1516" customFormat="false" ht="14.25" hidden="false" customHeight="true" outlineLevel="0" collapsed="false">
      <c r="A1516" s="51" t="n">
        <v>14389</v>
      </c>
      <c r="B1516" s="53" t="n">
        <v>40878.3881944444</v>
      </c>
      <c r="C1516" s="57" t="n">
        <f aca="false">INT($C$2)-INT(Table3[[#This Row],[Last Purchase Date]])</f>
        <v>9</v>
      </c>
      <c r="D1516" s="1" t="n">
        <v>5</v>
      </c>
      <c r="E1516" s="1" t="n">
        <v>999.72</v>
      </c>
      <c r="F1516" s="1" t="n">
        <f aca="false">ROUND((1-_xlfn.PERCENTRANK.INC($C$7:$C$4378,C1516))*9,0)</f>
        <v>8</v>
      </c>
      <c r="G1516" s="1" t="n">
        <f aca="false">ROUND(_xlfn.PERCENTRANK.INC($D$7:$D$4378,D1516)*9,0)</f>
        <v>6</v>
      </c>
      <c r="H1516" s="1" t="n">
        <f aca="false">ROUND(_xlfn.PERCENTRANK.INC($E$7:$E$4378,E1516)*9,0)</f>
        <v>6</v>
      </c>
      <c r="I1516" s="1" t="str">
        <f aca="false">CONCATENATE(F1516,G1516,H1516)</f>
        <v>866</v>
      </c>
      <c r="J1516" s="1" t="str">
        <f aca="false">_xlfn.IFS(AND(F1516&gt;=8,G1516&gt;=8,H1516&gt;=8),"CHAMPION",AND(F1516&gt;=6,G1516&gt;=7,H1516&gt;=6),"LOYAL CUSTOMER",AND(F1516&gt;=6,G1516&gt;=5,H1516&gt;=5),"POTENTIAL LOYALIST",AND(F1516&gt;=8,G1516&lt;=2,H1516&gt;=5),"NEW CUSTOMERS",AND(F1516&gt;=6,G1516&lt;=2,H1516&gt;=3),"PROMISING",AND(F1516&gt;=3,G1516&gt;=3,H1516&gt;=3),"NEED ATTENTION",AND(F1516&lt;=4,G1516&gt;=6,H1516&gt;=6),"AT RISK",AND(F1516&lt;=2,G1516&gt;=8,H1516&gt;=8),"CAN'T LOSE THEM",AND(F1516&lt;=2,G1516&lt;=2,H1516&lt;=2),"HIBERNATING",TRUE(),"Other")</f>
        <v>POTENTIAL LOYALIST</v>
      </c>
      <c r="K1516" s="1" t="n">
        <f aca="false">RANK(E1516,$E$7:$E$4378)+COUNTIF($E$7:E1516,E1516)-1</f>
        <v>1634</v>
      </c>
    </row>
    <row r="1517" customFormat="false" ht="14.25" hidden="false" customHeight="true" outlineLevel="0" collapsed="false">
      <c r="A1517" s="51" t="n">
        <v>14390</v>
      </c>
      <c r="B1517" s="53" t="n">
        <v>40876.5756944444</v>
      </c>
      <c r="C1517" s="57" t="n">
        <f aca="false">INT($C$2)-INT(Table3[[#This Row],[Last Purchase Date]])</f>
        <v>11</v>
      </c>
      <c r="D1517" s="1" t="n">
        <v>13</v>
      </c>
      <c r="E1517" s="1" t="n">
        <v>4592.47</v>
      </c>
      <c r="F1517" s="1" t="n">
        <f aca="false">ROUND((1-_xlfn.PERCENTRANK.INC($C$7:$C$4378,C1517))*9,0)</f>
        <v>7</v>
      </c>
      <c r="G1517" s="1" t="n">
        <f aca="false">ROUND(_xlfn.PERCENTRANK.INC($D$7:$D$4378,D1517)*9,0)</f>
        <v>8</v>
      </c>
      <c r="H1517" s="1" t="n">
        <f aca="false">ROUND(_xlfn.PERCENTRANK.INC($E$7:$E$4378,E1517)*9,0)</f>
        <v>8</v>
      </c>
      <c r="I1517" s="1" t="str">
        <f aca="false">CONCATENATE(F1517,G1517,H1517)</f>
        <v>788</v>
      </c>
      <c r="J1517" s="1" t="str">
        <f aca="false">_xlfn.IFS(AND(F1517&gt;=8,G1517&gt;=8,H1517&gt;=8),"CHAMPION",AND(F1517&gt;=6,G1517&gt;=7,H1517&gt;=6),"LOYAL CUSTOMER",AND(F1517&gt;=6,G1517&gt;=5,H1517&gt;=5),"POTENTIAL LOYALIST",AND(F1517&gt;=8,G1517&lt;=2,H1517&gt;=5),"NEW CUSTOMERS",AND(F1517&gt;=6,G1517&lt;=2,H1517&gt;=3),"PROMISING",AND(F1517&gt;=3,G1517&gt;=3,H1517&gt;=3),"NEED ATTENTION",AND(F1517&lt;=4,G1517&gt;=6,H1517&gt;=6),"AT RISK",AND(F1517&lt;=2,G1517&gt;=8,H1517&gt;=8),"CAN'T LOSE THEM",AND(F1517&lt;=2,G1517&lt;=2,H1517&lt;=2),"HIBERNATING",TRUE(),"Other")</f>
        <v>LOYAL CUSTOMER</v>
      </c>
      <c r="K1517" s="1" t="n">
        <f aca="false">RANK(E1517,$E$7:$E$4378)+COUNTIF($E$7:E1517,E1517)-1</f>
        <v>298</v>
      </c>
    </row>
    <row r="1518" customFormat="false" ht="14.25" hidden="false" customHeight="true" outlineLevel="0" collapsed="false">
      <c r="A1518" s="51" t="n">
        <v>14393</v>
      </c>
      <c r="B1518" s="53" t="n">
        <v>40668.7611111111</v>
      </c>
      <c r="C1518" s="57" t="n">
        <f aca="false">INT($C$2)-INT(Table3[[#This Row],[Last Purchase Date]])</f>
        <v>219</v>
      </c>
      <c r="D1518" s="1" t="n">
        <v>1</v>
      </c>
      <c r="E1518" s="1" t="n">
        <v>67.95</v>
      </c>
      <c r="F1518" s="1" t="n">
        <f aca="false">ROUND((1-_xlfn.PERCENTRANK.INC($C$7:$C$4378,C1518))*9,0)</f>
        <v>1</v>
      </c>
      <c r="G1518" s="1" t="n">
        <f aca="false">ROUND(_xlfn.PERCENTRANK.INC($D$7:$D$4378,D1518)*9,0)</f>
        <v>0</v>
      </c>
      <c r="H1518" s="1" t="n">
        <f aca="false">ROUND(_xlfn.PERCENTRANK.INC($E$7:$E$4378,E1518)*9,0)</f>
        <v>0</v>
      </c>
      <c r="I1518" s="1" t="str">
        <f aca="false">CONCATENATE(F1518,G1518,H1518)</f>
        <v>100</v>
      </c>
      <c r="J1518" s="1" t="str">
        <f aca="false">_xlfn.IFS(AND(F1518&gt;=8,G1518&gt;=8,H1518&gt;=8),"CHAMPION",AND(F1518&gt;=6,G1518&gt;=7,H1518&gt;=6),"LOYAL CUSTOMER",AND(F1518&gt;=6,G1518&gt;=5,H1518&gt;=5),"POTENTIAL LOYALIST",AND(F1518&gt;=8,G1518&lt;=2,H1518&gt;=5),"NEW CUSTOMERS",AND(F1518&gt;=6,G1518&lt;=2,H1518&gt;=3),"PROMISING",AND(F1518&gt;=3,G1518&gt;=3,H1518&gt;=3),"NEED ATTENTION",AND(F1518&lt;=4,G1518&gt;=6,H1518&gt;=6),"AT RISK",AND(F1518&lt;=2,G1518&gt;=8,H1518&gt;=8),"CAN'T LOSE THEM",AND(F1518&lt;=2,G1518&lt;=2,H1518&lt;=2),"HIBERNATING",TRUE(),"Other")</f>
        <v>HIBERNATING</v>
      </c>
      <c r="K1518" s="1" t="n">
        <f aca="false">RANK(E1518,$E$7:$E$4378)+COUNTIF($E$7:E1518,E1518)-1</f>
        <v>4251</v>
      </c>
    </row>
    <row r="1519" customFormat="false" ht="14.25" hidden="false" customHeight="true" outlineLevel="0" collapsed="false">
      <c r="A1519" s="51" t="n">
        <v>14395</v>
      </c>
      <c r="B1519" s="53" t="n">
        <v>40884.6069444444</v>
      </c>
      <c r="C1519" s="57" t="n">
        <f aca="false">INT($C$2)-INT(Table3[[#This Row],[Last Purchase Date]])</f>
        <v>3</v>
      </c>
      <c r="D1519" s="1" t="n">
        <v>12</v>
      </c>
      <c r="E1519" s="1" t="n">
        <v>3471.91</v>
      </c>
      <c r="F1519" s="1" t="n">
        <f aca="false">ROUND((1-_xlfn.PERCENTRANK.INC($C$7:$C$4378,C1519))*9,0)</f>
        <v>9</v>
      </c>
      <c r="G1519" s="1" t="n">
        <f aca="false">ROUND(_xlfn.PERCENTRANK.INC($D$7:$D$4378,D1519)*9,0)</f>
        <v>8</v>
      </c>
      <c r="H1519" s="1" t="n">
        <f aca="false">ROUND(_xlfn.PERCENTRANK.INC($E$7:$E$4378,E1519)*9,0)</f>
        <v>8</v>
      </c>
      <c r="I1519" s="1" t="str">
        <f aca="false">CONCATENATE(F1519,G1519,H1519)</f>
        <v>988</v>
      </c>
      <c r="J1519" s="1" t="str">
        <f aca="false">_xlfn.IFS(AND(F1519&gt;=8,G1519&gt;=8,H1519&gt;=8),"CHAMPION",AND(F1519&gt;=6,G1519&gt;=7,H1519&gt;=6),"LOYAL CUSTOMER",AND(F1519&gt;=6,G1519&gt;=5,H1519&gt;=5),"POTENTIAL LOYALIST",AND(F1519&gt;=8,G1519&lt;=2,H1519&gt;=5),"NEW CUSTOMERS",AND(F1519&gt;=6,G1519&lt;=2,H1519&gt;=3),"PROMISING",AND(F1519&gt;=3,G1519&gt;=3,H1519&gt;=3),"NEED ATTENTION",AND(F1519&lt;=4,G1519&gt;=6,H1519&gt;=6),"AT RISK",AND(F1519&lt;=2,G1519&gt;=8,H1519&gt;=8),"CAN'T LOSE THEM",AND(F1519&lt;=2,G1519&lt;=2,H1519&lt;=2),"HIBERNATING",TRUE(),"Other")</f>
        <v>CHAMPION</v>
      </c>
      <c r="K1519" s="1" t="n">
        <f aca="false">RANK(E1519,$E$7:$E$4378)+COUNTIF($E$7:E1519,E1519)-1</f>
        <v>443</v>
      </c>
    </row>
    <row r="1520" customFormat="false" ht="14.25" hidden="false" customHeight="true" outlineLevel="0" collapsed="false">
      <c r="A1520" s="51" t="n">
        <v>14396</v>
      </c>
      <c r="B1520" s="53" t="n">
        <v>40821.6729166667</v>
      </c>
      <c r="C1520" s="57" t="n">
        <f aca="false">INT($C$2)-INT(Table3[[#This Row],[Last Purchase Date]])</f>
        <v>66</v>
      </c>
      <c r="D1520" s="1" t="n">
        <v>2</v>
      </c>
      <c r="E1520" s="1" t="n">
        <v>487.99</v>
      </c>
      <c r="F1520" s="1" t="n">
        <f aca="false">ROUND((1-_xlfn.PERCENTRANK.INC($C$7:$C$4378,C1520))*9,0)</f>
        <v>4</v>
      </c>
      <c r="G1520" s="1" t="n">
        <f aca="false">ROUND(_xlfn.PERCENTRANK.INC($D$7:$D$4378,D1520)*9,0)</f>
        <v>3</v>
      </c>
      <c r="H1520" s="1" t="n">
        <f aca="false">ROUND(_xlfn.PERCENTRANK.INC($E$7:$E$4378,E1520)*9,0)</f>
        <v>4</v>
      </c>
      <c r="I1520" s="1" t="str">
        <f aca="false">CONCATENATE(F1520,G1520,H1520)</f>
        <v>434</v>
      </c>
      <c r="J1520" s="1" t="str">
        <f aca="false">_xlfn.IFS(AND(F1520&gt;=8,G1520&gt;=8,H1520&gt;=8),"CHAMPION",AND(F1520&gt;=6,G1520&gt;=7,H1520&gt;=6),"LOYAL CUSTOMER",AND(F1520&gt;=6,G1520&gt;=5,H1520&gt;=5),"POTENTIAL LOYALIST",AND(F1520&gt;=8,G1520&lt;=2,H1520&gt;=5),"NEW CUSTOMERS",AND(F1520&gt;=6,G1520&lt;=2,H1520&gt;=3),"PROMISING",AND(F1520&gt;=3,G1520&gt;=3,H1520&gt;=3),"NEED ATTENTION",AND(F1520&lt;=4,G1520&gt;=6,H1520&gt;=6),"AT RISK",AND(F1520&lt;=2,G1520&gt;=8,H1520&gt;=8),"CAN'T LOSE THEM",AND(F1520&lt;=2,G1520&lt;=2,H1520&lt;=2),"HIBERNATING",TRUE(),"Other")</f>
        <v>NEED ATTENTION</v>
      </c>
      <c r="K1520" s="1" t="n">
        <f aca="false">RANK(E1520,$E$7:$E$4378)+COUNTIF($E$7:E1520,E1520)-1</f>
        <v>2572</v>
      </c>
    </row>
    <row r="1521" customFormat="false" ht="14.25" hidden="false" customHeight="true" outlineLevel="0" collapsed="false">
      <c r="A1521" s="51" t="n">
        <v>14397</v>
      </c>
      <c r="B1521" s="53" t="n">
        <v>40886.4145833333</v>
      </c>
      <c r="C1521" s="57" t="n">
        <f aca="false">INT($C$2)-INT(Table3[[#This Row],[Last Purchase Date]])</f>
        <v>1</v>
      </c>
      <c r="D1521" s="1" t="n">
        <v>23</v>
      </c>
      <c r="E1521" s="1" t="n">
        <v>2556.68</v>
      </c>
      <c r="F1521" s="1" t="n">
        <f aca="false">ROUND((1-_xlfn.PERCENTRANK.INC($C$7:$C$4378,C1521))*9,0)</f>
        <v>9</v>
      </c>
      <c r="G1521" s="1" t="n">
        <f aca="false">ROUND(_xlfn.PERCENTRANK.INC($D$7:$D$4378,D1521)*9,0)</f>
        <v>9</v>
      </c>
      <c r="H1521" s="1" t="n">
        <f aca="false">ROUND(_xlfn.PERCENTRANK.INC($E$7:$E$4378,E1521)*9,0)</f>
        <v>8</v>
      </c>
      <c r="I1521" s="1" t="str">
        <f aca="false">CONCATENATE(F1521,G1521,H1521)</f>
        <v>998</v>
      </c>
      <c r="J1521" s="1" t="str">
        <f aca="false">_xlfn.IFS(AND(F1521&gt;=8,G1521&gt;=8,H1521&gt;=8),"CHAMPION",AND(F1521&gt;=6,G1521&gt;=7,H1521&gt;=6),"LOYAL CUSTOMER",AND(F1521&gt;=6,G1521&gt;=5,H1521&gt;=5),"POTENTIAL LOYALIST",AND(F1521&gt;=8,G1521&lt;=2,H1521&gt;=5),"NEW CUSTOMERS",AND(F1521&gt;=6,G1521&lt;=2,H1521&gt;=3),"PROMISING",AND(F1521&gt;=3,G1521&gt;=3,H1521&gt;=3),"NEED ATTENTION",AND(F1521&lt;=4,G1521&gt;=6,H1521&gt;=6),"AT RISK",AND(F1521&lt;=2,G1521&gt;=8,H1521&gt;=8),"CAN'T LOSE THEM",AND(F1521&lt;=2,G1521&lt;=2,H1521&lt;=2),"HIBERNATING",TRUE(),"Other")</f>
        <v>CHAMPION</v>
      </c>
      <c r="K1521" s="1" t="n">
        <f aca="false">RANK(E1521,$E$7:$E$4378)+COUNTIF($E$7:E1521,E1521)-1</f>
        <v>663</v>
      </c>
    </row>
    <row r="1522" customFormat="false" ht="14.25" hidden="false" customHeight="true" outlineLevel="0" collapsed="false">
      <c r="A1522" s="51" t="n">
        <v>14400</v>
      </c>
      <c r="B1522" s="53" t="n">
        <v>40745.7534722222</v>
      </c>
      <c r="C1522" s="57" t="n">
        <f aca="false">INT($C$2)-INT(Table3[[#This Row],[Last Purchase Date]])</f>
        <v>142</v>
      </c>
      <c r="D1522" s="1" t="n">
        <v>2</v>
      </c>
      <c r="E1522" s="1" t="n">
        <v>559.7</v>
      </c>
      <c r="F1522" s="1" t="n">
        <f aca="false">ROUND((1-_xlfn.PERCENTRANK.INC($C$7:$C$4378,C1522))*9,0)</f>
        <v>2</v>
      </c>
      <c r="G1522" s="1" t="n">
        <f aca="false">ROUND(_xlfn.PERCENTRANK.INC($D$7:$D$4378,D1522)*9,0)</f>
        <v>3</v>
      </c>
      <c r="H1522" s="1" t="n">
        <f aca="false">ROUND(_xlfn.PERCENTRANK.INC($E$7:$E$4378,E1522)*9,0)</f>
        <v>4</v>
      </c>
      <c r="I1522" s="1" t="str">
        <f aca="false">CONCATENATE(F1522,G1522,H1522)</f>
        <v>234</v>
      </c>
      <c r="J1522" s="1" t="str">
        <f aca="false">_xlfn.IFS(AND(F1522&gt;=8,G1522&gt;=8,H1522&gt;=8),"CHAMPION",AND(F1522&gt;=6,G1522&gt;=7,H1522&gt;=6),"LOYAL CUSTOMER",AND(F1522&gt;=6,G1522&gt;=5,H1522&gt;=5),"POTENTIAL LOYALIST",AND(F1522&gt;=8,G1522&lt;=2,H1522&gt;=5),"NEW CUSTOMERS",AND(F1522&gt;=6,G1522&lt;=2,H1522&gt;=3),"PROMISING",AND(F1522&gt;=3,G1522&gt;=3,H1522&gt;=3),"NEED ATTENTION",AND(F1522&lt;=4,G1522&gt;=6,H1522&gt;=6),"AT RISK",AND(F1522&lt;=2,G1522&gt;=8,H1522&gt;=8),"CAN'T LOSE THEM",AND(F1522&lt;=2,G1522&lt;=2,H1522&lt;=2),"HIBERNATING",TRUE(),"Other")</f>
        <v>Other</v>
      </c>
      <c r="K1522" s="1" t="n">
        <f aca="false">RANK(E1522,$E$7:$E$4378)+COUNTIF($E$7:E1522,E1522)-1</f>
        <v>2408</v>
      </c>
    </row>
    <row r="1523" customFormat="false" ht="14.25" hidden="false" customHeight="true" outlineLevel="0" collapsed="false">
      <c r="A1523" s="51" t="n">
        <v>14401</v>
      </c>
      <c r="B1523" s="53" t="n">
        <v>40882.5625</v>
      </c>
      <c r="C1523" s="57" t="n">
        <f aca="false">INT($C$2)-INT(Table3[[#This Row],[Last Purchase Date]])</f>
        <v>5</v>
      </c>
      <c r="D1523" s="1" t="n">
        <v>14</v>
      </c>
      <c r="E1523" s="1" t="n">
        <v>4039.98</v>
      </c>
      <c r="F1523" s="1" t="n">
        <f aca="false">ROUND((1-_xlfn.PERCENTRANK.INC($C$7:$C$4378,C1523))*9,0)</f>
        <v>8</v>
      </c>
      <c r="G1523" s="1" t="n">
        <f aca="false">ROUND(_xlfn.PERCENTRANK.INC($D$7:$D$4378,D1523)*9,0)</f>
        <v>8</v>
      </c>
      <c r="H1523" s="1" t="n">
        <f aca="false">ROUND(_xlfn.PERCENTRANK.INC($E$7:$E$4378,E1523)*9,0)</f>
        <v>8</v>
      </c>
      <c r="I1523" s="1" t="str">
        <f aca="false">CONCATENATE(F1523,G1523,H1523)</f>
        <v>888</v>
      </c>
      <c r="J1523" s="1" t="str">
        <f aca="false">_xlfn.IFS(AND(F1523&gt;=8,G1523&gt;=8,H1523&gt;=8),"CHAMPION",AND(F1523&gt;=6,G1523&gt;=7,H1523&gt;=6),"LOYAL CUSTOMER",AND(F1523&gt;=6,G1523&gt;=5,H1523&gt;=5),"POTENTIAL LOYALIST",AND(F1523&gt;=8,G1523&lt;=2,H1523&gt;=5),"NEW CUSTOMERS",AND(F1523&gt;=6,G1523&lt;=2,H1523&gt;=3),"PROMISING",AND(F1523&gt;=3,G1523&gt;=3,H1523&gt;=3),"NEED ATTENTION",AND(F1523&lt;=4,G1523&gt;=6,H1523&gt;=6),"AT RISK",AND(F1523&lt;=2,G1523&gt;=8,H1523&gt;=8),"CAN'T LOSE THEM",AND(F1523&lt;=2,G1523&lt;=2,H1523&lt;=2),"HIBERNATING",TRUE(),"Other")</f>
        <v>CHAMPION</v>
      </c>
      <c r="K1523" s="1" t="n">
        <f aca="false">RANK(E1523,$E$7:$E$4378)+COUNTIF($E$7:E1523,E1523)-1</f>
        <v>347</v>
      </c>
    </row>
    <row r="1524" customFormat="false" ht="14.25" hidden="false" customHeight="true" outlineLevel="0" collapsed="false">
      <c r="A1524" s="51" t="n">
        <v>14403</v>
      </c>
      <c r="B1524" s="53" t="n">
        <v>40756.5395833333</v>
      </c>
      <c r="C1524" s="57" t="n">
        <f aca="false">INT($C$2)-INT(Table3[[#This Row],[Last Purchase Date]])</f>
        <v>131</v>
      </c>
      <c r="D1524" s="1" t="n">
        <v>5</v>
      </c>
      <c r="E1524" s="1" t="n">
        <v>1426.31</v>
      </c>
      <c r="F1524" s="1" t="n">
        <f aca="false">ROUND((1-_xlfn.PERCENTRANK.INC($C$7:$C$4378,C1524))*9,0)</f>
        <v>2</v>
      </c>
      <c r="G1524" s="1" t="n">
        <f aca="false">ROUND(_xlfn.PERCENTRANK.INC($D$7:$D$4378,D1524)*9,0)</f>
        <v>6</v>
      </c>
      <c r="H1524" s="1" t="n">
        <f aca="false">ROUND(_xlfn.PERCENTRANK.INC($E$7:$E$4378,E1524)*9,0)</f>
        <v>6</v>
      </c>
      <c r="I1524" s="1" t="str">
        <f aca="false">CONCATENATE(F1524,G1524,H1524)</f>
        <v>266</v>
      </c>
      <c r="J1524" s="1" t="str">
        <f aca="false">_xlfn.IFS(AND(F1524&gt;=8,G1524&gt;=8,H1524&gt;=8),"CHAMPION",AND(F1524&gt;=6,G1524&gt;=7,H1524&gt;=6),"LOYAL CUSTOMER",AND(F1524&gt;=6,G1524&gt;=5,H1524&gt;=5),"POTENTIAL LOYALIST",AND(F1524&gt;=8,G1524&lt;=2,H1524&gt;=5),"NEW CUSTOMERS",AND(F1524&gt;=6,G1524&lt;=2,H1524&gt;=3),"PROMISING",AND(F1524&gt;=3,G1524&gt;=3,H1524&gt;=3),"NEED ATTENTION",AND(F1524&lt;=4,G1524&gt;=6,H1524&gt;=6),"AT RISK",AND(F1524&lt;=2,G1524&gt;=8,H1524&gt;=8),"CAN'T LOSE THEM",AND(F1524&lt;=2,G1524&lt;=2,H1524&lt;=2),"HIBERNATING",TRUE(),"Other")</f>
        <v>AT RISK</v>
      </c>
      <c r="K1524" s="1" t="n">
        <f aca="false">RANK(E1524,$E$7:$E$4378)+COUNTIF($E$7:E1524,E1524)-1</f>
        <v>1216</v>
      </c>
    </row>
    <row r="1525" customFormat="false" ht="14.25" hidden="false" customHeight="true" outlineLevel="0" collapsed="false">
      <c r="A1525" s="51" t="n">
        <v>14404</v>
      </c>
      <c r="B1525" s="53" t="n">
        <v>40853.5208333333</v>
      </c>
      <c r="C1525" s="57" t="n">
        <f aca="false">INT($C$2)-INT(Table3[[#This Row],[Last Purchase Date]])</f>
        <v>34</v>
      </c>
      <c r="D1525" s="1" t="n">
        <v>7</v>
      </c>
      <c r="E1525" s="1" t="n">
        <v>1434.72</v>
      </c>
      <c r="F1525" s="1" t="n">
        <f aca="false">ROUND((1-_xlfn.PERCENTRANK.INC($C$7:$C$4378,C1525))*9,0)</f>
        <v>5</v>
      </c>
      <c r="G1525" s="1" t="n">
        <f aca="false">ROUND(_xlfn.PERCENTRANK.INC($D$7:$D$4378,D1525)*9,0)</f>
        <v>7</v>
      </c>
      <c r="H1525" s="1" t="n">
        <f aca="false">ROUND(_xlfn.PERCENTRANK.INC($E$7:$E$4378,E1525)*9,0)</f>
        <v>7</v>
      </c>
      <c r="I1525" s="1" t="str">
        <f aca="false">CONCATENATE(F1525,G1525,H1525)</f>
        <v>577</v>
      </c>
      <c r="J1525" s="1" t="str">
        <f aca="false">_xlfn.IFS(AND(F1525&gt;=8,G1525&gt;=8,H1525&gt;=8),"CHAMPION",AND(F1525&gt;=6,G1525&gt;=7,H1525&gt;=6),"LOYAL CUSTOMER",AND(F1525&gt;=6,G1525&gt;=5,H1525&gt;=5),"POTENTIAL LOYALIST",AND(F1525&gt;=8,G1525&lt;=2,H1525&gt;=5),"NEW CUSTOMERS",AND(F1525&gt;=6,G1525&lt;=2,H1525&gt;=3),"PROMISING",AND(F1525&gt;=3,G1525&gt;=3,H1525&gt;=3),"NEED ATTENTION",AND(F1525&lt;=4,G1525&gt;=6,H1525&gt;=6),"AT RISK",AND(F1525&lt;=2,G1525&gt;=8,H1525&gt;=8),"CAN'T LOSE THEM",AND(F1525&lt;=2,G1525&lt;=2,H1525&lt;=2),"HIBERNATING",TRUE(),"Other")</f>
        <v>NEED ATTENTION</v>
      </c>
      <c r="K1525" s="1" t="n">
        <f aca="false">RANK(E1525,$E$7:$E$4378)+COUNTIF($E$7:E1525,E1525)-1</f>
        <v>1207</v>
      </c>
    </row>
    <row r="1526" customFormat="false" ht="14.25" hidden="false" customHeight="true" outlineLevel="0" collapsed="false">
      <c r="A1526" s="51" t="n">
        <v>14406</v>
      </c>
      <c r="B1526" s="53" t="n">
        <v>40767.7041666667</v>
      </c>
      <c r="C1526" s="57" t="n">
        <f aca="false">INT($C$2)-INT(Table3[[#This Row],[Last Purchase Date]])</f>
        <v>120</v>
      </c>
      <c r="D1526" s="1" t="n">
        <v>1</v>
      </c>
      <c r="E1526" s="1" t="n">
        <v>156.75</v>
      </c>
      <c r="F1526" s="1" t="n">
        <f aca="false">ROUND((1-_xlfn.PERCENTRANK.INC($C$7:$C$4378,C1526))*9,0)</f>
        <v>3</v>
      </c>
      <c r="G1526" s="1" t="n">
        <f aca="false">ROUND(_xlfn.PERCENTRANK.INC($D$7:$D$4378,D1526)*9,0)</f>
        <v>0</v>
      </c>
      <c r="H1526" s="1" t="n">
        <f aca="false">ROUND(_xlfn.PERCENTRANK.INC($E$7:$E$4378,E1526)*9,0)</f>
        <v>1</v>
      </c>
      <c r="I1526" s="1" t="str">
        <f aca="false">CONCATENATE(F1526,G1526,H1526)</f>
        <v>301</v>
      </c>
      <c r="J1526" s="1" t="str">
        <f aca="false">_xlfn.IFS(AND(F1526&gt;=8,G1526&gt;=8,H1526&gt;=8),"CHAMPION",AND(F1526&gt;=6,G1526&gt;=7,H1526&gt;=6),"LOYAL CUSTOMER",AND(F1526&gt;=6,G1526&gt;=5,H1526&gt;=5),"POTENTIAL LOYALIST",AND(F1526&gt;=8,G1526&lt;=2,H1526&gt;=5),"NEW CUSTOMERS",AND(F1526&gt;=6,G1526&lt;=2,H1526&gt;=3),"PROMISING",AND(F1526&gt;=3,G1526&gt;=3,H1526&gt;=3),"NEED ATTENTION",AND(F1526&lt;=4,G1526&gt;=6,H1526&gt;=6),"AT RISK",AND(F1526&lt;=2,G1526&gt;=8,H1526&gt;=8),"CAN'T LOSE THEM",AND(F1526&lt;=2,G1526&lt;=2,H1526&lt;=2),"HIBERNATING",TRUE(),"Other")</f>
        <v>Other</v>
      </c>
      <c r="K1526" s="1" t="n">
        <f aca="false">RANK(E1526,$E$7:$E$4378)+COUNTIF($E$7:E1526,E1526)-1</f>
        <v>3877</v>
      </c>
    </row>
    <row r="1527" customFormat="false" ht="14.25" hidden="false" customHeight="true" outlineLevel="0" collapsed="false">
      <c r="A1527" s="51" t="n">
        <v>14407</v>
      </c>
      <c r="B1527" s="53" t="n">
        <v>40779.5847222222</v>
      </c>
      <c r="C1527" s="57" t="n">
        <f aca="false">INT($C$2)-INT(Table3[[#This Row],[Last Purchase Date]])</f>
        <v>108</v>
      </c>
      <c r="D1527" s="1" t="n">
        <v>9</v>
      </c>
      <c r="E1527" s="1" t="n">
        <v>2111.08</v>
      </c>
      <c r="F1527" s="1" t="n">
        <f aca="false">ROUND((1-_xlfn.PERCENTRANK.INC($C$7:$C$4378,C1527))*9,0)</f>
        <v>3</v>
      </c>
      <c r="G1527" s="1" t="n">
        <f aca="false">ROUND(_xlfn.PERCENTRANK.INC($D$7:$D$4378,D1527)*9,0)</f>
        <v>8</v>
      </c>
      <c r="H1527" s="1" t="n">
        <f aca="false">ROUND(_xlfn.PERCENTRANK.INC($E$7:$E$4378,E1527)*9,0)</f>
        <v>7</v>
      </c>
      <c r="I1527" s="1" t="str">
        <f aca="false">CONCATENATE(F1527,G1527,H1527)</f>
        <v>387</v>
      </c>
      <c r="J1527" s="1" t="str">
        <f aca="false">_xlfn.IFS(AND(F1527&gt;=8,G1527&gt;=8,H1527&gt;=8),"CHAMPION",AND(F1527&gt;=6,G1527&gt;=7,H1527&gt;=6),"LOYAL CUSTOMER",AND(F1527&gt;=6,G1527&gt;=5,H1527&gt;=5),"POTENTIAL LOYALIST",AND(F1527&gt;=8,G1527&lt;=2,H1527&gt;=5),"NEW CUSTOMERS",AND(F1527&gt;=6,G1527&lt;=2,H1527&gt;=3),"PROMISING",AND(F1527&gt;=3,G1527&gt;=3,H1527&gt;=3),"NEED ATTENTION",AND(F1527&lt;=4,G1527&gt;=6,H1527&gt;=6),"AT RISK",AND(F1527&lt;=2,G1527&gt;=8,H1527&gt;=8),"CAN'T LOSE THEM",AND(F1527&lt;=2,G1527&lt;=2,H1527&lt;=2),"HIBERNATING",TRUE(),"Other")</f>
        <v>NEED ATTENTION</v>
      </c>
      <c r="K1527" s="1" t="n">
        <f aca="false">RANK(E1527,$E$7:$E$4378)+COUNTIF($E$7:E1527,E1527)-1</f>
        <v>820</v>
      </c>
    </row>
    <row r="1528" customFormat="false" ht="14.25" hidden="false" customHeight="true" outlineLevel="0" collapsed="false">
      <c r="A1528" s="51" t="n">
        <v>14408</v>
      </c>
      <c r="B1528" s="53" t="n">
        <v>40876.4868055556</v>
      </c>
      <c r="C1528" s="57" t="n">
        <f aca="false">INT($C$2)-INT(Table3[[#This Row],[Last Purchase Date]])</f>
        <v>11</v>
      </c>
      <c r="D1528" s="1" t="n">
        <v>7</v>
      </c>
      <c r="E1528" s="1" t="n">
        <v>2606.53</v>
      </c>
      <c r="F1528" s="1" t="n">
        <f aca="false">ROUND((1-_xlfn.PERCENTRANK.INC($C$7:$C$4378,C1528))*9,0)</f>
        <v>7</v>
      </c>
      <c r="G1528" s="1" t="n">
        <f aca="false">ROUND(_xlfn.PERCENTRANK.INC($D$7:$D$4378,D1528)*9,0)</f>
        <v>7</v>
      </c>
      <c r="H1528" s="1" t="n">
        <f aca="false">ROUND(_xlfn.PERCENTRANK.INC($E$7:$E$4378,E1528)*9,0)</f>
        <v>8</v>
      </c>
      <c r="I1528" s="1" t="str">
        <f aca="false">CONCATENATE(F1528,G1528,H1528)</f>
        <v>778</v>
      </c>
      <c r="J1528" s="1" t="str">
        <f aca="false">_xlfn.IFS(AND(F1528&gt;=8,G1528&gt;=8,H1528&gt;=8),"CHAMPION",AND(F1528&gt;=6,G1528&gt;=7,H1528&gt;=6),"LOYAL CUSTOMER",AND(F1528&gt;=6,G1528&gt;=5,H1528&gt;=5),"POTENTIAL LOYALIST",AND(F1528&gt;=8,G1528&lt;=2,H1528&gt;=5),"NEW CUSTOMERS",AND(F1528&gt;=6,G1528&lt;=2,H1528&gt;=3),"PROMISING",AND(F1528&gt;=3,G1528&gt;=3,H1528&gt;=3),"NEED ATTENTION",AND(F1528&lt;=4,G1528&gt;=6,H1528&gt;=6),"AT RISK",AND(F1528&lt;=2,G1528&gt;=8,H1528&gt;=8),"CAN'T LOSE THEM",AND(F1528&lt;=2,G1528&lt;=2,H1528&lt;=2),"HIBERNATING",TRUE(),"Other")</f>
        <v>LOYAL CUSTOMER</v>
      </c>
      <c r="K1528" s="1" t="n">
        <f aca="false">RANK(E1528,$E$7:$E$4378)+COUNTIF($E$7:E1528,E1528)-1</f>
        <v>646</v>
      </c>
    </row>
    <row r="1529" customFormat="false" ht="14.25" hidden="false" customHeight="true" outlineLevel="0" collapsed="false">
      <c r="A1529" s="51" t="n">
        <v>14409</v>
      </c>
      <c r="B1529" s="53" t="n">
        <v>40815.7625</v>
      </c>
      <c r="C1529" s="57" t="n">
        <f aca="false">INT($C$2)-INT(Table3[[#This Row],[Last Purchase Date]])</f>
        <v>72</v>
      </c>
      <c r="D1529" s="1" t="n">
        <v>7</v>
      </c>
      <c r="E1529" s="1" t="n">
        <v>1908.25</v>
      </c>
      <c r="F1529" s="1" t="n">
        <f aca="false">ROUND((1-_xlfn.PERCENTRANK.INC($C$7:$C$4378,C1529))*9,0)</f>
        <v>4</v>
      </c>
      <c r="G1529" s="1" t="n">
        <f aca="false">ROUND(_xlfn.PERCENTRANK.INC($D$7:$D$4378,D1529)*9,0)</f>
        <v>7</v>
      </c>
      <c r="H1529" s="1" t="n">
        <f aca="false">ROUND(_xlfn.PERCENTRANK.INC($E$7:$E$4378,E1529)*9,0)</f>
        <v>7</v>
      </c>
      <c r="I1529" s="1" t="str">
        <f aca="false">CONCATENATE(F1529,G1529,H1529)</f>
        <v>477</v>
      </c>
      <c r="J1529" s="1" t="str">
        <f aca="false">_xlfn.IFS(AND(F1529&gt;=8,G1529&gt;=8,H1529&gt;=8),"CHAMPION",AND(F1529&gt;=6,G1529&gt;=7,H1529&gt;=6),"LOYAL CUSTOMER",AND(F1529&gt;=6,G1529&gt;=5,H1529&gt;=5),"POTENTIAL LOYALIST",AND(F1529&gt;=8,G1529&lt;=2,H1529&gt;=5),"NEW CUSTOMERS",AND(F1529&gt;=6,G1529&lt;=2,H1529&gt;=3),"PROMISING",AND(F1529&gt;=3,G1529&gt;=3,H1529&gt;=3),"NEED ATTENTION",AND(F1529&lt;=4,G1529&gt;=6,H1529&gt;=6),"AT RISK",AND(F1529&lt;=2,G1529&gt;=8,H1529&gt;=8),"CAN'T LOSE THEM",AND(F1529&lt;=2,G1529&lt;=2,H1529&lt;=2),"HIBERNATING",TRUE(),"Other")</f>
        <v>NEED ATTENTION</v>
      </c>
      <c r="K1529" s="1" t="n">
        <f aca="false">RANK(E1529,$E$7:$E$4378)+COUNTIF($E$7:E1529,E1529)-1</f>
        <v>913</v>
      </c>
    </row>
    <row r="1530" customFormat="false" ht="14.25" hidden="false" customHeight="true" outlineLevel="0" collapsed="false">
      <c r="A1530" s="51" t="n">
        <v>14410</v>
      </c>
      <c r="B1530" s="53" t="n">
        <v>40871.4694444445</v>
      </c>
      <c r="C1530" s="57" t="n">
        <f aca="false">INT($C$2)-INT(Table3[[#This Row],[Last Purchase Date]])</f>
        <v>16</v>
      </c>
      <c r="D1530" s="1" t="n">
        <v>15</v>
      </c>
      <c r="E1530" s="1" t="n">
        <v>576.3</v>
      </c>
      <c r="F1530" s="1" t="n">
        <f aca="false">ROUND((1-_xlfn.PERCENTRANK.INC($C$7:$C$4378,C1530))*9,0)</f>
        <v>7</v>
      </c>
      <c r="G1530" s="1" t="n">
        <f aca="false">ROUND(_xlfn.PERCENTRANK.INC($D$7:$D$4378,D1530)*9,0)</f>
        <v>8</v>
      </c>
      <c r="H1530" s="1" t="n">
        <f aca="false">ROUND(_xlfn.PERCENTRANK.INC($E$7:$E$4378,E1530)*9,0)</f>
        <v>4</v>
      </c>
      <c r="I1530" s="1" t="str">
        <f aca="false">CONCATENATE(F1530,G1530,H1530)</f>
        <v>784</v>
      </c>
      <c r="J1530" s="1" t="str">
        <f aca="false">_xlfn.IFS(AND(F1530&gt;=8,G1530&gt;=8,H1530&gt;=8),"CHAMPION",AND(F1530&gt;=6,G1530&gt;=7,H1530&gt;=6),"LOYAL CUSTOMER",AND(F1530&gt;=6,G1530&gt;=5,H1530&gt;=5),"POTENTIAL LOYALIST",AND(F1530&gt;=8,G1530&lt;=2,H1530&gt;=5),"NEW CUSTOMERS",AND(F1530&gt;=6,G1530&lt;=2,H1530&gt;=3),"PROMISING",AND(F1530&gt;=3,G1530&gt;=3,H1530&gt;=3),"NEED ATTENTION",AND(F1530&lt;=4,G1530&gt;=6,H1530&gt;=6),"AT RISK",AND(F1530&lt;=2,G1530&gt;=8,H1530&gt;=8),"CAN'T LOSE THEM",AND(F1530&lt;=2,G1530&lt;=2,H1530&lt;=2),"HIBERNATING",TRUE(),"Other")</f>
        <v>NEED ATTENTION</v>
      </c>
      <c r="K1530" s="1" t="n">
        <f aca="false">RANK(E1530,$E$7:$E$4378)+COUNTIF($E$7:E1530,E1530)-1</f>
        <v>2377</v>
      </c>
    </row>
    <row r="1531" customFormat="false" ht="14.25" hidden="false" customHeight="true" outlineLevel="0" collapsed="false">
      <c r="A1531" s="51" t="n">
        <v>14411</v>
      </c>
      <c r="B1531" s="53" t="n">
        <v>40576.4555555556</v>
      </c>
      <c r="C1531" s="57" t="n">
        <f aca="false">INT($C$2)-INT(Table3[[#This Row],[Last Purchase Date]])</f>
        <v>311</v>
      </c>
      <c r="D1531" s="1" t="n">
        <v>1</v>
      </c>
      <c r="E1531" s="1" t="n">
        <v>1063</v>
      </c>
      <c r="F1531" s="1" t="n">
        <f aca="false">ROUND((1-_xlfn.PERCENTRANK.INC($C$7:$C$4378,C1531))*9,0)</f>
        <v>0</v>
      </c>
      <c r="G1531" s="1" t="n">
        <f aca="false">ROUND(_xlfn.PERCENTRANK.INC($D$7:$D$4378,D1531)*9,0)</f>
        <v>0</v>
      </c>
      <c r="H1531" s="1" t="n">
        <f aca="false">ROUND(_xlfn.PERCENTRANK.INC($E$7:$E$4378,E1531)*9,0)</f>
        <v>6</v>
      </c>
      <c r="I1531" s="1" t="str">
        <f aca="false">CONCATENATE(F1531,G1531,H1531)</f>
        <v>006</v>
      </c>
      <c r="J1531" s="1" t="str">
        <f aca="false">_xlfn.IFS(AND(F1531&gt;=8,G1531&gt;=8,H1531&gt;=8),"CHAMPION",AND(F1531&gt;=6,G1531&gt;=7,H1531&gt;=6),"LOYAL CUSTOMER",AND(F1531&gt;=6,G1531&gt;=5,H1531&gt;=5),"POTENTIAL LOYALIST",AND(F1531&gt;=8,G1531&lt;=2,H1531&gt;=5),"NEW CUSTOMERS",AND(F1531&gt;=6,G1531&lt;=2,H1531&gt;=3),"PROMISING",AND(F1531&gt;=3,G1531&gt;=3,H1531&gt;=3),"NEED ATTENTION",AND(F1531&lt;=4,G1531&gt;=6,H1531&gt;=6),"AT RISK",AND(F1531&lt;=2,G1531&gt;=8,H1531&gt;=8),"CAN'T LOSE THEM",AND(F1531&lt;=2,G1531&lt;=2,H1531&lt;=2),"HIBERNATING",TRUE(),"Other")</f>
        <v>Other</v>
      </c>
      <c r="K1531" s="1" t="n">
        <f aca="false">RANK(E1531,$E$7:$E$4378)+COUNTIF($E$7:E1531,E1531)-1</f>
        <v>1545</v>
      </c>
    </row>
    <row r="1532" customFormat="false" ht="14.25" hidden="false" customHeight="true" outlineLevel="0" collapsed="false">
      <c r="A1532" s="51" t="n">
        <v>14412</v>
      </c>
      <c r="B1532" s="53" t="n">
        <v>40851.5513888889</v>
      </c>
      <c r="C1532" s="57" t="n">
        <f aca="false">INT($C$2)-INT(Table3[[#This Row],[Last Purchase Date]])</f>
        <v>36</v>
      </c>
      <c r="D1532" s="1" t="n">
        <v>3</v>
      </c>
      <c r="E1532" s="1" t="n">
        <v>761.33</v>
      </c>
      <c r="F1532" s="1" t="n">
        <f aca="false">ROUND((1-_xlfn.PERCENTRANK.INC($C$7:$C$4378,C1532))*9,0)</f>
        <v>5</v>
      </c>
      <c r="G1532" s="1" t="n">
        <f aca="false">ROUND(_xlfn.PERCENTRANK.INC($D$7:$D$4378,D1532)*9,0)</f>
        <v>4</v>
      </c>
      <c r="H1532" s="1" t="n">
        <f aca="false">ROUND(_xlfn.PERCENTRANK.INC($E$7:$E$4378,E1532)*9,0)</f>
        <v>5</v>
      </c>
      <c r="I1532" s="1" t="str">
        <f aca="false">CONCATENATE(F1532,G1532,H1532)</f>
        <v>545</v>
      </c>
      <c r="J1532" s="1" t="str">
        <f aca="false">_xlfn.IFS(AND(F1532&gt;=8,G1532&gt;=8,H1532&gt;=8),"CHAMPION",AND(F1532&gt;=6,G1532&gt;=7,H1532&gt;=6),"LOYAL CUSTOMER",AND(F1532&gt;=6,G1532&gt;=5,H1532&gt;=5),"POTENTIAL LOYALIST",AND(F1532&gt;=8,G1532&lt;=2,H1532&gt;=5),"NEW CUSTOMERS",AND(F1532&gt;=6,G1532&lt;=2,H1532&gt;=3),"PROMISING",AND(F1532&gt;=3,G1532&gt;=3,H1532&gt;=3),"NEED ATTENTION",AND(F1532&lt;=4,G1532&gt;=6,H1532&gt;=6),"AT RISK",AND(F1532&lt;=2,G1532&gt;=8,H1532&gt;=8),"CAN'T LOSE THEM",AND(F1532&lt;=2,G1532&lt;=2,H1532&lt;=2),"HIBERNATING",TRUE(),"Other")</f>
        <v>NEED ATTENTION</v>
      </c>
      <c r="K1532" s="1" t="n">
        <f aca="false">RANK(E1532,$E$7:$E$4378)+COUNTIF($E$7:E1532,E1532)-1</f>
        <v>1964</v>
      </c>
    </row>
    <row r="1533" customFormat="false" ht="14.25" hidden="false" customHeight="true" outlineLevel="0" collapsed="false">
      <c r="A1533" s="51" t="n">
        <v>14413</v>
      </c>
      <c r="B1533" s="53" t="n">
        <v>40524.5673611111</v>
      </c>
      <c r="C1533" s="57" t="n">
        <f aca="false">INT($C$2)-INT(Table3[[#This Row],[Last Purchase Date]])</f>
        <v>363</v>
      </c>
      <c r="D1533" s="1" t="n">
        <v>1</v>
      </c>
      <c r="E1533" s="1" t="n">
        <v>122.7</v>
      </c>
      <c r="F1533" s="1" t="n">
        <f aca="false">ROUND((1-_xlfn.PERCENTRANK.INC($C$7:$C$4378,C1533))*9,0)</f>
        <v>0</v>
      </c>
      <c r="G1533" s="1" t="n">
        <f aca="false">ROUND(_xlfn.PERCENTRANK.INC($D$7:$D$4378,D1533)*9,0)</f>
        <v>0</v>
      </c>
      <c r="H1533" s="1" t="n">
        <f aca="false">ROUND(_xlfn.PERCENTRANK.INC($E$7:$E$4378,E1533)*9,0)</f>
        <v>1</v>
      </c>
      <c r="I1533" s="1" t="str">
        <f aca="false">CONCATENATE(F1533,G1533,H1533)</f>
        <v>001</v>
      </c>
      <c r="J1533" s="1" t="str">
        <f aca="false">_xlfn.IFS(AND(F1533&gt;=8,G1533&gt;=8,H1533&gt;=8),"CHAMPION",AND(F1533&gt;=6,G1533&gt;=7,H1533&gt;=6),"LOYAL CUSTOMER",AND(F1533&gt;=6,G1533&gt;=5,H1533&gt;=5),"POTENTIAL LOYALIST",AND(F1533&gt;=8,G1533&lt;=2,H1533&gt;=5),"NEW CUSTOMERS",AND(F1533&gt;=6,G1533&lt;=2,H1533&gt;=3),"PROMISING",AND(F1533&gt;=3,G1533&gt;=3,H1533&gt;=3),"NEED ATTENTION",AND(F1533&lt;=4,G1533&gt;=6,H1533&gt;=6),"AT RISK",AND(F1533&lt;=2,G1533&gt;=8,H1533&gt;=8),"CAN'T LOSE THEM",AND(F1533&lt;=2,G1533&lt;=2,H1533&lt;=2),"HIBERNATING",TRUE(),"Other")</f>
        <v>HIBERNATING</v>
      </c>
      <c r="K1533" s="1" t="n">
        <f aca="false">RANK(E1533,$E$7:$E$4378)+COUNTIF($E$7:E1533,E1533)-1</f>
        <v>4037</v>
      </c>
    </row>
    <row r="1534" customFormat="false" ht="14.25" hidden="false" customHeight="true" outlineLevel="0" collapsed="false">
      <c r="A1534" s="51" t="n">
        <v>14414</v>
      </c>
      <c r="B1534" s="53" t="n">
        <v>40795.50625</v>
      </c>
      <c r="C1534" s="57" t="n">
        <f aca="false">INT($C$2)-INT(Table3[[#This Row],[Last Purchase Date]])</f>
        <v>92</v>
      </c>
      <c r="D1534" s="1" t="n">
        <v>8</v>
      </c>
      <c r="E1534" s="1" t="n">
        <v>1485.13</v>
      </c>
      <c r="F1534" s="1" t="n">
        <f aca="false">ROUND((1-_xlfn.PERCENTRANK.INC($C$7:$C$4378,C1534))*9,0)</f>
        <v>3</v>
      </c>
      <c r="G1534" s="1" t="n">
        <f aca="false">ROUND(_xlfn.PERCENTRANK.INC($D$7:$D$4378,D1534)*9,0)</f>
        <v>7</v>
      </c>
      <c r="H1534" s="1" t="n">
        <f aca="false">ROUND(_xlfn.PERCENTRANK.INC($E$7:$E$4378,E1534)*9,0)</f>
        <v>7</v>
      </c>
      <c r="I1534" s="1" t="str">
        <f aca="false">CONCATENATE(F1534,G1534,H1534)</f>
        <v>377</v>
      </c>
      <c r="J1534" s="1" t="str">
        <f aca="false">_xlfn.IFS(AND(F1534&gt;=8,G1534&gt;=8,H1534&gt;=8),"CHAMPION",AND(F1534&gt;=6,G1534&gt;=7,H1534&gt;=6),"LOYAL CUSTOMER",AND(F1534&gt;=6,G1534&gt;=5,H1534&gt;=5),"POTENTIAL LOYALIST",AND(F1534&gt;=8,G1534&lt;=2,H1534&gt;=5),"NEW CUSTOMERS",AND(F1534&gt;=6,G1534&lt;=2,H1534&gt;=3),"PROMISING",AND(F1534&gt;=3,G1534&gt;=3,H1534&gt;=3),"NEED ATTENTION",AND(F1534&lt;=4,G1534&gt;=6,H1534&gt;=6),"AT RISK",AND(F1534&lt;=2,G1534&gt;=8,H1534&gt;=8),"CAN'T LOSE THEM",AND(F1534&lt;=2,G1534&lt;=2,H1534&lt;=2),"HIBERNATING",TRUE(),"Other")</f>
        <v>NEED ATTENTION</v>
      </c>
      <c r="K1534" s="1" t="n">
        <f aca="false">RANK(E1534,$E$7:$E$4378)+COUNTIF($E$7:E1534,E1534)-1</f>
        <v>1177</v>
      </c>
    </row>
    <row r="1535" customFormat="false" ht="14.25" hidden="false" customHeight="true" outlineLevel="0" collapsed="false">
      <c r="A1535" s="51" t="n">
        <v>14415</v>
      </c>
      <c r="B1535" s="53" t="n">
        <v>40885.6097222222</v>
      </c>
      <c r="C1535" s="57" t="n">
        <f aca="false">INT($C$2)-INT(Table3[[#This Row],[Last Purchase Date]])</f>
        <v>2</v>
      </c>
      <c r="D1535" s="1" t="n">
        <v>18</v>
      </c>
      <c r="E1535" s="1" t="n">
        <v>5811.56000000001</v>
      </c>
      <c r="F1535" s="1" t="n">
        <f aca="false">ROUND((1-_xlfn.PERCENTRANK.INC($C$7:$C$4378,C1535))*9,0)</f>
        <v>9</v>
      </c>
      <c r="G1535" s="1" t="n">
        <f aca="false">ROUND(_xlfn.PERCENTRANK.INC($D$7:$D$4378,D1535)*9,0)</f>
        <v>9</v>
      </c>
      <c r="H1535" s="1" t="n">
        <f aca="false">ROUND(_xlfn.PERCENTRANK.INC($E$7:$E$4378,E1535)*9,0)</f>
        <v>9</v>
      </c>
      <c r="I1535" s="1" t="str">
        <f aca="false">CONCATENATE(F1535,G1535,H1535)</f>
        <v>999</v>
      </c>
      <c r="J1535" s="1" t="str">
        <f aca="false">_xlfn.IFS(AND(F1535&gt;=8,G1535&gt;=8,H1535&gt;=8),"CHAMPION",AND(F1535&gt;=6,G1535&gt;=7,H1535&gt;=6),"LOYAL CUSTOMER",AND(F1535&gt;=6,G1535&gt;=5,H1535&gt;=5),"POTENTIAL LOYALIST",AND(F1535&gt;=8,G1535&lt;=2,H1535&gt;=5),"NEW CUSTOMERS",AND(F1535&gt;=6,G1535&lt;=2,H1535&gt;=3),"PROMISING",AND(F1535&gt;=3,G1535&gt;=3,H1535&gt;=3),"NEED ATTENTION",AND(F1535&lt;=4,G1535&gt;=6,H1535&gt;=6),"AT RISK",AND(F1535&lt;=2,G1535&gt;=8,H1535&gt;=8),"CAN'T LOSE THEM",AND(F1535&lt;=2,G1535&lt;=2,H1535&lt;=2),"HIBERNATING",TRUE(),"Other")</f>
        <v>CHAMPION</v>
      </c>
      <c r="K1535" s="1" t="n">
        <f aca="false">RANK(E1535,$E$7:$E$4378)+COUNTIF($E$7:E1535,E1535)-1</f>
        <v>209</v>
      </c>
    </row>
    <row r="1536" customFormat="false" ht="14.25" hidden="false" customHeight="true" outlineLevel="0" collapsed="false">
      <c r="A1536" s="51" t="n">
        <v>14416</v>
      </c>
      <c r="B1536" s="53" t="n">
        <v>40864.6402777778</v>
      </c>
      <c r="C1536" s="57" t="n">
        <f aca="false">INT($C$2)-INT(Table3[[#This Row],[Last Purchase Date]])</f>
        <v>23</v>
      </c>
      <c r="D1536" s="1" t="n">
        <v>2</v>
      </c>
      <c r="E1536" s="1" t="n">
        <v>490.22</v>
      </c>
      <c r="F1536" s="1" t="n">
        <f aca="false">ROUND((1-_xlfn.PERCENTRANK.INC($C$7:$C$4378,C1536))*9,0)</f>
        <v>6</v>
      </c>
      <c r="G1536" s="1" t="n">
        <f aca="false">ROUND(_xlfn.PERCENTRANK.INC($D$7:$D$4378,D1536)*9,0)</f>
        <v>3</v>
      </c>
      <c r="H1536" s="1" t="n">
        <f aca="false">ROUND(_xlfn.PERCENTRANK.INC($E$7:$E$4378,E1536)*9,0)</f>
        <v>4</v>
      </c>
      <c r="I1536" s="1" t="str">
        <f aca="false">CONCATENATE(F1536,G1536,H1536)</f>
        <v>634</v>
      </c>
      <c r="J1536" s="1" t="str">
        <f aca="false">_xlfn.IFS(AND(F1536&gt;=8,G1536&gt;=8,H1536&gt;=8),"CHAMPION",AND(F1536&gt;=6,G1536&gt;=7,H1536&gt;=6),"LOYAL CUSTOMER",AND(F1536&gt;=6,G1536&gt;=5,H1536&gt;=5),"POTENTIAL LOYALIST",AND(F1536&gt;=8,G1536&lt;=2,H1536&gt;=5),"NEW CUSTOMERS",AND(F1536&gt;=6,G1536&lt;=2,H1536&gt;=3),"PROMISING",AND(F1536&gt;=3,G1536&gt;=3,H1536&gt;=3),"NEED ATTENTION",AND(F1536&lt;=4,G1536&gt;=6,H1536&gt;=6),"AT RISK",AND(F1536&lt;=2,G1536&gt;=8,H1536&gt;=8),"CAN'T LOSE THEM",AND(F1536&lt;=2,G1536&lt;=2,H1536&lt;=2),"HIBERNATING",TRUE(),"Other")</f>
        <v>NEED ATTENTION</v>
      </c>
      <c r="K1536" s="1" t="n">
        <f aca="false">RANK(E1536,$E$7:$E$4378)+COUNTIF($E$7:E1536,E1536)-1</f>
        <v>2568</v>
      </c>
    </row>
    <row r="1537" customFormat="false" ht="14.25" hidden="false" customHeight="true" outlineLevel="0" collapsed="false">
      <c r="A1537" s="51" t="n">
        <v>14418</v>
      </c>
      <c r="B1537" s="53" t="n">
        <v>40883.4854166667</v>
      </c>
      <c r="C1537" s="57" t="n">
        <f aca="false">INT($C$2)-INT(Table3[[#This Row],[Last Purchase Date]])</f>
        <v>4</v>
      </c>
      <c r="D1537" s="1" t="n">
        <v>3</v>
      </c>
      <c r="E1537" s="1" t="n">
        <v>1937.25</v>
      </c>
      <c r="F1537" s="1" t="n">
        <f aca="false">ROUND((1-_xlfn.PERCENTRANK.INC($C$7:$C$4378,C1537))*9,0)</f>
        <v>8</v>
      </c>
      <c r="G1537" s="1" t="n">
        <f aca="false">ROUND(_xlfn.PERCENTRANK.INC($D$7:$D$4378,D1537)*9,0)</f>
        <v>4</v>
      </c>
      <c r="H1537" s="1" t="n">
        <f aca="false">ROUND(_xlfn.PERCENTRANK.INC($E$7:$E$4378,E1537)*9,0)</f>
        <v>7</v>
      </c>
      <c r="I1537" s="1" t="str">
        <f aca="false">CONCATENATE(F1537,G1537,H1537)</f>
        <v>847</v>
      </c>
      <c r="J1537" s="1" t="str">
        <f aca="false">_xlfn.IFS(AND(F1537&gt;=8,G1537&gt;=8,H1537&gt;=8),"CHAMPION",AND(F1537&gt;=6,G1537&gt;=7,H1537&gt;=6),"LOYAL CUSTOMER",AND(F1537&gt;=6,G1537&gt;=5,H1537&gt;=5),"POTENTIAL LOYALIST",AND(F1537&gt;=8,G1537&lt;=2,H1537&gt;=5),"NEW CUSTOMERS",AND(F1537&gt;=6,G1537&lt;=2,H1537&gt;=3),"PROMISING",AND(F1537&gt;=3,G1537&gt;=3,H1537&gt;=3),"NEED ATTENTION",AND(F1537&lt;=4,G1537&gt;=6,H1537&gt;=6),"AT RISK",AND(F1537&lt;=2,G1537&gt;=8,H1537&gt;=8),"CAN'T LOSE THEM",AND(F1537&lt;=2,G1537&lt;=2,H1537&lt;=2),"HIBERNATING",TRUE(),"Other")</f>
        <v>NEED ATTENTION</v>
      </c>
      <c r="K1537" s="1" t="n">
        <f aca="false">RANK(E1537,$E$7:$E$4378)+COUNTIF($E$7:E1537,E1537)-1</f>
        <v>899</v>
      </c>
    </row>
    <row r="1538" customFormat="false" ht="14.25" hidden="false" customHeight="true" outlineLevel="0" collapsed="false">
      <c r="A1538" s="51" t="n">
        <v>14419</v>
      </c>
      <c r="B1538" s="53" t="n">
        <v>40876.4736111111</v>
      </c>
      <c r="C1538" s="57" t="n">
        <f aca="false">INT($C$2)-INT(Table3[[#This Row],[Last Purchase Date]])</f>
        <v>11</v>
      </c>
      <c r="D1538" s="1" t="n">
        <v>6</v>
      </c>
      <c r="E1538" s="1" t="n">
        <v>1058.06</v>
      </c>
      <c r="F1538" s="1" t="n">
        <f aca="false">ROUND((1-_xlfn.PERCENTRANK.INC($C$7:$C$4378,C1538))*9,0)</f>
        <v>7</v>
      </c>
      <c r="G1538" s="1" t="n">
        <f aca="false">ROUND(_xlfn.PERCENTRANK.INC($D$7:$D$4378,D1538)*9,0)</f>
        <v>7</v>
      </c>
      <c r="H1538" s="1" t="n">
        <f aca="false">ROUND(_xlfn.PERCENTRANK.INC($E$7:$E$4378,E1538)*9,0)</f>
        <v>6</v>
      </c>
      <c r="I1538" s="1" t="str">
        <f aca="false">CONCATENATE(F1538,G1538,H1538)</f>
        <v>776</v>
      </c>
      <c r="J1538" s="1" t="str">
        <f aca="false">_xlfn.IFS(AND(F1538&gt;=8,G1538&gt;=8,H1538&gt;=8),"CHAMPION",AND(F1538&gt;=6,G1538&gt;=7,H1538&gt;=6),"LOYAL CUSTOMER",AND(F1538&gt;=6,G1538&gt;=5,H1538&gt;=5),"POTENTIAL LOYALIST",AND(F1538&gt;=8,G1538&lt;=2,H1538&gt;=5),"NEW CUSTOMERS",AND(F1538&gt;=6,G1538&lt;=2,H1538&gt;=3),"PROMISING",AND(F1538&gt;=3,G1538&gt;=3,H1538&gt;=3),"NEED ATTENTION",AND(F1538&lt;=4,G1538&gt;=6,H1538&gt;=6),"AT RISK",AND(F1538&lt;=2,G1538&gt;=8,H1538&gt;=8),"CAN'T LOSE THEM",AND(F1538&lt;=2,G1538&lt;=2,H1538&lt;=2),"HIBERNATING",TRUE(),"Other")</f>
        <v>LOYAL CUSTOMER</v>
      </c>
      <c r="K1538" s="1" t="n">
        <f aca="false">RANK(E1538,$E$7:$E$4378)+COUNTIF($E$7:E1538,E1538)-1</f>
        <v>1549</v>
      </c>
    </row>
    <row r="1539" customFormat="false" ht="14.25" hidden="false" customHeight="true" outlineLevel="0" collapsed="false">
      <c r="A1539" s="51" t="n">
        <v>14420</v>
      </c>
      <c r="B1539" s="53" t="n">
        <v>40801.70625</v>
      </c>
      <c r="C1539" s="57" t="n">
        <f aca="false">INT($C$2)-INT(Table3[[#This Row],[Last Purchase Date]])</f>
        <v>86</v>
      </c>
      <c r="D1539" s="1" t="n">
        <v>2</v>
      </c>
      <c r="E1539" s="1" t="n">
        <v>385.87</v>
      </c>
      <c r="F1539" s="1" t="n">
        <f aca="false">ROUND((1-_xlfn.PERCENTRANK.INC($C$7:$C$4378,C1539))*9,0)</f>
        <v>3</v>
      </c>
      <c r="G1539" s="1" t="n">
        <f aca="false">ROUND(_xlfn.PERCENTRANK.INC($D$7:$D$4378,D1539)*9,0)</f>
        <v>3</v>
      </c>
      <c r="H1539" s="1" t="n">
        <f aca="false">ROUND(_xlfn.PERCENTRANK.INC($E$7:$E$4378,E1539)*9,0)</f>
        <v>3</v>
      </c>
      <c r="I1539" s="1" t="str">
        <f aca="false">CONCATENATE(F1539,G1539,H1539)</f>
        <v>333</v>
      </c>
      <c r="J1539" s="1" t="str">
        <f aca="false">_xlfn.IFS(AND(F1539&gt;=8,G1539&gt;=8,H1539&gt;=8),"CHAMPION",AND(F1539&gt;=6,G1539&gt;=7,H1539&gt;=6),"LOYAL CUSTOMER",AND(F1539&gt;=6,G1539&gt;=5,H1539&gt;=5),"POTENTIAL LOYALIST",AND(F1539&gt;=8,G1539&lt;=2,H1539&gt;=5),"NEW CUSTOMERS",AND(F1539&gt;=6,G1539&lt;=2,H1539&gt;=3),"PROMISING",AND(F1539&gt;=3,G1539&gt;=3,H1539&gt;=3),"NEED ATTENTION",AND(F1539&lt;=4,G1539&gt;=6,H1539&gt;=6),"AT RISK",AND(F1539&lt;=2,G1539&gt;=8,H1539&gt;=8),"CAN'T LOSE THEM",AND(F1539&lt;=2,G1539&lt;=2,H1539&lt;=2),"HIBERNATING",TRUE(),"Other")</f>
        <v>NEED ATTENTION</v>
      </c>
      <c r="K1539" s="1" t="n">
        <f aca="false">RANK(E1539,$E$7:$E$4378)+COUNTIF($E$7:E1539,E1539)-1</f>
        <v>2864</v>
      </c>
    </row>
    <row r="1540" customFormat="false" ht="14.25" hidden="false" customHeight="true" outlineLevel="0" collapsed="false">
      <c r="A1540" s="51" t="n">
        <v>14421</v>
      </c>
      <c r="B1540" s="53" t="n">
        <v>40829.5583333333</v>
      </c>
      <c r="C1540" s="57" t="n">
        <f aca="false">INT($C$2)-INT(Table3[[#This Row],[Last Purchase Date]])</f>
        <v>58</v>
      </c>
      <c r="D1540" s="1" t="n">
        <v>2</v>
      </c>
      <c r="E1540" s="1" t="n">
        <v>813.11</v>
      </c>
      <c r="F1540" s="1" t="n">
        <f aca="false">ROUND((1-_xlfn.PERCENTRANK.INC($C$7:$C$4378,C1540))*9,0)</f>
        <v>4</v>
      </c>
      <c r="G1540" s="1" t="n">
        <f aca="false">ROUND(_xlfn.PERCENTRANK.INC($D$7:$D$4378,D1540)*9,0)</f>
        <v>3</v>
      </c>
      <c r="H1540" s="1" t="n">
        <f aca="false">ROUND(_xlfn.PERCENTRANK.INC($E$7:$E$4378,E1540)*9,0)</f>
        <v>5</v>
      </c>
      <c r="I1540" s="1" t="str">
        <f aca="false">CONCATENATE(F1540,G1540,H1540)</f>
        <v>435</v>
      </c>
      <c r="J1540" s="1" t="str">
        <f aca="false">_xlfn.IFS(AND(F1540&gt;=8,G1540&gt;=8,H1540&gt;=8),"CHAMPION",AND(F1540&gt;=6,G1540&gt;=7,H1540&gt;=6),"LOYAL CUSTOMER",AND(F1540&gt;=6,G1540&gt;=5,H1540&gt;=5),"POTENTIAL LOYALIST",AND(F1540&gt;=8,G1540&lt;=2,H1540&gt;=5),"NEW CUSTOMERS",AND(F1540&gt;=6,G1540&lt;=2,H1540&gt;=3),"PROMISING",AND(F1540&gt;=3,G1540&gt;=3,H1540&gt;=3),"NEED ATTENTION",AND(F1540&lt;=4,G1540&gt;=6,H1540&gt;=6),"AT RISK",AND(F1540&lt;=2,G1540&gt;=8,H1540&gt;=8),"CAN'T LOSE THEM",AND(F1540&lt;=2,G1540&lt;=2,H1540&lt;=2),"HIBERNATING",TRUE(),"Other")</f>
        <v>NEED ATTENTION</v>
      </c>
      <c r="K1540" s="1" t="n">
        <f aca="false">RANK(E1540,$E$7:$E$4378)+COUNTIF($E$7:E1540,E1540)-1</f>
        <v>1878</v>
      </c>
    </row>
    <row r="1541" customFormat="false" ht="14.25" hidden="false" customHeight="true" outlineLevel="0" collapsed="false">
      <c r="A1541" s="51" t="n">
        <v>14422</v>
      </c>
      <c r="B1541" s="53" t="n">
        <v>40886.4763888889</v>
      </c>
      <c r="C1541" s="57" t="n">
        <f aca="false">INT($C$2)-INT(Table3[[#This Row],[Last Purchase Date]])</f>
        <v>1</v>
      </c>
      <c r="D1541" s="1" t="n">
        <v>6</v>
      </c>
      <c r="E1541" s="1" t="n">
        <v>4263.64</v>
      </c>
      <c r="F1541" s="1" t="n">
        <f aca="false">ROUND((1-_xlfn.PERCENTRANK.INC($C$7:$C$4378,C1541))*9,0)</f>
        <v>9</v>
      </c>
      <c r="G1541" s="1" t="n">
        <f aca="false">ROUND(_xlfn.PERCENTRANK.INC($D$7:$D$4378,D1541)*9,0)</f>
        <v>7</v>
      </c>
      <c r="H1541" s="1" t="n">
        <f aca="false">ROUND(_xlfn.PERCENTRANK.INC($E$7:$E$4378,E1541)*9,0)</f>
        <v>8</v>
      </c>
      <c r="I1541" s="1" t="str">
        <f aca="false">CONCATENATE(F1541,G1541,H1541)</f>
        <v>978</v>
      </c>
      <c r="J1541" s="1" t="str">
        <f aca="false">_xlfn.IFS(AND(F1541&gt;=8,G1541&gt;=8,H1541&gt;=8),"CHAMPION",AND(F1541&gt;=6,G1541&gt;=7,H1541&gt;=6),"LOYAL CUSTOMER",AND(F1541&gt;=6,G1541&gt;=5,H1541&gt;=5),"POTENTIAL LOYALIST",AND(F1541&gt;=8,G1541&lt;=2,H1541&gt;=5),"NEW CUSTOMERS",AND(F1541&gt;=6,G1541&lt;=2,H1541&gt;=3),"PROMISING",AND(F1541&gt;=3,G1541&gt;=3,H1541&gt;=3),"NEED ATTENTION",AND(F1541&lt;=4,G1541&gt;=6,H1541&gt;=6),"AT RISK",AND(F1541&lt;=2,G1541&gt;=8,H1541&gt;=8),"CAN'T LOSE THEM",AND(F1541&lt;=2,G1541&lt;=2,H1541&lt;=2),"HIBERNATING",TRUE(),"Other")</f>
        <v>LOYAL CUSTOMER</v>
      </c>
      <c r="K1541" s="1" t="n">
        <f aca="false">RANK(E1541,$E$7:$E$4378)+COUNTIF($E$7:E1541,E1541)-1</f>
        <v>323</v>
      </c>
    </row>
    <row r="1542" customFormat="false" ht="14.25" hidden="false" customHeight="true" outlineLevel="0" collapsed="false">
      <c r="A1542" s="51" t="n">
        <v>14423</v>
      </c>
      <c r="B1542" s="53" t="n">
        <v>40668.6333333333</v>
      </c>
      <c r="C1542" s="57" t="n">
        <f aca="false">INT($C$2)-INT(Table3[[#This Row],[Last Purchase Date]])</f>
        <v>219</v>
      </c>
      <c r="D1542" s="1" t="n">
        <v>1</v>
      </c>
      <c r="E1542" s="1" t="n">
        <v>265.2</v>
      </c>
      <c r="F1542" s="1" t="n">
        <f aca="false">ROUND((1-_xlfn.PERCENTRANK.INC($C$7:$C$4378,C1542))*9,0)</f>
        <v>1</v>
      </c>
      <c r="G1542" s="1" t="n">
        <f aca="false">ROUND(_xlfn.PERCENTRANK.INC($D$7:$D$4378,D1542)*9,0)</f>
        <v>0</v>
      </c>
      <c r="H1542" s="1" t="n">
        <f aca="false">ROUND(_xlfn.PERCENTRANK.INC($E$7:$E$4378,E1542)*9,0)</f>
        <v>2</v>
      </c>
      <c r="I1542" s="1" t="str">
        <f aca="false">CONCATENATE(F1542,G1542,H1542)</f>
        <v>102</v>
      </c>
      <c r="J1542" s="1" t="str">
        <f aca="false">_xlfn.IFS(AND(F1542&gt;=8,G1542&gt;=8,H1542&gt;=8),"CHAMPION",AND(F1542&gt;=6,G1542&gt;=7,H1542&gt;=6),"LOYAL CUSTOMER",AND(F1542&gt;=6,G1542&gt;=5,H1542&gt;=5),"POTENTIAL LOYALIST",AND(F1542&gt;=8,G1542&lt;=2,H1542&gt;=5),"NEW CUSTOMERS",AND(F1542&gt;=6,G1542&lt;=2,H1542&gt;=3),"PROMISING",AND(F1542&gt;=3,G1542&gt;=3,H1542&gt;=3),"NEED ATTENTION",AND(F1542&lt;=4,G1542&gt;=6,H1542&gt;=6),"AT RISK",AND(F1542&lt;=2,G1542&gt;=8,H1542&gt;=8),"CAN'T LOSE THEM",AND(F1542&lt;=2,G1542&lt;=2,H1542&lt;=2),"HIBERNATING",TRUE(),"Other")</f>
        <v>HIBERNATING</v>
      </c>
      <c r="K1542" s="1" t="n">
        <f aca="false">RANK(E1542,$E$7:$E$4378)+COUNTIF($E$7:E1542,E1542)-1</f>
        <v>3381</v>
      </c>
    </row>
    <row r="1543" customFormat="false" ht="14.25" hidden="false" customHeight="true" outlineLevel="0" collapsed="false">
      <c r="A1543" s="51" t="n">
        <v>14424</v>
      </c>
      <c r="B1543" s="53" t="n">
        <v>40869.4916666667</v>
      </c>
      <c r="C1543" s="57" t="n">
        <f aca="false">INT($C$2)-INT(Table3[[#This Row],[Last Purchase Date]])</f>
        <v>18</v>
      </c>
      <c r="D1543" s="1" t="n">
        <v>1</v>
      </c>
      <c r="E1543" s="1" t="n">
        <v>322.08</v>
      </c>
      <c r="F1543" s="1" t="n">
        <f aca="false">ROUND((1-_xlfn.PERCENTRANK.INC($C$7:$C$4378,C1543))*9,0)</f>
        <v>7</v>
      </c>
      <c r="G1543" s="1" t="n">
        <f aca="false">ROUND(_xlfn.PERCENTRANK.INC($D$7:$D$4378,D1543)*9,0)</f>
        <v>0</v>
      </c>
      <c r="H1543" s="1" t="n">
        <f aca="false">ROUND(_xlfn.PERCENTRANK.INC($E$7:$E$4378,E1543)*9,0)</f>
        <v>3</v>
      </c>
      <c r="I1543" s="1" t="str">
        <f aca="false">CONCATENATE(F1543,G1543,H1543)</f>
        <v>703</v>
      </c>
      <c r="J1543" s="1" t="str">
        <f aca="false">_xlfn.IFS(AND(F1543&gt;=8,G1543&gt;=8,H1543&gt;=8),"CHAMPION",AND(F1543&gt;=6,G1543&gt;=7,H1543&gt;=6),"LOYAL CUSTOMER",AND(F1543&gt;=6,G1543&gt;=5,H1543&gt;=5),"POTENTIAL LOYALIST",AND(F1543&gt;=8,G1543&lt;=2,H1543&gt;=5),"NEW CUSTOMERS",AND(F1543&gt;=6,G1543&lt;=2,H1543&gt;=3),"PROMISING",AND(F1543&gt;=3,G1543&gt;=3,H1543&gt;=3),"NEED ATTENTION",AND(F1543&lt;=4,G1543&gt;=6,H1543&gt;=6),"AT RISK",AND(F1543&lt;=2,G1543&gt;=8,H1543&gt;=8),"CAN'T LOSE THEM",AND(F1543&lt;=2,G1543&lt;=2,H1543&lt;=2),"HIBERNATING",TRUE(),"Other")</f>
        <v>PROMISING</v>
      </c>
      <c r="K1543" s="1" t="n">
        <f aca="false">RANK(E1543,$E$7:$E$4378)+COUNTIF($E$7:E1543,E1543)-1</f>
        <v>3129</v>
      </c>
    </row>
    <row r="1544" customFormat="false" ht="14.25" hidden="false" customHeight="true" outlineLevel="0" collapsed="false">
      <c r="A1544" s="51" t="n">
        <v>14426</v>
      </c>
      <c r="B1544" s="53" t="n">
        <v>40868.4909722222</v>
      </c>
      <c r="C1544" s="57" t="n">
        <f aca="false">INT($C$2)-INT(Table3[[#This Row],[Last Purchase Date]])</f>
        <v>19</v>
      </c>
      <c r="D1544" s="1" t="n">
        <v>16</v>
      </c>
      <c r="E1544" s="1" t="n">
        <v>3918.9</v>
      </c>
      <c r="F1544" s="1" t="n">
        <f aca="false">ROUND((1-_xlfn.PERCENTRANK.INC($C$7:$C$4378,C1544))*9,0)</f>
        <v>7</v>
      </c>
      <c r="G1544" s="1" t="n">
        <f aca="false">ROUND(_xlfn.PERCENTRANK.INC($D$7:$D$4378,D1544)*9,0)</f>
        <v>9</v>
      </c>
      <c r="H1544" s="1" t="n">
        <f aca="false">ROUND(_xlfn.PERCENTRANK.INC($E$7:$E$4378,E1544)*9,0)</f>
        <v>8</v>
      </c>
      <c r="I1544" s="1" t="str">
        <f aca="false">CONCATENATE(F1544,G1544,H1544)</f>
        <v>798</v>
      </c>
      <c r="J1544" s="1" t="str">
        <f aca="false">_xlfn.IFS(AND(F1544&gt;=8,G1544&gt;=8,H1544&gt;=8),"CHAMPION",AND(F1544&gt;=6,G1544&gt;=7,H1544&gt;=6),"LOYAL CUSTOMER",AND(F1544&gt;=6,G1544&gt;=5,H1544&gt;=5),"POTENTIAL LOYALIST",AND(F1544&gt;=8,G1544&lt;=2,H1544&gt;=5),"NEW CUSTOMERS",AND(F1544&gt;=6,G1544&lt;=2,H1544&gt;=3),"PROMISING",AND(F1544&gt;=3,G1544&gt;=3,H1544&gt;=3),"NEED ATTENTION",AND(F1544&lt;=4,G1544&gt;=6,H1544&gt;=6),"AT RISK",AND(F1544&lt;=2,G1544&gt;=8,H1544&gt;=8),"CAN'T LOSE THEM",AND(F1544&lt;=2,G1544&lt;=2,H1544&lt;=2),"HIBERNATING",TRUE(),"Other")</f>
        <v>LOYAL CUSTOMER</v>
      </c>
      <c r="K1544" s="1" t="n">
        <f aca="false">RANK(E1544,$E$7:$E$4378)+COUNTIF($E$7:E1544,E1544)-1</f>
        <v>366</v>
      </c>
    </row>
    <row r="1545" customFormat="false" ht="14.25" hidden="false" customHeight="true" outlineLevel="0" collapsed="false">
      <c r="A1545" s="51" t="n">
        <v>14427</v>
      </c>
      <c r="B1545" s="53" t="n">
        <v>40836.5993055556</v>
      </c>
      <c r="C1545" s="57" t="n">
        <f aca="false">INT($C$2)-INT(Table3[[#This Row],[Last Purchase Date]])</f>
        <v>51</v>
      </c>
      <c r="D1545" s="1" t="n">
        <v>2</v>
      </c>
      <c r="E1545" s="1" t="n">
        <v>363.34</v>
      </c>
      <c r="F1545" s="1" t="n">
        <f aca="false">ROUND((1-_xlfn.PERCENTRANK.INC($C$7:$C$4378,C1545))*9,0)</f>
        <v>5</v>
      </c>
      <c r="G1545" s="1" t="n">
        <f aca="false">ROUND(_xlfn.PERCENTRANK.INC($D$7:$D$4378,D1545)*9,0)</f>
        <v>3</v>
      </c>
      <c r="H1545" s="1" t="n">
        <f aca="false">ROUND(_xlfn.PERCENTRANK.INC($E$7:$E$4378,E1545)*9,0)</f>
        <v>3</v>
      </c>
      <c r="I1545" s="1" t="str">
        <f aca="false">CONCATENATE(F1545,G1545,H1545)</f>
        <v>533</v>
      </c>
      <c r="J1545" s="1" t="str">
        <f aca="false">_xlfn.IFS(AND(F1545&gt;=8,G1545&gt;=8,H1545&gt;=8),"CHAMPION",AND(F1545&gt;=6,G1545&gt;=7,H1545&gt;=6),"LOYAL CUSTOMER",AND(F1545&gt;=6,G1545&gt;=5,H1545&gt;=5),"POTENTIAL LOYALIST",AND(F1545&gt;=8,G1545&lt;=2,H1545&gt;=5),"NEW CUSTOMERS",AND(F1545&gt;=6,G1545&lt;=2,H1545&gt;=3),"PROMISING",AND(F1545&gt;=3,G1545&gt;=3,H1545&gt;=3),"NEED ATTENTION",AND(F1545&lt;=4,G1545&gt;=6,H1545&gt;=6),"AT RISK",AND(F1545&lt;=2,G1545&gt;=8,H1545&gt;=8),"CAN'T LOSE THEM",AND(F1545&lt;=2,G1545&lt;=2,H1545&lt;=2),"HIBERNATING",TRUE(),"Other")</f>
        <v>NEED ATTENTION</v>
      </c>
      <c r="K1545" s="1" t="n">
        <f aca="false">RANK(E1545,$E$7:$E$4378)+COUNTIF($E$7:E1545,E1545)-1</f>
        <v>2956</v>
      </c>
    </row>
    <row r="1546" customFormat="false" ht="14.25" hidden="false" customHeight="true" outlineLevel="0" collapsed="false">
      <c r="A1546" s="51" t="n">
        <v>14428</v>
      </c>
      <c r="B1546" s="53" t="n">
        <v>40879.5534722222</v>
      </c>
      <c r="C1546" s="57" t="n">
        <f aca="false">INT($C$2)-INT(Table3[[#This Row],[Last Purchase Date]])</f>
        <v>8</v>
      </c>
      <c r="D1546" s="1" t="n">
        <v>7</v>
      </c>
      <c r="E1546" s="1" t="n">
        <v>1230.14</v>
      </c>
      <c r="F1546" s="1" t="n">
        <f aca="false">ROUND((1-_xlfn.PERCENTRANK.INC($C$7:$C$4378,C1546))*9,0)</f>
        <v>8</v>
      </c>
      <c r="G1546" s="1" t="n">
        <f aca="false">ROUND(_xlfn.PERCENTRANK.INC($D$7:$D$4378,D1546)*9,0)</f>
        <v>7</v>
      </c>
      <c r="H1546" s="1" t="n">
        <f aca="false">ROUND(_xlfn.PERCENTRANK.INC($E$7:$E$4378,E1546)*9,0)</f>
        <v>6</v>
      </c>
      <c r="I1546" s="1" t="str">
        <f aca="false">CONCATENATE(F1546,G1546,H1546)</f>
        <v>876</v>
      </c>
      <c r="J1546" s="1" t="str">
        <f aca="false">_xlfn.IFS(AND(F1546&gt;=8,G1546&gt;=8,H1546&gt;=8),"CHAMPION",AND(F1546&gt;=6,G1546&gt;=7,H1546&gt;=6),"LOYAL CUSTOMER",AND(F1546&gt;=6,G1546&gt;=5,H1546&gt;=5),"POTENTIAL LOYALIST",AND(F1546&gt;=8,G1546&lt;=2,H1546&gt;=5),"NEW CUSTOMERS",AND(F1546&gt;=6,G1546&lt;=2,H1546&gt;=3),"PROMISING",AND(F1546&gt;=3,G1546&gt;=3,H1546&gt;=3),"NEED ATTENTION",AND(F1546&lt;=4,G1546&gt;=6,H1546&gt;=6),"AT RISK",AND(F1546&lt;=2,G1546&gt;=8,H1546&gt;=8),"CAN'T LOSE THEM",AND(F1546&lt;=2,G1546&lt;=2,H1546&lt;=2),"HIBERNATING",TRUE(),"Other")</f>
        <v>LOYAL CUSTOMER</v>
      </c>
      <c r="K1546" s="1" t="n">
        <f aca="false">RANK(E1546,$E$7:$E$4378)+COUNTIF($E$7:E1546,E1546)-1</f>
        <v>1392</v>
      </c>
    </row>
    <row r="1547" customFormat="false" ht="14.25" hidden="false" customHeight="true" outlineLevel="0" collapsed="false">
      <c r="A1547" s="51" t="n">
        <v>14431</v>
      </c>
      <c r="B1547" s="53" t="n">
        <v>40588.4555555556</v>
      </c>
      <c r="C1547" s="57" t="n">
        <f aca="false">INT($C$2)-INT(Table3[[#This Row],[Last Purchase Date]])</f>
        <v>299</v>
      </c>
      <c r="D1547" s="1" t="n">
        <v>2</v>
      </c>
      <c r="E1547" s="1" t="n">
        <v>397.76</v>
      </c>
      <c r="F1547" s="1" t="n">
        <f aca="false">ROUND((1-_xlfn.PERCENTRANK.INC($C$7:$C$4378,C1547))*9,0)</f>
        <v>1</v>
      </c>
      <c r="G1547" s="1" t="n">
        <f aca="false">ROUND(_xlfn.PERCENTRANK.INC($D$7:$D$4378,D1547)*9,0)</f>
        <v>3</v>
      </c>
      <c r="H1547" s="1" t="n">
        <f aca="false">ROUND(_xlfn.PERCENTRANK.INC($E$7:$E$4378,E1547)*9,0)</f>
        <v>3</v>
      </c>
      <c r="I1547" s="1" t="str">
        <f aca="false">CONCATENATE(F1547,G1547,H1547)</f>
        <v>133</v>
      </c>
      <c r="J1547" s="1" t="str">
        <f aca="false">_xlfn.IFS(AND(F1547&gt;=8,G1547&gt;=8,H1547&gt;=8),"CHAMPION",AND(F1547&gt;=6,G1547&gt;=7,H1547&gt;=6),"LOYAL CUSTOMER",AND(F1547&gt;=6,G1547&gt;=5,H1547&gt;=5),"POTENTIAL LOYALIST",AND(F1547&gt;=8,G1547&lt;=2,H1547&gt;=5),"NEW CUSTOMERS",AND(F1547&gt;=6,G1547&lt;=2,H1547&gt;=3),"PROMISING",AND(F1547&gt;=3,G1547&gt;=3,H1547&gt;=3),"NEED ATTENTION",AND(F1547&lt;=4,G1547&gt;=6,H1547&gt;=6),"AT RISK",AND(F1547&lt;=2,G1547&gt;=8,H1547&gt;=8),"CAN'T LOSE THEM",AND(F1547&lt;=2,G1547&lt;=2,H1547&lt;=2),"HIBERNATING",TRUE(),"Other")</f>
        <v>Other</v>
      </c>
      <c r="K1547" s="1" t="n">
        <f aca="false">RANK(E1547,$E$7:$E$4378)+COUNTIF($E$7:E1547,E1547)-1</f>
        <v>2825</v>
      </c>
    </row>
    <row r="1548" customFormat="false" ht="14.25" hidden="false" customHeight="true" outlineLevel="0" collapsed="false">
      <c r="A1548" s="51" t="n">
        <v>14432</v>
      </c>
      <c r="B1548" s="53" t="n">
        <v>40877.3361111111</v>
      </c>
      <c r="C1548" s="57" t="n">
        <f aca="false">INT($C$2)-INT(Table3[[#This Row],[Last Purchase Date]])</f>
        <v>10</v>
      </c>
      <c r="D1548" s="1" t="n">
        <v>6</v>
      </c>
      <c r="E1548" s="1" t="n">
        <v>2255.51</v>
      </c>
      <c r="F1548" s="1" t="n">
        <f aca="false">ROUND((1-_xlfn.PERCENTRANK.INC($C$7:$C$4378,C1548))*9,0)</f>
        <v>8</v>
      </c>
      <c r="G1548" s="1" t="n">
        <f aca="false">ROUND(_xlfn.PERCENTRANK.INC($D$7:$D$4378,D1548)*9,0)</f>
        <v>7</v>
      </c>
      <c r="H1548" s="1" t="n">
        <f aca="false">ROUND(_xlfn.PERCENTRANK.INC($E$7:$E$4378,E1548)*9,0)</f>
        <v>7</v>
      </c>
      <c r="I1548" s="1" t="str">
        <f aca="false">CONCATENATE(F1548,G1548,H1548)</f>
        <v>877</v>
      </c>
      <c r="J1548" s="1" t="str">
        <f aca="false">_xlfn.IFS(AND(F1548&gt;=8,G1548&gt;=8,H1548&gt;=8),"CHAMPION",AND(F1548&gt;=6,G1548&gt;=7,H1548&gt;=6),"LOYAL CUSTOMER",AND(F1548&gt;=6,G1548&gt;=5,H1548&gt;=5),"POTENTIAL LOYALIST",AND(F1548&gt;=8,G1548&lt;=2,H1548&gt;=5),"NEW CUSTOMERS",AND(F1548&gt;=6,G1548&lt;=2,H1548&gt;=3),"PROMISING",AND(F1548&gt;=3,G1548&gt;=3,H1548&gt;=3),"NEED ATTENTION",AND(F1548&lt;=4,G1548&gt;=6,H1548&gt;=6),"AT RISK",AND(F1548&lt;=2,G1548&gt;=8,H1548&gt;=8),"CAN'T LOSE THEM",AND(F1548&lt;=2,G1548&lt;=2,H1548&lt;=2),"HIBERNATING",TRUE(),"Other")</f>
        <v>LOYAL CUSTOMER</v>
      </c>
      <c r="K1548" s="1" t="n">
        <f aca="false">RANK(E1548,$E$7:$E$4378)+COUNTIF($E$7:E1548,E1548)-1</f>
        <v>761</v>
      </c>
    </row>
    <row r="1549" customFormat="false" ht="14.25" hidden="false" customHeight="true" outlineLevel="0" collapsed="false">
      <c r="A1549" s="51" t="n">
        <v>14434</v>
      </c>
      <c r="B1549" s="53" t="n">
        <v>40865.3722222222</v>
      </c>
      <c r="C1549" s="57" t="n">
        <f aca="false">INT($C$2)-INT(Table3[[#This Row],[Last Purchase Date]])</f>
        <v>22</v>
      </c>
      <c r="D1549" s="1" t="n">
        <v>6</v>
      </c>
      <c r="E1549" s="1" t="n">
        <v>1372.8</v>
      </c>
      <c r="F1549" s="1" t="n">
        <f aca="false">ROUND((1-_xlfn.PERCENTRANK.INC($C$7:$C$4378,C1549))*9,0)</f>
        <v>6</v>
      </c>
      <c r="G1549" s="1" t="n">
        <f aca="false">ROUND(_xlfn.PERCENTRANK.INC($D$7:$D$4378,D1549)*9,0)</f>
        <v>7</v>
      </c>
      <c r="H1549" s="1" t="n">
        <f aca="false">ROUND(_xlfn.PERCENTRANK.INC($E$7:$E$4378,E1549)*9,0)</f>
        <v>6</v>
      </c>
      <c r="I1549" s="1" t="str">
        <f aca="false">CONCATENATE(F1549,G1549,H1549)</f>
        <v>676</v>
      </c>
      <c r="J1549" s="1" t="str">
        <f aca="false">_xlfn.IFS(AND(F1549&gt;=8,G1549&gt;=8,H1549&gt;=8),"CHAMPION",AND(F1549&gt;=6,G1549&gt;=7,H1549&gt;=6),"LOYAL CUSTOMER",AND(F1549&gt;=6,G1549&gt;=5,H1549&gt;=5),"POTENTIAL LOYALIST",AND(F1549&gt;=8,G1549&lt;=2,H1549&gt;=5),"NEW CUSTOMERS",AND(F1549&gt;=6,G1549&lt;=2,H1549&gt;=3),"PROMISING",AND(F1549&gt;=3,G1549&gt;=3,H1549&gt;=3),"NEED ATTENTION",AND(F1549&lt;=4,G1549&gt;=6,H1549&gt;=6),"AT RISK",AND(F1549&lt;=2,G1549&gt;=8,H1549&gt;=8),"CAN'T LOSE THEM",AND(F1549&lt;=2,G1549&lt;=2,H1549&lt;=2),"HIBERNATING",TRUE(),"Other")</f>
        <v>LOYAL CUSTOMER</v>
      </c>
      <c r="K1549" s="1" t="n">
        <f aca="false">RANK(E1549,$E$7:$E$4378)+COUNTIF($E$7:E1549,E1549)-1</f>
        <v>1259</v>
      </c>
    </row>
    <row r="1550" customFormat="false" ht="14.25" hidden="false" customHeight="true" outlineLevel="0" collapsed="false">
      <c r="A1550" s="51" t="n">
        <v>14436</v>
      </c>
      <c r="B1550" s="53" t="n">
        <v>40788.4256944444</v>
      </c>
      <c r="C1550" s="57" t="n">
        <f aca="false">INT($C$2)-INT(Table3[[#This Row],[Last Purchase Date]])</f>
        <v>99</v>
      </c>
      <c r="D1550" s="1" t="n">
        <v>1</v>
      </c>
      <c r="E1550" s="1" t="n">
        <v>89.06</v>
      </c>
      <c r="F1550" s="1" t="n">
        <f aca="false">ROUND((1-_xlfn.PERCENTRANK.INC($C$7:$C$4378,C1550))*9,0)</f>
        <v>3</v>
      </c>
      <c r="G1550" s="1" t="n">
        <f aca="false">ROUND(_xlfn.PERCENTRANK.INC($D$7:$D$4378,D1550)*9,0)</f>
        <v>0</v>
      </c>
      <c r="H1550" s="1" t="n">
        <f aca="false">ROUND(_xlfn.PERCENTRANK.INC($E$7:$E$4378,E1550)*9,0)</f>
        <v>0</v>
      </c>
      <c r="I1550" s="1" t="str">
        <f aca="false">CONCATENATE(F1550,G1550,H1550)</f>
        <v>300</v>
      </c>
      <c r="J1550" s="1" t="str">
        <f aca="false">_xlfn.IFS(AND(F1550&gt;=8,G1550&gt;=8,H1550&gt;=8),"CHAMPION",AND(F1550&gt;=6,G1550&gt;=7,H1550&gt;=6),"LOYAL CUSTOMER",AND(F1550&gt;=6,G1550&gt;=5,H1550&gt;=5),"POTENTIAL LOYALIST",AND(F1550&gt;=8,G1550&lt;=2,H1550&gt;=5),"NEW CUSTOMERS",AND(F1550&gt;=6,G1550&lt;=2,H1550&gt;=3),"PROMISING",AND(F1550&gt;=3,G1550&gt;=3,H1550&gt;=3),"NEED ATTENTION",AND(F1550&lt;=4,G1550&gt;=6,H1550&gt;=6),"AT RISK",AND(F1550&lt;=2,G1550&gt;=8,H1550&gt;=8),"CAN'T LOSE THEM",AND(F1550&lt;=2,G1550&lt;=2,H1550&lt;=2),"HIBERNATING",TRUE(),"Other")</f>
        <v>Other</v>
      </c>
      <c r="K1550" s="1" t="n">
        <f aca="false">RANK(E1550,$E$7:$E$4378)+COUNTIF($E$7:E1550,E1550)-1</f>
        <v>4198</v>
      </c>
    </row>
    <row r="1551" customFormat="false" ht="14.25" hidden="false" customHeight="true" outlineLevel="0" collapsed="false">
      <c r="A1551" s="51" t="n">
        <v>14437</v>
      </c>
      <c r="B1551" s="53" t="n">
        <v>40743.6222222222</v>
      </c>
      <c r="C1551" s="57" t="n">
        <f aca="false">INT($C$2)-INT(Table3[[#This Row],[Last Purchase Date]])</f>
        <v>144</v>
      </c>
      <c r="D1551" s="1" t="n">
        <v>2</v>
      </c>
      <c r="E1551" s="1" t="n">
        <v>-43.4</v>
      </c>
      <c r="F1551" s="1" t="n">
        <f aca="false">ROUND((1-_xlfn.PERCENTRANK.INC($C$7:$C$4378,C1551))*9,0)</f>
        <v>2</v>
      </c>
      <c r="G1551" s="1" t="n">
        <f aca="false">ROUND(_xlfn.PERCENTRANK.INC($D$7:$D$4378,D1551)*9,0)</f>
        <v>3</v>
      </c>
      <c r="H1551" s="1" t="n">
        <f aca="false">ROUND(_xlfn.PERCENTRANK.INC($E$7:$E$4378,E1551)*9,0)</f>
        <v>0</v>
      </c>
      <c r="I1551" s="1" t="str">
        <f aca="false">CONCATENATE(F1551,G1551,H1551)</f>
        <v>230</v>
      </c>
      <c r="J1551" s="1" t="str">
        <f aca="false">_xlfn.IFS(AND(F1551&gt;=8,G1551&gt;=8,H1551&gt;=8),"CHAMPION",AND(F1551&gt;=6,G1551&gt;=7,H1551&gt;=6),"LOYAL CUSTOMER",AND(F1551&gt;=6,G1551&gt;=5,H1551&gt;=5),"POTENTIAL LOYALIST",AND(F1551&gt;=8,G1551&lt;=2,H1551&gt;=5),"NEW CUSTOMERS",AND(F1551&gt;=6,G1551&lt;=2,H1551&gt;=3),"PROMISING",AND(F1551&gt;=3,G1551&gt;=3,H1551&gt;=3),"NEED ATTENTION",AND(F1551&lt;=4,G1551&gt;=6,H1551&gt;=6),"AT RISK",AND(F1551&lt;=2,G1551&gt;=8,H1551&gt;=8),"CAN'T LOSE THEM",AND(F1551&lt;=2,G1551&lt;=2,H1551&lt;=2),"HIBERNATING",TRUE(),"Other")</f>
        <v>Other</v>
      </c>
      <c r="K1551" s="1" t="n">
        <f aca="false">RANK(E1551,$E$7:$E$4378)+COUNTIF($E$7:E1551,E1551)-1</f>
        <v>4352</v>
      </c>
    </row>
    <row r="1552" customFormat="false" ht="14.25" hidden="false" customHeight="true" outlineLevel="0" collapsed="false">
      <c r="A1552" s="51" t="n">
        <v>14438</v>
      </c>
      <c r="B1552" s="53" t="n">
        <v>40580.6222222222</v>
      </c>
      <c r="C1552" s="57" t="n">
        <f aca="false">INT($C$2)-INT(Table3[[#This Row],[Last Purchase Date]])</f>
        <v>307</v>
      </c>
      <c r="D1552" s="1" t="n">
        <v>1</v>
      </c>
      <c r="E1552" s="1" t="n">
        <v>131.9</v>
      </c>
      <c r="F1552" s="1" t="n">
        <f aca="false">ROUND((1-_xlfn.PERCENTRANK.INC($C$7:$C$4378,C1552))*9,0)</f>
        <v>1</v>
      </c>
      <c r="G1552" s="1" t="n">
        <f aca="false">ROUND(_xlfn.PERCENTRANK.INC($D$7:$D$4378,D1552)*9,0)</f>
        <v>0</v>
      </c>
      <c r="H1552" s="1" t="n">
        <f aca="false">ROUND(_xlfn.PERCENTRANK.INC($E$7:$E$4378,E1552)*9,0)</f>
        <v>1</v>
      </c>
      <c r="I1552" s="1" t="str">
        <f aca="false">CONCATENATE(F1552,G1552,H1552)</f>
        <v>101</v>
      </c>
      <c r="J1552" s="1" t="str">
        <f aca="false">_xlfn.IFS(AND(F1552&gt;=8,G1552&gt;=8,H1552&gt;=8),"CHAMPION",AND(F1552&gt;=6,G1552&gt;=7,H1552&gt;=6),"LOYAL CUSTOMER",AND(F1552&gt;=6,G1552&gt;=5,H1552&gt;=5),"POTENTIAL LOYALIST",AND(F1552&gt;=8,G1552&lt;=2,H1552&gt;=5),"NEW CUSTOMERS",AND(F1552&gt;=6,G1552&lt;=2,H1552&gt;=3),"PROMISING",AND(F1552&gt;=3,G1552&gt;=3,H1552&gt;=3),"NEED ATTENTION",AND(F1552&lt;=4,G1552&gt;=6,H1552&gt;=6),"AT RISK",AND(F1552&lt;=2,G1552&gt;=8,H1552&gt;=8),"CAN'T LOSE THEM",AND(F1552&lt;=2,G1552&lt;=2,H1552&lt;=2),"HIBERNATING",TRUE(),"Other")</f>
        <v>HIBERNATING</v>
      </c>
      <c r="K1552" s="1" t="n">
        <f aca="false">RANK(E1552,$E$7:$E$4378)+COUNTIF($E$7:E1552,E1552)-1</f>
        <v>4001</v>
      </c>
    </row>
    <row r="1553" customFormat="false" ht="14.25" hidden="false" customHeight="true" outlineLevel="0" collapsed="false">
      <c r="A1553" s="51" t="n">
        <v>14439</v>
      </c>
      <c r="B1553" s="53" t="n">
        <v>40567.4854166667</v>
      </c>
      <c r="C1553" s="57" t="n">
        <f aca="false">INT($C$2)-INT(Table3[[#This Row],[Last Purchase Date]])</f>
        <v>320</v>
      </c>
      <c r="D1553" s="1" t="n">
        <v>1</v>
      </c>
      <c r="E1553" s="1" t="n">
        <v>2661.24</v>
      </c>
      <c r="F1553" s="1" t="n">
        <f aca="false">ROUND((1-_xlfn.PERCENTRANK.INC($C$7:$C$4378,C1553))*9,0)</f>
        <v>0</v>
      </c>
      <c r="G1553" s="1" t="n">
        <f aca="false">ROUND(_xlfn.PERCENTRANK.INC($D$7:$D$4378,D1553)*9,0)</f>
        <v>0</v>
      </c>
      <c r="H1553" s="1" t="n">
        <f aca="false">ROUND(_xlfn.PERCENTRANK.INC($E$7:$E$4378,E1553)*9,0)</f>
        <v>8</v>
      </c>
      <c r="I1553" s="1" t="str">
        <f aca="false">CONCATENATE(F1553,G1553,H1553)</f>
        <v>008</v>
      </c>
      <c r="J1553" s="1" t="str">
        <f aca="false">_xlfn.IFS(AND(F1553&gt;=8,G1553&gt;=8,H1553&gt;=8),"CHAMPION",AND(F1553&gt;=6,G1553&gt;=7,H1553&gt;=6),"LOYAL CUSTOMER",AND(F1553&gt;=6,G1553&gt;=5,H1553&gt;=5),"POTENTIAL LOYALIST",AND(F1553&gt;=8,G1553&lt;=2,H1553&gt;=5),"NEW CUSTOMERS",AND(F1553&gt;=6,G1553&lt;=2,H1553&gt;=3),"PROMISING",AND(F1553&gt;=3,G1553&gt;=3,H1553&gt;=3),"NEED ATTENTION",AND(F1553&lt;=4,G1553&gt;=6,H1553&gt;=6),"AT RISK",AND(F1553&lt;=2,G1553&gt;=8,H1553&gt;=8),"CAN'T LOSE THEM",AND(F1553&lt;=2,G1553&lt;=2,H1553&lt;=2),"HIBERNATING",TRUE(),"Other")</f>
        <v>Other</v>
      </c>
      <c r="K1553" s="1" t="n">
        <f aca="false">RANK(E1553,$E$7:$E$4378)+COUNTIF($E$7:E1553,E1553)-1</f>
        <v>623</v>
      </c>
    </row>
    <row r="1554" customFormat="false" ht="14.25" hidden="false" customHeight="true" outlineLevel="0" collapsed="false">
      <c r="A1554" s="51" t="n">
        <v>14440</v>
      </c>
      <c r="B1554" s="53" t="n">
        <v>40878.6541666667</v>
      </c>
      <c r="C1554" s="57" t="n">
        <f aca="false">INT($C$2)-INT(Table3[[#This Row],[Last Purchase Date]])</f>
        <v>9</v>
      </c>
      <c r="D1554" s="1" t="n">
        <v>5</v>
      </c>
      <c r="E1554" s="1" t="n">
        <v>2357.68</v>
      </c>
      <c r="F1554" s="1" t="n">
        <f aca="false">ROUND((1-_xlfn.PERCENTRANK.INC($C$7:$C$4378,C1554))*9,0)</f>
        <v>8</v>
      </c>
      <c r="G1554" s="1" t="n">
        <f aca="false">ROUND(_xlfn.PERCENTRANK.INC($D$7:$D$4378,D1554)*9,0)</f>
        <v>6</v>
      </c>
      <c r="H1554" s="1" t="n">
        <f aca="false">ROUND(_xlfn.PERCENTRANK.INC($E$7:$E$4378,E1554)*9,0)</f>
        <v>8</v>
      </c>
      <c r="I1554" s="1" t="str">
        <f aca="false">CONCATENATE(F1554,G1554,H1554)</f>
        <v>868</v>
      </c>
      <c r="J1554" s="1" t="str">
        <f aca="false">_xlfn.IFS(AND(F1554&gt;=8,G1554&gt;=8,H1554&gt;=8),"CHAMPION",AND(F1554&gt;=6,G1554&gt;=7,H1554&gt;=6),"LOYAL CUSTOMER",AND(F1554&gt;=6,G1554&gt;=5,H1554&gt;=5),"POTENTIAL LOYALIST",AND(F1554&gt;=8,G1554&lt;=2,H1554&gt;=5),"NEW CUSTOMERS",AND(F1554&gt;=6,G1554&lt;=2,H1554&gt;=3),"PROMISING",AND(F1554&gt;=3,G1554&gt;=3,H1554&gt;=3),"NEED ATTENTION",AND(F1554&lt;=4,G1554&gt;=6,H1554&gt;=6),"AT RISK",AND(F1554&lt;=2,G1554&gt;=8,H1554&gt;=8),"CAN'T LOSE THEM",AND(F1554&lt;=2,G1554&lt;=2,H1554&lt;=2),"HIBERNATING",TRUE(),"Other")</f>
        <v>POTENTIAL LOYALIST</v>
      </c>
      <c r="K1554" s="1" t="n">
        <f aca="false">RANK(E1554,$E$7:$E$4378)+COUNTIF($E$7:E1554,E1554)-1</f>
        <v>724</v>
      </c>
    </row>
    <row r="1555" customFormat="false" ht="14.25" hidden="false" customHeight="true" outlineLevel="0" collapsed="false">
      <c r="A1555" s="51" t="n">
        <v>14441</v>
      </c>
      <c r="B1555" s="53" t="n">
        <v>40886.3798611111</v>
      </c>
      <c r="C1555" s="57" t="n">
        <f aca="false">INT($C$2)-INT(Table3[[#This Row],[Last Purchase Date]])</f>
        <v>1</v>
      </c>
      <c r="D1555" s="1" t="n">
        <v>10</v>
      </c>
      <c r="E1555" s="1" t="n">
        <v>1545.14</v>
      </c>
      <c r="F1555" s="1" t="n">
        <f aca="false">ROUND((1-_xlfn.PERCENTRANK.INC($C$7:$C$4378,C1555))*9,0)</f>
        <v>9</v>
      </c>
      <c r="G1555" s="1" t="n">
        <f aca="false">ROUND(_xlfn.PERCENTRANK.INC($D$7:$D$4378,D1555)*9,0)</f>
        <v>8</v>
      </c>
      <c r="H1555" s="1" t="n">
        <f aca="false">ROUND(_xlfn.PERCENTRANK.INC($E$7:$E$4378,E1555)*9,0)</f>
        <v>7</v>
      </c>
      <c r="I1555" s="1" t="str">
        <f aca="false">CONCATENATE(F1555,G1555,H1555)</f>
        <v>987</v>
      </c>
      <c r="J1555" s="1" t="str">
        <f aca="false">_xlfn.IFS(AND(F1555&gt;=8,G1555&gt;=8,H1555&gt;=8),"CHAMPION",AND(F1555&gt;=6,G1555&gt;=7,H1555&gt;=6),"LOYAL CUSTOMER",AND(F1555&gt;=6,G1555&gt;=5,H1555&gt;=5),"POTENTIAL LOYALIST",AND(F1555&gt;=8,G1555&lt;=2,H1555&gt;=5),"NEW CUSTOMERS",AND(F1555&gt;=6,G1555&lt;=2,H1555&gt;=3),"PROMISING",AND(F1555&gt;=3,G1555&gt;=3,H1555&gt;=3),"NEED ATTENTION",AND(F1555&lt;=4,G1555&gt;=6,H1555&gt;=6),"AT RISK",AND(F1555&lt;=2,G1555&gt;=8,H1555&gt;=8),"CAN'T LOSE THEM",AND(F1555&lt;=2,G1555&lt;=2,H1555&lt;=2),"HIBERNATING",TRUE(),"Other")</f>
        <v>LOYAL CUSTOMER</v>
      </c>
      <c r="K1555" s="1" t="n">
        <f aca="false">RANK(E1555,$E$7:$E$4378)+COUNTIF($E$7:E1555,E1555)-1</f>
        <v>1131</v>
      </c>
    </row>
    <row r="1556" customFormat="false" ht="14.25" hidden="false" customHeight="true" outlineLevel="0" collapsed="false">
      <c r="A1556" s="51" t="n">
        <v>14442</v>
      </c>
      <c r="B1556" s="53" t="n">
        <v>40885.4951388889</v>
      </c>
      <c r="C1556" s="57" t="n">
        <f aca="false">INT($C$2)-INT(Table3[[#This Row],[Last Purchase Date]])</f>
        <v>2</v>
      </c>
      <c r="D1556" s="1" t="n">
        <v>5</v>
      </c>
      <c r="E1556" s="1" t="n">
        <v>1544.62</v>
      </c>
      <c r="F1556" s="1" t="n">
        <f aca="false">ROUND((1-_xlfn.PERCENTRANK.INC($C$7:$C$4378,C1556))*9,0)</f>
        <v>9</v>
      </c>
      <c r="G1556" s="1" t="n">
        <f aca="false">ROUND(_xlfn.PERCENTRANK.INC($D$7:$D$4378,D1556)*9,0)</f>
        <v>6</v>
      </c>
      <c r="H1556" s="1" t="n">
        <f aca="false">ROUND(_xlfn.PERCENTRANK.INC($E$7:$E$4378,E1556)*9,0)</f>
        <v>7</v>
      </c>
      <c r="I1556" s="1" t="str">
        <f aca="false">CONCATENATE(F1556,G1556,H1556)</f>
        <v>967</v>
      </c>
      <c r="J1556" s="1" t="str">
        <f aca="false">_xlfn.IFS(AND(F1556&gt;=8,G1556&gt;=8,H1556&gt;=8),"CHAMPION",AND(F1556&gt;=6,G1556&gt;=7,H1556&gt;=6),"LOYAL CUSTOMER",AND(F1556&gt;=6,G1556&gt;=5,H1556&gt;=5),"POTENTIAL LOYALIST",AND(F1556&gt;=8,G1556&lt;=2,H1556&gt;=5),"NEW CUSTOMERS",AND(F1556&gt;=6,G1556&lt;=2,H1556&gt;=3),"PROMISING",AND(F1556&gt;=3,G1556&gt;=3,H1556&gt;=3),"NEED ATTENTION",AND(F1556&lt;=4,G1556&gt;=6,H1556&gt;=6),"AT RISK",AND(F1556&lt;=2,G1556&gt;=8,H1556&gt;=8),"CAN'T LOSE THEM",AND(F1556&lt;=2,G1556&lt;=2,H1556&lt;=2),"HIBERNATING",TRUE(),"Other")</f>
        <v>POTENTIAL LOYALIST</v>
      </c>
      <c r="K1556" s="1" t="n">
        <f aca="false">RANK(E1556,$E$7:$E$4378)+COUNTIF($E$7:E1556,E1556)-1</f>
        <v>1132</v>
      </c>
    </row>
    <row r="1557" customFormat="false" ht="14.25" hidden="false" customHeight="true" outlineLevel="0" collapsed="false">
      <c r="A1557" s="51" t="n">
        <v>14443</v>
      </c>
      <c r="B1557" s="53" t="n">
        <v>40833.4236111111</v>
      </c>
      <c r="C1557" s="57" t="n">
        <f aca="false">INT($C$2)-INT(Table3[[#This Row],[Last Purchase Date]])</f>
        <v>54</v>
      </c>
      <c r="D1557" s="1" t="n">
        <v>7</v>
      </c>
      <c r="E1557" s="1" t="n">
        <v>1400.88</v>
      </c>
      <c r="F1557" s="1" t="n">
        <f aca="false">ROUND((1-_xlfn.PERCENTRANK.INC($C$7:$C$4378,C1557))*9,0)</f>
        <v>4</v>
      </c>
      <c r="G1557" s="1" t="n">
        <f aca="false">ROUND(_xlfn.PERCENTRANK.INC($D$7:$D$4378,D1557)*9,0)</f>
        <v>7</v>
      </c>
      <c r="H1557" s="1" t="n">
        <f aca="false">ROUND(_xlfn.PERCENTRANK.INC($E$7:$E$4378,E1557)*9,0)</f>
        <v>6</v>
      </c>
      <c r="I1557" s="1" t="str">
        <f aca="false">CONCATENATE(F1557,G1557,H1557)</f>
        <v>476</v>
      </c>
      <c r="J1557" s="1" t="str">
        <f aca="false">_xlfn.IFS(AND(F1557&gt;=8,G1557&gt;=8,H1557&gt;=8),"CHAMPION",AND(F1557&gt;=6,G1557&gt;=7,H1557&gt;=6),"LOYAL CUSTOMER",AND(F1557&gt;=6,G1557&gt;=5,H1557&gt;=5),"POTENTIAL LOYALIST",AND(F1557&gt;=8,G1557&lt;=2,H1557&gt;=5),"NEW CUSTOMERS",AND(F1557&gt;=6,G1557&lt;=2,H1557&gt;=3),"PROMISING",AND(F1557&gt;=3,G1557&gt;=3,H1557&gt;=3),"NEED ATTENTION",AND(F1557&lt;=4,G1557&gt;=6,H1557&gt;=6),"AT RISK",AND(F1557&lt;=2,G1557&gt;=8,H1557&gt;=8),"CAN'T LOSE THEM",AND(F1557&lt;=2,G1557&lt;=2,H1557&lt;=2),"HIBERNATING",TRUE(),"Other")</f>
        <v>NEED ATTENTION</v>
      </c>
      <c r="K1557" s="1" t="n">
        <f aca="false">RANK(E1557,$E$7:$E$4378)+COUNTIF($E$7:E1557,E1557)-1</f>
        <v>1235</v>
      </c>
    </row>
    <row r="1558" customFormat="false" ht="14.25" hidden="false" customHeight="true" outlineLevel="0" collapsed="false">
      <c r="A1558" s="51" t="n">
        <v>14446</v>
      </c>
      <c r="B1558" s="53" t="n">
        <v>40886.4819444444</v>
      </c>
      <c r="C1558" s="57" t="n">
        <f aca="false">INT($C$2)-INT(Table3[[#This Row],[Last Purchase Date]])</f>
        <v>1</v>
      </c>
      <c r="D1558" s="1" t="n">
        <v>4</v>
      </c>
      <c r="E1558" s="1" t="n">
        <v>1039.58</v>
      </c>
      <c r="F1558" s="1" t="n">
        <f aca="false">ROUND((1-_xlfn.PERCENTRANK.INC($C$7:$C$4378,C1558))*9,0)</f>
        <v>9</v>
      </c>
      <c r="G1558" s="1" t="n">
        <f aca="false">ROUND(_xlfn.PERCENTRANK.INC($D$7:$D$4378,D1558)*9,0)</f>
        <v>5</v>
      </c>
      <c r="H1558" s="1" t="n">
        <f aca="false">ROUND(_xlfn.PERCENTRANK.INC($E$7:$E$4378,E1558)*9,0)</f>
        <v>6</v>
      </c>
      <c r="I1558" s="1" t="str">
        <f aca="false">CONCATENATE(F1558,G1558,H1558)</f>
        <v>956</v>
      </c>
      <c r="J1558" s="1" t="str">
        <f aca="false">_xlfn.IFS(AND(F1558&gt;=8,G1558&gt;=8,H1558&gt;=8),"CHAMPION",AND(F1558&gt;=6,G1558&gt;=7,H1558&gt;=6),"LOYAL CUSTOMER",AND(F1558&gt;=6,G1558&gt;=5,H1558&gt;=5),"POTENTIAL LOYALIST",AND(F1558&gt;=8,G1558&lt;=2,H1558&gt;=5),"NEW CUSTOMERS",AND(F1558&gt;=6,G1558&lt;=2,H1558&gt;=3),"PROMISING",AND(F1558&gt;=3,G1558&gt;=3,H1558&gt;=3),"NEED ATTENTION",AND(F1558&lt;=4,G1558&gt;=6,H1558&gt;=6),"AT RISK",AND(F1558&lt;=2,G1558&gt;=8,H1558&gt;=8),"CAN'T LOSE THEM",AND(F1558&lt;=2,G1558&lt;=2,H1558&lt;=2),"HIBERNATING",TRUE(),"Other")</f>
        <v>POTENTIAL LOYALIST</v>
      </c>
      <c r="K1558" s="1" t="n">
        <f aca="false">RANK(E1558,$E$7:$E$4378)+COUNTIF($E$7:E1558,E1558)-1</f>
        <v>1580</v>
      </c>
    </row>
    <row r="1559" customFormat="false" ht="14.25" hidden="false" customHeight="true" outlineLevel="0" collapsed="false">
      <c r="A1559" s="51" t="n">
        <v>14447</v>
      </c>
      <c r="B1559" s="53" t="n">
        <v>40868.3527777778</v>
      </c>
      <c r="C1559" s="57" t="n">
        <f aca="false">INT($C$2)-INT(Table3[[#This Row],[Last Purchase Date]])</f>
        <v>19</v>
      </c>
      <c r="D1559" s="1" t="n">
        <v>5</v>
      </c>
      <c r="E1559" s="1" t="n">
        <v>1163.23</v>
      </c>
      <c r="F1559" s="1" t="n">
        <f aca="false">ROUND((1-_xlfn.PERCENTRANK.INC($C$7:$C$4378,C1559))*9,0)</f>
        <v>7</v>
      </c>
      <c r="G1559" s="1" t="n">
        <f aca="false">ROUND(_xlfn.PERCENTRANK.INC($D$7:$D$4378,D1559)*9,0)</f>
        <v>6</v>
      </c>
      <c r="H1559" s="1" t="n">
        <f aca="false">ROUND(_xlfn.PERCENTRANK.INC($E$7:$E$4378,E1559)*9,0)</f>
        <v>6</v>
      </c>
      <c r="I1559" s="1" t="str">
        <f aca="false">CONCATENATE(F1559,G1559,H1559)</f>
        <v>766</v>
      </c>
      <c r="J1559" s="1" t="str">
        <f aca="false">_xlfn.IFS(AND(F1559&gt;=8,G1559&gt;=8,H1559&gt;=8),"CHAMPION",AND(F1559&gt;=6,G1559&gt;=7,H1559&gt;=6),"LOYAL CUSTOMER",AND(F1559&gt;=6,G1559&gt;=5,H1559&gt;=5),"POTENTIAL LOYALIST",AND(F1559&gt;=8,G1559&lt;=2,H1559&gt;=5),"NEW CUSTOMERS",AND(F1559&gt;=6,G1559&lt;=2,H1559&gt;=3),"PROMISING",AND(F1559&gt;=3,G1559&gt;=3,H1559&gt;=3),"NEED ATTENTION",AND(F1559&lt;=4,G1559&gt;=6,H1559&gt;=6),"AT RISK",AND(F1559&lt;=2,G1559&gt;=8,H1559&gt;=8),"CAN'T LOSE THEM",AND(F1559&lt;=2,G1559&lt;=2,H1559&lt;=2),"HIBERNATING",TRUE(),"Other")</f>
        <v>POTENTIAL LOYALIST</v>
      </c>
      <c r="K1559" s="1" t="n">
        <f aca="false">RANK(E1559,$E$7:$E$4378)+COUNTIF($E$7:E1559,E1559)-1</f>
        <v>1438</v>
      </c>
    </row>
    <row r="1560" customFormat="false" ht="14.25" hidden="false" customHeight="true" outlineLevel="0" collapsed="false">
      <c r="A1560" s="51" t="n">
        <v>14448</v>
      </c>
      <c r="B1560" s="53" t="n">
        <v>40877.5763888889</v>
      </c>
      <c r="C1560" s="57" t="n">
        <f aca="false">INT($C$2)-INT(Table3[[#This Row],[Last Purchase Date]])</f>
        <v>10</v>
      </c>
      <c r="D1560" s="1" t="n">
        <v>2</v>
      </c>
      <c r="E1560" s="1" t="n">
        <v>375.35</v>
      </c>
      <c r="F1560" s="1" t="n">
        <f aca="false">ROUND((1-_xlfn.PERCENTRANK.INC($C$7:$C$4378,C1560))*9,0)</f>
        <v>8</v>
      </c>
      <c r="G1560" s="1" t="n">
        <f aca="false">ROUND(_xlfn.PERCENTRANK.INC($D$7:$D$4378,D1560)*9,0)</f>
        <v>3</v>
      </c>
      <c r="H1560" s="1" t="n">
        <f aca="false">ROUND(_xlfn.PERCENTRANK.INC($E$7:$E$4378,E1560)*9,0)</f>
        <v>3</v>
      </c>
      <c r="I1560" s="1" t="str">
        <f aca="false">CONCATENATE(F1560,G1560,H1560)</f>
        <v>833</v>
      </c>
      <c r="J1560" s="1" t="str">
        <f aca="false">_xlfn.IFS(AND(F1560&gt;=8,G1560&gt;=8,H1560&gt;=8),"CHAMPION",AND(F1560&gt;=6,G1560&gt;=7,H1560&gt;=6),"LOYAL CUSTOMER",AND(F1560&gt;=6,G1560&gt;=5,H1560&gt;=5),"POTENTIAL LOYALIST",AND(F1560&gt;=8,G1560&lt;=2,H1560&gt;=5),"NEW CUSTOMERS",AND(F1560&gt;=6,G1560&lt;=2,H1560&gt;=3),"PROMISING",AND(F1560&gt;=3,G1560&gt;=3,H1560&gt;=3),"NEED ATTENTION",AND(F1560&lt;=4,G1560&gt;=6,H1560&gt;=6),"AT RISK",AND(F1560&lt;=2,G1560&gt;=8,H1560&gt;=8),"CAN'T LOSE THEM",AND(F1560&lt;=2,G1560&lt;=2,H1560&lt;=2),"HIBERNATING",TRUE(),"Other")</f>
        <v>NEED ATTENTION</v>
      </c>
      <c r="K1560" s="1" t="n">
        <f aca="false">RANK(E1560,$E$7:$E$4378)+COUNTIF($E$7:E1560,E1560)-1</f>
        <v>2910</v>
      </c>
    </row>
    <row r="1561" customFormat="false" ht="14.25" hidden="false" customHeight="true" outlineLevel="0" collapsed="false">
      <c r="A1561" s="51" t="n">
        <v>14449</v>
      </c>
      <c r="B1561" s="53" t="n">
        <v>40868.5041666667</v>
      </c>
      <c r="C1561" s="57" t="n">
        <f aca="false">INT($C$2)-INT(Table3[[#This Row],[Last Purchase Date]])</f>
        <v>19</v>
      </c>
      <c r="D1561" s="1" t="n">
        <v>4</v>
      </c>
      <c r="E1561" s="1" t="n">
        <v>907.1</v>
      </c>
      <c r="F1561" s="1" t="n">
        <f aca="false">ROUND((1-_xlfn.PERCENTRANK.INC($C$7:$C$4378,C1561))*9,0)</f>
        <v>7</v>
      </c>
      <c r="G1561" s="1" t="n">
        <f aca="false">ROUND(_xlfn.PERCENTRANK.INC($D$7:$D$4378,D1561)*9,0)</f>
        <v>5</v>
      </c>
      <c r="H1561" s="1" t="n">
        <f aca="false">ROUND(_xlfn.PERCENTRANK.INC($E$7:$E$4378,E1561)*9,0)</f>
        <v>5</v>
      </c>
      <c r="I1561" s="1" t="str">
        <f aca="false">CONCATENATE(F1561,G1561,H1561)</f>
        <v>755</v>
      </c>
      <c r="J1561" s="1" t="str">
        <f aca="false">_xlfn.IFS(AND(F1561&gt;=8,G1561&gt;=8,H1561&gt;=8),"CHAMPION",AND(F1561&gt;=6,G1561&gt;=7,H1561&gt;=6),"LOYAL CUSTOMER",AND(F1561&gt;=6,G1561&gt;=5,H1561&gt;=5),"POTENTIAL LOYALIST",AND(F1561&gt;=8,G1561&lt;=2,H1561&gt;=5),"NEW CUSTOMERS",AND(F1561&gt;=6,G1561&lt;=2,H1561&gt;=3),"PROMISING",AND(F1561&gt;=3,G1561&gt;=3,H1561&gt;=3),"NEED ATTENTION",AND(F1561&lt;=4,G1561&gt;=6,H1561&gt;=6),"AT RISK",AND(F1561&lt;=2,G1561&gt;=8,H1561&gt;=8),"CAN'T LOSE THEM",AND(F1561&lt;=2,G1561&lt;=2,H1561&lt;=2),"HIBERNATING",TRUE(),"Other")</f>
        <v>POTENTIAL LOYALIST</v>
      </c>
      <c r="K1561" s="1" t="n">
        <f aca="false">RANK(E1561,$E$7:$E$4378)+COUNTIF($E$7:E1561,E1561)-1</f>
        <v>1753</v>
      </c>
    </row>
    <row r="1562" customFormat="false" ht="14.25" hidden="false" customHeight="true" outlineLevel="0" collapsed="false">
      <c r="A1562" s="51" t="n">
        <v>14450</v>
      </c>
      <c r="B1562" s="53" t="n">
        <v>40706.4486111111</v>
      </c>
      <c r="C1562" s="57" t="n">
        <f aca="false">INT($C$2)-INT(Table3[[#This Row],[Last Purchase Date]])</f>
        <v>181</v>
      </c>
      <c r="D1562" s="1" t="n">
        <v>3</v>
      </c>
      <c r="E1562" s="1" t="n">
        <v>483.25</v>
      </c>
      <c r="F1562" s="1" t="n">
        <f aca="false">ROUND((1-_xlfn.PERCENTRANK.INC($C$7:$C$4378,C1562))*9,0)</f>
        <v>2</v>
      </c>
      <c r="G1562" s="1" t="n">
        <f aca="false">ROUND(_xlfn.PERCENTRANK.INC($D$7:$D$4378,D1562)*9,0)</f>
        <v>4</v>
      </c>
      <c r="H1562" s="1" t="n">
        <f aca="false">ROUND(_xlfn.PERCENTRANK.INC($E$7:$E$4378,E1562)*9,0)</f>
        <v>4</v>
      </c>
      <c r="I1562" s="1" t="str">
        <f aca="false">CONCATENATE(F1562,G1562,H1562)</f>
        <v>244</v>
      </c>
      <c r="J1562" s="1" t="str">
        <f aca="false">_xlfn.IFS(AND(F1562&gt;=8,G1562&gt;=8,H1562&gt;=8),"CHAMPION",AND(F1562&gt;=6,G1562&gt;=7,H1562&gt;=6),"LOYAL CUSTOMER",AND(F1562&gt;=6,G1562&gt;=5,H1562&gt;=5),"POTENTIAL LOYALIST",AND(F1562&gt;=8,G1562&lt;=2,H1562&gt;=5),"NEW CUSTOMERS",AND(F1562&gt;=6,G1562&lt;=2,H1562&gt;=3),"PROMISING",AND(F1562&gt;=3,G1562&gt;=3,H1562&gt;=3),"NEED ATTENTION",AND(F1562&lt;=4,G1562&gt;=6,H1562&gt;=6),"AT RISK",AND(F1562&lt;=2,G1562&gt;=8,H1562&gt;=8),"CAN'T LOSE THEM",AND(F1562&lt;=2,G1562&lt;=2,H1562&lt;=2),"HIBERNATING",TRUE(),"Other")</f>
        <v>Other</v>
      </c>
      <c r="K1562" s="1" t="n">
        <f aca="false">RANK(E1562,$E$7:$E$4378)+COUNTIF($E$7:E1562,E1562)-1</f>
        <v>2590</v>
      </c>
    </row>
    <row r="1563" customFormat="false" ht="14.25" hidden="false" customHeight="true" outlineLevel="0" collapsed="false">
      <c r="A1563" s="51" t="n">
        <v>14451</v>
      </c>
      <c r="B1563" s="53" t="n">
        <v>40826.5680555556</v>
      </c>
      <c r="C1563" s="57" t="n">
        <f aca="false">INT($C$2)-INT(Table3[[#This Row],[Last Purchase Date]])</f>
        <v>61</v>
      </c>
      <c r="D1563" s="1" t="n">
        <v>2</v>
      </c>
      <c r="E1563" s="1" t="n">
        <v>662.59</v>
      </c>
      <c r="F1563" s="1" t="n">
        <f aca="false">ROUND((1-_xlfn.PERCENTRANK.INC($C$7:$C$4378,C1563))*9,0)</f>
        <v>4</v>
      </c>
      <c r="G1563" s="1" t="n">
        <f aca="false">ROUND(_xlfn.PERCENTRANK.INC($D$7:$D$4378,D1563)*9,0)</f>
        <v>3</v>
      </c>
      <c r="H1563" s="1" t="n">
        <f aca="false">ROUND(_xlfn.PERCENTRANK.INC($E$7:$E$4378,E1563)*9,0)</f>
        <v>5</v>
      </c>
      <c r="I1563" s="1" t="str">
        <f aca="false">CONCATENATE(F1563,G1563,H1563)</f>
        <v>435</v>
      </c>
      <c r="J1563" s="1" t="str">
        <f aca="false">_xlfn.IFS(AND(F1563&gt;=8,G1563&gt;=8,H1563&gt;=8),"CHAMPION",AND(F1563&gt;=6,G1563&gt;=7,H1563&gt;=6),"LOYAL CUSTOMER",AND(F1563&gt;=6,G1563&gt;=5,H1563&gt;=5),"POTENTIAL LOYALIST",AND(F1563&gt;=8,G1563&lt;=2,H1563&gt;=5),"NEW CUSTOMERS",AND(F1563&gt;=6,G1563&lt;=2,H1563&gt;=3),"PROMISING",AND(F1563&gt;=3,G1563&gt;=3,H1563&gt;=3),"NEED ATTENTION",AND(F1563&lt;=4,G1563&gt;=6,H1563&gt;=6),"AT RISK",AND(F1563&lt;=2,G1563&gt;=8,H1563&gt;=8),"CAN'T LOSE THEM",AND(F1563&lt;=2,G1563&lt;=2,H1563&lt;=2),"HIBERNATING",TRUE(),"Other")</f>
        <v>NEED ATTENTION</v>
      </c>
      <c r="K1563" s="1" t="n">
        <f aca="false">RANK(E1563,$E$7:$E$4378)+COUNTIF($E$7:E1563,E1563)-1</f>
        <v>2151</v>
      </c>
    </row>
    <row r="1564" customFormat="false" ht="14.25" hidden="false" customHeight="true" outlineLevel="0" collapsed="false">
      <c r="A1564" s="51" t="n">
        <v>14452</v>
      </c>
      <c r="B1564" s="53" t="n">
        <v>40876.5041666667</v>
      </c>
      <c r="C1564" s="57" t="n">
        <f aca="false">INT($C$2)-INT(Table3[[#This Row],[Last Purchase Date]])</f>
        <v>11</v>
      </c>
      <c r="D1564" s="1" t="n">
        <v>2</v>
      </c>
      <c r="E1564" s="1" t="n">
        <v>264.44</v>
      </c>
      <c r="F1564" s="1" t="n">
        <f aca="false">ROUND((1-_xlfn.PERCENTRANK.INC($C$7:$C$4378,C1564))*9,0)</f>
        <v>7</v>
      </c>
      <c r="G1564" s="1" t="n">
        <f aca="false">ROUND(_xlfn.PERCENTRANK.INC($D$7:$D$4378,D1564)*9,0)</f>
        <v>3</v>
      </c>
      <c r="H1564" s="1" t="n">
        <f aca="false">ROUND(_xlfn.PERCENTRANK.INC($E$7:$E$4378,E1564)*9,0)</f>
        <v>2</v>
      </c>
      <c r="I1564" s="1" t="str">
        <f aca="false">CONCATENATE(F1564,G1564,H1564)</f>
        <v>732</v>
      </c>
      <c r="J1564" s="1" t="str">
        <f aca="false">_xlfn.IFS(AND(F1564&gt;=8,G1564&gt;=8,H1564&gt;=8),"CHAMPION",AND(F1564&gt;=6,G1564&gt;=7,H1564&gt;=6),"LOYAL CUSTOMER",AND(F1564&gt;=6,G1564&gt;=5,H1564&gt;=5),"POTENTIAL LOYALIST",AND(F1564&gt;=8,G1564&lt;=2,H1564&gt;=5),"NEW CUSTOMERS",AND(F1564&gt;=6,G1564&lt;=2,H1564&gt;=3),"PROMISING",AND(F1564&gt;=3,G1564&gt;=3,H1564&gt;=3),"NEED ATTENTION",AND(F1564&lt;=4,G1564&gt;=6,H1564&gt;=6),"AT RISK",AND(F1564&lt;=2,G1564&gt;=8,H1564&gt;=8),"CAN'T LOSE THEM",AND(F1564&lt;=2,G1564&lt;=2,H1564&lt;=2),"HIBERNATING",TRUE(),"Other")</f>
        <v>Other</v>
      </c>
      <c r="K1564" s="1" t="n">
        <f aca="false">RANK(E1564,$E$7:$E$4378)+COUNTIF($E$7:E1564,E1564)-1</f>
        <v>3385</v>
      </c>
    </row>
    <row r="1565" customFormat="false" ht="14.25" hidden="false" customHeight="true" outlineLevel="0" collapsed="false">
      <c r="A1565" s="51" t="n">
        <v>14453</v>
      </c>
      <c r="B1565" s="53" t="n">
        <v>40696.59375</v>
      </c>
      <c r="C1565" s="57" t="n">
        <f aca="false">INT($C$2)-INT(Table3[[#This Row],[Last Purchase Date]])</f>
        <v>191</v>
      </c>
      <c r="D1565" s="1" t="n">
        <v>1</v>
      </c>
      <c r="E1565" s="1" t="n">
        <v>119.93</v>
      </c>
      <c r="F1565" s="1" t="n">
        <f aca="false">ROUND((1-_xlfn.PERCENTRANK.INC($C$7:$C$4378,C1565))*9,0)</f>
        <v>2</v>
      </c>
      <c r="G1565" s="1" t="n">
        <f aca="false">ROUND(_xlfn.PERCENTRANK.INC($D$7:$D$4378,D1565)*9,0)</f>
        <v>0</v>
      </c>
      <c r="H1565" s="1" t="n">
        <f aca="false">ROUND(_xlfn.PERCENTRANK.INC($E$7:$E$4378,E1565)*9,0)</f>
        <v>1</v>
      </c>
      <c r="I1565" s="1" t="str">
        <f aca="false">CONCATENATE(F1565,G1565,H1565)</f>
        <v>201</v>
      </c>
      <c r="J1565" s="1" t="str">
        <f aca="false">_xlfn.IFS(AND(F1565&gt;=8,G1565&gt;=8,H1565&gt;=8),"CHAMPION",AND(F1565&gt;=6,G1565&gt;=7,H1565&gt;=6),"LOYAL CUSTOMER",AND(F1565&gt;=6,G1565&gt;=5,H1565&gt;=5),"POTENTIAL LOYALIST",AND(F1565&gt;=8,G1565&lt;=2,H1565&gt;=5),"NEW CUSTOMERS",AND(F1565&gt;=6,G1565&lt;=2,H1565&gt;=3),"PROMISING",AND(F1565&gt;=3,G1565&gt;=3,H1565&gt;=3),"NEED ATTENTION",AND(F1565&lt;=4,G1565&gt;=6,H1565&gt;=6),"AT RISK",AND(F1565&lt;=2,G1565&gt;=8,H1565&gt;=8),"CAN'T LOSE THEM",AND(F1565&lt;=2,G1565&lt;=2,H1565&lt;=2),"HIBERNATING",TRUE(),"Other")</f>
        <v>HIBERNATING</v>
      </c>
      <c r="K1565" s="1" t="n">
        <f aca="false">RANK(E1565,$E$7:$E$4378)+COUNTIF($E$7:E1565,E1565)-1</f>
        <v>4052</v>
      </c>
    </row>
    <row r="1566" customFormat="false" ht="14.25" hidden="false" customHeight="true" outlineLevel="0" collapsed="false">
      <c r="A1566" s="51" t="n">
        <v>14456</v>
      </c>
      <c r="B1566" s="53" t="n">
        <v>40881.5826388889</v>
      </c>
      <c r="C1566" s="57" t="n">
        <f aca="false">INT($C$2)-INT(Table3[[#This Row],[Last Purchase Date]])</f>
        <v>6</v>
      </c>
      <c r="D1566" s="1" t="n">
        <v>14</v>
      </c>
      <c r="E1566" s="1" t="n">
        <v>3047.63</v>
      </c>
      <c r="F1566" s="1" t="n">
        <f aca="false">ROUND((1-_xlfn.PERCENTRANK.INC($C$7:$C$4378,C1566))*9,0)</f>
        <v>8</v>
      </c>
      <c r="G1566" s="1" t="n">
        <f aca="false">ROUND(_xlfn.PERCENTRANK.INC($D$7:$D$4378,D1566)*9,0)</f>
        <v>8</v>
      </c>
      <c r="H1566" s="1" t="n">
        <f aca="false">ROUND(_xlfn.PERCENTRANK.INC($E$7:$E$4378,E1566)*9,0)</f>
        <v>8</v>
      </c>
      <c r="I1566" s="1" t="str">
        <f aca="false">CONCATENATE(F1566,G1566,H1566)</f>
        <v>888</v>
      </c>
      <c r="J1566" s="1" t="str">
        <f aca="false">_xlfn.IFS(AND(F1566&gt;=8,G1566&gt;=8,H1566&gt;=8),"CHAMPION",AND(F1566&gt;=6,G1566&gt;=7,H1566&gt;=6),"LOYAL CUSTOMER",AND(F1566&gt;=6,G1566&gt;=5,H1566&gt;=5),"POTENTIAL LOYALIST",AND(F1566&gt;=8,G1566&lt;=2,H1566&gt;=5),"NEW CUSTOMERS",AND(F1566&gt;=6,G1566&lt;=2,H1566&gt;=3),"PROMISING",AND(F1566&gt;=3,G1566&gt;=3,H1566&gt;=3),"NEED ATTENTION",AND(F1566&lt;=4,G1566&gt;=6,H1566&gt;=6),"AT RISK",AND(F1566&lt;=2,G1566&gt;=8,H1566&gt;=8),"CAN'T LOSE THEM",AND(F1566&lt;=2,G1566&lt;=2,H1566&lt;=2),"HIBERNATING",TRUE(),"Other")</f>
        <v>CHAMPION</v>
      </c>
      <c r="K1566" s="1" t="n">
        <f aca="false">RANK(E1566,$E$7:$E$4378)+COUNTIF($E$7:E1566,E1566)-1</f>
        <v>529</v>
      </c>
    </row>
    <row r="1567" customFormat="false" ht="14.25" hidden="false" customHeight="true" outlineLevel="0" collapsed="false">
      <c r="A1567" s="51" t="n">
        <v>14457</v>
      </c>
      <c r="B1567" s="53" t="n">
        <v>40576.4020833333</v>
      </c>
      <c r="C1567" s="57" t="n">
        <f aca="false">INT($C$2)-INT(Table3[[#This Row],[Last Purchase Date]])</f>
        <v>311</v>
      </c>
      <c r="D1567" s="1" t="n">
        <v>1</v>
      </c>
      <c r="E1567" s="1" t="n">
        <v>113.64</v>
      </c>
      <c r="F1567" s="1" t="n">
        <f aca="false">ROUND((1-_xlfn.PERCENTRANK.INC($C$7:$C$4378,C1567))*9,0)</f>
        <v>0</v>
      </c>
      <c r="G1567" s="1" t="n">
        <f aca="false">ROUND(_xlfn.PERCENTRANK.INC($D$7:$D$4378,D1567)*9,0)</f>
        <v>0</v>
      </c>
      <c r="H1567" s="1" t="n">
        <f aca="false">ROUND(_xlfn.PERCENTRANK.INC($E$7:$E$4378,E1567)*9,0)</f>
        <v>1</v>
      </c>
      <c r="I1567" s="1" t="str">
        <f aca="false">CONCATENATE(F1567,G1567,H1567)</f>
        <v>001</v>
      </c>
      <c r="J1567" s="1" t="str">
        <f aca="false">_xlfn.IFS(AND(F1567&gt;=8,G1567&gt;=8,H1567&gt;=8),"CHAMPION",AND(F1567&gt;=6,G1567&gt;=7,H1567&gt;=6),"LOYAL CUSTOMER",AND(F1567&gt;=6,G1567&gt;=5,H1567&gt;=5),"POTENTIAL LOYALIST",AND(F1567&gt;=8,G1567&lt;=2,H1567&gt;=5),"NEW CUSTOMERS",AND(F1567&gt;=6,G1567&lt;=2,H1567&gt;=3),"PROMISING",AND(F1567&gt;=3,G1567&gt;=3,H1567&gt;=3),"NEED ATTENTION",AND(F1567&lt;=4,G1567&gt;=6,H1567&gt;=6),"AT RISK",AND(F1567&lt;=2,G1567&gt;=8,H1567&gt;=8),"CAN'T LOSE THEM",AND(F1567&lt;=2,G1567&lt;=2,H1567&lt;=2),"HIBERNATING",TRUE(),"Other")</f>
        <v>HIBERNATING</v>
      </c>
      <c r="K1567" s="1" t="n">
        <f aca="false">RANK(E1567,$E$7:$E$4378)+COUNTIF($E$7:E1567,E1567)-1</f>
        <v>4085</v>
      </c>
    </row>
    <row r="1568" customFormat="false" ht="14.25" hidden="false" customHeight="true" outlineLevel="0" collapsed="false">
      <c r="A1568" s="51" t="n">
        <v>14459</v>
      </c>
      <c r="B1568" s="53" t="n">
        <v>40731.5659722222</v>
      </c>
      <c r="C1568" s="57" t="n">
        <f aca="false">INT($C$2)-INT(Table3[[#This Row],[Last Purchase Date]])</f>
        <v>156</v>
      </c>
      <c r="D1568" s="1" t="n">
        <v>1</v>
      </c>
      <c r="E1568" s="1" t="n">
        <v>1837.92</v>
      </c>
      <c r="F1568" s="1" t="n">
        <f aca="false">ROUND((1-_xlfn.PERCENTRANK.INC($C$7:$C$4378,C1568))*9,0)</f>
        <v>2</v>
      </c>
      <c r="G1568" s="1" t="n">
        <f aca="false">ROUND(_xlfn.PERCENTRANK.INC($D$7:$D$4378,D1568)*9,0)</f>
        <v>0</v>
      </c>
      <c r="H1568" s="1" t="n">
        <f aca="false">ROUND(_xlfn.PERCENTRANK.INC($E$7:$E$4378,E1568)*9,0)</f>
        <v>7</v>
      </c>
      <c r="I1568" s="1" t="str">
        <f aca="false">CONCATENATE(F1568,G1568,H1568)</f>
        <v>207</v>
      </c>
      <c r="J1568" s="1" t="str">
        <f aca="false">_xlfn.IFS(AND(F1568&gt;=8,G1568&gt;=8,H1568&gt;=8),"CHAMPION",AND(F1568&gt;=6,G1568&gt;=7,H1568&gt;=6),"LOYAL CUSTOMER",AND(F1568&gt;=6,G1568&gt;=5,H1568&gt;=5),"POTENTIAL LOYALIST",AND(F1568&gt;=8,G1568&lt;=2,H1568&gt;=5),"NEW CUSTOMERS",AND(F1568&gt;=6,G1568&lt;=2,H1568&gt;=3),"PROMISING",AND(F1568&gt;=3,G1568&gt;=3,H1568&gt;=3),"NEED ATTENTION",AND(F1568&lt;=4,G1568&gt;=6,H1568&gt;=6),"AT RISK",AND(F1568&lt;=2,G1568&gt;=8,H1568&gt;=8),"CAN'T LOSE THEM",AND(F1568&lt;=2,G1568&lt;=2,H1568&lt;=2),"HIBERNATING",TRUE(),"Other")</f>
        <v>Other</v>
      </c>
      <c r="K1568" s="1" t="n">
        <f aca="false">RANK(E1568,$E$7:$E$4378)+COUNTIF($E$7:E1568,E1568)-1</f>
        <v>958</v>
      </c>
    </row>
    <row r="1569" customFormat="false" ht="14.25" hidden="false" customHeight="true" outlineLevel="0" collapsed="false">
      <c r="A1569" s="51" t="n">
        <v>14460</v>
      </c>
      <c r="B1569" s="53" t="n">
        <v>40776.5965277778</v>
      </c>
      <c r="C1569" s="57" t="n">
        <f aca="false">INT($C$2)-INT(Table3[[#This Row],[Last Purchase Date]])</f>
        <v>111</v>
      </c>
      <c r="D1569" s="1" t="n">
        <v>4</v>
      </c>
      <c r="E1569" s="1" t="n">
        <v>383.34</v>
      </c>
      <c r="F1569" s="1" t="n">
        <f aca="false">ROUND((1-_xlfn.PERCENTRANK.INC($C$7:$C$4378,C1569))*9,0)</f>
        <v>3</v>
      </c>
      <c r="G1569" s="1" t="n">
        <f aca="false">ROUND(_xlfn.PERCENTRANK.INC($D$7:$D$4378,D1569)*9,0)</f>
        <v>5</v>
      </c>
      <c r="H1569" s="1" t="n">
        <f aca="false">ROUND(_xlfn.PERCENTRANK.INC($E$7:$E$4378,E1569)*9,0)</f>
        <v>3</v>
      </c>
      <c r="I1569" s="1" t="str">
        <f aca="false">CONCATENATE(F1569,G1569,H1569)</f>
        <v>353</v>
      </c>
      <c r="J1569" s="1" t="str">
        <f aca="false">_xlfn.IFS(AND(F1569&gt;=8,G1569&gt;=8,H1569&gt;=8),"CHAMPION",AND(F1569&gt;=6,G1569&gt;=7,H1569&gt;=6),"LOYAL CUSTOMER",AND(F1569&gt;=6,G1569&gt;=5,H1569&gt;=5),"POTENTIAL LOYALIST",AND(F1569&gt;=8,G1569&lt;=2,H1569&gt;=5),"NEW CUSTOMERS",AND(F1569&gt;=6,G1569&lt;=2,H1569&gt;=3),"PROMISING",AND(F1569&gt;=3,G1569&gt;=3,H1569&gt;=3),"NEED ATTENTION",AND(F1569&lt;=4,G1569&gt;=6,H1569&gt;=6),"AT RISK",AND(F1569&lt;=2,G1569&gt;=8,H1569&gt;=8),"CAN'T LOSE THEM",AND(F1569&lt;=2,G1569&lt;=2,H1569&lt;=2),"HIBERNATING",TRUE(),"Other")</f>
        <v>NEED ATTENTION</v>
      </c>
      <c r="K1569" s="1" t="n">
        <f aca="false">RANK(E1569,$E$7:$E$4378)+COUNTIF($E$7:E1569,E1569)-1</f>
        <v>2875</v>
      </c>
    </row>
    <row r="1570" customFormat="false" ht="14.25" hidden="false" customHeight="true" outlineLevel="0" collapsed="false">
      <c r="A1570" s="51" t="n">
        <v>14461</v>
      </c>
      <c r="B1570" s="53" t="n">
        <v>40738.7159722222</v>
      </c>
      <c r="C1570" s="57" t="n">
        <f aca="false">INT($C$2)-INT(Table3[[#This Row],[Last Purchase Date]])</f>
        <v>149</v>
      </c>
      <c r="D1570" s="1" t="n">
        <v>3</v>
      </c>
      <c r="E1570" s="1" t="n">
        <v>2103.06</v>
      </c>
      <c r="F1570" s="1" t="n">
        <f aca="false">ROUND((1-_xlfn.PERCENTRANK.INC($C$7:$C$4378,C1570))*9,0)</f>
        <v>2</v>
      </c>
      <c r="G1570" s="1" t="n">
        <f aca="false">ROUND(_xlfn.PERCENTRANK.INC($D$7:$D$4378,D1570)*9,0)</f>
        <v>4</v>
      </c>
      <c r="H1570" s="1" t="n">
        <f aca="false">ROUND(_xlfn.PERCENTRANK.INC($E$7:$E$4378,E1570)*9,0)</f>
        <v>7</v>
      </c>
      <c r="I1570" s="1" t="str">
        <f aca="false">CONCATENATE(F1570,G1570,H1570)</f>
        <v>247</v>
      </c>
      <c r="J1570" s="1" t="str">
        <f aca="false">_xlfn.IFS(AND(F1570&gt;=8,G1570&gt;=8,H1570&gt;=8),"CHAMPION",AND(F1570&gt;=6,G1570&gt;=7,H1570&gt;=6),"LOYAL CUSTOMER",AND(F1570&gt;=6,G1570&gt;=5,H1570&gt;=5),"POTENTIAL LOYALIST",AND(F1570&gt;=8,G1570&lt;=2,H1570&gt;=5),"NEW CUSTOMERS",AND(F1570&gt;=6,G1570&lt;=2,H1570&gt;=3),"PROMISING",AND(F1570&gt;=3,G1570&gt;=3,H1570&gt;=3),"NEED ATTENTION",AND(F1570&lt;=4,G1570&gt;=6,H1570&gt;=6),"AT RISK",AND(F1570&lt;=2,G1570&gt;=8,H1570&gt;=8),"CAN'T LOSE THEM",AND(F1570&lt;=2,G1570&lt;=2,H1570&lt;=2),"HIBERNATING",TRUE(),"Other")</f>
        <v>Other</v>
      </c>
      <c r="K1570" s="1" t="n">
        <f aca="false">RANK(E1570,$E$7:$E$4378)+COUNTIF($E$7:E1570,E1570)-1</f>
        <v>824</v>
      </c>
    </row>
    <row r="1571" customFormat="false" ht="14.25" hidden="false" customHeight="true" outlineLevel="0" collapsed="false">
      <c r="A1571" s="51" t="n">
        <v>14462</v>
      </c>
      <c r="B1571" s="53" t="n">
        <v>40823.3902777778</v>
      </c>
      <c r="C1571" s="57" t="n">
        <f aca="false">INT($C$2)-INT(Table3[[#This Row],[Last Purchase Date]])</f>
        <v>64</v>
      </c>
      <c r="D1571" s="1" t="n">
        <v>15</v>
      </c>
      <c r="E1571" s="1" t="n">
        <v>1965.9</v>
      </c>
      <c r="F1571" s="1" t="n">
        <f aca="false">ROUND((1-_xlfn.PERCENTRANK.INC($C$7:$C$4378,C1571))*9,0)</f>
        <v>4</v>
      </c>
      <c r="G1571" s="1" t="n">
        <f aca="false">ROUND(_xlfn.PERCENTRANK.INC($D$7:$D$4378,D1571)*9,0)</f>
        <v>8</v>
      </c>
      <c r="H1571" s="1" t="n">
        <f aca="false">ROUND(_xlfn.PERCENTRANK.INC($E$7:$E$4378,E1571)*9,0)</f>
        <v>7</v>
      </c>
      <c r="I1571" s="1" t="str">
        <f aca="false">CONCATENATE(F1571,G1571,H1571)</f>
        <v>487</v>
      </c>
      <c r="J1571" s="1" t="str">
        <f aca="false">_xlfn.IFS(AND(F1571&gt;=8,G1571&gt;=8,H1571&gt;=8),"CHAMPION",AND(F1571&gt;=6,G1571&gt;=7,H1571&gt;=6),"LOYAL CUSTOMER",AND(F1571&gt;=6,G1571&gt;=5,H1571&gt;=5),"POTENTIAL LOYALIST",AND(F1571&gt;=8,G1571&lt;=2,H1571&gt;=5),"NEW CUSTOMERS",AND(F1571&gt;=6,G1571&lt;=2,H1571&gt;=3),"PROMISING",AND(F1571&gt;=3,G1571&gt;=3,H1571&gt;=3),"NEED ATTENTION",AND(F1571&lt;=4,G1571&gt;=6,H1571&gt;=6),"AT RISK",AND(F1571&lt;=2,G1571&gt;=8,H1571&gt;=8),"CAN'T LOSE THEM",AND(F1571&lt;=2,G1571&lt;=2,H1571&lt;=2),"HIBERNATING",TRUE(),"Other")</f>
        <v>NEED ATTENTION</v>
      </c>
      <c r="K1571" s="1" t="n">
        <f aca="false">RANK(E1571,$E$7:$E$4378)+COUNTIF($E$7:E1571,E1571)-1</f>
        <v>891</v>
      </c>
    </row>
    <row r="1572" customFormat="false" ht="14.25" hidden="false" customHeight="true" outlineLevel="0" collapsed="false">
      <c r="A1572" s="51" t="n">
        <v>14463</v>
      </c>
      <c r="B1572" s="53" t="n">
        <v>40788.6388888889</v>
      </c>
      <c r="C1572" s="57" t="n">
        <f aca="false">INT($C$2)-INT(Table3[[#This Row],[Last Purchase Date]])</f>
        <v>99</v>
      </c>
      <c r="D1572" s="1" t="n">
        <v>3</v>
      </c>
      <c r="E1572" s="1" t="n">
        <v>529.62</v>
      </c>
      <c r="F1572" s="1" t="n">
        <f aca="false">ROUND((1-_xlfn.PERCENTRANK.INC($C$7:$C$4378,C1572))*9,0)</f>
        <v>3</v>
      </c>
      <c r="G1572" s="1" t="n">
        <f aca="false">ROUND(_xlfn.PERCENTRANK.INC($D$7:$D$4378,D1572)*9,0)</f>
        <v>4</v>
      </c>
      <c r="H1572" s="1" t="n">
        <f aca="false">ROUND(_xlfn.PERCENTRANK.INC($E$7:$E$4378,E1572)*9,0)</f>
        <v>4</v>
      </c>
      <c r="I1572" s="1" t="str">
        <f aca="false">CONCATENATE(F1572,G1572,H1572)</f>
        <v>344</v>
      </c>
      <c r="J1572" s="1" t="str">
        <f aca="false">_xlfn.IFS(AND(F1572&gt;=8,G1572&gt;=8,H1572&gt;=8),"CHAMPION",AND(F1572&gt;=6,G1572&gt;=7,H1572&gt;=6),"LOYAL CUSTOMER",AND(F1572&gt;=6,G1572&gt;=5,H1572&gt;=5),"POTENTIAL LOYALIST",AND(F1572&gt;=8,G1572&lt;=2,H1572&gt;=5),"NEW CUSTOMERS",AND(F1572&gt;=6,G1572&lt;=2,H1572&gt;=3),"PROMISING",AND(F1572&gt;=3,G1572&gt;=3,H1572&gt;=3),"NEED ATTENTION",AND(F1572&lt;=4,G1572&gt;=6,H1572&gt;=6),"AT RISK",AND(F1572&lt;=2,G1572&gt;=8,H1572&gt;=8),"CAN'T LOSE THEM",AND(F1572&lt;=2,G1572&lt;=2,H1572&lt;=2),"HIBERNATING",TRUE(),"Other")</f>
        <v>NEED ATTENTION</v>
      </c>
      <c r="K1572" s="1" t="n">
        <f aca="false">RANK(E1572,$E$7:$E$4378)+COUNTIF($E$7:E1572,E1572)-1</f>
        <v>2483</v>
      </c>
    </row>
    <row r="1573" customFormat="false" ht="14.25" hidden="false" customHeight="true" outlineLevel="0" collapsed="false">
      <c r="A1573" s="51" t="n">
        <v>14465</v>
      </c>
      <c r="B1573" s="53" t="n">
        <v>40640.5263888889</v>
      </c>
      <c r="C1573" s="57" t="n">
        <f aca="false">INT($C$2)-INT(Table3[[#This Row],[Last Purchase Date]])</f>
        <v>247</v>
      </c>
      <c r="D1573" s="1" t="n">
        <v>3</v>
      </c>
      <c r="E1573" s="1" t="n">
        <v>1058.62</v>
      </c>
      <c r="F1573" s="1" t="n">
        <f aca="false">ROUND((1-_xlfn.PERCENTRANK.INC($C$7:$C$4378,C1573))*9,0)</f>
        <v>1</v>
      </c>
      <c r="G1573" s="1" t="n">
        <f aca="false">ROUND(_xlfn.PERCENTRANK.INC($D$7:$D$4378,D1573)*9,0)</f>
        <v>4</v>
      </c>
      <c r="H1573" s="1" t="n">
        <f aca="false">ROUND(_xlfn.PERCENTRANK.INC($E$7:$E$4378,E1573)*9,0)</f>
        <v>6</v>
      </c>
      <c r="I1573" s="1" t="str">
        <f aca="false">CONCATENATE(F1573,G1573,H1573)</f>
        <v>146</v>
      </c>
      <c r="J1573" s="1" t="str">
        <f aca="false">_xlfn.IFS(AND(F1573&gt;=8,G1573&gt;=8,H1573&gt;=8),"CHAMPION",AND(F1573&gt;=6,G1573&gt;=7,H1573&gt;=6),"LOYAL CUSTOMER",AND(F1573&gt;=6,G1573&gt;=5,H1573&gt;=5),"POTENTIAL LOYALIST",AND(F1573&gt;=8,G1573&lt;=2,H1573&gt;=5),"NEW CUSTOMERS",AND(F1573&gt;=6,G1573&lt;=2,H1573&gt;=3),"PROMISING",AND(F1573&gt;=3,G1573&gt;=3,H1573&gt;=3),"NEED ATTENTION",AND(F1573&lt;=4,G1573&gt;=6,H1573&gt;=6),"AT RISK",AND(F1573&lt;=2,G1573&gt;=8,H1573&gt;=8),"CAN'T LOSE THEM",AND(F1573&lt;=2,G1573&lt;=2,H1573&lt;=2),"HIBERNATING",TRUE(),"Other")</f>
        <v>Other</v>
      </c>
      <c r="K1573" s="1" t="n">
        <f aca="false">RANK(E1573,$E$7:$E$4378)+COUNTIF($E$7:E1573,E1573)-1</f>
        <v>1548</v>
      </c>
    </row>
    <row r="1574" customFormat="false" ht="14.25" hidden="false" customHeight="true" outlineLevel="0" collapsed="false">
      <c r="A1574" s="51" t="n">
        <v>14466</v>
      </c>
      <c r="B1574" s="53" t="n">
        <v>40857.5881944444</v>
      </c>
      <c r="C1574" s="57" t="n">
        <f aca="false">INT($C$2)-INT(Table3[[#This Row],[Last Purchase Date]])</f>
        <v>30</v>
      </c>
      <c r="D1574" s="1" t="n">
        <v>7</v>
      </c>
      <c r="E1574" s="1" t="n">
        <v>2272.4</v>
      </c>
      <c r="F1574" s="1" t="n">
        <f aca="false">ROUND((1-_xlfn.PERCENTRANK.INC($C$7:$C$4378,C1574))*9,0)</f>
        <v>6</v>
      </c>
      <c r="G1574" s="1" t="n">
        <f aca="false">ROUND(_xlfn.PERCENTRANK.INC($D$7:$D$4378,D1574)*9,0)</f>
        <v>7</v>
      </c>
      <c r="H1574" s="1" t="n">
        <f aca="false">ROUND(_xlfn.PERCENTRANK.INC($E$7:$E$4378,E1574)*9,0)</f>
        <v>7</v>
      </c>
      <c r="I1574" s="1" t="str">
        <f aca="false">CONCATENATE(F1574,G1574,H1574)</f>
        <v>677</v>
      </c>
      <c r="J1574" s="1" t="str">
        <f aca="false">_xlfn.IFS(AND(F1574&gt;=8,G1574&gt;=8,H1574&gt;=8),"CHAMPION",AND(F1574&gt;=6,G1574&gt;=7,H1574&gt;=6),"LOYAL CUSTOMER",AND(F1574&gt;=6,G1574&gt;=5,H1574&gt;=5),"POTENTIAL LOYALIST",AND(F1574&gt;=8,G1574&lt;=2,H1574&gt;=5),"NEW CUSTOMERS",AND(F1574&gt;=6,G1574&lt;=2,H1574&gt;=3),"PROMISING",AND(F1574&gt;=3,G1574&gt;=3,H1574&gt;=3),"NEED ATTENTION",AND(F1574&lt;=4,G1574&gt;=6,H1574&gt;=6),"AT RISK",AND(F1574&lt;=2,G1574&gt;=8,H1574&gt;=8),"CAN'T LOSE THEM",AND(F1574&lt;=2,G1574&lt;=2,H1574&lt;=2),"HIBERNATING",TRUE(),"Other")</f>
        <v>LOYAL CUSTOMER</v>
      </c>
      <c r="K1574" s="1" t="n">
        <f aca="false">RANK(E1574,$E$7:$E$4378)+COUNTIF($E$7:E1574,E1574)-1</f>
        <v>754</v>
      </c>
    </row>
    <row r="1575" customFormat="false" ht="14.25" hidden="false" customHeight="true" outlineLevel="0" collapsed="false">
      <c r="A1575" s="51" t="n">
        <v>14467</v>
      </c>
      <c r="B1575" s="53" t="n">
        <v>40869.5333333333</v>
      </c>
      <c r="C1575" s="57" t="n">
        <f aca="false">INT($C$2)-INT(Table3[[#This Row],[Last Purchase Date]])</f>
        <v>18</v>
      </c>
      <c r="D1575" s="1" t="n">
        <v>4</v>
      </c>
      <c r="E1575" s="1" t="n">
        <v>598.76</v>
      </c>
      <c r="F1575" s="1" t="n">
        <f aca="false">ROUND((1-_xlfn.PERCENTRANK.INC($C$7:$C$4378,C1575))*9,0)</f>
        <v>7</v>
      </c>
      <c r="G1575" s="1" t="n">
        <f aca="false">ROUND(_xlfn.PERCENTRANK.INC($D$7:$D$4378,D1575)*9,0)</f>
        <v>5</v>
      </c>
      <c r="H1575" s="1" t="n">
        <f aca="false">ROUND(_xlfn.PERCENTRANK.INC($E$7:$E$4378,E1575)*9,0)</f>
        <v>4</v>
      </c>
      <c r="I1575" s="1" t="str">
        <f aca="false">CONCATENATE(F1575,G1575,H1575)</f>
        <v>754</v>
      </c>
      <c r="J1575" s="1" t="str">
        <f aca="false">_xlfn.IFS(AND(F1575&gt;=8,G1575&gt;=8,H1575&gt;=8),"CHAMPION",AND(F1575&gt;=6,G1575&gt;=7,H1575&gt;=6),"LOYAL CUSTOMER",AND(F1575&gt;=6,G1575&gt;=5,H1575&gt;=5),"POTENTIAL LOYALIST",AND(F1575&gt;=8,G1575&lt;=2,H1575&gt;=5),"NEW CUSTOMERS",AND(F1575&gt;=6,G1575&lt;=2,H1575&gt;=3),"PROMISING",AND(F1575&gt;=3,G1575&gt;=3,H1575&gt;=3),"NEED ATTENTION",AND(F1575&lt;=4,G1575&gt;=6,H1575&gt;=6),"AT RISK",AND(F1575&lt;=2,G1575&gt;=8,H1575&gt;=8),"CAN'T LOSE THEM",AND(F1575&lt;=2,G1575&lt;=2,H1575&lt;=2),"HIBERNATING",TRUE(),"Other")</f>
        <v>NEED ATTENTION</v>
      </c>
      <c r="K1575" s="1" t="n">
        <f aca="false">RANK(E1575,$E$7:$E$4378)+COUNTIF($E$7:E1575,E1575)-1</f>
        <v>2324</v>
      </c>
    </row>
    <row r="1576" customFormat="false" ht="14.25" hidden="false" customHeight="true" outlineLevel="0" collapsed="false">
      <c r="A1576" s="51" t="n">
        <v>14470</v>
      </c>
      <c r="B1576" s="53" t="n">
        <v>40875.4381944445</v>
      </c>
      <c r="C1576" s="57" t="n">
        <f aca="false">INT($C$2)-INT(Table3[[#This Row],[Last Purchase Date]])</f>
        <v>12</v>
      </c>
      <c r="D1576" s="1" t="n">
        <v>2</v>
      </c>
      <c r="E1576" s="1" t="n">
        <v>461.19</v>
      </c>
      <c r="F1576" s="1" t="n">
        <f aca="false">ROUND((1-_xlfn.PERCENTRANK.INC($C$7:$C$4378,C1576))*9,0)</f>
        <v>7</v>
      </c>
      <c r="G1576" s="1" t="n">
        <f aca="false">ROUND(_xlfn.PERCENTRANK.INC($D$7:$D$4378,D1576)*9,0)</f>
        <v>3</v>
      </c>
      <c r="H1576" s="1" t="n">
        <f aca="false">ROUND(_xlfn.PERCENTRANK.INC($E$7:$E$4378,E1576)*9,0)</f>
        <v>4</v>
      </c>
      <c r="I1576" s="1" t="str">
        <f aca="false">CONCATENATE(F1576,G1576,H1576)</f>
        <v>734</v>
      </c>
      <c r="J1576" s="1" t="str">
        <f aca="false">_xlfn.IFS(AND(F1576&gt;=8,G1576&gt;=8,H1576&gt;=8),"CHAMPION",AND(F1576&gt;=6,G1576&gt;=7,H1576&gt;=6),"LOYAL CUSTOMER",AND(F1576&gt;=6,G1576&gt;=5,H1576&gt;=5),"POTENTIAL LOYALIST",AND(F1576&gt;=8,G1576&lt;=2,H1576&gt;=5),"NEW CUSTOMERS",AND(F1576&gt;=6,G1576&lt;=2,H1576&gt;=3),"PROMISING",AND(F1576&gt;=3,G1576&gt;=3,H1576&gt;=3),"NEED ATTENTION",AND(F1576&lt;=4,G1576&gt;=6,H1576&gt;=6),"AT RISK",AND(F1576&lt;=2,G1576&gt;=8,H1576&gt;=8),"CAN'T LOSE THEM",AND(F1576&lt;=2,G1576&lt;=2,H1576&lt;=2),"HIBERNATING",TRUE(),"Other")</f>
        <v>NEED ATTENTION</v>
      </c>
      <c r="K1576" s="1" t="n">
        <f aca="false">RANK(E1576,$E$7:$E$4378)+COUNTIF($E$7:E1576,E1576)-1</f>
        <v>2635</v>
      </c>
    </row>
    <row r="1577" customFormat="false" ht="14.25" hidden="false" customHeight="true" outlineLevel="0" collapsed="false">
      <c r="A1577" s="51" t="n">
        <v>14472</v>
      </c>
      <c r="B1577" s="53" t="n">
        <v>40783.4590277778</v>
      </c>
      <c r="C1577" s="57" t="n">
        <f aca="false">INT($C$2)-INT(Table3[[#This Row],[Last Purchase Date]])</f>
        <v>104</v>
      </c>
      <c r="D1577" s="1" t="n">
        <v>8</v>
      </c>
      <c r="E1577" s="1" t="n">
        <v>1936.84</v>
      </c>
      <c r="F1577" s="1" t="n">
        <f aca="false">ROUND((1-_xlfn.PERCENTRANK.INC($C$7:$C$4378,C1577))*9,0)</f>
        <v>3</v>
      </c>
      <c r="G1577" s="1" t="n">
        <f aca="false">ROUND(_xlfn.PERCENTRANK.INC($D$7:$D$4378,D1577)*9,0)</f>
        <v>7</v>
      </c>
      <c r="H1577" s="1" t="n">
        <f aca="false">ROUND(_xlfn.PERCENTRANK.INC($E$7:$E$4378,E1577)*9,0)</f>
        <v>7</v>
      </c>
      <c r="I1577" s="1" t="str">
        <f aca="false">CONCATENATE(F1577,G1577,H1577)</f>
        <v>377</v>
      </c>
      <c r="J1577" s="1" t="str">
        <f aca="false">_xlfn.IFS(AND(F1577&gt;=8,G1577&gt;=8,H1577&gt;=8),"CHAMPION",AND(F1577&gt;=6,G1577&gt;=7,H1577&gt;=6),"LOYAL CUSTOMER",AND(F1577&gt;=6,G1577&gt;=5,H1577&gt;=5),"POTENTIAL LOYALIST",AND(F1577&gt;=8,G1577&lt;=2,H1577&gt;=5),"NEW CUSTOMERS",AND(F1577&gt;=6,G1577&lt;=2,H1577&gt;=3),"PROMISING",AND(F1577&gt;=3,G1577&gt;=3,H1577&gt;=3),"NEED ATTENTION",AND(F1577&lt;=4,G1577&gt;=6,H1577&gt;=6),"AT RISK",AND(F1577&lt;=2,G1577&gt;=8,H1577&gt;=8),"CAN'T LOSE THEM",AND(F1577&lt;=2,G1577&lt;=2,H1577&lt;=2),"HIBERNATING",TRUE(),"Other")</f>
        <v>NEED ATTENTION</v>
      </c>
      <c r="K1577" s="1" t="n">
        <f aca="false">RANK(E1577,$E$7:$E$4378)+COUNTIF($E$7:E1577,E1577)-1</f>
        <v>900</v>
      </c>
    </row>
    <row r="1578" customFormat="false" ht="14.25" hidden="false" customHeight="true" outlineLevel="0" collapsed="false">
      <c r="A1578" s="51" t="n">
        <v>14473</v>
      </c>
      <c r="B1578" s="53" t="n">
        <v>40812.6319444445</v>
      </c>
      <c r="C1578" s="57" t="n">
        <f aca="false">INT($C$2)-INT(Table3[[#This Row],[Last Purchase Date]])</f>
        <v>75</v>
      </c>
      <c r="D1578" s="1" t="n">
        <v>2</v>
      </c>
      <c r="E1578" s="1" t="n">
        <v>234.34</v>
      </c>
      <c r="F1578" s="1" t="n">
        <f aca="false">ROUND((1-_xlfn.PERCENTRANK.INC($C$7:$C$4378,C1578))*9,0)</f>
        <v>3</v>
      </c>
      <c r="G1578" s="1" t="n">
        <f aca="false">ROUND(_xlfn.PERCENTRANK.INC($D$7:$D$4378,D1578)*9,0)</f>
        <v>3</v>
      </c>
      <c r="H1578" s="1" t="n">
        <f aca="false">ROUND(_xlfn.PERCENTRANK.INC($E$7:$E$4378,E1578)*9,0)</f>
        <v>2</v>
      </c>
      <c r="I1578" s="1" t="str">
        <f aca="false">CONCATENATE(F1578,G1578,H1578)</f>
        <v>332</v>
      </c>
      <c r="J1578" s="1" t="str">
        <f aca="false">_xlfn.IFS(AND(F1578&gt;=8,G1578&gt;=8,H1578&gt;=8),"CHAMPION",AND(F1578&gt;=6,G1578&gt;=7,H1578&gt;=6),"LOYAL CUSTOMER",AND(F1578&gt;=6,G1578&gt;=5,H1578&gt;=5),"POTENTIAL LOYALIST",AND(F1578&gt;=8,G1578&lt;=2,H1578&gt;=5),"NEW CUSTOMERS",AND(F1578&gt;=6,G1578&lt;=2,H1578&gt;=3),"PROMISING",AND(F1578&gt;=3,G1578&gt;=3,H1578&gt;=3),"NEED ATTENTION",AND(F1578&lt;=4,G1578&gt;=6,H1578&gt;=6),"AT RISK",AND(F1578&lt;=2,G1578&gt;=8,H1578&gt;=8),"CAN'T LOSE THEM",AND(F1578&lt;=2,G1578&lt;=2,H1578&lt;=2),"HIBERNATING",TRUE(),"Other")</f>
        <v>Other</v>
      </c>
      <c r="K1578" s="1" t="n">
        <f aca="false">RANK(E1578,$E$7:$E$4378)+COUNTIF($E$7:E1578,E1578)-1</f>
        <v>3498</v>
      </c>
    </row>
    <row r="1579" customFormat="false" ht="14.25" hidden="false" customHeight="true" outlineLevel="0" collapsed="false">
      <c r="A1579" s="51" t="n">
        <v>14474</v>
      </c>
      <c r="B1579" s="53" t="n">
        <v>40843.5395833333</v>
      </c>
      <c r="C1579" s="57" t="n">
        <f aca="false">INT($C$2)-INT(Table3[[#This Row],[Last Purchase Date]])</f>
        <v>44</v>
      </c>
      <c r="D1579" s="1" t="n">
        <v>2</v>
      </c>
      <c r="E1579" s="1" t="n">
        <v>537.71</v>
      </c>
      <c r="F1579" s="1" t="n">
        <f aca="false">ROUND((1-_xlfn.PERCENTRANK.INC($C$7:$C$4378,C1579))*9,0)</f>
        <v>5</v>
      </c>
      <c r="G1579" s="1" t="n">
        <f aca="false">ROUND(_xlfn.PERCENTRANK.INC($D$7:$D$4378,D1579)*9,0)</f>
        <v>3</v>
      </c>
      <c r="H1579" s="1" t="n">
        <f aca="false">ROUND(_xlfn.PERCENTRANK.INC($E$7:$E$4378,E1579)*9,0)</f>
        <v>4</v>
      </c>
      <c r="I1579" s="1" t="str">
        <f aca="false">CONCATENATE(F1579,G1579,H1579)</f>
        <v>534</v>
      </c>
      <c r="J1579" s="1" t="str">
        <f aca="false">_xlfn.IFS(AND(F1579&gt;=8,G1579&gt;=8,H1579&gt;=8),"CHAMPION",AND(F1579&gt;=6,G1579&gt;=7,H1579&gt;=6),"LOYAL CUSTOMER",AND(F1579&gt;=6,G1579&gt;=5,H1579&gt;=5),"POTENTIAL LOYALIST",AND(F1579&gt;=8,G1579&lt;=2,H1579&gt;=5),"NEW CUSTOMERS",AND(F1579&gt;=6,G1579&lt;=2,H1579&gt;=3),"PROMISING",AND(F1579&gt;=3,G1579&gt;=3,H1579&gt;=3),"NEED ATTENTION",AND(F1579&lt;=4,G1579&gt;=6,H1579&gt;=6),"AT RISK",AND(F1579&lt;=2,G1579&gt;=8,H1579&gt;=8),"CAN'T LOSE THEM",AND(F1579&lt;=2,G1579&lt;=2,H1579&lt;=2),"HIBERNATING",TRUE(),"Other")</f>
        <v>NEED ATTENTION</v>
      </c>
      <c r="K1579" s="1" t="n">
        <f aca="false">RANK(E1579,$E$7:$E$4378)+COUNTIF($E$7:E1579,E1579)-1</f>
        <v>2462</v>
      </c>
    </row>
    <row r="1580" customFormat="false" ht="14.25" hidden="false" customHeight="true" outlineLevel="0" collapsed="false">
      <c r="A1580" s="51" t="n">
        <v>14475</v>
      </c>
      <c r="B1580" s="53" t="n">
        <v>40815.4486111111</v>
      </c>
      <c r="C1580" s="57" t="n">
        <f aca="false">INT($C$2)-INT(Table3[[#This Row],[Last Purchase Date]])</f>
        <v>72</v>
      </c>
      <c r="D1580" s="1" t="n">
        <v>6</v>
      </c>
      <c r="E1580" s="1" t="n">
        <v>799.82</v>
      </c>
      <c r="F1580" s="1" t="n">
        <f aca="false">ROUND((1-_xlfn.PERCENTRANK.INC($C$7:$C$4378,C1580))*9,0)</f>
        <v>4</v>
      </c>
      <c r="G1580" s="1" t="n">
        <f aca="false">ROUND(_xlfn.PERCENTRANK.INC($D$7:$D$4378,D1580)*9,0)</f>
        <v>7</v>
      </c>
      <c r="H1580" s="1" t="n">
        <f aca="false">ROUND(_xlfn.PERCENTRANK.INC($E$7:$E$4378,E1580)*9,0)</f>
        <v>5</v>
      </c>
      <c r="I1580" s="1" t="str">
        <f aca="false">CONCATENATE(F1580,G1580,H1580)</f>
        <v>475</v>
      </c>
      <c r="J1580" s="1" t="str">
        <f aca="false">_xlfn.IFS(AND(F1580&gt;=8,G1580&gt;=8,H1580&gt;=8),"CHAMPION",AND(F1580&gt;=6,G1580&gt;=7,H1580&gt;=6),"LOYAL CUSTOMER",AND(F1580&gt;=6,G1580&gt;=5,H1580&gt;=5),"POTENTIAL LOYALIST",AND(F1580&gt;=8,G1580&lt;=2,H1580&gt;=5),"NEW CUSTOMERS",AND(F1580&gt;=6,G1580&lt;=2,H1580&gt;=3),"PROMISING",AND(F1580&gt;=3,G1580&gt;=3,H1580&gt;=3),"NEED ATTENTION",AND(F1580&lt;=4,G1580&gt;=6,H1580&gt;=6),"AT RISK",AND(F1580&lt;=2,G1580&gt;=8,H1580&gt;=8),"CAN'T LOSE THEM",AND(F1580&lt;=2,G1580&lt;=2,H1580&lt;=2),"HIBERNATING",TRUE(),"Other")</f>
        <v>NEED ATTENTION</v>
      </c>
      <c r="K1580" s="1" t="n">
        <f aca="false">RANK(E1580,$E$7:$E$4378)+COUNTIF($E$7:E1580,E1580)-1</f>
        <v>1901</v>
      </c>
    </row>
    <row r="1581" customFormat="false" ht="14.25" hidden="false" customHeight="true" outlineLevel="0" collapsed="false">
      <c r="A1581" s="51" t="n">
        <v>14476</v>
      </c>
      <c r="B1581" s="53" t="n">
        <v>40629.6520833333</v>
      </c>
      <c r="C1581" s="57" t="n">
        <f aca="false">INT($C$2)-INT(Table3[[#This Row],[Last Purchase Date]])</f>
        <v>258</v>
      </c>
      <c r="D1581" s="1" t="n">
        <v>1</v>
      </c>
      <c r="E1581" s="1" t="n">
        <v>215.7</v>
      </c>
      <c r="F1581" s="1" t="n">
        <f aca="false">ROUND((1-_xlfn.PERCENTRANK.INC($C$7:$C$4378,C1581))*9,0)</f>
        <v>1</v>
      </c>
      <c r="G1581" s="1" t="n">
        <f aca="false">ROUND(_xlfn.PERCENTRANK.INC($D$7:$D$4378,D1581)*9,0)</f>
        <v>0</v>
      </c>
      <c r="H1581" s="1" t="n">
        <f aca="false">ROUND(_xlfn.PERCENTRANK.INC($E$7:$E$4378,E1581)*9,0)</f>
        <v>2</v>
      </c>
      <c r="I1581" s="1" t="str">
        <f aca="false">CONCATENATE(F1581,G1581,H1581)</f>
        <v>102</v>
      </c>
      <c r="J1581" s="1" t="str">
        <f aca="false">_xlfn.IFS(AND(F1581&gt;=8,G1581&gt;=8,H1581&gt;=8),"CHAMPION",AND(F1581&gt;=6,G1581&gt;=7,H1581&gt;=6),"LOYAL CUSTOMER",AND(F1581&gt;=6,G1581&gt;=5,H1581&gt;=5),"POTENTIAL LOYALIST",AND(F1581&gt;=8,G1581&lt;=2,H1581&gt;=5),"NEW CUSTOMERS",AND(F1581&gt;=6,G1581&lt;=2,H1581&gt;=3),"PROMISING",AND(F1581&gt;=3,G1581&gt;=3,H1581&gt;=3),"NEED ATTENTION",AND(F1581&lt;=4,G1581&gt;=6,H1581&gt;=6),"AT RISK",AND(F1581&lt;=2,G1581&gt;=8,H1581&gt;=8),"CAN'T LOSE THEM",AND(F1581&lt;=2,G1581&lt;=2,H1581&lt;=2),"HIBERNATING",TRUE(),"Other")</f>
        <v>HIBERNATING</v>
      </c>
      <c r="K1581" s="1" t="n">
        <f aca="false">RANK(E1581,$E$7:$E$4378)+COUNTIF($E$7:E1581,E1581)-1</f>
        <v>3584</v>
      </c>
    </row>
    <row r="1582" customFormat="false" ht="14.25" hidden="false" customHeight="true" outlineLevel="0" collapsed="false">
      <c r="A1582" s="51" t="n">
        <v>14477</v>
      </c>
      <c r="B1582" s="53" t="n">
        <v>40867.4659722222</v>
      </c>
      <c r="C1582" s="57" t="n">
        <f aca="false">INT($C$2)-INT(Table3[[#This Row],[Last Purchase Date]])</f>
        <v>20</v>
      </c>
      <c r="D1582" s="1" t="n">
        <v>5</v>
      </c>
      <c r="E1582" s="1" t="n">
        <v>1307.81</v>
      </c>
      <c r="F1582" s="1" t="n">
        <f aca="false">ROUND((1-_xlfn.PERCENTRANK.INC($C$7:$C$4378,C1582))*9,0)</f>
        <v>6</v>
      </c>
      <c r="G1582" s="1" t="n">
        <f aca="false">ROUND(_xlfn.PERCENTRANK.INC($D$7:$D$4378,D1582)*9,0)</f>
        <v>6</v>
      </c>
      <c r="H1582" s="1" t="n">
        <f aca="false">ROUND(_xlfn.PERCENTRANK.INC($E$7:$E$4378,E1582)*9,0)</f>
        <v>6</v>
      </c>
      <c r="I1582" s="1" t="str">
        <f aca="false">CONCATENATE(F1582,G1582,H1582)</f>
        <v>666</v>
      </c>
      <c r="J1582" s="1" t="str">
        <f aca="false">_xlfn.IFS(AND(F1582&gt;=8,G1582&gt;=8,H1582&gt;=8),"CHAMPION",AND(F1582&gt;=6,G1582&gt;=7,H1582&gt;=6),"LOYAL CUSTOMER",AND(F1582&gt;=6,G1582&gt;=5,H1582&gt;=5),"POTENTIAL LOYALIST",AND(F1582&gt;=8,G1582&lt;=2,H1582&gt;=5),"NEW CUSTOMERS",AND(F1582&gt;=6,G1582&lt;=2,H1582&gt;=3),"PROMISING",AND(F1582&gt;=3,G1582&gt;=3,H1582&gt;=3),"NEED ATTENTION",AND(F1582&lt;=4,G1582&gt;=6,H1582&gt;=6),"AT RISK",AND(F1582&lt;=2,G1582&gt;=8,H1582&gt;=8),"CAN'T LOSE THEM",AND(F1582&lt;=2,G1582&lt;=2,H1582&lt;=2),"HIBERNATING",TRUE(),"Other")</f>
        <v>POTENTIAL LOYALIST</v>
      </c>
      <c r="K1582" s="1" t="n">
        <f aca="false">RANK(E1582,$E$7:$E$4378)+COUNTIF($E$7:E1582,E1582)-1</f>
        <v>1319</v>
      </c>
    </row>
    <row r="1583" customFormat="false" ht="14.25" hidden="false" customHeight="true" outlineLevel="0" collapsed="false">
      <c r="A1583" s="51" t="n">
        <v>14479</v>
      </c>
      <c r="B1583" s="53" t="n">
        <v>40633.3798611111</v>
      </c>
      <c r="C1583" s="57" t="n">
        <f aca="false">INT($C$2)-INT(Table3[[#This Row],[Last Purchase Date]])</f>
        <v>254</v>
      </c>
      <c r="D1583" s="1" t="n">
        <v>2</v>
      </c>
      <c r="E1583" s="1" t="n">
        <v>316.25</v>
      </c>
      <c r="F1583" s="1" t="n">
        <f aca="false">ROUND((1-_xlfn.PERCENTRANK.INC($C$7:$C$4378,C1583))*9,0)</f>
        <v>1</v>
      </c>
      <c r="G1583" s="1" t="n">
        <f aca="false">ROUND(_xlfn.PERCENTRANK.INC($D$7:$D$4378,D1583)*9,0)</f>
        <v>3</v>
      </c>
      <c r="H1583" s="1" t="n">
        <f aca="false">ROUND(_xlfn.PERCENTRANK.INC($E$7:$E$4378,E1583)*9,0)</f>
        <v>3</v>
      </c>
      <c r="I1583" s="1" t="str">
        <f aca="false">CONCATENATE(F1583,G1583,H1583)</f>
        <v>133</v>
      </c>
      <c r="J1583" s="1" t="str">
        <f aca="false">_xlfn.IFS(AND(F1583&gt;=8,G1583&gt;=8,H1583&gt;=8),"CHAMPION",AND(F1583&gt;=6,G1583&gt;=7,H1583&gt;=6),"LOYAL CUSTOMER",AND(F1583&gt;=6,G1583&gt;=5,H1583&gt;=5),"POTENTIAL LOYALIST",AND(F1583&gt;=8,G1583&lt;=2,H1583&gt;=5),"NEW CUSTOMERS",AND(F1583&gt;=6,G1583&lt;=2,H1583&gt;=3),"PROMISING",AND(F1583&gt;=3,G1583&gt;=3,H1583&gt;=3),"NEED ATTENTION",AND(F1583&lt;=4,G1583&gt;=6,H1583&gt;=6),"AT RISK",AND(F1583&lt;=2,G1583&gt;=8,H1583&gt;=8),"CAN'T LOSE THEM",AND(F1583&lt;=2,G1583&lt;=2,H1583&lt;=2),"HIBERNATING",TRUE(),"Other")</f>
        <v>Other</v>
      </c>
      <c r="K1583" s="1" t="n">
        <f aca="false">RANK(E1583,$E$7:$E$4378)+COUNTIF($E$7:E1583,E1583)-1</f>
        <v>3159</v>
      </c>
    </row>
    <row r="1584" customFormat="false" ht="14.25" hidden="false" customHeight="true" outlineLevel="0" collapsed="false">
      <c r="A1584" s="51" t="n">
        <v>14480</v>
      </c>
      <c r="B1584" s="53" t="n">
        <v>40875.6909722222</v>
      </c>
      <c r="C1584" s="57" t="n">
        <f aca="false">INT($C$2)-INT(Table3[[#This Row],[Last Purchase Date]])</f>
        <v>12</v>
      </c>
      <c r="D1584" s="1" t="n">
        <v>1</v>
      </c>
      <c r="E1584" s="1" t="n">
        <v>279.05</v>
      </c>
      <c r="F1584" s="1" t="n">
        <f aca="false">ROUND((1-_xlfn.PERCENTRANK.INC($C$7:$C$4378,C1584))*9,0)</f>
        <v>7</v>
      </c>
      <c r="G1584" s="1" t="n">
        <f aca="false">ROUND(_xlfn.PERCENTRANK.INC($D$7:$D$4378,D1584)*9,0)</f>
        <v>0</v>
      </c>
      <c r="H1584" s="1" t="n">
        <f aca="false">ROUND(_xlfn.PERCENTRANK.INC($E$7:$E$4378,E1584)*9,0)</f>
        <v>2</v>
      </c>
      <c r="I1584" s="1" t="str">
        <f aca="false">CONCATENATE(F1584,G1584,H1584)</f>
        <v>702</v>
      </c>
      <c r="J1584" s="1" t="str">
        <f aca="false">_xlfn.IFS(AND(F1584&gt;=8,G1584&gt;=8,H1584&gt;=8),"CHAMPION",AND(F1584&gt;=6,G1584&gt;=7,H1584&gt;=6),"LOYAL CUSTOMER",AND(F1584&gt;=6,G1584&gt;=5,H1584&gt;=5),"POTENTIAL LOYALIST",AND(F1584&gt;=8,G1584&lt;=2,H1584&gt;=5),"NEW CUSTOMERS",AND(F1584&gt;=6,G1584&lt;=2,H1584&gt;=3),"PROMISING",AND(F1584&gt;=3,G1584&gt;=3,H1584&gt;=3),"NEED ATTENTION",AND(F1584&lt;=4,G1584&gt;=6,H1584&gt;=6),"AT RISK",AND(F1584&lt;=2,G1584&gt;=8,H1584&gt;=8),"CAN'T LOSE THEM",AND(F1584&lt;=2,G1584&lt;=2,H1584&lt;=2),"HIBERNATING",TRUE(),"Other")</f>
        <v>Other</v>
      </c>
      <c r="K1584" s="1" t="n">
        <f aca="false">RANK(E1584,$E$7:$E$4378)+COUNTIF($E$7:E1584,E1584)-1</f>
        <v>3330</v>
      </c>
    </row>
    <row r="1585" customFormat="false" ht="14.25" hidden="false" customHeight="true" outlineLevel="0" collapsed="false">
      <c r="A1585" s="51" t="n">
        <v>14481</v>
      </c>
      <c r="B1585" s="53" t="n">
        <v>40722.4430555556</v>
      </c>
      <c r="C1585" s="57" t="n">
        <f aca="false">INT($C$2)-INT(Table3[[#This Row],[Last Purchase Date]])</f>
        <v>165</v>
      </c>
      <c r="D1585" s="1" t="n">
        <v>2</v>
      </c>
      <c r="E1585" s="1" t="n">
        <v>636.51</v>
      </c>
      <c r="F1585" s="1" t="n">
        <f aca="false">ROUND((1-_xlfn.PERCENTRANK.INC($C$7:$C$4378,C1585))*9,0)</f>
        <v>2</v>
      </c>
      <c r="G1585" s="1" t="n">
        <f aca="false">ROUND(_xlfn.PERCENTRANK.INC($D$7:$D$4378,D1585)*9,0)</f>
        <v>3</v>
      </c>
      <c r="H1585" s="1" t="n">
        <f aca="false">ROUND(_xlfn.PERCENTRANK.INC($E$7:$E$4378,E1585)*9,0)</f>
        <v>4</v>
      </c>
      <c r="I1585" s="1" t="str">
        <f aca="false">CONCATENATE(F1585,G1585,H1585)</f>
        <v>234</v>
      </c>
      <c r="J1585" s="1" t="str">
        <f aca="false">_xlfn.IFS(AND(F1585&gt;=8,G1585&gt;=8,H1585&gt;=8),"CHAMPION",AND(F1585&gt;=6,G1585&gt;=7,H1585&gt;=6),"LOYAL CUSTOMER",AND(F1585&gt;=6,G1585&gt;=5,H1585&gt;=5),"POTENTIAL LOYALIST",AND(F1585&gt;=8,G1585&lt;=2,H1585&gt;=5),"NEW CUSTOMERS",AND(F1585&gt;=6,G1585&lt;=2,H1585&gt;=3),"PROMISING",AND(F1585&gt;=3,G1585&gt;=3,H1585&gt;=3),"NEED ATTENTION",AND(F1585&lt;=4,G1585&gt;=6,H1585&gt;=6),"AT RISK",AND(F1585&lt;=2,G1585&gt;=8,H1585&gt;=8),"CAN'T LOSE THEM",AND(F1585&lt;=2,G1585&lt;=2,H1585&lt;=2),"HIBERNATING",TRUE(),"Other")</f>
        <v>Other</v>
      </c>
      <c r="K1585" s="1" t="n">
        <f aca="false">RANK(E1585,$E$7:$E$4378)+COUNTIF($E$7:E1585,E1585)-1</f>
        <v>2216</v>
      </c>
    </row>
    <row r="1586" customFormat="false" ht="14.25" hidden="false" customHeight="true" outlineLevel="0" collapsed="false">
      <c r="A1586" s="51" t="n">
        <v>14482</v>
      </c>
      <c r="B1586" s="53" t="n">
        <v>40868.5513888889</v>
      </c>
      <c r="C1586" s="57" t="n">
        <f aca="false">INT($C$2)-INT(Table3[[#This Row],[Last Purchase Date]])</f>
        <v>19</v>
      </c>
      <c r="D1586" s="1" t="n">
        <v>6</v>
      </c>
      <c r="E1586" s="1" t="n">
        <v>2068.15</v>
      </c>
      <c r="F1586" s="1" t="n">
        <f aca="false">ROUND((1-_xlfn.PERCENTRANK.INC($C$7:$C$4378,C1586))*9,0)</f>
        <v>7</v>
      </c>
      <c r="G1586" s="1" t="n">
        <f aca="false">ROUND(_xlfn.PERCENTRANK.INC($D$7:$D$4378,D1586)*9,0)</f>
        <v>7</v>
      </c>
      <c r="H1586" s="1" t="n">
        <f aca="false">ROUND(_xlfn.PERCENTRANK.INC($E$7:$E$4378,E1586)*9,0)</f>
        <v>7</v>
      </c>
      <c r="I1586" s="1" t="str">
        <f aca="false">CONCATENATE(F1586,G1586,H1586)</f>
        <v>777</v>
      </c>
      <c r="J1586" s="1" t="str">
        <f aca="false">_xlfn.IFS(AND(F1586&gt;=8,G1586&gt;=8,H1586&gt;=8),"CHAMPION",AND(F1586&gt;=6,G1586&gt;=7,H1586&gt;=6),"LOYAL CUSTOMER",AND(F1586&gt;=6,G1586&gt;=5,H1586&gt;=5),"POTENTIAL LOYALIST",AND(F1586&gt;=8,G1586&lt;=2,H1586&gt;=5),"NEW CUSTOMERS",AND(F1586&gt;=6,G1586&lt;=2,H1586&gt;=3),"PROMISING",AND(F1586&gt;=3,G1586&gt;=3,H1586&gt;=3),"NEED ATTENTION",AND(F1586&lt;=4,G1586&gt;=6,H1586&gt;=6),"AT RISK",AND(F1586&lt;=2,G1586&gt;=8,H1586&gt;=8),"CAN'T LOSE THEM",AND(F1586&lt;=2,G1586&lt;=2,H1586&lt;=2),"HIBERNATING",TRUE(),"Other")</f>
        <v>LOYAL CUSTOMER</v>
      </c>
      <c r="K1586" s="1" t="n">
        <f aca="false">RANK(E1586,$E$7:$E$4378)+COUNTIF($E$7:E1586,E1586)-1</f>
        <v>840</v>
      </c>
    </row>
    <row r="1587" customFormat="false" ht="14.25" hidden="false" customHeight="true" outlineLevel="0" collapsed="false">
      <c r="A1587" s="51" t="n">
        <v>14483</v>
      </c>
      <c r="B1587" s="53" t="n">
        <v>40737.40625</v>
      </c>
      <c r="C1587" s="57" t="n">
        <f aca="false">INT($C$2)-INT(Table3[[#This Row],[Last Purchase Date]])</f>
        <v>150</v>
      </c>
      <c r="D1587" s="1" t="n">
        <v>2</v>
      </c>
      <c r="E1587" s="1" t="n">
        <v>129.2</v>
      </c>
      <c r="F1587" s="1" t="n">
        <f aca="false">ROUND((1-_xlfn.PERCENTRANK.INC($C$7:$C$4378,C1587))*9,0)</f>
        <v>2</v>
      </c>
      <c r="G1587" s="1" t="n">
        <f aca="false">ROUND(_xlfn.PERCENTRANK.INC($D$7:$D$4378,D1587)*9,0)</f>
        <v>3</v>
      </c>
      <c r="H1587" s="1" t="n">
        <f aca="false">ROUND(_xlfn.PERCENTRANK.INC($E$7:$E$4378,E1587)*9,0)</f>
        <v>1</v>
      </c>
      <c r="I1587" s="1" t="str">
        <f aca="false">CONCATENATE(F1587,G1587,H1587)</f>
        <v>231</v>
      </c>
      <c r="J1587" s="1" t="str">
        <f aca="false">_xlfn.IFS(AND(F1587&gt;=8,G1587&gt;=8,H1587&gt;=8),"CHAMPION",AND(F1587&gt;=6,G1587&gt;=7,H1587&gt;=6),"LOYAL CUSTOMER",AND(F1587&gt;=6,G1587&gt;=5,H1587&gt;=5),"POTENTIAL LOYALIST",AND(F1587&gt;=8,G1587&lt;=2,H1587&gt;=5),"NEW CUSTOMERS",AND(F1587&gt;=6,G1587&lt;=2,H1587&gt;=3),"PROMISING",AND(F1587&gt;=3,G1587&gt;=3,H1587&gt;=3),"NEED ATTENTION",AND(F1587&lt;=4,G1587&gt;=6,H1587&gt;=6),"AT RISK",AND(F1587&lt;=2,G1587&gt;=8,H1587&gt;=8),"CAN'T LOSE THEM",AND(F1587&lt;=2,G1587&lt;=2,H1587&lt;=2),"HIBERNATING",TRUE(),"Other")</f>
        <v>Other</v>
      </c>
      <c r="K1587" s="1" t="n">
        <f aca="false">RANK(E1587,$E$7:$E$4378)+COUNTIF($E$7:E1587,E1587)-1</f>
        <v>4009</v>
      </c>
    </row>
    <row r="1588" customFormat="false" ht="14.25" hidden="false" customHeight="true" outlineLevel="0" collapsed="false">
      <c r="A1588" s="51" t="n">
        <v>14484</v>
      </c>
      <c r="B1588" s="53" t="n">
        <v>40836.5909722222</v>
      </c>
      <c r="C1588" s="57" t="n">
        <f aca="false">INT($C$2)-INT(Table3[[#This Row],[Last Purchase Date]])</f>
        <v>51</v>
      </c>
      <c r="D1588" s="1" t="n">
        <v>1</v>
      </c>
      <c r="E1588" s="1" t="n">
        <v>321.92</v>
      </c>
      <c r="F1588" s="1" t="n">
        <f aca="false">ROUND((1-_xlfn.PERCENTRANK.INC($C$7:$C$4378,C1588))*9,0)</f>
        <v>5</v>
      </c>
      <c r="G1588" s="1" t="n">
        <f aca="false">ROUND(_xlfn.PERCENTRANK.INC($D$7:$D$4378,D1588)*9,0)</f>
        <v>0</v>
      </c>
      <c r="H1588" s="1" t="n">
        <f aca="false">ROUND(_xlfn.PERCENTRANK.INC($E$7:$E$4378,E1588)*9,0)</f>
        <v>3</v>
      </c>
      <c r="I1588" s="1" t="str">
        <f aca="false">CONCATENATE(F1588,G1588,H1588)</f>
        <v>503</v>
      </c>
      <c r="J1588" s="1" t="str">
        <f aca="false">_xlfn.IFS(AND(F1588&gt;=8,G1588&gt;=8,H1588&gt;=8),"CHAMPION",AND(F1588&gt;=6,G1588&gt;=7,H1588&gt;=6),"LOYAL CUSTOMER",AND(F1588&gt;=6,G1588&gt;=5,H1588&gt;=5),"POTENTIAL LOYALIST",AND(F1588&gt;=8,G1588&lt;=2,H1588&gt;=5),"NEW CUSTOMERS",AND(F1588&gt;=6,G1588&lt;=2,H1588&gt;=3),"PROMISING",AND(F1588&gt;=3,G1588&gt;=3,H1588&gt;=3),"NEED ATTENTION",AND(F1588&lt;=4,G1588&gt;=6,H1588&gt;=6),"AT RISK",AND(F1588&lt;=2,G1588&gt;=8,H1588&gt;=8),"CAN'T LOSE THEM",AND(F1588&lt;=2,G1588&lt;=2,H1588&lt;=2),"HIBERNATING",TRUE(),"Other")</f>
        <v>Other</v>
      </c>
      <c r="K1588" s="1" t="n">
        <f aca="false">RANK(E1588,$E$7:$E$4378)+COUNTIF($E$7:E1588,E1588)-1</f>
        <v>3130</v>
      </c>
    </row>
    <row r="1589" customFormat="false" ht="14.25" hidden="false" customHeight="true" outlineLevel="0" collapsed="false">
      <c r="A1589" s="51" t="n">
        <v>14485</v>
      </c>
      <c r="B1589" s="53" t="n">
        <v>40848.5173611111</v>
      </c>
      <c r="C1589" s="57" t="n">
        <f aca="false">INT($C$2)-INT(Table3[[#This Row],[Last Purchase Date]])</f>
        <v>39</v>
      </c>
      <c r="D1589" s="1" t="n">
        <v>1</v>
      </c>
      <c r="E1589" s="1" t="n">
        <v>165.75</v>
      </c>
      <c r="F1589" s="1" t="n">
        <f aca="false">ROUND((1-_xlfn.PERCENTRANK.INC($C$7:$C$4378,C1589))*9,0)</f>
        <v>5</v>
      </c>
      <c r="G1589" s="1" t="n">
        <f aca="false">ROUND(_xlfn.PERCENTRANK.INC($D$7:$D$4378,D1589)*9,0)</f>
        <v>0</v>
      </c>
      <c r="H1589" s="1" t="n">
        <f aca="false">ROUND(_xlfn.PERCENTRANK.INC($E$7:$E$4378,E1589)*9,0)</f>
        <v>1</v>
      </c>
      <c r="I1589" s="1" t="str">
        <f aca="false">CONCATENATE(F1589,G1589,H1589)</f>
        <v>501</v>
      </c>
      <c r="J1589" s="1" t="str">
        <f aca="false">_xlfn.IFS(AND(F1589&gt;=8,G1589&gt;=8,H1589&gt;=8),"CHAMPION",AND(F1589&gt;=6,G1589&gt;=7,H1589&gt;=6),"LOYAL CUSTOMER",AND(F1589&gt;=6,G1589&gt;=5,H1589&gt;=5),"POTENTIAL LOYALIST",AND(F1589&gt;=8,G1589&lt;=2,H1589&gt;=5),"NEW CUSTOMERS",AND(F1589&gt;=6,G1589&lt;=2,H1589&gt;=3),"PROMISING",AND(F1589&gt;=3,G1589&gt;=3,H1589&gt;=3),"NEED ATTENTION",AND(F1589&lt;=4,G1589&gt;=6,H1589&gt;=6),"AT RISK",AND(F1589&lt;=2,G1589&gt;=8,H1589&gt;=8),"CAN'T LOSE THEM",AND(F1589&lt;=2,G1589&lt;=2,H1589&lt;=2),"HIBERNATING",TRUE(),"Other")</f>
        <v>Other</v>
      </c>
      <c r="K1589" s="1" t="n">
        <f aca="false">RANK(E1589,$E$7:$E$4378)+COUNTIF($E$7:E1589,E1589)-1</f>
        <v>3828</v>
      </c>
    </row>
    <row r="1590" customFormat="false" ht="14.25" hidden="false" customHeight="true" outlineLevel="0" collapsed="false">
      <c r="A1590" s="51" t="n">
        <v>14487</v>
      </c>
      <c r="B1590" s="53" t="n">
        <v>40860.5118055556</v>
      </c>
      <c r="C1590" s="57" t="n">
        <f aca="false">INT($C$2)-INT(Table3[[#This Row],[Last Purchase Date]])</f>
        <v>27</v>
      </c>
      <c r="D1590" s="1" t="n">
        <v>7</v>
      </c>
      <c r="E1590" s="1" t="n">
        <v>1183.58</v>
      </c>
      <c r="F1590" s="1" t="n">
        <f aca="false">ROUND((1-_xlfn.PERCENTRANK.INC($C$7:$C$4378,C1590))*9,0)</f>
        <v>6</v>
      </c>
      <c r="G1590" s="1" t="n">
        <f aca="false">ROUND(_xlfn.PERCENTRANK.INC($D$7:$D$4378,D1590)*9,0)</f>
        <v>7</v>
      </c>
      <c r="H1590" s="1" t="n">
        <f aca="false">ROUND(_xlfn.PERCENTRANK.INC($E$7:$E$4378,E1590)*9,0)</f>
        <v>6</v>
      </c>
      <c r="I1590" s="1" t="str">
        <f aca="false">CONCATENATE(F1590,G1590,H1590)</f>
        <v>676</v>
      </c>
      <c r="J1590" s="1" t="str">
        <f aca="false">_xlfn.IFS(AND(F1590&gt;=8,G1590&gt;=8,H1590&gt;=8),"CHAMPION",AND(F1590&gt;=6,G1590&gt;=7,H1590&gt;=6),"LOYAL CUSTOMER",AND(F1590&gt;=6,G1590&gt;=5,H1590&gt;=5),"POTENTIAL LOYALIST",AND(F1590&gt;=8,G1590&lt;=2,H1590&gt;=5),"NEW CUSTOMERS",AND(F1590&gt;=6,G1590&lt;=2,H1590&gt;=3),"PROMISING",AND(F1590&gt;=3,G1590&gt;=3,H1590&gt;=3),"NEED ATTENTION",AND(F1590&lt;=4,G1590&gt;=6,H1590&gt;=6),"AT RISK",AND(F1590&lt;=2,G1590&gt;=8,H1590&gt;=8),"CAN'T LOSE THEM",AND(F1590&lt;=2,G1590&lt;=2,H1590&lt;=2),"HIBERNATING",TRUE(),"Other")</f>
        <v>LOYAL CUSTOMER</v>
      </c>
      <c r="K1590" s="1" t="n">
        <f aca="false">RANK(E1590,$E$7:$E$4378)+COUNTIF($E$7:E1590,E1590)-1</f>
        <v>1424</v>
      </c>
    </row>
    <row r="1591" customFormat="false" ht="14.25" hidden="false" customHeight="true" outlineLevel="0" collapsed="false">
      <c r="A1591" s="51" t="n">
        <v>14488</v>
      </c>
      <c r="B1591" s="53" t="n">
        <v>40835.6104166667</v>
      </c>
      <c r="C1591" s="57" t="n">
        <f aca="false">INT($C$2)-INT(Table3[[#This Row],[Last Purchase Date]])</f>
        <v>52</v>
      </c>
      <c r="D1591" s="1" t="n">
        <v>2</v>
      </c>
      <c r="E1591" s="1" t="n">
        <v>1047.43</v>
      </c>
      <c r="F1591" s="1" t="n">
        <f aca="false">ROUND((1-_xlfn.PERCENTRANK.INC($C$7:$C$4378,C1591))*9,0)</f>
        <v>4</v>
      </c>
      <c r="G1591" s="1" t="n">
        <f aca="false">ROUND(_xlfn.PERCENTRANK.INC($D$7:$D$4378,D1591)*9,0)</f>
        <v>3</v>
      </c>
      <c r="H1591" s="1" t="n">
        <f aca="false">ROUND(_xlfn.PERCENTRANK.INC($E$7:$E$4378,E1591)*9,0)</f>
        <v>6</v>
      </c>
      <c r="I1591" s="1" t="str">
        <f aca="false">CONCATENATE(F1591,G1591,H1591)</f>
        <v>436</v>
      </c>
      <c r="J1591" s="1" t="str">
        <f aca="false">_xlfn.IFS(AND(F1591&gt;=8,G1591&gt;=8,H1591&gt;=8),"CHAMPION",AND(F1591&gt;=6,G1591&gt;=7,H1591&gt;=6),"LOYAL CUSTOMER",AND(F1591&gt;=6,G1591&gt;=5,H1591&gt;=5),"POTENTIAL LOYALIST",AND(F1591&gt;=8,G1591&lt;=2,H1591&gt;=5),"NEW CUSTOMERS",AND(F1591&gt;=6,G1591&lt;=2,H1591&gt;=3),"PROMISING",AND(F1591&gt;=3,G1591&gt;=3,H1591&gt;=3),"NEED ATTENTION",AND(F1591&lt;=4,G1591&gt;=6,H1591&gt;=6),"AT RISK",AND(F1591&lt;=2,G1591&gt;=8,H1591&gt;=8),"CAN'T LOSE THEM",AND(F1591&lt;=2,G1591&lt;=2,H1591&lt;=2),"HIBERNATING",TRUE(),"Other")</f>
        <v>NEED ATTENTION</v>
      </c>
      <c r="K1591" s="1" t="n">
        <f aca="false">RANK(E1591,$E$7:$E$4378)+COUNTIF($E$7:E1591,E1591)-1</f>
        <v>1567</v>
      </c>
    </row>
    <row r="1592" customFormat="false" ht="14.25" hidden="false" customHeight="true" outlineLevel="0" collapsed="false">
      <c r="A1592" s="51" t="n">
        <v>14489</v>
      </c>
      <c r="B1592" s="53" t="n">
        <v>40679.61875</v>
      </c>
      <c r="C1592" s="57" t="n">
        <f aca="false">INT($C$2)-INT(Table3[[#This Row],[Last Purchase Date]])</f>
        <v>208</v>
      </c>
      <c r="D1592" s="1" t="n">
        <v>1</v>
      </c>
      <c r="E1592" s="1" t="n">
        <v>463.38</v>
      </c>
      <c r="F1592" s="1" t="n">
        <f aca="false">ROUND((1-_xlfn.PERCENTRANK.INC($C$7:$C$4378,C1592))*9,0)</f>
        <v>1</v>
      </c>
      <c r="G1592" s="1" t="n">
        <f aca="false">ROUND(_xlfn.PERCENTRANK.INC($D$7:$D$4378,D1592)*9,0)</f>
        <v>0</v>
      </c>
      <c r="H1592" s="1" t="n">
        <f aca="false">ROUND(_xlfn.PERCENTRANK.INC($E$7:$E$4378,E1592)*9,0)</f>
        <v>4</v>
      </c>
      <c r="I1592" s="1" t="str">
        <f aca="false">CONCATENATE(F1592,G1592,H1592)</f>
        <v>104</v>
      </c>
      <c r="J1592" s="1" t="str">
        <f aca="false">_xlfn.IFS(AND(F1592&gt;=8,G1592&gt;=8,H1592&gt;=8),"CHAMPION",AND(F1592&gt;=6,G1592&gt;=7,H1592&gt;=6),"LOYAL CUSTOMER",AND(F1592&gt;=6,G1592&gt;=5,H1592&gt;=5),"POTENTIAL LOYALIST",AND(F1592&gt;=8,G1592&lt;=2,H1592&gt;=5),"NEW CUSTOMERS",AND(F1592&gt;=6,G1592&lt;=2,H1592&gt;=3),"PROMISING",AND(F1592&gt;=3,G1592&gt;=3,H1592&gt;=3),"NEED ATTENTION",AND(F1592&lt;=4,G1592&gt;=6,H1592&gt;=6),"AT RISK",AND(F1592&lt;=2,G1592&gt;=8,H1592&gt;=8),"CAN'T LOSE THEM",AND(F1592&lt;=2,G1592&lt;=2,H1592&lt;=2),"HIBERNATING",TRUE(),"Other")</f>
        <v>Other</v>
      </c>
      <c r="K1592" s="1" t="n">
        <f aca="false">RANK(E1592,$E$7:$E$4378)+COUNTIF($E$7:E1592,E1592)-1</f>
        <v>2631</v>
      </c>
    </row>
    <row r="1593" customFormat="false" ht="14.25" hidden="false" customHeight="true" outlineLevel="0" collapsed="false">
      <c r="A1593" s="51" t="n">
        <v>14491</v>
      </c>
      <c r="B1593" s="53" t="n">
        <v>40711.6402777778</v>
      </c>
      <c r="C1593" s="57" t="n">
        <f aca="false">INT($C$2)-INT(Table3[[#This Row],[Last Purchase Date]])</f>
        <v>176</v>
      </c>
      <c r="D1593" s="1" t="n">
        <v>2</v>
      </c>
      <c r="E1593" s="1" t="n">
        <v>340.93</v>
      </c>
      <c r="F1593" s="1" t="n">
        <f aca="false">ROUND((1-_xlfn.PERCENTRANK.INC($C$7:$C$4378,C1593))*9,0)</f>
        <v>2</v>
      </c>
      <c r="G1593" s="1" t="n">
        <f aca="false">ROUND(_xlfn.PERCENTRANK.INC($D$7:$D$4378,D1593)*9,0)</f>
        <v>3</v>
      </c>
      <c r="H1593" s="1" t="n">
        <f aca="false">ROUND(_xlfn.PERCENTRANK.INC($E$7:$E$4378,E1593)*9,0)</f>
        <v>3</v>
      </c>
      <c r="I1593" s="1" t="str">
        <f aca="false">CONCATENATE(F1593,G1593,H1593)</f>
        <v>233</v>
      </c>
      <c r="J1593" s="1" t="str">
        <f aca="false">_xlfn.IFS(AND(F1593&gt;=8,G1593&gt;=8,H1593&gt;=8),"CHAMPION",AND(F1593&gt;=6,G1593&gt;=7,H1593&gt;=6),"LOYAL CUSTOMER",AND(F1593&gt;=6,G1593&gt;=5,H1593&gt;=5),"POTENTIAL LOYALIST",AND(F1593&gt;=8,G1593&lt;=2,H1593&gt;=5),"NEW CUSTOMERS",AND(F1593&gt;=6,G1593&lt;=2,H1593&gt;=3),"PROMISING",AND(F1593&gt;=3,G1593&gt;=3,H1593&gt;=3),"NEED ATTENTION",AND(F1593&lt;=4,G1593&gt;=6,H1593&gt;=6),"AT RISK",AND(F1593&lt;=2,G1593&gt;=8,H1593&gt;=8),"CAN'T LOSE THEM",AND(F1593&lt;=2,G1593&lt;=2,H1593&lt;=2),"HIBERNATING",TRUE(),"Other")</f>
        <v>Other</v>
      </c>
      <c r="K1593" s="1" t="n">
        <f aca="false">RANK(E1593,$E$7:$E$4378)+COUNTIF($E$7:E1593,E1593)-1</f>
        <v>3049</v>
      </c>
    </row>
    <row r="1594" customFormat="false" ht="14.25" hidden="false" customHeight="true" outlineLevel="0" collapsed="false">
      <c r="A1594" s="51" t="n">
        <v>14493</v>
      </c>
      <c r="B1594" s="53" t="n">
        <v>40879.6763888889</v>
      </c>
      <c r="C1594" s="57" t="n">
        <f aca="false">INT($C$2)-INT(Table3[[#This Row],[Last Purchase Date]])</f>
        <v>8</v>
      </c>
      <c r="D1594" s="1" t="n">
        <v>7</v>
      </c>
      <c r="E1594" s="1" t="n">
        <v>2362.84</v>
      </c>
      <c r="F1594" s="1" t="n">
        <f aca="false">ROUND((1-_xlfn.PERCENTRANK.INC($C$7:$C$4378,C1594))*9,0)</f>
        <v>8</v>
      </c>
      <c r="G1594" s="1" t="n">
        <f aca="false">ROUND(_xlfn.PERCENTRANK.INC($D$7:$D$4378,D1594)*9,0)</f>
        <v>7</v>
      </c>
      <c r="H1594" s="1" t="n">
        <f aca="false">ROUND(_xlfn.PERCENTRANK.INC($E$7:$E$4378,E1594)*9,0)</f>
        <v>8</v>
      </c>
      <c r="I1594" s="1" t="str">
        <f aca="false">CONCATENATE(F1594,G1594,H1594)</f>
        <v>878</v>
      </c>
      <c r="J1594" s="1" t="str">
        <f aca="false">_xlfn.IFS(AND(F1594&gt;=8,G1594&gt;=8,H1594&gt;=8),"CHAMPION",AND(F1594&gt;=6,G1594&gt;=7,H1594&gt;=6),"LOYAL CUSTOMER",AND(F1594&gt;=6,G1594&gt;=5,H1594&gt;=5),"POTENTIAL LOYALIST",AND(F1594&gt;=8,G1594&lt;=2,H1594&gt;=5),"NEW CUSTOMERS",AND(F1594&gt;=6,G1594&lt;=2,H1594&gt;=3),"PROMISING",AND(F1594&gt;=3,G1594&gt;=3,H1594&gt;=3),"NEED ATTENTION",AND(F1594&lt;=4,G1594&gt;=6,H1594&gt;=6),"AT RISK",AND(F1594&lt;=2,G1594&gt;=8,H1594&gt;=8),"CAN'T LOSE THEM",AND(F1594&lt;=2,G1594&lt;=2,H1594&lt;=2),"HIBERNATING",TRUE(),"Other")</f>
        <v>LOYAL CUSTOMER</v>
      </c>
      <c r="K1594" s="1" t="n">
        <f aca="false">RANK(E1594,$E$7:$E$4378)+COUNTIF($E$7:E1594,E1594)-1</f>
        <v>720</v>
      </c>
    </row>
    <row r="1595" customFormat="false" ht="14.25" hidden="false" customHeight="true" outlineLevel="0" collapsed="false">
      <c r="A1595" s="51" t="n">
        <v>14494</v>
      </c>
      <c r="B1595" s="53" t="n">
        <v>40861.3895833333</v>
      </c>
      <c r="C1595" s="57" t="n">
        <f aca="false">INT($C$2)-INT(Table3[[#This Row],[Last Purchase Date]])</f>
        <v>26</v>
      </c>
      <c r="D1595" s="1" t="n">
        <v>1</v>
      </c>
      <c r="E1595" s="1" t="n">
        <v>139.56</v>
      </c>
      <c r="F1595" s="1" t="n">
        <f aca="false">ROUND((1-_xlfn.PERCENTRANK.INC($C$7:$C$4378,C1595))*9,0)</f>
        <v>6</v>
      </c>
      <c r="G1595" s="1" t="n">
        <f aca="false">ROUND(_xlfn.PERCENTRANK.INC($D$7:$D$4378,D1595)*9,0)</f>
        <v>0</v>
      </c>
      <c r="H1595" s="1" t="n">
        <f aca="false">ROUND(_xlfn.PERCENTRANK.INC($E$7:$E$4378,E1595)*9,0)</f>
        <v>1</v>
      </c>
      <c r="I1595" s="1" t="str">
        <f aca="false">CONCATENATE(F1595,G1595,H1595)</f>
        <v>601</v>
      </c>
      <c r="J1595" s="1" t="str">
        <f aca="false">_xlfn.IFS(AND(F1595&gt;=8,G1595&gt;=8,H1595&gt;=8),"CHAMPION",AND(F1595&gt;=6,G1595&gt;=7,H1595&gt;=6),"LOYAL CUSTOMER",AND(F1595&gt;=6,G1595&gt;=5,H1595&gt;=5),"POTENTIAL LOYALIST",AND(F1595&gt;=8,G1595&lt;=2,H1595&gt;=5),"NEW CUSTOMERS",AND(F1595&gt;=6,G1595&lt;=2,H1595&gt;=3),"PROMISING",AND(F1595&gt;=3,G1595&gt;=3,H1595&gt;=3),"NEED ATTENTION",AND(F1595&lt;=4,G1595&gt;=6,H1595&gt;=6),"AT RISK",AND(F1595&lt;=2,G1595&gt;=8,H1595&gt;=8),"CAN'T LOSE THEM",AND(F1595&lt;=2,G1595&lt;=2,H1595&lt;=2),"HIBERNATING",TRUE(),"Other")</f>
        <v>Other</v>
      </c>
      <c r="K1595" s="1" t="n">
        <f aca="false">RANK(E1595,$E$7:$E$4378)+COUNTIF($E$7:E1595,E1595)-1</f>
        <v>3957</v>
      </c>
    </row>
    <row r="1596" customFormat="false" ht="14.25" hidden="false" customHeight="true" outlineLevel="0" collapsed="false">
      <c r="A1596" s="51" t="n">
        <v>14495</v>
      </c>
      <c r="B1596" s="53" t="n">
        <v>40836.5194444444</v>
      </c>
      <c r="C1596" s="57" t="n">
        <f aca="false">INT($C$2)-INT(Table3[[#This Row],[Last Purchase Date]])</f>
        <v>51</v>
      </c>
      <c r="D1596" s="1" t="n">
        <v>2</v>
      </c>
      <c r="E1596" s="1" t="n">
        <v>123.8</v>
      </c>
      <c r="F1596" s="1" t="n">
        <f aca="false">ROUND((1-_xlfn.PERCENTRANK.INC($C$7:$C$4378,C1596))*9,0)</f>
        <v>5</v>
      </c>
      <c r="G1596" s="1" t="n">
        <f aca="false">ROUND(_xlfn.PERCENTRANK.INC($D$7:$D$4378,D1596)*9,0)</f>
        <v>3</v>
      </c>
      <c r="H1596" s="1" t="n">
        <f aca="false">ROUND(_xlfn.PERCENTRANK.INC($E$7:$E$4378,E1596)*9,0)</f>
        <v>1</v>
      </c>
      <c r="I1596" s="1" t="str">
        <f aca="false">CONCATENATE(F1596,G1596,H1596)</f>
        <v>531</v>
      </c>
      <c r="J1596" s="1" t="str">
        <f aca="false">_xlfn.IFS(AND(F1596&gt;=8,G1596&gt;=8,H1596&gt;=8),"CHAMPION",AND(F1596&gt;=6,G1596&gt;=7,H1596&gt;=6),"LOYAL CUSTOMER",AND(F1596&gt;=6,G1596&gt;=5,H1596&gt;=5),"POTENTIAL LOYALIST",AND(F1596&gt;=8,G1596&lt;=2,H1596&gt;=5),"NEW CUSTOMERS",AND(F1596&gt;=6,G1596&lt;=2,H1596&gt;=3),"PROMISING",AND(F1596&gt;=3,G1596&gt;=3,H1596&gt;=3),"NEED ATTENTION",AND(F1596&lt;=4,G1596&gt;=6,H1596&gt;=6),"AT RISK",AND(F1596&lt;=2,G1596&gt;=8,H1596&gt;=8),"CAN'T LOSE THEM",AND(F1596&lt;=2,G1596&lt;=2,H1596&lt;=2),"HIBERNATING",TRUE(),"Other")</f>
        <v>Other</v>
      </c>
      <c r="K1596" s="1" t="n">
        <f aca="false">RANK(E1596,$E$7:$E$4378)+COUNTIF($E$7:E1596,E1596)-1</f>
        <v>4032</v>
      </c>
    </row>
    <row r="1597" customFormat="false" ht="14.25" hidden="false" customHeight="true" outlineLevel="0" collapsed="false">
      <c r="A1597" s="51" t="n">
        <v>14496</v>
      </c>
      <c r="B1597" s="53" t="n">
        <v>40575.3756944445</v>
      </c>
      <c r="C1597" s="57" t="n">
        <f aca="false">INT($C$2)-INT(Table3[[#This Row],[Last Purchase Date]])</f>
        <v>312</v>
      </c>
      <c r="D1597" s="1" t="n">
        <v>2</v>
      </c>
      <c r="E1597" s="1" t="n">
        <v>538.81</v>
      </c>
      <c r="F1597" s="1" t="n">
        <f aca="false">ROUND((1-_xlfn.PERCENTRANK.INC($C$7:$C$4378,C1597))*9,0)</f>
        <v>0</v>
      </c>
      <c r="G1597" s="1" t="n">
        <f aca="false">ROUND(_xlfn.PERCENTRANK.INC($D$7:$D$4378,D1597)*9,0)</f>
        <v>3</v>
      </c>
      <c r="H1597" s="1" t="n">
        <f aca="false">ROUND(_xlfn.PERCENTRANK.INC($E$7:$E$4378,E1597)*9,0)</f>
        <v>4</v>
      </c>
      <c r="I1597" s="1" t="str">
        <f aca="false">CONCATENATE(F1597,G1597,H1597)</f>
        <v>034</v>
      </c>
      <c r="J1597" s="1" t="str">
        <f aca="false">_xlfn.IFS(AND(F1597&gt;=8,G1597&gt;=8,H1597&gt;=8),"CHAMPION",AND(F1597&gt;=6,G1597&gt;=7,H1597&gt;=6),"LOYAL CUSTOMER",AND(F1597&gt;=6,G1597&gt;=5,H1597&gt;=5),"POTENTIAL LOYALIST",AND(F1597&gt;=8,G1597&lt;=2,H1597&gt;=5),"NEW CUSTOMERS",AND(F1597&gt;=6,G1597&lt;=2,H1597&gt;=3),"PROMISING",AND(F1597&gt;=3,G1597&gt;=3,H1597&gt;=3),"NEED ATTENTION",AND(F1597&lt;=4,G1597&gt;=6,H1597&gt;=6),"AT RISK",AND(F1597&lt;=2,G1597&gt;=8,H1597&gt;=8),"CAN'T LOSE THEM",AND(F1597&lt;=2,G1597&lt;=2,H1597&lt;=2),"HIBERNATING",TRUE(),"Other")</f>
        <v>Other</v>
      </c>
      <c r="K1597" s="1" t="n">
        <f aca="false">RANK(E1597,$E$7:$E$4378)+COUNTIF($E$7:E1597,E1597)-1</f>
        <v>2456</v>
      </c>
    </row>
    <row r="1598" customFormat="false" ht="14.25" hidden="false" customHeight="true" outlineLevel="0" collapsed="false">
      <c r="A1598" s="51" t="n">
        <v>14497</v>
      </c>
      <c r="B1598" s="53" t="n">
        <v>40585.6388888889</v>
      </c>
      <c r="C1598" s="57" t="n">
        <f aca="false">INT($C$2)-INT(Table3[[#This Row],[Last Purchase Date]])</f>
        <v>302</v>
      </c>
      <c r="D1598" s="1" t="n">
        <v>2</v>
      </c>
      <c r="E1598" s="1" t="n">
        <v>457.47</v>
      </c>
      <c r="F1598" s="1" t="n">
        <f aca="false">ROUND((1-_xlfn.PERCENTRANK.INC($C$7:$C$4378,C1598))*9,0)</f>
        <v>1</v>
      </c>
      <c r="G1598" s="1" t="n">
        <f aca="false">ROUND(_xlfn.PERCENTRANK.INC($D$7:$D$4378,D1598)*9,0)</f>
        <v>3</v>
      </c>
      <c r="H1598" s="1" t="n">
        <f aca="false">ROUND(_xlfn.PERCENTRANK.INC($E$7:$E$4378,E1598)*9,0)</f>
        <v>4</v>
      </c>
      <c r="I1598" s="1" t="str">
        <f aca="false">CONCATENATE(F1598,G1598,H1598)</f>
        <v>134</v>
      </c>
      <c r="J1598" s="1" t="str">
        <f aca="false">_xlfn.IFS(AND(F1598&gt;=8,G1598&gt;=8,H1598&gt;=8),"CHAMPION",AND(F1598&gt;=6,G1598&gt;=7,H1598&gt;=6),"LOYAL CUSTOMER",AND(F1598&gt;=6,G1598&gt;=5,H1598&gt;=5),"POTENTIAL LOYALIST",AND(F1598&gt;=8,G1598&lt;=2,H1598&gt;=5),"NEW CUSTOMERS",AND(F1598&gt;=6,G1598&lt;=2,H1598&gt;=3),"PROMISING",AND(F1598&gt;=3,G1598&gt;=3,H1598&gt;=3),"NEED ATTENTION",AND(F1598&lt;=4,G1598&gt;=6,H1598&gt;=6),"AT RISK",AND(F1598&lt;=2,G1598&gt;=8,H1598&gt;=8),"CAN'T LOSE THEM",AND(F1598&lt;=2,G1598&lt;=2,H1598&lt;=2),"HIBERNATING",TRUE(),"Other")</f>
        <v>Other</v>
      </c>
      <c r="K1598" s="1" t="n">
        <f aca="false">RANK(E1598,$E$7:$E$4378)+COUNTIF($E$7:E1598,E1598)-1</f>
        <v>2649</v>
      </c>
    </row>
    <row r="1599" customFormat="false" ht="14.25" hidden="false" customHeight="true" outlineLevel="0" collapsed="false">
      <c r="A1599" s="51" t="n">
        <v>14498</v>
      </c>
      <c r="B1599" s="53" t="n">
        <v>40844.50625</v>
      </c>
      <c r="C1599" s="57" t="n">
        <f aca="false">INT($C$2)-INT(Table3[[#This Row],[Last Purchase Date]])</f>
        <v>43</v>
      </c>
      <c r="D1599" s="1" t="n">
        <v>5</v>
      </c>
      <c r="E1599" s="1" t="n">
        <v>1957.32</v>
      </c>
      <c r="F1599" s="1" t="n">
        <f aca="false">ROUND((1-_xlfn.PERCENTRANK.INC($C$7:$C$4378,C1599))*9,0)</f>
        <v>5</v>
      </c>
      <c r="G1599" s="1" t="n">
        <f aca="false">ROUND(_xlfn.PERCENTRANK.INC($D$7:$D$4378,D1599)*9,0)</f>
        <v>6</v>
      </c>
      <c r="H1599" s="1" t="n">
        <f aca="false">ROUND(_xlfn.PERCENTRANK.INC($E$7:$E$4378,E1599)*9,0)</f>
        <v>7</v>
      </c>
      <c r="I1599" s="1" t="str">
        <f aca="false">CONCATENATE(F1599,G1599,H1599)</f>
        <v>567</v>
      </c>
      <c r="J1599" s="1" t="str">
        <f aca="false">_xlfn.IFS(AND(F1599&gt;=8,G1599&gt;=8,H1599&gt;=8),"CHAMPION",AND(F1599&gt;=6,G1599&gt;=7,H1599&gt;=6),"LOYAL CUSTOMER",AND(F1599&gt;=6,G1599&gt;=5,H1599&gt;=5),"POTENTIAL LOYALIST",AND(F1599&gt;=8,G1599&lt;=2,H1599&gt;=5),"NEW CUSTOMERS",AND(F1599&gt;=6,G1599&lt;=2,H1599&gt;=3),"PROMISING",AND(F1599&gt;=3,G1599&gt;=3,H1599&gt;=3),"NEED ATTENTION",AND(F1599&lt;=4,G1599&gt;=6,H1599&gt;=6),"AT RISK",AND(F1599&lt;=2,G1599&gt;=8,H1599&gt;=8),"CAN'T LOSE THEM",AND(F1599&lt;=2,G1599&lt;=2,H1599&lt;=2),"HIBERNATING",TRUE(),"Other")</f>
        <v>NEED ATTENTION</v>
      </c>
      <c r="K1599" s="1" t="n">
        <f aca="false">RANK(E1599,$E$7:$E$4378)+COUNTIF($E$7:E1599,E1599)-1</f>
        <v>895</v>
      </c>
    </row>
    <row r="1600" customFormat="false" ht="14.25" hidden="false" customHeight="true" outlineLevel="0" collapsed="false">
      <c r="A1600" s="51" t="n">
        <v>14499</v>
      </c>
      <c r="B1600" s="53" t="n">
        <v>40860.5423611111</v>
      </c>
      <c r="C1600" s="57" t="n">
        <f aca="false">INT($C$2)-INT(Table3[[#This Row],[Last Purchase Date]])</f>
        <v>27</v>
      </c>
      <c r="D1600" s="1" t="n">
        <v>3</v>
      </c>
      <c r="E1600" s="1" t="n">
        <v>815.32</v>
      </c>
      <c r="F1600" s="1" t="n">
        <f aca="false">ROUND((1-_xlfn.PERCENTRANK.INC($C$7:$C$4378,C1600))*9,0)</f>
        <v>6</v>
      </c>
      <c r="G1600" s="1" t="n">
        <f aca="false">ROUND(_xlfn.PERCENTRANK.INC($D$7:$D$4378,D1600)*9,0)</f>
        <v>4</v>
      </c>
      <c r="H1600" s="1" t="n">
        <f aca="false">ROUND(_xlfn.PERCENTRANK.INC($E$7:$E$4378,E1600)*9,0)</f>
        <v>5</v>
      </c>
      <c r="I1600" s="1" t="str">
        <f aca="false">CONCATENATE(F1600,G1600,H1600)</f>
        <v>645</v>
      </c>
      <c r="J1600" s="1" t="str">
        <f aca="false">_xlfn.IFS(AND(F1600&gt;=8,G1600&gt;=8,H1600&gt;=8),"CHAMPION",AND(F1600&gt;=6,G1600&gt;=7,H1600&gt;=6),"LOYAL CUSTOMER",AND(F1600&gt;=6,G1600&gt;=5,H1600&gt;=5),"POTENTIAL LOYALIST",AND(F1600&gt;=8,G1600&lt;=2,H1600&gt;=5),"NEW CUSTOMERS",AND(F1600&gt;=6,G1600&lt;=2,H1600&gt;=3),"PROMISING",AND(F1600&gt;=3,G1600&gt;=3,H1600&gt;=3),"NEED ATTENTION",AND(F1600&lt;=4,G1600&gt;=6,H1600&gt;=6),"AT RISK",AND(F1600&lt;=2,G1600&gt;=8,H1600&gt;=8),"CAN'T LOSE THEM",AND(F1600&lt;=2,G1600&lt;=2,H1600&lt;=2),"HIBERNATING",TRUE(),"Other")</f>
        <v>NEED ATTENTION</v>
      </c>
      <c r="K1600" s="1" t="n">
        <f aca="false">RANK(E1600,$E$7:$E$4378)+COUNTIF($E$7:E1600,E1600)-1</f>
        <v>1871</v>
      </c>
    </row>
    <row r="1601" customFormat="false" ht="14.25" hidden="false" customHeight="true" outlineLevel="0" collapsed="false">
      <c r="A1601" s="51" t="n">
        <v>14500</v>
      </c>
      <c r="B1601" s="53" t="n">
        <v>40798.6979166667</v>
      </c>
      <c r="C1601" s="57" t="n">
        <f aca="false">INT($C$2)-INT(Table3[[#This Row],[Last Purchase Date]])</f>
        <v>89</v>
      </c>
      <c r="D1601" s="1" t="n">
        <v>3</v>
      </c>
      <c r="E1601" s="1" t="n">
        <v>356.85</v>
      </c>
      <c r="F1601" s="1" t="n">
        <f aca="false">ROUND((1-_xlfn.PERCENTRANK.INC($C$7:$C$4378,C1601))*9,0)</f>
        <v>3</v>
      </c>
      <c r="G1601" s="1" t="n">
        <f aca="false">ROUND(_xlfn.PERCENTRANK.INC($D$7:$D$4378,D1601)*9,0)</f>
        <v>4</v>
      </c>
      <c r="H1601" s="1" t="n">
        <f aca="false">ROUND(_xlfn.PERCENTRANK.INC($E$7:$E$4378,E1601)*9,0)</f>
        <v>3</v>
      </c>
      <c r="I1601" s="1" t="str">
        <f aca="false">CONCATENATE(F1601,G1601,H1601)</f>
        <v>343</v>
      </c>
      <c r="J1601" s="1" t="str">
        <f aca="false">_xlfn.IFS(AND(F1601&gt;=8,G1601&gt;=8,H1601&gt;=8),"CHAMPION",AND(F1601&gt;=6,G1601&gt;=7,H1601&gt;=6),"LOYAL CUSTOMER",AND(F1601&gt;=6,G1601&gt;=5,H1601&gt;=5),"POTENTIAL LOYALIST",AND(F1601&gt;=8,G1601&lt;=2,H1601&gt;=5),"NEW CUSTOMERS",AND(F1601&gt;=6,G1601&lt;=2,H1601&gt;=3),"PROMISING",AND(F1601&gt;=3,G1601&gt;=3,H1601&gt;=3),"NEED ATTENTION",AND(F1601&lt;=4,G1601&gt;=6,H1601&gt;=6),"AT RISK",AND(F1601&lt;=2,G1601&gt;=8,H1601&gt;=8),"CAN'T LOSE THEM",AND(F1601&lt;=2,G1601&lt;=2,H1601&lt;=2),"HIBERNATING",TRUE(),"Other")</f>
        <v>NEED ATTENTION</v>
      </c>
      <c r="K1601" s="1" t="n">
        <f aca="false">RANK(E1601,$E$7:$E$4378)+COUNTIF($E$7:E1601,E1601)-1</f>
        <v>2979</v>
      </c>
    </row>
    <row r="1602" customFormat="false" ht="14.25" hidden="false" customHeight="true" outlineLevel="0" collapsed="false">
      <c r="A1602" s="51" t="n">
        <v>14501</v>
      </c>
      <c r="B1602" s="53" t="n">
        <v>40822.84375</v>
      </c>
      <c r="C1602" s="57" t="n">
        <f aca="false">INT($C$2)-INT(Table3[[#This Row],[Last Purchase Date]])</f>
        <v>65</v>
      </c>
      <c r="D1602" s="1" t="n">
        <v>3</v>
      </c>
      <c r="E1602" s="1" t="n">
        <v>190.31</v>
      </c>
      <c r="F1602" s="1" t="n">
        <f aca="false">ROUND((1-_xlfn.PERCENTRANK.INC($C$7:$C$4378,C1602))*9,0)</f>
        <v>4</v>
      </c>
      <c r="G1602" s="1" t="n">
        <f aca="false">ROUND(_xlfn.PERCENTRANK.INC($D$7:$D$4378,D1602)*9,0)</f>
        <v>4</v>
      </c>
      <c r="H1602" s="1" t="n">
        <f aca="false">ROUND(_xlfn.PERCENTRANK.INC($E$7:$E$4378,E1602)*9,0)</f>
        <v>1</v>
      </c>
      <c r="I1602" s="1" t="str">
        <f aca="false">CONCATENATE(F1602,G1602,H1602)</f>
        <v>441</v>
      </c>
      <c r="J1602" s="1" t="str">
        <f aca="false">_xlfn.IFS(AND(F1602&gt;=8,G1602&gt;=8,H1602&gt;=8),"CHAMPION",AND(F1602&gt;=6,G1602&gt;=7,H1602&gt;=6),"LOYAL CUSTOMER",AND(F1602&gt;=6,G1602&gt;=5,H1602&gt;=5),"POTENTIAL LOYALIST",AND(F1602&gt;=8,G1602&lt;=2,H1602&gt;=5),"NEW CUSTOMERS",AND(F1602&gt;=6,G1602&lt;=2,H1602&gt;=3),"PROMISING",AND(F1602&gt;=3,G1602&gt;=3,H1602&gt;=3),"NEED ATTENTION",AND(F1602&lt;=4,G1602&gt;=6,H1602&gt;=6),"AT RISK",AND(F1602&lt;=2,G1602&gt;=8,H1602&gt;=8),"CAN'T LOSE THEM",AND(F1602&lt;=2,G1602&lt;=2,H1602&lt;=2),"HIBERNATING",TRUE(),"Other")</f>
        <v>Other</v>
      </c>
      <c r="K1602" s="1" t="n">
        <f aca="false">RANK(E1602,$E$7:$E$4378)+COUNTIF($E$7:E1602,E1602)-1</f>
        <v>3706</v>
      </c>
    </row>
    <row r="1603" customFormat="false" ht="14.25" hidden="false" customHeight="true" outlineLevel="0" collapsed="false">
      <c r="A1603" s="51" t="n">
        <v>14502</v>
      </c>
      <c r="B1603" s="53" t="n">
        <v>40867.4930555556</v>
      </c>
      <c r="C1603" s="57" t="n">
        <f aca="false">INT($C$2)-INT(Table3[[#This Row],[Last Purchase Date]])</f>
        <v>20</v>
      </c>
      <c r="D1603" s="1" t="n">
        <v>14</v>
      </c>
      <c r="E1603" s="1" t="n">
        <v>2351.02</v>
      </c>
      <c r="F1603" s="1" t="n">
        <f aca="false">ROUND((1-_xlfn.PERCENTRANK.INC($C$7:$C$4378,C1603))*9,0)</f>
        <v>6</v>
      </c>
      <c r="G1603" s="1" t="n">
        <f aca="false">ROUND(_xlfn.PERCENTRANK.INC($D$7:$D$4378,D1603)*9,0)</f>
        <v>8</v>
      </c>
      <c r="H1603" s="1" t="n">
        <f aca="false">ROUND(_xlfn.PERCENTRANK.INC($E$7:$E$4378,E1603)*9,0)</f>
        <v>8</v>
      </c>
      <c r="I1603" s="1" t="str">
        <f aca="false">CONCATENATE(F1603,G1603,H1603)</f>
        <v>688</v>
      </c>
      <c r="J1603" s="1" t="str">
        <f aca="false">_xlfn.IFS(AND(F1603&gt;=8,G1603&gt;=8,H1603&gt;=8),"CHAMPION",AND(F1603&gt;=6,G1603&gt;=7,H1603&gt;=6),"LOYAL CUSTOMER",AND(F1603&gt;=6,G1603&gt;=5,H1603&gt;=5),"POTENTIAL LOYALIST",AND(F1603&gt;=8,G1603&lt;=2,H1603&gt;=5),"NEW CUSTOMERS",AND(F1603&gt;=6,G1603&lt;=2,H1603&gt;=3),"PROMISING",AND(F1603&gt;=3,G1603&gt;=3,H1603&gt;=3),"NEED ATTENTION",AND(F1603&lt;=4,G1603&gt;=6,H1603&gt;=6),"AT RISK",AND(F1603&lt;=2,G1603&gt;=8,H1603&gt;=8),"CAN'T LOSE THEM",AND(F1603&lt;=2,G1603&lt;=2,H1603&lt;=2),"HIBERNATING",TRUE(),"Other")</f>
        <v>LOYAL CUSTOMER</v>
      </c>
      <c r="K1603" s="1" t="n">
        <f aca="false">RANK(E1603,$E$7:$E$4378)+COUNTIF($E$7:E1603,E1603)-1</f>
        <v>725</v>
      </c>
    </row>
    <row r="1604" customFormat="false" ht="14.25" hidden="false" customHeight="true" outlineLevel="0" collapsed="false">
      <c r="A1604" s="51" t="n">
        <v>14503</v>
      </c>
      <c r="B1604" s="53" t="n">
        <v>40883.5625</v>
      </c>
      <c r="C1604" s="57" t="n">
        <f aca="false">INT($C$2)-INT(Table3[[#This Row],[Last Purchase Date]])</f>
        <v>4</v>
      </c>
      <c r="D1604" s="1" t="n">
        <v>6</v>
      </c>
      <c r="E1604" s="1" t="n">
        <v>3543.26</v>
      </c>
      <c r="F1604" s="1" t="n">
        <f aca="false">ROUND((1-_xlfn.PERCENTRANK.INC($C$7:$C$4378,C1604))*9,0)</f>
        <v>8</v>
      </c>
      <c r="G1604" s="1" t="n">
        <f aca="false">ROUND(_xlfn.PERCENTRANK.INC($D$7:$D$4378,D1604)*9,0)</f>
        <v>7</v>
      </c>
      <c r="H1604" s="1" t="n">
        <f aca="false">ROUND(_xlfn.PERCENTRANK.INC($E$7:$E$4378,E1604)*9,0)</f>
        <v>8</v>
      </c>
      <c r="I1604" s="1" t="str">
        <f aca="false">CONCATENATE(F1604,G1604,H1604)</f>
        <v>878</v>
      </c>
      <c r="J1604" s="1" t="str">
        <f aca="false">_xlfn.IFS(AND(F1604&gt;=8,G1604&gt;=8,H1604&gt;=8),"CHAMPION",AND(F1604&gt;=6,G1604&gt;=7,H1604&gt;=6),"LOYAL CUSTOMER",AND(F1604&gt;=6,G1604&gt;=5,H1604&gt;=5),"POTENTIAL LOYALIST",AND(F1604&gt;=8,G1604&lt;=2,H1604&gt;=5),"NEW CUSTOMERS",AND(F1604&gt;=6,G1604&lt;=2,H1604&gt;=3),"PROMISING",AND(F1604&gt;=3,G1604&gt;=3,H1604&gt;=3),"NEED ATTENTION",AND(F1604&lt;=4,G1604&gt;=6,H1604&gt;=6),"AT RISK",AND(F1604&lt;=2,G1604&gt;=8,H1604&gt;=8),"CAN'T LOSE THEM",AND(F1604&lt;=2,G1604&lt;=2,H1604&lt;=2),"HIBERNATING",TRUE(),"Other")</f>
        <v>LOYAL CUSTOMER</v>
      </c>
      <c r="K1604" s="1" t="n">
        <f aca="false">RANK(E1604,$E$7:$E$4378)+COUNTIF($E$7:E1604,E1604)-1</f>
        <v>429</v>
      </c>
    </row>
    <row r="1605" customFormat="false" ht="14.25" hidden="false" customHeight="true" outlineLevel="0" collapsed="false">
      <c r="A1605" s="51" t="n">
        <v>14504</v>
      </c>
      <c r="B1605" s="53" t="n">
        <v>40839.6666666667</v>
      </c>
      <c r="C1605" s="57" t="n">
        <f aca="false">INT($C$2)-INT(Table3[[#This Row],[Last Purchase Date]])</f>
        <v>48</v>
      </c>
      <c r="D1605" s="1" t="n">
        <v>4</v>
      </c>
      <c r="E1605" s="1" t="n">
        <v>673.26</v>
      </c>
      <c r="F1605" s="1" t="n">
        <f aca="false">ROUND((1-_xlfn.PERCENTRANK.INC($C$7:$C$4378,C1605))*9,0)</f>
        <v>5</v>
      </c>
      <c r="G1605" s="1" t="n">
        <f aca="false">ROUND(_xlfn.PERCENTRANK.INC($D$7:$D$4378,D1605)*9,0)</f>
        <v>5</v>
      </c>
      <c r="H1605" s="1" t="n">
        <f aca="false">ROUND(_xlfn.PERCENTRANK.INC($E$7:$E$4378,E1605)*9,0)</f>
        <v>5</v>
      </c>
      <c r="I1605" s="1" t="str">
        <f aca="false">CONCATENATE(F1605,G1605,H1605)</f>
        <v>555</v>
      </c>
      <c r="J1605" s="1" t="str">
        <f aca="false">_xlfn.IFS(AND(F1605&gt;=8,G1605&gt;=8,H1605&gt;=8),"CHAMPION",AND(F1605&gt;=6,G1605&gt;=7,H1605&gt;=6),"LOYAL CUSTOMER",AND(F1605&gt;=6,G1605&gt;=5,H1605&gt;=5),"POTENTIAL LOYALIST",AND(F1605&gt;=8,G1605&lt;=2,H1605&gt;=5),"NEW CUSTOMERS",AND(F1605&gt;=6,G1605&lt;=2,H1605&gt;=3),"PROMISING",AND(F1605&gt;=3,G1605&gt;=3,H1605&gt;=3),"NEED ATTENTION",AND(F1605&lt;=4,G1605&gt;=6,H1605&gt;=6),"AT RISK",AND(F1605&lt;=2,G1605&gt;=8,H1605&gt;=8),"CAN'T LOSE THEM",AND(F1605&lt;=2,G1605&lt;=2,H1605&lt;=2),"HIBERNATING",TRUE(),"Other")</f>
        <v>NEED ATTENTION</v>
      </c>
      <c r="K1605" s="1" t="n">
        <f aca="false">RANK(E1605,$E$7:$E$4378)+COUNTIF($E$7:E1605,E1605)-1</f>
        <v>2122</v>
      </c>
    </row>
    <row r="1606" customFormat="false" ht="14.25" hidden="false" customHeight="true" outlineLevel="0" collapsed="false">
      <c r="A1606" s="51" t="n">
        <v>14505</v>
      </c>
      <c r="B1606" s="53" t="n">
        <v>40869.65625</v>
      </c>
      <c r="C1606" s="57" t="n">
        <f aca="false">INT($C$2)-INT(Table3[[#This Row],[Last Purchase Date]])</f>
        <v>18</v>
      </c>
      <c r="D1606" s="1" t="n">
        <v>11</v>
      </c>
      <c r="E1606" s="1" t="n">
        <v>5818.7</v>
      </c>
      <c r="F1606" s="1" t="n">
        <f aca="false">ROUND((1-_xlfn.PERCENTRANK.INC($C$7:$C$4378,C1606))*9,0)</f>
        <v>7</v>
      </c>
      <c r="G1606" s="1" t="n">
        <f aca="false">ROUND(_xlfn.PERCENTRANK.INC($D$7:$D$4378,D1606)*9,0)</f>
        <v>8</v>
      </c>
      <c r="H1606" s="1" t="n">
        <f aca="false">ROUND(_xlfn.PERCENTRANK.INC($E$7:$E$4378,E1606)*9,0)</f>
        <v>9</v>
      </c>
      <c r="I1606" s="1" t="str">
        <f aca="false">CONCATENATE(F1606,G1606,H1606)</f>
        <v>789</v>
      </c>
      <c r="J1606" s="1" t="str">
        <f aca="false">_xlfn.IFS(AND(F1606&gt;=8,G1606&gt;=8,H1606&gt;=8),"CHAMPION",AND(F1606&gt;=6,G1606&gt;=7,H1606&gt;=6),"LOYAL CUSTOMER",AND(F1606&gt;=6,G1606&gt;=5,H1606&gt;=5),"POTENTIAL LOYALIST",AND(F1606&gt;=8,G1606&lt;=2,H1606&gt;=5),"NEW CUSTOMERS",AND(F1606&gt;=6,G1606&lt;=2,H1606&gt;=3),"PROMISING",AND(F1606&gt;=3,G1606&gt;=3,H1606&gt;=3),"NEED ATTENTION",AND(F1606&lt;=4,G1606&gt;=6,H1606&gt;=6),"AT RISK",AND(F1606&lt;=2,G1606&gt;=8,H1606&gt;=8),"CAN'T LOSE THEM",AND(F1606&lt;=2,G1606&lt;=2,H1606&lt;=2),"HIBERNATING",TRUE(),"Other")</f>
        <v>LOYAL CUSTOMER</v>
      </c>
      <c r="K1606" s="1" t="n">
        <f aca="false">RANK(E1606,$E$7:$E$4378)+COUNTIF($E$7:E1606,E1606)-1</f>
        <v>207</v>
      </c>
    </row>
    <row r="1607" customFormat="false" ht="14.25" hidden="false" customHeight="true" outlineLevel="0" collapsed="false">
      <c r="A1607" s="51" t="n">
        <v>14506</v>
      </c>
      <c r="B1607" s="53" t="n">
        <v>40869.5430555556</v>
      </c>
      <c r="C1607" s="57" t="n">
        <f aca="false">INT($C$2)-INT(Table3[[#This Row],[Last Purchase Date]])</f>
        <v>18</v>
      </c>
      <c r="D1607" s="1" t="n">
        <v>5</v>
      </c>
      <c r="E1607" s="1" t="n">
        <v>2012.17</v>
      </c>
      <c r="F1607" s="1" t="n">
        <f aca="false">ROUND((1-_xlfn.PERCENTRANK.INC($C$7:$C$4378,C1607))*9,0)</f>
        <v>7</v>
      </c>
      <c r="G1607" s="1" t="n">
        <f aca="false">ROUND(_xlfn.PERCENTRANK.INC($D$7:$D$4378,D1607)*9,0)</f>
        <v>6</v>
      </c>
      <c r="H1607" s="1" t="n">
        <f aca="false">ROUND(_xlfn.PERCENTRANK.INC($E$7:$E$4378,E1607)*9,0)</f>
        <v>7</v>
      </c>
      <c r="I1607" s="1" t="str">
        <f aca="false">CONCATENATE(F1607,G1607,H1607)</f>
        <v>767</v>
      </c>
      <c r="J1607" s="1" t="str">
        <f aca="false">_xlfn.IFS(AND(F1607&gt;=8,G1607&gt;=8,H1607&gt;=8),"CHAMPION",AND(F1607&gt;=6,G1607&gt;=7,H1607&gt;=6),"LOYAL CUSTOMER",AND(F1607&gt;=6,G1607&gt;=5,H1607&gt;=5),"POTENTIAL LOYALIST",AND(F1607&gt;=8,G1607&lt;=2,H1607&gt;=5),"NEW CUSTOMERS",AND(F1607&gt;=6,G1607&lt;=2,H1607&gt;=3),"PROMISING",AND(F1607&gt;=3,G1607&gt;=3,H1607&gt;=3),"NEED ATTENTION",AND(F1607&lt;=4,G1607&gt;=6,H1607&gt;=6),"AT RISK",AND(F1607&lt;=2,G1607&gt;=8,H1607&gt;=8),"CAN'T LOSE THEM",AND(F1607&lt;=2,G1607&lt;=2,H1607&lt;=2),"HIBERNATING",TRUE(),"Other")</f>
        <v>POTENTIAL LOYALIST</v>
      </c>
      <c r="K1607" s="1" t="n">
        <f aca="false">RANK(E1607,$E$7:$E$4378)+COUNTIF($E$7:E1607,E1607)-1</f>
        <v>869</v>
      </c>
    </row>
    <row r="1608" customFormat="false" ht="14.25" hidden="false" customHeight="true" outlineLevel="0" collapsed="false">
      <c r="A1608" s="51" t="n">
        <v>14507</v>
      </c>
      <c r="B1608" s="53" t="n">
        <v>40863.5145833333</v>
      </c>
      <c r="C1608" s="57" t="n">
        <f aca="false">INT($C$2)-INT(Table3[[#This Row],[Last Purchase Date]])</f>
        <v>24</v>
      </c>
      <c r="D1608" s="1" t="n">
        <v>7</v>
      </c>
      <c r="E1608" s="1" t="n">
        <v>1368.18</v>
      </c>
      <c r="F1608" s="1" t="n">
        <f aca="false">ROUND((1-_xlfn.PERCENTRANK.INC($C$7:$C$4378,C1608))*9,0)</f>
        <v>6</v>
      </c>
      <c r="G1608" s="1" t="n">
        <f aca="false">ROUND(_xlfn.PERCENTRANK.INC($D$7:$D$4378,D1608)*9,0)</f>
        <v>7</v>
      </c>
      <c r="H1608" s="1" t="n">
        <f aca="false">ROUND(_xlfn.PERCENTRANK.INC($E$7:$E$4378,E1608)*9,0)</f>
        <v>6</v>
      </c>
      <c r="I1608" s="1" t="str">
        <f aca="false">CONCATENATE(F1608,G1608,H1608)</f>
        <v>676</v>
      </c>
      <c r="J1608" s="1" t="str">
        <f aca="false">_xlfn.IFS(AND(F1608&gt;=8,G1608&gt;=8,H1608&gt;=8),"CHAMPION",AND(F1608&gt;=6,G1608&gt;=7,H1608&gt;=6),"LOYAL CUSTOMER",AND(F1608&gt;=6,G1608&gt;=5,H1608&gt;=5),"POTENTIAL LOYALIST",AND(F1608&gt;=8,G1608&lt;=2,H1608&gt;=5),"NEW CUSTOMERS",AND(F1608&gt;=6,G1608&lt;=2,H1608&gt;=3),"PROMISING",AND(F1608&gt;=3,G1608&gt;=3,H1608&gt;=3),"NEED ATTENTION",AND(F1608&lt;=4,G1608&gt;=6,H1608&gt;=6),"AT RISK",AND(F1608&lt;=2,G1608&gt;=8,H1608&gt;=8),"CAN'T LOSE THEM",AND(F1608&lt;=2,G1608&lt;=2,H1608&lt;=2),"HIBERNATING",TRUE(),"Other")</f>
        <v>LOYAL CUSTOMER</v>
      </c>
      <c r="K1608" s="1" t="n">
        <f aca="false">RANK(E1608,$E$7:$E$4378)+COUNTIF($E$7:E1608,E1608)-1</f>
        <v>1261</v>
      </c>
    </row>
    <row r="1609" customFormat="false" ht="14.25" hidden="false" customHeight="true" outlineLevel="0" collapsed="false">
      <c r="A1609" s="51" t="n">
        <v>14508</v>
      </c>
      <c r="B1609" s="53" t="n">
        <v>40864.825</v>
      </c>
      <c r="C1609" s="57" t="n">
        <f aca="false">INT($C$2)-INT(Table3[[#This Row],[Last Purchase Date]])</f>
        <v>23</v>
      </c>
      <c r="D1609" s="1" t="n">
        <v>2</v>
      </c>
      <c r="E1609" s="1" t="n">
        <v>276.42</v>
      </c>
      <c r="F1609" s="1" t="n">
        <f aca="false">ROUND((1-_xlfn.PERCENTRANK.INC($C$7:$C$4378,C1609))*9,0)</f>
        <v>6</v>
      </c>
      <c r="G1609" s="1" t="n">
        <f aca="false">ROUND(_xlfn.PERCENTRANK.INC($D$7:$D$4378,D1609)*9,0)</f>
        <v>3</v>
      </c>
      <c r="H1609" s="1" t="n">
        <f aca="false">ROUND(_xlfn.PERCENTRANK.INC($E$7:$E$4378,E1609)*9,0)</f>
        <v>2</v>
      </c>
      <c r="I1609" s="1" t="str">
        <f aca="false">CONCATENATE(F1609,G1609,H1609)</f>
        <v>632</v>
      </c>
      <c r="J1609" s="1" t="str">
        <f aca="false">_xlfn.IFS(AND(F1609&gt;=8,G1609&gt;=8,H1609&gt;=8),"CHAMPION",AND(F1609&gt;=6,G1609&gt;=7,H1609&gt;=6),"LOYAL CUSTOMER",AND(F1609&gt;=6,G1609&gt;=5,H1609&gt;=5),"POTENTIAL LOYALIST",AND(F1609&gt;=8,G1609&lt;=2,H1609&gt;=5),"NEW CUSTOMERS",AND(F1609&gt;=6,G1609&lt;=2,H1609&gt;=3),"PROMISING",AND(F1609&gt;=3,G1609&gt;=3,H1609&gt;=3),"NEED ATTENTION",AND(F1609&lt;=4,G1609&gt;=6,H1609&gt;=6),"AT RISK",AND(F1609&lt;=2,G1609&gt;=8,H1609&gt;=8),"CAN'T LOSE THEM",AND(F1609&lt;=2,G1609&lt;=2,H1609&lt;=2),"HIBERNATING",TRUE(),"Other")</f>
        <v>Other</v>
      </c>
      <c r="K1609" s="1" t="n">
        <f aca="false">RANK(E1609,$E$7:$E$4378)+COUNTIF($E$7:E1609,E1609)-1</f>
        <v>3340</v>
      </c>
    </row>
    <row r="1610" customFormat="false" ht="14.25" hidden="false" customHeight="true" outlineLevel="0" collapsed="false">
      <c r="A1610" s="51" t="n">
        <v>14511</v>
      </c>
      <c r="B1610" s="53" t="n">
        <v>40875.7118055556</v>
      </c>
      <c r="C1610" s="57" t="n">
        <f aca="false">INT($C$2)-INT(Table3[[#This Row],[Last Purchase Date]])</f>
        <v>12</v>
      </c>
      <c r="D1610" s="1" t="n">
        <v>6</v>
      </c>
      <c r="E1610" s="1" t="n">
        <v>1267.41</v>
      </c>
      <c r="F1610" s="1" t="n">
        <f aca="false">ROUND((1-_xlfn.PERCENTRANK.INC($C$7:$C$4378,C1610))*9,0)</f>
        <v>7</v>
      </c>
      <c r="G1610" s="1" t="n">
        <f aca="false">ROUND(_xlfn.PERCENTRANK.INC($D$7:$D$4378,D1610)*9,0)</f>
        <v>7</v>
      </c>
      <c r="H1610" s="1" t="n">
        <f aca="false">ROUND(_xlfn.PERCENTRANK.INC($E$7:$E$4378,E1610)*9,0)</f>
        <v>6</v>
      </c>
      <c r="I1610" s="1" t="str">
        <f aca="false">CONCATENATE(F1610,G1610,H1610)</f>
        <v>776</v>
      </c>
      <c r="J1610" s="1" t="str">
        <f aca="false">_xlfn.IFS(AND(F1610&gt;=8,G1610&gt;=8,H1610&gt;=8),"CHAMPION",AND(F1610&gt;=6,G1610&gt;=7,H1610&gt;=6),"LOYAL CUSTOMER",AND(F1610&gt;=6,G1610&gt;=5,H1610&gt;=5),"POTENTIAL LOYALIST",AND(F1610&gt;=8,G1610&lt;=2,H1610&gt;=5),"NEW CUSTOMERS",AND(F1610&gt;=6,G1610&lt;=2,H1610&gt;=3),"PROMISING",AND(F1610&gt;=3,G1610&gt;=3,H1610&gt;=3),"NEED ATTENTION",AND(F1610&lt;=4,G1610&gt;=6,H1610&gt;=6),"AT RISK",AND(F1610&lt;=2,G1610&gt;=8,H1610&gt;=8),"CAN'T LOSE THEM",AND(F1610&lt;=2,G1610&lt;=2,H1610&lt;=2),"HIBERNATING",TRUE(),"Other")</f>
        <v>LOYAL CUSTOMER</v>
      </c>
      <c r="K1610" s="1" t="n">
        <f aca="false">RANK(E1610,$E$7:$E$4378)+COUNTIF($E$7:E1610,E1610)-1</f>
        <v>1355</v>
      </c>
    </row>
    <row r="1611" customFormat="false" ht="14.25" hidden="false" customHeight="true" outlineLevel="0" collapsed="false">
      <c r="A1611" s="51" t="n">
        <v>14512</v>
      </c>
      <c r="B1611" s="53" t="n">
        <v>40699.5270833333</v>
      </c>
      <c r="C1611" s="57" t="n">
        <f aca="false">INT($C$2)-INT(Table3[[#This Row],[Last Purchase Date]])</f>
        <v>188</v>
      </c>
      <c r="D1611" s="1" t="n">
        <v>2</v>
      </c>
      <c r="E1611" s="1" t="n">
        <v>275.28</v>
      </c>
      <c r="F1611" s="1" t="n">
        <f aca="false">ROUND((1-_xlfn.PERCENTRANK.INC($C$7:$C$4378,C1611))*9,0)</f>
        <v>2</v>
      </c>
      <c r="G1611" s="1" t="n">
        <f aca="false">ROUND(_xlfn.PERCENTRANK.INC($D$7:$D$4378,D1611)*9,0)</f>
        <v>3</v>
      </c>
      <c r="H1611" s="1" t="n">
        <f aca="false">ROUND(_xlfn.PERCENTRANK.INC($E$7:$E$4378,E1611)*9,0)</f>
        <v>2</v>
      </c>
      <c r="I1611" s="1" t="str">
        <f aca="false">CONCATENATE(F1611,G1611,H1611)</f>
        <v>232</v>
      </c>
      <c r="J1611" s="1" t="str">
        <f aca="false">_xlfn.IFS(AND(F1611&gt;=8,G1611&gt;=8,H1611&gt;=8),"CHAMPION",AND(F1611&gt;=6,G1611&gt;=7,H1611&gt;=6),"LOYAL CUSTOMER",AND(F1611&gt;=6,G1611&gt;=5,H1611&gt;=5),"POTENTIAL LOYALIST",AND(F1611&gt;=8,G1611&lt;=2,H1611&gt;=5),"NEW CUSTOMERS",AND(F1611&gt;=6,G1611&lt;=2,H1611&gt;=3),"PROMISING",AND(F1611&gt;=3,G1611&gt;=3,H1611&gt;=3),"NEED ATTENTION",AND(F1611&lt;=4,G1611&gt;=6,H1611&gt;=6),"AT RISK",AND(F1611&lt;=2,G1611&gt;=8,H1611&gt;=8),"CAN'T LOSE THEM",AND(F1611&lt;=2,G1611&lt;=2,H1611&lt;=2),"HIBERNATING",TRUE(),"Other")</f>
        <v>Other</v>
      </c>
      <c r="K1611" s="1" t="n">
        <f aca="false">RANK(E1611,$E$7:$E$4378)+COUNTIF($E$7:E1611,E1611)-1</f>
        <v>3344</v>
      </c>
    </row>
    <row r="1612" customFormat="false" ht="14.25" hidden="false" customHeight="true" outlineLevel="0" collapsed="false">
      <c r="A1612" s="51" t="n">
        <v>14513</v>
      </c>
      <c r="B1612" s="53" t="n">
        <v>40786.4756944445</v>
      </c>
      <c r="C1612" s="57" t="n">
        <f aca="false">INT($C$2)-INT(Table3[[#This Row],[Last Purchase Date]])</f>
        <v>101</v>
      </c>
      <c r="D1612" s="1" t="n">
        <v>4</v>
      </c>
      <c r="E1612" s="1" t="n">
        <v>438.49</v>
      </c>
      <c r="F1612" s="1" t="n">
        <f aca="false">ROUND((1-_xlfn.PERCENTRANK.INC($C$7:$C$4378,C1612))*9,0)</f>
        <v>3</v>
      </c>
      <c r="G1612" s="1" t="n">
        <f aca="false">ROUND(_xlfn.PERCENTRANK.INC($D$7:$D$4378,D1612)*9,0)</f>
        <v>5</v>
      </c>
      <c r="H1612" s="1" t="n">
        <f aca="false">ROUND(_xlfn.PERCENTRANK.INC($E$7:$E$4378,E1612)*9,0)</f>
        <v>3</v>
      </c>
      <c r="I1612" s="1" t="str">
        <f aca="false">CONCATENATE(F1612,G1612,H1612)</f>
        <v>353</v>
      </c>
      <c r="J1612" s="1" t="str">
        <f aca="false">_xlfn.IFS(AND(F1612&gt;=8,G1612&gt;=8,H1612&gt;=8),"CHAMPION",AND(F1612&gt;=6,G1612&gt;=7,H1612&gt;=6),"LOYAL CUSTOMER",AND(F1612&gt;=6,G1612&gt;=5,H1612&gt;=5),"POTENTIAL LOYALIST",AND(F1612&gt;=8,G1612&lt;=2,H1612&gt;=5),"NEW CUSTOMERS",AND(F1612&gt;=6,G1612&lt;=2,H1612&gt;=3),"PROMISING",AND(F1612&gt;=3,G1612&gt;=3,H1612&gt;=3),"NEED ATTENTION",AND(F1612&lt;=4,G1612&gt;=6,H1612&gt;=6),"AT RISK",AND(F1612&lt;=2,G1612&gt;=8,H1612&gt;=8),"CAN'T LOSE THEM",AND(F1612&lt;=2,G1612&lt;=2,H1612&lt;=2),"HIBERNATING",TRUE(),"Other")</f>
        <v>NEED ATTENTION</v>
      </c>
      <c r="K1612" s="1" t="n">
        <f aca="false">RANK(E1612,$E$7:$E$4378)+COUNTIF($E$7:E1612,E1612)-1</f>
        <v>2699</v>
      </c>
    </row>
    <row r="1613" customFormat="false" ht="14.25" hidden="false" customHeight="true" outlineLevel="0" collapsed="false">
      <c r="A1613" s="51" t="n">
        <v>14514</v>
      </c>
      <c r="B1613" s="53" t="n">
        <v>40825.6701388889</v>
      </c>
      <c r="C1613" s="57" t="n">
        <f aca="false">INT($C$2)-INT(Table3[[#This Row],[Last Purchase Date]])</f>
        <v>62</v>
      </c>
      <c r="D1613" s="1" t="n">
        <v>3</v>
      </c>
      <c r="E1613" s="1" t="n">
        <v>1055.35</v>
      </c>
      <c r="F1613" s="1" t="n">
        <f aca="false">ROUND((1-_xlfn.PERCENTRANK.INC($C$7:$C$4378,C1613))*9,0)</f>
        <v>4</v>
      </c>
      <c r="G1613" s="1" t="n">
        <f aca="false">ROUND(_xlfn.PERCENTRANK.INC($D$7:$D$4378,D1613)*9,0)</f>
        <v>4</v>
      </c>
      <c r="H1613" s="1" t="n">
        <f aca="false">ROUND(_xlfn.PERCENTRANK.INC($E$7:$E$4378,E1613)*9,0)</f>
        <v>6</v>
      </c>
      <c r="I1613" s="1" t="str">
        <f aca="false">CONCATENATE(F1613,G1613,H1613)</f>
        <v>446</v>
      </c>
      <c r="J1613" s="1" t="str">
        <f aca="false">_xlfn.IFS(AND(F1613&gt;=8,G1613&gt;=8,H1613&gt;=8),"CHAMPION",AND(F1613&gt;=6,G1613&gt;=7,H1613&gt;=6),"LOYAL CUSTOMER",AND(F1613&gt;=6,G1613&gt;=5,H1613&gt;=5),"POTENTIAL LOYALIST",AND(F1613&gt;=8,G1613&lt;=2,H1613&gt;=5),"NEW CUSTOMERS",AND(F1613&gt;=6,G1613&lt;=2,H1613&gt;=3),"PROMISING",AND(F1613&gt;=3,G1613&gt;=3,H1613&gt;=3),"NEED ATTENTION",AND(F1613&lt;=4,G1613&gt;=6,H1613&gt;=6),"AT RISK",AND(F1613&lt;=2,G1613&gt;=8,H1613&gt;=8),"CAN'T LOSE THEM",AND(F1613&lt;=2,G1613&lt;=2,H1613&lt;=2),"HIBERNATING",TRUE(),"Other")</f>
        <v>NEED ATTENTION</v>
      </c>
      <c r="K1613" s="1" t="n">
        <f aca="false">RANK(E1613,$E$7:$E$4378)+COUNTIF($E$7:E1613,E1613)-1</f>
        <v>1553</v>
      </c>
    </row>
    <row r="1614" customFormat="false" ht="14.25" hidden="false" customHeight="true" outlineLevel="0" collapsed="false">
      <c r="A1614" s="51" t="n">
        <v>14515</v>
      </c>
      <c r="B1614" s="53" t="n">
        <v>40869.4840277778</v>
      </c>
      <c r="C1614" s="57" t="n">
        <f aca="false">INT($C$2)-INT(Table3[[#This Row],[Last Purchase Date]])</f>
        <v>18</v>
      </c>
      <c r="D1614" s="1" t="n">
        <v>6</v>
      </c>
      <c r="E1614" s="1" t="n">
        <v>2102.09</v>
      </c>
      <c r="F1614" s="1" t="n">
        <f aca="false">ROUND((1-_xlfn.PERCENTRANK.INC($C$7:$C$4378,C1614))*9,0)</f>
        <v>7</v>
      </c>
      <c r="G1614" s="1" t="n">
        <f aca="false">ROUND(_xlfn.PERCENTRANK.INC($D$7:$D$4378,D1614)*9,0)</f>
        <v>7</v>
      </c>
      <c r="H1614" s="1" t="n">
        <f aca="false">ROUND(_xlfn.PERCENTRANK.INC($E$7:$E$4378,E1614)*9,0)</f>
        <v>7</v>
      </c>
      <c r="I1614" s="1" t="str">
        <f aca="false">CONCATENATE(F1614,G1614,H1614)</f>
        <v>777</v>
      </c>
      <c r="J1614" s="1" t="str">
        <f aca="false">_xlfn.IFS(AND(F1614&gt;=8,G1614&gt;=8,H1614&gt;=8),"CHAMPION",AND(F1614&gt;=6,G1614&gt;=7,H1614&gt;=6),"LOYAL CUSTOMER",AND(F1614&gt;=6,G1614&gt;=5,H1614&gt;=5),"POTENTIAL LOYALIST",AND(F1614&gt;=8,G1614&lt;=2,H1614&gt;=5),"NEW CUSTOMERS",AND(F1614&gt;=6,G1614&lt;=2,H1614&gt;=3),"PROMISING",AND(F1614&gt;=3,G1614&gt;=3,H1614&gt;=3),"NEED ATTENTION",AND(F1614&lt;=4,G1614&gt;=6,H1614&gt;=6),"AT RISK",AND(F1614&lt;=2,G1614&gt;=8,H1614&gt;=8),"CAN'T LOSE THEM",AND(F1614&lt;=2,G1614&lt;=2,H1614&lt;=2),"HIBERNATING",TRUE(),"Other")</f>
        <v>LOYAL CUSTOMER</v>
      </c>
      <c r="K1614" s="1" t="n">
        <f aca="false">RANK(E1614,$E$7:$E$4378)+COUNTIF($E$7:E1614,E1614)-1</f>
        <v>825</v>
      </c>
    </row>
    <row r="1615" customFormat="false" ht="14.25" hidden="false" customHeight="true" outlineLevel="0" collapsed="false">
      <c r="A1615" s="51" t="n">
        <v>14517</v>
      </c>
      <c r="B1615" s="53" t="n">
        <v>40853.5972222222</v>
      </c>
      <c r="C1615" s="57" t="n">
        <f aca="false">INT($C$2)-INT(Table3[[#This Row],[Last Purchase Date]])</f>
        <v>34</v>
      </c>
      <c r="D1615" s="1" t="n">
        <v>2</v>
      </c>
      <c r="E1615" s="1" t="n">
        <v>330.45</v>
      </c>
      <c r="F1615" s="1" t="n">
        <f aca="false">ROUND((1-_xlfn.PERCENTRANK.INC($C$7:$C$4378,C1615))*9,0)</f>
        <v>5</v>
      </c>
      <c r="G1615" s="1" t="n">
        <f aca="false">ROUND(_xlfn.PERCENTRANK.INC($D$7:$D$4378,D1615)*9,0)</f>
        <v>3</v>
      </c>
      <c r="H1615" s="1" t="n">
        <f aca="false">ROUND(_xlfn.PERCENTRANK.INC($E$7:$E$4378,E1615)*9,0)</f>
        <v>3</v>
      </c>
      <c r="I1615" s="1" t="str">
        <f aca="false">CONCATENATE(F1615,G1615,H1615)</f>
        <v>533</v>
      </c>
      <c r="J1615" s="1" t="str">
        <f aca="false">_xlfn.IFS(AND(F1615&gt;=8,G1615&gt;=8,H1615&gt;=8),"CHAMPION",AND(F1615&gt;=6,G1615&gt;=7,H1615&gt;=6),"LOYAL CUSTOMER",AND(F1615&gt;=6,G1615&gt;=5,H1615&gt;=5),"POTENTIAL LOYALIST",AND(F1615&gt;=8,G1615&lt;=2,H1615&gt;=5),"NEW CUSTOMERS",AND(F1615&gt;=6,G1615&lt;=2,H1615&gt;=3),"PROMISING",AND(F1615&gt;=3,G1615&gt;=3,H1615&gt;=3),"NEED ATTENTION",AND(F1615&lt;=4,G1615&gt;=6,H1615&gt;=6),"AT RISK",AND(F1615&lt;=2,G1615&gt;=8,H1615&gt;=8),"CAN'T LOSE THEM",AND(F1615&lt;=2,G1615&lt;=2,H1615&lt;=2),"HIBERNATING",TRUE(),"Other")</f>
        <v>NEED ATTENTION</v>
      </c>
      <c r="K1615" s="1" t="n">
        <f aca="false">RANK(E1615,$E$7:$E$4378)+COUNTIF($E$7:E1615,E1615)-1</f>
        <v>3093</v>
      </c>
    </row>
    <row r="1616" customFormat="false" ht="14.25" hidden="false" customHeight="true" outlineLevel="0" collapsed="false">
      <c r="A1616" s="51" t="n">
        <v>14518</v>
      </c>
      <c r="B1616" s="53" t="n">
        <v>40822.6131944444</v>
      </c>
      <c r="C1616" s="57" t="n">
        <f aca="false">INT($C$2)-INT(Table3[[#This Row],[Last Purchase Date]])</f>
        <v>65</v>
      </c>
      <c r="D1616" s="1" t="n">
        <v>1</v>
      </c>
      <c r="E1616" s="1" t="n">
        <v>174.37</v>
      </c>
      <c r="F1616" s="1" t="n">
        <f aca="false">ROUND((1-_xlfn.PERCENTRANK.INC($C$7:$C$4378,C1616))*9,0)</f>
        <v>4</v>
      </c>
      <c r="G1616" s="1" t="n">
        <f aca="false">ROUND(_xlfn.PERCENTRANK.INC($D$7:$D$4378,D1616)*9,0)</f>
        <v>0</v>
      </c>
      <c r="H1616" s="1" t="n">
        <f aca="false">ROUND(_xlfn.PERCENTRANK.INC($E$7:$E$4378,E1616)*9,0)</f>
        <v>1</v>
      </c>
      <c r="I1616" s="1" t="str">
        <f aca="false">CONCATENATE(F1616,G1616,H1616)</f>
        <v>401</v>
      </c>
      <c r="J1616" s="1" t="str">
        <f aca="false">_xlfn.IFS(AND(F1616&gt;=8,G1616&gt;=8,H1616&gt;=8),"CHAMPION",AND(F1616&gt;=6,G1616&gt;=7,H1616&gt;=6),"LOYAL CUSTOMER",AND(F1616&gt;=6,G1616&gt;=5,H1616&gt;=5),"POTENTIAL LOYALIST",AND(F1616&gt;=8,G1616&lt;=2,H1616&gt;=5),"NEW CUSTOMERS",AND(F1616&gt;=6,G1616&lt;=2,H1616&gt;=3),"PROMISING",AND(F1616&gt;=3,G1616&gt;=3,H1616&gt;=3),"NEED ATTENTION",AND(F1616&lt;=4,G1616&gt;=6,H1616&gt;=6),"AT RISK",AND(F1616&lt;=2,G1616&gt;=8,H1616&gt;=8),"CAN'T LOSE THEM",AND(F1616&lt;=2,G1616&lt;=2,H1616&lt;=2),"HIBERNATING",TRUE(),"Other")</f>
        <v>Other</v>
      </c>
      <c r="K1616" s="1" t="n">
        <f aca="false">RANK(E1616,$E$7:$E$4378)+COUNTIF($E$7:E1616,E1616)-1</f>
        <v>3784</v>
      </c>
    </row>
    <row r="1617" customFormat="false" ht="14.25" hidden="false" customHeight="true" outlineLevel="0" collapsed="false">
      <c r="A1617" s="51" t="n">
        <v>14520</v>
      </c>
      <c r="B1617" s="53" t="n">
        <v>40885.4069444445</v>
      </c>
      <c r="C1617" s="57" t="n">
        <f aca="false">INT($C$2)-INT(Table3[[#This Row],[Last Purchase Date]])</f>
        <v>2</v>
      </c>
      <c r="D1617" s="1" t="n">
        <v>2</v>
      </c>
      <c r="E1617" s="1" t="n">
        <v>270.6</v>
      </c>
      <c r="F1617" s="1" t="n">
        <f aca="false">ROUND((1-_xlfn.PERCENTRANK.INC($C$7:$C$4378,C1617))*9,0)</f>
        <v>9</v>
      </c>
      <c r="G1617" s="1" t="n">
        <f aca="false">ROUND(_xlfn.PERCENTRANK.INC($D$7:$D$4378,D1617)*9,0)</f>
        <v>3</v>
      </c>
      <c r="H1617" s="1" t="n">
        <f aca="false">ROUND(_xlfn.PERCENTRANK.INC($E$7:$E$4378,E1617)*9,0)</f>
        <v>2</v>
      </c>
      <c r="I1617" s="1" t="str">
        <f aca="false">CONCATENATE(F1617,G1617,H1617)</f>
        <v>932</v>
      </c>
      <c r="J1617" s="1" t="str">
        <f aca="false">_xlfn.IFS(AND(F1617&gt;=8,G1617&gt;=8,H1617&gt;=8),"CHAMPION",AND(F1617&gt;=6,G1617&gt;=7,H1617&gt;=6),"LOYAL CUSTOMER",AND(F1617&gt;=6,G1617&gt;=5,H1617&gt;=5),"POTENTIAL LOYALIST",AND(F1617&gt;=8,G1617&lt;=2,H1617&gt;=5),"NEW CUSTOMERS",AND(F1617&gt;=6,G1617&lt;=2,H1617&gt;=3),"PROMISING",AND(F1617&gt;=3,G1617&gt;=3,H1617&gt;=3),"NEED ATTENTION",AND(F1617&lt;=4,G1617&gt;=6,H1617&gt;=6),"AT RISK",AND(F1617&lt;=2,G1617&gt;=8,H1617&gt;=8),"CAN'T LOSE THEM",AND(F1617&lt;=2,G1617&lt;=2,H1617&lt;=2),"HIBERNATING",TRUE(),"Other")</f>
        <v>Other</v>
      </c>
      <c r="K1617" s="1" t="n">
        <f aca="false">RANK(E1617,$E$7:$E$4378)+COUNTIF($E$7:E1617,E1617)-1</f>
        <v>3363</v>
      </c>
    </row>
    <row r="1618" customFormat="false" ht="14.25" hidden="false" customHeight="true" outlineLevel="0" collapsed="false">
      <c r="A1618" s="51" t="n">
        <v>14522</v>
      </c>
      <c r="B1618" s="53" t="n">
        <v>40862.5583333333</v>
      </c>
      <c r="C1618" s="57" t="n">
        <f aca="false">INT($C$2)-INT(Table3[[#This Row],[Last Purchase Date]])</f>
        <v>25</v>
      </c>
      <c r="D1618" s="1" t="n">
        <v>4</v>
      </c>
      <c r="E1618" s="1" t="n">
        <v>974.54</v>
      </c>
      <c r="F1618" s="1" t="n">
        <f aca="false">ROUND((1-_xlfn.PERCENTRANK.INC($C$7:$C$4378,C1618))*9,0)</f>
        <v>6</v>
      </c>
      <c r="G1618" s="1" t="n">
        <f aca="false">ROUND(_xlfn.PERCENTRANK.INC($D$7:$D$4378,D1618)*9,0)</f>
        <v>5</v>
      </c>
      <c r="H1618" s="1" t="n">
        <f aca="false">ROUND(_xlfn.PERCENTRANK.INC($E$7:$E$4378,E1618)*9,0)</f>
        <v>6</v>
      </c>
      <c r="I1618" s="1" t="str">
        <f aca="false">CONCATENATE(F1618,G1618,H1618)</f>
        <v>656</v>
      </c>
      <c r="J1618" s="1" t="str">
        <f aca="false">_xlfn.IFS(AND(F1618&gt;=8,G1618&gt;=8,H1618&gt;=8),"CHAMPION",AND(F1618&gt;=6,G1618&gt;=7,H1618&gt;=6),"LOYAL CUSTOMER",AND(F1618&gt;=6,G1618&gt;=5,H1618&gt;=5),"POTENTIAL LOYALIST",AND(F1618&gt;=8,G1618&lt;=2,H1618&gt;=5),"NEW CUSTOMERS",AND(F1618&gt;=6,G1618&lt;=2,H1618&gt;=3),"PROMISING",AND(F1618&gt;=3,G1618&gt;=3,H1618&gt;=3),"NEED ATTENTION",AND(F1618&lt;=4,G1618&gt;=6,H1618&gt;=6),"AT RISK",AND(F1618&lt;=2,G1618&gt;=8,H1618&gt;=8),"CAN'T LOSE THEM",AND(F1618&lt;=2,G1618&lt;=2,H1618&lt;=2),"HIBERNATING",TRUE(),"Other")</f>
        <v>POTENTIAL LOYALIST</v>
      </c>
      <c r="K1618" s="1" t="n">
        <f aca="false">RANK(E1618,$E$7:$E$4378)+COUNTIF($E$7:E1618,E1618)-1</f>
        <v>1672</v>
      </c>
    </row>
    <row r="1619" customFormat="false" ht="14.25" hidden="false" customHeight="true" outlineLevel="0" collapsed="false">
      <c r="A1619" s="51" t="n">
        <v>14523</v>
      </c>
      <c r="B1619" s="53" t="n">
        <v>40778.5506944444</v>
      </c>
      <c r="C1619" s="57" t="n">
        <f aca="false">INT($C$2)-INT(Table3[[#This Row],[Last Purchase Date]])</f>
        <v>109</v>
      </c>
      <c r="D1619" s="1" t="n">
        <v>1</v>
      </c>
      <c r="E1619" s="1" t="n">
        <v>241.09</v>
      </c>
      <c r="F1619" s="1" t="n">
        <f aca="false">ROUND((1-_xlfn.PERCENTRANK.INC($C$7:$C$4378,C1619))*9,0)</f>
        <v>3</v>
      </c>
      <c r="G1619" s="1" t="n">
        <f aca="false">ROUND(_xlfn.PERCENTRANK.INC($D$7:$D$4378,D1619)*9,0)</f>
        <v>0</v>
      </c>
      <c r="H1619" s="1" t="n">
        <f aca="false">ROUND(_xlfn.PERCENTRANK.INC($E$7:$E$4378,E1619)*9,0)</f>
        <v>2</v>
      </c>
      <c r="I1619" s="1" t="str">
        <f aca="false">CONCATENATE(F1619,G1619,H1619)</f>
        <v>302</v>
      </c>
      <c r="J1619" s="1" t="str">
        <f aca="false">_xlfn.IFS(AND(F1619&gt;=8,G1619&gt;=8,H1619&gt;=8),"CHAMPION",AND(F1619&gt;=6,G1619&gt;=7,H1619&gt;=6),"LOYAL CUSTOMER",AND(F1619&gt;=6,G1619&gt;=5,H1619&gt;=5),"POTENTIAL LOYALIST",AND(F1619&gt;=8,G1619&lt;=2,H1619&gt;=5),"NEW CUSTOMERS",AND(F1619&gt;=6,G1619&lt;=2,H1619&gt;=3),"PROMISING",AND(F1619&gt;=3,G1619&gt;=3,H1619&gt;=3),"NEED ATTENTION",AND(F1619&lt;=4,G1619&gt;=6,H1619&gt;=6),"AT RISK",AND(F1619&lt;=2,G1619&gt;=8,H1619&gt;=8),"CAN'T LOSE THEM",AND(F1619&lt;=2,G1619&lt;=2,H1619&lt;=2),"HIBERNATING",TRUE(),"Other")</f>
        <v>Other</v>
      </c>
      <c r="K1619" s="1" t="n">
        <f aca="false">RANK(E1619,$E$7:$E$4378)+COUNTIF($E$7:E1619,E1619)-1</f>
        <v>3475</v>
      </c>
    </row>
    <row r="1620" customFormat="false" ht="14.25" hidden="false" customHeight="true" outlineLevel="0" collapsed="false">
      <c r="A1620" s="51" t="n">
        <v>14524</v>
      </c>
      <c r="B1620" s="53" t="n">
        <v>40855.5201388889</v>
      </c>
      <c r="C1620" s="57" t="n">
        <f aca="false">INT($C$2)-INT(Table3[[#This Row],[Last Purchase Date]])</f>
        <v>32</v>
      </c>
      <c r="D1620" s="1" t="n">
        <v>9</v>
      </c>
      <c r="E1620" s="1" t="n">
        <v>1867.68</v>
      </c>
      <c r="F1620" s="1" t="n">
        <f aca="false">ROUND((1-_xlfn.PERCENTRANK.INC($C$7:$C$4378,C1620))*9,0)</f>
        <v>5</v>
      </c>
      <c r="G1620" s="1" t="n">
        <f aca="false">ROUND(_xlfn.PERCENTRANK.INC($D$7:$D$4378,D1620)*9,0)</f>
        <v>8</v>
      </c>
      <c r="H1620" s="1" t="n">
        <f aca="false">ROUND(_xlfn.PERCENTRANK.INC($E$7:$E$4378,E1620)*9,0)</f>
        <v>7</v>
      </c>
      <c r="I1620" s="1" t="str">
        <f aca="false">CONCATENATE(F1620,G1620,H1620)</f>
        <v>587</v>
      </c>
      <c r="J1620" s="1" t="str">
        <f aca="false">_xlfn.IFS(AND(F1620&gt;=8,G1620&gt;=8,H1620&gt;=8),"CHAMPION",AND(F1620&gt;=6,G1620&gt;=7,H1620&gt;=6),"LOYAL CUSTOMER",AND(F1620&gt;=6,G1620&gt;=5,H1620&gt;=5),"POTENTIAL LOYALIST",AND(F1620&gt;=8,G1620&lt;=2,H1620&gt;=5),"NEW CUSTOMERS",AND(F1620&gt;=6,G1620&lt;=2,H1620&gt;=3),"PROMISING",AND(F1620&gt;=3,G1620&gt;=3,H1620&gt;=3),"NEED ATTENTION",AND(F1620&lt;=4,G1620&gt;=6,H1620&gt;=6),"AT RISK",AND(F1620&lt;=2,G1620&gt;=8,H1620&gt;=8),"CAN'T LOSE THEM",AND(F1620&lt;=2,G1620&lt;=2,H1620&lt;=2),"HIBERNATING",TRUE(),"Other")</f>
        <v>NEED ATTENTION</v>
      </c>
      <c r="K1620" s="1" t="n">
        <f aca="false">RANK(E1620,$E$7:$E$4378)+COUNTIF($E$7:E1620,E1620)-1</f>
        <v>937</v>
      </c>
    </row>
    <row r="1621" customFormat="false" ht="14.25" hidden="false" customHeight="true" outlineLevel="0" collapsed="false">
      <c r="A1621" s="51" t="n">
        <v>14525</v>
      </c>
      <c r="B1621" s="53" t="n">
        <v>40878.3701388889</v>
      </c>
      <c r="C1621" s="57" t="n">
        <f aca="false">INT($C$2)-INT(Table3[[#This Row],[Last Purchase Date]])</f>
        <v>9</v>
      </c>
      <c r="D1621" s="1" t="n">
        <v>13</v>
      </c>
      <c r="E1621" s="1" t="n">
        <v>4221.37</v>
      </c>
      <c r="F1621" s="1" t="n">
        <f aca="false">ROUND((1-_xlfn.PERCENTRANK.INC($C$7:$C$4378,C1621))*9,0)</f>
        <v>8</v>
      </c>
      <c r="G1621" s="1" t="n">
        <f aca="false">ROUND(_xlfn.PERCENTRANK.INC($D$7:$D$4378,D1621)*9,0)</f>
        <v>8</v>
      </c>
      <c r="H1621" s="1" t="n">
        <f aca="false">ROUND(_xlfn.PERCENTRANK.INC($E$7:$E$4378,E1621)*9,0)</f>
        <v>8</v>
      </c>
      <c r="I1621" s="1" t="str">
        <f aca="false">CONCATENATE(F1621,G1621,H1621)</f>
        <v>888</v>
      </c>
      <c r="J1621" s="1" t="str">
        <f aca="false">_xlfn.IFS(AND(F1621&gt;=8,G1621&gt;=8,H1621&gt;=8),"CHAMPION",AND(F1621&gt;=6,G1621&gt;=7,H1621&gt;=6),"LOYAL CUSTOMER",AND(F1621&gt;=6,G1621&gt;=5,H1621&gt;=5),"POTENTIAL LOYALIST",AND(F1621&gt;=8,G1621&lt;=2,H1621&gt;=5),"NEW CUSTOMERS",AND(F1621&gt;=6,G1621&lt;=2,H1621&gt;=3),"PROMISING",AND(F1621&gt;=3,G1621&gt;=3,H1621&gt;=3),"NEED ATTENTION",AND(F1621&lt;=4,G1621&gt;=6,H1621&gt;=6),"AT RISK",AND(F1621&lt;=2,G1621&gt;=8,H1621&gt;=8),"CAN'T LOSE THEM",AND(F1621&lt;=2,G1621&lt;=2,H1621&lt;=2),"HIBERNATING",TRUE(),"Other")</f>
        <v>CHAMPION</v>
      </c>
      <c r="K1621" s="1" t="n">
        <f aca="false">RANK(E1621,$E$7:$E$4378)+COUNTIF($E$7:E1621,E1621)-1</f>
        <v>327</v>
      </c>
    </row>
    <row r="1622" customFormat="false" ht="14.25" hidden="false" customHeight="true" outlineLevel="0" collapsed="false">
      <c r="A1622" s="51" t="n">
        <v>14527</v>
      </c>
      <c r="B1622" s="53" t="n">
        <v>40884.5131944444</v>
      </c>
      <c r="C1622" s="57" t="n">
        <f aca="false">INT($C$2)-INT(Table3[[#This Row],[Last Purchase Date]])</f>
        <v>3</v>
      </c>
      <c r="D1622" s="1" t="n">
        <v>86</v>
      </c>
      <c r="E1622" s="1" t="n">
        <v>7711.37999999995</v>
      </c>
      <c r="F1622" s="1" t="n">
        <f aca="false">ROUND((1-_xlfn.PERCENTRANK.INC($C$7:$C$4378,C1622))*9,0)</f>
        <v>9</v>
      </c>
      <c r="G1622" s="1" t="n">
        <f aca="false">ROUND(_xlfn.PERCENTRANK.INC($D$7:$D$4378,D1622)*9,0)</f>
        <v>9</v>
      </c>
      <c r="H1622" s="1" t="n">
        <f aca="false">ROUND(_xlfn.PERCENTRANK.INC($E$7:$E$4378,E1622)*9,0)</f>
        <v>9</v>
      </c>
      <c r="I1622" s="1" t="str">
        <f aca="false">CONCATENATE(F1622,G1622,H1622)</f>
        <v>999</v>
      </c>
      <c r="J1622" s="1" t="str">
        <f aca="false">_xlfn.IFS(AND(F1622&gt;=8,G1622&gt;=8,H1622&gt;=8),"CHAMPION",AND(F1622&gt;=6,G1622&gt;=7,H1622&gt;=6),"LOYAL CUSTOMER",AND(F1622&gt;=6,G1622&gt;=5,H1622&gt;=5),"POTENTIAL LOYALIST",AND(F1622&gt;=8,G1622&lt;=2,H1622&gt;=5),"NEW CUSTOMERS",AND(F1622&gt;=6,G1622&lt;=2,H1622&gt;=3),"PROMISING",AND(F1622&gt;=3,G1622&gt;=3,H1622&gt;=3),"NEED ATTENTION",AND(F1622&lt;=4,G1622&gt;=6,H1622&gt;=6),"AT RISK",AND(F1622&lt;=2,G1622&gt;=8,H1622&gt;=8),"CAN'T LOSE THEM",AND(F1622&lt;=2,G1622&lt;=2,H1622&lt;=2),"HIBERNATING",TRUE(),"Other")</f>
        <v>CHAMPION</v>
      </c>
      <c r="K1622" s="1" t="n">
        <f aca="false">RANK(E1622,$E$7:$E$4378)+COUNTIF($E$7:E1622,E1622)-1</f>
        <v>137</v>
      </c>
    </row>
    <row r="1623" customFormat="false" ht="14.25" hidden="false" customHeight="true" outlineLevel="0" collapsed="false">
      <c r="A1623" s="51" t="n">
        <v>14528</v>
      </c>
      <c r="B1623" s="53" t="n">
        <v>40849.7145833333</v>
      </c>
      <c r="C1623" s="57" t="n">
        <f aca="false">INT($C$2)-INT(Table3[[#This Row],[Last Purchase Date]])</f>
        <v>38</v>
      </c>
      <c r="D1623" s="1" t="n">
        <v>1</v>
      </c>
      <c r="E1623" s="1" t="n">
        <v>364.22</v>
      </c>
      <c r="F1623" s="1" t="n">
        <f aca="false">ROUND((1-_xlfn.PERCENTRANK.INC($C$7:$C$4378,C1623))*9,0)</f>
        <v>5</v>
      </c>
      <c r="G1623" s="1" t="n">
        <f aca="false">ROUND(_xlfn.PERCENTRANK.INC($D$7:$D$4378,D1623)*9,0)</f>
        <v>0</v>
      </c>
      <c r="H1623" s="1" t="n">
        <f aca="false">ROUND(_xlfn.PERCENTRANK.INC($E$7:$E$4378,E1623)*9,0)</f>
        <v>3</v>
      </c>
      <c r="I1623" s="1" t="str">
        <f aca="false">CONCATENATE(F1623,G1623,H1623)</f>
        <v>503</v>
      </c>
      <c r="J1623" s="1" t="str">
        <f aca="false">_xlfn.IFS(AND(F1623&gt;=8,G1623&gt;=8,H1623&gt;=8),"CHAMPION",AND(F1623&gt;=6,G1623&gt;=7,H1623&gt;=6),"LOYAL CUSTOMER",AND(F1623&gt;=6,G1623&gt;=5,H1623&gt;=5),"POTENTIAL LOYALIST",AND(F1623&gt;=8,G1623&lt;=2,H1623&gt;=5),"NEW CUSTOMERS",AND(F1623&gt;=6,G1623&lt;=2,H1623&gt;=3),"PROMISING",AND(F1623&gt;=3,G1623&gt;=3,H1623&gt;=3),"NEED ATTENTION",AND(F1623&lt;=4,G1623&gt;=6,H1623&gt;=6),"AT RISK",AND(F1623&lt;=2,G1623&gt;=8,H1623&gt;=8),"CAN'T LOSE THEM",AND(F1623&lt;=2,G1623&lt;=2,H1623&lt;=2),"HIBERNATING",TRUE(),"Other")</f>
        <v>Other</v>
      </c>
      <c r="K1623" s="1" t="n">
        <f aca="false">RANK(E1623,$E$7:$E$4378)+COUNTIF($E$7:E1623,E1623)-1</f>
        <v>2943</v>
      </c>
    </row>
    <row r="1624" customFormat="false" ht="14.25" hidden="false" customHeight="true" outlineLevel="0" collapsed="false">
      <c r="A1624" s="51" t="n">
        <v>14529</v>
      </c>
      <c r="B1624" s="53" t="n">
        <v>40826.64375</v>
      </c>
      <c r="C1624" s="57" t="n">
        <f aca="false">INT($C$2)-INT(Table3[[#This Row],[Last Purchase Date]])</f>
        <v>61</v>
      </c>
      <c r="D1624" s="1" t="n">
        <v>3</v>
      </c>
      <c r="E1624" s="1" t="n">
        <v>620.04</v>
      </c>
      <c r="F1624" s="1" t="n">
        <f aca="false">ROUND((1-_xlfn.PERCENTRANK.INC($C$7:$C$4378,C1624))*9,0)</f>
        <v>4</v>
      </c>
      <c r="G1624" s="1" t="n">
        <f aca="false">ROUND(_xlfn.PERCENTRANK.INC($D$7:$D$4378,D1624)*9,0)</f>
        <v>4</v>
      </c>
      <c r="H1624" s="1" t="n">
        <f aca="false">ROUND(_xlfn.PERCENTRANK.INC($E$7:$E$4378,E1624)*9,0)</f>
        <v>4</v>
      </c>
      <c r="I1624" s="1" t="str">
        <f aca="false">CONCATENATE(F1624,G1624,H1624)</f>
        <v>444</v>
      </c>
      <c r="J1624" s="1" t="str">
        <f aca="false">_xlfn.IFS(AND(F1624&gt;=8,G1624&gt;=8,H1624&gt;=8),"CHAMPION",AND(F1624&gt;=6,G1624&gt;=7,H1624&gt;=6),"LOYAL CUSTOMER",AND(F1624&gt;=6,G1624&gt;=5,H1624&gt;=5),"POTENTIAL LOYALIST",AND(F1624&gt;=8,G1624&lt;=2,H1624&gt;=5),"NEW CUSTOMERS",AND(F1624&gt;=6,G1624&lt;=2,H1624&gt;=3),"PROMISING",AND(F1624&gt;=3,G1624&gt;=3,H1624&gt;=3),"NEED ATTENTION",AND(F1624&lt;=4,G1624&gt;=6,H1624&gt;=6),"AT RISK",AND(F1624&lt;=2,G1624&gt;=8,H1624&gt;=8),"CAN'T LOSE THEM",AND(F1624&lt;=2,G1624&lt;=2,H1624&lt;=2),"HIBERNATING",TRUE(),"Other")</f>
        <v>NEED ATTENTION</v>
      </c>
      <c r="K1624" s="1" t="n">
        <f aca="false">RANK(E1624,$E$7:$E$4378)+COUNTIF($E$7:E1624,E1624)-1</f>
        <v>2258</v>
      </c>
    </row>
    <row r="1625" customFormat="false" ht="14.25" hidden="false" customHeight="true" outlineLevel="0" collapsed="false">
      <c r="A1625" s="51" t="n">
        <v>14530</v>
      </c>
      <c r="B1625" s="53" t="n">
        <v>40861.4430555556</v>
      </c>
      <c r="C1625" s="57" t="n">
        <f aca="false">INT($C$2)-INT(Table3[[#This Row],[Last Purchase Date]])</f>
        <v>26</v>
      </c>
      <c r="D1625" s="1" t="n">
        <v>6</v>
      </c>
      <c r="E1625" s="1" t="n">
        <v>2925.91</v>
      </c>
      <c r="F1625" s="1" t="n">
        <f aca="false">ROUND((1-_xlfn.PERCENTRANK.INC($C$7:$C$4378,C1625))*9,0)</f>
        <v>6</v>
      </c>
      <c r="G1625" s="1" t="n">
        <f aca="false">ROUND(_xlfn.PERCENTRANK.INC($D$7:$D$4378,D1625)*9,0)</f>
        <v>7</v>
      </c>
      <c r="H1625" s="1" t="n">
        <f aca="false">ROUND(_xlfn.PERCENTRANK.INC($E$7:$E$4378,E1625)*9,0)</f>
        <v>8</v>
      </c>
      <c r="I1625" s="1" t="str">
        <f aca="false">CONCATENATE(F1625,G1625,H1625)</f>
        <v>678</v>
      </c>
      <c r="J1625" s="1" t="str">
        <f aca="false">_xlfn.IFS(AND(F1625&gt;=8,G1625&gt;=8,H1625&gt;=8),"CHAMPION",AND(F1625&gt;=6,G1625&gt;=7,H1625&gt;=6),"LOYAL CUSTOMER",AND(F1625&gt;=6,G1625&gt;=5,H1625&gt;=5),"POTENTIAL LOYALIST",AND(F1625&gt;=8,G1625&lt;=2,H1625&gt;=5),"NEW CUSTOMERS",AND(F1625&gt;=6,G1625&lt;=2,H1625&gt;=3),"PROMISING",AND(F1625&gt;=3,G1625&gt;=3,H1625&gt;=3),"NEED ATTENTION",AND(F1625&lt;=4,G1625&gt;=6,H1625&gt;=6),"AT RISK",AND(F1625&lt;=2,G1625&gt;=8,H1625&gt;=8),"CAN'T LOSE THEM",AND(F1625&lt;=2,G1625&lt;=2,H1625&lt;=2),"HIBERNATING",TRUE(),"Other")</f>
        <v>LOYAL CUSTOMER</v>
      </c>
      <c r="K1625" s="1" t="n">
        <f aca="false">RANK(E1625,$E$7:$E$4378)+COUNTIF($E$7:E1625,E1625)-1</f>
        <v>557</v>
      </c>
    </row>
    <row r="1626" customFormat="false" ht="14.25" hidden="false" customHeight="true" outlineLevel="0" collapsed="false">
      <c r="A1626" s="51" t="n">
        <v>14532</v>
      </c>
      <c r="B1626" s="53" t="n">
        <v>40650.5451388889</v>
      </c>
      <c r="C1626" s="57" t="n">
        <f aca="false">INT($C$2)-INT(Table3[[#This Row],[Last Purchase Date]])</f>
        <v>237</v>
      </c>
      <c r="D1626" s="1" t="n">
        <v>4</v>
      </c>
      <c r="E1626" s="1" t="n">
        <v>932.85</v>
      </c>
      <c r="F1626" s="1" t="n">
        <f aca="false">ROUND((1-_xlfn.PERCENTRANK.INC($C$7:$C$4378,C1626))*9,0)</f>
        <v>1</v>
      </c>
      <c r="G1626" s="1" t="n">
        <f aca="false">ROUND(_xlfn.PERCENTRANK.INC($D$7:$D$4378,D1626)*9,0)</f>
        <v>5</v>
      </c>
      <c r="H1626" s="1" t="n">
        <f aca="false">ROUND(_xlfn.PERCENTRANK.INC($E$7:$E$4378,E1626)*9,0)</f>
        <v>5</v>
      </c>
      <c r="I1626" s="1" t="str">
        <f aca="false">CONCATENATE(F1626,G1626,H1626)</f>
        <v>155</v>
      </c>
      <c r="J1626" s="1" t="str">
        <f aca="false">_xlfn.IFS(AND(F1626&gt;=8,G1626&gt;=8,H1626&gt;=8),"CHAMPION",AND(F1626&gt;=6,G1626&gt;=7,H1626&gt;=6),"LOYAL CUSTOMER",AND(F1626&gt;=6,G1626&gt;=5,H1626&gt;=5),"POTENTIAL LOYALIST",AND(F1626&gt;=8,G1626&lt;=2,H1626&gt;=5),"NEW CUSTOMERS",AND(F1626&gt;=6,G1626&lt;=2,H1626&gt;=3),"PROMISING",AND(F1626&gt;=3,G1626&gt;=3,H1626&gt;=3),"NEED ATTENTION",AND(F1626&lt;=4,G1626&gt;=6,H1626&gt;=6),"AT RISK",AND(F1626&lt;=2,G1626&gt;=8,H1626&gt;=8),"CAN'T LOSE THEM",AND(F1626&lt;=2,G1626&lt;=2,H1626&lt;=2),"HIBERNATING",TRUE(),"Other")</f>
        <v>Other</v>
      </c>
      <c r="K1626" s="1" t="n">
        <f aca="false">RANK(E1626,$E$7:$E$4378)+COUNTIF($E$7:E1626,E1626)-1</f>
        <v>1718</v>
      </c>
    </row>
    <row r="1627" customFormat="false" ht="14.25" hidden="false" customHeight="true" outlineLevel="0" collapsed="false">
      <c r="A1627" s="51" t="n">
        <v>14533</v>
      </c>
      <c r="B1627" s="53" t="n">
        <v>40862.5034722222</v>
      </c>
      <c r="C1627" s="57" t="n">
        <f aca="false">INT($C$2)-INT(Table3[[#This Row],[Last Purchase Date]])</f>
        <v>25</v>
      </c>
      <c r="D1627" s="1" t="n">
        <v>9</v>
      </c>
      <c r="E1627" s="1" t="n">
        <v>1812.62</v>
      </c>
      <c r="F1627" s="1" t="n">
        <f aca="false">ROUND((1-_xlfn.PERCENTRANK.INC($C$7:$C$4378,C1627))*9,0)</f>
        <v>6</v>
      </c>
      <c r="G1627" s="1" t="n">
        <f aca="false">ROUND(_xlfn.PERCENTRANK.INC($D$7:$D$4378,D1627)*9,0)</f>
        <v>8</v>
      </c>
      <c r="H1627" s="1" t="n">
        <f aca="false">ROUND(_xlfn.PERCENTRANK.INC($E$7:$E$4378,E1627)*9,0)</f>
        <v>7</v>
      </c>
      <c r="I1627" s="1" t="str">
        <f aca="false">CONCATENATE(F1627,G1627,H1627)</f>
        <v>687</v>
      </c>
      <c r="J1627" s="1" t="str">
        <f aca="false">_xlfn.IFS(AND(F1627&gt;=8,G1627&gt;=8,H1627&gt;=8),"CHAMPION",AND(F1627&gt;=6,G1627&gt;=7,H1627&gt;=6),"LOYAL CUSTOMER",AND(F1627&gt;=6,G1627&gt;=5,H1627&gt;=5),"POTENTIAL LOYALIST",AND(F1627&gt;=8,G1627&lt;=2,H1627&gt;=5),"NEW CUSTOMERS",AND(F1627&gt;=6,G1627&lt;=2,H1627&gt;=3),"PROMISING",AND(F1627&gt;=3,G1627&gt;=3,H1627&gt;=3),"NEED ATTENTION",AND(F1627&lt;=4,G1627&gt;=6,H1627&gt;=6),"AT RISK",AND(F1627&lt;=2,G1627&gt;=8,H1627&gt;=8),"CAN'T LOSE THEM",AND(F1627&lt;=2,G1627&lt;=2,H1627&lt;=2),"HIBERNATING",TRUE(),"Other")</f>
        <v>LOYAL CUSTOMER</v>
      </c>
      <c r="K1627" s="1" t="n">
        <f aca="false">RANK(E1627,$E$7:$E$4378)+COUNTIF($E$7:E1627,E1627)-1</f>
        <v>966</v>
      </c>
    </row>
    <row r="1628" customFormat="false" ht="14.25" hidden="false" customHeight="true" outlineLevel="0" collapsed="false">
      <c r="A1628" s="51" t="n">
        <v>14534</v>
      </c>
      <c r="B1628" s="53" t="n">
        <v>40884.5131944444</v>
      </c>
      <c r="C1628" s="57" t="n">
        <f aca="false">INT($C$2)-INT(Table3[[#This Row],[Last Purchase Date]])</f>
        <v>3</v>
      </c>
      <c r="D1628" s="1" t="n">
        <v>25</v>
      </c>
      <c r="E1628" s="1" t="n">
        <v>4075.35</v>
      </c>
      <c r="F1628" s="1" t="n">
        <f aca="false">ROUND((1-_xlfn.PERCENTRANK.INC($C$7:$C$4378,C1628))*9,0)</f>
        <v>9</v>
      </c>
      <c r="G1628" s="1" t="n">
        <f aca="false">ROUND(_xlfn.PERCENTRANK.INC($D$7:$D$4378,D1628)*9,0)</f>
        <v>9</v>
      </c>
      <c r="H1628" s="1" t="n">
        <f aca="false">ROUND(_xlfn.PERCENTRANK.INC($E$7:$E$4378,E1628)*9,0)</f>
        <v>8</v>
      </c>
      <c r="I1628" s="1" t="str">
        <f aca="false">CONCATENATE(F1628,G1628,H1628)</f>
        <v>998</v>
      </c>
      <c r="J1628" s="1" t="str">
        <f aca="false">_xlfn.IFS(AND(F1628&gt;=8,G1628&gt;=8,H1628&gt;=8),"CHAMPION",AND(F1628&gt;=6,G1628&gt;=7,H1628&gt;=6),"LOYAL CUSTOMER",AND(F1628&gt;=6,G1628&gt;=5,H1628&gt;=5),"POTENTIAL LOYALIST",AND(F1628&gt;=8,G1628&lt;=2,H1628&gt;=5),"NEW CUSTOMERS",AND(F1628&gt;=6,G1628&lt;=2,H1628&gt;=3),"PROMISING",AND(F1628&gt;=3,G1628&gt;=3,H1628&gt;=3),"NEED ATTENTION",AND(F1628&lt;=4,G1628&gt;=6,H1628&gt;=6),"AT RISK",AND(F1628&lt;=2,G1628&gt;=8,H1628&gt;=8),"CAN'T LOSE THEM",AND(F1628&lt;=2,G1628&lt;=2,H1628&lt;=2),"HIBERNATING",TRUE(),"Other")</f>
        <v>CHAMPION</v>
      </c>
      <c r="K1628" s="1" t="n">
        <f aca="false">RANK(E1628,$E$7:$E$4378)+COUNTIF($E$7:E1628,E1628)-1</f>
        <v>341</v>
      </c>
    </row>
    <row r="1629" customFormat="false" ht="14.25" hidden="false" customHeight="true" outlineLevel="0" collapsed="false">
      <c r="A1629" s="51" t="n">
        <v>14535</v>
      </c>
      <c r="B1629" s="53" t="n">
        <v>40827.6833333333</v>
      </c>
      <c r="C1629" s="57" t="n">
        <f aca="false">INT($C$2)-INT(Table3[[#This Row],[Last Purchase Date]])</f>
        <v>60</v>
      </c>
      <c r="D1629" s="1" t="n">
        <v>4</v>
      </c>
      <c r="E1629" s="1" t="n">
        <v>2841.09</v>
      </c>
      <c r="F1629" s="1" t="n">
        <f aca="false">ROUND((1-_xlfn.PERCENTRANK.INC($C$7:$C$4378,C1629))*9,0)</f>
        <v>4</v>
      </c>
      <c r="G1629" s="1" t="n">
        <f aca="false">ROUND(_xlfn.PERCENTRANK.INC($D$7:$D$4378,D1629)*9,0)</f>
        <v>5</v>
      </c>
      <c r="H1629" s="1" t="n">
        <f aca="false">ROUND(_xlfn.PERCENTRANK.INC($E$7:$E$4378,E1629)*9,0)</f>
        <v>8</v>
      </c>
      <c r="I1629" s="1" t="str">
        <f aca="false">CONCATENATE(F1629,G1629,H1629)</f>
        <v>458</v>
      </c>
      <c r="J1629" s="1" t="str">
        <f aca="false">_xlfn.IFS(AND(F1629&gt;=8,G1629&gt;=8,H1629&gt;=8),"CHAMPION",AND(F1629&gt;=6,G1629&gt;=7,H1629&gt;=6),"LOYAL CUSTOMER",AND(F1629&gt;=6,G1629&gt;=5,H1629&gt;=5),"POTENTIAL LOYALIST",AND(F1629&gt;=8,G1629&lt;=2,H1629&gt;=5),"NEW CUSTOMERS",AND(F1629&gt;=6,G1629&lt;=2,H1629&gt;=3),"PROMISING",AND(F1629&gt;=3,G1629&gt;=3,H1629&gt;=3),"NEED ATTENTION",AND(F1629&lt;=4,G1629&gt;=6,H1629&gt;=6),"AT RISK",AND(F1629&lt;=2,G1629&gt;=8,H1629&gt;=8),"CAN'T LOSE THEM",AND(F1629&lt;=2,G1629&lt;=2,H1629&lt;=2),"HIBERNATING",TRUE(),"Other")</f>
        <v>NEED ATTENTION</v>
      </c>
      <c r="K1629" s="1" t="n">
        <f aca="false">RANK(E1629,$E$7:$E$4378)+COUNTIF($E$7:E1629,E1629)-1</f>
        <v>576</v>
      </c>
    </row>
    <row r="1630" customFormat="false" ht="14.25" hidden="false" customHeight="true" outlineLevel="0" collapsed="false">
      <c r="A1630" s="51" t="n">
        <v>14536</v>
      </c>
      <c r="B1630" s="53" t="n">
        <v>40627.5145833333</v>
      </c>
      <c r="C1630" s="57" t="n">
        <f aca="false">INT($C$2)-INT(Table3[[#This Row],[Last Purchase Date]])</f>
        <v>260</v>
      </c>
      <c r="D1630" s="1" t="n">
        <v>1</v>
      </c>
      <c r="E1630" s="1" t="n">
        <v>171.8</v>
      </c>
      <c r="F1630" s="1" t="n">
        <f aca="false">ROUND((1-_xlfn.PERCENTRANK.INC($C$7:$C$4378,C1630))*9,0)</f>
        <v>1</v>
      </c>
      <c r="G1630" s="1" t="n">
        <f aca="false">ROUND(_xlfn.PERCENTRANK.INC($D$7:$D$4378,D1630)*9,0)</f>
        <v>0</v>
      </c>
      <c r="H1630" s="1" t="n">
        <f aca="false">ROUND(_xlfn.PERCENTRANK.INC($E$7:$E$4378,E1630)*9,0)</f>
        <v>1</v>
      </c>
      <c r="I1630" s="1" t="str">
        <f aca="false">CONCATENATE(F1630,G1630,H1630)</f>
        <v>101</v>
      </c>
      <c r="J1630" s="1" t="str">
        <f aca="false">_xlfn.IFS(AND(F1630&gt;=8,G1630&gt;=8,H1630&gt;=8),"CHAMPION",AND(F1630&gt;=6,G1630&gt;=7,H1630&gt;=6),"LOYAL CUSTOMER",AND(F1630&gt;=6,G1630&gt;=5,H1630&gt;=5),"POTENTIAL LOYALIST",AND(F1630&gt;=8,G1630&lt;=2,H1630&gt;=5),"NEW CUSTOMERS",AND(F1630&gt;=6,G1630&lt;=2,H1630&gt;=3),"PROMISING",AND(F1630&gt;=3,G1630&gt;=3,H1630&gt;=3),"NEED ATTENTION",AND(F1630&lt;=4,G1630&gt;=6,H1630&gt;=6),"AT RISK",AND(F1630&lt;=2,G1630&gt;=8,H1630&gt;=8),"CAN'T LOSE THEM",AND(F1630&lt;=2,G1630&lt;=2,H1630&lt;=2),"HIBERNATING",TRUE(),"Other")</f>
        <v>HIBERNATING</v>
      </c>
      <c r="K1630" s="1" t="n">
        <f aca="false">RANK(E1630,$E$7:$E$4378)+COUNTIF($E$7:E1630,E1630)-1</f>
        <v>3797</v>
      </c>
    </row>
    <row r="1631" customFormat="false" ht="14.25" hidden="false" customHeight="true" outlineLevel="0" collapsed="false">
      <c r="A1631" s="51" t="n">
        <v>14537</v>
      </c>
      <c r="B1631" s="53" t="n">
        <v>40829.4541666667</v>
      </c>
      <c r="C1631" s="57" t="n">
        <f aca="false">INT($C$2)-INT(Table3[[#This Row],[Last Purchase Date]])</f>
        <v>58</v>
      </c>
      <c r="D1631" s="1" t="n">
        <v>1</v>
      </c>
      <c r="E1631" s="1" t="n">
        <v>355.56</v>
      </c>
      <c r="F1631" s="1" t="n">
        <f aca="false">ROUND((1-_xlfn.PERCENTRANK.INC($C$7:$C$4378,C1631))*9,0)</f>
        <v>4</v>
      </c>
      <c r="G1631" s="1" t="n">
        <f aca="false">ROUND(_xlfn.PERCENTRANK.INC($D$7:$D$4378,D1631)*9,0)</f>
        <v>0</v>
      </c>
      <c r="H1631" s="1" t="n">
        <f aca="false">ROUND(_xlfn.PERCENTRANK.INC($E$7:$E$4378,E1631)*9,0)</f>
        <v>3</v>
      </c>
      <c r="I1631" s="1" t="str">
        <f aca="false">CONCATENATE(F1631,G1631,H1631)</f>
        <v>403</v>
      </c>
      <c r="J1631" s="1" t="str">
        <f aca="false">_xlfn.IFS(AND(F1631&gt;=8,G1631&gt;=8,H1631&gt;=8),"CHAMPION",AND(F1631&gt;=6,G1631&gt;=7,H1631&gt;=6),"LOYAL CUSTOMER",AND(F1631&gt;=6,G1631&gt;=5,H1631&gt;=5),"POTENTIAL LOYALIST",AND(F1631&gt;=8,G1631&lt;=2,H1631&gt;=5),"NEW CUSTOMERS",AND(F1631&gt;=6,G1631&lt;=2,H1631&gt;=3),"PROMISING",AND(F1631&gt;=3,G1631&gt;=3,H1631&gt;=3),"NEED ATTENTION",AND(F1631&lt;=4,G1631&gt;=6,H1631&gt;=6),"AT RISK",AND(F1631&lt;=2,G1631&gt;=8,H1631&gt;=8),"CAN'T LOSE THEM",AND(F1631&lt;=2,G1631&lt;=2,H1631&lt;=2),"HIBERNATING",TRUE(),"Other")</f>
        <v>Other</v>
      </c>
      <c r="K1631" s="1" t="n">
        <f aca="false">RANK(E1631,$E$7:$E$4378)+COUNTIF($E$7:E1631,E1631)-1</f>
        <v>2982</v>
      </c>
    </row>
    <row r="1632" customFormat="false" ht="14.25" hidden="false" customHeight="true" outlineLevel="0" collapsed="false">
      <c r="A1632" s="51" t="n">
        <v>14538</v>
      </c>
      <c r="B1632" s="53" t="n">
        <v>40822.4381944445</v>
      </c>
      <c r="C1632" s="57" t="n">
        <f aca="false">INT($C$2)-INT(Table3[[#This Row],[Last Purchase Date]])</f>
        <v>65</v>
      </c>
      <c r="D1632" s="1" t="n">
        <v>2</v>
      </c>
      <c r="E1632" s="1" t="n">
        <v>388.25</v>
      </c>
      <c r="F1632" s="1" t="n">
        <f aca="false">ROUND((1-_xlfn.PERCENTRANK.INC($C$7:$C$4378,C1632))*9,0)</f>
        <v>4</v>
      </c>
      <c r="G1632" s="1" t="n">
        <f aca="false">ROUND(_xlfn.PERCENTRANK.INC($D$7:$D$4378,D1632)*9,0)</f>
        <v>3</v>
      </c>
      <c r="H1632" s="1" t="n">
        <f aca="false">ROUND(_xlfn.PERCENTRANK.INC($E$7:$E$4378,E1632)*9,0)</f>
        <v>3</v>
      </c>
      <c r="I1632" s="1" t="str">
        <f aca="false">CONCATENATE(F1632,G1632,H1632)</f>
        <v>433</v>
      </c>
      <c r="J1632" s="1" t="str">
        <f aca="false">_xlfn.IFS(AND(F1632&gt;=8,G1632&gt;=8,H1632&gt;=8),"CHAMPION",AND(F1632&gt;=6,G1632&gt;=7,H1632&gt;=6),"LOYAL CUSTOMER",AND(F1632&gt;=6,G1632&gt;=5,H1632&gt;=5),"POTENTIAL LOYALIST",AND(F1632&gt;=8,G1632&lt;=2,H1632&gt;=5),"NEW CUSTOMERS",AND(F1632&gt;=6,G1632&lt;=2,H1632&gt;=3),"PROMISING",AND(F1632&gt;=3,G1632&gt;=3,H1632&gt;=3),"NEED ATTENTION",AND(F1632&lt;=4,G1632&gt;=6,H1632&gt;=6),"AT RISK",AND(F1632&lt;=2,G1632&gt;=8,H1632&gt;=8),"CAN'T LOSE THEM",AND(F1632&lt;=2,G1632&lt;=2,H1632&lt;=2),"HIBERNATING",TRUE(),"Other")</f>
        <v>NEED ATTENTION</v>
      </c>
      <c r="K1632" s="1" t="n">
        <f aca="false">RANK(E1632,$E$7:$E$4378)+COUNTIF($E$7:E1632,E1632)-1</f>
        <v>2858</v>
      </c>
    </row>
    <row r="1633" customFormat="false" ht="14.25" hidden="false" customHeight="true" outlineLevel="0" collapsed="false">
      <c r="A1633" s="51" t="n">
        <v>14539</v>
      </c>
      <c r="B1633" s="53" t="n">
        <v>40871.4097222222</v>
      </c>
      <c r="C1633" s="57" t="n">
        <f aca="false">INT($C$2)-INT(Table3[[#This Row],[Last Purchase Date]])</f>
        <v>16</v>
      </c>
      <c r="D1633" s="1" t="n">
        <v>2</v>
      </c>
      <c r="E1633" s="1" t="n">
        <v>537.48</v>
      </c>
      <c r="F1633" s="1" t="n">
        <f aca="false">ROUND((1-_xlfn.PERCENTRANK.INC($C$7:$C$4378,C1633))*9,0)</f>
        <v>7</v>
      </c>
      <c r="G1633" s="1" t="n">
        <f aca="false">ROUND(_xlfn.PERCENTRANK.INC($D$7:$D$4378,D1633)*9,0)</f>
        <v>3</v>
      </c>
      <c r="H1633" s="1" t="n">
        <f aca="false">ROUND(_xlfn.PERCENTRANK.INC($E$7:$E$4378,E1633)*9,0)</f>
        <v>4</v>
      </c>
      <c r="I1633" s="1" t="str">
        <f aca="false">CONCATENATE(F1633,G1633,H1633)</f>
        <v>734</v>
      </c>
      <c r="J1633" s="1" t="str">
        <f aca="false">_xlfn.IFS(AND(F1633&gt;=8,G1633&gt;=8,H1633&gt;=8),"CHAMPION",AND(F1633&gt;=6,G1633&gt;=7,H1633&gt;=6),"LOYAL CUSTOMER",AND(F1633&gt;=6,G1633&gt;=5,H1633&gt;=5),"POTENTIAL LOYALIST",AND(F1633&gt;=8,G1633&lt;=2,H1633&gt;=5),"NEW CUSTOMERS",AND(F1633&gt;=6,G1633&lt;=2,H1633&gt;=3),"PROMISING",AND(F1633&gt;=3,G1633&gt;=3,H1633&gt;=3),"NEED ATTENTION",AND(F1633&lt;=4,G1633&gt;=6,H1633&gt;=6),"AT RISK",AND(F1633&lt;=2,G1633&gt;=8,H1633&gt;=8),"CAN'T LOSE THEM",AND(F1633&lt;=2,G1633&lt;=2,H1633&lt;=2),"HIBERNATING",TRUE(),"Other")</f>
        <v>NEED ATTENTION</v>
      </c>
      <c r="K1633" s="1" t="n">
        <f aca="false">RANK(E1633,$E$7:$E$4378)+COUNTIF($E$7:E1633,E1633)-1</f>
        <v>2463</v>
      </c>
    </row>
    <row r="1634" customFormat="false" ht="14.25" hidden="false" customHeight="true" outlineLevel="0" collapsed="false">
      <c r="A1634" s="51" t="n">
        <v>14540</v>
      </c>
      <c r="B1634" s="53" t="n">
        <v>40877.4270833333</v>
      </c>
      <c r="C1634" s="57" t="n">
        <f aca="false">INT($C$2)-INT(Table3[[#This Row],[Last Purchase Date]])</f>
        <v>10</v>
      </c>
      <c r="D1634" s="1" t="n">
        <v>3</v>
      </c>
      <c r="E1634" s="1" t="n">
        <v>996.26</v>
      </c>
      <c r="F1634" s="1" t="n">
        <f aca="false">ROUND((1-_xlfn.PERCENTRANK.INC($C$7:$C$4378,C1634))*9,0)</f>
        <v>8</v>
      </c>
      <c r="G1634" s="1" t="n">
        <f aca="false">ROUND(_xlfn.PERCENTRANK.INC($D$7:$D$4378,D1634)*9,0)</f>
        <v>4</v>
      </c>
      <c r="H1634" s="1" t="n">
        <f aca="false">ROUND(_xlfn.PERCENTRANK.INC($E$7:$E$4378,E1634)*9,0)</f>
        <v>6</v>
      </c>
      <c r="I1634" s="1" t="str">
        <f aca="false">CONCATENATE(F1634,G1634,H1634)</f>
        <v>846</v>
      </c>
      <c r="J1634" s="1" t="str">
        <f aca="false">_xlfn.IFS(AND(F1634&gt;=8,G1634&gt;=8,H1634&gt;=8),"CHAMPION",AND(F1634&gt;=6,G1634&gt;=7,H1634&gt;=6),"LOYAL CUSTOMER",AND(F1634&gt;=6,G1634&gt;=5,H1634&gt;=5),"POTENTIAL LOYALIST",AND(F1634&gt;=8,G1634&lt;=2,H1634&gt;=5),"NEW CUSTOMERS",AND(F1634&gt;=6,G1634&lt;=2,H1634&gt;=3),"PROMISING",AND(F1634&gt;=3,G1634&gt;=3,H1634&gt;=3),"NEED ATTENTION",AND(F1634&lt;=4,G1634&gt;=6,H1634&gt;=6),"AT RISK",AND(F1634&lt;=2,G1634&gt;=8,H1634&gt;=8),"CAN'T LOSE THEM",AND(F1634&lt;=2,G1634&lt;=2,H1634&lt;=2),"HIBERNATING",TRUE(),"Other")</f>
        <v>NEED ATTENTION</v>
      </c>
      <c r="K1634" s="1" t="n">
        <f aca="false">RANK(E1634,$E$7:$E$4378)+COUNTIF($E$7:E1634,E1634)-1</f>
        <v>1638</v>
      </c>
    </row>
    <row r="1635" customFormat="false" ht="14.25" hidden="false" customHeight="true" outlineLevel="0" collapsed="false">
      <c r="A1635" s="51" t="n">
        <v>14541</v>
      </c>
      <c r="B1635" s="53" t="n">
        <v>40828.4222222222</v>
      </c>
      <c r="C1635" s="57" t="n">
        <f aca="false">INT($C$2)-INT(Table3[[#This Row],[Last Purchase Date]])</f>
        <v>59</v>
      </c>
      <c r="D1635" s="1" t="n">
        <v>8</v>
      </c>
      <c r="E1635" s="1" t="n">
        <v>1461.65</v>
      </c>
      <c r="F1635" s="1" t="n">
        <f aca="false">ROUND((1-_xlfn.PERCENTRANK.INC($C$7:$C$4378,C1635))*9,0)</f>
        <v>4</v>
      </c>
      <c r="G1635" s="1" t="n">
        <f aca="false">ROUND(_xlfn.PERCENTRANK.INC($D$7:$D$4378,D1635)*9,0)</f>
        <v>7</v>
      </c>
      <c r="H1635" s="1" t="n">
        <f aca="false">ROUND(_xlfn.PERCENTRANK.INC($E$7:$E$4378,E1635)*9,0)</f>
        <v>7</v>
      </c>
      <c r="I1635" s="1" t="str">
        <f aca="false">CONCATENATE(F1635,G1635,H1635)</f>
        <v>477</v>
      </c>
      <c r="J1635" s="1" t="str">
        <f aca="false">_xlfn.IFS(AND(F1635&gt;=8,G1635&gt;=8,H1635&gt;=8),"CHAMPION",AND(F1635&gt;=6,G1635&gt;=7,H1635&gt;=6),"LOYAL CUSTOMER",AND(F1635&gt;=6,G1635&gt;=5,H1635&gt;=5),"POTENTIAL LOYALIST",AND(F1635&gt;=8,G1635&lt;=2,H1635&gt;=5),"NEW CUSTOMERS",AND(F1635&gt;=6,G1635&lt;=2,H1635&gt;=3),"PROMISING",AND(F1635&gt;=3,G1635&gt;=3,H1635&gt;=3),"NEED ATTENTION",AND(F1635&lt;=4,G1635&gt;=6,H1635&gt;=6),"AT RISK",AND(F1635&lt;=2,G1635&gt;=8,H1635&gt;=8),"CAN'T LOSE THEM",AND(F1635&lt;=2,G1635&lt;=2,H1635&lt;=2),"HIBERNATING",TRUE(),"Other")</f>
        <v>NEED ATTENTION</v>
      </c>
      <c r="K1635" s="1" t="n">
        <f aca="false">RANK(E1635,$E$7:$E$4378)+COUNTIF($E$7:E1635,E1635)-1</f>
        <v>1191</v>
      </c>
    </row>
    <row r="1636" customFormat="false" ht="14.25" hidden="false" customHeight="true" outlineLevel="0" collapsed="false">
      <c r="A1636" s="51" t="n">
        <v>14542</v>
      </c>
      <c r="B1636" s="53" t="n">
        <v>40701.3465277778</v>
      </c>
      <c r="C1636" s="57" t="n">
        <f aca="false">INT($C$2)-INT(Table3[[#This Row],[Last Purchase Date]])</f>
        <v>186</v>
      </c>
      <c r="D1636" s="1" t="n">
        <v>1</v>
      </c>
      <c r="E1636" s="1" t="n">
        <v>103.25</v>
      </c>
      <c r="F1636" s="1" t="n">
        <f aca="false">ROUND((1-_xlfn.PERCENTRANK.INC($C$7:$C$4378,C1636))*9,0)</f>
        <v>2</v>
      </c>
      <c r="G1636" s="1" t="n">
        <f aca="false">ROUND(_xlfn.PERCENTRANK.INC($D$7:$D$4378,D1636)*9,0)</f>
        <v>0</v>
      </c>
      <c r="H1636" s="1" t="n">
        <f aca="false">ROUND(_xlfn.PERCENTRANK.INC($E$7:$E$4378,E1636)*9,0)</f>
        <v>0</v>
      </c>
      <c r="I1636" s="1" t="str">
        <f aca="false">CONCATENATE(F1636,G1636,H1636)</f>
        <v>200</v>
      </c>
      <c r="J1636" s="1" t="str">
        <f aca="false">_xlfn.IFS(AND(F1636&gt;=8,G1636&gt;=8,H1636&gt;=8),"CHAMPION",AND(F1636&gt;=6,G1636&gt;=7,H1636&gt;=6),"LOYAL CUSTOMER",AND(F1636&gt;=6,G1636&gt;=5,H1636&gt;=5),"POTENTIAL LOYALIST",AND(F1636&gt;=8,G1636&lt;=2,H1636&gt;=5),"NEW CUSTOMERS",AND(F1636&gt;=6,G1636&lt;=2,H1636&gt;=3),"PROMISING",AND(F1636&gt;=3,G1636&gt;=3,H1636&gt;=3),"NEED ATTENTION",AND(F1636&lt;=4,G1636&gt;=6,H1636&gt;=6),"AT RISK",AND(F1636&lt;=2,G1636&gt;=8,H1636&gt;=8),"CAN'T LOSE THEM",AND(F1636&lt;=2,G1636&lt;=2,H1636&lt;=2),"HIBERNATING",TRUE(),"Other")</f>
        <v>HIBERNATING</v>
      </c>
      <c r="K1636" s="1" t="n">
        <f aca="false">RANK(E1636,$E$7:$E$4378)+COUNTIF($E$7:E1636,E1636)-1</f>
        <v>4140</v>
      </c>
    </row>
    <row r="1637" customFormat="false" ht="14.25" hidden="false" customHeight="true" outlineLevel="0" collapsed="false">
      <c r="A1637" s="51" t="n">
        <v>14543</v>
      </c>
      <c r="B1637" s="53" t="n">
        <v>40883.4388888889</v>
      </c>
      <c r="C1637" s="57" t="n">
        <f aca="false">INT($C$2)-INT(Table3[[#This Row],[Last Purchase Date]])</f>
        <v>4</v>
      </c>
      <c r="D1637" s="1" t="n">
        <v>21</v>
      </c>
      <c r="E1637" s="1" t="n">
        <v>2916.17</v>
      </c>
      <c r="F1637" s="1" t="n">
        <f aca="false">ROUND((1-_xlfn.PERCENTRANK.INC($C$7:$C$4378,C1637))*9,0)</f>
        <v>8</v>
      </c>
      <c r="G1637" s="1" t="n">
        <f aca="false">ROUND(_xlfn.PERCENTRANK.INC($D$7:$D$4378,D1637)*9,0)</f>
        <v>9</v>
      </c>
      <c r="H1637" s="1" t="n">
        <f aca="false">ROUND(_xlfn.PERCENTRANK.INC($E$7:$E$4378,E1637)*9,0)</f>
        <v>8</v>
      </c>
      <c r="I1637" s="1" t="str">
        <f aca="false">CONCATENATE(F1637,G1637,H1637)</f>
        <v>898</v>
      </c>
      <c r="J1637" s="1" t="str">
        <f aca="false">_xlfn.IFS(AND(F1637&gt;=8,G1637&gt;=8,H1637&gt;=8),"CHAMPION",AND(F1637&gt;=6,G1637&gt;=7,H1637&gt;=6),"LOYAL CUSTOMER",AND(F1637&gt;=6,G1637&gt;=5,H1637&gt;=5),"POTENTIAL LOYALIST",AND(F1637&gt;=8,G1637&lt;=2,H1637&gt;=5),"NEW CUSTOMERS",AND(F1637&gt;=6,G1637&lt;=2,H1637&gt;=3),"PROMISING",AND(F1637&gt;=3,G1637&gt;=3,H1637&gt;=3),"NEED ATTENTION",AND(F1637&lt;=4,G1637&gt;=6,H1637&gt;=6),"AT RISK",AND(F1637&lt;=2,G1637&gt;=8,H1637&gt;=8),"CAN'T LOSE THEM",AND(F1637&lt;=2,G1637&lt;=2,H1637&lt;=2),"HIBERNATING",TRUE(),"Other")</f>
        <v>CHAMPION</v>
      </c>
      <c r="K1637" s="1" t="n">
        <f aca="false">RANK(E1637,$E$7:$E$4378)+COUNTIF($E$7:E1637,E1637)-1</f>
        <v>561</v>
      </c>
    </row>
    <row r="1638" customFormat="false" ht="14.25" hidden="false" customHeight="true" outlineLevel="0" collapsed="false">
      <c r="A1638" s="51" t="n">
        <v>14544</v>
      </c>
      <c r="B1638" s="53" t="n">
        <v>40862.6291666667</v>
      </c>
      <c r="C1638" s="57" t="n">
        <f aca="false">INT($C$2)-INT(Table3[[#This Row],[Last Purchase Date]])</f>
        <v>25</v>
      </c>
      <c r="D1638" s="1" t="n">
        <v>2</v>
      </c>
      <c r="E1638" s="1" t="n">
        <v>2024.45</v>
      </c>
      <c r="F1638" s="1" t="n">
        <f aca="false">ROUND((1-_xlfn.PERCENTRANK.INC($C$7:$C$4378,C1638))*9,0)</f>
        <v>6</v>
      </c>
      <c r="G1638" s="1" t="n">
        <f aca="false">ROUND(_xlfn.PERCENTRANK.INC($D$7:$D$4378,D1638)*9,0)</f>
        <v>3</v>
      </c>
      <c r="H1638" s="1" t="n">
        <f aca="false">ROUND(_xlfn.PERCENTRANK.INC($E$7:$E$4378,E1638)*9,0)</f>
        <v>7</v>
      </c>
      <c r="I1638" s="1" t="str">
        <f aca="false">CONCATENATE(F1638,G1638,H1638)</f>
        <v>637</v>
      </c>
      <c r="J1638" s="1" t="str">
        <f aca="false">_xlfn.IFS(AND(F1638&gt;=8,G1638&gt;=8,H1638&gt;=8),"CHAMPION",AND(F1638&gt;=6,G1638&gt;=7,H1638&gt;=6),"LOYAL CUSTOMER",AND(F1638&gt;=6,G1638&gt;=5,H1638&gt;=5),"POTENTIAL LOYALIST",AND(F1638&gt;=8,G1638&lt;=2,H1638&gt;=5),"NEW CUSTOMERS",AND(F1638&gt;=6,G1638&lt;=2,H1638&gt;=3),"PROMISING",AND(F1638&gt;=3,G1638&gt;=3,H1638&gt;=3),"NEED ATTENTION",AND(F1638&lt;=4,G1638&gt;=6,H1638&gt;=6),"AT RISK",AND(F1638&lt;=2,G1638&gt;=8,H1638&gt;=8),"CAN'T LOSE THEM",AND(F1638&lt;=2,G1638&lt;=2,H1638&lt;=2),"HIBERNATING",TRUE(),"Other")</f>
        <v>NEED ATTENTION</v>
      </c>
      <c r="K1638" s="1" t="n">
        <f aca="false">RANK(E1638,$E$7:$E$4378)+COUNTIF($E$7:E1638,E1638)-1</f>
        <v>863</v>
      </c>
    </row>
    <row r="1639" customFormat="false" ht="14.25" hidden="false" customHeight="true" outlineLevel="0" collapsed="false">
      <c r="A1639" s="51" t="n">
        <v>14546</v>
      </c>
      <c r="B1639" s="53" t="n">
        <v>40882.6895833333</v>
      </c>
      <c r="C1639" s="57" t="n">
        <f aca="false">INT($C$2)-INT(Table3[[#This Row],[Last Purchase Date]])</f>
        <v>5</v>
      </c>
      <c r="D1639" s="1" t="n">
        <v>9</v>
      </c>
      <c r="E1639" s="1" t="n">
        <v>2487.02</v>
      </c>
      <c r="F1639" s="1" t="n">
        <f aca="false">ROUND((1-_xlfn.PERCENTRANK.INC($C$7:$C$4378,C1639))*9,0)</f>
        <v>8</v>
      </c>
      <c r="G1639" s="1" t="n">
        <f aca="false">ROUND(_xlfn.PERCENTRANK.INC($D$7:$D$4378,D1639)*9,0)</f>
        <v>8</v>
      </c>
      <c r="H1639" s="1" t="n">
        <f aca="false">ROUND(_xlfn.PERCENTRANK.INC($E$7:$E$4378,E1639)*9,0)</f>
        <v>8</v>
      </c>
      <c r="I1639" s="1" t="str">
        <f aca="false">CONCATENATE(F1639,G1639,H1639)</f>
        <v>888</v>
      </c>
      <c r="J1639" s="1" t="str">
        <f aca="false">_xlfn.IFS(AND(F1639&gt;=8,G1639&gt;=8,H1639&gt;=8),"CHAMPION",AND(F1639&gt;=6,G1639&gt;=7,H1639&gt;=6),"LOYAL CUSTOMER",AND(F1639&gt;=6,G1639&gt;=5,H1639&gt;=5),"POTENTIAL LOYALIST",AND(F1639&gt;=8,G1639&lt;=2,H1639&gt;=5),"NEW CUSTOMERS",AND(F1639&gt;=6,G1639&lt;=2,H1639&gt;=3),"PROMISING",AND(F1639&gt;=3,G1639&gt;=3,H1639&gt;=3),"NEED ATTENTION",AND(F1639&lt;=4,G1639&gt;=6,H1639&gt;=6),"AT RISK",AND(F1639&lt;=2,G1639&gt;=8,H1639&gt;=8),"CAN'T LOSE THEM",AND(F1639&lt;=2,G1639&lt;=2,H1639&lt;=2),"HIBERNATING",TRUE(),"Other")</f>
        <v>CHAMPION</v>
      </c>
      <c r="K1639" s="1" t="n">
        <f aca="false">RANK(E1639,$E$7:$E$4378)+COUNTIF($E$7:E1639,E1639)-1</f>
        <v>684</v>
      </c>
    </row>
    <row r="1640" customFormat="false" ht="14.25" hidden="false" customHeight="true" outlineLevel="0" collapsed="false">
      <c r="A1640" s="51" t="n">
        <v>14547</v>
      </c>
      <c r="B1640" s="53" t="n">
        <v>40883.4625</v>
      </c>
      <c r="C1640" s="57" t="n">
        <f aca="false">INT($C$2)-INT(Table3[[#This Row],[Last Purchase Date]])</f>
        <v>4</v>
      </c>
      <c r="D1640" s="1" t="n">
        <v>9</v>
      </c>
      <c r="E1640" s="1" t="n">
        <v>3986.74</v>
      </c>
      <c r="F1640" s="1" t="n">
        <f aca="false">ROUND((1-_xlfn.PERCENTRANK.INC($C$7:$C$4378,C1640))*9,0)</f>
        <v>8</v>
      </c>
      <c r="G1640" s="1" t="n">
        <f aca="false">ROUND(_xlfn.PERCENTRANK.INC($D$7:$D$4378,D1640)*9,0)</f>
        <v>8</v>
      </c>
      <c r="H1640" s="1" t="n">
        <f aca="false">ROUND(_xlfn.PERCENTRANK.INC($E$7:$E$4378,E1640)*9,0)</f>
        <v>8</v>
      </c>
      <c r="I1640" s="1" t="str">
        <f aca="false">CONCATENATE(F1640,G1640,H1640)</f>
        <v>888</v>
      </c>
      <c r="J1640" s="1" t="str">
        <f aca="false">_xlfn.IFS(AND(F1640&gt;=8,G1640&gt;=8,H1640&gt;=8),"CHAMPION",AND(F1640&gt;=6,G1640&gt;=7,H1640&gt;=6),"LOYAL CUSTOMER",AND(F1640&gt;=6,G1640&gt;=5,H1640&gt;=5),"POTENTIAL LOYALIST",AND(F1640&gt;=8,G1640&lt;=2,H1640&gt;=5),"NEW CUSTOMERS",AND(F1640&gt;=6,G1640&lt;=2,H1640&gt;=3),"PROMISING",AND(F1640&gt;=3,G1640&gt;=3,H1640&gt;=3),"NEED ATTENTION",AND(F1640&lt;=4,G1640&gt;=6,H1640&gt;=6),"AT RISK",AND(F1640&lt;=2,G1640&gt;=8,H1640&gt;=8),"CAN'T LOSE THEM",AND(F1640&lt;=2,G1640&lt;=2,H1640&lt;=2),"HIBERNATING",TRUE(),"Other")</f>
        <v>CHAMPION</v>
      </c>
      <c r="K1640" s="1" t="n">
        <f aca="false">RANK(E1640,$E$7:$E$4378)+COUNTIF($E$7:E1640,E1640)-1</f>
        <v>354</v>
      </c>
    </row>
    <row r="1641" customFormat="false" ht="14.25" hidden="false" customHeight="true" outlineLevel="0" collapsed="false">
      <c r="A1641" s="51" t="n">
        <v>14548</v>
      </c>
      <c r="B1641" s="53" t="n">
        <v>40736.5131944444</v>
      </c>
      <c r="C1641" s="57" t="n">
        <f aca="false">INT($C$2)-INT(Table3[[#This Row],[Last Purchase Date]])</f>
        <v>151</v>
      </c>
      <c r="D1641" s="1" t="n">
        <v>2</v>
      </c>
      <c r="E1641" s="1" t="n">
        <v>652.8</v>
      </c>
      <c r="F1641" s="1" t="n">
        <f aca="false">ROUND((1-_xlfn.PERCENTRANK.INC($C$7:$C$4378,C1641))*9,0)</f>
        <v>2</v>
      </c>
      <c r="G1641" s="1" t="n">
        <f aca="false">ROUND(_xlfn.PERCENTRANK.INC($D$7:$D$4378,D1641)*9,0)</f>
        <v>3</v>
      </c>
      <c r="H1641" s="1" t="n">
        <f aca="false">ROUND(_xlfn.PERCENTRANK.INC($E$7:$E$4378,E1641)*9,0)</f>
        <v>5</v>
      </c>
      <c r="I1641" s="1" t="str">
        <f aca="false">CONCATENATE(F1641,G1641,H1641)</f>
        <v>235</v>
      </c>
      <c r="J1641" s="1" t="str">
        <f aca="false">_xlfn.IFS(AND(F1641&gt;=8,G1641&gt;=8,H1641&gt;=8),"CHAMPION",AND(F1641&gt;=6,G1641&gt;=7,H1641&gt;=6),"LOYAL CUSTOMER",AND(F1641&gt;=6,G1641&gt;=5,H1641&gt;=5),"POTENTIAL LOYALIST",AND(F1641&gt;=8,G1641&lt;=2,H1641&gt;=5),"NEW CUSTOMERS",AND(F1641&gt;=6,G1641&lt;=2,H1641&gt;=3),"PROMISING",AND(F1641&gt;=3,G1641&gt;=3,H1641&gt;=3),"NEED ATTENTION",AND(F1641&lt;=4,G1641&gt;=6,H1641&gt;=6),"AT RISK",AND(F1641&lt;=2,G1641&gt;=8,H1641&gt;=8),"CAN'T LOSE THEM",AND(F1641&lt;=2,G1641&lt;=2,H1641&lt;=2),"HIBERNATING",TRUE(),"Other")</f>
        <v>Other</v>
      </c>
      <c r="K1641" s="1" t="n">
        <f aca="false">RANK(E1641,$E$7:$E$4378)+COUNTIF($E$7:E1641,E1641)-1</f>
        <v>2176</v>
      </c>
    </row>
    <row r="1642" customFormat="false" ht="14.25" hidden="false" customHeight="true" outlineLevel="0" collapsed="false">
      <c r="A1642" s="51" t="n">
        <v>14549</v>
      </c>
      <c r="B1642" s="53" t="n">
        <v>40575.5743055556</v>
      </c>
      <c r="C1642" s="57" t="n">
        <f aca="false">INT($C$2)-INT(Table3[[#This Row],[Last Purchase Date]])</f>
        <v>312</v>
      </c>
      <c r="D1642" s="1" t="n">
        <v>1</v>
      </c>
      <c r="E1642" s="1" t="n">
        <v>289.24</v>
      </c>
      <c r="F1642" s="1" t="n">
        <f aca="false">ROUND((1-_xlfn.PERCENTRANK.INC($C$7:$C$4378,C1642))*9,0)</f>
        <v>0</v>
      </c>
      <c r="G1642" s="1" t="n">
        <f aca="false">ROUND(_xlfn.PERCENTRANK.INC($D$7:$D$4378,D1642)*9,0)</f>
        <v>0</v>
      </c>
      <c r="H1642" s="1" t="n">
        <f aca="false">ROUND(_xlfn.PERCENTRANK.INC($E$7:$E$4378,E1642)*9,0)</f>
        <v>2</v>
      </c>
      <c r="I1642" s="1" t="str">
        <f aca="false">CONCATENATE(F1642,G1642,H1642)</f>
        <v>002</v>
      </c>
      <c r="J1642" s="1" t="str">
        <f aca="false">_xlfn.IFS(AND(F1642&gt;=8,G1642&gt;=8,H1642&gt;=8),"CHAMPION",AND(F1642&gt;=6,G1642&gt;=7,H1642&gt;=6),"LOYAL CUSTOMER",AND(F1642&gt;=6,G1642&gt;=5,H1642&gt;=5),"POTENTIAL LOYALIST",AND(F1642&gt;=8,G1642&lt;=2,H1642&gt;=5),"NEW CUSTOMERS",AND(F1642&gt;=6,G1642&lt;=2,H1642&gt;=3),"PROMISING",AND(F1642&gt;=3,G1642&gt;=3,H1642&gt;=3),"NEED ATTENTION",AND(F1642&lt;=4,G1642&gt;=6,H1642&gt;=6),"AT RISK",AND(F1642&lt;=2,G1642&gt;=8,H1642&gt;=8),"CAN'T LOSE THEM",AND(F1642&lt;=2,G1642&lt;=2,H1642&lt;=2),"HIBERNATING",TRUE(),"Other")</f>
        <v>HIBERNATING</v>
      </c>
      <c r="K1642" s="1" t="n">
        <f aca="false">RANK(E1642,$E$7:$E$4378)+COUNTIF($E$7:E1642,E1642)-1</f>
        <v>3301</v>
      </c>
    </row>
    <row r="1643" customFormat="false" ht="14.25" hidden="false" customHeight="true" outlineLevel="0" collapsed="false">
      <c r="A1643" s="51" t="n">
        <v>14550</v>
      </c>
      <c r="B1643" s="53" t="n">
        <v>40876.5083333333</v>
      </c>
      <c r="C1643" s="57" t="n">
        <f aca="false">INT($C$2)-INT(Table3[[#This Row],[Last Purchase Date]])</f>
        <v>11</v>
      </c>
      <c r="D1643" s="1" t="n">
        <v>2</v>
      </c>
      <c r="E1643" s="1" t="n">
        <v>765.62</v>
      </c>
      <c r="F1643" s="1" t="n">
        <f aca="false">ROUND((1-_xlfn.PERCENTRANK.INC($C$7:$C$4378,C1643))*9,0)</f>
        <v>7</v>
      </c>
      <c r="G1643" s="1" t="n">
        <f aca="false">ROUND(_xlfn.PERCENTRANK.INC($D$7:$D$4378,D1643)*9,0)</f>
        <v>3</v>
      </c>
      <c r="H1643" s="1" t="n">
        <f aca="false">ROUND(_xlfn.PERCENTRANK.INC($E$7:$E$4378,E1643)*9,0)</f>
        <v>5</v>
      </c>
      <c r="I1643" s="1" t="str">
        <f aca="false">CONCATENATE(F1643,G1643,H1643)</f>
        <v>735</v>
      </c>
      <c r="J1643" s="1" t="str">
        <f aca="false">_xlfn.IFS(AND(F1643&gt;=8,G1643&gt;=8,H1643&gt;=8),"CHAMPION",AND(F1643&gt;=6,G1643&gt;=7,H1643&gt;=6),"LOYAL CUSTOMER",AND(F1643&gt;=6,G1643&gt;=5,H1643&gt;=5),"POTENTIAL LOYALIST",AND(F1643&gt;=8,G1643&lt;=2,H1643&gt;=5),"NEW CUSTOMERS",AND(F1643&gt;=6,G1643&lt;=2,H1643&gt;=3),"PROMISING",AND(F1643&gt;=3,G1643&gt;=3,H1643&gt;=3),"NEED ATTENTION",AND(F1643&lt;=4,G1643&gt;=6,H1643&gt;=6),"AT RISK",AND(F1643&lt;=2,G1643&gt;=8,H1643&gt;=8),"CAN'T LOSE THEM",AND(F1643&lt;=2,G1643&lt;=2,H1643&lt;=2),"HIBERNATING",TRUE(),"Other")</f>
        <v>NEED ATTENTION</v>
      </c>
      <c r="K1643" s="1" t="n">
        <f aca="false">RANK(E1643,$E$7:$E$4378)+COUNTIF($E$7:E1643,E1643)-1</f>
        <v>1953</v>
      </c>
    </row>
    <row r="1644" customFormat="false" ht="14.25" hidden="false" customHeight="true" outlineLevel="0" collapsed="false">
      <c r="A1644" s="51" t="n">
        <v>14551</v>
      </c>
      <c r="B1644" s="53" t="n">
        <v>40868.5666666667</v>
      </c>
      <c r="C1644" s="57" t="n">
        <f aca="false">INT($C$2)-INT(Table3[[#This Row],[Last Purchase Date]])</f>
        <v>19</v>
      </c>
      <c r="D1644" s="1" t="n">
        <v>2</v>
      </c>
      <c r="E1644" s="1" t="n">
        <v>186.23</v>
      </c>
      <c r="F1644" s="1" t="n">
        <f aca="false">ROUND((1-_xlfn.PERCENTRANK.INC($C$7:$C$4378,C1644))*9,0)</f>
        <v>7</v>
      </c>
      <c r="G1644" s="1" t="n">
        <f aca="false">ROUND(_xlfn.PERCENTRANK.INC($D$7:$D$4378,D1644)*9,0)</f>
        <v>3</v>
      </c>
      <c r="H1644" s="1" t="n">
        <f aca="false">ROUND(_xlfn.PERCENTRANK.INC($E$7:$E$4378,E1644)*9,0)</f>
        <v>1</v>
      </c>
      <c r="I1644" s="1" t="str">
        <f aca="false">CONCATENATE(F1644,G1644,H1644)</f>
        <v>731</v>
      </c>
      <c r="J1644" s="1" t="str">
        <f aca="false">_xlfn.IFS(AND(F1644&gt;=8,G1644&gt;=8,H1644&gt;=8),"CHAMPION",AND(F1644&gt;=6,G1644&gt;=7,H1644&gt;=6),"LOYAL CUSTOMER",AND(F1644&gt;=6,G1644&gt;=5,H1644&gt;=5),"POTENTIAL LOYALIST",AND(F1644&gt;=8,G1644&lt;=2,H1644&gt;=5),"NEW CUSTOMERS",AND(F1644&gt;=6,G1644&lt;=2,H1644&gt;=3),"PROMISING",AND(F1644&gt;=3,G1644&gt;=3,H1644&gt;=3),"NEED ATTENTION",AND(F1644&lt;=4,G1644&gt;=6,H1644&gt;=6),"AT RISK",AND(F1644&lt;=2,G1644&gt;=8,H1644&gt;=8),"CAN'T LOSE THEM",AND(F1644&lt;=2,G1644&lt;=2,H1644&lt;=2),"HIBERNATING",TRUE(),"Other")</f>
        <v>Other</v>
      </c>
      <c r="K1644" s="1" t="n">
        <f aca="false">RANK(E1644,$E$7:$E$4378)+COUNTIF($E$7:E1644,E1644)-1</f>
        <v>3723</v>
      </c>
    </row>
    <row r="1645" customFormat="false" ht="14.25" hidden="false" customHeight="true" outlineLevel="0" collapsed="false">
      <c r="A1645" s="51" t="n">
        <v>14552</v>
      </c>
      <c r="B1645" s="53" t="n">
        <v>40735.5340277778</v>
      </c>
      <c r="C1645" s="57" t="n">
        <f aca="false">INT($C$2)-INT(Table3[[#This Row],[Last Purchase Date]])</f>
        <v>152</v>
      </c>
      <c r="D1645" s="1" t="n">
        <v>1</v>
      </c>
      <c r="E1645" s="1" t="n">
        <v>165.07</v>
      </c>
      <c r="F1645" s="1" t="n">
        <f aca="false">ROUND((1-_xlfn.PERCENTRANK.INC($C$7:$C$4378,C1645))*9,0)</f>
        <v>2</v>
      </c>
      <c r="G1645" s="1" t="n">
        <f aca="false">ROUND(_xlfn.PERCENTRANK.INC($D$7:$D$4378,D1645)*9,0)</f>
        <v>0</v>
      </c>
      <c r="H1645" s="1" t="n">
        <f aca="false">ROUND(_xlfn.PERCENTRANK.INC($E$7:$E$4378,E1645)*9,0)</f>
        <v>1</v>
      </c>
      <c r="I1645" s="1" t="str">
        <f aca="false">CONCATENATE(F1645,G1645,H1645)</f>
        <v>201</v>
      </c>
      <c r="J1645" s="1" t="str">
        <f aca="false">_xlfn.IFS(AND(F1645&gt;=8,G1645&gt;=8,H1645&gt;=8),"CHAMPION",AND(F1645&gt;=6,G1645&gt;=7,H1645&gt;=6),"LOYAL CUSTOMER",AND(F1645&gt;=6,G1645&gt;=5,H1645&gt;=5),"POTENTIAL LOYALIST",AND(F1645&gt;=8,G1645&lt;=2,H1645&gt;=5),"NEW CUSTOMERS",AND(F1645&gt;=6,G1645&lt;=2,H1645&gt;=3),"PROMISING",AND(F1645&gt;=3,G1645&gt;=3,H1645&gt;=3),"NEED ATTENTION",AND(F1645&lt;=4,G1645&gt;=6,H1645&gt;=6),"AT RISK",AND(F1645&lt;=2,G1645&gt;=8,H1645&gt;=8),"CAN'T LOSE THEM",AND(F1645&lt;=2,G1645&lt;=2,H1645&lt;=2),"HIBERNATING",TRUE(),"Other")</f>
        <v>HIBERNATING</v>
      </c>
      <c r="K1645" s="1" t="n">
        <f aca="false">RANK(E1645,$E$7:$E$4378)+COUNTIF($E$7:E1645,E1645)-1</f>
        <v>3829</v>
      </c>
    </row>
    <row r="1646" customFormat="false" ht="14.25" hidden="false" customHeight="true" outlineLevel="0" collapsed="false">
      <c r="A1646" s="51" t="n">
        <v>14553</v>
      </c>
      <c r="B1646" s="53" t="n">
        <v>40867.5555555556</v>
      </c>
      <c r="C1646" s="57" t="n">
        <f aca="false">INT($C$2)-INT(Table3[[#This Row],[Last Purchase Date]])</f>
        <v>20</v>
      </c>
      <c r="D1646" s="1" t="n">
        <v>5</v>
      </c>
      <c r="E1646" s="1" t="n">
        <v>859.27</v>
      </c>
      <c r="F1646" s="1" t="n">
        <f aca="false">ROUND((1-_xlfn.PERCENTRANK.INC($C$7:$C$4378,C1646))*9,0)</f>
        <v>6</v>
      </c>
      <c r="G1646" s="1" t="n">
        <f aca="false">ROUND(_xlfn.PERCENTRANK.INC($D$7:$D$4378,D1646)*9,0)</f>
        <v>6</v>
      </c>
      <c r="H1646" s="1" t="n">
        <f aca="false">ROUND(_xlfn.PERCENTRANK.INC($E$7:$E$4378,E1646)*9,0)</f>
        <v>5</v>
      </c>
      <c r="I1646" s="1" t="str">
        <f aca="false">CONCATENATE(F1646,G1646,H1646)</f>
        <v>665</v>
      </c>
      <c r="J1646" s="1" t="str">
        <f aca="false">_xlfn.IFS(AND(F1646&gt;=8,G1646&gt;=8,H1646&gt;=8),"CHAMPION",AND(F1646&gt;=6,G1646&gt;=7,H1646&gt;=6),"LOYAL CUSTOMER",AND(F1646&gt;=6,G1646&gt;=5,H1646&gt;=5),"POTENTIAL LOYALIST",AND(F1646&gt;=8,G1646&lt;=2,H1646&gt;=5),"NEW CUSTOMERS",AND(F1646&gt;=6,G1646&lt;=2,H1646&gt;=3),"PROMISING",AND(F1646&gt;=3,G1646&gt;=3,H1646&gt;=3),"NEED ATTENTION",AND(F1646&lt;=4,G1646&gt;=6,H1646&gt;=6),"AT RISK",AND(F1646&lt;=2,G1646&gt;=8,H1646&gt;=8),"CAN'T LOSE THEM",AND(F1646&lt;=2,G1646&lt;=2,H1646&lt;=2),"HIBERNATING",TRUE(),"Other")</f>
        <v>POTENTIAL LOYALIST</v>
      </c>
      <c r="K1646" s="1" t="n">
        <f aca="false">RANK(E1646,$E$7:$E$4378)+COUNTIF($E$7:E1646,E1646)-1</f>
        <v>1820</v>
      </c>
    </row>
    <row r="1647" customFormat="false" ht="14.25" hidden="false" customHeight="true" outlineLevel="0" collapsed="false">
      <c r="A1647" s="51" t="n">
        <v>14554</v>
      </c>
      <c r="B1647" s="53" t="n">
        <v>40876.6972222222</v>
      </c>
      <c r="C1647" s="57" t="n">
        <f aca="false">INT($C$2)-INT(Table3[[#This Row],[Last Purchase Date]])</f>
        <v>11</v>
      </c>
      <c r="D1647" s="1" t="n">
        <v>4</v>
      </c>
      <c r="E1647" s="1" t="n">
        <v>2381.04</v>
      </c>
      <c r="F1647" s="1" t="n">
        <f aca="false">ROUND((1-_xlfn.PERCENTRANK.INC($C$7:$C$4378,C1647))*9,0)</f>
        <v>7</v>
      </c>
      <c r="G1647" s="1" t="n">
        <f aca="false">ROUND(_xlfn.PERCENTRANK.INC($D$7:$D$4378,D1647)*9,0)</f>
        <v>5</v>
      </c>
      <c r="H1647" s="1" t="n">
        <f aca="false">ROUND(_xlfn.PERCENTRANK.INC($E$7:$E$4378,E1647)*9,0)</f>
        <v>8</v>
      </c>
      <c r="I1647" s="1" t="str">
        <f aca="false">CONCATENATE(F1647,G1647,H1647)</f>
        <v>758</v>
      </c>
      <c r="J1647" s="1" t="str">
        <f aca="false">_xlfn.IFS(AND(F1647&gt;=8,G1647&gt;=8,H1647&gt;=8),"CHAMPION",AND(F1647&gt;=6,G1647&gt;=7,H1647&gt;=6),"LOYAL CUSTOMER",AND(F1647&gt;=6,G1647&gt;=5,H1647&gt;=5),"POTENTIAL LOYALIST",AND(F1647&gt;=8,G1647&lt;=2,H1647&gt;=5),"NEW CUSTOMERS",AND(F1647&gt;=6,G1647&lt;=2,H1647&gt;=3),"PROMISING",AND(F1647&gt;=3,G1647&gt;=3,H1647&gt;=3),"NEED ATTENTION",AND(F1647&lt;=4,G1647&gt;=6,H1647&gt;=6),"AT RISK",AND(F1647&lt;=2,G1647&gt;=8,H1647&gt;=8),"CAN'T LOSE THEM",AND(F1647&lt;=2,G1647&lt;=2,H1647&lt;=2),"HIBERNATING",TRUE(),"Other")</f>
        <v>POTENTIAL LOYALIST</v>
      </c>
      <c r="K1647" s="1" t="n">
        <f aca="false">RANK(E1647,$E$7:$E$4378)+COUNTIF($E$7:E1647,E1647)-1</f>
        <v>715</v>
      </c>
    </row>
    <row r="1648" customFormat="false" ht="14.25" hidden="false" customHeight="true" outlineLevel="0" collapsed="false">
      <c r="A1648" s="51" t="n">
        <v>14555</v>
      </c>
      <c r="B1648" s="53" t="n">
        <v>40829.6833333333</v>
      </c>
      <c r="C1648" s="57" t="n">
        <f aca="false">INT($C$2)-INT(Table3[[#This Row],[Last Purchase Date]])</f>
        <v>58</v>
      </c>
      <c r="D1648" s="1" t="n">
        <v>2</v>
      </c>
      <c r="E1648" s="1" t="n">
        <v>324.14</v>
      </c>
      <c r="F1648" s="1" t="n">
        <f aca="false">ROUND((1-_xlfn.PERCENTRANK.INC($C$7:$C$4378,C1648))*9,0)</f>
        <v>4</v>
      </c>
      <c r="G1648" s="1" t="n">
        <f aca="false">ROUND(_xlfn.PERCENTRANK.INC($D$7:$D$4378,D1648)*9,0)</f>
        <v>3</v>
      </c>
      <c r="H1648" s="1" t="n">
        <f aca="false">ROUND(_xlfn.PERCENTRANK.INC($E$7:$E$4378,E1648)*9,0)</f>
        <v>3</v>
      </c>
      <c r="I1648" s="1" t="str">
        <f aca="false">CONCATENATE(F1648,G1648,H1648)</f>
        <v>433</v>
      </c>
      <c r="J1648" s="1" t="str">
        <f aca="false">_xlfn.IFS(AND(F1648&gt;=8,G1648&gt;=8,H1648&gt;=8),"CHAMPION",AND(F1648&gt;=6,G1648&gt;=7,H1648&gt;=6),"LOYAL CUSTOMER",AND(F1648&gt;=6,G1648&gt;=5,H1648&gt;=5),"POTENTIAL LOYALIST",AND(F1648&gt;=8,G1648&lt;=2,H1648&gt;=5),"NEW CUSTOMERS",AND(F1648&gt;=6,G1648&lt;=2,H1648&gt;=3),"PROMISING",AND(F1648&gt;=3,G1648&gt;=3,H1648&gt;=3),"NEED ATTENTION",AND(F1648&lt;=4,G1648&gt;=6,H1648&gt;=6),"AT RISK",AND(F1648&lt;=2,G1648&gt;=8,H1648&gt;=8),"CAN'T LOSE THEM",AND(F1648&lt;=2,G1648&lt;=2,H1648&lt;=2),"HIBERNATING",TRUE(),"Other")</f>
        <v>NEED ATTENTION</v>
      </c>
      <c r="K1648" s="1" t="n">
        <f aca="false">RANK(E1648,$E$7:$E$4378)+COUNTIF($E$7:E1648,E1648)-1</f>
        <v>3122</v>
      </c>
    </row>
    <row r="1649" customFormat="false" ht="14.25" hidden="false" customHeight="true" outlineLevel="0" collapsed="false">
      <c r="A1649" s="51" t="n">
        <v>14557</v>
      </c>
      <c r="B1649" s="53" t="n">
        <v>40822.8583333333</v>
      </c>
      <c r="C1649" s="57" t="n">
        <f aca="false">INT($C$2)-INT(Table3[[#This Row],[Last Purchase Date]])</f>
        <v>65</v>
      </c>
      <c r="D1649" s="1" t="n">
        <v>2</v>
      </c>
      <c r="E1649" s="1" t="n">
        <v>0</v>
      </c>
      <c r="F1649" s="1" t="n">
        <f aca="false">ROUND((1-_xlfn.PERCENTRANK.INC($C$7:$C$4378,C1649))*9,0)</f>
        <v>4</v>
      </c>
      <c r="G1649" s="1" t="n">
        <f aca="false">ROUND(_xlfn.PERCENTRANK.INC($D$7:$D$4378,D1649)*9,0)</f>
        <v>3</v>
      </c>
      <c r="H1649" s="1" t="n">
        <f aca="false">ROUND(_xlfn.PERCENTRANK.INC($E$7:$E$4378,E1649)*9,0)</f>
        <v>0</v>
      </c>
      <c r="I1649" s="1" t="str">
        <f aca="false">CONCATENATE(F1649,G1649,H1649)</f>
        <v>430</v>
      </c>
      <c r="J1649" s="1" t="str">
        <f aca="false">_xlfn.IFS(AND(F1649&gt;=8,G1649&gt;=8,H1649&gt;=8),"CHAMPION",AND(F1649&gt;=6,G1649&gt;=7,H1649&gt;=6),"LOYAL CUSTOMER",AND(F1649&gt;=6,G1649&gt;=5,H1649&gt;=5),"POTENTIAL LOYALIST",AND(F1649&gt;=8,G1649&lt;=2,H1649&gt;=5),"NEW CUSTOMERS",AND(F1649&gt;=6,G1649&lt;=2,H1649&gt;=3),"PROMISING",AND(F1649&gt;=3,G1649&gt;=3,H1649&gt;=3),"NEED ATTENTION",AND(F1649&lt;=4,G1649&gt;=6,H1649&gt;=6),"AT RISK",AND(F1649&lt;=2,G1649&gt;=8,H1649&gt;=8),"CAN'T LOSE THEM",AND(F1649&lt;=2,G1649&lt;=2,H1649&lt;=2),"HIBERNATING",TRUE(),"Other")</f>
        <v>Other</v>
      </c>
      <c r="K1649" s="1" t="n">
        <f aca="false">RANK(E1649,$E$7:$E$4378)+COUNTIF($E$7:E1649,E1649)-1</f>
        <v>4324</v>
      </c>
    </row>
    <row r="1650" customFormat="false" ht="14.25" hidden="false" customHeight="true" outlineLevel="0" collapsed="false">
      <c r="A1650" s="51" t="n">
        <v>14560</v>
      </c>
      <c r="B1650" s="53" t="n">
        <v>40879.6402777778</v>
      </c>
      <c r="C1650" s="57" t="n">
        <f aca="false">INT($C$2)-INT(Table3[[#This Row],[Last Purchase Date]])</f>
        <v>8</v>
      </c>
      <c r="D1650" s="1" t="n">
        <v>24</v>
      </c>
      <c r="E1650" s="1" t="n">
        <v>2174.18</v>
      </c>
      <c r="F1650" s="1" t="n">
        <f aca="false">ROUND((1-_xlfn.PERCENTRANK.INC($C$7:$C$4378,C1650))*9,0)</f>
        <v>8</v>
      </c>
      <c r="G1650" s="1" t="n">
        <f aca="false">ROUND(_xlfn.PERCENTRANK.INC($D$7:$D$4378,D1650)*9,0)</f>
        <v>9</v>
      </c>
      <c r="H1650" s="1" t="n">
        <f aca="false">ROUND(_xlfn.PERCENTRANK.INC($E$7:$E$4378,E1650)*9,0)</f>
        <v>7</v>
      </c>
      <c r="I1650" s="1" t="str">
        <f aca="false">CONCATENATE(F1650,G1650,H1650)</f>
        <v>897</v>
      </c>
      <c r="J1650" s="1" t="str">
        <f aca="false">_xlfn.IFS(AND(F1650&gt;=8,G1650&gt;=8,H1650&gt;=8),"CHAMPION",AND(F1650&gt;=6,G1650&gt;=7,H1650&gt;=6),"LOYAL CUSTOMER",AND(F1650&gt;=6,G1650&gt;=5,H1650&gt;=5),"POTENTIAL LOYALIST",AND(F1650&gt;=8,G1650&lt;=2,H1650&gt;=5),"NEW CUSTOMERS",AND(F1650&gt;=6,G1650&lt;=2,H1650&gt;=3),"PROMISING",AND(F1650&gt;=3,G1650&gt;=3,H1650&gt;=3),"NEED ATTENTION",AND(F1650&lt;=4,G1650&gt;=6,H1650&gt;=6),"AT RISK",AND(F1650&lt;=2,G1650&gt;=8,H1650&gt;=8),"CAN'T LOSE THEM",AND(F1650&lt;=2,G1650&lt;=2,H1650&lt;=2),"HIBERNATING",TRUE(),"Other")</f>
        <v>LOYAL CUSTOMER</v>
      </c>
      <c r="K1650" s="1" t="n">
        <f aca="false">RANK(E1650,$E$7:$E$4378)+COUNTIF($E$7:E1650,E1650)-1</f>
        <v>795</v>
      </c>
    </row>
    <row r="1651" customFormat="false" ht="14.25" hidden="false" customHeight="true" outlineLevel="0" collapsed="false">
      <c r="A1651" s="51" t="n">
        <v>14561</v>
      </c>
      <c r="B1651" s="53" t="n">
        <v>40811.5270833333</v>
      </c>
      <c r="C1651" s="57" t="n">
        <f aca="false">INT($C$2)-INT(Table3[[#This Row],[Last Purchase Date]])</f>
        <v>76</v>
      </c>
      <c r="D1651" s="1" t="n">
        <v>3</v>
      </c>
      <c r="E1651" s="1" t="n">
        <v>1080.76</v>
      </c>
      <c r="F1651" s="1" t="n">
        <f aca="false">ROUND((1-_xlfn.PERCENTRANK.INC($C$7:$C$4378,C1651))*9,0)</f>
        <v>3</v>
      </c>
      <c r="G1651" s="1" t="n">
        <f aca="false">ROUND(_xlfn.PERCENTRANK.INC($D$7:$D$4378,D1651)*9,0)</f>
        <v>4</v>
      </c>
      <c r="H1651" s="1" t="n">
        <f aca="false">ROUND(_xlfn.PERCENTRANK.INC($E$7:$E$4378,E1651)*9,0)</f>
        <v>6</v>
      </c>
      <c r="I1651" s="1" t="str">
        <f aca="false">CONCATENATE(F1651,G1651,H1651)</f>
        <v>346</v>
      </c>
      <c r="J1651" s="1" t="str">
        <f aca="false">_xlfn.IFS(AND(F1651&gt;=8,G1651&gt;=8,H1651&gt;=8),"CHAMPION",AND(F1651&gt;=6,G1651&gt;=7,H1651&gt;=6),"LOYAL CUSTOMER",AND(F1651&gt;=6,G1651&gt;=5,H1651&gt;=5),"POTENTIAL LOYALIST",AND(F1651&gt;=8,G1651&lt;=2,H1651&gt;=5),"NEW CUSTOMERS",AND(F1651&gt;=6,G1651&lt;=2,H1651&gt;=3),"PROMISING",AND(F1651&gt;=3,G1651&gt;=3,H1651&gt;=3),"NEED ATTENTION",AND(F1651&lt;=4,G1651&gt;=6,H1651&gt;=6),"AT RISK",AND(F1651&lt;=2,G1651&gt;=8,H1651&gt;=8),"CAN'T LOSE THEM",AND(F1651&lt;=2,G1651&lt;=2,H1651&lt;=2),"HIBERNATING",TRUE(),"Other")</f>
        <v>NEED ATTENTION</v>
      </c>
      <c r="K1651" s="1" t="n">
        <f aca="false">RANK(E1651,$E$7:$E$4378)+COUNTIF($E$7:E1651,E1651)-1</f>
        <v>1527</v>
      </c>
    </row>
    <row r="1652" customFormat="false" ht="14.25" hidden="false" customHeight="true" outlineLevel="0" collapsed="false">
      <c r="A1652" s="51" t="n">
        <v>14562</v>
      </c>
      <c r="B1652" s="53" t="n">
        <v>40883.4618055556</v>
      </c>
      <c r="C1652" s="57" t="n">
        <f aca="false">INT($C$2)-INT(Table3[[#This Row],[Last Purchase Date]])</f>
        <v>4</v>
      </c>
      <c r="D1652" s="1" t="n">
        <v>22</v>
      </c>
      <c r="E1652" s="1" t="n">
        <v>4709.22</v>
      </c>
      <c r="F1652" s="1" t="n">
        <f aca="false">ROUND((1-_xlfn.PERCENTRANK.INC($C$7:$C$4378,C1652))*9,0)</f>
        <v>8</v>
      </c>
      <c r="G1652" s="1" t="n">
        <f aca="false">ROUND(_xlfn.PERCENTRANK.INC($D$7:$D$4378,D1652)*9,0)</f>
        <v>9</v>
      </c>
      <c r="H1652" s="1" t="n">
        <f aca="false">ROUND(_xlfn.PERCENTRANK.INC($E$7:$E$4378,E1652)*9,0)</f>
        <v>8</v>
      </c>
      <c r="I1652" s="1" t="str">
        <f aca="false">CONCATENATE(F1652,G1652,H1652)</f>
        <v>898</v>
      </c>
      <c r="J1652" s="1" t="str">
        <f aca="false">_xlfn.IFS(AND(F1652&gt;=8,G1652&gt;=8,H1652&gt;=8),"CHAMPION",AND(F1652&gt;=6,G1652&gt;=7,H1652&gt;=6),"LOYAL CUSTOMER",AND(F1652&gt;=6,G1652&gt;=5,H1652&gt;=5),"POTENTIAL LOYALIST",AND(F1652&gt;=8,G1652&lt;=2,H1652&gt;=5),"NEW CUSTOMERS",AND(F1652&gt;=6,G1652&lt;=2,H1652&gt;=3),"PROMISING",AND(F1652&gt;=3,G1652&gt;=3,H1652&gt;=3),"NEED ATTENTION",AND(F1652&lt;=4,G1652&gt;=6,H1652&gt;=6),"AT RISK",AND(F1652&lt;=2,G1652&gt;=8,H1652&gt;=8),"CAN'T LOSE THEM",AND(F1652&lt;=2,G1652&lt;=2,H1652&lt;=2),"HIBERNATING",TRUE(),"Other")</f>
        <v>CHAMPION</v>
      </c>
      <c r="K1652" s="1" t="n">
        <f aca="false">RANK(E1652,$E$7:$E$4378)+COUNTIF($E$7:E1652,E1652)-1</f>
        <v>285</v>
      </c>
    </row>
    <row r="1653" customFormat="false" ht="14.25" hidden="false" customHeight="true" outlineLevel="0" collapsed="false">
      <c r="A1653" s="51" t="n">
        <v>14565</v>
      </c>
      <c r="B1653" s="53" t="n">
        <v>40791.5256944444</v>
      </c>
      <c r="C1653" s="57" t="n">
        <f aca="false">INT($C$2)-INT(Table3[[#This Row],[Last Purchase Date]])</f>
        <v>96</v>
      </c>
      <c r="D1653" s="1" t="n">
        <v>6</v>
      </c>
      <c r="E1653" s="1" t="n">
        <v>3073.77</v>
      </c>
      <c r="F1653" s="1" t="n">
        <f aca="false">ROUND((1-_xlfn.PERCENTRANK.INC($C$7:$C$4378,C1653))*9,0)</f>
        <v>3</v>
      </c>
      <c r="G1653" s="1" t="n">
        <f aca="false">ROUND(_xlfn.PERCENTRANK.INC($D$7:$D$4378,D1653)*9,0)</f>
        <v>7</v>
      </c>
      <c r="H1653" s="1" t="n">
        <f aca="false">ROUND(_xlfn.PERCENTRANK.INC($E$7:$E$4378,E1653)*9,0)</f>
        <v>8</v>
      </c>
      <c r="I1653" s="1" t="str">
        <f aca="false">CONCATENATE(F1653,G1653,H1653)</f>
        <v>378</v>
      </c>
      <c r="J1653" s="1" t="str">
        <f aca="false">_xlfn.IFS(AND(F1653&gt;=8,G1653&gt;=8,H1653&gt;=8),"CHAMPION",AND(F1653&gt;=6,G1653&gt;=7,H1653&gt;=6),"LOYAL CUSTOMER",AND(F1653&gt;=6,G1653&gt;=5,H1653&gt;=5),"POTENTIAL LOYALIST",AND(F1653&gt;=8,G1653&lt;=2,H1653&gt;=5),"NEW CUSTOMERS",AND(F1653&gt;=6,G1653&lt;=2,H1653&gt;=3),"PROMISING",AND(F1653&gt;=3,G1653&gt;=3,H1653&gt;=3),"NEED ATTENTION",AND(F1653&lt;=4,G1653&gt;=6,H1653&gt;=6),"AT RISK",AND(F1653&lt;=2,G1653&gt;=8,H1653&gt;=8),"CAN'T LOSE THEM",AND(F1653&lt;=2,G1653&lt;=2,H1653&lt;=2),"HIBERNATING",TRUE(),"Other")</f>
        <v>NEED ATTENTION</v>
      </c>
      <c r="K1653" s="1" t="n">
        <f aca="false">RANK(E1653,$E$7:$E$4378)+COUNTIF($E$7:E1653,E1653)-1</f>
        <v>525</v>
      </c>
    </row>
    <row r="1654" customFormat="false" ht="14.25" hidden="false" customHeight="true" outlineLevel="0" collapsed="false">
      <c r="A1654" s="51" t="n">
        <v>14566</v>
      </c>
      <c r="B1654" s="53" t="n">
        <v>40776.4618055556</v>
      </c>
      <c r="C1654" s="57" t="n">
        <f aca="false">INT($C$2)-INT(Table3[[#This Row],[Last Purchase Date]])</f>
        <v>111</v>
      </c>
      <c r="D1654" s="1" t="n">
        <v>1</v>
      </c>
      <c r="E1654" s="1" t="n">
        <v>1432</v>
      </c>
      <c r="F1654" s="1" t="n">
        <f aca="false">ROUND((1-_xlfn.PERCENTRANK.INC($C$7:$C$4378,C1654))*9,0)</f>
        <v>3</v>
      </c>
      <c r="G1654" s="1" t="n">
        <f aca="false">ROUND(_xlfn.PERCENTRANK.INC($D$7:$D$4378,D1654)*9,0)</f>
        <v>0</v>
      </c>
      <c r="H1654" s="1" t="n">
        <f aca="false">ROUND(_xlfn.PERCENTRANK.INC($E$7:$E$4378,E1654)*9,0)</f>
        <v>7</v>
      </c>
      <c r="I1654" s="1" t="str">
        <f aca="false">CONCATENATE(F1654,G1654,H1654)</f>
        <v>307</v>
      </c>
      <c r="J1654" s="1" t="str">
        <f aca="false">_xlfn.IFS(AND(F1654&gt;=8,G1654&gt;=8,H1654&gt;=8),"CHAMPION",AND(F1654&gt;=6,G1654&gt;=7,H1654&gt;=6),"LOYAL CUSTOMER",AND(F1654&gt;=6,G1654&gt;=5,H1654&gt;=5),"POTENTIAL LOYALIST",AND(F1654&gt;=8,G1654&lt;=2,H1654&gt;=5),"NEW CUSTOMERS",AND(F1654&gt;=6,G1654&lt;=2,H1654&gt;=3),"PROMISING",AND(F1654&gt;=3,G1654&gt;=3,H1654&gt;=3),"NEED ATTENTION",AND(F1654&lt;=4,G1654&gt;=6,H1654&gt;=6),"AT RISK",AND(F1654&lt;=2,G1654&gt;=8,H1654&gt;=8),"CAN'T LOSE THEM",AND(F1654&lt;=2,G1654&lt;=2,H1654&lt;=2),"HIBERNATING",TRUE(),"Other")</f>
        <v>Other</v>
      </c>
      <c r="K1654" s="1" t="n">
        <f aca="false">RANK(E1654,$E$7:$E$4378)+COUNTIF($E$7:E1654,E1654)-1</f>
        <v>1209</v>
      </c>
    </row>
    <row r="1655" customFormat="false" ht="14.25" hidden="false" customHeight="true" outlineLevel="0" collapsed="false">
      <c r="A1655" s="51" t="n">
        <v>14567</v>
      </c>
      <c r="B1655" s="53" t="n">
        <v>40851.58125</v>
      </c>
      <c r="C1655" s="57" t="n">
        <f aca="false">INT($C$2)-INT(Table3[[#This Row],[Last Purchase Date]])</f>
        <v>36</v>
      </c>
      <c r="D1655" s="1" t="n">
        <v>3</v>
      </c>
      <c r="E1655" s="1" t="n">
        <v>1524.46</v>
      </c>
      <c r="F1655" s="1" t="n">
        <f aca="false">ROUND((1-_xlfn.PERCENTRANK.INC($C$7:$C$4378,C1655))*9,0)</f>
        <v>5</v>
      </c>
      <c r="G1655" s="1" t="n">
        <f aca="false">ROUND(_xlfn.PERCENTRANK.INC($D$7:$D$4378,D1655)*9,0)</f>
        <v>4</v>
      </c>
      <c r="H1655" s="1" t="n">
        <f aca="false">ROUND(_xlfn.PERCENTRANK.INC($E$7:$E$4378,E1655)*9,0)</f>
        <v>7</v>
      </c>
      <c r="I1655" s="1" t="str">
        <f aca="false">CONCATENATE(F1655,G1655,H1655)</f>
        <v>547</v>
      </c>
      <c r="J1655" s="1" t="str">
        <f aca="false">_xlfn.IFS(AND(F1655&gt;=8,G1655&gt;=8,H1655&gt;=8),"CHAMPION",AND(F1655&gt;=6,G1655&gt;=7,H1655&gt;=6),"LOYAL CUSTOMER",AND(F1655&gt;=6,G1655&gt;=5,H1655&gt;=5),"POTENTIAL LOYALIST",AND(F1655&gt;=8,G1655&lt;=2,H1655&gt;=5),"NEW CUSTOMERS",AND(F1655&gt;=6,G1655&lt;=2,H1655&gt;=3),"PROMISING",AND(F1655&gt;=3,G1655&gt;=3,H1655&gt;=3),"NEED ATTENTION",AND(F1655&lt;=4,G1655&gt;=6,H1655&gt;=6),"AT RISK",AND(F1655&lt;=2,G1655&gt;=8,H1655&gt;=8),"CAN'T LOSE THEM",AND(F1655&lt;=2,G1655&lt;=2,H1655&lt;=2),"HIBERNATING",TRUE(),"Other")</f>
        <v>NEED ATTENTION</v>
      </c>
      <c r="K1655" s="1" t="n">
        <f aca="false">RANK(E1655,$E$7:$E$4378)+COUNTIF($E$7:E1655,E1655)-1</f>
        <v>1143</v>
      </c>
    </row>
    <row r="1656" customFormat="false" ht="14.25" hidden="false" customHeight="true" outlineLevel="0" collapsed="false">
      <c r="A1656" s="51" t="n">
        <v>14569</v>
      </c>
      <c r="B1656" s="53" t="n">
        <v>40885.6236111111</v>
      </c>
      <c r="C1656" s="57" t="n">
        <f aca="false">INT($C$2)-INT(Table3[[#This Row],[Last Purchase Date]])</f>
        <v>2</v>
      </c>
      <c r="D1656" s="1" t="n">
        <v>1</v>
      </c>
      <c r="E1656" s="1" t="n">
        <v>227.39</v>
      </c>
      <c r="F1656" s="1" t="n">
        <f aca="false">ROUND((1-_xlfn.PERCENTRANK.INC($C$7:$C$4378,C1656))*9,0)</f>
        <v>9</v>
      </c>
      <c r="G1656" s="1" t="n">
        <f aca="false">ROUND(_xlfn.PERCENTRANK.INC($D$7:$D$4378,D1656)*9,0)</f>
        <v>0</v>
      </c>
      <c r="H1656" s="1" t="n">
        <f aca="false">ROUND(_xlfn.PERCENTRANK.INC($E$7:$E$4378,E1656)*9,0)</f>
        <v>2</v>
      </c>
      <c r="I1656" s="1" t="str">
        <f aca="false">CONCATENATE(F1656,G1656,H1656)</f>
        <v>902</v>
      </c>
      <c r="J1656" s="1" t="str">
        <f aca="false">_xlfn.IFS(AND(F1656&gt;=8,G1656&gt;=8,H1656&gt;=8),"CHAMPION",AND(F1656&gt;=6,G1656&gt;=7,H1656&gt;=6),"LOYAL CUSTOMER",AND(F1656&gt;=6,G1656&gt;=5,H1656&gt;=5),"POTENTIAL LOYALIST",AND(F1656&gt;=8,G1656&lt;=2,H1656&gt;=5),"NEW CUSTOMERS",AND(F1656&gt;=6,G1656&lt;=2,H1656&gt;=3),"PROMISING",AND(F1656&gt;=3,G1656&gt;=3,H1656&gt;=3),"NEED ATTENTION",AND(F1656&lt;=4,G1656&gt;=6,H1656&gt;=6),"AT RISK",AND(F1656&lt;=2,G1656&gt;=8,H1656&gt;=8),"CAN'T LOSE THEM",AND(F1656&lt;=2,G1656&lt;=2,H1656&lt;=2),"HIBERNATING",TRUE(),"Other")</f>
        <v>Other</v>
      </c>
      <c r="K1656" s="1" t="n">
        <f aca="false">RANK(E1656,$E$7:$E$4378)+COUNTIF($E$7:E1656,E1656)-1</f>
        <v>3529</v>
      </c>
    </row>
    <row r="1657" customFormat="false" ht="14.25" hidden="false" customHeight="true" outlineLevel="0" collapsed="false">
      <c r="A1657" s="51" t="n">
        <v>14570</v>
      </c>
      <c r="B1657" s="53" t="n">
        <v>40606.4569444444</v>
      </c>
      <c r="C1657" s="57" t="n">
        <f aca="false">INT($C$2)-INT(Table3[[#This Row],[Last Purchase Date]])</f>
        <v>281</v>
      </c>
      <c r="D1657" s="1" t="n">
        <v>2</v>
      </c>
      <c r="E1657" s="1" t="n">
        <v>218.06</v>
      </c>
      <c r="F1657" s="1" t="n">
        <f aca="false">ROUND((1-_xlfn.PERCENTRANK.INC($C$7:$C$4378,C1657))*9,0)</f>
        <v>1</v>
      </c>
      <c r="G1657" s="1" t="n">
        <f aca="false">ROUND(_xlfn.PERCENTRANK.INC($D$7:$D$4378,D1657)*9,0)</f>
        <v>3</v>
      </c>
      <c r="H1657" s="1" t="n">
        <f aca="false">ROUND(_xlfn.PERCENTRANK.INC($E$7:$E$4378,E1657)*9,0)</f>
        <v>2</v>
      </c>
      <c r="I1657" s="1" t="str">
        <f aca="false">CONCATENATE(F1657,G1657,H1657)</f>
        <v>132</v>
      </c>
      <c r="J1657" s="1" t="str">
        <f aca="false">_xlfn.IFS(AND(F1657&gt;=8,G1657&gt;=8,H1657&gt;=8),"CHAMPION",AND(F1657&gt;=6,G1657&gt;=7,H1657&gt;=6),"LOYAL CUSTOMER",AND(F1657&gt;=6,G1657&gt;=5,H1657&gt;=5),"POTENTIAL LOYALIST",AND(F1657&gt;=8,G1657&lt;=2,H1657&gt;=5),"NEW CUSTOMERS",AND(F1657&gt;=6,G1657&lt;=2,H1657&gt;=3),"PROMISING",AND(F1657&gt;=3,G1657&gt;=3,H1657&gt;=3),"NEED ATTENTION",AND(F1657&lt;=4,G1657&gt;=6,H1657&gt;=6),"AT RISK",AND(F1657&lt;=2,G1657&gt;=8,H1657&gt;=8),"CAN'T LOSE THEM",AND(F1657&lt;=2,G1657&lt;=2,H1657&lt;=2),"HIBERNATING",TRUE(),"Other")</f>
        <v>Other</v>
      </c>
      <c r="K1657" s="1" t="n">
        <f aca="false">RANK(E1657,$E$7:$E$4378)+COUNTIF($E$7:E1657,E1657)-1</f>
        <v>3570</v>
      </c>
    </row>
    <row r="1658" customFormat="false" ht="14.25" hidden="false" customHeight="true" outlineLevel="0" collapsed="false">
      <c r="A1658" s="51" t="n">
        <v>14572</v>
      </c>
      <c r="B1658" s="53" t="n">
        <v>40883.6111111111</v>
      </c>
      <c r="C1658" s="57" t="n">
        <f aca="false">INT($C$2)-INT(Table3[[#This Row],[Last Purchase Date]])</f>
        <v>4</v>
      </c>
      <c r="D1658" s="1" t="n">
        <v>10</v>
      </c>
      <c r="E1658" s="1" t="n">
        <v>2803.69</v>
      </c>
      <c r="F1658" s="1" t="n">
        <f aca="false">ROUND((1-_xlfn.PERCENTRANK.INC($C$7:$C$4378,C1658))*9,0)</f>
        <v>8</v>
      </c>
      <c r="G1658" s="1" t="n">
        <f aca="false">ROUND(_xlfn.PERCENTRANK.INC($D$7:$D$4378,D1658)*9,0)</f>
        <v>8</v>
      </c>
      <c r="H1658" s="1" t="n">
        <f aca="false">ROUND(_xlfn.PERCENTRANK.INC($E$7:$E$4378,E1658)*9,0)</f>
        <v>8</v>
      </c>
      <c r="I1658" s="1" t="str">
        <f aca="false">CONCATENATE(F1658,G1658,H1658)</f>
        <v>888</v>
      </c>
      <c r="J1658" s="1" t="str">
        <f aca="false">_xlfn.IFS(AND(F1658&gt;=8,G1658&gt;=8,H1658&gt;=8),"CHAMPION",AND(F1658&gt;=6,G1658&gt;=7,H1658&gt;=6),"LOYAL CUSTOMER",AND(F1658&gt;=6,G1658&gt;=5,H1658&gt;=5),"POTENTIAL LOYALIST",AND(F1658&gt;=8,G1658&lt;=2,H1658&gt;=5),"NEW CUSTOMERS",AND(F1658&gt;=6,G1658&lt;=2,H1658&gt;=3),"PROMISING",AND(F1658&gt;=3,G1658&gt;=3,H1658&gt;=3),"NEED ATTENTION",AND(F1658&lt;=4,G1658&gt;=6,H1658&gt;=6),"AT RISK",AND(F1658&lt;=2,G1658&gt;=8,H1658&gt;=8),"CAN'T LOSE THEM",AND(F1658&lt;=2,G1658&lt;=2,H1658&lt;=2),"HIBERNATING",TRUE(),"Other")</f>
        <v>CHAMPION</v>
      </c>
      <c r="K1658" s="1" t="n">
        <f aca="false">RANK(E1658,$E$7:$E$4378)+COUNTIF($E$7:E1658,E1658)-1</f>
        <v>584</v>
      </c>
    </row>
    <row r="1659" customFormat="false" ht="14.25" hidden="false" customHeight="true" outlineLevel="0" collapsed="false">
      <c r="A1659" s="51" t="n">
        <v>14573</v>
      </c>
      <c r="B1659" s="53" t="n">
        <v>40707.46875</v>
      </c>
      <c r="C1659" s="57" t="n">
        <f aca="false">INT($C$2)-INT(Table3[[#This Row],[Last Purchase Date]])</f>
        <v>180</v>
      </c>
      <c r="D1659" s="1" t="n">
        <v>13</v>
      </c>
      <c r="E1659" s="1" t="n">
        <v>1603.72</v>
      </c>
      <c r="F1659" s="1" t="n">
        <f aca="false">ROUND((1-_xlfn.PERCENTRANK.INC($C$7:$C$4378,C1659))*9,0)</f>
        <v>2</v>
      </c>
      <c r="G1659" s="1" t="n">
        <f aca="false">ROUND(_xlfn.PERCENTRANK.INC($D$7:$D$4378,D1659)*9,0)</f>
        <v>8</v>
      </c>
      <c r="H1659" s="1" t="n">
        <f aca="false">ROUND(_xlfn.PERCENTRANK.INC($E$7:$E$4378,E1659)*9,0)</f>
        <v>7</v>
      </c>
      <c r="I1659" s="1" t="str">
        <f aca="false">CONCATENATE(F1659,G1659,H1659)</f>
        <v>287</v>
      </c>
      <c r="J1659" s="1" t="str">
        <f aca="false">_xlfn.IFS(AND(F1659&gt;=8,G1659&gt;=8,H1659&gt;=8),"CHAMPION",AND(F1659&gt;=6,G1659&gt;=7,H1659&gt;=6),"LOYAL CUSTOMER",AND(F1659&gt;=6,G1659&gt;=5,H1659&gt;=5),"POTENTIAL LOYALIST",AND(F1659&gt;=8,G1659&lt;=2,H1659&gt;=5),"NEW CUSTOMERS",AND(F1659&gt;=6,G1659&lt;=2,H1659&gt;=3),"PROMISING",AND(F1659&gt;=3,G1659&gt;=3,H1659&gt;=3),"NEED ATTENTION",AND(F1659&lt;=4,G1659&gt;=6,H1659&gt;=6),"AT RISK",AND(F1659&lt;=2,G1659&gt;=8,H1659&gt;=8),"CAN'T LOSE THEM",AND(F1659&lt;=2,G1659&lt;=2,H1659&lt;=2),"HIBERNATING",TRUE(),"Other")</f>
        <v>AT RISK</v>
      </c>
      <c r="K1659" s="1" t="n">
        <f aca="false">RANK(E1659,$E$7:$E$4378)+COUNTIF($E$7:E1659,E1659)-1</f>
        <v>1101</v>
      </c>
    </row>
    <row r="1660" customFormat="false" ht="14.25" hidden="false" customHeight="true" outlineLevel="0" collapsed="false">
      <c r="A1660" s="51" t="n">
        <v>14576</v>
      </c>
      <c r="B1660" s="53" t="n">
        <v>40514.74375</v>
      </c>
      <c r="C1660" s="57" t="n">
        <f aca="false">INT($C$2)-INT(Table3[[#This Row],[Last Purchase Date]])</f>
        <v>373</v>
      </c>
      <c r="D1660" s="1" t="n">
        <v>1</v>
      </c>
      <c r="E1660" s="1" t="n">
        <v>35.4</v>
      </c>
      <c r="F1660" s="1" t="n">
        <f aca="false">ROUND((1-_xlfn.PERCENTRANK.INC($C$7:$C$4378,C1660))*9,0)</f>
        <v>0</v>
      </c>
      <c r="G1660" s="1" t="n">
        <f aca="false">ROUND(_xlfn.PERCENTRANK.INC($D$7:$D$4378,D1660)*9,0)</f>
        <v>0</v>
      </c>
      <c r="H1660" s="1" t="n">
        <f aca="false">ROUND(_xlfn.PERCENTRANK.INC($E$7:$E$4378,E1660)*9,0)</f>
        <v>0</v>
      </c>
      <c r="I1660" s="1" t="str">
        <f aca="false">CONCATENATE(F1660,G1660,H1660)</f>
        <v>000</v>
      </c>
      <c r="J1660" s="1" t="str">
        <f aca="false">_xlfn.IFS(AND(F1660&gt;=8,G1660&gt;=8,H1660&gt;=8),"CHAMPION",AND(F1660&gt;=6,G1660&gt;=7,H1660&gt;=6),"LOYAL CUSTOMER",AND(F1660&gt;=6,G1660&gt;=5,H1660&gt;=5),"POTENTIAL LOYALIST",AND(F1660&gt;=8,G1660&lt;=2,H1660&gt;=5),"NEW CUSTOMERS",AND(F1660&gt;=6,G1660&lt;=2,H1660&gt;=3),"PROMISING",AND(F1660&gt;=3,G1660&gt;=3,H1660&gt;=3),"NEED ATTENTION",AND(F1660&lt;=4,G1660&gt;=6,H1660&gt;=6),"AT RISK",AND(F1660&lt;=2,G1660&gt;=8,H1660&gt;=8),"CAN'T LOSE THEM",AND(F1660&lt;=2,G1660&lt;=2,H1660&lt;=2),"HIBERNATING",TRUE(),"Other")</f>
        <v>HIBERNATING</v>
      </c>
      <c r="K1660" s="1" t="n">
        <f aca="false">RANK(E1660,$E$7:$E$4378)+COUNTIF($E$7:E1660,E1660)-1</f>
        <v>4299</v>
      </c>
    </row>
    <row r="1661" customFormat="false" ht="14.25" hidden="false" customHeight="true" outlineLevel="0" collapsed="false">
      <c r="A1661" s="51" t="n">
        <v>14577</v>
      </c>
      <c r="B1661" s="53" t="n">
        <v>40874.5326388889</v>
      </c>
      <c r="C1661" s="57" t="n">
        <f aca="false">INT($C$2)-INT(Table3[[#This Row],[Last Purchase Date]])</f>
        <v>13</v>
      </c>
      <c r="D1661" s="1" t="n">
        <v>4</v>
      </c>
      <c r="E1661" s="1" t="n">
        <v>859.710000000001</v>
      </c>
      <c r="F1661" s="1" t="n">
        <f aca="false">ROUND((1-_xlfn.PERCENTRANK.INC($C$7:$C$4378,C1661))*9,0)</f>
        <v>7</v>
      </c>
      <c r="G1661" s="1" t="n">
        <f aca="false">ROUND(_xlfn.PERCENTRANK.INC($D$7:$D$4378,D1661)*9,0)</f>
        <v>5</v>
      </c>
      <c r="H1661" s="1" t="n">
        <f aca="false">ROUND(_xlfn.PERCENTRANK.INC($E$7:$E$4378,E1661)*9,0)</f>
        <v>5</v>
      </c>
      <c r="I1661" s="1" t="str">
        <f aca="false">CONCATENATE(F1661,G1661,H1661)</f>
        <v>755</v>
      </c>
      <c r="J1661" s="1" t="str">
        <f aca="false">_xlfn.IFS(AND(F1661&gt;=8,G1661&gt;=8,H1661&gt;=8),"CHAMPION",AND(F1661&gt;=6,G1661&gt;=7,H1661&gt;=6),"LOYAL CUSTOMER",AND(F1661&gt;=6,G1661&gt;=5,H1661&gt;=5),"POTENTIAL LOYALIST",AND(F1661&gt;=8,G1661&lt;=2,H1661&gt;=5),"NEW CUSTOMERS",AND(F1661&gt;=6,G1661&lt;=2,H1661&gt;=3),"PROMISING",AND(F1661&gt;=3,G1661&gt;=3,H1661&gt;=3),"NEED ATTENTION",AND(F1661&lt;=4,G1661&gt;=6,H1661&gt;=6),"AT RISK",AND(F1661&lt;=2,G1661&gt;=8,H1661&gt;=8),"CAN'T LOSE THEM",AND(F1661&lt;=2,G1661&lt;=2,H1661&lt;=2),"HIBERNATING",TRUE(),"Other")</f>
        <v>POTENTIAL LOYALIST</v>
      </c>
      <c r="K1661" s="1" t="n">
        <f aca="false">RANK(E1661,$E$7:$E$4378)+COUNTIF($E$7:E1661,E1661)-1</f>
        <v>1818</v>
      </c>
    </row>
    <row r="1662" customFormat="false" ht="14.25" hidden="false" customHeight="true" outlineLevel="0" collapsed="false">
      <c r="A1662" s="51" t="n">
        <v>14578</v>
      </c>
      <c r="B1662" s="53" t="n">
        <v>40883.7208333333</v>
      </c>
      <c r="C1662" s="57" t="n">
        <f aca="false">INT($C$2)-INT(Table3[[#This Row],[Last Purchase Date]])</f>
        <v>4</v>
      </c>
      <c r="D1662" s="1" t="n">
        <v>1</v>
      </c>
      <c r="E1662" s="1" t="n">
        <v>168.63</v>
      </c>
      <c r="F1662" s="1" t="n">
        <f aca="false">ROUND((1-_xlfn.PERCENTRANK.INC($C$7:$C$4378,C1662))*9,0)</f>
        <v>8</v>
      </c>
      <c r="G1662" s="1" t="n">
        <f aca="false">ROUND(_xlfn.PERCENTRANK.INC($D$7:$D$4378,D1662)*9,0)</f>
        <v>0</v>
      </c>
      <c r="H1662" s="1" t="n">
        <f aca="false">ROUND(_xlfn.PERCENTRANK.INC($E$7:$E$4378,E1662)*9,0)</f>
        <v>1</v>
      </c>
      <c r="I1662" s="1" t="str">
        <f aca="false">CONCATENATE(F1662,G1662,H1662)</f>
        <v>801</v>
      </c>
      <c r="J1662" s="1" t="str">
        <f aca="false">_xlfn.IFS(AND(F1662&gt;=8,G1662&gt;=8,H1662&gt;=8),"CHAMPION",AND(F1662&gt;=6,G1662&gt;=7,H1662&gt;=6),"LOYAL CUSTOMER",AND(F1662&gt;=6,G1662&gt;=5,H1662&gt;=5),"POTENTIAL LOYALIST",AND(F1662&gt;=8,G1662&lt;=2,H1662&gt;=5),"NEW CUSTOMERS",AND(F1662&gt;=6,G1662&lt;=2,H1662&gt;=3),"PROMISING",AND(F1662&gt;=3,G1662&gt;=3,H1662&gt;=3),"NEED ATTENTION",AND(F1662&lt;=4,G1662&gt;=6,H1662&gt;=6),"AT RISK",AND(F1662&lt;=2,G1662&gt;=8,H1662&gt;=8),"CAN'T LOSE THEM",AND(F1662&lt;=2,G1662&lt;=2,H1662&lt;=2),"HIBERNATING",TRUE(),"Other")</f>
        <v>Other</v>
      </c>
      <c r="K1662" s="1" t="n">
        <f aca="false">RANK(E1662,$E$7:$E$4378)+COUNTIF($E$7:E1662,E1662)-1</f>
        <v>3809</v>
      </c>
    </row>
    <row r="1663" customFormat="false" ht="14.25" hidden="false" customHeight="true" outlineLevel="0" collapsed="false">
      <c r="A1663" s="51" t="n">
        <v>14581</v>
      </c>
      <c r="B1663" s="53" t="n">
        <v>40870.5270833333</v>
      </c>
      <c r="C1663" s="57" t="n">
        <f aca="false">INT($C$2)-INT(Table3[[#This Row],[Last Purchase Date]])</f>
        <v>17</v>
      </c>
      <c r="D1663" s="1" t="n">
        <v>1</v>
      </c>
      <c r="E1663" s="1" t="n">
        <v>138.6</v>
      </c>
      <c r="F1663" s="1" t="n">
        <f aca="false">ROUND((1-_xlfn.PERCENTRANK.INC($C$7:$C$4378,C1663))*9,0)</f>
        <v>7</v>
      </c>
      <c r="G1663" s="1" t="n">
        <f aca="false">ROUND(_xlfn.PERCENTRANK.INC($D$7:$D$4378,D1663)*9,0)</f>
        <v>0</v>
      </c>
      <c r="H1663" s="1" t="n">
        <f aca="false">ROUND(_xlfn.PERCENTRANK.INC($E$7:$E$4378,E1663)*9,0)</f>
        <v>1</v>
      </c>
      <c r="I1663" s="1" t="str">
        <f aca="false">CONCATENATE(F1663,G1663,H1663)</f>
        <v>701</v>
      </c>
      <c r="J1663" s="1" t="str">
        <f aca="false">_xlfn.IFS(AND(F1663&gt;=8,G1663&gt;=8,H1663&gt;=8),"CHAMPION",AND(F1663&gt;=6,G1663&gt;=7,H1663&gt;=6),"LOYAL CUSTOMER",AND(F1663&gt;=6,G1663&gt;=5,H1663&gt;=5),"POTENTIAL LOYALIST",AND(F1663&gt;=8,G1663&lt;=2,H1663&gt;=5),"NEW CUSTOMERS",AND(F1663&gt;=6,G1663&lt;=2,H1663&gt;=3),"PROMISING",AND(F1663&gt;=3,G1663&gt;=3,H1663&gt;=3),"NEED ATTENTION",AND(F1663&lt;=4,G1663&gt;=6,H1663&gt;=6),"AT RISK",AND(F1663&lt;=2,G1663&gt;=8,H1663&gt;=8),"CAN'T LOSE THEM",AND(F1663&lt;=2,G1663&lt;=2,H1663&lt;=2),"HIBERNATING",TRUE(),"Other")</f>
        <v>Other</v>
      </c>
      <c r="K1663" s="1" t="n">
        <f aca="false">RANK(E1663,$E$7:$E$4378)+COUNTIF($E$7:E1663,E1663)-1</f>
        <v>3967</v>
      </c>
    </row>
    <row r="1664" customFormat="false" ht="14.25" hidden="false" customHeight="true" outlineLevel="0" collapsed="false">
      <c r="A1664" s="51" t="n">
        <v>14582</v>
      </c>
      <c r="B1664" s="53" t="n">
        <v>40846.4972222222</v>
      </c>
      <c r="C1664" s="57" t="n">
        <f aca="false">INT($C$2)-INT(Table3[[#This Row],[Last Purchase Date]])</f>
        <v>41</v>
      </c>
      <c r="D1664" s="1" t="n">
        <v>1</v>
      </c>
      <c r="E1664" s="1" t="n">
        <v>114.11</v>
      </c>
      <c r="F1664" s="1" t="n">
        <f aca="false">ROUND((1-_xlfn.PERCENTRANK.INC($C$7:$C$4378,C1664))*9,0)</f>
        <v>5</v>
      </c>
      <c r="G1664" s="1" t="n">
        <f aca="false">ROUND(_xlfn.PERCENTRANK.INC($D$7:$D$4378,D1664)*9,0)</f>
        <v>0</v>
      </c>
      <c r="H1664" s="1" t="n">
        <f aca="false">ROUND(_xlfn.PERCENTRANK.INC($E$7:$E$4378,E1664)*9,0)</f>
        <v>1</v>
      </c>
      <c r="I1664" s="1" t="str">
        <f aca="false">CONCATENATE(F1664,G1664,H1664)</f>
        <v>501</v>
      </c>
      <c r="J1664" s="1" t="str">
        <f aca="false">_xlfn.IFS(AND(F1664&gt;=8,G1664&gt;=8,H1664&gt;=8),"CHAMPION",AND(F1664&gt;=6,G1664&gt;=7,H1664&gt;=6),"LOYAL CUSTOMER",AND(F1664&gt;=6,G1664&gt;=5,H1664&gt;=5),"POTENTIAL LOYALIST",AND(F1664&gt;=8,G1664&lt;=2,H1664&gt;=5),"NEW CUSTOMERS",AND(F1664&gt;=6,G1664&lt;=2,H1664&gt;=3),"PROMISING",AND(F1664&gt;=3,G1664&gt;=3,H1664&gt;=3),"NEED ATTENTION",AND(F1664&lt;=4,G1664&gt;=6,H1664&gt;=6),"AT RISK",AND(F1664&lt;=2,G1664&gt;=8,H1664&gt;=8),"CAN'T LOSE THEM",AND(F1664&lt;=2,G1664&lt;=2,H1664&lt;=2),"HIBERNATING",TRUE(),"Other")</f>
        <v>Other</v>
      </c>
      <c r="K1664" s="1" t="n">
        <f aca="false">RANK(E1664,$E$7:$E$4378)+COUNTIF($E$7:E1664,E1664)-1</f>
        <v>4081</v>
      </c>
    </row>
    <row r="1665" customFormat="false" ht="14.25" hidden="false" customHeight="true" outlineLevel="0" collapsed="false">
      <c r="A1665" s="51" t="n">
        <v>14583</v>
      </c>
      <c r="B1665" s="53" t="n">
        <v>40881.5222222222</v>
      </c>
      <c r="C1665" s="57" t="n">
        <f aca="false">INT($C$2)-INT(Table3[[#This Row],[Last Purchase Date]])</f>
        <v>6</v>
      </c>
      <c r="D1665" s="1" t="n">
        <v>5</v>
      </c>
      <c r="E1665" s="1" t="n">
        <v>1052.55</v>
      </c>
      <c r="F1665" s="1" t="n">
        <f aca="false">ROUND((1-_xlfn.PERCENTRANK.INC($C$7:$C$4378,C1665))*9,0)</f>
        <v>8</v>
      </c>
      <c r="G1665" s="1" t="n">
        <f aca="false">ROUND(_xlfn.PERCENTRANK.INC($D$7:$D$4378,D1665)*9,0)</f>
        <v>6</v>
      </c>
      <c r="H1665" s="1" t="n">
        <f aca="false">ROUND(_xlfn.PERCENTRANK.INC($E$7:$E$4378,E1665)*9,0)</f>
        <v>6</v>
      </c>
      <c r="I1665" s="1" t="str">
        <f aca="false">CONCATENATE(F1665,G1665,H1665)</f>
        <v>866</v>
      </c>
      <c r="J1665" s="1" t="str">
        <f aca="false">_xlfn.IFS(AND(F1665&gt;=8,G1665&gt;=8,H1665&gt;=8),"CHAMPION",AND(F1665&gt;=6,G1665&gt;=7,H1665&gt;=6),"LOYAL CUSTOMER",AND(F1665&gt;=6,G1665&gt;=5,H1665&gt;=5),"POTENTIAL LOYALIST",AND(F1665&gt;=8,G1665&lt;=2,H1665&gt;=5),"NEW CUSTOMERS",AND(F1665&gt;=6,G1665&lt;=2,H1665&gt;=3),"PROMISING",AND(F1665&gt;=3,G1665&gt;=3,H1665&gt;=3),"NEED ATTENTION",AND(F1665&lt;=4,G1665&gt;=6,H1665&gt;=6),"AT RISK",AND(F1665&lt;=2,G1665&gt;=8,H1665&gt;=8),"CAN'T LOSE THEM",AND(F1665&lt;=2,G1665&lt;=2,H1665&lt;=2),"HIBERNATING",TRUE(),"Other")</f>
        <v>POTENTIAL LOYALIST</v>
      </c>
      <c r="K1665" s="1" t="n">
        <f aca="false">RANK(E1665,$E$7:$E$4378)+COUNTIF($E$7:E1665,E1665)-1</f>
        <v>1558</v>
      </c>
    </row>
    <row r="1666" customFormat="false" ht="14.25" hidden="false" customHeight="true" outlineLevel="0" collapsed="false">
      <c r="A1666" s="51" t="n">
        <v>14584</v>
      </c>
      <c r="B1666" s="53" t="n">
        <v>40717.7729166667</v>
      </c>
      <c r="C1666" s="57" t="n">
        <f aca="false">INT($C$2)-INT(Table3[[#This Row],[Last Purchase Date]])</f>
        <v>170</v>
      </c>
      <c r="D1666" s="1" t="n">
        <v>5</v>
      </c>
      <c r="E1666" s="1" t="n">
        <v>1029.26</v>
      </c>
      <c r="F1666" s="1" t="n">
        <f aca="false">ROUND((1-_xlfn.PERCENTRANK.INC($C$7:$C$4378,C1666))*9,0)</f>
        <v>2</v>
      </c>
      <c r="G1666" s="1" t="n">
        <f aca="false">ROUND(_xlfn.PERCENTRANK.INC($D$7:$D$4378,D1666)*9,0)</f>
        <v>6</v>
      </c>
      <c r="H1666" s="1" t="n">
        <f aca="false">ROUND(_xlfn.PERCENTRANK.INC($E$7:$E$4378,E1666)*9,0)</f>
        <v>6</v>
      </c>
      <c r="I1666" s="1" t="str">
        <f aca="false">CONCATENATE(F1666,G1666,H1666)</f>
        <v>266</v>
      </c>
      <c r="J1666" s="1" t="str">
        <f aca="false">_xlfn.IFS(AND(F1666&gt;=8,G1666&gt;=8,H1666&gt;=8),"CHAMPION",AND(F1666&gt;=6,G1666&gt;=7,H1666&gt;=6),"LOYAL CUSTOMER",AND(F1666&gt;=6,G1666&gt;=5,H1666&gt;=5),"POTENTIAL LOYALIST",AND(F1666&gt;=8,G1666&lt;=2,H1666&gt;=5),"NEW CUSTOMERS",AND(F1666&gt;=6,G1666&lt;=2,H1666&gt;=3),"PROMISING",AND(F1666&gt;=3,G1666&gt;=3,H1666&gt;=3),"NEED ATTENTION",AND(F1666&lt;=4,G1666&gt;=6,H1666&gt;=6),"AT RISK",AND(F1666&lt;=2,G1666&gt;=8,H1666&gt;=8),"CAN'T LOSE THEM",AND(F1666&lt;=2,G1666&lt;=2,H1666&lt;=2),"HIBERNATING",TRUE(),"Other")</f>
        <v>AT RISK</v>
      </c>
      <c r="K1666" s="1" t="n">
        <f aca="false">RANK(E1666,$E$7:$E$4378)+COUNTIF($E$7:E1666,E1666)-1</f>
        <v>1595</v>
      </c>
    </row>
    <row r="1667" customFormat="false" ht="14.25" hidden="false" customHeight="true" outlineLevel="0" collapsed="false">
      <c r="A1667" s="51" t="n">
        <v>14585</v>
      </c>
      <c r="B1667" s="53" t="n">
        <v>40836.60625</v>
      </c>
      <c r="C1667" s="57" t="n">
        <f aca="false">INT($C$2)-INT(Table3[[#This Row],[Last Purchase Date]])</f>
        <v>51</v>
      </c>
      <c r="D1667" s="1" t="n">
        <v>1</v>
      </c>
      <c r="E1667" s="1" t="n">
        <v>157.05</v>
      </c>
      <c r="F1667" s="1" t="n">
        <f aca="false">ROUND((1-_xlfn.PERCENTRANK.INC($C$7:$C$4378,C1667))*9,0)</f>
        <v>5</v>
      </c>
      <c r="G1667" s="1" t="n">
        <f aca="false">ROUND(_xlfn.PERCENTRANK.INC($D$7:$D$4378,D1667)*9,0)</f>
        <v>0</v>
      </c>
      <c r="H1667" s="1" t="n">
        <f aca="false">ROUND(_xlfn.PERCENTRANK.INC($E$7:$E$4378,E1667)*9,0)</f>
        <v>1</v>
      </c>
      <c r="I1667" s="1" t="str">
        <f aca="false">CONCATENATE(F1667,G1667,H1667)</f>
        <v>501</v>
      </c>
      <c r="J1667" s="1" t="str">
        <f aca="false">_xlfn.IFS(AND(F1667&gt;=8,G1667&gt;=8,H1667&gt;=8),"CHAMPION",AND(F1667&gt;=6,G1667&gt;=7,H1667&gt;=6),"LOYAL CUSTOMER",AND(F1667&gt;=6,G1667&gt;=5,H1667&gt;=5),"POTENTIAL LOYALIST",AND(F1667&gt;=8,G1667&lt;=2,H1667&gt;=5),"NEW CUSTOMERS",AND(F1667&gt;=6,G1667&lt;=2,H1667&gt;=3),"PROMISING",AND(F1667&gt;=3,G1667&gt;=3,H1667&gt;=3),"NEED ATTENTION",AND(F1667&lt;=4,G1667&gt;=6,H1667&gt;=6),"AT RISK",AND(F1667&lt;=2,G1667&gt;=8,H1667&gt;=8),"CAN'T LOSE THEM",AND(F1667&lt;=2,G1667&lt;=2,H1667&lt;=2),"HIBERNATING",TRUE(),"Other")</f>
        <v>Other</v>
      </c>
      <c r="K1667" s="1" t="n">
        <f aca="false">RANK(E1667,$E$7:$E$4378)+COUNTIF($E$7:E1667,E1667)-1</f>
        <v>3874</v>
      </c>
    </row>
    <row r="1668" customFormat="false" ht="14.25" hidden="false" customHeight="true" outlineLevel="0" collapsed="false">
      <c r="A1668" s="51" t="n">
        <v>14586</v>
      </c>
      <c r="B1668" s="53" t="n">
        <v>40659.7305555556</v>
      </c>
      <c r="C1668" s="57" t="n">
        <f aca="false">INT($C$2)-INT(Table3[[#This Row],[Last Purchase Date]])</f>
        <v>228</v>
      </c>
      <c r="D1668" s="1" t="n">
        <v>3</v>
      </c>
      <c r="E1668" s="1" t="n">
        <v>134.16</v>
      </c>
      <c r="F1668" s="1" t="n">
        <f aca="false">ROUND((1-_xlfn.PERCENTRANK.INC($C$7:$C$4378,C1668))*9,0)</f>
        <v>1</v>
      </c>
      <c r="G1668" s="1" t="n">
        <f aca="false">ROUND(_xlfn.PERCENTRANK.INC($D$7:$D$4378,D1668)*9,0)</f>
        <v>4</v>
      </c>
      <c r="H1668" s="1" t="n">
        <f aca="false">ROUND(_xlfn.PERCENTRANK.INC($E$7:$E$4378,E1668)*9,0)</f>
        <v>1</v>
      </c>
      <c r="I1668" s="1" t="str">
        <f aca="false">CONCATENATE(F1668,G1668,H1668)</f>
        <v>141</v>
      </c>
      <c r="J1668" s="1" t="str">
        <f aca="false">_xlfn.IFS(AND(F1668&gt;=8,G1668&gt;=8,H1668&gt;=8),"CHAMPION",AND(F1668&gt;=6,G1668&gt;=7,H1668&gt;=6),"LOYAL CUSTOMER",AND(F1668&gt;=6,G1668&gt;=5,H1668&gt;=5),"POTENTIAL LOYALIST",AND(F1668&gt;=8,G1668&lt;=2,H1668&gt;=5),"NEW CUSTOMERS",AND(F1668&gt;=6,G1668&lt;=2,H1668&gt;=3),"PROMISING",AND(F1668&gt;=3,G1668&gt;=3,H1668&gt;=3),"NEED ATTENTION",AND(F1668&lt;=4,G1668&gt;=6,H1668&gt;=6),"AT RISK",AND(F1668&lt;=2,G1668&gt;=8,H1668&gt;=8),"CAN'T LOSE THEM",AND(F1668&lt;=2,G1668&lt;=2,H1668&lt;=2),"HIBERNATING",TRUE(),"Other")</f>
        <v>Other</v>
      </c>
      <c r="K1668" s="1" t="n">
        <f aca="false">RANK(E1668,$E$7:$E$4378)+COUNTIF($E$7:E1668,E1668)-1</f>
        <v>3991</v>
      </c>
    </row>
    <row r="1669" customFormat="false" ht="14.25" hidden="false" customHeight="true" outlineLevel="0" collapsed="false">
      <c r="A1669" s="51" t="n">
        <v>14587</v>
      </c>
      <c r="B1669" s="53" t="n">
        <v>40868.4819444444</v>
      </c>
      <c r="C1669" s="57" t="n">
        <f aca="false">INT($C$2)-INT(Table3[[#This Row],[Last Purchase Date]])</f>
        <v>19</v>
      </c>
      <c r="D1669" s="1" t="n">
        <v>10</v>
      </c>
      <c r="E1669" s="1" t="n">
        <v>1598.24</v>
      </c>
      <c r="F1669" s="1" t="n">
        <f aca="false">ROUND((1-_xlfn.PERCENTRANK.INC($C$7:$C$4378,C1669))*9,0)</f>
        <v>7</v>
      </c>
      <c r="G1669" s="1" t="n">
        <f aca="false">ROUND(_xlfn.PERCENTRANK.INC($D$7:$D$4378,D1669)*9,0)</f>
        <v>8</v>
      </c>
      <c r="H1669" s="1" t="n">
        <f aca="false">ROUND(_xlfn.PERCENTRANK.INC($E$7:$E$4378,E1669)*9,0)</f>
        <v>7</v>
      </c>
      <c r="I1669" s="1" t="str">
        <f aca="false">CONCATENATE(F1669,G1669,H1669)</f>
        <v>787</v>
      </c>
      <c r="J1669" s="1" t="str">
        <f aca="false">_xlfn.IFS(AND(F1669&gt;=8,G1669&gt;=8,H1669&gt;=8),"CHAMPION",AND(F1669&gt;=6,G1669&gt;=7,H1669&gt;=6),"LOYAL CUSTOMER",AND(F1669&gt;=6,G1669&gt;=5,H1669&gt;=5),"POTENTIAL LOYALIST",AND(F1669&gt;=8,G1669&lt;=2,H1669&gt;=5),"NEW CUSTOMERS",AND(F1669&gt;=6,G1669&lt;=2,H1669&gt;=3),"PROMISING",AND(F1669&gt;=3,G1669&gt;=3,H1669&gt;=3),"NEED ATTENTION",AND(F1669&lt;=4,G1669&gt;=6,H1669&gt;=6),"AT RISK",AND(F1669&lt;=2,G1669&gt;=8,H1669&gt;=8),"CAN'T LOSE THEM",AND(F1669&lt;=2,G1669&lt;=2,H1669&lt;=2),"HIBERNATING",TRUE(),"Other")</f>
        <v>LOYAL CUSTOMER</v>
      </c>
      <c r="K1669" s="1" t="n">
        <f aca="false">RANK(E1669,$E$7:$E$4378)+COUNTIF($E$7:E1669,E1669)-1</f>
        <v>1105</v>
      </c>
    </row>
    <row r="1670" customFormat="false" ht="14.25" hidden="false" customHeight="true" outlineLevel="0" collapsed="false">
      <c r="A1670" s="51" t="n">
        <v>14589</v>
      </c>
      <c r="B1670" s="53" t="n">
        <v>40515.4875</v>
      </c>
      <c r="C1670" s="57" t="n">
        <f aca="false">INT($C$2)-INT(Table3[[#This Row],[Last Purchase Date]])</f>
        <v>372</v>
      </c>
      <c r="D1670" s="1" t="n">
        <v>1</v>
      </c>
      <c r="E1670" s="1" t="n">
        <v>39.75</v>
      </c>
      <c r="F1670" s="1" t="n">
        <f aca="false">ROUND((1-_xlfn.PERCENTRANK.INC($C$7:$C$4378,C1670))*9,0)</f>
        <v>0</v>
      </c>
      <c r="G1670" s="1" t="n">
        <f aca="false">ROUND(_xlfn.PERCENTRANK.INC($D$7:$D$4378,D1670)*9,0)</f>
        <v>0</v>
      </c>
      <c r="H1670" s="1" t="n">
        <f aca="false">ROUND(_xlfn.PERCENTRANK.INC($E$7:$E$4378,E1670)*9,0)</f>
        <v>0</v>
      </c>
      <c r="I1670" s="1" t="str">
        <f aca="false">CONCATENATE(F1670,G1670,H1670)</f>
        <v>000</v>
      </c>
      <c r="J1670" s="1" t="str">
        <f aca="false">_xlfn.IFS(AND(F1670&gt;=8,G1670&gt;=8,H1670&gt;=8),"CHAMPION",AND(F1670&gt;=6,G1670&gt;=7,H1670&gt;=6),"LOYAL CUSTOMER",AND(F1670&gt;=6,G1670&gt;=5,H1670&gt;=5),"POTENTIAL LOYALIST",AND(F1670&gt;=8,G1670&lt;=2,H1670&gt;=5),"NEW CUSTOMERS",AND(F1670&gt;=6,G1670&lt;=2,H1670&gt;=3),"PROMISING",AND(F1670&gt;=3,G1670&gt;=3,H1670&gt;=3),"NEED ATTENTION",AND(F1670&lt;=4,G1670&gt;=6,H1670&gt;=6),"AT RISK",AND(F1670&lt;=2,G1670&gt;=8,H1670&gt;=8),"CAN'T LOSE THEM",AND(F1670&lt;=2,G1670&lt;=2,H1670&lt;=2),"HIBERNATING",TRUE(),"Other")</f>
        <v>HIBERNATING</v>
      </c>
      <c r="K1670" s="1" t="n">
        <f aca="false">RANK(E1670,$E$7:$E$4378)+COUNTIF($E$7:E1670,E1670)-1</f>
        <v>4292</v>
      </c>
    </row>
    <row r="1671" customFormat="false" ht="14.25" hidden="false" customHeight="true" outlineLevel="0" collapsed="false">
      <c r="A1671" s="51" t="n">
        <v>14591</v>
      </c>
      <c r="B1671" s="53" t="n">
        <v>40871.58125</v>
      </c>
      <c r="C1671" s="57" t="n">
        <f aca="false">INT($C$2)-INT(Table3[[#This Row],[Last Purchase Date]])</f>
        <v>16</v>
      </c>
      <c r="D1671" s="1" t="n">
        <v>4</v>
      </c>
      <c r="E1671" s="1" t="n">
        <v>1447.14</v>
      </c>
      <c r="F1671" s="1" t="n">
        <f aca="false">ROUND((1-_xlfn.PERCENTRANK.INC($C$7:$C$4378,C1671))*9,0)</f>
        <v>7</v>
      </c>
      <c r="G1671" s="1" t="n">
        <f aca="false">ROUND(_xlfn.PERCENTRANK.INC($D$7:$D$4378,D1671)*9,0)</f>
        <v>5</v>
      </c>
      <c r="H1671" s="1" t="n">
        <f aca="false">ROUND(_xlfn.PERCENTRANK.INC($E$7:$E$4378,E1671)*9,0)</f>
        <v>7</v>
      </c>
      <c r="I1671" s="1" t="str">
        <f aca="false">CONCATENATE(F1671,G1671,H1671)</f>
        <v>757</v>
      </c>
      <c r="J1671" s="1" t="str">
        <f aca="false">_xlfn.IFS(AND(F1671&gt;=8,G1671&gt;=8,H1671&gt;=8),"CHAMPION",AND(F1671&gt;=6,G1671&gt;=7,H1671&gt;=6),"LOYAL CUSTOMER",AND(F1671&gt;=6,G1671&gt;=5,H1671&gt;=5),"POTENTIAL LOYALIST",AND(F1671&gt;=8,G1671&lt;=2,H1671&gt;=5),"NEW CUSTOMERS",AND(F1671&gt;=6,G1671&lt;=2,H1671&gt;=3),"PROMISING",AND(F1671&gt;=3,G1671&gt;=3,H1671&gt;=3),"NEED ATTENTION",AND(F1671&lt;=4,G1671&gt;=6,H1671&gt;=6),"AT RISK",AND(F1671&lt;=2,G1671&gt;=8,H1671&gt;=8),"CAN'T LOSE THEM",AND(F1671&lt;=2,G1671&lt;=2,H1671&lt;=2),"HIBERNATING",TRUE(),"Other")</f>
        <v>POTENTIAL LOYALIST</v>
      </c>
      <c r="K1671" s="1" t="n">
        <f aca="false">RANK(E1671,$E$7:$E$4378)+COUNTIF($E$7:E1671,E1671)-1</f>
        <v>1200</v>
      </c>
    </row>
    <row r="1672" customFormat="false" ht="14.25" hidden="false" customHeight="true" outlineLevel="0" collapsed="false">
      <c r="A1672" s="51" t="n">
        <v>14592</v>
      </c>
      <c r="B1672" s="53" t="n">
        <v>40851.6909722222</v>
      </c>
      <c r="C1672" s="57" t="n">
        <f aca="false">INT($C$2)-INT(Table3[[#This Row],[Last Purchase Date]])</f>
        <v>36</v>
      </c>
      <c r="D1672" s="1" t="n">
        <v>3</v>
      </c>
      <c r="E1672" s="1" t="n">
        <v>570.46</v>
      </c>
      <c r="F1672" s="1" t="n">
        <f aca="false">ROUND((1-_xlfn.PERCENTRANK.INC($C$7:$C$4378,C1672))*9,0)</f>
        <v>5</v>
      </c>
      <c r="G1672" s="1" t="n">
        <f aca="false">ROUND(_xlfn.PERCENTRANK.INC($D$7:$D$4378,D1672)*9,0)</f>
        <v>4</v>
      </c>
      <c r="H1672" s="1" t="n">
        <f aca="false">ROUND(_xlfn.PERCENTRANK.INC($E$7:$E$4378,E1672)*9,0)</f>
        <v>4</v>
      </c>
      <c r="I1672" s="1" t="str">
        <f aca="false">CONCATENATE(F1672,G1672,H1672)</f>
        <v>544</v>
      </c>
      <c r="J1672" s="1" t="str">
        <f aca="false">_xlfn.IFS(AND(F1672&gt;=8,G1672&gt;=8,H1672&gt;=8),"CHAMPION",AND(F1672&gt;=6,G1672&gt;=7,H1672&gt;=6),"LOYAL CUSTOMER",AND(F1672&gt;=6,G1672&gt;=5,H1672&gt;=5),"POTENTIAL LOYALIST",AND(F1672&gt;=8,G1672&lt;=2,H1672&gt;=5),"NEW CUSTOMERS",AND(F1672&gt;=6,G1672&lt;=2,H1672&gt;=3),"PROMISING",AND(F1672&gt;=3,G1672&gt;=3,H1672&gt;=3),"NEED ATTENTION",AND(F1672&lt;=4,G1672&gt;=6,H1672&gt;=6),"AT RISK",AND(F1672&lt;=2,G1672&gt;=8,H1672&gt;=8),"CAN'T LOSE THEM",AND(F1672&lt;=2,G1672&lt;=2,H1672&lt;=2),"HIBERNATING",TRUE(),"Other")</f>
        <v>NEED ATTENTION</v>
      </c>
      <c r="K1672" s="1" t="n">
        <f aca="false">RANK(E1672,$E$7:$E$4378)+COUNTIF($E$7:E1672,E1672)-1</f>
        <v>2393</v>
      </c>
    </row>
    <row r="1673" customFormat="false" ht="14.25" hidden="false" customHeight="true" outlineLevel="0" collapsed="false">
      <c r="A1673" s="51" t="n">
        <v>14593</v>
      </c>
      <c r="B1673" s="53" t="n">
        <v>40865.5333333333</v>
      </c>
      <c r="C1673" s="57" t="n">
        <f aca="false">INT($C$2)-INT(Table3[[#This Row],[Last Purchase Date]])</f>
        <v>22</v>
      </c>
      <c r="D1673" s="1" t="n">
        <v>3</v>
      </c>
      <c r="E1673" s="1" t="n">
        <v>617.99</v>
      </c>
      <c r="F1673" s="1" t="n">
        <f aca="false">ROUND((1-_xlfn.PERCENTRANK.INC($C$7:$C$4378,C1673))*9,0)</f>
        <v>6</v>
      </c>
      <c r="G1673" s="1" t="n">
        <f aca="false">ROUND(_xlfn.PERCENTRANK.INC($D$7:$D$4378,D1673)*9,0)</f>
        <v>4</v>
      </c>
      <c r="H1673" s="1" t="n">
        <f aca="false">ROUND(_xlfn.PERCENTRANK.INC($E$7:$E$4378,E1673)*9,0)</f>
        <v>4</v>
      </c>
      <c r="I1673" s="1" t="str">
        <f aca="false">CONCATENATE(F1673,G1673,H1673)</f>
        <v>644</v>
      </c>
      <c r="J1673" s="1" t="str">
        <f aca="false">_xlfn.IFS(AND(F1673&gt;=8,G1673&gt;=8,H1673&gt;=8),"CHAMPION",AND(F1673&gt;=6,G1673&gt;=7,H1673&gt;=6),"LOYAL CUSTOMER",AND(F1673&gt;=6,G1673&gt;=5,H1673&gt;=5),"POTENTIAL LOYALIST",AND(F1673&gt;=8,G1673&lt;=2,H1673&gt;=5),"NEW CUSTOMERS",AND(F1673&gt;=6,G1673&lt;=2,H1673&gt;=3),"PROMISING",AND(F1673&gt;=3,G1673&gt;=3,H1673&gt;=3),"NEED ATTENTION",AND(F1673&lt;=4,G1673&gt;=6,H1673&gt;=6),"AT RISK",AND(F1673&lt;=2,G1673&gt;=8,H1673&gt;=8),"CAN'T LOSE THEM",AND(F1673&lt;=2,G1673&lt;=2,H1673&lt;=2),"HIBERNATING",TRUE(),"Other")</f>
        <v>NEED ATTENTION</v>
      </c>
      <c r="K1673" s="1" t="n">
        <f aca="false">RANK(E1673,$E$7:$E$4378)+COUNTIF($E$7:E1673,E1673)-1</f>
        <v>2263</v>
      </c>
    </row>
    <row r="1674" customFormat="false" ht="14.25" hidden="false" customHeight="true" outlineLevel="0" collapsed="false">
      <c r="A1674" s="51" t="n">
        <v>14594</v>
      </c>
      <c r="B1674" s="53" t="n">
        <v>40879.5611111111</v>
      </c>
      <c r="C1674" s="57" t="n">
        <f aca="false">INT($C$2)-INT(Table3[[#This Row],[Last Purchase Date]])</f>
        <v>8</v>
      </c>
      <c r="D1674" s="1" t="n">
        <v>2</v>
      </c>
      <c r="E1674" s="1" t="n">
        <v>379.83</v>
      </c>
      <c r="F1674" s="1" t="n">
        <f aca="false">ROUND((1-_xlfn.PERCENTRANK.INC($C$7:$C$4378,C1674))*9,0)</f>
        <v>8</v>
      </c>
      <c r="G1674" s="1" t="n">
        <f aca="false">ROUND(_xlfn.PERCENTRANK.INC($D$7:$D$4378,D1674)*9,0)</f>
        <v>3</v>
      </c>
      <c r="H1674" s="1" t="n">
        <f aca="false">ROUND(_xlfn.PERCENTRANK.INC($E$7:$E$4378,E1674)*9,0)</f>
        <v>3</v>
      </c>
      <c r="I1674" s="1" t="str">
        <f aca="false">CONCATENATE(F1674,G1674,H1674)</f>
        <v>833</v>
      </c>
      <c r="J1674" s="1" t="str">
        <f aca="false">_xlfn.IFS(AND(F1674&gt;=8,G1674&gt;=8,H1674&gt;=8),"CHAMPION",AND(F1674&gt;=6,G1674&gt;=7,H1674&gt;=6),"LOYAL CUSTOMER",AND(F1674&gt;=6,G1674&gt;=5,H1674&gt;=5),"POTENTIAL LOYALIST",AND(F1674&gt;=8,G1674&lt;=2,H1674&gt;=5),"NEW CUSTOMERS",AND(F1674&gt;=6,G1674&lt;=2,H1674&gt;=3),"PROMISING",AND(F1674&gt;=3,G1674&gt;=3,H1674&gt;=3),"NEED ATTENTION",AND(F1674&lt;=4,G1674&gt;=6,H1674&gt;=6),"AT RISK",AND(F1674&lt;=2,G1674&gt;=8,H1674&gt;=8),"CAN'T LOSE THEM",AND(F1674&lt;=2,G1674&lt;=2,H1674&lt;=2),"HIBERNATING",TRUE(),"Other")</f>
        <v>NEED ATTENTION</v>
      </c>
      <c r="K1674" s="1" t="n">
        <f aca="false">RANK(E1674,$E$7:$E$4378)+COUNTIF($E$7:E1674,E1674)-1</f>
        <v>2894</v>
      </c>
    </row>
    <row r="1675" customFormat="false" ht="14.25" hidden="false" customHeight="true" outlineLevel="0" collapsed="false">
      <c r="A1675" s="51" t="n">
        <v>14595</v>
      </c>
      <c r="B1675" s="53" t="n">
        <v>40867.5083333333</v>
      </c>
      <c r="C1675" s="57" t="n">
        <f aca="false">INT($C$2)-INT(Table3[[#This Row],[Last Purchase Date]])</f>
        <v>20</v>
      </c>
      <c r="D1675" s="1" t="n">
        <v>6</v>
      </c>
      <c r="E1675" s="1" t="n">
        <v>1740.6</v>
      </c>
      <c r="F1675" s="1" t="n">
        <f aca="false">ROUND((1-_xlfn.PERCENTRANK.INC($C$7:$C$4378,C1675))*9,0)</f>
        <v>6</v>
      </c>
      <c r="G1675" s="1" t="n">
        <f aca="false">ROUND(_xlfn.PERCENTRANK.INC($D$7:$D$4378,D1675)*9,0)</f>
        <v>7</v>
      </c>
      <c r="H1675" s="1" t="n">
        <f aca="false">ROUND(_xlfn.PERCENTRANK.INC($E$7:$E$4378,E1675)*9,0)</f>
        <v>7</v>
      </c>
      <c r="I1675" s="1" t="str">
        <f aca="false">CONCATENATE(F1675,G1675,H1675)</f>
        <v>677</v>
      </c>
      <c r="J1675" s="1" t="str">
        <f aca="false">_xlfn.IFS(AND(F1675&gt;=8,G1675&gt;=8,H1675&gt;=8),"CHAMPION",AND(F1675&gt;=6,G1675&gt;=7,H1675&gt;=6),"LOYAL CUSTOMER",AND(F1675&gt;=6,G1675&gt;=5,H1675&gt;=5),"POTENTIAL LOYALIST",AND(F1675&gt;=8,G1675&lt;=2,H1675&gt;=5),"NEW CUSTOMERS",AND(F1675&gt;=6,G1675&lt;=2,H1675&gt;=3),"PROMISING",AND(F1675&gt;=3,G1675&gt;=3,H1675&gt;=3),"NEED ATTENTION",AND(F1675&lt;=4,G1675&gt;=6,H1675&gt;=6),"AT RISK",AND(F1675&lt;=2,G1675&gt;=8,H1675&gt;=8),"CAN'T LOSE THEM",AND(F1675&lt;=2,G1675&lt;=2,H1675&lt;=2),"HIBERNATING",TRUE(),"Other")</f>
        <v>LOYAL CUSTOMER</v>
      </c>
      <c r="K1675" s="1" t="n">
        <f aca="false">RANK(E1675,$E$7:$E$4378)+COUNTIF($E$7:E1675,E1675)-1</f>
        <v>1014</v>
      </c>
    </row>
    <row r="1676" customFormat="false" ht="14.25" hidden="false" customHeight="true" outlineLevel="0" collapsed="false">
      <c r="A1676" s="51" t="n">
        <v>14597</v>
      </c>
      <c r="B1676" s="53" t="n">
        <v>40875.5506944444</v>
      </c>
      <c r="C1676" s="57" t="n">
        <f aca="false">INT($C$2)-INT(Table3[[#This Row],[Last Purchase Date]])</f>
        <v>12</v>
      </c>
      <c r="D1676" s="1" t="n">
        <v>2</v>
      </c>
      <c r="E1676" s="1" t="n">
        <v>883.15</v>
      </c>
      <c r="F1676" s="1" t="n">
        <f aca="false">ROUND((1-_xlfn.PERCENTRANK.INC($C$7:$C$4378,C1676))*9,0)</f>
        <v>7</v>
      </c>
      <c r="G1676" s="1" t="n">
        <f aca="false">ROUND(_xlfn.PERCENTRANK.INC($D$7:$D$4378,D1676)*9,0)</f>
        <v>3</v>
      </c>
      <c r="H1676" s="1" t="n">
        <f aca="false">ROUND(_xlfn.PERCENTRANK.INC($E$7:$E$4378,E1676)*9,0)</f>
        <v>5</v>
      </c>
      <c r="I1676" s="1" t="str">
        <f aca="false">CONCATENATE(F1676,G1676,H1676)</f>
        <v>735</v>
      </c>
      <c r="J1676" s="1" t="str">
        <f aca="false">_xlfn.IFS(AND(F1676&gt;=8,G1676&gt;=8,H1676&gt;=8),"CHAMPION",AND(F1676&gt;=6,G1676&gt;=7,H1676&gt;=6),"LOYAL CUSTOMER",AND(F1676&gt;=6,G1676&gt;=5,H1676&gt;=5),"POTENTIAL LOYALIST",AND(F1676&gt;=8,G1676&lt;=2,H1676&gt;=5),"NEW CUSTOMERS",AND(F1676&gt;=6,G1676&lt;=2,H1676&gt;=3),"PROMISING",AND(F1676&gt;=3,G1676&gt;=3,H1676&gt;=3),"NEED ATTENTION",AND(F1676&lt;=4,G1676&gt;=6,H1676&gt;=6),"AT RISK",AND(F1676&lt;=2,G1676&gt;=8,H1676&gt;=8),"CAN'T LOSE THEM",AND(F1676&lt;=2,G1676&lt;=2,H1676&lt;=2),"HIBERNATING",TRUE(),"Other")</f>
        <v>NEED ATTENTION</v>
      </c>
      <c r="K1676" s="1" t="n">
        <f aca="false">RANK(E1676,$E$7:$E$4378)+COUNTIF($E$7:E1676,E1676)-1</f>
        <v>1783</v>
      </c>
    </row>
    <row r="1677" customFormat="false" ht="14.25" hidden="false" customHeight="true" outlineLevel="0" collapsed="false">
      <c r="A1677" s="51" t="n">
        <v>14598</v>
      </c>
      <c r="B1677" s="53" t="n">
        <v>40842.5548611111</v>
      </c>
      <c r="C1677" s="57" t="n">
        <f aca="false">INT($C$2)-INT(Table3[[#This Row],[Last Purchase Date]])</f>
        <v>45</v>
      </c>
      <c r="D1677" s="1" t="n">
        <v>1</v>
      </c>
      <c r="E1677" s="1" t="n">
        <v>221.97</v>
      </c>
      <c r="F1677" s="1" t="n">
        <f aca="false">ROUND((1-_xlfn.PERCENTRANK.INC($C$7:$C$4378,C1677))*9,0)</f>
        <v>5</v>
      </c>
      <c r="G1677" s="1" t="n">
        <f aca="false">ROUND(_xlfn.PERCENTRANK.INC($D$7:$D$4378,D1677)*9,0)</f>
        <v>0</v>
      </c>
      <c r="H1677" s="1" t="n">
        <f aca="false">ROUND(_xlfn.PERCENTRANK.INC($E$7:$E$4378,E1677)*9,0)</f>
        <v>2</v>
      </c>
      <c r="I1677" s="1" t="str">
        <f aca="false">CONCATENATE(F1677,G1677,H1677)</f>
        <v>502</v>
      </c>
      <c r="J1677" s="1" t="str">
        <f aca="false">_xlfn.IFS(AND(F1677&gt;=8,G1677&gt;=8,H1677&gt;=8),"CHAMPION",AND(F1677&gt;=6,G1677&gt;=7,H1677&gt;=6),"LOYAL CUSTOMER",AND(F1677&gt;=6,G1677&gt;=5,H1677&gt;=5),"POTENTIAL LOYALIST",AND(F1677&gt;=8,G1677&lt;=2,H1677&gt;=5),"NEW CUSTOMERS",AND(F1677&gt;=6,G1677&lt;=2,H1677&gt;=3),"PROMISING",AND(F1677&gt;=3,G1677&gt;=3,H1677&gt;=3),"NEED ATTENTION",AND(F1677&lt;=4,G1677&gt;=6,H1677&gt;=6),"AT RISK",AND(F1677&lt;=2,G1677&gt;=8,H1677&gt;=8),"CAN'T LOSE THEM",AND(F1677&lt;=2,G1677&lt;=2,H1677&lt;=2),"HIBERNATING",TRUE(),"Other")</f>
        <v>Other</v>
      </c>
      <c r="K1677" s="1" t="n">
        <f aca="false">RANK(E1677,$E$7:$E$4378)+COUNTIF($E$7:E1677,E1677)-1</f>
        <v>3552</v>
      </c>
    </row>
    <row r="1678" customFormat="false" ht="14.25" hidden="false" customHeight="true" outlineLevel="0" collapsed="false">
      <c r="A1678" s="51" t="n">
        <v>14600</v>
      </c>
      <c r="B1678" s="53" t="n">
        <v>40581.4083333333</v>
      </c>
      <c r="C1678" s="57" t="n">
        <f aca="false">INT($C$2)-INT(Table3[[#This Row],[Last Purchase Date]])</f>
        <v>306</v>
      </c>
      <c r="D1678" s="1" t="n">
        <v>1</v>
      </c>
      <c r="E1678" s="1" t="n">
        <v>393.33</v>
      </c>
      <c r="F1678" s="1" t="n">
        <f aca="false">ROUND((1-_xlfn.PERCENTRANK.INC($C$7:$C$4378,C1678))*9,0)</f>
        <v>1</v>
      </c>
      <c r="G1678" s="1" t="n">
        <f aca="false">ROUND(_xlfn.PERCENTRANK.INC($D$7:$D$4378,D1678)*9,0)</f>
        <v>0</v>
      </c>
      <c r="H1678" s="1" t="n">
        <f aca="false">ROUND(_xlfn.PERCENTRANK.INC($E$7:$E$4378,E1678)*9,0)</f>
        <v>3</v>
      </c>
      <c r="I1678" s="1" t="str">
        <f aca="false">CONCATENATE(F1678,G1678,H1678)</f>
        <v>103</v>
      </c>
      <c r="J1678" s="1" t="str">
        <f aca="false">_xlfn.IFS(AND(F1678&gt;=8,G1678&gt;=8,H1678&gt;=8),"CHAMPION",AND(F1678&gt;=6,G1678&gt;=7,H1678&gt;=6),"LOYAL CUSTOMER",AND(F1678&gt;=6,G1678&gt;=5,H1678&gt;=5),"POTENTIAL LOYALIST",AND(F1678&gt;=8,G1678&lt;=2,H1678&gt;=5),"NEW CUSTOMERS",AND(F1678&gt;=6,G1678&lt;=2,H1678&gt;=3),"PROMISING",AND(F1678&gt;=3,G1678&gt;=3,H1678&gt;=3),"NEED ATTENTION",AND(F1678&lt;=4,G1678&gt;=6,H1678&gt;=6),"AT RISK",AND(F1678&lt;=2,G1678&gt;=8,H1678&gt;=8),"CAN'T LOSE THEM",AND(F1678&lt;=2,G1678&lt;=2,H1678&lt;=2),"HIBERNATING",TRUE(),"Other")</f>
        <v>Other</v>
      </c>
      <c r="K1678" s="1" t="n">
        <f aca="false">RANK(E1678,$E$7:$E$4378)+COUNTIF($E$7:E1678,E1678)-1</f>
        <v>2839</v>
      </c>
    </row>
    <row r="1679" customFormat="false" ht="14.25" hidden="false" customHeight="true" outlineLevel="0" collapsed="false">
      <c r="A1679" s="51" t="n">
        <v>14601</v>
      </c>
      <c r="B1679" s="53" t="n">
        <v>40876.4083333333</v>
      </c>
      <c r="C1679" s="57" t="n">
        <f aca="false">INT($C$2)-INT(Table3[[#This Row],[Last Purchase Date]])</f>
        <v>11</v>
      </c>
      <c r="D1679" s="1" t="n">
        <v>1</v>
      </c>
      <c r="E1679" s="1" t="n">
        <v>213.96</v>
      </c>
      <c r="F1679" s="1" t="n">
        <f aca="false">ROUND((1-_xlfn.PERCENTRANK.INC($C$7:$C$4378,C1679))*9,0)</f>
        <v>7</v>
      </c>
      <c r="G1679" s="1" t="n">
        <f aca="false">ROUND(_xlfn.PERCENTRANK.INC($D$7:$D$4378,D1679)*9,0)</f>
        <v>0</v>
      </c>
      <c r="H1679" s="1" t="n">
        <f aca="false">ROUND(_xlfn.PERCENTRANK.INC($E$7:$E$4378,E1679)*9,0)</f>
        <v>2</v>
      </c>
      <c r="I1679" s="1" t="str">
        <f aca="false">CONCATENATE(F1679,G1679,H1679)</f>
        <v>702</v>
      </c>
      <c r="J1679" s="1" t="str">
        <f aca="false">_xlfn.IFS(AND(F1679&gt;=8,G1679&gt;=8,H1679&gt;=8),"CHAMPION",AND(F1679&gt;=6,G1679&gt;=7,H1679&gt;=6),"LOYAL CUSTOMER",AND(F1679&gt;=6,G1679&gt;=5,H1679&gt;=5),"POTENTIAL LOYALIST",AND(F1679&gt;=8,G1679&lt;=2,H1679&gt;=5),"NEW CUSTOMERS",AND(F1679&gt;=6,G1679&lt;=2,H1679&gt;=3),"PROMISING",AND(F1679&gt;=3,G1679&gt;=3,H1679&gt;=3),"NEED ATTENTION",AND(F1679&lt;=4,G1679&gt;=6,H1679&gt;=6),"AT RISK",AND(F1679&lt;=2,G1679&gt;=8,H1679&gt;=8),"CAN'T LOSE THEM",AND(F1679&lt;=2,G1679&lt;=2,H1679&lt;=2),"HIBERNATING",TRUE(),"Other")</f>
        <v>Other</v>
      </c>
      <c r="K1679" s="1" t="n">
        <f aca="false">RANK(E1679,$E$7:$E$4378)+COUNTIF($E$7:E1679,E1679)-1</f>
        <v>3595</v>
      </c>
    </row>
    <row r="1680" customFormat="false" ht="14.25" hidden="false" customHeight="true" outlineLevel="0" collapsed="false">
      <c r="A1680" s="51" t="n">
        <v>14603</v>
      </c>
      <c r="B1680" s="53" t="n">
        <v>40612.4354166667</v>
      </c>
      <c r="C1680" s="57" t="n">
        <f aca="false">INT($C$2)-INT(Table3[[#This Row],[Last Purchase Date]])</f>
        <v>275</v>
      </c>
      <c r="D1680" s="1" t="n">
        <v>1</v>
      </c>
      <c r="E1680" s="1" t="n">
        <v>660</v>
      </c>
      <c r="F1680" s="1" t="n">
        <f aca="false">ROUND((1-_xlfn.PERCENTRANK.INC($C$7:$C$4378,C1680))*9,0)</f>
        <v>1</v>
      </c>
      <c r="G1680" s="1" t="n">
        <f aca="false">ROUND(_xlfn.PERCENTRANK.INC($D$7:$D$4378,D1680)*9,0)</f>
        <v>0</v>
      </c>
      <c r="H1680" s="1" t="n">
        <f aca="false">ROUND(_xlfn.PERCENTRANK.INC($E$7:$E$4378,E1680)*9,0)</f>
        <v>5</v>
      </c>
      <c r="I1680" s="1" t="str">
        <f aca="false">CONCATENATE(F1680,G1680,H1680)</f>
        <v>105</v>
      </c>
      <c r="J1680" s="1" t="str">
        <f aca="false">_xlfn.IFS(AND(F1680&gt;=8,G1680&gt;=8,H1680&gt;=8),"CHAMPION",AND(F1680&gt;=6,G1680&gt;=7,H1680&gt;=6),"LOYAL CUSTOMER",AND(F1680&gt;=6,G1680&gt;=5,H1680&gt;=5),"POTENTIAL LOYALIST",AND(F1680&gt;=8,G1680&lt;=2,H1680&gt;=5),"NEW CUSTOMERS",AND(F1680&gt;=6,G1680&lt;=2,H1680&gt;=3),"PROMISING",AND(F1680&gt;=3,G1680&gt;=3,H1680&gt;=3),"NEED ATTENTION",AND(F1680&lt;=4,G1680&gt;=6,H1680&gt;=6),"AT RISK",AND(F1680&lt;=2,G1680&gt;=8,H1680&gt;=8),"CAN'T LOSE THEM",AND(F1680&lt;=2,G1680&lt;=2,H1680&lt;=2),"HIBERNATING",TRUE(),"Other")</f>
        <v>Other</v>
      </c>
      <c r="K1680" s="1" t="n">
        <f aca="false">RANK(E1680,$E$7:$E$4378)+COUNTIF($E$7:E1680,E1680)-1</f>
        <v>2152</v>
      </c>
    </row>
    <row r="1681" customFormat="false" ht="14.25" hidden="false" customHeight="true" outlineLevel="0" collapsed="false">
      <c r="A1681" s="51" t="n">
        <v>14606</v>
      </c>
      <c r="B1681" s="53" t="n">
        <v>40885.8111111111</v>
      </c>
      <c r="C1681" s="57" t="n">
        <f aca="false">INT($C$2)-INT(Table3[[#This Row],[Last Purchase Date]])</f>
        <v>2</v>
      </c>
      <c r="D1681" s="1" t="n">
        <v>128</v>
      </c>
      <c r="E1681" s="1" t="n">
        <v>11713.8500000001</v>
      </c>
      <c r="F1681" s="1" t="n">
        <f aca="false">ROUND((1-_xlfn.PERCENTRANK.INC($C$7:$C$4378,C1681))*9,0)</f>
        <v>9</v>
      </c>
      <c r="G1681" s="1" t="n">
        <f aca="false">ROUND(_xlfn.PERCENTRANK.INC($D$7:$D$4378,D1681)*9,0)</f>
        <v>9</v>
      </c>
      <c r="H1681" s="1" t="n">
        <f aca="false">ROUND(_xlfn.PERCENTRANK.INC($E$7:$E$4378,E1681)*9,0)</f>
        <v>9</v>
      </c>
      <c r="I1681" s="1" t="str">
        <f aca="false">CONCATENATE(F1681,G1681,H1681)</f>
        <v>999</v>
      </c>
      <c r="J1681" s="1" t="str">
        <f aca="false">_xlfn.IFS(AND(F1681&gt;=8,G1681&gt;=8,H1681&gt;=8),"CHAMPION",AND(F1681&gt;=6,G1681&gt;=7,H1681&gt;=6),"LOYAL CUSTOMER",AND(F1681&gt;=6,G1681&gt;=5,H1681&gt;=5),"POTENTIAL LOYALIST",AND(F1681&gt;=8,G1681&lt;=2,H1681&gt;=5),"NEW CUSTOMERS",AND(F1681&gt;=6,G1681&lt;=2,H1681&gt;=3),"PROMISING",AND(F1681&gt;=3,G1681&gt;=3,H1681&gt;=3),"NEED ATTENTION",AND(F1681&lt;=4,G1681&gt;=6,H1681&gt;=6),"AT RISK",AND(F1681&lt;=2,G1681&gt;=8,H1681&gt;=8),"CAN'T LOSE THEM",AND(F1681&lt;=2,G1681&lt;=2,H1681&lt;=2),"HIBERNATING",TRUE(),"Other")</f>
        <v>CHAMPION</v>
      </c>
      <c r="K1681" s="1" t="n">
        <f aca="false">RANK(E1681,$E$7:$E$4378)+COUNTIF($E$7:E1681,E1681)-1</f>
        <v>75</v>
      </c>
    </row>
    <row r="1682" customFormat="false" ht="14.25" hidden="false" customHeight="true" outlineLevel="0" collapsed="false">
      <c r="A1682" s="51" t="n">
        <v>14607</v>
      </c>
      <c r="B1682" s="53" t="n">
        <v>40871.4409722222</v>
      </c>
      <c r="C1682" s="57" t="n">
        <f aca="false">INT($C$2)-INT(Table3[[#This Row],[Last Purchase Date]])</f>
        <v>16</v>
      </c>
      <c r="D1682" s="1" t="n">
        <v>17</v>
      </c>
      <c r="E1682" s="1" t="n">
        <v>11341.1</v>
      </c>
      <c r="F1682" s="1" t="n">
        <f aca="false">ROUND((1-_xlfn.PERCENTRANK.INC($C$7:$C$4378,C1682))*9,0)</f>
        <v>7</v>
      </c>
      <c r="G1682" s="1" t="n">
        <f aca="false">ROUND(_xlfn.PERCENTRANK.INC($D$7:$D$4378,D1682)*9,0)</f>
        <v>9</v>
      </c>
      <c r="H1682" s="1" t="n">
        <f aca="false">ROUND(_xlfn.PERCENTRANK.INC($E$7:$E$4378,E1682)*9,0)</f>
        <v>9</v>
      </c>
      <c r="I1682" s="1" t="str">
        <f aca="false">CONCATENATE(F1682,G1682,H1682)</f>
        <v>799</v>
      </c>
      <c r="J1682" s="1" t="str">
        <f aca="false">_xlfn.IFS(AND(F1682&gt;=8,G1682&gt;=8,H1682&gt;=8),"CHAMPION",AND(F1682&gt;=6,G1682&gt;=7,H1682&gt;=6),"LOYAL CUSTOMER",AND(F1682&gt;=6,G1682&gt;=5,H1682&gt;=5),"POTENTIAL LOYALIST",AND(F1682&gt;=8,G1682&lt;=2,H1682&gt;=5),"NEW CUSTOMERS",AND(F1682&gt;=6,G1682&lt;=2,H1682&gt;=3),"PROMISING",AND(F1682&gt;=3,G1682&gt;=3,H1682&gt;=3),"NEED ATTENTION",AND(F1682&lt;=4,G1682&gt;=6,H1682&gt;=6),"AT RISK",AND(F1682&lt;=2,G1682&gt;=8,H1682&gt;=8),"CAN'T LOSE THEM",AND(F1682&lt;=2,G1682&lt;=2,H1682&lt;=2),"HIBERNATING",TRUE(),"Other")</f>
        <v>LOYAL CUSTOMER</v>
      </c>
      <c r="K1682" s="1" t="n">
        <f aca="false">RANK(E1682,$E$7:$E$4378)+COUNTIF($E$7:E1682,E1682)-1</f>
        <v>77</v>
      </c>
    </row>
    <row r="1683" customFormat="false" ht="14.25" hidden="false" customHeight="true" outlineLevel="0" collapsed="false">
      <c r="A1683" s="51" t="n">
        <v>14608</v>
      </c>
      <c r="B1683" s="53" t="n">
        <v>40882.7027777778</v>
      </c>
      <c r="C1683" s="57" t="n">
        <f aca="false">INT($C$2)-INT(Table3[[#This Row],[Last Purchase Date]])</f>
        <v>5</v>
      </c>
      <c r="D1683" s="1" t="n">
        <v>4</v>
      </c>
      <c r="E1683" s="1" t="n">
        <v>1785.15</v>
      </c>
      <c r="F1683" s="1" t="n">
        <f aca="false">ROUND((1-_xlfn.PERCENTRANK.INC($C$7:$C$4378,C1683))*9,0)</f>
        <v>8</v>
      </c>
      <c r="G1683" s="1" t="n">
        <f aca="false">ROUND(_xlfn.PERCENTRANK.INC($D$7:$D$4378,D1683)*9,0)</f>
        <v>5</v>
      </c>
      <c r="H1683" s="1" t="n">
        <f aca="false">ROUND(_xlfn.PERCENTRANK.INC($E$7:$E$4378,E1683)*9,0)</f>
        <v>7</v>
      </c>
      <c r="I1683" s="1" t="str">
        <f aca="false">CONCATENATE(F1683,G1683,H1683)</f>
        <v>857</v>
      </c>
      <c r="J1683" s="1" t="str">
        <f aca="false">_xlfn.IFS(AND(F1683&gt;=8,G1683&gt;=8,H1683&gt;=8),"CHAMPION",AND(F1683&gt;=6,G1683&gt;=7,H1683&gt;=6),"LOYAL CUSTOMER",AND(F1683&gt;=6,G1683&gt;=5,H1683&gt;=5),"POTENTIAL LOYALIST",AND(F1683&gt;=8,G1683&lt;=2,H1683&gt;=5),"NEW CUSTOMERS",AND(F1683&gt;=6,G1683&lt;=2,H1683&gt;=3),"PROMISING",AND(F1683&gt;=3,G1683&gt;=3,H1683&gt;=3),"NEED ATTENTION",AND(F1683&lt;=4,G1683&gt;=6,H1683&gt;=6),"AT RISK",AND(F1683&lt;=2,G1683&gt;=8,H1683&gt;=8),"CAN'T LOSE THEM",AND(F1683&lt;=2,G1683&lt;=2,H1683&lt;=2),"HIBERNATING",TRUE(),"Other")</f>
        <v>POTENTIAL LOYALIST</v>
      </c>
      <c r="K1683" s="1" t="n">
        <f aca="false">RANK(E1683,$E$7:$E$4378)+COUNTIF($E$7:E1683,E1683)-1</f>
        <v>986</v>
      </c>
    </row>
    <row r="1684" customFormat="false" ht="14.25" hidden="false" customHeight="true" outlineLevel="0" collapsed="false">
      <c r="A1684" s="51" t="n">
        <v>14609</v>
      </c>
      <c r="B1684" s="53" t="n">
        <v>40814.5375</v>
      </c>
      <c r="C1684" s="57" t="n">
        <f aca="false">INT($C$2)-INT(Table3[[#This Row],[Last Purchase Date]])</f>
        <v>73</v>
      </c>
      <c r="D1684" s="1" t="n">
        <v>4</v>
      </c>
      <c r="E1684" s="1" t="n">
        <v>601.56</v>
      </c>
      <c r="F1684" s="1" t="n">
        <f aca="false">ROUND((1-_xlfn.PERCENTRANK.INC($C$7:$C$4378,C1684))*9,0)</f>
        <v>4</v>
      </c>
      <c r="G1684" s="1" t="n">
        <f aca="false">ROUND(_xlfn.PERCENTRANK.INC($D$7:$D$4378,D1684)*9,0)</f>
        <v>5</v>
      </c>
      <c r="H1684" s="1" t="n">
        <f aca="false">ROUND(_xlfn.PERCENTRANK.INC($E$7:$E$4378,E1684)*9,0)</f>
        <v>4</v>
      </c>
      <c r="I1684" s="1" t="str">
        <f aca="false">CONCATENATE(F1684,G1684,H1684)</f>
        <v>454</v>
      </c>
      <c r="J1684" s="1" t="str">
        <f aca="false">_xlfn.IFS(AND(F1684&gt;=8,G1684&gt;=8,H1684&gt;=8),"CHAMPION",AND(F1684&gt;=6,G1684&gt;=7,H1684&gt;=6),"LOYAL CUSTOMER",AND(F1684&gt;=6,G1684&gt;=5,H1684&gt;=5),"POTENTIAL LOYALIST",AND(F1684&gt;=8,G1684&lt;=2,H1684&gt;=5),"NEW CUSTOMERS",AND(F1684&gt;=6,G1684&lt;=2,H1684&gt;=3),"PROMISING",AND(F1684&gt;=3,G1684&gt;=3,H1684&gt;=3),"NEED ATTENTION",AND(F1684&lt;=4,G1684&gt;=6,H1684&gt;=6),"AT RISK",AND(F1684&lt;=2,G1684&gt;=8,H1684&gt;=8),"CAN'T LOSE THEM",AND(F1684&lt;=2,G1684&lt;=2,H1684&lt;=2),"HIBERNATING",TRUE(),"Other")</f>
        <v>NEED ATTENTION</v>
      </c>
      <c r="K1684" s="1" t="n">
        <f aca="false">RANK(E1684,$E$7:$E$4378)+COUNTIF($E$7:E1684,E1684)-1</f>
        <v>2313</v>
      </c>
    </row>
    <row r="1685" customFormat="false" ht="14.25" hidden="false" customHeight="true" outlineLevel="0" collapsed="false">
      <c r="A1685" s="51" t="n">
        <v>14616</v>
      </c>
      <c r="B1685" s="53" t="n">
        <v>40644.4125</v>
      </c>
      <c r="C1685" s="57" t="n">
        <f aca="false">INT($C$2)-INT(Table3[[#This Row],[Last Purchase Date]])</f>
        <v>243</v>
      </c>
      <c r="D1685" s="1" t="n">
        <v>3</v>
      </c>
      <c r="E1685" s="1" t="n">
        <v>406.08</v>
      </c>
      <c r="F1685" s="1" t="n">
        <f aca="false">ROUND((1-_xlfn.PERCENTRANK.INC($C$7:$C$4378,C1685))*9,0)</f>
        <v>1</v>
      </c>
      <c r="G1685" s="1" t="n">
        <f aca="false">ROUND(_xlfn.PERCENTRANK.INC($D$7:$D$4378,D1685)*9,0)</f>
        <v>4</v>
      </c>
      <c r="H1685" s="1" t="n">
        <f aca="false">ROUND(_xlfn.PERCENTRANK.INC($E$7:$E$4378,E1685)*9,0)</f>
        <v>3</v>
      </c>
      <c r="I1685" s="1" t="str">
        <f aca="false">CONCATENATE(F1685,G1685,H1685)</f>
        <v>143</v>
      </c>
      <c r="J1685" s="1" t="str">
        <f aca="false">_xlfn.IFS(AND(F1685&gt;=8,G1685&gt;=8,H1685&gt;=8),"CHAMPION",AND(F1685&gt;=6,G1685&gt;=7,H1685&gt;=6),"LOYAL CUSTOMER",AND(F1685&gt;=6,G1685&gt;=5,H1685&gt;=5),"POTENTIAL LOYALIST",AND(F1685&gt;=8,G1685&lt;=2,H1685&gt;=5),"NEW CUSTOMERS",AND(F1685&gt;=6,G1685&lt;=2,H1685&gt;=3),"PROMISING",AND(F1685&gt;=3,G1685&gt;=3,H1685&gt;=3),"NEED ATTENTION",AND(F1685&lt;=4,G1685&gt;=6,H1685&gt;=6),"AT RISK",AND(F1685&lt;=2,G1685&gt;=8,H1685&gt;=8),"CAN'T LOSE THEM",AND(F1685&lt;=2,G1685&lt;=2,H1685&lt;=2),"HIBERNATING",TRUE(),"Other")</f>
        <v>Other</v>
      </c>
      <c r="K1685" s="1" t="n">
        <f aca="false">RANK(E1685,$E$7:$E$4378)+COUNTIF($E$7:E1685,E1685)-1</f>
        <v>2804</v>
      </c>
    </row>
    <row r="1686" customFormat="false" ht="14.25" hidden="false" customHeight="true" outlineLevel="0" collapsed="false">
      <c r="A1686" s="51" t="n">
        <v>14618</v>
      </c>
      <c r="B1686" s="53" t="n">
        <v>40877.5729166667</v>
      </c>
      <c r="C1686" s="57" t="n">
        <f aca="false">INT($C$2)-INT(Table3[[#This Row],[Last Purchase Date]])</f>
        <v>10</v>
      </c>
      <c r="D1686" s="1" t="n">
        <v>4</v>
      </c>
      <c r="E1686" s="1" t="n">
        <v>538.59</v>
      </c>
      <c r="F1686" s="1" t="n">
        <f aca="false">ROUND((1-_xlfn.PERCENTRANK.INC($C$7:$C$4378,C1686))*9,0)</f>
        <v>8</v>
      </c>
      <c r="G1686" s="1" t="n">
        <f aca="false">ROUND(_xlfn.PERCENTRANK.INC($D$7:$D$4378,D1686)*9,0)</f>
        <v>5</v>
      </c>
      <c r="H1686" s="1" t="n">
        <f aca="false">ROUND(_xlfn.PERCENTRANK.INC($E$7:$E$4378,E1686)*9,0)</f>
        <v>4</v>
      </c>
      <c r="I1686" s="1" t="str">
        <f aca="false">CONCATENATE(F1686,G1686,H1686)</f>
        <v>854</v>
      </c>
      <c r="J1686" s="1" t="str">
        <f aca="false">_xlfn.IFS(AND(F1686&gt;=8,G1686&gt;=8,H1686&gt;=8),"CHAMPION",AND(F1686&gt;=6,G1686&gt;=7,H1686&gt;=6),"LOYAL CUSTOMER",AND(F1686&gt;=6,G1686&gt;=5,H1686&gt;=5),"POTENTIAL LOYALIST",AND(F1686&gt;=8,G1686&lt;=2,H1686&gt;=5),"NEW CUSTOMERS",AND(F1686&gt;=6,G1686&lt;=2,H1686&gt;=3),"PROMISING",AND(F1686&gt;=3,G1686&gt;=3,H1686&gt;=3),"NEED ATTENTION",AND(F1686&lt;=4,G1686&gt;=6,H1686&gt;=6),"AT RISK",AND(F1686&lt;=2,G1686&gt;=8,H1686&gt;=8),"CAN'T LOSE THEM",AND(F1686&lt;=2,G1686&lt;=2,H1686&lt;=2),"HIBERNATING",TRUE(),"Other")</f>
        <v>NEED ATTENTION</v>
      </c>
      <c r="K1686" s="1" t="n">
        <f aca="false">RANK(E1686,$E$7:$E$4378)+COUNTIF($E$7:E1686,E1686)-1</f>
        <v>2458</v>
      </c>
    </row>
    <row r="1687" customFormat="false" ht="14.25" hidden="false" customHeight="true" outlineLevel="0" collapsed="false">
      <c r="A1687" s="51" t="n">
        <v>14619</v>
      </c>
      <c r="B1687" s="53" t="n">
        <v>40647.7173611111</v>
      </c>
      <c r="C1687" s="57" t="n">
        <f aca="false">INT($C$2)-INT(Table3[[#This Row],[Last Purchase Date]])</f>
        <v>240</v>
      </c>
      <c r="D1687" s="1" t="n">
        <v>2</v>
      </c>
      <c r="E1687" s="1" t="n">
        <v>379.51</v>
      </c>
      <c r="F1687" s="1" t="n">
        <f aca="false">ROUND((1-_xlfn.PERCENTRANK.INC($C$7:$C$4378,C1687))*9,0)</f>
        <v>1</v>
      </c>
      <c r="G1687" s="1" t="n">
        <f aca="false">ROUND(_xlfn.PERCENTRANK.INC($D$7:$D$4378,D1687)*9,0)</f>
        <v>3</v>
      </c>
      <c r="H1687" s="1" t="n">
        <f aca="false">ROUND(_xlfn.PERCENTRANK.INC($E$7:$E$4378,E1687)*9,0)</f>
        <v>3</v>
      </c>
      <c r="I1687" s="1" t="str">
        <f aca="false">CONCATENATE(F1687,G1687,H1687)</f>
        <v>133</v>
      </c>
      <c r="J1687" s="1" t="str">
        <f aca="false">_xlfn.IFS(AND(F1687&gt;=8,G1687&gt;=8,H1687&gt;=8),"CHAMPION",AND(F1687&gt;=6,G1687&gt;=7,H1687&gt;=6),"LOYAL CUSTOMER",AND(F1687&gt;=6,G1687&gt;=5,H1687&gt;=5),"POTENTIAL LOYALIST",AND(F1687&gt;=8,G1687&lt;=2,H1687&gt;=5),"NEW CUSTOMERS",AND(F1687&gt;=6,G1687&lt;=2,H1687&gt;=3),"PROMISING",AND(F1687&gt;=3,G1687&gt;=3,H1687&gt;=3),"NEED ATTENTION",AND(F1687&lt;=4,G1687&gt;=6,H1687&gt;=6),"AT RISK",AND(F1687&lt;=2,G1687&gt;=8,H1687&gt;=8),"CAN'T LOSE THEM",AND(F1687&lt;=2,G1687&lt;=2,H1687&lt;=2),"HIBERNATING",TRUE(),"Other")</f>
        <v>Other</v>
      </c>
      <c r="K1687" s="1" t="n">
        <f aca="false">RANK(E1687,$E$7:$E$4378)+COUNTIF($E$7:E1687,E1687)-1</f>
        <v>2898</v>
      </c>
    </row>
    <row r="1688" customFormat="false" ht="14.25" hidden="false" customHeight="true" outlineLevel="0" collapsed="false">
      <c r="A1688" s="51" t="n">
        <v>14620</v>
      </c>
      <c r="B1688" s="53" t="n">
        <v>40682.5930555556</v>
      </c>
      <c r="C1688" s="57" t="n">
        <f aca="false">INT($C$2)-INT(Table3[[#This Row],[Last Purchase Date]])</f>
        <v>205</v>
      </c>
      <c r="D1688" s="1" t="n">
        <v>3</v>
      </c>
      <c r="E1688" s="1" t="n">
        <v>393.28</v>
      </c>
      <c r="F1688" s="1" t="n">
        <f aca="false">ROUND((1-_xlfn.PERCENTRANK.INC($C$7:$C$4378,C1688))*9,0)</f>
        <v>2</v>
      </c>
      <c r="G1688" s="1" t="n">
        <f aca="false">ROUND(_xlfn.PERCENTRANK.INC($D$7:$D$4378,D1688)*9,0)</f>
        <v>4</v>
      </c>
      <c r="H1688" s="1" t="n">
        <f aca="false">ROUND(_xlfn.PERCENTRANK.INC($E$7:$E$4378,E1688)*9,0)</f>
        <v>3</v>
      </c>
      <c r="I1688" s="1" t="str">
        <f aca="false">CONCATENATE(F1688,G1688,H1688)</f>
        <v>243</v>
      </c>
      <c r="J1688" s="1" t="str">
        <f aca="false">_xlfn.IFS(AND(F1688&gt;=8,G1688&gt;=8,H1688&gt;=8),"CHAMPION",AND(F1688&gt;=6,G1688&gt;=7,H1688&gt;=6),"LOYAL CUSTOMER",AND(F1688&gt;=6,G1688&gt;=5,H1688&gt;=5),"POTENTIAL LOYALIST",AND(F1688&gt;=8,G1688&lt;=2,H1688&gt;=5),"NEW CUSTOMERS",AND(F1688&gt;=6,G1688&lt;=2,H1688&gt;=3),"PROMISING",AND(F1688&gt;=3,G1688&gt;=3,H1688&gt;=3),"NEED ATTENTION",AND(F1688&lt;=4,G1688&gt;=6,H1688&gt;=6),"AT RISK",AND(F1688&lt;=2,G1688&gt;=8,H1688&gt;=8),"CAN'T LOSE THEM",AND(F1688&lt;=2,G1688&lt;=2,H1688&lt;=2),"HIBERNATING",TRUE(),"Other")</f>
        <v>Other</v>
      </c>
      <c r="K1688" s="1" t="n">
        <f aca="false">RANK(E1688,$E$7:$E$4378)+COUNTIF($E$7:E1688,E1688)-1</f>
        <v>2840</v>
      </c>
    </row>
    <row r="1689" customFormat="false" ht="14.25" hidden="false" customHeight="true" outlineLevel="0" collapsed="false">
      <c r="A1689" s="51" t="n">
        <v>14621</v>
      </c>
      <c r="B1689" s="53" t="n">
        <v>40885.6819444444</v>
      </c>
      <c r="C1689" s="57" t="n">
        <f aca="false">INT($C$2)-INT(Table3[[#This Row],[Last Purchase Date]])</f>
        <v>2</v>
      </c>
      <c r="D1689" s="1" t="n">
        <v>6</v>
      </c>
      <c r="E1689" s="1" t="n">
        <v>1765.76</v>
      </c>
      <c r="F1689" s="1" t="n">
        <f aca="false">ROUND((1-_xlfn.PERCENTRANK.INC($C$7:$C$4378,C1689))*9,0)</f>
        <v>9</v>
      </c>
      <c r="G1689" s="1" t="n">
        <f aca="false">ROUND(_xlfn.PERCENTRANK.INC($D$7:$D$4378,D1689)*9,0)</f>
        <v>7</v>
      </c>
      <c r="H1689" s="1" t="n">
        <f aca="false">ROUND(_xlfn.PERCENTRANK.INC($E$7:$E$4378,E1689)*9,0)</f>
        <v>7</v>
      </c>
      <c r="I1689" s="1" t="str">
        <f aca="false">CONCATENATE(F1689,G1689,H1689)</f>
        <v>977</v>
      </c>
      <c r="J1689" s="1" t="str">
        <f aca="false">_xlfn.IFS(AND(F1689&gt;=8,G1689&gt;=8,H1689&gt;=8),"CHAMPION",AND(F1689&gt;=6,G1689&gt;=7,H1689&gt;=6),"LOYAL CUSTOMER",AND(F1689&gt;=6,G1689&gt;=5,H1689&gt;=5),"POTENTIAL LOYALIST",AND(F1689&gt;=8,G1689&lt;=2,H1689&gt;=5),"NEW CUSTOMERS",AND(F1689&gt;=6,G1689&lt;=2,H1689&gt;=3),"PROMISING",AND(F1689&gt;=3,G1689&gt;=3,H1689&gt;=3),"NEED ATTENTION",AND(F1689&lt;=4,G1689&gt;=6,H1689&gt;=6),"AT RISK",AND(F1689&lt;=2,G1689&gt;=8,H1689&gt;=8),"CAN'T LOSE THEM",AND(F1689&lt;=2,G1689&lt;=2,H1689&lt;=2),"HIBERNATING",TRUE(),"Other")</f>
        <v>LOYAL CUSTOMER</v>
      </c>
      <c r="K1689" s="1" t="n">
        <f aca="false">RANK(E1689,$E$7:$E$4378)+COUNTIF($E$7:E1689,E1689)-1</f>
        <v>1001</v>
      </c>
    </row>
    <row r="1690" customFormat="false" ht="14.25" hidden="false" customHeight="true" outlineLevel="0" collapsed="false">
      <c r="A1690" s="51" t="n">
        <v>14622</v>
      </c>
      <c r="B1690" s="53" t="n">
        <v>40702.5291666667</v>
      </c>
      <c r="C1690" s="57" t="n">
        <f aca="false">INT($C$2)-INT(Table3[[#This Row],[Last Purchase Date]])</f>
        <v>185</v>
      </c>
      <c r="D1690" s="1" t="n">
        <v>1</v>
      </c>
      <c r="E1690" s="1" t="n">
        <v>320.58</v>
      </c>
      <c r="F1690" s="1" t="n">
        <f aca="false">ROUND((1-_xlfn.PERCENTRANK.INC($C$7:$C$4378,C1690))*9,0)</f>
        <v>2</v>
      </c>
      <c r="G1690" s="1" t="n">
        <f aca="false">ROUND(_xlfn.PERCENTRANK.INC($D$7:$D$4378,D1690)*9,0)</f>
        <v>0</v>
      </c>
      <c r="H1690" s="1" t="n">
        <f aca="false">ROUND(_xlfn.PERCENTRANK.INC($E$7:$E$4378,E1690)*9,0)</f>
        <v>3</v>
      </c>
      <c r="I1690" s="1" t="str">
        <f aca="false">CONCATENATE(F1690,G1690,H1690)</f>
        <v>203</v>
      </c>
      <c r="J1690" s="1" t="str">
        <f aca="false">_xlfn.IFS(AND(F1690&gt;=8,G1690&gt;=8,H1690&gt;=8),"CHAMPION",AND(F1690&gt;=6,G1690&gt;=7,H1690&gt;=6),"LOYAL CUSTOMER",AND(F1690&gt;=6,G1690&gt;=5,H1690&gt;=5),"POTENTIAL LOYALIST",AND(F1690&gt;=8,G1690&lt;=2,H1690&gt;=5),"NEW CUSTOMERS",AND(F1690&gt;=6,G1690&lt;=2,H1690&gt;=3),"PROMISING",AND(F1690&gt;=3,G1690&gt;=3,H1690&gt;=3),"NEED ATTENTION",AND(F1690&lt;=4,G1690&gt;=6,H1690&gt;=6),"AT RISK",AND(F1690&lt;=2,G1690&gt;=8,H1690&gt;=8),"CAN'T LOSE THEM",AND(F1690&lt;=2,G1690&lt;=2,H1690&lt;=2),"HIBERNATING",TRUE(),"Other")</f>
        <v>Other</v>
      </c>
      <c r="K1690" s="1" t="n">
        <f aca="false">RANK(E1690,$E$7:$E$4378)+COUNTIF($E$7:E1690,E1690)-1</f>
        <v>3137</v>
      </c>
    </row>
    <row r="1691" customFormat="false" ht="14.25" hidden="false" customHeight="true" outlineLevel="0" collapsed="false">
      <c r="A1691" s="51" t="n">
        <v>14623</v>
      </c>
      <c r="B1691" s="53" t="n">
        <v>40854.5805555556</v>
      </c>
      <c r="C1691" s="57" t="n">
        <f aca="false">INT($C$2)-INT(Table3[[#This Row],[Last Purchase Date]])</f>
        <v>33</v>
      </c>
      <c r="D1691" s="1" t="n">
        <v>6</v>
      </c>
      <c r="E1691" s="1" t="n">
        <v>869.35</v>
      </c>
      <c r="F1691" s="1" t="n">
        <f aca="false">ROUND((1-_xlfn.PERCENTRANK.INC($C$7:$C$4378,C1691))*9,0)</f>
        <v>5</v>
      </c>
      <c r="G1691" s="1" t="n">
        <f aca="false">ROUND(_xlfn.PERCENTRANK.INC($D$7:$D$4378,D1691)*9,0)</f>
        <v>7</v>
      </c>
      <c r="H1691" s="1" t="n">
        <f aca="false">ROUND(_xlfn.PERCENTRANK.INC($E$7:$E$4378,E1691)*9,0)</f>
        <v>5</v>
      </c>
      <c r="I1691" s="1" t="str">
        <f aca="false">CONCATENATE(F1691,G1691,H1691)</f>
        <v>575</v>
      </c>
      <c r="J1691" s="1" t="str">
        <f aca="false">_xlfn.IFS(AND(F1691&gt;=8,G1691&gt;=8,H1691&gt;=8),"CHAMPION",AND(F1691&gt;=6,G1691&gt;=7,H1691&gt;=6),"LOYAL CUSTOMER",AND(F1691&gt;=6,G1691&gt;=5,H1691&gt;=5),"POTENTIAL LOYALIST",AND(F1691&gt;=8,G1691&lt;=2,H1691&gt;=5),"NEW CUSTOMERS",AND(F1691&gt;=6,G1691&lt;=2,H1691&gt;=3),"PROMISING",AND(F1691&gt;=3,G1691&gt;=3,H1691&gt;=3),"NEED ATTENTION",AND(F1691&lt;=4,G1691&gt;=6,H1691&gt;=6),"AT RISK",AND(F1691&lt;=2,G1691&gt;=8,H1691&gt;=8),"CAN'T LOSE THEM",AND(F1691&lt;=2,G1691&lt;=2,H1691&lt;=2),"HIBERNATING",TRUE(),"Other")</f>
        <v>NEED ATTENTION</v>
      </c>
      <c r="K1691" s="1" t="n">
        <f aca="false">RANK(E1691,$E$7:$E$4378)+COUNTIF($E$7:E1691,E1691)-1</f>
        <v>1804</v>
      </c>
    </row>
    <row r="1692" customFormat="false" ht="14.25" hidden="false" customHeight="true" outlineLevel="0" collapsed="false">
      <c r="A1692" s="51" t="n">
        <v>14624</v>
      </c>
      <c r="B1692" s="53" t="n">
        <v>40829.5722222222</v>
      </c>
      <c r="C1692" s="57" t="n">
        <f aca="false">INT($C$2)-INT(Table3[[#This Row],[Last Purchase Date]])</f>
        <v>58</v>
      </c>
      <c r="D1692" s="1" t="n">
        <v>2</v>
      </c>
      <c r="E1692" s="1" t="n">
        <v>225.85</v>
      </c>
      <c r="F1692" s="1" t="n">
        <f aca="false">ROUND((1-_xlfn.PERCENTRANK.INC($C$7:$C$4378,C1692))*9,0)</f>
        <v>4</v>
      </c>
      <c r="G1692" s="1" t="n">
        <f aca="false">ROUND(_xlfn.PERCENTRANK.INC($D$7:$D$4378,D1692)*9,0)</f>
        <v>3</v>
      </c>
      <c r="H1692" s="1" t="n">
        <f aca="false">ROUND(_xlfn.PERCENTRANK.INC($E$7:$E$4378,E1692)*9,0)</f>
        <v>2</v>
      </c>
      <c r="I1692" s="1" t="str">
        <f aca="false">CONCATENATE(F1692,G1692,H1692)</f>
        <v>432</v>
      </c>
      <c r="J1692" s="1" t="str">
        <f aca="false">_xlfn.IFS(AND(F1692&gt;=8,G1692&gt;=8,H1692&gt;=8),"CHAMPION",AND(F1692&gt;=6,G1692&gt;=7,H1692&gt;=6),"LOYAL CUSTOMER",AND(F1692&gt;=6,G1692&gt;=5,H1692&gt;=5),"POTENTIAL LOYALIST",AND(F1692&gt;=8,G1692&lt;=2,H1692&gt;=5),"NEW CUSTOMERS",AND(F1692&gt;=6,G1692&lt;=2,H1692&gt;=3),"PROMISING",AND(F1692&gt;=3,G1692&gt;=3,H1692&gt;=3),"NEED ATTENTION",AND(F1692&lt;=4,G1692&gt;=6,H1692&gt;=6),"AT RISK",AND(F1692&lt;=2,G1692&gt;=8,H1692&gt;=8),"CAN'T LOSE THEM",AND(F1692&lt;=2,G1692&lt;=2,H1692&lt;=2),"HIBERNATING",TRUE(),"Other")</f>
        <v>Other</v>
      </c>
      <c r="K1692" s="1" t="n">
        <f aca="false">RANK(E1692,$E$7:$E$4378)+COUNTIF($E$7:E1692,E1692)-1</f>
        <v>3536</v>
      </c>
    </row>
    <row r="1693" customFormat="false" ht="14.25" hidden="false" customHeight="true" outlineLevel="0" collapsed="false">
      <c r="A1693" s="51" t="n">
        <v>14625</v>
      </c>
      <c r="B1693" s="53" t="n">
        <v>40701.6527777778</v>
      </c>
      <c r="C1693" s="57" t="n">
        <f aca="false">INT($C$2)-INT(Table3[[#This Row],[Last Purchase Date]])</f>
        <v>186</v>
      </c>
      <c r="D1693" s="1" t="n">
        <v>5</v>
      </c>
      <c r="E1693" s="1" t="n">
        <v>848.48</v>
      </c>
      <c r="F1693" s="1" t="n">
        <f aca="false">ROUND((1-_xlfn.PERCENTRANK.INC($C$7:$C$4378,C1693))*9,0)</f>
        <v>2</v>
      </c>
      <c r="G1693" s="1" t="n">
        <f aca="false">ROUND(_xlfn.PERCENTRANK.INC($D$7:$D$4378,D1693)*9,0)</f>
        <v>6</v>
      </c>
      <c r="H1693" s="1" t="n">
        <f aca="false">ROUND(_xlfn.PERCENTRANK.INC($E$7:$E$4378,E1693)*9,0)</f>
        <v>5</v>
      </c>
      <c r="I1693" s="1" t="str">
        <f aca="false">CONCATENATE(F1693,G1693,H1693)</f>
        <v>265</v>
      </c>
      <c r="J1693" s="1" t="str">
        <f aca="false">_xlfn.IFS(AND(F1693&gt;=8,G1693&gt;=8,H1693&gt;=8),"CHAMPION",AND(F1693&gt;=6,G1693&gt;=7,H1693&gt;=6),"LOYAL CUSTOMER",AND(F1693&gt;=6,G1693&gt;=5,H1693&gt;=5),"POTENTIAL LOYALIST",AND(F1693&gt;=8,G1693&lt;=2,H1693&gt;=5),"NEW CUSTOMERS",AND(F1693&gt;=6,G1693&lt;=2,H1693&gt;=3),"PROMISING",AND(F1693&gt;=3,G1693&gt;=3,H1693&gt;=3),"NEED ATTENTION",AND(F1693&lt;=4,G1693&gt;=6,H1693&gt;=6),"AT RISK",AND(F1693&lt;=2,G1693&gt;=8,H1693&gt;=8),"CAN'T LOSE THEM",AND(F1693&lt;=2,G1693&lt;=2,H1693&lt;=2),"HIBERNATING",TRUE(),"Other")</f>
        <v>Other</v>
      </c>
      <c r="K1693" s="1" t="n">
        <f aca="false">RANK(E1693,$E$7:$E$4378)+COUNTIF($E$7:E1693,E1693)-1</f>
        <v>1833</v>
      </c>
    </row>
    <row r="1694" customFormat="false" ht="14.25" hidden="false" customHeight="true" outlineLevel="0" collapsed="false">
      <c r="A1694" s="51" t="n">
        <v>14626</v>
      </c>
      <c r="B1694" s="53" t="n">
        <v>40878.3715277778</v>
      </c>
      <c r="C1694" s="57" t="n">
        <f aca="false">INT($C$2)-INT(Table3[[#This Row],[Last Purchase Date]])</f>
        <v>9</v>
      </c>
      <c r="D1694" s="1" t="n">
        <v>7</v>
      </c>
      <c r="E1694" s="1" t="n">
        <v>2757.07</v>
      </c>
      <c r="F1694" s="1" t="n">
        <f aca="false">ROUND((1-_xlfn.PERCENTRANK.INC($C$7:$C$4378,C1694))*9,0)</f>
        <v>8</v>
      </c>
      <c r="G1694" s="1" t="n">
        <f aca="false">ROUND(_xlfn.PERCENTRANK.INC($D$7:$D$4378,D1694)*9,0)</f>
        <v>7</v>
      </c>
      <c r="H1694" s="1" t="n">
        <f aca="false">ROUND(_xlfn.PERCENTRANK.INC($E$7:$E$4378,E1694)*9,0)</f>
        <v>8</v>
      </c>
      <c r="I1694" s="1" t="str">
        <f aca="false">CONCATENATE(F1694,G1694,H1694)</f>
        <v>878</v>
      </c>
      <c r="J1694" s="1" t="str">
        <f aca="false">_xlfn.IFS(AND(F1694&gt;=8,G1694&gt;=8,H1694&gt;=8),"CHAMPION",AND(F1694&gt;=6,G1694&gt;=7,H1694&gt;=6),"LOYAL CUSTOMER",AND(F1694&gt;=6,G1694&gt;=5,H1694&gt;=5),"POTENTIAL LOYALIST",AND(F1694&gt;=8,G1694&lt;=2,H1694&gt;=5),"NEW CUSTOMERS",AND(F1694&gt;=6,G1694&lt;=2,H1694&gt;=3),"PROMISING",AND(F1694&gt;=3,G1694&gt;=3,H1694&gt;=3),"NEED ATTENTION",AND(F1694&lt;=4,G1694&gt;=6,H1694&gt;=6),"AT RISK",AND(F1694&lt;=2,G1694&gt;=8,H1694&gt;=8),"CAN'T LOSE THEM",AND(F1694&lt;=2,G1694&lt;=2,H1694&lt;=2),"HIBERNATING",TRUE(),"Other")</f>
        <v>LOYAL CUSTOMER</v>
      </c>
      <c r="K1694" s="1" t="n">
        <f aca="false">RANK(E1694,$E$7:$E$4378)+COUNTIF($E$7:E1694,E1694)-1</f>
        <v>598</v>
      </c>
    </row>
    <row r="1695" customFormat="false" ht="14.25" hidden="false" customHeight="true" outlineLevel="0" collapsed="false">
      <c r="A1695" s="51" t="n">
        <v>14627</v>
      </c>
      <c r="B1695" s="53" t="n">
        <v>40575.4506944444</v>
      </c>
      <c r="C1695" s="57" t="n">
        <f aca="false">INT($C$2)-INT(Table3[[#This Row],[Last Purchase Date]])</f>
        <v>312</v>
      </c>
      <c r="D1695" s="1" t="n">
        <v>1</v>
      </c>
      <c r="E1695" s="1" t="n">
        <v>-21.85</v>
      </c>
      <c r="F1695" s="1" t="n">
        <f aca="false">ROUND((1-_xlfn.PERCENTRANK.INC($C$7:$C$4378,C1695))*9,0)</f>
        <v>0</v>
      </c>
      <c r="G1695" s="1" t="n">
        <f aca="false">ROUND(_xlfn.PERCENTRANK.INC($D$7:$D$4378,D1695)*9,0)</f>
        <v>0</v>
      </c>
      <c r="H1695" s="1" t="n">
        <f aca="false">ROUND(_xlfn.PERCENTRANK.INC($E$7:$E$4378,E1695)*9,0)</f>
        <v>0</v>
      </c>
      <c r="I1695" s="1" t="str">
        <f aca="false">CONCATENATE(F1695,G1695,H1695)</f>
        <v>000</v>
      </c>
      <c r="J1695" s="1" t="str">
        <f aca="false">_xlfn.IFS(AND(F1695&gt;=8,G1695&gt;=8,H1695&gt;=8),"CHAMPION",AND(F1695&gt;=6,G1695&gt;=7,H1695&gt;=6),"LOYAL CUSTOMER",AND(F1695&gt;=6,G1695&gt;=5,H1695&gt;=5),"POTENTIAL LOYALIST",AND(F1695&gt;=8,G1695&lt;=2,H1695&gt;=5),"NEW CUSTOMERS",AND(F1695&gt;=6,G1695&lt;=2,H1695&gt;=3),"PROMISING",AND(F1695&gt;=3,G1695&gt;=3,H1695&gt;=3),"NEED ATTENTION",AND(F1695&lt;=4,G1695&gt;=6,H1695&gt;=6),"AT RISK",AND(F1695&lt;=2,G1695&gt;=8,H1695&gt;=8),"CAN'T LOSE THEM",AND(F1695&lt;=2,G1695&lt;=2,H1695&lt;=2),"HIBERNATING",TRUE(),"Other")</f>
        <v>HIBERNATING</v>
      </c>
      <c r="K1695" s="1" t="n">
        <f aca="false">RANK(E1695,$E$7:$E$4378)+COUNTIF($E$7:E1695,E1695)-1</f>
        <v>4344</v>
      </c>
    </row>
    <row r="1696" customFormat="false" ht="14.25" hidden="false" customHeight="true" outlineLevel="0" collapsed="false">
      <c r="A1696" s="51" t="n">
        <v>14628</v>
      </c>
      <c r="B1696" s="53" t="n">
        <v>40795.6236111111</v>
      </c>
      <c r="C1696" s="57" t="n">
        <f aca="false">INT($C$2)-INT(Table3[[#This Row],[Last Purchase Date]])</f>
        <v>92</v>
      </c>
      <c r="D1696" s="1" t="n">
        <v>2</v>
      </c>
      <c r="E1696" s="1" t="n">
        <v>671.96</v>
      </c>
      <c r="F1696" s="1" t="n">
        <f aca="false">ROUND((1-_xlfn.PERCENTRANK.INC($C$7:$C$4378,C1696))*9,0)</f>
        <v>3</v>
      </c>
      <c r="G1696" s="1" t="n">
        <f aca="false">ROUND(_xlfn.PERCENTRANK.INC($D$7:$D$4378,D1696)*9,0)</f>
        <v>3</v>
      </c>
      <c r="H1696" s="1" t="n">
        <f aca="false">ROUND(_xlfn.PERCENTRANK.INC($E$7:$E$4378,E1696)*9,0)</f>
        <v>5</v>
      </c>
      <c r="I1696" s="1" t="str">
        <f aca="false">CONCATENATE(F1696,G1696,H1696)</f>
        <v>335</v>
      </c>
      <c r="J1696" s="1" t="str">
        <f aca="false">_xlfn.IFS(AND(F1696&gt;=8,G1696&gt;=8,H1696&gt;=8),"CHAMPION",AND(F1696&gt;=6,G1696&gt;=7,H1696&gt;=6),"LOYAL CUSTOMER",AND(F1696&gt;=6,G1696&gt;=5,H1696&gt;=5),"POTENTIAL LOYALIST",AND(F1696&gt;=8,G1696&lt;=2,H1696&gt;=5),"NEW CUSTOMERS",AND(F1696&gt;=6,G1696&lt;=2,H1696&gt;=3),"PROMISING",AND(F1696&gt;=3,G1696&gt;=3,H1696&gt;=3),"NEED ATTENTION",AND(F1696&lt;=4,G1696&gt;=6,H1696&gt;=6),"AT RISK",AND(F1696&lt;=2,G1696&gt;=8,H1696&gt;=8),"CAN'T LOSE THEM",AND(F1696&lt;=2,G1696&lt;=2,H1696&lt;=2),"HIBERNATING",TRUE(),"Other")</f>
        <v>NEED ATTENTION</v>
      </c>
      <c r="K1696" s="1" t="n">
        <f aca="false">RANK(E1696,$E$7:$E$4378)+COUNTIF($E$7:E1696,E1696)-1</f>
        <v>2125</v>
      </c>
    </row>
    <row r="1697" customFormat="false" ht="14.25" hidden="false" customHeight="true" outlineLevel="0" collapsed="false">
      <c r="A1697" s="51" t="n">
        <v>14629</v>
      </c>
      <c r="B1697" s="53" t="n">
        <v>40882.7048611111</v>
      </c>
      <c r="C1697" s="57" t="n">
        <f aca="false">INT($C$2)-INT(Table3[[#This Row],[Last Purchase Date]])</f>
        <v>5</v>
      </c>
      <c r="D1697" s="1" t="n">
        <v>3</v>
      </c>
      <c r="E1697" s="1" t="n">
        <v>939.21</v>
      </c>
      <c r="F1697" s="1" t="n">
        <f aca="false">ROUND((1-_xlfn.PERCENTRANK.INC($C$7:$C$4378,C1697))*9,0)</f>
        <v>8</v>
      </c>
      <c r="G1697" s="1" t="n">
        <f aca="false">ROUND(_xlfn.PERCENTRANK.INC($D$7:$D$4378,D1697)*9,0)</f>
        <v>4</v>
      </c>
      <c r="H1697" s="1" t="n">
        <f aca="false">ROUND(_xlfn.PERCENTRANK.INC($E$7:$E$4378,E1697)*9,0)</f>
        <v>5</v>
      </c>
      <c r="I1697" s="1" t="str">
        <f aca="false">CONCATENATE(F1697,G1697,H1697)</f>
        <v>845</v>
      </c>
      <c r="J1697" s="1" t="str">
        <f aca="false">_xlfn.IFS(AND(F1697&gt;=8,G1697&gt;=8,H1697&gt;=8),"CHAMPION",AND(F1697&gt;=6,G1697&gt;=7,H1697&gt;=6),"LOYAL CUSTOMER",AND(F1697&gt;=6,G1697&gt;=5,H1697&gt;=5),"POTENTIAL LOYALIST",AND(F1697&gt;=8,G1697&lt;=2,H1697&gt;=5),"NEW CUSTOMERS",AND(F1697&gt;=6,G1697&lt;=2,H1697&gt;=3),"PROMISING",AND(F1697&gt;=3,G1697&gt;=3,H1697&gt;=3),"NEED ATTENTION",AND(F1697&lt;=4,G1697&gt;=6,H1697&gt;=6),"AT RISK",AND(F1697&lt;=2,G1697&gt;=8,H1697&gt;=8),"CAN'T LOSE THEM",AND(F1697&lt;=2,G1697&lt;=2,H1697&lt;=2),"HIBERNATING",TRUE(),"Other")</f>
        <v>NEED ATTENTION</v>
      </c>
      <c r="K1697" s="1" t="n">
        <f aca="false">RANK(E1697,$E$7:$E$4378)+COUNTIF($E$7:E1697,E1697)-1</f>
        <v>1709</v>
      </c>
    </row>
    <row r="1698" customFormat="false" ht="14.25" hidden="false" customHeight="true" outlineLevel="0" collapsed="false">
      <c r="A1698" s="51" t="n">
        <v>14631</v>
      </c>
      <c r="B1698" s="53" t="n">
        <v>40836.4701388889</v>
      </c>
      <c r="C1698" s="57" t="n">
        <f aca="false">INT($C$2)-INT(Table3[[#This Row],[Last Purchase Date]])</f>
        <v>51</v>
      </c>
      <c r="D1698" s="1" t="n">
        <v>3</v>
      </c>
      <c r="E1698" s="1" t="n">
        <v>1006.98</v>
      </c>
      <c r="F1698" s="1" t="n">
        <f aca="false">ROUND((1-_xlfn.PERCENTRANK.INC($C$7:$C$4378,C1698))*9,0)</f>
        <v>5</v>
      </c>
      <c r="G1698" s="1" t="n">
        <f aca="false">ROUND(_xlfn.PERCENTRANK.INC($D$7:$D$4378,D1698)*9,0)</f>
        <v>4</v>
      </c>
      <c r="H1698" s="1" t="n">
        <f aca="false">ROUND(_xlfn.PERCENTRANK.INC($E$7:$E$4378,E1698)*9,0)</f>
        <v>6</v>
      </c>
      <c r="I1698" s="1" t="str">
        <f aca="false">CONCATENATE(F1698,G1698,H1698)</f>
        <v>546</v>
      </c>
      <c r="J1698" s="1" t="str">
        <f aca="false">_xlfn.IFS(AND(F1698&gt;=8,G1698&gt;=8,H1698&gt;=8),"CHAMPION",AND(F1698&gt;=6,G1698&gt;=7,H1698&gt;=6),"LOYAL CUSTOMER",AND(F1698&gt;=6,G1698&gt;=5,H1698&gt;=5),"POTENTIAL LOYALIST",AND(F1698&gt;=8,G1698&lt;=2,H1698&gt;=5),"NEW CUSTOMERS",AND(F1698&gt;=6,G1698&lt;=2,H1698&gt;=3),"PROMISING",AND(F1698&gt;=3,G1698&gt;=3,H1698&gt;=3),"NEED ATTENTION",AND(F1698&lt;=4,G1698&gt;=6,H1698&gt;=6),"AT RISK",AND(F1698&lt;=2,G1698&gt;=8,H1698&gt;=8),"CAN'T LOSE THEM",AND(F1698&lt;=2,G1698&lt;=2,H1698&lt;=2),"HIBERNATING",TRUE(),"Other")</f>
        <v>NEED ATTENTION</v>
      </c>
      <c r="K1698" s="1" t="n">
        <f aca="false">RANK(E1698,$E$7:$E$4378)+COUNTIF($E$7:E1698,E1698)-1</f>
        <v>1623</v>
      </c>
    </row>
    <row r="1699" customFormat="false" ht="14.25" hidden="false" customHeight="true" outlineLevel="0" collapsed="false">
      <c r="A1699" s="51" t="n">
        <v>14632</v>
      </c>
      <c r="B1699" s="53" t="n">
        <v>40624.3673611111</v>
      </c>
      <c r="C1699" s="57" t="n">
        <f aca="false">INT($C$2)-INT(Table3[[#This Row],[Last Purchase Date]])</f>
        <v>263</v>
      </c>
      <c r="D1699" s="1" t="n">
        <v>1</v>
      </c>
      <c r="E1699" s="1" t="n">
        <v>114.56</v>
      </c>
      <c r="F1699" s="1" t="n">
        <f aca="false">ROUND((1-_xlfn.PERCENTRANK.INC($C$7:$C$4378,C1699))*9,0)</f>
        <v>1</v>
      </c>
      <c r="G1699" s="1" t="n">
        <f aca="false">ROUND(_xlfn.PERCENTRANK.INC($D$7:$D$4378,D1699)*9,0)</f>
        <v>0</v>
      </c>
      <c r="H1699" s="1" t="n">
        <f aca="false">ROUND(_xlfn.PERCENTRANK.INC($E$7:$E$4378,E1699)*9,0)</f>
        <v>1</v>
      </c>
      <c r="I1699" s="1" t="str">
        <f aca="false">CONCATENATE(F1699,G1699,H1699)</f>
        <v>101</v>
      </c>
      <c r="J1699" s="1" t="str">
        <f aca="false">_xlfn.IFS(AND(F1699&gt;=8,G1699&gt;=8,H1699&gt;=8),"CHAMPION",AND(F1699&gt;=6,G1699&gt;=7,H1699&gt;=6),"LOYAL CUSTOMER",AND(F1699&gt;=6,G1699&gt;=5,H1699&gt;=5),"POTENTIAL LOYALIST",AND(F1699&gt;=8,G1699&lt;=2,H1699&gt;=5),"NEW CUSTOMERS",AND(F1699&gt;=6,G1699&lt;=2,H1699&gt;=3),"PROMISING",AND(F1699&gt;=3,G1699&gt;=3,H1699&gt;=3),"NEED ATTENTION",AND(F1699&lt;=4,G1699&gt;=6,H1699&gt;=6),"AT RISK",AND(F1699&lt;=2,G1699&gt;=8,H1699&gt;=8),"CAN'T LOSE THEM",AND(F1699&lt;=2,G1699&lt;=2,H1699&lt;=2),"HIBERNATING",TRUE(),"Other")</f>
        <v>HIBERNATING</v>
      </c>
      <c r="K1699" s="1" t="n">
        <f aca="false">RANK(E1699,$E$7:$E$4378)+COUNTIF($E$7:E1699,E1699)-1</f>
        <v>4074</v>
      </c>
    </row>
    <row r="1700" customFormat="false" ht="14.25" hidden="false" customHeight="true" outlineLevel="0" collapsed="false">
      <c r="A1700" s="51" t="n">
        <v>14633</v>
      </c>
      <c r="B1700" s="53" t="n">
        <v>40620.7131944444</v>
      </c>
      <c r="C1700" s="57" t="n">
        <f aca="false">INT($C$2)-INT(Table3[[#This Row],[Last Purchase Date]])</f>
        <v>267</v>
      </c>
      <c r="D1700" s="1" t="n">
        <v>1</v>
      </c>
      <c r="E1700" s="1" t="n">
        <v>344.9</v>
      </c>
      <c r="F1700" s="1" t="n">
        <f aca="false">ROUND((1-_xlfn.PERCENTRANK.INC($C$7:$C$4378,C1700))*9,0)</f>
        <v>1</v>
      </c>
      <c r="G1700" s="1" t="n">
        <f aca="false">ROUND(_xlfn.PERCENTRANK.INC($D$7:$D$4378,D1700)*9,0)</f>
        <v>0</v>
      </c>
      <c r="H1700" s="1" t="n">
        <f aca="false">ROUND(_xlfn.PERCENTRANK.INC($E$7:$E$4378,E1700)*9,0)</f>
        <v>3</v>
      </c>
      <c r="I1700" s="1" t="str">
        <f aca="false">CONCATENATE(F1700,G1700,H1700)</f>
        <v>103</v>
      </c>
      <c r="J1700" s="1" t="str">
        <f aca="false">_xlfn.IFS(AND(F1700&gt;=8,G1700&gt;=8,H1700&gt;=8),"CHAMPION",AND(F1700&gt;=6,G1700&gt;=7,H1700&gt;=6),"LOYAL CUSTOMER",AND(F1700&gt;=6,G1700&gt;=5,H1700&gt;=5),"POTENTIAL LOYALIST",AND(F1700&gt;=8,G1700&lt;=2,H1700&gt;=5),"NEW CUSTOMERS",AND(F1700&gt;=6,G1700&lt;=2,H1700&gt;=3),"PROMISING",AND(F1700&gt;=3,G1700&gt;=3,H1700&gt;=3),"NEED ATTENTION",AND(F1700&lt;=4,G1700&gt;=6,H1700&gt;=6),"AT RISK",AND(F1700&lt;=2,G1700&gt;=8,H1700&gt;=8),"CAN'T LOSE THEM",AND(F1700&lt;=2,G1700&lt;=2,H1700&lt;=2),"HIBERNATING",TRUE(),"Other")</f>
        <v>Other</v>
      </c>
      <c r="K1700" s="1" t="n">
        <f aca="false">RANK(E1700,$E$7:$E$4378)+COUNTIF($E$7:E1700,E1700)-1</f>
        <v>3033</v>
      </c>
    </row>
    <row r="1701" customFormat="false" ht="14.25" hidden="false" customHeight="true" outlineLevel="0" collapsed="false">
      <c r="A1701" s="51" t="n">
        <v>14636</v>
      </c>
      <c r="B1701" s="53" t="n">
        <v>40850.675</v>
      </c>
      <c r="C1701" s="57" t="n">
        <f aca="false">INT($C$2)-INT(Table3[[#This Row],[Last Purchase Date]])</f>
        <v>37</v>
      </c>
      <c r="D1701" s="1" t="n">
        <v>2</v>
      </c>
      <c r="E1701" s="1" t="n">
        <v>609.85</v>
      </c>
      <c r="F1701" s="1" t="n">
        <f aca="false">ROUND((1-_xlfn.PERCENTRANK.INC($C$7:$C$4378,C1701))*9,0)</f>
        <v>5</v>
      </c>
      <c r="G1701" s="1" t="n">
        <f aca="false">ROUND(_xlfn.PERCENTRANK.INC($D$7:$D$4378,D1701)*9,0)</f>
        <v>3</v>
      </c>
      <c r="H1701" s="1" t="n">
        <f aca="false">ROUND(_xlfn.PERCENTRANK.INC($E$7:$E$4378,E1701)*9,0)</f>
        <v>4</v>
      </c>
      <c r="I1701" s="1" t="str">
        <f aca="false">CONCATENATE(F1701,G1701,H1701)</f>
        <v>534</v>
      </c>
      <c r="J1701" s="1" t="str">
        <f aca="false">_xlfn.IFS(AND(F1701&gt;=8,G1701&gt;=8,H1701&gt;=8),"CHAMPION",AND(F1701&gt;=6,G1701&gt;=7,H1701&gt;=6),"LOYAL CUSTOMER",AND(F1701&gt;=6,G1701&gt;=5,H1701&gt;=5),"POTENTIAL LOYALIST",AND(F1701&gt;=8,G1701&lt;=2,H1701&gt;=5),"NEW CUSTOMERS",AND(F1701&gt;=6,G1701&lt;=2,H1701&gt;=3),"PROMISING",AND(F1701&gt;=3,G1701&gt;=3,H1701&gt;=3),"NEED ATTENTION",AND(F1701&lt;=4,G1701&gt;=6,H1701&gt;=6),"AT RISK",AND(F1701&lt;=2,G1701&gt;=8,H1701&gt;=8),"CAN'T LOSE THEM",AND(F1701&lt;=2,G1701&lt;=2,H1701&lt;=2),"HIBERNATING",TRUE(),"Other")</f>
        <v>NEED ATTENTION</v>
      </c>
      <c r="K1701" s="1" t="n">
        <f aca="false">RANK(E1701,$E$7:$E$4378)+COUNTIF($E$7:E1701,E1701)-1</f>
        <v>2284</v>
      </c>
    </row>
    <row r="1702" customFormat="false" ht="14.25" hidden="false" customHeight="true" outlineLevel="0" collapsed="false">
      <c r="A1702" s="51" t="n">
        <v>14638</v>
      </c>
      <c r="B1702" s="53" t="n">
        <v>40836.4236111111</v>
      </c>
      <c r="C1702" s="57" t="n">
        <f aca="false">INT($C$2)-INT(Table3[[#This Row],[Last Purchase Date]])</f>
        <v>51</v>
      </c>
      <c r="D1702" s="1" t="n">
        <v>1</v>
      </c>
      <c r="E1702" s="1" t="n">
        <v>443.6</v>
      </c>
      <c r="F1702" s="1" t="n">
        <f aca="false">ROUND((1-_xlfn.PERCENTRANK.INC($C$7:$C$4378,C1702))*9,0)</f>
        <v>5</v>
      </c>
      <c r="G1702" s="1" t="n">
        <f aca="false">ROUND(_xlfn.PERCENTRANK.INC($D$7:$D$4378,D1702)*9,0)</f>
        <v>0</v>
      </c>
      <c r="H1702" s="1" t="n">
        <f aca="false">ROUND(_xlfn.PERCENTRANK.INC($E$7:$E$4378,E1702)*9,0)</f>
        <v>3</v>
      </c>
      <c r="I1702" s="1" t="str">
        <f aca="false">CONCATENATE(F1702,G1702,H1702)</f>
        <v>503</v>
      </c>
      <c r="J1702" s="1" t="str">
        <f aca="false">_xlfn.IFS(AND(F1702&gt;=8,G1702&gt;=8,H1702&gt;=8),"CHAMPION",AND(F1702&gt;=6,G1702&gt;=7,H1702&gt;=6),"LOYAL CUSTOMER",AND(F1702&gt;=6,G1702&gt;=5,H1702&gt;=5),"POTENTIAL LOYALIST",AND(F1702&gt;=8,G1702&lt;=2,H1702&gt;=5),"NEW CUSTOMERS",AND(F1702&gt;=6,G1702&lt;=2,H1702&gt;=3),"PROMISING",AND(F1702&gt;=3,G1702&gt;=3,H1702&gt;=3),"NEED ATTENTION",AND(F1702&lt;=4,G1702&gt;=6,H1702&gt;=6),"AT RISK",AND(F1702&lt;=2,G1702&gt;=8,H1702&gt;=8),"CAN'T LOSE THEM",AND(F1702&lt;=2,G1702&lt;=2,H1702&lt;=2),"HIBERNATING",TRUE(),"Other")</f>
        <v>Other</v>
      </c>
      <c r="K1702" s="1" t="n">
        <f aca="false">RANK(E1702,$E$7:$E$4378)+COUNTIF($E$7:E1702,E1702)-1</f>
        <v>2686</v>
      </c>
    </row>
    <row r="1703" customFormat="false" ht="14.25" hidden="false" customHeight="true" outlineLevel="0" collapsed="false">
      <c r="A1703" s="51" t="n">
        <v>14639</v>
      </c>
      <c r="B1703" s="53" t="n">
        <v>40834.6291666667</v>
      </c>
      <c r="C1703" s="57" t="n">
        <f aca="false">INT($C$2)-INT(Table3[[#This Row],[Last Purchase Date]])</f>
        <v>53</v>
      </c>
      <c r="D1703" s="1" t="n">
        <v>8</v>
      </c>
      <c r="E1703" s="1" t="n">
        <v>2952.34</v>
      </c>
      <c r="F1703" s="1" t="n">
        <f aca="false">ROUND((1-_xlfn.PERCENTRANK.INC($C$7:$C$4378,C1703))*9,0)</f>
        <v>4</v>
      </c>
      <c r="G1703" s="1" t="n">
        <f aca="false">ROUND(_xlfn.PERCENTRANK.INC($D$7:$D$4378,D1703)*9,0)</f>
        <v>7</v>
      </c>
      <c r="H1703" s="1" t="n">
        <f aca="false">ROUND(_xlfn.PERCENTRANK.INC($E$7:$E$4378,E1703)*9,0)</f>
        <v>8</v>
      </c>
      <c r="I1703" s="1" t="str">
        <f aca="false">CONCATENATE(F1703,G1703,H1703)</f>
        <v>478</v>
      </c>
      <c r="J1703" s="1" t="str">
        <f aca="false">_xlfn.IFS(AND(F1703&gt;=8,G1703&gt;=8,H1703&gt;=8),"CHAMPION",AND(F1703&gt;=6,G1703&gt;=7,H1703&gt;=6),"LOYAL CUSTOMER",AND(F1703&gt;=6,G1703&gt;=5,H1703&gt;=5),"POTENTIAL LOYALIST",AND(F1703&gt;=8,G1703&lt;=2,H1703&gt;=5),"NEW CUSTOMERS",AND(F1703&gt;=6,G1703&lt;=2,H1703&gt;=3),"PROMISING",AND(F1703&gt;=3,G1703&gt;=3,H1703&gt;=3),"NEED ATTENTION",AND(F1703&lt;=4,G1703&gt;=6,H1703&gt;=6),"AT RISK",AND(F1703&lt;=2,G1703&gt;=8,H1703&gt;=8),"CAN'T LOSE THEM",AND(F1703&lt;=2,G1703&lt;=2,H1703&lt;=2),"HIBERNATING",TRUE(),"Other")</f>
        <v>NEED ATTENTION</v>
      </c>
      <c r="K1703" s="1" t="n">
        <f aca="false">RANK(E1703,$E$7:$E$4378)+COUNTIF($E$7:E1703,E1703)-1</f>
        <v>549</v>
      </c>
    </row>
    <row r="1704" customFormat="false" ht="14.25" hidden="false" customHeight="true" outlineLevel="0" collapsed="false">
      <c r="A1704" s="51" t="n">
        <v>14640</v>
      </c>
      <c r="B1704" s="53" t="n">
        <v>40871.4583333333</v>
      </c>
      <c r="C1704" s="57" t="n">
        <f aca="false">INT($C$2)-INT(Table3[[#This Row],[Last Purchase Date]])</f>
        <v>16</v>
      </c>
      <c r="D1704" s="1" t="n">
        <v>8</v>
      </c>
      <c r="E1704" s="1" t="n">
        <v>2042.15</v>
      </c>
      <c r="F1704" s="1" t="n">
        <f aca="false">ROUND((1-_xlfn.PERCENTRANK.INC($C$7:$C$4378,C1704))*9,0)</f>
        <v>7</v>
      </c>
      <c r="G1704" s="1" t="n">
        <f aca="false">ROUND(_xlfn.PERCENTRANK.INC($D$7:$D$4378,D1704)*9,0)</f>
        <v>7</v>
      </c>
      <c r="H1704" s="1" t="n">
        <f aca="false">ROUND(_xlfn.PERCENTRANK.INC($E$7:$E$4378,E1704)*9,0)</f>
        <v>7</v>
      </c>
      <c r="I1704" s="1" t="str">
        <f aca="false">CONCATENATE(F1704,G1704,H1704)</f>
        <v>777</v>
      </c>
      <c r="J1704" s="1" t="str">
        <f aca="false">_xlfn.IFS(AND(F1704&gt;=8,G1704&gt;=8,H1704&gt;=8),"CHAMPION",AND(F1704&gt;=6,G1704&gt;=7,H1704&gt;=6),"LOYAL CUSTOMER",AND(F1704&gt;=6,G1704&gt;=5,H1704&gt;=5),"POTENTIAL LOYALIST",AND(F1704&gt;=8,G1704&lt;=2,H1704&gt;=5),"NEW CUSTOMERS",AND(F1704&gt;=6,G1704&lt;=2,H1704&gt;=3),"PROMISING",AND(F1704&gt;=3,G1704&gt;=3,H1704&gt;=3),"NEED ATTENTION",AND(F1704&lt;=4,G1704&gt;=6,H1704&gt;=6),"AT RISK",AND(F1704&lt;=2,G1704&gt;=8,H1704&gt;=8),"CAN'T LOSE THEM",AND(F1704&lt;=2,G1704&lt;=2,H1704&lt;=2),"HIBERNATING",TRUE(),"Other")</f>
        <v>LOYAL CUSTOMER</v>
      </c>
      <c r="K1704" s="1" t="n">
        <f aca="false">RANK(E1704,$E$7:$E$4378)+COUNTIF($E$7:E1704,E1704)-1</f>
        <v>857</v>
      </c>
    </row>
    <row r="1705" customFormat="false" ht="14.25" hidden="false" customHeight="true" outlineLevel="0" collapsed="false">
      <c r="A1705" s="51" t="n">
        <v>14641</v>
      </c>
      <c r="B1705" s="53" t="n">
        <v>40865.4458333333</v>
      </c>
      <c r="C1705" s="57" t="n">
        <f aca="false">INT($C$2)-INT(Table3[[#This Row],[Last Purchase Date]])</f>
        <v>22</v>
      </c>
      <c r="D1705" s="1" t="n">
        <v>1</v>
      </c>
      <c r="E1705" s="1" t="n">
        <v>110.46</v>
      </c>
      <c r="F1705" s="1" t="n">
        <f aca="false">ROUND((1-_xlfn.PERCENTRANK.INC($C$7:$C$4378,C1705))*9,0)</f>
        <v>6</v>
      </c>
      <c r="G1705" s="1" t="n">
        <f aca="false">ROUND(_xlfn.PERCENTRANK.INC($D$7:$D$4378,D1705)*9,0)</f>
        <v>0</v>
      </c>
      <c r="H1705" s="1" t="n">
        <f aca="false">ROUND(_xlfn.PERCENTRANK.INC($E$7:$E$4378,E1705)*9,0)</f>
        <v>1</v>
      </c>
      <c r="I1705" s="1" t="str">
        <f aca="false">CONCATENATE(F1705,G1705,H1705)</f>
        <v>601</v>
      </c>
      <c r="J1705" s="1" t="str">
        <f aca="false">_xlfn.IFS(AND(F1705&gt;=8,G1705&gt;=8,H1705&gt;=8),"CHAMPION",AND(F1705&gt;=6,G1705&gt;=7,H1705&gt;=6),"LOYAL CUSTOMER",AND(F1705&gt;=6,G1705&gt;=5,H1705&gt;=5),"POTENTIAL LOYALIST",AND(F1705&gt;=8,G1705&lt;=2,H1705&gt;=5),"NEW CUSTOMERS",AND(F1705&gt;=6,G1705&lt;=2,H1705&gt;=3),"PROMISING",AND(F1705&gt;=3,G1705&gt;=3,H1705&gt;=3),"NEED ATTENTION",AND(F1705&lt;=4,G1705&gt;=6,H1705&gt;=6),"AT RISK",AND(F1705&lt;=2,G1705&gt;=8,H1705&gt;=8),"CAN'T LOSE THEM",AND(F1705&lt;=2,G1705&lt;=2,H1705&lt;=2),"HIBERNATING",TRUE(),"Other")</f>
        <v>Other</v>
      </c>
      <c r="K1705" s="1" t="n">
        <f aca="false">RANK(E1705,$E$7:$E$4378)+COUNTIF($E$7:E1705,E1705)-1</f>
        <v>4112</v>
      </c>
    </row>
    <row r="1706" customFormat="false" ht="14.25" hidden="false" customHeight="true" outlineLevel="0" collapsed="false">
      <c r="A1706" s="51" t="n">
        <v>14642</v>
      </c>
      <c r="B1706" s="53" t="n">
        <v>40828.4638888889</v>
      </c>
      <c r="C1706" s="57" t="n">
        <f aca="false">INT($C$2)-INT(Table3[[#This Row],[Last Purchase Date]])</f>
        <v>59</v>
      </c>
      <c r="D1706" s="1" t="n">
        <v>1</v>
      </c>
      <c r="E1706" s="1" t="n">
        <v>96.12</v>
      </c>
      <c r="F1706" s="1" t="n">
        <f aca="false">ROUND((1-_xlfn.PERCENTRANK.INC($C$7:$C$4378,C1706))*9,0)</f>
        <v>4</v>
      </c>
      <c r="G1706" s="1" t="n">
        <f aca="false">ROUND(_xlfn.PERCENTRANK.INC($D$7:$D$4378,D1706)*9,0)</f>
        <v>0</v>
      </c>
      <c r="H1706" s="1" t="n">
        <f aca="false">ROUND(_xlfn.PERCENTRANK.INC($E$7:$E$4378,E1706)*9,0)</f>
        <v>0</v>
      </c>
      <c r="I1706" s="1" t="str">
        <f aca="false">CONCATENATE(F1706,G1706,H1706)</f>
        <v>400</v>
      </c>
      <c r="J1706" s="1" t="str">
        <f aca="false">_xlfn.IFS(AND(F1706&gt;=8,G1706&gt;=8,H1706&gt;=8),"CHAMPION",AND(F1706&gt;=6,G1706&gt;=7,H1706&gt;=6),"LOYAL CUSTOMER",AND(F1706&gt;=6,G1706&gt;=5,H1706&gt;=5),"POTENTIAL LOYALIST",AND(F1706&gt;=8,G1706&lt;=2,H1706&gt;=5),"NEW CUSTOMERS",AND(F1706&gt;=6,G1706&lt;=2,H1706&gt;=3),"PROMISING",AND(F1706&gt;=3,G1706&gt;=3,H1706&gt;=3),"NEED ATTENTION",AND(F1706&lt;=4,G1706&gt;=6,H1706&gt;=6),"AT RISK",AND(F1706&lt;=2,G1706&gt;=8,H1706&gt;=8),"CAN'T LOSE THEM",AND(F1706&lt;=2,G1706&lt;=2,H1706&lt;=2),"HIBERNATING",TRUE(),"Other")</f>
        <v>Other</v>
      </c>
      <c r="K1706" s="1" t="n">
        <f aca="false">RANK(E1706,$E$7:$E$4378)+COUNTIF($E$7:E1706,E1706)-1</f>
        <v>4171</v>
      </c>
    </row>
    <row r="1707" customFormat="false" ht="14.25" hidden="false" customHeight="true" outlineLevel="0" collapsed="false">
      <c r="A1707" s="51" t="n">
        <v>14643</v>
      </c>
      <c r="B1707" s="53" t="n">
        <v>40716.6118055556</v>
      </c>
      <c r="C1707" s="57" t="n">
        <f aca="false">INT($C$2)-INT(Table3[[#This Row],[Last Purchase Date]])</f>
        <v>171</v>
      </c>
      <c r="D1707" s="1" t="n">
        <v>3</v>
      </c>
      <c r="E1707" s="1" t="n">
        <v>668.61</v>
      </c>
      <c r="F1707" s="1" t="n">
        <f aca="false">ROUND((1-_xlfn.PERCENTRANK.INC($C$7:$C$4378,C1707))*9,0)</f>
        <v>2</v>
      </c>
      <c r="G1707" s="1" t="n">
        <f aca="false">ROUND(_xlfn.PERCENTRANK.INC($D$7:$D$4378,D1707)*9,0)</f>
        <v>4</v>
      </c>
      <c r="H1707" s="1" t="n">
        <f aca="false">ROUND(_xlfn.PERCENTRANK.INC($E$7:$E$4378,E1707)*9,0)</f>
        <v>5</v>
      </c>
      <c r="I1707" s="1" t="str">
        <f aca="false">CONCATENATE(F1707,G1707,H1707)</f>
        <v>245</v>
      </c>
      <c r="J1707" s="1" t="str">
        <f aca="false">_xlfn.IFS(AND(F1707&gt;=8,G1707&gt;=8,H1707&gt;=8),"CHAMPION",AND(F1707&gt;=6,G1707&gt;=7,H1707&gt;=6),"LOYAL CUSTOMER",AND(F1707&gt;=6,G1707&gt;=5,H1707&gt;=5),"POTENTIAL LOYALIST",AND(F1707&gt;=8,G1707&lt;=2,H1707&gt;=5),"NEW CUSTOMERS",AND(F1707&gt;=6,G1707&lt;=2,H1707&gt;=3),"PROMISING",AND(F1707&gt;=3,G1707&gt;=3,H1707&gt;=3),"NEED ATTENTION",AND(F1707&lt;=4,G1707&gt;=6,H1707&gt;=6),"AT RISK",AND(F1707&lt;=2,G1707&gt;=8,H1707&gt;=8),"CAN'T LOSE THEM",AND(F1707&lt;=2,G1707&lt;=2,H1707&lt;=2),"HIBERNATING",TRUE(),"Other")</f>
        <v>Other</v>
      </c>
      <c r="K1707" s="1" t="n">
        <f aca="false">RANK(E1707,$E$7:$E$4378)+COUNTIF($E$7:E1707,E1707)-1</f>
        <v>2130</v>
      </c>
    </row>
    <row r="1708" customFormat="false" ht="14.25" hidden="false" customHeight="true" outlineLevel="0" collapsed="false">
      <c r="A1708" s="51" t="n">
        <v>14644</v>
      </c>
      <c r="B1708" s="53" t="n">
        <v>40877.6236111111</v>
      </c>
      <c r="C1708" s="57" t="n">
        <f aca="false">INT($C$2)-INT(Table3[[#This Row],[Last Purchase Date]])</f>
        <v>10</v>
      </c>
      <c r="D1708" s="1" t="n">
        <v>4</v>
      </c>
      <c r="E1708" s="1" t="n">
        <v>780.46</v>
      </c>
      <c r="F1708" s="1" t="n">
        <f aca="false">ROUND((1-_xlfn.PERCENTRANK.INC($C$7:$C$4378,C1708))*9,0)</f>
        <v>8</v>
      </c>
      <c r="G1708" s="1" t="n">
        <f aca="false">ROUND(_xlfn.PERCENTRANK.INC($D$7:$D$4378,D1708)*9,0)</f>
        <v>5</v>
      </c>
      <c r="H1708" s="1" t="n">
        <f aca="false">ROUND(_xlfn.PERCENTRANK.INC($E$7:$E$4378,E1708)*9,0)</f>
        <v>5</v>
      </c>
      <c r="I1708" s="1" t="str">
        <f aca="false">CONCATENATE(F1708,G1708,H1708)</f>
        <v>855</v>
      </c>
      <c r="J1708" s="1" t="str">
        <f aca="false">_xlfn.IFS(AND(F1708&gt;=8,G1708&gt;=8,H1708&gt;=8),"CHAMPION",AND(F1708&gt;=6,G1708&gt;=7,H1708&gt;=6),"LOYAL CUSTOMER",AND(F1708&gt;=6,G1708&gt;=5,H1708&gt;=5),"POTENTIAL LOYALIST",AND(F1708&gt;=8,G1708&lt;=2,H1708&gt;=5),"NEW CUSTOMERS",AND(F1708&gt;=6,G1708&lt;=2,H1708&gt;=3),"PROMISING",AND(F1708&gt;=3,G1708&gt;=3,H1708&gt;=3),"NEED ATTENTION",AND(F1708&lt;=4,G1708&gt;=6,H1708&gt;=6),"AT RISK",AND(F1708&lt;=2,G1708&gt;=8,H1708&gt;=8),"CAN'T LOSE THEM",AND(F1708&lt;=2,G1708&lt;=2,H1708&lt;=2),"HIBERNATING",TRUE(),"Other")</f>
        <v>POTENTIAL LOYALIST</v>
      </c>
      <c r="K1708" s="1" t="n">
        <f aca="false">RANK(E1708,$E$7:$E$4378)+COUNTIF($E$7:E1708,E1708)-1</f>
        <v>1923</v>
      </c>
    </row>
    <row r="1709" customFormat="false" ht="14.25" hidden="false" customHeight="true" outlineLevel="0" collapsed="false">
      <c r="A1709" s="51" t="n">
        <v>14645</v>
      </c>
      <c r="B1709" s="53" t="n">
        <v>40730.3854166667</v>
      </c>
      <c r="C1709" s="57" t="n">
        <f aca="false">INT($C$2)-INT(Table3[[#This Row],[Last Purchase Date]])</f>
        <v>157</v>
      </c>
      <c r="D1709" s="1" t="n">
        <v>2</v>
      </c>
      <c r="E1709" s="1" t="n">
        <v>597.09</v>
      </c>
      <c r="F1709" s="1" t="n">
        <f aca="false">ROUND((1-_xlfn.PERCENTRANK.INC($C$7:$C$4378,C1709))*9,0)</f>
        <v>2</v>
      </c>
      <c r="G1709" s="1" t="n">
        <f aca="false">ROUND(_xlfn.PERCENTRANK.INC($D$7:$D$4378,D1709)*9,0)</f>
        <v>3</v>
      </c>
      <c r="H1709" s="1" t="n">
        <f aca="false">ROUND(_xlfn.PERCENTRANK.INC($E$7:$E$4378,E1709)*9,0)</f>
        <v>4</v>
      </c>
      <c r="I1709" s="1" t="str">
        <f aca="false">CONCATENATE(F1709,G1709,H1709)</f>
        <v>234</v>
      </c>
      <c r="J1709" s="1" t="str">
        <f aca="false">_xlfn.IFS(AND(F1709&gt;=8,G1709&gt;=8,H1709&gt;=8),"CHAMPION",AND(F1709&gt;=6,G1709&gt;=7,H1709&gt;=6),"LOYAL CUSTOMER",AND(F1709&gt;=6,G1709&gt;=5,H1709&gt;=5),"POTENTIAL LOYALIST",AND(F1709&gt;=8,G1709&lt;=2,H1709&gt;=5),"NEW CUSTOMERS",AND(F1709&gt;=6,G1709&lt;=2,H1709&gt;=3),"PROMISING",AND(F1709&gt;=3,G1709&gt;=3,H1709&gt;=3),"NEED ATTENTION",AND(F1709&lt;=4,G1709&gt;=6,H1709&gt;=6),"AT RISK",AND(F1709&lt;=2,G1709&gt;=8,H1709&gt;=8),"CAN'T LOSE THEM",AND(F1709&lt;=2,G1709&lt;=2,H1709&lt;=2),"HIBERNATING",TRUE(),"Other")</f>
        <v>Other</v>
      </c>
      <c r="K1709" s="1" t="n">
        <f aca="false">RANK(E1709,$E$7:$E$4378)+COUNTIF($E$7:E1709,E1709)-1</f>
        <v>2331</v>
      </c>
    </row>
    <row r="1710" customFormat="false" ht="14.25" hidden="false" customHeight="true" outlineLevel="0" collapsed="false">
      <c r="A1710" s="51" t="n">
        <v>14646</v>
      </c>
      <c r="B1710" s="53" t="n">
        <v>40885.5083333333</v>
      </c>
      <c r="C1710" s="57" t="n">
        <f aca="false">INT($C$2)-INT(Table3[[#This Row],[Last Purchase Date]])</f>
        <v>2</v>
      </c>
      <c r="D1710" s="1" t="n">
        <v>77</v>
      </c>
      <c r="E1710" s="1" t="n">
        <v>279489.02</v>
      </c>
      <c r="F1710" s="1" t="n">
        <f aca="false">ROUND((1-_xlfn.PERCENTRANK.INC($C$7:$C$4378,C1710))*9,0)</f>
        <v>9</v>
      </c>
      <c r="G1710" s="1" t="n">
        <f aca="false">ROUND(_xlfn.PERCENTRANK.INC($D$7:$D$4378,D1710)*9,0)</f>
        <v>9</v>
      </c>
      <c r="H1710" s="1" t="n">
        <f aca="false">ROUND(_xlfn.PERCENTRANK.INC($E$7:$E$4378,E1710)*9,0)</f>
        <v>9</v>
      </c>
      <c r="I1710" s="1" t="str">
        <f aca="false">CONCATENATE(F1710,G1710,H1710)</f>
        <v>999</v>
      </c>
      <c r="J1710" s="1" t="str">
        <f aca="false">_xlfn.IFS(AND(F1710&gt;=8,G1710&gt;=8,H1710&gt;=8),"CHAMPION",AND(F1710&gt;=6,G1710&gt;=7,H1710&gt;=6),"LOYAL CUSTOMER",AND(F1710&gt;=6,G1710&gt;=5,H1710&gt;=5),"POTENTIAL LOYALIST",AND(F1710&gt;=8,G1710&lt;=2,H1710&gt;=5),"NEW CUSTOMERS",AND(F1710&gt;=6,G1710&lt;=2,H1710&gt;=3),"PROMISING",AND(F1710&gt;=3,G1710&gt;=3,H1710&gt;=3),"NEED ATTENTION",AND(F1710&lt;=4,G1710&gt;=6,H1710&gt;=6),"AT RISK",AND(F1710&lt;=2,G1710&gt;=8,H1710&gt;=8),"CAN'T LOSE THEM",AND(F1710&lt;=2,G1710&lt;=2,H1710&lt;=2),"HIBERNATING",TRUE(),"Other")</f>
        <v>CHAMPION</v>
      </c>
      <c r="K1710" s="1" t="n">
        <f aca="false">RANK(E1710,$E$7:$E$4378)+COUNTIF($E$7:E1710,E1710)-1</f>
        <v>1</v>
      </c>
    </row>
    <row r="1711" customFormat="false" ht="14.25" hidden="false" customHeight="true" outlineLevel="0" collapsed="false">
      <c r="A1711" s="51" t="n">
        <v>14647</v>
      </c>
      <c r="B1711" s="53" t="n">
        <v>40685.5694444445</v>
      </c>
      <c r="C1711" s="57" t="n">
        <f aca="false">INT($C$2)-INT(Table3[[#This Row],[Last Purchase Date]])</f>
        <v>202</v>
      </c>
      <c r="D1711" s="1" t="n">
        <v>1</v>
      </c>
      <c r="E1711" s="1" t="n">
        <v>243.22</v>
      </c>
      <c r="F1711" s="1" t="n">
        <f aca="false">ROUND((1-_xlfn.PERCENTRANK.INC($C$7:$C$4378,C1711))*9,0)</f>
        <v>2</v>
      </c>
      <c r="G1711" s="1" t="n">
        <f aca="false">ROUND(_xlfn.PERCENTRANK.INC($D$7:$D$4378,D1711)*9,0)</f>
        <v>0</v>
      </c>
      <c r="H1711" s="1" t="n">
        <f aca="false">ROUND(_xlfn.PERCENTRANK.INC($E$7:$E$4378,E1711)*9,0)</f>
        <v>2</v>
      </c>
      <c r="I1711" s="1" t="str">
        <f aca="false">CONCATENATE(F1711,G1711,H1711)</f>
        <v>202</v>
      </c>
      <c r="J1711" s="1" t="str">
        <f aca="false">_xlfn.IFS(AND(F1711&gt;=8,G1711&gt;=8,H1711&gt;=8),"CHAMPION",AND(F1711&gt;=6,G1711&gt;=7,H1711&gt;=6),"LOYAL CUSTOMER",AND(F1711&gt;=6,G1711&gt;=5,H1711&gt;=5),"POTENTIAL LOYALIST",AND(F1711&gt;=8,G1711&lt;=2,H1711&gt;=5),"NEW CUSTOMERS",AND(F1711&gt;=6,G1711&lt;=2,H1711&gt;=3),"PROMISING",AND(F1711&gt;=3,G1711&gt;=3,H1711&gt;=3),"NEED ATTENTION",AND(F1711&lt;=4,G1711&gt;=6,H1711&gt;=6),"AT RISK",AND(F1711&lt;=2,G1711&gt;=8,H1711&gt;=8),"CAN'T LOSE THEM",AND(F1711&lt;=2,G1711&lt;=2,H1711&lt;=2),"HIBERNATING",TRUE(),"Other")</f>
        <v>HIBERNATING</v>
      </c>
      <c r="K1711" s="1" t="n">
        <f aca="false">RANK(E1711,$E$7:$E$4378)+COUNTIF($E$7:E1711,E1711)-1</f>
        <v>3471</v>
      </c>
    </row>
    <row r="1712" customFormat="false" ht="14.25" hidden="false" customHeight="true" outlineLevel="0" collapsed="false">
      <c r="A1712" s="51" t="n">
        <v>14649</v>
      </c>
      <c r="B1712" s="53" t="n">
        <v>40882.5208333333</v>
      </c>
      <c r="C1712" s="57" t="n">
        <f aca="false">INT($C$2)-INT(Table3[[#This Row],[Last Purchase Date]])</f>
        <v>5</v>
      </c>
      <c r="D1712" s="1" t="n">
        <v>4</v>
      </c>
      <c r="E1712" s="1" t="n">
        <v>1417.29</v>
      </c>
      <c r="F1712" s="1" t="n">
        <f aca="false">ROUND((1-_xlfn.PERCENTRANK.INC($C$7:$C$4378,C1712))*9,0)</f>
        <v>8</v>
      </c>
      <c r="G1712" s="1" t="n">
        <f aca="false">ROUND(_xlfn.PERCENTRANK.INC($D$7:$D$4378,D1712)*9,0)</f>
        <v>5</v>
      </c>
      <c r="H1712" s="1" t="n">
        <f aca="false">ROUND(_xlfn.PERCENTRANK.INC($E$7:$E$4378,E1712)*9,0)</f>
        <v>6</v>
      </c>
      <c r="I1712" s="1" t="str">
        <f aca="false">CONCATENATE(F1712,G1712,H1712)</f>
        <v>856</v>
      </c>
      <c r="J1712" s="1" t="str">
        <f aca="false">_xlfn.IFS(AND(F1712&gt;=8,G1712&gt;=8,H1712&gt;=8),"CHAMPION",AND(F1712&gt;=6,G1712&gt;=7,H1712&gt;=6),"LOYAL CUSTOMER",AND(F1712&gt;=6,G1712&gt;=5,H1712&gt;=5),"POTENTIAL LOYALIST",AND(F1712&gt;=8,G1712&lt;=2,H1712&gt;=5),"NEW CUSTOMERS",AND(F1712&gt;=6,G1712&lt;=2,H1712&gt;=3),"PROMISING",AND(F1712&gt;=3,G1712&gt;=3,H1712&gt;=3),"NEED ATTENTION",AND(F1712&lt;=4,G1712&gt;=6,H1712&gt;=6),"AT RISK",AND(F1712&lt;=2,G1712&gt;=8,H1712&gt;=8),"CAN'T LOSE THEM",AND(F1712&lt;=2,G1712&lt;=2,H1712&lt;=2),"HIBERNATING",TRUE(),"Other")</f>
        <v>POTENTIAL LOYALIST</v>
      </c>
      <c r="K1712" s="1" t="n">
        <f aca="false">RANK(E1712,$E$7:$E$4378)+COUNTIF($E$7:E1712,E1712)-1</f>
        <v>1225</v>
      </c>
    </row>
    <row r="1713" customFormat="false" ht="14.25" hidden="false" customHeight="true" outlineLevel="0" collapsed="false">
      <c r="A1713" s="51" t="n">
        <v>14651</v>
      </c>
      <c r="B1713" s="53" t="n">
        <v>40819.6611111111</v>
      </c>
      <c r="C1713" s="57" t="n">
        <f aca="false">INT($C$2)-INT(Table3[[#This Row],[Last Purchase Date]])</f>
        <v>68</v>
      </c>
      <c r="D1713" s="1" t="n">
        <v>2</v>
      </c>
      <c r="E1713" s="1" t="n">
        <v>654.6</v>
      </c>
      <c r="F1713" s="1" t="n">
        <f aca="false">ROUND((1-_xlfn.PERCENTRANK.INC($C$7:$C$4378,C1713))*9,0)</f>
        <v>4</v>
      </c>
      <c r="G1713" s="1" t="n">
        <f aca="false">ROUND(_xlfn.PERCENTRANK.INC($D$7:$D$4378,D1713)*9,0)</f>
        <v>3</v>
      </c>
      <c r="H1713" s="1" t="n">
        <f aca="false">ROUND(_xlfn.PERCENTRANK.INC($E$7:$E$4378,E1713)*9,0)</f>
        <v>5</v>
      </c>
      <c r="I1713" s="1" t="str">
        <f aca="false">CONCATENATE(F1713,G1713,H1713)</f>
        <v>435</v>
      </c>
      <c r="J1713" s="1" t="str">
        <f aca="false">_xlfn.IFS(AND(F1713&gt;=8,G1713&gt;=8,H1713&gt;=8),"CHAMPION",AND(F1713&gt;=6,G1713&gt;=7,H1713&gt;=6),"LOYAL CUSTOMER",AND(F1713&gt;=6,G1713&gt;=5,H1713&gt;=5),"POTENTIAL LOYALIST",AND(F1713&gt;=8,G1713&lt;=2,H1713&gt;=5),"NEW CUSTOMERS",AND(F1713&gt;=6,G1713&lt;=2,H1713&gt;=3),"PROMISING",AND(F1713&gt;=3,G1713&gt;=3,H1713&gt;=3),"NEED ATTENTION",AND(F1713&lt;=4,G1713&gt;=6,H1713&gt;=6),"AT RISK",AND(F1713&lt;=2,G1713&gt;=8,H1713&gt;=8),"CAN'T LOSE THEM",AND(F1713&lt;=2,G1713&lt;=2,H1713&lt;=2),"HIBERNATING",TRUE(),"Other")</f>
        <v>NEED ATTENTION</v>
      </c>
      <c r="K1713" s="1" t="n">
        <f aca="false">RANK(E1713,$E$7:$E$4378)+COUNTIF($E$7:E1713,E1713)-1</f>
        <v>2171</v>
      </c>
    </row>
    <row r="1714" customFormat="false" ht="14.25" hidden="false" customHeight="true" outlineLevel="0" collapsed="false">
      <c r="A1714" s="51" t="n">
        <v>14652</v>
      </c>
      <c r="B1714" s="53" t="n">
        <v>40809.5979166667</v>
      </c>
      <c r="C1714" s="57" t="n">
        <f aca="false">INT($C$2)-INT(Table3[[#This Row],[Last Purchase Date]])</f>
        <v>78</v>
      </c>
      <c r="D1714" s="1" t="n">
        <v>1</v>
      </c>
      <c r="E1714" s="1" t="n">
        <v>114.18</v>
      </c>
      <c r="F1714" s="1" t="n">
        <f aca="false">ROUND((1-_xlfn.PERCENTRANK.INC($C$7:$C$4378,C1714))*9,0)</f>
        <v>3</v>
      </c>
      <c r="G1714" s="1" t="n">
        <f aca="false">ROUND(_xlfn.PERCENTRANK.INC($D$7:$D$4378,D1714)*9,0)</f>
        <v>0</v>
      </c>
      <c r="H1714" s="1" t="n">
        <f aca="false">ROUND(_xlfn.PERCENTRANK.INC($E$7:$E$4378,E1714)*9,0)</f>
        <v>1</v>
      </c>
      <c r="I1714" s="1" t="str">
        <f aca="false">CONCATENATE(F1714,G1714,H1714)</f>
        <v>301</v>
      </c>
      <c r="J1714" s="1" t="str">
        <f aca="false">_xlfn.IFS(AND(F1714&gt;=8,G1714&gt;=8,H1714&gt;=8),"CHAMPION",AND(F1714&gt;=6,G1714&gt;=7,H1714&gt;=6),"LOYAL CUSTOMER",AND(F1714&gt;=6,G1714&gt;=5,H1714&gt;=5),"POTENTIAL LOYALIST",AND(F1714&gt;=8,G1714&lt;=2,H1714&gt;=5),"NEW CUSTOMERS",AND(F1714&gt;=6,G1714&lt;=2,H1714&gt;=3),"PROMISING",AND(F1714&gt;=3,G1714&gt;=3,H1714&gt;=3),"NEED ATTENTION",AND(F1714&lt;=4,G1714&gt;=6,H1714&gt;=6),"AT RISK",AND(F1714&lt;=2,G1714&gt;=8,H1714&gt;=8),"CAN'T LOSE THEM",AND(F1714&lt;=2,G1714&lt;=2,H1714&lt;=2),"HIBERNATING",TRUE(),"Other")</f>
        <v>Other</v>
      </c>
      <c r="K1714" s="1" t="n">
        <f aca="false">RANK(E1714,$E$7:$E$4378)+COUNTIF($E$7:E1714,E1714)-1</f>
        <v>4079</v>
      </c>
    </row>
    <row r="1715" customFormat="false" ht="14.25" hidden="false" customHeight="true" outlineLevel="0" collapsed="false">
      <c r="A1715" s="51" t="n">
        <v>14653</v>
      </c>
      <c r="B1715" s="53" t="n">
        <v>40885.5729166667</v>
      </c>
      <c r="C1715" s="57" t="n">
        <f aca="false">INT($C$2)-INT(Table3[[#This Row],[Last Purchase Date]])</f>
        <v>2</v>
      </c>
      <c r="D1715" s="1" t="n">
        <v>7</v>
      </c>
      <c r="E1715" s="1" t="n">
        <v>1947.55</v>
      </c>
      <c r="F1715" s="1" t="n">
        <f aca="false">ROUND((1-_xlfn.PERCENTRANK.INC($C$7:$C$4378,C1715))*9,0)</f>
        <v>9</v>
      </c>
      <c r="G1715" s="1" t="n">
        <f aca="false">ROUND(_xlfn.PERCENTRANK.INC($D$7:$D$4378,D1715)*9,0)</f>
        <v>7</v>
      </c>
      <c r="H1715" s="1" t="n">
        <f aca="false">ROUND(_xlfn.PERCENTRANK.INC($E$7:$E$4378,E1715)*9,0)</f>
        <v>7</v>
      </c>
      <c r="I1715" s="1" t="str">
        <f aca="false">CONCATENATE(F1715,G1715,H1715)</f>
        <v>977</v>
      </c>
      <c r="J1715" s="1" t="str">
        <f aca="false">_xlfn.IFS(AND(F1715&gt;=8,G1715&gt;=8,H1715&gt;=8),"CHAMPION",AND(F1715&gt;=6,G1715&gt;=7,H1715&gt;=6),"LOYAL CUSTOMER",AND(F1715&gt;=6,G1715&gt;=5,H1715&gt;=5),"POTENTIAL LOYALIST",AND(F1715&gt;=8,G1715&lt;=2,H1715&gt;=5),"NEW CUSTOMERS",AND(F1715&gt;=6,G1715&lt;=2,H1715&gt;=3),"PROMISING",AND(F1715&gt;=3,G1715&gt;=3,H1715&gt;=3),"NEED ATTENTION",AND(F1715&lt;=4,G1715&gt;=6,H1715&gt;=6),"AT RISK",AND(F1715&lt;=2,G1715&gt;=8,H1715&gt;=8),"CAN'T LOSE THEM",AND(F1715&lt;=2,G1715&lt;=2,H1715&lt;=2),"HIBERNATING",TRUE(),"Other")</f>
        <v>LOYAL CUSTOMER</v>
      </c>
      <c r="K1715" s="1" t="n">
        <f aca="false">RANK(E1715,$E$7:$E$4378)+COUNTIF($E$7:E1715,E1715)-1</f>
        <v>897</v>
      </c>
    </row>
    <row r="1716" customFormat="false" ht="14.25" hidden="false" customHeight="true" outlineLevel="0" collapsed="false">
      <c r="A1716" s="51" t="n">
        <v>14655</v>
      </c>
      <c r="B1716" s="53" t="n">
        <v>40883.4527777778</v>
      </c>
      <c r="C1716" s="57" t="n">
        <f aca="false">INT($C$2)-INT(Table3[[#This Row],[Last Purchase Date]])</f>
        <v>4</v>
      </c>
      <c r="D1716" s="1" t="n">
        <v>5</v>
      </c>
      <c r="E1716" s="1" t="n">
        <v>1930.15</v>
      </c>
      <c r="F1716" s="1" t="n">
        <f aca="false">ROUND((1-_xlfn.PERCENTRANK.INC($C$7:$C$4378,C1716))*9,0)</f>
        <v>8</v>
      </c>
      <c r="G1716" s="1" t="n">
        <f aca="false">ROUND(_xlfn.PERCENTRANK.INC($D$7:$D$4378,D1716)*9,0)</f>
        <v>6</v>
      </c>
      <c r="H1716" s="1" t="n">
        <f aca="false">ROUND(_xlfn.PERCENTRANK.INC($E$7:$E$4378,E1716)*9,0)</f>
        <v>7</v>
      </c>
      <c r="I1716" s="1" t="str">
        <f aca="false">CONCATENATE(F1716,G1716,H1716)</f>
        <v>867</v>
      </c>
      <c r="J1716" s="1" t="str">
        <f aca="false">_xlfn.IFS(AND(F1716&gt;=8,G1716&gt;=8,H1716&gt;=8),"CHAMPION",AND(F1716&gt;=6,G1716&gt;=7,H1716&gt;=6),"LOYAL CUSTOMER",AND(F1716&gt;=6,G1716&gt;=5,H1716&gt;=5),"POTENTIAL LOYALIST",AND(F1716&gt;=8,G1716&lt;=2,H1716&gt;=5),"NEW CUSTOMERS",AND(F1716&gt;=6,G1716&lt;=2,H1716&gt;=3),"PROMISING",AND(F1716&gt;=3,G1716&gt;=3,H1716&gt;=3),"NEED ATTENTION",AND(F1716&lt;=4,G1716&gt;=6,H1716&gt;=6),"AT RISK",AND(F1716&lt;=2,G1716&gt;=8,H1716&gt;=8),"CAN'T LOSE THEM",AND(F1716&lt;=2,G1716&lt;=2,H1716&lt;=2),"HIBERNATING",TRUE(),"Other")</f>
        <v>POTENTIAL LOYALIST</v>
      </c>
      <c r="K1716" s="1" t="n">
        <f aca="false">RANK(E1716,$E$7:$E$4378)+COUNTIF($E$7:E1716,E1716)-1</f>
        <v>902</v>
      </c>
    </row>
    <row r="1717" customFormat="false" ht="14.25" hidden="false" customHeight="true" outlineLevel="0" collapsed="false">
      <c r="A1717" s="51" t="n">
        <v>14656</v>
      </c>
      <c r="B1717" s="53" t="n">
        <v>40717.5770833333</v>
      </c>
      <c r="C1717" s="57" t="n">
        <f aca="false">INT($C$2)-INT(Table3[[#This Row],[Last Purchase Date]])</f>
        <v>170</v>
      </c>
      <c r="D1717" s="1" t="n">
        <v>2</v>
      </c>
      <c r="E1717" s="1" t="n">
        <v>291.05</v>
      </c>
      <c r="F1717" s="1" t="n">
        <f aca="false">ROUND((1-_xlfn.PERCENTRANK.INC($C$7:$C$4378,C1717))*9,0)</f>
        <v>2</v>
      </c>
      <c r="G1717" s="1" t="n">
        <f aca="false">ROUND(_xlfn.PERCENTRANK.INC($D$7:$D$4378,D1717)*9,0)</f>
        <v>3</v>
      </c>
      <c r="H1717" s="1" t="n">
        <f aca="false">ROUND(_xlfn.PERCENTRANK.INC($E$7:$E$4378,E1717)*9,0)</f>
        <v>2</v>
      </c>
      <c r="I1717" s="1" t="str">
        <f aca="false">CONCATENATE(F1717,G1717,H1717)</f>
        <v>232</v>
      </c>
      <c r="J1717" s="1" t="str">
        <f aca="false">_xlfn.IFS(AND(F1717&gt;=8,G1717&gt;=8,H1717&gt;=8),"CHAMPION",AND(F1717&gt;=6,G1717&gt;=7,H1717&gt;=6),"LOYAL CUSTOMER",AND(F1717&gt;=6,G1717&gt;=5,H1717&gt;=5),"POTENTIAL LOYALIST",AND(F1717&gt;=8,G1717&lt;=2,H1717&gt;=5),"NEW CUSTOMERS",AND(F1717&gt;=6,G1717&lt;=2,H1717&gt;=3),"PROMISING",AND(F1717&gt;=3,G1717&gt;=3,H1717&gt;=3),"NEED ATTENTION",AND(F1717&lt;=4,G1717&gt;=6,H1717&gt;=6),"AT RISK",AND(F1717&lt;=2,G1717&gt;=8,H1717&gt;=8),"CAN'T LOSE THEM",AND(F1717&lt;=2,G1717&lt;=2,H1717&lt;=2),"HIBERNATING",TRUE(),"Other")</f>
        <v>Other</v>
      </c>
      <c r="K1717" s="1" t="n">
        <f aca="false">RANK(E1717,$E$7:$E$4378)+COUNTIF($E$7:E1717,E1717)-1</f>
        <v>3289</v>
      </c>
    </row>
    <row r="1718" customFormat="false" ht="14.25" hidden="false" customHeight="true" outlineLevel="0" collapsed="false">
      <c r="A1718" s="51" t="n">
        <v>14657</v>
      </c>
      <c r="B1718" s="53" t="n">
        <v>40869.5326388889</v>
      </c>
      <c r="C1718" s="57" t="n">
        <f aca="false">INT($C$2)-INT(Table3[[#This Row],[Last Purchase Date]])</f>
        <v>18</v>
      </c>
      <c r="D1718" s="1" t="n">
        <v>5</v>
      </c>
      <c r="E1718" s="1" t="n">
        <v>838.27</v>
      </c>
      <c r="F1718" s="1" t="n">
        <f aca="false">ROUND((1-_xlfn.PERCENTRANK.INC($C$7:$C$4378,C1718))*9,0)</f>
        <v>7</v>
      </c>
      <c r="G1718" s="1" t="n">
        <f aca="false">ROUND(_xlfn.PERCENTRANK.INC($D$7:$D$4378,D1718)*9,0)</f>
        <v>6</v>
      </c>
      <c r="H1718" s="1" t="n">
        <f aca="false">ROUND(_xlfn.PERCENTRANK.INC($E$7:$E$4378,E1718)*9,0)</f>
        <v>5</v>
      </c>
      <c r="I1718" s="1" t="str">
        <f aca="false">CONCATENATE(F1718,G1718,H1718)</f>
        <v>765</v>
      </c>
      <c r="J1718" s="1" t="str">
        <f aca="false">_xlfn.IFS(AND(F1718&gt;=8,G1718&gt;=8,H1718&gt;=8),"CHAMPION",AND(F1718&gt;=6,G1718&gt;=7,H1718&gt;=6),"LOYAL CUSTOMER",AND(F1718&gt;=6,G1718&gt;=5,H1718&gt;=5),"POTENTIAL LOYALIST",AND(F1718&gt;=8,G1718&lt;=2,H1718&gt;=5),"NEW CUSTOMERS",AND(F1718&gt;=6,G1718&lt;=2,H1718&gt;=3),"PROMISING",AND(F1718&gt;=3,G1718&gt;=3,H1718&gt;=3),"NEED ATTENTION",AND(F1718&lt;=4,G1718&gt;=6,H1718&gt;=6),"AT RISK",AND(F1718&lt;=2,G1718&gt;=8,H1718&gt;=8),"CAN'T LOSE THEM",AND(F1718&lt;=2,G1718&lt;=2,H1718&lt;=2),"HIBERNATING",TRUE(),"Other")</f>
        <v>POTENTIAL LOYALIST</v>
      </c>
      <c r="K1718" s="1" t="n">
        <f aca="false">RANK(E1718,$E$7:$E$4378)+COUNTIF($E$7:E1718,E1718)-1</f>
        <v>1846</v>
      </c>
    </row>
    <row r="1719" customFormat="false" ht="14.25" hidden="false" customHeight="true" outlineLevel="0" collapsed="false">
      <c r="A1719" s="51" t="n">
        <v>14658</v>
      </c>
      <c r="B1719" s="53" t="n">
        <v>40881.6493055556</v>
      </c>
      <c r="C1719" s="57" t="n">
        <f aca="false">INT($C$2)-INT(Table3[[#This Row],[Last Purchase Date]])</f>
        <v>6</v>
      </c>
      <c r="D1719" s="1" t="n">
        <v>2</v>
      </c>
      <c r="E1719" s="1" t="n">
        <v>247.15</v>
      </c>
      <c r="F1719" s="1" t="n">
        <f aca="false">ROUND((1-_xlfn.PERCENTRANK.INC($C$7:$C$4378,C1719))*9,0)</f>
        <v>8</v>
      </c>
      <c r="G1719" s="1" t="n">
        <f aca="false">ROUND(_xlfn.PERCENTRANK.INC($D$7:$D$4378,D1719)*9,0)</f>
        <v>3</v>
      </c>
      <c r="H1719" s="1" t="n">
        <f aca="false">ROUND(_xlfn.PERCENTRANK.INC($E$7:$E$4378,E1719)*9,0)</f>
        <v>2</v>
      </c>
      <c r="I1719" s="1" t="str">
        <f aca="false">CONCATENATE(F1719,G1719,H1719)</f>
        <v>832</v>
      </c>
      <c r="J1719" s="1" t="str">
        <f aca="false">_xlfn.IFS(AND(F1719&gt;=8,G1719&gt;=8,H1719&gt;=8),"CHAMPION",AND(F1719&gt;=6,G1719&gt;=7,H1719&gt;=6),"LOYAL CUSTOMER",AND(F1719&gt;=6,G1719&gt;=5,H1719&gt;=5),"POTENTIAL LOYALIST",AND(F1719&gt;=8,G1719&lt;=2,H1719&gt;=5),"NEW CUSTOMERS",AND(F1719&gt;=6,G1719&lt;=2,H1719&gt;=3),"PROMISING",AND(F1719&gt;=3,G1719&gt;=3,H1719&gt;=3),"NEED ATTENTION",AND(F1719&lt;=4,G1719&gt;=6,H1719&gt;=6),"AT RISK",AND(F1719&lt;=2,G1719&gt;=8,H1719&gt;=8),"CAN'T LOSE THEM",AND(F1719&lt;=2,G1719&lt;=2,H1719&lt;=2),"HIBERNATING",TRUE(),"Other")</f>
        <v>Other</v>
      </c>
      <c r="K1719" s="1" t="n">
        <f aca="false">RANK(E1719,$E$7:$E$4378)+COUNTIF($E$7:E1719,E1719)-1</f>
        <v>3451</v>
      </c>
    </row>
    <row r="1720" customFormat="false" ht="14.25" hidden="false" customHeight="true" outlineLevel="0" collapsed="false">
      <c r="A1720" s="51" t="n">
        <v>14659</v>
      </c>
      <c r="B1720" s="53" t="n">
        <v>40878.5118055556</v>
      </c>
      <c r="C1720" s="57" t="n">
        <f aca="false">INT($C$2)-INT(Table3[[#This Row],[Last Purchase Date]])</f>
        <v>9</v>
      </c>
      <c r="D1720" s="1" t="n">
        <v>12</v>
      </c>
      <c r="E1720" s="1" t="n">
        <v>2456.53</v>
      </c>
      <c r="F1720" s="1" t="n">
        <f aca="false">ROUND((1-_xlfn.PERCENTRANK.INC($C$7:$C$4378,C1720))*9,0)</f>
        <v>8</v>
      </c>
      <c r="G1720" s="1" t="n">
        <f aca="false">ROUND(_xlfn.PERCENTRANK.INC($D$7:$D$4378,D1720)*9,0)</f>
        <v>8</v>
      </c>
      <c r="H1720" s="1" t="n">
        <f aca="false">ROUND(_xlfn.PERCENTRANK.INC($E$7:$E$4378,E1720)*9,0)</f>
        <v>8</v>
      </c>
      <c r="I1720" s="1" t="str">
        <f aca="false">CONCATENATE(F1720,G1720,H1720)</f>
        <v>888</v>
      </c>
      <c r="J1720" s="1" t="str">
        <f aca="false">_xlfn.IFS(AND(F1720&gt;=8,G1720&gt;=8,H1720&gt;=8),"CHAMPION",AND(F1720&gt;=6,G1720&gt;=7,H1720&gt;=6),"LOYAL CUSTOMER",AND(F1720&gt;=6,G1720&gt;=5,H1720&gt;=5),"POTENTIAL LOYALIST",AND(F1720&gt;=8,G1720&lt;=2,H1720&gt;=5),"NEW CUSTOMERS",AND(F1720&gt;=6,G1720&lt;=2,H1720&gt;=3),"PROMISING",AND(F1720&gt;=3,G1720&gt;=3,H1720&gt;=3),"NEED ATTENTION",AND(F1720&lt;=4,G1720&gt;=6,H1720&gt;=6),"AT RISK",AND(F1720&lt;=2,G1720&gt;=8,H1720&gt;=8),"CAN'T LOSE THEM",AND(F1720&lt;=2,G1720&lt;=2,H1720&lt;=2),"HIBERNATING",TRUE(),"Other")</f>
        <v>CHAMPION</v>
      </c>
      <c r="K1720" s="1" t="n">
        <f aca="false">RANK(E1720,$E$7:$E$4378)+COUNTIF($E$7:E1720,E1720)-1</f>
        <v>699</v>
      </c>
    </row>
    <row r="1721" customFormat="false" ht="14.25" hidden="false" customHeight="true" outlineLevel="0" collapsed="false">
      <c r="A1721" s="51" t="n">
        <v>14660</v>
      </c>
      <c r="B1721" s="53" t="n">
        <v>40800.4819444444</v>
      </c>
      <c r="C1721" s="57" t="n">
        <f aca="false">INT($C$2)-INT(Table3[[#This Row],[Last Purchase Date]])</f>
        <v>87</v>
      </c>
      <c r="D1721" s="1" t="n">
        <v>2</v>
      </c>
      <c r="E1721" s="1" t="n">
        <v>285.74</v>
      </c>
      <c r="F1721" s="1" t="n">
        <f aca="false">ROUND((1-_xlfn.PERCENTRANK.INC($C$7:$C$4378,C1721))*9,0)</f>
        <v>3</v>
      </c>
      <c r="G1721" s="1" t="n">
        <f aca="false">ROUND(_xlfn.PERCENTRANK.INC($D$7:$D$4378,D1721)*9,0)</f>
        <v>3</v>
      </c>
      <c r="H1721" s="1" t="n">
        <f aca="false">ROUND(_xlfn.PERCENTRANK.INC($E$7:$E$4378,E1721)*9,0)</f>
        <v>2</v>
      </c>
      <c r="I1721" s="1" t="str">
        <f aca="false">CONCATENATE(F1721,G1721,H1721)</f>
        <v>332</v>
      </c>
      <c r="J1721" s="1" t="str">
        <f aca="false">_xlfn.IFS(AND(F1721&gt;=8,G1721&gt;=8,H1721&gt;=8),"CHAMPION",AND(F1721&gt;=6,G1721&gt;=7,H1721&gt;=6),"LOYAL CUSTOMER",AND(F1721&gt;=6,G1721&gt;=5,H1721&gt;=5),"POTENTIAL LOYALIST",AND(F1721&gt;=8,G1721&lt;=2,H1721&gt;=5),"NEW CUSTOMERS",AND(F1721&gt;=6,G1721&lt;=2,H1721&gt;=3),"PROMISING",AND(F1721&gt;=3,G1721&gt;=3,H1721&gt;=3),"NEED ATTENTION",AND(F1721&lt;=4,G1721&gt;=6,H1721&gt;=6),"AT RISK",AND(F1721&lt;=2,G1721&gt;=8,H1721&gt;=8),"CAN'T LOSE THEM",AND(F1721&lt;=2,G1721&lt;=2,H1721&lt;=2),"HIBERNATING",TRUE(),"Other")</f>
        <v>Other</v>
      </c>
      <c r="K1721" s="1" t="n">
        <f aca="false">RANK(E1721,$E$7:$E$4378)+COUNTIF($E$7:E1721,E1721)-1</f>
        <v>3311</v>
      </c>
    </row>
    <row r="1722" customFormat="false" ht="14.25" hidden="false" customHeight="true" outlineLevel="0" collapsed="false">
      <c r="A1722" s="51" t="n">
        <v>14661</v>
      </c>
      <c r="B1722" s="53" t="n">
        <v>40860.49375</v>
      </c>
      <c r="C1722" s="57" t="n">
        <f aca="false">INT($C$2)-INT(Table3[[#This Row],[Last Purchase Date]])</f>
        <v>27</v>
      </c>
      <c r="D1722" s="1" t="n">
        <v>1</v>
      </c>
      <c r="E1722" s="1" t="n">
        <v>107.95</v>
      </c>
      <c r="F1722" s="1" t="n">
        <f aca="false">ROUND((1-_xlfn.PERCENTRANK.INC($C$7:$C$4378,C1722))*9,0)</f>
        <v>6</v>
      </c>
      <c r="G1722" s="1" t="n">
        <f aca="false">ROUND(_xlfn.PERCENTRANK.INC($D$7:$D$4378,D1722)*9,0)</f>
        <v>0</v>
      </c>
      <c r="H1722" s="1" t="n">
        <f aca="false">ROUND(_xlfn.PERCENTRANK.INC($E$7:$E$4378,E1722)*9,0)</f>
        <v>1</v>
      </c>
      <c r="I1722" s="1" t="str">
        <f aca="false">CONCATENATE(F1722,G1722,H1722)</f>
        <v>601</v>
      </c>
      <c r="J1722" s="1" t="str">
        <f aca="false">_xlfn.IFS(AND(F1722&gt;=8,G1722&gt;=8,H1722&gt;=8),"CHAMPION",AND(F1722&gt;=6,G1722&gt;=7,H1722&gt;=6),"LOYAL CUSTOMER",AND(F1722&gt;=6,G1722&gt;=5,H1722&gt;=5),"POTENTIAL LOYALIST",AND(F1722&gt;=8,G1722&lt;=2,H1722&gt;=5),"NEW CUSTOMERS",AND(F1722&gt;=6,G1722&lt;=2,H1722&gt;=3),"PROMISING",AND(F1722&gt;=3,G1722&gt;=3,H1722&gt;=3),"NEED ATTENTION",AND(F1722&lt;=4,G1722&gt;=6,H1722&gt;=6),"AT RISK",AND(F1722&lt;=2,G1722&gt;=8,H1722&gt;=8),"CAN'T LOSE THEM",AND(F1722&lt;=2,G1722&lt;=2,H1722&lt;=2),"HIBERNATING",TRUE(),"Other")</f>
        <v>Other</v>
      </c>
      <c r="K1722" s="1" t="n">
        <f aca="false">RANK(E1722,$E$7:$E$4378)+COUNTIF($E$7:E1722,E1722)-1</f>
        <v>4126</v>
      </c>
    </row>
    <row r="1723" customFormat="false" ht="14.25" hidden="false" customHeight="true" outlineLevel="0" collapsed="false">
      <c r="A1723" s="51" t="n">
        <v>14662</v>
      </c>
      <c r="B1723" s="53" t="n">
        <v>40858.5090277778</v>
      </c>
      <c r="C1723" s="57" t="n">
        <f aca="false">INT($C$2)-INT(Table3[[#This Row],[Last Purchase Date]])</f>
        <v>29</v>
      </c>
      <c r="D1723" s="1" t="n">
        <v>4</v>
      </c>
      <c r="E1723" s="1" t="n">
        <v>771.17</v>
      </c>
      <c r="F1723" s="1" t="n">
        <f aca="false">ROUND((1-_xlfn.PERCENTRANK.INC($C$7:$C$4378,C1723))*9,0)</f>
        <v>6</v>
      </c>
      <c r="G1723" s="1" t="n">
        <f aca="false">ROUND(_xlfn.PERCENTRANK.INC($D$7:$D$4378,D1723)*9,0)</f>
        <v>5</v>
      </c>
      <c r="H1723" s="1" t="n">
        <f aca="false">ROUND(_xlfn.PERCENTRANK.INC($E$7:$E$4378,E1723)*9,0)</f>
        <v>5</v>
      </c>
      <c r="I1723" s="1" t="str">
        <f aca="false">CONCATENATE(F1723,G1723,H1723)</f>
        <v>655</v>
      </c>
      <c r="J1723" s="1" t="str">
        <f aca="false">_xlfn.IFS(AND(F1723&gt;=8,G1723&gt;=8,H1723&gt;=8),"CHAMPION",AND(F1723&gt;=6,G1723&gt;=7,H1723&gt;=6),"LOYAL CUSTOMER",AND(F1723&gt;=6,G1723&gt;=5,H1723&gt;=5),"POTENTIAL LOYALIST",AND(F1723&gt;=8,G1723&lt;=2,H1723&gt;=5),"NEW CUSTOMERS",AND(F1723&gt;=6,G1723&lt;=2,H1723&gt;=3),"PROMISING",AND(F1723&gt;=3,G1723&gt;=3,H1723&gt;=3),"NEED ATTENTION",AND(F1723&lt;=4,G1723&gt;=6,H1723&gt;=6),"AT RISK",AND(F1723&lt;=2,G1723&gt;=8,H1723&gt;=8),"CAN'T LOSE THEM",AND(F1723&lt;=2,G1723&lt;=2,H1723&lt;=2),"HIBERNATING",TRUE(),"Other")</f>
        <v>POTENTIAL LOYALIST</v>
      </c>
      <c r="K1723" s="1" t="n">
        <f aca="false">RANK(E1723,$E$7:$E$4378)+COUNTIF($E$7:E1723,E1723)-1</f>
        <v>1945</v>
      </c>
    </row>
    <row r="1724" customFormat="false" ht="14.25" hidden="false" customHeight="true" outlineLevel="0" collapsed="false">
      <c r="A1724" s="51" t="n">
        <v>14664</v>
      </c>
      <c r="B1724" s="53" t="n">
        <v>40867.4576388889</v>
      </c>
      <c r="C1724" s="57" t="n">
        <f aca="false">INT($C$2)-INT(Table3[[#This Row],[Last Purchase Date]])</f>
        <v>20</v>
      </c>
      <c r="D1724" s="1" t="n">
        <v>2</v>
      </c>
      <c r="E1724" s="1" t="n">
        <v>637.89</v>
      </c>
      <c r="F1724" s="1" t="n">
        <f aca="false">ROUND((1-_xlfn.PERCENTRANK.INC($C$7:$C$4378,C1724))*9,0)</f>
        <v>6</v>
      </c>
      <c r="G1724" s="1" t="n">
        <f aca="false">ROUND(_xlfn.PERCENTRANK.INC($D$7:$D$4378,D1724)*9,0)</f>
        <v>3</v>
      </c>
      <c r="H1724" s="1" t="n">
        <f aca="false">ROUND(_xlfn.PERCENTRANK.INC($E$7:$E$4378,E1724)*9,0)</f>
        <v>4</v>
      </c>
      <c r="I1724" s="1" t="str">
        <f aca="false">CONCATENATE(F1724,G1724,H1724)</f>
        <v>634</v>
      </c>
      <c r="J1724" s="1" t="str">
        <f aca="false">_xlfn.IFS(AND(F1724&gt;=8,G1724&gt;=8,H1724&gt;=8),"CHAMPION",AND(F1724&gt;=6,G1724&gt;=7,H1724&gt;=6),"LOYAL CUSTOMER",AND(F1724&gt;=6,G1724&gt;=5,H1724&gt;=5),"POTENTIAL LOYALIST",AND(F1724&gt;=8,G1724&lt;=2,H1724&gt;=5),"NEW CUSTOMERS",AND(F1724&gt;=6,G1724&lt;=2,H1724&gt;=3),"PROMISING",AND(F1724&gt;=3,G1724&gt;=3,H1724&gt;=3),"NEED ATTENTION",AND(F1724&lt;=4,G1724&gt;=6,H1724&gt;=6),"AT RISK",AND(F1724&lt;=2,G1724&gt;=8,H1724&gt;=8),"CAN'T LOSE THEM",AND(F1724&lt;=2,G1724&lt;=2,H1724&lt;=2),"HIBERNATING",TRUE(),"Other")</f>
        <v>NEED ATTENTION</v>
      </c>
      <c r="K1724" s="1" t="n">
        <f aca="false">RANK(E1724,$E$7:$E$4378)+COUNTIF($E$7:E1724,E1724)-1</f>
        <v>2214</v>
      </c>
    </row>
    <row r="1725" customFormat="false" ht="14.25" hidden="false" customHeight="true" outlineLevel="0" collapsed="false">
      <c r="A1725" s="51" t="n">
        <v>14665</v>
      </c>
      <c r="B1725" s="53" t="n">
        <v>40826.4958333333</v>
      </c>
      <c r="C1725" s="57" t="n">
        <f aca="false">INT($C$2)-INT(Table3[[#This Row],[Last Purchase Date]])</f>
        <v>61</v>
      </c>
      <c r="D1725" s="1" t="n">
        <v>7</v>
      </c>
      <c r="E1725" s="1" t="n">
        <v>1258.38</v>
      </c>
      <c r="F1725" s="1" t="n">
        <f aca="false">ROUND((1-_xlfn.PERCENTRANK.INC($C$7:$C$4378,C1725))*9,0)</f>
        <v>4</v>
      </c>
      <c r="G1725" s="1" t="n">
        <f aca="false">ROUND(_xlfn.PERCENTRANK.INC($D$7:$D$4378,D1725)*9,0)</f>
        <v>7</v>
      </c>
      <c r="H1725" s="1" t="n">
        <f aca="false">ROUND(_xlfn.PERCENTRANK.INC($E$7:$E$4378,E1725)*9,0)</f>
        <v>6</v>
      </c>
      <c r="I1725" s="1" t="str">
        <f aca="false">CONCATENATE(F1725,G1725,H1725)</f>
        <v>476</v>
      </c>
      <c r="J1725" s="1" t="str">
        <f aca="false">_xlfn.IFS(AND(F1725&gt;=8,G1725&gt;=8,H1725&gt;=8),"CHAMPION",AND(F1725&gt;=6,G1725&gt;=7,H1725&gt;=6),"LOYAL CUSTOMER",AND(F1725&gt;=6,G1725&gt;=5,H1725&gt;=5),"POTENTIAL LOYALIST",AND(F1725&gt;=8,G1725&lt;=2,H1725&gt;=5),"NEW CUSTOMERS",AND(F1725&gt;=6,G1725&lt;=2,H1725&gt;=3),"PROMISING",AND(F1725&gt;=3,G1725&gt;=3,H1725&gt;=3),"NEED ATTENTION",AND(F1725&lt;=4,G1725&gt;=6,H1725&gt;=6),"AT RISK",AND(F1725&lt;=2,G1725&gt;=8,H1725&gt;=8),"CAN'T LOSE THEM",AND(F1725&lt;=2,G1725&lt;=2,H1725&lt;=2),"HIBERNATING",TRUE(),"Other")</f>
        <v>NEED ATTENTION</v>
      </c>
      <c r="K1725" s="1" t="n">
        <f aca="false">RANK(E1725,$E$7:$E$4378)+COUNTIF($E$7:E1725,E1725)-1</f>
        <v>1366</v>
      </c>
    </row>
    <row r="1726" customFormat="false" ht="14.25" hidden="false" customHeight="true" outlineLevel="0" collapsed="false">
      <c r="A1726" s="51" t="n">
        <v>14666</v>
      </c>
      <c r="B1726" s="53" t="n">
        <v>40862.5395833333</v>
      </c>
      <c r="C1726" s="57" t="n">
        <f aca="false">INT($C$2)-INT(Table3[[#This Row],[Last Purchase Date]])</f>
        <v>25</v>
      </c>
      <c r="D1726" s="1" t="n">
        <v>1</v>
      </c>
      <c r="E1726" s="1" t="n">
        <v>195.25</v>
      </c>
      <c r="F1726" s="1" t="n">
        <f aca="false">ROUND((1-_xlfn.PERCENTRANK.INC($C$7:$C$4378,C1726))*9,0)</f>
        <v>6</v>
      </c>
      <c r="G1726" s="1" t="n">
        <f aca="false">ROUND(_xlfn.PERCENTRANK.INC($D$7:$D$4378,D1726)*9,0)</f>
        <v>0</v>
      </c>
      <c r="H1726" s="1" t="n">
        <f aca="false">ROUND(_xlfn.PERCENTRANK.INC($E$7:$E$4378,E1726)*9,0)</f>
        <v>1</v>
      </c>
      <c r="I1726" s="1" t="str">
        <f aca="false">CONCATENATE(F1726,G1726,H1726)</f>
        <v>601</v>
      </c>
      <c r="J1726" s="1" t="str">
        <f aca="false">_xlfn.IFS(AND(F1726&gt;=8,G1726&gt;=8,H1726&gt;=8),"CHAMPION",AND(F1726&gt;=6,G1726&gt;=7,H1726&gt;=6),"LOYAL CUSTOMER",AND(F1726&gt;=6,G1726&gt;=5,H1726&gt;=5),"POTENTIAL LOYALIST",AND(F1726&gt;=8,G1726&lt;=2,H1726&gt;=5),"NEW CUSTOMERS",AND(F1726&gt;=6,G1726&lt;=2,H1726&gt;=3),"PROMISING",AND(F1726&gt;=3,G1726&gt;=3,H1726&gt;=3),"NEED ATTENTION",AND(F1726&lt;=4,G1726&gt;=6,H1726&gt;=6),"AT RISK",AND(F1726&lt;=2,G1726&gt;=8,H1726&gt;=8),"CAN'T LOSE THEM",AND(F1726&lt;=2,G1726&lt;=2,H1726&lt;=2),"HIBERNATING",TRUE(),"Other")</f>
        <v>Other</v>
      </c>
      <c r="K1726" s="1" t="n">
        <f aca="false">RANK(E1726,$E$7:$E$4378)+COUNTIF($E$7:E1726,E1726)-1</f>
        <v>3683</v>
      </c>
    </row>
    <row r="1727" customFormat="false" ht="14.25" hidden="false" customHeight="true" outlineLevel="0" collapsed="false">
      <c r="A1727" s="51" t="n">
        <v>14667</v>
      </c>
      <c r="B1727" s="53" t="n">
        <v>40876.4791666667</v>
      </c>
      <c r="C1727" s="57" t="n">
        <f aca="false">INT($C$2)-INT(Table3[[#This Row],[Last Purchase Date]])</f>
        <v>11</v>
      </c>
      <c r="D1727" s="1" t="n">
        <v>27</v>
      </c>
      <c r="E1727" s="1" t="n">
        <v>9231.2</v>
      </c>
      <c r="F1727" s="1" t="n">
        <f aca="false">ROUND((1-_xlfn.PERCENTRANK.INC($C$7:$C$4378,C1727))*9,0)</f>
        <v>7</v>
      </c>
      <c r="G1727" s="1" t="n">
        <f aca="false">ROUND(_xlfn.PERCENTRANK.INC($D$7:$D$4378,D1727)*9,0)</f>
        <v>9</v>
      </c>
      <c r="H1727" s="1" t="n">
        <f aca="false">ROUND(_xlfn.PERCENTRANK.INC($E$7:$E$4378,E1727)*9,0)</f>
        <v>9</v>
      </c>
      <c r="I1727" s="1" t="str">
        <f aca="false">CONCATENATE(F1727,G1727,H1727)</f>
        <v>799</v>
      </c>
      <c r="J1727" s="1" t="str">
        <f aca="false">_xlfn.IFS(AND(F1727&gt;=8,G1727&gt;=8,H1727&gt;=8),"CHAMPION",AND(F1727&gt;=6,G1727&gt;=7,H1727&gt;=6),"LOYAL CUSTOMER",AND(F1727&gt;=6,G1727&gt;=5,H1727&gt;=5),"POTENTIAL LOYALIST",AND(F1727&gt;=8,G1727&lt;=2,H1727&gt;=5),"NEW CUSTOMERS",AND(F1727&gt;=6,G1727&lt;=2,H1727&gt;=3),"PROMISING",AND(F1727&gt;=3,G1727&gt;=3,H1727&gt;=3),"NEED ATTENTION",AND(F1727&lt;=4,G1727&gt;=6,H1727&gt;=6),"AT RISK",AND(F1727&lt;=2,G1727&gt;=8,H1727&gt;=8),"CAN'T LOSE THEM",AND(F1727&lt;=2,G1727&lt;=2,H1727&lt;=2),"HIBERNATING",TRUE(),"Other")</f>
        <v>LOYAL CUSTOMER</v>
      </c>
      <c r="K1727" s="1" t="n">
        <f aca="false">RANK(E1727,$E$7:$E$4378)+COUNTIF($E$7:E1727,E1727)-1</f>
        <v>106</v>
      </c>
    </row>
    <row r="1728" customFormat="false" ht="14.25" hidden="false" customHeight="true" outlineLevel="0" collapsed="false">
      <c r="A1728" s="51" t="n">
        <v>14669</v>
      </c>
      <c r="B1728" s="53" t="n">
        <v>40645.4881944444</v>
      </c>
      <c r="C1728" s="57" t="n">
        <f aca="false">INT($C$2)-INT(Table3[[#This Row],[Last Purchase Date]])</f>
        <v>242</v>
      </c>
      <c r="D1728" s="1" t="n">
        <v>3</v>
      </c>
      <c r="E1728" s="1" t="n">
        <v>1269.99</v>
      </c>
      <c r="F1728" s="1" t="n">
        <f aca="false">ROUND((1-_xlfn.PERCENTRANK.INC($C$7:$C$4378,C1728))*9,0)</f>
        <v>1</v>
      </c>
      <c r="G1728" s="1" t="n">
        <f aca="false">ROUND(_xlfn.PERCENTRANK.INC($D$7:$D$4378,D1728)*9,0)</f>
        <v>4</v>
      </c>
      <c r="H1728" s="1" t="n">
        <f aca="false">ROUND(_xlfn.PERCENTRANK.INC($E$7:$E$4378,E1728)*9,0)</f>
        <v>6</v>
      </c>
      <c r="I1728" s="1" t="str">
        <f aca="false">CONCATENATE(F1728,G1728,H1728)</f>
        <v>146</v>
      </c>
      <c r="J1728" s="1" t="str">
        <f aca="false">_xlfn.IFS(AND(F1728&gt;=8,G1728&gt;=8,H1728&gt;=8),"CHAMPION",AND(F1728&gt;=6,G1728&gt;=7,H1728&gt;=6),"LOYAL CUSTOMER",AND(F1728&gt;=6,G1728&gt;=5,H1728&gt;=5),"POTENTIAL LOYALIST",AND(F1728&gt;=8,G1728&lt;=2,H1728&gt;=5),"NEW CUSTOMERS",AND(F1728&gt;=6,G1728&lt;=2,H1728&gt;=3),"PROMISING",AND(F1728&gt;=3,G1728&gt;=3,H1728&gt;=3),"NEED ATTENTION",AND(F1728&lt;=4,G1728&gt;=6,H1728&gt;=6),"AT RISK",AND(F1728&lt;=2,G1728&gt;=8,H1728&gt;=8),"CAN'T LOSE THEM",AND(F1728&lt;=2,G1728&lt;=2,H1728&lt;=2),"HIBERNATING",TRUE(),"Other")</f>
        <v>Other</v>
      </c>
      <c r="K1728" s="1" t="n">
        <f aca="false">RANK(E1728,$E$7:$E$4378)+COUNTIF($E$7:E1728,E1728)-1</f>
        <v>1351</v>
      </c>
    </row>
    <row r="1729" customFormat="false" ht="14.25" hidden="false" customHeight="true" outlineLevel="0" collapsed="false">
      <c r="A1729" s="51" t="n">
        <v>14670</v>
      </c>
      <c r="B1729" s="53" t="n">
        <v>40606.5923611111</v>
      </c>
      <c r="C1729" s="57" t="n">
        <f aca="false">INT($C$2)-INT(Table3[[#This Row],[Last Purchase Date]])</f>
        <v>281</v>
      </c>
      <c r="D1729" s="1" t="n">
        <v>2</v>
      </c>
      <c r="E1729" s="1" t="n">
        <v>411.53</v>
      </c>
      <c r="F1729" s="1" t="n">
        <f aca="false">ROUND((1-_xlfn.PERCENTRANK.INC($C$7:$C$4378,C1729))*9,0)</f>
        <v>1</v>
      </c>
      <c r="G1729" s="1" t="n">
        <f aca="false">ROUND(_xlfn.PERCENTRANK.INC($D$7:$D$4378,D1729)*9,0)</f>
        <v>3</v>
      </c>
      <c r="H1729" s="1" t="n">
        <f aca="false">ROUND(_xlfn.PERCENTRANK.INC($E$7:$E$4378,E1729)*9,0)</f>
        <v>3</v>
      </c>
      <c r="I1729" s="1" t="str">
        <f aca="false">CONCATENATE(F1729,G1729,H1729)</f>
        <v>133</v>
      </c>
      <c r="J1729" s="1" t="str">
        <f aca="false">_xlfn.IFS(AND(F1729&gt;=8,G1729&gt;=8,H1729&gt;=8),"CHAMPION",AND(F1729&gt;=6,G1729&gt;=7,H1729&gt;=6),"LOYAL CUSTOMER",AND(F1729&gt;=6,G1729&gt;=5,H1729&gt;=5),"POTENTIAL LOYALIST",AND(F1729&gt;=8,G1729&lt;=2,H1729&gt;=5),"NEW CUSTOMERS",AND(F1729&gt;=6,G1729&lt;=2,H1729&gt;=3),"PROMISING",AND(F1729&gt;=3,G1729&gt;=3,H1729&gt;=3),"NEED ATTENTION",AND(F1729&lt;=4,G1729&gt;=6,H1729&gt;=6),"AT RISK",AND(F1729&lt;=2,G1729&gt;=8,H1729&gt;=8),"CAN'T LOSE THEM",AND(F1729&lt;=2,G1729&lt;=2,H1729&lt;=2),"HIBERNATING",TRUE(),"Other")</f>
        <v>Other</v>
      </c>
      <c r="K1729" s="1" t="n">
        <f aca="false">RANK(E1729,$E$7:$E$4378)+COUNTIF($E$7:E1729,E1729)-1</f>
        <v>2785</v>
      </c>
    </row>
    <row r="1730" customFormat="false" ht="14.25" hidden="false" customHeight="true" outlineLevel="0" collapsed="false">
      <c r="A1730" s="51" t="n">
        <v>14672</v>
      </c>
      <c r="B1730" s="53" t="n">
        <v>40652.4298611111</v>
      </c>
      <c r="C1730" s="57" t="n">
        <f aca="false">INT($C$2)-INT(Table3[[#This Row],[Last Purchase Date]])</f>
        <v>235</v>
      </c>
      <c r="D1730" s="1" t="n">
        <v>2</v>
      </c>
      <c r="E1730" s="1" t="n">
        <v>765.55</v>
      </c>
      <c r="F1730" s="1" t="n">
        <f aca="false">ROUND((1-_xlfn.PERCENTRANK.INC($C$7:$C$4378,C1730))*9,0)</f>
        <v>1</v>
      </c>
      <c r="G1730" s="1" t="n">
        <f aca="false">ROUND(_xlfn.PERCENTRANK.INC($D$7:$D$4378,D1730)*9,0)</f>
        <v>3</v>
      </c>
      <c r="H1730" s="1" t="n">
        <f aca="false">ROUND(_xlfn.PERCENTRANK.INC($E$7:$E$4378,E1730)*9,0)</f>
        <v>5</v>
      </c>
      <c r="I1730" s="1" t="str">
        <f aca="false">CONCATENATE(F1730,G1730,H1730)</f>
        <v>135</v>
      </c>
      <c r="J1730" s="1" t="str">
        <f aca="false">_xlfn.IFS(AND(F1730&gt;=8,G1730&gt;=8,H1730&gt;=8),"CHAMPION",AND(F1730&gt;=6,G1730&gt;=7,H1730&gt;=6),"LOYAL CUSTOMER",AND(F1730&gt;=6,G1730&gt;=5,H1730&gt;=5),"POTENTIAL LOYALIST",AND(F1730&gt;=8,G1730&lt;=2,H1730&gt;=5),"NEW CUSTOMERS",AND(F1730&gt;=6,G1730&lt;=2,H1730&gt;=3),"PROMISING",AND(F1730&gt;=3,G1730&gt;=3,H1730&gt;=3),"NEED ATTENTION",AND(F1730&lt;=4,G1730&gt;=6,H1730&gt;=6),"AT RISK",AND(F1730&lt;=2,G1730&gt;=8,H1730&gt;=8),"CAN'T LOSE THEM",AND(F1730&lt;=2,G1730&lt;=2,H1730&lt;=2),"HIBERNATING",TRUE(),"Other")</f>
        <v>Other</v>
      </c>
      <c r="K1730" s="1" t="n">
        <f aca="false">RANK(E1730,$E$7:$E$4378)+COUNTIF($E$7:E1730,E1730)-1</f>
        <v>1954</v>
      </c>
    </row>
    <row r="1731" customFormat="false" ht="14.25" hidden="false" customHeight="true" outlineLevel="0" collapsed="false">
      <c r="A1731" s="51" t="n">
        <v>14673</v>
      </c>
      <c r="B1731" s="53" t="n">
        <v>40883.6048611111</v>
      </c>
      <c r="C1731" s="57" t="n">
        <f aca="false">INT($C$2)-INT(Table3[[#This Row],[Last Purchase Date]])</f>
        <v>4</v>
      </c>
      <c r="D1731" s="1" t="n">
        <v>5</v>
      </c>
      <c r="E1731" s="1" t="n">
        <v>1736.4</v>
      </c>
      <c r="F1731" s="1" t="n">
        <f aca="false">ROUND((1-_xlfn.PERCENTRANK.INC($C$7:$C$4378,C1731))*9,0)</f>
        <v>8</v>
      </c>
      <c r="G1731" s="1" t="n">
        <f aca="false">ROUND(_xlfn.PERCENTRANK.INC($D$7:$D$4378,D1731)*9,0)</f>
        <v>6</v>
      </c>
      <c r="H1731" s="1" t="n">
        <f aca="false">ROUND(_xlfn.PERCENTRANK.INC($E$7:$E$4378,E1731)*9,0)</f>
        <v>7</v>
      </c>
      <c r="I1731" s="1" t="str">
        <f aca="false">CONCATENATE(F1731,G1731,H1731)</f>
        <v>867</v>
      </c>
      <c r="J1731" s="1" t="str">
        <f aca="false">_xlfn.IFS(AND(F1731&gt;=8,G1731&gt;=8,H1731&gt;=8),"CHAMPION",AND(F1731&gt;=6,G1731&gt;=7,H1731&gt;=6),"LOYAL CUSTOMER",AND(F1731&gt;=6,G1731&gt;=5,H1731&gt;=5),"POTENTIAL LOYALIST",AND(F1731&gt;=8,G1731&lt;=2,H1731&gt;=5),"NEW CUSTOMERS",AND(F1731&gt;=6,G1731&lt;=2,H1731&gt;=3),"PROMISING",AND(F1731&gt;=3,G1731&gt;=3,H1731&gt;=3),"NEED ATTENTION",AND(F1731&lt;=4,G1731&gt;=6,H1731&gt;=6),"AT RISK",AND(F1731&lt;=2,G1731&gt;=8,H1731&gt;=8),"CAN'T LOSE THEM",AND(F1731&lt;=2,G1731&lt;=2,H1731&lt;=2),"HIBERNATING",TRUE(),"Other")</f>
        <v>POTENTIAL LOYALIST</v>
      </c>
      <c r="K1731" s="1" t="n">
        <f aca="false">RANK(E1731,$E$7:$E$4378)+COUNTIF($E$7:E1731,E1731)-1</f>
        <v>1021</v>
      </c>
    </row>
    <row r="1732" customFormat="false" ht="14.25" hidden="false" customHeight="true" outlineLevel="0" collapsed="false">
      <c r="A1732" s="51" t="n">
        <v>14675</v>
      </c>
      <c r="B1732" s="53" t="n">
        <v>40870.5402777778</v>
      </c>
      <c r="C1732" s="57" t="n">
        <f aca="false">INT($C$2)-INT(Table3[[#This Row],[Last Purchase Date]])</f>
        <v>17</v>
      </c>
      <c r="D1732" s="1" t="n">
        <v>1</v>
      </c>
      <c r="E1732" s="1" t="n">
        <v>604.75</v>
      </c>
      <c r="F1732" s="1" t="n">
        <f aca="false">ROUND((1-_xlfn.PERCENTRANK.INC($C$7:$C$4378,C1732))*9,0)</f>
        <v>7</v>
      </c>
      <c r="G1732" s="1" t="n">
        <f aca="false">ROUND(_xlfn.PERCENTRANK.INC($D$7:$D$4378,D1732)*9,0)</f>
        <v>0</v>
      </c>
      <c r="H1732" s="1" t="n">
        <f aca="false">ROUND(_xlfn.PERCENTRANK.INC($E$7:$E$4378,E1732)*9,0)</f>
        <v>4</v>
      </c>
      <c r="I1732" s="1" t="str">
        <f aca="false">CONCATENATE(F1732,G1732,H1732)</f>
        <v>704</v>
      </c>
      <c r="J1732" s="1" t="str">
        <f aca="false">_xlfn.IFS(AND(F1732&gt;=8,G1732&gt;=8,H1732&gt;=8),"CHAMPION",AND(F1732&gt;=6,G1732&gt;=7,H1732&gt;=6),"LOYAL CUSTOMER",AND(F1732&gt;=6,G1732&gt;=5,H1732&gt;=5),"POTENTIAL LOYALIST",AND(F1732&gt;=8,G1732&lt;=2,H1732&gt;=5),"NEW CUSTOMERS",AND(F1732&gt;=6,G1732&lt;=2,H1732&gt;=3),"PROMISING",AND(F1732&gt;=3,G1732&gt;=3,H1732&gt;=3),"NEED ATTENTION",AND(F1732&lt;=4,G1732&gt;=6,H1732&gt;=6),"AT RISK",AND(F1732&lt;=2,G1732&gt;=8,H1732&gt;=8),"CAN'T LOSE THEM",AND(F1732&lt;=2,G1732&lt;=2,H1732&lt;=2),"HIBERNATING",TRUE(),"Other")</f>
        <v>PROMISING</v>
      </c>
      <c r="K1732" s="1" t="n">
        <f aca="false">RANK(E1732,$E$7:$E$4378)+COUNTIF($E$7:E1732,E1732)-1</f>
        <v>2299</v>
      </c>
    </row>
    <row r="1733" customFormat="false" ht="14.25" hidden="false" customHeight="true" outlineLevel="0" collapsed="false">
      <c r="A1733" s="51" t="n">
        <v>14676</v>
      </c>
      <c r="B1733" s="53" t="n">
        <v>40855.5618055556</v>
      </c>
      <c r="C1733" s="57" t="n">
        <f aca="false">INT($C$2)-INT(Table3[[#This Row],[Last Purchase Date]])</f>
        <v>32</v>
      </c>
      <c r="D1733" s="1" t="n">
        <v>8</v>
      </c>
      <c r="E1733" s="1" t="n">
        <v>2543.24</v>
      </c>
      <c r="F1733" s="1" t="n">
        <f aca="false">ROUND((1-_xlfn.PERCENTRANK.INC($C$7:$C$4378,C1733))*9,0)</f>
        <v>5</v>
      </c>
      <c r="G1733" s="1" t="n">
        <f aca="false">ROUND(_xlfn.PERCENTRANK.INC($D$7:$D$4378,D1733)*9,0)</f>
        <v>7</v>
      </c>
      <c r="H1733" s="1" t="n">
        <f aca="false">ROUND(_xlfn.PERCENTRANK.INC($E$7:$E$4378,E1733)*9,0)</f>
        <v>8</v>
      </c>
      <c r="I1733" s="1" t="str">
        <f aca="false">CONCATENATE(F1733,G1733,H1733)</f>
        <v>578</v>
      </c>
      <c r="J1733" s="1" t="str">
        <f aca="false">_xlfn.IFS(AND(F1733&gt;=8,G1733&gt;=8,H1733&gt;=8),"CHAMPION",AND(F1733&gt;=6,G1733&gt;=7,H1733&gt;=6),"LOYAL CUSTOMER",AND(F1733&gt;=6,G1733&gt;=5,H1733&gt;=5),"POTENTIAL LOYALIST",AND(F1733&gt;=8,G1733&lt;=2,H1733&gt;=5),"NEW CUSTOMERS",AND(F1733&gt;=6,G1733&lt;=2,H1733&gt;=3),"PROMISING",AND(F1733&gt;=3,G1733&gt;=3,H1733&gt;=3),"NEED ATTENTION",AND(F1733&lt;=4,G1733&gt;=6,H1733&gt;=6),"AT RISK",AND(F1733&lt;=2,G1733&gt;=8,H1733&gt;=8),"CAN'T LOSE THEM",AND(F1733&lt;=2,G1733&lt;=2,H1733&lt;=2),"HIBERNATING",TRUE(),"Other")</f>
        <v>NEED ATTENTION</v>
      </c>
      <c r="K1733" s="1" t="n">
        <f aca="false">RANK(E1733,$E$7:$E$4378)+COUNTIF($E$7:E1733,E1733)-1</f>
        <v>667</v>
      </c>
    </row>
    <row r="1734" customFormat="false" ht="14.25" hidden="false" customHeight="true" outlineLevel="0" collapsed="false">
      <c r="A1734" s="51" t="n">
        <v>14679</v>
      </c>
      <c r="B1734" s="53" t="n">
        <v>40515.4215277778</v>
      </c>
      <c r="C1734" s="57" t="n">
        <f aca="false">INT($C$2)-INT(Table3[[#This Row],[Last Purchase Date]])</f>
        <v>372</v>
      </c>
      <c r="D1734" s="1" t="n">
        <v>1</v>
      </c>
      <c r="E1734" s="1" t="n">
        <v>-2.55</v>
      </c>
      <c r="F1734" s="1" t="n">
        <f aca="false">ROUND((1-_xlfn.PERCENTRANK.INC($C$7:$C$4378,C1734))*9,0)</f>
        <v>0</v>
      </c>
      <c r="G1734" s="1" t="n">
        <f aca="false">ROUND(_xlfn.PERCENTRANK.INC($D$7:$D$4378,D1734)*9,0)</f>
        <v>0</v>
      </c>
      <c r="H1734" s="1" t="n">
        <f aca="false">ROUND(_xlfn.PERCENTRANK.INC($E$7:$E$4378,E1734)*9,0)</f>
        <v>0</v>
      </c>
      <c r="I1734" s="1" t="str">
        <f aca="false">CONCATENATE(F1734,G1734,H1734)</f>
        <v>000</v>
      </c>
      <c r="J1734" s="1" t="str">
        <f aca="false">_xlfn.IFS(AND(F1734&gt;=8,G1734&gt;=8,H1734&gt;=8),"CHAMPION",AND(F1734&gt;=6,G1734&gt;=7,H1734&gt;=6),"LOYAL CUSTOMER",AND(F1734&gt;=6,G1734&gt;=5,H1734&gt;=5),"POTENTIAL LOYALIST",AND(F1734&gt;=8,G1734&lt;=2,H1734&gt;=5),"NEW CUSTOMERS",AND(F1734&gt;=6,G1734&lt;=2,H1734&gt;=3),"PROMISING",AND(F1734&gt;=3,G1734&gt;=3,H1734&gt;=3),"NEED ATTENTION",AND(F1734&lt;=4,G1734&gt;=6,H1734&gt;=6),"AT RISK",AND(F1734&lt;=2,G1734&gt;=8,H1734&gt;=8),"CAN'T LOSE THEM",AND(F1734&lt;=2,G1734&lt;=2,H1734&lt;=2),"HIBERNATING",TRUE(),"Other")</f>
        <v>HIBERNATING</v>
      </c>
      <c r="K1734" s="1" t="n">
        <f aca="false">RANK(E1734,$E$7:$E$4378)+COUNTIF($E$7:E1734,E1734)-1</f>
        <v>4333</v>
      </c>
    </row>
    <row r="1735" customFormat="false" ht="14.25" hidden="false" customHeight="true" outlineLevel="0" collapsed="false">
      <c r="A1735" s="51" t="n">
        <v>14680</v>
      </c>
      <c r="B1735" s="53" t="n">
        <v>40861.7076388889</v>
      </c>
      <c r="C1735" s="57" t="n">
        <f aca="false">INT($C$2)-INT(Table3[[#This Row],[Last Purchase Date]])</f>
        <v>26</v>
      </c>
      <c r="D1735" s="1" t="n">
        <v>23</v>
      </c>
      <c r="E1735" s="1" t="n">
        <v>26932.34</v>
      </c>
      <c r="F1735" s="1" t="n">
        <f aca="false">ROUND((1-_xlfn.PERCENTRANK.INC($C$7:$C$4378,C1735))*9,0)</f>
        <v>6</v>
      </c>
      <c r="G1735" s="1" t="n">
        <f aca="false">ROUND(_xlfn.PERCENTRANK.INC($D$7:$D$4378,D1735)*9,0)</f>
        <v>9</v>
      </c>
      <c r="H1735" s="1" t="n">
        <f aca="false">ROUND(_xlfn.PERCENTRANK.INC($E$7:$E$4378,E1735)*9,0)</f>
        <v>9</v>
      </c>
      <c r="I1735" s="1" t="str">
        <f aca="false">CONCATENATE(F1735,G1735,H1735)</f>
        <v>699</v>
      </c>
      <c r="J1735" s="1" t="str">
        <f aca="false">_xlfn.IFS(AND(F1735&gt;=8,G1735&gt;=8,H1735&gt;=8),"CHAMPION",AND(F1735&gt;=6,G1735&gt;=7,H1735&gt;=6),"LOYAL CUSTOMER",AND(F1735&gt;=6,G1735&gt;=5,H1735&gt;=5),"POTENTIAL LOYALIST",AND(F1735&gt;=8,G1735&lt;=2,H1735&gt;=5),"NEW CUSTOMERS",AND(F1735&gt;=6,G1735&lt;=2,H1735&gt;=3),"PROMISING",AND(F1735&gt;=3,G1735&gt;=3,H1735&gt;=3),"NEED ATTENTION",AND(F1735&lt;=4,G1735&gt;=6,H1735&gt;=6),"AT RISK",AND(F1735&lt;=2,G1735&gt;=8,H1735&gt;=8),"CAN'T LOSE THEM",AND(F1735&lt;=2,G1735&lt;=2,H1735&lt;=2),"HIBERNATING",TRUE(),"Other")</f>
        <v>LOYAL CUSTOMER</v>
      </c>
      <c r="K1735" s="1" t="n">
        <f aca="false">RANK(E1735,$E$7:$E$4378)+COUNTIF($E$7:E1735,E1735)-1</f>
        <v>31</v>
      </c>
    </row>
    <row r="1736" customFormat="false" ht="14.25" hidden="false" customHeight="true" outlineLevel="0" collapsed="false">
      <c r="A1736" s="51" t="n">
        <v>14681</v>
      </c>
      <c r="B1736" s="53" t="n">
        <v>40815.6611111111</v>
      </c>
      <c r="C1736" s="57" t="n">
        <f aca="false">INT($C$2)-INT(Table3[[#This Row],[Last Purchase Date]])</f>
        <v>72</v>
      </c>
      <c r="D1736" s="1" t="n">
        <v>3</v>
      </c>
      <c r="E1736" s="1" t="n">
        <v>498.95</v>
      </c>
      <c r="F1736" s="1" t="n">
        <f aca="false">ROUND((1-_xlfn.PERCENTRANK.INC($C$7:$C$4378,C1736))*9,0)</f>
        <v>4</v>
      </c>
      <c r="G1736" s="1" t="n">
        <f aca="false">ROUND(_xlfn.PERCENTRANK.INC($D$7:$D$4378,D1736)*9,0)</f>
        <v>4</v>
      </c>
      <c r="H1736" s="1" t="n">
        <f aca="false">ROUND(_xlfn.PERCENTRANK.INC($E$7:$E$4378,E1736)*9,0)</f>
        <v>4</v>
      </c>
      <c r="I1736" s="1" t="str">
        <f aca="false">CONCATENATE(F1736,G1736,H1736)</f>
        <v>444</v>
      </c>
      <c r="J1736" s="1" t="str">
        <f aca="false">_xlfn.IFS(AND(F1736&gt;=8,G1736&gt;=8,H1736&gt;=8),"CHAMPION",AND(F1736&gt;=6,G1736&gt;=7,H1736&gt;=6),"LOYAL CUSTOMER",AND(F1736&gt;=6,G1736&gt;=5,H1736&gt;=5),"POTENTIAL LOYALIST",AND(F1736&gt;=8,G1736&lt;=2,H1736&gt;=5),"NEW CUSTOMERS",AND(F1736&gt;=6,G1736&lt;=2,H1736&gt;=3),"PROMISING",AND(F1736&gt;=3,G1736&gt;=3,H1736&gt;=3),"NEED ATTENTION",AND(F1736&lt;=4,G1736&gt;=6,H1736&gt;=6),"AT RISK",AND(F1736&lt;=2,G1736&gt;=8,H1736&gt;=8),"CAN'T LOSE THEM",AND(F1736&lt;=2,G1736&lt;=2,H1736&lt;=2),"HIBERNATING",TRUE(),"Other")</f>
        <v>NEED ATTENTION</v>
      </c>
      <c r="K1736" s="1" t="n">
        <f aca="false">RANK(E1736,$E$7:$E$4378)+COUNTIF($E$7:E1736,E1736)-1</f>
        <v>2544</v>
      </c>
    </row>
    <row r="1737" customFormat="false" ht="14.25" hidden="false" customHeight="true" outlineLevel="0" collapsed="false">
      <c r="A1737" s="51" t="n">
        <v>14682</v>
      </c>
      <c r="B1737" s="53" t="n">
        <v>40699.5083333333</v>
      </c>
      <c r="C1737" s="57" t="n">
        <f aca="false">INT($C$2)-INT(Table3[[#This Row],[Last Purchase Date]])</f>
        <v>188</v>
      </c>
      <c r="D1737" s="1" t="n">
        <v>2</v>
      </c>
      <c r="E1737" s="1" t="n">
        <v>52</v>
      </c>
      <c r="F1737" s="1" t="n">
        <f aca="false">ROUND((1-_xlfn.PERCENTRANK.INC($C$7:$C$4378,C1737))*9,0)</f>
        <v>2</v>
      </c>
      <c r="G1737" s="1" t="n">
        <f aca="false">ROUND(_xlfn.PERCENTRANK.INC($D$7:$D$4378,D1737)*9,0)</f>
        <v>3</v>
      </c>
      <c r="H1737" s="1" t="n">
        <f aca="false">ROUND(_xlfn.PERCENTRANK.INC($E$7:$E$4378,E1737)*9,0)</f>
        <v>0</v>
      </c>
      <c r="I1737" s="1" t="str">
        <f aca="false">CONCATENATE(F1737,G1737,H1737)</f>
        <v>230</v>
      </c>
      <c r="J1737" s="1" t="str">
        <f aca="false">_xlfn.IFS(AND(F1737&gt;=8,G1737&gt;=8,H1737&gt;=8),"CHAMPION",AND(F1737&gt;=6,G1737&gt;=7,H1737&gt;=6),"LOYAL CUSTOMER",AND(F1737&gt;=6,G1737&gt;=5,H1737&gt;=5),"POTENTIAL LOYALIST",AND(F1737&gt;=8,G1737&lt;=2,H1737&gt;=5),"NEW CUSTOMERS",AND(F1737&gt;=6,G1737&lt;=2,H1737&gt;=3),"PROMISING",AND(F1737&gt;=3,G1737&gt;=3,H1737&gt;=3),"NEED ATTENTION",AND(F1737&lt;=4,G1737&gt;=6,H1737&gt;=6),"AT RISK",AND(F1737&lt;=2,G1737&gt;=8,H1737&gt;=8),"CAN'T LOSE THEM",AND(F1737&lt;=2,G1737&lt;=2,H1737&lt;=2),"HIBERNATING",TRUE(),"Other")</f>
        <v>Other</v>
      </c>
      <c r="K1737" s="1" t="n">
        <f aca="false">RANK(E1737,$E$7:$E$4378)+COUNTIF($E$7:E1737,E1737)-1</f>
        <v>4277</v>
      </c>
    </row>
    <row r="1738" customFormat="false" ht="14.25" hidden="false" customHeight="true" outlineLevel="0" collapsed="false">
      <c r="A1738" s="51" t="n">
        <v>14684</v>
      </c>
      <c r="B1738" s="53" t="n">
        <v>40861.48125</v>
      </c>
      <c r="C1738" s="57" t="n">
        <f aca="false">INT($C$2)-INT(Table3[[#This Row],[Last Purchase Date]])</f>
        <v>26</v>
      </c>
      <c r="D1738" s="1" t="n">
        <v>5</v>
      </c>
      <c r="E1738" s="1" t="n">
        <v>1236.28</v>
      </c>
      <c r="F1738" s="1" t="n">
        <f aca="false">ROUND((1-_xlfn.PERCENTRANK.INC($C$7:$C$4378,C1738))*9,0)</f>
        <v>6</v>
      </c>
      <c r="G1738" s="1" t="n">
        <f aca="false">ROUND(_xlfn.PERCENTRANK.INC($D$7:$D$4378,D1738)*9,0)</f>
        <v>6</v>
      </c>
      <c r="H1738" s="1" t="n">
        <f aca="false">ROUND(_xlfn.PERCENTRANK.INC($E$7:$E$4378,E1738)*9,0)</f>
        <v>6</v>
      </c>
      <c r="I1738" s="1" t="str">
        <f aca="false">CONCATENATE(F1738,G1738,H1738)</f>
        <v>666</v>
      </c>
      <c r="J1738" s="1" t="str">
        <f aca="false">_xlfn.IFS(AND(F1738&gt;=8,G1738&gt;=8,H1738&gt;=8),"CHAMPION",AND(F1738&gt;=6,G1738&gt;=7,H1738&gt;=6),"LOYAL CUSTOMER",AND(F1738&gt;=6,G1738&gt;=5,H1738&gt;=5),"POTENTIAL LOYALIST",AND(F1738&gt;=8,G1738&lt;=2,H1738&gt;=5),"NEW CUSTOMERS",AND(F1738&gt;=6,G1738&lt;=2,H1738&gt;=3),"PROMISING",AND(F1738&gt;=3,G1738&gt;=3,H1738&gt;=3),"NEED ATTENTION",AND(F1738&lt;=4,G1738&gt;=6,H1738&gt;=6),"AT RISK",AND(F1738&lt;=2,G1738&gt;=8,H1738&gt;=8),"CAN'T LOSE THEM",AND(F1738&lt;=2,G1738&lt;=2,H1738&lt;=2),"HIBERNATING",TRUE(),"Other")</f>
        <v>POTENTIAL LOYALIST</v>
      </c>
      <c r="K1738" s="1" t="n">
        <f aca="false">RANK(E1738,$E$7:$E$4378)+COUNTIF($E$7:E1738,E1738)-1</f>
        <v>1387</v>
      </c>
    </row>
    <row r="1739" customFormat="false" ht="14.25" hidden="false" customHeight="true" outlineLevel="0" collapsed="false">
      <c r="A1739" s="51" t="n">
        <v>14687</v>
      </c>
      <c r="B1739" s="53" t="n">
        <v>40780.4993055556</v>
      </c>
      <c r="C1739" s="57" t="n">
        <f aca="false">INT($C$2)-INT(Table3[[#This Row],[Last Purchase Date]])</f>
        <v>107</v>
      </c>
      <c r="D1739" s="1" t="n">
        <v>1</v>
      </c>
      <c r="E1739" s="1" t="n">
        <v>628.38</v>
      </c>
      <c r="F1739" s="1" t="n">
        <f aca="false">ROUND((1-_xlfn.PERCENTRANK.INC($C$7:$C$4378,C1739))*9,0)</f>
        <v>3</v>
      </c>
      <c r="G1739" s="1" t="n">
        <f aca="false">ROUND(_xlfn.PERCENTRANK.INC($D$7:$D$4378,D1739)*9,0)</f>
        <v>0</v>
      </c>
      <c r="H1739" s="1" t="n">
        <f aca="false">ROUND(_xlfn.PERCENTRANK.INC($E$7:$E$4378,E1739)*9,0)</f>
        <v>4</v>
      </c>
      <c r="I1739" s="1" t="str">
        <f aca="false">CONCATENATE(F1739,G1739,H1739)</f>
        <v>304</v>
      </c>
      <c r="J1739" s="1" t="str">
        <f aca="false">_xlfn.IFS(AND(F1739&gt;=8,G1739&gt;=8,H1739&gt;=8),"CHAMPION",AND(F1739&gt;=6,G1739&gt;=7,H1739&gt;=6),"LOYAL CUSTOMER",AND(F1739&gt;=6,G1739&gt;=5,H1739&gt;=5),"POTENTIAL LOYALIST",AND(F1739&gt;=8,G1739&lt;=2,H1739&gt;=5),"NEW CUSTOMERS",AND(F1739&gt;=6,G1739&lt;=2,H1739&gt;=3),"PROMISING",AND(F1739&gt;=3,G1739&gt;=3,H1739&gt;=3),"NEED ATTENTION",AND(F1739&lt;=4,G1739&gt;=6,H1739&gt;=6),"AT RISK",AND(F1739&lt;=2,G1739&gt;=8,H1739&gt;=8),"CAN'T LOSE THEM",AND(F1739&lt;=2,G1739&lt;=2,H1739&lt;=2),"HIBERNATING",TRUE(),"Other")</f>
        <v>Other</v>
      </c>
      <c r="K1739" s="1" t="n">
        <f aca="false">RANK(E1739,$E$7:$E$4378)+COUNTIF($E$7:E1739,E1739)-1</f>
        <v>2236</v>
      </c>
    </row>
    <row r="1740" customFormat="false" ht="14.25" hidden="false" customHeight="true" outlineLevel="0" collapsed="false">
      <c r="A1740" s="51" t="n">
        <v>14688</v>
      </c>
      <c r="B1740" s="53" t="n">
        <v>40879.5180555556</v>
      </c>
      <c r="C1740" s="57" t="n">
        <f aca="false">INT($C$2)-INT(Table3[[#This Row],[Last Purchase Date]])</f>
        <v>8</v>
      </c>
      <c r="D1740" s="1" t="n">
        <v>27</v>
      </c>
      <c r="E1740" s="1" t="n">
        <v>5107.38</v>
      </c>
      <c r="F1740" s="1" t="n">
        <f aca="false">ROUND((1-_xlfn.PERCENTRANK.INC($C$7:$C$4378,C1740))*9,0)</f>
        <v>8</v>
      </c>
      <c r="G1740" s="1" t="n">
        <f aca="false">ROUND(_xlfn.PERCENTRANK.INC($D$7:$D$4378,D1740)*9,0)</f>
        <v>9</v>
      </c>
      <c r="H1740" s="1" t="n">
        <f aca="false">ROUND(_xlfn.PERCENTRANK.INC($E$7:$E$4378,E1740)*9,0)</f>
        <v>8</v>
      </c>
      <c r="I1740" s="1" t="str">
        <f aca="false">CONCATENATE(F1740,G1740,H1740)</f>
        <v>898</v>
      </c>
      <c r="J1740" s="1" t="str">
        <f aca="false">_xlfn.IFS(AND(F1740&gt;=8,G1740&gt;=8,H1740&gt;=8),"CHAMPION",AND(F1740&gt;=6,G1740&gt;=7,H1740&gt;=6),"LOYAL CUSTOMER",AND(F1740&gt;=6,G1740&gt;=5,H1740&gt;=5),"POTENTIAL LOYALIST",AND(F1740&gt;=8,G1740&lt;=2,H1740&gt;=5),"NEW CUSTOMERS",AND(F1740&gt;=6,G1740&lt;=2,H1740&gt;=3),"PROMISING",AND(F1740&gt;=3,G1740&gt;=3,H1740&gt;=3),"NEED ATTENTION",AND(F1740&lt;=4,G1740&gt;=6,H1740&gt;=6),"AT RISK",AND(F1740&lt;=2,G1740&gt;=8,H1740&gt;=8),"CAN'T LOSE THEM",AND(F1740&lt;=2,G1740&lt;=2,H1740&lt;=2),"HIBERNATING",TRUE(),"Other")</f>
        <v>CHAMPION</v>
      </c>
      <c r="K1740" s="1" t="n">
        <f aca="false">RANK(E1740,$E$7:$E$4378)+COUNTIF($E$7:E1740,E1740)-1</f>
        <v>252</v>
      </c>
    </row>
    <row r="1741" customFormat="false" ht="14.25" hidden="false" customHeight="true" outlineLevel="0" collapsed="false">
      <c r="A1741" s="51" t="n">
        <v>14689</v>
      </c>
      <c r="B1741" s="53" t="n">
        <v>40678.4736111111</v>
      </c>
      <c r="C1741" s="57" t="n">
        <f aca="false">INT($C$2)-INT(Table3[[#This Row],[Last Purchase Date]])</f>
        <v>209</v>
      </c>
      <c r="D1741" s="1" t="n">
        <v>1</v>
      </c>
      <c r="E1741" s="1" t="n">
        <v>112.8</v>
      </c>
      <c r="F1741" s="1" t="n">
        <f aca="false">ROUND((1-_xlfn.PERCENTRANK.INC($C$7:$C$4378,C1741))*9,0)</f>
        <v>1</v>
      </c>
      <c r="G1741" s="1" t="n">
        <f aca="false">ROUND(_xlfn.PERCENTRANK.INC($D$7:$D$4378,D1741)*9,0)</f>
        <v>0</v>
      </c>
      <c r="H1741" s="1" t="n">
        <f aca="false">ROUND(_xlfn.PERCENTRANK.INC($E$7:$E$4378,E1741)*9,0)</f>
        <v>1</v>
      </c>
      <c r="I1741" s="1" t="str">
        <f aca="false">CONCATENATE(F1741,G1741,H1741)</f>
        <v>101</v>
      </c>
      <c r="J1741" s="1" t="str">
        <f aca="false">_xlfn.IFS(AND(F1741&gt;=8,G1741&gt;=8,H1741&gt;=8),"CHAMPION",AND(F1741&gt;=6,G1741&gt;=7,H1741&gt;=6),"LOYAL CUSTOMER",AND(F1741&gt;=6,G1741&gt;=5,H1741&gt;=5),"POTENTIAL LOYALIST",AND(F1741&gt;=8,G1741&lt;=2,H1741&gt;=5),"NEW CUSTOMERS",AND(F1741&gt;=6,G1741&lt;=2,H1741&gt;=3),"PROMISING",AND(F1741&gt;=3,G1741&gt;=3,H1741&gt;=3),"NEED ATTENTION",AND(F1741&lt;=4,G1741&gt;=6,H1741&gt;=6),"AT RISK",AND(F1741&lt;=2,G1741&gt;=8,H1741&gt;=8),"CAN'T LOSE THEM",AND(F1741&lt;=2,G1741&lt;=2,H1741&lt;=2),"HIBERNATING",TRUE(),"Other")</f>
        <v>HIBERNATING</v>
      </c>
      <c r="K1741" s="1" t="n">
        <f aca="false">RANK(E1741,$E$7:$E$4378)+COUNTIF($E$7:E1741,E1741)-1</f>
        <v>4091</v>
      </c>
    </row>
    <row r="1742" customFormat="false" ht="14.25" hidden="false" customHeight="true" outlineLevel="0" collapsed="false">
      <c r="A1742" s="51" t="n">
        <v>14690</v>
      </c>
      <c r="B1742" s="53" t="n">
        <v>40842.6520833333</v>
      </c>
      <c r="C1742" s="57" t="n">
        <f aca="false">INT($C$2)-INT(Table3[[#This Row],[Last Purchase Date]])</f>
        <v>45</v>
      </c>
      <c r="D1742" s="1" t="n">
        <v>3</v>
      </c>
      <c r="E1742" s="1" t="n">
        <v>358.61</v>
      </c>
      <c r="F1742" s="1" t="n">
        <f aca="false">ROUND((1-_xlfn.PERCENTRANK.INC($C$7:$C$4378,C1742))*9,0)</f>
        <v>5</v>
      </c>
      <c r="G1742" s="1" t="n">
        <f aca="false">ROUND(_xlfn.PERCENTRANK.INC($D$7:$D$4378,D1742)*9,0)</f>
        <v>4</v>
      </c>
      <c r="H1742" s="1" t="n">
        <f aca="false">ROUND(_xlfn.PERCENTRANK.INC($E$7:$E$4378,E1742)*9,0)</f>
        <v>3</v>
      </c>
      <c r="I1742" s="1" t="str">
        <f aca="false">CONCATENATE(F1742,G1742,H1742)</f>
        <v>543</v>
      </c>
      <c r="J1742" s="1" t="str">
        <f aca="false">_xlfn.IFS(AND(F1742&gt;=8,G1742&gt;=8,H1742&gt;=8),"CHAMPION",AND(F1742&gt;=6,G1742&gt;=7,H1742&gt;=6),"LOYAL CUSTOMER",AND(F1742&gt;=6,G1742&gt;=5,H1742&gt;=5),"POTENTIAL LOYALIST",AND(F1742&gt;=8,G1742&lt;=2,H1742&gt;=5),"NEW CUSTOMERS",AND(F1742&gt;=6,G1742&lt;=2,H1742&gt;=3),"PROMISING",AND(F1742&gt;=3,G1742&gt;=3,H1742&gt;=3),"NEED ATTENTION",AND(F1742&lt;=4,G1742&gt;=6,H1742&gt;=6),"AT RISK",AND(F1742&lt;=2,G1742&gt;=8,H1742&gt;=8),"CAN'T LOSE THEM",AND(F1742&lt;=2,G1742&lt;=2,H1742&lt;=2),"HIBERNATING",TRUE(),"Other")</f>
        <v>NEED ATTENTION</v>
      </c>
      <c r="K1742" s="1" t="n">
        <f aca="false">RANK(E1742,$E$7:$E$4378)+COUNTIF($E$7:E1742,E1742)-1</f>
        <v>2970</v>
      </c>
    </row>
    <row r="1743" customFormat="false" ht="14.25" hidden="false" customHeight="true" outlineLevel="0" collapsed="false">
      <c r="A1743" s="51" t="n">
        <v>14691</v>
      </c>
      <c r="B1743" s="53" t="n">
        <v>40856.5208333333</v>
      </c>
      <c r="C1743" s="57" t="n">
        <f aca="false">INT($C$2)-INT(Table3[[#This Row],[Last Purchase Date]])</f>
        <v>31</v>
      </c>
      <c r="D1743" s="1" t="n">
        <v>5</v>
      </c>
      <c r="E1743" s="1" t="n">
        <v>2114.33</v>
      </c>
      <c r="F1743" s="1" t="n">
        <f aca="false">ROUND((1-_xlfn.PERCENTRANK.INC($C$7:$C$4378,C1743))*9,0)</f>
        <v>6</v>
      </c>
      <c r="G1743" s="1" t="n">
        <f aca="false">ROUND(_xlfn.PERCENTRANK.INC($D$7:$D$4378,D1743)*9,0)</f>
        <v>6</v>
      </c>
      <c r="H1743" s="1" t="n">
        <f aca="false">ROUND(_xlfn.PERCENTRANK.INC($E$7:$E$4378,E1743)*9,0)</f>
        <v>7</v>
      </c>
      <c r="I1743" s="1" t="str">
        <f aca="false">CONCATENATE(F1743,G1743,H1743)</f>
        <v>667</v>
      </c>
      <c r="J1743" s="1" t="str">
        <f aca="false">_xlfn.IFS(AND(F1743&gt;=8,G1743&gt;=8,H1743&gt;=8),"CHAMPION",AND(F1743&gt;=6,G1743&gt;=7,H1743&gt;=6),"LOYAL CUSTOMER",AND(F1743&gt;=6,G1743&gt;=5,H1743&gt;=5),"POTENTIAL LOYALIST",AND(F1743&gt;=8,G1743&lt;=2,H1743&gt;=5),"NEW CUSTOMERS",AND(F1743&gt;=6,G1743&lt;=2,H1743&gt;=3),"PROMISING",AND(F1743&gt;=3,G1743&gt;=3,H1743&gt;=3),"NEED ATTENTION",AND(F1743&lt;=4,G1743&gt;=6,H1743&gt;=6),"AT RISK",AND(F1743&lt;=2,G1743&gt;=8,H1743&gt;=8),"CAN'T LOSE THEM",AND(F1743&lt;=2,G1743&lt;=2,H1743&lt;=2),"HIBERNATING",TRUE(),"Other")</f>
        <v>POTENTIAL LOYALIST</v>
      </c>
      <c r="K1743" s="1" t="n">
        <f aca="false">RANK(E1743,$E$7:$E$4378)+COUNTIF($E$7:E1743,E1743)-1</f>
        <v>819</v>
      </c>
    </row>
    <row r="1744" customFormat="false" ht="14.25" hidden="false" customHeight="true" outlineLevel="0" collapsed="false">
      <c r="A1744" s="51" t="n">
        <v>14692</v>
      </c>
      <c r="B1744" s="53" t="n">
        <v>40749.6305555556</v>
      </c>
      <c r="C1744" s="57" t="n">
        <f aca="false">INT($C$2)-INT(Table3[[#This Row],[Last Purchase Date]])</f>
        <v>138</v>
      </c>
      <c r="D1744" s="1" t="n">
        <v>5</v>
      </c>
      <c r="E1744" s="1" t="n">
        <v>582.05</v>
      </c>
      <c r="F1744" s="1" t="n">
        <f aca="false">ROUND((1-_xlfn.PERCENTRANK.INC($C$7:$C$4378,C1744))*9,0)</f>
        <v>2</v>
      </c>
      <c r="G1744" s="1" t="n">
        <f aca="false">ROUND(_xlfn.PERCENTRANK.INC($D$7:$D$4378,D1744)*9,0)</f>
        <v>6</v>
      </c>
      <c r="H1744" s="1" t="n">
        <f aca="false">ROUND(_xlfn.PERCENTRANK.INC($E$7:$E$4378,E1744)*9,0)</f>
        <v>4</v>
      </c>
      <c r="I1744" s="1" t="str">
        <f aca="false">CONCATENATE(F1744,G1744,H1744)</f>
        <v>264</v>
      </c>
      <c r="J1744" s="1" t="str">
        <f aca="false">_xlfn.IFS(AND(F1744&gt;=8,G1744&gt;=8,H1744&gt;=8),"CHAMPION",AND(F1744&gt;=6,G1744&gt;=7,H1744&gt;=6),"LOYAL CUSTOMER",AND(F1744&gt;=6,G1744&gt;=5,H1744&gt;=5),"POTENTIAL LOYALIST",AND(F1744&gt;=8,G1744&lt;=2,H1744&gt;=5),"NEW CUSTOMERS",AND(F1744&gt;=6,G1744&lt;=2,H1744&gt;=3),"PROMISING",AND(F1744&gt;=3,G1744&gt;=3,H1744&gt;=3),"NEED ATTENTION",AND(F1744&lt;=4,G1744&gt;=6,H1744&gt;=6),"AT RISK",AND(F1744&lt;=2,G1744&gt;=8,H1744&gt;=8),"CAN'T LOSE THEM",AND(F1744&lt;=2,G1744&lt;=2,H1744&lt;=2),"HIBERNATING",TRUE(),"Other")</f>
        <v>Other</v>
      </c>
      <c r="K1744" s="1" t="n">
        <f aca="false">RANK(E1744,$E$7:$E$4378)+COUNTIF($E$7:E1744,E1744)-1</f>
        <v>2369</v>
      </c>
    </row>
    <row r="1745" customFormat="false" ht="14.25" hidden="false" customHeight="true" outlineLevel="0" collapsed="false">
      <c r="A1745" s="51" t="n">
        <v>14693</v>
      </c>
      <c r="B1745" s="53" t="n">
        <v>40622.5347222222</v>
      </c>
      <c r="C1745" s="57" t="n">
        <f aca="false">INT($C$2)-INT(Table3[[#This Row],[Last Purchase Date]])</f>
        <v>265</v>
      </c>
      <c r="D1745" s="1" t="n">
        <v>1</v>
      </c>
      <c r="E1745" s="1" t="n">
        <v>172.9</v>
      </c>
      <c r="F1745" s="1" t="n">
        <f aca="false">ROUND((1-_xlfn.PERCENTRANK.INC($C$7:$C$4378,C1745))*9,0)</f>
        <v>1</v>
      </c>
      <c r="G1745" s="1" t="n">
        <f aca="false">ROUND(_xlfn.PERCENTRANK.INC($D$7:$D$4378,D1745)*9,0)</f>
        <v>0</v>
      </c>
      <c r="H1745" s="1" t="n">
        <f aca="false">ROUND(_xlfn.PERCENTRANK.INC($E$7:$E$4378,E1745)*9,0)</f>
        <v>1</v>
      </c>
      <c r="I1745" s="1" t="str">
        <f aca="false">CONCATENATE(F1745,G1745,H1745)</f>
        <v>101</v>
      </c>
      <c r="J1745" s="1" t="str">
        <f aca="false">_xlfn.IFS(AND(F1745&gt;=8,G1745&gt;=8,H1745&gt;=8),"CHAMPION",AND(F1745&gt;=6,G1745&gt;=7,H1745&gt;=6),"LOYAL CUSTOMER",AND(F1745&gt;=6,G1745&gt;=5,H1745&gt;=5),"POTENTIAL LOYALIST",AND(F1745&gt;=8,G1745&lt;=2,H1745&gt;=5),"NEW CUSTOMERS",AND(F1745&gt;=6,G1745&lt;=2,H1745&gt;=3),"PROMISING",AND(F1745&gt;=3,G1745&gt;=3,H1745&gt;=3),"NEED ATTENTION",AND(F1745&lt;=4,G1745&gt;=6,H1745&gt;=6),"AT RISK",AND(F1745&lt;=2,G1745&gt;=8,H1745&gt;=8),"CAN'T LOSE THEM",AND(F1745&lt;=2,G1745&lt;=2,H1745&lt;=2),"HIBERNATING",TRUE(),"Other")</f>
        <v>HIBERNATING</v>
      </c>
      <c r="K1745" s="1" t="n">
        <f aca="false">RANK(E1745,$E$7:$E$4378)+COUNTIF($E$7:E1745,E1745)-1</f>
        <v>3792</v>
      </c>
    </row>
    <row r="1746" customFormat="false" ht="14.25" hidden="false" customHeight="true" outlineLevel="0" collapsed="false">
      <c r="A1746" s="51" t="n">
        <v>14696</v>
      </c>
      <c r="B1746" s="53" t="n">
        <v>40882.5715277778</v>
      </c>
      <c r="C1746" s="57" t="n">
        <f aca="false">INT($C$2)-INT(Table3[[#This Row],[Last Purchase Date]])</f>
        <v>5</v>
      </c>
      <c r="D1746" s="1" t="n">
        <v>9</v>
      </c>
      <c r="E1746" s="1" t="n">
        <v>2070.97</v>
      </c>
      <c r="F1746" s="1" t="n">
        <f aca="false">ROUND((1-_xlfn.PERCENTRANK.INC($C$7:$C$4378,C1746))*9,0)</f>
        <v>8</v>
      </c>
      <c r="G1746" s="1" t="n">
        <f aca="false">ROUND(_xlfn.PERCENTRANK.INC($D$7:$D$4378,D1746)*9,0)</f>
        <v>8</v>
      </c>
      <c r="H1746" s="1" t="n">
        <f aca="false">ROUND(_xlfn.PERCENTRANK.INC($E$7:$E$4378,E1746)*9,0)</f>
        <v>7</v>
      </c>
      <c r="I1746" s="1" t="str">
        <f aca="false">CONCATENATE(F1746,G1746,H1746)</f>
        <v>887</v>
      </c>
      <c r="J1746" s="1" t="str">
        <f aca="false">_xlfn.IFS(AND(F1746&gt;=8,G1746&gt;=8,H1746&gt;=8),"CHAMPION",AND(F1746&gt;=6,G1746&gt;=7,H1746&gt;=6),"LOYAL CUSTOMER",AND(F1746&gt;=6,G1746&gt;=5,H1746&gt;=5),"POTENTIAL LOYALIST",AND(F1746&gt;=8,G1746&lt;=2,H1746&gt;=5),"NEW CUSTOMERS",AND(F1746&gt;=6,G1746&lt;=2,H1746&gt;=3),"PROMISING",AND(F1746&gt;=3,G1746&gt;=3,H1746&gt;=3),"NEED ATTENTION",AND(F1746&lt;=4,G1746&gt;=6,H1746&gt;=6),"AT RISK",AND(F1746&lt;=2,G1746&gt;=8,H1746&gt;=8),"CAN'T LOSE THEM",AND(F1746&lt;=2,G1746&lt;=2,H1746&lt;=2),"HIBERNATING",TRUE(),"Other")</f>
        <v>LOYAL CUSTOMER</v>
      </c>
      <c r="K1746" s="1" t="n">
        <f aca="false">RANK(E1746,$E$7:$E$4378)+COUNTIF($E$7:E1746,E1746)-1</f>
        <v>839</v>
      </c>
    </row>
    <row r="1747" customFormat="false" ht="14.25" hidden="false" customHeight="true" outlineLevel="0" collapsed="false">
      <c r="A1747" s="51" t="n">
        <v>14697</v>
      </c>
      <c r="B1747" s="53" t="n">
        <v>40668.6520833333</v>
      </c>
      <c r="C1747" s="57" t="n">
        <f aca="false">INT($C$2)-INT(Table3[[#This Row],[Last Purchase Date]])</f>
        <v>219</v>
      </c>
      <c r="D1747" s="1" t="n">
        <v>2</v>
      </c>
      <c r="E1747" s="1" t="n">
        <v>188.61</v>
      </c>
      <c r="F1747" s="1" t="n">
        <f aca="false">ROUND((1-_xlfn.PERCENTRANK.INC($C$7:$C$4378,C1747))*9,0)</f>
        <v>1</v>
      </c>
      <c r="G1747" s="1" t="n">
        <f aca="false">ROUND(_xlfn.PERCENTRANK.INC($D$7:$D$4378,D1747)*9,0)</f>
        <v>3</v>
      </c>
      <c r="H1747" s="1" t="n">
        <f aca="false">ROUND(_xlfn.PERCENTRANK.INC($E$7:$E$4378,E1747)*9,0)</f>
        <v>1</v>
      </c>
      <c r="I1747" s="1" t="str">
        <f aca="false">CONCATENATE(F1747,G1747,H1747)</f>
        <v>131</v>
      </c>
      <c r="J1747" s="1" t="str">
        <f aca="false">_xlfn.IFS(AND(F1747&gt;=8,G1747&gt;=8,H1747&gt;=8),"CHAMPION",AND(F1747&gt;=6,G1747&gt;=7,H1747&gt;=6),"LOYAL CUSTOMER",AND(F1747&gt;=6,G1747&gt;=5,H1747&gt;=5),"POTENTIAL LOYALIST",AND(F1747&gt;=8,G1747&lt;=2,H1747&gt;=5),"NEW CUSTOMERS",AND(F1747&gt;=6,G1747&lt;=2,H1747&gt;=3),"PROMISING",AND(F1747&gt;=3,G1747&gt;=3,H1747&gt;=3),"NEED ATTENTION",AND(F1747&lt;=4,G1747&gt;=6,H1747&gt;=6),"AT RISK",AND(F1747&lt;=2,G1747&gt;=8,H1747&gt;=8),"CAN'T LOSE THEM",AND(F1747&lt;=2,G1747&lt;=2,H1747&lt;=2),"HIBERNATING",TRUE(),"Other")</f>
        <v>Other</v>
      </c>
      <c r="K1747" s="1" t="n">
        <f aca="false">RANK(E1747,$E$7:$E$4378)+COUNTIF($E$7:E1747,E1747)-1</f>
        <v>3714</v>
      </c>
    </row>
    <row r="1748" customFormat="false" ht="14.25" hidden="false" customHeight="true" outlineLevel="0" collapsed="false">
      <c r="A1748" s="51" t="n">
        <v>14698</v>
      </c>
      <c r="B1748" s="53" t="n">
        <v>40885.5180555556</v>
      </c>
      <c r="C1748" s="57" t="n">
        <f aca="false">INT($C$2)-INT(Table3[[#This Row],[Last Purchase Date]])</f>
        <v>2</v>
      </c>
      <c r="D1748" s="1" t="n">
        <v>5</v>
      </c>
      <c r="E1748" s="1" t="n">
        <v>1250.76</v>
      </c>
      <c r="F1748" s="1" t="n">
        <f aca="false">ROUND((1-_xlfn.PERCENTRANK.INC($C$7:$C$4378,C1748))*9,0)</f>
        <v>9</v>
      </c>
      <c r="G1748" s="1" t="n">
        <f aca="false">ROUND(_xlfn.PERCENTRANK.INC($D$7:$D$4378,D1748)*9,0)</f>
        <v>6</v>
      </c>
      <c r="H1748" s="1" t="n">
        <f aca="false">ROUND(_xlfn.PERCENTRANK.INC($E$7:$E$4378,E1748)*9,0)</f>
        <v>6</v>
      </c>
      <c r="I1748" s="1" t="str">
        <f aca="false">CONCATENATE(F1748,G1748,H1748)</f>
        <v>966</v>
      </c>
      <c r="J1748" s="1" t="str">
        <f aca="false">_xlfn.IFS(AND(F1748&gt;=8,G1748&gt;=8,H1748&gt;=8),"CHAMPION",AND(F1748&gt;=6,G1748&gt;=7,H1748&gt;=6),"LOYAL CUSTOMER",AND(F1748&gt;=6,G1748&gt;=5,H1748&gt;=5),"POTENTIAL LOYALIST",AND(F1748&gt;=8,G1748&lt;=2,H1748&gt;=5),"NEW CUSTOMERS",AND(F1748&gt;=6,G1748&lt;=2,H1748&gt;=3),"PROMISING",AND(F1748&gt;=3,G1748&gt;=3,H1748&gt;=3),"NEED ATTENTION",AND(F1748&lt;=4,G1748&gt;=6,H1748&gt;=6),"AT RISK",AND(F1748&lt;=2,G1748&gt;=8,H1748&gt;=8),"CAN'T LOSE THEM",AND(F1748&lt;=2,G1748&lt;=2,H1748&lt;=2),"HIBERNATING",TRUE(),"Other")</f>
        <v>POTENTIAL LOYALIST</v>
      </c>
      <c r="K1748" s="1" t="n">
        <f aca="false">RANK(E1748,$E$7:$E$4378)+COUNTIF($E$7:E1748,E1748)-1</f>
        <v>1374</v>
      </c>
    </row>
    <row r="1749" customFormat="false" ht="14.25" hidden="false" customHeight="true" outlineLevel="0" collapsed="false">
      <c r="A1749" s="51" t="n">
        <v>14699</v>
      </c>
      <c r="B1749" s="53" t="n">
        <v>40672.6208333333</v>
      </c>
      <c r="C1749" s="57" t="n">
        <f aca="false">INT($C$2)-INT(Table3[[#This Row],[Last Purchase Date]])</f>
        <v>215</v>
      </c>
      <c r="D1749" s="1" t="n">
        <v>1</v>
      </c>
      <c r="E1749" s="1" t="n">
        <v>109.13</v>
      </c>
      <c r="F1749" s="1" t="n">
        <f aca="false">ROUND((1-_xlfn.PERCENTRANK.INC($C$7:$C$4378,C1749))*9,0)</f>
        <v>1</v>
      </c>
      <c r="G1749" s="1" t="n">
        <f aca="false">ROUND(_xlfn.PERCENTRANK.INC($D$7:$D$4378,D1749)*9,0)</f>
        <v>0</v>
      </c>
      <c r="H1749" s="1" t="n">
        <f aca="false">ROUND(_xlfn.PERCENTRANK.INC($E$7:$E$4378,E1749)*9,0)</f>
        <v>1</v>
      </c>
      <c r="I1749" s="1" t="str">
        <f aca="false">CONCATENATE(F1749,G1749,H1749)</f>
        <v>101</v>
      </c>
      <c r="J1749" s="1" t="str">
        <f aca="false">_xlfn.IFS(AND(F1749&gt;=8,G1749&gt;=8,H1749&gt;=8),"CHAMPION",AND(F1749&gt;=6,G1749&gt;=7,H1749&gt;=6),"LOYAL CUSTOMER",AND(F1749&gt;=6,G1749&gt;=5,H1749&gt;=5),"POTENTIAL LOYALIST",AND(F1749&gt;=8,G1749&lt;=2,H1749&gt;=5),"NEW CUSTOMERS",AND(F1749&gt;=6,G1749&lt;=2,H1749&gt;=3),"PROMISING",AND(F1749&gt;=3,G1749&gt;=3,H1749&gt;=3),"NEED ATTENTION",AND(F1749&lt;=4,G1749&gt;=6,H1749&gt;=6),"AT RISK",AND(F1749&lt;=2,G1749&gt;=8,H1749&gt;=8),"CAN'T LOSE THEM",AND(F1749&lt;=2,G1749&lt;=2,H1749&lt;=2),"HIBERNATING",TRUE(),"Other")</f>
        <v>HIBERNATING</v>
      </c>
      <c r="K1749" s="1" t="n">
        <f aca="false">RANK(E1749,$E$7:$E$4378)+COUNTIF($E$7:E1749,E1749)-1</f>
        <v>4120</v>
      </c>
    </row>
    <row r="1750" customFormat="false" ht="14.25" hidden="false" customHeight="true" outlineLevel="0" collapsed="false">
      <c r="A1750" s="51" t="n">
        <v>14700</v>
      </c>
      <c r="B1750" s="53" t="n">
        <v>40854.6111111111</v>
      </c>
      <c r="C1750" s="57" t="n">
        <f aca="false">INT($C$2)-INT(Table3[[#This Row],[Last Purchase Date]])</f>
        <v>33</v>
      </c>
      <c r="D1750" s="1" t="n">
        <v>3</v>
      </c>
      <c r="E1750" s="1" t="n">
        <v>2235.3</v>
      </c>
      <c r="F1750" s="1" t="n">
        <f aca="false">ROUND((1-_xlfn.PERCENTRANK.INC($C$7:$C$4378,C1750))*9,0)</f>
        <v>5</v>
      </c>
      <c r="G1750" s="1" t="n">
        <f aca="false">ROUND(_xlfn.PERCENTRANK.INC($D$7:$D$4378,D1750)*9,0)</f>
        <v>4</v>
      </c>
      <c r="H1750" s="1" t="n">
        <f aca="false">ROUND(_xlfn.PERCENTRANK.INC($E$7:$E$4378,E1750)*9,0)</f>
        <v>7</v>
      </c>
      <c r="I1750" s="1" t="str">
        <f aca="false">CONCATENATE(F1750,G1750,H1750)</f>
        <v>547</v>
      </c>
      <c r="J1750" s="1" t="str">
        <f aca="false">_xlfn.IFS(AND(F1750&gt;=8,G1750&gt;=8,H1750&gt;=8),"CHAMPION",AND(F1750&gt;=6,G1750&gt;=7,H1750&gt;=6),"LOYAL CUSTOMER",AND(F1750&gt;=6,G1750&gt;=5,H1750&gt;=5),"POTENTIAL LOYALIST",AND(F1750&gt;=8,G1750&lt;=2,H1750&gt;=5),"NEW CUSTOMERS",AND(F1750&gt;=6,G1750&lt;=2,H1750&gt;=3),"PROMISING",AND(F1750&gt;=3,G1750&gt;=3,H1750&gt;=3),"NEED ATTENTION",AND(F1750&lt;=4,G1750&gt;=6,H1750&gt;=6),"AT RISK",AND(F1750&lt;=2,G1750&gt;=8,H1750&gt;=8),"CAN'T LOSE THEM",AND(F1750&lt;=2,G1750&lt;=2,H1750&lt;=2),"HIBERNATING",TRUE(),"Other")</f>
        <v>NEED ATTENTION</v>
      </c>
      <c r="K1750" s="1" t="n">
        <f aca="false">RANK(E1750,$E$7:$E$4378)+COUNTIF($E$7:E1750,E1750)-1</f>
        <v>768</v>
      </c>
    </row>
    <row r="1751" customFormat="false" ht="14.25" hidden="false" customHeight="true" outlineLevel="0" collapsed="false">
      <c r="A1751" s="51" t="n">
        <v>14701</v>
      </c>
      <c r="B1751" s="53" t="n">
        <v>40876.5263888889</v>
      </c>
      <c r="C1751" s="57" t="n">
        <f aca="false">INT($C$2)-INT(Table3[[#This Row],[Last Purchase Date]])</f>
        <v>11</v>
      </c>
      <c r="D1751" s="1" t="n">
        <v>12</v>
      </c>
      <c r="E1751" s="1" t="n">
        <v>2486.22</v>
      </c>
      <c r="F1751" s="1" t="n">
        <f aca="false">ROUND((1-_xlfn.PERCENTRANK.INC($C$7:$C$4378,C1751))*9,0)</f>
        <v>7</v>
      </c>
      <c r="G1751" s="1" t="n">
        <f aca="false">ROUND(_xlfn.PERCENTRANK.INC($D$7:$D$4378,D1751)*9,0)</f>
        <v>8</v>
      </c>
      <c r="H1751" s="1" t="n">
        <f aca="false">ROUND(_xlfn.PERCENTRANK.INC($E$7:$E$4378,E1751)*9,0)</f>
        <v>8</v>
      </c>
      <c r="I1751" s="1" t="str">
        <f aca="false">CONCATENATE(F1751,G1751,H1751)</f>
        <v>788</v>
      </c>
      <c r="J1751" s="1" t="str">
        <f aca="false">_xlfn.IFS(AND(F1751&gt;=8,G1751&gt;=8,H1751&gt;=8),"CHAMPION",AND(F1751&gt;=6,G1751&gt;=7,H1751&gt;=6),"LOYAL CUSTOMER",AND(F1751&gt;=6,G1751&gt;=5,H1751&gt;=5),"POTENTIAL LOYALIST",AND(F1751&gt;=8,G1751&lt;=2,H1751&gt;=5),"NEW CUSTOMERS",AND(F1751&gt;=6,G1751&lt;=2,H1751&gt;=3),"PROMISING",AND(F1751&gt;=3,G1751&gt;=3,H1751&gt;=3),"NEED ATTENTION",AND(F1751&lt;=4,G1751&gt;=6,H1751&gt;=6),"AT RISK",AND(F1751&lt;=2,G1751&gt;=8,H1751&gt;=8),"CAN'T LOSE THEM",AND(F1751&lt;=2,G1751&lt;=2,H1751&lt;=2),"HIBERNATING",TRUE(),"Other")</f>
        <v>LOYAL CUSTOMER</v>
      </c>
      <c r="K1751" s="1" t="n">
        <f aca="false">RANK(E1751,$E$7:$E$4378)+COUNTIF($E$7:E1751,E1751)-1</f>
        <v>685</v>
      </c>
    </row>
    <row r="1752" customFormat="false" ht="14.25" hidden="false" customHeight="true" outlineLevel="0" collapsed="false">
      <c r="A1752" s="51" t="n">
        <v>14702</v>
      </c>
      <c r="B1752" s="53" t="n">
        <v>40885.8118055556</v>
      </c>
      <c r="C1752" s="57" t="n">
        <f aca="false">INT($C$2)-INT(Table3[[#This Row],[Last Purchase Date]])</f>
        <v>2</v>
      </c>
      <c r="D1752" s="1" t="n">
        <v>18</v>
      </c>
      <c r="E1752" s="1" t="n">
        <v>3250.64</v>
      </c>
      <c r="F1752" s="1" t="n">
        <f aca="false">ROUND((1-_xlfn.PERCENTRANK.INC($C$7:$C$4378,C1752))*9,0)</f>
        <v>9</v>
      </c>
      <c r="G1752" s="1" t="n">
        <f aca="false">ROUND(_xlfn.PERCENTRANK.INC($D$7:$D$4378,D1752)*9,0)</f>
        <v>9</v>
      </c>
      <c r="H1752" s="1" t="n">
        <f aca="false">ROUND(_xlfn.PERCENTRANK.INC($E$7:$E$4378,E1752)*9,0)</f>
        <v>8</v>
      </c>
      <c r="I1752" s="1" t="str">
        <f aca="false">CONCATENATE(F1752,G1752,H1752)</f>
        <v>998</v>
      </c>
      <c r="J1752" s="1" t="str">
        <f aca="false">_xlfn.IFS(AND(F1752&gt;=8,G1752&gt;=8,H1752&gt;=8),"CHAMPION",AND(F1752&gt;=6,G1752&gt;=7,H1752&gt;=6),"LOYAL CUSTOMER",AND(F1752&gt;=6,G1752&gt;=5,H1752&gt;=5),"POTENTIAL LOYALIST",AND(F1752&gt;=8,G1752&lt;=2,H1752&gt;=5),"NEW CUSTOMERS",AND(F1752&gt;=6,G1752&lt;=2,H1752&gt;=3),"PROMISING",AND(F1752&gt;=3,G1752&gt;=3,H1752&gt;=3),"NEED ATTENTION",AND(F1752&lt;=4,G1752&gt;=6,H1752&gt;=6),"AT RISK",AND(F1752&lt;=2,G1752&gt;=8,H1752&gt;=8),"CAN'T LOSE THEM",AND(F1752&lt;=2,G1752&lt;=2,H1752&lt;=2),"HIBERNATING",TRUE(),"Other")</f>
        <v>CHAMPION</v>
      </c>
      <c r="K1752" s="1" t="n">
        <f aca="false">RANK(E1752,$E$7:$E$4378)+COUNTIF($E$7:E1752,E1752)-1</f>
        <v>483</v>
      </c>
    </row>
    <row r="1753" customFormat="false" ht="14.25" hidden="false" customHeight="true" outlineLevel="0" collapsed="false">
      <c r="A1753" s="51" t="n">
        <v>14703</v>
      </c>
      <c r="B1753" s="53" t="n">
        <v>40872.3909722222</v>
      </c>
      <c r="C1753" s="57" t="n">
        <f aca="false">INT($C$2)-INT(Table3[[#This Row],[Last Purchase Date]])</f>
        <v>15</v>
      </c>
      <c r="D1753" s="1" t="n">
        <v>1</v>
      </c>
      <c r="E1753" s="1" t="n">
        <v>318.17</v>
      </c>
      <c r="F1753" s="1" t="n">
        <f aca="false">ROUND((1-_xlfn.PERCENTRANK.INC($C$7:$C$4378,C1753))*9,0)</f>
        <v>7</v>
      </c>
      <c r="G1753" s="1" t="n">
        <f aca="false">ROUND(_xlfn.PERCENTRANK.INC($D$7:$D$4378,D1753)*9,0)</f>
        <v>0</v>
      </c>
      <c r="H1753" s="1" t="n">
        <f aca="false">ROUND(_xlfn.PERCENTRANK.INC($E$7:$E$4378,E1753)*9,0)</f>
        <v>3</v>
      </c>
      <c r="I1753" s="1" t="str">
        <f aca="false">CONCATENATE(F1753,G1753,H1753)</f>
        <v>703</v>
      </c>
      <c r="J1753" s="1" t="str">
        <f aca="false">_xlfn.IFS(AND(F1753&gt;=8,G1753&gt;=8,H1753&gt;=8),"CHAMPION",AND(F1753&gt;=6,G1753&gt;=7,H1753&gt;=6),"LOYAL CUSTOMER",AND(F1753&gt;=6,G1753&gt;=5,H1753&gt;=5),"POTENTIAL LOYALIST",AND(F1753&gt;=8,G1753&lt;=2,H1753&gt;=5),"NEW CUSTOMERS",AND(F1753&gt;=6,G1753&lt;=2,H1753&gt;=3),"PROMISING",AND(F1753&gt;=3,G1753&gt;=3,H1753&gt;=3),"NEED ATTENTION",AND(F1753&lt;=4,G1753&gt;=6,H1753&gt;=6),"AT RISK",AND(F1753&lt;=2,G1753&gt;=8,H1753&gt;=8),"CAN'T LOSE THEM",AND(F1753&lt;=2,G1753&lt;=2,H1753&lt;=2),"HIBERNATING",TRUE(),"Other")</f>
        <v>PROMISING</v>
      </c>
      <c r="K1753" s="1" t="n">
        <f aca="false">RANK(E1753,$E$7:$E$4378)+COUNTIF($E$7:E1753,E1753)-1</f>
        <v>3147</v>
      </c>
    </row>
    <row r="1754" customFormat="false" ht="14.25" hidden="false" customHeight="true" outlineLevel="0" collapsed="false">
      <c r="A1754" s="51" t="n">
        <v>14704</v>
      </c>
      <c r="B1754" s="53" t="n">
        <v>40875.5354166667</v>
      </c>
      <c r="C1754" s="57" t="n">
        <f aca="false">INT($C$2)-INT(Table3[[#This Row],[Last Purchase Date]])</f>
        <v>12</v>
      </c>
      <c r="D1754" s="1" t="n">
        <v>9</v>
      </c>
      <c r="E1754" s="1" t="n">
        <v>1546.91</v>
      </c>
      <c r="F1754" s="1" t="n">
        <f aca="false">ROUND((1-_xlfn.PERCENTRANK.INC($C$7:$C$4378,C1754))*9,0)</f>
        <v>7</v>
      </c>
      <c r="G1754" s="1" t="n">
        <f aca="false">ROUND(_xlfn.PERCENTRANK.INC($D$7:$D$4378,D1754)*9,0)</f>
        <v>8</v>
      </c>
      <c r="H1754" s="1" t="n">
        <f aca="false">ROUND(_xlfn.PERCENTRANK.INC($E$7:$E$4378,E1754)*9,0)</f>
        <v>7</v>
      </c>
      <c r="I1754" s="1" t="str">
        <f aca="false">CONCATENATE(F1754,G1754,H1754)</f>
        <v>787</v>
      </c>
      <c r="J1754" s="1" t="str">
        <f aca="false">_xlfn.IFS(AND(F1754&gt;=8,G1754&gt;=8,H1754&gt;=8),"CHAMPION",AND(F1754&gt;=6,G1754&gt;=7,H1754&gt;=6),"LOYAL CUSTOMER",AND(F1754&gt;=6,G1754&gt;=5,H1754&gt;=5),"POTENTIAL LOYALIST",AND(F1754&gt;=8,G1754&lt;=2,H1754&gt;=5),"NEW CUSTOMERS",AND(F1754&gt;=6,G1754&lt;=2,H1754&gt;=3),"PROMISING",AND(F1754&gt;=3,G1754&gt;=3,H1754&gt;=3),"NEED ATTENTION",AND(F1754&lt;=4,G1754&gt;=6,H1754&gt;=6),"AT RISK",AND(F1754&lt;=2,G1754&gt;=8,H1754&gt;=8),"CAN'T LOSE THEM",AND(F1754&lt;=2,G1754&lt;=2,H1754&lt;=2),"HIBERNATING",TRUE(),"Other")</f>
        <v>LOYAL CUSTOMER</v>
      </c>
      <c r="K1754" s="1" t="n">
        <f aca="false">RANK(E1754,$E$7:$E$4378)+COUNTIF($E$7:E1754,E1754)-1</f>
        <v>1129</v>
      </c>
    </row>
    <row r="1755" customFormat="false" ht="14.25" hidden="false" customHeight="true" outlineLevel="0" collapsed="false">
      <c r="A1755" s="51" t="n">
        <v>14705</v>
      </c>
      <c r="B1755" s="53" t="n">
        <v>40688.5270833333</v>
      </c>
      <c r="C1755" s="57" t="n">
        <f aca="false">INT($C$2)-INT(Table3[[#This Row],[Last Purchase Date]])</f>
        <v>199</v>
      </c>
      <c r="D1755" s="1" t="n">
        <v>1</v>
      </c>
      <c r="E1755" s="1" t="n">
        <v>179</v>
      </c>
      <c r="F1755" s="1" t="n">
        <f aca="false">ROUND((1-_xlfn.PERCENTRANK.INC($C$7:$C$4378,C1755))*9,0)</f>
        <v>2</v>
      </c>
      <c r="G1755" s="1" t="n">
        <f aca="false">ROUND(_xlfn.PERCENTRANK.INC($D$7:$D$4378,D1755)*9,0)</f>
        <v>0</v>
      </c>
      <c r="H1755" s="1" t="n">
        <f aca="false">ROUND(_xlfn.PERCENTRANK.INC($E$7:$E$4378,E1755)*9,0)</f>
        <v>1</v>
      </c>
      <c r="I1755" s="1" t="str">
        <f aca="false">CONCATENATE(F1755,G1755,H1755)</f>
        <v>201</v>
      </c>
      <c r="J1755" s="1" t="str">
        <f aca="false">_xlfn.IFS(AND(F1755&gt;=8,G1755&gt;=8,H1755&gt;=8),"CHAMPION",AND(F1755&gt;=6,G1755&gt;=7,H1755&gt;=6),"LOYAL CUSTOMER",AND(F1755&gt;=6,G1755&gt;=5,H1755&gt;=5),"POTENTIAL LOYALIST",AND(F1755&gt;=8,G1755&lt;=2,H1755&gt;=5),"NEW CUSTOMERS",AND(F1755&gt;=6,G1755&lt;=2,H1755&gt;=3),"PROMISING",AND(F1755&gt;=3,G1755&gt;=3,H1755&gt;=3),"NEED ATTENTION",AND(F1755&lt;=4,G1755&gt;=6,H1755&gt;=6),"AT RISK",AND(F1755&lt;=2,G1755&gt;=8,H1755&gt;=8),"CAN'T LOSE THEM",AND(F1755&lt;=2,G1755&lt;=2,H1755&lt;=2),"HIBERNATING",TRUE(),"Other")</f>
        <v>HIBERNATING</v>
      </c>
      <c r="K1755" s="1" t="n">
        <f aca="false">RANK(E1755,$E$7:$E$4378)+COUNTIF($E$7:E1755,E1755)-1</f>
        <v>3756</v>
      </c>
    </row>
    <row r="1756" customFormat="false" ht="14.25" hidden="false" customHeight="true" outlineLevel="0" collapsed="false">
      <c r="A1756" s="51" t="n">
        <v>14708</v>
      </c>
      <c r="B1756" s="53" t="n">
        <v>40884.3479166667</v>
      </c>
      <c r="C1756" s="57" t="n">
        <f aca="false">INT($C$2)-INT(Table3[[#This Row],[Last Purchase Date]])</f>
        <v>3</v>
      </c>
      <c r="D1756" s="1" t="n">
        <v>4</v>
      </c>
      <c r="E1756" s="1" t="n">
        <v>1096.67</v>
      </c>
      <c r="F1756" s="1" t="n">
        <f aca="false">ROUND((1-_xlfn.PERCENTRANK.INC($C$7:$C$4378,C1756))*9,0)</f>
        <v>9</v>
      </c>
      <c r="G1756" s="1" t="n">
        <f aca="false">ROUND(_xlfn.PERCENTRANK.INC($D$7:$D$4378,D1756)*9,0)</f>
        <v>5</v>
      </c>
      <c r="H1756" s="1" t="n">
        <f aca="false">ROUND(_xlfn.PERCENTRANK.INC($E$7:$E$4378,E1756)*9,0)</f>
        <v>6</v>
      </c>
      <c r="I1756" s="1" t="str">
        <f aca="false">CONCATENATE(F1756,G1756,H1756)</f>
        <v>956</v>
      </c>
      <c r="J1756" s="1" t="str">
        <f aca="false">_xlfn.IFS(AND(F1756&gt;=8,G1756&gt;=8,H1756&gt;=8),"CHAMPION",AND(F1756&gt;=6,G1756&gt;=7,H1756&gt;=6),"LOYAL CUSTOMER",AND(F1756&gt;=6,G1756&gt;=5,H1756&gt;=5),"POTENTIAL LOYALIST",AND(F1756&gt;=8,G1756&lt;=2,H1756&gt;=5),"NEW CUSTOMERS",AND(F1756&gt;=6,G1756&lt;=2,H1756&gt;=3),"PROMISING",AND(F1756&gt;=3,G1756&gt;=3,H1756&gt;=3),"NEED ATTENTION",AND(F1756&lt;=4,G1756&gt;=6,H1756&gt;=6),"AT RISK",AND(F1756&lt;=2,G1756&gt;=8,H1756&gt;=8),"CAN'T LOSE THEM",AND(F1756&lt;=2,G1756&lt;=2,H1756&lt;=2),"HIBERNATING",TRUE(),"Other")</f>
        <v>POTENTIAL LOYALIST</v>
      </c>
      <c r="K1756" s="1" t="n">
        <f aca="false">RANK(E1756,$E$7:$E$4378)+COUNTIF($E$7:E1756,E1756)-1</f>
        <v>1513</v>
      </c>
    </row>
    <row r="1757" customFormat="false" ht="14.25" hidden="false" customHeight="true" outlineLevel="0" collapsed="false">
      <c r="A1757" s="51" t="n">
        <v>14709</v>
      </c>
      <c r="B1757" s="53" t="n">
        <v>40871.6534722222</v>
      </c>
      <c r="C1757" s="57" t="n">
        <f aca="false">INT($C$2)-INT(Table3[[#This Row],[Last Purchase Date]])</f>
        <v>16</v>
      </c>
      <c r="D1757" s="1" t="n">
        <v>14</v>
      </c>
      <c r="E1757" s="1" t="n">
        <v>4911.14000000001</v>
      </c>
      <c r="F1757" s="1" t="n">
        <f aca="false">ROUND((1-_xlfn.PERCENTRANK.INC($C$7:$C$4378,C1757))*9,0)</f>
        <v>7</v>
      </c>
      <c r="G1757" s="1" t="n">
        <f aca="false">ROUND(_xlfn.PERCENTRANK.INC($D$7:$D$4378,D1757)*9,0)</f>
        <v>8</v>
      </c>
      <c r="H1757" s="1" t="n">
        <f aca="false">ROUND(_xlfn.PERCENTRANK.INC($E$7:$E$4378,E1757)*9,0)</f>
        <v>8</v>
      </c>
      <c r="I1757" s="1" t="str">
        <f aca="false">CONCATENATE(F1757,G1757,H1757)</f>
        <v>788</v>
      </c>
      <c r="J1757" s="1" t="str">
        <f aca="false">_xlfn.IFS(AND(F1757&gt;=8,G1757&gt;=8,H1757&gt;=8),"CHAMPION",AND(F1757&gt;=6,G1757&gt;=7,H1757&gt;=6),"LOYAL CUSTOMER",AND(F1757&gt;=6,G1757&gt;=5,H1757&gt;=5),"POTENTIAL LOYALIST",AND(F1757&gt;=8,G1757&lt;=2,H1757&gt;=5),"NEW CUSTOMERS",AND(F1757&gt;=6,G1757&lt;=2,H1757&gt;=3),"PROMISING",AND(F1757&gt;=3,G1757&gt;=3,H1757&gt;=3),"NEED ATTENTION",AND(F1757&lt;=4,G1757&gt;=6,H1757&gt;=6),"AT RISK",AND(F1757&lt;=2,G1757&gt;=8,H1757&gt;=8),"CAN'T LOSE THEM",AND(F1757&lt;=2,G1757&lt;=2,H1757&lt;=2),"HIBERNATING",TRUE(),"Other")</f>
        <v>LOYAL CUSTOMER</v>
      </c>
      <c r="K1757" s="1" t="n">
        <f aca="false">RANK(E1757,$E$7:$E$4378)+COUNTIF($E$7:E1757,E1757)-1</f>
        <v>269</v>
      </c>
    </row>
    <row r="1758" customFormat="false" ht="14.25" hidden="false" customHeight="true" outlineLevel="0" collapsed="false">
      <c r="A1758" s="51" t="n">
        <v>14710</v>
      </c>
      <c r="B1758" s="53" t="n">
        <v>40872.6201388889</v>
      </c>
      <c r="C1758" s="57" t="n">
        <f aca="false">INT($C$2)-INT(Table3[[#This Row],[Last Purchase Date]])</f>
        <v>15</v>
      </c>
      <c r="D1758" s="1" t="n">
        <v>4</v>
      </c>
      <c r="E1758" s="1" t="n">
        <v>606.13</v>
      </c>
      <c r="F1758" s="1" t="n">
        <f aca="false">ROUND((1-_xlfn.PERCENTRANK.INC($C$7:$C$4378,C1758))*9,0)</f>
        <v>7</v>
      </c>
      <c r="G1758" s="1" t="n">
        <f aca="false">ROUND(_xlfn.PERCENTRANK.INC($D$7:$D$4378,D1758)*9,0)</f>
        <v>5</v>
      </c>
      <c r="H1758" s="1" t="n">
        <f aca="false">ROUND(_xlfn.PERCENTRANK.INC($E$7:$E$4378,E1758)*9,0)</f>
        <v>4</v>
      </c>
      <c r="I1758" s="1" t="str">
        <f aca="false">CONCATENATE(F1758,G1758,H1758)</f>
        <v>754</v>
      </c>
      <c r="J1758" s="1" t="str">
        <f aca="false">_xlfn.IFS(AND(F1758&gt;=8,G1758&gt;=8,H1758&gt;=8),"CHAMPION",AND(F1758&gt;=6,G1758&gt;=7,H1758&gt;=6),"LOYAL CUSTOMER",AND(F1758&gt;=6,G1758&gt;=5,H1758&gt;=5),"POTENTIAL LOYALIST",AND(F1758&gt;=8,G1758&lt;=2,H1758&gt;=5),"NEW CUSTOMERS",AND(F1758&gt;=6,G1758&lt;=2,H1758&gt;=3),"PROMISING",AND(F1758&gt;=3,G1758&gt;=3,H1758&gt;=3),"NEED ATTENTION",AND(F1758&lt;=4,G1758&gt;=6,H1758&gt;=6),"AT RISK",AND(F1758&lt;=2,G1758&gt;=8,H1758&gt;=8),"CAN'T LOSE THEM",AND(F1758&lt;=2,G1758&lt;=2,H1758&lt;=2),"HIBERNATING",TRUE(),"Other")</f>
        <v>NEED ATTENTION</v>
      </c>
      <c r="K1758" s="1" t="n">
        <f aca="false">RANK(E1758,$E$7:$E$4378)+COUNTIF($E$7:E1758,E1758)-1</f>
        <v>2292</v>
      </c>
    </row>
    <row r="1759" customFormat="false" ht="14.25" hidden="false" customHeight="true" outlineLevel="0" collapsed="false">
      <c r="A1759" s="51" t="n">
        <v>14711</v>
      </c>
      <c r="B1759" s="53" t="n">
        <v>40876.6236111111</v>
      </c>
      <c r="C1759" s="57" t="n">
        <f aca="false">INT($C$2)-INT(Table3[[#This Row],[Last Purchase Date]])</f>
        <v>11</v>
      </c>
      <c r="D1759" s="1" t="n">
        <v>12</v>
      </c>
      <c r="E1759" s="1" t="n">
        <v>2838.2</v>
      </c>
      <c r="F1759" s="1" t="n">
        <f aca="false">ROUND((1-_xlfn.PERCENTRANK.INC($C$7:$C$4378,C1759))*9,0)</f>
        <v>7</v>
      </c>
      <c r="G1759" s="1" t="n">
        <f aca="false">ROUND(_xlfn.PERCENTRANK.INC($D$7:$D$4378,D1759)*9,0)</f>
        <v>8</v>
      </c>
      <c r="H1759" s="1" t="n">
        <f aca="false">ROUND(_xlfn.PERCENTRANK.INC($E$7:$E$4378,E1759)*9,0)</f>
        <v>8</v>
      </c>
      <c r="I1759" s="1" t="str">
        <f aca="false">CONCATENATE(F1759,G1759,H1759)</f>
        <v>788</v>
      </c>
      <c r="J1759" s="1" t="str">
        <f aca="false">_xlfn.IFS(AND(F1759&gt;=8,G1759&gt;=8,H1759&gt;=8),"CHAMPION",AND(F1759&gt;=6,G1759&gt;=7,H1759&gt;=6),"LOYAL CUSTOMER",AND(F1759&gt;=6,G1759&gt;=5,H1759&gt;=5),"POTENTIAL LOYALIST",AND(F1759&gt;=8,G1759&lt;=2,H1759&gt;=5),"NEW CUSTOMERS",AND(F1759&gt;=6,G1759&lt;=2,H1759&gt;=3),"PROMISING",AND(F1759&gt;=3,G1759&gt;=3,H1759&gt;=3),"NEED ATTENTION",AND(F1759&lt;=4,G1759&gt;=6,H1759&gt;=6),"AT RISK",AND(F1759&lt;=2,G1759&gt;=8,H1759&gt;=8),"CAN'T LOSE THEM",AND(F1759&lt;=2,G1759&lt;=2,H1759&lt;=2),"HIBERNATING",TRUE(),"Other")</f>
        <v>LOYAL CUSTOMER</v>
      </c>
      <c r="K1759" s="1" t="n">
        <f aca="false">RANK(E1759,$E$7:$E$4378)+COUNTIF($E$7:E1759,E1759)-1</f>
        <v>577</v>
      </c>
    </row>
    <row r="1760" customFormat="false" ht="14.25" hidden="false" customHeight="true" outlineLevel="0" collapsed="false">
      <c r="A1760" s="51" t="n">
        <v>14712</v>
      </c>
      <c r="B1760" s="53" t="n">
        <v>40857.5409722222</v>
      </c>
      <c r="C1760" s="57" t="n">
        <f aca="false">INT($C$2)-INT(Table3[[#This Row],[Last Purchase Date]])</f>
        <v>30</v>
      </c>
      <c r="D1760" s="1" t="n">
        <v>3</v>
      </c>
      <c r="E1760" s="1" t="n">
        <v>917.07</v>
      </c>
      <c r="F1760" s="1" t="n">
        <f aca="false">ROUND((1-_xlfn.PERCENTRANK.INC($C$7:$C$4378,C1760))*9,0)</f>
        <v>6</v>
      </c>
      <c r="G1760" s="1" t="n">
        <f aca="false">ROUND(_xlfn.PERCENTRANK.INC($D$7:$D$4378,D1760)*9,0)</f>
        <v>4</v>
      </c>
      <c r="H1760" s="1" t="n">
        <f aca="false">ROUND(_xlfn.PERCENTRANK.INC($E$7:$E$4378,E1760)*9,0)</f>
        <v>5</v>
      </c>
      <c r="I1760" s="1" t="str">
        <f aca="false">CONCATENATE(F1760,G1760,H1760)</f>
        <v>645</v>
      </c>
      <c r="J1760" s="1" t="str">
        <f aca="false">_xlfn.IFS(AND(F1760&gt;=8,G1760&gt;=8,H1760&gt;=8),"CHAMPION",AND(F1760&gt;=6,G1760&gt;=7,H1760&gt;=6),"LOYAL CUSTOMER",AND(F1760&gt;=6,G1760&gt;=5,H1760&gt;=5),"POTENTIAL LOYALIST",AND(F1760&gt;=8,G1760&lt;=2,H1760&gt;=5),"NEW CUSTOMERS",AND(F1760&gt;=6,G1760&lt;=2,H1760&gt;=3),"PROMISING",AND(F1760&gt;=3,G1760&gt;=3,H1760&gt;=3),"NEED ATTENTION",AND(F1760&lt;=4,G1760&gt;=6,H1760&gt;=6),"AT RISK",AND(F1760&lt;=2,G1760&gt;=8,H1760&gt;=8),"CAN'T LOSE THEM",AND(F1760&lt;=2,G1760&lt;=2,H1760&lt;=2),"HIBERNATING",TRUE(),"Other")</f>
        <v>NEED ATTENTION</v>
      </c>
      <c r="K1760" s="1" t="n">
        <f aca="false">RANK(E1760,$E$7:$E$4378)+COUNTIF($E$7:E1760,E1760)-1</f>
        <v>1732</v>
      </c>
    </row>
    <row r="1761" customFormat="false" ht="14.25" hidden="false" customHeight="true" outlineLevel="0" collapsed="false">
      <c r="A1761" s="51" t="n">
        <v>14713</v>
      </c>
      <c r="B1761" s="53" t="n">
        <v>40877.6847222222</v>
      </c>
      <c r="C1761" s="57" t="n">
        <f aca="false">INT($C$2)-INT(Table3[[#This Row],[Last Purchase Date]])</f>
        <v>10</v>
      </c>
      <c r="D1761" s="1" t="n">
        <v>12</v>
      </c>
      <c r="E1761" s="1" t="n">
        <v>2664.26</v>
      </c>
      <c r="F1761" s="1" t="n">
        <f aca="false">ROUND((1-_xlfn.PERCENTRANK.INC($C$7:$C$4378,C1761))*9,0)</f>
        <v>8</v>
      </c>
      <c r="G1761" s="1" t="n">
        <f aca="false">ROUND(_xlfn.PERCENTRANK.INC($D$7:$D$4378,D1761)*9,0)</f>
        <v>8</v>
      </c>
      <c r="H1761" s="1" t="n">
        <f aca="false">ROUND(_xlfn.PERCENTRANK.INC($E$7:$E$4378,E1761)*9,0)</f>
        <v>8</v>
      </c>
      <c r="I1761" s="1" t="str">
        <f aca="false">CONCATENATE(F1761,G1761,H1761)</f>
        <v>888</v>
      </c>
      <c r="J1761" s="1" t="str">
        <f aca="false">_xlfn.IFS(AND(F1761&gt;=8,G1761&gt;=8,H1761&gt;=8),"CHAMPION",AND(F1761&gt;=6,G1761&gt;=7,H1761&gt;=6),"LOYAL CUSTOMER",AND(F1761&gt;=6,G1761&gt;=5,H1761&gt;=5),"POTENTIAL LOYALIST",AND(F1761&gt;=8,G1761&lt;=2,H1761&gt;=5),"NEW CUSTOMERS",AND(F1761&gt;=6,G1761&lt;=2,H1761&gt;=3),"PROMISING",AND(F1761&gt;=3,G1761&gt;=3,H1761&gt;=3),"NEED ATTENTION",AND(F1761&lt;=4,G1761&gt;=6,H1761&gt;=6),"AT RISK",AND(F1761&lt;=2,G1761&gt;=8,H1761&gt;=8),"CAN'T LOSE THEM",AND(F1761&lt;=2,G1761&lt;=2,H1761&lt;=2),"HIBERNATING",TRUE(),"Other")</f>
        <v>CHAMPION</v>
      </c>
      <c r="K1761" s="1" t="n">
        <f aca="false">RANK(E1761,$E$7:$E$4378)+COUNTIF($E$7:E1761,E1761)-1</f>
        <v>621</v>
      </c>
    </row>
    <row r="1762" customFormat="false" ht="14.25" hidden="false" customHeight="true" outlineLevel="0" collapsed="false">
      <c r="A1762" s="51" t="n">
        <v>14714</v>
      </c>
      <c r="B1762" s="53" t="n">
        <v>40862.5465277778</v>
      </c>
      <c r="C1762" s="57" t="n">
        <f aca="false">INT($C$2)-INT(Table3[[#This Row],[Last Purchase Date]])</f>
        <v>25</v>
      </c>
      <c r="D1762" s="1" t="n">
        <v>1</v>
      </c>
      <c r="E1762" s="1" t="n">
        <v>160.19</v>
      </c>
      <c r="F1762" s="1" t="n">
        <f aca="false">ROUND((1-_xlfn.PERCENTRANK.INC($C$7:$C$4378,C1762))*9,0)</f>
        <v>6</v>
      </c>
      <c r="G1762" s="1" t="n">
        <f aca="false">ROUND(_xlfn.PERCENTRANK.INC($D$7:$D$4378,D1762)*9,0)</f>
        <v>0</v>
      </c>
      <c r="H1762" s="1" t="n">
        <f aca="false">ROUND(_xlfn.PERCENTRANK.INC($E$7:$E$4378,E1762)*9,0)</f>
        <v>1</v>
      </c>
      <c r="I1762" s="1" t="str">
        <f aca="false">CONCATENATE(F1762,G1762,H1762)</f>
        <v>601</v>
      </c>
      <c r="J1762" s="1" t="str">
        <f aca="false">_xlfn.IFS(AND(F1762&gt;=8,G1762&gt;=8,H1762&gt;=8),"CHAMPION",AND(F1762&gt;=6,G1762&gt;=7,H1762&gt;=6),"LOYAL CUSTOMER",AND(F1762&gt;=6,G1762&gt;=5,H1762&gt;=5),"POTENTIAL LOYALIST",AND(F1762&gt;=8,G1762&lt;=2,H1762&gt;=5),"NEW CUSTOMERS",AND(F1762&gt;=6,G1762&lt;=2,H1762&gt;=3),"PROMISING",AND(F1762&gt;=3,G1762&gt;=3,H1762&gt;=3),"NEED ATTENTION",AND(F1762&lt;=4,G1762&gt;=6,H1762&gt;=6),"AT RISK",AND(F1762&lt;=2,G1762&gt;=8,H1762&gt;=8),"CAN'T LOSE THEM",AND(F1762&lt;=2,G1762&lt;=2,H1762&lt;=2),"HIBERNATING",TRUE(),"Other")</f>
        <v>Other</v>
      </c>
      <c r="K1762" s="1" t="n">
        <f aca="false">RANK(E1762,$E$7:$E$4378)+COUNTIF($E$7:E1762,E1762)-1</f>
        <v>3861</v>
      </c>
    </row>
    <row r="1763" customFormat="false" ht="14.25" hidden="false" customHeight="true" outlineLevel="0" collapsed="false">
      <c r="A1763" s="51" t="n">
        <v>14715</v>
      </c>
      <c r="B1763" s="53" t="n">
        <v>40862.5069444445</v>
      </c>
      <c r="C1763" s="57" t="n">
        <f aca="false">INT($C$2)-INT(Table3[[#This Row],[Last Purchase Date]])</f>
        <v>25</v>
      </c>
      <c r="D1763" s="1" t="n">
        <v>4</v>
      </c>
      <c r="E1763" s="1" t="n">
        <v>867.38</v>
      </c>
      <c r="F1763" s="1" t="n">
        <f aca="false">ROUND((1-_xlfn.PERCENTRANK.INC($C$7:$C$4378,C1763))*9,0)</f>
        <v>6</v>
      </c>
      <c r="G1763" s="1" t="n">
        <f aca="false">ROUND(_xlfn.PERCENTRANK.INC($D$7:$D$4378,D1763)*9,0)</f>
        <v>5</v>
      </c>
      <c r="H1763" s="1" t="n">
        <f aca="false">ROUND(_xlfn.PERCENTRANK.INC($E$7:$E$4378,E1763)*9,0)</f>
        <v>5</v>
      </c>
      <c r="I1763" s="1" t="str">
        <f aca="false">CONCATENATE(F1763,G1763,H1763)</f>
        <v>655</v>
      </c>
      <c r="J1763" s="1" t="str">
        <f aca="false">_xlfn.IFS(AND(F1763&gt;=8,G1763&gt;=8,H1763&gt;=8),"CHAMPION",AND(F1763&gt;=6,G1763&gt;=7,H1763&gt;=6),"LOYAL CUSTOMER",AND(F1763&gt;=6,G1763&gt;=5,H1763&gt;=5),"POTENTIAL LOYALIST",AND(F1763&gt;=8,G1763&lt;=2,H1763&gt;=5),"NEW CUSTOMERS",AND(F1763&gt;=6,G1763&lt;=2,H1763&gt;=3),"PROMISING",AND(F1763&gt;=3,G1763&gt;=3,H1763&gt;=3),"NEED ATTENTION",AND(F1763&lt;=4,G1763&gt;=6,H1763&gt;=6),"AT RISK",AND(F1763&lt;=2,G1763&gt;=8,H1763&gt;=8),"CAN'T LOSE THEM",AND(F1763&lt;=2,G1763&lt;=2,H1763&lt;=2),"HIBERNATING",TRUE(),"Other")</f>
        <v>POTENTIAL LOYALIST</v>
      </c>
      <c r="K1763" s="1" t="n">
        <f aca="false">RANK(E1763,$E$7:$E$4378)+COUNTIF($E$7:E1763,E1763)-1</f>
        <v>1807</v>
      </c>
    </row>
    <row r="1764" customFormat="false" ht="14.25" hidden="false" customHeight="true" outlineLevel="0" collapsed="false">
      <c r="A1764" s="51" t="n">
        <v>14716</v>
      </c>
      <c r="B1764" s="53" t="n">
        <v>40843.7284722222</v>
      </c>
      <c r="C1764" s="57" t="n">
        <f aca="false">INT($C$2)-INT(Table3[[#This Row],[Last Purchase Date]])</f>
        <v>44</v>
      </c>
      <c r="D1764" s="1" t="n">
        <v>2</v>
      </c>
      <c r="E1764" s="1" t="n">
        <v>329.68</v>
      </c>
      <c r="F1764" s="1" t="n">
        <f aca="false">ROUND((1-_xlfn.PERCENTRANK.INC($C$7:$C$4378,C1764))*9,0)</f>
        <v>5</v>
      </c>
      <c r="G1764" s="1" t="n">
        <f aca="false">ROUND(_xlfn.PERCENTRANK.INC($D$7:$D$4378,D1764)*9,0)</f>
        <v>3</v>
      </c>
      <c r="H1764" s="1" t="n">
        <f aca="false">ROUND(_xlfn.PERCENTRANK.INC($E$7:$E$4378,E1764)*9,0)</f>
        <v>3</v>
      </c>
      <c r="I1764" s="1" t="str">
        <f aca="false">CONCATENATE(F1764,G1764,H1764)</f>
        <v>533</v>
      </c>
      <c r="J1764" s="1" t="str">
        <f aca="false">_xlfn.IFS(AND(F1764&gt;=8,G1764&gt;=8,H1764&gt;=8),"CHAMPION",AND(F1764&gt;=6,G1764&gt;=7,H1764&gt;=6),"LOYAL CUSTOMER",AND(F1764&gt;=6,G1764&gt;=5,H1764&gt;=5),"POTENTIAL LOYALIST",AND(F1764&gt;=8,G1764&lt;=2,H1764&gt;=5),"NEW CUSTOMERS",AND(F1764&gt;=6,G1764&lt;=2,H1764&gt;=3),"PROMISING",AND(F1764&gt;=3,G1764&gt;=3,H1764&gt;=3),"NEED ATTENTION",AND(F1764&lt;=4,G1764&gt;=6,H1764&gt;=6),"AT RISK",AND(F1764&lt;=2,G1764&gt;=8,H1764&gt;=8),"CAN'T LOSE THEM",AND(F1764&lt;=2,G1764&lt;=2,H1764&lt;=2),"HIBERNATING",TRUE(),"Other")</f>
        <v>NEED ATTENTION</v>
      </c>
      <c r="K1764" s="1" t="n">
        <f aca="false">RANK(E1764,$E$7:$E$4378)+COUNTIF($E$7:E1764,E1764)-1</f>
        <v>3097</v>
      </c>
    </row>
    <row r="1765" customFormat="false" ht="14.25" hidden="false" customHeight="true" outlineLevel="0" collapsed="false">
      <c r="A1765" s="51" t="n">
        <v>14719</v>
      </c>
      <c r="B1765" s="53" t="n">
        <v>40885.5298611111</v>
      </c>
      <c r="C1765" s="57" t="n">
        <f aca="false">INT($C$2)-INT(Table3[[#This Row],[Last Purchase Date]])</f>
        <v>2</v>
      </c>
      <c r="D1765" s="1" t="n">
        <v>6</v>
      </c>
      <c r="E1765" s="1" t="n">
        <v>1592.18</v>
      </c>
      <c r="F1765" s="1" t="n">
        <f aca="false">ROUND((1-_xlfn.PERCENTRANK.INC($C$7:$C$4378,C1765))*9,0)</f>
        <v>9</v>
      </c>
      <c r="G1765" s="1" t="n">
        <f aca="false">ROUND(_xlfn.PERCENTRANK.INC($D$7:$D$4378,D1765)*9,0)</f>
        <v>7</v>
      </c>
      <c r="H1765" s="1" t="n">
        <f aca="false">ROUND(_xlfn.PERCENTRANK.INC($E$7:$E$4378,E1765)*9,0)</f>
        <v>7</v>
      </c>
      <c r="I1765" s="1" t="str">
        <f aca="false">CONCATENATE(F1765,G1765,H1765)</f>
        <v>977</v>
      </c>
      <c r="J1765" s="1" t="str">
        <f aca="false">_xlfn.IFS(AND(F1765&gt;=8,G1765&gt;=8,H1765&gt;=8),"CHAMPION",AND(F1765&gt;=6,G1765&gt;=7,H1765&gt;=6),"LOYAL CUSTOMER",AND(F1765&gt;=6,G1765&gt;=5,H1765&gt;=5),"POTENTIAL LOYALIST",AND(F1765&gt;=8,G1765&lt;=2,H1765&gt;=5),"NEW CUSTOMERS",AND(F1765&gt;=6,G1765&lt;=2,H1765&gt;=3),"PROMISING",AND(F1765&gt;=3,G1765&gt;=3,H1765&gt;=3),"NEED ATTENTION",AND(F1765&lt;=4,G1765&gt;=6,H1765&gt;=6),"AT RISK",AND(F1765&lt;=2,G1765&gt;=8,H1765&gt;=8),"CAN'T LOSE THEM",AND(F1765&lt;=2,G1765&lt;=2,H1765&lt;=2),"HIBERNATING",TRUE(),"Other")</f>
        <v>LOYAL CUSTOMER</v>
      </c>
      <c r="K1765" s="1" t="n">
        <f aca="false">RANK(E1765,$E$7:$E$4378)+COUNTIF($E$7:E1765,E1765)-1</f>
        <v>1106</v>
      </c>
    </row>
    <row r="1766" customFormat="false" ht="14.25" hidden="false" customHeight="true" outlineLevel="0" collapsed="false">
      <c r="A1766" s="51" t="n">
        <v>14720</v>
      </c>
      <c r="B1766" s="53" t="n">
        <v>40881.5013888889</v>
      </c>
      <c r="C1766" s="57" t="n">
        <f aca="false">INT($C$2)-INT(Table3[[#This Row],[Last Purchase Date]])</f>
        <v>6</v>
      </c>
      <c r="D1766" s="1" t="n">
        <v>3</v>
      </c>
      <c r="E1766" s="1" t="n">
        <v>663.81</v>
      </c>
      <c r="F1766" s="1" t="n">
        <f aca="false">ROUND((1-_xlfn.PERCENTRANK.INC($C$7:$C$4378,C1766))*9,0)</f>
        <v>8</v>
      </c>
      <c r="G1766" s="1" t="n">
        <f aca="false">ROUND(_xlfn.PERCENTRANK.INC($D$7:$D$4378,D1766)*9,0)</f>
        <v>4</v>
      </c>
      <c r="H1766" s="1" t="n">
        <f aca="false">ROUND(_xlfn.PERCENTRANK.INC($E$7:$E$4378,E1766)*9,0)</f>
        <v>5</v>
      </c>
      <c r="I1766" s="1" t="str">
        <f aca="false">CONCATENATE(F1766,G1766,H1766)</f>
        <v>845</v>
      </c>
      <c r="J1766" s="1" t="str">
        <f aca="false">_xlfn.IFS(AND(F1766&gt;=8,G1766&gt;=8,H1766&gt;=8),"CHAMPION",AND(F1766&gt;=6,G1766&gt;=7,H1766&gt;=6),"LOYAL CUSTOMER",AND(F1766&gt;=6,G1766&gt;=5,H1766&gt;=5),"POTENTIAL LOYALIST",AND(F1766&gt;=8,G1766&lt;=2,H1766&gt;=5),"NEW CUSTOMERS",AND(F1766&gt;=6,G1766&lt;=2,H1766&gt;=3),"PROMISING",AND(F1766&gt;=3,G1766&gt;=3,H1766&gt;=3),"NEED ATTENTION",AND(F1766&lt;=4,G1766&gt;=6,H1766&gt;=6),"AT RISK",AND(F1766&lt;=2,G1766&gt;=8,H1766&gt;=8),"CAN'T LOSE THEM",AND(F1766&lt;=2,G1766&lt;=2,H1766&lt;=2),"HIBERNATING",TRUE(),"Other")</f>
        <v>NEED ATTENTION</v>
      </c>
      <c r="K1766" s="1" t="n">
        <f aca="false">RANK(E1766,$E$7:$E$4378)+COUNTIF($E$7:E1766,E1766)-1</f>
        <v>2146</v>
      </c>
    </row>
    <row r="1767" customFormat="false" ht="14.25" hidden="false" customHeight="true" outlineLevel="0" collapsed="false">
      <c r="A1767" s="51" t="n">
        <v>14722</v>
      </c>
      <c r="B1767" s="53" t="n">
        <v>40739.6236111111</v>
      </c>
      <c r="C1767" s="57" t="n">
        <f aca="false">INT($C$2)-INT(Table3[[#This Row],[Last Purchase Date]])</f>
        <v>148</v>
      </c>
      <c r="D1767" s="1" t="n">
        <v>1</v>
      </c>
      <c r="E1767" s="1" t="n">
        <v>187.92</v>
      </c>
      <c r="F1767" s="1" t="n">
        <f aca="false">ROUND((1-_xlfn.PERCENTRANK.INC($C$7:$C$4378,C1767))*9,0)</f>
        <v>2</v>
      </c>
      <c r="G1767" s="1" t="n">
        <f aca="false">ROUND(_xlfn.PERCENTRANK.INC($D$7:$D$4378,D1767)*9,0)</f>
        <v>0</v>
      </c>
      <c r="H1767" s="1" t="n">
        <f aca="false">ROUND(_xlfn.PERCENTRANK.INC($E$7:$E$4378,E1767)*9,0)</f>
        <v>1</v>
      </c>
      <c r="I1767" s="1" t="str">
        <f aca="false">CONCATENATE(F1767,G1767,H1767)</f>
        <v>201</v>
      </c>
      <c r="J1767" s="1" t="str">
        <f aca="false">_xlfn.IFS(AND(F1767&gt;=8,G1767&gt;=8,H1767&gt;=8),"CHAMPION",AND(F1767&gt;=6,G1767&gt;=7,H1767&gt;=6),"LOYAL CUSTOMER",AND(F1767&gt;=6,G1767&gt;=5,H1767&gt;=5),"POTENTIAL LOYALIST",AND(F1767&gt;=8,G1767&lt;=2,H1767&gt;=5),"NEW CUSTOMERS",AND(F1767&gt;=6,G1767&lt;=2,H1767&gt;=3),"PROMISING",AND(F1767&gt;=3,G1767&gt;=3,H1767&gt;=3),"NEED ATTENTION",AND(F1767&lt;=4,G1767&gt;=6,H1767&gt;=6),"AT RISK",AND(F1767&lt;=2,G1767&gt;=8,H1767&gt;=8),"CAN'T LOSE THEM",AND(F1767&lt;=2,G1767&lt;=2,H1767&lt;=2),"HIBERNATING",TRUE(),"Other")</f>
        <v>HIBERNATING</v>
      </c>
      <c r="K1767" s="1" t="n">
        <f aca="false">RANK(E1767,$E$7:$E$4378)+COUNTIF($E$7:E1767,E1767)-1</f>
        <v>3717</v>
      </c>
    </row>
    <row r="1768" customFormat="false" ht="14.25" hidden="false" customHeight="true" outlineLevel="0" collapsed="false">
      <c r="A1768" s="51" t="n">
        <v>14723</v>
      </c>
      <c r="B1768" s="53" t="n">
        <v>40876.6409722222</v>
      </c>
      <c r="C1768" s="57" t="n">
        <f aca="false">INT($C$2)-INT(Table3[[#This Row],[Last Purchase Date]])</f>
        <v>11</v>
      </c>
      <c r="D1768" s="1" t="n">
        <v>6</v>
      </c>
      <c r="E1768" s="1" t="n">
        <v>1158.3</v>
      </c>
      <c r="F1768" s="1" t="n">
        <f aca="false">ROUND((1-_xlfn.PERCENTRANK.INC($C$7:$C$4378,C1768))*9,0)</f>
        <v>7</v>
      </c>
      <c r="G1768" s="1" t="n">
        <f aca="false">ROUND(_xlfn.PERCENTRANK.INC($D$7:$D$4378,D1768)*9,0)</f>
        <v>7</v>
      </c>
      <c r="H1768" s="1" t="n">
        <f aca="false">ROUND(_xlfn.PERCENTRANK.INC($E$7:$E$4378,E1768)*9,0)</f>
        <v>6</v>
      </c>
      <c r="I1768" s="1" t="str">
        <f aca="false">CONCATENATE(F1768,G1768,H1768)</f>
        <v>776</v>
      </c>
      <c r="J1768" s="1" t="str">
        <f aca="false">_xlfn.IFS(AND(F1768&gt;=8,G1768&gt;=8,H1768&gt;=8),"CHAMPION",AND(F1768&gt;=6,G1768&gt;=7,H1768&gt;=6),"LOYAL CUSTOMER",AND(F1768&gt;=6,G1768&gt;=5,H1768&gt;=5),"POTENTIAL LOYALIST",AND(F1768&gt;=8,G1768&lt;=2,H1768&gt;=5),"NEW CUSTOMERS",AND(F1768&gt;=6,G1768&lt;=2,H1768&gt;=3),"PROMISING",AND(F1768&gt;=3,G1768&gt;=3,H1768&gt;=3),"NEED ATTENTION",AND(F1768&lt;=4,G1768&gt;=6,H1768&gt;=6),"AT RISK",AND(F1768&lt;=2,G1768&gt;=8,H1768&gt;=8),"CAN'T LOSE THEM",AND(F1768&lt;=2,G1768&lt;=2,H1768&lt;=2),"HIBERNATING",TRUE(),"Other")</f>
        <v>LOYAL CUSTOMER</v>
      </c>
      <c r="K1768" s="1" t="n">
        <f aca="false">RANK(E1768,$E$7:$E$4378)+COUNTIF($E$7:E1768,E1768)-1</f>
        <v>1442</v>
      </c>
    </row>
    <row r="1769" customFormat="false" ht="14.25" hidden="false" customHeight="true" outlineLevel="0" collapsed="false">
      <c r="A1769" s="51" t="n">
        <v>14725</v>
      </c>
      <c r="B1769" s="53" t="n">
        <v>40862.5291666667</v>
      </c>
      <c r="C1769" s="57" t="n">
        <f aca="false">INT($C$2)-INT(Table3[[#This Row],[Last Purchase Date]])</f>
        <v>25</v>
      </c>
      <c r="D1769" s="1" t="n">
        <v>1</v>
      </c>
      <c r="E1769" s="1" t="n">
        <v>718.08</v>
      </c>
      <c r="F1769" s="1" t="n">
        <f aca="false">ROUND((1-_xlfn.PERCENTRANK.INC($C$7:$C$4378,C1769))*9,0)</f>
        <v>6</v>
      </c>
      <c r="G1769" s="1" t="n">
        <f aca="false">ROUND(_xlfn.PERCENTRANK.INC($D$7:$D$4378,D1769)*9,0)</f>
        <v>0</v>
      </c>
      <c r="H1769" s="1" t="n">
        <f aca="false">ROUND(_xlfn.PERCENTRANK.INC($E$7:$E$4378,E1769)*9,0)</f>
        <v>5</v>
      </c>
      <c r="I1769" s="1" t="str">
        <f aca="false">CONCATENATE(F1769,G1769,H1769)</f>
        <v>605</v>
      </c>
      <c r="J1769" s="1" t="str">
        <f aca="false">_xlfn.IFS(AND(F1769&gt;=8,G1769&gt;=8,H1769&gt;=8),"CHAMPION",AND(F1769&gt;=6,G1769&gt;=7,H1769&gt;=6),"LOYAL CUSTOMER",AND(F1769&gt;=6,G1769&gt;=5,H1769&gt;=5),"POTENTIAL LOYALIST",AND(F1769&gt;=8,G1769&lt;=2,H1769&gt;=5),"NEW CUSTOMERS",AND(F1769&gt;=6,G1769&lt;=2,H1769&gt;=3),"PROMISING",AND(F1769&gt;=3,G1769&gt;=3,H1769&gt;=3),"NEED ATTENTION",AND(F1769&lt;=4,G1769&gt;=6,H1769&gt;=6),"AT RISK",AND(F1769&lt;=2,G1769&gt;=8,H1769&gt;=8),"CAN'T LOSE THEM",AND(F1769&lt;=2,G1769&lt;=2,H1769&lt;=2),"HIBERNATING",TRUE(),"Other")</f>
        <v>PROMISING</v>
      </c>
      <c r="K1769" s="1" t="n">
        <f aca="false">RANK(E1769,$E$7:$E$4378)+COUNTIF($E$7:E1769,E1769)-1</f>
        <v>2030</v>
      </c>
    </row>
    <row r="1770" customFormat="false" ht="14.25" hidden="false" customHeight="true" outlineLevel="0" collapsed="false">
      <c r="A1770" s="51" t="n">
        <v>14727</v>
      </c>
      <c r="B1770" s="53" t="n">
        <v>40612.6145833333</v>
      </c>
      <c r="C1770" s="57" t="n">
        <f aca="false">INT($C$2)-INT(Table3[[#This Row],[Last Purchase Date]])</f>
        <v>275</v>
      </c>
      <c r="D1770" s="1" t="n">
        <v>1</v>
      </c>
      <c r="E1770" s="1" t="n">
        <v>268.58</v>
      </c>
      <c r="F1770" s="1" t="n">
        <f aca="false">ROUND((1-_xlfn.PERCENTRANK.INC($C$7:$C$4378,C1770))*9,0)</f>
        <v>1</v>
      </c>
      <c r="G1770" s="1" t="n">
        <f aca="false">ROUND(_xlfn.PERCENTRANK.INC($D$7:$D$4378,D1770)*9,0)</f>
        <v>0</v>
      </c>
      <c r="H1770" s="1" t="n">
        <f aca="false">ROUND(_xlfn.PERCENTRANK.INC($E$7:$E$4378,E1770)*9,0)</f>
        <v>2</v>
      </c>
      <c r="I1770" s="1" t="str">
        <f aca="false">CONCATENATE(F1770,G1770,H1770)</f>
        <v>102</v>
      </c>
      <c r="J1770" s="1" t="str">
        <f aca="false">_xlfn.IFS(AND(F1770&gt;=8,G1770&gt;=8,H1770&gt;=8),"CHAMPION",AND(F1770&gt;=6,G1770&gt;=7,H1770&gt;=6),"LOYAL CUSTOMER",AND(F1770&gt;=6,G1770&gt;=5,H1770&gt;=5),"POTENTIAL LOYALIST",AND(F1770&gt;=8,G1770&lt;=2,H1770&gt;=5),"NEW CUSTOMERS",AND(F1770&gt;=6,G1770&lt;=2,H1770&gt;=3),"PROMISING",AND(F1770&gt;=3,G1770&gt;=3,H1770&gt;=3),"NEED ATTENTION",AND(F1770&lt;=4,G1770&gt;=6,H1770&gt;=6),"AT RISK",AND(F1770&lt;=2,G1770&gt;=8,H1770&gt;=8),"CAN'T LOSE THEM",AND(F1770&lt;=2,G1770&lt;=2,H1770&lt;=2),"HIBERNATING",TRUE(),"Other")</f>
        <v>HIBERNATING</v>
      </c>
      <c r="K1770" s="1" t="n">
        <f aca="false">RANK(E1770,$E$7:$E$4378)+COUNTIF($E$7:E1770,E1770)-1</f>
        <v>3367</v>
      </c>
    </row>
    <row r="1771" customFormat="false" ht="14.25" hidden="false" customHeight="true" outlineLevel="0" collapsed="false">
      <c r="A1771" s="51" t="n">
        <v>14729</v>
      </c>
      <c r="B1771" s="53" t="n">
        <v>40513.5298611111</v>
      </c>
      <c r="C1771" s="57" t="n">
        <f aca="false">INT($C$2)-INT(Table3[[#This Row],[Last Purchase Date]])</f>
        <v>374</v>
      </c>
      <c r="D1771" s="1" t="n">
        <v>1</v>
      </c>
      <c r="E1771" s="1" t="n">
        <v>313.49</v>
      </c>
      <c r="F1771" s="1" t="n">
        <f aca="false">ROUND((1-_xlfn.PERCENTRANK.INC($C$7:$C$4378,C1771))*9,0)</f>
        <v>0</v>
      </c>
      <c r="G1771" s="1" t="n">
        <f aca="false">ROUND(_xlfn.PERCENTRANK.INC($D$7:$D$4378,D1771)*9,0)</f>
        <v>0</v>
      </c>
      <c r="H1771" s="1" t="n">
        <f aca="false">ROUND(_xlfn.PERCENTRANK.INC($E$7:$E$4378,E1771)*9,0)</f>
        <v>2</v>
      </c>
      <c r="I1771" s="1" t="str">
        <f aca="false">CONCATENATE(F1771,G1771,H1771)</f>
        <v>002</v>
      </c>
      <c r="J1771" s="1" t="str">
        <f aca="false">_xlfn.IFS(AND(F1771&gt;=8,G1771&gt;=8,H1771&gt;=8),"CHAMPION",AND(F1771&gt;=6,G1771&gt;=7,H1771&gt;=6),"LOYAL CUSTOMER",AND(F1771&gt;=6,G1771&gt;=5,H1771&gt;=5),"POTENTIAL LOYALIST",AND(F1771&gt;=8,G1771&lt;=2,H1771&gt;=5),"NEW CUSTOMERS",AND(F1771&gt;=6,G1771&lt;=2,H1771&gt;=3),"PROMISING",AND(F1771&gt;=3,G1771&gt;=3,H1771&gt;=3),"NEED ATTENTION",AND(F1771&lt;=4,G1771&gt;=6,H1771&gt;=6),"AT RISK",AND(F1771&lt;=2,G1771&gt;=8,H1771&gt;=8),"CAN'T LOSE THEM",AND(F1771&lt;=2,G1771&lt;=2,H1771&lt;=2),"HIBERNATING",TRUE(),"Other")</f>
        <v>HIBERNATING</v>
      </c>
      <c r="K1771" s="1" t="n">
        <f aca="false">RANK(E1771,$E$7:$E$4378)+COUNTIF($E$7:E1771,E1771)-1</f>
        <v>3173</v>
      </c>
    </row>
    <row r="1772" customFormat="false" ht="14.25" hidden="false" customHeight="true" outlineLevel="0" collapsed="false">
      <c r="A1772" s="51" t="n">
        <v>14730</v>
      </c>
      <c r="B1772" s="53" t="n">
        <v>40885.6104166667</v>
      </c>
      <c r="C1772" s="57" t="n">
        <f aca="false">INT($C$2)-INT(Table3[[#This Row],[Last Purchase Date]])</f>
        <v>2</v>
      </c>
      <c r="D1772" s="1" t="n">
        <v>8</v>
      </c>
      <c r="E1772" s="1" t="n">
        <v>2005.06</v>
      </c>
      <c r="F1772" s="1" t="n">
        <f aca="false">ROUND((1-_xlfn.PERCENTRANK.INC($C$7:$C$4378,C1772))*9,0)</f>
        <v>9</v>
      </c>
      <c r="G1772" s="1" t="n">
        <f aca="false">ROUND(_xlfn.PERCENTRANK.INC($D$7:$D$4378,D1772)*9,0)</f>
        <v>7</v>
      </c>
      <c r="H1772" s="1" t="n">
        <f aca="false">ROUND(_xlfn.PERCENTRANK.INC($E$7:$E$4378,E1772)*9,0)</f>
        <v>7</v>
      </c>
      <c r="I1772" s="1" t="str">
        <f aca="false">CONCATENATE(F1772,G1772,H1772)</f>
        <v>977</v>
      </c>
      <c r="J1772" s="1" t="str">
        <f aca="false">_xlfn.IFS(AND(F1772&gt;=8,G1772&gt;=8,H1772&gt;=8),"CHAMPION",AND(F1772&gt;=6,G1772&gt;=7,H1772&gt;=6),"LOYAL CUSTOMER",AND(F1772&gt;=6,G1772&gt;=5,H1772&gt;=5),"POTENTIAL LOYALIST",AND(F1772&gt;=8,G1772&lt;=2,H1772&gt;=5),"NEW CUSTOMERS",AND(F1772&gt;=6,G1772&lt;=2,H1772&gt;=3),"PROMISING",AND(F1772&gt;=3,G1772&gt;=3,H1772&gt;=3),"NEED ATTENTION",AND(F1772&lt;=4,G1772&gt;=6,H1772&gt;=6),"AT RISK",AND(F1772&lt;=2,G1772&gt;=8,H1772&gt;=8),"CAN'T LOSE THEM",AND(F1772&lt;=2,G1772&lt;=2,H1772&lt;=2),"HIBERNATING",TRUE(),"Other")</f>
        <v>LOYAL CUSTOMER</v>
      </c>
      <c r="K1772" s="1" t="n">
        <f aca="false">RANK(E1772,$E$7:$E$4378)+COUNTIF($E$7:E1772,E1772)-1</f>
        <v>873</v>
      </c>
    </row>
    <row r="1773" customFormat="false" ht="14.25" hidden="false" customHeight="true" outlineLevel="0" collapsed="false">
      <c r="A1773" s="51" t="n">
        <v>14731</v>
      </c>
      <c r="B1773" s="53" t="n">
        <v>40839.6625</v>
      </c>
      <c r="C1773" s="57" t="n">
        <f aca="false">INT($C$2)-INT(Table3[[#This Row],[Last Purchase Date]])</f>
        <v>48</v>
      </c>
      <c r="D1773" s="1" t="n">
        <v>3</v>
      </c>
      <c r="E1773" s="1" t="n">
        <v>380.02</v>
      </c>
      <c r="F1773" s="1" t="n">
        <f aca="false">ROUND((1-_xlfn.PERCENTRANK.INC($C$7:$C$4378,C1773))*9,0)</f>
        <v>5</v>
      </c>
      <c r="G1773" s="1" t="n">
        <f aca="false">ROUND(_xlfn.PERCENTRANK.INC($D$7:$D$4378,D1773)*9,0)</f>
        <v>4</v>
      </c>
      <c r="H1773" s="1" t="n">
        <f aca="false">ROUND(_xlfn.PERCENTRANK.INC($E$7:$E$4378,E1773)*9,0)</f>
        <v>3</v>
      </c>
      <c r="I1773" s="1" t="str">
        <f aca="false">CONCATENATE(F1773,G1773,H1773)</f>
        <v>543</v>
      </c>
      <c r="J1773" s="1" t="str">
        <f aca="false">_xlfn.IFS(AND(F1773&gt;=8,G1773&gt;=8,H1773&gt;=8),"CHAMPION",AND(F1773&gt;=6,G1773&gt;=7,H1773&gt;=6),"LOYAL CUSTOMER",AND(F1773&gt;=6,G1773&gt;=5,H1773&gt;=5),"POTENTIAL LOYALIST",AND(F1773&gt;=8,G1773&lt;=2,H1773&gt;=5),"NEW CUSTOMERS",AND(F1773&gt;=6,G1773&lt;=2,H1773&gt;=3),"PROMISING",AND(F1773&gt;=3,G1773&gt;=3,H1773&gt;=3),"NEED ATTENTION",AND(F1773&lt;=4,G1773&gt;=6,H1773&gt;=6),"AT RISK",AND(F1773&lt;=2,G1773&gt;=8,H1773&gt;=8),"CAN'T LOSE THEM",AND(F1773&lt;=2,G1773&lt;=2,H1773&lt;=2),"HIBERNATING",TRUE(),"Other")</f>
        <v>NEED ATTENTION</v>
      </c>
      <c r="K1773" s="1" t="n">
        <f aca="false">RANK(E1773,$E$7:$E$4378)+COUNTIF($E$7:E1773,E1773)-1</f>
        <v>2892</v>
      </c>
    </row>
    <row r="1774" customFormat="false" ht="14.25" hidden="false" customHeight="true" outlineLevel="0" collapsed="false">
      <c r="A1774" s="51" t="n">
        <v>14732</v>
      </c>
      <c r="B1774" s="53" t="n">
        <v>40878.6069444444</v>
      </c>
      <c r="C1774" s="57" t="n">
        <f aca="false">INT($C$2)-INT(Table3[[#This Row],[Last Purchase Date]])</f>
        <v>9</v>
      </c>
      <c r="D1774" s="1" t="n">
        <v>10</v>
      </c>
      <c r="E1774" s="1" t="n">
        <v>2686.34</v>
      </c>
      <c r="F1774" s="1" t="n">
        <f aca="false">ROUND((1-_xlfn.PERCENTRANK.INC($C$7:$C$4378,C1774))*9,0)</f>
        <v>8</v>
      </c>
      <c r="G1774" s="1" t="n">
        <f aca="false">ROUND(_xlfn.PERCENTRANK.INC($D$7:$D$4378,D1774)*9,0)</f>
        <v>8</v>
      </c>
      <c r="H1774" s="1" t="n">
        <f aca="false">ROUND(_xlfn.PERCENTRANK.INC($E$7:$E$4378,E1774)*9,0)</f>
        <v>8</v>
      </c>
      <c r="I1774" s="1" t="str">
        <f aca="false">CONCATENATE(F1774,G1774,H1774)</f>
        <v>888</v>
      </c>
      <c r="J1774" s="1" t="str">
        <f aca="false">_xlfn.IFS(AND(F1774&gt;=8,G1774&gt;=8,H1774&gt;=8),"CHAMPION",AND(F1774&gt;=6,G1774&gt;=7,H1774&gt;=6),"LOYAL CUSTOMER",AND(F1774&gt;=6,G1774&gt;=5,H1774&gt;=5),"POTENTIAL LOYALIST",AND(F1774&gt;=8,G1774&lt;=2,H1774&gt;=5),"NEW CUSTOMERS",AND(F1774&gt;=6,G1774&lt;=2,H1774&gt;=3),"PROMISING",AND(F1774&gt;=3,G1774&gt;=3,H1774&gt;=3),"NEED ATTENTION",AND(F1774&lt;=4,G1774&gt;=6,H1774&gt;=6),"AT RISK",AND(F1774&lt;=2,G1774&gt;=8,H1774&gt;=8),"CAN'T LOSE THEM",AND(F1774&lt;=2,G1774&lt;=2,H1774&lt;=2),"HIBERNATING",TRUE(),"Other")</f>
        <v>CHAMPION</v>
      </c>
      <c r="K1774" s="1" t="n">
        <f aca="false">RANK(E1774,$E$7:$E$4378)+COUNTIF($E$7:E1774,E1774)-1</f>
        <v>619</v>
      </c>
    </row>
    <row r="1775" customFormat="false" ht="14.25" hidden="false" customHeight="true" outlineLevel="0" collapsed="false">
      <c r="A1775" s="51" t="n">
        <v>14733</v>
      </c>
      <c r="B1775" s="53" t="n">
        <v>40877.6208333333</v>
      </c>
      <c r="C1775" s="57" t="n">
        <f aca="false">INT($C$2)-INT(Table3[[#This Row],[Last Purchase Date]])</f>
        <v>10</v>
      </c>
      <c r="D1775" s="1" t="n">
        <v>15</v>
      </c>
      <c r="E1775" s="1" t="n">
        <v>9451.54</v>
      </c>
      <c r="F1775" s="1" t="n">
        <f aca="false">ROUND((1-_xlfn.PERCENTRANK.INC($C$7:$C$4378,C1775))*9,0)</f>
        <v>8</v>
      </c>
      <c r="G1775" s="1" t="n">
        <f aca="false">ROUND(_xlfn.PERCENTRANK.INC($D$7:$D$4378,D1775)*9,0)</f>
        <v>8</v>
      </c>
      <c r="H1775" s="1" t="n">
        <f aca="false">ROUND(_xlfn.PERCENTRANK.INC($E$7:$E$4378,E1775)*9,0)</f>
        <v>9</v>
      </c>
      <c r="I1775" s="1" t="str">
        <f aca="false">CONCATENATE(F1775,G1775,H1775)</f>
        <v>889</v>
      </c>
      <c r="J1775" s="1" t="str">
        <f aca="false">_xlfn.IFS(AND(F1775&gt;=8,G1775&gt;=8,H1775&gt;=8),"CHAMPION",AND(F1775&gt;=6,G1775&gt;=7,H1775&gt;=6),"LOYAL CUSTOMER",AND(F1775&gt;=6,G1775&gt;=5,H1775&gt;=5),"POTENTIAL LOYALIST",AND(F1775&gt;=8,G1775&lt;=2,H1775&gt;=5),"NEW CUSTOMERS",AND(F1775&gt;=6,G1775&lt;=2,H1775&gt;=3),"PROMISING",AND(F1775&gt;=3,G1775&gt;=3,H1775&gt;=3),"NEED ATTENTION",AND(F1775&lt;=4,G1775&gt;=6,H1775&gt;=6),"AT RISK",AND(F1775&lt;=2,G1775&gt;=8,H1775&gt;=8),"CAN'T LOSE THEM",AND(F1775&lt;=2,G1775&lt;=2,H1775&lt;=2),"HIBERNATING",TRUE(),"Other")</f>
        <v>CHAMPION</v>
      </c>
      <c r="K1775" s="1" t="n">
        <f aca="false">RANK(E1775,$E$7:$E$4378)+COUNTIF($E$7:E1775,E1775)-1</f>
        <v>103</v>
      </c>
    </row>
    <row r="1776" customFormat="false" ht="14.25" hidden="false" customHeight="true" outlineLevel="0" collapsed="false">
      <c r="A1776" s="51" t="n">
        <v>14735</v>
      </c>
      <c r="B1776" s="53" t="n">
        <v>40883.50625</v>
      </c>
      <c r="C1776" s="57" t="n">
        <f aca="false">INT($C$2)-INT(Table3[[#This Row],[Last Purchase Date]])</f>
        <v>4</v>
      </c>
      <c r="D1776" s="1" t="n">
        <v>34</v>
      </c>
      <c r="E1776" s="1" t="n">
        <v>5807.69</v>
      </c>
      <c r="F1776" s="1" t="n">
        <f aca="false">ROUND((1-_xlfn.PERCENTRANK.INC($C$7:$C$4378,C1776))*9,0)</f>
        <v>8</v>
      </c>
      <c r="G1776" s="1" t="n">
        <f aca="false">ROUND(_xlfn.PERCENTRANK.INC($D$7:$D$4378,D1776)*9,0)</f>
        <v>9</v>
      </c>
      <c r="H1776" s="1" t="n">
        <f aca="false">ROUND(_xlfn.PERCENTRANK.INC($E$7:$E$4378,E1776)*9,0)</f>
        <v>9</v>
      </c>
      <c r="I1776" s="1" t="str">
        <f aca="false">CONCATENATE(F1776,G1776,H1776)</f>
        <v>899</v>
      </c>
      <c r="J1776" s="1" t="str">
        <f aca="false">_xlfn.IFS(AND(F1776&gt;=8,G1776&gt;=8,H1776&gt;=8),"CHAMPION",AND(F1776&gt;=6,G1776&gt;=7,H1776&gt;=6),"LOYAL CUSTOMER",AND(F1776&gt;=6,G1776&gt;=5,H1776&gt;=5),"POTENTIAL LOYALIST",AND(F1776&gt;=8,G1776&lt;=2,H1776&gt;=5),"NEW CUSTOMERS",AND(F1776&gt;=6,G1776&lt;=2,H1776&gt;=3),"PROMISING",AND(F1776&gt;=3,G1776&gt;=3,H1776&gt;=3),"NEED ATTENTION",AND(F1776&lt;=4,G1776&gt;=6,H1776&gt;=6),"AT RISK",AND(F1776&lt;=2,G1776&gt;=8,H1776&gt;=8),"CAN'T LOSE THEM",AND(F1776&lt;=2,G1776&lt;=2,H1776&lt;=2),"HIBERNATING",TRUE(),"Other")</f>
        <v>CHAMPION</v>
      </c>
      <c r="K1776" s="1" t="n">
        <f aca="false">RANK(E1776,$E$7:$E$4378)+COUNTIF($E$7:E1776,E1776)-1</f>
        <v>210</v>
      </c>
    </row>
    <row r="1777" customFormat="false" ht="14.25" hidden="false" customHeight="true" outlineLevel="0" collapsed="false">
      <c r="A1777" s="51" t="n">
        <v>14737</v>
      </c>
      <c r="B1777" s="53" t="n">
        <v>40883.4277777778</v>
      </c>
      <c r="C1777" s="57" t="n">
        <f aca="false">INT($C$2)-INT(Table3[[#This Row],[Last Purchase Date]])</f>
        <v>4</v>
      </c>
      <c r="D1777" s="1" t="n">
        <v>3</v>
      </c>
      <c r="E1777" s="1" t="n">
        <v>1164.55</v>
      </c>
      <c r="F1777" s="1" t="n">
        <f aca="false">ROUND((1-_xlfn.PERCENTRANK.INC($C$7:$C$4378,C1777))*9,0)</f>
        <v>8</v>
      </c>
      <c r="G1777" s="1" t="n">
        <f aca="false">ROUND(_xlfn.PERCENTRANK.INC($D$7:$D$4378,D1777)*9,0)</f>
        <v>4</v>
      </c>
      <c r="H1777" s="1" t="n">
        <f aca="false">ROUND(_xlfn.PERCENTRANK.INC($E$7:$E$4378,E1777)*9,0)</f>
        <v>6</v>
      </c>
      <c r="I1777" s="1" t="str">
        <f aca="false">CONCATENATE(F1777,G1777,H1777)</f>
        <v>846</v>
      </c>
      <c r="J1777" s="1" t="str">
        <f aca="false">_xlfn.IFS(AND(F1777&gt;=8,G1777&gt;=8,H1777&gt;=8),"CHAMPION",AND(F1777&gt;=6,G1777&gt;=7,H1777&gt;=6),"LOYAL CUSTOMER",AND(F1777&gt;=6,G1777&gt;=5,H1777&gt;=5),"POTENTIAL LOYALIST",AND(F1777&gt;=8,G1777&lt;=2,H1777&gt;=5),"NEW CUSTOMERS",AND(F1777&gt;=6,G1777&lt;=2,H1777&gt;=3),"PROMISING",AND(F1777&gt;=3,G1777&gt;=3,H1777&gt;=3),"NEED ATTENTION",AND(F1777&lt;=4,G1777&gt;=6,H1777&gt;=6),"AT RISK",AND(F1777&lt;=2,G1777&gt;=8,H1777&gt;=8),"CAN'T LOSE THEM",AND(F1777&lt;=2,G1777&lt;=2,H1777&lt;=2),"HIBERNATING",TRUE(),"Other")</f>
        <v>NEED ATTENTION</v>
      </c>
      <c r="K1777" s="1" t="n">
        <f aca="false">RANK(E1777,$E$7:$E$4378)+COUNTIF($E$7:E1777,E1777)-1</f>
        <v>1436</v>
      </c>
    </row>
    <row r="1778" customFormat="false" ht="14.25" hidden="false" customHeight="true" outlineLevel="0" collapsed="false">
      <c r="A1778" s="51" t="n">
        <v>14738</v>
      </c>
      <c r="B1778" s="53" t="n">
        <v>40847.5395833333</v>
      </c>
      <c r="C1778" s="57" t="n">
        <f aca="false">INT($C$2)-INT(Table3[[#This Row],[Last Purchase Date]])</f>
        <v>40</v>
      </c>
      <c r="D1778" s="1" t="n">
        <v>9</v>
      </c>
      <c r="E1778" s="1" t="n">
        <v>1289.94</v>
      </c>
      <c r="F1778" s="1" t="n">
        <f aca="false">ROUND((1-_xlfn.PERCENTRANK.INC($C$7:$C$4378,C1778))*9,0)</f>
        <v>5</v>
      </c>
      <c r="G1778" s="1" t="n">
        <f aca="false">ROUND(_xlfn.PERCENTRANK.INC($D$7:$D$4378,D1778)*9,0)</f>
        <v>8</v>
      </c>
      <c r="H1778" s="1" t="n">
        <f aca="false">ROUND(_xlfn.PERCENTRANK.INC($E$7:$E$4378,E1778)*9,0)</f>
        <v>6</v>
      </c>
      <c r="I1778" s="1" t="str">
        <f aca="false">CONCATENATE(F1778,G1778,H1778)</f>
        <v>586</v>
      </c>
      <c r="J1778" s="1" t="str">
        <f aca="false">_xlfn.IFS(AND(F1778&gt;=8,G1778&gt;=8,H1778&gt;=8),"CHAMPION",AND(F1778&gt;=6,G1778&gt;=7,H1778&gt;=6),"LOYAL CUSTOMER",AND(F1778&gt;=6,G1778&gt;=5,H1778&gt;=5),"POTENTIAL LOYALIST",AND(F1778&gt;=8,G1778&lt;=2,H1778&gt;=5),"NEW CUSTOMERS",AND(F1778&gt;=6,G1778&lt;=2,H1778&gt;=3),"PROMISING",AND(F1778&gt;=3,G1778&gt;=3,H1778&gt;=3),"NEED ATTENTION",AND(F1778&lt;=4,G1778&gt;=6,H1778&gt;=6),"AT RISK",AND(F1778&lt;=2,G1778&gt;=8,H1778&gt;=8),"CAN'T LOSE THEM",AND(F1778&lt;=2,G1778&lt;=2,H1778&lt;=2),"HIBERNATING",TRUE(),"Other")</f>
        <v>NEED ATTENTION</v>
      </c>
      <c r="K1778" s="1" t="n">
        <f aca="false">RANK(E1778,$E$7:$E$4378)+COUNTIF($E$7:E1778,E1778)-1</f>
        <v>1336</v>
      </c>
    </row>
    <row r="1779" customFormat="false" ht="14.25" hidden="false" customHeight="true" outlineLevel="0" collapsed="false">
      <c r="A1779" s="51" t="n">
        <v>14739</v>
      </c>
      <c r="B1779" s="53" t="n">
        <v>40884.6055555556</v>
      </c>
      <c r="C1779" s="57" t="n">
        <f aca="false">INT($C$2)-INT(Table3[[#This Row],[Last Purchase Date]])</f>
        <v>3</v>
      </c>
      <c r="D1779" s="1" t="n">
        <v>8</v>
      </c>
      <c r="E1779" s="1" t="n">
        <v>3899.1</v>
      </c>
      <c r="F1779" s="1" t="n">
        <f aca="false">ROUND((1-_xlfn.PERCENTRANK.INC($C$7:$C$4378,C1779))*9,0)</f>
        <v>9</v>
      </c>
      <c r="G1779" s="1" t="n">
        <f aca="false">ROUND(_xlfn.PERCENTRANK.INC($D$7:$D$4378,D1779)*9,0)</f>
        <v>7</v>
      </c>
      <c r="H1779" s="1" t="n">
        <f aca="false">ROUND(_xlfn.PERCENTRANK.INC($E$7:$E$4378,E1779)*9,0)</f>
        <v>8</v>
      </c>
      <c r="I1779" s="1" t="str">
        <f aca="false">CONCATENATE(F1779,G1779,H1779)</f>
        <v>978</v>
      </c>
      <c r="J1779" s="1" t="str">
        <f aca="false">_xlfn.IFS(AND(F1779&gt;=8,G1779&gt;=8,H1779&gt;=8),"CHAMPION",AND(F1779&gt;=6,G1779&gt;=7,H1779&gt;=6),"LOYAL CUSTOMER",AND(F1779&gt;=6,G1779&gt;=5,H1779&gt;=5),"POTENTIAL LOYALIST",AND(F1779&gt;=8,G1779&lt;=2,H1779&gt;=5),"NEW CUSTOMERS",AND(F1779&gt;=6,G1779&lt;=2,H1779&gt;=3),"PROMISING",AND(F1779&gt;=3,G1779&gt;=3,H1779&gt;=3),"NEED ATTENTION",AND(F1779&lt;=4,G1779&gt;=6,H1779&gt;=6),"AT RISK",AND(F1779&lt;=2,G1779&gt;=8,H1779&gt;=8),"CAN'T LOSE THEM",AND(F1779&lt;=2,G1779&lt;=2,H1779&lt;=2),"HIBERNATING",TRUE(),"Other")</f>
        <v>LOYAL CUSTOMER</v>
      </c>
      <c r="K1779" s="1" t="n">
        <f aca="false">RANK(E1779,$E$7:$E$4378)+COUNTIF($E$7:E1779,E1779)-1</f>
        <v>369</v>
      </c>
    </row>
    <row r="1780" customFormat="false" ht="14.25" hidden="false" customHeight="true" outlineLevel="0" collapsed="false">
      <c r="A1780" s="51" t="n">
        <v>14740</v>
      </c>
      <c r="B1780" s="53" t="n">
        <v>40695.6368055556</v>
      </c>
      <c r="C1780" s="57" t="n">
        <f aca="false">INT($C$2)-INT(Table3[[#This Row],[Last Purchase Date]])</f>
        <v>192</v>
      </c>
      <c r="D1780" s="1" t="n">
        <v>4</v>
      </c>
      <c r="E1780" s="1" t="n">
        <v>1423.21</v>
      </c>
      <c r="F1780" s="1" t="n">
        <f aca="false">ROUND((1-_xlfn.PERCENTRANK.INC($C$7:$C$4378,C1780))*9,0)</f>
        <v>2</v>
      </c>
      <c r="G1780" s="1" t="n">
        <f aca="false">ROUND(_xlfn.PERCENTRANK.INC($D$7:$D$4378,D1780)*9,0)</f>
        <v>5</v>
      </c>
      <c r="H1780" s="1" t="n">
        <f aca="false">ROUND(_xlfn.PERCENTRANK.INC($E$7:$E$4378,E1780)*9,0)</f>
        <v>6</v>
      </c>
      <c r="I1780" s="1" t="str">
        <f aca="false">CONCATENATE(F1780,G1780,H1780)</f>
        <v>256</v>
      </c>
      <c r="J1780" s="1" t="str">
        <f aca="false">_xlfn.IFS(AND(F1780&gt;=8,G1780&gt;=8,H1780&gt;=8),"CHAMPION",AND(F1780&gt;=6,G1780&gt;=7,H1780&gt;=6),"LOYAL CUSTOMER",AND(F1780&gt;=6,G1780&gt;=5,H1780&gt;=5),"POTENTIAL LOYALIST",AND(F1780&gt;=8,G1780&lt;=2,H1780&gt;=5),"NEW CUSTOMERS",AND(F1780&gt;=6,G1780&lt;=2,H1780&gt;=3),"PROMISING",AND(F1780&gt;=3,G1780&gt;=3,H1780&gt;=3),"NEED ATTENTION",AND(F1780&lt;=4,G1780&gt;=6,H1780&gt;=6),"AT RISK",AND(F1780&lt;=2,G1780&gt;=8,H1780&gt;=8),"CAN'T LOSE THEM",AND(F1780&lt;=2,G1780&lt;=2,H1780&lt;=2),"HIBERNATING",TRUE(),"Other")</f>
        <v>Other</v>
      </c>
      <c r="K1780" s="1" t="n">
        <f aca="false">RANK(E1780,$E$7:$E$4378)+COUNTIF($E$7:E1780,E1780)-1</f>
        <v>1218</v>
      </c>
    </row>
    <row r="1781" customFormat="false" ht="14.25" hidden="false" customHeight="true" outlineLevel="0" collapsed="false">
      <c r="A1781" s="51" t="n">
        <v>14741</v>
      </c>
      <c r="B1781" s="53" t="n">
        <v>40875.3666666667</v>
      </c>
      <c r="C1781" s="57" t="n">
        <f aca="false">INT($C$2)-INT(Table3[[#This Row],[Last Purchase Date]])</f>
        <v>12</v>
      </c>
      <c r="D1781" s="1" t="n">
        <v>6</v>
      </c>
      <c r="E1781" s="1" t="n">
        <v>1400.34</v>
      </c>
      <c r="F1781" s="1" t="n">
        <f aca="false">ROUND((1-_xlfn.PERCENTRANK.INC($C$7:$C$4378,C1781))*9,0)</f>
        <v>7</v>
      </c>
      <c r="G1781" s="1" t="n">
        <f aca="false">ROUND(_xlfn.PERCENTRANK.INC($D$7:$D$4378,D1781)*9,0)</f>
        <v>7</v>
      </c>
      <c r="H1781" s="1" t="n">
        <f aca="false">ROUND(_xlfn.PERCENTRANK.INC($E$7:$E$4378,E1781)*9,0)</f>
        <v>6</v>
      </c>
      <c r="I1781" s="1" t="str">
        <f aca="false">CONCATENATE(F1781,G1781,H1781)</f>
        <v>776</v>
      </c>
      <c r="J1781" s="1" t="str">
        <f aca="false">_xlfn.IFS(AND(F1781&gt;=8,G1781&gt;=8,H1781&gt;=8),"CHAMPION",AND(F1781&gt;=6,G1781&gt;=7,H1781&gt;=6),"LOYAL CUSTOMER",AND(F1781&gt;=6,G1781&gt;=5,H1781&gt;=5),"POTENTIAL LOYALIST",AND(F1781&gt;=8,G1781&lt;=2,H1781&gt;=5),"NEW CUSTOMERS",AND(F1781&gt;=6,G1781&lt;=2,H1781&gt;=3),"PROMISING",AND(F1781&gt;=3,G1781&gt;=3,H1781&gt;=3),"NEED ATTENTION",AND(F1781&lt;=4,G1781&gt;=6,H1781&gt;=6),"AT RISK",AND(F1781&lt;=2,G1781&gt;=8,H1781&gt;=8),"CAN'T LOSE THEM",AND(F1781&lt;=2,G1781&lt;=2,H1781&lt;=2),"HIBERNATING",TRUE(),"Other")</f>
        <v>LOYAL CUSTOMER</v>
      </c>
      <c r="K1781" s="1" t="n">
        <f aca="false">RANK(E1781,$E$7:$E$4378)+COUNTIF($E$7:E1781,E1781)-1</f>
        <v>1236</v>
      </c>
    </row>
    <row r="1782" customFormat="false" ht="14.25" hidden="false" customHeight="true" outlineLevel="0" collapsed="false">
      <c r="A1782" s="51" t="n">
        <v>14744</v>
      </c>
      <c r="B1782" s="53" t="n">
        <v>40870.5354166667</v>
      </c>
      <c r="C1782" s="57" t="n">
        <f aca="false">INT($C$2)-INT(Table3[[#This Row],[Last Purchase Date]])</f>
        <v>17</v>
      </c>
      <c r="D1782" s="1" t="n">
        <v>9</v>
      </c>
      <c r="E1782" s="1" t="n">
        <v>1088.53</v>
      </c>
      <c r="F1782" s="1" t="n">
        <f aca="false">ROUND((1-_xlfn.PERCENTRANK.INC($C$7:$C$4378,C1782))*9,0)</f>
        <v>7</v>
      </c>
      <c r="G1782" s="1" t="n">
        <f aca="false">ROUND(_xlfn.PERCENTRANK.INC($D$7:$D$4378,D1782)*9,0)</f>
        <v>8</v>
      </c>
      <c r="H1782" s="1" t="n">
        <f aca="false">ROUND(_xlfn.PERCENTRANK.INC($E$7:$E$4378,E1782)*9,0)</f>
        <v>6</v>
      </c>
      <c r="I1782" s="1" t="str">
        <f aca="false">CONCATENATE(F1782,G1782,H1782)</f>
        <v>786</v>
      </c>
      <c r="J1782" s="1" t="str">
        <f aca="false">_xlfn.IFS(AND(F1782&gt;=8,G1782&gt;=8,H1782&gt;=8),"CHAMPION",AND(F1782&gt;=6,G1782&gt;=7,H1782&gt;=6),"LOYAL CUSTOMER",AND(F1782&gt;=6,G1782&gt;=5,H1782&gt;=5),"POTENTIAL LOYALIST",AND(F1782&gt;=8,G1782&lt;=2,H1782&gt;=5),"NEW CUSTOMERS",AND(F1782&gt;=6,G1782&lt;=2,H1782&gt;=3),"PROMISING",AND(F1782&gt;=3,G1782&gt;=3,H1782&gt;=3),"NEED ATTENTION",AND(F1782&lt;=4,G1782&gt;=6,H1782&gt;=6),"AT RISK",AND(F1782&lt;=2,G1782&gt;=8,H1782&gt;=8),"CAN'T LOSE THEM",AND(F1782&lt;=2,G1782&lt;=2,H1782&lt;=2),"HIBERNATING",TRUE(),"Other")</f>
        <v>LOYAL CUSTOMER</v>
      </c>
      <c r="K1782" s="1" t="n">
        <f aca="false">RANK(E1782,$E$7:$E$4378)+COUNTIF($E$7:E1782,E1782)-1</f>
        <v>1521</v>
      </c>
    </row>
    <row r="1783" customFormat="false" ht="14.25" hidden="false" customHeight="true" outlineLevel="0" collapsed="false">
      <c r="A1783" s="51" t="n">
        <v>14745</v>
      </c>
      <c r="B1783" s="53" t="n">
        <v>40774.4201388889</v>
      </c>
      <c r="C1783" s="57" t="n">
        <f aca="false">INT($C$2)-INT(Table3[[#This Row],[Last Purchase Date]])</f>
        <v>113</v>
      </c>
      <c r="D1783" s="1" t="n">
        <v>6</v>
      </c>
      <c r="E1783" s="1" t="n">
        <v>1167.16</v>
      </c>
      <c r="F1783" s="1" t="n">
        <f aca="false">ROUND((1-_xlfn.PERCENTRANK.INC($C$7:$C$4378,C1783))*9,0)</f>
        <v>3</v>
      </c>
      <c r="G1783" s="1" t="n">
        <f aca="false">ROUND(_xlfn.PERCENTRANK.INC($D$7:$D$4378,D1783)*9,0)</f>
        <v>7</v>
      </c>
      <c r="H1783" s="1" t="n">
        <f aca="false">ROUND(_xlfn.PERCENTRANK.INC($E$7:$E$4378,E1783)*9,0)</f>
        <v>6</v>
      </c>
      <c r="I1783" s="1" t="str">
        <f aca="false">CONCATENATE(F1783,G1783,H1783)</f>
        <v>376</v>
      </c>
      <c r="J1783" s="1" t="str">
        <f aca="false">_xlfn.IFS(AND(F1783&gt;=8,G1783&gt;=8,H1783&gt;=8),"CHAMPION",AND(F1783&gt;=6,G1783&gt;=7,H1783&gt;=6),"LOYAL CUSTOMER",AND(F1783&gt;=6,G1783&gt;=5,H1783&gt;=5),"POTENTIAL LOYALIST",AND(F1783&gt;=8,G1783&lt;=2,H1783&gt;=5),"NEW CUSTOMERS",AND(F1783&gt;=6,G1783&lt;=2,H1783&gt;=3),"PROMISING",AND(F1783&gt;=3,G1783&gt;=3,H1783&gt;=3),"NEED ATTENTION",AND(F1783&lt;=4,G1783&gt;=6,H1783&gt;=6),"AT RISK",AND(F1783&lt;=2,G1783&gt;=8,H1783&gt;=8),"CAN'T LOSE THEM",AND(F1783&lt;=2,G1783&lt;=2,H1783&lt;=2),"HIBERNATING",TRUE(),"Other")</f>
        <v>NEED ATTENTION</v>
      </c>
      <c r="K1783" s="1" t="n">
        <f aca="false">RANK(E1783,$E$7:$E$4378)+COUNTIF($E$7:E1783,E1783)-1</f>
        <v>1433</v>
      </c>
    </row>
    <row r="1784" customFormat="false" ht="14.25" hidden="false" customHeight="true" outlineLevel="0" collapsed="false">
      <c r="A1784" s="51" t="n">
        <v>14747</v>
      </c>
      <c r="B1784" s="53" t="n">
        <v>40639.4284722222</v>
      </c>
      <c r="C1784" s="57" t="n">
        <f aca="false">INT($C$2)-INT(Table3[[#This Row],[Last Purchase Date]])</f>
        <v>248</v>
      </c>
      <c r="D1784" s="1" t="n">
        <v>2</v>
      </c>
      <c r="E1784" s="1" t="n">
        <v>294.3</v>
      </c>
      <c r="F1784" s="1" t="n">
        <f aca="false">ROUND((1-_xlfn.PERCENTRANK.INC($C$7:$C$4378,C1784))*9,0)</f>
        <v>1</v>
      </c>
      <c r="G1784" s="1" t="n">
        <f aca="false">ROUND(_xlfn.PERCENTRANK.INC($D$7:$D$4378,D1784)*9,0)</f>
        <v>3</v>
      </c>
      <c r="H1784" s="1" t="n">
        <f aca="false">ROUND(_xlfn.PERCENTRANK.INC($E$7:$E$4378,E1784)*9,0)</f>
        <v>2</v>
      </c>
      <c r="I1784" s="1" t="str">
        <f aca="false">CONCATENATE(F1784,G1784,H1784)</f>
        <v>132</v>
      </c>
      <c r="J1784" s="1" t="str">
        <f aca="false">_xlfn.IFS(AND(F1784&gt;=8,G1784&gt;=8,H1784&gt;=8),"CHAMPION",AND(F1784&gt;=6,G1784&gt;=7,H1784&gt;=6),"LOYAL CUSTOMER",AND(F1784&gt;=6,G1784&gt;=5,H1784&gt;=5),"POTENTIAL LOYALIST",AND(F1784&gt;=8,G1784&lt;=2,H1784&gt;=5),"NEW CUSTOMERS",AND(F1784&gt;=6,G1784&lt;=2,H1784&gt;=3),"PROMISING",AND(F1784&gt;=3,G1784&gt;=3,H1784&gt;=3),"NEED ATTENTION",AND(F1784&lt;=4,G1784&gt;=6,H1784&gt;=6),"AT RISK",AND(F1784&lt;=2,G1784&gt;=8,H1784&gt;=8),"CAN'T LOSE THEM",AND(F1784&lt;=2,G1784&lt;=2,H1784&lt;=2),"HIBERNATING",TRUE(),"Other")</f>
        <v>Other</v>
      </c>
      <c r="K1784" s="1" t="n">
        <f aca="false">RANK(E1784,$E$7:$E$4378)+COUNTIF($E$7:E1784,E1784)-1</f>
        <v>3276</v>
      </c>
    </row>
    <row r="1785" customFormat="false" ht="14.25" hidden="false" customHeight="true" outlineLevel="0" collapsed="false">
      <c r="A1785" s="51" t="n">
        <v>14748</v>
      </c>
      <c r="B1785" s="53" t="n">
        <v>40857.7729166667</v>
      </c>
      <c r="C1785" s="57" t="n">
        <f aca="false">INT($C$2)-INT(Table3[[#This Row],[Last Purchase Date]])</f>
        <v>30</v>
      </c>
      <c r="D1785" s="1" t="n">
        <v>6</v>
      </c>
      <c r="E1785" s="1" t="n">
        <v>1311.79</v>
      </c>
      <c r="F1785" s="1" t="n">
        <f aca="false">ROUND((1-_xlfn.PERCENTRANK.INC($C$7:$C$4378,C1785))*9,0)</f>
        <v>6</v>
      </c>
      <c r="G1785" s="1" t="n">
        <f aca="false">ROUND(_xlfn.PERCENTRANK.INC($D$7:$D$4378,D1785)*9,0)</f>
        <v>7</v>
      </c>
      <c r="H1785" s="1" t="n">
        <f aca="false">ROUND(_xlfn.PERCENTRANK.INC($E$7:$E$4378,E1785)*9,0)</f>
        <v>6</v>
      </c>
      <c r="I1785" s="1" t="str">
        <f aca="false">CONCATENATE(F1785,G1785,H1785)</f>
        <v>676</v>
      </c>
      <c r="J1785" s="1" t="str">
        <f aca="false">_xlfn.IFS(AND(F1785&gt;=8,G1785&gt;=8,H1785&gt;=8),"CHAMPION",AND(F1785&gt;=6,G1785&gt;=7,H1785&gt;=6),"LOYAL CUSTOMER",AND(F1785&gt;=6,G1785&gt;=5,H1785&gt;=5),"POTENTIAL LOYALIST",AND(F1785&gt;=8,G1785&lt;=2,H1785&gt;=5),"NEW CUSTOMERS",AND(F1785&gt;=6,G1785&lt;=2,H1785&gt;=3),"PROMISING",AND(F1785&gt;=3,G1785&gt;=3,H1785&gt;=3),"NEED ATTENTION",AND(F1785&lt;=4,G1785&gt;=6,H1785&gt;=6),"AT RISK",AND(F1785&lt;=2,G1785&gt;=8,H1785&gt;=8),"CAN'T LOSE THEM",AND(F1785&lt;=2,G1785&lt;=2,H1785&lt;=2),"HIBERNATING",TRUE(),"Other")</f>
        <v>LOYAL CUSTOMER</v>
      </c>
      <c r="K1785" s="1" t="n">
        <f aca="false">RANK(E1785,$E$7:$E$4378)+COUNTIF($E$7:E1785,E1785)-1</f>
        <v>1313</v>
      </c>
    </row>
    <row r="1786" customFormat="false" ht="14.25" hidden="false" customHeight="true" outlineLevel="0" collapsed="false">
      <c r="A1786" s="51" t="n">
        <v>14752</v>
      </c>
      <c r="B1786" s="53" t="n">
        <v>40843.4965277778</v>
      </c>
      <c r="C1786" s="57" t="n">
        <f aca="false">INT($C$2)-INT(Table3[[#This Row],[Last Purchase Date]])</f>
        <v>44</v>
      </c>
      <c r="D1786" s="1" t="n">
        <v>1</v>
      </c>
      <c r="E1786" s="1" t="n">
        <v>389.64</v>
      </c>
      <c r="F1786" s="1" t="n">
        <f aca="false">ROUND((1-_xlfn.PERCENTRANK.INC($C$7:$C$4378,C1786))*9,0)</f>
        <v>5</v>
      </c>
      <c r="G1786" s="1" t="n">
        <f aca="false">ROUND(_xlfn.PERCENTRANK.INC($D$7:$D$4378,D1786)*9,0)</f>
        <v>0</v>
      </c>
      <c r="H1786" s="1" t="n">
        <f aca="false">ROUND(_xlfn.PERCENTRANK.INC($E$7:$E$4378,E1786)*9,0)</f>
        <v>3</v>
      </c>
      <c r="I1786" s="1" t="str">
        <f aca="false">CONCATENATE(F1786,G1786,H1786)</f>
        <v>503</v>
      </c>
      <c r="J1786" s="1" t="str">
        <f aca="false">_xlfn.IFS(AND(F1786&gt;=8,G1786&gt;=8,H1786&gt;=8),"CHAMPION",AND(F1786&gt;=6,G1786&gt;=7,H1786&gt;=6),"LOYAL CUSTOMER",AND(F1786&gt;=6,G1786&gt;=5,H1786&gt;=5),"POTENTIAL LOYALIST",AND(F1786&gt;=8,G1786&lt;=2,H1786&gt;=5),"NEW CUSTOMERS",AND(F1786&gt;=6,G1786&lt;=2,H1786&gt;=3),"PROMISING",AND(F1786&gt;=3,G1786&gt;=3,H1786&gt;=3),"NEED ATTENTION",AND(F1786&lt;=4,G1786&gt;=6,H1786&gt;=6),"AT RISK",AND(F1786&lt;=2,G1786&gt;=8,H1786&gt;=8),"CAN'T LOSE THEM",AND(F1786&lt;=2,G1786&lt;=2,H1786&lt;=2),"HIBERNATING",TRUE(),"Other")</f>
        <v>Other</v>
      </c>
      <c r="K1786" s="1" t="n">
        <f aca="false">RANK(E1786,$E$7:$E$4378)+COUNTIF($E$7:E1786,E1786)-1</f>
        <v>2848</v>
      </c>
    </row>
    <row r="1787" customFormat="false" ht="14.25" hidden="false" customHeight="true" outlineLevel="0" collapsed="false">
      <c r="A1787" s="51" t="n">
        <v>14753</v>
      </c>
      <c r="B1787" s="53" t="n">
        <v>40799.6180555556</v>
      </c>
      <c r="C1787" s="57" t="n">
        <f aca="false">INT($C$2)-INT(Table3[[#This Row],[Last Purchase Date]])</f>
        <v>88</v>
      </c>
      <c r="D1787" s="1" t="n">
        <v>1</v>
      </c>
      <c r="E1787" s="1" t="n">
        <v>563.15</v>
      </c>
      <c r="F1787" s="1" t="n">
        <f aca="false">ROUND((1-_xlfn.PERCENTRANK.INC($C$7:$C$4378,C1787))*9,0)</f>
        <v>3</v>
      </c>
      <c r="G1787" s="1" t="n">
        <f aca="false">ROUND(_xlfn.PERCENTRANK.INC($D$7:$D$4378,D1787)*9,0)</f>
        <v>0</v>
      </c>
      <c r="H1787" s="1" t="n">
        <f aca="false">ROUND(_xlfn.PERCENTRANK.INC($E$7:$E$4378,E1787)*9,0)</f>
        <v>4</v>
      </c>
      <c r="I1787" s="1" t="str">
        <f aca="false">CONCATENATE(F1787,G1787,H1787)</f>
        <v>304</v>
      </c>
      <c r="J1787" s="1" t="str">
        <f aca="false">_xlfn.IFS(AND(F1787&gt;=8,G1787&gt;=8,H1787&gt;=8),"CHAMPION",AND(F1787&gt;=6,G1787&gt;=7,H1787&gt;=6),"LOYAL CUSTOMER",AND(F1787&gt;=6,G1787&gt;=5,H1787&gt;=5),"POTENTIAL LOYALIST",AND(F1787&gt;=8,G1787&lt;=2,H1787&gt;=5),"NEW CUSTOMERS",AND(F1787&gt;=6,G1787&lt;=2,H1787&gt;=3),"PROMISING",AND(F1787&gt;=3,G1787&gt;=3,H1787&gt;=3),"NEED ATTENTION",AND(F1787&lt;=4,G1787&gt;=6,H1787&gt;=6),"AT RISK",AND(F1787&lt;=2,G1787&gt;=8,H1787&gt;=8),"CAN'T LOSE THEM",AND(F1787&lt;=2,G1787&lt;=2,H1787&lt;=2),"HIBERNATING",TRUE(),"Other")</f>
        <v>Other</v>
      </c>
      <c r="K1787" s="1" t="n">
        <f aca="false">RANK(E1787,$E$7:$E$4378)+COUNTIF($E$7:E1787,E1787)-1</f>
        <v>2401</v>
      </c>
    </row>
    <row r="1788" customFormat="false" ht="14.25" hidden="false" customHeight="true" outlineLevel="0" collapsed="false">
      <c r="A1788" s="51" t="n">
        <v>14754</v>
      </c>
      <c r="B1788" s="53" t="n">
        <v>40842.5006944445</v>
      </c>
      <c r="C1788" s="57" t="n">
        <f aca="false">INT($C$2)-INT(Table3[[#This Row],[Last Purchase Date]])</f>
        <v>45</v>
      </c>
      <c r="D1788" s="1" t="n">
        <v>2</v>
      </c>
      <c r="E1788" s="1" t="n">
        <v>638.05</v>
      </c>
      <c r="F1788" s="1" t="n">
        <f aca="false">ROUND((1-_xlfn.PERCENTRANK.INC($C$7:$C$4378,C1788))*9,0)</f>
        <v>5</v>
      </c>
      <c r="G1788" s="1" t="n">
        <f aca="false">ROUND(_xlfn.PERCENTRANK.INC($D$7:$D$4378,D1788)*9,0)</f>
        <v>3</v>
      </c>
      <c r="H1788" s="1" t="n">
        <f aca="false">ROUND(_xlfn.PERCENTRANK.INC($E$7:$E$4378,E1788)*9,0)</f>
        <v>4</v>
      </c>
      <c r="I1788" s="1" t="str">
        <f aca="false">CONCATENATE(F1788,G1788,H1788)</f>
        <v>534</v>
      </c>
      <c r="J1788" s="1" t="str">
        <f aca="false">_xlfn.IFS(AND(F1788&gt;=8,G1788&gt;=8,H1788&gt;=8),"CHAMPION",AND(F1788&gt;=6,G1788&gt;=7,H1788&gt;=6),"LOYAL CUSTOMER",AND(F1788&gt;=6,G1788&gt;=5,H1788&gt;=5),"POTENTIAL LOYALIST",AND(F1788&gt;=8,G1788&lt;=2,H1788&gt;=5),"NEW CUSTOMERS",AND(F1788&gt;=6,G1788&lt;=2,H1788&gt;=3),"PROMISING",AND(F1788&gt;=3,G1788&gt;=3,H1788&gt;=3),"NEED ATTENTION",AND(F1788&lt;=4,G1788&gt;=6,H1788&gt;=6),"AT RISK",AND(F1788&lt;=2,G1788&gt;=8,H1788&gt;=8),"CAN'T LOSE THEM",AND(F1788&lt;=2,G1788&lt;=2,H1788&lt;=2),"HIBERNATING",TRUE(),"Other")</f>
        <v>NEED ATTENTION</v>
      </c>
      <c r="K1788" s="1" t="n">
        <f aca="false">RANK(E1788,$E$7:$E$4378)+COUNTIF($E$7:E1788,E1788)-1</f>
        <v>2213</v>
      </c>
    </row>
    <row r="1789" customFormat="false" ht="14.25" hidden="false" customHeight="true" outlineLevel="0" collapsed="false">
      <c r="A1789" s="51" t="n">
        <v>14755</v>
      </c>
      <c r="B1789" s="53" t="n">
        <v>40877.475</v>
      </c>
      <c r="C1789" s="57" t="n">
        <f aca="false">INT($C$2)-INT(Table3[[#This Row],[Last Purchase Date]])</f>
        <v>10</v>
      </c>
      <c r="D1789" s="1" t="n">
        <v>12</v>
      </c>
      <c r="E1789" s="1" t="n">
        <v>4965.38</v>
      </c>
      <c r="F1789" s="1" t="n">
        <f aca="false">ROUND((1-_xlfn.PERCENTRANK.INC($C$7:$C$4378,C1789))*9,0)</f>
        <v>8</v>
      </c>
      <c r="G1789" s="1" t="n">
        <f aca="false">ROUND(_xlfn.PERCENTRANK.INC($D$7:$D$4378,D1789)*9,0)</f>
        <v>8</v>
      </c>
      <c r="H1789" s="1" t="n">
        <f aca="false">ROUND(_xlfn.PERCENTRANK.INC($E$7:$E$4378,E1789)*9,0)</f>
        <v>8</v>
      </c>
      <c r="I1789" s="1" t="str">
        <f aca="false">CONCATENATE(F1789,G1789,H1789)</f>
        <v>888</v>
      </c>
      <c r="J1789" s="1" t="str">
        <f aca="false">_xlfn.IFS(AND(F1789&gt;=8,G1789&gt;=8,H1789&gt;=8),"CHAMPION",AND(F1789&gt;=6,G1789&gt;=7,H1789&gt;=6),"LOYAL CUSTOMER",AND(F1789&gt;=6,G1789&gt;=5,H1789&gt;=5),"POTENTIAL LOYALIST",AND(F1789&gt;=8,G1789&lt;=2,H1789&gt;=5),"NEW CUSTOMERS",AND(F1789&gt;=6,G1789&lt;=2,H1789&gt;=3),"PROMISING",AND(F1789&gt;=3,G1789&gt;=3,H1789&gt;=3),"NEED ATTENTION",AND(F1789&lt;=4,G1789&gt;=6,H1789&gt;=6),"AT RISK",AND(F1789&lt;=2,G1789&gt;=8,H1789&gt;=8),"CAN'T LOSE THEM",AND(F1789&lt;=2,G1789&lt;=2,H1789&lt;=2),"HIBERNATING",TRUE(),"Other")</f>
        <v>CHAMPION</v>
      </c>
      <c r="K1789" s="1" t="n">
        <f aca="false">RANK(E1789,$E$7:$E$4378)+COUNTIF($E$7:E1789,E1789)-1</f>
        <v>264</v>
      </c>
    </row>
    <row r="1790" customFormat="false" ht="14.25" hidden="false" customHeight="true" outlineLevel="0" collapsed="false">
      <c r="A1790" s="51" t="n">
        <v>14756</v>
      </c>
      <c r="B1790" s="53" t="n">
        <v>40871.7590277778</v>
      </c>
      <c r="C1790" s="57" t="n">
        <f aca="false">INT($C$2)-INT(Table3[[#This Row],[Last Purchase Date]])</f>
        <v>16</v>
      </c>
      <c r="D1790" s="1" t="n">
        <v>1</v>
      </c>
      <c r="E1790" s="1" t="n">
        <v>738.96</v>
      </c>
      <c r="F1790" s="1" t="n">
        <f aca="false">ROUND((1-_xlfn.PERCENTRANK.INC($C$7:$C$4378,C1790))*9,0)</f>
        <v>7</v>
      </c>
      <c r="G1790" s="1" t="n">
        <f aca="false">ROUND(_xlfn.PERCENTRANK.INC($D$7:$D$4378,D1790)*9,0)</f>
        <v>0</v>
      </c>
      <c r="H1790" s="1" t="n">
        <f aca="false">ROUND(_xlfn.PERCENTRANK.INC($E$7:$E$4378,E1790)*9,0)</f>
        <v>5</v>
      </c>
      <c r="I1790" s="1" t="str">
        <f aca="false">CONCATENATE(F1790,G1790,H1790)</f>
        <v>705</v>
      </c>
      <c r="J1790" s="1" t="str">
        <f aca="false">_xlfn.IFS(AND(F1790&gt;=8,G1790&gt;=8,H1790&gt;=8),"CHAMPION",AND(F1790&gt;=6,G1790&gt;=7,H1790&gt;=6),"LOYAL CUSTOMER",AND(F1790&gt;=6,G1790&gt;=5,H1790&gt;=5),"POTENTIAL LOYALIST",AND(F1790&gt;=8,G1790&lt;=2,H1790&gt;=5),"NEW CUSTOMERS",AND(F1790&gt;=6,G1790&lt;=2,H1790&gt;=3),"PROMISING",AND(F1790&gt;=3,G1790&gt;=3,H1790&gt;=3),"NEED ATTENTION",AND(F1790&lt;=4,G1790&gt;=6,H1790&gt;=6),"AT RISK",AND(F1790&lt;=2,G1790&gt;=8,H1790&gt;=8),"CAN'T LOSE THEM",AND(F1790&lt;=2,G1790&lt;=2,H1790&lt;=2),"HIBERNATING",TRUE(),"Other")</f>
        <v>PROMISING</v>
      </c>
      <c r="K1790" s="1" t="n">
        <f aca="false">RANK(E1790,$E$7:$E$4378)+COUNTIF($E$7:E1790,E1790)-1</f>
        <v>1996</v>
      </c>
    </row>
    <row r="1791" customFormat="false" ht="14.25" hidden="false" customHeight="true" outlineLevel="0" collapsed="false">
      <c r="A1791" s="51" t="n">
        <v>14757</v>
      </c>
      <c r="B1791" s="53" t="n">
        <v>40811.6083333333</v>
      </c>
      <c r="C1791" s="57" t="n">
        <f aca="false">INT($C$2)-INT(Table3[[#This Row],[Last Purchase Date]])</f>
        <v>76</v>
      </c>
      <c r="D1791" s="1" t="n">
        <v>1</v>
      </c>
      <c r="E1791" s="1" t="n">
        <v>420.5</v>
      </c>
      <c r="F1791" s="1" t="n">
        <f aca="false">ROUND((1-_xlfn.PERCENTRANK.INC($C$7:$C$4378,C1791))*9,0)</f>
        <v>3</v>
      </c>
      <c r="G1791" s="1" t="n">
        <f aca="false">ROUND(_xlfn.PERCENTRANK.INC($D$7:$D$4378,D1791)*9,0)</f>
        <v>0</v>
      </c>
      <c r="H1791" s="1" t="n">
        <f aca="false">ROUND(_xlfn.PERCENTRANK.INC($E$7:$E$4378,E1791)*9,0)</f>
        <v>3</v>
      </c>
      <c r="I1791" s="1" t="str">
        <f aca="false">CONCATENATE(F1791,G1791,H1791)</f>
        <v>303</v>
      </c>
      <c r="J1791" s="1" t="str">
        <f aca="false">_xlfn.IFS(AND(F1791&gt;=8,G1791&gt;=8,H1791&gt;=8),"CHAMPION",AND(F1791&gt;=6,G1791&gt;=7,H1791&gt;=6),"LOYAL CUSTOMER",AND(F1791&gt;=6,G1791&gt;=5,H1791&gt;=5),"POTENTIAL LOYALIST",AND(F1791&gt;=8,G1791&lt;=2,H1791&gt;=5),"NEW CUSTOMERS",AND(F1791&gt;=6,G1791&lt;=2,H1791&gt;=3),"PROMISING",AND(F1791&gt;=3,G1791&gt;=3,H1791&gt;=3),"NEED ATTENTION",AND(F1791&lt;=4,G1791&gt;=6,H1791&gt;=6),"AT RISK",AND(F1791&lt;=2,G1791&gt;=8,H1791&gt;=8),"CAN'T LOSE THEM",AND(F1791&lt;=2,G1791&lt;=2,H1791&lt;=2),"HIBERNATING",TRUE(),"Other")</f>
        <v>Other</v>
      </c>
      <c r="K1791" s="1" t="n">
        <f aca="false">RANK(E1791,$E$7:$E$4378)+COUNTIF($E$7:E1791,E1791)-1</f>
        <v>2750</v>
      </c>
    </row>
    <row r="1792" customFormat="false" ht="14.25" hidden="false" customHeight="true" outlineLevel="0" collapsed="false">
      <c r="A1792" s="51" t="n">
        <v>14758</v>
      </c>
      <c r="B1792" s="53" t="n">
        <v>40742.3479166667</v>
      </c>
      <c r="C1792" s="57" t="n">
        <f aca="false">INT($C$2)-INT(Table3[[#This Row],[Last Purchase Date]])</f>
        <v>145</v>
      </c>
      <c r="D1792" s="1" t="n">
        <v>4</v>
      </c>
      <c r="E1792" s="1" t="n">
        <v>1484.06</v>
      </c>
      <c r="F1792" s="1" t="n">
        <f aca="false">ROUND((1-_xlfn.PERCENTRANK.INC($C$7:$C$4378,C1792))*9,0)</f>
        <v>2</v>
      </c>
      <c r="G1792" s="1" t="n">
        <f aca="false">ROUND(_xlfn.PERCENTRANK.INC($D$7:$D$4378,D1792)*9,0)</f>
        <v>5</v>
      </c>
      <c r="H1792" s="1" t="n">
        <f aca="false">ROUND(_xlfn.PERCENTRANK.INC($E$7:$E$4378,E1792)*9,0)</f>
        <v>7</v>
      </c>
      <c r="I1792" s="1" t="str">
        <f aca="false">CONCATENATE(F1792,G1792,H1792)</f>
        <v>257</v>
      </c>
      <c r="J1792" s="1" t="str">
        <f aca="false">_xlfn.IFS(AND(F1792&gt;=8,G1792&gt;=8,H1792&gt;=8),"CHAMPION",AND(F1792&gt;=6,G1792&gt;=7,H1792&gt;=6),"LOYAL CUSTOMER",AND(F1792&gt;=6,G1792&gt;=5,H1792&gt;=5),"POTENTIAL LOYALIST",AND(F1792&gt;=8,G1792&lt;=2,H1792&gt;=5),"NEW CUSTOMERS",AND(F1792&gt;=6,G1792&lt;=2,H1792&gt;=3),"PROMISING",AND(F1792&gt;=3,G1792&gt;=3,H1792&gt;=3),"NEED ATTENTION",AND(F1792&lt;=4,G1792&gt;=6,H1792&gt;=6),"AT RISK",AND(F1792&lt;=2,G1792&gt;=8,H1792&gt;=8),"CAN'T LOSE THEM",AND(F1792&lt;=2,G1792&lt;=2,H1792&lt;=2),"HIBERNATING",TRUE(),"Other")</f>
        <v>Other</v>
      </c>
      <c r="K1792" s="1" t="n">
        <f aca="false">RANK(E1792,$E$7:$E$4378)+COUNTIF($E$7:E1792,E1792)-1</f>
        <v>1179</v>
      </c>
    </row>
    <row r="1793" customFormat="false" ht="14.25" hidden="false" customHeight="true" outlineLevel="0" collapsed="false">
      <c r="A1793" s="51" t="n">
        <v>14759</v>
      </c>
      <c r="B1793" s="53" t="n">
        <v>40882.5020833333</v>
      </c>
      <c r="C1793" s="57" t="n">
        <f aca="false">INT($C$2)-INT(Table3[[#This Row],[Last Purchase Date]])</f>
        <v>5</v>
      </c>
      <c r="D1793" s="1" t="n">
        <v>3</v>
      </c>
      <c r="E1793" s="1" t="n">
        <v>1625.97</v>
      </c>
      <c r="F1793" s="1" t="n">
        <f aca="false">ROUND((1-_xlfn.PERCENTRANK.INC($C$7:$C$4378,C1793))*9,0)</f>
        <v>8</v>
      </c>
      <c r="G1793" s="1" t="n">
        <f aca="false">ROUND(_xlfn.PERCENTRANK.INC($D$7:$D$4378,D1793)*9,0)</f>
        <v>4</v>
      </c>
      <c r="H1793" s="1" t="n">
        <f aca="false">ROUND(_xlfn.PERCENTRANK.INC($E$7:$E$4378,E1793)*9,0)</f>
        <v>7</v>
      </c>
      <c r="I1793" s="1" t="str">
        <f aca="false">CONCATENATE(F1793,G1793,H1793)</f>
        <v>847</v>
      </c>
      <c r="J1793" s="1" t="str">
        <f aca="false">_xlfn.IFS(AND(F1793&gt;=8,G1793&gt;=8,H1793&gt;=8),"CHAMPION",AND(F1793&gt;=6,G1793&gt;=7,H1793&gt;=6),"LOYAL CUSTOMER",AND(F1793&gt;=6,G1793&gt;=5,H1793&gt;=5),"POTENTIAL LOYALIST",AND(F1793&gt;=8,G1793&lt;=2,H1793&gt;=5),"NEW CUSTOMERS",AND(F1793&gt;=6,G1793&lt;=2,H1793&gt;=3),"PROMISING",AND(F1793&gt;=3,G1793&gt;=3,H1793&gt;=3),"NEED ATTENTION",AND(F1793&lt;=4,G1793&gt;=6,H1793&gt;=6),"AT RISK",AND(F1793&lt;=2,G1793&gt;=8,H1793&gt;=8),"CAN'T LOSE THEM",AND(F1793&lt;=2,G1793&lt;=2,H1793&lt;=2),"HIBERNATING",TRUE(),"Other")</f>
        <v>NEED ATTENTION</v>
      </c>
      <c r="K1793" s="1" t="n">
        <f aca="false">RANK(E1793,$E$7:$E$4378)+COUNTIF($E$7:E1793,E1793)-1</f>
        <v>1081</v>
      </c>
    </row>
    <row r="1794" customFormat="false" ht="14.25" hidden="false" customHeight="true" outlineLevel="0" collapsed="false">
      <c r="A1794" s="51" t="n">
        <v>14760</v>
      </c>
      <c r="B1794" s="53" t="n">
        <v>40592.6083333333</v>
      </c>
      <c r="C1794" s="57" t="n">
        <f aca="false">INT($C$2)-INT(Table3[[#This Row],[Last Purchase Date]])</f>
        <v>295</v>
      </c>
      <c r="D1794" s="1" t="n">
        <v>2</v>
      </c>
      <c r="E1794" s="1" t="n">
        <v>53.8</v>
      </c>
      <c r="F1794" s="1" t="n">
        <f aca="false">ROUND((1-_xlfn.PERCENTRANK.INC($C$7:$C$4378,C1794))*9,0)</f>
        <v>1</v>
      </c>
      <c r="G1794" s="1" t="n">
        <f aca="false">ROUND(_xlfn.PERCENTRANK.INC($D$7:$D$4378,D1794)*9,0)</f>
        <v>3</v>
      </c>
      <c r="H1794" s="1" t="n">
        <f aca="false">ROUND(_xlfn.PERCENTRANK.INC($E$7:$E$4378,E1794)*9,0)</f>
        <v>0</v>
      </c>
      <c r="I1794" s="1" t="str">
        <f aca="false">CONCATENATE(F1794,G1794,H1794)</f>
        <v>130</v>
      </c>
      <c r="J1794" s="1" t="str">
        <f aca="false">_xlfn.IFS(AND(F1794&gt;=8,G1794&gt;=8,H1794&gt;=8),"CHAMPION",AND(F1794&gt;=6,G1794&gt;=7,H1794&gt;=6),"LOYAL CUSTOMER",AND(F1794&gt;=6,G1794&gt;=5,H1794&gt;=5),"POTENTIAL LOYALIST",AND(F1794&gt;=8,G1794&lt;=2,H1794&gt;=5),"NEW CUSTOMERS",AND(F1794&gt;=6,G1794&lt;=2,H1794&gt;=3),"PROMISING",AND(F1794&gt;=3,G1794&gt;=3,H1794&gt;=3),"NEED ATTENTION",AND(F1794&lt;=4,G1794&gt;=6,H1794&gt;=6),"AT RISK",AND(F1794&lt;=2,G1794&gt;=8,H1794&gt;=8),"CAN'T LOSE THEM",AND(F1794&lt;=2,G1794&lt;=2,H1794&lt;=2),"HIBERNATING",TRUE(),"Other")</f>
        <v>Other</v>
      </c>
      <c r="K1794" s="1" t="n">
        <f aca="false">RANK(E1794,$E$7:$E$4378)+COUNTIF($E$7:E1794,E1794)-1</f>
        <v>4273</v>
      </c>
    </row>
    <row r="1795" customFormat="false" ht="14.25" hidden="false" customHeight="true" outlineLevel="0" collapsed="false">
      <c r="A1795" s="51" t="n">
        <v>14761</v>
      </c>
      <c r="B1795" s="53" t="n">
        <v>40828.5069444445</v>
      </c>
      <c r="C1795" s="57" t="n">
        <f aca="false">INT($C$2)-INT(Table3[[#This Row],[Last Purchase Date]])</f>
        <v>59</v>
      </c>
      <c r="D1795" s="1" t="n">
        <v>2</v>
      </c>
      <c r="E1795" s="1" t="n">
        <v>255.9</v>
      </c>
      <c r="F1795" s="1" t="n">
        <f aca="false">ROUND((1-_xlfn.PERCENTRANK.INC($C$7:$C$4378,C1795))*9,0)</f>
        <v>4</v>
      </c>
      <c r="G1795" s="1" t="n">
        <f aca="false">ROUND(_xlfn.PERCENTRANK.INC($D$7:$D$4378,D1795)*9,0)</f>
        <v>3</v>
      </c>
      <c r="H1795" s="1" t="n">
        <f aca="false">ROUND(_xlfn.PERCENTRANK.INC($E$7:$E$4378,E1795)*9,0)</f>
        <v>2</v>
      </c>
      <c r="I1795" s="1" t="str">
        <f aca="false">CONCATENATE(F1795,G1795,H1795)</f>
        <v>432</v>
      </c>
      <c r="J1795" s="1" t="str">
        <f aca="false">_xlfn.IFS(AND(F1795&gt;=8,G1795&gt;=8,H1795&gt;=8),"CHAMPION",AND(F1795&gt;=6,G1795&gt;=7,H1795&gt;=6),"LOYAL CUSTOMER",AND(F1795&gt;=6,G1795&gt;=5,H1795&gt;=5),"POTENTIAL LOYALIST",AND(F1795&gt;=8,G1795&lt;=2,H1795&gt;=5),"NEW CUSTOMERS",AND(F1795&gt;=6,G1795&lt;=2,H1795&gt;=3),"PROMISING",AND(F1795&gt;=3,G1795&gt;=3,H1795&gt;=3),"NEED ATTENTION",AND(F1795&lt;=4,G1795&gt;=6,H1795&gt;=6),"AT RISK",AND(F1795&lt;=2,G1795&gt;=8,H1795&gt;=8),"CAN'T LOSE THEM",AND(F1795&lt;=2,G1795&lt;=2,H1795&lt;=2),"HIBERNATING",TRUE(),"Other")</f>
        <v>Other</v>
      </c>
      <c r="K1795" s="1" t="n">
        <f aca="false">RANK(E1795,$E$7:$E$4378)+COUNTIF($E$7:E1795,E1795)-1</f>
        <v>3412</v>
      </c>
    </row>
    <row r="1796" customFormat="false" ht="14.25" hidden="false" customHeight="true" outlineLevel="0" collapsed="false">
      <c r="A1796" s="51" t="n">
        <v>14762</v>
      </c>
      <c r="B1796" s="53" t="n">
        <v>40623.3472222222</v>
      </c>
      <c r="C1796" s="57" t="n">
        <f aca="false">INT($C$2)-INT(Table3[[#This Row],[Last Purchase Date]])</f>
        <v>264</v>
      </c>
      <c r="D1796" s="1" t="n">
        <v>1</v>
      </c>
      <c r="E1796" s="1" t="n">
        <v>300.52</v>
      </c>
      <c r="F1796" s="1" t="n">
        <f aca="false">ROUND((1-_xlfn.PERCENTRANK.INC($C$7:$C$4378,C1796))*9,0)</f>
        <v>1</v>
      </c>
      <c r="G1796" s="1" t="n">
        <f aca="false">ROUND(_xlfn.PERCENTRANK.INC($D$7:$D$4378,D1796)*9,0)</f>
        <v>0</v>
      </c>
      <c r="H1796" s="1" t="n">
        <f aca="false">ROUND(_xlfn.PERCENTRANK.INC($E$7:$E$4378,E1796)*9,0)</f>
        <v>2</v>
      </c>
      <c r="I1796" s="1" t="str">
        <f aca="false">CONCATENATE(F1796,G1796,H1796)</f>
        <v>102</v>
      </c>
      <c r="J1796" s="1" t="str">
        <f aca="false">_xlfn.IFS(AND(F1796&gt;=8,G1796&gt;=8,H1796&gt;=8),"CHAMPION",AND(F1796&gt;=6,G1796&gt;=7,H1796&gt;=6),"LOYAL CUSTOMER",AND(F1796&gt;=6,G1796&gt;=5,H1796&gt;=5),"POTENTIAL LOYALIST",AND(F1796&gt;=8,G1796&lt;=2,H1796&gt;=5),"NEW CUSTOMERS",AND(F1796&gt;=6,G1796&lt;=2,H1796&gt;=3),"PROMISING",AND(F1796&gt;=3,G1796&gt;=3,H1796&gt;=3),"NEED ATTENTION",AND(F1796&lt;=4,G1796&gt;=6,H1796&gt;=6),"AT RISK",AND(F1796&lt;=2,G1796&gt;=8,H1796&gt;=8),"CAN'T LOSE THEM",AND(F1796&lt;=2,G1796&lt;=2,H1796&lt;=2),"HIBERNATING",TRUE(),"Other")</f>
        <v>HIBERNATING</v>
      </c>
      <c r="K1796" s="1" t="n">
        <f aca="false">RANK(E1796,$E$7:$E$4378)+COUNTIF($E$7:E1796,E1796)-1</f>
        <v>3251</v>
      </c>
    </row>
    <row r="1797" customFormat="false" ht="14.25" hidden="false" customHeight="true" outlineLevel="0" collapsed="false">
      <c r="A1797" s="51" t="n">
        <v>14764</v>
      </c>
      <c r="B1797" s="53" t="n">
        <v>40843.4486111111</v>
      </c>
      <c r="C1797" s="57" t="n">
        <f aca="false">INT($C$2)-INT(Table3[[#This Row],[Last Purchase Date]])</f>
        <v>44</v>
      </c>
      <c r="D1797" s="1" t="n">
        <v>2</v>
      </c>
      <c r="E1797" s="1" t="n">
        <v>250.55</v>
      </c>
      <c r="F1797" s="1" t="n">
        <f aca="false">ROUND((1-_xlfn.PERCENTRANK.INC($C$7:$C$4378,C1797))*9,0)</f>
        <v>5</v>
      </c>
      <c r="G1797" s="1" t="n">
        <f aca="false">ROUND(_xlfn.PERCENTRANK.INC($D$7:$D$4378,D1797)*9,0)</f>
        <v>3</v>
      </c>
      <c r="H1797" s="1" t="n">
        <f aca="false">ROUND(_xlfn.PERCENTRANK.INC($E$7:$E$4378,E1797)*9,0)</f>
        <v>2</v>
      </c>
      <c r="I1797" s="1" t="str">
        <f aca="false">CONCATENATE(F1797,G1797,H1797)</f>
        <v>532</v>
      </c>
      <c r="J1797" s="1" t="str">
        <f aca="false">_xlfn.IFS(AND(F1797&gt;=8,G1797&gt;=8,H1797&gt;=8),"CHAMPION",AND(F1797&gt;=6,G1797&gt;=7,H1797&gt;=6),"LOYAL CUSTOMER",AND(F1797&gt;=6,G1797&gt;=5,H1797&gt;=5),"POTENTIAL LOYALIST",AND(F1797&gt;=8,G1797&lt;=2,H1797&gt;=5),"NEW CUSTOMERS",AND(F1797&gt;=6,G1797&lt;=2,H1797&gt;=3),"PROMISING",AND(F1797&gt;=3,G1797&gt;=3,H1797&gt;=3),"NEED ATTENTION",AND(F1797&lt;=4,G1797&gt;=6,H1797&gt;=6),"AT RISK",AND(F1797&lt;=2,G1797&gt;=8,H1797&gt;=8),"CAN'T LOSE THEM",AND(F1797&lt;=2,G1797&lt;=2,H1797&lt;=2),"HIBERNATING",TRUE(),"Other")</f>
        <v>Other</v>
      </c>
      <c r="K1797" s="1" t="n">
        <f aca="false">RANK(E1797,$E$7:$E$4378)+COUNTIF($E$7:E1797,E1797)-1</f>
        <v>3435</v>
      </c>
    </row>
    <row r="1798" customFormat="false" ht="14.25" hidden="false" customHeight="true" outlineLevel="0" collapsed="false">
      <c r="A1798" s="51" t="n">
        <v>14765</v>
      </c>
      <c r="B1798" s="53" t="n">
        <v>40857.8284722222</v>
      </c>
      <c r="C1798" s="57" t="n">
        <f aca="false">INT($C$2)-INT(Table3[[#This Row],[Last Purchase Date]])</f>
        <v>30</v>
      </c>
      <c r="D1798" s="1" t="n">
        <v>3</v>
      </c>
      <c r="E1798" s="1" t="n">
        <v>254.11</v>
      </c>
      <c r="F1798" s="1" t="n">
        <f aca="false">ROUND((1-_xlfn.PERCENTRANK.INC($C$7:$C$4378,C1798))*9,0)</f>
        <v>6</v>
      </c>
      <c r="G1798" s="1" t="n">
        <f aca="false">ROUND(_xlfn.PERCENTRANK.INC($D$7:$D$4378,D1798)*9,0)</f>
        <v>4</v>
      </c>
      <c r="H1798" s="1" t="n">
        <f aca="false">ROUND(_xlfn.PERCENTRANK.INC($E$7:$E$4378,E1798)*9,0)</f>
        <v>2</v>
      </c>
      <c r="I1798" s="1" t="str">
        <f aca="false">CONCATENATE(F1798,G1798,H1798)</f>
        <v>642</v>
      </c>
      <c r="J1798" s="1" t="str">
        <f aca="false">_xlfn.IFS(AND(F1798&gt;=8,G1798&gt;=8,H1798&gt;=8),"CHAMPION",AND(F1798&gt;=6,G1798&gt;=7,H1798&gt;=6),"LOYAL CUSTOMER",AND(F1798&gt;=6,G1798&gt;=5,H1798&gt;=5),"POTENTIAL LOYALIST",AND(F1798&gt;=8,G1798&lt;=2,H1798&gt;=5),"NEW CUSTOMERS",AND(F1798&gt;=6,G1798&lt;=2,H1798&gt;=3),"PROMISING",AND(F1798&gt;=3,G1798&gt;=3,H1798&gt;=3),"NEED ATTENTION",AND(F1798&lt;=4,G1798&gt;=6,H1798&gt;=6),"AT RISK",AND(F1798&lt;=2,G1798&gt;=8,H1798&gt;=8),"CAN'T LOSE THEM",AND(F1798&lt;=2,G1798&lt;=2,H1798&lt;=2),"HIBERNATING",TRUE(),"Other")</f>
        <v>Other</v>
      </c>
      <c r="K1798" s="1" t="n">
        <f aca="false">RANK(E1798,$E$7:$E$4378)+COUNTIF($E$7:E1798,E1798)-1</f>
        <v>3419</v>
      </c>
    </row>
    <row r="1799" customFormat="false" ht="14.25" hidden="false" customHeight="true" outlineLevel="0" collapsed="false">
      <c r="A1799" s="51" t="n">
        <v>14766</v>
      </c>
      <c r="B1799" s="53" t="n">
        <v>40878.6701388889</v>
      </c>
      <c r="C1799" s="57" t="n">
        <f aca="false">INT($C$2)-INT(Table3[[#This Row],[Last Purchase Date]])</f>
        <v>9</v>
      </c>
      <c r="D1799" s="1" t="n">
        <v>8</v>
      </c>
      <c r="E1799" s="1" t="n">
        <v>2423.07</v>
      </c>
      <c r="F1799" s="1" t="n">
        <f aca="false">ROUND((1-_xlfn.PERCENTRANK.INC($C$7:$C$4378,C1799))*9,0)</f>
        <v>8</v>
      </c>
      <c r="G1799" s="1" t="n">
        <f aca="false">ROUND(_xlfn.PERCENTRANK.INC($D$7:$D$4378,D1799)*9,0)</f>
        <v>7</v>
      </c>
      <c r="H1799" s="1" t="n">
        <f aca="false">ROUND(_xlfn.PERCENTRANK.INC($E$7:$E$4378,E1799)*9,0)</f>
        <v>8</v>
      </c>
      <c r="I1799" s="1" t="str">
        <f aca="false">CONCATENATE(F1799,G1799,H1799)</f>
        <v>878</v>
      </c>
      <c r="J1799" s="1" t="str">
        <f aca="false">_xlfn.IFS(AND(F1799&gt;=8,G1799&gt;=8,H1799&gt;=8),"CHAMPION",AND(F1799&gt;=6,G1799&gt;=7,H1799&gt;=6),"LOYAL CUSTOMER",AND(F1799&gt;=6,G1799&gt;=5,H1799&gt;=5),"POTENTIAL LOYALIST",AND(F1799&gt;=8,G1799&lt;=2,H1799&gt;=5),"NEW CUSTOMERS",AND(F1799&gt;=6,G1799&lt;=2,H1799&gt;=3),"PROMISING",AND(F1799&gt;=3,G1799&gt;=3,H1799&gt;=3),"NEED ATTENTION",AND(F1799&lt;=4,G1799&gt;=6,H1799&gt;=6),"AT RISK",AND(F1799&lt;=2,G1799&gt;=8,H1799&gt;=8),"CAN'T LOSE THEM",AND(F1799&lt;=2,G1799&lt;=2,H1799&lt;=2),"HIBERNATING",TRUE(),"Other")</f>
        <v>LOYAL CUSTOMER</v>
      </c>
      <c r="K1799" s="1" t="n">
        <f aca="false">RANK(E1799,$E$7:$E$4378)+COUNTIF($E$7:E1799,E1799)-1</f>
        <v>704</v>
      </c>
    </row>
    <row r="1800" customFormat="false" ht="14.25" hidden="false" customHeight="true" outlineLevel="0" collapsed="false">
      <c r="A1800" s="51" t="n">
        <v>14768</v>
      </c>
      <c r="B1800" s="53" t="n">
        <v>40869.5375</v>
      </c>
      <c r="C1800" s="57" t="n">
        <f aca="false">INT($C$2)-INT(Table3[[#This Row],[Last Purchase Date]])</f>
        <v>18</v>
      </c>
      <c r="D1800" s="1" t="n">
        <v>3</v>
      </c>
      <c r="E1800" s="1" t="n">
        <v>139.5</v>
      </c>
      <c r="F1800" s="1" t="n">
        <f aca="false">ROUND((1-_xlfn.PERCENTRANK.INC($C$7:$C$4378,C1800))*9,0)</f>
        <v>7</v>
      </c>
      <c r="G1800" s="1" t="n">
        <f aca="false">ROUND(_xlfn.PERCENTRANK.INC($D$7:$D$4378,D1800)*9,0)</f>
        <v>4</v>
      </c>
      <c r="H1800" s="1" t="n">
        <f aca="false">ROUND(_xlfn.PERCENTRANK.INC($E$7:$E$4378,E1800)*9,0)</f>
        <v>1</v>
      </c>
      <c r="I1800" s="1" t="str">
        <f aca="false">CONCATENATE(F1800,G1800,H1800)</f>
        <v>741</v>
      </c>
      <c r="J1800" s="1" t="str">
        <f aca="false">_xlfn.IFS(AND(F1800&gt;=8,G1800&gt;=8,H1800&gt;=8),"CHAMPION",AND(F1800&gt;=6,G1800&gt;=7,H1800&gt;=6),"LOYAL CUSTOMER",AND(F1800&gt;=6,G1800&gt;=5,H1800&gt;=5),"POTENTIAL LOYALIST",AND(F1800&gt;=8,G1800&lt;=2,H1800&gt;=5),"NEW CUSTOMERS",AND(F1800&gt;=6,G1800&lt;=2,H1800&gt;=3),"PROMISING",AND(F1800&gt;=3,G1800&gt;=3,H1800&gt;=3),"NEED ATTENTION",AND(F1800&lt;=4,G1800&gt;=6,H1800&gt;=6),"AT RISK",AND(F1800&lt;=2,G1800&gt;=8,H1800&gt;=8),"CAN'T LOSE THEM",AND(F1800&lt;=2,G1800&lt;=2,H1800&lt;=2),"HIBERNATING",TRUE(),"Other")</f>
        <v>Other</v>
      </c>
      <c r="K1800" s="1" t="n">
        <f aca="false">RANK(E1800,$E$7:$E$4378)+COUNTIF($E$7:E1800,E1800)-1</f>
        <v>3959</v>
      </c>
    </row>
    <row r="1801" customFormat="false" ht="14.25" hidden="false" customHeight="true" outlineLevel="0" collapsed="false">
      <c r="A1801" s="51" t="n">
        <v>14769</v>
      </c>
      <c r="B1801" s="53" t="n">
        <v>40884.4333333333</v>
      </c>
      <c r="C1801" s="57" t="n">
        <f aca="false">INT($C$2)-INT(Table3[[#This Row],[Last Purchase Date]])</f>
        <v>3</v>
      </c>
      <c r="D1801" s="1" t="n">
        <v>10</v>
      </c>
      <c r="E1801" s="1" t="n">
        <v>10641.6</v>
      </c>
      <c r="F1801" s="1" t="n">
        <f aca="false">ROUND((1-_xlfn.PERCENTRANK.INC($C$7:$C$4378,C1801))*9,0)</f>
        <v>9</v>
      </c>
      <c r="G1801" s="1" t="n">
        <f aca="false">ROUND(_xlfn.PERCENTRANK.INC($D$7:$D$4378,D1801)*9,0)</f>
        <v>8</v>
      </c>
      <c r="H1801" s="1" t="n">
        <f aca="false">ROUND(_xlfn.PERCENTRANK.INC($E$7:$E$4378,E1801)*9,0)</f>
        <v>9</v>
      </c>
      <c r="I1801" s="1" t="str">
        <f aca="false">CONCATENATE(F1801,G1801,H1801)</f>
        <v>989</v>
      </c>
      <c r="J1801" s="1" t="str">
        <f aca="false">_xlfn.IFS(AND(F1801&gt;=8,G1801&gt;=8,H1801&gt;=8),"CHAMPION",AND(F1801&gt;=6,G1801&gt;=7,H1801&gt;=6),"LOYAL CUSTOMER",AND(F1801&gt;=6,G1801&gt;=5,H1801&gt;=5),"POTENTIAL LOYALIST",AND(F1801&gt;=8,G1801&lt;=2,H1801&gt;=5),"NEW CUSTOMERS",AND(F1801&gt;=6,G1801&lt;=2,H1801&gt;=3),"PROMISING",AND(F1801&gt;=3,G1801&gt;=3,H1801&gt;=3),"NEED ATTENTION",AND(F1801&lt;=4,G1801&gt;=6,H1801&gt;=6),"AT RISK",AND(F1801&lt;=2,G1801&gt;=8,H1801&gt;=8),"CAN'T LOSE THEM",AND(F1801&lt;=2,G1801&lt;=2,H1801&lt;=2),"HIBERNATING",TRUE(),"Other")</f>
        <v>CHAMPION</v>
      </c>
      <c r="K1801" s="1" t="n">
        <f aca="false">RANK(E1801,$E$7:$E$4378)+COUNTIF($E$7:E1801,E1801)-1</f>
        <v>86</v>
      </c>
    </row>
    <row r="1802" customFormat="false" ht="14.25" hidden="false" customHeight="true" outlineLevel="0" collapsed="false">
      <c r="A1802" s="51" t="n">
        <v>14770</v>
      </c>
      <c r="B1802" s="53" t="n">
        <v>40654.5979166667</v>
      </c>
      <c r="C1802" s="57" t="n">
        <f aca="false">INT($C$2)-INT(Table3[[#This Row],[Last Purchase Date]])</f>
        <v>233</v>
      </c>
      <c r="D1802" s="1" t="n">
        <v>2</v>
      </c>
      <c r="E1802" s="1" t="n">
        <v>876.42</v>
      </c>
      <c r="F1802" s="1" t="n">
        <f aca="false">ROUND((1-_xlfn.PERCENTRANK.INC($C$7:$C$4378,C1802))*9,0)</f>
        <v>1</v>
      </c>
      <c r="G1802" s="1" t="n">
        <f aca="false">ROUND(_xlfn.PERCENTRANK.INC($D$7:$D$4378,D1802)*9,0)</f>
        <v>3</v>
      </c>
      <c r="H1802" s="1" t="n">
        <f aca="false">ROUND(_xlfn.PERCENTRANK.INC($E$7:$E$4378,E1802)*9,0)</f>
        <v>5</v>
      </c>
      <c r="I1802" s="1" t="str">
        <f aca="false">CONCATENATE(F1802,G1802,H1802)</f>
        <v>135</v>
      </c>
      <c r="J1802" s="1" t="str">
        <f aca="false">_xlfn.IFS(AND(F1802&gt;=8,G1802&gt;=8,H1802&gt;=8),"CHAMPION",AND(F1802&gt;=6,G1802&gt;=7,H1802&gt;=6),"LOYAL CUSTOMER",AND(F1802&gt;=6,G1802&gt;=5,H1802&gt;=5),"POTENTIAL LOYALIST",AND(F1802&gt;=8,G1802&lt;=2,H1802&gt;=5),"NEW CUSTOMERS",AND(F1802&gt;=6,G1802&lt;=2,H1802&gt;=3),"PROMISING",AND(F1802&gt;=3,G1802&gt;=3,H1802&gt;=3),"NEED ATTENTION",AND(F1802&lt;=4,G1802&gt;=6,H1802&gt;=6),"AT RISK",AND(F1802&lt;=2,G1802&gt;=8,H1802&gt;=8),"CAN'T LOSE THEM",AND(F1802&lt;=2,G1802&lt;=2,H1802&lt;=2),"HIBERNATING",TRUE(),"Other")</f>
        <v>Other</v>
      </c>
      <c r="K1802" s="1" t="n">
        <f aca="false">RANK(E1802,$E$7:$E$4378)+COUNTIF($E$7:E1802,E1802)-1</f>
        <v>1793</v>
      </c>
    </row>
    <row r="1803" customFormat="false" ht="14.25" hidden="false" customHeight="true" outlineLevel="0" collapsed="false">
      <c r="A1803" s="51" t="n">
        <v>14772</v>
      </c>
      <c r="B1803" s="53" t="n">
        <v>40774.6277777778</v>
      </c>
      <c r="C1803" s="57" t="n">
        <f aca="false">INT($C$2)-INT(Table3[[#This Row],[Last Purchase Date]])</f>
        <v>113</v>
      </c>
      <c r="D1803" s="1" t="n">
        <v>1</v>
      </c>
      <c r="E1803" s="1" t="n">
        <v>139.26</v>
      </c>
      <c r="F1803" s="1" t="n">
        <f aca="false">ROUND((1-_xlfn.PERCENTRANK.INC($C$7:$C$4378,C1803))*9,0)</f>
        <v>3</v>
      </c>
      <c r="G1803" s="1" t="n">
        <f aca="false">ROUND(_xlfn.PERCENTRANK.INC($D$7:$D$4378,D1803)*9,0)</f>
        <v>0</v>
      </c>
      <c r="H1803" s="1" t="n">
        <f aca="false">ROUND(_xlfn.PERCENTRANK.INC($E$7:$E$4378,E1803)*9,0)</f>
        <v>1</v>
      </c>
      <c r="I1803" s="1" t="str">
        <f aca="false">CONCATENATE(F1803,G1803,H1803)</f>
        <v>301</v>
      </c>
      <c r="J1803" s="1" t="str">
        <f aca="false">_xlfn.IFS(AND(F1803&gt;=8,G1803&gt;=8,H1803&gt;=8),"CHAMPION",AND(F1803&gt;=6,G1803&gt;=7,H1803&gt;=6),"LOYAL CUSTOMER",AND(F1803&gt;=6,G1803&gt;=5,H1803&gt;=5),"POTENTIAL LOYALIST",AND(F1803&gt;=8,G1803&lt;=2,H1803&gt;=5),"NEW CUSTOMERS",AND(F1803&gt;=6,G1803&lt;=2,H1803&gt;=3),"PROMISING",AND(F1803&gt;=3,G1803&gt;=3,H1803&gt;=3),"NEED ATTENTION",AND(F1803&lt;=4,G1803&gt;=6,H1803&gt;=6),"AT RISK",AND(F1803&lt;=2,G1803&gt;=8,H1803&gt;=8),"CAN'T LOSE THEM",AND(F1803&lt;=2,G1803&lt;=2,H1803&lt;=2),"HIBERNATING",TRUE(),"Other")</f>
        <v>Other</v>
      </c>
      <c r="K1803" s="1" t="n">
        <f aca="false">RANK(E1803,$E$7:$E$4378)+COUNTIF($E$7:E1803,E1803)-1</f>
        <v>3962</v>
      </c>
    </row>
    <row r="1804" customFormat="false" ht="14.25" hidden="false" customHeight="true" outlineLevel="0" collapsed="false">
      <c r="A1804" s="51" t="n">
        <v>14775</v>
      </c>
      <c r="B1804" s="53" t="n">
        <v>40828.64375</v>
      </c>
      <c r="C1804" s="57" t="n">
        <f aca="false">INT($C$2)-INT(Table3[[#This Row],[Last Purchase Date]])</f>
        <v>59</v>
      </c>
      <c r="D1804" s="1" t="n">
        <v>3</v>
      </c>
      <c r="E1804" s="1" t="n">
        <v>1011.9</v>
      </c>
      <c r="F1804" s="1" t="n">
        <f aca="false">ROUND((1-_xlfn.PERCENTRANK.INC($C$7:$C$4378,C1804))*9,0)</f>
        <v>4</v>
      </c>
      <c r="G1804" s="1" t="n">
        <f aca="false">ROUND(_xlfn.PERCENTRANK.INC($D$7:$D$4378,D1804)*9,0)</f>
        <v>4</v>
      </c>
      <c r="H1804" s="1" t="n">
        <f aca="false">ROUND(_xlfn.PERCENTRANK.INC($E$7:$E$4378,E1804)*9,0)</f>
        <v>6</v>
      </c>
      <c r="I1804" s="1" t="str">
        <f aca="false">CONCATENATE(F1804,G1804,H1804)</f>
        <v>446</v>
      </c>
      <c r="J1804" s="1" t="str">
        <f aca="false">_xlfn.IFS(AND(F1804&gt;=8,G1804&gt;=8,H1804&gt;=8),"CHAMPION",AND(F1804&gt;=6,G1804&gt;=7,H1804&gt;=6),"LOYAL CUSTOMER",AND(F1804&gt;=6,G1804&gt;=5,H1804&gt;=5),"POTENTIAL LOYALIST",AND(F1804&gt;=8,G1804&lt;=2,H1804&gt;=5),"NEW CUSTOMERS",AND(F1804&gt;=6,G1804&lt;=2,H1804&gt;=3),"PROMISING",AND(F1804&gt;=3,G1804&gt;=3,H1804&gt;=3),"NEED ATTENTION",AND(F1804&lt;=4,G1804&gt;=6,H1804&gt;=6),"AT RISK",AND(F1804&lt;=2,G1804&gt;=8,H1804&gt;=8),"CAN'T LOSE THEM",AND(F1804&lt;=2,G1804&lt;=2,H1804&lt;=2),"HIBERNATING",TRUE(),"Other")</f>
        <v>NEED ATTENTION</v>
      </c>
      <c r="K1804" s="1" t="n">
        <f aca="false">RANK(E1804,$E$7:$E$4378)+COUNTIF($E$7:E1804,E1804)-1</f>
        <v>1618</v>
      </c>
    </row>
    <row r="1805" customFormat="false" ht="14.25" hidden="false" customHeight="true" outlineLevel="0" collapsed="false">
      <c r="A1805" s="51" t="n">
        <v>14776</v>
      </c>
      <c r="B1805" s="53" t="n">
        <v>40835.6486111111</v>
      </c>
      <c r="C1805" s="57" t="n">
        <f aca="false">INT($C$2)-INT(Table3[[#This Row],[Last Purchase Date]])</f>
        <v>52</v>
      </c>
      <c r="D1805" s="1" t="n">
        <v>13</v>
      </c>
      <c r="E1805" s="1" t="n">
        <v>2195.58</v>
      </c>
      <c r="F1805" s="1" t="n">
        <f aca="false">ROUND((1-_xlfn.PERCENTRANK.INC($C$7:$C$4378,C1805))*9,0)</f>
        <v>4</v>
      </c>
      <c r="G1805" s="1" t="n">
        <f aca="false">ROUND(_xlfn.PERCENTRANK.INC($D$7:$D$4378,D1805)*9,0)</f>
        <v>8</v>
      </c>
      <c r="H1805" s="1" t="n">
        <f aca="false">ROUND(_xlfn.PERCENTRANK.INC($E$7:$E$4378,E1805)*9,0)</f>
        <v>7</v>
      </c>
      <c r="I1805" s="1" t="str">
        <f aca="false">CONCATENATE(F1805,G1805,H1805)</f>
        <v>487</v>
      </c>
      <c r="J1805" s="1" t="str">
        <f aca="false">_xlfn.IFS(AND(F1805&gt;=8,G1805&gt;=8,H1805&gt;=8),"CHAMPION",AND(F1805&gt;=6,G1805&gt;=7,H1805&gt;=6),"LOYAL CUSTOMER",AND(F1805&gt;=6,G1805&gt;=5,H1805&gt;=5),"POTENTIAL LOYALIST",AND(F1805&gt;=8,G1805&lt;=2,H1805&gt;=5),"NEW CUSTOMERS",AND(F1805&gt;=6,G1805&lt;=2,H1805&gt;=3),"PROMISING",AND(F1805&gt;=3,G1805&gt;=3,H1805&gt;=3),"NEED ATTENTION",AND(F1805&lt;=4,G1805&gt;=6,H1805&gt;=6),"AT RISK",AND(F1805&lt;=2,G1805&gt;=8,H1805&gt;=8),"CAN'T LOSE THEM",AND(F1805&lt;=2,G1805&lt;=2,H1805&lt;=2),"HIBERNATING",TRUE(),"Other")</f>
        <v>NEED ATTENTION</v>
      </c>
      <c r="K1805" s="1" t="n">
        <f aca="false">RANK(E1805,$E$7:$E$4378)+COUNTIF($E$7:E1805,E1805)-1</f>
        <v>786</v>
      </c>
    </row>
    <row r="1806" customFormat="false" ht="14.25" hidden="false" customHeight="true" outlineLevel="0" collapsed="false">
      <c r="A1806" s="51" t="n">
        <v>14777</v>
      </c>
      <c r="B1806" s="53" t="n">
        <v>40882.5555555556</v>
      </c>
      <c r="C1806" s="57" t="n">
        <f aca="false">INT($C$2)-INT(Table3[[#This Row],[Last Purchase Date]])</f>
        <v>5</v>
      </c>
      <c r="D1806" s="1" t="n">
        <v>2</v>
      </c>
      <c r="E1806" s="1" t="n">
        <v>-17.45</v>
      </c>
      <c r="F1806" s="1" t="n">
        <f aca="false">ROUND((1-_xlfn.PERCENTRANK.INC($C$7:$C$4378,C1806))*9,0)</f>
        <v>8</v>
      </c>
      <c r="G1806" s="1" t="n">
        <f aca="false">ROUND(_xlfn.PERCENTRANK.INC($D$7:$D$4378,D1806)*9,0)</f>
        <v>3</v>
      </c>
      <c r="H1806" s="1" t="n">
        <f aca="false">ROUND(_xlfn.PERCENTRANK.INC($E$7:$E$4378,E1806)*9,0)</f>
        <v>0</v>
      </c>
      <c r="I1806" s="1" t="str">
        <f aca="false">CONCATENATE(F1806,G1806,H1806)</f>
        <v>830</v>
      </c>
      <c r="J1806" s="1" t="str">
        <f aca="false">_xlfn.IFS(AND(F1806&gt;=8,G1806&gt;=8,H1806&gt;=8),"CHAMPION",AND(F1806&gt;=6,G1806&gt;=7,H1806&gt;=6),"LOYAL CUSTOMER",AND(F1806&gt;=6,G1806&gt;=5,H1806&gt;=5),"POTENTIAL LOYALIST",AND(F1806&gt;=8,G1806&lt;=2,H1806&gt;=5),"NEW CUSTOMERS",AND(F1806&gt;=6,G1806&lt;=2,H1806&gt;=3),"PROMISING",AND(F1806&gt;=3,G1806&gt;=3,H1806&gt;=3),"NEED ATTENTION",AND(F1806&lt;=4,G1806&gt;=6,H1806&gt;=6),"AT RISK",AND(F1806&lt;=2,G1806&gt;=8,H1806&gt;=8),"CAN'T LOSE THEM",AND(F1806&lt;=2,G1806&lt;=2,H1806&lt;=2),"HIBERNATING",TRUE(),"Other")</f>
        <v>Other</v>
      </c>
      <c r="K1806" s="1" t="n">
        <f aca="false">RANK(E1806,$E$7:$E$4378)+COUNTIF($E$7:E1806,E1806)-1</f>
        <v>4342</v>
      </c>
    </row>
    <row r="1807" customFormat="false" ht="14.25" hidden="false" customHeight="true" outlineLevel="0" collapsed="false">
      <c r="A1807" s="51" t="n">
        <v>14778</v>
      </c>
      <c r="B1807" s="53" t="n">
        <v>40759.6409722222</v>
      </c>
      <c r="C1807" s="57" t="n">
        <f aca="false">INT($C$2)-INT(Table3[[#This Row],[Last Purchase Date]])</f>
        <v>128</v>
      </c>
      <c r="D1807" s="1" t="n">
        <v>2</v>
      </c>
      <c r="E1807" s="1" t="n">
        <v>730.86</v>
      </c>
      <c r="F1807" s="1" t="n">
        <f aca="false">ROUND((1-_xlfn.PERCENTRANK.INC($C$7:$C$4378,C1807))*9,0)</f>
        <v>2</v>
      </c>
      <c r="G1807" s="1" t="n">
        <f aca="false">ROUND(_xlfn.PERCENTRANK.INC($D$7:$D$4378,D1807)*9,0)</f>
        <v>3</v>
      </c>
      <c r="H1807" s="1" t="n">
        <f aca="false">ROUND(_xlfn.PERCENTRANK.INC($E$7:$E$4378,E1807)*9,0)</f>
        <v>5</v>
      </c>
      <c r="I1807" s="1" t="str">
        <f aca="false">CONCATENATE(F1807,G1807,H1807)</f>
        <v>235</v>
      </c>
      <c r="J1807" s="1" t="str">
        <f aca="false">_xlfn.IFS(AND(F1807&gt;=8,G1807&gt;=8,H1807&gt;=8),"CHAMPION",AND(F1807&gt;=6,G1807&gt;=7,H1807&gt;=6),"LOYAL CUSTOMER",AND(F1807&gt;=6,G1807&gt;=5,H1807&gt;=5),"POTENTIAL LOYALIST",AND(F1807&gt;=8,G1807&lt;=2,H1807&gt;=5),"NEW CUSTOMERS",AND(F1807&gt;=6,G1807&lt;=2,H1807&gt;=3),"PROMISING",AND(F1807&gt;=3,G1807&gt;=3,H1807&gt;=3),"NEED ATTENTION",AND(F1807&lt;=4,G1807&gt;=6,H1807&gt;=6),"AT RISK",AND(F1807&lt;=2,G1807&gt;=8,H1807&gt;=8),"CAN'T LOSE THEM",AND(F1807&lt;=2,G1807&lt;=2,H1807&lt;=2),"HIBERNATING",TRUE(),"Other")</f>
        <v>Other</v>
      </c>
      <c r="K1807" s="1" t="n">
        <f aca="false">RANK(E1807,$E$7:$E$4378)+COUNTIF($E$7:E1807,E1807)-1</f>
        <v>2009</v>
      </c>
    </row>
    <row r="1808" customFormat="false" ht="14.25" hidden="false" customHeight="true" outlineLevel="0" collapsed="false">
      <c r="A1808" s="51" t="n">
        <v>14779</v>
      </c>
      <c r="B1808" s="53" t="n">
        <v>40606.5291666667</v>
      </c>
      <c r="C1808" s="57" t="n">
        <f aca="false">INT($C$2)-INT(Table3[[#This Row],[Last Purchase Date]])</f>
        <v>281</v>
      </c>
      <c r="D1808" s="1" t="n">
        <v>3</v>
      </c>
      <c r="E1808" s="1" t="n">
        <v>386.15</v>
      </c>
      <c r="F1808" s="1" t="n">
        <f aca="false">ROUND((1-_xlfn.PERCENTRANK.INC($C$7:$C$4378,C1808))*9,0)</f>
        <v>1</v>
      </c>
      <c r="G1808" s="1" t="n">
        <f aca="false">ROUND(_xlfn.PERCENTRANK.INC($D$7:$D$4378,D1808)*9,0)</f>
        <v>4</v>
      </c>
      <c r="H1808" s="1" t="n">
        <f aca="false">ROUND(_xlfn.PERCENTRANK.INC($E$7:$E$4378,E1808)*9,0)</f>
        <v>3</v>
      </c>
      <c r="I1808" s="1" t="str">
        <f aca="false">CONCATENATE(F1808,G1808,H1808)</f>
        <v>143</v>
      </c>
      <c r="J1808" s="1" t="str">
        <f aca="false">_xlfn.IFS(AND(F1808&gt;=8,G1808&gt;=8,H1808&gt;=8),"CHAMPION",AND(F1808&gt;=6,G1808&gt;=7,H1808&gt;=6),"LOYAL CUSTOMER",AND(F1808&gt;=6,G1808&gt;=5,H1808&gt;=5),"POTENTIAL LOYALIST",AND(F1808&gt;=8,G1808&lt;=2,H1808&gt;=5),"NEW CUSTOMERS",AND(F1808&gt;=6,G1808&lt;=2,H1808&gt;=3),"PROMISING",AND(F1808&gt;=3,G1808&gt;=3,H1808&gt;=3),"NEED ATTENTION",AND(F1808&lt;=4,G1808&gt;=6,H1808&gt;=6),"AT RISK",AND(F1808&lt;=2,G1808&gt;=8,H1808&gt;=8),"CAN'T LOSE THEM",AND(F1808&lt;=2,G1808&lt;=2,H1808&lt;=2),"HIBERNATING",TRUE(),"Other")</f>
        <v>Other</v>
      </c>
      <c r="K1808" s="1" t="n">
        <f aca="false">RANK(E1808,$E$7:$E$4378)+COUNTIF($E$7:E1808,E1808)-1</f>
        <v>2863</v>
      </c>
    </row>
    <row r="1809" customFormat="false" ht="14.25" hidden="false" customHeight="true" outlineLevel="0" collapsed="false">
      <c r="A1809" s="51" t="n">
        <v>14780</v>
      </c>
      <c r="B1809" s="53" t="n">
        <v>40832.5319444445</v>
      </c>
      <c r="C1809" s="57" t="n">
        <f aca="false">INT($C$2)-INT(Table3[[#This Row],[Last Purchase Date]])</f>
        <v>55</v>
      </c>
      <c r="D1809" s="1" t="n">
        <v>2</v>
      </c>
      <c r="E1809" s="1" t="n">
        <v>447.68</v>
      </c>
      <c r="F1809" s="1" t="n">
        <f aca="false">ROUND((1-_xlfn.PERCENTRANK.INC($C$7:$C$4378,C1809))*9,0)</f>
        <v>4</v>
      </c>
      <c r="G1809" s="1" t="n">
        <f aca="false">ROUND(_xlfn.PERCENTRANK.INC($D$7:$D$4378,D1809)*9,0)</f>
        <v>3</v>
      </c>
      <c r="H1809" s="1" t="n">
        <f aca="false">ROUND(_xlfn.PERCENTRANK.INC($E$7:$E$4378,E1809)*9,0)</f>
        <v>3</v>
      </c>
      <c r="I1809" s="1" t="str">
        <f aca="false">CONCATENATE(F1809,G1809,H1809)</f>
        <v>433</v>
      </c>
      <c r="J1809" s="1" t="str">
        <f aca="false">_xlfn.IFS(AND(F1809&gt;=8,G1809&gt;=8,H1809&gt;=8),"CHAMPION",AND(F1809&gt;=6,G1809&gt;=7,H1809&gt;=6),"LOYAL CUSTOMER",AND(F1809&gt;=6,G1809&gt;=5,H1809&gt;=5),"POTENTIAL LOYALIST",AND(F1809&gt;=8,G1809&lt;=2,H1809&gt;=5),"NEW CUSTOMERS",AND(F1809&gt;=6,G1809&lt;=2,H1809&gt;=3),"PROMISING",AND(F1809&gt;=3,G1809&gt;=3,H1809&gt;=3),"NEED ATTENTION",AND(F1809&lt;=4,G1809&gt;=6,H1809&gt;=6),"AT RISK",AND(F1809&lt;=2,G1809&gt;=8,H1809&gt;=8),"CAN'T LOSE THEM",AND(F1809&lt;=2,G1809&lt;=2,H1809&lt;=2),"HIBERNATING",TRUE(),"Other")</f>
        <v>NEED ATTENTION</v>
      </c>
      <c r="K1809" s="1" t="n">
        <f aca="false">RANK(E1809,$E$7:$E$4378)+COUNTIF($E$7:E1809,E1809)-1</f>
        <v>2679</v>
      </c>
    </row>
    <row r="1810" customFormat="false" ht="14.25" hidden="false" customHeight="true" outlineLevel="0" collapsed="false">
      <c r="A1810" s="51" t="n">
        <v>14782</v>
      </c>
      <c r="B1810" s="53" t="n">
        <v>40567.4666666667</v>
      </c>
      <c r="C1810" s="57" t="n">
        <f aca="false">INT($C$2)-INT(Table3[[#This Row],[Last Purchase Date]])</f>
        <v>320</v>
      </c>
      <c r="D1810" s="1" t="n">
        <v>1</v>
      </c>
      <c r="E1810" s="1" t="n">
        <v>200.1</v>
      </c>
      <c r="F1810" s="1" t="n">
        <f aca="false">ROUND((1-_xlfn.PERCENTRANK.INC($C$7:$C$4378,C1810))*9,0)</f>
        <v>0</v>
      </c>
      <c r="G1810" s="1" t="n">
        <f aca="false">ROUND(_xlfn.PERCENTRANK.INC($D$7:$D$4378,D1810)*9,0)</f>
        <v>0</v>
      </c>
      <c r="H1810" s="1" t="n">
        <f aca="false">ROUND(_xlfn.PERCENTRANK.INC($E$7:$E$4378,E1810)*9,0)</f>
        <v>1</v>
      </c>
      <c r="I1810" s="1" t="str">
        <f aca="false">CONCATENATE(F1810,G1810,H1810)</f>
        <v>001</v>
      </c>
      <c r="J1810" s="1" t="str">
        <f aca="false">_xlfn.IFS(AND(F1810&gt;=8,G1810&gt;=8,H1810&gt;=8),"CHAMPION",AND(F1810&gt;=6,G1810&gt;=7,H1810&gt;=6),"LOYAL CUSTOMER",AND(F1810&gt;=6,G1810&gt;=5,H1810&gt;=5),"POTENTIAL LOYALIST",AND(F1810&gt;=8,G1810&lt;=2,H1810&gt;=5),"NEW CUSTOMERS",AND(F1810&gt;=6,G1810&lt;=2,H1810&gt;=3),"PROMISING",AND(F1810&gt;=3,G1810&gt;=3,H1810&gt;=3),"NEED ATTENTION",AND(F1810&lt;=4,G1810&gt;=6,H1810&gt;=6),"AT RISK",AND(F1810&lt;=2,G1810&gt;=8,H1810&gt;=8),"CAN'T LOSE THEM",AND(F1810&lt;=2,G1810&lt;=2,H1810&lt;=2),"HIBERNATING",TRUE(),"Other")</f>
        <v>HIBERNATING</v>
      </c>
      <c r="K1810" s="1" t="n">
        <f aca="false">RANK(E1810,$E$7:$E$4378)+COUNTIF($E$7:E1810,E1810)-1</f>
        <v>3659</v>
      </c>
    </row>
    <row r="1811" customFormat="false" ht="14.25" hidden="false" customHeight="true" outlineLevel="0" collapsed="false">
      <c r="A1811" s="51" t="n">
        <v>14784</v>
      </c>
      <c r="B1811" s="53" t="n">
        <v>40860.5625</v>
      </c>
      <c r="C1811" s="57" t="n">
        <f aca="false">INT($C$2)-INT(Table3[[#This Row],[Last Purchase Date]])</f>
        <v>27</v>
      </c>
      <c r="D1811" s="1" t="n">
        <v>2</v>
      </c>
      <c r="E1811" s="1" t="n">
        <v>289.99</v>
      </c>
      <c r="F1811" s="1" t="n">
        <f aca="false">ROUND((1-_xlfn.PERCENTRANK.INC($C$7:$C$4378,C1811))*9,0)</f>
        <v>6</v>
      </c>
      <c r="G1811" s="1" t="n">
        <f aca="false">ROUND(_xlfn.PERCENTRANK.INC($D$7:$D$4378,D1811)*9,0)</f>
        <v>3</v>
      </c>
      <c r="H1811" s="1" t="n">
        <f aca="false">ROUND(_xlfn.PERCENTRANK.INC($E$7:$E$4378,E1811)*9,0)</f>
        <v>2</v>
      </c>
      <c r="I1811" s="1" t="str">
        <f aca="false">CONCATENATE(F1811,G1811,H1811)</f>
        <v>632</v>
      </c>
      <c r="J1811" s="1" t="str">
        <f aca="false">_xlfn.IFS(AND(F1811&gt;=8,G1811&gt;=8,H1811&gt;=8),"CHAMPION",AND(F1811&gt;=6,G1811&gt;=7,H1811&gt;=6),"LOYAL CUSTOMER",AND(F1811&gt;=6,G1811&gt;=5,H1811&gt;=5),"POTENTIAL LOYALIST",AND(F1811&gt;=8,G1811&lt;=2,H1811&gt;=5),"NEW CUSTOMERS",AND(F1811&gt;=6,G1811&lt;=2,H1811&gt;=3),"PROMISING",AND(F1811&gt;=3,G1811&gt;=3,H1811&gt;=3),"NEED ATTENTION",AND(F1811&lt;=4,G1811&gt;=6,H1811&gt;=6),"AT RISK",AND(F1811&lt;=2,G1811&gt;=8,H1811&gt;=8),"CAN'T LOSE THEM",AND(F1811&lt;=2,G1811&lt;=2,H1811&lt;=2),"HIBERNATING",TRUE(),"Other")</f>
        <v>Other</v>
      </c>
      <c r="K1811" s="1" t="n">
        <f aca="false">RANK(E1811,$E$7:$E$4378)+COUNTIF($E$7:E1811,E1811)-1</f>
        <v>3295</v>
      </c>
    </row>
    <row r="1812" customFormat="false" ht="14.25" hidden="false" customHeight="true" outlineLevel="0" collapsed="false">
      <c r="A1812" s="51" t="n">
        <v>14785</v>
      </c>
      <c r="B1812" s="53" t="n">
        <v>40876.55625</v>
      </c>
      <c r="C1812" s="57" t="n">
        <f aca="false">INT($C$2)-INT(Table3[[#This Row],[Last Purchase Date]])</f>
        <v>11</v>
      </c>
      <c r="D1812" s="1" t="n">
        <v>2</v>
      </c>
      <c r="E1812" s="1" t="n">
        <v>77.4</v>
      </c>
      <c r="F1812" s="1" t="n">
        <f aca="false">ROUND((1-_xlfn.PERCENTRANK.INC($C$7:$C$4378,C1812))*9,0)</f>
        <v>7</v>
      </c>
      <c r="G1812" s="1" t="n">
        <f aca="false">ROUND(_xlfn.PERCENTRANK.INC($D$7:$D$4378,D1812)*9,0)</f>
        <v>3</v>
      </c>
      <c r="H1812" s="1" t="n">
        <f aca="false">ROUND(_xlfn.PERCENTRANK.INC($E$7:$E$4378,E1812)*9,0)</f>
        <v>0</v>
      </c>
      <c r="I1812" s="1" t="str">
        <f aca="false">CONCATENATE(F1812,G1812,H1812)</f>
        <v>730</v>
      </c>
      <c r="J1812" s="1" t="str">
        <f aca="false">_xlfn.IFS(AND(F1812&gt;=8,G1812&gt;=8,H1812&gt;=8),"CHAMPION",AND(F1812&gt;=6,G1812&gt;=7,H1812&gt;=6),"LOYAL CUSTOMER",AND(F1812&gt;=6,G1812&gt;=5,H1812&gt;=5),"POTENTIAL LOYALIST",AND(F1812&gt;=8,G1812&lt;=2,H1812&gt;=5),"NEW CUSTOMERS",AND(F1812&gt;=6,G1812&lt;=2,H1812&gt;=3),"PROMISING",AND(F1812&gt;=3,G1812&gt;=3,H1812&gt;=3),"NEED ATTENTION",AND(F1812&lt;=4,G1812&gt;=6,H1812&gt;=6),"AT RISK",AND(F1812&lt;=2,G1812&gt;=8,H1812&gt;=8),"CAN'T LOSE THEM",AND(F1812&lt;=2,G1812&lt;=2,H1812&lt;=2),"HIBERNATING",TRUE(),"Other")</f>
        <v>Other</v>
      </c>
      <c r="K1812" s="1" t="n">
        <f aca="false">RANK(E1812,$E$7:$E$4378)+COUNTIF($E$7:E1812,E1812)-1</f>
        <v>4223</v>
      </c>
    </row>
    <row r="1813" customFormat="false" ht="14.25" hidden="false" customHeight="true" outlineLevel="0" collapsed="false">
      <c r="A1813" s="51" t="n">
        <v>14788</v>
      </c>
      <c r="B1813" s="53" t="n">
        <v>40879.7125</v>
      </c>
      <c r="C1813" s="57" t="n">
        <f aca="false">INT($C$2)-INT(Table3[[#This Row],[Last Purchase Date]])</f>
        <v>8</v>
      </c>
      <c r="D1813" s="1" t="n">
        <v>2</v>
      </c>
      <c r="E1813" s="1" t="n">
        <v>679.44</v>
      </c>
      <c r="F1813" s="1" t="n">
        <f aca="false">ROUND((1-_xlfn.PERCENTRANK.INC($C$7:$C$4378,C1813))*9,0)</f>
        <v>8</v>
      </c>
      <c r="G1813" s="1" t="n">
        <f aca="false">ROUND(_xlfn.PERCENTRANK.INC($D$7:$D$4378,D1813)*9,0)</f>
        <v>3</v>
      </c>
      <c r="H1813" s="1" t="n">
        <f aca="false">ROUND(_xlfn.PERCENTRANK.INC($E$7:$E$4378,E1813)*9,0)</f>
        <v>5</v>
      </c>
      <c r="I1813" s="1" t="str">
        <f aca="false">CONCATENATE(F1813,G1813,H1813)</f>
        <v>835</v>
      </c>
      <c r="J1813" s="1" t="str">
        <f aca="false">_xlfn.IFS(AND(F1813&gt;=8,G1813&gt;=8,H1813&gt;=8),"CHAMPION",AND(F1813&gt;=6,G1813&gt;=7,H1813&gt;=6),"LOYAL CUSTOMER",AND(F1813&gt;=6,G1813&gt;=5,H1813&gt;=5),"POTENTIAL LOYALIST",AND(F1813&gt;=8,G1813&lt;=2,H1813&gt;=5),"NEW CUSTOMERS",AND(F1813&gt;=6,G1813&lt;=2,H1813&gt;=3),"PROMISING",AND(F1813&gt;=3,G1813&gt;=3,H1813&gt;=3),"NEED ATTENTION",AND(F1813&lt;=4,G1813&gt;=6,H1813&gt;=6),"AT RISK",AND(F1813&lt;=2,G1813&gt;=8,H1813&gt;=8),"CAN'T LOSE THEM",AND(F1813&lt;=2,G1813&lt;=2,H1813&lt;=2),"HIBERNATING",TRUE(),"Other")</f>
        <v>NEED ATTENTION</v>
      </c>
      <c r="K1813" s="1" t="n">
        <f aca="false">RANK(E1813,$E$7:$E$4378)+COUNTIF($E$7:E1813,E1813)-1</f>
        <v>2109</v>
      </c>
    </row>
    <row r="1814" customFormat="false" ht="14.25" hidden="false" customHeight="true" outlineLevel="0" collapsed="false">
      <c r="A1814" s="51" t="n">
        <v>14789</v>
      </c>
      <c r="B1814" s="53" t="n">
        <v>40858.3743055556</v>
      </c>
      <c r="C1814" s="57" t="n">
        <f aca="false">INT($C$2)-INT(Table3[[#This Row],[Last Purchase Date]])</f>
        <v>29</v>
      </c>
      <c r="D1814" s="1" t="n">
        <v>1</v>
      </c>
      <c r="E1814" s="1" t="n">
        <v>197.64</v>
      </c>
      <c r="F1814" s="1" t="n">
        <f aca="false">ROUND((1-_xlfn.PERCENTRANK.INC($C$7:$C$4378,C1814))*9,0)</f>
        <v>6</v>
      </c>
      <c r="G1814" s="1" t="n">
        <f aca="false">ROUND(_xlfn.PERCENTRANK.INC($D$7:$D$4378,D1814)*9,0)</f>
        <v>0</v>
      </c>
      <c r="H1814" s="1" t="n">
        <f aca="false">ROUND(_xlfn.PERCENTRANK.INC($E$7:$E$4378,E1814)*9,0)</f>
        <v>1</v>
      </c>
      <c r="I1814" s="1" t="str">
        <f aca="false">CONCATENATE(F1814,G1814,H1814)</f>
        <v>601</v>
      </c>
      <c r="J1814" s="1" t="str">
        <f aca="false">_xlfn.IFS(AND(F1814&gt;=8,G1814&gt;=8,H1814&gt;=8),"CHAMPION",AND(F1814&gt;=6,G1814&gt;=7,H1814&gt;=6),"LOYAL CUSTOMER",AND(F1814&gt;=6,G1814&gt;=5,H1814&gt;=5),"POTENTIAL LOYALIST",AND(F1814&gt;=8,G1814&lt;=2,H1814&gt;=5),"NEW CUSTOMERS",AND(F1814&gt;=6,G1814&lt;=2,H1814&gt;=3),"PROMISING",AND(F1814&gt;=3,G1814&gt;=3,H1814&gt;=3),"NEED ATTENTION",AND(F1814&lt;=4,G1814&gt;=6,H1814&gt;=6),"AT RISK",AND(F1814&lt;=2,G1814&gt;=8,H1814&gt;=8),"CAN'T LOSE THEM",AND(F1814&lt;=2,G1814&lt;=2,H1814&lt;=2),"HIBERNATING",TRUE(),"Other")</f>
        <v>Other</v>
      </c>
      <c r="K1814" s="1" t="n">
        <f aca="false">RANK(E1814,$E$7:$E$4378)+COUNTIF($E$7:E1814,E1814)-1</f>
        <v>3671</v>
      </c>
    </row>
    <row r="1815" customFormat="false" ht="14.25" hidden="false" customHeight="true" outlineLevel="0" collapsed="false">
      <c r="A1815" s="51" t="n">
        <v>14790</v>
      </c>
      <c r="B1815" s="53" t="n">
        <v>40870.3944444444</v>
      </c>
      <c r="C1815" s="57" t="n">
        <f aca="false">INT($C$2)-INT(Table3[[#This Row],[Last Purchase Date]])</f>
        <v>17</v>
      </c>
      <c r="D1815" s="1" t="n">
        <v>4</v>
      </c>
      <c r="E1815" s="1" t="n">
        <v>745.06</v>
      </c>
      <c r="F1815" s="1" t="n">
        <f aca="false">ROUND((1-_xlfn.PERCENTRANK.INC($C$7:$C$4378,C1815))*9,0)</f>
        <v>7</v>
      </c>
      <c r="G1815" s="1" t="n">
        <f aca="false">ROUND(_xlfn.PERCENTRANK.INC($D$7:$D$4378,D1815)*9,0)</f>
        <v>5</v>
      </c>
      <c r="H1815" s="1" t="n">
        <f aca="false">ROUND(_xlfn.PERCENTRANK.INC($E$7:$E$4378,E1815)*9,0)</f>
        <v>5</v>
      </c>
      <c r="I1815" s="1" t="str">
        <f aca="false">CONCATENATE(F1815,G1815,H1815)</f>
        <v>755</v>
      </c>
      <c r="J1815" s="1" t="str">
        <f aca="false">_xlfn.IFS(AND(F1815&gt;=8,G1815&gt;=8,H1815&gt;=8),"CHAMPION",AND(F1815&gt;=6,G1815&gt;=7,H1815&gt;=6),"LOYAL CUSTOMER",AND(F1815&gt;=6,G1815&gt;=5,H1815&gt;=5),"POTENTIAL LOYALIST",AND(F1815&gt;=8,G1815&lt;=2,H1815&gt;=5),"NEW CUSTOMERS",AND(F1815&gt;=6,G1815&lt;=2,H1815&gt;=3),"PROMISING",AND(F1815&gt;=3,G1815&gt;=3,H1815&gt;=3),"NEED ATTENTION",AND(F1815&lt;=4,G1815&gt;=6,H1815&gt;=6),"AT RISK",AND(F1815&lt;=2,G1815&gt;=8,H1815&gt;=8),"CAN'T LOSE THEM",AND(F1815&lt;=2,G1815&lt;=2,H1815&lt;=2),"HIBERNATING",TRUE(),"Other")</f>
        <v>POTENTIAL LOYALIST</v>
      </c>
      <c r="K1815" s="1" t="n">
        <f aca="false">RANK(E1815,$E$7:$E$4378)+COUNTIF($E$7:E1815,E1815)-1</f>
        <v>1985</v>
      </c>
    </row>
    <row r="1816" customFormat="false" ht="14.25" hidden="false" customHeight="true" outlineLevel="0" collapsed="false">
      <c r="A1816" s="51" t="n">
        <v>14792</v>
      </c>
      <c r="B1816" s="53" t="n">
        <v>40823.3881944444</v>
      </c>
      <c r="C1816" s="57" t="n">
        <f aca="false">INT($C$2)-INT(Table3[[#This Row],[Last Purchase Date]])</f>
        <v>64</v>
      </c>
      <c r="D1816" s="1" t="n">
        <v>2</v>
      </c>
      <c r="E1816" s="1" t="n">
        <v>0</v>
      </c>
      <c r="F1816" s="1" t="n">
        <f aca="false">ROUND((1-_xlfn.PERCENTRANK.INC($C$7:$C$4378,C1816))*9,0)</f>
        <v>4</v>
      </c>
      <c r="G1816" s="1" t="n">
        <f aca="false">ROUND(_xlfn.PERCENTRANK.INC($D$7:$D$4378,D1816)*9,0)</f>
        <v>3</v>
      </c>
      <c r="H1816" s="1" t="n">
        <f aca="false">ROUND(_xlfn.PERCENTRANK.INC($E$7:$E$4378,E1816)*9,0)</f>
        <v>0</v>
      </c>
      <c r="I1816" s="1" t="str">
        <f aca="false">CONCATENATE(F1816,G1816,H1816)</f>
        <v>430</v>
      </c>
      <c r="J1816" s="1" t="str">
        <f aca="false">_xlfn.IFS(AND(F1816&gt;=8,G1816&gt;=8,H1816&gt;=8),"CHAMPION",AND(F1816&gt;=6,G1816&gt;=7,H1816&gt;=6),"LOYAL CUSTOMER",AND(F1816&gt;=6,G1816&gt;=5,H1816&gt;=5),"POTENTIAL LOYALIST",AND(F1816&gt;=8,G1816&lt;=2,H1816&gt;=5),"NEW CUSTOMERS",AND(F1816&gt;=6,G1816&lt;=2,H1816&gt;=3),"PROMISING",AND(F1816&gt;=3,G1816&gt;=3,H1816&gt;=3),"NEED ATTENTION",AND(F1816&lt;=4,G1816&gt;=6,H1816&gt;=6),"AT RISK",AND(F1816&lt;=2,G1816&gt;=8,H1816&gt;=8),"CAN'T LOSE THEM",AND(F1816&lt;=2,G1816&lt;=2,H1816&lt;=2),"HIBERNATING",TRUE(),"Other")</f>
        <v>Other</v>
      </c>
      <c r="K1816" s="1" t="n">
        <f aca="false">RANK(E1816,$E$7:$E$4378)+COUNTIF($E$7:E1816,E1816)-1</f>
        <v>4325</v>
      </c>
    </row>
    <row r="1817" customFormat="false" ht="14.25" hidden="false" customHeight="true" outlineLevel="0" collapsed="false">
      <c r="A1817" s="51" t="n">
        <v>14793</v>
      </c>
      <c r="B1817" s="53" t="n">
        <v>40882.6840277778</v>
      </c>
      <c r="C1817" s="57" t="n">
        <f aca="false">INT($C$2)-INT(Table3[[#This Row],[Last Purchase Date]])</f>
        <v>5</v>
      </c>
      <c r="D1817" s="1" t="n">
        <v>2</v>
      </c>
      <c r="E1817" s="1" t="n">
        <v>214.14</v>
      </c>
      <c r="F1817" s="1" t="n">
        <f aca="false">ROUND((1-_xlfn.PERCENTRANK.INC($C$7:$C$4378,C1817))*9,0)</f>
        <v>8</v>
      </c>
      <c r="G1817" s="1" t="n">
        <f aca="false">ROUND(_xlfn.PERCENTRANK.INC($D$7:$D$4378,D1817)*9,0)</f>
        <v>3</v>
      </c>
      <c r="H1817" s="1" t="n">
        <f aca="false">ROUND(_xlfn.PERCENTRANK.INC($E$7:$E$4378,E1817)*9,0)</f>
        <v>2</v>
      </c>
      <c r="I1817" s="1" t="str">
        <f aca="false">CONCATENATE(F1817,G1817,H1817)</f>
        <v>832</v>
      </c>
      <c r="J1817" s="1" t="str">
        <f aca="false">_xlfn.IFS(AND(F1817&gt;=8,G1817&gt;=8,H1817&gt;=8),"CHAMPION",AND(F1817&gt;=6,G1817&gt;=7,H1817&gt;=6),"LOYAL CUSTOMER",AND(F1817&gt;=6,G1817&gt;=5,H1817&gt;=5),"POTENTIAL LOYALIST",AND(F1817&gt;=8,G1817&lt;=2,H1817&gt;=5),"NEW CUSTOMERS",AND(F1817&gt;=6,G1817&lt;=2,H1817&gt;=3),"PROMISING",AND(F1817&gt;=3,G1817&gt;=3,H1817&gt;=3),"NEED ATTENTION",AND(F1817&lt;=4,G1817&gt;=6,H1817&gt;=6),"AT RISK",AND(F1817&lt;=2,G1817&gt;=8,H1817&gt;=8),"CAN'T LOSE THEM",AND(F1817&lt;=2,G1817&lt;=2,H1817&lt;=2),"HIBERNATING",TRUE(),"Other")</f>
        <v>Other</v>
      </c>
      <c r="K1817" s="1" t="n">
        <f aca="false">RANK(E1817,$E$7:$E$4378)+COUNTIF($E$7:E1817,E1817)-1</f>
        <v>3593</v>
      </c>
    </row>
    <row r="1818" customFormat="false" ht="14.25" hidden="false" customHeight="true" outlineLevel="0" collapsed="false">
      <c r="A1818" s="51" t="n">
        <v>14794</v>
      </c>
      <c r="B1818" s="53" t="n">
        <v>40884.4243055556</v>
      </c>
      <c r="C1818" s="57" t="n">
        <f aca="false">INT($C$2)-INT(Table3[[#This Row],[Last Purchase Date]])</f>
        <v>3</v>
      </c>
      <c r="D1818" s="1" t="n">
        <v>9</v>
      </c>
      <c r="E1818" s="1" t="n">
        <v>1272.11</v>
      </c>
      <c r="F1818" s="1" t="n">
        <f aca="false">ROUND((1-_xlfn.PERCENTRANK.INC($C$7:$C$4378,C1818))*9,0)</f>
        <v>9</v>
      </c>
      <c r="G1818" s="1" t="n">
        <f aca="false">ROUND(_xlfn.PERCENTRANK.INC($D$7:$D$4378,D1818)*9,0)</f>
        <v>8</v>
      </c>
      <c r="H1818" s="1" t="n">
        <f aca="false">ROUND(_xlfn.PERCENTRANK.INC($E$7:$E$4378,E1818)*9,0)</f>
        <v>6</v>
      </c>
      <c r="I1818" s="1" t="str">
        <f aca="false">CONCATENATE(F1818,G1818,H1818)</f>
        <v>986</v>
      </c>
      <c r="J1818" s="1" t="str">
        <f aca="false">_xlfn.IFS(AND(F1818&gt;=8,G1818&gt;=8,H1818&gt;=8),"CHAMPION",AND(F1818&gt;=6,G1818&gt;=7,H1818&gt;=6),"LOYAL CUSTOMER",AND(F1818&gt;=6,G1818&gt;=5,H1818&gt;=5),"POTENTIAL LOYALIST",AND(F1818&gt;=8,G1818&lt;=2,H1818&gt;=5),"NEW CUSTOMERS",AND(F1818&gt;=6,G1818&lt;=2,H1818&gt;=3),"PROMISING",AND(F1818&gt;=3,G1818&gt;=3,H1818&gt;=3),"NEED ATTENTION",AND(F1818&lt;=4,G1818&gt;=6,H1818&gt;=6),"AT RISK",AND(F1818&lt;=2,G1818&gt;=8,H1818&gt;=8),"CAN'T LOSE THEM",AND(F1818&lt;=2,G1818&lt;=2,H1818&lt;=2),"HIBERNATING",TRUE(),"Other")</f>
        <v>LOYAL CUSTOMER</v>
      </c>
      <c r="K1818" s="1" t="n">
        <f aca="false">RANK(E1818,$E$7:$E$4378)+COUNTIF($E$7:E1818,E1818)-1</f>
        <v>1349</v>
      </c>
    </row>
    <row r="1819" customFormat="false" ht="14.25" hidden="false" customHeight="true" outlineLevel="0" collapsed="false">
      <c r="A1819" s="51" t="n">
        <v>14795</v>
      </c>
      <c r="B1819" s="53" t="n">
        <v>40720.5444444444</v>
      </c>
      <c r="C1819" s="57" t="n">
        <f aca="false">INT($C$2)-INT(Table3[[#This Row],[Last Purchase Date]])</f>
        <v>167</v>
      </c>
      <c r="D1819" s="1" t="n">
        <v>1</v>
      </c>
      <c r="E1819" s="1" t="n">
        <v>131.45</v>
      </c>
      <c r="F1819" s="1" t="n">
        <f aca="false">ROUND((1-_xlfn.PERCENTRANK.INC($C$7:$C$4378,C1819))*9,0)</f>
        <v>2</v>
      </c>
      <c r="G1819" s="1" t="n">
        <f aca="false">ROUND(_xlfn.PERCENTRANK.INC($D$7:$D$4378,D1819)*9,0)</f>
        <v>0</v>
      </c>
      <c r="H1819" s="1" t="n">
        <f aca="false">ROUND(_xlfn.PERCENTRANK.INC($E$7:$E$4378,E1819)*9,0)</f>
        <v>1</v>
      </c>
      <c r="I1819" s="1" t="str">
        <f aca="false">CONCATENATE(F1819,G1819,H1819)</f>
        <v>201</v>
      </c>
      <c r="J1819" s="1" t="str">
        <f aca="false">_xlfn.IFS(AND(F1819&gt;=8,G1819&gt;=8,H1819&gt;=8),"CHAMPION",AND(F1819&gt;=6,G1819&gt;=7,H1819&gt;=6),"LOYAL CUSTOMER",AND(F1819&gt;=6,G1819&gt;=5,H1819&gt;=5),"POTENTIAL LOYALIST",AND(F1819&gt;=8,G1819&lt;=2,H1819&gt;=5),"NEW CUSTOMERS",AND(F1819&gt;=6,G1819&lt;=2,H1819&gt;=3),"PROMISING",AND(F1819&gt;=3,G1819&gt;=3,H1819&gt;=3),"NEED ATTENTION",AND(F1819&lt;=4,G1819&gt;=6,H1819&gt;=6),"AT RISK",AND(F1819&lt;=2,G1819&gt;=8,H1819&gt;=8),"CAN'T LOSE THEM",AND(F1819&lt;=2,G1819&lt;=2,H1819&lt;=2),"HIBERNATING",TRUE(),"Other")</f>
        <v>HIBERNATING</v>
      </c>
      <c r="K1819" s="1" t="n">
        <f aca="false">RANK(E1819,$E$7:$E$4378)+COUNTIF($E$7:E1819,E1819)-1</f>
        <v>4004</v>
      </c>
    </row>
    <row r="1820" customFormat="false" ht="14.25" hidden="false" customHeight="true" outlineLevel="0" collapsed="false">
      <c r="A1820" s="51" t="n">
        <v>14796</v>
      </c>
      <c r="B1820" s="53" t="n">
        <v>40885.6465277778</v>
      </c>
      <c r="C1820" s="57" t="n">
        <f aca="false">INT($C$2)-INT(Table3[[#This Row],[Last Purchase Date]])</f>
        <v>2</v>
      </c>
      <c r="D1820" s="1" t="n">
        <v>27</v>
      </c>
      <c r="E1820" s="1" t="n">
        <v>7839.51</v>
      </c>
      <c r="F1820" s="1" t="n">
        <f aca="false">ROUND((1-_xlfn.PERCENTRANK.INC($C$7:$C$4378,C1820))*9,0)</f>
        <v>9</v>
      </c>
      <c r="G1820" s="1" t="n">
        <f aca="false">ROUND(_xlfn.PERCENTRANK.INC($D$7:$D$4378,D1820)*9,0)</f>
        <v>9</v>
      </c>
      <c r="H1820" s="1" t="n">
        <f aca="false">ROUND(_xlfn.PERCENTRANK.INC($E$7:$E$4378,E1820)*9,0)</f>
        <v>9</v>
      </c>
      <c r="I1820" s="1" t="str">
        <f aca="false">CONCATENATE(F1820,G1820,H1820)</f>
        <v>999</v>
      </c>
      <c r="J1820" s="1" t="str">
        <f aca="false">_xlfn.IFS(AND(F1820&gt;=8,G1820&gt;=8,H1820&gt;=8),"CHAMPION",AND(F1820&gt;=6,G1820&gt;=7,H1820&gt;=6),"LOYAL CUSTOMER",AND(F1820&gt;=6,G1820&gt;=5,H1820&gt;=5),"POTENTIAL LOYALIST",AND(F1820&gt;=8,G1820&lt;=2,H1820&gt;=5),"NEW CUSTOMERS",AND(F1820&gt;=6,G1820&lt;=2,H1820&gt;=3),"PROMISING",AND(F1820&gt;=3,G1820&gt;=3,H1820&gt;=3),"NEED ATTENTION",AND(F1820&lt;=4,G1820&gt;=6,H1820&gt;=6),"AT RISK",AND(F1820&lt;=2,G1820&gt;=8,H1820&gt;=8),"CAN'T LOSE THEM",AND(F1820&lt;=2,G1820&lt;=2,H1820&lt;=2),"HIBERNATING",TRUE(),"Other")</f>
        <v>CHAMPION</v>
      </c>
      <c r="K1820" s="1" t="n">
        <f aca="false">RANK(E1820,$E$7:$E$4378)+COUNTIF($E$7:E1820,E1820)-1</f>
        <v>132</v>
      </c>
    </row>
    <row r="1821" customFormat="false" ht="14.25" hidden="false" customHeight="true" outlineLevel="0" collapsed="false">
      <c r="A1821" s="51" t="n">
        <v>14798</v>
      </c>
      <c r="B1821" s="53" t="n">
        <v>40834.4569444444</v>
      </c>
      <c r="C1821" s="57" t="n">
        <f aca="false">INT($C$2)-INT(Table3[[#This Row],[Last Purchase Date]])</f>
        <v>53</v>
      </c>
      <c r="D1821" s="1" t="n">
        <v>3</v>
      </c>
      <c r="E1821" s="1" t="n">
        <v>173.74</v>
      </c>
      <c r="F1821" s="1" t="n">
        <f aca="false">ROUND((1-_xlfn.PERCENTRANK.INC($C$7:$C$4378,C1821))*9,0)</f>
        <v>4</v>
      </c>
      <c r="G1821" s="1" t="n">
        <f aca="false">ROUND(_xlfn.PERCENTRANK.INC($D$7:$D$4378,D1821)*9,0)</f>
        <v>4</v>
      </c>
      <c r="H1821" s="1" t="n">
        <f aca="false">ROUND(_xlfn.PERCENTRANK.INC($E$7:$E$4378,E1821)*9,0)</f>
        <v>1</v>
      </c>
      <c r="I1821" s="1" t="str">
        <f aca="false">CONCATENATE(F1821,G1821,H1821)</f>
        <v>441</v>
      </c>
      <c r="J1821" s="1" t="str">
        <f aca="false">_xlfn.IFS(AND(F1821&gt;=8,G1821&gt;=8,H1821&gt;=8),"CHAMPION",AND(F1821&gt;=6,G1821&gt;=7,H1821&gt;=6),"LOYAL CUSTOMER",AND(F1821&gt;=6,G1821&gt;=5,H1821&gt;=5),"POTENTIAL LOYALIST",AND(F1821&gt;=8,G1821&lt;=2,H1821&gt;=5),"NEW CUSTOMERS",AND(F1821&gt;=6,G1821&lt;=2,H1821&gt;=3),"PROMISING",AND(F1821&gt;=3,G1821&gt;=3,H1821&gt;=3),"NEED ATTENTION",AND(F1821&lt;=4,G1821&gt;=6,H1821&gt;=6),"AT RISK",AND(F1821&lt;=2,G1821&gt;=8,H1821&gt;=8),"CAN'T LOSE THEM",AND(F1821&lt;=2,G1821&lt;=2,H1821&lt;=2),"HIBERNATING",TRUE(),"Other")</f>
        <v>Other</v>
      </c>
      <c r="K1821" s="1" t="n">
        <f aca="false">RANK(E1821,$E$7:$E$4378)+COUNTIF($E$7:E1821,E1821)-1</f>
        <v>3787</v>
      </c>
    </row>
    <row r="1822" customFormat="false" ht="14.25" hidden="false" customHeight="true" outlineLevel="0" collapsed="false">
      <c r="A1822" s="51" t="n">
        <v>14799</v>
      </c>
      <c r="B1822" s="53" t="n">
        <v>40835.6777777778</v>
      </c>
      <c r="C1822" s="57" t="n">
        <f aca="false">INT($C$2)-INT(Table3[[#This Row],[Last Purchase Date]])</f>
        <v>52</v>
      </c>
      <c r="D1822" s="1" t="n">
        <v>1</v>
      </c>
      <c r="E1822" s="1" t="n">
        <v>157.7</v>
      </c>
      <c r="F1822" s="1" t="n">
        <f aca="false">ROUND((1-_xlfn.PERCENTRANK.INC($C$7:$C$4378,C1822))*9,0)</f>
        <v>4</v>
      </c>
      <c r="G1822" s="1" t="n">
        <f aca="false">ROUND(_xlfn.PERCENTRANK.INC($D$7:$D$4378,D1822)*9,0)</f>
        <v>0</v>
      </c>
      <c r="H1822" s="1" t="n">
        <f aca="false">ROUND(_xlfn.PERCENTRANK.INC($E$7:$E$4378,E1822)*9,0)</f>
        <v>1</v>
      </c>
      <c r="I1822" s="1" t="str">
        <f aca="false">CONCATENATE(F1822,G1822,H1822)</f>
        <v>401</v>
      </c>
      <c r="J1822" s="1" t="str">
        <f aca="false">_xlfn.IFS(AND(F1822&gt;=8,G1822&gt;=8,H1822&gt;=8),"CHAMPION",AND(F1822&gt;=6,G1822&gt;=7,H1822&gt;=6),"LOYAL CUSTOMER",AND(F1822&gt;=6,G1822&gt;=5,H1822&gt;=5),"POTENTIAL LOYALIST",AND(F1822&gt;=8,G1822&lt;=2,H1822&gt;=5),"NEW CUSTOMERS",AND(F1822&gt;=6,G1822&lt;=2,H1822&gt;=3),"PROMISING",AND(F1822&gt;=3,G1822&gt;=3,H1822&gt;=3),"NEED ATTENTION",AND(F1822&lt;=4,G1822&gt;=6,H1822&gt;=6),"AT RISK",AND(F1822&lt;=2,G1822&gt;=8,H1822&gt;=8),"CAN'T LOSE THEM",AND(F1822&lt;=2,G1822&lt;=2,H1822&lt;=2),"HIBERNATING",TRUE(),"Other")</f>
        <v>Other</v>
      </c>
      <c r="K1822" s="1" t="n">
        <f aca="false">RANK(E1822,$E$7:$E$4378)+COUNTIF($E$7:E1822,E1822)-1</f>
        <v>3871</v>
      </c>
    </row>
    <row r="1823" customFormat="false" ht="14.25" hidden="false" customHeight="true" outlineLevel="0" collapsed="false">
      <c r="A1823" s="51" t="n">
        <v>14800</v>
      </c>
      <c r="B1823" s="53" t="n">
        <v>40839.5319444445</v>
      </c>
      <c r="C1823" s="57" t="n">
        <f aca="false">INT($C$2)-INT(Table3[[#This Row],[Last Purchase Date]])</f>
        <v>48</v>
      </c>
      <c r="D1823" s="1" t="n">
        <v>16</v>
      </c>
      <c r="E1823" s="1" t="n">
        <v>4236.34</v>
      </c>
      <c r="F1823" s="1" t="n">
        <f aca="false">ROUND((1-_xlfn.PERCENTRANK.INC($C$7:$C$4378,C1823))*9,0)</f>
        <v>5</v>
      </c>
      <c r="G1823" s="1" t="n">
        <f aca="false">ROUND(_xlfn.PERCENTRANK.INC($D$7:$D$4378,D1823)*9,0)</f>
        <v>9</v>
      </c>
      <c r="H1823" s="1" t="n">
        <f aca="false">ROUND(_xlfn.PERCENTRANK.INC($E$7:$E$4378,E1823)*9,0)</f>
        <v>8</v>
      </c>
      <c r="I1823" s="1" t="str">
        <f aca="false">CONCATENATE(F1823,G1823,H1823)</f>
        <v>598</v>
      </c>
      <c r="J1823" s="1" t="str">
        <f aca="false">_xlfn.IFS(AND(F1823&gt;=8,G1823&gt;=8,H1823&gt;=8),"CHAMPION",AND(F1823&gt;=6,G1823&gt;=7,H1823&gt;=6),"LOYAL CUSTOMER",AND(F1823&gt;=6,G1823&gt;=5,H1823&gt;=5),"POTENTIAL LOYALIST",AND(F1823&gt;=8,G1823&lt;=2,H1823&gt;=5),"NEW CUSTOMERS",AND(F1823&gt;=6,G1823&lt;=2,H1823&gt;=3),"PROMISING",AND(F1823&gt;=3,G1823&gt;=3,H1823&gt;=3),"NEED ATTENTION",AND(F1823&lt;=4,G1823&gt;=6,H1823&gt;=6),"AT RISK",AND(F1823&lt;=2,G1823&gt;=8,H1823&gt;=8),"CAN'T LOSE THEM",AND(F1823&lt;=2,G1823&lt;=2,H1823&lt;=2),"HIBERNATING",TRUE(),"Other")</f>
        <v>NEED ATTENTION</v>
      </c>
      <c r="K1823" s="1" t="n">
        <f aca="false">RANK(E1823,$E$7:$E$4378)+COUNTIF($E$7:E1823,E1823)-1</f>
        <v>325</v>
      </c>
    </row>
    <row r="1824" customFormat="false" ht="14.25" hidden="false" customHeight="true" outlineLevel="0" collapsed="false">
      <c r="A1824" s="51" t="n">
        <v>14801</v>
      </c>
      <c r="B1824" s="53" t="n">
        <v>40825.6416666667</v>
      </c>
      <c r="C1824" s="57" t="n">
        <f aca="false">INT($C$2)-INT(Table3[[#This Row],[Last Purchase Date]])</f>
        <v>62</v>
      </c>
      <c r="D1824" s="1" t="n">
        <v>1</v>
      </c>
      <c r="E1824" s="1" t="n">
        <v>193.14</v>
      </c>
      <c r="F1824" s="1" t="n">
        <f aca="false">ROUND((1-_xlfn.PERCENTRANK.INC($C$7:$C$4378,C1824))*9,0)</f>
        <v>4</v>
      </c>
      <c r="G1824" s="1" t="n">
        <f aca="false">ROUND(_xlfn.PERCENTRANK.INC($D$7:$D$4378,D1824)*9,0)</f>
        <v>0</v>
      </c>
      <c r="H1824" s="1" t="n">
        <f aca="false">ROUND(_xlfn.PERCENTRANK.INC($E$7:$E$4378,E1824)*9,0)</f>
        <v>1</v>
      </c>
      <c r="I1824" s="1" t="str">
        <f aca="false">CONCATENATE(F1824,G1824,H1824)</f>
        <v>401</v>
      </c>
      <c r="J1824" s="1" t="str">
        <f aca="false">_xlfn.IFS(AND(F1824&gt;=8,G1824&gt;=8,H1824&gt;=8),"CHAMPION",AND(F1824&gt;=6,G1824&gt;=7,H1824&gt;=6),"LOYAL CUSTOMER",AND(F1824&gt;=6,G1824&gt;=5,H1824&gt;=5),"POTENTIAL LOYALIST",AND(F1824&gt;=8,G1824&lt;=2,H1824&gt;=5),"NEW CUSTOMERS",AND(F1824&gt;=6,G1824&lt;=2,H1824&gt;=3),"PROMISING",AND(F1824&gt;=3,G1824&gt;=3,H1824&gt;=3),"NEED ATTENTION",AND(F1824&lt;=4,G1824&gt;=6,H1824&gt;=6),"AT RISK",AND(F1824&lt;=2,G1824&gt;=8,H1824&gt;=8),"CAN'T LOSE THEM",AND(F1824&lt;=2,G1824&lt;=2,H1824&lt;=2),"HIBERNATING",TRUE(),"Other")</f>
        <v>Other</v>
      </c>
      <c r="K1824" s="1" t="n">
        <f aca="false">RANK(E1824,$E$7:$E$4378)+COUNTIF($E$7:E1824,E1824)-1</f>
        <v>3695</v>
      </c>
    </row>
    <row r="1825" customFormat="false" ht="14.25" hidden="false" customHeight="true" outlineLevel="0" collapsed="false">
      <c r="A1825" s="51" t="n">
        <v>14803</v>
      </c>
      <c r="B1825" s="53" t="n">
        <v>40724.5819444444</v>
      </c>
      <c r="C1825" s="57" t="n">
        <f aca="false">INT($C$2)-INT(Table3[[#This Row],[Last Purchase Date]])</f>
        <v>163</v>
      </c>
      <c r="D1825" s="1" t="n">
        <v>3</v>
      </c>
      <c r="E1825" s="1" t="n">
        <v>845.55</v>
      </c>
      <c r="F1825" s="1" t="n">
        <f aca="false">ROUND((1-_xlfn.PERCENTRANK.INC($C$7:$C$4378,C1825))*9,0)</f>
        <v>2</v>
      </c>
      <c r="G1825" s="1" t="n">
        <f aca="false">ROUND(_xlfn.PERCENTRANK.INC($D$7:$D$4378,D1825)*9,0)</f>
        <v>4</v>
      </c>
      <c r="H1825" s="1" t="n">
        <f aca="false">ROUND(_xlfn.PERCENTRANK.INC($E$7:$E$4378,E1825)*9,0)</f>
        <v>5</v>
      </c>
      <c r="I1825" s="1" t="str">
        <f aca="false">CONCATENATE(F1825,G1825,H1825)</f>
        <v>245</v>
      </c>
      <c r="J1825" s="1" t="str">
        <f aca="false">_xlfn.IFS(AND(F1825&gt;=8,G1825&gt;=8,H1825&gt;=8),"CHAMPION",AND(F1825&gt;=6,G1825&gt;=7,H1825&gt;=6),"LOYAL CUSTOMER",AND(F1825&gt;=6,G1825&gt;=5,H1825&gt;=5),"POTENTIAL LOYALIST",AND(F1825&gt;=8,G1825&lt;=2,H1825&gt;=5),"NEW CUSTOMERS",AND(F1825&gt;=6,G1825&lt;=2,H1825&gt;=3),"PROMISING",AND(F1825&gt;=3,G1825&gt;=3,H1825&gt;=3),"NEED ATTENTION",AND(F1825&lt;=4,G1825&gt;=6,H1825&gt;=6),"AT RISK",AND(F1825&lt;=2,G1825&gt;=8,H1825&gt;=8),"CAN'T LOSE THEM",AND(F1825&lt;=2,G1825&lt;=2,H1825&lt;=2),"HIBERNATING",TRUE(),"Other")</f>
        <v>Other</v>
      </c>
      <c r="K1825" s="1" t="n">
        <f aca="false">RANK(E1825,$E$7:$E$4378)+COUNTIF($E$7:E1825,E1825)-1</f>
        <v>1838</v>
      </c>
    </row>
    <row r="1826" customFormat="false" ht="14.25" hidden="false" customHeight="true" outlineLevel="0" collapsed="false">
      <c r="A1826" s="51" t="n">
        <v>14804</v>
      </c>
      <c r="B1826" s="53" t="n">
        <v>40878.4722222222</v>
      </c>
      <c r="C1826" s="57" t="n">
        <f aca="false">INT($C$2)-INT(Table3[[#This Row],[Last Purchase Date]])</f>
        <v>9</v>
      </c>
      <c r="D1826" s="1" t="n">
        <v>1</v>
      </c>
      <c r="E1826" s="1" t="n">
        <v>353.27</v>
      </c>
      <c r="F1826" s="1" t="n">
        <f aca="false">ROUND((1-_xlfn.PERCENTRANK.INC($C$7:$C$4378,C1826))*9,0)</f>
        <v>8</v>
      </c>
      <c r="G1826" s="1" t="n">
        <f aca="false">ROUND(_xlfn.PERCENTRANK.INC($D$7:$D$4378,D1826)*9,0)</f>
        <v>0</v>
      </c>
      <c r="H1826" s="1" t="n">
        <f aca="false">ROUND(_xlfn.PERCENTRANK.INC($E$7:$E$4378,E1826)*9,0)</f>
        <v>3</v>
      </c>
      <c r="I1826" s="1" t="str">
        <f aca="false">CONCATENATE(F1826,G1826,H1826)</f>
        <v>803</v>
      </c>
      <c r="J1826" s="1" t="str">
        <f aca="false">_xlfn.IFS(AND(F1826&gt;=8,G1826&gt;=8,H1826&gt;=8),"CHAMPION",AND(F1826&gt;=6,G1826&gt;=7,H1826&gt;=6),"LOYAL CUSTOMER",AND(F1826&gt;=6,G1826&gt;=5,H1826&gt;=5),"POTENTIAL LOYALIST",AND(F1826&gt;=8,G1826&lt;=2,H1826&gt;=5),"NEW CUSTOMERS",AND(F1826&gt;=6,G1826&lt;=2,H1826&gt;=3),"PROMISING",AND(F1826&gt;=3,G1826&gt;=3,H1826&gt;=3),"NEED ATTENTION",AND(F1826&lt;=4,G1826&gt;=6,H1826&gt;=6),"AT RISK",AND(F1826&lt;=2,G1826&gt;=8,H1826&gt;=8),"CAN'T LOSE THEM",AND(F1826&lt;=2,G1826&lt;=2,H1826&lt;=2),"HIBERNATING",TRUE(),"Other")</f>
        <v>PROMISING</v>
      </c>
      <c r="K1826" s="1" t="n">
        <f aca="false">RANK(E1826,$E$7:$E$4378)+COUNTIF($E$7:E1826,E1826)-1</f>
        <v>2993</v>
      </c>
    </row>
    <row r="1827" customFormat="false" ht="14.25" hidden="false" customHeight="true" outlineLevel="0" collapsed="false">
      <c r="A1827" s="51" t="n">
        <v>14805</v>
      </c>
      <c r="B1827" s="53" t="n">
        <v>40871.6805555556</v>
      </c>
      <c r="C1827" s="57" t="n">
        <f aca="false">INT($C$2)-INT(Table3[[#This Row],[Last Purchase Date]])</f>
        <v>16</v>
      </c>
      <c r="D1827" s="1" t="n">
        <v>4</v>
      </c>
      <c r="E1827" s="1" t="n">
        <v>554.65</v>
      </c>
      <c r="F1827" s="1" t="n">
        <f aca="false">ROUND((1-_xlfn.PERCENTRANK.INC($C$7:$C$4378,C1827))*9,0)</f>
        <v>7</v>
      </c>
      <c r="G1827" s="1" t="n">
        <f aca="false">ROUND(_xlfn.PERCENTRANK.INC($D$7:$D$4378,D1827)*9,0)</f>
        <v>5</v>
      </c>
      <c r="H1827" s="1" t="n">
        <f aca="false">ROUND(_xlfn.PERCENTRANK.INC($E$7:$E$4378,E1827)*9,0)</f>
        <v>4</v>
      </c>
      <c r="I1827" s="1" t="str">
        <f aca="false">CONCATENATE(F1827,G1827,H1827)</f>
        <v>754</v>
      </c>
      <c r="J1827" s="1" t="str">
        <f aca="false">_xlfn.IFS(AND(F1827&gt;=8,G1827&gt;=8,H1827&gt;=8),"CHAMPION",AND(F1827&gt;=6,G1827&gt;=7,H1827&gt;=6),"LOYAL CUSTOMER",AND(F1827&gt;=6,G1827&gt;=5,H1827&gt;=5),"POTENTIAL LOYALIST",AND(F1827&gt;=8,G1827&lt;=2,H1827&gt;=5),"NEW CUSTOMERS",AND(F1827&gt;=6,G1827&lt;=2,H1827&gt;=3),"PROMISING",AND(F1827&gt;=3,G1827&gt;=3,H1827&gt;=3),"NEED ATTENTION",AND(F1827&lt;=4,G1827&gt;=6,H1827&gt;=6),"AT RISK",AND(F1827&lt;=2,G1827&gt;=8,H1827&gt;=8),"CAN'T LOSE THEM",AND(F1827&lt;=2,G1827&lt;=2,H1827&lt;=2),"HIBERNATING",TRUE(),"Other")</f>
        <v>NEED ATTENTION</v>
      </c>
      <c r="K1827" s="1" t="n">
        <f aca="false">RANK(E1827,$E$7:$E$4378)+COUNTIF($E$7:E1827,E1827)-1</f>
        <v>2420</v>
      </c>
    </row>
    <row r="1828" customFormat="false" ht="14.25" hidden="false" customHeight="true" outlineLevel="0" collapsed="false">
      <c r="A1828" s="51" t="n">
        <v>14806</v>
      </c>
      <c r="B1828" s="53" t="n">
        <v>40811.6472222222</v>
      </c>
      <c r="C1828" s="57" t="n">
        <f aca="false">INT($C$2)-INT(Table3[[#This Row],[Last Purchase Date]])</f>
        <v>76</v>
      </c>
      <c r="D1828" s="1" t="n">
        <v>1</v>
      </c>
      <c r="E1828" s="1" t="n">
        <v>193.39</v>
      </c>
      <c r="F1828" s="1" t="n">
        <f aca="false">ROUND((1-_xlfn.PERCENTRANK.INC($C$7:$C$4378,C1828))*9,0)</f>
        <v>3</v>
      </c>
      <c r="G1828" s="1" t="n">
        <f aca="false">ROUND(_xlfn.PERCENTRANK.INC($D$7:$D$4378,D1828)*9,0)</f>
        <v>0</v>
      </c>
      <c r="H1828" s="1" t="n">
        <f aca="false">ROUND(_xlfn.PERCENTRANK.INC($E$7:$E$4378,E1828)*9,0)</f>
        <v>1</v>
      </c>
      <c r="I1828" s="1" t="str">
        <f aca="false">CONCATENATE(F1828,G1828,H1828)</f>
        <v>301</v>
      </c>
      <c r="J1828" s="1" t="str">
        <f aca="false">_xlfn.IFS(AND(F1828&gt;=8,G1828&gt;=8,H1828&gt;=8),"CHAMPION",AND(F1828&gt;=6,G1828&gt;=7,H1828&gt;=6),"LOYAL CUSTOMER",AND(F1828&gt;=6,G1828&gt;=5,H1828&gt;=5),"POTENTIAL LOYALIST",AND(F1828&gt;=8,G1828&lt;=2,H1828&gt;=5),"NEW CUSTOMERS",AND(F1828&gt;=6,G1828&lt;=2,H1828&gt;=3),"PROMISING",AND(F1828&gt;=3,G1828&gt;=3,H1828&gt;=3),"NEED ATTENTION",AND(F1828&lt;=4,G1828&gt;=6,H1828&gt;=6),"AT RISK",AND(F1828&lt;=2,G1828&gt;=8,H1828&gt;=8),"CAN'T LOSE THEM",AND(F1828&lt;=2,G1828&lt;=2,H1828&lt;=2),"HIBERNATING",TRUE(),"Other")</f>
        <v>Other</v>
      </c>
      <c r="K1828" s="1" t="n">
        <f aca="false">RANK(E1828,$E$7:$E$4378)+COUNTIF($E$7:E1828,E1828)-1</f>
        <v>3694</v>
      </c>
    </row>
    <row r="1829" customFormat="false" ht="14.25" hidden="false" customHeight="true" outlineLevel="0" collapsed="false">
      <c r="A1829" s="51" t="n">
        <v>14808</v>
      </c>
      <c r="B1829" s="53" t="n">
        <v>40847.5145833333</v>
      </c>
      <c r="C1829" s="57" t="n">
        <f aca="false">INT($C$2)-INT(Table3[[#This Row],[Last Purchase Date]])</f>
        <v>40</v>
      </c>
      <c r="D1829" s="1" t="n">
        <v>15</v>
      </c>
      <c r="E1829" s="1" t="n">
        <v>2175.37</v>
      </c>
      <c r="F1829" s="1" t="n">
        <f aca="false">ROUND((1-_xlfn.PERCENTRANK.INC($C$7:$C$4378,C1829))*9,0)</f>
        <v>5</v>
      </c>
      <c r="G1829" s="1" t="n">
        <f aca="false">ROUND(_xlfn.PERCENTRANK.INC($D$7:$D$4378,D1829)*9,0)</f>
        <v>8</v>
      </c>
      <c r="H1829" s="1" t="n">
        <f aca="false">ROUND(_xlfn.PERCENTRANK.INC($E$7:$E$4378,E1829)*9,0)</f>
        <v>7</v>
      </c>
      <c r="I1829" s="1" t="str">
        <f aca="false">CONCATENATE(F1829,G1829,H1829)</f>
        <v>587</v>
      </c>
      <c r="J1829" s="1" t="str">
        <f aca="false">_xlfn.IFS(AND(F1829&gt;=8,G1829&gt;=8,H1829&gt;=8),"CHAMPION",AND(F1829&gt;=6,G1829&gt;=7,H1829&gt;=6),"LOYAL CUSTOMER",AND(F1829&gt;=6,G1829&gt;=5,H1829&gt;=5),"POTENTIAL LOYALIST",AND(F1829&gt;=8,G1829&lt;=2,H1829&gt;=5),"NEW CUSTOMERS",AND(F1829&gt;=6,G1829&lt;=2,H1829&gt;=3),"PROMISING",AND(F1829&gt;=3,G1829&gt;=3,H1829&gt;=3),"NEED ATTENTION",AND(F1829&lt;=4,G1829&gt;=6,H1829&gt;=6),"AT RISK",AND(F1829&lt;=2,G1829&gt;=8,H1829&gt;=8),"CAN'T LOSE THEM",AND(F1829&lt;=2,G1829&lt;=2,H1829&lt;=2),"HIBERNATING",TRUE(),"Other")</f>
        <v>NEED ATTENTION</v>
      </c>
      <c r="K1829" s="1" t="n">
        <f aca="false">RANK(E1829,$E$7:$E$4378)+COUNTIF($E$7:E1829,E1829)-1</f>
        <v>794</v>
      </c>
    </row>
    <row r="1830" customFormat="false" ht="14.25" hidden="false" customHeight="true" outlineLevel="0" collapsed="false">
      <c r="A1830" s="51" t="n">
        <v>14810</v>
      </c>
      <c r="B1830" s="53" t="n">
        <v>40846.4715277778</v>
      </c>
      <c r="C1830" s="57" t="n">
        <f aca="false">INT($C$2)-INT(Table3[[#This Row],[Last Purchase Date]])</f>
        <v>41</v>
      </c>
      <c r="D1830" s="1" t="n">
        <v>11</v>
      </c>
      <c r="E1830" s="1" t="n">
        <v>2087.88</v>
      </c>
      <c r="F1830" s="1" t="n">
        <f aca="false">ROUND((1-_xlfn.PERCENTRANK.INC($C$7:$C$4378,C1830))*9,0)</f>
        <v>5</v>
      </c>
      <c r="G1830" s="1" t="n">
        <f aca="false">ROUND(_xlfn.PERCENTRANK.INC($D$7:$D$4378,D1830)*9,0)</f>
        <v>8</v>
      </c>
      <c r="H1830" s="1" t="n">
        <f aca="false">ROUND(_xlfn.PERCENTRANK.INC($E$7:$E$4378,E1830)*9,0)</f>
        <v>7</v>
      </c>
      <c r="I1830" s="1" t="str">
        <f aca="false">CONCATENATE(F1830,G1830,H1830)</f>
        <v>587</v>
      </c>
      <c r="J1830" s="1" t="str">
        <f aca="false">_xlfn.IFS(AND(F1830&gt;=8,G1830&gt;=8,H1830&gt;=8),"CHAMPION",AND(F1830&gt;=6,G1830&gt;=7,H1830&gt;=6),"LOYAL CUSTOMER",AND(F1830&gt;=6,G1830&gt;=5,H1830&gt;=5),"POTENTIAL LOYALIST",AND(F1830&gt;=8,G1830&lt;=2,H1830&gt;=5),"NEW CUSTOMERS",AND(F1830&gt;=6,G1830&lt;=2,H1830&gt;=3),"PROMISING",AND(F1830&gt;=3,G1830&gt;=3,H1830&gt;=3),"NEED ATTENTION",AND(F1830&lt;=4,G1830&gt;=6,H1830&gt;=6),"AT RISK",AND(F1830&lt;=2,G1830&gt;=8,H1830&gt;=8),"CAN'T LOSE THEM",AND(F1830&lt;=2,G1830&lt;=2,H1830&lt;=2),"HIBERNATING",TRUE(),"Other")</f>
        <v>NEED ATTENTION</v>
      </c>
      <c r="K1830" s="1" t="n">
        <f aca="false">RANK(E1830,$E$7:$E$4378)+COUNTIF($E$7:E1830,E1830)-1</f>
        <v>833</v>
      </c>
    </row>
    <row r="1831" customFormat="false" ht="14.25" hidden="false" customHeight="true" outlineLevel="0" collapsed="false">
      <c r="A1831" s="51" t="n">
        <v>14813</v>
      </c>
      <c r="B1831" s="53" t="n">
        <v>40517.4979166667</v>
      </c>
      <c r="C1831" s="57" t="n">
        <f aca="false">INT($C$2)-INT(Table3[[#This Row],[Last Purchase Date]])</f>
        <v>370</v>
      </c>
      <c r="D1831" s="1" t="n">
        <v>2</v>
      </c>
      <c r="E1831" s="1" t="n">
        <v>155.43</v>
      </c>
      <c r="F1831" s="1" t="n">
        <f aca="false">ROUND((1-_xlfn.PERCENTRANK.INC($C$7:$C$4378,C1831))*9,0)</f>
        <v>0</v>
      </c>
      <c r="G1831" s="1" t="n">
        <f aca="false">ROUND(_xlfn.PERCENTRANK.INC($D$7:$D$4378,D1831)*9,0)</f>
        <v>3</v>
      </c>
      <c r="H1831" s="1" t="n">
        <f aca="false">ROUND(_xlfn.PERCENTRANK.INC($E$7:$E$4378,E1831)*9,0)</f>
        <v>1</v>
      </c>
      <c r="I1831" s="1" t="str">
        <f aca="false">CONCATENATE(F1831,G1831,H1831)</f>
        <v>031</v>
      </c>
      <c r="J1831" s="1" t="str">
        <f aca="false">_xlfn.IFS(AND(F1831&gt;=8,G1831&gt;=8,H1831&gt;=8),"CHAMPION",AND(F1831&gt;=6,G1831&gt;=7,H1831&gt;=6),"LOYAL CUSTOMER",AND(F1831&gt;=6,G1831&gt;=5,H1831&gt;=5),"POTENTIAL LOYALIST",AND(F1831&gt;=8,G1831&lt;=2,H1831&gt;=5),"NEW CUSTOMERS",AND(F1831&gt;=6,G1831&lt;=2,H1831&gt;=3),"PROMISING",AND(F1831&gt;=3,G1831&gt;=3,H1831&gt;=3),"NEED ATTENTION",AND(F1831&lt;=4,G1831&gt;=6,H1831&gt;=6),"AT RISK",AND(F1831&lt;=2,G1831&gt;=8,H1831&gt;=8),"CAN'T LOSE THEM",AND(F1831&lt;=2,G1831&lt;=2,H1831&lt;=2),"HIBERNATING",TRUE(),"Other")</f>
        <v>Other</v>
      </c>
      <c r="K1831" s="1" t="n">
        <f aca="false">RANK(E1831,$E$7:$E$4378)+COUNTIF($E$7:E1831,E1831)-1</f>
        <v>3883</v>
      </c>
    </row>
    <row r="1832" customFormat="false" ht="14.25" hidden="false" customHeight="true" outlineLevel="0" collapsed="false">
      <c r="A1832" s="51" t="n">
        <v>14815</v>
      </c>
      <c r="B1832" s="53" t="n">
        <v>40850.4833333333</v>
      </c>
      <c r="C1832" s="57" t="n">
        <f aca="false">INT($C$2)-INT(Table3[[#This Row],[Last Purchase Date]])</f>
        <v>37</v>
      </c>
      <c r="D1832" s="1" t="n">
        <v>2</v>
      </c>
      <c r="E1832" s="1" t="n">
        <v>778.5</v>
      </c>
      <c r="F1832" s="1" t="n">
        <f aca="false">ROUND((1-_xlfn.PERCENTRANK.INC($C$7:$C$4378,C1832))*9,0)</f>
        <v>5</v>
      </c>
      <c r="G1832" s="1" t="n">
        <f aca="false">ROUND(_xlfn.PERCENTRANK.INC($D$7:$D$4378,D1832)*9,0)</f>
        <v>3</v>
      </c>
      <c r="H1832" s="1" t="n">
        <f aca="false">ROUND(_xlfn.PERCENTRANK.INC($E$7:$E$4378,E1832)*9,0)</f>
        <v>5</v>
      </c>
      <c r="I1832" s="1" t="str">
        <f aca="false">CONCATENATE(F1832,G1832,H1832)</f>
        <v>535</v>
      </c>
      <c r="J1832" s="1" t="str">
        <f aca="false">_xlfn.IFS(AND(F1832&gt;=8,G1832&gt;=8,H1832&gt;=8),"CHAMPION",AND(F1832&gt;=6,G1832&gt;=7,H1832&gt;=6),"LOYAL CUSTOMER",AND(F1832&gt;=6,G1832&gt;=5,H1832&gt;=5),"POTENTIAL LOYALIST",AND(F1832&gt;=8,G1832&lt;=2,H1832&gt;=5),"NEW CUSTOMERS",AND(F1832&gt;=6,G1832&lt;=2,H1832&gt;=3),"PROMISING",AND(F1832&gt;=3,G1832&gt;=3,H1832&gt;=3),"NEED ATTENTION",AND(F1832&lt;=4,G1832&gt;=6,H1832&gt;=6),"AT RISK",AND(F1832&lt;=2,G1832&gt;=8,H1832&gt;=8),"CAN'T LOSE THEM",AND(F1832&lt;=2,G1832&lt;=2,H1832&lt;=2),"HIBERNATING",TRUE(),"Other")</f>
        <v>NEED ATTENTION</v>
      </c>
      <c r="K1832" s="1" t="n">
        <f aca="false">RANK(E1832,$E$7:$E$4378)+COUNTIF($E$7:E1832,E1832)-1</f>
        <v>1928</v>
      </c>
    </row>
    <row r="1833" customFormat="false" ht="14.25" hidden="false" customHeight="true" outlineLevel="0" collapsed="false">
      <c r="A1833" s="51" t="n">
        <v>14816</v>
      </c>
      <c r="B1833" s="53" t="n">
        <v>40689.5527777778</v>
      </c>
      <c r="C1833" s="57" t="n">
        <f aca="false">INT($C$2)-INT(Table3[[#This Row],[Last Purchase Date]])</f>
        <v>198</v>
      </c>
      <c r="D1833" s="1" t="n">
        <v>1</v>
      </c>
      <c r="E1833" s="1" t="n">
        <v>271.85</v>
      </c>
      <c r="F1833" s="1" t="n">
        <f aca="false">ROUND((1-_xlfn.PERCENTRANK.INC($C$7:$C$4378,C1833))*9,0)</f>
        <v>2</v>
      </c>
      <c r="G1833" s="1" t="n">
        <f aca="false">ROUND(_xlfn.PERCENTRANK.INC($D$7:$D$4378,D1833)*9,0)</f>
        <v>0</v>
      </c>
      <c r="H1833" s="1" t="n">
        <f aca="false">ROUND(_xlfn.PERCENTRANK.INC($E$7:$E$4378,E1833)*9,0)</f>
        <v>2</v>
      </c>
      <c r="I1833" s="1" t="str">
        <f aca="false">CONCATENATE(F1833,G1833,H1833)</f>
        <v>202</v>
      </c>
      <c r="J1833" s="1" t="str">
        <f aca="false">_xlfn.IFS(AND(F1833&gt;=8,G1833&gt;=8,H1833&gt;=8),"CHAMPION",AND(F1833&gt;=6,G1833&gt;=7,H1833&gt;=6),"LOYAL CUSTOMER",AND(F1833&gt;=6,G1833&gt;=5,H1833&gt;=5),"POTENTIAL LOYALIST",AND(F1833&gt;=8,G1833&lt;=2,H1833&gt;=5),"NEW CUSTOMERS",AND(F1833&gt;=6,G1833&lt;=2,H1833&gt;=3),"PROMISING",AND(F1833&gt;=3,G1833&gt;=3,H1833&gt;=3),"NEED ATTENTION",AND(F1833&lt;=4,G1833&gt;=6,H1833&gt;=6),"AT RISK",AND(F1833&lt;=2,G1833&gt;=8,H1833&gt;=8),"CAN'T LOSE THEM",AND(F1833&lt;=2,G1833&lt;=2,H1833&lt;=2),"HIBERNATING",TRUE(),"Other")</f>
        <v>HIBERNATING</v>
      </c>
      <c r="K1833" s="1" t="n">
        <f aca="false">RANK(E1833,$E$7:$E$4378)+COUNTIF($E$7:E1833,E1833)-1</f>
        <v>3354</v>
      </c>
    </row>
    <row r="1834" customFormat="false" ht="14.25" hidden="false" customHeight="true" outlineLevel="0" collapsed="false">
      <c r="A1834" s="51" t="n">
        <v>14817</v>
      </c>
      <c r="B1834" s="53" t="n">
        <v>40686.5659722222</v>
      </c>
      <c r="C1834" s="57" t="n">
        <f aca="false">INT($C$2)-INT(Table3[[#This Row],[Last Purchase Date]])</f>
        <v>201</v>
      </c>
      <c r="D1834" s="1" t="n">
        <v>2</v>
      </c>
      <c r="E1834" s="1" t="n">
        <v>1110.34</v>
      </c>
      <c r="F1834" s="1" t="n">
        <f aca="false">ROUND((1-_xlfn.PERCENTRANK.INC($C$7:$C$4378,C1834))*9,0)</f>
        <v>2</v>
      </c>
      <c r="G1834" s="1" t="n">
        <f aca="false">ROUND(_xlfn.PERCENTRANK.INC($D$7:$D$4378,D1834)*9,0)</f>
        <v>3</v>
      </c>
      <c r="H1834" s="1" t="n">
        <f aca="false">ROUND(_xlfn.PERCENTRANK.INC($E$7:$E$4378,E1834)*9,0)</f>
        <v>6</v>
      </c>
      <c r="I1834" s="1" t="str">
        <f aca="false">CONCATENATE(F1834,G1834,H1834)</f>
        <v>236</v>
      </c>
      <c r="J1834" s="1" t="str">
        <f aca="false">_xlfn.IFS(AND(F1834&gt;=8,G1834&gt;=8,H1834&gt;=8),"CHAMPION",AND(F1834&gt;=6,G1834&gt;=7,H1834&gt;=6),"LOYAL CUSTOMER",AND(F1834&gt;=6,G1834&gt;=5,H1834&gt;=5),"POTENTIAL LOYALIST",AND(F1834&gt;=8,G1834&lt;=2,H1834&gt;=5),"NEW CUSTOMERS",AND(F1834&gt;=6,G1834&lt;=2,H1834&gt;=3),"PROMISING",AND(F1834&gt;=3,G1834&gt;=3,H1834&gt;=3),"NEED ATTENTION",AND(F1834&lt;=4,G1834&gt;=6,H1834&gt;=6),"AT RISK",AND(F1834&lt;=2,G1834&gt;=8,H1834&gt;=8),"CAN'T LOSE THEM",AND(F1834&lt;=2,G1834&lt;=2,H1834&lt;=2),"HIBERNATING",TRUE(),"Other")</f>
        <v>Other</v>
      </c>
      <c r="K1834" s="1" t="n">
        <f aca="false">RANK(E1834,$E$7:$E$4378)+COUNTIF($E$7:E1834,E1834)-1</f>
        <v>1498</v>
      </c>
    </row>
    <row r="1835" customFormat="false" ht="14.25" hidden="false" customHeight="true" outlineLevel="0" collapsed="false">
      <c r="A1835" s="51" t="n">
        <v>14818</v>
      </c>
      <c r="B1835" s="53" t="n">
        <v>40813.4590277778</v>
      </c>
      <c r="C1835" s="57" t="n">
        <f aca="false">INT($C$2)-INT(Table3[[#This Row],[Last Purchase Date]])</f>
        <v>74</v>
      </c>
      <c r="D1835" s="1" t="n">
        <v>3</v>
      </c>
      <c r="E1835" s="1" t="n">
        <v>657.8</v>
      </c>
      <c r="F1835" s="1" t="n">
        <f aca="false">ROUND((1-_xlfn.PERCENTRANK.INC($C$7:$C$4378,C1835))*9,0)</f>
        <v>3</v>
      </c>
      <c r="G1835" s="1" t="n">
        <f aca="false">ROUND(_xlfn.PERCENTRANK.INC($D$7:$D$4378,D1835)*9,0)</f>
        <v>4</v>
      </c>
      <c r="H1835" s="1" t="n">
        <f aca="false">ROUND(_xlfn.PERCENTRANK.INC($E$7:$E$4378,E1835)*9,0)</f>
        <v>5</v>
      </c>
      <c r="I1835" s="1" t="str">
        <f aca="false">CONCATENATE(F1835,G1835,H1835)</f>
        <v>345</v>
      </c>
      <c r="J1835" s="1" t="str">
        <f aca="false">_xlfn.IFS(AND(F1835&gt;=8,G1835&gt;=8,H1835&gt;=8),"CHAMPION",AND(F1835&gt;=6,G1835&gt;=7,H1835&gt;=6),"LOYAL CUSTOMER",AND(F1835&gt;=6,G1835&gt;=5,H1835&gt;=5),"POTENTIAL LOYALIST",AND(F1835&gt;=8,G1835&lt;=2,H1835&gt;=5),"NEW CUSTOMERS",AND(F1835&gt;=6,G1835&lt;=2,H1835&gt;=3),"PROMISING",AND(F1835&gt;=3,G1835&gt;=3,H1835&gt;=3),"NEED ATTENTION",AND(F1835&lt;=4,G1835&gt;=6,H1835&gt;=6),"AT RISK",AND(F1835&lt;=2,G1835&gt;=8,H1835&gt;=8),"CAN'T LOSE THEM",AND(F1835&lt;=2,G1835&lt;=2,H1835&lt;=2),"HIBERNATING",TRUE(),"Other")</f>
        <v>NEED ATTENTION</v>
      </c>
      <c r="K1835" s="1" t="n">
        <f aca="false">RANK(E1835,$E$7:$E$4378)+COUNTIF($E$7:E1835,E1835)-1</f>
        <v>2161</v>
      </c>
    </row>
    <row r="1836" customFormat="false" ht="14.25" hidden="false" customHeight="true" outlineLevel="0" collapsed="false">
      <c r="A1836" s="51" t="n">
        <v>14819</v>
      </c>
      <c r="B1836" s="53" t="n">
        <v>40822.5701388889</v>
      </c>
      <c r="C1836" s="57" t="n">
        <f aca="false">INT($C$2)-INT(Table3[[#This Row],[Last Purchase Date]])</f>
        <v>65</v>
      </c>
      <c r="D1836" s="1" t="n">
        <v>2</v>
      </c>
      <c r="E1836" s="1" t="n">
        <v>272.07</v>
      </c>
      <c r="F1836" s="1" t="n">
        <f aca="false">ROUND((1-_xlfn.PERCENTRANK.INC($C$7:$C$4378,C1836))*9,0)</f>
        <v>4</v>
      </c>
      <c r="G1836" s="1" t="n">
        <f aca="false">ROUND(_xlfn.PERCENTRANK.INC($D$7:$D$4378,D1836)*9,0)</f>
        <v>3</v>
      </c>
      <c r="H1836" s="1" t="n">
        <f aca="false">ROUND(_xlfn.PERCENTRANK.INC($E$7:$E$4378,E1836)*9,0)</f>
        <v>2</v>
      </c>
      <c r="I1836" s="1" t="str">
        <f aca="false">CONCATENATE(F1836,G1836,H1836)</f>
        <v>432</v>
      </c>
      <c r="J1836" s="1" t="str">
        <f aca="false">_xlfn.IFS(AND(F1836&gt;=8,G1836&gt;=8,H1836&gt;=8),"CHAMPION",AND(F1836&gt;=6,G1836&gt;=7,H1836&gt;=6),"LOYAL CUSTOMER",AND(F1836&gt;=6,G1836&gt;=5,H1836&gt;=5),"POTENTIAL LOYALIST",AND(F1836&gt;=8,G1836&lt;=2,H1836&gt;=5),"NEW CUSTOMERS",AND(F1836&gt;=6,G1836&lt;=2,H1836&gt;=3),"PROMISING",AND(F1836&gt;=3,G1836&gt;=3,H1836&gt;=3),"NEED ATTENTION",AND(F1836&lt;=4,G1836&gt;=6,H1836&gt;=6),"AT RISK",AND(F1836&lt;=2,G1836&gt;=8,H1836&gt;=8),"CAN'T LOSE THEM",AND(F1836&lt;=2,G1836&lt;=2,H1836&lt;=2),"HIBERNATING",TRUE(),"Other")</f>
        <v>Other</v>
      </c>
      <c r="K1836" s="1" t="n">
        <f aca="false">RANK(E1836,$E$7:$E$4378)+COUNTIF($E$7:E1836,E1836)-1</f>
        <v>3352</v>
      </c>
    </row>
    <row r="1837" customFormat="false" ht="14.25" hidden="false" customHeight="true" outlineLevel="0" collapsed="false">
      <c r="A1837" s="51" t="n">
        <v>14820</v>
      </c>
      <c r="B1837" s="53" t="n">
        <v>40865.6534722222</v>
      </c>
      <c r="C1837" s="57" t="n">
        <f aca="false">INT($C$2)-INT(Table3[[#This Row],[Last Purchase Date]])</f>
        <v>22</v>
      </c>
      <c r="D1837" s="1" t="n">
        <v>4</v>
      </c>
      <c r="E1837" s="1" t="n">
        <v>507.29</v>
      </c>
      <c r="F1837" s="1" t="n">
        <f aca="false">ROUND((1-_xlfn.PERCENTRANK.INC($C$7:$C$4378,C1837))*9,0)</f>
        <v>6</v>
      </c>
      <c r="G1837" s="1" t="n">
        <f aca="false">ROUND(_xlfn.PERCENTRANK.INC($D$7:$D$4378,D1837)*9,0)</f>
        <v>5</v>
      </c>
      <c r="H1837" s="1" t="n">
        <f aca="false">ROUND(_xlfn.PERCENTRANK.INC($E$7:$E$4378,E1837)*9,0)</f>
        <v>4</v>
      </c>
      <c r="I1837" s="1" t="str">
        <f aca="false">CONCATENATE(F1837,G1837,H1837)</f>
        <v>654</v>
      </c>
      <c r="J1837" s="1" t="str">
        <f aca="false">_xlfn.IFS(AND(F1837&gt;=8,G1837&gt;=8,H1837&gt;=8),"CHAMPION",AND(F1837&gt;=6,G1837&gt;=7,H1837&gt;=6),"LOYAL CUSTOMER",AND(F1837&gt;=6,G1837&gt;=5,H1837&gt;=5),"POTENTIAL LOYALIST",AND(F1837&gt;=8,G1837&lt;=2,H1837&gt;=5),"NEW CUSTOMERS",AND(F1837&gt;=6,G1837&lt;=2,H1837&gt;=3),"PROMISING",AND(F1837&gt;=3,G1837&gt;=3,H1837&gt;=3),"NEED ATTENTION",AND(F1837&lt;=4,G1837&gt;=6,H1837&gt;=6),"AT RISK",AND(F1837&lt;=2,G1837&gt;=8,H1837&gt;=8),"CAN'T LOSE THEM",AND(F1837&lt;=2,G1837&lt;=2,H1837&lt;=2),"HIBERNATING",TRUE(),"Other")</f>
        <v>NEED ATTENTION</v>
      </c>
      <c r="K1837" s="1" t="n">
        <f aca="false">RANK(E1837,$E$7:$E$4378)+COUNTIF($E$7:E1837,E1837)-1</f>
        <v>2525</v>
      </c>
    </row>
    <row r="1838" customFormat="false" ht="14.25" hidden="false" customHeight="true" outlineLevel="0" collapsed="false">
      <c r="A1838" s="51" t="n">
        <v>14821</v>
      </c>
      <c r="B1838" s="53" t="n">
        <v>40520.3631944444</v>
      </c>
      <c r="C1838" s="57" t="n">
        <f aca="false">INT($C$2)-INT(Table3[[#This Row],[Last Purchase Date]])</f>
        <v>367</v>
      </c>
      <c r="D1838" s="1" t="n">
        <v>1</v>
      </c>
      <c r="E1838" s="1" t="n">
        <v>48.8</v>
      </c>
      <c r="F1838" s="1" t="n">
        <f aca="false">ROUND((1-_xlfn.PERCENTRANK.INC($C$7:$C$4378,C1838))*9,0)</f>
        <v>0</v>
      </c>
      <c r="G1838" s="1" t="n">
        <f aca="false">ROUND(_xlfn.PERCENTRANK.INC($D$7:$D$4378,D1838)*9,0)</f>
        <v>0</v>
      </c>
      <c r="H1838" s="1" t="n">
        <f aca="false">ROUND(_xlfn.PERCENTRANK.INC($E$7:$E$4378,E1838)*9,0)</f>
        <v>0</v>
      </c>
      <c r="I1838" s="1" t="str">
        <f aca="false">CONCATENATE(F1838,G1838,H1838)</f>
        <v>000</v>
      </c>
      <c r="J1838" s="1" t="str">
        <f aca="false">_xlfn.IFS(AND(F1838&gt;=8,G1838&gt;=8,H1838&gt;=8),"CHAMPION",AND(F1838&gt;=6,G1838&gt;=7,H1838&gt;=6),"LOYAL CUSTOMER",AND(F1838&gt;=6,G1838&gt;=5,H1838&gt;=5),"POTENTIAL LOYALIST",AND(F1838&gt;=8,G1838&lt;=2,H1838&gt;=5),"NEW CUSTOMERS",AND(F1838&gt;=6,G1838&lt;=2,H1838&gt;=3),"PROMISING",AND(F1838&gt;=3,G1838&gt;=3,H1838&gt;=3),"NEED ATTENTION",AND(F1838&lt;=4,G1838&gt;=6,H1838&gt;=6),"AT RISK",AND(F1838&lt;=2,G1838&gt;=8,H1838&gt;=8),"CAN'T LOSE THEM",AND(F1838&lt;=2,G1838&lt;=2,H1838&lt;=2),"HIBERNATING",TRUE(),"Other")</f>
        <v>HIBERNATING</v>
      </c>
      <c r="K1838" s="1" t="n">
        <f aca="false">RANK(E1838,$E$7:$E$4378)+COUNTIF($E$7:E1838,E1838)-1</f>
        <v>4283</v>
      </c>
    </row>
    <row r="1839" customFormat="false" ht="14.25" hidden="false" customHeight="true" outlineLevel="0" collapsed="false">
      <c r="A1839" s="51" t="n">
        <v>14823</v>
      </c>
      <c r="B1839" s="53" t="n">
        <v>40706.55</v>
      </c>
      <c r="C1839" s="57" t="n">
        <f aca="false">INT($C$2)-INT(Table3[[#This Row],[Last Purchase Date]])</f>
        <v>181</v>
      </c>
      <c r="D1839" s="1" t="n">
        <v>3</v>
      </c>
      <c r="E1839" s="1" t="n">
        <v>321.43</v>
      </c>
      <c r="F1839" s="1" t="n">
        <f aca="false">ROUND((1-_xlfn.PERCENTRANK.INC($C$7:$C$4378,C1839))*9,0)</f>
        <v>2</v>
      </c>
      <c r="G1839" s="1" t="n">
        <f aca="false">ROUND(_xlfn.PERCENTRANK.INC($D$7:$D$4378,D1839)*9,0)</f>
        <v>4</v>
      </c>
      <c r="H1839" s="1" t="n">
        <f aca="false">ROUND(_xlfn.PERCENTRANK.INC($E$7:$E$4378,E1839)*9,0)</f>
        <v>3</v>
      </c>
      <c r="I1839" s="1" t="str">
        <f aca="false">CONCATENATE(F1839,G1839,H1839)</f>
        <v>243</v>
      </c>
      <c r="J1839" s="1" t="str">
        <f aca="false">_xlfn.IFS(AND(F1839&gt;=8,G1839&gt;=8,H1839&gt;=8),"CHAMPION",AND(F1839&gt;=6,G1839&gt;=7,H1839&gt;=6),"LOYAL CUSTOMER",AND(F1839&gt;=6,G1839&gt;=5,H1839&gt;=5),"POTENTIAL LOYALIST",AND(F1839&gt;=8,G1839&lt;=2,H1839&gt;=5),"NEW CUSTOMERS",AND(F1839&gt;=6,G1839&lt;=2,H1839&gt;=3),"PROMISING",AND(F1839&gt;=3,G1839&gt;=3,H1839&gt;=3),"NEED ATTENTION",AND(F1839&lt;=4,G1839&gt;=6,H1839&gt;=6),"AT RISK",AND(F1839&lt;=2,G1839&gt;=8,H1839&gt;=8),"CAN'T LOSE THEM",AND(F1839&lt;=2,G1839&lt;=2,H1839&lt;=2),"HIBERNATING",TRUE(),"Other")</f>
        <v>Other</v>
      </c>
      <c r="K1839" s="1" t="n">
        <f aca="false">RANK(E1839,$E$7:$E$4378)+COUNTIF($E$7:E1839,E1839)-1</f>
        <v>3131</v>
      </c>
    </row>
    <row r="1840" customFormat="false" ht="14.25" hidden="false" customHeight="true" outlineLevel="0" collapsed="false">
      <c r="A1840" s="51" t="n">
        <v>14824</v>
      </c>
      <c r="B1840" s="53" t="n">
        <v>40876.5972222222</v>
      </c>
      <c r="C1840" s="57" t="n">
        <f aca="false">INT($C$2)-INT(Table3[[#This Row],[Last Purchase Date]])</f>
        <v>11</v>
      </c>
      <c r="D1840" s="1" t="n">
        <v>4</v>
      </c>
      <c r="E1840" s="1" t="n">
        <v>1127.71</v>
      </c>
      <c r="F1840" s="1" t="n">
        <f aca="false">ROUND((1-_xlfn.PERCENTRANK.INC($C$7:$C$4378,C1840))*9,0)</f>
        <v>7</v>
      </c>
      <c r="G1840" s="1" t="n">
        <f aca="false">ROUND(_xlfn.PERCENTRANK.INC($D$7:$D$4378,D1840)*9,0)</f>
        <v>5</v>
      </c>
      <c r="H1840" s="1" t="n">
        <f aca="false">ROUND(_xlfn.PERCENTRANK.INC($E$7:$E$4378,E1840)*9,0)</f>
        <v>6</v>
      </c>
      <c r="I1840" s="1" t="str">
        <f aca="false">CONCATENATE(F1840,G1840,H1840)</f>
        <v>756</v>
      </c>
      <c r="J1840" s="1" t="str">
        <f aca="false">_xlfn.IFS(AND(F1840&gt;=8,G1840&gt;=8,H1840&gt;=8),"CHAMPION",AND(F1840&gt;=6,G1840&gt;=7,H1840&gt;=6),"LOYAL CUSTOMER",AND(F1840&gt;=6,G1840&gt;=5,H1840&gt;=5),"POTENTIAL LOYALIST",AND(F1840&gt;=8,G1840&lt;=2,H1840&gt;=5),"NEW CUSTOMERS",AND(F1840&gt;=6,G1840&lt;=2,H1840&gt;=3),"PROMISING",AND(F1840&gt;=3,G1840&gt;=3,H1840&gt;=3),"NEED ATTENTION",AND(F1840&lt;=4,G1840&gt;=6,H1840&gt;=6),"AT RISK",AND(F1840&lt;=2,G1840&gt;=8,H1840&gt;=8),"CAN'T LOSE THEM",AND(F1840&lt;=2,G1840&lt;=2,H1840&lt;=2),"HIBERNATING",TRUE(),"Other")</f>
        <v>POTENTIAL LOYALIST</v>
      </c>
      <c r="K1840" s="1" t="n">
        <f aca="false">RANK(E1840,$E$7:$E$4378)+COUNTIF($E$7:E1840,E1840)-1</f>
        <v>1475</v>
      </c>
    </row>
    <row r="1841" customFormat="false" ht="14.25" hidden="false" customHeight="true" outlineLevel="0" collapsed="false">
      <c r="A1841" s="51" t="n">
        <v>14825</v>
      </c>
      <c r="B1841" s="53" t="n">
        <v>40883.4847222222</v>
      </c>
      <c r="C1841" s="57" t="n">
        <f aca="false">INT($C$2)-INT(Table3[[#This Row],[Last Purchase Date]])</f>
        <v>4</v>
      </c>
      <c r="D1841" s="1" t="n">
        <v>12</v>
      </c>
      <c r="E1841" s="1" t="n">
        <v>2226.91</v>
      </c>
      <c r="F1841" s="1" t="n">
        <f aca="false">ROUND((1-_xlfn.PERCENTRANK.INC($C$7:$C$4378,C1841))*9,0)</f>
        <v>8</v>
      </c>
      <c r="G1841" s="1" t="n">
        <f aca="false">ROUND(_xlfn.PERCENTRANK.INC($D$7:$D$4378,D1841)*9,0)</f>
        <v>8</v>
      </c>
      <c r="H1841" s="1" t="n">
        <f aca="false">ROUND(_xlfn.PERCENTRANK.INC($E$7:$E$4378,E1841)*9,0)</f>
        <v>7</v>
      </c>
      <c r="I1841" s="1" t="str">
        <f aca="false">CONCATENATE(F1841,G1841,H1841)</f>
        <v>887</v>
      </c>
      <c r="J1841" s="1" t="str">
        <f aca="false">_xlfn.IFS(AND(F1841&gt;=8,G1841&gt;=8,H1841&gt;=8),"CHAMPION",AND(F1841&gt;=6,G1841&gt;=7,H1841&gt;=6),"LOYAL CUSTOMER",AND(F1841&gt;=6,G1841&gt;=5,H1841&gt;=5),"POTENTIAL LOYALIST",AND(F1841&gt;=8,G1841&lt;=2,H1841&gt;=5),"NEW CUSTOMERS",AND(F1841&gt;=6,G1841&lt;=2,H1841&gt;=3),"PROMISING",AND(F1841&gt;=3,G1841&gt;=3,H1841&gt;=3),"NEED ATTENTION",AND(F1841&lt;=4,G1841&gt;=6,H1841&gt;=6),"AT RISK",AND(F1841&lt;=2,G1841&gt;=8,H1841&gt;=8),"CAN'T LOSE THEM",AND(F1841&lt;=2,G1841&lt;=2,H1841&lt;=2),"HIBERNATING",TRUE(),"Other")</f>
        <v>LOYAL CUSTOMER</v>
      </c>
      <c r="K1841" s="1" t="n">
        <f aca="false">RANK(E1841,$E$7:$E$4378)+COUNTIF($E$7:E1841,E1841)-1</f>
        <v>770</v>
      </c>
    </row>
    <row r="1842" customFormat="false" ht="14.25" hidden="false" customHeight="true" outlineLevel="0" collapsed="false">
      <c r="A1842" s="51" t="n">
        <v>14828</v>
      </c>
      <c r="B1842" s="53" t="n">
        <v>40690.4277777778</v>
      </c>
      <c r="C1842" s="57" t="n">
        <f aca="false">INT($C$2)-INT(Table3[[#This Row],[Last Purchase Date]])</f>
        <v>197</v>
      </c>
      <c r="D1842" s="1" t="n">
        <v>3</v>
      </c>
      <c r="E1842" s="1" t="n">
        <v>2139.76</v>
      </c>
      <c r="F1842" s="1" t="n">
        <f aca="false">ROUND((1-_xlfn.PERCENTRANK.INC($C$7:$C$4378,C1842))*9,0)</f>
        <v>2</v>
      </c>
      <c r="G1842" s="1" t="n">
        <f aca="false">ROUND(_xlfn.PERCENTRANK.INC($D$7:$D$4378,D1842)*9,0)</f>
        <v>4</v>
      </c>
      <c r="H1842" s="1" t="n">
        <f aca="false">ROUND(_xlfn.PERCENTRANK.INC($E$7:$E$4378,E1842)*9,0)</f>
        <v>7</v>
      </c>
      <c r="I1842" s="1" t="str">
        <f aca="false">CONCATENATE(F1842,G1842,H1842)</f>
        <v>247</v>
      </c>
      <c r="J1842" s="1" t="str">
        <f aca="false">_xlfn.IFS(AND(F1842&gt;=8,G1842&gt;=8,H1842&gt;=8),"CHAMPION",AND(F1842&gt;=6,G1842&gt;=7,H1842&gt;=6),"LOYAL CUSTOMER",AND(F1842&gt;=6,G1842&gt;=5,H1842&gt;=5),"POTENTIAL LOYALIST",AND(F1842&gt;=8,G1842&lt;=2,H1842&gt;=5),"NEW CUSTOMERS",AND(F1842&gt;=6,G1842&lt;=2,H1842&gt;=3),"PROMISING",AND(F1842&gt;=3,G1842&gt;=3,H1842&gt;=3),"NEED ATTENTION",AND(F1842&lt;=4,G1842&gt;=6,H1842&gt;=6),"AT RISK",AND(F1842&lt;=2,G1842&gt;=8,H1842&gt;=8),"CAN'T LOSE THEM",AND(F1842&lt;=2,G1842&lt;=2,H1842&lt;=2),"HIBERNATING",TRUE(),"Other")</f>
        <v>Other</v>
      </c>
      <c r="K1842" s="1" t="n">
        <f aca="false">RANK(E1842,$E$7:$E$4378)+COUNTIF($E$7:E1842,E1842)-1</f>
        <v>809</v>
      </c>
    </row>
    <row r="1843" customFormat="false" ht="14.25" hidden="false" customHeight="true" outlineLevel="0" collapsed="false">
      <c r="A1843" s="51" t="n">
        <v>14829</v>
      </c>
      <c r="B1843" s="53" t="n">
        <v>40857.6777777778</v>
      </c>
      <c r="C1843" s="57" t="n">
        <f aca="false">INT($C$2)-INT(Table3[[#This Row],[Last Purchase Date]])</f>
        <v>30</v>
      </c>
      <c r="D1843" s="1" t="n">
        <v>6</v>
      </c>
      <c r="E1843" s="1" t="n">
        <v>644.65</v>
      </c>
      <c r="F1843" s="1" t="n">
        <f aca="false">ROUND((1-_xlfn.PERCENTRANK.INC($C$7:$C$4378,C1843))*9,0)</f>
        <v>6</v>
      </c>
      <c r="G1843" s="1" t="n">
        <f aca="false">ROUND(_xlfn.PERCENTRANK.INC($D$7:$D$4378,D1843)*9,0)</f>
        <v>7</v>
      </c>
      <c r="H1843" s="1" t="n">
        <f aca="false">ROUND(_xlfn.PERCENTRANK.INC($E$7:$E$4378,E1843)*9,0)</f>
        <v>4</v>
      </c>
      <c r="I1843" s="1" t="str">
        <f aca="false">CONCATENATE(F1843,G1843,H1843)</f>
        <v>674</v>
      </c>
      <c r="J1843" s="1" t="str">
        <f aca="false">_xlfn.IFS(AND(F1843&gt;=8,G1843&gt;=8,H1843&gt;=8),"CHAMPION",AND(F1843&gt;=6,G1843&gt;=7,H1843&gt;=6),"LOYAL CUSTOMER",AND(F1843&gt;=6,G1843&gt;=5,H1843&gt;=5),"POTENTIAL LOYALIST",AND(F1843&gt;=8,G1843&lt;=2,H1843&gt;=5),"NEW CUSTOMERS",AND(F1843&gt;=6,G1843&lt;=2,H1843&gt;=3),"PROMISING",AND(F1843&gt;=3,G1843&gt;=3,H1843&gt;=3),"NEED ATTENTION",AND(F1843&lt;=4,G1843&gt;=6,H1843&gt;=6),"AT RISK",AND(F1843&lt;=2,G1843&gt;=8,H1843&gt;=8),"CAN'T LOSE THEM",AND(F1843&lt;=2,G1843&lt;=2,H1843&lt;=2),"HIBERNATING",TRUE(),"Other")</f>
        <v>NEED ATTENTION</v>
      </c>
      <c r="K1843" s="1" t="n">
        <f aca="false">RANK(E1843,$E$7:$E$4378)+COUNTIF($E$7:E1843,E1843)-1</f>
        <v>2194</v>
      </c>
    </row>
    <row r="1844" customFormat="false" ht="14.25" hidden="false" customHeight="true" outlineLevel="0" collapsed="false">
      <c r="A1844" s="51" t="n">
        <v>14830</v>
      </c>
      <c r="B1844" s="53" t="n">
        <v>40833.6034722222</v>
      </c>
      <c r="C1844" s="57" t="n">
        <f aca="false">INT($C$2)-INT(Table3[[#This Row],[Last Purchase Date]])</f>
        <v>54</v>
      </c>
      <c r="D1844" s="1" t="n">
        <v>1</v>
      </c>
      <c r="E1844" s="1" t="n">
        <v>197.13</v>
      </c>
      <c r="F1844" s="1" t="n">
        <f aca="false">ROUND((1-_xlfn.PERCENTRANK.INC($C$7:$C$4378,C1844))*9,0)</f>
        <v>4</v>
      </c>
      <c r="G1844" s="1" t="n">
        <f aca="false">ROUND(_xlfn.PERCENTRANK.INC($D$7:$D$4378,D1844)*9,0)</f>
        <v>0</v>
      </c>
      <c r="H1844" s="1" t="n">
        <f aca="false">ROUND(_xlfn.PERCENTRANK.INC($E$7:$E$4378,E1844)*9,0)</f>
        <v>1</v>
      </c>
      <c r="I1844" s="1" t="str">
        <f aca="false">CONCATENATE(F1844,G1844,H1844)</f>
        <v>401</v>
      </c>
      <c r="J1844" s="1" t="str">
        <f aca="false">_xlfn.IFS(AND(F1844&gt;=8,G1844&gt;=8,H1844&gt;=8),"CHAMPION",AND(F1844&gt;=6,G1844&gt;=7,H1844&gt;=6),"LOYAL CUSTOMER",AND(F1844&gt;=6,G1844&gt;=5,H1844&gt;=5),"POTENTIAL LOYALIST",AND(F1844&gt;=8,G1844&lt;=2,H1844&gt;=5),"NEW CUSTOMERS",AND(F1844&gt;=6,G1844&lt;=2,H1844&gt;=3),"PROMISING",AND(F1844&gt;=3,G1844&gt;=3,H1844&gt;=3),"NEED ATTENTION",AND(F1844&lt;=4,G1844&gt;=6,H1844&gt;=6),"AT RISK",AND(F1844&lt;=2,G1844&gt;=8,H1844&gt;=8),"CAN'T LOSE THEM",AND(F1844&lt;=2,G1844&lt;=2,H1844&lt;=2),"HIBERNATING",TRUE(),"Other")</f>
        <v>Other</v>
      </c>
      <c r="K1844" s="1" t="n">
        <f aca="false">RANK(E1844,$E$7:$E$4378)+COUNTIF($E$7:E1844,E1844)-1</f>
        <v>3674</v>
      </c>
    </row>
    <row r="1845" customFormat="false" ht="14.25" hidden="false" customHeight="true" outlineLevel="0" collapsed="false">
      <c r="A1845" s="51" t="n">
        <v>14834</v>
      </c>
      <c r="B1845" s="53" t="n">
        <v>40869.4375</v>
      </c>
      <c r="C1845" s="57" t="n">
        <f aca="false">INT($C$2)-INT(Table3[[#This Row],[Last Purchase Date]])</f>
        <v>18</v>
      </c>
      <c r="D1845" s="1" t="n">
        <v>8</v>
      </c>
      <c r="E1845" s="1" t="n">
        <v>1698.35</v>
      </c>
      <c r="F1845" s="1" t="n">
        <f aca="false">ROUND((1-_xlfn.PERCENTRANK.INC($C$7:$C$4378,C1845))*9,0)</f>
        <v>7</v>
      </c>
      <c r="G1845" s="1" t="n">
        <f aca="false">ROUND(_xlfn.PERCENTRANK.INC($D$7:$D$4378,D1845)*9,0)</f>
        <v>7</v>
      </c>
      <c r="H1845" s="1" t="n">
        <f aca="false">ROUND(_xlfn.PERCENTRANK.INC($E$7:$E$4378,E1845)*9,0)</f>
        <v>7</v>
      </c>
      <c r="I1845" s="1" t="str">
        <f aca="false">CONCATENATE(F1845,G1845,H1845)</f>
        <v>777</v>
      </c>
      <c r="J1845" s="1" t="str">
        <f aca="false">_xlfn.IFS(AND(F1845&gt;=8,G1845&gt;=8,H1845&gt;=8),"CHAMPION",AND(F1845&gt;=6,G1845&gt;=7,H1845&gt;=6),"LOYAL CUSTOMER",AND(F1845&gt;=6,G1845&gt;=5,H1845&gt;=5),"POTENTIAL LOYALIST",AND(F1845&gt;=8,G1845&lt;=2,H1845&gt;=5),"NEW CUSTOMERS",AND(F1845&gt;=6,G1845&lt;=2,H1845&gt;=3),"PROMISING",AND(F1845&gt;=3,G1845&gt;=3,H1845&gt;=3),"NEED ATTENTION",AND(F1845&lt;=4,G1845&gt;=6,H1845&gt;=6),"AT RISK",AND(F1845&lt;=2,G1845&gt;=8,H1845&gt;=8),"CAN'T LOSE THEM",AND(F1845&lt;=2,G1845&lt;=2,H1845&lt;=2),"HIBERNATING",TRUE(),"Other")</f>
        <v>LOYAL CUSTOMER</v>
      </c>
      <c r="K1845" s="1" t="n">
        <f aca="false">RANK(E1845,$E$7:$E$4378)+COUNTIF($E$7:E1845,E1845)-1</f>
        <v>1039</v>
      </c>
    </row>
    <row r="1846" customFormat="false" ht="14.25" hidden="false" customHeight="true" outlineLevel="0" collapsed="false">
      <c r="A1846" s="51" t="n">
        <v>14836</v>
      </c>
      <c r="B1846" s="53" t="n">
        <v>40876.6979166667</v>
      </c>
      <c r="C1846" s="57" t="n">
        <f aca="false">INT($C$2)-INT(Table3[[#This Row],[Last Purchase Date]])</f>
        <v>11</v>
      </c>
      <c r="D1846" s="1" t="n">
        <v>3</v>
      </c>
      <c r="E1846" s="1" t="n">
        <v>102.45</v>
      </c>
      <c r="F1846" s="1" t="n">
        <f aca="false">ROUND((1-_xlfn.PERCENTRANK.INC($C$7:$C$4378,C1846))*9,0)</f>
        <v>7</v>
      </c>
      <c r="G1846" s="1" t="n">
        <f aca="false">ROUND(_xlfn.PERCENTRANK.INC($D$7:$D$4378,D1846)*9,0)</f>
        <v>4</v>
      </c>
      <c r="H1846" s="1" t="n">
        <f aca="false">ROUND(_xlfn.PERCENTRANK.INC($E$7:$E$4378,E1846)*9,0)</f>
        <v>0</v>
      </c>
      <c r="I1846" s="1" t="str">
        <f aca="false">CONCATENATE(F1846,G1846,H1846)</f>
        <v>740</v>
      </c>
      <c r="J1846" s="1" t="str">
        <f aca="false">_xlfn.IFS(AND(F1846&gt;=8,G1846&gt;=8,H1846&gt;=8),"CHAMPION",AND(F1846&gt;=6,G1846&gt;=7,H1846&gt;=6),"LOYAL CUSTOMER",AND(F1846&gt;=6,G1846&gt;=5,H1846&gt;=5),"POTENTIAL LOYALIST",AND(F1846&gt;=8,G1846&lt;=2,H1846&gt;=5),"NEW CUSTOMERS",AND(F1846&gt;=6,G1846&lt;=2,H1846&gt;=3),"PROMISING",AND(F1846&gt;=3,G1846&gt;=3,H1846&gt;=3),"NEED ATTENTION",AND(F1846&lt;=4,G1846&gt;=6,H1846&gt;=6),"AT RISK",AND(F1846&lt;=2,G1846&gt;=8,H1846&gt;=8),"CAN'T LOSE THEM",AND(F1846&lt;=2,G1846&lt;=2,H1846&lt;=2),"HIBERNATING",TRUE(),"Other")</f>
        <v>Other</v>
      </c>
      <c r="K1846" s="1" t="n">
        <f aca="false">RANK(E1846,$E$7:$E$4378)+COUNTIF($E$7:E1846,E1846)-1</f>
        <v>4143</v>
      </c>
    </row>
    <row r="1847" customFormat="false" ht="14.25" hidden="false" customHeight="true" outlineLevel="0" collapsed="false">
      <c r="A1847" s="51" t="n">
        <v>14837</v>
      </c>
      <c r="B1847" s="53" t="n">
        <v>40797.4569444444</v>
      </c>
      <c r="C1847" s="57" t="n">
        <f aca="false">INT($C$2)-INT(Table3[[#This Row],[Last Purchase Date]])</f>
        <v>90</v>
      </c>
      <c r="D1847" s="1" t="n">
        <v>5</v>
      </c>
      <c r="E1847" s="1" t="n">
        <v>1641.2</v>
      </c>
      <c r="F1847" s="1" t="n">
        <f aca="false">ROUND((1-_xlfn.PERCENTRANK.INC($C$7:$C$4378,C1847))*9,0)</f>
        <v>3</v>
      </c>
      <c r="G1847" s="1" t="n">
        <f aca="false">ROUND(_xlfn.PERCENTRANK.INC($D$7:$D$4378,D1847)*9,0)</f>
        <v>6</v>
      </c>
      <c r="H1847" s="1" t="n">
        <f aca="false">ROUND(_xlfn.PERCENTRANK.INC($E$7:$E$4378,E1847)*9,0)</f>
        <v>7</v>
      </c>
      <c r="I1847" s="1" t="str">
        <f aca="false">CONCATENATE(F1847,G1847,H1847)</f>
        <v>367</v>
      </c>
      <c r="J1847" s="1" t="str">
        <f aca="false">_xlfn.IFS(AND(F1847&gt;=8,G1847&gt;=8,H1847&gt;=8),"CHAMPION",AND(F1847&gt;=6,G1847&gt;=7,H1847&gt;=6),"LOYAL CUSTOMER",AND(F1847&gt;=6,G1847&gt;=5,H1847&gt;=5),"POTENTIAL LOYALIST",AND(F1847&gt;=8,G1847&lt;=2,H1847&gt;=5),"NEW CUSTOMERS",AND(F1847&gt;=6,G1847&lt;=2,H1847&gt;=3),"PROMISING",AND(F1847&gt;=3,G1847&gt;=3,H1847&gt;=3),"NEED ATTENTION",AND(F1847&lt;=4,G1847&gt;=6,H1847&gt;=6),"AT RISK",AND(F1847&lt;=2,G1847&gt;=8,H1847&gt;=8),"CAN'T LOSE THEM",AND(F1847&lt;=2,G1847&lt;=2,H1847&lt;=2),"HIBERNATING",TRUE(),"Other")</f>
        <v>NEED ATTENTION</v>
      </c>
      <c r="K1847" s="1" t="n">
        <f aca="false">RANK(E1847,$E$7:$E$4378)+COUNTIF($E$7:E1847,E1847)-1</f>
        <v>1074</v>
      </c>
    </row>
    <row r="1848" customFormat="false" ht="14.25" hidden="false" customHeight="true" outlineLevel="0" collapsed="false">
      <c r="A1848" s="51" t="n">
        <v>14840</v>
      </c>
      <c r="B1848" s="53" t="n">
        <v>40619.5</v>
      </c>
      <c r="C1848" s="57" t="n">
        <f aca="false">INT($C$2)-INT(Table3[[#This Row],[Last Purchase Date]])</f>
        <v>268</v>
      </c>
      <c r="D1848" s="1" t="n">
        <v>1</v>
      </c>
      <c r="E1848" s="1" t="n">
        <v>62.85</v>
      </c>
      <c r="F1848" s="1" t="n">
        <f aca="false">ROUND((1-_xlfn.PERCENTRANK.INC($C$7:$C$4378,C1848))*9,0)</f>
        <v>1</v>
      </c>
      <c r="G1848" s="1" t="n">
        <f aca="false">ROUND(_xlfn.PERCENTRANK.INC($D$7:$D$4378,D1848)*9,0)</f>
        <v>0</v>
      </c>
      <c r="H1848" s="1" t="n">
        <f aca="false">ROUND(_xlfn.PERCENTRANK.INC($E$7:$E$4378,E1848)*9,0)</f>
        <v>0</v>
      </c>
      <c r="I1848" s="1" t="str">
        <f aca="false">CONCATENATE(F1848,G1848,H1848)</f>
        <v>100</v>
      </c>
      <c r="J1848" s="1" t="str">
        <f aca="false">_xlfn.IFS(AND(F1848&gt;=8,G1848&gt;=8,H1848&gt;=8),"CHAMPION",AND(F1848&gt;=6,G1848&gt;=7,H1848&gt;=6),"LOYAL CUSTOMER",AND(F1848&gt;=6,G1848&gt;=5,H1848&gt;=5),"POTENTIAL LOYALIST",AND(F1848&gt;=8,G1848&lt;=2,H1848&gt;=5),"NEW CUSTOMERS",AND(F1848&gt;=6,G1848&lt;=2,H1848&gt;=3),"PROMISING",AND(F1848&gt;=3,G1848&gt;=3,H1848&gt;=3),"NEED ATTENTION",AND(F1848&lt;=4,G1848&gt;=6,H1848&gt;=6),"AT RISK",AND(F1848&lt;=2,G1848&gt;=8,H1848&gt;=8),"CAN'T LOSE THEM",AND(F1848&lt;=2,G1848&lt;=2,H1848&lt;=2),"HIBERNATING",TRUE(),"Other")</f>
        <v>HIBERNATING</v>
      </c>
      <c r="K1848" s="1" t="n">
        <f aca="false">RANK(E1848,$E$7:$E$4378)+COUNTIF($E$7:E1848,E1848)-1</f>
        <v>4258</v>
      </c>
    </row>
    <row r="1849" customFormat="false" ht="14.25" hidden="false" customHeight="true" outlineLevel="0" collapsed="false">
      <c r="A1849" s="51" t="n">
        <v>14841</v>
      </c>
      <c r="B1849" s="53" t="n">
        <v>40833.6270833333</v>
      </c>
      <c r="C1849" s="57" t="n">
        <f aca="false">INT($C$2)-INT(Table3[[#This Row],[Last Purchase Date]])</f>
        <v>54</v>
      </c>
      <c r="D1849" s="1" t="n">
        <v>6</v>
      </c>
      <c r="E1849" s="1" t="n">
        <v>3295.76</v>
      </c>
      <c r="F1849" s="1" t="n">
        <f aca="false">ROUND((1-_xlfn.PERCENTRANK.INC($C$7:$C$4378,C1849))*9,0)</f>
        <v>4</v>
      </c>
      <c r="G1849" s="1" t="n">
        <f aca="false">ROUND(_xlfn.PERCENTRANK.INC($D$7:$D$4378,D1849)*9,0)</f>
        <v>7</v>
      </c>
      <c r="H1849" s="1" t="n">
        <f aca="false">ROUND(_xlfn.PERCENTRANK.INC($E$7:$E$4378,E1849)*9,0)</f>
        <v>8</v>
      </c>
      <c r="I1849" s="1" t="str">
        <f aca="false">CONCATENATE(F1849,G1849,H1849)</f>
        <v>478</v>
      </c>
      <c r="J1849" s="1" t="str">
        <f aca="false">_xlfn.IFS(AND(F1849&gt;=8,G1849&gt;=8,H1849&gt;=8),"CHAMPION",AND(F1849&gt;=6,G1849&gt;=7,H1849&gt;=6),"LOYAL CUSTOMER",AND(F1849&gt;=6,G1849&gt;=5,H1849&gt;=5),"POTENTIAL LOYALIST",AND(F1849&gt;=8,G1849&lt;=2,H1849&gt;=5),"NEW CUSTOMERS",AND(F1849&gt;=6,G1849&lt;=2,H1849&gt;=3),"PROMISING",AND(F1849&gt;=3,G1849&gt;=3,H1849&gt;=3),"NEED ATTENTION",AND(F1849&lt;=4,G1849&gt;=6,H1849&gt;=6),"AT RISK",AND(F1849&lt;=2,G1849&gt;=8,H1849&gt;=8),"CAN'T LOSE THEM",AND(F1849&lt;=2,G1849&lt;=2,H1849&lt;=2),"HIBERNATING",TRUE(),"Other")</f>
        <v>NEED ATTENTION</v>
      </c>
      <c r="K1849" s="1" t="n">
        <f aca="false">RANK(E1849,$E$7:$E$4378)+COUNTIF($E$7:E1849,E1849)-1</f>
        <v>477</v>
      </c>
    </row>
    <row r="1850" customFormat="false" ht="14.25" hidden="false" customHeight="true" outlineLevel="0" collapsed="false">
      <c r="A1850" s="51" t="n">
        <v>14842</v>
      </c>
      <c r="B1850" s="53" t="n">
        <v>40851.5479166667</v>
      </c>
      <c r="C1850" s="57" t="n">
        <f aca="false">INT($C$2)-INT(Table3[[#This Row],[Last Purchase Date]])</f>
        <v>36</v>
      </c>
      <c r="D1850" s="1" t="n">
        <v>8</v>
      </c>
      <c r="E1850" s="1" t="n">
        <v>2456.8</v>
      </c>
      <c r="F1850" s="1" t="n">
        <f aca="false">ROUND((1-_xlfn.PERCENTRANK.INC($C$7:$C$4378,C1850))*9,0)</f>
        <v>5</v>
      </c>
      <c r="G1850" s="1" t="n">
        <f aca="false">ROUND(_xlfn.PERCENTRANK.INC($D$7:$D$4378,D1850)*9,0)</f>
        <v>7</v>
      </c>
      <c r="H1850" s="1" t="n">
        <f aca="false">ROUND(_xlfn.PERCENTRANK.INC($E$7:$E$4378,E1850)*9,0)</f>
        <v>8</v>
      </c>
      <c r="I1850" s="1" t="str">
        <f aca="false">CONCATENATE(F1850,G1850,H1850)</f>
        <v>578</v>
      </c>
      <c r="J1850" s="1" t="str">
        <f aca="false">_xlfn.IFS(AND(F1850&gt;=8,G1850&gt;=8,H1850&gt;=8),"CHAMPION",AND(F1850&gt;=6,G1850&gt;=7,H1850&gt;=6),"LOYAL CUSTOMER",AND(F1850&gt;=6,G1850&gt;=5,H1850&gt;=5),"POTENTIAL LOYALIST",AND(F1850&gt;=8,G1850&lt;=2,H1850&gt;=5),"NEW CUSTOMERS",AND(F1850&gt;=6,G1850&lt;=2,H1850&gt;=3),"PROMISING",AND(F1850&gt;=3,G1850&gt;=3,H1850&gt;=3),"NEED ATTENTION",AND(F1850&lt;=4,G1850&gt;=6,H1850&gt;=6),"AT RISK",AND(F1850&lt;=2,G1850&gt;=8,H1850&gt;=8),"CAN'T LOSE THEM",AND(F1850&lt;=2,G1850&lt;=2,H1850&lt;=2),"HIBERNATING",TRUE(),"Other")</f>
        <v>NEED ATTENTION</v>
      </c>
      <c r="K1850" s="1" t="n">
        <f aca="false">RANK(E1850,$E$7:$E$4378)+COUNTIF($E$7:E1850,E1850)-1</f>
        <v>698</v>
      </c>
    </row>
    <row r="1851" customFormat="false" ht="14.25" hidden="false" customHeight="true" outlineLevel="0" collapsed="false">
      <c r="A1851" s="51" t="n">
        <v>14844</v>
      </c>
      <c r="B1851" s="53" t="n">
        <v>40823.4451388889</v>
      </c>
      <c r="C1851" s="57" t="n">
        <f aca="false">INT($C$2)-INT(Table3[[#This Row],[Last Purchase Date]])</f>
        <v>64</v>
      </c>
      <c r="D1851" s="1" t="n">
        <v>4</v>
      </c>
      <c r="E1851" s="1" t="n">
        <v>3189.81</v>
      </c>
      <c r="F1851" s="1" t="n">
        <f aca="false">ROUND((1-_xlfn.PERCENTRANK.INC($C$7:$C$4378,C1851))*9,0)</f>
        <v>4</v>
      </c>
      <c r="G1851" s="1" t="n">
        <f aca="false">ROUND(_xlfn.PERCENTRANK.INC($D$7:$D$4378,D1851)*9,0)</f>
        <v>5</v>
      </c>
      <c r="H1851" s="1" t="n">
        <f aca="false">ROUND(_xlfn.PERCENTRANK.INC($E$7:$E$4378,E1851)*9,0)</f>
        <v>8</v>
      </c>
      <c r="I1851" s="1" t="str">
        <f aca="false">CONCATENATE(F1851,G1851,H1851)</f>
        <v>458</v>
      </c>
      <c r="J1851" s="1" t="str">
        <f aca="false">_xlfn.IFS(AND(F1851&gt;=8,G1851&gt;=8,H1851&gt;=8),"CHAMPION",AND(F1851&gt;=6,G1851&gt;=7,H1851&gt;=6),"LOYAL CUSTOMER",AND(F1851&gt;=6,G1851&gt;=5,H1851&gt;=5),"POTENTIAL LOYALIST",AND(F1851&gt;=8,G1851&lt;=2,H1851&gt;=5),"NEW CUSTOMERS",AND(F1851&gt;=6,G1851&lt;=2,H1851&gt;=3),"PROMISING",AND(F1851&gt;=3,G1851&gt;=3,H1851&gt;=3),"NEED ATTENTION",AND(F1851&lt;=4,G1851&gt;=6,H1851&gt;=6),"AT RISK",AND(F1851&lt;=2,G1851&gt;=8,H1851&gt;=8),"CAN'T LOSE THEM",AND(F1851&lt;=2,G1851&lt;=2,H1851&lt;=2),"HIBERNATING",TRUE(),"Other")</f>
        <v>NEED ATTENTION</v>
      </c>
      <c r="K1851" s="1" t="n">
        <f aca="false">RANK(E1851,$E$7:$E$4378)+COUNTIF($E$7:E1851,E1851)-1</f>
        <v>497</v>
      </c>
    </row>
    <row r="1852" customFormat="false" ht="14.25" hidden="false" customHeight="true" outlineLevel="0" collapsed="false">
      <c r="A1852" s="51" t="n">
        <v>14847</v>
      </c>
      <c r="B1852" s="53" t="n">
        <v>40738.4527777778</v>
      </c>
      <c r="C1852" s="57" t="n">
        <f aca="false">INT($C$2)-INT(Table3[[#This Row],[Last Purchase Date]])</f>
        <v>149</v>
      </c>
      <c r="D1852" s="1" t="n">
        <v>1</v>
      </c>
      <c r="E1852" s="1" t="n">
        <v>309.4</v>
      </c>
      <c r="F1852" s="1" t="n">
        <f aca="false">ROUND((1-_xlfn.PERCENTRANK.INC($C$7:$C$4378,C1852))*9,0)</f>
        <v>2</v>
      </c>
      <c r="G1852" s="1" t="n">
        <f aca="false">ROUND(_xlfn.PERCENTRANK.INC($D$7:$D$4378,D1852)*9,0)</f>
        <v>0</v>
      </c>
      <c r="H1852" s="1" t="n">
        <f aca="false">ROUND(_xlfn.PERCENTRANK.INC($E$7:$E$4378,E1852)*9,0)</f>
        <v>2</v>
      </c>
      <c r="I1852" s="1" t="str">
        <f aca="false">CONCATENATE(F1852,G1852,H1852)</f>
        <v>202</v>
      </c>
      <c r="J1852" s="1" t="str">
        <f aca="false">_xlfn.IFS(AND(F1852&gt;=8,G1852&gt;=8,H1852&gt;=8),"CHAMPION",AND(F1852&gt;=6,G1852&gt;=7,H1852&gt;=6),"LOYAL CUSTOMER",AND(F1852&gt;=6,G1852&gt;=5,H1852&gt;=5),"POTENTIAL LOYALIST",AND(F1852&gt;=8,G1852&lt;=2,H1852&gt;=5),"NEW CUSTOMERS",AND(F1852&gt;=6,G1852&lt;=2,H1852&gt;=3),"PROMISING",AND(F1852&gt;=3,G1852&gt;=3,H1852&gt;=3),"NEED ATTENTION",AND(F1852&lt;=4,G1852&gt;=6,H1852&gt;=6),"AT RISK",AND(F1852&lt;=2,G1852&gt;=8,H1852&gt;=8),"CAN'T LOSE THEM",AND(F1852&lt;=2,G1852&lt;=2,H1852&lt;=2),"HIBERNATING",TRUE(),"Other")</f>
        <v>HIBERNATING</v>
      </c>
      <c r="K1852" s="1" t="n">
        <f aca="false">RANK(E1852,$E$7:$E$4378)+COUNTIF($E$7:E1852,E1852)-1</f>
        <v>3197</v>
      </c>
    </row>
    <row r="1853" customFormat="false" ht="14.25" hidden="false" customHeight="true" outlineLevel="0" collapsed="false">
      <c r="A1853" s="51" t="n">
        <v>14849</v>
      </c>
      <c r="B1853" s="53" t="n">
        <v>40865.4569444444</v>
      </c>
      <c r="C1853" s="57" t="n">
        <f aca="false">INT($C$2)-INT(Table3[[#This Row],[Last Purchase Date]])</f>
        <v>22</v>
      </c>
      <c r="D1853" s="1" t="n">
        <v>28</v>
      </c>
      <c r="E1853" s="1" t="n">
        <v>7904.28</v>
      </c>
      <c r="F1853" s="1" t="n">
        <f aca="false">ROUND((1-_xlfn.PERCENTRANK.INC($C$7:$C$4378,C1853))*9,0)</f>
        <v>6</v>
      </c>
      <c r="G1853" s="1" t="n">
        <f aca="false">ROUND(_xlfn.PERCENTRANK.INC($D$7:$D$4378,D1853)*9,0)</f>
        <v>9</v>
      </c>
      <c r="H1853" s="1" t="n">
        <f aca="false">ROUND(_xlfn.PERCENTRANK.INC($E$7:$E$4378,E1853)*9,0)</f>
        <v>9</v>
      </c>
      <c r="I1853" s="1" t="str">
        <f aca="false">CONCATENATE(F1853,G1853,H1853)</f>
        <v>699</v>
      </c>
      <c r="J1853" s="1" t="str">
        <f aca="false">_xlfn.IFS(AND(F1853&gt;=8,G1853&gt;=8,H1853&gt;=8),"CHAMPION",AND(F1853&gt;=6,G1853&gt;=7,H1853&gt;=6),"LOYAL CUSTOMER",AND(F1853&gt;=6,G1853&gt;=5,H1853&gt;=5),"POTENTIAL LOYALIST",AND(F1853&gt;=8,G1853&lt;=2,H1853&gt;=5),"NEW CUSTOMERS",AND(F1853&gt;=6,G1853&lt;=2,H1853&gt;=3),"PROMISING",AND(F1853&gt;=3,G1853&gt;=3,H1853&gt;=3),"NEED ATTENTION",AND(F1853&lt;=4,G1853&gt;=6,H1853&gt;=6),"AT RISK",AND(F1853&lt;=2,G1853&gt;=8,H1853&gt;=8),"CAN'T LOSE THEM",AND(F1853&lt;=2,G1853&lt;=2,H1853&lt;=2),"HIBERNATING",TRUE(),"Other")</f>
        <v>LOYAL CUSTOMER</v>
      </c>
      <c r="K1853" s="1" t="n">
        <f aca="false">RANK(E1853,$E$7:$E$4378)+COUNTIF($E$7:E1853,E1853)-1</f>
        <v>130</v>
      </c>
    </row>
    <row r="1854" customFormat="false" ht="14.25" hidden="false" customHeight="true" outlineLevel="0" collapsed="false">
      <c r="A1854" s="51" t="n">
        <v>14850</v>
      </c>
      <c r="B1854" s="53" t="n">
        <v>40575.4729166667</v>
      </c>
      <c r="C1854" s="57" t="n">
        <f aca="false">INT($C$2)-INT(Table3[[#This Row],[Last Purchase Date]])</f>
        <v>312</v>
      </c>
      <c r="D1854" s="1" t="n">
        <v>2</v>
      </c>
      <c r="E1854" s="1" t="n">
        <v>278.15</v>
      </c>
      <c r="F1854" s="1" t="n">
        <f aca="false">ROUND((1-_xlfn.PERCENTRANK.INC($C$7:$C$4378,C1854))*9,0)</f>
        <v>0</v>
      </c>
      <c r="G1854" s="1" t="n">
        <f aca="false">ROUND(_xlfn.PERCENTRANK.INC($D$7:$D$4378,D1854)*9,0)</f>
        <v>3</v>
      </c>
      <c r="H1854" s="1" t="n">
        <f aca="false">ROUND(_xlfn.PERCENTRANK.INC($E$7:$E$4378,E1854)*9,0)</f>
        <v>2</v>
      </c>
      <c r="I1854" s="1" t="str">
        <f aca="false">CONCATENATE(F1854,G1854,H1854)</f>
        <v>032</v>
      </c>
      <c r="J1854" s="1" t="str">
        <f aca="false">_xlfn.IFS(AND(F1854&gt;=8,G1854&gt;=8,H1854&gt;=8),"CHAMPION",AND(F1854&gt;=6,G1854&gt;=7,H1854&gt;=6),"LOYAL CUSTOMER",AND(F1854&gt;=6,G1854&gt;=5,H1854&gt;=5),"POTENTIAL LOYALIST",AND(F1854&gt;=8,G1854&lt;=2,H1854&gt;=5),"NEW CUSTOMERS",AND(F1854&gt;=6,G1854&lt;=2,H1854&gt;=3),"PROMISING",AND(F1854&gt;=3,G1854&gt;=3,H1854&gt;=3),"NEED ATTENTION",AND(F1854&lt;=4,G1854&gt;=6,H1854&gt;=6),"AT RISK",AND(F1854&lt;=2,G1854&gt;=8,H1854&gt;=8),"CAN'T LOSE THEM",AND(F1854&lt;=2,G1854&lt;=2,H1854&lt;=2),"HIBERNATING",TRUE(),"Other")</f>
        <v>Other</v>
      </c>
      <c r="K1854" s="1" t="n">
        <f aca="false">RANK(E1854,$E$7:$E$4378)+COUNTIF($E$7:E1854,E1854)-1</f>
        <v>3332</v>
      </c>
    </row>
    <row r="1855" customFormat="false" ht="14.25" hidden="false" customHeight="true" outlineLevel="0" collapsed="false">
      <c r="A1855" s="51" t="n">
        <v>14851</v>
      </c>
      <c r="B1855" s="53" t="n">
        <v>40863.5972222222</v>
      </c>
      <c r="C1855" s="57" t="n">
        <f aca="false">INT($C$2)-INT(Table3[[#This Row],[Last Purchase Date]])</f>
        <v>24</v>
      </c>
      <c r="D1855" s="1" t="n">
        <v>2</v>
      </c>
      <c r="E1855" s="1" t="n">
        <v>511.35</v>
      </c>
      <c r="F1855" s="1" t="n">
        <f aca="false">ROUND((1-_xlfn.PERCENTRANK.INC($C$7:$C$4378,C1855))*9,0)</f>
        <v>6</v>
      </c>
      <c r="G1855" s="1" t="n">
        <f aca="false">ROUND(_xlfn.PERCENTRANK.INC($D$7:$D$4378,D1855)*9,0)</f>
        <v>3</v>
      </c>
      <c r="H1855" s="1" t="n">
        <f aca="false">ROUND(_xlfn.PERCENTRANK.INC($E$7:$E$4378,E1855)*9,0)</f>
        <v>4</v>
      </c>
      <c r="I1855" s="1" t="str">
        <f aca="false">CONCATENATE(F1855,G1855,H1855)</f>
        <v>634</v>
      </c>
      <c r="J1855" s="1" t="str">
        <f aca="false">_xlfn.IFS(AND(F1855&gt;=8,G1855&gt;=8,H1855&gt;=8),"CHAMPION",AND(F1855&gt;=6,G1855&gt;=7,H1855&gt;=6),"LOYAL CUSTOMER",AND(F1855&gt;=6,G1855&gt;=5,H1855&gt;=5),"POTENTIAL LOYALIST",AND(F1855&gt;=8,G1855&lt;=2,H1855&gt;=5),"NEW CUSTOMERS",AND(F1855&gt;=6,G1855&lt;=2,H1855&gt;=3),"PROMISING",AND(F1855&gt;=3,G1855&gt;=3,H1855&gt;=3),"NEED ATTENTION",AND(F1855&lt;=4,G1855&gt;=6,H1855&gt;=6),"AT RISK",AND(F1855&lt;=2,G1855&gt;=8,H1855&gt;=8),"CAN'T LOSE THEM",AND(F1855&lt;=2,G1855&lt;=2,H1855&lt;=2),"HIBERNATING",TRUE(),"Other")</f>
        <v>NEED ATTENTION</v>
      </c>
      <c r="K1855" s="1" t="n">
        <f aca="false">RANK(E1855,$E$7:$E$4378)+COUNTIF($E$7:E1855,E1855)-1</f>
        <v>2513</v>
      </c>
    </row>
    <row r="1856" customFormat="false" ht="14.25" hidden="false" customHeight="true" outlineLevel="0" collapsed="false">
      <c r="A1856" s="51" t="n">
        <v>14852</v>
      </c>
      <c r="B1856" s="53" t="n">
        <v>40828.5555555556</v>
      </c>
      <c r="C1856" s="57" t="n">
        <f aca="false">INT($C$2)-INT(Table3[[#This Row],[Last Purchase Date]])</f>
        <v>59</v>
      </c>
      <c r="D1856" s="1" t="n">
        <v>6</v>
      </c>
      <c r="E1856" s="1" t="n">
        <v>2836.69</v>
      </c>
      <c r="F1856" s="1" t="n">
        <f aca="false">ROUND((1-_xlfn.PERCENTRANK.INC($C$7:$C$4378,C1856))*9,0)</f>
        <v>4</v>
      </c>
      <c r="G1856" s="1" t="n">
        <f aca="false">ROUND(_xlfn.PERCENTRANK.INC($D$7:$D$4378,D1856)*9,0)</f>
        <v>7</v>
      </c>
      <c r="H1856" s="1" t="n">
        <f aca="false">ROUND(_xlfn.PERCENTRANK.INC($E$7:$E$4378,E1856)*9,0)</f>
        <v>8</v>
      </c>
      <c r="I1856" s="1" t="str">
        <f aca="false">CONCATENATE(F1856,G1856,H1856)</f>
        <v>478</v>
      </c>
      <c r="J1856" s="1" t="str">
        <f aca="false">_xlfn.IFS(AND(F1856&gt;=8,G1856&gt;=8,H1856&gt;=8),"CHAMPION",AND(F1856&gt;=6,G1856&gt;=7,H1856&gt;=6),"LOYAL CUSTOMER",AND(F1856&gt;=6,G1856&gt;=5,H1856&gt;=5),"POTENTIAL LOYALIST",AND(F1856&gt;=8,G1856&lt;=2,H1856&gt;=5),"NEW CUSTOMERS",AND(F1856&gt;=6,G1856&lt;=2,H1856&gt;=3),"PROMISING",AND(F1856&gt;=3,G1856&gt;=3,H1856&gt;=3),"NEED ATTENTION",AND(F1856&lt;=4,G1856&gt;=6,H1856&gt;=6),"AT RISK",AND(F1856&lt;=2,G1856&gt;=8,H1856&gt;=8),"CAN'T LOSE THEM",AND(F1856&lt;=2,G1856&lt;=2,H1856&lt;=2),"HIBERNATING",TRUE(),"Other")</f>
        <v>NEED ATTENTION</v>
      </c>
      <c r="K1856" s="1" t="n">
        <f aca="false">RANK(E1856,$E$7:$E$4378)+COUNTIF($E$7:E1856,E1856)-1</f>
        <v>578</v>
      </c>
    </row>
    <row r="1857" customFormat="false" ht="14.25" hidden="false" customHeight="true" outlineLevel="0" collapsed="false">
      <c r="A1857" s="51" t="n">
        <v>14853</v>
      </c>
      <c r="B1857" s="53" t="n">
        <v>40878.4055555556</v>
      </c>
      <c r="C1857" s="57" t="n">
        <f aca="false">INT($C$2)-INT(Table3[[#This Row],[Last Purchase Date]])</f>
        <v>9</v>
      </c>
      <c r="D1857" s="1" t="n">
        <v>3</v>
      </c>
      <c r="E1857" s="1" t="n">
        <v>463.05</v>
      </c>
      <c r="F1857" s="1" t="n">
        <f aca="false">ROUND((1-_xlfn.PERCENTRANK.INC($C$7:$C$4378,C1857))*9,0)</f>
        <v>8</v>
      </c>
      <c r="G1857" s="1" t="n">
        <f aca="false">ROUND(_xlfn.PERCENTRANK.INC($D$7:$D$4378,D1857)*9,0)</f>
        <v>4</v>
      </c>
      <c r="H1857" s="1" t="n">
        <f aca="false">ROUND(_xlfn.PERCENTRANK.INC($E$7:$E$4378,E1857)*9,0)</f>
        <v>4</v>
      </c>
      <c r="I1857" s="1" t="str">
        <f aca="false">CONCATENATE(F1857,G1857,H1857)</f>
        <v>844</v>
      </c>
      <c r="J1857" s="1" t="str">
        <f aca="false">_xlfn.IFS(AND(F1857&gt;=8,G1857&gt;=8,H1857&gt;=8),"CHAMPION",AND(F1857&gt;=6,G1857&gt;=7,H1857&gt;=6),"LOYAL CUSTOMER",AND(F1857&gt;=6,G1857&gt;=5,H1857&gt;=5),"POTENTIAL LOYALIST",AND(F1857&gt;=8,G1857&lt;=2,H1857&gt;=5),"NEW CUSTOMERS",AND(F1857&gt;=6,G1857&lt;=2,H1857&gt;=3),"PROMISING",AND(F1857&gt;=3,G1857&gt;=3,H1857&gt;=3),"NEED ATTENTION",AND(F1857&lt;=4,G1857&gt;=6,H1857&gt;=6),"AT RISK",AND(F1857&lt;=2,G1857&gt;=8,H1857&gt;=8),"CAN'T LOSE THEM",AND(F1857&lt;=2,G1857&lt;=2,H1857&lt;=2),"HIBERNATING",TRUE(),"Other")</f>
        <v>NEED ATTENTION</v>
      </c>
      <c r="K1857" s="1" t="n">
        <f aca="false">RANK(E1857,$E$7:$E$4378)+COUNTIF($E$7:E1857,E1857)-1</f>
        <v>2632</v>
      </c>
    </row>
    <row r="1858" customFormat="false" ht="14.25" hidden="false" customHeight="true" outlineLevel="0" collapsed="false">
      <c r="A1858" s="51" t="n">
        <v>14854</v>
      </c>
      <c r="B1858" s="53" t="n">
        <v>40808.7083333333</v>
      </c>
      <c r="C1858" s="57" t="n">
        <f aca="false">INT($C$2)-INT(Table3[[#This Row],[Last Purchase Date]])</f>
        <v>79</v>
      </c>
      <c r="D1858" s="1" t="n">
        <v>8</v>
      </c>
      <c r="E1858" s="1" t="n">
        <v>2749.89</v>
      </c>
      <c r="F1858" s="1" t="n">
        <f aca="false">ROUND((1-_xlfn.PERCENTRANK.INC($C$7:$C$4378,C1858))*9,0)</f>
        <v>3</v>
      </c>
      <c r="G1858" s="1" t="n">
        <f aca="false">ROUND(_xlfn.PERCENTRANK.INC($D$7:$D$4378,D1858)*9,0)</f>
        <v>7</v>
      </c>
      <c r="H1858" s="1" t="n">
        <f aca="false">ROUND(_xlfn.PERCENTRANK.INC($E$7:$E$4378,E1858)*9,0)</f>
        <v>8</v>
      </c>
      <c r="I1858" s="1" t="str">
        <f aca="false">CONCATENATE(F1858,G1858,H1858)</f>
        <v>378</v>
      </c>
      <c r="J1858" s="1" t="str">
        <f aca="false">_xlfn.IFS(AND(F1858&gt;=8,G1858&gt;=8,H1858&gt;=8),"CHAMPION",AND(F1858&gt;=6,G1858&gt;=7,H1858&gt;=6),"LOYAL CUSTOMER",AND(F1858&gt;=6,G1858&gt;=5,H1858&gt;=5),"POTENTIAL LOYALIST",AND(F1858&gt;=8,G1858&lt;=2,H1858&gt;=5),"NEW CUSTOMERS",AND(F1858&gt;=6,G1858&lt;=2,H1858&gt;=3),"PROMISING",AND(F1858&gt;=3,G1858&gt;=3,H1858&gt;=3),"NEED ATTENTION",AND(F1858&lt;=4,G1858&gt;=6,H1858&gt;=6),"AT RISK",AND(F1858&lt;=2,G1858&gt;=8,H1858&gt;=8),"CAN'T LOSE THEM",AND(F1858&lt;=2,G1858&lt;=2,H1858&lt;=2),"HIBERNATING",TRUE(),"Other")</f>
        <v>NEED ATTENTION</v>
      </c>
      <c r="K1858" s="1" t="n">
        <f aca="false">RANK(E1858,$E$7:$E$4378)+COUNTIF($E$7:E1858,E1858)-1</f>
        <v>603</v>
      </c>
    </row>
    <row r="1859" customFormat="false" ht="14.25" hidden="false" customHeight="true" outlineLevel="0" collapsed="false">
      <c r="A1859" s="51" t="n">
        <v>14855</v>
      </c>
      <c r="B1859" s="53" t="n">
        <v>40767.5847222222</v>
      </c>
      <c r="C1859" s="57" t="n">
        <f aca="false">INT($C$2)-INT(Table3[[#This Row],[Last Purchase Date]])</f>
        <v>120</v>
      </c>
      <c r="D1859" s="1" t="n">
        <v>2</v>
      </c>
      <c r="E1859" s="1" t="n">
        <v>645.65</v>
      </c>
      <c r="F1859" s="1" t="n">
        <f aca="false">ROUND((1-_xlfn.PERCENTRANK.INC($C$7:$C$4378,C1859))*9,0)</f>
        <v>3</v>
      </c>
      <c r="G1859" s="1" t="n">
        <f aca="false">ROUND(_xlfn.PERCENTRANK.INC($D$7:$D$4378,D1859)*9,0)</f>
        <v>3</v>
      </c>
      <c r="H1859" s="1" t="n">
        <f aca="false">ROUND(_xlfn.PERCENTRANK.INC($E$7:$E$4378,E1859)*9,0)</f>
        <v>4</v>
      </c>
      <c r="I1859" s="1" t="str">
        <f aca="false">CONCATENATE(F1859,G1859,H1859)</f>
        <v>334</v>
      </c>
      <c r="J1859" s="1" t="str">
        <f aca="false">_xlfn.IFS(AND(F1859&gt;=8,G1859&gt;=8,H1859&gt;=8),"CHAMPION",AND(F1859&gt;=6,G1859&gt;=7,H1859&gt;=6),"LOYAL CUSTOMER",AND(F1859&gt;=6,G1859&gt;=5,H1859&gt;=5),"POTENTIAL LOYALIST",AND(F1859&gt;=8,G1859&lt;=2,H1859&gt;=5),"NEW CUSTOMERS",AND(F1859&gt;=6,G1859&lt;=2,H1859&gt;=3),"PROMISING",AND(F1859&gt;=3,G1859&gt;=3,H1859&gt;=3),"NEED ATTENTION",AND(F1859&lt;=4,G1859&gt;=6,H1859&gt;=6),"AT RISK",AND(F1859&lt;=2,G1859&gt;=8,H1859&gt;=8),"CAN'T LOSE THEM",AND(F1859&lt;=2,G1859&lt;=2,H1859&lt;=2),"HIBERNATING",TRUE(),"Other")</f>
        <v>NEED ATTENTION</v>
      </c>
      <c r="K1859" s="1" t="n">
        <f aca="false">RANK(E1859,$E$7:$E$4378)+COUNTIF($E$7:E1859,E1859)-1</f>
        <v>2193</v>
      </c>
    </row>
    <row r="1860" customFormat="false" ht="14.25" hidden="false" customHeight="true" outlineLevel="0" collapsed="false">
      <c r="A1860" s="51" t="n">
        <v>14856</v>
      </c>
      <c r="B1860" s="53" t="n">
        <v>40850.6201388889</v>
      </c>
      <c r="C1860" s="57" t="n">
        <f aca="false">INT($C$2)-INT(Table3[[#This Row],[Last Purchase Date]])</f>
        <v>37</v>
      </c>
      <c r="D1860" s="1" t="n">
        <v>3</v>
      </c>
      <c r="E1860" s="1" t="n">
        <v>1311.38</v>
      </c>
      <c r="F1860" s="1" t="n">
        <f aca="false">ROUND((1-_xlfn.PERCENTRANK.INC($C$7:$C$4378,C1860))*9,0)</f>
        <v>5</v>
      </c>
      <c r="G1860" s="1" t="n">
        <f aca="false">ROUND(_xlfn.PERCENTRANK.INC($D$7:$D$4378,D1860)*9,0)</f>
        <v>4</v>
      </c>
      <c r="H1860" s="1" t="n">
        <f aca="false">ROUND(_xlfn.PERCENTRANK.INC($E$7:$E$4378,E1860)*9,0)</f>
        <v>6</v>
      </c>
      <c r="I1860" s="1" t="str">
        <f aca="false">CONCATENATE(F1860,G1860,H1860)</f>
        <v>546</v>
      </c>
      <c r="J1860" s="1" t="str">
        <f aca="false">_xlfn.IFS(AND(F1860&gt;=8,G1860&gt;=8,H1860&gt;=8),"CHAMPION",AND(F1860&gt;=6,G1860&gt;=7,H1860&gt;=6),"LOYAL CUSTOMER",AND(F1860&gt;=6,G1860&gt;=5,H1860&gt;=5),"POTENTIAL LOYALIST",AND(F1860&gt;=8,G1860&lt;=2,H1860&gt;=5),"NEW CUSTOMERS",AND(F1860&gt;=6,G1860&lt;=2,H1860&gt;=3),"PROMISING",AND(F1860&gt;=3,G1860&gt;=3,H1860&gt;=3),"NEED ATTENTION",AND(F1860&lt;=4,G1860&gt;=6,H1860&gt;=6),"AT RISK",AND(F1860&lt;=2,G1860&gt;=8,H1860&gt;=8),"CAN'T LOSE THEM",AND(F1860&lt;=2,G1860&lt;=2,H1860&lt;=2),"HIBERNATING",TRUE(),"Other")</f>
        <v>NEED ATTENTION</v>
      </c>
      <c r="K1860" s="1" t="n">
        <f aca="false">RANK(E1860,$E$7:$E$4378)+COUNTIF($E$7:E1860,E1860)-1</f>
        <v>1315</v>
      </c>
    </row>
    <row r="1861" customFormat="false" ht="14.25" hidden="false" customHeight="true" outlineLevel="0" collapsed="false">
      <c r="A1861" s="51" t="n">
        <v>14857</v>
      </c>
      <c r="B1861" s="53" t="n">
        <v>40827.3909722222</v>
      </c>
      <c r="C1861" s="57" t="n">
        <f aca="false">INT($C$2)-INT(Table3[[#This Row],[Last Purchase Date]])</f>
        <v>60</v>
      </c>
      <c r="D1861" s="1" t="n">
        <v>3</v>
      </c>
      <c r="E1861" s="1" t="n">
        <v>1165.65</v>
      </c>
      <c r="F1861" s="1" t="n">
        <f aca="false">ROUND((1-_xlfn.PERCENTRANK.INC($C$7:$C$4378,C1861))*9,0)</f>
        <v>4</v>
      </c>
      <c r="G1861" s="1" t="n">
        <f aca="false">ROUND(_xlfn.PERCENTRANK.INC($D$7:$D$4378,D1861)*9,0)</f>
        <v>4</v>
      </c>
      <c r="H1861" s="1" t="n">
        <f aca="false">ROUND(_xlfn.PERCENTRANK.INC($E$7:$E$4378,E1861)*9,0)</f>
        <v>6</v>
      </c>
      <c r="I1861" s="1" t="str">
        <f aca="false">CONCATENATE(F1861,G1861,H1861)</f>
        <v>446</v>
      </c>
      <c r="J1861" s="1" t="str">
        <f aca="false">_xlfn.IFS(AND(F1861&gt;=8,G1861&gt;=8,H1861&gt;=8),"CHAMPION",AND(F1861&gt;=6,G1861&gt;=7,H1861&gt;=6),"LOYAL CUSTOMER",AND(F1861&gt;=6,G1861&gt;=5,H1861&gt;=5),"POTENTIAL LOYALIST",AND(F1861&gt;=8,G1861&lt;=2,H1861&gt;=5),"NEW CUSTOMERS",AND(F1861&gt;=6,G1861&lt;=2,H1861&gt;=3),"PROMISING",AND(F1861&gt;=3,G1861&gt;=3,H1861&gt;=3),"NEED ATTENTION",AND(F1861&lt;=4,G1861&gt;=6,H1861&gt;=6),"AT RISK",AND(F1861&lt;=2,G1861&gt;=8,H1861&gt;=8),"CAN'T LOSE THEM",AND(F1861&lt;=2,G1861&lt;=2,H1861&lt;=2),"HIBERNATING",TRUE(),"Other")</f>
        <v>NEED ATTENTION</v>
      </c>
      <c r="K1861" s="1" t="n">
        <f aca="false">RANK(E1861,$E$7:$E$4378)+COUNTIF($E$7:E1861,E1861)-1</f>
        <v>1435</v>
      </c>
    </row>
    <row r="1862" customFormat="false" ht="14.25" hidden="false" customHeight="true" outlineLevel="0" collapsed="false">
      <c r="A1862" s="51" t="n">
        <v>14859</v>
      </c>
      <c r="B1862" s="53" t="n">
        <v>40874.4708333333</v>
      </c>
      <c r="C1862" s="57" t="n">
        <f aca="false">INT($C$2)-INT(Table3[[#This Row],[Last Purchase Date]])</f>
        <v>13</v>
      </c>
      <c r="D1862" s="1" t="n">
        <v>5</v>
      </c>
      <c r="E1862" s="1" t="n">
        <v>1352.04</v>
      </c>
      <c r="F1862" s="1" t="n">
        <f aca="false">ROUND((1-_xlfn.PERCENTRANK.INC($C$7:$C$4378,C1862))*9,0)</f>
        <v>7</v>
      </c>
      <c r="G1862" s="1" t="n">
        <f aca="false">ROUND(_xlfn.PERCENTRANK.INC($D$7:$D$4378,D1862)*9,0)</f>
        <v>6</v>
      </c>
      <c r="H1862" s="1" t="n">
        <f aca="false">ROUND(_xlfn.PERCENTRANK.INC($E$7:$E$4378,E1862)*9,0)</f>
        <v>6</v>
      </c>
      <c r="I1862" s="1" t="str">
        <f aca="false">CONCATENATE(F1862,G1862,H1862)</f>
        <v>766</v>
      </c>
      <c r="J1862" s="1" t="str">
        <f aca="false">_xlfn.IFS(AND(F1862&gt;=8,G1862&gt;=8,H1862&gt;=8),"CHAMPION",AND(F1862&gt;=6,G1862&gt;=7,H1862&gt;=6),"LOYAL CUSTOMER",AND(F1862&gt;=6,G1862&gt;=5,H1862&gt;=5),"POTENTIAL LOYALIST",AND(F1862&gt;=8,G1862&lt;=2,H1862&gt;=5),"NEW CUSTOMERS",AND(F1862&gt;=6,G1862&lt;=2,H1862&gt;=3),"PROMISING",AND(F1862&gt;=3,G1862&gt;=3,H1862&gt;=3),"NEED ATTENTION",AND(F1862&lt;=4,G1862&gt;=6,H1862&gt;=6),"AT RISK",AND(F1862&lt;=2,G1862&gt;=8,H1862&gt;=8),"CAN'T LOSE THEM",AND(F1862&lt;=2,G1862&lt;=2,H1862&lt;=2),"HIBERNATING",TRUE(),"Other")</f>
        <v>POTENTIAL LOYALIST</v>
      </c>
      <c r="K1862" s="1" t="n">
        <f aca="false">RANK(E1862,$E$7:$E$4378)+COUNTIF($E$7:E1862,E1862)-1</f>
        <v>1273</v>
      </c>
    </row>
    <row r="1863" customFormat="false" ht="14.25" hidden="false" customHeight="true" outlineLevel="0" collapsed="false">
      <c r="A1863" s="51" t="n">
        <v>14860</v>
      </c>
      <c r="B1863" s="53" t="n">
        <v>40878.4055555556</v>
      </c>
      <c r="C1863" s="57" t="n">
        <f aca="false">INT($C$2)-INT(Table3[[#This Row],[Last Purchase Date]])</f>
        <v>9</v>
      </c>
      <c r="D1863" s="1" t="n">
        <v>2</v>
      </c>
      <c r="E1863" s="1" t="n">
        <v>168.62</v>
      </c>
      <c r="F1863" s="1" t="n">
        <f aca="false">ROUND((1-_xlfn.PERCENTRANK.INC($C$7:$C$4378,C1863))*9,0)</f>
        <v>8</v>
      </c>
      <c r="G1863" s="1" t="n">
        <f aca="false">ROUND(_xlfn.PERCENTRANK.INC($D$7:$D$4378,D1863)*9,0)</f>
        <v>3</v>
      </c>
      <c r="H1863" s="1" t="n">
        <f aca="false">ROUND(_xlfn.PERCENTRANK.INC($E$7:$E$4378,E1863)*9,0)</f>
        <v>1</v>
      </c>
      <c r="I1863" s="1" t="str">
        <f aca="false">CONCATENATE(F1863,G1863,H1863)</f>
        <v>831</v>
      </c>
      <c r="J1863" s="1" t="str">
        <f aca="false">_xlfn.IFS(AND(F1863&gt;=8,G1863&gt;=8,H1863&gt;=8),"CHAMPION",AND(F1863&gt;=6,G1863&gt;=7,H1863&gt;=6),"LOYAL CUSTOMER",AND(F1863&gt;=6,G1863&gt;=5,H1863&gt;=5),"POTENTIAL LOYALIST",AND(F1863&gt;=8,G1863&lt;=2,H1863&gt;=5),"NEW CUSTOMERS",AND(F1863&gt;=6,G1863&lt;=2,H1863&gt;=3),"PROMISING",AND(F1863&gt;=3,G1863&gt;=3,H1863&gt;=3),"NEED ATTENTION",AND(F1863&lt;=4,G1863&gt;=6,H1863&gt;=6),"AT RISK",AND(F1863&lt;=2,G1863&gt;=8,H1863&gt;=8),"CAN'T LOSE THEM",AND(F1863&lt;=2,G1863&lt;=2,H1863&lt;=2),"HIBERNATING",TRUE(),"Other")</f>
        <v>Other</v>
      </c>
      <c r="K1863" s="1" t="n">
        <f aca="false">RANK(E1863,$E$7:$E$4378)+COUNTIF($E$7:E1863,E1863)-1</f>
        <v>3810</v>
      </c>
    </row>
    <row r="1864" customFormat="false" ht="14.25" hidden="false" customHeight="true" outlineLevel="0" collapsed="false">
      <c r="A1864" s="51" t="n">
        <v>14861</v>
      </c>
      <c r="B1864" s="53" t="n">
        <v>40834.5375</v>
      </c>
      <c r="C1864" s="57" t="n">
        <f aca="false">INT($C$2)-INT(Table3[[#This Row],[Last Purchase Date]])</f>
        <v>53</v>
      </c>
      <c r="D1864" s="1" t="n">
        <v>1</v>
      </c>
      <c r="E1864" s="1" t="n">
        <v>125.79</v>
      </c>
      <c r="F1864" s="1" t="n">
        <f aca="false">ROUND((1-_xlfn.PERCENTRANK.INC($C$7:$C$4378,C1864))*9,0)</f>
        <v>4</v>
      </c>
      <c r="G1864" s="1" t="n">
        <f aca="false">ROUND(_xlfn.PERCENTRANK.INC($D$7:$D$4378,D1864)*9,0)</f>
        <v>0</v>
      </c>
      <c r="H1864" s="1" t="n">
        <f aca="false">ROUND(_xlfn.PERCENTRANK.INC($E$7:$E$4378,E1864)*9,0)</f>
        <v>1</v>
      </c>
      <c r="I1864" s="1" t="str">
        <f aca="false">CONCATENATE(F1864,G1864,H1864)</f>
        <v>401</v>
      </c>
      <c r="J1864" s="1" t="str">
        <f aca="false">_xlfn.IFS(AND(F1864&gt;=8,G1864&gt;=8,H1864&gt;=8),"CHAMPION",AND(F1864&gt;=6,G1864&gt;=7,H1864&gt;=6),"LOYAL CUSTOMER",AND(F1864&gt;=6,G1864&gt;=5,H1864&gt;=5),"POTENTIAL LOYALIST",AND(F1864&gt;=8,G1864&lt;=2,H1864&gt;=5),"NEW CUSTOMERS",AND(F1864&gt;=6,G1864&lt;=2,H1864&gt;=3),"PROMISING",AND(F1864&gt;=3,G1864&gt;=3,H1864&gt;=3),"NEED ATTENTION",AND(F1864&lt;=4,G1864&gt;=6,H1864&gt;=6),"AT RISK",AND(F1864&lt;=2,G1864&gt;=8,H1864&gt;=8),"CAN'T LOSE THEM",AND(F1864&lt;=2,G1864&lt;=2,H1864&lt;=2),"HIBERNATING",TRUE(),"Other")</f>
        <v>Other</v>
      </c>
      <c r="K1864" s="1" t="n">
        <f aca="false">RANK(E1864,$E$7:$E$4378)+COUNTIF($E$7:E1864,E1864)-1</f>
        <v>4024</v>
      </c>
    </row>
    <row r="1865" customFormat="false" ht="14.25" hidden="false" customHeight="true" outlineLevel="0" collapsed="false">
      <c r="A1865" s="51" t="n">
        <v>14862</v>
      </c>
      <c r="B1865" s="53" t="n">
        <v>40861.4173611111</v>
      </c>
      <c r="C1865" s="57" t="n">
        <f aca="false">INT($C$2)-INT(Table3[[#This Row],[Last Purchase Date]])</f>
        <v>26</v>
      </c>
      <c r="D1865" s="1" t="n">
        <v>2</v>
      </c>
      <c r="E1865" s="1" t="n">
        <v>841.2</v>
      </c>
      <c r="F1865" s="1" t="n">
        <f aca="false">ROUND((1-_xlfn.PERCENTRANK.INC($C$7:$C$4378,C1865))*9,0)</f>
        <v>6</v>
      </c>
      <c r="G1865" s="1" t="n">
        <f aca="false">ROUND(_xlfn.PERCENTRANK.INC($D$7:$D$4378,D1865)*9,0)</f>
        <v>3</v>
      </c>
      <c r="H1865" s="1" t="n">
        <f aca="false">ROUND(_xlfn.PERCENTRANK.INC($E$7:$E$4378,E1865)*9,0)</f>
        <v>5</v>
      </c>
      <c r="I1865" s="1" t="str">
        <f aca="false">CONCATENATE(F1865,G1865,H1865)</f>
        <v>635</v>
      </c>
      <c r="J1865" s="1" t="str">
        <f aca="false">_xlfn.IFS(AND(F1865&gt;=8,G1865&gt;=8,H1865&gt;=8),"CHAMPION",AND(F1865&gt;=6,G1865&gt;=7,H1865&gt;=6),"LOYAL CUSTOMER",AND(F1865&gt;=6,G1865&gt;=5,H1865&gt;=5),"POTENTIAL LOYALIST",AND(F1865&gt;=8,G1865&lt;=2,H1865&gt;=5),"NEW CUSTOMERS",AND(F1865&gt;=6,G1865&lt;=2,H1865&gt;=3),"PROMISING",AND(F1865&gt;=3,G1865&gt;=3,H1865&gt;=3),"NEED ATTENTION",AND(F1865&lt;=4,G1865&gt;=6,H1865&gt;=6),"AT RISK",AND(F1865&lt;=2,G1865&gt;=8,H1865&gt;=8),"CAN'T LOSE THEM",AND(F1865&lt;=2,G1865&lt;=2,H1865&lt;=2),"HIBERNATING",TRUE(),"Other")</f>
        <v>NEED ATTENTION</v>
      </c>
      <c r="K1865" s="1" t="n">
        <f aca="false">RANK(E1865,$E$7:$E$4378)+COUNTIF($E$7:E1865,E1865)-1</f>
        <v>1843</v>
      </c>
    </row>
    <row r="1866" customFormat="false" ht="14.25" hidden="false" customHeight="true" outlineLevel="0" collapsed="false">
      <c r="A1866" s="51" t="n">
        <v>14863</v>
      </c>
      <c r="B1866" s="53" t="n">
        <v>40857.6277777778</v>
      </c>
      <c r="C1866" s="57" t="n">
        <f aca="false">INT($C$2)-INT(Table3[[#This Row],[Last Purchase Date]])</f>
        <v>30</v>
      </c>
      <c r="D1866" s="1" t="n">
        <v>1</v>
      </c>
      <c r="E1866" s="1" t="n">
        <v>266.76</v>
      </c>
      <c r="F1866" s="1" t="n">
        <f aca="false">ROUND((1-_xlfn.PERCENTRANK.INC($C$7:$C$4378,C1866))*9,0)</f>
        <v>6</v>
      </c>
      <c r="G1866" s="1" t="n">
        <f aca="false">ROUND(_xlfn.PERCENTRANK.INC($D$7:$D$4378,D1866)*9,0)</f>
        <v>0</v>
      </c>
      <c r="H1866" s="1" t="n">
        <f aca="false">ROUND(_xlfn.PERCENTRANK.INC($E$7:$E$4378,E1866)*9,0)</f>
        <v>2</v>
      </c>
      <c r="I1866" s="1" t="str">
        <f aca="false">CONCATENATE(F1866,G1866,H1866)</f>
        <v>602</v>
      </c>
      <c r="J1866" s="1" t="str">
        <f aca="false">_xlfn.IFS(AND(F1866&gt;=8,G1866&gt;=8,H1866&gt;=8),"CHAMPION",AND(F1866&gt;=6,G1866&gt;=7,H1866&gt;=6),"LOYAL CUSTOMER",AND(F1866&gt;=6,G1866&gt;=5,H1866&gt;=5),"POTENTIAL LOYALIST",AND(F1866&gt;=8,G1866&lt;=2,H1866&gt;=5),"NEW CUSTOMERS",AND(F1866&gt;=6,G1866&lt;=2,H1866&gt;=3),"PROMISING",AND(F1866&gt;=3,G1866&gt;=3,H1866&gt;=3),"NEED ATTENTION",AND(F1866&lt;=4,G1866&gt;=6,H1866&gt;=6),"AT RISK",AND(F1866&lt;=2,G1866&gt;=8,H1866&gt;=8),"CAN'T LOSE THEM",AND(F1866&lt;=2,G1866&lt;=2,H1866&lt;=2),"HIBERNATING",TRUE(),"Other")</f>
        <v>Other</v>
      </c>
      <c r="K1866" s="1" t="n">
        <f aca="false">RANK(E1866,$E$7:$E$4378)+COUNTIF($E$7:E1866,E1866)-1</f>
        <v>3374</v>
      </c>
    </row>
    <row r="1867" customFormat="false" ht="14.25" hidden="false" customHeight="true" outlineLevel="0" collapsed="false">
      <c r="A1867" s="51" t="n">
        <v>14865</v>
      </c>
      <c r="B1867" s="53" t="n">
        <v>40879.6840277778</v>
      </c>
      <c r="C1867" s="57" t="n">
        <f aca="false">INT($C$2)-INT(Table3[[#This Row],[Last Purchase Date]])</f>
        <v>8</v>
      </c>
      <c r="D1867" s="1" t="n">
        <v>2</v>
      </c>
      <c r="E1867" s="1" t="n">
        <v>52.2</v>
      </c>
      <c r="F1867" s="1" t="n">
        <f aca="false">ROUND((1-_xlfn.PERCENTRANK.INC($C$7:$C$4378,C1867))*9,0)</f>
        <v>8</v>
      </c>
      <c r="G1867" s="1" t="n">
        <f aca="false">ROUND(_xlfn.PERCENTRANK.INC($D$7:$D$4378,D1867)*9,0)</f>
        <v>3</v>
      </c>
      <c r="H1867" s="1" t="n">
        <f aca="false">ROUND(_xlfn.PERCENTRANK.INC($E$7:$E$4378,E1867)*9,0)</f>
        <v>0</v>
      </c>
      <c r="I1867" s="1" t="str">
        <f aca="false">CONCATENATE(F1867,G1867,H1867)</f>
        <v>830</v>
      </c>
      <c r="J1867" s="1" t="str">
        <f aca="false">_xlfn.IFS(AND(F1867&gt;=8,G1867&gt;=8,H1867&gt;=8),"CHAMPION",AND(F1867&gt;=6,G1867&gt;=7,H1867&gt;=6),"LOYAL CUSTOMER",AND(F1867&gt;=6,G1867&gt;=5,H1867&gt;=5),"POTENTIAL LOYALIST",AND(F1867&gt;=8,G1867&lt;=2,H1867&gt;=5),"NEW CUSTOMERS",AND(F1867&gt;=6,G1867&lt;=2,H1867&gt;=3),"PROMISING",AND(F1867&gt;=3,G1867&gt;=3,H1867&gt;=3),"NEED ATTENTION",AND(F1867&lt;=4,G1867&gt;=6,H1867&gt;=6),"AT RISK",AND(F1867&lt;=2,G1867&gt;=8,H1867&gt;=8),"CAN'T LOSE THEM",AND(F1867&lt;=2,G1867&lt;=2,H1867&lt;=2),"HIBERNATING",TRUE(),"Other")</f>
        <v>Other</v>
      </c>
      <c r="K1867" s="1" t="n">
        <f aca="false">RANK(E1867,$E$7:$E$4378)+COUNTIF($E$7:E1867,E1867)-1</f>
        <v>4276</v>
      </c>
    </row>
    <row r="1868" customFormat="false" ht="14.25" hidden="false" customHeight="true" outlineLevel="0" collapsed="false">
      <c r="A1868" s="51" t="n">
        <v>14866</v>
      </c>
      <c r="B1868" s="53" t="n">
        <v>40876.4895833333</v>
      </c>
      <c r="C1868" s="57" t="n">
        <f aca="false">INT($C$2)-INT(Table3[[#This Row],[Last Purchase Date]])</f>
        <v>11</v>
      </c>
      <c r="D1868" s="1" t="n">
        <v>13</v>
      </c>
      <c r="E1868" s="1" t="n">
        <v>14197.45</v>
      </c>
      <c r="F1868" s="1" t="n">
        <f aca="false">ROUND((1-_xlfn.PERCENTRANK.INC($C$7:$C$4378,C1868))*9,0)</f>
        <v>7</v>
      </c>
      <c r="G1868" s="1" t="n">
        <f aca="false">ROUND(_xlfn.PERCENTRANK.INC($D$7:$D$4378,D1868)*9,0)</f>
        <v>8</v>
      </c>
      <c r="H1868" s="1" t="n">
        <f aca="false">ROUND(_xlfn.PERCENTRANK.INC($E$7:$E$4378,E1868)*9,0)</f>
        <v>9</v>
      </c>
      <c r="I1868" s="1" t="str">
        <f aca="false">CONCATENATE(F1868,G1868,H1868)</f>
        <v>789</v>
      </c>
      <c r="J1868" s="1" t="str">
        <f aca="false">_xlfn.IFS(AND(F1868&gt;=8,G1868&gt;=8,H1868&gt;=8),"CHAMPION",AND(F1868&gt;=6,G1868&gt;=7,H1868&gt;=6),"LOYAL CUSTOMER",AND(F1868&gt;=6,G1868&gt;=5,H1868&gt;=5),"POTENTIAL LOYALIST",AND(F1868&gt;=8,G1868&lt;=2,H1868&gt;=5),"NEW CUSTOMERS",AND(F1868&gt;=6,G1868&lt;=2,H1868&gt;=3),"PROMISING",AND(F1868&gt;=3,G1868&gt;=3,H1868&gt;=3),"NEED ATTENTION",AND(F1868&lt;=4,G1868&gt;=6,H1868&gt;=6),"AT RISK",AND(F1868&lt;=2,G1868&gt;=8,H1868&gt;=8),"CAN'T LOSE THEM",AND(F1868&lt;=2,G1868&lt;=2,H1868&lt;=2),"HIBERNATING",TRUE(),"Other")</f>
        <v>LOYAL CUSTOMER</v>
      </c>
      <c r="K1868" s="1" t="n">
        <f aca="false">RANK(E1868,$E$7:$E$4378)+COUNTIF($E$7:E1868,E1868)-1</f>
        <v>58</v>
      </c>
    </row>
    <row r="1869" customFormat="false" ht="14.25" hidden="false" customHeight="true" outlineLevel="0" collapsed="false">
      <c r="A1869" s="51" t="n">
        <v>14867</v>
      </c>
      <c r="B1869" s="53" t="n">
        <v>40701.4854166667</v>
      </c>
      <c r="C1869" s="57" t="n">
        <f aca="false">INT($C$2)-INT(Table3[[#This Row],[Last Purchase Date]])</f>
        <v>186</v>
      </c>
      <c r="D1869" s="1" t="n">
        <v>4</v>
      </c>
      <c r="E1869" s="1" t="n">
        <v>701.33</v>
      </c>
      <c r="F1869" s="1" t="n">
        <f aca="false">ROUND((1-_xlfn.PERCENTRANK.INC($C$7:$C$4378,C1869))*9,0)</f>
        <v>2</v>
      </c>
      <c r="G1869" s="1" t="n">
        <f aca="false">ROUND(_xlfn.PERCENTRANK.INC($D$7:$D$4378,D1869)*9,0)</f>
        <v>5</v>
      </c>
      <c r="H1869" s="1" t="n">
        <f aca="false">ROUND(_xlfn.PERCENTRANK.INC($E$7:$E$4378,E1869)*9,0)</f>
        <v>5</v>
      </c>
      <c r="I1869" s="1" t="str">
        <f aca="false">CONCATENATE(F1869,G1869,H1869)</f>
        <v>255</v>
      </c>
      <c r="J1869" s="1" t="str">
        <f aca="false">_xlfn.IFS(AND(F1869&gt;=8,G1869&gt;=8,H1869&gt;=8),"CHAMPION",AND(F1869&gt;=6,G1869&gt;=7,H1869&gt;=6),"LOYAL CUSTOMER",AND(F1869&gt;=6,G1869&gt;=5,H1869&gt;=5),"POTENTIAL LOYALIST",AND(F1869&gt;=8,G1869&lt;=2,H1869&gt;=5),"NEW CUSTOMERS",AND(F1869&gt;=6,G1869&lt;=2,H1869&gt;=3),"PROMISING",AND(F1869&gt;=3,G1869&gt;=3,H1869&gt;=3),"NEED ATTENTION",AND(F1869&lt;=4,G1869&gt;=6,H1869&gt;=6),"AT RISK",AND(F1869&lt;=2,G1869&gt;=8,H1869&gt;=8),"CAN'T LOSE THEM",AND(F1869&lt;=2,G1869&lt;=2,H1869&lt;=2),"HIBERNATING",TRUE(),"Other")</f>
        <v>Other</v>
      </c>
      <c r="K1869" s="1" t="n">
        <f aca="false">RANK(E1869,$E$7:$E$4378)+COUNTIF($E$7:E1869,E1869)-1</f>
        <v>2065</v>
      </c>
    </row>
    <row r="1870" customFormat="false" ht="14.25" hidden="false" customHeight="true" outlineLevel="0" collapsed="false">
      <c r="A1870" s="51" t="n">
        <v>14868</v>
      </c>
      <c r="B1870" s="53" t="n">
        <v>40883.6173611111</v>
      </c>
      <c r="C1870" s="57" t="n">
        <f aca="false">INT($C$2)-INT(Table3[[#This Row],[Last Purchase Date]])</f>
        <v>4</v>
      </c>
      <c r="D1870" s="1" t="n">
        <v>9</v>
      </c>
      <c r="E1870" s="1" t="n">
        <v>2939.64</v>
      </c>
      <c r="F1870" s="1" t="n">
        <f aca="false">ROUND((1-_xlfn.PERCENTRANK.INC($C$7:$C$4378,C1870))*9,0)</f>
        <v>8</v>
      </c>
      <c r="G1870" s="1" t="n">
        <f aca="false">ROUND(_xlfn.PERCENTRANK.INC($D$7:$D$4378,D1870)*9,0)</f>
        <v>8</v>
      </c>
      <c r="H1870" s="1" t="n">
        <f aca="false">ROUND(_xlfn.PERCENTRANK.INC($E$7:$E$4378,E1870)*9,0)</f>
        <v>8</v>
      </c>
      <c r="I1870" s="1" t="str">
        <f aca="false">CONCATENATE(F1870,G1870,H1870)</f>
        <v>888</v>
      </c>
      <c r="J1870" s="1" t="str">
        <f aca="false">_xlfn.IFS(AND(F1870&gt;=8,G1870&gt;=8,H1870&gt;=8),"CHAMPION",AND(F1870&gt;=6,G1870&gt;=7,H1870&gt;=6),"LOYAL CUSTOMER",AND(F1870&gt;=6,G1870&gt;=5,H1870&gt;=5),"POTENTIAL LOYALIST",AND(F1870&gt;=8,G1870&lt;=2,H1870&gt;=5),"NEW CUSTOMERS",AND(F1870&gt;=6,G1870&lt;=2,H1870&gt;=3),"PROMISING",AND(F1870&gt;=3,G1870&gt;=3,H1870&gt;=3),"NEED ATTENTION",AND(F1870&lt;=4,G1870&gt;=6,H1870&gt;=6),"AT RISK",AND(F1870&lt;=2,G1870&gt;=8,H1870&gt;=8),"CAN'T LOSE THEM",AND(F1870&lt;=2,G1870&lt;=2,H1870&lt;=2),"HIBERNATING",TRUE(),"Other")</f>
        <v>CHAMPION</v>
      </c>
      <c r="K1870" s="1" t="n">
        <f aca="false">RANK(E1870,$E$7:$E$4378)+COUNTIF($E$7:E1870,E1870)-1</f>
        <v>555</v>
      </c>
    </row>
    <row r="1871" customFormat="false" ht="14.25" hidden="false" customHeight="true" outlineLevel="0" collapsed="false">
      <c r="A1871" s="51" t="n">
        <v>14869</v>
      </c>
      <c r="B1871" s="53" t="n">
        <v>40883.4548611111</v>
      </c>
      <c r="C1871" s="57" t="n">
        <f aca="false">INT($C$2)-INT(Table3[[#This Row],[Last Purchase Date]])</f>
        <v>4</v>
      </c>
      <c r="D1871" s="1" t="n">
        <v>3</v>
      </c>
      <c r="E1871" s="1" t="n">
        <v>721.95</v>
      </c>
      <c r="F1871" s="1" t="n">
        <f aca="false">ROUND((1-_xlfn.PERCENTRANK.INC($C$7:$C$4378,C1871))*9,0)</f>
        <v>8</v>
      </c>
      <c r="G1871" s="1" t="n">
        <f aca="false">ROUND(_xlfn.PERCENTRANK.INC($D$7:$D$4378,D1871)*9,0)</f>
        <v>4</v>
      </c>
      <c r="H1871" s="1" t="n">
        <f aca="false">ROUND(_xlfn.PERCENTRANK.INC($E$7:$E$4378,E1871)*9,0)</f>
        <v>5</v>
      </c>
      <c r="I1871" s="1" t="str">
        <f aca="false">CONCATENATE(F1871,G1871,H1871)</f>
        <v>845</v>
      </c>
      <c r="J1871" s="1" t="str">
        <f aca="false">_xlfn.IFS(AND(F1871&gt;=8,G1871&gt;=8,H1871&gt;=8),"CHAMPION",AND(F1871&gt;=6,G1871&gt;=7,H1871&gt;=6),"LOYAL CUSTOMER",AND(F1871&gt;=6,G1871&gt;=5,H1871&gt;=5),"POTENTIAL LOYALIST",AND(F1871&gt;=8,G1871&lt;=2,H1871&gt;=5),"NEW CUSTOMERS",AND(F1871&gt;=6,G1871&lt;=2,H1871&gt;=3),"PROMISING",AND(F1871&gt;=3,G1871&gt;=3,H1871&gt;=3),"NEED ATTENTION",AND(F1871&lt;=4,G1871&gt;=6,H1871&gt;=6),"AT RISK",AND(F1871&lt;=2,G1871&gt;=8,H1871&gt;=8),"CAN'T LOSE THEM",AND(F1871&lt;=2,G1871&lt;=2,H1871&lt;=2),"HIBERNATING",TRUE(),"Other")</f>
        <v>NEED ATTENTION</v>
      </c>
      <c r="K1871" s="1" t="n">
        <f aca="false">RANK(E1871,$E$7:$E$4378)+COUNTIF($E$7:E1871,E1871)-1</f>
        <v>2024</v>
      </c>
    </row>
    <row r="1872" customFormat="false" ht="14.25" hidden="false" customHeight="true" outlineLevel="0" collapsed="false">
      <c r="A1872" s="51" t="n">
        <v>14870</v>
      </c>
      <c r="B1872" s="53" t="n">
        <v>40625.4520833333</v>
      </c>
      <c r="C1872" s="57" t="n">
        <f aca="false">INT($C$2)-INT(Table3[[#This Row],[Last Purchase Date]])</f>
        <v>262</v>
      </c>
      <c r="D1872" s="1" t="n">
        <v>1</v>
      </c>
      <c r="E1872" s="1" t="n">
        <v>327.25</v>
      </c>
      <c r="F1872" s="1" t="n">
        <f aca="false">ROUND((1-_xlfn.PERCENTRANK.INC($C$7:$C$4378,C1872))*9,0)</f>
        <v>1</v>
      </c>
      <c r="G1872" s="1" t="n">
        <f aca="false">ROUND(_xlfn.PERCENTRANK.INC($D$7:$D$4378,D1872)*9,0)</f>
        <v>0</v>
      </c>
      <c r="H1872" s="1" t="n">
        <f aca="false">ROUND(_xlfn.PERCENTRANK.INC($E$7:$E$4378,E1872)*9,0)</f>
        <v>3</v>
      </c>
      <c r="I1872" s="1" t="str">
        <f aca="false">CONCATENATE(F1872,G1872,H1872)</f>
        <v>103</v>
      </c>
      <c r="J1872" s="1" t="str">
        <f aca="false">_xlfn.IFS(AND(F1872&gt;=8,G1872&gt;=8,H1872&gt;=8),"CHAMPION",AND(F1872&gt;=6,G1872&gt;=7,H1872&gt;=6),"LOYAL CUSTOMER",AND(F1872&gt;=6,G1872&gt;=5,H1872&gt;=5),"POTENTIAL LOYALIST",AND(F1872&gt;=8,G1872&lt;=2,H1872&gt;=5),"NEW CUSTOMERS",AND(F1872&gt;=6,G1872&lt;=2,H1872&gt;=3),"PROMISING",AND(F1872&gt;=3,G1872&gt;=3,H1872&gt;=3),"NEED ATTENTION",AND(F1872&lt;=4,G1872&gt;=6,H1872&gt;=6),"AT RISK",AND(F1872&lt;=2,G1872&gt;=8,H1872&gt;=8),"CAN'T LOSE THEM",AND(F1872&lt;=2,G1872&lt;=2,H1872&lt;=2),"HIBERNATING",TRUE(),"Other")</f>
        <v>Other</v>
      </c>
      <c r="K1872" s="1" t="n">
        <f aca="false">RANK(E1872,$E$7:$E$4378)+COUNTIF($E$7:E1872,E1872)-1</f>
        <v>3108</v>
      </c>
    </row>
    <row r="1873" customFormat="false" ht="14.25" hidden="false" customHeight="true" outlineLevel="0" collapsed="false">
      <c r="A1873" s="51" t="n">
        <v>14871</v>
      </c>
      <c r="B1873" s="53" t="n">
        <v>40883.5708333333</v>
      </c>
      <c r="C1873" s="57" t="n">
        <f aca="false">INT($C$2)-INT(Table3[[#This Row],[Last Purchase Date]])</f>
        <v>4</v>
      </c>
      <c r="D1873" s="1" t="n">
        <v>4</v>
      </c>
      <c r="E1873" s="1" t="n">
        <v>522.38</v>
      </c>
      <c r="F1873" s="1" t="n">
        <f aca="false">ROUND((1-_xlfn.PERCENTRANK.INC($C$7:$C$4378,C1873))*9,0)</f>
        <v>8</v>
      </c>
      <c r="G1873" s="1" t="n">
        <f aca="false">ROUND(_xlfn.PERCENTRANK.INC($D$7:$D$4378,D1873)*9,0)</f>
        <v>5</v>
      </c>
      <c r="H1873" s="1" t="n">
        <f aca="false">ROUND(_xlfn.PERCENTRANK.INC($E$7:$E$4378,E1873)*9,0)</f>
        <v>4</v>
      </c>
      <c r="I1873" s="1" t="str">
        <f aca="false">CONCATENATE(F1873,G1873,H1873)</f>
        <v>854</v>
      </c>
      <c r="J1873" s="1" t="str">
        <f aca="false">_xlfn.IFS(AND(F1873&gt;=8,G1873&gt;=8,H1873&gt;=8),"CHAMPION",AND(F1873&gt;=6,G1873&gt;=7,H1873&gt;=6),"LOYAL CUSTOMER",AND(F1873&gt;=6,G1873&gt;=5,H1873&gt;=5),"POTENTIAL LOYALIST",AND(F1873&gt;=8,G1873&lt;=2,H1873&gt;=5),"NEW CUSTOMERS",AND(F1873&gt;=6,G1873&lt;=2,H1873&gt;=3),"PROMISING",AND(F1873&gt;=3,G1873&gt;=3,H1873&gt;=3),"NEED ATTENTION",AND(F1873&lt;=4,G1873&gt;=6,H1873&gt;=6),"AT RISK",AND(F1873&lt;=2,G1873&gt;=8,H1873&gt;=8),"CAN'T LOSE THEM",AND(F1873&lt;=2,G1873&lt;=2,H1873&lt;=2),"HIBERNATING",TRUE(),"Other")</f>
        <v>NEED ATTENTION</v>
      </c>
      <c r="K1873" s="1" t="n">
        <f aca="false">RANK(E1873,$E$7:$E$4378)+COUNTIF($E$7:E1873,E1873)-1</f>
        <v>2495</v>
      </c>
    </row>
    <row r="1874" customFormat="false" ht="14.25" hidden="false" customHeight="true" outlineLevel="0" collapsed="false">
      <c r="A1874" s="51" t="n">
        <v>14873</v>
      </c>
      <c r="B1874" s="53" t="n">
        <v>40676.5777777778</v>
      </c>
      <c r="C1874" s="57" t="n">
        <f aca="false">INT($C$2)-INT(Table3[[#This Row],[Last Purchase Date]])</f>
        <v>211</v>
      </c>
      <c r="D1874" s="1" t="n">
        <v>1</v>
      </c>
      <c r="E1874" s="1" t="n">
        <v>519.68</v>
      </c>
      <c r="F1874" s="1" t="n">
        <f aca="false">ROUND((1-_xlfn.PERCENTRANK.INC($C$7:$C$4378,C1874))*9,0)</f>
        <v>1</v>
      </c>
      <c r="G1874" s="1" t="n">
        <f aca="false">ROUND(_xlfn.PERCENTRANK.INC($D$7:$D$4378,D1874)*9,0)</f>
        <v>0</v>
      </c>
      <c r="H1874" s="1" t="n">
        <f aca="false">ROUND(_xlfn.PERCENTRANK.INC($E$7:$E$4378,E1874)*9,0)</f>
        <v>4</v>
      </c>
      <c r="I1874" s="1" t="str">
        <f aca="false">CONCATENATE(F1874,G1874,H1874)</f>
        <v>104</v>
      </c>
      <c r="J1874" s="1" t="str">
        <f aca="false">_xlfn.IFS(AND(F1874&gt;=8,G1874&gt;=8,H1874&gt;=8),"CHAMPION",AND(F1874&gt;=6,G1874&gt;=7,H1874&gt;=6),"LOYAL CUSTOMER",AND(F1874&gt;=6,G1874&gt;=5,H1874&gt;=5),"POTENTIAL LOYALIST",AND(F1874&gt;=8,G1874&lt;=2,H1874&gt;=5),"NEW CUSTOMERS",AND(F1874&gt;=6,G1874&lt;=2,H1874&gt;=3),"PROMISING",AND(F1874&gt;=3,G1874&gt;=3,H1874&gt;=3),"NEED ATTENTION",AND(F1874&lt;=4,G1874&gt;=6,H1874&gt;=6),"AT RISK",AND(F1874&lt;=2,G1874&gt;=8,H1874&gt;=8),"CAN'T LOSE THEM",AND(F1874&lt;=2,G1874&lt;=2,H1874&lt;=2),"HIBERNATING",TRUE(),"Other")</f>
        <v>Other</v>
      </c>
      <c r="K1874" s="1" t="n">
        <f aca="false">RANK(E1874,$E$7:$E$4378)+COUNTIF($E$7:E1874,E1874)-1</f>
        <v>2497</v>
      </c>
    </row>
    <row r="1875" customFormat="false" ht="14.25" hidden="false" customHeight="true" outlineLevel="0" collapsed="false">
      <c r="A1875" s="51" t="n">
        <v>14875</v>
      </c>
      <c r="B1875" s="53" t="n">
        <v>40877.6118055556</v>
      </c>
      <c r="C1875" s="57" t="n">
        <f aca="false">INT($C$2)-INT(Table3[[#This Row],[Last Purchase Date]])</f>
        <v>10</v>
      </c>
      <c r="D1875" s="1" t="n">
        <v>5</v>
      </c>
      <c r="E1875" s="1" t="n">
        <v>1448.72</v>
      </c>
      <c r="F1875" s="1" t="n">
        <f aca="false">ROUND((1-_xlfn.PERCENTRANK.INC($C$7:$C$4378,C1875))*9,0)</f>
        <v>8</v>
      </c>
      <c r="G1875" s="1" t="n">
        <f aca="false">ROUND(_xlfn.PERCENTRANK.INC($D$7:$D$4378,D1875)*9,0)</f>
        <v>6</v>
      </c>
      <c r="H1875" s="1" t="n">
        <f aca="false">ROUND(_xlfn.PERCENTRANK.INC($E$7:$E$4378,E1875)*9,0)</f>
        <v>7</v>
      </c>
      <c r="I1875" s="1" t="str">
        <f aca="false">CONCATENATE(F1875,G1875,H1875)</f>
        <v>867</v>
      </c>
      <c r="J1875" s="1" t="str">
        <f aca="false">_xlfn.IFS(AND(F1875&gt;=8,G1875&gt;=8,H1875&gt;=8),"CHAMPION",AND(F1875&gt;=6,G1875&gt;=7,H1875&gt;=6),"LOYAL CUSTOMER",AND(F1875&gt;=6,G1875&gt;=5,H1875&gt;=5),"POTENTIAL LOYALIST",AND(F1875&gt;=8,G1875&lt;=2,H1875&gt;=5),"NEW CUSTOMERS",AND(F1875&gt;=6,G1875&lt;=2,H1875&gt;=3),"PROMISING",AND(F1875&gt;=3,G1875&gt;=3,H1875&gt;=3),"NEED ATTENTION",AND(F1875&lt;=4,G1875&gt;=6,H1875&gt;=6),"AT RISK",AND(F1875&lt;=2,G1875&gt;=8,H1875&gt;=8),"CAN'T LOSE THEM",AND(F1875&lt;=2,G1875&lt;=2,H1875&lt;=2),"HIBERNATING",TRUE(),"Other")</f>
        <v>POTENTIAL LOYALIST</v>
      </c>
      <c r="K1875" s="1" t="n">
        <f aca="false">RANK(E1875,$E$7:$E$4378)+COUNTIF($E$7:E1875,E1875)-1</f>
        <v>1198</v>
      </c>
    </row>
    <row r="1876" customFormat="false" ht="14.25" hidden="false" customHeight="true" outlineLevel="0" collapsed="false">
      <c r="A1876" s="51" t="n">
        <v>14878</v>
      </c>
      <c r="B1876" s="53" t="n">
        <v>40874.46875</v>
      </c>
      <c r="C1876" s="57" t="n">
        <f aca="false">INT($C$2)-INT(Table3[[#This Row],[Last Purchase Date]])</f>
        <v>13</v>
      </c>
      <c r="D1876" s="1" t="n">
        <v>9</v>
      </c>
      <c r="E1876" s="1" t="n">
        <v>1485.54</v>
      </c>
      <c r="F1876" s="1" t="n">
        <f aca="false">ROUND((1-_xlfn.PERCENTRANK.INC($C$7:$C$4378,C1876))*9,0)</f>
        <v>7</v>
      </c>
      <c r="G1876" s="1" t="n">
        <f aca="false">ROUND(_xlfn.PERCENTRANK.INC($D$7:$D$4378,D1876)*9,0)</f>
        <v>8</v>
      </c>
      <c r="H1876" s="1" t="n">
        <f aca="false">ROUND(_xlfn.PERCENTRANK.INC($E$7:$E$4378,E1876)*9,0)</f>
        <v>7</v>
      </c>
      <c r="I1876" s="1" t="str">
        <f aca="false">CONCATENATE(F1876,G1876,H1876)</f>
        <v>787</v>
      </c>
      <c r="J1876" s="1" t="str">
        <f aca="false">_xlfn.IFS(AND(F1876&gt;=8,G1876&gt;=8,H1876&gt;=8),"CHAMPION",AND(F1876&gt;=6,G1876&gt;=7,H1876&gt;=6),"LOYAL CUSTOMER",AND(F1876&gt;=6,G1876&gt;=5,H1876&gt;=5),"POTENTIAL LOYALIST",AND(F1876&gt;=8,G1876&lt;=2,H1876&gt;=5),"NEW CUSTOMERS",AND(F1876&gt;=6,G1876&lt;=2,H1876&gt;=3),"PROMISING",AND(F1876&gt;=3,G1876&gt;=3,H1876&gt;=3),"NEED ATTENTION",AND(F1876&lt;=4,G1876&gt;=6,H1876&gt;=6),"AT RISK",AND(F1876&lt;=2,G1876&gt;=8,H1876&gt;=8),"CAN'T LOSE THEM",AND(F1876&lt;=2,G1876&lt;=2,H1876&lt;=2),"HIBERNATING",TRUE(),"Other")</f>
        <v>LOYAL CUSTOMER</v>
      </c>
      <c r="K1876" s="1" t="n">
        <f aca="false">RANK(E1876,$E$7:$E$4378)+COUNTIF($E$7:E1876,E1876)-1</f>
        <v>1176</v>
      </c>
    </row>
    <row r="1877" customFormat="false" ht="14.25" hidden="false" customHeight="true" outlineLevel="0" collapsed="false">
      <c r="A1877" s="51" t="n">
        <v>14880</v>
      </c>
      <c r="B1877" s="53" t="n">
        <v>40809.5708333333</v>
      </c>
      <c r="C1877" s="57" t="n">
        <f aca="false">INT($C$2)-INT(Table3[[#This Row],[Last Purchase Date]])</f>
        <v>78</v>
      </c>
      <c r="D1877" s="1" t="n">
        <v>3</v>
      </c>
      <c r="E1877" s="1" t="n">
        <v>706.19</v>
      </c>
      <c r="F1877" s="1" t="n">
        <f aca="false">ROUND((1-_xlfn.PERCENTRANK.INC($C$7:$C$4378,C1877))*9,0)</f>
        <v>3</v>
      </c>
      <c r="G1877" s="1" t="n">
        <f aca="false">ROUND(_xlfn.PERCENTRANK.INC($D$7:$D$4378,D1877)*9,0)</f>
        <v>4</v>
      </c>
      <c r="H1877" s="1" t="n">
        <f aca="false">ROUND(_xlfn.PERCENTRANK.INC($E$7:$E$4378,E1877)*9,0)</f>
        <v>5</v>
      </c>
      <c r="I1877" s="1" t="str">
        <f aca="false">CONCATENATE(F1877,G1877,H1877)</f>
        <v>345</v>
      </c>
      <c r="J1877" s="1" t="str">
        <f aca="false">_xlfn.IFS(AND(F1877&gt;=8,G1877&gt;=8,H1877&gt;=8),"CHAMPION",AND(F1877&gt;=6,G1877&gt;=7,H1877&gt;=6),"LOYAL CUSTOMER",AND(F1877&gt;=6,G1877&gt;=5,H1877&gt;=5),"POTENTIAL LOYALIST",AND(F1877&gt;=8,G1877&lt;=2,H1877&gt;=5),"NEW CUSTOMERS",AND(F1877&gt;=6,G1877&lt;=2,H1877&gt;=3),"PROMISING",AND(F1877&gt;=3,G1877&gt;=3,H1877&gt;=3),"NEED ATTENTION",AND(F1877&lt;=4,G1877&gt;=6,H1877&gt;=6),"AT RISK",AND(F1877&lt;=2,G1877&gt;=8,H1877&gt;=8),"CAN'T LOSE THEM",AND(F1877&lt;=2,G1877&lt;=2,H1877&lt;=2),"HIBERNATING",TRUE(),"Other")</f>
        <v>NEED ATTENTION</v>
      </c>
      <c r="K1877" s="1" t="n">
        <f aca="false">RANK(E1877,$E$7:$E$4378)+COUNTIF($E$7:E1877,E1877)-1</f>
        <v>2055</v>
      </c>
    </row>
    <row r="1878" customFormat="false" ht="14.25" hidden="false" customHeight="true" outlineLevel="0" collapsed="false">
      <c r="A1878" s="51" t="n">
        <v>14881</v>
      </c>
      <c r="B1878" s="53" t="n">
        <v>40867.4625</v>
      </c>
      <c r="C1878" s="57" t="n">
        <f aca="false">INT($C$2)-INT(Table3[[#This Row],[Last Purchase Date]])</f>
        <v>20</v>
      </c>
      <c r="D1878" s="1" t="n">
        <v>1</v>
      </c>
      <c r="E1878" s="1" t="n">
        <v>255.4</v>
      </c>
      <c r="F1878" s="1" t="n">
        <f aca="false">ROUND((1-_xlfn.PERCENTRANK.INC($C$7:$C$4378,C1878))*9,0)</f>
        <v>6</v>
      </c>
      <c r="G1878" s="1" t="n">
        <f aca="false">ROUND(_xlfn.PERCENTRANK.INC($D$7:$D$4378,D1878)*9,0)</f>
        <v>0</v>
      </c>
      <c r="H1878" s="1" t="n">
        <f aca="false">ROUND(_xlfn.PERCENTRANK.INC($E$7:$E$4378,E1878)*9,0)</f>
        <v>2</v>
      </c>
      <c r="I1878" s="1" t="str">
        <f aca="false">CONCATENATE(F1878,G1878,H1878)</f>
        <v>602</v>
      </c>
      <c r="J1878" s="1" t="str">
        <f aca="false">_xlfn.IFS(AND(F1878&gt;=8,G1878&gt;=8,H1878&gt;=8),"CHAMPION",AND(F1878&gt;=6,G1878&gt;=7,H1878&gt;=6),"LOYAL CUSTOMER",AND(F1878&gt;=6,G1878&gt;=5,H1878&gt;=5),"POTENTIAL LOYALIST",AND(F1878&gt;=8,G1878&lt;=2,H1878&gt;=5),"NEW CUSTOMERS",AND(F1878&gt;=6,G1878&lt;=2,H1878&gt;=3),"PROMISING",AND(F1878&gt;=3,G1878&gt;=3,H1878&gt;=3),"NEED ATTENTION",AND(F1878&lt;=4,G1878&gt;=6,H1878&gt;=6),"AT RISK",AND(F1878&lt;=2,G1878&gt;=8,H1878&gt;=8),"CAN'T LOSE THEM",AND(F1878&lt;=2,G1878&lt;=2,H1878&lt;=2),"HIBERNATING",TRUE(),"Other")</f>
        <v>Other</v>
      </c>
      <c r="K1878" s="1" t="n">
        <f aca="false">RANK(E1878,$E$7:$E$4378)+COUNTIF($E$7:E1878,E1878)-1</f>
        <v>3414</v>
      </c>
    </row>
    <row r="1879" customFormat="false" ht="14.25" hidden="false" customHeight="true" outlineLevel="0" collapsed="false">
      <c r="A1879" s="51" t="n">
        <v>14882</v>
      </c>
      <c r="B1879" s="53" t="n">
        <v>40860.5326388889</v>
      </c>
      <c r="C1879" s="57" t="n">
        <f aca="false">INT($C$2)-INT(Table3[[#This Row],[Last Purchase Date]])</f>
        <v>27</v>
      </c>
      <c r="D1879" s="1" t="n">
        <v>2</v>
      </c>
      <c r="E1879" s="1" t="n">
        <v>589.7</v>
      </c>
      <c r="F1879" s="1" t="n">
        <f aca="false">ROUND((1-_xlfn.PERCENTRANK.INC($C$7:$C$4378,C1879))*9,0)</f>
        <v>6</v>
      </c>
      <c r="G1879" s="1" t="n">
        <f aca="false">ROUND(_xlfn.PERCENTRANK.INC($D$7:$D$4378,D1879)*9,0)</f>
        <v>3</v>
      </c>
      <c r="H1879" s="1" t="n">
        <f aca="false">ROUND(_xlfn.PERCENTRANK.INC($E$7:$E$4378,E1879)*9,0)</f>
        <v>4</v>
      </c>
      <c r="I1879" s="1" t="str">
        <f aca="false">CONCATENATE(F1879,G1879,H1879)</f>
        <v>634</v>
      </c>
      <c r="J1879" s="1" t="str">
        <f aca="false">_xlfn.IFS(AND(F1879&gt;=8,G1879&gt;=8,H1879&gt;=8),"CHAMPION",AND(F1879&gt;=6,G1879&gt;=7,H1879&gt;=6),"LOYAL CUSTOMER",AND(F1879&gt;=6,G1879&gt;=5,H1879&gt;=5),"POTENTIAL LOYALIST",AND(F1879&gt;=8,G1879&lt;=2,H1879&gt;=5),"NEW CUSTOMERS",AND(F1879&gt;=6,G1879&lt;=2,H1879&gt;=3),"PROMISING",AND(F1879&gt;=3,G1879&gt;=3,H1879&gt;=3),"NEED ATTENTION",AND(F1879&lt;=4,G1879&gt;=6,H1879&gt;=6),"AT RISK",AND(F1879&lt;=2,G1879&gt;=8,H1879&gt;=8),"CAN'T LOSE THEM",AND(F1879&lt;=2,G1879&lt;=2,H1879&lt;=2),"HIBERNATING",TRUE(),"Other")</f>
        <v>NEED ATTENTION</v>
      </c>
      <c r="K1879" s="1" t="n">
        <f aca="false">RANK(E1879,$E$7:$E$4378)+COUNTIF($E$7:E1879,E1879)-1</f>
        <v>2348</v>
      </c>
    </row>
    <row r="1880" customFormat="false" ht="14.25" hidden="false" customHeight="true" outlineLevel="0" collapsed="false">
      <c r="A1880" s="51" t="n">
        <v>14883</v>
      </c>
      <c r="B1880" s="53" t="n">
        <v>40868.4326388889</v>
      </c>
      <c r="C1880" s="57" t="n">
        <f aca="false">INT($C$2)-INT(Table3[[#This Row],[Last Purchase Date]])</f>
        <v>19</v>
      </c>
      <c r="D1880" s="1" t="n">
        <v>7</v>
      </c>
      <c r="E1880" s="1" t="n">
        <v>756.64</v>
      </c>
      <c r="F1880" s="1" t="n">
        <f aca="false">ROUND((1-_xlfn.PERCENTRANK.INC($C$7:$C$4378,C1880))*9,0)</f>
        <v>7</v>
      </c>
      <c r="G1880" s="1" t="n">
        <f aca="false">ROUND(_xlfn.PERCENTRANK.INC($D$7:$D$4378,D1880)*9,0)</f>
        <v>7</v>
      </c>
      <c r="H1880" s="1" t="n">
        <f aca="false">ROUND(_xlfn.PERCENTRANK.INC($E$7:$E$4378,E1880)*9,0)</f>
        <v>5</v>
      </c>
      <c r="I1880" s="1" t="str">
        <f aca="false">CONCATENATE(F1880,G1880,H1880)</f>
        <v>775</v>
      </c>
      <c r="J1880" s="1" t="str">
        <f aca="false">_xlfn.IFS(AND(F1880&gt;=8,G1880&gt;=8,H1880&gt;=8),"CHAMPION",AND(F1880&gt;=6,G1880&gt;=7,H1880&gt;=6),"LOYAL CUSTOMER",AND(F1880&gt;=6,G1880&gt;=5,H1880&gt;=5),"POTENTIAL LOYALIST",AND(F1880&gt;=8,G1880&lt;=2,H1880&gt;=5),"NEW CUSTOMERS",AND(F1880&gt;=6,G1880&lt;=2,H1880&gt;=3),"PROMISING",AND(F1880&gt;=3,G1880&gt;=3,H1880&gt;=3),"NEED ATTENTION",AND(F1880&lt;=4,G1880&gt;=6,H1880&gt;=6),"AT RISK",AND(F1880&lt;=2,G1880&gt;=8,H1880&gt;=8),"CAN'T LOSE THEM",AND(F1880&lt;=2,G1880&lt;=2,H1880&lt;=2),"HIBERNATING",TRUE(),"Other")</f>
        <v>POTENTIAL LOYALIST</v>
      </c>
      <c r="K1880" s="1" t="n">
        <f aca="false">RANK(E1880,$E$7:$E$4378)+COUNTIF($E$7:E1880,E1880)-1</f>
        <v>1971</v>
      </c>
    </row>
    <row r="1881" customFormat="false" ht="14.25" hidden="false" customHeight="true" outlineLevel="0" collapsed="false">
      <c r="A1881" s="51" t="n">
        <v>14885</v>
      </c>
      <c r="B1881" s="53" t="n">
        <v>40755.5034722222</v>
      </c>
      <c r="C1881" s="57" t="n">
        <f aca="false">INT($C$2)-INT(Table3[[#This Row],[Last Purchase Date]])</f>
        <v>132</v>
      </c>
      <c r="D1881" s="1" t="n">
        <v>1</v>
      </c>
      <c r="E1881" s="1" t="n">
        <v>765.32</v>
      </c>
      <c r="F1881" s="1" t="n">
        <f aca="false">ROUND((1-_xlfn.PERCENTRANK.INC($C$7:$C$4378,C1881))*9,0)</f>
        <v>2</v>
      </c>
      <c r="G1881" s="1" t="n">
        <f aca="false">ROUND(_xlfn.PERCENTRANK.INC($D$7:$D$4378,D1881)*9,0)</f>
        <v>0</v>
      </c>
      <c r="H1881" s="1" t="n">
        <f aca="false">ROUND(_xlfn.PERCENTRANK.INC($E$7:$E$4378,E1881)*9,0)</f>
        <v>5</v>
      </c>
      <c r="I1881" s="1" t="str">
        <f aca="false">CONCATENATE(F1881,G1881,H1881)</f>
        <v>205</v>
      </c>
      <c r="J1881" s="1" t="str">
        <f aca="false">_xlfn.IFS(AND(F1881&gt;=8,G1881&gt;=8,H1881&gt;=8),"CHAMPION",AND(F1881&gt;=6,G1881&gt;=7,H1881&gt;=6),"LOYAL CUSTOMER",AND(F1881&gt;=6,G1881&gt;=5,H1881&gt;=5),"POTENTIAL LOYALIST",AND(F1881&gt;=8,G1881&lt;=2,H1881&gt;=5),"NEW CUSTOMERS",AND(F1881&gt;=6,G1881&lt;=2,H1881&gt;=3),"PROMISING",AND(F1881&gt;=3,G1881&gt;=3,H1881&gt;=3),"NEED ATTENTION",AND(F1881&lt;=4,G1881&gt;=6,H1881&gt;=6),"AT RISK",AND(F1881&lt;=2,G1881&gt;=8,H1881&gt;=8),"CAN'T LOSE THEM",AND(F1881&lt;=2,G1881&lt;=2,H1881&lt;=2),"HIBERNATING",TRUE(),"Other")</f>
        <v>Other</v>
      </c>
      <c r="K1881" s="1" t="n">
        <f aca="false">RANK(E1881,$E$7:$E$4378)+COUNTIF($E$7:E1881,E1881)-1</f>
        <v>1956</v>
      </c>
    </row>
    <row r="1882" customFormat="false" ht="14.25" hidden="false" customHeight="true" outlineLevel="0" collapsed="false">
      <c r="A1882" s="51" t="n">
        <v>14886</v>
      </c>
      <c r="B1882" s="53" t="n">
        <v>40634.3722222222</v>
      </c>
      <c r="C1882" s="57" t="n">
        <f aca="false">INT($C$2)-INT(Table3[[#This Row],[Last Purchase Date]])</f>
        <v>253</v>
      </c>
      <c r="D1882" s="1" t="n">
        <v>1</v>
      </c>
      <c r="E1882" s="1" t="n">
        <v>364.8</v>
      </c>
      <c r="F1882" s="1" t="n">
        <f aca="false">ROUND((1-_xlfn.PERCENTRANK.INC($C$7:$C$4378,C1882))*9,0)</f>
        <v>1</v>
      </c>
      <c r="G1882" s="1" t="n">
        <f aca="false">ROUND(_xlfn.PERCENTRANK.INC($D$7:$D$4378,D1882)*9,0)</f>
        <v>0</v>
      </c>
      <c r="H1882" s="1" t="n">
        <f aca="false">ROUND(_xlfn.PERCENTRANK.INC($E$7:$E$4378,E1882)*9,0)</f>
        <v>3</v>
      </c>
      <c r="I1882" s="1" t="str">
        <f aca="false">CONCATENATE(F1882,G1882,H1882)</f>
        <v>103</v>
      </c>
      <c r="J1882" s="1" t="str">
        <f aca="false">_xlfn.IFS(AND(F1882&gt;=8,G1882&gt;=8,H1882&gt;=8),"CHAMPION",AND(F1882&gt;=6,G1882&gt;=7,H1882&gt;=6),"LOYAL CUSTOMER",AND(F1882&gt;=6,G1882&gt;=5,H1882&gt;=5),"POTENTIAL LOYALIST",AND(F1882&gt;=8,G1882&lt;=2,H1882&gt;=5),"NEW CUSTOMERS",AND(F1882&gt;=6,G1882&lt;=2,H1882&gt;=3),"PROMISING",AND(F1882&gt;=3,G1882&gt;=3,H1882&gt;=3),"NEED ATTENTION",AND(F1882&lt;=4,G1882&gt;=6,H1882&gt;=6),"AT RISK",AND(F1882&lt;=2,G1882&gt;=8,H1882&gt;=8),"CAN'T LOSE THEM",AND(F1882&lt;=2,G1882&lt;=2,H1882&lt;=2),"HIBERNATING",TRUE(),"Other")</f>
        <v>Other</v>
      </c>
      <c r="K1882" s="1" t="n">
        <f aca="false">RANK(E1882,$E$7:$E$4378)+COUNTIF($E$7:E1882,E1882)-1</f>
        <v>2939</v>
      </c>
    </row>
    <row r="1883" customFormat="false" ht="14.25" hidden="false" customHeight="true" outlineLevel="0" collapsed="false">
      <c r="A1883" s="51" t="n">
        <v>14887</v>
      </c>
      <c r="B1883" s="53" t="n">
        <v>40807.6472222222</v>
      </c>
      <c r="C1883" s="57" t="n">
        <f aca="false">INT($C$2)-INT(Table3[[#This Row],[Last Purchase Date]])</f>
        <v>80</v>
      </c>
      <c r="D1883" s="1" t="n">
        <v>1</v>
      </c>
      <c r="E1883" s="1" t="n">
        <v>1862</v>
      </c>
      <c r="F1883" s="1" t="n">
        <f aca="false">ROUND((1-_xlfn.PERCENTRANK.INC($C$7:$C$4378,C1883))*9,0)</f>
        <v>3</v>
      </c>
      <c r="G1883" s="1" t="n">
        <f aca="false">ROUND(_xlfn.PERCENTRANK.INC($D$7:$D$4378,D1883)*9,0)</f>
        <v>0</v>
      </c>
      <c r="H1883" s="1" t="n">
        <f aca="false">ROUND(_xlfn.PERCENTRANK.INC($E$7:$E$4378,E1883)*9,0)</f>
        <v>7</v>
      </c>
      <c r="I1883" s="1" t="str">
        <f aca="false">CONCATENATE(F1883,G1883,H1883)</f>
        <v>307</v>
      </c>
      <c r="J1883" s="1" t="str">
        <f aca="false">_xlfn.IFS(AND(F1883&gt;=8,G1883&gt;=8,H1883&gt;=8),"CHAMPION",AND(F1883&gt;=6,G1883&gt;=7,H1883&gt;=6),"LOYAL CUSTOMER",AND(F1883&gt;=6,G1883&gt;=5,H1883&gt;=5),"POTENTIAL LOYALIST",AND(F1883&gt;=8,G1883&lt;=2,H1883&gt;=5),"NEW CUSTOMERS",AND(F1883&gt;=6,G1883&lt;=2,H1883&gt;=3),"PROMISING",AND(F1883&gt;=3,G1883&gt;=3,H1883&gt;=3),"NEED ATTENTION",AND(F1883&lt;=4,G1883&gt;=6,H1883&gt;=6),"AT RISK",AND(F1883&lt;=2,G1883&gt;=8,H1883&gt;=8),"CAN'T LOSE THEM",AND(F1883&lt;=2,G1883&lt;=2,H1883&lt;=2),"HIBERNATING",TRUE(),"Other")</f>
        <v>Other</v>
      </c>
      <c r="K1883" s="1" t="n">
        <f aca="false">RANK(E1883,$E$7:$E$4378)+COUNTIF($E$7:E1883,E1883)-1</f>
        <v>941</v>
      </c>
    </row>
    <row r="1884" customFormat="false" ht="14.25" hidden="false" customHeight="true" outlineLevel="0" collapsed="false">
      <c r="A1884" s="51" t="n">
        <v>14888</v>
      </c>
      <c r="B1884" s="53" t="n">
        <v>40679.6236111111</v>
      </c>
      <c r="C1884" s="57" t="n">
        <f aca="false">INT($C$2)-INT(Table3[[#This Row],[Last Purchase Date]])</f>
        <v>208</v>
      </c>
      <c r="D1884" s="1" t="n">
        <v>1</v>
      </c>
      <c r="E1884" s="1" t="n">
        <v>369.2</v>
      </c>
      <c r="F1884" s="1" t="n">
        <f aca="false">ROUND((1-_xlfn.PERCENTRANK.INC($C$7:$C$4378,C1884))*9,0)</f>
        <v>1</v>
      </c>
      <c r="G1884" s="1" t="n">
        <f aca="false">ROUND(_xlfn.PERCENTRANK.INC($D$7:$D$4378,D1884)*9,0)</f>
        <v>0</v>
      </c>
      <c r="H1884" s="1" t="n">
        <f aca="false">ROUND(_xlfn.PERCENTRANK.INC($E$7:$E$4378,E1884)*9,0)</f>
        <v>3</v>
      </c>
      <c r="I1884" s="1" t="str">
        <f aca="false">CONCATENATE(F1884,G1884,H1884)</f>
        <v>103</v>
      </c>
      <c r="J1884" s="1" t="str">
        <f aca="false">_xlfn.IFS(AND(F1884&gt;=8,G1884&gt;=8,H1884&gt;=8),"CHAMPION",AND(F1884&gt;=6,G1884&gt;=7,H1884&gt;=6),"LOYAL CUSTOMER",AND(F1884&gt;=6,G1884&gt;=5,H1884&gt;=5),"POTENTIAL LOYALIST",AND(F1884&gt;=8,G1884&lt;=2,H1884&gt;=5),"NEW CUSTOMERS",AND(F1884&gt;=6,G1884&lt;=2,H1884&gt;=3),"PROMISING",AND(F1884&gt;=3,G1884&gt;=3,H1884&gt;=3),"NEED ATTENTION",AND(F1884&lt;=4,G1884&gt;=6,H1884&gt;=6),"AT RISK",AND(F1884&lt;=2,G1884&gt;=8,H1884&gt;=8),"CAN'T LOSE THEM",AND(F1884&lt;=2,G1884&lt;=2,H1884&lt;=2),"HIBERNATING",TRUE(),"Other")</f>
        <v>Other</v>
      </c>
      <c r="K1884" s="1" t="n">
        <f aca="false">RANK(E1884,$E$7:$E$4378)+COUNTIF($E$7:E1884,E1884)-1</f>
        <v>2930</v>
      </c>
    </row>
    <row r="1885" customFormat="false" ht="14.25" hidden="false" customHeight="true" outlineLevel="0" collapsed="false">
      <c r="A1885" s="51" t="n">
        <v>14889</v>
      </c>
      <c r="B1885" s="53" t="n">
        <v>40550.6381944444</v>
      </c>
      <c r="C1885" s="57" t="n">
        <f aca="false">INT($C$2)-INT(Table3[[#This Row],[Last Purchase Date]])</f>
        <v>337</v>
      </c>
      <c r="D1885" s="1" t="n">
        <v>1</v>
      </c>
      <c r="E1885" s="1" t="n">
        <v>135.9</v>
      </c>
      <c r="F1885" s="1" t="n">
        <f aca="false">ROUND((1-_xlfn.PERCENTRANK.INC($C$7:$C$4378,C1885))*9,0)</f>
        <v>0</v>
      </c>
      <c r="G1885" s="1" t="n">
        <f aca="false">ROUND(_xlfn.PERCENTRANK.INC($D$7:$D$4378,D1885)*9,0)</f>
        <v>0</v>
      </c>
      <c r="H1885" s="1" t="n">
        <f aca="false">ROUND(_xlfn.PERCENTRANK.INC($E$7:$E$4378,E1885)*9,0)</f>
        <v>1</v>
      </c>
      <c r="I1885" s="1" t="str">
        <f aca="false">CONCATENATE(F1885,G1885,H1885)</f>
        <v>001</v>
      </c>
      <c r="J1885" s="1" t="str">
        <f aca="false">_xlfn.IFS(AND(F1885&gt;=8,G1885&gt;=8,H1885&gt;=8),"CHAMPION",AND(F1885&gt;=6,G1885&gt;=7,H1885&gt;=6),"LOYAL CUSTOMER",AND(F1885&gt;=6,G1885&gt;=5,H1885&gt;=5),"POTENTIAL LOYALIST",AND(F1885&gt;=8,G1885&lt;=2,H1885&gt;=5),"NEW CUSTOMERS",AND(F1885&gt;=6,G1885&lt;=2,H1885&gt;=3),"PROMISING",AND(F1885&gt;=3,G1885&gt;=3,H1885&gt;=3),"NEED ATTENTION",AND(F1885&lt;=4,G1885&gt;=6,H1885&gt;=6),"AT RISK",AND(F1885&lt;=2,G1885&gt;=8,H1885&gt;=8),"CAN'T LOSE THEM",AND(F1885&lt;=2,G1885&lt;=2,H1885&lt;=2),"HIBERNATING",TRUE(),"Other")</f>
        <v>HIBERNATING</v>
      </c>
      <c r="K1885" s="1" t="n">
        <f aca="false">RANK(E1885,$E$7:$E$4378)+COUNTIF($E$7:E1885,E1885)-1</f>
        <v>3980</v>
      </c>
    </row>
    <row r="1886" customFormat="false" ht="14.25" hidden="false" customHeight="true" outlineLevel="0" collapsed="false">
      <c r="A1886" s="51" t="n">
        <v>14890</v>
      </c>
      <c r="B1886" s="53" t="n">
        <v>40633.4979166667</v>
      </c>
      <c r="C1886" s="57" t="n">
        <f aca="false">INT($C$2)-INT(Table3[[#This Row],[Last Purchase Date]])</f>
        <v>254</v>
      </c>
      <c r="D1886" s="1" t="n">
        <v>1</v>
      </c>
      <c r="E1886" s="1" t="n">
        <v>125.65</v>
      </c>
      <c r="F1886" s="1" t="n">
        <f aca="false">ROUND((1-_xlfn.PERCENTRANK.INC($C$7:$C$4378,C1886))*9,0)</f>
        <v>1</v>
      </c>
      <c r="G1886" s="1" t="n">
        <f aca="false">ROUND(_xlfn.PERCENTRANK.INC($D$7:$D$4378,D1886)*9,0)</f>
        <v>0</v>
      </c>
      <c r="H1886" s="1" t="n">
        <f aca="false">ROUND(_xlfn.PERCENTRANK.INC($E$7:$E$4378,E1886)*9,0)</f>
        <v>1</v>
      </c>
      <c r="I1886" s="1" t="str">
        <f aca="false">CONCATENATE(F1886,G1886,H1886)</f>
        <v>101</v>
      </c>
      <c r="J1886" s="1" t="str">
        <f aca="false">_xlfn.IFS(AND(F1886&gt;=8,G1886&gt;=8,H1886&gt;=8),"CHAMPION",AND(F1886&gt;=6,G1886&gt;=7,H1886&gt;=6),"LOYAL CUSTOMER",AND(F1886&gt;=6,G1886&gt;=5,H1886&gt;=5),"POTENTIAL LOYALIST",AND(F1886&gt;=8,G1886&lt;=2,H1886&gt;=5),"NEW CUSTOMERS",AND(F1886&gt;=6,G1886&lt;=2,H1886&gt;=3),"PROMISING",AND(F1886&gt;=3,G1886&gt;=3,H1886&gt;=3),"NEED ATTENTION",AND(F1886&lt;=4,G1886&gt;=6,H1886&gt;=6),"AT RISK",AND(F1886&lt;=2,G1886&gt;=8,H1886&gt;=8),"CAN'T LOSE THEM",AND(F1886&lt;=2,G1886&lt;=2,H1886&lt;=2),"HIBERNATING",TRUE(),"Other")</f>
        <v>HIBERNATING</v>
      </c>
      <c r="K1886" s="1" t="n">
        <f aca="false">RANK(E1886,$E$7:$E$4378)+COUNTIF($E$7:E1886,E1886)-1</f>
        <v>4025</v>
      </c>
    </row>
    <row r="1887" customFormat="false" ht="14.25" hidden="false" customHeight="true" outlineLevel="0" collapsed="false">
      <c r="A1887" s="51" t="n">
        <v>14891</v>
      </c>
      <c r="B1887" s="53" t="n">
        <v>40738.7555555556</v>
      </c>
      <c r="C1887" s="57" t="n">
        <f aca="false">INT($C$2)-INT(Table3[[#This Row],[Last Purchase Date]])</f>
        <v>149</v>
      </c>
      <c r="D1887" s="1" t="n">
        <v>2</v>
      </c>
      <c r="E1887" s="1" t="n">
        <v>554.38</v>
      </c>
      <c r="F1887" s="1" t="n">
        <f aca="false">ROUND((1-_xlfn.PERCENTRANK.INC($C$7:$C$4378,C1887))*9,0)</f>
        <v>2</v>
      </c>
      <c r="G1887" s="1" t="n">
        <f aca="false">ROUND(_xlfn.PERCENTRANK.INC($D$7:$D$4378,D1887)*9,0)</f>
        <v>3</v>
      </c>
      <c r="H1887" s="1" t="n">
        <f aca="false">ROUND(_xlfn.PERCENTRANK.INC($E$7:$E$4378,E1887)*9,0)</f>
        <v>4</v>
      </c>
      <c r="I1887" s="1" t="str">
        <f aca="false">CONCATENATE(F1887,G1887,H1887)</f>
        <v>234</v>
      </c>
      <c r="J1887" s="1" t="str">
        <f aca="false">_xlfn.IFS(AND(F1887&gt;=8,G1887&gt;=8,H1887&gt;=8),"CHAMPION",AND(F1887&gt;=6,G1887&gt;=7,H1887&gt;=6),"LOYAL CUSTOMER",AND(F1887&gt;=6,G1887&gt;=5,H1887&gt;=5),"POTENTIAL LOYALIST",AND(F1887&gt;=8,G1887&lt;=2,H1887&gt;=5),"NEW CUSTOMERS",AND(F1887&gt;=6,G1887&lt;=2,H1887&gt;=3),"PROMISING",AND(F1887&gt;=3,G1887&gt;=3,H1887&gt;=3),"NEED ATTENTION",AND(F1887&lt;=4,G1887&gt;=6,H1887&gt;=6),"AT RISK",AND(F1887&lt;=2,G1887&gt;=8,H1887&gt;=8),"CAN'T LOSE THEM",AND(F1887&lt;=2,G1887&lt;=2,H1887&lt;=2),"HIBERNATING",TRUE(),"Other")</f>
        <v>Other</v>
      </c>
      <c r="K1887" s="1" t="n">
        <f aca="false">RANK(E1887,$E$7:$E$4378)+COUNTIF($E$7:E1887,E1887)-1</f>
        <v>2422</v>
      </c>
    </row>
    <row r="1888" customFormat="false" ht="14.25" hidden="false" customHeight="true" outlineLevel="0" collapsed="false">
      <c r="A1888" s="51" t="n">
        <v>14893</v>
      </c>
      <c r="B1888" s="53" t="n">
        <v>40877.5215277778</v>
      </c>
      <c r="C1888" s="57" t="n">
        <f aca="false">INT($C$2)-INT(Table3[[#This Row],[Last Purchase Date]])</f>
        <v>10</v>
      </c>
      <c r="D1888" s="1" t="n">
        <v>2</v>
      </c>
      <c r="E1888" s="1" t="n">
        <v>1237.85</v>
      </c>
      <c r="F1888" s="1" t="n">
        <f aca="false">ROUND((1-_xlfn.PERCENTRANK.INC($C$7:$C$4378,C1888))*9,0)</f>
        <v>8</v>
      </c>
      <c r="G1888" s="1" t="n">
        <f aca="false">ROUND(_xlfn.PERCENTRANK.INC($D$7:$D$4378,D1888)*9,0)</f>
        <v>3</v>
      </c>
      <c r="H1888" s="1" t="n">
        <f aca="false">ROUND(_xlfn.PERCENTRANK.INC($E$7:$E$4378,E1888)*9,0)</f>
        <v>6</v>
      </c>
      <c r="I1888" s="1" t="str">
        <f aca="false">CONCATENATE(F1888,G1888,H1888)</f>
        <v>836</v>
      </c>
      <c r="J1888" s="1" t="str">
        <f aca="false">_xlfn.IFS(AND(F1888&gt;=8,G1888&gt;=8,H1888&gt;=8),"CHAMPION",AND(F1888&gt;=6,G1888&gt;=7,H1888&gt;=6),"LOYAL CUSTOMER",AND(F1888&gt;=6,G1888&gt;=5,H1888&gt;=5),"POTENTIAL LOYALIST",AND(F1888&gt;=8,G1888&lt;=2,H1888&gt;=5),"NEW CUSTOMERS",AND(F1888&gt;=6,G1888&lt;=2,H1888&gt;=3),"PROMISING",AND(F1888&gt;=3,G1888&gt;=3,H1888&gt;=3),"NEED ATTENTION",AND(F1888&lt;=4,G1888&gt;=6,H1888&gt;=6),"AT RISK",AND(F1888&lt;=2,G1888&gt;=8,H1888&gt;=8),"CAN'T LOSE THEM",AND(F1888&lt;=2,G1888&lt;=2,H1888&lt;=2),"HIBERNATING",TRUE(),"Other")</f>
        <v>NEED ATTENTION</v>
      </c>
      <c r="K1888" s="1" t="n">
        <f aca="false">RANK(E1888,$E$7:$E$4378)+COUNTIF($E$7:E1888,E1888)-1</f>
        <v>1386</v>
      </c>
    </row>
    <row r="1889" customFormat="false" ht="14.25" hidden="false" customHeight="true" outlineLevel="0" collapsed="false">
      <c r="A1889" s="51" t="n">
        <v>14894</v>
      </c>
      <c r="B1889" s="53" t="n">
        <v>40801.5770833333</v>
      </c>
      <c r="C1889" s="57" t="n">
        <f aca="false">INT($C$2)-INT(Table3[[#This Row],[Last Purchase Date]])</f>
        <v>86</v>
      </c>
      <c r="D1889" s="1" t="n">
        <v>1</v>
      </c>
      <c r="E1889" s="1" t="n">
        <v>655.75</v>
      </c>
      <c r="F1889" s="1" t="n">
        <f aca="false">ROUND((1-_xlfn.PERCENTRANK.INC($C$7:$C$4378,C1889))*9,0)</f>
        <v>3</v>
      </c>
      <c r="G1889" s="1" t="n">
        <f aca="false">ROUND(_xlfn.PERCENTRANK.INC($D$7:$D$4378,D1889)*9,0)</f>
        <v>0</v>
      </c>
      <c r="H1889" s="1" t="n">
        <f aca="false">ROUND(_xlfn.PERCENTRANK.INC($E$7:$E$4378,E1889)*9,0)</f>
        <v>5</v>
      </c>
      <c r="I1889" s="1" t="str">
        <f aca="false">CONCATENATE(F1889,G1889,H1889)</f>
        <v>305</v>
      </c>
      <c r="J1889" s="1" t="str">
        <f aca="false">_xlfn.IFS(AND(F1889&gt;=8,G1889&gt;=8,H1889&gt;=8),"CHAMPION",AND(F1889&gt;=6,G1889&gt;=7,H1889&gt;=6),"LOYAL CUSTOMER",AND(F1889&gt;=6,G1889&gt;=5,H1889&gt;=5),"POTENTIAL LOYALIST",AND(F1889&gt;=8,G1889&lt;=2,H1889&gt;=5),"NEW CUSTOMERS",AND(F1889&gt;=6,G1889&lt;=2,H1889&gt;=3),"PROMISING",AND(F1889&gt;=3,G1889&gt;=3,H1889&gt;=3),"NEED ATTENTION",AND(F1889&lt;=4,G1889&gt;=6,H1889&gt;=6),"AT RISK",AND(F1889&lt;=2,G1889&gt;=8,H1889&gt;=8),"CAN'T LOSE THEM",AND(F1889&lt;=2,G1889&lt;=2,H1889&lt;=2),"HIBERNATING",TRUE(),"Other")</f>
        <v>Other</v>
      </c>
      <c r="K1889" s="1" t="n">
        <f aca="false">RANK(E1889,$E$7:$E$4378)+COUNTIF($E$7:E1889,E1889)-1</f>
        <v>2169</v>
      </c>
    </row>
    <row r="1890" customFormat="false" ht="14.25" hidden="false" customHeight="true" outlineLevel="0" collapsed="false">
      <c r="A1890" s="51" t="n">
        <v>14895</v>
      </c>
      <c r="B1890" s="53" t="n">
        <v>40879.3909722222</v>
      </c>
      <c r="C1890" s="57" t="n">
        <f aca="false">INT($C$2)-INT(Table3[[#This Row],[Last Purchase Date]])</f>
        <v>8</v>
      </c>
      <c r="D1890" s="1" t="n">
        <v>24</v>
      </c>
      <c r="E1890" s="1" t="n">
        <v>11020.26</v>
      </c>
      <c r="F1890" s="1" t="n">
        <f aca="false">ROUND((1-_xlfn.PERCENTRANK.INC($C$7:$C$4378,C1890))*9,0)</f>
        <v>8</v>
      </c>
      <c r="G1890" s="1" t="n">
        <f aca="false">ROUND(_xlfn.PERCENTRANK.INC($D$7:$D$4378,D1890)*9,0)</f>
        <v>9</v>
      </c>
      <c r="H1890" s="1" t="n">
        <f aca="false">ROUND(_xlfn.PERCENTRANK.INC($E$7:$E$4378,E1890)*9,0)</f>
        <v>9</v>
      </c>
      <c r="I1890" s="1" t="str">
        <f aca="false">CONCATENATE(F1890,G1890,H1890)</f>
        <v>899</v>
      </c>
      <c r="J1890" s="1" t="str">
        <f aca="false">_xlfn.IFS(AND(F1890&gt;=8,G1890&gt;=8,H1890&gt;=8),"CHAMPION",AND(F1890&gt;=6,G1890&gt;=7,H1890&gt;=6),"LOYAL CUSTOMER",AND(F1890&gt;=6,G1890&gt;=5,H1890&gt;=5),"POTENTIAL LOYALIST",AND(F1890&gt;=8,G1890&lt;=2,H1890&gt;=5),"NEW CUSTOMERS",AND(F1890&gt;=6,G1890&lt;=2,H1890&gt;=3),"PROMISING",AND(F1890&gt;=3,G1890&gt;=3,H1890&gt;=3),"NEED ATTENTION",AND(F1890&lt;=4,G1890&gt;=6,H1890&gt;=6),"AT RISK",AND(F1890&lt;=2,G1890&gt;=8,H1890&gt;=8),"CAN'T LOSE THEM",AND(F1890&lt;=2,G1890&lt;=2,H1890&lt;=2),"HIBERNATING",TRUE(),"Other")</f>
        <v>CHAMPION</v>
      </c>
      <c r="K1890" s="1" t="n">
        <f aca="false">RANK(E1890,$E$7:$E$4378)+COUNTIF($E$7:E1890,E1890)-1</f>
        <v>81</v>
      </c>
    </row>
    <row r="1891" customFormat="false" ht="14.25" hidden="false" customHeight="true" outlineLevel="0" collapsed="false">
      <c r="A1891" s="51" t="n">
        <v>14896</v>
      </c>
      <c r="B1891" s="53" t="n">
        <v>40682.4305555556</v>
      </c>
      <c r="C1891" s="57" t="n">
        <f aca="false">INT($C$2)-INT(Table3[[#This Row],[Last Purchase Date]])</f>
        <v>205</v>
      </c>
      <c r="D1891" s="1" t="n">
        <v>2</v>
      </c>
      <c r="E1891" s="1" t="n">
        <v>468.77</v>
      </c>
      <c r="F1891" s="1" t="n">
        <f aca="false">ROUND((1-_xlfn.PERCENTRANK.INC($C$7:$C$4378,C1891))*9,0)</f>
        <v>2</v>
      </c>
      <c r="G1891" s="1" t="n">
        <f aca="false">ROUND(_xlfn.PERCENTRANK.INC($D$7:$D$4378,D1891)*9,0)</f>
        <v>3</v>
      </c>
      <c r="H1891" s="1" t="n">
        <f aca="false">ROUND(_xlfn.PERCENTRANK.INC($E$7:$E$4378,E1891)*9,0)</f>
        <v>4</v>
      </c>
      <c r="I1891" s="1" t="str">
        <f aca="false">CONCATENATE(F1891,G1891,H1891)</f>
        <v>234</v>
      </c>
      <c r="J1891" s="1" t="str">
        <f aca="false">_xlfn.IFS(AND(F1891&gt;=8,G1891&gt;=8,H1891&gt;=8),"CHAMPION",AND(F1891&gt;=6,G1891&gt;=7,H1891&gt;=6),"LOYAL CUSTOMER",AND(F1891&gt;=6,G1891&gt;=5,H1891&gt;=5),"POTENTIAL LOYALIST",AND(F1891&gt;=8,G1891&lt;=2,H1891&gt;=5),"NEW CUSTOMERS",AND(F1891&gt;=6,G1891&lt;=2,H1891&gt;=3),"PROMISING",AND(F1891&gt;=3,G1891&gt;=3,H1891&gt;=3),"NEED ATTENTION",AND(F1891&lt;=4,G1891&gt;=6,H1891&gt;=6),"AT RISK",AND(F1891&lt;=2,G1891&gt;=8,H1891&gt;=8),"CAN'T LOSE THEM",AND(F1891&lt;=2,G1891&lt;=2,H1891&lt;=2),"HIBERNATING",TRUE(),"Other")</f>
        <v>Other</v>
      </c>
      <c r="K1891" s="1" t="n">
        <f aca="false">RANK(E1891,$E$7:$E$4378)+COUNTIF($E$7:E1891,E1891)-1</f>
        <v>2617</v>
      </c>
    </row>
    <row r="1892" customFormat="false" ht="14.25" hidden="false" customHeight="true" outlineLevel="0" collapsed="false">
      <c r="A1892" s="51" t="n">
        <v>14897</v>
      </c>
      <c r="B1892" s="53" t="n">
        <v>40879.4388888889</v>
      </c>
      <c r="C1892" s="57" t="n">
        <f aca="false">INT($C$2)-INT(Table3[[#This Row],[Last Purchase Date]])</f>
        <v>8</v>
      </c>
      <c r="D1892" s="1" t="n">
        <v>4</v>
      </c>
      <c r="E1892" s="1" t="n">
        <v>1366.38</v>
      </c>
      <c r="F1892" s="1" t="n">
        <f aca="false">ROUND((1-_xlfn.PERCENTRANK.INC($C$7:$C$4378,C1892))*9,0)</f>
        <v>8</v>
      </c>
      <c r="G1892" s="1" t="n">
        <f aca="false">ROUND(_xlfn.PERCENTRANK.INC($D$7:$D$4378,D1892)*9,0)</f>
        <v>5</v>
      </c>
      <c r="H1892" s="1" t="n">
        <f aca="false">ROUND(_xlfn.PERCENTRANK.INC($E$7:$E$4378,E1892)*9,0)</f>
        <v>6</v>
      </c>
      <c r="I1892" s="1" t="str">
        <f aca="false">CONCATENATE(F1892,G1892,H1892)</f>
        <v>856</v>
      </c>
      <c r="J1892" s="1" t="str">
        <f aca="false">_xlfn.IFS(AND(F1892&gt;=8,G1892&gt;=8,H1892&gt;=8),"CHAMPION",AND(F1892&gt;=6,G1892&gt;=7,H1892&gt;=6),"LOYAL CUSTOMER",AND(F1892&gt;=6,G1892&gt;=5,H1892&gt;=5),"POTENTIAL LOYALIST",AND(F1892&gt;=8,G1892&lt;=2,H1892&gt;=5),"NEW CUSTOMERS",AND(F1892&gt;=6,G1892&lt;=2,H1892&gt;=3),"PROMISING",AND(F1892&gt;=3,G1892&gt;=3,H1892&gt;=3),"NEED ATTENTION",AND(F1892&lt;=4,G1892&gt;=6,H1892&gt;=6),"AT RISK",AND(F1892&lt;=2,G1892&gt;=8,H1892&gt;=8),"CAN'T LOSE THEM",AND(F1892&lt;=2,G1892&lt;=2,H1892&lt;=2),"HIBERNATING",TRUE(),"Other")</f>
        <v>POTENTIAL LOYALIST</v>
      </c>
      <c r="K1892" s="1" t="n">
        <f aca="false">RANK(E1892,$E$7:$E$4378)+COUNTIF($E$7:E1892,E1892)-1</f>
        <v>1263</v>
      </c>
    </row>
    <row r="1893" customFormat="false" ht="14.25" hidden="false" customHeight="true" outlineLevel="0" collapsed="false">
      <c r="A1893" s="51" t="n">
        <v>14898</v>
      </c>
      <c r="B1893" s="53" t="n">
        <v>40863.6208333333</v>
      </c>
      <c r="C1893" s="57" t="n">
        <f aca="false">INT($C$2)-INT(Table3[[#This Row],[Last Purchase Date]])</f>
        <v>24</v>
      </c>
      <c r="D1893" s="1" t="n">
        <v>8</v>
      </c>
      <c r="E1893" s="1" t="n">
        <v>1228.32</v>
      </c>
      <c r="F1893" s="1" t="n">
        <f aca="false">ROUND((1-_xlfn.PERCENTRANK.INC($C$7:$C$4378,C1893))*9,0)</f>
        <v>6</v>
      </c>
      <c r="G1893" s="1" t="n">
        <f aca="false">ROUND(_xlfn.PERCENTRANK.INC($D$7:$D$4378,D1893)*9,0)</f>
        <v>7</v>
      </c>
      <c r="H1893" s="1" t="n">
        <f aca="false">ROUND(_xlfn.PERCENTRANK.INC($E$7:$E$4378,E1893)*9,0)</f>
        <v>6</v>
      </c>
      <c r="I1893" s="1" t="str">
        <f aca="false">CONCATENATE(F1893,G1893,H1893)</f>
        <v>676</v>
      </c>
      <c r="J1893" s="1" t="str">
        <f aca="false">_xlfn.IFS(AND(F1893&gt;=8,G1893&gt;=8,H1893&gt;=8),"CHAMPION",AND(F1893&gt;=6,G1893&gt;=7,H1893&gt;=6),"LOYAL CUSTOMER",AND(F1893&gt;=6,G1893&gt;=5,H1893&gt;=5),"POTENTIAL LOYALIST",AND(F1893&gt;=8,G1893&lt;=2,H1893&gt;=5),"NEW CUSTOMERS",AND(F1893&gt;=6,G1893&lt;=2,H1893&gt;=3),"PROMISING",AND(F1893&gt;=3,G1893&gt;=3,H1893&gt;=3),"NEED ATTENTION",AND(F1893&lt;=4,G1893&gt;=6,H1893&gt;=6),"AT RISK",AND(F1893&lt;=2,G1893&gt;=8,H1893&gt;=8),"CAN'T LOSE THEM",AND(F1893&lt;=2,G1893&lt;=2,H1893&lt;=2),"HIBERNATING",TRUE(),"Other")</f>
        <v>LOYAL CUSTOMER</v>
      </c>
      <c r="K1893" s="1" t="n">
        <f aca="false">RANK(E1893,$E$7:$E$4378)+COUNTIF($E$7:E1893,E1893)-1</f>
        <v>1393</v>
      </c>
    </row>
    <row r="1894" customFormat="false" ht="14.25" hidden="false" customHeight="true" outlineLevel="0" collapsed="false">
      <c r="A1894" s="51" t="n">
        <v>14901</v>
      </c>
      <c r="B1894" s="53" t="n">
        <v>40875.7145833333</v>
      </c>
      <c r="C1894" s="57" t="n">
        <f aca="false">INT($C$2)-INT(Table3[[#This Row],[Last Purchase Date]])</f>
        <v>12</v>
      </c>
      <c r="D1894" s="1" t="n">
        <v>10</v>
      </c>
      <c r="E1894" s="1" t="n">
        <v>1414.99</v>
      </c>
      <c r="F1894" s="1" t="n">
        <f aca="false">ROUND((1-_xlfn.PERCENTRANK.INC($C$7:$C$4378,C1894))*9,0)</f>
        <v>7</v>
      </c>
      <c r="G1894" s="1" t="n">
        <f aca="false">ROUND(_xlfn.PERCENTRANK.INC($D$7:$D$4378,D1894)*9,0)</f>
        <v>8</v>
      </c>
      <c r="H1894" s="1" t="n">
        <f aca="false">ROUND(_xlfn.PERCENTRANK.INC($E$7:$E$4378,E1894)*9,0)</f>
        <v>6</v>
      </c>
      <c r="I1894" s="1" t="str">
        <f aca="false">CONCATENATE(F1894,G1894,H1894)</f>
        <v>786</v>
      </c>
      <c r="J1894" s="1" t="str">
        <f aca="false">_xlfn.IFS(AND(F1894&gt;=8,G1894&gt;=8,H1894&gt;=8),"CHAMPION",AND(F1894&gt;=6,G1894&gt;=7,H1894&gt;=6),"LOYAL CUSTOMER",AND(F1894&gt;=6,G1894&gt;=5,H1894&gt;=5),"POTENTIAL LOYALIST",AND(F1894&gt;=8,G1894&lt;=2,H1894&gt;=5),"NEW CUSTOMERS",AND(F1894&gt;=6,G1894&lt;=2,H1894&gt;=3),"PROMISING",AND(F1894&gt;=3,G1894&gt;=3,H1894&gt;=3),"NEED ATTENTION",AND(F1894&lt;=4,G1894&gt;=6,H1894&gt;=6),"AT RISK",AND(F1894&lt;=2,G1894&gt;=8,H1894&gt;=8),"CAN'T LOSE THEM",AND(F1894&lt;=2,G1894&lt;=2,H1894&lt;=2),"HIBERNATING",TRUE(),"Other")</f>
        <v>LOYAL CUSTOMER</v>
      </c>
      <c r="K1894" s="1" t="n">
        <f aca="false">RANK(E1894,$E$7:$E$4378)+COUNTIF($E$7:E1894,E1894)-1</f>
        <v>1227</v>
      </c>
    </row>
    <row r="1895" customFormat="false" ht="14.25" hidden="false" customHeight="true" outlineLevel="0" collapsed="false">
      <c r="A1895" s="51" t="n">
        <v>14902</v>
      </c>
      <c r="B1895" s="53" t="n">
        <v>40865.7145833333</v>
      </c>
      <c r="C1895" s="57" t="n">
        <f aca="false">INT($C$2)-INT(Table3[[#This Row],[Last Purchase Date]])</f>
        <v>22</v>
      </c>
      <c r="D1895" s="1" t="n">
        <v>2</v>
      </c>
      <c r="E1895" s="1" t="n">
        <v>314.11</v>
      </c>
      <c r="F1895" s="1" t="n">
        <f aca="false">ROUND((1-_xlfn.PERCENTRANK.INC($C$7:$C$4378,C1895))*9,0)</f>
        <v>6</v>
      </c>
      <c r="G1895" s="1" t="n">
        <f aca="false">ROUND(_xlfn.PERCENTRANK.INC($D$7:$D$4378,D1895)*9,0)</f>
        <v>3</v>
      </c>
      <c r="H1895" s="1" t="n">
        <f aca="false">ROUND(_xlfn.PERCENTRANK.INC($E$7:$E$4378,E1895)*9,0)</f>
        <v>2</v>
      </c>
      <c r="I1895" s="1" t="str">
        <f aca="false">CONCATENATE(F1895,G1895,H1895)</f>
        <v>632</v>
      </c>
      <c r="J1895" s="1" t="str">
        <f aca="false">_xlfn.IFS(AND(F1895&gt;=8,G1895&gt;=8,H1895&gt;=8),"CHAMPION",AND(F1895&gt;=6,G1895&gt;=7,H1895&gt;=6),"LOYAL CUSTOMER",AND(F1895&gt;=6,G1895&gt;=5,H1895&gt;=5),"POTENTIAL LOYALIST",AND(F1895&gt;=8,G1895&lt;=2,H1895&gt;=5),"NEW CUSTOMERS",AND(F1895&gt;=6,G1895&lt;=2,H1895&gt;=3),"PROMISING",AND(F1895&gt;=3,G1895&gt;=3,H1895&gt;=3),"NEED ATTENTION",AND(F1895&lt;=4,G1895&gt;=6,H1895&gt;=6),"AT RISK",AND(F1895&lt;=2,G1895&gt;=8,H1895&gt;=8),"CAN'T LOSE THEM",AND(F1895&lt;=2,G1895&lt;=2,H1895&lt;=2),"HIBERNATING",TRUE(),"Other")</f>
        <v>Other</v>
      </c>
      <c r="K1895" s="1" t="n">
        <f aca="false">RANK(E1895,$E$7:$E$4378)+COUNTIF($E$7:E1895,E1895)-1</f>
        <v>3168</v>
      </c>
    </row>
    <row r="1896" customFormat="false" ht="14.25" hidden="false" customHeight="true" outlineLevel="0" collapsed="false">
      <c r="A1896" s="51" t="n">
        <v>14903</v>
      </c>
      <c r="B1896" s="53" t="n">
        <v>40865.6715277778</v>
      </c>
      <c r="C1896" s="57" t="n">
        <f aca="false">INT($C$2)-INT(Table3[[#This Row],[Last Purchase Date]])</f>
        <v>22</v>
      </c>
      <c r="D1896" s="1" t="n">
        <v>10</v>
      </c>
      <c r="E1896" s="1" t="n">
        <v>2744.48</v>
      </c>
      <c r="F1896" s="1" t="n">
        <f aca="false">ROUND((1-_xlfn.PERCENTRANK.INC($C$7:$C$4378,C1896))*9,0)</f>
        <v>6</v>
      </c>
      <c r="G1896" s="1" t="n">
        <f aca="false">ROUND(_xlfn.PERCENTRANK.INC($D$7:$D$4378,D1896)*9,0)</f>
        <v>8</v>
      </c>
      <c r="H1896" s="1" t="n">
        <f aca="false">ROUND(_xlfn.PERCENTRANK.INC($E$7:$E$4378,E1896)*9,0)</f>
        <v>8</v>
      </c>
      <c r="I1896" s="1" t="str">
        <f aca="false">CONCATENATE(F1896,G1896,H1896)</f>
        <v>688</v>
      </c>
      <c r="J1896" s="1" t="str">
        <f aca="false">_xlfn.IFS(AND(F1896&gt;=8,G1896&gt;=8,H1896&gt;=8),"CHAMPION",AND(F1896&gt;=6,G1896&gt;=7,H1896&gt;=6),"LOYAL CUSTOMER",AND(F1896&gt;=6,G1896&gt;=5,H1896&gt;=5),"POTENTIAL LOYALIST",AND(F1896&gt;=8,G1896&lt;=2,H1896&gt;=5),"NEW CUSTOMERS",AND(F1896&gt;=6,G1896&lt;=2,H1896&gt;=3),"PROMISING",AND(F1896&gt;=3,G1896&gt;=3,H1896&gt;=3),"NEED ATTENTION",AND(F1896&lt;=4,G1896&gt;=6,H1896&gt;=6),"AT RISK",AND(F1896&lt;=2,G1896&gt;=8,H1896&gt;=8),"CAN'T LOSE THEM",AND(F1896&lt;=2,G1896&lt;=2,H1896&lt;=2),"HIBERNATING",TRUE(),"Other")</f>
        <v>LOYAL CUSTOMER</v>
      </c>
      <c r="K1896" s="1" t="n">
        <f aca="false">RANK(E1896,$E$7:$E$4378)+COUNTIF($E$7:E1896,E1896)-1</f>
        <v>605</v>
      </c>
    </row>
    <row r="1897" customFormat="false" ht="14.25" hidden="false" customHeight="true" outlineLevel="0" collapsed="false">
      <c r="A1897" s="51" t="n">
        <v>14904</v>
      </c>
      <c r="B1897" s="53" t="n">
        <v>40884.5381944445</v>
      </c>
      <c r="C1897" s="57" t="n">
        <f aca="false">INT($C$2)-INT(Table3[[#This Row],[Last Purchase Date]])</f>
        <v>3</v>
      </c>
      <c r="D1897" s="1" t="n">
        <v>2</v>
      </c>
      <c r="E1897" s="1" t="n">
        <v>1025.44</v>
      </c>
      <c r="F1897" s="1" t="n">
        <f aca="false">ROUND((1-_xlfn.PERCENTRANK.INC($C$7:$C$4378,C1897))*9,0)</f>
        <v>9</v>
      </c>
      <c r="G1897" s="1" t="n">
        <f aca="false">ROUND(_xlfn.PERCENTRANK.INC($D$7:$D$4378,D1897)*9,0)</f>
        <v>3</v>
      </c>
      <c r="H1897" s="1" t="n">
        <f aca="false">ROUND(_xlfn.PERCENTRANK.INC($E$7:$E$4378,E1897)*9,0)</f>
        <v>6</v>
      </c>
      <c r="I1897" s="1" t="str">
        <f aca="false">CONCATENATE(F1897,G1897,H1897)</f>
        <v>936</v>
      </c>
      <c r="J1897" s="1" t="str">
        <f aca="false">_xlfn.IFS(AND(F1897&gt;=8,G1897&gt;=8,H1897&gt;=8),"CHAMPION",AND(F1897&gt;=6,G1897&gt;=7,H1897&gt;=6),"LOYAL CUSTOMER",AND(F1897&gt;=6,G1897&gt;=5,H1897&gt;=5),"POTENTIAL LOYALIST",AND(F1897&gt;=8,G1897&lt;=2,H1897&gt;=5),"NEW CUSTOMERS",AND(F1897&gt;=6,G1897&lt;=2,H1897&gt;=3),"PROMISING",AND(F1897&gt;=3,G1897&gt;=3,H1897&gt;=3),"NEED ATTENTION",AND(F1897&lt;=4,G1897&gt;=6,H1897&gt;=6),"AT RISK",AND(F1897&lt;=2,G1897&gt;=8,H1897&gt;=8),"CAN'T LOSE THEM",AND(F1897&lt;=2,G1897&lt;=2,H1897&lt;=2),"HIBERNATING",TRUE(),"Other")</f>
        <v>NEED ATTENTION</v>
      </c>
      <c r="K1897" s="1" t="n">
        <f aca="false">RANK(E1897,$E$7:$E$4378)+COUNTIF($E$7:E1897,E1897)-1</f>
        <v>1601</v>
      </c>
    </row>
    <row r="1898" customFormat="false" ht="14.25" hidden="false" customHeight="true" outlineLevel="0" collapsed="false">
      <c r="A1898" s="51" t="n">
        <v>14905</v>
      </c>
      <c r="B1898" s="53" t="n">
        <v>40732.5666666667</v>
      </c>
      <c r="C1898" s="57" t="n">
        <f aca="false">INT($C$2)-INT(Table3[[#This Row],[Last Purchase Date]])</f>
        <v>155</v>
      </c>
      <c r="D1898" s="1" t="n">
        <v>3</v>
      </c>
      <c r="E1898" s="1" t="n">
        <v>599.9</v>
      </c>
      <c r="F1898" s="1" t="n">
        <f aca="false">ROUND((1-_xlfn.PERCENTRANK.INC($C$7:$C$4378,C1898))*9,0)</f>
        <v>2</v>
      </c>
      <c r="G1898" s="1" t="n">
        <f aca="false">ROUND(_xlfn.PERCENTRANK.INC($D$7:$D$4378,D1898)*9,0)</f>
        <v>4</v>
      </c>
      <c r="H1898" s="1" t="n">
        <f aca="false">ROUND(_xlfn.PERCENTRANK.INC($E$7:$E$4378,E1898)*9,0)</f>
        <v>4</v>
      </c>
      <c r="I1898" s="1" t="str">
        <f aca="false">CONCATENATE(F1898,G1898,H1898)</f>
        <v>244</v>
      </c>
      <c r="J1898" s="1" t="str">
        <f aca="false">_xlfn.IFS(AND(F1898&gt;=8,G1898&gt;=8,H1898&gt;=8),"CHAMPION",AND(F1898&gt;=6,G1898&gt;=7,H1898&gt;=6),"LOYAL CUSTOMER",AND(F1898&gt;=6,G1898&gt;=5,H1898&gt;=5),"POTENTIAL LOYALIST",AND(F1898&gt;=8,G1898&lt;=2,H1898&gt;=5),"NEW CUSTOMERS",AND(F1898&gt;=6,G1898&lt;=2,H1898&gt;=3),"PROMISING",AND(F1898&gt;=3,G1898&gt;=3,H1898&gt;=3),"NEED ATTENTION",AND(F1898&lt;=4,G1898&gt;=6,H1898&gt;=6),"AT RISK",AND(F1898&lt;=2,G1898&gt;=8,H1898&gt;=8),"CAN'T LOSE THEM",AND(F1898&lt;=2,G1898&lt;=2,H1898&lt;=2),"HIBERNATING",TRUE(),"Other")</f>
        <v>Other</v>
      </c>
      <c r="K1898" s="1" t="n">
        <f aca="false">RANK(E1898,$E$7:$E$4378)+COUNTIF($E$7:E1898,E1898)-1</f>
        <v>2319</v>
      </c>
    </row>
    <row r="1899" customFormat="false" ht="14.25" hidden="false" customHeight="true" outlineLevel="0" collapsed="false">
      <c r="A1899" s="51" t="n">
        <v>14907</v>
      </c>
      <c r="B1899" s="53" t="n">
        <v>40883.5930555556</v>
      </c>
      <c r="C1899" s="57" t="n">
        <f aca="false">INT($C$2)-INT(Table3[[#This Row],[Last Purchase Date]])</f>
        <v>4</v>
      </c>
      <c r="D1899" s="1" t="n">
        <v>10</v>
      </c>
      <c r="E1899" s="1" t="n">
        <v>3478.85</v>
      </c>
      <c r="F1899" s="1" t="n">
        <f aca="false">ROUND((1-_xlfn.PERCENTRANK.INC($C$7:$C$4378,C1899))*9,0)</f>
        <v>8</v>
      </c>
      <c r="G1899" s="1" t="n">
        <f aca="false">ROUND(_xlfn.PERCENTRANK.INC($D$7:$D$4378,D1899)*9,0)</f>
        <v>8</v>
      </c>
      <c r="H1899" s="1" t="n">
        <f aca="false">ROUND(_xlfn.PERCENTRANK.INC($E$7:$E$4378,E1899)*9,0)</f>
        <v>8</v>
      </c>
      <c r="I1899" s="1" t="str">
        <f aca="false">CONCATENATE(F1899,G1899,H1899)</f>
        <v>888</v>
      </c>
      <c r="J1899" s="1" t="str">
        <f aca="false">_xlfn.IFS(AND(F1899&gt;=8,G1899&gt;=8,H1899&gt;=8),"CHAMPION",AND(F1899&gt;=6,G1899&gt;=7,H1899&gt;=6),"LOYAL CUSTOMER",AND(F1899&gt;=6,G1899&gt;=5,H1899&gt;=5),"POTENTIAL LOYALIST",AND(F1899&gt;=8,G1899&lt;=2,H1899&gt;=5),"NEW CUSTOMERS",AND(F1899&gt;=6,G1899&lt;=2,H1899&gt;=3),"PROMISING",AND(F1899&gt;=3,G1899&gt;=3,H1899&gt;=3),"NEED ATTENTION",AND(F1899&lt;=4,G1899&gt;=6,H1899&gt;=6),"AT RISK",AND(F1899&lt;=2,G1899&gt;=8,H1899&gt;=8),"CAN'T LOSE THEM",AND(F1899&lt;=2,G1899&lt;=2,H1899&lt;=2),"HIBERNATING",TRUE(),"Other")</f>
        <v>CHAMPION</v>
      </c>
      <c r="K1899" s="1" t="n">
        <f aca="false">RANK(E1899,$E$7:$E$4378)+COUNTIF($E$7:E1899,E1899)-1</f>
        <v>442</v>
      </c>
    </row>
    <row r="1900" customFormat="false" ht="14.25" hidden="false" customHeight="true" outlineLevel="0" collapsed="false">
      <c r="A1900" s="51" t="n">
        <v>14908</v>
      </c>
      <c r="B1900" s="53" t="n">
        <v>40812.5388888889</v>
      </c>
      <c r="C1900" s="57" t="n">
        <f aca="false">INT($C$2)-INT(Table3[[#This Row],[Last Purchase Date]])</f>
        <v>75</v>
      </c>
      <c r="D1900" s="1" t="n">
        <v>1</v>
      </c>
      <c r="E1900" s="1" t="n">
        <v>277.8</v>
      </c>
      <c r="F1900" s="1" t="n">
        <f aca="false">ROUND((1-_xlfn.PERCENTRANK.INC($C$7:$C$4378,C1900))*9,0)</f>
        <v>3</v>
      </c>
      <c r="G1900" s="1" t="n">
        <f aca="false">ROUND(_xlfn.PERCENTRANK.INC($D$7:$D$4378,D1900)*9,0)</f>
        <v>0</v>
      </c>
      <c r="H1900" s="1" t="n">
        <f aca="false">ROUND(_xlfn.PERCENTRANK.INC($E$7:$E$4378,E1900)*9,0)</f>
        <v>2</v>
      </c>
      <c r="I1900" s="1" t="str">
        <f aca="false">CONCATENATE(F1900,G1900,H1900)</f>
        <v>302</v>
      </c>
      <c r="J1900" s="1" t="str">
        <f aca="false">_xlfn.IFS(AND(F1900&gt;=8,G1900&gt;=8,H1900&gt;=8),"CHAMPION",AND(F1900&gt;=6,G1900&gt;=7,H1900&gt;=6),"LOYAL CUSTOMER",AND(F1900&gt;=6,G1900&gt;=5,H1900&gt;=5),"POTENTIAL LOYALIST",AND(F1900&gt;=8,G1900&lt;=2,H1900&gt;=5),"NEW CUSTOMERS",AND(F1900&gt;=6,G1900&lt;=2,H1900&gt;=3),"PROMISING",AND(F1900&gt;=3,G1900&gt;=3,H1900&gt;=3),"NEED ATTENTION",AND(F1900&lt;=4,G1900&gt;=6,H1900&gt;=6),"AT RISK",AND(F1900&lt;=2,G1900&gt;=8,H1900&gt;=8),"CAN'T LOSE THEM",AND(F1900&lt;=2,G1900&lt;=2,H1900&lt;=2),"HIBERNATING",TRUE(),"Other")</f>
        <v>Other</v>
      </c>
      <c r="K1900" s="1" t="n">
        <f aca="false">RANK(E1900,$E$7:$E$4378)+COUNTIF($E$7:E1900,E1900)-1</f>
        <v>3333</v>
      </c>
    </row>
    <row r="1901" customFormat="false" ht="14.25" hidden="false" customHeight="true" outlineLevel="0" collapsed="false">
      <c r="A1901" s="51" t="n">
        <v>14910</v>
      </c>
      <c r="B1901" s="53" t="n">
        <v>40884.4208333333</v>
      </c>
      <c r="C1901" s="57" t="n">
        <f aca="false">INT($C$2)-INT(Table3[[#This Row],[Last Purchase Date]])</f>
        <v>3</v>
      </c>
      <c r="D1901" s="1" t="n">
        <v>7</v>
      </c>
      <c r="E1901" s="1" t="n">
        <v>389.86</v>
      </c>
      <c r="F1901" s="1" t="n">
        <f aca="false">ROUND((1-_xlfn.PERCENTRANK.INC($C$7:$C$4378,C1901))*9,0)</f>
        <v>9</v>
      </c>
      <c r="G1901" s="1" t="n">
        <f aca="false">ROUND(_xlfn.PERCENTRANK.INC($D$7:$D$4378,D1901)*9,0)</f>
        <v>7</v>
      </c>
      <c r="H1901" s="1" t="n">
        <f aca="false">ROUND(_xlfn.PERCENTRANK.INC($E$7:$E$4378,E1901)*9,0)</f>
        <v>3</v>
      </c>
      <c r="I1901" s="1" t="str">
        <f aca="false">CONCATENATE(F1901,G1901,H1901)</f>
        <v>973</v>
      </c>
      <c r="J1901" s="1" t="str">
        <f aca="false">_xlfn.IFS(AND(F1901&gt;=8,G1901&gt;=8,H1901&gt;=8),"CHAMPION",AND(F1901&gt;=6,G1901&gt;=7,H1901&gt;=6),"LOYAL CUSTOMER",AND(F1901&gt;=6,G1901&gt;=5,H1901&gt;=5),"POTENTIAL LOYALIST",AND(F1901&gt;=8,G1901&lt;=2,H1901&gt;=5),"NEW CUSTOMERS",AND(F1901&gt;=6,G1901&lt;=2,H1901&gt;=3),"PROMISING",AND(F1901&gt;=3,G1901&gt;=3,H1901&gt;=3),"NEED ATTENTION",AND(F1901&lt;=4,G1901&gt;=6,H1901&gt;=6),"AT RISK",AND(F1901&lt;=2,G1901&gt;=8,H1901&gt;=8),"CAN'T LOSE THEM",AND(F1901&lt;=2,G1901&lt;=2,H1901&lt;=2),"HIBERNATING",TRUE(),"Other")</f>
        <v>NEED ATTENTION</v>
      </c>
      <c r="K1901" s="1" t="n">
        <f aca="false">RANK(E1901,$E$7:$E$4378)+COUNTIF($E$7:E1901,E1901)-1</f>
        <v>2846</v>
      </c>
    </row>
    <row r="1902" customFormat="false" ht="14.25" hidden="false" customHeight="true" outlineLevel="0" collapsed="false">
      <c r="A1902" s="51" t="n">
        <v>14911</v>
      </c>
      <c r="B1902" s="53" t="n">
        <v>40885.6625</v>
      </c>
      <c r="C1902" s="57" t="n">
        <f aca="false">INT($C$2)-INT(Table3[[#This Row],[Last Purchase Date]])</f>
        <v>2</v>
      </c>
      <c r="D1902" s="1" t="n">
        <v>248</v>
      </c>
      <c r="E1902" s="1" t="n">
        <v>132572.62</v>
      </c>
      <c r="F1902" s="1" t="n">
        <f aca="false">ROUND((1-_xlfn.PERCENTRANK.INC($C$7:$C$4378,C1902))*9,0)</f>
        <v>9</v>
      </c>
      <c r="G1902" s="1" t="n">
        <f aca="false">ROUND(_xlfn.PERCENTRANK.INC($D$7:$D$4378,D1902)*9,0)</f>
        <v>9</v>
      </c>
      <c r="H1902" s="1" t="n">
        <f aca="false">ROUND(_xlfn.PERCENTRANK.INC($E$7:$E$4378,E1902)*9,0)</f>
        <v>9</v>
      </c>
      <c r="I1902" s="1" t="str">
        <f aca="false">CONCATENATE(F1902,G1902,H1902)</f>
        <v>999</v>
      </c>
      <c r="J1902" s="1" t="str">
        <f aca="false">_xlfn.IFS(AND(F1902&gt;=8,G1902&gt;=8,H1902&gt;=8),"CHAMPION",AND(F1902&gt;=6,G1902&gt;=7,H1902&gt;=6),"LOYAL CUSTOMER",AND(F1902&gt;=6,G1902&gt;=5,H1902&gt;=5),"POTENTIAL LOYALIST",AND(F1902&gt;=8,G1902&lt;=2,H1902&gt;=5),"NEW CUSTOMERS",AND(F1902&gt;=6,G1902&lt;=2,H1902&gt;=3),"PROMISING",AND(F1902&gt;=3,G1902&gt;=3,H1902&gt;=3),"NEED ATTENTION",AND(F1902&lt;=4,G1902&gt;=6,H1902&gt;=6),"AT RISK",AND(F1902&lt;=2,G1902&gt;=8,H1902&gt;=8),"CAN'T LOSE THEM",AND(F1902&lt;=2,G1902&lt;=2,H1902&lt;=2),"HIBERNATING",TRUE(),"Other")</f>
        <v>CHAMPION</v>
      </c>
      <c r="K1902" s="1" t="n">
        <f aca="false">RANK(E1902,$E$7:$E$4378)+COUNTIF($E$7:E1902,E1902)-1</f>
        <v>4</v>
      </c>
    </row>
    <row r="1903" customFormat="false" ht="14.25" hidden="false" customHeight="true" outlineLevel="0" collapsed="false">
      <c r="A1903" s="51" t="n">
        <v>14912</v>
      </c>
      <c r="B1903" s="53" t="n">
        <v>40870.5201388889</v>
      </c>
      <c r="C1903" s="57" t="n">
        <f aca="false">INT($C$2)-INT(Table3[[#This Row],[Last Purchase Date]])</f>
        <v>17</v>
      </c>
      <c r="D1903" s="1" t="n">
        <v>3</v>
      </c>
      <c r="E1903" s="1" t="n">
        <v>841.52</v>
      </c>
      <c r="F1903" s="1" t="n">
        <f aca="false">ROUND((1-_xlfn.PERCENTRANK.INC($C$7:$C$4378,C1903))*9,0)</f>
        <v>7</v>
      </c>
      <c r="G1903" s="1" t="n">
        <f aca="false">ROUND(_xlfn.PERCENTRANK.INC($D$7:$D$4378,D1903)*9,0)</f>
        <v>4</v>
      </c>
      <c r="H1903" s="1" t="n">
        <f aca="false">ROUND(_xlfn.PERCENTRANK.INC($E$7:$E$4378,E1903)*9,0)</f>
        <v>5</v>
      </c>
      <c r="I1903" s="1" t="str">
        <f aca="false">CONCATENATE(F1903,G1903,H1903)</f>
        <v>745</v>
      </c>
      <c r="J1903" s="1" t="str">
        <f aca="false">_xlfn.IFS(AND(F1903&gt;=8,G1903&gt;=8,H1903&gt;=8),"CHAMPION",AND(F1903&gt;=6,G1903&gt;=7,H1903&gt;=6),"LOYAL CUSTOMER",AND(F1903&gt;=6,G1903&gt;=5,H1903&gt;=5),"POTENTIAL LOYALIST",AND(F1903&gt;=8,G1903&lt;=2,H1903&gt;=5),"NEW CUSTOMERS",AND(F1903&gt;=6,G1903&lt;=2,H1903&gt;=3),"PROMISING",AND(F1903&gt;=3,G1903&gt;=3,H1903&gt;=3),"NEED ATTENTION",AND(F1903&lt;=4,G1903&gt;=6,H1903&gt;=6),"AT RISK",AND(F1903&lt;=2,G1903&gt;=8,H1903&gt;=8),"CAN'T LOSE THEM",AND(F1903&lt;=2,G1903&lt;=2,H1903&lt;=2),"HIBERNATING",TRUE(),"Other")</f>
        <v>NEED ATTENTION</v>
      </c>
      <c r="K1903" s="1" t="n">
        <f aca="false">RANK(E1903,$E$7:$E$4378)+COUNTIF($E$7:E1903,E1903)-1</f>
        <v>1842</v>
      </c>
    </row>
    <row r="1904" customFormat="false" ht="14.25" hidden="false" customHeight="true" outlineLevel="0" collapsed="false">
      <c r="A1904" s="51" t="n">
        <v>14913</v>
      </c>
      <c r="B1904" s="53" t="n">
        <v>40851.3534722222</v>
      </c>
      <c r="C1904" s="57" t="n">
        <f aca="false">INT($C$2)-INT(Table3[[#This Row],[Last Purchase Date]])</f>
        <v>36</v>
      </c>
      <c r="D1904" s="1" t="n">
        <v>4</v>
      </c>
      <c r="E1904" s="1" t="n">
        <v>1227.43</v>
      </c>
      <c r="F1904" s="1" t="n">
        <f aca="false">ROUND((1-_xlfn.PERCENTRANK.INC($C$7:$C$4378,C1904))*9,0)</f>
        <v>5</v>
      </c>
      <c r="G1904" s="1" t="n">
        <f aca="false">ROUND(_xlfn.PERCENTRANK.INC($D$7:$D$4378,D1904)*9,0)</f>
        <v>5</v>
      </c>
      <c r="H1904" s="1" t="n">
        <f aca="false">ROUND(_xlfn.PERCENTRANK.INC($E$7:$E$4378,E1904)*9,0)</f>
        <v>6</v>
      </c>
      <c r="I1904" s="1" t="str">
        <f aca="false">CONCATENATE(F1904,G1904,H1904)</f>
        <v>556</v>
      </c>
      <c r="J1904" s="1" t="str">
        <f aca="false">_xlfn.IFS(AND(F1904&gt;=8,G1904&gt;=8,H1904&gt;=8),"CHAMPION",AND(F1904&gt;=6,G1904&gt;=7,H1904&gt;=6),"LOYAL CUSTOMER",AND(F1904&gt;=6,G1904&gt;=5,H1904&gt;=5),"POTENTIAL LOYALIST",AND(F1904&gt;=8,G1904&lt;=2,H1904&gt;=5),"NEW CUSTOMERS",AND(F1904&gt;=6,G1904&lt;=2,H1904&gt;=3),"PROMISING",AND(F1904&gt;=3,G1904&gt;=3,H1904&gt;=3),"NEED ATTENTION",AND(F1904&lt;=4,G1904&gt;=6,H1904&gt;=6),"AT RISK",AND(F1904&lt;=2,G1904&gt;=8,H1904&gt;=8),"CAN'T LOSE THEM",AND(F1904&lt;=2,G1904&lt;=2,H1904&lt;=2),"HIBERNATING",TRUE(),"Other")</f>
        <v>NEED ATTENTION</v>
      </c>
      <c r="K1904" s="1" t="n">
        <f aca="false">RANK(E1904,$E$7:$E$4378)+COUNTIF($E$7:E1904,E1904)-1</f>
        <v>1394</v>
      </c>
    </row>
    <row r="1905" customFormat="false" ht="14.25" hidden="false" customHeight="true" outlineLevel="0" collapsed="false">
      <c r="A1905" s="51" t="n">
        <v>14915</v>
      </c>
      <c r="B1905" s="53" t="n">
        <v>40801.4354166667</v>
      </c>
      <c r="C1905" s="57" t="n">
        <f aca="false">INT($C$2)-INT(Table3[[#This Row],[Last Purchase Date]])</f>
        <v>86</v>
      </c>
      <c r="D1905" s="1" t="n">
        <v>3</v>
      </c>
      <c r="E1905" s="1" t="n">
        <v>258.83</v>
      </c>
      <c r="F1905" s="1" t="n">
        <f aca="false">ROUND((1-_xlfn.PERCENTRANK.INC($C$7:$C$4378,C1905))*9,0)</f>
        <v>3</v>
      </c>
      <c r="G1905" s="1" t="n">
        <f aca="false">ROUND(_xlfn.PERCENTRANK.INC($D$7:$D$4378,D1905)*9,0)</f>
        <v>4</v>
      </c>
      <c r="H1905" s="1" t="n">
        <f aca="false">ROUND(_xlfn.PERCENTRANK.INC($E$7:$E$4378,E1905)*9,0)</f>
        <v>2</v>
      </c>
      <c r="I1905" s="1" t="str">
        <f aca="false">CONCATENATE(F1905,G1905,H1905)</f>
        <v>342</v>
      </c>
      <c r="J1905" s="1" t="str">
        <f aca="false">_xlfn.IFS(AND(F1905&gt;=8,G1905&gt;=8,H1905&gt;=8),"CHAMPION",AND(F1905&gt;=6,G1905&gt;=7,H1905&gt;=6),"LOYAL CUSTOMER",AND(F1905&gt;=6,G1905&gt;=5,H1905&gt;=5),"POTENTIAL LOYALIST",AND(F1905&gt;=8,G1905&lt;=2,H1905&gt;=5),"NEW CUSTOMERS",AND(F1905&gt;=6,G1905&lt;=2,H1905&gt;=3),"PROMISING",AND(F1905&gt;=3,G1905&gt;=3,H1905&gt;=3),"NEED ATTENTION",AND(F1905&lt;=4,G1905&gt;=6,H1905&gt;=6),"AT RISK",AND(F1905&lt;=2,G1905&gt;=8,H1905&gt;=8),"CAN'T LOSE THEM",AND(F1905&lt;=2,G1905&lt;=2,H1905&lt;=2),"HIBERNATING",TRUE(),"Other")</f>
        <v>Other</v>
      </c>
      <c r="K1905" s="1" t="n">
        <f aca="false">RANK(E1905,$E$7:$E$4378)+COUNTIF($E$7:E1905,E1905)-1</f>
        <v>3403</v>
      </c>
    </row>
    <row r="1906" customFormat="false" ht="14.25" hidden="false" customHeight="true" outlineLevel="0" collapsed="false">
      <c r="A1906" s="51" t="n">
        <v>14916</v>
      </c>
      <c r="B1906" s="53" t="n">
        <v>40816.3888888889</v>
      </c>
      <c r="C1906" s="57" t="n">
        <f aca="false">INT($C$2)-INT(Table3[[#This Row],[Last Purchase Date]])</f>
        <v>71</v>
      </c>
      <c r="D1906" s="1" t="n">
        <v>5</v>
      </c>
      <c r="E1906" s="1" t="n">
        <v>1264.84</v>
      </c>
      <c r="F1906" s="1" t="n">
        <f aca="false">ROUND((1-_xlfn.PERCENTRANK.INC($C$7:$C$4378,C1906))*9,0)</f>
        <v>4</v>
      </c>
      <c r="G1906" s="1" t="n">
        <f aca="false">ROUND(_xlfn.PERCENTRANK.INC($D$7:$D$4378,D1906)*9,0)</f>
        <v>6</v>
      </c>
      <c r="H1906" s="1" t="n">
        <f aca="false">ROUND(_xlfn.PERCENTRANK.INC($E$7:$E$4378,E1906)*9,0)</f>
        <v>6</v>
      </c>
      <c r="I1906" s="1" t="str">
        <f aca="false">CONCATENATE(F1906,G1906,H1906)</f>
        <v>466</v>
      </c>
      <c r="J1906" s="1" t="str">
        <f aca="false">_xlfn.IFS(AND(F1906&gt;=8,G1906&gt;=8,H1906&gt;=8),"CHAMPION",AND(F1906&gt;=6,G1906&gt;=7,H1906&gt;=6),"LOYAL CUSTOMER",AND(F1906&gt;=6,G1906&gt;=5,H1906&gt;=5),"POTENTIAL LOYALIST",AND(F1906&gt;=8,G1906&lt;=2,H1906&gt;=5),"NEW CUSTOMERS",AND(F1906&gt;=6,G1906&lt;=2,H1906&gt;=3),"PROMISING",AND(F1906&gt;=3,G1906&gt;=3,H1906&gt;=3),"NEED ATTENTION",AND(F1906&lt;=4,G1906&gt;=6,H1906&gt;=6),"AT RISK",AND(F1906&lt;=2,G1906&gt;=8,H1906&gt;=8),"CAN'T LOSE THEM",AND(F1906&lt;=2,G1906&lt;=2,H1906&lt;=2),"HIBERNATING",TRUE(),"Other")</f>
        <v>NEED ATTENTION</v>
      </c>
      <c r="K1906" s="1" t="n">
        <f aca="false">RANK(E1906,$E$7:$E$4378)+COUNTIF($E$7:E1906,E1906)-1</f>
        <v>1358</v>
      </c>
    </row>
    <row r="1907" customFormat="false" ht="14.25" hidden="false" customHeight="true" outlineLevel="0" collapsed="false">
      <c r="A1907" s="51" t="n">
        <v>14918</v>
      </c>
      <c r="B1907" s="53" t="n">
        <v>40771.4930555556</v>
      </c>
      <c r="C1907" s="57" t="n">
        <f aca="false">INT($C$2)-INT(Table3[[#This Row],[Last Purchase Date]])</f>
        <v>116</v>
      </c>
      <c r="D1907" s="1" t="n">
        <v>2</v>
      </c>
      <c r="E1907" s="1" t="n">
        <v>1610.15</v>
      </c>
      <c r="F1907" s="1" t="n">
        <f aca="false">ROUND((1-_xlfn.PERCENTRANK.INC($C$7:$C$4378,C1907))*9,0)</f>
        <v>3</v>
      </c>
      <c r="G1907" s="1" t="n">
        <f aca="false">ROUND(_xlfn.PERCENTRANK.INC($D$7:$D$4378,D1907)*9,0)</f>
        <v>3</v>
      </c>
      <c r="H1907" s="1" t="n">
        <f aca="false">ROUND(_xlfn.PERCENTRANK.INC($E$7:$E$4378,E1907)*9,0)</f>
        <v>7</v>
      </c>
      <c r="I1907" s="1" t="str">
        <f aca="false">CONCATENATE(F1907,G1907,H1907)</f>
        <v>337</v>
      </c>
      <c r="J1907" s="1" t="str">
        <f aca="false">_xlfn.IFS(AND(F1907&gt;=8,G1907&gt;=8,H1907&gt;=8),"CHAMPION",AND(F1907&gt;=6,G1907&gt;=7,H1907&gt;=6),"LOYAL CUSTOMER",AND(F1907&gt;=6,G1907&gt;=5,H1907&gt;=5),"POTENTIAL LOYALIST",AND(F1907&gt;=8,G1907&lt;=2,H1907&gt;=5),"NEW CUSTOMERS",AND(F1907&gt;=6,G1907&lt;=2,H1907&gt;=3),"PROMISING",AND(F1907&gt;=3,G1907&gt;=3,H1907&gt;=3),"NEED ATTENTION",AND(F1907&lt;=4,G1907&gt;=6,H1907&gt;=6),"AT RISK",AND(F1907&lt;=2,G1907&gt;=8,H1907&gt;=8),"CAN'T LOSE THEM",AND(F1907&lt;=2,G1907&lt;=2,H1907&lt;=2),"HIBERNATING",TRUE(),"Other")</f>
        <v>NEED ATTENTION</v>
      </c>
      <c r="K1907" s="1" t="n">
        <f aca="false">RANK(E1907,$E$7:$E$4378)+COUNTIF($E$7:E1907,E1907)-1</f>
        <v>1096</v>
      </c>
    </row>
    <row r="1908" customFormat="false" ht="14.25" hidden="false" customHeight="true" outlineLevel="0" collapsed="false">
      <c r="A1908" s="51" t="n">
        <v>14920</v>
      </c>
      <c r="B1908" s="53" t="n">
        <v>40674.4388888889</v>
      </c>
      <c r="C1908" s="57" t="n">
        <f aca="false">INT($C$2)-INT(Table3[[#This Row],[Last Purchase Date]])</f>
        <v>213</v>
      </c>
      <c r="D1908" s="1" t="n">
        <v>2</v>
      </c>
      <c r="E1908" s="1" t="n">
        <v>977.77</v>
      </c>
      <c r="F1908" s="1" t="n">
        <f aca="false">ROUND((1-_xlfn.PERCENTRANK.INC($C$7:$C$4378,C1908))*9,0)</f>
        <v>1</v>
      </c>
      <c r="G1908" s="1" t="n">
        <f aca="false">ROUND(_xlfn.PERCENTRANK.INC($D$7:$D$4378,D1908)*9,0)</f>
        <v>3</v>
      </c>
      <c r="H1908" s="1" t="n">
        <f aca="false">ROUND(_xlfn.PERCENTRANK.INC($E$7:$E$4378,E1908)*9,0)</f>
        <v>6</v>
      </c>
      <c r="I1908" s="1" t="str">
        <f aca="false">CONCATENATE(F1908,G1908,H1908)</f>
        <v>136</v>
      </c>
      <c r="J1908" s="1" t="str">
        <f aca="false">_xlfn.IFS(AND(F1908&gt;=8,G1908&gt;=8,H1908&gt;=8),"CHAMPION",AND(F1908&gt;=6,G1908&gt;=7,H1908&gt;=6),"LOYAL CUSTOMER",AND(F1908&gt;=6,G1908&gt;=5,H1908&gt;=5),"POTENTIAL LOYALIST",AND(F1908&gt;=8,G1908&lt;=2,H1908&gt;=5),"NEW CUSTOMERS",AND(F1908&gt;=6,G1908&lt;=2,H1908&gt;=3),"PROMISING",AND(F1908&gt;=3,G1908&gt;=3,H1908&gt;=3),"NEED ATTENTION",AND(F1908&lt;=4,G1908&gt;=6,H1908&gt;=6),"AT RISK",AND(F1908&lt;=2,G1908&gt;=8,H1908&gt;=8),"CAN'T LOSE THEM",AND(F1908&lt;=2,G1908&lt;=2,H1908&lt;=2),"HIBERNATING",TRUE(),"Other")</f>
        <v>Other</v>
      </c>
      <c r="K1908" s="1" t="n">
        <f aca="false">RANK(E1908,$E$7:$E$4378)+COUNTIF($E$7:E1908,E1908)-1</f>
        <v>1668</v>
      </c>
    </row>
    <row r="1909" customFormat="false" ht="14.25" hidden="false" customHeight="true" outlineLevel="0" collapsed="false">
      <c r="A1909" s="51" t="n">
        <v>14921</v>
      </c>
      <c r="B1909" s="53" t="n">
        <v>40856.5534722222</v>
      </c>
      <c r="C1909" s="57" t="n">
        <f aca="false">INT($C$2)-INT(Table3[[#This Row],[Last Purchase Date]])</f>
        <v>31</v>
      </c>
      <c r="D1909" s="1" t="n">
        <v>2</v>
      </c>
      <c r="E1909" s="1" t="n">
        <v>1316.07</v>
      </c>
      <c r="F1909" s="1" t="n">
        <f aca="false">ROUND((1-_xlfn.PERCENTRANK.INC($C$7:$C$4378,C1909))*9,0)</f>
        <v>6</v>
      </c>
      <c r="G1909" s="1" t="n">
        <f aca="false">ROUND(_xlfn.PERCENTRANK.INC($D$7:$D$4378,D1909)*9,0)</f>
        <v>3</v>
      </c>
      <c r="H1909" s="1" t="n">
        <f aca="false">ROUND(_xlfn.PERCENTRANK.INC($E$7:$E$4378,E1909)*9,0)</f>
        <v>6</v>
      </c>
      <c r="I1909" s="1" t="str">
        <f aca="false">CONCATENATE(F1909,G1909,H1909)</f>
        <v>636</v>
      </c>
      <c r="J1909" s="1" t="str">
        <f aca="false">_xlfn.IFS(AND(F1909&gt;=8,G1909&gt;=8,H1909&gt;=8),"CHAMPION",AND(F1909&gt;=6,G1909&gt;=7,H1909&gt;=6),"LOYAL CUSTOMER",AND(F1909&gt;=6,G1909&gt;=5,H1909&gt;=5),"POTENTIAL LOYALIST",AND(F1909&gt;=8,G1909&lt;=2,H1909&gt;=5),"NEW CUSTOMERS",AND(F1909&gt;=6,G1909&lt;=2,H1909&gt;=3),"PROMISING",AND(F1909&gt;=3,G1909&gt;=3,H1909&gt;=3),"NEED ATTENTION",AND(F1909&lt;=4,G1909&gt;=6,H1909&gt;=6),"AT RISK",AND(F1909&lt;=2,G1909&gt;=8,H1909&gt;=8),"CAN'T LOSE THEM",AND(F1909&lt;=2,G1909&lt;=2,H1909&lt;=2),"HIBERNATING",TRUE(),"Other")</f>
        <v>NEED ATTENTION</v>
      </c>
      <c r="K1909" s="1" t="n">
        <f aca="false">RANK(E1909,$E$7:$E$4378)+COUNTIF($E$7:E1909,E1909)-1</f>
        <v>1304</v>
      </c>
    </row>
    <row r="1910" customFormat="false" ht="14.25" hidden="false" customHeight="true" outlineLevel="0" collapsed="false">
      <c r="A1910" s="51" t="n">
        <v>14923</v>
      </c>
      <c r="B1910" s="53" t="n">
        <v>40836.49375</v>
      </c>
      <c r="C1910" s="57" t="n">
        <f aca="false">INT($C$2)-INT(Table3[[#This Row],[Last Purchase Date]])</f>
        <v>51</v>
      </c>
      <c r="D1910" s="1" t="n">
        <v>1</v>
      </c>
      <c r="E1910" s="1" t="n">
        <v>749.1</v>
      </c>
      <c r="F1910" s="1" t="n">
        <f aca="false">ROUND((1-_xlfn.PERCENTRANK.INC($C$7:$C$4378,C1910))*9,0)</f>
        <v>5</v>
      </c>
      <c r="G1910" s="1" t="n">
        <f aca="false">ROUND(_xlfn.PERCENTRANK.INC($D$7:$D$4378,D1910)*9,0)</f>
        <v>0</v>
      </c>
      <c r="H1910" s="1" t="n">
        <f aca="false">ROUND(_xlfn.PERCENTRANK.INC($E$7:$E$4378,E1910)*9,0)</f>
        <v>5</v>
      </c>
      <c r="I1910" s="1" t="str">
        <f aca="false">CONCATENATE(F1910,G1910,H1910)</f>
        <v>505</v>
      </c>
      <c r="J1910" s="1" t="str">
        <f aca="false">_xlfn.IFS(AND(F1910&gt;=8,G1910&gt;=8,H1910&gt;=8),"CHAMPION",AND(F1910&gt;=6,G1910&gt;=7,H1910&gt;=6),"LOYAL CUSTOMER",AND(F1910&gt;=6,G1910&gt;=5,H1910&gt;=5),"POTENTIAL LOYALIST",AND(F1910&gt;=8,G1910&lt;=2,H1910&gt;=5),"NEW CUSTOMERS",AND(F1910&gt;=6,G1910&lt;=2,H1910&gt;=3),"PROMISING",AND(F1910&gt;=3,G1910&gt;=3,H1910&gt;=3),"NEED ATTENTION",AND(F1910&lt;=4,G1910&gt;=6,H1910&gt;=6),"AT RISK",AND(F1910&lt;=2,G1910&gt;=8,H1910&gt;=8),"CAN'T LOSE THEM",AND(F1910&lt;=2,G1910&lt;=2,H1910&lt;=2),"HIBERNATING",TRUE(),"Other")</f>
        <v>Other</v>
      </c>
      <c r="K1910" s="1" t="n">
        <f aca="false">RANK(E1910,$E$7:$E$4378)+COUNTIF($E$7:E1910,E1910)-1</f>
        <v>1975</v>
      </c>
    </row>
    <row r="1911" customFormat="false" ht="14.25" hidden="false" customHeight="true" outlineLevel="0" collapsed="false">
      <c r="A1911" s="51" t="n">
        <v>14924</v>
      </c>
      <c r="B1911" s="53" t="n">
        <v>40641.3923611111</v>
      </c>
      <c r="C1911" s="57" t="n">
        <f aca="false">INT($C$2)-INT(Table3[[#This Row],[Last Purchase Date]])</f>
        <v>246</v>
      </c>
      <c r="D1911" s="1" t="n">
        <v>1</v>
      </c>
      <c r="E1911" s="1" t="n">
        <v>310.05</v>
      </c>
      <c r="F1911" s="1" t="n">
        <f aca="false">ROUND((1-_xlfn.PERCENTRANK.INC($C$7:$C$4378,C1911))*9,0)</f>
        <v>1</v>
      </c>
      <c r="G1911" s="1" t="n">
        <f aca="false">ROUND(_xlfn.PERCENTRANK.INC($D$7:$D$4378,D1911)*9,0)</f>
        <v>0</v>
      </c>
      <c r="H1911" s="1" t="n">
        <f aca="false">ROUND(_xlfn.PERCENTRANK.INC($E$7:$E$4378,E1911)*9,0)</f>
        <v>2</v>
      </c>
      <c r="I1911" s="1" t="str">
        <f aca="false">CONCATENATE(F1911,G1911,H1911)</f>
        <v>102</v>
      </c>
      <c r="J1911" s="1" t="str">
        <f aca="false">_xlfn.IFS(AND(F1911&gt;=8,G1911&gt;=8,H1911&gt;=8),"CHAMPION",AND(F1911&gt;=6,G1911&gt;=7,H1911&gt;=6),"LOYAL CUSTOMER",AND(F1911&gt;=6,G1911&gt;=5,H1911&gt;=5),"POTENTIAL LOYALIST",AND(F1911&gt;=8,G1911&lt;=2,H1911&gt;=5),"NEW CUSTOMERS",AND(F1911&gt;=6,G1911&lt;=2,H1911&gt;=3),"PROMISING",AND(F1911&gt;=3,G1911&gt;=3,H1911&gt;=3),"NEED ATTENTION",AND(F1911&lt;=4,G1911&gt;=6,H1911&gt;=6),"AT RISK",AND(F1911&lt;=2,G1911&gt;=8,H1911&gt;=8),"CAN'T LOSE THEM",AND(F1911&lt;=2,G1911&lt;=2,H1911&lt;=2),"HIBERNATING",TRUE(),"Other")</f>
        <v>HIBERNATING</v>
      </c>
      <c r="K1911" s="1" t="n">
        <f aca="false">RANK(E1911,$E$7:$E$4378)+COUNTIF($E$7:E1911,E1911)-1</f>
        <v>3193</v>
      </c>
    </row>
    <row r="1912" customFormat="false" ht="14.25" hidden="false" customHeight="true" outlineLevel="0" collapsed="false">
      <c r="A1912" s="51" t="n">
        <v>14929</v>
      </c>
      <c r="B1912" s="53" t="n">
        <v>40854.7229166667</v>
      </c>
      <c r="C1912" s="57" t="n">
        <f aca="false">INT($C$2)-INT(Table3[[#This Row],[Last Purchase Date]])</f>
        <v>33</v>
      </c>
      <c r="D1912" s="1" t="n">
        <v>1</v>
      </c>
      <c r="E1912" s="1" t="n">
        <v>223.88</v>
      </c>
      <c r="F1912" s="1" t="n">
        <f aca="false">ROUND((1-_xlfn.PERCENTRANK.INC($C$7:$C$4378,C1912))*9,0)</f>
        <v>5</v>
      </c>
      <c r="G1912" s="1" t="n">
        <f aca="false">ROUND(_xlfn.PERCENTRANK.INC($D$7:$D$4378,D1912)*9,0)</f>
        <v>0</v>
      </c>
      <c r="H1912" s="1" t="n">
        <f aca="false">ROUND(_xlfn.PERCENTRANK.INC($E$7:$E$4378,E1912)*9,0)</f>
        <v>2</v>
      </c>
      <c r="I1912" s="1" t="str">
        <f aca="false">CONCATENATE(F1912,G1912,H1912)</f>
        <v>502</v>
      </c>
      <c r="J1912" s="1" t="str">
        <f aca="false">_xlfn.IFS(AND(F1912&gt;=8,G1912&gt;=8,H1912&gt;=8),"CHAMPION",AND(F1912&gt;=6,G1912&gt;=7,H1912&gt;=6),"LOYAL CUSTOMER",AND(F1912&gt;=6,G1912&gt;=5,H1912&gt;=5),"POTENTIAL LOYALIST",AND(F1912&gt;=8,G1912&lt;=2,H1912&gt;=5),"NEW CUSTOMERS",AND(F1912&gt;=6,G1912&lt;=2,H1912&gt;=3),"PROMISING",AND(F1912&gt;=3,G1912&gt;=3,H1912&gt;=3),"NEED ATTENTION",AND(F1912&lt;=4,G1912&gt;=6,H1912&gt;=6),"AT RISK",AND(F1912&lt;=2,G1912&gt;=8,H1912&gt;=8),"CAN'T LOSE THEM",AND(F1912&lt;=2,G1912&lt;=2,H1912&lt;=2),"HIBERNATING",TRUE(),"Other")</f>
        <v>Other</v>
      </c>
      <c r="K1912" s="1" t="n">
        <f aca="false">RANK(E1912,$E$7:$E$4378)+COUNTIF($E$7:E1912,E1912)-1</f>
        <v>3545</v>
      </c>
    </row>
    <row r="1913" customFormat="false" ht="14.25" hidden="false" customHeight="true" outlineLevel="0" collapsed="false">
      <c r="A1913" s="51" t="n">
        <v>14930</v>
      </c>
      <c r="B1913" s="53" t="n">
        <v>40778.4381944445</v>
      </c>
      <c r="C1913" s="57" t="n">
        <f aca="false">INT($C$2)-INT(Table3[[#This Row],[Last Purchase Date]])</f>
        <v>109</v>
      </c>
      <c r="D1913" s="1" t="n">
        <v>3</v>
      </c>
      <c r="E1913" s="1" t="n">
        <v>2372.86</v>
      </c>
      <c r="F1913" s="1" t="n">
        <f aca="false">ROUND((1-_xlfn.PERCENTRANK.INC($C$7:$C$4378,C1913))*9,0)</f>
        <v>3</v>
      </c>
      <c r="G1913" s="1" t="n">
        <f aca="false">ROUND(_xlfn.PERCENTRANK.INC($D$7:$D$4378,D1913)*9,0)</f>
        <v>4</v>
      </c>
      <c r="H1913" s="1" t="n">
        <f aca="false">ROUND(_xlfn.PERCENTRANK.INC($E$7:$E$4378,E1913)*9,0)</f>
        <v>8</v>
      </c>
      <c r="I1913" s="1" t="str">
        <f aca="false">CONCATENATE(F1913,G1913,H1913)</f>
        <v>348</v>
      </c>
      <c r="J1913" s="1" t="str">
        <f aca="false">_xlfn.IFS(AND(F1913&gt;=8,G1913&gt;=8,H1913&gt;=8),"CHAMPION",AND(F1913&gt;=6,G1913&gt;=7,H1913&gt;=6),"LOYAL CUSTOMER",AND(F1913&gt;=6,G1913&gt;=5,H1913&gt;=5),"POTENTIAL LOYALIST",AND(F1913&gt;=8,G1913&lt;=2,H1913&gt;=5),"NEW CUSTOMERS",AND(F1913&gt;=6,G1913&lt;=2,H1913&gt;=3),"PROMISING",AND(F1913&gt;=3,G1913&gt;=3,H1913&gt;=3),"NEED ATTENTION",AND(F1913&lt;=4,G1913&gt;=6,H1913&gt;=6),"AT RISK",AND(F1913&lt;=2,G1913&gt;=8,H1913&gt;=8),"CAN'T LOSE THEM",AND(F1913&lt;=2,G1913&lt;=2,H1913&lt;=2),"HIBERNATING",TRUE(),"Other")</f>
        <v>NEED ATTENTION</v>
      </c>
      <c r="K1913" s="1" t="n">
        <f aca="false">RANK(E1913,$E$7:$E$4378)+COUNTIF($E$7:E1913,E1913)-1</f>
        <v>718</v>
      </c>
    </row>
    <row r="1914" customFormat="false" ht="14.25" hidden="false" customHeight="true" outlineLevel="0" collapsed="false">
      <c r="A1914" s="51" t="n">
        <v>14931</v>
      </c>
      <c r="B1914" s="53" t="n">
        <v>40882.4298611111</v>
      </c>
      <c r="C1914" s="57" t="n">
        <f aca="false">INT($C$2)-INT(Table3[[#This Row],[Last Purchase Date]])</f>
        <v>5</v>
      </c>
      <c r="D1914" s="1" t="n">
        <v>6</v>
      </c>
      <c r="E1914" s="1" t="n">
        <v>964.68</v>
      </c>
      <c r="F1914" s="1" t="n">
        <f aca="false">ROUND((1-_xlfn.PERCENTRANK.INC($C$7:$C$4378,C1914))*9,0)</f>
        <v>8</v>
      </c>
      <c r="G1914" s="1" t="n">
        <f aca="false">ROUND(_xlfn.PERCENTRANK.INC($D$7:$D$4378,D1914)*9,0)</f>
        <v>7</v>
      </c>
      <c r="H1914" s="1" t="n">
        <f aca="false">ROUND(_xlfn.PERCENTRANK.INC($E$7:$E$4378,E1914)*9,0)</f>
        <v>6</v>
      </c>
      <c r="I1914" s="1" t="str">
        <f aca="false">CONCATENATE(F1914,G1914,H1914)</f>
        <v>876</v>
      </c>
      <c r="J1914" s="1" t="str">
        <f aca="false">_xlfn.IFS(AND(F1914&gt;=8,G1914&gt;=8,H1914&gt;=8),"CHAMPION",AND(F1914&gt;=6,G1914&gt;=7,H1914&gt;=6),"LOYAL CUSTOMER",AND(F1914&gt;=6,G1914&gt;=5,H1914&gt;=5),"POTENTIAL LOYALIST",AND(F1914&gt;=8,G1914&lt;=2,H1914&gt;=5),"NEW CUSTOMERS",AND(F1914&gt;=6,G1914&lt;=2,H1914&gt;=3),"PROMISING",AND(F1914&gt;=3,G1914&gt;=3,H1914&gt;=3),"NEED ATTENTION",AND(F1914&lt;=4,G1914&gt;=6,H1914&gt;=6),"AT RISK",AND(F1914&lt;=2,G1914&gt;=8,H1914&gt;=8),"CAN'T LOSE THEM",AND(F1914&lt;=2,G1914&lt;=2,H1914&lt;=2),"HIBERNATING",TRUE(),"Other")</f>
        <v>LOYAL CUSTOMER</v>
      </c>
      <c r="K1914" s="1" t="n">
        <f aca="false">RANK(E1914,$E$7:$E$4378)+COUNTIF($E$7:E1914,E1914)-1</f>
        <v>1682</v>
      </c>
    </row>
    <row r="1915" customFormat="false" ht="14.25" hidden="false" customHeight="true" outlineLevel="0" collapsed="false">
      <c r="A1915" s="51" t="n">
        <v>14932</v>
      </c>
      <c r="B1915" s="53" t="n">
        <v>40521.4916666667</v>
      </c>
      <c r="C1915" s="57" t="n">
        <f aca="false">INT($C$2)-INT(Table3[[#This Row],[Last Purchase Date]])</f>
        <v>366</v>
      </c>
      <c r="D1915" s="1" t="n">
        <v>1</v>
      </c>
      <c r="E1915" s="1" t="n">
        <v>363.53</v>
      </c>
      <c r="F1915" s="1" t="n">
        <f aca="false">ROUND((1-_xlfn.PERCENTRANK.INC($C$7:$C$4378,C1915))*9,0)</f>
        <v>0</v>
      </c>
      <c r="G1915" s="1" t="n">
        <f aca="false">ROUND(_xlfn.PERCENTRANK.INC($D$7:$D$4378,D1915)*9,0)</f>
        <v>0</v>
      </c>
      <c r="H1915" s="1" t="n">
        <f aca="false">ROUND(_xlfn.PERCENTRANK.INC($E$7:$E$4378,E1915)*9,0)</f>
        <v>3</v>
      </c>
      <c r="I1915" s="1" t="str">
        <f aca="false">CONCATENATE(F1915,G1915,H1915)</f>
        <v>003</v>
      </c>
      <c r="J1915" s="1" t="str">
        <f aca="false">_xlfn.IFS(AND(F1915&gt;=8,G1915&gt;=8,H1915&gt;=8),"CHAMPION",AND(F1915&gt;=6,G1915&gt;=7,H1915&gt;=6),"LOYAL CUSTOMER",AND(F1915&gt;=6,G1915&gt;=5,H1915&gt;=5),"POTENTIAL LOYALIST",AND(F1915&gt;=8,G1915&lt;=2,H1915&gt;=5),"NEW CUSTOMERS",AND(F1915&gt;=6,G1915&lt;=2,H1915&gt;=3),"PROMISING",AND(F1915&gt;=3,G1915&gt;=3,H1915&gt;=3),"NEED ATTENTION",AND(F1915&lt;=4,G1915&gt;=6,H1915&gt;=6),"AT RISK",AND(F1915&lt;=2,G1915&gt;=8,H1915&gt;=8),"CAN'T LOSE THEM",AND(F1915&lt;=2,G1915&lt;=2,H1915&lt;=2),"HIBERNATING",TRUE(),"Other")</f>
        <v>Other</v>
      </c>
      <c r="K1915" s="1" t="n">
        <f aca="false">RANK(E1915,$E$7:$E$4378)+COUNTIF($E$7:E1915,E1915)-1</f>
        <v>2954</v>
      </c>
    </row>
    <row r="1916" customFormat="false" ht="14.25" hidden="false" customHeight="true" outlineLevel="0" collapsed="false">
      <c r="A1916" s="51" t="n">
        <v>14934</v>
      </c>
      <c r="B1916" s="53" t="n">
        <v>40814.40625</v>
      </c>
      <c r="C1916" s="57" t="n">
        <f aca="false">INT($C$2)-INT(Table3[[#This Row],[Last Purchase Date]])</f>
        <v>73</v>
      </c>
      <c r="D1916" s="1" t="n">
        <v>3</v>
      </c>
      <c r="E1916" s="1" t="n">
        <v>1888.84</v>
      </c>
      <c r="F1916" s="1" t="n">
        <f aca="false">ROUND((1-_xlfn.PERCENTRANK.INC($C$7:$C$4378,C1916))*9,0)</f>
        <v>4</v>
      </c>
      <c r="G1916" s="1" t="n">
        <f aca="false">ROUND(_xlfn.PERCENTRANK.INC($D$7:$D$4378,D1916)*9,0)</f>
        <v>4</v>
      </c>
      <c r="H1916" s="1" t="n">
        <f aca="false">ROUND(_xlfn.PERCENTRANK.INC($E$7:$E$4378,E1916)*9,0)</f>
        <v>7</v>
      </c>
      <c r="I1916" s="1" t="str">
        <f aca="false">CONCATENATE(F1916,G1916,H1916)</f>
        <v>447</v>
      </c>
      <c r="J1916" s="1" t="str">
        <f aca="false">_xlfn.IFS(AND(F1916&gt;=8,G1916&gt;=8,H1916&gt;=8),"CHAMPION",AND(F1916&gt;=6,G1916&gt;=7,H1916&gt;=6),"LOYAL CUSTOMER",AND(F1916&gt;=6,G1916&gt;=5,H1916&gt;=5),"POTENTIAL LOYALIST",AND(F1916&gt;=8,G1916&lt;=2,H1916&gt;=5),"NEW CUSTOMERS",AND(F1916&gt;=6,G1916&lt;=2,H1916&gt;=3),"PROMISING",AND(F1916&gt;=3,G1916&gt;=3,H1916&gt;=3),"NEED ATTENTION",AND(F1916&lt;=4,G1916&gt;=6,H1916&gt;=6),"AT RISK",AND(F1916&lt;=2,G1916&gt;=8,H1916&gt;=8),"CAN'T LOSE THEM",AND(F1916&lt;=2,G1916&lt;=2,H1916&lt;=2),"HIBERNATING",TRUE(),"Other")</f>
        <v>NEED ATTENTION</v>
      </c>
      <c r="K1916" s="1" t="n">
        <f aca="false">RANK(E1916,$E$7:$E$4378)+COUNTIF($E$7:E1916,E1916)-1</f>
        <v>925</v>
      </c>
    </row>
    <row r="1917" customFormat="false" ht="14.25" hidden="false" customHeight="true" outlineLevel="0" collapsed="false">
      <c r="A1917" s="51" t="n">
        <v>14935</v>
      </c>
      <c r="B1917" s="53" t="n">
        <v>40589.6138888889</v>
      </c>
      <c r="C1917" s="57" t="n">
        <f aca="false">INT($C$2)-INT(Table3[[#This Row],[Last Purchase Date]])</f>
        <v>298</v>
      </c>
      <c r="D1917" s="1" t="n">
        <v>1</v>
      </c>
      <c r="E1917" s="1" t="n">
        <v>1784.71</v>
      </c>
      <c r="F1917" s="1" t="n">
        <f aca="false">ROUND((1-_xlfn.PERCENTRANK.INC($C$7:$C$4378,C1917))*9,0)</f>
        <v>1</v>
      </c>
      <c r="G1917" s="1" t="n">
        <f aca="false">ROUND(_xlfn.PERCENTRANK.INC($D$7:$D$4378,D1917)*9,0)</f>
        <v>0</v>
      </c>
      <c r="H1917" s="1" t="n">
        <f aca="false">ROUND(_xlfn.PERCENTRANK.INC($E$7:$E$4378,E1917)*9,0)</f>
        <v>7</v>
      </c>
      <c r="I1917" s="1" t="str">
        <f aca="false">CONCATENATE(F1917,G1917,H1917)</f>
        <v>107</v>
      </c>
      <c r="J1917" s="1" t="str">
        <f aca="false">_xlfn.IFS(AND(F1917&gt;=8,G1917&gt;=8,H1917&gt;=8),"CHAMPION",AND(F1917&gt;=6,G1917&gt;=7,H1917&gt;=6),"LOYAL CUSTOMER",AND(F1917&gt;=6,G1917&gt;=5,H1917&gt;=5),"POTENTIAL LOYALIST",AND(F1917&gt;=8,G1917&lt;=2,H1917&gt;=5),"NEW CUSTOMERS",AND(F1917&gt;=6,G1917&lt;=2,H1917&gt;=3),"PROMISING",AND(F1917&gt;=3,G1917&gt;=3,H1917&gt;=3),"NEED ATTENTION",AND(F1917&lt;=4,G1917&gt;=6,H1917&gt;=6),"AT RISK",AND(F1917&lt;=2,G1917&gt;=8,H1917&gt;=8),"CAN'T LOSE THEM",AND(F1917&lt;=2,G1917&lt;=2,H1917&lt;=2),"HIBERNATING",TRUE(),"Other")</f>
        <v>Other</v>
      </c>
      <c r="K1917" s="1" t="n">
        <f aca="false">RANK(E1917,$E$7:$E$4378)+COUNTIF($E$7:E1917,E1917)-1</f>
        <v>987</v>
      </c>
    </row>
    <row r="1918" customFormat="false" ht="14.25" hidden="false" customHeight="true" outlineLevel="0" collapsed="false">
      <c r="A1918" s="51" t="n">
        <v>14936</v>
      </c>
      <c r="B1918" s="53" t="n">
        <v>40877.6298611111</v>
      </c>
      <c r="C1918" s="57" t="n">
        <f aca="false">INT($C$2)-INT(Table3[[#This Row],[Last Purchase Date]])</f>
        <v>10</v>
      </c>
      <c r="D1918" s="1" t="n">
        <v>9</v>
      </c>
      <c r="E1918" s="1" t="n">
        <v>8117.42</v>
      </c>
      <c r="F1918" s="1" t="n">
        <f aca="false">ROUND((1-_xlfn.PERCENTRANK.INC($C$7:$C$4378,C1918))*9,0)</f>
        <v>8</v>
      </c>
      <c r="G1918" s="1" t="n">
        <f aca="false">ROUND(_xlfn.PERCENTRANK.INC($D$7:$D$4378,D1918)*9,0)</f>
        <v>8</v>
      </c>
      <c r="H1918" s="1" t="n">
        <f aca="false">ROUND(_xlfn.PERCENTRANK.INC($E$7:$E$4378,E1918)*9,0)</f>
        <v>9</v>
      </c>
      <c r="I1918" s="1" t="str">
        <f aca="false">CONCATENATE(F1918,G1918,H1918)</f>
        <v>889</v>
      </c>
      <c r="J1918" s="1" t="str">
        <f aca="false">_xlfn.IFS(AND(F1918&gt;=8,G1918&gt;=8,H1918&gt;=8),"CHAMPION",AND(F1918&gt;=6,G1918&gt;=7,H1918&gt;=6),"LOYAL CUSTOMER",AND(F1918&gt;=6,G1918&gt;=5,H1918&gt;=5),"POTENTIAL LOYALIST",AND(F1918&gt;=8,G1918&lt;=2,H1918&gt;=5),"NEW CUSTOMERS",AND(F1918&gt;=6,G1918&lt;=2,H1918&gt;=3),"PROMISING",AND(F1918&gt;=3,G1918&gt;=3,H1918&gt;=3),"NEED ATTENTION",AND(F1918&lt;=4,G1918&gt;=6,H1918&gt;=6),"AT RISK",AND(F1918&lt;=2,G1918&gt;=8,H1918&gt;=8),"CAN'T LOSE THEM",AND(F1918&lt;=2,G1918&lt;=2,H1918&lt;=2),"HIBERNATING",TRUE(),"Other")</f>
        <v>CHAMPION</v>
      </c>
      <c r="K1918" s="1" t="n">
        <f aca="false">RANK(E1918,$E$7:$E$4378)+COUNTIF($E$7:E1918,E1918)-1</f>
        <v>125</v>
      </c>
    </row>
    <row r="1919" customFormat="false" ht="14.25" hidden="false" customHeight="true" outlineLevel="0" collapsed="false">
      <c r="A1919" s="51" t="n">
        <v>14937</v>
      </c>
      <c r="B1919" s="53" t="n">
        <v>40830.5201388889</v>
      </c>
      <c r="C1919" s="57" t="n">
        <f aca="false">INT($C$2)-INT(Table3[[#This Row],[Last Purchase Date]])</f>
        <v>57</v>
      </c>
      <c r="D1919" s="1" t="n">
        <v>4</v>
      </c>
      <c r="E1919" s="1" t="n">
        <v>1617.63</v>
      </c>
      <c r="F1919" s="1" t="n">
        <f aca="false">ROUND((1-_xlfn.PERCENTRANK.INC($C$7:$C$4378,C1919))*9,0)</f>
        <v>4</v>
      </c>
      <c r="G1919" s="1" t="n">
        <f aca="false">ROUND(_xlfn.PERCENTRANK.INC($D$7:$D$4378,D1919)*9,0)</f>
        <v>5</v>
      </c>
      <c r="H1919" s="1" t="n">
        <f aca="false">ROUND(_xlfn.PERCENTRANK.INC($E$7:$E$4378,E1919)*9,0)</f>
        <v>7</v>
      </c>
      <c r="I1919" s="1" t="str">
        <f aca="false">CONCATENATE(F1919,G1919,H1919)</f>
        <v>457</v>
      </c>
      <c r="J1919" s="1" t="str">
        <f aca="false">_xlfn.IFS(AND(F1919&gt;=8,G1919&gt;=8,H1919&gt;=8),"CHAMPION",AND(F1919&gt;=6,G1919&gt;=7,H1919&gt;=6),"LOYAL CUSTOMER",AND(F1919&gt;=6,G1919&gt;=5,H1919&gt;=5),"POTENTIAL LOYALIST",AND(F1919&gt;=8,G1919&lt;=2,H1919&gt;=5),"NEW CUSTOMERS",AND(F1919&gt;=6,G1919&lt;=2,H1919&gt;=3),"PROMISING",AND(F1919&gt;=3,G1919&gt;=3,H1919&gt;=3),"NEED ATTENTION",AND(F1919&lt;=4,G1919&gt;=6,H1919&gt;=6),"AT RISK",AND(F1919&lt;=2,G1919&gt;=8,H1919&gt;=8),"CAN'T LOSE THEM",AND(F1919&lt;=2,G1919&lt;=2,H1919&lt;=2),"HIBERNATING",TRUE(),"Other")</f>
        <v>NEED ATTENTION</v>
      </c>
      <c r="K1919" s="1" t="n">
        <f aca="false">RANK(E1919,$E$7:$E$4378)+COUNTIF($E$7:E1919,E1919)-1</f>
        <v>1090</v>
      </c>
    </row>
    <row r="1920" customFormat="false" ht="14.25" hidden="false" customHeight="true" outlineLevel="0" collapsed="false">
      <c r="A1920" s="51" t="n">
        <v>14944</v>
      </c>
      <c r="B1920" s="53" t="n">
        <v>40857.3819444445</v>
      </c>
      <c r="C1920" s="57" t="n">
        <f aca="false">INT($C$2)-INT(Table3[[#This Row],[Last Purchase Date]])</f>
        <v>30</v>
      </c>
      <c r="D1920" s="1" t="n">
        <v>14</v>
      </c>
      <c r="E1920" s="1" t="n">
        <v>5842.95</v>
      </c>
      <c r="F1920" s="1" t="n">
        <f aca="false">ROUND((1-_xlfn.PERCENTRANK.INC($C$7:$C$4378,C1920))*9,0)</f>
        <v>6</v>
      </c>
      <c r="G1920" s="1" t="n">
        <f aca="false">ROUND(_xlfn.PERCENTRANK.INC($D$7:$D$4378,D1920)*9,0)</f>
        <v>8</v>
      </c>
      <c r="H1920" s="1" t="n">
        <f aca="false">ROUND(_xlfn.PERCENTRANK.INC($E$7:$E$4378,E1920)*9,0)</f>
        <v>9</v>
      </c>
      <c r="I1920" s="1" t="str">
        <f aca="false">CONCATENATE(F1920,G1920,H1920)</f>
        <v>689</v>
      </c>
      <c r="J1920" s="1" t="str">
        <f aca="false">_xlfn.IFS(AND(F1920&gt;=8,G1920&gt;=8,H1920&gt;=8),"CHAMPION",AND(F1920&gt;=6,G1920&gt;=7,H1920&gt;=6),"LOYAL CUSTOMER",AND(F1920&gt;=6,G1920&gt;=5,H1920&gt;=5),"POTENTIAL LOYALIST",AND(F1920&gt;=8,G1920&lt;=2,H1920&gt;=5),"NEW CUSTOMERS",AND(F1920&gt;=6,G1920&lt;=2,H1920&gt;=3),"PROMISING",AND(F1920&gt;=3,G1920&gt;=3,H1920&gt;=3),"NEED ATTENTION",AND(F1920&lt;=4,G1920&gt;=6,H1920&gt;=6),"AT RISK",AND(F1920&lt;=2,G1920&gt;=8,H1920&gt;=8),"CAN'T LOSE THEM",AND(F1920&lt;=2,G1920&lt;=2,H1920&lt;=2),"HIBERNATING",TRUE(),"Other")</f>
        <v>LOYAL CUSTOMER</v>
      </c>
      <c r="K1920" s="1" t="n">
        <f aca="false">RANK(E1920,$E$7:$E$4378)+COUNTIF($E$7:E1920,E1920)-1</f>
        <v>205</v>
      </c>
    </row>
    <row r="1921" customFormat="false" ht="14.25" hidden="false" customHeight="true" outlineLevel="0" collapsed="false">
      <c r="A1921" s="51" t="n">
        <v>14946</v>
      </c>
      <c r="B1921" s="53" t="n">
        <v>40872.5645833333</v>
      </c>
      <c r="C1921" s="57" t="n">
        <f aca="false">INT($C$2)-INT(Table3[[#This Row],[Last Purchase Date]])</f>
        <v>15</v>
      </c>
      <c r="D1921" s="1" t="n">
        <v>1</v>
      </c>
      <c r="E1921" s="1" t="n">
        <v>100.9</v>
      </c>
      <c r="F1921" s="1" t="n">
        <f aca="false">ROUND((1-_xlfn.PERCENTRANK.INC($C$7:$C$4378,C1921))*9,0)</f>
        <v>7</v>
      </c>
      <c r="G1921" s="1" t="n">
        <f aca="false">ROUND(_xlfn.PERCENTRANK.INC($D$7:$D$4378,D1921)*9,0)</f>
        <v>0</v>
      </c>
      <c r="H1921" s="1" t="n">
        <f aca="false">ROUND(_xlfn.PERCENTRANK.INC($E$7:$E$4378,E1921)*9,0)</f>
        <v>0</v>
      </c>
      <c r="I1921" s="1" t="str">
        <f aca="false">CONCATENATE(F1921,G1921,H1921)</f>
        <v>700</v>
      </c>
      <c r="J1921" s="1" t="str">
        <f aca="false">_xlfn.IFS(AND(F1921&gt;=8,G1921&gt;=8,H1921&gt;=8),"CHAMPION",AND(F1921&gt;=6,G1921&gt;=7,H1921&gt;=6),"LOYAL CUSTOMER",AND(F1921&gt;=6,G1921&gt;=5,H1921&gt;=5),"POTENTIAL LOYALIST",AND(F1921&gt;=8,G1921&lt;=2,H1921&gt;=5),"NEW CUSTOMERS",AND(F1921&gt;=6,G1921&lt;=2,H1921&gt;=3),"PROMISING",AND(F1921&gt;=3,G1921&gt;=3,H1921&gt;=3),"NEED ATTENTION",AND(F1921&lt;=4,G1921&gt;=6,H1921&gt;=6),"AT RISK",AND(F1921&lt;=2,G1921&gt;=8,H1921&gt;=8),"CAN'T LOSE THEM",AND(F1921&lt;=2,G1921&lt;=2,H1921&lt;=2),"HIBERNATING",TRUE(),"Other")</f>
        <v>Other</v>
      </c>
      <c r="K1921" s="1" t="n">
        <f aca="false">RANK(E1921,$E$7:$E$4378)+COUNTIF($E$7:E1921,E1921)-1</f>
        <v>4155</v>
      </c>
    </row>
    <row r="1922" customFormat="false" ht="14.25" hidden="false" customHeight="true" outlineLevel="0" collapsed="false">
      <c r="A1922" s="51" t="n">
        <v>14947</v>
      </c>
      <c r="B1922" s="53" t="n">
        <v>40814.6583333333</v>
      </c>
      <c r="C1922" s="57" t="n">
        <f aca="false">INT($C$2)-INT(Table3[[#This Row],[Last Purchase Date]])</f>
        <v>73</v>
      </c>
      <c r="D1922" s="1" t="n">
        <v>2</v>
      </c>
      <c r="E1922" s="1" t="n">
        <v>290.82</v>
      </c>
      <c r="F1922" s="1" t="n">
        <f aca="false">ROUND((1-_xlfn.PERCENTRANK.INC($C$7:$C$4378,C1922))*9,0)</f>
        <v>4</v>
      </c>
      <c r="G1922" s="1" t="n">
        <f aca="false">ROUND(_xlfn.PERCENTRANK.INC($D$7:$D$4378,D1922)*9,0)</f>
        <v>3</v>
      </c>
      <c r="H1922" s="1" t="n">
        <f aca="false">ROUND(_xlfn.PERCENTRANK.INC($E$7:$E$4378,E1922)*9,0)</f>
        <v>2</v>
      </c>
      <c r="I1922" s="1" t="str">
        <f aca="false">CONCATENATE(F1922,G1922,H1922)</f>
        <v>432</v>
      </c>
      <c r="J1922" s="1" t="str">
        <f aca="false">_xlfn.IFS(AND(F1922&gt;=8,G1922&gt;=8,H1922&gt;=8),"CHAMPION",AND(F1922&gt;=6,G1922&gt;=7,H1922&gt;=6),"LOYAL CUSTOMER",AND(F1922&gt;=6,G1922&gt;=5,H1922&gt;=5),"POTENTIAL LOYALIST",AND(F1922&gt;=8,G1922&lt;=2,H1922&gt;=5),"NEW CUSTOMERS",AND(F1922&gt;=6,G1922&lt;=2,H1922&gt;=3),"PROMISING",AND(F1922&gt;=3,G1922&gt;=3,H1922&gt;=3),"NEED ATTENTION",AND(F1922&lt;=4,G1922&gt;=6,H1922&gt;=6),"AT RISK",AND(F1922&lt;=2,G1922&gt;=8,H1922&gt;=8),"CAN'T LOSE THEM",AND(F1922&lt;=2,G1922&lt;=2,H1922&lt;=2),"HIBERNATING",TRUE(),"Other")</f>
        <v>Other</v>
      </c>
      <c r="K1922" s="1" t="n">
        <f aca="false">RANK(E1922,$E$7:$E$4378)+COUNTIF($E$7:E1922,E1922)-1</f>
        <v>3291</v>
      </c>
    </row>
    <row r="1923" customFormat="false" ht="14.25" hidden="false" customHeight="true" outlineLevel="0" collapsed="false">
      <c r="A1923" s="51" t="n">
        <v>14948</v>
      </c>
      <c r="B1923" s="53" t="n">
        <v>40863.7194444445</v>
      </c>
      <c r="C1923" s="57" t="n">
        <f aca="false">INT($C$2)-INT(Table3[[#This Row],[Last Purchase Date]])</f>
        <v>24</v>
      </c>
      <c r="D1923" s="1" t="n">
        <v>7</v>
      </c>
      <c r="E1923" s="1" t="n">
        <v>1066.57</v>
      </c>
      <c r="F1923" s="1" t="n">
        <f aca="false">ROUND((1-_xlfn.PERCENTRANK.INC($C$7:$C$4378,C1923))*9,0)</f>
        <v>6</v>
      </c>
      <c r="G1923" s="1" t="n">
        <f aca="false">ROUND(_xlfn.PERCENTRANK.INC($D$7:$D$4378,D1923)*9,0)</f>
        <v>7</v>
      </c>
      <c r="H1923" s="1" t="n">
        <f aca="false">ROUND(_xlfn.PERCENTRANK.INC($E$7:$E$4378,E1923)*9,0)</f>
        <v>6</v>
      </c>
      <c r="I1923" s="1" t="str">
        <f aca="false">CONCATENATE(F1923,G1923,H1923)</f>
        <v>676</v>
      </c>
      <c r="J1923" s="1" t="str">
        <f aca="false">_xlfn.IFS(AND(F1923&gt;=8,G1923&gt;=8,H1923&gt;=8),"CHAMPION",AND(F1923&gt;=6,G1923&gt;=7,H1923&gt;=6),"LOYAL CUSTOMER",AND(F1923&gt;=6,G1923&gt;=5,H1923&gt;=5),"POTENTIAL LOYALIST",AND(F1923&gt;=8,G1923&lt;=2,H1923&gt;=5),"NEW CUSTOMERS",AND(F1923&gt;=6,G1923&lt;=2,H1923&gt;=3),"PROMISING",AND(F1923&gt;=3,G1923&gt;=3,H1923&gt;=3),"NEED ATTENTION",AND(F1923&lt;=4,G1923&gt;=6,H1923&gt;=6),"AT RISK",AND(F1923&lt;=2,G1923&gt;=8,H1923&gt;=8),"CAN'T LOSE THEM",AND(F1923&lt;=2,G1923&lt;=2,H1923&lt;=2),"HIBERNATING",TRUE(),"Other")</f>
        <v>LOYAL CUSTOMER</v>
      </c>
      <c r="K1923" s="1" t="n">
        <f aca="false">RANK(E1923,$E$7:$E$4378)+COUNTIF($E$7:E1923,E1923)-1</f>
        <v>1540</v>
      </c>
    </row>
    <row r="1924" customFormat="false" ht="14.25" hidden="false" customHeight="true" outlineLevel="0" collapsed="false">
      <c r="A1924" s="51" t="n">
        <v>14950</v>
      </c>
      <c r="B1924" s="53" t="n">
        <v>40878.4041666667</v>
      </c>
      <c r="C1924" s="57" t="n">
        <f aca="false">INT($C$2)-INT(Table3[[#This Row],[Last Purchase Date]])</f>
        <v>9</v>
      </c>
      <c r="D1924" s="1" t="n">
        <v>2</v>
      </c>
      <c r="E1924" s="1" t="n">
        <v>361.25</v>
      </c>
      <c r="F1924" s="1" t="n">
        <f aca="false">ROUND((1-_xlfn.PERCENTRANK.INC($C$7:$C$4378,C1924))*9,0)</f>
        <v>8</v>
      </c>
      <c r="G1924" s="1" t="n">
        <f aca="false">ROUND(_xlfn.PERCENTRANK.INC($D$7:$D$4378,D1924)*9,0)</f>
        <v>3</v>
      </c>
      <c r="H1924" s="1" t="n">
        <f aca="false">ROUND(_xlfn.PERCENTRANK.INC($E$7:$E$4378,E1924)*9,0)</f>
        <v>3</v>
      </c>
      <c r="I1924" s="1" t="str">
        <f aca="false">CONCATENATE(F1924,G1924,H1924)</f>
        <v>833</v>
      </c>
      <c r="J1924" s="1" t="str">
        <f aca="false">_xlfn.IFS(AND(F1924&gt;=8,G1924&gt;=8,H1924&gt;=8),"CHAMPION",AND(F1924&gt;=6,G1924&gt;=7,H1924&gt;=6),"LOYAL CUSTOMER",AND(F1924&gt;=6,G1924&gt;=5,H1924&gt;=5),"POTENTIAL LOYALIST",AND(F1924&gt;=8,G1924&lt;=2,H1924&gt;=5),"NEW CUSTOMERS",AND(F1924&gt;=6,G1924&lt;=2,H1924&gt;=3),"PROMISING",AND(F1924&gt;=3,G1924&gt;=3,H1924&gt;=3),"NEED ATTENTION",AND(F1924&lt;=4,G1924&gt;=6,H1924&gt;=6),"AT RISK",AND(F1924&lt;=2,G1924&gt;=8,H1924&gt;=8),"CAN'T LOSE THEM",AND(F1924&lt;=2,G1924&lt;=2,H1924&lt;=2),"HIBERNATING",TRUE(),"Other")</f>
        <v>NEED ATTENTION</v>
      </c>
      <c r="K1924" s="1" t="n">
        <f aca="false">RANK(E1924,$E$7:$E$4378)+COUNTIF($E$7:E1924,E1924)-1</f>
        <v>2962</v>
      </c>
    </row>
    <row r="1925" customFormat="false" ht="14.25" hidden="false" customHeight="true" outlineLevel="0" collapsed="false">
      <c r="A1925" s="51" t="n">
        <v>14951</v>
      </c>
      <c r="B1925" s="53" t="n">
        <v>40807.6354166667</v>
      </c>
      <c r="C1925" s="57" t="n">
        <f aca="false">INT($C$2)-INT(Table3[[#This Row],[Last Purchase Date]])</f>
        <v>80</v>
      </c>
      <c r="D1925" s="1" t="n">
        <v>1</v>
      </c>
      <c r="E1925" s="1" t="n">
        <v>311.69</v>
      </c>
      <c r="F1925" s="1" t="n">
        <f aca="false">ROUND((1-_xlfn.PERCENTRANK.INC($C$7:$C$4378,C1925))*9,0)</f>
        <v>3</v>
      </c>
      <c r="G1925" s="1" t="n">
        <f aca="false">ROUND(_xlfn.PERCENTRANK.INC($D$7:$D$4378,D1925)*9,0)</f>
        <v>0</v>
      </c>
      <c r="H1925" s="1" t="n">
        <f aca="false">ROUND(_xlfn.PERCENTRANK.INC($E$7:$E$4378,E1925)*9,0)</f>
        <v>2</v>
      </c>
      <c r="I1925" s="1" t="str">
        <f aca="false">CONCATENATE(F1925,G1925,H1925)</f>
        <v>302</v>
      </c>
      <c r="J1925" s="1" t="str">
        <f aca="false">_xlfn.IFS(AND(F1925&gt;=8,G1925&gt;=8,H1925&gt;=8),"CHAMPION",AND(F1925&gt;=6,G1925&gt;=7,H1925&gt;=6),"LOYAL CUSTOMER",AND(F1925&gt;=6,G1925&gt;=5,H1925&gt;=5),"POTENTIAL LOYALIST",AND(F1925&gt;=8,G1925&lt;=2,H1925&gt;=5),"NEW CUSTOMERS",AND(F1925&gt;=6,G1925&lt;=2,H1925&gt;=3),"PROMISING",AND(F1925&gt;=3,G1925&gt;=3,H1925&gt;=3),"NEED ATTENTION",AND(F1925&lt;=4,G1925&gt;=6,H1925&gt;=6),"AT RISK",AND(F1925&lt;=2,G1925&gt;=8,H1925&gt;=8),"CAN'T LOSE THEM",AND(F1925&lt;=2,G1925&lt;=2,H1925&lt;=2),"HIBERNATING",TRUE(),"Other")</f>
        <v>Other</v>
      </c>
      <c r="K1925" s="1" t="n">
        <f aca="false">RANK(E1925,$E$7:$E$4378)+COUNTIF($E$7:E1925,E1925)-1</f>
        <v>3185</v>
      </c>
    </row>
    <row r="1926" customFormat="false" ht="14.25" hidden="false" customHeight="true" outlineLevel="0" collapsed="false">
      <c r="A1926" s="51" t="n">
        <v>14952</v>
      </c>
      <c r="B1926" s="53" t="n">
        <v>40840.5763888889</v>
      </c>
      <c r="C1926" s="57" t="n">
        <f aca="false">INT($C$2)-INT(Table3[[#This Row],[Last Purchase Date]])</f>
        <v>47</v>
      </c>
      <c r="D1926" s="1" t="n">
        <v>15</v>
      </c>
      <c r="E1926" s="1" t="n">
        <v>7912.79</v>
      </c>
      <c r="F1926" s="1" t="n">
        <f aca="false">ROUND((1-_xlfn.PERCENTRANK.INC($C$7:$C$4378,C1926))*9,0)</f>
        <v>5</v>
      </c>
      <c r="G1926" s="1" t="n">
        <f aca="false">ROUND(_xlfn.PERCENTRANK.INC($D$7:$D$4378,D1926)*9,0)</f>
        <v>8</v>
      </c>
      <c r="H1926" s="1" t="n">
        <f aca="false">ROUND(_xlfn.PERCENTRANK.INC($E$7:$E$4378,E1926)*9,0)</f>
        <v>9</v>
      </c>
      <c r="I1926" s="1" t="str">
        <f aca="false">CONCATENATE(F1926,G1926,H1926)</f>
        <v>589</v>
      </c>
      <c r="J1926" s="1" t="str">
        <f aca="false">_xlfn.IFS(AND(F1926&gt;=8,G1926&gt;=8,H1926&gt;=8),"CHAMPION",AND(F1926&gt;=6,G1926&gt;=7,H1926&gt;=6),"LOYAL CUSTOMER",AND(F1926&gt;=6,G1926&gt;=5,H1926&gt;=5),"POTENTIAL LOYALIST",AND(F1926&gt;=8,G1926&lt;=2,H1926&gt;=5),"NEW CUSTOMERS",AND(F1926&gt;=6,G1926&lt;=2,H1926&gt;=3),"PROMISING",AND(F1926&gt;=3,G1926&gt;=3,H1926&gt;=3),"NEED ATTENTION",AND(F1926&lt;=4,G1926&gt;=6,H1926&gt;=6),"AT RISK",AND(F1926&lt;=2,G1926&gt;=8,H1926&gt;=8),"CAN'T LOSE THEM",AND(F1926&lt;=2,G1926&lt;=2,H1926&lt;=2),"HIBERNATING",TRUE(),"Other")</f>
        <v>NEED ATTENTION</v>
      </c>
      <c r="K1926" s="1" t="n">
        <f aca="false">RANK(E1926,$E$7:$E$4378)+COUNTIF($E$7:E1926,E1926)-1</f>
        <v>129</v>
      </c>
    </row>
    <row r="1927" customFormat="false" ht="14.25" hidden="false" customHeight="true" outlineLevel="0" collapsed="false">
      <c r="A1927" s="51" t="n">
        <v>14953</v>
      </c>
      <c r="B1927" s="53" t="n">
        <v>40861.6243055556</v>
      </c>
      <c r="C1927" s="57" t="n">
        <f aca="false">INT($C$2)-INT(Table3[[#This Row],[Last Purchase Date]])</f>
        <v>26</v>
      </c>
      <c r="D1927" s="1" t="n">
        <v>1</v>
      </c>
      <c r="E1927" s="1" t="n">
        <v>289.82</v>
      </c>
      <c r="F1927" s="1" t="n">
        <f aca="false">ROUND((1-_xlfn.PERCENTRANK.INC($C$7:$C$4378,C1927))*9,0)</f>
        <v>6</v>
      </c>
      <c r="G1927" s="1" t="n">
        <f aca="false">ROUND(_xlfn.PERCENTRANK.INC($D$7:$D$4378,D1927)*9,0)</f>
        <v>0</v>
      </c>
      <c r="H1927" s="1" t="n">
        <f aca="false">ROUND(_xlfn.PERCENTRANK.INC($E$7:$E$4378,E1927)*9,0)</f>
        <v>2</v>
      </c>
      <c r="I1927" s="1" t="str">
        <f aca="false">CONCATENATE(F1927,G1927,H1927)</f>
        <v>602</v>
      </c>
      <c r="J1927" s="1" t="str">
        <f aca="false">_xlfn.IFS(AND(F1927&gt;=8,G1927&gt;=8,H1927&gt;=8),"CHAMPION",AND(F1927&gt;=6,G1927&gt;=7,H1927&gt;=6),"LOYAL CUSTOMER",AND(F1927&gt;=6,G1927&gt;=5,H1927&gt;=5),"POTENTIAL LOYALIST",AND(F1927&gt;=8,G1927&lt;=2,H1927&gt;=5),"NEW CUSTOMERS",AND(F1927&gt;=6,G1927&lt;=2,H1927&gt;=3),"PROMISING",AND(F1927&gt;=3,G1927&gt;=3,H1927&gt;=3),"NEED ATTENTION",AND(F1927&lt;=4,G1927&gt;=6,H1927&gt;=6),"AT RISK",AND(F1927&lt;=2,G1927&gt;=8,H1927&gt;=8),"CAN'T LOSE THEM",AND(F1927&lt;=2,G1927&lt;=2,H1927&lt;=2),"HIBERNATING",TRUE(),"Other")</f>
        <v>Other</v>
      </c>
      <c r="K1927" s="1" t="n">
        <f aca="false">RANK(E1927,$E$7:$E$4378)+COUNTIF($E$7:E1927,E1927)-1</f>
        <v>3298</v>
      </c>
    </row>
    <row r="1928" customFormat="false" ht="14.25" hidden="false" customHeight="true" outlineLevel="0" collapsed="false">
      <c r="A1928" s="51" t="n">
        <v>14954</v>
      </c>
      <c r="B1928" s="53" t="n">
        <v>40874.6041666667</v>
      </c>
      <c r="C1928" s="57" t="n">
        <f aca="false">INT($C$2)-INT(Table3[[#This Row],[Last Purchase Date]])</f>
        <v>13</v>
      </c>
      <c r="D1928" s="1" t="n">
        <v>1</v>
      </c>
      <c r="E1928" s="1" t="n">
        <v>336.17</v>
      </c>
      <c r="F1928" s="1" t="n">
        <f aca="false">ROUND((1-_xlfn.PERCENTRANK.INC($C$7:$C$4378,C1928))*9,0)</f>
        <v>7</v>
      </c>
      <c r="G1928" s="1" t="n">
        <f aca="false">ROUND(_xlfn.PERCENTRANK.INC($D$7:$D$4378,D1928)*9,0)</f>
        <v>0</v>
      </c>
      <c r="H1928" s="1" t="n">
        <f aca="false">ROUND(_xlfn.PERCENTRANK.INC($E$7:$E$4378,E1928)*9,0)</f>
        <v>3</v>
      </c>
      <c r="I1928" s="1" t="str">
        <f aca="false">CONCATENATE(F1928,G1928,H1928)</f>
        <v>703</v>
      </c>
      <c r="J1928" s="1" t="str">
        <f aca="false">_xlfn.IFS(AND(F1928&gt;=8,G1928&gt;=8,H1928&gt;=8),"CHAMPION",AND(F1928&gt;=6,G1928&gt;=7,H1928&gt;=6),"LOYAL CUSTOMER",AND(F1928&gt;=6,G1928&gt;=5,H1928&gt;=5),"POTENTIAL LOYALIST",AND(F1928&gt;=8,G1928&lt;=2,H1928&gt;=5),"NEW CUSTOMERS",AND(F1928&gt;=6,G1928&lt;=2,H1928&gt;=3),"PROMISING",AND(F1928&gt;=3,G1928&gt;=3,H1928&gt;=3),"NEED ATTENTION",AND(F1928&lt;=4,G1928&gt;=6,H1928&gt;=6),"AT RISK",AND(F1928&lt;=2,G1928&gt;=8,H1928&gt;=8),"CAN'T LOSE THEM",AND(F1928&lt;=2,G1928&lt;=2,H1928&lt;=2),"HIBERNATING",TRUE(),"Other")</f>
        <v>PROMISING</v>
      </c>
      <c r="K1928" s="1" t="n">
        <f aca="false">RANK(E1928,$E$7:$E$4378)+COUNTIF($E$7:E1928,E1928)-1</f>
        <v>3067</v>
      </c>
    </row>
    <row r="1929" customFormat="false" ht="14.25" hidden="false" customHeight="true" outlineLevel="0" collapsed="false">
      <c r="A1929" s="51" t="n">
        <v>14957</v>
      </c>
      <c r="B1929" s="53" t="n">
        <v>40633.7493055556</v>
      </c>
      <c r="C1929" s="57" t="n">
        <f aca="false">INT($C$2)-INT(Table3[[#This Row],[Last Purchase Date]])</f>
        <v>254</v>
      </c>
      <c r="D1929" s="1" t="n">
        <v>1</v>
      </c>
      <c r="E1929" s="1" t="n">
        <v>58.49</v>
      </c>
      <c r="F1929" s="1" t="n">
        <f aca="false">ROUND((1-_xlfn.PERCENTRANK.INC($C$7:$C$4378,C1929))*9,0)</f>
        <v>1</v>
      </c>
      <c r="G1929" s="1" t="n">
        <f aca="false">ROUND(_xlfn.PERCENTRANK.INC($D$7:$D$4378,D1929)*9,0)</f>
        <v>0</v>
      </c>
      <c r="H1929" s="1" t="n">
        <f aca="false">ROUND(_xlfn.PERCENTRANK.INC($E$7:$E$4378,E1929)*9,0)</f>
        <v>0</v>
      </c>
      <c r="I1929" s="1" t="str">
        <f aca="false">CONCATENATE(F1929,G1929,H1929)</f>
        <v>100</v>
      </c>
      <c r="J1929" s="1" t="str">
        <f aca="false">_xlfn.IFS(AND(F1929&gt;=8,G1929&gt;=8,H1929&gt;=8),"CHAMPION",AND(F1929&gt;=6,G1929&gt;=7,H1929&gt;=6),"LOYAL CUSTOMER",AND(F1929&gt;=6,G1929&gt;=5,H1929&gt;=5),"POTENTIAL LOYALIST",AND(F1929&gt;=8,G1929&lt;=2,H1929&gt;=5),"NEW CUSTOMERS",AND(F1929&gt;=6,G1929&lt;=2,H1929&gt;=3),"PROMISING",AND(F1929&gt;=3,G1929&gt;=3,H1929&gt;=3),"NEED ATTENTION",AND(F1929&lt;=4,G1929&gt;=6,H1929&gt;=6),"AT RISK",AND(F1929&lt;=2,G1929&gt;=8,H1929&gt;=8),"CAN'T LOSE THEM",AND(F1929&lt;=2,G1929&lt;=2,H1929&lt;=2),"HIBERNATING",TRUE(),"Other")</f>
        <v>HIBERNATING</v>
      </c>
      <c r="K1929" s="1" t="n">
        <f aca="false">RANK(E1929,$E$7:$E$4378)+COUNTIF($E$7:E1929,E1929)-1</f>
        <v>4268</v>
      </c>
    </row>
    <row r="1930" customFormat="false" ht="14.25" hidden="false" customHeight="true" outlineLevel="0" collapsed="false">
      <c r="A1930" s="51" t="n">
        <v>14958</v>
      </c>
      <c r="B1930" s="53" t="n">
        <v>40739.5972222222</v>
      </c>
      <c r="C1930" s="57" t="n">
        <f aca="false">INT($C$2)-INT(Table3[[#This Row],[Last Purchase Date]])</f>
        <v>148</v>
      </c>
      <c r="D1930" s="1" t="n">
        <v>3</v>
      </c>
      <c r="E1930" s="1" t="n">
        <v>499.68</v>
      </c>
      <c r="F1930" s="1" t="n">
        <f aca="false">ROUND((1-_xlfn.PERCENTRANK.INC($C$7:$C$4378,C1930))*9,0)</f>
        <v>2</v>
      </c>
      <c r="G1930" s="1" t="n">
        <f aca="false">ROUND(_xlfn.PERCENTRANK.INC($D$7:$D$4378,D1930)*9,0)</f>
        <v>4</v>
      </c>
      <c r="H1930" s="1" t="n">
        <f aca="false">ROUND(_xlfn.PERCENTRANK.INC($E$7:$E$4378,E1930)*9,0)</f>
        <v>4</v>
      </c>
      <c r="I1930" s="1" t="str">
        <f aca="false">CONCATENATE(F1930,G1930,H1930)</f>
        <v>244</v>
      </c>
      <c r="J1930" s="1" t="str">
        <f aca="false">_xlfn.IFS(AND(F1930&gt;=8,G1930&gt;=8,H1930&gt;=8),"CHAMPION",AND(F1930&gt;=6,G1930&gt;=7,H1930&gt;=6),"LOYAL CUSTOMER",AND(F1930&gt;=6,G1930&gt;=5,H1930&gt;=5),"POTENTIAL LOYALIST",AND(F1930&gt;=8,G1930&lt;=2,H1930&gt;=5),"NEW CUSTOMERS",AND(F1930&gt;=6,G1930&lt;=2,H1930&gt;=3),"PROMISING",AND(F1930&gt;=3,G1930&gt;=3,H1930&gt;=3),"NEED ATTENTION",AND(F1930&lt;=4,G1930&gt;=6,H1930&gt;=6),"AT RISK",AND(F1930&lt;=2,G1930&gt;=8,H1930&gt;=8),"CAN'T LOSE THEM",AND(F1930&lt;=2,G1930&lt;=2,H1930&lt;=2),"HIBERNATING",TRUE(),"Other")</f>
        <v>Other</v>
      </c>
      <c r="K1930" s="1" t="n">
        <f aca="false">RANK(E1930,$E$7:$E$4378)+COUNTIF($E$7:E1930,E1930)-1</f>
        <v>2541</v>
      </c>
    </row>
    <row r="1931" customFormat="false" ht="14.25" hidden="false" customHeight="true" outlineLevel="0" collapsed="false">
      <c r="A1931" s="51" t="n">
        <v>14959</v>
      </c>
      <c r="B1931" s="53" t="n">
        <v>40827.6861111111</v>
      </c>
      <c r="C1931" s="57" t="n">
        <f aca="false">INT($C$2)-INT(Table3[[#This Row],[Last Purchase Date]])</f>
        <v>60</v>
      </c>
      <c r="D1931" s="1" t="n">
        <v>5</v>
      </c>
      <c r="E1931" s="1" t="n">
        <v>684.97</v>
      </c>
      <c r="F1931" s="1" t="n">
        <f aca="false">ROUND((1-_xlfn.PERCENTRANK.INC($C$7:$C$4378,C1931))*9,0)</f>
        <v>4</v>
      </c>
      <c r="G1931" s="1" t="n">
        <f aca="false">ROUND(_xlfn.PERCENTRANK.INC($D$7:$D$4378,D1931)*9,0)</f>
        <v>6</v>
      </c>
      <c r="H1931" s="1" t="n">
        <f aca="false">ROUND(_xlfn.PERCENTRANK.INC($E$7:$E$4378,E1931)*9,0)</f>
        <v>5</v>
      </c>
      <c r="I1931" s="1" t="str">
        <f aca="false">CONCATENATE(F1931,G1931,H1931)</f>
        <v>465</v>
      </c>
      <c r="J1931" s="1" t="str">
        <f aca="false">_xlfn.IFS(AND(F1931&gt;=8,G1931&gt;=8,H1931&gt;=8),"CHAMPION",AND(F1931&gt;=6,G1931&gt;=7,H1931&gt;=6),"LOYAL CUSTOMER",AND(F1931&gt;=6,G1931&gt;=5,H1931&gt;=5),"POTENTIAL LOYALIST",AND(F1931&gt;=8,G1931&lt;=2,H1931&gt;=5),"NEW CUSTOMERS",AND(F1931&gt;=6,G1931&lt;=2,H1931&gt;=3),"PROMISING",AND(F1931&gt;=3,G1931&gt;=3,H1931&gt;=3),"NEED ATTENTION",AND(F1931&lt;=4,G1931&gt;=6,H1931&gt;=6),"AT RISK",AND(F1931&lt;=2,G1931&gt;=8,H1931&gt;=8),"CAN'T LOSE THEM",AND(F1931&lt;=2,G1931&lt;=2,H1931&lt;=2),"HIBERNATING",TRUE(),"Other")</f>
        <v>NEED ATTENTION</v>
      </c>
      <c r="K1931" s="1" t="n">
        <f aca="false">RANK(E1931,$E$7:$E$4378)+COUNTIF($E$7:E1931,E1931)-1</f>
        <v>2091</v>
      </c>
    </row>
    <row r="1932" customFormat="false" ht="14.25" hidden="false" customHeight="true" outlineLevel="0" collapsed="false">
      <c r="A1932" s="51" t="n">
        <v>14960</v>
      </c>
      <c r="B1932" s="53" t="n">
        <v>40878.5375</v>
      </c>
      <c r="C1932" s="57" t="n">
        <f aca="false">INT($C$2)-INT(Table3[[#This Row],[Last Purchase Date]])</f>
        <v>9</v>
      </c>
      <c r="D1932" s="1" t="n">
        <v>2</v>
      </c>
      <c r="E1932" s="1" t="n">
        <v>221.27</v>
      </c>
      <c r="F1932" s="1" t="n">
        <f aca="false">ROUND((1-_xlfn.PERCENTRANK.INC($C$7:$C$4378,C1932))*9,0)</f>
        <v>8</v>
      </c>
      <c r="G1932" s="1" t="n">
        <f aca="false">ROUND(_xlfn.PERCENTRANK.INC($D$7:$D$4378,D1932)*9,0)</f>
        <v>3</v>
      </c>
      <c r="H1932" s="1" t="n">
        <f aca="false">ROUND(_xlfn.PERCENTRANK.INC($E$7:$E$4378,E1932)*9,0)</f>
        <v>2</v>
      </c>
      <c r="I1932" s="1" t="str">
        <f aca="false">CONCATENATE(F1932,G1932,H1932)</f>
        <v>832</v>
      </c>
      <c r="J1932" s="1" t="str">
        <f aca="false">_xlfn.IFS(AND(F1932&gt;=8,G1932&gt;=8,H1932&gt;=8),"CHAMPION",AND(F1932&gt;=6,G1932&gt;=7,H1932&gt;=6),"LOYAL CUSTOMER",AND(F1932&gt;=6,G1932&gt;=5,H1932&gt;=5),"POTENTIAL LOYALIST",AND(F1932&gt;=8,G1932&lt;=2,H1932&gt;=5),"NEW CUSTOMERS",AND(F1932&gt;=6,G1932&lt;=2,H1932&gt;=3),"PROMISING",AND(F1932&gt;=3,G1932&gt;=3,H1932&gt;=3),"NEED ATTENTION",AND(F1932&lt;=4,G1932&gt;=6,H1932&gt;=6),"AT RISK",AND(F1932&lt;=2,G1932&gt;=8,H1932&gt;=8),"CAN'T LOSE THEM",AND(F1932&lt;=2,G1932&lt;=2,H1932&lt;=2),"HIBERNATING",TRUE(),"Other")</f>
        <v>Other</v>
      </c>
      <c r="K1932" s="1" t="n">
        <f aca="false">RANK(E1932,$E$7:$E$4378)+COUNTIF($E$7:E1932,E1932)-1</f>
        <v>3553</v>
      </c>
    </row>
    <row r="1933" customFormat="false" ht="14.25" hidden="false" customHeight="true" outlineLevel="0" collapsed="false">
      <c r="A1933" s="51" t="n">
        <v>14961</v>
      </c>
      <c r="B1933" s="53" t="n">
        <v>40876.4041666667</v>
      </c>
      <c r="C1933" s="57" t="n">
        <f aca="false">INT($C$2)-INT(Table3[[#This Row],[Last Purchase Date]])</f>
        <v>11</v>
      </c>
      <c r="D1933" s="1" t="n">
        <v>12</v>
      </c>
      <c r="E1933" s="1" t="n">
        <v>7006.58</v>
      </c>
      <c r="F1933" s="1" t="n">
        <f aca="false">ROUND((1-_xlfn.PERCENTRANK.INC($C$7:$C$4378,C1933))*9,0)</f>
        <v>7</v>
      </c>
      <c r="G1933" s="1" t="n">
        <f aca="false">ROUND(_xlfn.PERCENTRANK.INC($D$7:$D$4378,D1933)*9,0)</f>
        <v>8</v>
      </c>
      <c r="H1933" s="1" t="n">
        <f aca="false">ROUND(_xlfn.PERCENTRANK.INC($E$7:$E$4378,E1933)*9,0)</f>
        <v>9</v>
      </c>
      <c r="I1933" s="1" t="str">
        <f aca="false">CONCATENATE(F1933,G1933,H1933)</f>
        <v>789</v>
      </c>
      <c r="J1933" s="1" t="str">
        <f aca="false">_xlfn.IFS(AND(F1933&gt;=8,G1933&gt;=8,H1933&gt;=8),"CHAMPION",AND(F1933&gt;=6,G1933&gt;=7,H1933&gt;=6),"LOYAL CUSTOMER",AND(F1933&gt;=6,G1933&gt;=5,H1933&gt;=5),"POTENTIAL LOYALIST",AND(F1933&gt;=8,G1933&lt;=2,H1933&gt;=5),"NEW CUSTOMERS",AND(F1933&gt;=6,G1933&lt;=2,H1933&gt;=3),"PROMISING",AND(F1933&gt;=3,G1933&gt;=3,H1933&gt;=3),"NEED ATTENTION",AND(F1933&lt;=4,G1933&gt;=6,H1933&gt;=6),"AT RISK",AND(F1933&lt;=2,G1933&gt;=8,H1933&gt;=8),"CAN'T LOSE THEM",AND(F1933&lt;=2,G1933&lt;=2,H1933&lt;=2),"HIBERNATING",TRUE(),"Other")</f>
        <v>LOYAL CUSTOMER</v>
      </c>
      <c r="K1933" s="1" t="n">
        <f aca="false">RANK(E1933,$E$7:$E$4378)+COUNTIF($E$7:E1933,E1933)-1</f>
        <v>154</v>
      </c>
    </row>
    <row r="1934" customFormat="false" ht="14.25" hidden="false" customHeight="true" outlineLevel="0" collapsed="false">
      <c r="A1934" s="51" t="n">
        <v>14962</v>
      </c>
      <c r="B1934" s="53" t="n">
        <v>40616.4041666667</v>
      </c>
      <c r="C1934" s="57" t="n">
        <f aca="false">INT($C$2)-INT(Table3[[#This Row],[Last Purchase Date]])</f>
        <v>271</v>
      </c>
      <c r="D1934" s="1" t="n">
        <v>1</v>
      </c>
      <c r="E1934" s="1" t="n">
        <v>126.7</v>
      </c>
      <c r="F1934" s="1" t="n">
        <f aca="false">ROUND((1-_xlfn.PERCENTRANK.INC($C$7:$C$4378,C1934))*9,0)</f>
        <v>1</v>
      </c>
      <c r="G1934" s="1" t="n">
        <f aca="false">ROUND(_xlfn.PERCENTRANK.INC($D$7:$D$4378,D1934)*9,0)</f>
        <v>0</v>
      </c>
      <c r="H1934" s="1" t="n">
        <f aca="false">ROUND(_xlfn.PERCENTRANK.INC($E$7:$E$4378,E1934)*9,0)</f>
        <v>1</v>
      </c>
      <c r="I1934" s="1" t="str">
        <f aca="false">CONCATENATE(F1934,G1934,H1934)</f>
        <v>101</v>
      </c>
      <c r="J1934" s="1" t="str">
        <f aca="false">_xlfn.IFS(AND(F1934&gt;=8,G1934&gt;=8,H1934&gt;=8),"CHAMPION",AND(F1934&gt;=6,G1934&gt;=7,H1934&gt;=6),"LOYAL CUSTOMER",AND(F1934&gt;=6,G1934&gt;=5,H1934&gt;=5),"POTENTIAL LOYALIST",AND(F1934&gt;=8,G1934&lt;=2,H1934&gt;=5),"NEW CUSTOMERS",AND(F1934&gt;=6,G1934&lt;=2,H1934&gt;=3),"PROMISING",AND(F1934&gt;=3,G1934&gt;=3,H1934&gt;=3),"NEED ATTENTION",AND(F1934&lt;=4,G1934&gt;=6,H1934&gt;=6),"AT RISK",AND(F1934&lt;=2,G1934&gt;=8,H1934&gt;=8),"CAN'T LOSE THEM",AND(F1934&lt;=2,G1934&lt;=2,H1934&lt;=2),"HIBERNATING",TRUE(),"Other")</f>
        <v>HIBERNATING</v>
      </c>
      <c r="K1934" s="1" t="n">
        <f aca="false">RANK(E1934,$E$7:$E$4378)+COUNTIF($E$7:E1934,E1934)-1</f>
        <v>4017</v>
      </c>
    </row>
    <row r="1935" customFormat="false" ht="14.25" hidden="false" customHeight="true" outlineLevel="0" collapsed="false">
      <c r="A1935" s="51" t="n">
        <v>14963</v>
      </c>
      <c r="B1935" s="53" t="n">
        <v>40877.5111111111</v>
      </c>
      <c r="C1935" s="57" t="n">
        <f aca="false">INT($C$2)-INT(Table3[[#This Row],[Last Purchase Date]])</f>
        <v>10</v>
      </c>
      <c r="D1935" s="1" t="n">
        <v>5</v>
      </c>
      <c r="E1935" s="1" t="n">
        <v>1487.8</v>
      </c>
      <c r="F1935" s="1" t="n">
        <f aca="false">ROUND((1-_xlfn.PERCENTRANK.INC($C$7:$C$4378,C1935))*9,0)</f>
        <v>8</v>
      </c>
      <c r="G1935" s="1" t="n">
        <f aca="false">ROUND(_xlfn.PERCENTRANK.INC($D$7:$D$4378,D1935)*9,0)</f>
        <v>6</v>
      </c>
      <c r="H1935" s="1" t="n">
        <f aca="false">ROUND(_xlfn.PERCENTRANK.INC($E$7:$E$4378,E1935)*9,0)</f>
        <v>7</v>
      </c>
      <c r="I1935" s="1" t="str">
        <f aca="false">CONCATENATE(F1935,G1935,H1935)</f>
        <v>867</v>
      </c>
      <c r="J1935" s="1" t="str">
        <f aca="false">_xlfn.IFS(AND(F1935&gt;=8,G1935&gt;=8,H1935&gt;=8),"CHAMPION",AND(F1935&gt;=6,G1935&gt;=7,H1935&gt;=6),"LOYAL CUSTOMER",AND(F1935&gt;=6,G1935&gt;=5,H1935&gt;=5),"POTENTIAL LOYALIST",AND(F1935&gt;=8,G1935&lt;=2,H1935&gt;=5),"NEW CUSTOMERS",AND(F1935&gt;=6,G1935&lt;=2,H1935&gt;=3),"PROMISING",AND(F1935&gt;=3,G1935&gt;=3,H1935&gt;=3),"NEED ATTENTION",AND(F1935&lt;=4,G1935&gt;=6,H1935&gt;=6),"AT RISK",AND(F1935&lt;=2,G1935&gt;=8,H1935&gt;=8),"CAN'T LOSE THEM",AND(F1935&lt;=2,G1935&lt;=2,H1935&lt;=2),"HIBERNATING",TRUE(),"Other")</f>
        <v>POTENTIAL LOYALIST</v>
      </c>
      <c r="K1935" s="1" t="n">
        <f aca="false">RANK(E1935,$E$7:$E$4378)+COUNTIF($E$7:E1935,E1935)-1</f>
        <v>1172</v>
      </c>
    </row>
    <row r="1936" customFormat="false" ht="14.25" hidden="false" customHeight="true" outlineLevel="0" collapsed="false">
      <c r="A1936" s="51" t="n">
        <v>14964</v>
      </c>
      <c r="B1936" s="53" t="n">
        <v>40639.5923611111</v>
      </c>
      <c r="C1936" s="57" t="n">
        <f aca="false">INT($C$2)-INT(Table3[[#This Row],[Last Purchase Date]])</f>
        <v>248</v>
      </c>
      <c r="D1936" s="1" t="n">
        <v>1</v>
      </c>
      <c r="E1936" s="1" t="n">
        <v>206.21</v>
      </c>
      <c r="F1936" s="1" t="n">
        <f aca="false">ROUND((1-_xlfn.PERCENTRANK.INC($C$7:$C$4378,C1936))*9,0)</f>
        <v>1</v>
      </c>
      <c r="G1936" s="1" t="n">
        <f aca="false">ROUND(_xlfn.PERCENTRANK.INC($D$7:$D$4378,D1936)*9,0)</f>
        <v>0</v>
      </c>
      <c r="H1936" s="1" t="n">
        <f aca="false">ROUND(_xlfn.PERCENTRANK.INC($E$7:$E$4378,E1936)*9,0)</f>
        <v>2</v>
      </c>
      <c r="I1936" s="1" t="str">
        <f aca="false">CONCATENATE(F1936,G1936,H1936)</f>
        <v>102</v>
      </c>
      <c r="J1936" s="1" t="str">
        <f aca="false">_xlfn.IFS(AND(F1936&gt;=8,G1936&gt;=8,H1936&gt;=8),"CHAMPION",AND(F1936&gt;=6,G1936&gt;=7,H1936&gt;=6),"LOYAL CUSTOMER",AND(F1936&gt;=6,G1936&gt;=5,H1936&gt;=5),"POTENTIAL LOYALIST",AND(F1936&gt;=8,G1936&lt;=2,H1936&gt;=5),"NEW CUSTOMERS",AND(F1936&gt;=6,G1936&lt;=2,H1936&gt;=3),"PROMISING",AND(F1936&gt;=3,G1936&gt;=3,H1936&gt;=3),"NEED ATTENTION",AND(F1936&lt;=4,G1936&gt;=6,H1936&gt;=6),"AT RISK",AND(F1936&lt;=2,G1936&gt;=8,H1936&gt;=8),"CAN'T LOSE THEM",AND(F1936&lt;=2,G1936&lt;=2,H1936&lt;=2),"HIBERNATING",TRUE(),"Other")</f>
        <v>HIBERNATING</v>
      </c>
      <c r="K1936" s="1" t="n">
        <f aca="false">RANK(E1936,$E$7:$E$4378)+COUNTIF($E$7:E1936,E1936)-1</f>
        <v>3630</v>
      </c>
    </row>
    <row r="1937" customFormat="false" ht="14.25" hidden="false" customHeight="true" outlineLevel="0" collapsed="false">
      <c r="A1937" s="51" t="n">
        <v>14965</v>
      </c>
      <c r="B1937" s="53" t="n">
        <v>40790.5555555556</v>
      </c>
      <c r="C1937" s="57" t="n">
        <f aca="false">INT($C$2)-INT(Table3[[#This Row],[Last Purchase Date]])</f>
        <v>97</v>
      </c>
      <c r="D1937" s="1" t="n">
        <v>2</v>
      </c>
      <c r="E1937" s="1" t="n">
        <v>599</v>
      </c>
      <c r="F1937" s="1" t="n">
        <f aca="false">ROUND((1-_xlfn.PERCENTRANK.INC($C$7:$C$4378,C1937))*9,0)</f>
        <v>3</v>
      </c>
      <c r="G1937" s="1" t="n">
        <f aca="false">ROUND(_xlfn.PERCENTRANK.INC($D$7:$D$4378,D1937)*9,0)</f>
        <v>3</v>
      </c>
      <c r="H1937" s="1" t="n">
        <f aca="false">ROUND(_xlfn.PERCENTRANK.INC($E$7:$E$4378,E1937)*9,0)</f>
        <v>4</v>
      </c>
      <c r="I1937" s="1" t="str">
        <f aca="false">CONCATENATE(F1937,G1937,H1937)</f>
        <v>334</v>
      </c>
      <c r="J1937" s="1" t="str">
        <f aca="false">_xlfn.IFS(AND(F1937&gt;=8,G1937&gt;=8,H1937&gt;=8),"CHAMPION",AND(F1937&gt;=6,G1937&gt;=7,H1937&gt;=6),"LOYAL CUSTOMER",AND(F1937&gt;=6,G1937&gt;=5,H1937&gt;=5),"POTENTIAL LOYALIST",AND(F1937&gt;=8,G1937&lt;=2,H1937&gt;=5),"NEW CUSTOMERS",AND(F1937&gt;=6,G1937&lt;=2,H1937&gt;=3),"PROMISING",AND(F1937&gt;=3,G1937&gt;=3,H1937&gt;=3),"NEED ATTENTION",AND(F1937&lt;=4,G1937&gt;=6,H1937&gt;=6),"AT RISK",AND(F1937&lt;=2,G1937&gt;=8,H1937&gt;=8),"CAN'T LOSE THEM",AND(F1937&lt;=2,G1937&lt;=2,H1937&lt;=2),"HIBERNATING",TRUE(),"Other")</f>
        <v>NEED ATTENTION</v>
      </c>
      <c r="K1937" s="1" t="n">
        <f aca="false">RANK(E1937,$E$7:$E$4378)+COUNTIF($E$7:E1937,E1937)-1</f>
        <v>2322</v>
      </c>
    </row>
    <row r="1938" customFormat="false" ht="14.25" hidden="false" customHeight="true" outlineLevel="0" collapsed="false">
      <c r="A1938" s="51" t="n">
        <v>14966</v>
      </c>
      <c r="B1938" s="53" t="n">
        <v>40872.5138888889</v>
      </c>
      <c r="C1938" s="57" t="n">
        <f aca="false">INT($C$2)-INT(Table3[[#This Row],[Last Purchase Date]])</f>
        <v>15</v>
      </c>
      <c r="D1938" s="1" t="n">
        <v>1</v>
      </c>
      <c r="E1938" s="1" t="n">
        <v>191.32</v>
      </c>
      <c r="F1938" s="1" t="n">
        <f aca="false">ROUND((1-_xlfn.PERCENTRANK.INC($C$7:$C$4378,C1938))*9,0)</f>
        <v>7</v>
      </c>
      <c r="G1938" s="1" t="n">
        <f aca="false">ROUND(_xlfn.PERCENTRANK.INC($D$7:$D$4378,D1938)*9,0)</f>
        <v>0</v>
      </c>
      <c r="H1938" s="1" t="n">
        <f aca="false">ROUND(_xlfn.PERCENTRANK.INC($E$7:$E$4378,E1938)*9,0)</f>
        <v>1</v>
      </c>
      <c r="I1938" s="1" t="str">
        <f aca="false">CONCATENATE(F1938,G1938,H1938)</f>
        <v>701</v>
      </c>
      <c r="J1938" s="1" t="str">
        <f aca="false">_xlfn.IFS(AND(F1938&gt;=8,G1938&gt;=8,H1938&gt;=8),"CHAMPION",AND(F1938&gt;=6,G1938&gt;=7,H1938&gt;=6),"LOYAL CUSTOMER",AND(F1938&gt;=6,G1938&gt;=5,H1938&gt;=5),"POTENTIAL LOYALIST",AND(F1938&gt;=8,G1938&lt;=2,H1938&gt;=5),"NEW CUSTOMERS",AND(F1938&gt;=6,G1938&lt;=2,H1938&gt;=3),"PROMISING",AND(F1938&gt;=3,G1938&gt;=3,H1938&gt;=3),"NEED ATTENTION",AND(F1938&lt;=4,G1938&gt;=6,H1938&gt;=6),"AT RISK",AND(F1938&lt;=2,G1938&gt;=8,H1938&gt;=8),"CAN'T LOSE THEM",AND(F1938&lt;=2,G1938&lt;=2,H1938&lt;=2),"HIBERNATING",TRUE(),"Other")</f>
        <v>Other</v>
      </c>
      <c r="K1938" s="1" t="n">
        <f aca="false">RANK(E1938,$E$7:$E$4378)+COUNTIF($E$7:E1938,E1938)-1</f>
        <v>3700</v>
      </c>
    </row>
    <row r="1939" customFormat="false" ht="14.25" hidden="false" customHeight="true" outlineLevel="0" collapsed="false">
      <c r="A1939" s="51" t="n">
        <v>14967</v>
      </c>
      <c r="B1939" s="53" t="n">
        <v>40837.4625</v>
      </c>
      <c r="C1939" s="57" t="n">
        <f aca="false">INT($C$2)-INT(Table3[[#This Row],[Last Purchase Date]])</f>
        <v>50</v>
      </c>
      <c r="D1939" s="1" t="n">
        <v>1</v>
      </c>
      <c r="E1939" s="1" t="n">
        <v>463.8</v>
      </c>
      <c r="F1939" s="1" t="n">
        <f aca="false">ROUND((1-_xlfn.PERCENTRANK.INC($C$7:$C$4378,C1939))*9,0)</f>
        <v>5</v>
      </c>
      <c r="G1939" s="1" t="n">
        <f aca="false">ROUND(_xlfn.PERCENTRANK.INC($D$7:$D$4378,D1939)*9,0)</f>
        <v>0</v>
      </c>
      <c r="H1939" s="1" t="n">
        <f aca="false">ROUND(_xlfn.PERCENTRANK.INC($E$7:$E$4378,E1939)*9,0)</f>
        <v>4</v>
      </c>
      <c r="I1939" s="1" t="str">
        <f aca="false">CONCATENATE(F1939,G1939,H1939)</f>
        <v>504</v>
      </c>
      <c r="J1939" s="1" t="str">
        <f aca="false">_xlfn.IFS(AND(F1939&gt;=8,G1939&gt;=8,H1939&gt;=8),"CHAMPION",AND(F1939&gt;=6,G1939&gt;=7,H1939&gt;=6),"LOYAL CUSTOMER",AND(F1939&gt;=6,G1939&gt;=5,H1939&gt;=5),"POTENTIAL LOYALIST",AND(F1939&gt;=8,G1939&lt;=2,H1939&gt;=5),"NEW CUSTOMERS",AND(F1939&gt;=6,G1939&lt;=2,H1939&gt;=3),"PROMISING",AND(F1939&gt;=3,G1939&gt;=3,H1939&gt;=3),"NEED ATTENTION",AND(F1939&lt;=4,G1939&gt;=6,H1939&gt;=6),"AT RISK",AND(F1939&lt;=2,G1939&gt;=8,H1939&gt;=8),"CAN'T LOSE THEM",AND(F1939&lt;=2,G1939&lt;=2,H1939&lt;=2),"HIBERNATING",TRUE(),"Other")</f>
        <v>Other</v>
      </c>
      <c r="K1939" s="1" t="n">
        <f aca="false">RANK(E1939,$E$7:$E$4378)+COUNTIF($E$7:E1939,E1939)-1</f>
        <v>2627</v>
      </c>
    </row>
    <row r="1940" customFormat="false" ht="14.25" hidden="false" customHeight="true" outlineLevel="0" collapsed="false">
      <c r="A1940" s="51" t="n">
        <v>14968</v>
      </c>
      <c r="B1940" s="53" t="n">
        <v>40856.5819444444</v>
      </c>
      <c r="C1940" s="57" t="n">
        <f aca="false">INT($C$2)-INT(Table3[[#This Row],[Last Purchase Date]])</f>
        <v>31</v>
      </c>
      <c r="D1940" s="1" t="n">
        <v>1</v>
      </c>
      <c r="E1940" s="1" t="n">
        <v>147.59</v>
      </c>
      <c r="F1940" s="1" t="n">
        <f aca="false">ROUND((1-_xlfn.PERCENTRANK.INC($C$7:$C$4378,C1940))*9,0)</f>
        <v>6</v>
      </c>
      <c r="G1940" s="1" t="n">
        <f aca="false">ROUND(_xlfn.PERCENTRANK.INC($D$7:$D$4378,D1940)*9,0)</f>
        <v>0</v>
      </c>
      <c r="H1940" s="1" t="n">
        <f aca="false">ROUND(_xlfn.PERCENTRANK.INC($E$7:$E$4378,E1940)*9,0)</f>
        <v>1</v>
      </c>
      <c r="I1940" s="1" t="str">
        <f aca="false">CONCATENATE(F1940,G1940,H1940)</f>
        <v>601</v>
      </c>
      <c r="J1940" s="1" t="str">
        <f aca="false">_xlfn.IFS(AND(F1940&gt;=8,G1940&gt;=8,H1940&gt;=8),"CHAMPION",AND(F1940&gt;=6,G1940&gt;=7,H1940&gt;=6),"LOYAL CUSTOMER",AND(F1940&gt;=6,G1940&gt;=5,H1940&gt;=5),"POTENTIAL LOYALIST",AND(F1940&gt;=8,G1940&lt;=2,H1940&gt;=5),"NEW CUSTOMERS",AND(F1940&gt;=6,G1940&lt;=2,H1940&gt;=3),"PROMISING",AND(F1940&gt;=3,G1940&gt;=3,H1940&gt;=3),"NEED ATTENTION",AND(F1940&lt;=4,G1940&gt;=6,H1940&gt;=6),"AT RISK",AND(F1940&lt;=2,G1940&gt;=8,H1940&gt;=8),"CAN'T LOSE THEM",AND(F1940&lt;=2,G1940&lt;=2,H1940&lt;=2),"HIBERNATING",TRUE(),"Other")</f>
        <v>Other</v>
      </c>
      <c r="K1940" s="1" t="n">
        <f aca="false">RANK(E1940,$E$7:$E$4378)+COUNTIF($E$7:E1940,E1940)-1</f>
        <v>3928</v>
      </c>
    </row>
    <row r="1941" customFormat="false" ht="14.25" hidden="false" customHeight="true" outlineLevel="0" collapsed="false">
      <c r="A1941" s="51" t="n">
        <v>14970</v>
      </c>
      <c r="B1941" s="53" t="n">
        <v>40818.5722222222</v>
      </c>
      <c r="C1941" s="57" t="n">
        <f aca="false">INT($C$2)-INT(Table3[[#This Row],[Last Purchase Date]])</f>
        <v>69</v>
      </c>
      <c r="D1941" s="1" t="n">
        <v>4</v>
      </c>
      <c r="E1941" s="1" t="n">
        <v>1592.06</v>
      </c>
      <c r="F1941" s="1" t="n">
        <f aca="false">ROUND((1-_xlfn.PERCENTRANK.INC($C$7:$C$4378,C1941))*9,0)</f>
        <v>4</v>
      </c>
      <c r="G1941" s="1" t="n">
        <f aca="false">ROUND(_xlfn.PERCENTRANK.INC($D$7:$D$4378,D1941)*9,0)</f>
        <v>5</v>
      </c>
      <c r="H1941" s="1" t="n">
        <f aca="false">ROUND(_xlfn.PERCENTRANK.INC($E$7:$E$4378,E1941)*9,0)</f>
        <v>7</v>
      </c>
      <c r="I1941" s="1" t="str">
        <f aca="false">CONCATENATE(F1941,G1941,H1941)</f>
        <v>457</v>
      </c>
      <c r="J1941" s="1" t="str">
        <f aca="false">_xlfn.IFS(AND(F1941&gt;=8,G1941&gt;=8,H1941&gt;=8),"CHAMPION",AND(F1941&gt;=6,G1941&gt;=7,H1941&gt;=6),"LOYAL CUSTOMER",AND(F1941&gt;=6,G1941&gt;=5,H1941&gt;=5),"POTENTIAL LOYALIST",AND(F1941&gt;=8,G1941&lt;=2,H1941&gt;=5),"NEW CUSTOMERS",AND(F1941&gt;=6,G1941&lt;=2,H1941&gt;=3),"PROMISING",AND(F1941&gt;=3,G1941&gt;=3,H1941&gt;=3),"NEED ATTENTION",AND(F1941&lt;=4,G1941&gt;=6,H1941&gt;=6),"AT RISK",AND(F1941&lt;=2,G1941&gt;=8,H1941&gt;=8),"CAN'T LOSE THEM",AND(F1941&lt;=2,G1941&lt;=2,H1941&lt;=2),"HIBERNATING",TRUE(),"Other")</f>
        <v>NEED ATTENTION</v>
      </c>
      <c r="K1941" s="1" t="n">
        <f aca="false">RANK(E1941,$E$7:$E$4378)+COUNTIF($E$7:E1941,E1941)-1</f>
        <v>1107</v>
      </c>
    </row>
    <row r="1942" customFormat="false" ht="14.25" hidden="false" customHeight="true" outlineLevel="0" collapsed="false">
      <c r="A1942" s="51" t="n">
        <v>14971</v>
      </c>
      <c r="B1942" s="53" t="n">
        <v>40851.7131944444</v>
      </c>
      <c r="C1942" s="57" t="n">
        <f aca="false">INT($C$2)-INT(Table3[[#This Row],[Last Purchase Date]])</f>
        <v>36</v>
      </c>
      <c r="D1942" s="1" t="n">
        <v>3</v>
      </c>
      <c r="E1942" s="1" t="n">
        <v>1116.57</v>
      </c>
      <c r="F1942" s="1" t="n">
        <f aca="false">ROUND((1-_xlfn.PERCENTRANK.INC($C$7:$C$4378,C1942))*9,0)</f>
        <v>5</v>
      </c>
      <c r="G1942" s="1" t="n">
        <f aca="false">ROUND(_xlfn.PERCENTRANK.INC($D$7:$D$4378,D1942)*9,0)</f>
        <v>4</v>
      </c>
      <c r="H1942" s="1" t="n">
        <f aca="false">ROUND(_xlfn.PERCENTRANK.INC($E$7:$E$4378,E1942)*9,0)</f>
        <v>6</v>
      </c>
      <c r="I1942" s="1" t="str">
        <f aca="false">CONCATENATE(F1942,G1942,H1942)</f>
        <v>546</v>
      </c>
      <c r="J1942" s="1" t="str">
        <f aca="false">_xlfn.IFS(AND(F1942&gt;=8,G1942&gt;=8,H1942&gt;=8),"CHAMPION",AND(F1942&gt;=6,G1942&gt;=7,H1942&gt;=6),"LOYAL CUSTOMER",AND(F1942&gt;=6,G1942&gt;=5,H1942&gt;=5),"POTENTIAL LOYALIST",AND(F1942&gt;=8,G1942&lt;=2,H1942&gt;=5),"NEW CUSTOMERS",AND(F1942&gt;=6,G1942&lt;=2,H1942&gt;=3),"PROMISING",AND(F1942&gt;=3,G1942&gt;=3,H1942&gt;=3),"NEED ATTENTION",AND(F1942&lt;=4,G1942&gt;=6,H1942&gt;=6),"AT RISK",AND(F1942&lt;=2,G1942&gt;=8,H1942&gt;=8),"CAN'T LOSE THEM",AND(F1942&lt;=2,G1942&lt;=2,H1942&lt;=2),"HIBERNATING",TRUE(),"Other")</f>
        <v>NEED ATTENTION</v>
      </c>
      <c r="K1942" s="1" t="n">
        <f aca="false">RANK(E1942,$E$7:$E$4378)+COUNTIF($E$7:E1942,E1942)-1</f>
        <v>1494</v>
      </c>
    </row>
    <row r="1943" customFormat="false" ht="14.25" hidden="false" customHeight="true" outlineLevel="0" collapsed="false">
      <c r="A1943" s="51" t="n">
        <v>14972</v>
      </c>
      <c r="B1943" s="53" t="n">
        <v>40758.6208333333</v>
      </c>
      <c r="C1943" s="57" t="n">
        <f aca="false">INT($C$2)-INT(Table3[[#This Row],[Last Purchase Date]])</f>
        <v>129</v>
      </c>
      <c r="D1943" s="1" t="n">
        <v>1</v>
      </c>
      <c r="E1943" s="1" t="n">
        <v>114.77</v>
      </c>
      <c r="F1943" s="1" t="n">
        <f aca="false">ROUND((1-_xlfn.PERCENTRANK.INC($C$7:$C$4378,C1943))*9,0)</f>
        <v>2</v>
      </c>
      <c r="G1943" s="1" t="n">
        <f aca="false">ROUND(_xlfn.PERCENTRANK.INC($D$7:$D$4378,D1943)*9,0)</f>
        <v>0</v>
      </c>
      <c r="H1943" s="1" t="n">
        <f aca="false">ROUND(_xlfn.PERCENTRANK.INC($E$7:$E$4378,E1943)*9,0)</f>
        <v>1</v>
      </c>
      <c r="I1943" s="1" t="str">
        <f aca="false">CONCATENATE(F1943,G1943,H1943)</f>
        <v>201</v>
      </c>
      <c r="J1943" s="1" t="str">
        <f aca="false">_xlfn.IFS(AND(F1943&gt;=8,G1943&gt;=8,H1943&gt;=8),"CHAMPION",AND(F1943&gt;=6,G1943&gt;=7,H1943&gt;=6),"LOYAL CUSTOMER",AND(F1943&gt;=6,G1943&gt;=5,H1943&gt;=5),"POTENTIAL LOYALIST",AND(F1943&gt;=8,G1943&lt;=2,H1943&gt;=5),"NEW CUSTOMERS",AND(F1943&gt;=6,G1943&lt;=2,H1943&gt;=3),"PROMISING",AND(F1943&gt;=3,G1943&gt;=3,H1943&gt;=3),"NEED ATTENTION",AND(F1943&lt;=4,G1943&gt;=6,H1943&gt;=6),"AT RISK",AND(F1943&lt;=2,G1943&gt;=8,H1943&gt;=8),"CAN'T LOSE THEM",AND(F1943&lt;=2,G1943&lt;=2,H1943&lt;=2),"HIBERNATING",TRUE(),"Other")</f>
        <v>HIBERNATING</v>
      </c>
      <c r="K1943" s="1" t="n">
        <f aca="false">RANK(E1943,$E$7:$E$4378)+COUNTIF($E$7:E1943,E1943)-1</f>
        <v>4072</v>
      </c>
    </row>
    <row r="1944" customFormat="false" ht="14.25" hidden="false" customHeight="true" outlineLevel="0" collapsed="false">
      <c r="A1944" s="51" t="n">
        <v>14973</v>
      </c>
      <c r="B1944" s="53" t="n">
        <v>40779.6604166667</v>
      </c>
      <c r="C1944" s="57" t="n">
        <f aca="false">INT($C$2)-INT(Table3[[#This Row],[Last Purchase Date]])</f>
        <v>108</v>
      </c>
      <c r="D1944" s="1" t="n">
        <v>3</v>
      </c>
      <c r="E1944" s="1" t="n">
        <v>1314.45</v>
      </c>
      <c r="F1944" s="1" t="n">
        <f aca="false">ROUND((1-_xlfn.PERCENTRANK.INC($C$7:$C$4378,C1944))*9,0)</f>
        <v>3</v>
      </c>
      <c r="G1944" s="1" t="n">
        <f aca="false">ROUND(_xlfn.PERCENTRANK.INC($D$7:$D$4378,D1944)*9,0)</f>
        <v>4</v>
      </c>
      <c r="H1944" s="1" t="n">
        <f aca="false">ROUND(_xlfn.PERCENTRANK.INC($E$7:$E$4378,E1944)*9,0)</f>
        <v>6</v>
      </c>
      <c r="I1944" s="1" t="str">
        <f aca="false">CONCATENATE(F1944,G1944,H1944)</f>
        <v>346</v>
      </c>
      <c r="J1944" s="1" t="str">
        <f aca="false">_xlfn.IFS(AND(F1944&gt;=8,G1944&gt;=8,H1944&gt;=8),"CHAMPION",AND(F1944&gt;=6,G1944&gt;=7,H1944&gt;=6),"LOYAL CUSTOMER",AND(F1944&gt;=6,G1944&gt;=5,H1944&gt;=5),"POTENTIAL LOYALIST",AND(F1944&gt;=8,G1944&lt;=2,H1944&gt;=5),"NEW CUSTOMERS",AND(F1944&gt;=6,G1944&lt;=2,H1944&gt;=3),"PROMISING",AND(F1944&gt;=3,G1944&gt;=3,H1944&gt;=3),"NEED ATTENTION",AND(F1944&lt;=4,G1944&gt;=6,H1944&gt;=6),"AT RISK",AND(F1944&lt;=2,G1944&gt;=8,H1944&gt;=8),"CAN'T LOSE THEM",AND(F1944&lt;=2,G1944&lt;=2,H1944&lt;=2),"HIBERNATING",TRUE(),"Other")</f>
        <v>NEED ATTENTION</v>
      </c>
      <c r="K1944" s="1" t="n">
        <f aca="false">RANK(E1944,$E$7:$E$4378)+COUNTIF($E$7:E1944,E1944)-1</f>
        <v>1307</v>
      </c>
    </row>
    <row r="1945" customFormat="false" ht="14.25" hidden="false" customHeight="true" outlineLevel="0" collapsed="false">
      <c r="A1945" s="51" t="n">
        <v>14974</v>
      </c>
      <c r="B1945" s="53" t="n">
        <v>40849.5423611111</v>
      </c>
      <c r="C1945" s="57" t="n">
        <f aca="false">INT($C$2)-INT(Table3[[#This Row],[Last Purchase Date]])</f>
        <v>38</v>
      </c>
      <c r="D1945" s="1" t="n">
        <v>1</v>
      </c>
      <c r="E1945" s="1" t="n">
        <v>114.39</v>
      </c>
      <c r="F1945" s="1" t="n">
        <f aca="false">ROUND((1-_xlfn.PERCENTRANK.INC($C$7:$C$4378,C1945))*9,0)</f>
        <v>5</v>
      </c>
      <c r="G1945" s="1" t="n">
        <f aca="false">ROUND(_xlfn.PERCENTRANK.INC($D$7:$D$4378,D1945)*9,0)</f>
        <v>0</v>
      </c>
      <c r="H1945" s="1" t="n">
        <f aca="false">ROUND(_xlfn.PERCENTRANK.INC($E$7:$E$4378,E1945)*9,0)</f>
        <v>1</v>
      </c>
      <c r="I1945" s="1" t="str">
        <f aca="false">CONCATENATE(F1945,G1945,H1945)</f>
        <v>501</v>
      </c>
      <c r="J1945" s="1" t="str">
        <f aca="false">_xlfn.IFS(AND(F1945&gt;=8,G1945&gt;=8,H1945&gt;=8),"CHAMPION",AND(F1945&gt;=6,G1945&gt;=7,H1945&gt;=6),"LOYAL CUSTOMER",AND(F1945&gt;=6,G1945&gt;=5,H1945&gt;=5),"POTENTIAL LOYALIST",AND(F1945&gt;=8,G1945&lt;=2,H1945&gt;=5),"NEW CUSTOMERS",AND(F1945&gt;=6,G1945&lt;=2,H1945&gt;=3),"PROMISING",AND(F1945&gt;=3,G1945&gt;=3,H1945&gt;=3),"NEED ATTENTION",AND(F1945&lt;=4,G1945&gt;=6,H1945&gt;=6),"AT RISK",AND(F1945&lt;=2,G1945&gt;=8,H1945&gt;=8),"CAN'T LOSE THEM",AND(F1945&lt;=2,G1945&lt;=2,H1945&lt;=2),"HIBERNATING",TRUE(),"Other")</f>
        <v>Other</v>
      </c>
      <c r="K1945" s="1" t="n">
        <f aca="false">RANK(E1945,$E$7:$E$4378)+COUNTIF($E$7:E1945,E1945)-1</f>
        <v>4076</v>
      </c>
    </row>
    <row r="1946" customFormat="false" ht="14.25" hidden="false" customHeight="true" outlineLevel="0" collapsed="false">
      <c r="A1946" s="51" t="n">
        <v>14975</v>
      </c>
      <c r="B1946" s="53" t="n">
        <v>40829.5888888889</v>
      </c>
      <c r="C1946" s="57" t="n">
        <f aca="false">INT($C$2)-INT(Table3[[#This Row],[Last Purchase Date]])</f>
        <v>58</v>
      </c>
      <c r="D1946" s="1" t="n">
        <v>1</v>
      </c>
      <c r="E1946" s="1" t="n">
        <v>279.94</v>
      </c>
      <c r="F1946" s="1" t="n">
        <f aca="false">ROUND((1-_xlfn.PERCENTRANK.INC($C$7:$C$4378,C1946))*9,0)</f>
        <v>4</v>
      </c>
      <c r="G1946" s="1" t="n">
        <f aca="false">ROUND(_xlfn.PERCENTRANK.INC($D$7:$D$4378,D1946)*9,0)</f>
        <v>0</v>
      </c>
      <c r="H1946" s="1" t="n">
        <f aca="false">ROUND(_xlfn.PERCENTRANK.INC($E$7:$E$4378,E1946)*9,0)</f>
        <v>2</v>
      </c>
      <c r="I1946" s="1" t="str">
        <f aca="false">CONCATENATE(F1946,G1946,H1946)</f>
        <v>402</v>
      </c>
      <c r="J1946" s="1" t="str">
        <f aca="false">_xlfn.IFS(AND(F1946&gt;=8,G1946&gt;=8,H1946&gt;=8),"CHAMPION",AND(F1946&gt;=6,G1946&gt;=7,H1946&gt;=6),"LOYAL CUSTOMER",AND(F1946&gt;=6,G1946&gt;=5,H1946&gt;=5),"POTENTIAL LOYALIST",AND(F1946&gt;=8,G1946&lt;=2,H1946&gt;=5),"NEW CUSTOMERS",AND(F1946&gt;=6,G1946&lt;=2,H1946&gt;=3),"PROMISING",AND(F1946&gt;=3,G1946&gt;=3,H1946&gt;=3),"NEED ATTENTION",AND(F1946&lt;=4,G1946&gt;=6,H1946&gt;=6),"AT RISK",AND(F1946&lt;=2,G1946&gt;=8,H1946&gt;=8),"CAN'T LOSE THEM",AND(F1946&lt;=2,G1946&lt;=2,H1946&lt;=2),"HIBERNATING",TRUE(),"Other")</f>
        <v>Other</v>
      </c>
      <c r="K1946" s="1" t="n">
        <f aca="false">RANK(E1946,$E$7:$E$4378)+COUNTIF($E$7:E1946,E1946)-1</f>
        <v>3328</v>
      </c>
    </row>
    <row r="1947" customFormat="false" ht="14.25" hidden="false" customHeight="true" outlineLevel="0" collapsed="false">
      <c r="A1947" s="51" t="n">
        <v>14976</v>
      </c>
      <c r="B1947" s="53" t="n">
        <v>40829.6923611111</v>
      </c>
      <c r="C1947" s="57" t="n">
        <f aca="false">INT($C$2)-INT(Table3[[#This Row],[Last Purchase Date]])</f>
        <v>58</v>
      </c>
      <c r="D1947" s="1" t="n">
        <v>8</v>
      </c>
      <c r="E1947" s="1" t="n">
        <v>765.86</v>
      </c>
      <c r="F1947" s="1" t="n">
        <f aca="false">ROUND((1-_xlfn.PERCENTRANK.INC($C$7:$C$4378,C1947))*9,0)</f>
        <v>4</v>
      </c>
      <c r="G1947" s="1" t="n">
        <f aca="false">ROUND(_xlfn.PERCENTRANK.INC($D$7:$D$4378,D1947)*9,0)</f>
        <v>7</v>
      </c>
      <c r="H1947" s="1" t="n">
        <f aca="false">ROUND(_xlfn.PERCENTRANK.INC($E$7:$E$4378,E1947)*9,0)</f>
        <v>5</v>
      </c>
      <c r="I1947" s="1" t="str">
        <f aca="false">CONCATENATE(F1947,G1947,H1947)</f>
        <v>475</v>
      </c>
      <c r="J1947" s="1" t="str">
        <f aca="false">_xlfn.IFS(AND(F1947&gt;=8,G1947&gt;=8,H1947&gt;=8),"CHAMPION",AND(F1947&gt;=6,G1947&gt;=7,H1947&gt;=6),"LOYAL CUSTOMER",AND(F1947&gt;=6,G1947&gt;=5,H1947&gt;=5),"POTENTIAL LOYALIST",AND(F1947&gt;=8,G1947&lt;=2,H1947&gt;=5),"NEW CUSTOMERS",AND(F1947&gt;=6,G1947&lt;=2,H1947&gt;=3),"PROMISING",AND(F1947&gt;=3,G1947&gt;=3,H1947&gt;=3),"NEED ATTENTION",AND(F1947&lt;=4,G1947&gt;=6,H1947&gt;=6),"AT RISK",AND(F1947&lt;=2,G1947&gt;=8,H1947&gt;=8),"CAN'T LOSE THEM",AND(F1947&lt;=2,G1947&lt;=2,H1947&lt;=2),"HIBERNATING",TRUE(),"Other")</f>
        <v>NEED ATTENTION</v>
      </c>
      <c r="K1947" s="1" t="n">
        <f aca="false">RANK(E1947,$E$7:$E$4378)+COUNTIF($E$7:E1947,E1947)-1</f>
        <v>1952</v>
      </c>
    </row>
    <row r="1948" customFormat="false" ht="14.25" hidden="false" customHeight="true" outlineLevel="0" collapsed="false">
      <c r="A1948" s="51" t="n">
        <v>14978</v>
      </c>
      <c r="B1948" s="53" t="n">
        <v>40814.5465277778</v>
      </c>
      <c r="C1948" s="57" t="n">
        <f aca="false">INT($C$2)-INT(Table3[[#This Row],[Last Purchase Date]])</f>
        <v>73</v>
      </c>
      <c r="D1948" s="1" t="n">
        <v>5</v>
      </c>
      <c r="E1948" s="1" t="n">
        <v>1931.42</v>
      </c>
      <c r="F1948" s="1" t="n">
        <f aca="false">ROUND((1-_xlfn.PERCENTRANK.INC($C$7:$C$4378,C1948))*9,0)</f>
        <v>4</v>
      </c>
      <c r="G1948" s="1" t="n">
        <f aca="false">ROUND(_xlfn.PERCENTRANK.INC($D$7:$D$4378,D1948)*9,0)</f>
        <v>6</v>
      </c>
      <c r="H1948" s="1" t="n">
        <f aca="false">ROUND(_xlfn.PERCENTRANK.INC($E$7:$E$4378,E1948)*9,0)</f>
        <v>7</v>
      </c>
      <c r="I1948" s="1" t="str">
        <f aca="false">CONCATENATE(F1948,G1948,H1948)</f>
        <v>467</v>
      </c>
      <c r="J1948" s="1" t="str">
        <f aca="false">_xlfn.IFS(AND(F1948&gt;=8,G1948&gt;=8,H1948&gt;=8),"CHAMPION",AND(F1948&gt;=6,G1948&gt;=7,H1948&gt;=6),"LOYAL CUSTOMER",AND(F1948&gt;=6,G1948&gt;=5,H1948&gt;=5),"POTENTIAL LOYALIST",AND(F1948&gt;=8,G1948&lt;=2,H1948&gt;=5),"NEW CUSTOMERS",AND(F1948&gt;=6,G1948&lt;=2,H1948&gt;=3),"PROMISING",AND(F1948&gt;=3,G1948&gt;=3,H1948&gt;=3),"NEED ATTENTION",AND(F1948&lt;=4,G1948&gt;=6,H1948&gt;=6),"AT RISK",AND(F1948&lt;=2,G1948&gt;=8,H1948&gt;=8),"CAN'T LOSE THEM",AND(F1948&lt;=2,G1948&lt;=2,H1948&lt;=2),"HIBERNATING",TRUE(),"Other")</f>
        <v>NEED ATTENTION</v>
      </c>
      <c r="K1948" s="1" t="n">
        <f aca="false">RANK(E1948,$E$7:$E$4378)+COUNTIF($E$7:E1948,E1948)-1</f>
        <v>901</v>
      </c>
    </row>
    <row r="1949" customFormat="false" ht="14.25" hidden="false" customHeight="true" outlineLevel="0" collapsed="false">
      <c r="A1949" s="51" t="n">
        <v>14981</v>
      </c>
      <c r="B1949" s="53" t="n">
        <v>40640.5729166667</v>
      </c>
      <c r="C1949" s="57" t="n">
        <f aca="false">INT($C$2)-INT(Table3[[#This Row],[Last Purchase Date]])</f>
        <v>247</v>
      </c>
      <c r="D1949" s="1" t="n">
        <v>1</v>
      </c>
      <c r="E1949" s="1" t="n">
        <v>102.12</v>
      </c>
      <c r="F1949" s="1" t="n">
        <f aca="false">ROUND((1-_xlfn.PERCENTRANK.INC($C$7:$C$4378,C1949))*9,0)</f>
        <v>1</v>
      </c>
      <c r="G1949" s="1" t="n">
        <f aca="false">ROUND(_xlfn.PERCENTRANK.INC($D$7:$D$4378,D1949)*9,0)</f>
        <v>0</v>
      </c>
      <c r="H1949" s="1" t="n">
        <f aca="false">ROUND(_xlfn.PERCENTRANK.INC($E$7:$E$4378,E1949)*9,0)</f>
        <v>0</v>
      </c>
      <c r="I1949" s="1" t="str">
        <f aca="false">CONCATENATE(F1949,G1949,H1949)</f>
        <v>100</v>
      </c>
      <c r="J1949" s="1" t="str">
        <f aca="false">_xlfn.IFS(AND(F1949&gt;=8,G1949&gt;=8,H1949&gt;=8),"CHAMPION",AND(F1949&gt;=6,G1949&gt;=7,H1949&gt;=6),"LOYAL CUSTOMER",AND(F1949&gt;=6,G1949&gt;=5,H1949&gt;=5),"POTENTIAL LOYALIST",AND(F1949&gt;=8,G1949&lt;=2,H1949&gt;=5),"NEW CUSTOMERS",AND(F1949&gt;=6,G1949&lt;=2,H1949&gt;=3),"PROMISING",AND(F1949&gt;=3,G1949&gt;=3,H1949&gt;=3),"NEED ATTENTION",AND(F1949&lt;=4,G1949&gt;=6,H1949&gt;=6),"AT RISK",AND(F1949&lt;=2,G1949&gt;=8,H1949&gt;=8),"CAN'T LOSE THEM",AND(F1949&lt;=2,G1949&lt;=2,H1949&lt;=2),"HIBERNATING",TRUE(),"Other")</f>
        <v>HIBERNATING</v>
      </c>
      <c r="K1949" s="1" t="n">
        <f aca="false">RANK(E1949,$E$7:$E$4378)+COUNTIF($E$7:E1949,E1949)-1</f>
        <v>4144</v>
      </c>
    </row>
    <row r="1950" customFormat="false" ht="14.25" hidden="false" customHeight="true" outlineLevel="0" collapsed="false">
      <c r="A1950" s="51" t="n">
        <v>14984</v>
      </c>
      <c r="B1950" s="53" t="n">
        <v>40867.6027777778</v>
      </c>
      <c r="C1950" s="57" t="n">
        <f aca="false">INT($C$2)-INT(Table3[[#This Row],[Last Purchase Date]])</f>
        <v>20</v>
      </c>
      <c r="D1950" s="1" t="n">
        <v>2</v>
      </c>
      <c r="E1950" s="1" t="n">
        <v>213.27</v>
      </c>
      <c r="F1950" s="1" t="n">
        <f aca="false">ROUND((1-_xlfn.PERCENTRANK.INC($C$7:$C$4378,C1950))*9,0)</f>
        <v>6</v>
      </c>
      <c r="G1950" s="1" t="n">
        <f aca="false">ROUND(_xlfn.PERCENTRANK.INC($D$7:$D$4378,D1950)*9,0)</f>
        <v>3</v>
      </c>
      <c r="H1950" s="1" t="n">
        <f aca="false">ROUND(_xlfn.PERCENTRANK.INC($E$7:$E$4378,E1950)*9,0)</f>
        <v>2</v>
      </c>
      <c r="I1950" s="1" t="str">
        <f aca="false">CONCATENATE(F1950,G1950,H1950)</f>
        <v>632</v>
      </c>
      <c r="J1950" s="1" t="str">
        <f aca="false">_xlfn.IFS(AND(F1950&gt;=8,G1950&gt;=8,H1950&gt;=8),"CHAMPION",AND(F1950&gt;=6,G1950&gt;=7,H1950&gt;=6),"LOYAL CUSTOMER",AND(F1950&gt;=6,G1950&gt;=5,H1950&gt;=5),"POTENTIAL LOYALIST",AND(F1950&gt;=8,G1950&lt;=2,H1950&gt;=5),"NEW CUSTOMERS",AND(F1950&gt;=6,G1950&lt;=2,H1950&gt;=3),"PROMISING",AND(F1950&gt;=3,G1950&gt;=3,H1950&gt;=3),"NEED ATTENTION",AND(F1950&lt;=4,G1950&gt;=6,H1950&gt;=6),"AT RISK",AND(F1950&lt;=2,G1950&gt;=8,H1950&gt;=8),"CAN'T LOSE THEM",AND(F1950&lt;=2,G1950&lt;=2,H1950&lt;=2),"HIBERNATING",TRUE(),"Other")</f>
        <v>Other</v>
      </c>
      <c r="K1950" s="1" t="n">
        <f aca="false">RANK(E1950,$E$7:$E$4378)+COUNTIF($E$7:E1950,E1950)-1</f>
        <v>3602</v>
      </c>
    </row>
    <row r="1951" customFormat="false" ht="14.25" hidden="false" customHeight="true" outlineLevel="0" collapsed="false">
      <c r="A1951" s="51" t="n">
        <v>14985</v>
      </c>
      <c r="B1951" s="53" t="n">
        <v>40688.6034722222</v>
      </c>
      <c r="C1951" s="57" t="n">
        <f aca="false">INT($C$2)-INT(Table3[[#This Row],[Last Purchase Date]])</f>
        <v>199</v>
      </c>
      <c r="D1951" s="1" t="n">
        <v>2</v>
      </c>
      <c r="E1951" s="1" t="n">
        <v>296.75</v>
      </c>
      <c r="F1951" s="1" t="n">
        <f aca="false">ROUND((1-_xlfn.PERCENTRANK.INC($C$7:$C$4378,C1951))*9,0)</f>
        <v>2</v>
      </c>
      <c r="G1951" s="1" t="n">
        <f aca="false">ROUND(_xlfn.PERCENTRANK.INC($D$7:$D$4378,D1951)*9,0)</f>
        <v>3</v>
      </c>
      <c r="H1951" s="1" t="n">
        <f aca="false">ROUND(_xlfn.PERCENTRANK.INC($E$7:$E$4378,E1951)*9,0)</f>
        <v>2</v>
      </c>
      <c r="I1951" s="1" t="str">
        <f aca="false">CONCATENATE(F1951,G1951,H1951)</f>
        <v>232</v>
      </c>
      <c r="J1951" s="1" t="str">
        <f aca="false">_xlfn.IFS(AND(F1951&gt;=8,G1951&gt;=8,H1951&gt;=8),"CHAMPION",AND(F1951&gt;=6,G1951&gt;=7,H1951&gt;=6),"LOYAL CUSTOMER",AND(F1951&gt;=6,G1951&gt;=5,H1951&gt;=5),"POTENTIAL LOYALIST",AND(F1951&gt;=8,G1951&lt;=2,H1951&gt;=5),"NEW CUSTOMERS",AND(F1951&gt;=6,G1951&lt;=2,H1951&gt;=3),"PROMISING",AND(F1951&gt;=3,G1951&gt;=3,H1951&gt;=3),"NEED ATTENTION",AND(F1951&lt;=4,G1951&gt;=6,H1951&gt;=6),"AT RISK",AND(F1951&lt;=2,G1951&gt;=8,H1951&gt;=8),"CAN'T LOSE THEM",AND(F1951&lt;=2,G1951&lt;=2,H1951&lt;=2),"HIBERNATING",TRUE(),"Other")</f>
        <v>Other</v>
      </c>
      <c r="K1951" s="1" t="n">
        <f aca="false">RANK(E1951,$E$7:$E$4378)+COUNTIF($E$7:E1951,E1951)-1</f>
        <v>3268</v>
      </c>
    </row>
    <row r="1952" customFormat="false" ht="14.25" hidden="false" customHeight="true" outlineLevel="0" collapsed="false">
      <c r="A1952" s="51" t="n">
        <v>14987</v>
      </c>
      <c r="B1952" s="53" t="n">
        <v>40871.4159722222</v>
      </c>
      <c r="C1952" s="57" t="n">
        <f aca="false">INT($C$2)-INT(Table3[[#This Row],[Last Purchase Date]])</f>
        <v>16</v>
      </c>
      <c r="D1952" s="1" t="n">
        <v>2</v>
      </c>
      <c r="E1952" s="1" t="n">
        <v>326.4</v>
      </c>
      <c r="F1952" s="1" t="n">
        <f aca="false">ROUND((1-_xlfn.PERCENTRANK.INC($C$7:$C$4378,C1952))*9,0)</f>
        <v>7</v>
      </c>
      <c r="G1952" s="1" t="n">
        <f aca="false">ROUND(_xlfn.PERCENTRANK.INC($D$7:$D$4378,D1952)*9,0)</f>
        <v>3</v>
      </c>
      <c r="H1952" s="1" t="n">
        <f aca="false">ROUND(_xlfn.PERCENTRANK.INC($E$7:$E$4378,E1952)*9,0)</f>
        <v>3</v>
      </c>
      <c r="I1952" s="1" t="str">
        <f aca="false">CONCATENATE(F1952,G1952,H1952)</f>
        <v>733</v>
      </c>
      <c r="J1952" s="1" t="str">
        <f aca="false">_xlfn.IFS(AND(F1952&gt;=8,G1952&gt;=8,H1952&gt;=8),"CHAMPION",AND(F1952&gt;=6,G1952&gt;=7,H1952&gt;=6),"LOYAL CUSTOMER",AND(F1952&gt;=6,G1952&gt;=5,H1952&gt;=5),"POTENTIAL LOYALIST",AND(F1952&gt;=8,G1952&lt;=2,H1952&gt;=5),"NEW CUSTOMERS",AND(F1952&gt;=6,G1952&lt;=2,H1952&gt;=3),"PROMISING",AND(F1952&gt;=3,G1952&gt;=3,H1952&gt;=3),"NEED ATTENTION",AND(F1952&lt;=4,G1952&gt;=6,H1952&gt;=6),"AT RISK",AND(F1952&lt;=2,G1952&gt;=8,H1952&gt;=8),"CAN'T LOSE THEM",AND(F1952&lt;=2,G1952&lt;=2,H1952&lt;=2),"HIBERNATING",TRUE(),"Other")</f>
        <v>NEED ATTENTION</v>
      </c>
      <c r="K1952" s="1" t="n">
        <f aca="false">RANK(E1952,$E$7:$E$4378)+COUNTIF($E$7:E1952,E1952)-1</f>
        <v>3110</v>
      </c>
    </row>
    <row r="1953" customFormat="false" ht="14.25" hidden="false" customHeight="true" outlineLevel="0" collapsed="false">
      <c r="A1953" s="51" t="n">
        <v>14988</v>
      </c>
      <c r="B1953" s="53" t="n">
        <v>40675.5034722222</v>
      </c>
      <c r="C1953" s="57" t="n">
        <f aca="false">INT($C$2)-INT(Table3[[#This Row],[Last Purchase Date]])</f>
        <v>212</v>
      </c>
      <c r="D1953" s="1" t="n">
        <v>1</v>
      </c>
      <c r="E1953" s="1" t="n">
        <v>334.54</v>
      </c>
      <c r="F1953" s="1" t="n">
        <f aca="false">ROUND((1-_xlfn.PERCENTRANK.INC($C$7:$C$4378,C1953))*9,0)</f>
        <v>1</v>
      </c>
      <c r="G1953" s="1" t="n">
        <f aca="false">ROUND(_xlfn.PERCENTRANK.INC($D$7:$D$4378,D1953)*9,0)</f>
        <v>0</v>
      </c>
      <c r="H1953" s="1" t="n">
        <f aca="false">ROUND(_xlfn.PERCENTRANK.INC($E$7:$E$4378,E1953)*9,0)</f>
        <v>3</v>
      </c>
      <c r="I1953" s="1" t="str">
        <f aca="false">CONCATENATE(F1953,G1953,H1953)</f>
        <v>103</v>
      </c>
      <c r="J1953" s="1" t="str">
        <f aca="false">_xlfn.IFS(AND(F1953&gt;=8,G1953&gt;=8,H1953&gt;=8),"CHAMPION",AND(F1953&gt;=6,G1953&gt;=7,H1953&gt;=6),"LOYAL CUSTOMER",AND(F1953&gt;=6,G1953&gt;=5,H1953&gt;=5),"POTENTIAL LOYALIST",AND(F1953&gt;=8,G1953&lt;=2,H1953&gt;=5),"NEW CUSTOMERS",AND(F1953&gt;=6,G1953&lt;=2,H1953&gt;=3),"PROMISING",AND(F1953&gt;=3,G1953&gt;=3,H1953&gt;=3),"NEED ATTENTION",AND(F1953&lt;=4,G1953&gt;=6,H1953&gt;=6),"AT RISK",AND(F1953&lt;=2,G1953&gt;=8,H1953&gt;=8),"CAN'T LOSE THEM",AND(F1953&lt;=2,G1953&lt;=2,H1953&lt;=2),"HIBERNATING",TRUE(),"Other")</f>
        <v>Other</v>
      </c>
      <c r="K1953" s="1" t="n">
        <f aca="false">RANK(E1953,$E$7:$E$4378)+COUNTIF($E$7:E1953,E1953)-1</f>
        <v>3074</v>
      </c>
    </row>
    <row r="1954" customFormat="false" ht="14.25" hidden="false" customHeight="true" outlineLevel="0" collapsed="false">
      <c r="A1954" s="51" t="n">
        <v>14995</v>
      </c>
      <c r="B1954" s="53" t="n">
        <v>40848.4854166667</v>
      </c>
      <c r="C1954" s="57" t="n">
        <f aca="false">INT($C$2)-INT(Table3[[#This Row],[Last Purchase Date]])</f>
        <v>39</v>
      </c>
      <c r="D1954" s="1" t="n">
        <v>2</v>
      </c>
      <c r="E1954" s="1" t="n">
        <v>233.23</v>
      </c>
      <c r="F1954" s="1" t="n">
        <f aca="false">ROUND((1-_xlfn.PERCENTRANK.INC($C$7:$C$4378,C1954))*9,0)</f>
        <v>5</v>
      </c>
      <c r="G1954" s="1" t="n">
        <f aca="false">ROUND(_xlfn.PERCENTRANK.INC($D$7:$D$4378,D1954)*9,0)</f>
        <v>3</v>
      </c>
      <c r="H1954" s="1" t="n">
        <f aca="false">ROUND(_xlfn.PERCENTRANK.INC($E$7:$E$4378,E1954)*9,0)</f>
        <v>2</v>
      </c>
      <c r="I1954" s="1" t="str">
        <f aca="false">CONCATENATE(F1954,G1954,H1954)</f>
        <v>532</v>
      </c>
      <c r="J1954" s="1" t="str">
        <f aca="false">_xlfn.IFS(AND(F1954&gt;=8,G1954&gt;=8,H1954&gt;=8),"CHAMPION",AND(F1954&gt;=6,G1954&gt;=7,H1954&gt;=6),"LOYAL CUSTOMER",AND(F1954&gt;=6,G1954&gt;=5,H1954&gt;=5),"POTENTIAL LOYALIST",AND(F1954&gt;=8,G1954&lt;=2,H1954&gt;=5),"NEW CUSTOMERS",AND(F1954&gt;=6,G1954&lt;=2,H1954&gt;=3),"PROMISING",AND(F1954&gt;=3,G1954&gt;=3,H1954&gt;=3),"NEED ATTENTION",AND(F1954&lt;=4,G1954&gt;=6,H1954&gt;=6),"AT RISK",AND(F1954&lt;=2,G1954&gt;=8,H1954&gt;=8),"CAN'T LOSE THEM",AND(F1954&lt;=2,G1954&lt;=2,H1954&lt;=2),"HIBERNATING",TRUE(),"Other")</f>
        <v>Other</v>
      </c>
      <c r="K1954" s="1" t="n">
        <f aca="false">RANK(E1954,$E$7:$E$4378)+COUNTIF($E$7:E1954,E1954)-1</f>
        <v>3505</v>
      </c>
    </row>
    <row r="1955" customFormat="false" ht="14.25" hidden="false" customHeight="true" outlineLevel="0" collapsed="false">
      <c r="A1955" s="51" t="n">
        <v>14997</v>
      </c>
      <c r="B1955" s="53" t="n">
        <v>40840.5611111111</v>
      </c>
      <c r="C1955" s="57" t="n">
        <f aca="false">INT($C$2)-INT(Table3[[#This Row],[Last Purchase Date]])</f>
        <v>47</v>
      </c>
      <c r="D1955" s="1" t="n">
        <v>4</v>
      </c>
      <c r="E1955" s="1" t="n">
        <v>540.98</v>
      </c>
      <c r="F1955" s="1" t="n">
        <f aca="false">ROUND((1-_xlfn.PERCENTRANK.INC($C$7:$C$4378,C1955))*9,0)</f>
        <v>5</v>
      </c>
      <c r="G1955" s="1" t="n">
        <f aca="false">ROUND(_xlfn.PERCENTRANK.INC($D$7:$D$4378,D1955)*9,0)</f>
        <v>5</v>
      </c>
      <c r="H1955" s="1" t="n">
        <f aca="false">ROUND(_xlfn.PERCENTRANK.INC($E$7:$E$4378,E1955)*9,0)</f>
        <v>4</v>
      </c>
      <c r="I1955" s="1" t="str">
        <f aca="false">CONCATENATE(F1955,G1955,H1955)</f>
        <v>554</v>
      </c>
      <c r="J1955" s="1" t="str">
        <f aca="false">_xlfn.IFS(AND(F1955&gt;=8,G1955&gt;=8,H1955&gt;=8),"CHAMPION",AND(F1955&gt;=6,G1955&gt;=7,H1955&gt;=6),"LOYAL CUSTOMER",AND(F1955&gt;=6,G1955&gt;=5,H1955&gt;=5),"POTENTIAL LOYALIST",AND(F1955&gt;=8,G1955&lt;=2,H1955&gt;=5),"NEW CUSTOMERS",AND(F1955&gt;=6,G1955&lt;=2,H1955&gt;=3),"PROMISING",AND(F1955&gt;=3,G1955&gt;=3,H1955&gt;=3),"NEED ATTENTION",AND(F1955&lt;=4,G1955&gt;=6,H1955&gt;=6),"AT RISK",AND(F1955&lt;=2,G1955&gt;=8,H1955&gt;=8),"CAN'T LOSE THEM",AND(F1955&lt;=2,G1955&lt;=2,H1955&lt;=2),"HIBERNATING",TRUE(),"Other")</f>
        <v>NEED ATTENTION</v>
      </c>
      <c r="K1955" s="1" t="n">
        <f aca="false">RANK(E1955,$E$7:$E$4378)+COUNTIF($E$7:E1955,E1955)-1</f>
        <v>2452</v>
      </c>
    </row>
    <row r="1956" customFormat="false" ht="14.25" hidden="false" customHeight="true" outlineLevel="0" collapsed="false">
      <c r="A1956" s="51" t="n">
        <v>14998</v>
      </c>
      <c r="B1956" s="53" t="n">
        <v>40716.7291666667</v>
      </c>
      <c r="C1956" s="57" t="n">
        <f aca="false">INT($C$2)-INT(Table3[[#This Row],[Last Purchase Date]])</f>
        <v>171</v>
      </c>
      <c r="D1956" s="1" t="n">
        <v>2</v>
      </c>
      <c r="E1956" s="1" t="n">
        <v>429.87</v>
      </c>
      <c r="F1956" s="1" t="n">
        <f aca="false">ROUND((1-_xlfn.PERCENTRANK.INC($C$7:$C$4378,C1956))*9,0)</f>
        <v>2</v>
      </c>
      <c r="G1956" s="1" t="n">
        <f aca="false">ROUND(_xlfn.PERCENTRANK.INC($D$7:$D$4378,D1956)*9,0)</f>
        <v>3</v>
      </c>
      <c r="H1956" s="1" t="n">
        <f aca="false">ROUND(_xlfn.PERCENTRANK.INC($E$7:$E$4378,E1956)*9,0)</f>
        <v>3</v>
      </c>
      <c r="I1956" s="1" t="str">
        <f aca="false">CONCATENATE(F1956,G1956,H1956)</f>
        <v>233</v>
      </c>
      <c r="J1956" s="1" t="str">
        <f aca="false">_xlfn.IFS(AND(F1956&gt;=8,G1956&gt;=8,H1956&gt;=8),"CHAMPION",AND(F1956&gt;=6,G1956&gt;=7,H1956&gt;=6),"LOYAL CUSTOMER",AND(F1956&gt;=6,G1956&gt;=5,H1956&gt;=5),"POTENTIAL LOYALIST",AND(F1956&gt;=8,G1956&lt;=2,H1956&gt;=5),"NEW CUSTOMERS",AND(F1956&gt;=6,G1956&lt;=2,H1956&gt;=3),"PROMISING",AND(F1956&gt;=3,G1956&gt;=3,H1956&gt;=3),"NEED ATTENTION",AND(F1956&lt;=4,G1956&gt;=6,H1956&gt;=6),"AT RISK",AND(F1956&lt;=2,G1956&gt;=8,H1956&gt;=8),"CAN'T LOSE THEM",AND(F1956&lt;=2,G1956&lt;=2,H1956&lt;=2),"HIBERNATING",TRUE(),"Other")</f>
        <v>Other</v>
      </c>
      <c r="K1956" s="1" t="n">
        <f aca="false">RANK(E1956,$E$7:$E$4378)+COUNTIF($E$7:E1956,E1956)-1</f>
        <v>2720</v>
      </c>
    </row>
    <row r="1957" customFormat="false" ht="14.25" hidden="false" customHeight="true" outlineLevel="0" collapsed="false">
      <c r="A1957" s="51" t="n">
        <v>15000</v>
      </c>
      <c r="B1957" s="53" t="n">
        <v>40839.4875</v>
      </c>
      <c r="C1957" s="57" t="n">
        <f aca="false">INT($C$2)-INT(Table3[[#This Row],[Last Purchase Date]])</f>
        <v>48</v>
      </c>
      <c r="D1957" s="1" t="n">
        <v>1</v>
      </c>
      <c r="E1957" s="1" t="n">
        <v>490.52</v>
      </c>
      <c r="F1957" s="1" t="n">
        <f aca="false">ROUND((1-_xlfn.PERCENTRANK.INC($C$7:$C$4378,C1957))*9,0)</f>
        <v>5</v>
      </c>
      <c r="G1957" s="1" t="n">
        <f aca="false">ROUND(_xlfn.PERCENTRANK.INC($D$7:$D$4378,D1957)*9,0)</f>
        <v>0</v>
      </c>
      <c r="H1957" s="1" t="n">
        <f aca="false">ROUND(_xlfn.PERCENTRANK.INC($E$7:$E$4378,E1957)*9,0)</f>
        <v>4</v>
      </c>
      <c r="I1957" s="1" t="str">
        <f aca="false">CONCATENATE(F1957,G1957,H1957)</f>
        <v>504</v>
      </c>
      <c r="J1957" s="1" t="str">
        <f aca="false">_xlfn.IFS(AND(F1957&gt;=8,G1957&gt;=8,H1957&gt;=8),"CHAMPION",AND(F1957&gt;=6,G1957&gt;=7,H1957&gt;=6),"LOYAL CUSTOMER",AND(F1957&gt;=6,G1957&gt;=5,H1957&gt;=5),"POTENTIAL LOYALIST",AND(F1957&gt;=8,G1957&lt;=2,H1957&gt;=5),"NEW CUSTOMERS",AND(F1957&gt;=6,G1957&lt;=2,H1957&gt;=3),"PROMISING",AND(F1957&gt;=3,G1957&gt;=3,H1957&gt;=3),"NEED ATTENTION",AND(F1957&lt;=4,G1957&gt;=6,H1957&gt;=6),"AT RISK",AND(F1957&lt;=2,G1957&gt;=8,H1957&gt;=8),"CAN'T LOSE THEM",AND(F1957&lt;=2,G1957&lt;=2,H1957&lt;=2),"HIBERNATING",TRUE(),"Other")</f>
        <v>Other</v>
      </c>
      <c r="K1957" s="1" t="n">
        <f aca="false">RANK(E1957,$E$7:$E$4378)+COUNTIF($E$7:E1957,E1957)-1</f>
        <v>2567</v>
      </c>
    </row>
    <row r="1958" customFormat="false" ht="14.25" hidden="false" customHeight="true" outlineLevel="0" collapsed="false">
      <c r="A1958" s="51" t="n">
        <v>15002</v>
      </c>
      <c r="B1958" s="53" t="n">
        <v>40771.4472222222</v>
      </c>
      <c r="C1958" s="57" t="n">
        <f aca="false">INT($C$2)-INT(Table3[[#This Row],[Last Purchase Date]])</f>
        <v>116</v>
      </c>
      <c r="D1958" s="1" t="n">
        <v>4</v>
      </c>
      <c r="E1958" s="1" t="n">
        <v>1641.76</v>
      </c>
      <c r="F1958" s="1" t="n">
        <f aca="false">ROUND((1-_xlfn.PERCENTRANK.INC($C$7:$C$4378,C1958))*9,0)</f>
        <v>3</v>
      </c>
      <c r="G1958" s="1" t="n">
        <f aca="false">ROUND(_xlfn.PERCENTRANK.INC($D$7:$D$4378,D1958)*9,0)</f>
        <v>5</v>
      </c>
      <c r="H1958" s="1" t="n">
        <f aca="false">ROUND(_xlfn.PERCENTRANK.INC($E$7:$E$4378,E1958)*9,0)</f>
        <v>7</v>
      </c>
      <c r="I1958" s="1" t="str">
        <f aca="false">CONCATENATE(F1958,G1958,H1958)</f>
        <v>357</v>
      </c>
      <c r="J1958" s="1" t="str">
        <f aca="false">_xlfn.IFS(AND(F1958&gt;=8,G1958&gt;=8,H1958&gt;=8),"CHAMPION",AND(F1958&gt;=6,G1958&gt;=7,H1958&gt;=6),"LOYAL CUSTOMER",AND(F1958&gt;=6,G1958&gt;=5,H1958&gt;=5),"POTENTIAL LOYALIST",AND(F1958&gt;=8,G1958&lt;=2,H1958&gt;=5),"NEW CUSTOMERS",AND(F1958&gt;=6,G1958&lt;=2,H1958&gt;=3),"PROMISING",AND(F1958&gt;=3,G1958&gt;=3,H1958&gt;=3),"NEED ATTENTION",AND(F1958&lt;=4,G1958&gt;=6,H1958&gt;=6),"AT RISK",AND(F1958&lt;=2,G1958&gt;=8,H1958&gt;=8),"CAN'T LOSE THEM",AND(F1958&lt;=2,G1958&lt;=2,H1958&lt;=2),"HIBERNATING",TRUE(),"Other")</f>
        <v>NEED ATTENTION</v>
      </c>
      <c r="K1958" s="1" t="n">
        <f aca="false">RANK(E1958,$E$7:$E$4378)+COUNTIF($E$7:E1958,E1958)-1</f>
        <v>1071</v>
      </c>
    </row>
    <row r="1959" customFormat="false" ht="14.25" hidden="false" customHeight="true" outlineLevel="0" collapsed="false">
      <c r="A1959" s="51" t="n">
        <v>15004</v>
      </c>
      <c r="B1959" s="53" t="n">
        <v>40739.5868055556</v>
      </c>
      <c r="C1959" s="57" t="n">
        <f aca="false">INT($C$2)-INT(Table3[[#This Row],[Last Purchase Date]])</f>
        <v>148</v>
      </c>
      <c r="D1959" s="1" t="n">
        <v>1</v>
      </c>
      <c r="E1959" s="1" t="n">
        <v>1246.32</v>
      </c>
      <c r="F1959" s="1" t="n">
        <f aca="false">ROUND((1-_xlfn.PERCENTRANK.INC($C$7:$C$4378,C1959))*9,0)</f>
        <v>2</v>
      </c>
      <c r="G1959" s="1" t="n">
        <f aca="false">ROUND(_xlfn.PERCENTRANK.INC($D$7:$D$4378,D1959)*9,0)</f>
        <v>0</v>
      </c>
      <c r="H1959" s="1" t="n">
        <f aca="false">ROUND(_xlfn.PERCENTRANK.INC($E$7:$E$4378,E1959)*9,0)</f>
        <v>6</v>
      </c>
      <c r="I1959" s="1" t="str">
        <f aca="false">CONCATENATE(F1959,G1959,H1959)</f>
        <v>206</v>
      </c>
      <c r="J1959" s="1" t="str">
        <f aca="false">_xlfn.IFS(AND(F1959&gt;=8,G1959&gt;=8,H1959&gt;=8),"CHAMPION",AND(F1959&gt;=6,G1959&gt;=7,H1959&gt;=6),"LOYAL CUSTOMER",AND(F1959&gt;=6,G1959&gt;=5,H1959&gt;=5),"POTENTIAL LOYALIST",AND(F1959&gt;=8,G1959&lt;=2,H1959&gt;=5),"NEW CUSTOMERS",AND(F1959&gt;=6,G1959&lt;=2,H1959&gt;=3),"PROMISING",AND(F1959&gt;=3,G1959&gt;=3,H1959&gt;=3),"NEED ATTENTION",AND(F1959&lt;=4,G1959&gt;=6,H1959&gt;=6),"AT RISK",AND(F1959&lt;=2,G1959&gt;=8,H1959&gt;=8),"CAN'T LOSE THEM",AND(F1959&lt;=2,G1959&lt;=2,H1959&lt;=2),"HIBERNATING",TRUE(),"Other")</f>
        <v>Other</v>
      </c>
      <c r="K1959" s="1" t="n">
        <f aca="false">RANK(E1959,$E$7:$E$4378)+COUNTIF($E$7:E1959,E1959)-1</f>
        <v>1380</v>
      </c>
    </row>
    <row r="1960" customFormat="false" ht="14.25" hidden="false" customHeight="true" outlineLevel="0" collapsed="false">
      <c r="A1960" s="51" t="n">
        <v>15005</v>
      </c>
      <c r="B1960" s="53" t="n">
        <v>40871.5173611111</v>
      </c>
      <c r="C1960" s="57" t="n">
        <f aca="false">INT($C$2)-INT(Table3[[#This Row],[Last Purchase Date]])</f>
        <v>16</v>
      </c>
      <c r="D1960" s="1" t="n">
        <v>35</v>
      </c>
      <c r="E1960" s="1" t="n">
        <v>6180.48999999999</v>
      </c>
      <c r="F1960" s="1" t="n">
        <f aca="false">ROUND((1-_xlfn.PERCENTRANK.INC($C$7:$C$4378,C1960))*9,0)</f>
        <v>7</v>
      </c>
      <c r="G1960" s="1" t="n">
        <f aca="false">ROUND(_xlfn.PERCENTRANK.INC($D$7:$D$4378,D1960)*9,0)</f>
        <v>9</v>
      </c>
      <c r="H1960" s="1" t="n">
        <f aca="false">ROUND(_xlfn.PERCENTRANK.INC($E$7:$E$4378,E1960)*9,0)</f>
        <v>9</v>
      </c>
      <c r="I1960" s="1" t="str">
        <f aca="false">CONCATENATE(F1960,G1960,H1960)</f>
        <v>799</v>
      </c>
      <c r="J1960" s="1" t="str">
        <f aca="false">_xlfn.IFS(AND(F1960&gt;=8,G1960&gt;=8,H1960&gt;=8),"CHAMPION",AND(F1960&gt;=6,G1960&gt;=7,H1960&gt;=6),"LOYAL CUSTOMER",AND(F1960&gt;=6,G1960&gt;=5,H1960&gt;=5),"POTENTIAL LOYALIST",AND(F1960&gt;=8,G1960&lt;=2,H1960&gt;=5),"NEW CUSTOMERS",AND(F1960&gt;=6,G1960&lt;=2,H1960&gt;=3),"PROMISING",AND(F1960&gt;=3,G1960&gt;=3,H1960&gt;=3),"NEED ATTENTION",AND(F1960&lt;=4,G1960&gt;=6,H1960&gt;=6),"AT RISK",AND(F1960&lt;=2,G1960&gt;=8,H1960&gt;=8),"CAN'T LOSE THEM",AND(F1960&lt;=2,G1960&lt;=2,H1960&lt;=2),"HIBERNATING",TRUE(),"Other")</f>
        <v>LOYAL CUSTOMER</v>
      </c>
      <c r="K1960" s="1" t="n">
        <f aca="false">RANK(E1960,$E$7:$E$4378)+COUNTIF($E$7:E1960,E1960)-1</f>
        <v>194</v>
      </c>
    </row>
    <row r="1961" customFormat="false" ht="14.25" hidden="false" customHeight="true" outlineLevel="0" collapsed="false">
      <c r="A1961" s="51" t="n">
        <v>15006</v>
      </c>
      <c r="B1961" s="53" t="n">
        <v>40835.6305555556</v>
      </c>
      <c r="C1961" s="57" t="n">
        <f aca="false">INT($C$2)-INT(Table3[[#This Row],[Last Purchase Date]])</f>
        <v>52</v>
      </c>
      <c r="D1961" s="1" t="n">
        <v>1</v>
      </c>
      <c r="E1961" s="1" t="n">
        <v>502.09</v>
      </c>
      <c r="F1961" s="1" t="n">
        <f aca="false">ROUND((1-_xlfn.PERCENTRANK.INC($C$7:$C$4378,C1961))*9,0)</f>
        <v>4</v>
      </c>
      <c r="G1961" s="1" t="n">
        <f aca="false">ROUND(_xlfn.PERCENTRANK.INC($D$7:$D$4378,D1961)*9,0)</f>
        <v>0</v>
      </c>
      <c r="H1961" s="1" t="n">
        <f aca="false">ROUND(_xlfn.PERCENTRANK.INC($E$7:$E$4378,E1961)*9,0)</f>
        <v>4</v>
      </c>
      <c r="I1961" s="1" t="str">
        <f aca="false">CONCATENATE(F1961,G1961,H1961)</f>
        <v>404</v>
      </c>
      <c r="J1961" s="1" t="str">
        <f aca="false">_xlfn.IFS(AND(F1961&gt;=8,G1961&gt;=8,H1961&gt;=8),"CHAMPION",AND(F1961&gt;=6,G1961&gt;=7,H1961&gt;=6),"LOYAL CUSTOMER",AND(F1961&gt;=6,G1961&gt;=5,H1961&gt;=5),"POTENTIAL LOYALIST",AND(F1961&gt;=8,G1961&lt;=2,H1961&gt;=5),"NEW CUSTOMERS",AND(F1961&gt;=6,G1961&lt;=2,H1961&gt;=3),"PROMISING",AND(F1961&gt;=3,G1961&gt;=3,H1961&gt;=3),"NEED ATTENTION",AND(F1961&lt;=4,G1961&gt;=6,H1961&gt;=6),"AT RISK",AND(F1961&lt;=2,G1961&gt;=8,H1961&gt;=8),"CAN'T LOSE THEM",AND(F1961&lt;=2,G1961&lt;=2,H1961&lt;=2),"HIBERNATING",TRUE(),"Other")</f>
        <v>Other</v>
      </c>
      <c r="K1961" s="1" t="n">
        <f aca="false">RANK(E1961,$E$7:$E$4378)+COUNTIF($E$7:E1961,E1961)-1</f>
        <v>2536</v>
      </c>
    </row>
    <row r="1962" customFormat="false" ht="14.25" hidden="false" customHeight="true" outlineLevel="0" collapsed="false">
      <c r="A1962" s="51" t="n">
        <v>15007</v>
      </c>
      <c r="B1962" s="53" t="n">
        <v>40727.6666666667</v>
      </c>
      <c r="C1962" s="57" t="n">
        <f aca="false">INT($C$2)-INT(Table3[[#This Row],[Last Purchase Date]])</f>
        <v>160</v>
      </c>
      <c r="D1962" s="1" t="n">
        <v>1</v>
      </c>
      <c r="E1962" s="1" t="n">
        <v>156.91</v>
      </c>
      <c r="F1962" s="1" t="n">
        <f aca="false">ROUND((1-_xlfn.PERCENTRANK.INC($C$7:$C$4378,C1962))*9,0)</f>
        <v>2</v>
      </c>
      <c r="G1962" s="1" t="n">
        <f aca="false">ROUND(_xlfn.PERCENTRANK.INC($D$7:$D$4378,D1962)*9,0)</f>
        <v>0</v>
      </c>
      <c r="H1962" s="1" t="n">
        <f aca="false">ROUND(_xlfn.PERCENTRANK.INC($E$7:$E$4378,E1962)*9,0)</f>
        <v>1</v>
      </c>
      <c r="I1962" s="1" t="str">
        <f aca="false">CONCATENATE(F1962,G1962,H1962)</f>
        <v>201</v>
      </c>
      <c r="J1962" s="1" t="str">
        <f aca="false">_xlfn.IFS(AND(F1962&gt;=8,G1962&gt;=8,H1962&gt;=8),"CHAMPION",AND(F1962&gt;=6,G1962&gt;=7,H1962&gt;=6),"LOYAL CUSTOMER",AND(F1962&gt;=6,G1962&gt;=5,H1962&gt;=5),"POTENTIAL LOYALIST",AND(F1962&gt;=8,G1962&lt;=2,H1962&gt;=5),"NEW CUSTOMERS",AND(F1962&gt;=6,G1962&lt;=2,H1962&gt;=3),"PROMISING",AND(F1962&gt;=3,G1962&gt;=3,H1962&gt;=3),"NEED ATTENTION",AND(F1962&lt;=4,G1962&gt;=6,H1962&gt;=6),"AT RISK",AND(F1962&lt;=2,G1962&gt;=8,H1962&gt;=8),"CAN'T LOSE THEM",AND(F1962&lt;=2,G1962&lt;=2,H1962&lt;=2),"HIBERNATING",TRUE(),"Other")</f>
        <v>HIBERNATING</v>
      </c>
      <c r="K1962" s="1" t="n">
        <f aca="false">RANK(E1962,$E$7:$E$4378)+COUNTIF($E$7:E1962,E1962)-1</f>
        <v>3876</v>
      </c>
    </row>
    <row r="1963" customFormat="false" ht="14.25" hidden="false" customHeight="true" outlineLevel="0" collapsed="false">
      <c r="A1963" s="51" t="n">
        <v>15009</v>
      </c>
      <c r="B1963" s="53" t="n">
        <v>40874.5659722222</v>
      </c>
      <c r="C1963" s="57" t="n">
        <f aca="false">INT($C$2)-INT(Table3[[#This Row],[Last Purchase Date]])</f>
        <v>13</v>
      </c>
      <c r="D1963" s="1" t="n">
        <v>3</v>
      </c>
      <c r="E1963" s="1" t="n">
        <v>1261.78</v>
      </c>
      <c r="F1963" s="1" t="n">
        <f aca="false">ROUND((1-_xlfn.PERCENTRANK.INC($C$7:$C$4378,C1963))*9,0)</f>
        <v>7</v>
      </c>
      <c r="G1963" s="1" t="n">
        <f aca="false">ROUND(_xlfn.PERCENTRANK.INC($D$7:$D$4378,D1963)*9,0)</f>
        <v>4</v>
      </c>
      <c r="H1963" s="1" t="n">
        <f aca="false">ROUND(_xlfn.PERCENTRANK.INC($E$7:$E$4378,E1963)*9,0)</f>
        <v>6</v>
      </c>
      <c r="I1963" s="1" t="str">
        <f aca="false">CONCATENATE(F1963,G1963,H1963)</f>
        <v>746</v>
      </c>
      <c r="J1963" s="1" t="str">
        <f aca="false">_xlfn.IFS(AND(F1963&gt;=8,G1963&gt;=8,H1963&gt;=8),"CHAMPION",AND(F1963&gt;=6,G1963&gt;=7,H1963&gt;=6),"LOYAL CUSTOMER",AND(F1963&gt;=6,G1963&gt;=5,H1963&gt;=5),"POTENTIAL LOYALIST",AND(F1963&gt;=8,G1963&lt;=2,H1963&gt;=5),"NEW CUSTOMERS",AND(F1963&gt;=6,G1963&lt;=2,H1963&gt;=3),"PROMISING",AND(F1963&gt;=3,G1963&gt;=3,H1963&gt;=3),"NEED ATTENTION",AND(F1963&lt;=4,G1963&gt;=6,H1963&gt;=6),"AT RISK",AND(F1963&lt;=2,G1963&gt;=8,H1963&gt;=8),"CAN'T LOSE THEM",AND(F1963&lt;=2,G1963&lt;=2,H1963&lt;=2),"HIBERNATING",TRUE(),"Other")</f>
        <v>NEED ATTENTION</v>
      </c>
      <c r="K1963" s="1" t="n">
        <f aca="false">RANK(E1963,$E$7:$E$4378)+COUNTIF($E$7:E1963,E1963)-1</f>
        <v>1360</v>
      </c>
    </row>
    <row r="1964" customFormat="false" ht="14.25" hidden="false" customHeight="true" outlineLevel="0" collapsed="false">
      <c r="A1964" s="51" t="n">
        <v>15010</v>
      </c>
      <c r="B1964" s="53" t="n">
        <v>40851.5291666667</v>
      </c>
      <c r="C1964" s="57" t="n">
        <f aca="false">INT($C$2)-INT(Table3[[#This Row],[Last Purchase Date]])</f>
        <v>36</v>
      </c>
      <c r="D1964" s="1" t="n">
        <v>1</v>
      </c>
      <c r="E1964" s="1" t="n">
        <v>308.94</v>
      </c>
      <c r="F1964" s="1" t="n">
        <f aca="false">ROUND((1-_xlfn.PERCENTRANK.INC($C$7:$C$4378,C1964))*9,0)</f>
        <v>5</v>
      </c>
      <c r="G1964" s="1" t="n">
        <f aca="false">ROUND(_xlfn.PERCENTRANK.INC($D$7:$D$4378,D1964)*9,0)</f>
        <v>0</v>
      </c>
      <c r="H1964" s="1" t="n">
        <f aca="false">ROUND(_xlfn.PERCENTRANK.INC($E$7:$E$4378,E1964)*9,0)</f>
        <v>2</v>
      </c>
      <c r="I1964" s="1" t="str">
        <f aca="false">CONCATENATE(F1964,G1964,H1964)</f>
        <v>502</v>
      </c>
      <c r="J1964" s="1" t="str">
        <f aca="false">_xlfn.IFS(AND(F1964&gt;=8,G1964&gt;=8,H1964&gt;=8),"CHAMPION",AND(F1964&gt;=6,G1964&gt;=7,H1964&gt;=6),"LOYAL CUSTOMER",AND(F1964&gt;=6,G1964&gt;=5,H1964&gt;=5),"POTENTIAL LOYALIST",AND(F1964&gt;=8,G1964&lt;=2,H1964&gt;=5),"NEW CUSTOMERS",AND(F1964&gt;=6,G1964&lt;=2,H1964&gt;=3),"PROMISING",AND(F1964&gt;=3,G1964&gt;=3,H1964&gt;=3),"NEED ATTENTION",AND(F1964&lt;=4,G1964&gt;=6,H1964&gt;=6),"AT RISK",AND(F1964&lt;=2,G1964&gt;=8,H1964&gt;=8),"CAN'T LOSE THEM",AND(F1964&lt;=2,G1964&lt;=2,H1964&lt;=2),"HIBERNATING",TRUE(),"Other")</f>
        <v>Other</v>
      </c>
      <c r="K1964" s="1" t="n">
        <f aca="false">RANK(E1964,$E$7:$E$4378)+COUNTIF($E$7:E1964,E1964)-1</f>
        <v>3201</v>
      </c>
    </row>
    <row r="1965" customFormat="false" ht="14.25" hidden="false" customHeight="true" outlineLevel="0" collapsed="false">
      <c r="A1965" s="51" t="n">
        <v>15012</v>
      </c>
      <c r="B1965" s="53" t="n">
        <v>40833.5152777778</v>
      </c>
      <c r="C1965" s="57" t="n">
        <f aca="false">INT($C$2)-INT(Table3[[#This Row],[Last Purchase Date]])</f>
        <v>54</v>
      </c>
      <c r="D1965" s="1" t="n">
        <v>2</v>
      </c>
      <c r="E1965" s="1" t="n">
        <v>423.04</v>
      </c>
      <c r="F1965" s="1" t="n">
        <f aca="false">ROUND((1-_xlfn.PERCENTRANK.INC($C$7:$C$4378,C1965))*9,0)</f>
        <v>4</v>
      </c>
      <c r="G1965" s="1" t="n">
        <f aca="false">ROUND(_xlfn.PERCENTRANK.INC($D$7:$D$4378,D1965)*9,0)</f>
        <v>3</v>
      </c>
      <c r="H1965" s="1" t="n">
        <f aca="false">ROUND(_xlfn.PERCENTRANK.INC($E$7:$E$4378,E1965)*9,0)</f>
        <v>3</v>
      </c>
      <c r="I1965" s="1" t="str">
        <f aca="false">CONCATENATE(F1965,G1965,H1965)</f>
        <v>433</v>
      </c>
      <c r="J1965" s="1" t="str">
        <f aca="false">_xlfn.IFS(AND(F1965&gt;=8,G1965&gt;=8,H1965&gt;=8),"CHAMPION",AND(F1965&gt;=6,G1965&gt;=7,H1965&gt;=6),"LOYAL CUSTOMER",AND(F1965&gt;=6,G1965&gt;=5,H1965&gt;=5),"POTENTIAL LOYALIST",AND(F1965&gt;=8,G1965&lt;=2,H1965&gt;=5),"NEW CUSTOMERS",AND(F1965&gt;=6,G1965&lt;=2,H1965&gt;=3),"PROMISING",AND(F1965&gt;=3,G1965&gt;=3,H1965&gt;=3),"NEED ATTENTION",AND(F1965&lt;=4,G1965&gt;=6,H1965&gt;=6),"AT RISK",AND(F1965&lt;=2,G1965&gt;=8,H1965&gt;=8),"CAN'T LOSE THEM",AND(F1965&lt;=2,G1965&lt;=2,H1965&lt;=2),"HIBERNATING",TRUE(),"Other")</f>
        <v>NEED ATTENTION</v>
      </c>
      <c r="K1965" s="1" t="n">
        <f aca="false">RANK(E1965,$E$7:$E$4378)+COUNTIF($E$7:E1965,E1965)-1</f>
        <v>2744</v>
      </c>
    </row>
    <row r="1966" customFormat="false" ht="14.25" hidden="false" customHeight="true" outlineLevel="0" collapsed="false">
      <c r="A1966" s="51" t="n">
        <v>15014</v>
      </c>
      <c r="B1966" s="53" t="n">
        <v>40843.8381944444</v>
      </c>
      <c r="C1966" s="57" t="n">
        <f aca="false">INT($C$2)-INT(Table3[[#This Row],[Last Purchase Date]])</f>
        <v>44</v>
      </c>
      <c r="D1966" s="1" t="n">
        <v>2</v>
      </c>
      <c r="E1966" s="1" t="n">
        <v>260.17</v>
      </c>
      <c r="F1966" s="1" t="n">
        <f aca="false">ROUND((1-_xlfn.PERCENTRANK.INC($C$7:$C$4378,C1966))*9,0)</f>
        <v>5</v>
      </c>
      <c r="G1966" s="1" t="n">
        <f aca="false">ROUND(_xlfn.PERCENTRANK.INC($D$7:$D$4378,D1966)*9,0)</f>
        <v>3</v>
      </c>
      <c r="H1966" s="1" t="n">
        <f aca="false">ROUND(_xlfn.PERCENTRANK.INC($E$7:$E$4378,E1966)*9,0)</f>
        <v>2</v>
      </c>
      <c r="I1966" s="1" t="str">
        <f aca="false">CONCATENATE(F1966,G1966,H1966)</f>
        <v>532</v>
      </c>
      <c r="J1966" s="1" t="str">
        <f aca="false">_xlfn.IFS(AND(F1966&gt;=8,G1966&gt;=8,H1966&gt;=8),"CHAMPION",AND(F1966&gt;=6,G1966&gt;=7,H1966&gt;=6),"LOYAL CUSTOMER",AND(F1966&gt;=6,G1966&gt;=5,H1966&gt;=5),"POTENTIAL LOYALIST",AND(F1966&gt;=8,G1966&lt;=2,H1966&gt;=5),"NEW CUSTOMERS",AND(F1966&gt;=6,G1966&lt;=2,H1966&gt;=3),"PROMISING",AND(F1966&gt;=3,G1966&gt;=3,H1966&gt;=3),"NEED ATTENTION",AND(F1966&lt;=4,G1966&gt;=6,H1966&gt;=6),"AT RISK",AND(F1966&lt;=2,G1966&gt;=8,H1966&gt;=8),"CAN'T LOSE THEM",AND(F1966&lt;=2,G1966&lt;=2,H1966&lt;=2),"HIBERNATING",TRUE(),"Other")</f>
        <v>Other</v>
      </c>
      <c r="K1966" s="1" t="n">
        <f aca="false">RANK(E1966,$E$7:$E$4378)+COUNTIF($E$7:E1966,E1966)-1</f>
        <v>3395</v>
      </c>
    </row>
    <row r="1967" customFormat="false" ht="14.25" hidden="false" customHeight="true" outlineLevel="0" collapsed="false">
      <c r="A1967" s="51" t="n">
        <v>15016</v>
      </c>
      <c r="B1967" s="53" t="n">
        <v>40714.5041666667</v>
      </c>
      <c r="C1967" s="57" t="n">
        <f aca="false">INT($C$2)-INT(Table3[[#This Row],[Last Purchase Date]])</f>
        <v>173</v>
      </c>
      <c r="D1967" s="1" t="n">
        <v>1</v>
      </c>
      <c r="E1967" s="1" t="n">
        <v>170.04</v>
      </c>
      <c r="F1967" s="1" t="n">
        <f aca="false">ROUND((1-_xlfn.PERCENTRANK.INC($C$7:$C$4378,C1967))*9,0)</f>
        <v>2</v>
      </c>
      <c r="G1967" s="1" t="n">
        <f aca="false">ROUND(_xlfn.PERCENTRANK.INC($D$7:$D$4378,D1967)*9,0)</f>
        <v>0</v>
      </c>
      <c r="H1967" s="1" t="n">
        <f aca="false">ROUND(_xlfn.PERCENTRANK.INC($E$7:$E$4378,E1967)*9,0)</f>
        <v>1</v>
      </c>
      <c r="I1967" s="1" t="str">
        <f aca="false">CONCATENATE(F1967,G1967,H1967)</f>
        <v>201</v>
      </c>
      <c r="J1967" s="1" t="str">
        <f aca="false">_xlfn.IFS(AND(F1967&gt;=8,G1967&gt;=8,H1967&gt;=8),"CHAMPION",AND(F1967&gt;=6,G1967&gt;=7,H1967&gt;=6),"LOYAL CUSTOMER",AND(F1967&gt;=6,G1967&gt;=5,H1967&gt;=5),"POTENTIAL LOYALIST",AND(F1967&gt;=8,G1967&lt;=2,H1967&gt;=5),"NEW CUSTOMERS",AND(F1967&gt;=6,G1967&lt;=2,H1967&gt;=3),"PROMISING",AND(F1967&gt;=3,G1967&gt;=3,H1967&gt;=3),"NEED ATTENTION",AND(F1967&lt;=4,G1967&gt;=6,H1967&gt;=6),"AT RISK",AND(F1967&lt;=2,G1967&gt;=8,H1967&gt;=8),"CAN'T LOSE THEM",AND(F1967&lt;=2,G1967&lt;=2,H1967&lt;=2),"HIBERNATING",TRUE(),"Other")</f>
        <v>HIBERNATING</v>
      </c>
      <c r="K1967" s="1" t="n">
        <f aca="false">RANK(E1967,$E$7:$E$4378)+COUNTIF($E$7:E1967,E1967)-1</f>
        <v>3803</v>
      </c>
    </row>
    <row r="1968" customFormat="false" ht="14.25" hidden="false" customHeight="true" outlineLevel="0" collapsed="false">
      <c r="A1968" s="51" t="n">
        <v>15017</v>
      </c>
      <c r="B1968" s="53" t="n">
        <v>40853.4395833333</v>
      </c>
      <c r="C1968" s="57" t="n">
        <f aca="false">INT($C$2)-INT(Table3[[#This Row],[Last Purchase Date]])</f>
        <v>34</v>
      </c>
      <c r="D1968" s="1" t="n">
        <v>1</v>
      </c>
      <c r="E1968" s="1" t="n">
        <v>125.58</v>
      </c>
      <c r="F1968" s="1" t="n">
        <f aca="false">ROUND((1-_xlfn.PERCENTRANK.INC($C$7:$C$4378,C1968))*9,0)</f>
        <v>5</v>
      </c>
      <c r="G1968" s="1" t="n">
        <f aca="false">ROUND(_xlfn.PERCENTRANK.INC($D$7:$D$4378,D1968)*9,0)</f>
        <v>0</v>
      </c>
      <c r="H1968" s="1" t="n">
        <f aca="false">ROUND(_xlfn.PERCENTRANK.INC($E$7:$E$4378,E1968)*9,0)</f>
        <v>1</v>
      </c>
      <c r="I1968" s="1" t="str">
        <f aca="false">CONCATENATE(F1968,G1968,H1968)</f>
        <v>501</v>
      </c>
      <c r="J1968" s="1" t="str">
        <f aca="false">_xlfn.IFS(AND(F1968&gt;=8,G1968&gt;=8,H1968&gt;=8),"CHAMPION",AND(F1968&gt;=6,G1968&gt;=7,H1968&gt;=6),"LOYAL CUSTOMER",AND(F1968&gt;=6,G1968&gt;=5,H1968&gt;=5),"POTENTIAL LOYALIST",AND(F1968&gt;=8,G1968&lt;=2,H1968&gt;=5),"NEW CUSTOMERS",AND(F1968&gt;=6,G1968&lt;=2,H1968&gt;=3),"PROMISING",AND(F1968&gt;=3,G1968&gt;=3,H1968&gt;=3),"NEED ATTENTION",AND(F1968&lt;=4,G1968&gt;=6,H1968&gt;=6),"AT RISK",AND(F1968&lt;=2,G1968&gt;=8,H1968&gt;=8),"CAN'T LOSE THEM",AND(F1968&lt;=2,G1968&lt;=2,H1968&lt;=2),"HIBERNATING",TRUE(),"Other")</f>
        <v>Other</v>
      </c>
      <c r="K1968" s="1" t="n">
        <f aca="false">RANK(E1968,$E$7:$E$4378)+COUNTIF($E$7:E1968,E1968)-1</f>
        <v>4026</v>
      </c>
    </row>
    <row r="1969" customFormat="false" ht="14.25" hidden="false" customHeight="true" outlineLevel="0" collapsed="false">
      <c r="A1969" s="51" t="n">
        <v>15018</v>
      </c>
      <c r="B1969" s="53" t="n">
        <v>40848.5326388889</v>
      </c>
      <c r="C1969" s="57" t="n">
        <f aca="false">INT($C$2)-INT(Table3[[#This Row],[Last Purchase Date]])</f>
        <v>39</v>
      </c>
      <c r="D1969" s="1" t="n">
        <v>4</v>
      </c>
      <c r="E1969" s="1" t="n">
        <v>456.26</v>
      </c>
      <c r="F1969" s="1" t="n">
        <f aca="false">ROUND((1-_xlfn.PERCENTRANK.INC($C$7:$C$4378,C1969))*9,0)</f>
        <v>5</v>
      </c>
      <c r="G1969" s="1" t="n">
        <f aca="false">ROUND(_xlfn.PERCENTRANK.INC($D$7:$D$4378,D1969)*9,0)</f>
        <v>5</v>
      </c>
      <c r="H1969" s="1" t="n">
        <f aca="false">ROUND(_xlfn.PERCENTRANK.INC($E$7:$E$4378,E1969)*9,0)</f>
        <v>4</v>
      </c>
      <c r="I1969" s="1" t="str">
        <f aca="false">CONCATENATE(F1969,G1969,H1969)</f>
        <v>554</v>
      </c>
      <c r="J1969" s="1" t="str">
        <f aca="false">_xlfn.IFS(AND(F1969&gt;=8,G1969&gt;=8,H1969&gt;=8),"CHAMPION",AND(F1969&gt;=6,G1969&gt;=7,H1969&gt;=6),"LOYAL CUSTOMER",AND(F1969&gt;=6,G1969&gt;=5,H1969&gt;=5),"POTENTIAL LOYALIST",AND(F1969&gt;=8,G1969&lt;=2,H1969&gt;=5),"NEW CUSTOMERS",AND(F1969&gt;=6,G1969&lt;=2,H1969&gt;=3),"PROMISING",AND(F1969&gt;=3,G1969&gt;=3,H1969&gt;=3),"NEED ATTENTION",AND(F1969&lt;=4,G1969&gt;=6,H1969&gt;=6),"AT RISK",AND(F1969&lt;=2,G1969&gt;=8,H1969&gt;=8),"CAN'T LOSE THEM",AND(F1969&lt;=2,G1969&lt;=2,H1969&lt;=2),"HIBERNATING",TRUE(),"Other")</f>
        <v>NEED ATTENTION</v>
      </c>
      <c r="K1969" s="1" t="n">
        <f aca="false">RANK(E1969,$E$7:$E$4378)+COUNTIF($E$7:E1969,E1969)-1</f>
        <v>2653</v>
      </c>
    </row>
    <row r="1970" customFormat="false" ht="14.25" hidden="false" customHeight="true" outlineLevel="0" collapsed="false">
      <c r="A1970" s="51" t="n">
        <v>15019</v>
      </c>
      <c r="B1970" s="53" t="n">
        <v>40620.5243055556</v>
      </c>
      <c r="C1970" s="57" t="n">
        <f aca="false">INT($C$2)-INT(Table3[[#This Row],[Last Purchase Date]])</f>
        <v>267</v>
      </c>
      <c r="D1970" s="1" t="n">
        <v>1</v>
      </c>
      <c r="E1970" s="1" t="n">
        <v>266</v>
      </c>
      <c r="F1970" s="1" t="n">
        <f aca="false">ROUND((1-_xlfn.PERCENTRANK.INC($C$7:$C$4378,C1970))*9,0)</f>
        <v>1</v>
      </c>
      <c r="G1970" s="1" t="n">
        <f aca="false">ROUND(_xlfn.PERCENTRANK.INC($D$7:$D$4378,D1970)*9,0)</f>
        <v>0</v>
      </c>
      <c r="H1970" s="1" t="n">
        <f aca="false">ROUND(_xlfn.PERCENTRANK.INC($E$7:$E$4378,E1970)*9,0)</f>
        <v>2</v>
      </c>
      <c r="I1970" s="1" t="str">
        <f aca="false">CONCATENATE(F1970,G1970,H1970)</f>
        <v>102</v>
      </c>
      <c r="J1970" s="1" t="str">
        <f aca="false">_xlfn.IFS(AND(F1970&gt;=8,G1970&gt;=8,H1970&gt;=8),"CHAMPION",AND(F1970&gt;=6,G1970&gt;=7,H1970&gt;=6),"LOYAL CUSTOMER",AND(F1970&gt;=6,G1970&gt;=5,H1970&gt;=5),"POTENTIAL LOYALIST",AND(F1970&gt;=8,G1970&lt;=2,H1970&gt;=5),"NEW CUSTOMERS",AND(F1970&gt;=6,G1970&lt;=2,H1970&gt;=3),"PROMISING",AND(F1970&gt;=3,G1970&gt;=3,H1970&gt;=3),"NEED ATTENTION",AND(F1970&lt;=4,G1970&gt;=6,H1970&gt;=6),"AT RISK",AND(F1970&lt;=2,G1970&gt;=8,H1970&gt;=8),"CAN'T LOSE THEM",AND(F1970&lt;=2,G1970&lt;=2,H1970&lt;=2),"HIBERNATING",TRUE(),"Other")</f>
        <v>HIBERNATING</v>
      </c>
      <c r="K1970" s="1" t="n">
        <f aca="false">RANK(E1970,$E$7:$E$4378)+COUNTIF($E$7:E1970,E1970)-1</f>
        <v>3377</v>
      </c>
    </row>
    <row r="1971" customFormat="false" ht="14.25" hidden="false" customHeight="true" outlineLevel="0" collapsed="false">
      <c r="A1971" s="51" t="n">
        <v>15021</v>
      </c>
      <c r="B1971" s="53" t="n">
        <v>40878.4951388889</v>
      </c>
      <c r="C1971" s="57" t="n">
        <f aca="false">INT($C$2)-INT(Table3[[#This Row],[Last Purchase Date]])</f>
        <v>9</v>
      </c>
      <c r="D1971" s="1" t="n">
        <v>13</v>
      </c>
      <c r="E1971" s="1" t="n">
        <v>1872.28</v>
      </c>
      <c r="F1971" s="1" t="n">
        <f aca="false">ROUND((1-_xlfn.PERCENTRANK.INC($C$7:$C$4378,C1971))*9,0)</f>
        <v>8</v>
      </c>
      <c r="G1971" s="1" t="n">
        <f aca="false">ROUND(_xlfn.PERCENTRANK.INC($D$7:$D$4378,D1971)*9,0)</f>
        <v>8</v>
      </c>
      <c r="H1971" s="1" t="n">
        <f aca="false">ROUND(_xlfn.PERCENTRANK.INC($E$7:$E$4378,E1971)*9,0)</f>
        <v>7</v>
      </c>
      <c r="I1971" s="1" t="str">
        <f aca="false">CONCATENATE(F1971,G1971,H1971)</f>
        <v>887</v>
      </c>
      <c r="J1971" s="1" t="str">
        <f aca="false">_xlfn.IFS(AND(F1971&gt;=8,G1971&gt;=8,H1971&gt;=8),"CHAMPION",AND(F1971&gt;=6,G1971&gt;=7,H1971&gt;=6),"LOYAL CUSTOMER",AND(F1971&gt;=6,G1971&gt;=5,H1971&gt;=5),"POTENTIAL LOYALIST",AND(F1971&gt;=8,G1971&lt;=2,H1971&gt;=5),"NEW CUSTOMERS",AND(F1971&gt;=6,G1971&lt;=2,H1971&gt;=3),"PROMISING",AND(F1971&gt;=3,G1971&gt;=3,H1971&gt;=3),"NEED ATTENTION",AND(F1971&lt;=4,G1971&gt;=6,H1971&gt;=6),"AT RISK",AND(F1971&lt;=2,G1971&gt;=8,H1971&gt;=8),"CAN'T LOSE THEM",AND(F1971&lt;=2,G1971&lt;=2,H1971&lt;=2),"HIBERNATING",TRUE(),"Other")</f>
        <v>LOYAL CUSTOMER</v>
      </c>
      <c r="K1971" s="1" t="n">
        <f aca="false">RANK(E1971,$E$7:$E$4378)+COUNTIF($E$7:E1971,E1971)-1</f>
        <v>934</v>
      </c>
    </row>
    <row r="1972" customFormat="false" ht="14.25" hidden="false" customHeight="true" outlineLevel="0" collapsed="false">
      <c r="A1972" s="51" t="n">
        <v>15022</v>
      </c>
      <c r="B1972" s="53" t="n">
        <v>40875.5243055556</v>
      </c>
      <c r="C1972" s="57" t="n">
        <f aca="false">INT($C$2)-INT(Table3[[#This Row],[Last Purchase Date]])</f>
        <v>12</v>
      </c>
      <c r="D1972" s="1" t="n">
        <v>4</v>
      </c>
      <c r="E1972" s="1" t="n">
        <v>905.04</v>
      </c>
      <c r="F1972" s="1" t="n">
        <f aca="false">ROUND((1-_xlfn.PERCENTRANK.INC($C$7:$C$4378,C1972))*9,0)</f>
        <v>7</v>
      </c>
      <c r="G1972" s="1" t="n">
        <f aca="false">ROUND(_xlfn.PERCENTRANK.INC($D$7:$D$4378,D1972)*9,0)</f>
        <v>5</v>
      </c>
      <c r="H1972" s="1" t="n">
        <f aca="false">ROUND(_xlfn.PERCENTRANK.INC($E$7:$E$4378,E1972)*9,0)</f>
        <v>5</v>
      </c>
      <c r="I1972" s="1" t="str">
        <f aca="false">CONCATENATE(F1972,G1972,H1972)</f>
        <v>755</v>
      </c>
      <c r="J1972" s="1" t="str">
        <f aca="false">_xlfn.IFS(AND(F1972&gt;=8,G1972&gt;=8,H1972&gt;=8),"CHAMPION",AND(F1972&gt;=6,G1972&gt;=7,H1972&gt;=6),"LOYAL CUSTOMER",AND(F1972&gt;=6,G1972&gt;=5,H1972&gt;=5),"POTENTIAL LOYALIST",AND(F1972&gt;=8,G1972&lt;=2,H1972&gt;=5),"NEW CUSTOMERS",AND(F1972&gt;=6,G1972&lt;=2,H1972&gt;=3),"PROMISING",AND(F1972&gt;=3,G1972&gt;=3,H1972&gt;=3),"NEED ATTENTION",AND(F1972&lt;=4,G1972&gt;=6,H1972&gt;=6),"AT RISK",AND(F1972&lt;=2,G1972&gt;=8,H1972&gt;=8),"CAN'T LOSE THEM",AND(F1972&lt;=2,G1972&lt;=2,H1972&lt;=2),"HIBERNATING",TRUE(),"Other")</f>
        <v>POTENTIAL LOYALIST</v>
      </c>
      <c r="K1972" s="1" t="n">
        <f aca="false">RANK(E1972,$E$7:$E$4378)+COUNTIF($E$7:E1972,E1972)-1</f>
        <v>1755</v>
      </c>
    </row>
    <row r="1973" customFormat="false" ht="14.25" hidden="false" customHeight="true" outlineLevel="0" collapsed="false">
      <c r="A1973" s="51" t="n">
        <v>15023</v>
      </c>
      <c r="B1973" s="53" t="n">
        <v>40883.7243055556</v>
      </c>
      <c r="C1973" s="57" t="n">
        <f aca="false">INT($C$2)-INT(Table3[[#This Row],[Last Purchase Date]])</f>
        <v>4</v>
      </c>
      <c r="D1973" s="1" t="n">
        <v>12</v>
      </c>
      <c r="E1973" s="1" t="n">
        <v>6763.15999999999</v>
      </c>
      <c r="F1973" s="1" t="n">
        <f aca="false">ROUND((1-_xlfn.PERCENTRANK.INC($C$7:$C$4378,C1973))*9,0)</f>
        <v>8</v>
      </c>
      <c r="G1973" s="1" t="n">
        <f aca="false">ROUND(_xlfn.PERCENTRANK.INC($D$7:$D$4378,D1973)*9,0)</f>
        <v>8</v>
      </c>
      <c r="H1973" s="1" t="n">
        <f aca="false">ROUND(_xlfn.PERCENTRANK.INC($E$7:$E$4378,E1973)*9,0)</f>
        <v>9</v>
      </c>
      <c r="I1973" s="1" t="str">
        <f aca="false">CONCATENATE(F1973,G1973,H1973)</f>
        <v>889</v>
      </c>
      <c r="J1973" s="1" t="str">
        <f aca="false">_xlfn.IFS(AND(F1973&gt;=8,G1973&gt;=8,H1973&gt;=8),"CHAMPION",AND(F1973&gt;=6,G1973&gt;=7,H1973&gt;=6),"LOYAL CUSTOMER",AND(F1973&gt;=6,G1973&gt;=5,H1973&gt;=5),"POTENTIAL LOYALIST",AND(F1973&gt;=8,G1973&lt;=2,H1973&gt;=5),"NEW CUSTOMERS",AND(F1973&gt;=6,G1973&lt;=2,H1973&gt;=3),"PROMISING",AND(F1973&gt;=3,G1973&gt;=3,H1973&gt;=3),"NEED ATTENTION",AND(F1973&lt;=4,G1973&gt;=6,H1973&gt;=6),"AT RISK",AND(F1973&lt;=2,G1973&gt;=8,H1973&gt;=8),"CAN'T LOSE THEM",AND(F1973&lt;=2,G1973&lt;=2,H1973&lt;=2),"HIBERNATING",TRUE(),"Other")</f>
        <v>CHAMPION</v>
      </c>
      <c r="K1973" s="1" t="n">
        <f aca="false">RANK(E1973,$E$7:$E$4378)+COUNTIF($E$7:E1973,E1973)-1</f>
        <v>164</v>
      </c>
    </row>
    <row r="1974" customFormat="false" ht="14.25" hidden="false" customHeight="true" outlineLevel="0" collapsed="false">
      <c r="A1974" s="51" t="n">
        <v>15024</v>
      </c>
      <c r="B1974" s="53" t="n">
        <v>40877.5041666667</v>
      </c>
      <c r="C1974" s="57" t="n">
        <f aca="false">INT($C$2)-INT(Table3[[#This Row],[Last Purchase Date]])</f>
        <v>10</v>
      </c>
      <c r="D1974" s="1" t="n">
        <v>10</v>
      </c>
      <c r="E1974" s="1" t="n">
        <v>1661.33</v>
      </c>
      <c r="F1974" s="1" t="n">
        <f aca="false">ROUND((1-_xlfn.PERCENTRANK.INC($C$7:$C$4378,C1974))*9,0)</f>
        <v>8</v>
      </c>
      <c r="G1974" s="1" t="n">
        <f aca="false">ROUND(_xlfn.PERCENTRANK.INC($D$7:$D$4378,D1974)*9,0)</f>
        <v>8</v>
      </c>
      <c r="H1974" s="1" t="n">
        <f aca="false">ROUND(_xlfn.PERCENTRANK.INC($E$7:$E$4378,E1974)*9,0)</f>
        <v>7</v>
      </c>
      <c r="I1974" s="1" t="str">
        <f aca="false">CONCATENATE(F1974,G1974,H1974)</f>
        <v>887</v>
      </c>
      <c r="J1974" s="1" t="str">
        <f aca="false">_xlfn.IFS(AND(F1974&gt;=8,G1974&gt;=8,H1974&gt;=8),"CHAMPION",AND(F1974&gt;=6,G1974&gt;=7,H1974&gt;=6),"LOYAL CUSTOMER",AND(F1974&gt;=6,G1974&gt;=5,H1974&gt;=5),"POTENTIAL LOYALIST",AND(F1974&gt;=8,G1974&lt;=2,H1974&gt;=5),"NEW CUSTOMERS",AND(F1974&gt;=6,G1974&lt;=2,H1974&gt;=3),"PROMISING",AND(F1974&gt;=3,G1974&gt;=3,H1974&gt;=3),"NEED ATTENTION",AND(F1974&lt;=4,G1974&gt;=6,H1974&gt;=6),"AT RISK",AND(F1974&lt;=2,G1974&gt;=8,H1974&gt;=8),"CAN'T LOSE THEM",AND(F1974&lt;=2,G1974&lt;=2,H1974&lt;=2),"HIBERNATING",TRUE(),"Other")</f>
        <v>LOYAL CUSTOMER</v>
      </c>
      <c r="K1974" s="1" t="n">
        <f aca="false">RANK(E1974,$E$7:$E$4378)+COUNTIF($E$7:E1974,E1974)-1</f>
        <v>1060</v>
      </c>
    </row>
    <row r="1975" customFormat="false" ht="14.25" hidden="false" customHeight="true" outlineLevel="0" collapsed="false">
      <c r="A1975" s="51" t="n">
        <v>15025</v>
      </c>
      <c r="B1975" s="53" t="n">
        <v>40853.6388888889</v>
      </c>
      <c r="C1975" s="57" t="n">
        <f aca="false">INT($C$2)-INT(Table3[[#This Row],[Last Purchase Date]])</f>
        <v>34</v>
      </c>
      <c r="D1975" s="1" t="n">
        <v>1</v>
      </c>
      <c r="E1975" s="1" t="n">
        <v>377.01</v>
      </c>
      <c r="F1975" s="1" t="n">
        <f aca="false">ROUND((1-_xlfn.PERCENTRANK.INC($C$7:$C$4378,C1975))*9,0)</f>
        <v>5</v>
      </c>
      <c r="G1975" s="1" t="n">
        <f aca="false">ROUND(_xlfn.PERCENTRANK.INC($D$7:$D$4378,D1975)*9,0)</f>
        <v>0</v>
      </c>
      <c r="H1975" s="1" t="n">
        <f aca="false">ROUND(_xlfn.PERCENTRANK.INC($E$7:$E$4378,E1975)*9,0)</f>
        <v>3</v>
      </c>
      <c r="I1975" s="1" t="str">
        <f aca="false">CONCATENATE(F1975,G1975,H1975)</f>
        <v>503</v>
      </c>
      <c r="J1975" s="1" t="str">
        <f aca="false">_xlfn.IFS(AND(F1975&gt;=8,G1975&gt;=8,H1975&gt;=8),"CHAMPION",AND(F1975&gt;=6,G1975&gt;=7,H1975&gt;=6),"LOYAL CUSTOMER",AND(F1975&gt;=6,G1975&gt;=5,H1975&gt;=5),"POTENTIAL LOYALIST",AND(F1975&gt;=8,G1975&lt;=2,H1975&gt;=5),"NEW CUSTOMERS",AND(F1975&gt;=6,G1975&lt;=2,H1975&gt;=3),"PROMISING",AND(F1975&gt;=3,G1975&gt;=3,H1975&gt;=3),"NEED ATTENTION",AND(F1975&lt;=4,G1975&gt;=6,H1975&gt;=6),"AT RISK",AND(F1975&lt;=2,G1975&gt;=8,H1975&gt;=8),"CAN'T LOSE THEM",AND(F1975&lt;=2,G1975&lt;=2,H1975&lt;=2),"HIBERNATING",TRUE(),"Other")</f>
        <v>Other</v>
      </c>
      <c r="K1975" s="1" t="n">
        <f aca="false">RANK(E1975,$E$7:$E$4378)+COUNTIF($E$7:E1975,E1975)-1</f>
        <v>2908</v>
      </c>
    </row>
    <row r="1976" customFormat="false" ht="14.25" hidden="false" customHeight="true" outlineLevel="0" collapsed="false">
      <c r="A1976" s="51" t="n">
        <v>15026</v>
      </c>
      <c r="B1976" s="53" t="n">
        <v>40806.5777777778</v>
      </c>
      <c r="C1976" s="57" t="n">
        <f aca="false">INT($C$2)-INT(Table3[[#This Row],[Last Purchase Date]])</f>
        <v>81</v>
      </c>
      <c r="D1976" s="1" t="n">
        <v>3</v>
      </c>
      <c r="E1976" s="1" t="n">
        <v>469</v>
      </c>
      <c r="F1976" s="1" t="n">
        <f aca="false">ROUND((1-_xlfn.PERCENTRANK.INC($C$7:$C$4378,C1976))*9,0)</f>
        <v>3</v>
      </c>
      <c r="G1976" s="1" t="n">
        <f aca="false">ROUND(_xlfn.PERCENTRANK.INC($D$7:$D$4378,D1976)*9,0)</f>
        <v>4</v>
      </c>
      <c r="H1976" s="1" t="n">
        <f aca="false">ROUND(_xlfn.PERCENTRANK.INC($E$7:$E$4378,E1976)*9,0)</f>
        <v>4</v>
      </c>
      <c r="I1976" s="1" t="str">
        <f aca="false">CONCATENATE(F1976,G1976,H1976)</f>
        <v>344</v>
      </c>
      <c r="J1976" s="1" t="str">
        <f aca="false">_xlfn.IFS(AND(F1976&gt;=8,G1976&gt;=8,H1976&gt;=8),"CHAMPION",AND(F1976&gt;=6,G1976&gt;=7,H1976&gt;=6),"LOYAL CUSTOMER",AND(F1976&gt;=6,G1976&gt;=5,H1976&gt;=5),"POTENTIAL LOYALIST",AND(F1976&gt;=8,G1976&lt;=2,H1976&gt;=5),"NEW CUSTOMERS",AND(F1976&gt;=6,G1976&lt;=2,H1976&gt;=3),"PROMISING",AND(F1976&gt;=3,G1976&gt;=3,H1976&gt;=3),"NEED ATTENTION",AND(F1976&lt;=4,G1976&gt;=6,H1976&gt;=6),"AT RISK",AND(F1976&lt;=2,G1976&gt;=8,H1976&gt;=8),"CAN'T LOSE THEM",AND(F1976&lt;=2,G1976&lt;=2,H1976&lt;=2),"HIBERNATING",TRUE(),"Other")</f>
        <v>NEED ATTENTION</v>
      </c>
      <c r="K1976" s="1" t="n">
        <f aca="false">RANK(E1976,$E$7:$E$4378)+COUNTIF($E$7:E1976,E1976)-1</f>
        <v>2615</v>
      </c>
    </row>
    <row r="1977" customFormat="false" ht="14.25" hidden="false" customHeight="true" outlineLevel="0" collapsed="false">
      <c r="A1977" s="51" t="n">
        <v>15027</v>
      </c>
      <c r="B1977" s="53" t="n">
        <v>40856.4277777778</v>
      </c>
      <c r="C1977" s="57" t="n">
        <f aca="false">INT($C$2)-INT(Table3[[#This Row],[Last Purchase Date]])</f>
        <v>31</v>
      </c>
      <c r="D1977" s="1" t="n">
        <v>6</v>
      </c>
      <c r="E1977" s="1" t="n">
        <v>1051.95</v>
      </c>
      <c r="F1977" s="1" t="n">
        <f aca="false">ROUND((1-_xlfn.PERCENTRANK.INC($C$7:$C$4378,C1977))*9,0)</f>
        <v>6</v>
      </c>
      <c r="G1977" s="1" t="n">
        <f aca="false">ROUND(_xlfn.PERCENTRANK.INC($D$7:$D$4378,D1977)*9,0)</f>
        <v>7</v>
      </c>
      <c r="H1977" s="1" t="n">
        <f aca="false">ROUND(_xlfn.PERCENTRANK.INC($E$7:$E$4378,E1977)*9,0)</f>
        <v>6</v>
      </c>
      <c r="I1977" s="1" t="str">
        <f aca="false">CONCATENATE(F1977,G1977,H1977)</f>
        <v>676</v>
      </c>
      <c r="J1977" s="1" t="str">
        <f aca="false">_xlfn.IFS(AND(F1977&gt;=8,G1977&gt;=8,H1977&gt;=8),"CHAMPION",AND(F1977&gt;=6,G1977&gt;=7,H1977&gt;=6),"LOYAL CUSTOMER",AND(F1977&gt;=6,G1977&gt;=5,H1977&gt;=5),"POTENTIAL LOYALIST",AND(F1977&gt;=8,G1977&lt;=2,H1977&gt;=5),"NEW CUSTOMERS",AND(F1977&gt;=6,G1977&lt;=2,H1977&gt;=3),"PROMISING",AND(F1977&gt;=3,G1977&gt;=3,H1977&gt;=3),"NEED ATTENTION",AND(F1977&lt;=4,G1977&gt;=6,H1977&gt;=6),"AT RISK",AND(F1977&lt;=2,G1977&gt;=8,H1977&gt;=8),"CAN'T LOSE THEM",AND(F1977&lt;=2,G1977&lt;=2,H1977&lt;=2),"HIBERNATING",TRUE(),"Other")</f>
        <v>LOYAL CUSTOMER</v>
      </c>
      <c r="K1977" s="1" t="n">
        <f aca="false">RANK(E1977,$E$7:$E$4378)+COUNTIF($E$7:E1977,E1977)-1</f>
        <v>1559</v>
      </c>
    </row>
    <row r="1978" customFormat="false" ht="14.25" hidden="false" customHeight="true" outlineLevel="0" collapsed="false">
      <c r="A1978" s="51" t="n">
        <v>15028</v>
      </c>
      <c r="B1978" s="53" t="n">
        <v>40878.5875</v>
      </c>
      <c r="C1978" s="57" t="n">
        <f aca="false">INT($C$2)-INT(Table3[[#This Row],[Last Purchase Date]])</f>
        <v>9</v>
      </c>
      <c r="D1978" s="1" t="n">
        <v>4</v>
      </c>
      <c r="E1978" s="1" t="n">
        <v>627.13</v>
      </c>
      <c r="F1978" s="1" t="n">
        <f aca="false">ROUND((1-_xlfn.PERCENTRANK.INC($C$7:$C$4378,C1978))*9,0)</f>
        <v>8</v>
      </c>
      <c r="G1978" s="1" t="n">
        <f aca="false">ROUND(_xlfn.PERCENTRANK.INC($D$7:$D$4378,D1978)*9,0)</f>
        <v>5</v>
      </c>
      <c r="H1978" s="1" t="n">
        <f aca="false">ROUND(_xlfn.PERCENTRANK.INC($E$7:$E$4378,E1978)*9,0)</f>
        <v>4</v>
      </c>
      <c r="I1978" s="1" t="str">
        <f aca="false">CONCATENATE(F1978,G1978,H1978)</f>
        <v>854</v>
      </c>
      <c r="J1978" s="1" t="str">
        <f aca="false">_xlfn.IFS(AND(F1978&gt;=8,G1978&gt;=8,H1978&gt;=8),"CHAMPION",AND(F1978&gt;=6,G1978&gt;=7,H1978&gt;=6),"LOYAL CUSTOMER",AND(F1978&gt;=6,G1978&gt;=5,H1978&gt;=5),"POTENTIAL LOYALIST",AND(F1978&gt;=8,G1978&lt;=2,H1978&gt;=5),"NEW CUSTOMERS",AND(F1978&gt;=6,G1978&lt;=2,H1978&gt;=3),"PROMISING",AND(F1978&gt;=3,G1978&gt;=3,H1978&gt;=3),"NEED ATTENTION",AND(F1978&lt;=4,G1978&gt;=6,H1978&gt;=6),"AT RISK",AND(F1978&lt;=2,G1978&gt;=8,H1978&gt;=8),"CAN'T LOSE THEM",AND(F1978&lt;=2,G1978&lt;=2,H1978&lt;=2),"HIBERNATING",TRUE(),"Other")</f>
        <v>NEED ATTENTION</v>
      </c>
      <c r="K1978" s="1" t="n">
        <f aca="false">RANK(E1978,$E$7:$E$4378)+COUNTIF($E$7:E1978,E1978)-1</f>
        <v>2239</v>
      </c>
    </row>
    <row r="1979" customFormat="false" ht="14.25" hidden="false" customHeight="true" outlineLevel="0" collapsed="false">
      <c r="A1979" s="51" t="n">
        <v>15030</v>
      </c>
      <c r="B1979" s="53" t="n">
        <v>40815.4513888889</v>
      </c>
      <c r="C1979" s="57" t="n">
        <f aca="false">INT($C$2)-INT(Table3[[#This Row],[Last Purchase Date]])</f>
        <v>72</v>
      </c>
      <c r="D1979" s="1" t="n">
        <v>2</v>
      </c>
      <c r="E1979" s="1" t="n">
        <v>518.28</v>
      </c>
      <c r="F1979" s="1" t="n">
        <f aca="false">ROUND((1-_xlfn.PERCENTRANK.INC($C$7:$C$4378,C1979))*9,0)</f>
        <v>4</v>
      </c>
      <c r="G1979" s="1" t="n">
        <f aca="false">ROUND(_xlfn.PERCENTRANK.INC($D$7:$D$4378,D1979)*9,0)</f>
        <v>3</v>
      </c>
      <c r="H1979" s="1" t="n">
        <f aca="false">ROUND(_xlfn.PERCENTRANK.INC($E$7:$E$4378,E1979)*9,0)</f>
        <v>4</v>
      </c>
      <c r="I1979" s="1" t="str">
        <f aca="false">CONCATENATE(F1979,G1979,H1979)</f>
        <v>434</v>
      </c>
      <c r="J1979" s="1" t="str">
        <f aca="false">_xlfn.IFS(AND(F1979&gt;=8,G1979&gt;=8,H1979&gt;=8),"CHAMPION",AND(F1979&gt;=6,G1979&gt;=7,H1979&gt;=6),"LOYAL CUSTOMER",AND(F1979&gt;=6,G1979&gt;=5,H1979&gt;=5),"POTENTIAL LOYALIST",AND(F1979&gt;=8,G1979&lt;=2,H1979&gt;=5),"NEW CUSTOMERS",AND(F1979&gt;=6,G1979&lt;=2,H1979&gt;=3),"PROMISING",AND(F1979&gt;=3,G1979&gt;=3,H1979&gt;=3),"NEED ATTENTION",AND(F1979&lt;=4,G1979&gt;=6,H1979&gt;=6),"AT RISK",AND(F1979&lt;=2,G1979&gt;=8,H1979&gt;=8),"CAN'T LOSE THEM",AND(F1979&lt;=2,G1979&lt;=2,H1979&lt;=2),"HIBERNATING",TRUE(),"Other")</f>
        <v>NEED ATTENTION</v>
      </c>
      <c r="K1979" s="1" t="n">
        <f aca="false">RANK(E1979,$E$7:$E$4378)+COUNTIF($E$7:E1979,E1979)-1</f>
        <v>2501</v>
      </c>
    </row>
    <row r="1980" customFormat="false" ht="14.25" hidden="false" customHeight="true" outlineLevel="0" collapsed="false">
      <c r="A1980" s="51" t="n">
        <v>15031</v>
      </c>
      <c r="B1980" s="53" t="n">
        <v>40882.5965277778</v>
      </c>
      <c r="C1980" s="57" t="n">
        <f aca="false">INT($C$2)-INT(Table3[[#This Row],[Last Purchase Date]])</f>
        <v>5</v>
      </c>
      <c r="D1980" s="1" t="n">
        <v>4</v>
      </c>
      <c r="E1980" s="1" t="n">
        <v>668.14</v>
      </c>
      <c r="F1980" s="1" t="n">
        <f aca="false">ROUND((1-_xlfn.PERCENTRANK.INC($C$7:$C$4378,C1980))*9,0)</f>
        <v>8</v>
      </c>
      <c r="G1980" s="1" t="n">
        <f aca="false">ROUND(_xlfn.PERCENTRANK.INC($D$7:$D$4378,D1980)*9,0)</f>
        <v>5</v>
      </c>
      <c r="H1980" s="1" t="n">
        <f aca="false">ROUND(_xlfn.PERCENTRANK.INC($E$7:$E$4378,E1980)*9,0)</f>
        <v>5</v>
      </c>
      <c r="I1980" s="1" t="str">
        <f aca="false">CONCATENATE(F1980,G1980,H1980)</f>
        <v>855</v>
      </c>
      <c r="J1980" s="1" t="str">
        <f aca="false">_xlfn.IFS(AND(F1980&gt;=8,G1980&gt;=8,H1980&gt;=8),"CHAMPION",AND(F1980&gt;=6,G1980&gt;=7,H1980&gt;=6),"LOYAL CUSTOMER",AND(F1980&gt;=6,G1980&gt;=5,H1980&gt;=5),"POTENTIAL LOYALIST",AND(F1980&gt;=8,G1980&lt;=2,H1980&gt;=5),"NEW CUSTOMERS",AND(F1980&gt;=6,G1980&lt;=2,H1980&gt;=3),"PROMISING",AND(F1980&gt;=3,G1980&gt;=3,H1980&gt;=3),"NEED ATTENTION",AND(F1980&lt;=4,G1980&gt;=6,H1980&gt;=6),"AT RISK",AND(F1980&lt;=2,G1980&gt;=8,H1980&gt;=8),"CAN'T LOSE THEM",AND(F1980&lt;=2,G1980&lt;=2,H1980&lt;=2),"HIBERNATING",TRUE(),"Other")</f>
        <v>POTENTIAL LOYALIST</v>
      </c>
      <c r="K1980" s="1" t="n">
        <f aca="false">RANK(E1980,$E$7:$E$4378)+COUNTIF($E$7:E1980,E1980)-1</f>
        <v>2133</v>
      </c>
    </row>
    <row r="1981" customFormat="false" ht="14.25" hidden="false" customHeight="true" outlineLevel="0" collapsed="false">
      <c r="A1981" s="51" t="n">
        <v>15032</v>
      </c>
      <c r="B1981" s="53" t="n">
        <v>40630.6458333333</v>
      </c>
      <c r="C1981" s="57" t="n">
        <f aca="false">INT($C$2)-INT(Table3[[#This Row],[Last Purchase Date]])</f>
        <v>257</v>
      </c>
      <c r="D1981" s="1" t="n">
        <v>5</v>
      </c>
      <c r="E1981" s="1" t="n">
        <v>4464.1</v>
      </c>
      <c r="F1981" s="1" t="n">
        <f aca="false">ROUND((1-_xlfn.PERCENTRANK.INC($C$7:$C$4378,C1981))*9,0)</f>
        <v>1</v>
      </c>
      <c r="G1981" s="1" t="n">
        <f aca="false">ROUND(_xlfn.PERCENTRANK.INC($D$7:$D$4378,D1981)*9,0)</f>
        <v>6</v>
      </c>
      <c r="H1981" s="1" t="n">
        <f aca="false">ROUND(_xlfn.PERCENTRANK.INC($E$7:$E$4378,E1981)*9,0)</f>
        <v>8</v>
      </c>
      <c r="I1981" s="1" t="str">
        <f aca="false">CONCATENATE(F1981,G1981,H1981)</f>
        <v>168</v>
      </c>
      <c r="J1981" s="1" t="str">
        <f aca="false">_xlfn.IFS(AND(F1981&gt;=8,G1981&gt;=8,H1981&gt;=8),"CHAMPION",AND(F1981&gt;=6,G1981&gt;=7,H1981&gt;=6),"LOYAL CUSTOMER",AND(F1981&gt;=6,G1981&gt;=5,H1981&gt;=5),"POTENTIAL LOYALIST",AND(F1981&gt;=8,G1981&lt;=2,H1981&gt;=5),"NEW CUSTOMERS",AND(F1981&gt;=6,G1981&lt;=2,H1981&gt;=3),"PROMISING",AND(F1981&gt;=3,G1981&gt;=3,H1981&gt;=3),"NEED ATTENTION",AND(F1981&lt;=4,G1981&gt;=6,H1981&gt;=6),"AT RISK",AND(F1981&lt;=2,G1981&gt;=8,H1981&gt;=8),"CAN'T LOSE THEM",AND(F1981&lt;=2,G1981&lt;=2,H1981&lt;=2),"HIBERNATING",TRUE(),"Other")</f>
        <v>AT RISK</v>
      </c>
      <c r="K1981" s="1" t="n">
        <f aca="false">RANK(E1981,$E$7:$E$4378)+COUNTIF($E$7:E1981,E1981)-1</f>
        <v>305</v>
      </c>
    </row>
    <row r="1982" customFormat="false" ht="14.25" hidden="false" customHeight="true" outlineLevel="0" collapsed="false">
      <c r="A1982" s="51" t="n">
        <v>15033</v>
      </c>
      <c r="B1982" s="53" t="n">
        <v>40882.5277777778</v>
      </c>
      <c r="C1982" s="57" t="n">
        <f aca="false">INT($C$2)-INT(Table3[[#This Row],[Last Purchase Date]])</f>
        <v>5</v>
      </c>
      <c r="D1982" s="1" t="n">
        <v>11</v>
      </c>
      <c r="E1982" s="1" t="n">
        <v>2571.02</v>
      </c>
      <c r="F1982" s="1" t="n">
        <f aca="false">ROUND((1-_xlfn.PERCENTRANK.INC($C$7:$C$4378,C1982))*9,0)</f>
        <v>8</v>
      </c>
      <c r="G1982" s="1" t="n">
        <f aca="false">ROUND(_xlfn.PERCENTRANK.INC($D$7:$D$4378,D1982)*9,0)</f>
        <v>8</v>
      </c>
      <c r="H1982" s="1" t="n">
        <f aca="false">ROUND(_xlfn.PERCENTRANK.INC($E$7:$E$4378,E1982)*9,0)</f>
        <v>8</v>
      </c>
      <c r="I1982" s="1" t="str">
        <f aca="false">CONCATENATE(F1982,G1982,H1982)</f>
        <v>888</v>
      </c>
      <c r="J1982" s="1" t="str">
        <f aca="false">_xlfn.IFS(AND(F1982&gt;=8,G1982&gt;=8,H1982&gt;=8),"CHAMPION",AND(F1982&gt;=6,G1982&gt;=7,H1982&gt;=6),"LOYAL CUSTOMER",AND(F1982&gt;=6,G1982&gt;=5,H1982&gt;=5),"POTENTIAL LOYALIST",AND(F1982&gt;=8,G1982&lt;=2,H1982&gt;=5),"NEW CUSTOMERS",AND(F1982&gt;=6,G1982&lt;=2,H1982&gt;=3),"PROMISING",AND(F1982&gt;=3,G1982&gt;=3,H1982&gt;=3),"NEED ATTENTION",AND(F1982&lt;=4,G1982&gt;=6,H1982&gt;=6),"AT RISK",AND(F1982&lt;=2,G1982&gt;=8,H1982&gt;=8),"CAN'T LOSE THEM",AND(F1982&lt;=2,G1982&lt;=2,H1982&lt;=2),"HIBERNATING",TRUE(),"Other")</f>
        <v>CHAMPION</v>
      </c>
      <c r="K1982" s="1" t="n">
        <f aca="false">RANK(E1982,$E$7:$E$4378)+COUNTIF($E$7:E1982,E1982)-1</f>
        <v>661</v>
      </c>
    </row>
    <row r="1983" customFormat="false" ht="14.25" hidden="false" customHeight="true" outlineLevel="0" collapsed="false">
      <c r="A1983" s="51" t="n">
        <v>15034</v>
      </c>
      <c r="B1983" s="53" t="n">
        <v>40871.5076388889</v>
      </c>
      <c r="C1983" s="57" t="n">
        <f aca="false">INT($C$2)-INT(Table3[[#This Row],[Last Purchase Date]])</f>
        <v>16</v>
      </c>
      <c r="D1983" s="1" t="n">
        <v>11</v>
      </c>
      <c r="E1983" s="1" t="n">
        <v>4277.66</v>
      </c>
      <c r="F1983" s="1" t="n">
        <f aca="false">ROUND((1-_xlfn.PERCENTRANK.INC($C$7:$C$4378,C1983))*9,0)</f>
        <v>7</v>
      </c>
      <c r="G1983" s="1" t="n">
        <f aca="false">ROUND(_xlfn.PERCENTRANK.INC($D$7:$D$4378,D1983)*9,0)</f>
        <v>8</v>
      </c>
      <c r="H1983" s="1" t="n">
        <f aca="false">ROUND(_xlfn.PERCENTRANK.INC($E$7:$E$4378,E1983)*9,0)</f>
        <v>8</v>
      </c>
      <c r="I1983" s="1" t="str">
        <f aca="false">CONCATENATE(F1983,G1983,H1983)</f>
        <v>788</v>
      </c>
      <c r="J1983" s="1" t="str">
        <f aca="false">_xlfn.IFS(AND(F1983&gt;=8,G1983&gt;=8,H1983&gt;=8),"CHAMPION",AND(F1983&gt;=6,G1983&gt;=7,H1983&gt;=6),"LOYAL CUSTOMER",AND(F1983&gt;=6,G1983&gt;=5,H1983&gt;=5),"POTENTIAL LOYALIST",AND(F1983&gt;=8,G1983&lt;=2,H1983&gt;=5),"NEW CUSTOMERS",AND(F1983&gt;=6,G1983&lt;=2,H1983&gt;=3),"PROMISING",AND(F1983&gt;=3,G1983&gt;=3,H1983&gt;=3),"NEED ATTENTION",AND(F1983&lt;=4,G1983&gt;=6,H1983&gt;=6),"AT RISK",AND(F1983&lt;=2,G1983&gt;=8,H1983&gt;=8),"CAN'T LOSE THEM",AND(F1983&lt;=2,G1983&lt;=2,H1983&lt;=2),"HIBERNATING",TRUE(),"Other")</f>
        <v>LOYAL CUSTOMER</v>
      </c>
      <c r="K1983" s="1" t="n">
        <f aca="false">RANK(E1983,$E$7:$E$4378)+COUNTIF($E$7:E1983,E1983)-1</f>
        <v>322</v>
      </c>
    </row>
    <row r="1984" customFormat="false" ht="14.25" hidden="false" customHeight="true" outlineLevel="0" collapsed="false">
      <c r="A1984" s="51" t="n">
        <v>15035</v>
      </c>
      <c r="B1984" s="53" t="n">
        <v>40797.4638888889</v>
      </c>
      <c r="C1984" s="57" t="n">
        <f aca="false">INT($C$2)-INT(Table3[[#This Row],[Last Purchase Date]])</f>
        <v>90</v>
      </c>
      <c r="D1984" s="1" t="n">
        <v>1</v>
      </c>
      <c r="E1984" s="1" t="n">
        <v>252.73</v>
      </c>
      <c r="F1984" s="1" t="n">
        <f aca="false">ROUND((1-_xlfn.PERCENTRANK.INC($C$7:$C$4378,C1984))*9,0)</f>
        <v>3</v>
      </c>
      <c r="G1984" s="1" t="n">
        <f aca="false">ROUND(_xlfn.PERCENTRANK.INC($D$7:$D$4378,D1984)*9,0)</f>
        <v>0</v>
      </c>
      <c r="H1984" s="1" t="n">
        <f aca="false">ROUND(_xlfn.PERCENTRANK.INC($E$7:$E$4378,E1984)*9,0)</f>
        <v>2</v>
      </c>
      <c r="I1984" s="1" t="str">
        <f aca="false">CONCATENATE(F1984,G1984,H1984)</f>
        <v>302</v>
      </c>
      <c r="J1984" s="1" t="str">
        <f aca="false">_xlfn.IFS(AND(F1984&gt;=8,G1984&gt;=8,H1984&gt;=8),"CHAMPION",AND(F1984&gt;=6,G1984&gt;=7,H1984&gt;=6),"LOYAL CUSTOMER",AND(F1984&gt;=6,G1984&gt;=5,H1984&gt;=5),"POTENTIAL LOYALIST",AND(F1984&gt;=8,G1984&lt;=2,H1984&gt;=5),"NEW CUSTOMERS",AND(F1984&gt;=6,G1984&lt;=2,H1984&gt;=3),"PROMISING",AND(F1984&gt;=3,G1984&gt;=3,H1984&gt;=3),"NEED ATTENTION",AND(F1984&lt;=4,G1984&gt;=6,H1984&gt;=6),"AT RISK",AND(F1984&lt;=2,G1984&gt;=8,H1984&gt;=8),"CAN'T LOSE THEM",AND(F1984&lt;=2,G1984&lt;=2,H1984&lt;=2),"HIBERNATING",TRUE(),"Other")</f>
        <v>Other</v>
      </c>
      <c r="K1984" s="1" t="n">
        <f aca="false">RANK(E1984,$E$7:$E$4378)+COUNTIF($E$7:E1984,E1984)-1</f>
        <v>3424</v>
      </c>
    </row>
    <row r="1985" customFormat="false" ht="14.25" hidden="false" customHeight="true" outlineLevel="0" collapsed="false">
      <c r="A1985" s="51" t="n">
        <v>15036</v>
      </c>
      <c r="B1985" s="53" t="n">
        <v>40814.6541666667</v>
      </c>
      <c r="C1985" s="57" t="n">
        <f aca="false">INT($C$2)-INT(Table3[[#This Row],[Last Purchase Date]])</f>
        <v>73</v>
      </c>
      <c r="D1985" s="1" t="n">
        <v>3</v>
      </c>
      <c r="E1985" s="1" t="n">
        <v>465.55</v>
      </c>
      <c r="F1985" s="1" t="n">
        <f aca="false">ROUND((1-_xlfn.PERCENTRANK.INC($C$7:$C$4378,C1985))*9,0)</f>
        <v>4</v>
      </c>
      <c r="G1985" s="1" t="n">
        <f aca="false">ROUND(_xlfn.PERCENTRANK.INC($D$7:$D$4378,D1985)*9,0)</f>
        <v>4</v>
      </c>
      <c r="H1985" s="1" t="n">
        <f aca="false">ROUND(_xlfn.PERCENTRANK.INC($E$7:$E$4378,E1985)*9,0)</f>
        <v>4</v>
      </c>
      <c r="I1985" s="1" t="str">
        <f aca="false">CONCATENATE(F1985,G1985,H1985)</f>
        <v>444</v>
      </c>
      <c r="J1985" s="1" t="str">
        <f aca="false">_xlfn.IFS(AND(F1985&gt;=8,G1985&gt;=8,H1985&gt;=8),"CHAMPION",AND(F1985&gt;=6,G1985&gt;=7,H1985&gt;=6),"LOYAL CUSTOMER",AND(F1985&gt;=6,G1985&gt;=5,H1985&gt;=5),"POTENTIAL LOYALIST",AND(F1985&gt;=8,G1985&lt;=2,H1985&gt;=5),"NEW CUSTOMERS",AND(F1985&gt;=6,G1985&lt;=2,H1985&gt;=3),"PROMISING",AND(F1985&gt;=3,G1985&gt;=3,H1985&gt;=3),"NEED ATTENTION",AND(F1985&lt;=4,G1985&gt;=6,H1985&gt;=6),"AT RISK",AND(F1985&lt;=2,G1985&gt;=8,H1985&gt;=8),"CAN'T LOSE THEM",AND(F1985&lt;=2,G1985&lt;=2,H1985&lt;=2),"HIBERNATING",TRUE(),"Other")</f>
        <v>NEED ATTENTION</v>
      </c>
      <c r="K1985" s="1" t="n">
        <f aca="false">RANK(E1985,$E$7:$E$4378)+COUNTIF($E$7:E1985,E1985)-1</f>
        <v>2623</v>
      </c>
    </row>
    <row r="1986" customFormat="false" ht="14.25" hidden="false" customHeight="true" outlineLevel="0" collapsed="false">
      <c r="A1986" s="51" t="n">
        <v>15038</v>
      </c>
      <c r="B1986" s="53" t="n">
        <v>40843.6125</v>
      </c>
      <c r="C1986" s="57" t="n">
        <f aca="false">INT($C$2)-INT(Table3[[#This Row],[Last Purchase Date]])</f>
        <v>44</v>
      </c>
      <c r="D1986" s="1" t="n">
        <v>7</v>
      </c>
      <c r="E1986" s="1" t="n">
        <v>665.59</v>
      </c>
      <c r="F1986" s="1" t="n">
        <f aca="false">ROUND((1-_xlfn.PERCENTRANK.INC($C$7:$C$4378,C1986))*9,0)</f>
        <v>5</v>
      </c>
      <c r="G1986" s="1" t="n">
        <f aca="false">ROUND(_xlfn.PERCENTRANK.INC($D$7:$D$4378,D1986)*9,0)</f>
        <v>7</v>
      </c>
      <c r="H1986" s="1" t="n">
        <f aca="false">ROUND(_xlfn.PERCENTRANK.INC($E$7:$E$4378,E1986)*9,0)</f>
        <v>5</v>
      </c>
      <c r="I1986" s="1" t="str">
        <f aca="false">CONCATENATE(F1986,G1986,H1986)</f>
        <v>575</v>
      </c>
      <c r="J1986" s="1" t="str">
        <f aca="false">_xlfn.IFS(AND(F1986&gt;=8,G1986&gt;=8,H1986&gt;=8),"CHAMPION",AND(F1986&gt;=6,G1986&gt;=7,H1986&gt;=6),"LOYAL CUSTOMER",AND(F1986&gt;=6,G1986&gt;=5,H1986&gt;=5),"POTENTIAL LOYALIST",AND(F1986&gt;=8,G1986&lt;=2,H1986&gt;=5),"NEW CUSTOMERS",AND(F1986&gt;=6,G1986&lt;=2,H1986&gt;=3),"PROMISING",AND(F1986&gt;=3,G1986&gt;=3,H1986&gt;=3),"NEED ATTENTION",AND(F1986&lt;=4,G1986&gt;=6,H1986&gt;=6),"AT RISK",AND(F1986&lt;=2,G1986&gt;=8,H1986&gt;=8),"CAN'T LOSE THEM",AND(F1986&lt;=2,G1986&lt;=2,H1986&lt;=2),"HIBERNATING",TRUE(),"Other")</f>
        <v>NEED ATTENTION</v>
      </c>
      <c r="K1986" s="1" t="n">
        <f aca="false">RANK(E1986,$E$7:$E$4378)+COUNTIF($E$7:E1986,E1986)-1</f>
        <v>2141</v>
      </c>
    </row>
    <row r="1987" customFormat="false" ht="14.25" hidden="false" customHeight="true" outlineLevel="0" collapsed="false">
      <c r="A1987" s="51" t="n">
        <v>15039</v>
      </c>
      <c r="B1987" s="53" t="n">
        <v>40877.4798611111</v>
      </c>
      <c r="C1987" s="57" t="n">
        <f aca="false">INT($C$2)-INT(Table3[[#This Row],[Last Purchase Date]])</f>
        <v>10</v>
      </c>
      <c r="D1987" s="1" t="n">
        <v>52</v>
      </c>
      <c r="E1987" s="1" t="n">
        <v>19786.44</v>
      </c>
      <c r="F1987" s="1" t="n">
        <f aca="false">ROUND((1-_xlfn.PERCENTRANK.INC($C$7:$C$4378,C1987))*9,0)</f>
        <v>8</v>
      </c>
      <c r="G1987" s="1" t="n">
        <f aca="false">ROUND(_xlfn.PERCENTRANK.INC($D$7:$D$4378,D1987)*9,0)</f>
        <v>9</v>
      </c>
      <c r="H1987" s="1" t="n">
        <f aca="false">ROUND(_xlfn.PERCENTRANK.INC($E$7:$E$4378,E1987)*9,0)</f>
        <v>9</v>
      </c>
      <c r="I1987" s="1" t="str">
        <f aca="false">CONCATENATE(F1987,G1987,H1987)</f>
        <v>899</v>
      </c>
      <c r="J1987" s="1" t="str">
        <f aca="false">_xlfn.IFS(AND(F1987&gt;=8,G1987&gt;=8,H1987&gt;=8),"CHAMPION",AND(F1987&gt;=6,G1987&gt;=7,H1987&gt;=6),"LOYAL CUSTOMER",AND(F1987&gt;=6,G1987&gt;=5,H1987&gt;=5),"POTENTIAL LOYALIST",AND(F1987&gt;=8,G1987&lt;=2,H1987&gt;=5),"NEW CUSTOMERS",AND(F1987&gt;=6,G1987&lt;=2,H1987&gt;=3),"PROMISING",AND(F1987&gt;=3,G1987&gt;=3,H1987&gt;=3),"NEED ATTENTION",AND(F1987&lt;=4,G1987&gt;=6,H1987&gt;=6),"AT RISK",AND(F1987&lt;=2,G1987&gt;=8,H1987&gt;=8),"CAN'T LOSE THEM",AND(F1987&lt;=2,G1987&lt;=2,H1987&lt;=2),"HIBERNATING",TRUE(),"Other")</f>
        <v>CHAMPION</v>
      </c>
      <c r="K1987" s="1" t="n">
        <f aca="false">RANK(E1987,$E$7:$E$4378)+COUNTIF($E$7:E1987,E1987)-1</f>
        <v>40</v>
      </c>
    </row>
    <row r="1988" customFormat="false" ht="14.25" hidden="false" customHeight="true" outlineLevel="0" collapsed="false">
      <c r="A1988" s="51" t="n">
        <v>15041</v>
      </c>
      <c r="B1988" s="53" t="n">
        <v>40716.6777777778</v>
      </c>
      <c r="C1988" s="57" t="n">
        <f aca="false">INT($C$2)-INT(Table3[[#This Row],[Last Purchase Date]])</f>
        <v>171</v>
      </c>
      <c r="D1988" s="1" t="n">
        <v>1</v>
      </c>
      <c r="E1988" s="1" t="n">
        <v>180.35</v>
      </c>
      <c r="F1988" s="1" t="n">
        <f aca="false">ROUND((1-_xlfn.PERCENTRANK.INC($C$7:$C$4378,C1988))*9,0)</f>
        <v>2</v>
      </c>
      <c r="G1988" s="1" t="n">
        <f aca="false">ROUND(_xlfn.PERCENTRANK.INC($D$7:$D$4378,D1988)*9,0)</f>
        <v>0</v>
      </c>
      <c r="H1988" s="1" t="n">
        <f aca="false">ROUND(_xlfn.PERCENTRANK.INC($E$7:$E$4378,E1988)*9,0)</f>
        <v>1</v>
      </c>
      <c r="I1988" s="1" t="str">
        <f aca="false">CONCATENATE(F1988,G1988,H1988)</f>
        <v>201</v>
      </c>
      <c r="J1988" s="1" t="str">
        <f aca="false">_xlfn.IFS(AND(F1988&gt;=8,G1988&gt;=8,H1988&gt;=8),"CHAMPION",AND(F1988&gt;=6,G1988&gt;=7,H1988&gt;=6),"LOYAL CUSTOMER",AND(F1988&gt;=6,G1988&gt;=5,H1988&gt;=5),"POTENTIAL LOYALIST",AND(F1988&gt;=8,G1988&lt;=2,H1988&gt;=5),"NEW CUSTOMERS",AND(F1988&gt;=6,G1988&lt;=2,H1988&gt;=3),"PROMISING",AND(F1988&gt;=3,G1988&gt;=3,H1988&gt;=3),"NEED ATTENTION",AND(F1988&lt;=4,G1988&gt;=6,H1988&gt;=6),"AT RISK",AND(F1988&lt;=2,G1988&gt;=8,H1988&gt;=8),"CAN'T LOSE THEM",AND(F1988&lt;=2,G1988&lt;=2,H1988&lt;=2),"HIBERNATING",TRUE(),"Other")</f>
        <v>HIBERNATING</v>
      </c>
      <c r="K1988" s="1" t="n">
        <f aca="false">RANK(E1988,$E$7:$E$4378)+COUNTIF($E$7:E1988,E1988)-1</f>
        <v>3750</v>
      </c>
    </row>
    <row r="1989" customFormat="false" ht="14.25" hidden="false" customHeight="true" outlineLevel="0" collapsed="false">
      <c r="A1989" s="51" t="n">
        <v>15042</v>
      </c>
      <c r="B1989" s="53" t="n">
        <v>40687.6840277778</v>
      </c>
      <c r="C1989" s="57" t="n">
        <f aca="false">INT($C$2)-INT(Table3[[#This Row],[Last Purchase Date]])</f>
        <v>200</v>
      </c>
      <c r="D1989" s="1" t="n">
        <v>1</v>
      </c>
      <c r="E1989" s="1" t="n">
        <v>135.93</v>
      </c>
      <c r="F1989" s="1" t="n">
        <f aca="false">ROUND((1-_xlfn.PERCENTRANK.INC($C$7:$C$4378,C1989))*9,0)</f>
        <v>2</v>
      </c>
      <c r="G1989" s="1" t="n">
        <f aca="false">ROUND(_xlfn.PERCENTRANK.INC($D$7:$D$4378,D1989)*9,0)</f>
        <v>0</v>
      </c>
      <c r="H1989" s="1" t="n">
        <f aca="false">ROUND(_xlfn.PERCENTRANK.INC($E$7:$E$4378,E1989)*9,0)</f>
        <v>1</v>
      </c>
      <c r="I1989" s="1" t="str">
        <f aca="false">CONCATENATE(F1989,G1989,H1989)</f>
        <v>201</v>
      </c>
      <c r="J1989" s="1" t="str">
        <f aca="false">_xlfn.IFS(AND(F1989&gt;=8,G1989&gt;=8,H1989&gt;=8),"CHAMPION",AND(F1989&gt;=6,G1989&gt;=7,H1989&gt;=6),"LOYAL CUSTOMER",AND(F1989&gt;=6,G1989&gt;=5,H1989&gt;=5),"POTENTIAL LOYALIST",AND(F1989&gt;=8,G1989&lt;=2,H1989&gt;=5),"NEW CUSTOMERS",AND(F1989&gt;=6,G1989&lt;=2,H1989&gt;=3),"PROMISING",AND(F1989&gt;=3,G1989&gt;=3,H1989&gt;=3),"NEED ATTENTION",AND(F1989&lt;=4,G1989&gt;=6,H1989&gt;=6),"AT RISK",AND(F1989&lt;=2,G1989&gt;=8,H1989&gt;=8),"CAN'T LOSE THEM",AND(F1989&lt;=2,G1989&lt;=2,H1989&lt;=2),"HIBERNATING",TRUE(),"Other")</f>
        <v>HIBERNATING</v>
      </c>
      <c r="K1989" s="1" t="n">
        <f aca="false">RANK(E1989,$E$7:$E$4378)+COUNTIF($E$7:E1989,E1989)-1</f>
        <v>3979</v>
      </c>
    </row>
    <row r="1990" customFormat="false" ht="14.25" hidden="false" customHeight="true" outlineLevel="0" collapsed="false">
      <c r="A1990" s="51" t="n">
        <v>15043</v>
      </c>
      <c r="B1990" s="53" t="n">
        <v>40855.6013888889</v>
      </c>
      <c r="C1990" s="57" t="n">
        <f aca="false">INT($C$2)-INT(Table3[[#This Row],[Last Purchase Date]])</f>
        <v>32</v>
      </c>
      <c r="D1990" s="1" t="n">
        <v>1</v>
      </c>
      <c r="E1990" s="1" t="n">
        <v>537</v>
      </c>
      <c r="F1990" s="1" t="n">
        <f aca="false">ROUND((1-_xlfn.PERCENTRANK.INC($C$7:$C$4378,C1990))*9,0)</f>
        <v>5</v>
      </c>
      <c r="G1990" s="1" t="n">
        <f aca="false">ROUND(_xlfn.PERCENTRANK.INC($D$7:$D$4378,D1990)*9,0)</f>
        <v>0</v>
      </c>
      <c r="H1990" s="1" t="n">
        <f aca="false">ROUND(_xlfn.PERCENTRANK.INC($E$7:$E$4378,E1990)*9,0)</f>
        <v>4</v>
      </c>
      <c r="I1990" s="1" t="str">
        <f aca="false">CONCATENATE(F1990,G1990,H1990)</f>
        <v>504</v>
      </c>
      <c r="J1990" s="1" t="str">
        <f aca="false">_xlfn.IFS(AND(F1990&gt;=8,G1990&gt;=8,H1990&gt;=8),"CHAMPION",AND(F1990&gt;=6,G1990&gt;=7,H1990&gt;=6),"LOYAL CUSTOMER",AND(F1990&gt;=6,G1990&gt;=5,H1990&gt;=5),"POTENTIAL LOYALIST",AND(F1990&gt;=8,G1990&lt;=2,H1990&gt;=5),"NEW CUSTOMERS",AND(F1990&gt;=6,G1990&lt;=2,H1990&gt;=3),"PROMISING",AND(F1990&gt;=3,G1990&gt;=3,H1990&gt;=3),"NEED ATTENTION",AND(F1990&lt;=4,G1990&gt;=6,H1990&gt;=6),"AT RISK",AND(F1990&lt;=2,G1990&gt;=8,H1990&gt;=8),"CAN'T LOSE THEM",AND(F1990&lt;=2,G1990&lt;=2,H1990&lt;=2),"HIBERNATING",TRUE(),"Other")</f>
        <v>Other</v>
      </c>
      <c r="K1990" s="1" t="n">
        <f aca="false">RANK(E1990,$E$7:$E$4378)+COUNTIF($E$7:E1990,E1990)-1</f>
        <v>2465</v>
      </c>
    </row>
    <row r="1991" customFormat="false" ht="14.25" hidden="false" customHeight="true" outlineLevel="0" collapsed="false">
      <c r="A1991" s="51" t="n">
        <v>15044</v>
      </c>
      <c r="B1991" s="53" t="n">
        <v>40867.5555555556</v>
      </c>
      <c r="C1991" s="57" t="n">
        <f aca="false">INT($C$2)-INT(Table3[[#This Row],[Last Purchase Date]])</f>
        <v>20</v>
      </c>
      <c r="D1991" s="1" t="n">
        <v>22</v>
      </c>
      <c r="E1991" s="1" t="n">
        <v>7629.38</v>
      </c>
      <c r="F1991" s="1" t="n">
        <f aca="false">ROUND((1-_xlfn.PERCENTRANK.INC($C$7:$C$4378,C1991))*9,0)</f>
        <v>6</v>
      </c>
      <c r="G1991" s="1" t="n">
        <f aca="false">ROUND(_xlfn.PERCENTRANK.INC($D$7:$D$4378,D1991)*9,0)</f>
        <v>9</v>
      </c>
      <c r="H1991" s="1" t="n">
        <f aca="false">ROUND(_xlfn.PERCENTRANK.INC($E$7:$E$4378,E1991)*9,0)</f>
        <v>9</v>
      </c>
      <c r="I1991" s="1" t="str">
        <f aca="false">CONCATENATE(F1991,G1991,H1991)</f>
        <v>699</v>
      </c>
      <c r="J1991" s="1" t="str">
        <f aca="false">_xlfn.IFS(AND(F1991&gt;=8,G1991&gt;=8,H1991&gt;=8),"CHAMPION",AND(F1991&gt;=6,G1991&gt;=7,H1991&gt;=6),"LOYAL CUSTOMER",AND(F1991&gt;=6,G1991&gt;=5,H1991&gt;=5),"POTENTIAL LOYALIST",AND(F1991&gt;=8,G1991&lt;=2,H1991&gt;=5),"NEW CUSTOMERS",AND(F1991&gt;=6,G1991&lt;=2,H1991&gt;=3),"PROMISING",AND(F1991&gt;=3,G1991&gt;=3,H1991&gt;=3),"NEED ATTENTION",AND(F1991&lt;=4,G1991&gt;=6,H1991&gt;=6),"AT RISK",AND(F1991&lt;=2,G1991&gt;=8,H1991&gt;=8),"CAN'T LOSE THEM",AND(F1991&lt;=2,G1991&lt;=2,H1991&lt;=2),"HIBERNATING",TRUE(),"Other")</f>
        <v>LOYAL CUSTOMER</v>
      </c>
      <c r="K1991" s="1" t="n">
        <f aca="false">RANK(E1991,$E$7:$E$4378)+COUNTIF($E$7:E1991,E1991)-1</f>
        <v>139</v>
      </c>
    </row>
    <row r="1992" customFormat="false" ht="14.25" hidden="false" customHeight="true" outlineLevel="0" collapsed="false">
      <c r="A1992" s="51" t="n">
        <v>15045</v>
      </c>
      <c r="B1992" s="53" t="n">
        <v>40735.48125</v>
      </c>
      <c r="C1992" s="57" t="n">
        <f aca="false">INT($C$2)-INT(Table3[[#This Row],[Last Purchase Date]])</f>
        <v>152</v>
      </c>
      <c r="D1992" s="1" t="n">
        <v>3</v>
      </c>
      <c r="E1992" s="1" t="n">
        <v>633.66</v>
      </c>
      <c r="F1992" s="1" t="n">
        <f aca="false">ROUND((1-_xlfn.PERCENTRANK.INC($C$7:$C$4378,C1992))*9,0)</f>
        <v>2</v>
      </c>
      <c r="G1992" s="1" t="n">
        <f aca="false">ROUND(_xlfn.PERCENTRANK.INC($D$7:$D$4378,D1992)*9,0)</f>
        <v>4</v>
      </c>
      <c r="H1992" s="1" t="n">
        <f aca="false">ROUND(_xlfn.PERCENTRANK.INC($E$7:$E$4378,E1992)*9,0)</f>
        <v>4</v>
      </c>
      <c r="I1992" s="1" t="str">
        <f aca="false">CONCATENATE(F1992,G1992,H1992)</f>
        <v>244</v>
      </c>
      <c r="J1992" s="1" t="str">
        <f aca="false">_xlfn.IFS(AND(F1992&gt;=8,G1992&gt;=8,H1992&gt;=8),"CHAMPION",AND(F1992&gt;=6,G1992&gt;=7,H1992&gt;=6),"LOYAL CUSTOMER",AND(F1992&gt;=6,G1992&gt;=5,H1992&gt;=5),"POTENTIAL LOYALIST",AND(F1992&gt;=8,G1992&lt;=2,H1992&gt;=5),"NEW CUSTOMERS",AND(F1992&gt;=6,G1992&lt;=2,H1992&gt;=3),"PROMISING",AND(F1992&gt;=3,G1992&gt;=3,H1992&gt;=3),"NEED ATTENTION",AND(F1992&lt;=4,G1992&gt;=6,H1992&gt;=6),"AT RISK",AND(F1992&lt;=2,G1992&gt;=8,H1992&gt;=8),"CAN'T LOSE THEM",AND(F1992&lt;=2,G1992&lt;=2,H1992&lt;=2),"HIBERNATING",TRUE(),"Other")</f>
        <v>Other</v>
      </c>
      <c r="K1992" s="1" t="n">
        <f aca="false">RANK(E1992,$E$7:$E$4378)+COUNTIF($E$7:E1992,E1992)-1</f>
        <v>2225</v>
      </c>
    </row>
    <row r="1993" customFormat="false" ht="14.25" hidden="false" customHeight="true" outlineLevel="0" collapsed="false">
      <c r="A1993" s="51" t="n">
        <v>15046</v>
      </c>
      <c r="B1993" s="53" t="n">
        <v>40877.6597222222</v>
      </c>
      <c r="C1993" s="57" t="n">
        <f aca="false">INT($C$2)-INT(Table3[[#This Row],[Last Purchase Date]])</f>
        <v>10</v>
      </c>
      <c r="D1993" s="1" t="n">
        <v>16</v>
      </c>
      <c r="E1993" s="1" t="n">
        <v>5064.01</v>
      </c>
      <c r="F1993" s="1" t="n">
        <f aca="false">ROUND((1-_xlfn.PERCENTRANK.INC($C$7:$C$4378,C1993))*9,0)</f>
        <v>8</v>
      </c>
      <c r="G1993" s="1" t="n">
        <f aca="false">ROUND(_xlfn.PERCENTRANK.INC($D$7:$D$4378,D1993)*9,0)</f>
        <v>9</v>
      </c>
      <c r="H1993" s="1" t="n">
        <f aca="false">ROUND(_xlfn.PERCENTRANK.INC($E$7:$E$4378,E1993)*9,0)</f>
        <v>8</v>
      </c>
      <c r="I1993" s="1" t="str">
        <f aca="false">CONCATENATE(F1993,G1993,H1993)</f>
        <v>898</v>
      </c>
      <c r="J1993" s="1" t="str">
        <f aca="false">_xlfn.IFS(AND(F1993&gt;=8,G1993&gt;=8,H1993&gt;=8),"CHAMPION",AND(F1993&gt;=6,G1993&gt;=7,H1993&gt;=6),"LOYAL CUSTOMER",AND(F1993&gt;=6,G1993&gt;=5,H1993&gt;=5),"POTENTIAL LOYALIST",AND(F1993&gt;=8,G1993&lt;=2,H1993&gt;=5),"NEW CUSTOMERS",AND(F1993&gt;=6,G1993&lt;=2,H1993&gt;=3),"PROMISING",AND(F1993&gt;=3,G1993&gt;=3,H1993&gt;=3),"NEED ATTENTION",AND(F1993&lt;=4,G1993&gt;=6,H1993&gt;=6),"AT RISK",AND(F1993&lt;=2,G1993&gt;=8,H1993&gt;=8),"CAN'T LOSE THEM",AND(F1993&lt;=2,G1993&lt;=2,H1993&lt;=2),"HIBERNATING",TRUE(),"Other")</f>
        <v>CHAMPION</v>
      </c>
      <c r="K1993" s="1" t="n">
        <f aca="false">RANK(E1993,$E$7:$E$4378)+COUNTIF($E$7:E1993,E1993)-1</f>
        <v>254</v>
      </c>
    </row>
    <row r="1994" customFormat="false" ht="14.25" hidden="false" customHeight="true" outlineLevel="0" collapsed="false">
      <c r="A1994" s="51" t="n">
        <v>15047</v>
      </c>
      <c r="B1994" s="53" t="n">
        <v>40617.4506944444</v>
      </c>
      <c r="C1994" s="57" t="n">
        <f aca="false">INT($C$2)-INT(Table3[[#This Row],[Last Purchase Date]])</f>
        <v>270</v>
      </c>
      <c r="D1994" s="1" t="n">
        <v>1</v>
      </c>
      <c r="E1994" s="1" t="n">
        <v>343.62</v>
      </c>
      <c r="F1994" s="1" t="n">
        <f aca="false">ROUND((1-_xlfn.PERCENTRANK.INC($C$7:$C$4378,C1994))*9,0)</f>
        <v>1</v>
      </c>
      <c r="G1994" s="1" t="n">
        <f aca="false">ROUND(_xlfn.PERCENTRANK.INC($D$7:$D$4378,D1994)*9,0)</f>
        <v>0</v>
      </c>
      <c r="H1994" s="1" t="n">
        <f aca="false">ROUND(_xlfn.PERCENTRANK.INC($E$7:$E$4378,E1994)*9,0)</f>
        <v>3</v>
      </c>
      <c r="I1994" s="1" t="str">
        <f aca="false">CONCATENATE(F1994,G1994,H1994)</f>
        <v>103</v>
      </c>
      <c r="J1994" s="1" t="str">
        <f aca="false">_xlfn.IFS(AND(F1994&gt;=8,G1994&gt;=8,H1994&gt;=8),"CHAMPION",AND(F1994&gt;=6,G1994&gt;=7,H1994&gt;=6),"LOYAL CUSTOMER",AND(F1994&gt;=6,G1994&gt;=5,H1994&gt;=5),"POTENTIAL LOYALIST",AND(F1994&gt;=8,G1994&lt;=2,H1994&gt;=5),"NEW CUSTOMERS",AND(F1994&gt;=6,G1994&lt;=2,H1994&gt;=3),"PROMISING",AND(F1994&gt;=3,G1994&gt;=3,H1994&gt;=3),"NEED ATTENTION",AND(F1994&lt;=4,G1994&gt;=6,H1994&gt;=6),"AT RISK",AND(F1994&lt;=2,G1994&gt;=8,H1994&gt;=8),"CAN'T LOSE THEM",AND(F1994&lt;=2,G1994&lt;=2,H1994&lt;=2),"HIBERNATING",TRUE(),"Other")</f>
        <v>Other</v>
      </c>
      <c r="K1994" s="1" t="n">
        <f aca="false">RANK(E1994,$E$7:$E$4378)+COUNTIF($E$7:E1994,E1994)-1</f>
        <v>3038</v>
      </c>
    </row>
    <row r="1995" customFormat="false" ht="14.25" hidden="false" customHeight="true" outlineLevel="0" collapsed="false">
      <c r="A1995" s="51" t="n">
        <v>15048</v>
      </c>
      <c r="B1995" s="53" t="n">
        <v>40821.6215277778</v>
      </c>
      <c r="C1995" s="57" t="n">
        <f aca="false">INT($C$2)-INT(Table3[[#This Row],[Last Purchase Date]])</f>
        <v>66</v>
      </c>
      <c r="D1995" s="1" t="n">
        <v>5</v>
      </c>
      <c r="E1995" s="1" t="n">
        <v>380.57</v>
      </c>
      <c r="F1995" s="1" t="n">
        <f aca="false">ROUND((1-_xlfn.PERCENTRANK.INC($C$7:$C$4378,C1995))*9,0)</f>
        <v>4</v>
      </c>
      <c r="G1995" s="1" t="n">
        <f aca="false">ROUND(_xlfn.PERCENTRANK.INC($D$7:$D$4378,D1995)*9,0)</f>
        <v>6</v>
      </c>
      <c r="H1995" s="1" t="n">
        <f aca="false">ROUND(_xlfn.PERCENTRANK.INC($E$7:$E$4378,E1995)*9,0)</f>
        <v>3</v>
      </c>
      <c r="I1995" s="1" t="str">
        <f aca="false">CONCATENATE(F1995,G1995,H1995)</f>
        <v>463</v>
      </c>
      <c r="J1995" s="1" t="str">
        <f aca="false">_xlfn.IFS(AND(F1995&gt;=8,G1995&gt;=8,H1995&gt;=8),"CHAMPION",AND(F1995&gt;=6,G1995&gt;=7,H1995&gt;=6),"LOYAL CUSTOMER",AND(F1995&gt;=6,G1995&gt;=5,H1995&gt;=5),"POTENTIAL LOYALIST",AND(F1995&gt;=8,G1995&lt;=2,H1995&gt;=5),"NEW CUSTOMERS",AND(F1995&gt;=6,G1995&lt;=2,H1995&gt;=3),"PROMISING",AND(F1995&gt;=3,G1995&gt;=3,H1995&gt;=3),"NEED ATTENTION",AND(F1995&lt;=4,G1995&gt;=6,H1995&gt;=6),"AT RISK",AND(F1995&lt;=2,G1995&gt;=8,H1995&gt;=8),"CAN'T LOSE THEM",AND(F1995&lt;=2,G1995&lt;=2,H1995&lt;=2),"HIBERNATING",TRUE(),"Other")</f>
        <v>NEED ATTENTION</v>
      </c>
      <c r="K1995" s="1" t="n">
        <f aca="false">RANK(E1995,$E$7:$E$4378)+COUNTIF($E$7:E1995,E1995)-1</f>
        <v>2886</v>
      </c>
    </row>
    <row r="1996" customFormat="false" ht="14.25" hidden="false" customHeight="true" outlineLevel="0" collapsed="false">
      <c r="A1996" s="51" t="n">
        <v>15049</v>
      </c>
      <c r="B1996" s="53" t="n">
        <v>40613.5090277778</v>
      </c>
      <c r="C1996" s="57" t="n">
        <f aca="false">INT($C$2)-INT(Table3[[#This Row],[Last Purchase Date]])</f>
        <v>274</v>
      </c>
      <c r="D1996" s="1" t="n">
        <v>1</v>
      </c>
      <c r="E1996" s="1" t="n">
        <v>121.17</v>
      </c>
      <c r="F1996" s="1" t="n">
        <f aca="false">ROUND((1-_xlfn.PERCENTRANK.INC($C$7:$C$4378,C1996))*9,0)</f>
        <v>1</v>
      </c>
      <c r="G1996" s="1" t="n">
        <f aca="false">ROUND(_xlfn.PERCENTRANK.INC($D$7:$D$4378,D1996)*9,0)</f>
        <v>0</v>
      </c>
      <c r="H1996" s="1" t="n">
        <f aca="false">ROUND(_xlfn.PERCENTRANK.INC($E$7:$E$4378,E1996)*9,0)</f>
        <v>1</v>
      </c>
      <c r="I1996" s="1" t="str">
        <f aca="false">CONCATENATE(F1996,G1996,H1996)</f>
        <v>101</v>
      </c>
      <c r="J1996" s="1" t="str">
        <f aca="false">_xlfn.IFS(AND(F1996&gt;=8,G1996&gt;=8,H1996&gt;=8),"CHAMPION",AND(F1996&gt;=6,G1996&gt;=7,H1996&gt;=6),"LOYAL CUSTOMER",AND(F1996&gt;=6,G1996&gt;=5,H1996&gt;=5),"POTENTIAL LOYALIST",AND(F1996&gt;=8,G1996&lt;=2,H1996&gt;=5),"NEW CUSTOMERS",AND(F1996&gt;=6,G1996&lt;=2,H1996&gt;=3),"PROMISING",AND(F1996&gt;=3,G1996&gt;=3,H1996&gt;=3),"NEED ATTENTION",AND(F1996&lt;=4,G1996&gt;=6,H1996&gt;=6),"AT RISK",AND(F1996&lt;=2,G1996&gt;=8,H1996&gt;=8),"CAN'T LOSE THEM",AND(F1996&lt;=2,G1996&lt;=2,H1996&lt;=2),"HIBERNATING",TRUE(),"Other")</f>
        <v>HIBERNATING</v>
      </c>
      <c r="K1996" s="1" t="n">
        <f aca="false">RANK(E1996,$E$7:$E$4378)+COUNTIF($E$7:E1996,E1996)-1</f>
        <v>4044</v>
      </c>
    </row>
    <row r="1997" customFormat="false" ht="14.25" hidden="false" customHeight="true" outlineLevel="0" collapsed="false">
      <c r="A1997" s="51" t="n">
        <v>15050</v>
      </c>
      <c r="B1997" s="53" t="n">
        <v>40861.6784722222</v>
      </c>
      <c r="C1997" s="57" t="n">
        <f aca="false">INT($C$2)-INT(Table3[[#This Row],[Last Purchase Date]])</f>
        <v>26</v>
      </c>
      <c r="D1997" s="1" t="n">
        <v>5</v>
      </c>
      <c r="E1997" s="1" t="n">
        <v>1727.17</v>
      </c>
      <c r="F1997" s="1" t="n">
        <f aca="false">ROUND((1-_xlfn.PERCENTRANK.INC($C$7:$C$4378,C1997))*9,0)</f>
        <v>6</v>
      </c>
      <c r="G1997" s="1" t="n">
        <f aca="false">ROUND(_xlfn.PERCENTRANK.INC($D$7:$D$4378,D1997)*9,0)</f>
        <v>6</v>
      </c>
      <c r="H1997" s="1" t="n">
        <f aca="false">ROUND(_xlfn.PERCENTRANK.INC($E$7:$E$4378,E1997)*9,0)</f>
        <v>7</v>
      </c>
      <c r="I1997" s="1" t="str">
        <f aca="false">CONCATENATE(F1997,G1997,H1997)</f>
        <v>667</v>
      </c>
      <c r="J1997" s="1" t="str">
        <f aca="false">_xlfn.IFS(AND(F1997&gt;=8,G1997&gt;=8,H1997&gt;=8),"CHAMPION",AND(F1997&gt;=6,G1997&gt;=7,H1997&gt;=6),"LOYAL CUSTOMER",AND(F1997&gt;=6,G1997&gt;=5,H1997&gt;=5),"POTENTIAL LOYALIST",AND(F1997&gt;=8,G1997&lt;=2,H1997&gt;=5),"NEW CUSTOMERS",AND(F1997&gt;=6,G1997&lt;=2,H1997&gt;=3),"PROMISING",AND(F1997&gt;=3,G1997&gt;=3,H1997&gt;=3),"NEED ATTENTION",AND(F1997&lt;=4,G1997&gt;=6,H1997&gt;=6),"AT RISK",AND(F1997&lt;=2,G1997&gt;=8,H1997&gt;=8),"CAN'T LOSE THEM",AND(F1997&lt;=2,G1997&lt;=2,H1997&lt;=2),"HIBERNATING",TRUE(),"Other")</f>
        <v>POTENTIAL LOYALIST</v>
      </c>
      <c r="K1997" s="1" t="n">
        <f aca="false">RANK(E1997,$E$7:$E$4378)+COUNTIF($E$7:E1997,E1997)-1</f>
        <v>1023</v>
      </c>
    </row>
    <row r="1998" customFormat="false" ht="14.25" hidden="false" customHeight="true" outlineLevel="0" collapsed="false">
      <c r="A1998" s="51" t="n">
        <v>15051</v>
      </c>
      <c r="B1998" s="53" t="n">
        <v>40863.6513888889</v>
      </c>
      <c r="C1998" s="57" t="n">
        <f aca="false">INT($C$2)-INT(Table3[[#This Row],[Last Purchase Date]])</f>
        <v>24</v>
      </c>
      <c r="D1998" s="1" t="n">
        <v>3</v>
      </c>
      <c r="E1998" s="1" t="n">
        <v>1391.61</v>
      </c>
      <c r="F1998" s="1" t="n">
        <f aca="false">ROUND((1-_xlfn.PERCENTRANK.INC($C$7:$C$4378,C1998))*9,0)</f>
        <v>6</v>
      </c>
      <c r="G1998" s="1" t="n">
        <f aca="false">ROUND(_xlfn.PERCENTRANK.INC($D$7:$D$4378,D1998)*9,0)</f>
        <v>4</v>
      </c>
      <c r="H1998" s="1" t="n">
        <f aca="false">ROUND(_xlfn.PERCENTRANK.INC($E$7:$E$4378,E1998)*9,0)</f>
        <v>6</v>
      </c>
      <c r="I1998" s="1" t="str">
        <f aca="false">CONCATENATE(F1998,G1998,H1998)</f>
        <v>646</v>
      </c>
      <c r="J1998" s="1" t="str">
        <f aca="false">_xlfn.IFS(AND(F1998&gt;=8,G1998&gt;=8,H1998&gt;=8),"CHAMPION",AND(F1998&gt;=6,G1998&gt;=7,H1998&gt;=6),"LOYAL CUSTOMER",AND(F1998&gt;=6,G1998&gt;=5,H1998&gt;=5),"POTENTIAL LOYALIST",AND(F1998&gt;=8,G1998&lt;=2,H1998&gt;=5),"NEW CUSTOMERS",AND(F1998&gt;=6,G1998&lt;=2,H1998&gt;=3),"PROMISING",AND(F1998&gt;=3,G1998&gt;=3,H1998&gt;=3),"NEED ATTENTION",AND(F1998&lt;=4,G1998&gt;=6,H1998&gt;=6),"AT RISK",AND(F1998&lt;=2,G1998&gt;=8,H1998&gt;=8),"CAN'T LOSE THEM",AND(F1998&lt;=2,G1998&lt;=2,H1998&lt;=2),"HIBERNATING",TRUE(),"Other")</f>
        <v>NEED ATTENTION</v>
      </c>
      <c r="K1998" s="1" t="n">
        <f aca="false">RANK(E1998,$E$7:$E$4378)+COUNTIF($E$7:E1998,E1998)-1</f>
        <v>1241</v>
      </c>
    </row>
    <row r="1999" customFormat="false" ht="14.25" hidden="false" customHeight="true" outlineLevel="0" collapsed="false">
      <c r="A1999" s="51" t="n">
        <v>15052</v>
      </c>
      <c r="B1999" s="53" t="n">
        <v>40567.6611111111</v>
      </c>
      <c r="C1999" s="57" t="n">
        <f aca="false">INT($C$2)-INT(Table3[[#This Row],[Last Purchase Date]])</f>
        <v>320</v>
      </c>
      <c r="D1999" s="1" t="n">
        <v>1</v>
      </c>
      <c r="E1999" s="1" t="n">
        <v>215.78</v>
      </c>
      <c r="F1999" s="1" t="n">
        <f aca="false">ROUND((1-_xlfn.PERCENTRANK.INC($C$7:$C$4378,C1999))*9,0)</f>
        <v>0</v>
      </c>
      <c r="G1999" s="1" t="n">
        <f aca="false">ROUND(_xlfn.PERCENTRANK.INC($D$7:$D$4378,D1999)*9,0)</f>
        <v>0</v>
      </c>
      <c r="H1999" s="1" t="n">
        <f aca="false">ROUND(_xlfn.PERCENTRANK.INC($E$7:$E$4378,E1999)*9,0)</f>
        <v>2</v>
      </c>
      <c r="I1999" s="1" t="str">
        <f aca="false">CONCATENATE(F1999,G1999,H1999)</f>
        <v>002</v>
      </c>
      <c r="J1999" s="1" t="str">
        <f aca="false">_xlfn.IFS(AND(F1999&gt;=8,G1999&gt;=8,H1999&gt;=8),"CHAMPION",AND(F1999&gt;=6,G1999&gt;=7,H1999&gt;=6),"LOYAL CUSTOMER",AND(F1999&gt;=6,G1999&gt;=5,H1999&gt;=5),"POTENTIAL LOYALIST",AND(F1999&gt;=8,G1999&lt;=2,H1999&gt;=5),"NEW CUSTOMERS",AND(F1999&gt;=6,G1999&lt;=2,H1999&gt;=3),"PROMISING",AND(F1999&gt;=3,G1999&gt;=3,H1999&gt;=3),"NEED ATTENTION",AND(F1999&lt;=4,G1999&gt;=6,H1999&gt;=6),"AT RISK",AND(F1999&lt;=2,G1999&gt;=8,H1999&gt;=8),"CAN'T LOSE THEM",AND(F1999&lt;=2,G1999&lt;=2,H1999&lt;=2),"HIBERNATING",TRUE(),"Other")</f>
        <v>HIBERNATING</v>
      </c>
      <c r="K1999" s="1" t="n">
        <f aca="false">RANK(E1999,$E$7:$E$4378)+COUNTIF($E$7:E1999,E1999)-1</f>
        <v>3582</v>
      </c>
    </row>
    <row r="2000" customFormat="false" ht="14.25" hidden="false" customHeight="true" outlineLevel="0" collapsed="false">
      <c r="A2000" s="51" t="n">
        <v>15053</v>
      </c>
      <c r="B2000" s="53" t="n">
        <v>40882.5055555556</v>
      </c>
      <c r="C2000" s="57" t="n">
        <f aca="false">INT($C$2)-INT(Table3[[#This Row],[Last Purchase Date]])</f>
        <v>5</v>
      </c>
      <c r="D2000" s="1" t="n">
        <v>3</v>
      </c>
      <c r="E2000" s="1" t="n">
        <v>697.79</v>
      </c>
      <c r="F2000" s="1" t="n">
        <f aca="false">ROUND((1-_xlfn.PERCENTRANK.INC($C$7:$C$4378,C2000))*9,0)</f>
        <v>8</v>
      </c>
      <c r="G2000" s="1" t="n">
        <f aca="false">ROUND(_xlfn.PERCENTRANK.INC($D$7:$D$4378,D2000)*9,0)</f>
        <v>4</v>
      </c>
      <c r="H2000" s="1" t="n">
        <f aca="false">ROUND(_xlfn.PERCENTRANK.INC($E$7:$E$4378,E2000)*9,0)</f>
        <v>5</v>
      </c>
      <c r="I2000" s="1" t="str">
        <f aca="false">CONCATENATE(F2000,G2000,H2000)</f>
        <v>845</v>
      </c>
      <c r="J2000" s="1" t="str">
        <f aca="false">_xlfn.IFS(AND(F2000&gt;=8,G2000&gt;=8,H2000&gt;=8),"CHAMPION",AND(F2000&gt;=6,G2000&gt;=7,H2000&gt;=6),"LOYAL CUSTOMER",AND(F2000&gt;=6,G2000&gt;=5,H2000&gt;=5),"POTENTIAL LOYALIST",AND(F2000&gt;=8,G2000&lt;=2,H2000&gt;=5),"NEW CUSTOMERS",AND(F2000&gt;=6,G2000&lt;=2,H2000&gt;=3),"PROMISING",AND(F2000&gt;=3,G2000&gt;=3,H2000&gt;=3),"NEED ATTENTION",AND(F2000&lt;=4,G2000&gt;=6,H2000&gt;=6),"AT RISK",AND(F2000&lt;=2,G2000&gt;=8,H2000&gt;=8),"CAN'T LOSE THEM",AND(F2000&lt;=2,G2000&lt;=2,H2000&lt;=2),"HIBERNATING",TRUE(),"Other")</f>
        <v>NEED ATTENTION</v>
      </c>
      <c r="K2000" s="1" t="n">
        <f aca="false">RANK(E2000,$E$7:$E$4378)+COUNTIF($E$7:E2000,E2000)-1</f>
        <v>2071</v>
      </c>
    </row>
    <row r="2001" customFormat="false" ht="14.25" hidden="false" customHeight="true" outlineLevel="0" collapsed="false">
      <c r="A2001" s="51" t="n">
        <v>15054</v>
      </c>
      <c r="B2001" s="53" t="n">
        <v>40874.6263888889</v>
      </c>
      <c r="C2001" s="57" t="n">
        <f aca="false">INT($C$2)-INT(Table3[[#This Row],[Last Purchase Date]])</f>
        <v>13</v>
      </c>
      <c r="D2001" s="1" t="n">
        <v>2</v>
      </c>
      <c r="E2001" s="1" t="n">
        <v>302.1</v>
      </c>
      <c r="F2001" s="1" t="n">
        <f aca="false">ROUND((1-_xlfn.PERCENTRANK.INC($C$7:$C$4378,C2001))*9,0)</f>
        <v>7</v>
      </c>
      <c r="G2001" s="1" t="n">
        <f aca="false">ROUND(_xlfn.PERCENTRANK.INC($D$7:$D$4378,D2001)*9,0)</f>
        <v>3</v>
      </c>
      <c r="H2001" s="1" t="n">
        <f aca="false">ROUND(_xlfn.PERCENTRANK.INC($E$7:$E$4378,E2001)*9,0)</f>
        <v>2</v>
      </c>
      <c r="I2001" s="1" t="str">
        <f aca="false">CONCATENATE(F2001,G2001,H2001)</f>
        <v>732</v>
      </c>
      <c r="J2001" s="1" t="str">
        <f aca="false">_xlfn.IFS(AND(F2001&gt;=8,G2001&gt;=8,H2001&gt;=8),"CHAMPION",AND(F2001&gt;=6,G2001&gt;=7,H2001&gt;=6),"LOYAL CUSTOMER",AND(F2001&gt;=6,G2001&gt;=5,H2001&gt;=5),"POTENTIAL LOYALIST",AND(F2001&gt;=8,G2001&lt;=2,H2001&gt;=5),"NEW CUSTOMERS",AND(F2001&gt;=6,G2001&lt;=2,H2001&gt;=3),"PROMISING",AND(F2001&gt;=3,G2001&gt;=3,H2001&gt;=3),"NEED ATTENTION",AND(F2001&lt;=4,G2001&gt;=6,H2001&gt;=6),"AT RISK",AND(F2001&lt;=2,G2001&gt;=8,H2001&gt;=8),"CAN'T LOSE THEM",AND(F2001&lt;=2,G2001&lt;=2,H2001&lt;=2),"HIBERNATING",TRUE(),"Other")</f>
        <v>Other</v>
      </c>
      <c r="K2001" s="1" t="n">
        <f aca="false">RANK(E2001,$E$7:$E$4378)+COUNTIF($E$7:E2001,E2001)-1</f>
        <v>3243</v>
      </c>
    </row>
    <row r="2002" customFormat="false" ht="14.25" hidden="false" customHeight="true" outlineLevel="0" collapsed="false">
      <c r="A2002" s="51" t="n">
        <v>15057</v>
      </c>
      <c r="B2002" s="53" t="n">
        <v>40611.6368055556</v>
      </c>
      <c r="C2002" s="57" t="n">
        <f aca="false">INT($C$2)-INT(Table3[[#This Row],[Last Purchase Date]])</f>
        <v>276</v>
      </c>
      <c r="D2002" s="1" t="n">
        <v>2</v>
      </c>
      <c r="E2002" s="1" t="n">
        <v>1489.5</v>
      </c>
      <c r="F2002" s="1" t="n">
        <f aca="false">ROUND((1-_xlfn.PERCENTRANK.INC($C$7:$C$4378,C2002))*9,0)</f>
        <v>1</v>
      </c>
      <c r="G2002" s="1" t="n">
        <f aca="false">ROUND(_xlfn.PERCENTRANK.INC($D$7:$D$4378,D2002)*9,0)</f>
        <v>3</v>
      </c>
      <c r="H2002" s="1" t="n">
        <f aca="false">ROUND(_xlfn.PERCENTRANK.INC($E$7:$E$4378,E2002)*9,0)</f>
        <v>7</v>
      </c>
      <c r="I2002" s="1" t="str">
        <f aca="false">CONCATENATE(F2002,G2002,H2002)</f>
        <v>137</v>
      </c>
      <c r="J2002" s="1" t="str">
        <f aca="false">_xlfn.IFS(AND(F2002&gt;=8,G2002&gt;=8,H2002&gt;=8),"CHAMPION",AND(F2002&gt;=6,G2002&gt;=7,H2002&gt;=6),"LOYAL CUSTOMER",AND(F2002&gt;=6,G2002&gt;=5,H2002&gt;=5),"POTENTIAL LOYALIST",AND(F2002&gt;=8,G2002&lt;=2,H2002&gt;=5),"NEW CUSTOMERS",AND(F2002&gt;=6,G2002&lt;=2,H2002&gt;=3),"PROMISING",AND(F2002&gt;=3,G2002&gt;=3,H2002&gt;=3),"NEED ATTENTION",AND(F2002&lt;=4,G2002&gt;=6,H2002&gt;=6),"AT RISK",AND(F2002&lt;=2,G2002&gt;=8,H2002&gt;=8),"CAN'T LOSE THEM",AND(F2002&lt;=2,G2002&lt;=2,H2002&lt;=2),"HIBERNATING",TRUE(),"Other")</f>
        <v>Other</v>
      </c>
      <c r="K2002" s="1" t="n">
        <f aca="false">RANK(E2002,$E$7:$E$4378)+COUNTIF($E$7:E2002,E2002)-1</f>
        <v>1171</v>
      </c>
    </row>
    <row r="2003" customFormat="false" ht="14.25" hidden="false" customHeight="true" outlineLevel="0" collapsed="false">
      <c r="A2003" s="51" t="n">
        <v>15058</v>
      </c>
      <c r="B2003" s="53" t="n">
        <v>40861.6229166667</v>
      </c>
      <c r="C2003" s="57" t="n">
        <f aca="false">INT($C$2)-INT(Table3[[#This Row],[Last Purchase Date]])</f>
        <v>26</v>
      </c>
      <c r="D2003" s="1" t="n">
        <v>11</v>
      </c>
      <c r="E2003" s="1" t="n">
        <v>2124.99</v>
      </c>
      <c r="F2003" s="1" t="n">
        <f aca="false">ROUND((1-_xlfn.PERCENTRANK.INC($C$7:$C$4378,C2003))*9,0)</f>
        <v>6</v>
      </c>
      <c r="G2003" s="1" t="n">
        <f aca="false">ROUND(_xlfn.PERCENTRANK.INC($D$7:$D$4378,D2003)*9,0)</f>
        <v>8</v>
      </c>
      <c r="H2003" s="1" t="n">
        <f aca="false">ROUND(_xlfn.PERCENTRANK.INC($E$7:$E$4378,E2003)*9,0)</f>
        <v>7</v>
      </c>
      <c r="I2003" s="1" t="str">
        <f aca="false">CONCATENATE(F2003,G2003,H2003)</f>
        <v>687</v>
      </c>
      <c r="J2003" s="1" t="str">
        <f aca="false">_xlfn.IFS(AND(F2003&gt;=8,G2003&gt;=8,H2003&gt;=8),"CHAMPION",AND(F2003&gt;=6,G2003&gt;=7,H2003&gt;=6),"LOYAL CUSTOMER",AND(F2003&gt;=6,G2003&gt;=5,H2003&gt;=5),"POTENTIAL LOYALIST",AND(F2003&gt;=8,G2003&lt;=2,H2003&gt;=5),"NEW CUSTOMERS",AND(F2003&gt;=6,G2003&lt;=2,H2003&gt;=3),"PROMISING",AND(F2003&gt;=3,G2003&gt;=3,H2003&gt;=3),"NEED ATTENTION",AND(F2003&lt;=4,G2003&gt;=6,H2003&gt;=6),"AT RISK",AND(F2003&lt;=2,G2003&gt;=8,H2003&gt;=8),"CAN'T LOSE THEM",AND(F2003&lt;=2,G2003&lt;=2,H2003&lt;=2),"HIBERNATING",TRUE(),"Other")</f>
        <v>LOYAL CUSTOMER</v>
      </c>
      <c r="K2003" s="1" t="n">
        <f aca="false">RANK(E2003,$E$7:$E$4378)+COUNTIF($E$7:E2003,E2003)-1</f>
        <v>815</v>
      </c>
    </row>
    <row r="2004" customFormat="false" ht="14.25" hidden="false" customHeight="true" outlineLevel="0" collapsed="false">
      <c r="A2004" s="51" t="n">
        <v>15059</v>
      </c>
      <c r="B2004" s="53" t="n">
        <v>40846.4826388889</v>
      </c>
      <c r="C2004" s="57" t="n">
        <f aca="false">INT($C$2)-INT(Table3[[#This Row],[Last Purchase Date]])</f>
        <v>41</v>
      </c>
      <c r="D2004" s="1" t="n">
        <v>11</v>
      </c>
      <c r="E2004" s="1" t="n">
        <v>1325.82</v>
      </c>
      <c r="F2004" s="1" t="n">
        <f aca="false">ROUND((1-_xlfn.PERCENTRANK.INC($C$7:$C$4378,C2004))*9,0)</f>
        <v>5</v>
      </c>
      <c r="G2004" s="1" t="n">
        <f aca="false">ROUND(_xlfn.PERCENTRANK.INC($D$7:$D$4378,D2004)*9,0)</f>
        <v>8</v>
      </c>
      <c r="H2004" s="1" t="n">
        <f aca="false">ROUND(_xlfn.PERCENTRANK.INC($E$7:$E$4378,E2004)*9,0)</f>
        <v>6</v>
      </c>
      <c r="I2004" s="1" t="str">
        <f aca="false">CONCATENATE(F2004,G2004,H2004)</f>
        <v>586</v>
      </c>
      <c r="J2004" s="1" t="str">
        <f aca="false">_xlfn.IFS(AND(F2004&gt;=8,G2004&gt;=8,H2004&gt;=8),"CHAMPION",AND(F2004&gt;=6,G2004&gt;=7,H2004&gt;=6),"LOYAL CUSTOMER",AND(F2004&gt;=6,G2004&gt;=5,H2004&gt;=5),"POTENTIAL LOYALIST",AND(F2004&gt;=8,G2004&lt;=2,H2004&gt;=5),"NEW CUSTOMERS",AND(F2004&gt;=6,G2004&lt;=2,H2004&gt;=3),"PROMISING",AND(F2004&gt;=3,G2004&gt;=3,H2004&gt;=3),"NEED ATTENTION",AND(F2004&lt;=4,G2004&gt;=6,H2004&gt;=6),"AT RISK",AND(F2004&lt;=2,G2004&gt;=8,H2004&gt;=8),"CAN'T LOSE THEM",AND(F2004&lt;=2,G2004&lt;=2,H2004&lt;=2),"HIBERNATING",TRUE(),"Other")</f>
        <v>NEED ATTENTION</v>
      </c>
      <c r="K2004" s="1" t="n">
        <f aca="false">RANK(E2004,$E$7:$E$4378)+COUNTIF($E$7:E2004,E2004)-1</f>
        <v>1298</v>
      </c>
    </row>
    <row r="2005" customFormat="false" ht="14.25" hidden="false" customHeight="true" outlineLevel="0" collapsed="false">
      <c r="A2005" s="51" t="n">
        <v>15060</v>
      </c>
      <c r="B2005" s="53" t="n">
        <v>40878.5743055556</v>
      </c>
      <c r="C2005" s="57" t="n">
        <f aca="false">INT($C$2)-INT(Table3[[#This Row],[Last Purchase Date]])</f>
        <v>9</v>
      </c>
      <c r="D2005" s="1" t="n">
        <v>4</v>
      </c>
      <c r="E2005" s="1" t="n">
        <v>303.09</v>
      </c>
      <c r="F2005" s="1" t="n">
        <f aca="false">ROUND((1-_xlfn.PERCENTRANK.INC($C$7:$C$4378,C2005))*9,0)</f>
        <v>8</v>
      </c>
      <c r="G2005" s="1" t="n">
        <f aca="false">ROUND(_xlfn.PERCENTRANK.INC($D$7:$D$4378,D2005)*9,0)</f>
        <v>5</v>
      </c>
      <c r="H2005" s="1" t="n">
        <f aca="false">ROUND(_xlfn.PERCENTRANK.INC($E$7:$E$4378,E2005)*9,0)</f>
        <v>2</v>
      </c>
      <c r="I2005" s="1" t="str">
        <f aca="false">CONCATENATE(F2005,G2005,H2005)</f>
        <v>852</v>
      </c>
      <c r="J2005" s="1" t="str">
        <f aca="false">_xlfn.IFS(AND(F2005&gt;=8,G2005&gt;=8,H2005&gt;=8),"CHAMPION",AND(F2005&gt;=6,G2005&gt;=7,H2005&gt;=6),"LOYAL CUSTOMER",AND(F2005&gt;=6,G2005&gt;=5,H2005&gt;=5),"POTENTIAL LOYALIST",AND(F2005&gt;=8,G2005&lt;=2,H2005&gt;=5),"NEW CUSTOMERS",AND(F2005&gt;=6,G2005&lt;=2,H2005&gt;=3),"PROMISING",AND(F2005&gt;=3,G2005&gt;=3,H2005&gt;=3),"NEED ATTENTION",AND(F2005&lt;=4,G2005&gt;=6,H2005&gt;=6),"AT RISK",AND(F2005&lt;=2,G2005&gt;=8,H2005&gt;=8),"CAN'T LOSE THEM",AND(F2005&lt;=2,G2005&lt;=2,H2005&lt;=2),"HIBERNATING",TRUE(),"Other")</f>
        <v>Other</v>
      </c>
      <c r="K2005" s="1" t="n">
        <f aca="false">RANK(E2005,$E$7:$E$4378)+COUNTIF($E$7:E2005,E2005)-1</f>
        <v>3237</v>
      </c>
    </row>
    <row r="2006" customFormat="false" ht="14.25" hidden="false" customHeight="true" outlineLevel="0" collapsed="false">
      <c r="A2006" s="51" t="n">
        <v>15061</v>
      </c>
      <c r="B2006" s="53" t="n">
        <v>40883.5041666667</v>
      </c>
      <c r="C2006" s="57" t="n">
        <f aca="false">INT($C$2)-INT(Table3[[#This Row],[Last Purchase Date]])</f>
        <v>4</v>
      </c>
      <c r="D2006" s="1" t="n">
        <v>55</v>
      </c>
      <c r="E2006" s="1" t="n">
        <v>54228.74</v>
      </c>
      <c r="F2006" s="1" t="n">
        <f aca="false">ROUND((1-_xlfn.PERCENTRANK.INC($C$7:$C$4378,C2006))*9,0)</f>
        <v>8</v>
      </c>
      <c r="G2006" s="1" t="n">
        <f aca="false">ROUND(_xlfn.PERCENTRANK.INC($D$7:$D$4378,D2006)*9,0)</f>
        <v>9</v>
      </c>
      <c r="H2006" s="1" t="n">
        <f aca="false">ROUND(_xlfn.PERCENTRANK.INC($E$7:$E$4378,E2006)*9,0)</f>
        <v>9</v>
      </c>
      <c r="I2006" s="1" t="str">
        <f aca="false">CONCATENATE(F2006,G2006,H2006)</f>
        <v>899</v>
      </c>
      <c r="J2006" s="1" t="str">
        <f aca="false">_xlfn.IFS(AND(F2006&gt;=8,G2006&gt;=8,H2006&gt;=8),"CHAMPION",AND(F2006&gt;=6,G2006&gt;=7,H2006&gt;=6),"LOYAL CUSTOMER",AND(F2006&gt;=6,G2006&gt;=5,H2006&gt;=5),"POTENTIAL LOYALIST",AND(F2006&gt;=8,G2006&lt;=2,H2006&gt;=5),"NEW CUSTOMERS",AND(F2006&gt;=6,G2006&lt;=2,H2006&gt;=3),"PROMISING",AND(F2006&gt;=3,G2006&gt;=3,H2006&gt;=3),"NEED ATTENTION",AND(F2006&lt;=4,G2006&gt;=6,H2006&gt;=6),"AT RISK",AND(F2006&lt;=2,G2006&gt;=8,H2006&gt;=8),"CAN'T LOSE THEM",AND(F2006&lt;=2,G2006&lt;=2,H2006&lt;=2),"HIBERNATING",TRUE(),"Other")</f>
        <v>CHAMPION</v>
      </c>
      <c r="K2006" s="1" t="n">
        <f aca="false">RANK(E2006,$E$7:$E$4378)+COUNTIF($E$7:E2006,E2006)-1</f>
        <v>13</v>
      </c>
    </row>
    <row r="2007" customFormat="false" ht="14.25" hidden="false" customHeight="true" outlineLevel="0" collapsed="false">
      <c r="A2007" s="51" t="n">
        <v>15062</v>
      </c>
      <c r="B2007" s="53" t="n">
        <v>40815.7020833333</v>
      </c>
      <c r="C2007" s="57" t="n">
        <f aca="false">INT($C$2)-INT(Table3[[#This Row],[Last Purchase Date]])</f>
        <v>72</v>
      </c>
      <c r="D2007" s="1" t="n">
        <v>4</v>
      </c>
      <c r="E2007" s="1" t="n">
        <v>987.86</v>
      </c>
      <c r="F2007" s="1" t="n">
        <f aca="false">ROUND((1-_xlfn.PERCENTRANK.INC($C$7:$C$4378,C2007))*9,0)</f>
        <v>4</v>
      </c>
      <c r="G2007" s="1" t="n">
        <f aca="false">ROUND(_xlfn.PERCENTRANK.INC($D$7:$D$4378,D2007)*9,0)</f>
        <v>5</v>
      </c>
      <c r="H2007" s="1" t="n">
        <f aca="false">ROUND(_xlfn.PERCENTRANK.INC($E$7:$E$4378,E2007)*9,0)</f>
        <v>6</v>
      </c>
      <c r="I2007" s="1" t="str">
        <f aca="false">CONCATENATE(F2007,G2007,H2007)</f>
        <v>456</v>
      </c>
      <c r="J2007" s="1" t="str">
        <f aca="false">_xlfn.IFS(AND(F2007&gt;=8,G2007&gt;=8,H2007&gt;=8),"CHAMPION",AND(F2007&gt;=6,G2007&gt;=7,H2007&gt;=6),"LOYAL CUSTOMER",AND(F2007&gt;=6,G2007&gt;=5,H2007&gt;=5),"POTENTIAL LOYALIST",AND(F2007&gt;=8,G2007&lt;=2,H2007&gt;=5),"NEW CUSTOMERS",AND(F2007&gt;=6,G2007&lt;=2,H2007&gt;=3),"PROMISING",AND(F2007&gt;=3,G2007&gt;=3,H2007&gt;=3),"NEED ATTENTION",AND(F2007&lt;=4,G2007&gt;=6,H2007&gt;=6),"AT RISK",AND(F2007&lt;=2,G2007&gt;=8,H2007&gt;=8),"CAN'T LOSE THEM",AND(F2007&lt;=2,G2007&lt;=2,H2007&lt;=2),"HIBERNATING",TRUE(),"Other")</f>
        <v>NEED ATTENTION</v>
      </c>
      <c r="K2007" s="1" t="n">
        <f aca="false">RANK(E2007,$E$7:$E$4378)+COUNTIF($E$7:E2007,E2007)-1</f>
        <v>1649</v>
      </c>
    </row>
    <row r="2008" customFormat="false" ht="14.25" hidden="false" customHeight="true" outlineLevel="0" collapsed="false">
      <c r="A2008" s="51" t="n">
        <v>15063</v>
      </c>
      <c r="B2008" s="53" t="n">
        <v>40673.5590277778</v>
      </c>
      <c r="C2008" s="57" t="n">
        <f aca="false">INT($C$2)-INT(Table3[[#This Row],[Last Purchase Date]])</f>
        <v>214</v>
      </c>
      <c r="D2008" s="1" t="n">
        <v>1</v>
      </c>
      <c r="E2008" s="1" t="n">
        <v>370.8</v>
      </c>
      <c r="F2008" s="1" t="n">
        <f aca="false">ROUND((1-_xlfn.PERCENTRANK.INC($C$7:$C$4378,C2008))*9,0)</f>
        <v>1</v>
      </c>
      <c r="G2008" s="1" t="n">
        <f aca="false">ROUND(_xlfn.PERCENTRANK.INC($D$7:$D$4378,D2008)*9,0)</f>
        <v>0</v>
      </c>
      <c r="H2008" s="1" t="n">
        <f aca="false">ROUND(_xlfn.PERCENTRANK.INC($E$7:$E$4378,E2008)*9,0)</f>
        <v>3</v>
      </c>
      <c r="I2008" s="1" t="str">
        <f aca="false">CONCATENATE(F2008,G2008,H2008)</f>
        <v>103</v>
      </c>
      <c r="J2008" s="1" t="str">
        <f aca="false">_xlfn.IFS(AND(F2008&gt;=8,G2008&gt;=8,H2008&gt;=8),"CHAMPION",AND(F2008&gt;=6,G2008&gt;=7,H2008&gt;=6),"LOYAL CUSTOMER",AND(F2008&gt;=6,G2008&gt;=5,H2008&gt;=5),"POTENTIAL LOYALIST",AND(F2008&gt;=8,G2008&lt;=2,H2008&gt;=5),"NEW CUSTOMERS",AND(F2008&gt;=6,G2008&lt;=2,H2008&gt;=3),"PROMISING",AND(F2008&gt;=3,G2008&gt;=3,H2008&gt;=3),"NEED ATTENTION",AND(F2008&lt;=4,G2008&gt;=6,H2008&gt;=6),"AT RISK",AND(F2008&lt;=2,G2008&gt;=8,H2008&gt;=8),"CAN'T LOSE THEM",AND(F2008&lt;=2,G2008&lt;=2,H2008&lt;=2),"HIBERNATING",TRUE(),"Other")</f>
        <v>Other</v>
      </c>
      <c r="K2008" s="1" t="n">
        <f aca="false">RANK(E2008,$E$7:$E$4378)+COUNTIF($E$7:E2008,E2008)-1</f>
        <v>2927</v>
      </c>
    </row>
    <row r="2009" customFormat="false" ht="14.25" hidden="false" customHeight="true" outlineLevel="0" collapsed="false">
      <c r="A2009" s="51" t="n">
        <v>15065</v>
      </c>
      <c r="B2009" s="53" t="n">
        <v>40849.40625</v>
      </c>
      <c r="C2009" s="57" t="n">
        <f aca="false">INT($C$2)-INT(Table3[[#This Row],[Last Purchase Date]])</f>
        <v>38</v>
      </c>
      <c r="D2009" s="1" t="n">
        <v>6</v>
      </c>
      <c r="E2009" s="1" t="n">
        <v>3135.98</v>
      </c>
      <c r="F2009" s="1" t="n">
        <f aca="false">ROUND((1-_xlfn.PERCENTRANK.INC($C$7:$C$4378,C2009))*9,0)</f>
        <v>5</v>
      </c>
      <c r="G2009" s="1" t="n">
        <f aca="false">ROUND(_xlfn.PERCENTRANK.INC($D$7:$D$4378,D2009)*9,0)</f>
        <v>7</v>
      </c>
      <c r="H2009" s="1" t="n">
        <f aca="false">ROUND(_xlfn.PERCENTRANK.INC($E$7:$E$4378,E2009)*9,0)</f>
        <v>8</v>
      </c>
      <c r="I2009" s="1" t="str">
        <f aca="false">CONCATENATE(F2009,G2009,H2009)</f>
        <v>578</v>
      </c>
      <c r="J2009" s="1" t="str">
        <f aca="false">_xlfn.IFS(AND(F2009&gt;=8,G2009&gt;=8,H2009&gt;=8),"CHAMPION",AND(F2009&gt;=6,G2009&gt;=7,H2009&gt;=6),"LOYAL CUSTOMER",AND(F2009&gt;=6,G2009&gt;=5,H2009&gt;=5),"POTENTIAL LOYALIST",AND(F2009&gt;=8,G2009&lt;=2,H2009&gt;=5),"NEW CUSTOMERS",AND(F2009&gt;=6,G2009&lt;=2,H2009&gt;=3),"PROMISING",AND(F2009&gt;=3,G2009&gt;=3,H2009&gt;=3),"NEED ATTENTION",AND(F2009&lt;=4,G2009&gt;=6,H2009&gt;=6),"AT RISK",AND(F2009&lt;=2,G2009&gt;=8,H2009&gt;=8),"CAN'T LOSE THEM",AND(F2009&lt;=2,G2009&lt;=2,H2009&lt;=2),"HIBERNATING",TRUE(),"Other")</f>
        <v>NEED ATTENTION</v>
      </c>
      <c r="K2009" s="1" t="n">
        <f aca="false">RANK(E2009,$E$7:$E$4378)+COUNTIF($E$7:E2009,E2009)-1</f>
        <v>506</v>
      </c>
    </row>
    <row r="2010" customFormat="false" ht="14.25" hidden="false" customHeight="true" outlineLevel="0" collapsed="false">
      <c r="A2010" s="51" t="n">
        <v>15066</v>
      </c>
      <c r="B2010" s="53" t="n">
        <v>40855.4138888889</v>
      </c>
      <c r="C2010" s="57" t="n">
        <f aca="false">INT($C$2)-INT(Table3[[#This Row],[Last Purchase Date]])</f>
        <v>32</v>
      </c>
      <c r="D2010" s="1" t="n">
        <v>2</v>
      </c>
      <c r="E2010" s="1" t="n">
        <v>760.59</v>
      </c>
      <c r="F2010" s="1" t="n">
        <f aca="false">ROUND((1-_xlfn.PERCENTRANK.INC($C$7:$C$4378,C2010))*9,0)</f>
        <v>5</v>
      </c>
      <c r="G2010" s="1" t="n">
        <f aca="false">ROUND(_xlfn.PERCENTRANK.INC($D$7:$D$4378,D2010)*9,0)</f>
        <v>3</v>
      </c>
      <c r="H2010" s="1" t="n">
        <f aca="false">ROUND(_xlfn.PERCENTRANK.INC($E$7:$E$4378,E2010)*9,0)</f>
        <v>5</v>
      </c>
      <c r="I2010" s="1" t="str">
        <f aca="false">CONCATENATE(F2010,G2010,H2010)</f>
        <v>535</v>
      </c>
      <c r="J2010" s="1" t="str">
        <f aca="false">_xlfn.IFS(AND(F2010&gt;=8,G2010&gt;=8,H2010&gt;=8),"CHAMPION",AND(F2010&gt;=6,G2010&gt;=7,H2010&gt;=6),"LOYAL CUSTOMER",AND(F2010&gt;=6,G2010&gt;=5,H2010&gt;=5),"POTENTIAL LOYALIST",AND(F2010&gt;=8,G2010&lt;=2,H2010&gt;=5),"NEW CUSTOMERS",AND(F2010&gt;=6,G2010&lt;=2,H2010&gt;=3),"PROMISING",AND(F2010&gt;=3,G2010&gt;=3,H2010&gt;=3),"NEED ATTENTION",AND(F2010&lt;=4,G2010&gt;=6,H2010&gt;=6),"AT RISK",AND(F2010&lt;=2,G2010&gt;=8,H2010&gt;=8),"CAN'T LOSE THEM",AND(F2010&lt;=2,G2010&lt;=2,H2010&lt;=2),"HIBERNATING",TRUE(),"Other")</f>
        <v>NEED ATTENTION</v>
      </c>
      <c r="K2010" s="1" t="n">
        <f aca="false">RANK(E2010,$E$7:$E$4378)+COUNTIF($E$7:E2010,E2010)-1</f>
        <v>1965</v>
      </c>
    </row>
    <row r="2011" customFormat="false" ht="14.25" hidden="false" customHeight="true" outlineLevel="0" collapsed="false">
      <c r="A2011" s="51" t="n">
        <v>15067</v>
      </c>
      <c r="B2011" s="53" t="n">
        <v>40808.5555555556</v>
      </c>
      <c r="C2011" s="57" t="n">
        <f aca="false">INT($C$2)-INT(Table3[[#This Row],[Last Purchase Date]])</f>
        <v>79</v>
      </c>
      <c r="D2011" s="1" t="n">
        <v>3</v>
      </c>
      <c r="E2011" s="1" t="n">
        <v>1744.76</v>
      </c>
      <c r="F2011" s="1" t="n">
        <f aca="false">ROUND((1-_xlfn.PERCENTRANK.INC($C$7:$C$4378,C2011))*9,0)</f>
        <v>3</v>
      </c>
      <c r="G2011" s="1" t="n">
        <f aca="false">ROUND(_xlfn.PERCENTRANK.INC($D$7:$D$4378,D2011)*9,0)</f>
        <v>4</v>
      </c>
      <c r="H2011" s="1" t="n">
        <f aca="false">ROUND(_xlfn.PERCENTRANK.INC($E$7:$E$4378,E2011)*9,0)</f>
        <v>7</v>
      </c>
      <c r="I2011" s="1" t="str">
        <f aca="false">CONCATENATE(F2011,G2011,H2011)</f>
        <v>347</v>
      </c>
      <c r="J2011" s="1" t="str">
        <f aca="false">_xlfn.IFS(AND(F2011&gt;=8,G2011&gt;=8,H2011&gt;=8),"CHAMPION",AND(F2011&gt;=6,G2011&gt;=7,H2011&gt;=6),"LOYAL CUSTOMER",AND(F2011&gt;=6,G2011&gt;=5,H2011&gt;=5),"POTENTIAL LOYALIST",AND(F2011&gt;=8,G2011&lt;=2,H2011&gt;=5),"NEW CUSTOMERS",AND(F2011&gt;=6,G2011&lt;=2,H2011&gt;=3),"PROMISING",AND(F2011&gt;=3,G2011&gt;=3,H2011&gt;=3),"NEED ATTENTION",AND(F2011&lt;=4,G2011&gt;=6,H2011&gt;=6),"AT RISK",AND(F2011&lt;=2,G2011&gt;=8,H2011&gt;=8),"CAN'T LOSE THEM",AND(F2011&lt;=2,G2011&lt;=2,H2011&lt;=2),"HIBERNATING",TRUE(),"Other")</f>
        <v>NEED ATTENTION</v>
      </c>
      <c r="K2011" s="1" t="n">
        <f aca="false">RANK(E2011,$E$7:$E$4378)+COUNTIF($E$7:E2011,E2011)-1</f>
        <v>1011</v>
      </c>
    </row>
    <row r="2012" customFormat="false" ht="14.25" hidden="false" customHeight="true" outlineLevel="0" collapsed="false">
      <c r="A2012" s="51" t="n">
        <v>15068</v>
      </c>
      <c r="B2012" s="53" t="n">
        <v>40840.6159722222</v>
      </c>
      <c r="C2012" s="57" t="n">
        <f aca="false">INT($C$2)-INT(Table3[[#This Row],[Last Purchase Date]])</f>
        <v>47</v>
      </c>
      <c r="D2012" s="1" t="n">
        <v>2</v>
      </c>
      <c r="E2012" s="1" t="n">
        <v>553.36</v>
      </c>
      <c r="F2012" s="1" t="n">
        <f aca="false">ROUND((1-_xlfn.PERCENTRANK.INC($C$7:$C$4378,C2012))*9,0)</f>
        <v>5</v>
      </c>
      <c r="G2012" s="1" t="n">
        <f aca="false">ROUND(_xlfn.PERCENTRANK.INC($D$7:$D$4378,D2012)*9,0)</f>
        <v>3</v>
      </c>
      <c r="H2012" s="1" t="n">
        <f aca="false">ROUND(_xlfn.PERCENTRANK.INC($E$7:$E$4378,E2012)*9,0)</f>
        <v>4</v>
      </c>
      <c r="I2012" s="1" t="str">
        <f aca="false">CONCATENATE(F2012,G2012,H2012)</f>
        <v>534</v>
      </c>
      <c r="J2012" s="1" t="str">
        <f aca="false">_xlfn.IFS(AND(F2012&gt;=8,G2012&gt;=8,H2012&gt;=8),"CHAMPION",AND(F2012&gt;=6,G2012&gt;=7,H2012&gt;=6),"LOYAL CUSTOMER",AND(F2012&gt;=6,G2012&gt;=5,H2012&gt;=5),"POTENTIAL LOYALIST",AND(F2012&gt;=8,G2012&lt;=2,H2012&gt;=5),"NEW CUSTOMERS",AND(F2012&gt;=6,G2012&lt;=2,H2012&gt;=3),"PROMISING",AND(F2012&gt;=3,G2012&gt;=3,H2012&gt;=3),"NEED ATTENTION",AND(F2012&lt;=4,G2012&gt;=6,H2012&gt;=6),"AT RISK",AND(F2012&lt;=2,G2012&gt;=8,H2012&gt;=8),"CAN'T LOSE THEM",AND(F2012&lt;=2,G2012&lt;=2,H2012&lt;=2),"HIBERNATING",TRUE(),"Other")</f>
        <v>NEED ATTENTION</v>
      </c>
      <c r="K2012" s="1" t="n">
        <f aca="false">RANK(E2012,$E$7:$E$4378)+COUNTIF($E$7:E2012,E2012)-1</f>
        <v>2424</v>
      </c>
    </row>
    <row r="2013" customFormat="false" ht="14.25" hidden="false" customHeight="true" outlineLevel="0" collapsed="false">
      <c r="A2013" s="51" t="n">
        <v>15069</v>
      </c>
      <c r="B2013" s="53" t="n">
        <v>40707.5944444445</v>
      </c>
      <c r="C2013" s="57" t="n">
        <f aca="false">INT($C$2)-INT(Table3[[#This Row],[Last Purchase Date]])</f>
        <v>180</v>
      </c>
      <c r="D2013" s="1" t="n">
        <v>1</v>
      </c>
      <c r="E2013" s="1" t="n">
        <v>1109.53</v>
      </c>
      <c r="F2013" s="1" t="n">
        <f aca="false">ROUND((1-_xlfn.PERCENTRANK.INC($C$7:$C$4378,C2013))*9,0)</f>
        <v>2</v>
      </c>
      <c r="G2013" s="1" t="n">
        <f aca="false">ROUND(_xlfn.PERCENTRANK.INC($D$7:$D$4378,D2013)*9,0)</f>
        <v>0</v>
      </c>
      <c r="H2013" s="1" t="n">
        <f aca="false">ROUND(_xlfn.PERCENTRANK.INC($E$7:$E$4378,E2013)*9,0)</f>
        <v>6</v>
      </c>
      <c r="I2013" s="1" t="str">
        <f aca="false">CONCATENATE(F2013,G2013,H2013)</f>
        <v>206</v>
      </c>
      <c r="J2013" s="1" t="str">
        <f aca="false">_xlfn.IFS(AND(F2013&gt;=8,G2013&gt;=8,H2013&gt;=8),"CHAMPION",AND(F2013&gt;=6,G2013&gt;=7,H2013&gt;=6),"LOYAL CUSTOMER",AND(F2013&gt;=6,G2013&gt;=5,H2013&gt;=5),"POTENTIAL LOYALIST",AND(F2013&gt;=8,G2013&lt;=2,H2013&gt;=5),"NEW CUSTOMERS",AND(F2013&gt;=6,G2013&lt;=2,H2013&gt;=3),"PROMISING",AND(F2013&gt;=3,G2013&gt;=3,H2013&gt;=3),"NEED ATTENTION",AND(F2013&lt;=4,G2013&gt;=6,H2013&gt;=6),"AT RISK",AND(F2013&lt;=2,G2013&gt;=8,H2013&gt;=8),"CAN'T LOSE THEM",AND(F2013&lt;=2,G2013&lt;=2,H2013&lt;=2),"HIBERNATING",TRUE(),"Other")</f>
        <v>Other</v>
      </c>
      <c r="K2013" s="1" t="n">
        <f aca="false">RANK(E2013,$E$7:$E$4378)+COUNTIF($E$7:E2013,E2013)-1</f>
        <v>1499</v>
      </c>
    </row>
    <row r="2014" customFormat="false" ht="14.25" hidden="false" customHeight="true" outlineLevel="0" collapsed="false">
      <c r="A2014" s="51" t="n">
        <v>15070</v>
      </c>
      <c r="B2014" s="53" t="n">
        <v>40514.4743055556</v>
      </c>
      <c r="C2014" s="57" t="n">
        <f aca="false">INT($C$2)-INT(Table3[[#This Row],[Last Purchase Date]])</f>
        <v>373</v>
      </c>
      <c r="D2014" s="1" t="n">
        <v>1</v>
      </c>
      <c r="E2014" s="1" t="n">
        <v>106.2</v>
      </c>
      <c r="F2014" s="1" t="n">
        <f aca="false">ROUND((1-_xlfn.PERCENTRANK.INC($C$7:$C$4378,C2014))*9,0)</f>
        <v>0</v>
      </c>
      <c r="G2014" s="1" t="n">
        <f aca="false">ROUND(_xlfn.PERCENTRANK.INC($D$7:$D$4378,D2014)*9,0)</f>
        <v>0</v>
      </c>
      <c r="H2014" s="1" t="n">
        <f aca="false">ROUND(_xlfn.PERCENTRANK.INC($E$7:$E$4378,E2014)*9,0)</f>
        <v>0</v>
      </c>
      <c r="I2014" s="1" t="str">
        <f aca="false">CONCATENATE(F2014,G2014,H2014)</f>
        <v>000</v>
      </c>
      <c r="J2014" s="1" t="str">
        <f aca="false">_xlfn.IFS(AND(F2014&gt;=8,G2014&gt;=8,H2014&gt;=8),"CHAMPION",AND(F2014&gt;=6,G2014&gt;=7,H2014&gt;=6),"LOYAL CUSTOMER",AND(F2014&gt;=6,G2014&gt;=5,H2014&gt;=5),"POTENTIAL LOYALIST",AND(F2014&gt;=8,G2014&lt;=2,H2014&gt;=5),"NEW CUSTOMERS",AND(F2014&gt;=6,G2014&lt;=2,H2014&gt;=3),"PROMISING",AND(F2014&gt;=3,G2014&gt;=3,H2014&gt;=3),"NEED ATTENTION",AND(F2014&lt;=4,G2014&gt;=6,H2014&gt;=6),"AT RISK",AND(F2014&lt;=2,G2014&gt;=8,H2014&gt;=8),"CAN'T LOSE THEM",AND(F2014&lt;=2,G2014&lt;=2,H2014&lt;=2),"HIBERNATING",TRUE(),"Other")</f>
        <v>HIBERNATING</v>
      </c>
      <c r="K2014" s="1" t="n">
        <f aca="false">RANK(E2014,$E$7:$E$4378)+COUNTIF($E$7:E2014,E2014)-1</f>
        <v>4131</v>
      </c>
    </row>
    <row r="2015" customFormat="false" ht="14.25" hidden="false" customHeight="true" outlineLevel="0" collapsed="false">
      <c r="A2015" s="51" t="n">
        <v>15071</v>
      </c>
      <c r="B2015" s="53" t="n">
        <v>40793.4881944444</v>
      </c>
      <c r="C2015" s="57" t="n">
        <f aca="false">INT($C$2)-INT(Table3[[#This Row],[Last Purchase Date]])</f>
        <v>94</v>
      </c>
      <c r="D2015" s="1" t="n">
        <v>2</v>
      </c>
      <c r="E2015" s="1" t="n">
        <v>982.07</v>
      </c>
      <c r="F2015" s="1" t="n">
        <f aca="false">ROUND((1-_xlfn.PERCENTRANK.INC($C$7:$C$4378,C2015))*9,0)</f>
        <v>3</v>
      </c>
      <c r="G2015" s="1" t="n">
        <f aca="false">ROUND(_xlfn.PERCENTRANK.INC($D$7:$D$4378,D2015)*9,0)</f>
        <v>3</v>
      </c>
      <c r="H2015" s="1" t="n">
        <f aca="false">ROUND(_xlfn.PERCENTRANK.INC($E$7:$E$4378,E2015)*9,0)</f>
        <v>6</v>
      </c>
      <c r="I2015" s="1" t="str">
        <f aca="false">CONCATENATE(F2015,G2015,H2015)</f>
        <v>336</v>
      </c>
      <c r="J2015" s="1" t="str">
        <f aca="false">_xlfn.IFS(AND(F2015&gt;=8,G2015&gt;=8,H2015&gt;=8),"CHAMPION",AND(F2015&gt;=6,G2015&gt;=7,H2015&gt;=6),"LOYAL CUSTOMER",AND(F2015&gt;=6,G2015&gt;=5,H2015&gt;=5),"POTENTIAL LOYALIST",AND(F2015&gt;=8,G2015&lt;=2,H2015&gt;=5),"NEW CUSTOMERS",AND(F2015&gt;=6,G2015&lt;=2,H2015&gt;=3),"PROMISING",AND(F2015&gt;=3,G2015&gt;=3,H2015&gt;=3),"NEED ATTENTION",AND(F2015&lt;=4,G2015&gt;=6,H2015&gt;=6),"AT RISK",AND(F2015&lt;=2,G2015&gt;=8,H2015&gt;=8),"CAN'T LOSE THEM",AND(F2015&lt;=2,G2015&lt;=2,H2015&lt;=2),"HIBERNATING",TRUE(),"Other")</f>
        <v>NEED ATTENTION</v>
      </c>
      <c r="K2015" s="1" t="n">
        <f aca="false">RANK(E2015,$E$7:$E$4378)+COUNTIF($E$7:E2015,E2015)-1</f>
        <v>1658</v>
      </c>
    </row>
    <row r="2016" customFormat="false" ht="14.25" hidden="false" customHeight="true" outlineLevel="0" collapsed="false">
      <c r="A2016" s="51" t="n">
        <v>15073</v>
      </c>
      <c r="B2016" s="53" t="n">
        <v>40877.4472222222</v>
      </c>
      <c r="C2016" s="57" t="n">
        <f aca="false">INT($C$2)-INT(Table3[[#This Row],[Last Purchase Date]])</f>
        <v>10</v>
      </c>
      <c r="D2016" s="1" t="n">
        <v>4</v>
      </c>
      <c r="E2016" s="1" t="n">
        <v>612.43</v>
      </c>
      <c r="F2016" s="1" t="n">
        <f aca="false">ROUND((1-_xlfn.PERCENTRANK.INC($C$7:$C$4378,C2016))*9,0)</f>
        <v>8</v>
      </c>
      <c r="G2016" s="1" t="n">
        <f aca="false">ROUND(_xlfn.PERCENTRANK.INC($D$7:$D$4378,D2016)*9,0)</f>
        <v>5</v>
      </c>
      <c r="H2016" s="1" t="n">
        <f aca="false">ROUND(_xlfn.PERCENTRANK.INC($E$7:$E$4378,E2016)*9,0)</f>
        <v>4</v>
      </c>
      <c r="I2016" s="1" t="str">
        <f aca="false">CONCATENATE(F2016,G2016,H2016)</f>
        <v>854</v>
      </c>
      <c r="J2016" s="1" t="str">
        <f aca="false">_xlfn.IFS(AND(F2016&gt;=8,G2016&gt;=8,H2016&gt;=8),"CHAMPION",AND(F2016&gt;=6,G2016&gt;=7,H2016&gt;=6),"LOYAL CUSTOMER",AND(F2016&gt;=6,G2016&gt;=5,H2016&gt;=5),"POTENTIAL LOYALIST",AND(F2016&gt;=8,G2016&lt;=2,H2016&gt;=5),"NEW CUSTOMERS",AND(F2016&gt;=6,G2016&lt;=2,H2016&gt;=3),"PROMISING",AND(F2016&gt;=3,G2016&gt;=3,H2016&gt;=3),"NEED ATTENTION",AND(F2016&lt;=4,G2016&gt;=6,H2016&gt;=6),"AT RISK",AND(F2016&lt;=2,G2016&gt;=8,H2016&gt;=8),"CAN'T LOSE THEM",AND(F2016&lt;=2,G2016&lt;=2,H2016&lt;=2),"HIBERNATING",TRUE(),"Other")</f>
        <v>NEED ATTENTION</v>
      </c>
      <c r="K2016" s="1" t="n">
        <f aca="false">RANK(E2016,$E$7:$E$4378)+COUNTIF($E$7:E2016,E2016)-1</f>
        <v>2274</v>
      </c>
    </row>
    <row r="2017" customFormat="false" ht="14.25" hidden="false" customHeight="true" outlineLevel="0" collapsed="false">
      <c r="A2017" s="51" t="n">
        <v>15074</v>
      </c>
      <c r="B2017" s="53" t="n">
        <v>40781.6145833333</v>
      </c>
      <c r="C2017" s="57" t="n">
        <f aca="false">INT($C$2)-INT(Table3[[#This Row],[Last Purchase Date]])</f>
        <v>106</v>
      </c>
      <c r="D2017" s="1" t="n">
        <v>1</v>
      </c>
      <c r="E2017" s="1" t="n">
        <v>748.87</v>
      </c>
      <c r="F2017" s="1" t="n">
        <f aca="false">ROUND((1-_xlfn.PERCENTRANK.INC($C$7:$C$4378,C2017))*9,0)</f>
        <v>3</v>
      </c>
      <c r="G2017" s="1" t="n">
        <f aca="false">ROUND(_xlfn.PERCENTRANK.INC($D$7:$D$4378,D2017)*9,0)</f>
        <v>0</v>
      </c>
      <c r="H2017" s="1" t="n">
        <f aca="false">ROUND(_xlfn.PERCENTRANK.INC($E$7:$E$4378,E2017)*9,0)</f>
        <v>5</v>
      </c>
      <c r="I2017" s="1" t="str">
        <f aca="false">CONCATENATE(F2017,G2017,H2017)</f>
        <v>305</v>
      </c>
      <c r="J2017" s="1" t="str">
        <f aca="false">_xlfn.IFS(AND(F2017&gt;=8,G2017&gt;=8,H2017&gt;=8),"CHAMPION",AND(F2017&gt;=6,G2017&gt;=7,H2017&gt;=6),"LOYAL CUSTOMER",AND(F2017&gt;=6,G2017&gt;=5,H2017&gt;=5),"POTENTIAL LOYALIST",AND(F2017&gt;=8,G2017&lt;=2,H2017&gt;=5),"NEW CUSTOMERS",AND(F2017&gt;=6,G2017&lt;=2,H2017&gt;=3),"PROMISING",AND(F2017&gt;=3,G2017&gt;=3,H2017&gt;=3),"NEED ATTENTION",AND(F2017&lt;=4,G2017&gt;=6,H2017&gt;=6),"AT RISK",AND(F2017&lt;=2,G2017&gt;=8,H2017&gt;=8),"CAN'T LOSE THEM",AND(F2017&lt;=2,G2017&lt;=2,H2017&lt;=2),"HIBERNATING",TRUE(),"Other")</f>
        <v>Other</v>
      </c>
      <c r="K2017" s="1" t="n">
        <f aca="false">RANK(E2017,$E$7:$E$4378)+COUNTIF($E$7:E2017,E2017)-1</f>
        <v>1977</v>
      </c>
    </row>
    <row r="2018" customFormat="false" ht="14.25" hidden="false" customHeight="true" outlineLevel="0" collapsed="false">
      <c r="A2018" s="51" t="n">
        <v>15075</v>
      </c>
      <c r="B2018" s="53" t="n">
        <v>40809.51875</v>
      </c>
      <c r="C2018" s="57" t="n">
        <f aca="false">INT($C$2)-INT(Table3[[#This Row],[Last Purchase Date]])</f>
        <v>78</v>
      </c>
      <c r="D2018" s="1" t="n">
        <v>1</v>
      </c>
      <c r="E2018" s="1" t="n">
        <v>773.03</v>
      </c>
      <c r="F2018" s="1" t="n">
        <f aca="false">ROUND((1-_xlfn.PERCENTRANK.INC($C$7:$C$4378,C2018))*9,0)</f>
        <v>3</v>
      </c>
      <c r="G2018" s="1" t="n">
        <f aca="false">ROUND(_xlfn.PERCENTRANK.INC($D$7:$D$4378,D2018)*9,0)</f>
        <v>0</v>
      </c>
      <c r="H2018" s="1" t="n">
        <f aca="false">ROUND(_xlfn.PERCENTRANK.INC($E$7:$E$4378,E2018)*9,0)</f>
        <v>5</v>
      </c>
      <c r="I2018" s="1" t="str">
        <f aca="false">CONCATENATE(F2018,G2018,H2018)</f>
        <v>305</v>
      </c>
      <c r="J2018" s="1" t="str">
        <f aca="false">_xlfn.IFS(AND(F2018&gt;=8,G2018&gt;=8,H2018&gt;=8),"CHAMPION",AND(F2018&gt;=6,G2018&gt;=7,H2018&gt;=6),"LOYAL CUSTOMER",AND(F2018&gt;=6,G2018&gt;=5,H2018&gt;=5),"POTENTIAL LOYALIST",AND(F2018&gt;=8,G2018&lt;=2,H2018&gt;=5),"NEW CUSTOMERS",AND(F2018&gt;=6,G2018&lt;=2,H2018&gt;=3),"PROMISING",AND(F2018&gt;=3,G2018&gt;=3,H2018&gt;=3),"NEED ATTENTION",AND(F2018&lt;=4,G2018&gt;=6,H2018&gt;=6),"AT RISK",AND(F2018&lt;=2,G2018&gt;=8,H2018&gt;=8),"CAN'T LOSE THEM",AND(F2018&lt;=2,G2018&lt;=2,H2018&lt;=2),"HIBERNATING",TRUE(),"Other")</f>
        <v>Other</v>
      </c>
      <c r="K2018" s="1" t="n">
        <f aca="false">RANK(E2018,$E$7:$E$4378)+COUNTIF($E$7:E2018,E2018)-1</f>
        <v>1940</v>
      </c>
    </row>
    <row r="2019" customFormat="false" ht="14.25" hidden="false" customHeight="true" outlineLevel="0" collapsed="false">
      <c r="A2019" s="51" t="n">
        <v>15076</v>
      </c>
      <c r="B2019" s="53" t="n">
        <v>40714.3493055556</v>
      </c>
      <c r="C2019" s="57" t="n">
        <f aca="false">INT($C$2)-INT(Table3[[#This Row],[Last Purchase Date]])</f>
        <v>173</v>
      </c>
      <c r="D2019" s="1" t="n">
        <v>1</v>
      </c>
      <c r="E2019" s="1" t="n">
        <v>880.85</v>
      </c>
      <c r="F2019" s="1" t="n">
        <f aca="false">ROUND((1-_xlfn.PERCENTRANK.INC($C$7:$C$4378,C2019))*9,0)</f>
        <v>2</v>
      </c>
      <c r="G2019" s="1" t="n">
        <f aca="false">ROUND(_xlfn.PERCENTRANK.INC($D$7:$D$4378,D2019)*9,0)</f>
        <v>0</v>
      </c>
      <c r="H2019" s="1" t="n">
        <f aca="false">ROUND(_xlfn.PERCENTRANK.INC($E$7:$E$4378,E2019)*9,0)</f>
        <v>5</v>
      </c>
      <c r="I2019" s="1" t="str">
        <f aca="false">CONCATENATE(F2019,G2019,H2019)</f>
        <v>205</v>
      </c>
      <c r="J2019" s="1" t="str">
        <f aca="false">_xlfn.IFS(AND(F2019&gt;=8,G2019&gt;=8,H2019&gt;=8),"CHAMPION",AND(F2019&gt;=6,G2019&gt;=7,H2019&gt;=6),"LOYAL CUSTOMER",AND(F2019&gt;=6,G2019&gt;=5,H2019&gt;=5),"POTENTIAL LOYALIST",AND(F2019&gt;=8,G2019&lt;=2,H2019&gt;=5),"NEW CUSTOMERS",AND(F2019&gt;=6,G2019&lt;=2,H2019&gt;=3),"PROMISING",AND(F2019&gt;=3,G2019&gt;=3,H2019&gt;=3),"NEED ATTENTION",AND(F2019&lt;=4,G2019&gt;=6,H2019&gt;=6),"AT RISK",AND(F2019&lt;=2,G2019&gt;=8,H2019&gt;=8),"CAN'T LOSE THEM",AND(F2019&lt;=2,G2019&lt;=2,H2019&lt;=2),"HIBERNATING",TRUE(),"Other")</f>
        <v>Other</v>
      </c>
      <c r="K2019" s="1" t="n">
        <f aca="false">RANK(E2019,$E$7:$E$4378)+COUNTIF($E$7:E2019,E2019)-1</f>
        <v>1787</v>
      </c>
    </row>
    <row r="2020" customFormat="false" ht="14.25" hidden="false" customHeight="true" outlineLevel="0" collapsed="false">
      <c r="A2020" s="51" t="n">
        <v>15078</v>
      </c>
      <c r="B2020" s="53" t="n">
        <v>40879.6534722222</v>
      </c>
      <c r="C2020" s="57" t="n">
        <f aca="false">INT($C$2)-INT(Table3[[#This Row],[Last Purchase Date]])</f>
        <v>8</v>
      </c>
      <c r="D2020" s="1" t="n">
        <v>38</v>
      </c>
      <c r="E2020" s="1" t="n">
        <v>9623.35000000002</v>
      </c>
      <c r="F2020" s="1" t="n">
        <f aca="false">ROUND((1-_xlfn.PERCENTRANK.INC($C$7:$C$4378,C2020))*9,0)</f>
        <v>8</v>
      </c>
      <c r="G2020" s="1" t="n">
        <f aca="false">ROUND(_xlfn.PERCENTRANK.INC($D$7:$D$4378,D2020)*9,0)</f>
        <v>9</v>
      </c>
      <c r="H2020" s="1" t="n">
        <f aca="false">ROUND(_xlfn.PERCENTRANK.INC($E$7:$E$4378,E2020)*9,0)</f>
        <v>9</v>
      </c>
      <c r="I2020" s="1" t="str">
        <f aca="false">CONCATENATE(F2020,G2020,H2020)</f>
        <v>899</v>
      </c>
      <c r="J2020" s="1" t="str">
        <f aca="false">_xlfn.IFS(AND(F2020&gt;=8,G2020&gt;=8,H2020&gt;=8),"CHAMPION",AND(F2020&gt;=6,G2020&gt;=7,H2020&gt;=6),"LOYAL CUSTOMER",AND(F2020&gt;=6,G2020&gt;=5,H2020&gt;=5),"POTENTIAL LOYALIST",AND(F2020&gt;=8,G2020&lt;=2,H2020&gt;=5),"NEW CUSTOMERS",AND(F2020&gt;=6,G2020&lt;=2,H2020&gt;=3),"PROMISING",AND(F2020&gt;=3,G2020&gt;=3,H2020&gt;=3),"NEED ATTENTION",AND(F2020&lt;=4,G2020&gt;=6,H2020&gt;=6),"AT RISK",AND(F2020&lt;=2,G2020&gt;=8,H2020&gt;=8),"CAN'T LOSE THEM",AND(F2020&lt;=2,G2020&lt;=2,H2020&lt;=2),"HIBERNATING",TRUE(),"Other")</f>
        <v>CHAMPION</v>
      </c>
      <c r="K2020" s="1" t="n">
        <f aca="false">RANK(E2020,$E$7:$E$4378)+COUNTIF($E$7:E2020,E2020)-1</f>
        <v>101</v>
      </c>
    </row>
    <row r="2021" customFormat="false" ht="14.25" hidden="false" customHeight="true" outlineLevel="0" collapsed="false">
      <c r="A2021" s="51" t="n">
        <v>15079</v>
      </c>
      <c r="B2021" s="53" t="n">
        <v>40674.53125</v>
      </c>
      <c r="C2021" s="57" t="n">
        <f aca="false">INT($C$2)-INT(Table3[[#This Row],[Last Purchase Date]])</f>
        <v>213</v>
      </c>
      <c r="D2021" s="1" t="n">
        <v>5</v>
      </c>
      <c r="E2021" s="1" t="n">
        <v>893.66</v>
      </c>
      <c r="F2021" s="1" t="n">
        <f aca="false">ROUND((1-_xlfn.PERCENTRANK.INC($C$7:$C$4378,C2021))*9,0)</f>
        <v>1</v>
      </c>
      <c r="G2021" s="1" t="n">
        <f aca="false">ROUND(_xlfn.PERCENTRANK.INC($D$7:$D$4378,D2021)*9,0)</f>
        <v>6</v>
      </c>
      <c r="H2021" s="1" t="n">
        <f aca="false">ROUND(_xlfn.PERCENTRANK.INC($E$7:$E$4378,E2021)*9,0)</f>
        <v>5</v>
      </c>
      <c r="I2021" s="1" t="str">
        <f aca="false">CONCATENATE(F2021,G2021,H2021)</f>
        <v>165</v>
      </c>
      <c r="J2021" s="1" t="str">
        <f aca="false">_xlfn.IFS(AND(F2021&gt;=8,G2021&gt;=8,H2021&gt;=8),"CHAMPION",AND(F2021&gt;=6,G2021&gt;=7,H2021&gt;=6),"LOYAL CUSTOMER",AND(F2021&gt;=6,G2021&gt;=5,H2021&gt;=5),"POTENTIAL LOYALIST",AND(F2021&gt;=8,G2021&lt;=2,H2021&gt;=5),"NEW CUSTOMERS",AND(F2021&gt;=6,G2021&lt;=2,H2021&gt;=3),"PROMISING",AND(F2021&gt;=3,G2021&gt;=3,H2021&gt;=3),"NEED ATTENTION",AND(F2021&lt;=4,G2021&gt;=6,H2021&gt;=6),"AT RISK",AND(F2021&lt;=2,G2021&gt;=8,H2021&gt;=8),"CAN'T LOSE THEM",AND(F2021&lt;=2,G2021&lt;=2,H2021&lt;=2),"HIBERNATING",TRUE(),"Other")</f>
        <v>Other</v>
      </c>
      <c r="K2021" s="1" t="n">
        <f aca="false">RANK(E2021,$E$7:$E$4378)+COUNTIF($E$7:E2021,E2021)-1</f>
        <v>1770</v>
      </c>
    </row>
    <row r="2022" customFormat="false" ht="14.25" hidden="false" customHeight="true" outlineLevel="0" collapsed="false">
      <c r="A2022" s="51" t="n">
        <v>15081</v>
      </c>
      <c r="B2022" s="53" t="n">
        <v>40864.7138888889</v>
      </c>
      <c r="C2022" s="57" t="n">
        <f aca="false">INT($C$2)-INT(Table3[[#This Row],[Last Purchase Date]])</f>
        <v>23</v>
      </c>
      <c r="D2022" s="1" t="n">
        <v>6</v>
      </c>
      <c r="E2022" s="1" t="n">
        <v>487.35</v>
      </c>
      <c r="F2022" s="1" t="n">
        <f aca="false">ROUND((1-_xlfn.PERCENTRANK.INC($C$7:$C$4378,C2022))*9,0)</f>
        <v>6</v>
      </c>
      <c r="G2022" s="1" t="n">
        <f aca="false">ROUND(_xlfn.PERCENTRANK.INC($D$7:$D$4378,D2022)*9,0)</f>
        <v>7</v>
      </c>
      <c r="H2022" s="1" t="n">
        <f aca="false">ROUND(_xlfn.PERCENTRANK.INC($E$7:$E$4378,E2022)*9,0)</f>
        <v>4</v>
      </c>
      <c r="I2022" s="1" t="str">
        <f aca="false">CONCATENATE(F2022,G2022,H2022)</f>
        <v>674</v>
      </c>
      <c r="J2022" s="1" t="str">
        <f aca="false">_xlfn.IFS(AND(F2022&gt;=8,G2022&gt;=8,H2022&gt;=8),"CHAMPION",AND(F2022&gt;=6,G2022&gt;=7,H2022&gt;=6),"LOYAL CUSTOMER",AND(F2022&gt;=6,G2022&gt;=5,H2022&gt;=5),"POTENTIAL LOYALIST",AND(F2022&gt;=8,G2022&lt;=2,H2022&gt;=5),"NEW CUSTOMERS",AND(F2022&gt;=6,G2022&lt;=2,H2022&gt;=3),"PROMISING",AND(F2022&gt;=3,G2022&gt;=3,H2022&gt;=3),"NEED ATTENTION",AND(F2022&lt;=4,G2022&gt;=6,H2022&gt;=6),"AT RISK",AND(F2022&lt;=2,G2022&gt;=8,H2022&gt;=8),"CAN'T LOSE THEM",AND(F2022&lt;=2,G2022&lt;=2,H2022&lt;=2),"HIBERNATING",TRUE(),"Other")</f>
        <v>NEED ATTENTION</v>
      </c>
      <c r="K2022" s="1" t="n">
        <f aca="false">RANK(E2022,$E$7:$E$4378)+COUNTIF($E$7:E2022,E2022)-1</f>
        <v>2575</v>
      </c>
    </row>
    <row r="2023" customFormat="false" ht="14.25" hidden="false" customHeight="true" outlineLevel="0" collapsed="false">
      <c r="A2023" s="51" t="n">
        <v>15083</v>
      </c>
      <c r="B2023" s="53" t="n">
        <v>40630.5125</v>
      </c>
      <c r="C2023" s="57" t="n">
        <f aca="false">INT($C$2)-INT(Table3[[#This Row],[Last Purchase Date]])</f>
        <v>257</v>
      </c>
      <c r="D2023" s="1" t="n">
        <v>1</v>
      </c>
      <c r="E2023" s="1" t="n">
        <v>88.2</v>
      </c>
      <c r="F2023" s="1" t="n">
        <f aca="false">ROUND((1-_xlfn.PERCENTRANK.INC($C$7:$C$4378,C2023))*9,0)</f>
        <v>1</v>
      </c>
      <c r="G2023" s="1" t="n">
        <f aca="false">ROUND(_xlfn.PERCENTRANK.INC($D$7:$D$4378,D2023)*9,0)</f>
        <v>0</v>
      </c>
      <c r="H2023" s="1" t="n">
        <f aca="false">ROUND(_xlfn.PERCENTRANK.INC($E$7:$E$4378,E2023)*9,0)</f>
        <v>0</v>
      </c>
      <c r="I2023" s="1" t="str">
        <f aca="false">CONCATENATE(F2023,G2023,H2023)</f>
        <v>100</v>
      </c>
      <c r="J2023" s="1" t="str">
        <f aca="false">_xlfn.IFS(AND(F2023&gt;=8,G2023&gt;=8,H2023&gt;=8),"CHAMPION",AND(F2023&gt;=6,G2023&gt;=7,H2023&gt;=6),"LOYAL CUSTOMER",AND(F2023&gt;=6,G2023&gt;=5,H2023&gt;=5),"POTENTIAL LOYALIST",AND(F2023&gt;=8,G2023&lt;=2,H2023&gt;=5),"NEW CUSTOMERS",AND(F2023&gt;=6,G2023&lt;=2,H2023&gt;=3),"PROMISING",AND(F2023&gt;=3,G2023&gt;=3,H2023&gt;=3),"NEED ATTENTION",AND(F2023&lt;=4,G2023&gt;=6,H2023&gt;=6),"AT RISK",AND(F2023&lt;=2,G2023&gt;=8,H2023&gt;=8),"CAN'T LOSE THEM",AND(F2023&lt;=2,G2023&lt;=2,H2023&lt;=2),"HIBERNATING",TRUE(),"Other")</f>
        <v>HIBERNATING</v>
      </c>
      <c r="K2023" s="1" t="n">
        <f aca="false">RANK(E2023,$E$7:$E$4378)+COUNTIF($E$7:E2023,E2023)-1</f>
        <v>4201</v>
      </c>
    </row>
    <row r="2024" customFormat="false" ht="14.25" hidden="false" customHeight="true" outlineLevel="0" collapsed="false">
      <c r="A2024" s="51" t="n">
        <v>15087</v>
      </c>
      <c r="B2024" s="53" t="n">
        <v>40605.4402777778</v>
      </c>
      <c r="C2024" s="57" t="n">
        <f aca="false">INT($C$2)-INT(Table3[[#This Row],[Last Purchase Date]])</f>
        <v>282</v>
      </c>
      <c r="D2024" s="1" t="n">
        <v>1</v>
      </c>
      <c r="E2024" s="1" t="n">
        <v>306.94</v>
      </c>
      <c r="F2024" s="1" t="n">
        <f aca="false">ROUND((1-_xlfn.PERCENTRANK.INC($C$7:$C$4378,C2024))*9,0)</f>
        <v>1</v>
      </c>
      <c r="G2024" s="1" t="n">
        <f aca="false">ROUND(_xlfn.PERCENTRANK.INC($D$7:$D$4378,D2024)*9,0)</f>
        <v>0</v>
      </c>
      <c r="H2024" s="1" t="n">
        <f aca="false">ROUND(_xlfn.PERCENTRANK.INC($E$7:$E$4378,E2024)*9,0)</f>
        <v>2</v>
      </c>
      <c r="I2024" s="1" t="str">
        <f aca="false">CONCATENATE(F2024,G2024,H2024)</f>
        <v>102</v>
      </c>
      <c r="J2024" s="1" t="str">
        <f aca="false">_xlfn.IFS(AND(F2024&gt;=8,G2024&gt;=8,H2024&gt;=8),"CHAMPION",AND(F2024&gt;=6,G2024&gt;=7,H2024&gt;=6),"LOYAL CUSTOMER",AND(F2024&gt;=6,G2024&gt;=5,H2024&gt;=5),"POTENTIAL LOYALIST",AND(F2024&gt;=8,G2024&lt;=2,H2024&gt;=5),"NEW CUSTOMERS",AND(F2024&gt;=6,G2024&lt;=2,H2024&gt;=3),"PROMISING",AND(F2024&gt;=3,G2024&gt;=3,H2024&gt;=3),"NEED ATTENTION",AND(F2024&lt;=4,G2024&gt;=6,H2024&gt;=6),"AT RISK",AND(F2024&lt;=2,G2024&gt;=8,H2024&gt;=8),"CAN'T LOSE THEM",AND(F2024&lt;=2,G2024&lt;=2,H2024&lt;=2),"HIBERNATING",TRUE(),"Other")</f>
        <v>HIBERNATING</v>
      </c>
      <c r="K2024" s="1" t="n">
        <f aca="false">RANK(E2024,$E$7:$E$4378)+COUNTIF($E$7:E2024,E2024)-1</f>
        <v>3213</v>
      </c>
    </row>
    <row r="2025" customFormat="false" ht="14.25" hidden="false" customHeight="true" outlineLevel="0" collapsed="false">
      <c r="A2025" s="51" t="n">
        <v>15088</v>
      </c>
      <c r="B2025" s="53" t="n">
        <v>40865.5513888889</v>
      </c>
      <c r="C2025" s="57" t="n">
        <f aca="false">INT($C$2)-INT(Table3[[#This Row],[Last Purchase Date]])</f>
        <v>22</v>
      </c>
      <c r="D2025" s="1" t="n">
        <v>3</v>
      </c>
      <c r="E2025" s="1" t="n">
        <v>1140.27</v>
      </c>
      <c r="F2025" s="1" t="n">
        <f aca="false">ROUND((1-_xlfn.PERCENTRANK.INC($C$7:$C$4378,C2025))*9,0)</f>
        <v>6</v>
      </c>
      <c r="G2025" s="1" t="n">
        <f aca="false">ROUND(_xlfn.PERCENTRANK.INC($D$7:$D$4378,D2025)*9,0)</f>
        <v>4</v>
      </c>
      <c r="H2025" s="1" t="n">
        <f aca="false">ROUND(_xlfn.PERCENTRANK.INC($E$7:$E$4378,E2025)*9,0)</f>
        <v>6</v>
      </c>
      <c r="I2025" s="1" t="str">
        <f aca="false">CONCATENATE(F2025,G2025,H2025)</f>
        <v>646</v>
      </c>
      <c r="J2025" s="1" t="str">
        <f aca="false">_xlfn.IFS(AND(F2025&gt;=8,G2025&gt;=8,H2025&gt;=8),"CHAMPION",AND(F2025&gt;=6,G2025&gt;=7,H2025&gt;=6),"LOYAL CUSTOMER",AND(F2025&gt;=6,G2025&gt;=5,H2025&gt;=5),"POTENTIAL LOYALIST",AND(F2025&gt;=8,G2025&lt;=2,H2025&gt;=5),"NEW CUSTOMERS",AND(F2025&gt;=6,G2025&lt;=2,H2025&gt;=3),"PROMISING",AND(F2025&gt;=3,G2025&gt;=3,H2025&gt;=3),"NEED ATTENTION",AND(F2025&lt;=4,G2025&gt;=6,H2025&gt;=6),"AT RISK",AND(F2025&lt;=2,G2025&gt;=8,H2025&gt;=8),"CAN'T LOSE THEM",AND(F2025&lt;=2,G2025&lt;=2,H2025&lt;=2),"HIBERNATING",TRUE(),"Other")</f>
        <v>NEED ATTENTION</v>
      </c>
      <c r="K2025" s="1" t="n">
        <f aca="false">RANK(E2025,$E$7:$E$4378)+COUNTIF($E$7:E2025,E2025)-1</f>
        <v>1461</v>
      </c>
    </row>
    <row r="2026" customFormat="false" ht="14.25" hidden="false" customHeight="true" outlineLevel="0" collapsed="false">
      <c r="A2026" s="51" t="n">
        <v>15089</v>
      </c>
      <c r="B2026" s="53" t="n">
        <v>40876.6881944445</v>
      </c>
      <c r="C2026" s="57" t="n">
        <f aca="false">INT($C$2)-INT(Table3[[#This Row],[Last Purchase Date]])</f>
        <v>11</v>
      </c>
      <c r="D2026" s="1" t="n">
        <v>6</v>
      </c>
      <c r="E2026" s="1" t="n">
        <v>2420.84</v>
      </c>
      <c r="F2026" s="1" t="n">
        <f aca="false">ROUND((1-_xlfn.PERCENTRANK.INC($C$7:$C$4378,C2026))*9,0)</f>
        <v>7</v>
      </c>
      <c r="G2026" s="1" t="n">
        <f aca="false">ROUND(_xlfn.PERCENTRANK.INC($D$7:$D$4378,D2026)*9,0)</f>
        <v>7</v>
      </c>
      <c r="H2026" s="1" t="n">
        <f aca="false">ROUND(_xlfn.PERCENTRANK.INC($E$7:$E$4378,E2026)*9,0)</f>
        <v>8</v>
      </c>
      <c r="I2026" s="1" t="str">
        <f aca="false">CONCATENATE(F2026,G2026,H2026)</f>
        <v>778</v>
      </c>
      <c r="J2026" s="1" t="str">
        <f aca="false">_xlfn.IFS(AND(F2026&gt;=8,G2026&gt;=8,H2026&gt;=8),"CHAMPION",AND(F2026&gt;=6,G2026&gt;=7,H2026&gt;=6),"LOYAL CUSTOMER",AND(F2026&gt;=6,G2026&gt;=5,H2026&gt;=5),"POTENTIAL LOYALIST",AND(F2026&gt;=8,G2026&lt;=2,H2026&gt;=5),"NEW CUSTOMERS",AND(F2026&gt;=6,G2026&lt;=2,H2026&gt;=3),"PROMISING",AND(F2026&gt;=3,G2026&gt;=3,H2026&gt;=3),"NEED ATTENTION",AND(F2026&lt;=4,G2026&gt;=6,H2026&gt;=6),"AT RISK",AND(F2026&lt;=2,G2026&gt;=8,H2026&gt;=8),"CAN'T LOSE THEM",AND(F2026&lt;=2,G2026&lt;=2,H2026&lt;=2),"HIBERNATING",TRUE(),"Other")</f>
        <v>LOYAL CUSTOMER</v>
      </c>
      <c r="K2026" s="1" t="n">
        <f aca="false">RANK(E2026,$E$7:$E$4378)+COUNTIF($E$7:E2026,E2026)-1</f>
        <v>707</v>
      </c>
    </row>
    <row r="2027" customFormat="false" ht="14.25" hidden="false" customHeight="true" outlineLevel="0" collapsed="false">
      <c r="A2027" s="51" t="n">
        <v>15090</v>
      </c>
      <c r="B2027" s="53" t="n">
        <v>40578.5854166667</v>
      </c>
      <c r="C2027" s="57" t="n">
        <f aca="false">INT($C$2)-INT(Table3[[#This Row],[Last Purchase Date]])</f>
        <v>309</v>
      </c>
      <c r="D2027" s="1" t="n">
        <v>1</v>
      </c>
      <c r="E2027" s="1" t="n">
        <v>381.32</v>
      </c>
      <c r="F2027" s="1" t="n">
        <f aca="false">ROUND((1-_xlfn.PERCENTRANK.INC($C$7:$C$4378,C2027))*9,0)</f>
        <v>1</v>
      </c>
      <c r="G2027" s="1" t="n">
        <f aca="false">ROUND(_xlfn.PERCENTRANK.INC($D$7:$D$4378,D2027)*9,0)</f>
        <v>0</v>
      </c>
      <c r="H2027" s="1" t="n">
        <f aca="false">ROUND(_xlfn.PERCENTRANK.INC($E$7:$E$4378,E2027)*9,0)</f>
        <v>3</v>
      </c>
      <c r="I2027" s="1" t="str">
        <f aca="false">CONCATENATE(F2027,G2027,H2027)</f>
        <v>103</v>
      </c>
      <c r="J2027" s="1" t="str">
        <f aca="false">_xlfn.IFS(AND(F2027&gt;=8,G2027&gt;=8,H2027&gt;=8),"CHAMPION",AND(F2027&gt;=6,G2027&gt;=7,H2027&gt;=6),"LOYAL CUSTOMER",AND(F2027&gt;=6,G2027&gt;=5,H2027&gt;=5),"POTENTIAL LOYALIST",AND(F2027&gt;=8,G2027&lt;=2,H2027&gt;=5),"NEW CUSTOMERS",AND(F2027&gt;=6,G2027&lt;=2,H2027&gt;=3),"PROMISING",AND(F2027&gt;=3,G2027&gt;=3,H2027&gt;=3),"NEED ATTENTION",AND(F2027&lt;=4,G2027&gt;=6,H2027&gt;=6),"AT RISK",AND(F2027&lt;=2,G2027&gt;=8,H2027&gt;=8),"CAN'T LOSE THEM",AND(F2027&lt;=2,G2027&lt;=2,H2027&lt;=2),"HIBERNATING",TRUE(),"Other")</f>
        <v>Other</v>
      </c>
      <c r="K2027" s="1" t="n">
        <f aca="false">RANK(E2027,$E$7:$E$4378)+COUNTIF($E$7:E2027,E2027)-1</f>
        <v>2883</v>
      </c>
    </row>
    <row r="2028" customFormat="false" ht="14.25" hidden="false" customHeight="true" outlineLevel="0" collapsed="false">
      <c r="A2028" s="51" t="n">
        <v>15091</v>
      </c>
      <c r="B2028" s="53" t="n">
        <v>40833.4493055556</v>
      </c>
      <c r="C2028" s="57" t="n">
        <f aca="false">INT($C$2)-INT(Table3[[#This Row],[Last Purchase Date]])</f>
        <v>54</v>
      </c>
      <c r="D2028" s="1" t="n">
        <v>2</v>
      </c>
      <c r="E2028" s="1" t="n">
        <v>476.96</v>
      </c>
      <c r="F2028" s="1" t="n">
        <f aca="false">ROUND((1-_xlfn.PERCENTRANK.INC($C$7:$C$4378,C2028))*9,0)</f>
        <v>4</v>
      </c>
      <c r="G2028" s="1" t="n">
        <f aca="false">ROUND(_xlfn.PERCENTRANK.INC($D$7:$D$4378,D2028)*9,0)</f>
        <v>3</v>
      </c>
      <c r="H2028" s="1" t="n">
        <f aca="false">ROUND(_xlfn.PERCENTRANK.INC($E$7:$E$4378,E2028)*9,0)</f>
        <v>4</v>
      </c>
      <c r="I2028" s="1" t="str">
        <f aca="false">CONCATENATE(F2028,G2028,H2028)</f>
        <v>434</v>
      </c>
      <c r="J2028" s="1" t="str">
        <f aca="false">_xlfn.IFS(AND(F2028&gt;=8,G2028&gt;=8,H2028&gt;=8),"CHAMPION",AND(F2028&gt;=6,G2028&gt;=7,H2028&gt;=6),"LOYAL CUSTOMER",AND(F2028&gt;=6,G2028&gt;=5,H2028&gt;=5),"POTENTIAL LOYALIST",AND(F2028&gt;=8,G2028&lt;=2,H2028&gt;=5),"NEW CUSTOMERS",AND(F2028&gt;=6,G2028&lt;=2,H2028&gt;=3),"PROMISING",AND(F2028&gt;=3,G2028&gt;=3,H2028&gt;=3),"NEED ATTENTION",AND(F2028&lt;=4,G2028&gt;=6,H2028&gt;=6),"AT RISK",AND(F2028&lt;=2,G2028&gt;=8,H2028&gt;=8),"CAN'T LOSE THEM",AND(F2028&lt;=2,G2028&lt;=2,H2028&lt;=2),"HIBERNATING",TRUE(),"Other")</f>
        <v>NEED ATTENTION</v>
      </c>
      <c r="K2028" s="1" t="n">
        <f aca="false">RANK(E2028,$E$7:$E$4378)+COUNTIF($E$7:E2028,E2028)-1</f>
        <v>2600</v>
      </c>
    </row>
    <row r="2029" customFormat="false" ht="14.25" hidden="false" customHeight="true" outlineLevel="0" collapsed="false">
      <c r="A2029" s="51" t="n">
        <v>15092</v>
      </c>
      <c r="B2029" s="53" t="n">
        <v>40671.5902777778</v>
      </c>
      <c r="C2029" s="57" t="n">
        <f aca="false">INT($C$2)-INT(Table3[[#This Row],[Last Purchase Date]])</f>
        <v>216</v>
      </c>
      <c r="D2029" s="1" t="n">
        <v>2</v>
      </c>
      <c r="E2029" s="1" t="n">
        <v>457.81</v>
      </c>
      <c r="F2029" s="1" t="n">
        <f aca="false">ROUND((1-_xlfn.PERCENTRANK.INC($C$7:$C$4378,C2029))*9,0)</f>
        <v>1</v>
      </c>
      <c r="G2029" s="1" t="n">
        <f aca="false">ROUND(_xlfn.PERCENTRANK.INC($D$7:$D$4378,D2029)*9,0)</f>
        <v>3</v>
      </c>
      <c r="H2029" s="1" t="n">
        <f aca="false">ROUND(_xlfn.PERCENTRANK.INC($E$7:$E$4378,E2029)*9,0)</f>
        <v>4</v>
      </c>
      <c r="I2029" s="1" t="str">
        <f aca="false">CONCATENATE(F2029,G2029,H2029)</f>
        <v>134</v>
      </c>
      <c r="J2029" s="1" t="str">
        <f aca="false">_xlfn.IFS(AND(F2029&gt;=8,G2029&gt;=8,H2029&gt;=8),"CHAMPION",AND(F2029&gt;=6,G2029&gt;=7,H2029&gt;=6),"LOYAL CUSTOMER",AND(F2029&gt;=6,G2029&gt;=5,H2029&gt;=5),"POTENTIAL LOYALIST",AND(F2029&gt;=8,G2029&lt;=2,H2029&gt;=5),"NEW CUSTOMERS",AND(F2029&gt;=6,G2029&lt;=2,H2029&gt;=3),"PROMISING",AND(F2029&gt;=3,G2029&gt;=3,H2029&gt;=3),"NEED ATTENTION",AND(F2029&lt;=4,G2029&gt;=6,H2029&gt;=6),"AT RISK",AND(F2029&lt;=2,G2029&gt;=8,H2029&gt;=8),"CAN'T LOSE THEM",AND(F2029&lt;=2,G2029&lt;=2,H2029&lt;=2),"HIBERNATING",TRUE(),"Other")</f>
        <v>Other</v>
      </c>
      <c r="K2029" s="1" t="n">
        <f aca="false">RANK(E2029,$E$7:$E$4378)+COUNTIF($E$7:E2029,E2029)-1</f>
        <v>2647</v>
      </c>
    </row>
    <row r="2030" customFormat="false" ht="14.25" hidden="false" customHeight="true" outlineLevel="0" collapsed="false">
      <c r="A2030" s="51" t="n">
        <v>15093</v>
      </c>
      <c r="B2030" s="53" t="n">
        <v>40868.5479166667</v>
      </c>
      <c r="C2030" s="57" t="n">
        <f aca="false">INT($C$2)-INT(Table3[[#This Row],[Last Purchase Date]])</f>
        <v>19</v>
      </c>
      <c r="D2030" s="1" t="n">
        <v>9</v>
      </c>
      <c r="E2030" s="1" t="n">
        <v>4410.14</v>
      </c>
      <c r="F2030" s="1" t="n">
        <f aca="false">ROUND((1-_xlfn.PERCENTRANK.INC($C$7:$C$4378,C2030))*9,0)</f>
        <v>7</v>
      </c>
      <c r="G2030" s="1" t="n">
        <f aca="false">ROUND(_xlfn.PERCENTRANK.INC($D$7:$D$4378,D2030)*9,0)</f>
        <v>8</v>
      </c>
      <c r="H2030" s="1" t="n">
        <f aca="false">ROUND(_xlfn.PERCENTRANK.INC($E$7:$E$4378,E2030)*9,0)</f>
        <v>8</v>
      </c>
      <c r="I2030" s="1" t="str">
        <f aca="false">CONCATENATE(F2030,G2030,H2030)</f>
        <v>788</v>
      </c>
      <c r="J2030" s="1" t="str">
        <f aca="false">_xlfn.IFS(AND(F2030&gt;=8,G2030&gt;=8,H2030&gt;=8),"CHAMPION",AND(F2030&gt;=6,G2030&gt;=7,H2030&gt;=6),"LOYAL CUSTOMER",AND(F2030&gt;=6,G2030&gt;=5,H2030&gt;=5),"POTENTIAL LOYALIST",AND(F2030&gt;=8,G2030&lt;=2,H2030&gt;=5),"NEW CUSTOMERS",AND(F2030&gt;=6,G2030&lt;=2,H2030&gt;=3),"PROMISING",AND(F2030&gt;=3,G2030&gt;=3,H2030&gt;=3),"NEED ATTENTION",AND(F2030&lt;=4,G2030&gt;=6,H2030&gt;=6),"AT RISK",AND(F2030&lt;=2,G2030&gt;=8,H2030&gt;=8),"CAN'T LOSE THEM",AND(F2030&lt;=2,G2030&lt;=2,H2030&lt;=2),"HIBERNATING",TRUE(),"Other")</f>
        <v>LOYAL CUSTOMER</v>
      </c>
      <c r="K2030" s="1" t="n">
        <f aca="false">RANK(E2030,$E$7:$E$4378)+COUNTIF($E$7:E2030,E2030)-1</f>
        <v>308</v>
      </c>
    </row>
    <row r="2031" customFormat="false" ht="14.25" hidden="false" customHeight="true" outlineLevel="0" collapsed="false">
      <c r="A2031" s="51" t="n">
        <v>15095</v>
      </c>
      <c r="B2031" s="53" t="n">
        <v>40783.5006944445</v>
      </c>
      <c r="C2031" s="57" t="n">
        <f aca="false">INT($C$2)-INT(Table3[[#This Row],[Last Purchase Date]])</f>
        <v>104</v>
      </c>
      <c r="D2031" s="1" t="n">
        <v>5</v>
      </c>
      <c r="E2031" s="1" t="n">
        <v>1364.7</v>
      </c>
      <c r="F2031" s="1" t="n">
        <f aca="false">ROUND((1-_xlfn.PERCENTRANK.INC($C$7:$C$4378,C2031))*9,0)</f>
        <v>3</v>
      </c>
      <c r="G2031" s="1" t="n">
        <f aca="false">ROUND(_xlfn.PERCENTRANK.INC($D$7:$D$4378,D2031)*9,0)</f>
        <v>6</v>
      </c>
      <c r="H2031" s="1" t="n">
        <f aca="false">ROUND(_xlfn.PERCENTRANK.INC($E$7:$E$4378,E2031)*9,0)</f>
        <v>6</v>
      </c>
      <c r="I2031" s="1" t="str">
        <f aca="false">CONCATENATE(F2031,G2031,H2031)</f>
        <v>366</v>
      </c>
      <c r="J2031" s="1" t="str">
        <f aca="false">_xlfn.IFS(AND(F2031&gt;=8,G2031&gt;=8,H2031&gt;=8),"CHAMPION",AND(F2031&gt;=6,G2031&gt;=7,H2031&gt;=6),"LOYAL CUSTOMER",AND(F2031&gt;=6,G2031&gt;=5,H2031&gt;=5),"POTENTIAL LOYALIST",AND(F2031&gt;=8,G2031&lt;=2,H2031&gt;=5),"NEW CUSTOMERS",AND(F2031&gt;=6,G2031&lt;=2,H2031&gt;=3),"PROMISING",AND(F2031&gt;=3,G2031&gt;=3,H2031&gt;=3),"NEED ATTENTION",AND(F2031&lt;=4,G2031&gt;=6,H2031&gt;=6),"AT RISK",AND(F2031&lt;=2,G2031&gt;=8,H2031&gt;=8),"CAN'T LOSE THEM",AND(F2031&lt;=2,G2031&lt;=2,H2031&lt;=2),"HIBERNATING",TRUE(),"Other")</f>
        <v>NEED ATTENTION</v>
      </c>
      <c r="K2031" s="1" t="n">
        <f aca="false">RANK(E2031,$E$7:$E$4378)+COUNTIF($E$7:E2031,E2031)-1</f>
        <v>1264</v>
      </c>
    </row>
    <row r="2032" customFormat="false" ht="14.25" hidden="false" customHeight="true" outlineLevel="0" collapsed="false">
      <c r="A2032" s="51" t="n">
        <v>15096</v>
      </c>
      <c r="B2032" s="53" t="n">
        <v>40844.4354166667</v>
      </c>
      <c r="C2032" s="57" t="n">
        <f aca="false">INT($C$2)-INT(Table3[[#This Row],[Last Purchase Date]])</f>
        <v>43</v>
      </c>
      <c r="D2032" s="1" t="n">
        <v>1</v>
      </c>
      <c r="E2032" s="1" t="n">
        <v>219.39</v>
      </c>
      <c r="F2032" s="1" t="n">
        <f aca="false">ROUND((1-_xlfn.PERCENTRANK.INC($C$7:$C$4378,C2032))*9,0)</f>
        <v>5</v>
      </c>
      <c r="G2032" s="1" t="n">
        <f aca="false">ROUND(_xlfn.PERCENTRANK.INC($D$7:$D$4378,D2032)*9,0)</f>
        <v>0</v>
      </c>
      <c r="H2032" s="1" t="n">
        <f aca="false">ROUND(_xlfn.PERCENTRANK.INC($E$7:$E$4378,E2032)*9,0)</f>
        <v>2</v>
      </c>
      <c r="I2032" s="1" t="str">
        <f aca="false">CONCATENATE(F2032,G2032,H2032)</f>
        <v>502</v>
      </c>
      <c r="J2032" s="1" t="str">
        <f aca="false">_xlfn.IFS(AND(F2032&gt;=8,G2032&gt;=8,H2032&gt;=8),"CHAMPION",AND(F2032&gt;=6,G2032&gt;=7,H2032&gt;=6),"LOYAL CUSTOMER",AND(F2032&gt;=6,G2032&gt;=5,H2032&gt;=5),"POTENTIAL LOYALIST",AND(F2032&gt;=8,G2032&lt;=2,H2032&gt;=5),"NEW CUSTOMERS",AND(F2032&gt;=6,G2032&lt;=2,H2032&gt;=3),"PROMISING",AND(F2032&gt;=3,G2032&gt;=3,H2032&gt;=3),"NEED ATTENTION",AND(F2032&lt;=4,G2032&gt;=6,H2032&gt;=6),"AT RISK",AND(F2032&lt;=2,G2032&gt;=8,H2032&gt;=8),"CAN'T LOSE THEM",AND(F2032&lt;=2,G2032&lt;=2,H2032&lt;=2),"HIBERNATING",TRUE(),"Other")</f>
        <v>Other</v>
      </c>
      <c r="K2032" s="1" t="n">
        <f aca="false">RANK(E2032,$E$7:$E$4378)+COUNTIF($E$7:E2032,E2032)-1</f>
        <v>3562</v>
      </c>
    </row>
    <row r="2033" customFormat="false" ht="14.25" hidden="false" customHeight="true" outlineLevel="0" collapsed="false">
      <c r="A2033" s="51" t="n">
        <v>15097</v>
      </c>
      <c r="B2033" s="53" t="n">
        <v>40882.5854166667</v>
      </c>
      <c r="C2033" s="57" t="n">
        <f aca="false">INT($C$2)-INT(Table3[[#This Row],[Last Purchase Date]])</f>
        <v>5</v>
      </c>
      <c r="D2033" s="1" t="n">
        <v>1</v>
      </c>
      <c r="E2033" s="1" t="n">
        <v>248.08</v>
      </c>
      <c r="F2033" s="1" t="n">
        <f aca="false">ROUND((1-_xlfn.PERCENTRANK.INC($C$7:$C$4378,C2033))*9,0)</f>
        <v>8</v>
      </c>
      <c r="G2033" s="1" t="n">
        <f aca="false">ROUND(_xlfn.PERCENTRANK.INC($D$7:$D$4378,D2033)*9,0)</f>
        <v>0</v>
      </c>
      <c r="H2033" s="1" t="n">
        <f aca="false">ROUND(_xlfn.PERCENTRANK.INC($E$7:$E$4378,E2033)*9,0)</f>
        <v>2</v>
      </c>
      <c r="I2033" s="1" t="str">
        <f aca="false">CONCATENATE(F2033,G2033,H2033)</f>
        <v>802</v>
      </c>
      <c r="J2033" s="1" t="str">
        <f aca="false">_xlfn.IFS(AND(F2033&gt;=8,G2033&gt;=8,H2033&gt;=8),"CHAMPION",AND(F2033&gt;=6,G2033&gt;=7,H2033&gt;=6),"LOYAL CUSTOMER",AND(F2033&gt;=6,G2033&gt;=5,H2033&gt;=5),"POTENTIAL LOYALIST",AND(F2033&gt;=8,G2033&lt;=2,H2033&gt;=5),"NEW CUSTOMERS",AND(F2033&gt;=6,G2033&lt;=2,H2033&gt;=3),"PROMISING",AND(F2033&gt;=3,G2033&gt;=3,H2033&gt;=3),"NEED ATTENTION",AND(F2033&lt;=4,G2033&gt;=6,H2033&gt;=6),"AT RISK",AND(F2033&lt;=2,G2033&gt;=8,H2033&gt;=8),"CAN'T LOSE THEM",AND(F2033&lt;=2,G2033&lt;=2,H2033&lt;=2),"HIBERNATING",TRUE(),"Other")</f>
        <v>Other</v>
      </c>
      <c r="K2033" s="1" t="n">
        <f aca="false">RANK(E2033,$E$7:$E$4378)+COUNTIF($E$7:E2033,E2033)-1</f>
        <v>3447</v>
      </c>
    </row>
    <row r="2034" customFormat="false" ht="14.25" hidden="false" customHeight="true" outlineLevel="0" collapsed="false">
      <c r="A2034" s="51" t="n">
        <v>15098</v>
      </c>
      <c r="B2034" s="53" t="n">
        <v>40704.6520833333</v>
      </c>
      <c r="C2034" s="57" t="n">
        <f aca="false">INT($C$2)-INT(Table3[[#This Row],[Last Purchase Date]])</f>
        <v>183</v>
      </c>
      <c r="D2034" s="1" t="n">
        <v>5</v>
      </c>
      <c r="E2034" s="1" t="n">
        <v>649.5</v>
      </c>
      <c r="F2034" s="1" t="n">
        <f aca="false">ROUND((1-_xlfn.PERCENTRANK.INC($C$7:$C$4378,C2034))*9,0)</f>
        <v>2</v>
      </c>
      <c r="G2034" s="1" t="n">
        <f aca="false">ROUND(_xlfn.PERCENTRANK.INC($D$7:$D$4378,D2034)*9,0)</f>
        <v>6</v>
      </c>
      <c r="H2034" s="1" t="n">
        <f aca="false">ROUND(_xlfn.PERCENTRANK.INC($E$7:$E$4378,E2034)*9,0)</f>
        <v>5</v>
      </c>
      <c r="I2034" s="1" t="str">
        <f aca="false">CONCATENATE(F2034,G2034,H2034)</f>
        <v>265</v>
      </c>
      <c r="J2034" s="1" t="str">
        <f aca="false">_xlfn.IFS(AND(F2034&gt;=8,G2034&gt;=8,H2034&gt;=8),"CHAMPION",AND(F2034&gt;=6,G2034&gt;=7,H2034&gt;=6),"LOYAL CUSTOMER",AND(F2034&gt;=6,G2034&gt;=5,H2034&gt;=5),"POTENTIAL LOYALIST",AND(F2034&gt;=8,G2034&lt;=2,H2034&gt;=5),"NEW CUSTOMERS",AND(F2034&gt;=6,G2034&lt;=2,H2034&gt;=3),"PROMISING",AND(F2034&gt;=3,G2034&gt;=3,H2034&gt;=3),"NEED ATTENTION",AND(F2034&lt;=4,G2034&gt;=6,H2034&gt;=6),"AT RISK",AND(F2034&lt;=2,G2034&gt;=8,H2034&gt;=8),"CAN'T LOSE THEM",AND(F2034&lt;=2,G2034&lt;=2,H2034&lt;=2),"HIBERNATING",TRUE(),"Other")</f>
        <v>Other</v>
      </c>
      <c r="K2034" s="1" t="n">
        <f aca="false">RANK(E2034,$E$7:$E$4378)+COUNTIF($E$7:E2034,E2034)-1</f>
        <v>2183</v>
      </c>
    </row>
    <row r="2035" customFormat="false" ht="14.25" hidden="false" customHeight="true" outlineLevel="0" collapsed="false">
      <c r="A2035" s="51" t="n">
        <v>15099</v>
      </c>
      <c r="B2035" s="53" t="n">
        <v>40802.5506944444</v>
      </c>
      <c r="C2035" s="57" t="n">
        <f aca="false">INT($C$2)-INT(Table3[[#This Row],[Last Purchase Date]])</f>
        <v>85</v>
      </c>
      <c r="D2035" s="1" t="n">
        <v>1</v>
      </c>
      <c r="E2035" s="1" t="n">
        <v>410.48</v>
      </c>
      <c r="F2035" s="1" t="n">
        <f aca="false">ROUND((1-_xlfn.PERCENTRANK.INC($C$7:$C$4378,C2035))*9,0)</f>
        <v>3</v>
      </c>
      <c r="G2035" s="1" t="n">
        <f aca="false">ROUND(_xlfn.PERCENTRANK.INC($D$7:$D$4378,D2035)*9,0)</f>
        <v>0</v>
      </c>
      <c r="H2035" s="1" t="n">
        <f aca="false">ROUND(_xlfn.PERCENTRANK.INC($E$7:$E$4378,E2035)*9,0)</f>
        <v>3</v>
      </c>
      <c r="I2035" s="1" t="str">
        <f aca="false">CONCATENATE(F2035,G2035,H2035)</f>
        <v>303</v>
      </c>
      <c r="J2035" s="1" t="str">
        <f aca="false">_xlfn.IFS(AND(F2035&gt;=8,G2035&gt;=8,H2035&gt;=8),"CHAMPION",AND(F2035&gt;=6,G2035&gt;=7,H2035&gt;=6),"LOYAL CUSTOMER",AND(F2035&gt;=6,G2035&gt;=5,H2035&gt;=5),"POTENTIAL LOYALIST",AND(F2035&gt;=8,G2035&lt;=2,H2035&gt;=5),"NEW CUSTOMERS",AND(F2035&gt;=6,G2035&lt;=2,H2035&gt;=3),"PROMISING",AND(F2035&gt;=3,G2035&gt;=3,H2035&gt;=3),"NEED ATTENTION",AND(F2035&lt;=4,G2035&gt;=6,H2035&gt;=6),"AT RISK",AND(F2035&lt;=2,G2035&gt;=8,H2035&gt;=8),"CAN'T LOSE THEM",AND(F2035&lt;=2,G2035&lt;=2,H2035&lt;=2),"HIBERNATING",TRUE(),"Other")</f>
        <v>Other</v>
      </c>
      <c r="K2035" s="1" t="n">
        <f aca="false">RANK(E2035,$E$7:$E$4378)+COUNTIF($E$7:E2035,E2035)-1</f>
        <v>2788</v>
      </c>
    </row>
    <row r="2036" customFormat="false" ht="14.25" hidden="false" customHeight="true" outlineLevel="0" collapsed="false">
      <c r="A2036" s="51" t="n">
        <v>15100</v>
      </c>
      <c r="B2036" s="53" t="n">
        <v>40556.7145833333</v>
      </c>
      <c r="C2036" s="57" t="n">
        <f aca="false">INT($C$2)-INT(Table3[[#This Row],[Last Purchase Date]])</f>
        <v>331</v>
      </c>
      <c r="D2036" s="1" t="n">
        <v>6</v>
      </c>
      <c r="E2036" s="1" t="n">
        <v>635.1</v>
      </c>
      <c r="F2036" s="1" t="n">
        <f aca="false">ROUND((1-_xlfn.PERCENTRANK.INC($C$7:$C$4378,C2036))*9,0)</f>
        <v>0</v>
      </c>
      <c r="G2036" s="1" t="n">
        <f aca="false">ROUND(_xlfn.PERCENTRANK.INC($D$7:$D$4378,D2036)*9,0)</f>
        <v>7</v>
      </c>
      <c r="H2036" s="1" t="n">
        <f aca="false">ROUND(_xlfn.PERCENTRANK.INC($E$7:$E$4378,E2036)*9,0)</f>
        <v>4</v>
      </c>
      <c r="I2036" s="1" t="str">
        <f aca="false">CONCATENATE(F2036,G2036,H2036)</f>
        <v>074</v>
      </c>
      <c r="J2036" s="1" t="str">
        <f aca="false">_xlfn.IFS(AND(F2036&gt;=8,G2036&gt;=8,H2036&gt;=8),"CHAMPION",AND(F2036&gt;=6,G2036&gt;=7,H2036&gt;=6),"LOYAL CUSTOMER",AND(F2036&gt;=6,G2036&gt;=5,H2036&gt;=5),"POTENTIAL LOYALIST",AND(F2036&gt;=8,G2036&lt;=2,H2036&gt;=5),"NEW CUSTOMERS",AND(F2036&gt;=6,G2036&lt;=2,H2036&gt;=3),"PROMISING",AND(F2036&gt;=3,G2036&gt;=3,H2036&gt;=3),"NEED ATTENTION",AND(F2036&lt;=4,G2036&gt;=6,H2036&gt;=6),"AT RISK",AND(F2036&lt;=2,G2036&gt;=8,H2036&gt;=8),"CAN'T LOSE THEM",AND(F2036&lt;=2,G2036&lt;=2,H2036&lt;=2),"HIBERNATING",TRUE(),"Other")</f>
        <v>Other</v>
      </c>
      <c r="K2036" s="1" t="n">
        <f aca="false">RANK(E2036,$E$7:$E$4378)+COUNTIF($E$7:E2036,E2036)-1</f>
        <v>2221</v>
      </c>
    </row>
    <row r="2037" customFormat="false" ht="14.25" hidden="false" customHeight="true" outlineLevel="0" collapsed="false">
      <c r="A2037" s="51" t="n">
        <v>15101</v>
      </c>
      <c r="B2037" s="53" t="n">
        <v>40878.4291666667</v>
      </c>
      <c r="C2037" s="57" t="n">
        <f aca="false">INT($C$2)-INT(Table3[[#This Row],[Last Purchase Date]])</f>
        <v>9</v>
      </c>
      <c r="D2037" s="1" t="n">
        <v>3</v>
      </c>
      <c r="E2037" s="1" t="n">
        <v>310.03</v>
      </c>
      <c r="F2037" s="1" t="n">
        <f aca="false">ROUND((1-_xlfn.PERCENTRANK.INC($C$7:$C$4378,C2037))*9,0)</f>
        <v>8</v>
      </c>
      <c r="G2037" s="1" t="n">
        <f aca="false">ROUND(_xlfn.PERCENTRANK.INC($D$7:$D$4378,D2037)*9,0)</f>
        <v>4</v>
      </c>
      <c r="H2037" s="1" t="n">
        <f aca="false">ROUND(_xlfn.PERCENTRANK.INC($E$7:$E$4378,E2037)*9,0)</f>
        <v>2</v>
      </c>
      <c r="I2037" s="1" t="str">
        <f aca="false">CONCATENATE(F2037,G2037,H2037)</f>
        <v>842</v>
      </c>
      <c r="J2037" s="1" t="str">
        <f aca="false">_xlfn.IFS(AND(F2037&gt;=8,G2037&gt;=8,H2037&gt;=8),"CHAMPION",AND(F2037&gt;=6,G2037&gt;=7,H2037&gt;=6),"LOYAL CUSTOMER",AND(F2037&gt;=6,G2037&gt;=5,H2037&gt;=5),"POTENTIAL LOYALIST",AND(F2037&gt;=8,G2037&lt;=2,H2037&gt;=5),"NEW CUSTOMERS",AND(F2037&gt;=6,G2037&lt;=2,H2037&gt;=3),"PROMISING",AND(F2037&gt;=3,G2037&gt;=3,H2037&gt;=3),"NEED ATTENTION",AND(F2037&lt;=4,G2037&gt;=6,H2037&gt;=6),"AT RISK",AND(F2037&lt;=2,G2037&gt;=8,H2037&gt;=8),"CAN'T LOSE THEM",AND(F2037&lt;=2,G2037&lt;=2,H2037&lt;=2),"HIBERNATING",TRUE(),"Other")</f>
        <v>Other</v>
      </c>
      <c r="K2037" s="1" t="n">
        <f aca="false">RANK(E2037,$E$7:$E$4378)+COUNTIF($E$7:E2037,E2037)-1</f>
        <v>3194</v>
      </c>
    </row>
    <row r="2038" customFormat="false" ht="14.25" hidden="false" customHeight="true" outlineLevel="0" collapsed="false">
      <c r="A2038" s="51" t="n">
        <v>15103</v>
      </c>
      <c r="B2038" s="53" t="n">
        <v>40855.6201388889</v>
      </c>
      <c r="C2038" s="57" t="n">
        <f aca="false">INT($C$2)-INT(Table3[[#This Row],[Last Purchase Date]])</f>
        <v>32</v>
      </c>
      <c r="D2038" s="1" t="n">
        <v>2</v>
      </c>
      <c r="E2038" s="1" t="n">
        <v>703.36</v>
      </c>
      <c r="F2038" s="1" t="n">
        <f aca="false">ROUND((1-_xlfn.PERCENTRANK.INC($C$7:$C$4378,C2038))*9,0)</f>
        <v>5</v>
      </c>
      <c r="G2038" s="1" t="n">
        <f aca="false">ROUND(_xlfn.PERCENTRANK.INC($D$7:$D$4378,D2038)*9,0)</f>
        <v>3</v>
      </c>
      <c r="H2038" s="1" t="n">
        <f aca="false">ROUND(_xlfn.PERCENTRANK.INC($E$7:$E$4378,E2038)*9,0)</f>
        <v>5</v>
      </c>
      <c r="I2038" s="1" t="str">
        <f aca="false">CONCATENATE(F2038,G2038,H2038)</f>
        <v>535</v>
      </c>
      <c r="J2038" s="1" t="str">
        <f aca="false">_xlfn.IFS(AND(F2038&gt;=8,G2038&gt;=8,H2038&gt;=8),"CHAMPION",AND(F2038&gt;=6,G2038&gt;=7,H2038&gt;=6),"LOYAL CUSTOMER",AND(F2038&gt;=6,G2038&gt;=5,H2038&gt;=5),"POTENTIAL LOYALIST",AND(F2038&gt;=8,G2038&lt;=2,H2038&gt;=5),"NEW CUSTOMERS",AND(F2038&gt;=6,G2038&lt;=2,H2038&gt;=3),"PROMISING",AND(F2038&gt;=3,G2038&gt;=3,H2038&gt;=3),"NEED ATTENTION",AND(F2038&lt;=4,G2038&gt;=6,H2038&gt;=6),"AT RISK",AND(F2038&lt;=2,G2038&gt;=8,H2038&gt;=8),"CAN'T LOSE THEM",AND(F2038&lt;=2,G2038&lt;=2,H2038&lt;=2),"HIBERNATING",TRUE(),"Other")</f>
        <v>NEED ATTENTION</v>
      </c>
      <c r="K2038" s="1" t="n">
        <f aca="false">RANK(E2038,$E$7:$E$4378)+COUNTIF($E$7:E2038,E2038)-1</f>
        <v>2061</v>
      </c>
    </row>
    <row r="2039" customFormat="false" ht="14.25" hidden="false" customHeight="true" outlineLevel="0" collapsed="false">
      <c r="A2039" s="51" t="n">
        <v>15104</v>
      </c>
      <c r="B2039" s="53" t="n">
        <v>40720.4826388889</v>
      </c>
      <c r="C2039" s="57" t="n">
        <f aca="false">INT($C$2)-INT(Table3[[#This Row],[Last Purchase Date]])</f>
        <v>167</v>
      </c>
      <c r="D2039" s="1" t="n">
        <v>3</v>
      </c>
      <c r="E2039" s="1" t="n">
        <v>1002.54</v>
      </c>
      <c r="F2039" s="1" t="n">
        <f aca="false">ROUND((1-_xlfn.PERCENTRANK.INC($C$7:$C$4378,C2039))*9,0)</f>
        <v>2</v>
      </c>
      <c r="G2039" s="1" t="n">
        <f aca="false">ROUND(_xlfn.PERCENTRANK.INC($D$7:$D$4378,D2039)*9,0)</f>
        <v>4</v>
      </c>
      <c r="H2039" s="1" t="n">
        <f aca="false">ROUND(_xlfn.PERCENTRANK.INC($E$7:$E$4378,E2039)*9,0)</f>
        <v>6</v>
      </c>
      <c r="I2039" s="1" t="str">
        <f aca="false">CONCATENATE(F2039,G2039,H2039)</f>
        <v>246</v>
      </c>
      <c r="J2039" s="1" t="str">
        <f aca="false">_xlfn.IFS(AND(F2039&gt;=8,G2039&gt;=8,H2039&gt;=8),"CHAMPION",AND(F2039&gt;=6,G2039&gt;=7,H2039&gt;=6),"LOYAL CUSTOMER",AND(F2039&gt;=6,G2039&gt;=5,H2039&gt;=5),"POTENTIAL LOYALIST",AND(F2039&gt;=8,G2039&lt;=2,H2039&gt;=5),"NEW CUSTOMERS",AND(F2039&gt;=6,G2039&lt;=2,H2039&gt;=3),"PROMISING",AND(F2039&gt;=3,G2039&gt;=3,H2039&gt;=3),"NEED ATTENTION",AND(F2039&lt;=4,G2039&gt;=6,H2039&gt;=6),"AT RISK",AND(F2039&lt;=2,G2039&gt;=8,H2039&gt;=8),"CAN'T LOSE THEM",AND(F2039&lt;=2,G2039&lt;=2,H2039&lt;=2),"HIBERNATING",TRUE(),"Other")</f>
        <v>Other</v>
      </c>
      <c r="K2039" s="1" t="n">
        <f aca="false">RANK(E2039,$E$7:$E$4378)+COUNTIF($E$7:E2039,E2039)-1</f>
        <v>1627</v>
      </c>
    </row>
    <row r="2040" customFormat="false" ht="14.25" hidden="false" customHeight="true" outlineLevel="0" collapsed="false">
      <c r="A2040" s="51" t="n">
        <v>15105</v>
      </c>
      <c r="B2040" s="53" t="n">
        <v>40868.7041666667</v>
      </c>
      <c r="C2040" s="57" t="n">
        <f aca="false">INT($C$2)-INT(Table3[[#This Row],[Last Purchase Date]])</f>
        <v>19</v>
      </c>
      <c r="D2040" s="1" t="n">
        <v>7</v>
      </c>
      <c r="E2040" s="1" t="n">
        <v>2298.93</v>
      </c>
      <c r="F2040" s="1" t="n">
        <f aca="false">ROUND((1-_xlfn.PERCENTRANK.INC($C$7:$C$4378,C2040))*9,0)</f>
        <v>7</v>
      </c>
      <c r="G2040" s="1" t="n">
        <f aca="false">ROUND(_xlfn.PERCENTRANK.INC($D$7:$D$4378,D2040)*9,0)</f>
        <v>7</v>
      </c>
      <c r="H2040" s="1" t="n">
        <f aca="false">ROUND(_xlfn.PERCENTRANK.INC($E$7:$E$4378,E2040)*9,0)</f>
        <v>7</v>
      </c>
      <c r="I2040" s="1" t="str">
        <f aca="false">CONCATENATE(F2040,G2040,H2040)</f>
        <v>777</v>
      </c>
      <c r="J2040" s="1" t="str">
        <f aca="false">_xlfn.IFS(AND(F2040&gt;=8,G2040&gt;=8,H2040&gt;=8),"CHAMPION",AND(F2040&gt;=6,G2040&gt;=7,H2040&gt;=6),"LOYAL CUSTOMER",AND(F2040&gt;=6,G2040&gt;=5,H2040&gt;=5),"POTENTIAL LOYALIST",AND(F2040&gt;=8,G2040&lt;=2,H2040&gt;=5),"NEW CUSTOMERS",AND(F2040&gt;=6,G2040&lt;=2,H2040&gt;=3),"PROMISING",AND(F2040&gt;=3,G2040&gt;=3,H2040&gt;=3),"NEED ATTENTION",AND(F2040&lt;=4,G2040&gt;=6,H2040&gt;=6),"AT RISK",AND(F2040&lt;=2,G2040&gt;=8,H2040&gt;=8),"CAN'T LOSE THEM",AND(F2040&lt;=2,G2040&lt;=2,H2040&lt;=2),"HIBERNATING",TRUE(),"Other")</f>
        <v>LOYAL CUSTOMER</v>
      </c>
      <c r="K2040" s="1" t="n">
        <f aca="false">RANK(E2040,$E$7:$E$4378)+COUNTIF($E$7:E2040,E2040)-1</f>
        <v>742</v>
      </c>
    </row>
    <row r="2041" customFormat="false" ht="14.25" hidden="false" customHeight="true" outlineLevel="0" collapsed="false">
      <c r="A2041" s="51" t="n">
        <v>15106</v>
      </c>
      <c r="B2041" s="53" t="n">
        <v>40869.3861111111</v>
      </c>
      <c r="C2041" s="57" t="n">
        <f aca="false">INT($C$2)-INT(Table3[[#This Row],[Last Purchase Date]])</f>
        <v>18</v>
      </c>
      <c r="D2041" s="1" t="n">
        <v>7</v>
      </c>
      <c r="E2041" s="1" t="n">
        <v>1407.73</v>
      </c>
      <c r="F2041" s="1" t="n">
        <f aca="false">ROUND((1-_xlfn.PERCENTRANK.INC($C$7:$C$4378,C2041))*9,0)</f>
        <v>7</v>
      </c>
      <c r="G2041" s="1" t="n">
        <f aca="false">ROUND(_xlfn.PERCENTRANK.INC($D$7:$D$4378,D2041)*9,0)</f>
        <v>7</v>
      </c>
      <c r="H2041" s="1" t="n">
        <f aca="false">ROUND(_xlfn.PERCENTRANK.INC($E$7:$E$4378,E2041)*9,0)</f>
        <v>6</v>
      </c>
      <c r="I2041" s="1" t="str">
        <f aca="false">CONCATENATE(F2041,G2041,H2041)</f>
        <v>776</v>
      </c>
      <c r="J2041" s="1" t="str">
        <f aca="false">_xlfn.IFS(AND(F2041&gt;=8,G2041&gt;=8,H2041&gt;=8),"CHAMPION",AND(F2041&gt;=6,G2041&gt;=7,H2041&gt;=6),"LOYAL CUSTOMER",AND(F2041&gt;=6,G2041&gt;=5,H2041&gt;=5),"POTENTIAL LOYALIST",AND(F2041&gt;=8,G2041&lt;=2,H2041&gt;=5),"NEW CUSTOMERS",AND(F2041&gt;=6,G2041&lt;=2,H2041&gt;=3),"PROMISING",AND(F2041&gt;=3,G2041&gt;=3,H2041&gt;=3),"NEED ATTENTION",AND(F2041&lt;=4,G2041&gt;=6,H2041&gt;=6),"AT RISK",AND(F2041&lt;=2,G2041&gt;=8,H2041&gt;=8),"CAN'T LOSE THEM",AND(F2041&lt;=2,G2041&lt;=2,H2041&lt;=2),"HIBERNATING",TRUE(),"Other")</f>
        <v>LOYAL CUSTOMER</v>
      </c>
      <c r="K2041" s="1" t="n">
        <f aca="false">RANK(E2041,$E$7:$E$4378)+COUNTIF($E$7:E2041,E2041)-1</f>
        <v>1231</v>
      </c>
    </row>
    <row r="2042" customFormat="false" ht="14.25" hidden="false" customHeight="true" outlineLevel="0" collapsed="false">
      <c r="A2042" s="51" t="n">
        <v>15107</v>
      </c>
      <c r="B2042" s="53" t="n">
        <v>40575.6152777778</v>
      </c>
      <c r="C2042" s="57" t="n">
        <f aca="false">INT($C$2)-INT(Table3[[#This Row],[Last Purchase Date]])</f>
        <v>312</v>
      </c>
      <c r="D2042" s="1" t="n">
        <v>8</v>
      </c>
      <c r="E2042" s="1" t="n">
        <v>247.66</v>
      </c>
      <c r="F2042" s="1" t="n">
        <f aca="false">ROUND((1-_xlfn.PERCENTRANK.INC($C$7:$C$4378,C2042))*9,0)</f>
        <v>0</v>
      </c>
      <c r="G2042" s="1" t="n">
        <f aca="false">ROUND(_xlfn.PERCENTRANK.INC($D$7:$D$4378,D2042)*9,0)</f>
        <v>7</v>
      </c>
      <c r="H2042" s="1" t="n">
        <f aca="false">ROUND(_xlfn.PERCENTRANK.INC($E$7:$E$4378,E2042)*9,0)</f>
        <v>2</v>
      </c>
      <c r="I2042" s="1" t="str">
        <f aca="false">CONCATENATE(F2042,G2042,H2042)</f>
        <v>072</v>
      </c>
      <c r="J2042" s="1" t="str">
        <f aca="false">_xlfn.IFS(AND(F2042&gt;=8,G2042&gt;=8,H2042&gt;=8),"CHAMPION",AND(F2042&gt;=6,G2042&gt;=7,H2042&gt;=6),"LOYAL CUSTOMER",AND(F2042&gt;=6,G2042&gt;=5,H2042&gt;=5),"POTENTIAL LOYALIST",AND(F2042&gt;=8,G2042&lt;=2,H2042&gt;=5),"NEW CUSTOMERS",AND(F2042&gt;=6,G2042&lt;=2,H2042&gt;=3),"PROMISING",AND(F2042&gt;=3,G2042&gt;=3,H2042&gt;=3),"NEED ATTENTION",AND(F2042&lt;=4,G2042&gt;=6,H2042&gt;=6),"AT RISK",AND(F2042&lt;=2,G2042&gt;=8,H2042&gt;=8),"CAN'T LOSE THEM",AND(F2042&lt;=2,G2042&lt;=2,H2042&lt;=2),"HIBERNATING",TRUE(),"Other")</f>
        <v>Other</v>
      </c>
      <c r="K2042" s="1" t="n">
        <f aca="false">RANK(E2042,$E$7:$E$4378)+COUNTIF($E$7:E2042,E2042)-1</f>
        <v>3449</v>
      </c>
    </row>
    <row r="2043" customFormat="false" ht="14.25" hidden="false" customHeight="true" outlineLevel="0" collapsed="false">
      <c r="A2043" s="51" t="n">
        <v>15108</v>
      </c>
      <c r="B2043" s="53" t="n">
        <v>40745.4333333333</v>
      </c>
      <c r="C2043" s="57" t="n">
        <f aca="false">INT($C$2)-INT(Table3[[#This Row],[Last Purchase Date]])</f>
        <v>142</v>
      </c>
      <c r="D2043" s="1" t="n">
        <v>5</v>
      </c>
      <c r="E2043" s="1" t="n">
        <v>1291.75</v>
      </c>
      <c r="F2043" s="1" t="n">
        <f aca="false">ROUND((1-_xlfn.PERCENTRANK.INC($C$7:$C$4378,C2043))*9,0)</f>
        <v>2</v>
      </c>
      <c r="G2043" s="1" t="n">
        <f aca="false">ROUND(_xlfn.PERCENTRANK.INC($D$7:$D$4378,D2043)*9,0)</f>
        <v>6</v>
      </c>
      <c r="H2043" s="1" t="n">
        <f aca="false">ROUND(_xlfn.PERCENTRANK.INC($E$7:$E$4378,E2043)*9,0)</f>
        <v>6</v>
      </c>
      <c r="I2043" s="1" t="str">
        <f aca="false">CONCATENATE(F2043,G2043,H2043)</f>
        <v>266</v>
      </c>
      <c r="J2043" s="1" t="str">
        <f aca="false">_xlfn.IFS(AND(F2043&gt;=8,G2043&gt;=8,H2043&gt;=8),"CHAMPION",AND(F2043&gt;=6,G2043&gt;=7,H2043&gt;=6),"LOYAL CUSTOMER",AND(F2043&gt;=6,G2043&gt;=5,H2043&gt;=5),"POTENTIAL LOYALIST",AND(F2043&gt;=8,G2043&lt;=2,H2043&gt;=5),"NEW CUSTOMERS",AND(F2043&gt;=6,G2043&lt;=2,H2043&gt;=3),"PROMISING",AND(F2043&gt;=3,G2043&gt;=3,H2043&gt;=3),"NEED ATTENTION",AND(F2043&lt;=4,G2043&gt;=6,H2043&gt;=6),"AT RISK",AND(F2043&lt;=2,G2043&gt;=8,H2043&gt;=8),"CAN'T LOSE THEM",AND(F2043&lt;=2,G2043&lt;=2,H2043&lt;=2),"HIBERNATING",TRUE(),"Other")</f>
        <v>AT RISK</v>
      </c>
      <c r="K2043" s="1" t="n">
        <f aca="false">RANK(E2043,$E$7:$E$4378)+COUNTIF($E$7:E2043,E2043)-1</f>
        <v>1334</v>
      </c>
    </row>
    <row r="2044" customFormat="false" ht="14.25" hidden="false" customHeight="true" outlineLevel="0" collapsed="false">
      <c r="A2044" s="51" t="n">
        <v>15109</v>
      </c>
      <c r="B2044" s="53" t="n">
        <v>40646.4118055556</v>
      </c>
      <c r="C2044" s="57" t="n">
        <f aca="false">INT($C$2)-INT(Table3[[#This Row],[Last Purchase Date]])</f>
        <v>241</v>
      </c>
      <c r="D2044" s="1" t="n">
        <v>2</v>
      </c>
      <c r="E2044" s="1" t="n">
        <v>463.75</v>
      </c>
      <c r="F2044" s="1" t="n">
        <f aca="false">ROUND((1-_xlfn.PERCENTRANK.INC($C$7:$C$4378,C2044))*9,0)</f>
        <v>1</v>
      </c>
      <c r="G2044" s="1" t="n">
        <f aca="false">ROUND(_xlfn.PERCENTRANK.INC($D$7:$D$4378,D2044)*9,0)</f>
        <v>3</v>
      </c>
      <c r="H2044" s="1" t="n">
        <f aca="false">ROUND(_xlfn.PERCENTRANK.INC($E$7:$E$4378,E2044)*9,0)</f>
        <v>4</v>
      </c>
      <c r="I2044" s="1" t="str">
        <f aca="false">CONCATENATE(F2044,G2044,H2044)</f>
        <v>134</v>
      </c>
      <c r="J2044" s="1" t="str">
        <f aca="false">_xlfn.IFS(AND(F2044&gt;=8,G2044&gt;=8,H2044&gt;=8),"CHAMPION",AND(F2044&gt;=6,G2044&gt;=7,H2044&gt;=6),"LOYAL CUSTOMER",AND(F2044&gt;=6,G2044&gt;=5,H2044&gt;=5),"POTENTIAL LOYALIST",AND(F2044&gt;=8,G2044&lt;=2,H2044&gt;=5),"NEW CUSTOMERS",AND(F2044&gt;=6,G2044&lt;=2,H2044&gt;=3),"PROMISING",AND(F2044&gt;=3,G2044&gt;=3,H2044&gt;=3),"NEED ATTENTION",AND(F2044&lt;=4,G2044&gt;=6,H2044&gt;=6),"AT RISK",AND(F2044&lt;=2,G2044&gt;=8,H2044&gt;=8),"CAN'T LOSE THEM",AND(F2044&lt;=2,G2044&lt;=2,H2044&lt;=2),"HIBERNATING",TRUE(),"Other")</f>
        <v>Other</v>
      </c>
      <c r="K2044" s="1" t="n">
        <f aca="false">RANK(E2044,$E$7:$E$4378)+COUNTIF($E$7:E2044,E2044)-1</f>
        <v>2628</v>
      </c>
    </row>
    <row r="2045" customFormat="false" ht="14.25" hidden="false" customHeight="true" outlineLevel="0" collapsed="false">
      <c r="A2045" s="51" t="n">
        <v>15110</v>
      </c>
      <c r="B2045" s="53" t="n">
        <v>40863.4694444445</v>
      </c>
      <c r="C2045" s="57" t="n">
        <f aca="false">INT($C$2)-INT(Table3[[#This Row],[Last Purchase Date]])</f>
        <v>24</v>
      </c>
      <c r="D2045" s="1" t="n">
        <v>7</v>
      </c>
      <c r="E2045" s="1" t="n">
        <v>970.25</v>
      </c>
      <c r="F2045" s="1" t="n">
        <f aca="false">ROUND((1-_xlfn.PERCENTRANK.INC($C$7:$C$4378,C2045))*9,0)</f>
        <v>6</v>
      </c>
      <c r="G2045" s="1" t="n">
        <f aca="false">ROUND(_xlfn.PERCENTRANK.INC($D$7:$D$4378,D2045)*9,0)</f>
        <v>7</v>
      </c>
      <c r="H2045" s="1" t="n">
        <f aca="false">ROUND(_xlfn.PERCENTRANK.INC($E$7:$E$4378,E2045)*9,0)</f>
        <v>6</v>
      </c>
      <c r="I2045" s="1" t="str">
        <f aca="false">CONCATENATE(F2045,G2045,H2045)</f>
        <v>676</v>
      </c>
      <c r="J2045" s="1" t="str">
        <f aca="false">_xlfn.IFS(AND(F2045&gt;=8,G2045&gt;=8,H2045&gt;=8),"CHAMPION",AND(F2045&gt;=6,G2045&gt;=7,H2045&gt;=6),"LOYAL CUSTOMER",AND(F2045&gt;=6,G2045&gt;=5,H2045&gt;=5),"POTENTIAL LOYALIST",AND(F2045&gt;=8,G2045&lt;=2,H2045&gt;=5),"NEW CUSTOMERS",AND(F2045&gt;=6,G2045&lt;=2,H2045&gt;=3),"PROMISING",AND(F2045&gt;=3,G2045&gt;=3,H2045&gt;=3),"NEED ATTENTION",AND(F2045&lt;=4,G2045&gt;=6,H2045&gt;=6),"AT RISK",AND(F2045&lt;=2,G2045&gt;=8,H2045&gt;=8),"CAN'T LOSE THEM",AND(F2045&lt;=2,G2045&lt;=2,H2045&lt;=2),"HIBERNATING",TRUE(),"Other")</f>
        <v>LOYAL CUSTOMER</v>
      </c>
      <c r="K2045" s="1" t="n">
        <f aca="false">RANK(E2045,$E$7:$E$4378)+COUNTIF($E$7:E2045,E2045)-1</f>
        <v>1678</v>
      </c>
    </row>
    <row r="2046" customFormat="false" ht="14.25" hidden="false" customHeight="true" outlineLevel="0" collapsed="false">
      <c r="A2046" s="51" t="n">
        <v>15111</v>
      </c>
      <c r="B2046" s="53" t="n">
        <v>40857.7069444444</v>
      </c>
      <c r="C2046" s="57" t="n">
        <f aca="false">INT($C$2)-INT(Table3[[#This Row],[Last Purchase Date]])</f>
        <v>30</v>
      </c>
      <c r="D2046" s="1" t="n">
        <v>3</v>
      </c>
      <c r="E2046" s="1" t="n">
        <v>1567.48</v>
      </c>
      <c r="F2046" s="1" t="n">
        <f aca="false">ROUND((1-_xlfn.PERCENTRANK.INC($C$7:$C$4378,C2046))*9,0)</f>
        <v>6</v>
      </c>
      <c r="G2046" s="1" t="n">
        <f aca="false">ROUND(_xlfn.PERCENTRANK.INC($D$7:$D$4378,D2046)*9,0)</f>
        <v>4</v>
      </c>
      <c r="H2046" s="1" t="n">
        <f aca="false">ROUND(_xlfn.PERCENTRANK.INC($E$7:$E$4378,E2046)*9,0)</f>
        <v>7</v>
      </c>
      <c r="I2046" s="1" t="str">
        <f aca="false">CONCATENATE(F2046,G2046,H2046)</f>
        <v>647</v>
      </c>
      <c r="J2046" s="1" t="str">
        <f aca="false">_xlfn.IFS(AND(F2046&gt;=8,G2046&gt;=8,H2046&gt;=8),"CHAMPION",AND(F2046&gt;=6,G2046&gt;=7,H2046&gt;=6),"LOYAL CUSTOMER",AND(F2046&gt;=6,G2046&gt;=5,H2046&gt;=5),"POTENTIAL LOYALIST",AND(F2046&gt;=8,G2046&lt;=2,H2046&gt;=5),"NEW CUSTOMERS",AND(F2046&gt;=6,G2046&lt;=2,H2046&gt;=3),"PROMISING",AND(F2046&gt;=3,G2046&gt;=3,H2046&gt;=3),"NEED ATTENTION",AND(F2046&lt;=4,G2046&gt;=6,H2046&gt;=6),"AT RISK",AND(F2046&lt;=2,G2046&gt;=8,H2046&gt;=8),"CAN'T LOSE THEM",AND(F2046&lt;=2,G2046&lt;=2,H2046&lt;=2),"HIBERNATING",TRUE(),"Other")</f>
        <v>NEED ATTENTION</v>
      </c>
      <c r="K2046" s="1" t="n">
        <f aca="false">RANK(E2046,$E$7:$E$4378)+COUNTIF($E$7:E2046,E2046)-1</f>
        <v>1115</v>
      </c>
    </row>
    <row r="2047" customFormat="false" ht="14.25" hidden="false" customHeight="true" outlineLevel="0" collapsed="false">
      <c r="A2047" s="51" t="n">
        <v>15113</v>
      </c>
      <c r="B2047" s="53" t="n">
        <v>40877.3493055556</v>
      </c>
      <c r="C2047" s="57" t="n">
        <f aca="false">INT($C$2)-INT(Table3[[#This Row],[Last Purchase Date]])</f>
        <v>10</v>
      </c>
      <c r="D2047" s="1" t="n">
        <v>4</v>
      </c>
      <c r="E2047" s="1" t="n">
        <v>3439.41</v>
      </c>
      <c r="F2047" s="1" t="n">
        <f aca="false">ROUND((1-_xlfn.PERCENTRANK.INC($C$7:$C$4378,C2047))*9,0)</f>
        <v>8</v>
      </c>
      <c r="G2047" s="1" t="n">
        <f aca="false">ROUND(_xlfn.PERCENTRANK.INC($D$7:$D$4378,D2047)*9,0)</f>
        <v>5</v>
      </c>
      <c r="H2047" s="1" t="n">
        <f aca="false">ROUND(_xlfn.PERCENTRANK.INC($E$7:$E$4378,E2047)*9,0)</f>
        <v>8</v>
      </c>
      <c r="I2047" s="1" t="str">
        <f aca="false">CONCATENATE(F2047,G2047,H2047)</f>
        <v>858</v>
      </c>
      <c r="J2047" s="1" t="str">
        <f aca="false">_xlfn.IFS(AND(F2047&gt;=8,G2047&gt;=8,H2047&gt;=8),"CHAMPION",AND(F2047&gt;=6,G2047&gt;=7,H2047&gt;=6),"LOYAL CUSTOMER",AND(F2047&gt;=6,G2047&gt;=5,H2047&gt;=5),"POTENTIAL LOYALIST",AND(F2047&gt;=8,G2047&lt;=2,H2047&gt;=5),"NEW CUSTOMERS",AND(F2047&gt;=6,G2047&lt;=2,H2047&gt;=3),"PROMISING",AND(F2047&gt;=3,G2047&gt;=3,H2047&gt;=3),"NEED ATTENTION",AND(F2047&lt;=4,G2047&gt;=6,H2047&gt;=6),"AT RISK",AND(F2047&lt;=2,G2047&gt;=8,H2047&gt;=8),"CAN'T LOSE THEM",AND(F2047&lt;=2,G2047&lt;=2,H2047&lt;=2),"HIBERNATING",TRUE(),"Other")</f>
        <v>POTENTIAL LOYALIST</v>
      </c>
      <c r="K2047" s="1" t="n">
        <f aca="false">RANK(E2047,$E$7:$E$4378)+COUNTIF($E$7:E2047,E2047)-1</f>
        <v>452</v>
      </c>
    </row>
    <row r="2048" customFormat="false" ht="14.25" hidden="false" customHeight="true" outlineLevel="0" collapsed="false">
      <c r="A2048" s="51" t="n">
        <v>15114</v>
      </c>
      <c r="B2048" s="53" t="n">
        <v>40856.6284722222</v>
      </c>
      <c r="C2048" s="57" t="n">
        <f aca="false">INT($C$2)-INT(Table3[[#This Row],[Last Purchase Date]])</f>
        <v>31</v>
      </c>
      <c r="D2048" s="1" t="n">
        <v>10</v>
      </c>
      <c r="E2048" s="1" t="n">
        <v>2760.56</v>
      </c>
      <c r="F2048" s="1" t="n">
        <f aca="false">ROUND((1-_xlfn.PERCENTRANK.INC($C$7:$C$4378,C2048))*9,0)</f>
        <v>6</v>
      </c>
      <c r="G2048" s="1" t="n">
        <f aca="false">ROUND(_xlfn.PERCENTRANK.INC($D$7:$D$4378,D2048)*9,0)</f>
        <v>8</v>
      </c>
      <c r="H2048" s="1" t="n">
        <f aca="false">ROUND(_xlfn.PERCENTRANK.INC($E$7:$E$4378,E2048)*9,0)</f>
        <v>8</v>
      </c>
      <c r="I2048" s="1" t="str">
        <f aca="false">CONCATENATE(F2048,G2048,H2048)</f>
        <v>688</v>
      </c>
      <c r="J2048" s="1" t="str">
        <f aca="false">_xlfn.IFS(AND(F2048&gt;=8,G2048&gt;=8,H2048&gt;=8),"CHAMPION",AND(F2048&gt;=6,G2048&gt;=7,H2048&gt;=6),"LOYAL CUSTOMER",AND(F2048&gt;=6,G2048&gt;=5,H2048&gt;=5),"POTENTIAL LOYALIST",AND(F2048&gt;=8,G2048&lt;=2,H2048&gt;=5),"NEW CUSTOMERS",AND(F2048&gt;=6,G2048&lt;=2,H2048&gt;=3),"PROMISING",AND(F2048&gt;=3,G2048&gt;=3,H2048&gt;=3),"NEED ATTENTION",AND(F2048&lt;=4,G2048&gt;=6,H2048&gt;=6),"AT RISK",AND(F2048&lt;=2,G2048&gt;=8,H2048&gt;=8),"CAN'T LOSE THEM",AND(F2048&lt;=2,G2048&lt;=2,H2048&lt;=2),"HIBERNATING",TRUE(),"Other")</f>
        <v>LOYAL CUSTOMER</v>
      </c>
      <c r="K2048" s="1" t="n">
        <f aca="false">RANK(E2048,$E$7:$E$4378)+COUNTIF($E$7:E2048,E2048)-1</f>
        <v>596</v>
      </c>
    </row>
    <row r="2049" customFormat="false" ht="14.25" hidden="false" customHeight="true" outlineLevel="0" collapsed="false">
      <c r="A2049" s="51" t="n">
        <v>15115</v>
      </c>
      <c r="B2049" s="53" t="n">
        <v>40868.6243055556</v>
      </c>
      <c r="C2049" s="57" t="n">
        <f aca="false">INT($C$2)-INT(Table3[[#This Row],[Last Purchase Date]])</f>
        <v>19</v>
      </c>
      <c r="D2049" s="1" t="n">
        <v>1</v>
      </c>
      <c r="E2049" s="1" t="n">
        <v>340.11</v>
      </c>
      <c r="F2049" s="1" t="n">
        <f aca="false">ROUND((1-_xlfn.PERCENTRANK.INC($C$7:$C$4378,C2049))*9,0)</f>
        <v>7</v>
      </c>
      <c r="G2049" s="1" t="n">
        <f aca="false">ROUND(_xlfn.PERCENTRANK.INC($D$7:$D$4378,D2049)*9,0)</f>
        <v>0</v>
      </c>
      <c r="H2049" s="1" t="n">
        <f aca="false">ROUND(_xlfn.PERCENTRANK.INC($E$7:$E$4378,E2049)*9,0)</f>
        <v>3</v>
      </c>
      <c r="I2049" s="1" t="str">
        <f aca="false">CONCATENATE(F2049,G2049,H2049)</f>
        <v>703</v>
      </c>
      <c r="J2049" s="1" t="str">
        <f aca="false">_xlfn.IFS(AND(F2049&gt;=8,G2049&gt;=8,H2049&gt;=8),"CHAMPION",AND(F2049&gt;=6,G2049&gt;=7,H2049&gt;=6),"LOYAL CUSTOMER",AND(F2049&gt;=6,G2049&gt;=5,H2049&gt;=5),"POTENTIAL LOYALIST",AND(F2049&gt;=8,G2049&lt;=2,H2049&gt;=5),"NEW CUSTOMERS",AND(F2049&gt;=6,G2049&lt;=2,H2049&gt;=3),"PROMISING",AND(F2049&gt;=3,G2049&gt;=3,H2049&gt;=3),"NEED ATTENTION",AND(F2049&lt;=4,G2049&gt;=6,H2049&gt;=6),"AT RISK",AND(F2049&lt;=2,G2049&gt;=8,H2049&gt;=8),"CAN'T LOSE THEM",AND(F2049&lt;=2,G2049&lt;=2,H2049&lt;=2),"HIBERNATING",TRUE(),"Other")</f>
        <v>PROMISING</v>
      </c>
      <c r="K2049" s="1" t="n">
        <f aca="false">RANK(E2049,$E$7:$E$4378)+COUNTIF($E$7:E2049,E2049)-1</f>
        <v>3051</v>
      </c>
    </row>
    <row r="2050" customFormat="false" ht="14.25" hidden="false" customHeight="true" outlineLevel="0" collapsed="false">
      <c r="A2050" s="51" t="n">
        <v>15116</v>
      </c>
      <c r="B2050" s="53" t="n">
        <v>40869.5173611111</v>
      </c>
      <c r="C2050" s="57" t="n">
        <f aca="false">INT($C$2)-INT(Table3[[#This Row],[Last Purchase Date]])</f>
        <v>18</v>
      </c>
      <c r="D2050" s="1" t="n">
        <v>4</v>
      </c>
      <c r="E2050" s="1" t="n">
        <v>1352.75</v>
      </c>
      <c r="F2050" s="1" t="n">
        <f aca="false">ROUND((1-_xlfn.PERCENTRANK.INC($C$7:$C$4378,C2050))*9,0)</f>
        <v>7</v>
      </c>
      <c r="G2050" s="1" t="n">
        <f aca="false">ROUND(_xlfn.PERCENTRANK.INC($D$7:$D$4378,D2050)*9,0)</f>
        <v>5</v>
      </c>
      <c r="H2050" s="1" t="n">
        <f aca="false">ROUND(_xlfn.PERCENTRANK.INC($E$7:$E$4378,E2050)*9,0)</f>
        <v>6</v>
      </c>
      <c r="I2050" s="1" t="str">
        <f aca="false">CONCATENATE(F2050,G2050,H2050)</f>
        <v>756</v>
      </c>
      <c r="J2050" s="1" t="str">
        <f aca="false">_xlfn.IFS(AND(F2050&gt;=8,G2050&gt;=8,H2050&gt;=8),"CHAMPION",AND(F2050&gt;=6,G2050&gt;=7,H2050&gt;=6),"LOYAL CUSTOMER",AND(F2050&gt;=6,G2050&gt;=5,H2050&gt;=5),"POTENTIAL LOYALIST",AND(F2050&gt;=8,G2050&lt;=2,H2050&gt;=5),"NEW CUSTOMERS",AND(F2050&gt;=6,G2050&lt;=2,H2050&gt;=3),"PROMISING",AND(F2050&gt;=3,G2050&gt;=3,H2050&gt;=3),"NEED ATTENTION",AND(F2050&lt;=4,G2050&gt;=6,H2050&gt;=6),"AT RISK",AND(F2050&lt;=2,G2050&gt;=8,H2050&gt;=8),"CAN'T LOSE THEM",AND(F2050&lt;=2,G2050&lt;=2,H2050&lt;=2),"HIBERNATING",TRUE(),"Other")</f>
        <v>POTENTIAL LOYALIST</v>
      </c>
      <c r="K2050" s="1" t="n">
        <f aca="false">RANK(E2050,$E$7:$E$4378)+COUNTIF($E$7:E2050,E2050)-1</f>
        <v>1271</v>
      </c>
    </row>
    <row r="2051" customFormat="false" ht="14.25" hidden="false" customHeight="true" outlineLevel="0" collapsed="false">
      <c r="A2051" s="51" t="n">
        <v>15117</v>
      </c>
      <c r="B2051" s="53" t="n">
        <v>40872.3416666667</v>
      </c>
      <c r="C2051" s="57" t="n">
        <f aca="false">INT($C$2)-INT(Table3[[#This Row],[Last Purchase Date]])</f>
        <v>15</v>
      </c>
      <c r="D2051" s="1" t="n">
        <v>6</v>
      </c>
      <c r="E2051" s="1" t="n">
        <v>1550.13</v>
      </c>
      <c r="F2051" s="1" t="n">
        <f aca="false">ROUND((1-_xlfn.PERCENTRANK.INC($C$7:$C$4378,C2051))*9,0)</f>
        <v>7</v>
      </c>
      <c r="G2051" s="1" t="n">
        <f aca="false">ROUND(_xlfn.PERCENTRANK.INC($D$7:$D$4378,D2051)*9,0)</f>
        <v>7</v>
      </c>
      <c r="H2051" s="1" t="n">
        <f aca="false">ROUND(_xlfn.PERCENTRANK.INC($E$7:$E$4378,E2051)*9,0)</f>
        <v>7</v>
      </c>
      <c r="I2051" s="1" t="str">
        <f aca="false">CONCATENATE(F2051,G2051,H2051)</f>
        <v>777</v>
      </c>
      <c r="J2051" s="1" t="str">
        <f aca="false">_xlfn.IFS(AND(F2051&gt;=8,G2051&gt;=8,H2051&gt;=8),"CHAMPION",AND(F2051&gt;=6,G2051&gt;=7,H2051&gt;=6),"LOYAL CUSTOMER",AND(F2051&gt;=6,G2051&gt;=5,H2051&gt;=5),"POTENTIAL LOYALIST",AND(F2051&gt;=8,G2051&lt;=2,H2051&gt;=5),"NEW CUSTOMERS",AND(F2051&gt;=6,G2051&lt;=2,H2051&gt;=3),"PROMISING",AND(F2051&gt;=3,G2051&gt;=3,H2051&gt;=3),"NEED ATTENTION",AND(F2051&lt;=4,G2051&gt;=6,H2051&gt;=6),"AT RISK",AND(F2051&lt;=2,G2051&gt;=8,H2051&gt;=8),"CAN'T LOSE THEM",AND(F2051&lt;=2,G2051&lt;=2,H2051&lt;=2),"HIBERNATING",TRUE(),"Other")</f>
        <v>LOYAL CUSTOMER</v>
      </c>
      <c r="K2051" s="1" t="n">
        <f aca="false">RANK(E2051,$E$7:$E$4378)+COUNTIF($E$7:E2051,E2051)-1</f>
        <v>1127</v>
      </c>
    </row>
    <row r="2052" customFormat="false" ht="14.25" hidden="false" customHeight="true" outlineLevel="0" collapsed="false">
      <c r="A2052" s="51" t="n">
        <v>15118</v>
      </c>
      <c r="B2052" s="53" t="n">
        <v>40752.6208333333</v>
      </c>
      <c r="C2052" s="57" t="n">
        <f aca="false">INT($C$2)-INT(Table3[[#This Row],[Last Purchase Date]])</f>
        <v>135</v>
      </c>
      <c r="D2052" s="1" t="n">
        <v>1</v>
      </c>
      <c r="E2052" s="1" t="n">
        <v>244.8</v>
      </c>
      <c r="F2052" s="1" t="n">
        <f aca="false">ROUND((1-_xlfn.PERCENTRANK.INC($C$7:$C$4378,C2052))*9,0)</f>
        <v>2</v>
      </c>
      <c r="G2052" s="1" t="n">
        <f aca="false">ROUND(_xlfn.PERCENTRANK.INC($D$7:$D$4378,D2052)*9,0)</f>
        <v>0</v>
      </c>
      <c r="H2052" s="1" t="n">
        <f aca="false">ROUND(_xlfn.PERCENTRANK.INC($E$7:$E$4378,E2052)*9,0)</f>
        <v>2</v>
      </c>
      <c r="I2052" s="1" t="str">
        <f aca="false">CONCATENATE(F2052,G2052,H2052)</f>
        <v>202</v>
      </c>
      <c r="J2052" s="1" t="str">
        <f aca="false">_xlfn.IFS(AND(F2052&gt;=8,G2052&gt;=8,H2052&gt;=8),"CHAMPION",AND(F2052&gt;=6,G2052&gt;=7,H2052&gt;=6),"LOYAL CUSTOMER",AND(F2052&gt;=6,G2052&gt;=5,H2052&gt;=5),"POTENTIAL LOYALIST",AND(F2052&gt;=8,G2052&lt;=2,H2052&gt;=5),"NEW CUSTOMERS",AND(F2052&gt;=6,G2052&lt;=2,H2052&gt;=3),"PROMISING",AND(F2052&gt;=3,G2052&gt;=3,H2052&gt;=3),"NEED ATTENTION",AND(F2052&lt;=4,G2052&gt;=6,H2052&gt;=6),"AT RISK",AND(F2052&lt;=2,G2052&gt;=8,H2052&gt;=8),"CAN'T LOSE THEM",AND(F2052&lt;=2,G2052&lt;=2,H2052&lt;=2),"HIBERNATING",TRUE(),"Other")</f>
        <v>HIBERNATING</v>
      </c>
      <c r="K2052" s="1" t="n">
        <f aca="false">RANK(E2052,$E$7:$E$4378)+COUNTIF($E$7:E2052,E2052)-1</f>
        <v>3459</v>
      </c>
    </row>
    <row r="2053" customFormat="false" ht="14.25" hidden="false" customHeight="true" outlineLevel="0" collapsed="false">
      <c r="A2053" s="51" t="n">
        <v>15119</v>
      </c>
      <c r="B2053" s="53" t="n">
        <v>40641.3805555556</v>
      </c>
      <c r="C2053" s="57" t="n">
        <f aca="false">INT($C$2)-INT(Table3[[#This Row],[Last Purchase Date]])</f>
        <v>246</v>
      </c>
      <c r="D2053" s="1" t="n">
        <v>1</v>
      </c>
      <c r="E2053" s="1" t="n">
        <v>266.4</v>
      </c>
      <c r="F2053" s="1" t="n">
        <f aca="false">ROUND((1-_xlfn.PERCENTRANK.INC($C$7:$C$4378,C2053))*9,0)</f>
        <v>1</v>
      </c>
      <c r="G2053" s="1" t="n">
        <f aca="false">ROUND(_xlfn.PERCENTRANK.INC($D$7:$D$4378,D2053)*9,0)</f>
        <v>0</v>
      </c>
      <c r="H2053" s="1" t="n">
        <f aca="false">ROUND(_xlfn.PERCENTRANK.INC($E$7:$E$4378,E2053)*9,0)</f>
        <v>2</v>
      </c>
      <c r="I2053" s="1" t="str">
        <f aca="false">CONCATENATE(F2053,G2053,H2053)</f>
        <v>102</v>
      </c>
      <c r="J2053" s="1" t="str">
        <f aca="false">_xlfn.IFS(AND(F2053&gt;=8,G2053&gt;=8,H2053&gt;=8),"CHAMPION",AND(F2053&gt;=6,G2053&gt;=7,H2053&gt;=6),"LOYAL CUSTOMER",AND(F2053&gt;=6,G2053&gt;=5,H2053&gt;=5),"POTENTIAL LOYALIST",AND(F2053&gt;=8,G2053&lt;=2,H2053&gt;=5),"NEW CUSTOMERS",AND(F2053&gt;=6,G2053&lt;=2,H2053&gt;=3),"PROMISING",AND(F2053&gt;=3,G2053&gt;=3,H2053&gt;=3),"NEED ATTENTION",AND(F2053&lt;=4,G2053&gt;=6,H2053&gt;=6),"AT RISK",AND(F2053&lt;=2,G2053&gt;=8,H2053&gt;=8),"CAN'T LOSE THEM",AND(F2053&lt;=2,G2053&lt;=2,H2053&lt;=2),"HIBERNATING",TRUE(),"Other")</f>
        <v>HIBERNATING</v>
      </c>
      <c r="K2053" s="1" t="n">
        <f aca="false">RANK(E2053,$E$7:$E$4378)+COUNTIF($E$7:E2053,E2053)-1</f>
        <v>3375</v>
      </c>
    </row>
    <row r="2054" customFormat="false" ht="14.25" hidden="false" customHeight="true" outlineLevel="0" collapsed="false">
      <c r="A2054" s="51" t="n">
        <v>15120</v>
      </c>
      <c r="B2054" s="53" t="n">
        <v>40757.4201388889</v>
      </c>
      <c r="C2054" s="57" t="n">
        <f aca="false">INT($C$2)-INT(Table3[[#This Row],[Last Purchase Date]])</f>
        <v>130</v>
      </c>
      <c r="D2054" s="1" t="n">
        <v>2</v>
      </c>
      <c r="E2054" s="1" t="n">
        <v>343.82</v>
      </c>
      <c r="F2054" s="1" t="n">
        <f aca="false">ROUND((1-_xlfn.PERCENTRANK.INC($C$7:$C$4378,C2054))*9,0)</f>
        <v>2</v>
      </c>
      <c r="G2054" s="1" t="n">
        <f aca="false">ROUND(_xlfn.PERCENTRANK.INC($D$7:$D$4378,D2054)*9,0)</f>
        <v>3</v>
      </c>
      <c r="H2054" s="1" t="n">
        <f aca="false">ROUND(_xlfn.PERCENTRANK.INC($E$7:$E$4378,E2054)*9,0)</f>
        <v>3</v>
      </c>
      <c r="I2054" s="1" t="str">
        <f aca="false">CONCATENATE(F2054,G2054,H2054)</f>
        <v>233</v>
      </c>
      <c r="J2054" s="1" t="str">
        <f aca="false">_xlfn.IFS(AND(F2054&gt;=8,G2054&gt;=8,H2054&gt;=8),"CHAMPION",AND(F2054&gt;=6,G2054&gt;=7,H2054&gt;=6),"LOYAL CUSTOMER",AND(F2054&gt;=6,G2054&gt;=5,H2054&gt;=5),"POTENTIAL LOYALIST",AND(F2054&gt;=8,G2054&lt;=2,H2054&gt;=5),"NEW CUSTOMERS",AND(F2054&gt;=6,G2054&lt;=2,H2054&gt;=3),"PROMISING",AND(F2054&gt;=3,G2054&gt;=3,H2054&gt;=3),"NEED ATTENTION",AND(F2054&lt;=4,G2054&gt;=6,H2054&gt;=6),"AT RISK",AND(F2054&lt;=2,G2054&gt;=8,H2054&gt;=8),"CAN'T LOSE THEM",AND(F2054&lt;=2,G2054&lt;=2,H2054&lt;=2),"HIBERNATING",TRUE(),"Other")</f>
        <v>Other</v>
      </c>
      <c r="K2054" s="1" t="n">
        <f aca="false">RANK(E2054,$E$7:$E$4378)+COUNTIF($E$7:E2054,E2054)-1</f>
        <v>3037</v>
      </c>
    </row>
    <row r="2055" customFormat="false" ht="14.25" hidden="false" customHeight="true" outlineLevel="0" collapsed="false">
      <c r="A2055" s="51" t="n">
        <v>15121</v>
      </c>
      <c r="B2055" s="53" t="n">
        <v>40836.61875</v>
      </c>
      <c r="C2055" s="57" t="n">
        <f aca="false">INT($C$2)-INT(Table3[[#This Row],[Last Purchase Date]])</f>
        <v>51</v>
      </c>
      <c r="D2055" s="1" t="n">
        <v>2</v>
      </c>
      <c r="E2055" s="1" t="n">
        <v>457.72</v>
      </c>
      <c r="F2055" s="1" t="n">
        <f aca="false">ROUND((1-_xlfn.PERCENTRANK.INC($C$7:$C$4378,C2055))*9,0)</f>
        <v>5</v>
      </c>
      <c r="G2055" s="1" t="n">
        <f aca="false">ROUND(_xlfn.PERCENTRANK.INC($D$7:$D$4378,D2055)*9,0)</f>
        <v>3</v>
      </c>
      <c r="H2055" s="1" t="n">
        <f aca="false">ROUND(_xlfn.PERCENTRANK.INC($E$7:$E$4378,E2055)*9,0)</f>
        <v>4</v>
      </c>
      <c r="I2055" s="1" t="str">
        <f aca="false">CONCATENATE(F2055,G2055,H2055)</f>
        <v>534</v>
      </c>
      <c r="J2055" s="1" t="str">
        <f aca="false">_xlfn.IFS(AND(F2055&gt;=8,G2055&gt;=8,H2055&gt;=8),"CHAMPION",AND(F2055&gt;=6,G2055&gt;=7,H2055&gt;=6),"LOYAL CUSTOMER",AND(F2055&gt;=6,G2055&gt;=5,H2055&gt;=5),"POTENTIAL LOYALIST",AND(F2055&gt;=8,G2055&lt;=2,H2055&gt;=5),"NEW CUSTOMERS",AND(F2055&gt;=6,G2055&lt;=2,H2055&gt;=3),"PROMISING",AND(F2055&gt;=3,G2055&gt;=3,H2055&gt;=3),"NEED ATTENTION",AND(F2055&lt;=4,G2055&gt;=6,H2055&gt;=6),"AT RISK",AND(F2055&lt;=2,G2055&gt;=8,H2055&gt;=8),"CAN'T LOSE THEM",AND(F2055&lt;=2,G2055&lt;=2,H2055&lt;=2),"HIBERNATING",TRUE(),"Other")</f>
        <v>NEED ATTENTION</v>
      </c>
      <c r="K2055" s="1" t="n">
        <f aca="false">RANK(E2055,$E$7:$E$4378)+COUNTIF($E$7:E2055,E2055)-1</f>
        <v>2648</v>
      </c>
    </row>
    <row r="2056" customFormat="false" ht="14.25" hidden="false" customHeight="true" outlineLevel="0" collapsed="false">
      <c r="A2056" s="51" t="n">
        <v>15122</v>
      </c>
      <c r="B2056" s="53" t="n">
        <v>40801.6854166667</v>
      </c>
      <c r="C2056" s="57" t="n">
        <f aca="false">INT($C$2)-INT(Table3[[#This Row],[Last Purchase Date]])</f>
        <v>86</v>
      </c>
      <c r="D2056" s="1" t="n">
        <v>6</v>
      </c>
      <c r="E2056" s="1" t="n">
        <v>1612.13</v>
      </c>
      <c r="F2056" s="1" t="n">
        <f aca="false">ROUND((1-_xlfn.PERCENTRANK.INC($C$7:$C$4378,C2056))*9,0)</f>
        <v>3</v>
      </c>
      <c r="G2056" s="1" t="n">
        <f aca="false">ROUND(_xlfn.PERCENTRANK.INC($D$7:$D$4378,D2056)*9,0)</f>
        <v>7</v>
      </c>
      <c r="H2056" s="1" t="n">
        <f aca="false">ROUND(_xlfn.PERCENTRANK.INC($E$7:$E$4378,E2056)*9,0)</f>
        <v>7</v>
      </c>
      <c r="I2056" s="1" t="str">
        <f aca="false">CONCATENATE(F2056,G2056,H2056)</f>
        <v>377</v>
      </c>
      <c r="J2056" s="1" t="str">
        <f aca="false">_xlfn.IFS(AND(F2056&gt;=8,G2056&gt;=8,H2056&gt;=8),"CHAMPION",AND(F2056&gt;=6,G2056&gt;=7,H2056&gt;=6),"LOYAL CUSTOMER",AND(F2056&gt;=6,G2056&gt;=5,H2056&gt;=5),"POTENTIAL LOYALIST",AND(F2056&gt;=8,G2056&lt;=2,H2056&gt;=5),"NEW CUSTOMERS",AND(F2056&gt;=6,G2056&lt;=2,H2056&gt;=3),"PROMISING",AND(F2056&gt;=3,G2056&gt;=3,H2056&gt;=3),"NEED ATTENTION",AND(F2056&lt;=4,G2056&gt;=6,H2056&gt;=6),"AT RISK",AND(F2056&lt;=2,G2056&gt;=8,H2056&gt;=8),"CAN'T LOSE THEM",AND(F2056&lt;=2,G2056&lt;=2,H2056&lt;=2),"HIBERNATING",TRUE(),"Other")</f>
        <v>NEED ATTENTION</v>
      </c>
      <c r="K2056" s="1" t="n">
        <f aca="false">RANK(E2056,$E$7:$E$4378)+COUNTIF($E$7:E2056,E2056)-1</f>
        <v>1093</v>
      </c>
    </row>
    <row r="2057" customFormat="false" ht="14.25" hidden="false" customHeight="true" outlineLevel="0" collapsed="false">
      <c r="A2057" s="51" t="n">
        <v>15123</v>
      </c>
      <c r="B2057" s="53" t="n">
        <v>40879.55</v>
      </c>
      <c r="C2057" s="57" t="n">
        <f aca="false">INT($C$2)-INT(Table3[[#This Row],[Last Purchase Date]])</f>
        <v>8</v>
      </c>
      <c r="D2057" s="1" t="n">
        <v>2</v>
      </c>
      <c r="E2057" s="1" t="n">
        <v>2199.31</v>
      </c>
      <c r="F2057" s="1" t="n">
        <f aca="false">ROUND((1-_xlfn.PERCENTRANK.INC($C$7:$C$4378,C2057))*9,0)</f>
        <v>8</v>
      </c>
      <c r="G2057" s="1" t="n">
        <f aca="false">ROUND(_xlfn.PERCENTRANK.INC($D$7:$D$4378,D2057)*9,0)</f>
        <v>3</v>
      </c>
      <c r="H2057" s="1" t="n">
        <f aca="false">ROUND(_xlfn.PERCENTRANK.INC($E$7:$E$4378,E2057)*9,0)</f>
        <v>7</v>
      </c>
      <c r="I2057" s="1" t="str">
        <f aca="false">CONCATENATE(F2057,G2057,H2057)</f>
        <v>837</v>
      </c>
      <c r="J2057" s="1" t="str">
        <f aca="false">_xlfn.IFS(AND(F2057&gt;=8,G2057&gt;=8,H2057&gt;=8),"CHAMPION",AND(F2057&gt;=6,G2057&gt;=7,H2057&gt;=6),"LOYAL CUSTOMER",AND(F2057&gt;=6,G2057&gt;=5,H2057&gt;=5),"POTENTIAL LOYALIST",AND(F2057&gt;=8,G2057&lt;=2,H2057&gt;=5),"NEW CUSTOMERS",AND(F2057&gt;=6,G2057&lt;=2,H2057&gt;=3),"PROMISING",AND(F2057&gt;=3,G2057&gt;=3,H2057&gt;=3),"NEED ATTENTION",AND(F2057&lt;=4,G2057&gt;=6,H2057&gt;=6),"AT RISK",AND(F2057&lt;=2,G2057&gt;=8,H2057&gt;=8),"CAN'T LOSE THEM",AND(F2057&lt;=2,G2057&lt;=2,H2057&lt;=2),"HIBERNATING",TRUE(),"Other")</f>
        <v>NEED ATTENTION</v>
      </c>
      <c r="K2057" s="1" t="n">
        <f aca="false">RANK(E2057,$E$7:$E$4378)+COUNTIF($E$7:E2057,E2057)-1</f>
        <v>785</v>
      </c>
    </row>
    <row r="2058" customFormat="false" ht="14.25" hidden="false" customHeight="true" outlineLevel="0" collapsed="false">
      <c r="A2058" s="51" t="n">
        <v>15124</v>
      </c>
      <c r="B2058" s="53" t="n">
        <v>40864.4229166667</v>
      </c>
      <c r="C2058" s="57" t="n">
        <f aca="false">INT($C$2)-INT(Table3[[#This Row],[Last Purchase Date]])</f>
        <v>23</v>
      </c>
      <c r="D2058" s="1" t="n">
        <v>2</v>
      </c>
      <c r="E2058" s="1" t="n">
        <v>184.19</v>
      </c>
      <c r="F2058" s="1" t="n">
        <f aca="false">ROUND((1-_xlfn.PERCENTRANK.INC($C$7:$C$4378,C2058))*9,0)</f>
        <v>6</v>
      </c>
      <c r="G2058" s="1" t="n">
        <f aca="false">ROUND(_xlfn.PERCENTRANK.INC($D$7:$D$4378,D2058)*9,0)</f>
        <v>3</v>
      </c>
      <c r="H2058" s="1" t="n">
        <f aca="false">ROUND(_xlfn.PERCENTRANK.INC($E$7:$E$4378,E2058)*9,0)</f>
        <v>1</v>
      </c>
      <c r="I2058" s="1" t="str">
        <f aca="false">CONCATENATE(F2058,G2058,H2058)</f>
        <v>631</v>
      </c>
      <c r="J2058" s="1" t="str">
        <f aca="false">_xlfn.IFS(AND(F2058&gt;=8,G2058&gt;=8,H2058&gt;=8),"CHAMPION",AND(F2058&gt;=6,G2058&gt;=7,H2058&gt;=6),"LOYAL CUSTOMER",AND(F2058&gt;=6,G2058&gt;=5,H2058&gt;=5),"POTENTIAL LOYALIST",AND(F2058&gt;=8,G2058&lt;=2,H2058&gt;=5),"NEW CUSTOMERS",AND(F2058&gt;=6,G2058&lt;=2,H2058&gt;=3),"PROMISING",AND(F2058&gt;=3,G2058&gt;=3,H2058&gt;=3),"NEED ATTENTION",AND(F2058&lt;=4,G2058&gt;=6,H2058&gt;=6),"AT RISK",AND(F2058&lt;=2,G2058&gt;=8,H2058&gt;=8),"CAN'T LOSE THEM",AND(F2058&lt;=2,G2058&lt;=2,H2058&lt;=2),"HIBERNATING",TRUE(),"Other")</f>
        <v>Other</v>
      </c>
      <c r="K2058" s="1" t="n">
        <f aca="false">RANK(E2058,$E$7:$E$4378)+COUNTIF($E$7:E2058,E2058)-1</f>
        <v>3733</v>
      </c>
    </row>
    <row r="2059" customFormat="false" ht="14.25" hidden="false" customHeight="true" outlineLevel="0" collapsed="false">
      <c r="A2059" s="51" t="n">
        <v>15125</v>
      </c>
      <c r="B2059" s="53" t="n">
        <v>40861.58125</v>
      </c>
      <c r="C2059" s="57" t="n">
        <f aca="false">INT($C$2)-INT(Table3[[#This Row],[Last Purchase Date]])</f>
        <v>26</v>
      </c>
      <c r="D2059" s="1" t="n">
        <v>23</v>
      </c>
      <c r="E2059" s="1" t="n">
        <v>11117.05</v>
      </c>
      <c r="F2059" s="1" t="n">
        <f aca="false">ROUND((1-_xlfn.PERCENTRANK.INC($C$7:$C$4378,C2059))*9,0)</f>
        <v>6</v>
      </c>
      <c r="G2059" s="1" t="n">
        <f aca="false">ROUND(_xlfn.PERCENTRANK.INC($D$7:$D$4378,D2059)*9,0)</f>
        <v>9</v>
      </c>
      <c r="H2059" s="1" t="n">
        <f aca="false">ROUND(_xlfn.PERCENTRANK.INC($E$7:$E$4378,E2059)*9,0)</f>
        <v>9</v>
      </c>
      <c r="I2059" s="1" t="str">
        <f aca="false">CONCATENATE(F2059,G2059,H2059)</f>
        <v>699</v>
      </c>
      <c r="J2059" s="1" t="str">
        <f aca="false">_xlfn.IFS(AND(F2059&gt;=8,G2059&gt;=8,H2059&gt;=8),"CHAMPION",AND(F2059&gt;=6,G2059&gt;=7,H2059&gt;=6),"LOYAL CUSTOMER",AND(F2059&gt;=6,G2059&gt;=5,H2059&gt;=5),"POTENTIAL LOYALIST",AND(F2059&gt;=8,G2059&lt;=2,H2059&gt;=5),"NEW CUSTOMERS",AND(F2059&gt;=6,G2059&lt;=2,H2059&gt;=3),"PROMISING",AND(F2059&gt;=3,G2059&gt;=3,H2059&gt;=3),"NEED ATTENTION",AND(F2059&lt;=4,G2059&gt;=6,H2059&gt;=6),"AT RISK",AND(F2059&lt;=2,G2059&gt;=8,H2059&gt;=8),"CAN'T LOSE THEM",AND(F2059&lt;=2,G2059&lt;=2,H2059&lt;=2),"HIBERNATING",TRUE(),"Other")</f>
        <v>LOYAL CUSTOMER</v>
      </c>
      <c r="K2059" s="1" t="n">
        <f aca="false">RANK(E2059,$E$7:$E$4378)+COUNTIF($E$7:E2059,E2059)-1</f>
        <v>79</v>
      </c>
    </row>
    <row r="2060" customFormat="false" ht="14.25" hidden="false" customHeight="true" outlineLevel="0" collapsed="false">
      <c r="A2060" s="51" t="n">
        <v>15127</v>
      </c>
      <c r="B2060" s="53" t="n">
        <v>40821.4375</v>
      </c>
      <c r="C2060" s="57" t="n">
        <f aca="false">INT($C$2)-INT(Table3[[#This Row],[Last Purchase Date]])</f>
        <v>66</v>
      </c>
      <c r="D2060" s="1" t="n">
        <v>1</v>
      </c>
      <c r="E2060" s="1" t="n">
        <v>406.53</v>
      </c>
      <c r="F2060" s="1" t="n">
        <f aca="false">ROUND((1-_xlfn.PERCENTRANK.INC($C$7:$C$4378,C2060))*9,0)</f>
        <v>4</v>
      </c>
      <c r="G2060" s="1" t="n">
        <f aca="false">ROUND(_xlfn.PERCENTRANK.INC($D$7:$D$4378,D2060)*9,0)</f>
        <v>0</v>
      </c>
      <c r="H2060" s="1" t="n">
        <f aca="false">ROUND(_xlfn.PERCENTRANK.INC($E$7:$E$4378,E2060)*9,0)</f>
        <v>3</v>
      </c>
      <c r="I2060" s="1" t="str">
        <f aca="false">CONCATENATE(F2060,G2060,H2060)</f>
        <v>403</v>
      </c>
      <c r="J2060" s="1" t="str">
        <f aca="false">_xlfn.IFS(AND(F2060&gt;=8,G2060&gt;=8,H2060&gt;=8),"CHAMPION",AND(F2060&gt;=6,G2060&gt;=7,H2060&gt;=6),"LOYAL CUSTOMER",AND(F2060&gt;=6,G2060&gt;=5,H2060&gt;=5),"POTENTIAL LOYALIST",AND(F2060&gt;=8,G2060&lt;=2,H2060&gt;=5),"NEW CUSTOMERS",AND(F2060&gt;=6,G2060&lt;=2,H2060&gt;=3),"PROMISING",AND(F2060&gt;=3,G2060&gt;=3,H2060&gt;=3),"NEED ATTENTION",AND(F2060&lt;=4,G2060&gt;=6,H2060&gt;=6),"AT RISK",AND(F2060&lt;=2,G2060&gt;=8,H2060&gt;=8),"CAN'T LOSE THEM",AND(F2060&lt;=2,G2060&lt;=2,H2060&lt;=2),"HIBERNATING",TRUE(),"Other")</f>
        <v>Other</v>
      </c>
      <c r="K2060" s="1" t="n">
        <f aca="false">RANK(E2060,$E$7:$E$4378)+COUNTIF($E$7:E2060,E2060)-1</f>
        <v>2802</v>
      </c>
    </row>
    <row r="2061" customFormat="false" ht="14.25" hidden="false" customHeight="true" outlineLevel="0" collapsed="false">
      <c r="A2061" s="51" t="n">
        <v>15128</v>
      </c>
      <c r="B2061" s="53" t="n">
        <v>40826.5791666667</v>
      </c>
      <c r="C2061" s="57" t="n">
        <f aca="false">INT($C$2)-INT(Table3[[#This Row],[Last Purchase Date]])</f>
        <v>61</v>
      </c>
      <c r="D2061" s="1" t="n">
        <v>8</v>
      </c>
      <c r="E2061" s="1" t="n">
        <v>1419.54</v>
      </c>
      <c r="F2061" s="1" t="n">
        <f aca="false">ROUND((1-_xlfn.PERCENTRANK.INC($C$7:$C$4378,C2061))*9,0)</f>
        <v>4</v>
      </c>
      <c r="G2061" s="1" t="n">
        <f aca="false">ROUND(_xlfn.PERCENTRANK.INC($D$7:$D$4378,D2061)*9,0)</f>
        <v>7</v>
      </c>
      <c r="H2061" s="1" t="n">
        <f aca="false">ROUND(_xlfn.PERCENTRANK.INC($E$7:$E$4378,E2061)*9,0)</f>
        <v>6</v>
      </c>
      <c r="I2061" s="1" t="str">
        <f aca="false">CONCATENATE(F2061,G2061,H2061)</f>
        <v>476</v>
      </c>
      <c r="J2061" s="1" t="str">
        <f aca="false">_xlfn.IFS(AND(F2061&gt;=8,G2061&gt;=8,H2061&gt;=8),"CHAMPION",AND(F2061&gt;=6,G2061&gt;=7,H2061&gt;=6),"LOYAL CUSTOMER",AND(F2061&gt;=6,G2061&gt;=5,H2061&gt;=5),"POTENTIAL LOYALIST",AND(F2061&gt;=8,G2061&lt;=2,H2061&gt;=5),"NEW CUSTOMERS",AND(F2061&gt;=6,G2061&lt;=2,H2061&gt;=3),"PROMISING",AND(F2061&gt;=3,G2061&gt;=3,H2061&gt;=3),"NEED ATTENTION",AND(F2061&lt;=4,G2061&gt;=6,H2061&gt;=6),"AT RISK",AND(F2061&lt;=2,G2061&gt;=8,H2061&gt;=8),"CAN'T LOSE THEM",AND(F2061&lt;=2,G2061&lt;=2,H2061&lt;=2),"HIBERNATING",TRUE(),"Other")</f>
        <v>NEED ATTENTION</v>
      </c>
      <c r="K2061" s="1" t="n">
        <f aca="false">RANK(E2061,$E$7:$E$4378)+COUNTIF($E$7:E2061,E2061)-1</f>
        <v>1222</v>
      </c>
    </row>
    <row r="2062" customFormat="false" ht="14.25" hidden="false" customHeight="true" outlineLevel="0" collapsed="false">
      <c r="A2062" s="51" t="n">
        <v>15129</v>
      </c>
      <c r="B2062" s="53" t="n">
        <v>40836.6111111111</v>
      </c>
      <c r="C2062" s="57" t="n">
        <f aca="false">INT($C$2)-INT(Table3[[#This Row],[Last Purchase Date]])</f>
        <v>51</v>
      </c>
      <c r="D2062" s="1" t="n">
        <v>11</v>
      </c>
      <c r="E2062" s="1" t="n">
        <v>3447.4</v>
      </c>
      <c r="F2062" s="1" t="n">
        <f aca="false">ROUND((1-_xlfn.PERCENTRANK.INC($C$7:$C$4378,C2062))*9,0)</f>
        <v>5</v>
      </c>
      <c r="G2062" s="1" t="n">
        <f aca="false">ROUND(_xlfn.PERCENTRANK.INC($D$7:$D$4378,D2062)*9,0)</f>
        <v>8</v>
      </c>
      <c r="H2062" s="1" t="n">
        <f aca="false">ROUND(_xlfn.PERCENTRANK.INC($E$7:$E$4378,E2062)*9,0)</f>
        <v>8</v>
      </c>
      <c r="I2062" s="1" t="str">
        <f aca="false">CONCATENATE(F2062,G2062,H2062)</f>
        <v>588</v>
      </c>
      <c r="J2062" s="1" t="str">
        <f aca="false">_xlfn.IFS(AND(F2062&gt;=8,G2062&gt;=8,H2062&gt;=8),"CHAMPION",AND(F2062&gt;=6,G2062&gt;=7,H2062&gt;=6),"LOYAL CUSTOMER",AND(F2062&gt;=6,G2062&gt;=5,H2062&gt;=5),"POTENTIAL LOYALIST",AND(F2062&gt;=8,G2062&lt;=2,H2062&gt;=5),"NEW CUSTOMERS",AND(F2062&gt;=6,G2062&lt;=2,H2062&gt;=3),"PROMISING",AND(F2062&gt;=3,G2062&gt;=3,H2062&gt;=3),"NEED ATTENTION",AND(F2062&lt;=4,G2062&gt;=6,H2062&gt;=6),"AT RISK",AND(F2062&lt;=2,G2062&gt;=8,H2062&gt;=8),"CAN'T LOSE THEM",AND(F2062&lt;=2,G2062&lt;=2,H2062&lt;=2),"HIBERNATING",TRUE(),"Other")</f>
        <v>NEED ATTENTION</v>
      </c>
      <c r="K2062" s="1" t="n">
        <f aca="false">RANK(E2062,$E$7:$E$4378)+COUNTIF($E$7:E2062,E2062)-1</f>
        <v>451</v>
      </c>
    </row>
    <row r="2063" customFormat="false" ht="14.25" hidden="false" customHeight="true" outlineLevel="0" collapsed="false">
      <c r="A2063" s="51" t="n">
        <v>15130</v>
      </c>
      <c r="B2063" s="53" t="n">
        <v>40717.4270833333</v>
      </c>
      <c r="C2063" s="57" t="n">
        <f aca="false">INT($C$2)-INT(Table3[[#This Row],[Last Purchase Date]])</f>
        <v>170</v>
      </c>
      <c r="D2063" s="1" t="n">
        <v>1</v>
      </c>
      <c r="E2063" s="1" t="n">
        <v>330.11</v>
      </c>
      <c r="F2063" s="1" t="n">
        <f aca="false">ROUND((1-_xlfn.PERCENTRANK.INC($C$7:$C$4378,C2063))*9,0)</f>
        <v>2</v>
      </c>
      <c r="G2063" s="1" t="n">
        <f aca="false">ROUND(_xlfn.PERCENTRANK.INC($D$7:$D$4378,D2063)*9,0)</f>
        <v>0</v>
      </c>
      <c r="H2063" s="1" t="n">
        <f aca="false">ROUND(_xlfn.PERCENTRANK.INC($E$7:$E$4378,E2063)*9,0)</f>
        <v>3</v>
      </c>
      <c r="I2063" s="1" t="str">
        <f aca="false">CONCATENATE(F2063,G2063,H2063)</f>
        <v>203</v>
      </c>
      <c r="J2063" s="1" t="str">
        <f aca="false">_xlfn.IFS(AND(F2063&gt;=8,G2063&gt;=8,H2063&gt;=8),"CHAMPION",AND(F2063&gt;=6,G2063&gt;=7,H2063&gt;=6),"LOYAL CUSTOMER",AND(F2063&gt;=6,G2063&gt;=5,H2063&gt;=5),"POTENTIAL LOYALIST",AND(F2063&gt;=8,G2063&lt;=2,H2063&gt;=5),"NEW CUSTOMERS",AND(F2063&gt;=6,G2063&lt;=2,H2063&gt;=3),"PROMISING",AND(F2063&gt;=3,G2063&gt;=3,H2063&gt;=3),"NEED ATTENTION",AND(F2063&lt;=4,G2063&gt;=6,H2063&gt;=6),"AT RISK",AND(F2063&lt;=2,G2063&gt;=8,H2063&gt;=8),"CAN'T LOSE THEM",AND(F2063&lt;=2,G2063&lt;=2,H2063&lt;=2),"HIBERNATING",TRUE(),"Other")</f>
        <v>Other</v>
      </c>
      <c r="K2063" s="1" t="n">
        <f aca="false">RANK(E2063,$E$7:$E$4378)+COUNTIF($E$7:E2063,E2063)-1</f>
        <v>3094</v>
      </c>
    </row>
    <row r="2064" customFormat="false" ht="14.25" hidden="false" customHeight="true" outlineLevel="0" collapsed="false">
      <c r="A2064" s="51" t="n">
        <v>15132</v>
      </c>
      <c r="B2064" s="53" t="n">
        <v>40868.7152777778</v>
      </c>
      <c r="C2064" s="57" t="n">
        <f aca="false">INT($C$2)-INT(Table3[[#This Row],[Last Purchase Date]])</f>
        <v>19</v>
      </c>
      <c r="D2064" s="1" t="n">
        <v>5</v>
      </c>
      <c r="E2064" s="1" t="n">
        <v>977.93</v>
      </c>
      <c r="F2064" s="1" t="n">
        <f aca="false">ROUND((1-_xlfn.PERCENTRANK.INC($C$7:$C$4378,C2064))*9,0)</f>
        <v>7</v>
      </c>
      <c r="G2064" s="1" t="n">
        <f aca="false">ROUND(_xlfn.PERCENTRANK.INC($D$7:$D$4378,D2064)*9,0)</f>
        <v>6</v>
      </c>
      <c r="H2064" s="1" t="n">
        <f aca="false">ROUND(_xlfn.PERCENTRANK.INC($E$7:$E$4378,E2064)*9,0)</f>
        <v>6</v>
      </c>
      <c r="I2064" s="1" t="str">
        <f aca="false">CONCATENATE(F2064,G2064,H2064)</f>
        <v>766</v>
      </c>
      <c r="J2064" s="1" t="str">
        <f aca="false">_xlfn.IFS(AND(F2064&gt;=8,G2064&gt;=8,H2064&gt;=8),"CHAMPION",AND(F2064&gt;=6,G2064&gt;=7,H2064&gt;=6),"LOYAL CUSTOMER",AND(F2064&gt;=6,G2064&gt;=5,H2064&gt;=5),"POTENTIAL LOYALIST",AND(F2064&gt;=8,G2064&lt;=2,H2064&gt;=5),"NEW CUSTOMERS",AND(F2064&gt;=6,G2064&lt;=2,H2064&gt;=3),"PROMISING",AND(F2064&gt;=3,G2064&gt;=3,H2064&gt;=3),"NEED ATTENTION",AND(F2064&lt;=4,G2064&gt;=6,H2064&gt;=6),"AT RISK",AND(F2064&lt;=2,G2064&gt;=8,H2064&gt;=8),"CAN'T LOSE THEM",AND(F2064&lt;=2,G2064&lt;=2,H2064&lt;=2),"HIBERNATING",TRUE(),"Other")</f>
        <v>POTENTIAL LOYALIST</v>
      </c>
      <c r="K2064" s="1" t="n">
        <f aca="false">RANK(E2064,$E$7:$E$4378)+COUNTIF($E$7:E2064,E2064)-1</f>
        <v>1667</v>
      </c>
    </row>
    <row r="2065" customFormat="false" ht="14.25" hidden="false" customHeight="true" outlineLevel="0" collapsed="false">
      <c r="A2065" s="51" t="n">
        <v>15133</v>
      </c>
      <c r="B2065" s="53" t="n">
        <v>40759.4472222222</v>
      </c>
      <c r="C2065" s="57" t="n">
        <f aca="false">INT($C$2)-INT(Table3[[#This Row],[Last Purchase Date]])</f>
        <v>128</v>
      </c>
      <c r="D2065" s="1" t="n">
        <v>3</v>
      </c>
      <c r="E2065" s="1" t="n">
        <v>982.42</v>
      </c>
      <c r="F2065" s="1" t="n">
        <f aca="false">ROUND((1-_xlfn.PERCENTRANK.INC($C$7:$C$4378,C2065))*9,0)</f>
        <v>2</v>
      </c>
      <c r="G2065" s="1" t="n">
        <f aca="false">ROUND(_xlfn.PERCENTRANK.INC($D$7:$D$4378,D2065)*9,0)</f>
        <v>4</v>
      </c>
      <c r="H2065" s="1" t="n">
        <f aca="false">ROUND(_xlfn.PERCENTRANK.INC($E$7:$E$4378,E2065)*9,0)</f>
        <v>6</v>
      </c>
      <c r="I2065" s="1" t="str">
        <f aca="false">CONCATENATE(F2065,G2065,H2065)</f>
        <v>246</v>
      </c>
      <c r="J2065" s="1" t="str">
        <f aca="false">_xlfn.IFS(AND(F2065&gt;=8,G2065&gt;=8,H2065&gt;=8),"CHAMPION",AND(F2065&gt;=6,G2065&gt;=7,H2065&gt;=6),"LOYAL CUSTOMER",AND(F2065&gt;=6,G2065&gt;=5,H2065&gt;=5),"POTENTIAL LOYALIST",AND(F2065&gt;=8,G2065&lt;=2,H2065&gt;=5),"NEW CUSTOMERS",AND(F2065&gt;=6,G2065&lt;=2,H2065&gt;=3),"PROMISING",AND(F2065&gt;=3,G2065&gt;=3,H2065&gt;=3),"NEED ATTENTION",AND(F2065&lt;=4,G2065&gt;=6,H2065&gt;=6),"AT RISK",AND(F2065&lt;=2,G2065&gt;=8,H2065&gt;=8),"CAN'T LOSE THEM",AND(F2065&lt;=2,G2065&lt;=2,H2065&lt;=2),"HIBERNATING",TRUE(),"Other")</f>
        <v>Other</v>
      </c>
      <c r="K2065" s="1" t="n">
        <f aca="false">RANK(E2065,$E$7:$E$4378)+COUNTIF($E$7:E2065,E2065)-1</f>
        <v>1656</v>
      </c>
    </row>
    <row r="2066" customFormat="false" ht="14.25" hidden="false" customHeight="true" outlineLevel="0" collapsed="false">
      <c r="A2066" s="51" t="n">
        <v>15134</v>
      </c>
      <c r="B2066" s="53" t="n">
        <v>40872.3715277778</v>
      </c>
      <c r="C2066" s="57" t="n">
        <f aca="false">INT($C$2)-INT(Table3[[#This Row],[Last Purchase Date]])</f>
        <v>15</v>
      </c>
      <c r="D2066" s="1" t="n">
        <v>8</v>
      </c>
      <c r="E2066" s="1" t="n">
        <v>1387.99</v>
      </c>
      <c r="F2066" s="1" t="n">
        <f aca="false">ROUND((1-_xlfn.PERCENTRANK.INC($C$7:$C$4378,C2066))*9,0)</f>
        <v>7</v>
      </c>
      <c r="G2066" s="1" t="n">
        <f aca="false">ROUND(_xlfn.PERCENTRANK.INC($D$7:$D$4378,D2066)*9,0)</f>
        <v>7</v>
      </c>
      <c r="H2066" s="1" t="n">
        <f aca="false">ROUND(_xlfn.PERCENTRANK.INC($E$7:$E$4378,E2066)*9,0)</f>
        <v>6</v>
      </c>
      <c r="I2066" s="1" t="str">
        <f aca="false">CONCATENATE(F2066,G2066,H2066)</f>
        <v>776</v>
      </c>
      <c r="J2066" s="1" t="str">
        <f aca="false">_xlfn.IFS(AND(F2066&gt;=8,G2066&gt;=8,H2066&gt;=8),"CHAMPION",AND(F2066&gt;=6,G2066&gt;=7,H2066&gt;=6),"LOYAL CUSTOMER",AND(F2066&gt;=6,G2066&gt;=5,H2066&gt;=5),"POTENTIAL LOYALIST",AND(F2066&gt;=8,G2066&lt;=2,H2066&gt;=5),"NEW CUSTOMERS",AND(F2066&gt;=6,G2066&lt;=2,H2066&gt;=3),"PROMISING",AND(F2066&gt;=3,G2066&gt;=3,H2066&gt;=3),"NEED ATTENTION",AND(F2066&lt;=4,G2066&gt;=6,H2066&gt;=6),"AT RISK",AND(F2066&lt;=2,G2066&gt;=8,H2066&gt;=8),"CAN'T LOSE THEM",AND(F2066&lt;=2,G2066&lt;=2,H2066&lt;=2),"HIBERNATING",TRUE(),"Other")</f>
        <v>LOYAL CUSTOMER</v>
      </c>
      <c r="K2066" s="1" t="n">
        <f aca="false">RANK(E2066,$E$7:$E$4378)+COUNTIF($E$7:E2066,E2066)-1</f>
        <v>1246</v>
      </c>
    </row>
    <row r="2067" customFormat="false" ht="14.25" hidden="false" customHeight="true" outlineLevel="0" collapsed="false">
      <c r="A2067" s="51" t="n">
        <v>15135</v>
      </c>
      <c r="B2067" s="53" t="n">
        <v>40653.6652777778</v>
      </c>
      <c r="C2067" s="57" t="n">
        <f aca="false">INT($C$2)-INT(Table3[[#This Row],[Last Purchase Date]])</f>
        <v>234</v>
      </c>
      <c r="D2067" s="1" t="n">
        <v>2</v>
      </c>
      <c r="E2067" s="1" t="n">
        <v>127.15</v>
      </c>
      <c r="F2067" s="1" t="n">
        <f aca="false">ROUND((1-_xlfn.PERCENTRANK.INC($C$7:$C$4378,C2067))*9,0)</f>
        <v>1</v>
      </c>
      <c r="G2067" s="1" t="n">
        <f aca="false">ROUND(_xlfn.PERCENTRANK.INC($D$7:$D$4378,D2067)*9,0)</f>
        <v>3</v>
      </c>
      <c r="H2067" s="1" t="n">
        <f aca="false">ROUND(_xlfn.PERCENTRANK.INC($E$7:$E$4378,E2067)*9,0)</f>
        <v>1</v>
      </c>
      <c r="I2067" s="1" t="str">
        <f aca="false">CONCATENATE(F2067,G2067,H2067)</f>
        <v>131</v>
      </c>
      <c r="J2067" s="1" t="str">
        <f aca="false">_xlfn.IFS(AND(F2067&gt;=8,G2067&gt;=8,H2067&gt;=8),"CHAMPION",AND(F2067&gt;=6,G2067&gt;=7,H2067&gt;=6),"LOYAL CUSTOMER",AND(F2067&gt;=6,G2067&gt;=5,H2067&gt;=5),"POTENTIAL LOYALIST",AND(F2067&gt;=8,G2067&lt;=2,H2067&gt;=5),"NEW CUSTOMERS",AND(F2067&gt;=6,G2067&lt;=2,H2067&gt;=3),"PROMISING",AND(F2067&gt;=3,G2067&gt;=3,H2067&gt;=3),"NEED ATTENTION",AND(F2067&lt;=4,G2067&gt;=6,H2067&gt;=6),"AT RISK",AND(F2067&lt;=2,G2067&gt;=8,H2067&gt;=8),"CAN'T LOSE THEM",AND(F2067&lt;=2,G2067&lt;=2,H2067&lt;=2),"HIBERNATING",TRUE(),"Other")</f>
        <v>Other</v>
      </c>
      <c r="K2067" s="1" t="n">
        <f aca="false">RANK(E2067,$E$7:$E$4378)+COUNTIF($E$7:E2067,E2067)-1</f>
        <v>4014</v>
      </c>
    </row>
    <row r="2068" customFormat="false" ht="14.25" hidden="false" customHeight="true" outlineLevel="0" collapsed="false">
      <c r="A2068" s="51" t="n">
        <v>15136</v>
      </c>
      <c r="B2068" s="53" t="n">
        <v>40884.5180555556</v>
      </c>
      <c r="C2068" s="57" t="n">
        <f aca="false">INT($C$2)-INT(Table3[[#This Row],[Last Purchase Date]])</f>
        <v>3</v>
      </c>
      <c r="D2068" s="1" t="n">
        <v>5</v>
      </c>
      <c r="E2068" s="1" t="n">
        <v>1282.45</v>
      </c>
      <c r="F2068" s="1" t="n">
        <f aca="false">ROUND((1-_xlfn.PERCENTRANK.INC($C$7:$C$4378,C2068))*9,0)</f>
        <v>9</v>
      </c>
      <c r="G2068" s="1" t="n">
        <f aca="false">ROUND(_xlfn.PERCENTRANK.INC($D$7:$D$4378,D2068)*9,0)</f>
        <v>6</v>
      </c>
      <c r="H2068" s="1" t="n">
        <f aca="false">ROUND(_xlfn.PERCENTRANK.INC($E$7:$E$4378,E2068)*9,0)</f>
        <v>6</v>
      </c>
      <c r="I2068" s="1" t="str">
        <f aca="false">CONCATENATE(F2068,G2068,H2068)</f>
        <v>966</v>
      </c>
      <c r="J2068" s="1" t="str">
        <f aca="false">_xlfn.IFS(AND(F2068&gt;=8,G2068&gt;=8,H2068&gt;=8),"CHAMPION",AND(F2068&gt;=6,G2068&gt;=7,H2068&gt;=6),"LOYAL CUSTOMER",AND(F2068&gt;=6,G2068&gt;=5,H2068&gt;=5),"POTENTIAL LOYALIST",AND(F2068&gt;=8,G2068&lt;=2,H2068&gt;=5),"NEW CUSTOMERS",AND(F2068&gt;=6,G2068&lt;=2,H2068&gt;=3),"PROMISING",AND(F2068&gt;=3,G2068&gt;=3,H2068&gt;=3),"NEED ATTENTION",AND(F2068&lt;=4,G2068&gt;=6,H2068&gt;=6),"AT RISK",AND(F2068&lt;=2,G2068&gt;=8,H2068&gt;=8),"CAN'T LOSE THEM",AND(F2068&lt;=2,G2068&lt;=2,H2068&lt;=2),"HIBERNATING",TRUE(),"Other")</f>
        <v>POTENTIAL LOYALIST</v>
      </c>
      <c r="K2068" s="1" t="n">
        <f aca="false">RANK(E2068,$E$7:$E$4378)+COUNTIF($E$7:E2068,E2068)-1</f>
        <v>1341</v>
      </c>
    </row>
    <row r="2069" customFormat="false" ht="14.25" hidden="false" customHeight="true" outlineLevel="0" collapsed="false">
      <c r="A2069" s="51" t="n">
        <v>15139</v>
      </c>
      <c r="B2069" s="53" t="n">
        <v>40647.4854166667</v>
      </c>
      <c r="C2069" s="57" t="n">
        <f aca="false">INT($C$2)-INT(Table3[[#This Row],[Last Purchase Date]])</f>
        <v>240</v>
      </c>
      <c r="D2069" s="1" t="n">
        <v>2</v>
      </c>
      <c r="E2069" s="1" t="n">
        <v>178.96</v>
      </c>
      <c r="F2069" s="1" t="n">
        <f aca="false">ROUND((1-_xlfn.PERCENTRANK.INC($C$7:$C$4378,C2069))*9,0)</f>
        <v>1</v>
      </c>
      <c r="G2069" s="1" t="n">
        <f aca="false">ROUND(_xlfn.PERCENTRANK.INC($D$7:$D$4378,D2069)*9,0)</f>
        <v>3</v>
      </c>
      <c r="H2069" s="1" t="n">
        <f aca="false">ROUND(_xlfn.PERCENTRANK.INC($E$7:$E$4378,E2069)*9,0)</f>
        <v>1</v>
      </c>
      <c r="I2069" s="1" t="str">
        <f aca="false">CONCATENATE(F2069,G2069,H2069)</f>
        <v>131</v>
      </c>
      <c r="J2069" s="1" t="str">
        <f aca="false">_xlfn.IFS(AND(F2069&gt;=8,G2069&gt;=8,H2069&gt;=8),"CHAMPION",AND(F2069&gt;=6,G2069&gt;=7,H2069&gt;=6),"LOYAL CUSTOMER",AND(F2069&gt;=6,G2069&gt;=5,H2069&gt;=5),"POTENTIAL LOYALIST",AND(F2069&gt;=8,G2069&lt;=2,H2069&gt;=5),"NEW CUSTOMERS",AND(F2069&gt;=6,G2069&lt;=2,H2069&gt;=3),"PROMISING",AND(F2069&gt;=3,G2069&gt;=3,H2069&gt;=3),"NEED ATTENTION",AND(F2069&lt;=4,G2069&gt;=6,H2069&gt;=6),"AT RISK",AND(F2069&lt;=2,G2069&gt;=8,H2069&gt;=8),"CAN'T LOSE THEM",AND(F2069&lt;=2,G2069&lt;=2,H2069&lt;=2),"HIBERNATING",TRUE(),"Other")</f>
        <v>Other</v>
      </c>
      <c r="K2069" s="1" t="n">
        <f aca="false">RANK(E2069,$E$7:$E$4378)+COUNTIF($E$7:E2069,E2069)-1</f>
        <v>3758</v>
      </c>
    </row>
    <row r="2070" customFormat="false" ht="14.25" hidden="false" customHeight="true" outlineLevel="0" collapsed="false">
      <c r="A2070" s="51" t="n">
        <v>15140</v>
      </c>
      <c r="B2070" s="53" t="n">
        <v>40834.5881944444</v>
      </c>
      <c r="C2070" s="57" t="n">
        <f aca="false">INT($C$2)-INT(Table3[[#This Row],[Last Purchase Date]])</f>
        <v>53</v>
      </c>
      <c r="D2070" s="1" t="n">
        <v>8</v>
      </c>
      <c r="E2070" s="1" t="n">
        <v>2350</v>
      </c>
      <c r="F2070" s="1" t="n">
        <f aca="false">ROUND((1-_xlfn.PERCENTRANK.INC($C$7:$C$4378,C2070))*9,0)</f>
        <v>4</v>
      </c>
      <c r="G2070" s="1" t="n">
        <f aca="false">ROUND(_xlfn.PERCENTRANK.INC($D$7:$D$4378,D2070)*9,0)</f>
        <v>7</v>
      </c>
      <c r="H2070" s="1" t="n">
        <f aca="false">ROUND(_xlfn.PERCENTRANK.INC($E$7:$E$4378,E2070)*9,0)</f>
        <v>8</v>
      </c>
      <c r="I2070" s="1" t="str">
        <f aca="false">CONCATENATE(F2070,G2070,H2070)</f>
        <v>478</v>
      </c>
      <c r="J2070" s="1" t="str">
        <f aca="false">_xlfn.IFS(AND(F2070&gt;=8,G2070&gt;=8,H2070&gt;=8),"CHAMPION",AND(F2070&gt;=6,G2070&gt;=7,H2070&gt;=6),"LOYAL CUSTOMER",AND(F2070&gt;=6,G2070&gt;=5,H2070&gt;=5),"POTENTIAL LOYALIST",AND(F2070&gt;=8,G2070&lt;=2,H2070&gt;=5),"NEW CUSTOMERS",AND(F2070&gt;=6,G2070&lt;=2,H2070&gt;=3),"PROMISING",AND(F2070&gt;=3,G2070&gt;=3,H2070&gt;=3),"NEED ATTENTION",AND(F2070&lt;=4,G2070&gt;=6,H2070&gt;=6),"AT RISK",AND(F2070&lt;=2,G2070&gt;=8,H2070&gt;=8),"CAN'T LOSE THEM",AND(F2070&lt;=2,G2070&lt;=2,H2070&lt;=2),"HIBERNATING",TRUE(),"Other")</f>
        <v>NEED ATTENTION</v>
      </c>
      <c r="K2070" s="1" t="n">
        <f aca="false">RANK(E2070,$E$7:$E$4378)+COUNTIF($E$7:E2070,E2070)-1</f>
        <v>726</v>
      </c>
    </row>
    <row r="2071" customFormat="false" ht="14.25" hidden="false" customHeight="true" outlineLevel="0" collapsed="false">
      <c r="A2071" s="51" t="n">
        <v>15142</v>
      </c>
      <c r="B2071" s="53" t="n">
        <v>40840.5354166667</v>
      </c>
      <c r="C2071" s="57" t="n">
        <f aca="false">INT($C$2)-INT(Table3[[#This Row],[Last Purchase Date]])</f>
        <v>47</v>
      </c>
      <c r="D2071" s="1" t="n">
        <v>1</v>
      </c>
      <c r="E2071" s="1" t="n">
        <v>498.74</v>
      </c>
      <c r="F2071" s="1" t="n">
        <f aca="false">ROUND((1-_xlfn.PERCENTRANK.INC($C$7:$C$4378,C2071))*9,0)</f>
        <v>5</v>
      </c>
      <c r="G2071" s="1" t="n">
        <f aca="false">ROUND(_xlfn.PERCENTRANK.INC($D$7:$D$4378,D2071)*9,0)</f>
        <v>0</v>
      </c>
      <c r="H2071" s="1" t="n">
        <f aca="false">ROUND(_xlfn.PERCENTRANK.INC($E$7:$E$4378,E2071)*9,0)</f>
        <v>4</v>
      </c>
      <c r="I2071" s="1" t="str">
        <f aca="false">CONCATENATE(F2071,G2071,H2071)</f>
        <v>504</v>
      </c>
      <c r="J2071" s="1" t="str">
        <f aca="false">_xlfn.IFS(AND(F2071&gt;=8,G2071&gt;=8,H2071&gt;=8),"CHAMPION",AND(F2071&gt;=6,G2071&gt;=7,H2071&gt;=6),"LOYAL CUSTOMER",AND(F2071&gt;=6,G2071&gt;=5,H2071&gt;=5),"POTENTIAL LOYALIST",AND(F2071&gt;=8,G2071&lt;=2,H2071&gt;=5),"NEW CUSTOMERS",AND(F2071&gt;=6,G2071&lt;=2,H2071&gt;=3),"PROMISING",AND(F2071&gt;=3,G2071&gt;=3,H2071&gt;=3),"NEED ATTENTION",AND(F2071&lt;=4,G2071&gt;=6,H2071&gt;=6),"AT RISK",AND(F2071&lt;=2,G2071&gt;=8,H2071&gt;=8),"CAN'T LOSE THEM",AND(F2071&lt;=2,G2071&lt;=2,H2071&lt;=2),"HIBERNATING",TRUE(),"Other")</f>
        <v>Other</v>
      </c>
      <c r="K2071" s="1" t="n">
        <f aca="false">RANK(E2071,$E$7:$E$4378)+COUNTIF($E$7:E2071,E2071)-1</f>
        <v>2545</v>
      </c>
    </row>
    <row r="2072" customFormat="false" ht="14.25" hidden="false" customHeight="true" outlineLevel="0" collapsed="false">
      <c r="A2072" s="51" t="n">
        <v>15143</v>
      </c>
      <c r="B2072" s="53" t="n">
        <v>40661.5020833333</v>
      </c>
      <c r="C2072" s="57" t="n">
        <f aca="false">INT($C$2)-INT(Table3[[#This Row],[Last Purchase Date]])</f>
        <v>226</v>
      </c>
      <c r="D2072" s="1" t="n">
        <v>1</v>
      </c>
      <c r="E2072" s="1" t="n">
        <v>259.45</v>
      </c>
      <c r="F2072" s="1" t="n">
        <f aca="false">ROUND((1-_xlfn.PERCENTRANK.INC($C$7:$C$4378,C2072))*9,0)</f>
        <v>1</v>
      </c>
      <c r="G2072" s="1" t="n">
        <f aca="false">ROUND(_xlfn.PERCENTRANK.INC($D$7:$D$4378,D2072)*9,0)</f>
        <v>0</v>
      </c>
      <c r="H2072" s="1" t="n">
        <f aca="false">ROUND(_xlfn.PERCENTRANK.INC($E$7:$E$4378,E2072)*9,0)</f>
        <v>2</v>
      </c>
      <c r="I2072" s="1" t="str">
        <f aca="false">CONCATENATE(F2072,G2072,H2072)</f>
        <v>102</v>
      </c>
      <c r="J2072" s="1" t="str">
        <f aca="false">_xlfn.IFS(AND(F2072&gt;=8,G2072&gt;=8,H2072&gt;=8),"CHAMPION",AND(F2072&gt;=6,G2072&gt;=7,H2072&gt;=6),"LOYAL CUSTOMER",AND(F2072&gt;=6,G2072&gt;=5,H2072&gt;=5),"POTENTIAL LOYALIST",AND(F2072&gt;=8,G2072&lt;=2,H2072&gt;=5),"NEW CUSTOMERS",AND(F2072&gt;=6,G2072&lt;=2,H2072&gt;=3),"PROMISING",AND(F2072&gt;=3,G2072&gt;=3,H2072&gt;=3),"NEED ATTENTION",AND(F2072&lt;=4,G2072&gt;=6,H2072&gt;=6),"AT RISK",AND(F2072&lt;=2,G2072&gt;=8,H2072&gt;=8),"CAN'T LOSE THEM",AND(F2072&lt;=2,G2072&lt;=2,H2072&lt;=2),"HIBERNATING",TRUE(),"Other")</f>
        <v>HIBERNATING</v>
      </c>
      <c r="K2072" s="1" t="n">
        <f aca="false">RANK(E2072,$E$7:$E$4378)+COUNTIF($E$7:E2072,E2072)-1</f>
        <v>3396</v>
      </c>
    </row>
    <row r="2073" customFormat="false" ht="14.25" hidden="false" customHeight="true" outlineLevel="0" collapsed="false">
      <c r="A2073" s="51" t="n">
        <v>15144</v>
      </c>
      <c r="B2073" s="53" t="n">
        <v>40878.6333333333</v>
      </c>
      <c r="C2073" s="57" t="n">
        <f aca="false">INT($C$2)-INT(Table3[[#This Row],[Last Purchase Date]])</f>
        <v>9</v>
      </c>
      <c r="D2073" s="1" t="n">
        <v>18</v>
      </c>
      <c r="E2073" s="1" t="n">
        <v>6530.04000000001</v>
      </c>
      <c r="F2073" s="1" t="n">
        <f aca="false">ROUND((1-_xlfn.PERCENTRANK.INC($C$7:$C$4378,C2073))*9,0)</f>
        <v>8</v>
      </c>
      <c r="G2073" s="1" t="n">
        <f aca="false">ROUND(_xlfn.PERCENTRANK.INC($D$7:$D$4378,D2073)*9,0)</f>
        <v>9</v>
      </c>
      <c r="H2073" s="1" t="n">
        <f aca="false">ROUND(_xlfn.PERCENTRANK.INC($E$7:$E$4378,E2073)*9,0)</f>
        <v>9</v>
      </c>
      <c r="I2073" s="1" t="str">
        <f aca="false">CONCATENATE(F2073,G2073,H2073)</f>
        <v>899</v>
      </c>
      <c r="J2073" s="1" t="str">
        <f aca="false">_xlfn.IFS(AND(F2073&gt;=8,G2073&gt;=8,H2073&gt;=8),"CHAMPION",AND(F2073&gt;=6,G2073&gt;=7,H2073&gt;=6),"LOYAL CUSTOMER",AND(F2073&gt;=6,G2073&gt;=5,H2073&gt;=5),"POTENTIAL LOYALIST",AND(F2073&gt;=8,G2073&lt;=2,H2073&gt;=5),"NEW CUSTOMERS",AND(F2073&gt;=6,G2073&lt;=2,H2073&gt;=3),"PROMISING",AND(F2073&gt;=3,G2073&gt;=3,H2073&gt;=3),"NEED ATTENTION",AND(F2073&lt;=4,G2073&gt;=6,H2073&gt;=6),"AT RISK",AND(F2073&lt;=2,G2073&gt;=8,H2073&gt;=8),"CAN'T LOSE THEM",AND(F2073&lt;=2,G2073&lt;=2,H2073&lt;=2),"HIBERNATING",TRUE(),"Other")</f>
        <v>CHAMPION</v>
      </c>
      <c r="K2073" s="1" t="n">
        <f aca="false">RANK(E2073,$E$7:$E$4378)+COUNTIF($E$7:E2073,E2073)-1</f>
        <v>179</v>
      </c>
    </row>
    <row r="2074" customFormat="false" ht="14.25" hidden="false" customHeight="true" outlineLevel="0" collapsed="false">
      <c r="A2074" s="51" t="n">
        <v>15145</v>
      </c>
      <c r="B2074" s="53" t="n">
        <v>40882.7229166667</v>
      </c>
      <c r="C2074" s="57" t="n">
        <f aca="false">INT($C$2)-INT(Table3[[#This Row],[Last Purchase Date]])</f>
        <v>5</v>
      </c>
      <c r="D2074" s="1" t="n">
        <v>4</v>
      </c>
      <c r="E2074" s="1" t="n">
        <v>1194.73</v>
      </c>
      <c r="F2074" s="1" t="n">
        <f aca="false">ROUND((1-_xlfn.PERCENTRANK.INC($C$7:$C$4378,C2074))*9,0)</f>
        <v>8</v>
      </c>
      <c r="G2074" s="1" t="n">
        <f aca="false">ROUND(_xlfn.PERCENTRANK.INC($D$7:$D$4378,D2074)*9,0)</f>
        <v>5</v>
      </c>
      <c r="H2074" s="1" t="n">
        <f aca="false">ROUND(_xlfn.PERCENTRANK.INC($E$7:$E$4378,E2074)*9,0)</f>
        <v>6</v>
      </c>
      <c r="I2074" s="1" t="str">
        <f aca="false">CONCATENATE(F2074,G2074,H2074)</f>
        <v>856</v>
      </c>
      <c r="J2074" s="1" t="str">
        <f aca="false">_xlfn.IFS(AND(F2074&gt;=8,G2074&gt;=8,H2074&gt;=8),"CHAMPION",AND(F2074&gt;=6,G2074&gt;=7,H2074&gt;=6),"LOYAL CUSTOMER",AND(F2074&gt;=6,G2074&gt;=5,H2074&gt;=5),"POTENTIAL LOYALIST",AND(F2074&gt;=8,G2074&lt;=2,H2074&gt;=5),"NEW CUSTOMERS",AND(F2074&gt;=6,G2074&lt;=2,H2074&gt;=3),"PROMISING",AND(F2074&gt;=3,G2074&gt;=3,H2074&gt;=3),"NEED ATTENTION",AND(F2074&lt;=4,G2074&gt;=6,H2074&gt;=6),"AT RISK",AND(F2074&lt;=2,G2074&gt;=8,H2074&gt;=8),"CAN'T LOSE THEM",AND(F2074&lt;=2,G2074&lt;=2,H2074&lt;=2),"HIBERNATING",TRUE(),"Other")</f>
        <v>POTENTIAL LOYALIST</v>
      </c>
      <c r="K2074" s="1" t="n">
        <f aca="false">RANK(E2074,$E$7:$E$4378)+COUNTIF($E$7:E2074,E2074)-1</f>
        <v>1419</v>
      </c>
    </row>
    <row r="2075" customFormat="false" ht="14.25" hidden="false" customHeight="true" outlineLevel="0" collapsed="false">
      <c r="A2075" s="51" t="n">
        <v>15146</v>
      </c>
      <c r="B2075" s="53" t="n">
        <v>40722.50625</v>
      </c>
      <c r="C2075" s="57" t="n">
        <f aca="false">INT($C$2)-INT(Table3[[#This Row],[Last Purchase Date]])</f>
        <v>165</v>
      </c>
      <c r="D2075" s="1" t="n">
        <v>3</v>
      </c>
      <c r="E2075" s="1" t="n">
        <v>1313.66</v>
      </c>
      <c r="F2075" s="1" t="n">
        <f aca="false">ROUND((1-_xlfn.PERCENTRANK.INC($C$7:$C$4378,C2075))*9,0)</f>
        <v>2</v>
      </c>
      <c r="G2075" s="1" t="n">
        <f aca="false">ROUND(_xlfn.PERCENTRANK.INC($D$7:$D$4378,D2075)*9,0)</f>
        <v>4</v>
      </c>
      <c r="H2075" s="1" t="n">
        <f aca="false">ROUND(_xlfn.PERCENTRANK.INC($E$7:$E$4378,E2075)*9,0)</f>
        <v>6</v>
      </c>
      <c r="I2075" s="1" t="str">
        <f aca="false">CONCATENATE(F2075,G2075,H2075)</f>
        <v>246</v>
      </c>
      <c r="J2075" s="1" t="str">
        <f aca="false">_xlfn.IFS(AND(F2075&gt;=8,G2075&gt;=8,H2075&gt;=8),"CHAMPION",AND(F2075&gt;=6,G2075&gt;=7,H2075&gt;=6),"LOYAL CUSTOMER",AND(F2075&gt;=6,G2075&gt;=5,H2075&gt;=5),"POTENTIAL LOYALIST",AND(F2075&gt;=8,G2075&lt;=2,H2075&gt;=5),"NEW CUSTOMERS",AND(F2075&gt;=6,G2075&lt;=2,H2075&gt;=3),"PROMISING",AND(F2075&gt;=3,G2075&gt;=3,H2075&gt;=3),"NEED ATTENTION",AND(F2075&lt;=4,G2075&gt;=6,H2075&gt;=6),"AT RISK",AND(F2075&lt;=2,G2075&gt;=8,H2075&gt;=8),"CAN'T LOSE THEM",AND(F2075&lt;=2,G2075&lt;=2,H2075&lt;=2),"HIBERNATING",TRUE(),"Other")</f>
        <v>Other</v>
      </c>
      <c r="K2075" s="1" t="n">
        <f aca="false">RANK(E2075,$E$7:$E$4378)+COUNTIF($E$7:E2075,E2075)-1</f>
        <v>1309</v>
      </c>
    </row>
    <row r="2076" customFormat="false" ht="14.25" hidden="false" customHeight="true" outlineLevel="0" collapsed="false">
      <c r="A2076" s="51" t="n">
        <v>15147</v>
      </c>
      <c r="B2076" s="53" t="n">
        <v>40668.4722222222</v>
      </c>
      <c r="C2076" s="57" t="n">
        <f aca="false">INT($C$2)-INT(Table3[[#This Row],[Last Purchase Date]])</f>
        <v>219</v>
      </c>
      <c r="D2076" s="1" t="n">
        <v>2</v>
      </c>
      <c r="E2076" s="1" t="n">
        <v>608.65</v>
      </c>
      <c r="F2076" s="1" t="n">
        <f aca="false">ROUND((1-_xlfn.PERCENTRANK.INC($C$7:$C$4378,C2076))*9,0)</f>
        <v>1</v>
      </c>
      <c r="G2076" s="1" t="n">
        <f aca="false">ROUND(_xlfn.PERCENTRANK.INC($D$7:$D$4378,D2076)*9,0)</f>
        <v>3</v>
      </c>
      <c r="H2076" s="1" t="n">
        <f aca="false">ROUND(_xlfn.PERCENTRANK.INC($E$7:$E$4378,E2076)*9,0)</f>
        <v>4</v>
      </c>
      <c r="I2076" s="1" t="str">
        <f aca="false">CONCATENATE(F2076,G2076,H2076)</f>
        <v>134</v>
      </c>
      <c r="J2076" s="1" t="str">
        <f aca="false">_xlfn.IFS(AND(F2076&gt;=8,G2076&gt;=8,H2076&gt;=8),"CHAMPION",AND(F2076&gt;=6,G2076&gt;=7,H2076&gt;=6),"LOYAL CUSTOMER",AND(F2076&gt;=6,G2076&gt;=5,H2076&gt;=5),"POTENTIAL LOYALIST",AND(F2076&gt;=8,G2076&lt;=2,H2076&gt;=5),"NEW CUSTOMERS",AND(F2076&gt;=6,G2076&lt;=2,H2076&gt;=3),"PROMISING",AND(F2076&gt;=3,G2076&gt;=3,H2076&gt;=3),"NEED ATTENTION",AND(F2076&lt;=4,G2076&gt;=6,H2076&gt;=6),"AT RISK",AND(F2076&lt;=2,G2076&gt;=8,H2076&gt;=8),"CAN'T LOSE THEM",AND(F2076&lt;=2,G2076&lt;=2,H2076&lt;=2),"HIBERNATING",TRUE(),"Other")</f>
        <v>Other</v>
      </c>
      <c r="K2076" s="1" t="n">
        <f aca="false">RANK(E2076,$E$7:$E$4378)+COUNTIF($E$7:E2076,E2076)-1</f>
        <v>2287</v>
      </c>
    </row>
    <row r="2077" customFormat="false" ht="14.25" hidden="false" customHeight="true" outlineLevel="0" collapsed="false">
      <c r="A2077" s="51" t="n">
        <v>15148</v>
      </c>
      <c r="B2077" s="53" t="n">
        <v>40876.3479166667</v>
      </c>
      <c r="C2077" s="57" t="n">
        <f aca="false">INT($C$2)-INT(Table3[[#This Row],[Last Purchase Date]])</f>
        <v>11</v>
      </c>
      <c r="D2077" s="1" t="n">
        <v>1</v>
      </c>
      <c r="E2077" s="1" t="n">
        <v>301.29</v>
      </c>
      <c r="F2077" s="1" t="n">
        <f aca="false">ROUND((1-_xlfn.PERCENTRANK.INC($C$7:$C$4378,C2077))*9,0)</f>
        <v>7</v>
      </c>
      <c r="G2077" s="1" t="n">
        <f aca="false">ROUND(_xlfn.PERCENTRANK.INC($D$7:$D$4378,D2077)*9,0)</f>
        <v>0</v>
      </c>
      <c r="H2077" s="1" t="n">
        <f aca="false">ROUND(_xlfn.PERCENTRANK.INC($E$7:$E$4378,E2077)*9,0)</f>
        <v>2</v>
      </c>
      <c r="I2077" s="1" t="str">
        <f aca="false">CONCATENATE(F2077,G2077,H2077)</f>
        <v>702</v>
      </c>
      <c r="J2077" s="1" t="str">
        <f aca="false">_xlfn.IFS(AND(F2077&gt;=8,G2077&gt;=8,H2077&gt;=8),"CHAMPION",AND(F2077&gt;=6,G2077&gt;=7,H2077&gt;=6),"LOYAL CUSTOMER",AND(F2077&gt;=6,G2077&gt;=5,H2077&gt;=5),"POTENTIAL LOYALIST",AND(F2077&gt;=8,G2077&lt;=2,H2077&gt;=5),"NEW CUSTOMERS",AND(F2077&gt;=6,G2077&lt;=2,H2077&gt;=3),"PROMISING",AND(F2077&gt;=3,G2077&gt;=3,H2077&gt;=3),"NEED ATTENTION",AND(F2077&lt;=4,G2077&gt;=6,H2077&gt;=6),"AT RISK",AND(F2077&lt;=2,G2077&gt;=8,H2077&gt;=8),"CAN'T LOSE THEM",AND(F2077&lt;=2,G2077&lt;=2,H2077&lt;=2),"HIBERNATING",TRUE(),"Other")</f>
        <v>Other</v>
      </c>
      <c r="K2077" s="1" t="n">
        <f aca="false">RANK(E2077,$E$7:$E$4378)+COUNTIF($E$7:E2077,E2077)-1</f>
        <v>3246</v>
      </c>
    </row>
    <row r="2078" customFormat="false" ht="14.25" hidden="false" customHeight="true" outlineLevel="0" collapsed="false">
      <c r="A2078" s="51" t="n">
        <v>15149</v>
      </c>
      <c r="B2078" s="53" t="n">
        <v>40753.4569444444</v>
      </c>
      <c r="C2078" s="57" t="n">
        <f aca="false">INT($C$2)-INT(Table3[[#This Row],[Last Purchase Date]])</f>
        <v>134</v>
      </c>
      <c r="D2078" s="1" t="n">
        <v>1</v>
      </c>
      <c r="E2078" s="1" t="n">
        <v>520.8</v>
      </c>
      <c r="F2078" s="1" t="n">
        <f aca="false">ROUND((1-_xlfn.PERCENTRANK.INC($C$7:$C$4378,C2078))*9,0)</f>
        <v>2</v>
      </c>
      <c r="G2078" s="1" t="n">
        <f aca="false">ROUND(_xlfn.PERCENTRANK.INC($D$7:$D$4378,D2078)*9,0)</f>
        <v>0</v>
      </c>
      <c r="H2078" s="1" t="n">
        <f aca="false">ROUND(_xlfn.PERCENTRANK.INC($E$7:$E$4378,E2078)*9,0)</f>
        <v>4</v>
      </c>
      <c r="I2078" s="1" t="str">
        <f aca="false">CONCATENATE(F2078,G2078,H2078)</f>
        <v>204</v>
      </c>
      <c r="J2078" s="1" t="str">
        <f aca="false">_xlfn.IFS(AND(F2078&gt;=8,G2078&gt;=8,H2078&gt;=8),"CHAMPION",AND(F2078&gt;=6,G2078&gt;=7,H2078&gt;=6),"LOYAL CUSTOMER",AND(F2078&gt;=6,G2078&gt;=5,H2078&gt;=5),"POTENTIAL LOYALIST",AND(F2078&gt;=8,G2078&lt;=2,H2078&gt;=5),"NEW CUSTOMERS",AND(F2078&gt;=6,G2078&lt;=2,H2078&gt;=3),"PROMISING",AND(F2078&gt;=3,G2078&gt;=3,H2078&gt;=3),"NEED ATTENTION",AND(F2078&lt;=4,G2078&gt;=6,H2078&gt;=6),"AT RISK",AND(F2078&lt;=2,G2078&gt;=8,H2078&gt;=8),"CAN'T LOSE THEM",AND(F2078&lt;=2,G2078&lt;=2,H2078&lt;=2),"HIBERNATING",TRUE(),"Other")</f>
        <v>Other</v>
      </c>
      <c r="K2078" s="1" t="n">
        <f aca="false">RANK(E2078,$E$7:$E$4378)+COUNTIF($E$7:E2078,E2078)-1</f>
        <v>2496</v>
      </c>
    </row>
    <row r="2079" customFormat="false" ht="14.25" hidden="false" customHeight="true" outlineLevel="0" collapsed="false">
      <c r="A2079" s="51" t="n">
        <v>15150</v>
      </c>
      <c r="B2079" s="53" t="n">
        <v>40869.5361111111</v>
      </c>
      <c r="C2079" s="57" t="n">
        <f aca="false">INT($C$2)-INT(Table3[[#This Row],[Last Purchase Date]])</f>
        <v>18</v>
      </c>
      <c r="D2079" s="1" t="n">
        <v>11</v>
      </c>
      <c r="E2079" s="1" t="n">
        <v>5303.97</v>
      </c>
      <c r="F2079" s="1" t="n">
        <f aca="false">ROUND((1-_xlfn.PERCENTRANK.INC($C$7:$C$4378,C2079))*9,0)</f>
        <v>7</v>
      </c>
      <c r="G2079" s="1" t="n">
        <f aca="false">ROUND(_xlfn.PERCENTRANK.INC($D$7:$D$4378,D2079)*9,0)</f>
        <v>8</v>
      </c>
      <c r="H2079" s="1" t="n">
        <f aca="false">ROUND(_xlfn.PERCENTRANK.INC($E$7:$E$4378,E2079)*9,0)</f>
        <v>9</v>
      </c>
      <c r="I2079" s="1" t="str">
        <f aca="false">CONCATENATE(F2079,G2079,H2079)</f>
        <v>789</v>
      </c>
      <c r="J2079" s="1" t="str">
        <f aca="false">_xlfn.IFS(AND(F2079&gt;=8,G2079&gt;=8,H2079&gt;=8),"CHAMPION",AND(F2079&gt;=6,G2079&gt;=7,H2079&gt;=6),"LOYAL CUSTOMER",AND(F2079&gt;=6,G2079&gt;=5,H2079&gt;=5),"POTENTIAL LOYALIST",AND(F2079&gt;=8,G2079&lt;=2,H2079&gt;=5),"NEW CUSTOMERS",AND(F2079&gt;=6,G2079&lt;=2,H2079&gt;=3),"PROMISING",AND(F2079&gt;=3,G2079&gt;=3,H2079&gt;=3),"NEED ATTENTION",AND(F2079&lt;=4,G2079&gt;=6,H2079&gt;=6),"AT RISK",AND(F2079&lt;=2,G2079&gt;=8,H2079&gt;=8),"CAN'T LOSE THEM",AND(F2079&lt;=2,G2079&lt;=2,H2079&lt;=2),"HIBERNATING",TRUE(),"Other")</f>
        <v>LOYAL CUSTOMER</v>
      </c>
      <c r="K2079" s="1" t="n">
        <f aca="false">RANK(E2079,$E$7:$E$4378)+COUNTIF($E$7:E2079,E2079)-1</f>
        <v>240</v>
      </c>
    </row>
    <row r="2080" customFormat="false" ht="14.25" hidden="false" customHeight="true" outlineLevel="0" collapsed="false">
      <c r="A2080" s="51" t="n">
        <v>15152</v>
      </c>
      <c r="B2080" s="53" t="n">
        <v>40877.5222222222</v>
      </c>
      <c r="C2080" s="57" t="n">
        <f aca="false">INT($C$2)-INT(Table3[[#This Row],[Last Purchase Date]])</f>
        <v>10</v>
      </c>
      <c r="D2080" s="1" t="n">
        <v>16</v>
      </c>
      <c r="E2080" s="1" t="n">
        <v>4684.24</v>
      </c>
      <c r="F2080" s="1" t="n">
        <f aca="false">ROUND((1-_xlfn.PERCENTRANK.INC($C$7:$C$4378,C2080))*9,0)</f>
        <v>8</v>
      </c>
      <c r="G2080" s="1" t="n">
        <f aca="false">ROUND(_xlfn.PERCENTRANK.INC($D$7:$D$4378,D2080)*9,0)</f>
        <v>9</v>
      </c>
      <c r="H2080" s="1" t="n">
        <f aca="false">ROUND(_xlfn.PERCENTRANK.INC($E$7:$E$4378,E2080)*9,0)</f>
        <v>8</v>
      </c>
      <c r="I2080" s="1" t="str">
        <f aca="false">CONCATENATE(F2080,G2080,H2080)</f>
        <v>898</v>
      </c>
      <c r="J2080" s="1" t="str">
        <f aca="false">_xlfn.IFS(AND(F2080&gt;=8,G2080&gt;=8,H2080&gt;=8),"CHAMPION",AND(F2080&gt;=6,G2080&gt;=7,H2080&gt;=6),"LOYAL CUSTOMER",AND(F2080&gt;=6,G2080&gt;=5,H2080&gt;=5),"POTENTIAL LOYALIST",AND(F2080&gt;=8,G2080&lt;=2,H2080&gt;=5),"NEW CUSTOMERS",AND(F2080&gt;=6,G2080&lt;=2,H2080&gt;=3),"PROMISING",AND(F2080&gt;=3,G2080&gt;=3,H2080&gt;=3),"NEED ATTENTION",AND(F2080&lt;=4,G2080&gt;=6,H2080&gt;=6),"AT RISK",AND(F2080&lt;=2,G2080&gt;=8,H2080&gt;=8),"CAN'T LOSE THEM",AND(F2080&lt;=2,G2080&lt;=2,H2080&lt;=2),"HIBERNATING",TRUE(),"Other")</f>
        <v>CHAMPION</v>
      </c>
      <c r="K2080" s="1" t="n">
        <f aca="false">RANK(E2080,$E$7:$E$4378)+COUNTIF($E$7:E2080,E2080)-1</f>
        <v>288</v>
      </c>
    </row>
    <row r="2081" customFormat="false" ht="14.25" hidden="false" customHeight="true" outlineLevel="0" collapsed="false">
      <c r="A2081" s="51" t="n">
        <v>15153</v>
      </c>
      <c r="B2081" s="53" t="n">
        <v>40855.7145833333</v>
      </c>
      <c r="C2081" s="57" t="n">
        <f aca="false">INT($C$2)-INT(Table3[[#This Row],[Last Purchase Date]])</f>
        <v>32</v>
      </c>
      <c r="D2081" s="1" t="n">
        <v>1</v>
      </c>
      <c r="E2081" s="1" t="n">
        <v>329.25</v>
      </c>
      <c r="F2081" s="1" t="n">
        <f aca="false">ROUND((1-_xlfn.PERCENTRANK.INC($C$7:$C$4378,C2081))*9,0)</f>
        <v>5</v>
      </c>
      <c r="G2081" s="1" t="n">
        <f aca="false">ROUND(_xlfn.PERCENTRANK.INC($D$7:$D$4378,D2081)*9,0)</f>
        <v>0</v>
      </c>
      <c r="H2081" s="1" t="n">
        <f aca="false">ROUND(_xlfn.PERCENTRANK.INC($E$7:$E$4378,E2081)*9,0)</f>
        <v>3</v>
      </c>
      <c r="I2081" s="1" t="str">
        <f aca="false">CONCATENATE(F2081,G2081,H2081)</f>
        <v>503</v>
      </c>
      <c r="J2081" s="1" t="str">
        <f aca="false">_xlfn.IFS(AND(F2081&gt;=8,G2081&gt;=8,H2081&gt;=8),"CHAMPION",AND(F2081&gt;=6,G2081&gt;=7,H2081&gt;=6),"LOYAL CUSTOMER",AND(F2081&gt;=6,G2081&gt;=5,H2081&gt;=5),"POTENTIAL LOYALIST",AND(F2081&gt;=8,G2081&lt;=2,H2081&gt;=5),"NEW CUSTOMERS",AND(F2081&gt;=6,G2081&lt;=2,H2081&gt;=3),"PROMISING",AND(F2081&gt;=3,G2081&gt;=3,H2081&gt;=3),"NEED ATTENTION",AND(F2081&lt;=4,G2081&gt;=6,H2081&gt;=6),"AT RISK",AND(F2081&lt;=2,G2081&gt;=8,H2081&gt;=8),"CAN'T LOSE THEM",AND(F2081&lt;=2,G2081&lt;=2,H2081&lt;=2),"HIBERNATING",TRUE(),"Other")</f>
        <v>Other</v>
      </c>
      <c r="K2081" s="1" t="n">
        <f aca="false">RANK(E2081,$E$7:$E$4378)+COUNTIF($E$7:E2081,E2081)-1</f>
        <v>3101</v>
      </c>
    </row>
    <row r="2082" customFormat="false" ht="14.25" hidden="false" customHeight="true" outlineLevel="0" collapsed="false">
      <c r="A2082" s="51" t="n">
        <v>15154</v>
      </c>
      <c r="B2082" s="53" t="n">
        <v>40812.6965277778</v>
      </c>
      <c r="C2082" s="57" t="n">
        <f aca="false">INT($C$2)-INT(Table3[[#This Row],[Last Purchase Date]])</f>
        <v>75</v>
      </c>
      <c r="D2082" s="1" t="n">
        <v>2</v>
      </c>
      <c r="E2082" s="1" t="n">
        <v>240.27</v>
      </c>
      <c r="F2082" s="1" t="n">
        <f aca="false">ROUND((1-_xlfn.PERCENTRANK.INC($C$7:$C$4378,C2082))*9,0)</f>
        <v>3</v>
      </c>
      <c r="G2082" s="1" t="n">
        <f aca="false">ROUND(_xlfn.PERCENTRANK.INC($D$7:$D$4378,D2082)*9,0)</f>
        <v>3</v>
      </c>
      <c r="H2082" s="1" t="n">
        <f aca="false">ROUND(_xlfn.PERCENTRANK.INC($E$7:$E$4378,E2082)*9,0)</f>
        <v>2</v>
      </c>
      <c r="I2082" s="1" t="str">
        <f aca="false">CONCATENATE(F2082,G2082,H2082)</f>
        <v>332</v>
      </c>
      <c r="J2082" s="1" t="str">
        <f aca="false">_xlfn.IFS(AND(F2082&gt;=8,G2082&gt;=8,H2082&gt;=8),"CHAMPION",AND(F2082&gt;=6,G2082&gt;=7,H2082&gt;=6),"LOYAL CUSTOMER",AND(F2082&gt;=6,G2082&gt;=5,H2082&gt;=5),"POTENTIAL LOYALIST",AND(F2082&gt;=8,G2082&lt;=2,H2082&gt;=5),"NEW CUSTOMERS",AND(F2082&gt;=6,G2082&lt;=2,H2082&gt;=3),"PROMISING",AND(F2082&gt;=3,G2082&gt;=3,H2082&gt;=3),"NEED ATTENTION",AND(F2082&lt;=4,G2082&gt;=6,H2082&gt;=6),"AT RISK",AND(F2082&lt;=2,G2082&gt;=8,H2082&gt;=8),"CAN'T LOSE THEM",AND(F2082&lt;=2,G2082&lt;=2,H2082&lt;=2),"HIBERNATING",TRUE(),"Other")</f>
        <v>Other</v>
      </c>
      <c r="K2082" s="1" t="n">
        <f aca="false">RANK(E2082,$E$7:$E$4378)+COUNTIF($E$7:E2082,E2082)-1</f>
        <v>3478</v>
      </c>
    </row>
    <row r="2083" customFormat="false" ht="14.25" hidden="false" customHeight="true" outlineLevel="0" collapsed="false">
      <c r="A2083" s="51" t="n">
        <v>15156</v>
      </c>
      <c r="B2083" s="53" t="n">
        <v>40885.7652777778</v>
      </c>
      <c r="C2083" s="57" t="n">
        <f aca="false">INT($C$2)-INT(Table3[[#This Row],[Last Purchase Date]])</f>
        <v>2</v>
      </c>
      <c r="D2083" s="1" t="n">
        <v>3</v>
      </c>
      <c r="E2083" s="1" t="n">
        <v>961.49</v>
      </c>
      <c r="F2083" s="1" t="n">
        <f aca="false">ROUND((1-_xlfn.PERCENTRANK.INC($C$7:$C$4378,C2083))*9,0)</f>
        <v>9</v>
      </c>
      <c r="G2083" s="1" t="n">
        <f aca="false">ROUND(_xlfn.PERCENTRANK.INC($D$7:$D$4378,D2083)*9,0)</f>
        <v>4</v>
      </c>
      <c r="H2083" s="1" t="n">
        <f aca="false">ROUND(_xlfn.PERCENTRANK.INC($E$7:$E$4378,E2083)*9,0)</f>
        <v>6</v>
      </c>
      <c r="I2083" s="1" t="str">
        <f aca="false">CONCATENATE(F2083,G2083,H2083)</f>
        <v>946</v>
      </c>
      <c r="J2083" s="1" t="str">
        <f aca="false">_xlfn.IFS(AND(F2083&gt;=8,G2083&gt;=8,H2083&gt;=8),"CHAMPION",AND(F2083&gt;=6,G2083&gt;=7,H2083&gt;=6),"LOYAL CUSTOMER",AND(F2083&gt;=6,G2083&gt;=5,H2083&gt;=5),"POTENTIAL LOYALIST",AND(F2083&gt;=8,G2083&lt;=2,H2083&gt;=5),"NEW CUSTOMERS",AND(F2083&gt;=6,G2083&lt;=2,H2083&gt;=3),"PROMISING",AND(F2083&gt;=3,G2083&gt;=3,H2083&gt;=3),"NEED ATTENTION",AND(F2083&lt;=4,G2083&gt;=6,H2083&gt;=6),"AT RISK",AND(F2083&lt;=2,G2083&gt;=8,H2083&gt;=8),"CAN'T LOSE THEM",AND(F2083&lt;=2,G2083&lt;=2,H2083&lt;=2),"HIBERNATING",TRUE(),"Other")</f>
        <v>NEED ATTENTION</v>
      </c>
      <c r="K2083" s="1" t="n">
        <f aca="false">RANK(E2083,$E$7:$E$4378)+COUNTIF($E$7:E2083,E2083)-1</f>
        <v>1686</v>
      </c>
    </row>
    <row r="2084" customFormat="false" ht="14.25" hidden="false" customHeight="true" outlineLevel="0" collapsed="false">
      <c r="A2084" s="51" t="n">
        <v>15157</v>
      </c>
      <c r="B2084" s="53" t="n">
        <v>40883.4777777778</v>
      </c>
      <c r="C2084" s="57" t="n">
        <f aca="false">INT($C$2)-INT(Table3[[#This Row],[Last Purchase Date]])</f>
        <v>4</v>
      </c>
      <c r="D2084" s="1" t="n">
        <v>5</v>
      </c>
      <c r="E2084" s="1" t="n">
        <v>1869.5</v>
      </c>
      <c r="F2084" s="1" t="n">
        <f aca="false">ROUND((1-_xlfn.PERCENTRANK.INC($C$7:$C$4378,C2084))*9,0)</f>
        <v>8</v>
      </c>
      <c r="G2084" s="1" t="n">
        <f aca="false">ROUND(_xlfn.PERCENTRANK.INC($D$7:$D$4378,D2084)*9,0)</f>
        <v>6</v>
      </c>
      <c r="H2084" s="1" t="n">
        <f aca="false">ROUND(_xlfn.PERCENTRANK.INC($E$7:$E$4378,E2084)*9,0)</f>
        <v>7</v>
      </c>
      <c r="I2084" s="1" t="str">
        <f aca="false">CONCATENATE(F2084,G2084,H2084)</f>
        <v>867</v>
      </c>
      <c r="J2084" s="1" t="str">
        <f aca="false">_xlfn.IFS(AND(F2084&gt;=8,G2084&gt;=8,H2084&gt;=8),"CHAMPION",AND(F2084&gt;=6,G2084&gt;=7,H2084&gt;=6),"LOYAL CUSTOMER",AND(F2084&gt;=6,G2084&gt;=5,H2084&gt;=5),"POTENTIAL LOYALIST",AND(F2084&gt;=8,G2084&lt;=2,H2084&gt;=5),"NEW CUSTOMERS",AND(F2084&gt;=6,G2084&lt;=2,H2084&gt;=3),"PROMISING",AND(F2084&gt;=3,G2084&gt;=3,H2084&gt;=3),"NEED ATTENTION",AND(F2084&lt;=4,G2084&gt;=6,H2084&gt;=6),"AT RISK",AND(F2084&lt;=2,G2084&gt;=8,H2084&gt;=8),"CAN'T LOSE THEM",AND(F2084&lt;=2,G2084&lt;=2,H2084&lt;=2),"HIBERNATING",TRUE(),"Other")</f>
        <v>POTENTIAL LOYALIST</v>
      </c>
      <c r="K2084" s="1" t="n">
        <f aca="false">RANK(E2084,$E$7:$E$4378)+COUNTIF($E$7:E2084,E2084)-1</f>
        <v>935</v>
      </c>
    </row>
    <row r="2085" customFormat="false" ht="14.25" hidden="false" customHeight="true" outlineLevel="0" collapsed="false">
      <c r="A2085" s="51" t="n">
        <v>15158</v>
      </c>
      <c r="B2085" s="53" t="n">
        <v>40841.5784722222</v>
      </c>
      <c r="C2085" s="57" t="n">
        <f aca="false">INT($C$2)-INT(Table3[[#This Row],[Last Purchase Date]])</f>
        <v>46</v>
      </c>
      <c r="D2085" s="1" t="n">
        <v>1</v>
      </c>
      <c r="E2085" s="1" t="n">
        <v>401.4</v>
      </c>
      <c r="F2085" s="1" t="n">
        <f aca="false">ROUND((1-_xlfn.PERCENTRANK.INC($C$7:$C$4378,C2085))*9,0)</f>
        <v>5</v>
      </c>
      <c r="G2085" s="1" t="n">
        <f aca="false">ROUND(_xlfn.PERCENTRANK.INC($D$7:$D$4378,D2085)*9,0)</f>
        <v>0</v>
      </c>
      <c r="H2085" s="1" t="n">
        <f aca="false">ROUND(_xlfn.PERCENTRANK.INC($E$7:$E$4378,E2085)*9,0)</f>
        <v>3</v>
      </c>
      <c r="I2085" s="1" t="str">
        <f aca="false">CONCATENATE(F2085,G2085,H2085)</f>
        <v>503</v>
      </c>
      <c r="J2085" s="1" t="str">
        <f aca="false">_xlfn.IFS(AND(F2085&gt;=8,G2085&gt;=8,H2085&gt;=8),"CHAMPION",AND(F2085&gt;=6,G2085&gt;=7,H2085&gt;=6),"LOYAL CUSTOMER",AND(F2085&gt;=6,G2085&gt;=5,H2085&gt;=5),"POTENTIAL LOYALIST",AND(F2085&gt;=8,G2085&lt;=2,H2085&gt;=5),"NEW CUSTOMERS",AND(F2085&gt;=6,G2085&lt;=2,H2085&gt;=3),"PROMISING",AND(F2085&gt;=3,G2085&gt;=3,H2085&gt;=3),"NEED ATTENTION",AND(F2085&lt;=4,G2085&gt;=6,H2085&gt;=6),"AT RISK",AND(F2085&lt;=2,G2085&gt;=8,H2085&gt;=8),"CAN'T LOSE THEM",AND(F2085&lt;=2,G2085&lt;=2,H2085&lt;=2),"HIBERNATING",TRUE(),"Other")</f>
        <v>Other</v>
      </c>
      <c r="K2085" s="1" t="n">
        <f aca="false">RANK(E2085,$E$7:$E$4378)+COUNTIF($E$7:E2085,E2085)-1</f>
        <v>2814</v>
      </c>
    </row>
    <row r="2086" customFormat="false" ht="14.25" hidden="false" customHeight="true" outlineLevel="0" collapsed="false">
      <c r="A2086" s="51" t="n">
        <v>15159</v>
      </c>
      <c r="B2086" s="53" t="n">
        <v>40885.5034722222</v>
      </c>
      <c r="C2086" s="57" t="n">
        <f aca="false">INT($C$2)-INT(Table3[[#This Row],[Last Purchase Date]])</f>
        <v>2</v>
      </c>
      <c r="D2086" s="1" t="n">
        <v>34</v>
      </c>
      <c r="E2086" s="1" t="n">
        <v>18573.68</v>
      </c>
      <c r="F2086" s="1" t="n">
        <f aca="false">ROUND((1-_xlfn.PERCENTRANK.INC($C$7:$C$4378,C2086))*9,0)</f>
        <v>9</v>
      </c>
      <c r="G2086" s="1" t="n">
        <f aca="false">ROUND(_xlfn.PERCENTRANK.INC($D$7:$D$4378,D2086)*9,0)</f>
        <v>9</v>
      </c>
      <c r="H2086" s="1" t="n">
        <f aca="false">ROUND(_xlfn.PERCENTRANK.INC($E$7:$E$4378,E2086)*9,0)</f>
        <v>9</v>
      </c>
      <c r="I2086" s="1" t="str">
        <f aca="false">CONCATENATE(F2086,G2086,H2086)</f>
        <v>999</v>
      </c>
      <c r="J2086" s="1" t="str">
        <f aca="false">_xlfn.IFS(AND(F2086&gt;=8,G2086&gt;=8,H2086&gt;=8),"CHAMPION",AND(F2086&gt;=6,G2086&gt;=7,H2086&gt;=6),"LOYAL CUSTOMER",AND(F2086&gt;=6,G2086&gt;=5,H2086&gt;=5),"POTENTIAL LOYALIST",AND(F2086&gt;=8,G2086&lt;=2,H2086&gt;=5),"NEW CUSTOMERS",AND(F2086&gt;=6,G2086&lt;=2,H2086&gt;=3),"PROMISING",AND(F2086&gt;=3,G2086&gt;=3,H2086&gt;=3),"NEED ATTENTION",AND(F2086&lt;=4,G2086&gt;=6,H2086&gt;=6),"AT RISK",AND(F2086&lt;=2,G2086&gt;=8,H2086&gt;=8),"CAN'T LOSE THEM",AND(F2086&lt;=2,G2086&lt;=2,H2086&lt;=2),"HIBERNATING",TRUE(),"Other")</f>
        <v>CHAMPION</v>
      </c>
      <c r="K2086" s="1" t="n">
        <f aca="false">RANK(E2086,$E$7:$E$4378)+COUNTIF($E$7:E2086,E2086)-1</f>
        <v>43</v>
      </c>
    </row>
    <row r="2087" customFormat="false" ht="14.25" hidden="false" customHeight="true" outlineLevel="0" collapsed="false">
      <c r="A2087" s="51" t="n">
        <v>15160</v>
      </c>
      <c r="B2087" s="53" t="n">
        <v>40529.59375</v>
      </c>
      <c r="C2087" s="57" t="n">
        <f aca="false">INT($C$2)-INT(Table3[[#This Row],[Last Purchase Date]])</f>
        <v>358</v>
      </c>
      <c r="D2087" s="1" t="n">
        <v>1</v>
      </c>
      <c r="E2087" s="1" t="n">
        <v>158.16</v>
      </c>
      <c r="F2087" s="1" t="n">
        <f aca="false">ROUND((1-_xlfn.PERCENTRANK.INC($C$7:$C$4378,C2087))*9,0)</f>
        <v>0</v>
      </c>
      <c r="G2087" s="1" t="n">
        <f aca="false">ROUND(_xlfn.PERCENTRANK.INC($D$7:$D$4378,D2087)*9,0)</f>
        <v>0</v>
      </c>
      <c r="H2087" s="1" t="n">
        <f aca="false">ROUND(_xlfn.PERCENTRANK.INC($E$7:$E$4378,E2087)*9,0)</f>
        <v>1</v>
      </c>
      <c r="I2087" s="1" t="str">
        <f aca="false">CONCATENATE(F2087,G2087,H2087)</f>
        <v>001</v>
      </c>
      <c r="J2087" s="1" t="str">
        <f aca="false">_xlfn.IFS(AND(F2087&gt;=8,G2087&gt;=8,H2087&gt;=8),"CHAMPION",AND(F2087&gt;=6,G2087&gt;=7,H2087&gt;=6),"LOYAL CUSTOMER",AND(F2087&gt;=6,G2087&gt;=5,H2087&gt;=5),"POTENTIAL LOYALIST",AND(F2087&gt;=8,G2087&lt;=2,H2087&gt;=5),"NEW CUSTOMERS",AND(F2087&gt;=6,G2087&lt;=2,H2087&gt;=3),"PROMISING",AND(F2087&gt;=3,G2087&gt;=3,H2087&gt;=3),"NEED ATTENTION",AND(F2087&lt;=4,G2087&gt;=6,H2087&gt;=6),"AT RISK",AND(F2087&lt;=2,G2087&gt;=8,H2087&gt;=8),"CAN'T LOSE THEM",AND(F2087&lt;=2,G2087&lt;=2,H2087&lt;=2),"HIBERNATING",TRUE(),"Other")</f>
        <v>HIBERNATING</v>
      </c>
      <c r="K2087" s="1" t="n">
        <f aca="false">RANK(E2087,$E$7:$E$4378)+COUNTIF($E$7:E2087,E2087)-1</f>
        <v>3867</v>
      </c>
    </row>
    <row r="2088" customFormat="false" ht="14.25" hidden="false" customHeight="true" outlineLevel="0" collapsed="false">
      <c r="A2088" s="51" t="n">
        <v>15163</v>
      </c>
      <c r="B2088" s="53" t="n">
        <v>40868.5486111111</v>
      </c>
      <c r="C2088" s="57" t="n">
        <f aca="false">INT($C$2)-INT(Table3[[#This Row],[Last Purchase Date]])</f>
        <v>19</v>
      </c>
      <c r="D2088" s="1" t="n">
        <v>2</v>
      </c>
      <c r="E2088" s="1" t="n">
        <v>304.47</v>
      </c>
      <c r="F2088" s="1" t="n">
        <f aca="false">ROUND((1-_xlfn.PERCENTRANK.INC($C$7:$C$4378,C2088))*9,0)</f>
        <v>7</v>
      </c>
      <c r="G2088" s="1" t="n">
        <f aca="false">ROUND(_xlfn.PERCENTRANK.INC($D$7:$D$4378,D2088)*9,0)</f>
        <v>3</v>
      </c>
      <c r="H2088" s="1" t="n">
        <f aca="false">ROUND(_xlfn.PERCENTRANK.INC($E$7:$E$4378,E2088)*9,0)</f>
        <v>2</v>
      </c>
      <c r="I2088" s="1" t="str">
        <f aca="false">CONCATENATE(F2088,G2088,H2088)</f>
        <v>732</v>
      </c>
      <c r="J2088" s="1" t="str">
        <f aca="false">_xlfn.IFS(AND(F2088&gt;=8,G2088&gt;=8,H2088&gt;=8),"CHAMPION",AND(F2088&gt;=6,G2088&gt;=7,H2088&gt;=6),"LOYAL CUSTOMER",AND(F2088&gt;=6,G2088&gt;=5,H2088&gt;=5),"POTENTIAL LOYALIST",AND(F2088&gt;=8,G2088&lt;=2,H2088&gt;=5),"NEW CUSTOMERS",AND(F2088&gt;=6,G2088&lt;=2,H2088&gt;=3),"PROMISING",AND(F2088&gt;=3,G2088&gt;=3,H2088&gt;=3),"NEED ATTENTION",AND(F2088&lt;=4,G2088&gt;=6,H2088&gt;=6),"AT RISK",AND(F2088&lt;=2,G2088&gt;=8,H2088&gt;=8),"CAN'T LOSE THEM",AND(F2088&lt;=2,G2088&lt;=2,H2088&lt;=2),"HIBERNATING",TRUE(),"Other")</f>
        <v>Other</v>
      </c>
      <c r="K2088" s="1" t="n">
        <f aca="false">RANK(E2088,$E$7:$E$4378)+COUNTIF($E$7:E2088,E2088)-1</f>
        <v>3229</v>
      </c>
    </row>
    <row r="2089" customFormat="false" ht="14.25" hidden="false" customHeight="true" outlineLevel="0" collapsed="false">
      <c r="A2089" s="51" t="n">
        <v>15164</v>
      </c>
      <c r="B2089" s="53" t="n">
        <v>40818.5034722222</v>
      </c>
      <c r="C2089" s="57" t="n">
        <f aca="false">INT($C$2)-INT(Table3[[#This Row],[Last Purchase Date]])</f>
        <v>69</v>
      </c>
      <c r="D2089" s="1" t="n">
        <v>3</v>
      </c>
      <c r="E2089" s="1" t="n">
        <v>843.05</v>
      </c>
      <c r="F2089" s="1" t="n">
        <f aca="false">ROUND((1-_xlfn.PERCENTRANK.INC($C$7:$C$4378,C2089))*9,0)</f>
        <v>4</v>
      </c>
      <c r="G2089" s="1" t="n">
        <f aca="false">ROUND(_xlfn.PERCENTRANK.INC($D$7:$D$4378,D2089)*9,0)</f>
        <v>4</v>
      </c>
      <c r="H2089" s="1" t="n">
        <f aca="false">ROUND(_xlfn.PERCENTRANK.INC($E$7:$E$4378,E2089)*9,0)</f>
        <v>5</v>
      </c>
      <c r="I2089" s="1" t="str">
        <f aca="false">CONCATENATE(F2089,G2089,H2089)</f>
        <v>445</v>
      </c>
      <c r="J2089" s="1" t="str">
        <f aca="false">_xlfn.IFS(AND(F2089&gt;=8,G2089&gt;=8,H2089&gt;=8),"CHAMPION",AND(F2089&gt;=6,G2089&gt;=7,H2089&gt;=6),"LOYAL CUSTOMER",AND(F2089&gt;=6,G2089&gt;=5,H2089&gt;=5),"POTENTIAL LOYALIST",AND(F2089&gt;=8,G2089&lt;=2,H2089&gt;=5),"NEW CUSTOMERS",AND(F2089&gt;=6,G2089&lt;=2,H2089&gt;=3),"PROMISING",AND(F2089&gt;=3,G2089&gt;=3,H2089&gt;=3),"NEED ATTENTION",AND(F2089&lt;=4,G2089&gt;=6,H2089&gt;=6),"AT RISK",AND(F2089&lt;=2,G2089&gt;=8,H2089&gt;=8),"CAN'T LOSE THEM",AND(F2089&lt;=2,G2089&lt;=2,H2089&lt;=2),"HIBERNATING",TRUE(),"Other")</f>
        <v>NEED ATTENTION</v>
      </c>
      <c r="K2089" s="1" t="n">
        <f aca="false">RANK(E2089,$E$7:$E$4378)+COUNTIF($E$7:E2089,E2089)-1</f>
        <v>1840</v>
      </c>
    </row>
    <row r="2090" customFormat="false" ht="14.25" hidden="false" customHeight="true" outlineLevel="0" collapsed="false">
      <c r="A2090" s="51" t="n">
        <v>15165</v>
      </c>
      <c r="B2090" s="53" t="n">
        <v>40513.5854166667</v>
      </c>
      <c r="C2090" s="57" t="n">
        <f aca="false">INT($C$2)-INT(Table3[[#This Row],[Last Purchase Date]])</f>
        <v>374</v>
      </c>
      <c r="D2090" s="1" t="n">
        <v>1</v>
      </c>
      <c r="E2090" s="1" t="n">
        <v>487.75</v>
      </c>
      <c r="F2090" s="1" t="n">
        <f aca="false">ROUND((1-_xlfn.PERCENTRANK.INC($C$7:$C$4378,C2090))*9,0)</f>
        <v>0</v>
      </c>
      <c r="G2090" s="1" t="n">
        <f aca="false">ROUND(_xlfn.PERCENTRANK.INC($D$7:$D$4378,D2090)*9,0)</f>
        <v>0</v>
      </c>
      <c r="H2090" s="1" t="n">
        <f aca="false">ROUND(_xlfn.PERCENTRANK.INC($E$7:$E$4378,E2090)*9,0)</f>
        <v>4</v>
      </c>
      <c r="I2090" s="1" t="str">
        <f aca="false">CONCATENATE(F2090,G2090,H2090)</f>
        <v>004</v>
      </c>
      <c r="J2090" s="1" t="str">
        <f aca="false">_xlfn.IFS(AND(F2090&gt;=8,G2090&gt;=8,H2090&gt;=8),"CHAMPION",AND(F2090&gt;=6,G2090&gt;=7,H2090&gt;=6),"LOYAL CUSTOMER",AND(F2090&gt;=6,G2090&gt;=5,H2090&gt;=5),"POTENTIAL LOYALIST",AND(F2090&gt;=8,G2090&lt;=2,H2090&gt;=5),"NEW CUSTOMERS",AND(F2090&gt;=6,G2090&lt;=2,H2090&gt;=3),"PROMISING",AND(F2090&gt;=3,G2090&gt;=3,H2090&gt;=3),"NEED ATTENTION",AND(F2090&lt;=4,G2090&gt;=6,H2090&gt;=6),"AT RISK",AND(F2090&lt;=2,G2090&gt;=8,H2090&gt;=8),"CAN'T LOSE THEM",AND(F2090&lt;=2,G2090&lt;=2,H2090&lt;=2),"HIBERNATING",TRUE(),"Other")</f>
        <v>Other</v>
      </c>
      <c r="K2090" s="1" t="n">
        <f aca="false">RANK(E2090,$E$7:$E$4378)+COUNTIF($E$7:E2090,E2090)-1</f>
        <v>2573</v>
      </c>
    </row>
    <row r="2091" customFormat="false" ht="14.25" hidden="false" customHeight="true" outlineLevel="0" collapsed="false">
      <c r="A2091" s="51" t="n">
        <v>15167</v>
      </c>
      <c r="B2091" s="53" t="n">
        <v>40566.5284722222</v>
      </c>
      <c r="C2091" s="57" t="n">
        <f aca="false">INT($C$2)-INT(Table3[[#This Row],[Last Purchase Date]])</f>
        <v>321</v>
      </c>
      <c r="D2091" s="1" t="n">
        <v>1</v>
      </c>
      <c r="E2091" s="1" t="n">
        <v>163</v>
      </c>
      <c r="F2091" s="1" t="n">
        <f aca="false">ROUND((1-_xlfn.PERCENTRANK.INC($C$7:$C$4378,C2091))*9,0)</f>
        <v>0</v>
      </c>
      <c r="G2091" s="1" t="n">
        <f aca="false">ROUND(_xlfn.PERCENTRANK.INC($D$7:$D$4378,D2091)*9,0)</f>
        <v>0</v>
      </c>
      <c r="H2091" s="1" t="n">
        <f aca="false">ROUND(_xlfn.PERCENTRANK.INC($E$7:$E$4378,E2091)*9,0)</f>
        <v>1</v>
      </c>
      <c r="I2091" s="1" t="str">
        <f aca="false">CONCATENATE(F2091,G2091,H2091)</f>
        <v>001</v>
      </c>
      <c r="J2091" s="1" t="str">
        <f aca="false">_xlfn.IFS(AND(F2091&gt;=8,G2091&gt;=8,H2091&gt;=8),"CHAMPION",AND(F2091&gt;=6,G2091&gt;=7,H2091&gt;=6),"LOYAL CUSTOMER",AND(F2091&gt;=6,G2091&gt;=5,H2091&gt;=5),"POTENTIAL LOYALIST",AND(F2091&gt;=8,G2091&lt;=2,H2091&gt;=5),"NEW CUSTOMERS",AND(F2091&gt;=6,G2091&lt;=2,H2091&gt;=3),"PROMISING",AND(F2091&gt;=3,G2091&gt;=3,H2091&gt;=3),"NEED ATTENTION",AND(F2091&lt;=4,G2091&gt;=6,H2091&gt;=6),"AT RISK",AND(F2091&lt;=2,G2091&gt;=8,H2091&gt;=8),"CAN'T LOSE THEM",AND(F2091&lt;=2,G2091&lt;=2,H2091&lt;=2),"HIBERNATING",TRUE(),"Other")</f>
        <v>HIBERNATING</v>
      </c>
      <c r="K2091" s="1" t="n">
        <f aca="false">RANK(E2091,$E$7:$E$4378)+COUNTIF($E$7:E2091,E2091)-1</f>
        <v>3842</v>
      </c>
    </row>
    <row r="2092" customFormat="false" ht="14.25" hidden="false" customHeight="true" outlineLevel="0" collapsed="false">
      <c r="A2092" s="51" t="n">
        <v>15168</v>
      </c>
      <c r="B2092" s="53" t="n">
        <v>40861.4763888889</v>
      </c>
      <c r="C2092" s="57" t="n">
        <f aca="false">INT($C$2)-INT(Table3[[#This Row],[Last Purchase Date]])</f>
        <v>26</v>
      </c>
      <c r="D2092" s="1" t="n">
        <v>1</v>
      </c>
      <c r="E2092" s="1" t="n">
        <v>106.56</v>
      </c>
      <c r="F2092" s="1" t="n">
        <f aca="false">ROUND((1-_xlfn.PERCENTRANK.INC($C$7:$C$4378,C2092))*9,0)</f>
        <v>6</v>
      </c>
      <c r="G2092" s="1" t="n">
        <f aca="false">ROUND(_xlfn.PERCENTRANK.INC($D$7:$D$4378,D2092)*9,0)</f>
        <v>0</v>
      </c>
      <c r="H2092" s="1" t="n">
        <f aca="false">ROUND(_xlfn.PERCENTRANK.INC($E$7:$E$4378,E2092)*9,0)</f>
        <v>0</v>
      </c>
      <c r="I2092" s="1" t="str">
        <f aca="false">CONCATENATE(F2092,G2092,H2092)</f>
        <v>600</v>
      </c>
      <c r="J2092" s="1" t="str">
        <f aca="false">_xlfn.IFS(AND(F2092&gt;=8,G2092&gt;=8,H2092&gt;=8),"CHAMPION",AND(F2092&gt;=6,G2092&gt;=7,H2092&gt;=6),"LOYAL CUSTOMER",AND(F2092&gt;=6,G2092&gt;=5,H2092&gt;=5),"POTENTIAL LOYALIST",AND(F2092&gt;=8,G2092&lt;=2,H2092&gt;=5),"NEW CUSTOMERS",AND(F2092&gt;=6,G2092&lt;=2,H2092&gt;=3),"PROMISING",AND(F2092&gt;=3,G2092&gt;=3,H2092&gt;=3),"NEED ATTENTION",AND(F2092&lt;=4,G2092&gt;=6,H2092&gt;=6),"AT RISK",AND(F2092&lt;=2,G2092&gt;=8,H2092&gt;=8),"CAN'T LOSE THEM",AND(F2092&lt;=2,G2092&lt;=2,H2092&lt;=2),"HIBERNATING",TRUE(),"Other")</f>
        <v>Other</v>
      </c>
      <c r="K2092" s="1" t="n">
        <f aca="false">RANK(E2092,$E$7:$E$4378)+COUNTIF($E$7:E2092,E2092)-1</f>
        <v>4130</v>
      </c>
    </row>
    <row r="2093" customFormat="false" ht="14.25" hidden="false" customHeight="true" outlineLevel="0" collapsed="false">
      <c r="A2093" s="51" t="n">
        <v>15171</v>
      </c>
      <c r="B2093" s="53" t="n">
        <v>40562.5270833333</v>
      </c>
      <c r="C2093" s="57" t="n">
        <f aca="false">INT($C$2)-INT(Table3[[#This Row],[Last Purchase Date]])</f>
        <v>325</v>
      </c>
      <c r="D2093" s="1" t="n">
        <v>2</v>
      </c>
      <c r="E2093" s="1" t="n">
        <v>1034.5</v>
      </c>
      <c r="F2093" s="1" t="n">
        <f aca="false">ROUND((1-_xlfn.PERCENTRANK.INC($C$7:$C$4378,C2093))*9,0)</f>
        <v>0</v>
      </c>
      <c r="G2093" s="1" t="n">
        <f aca="false">ROUND(_xlfn.PERCENTRANK.INC($D$7:$D$4378,D2093)*9,0)</f>
        <v>3</v>
      </c>
      <c r="H2093" s="1" t="n">
        <f aca="false">ROUND(_xlfn.PERCENTRANK.INC($E$7:$E$4378,E2093)*9,0)</f>
        <v>6</v>
      </c>
      <c r="I2093" s="1" t="str">
        <f aca="false">CONCATENATE(F2093,G2093,H2093)</f>
        <v>036</v>
      </c>
      <c r="J2093" s="1" t="str">
        <f aca="false">_xlfn.IFS(AND(F2093&gt;=8,G2093&gt;=8,H2093&gt;=8),"CHAMPION",AND(F2093&gt;=6,G2093&gt;=7,H2093&gt;=6),"LOYAL CUSTOMER",AND(F2093&gt;=6,G2093&gt;=5,H2093&gt;=5),"POTENTIAL LOYALIST",AND(F2093&gt;=8,G2093&lt;=2,H2093&gt;=5),"NEW CUSTOMERS",AND(F2093&gt;=6,G2093&lt;=2,H2093&gt;=3),"PROMISING",AND(F2093&gt;=3,G2093&gt;=3,H2093&gt;=3),"NEED ATTENTION",AND(F2093&lt;=4,G2093&gt;=6,H2093&gt;=6),"AT RISK",AND(F2093&lt;=2,G2093&gt;=8,H2093&gt;=8),"CAN'T LOSE THEM",AND(F2093&lt;=2,G2093&lt;=2,H2093&lt;=2),"HIBERNATING",TRUE(),"Other")</f>
        <v>Other</v>
      </c>
      <c r="K2093" s="1" t="n">
        <f aca="false">RANK(E2093,$E$7:$E$4378)+COUNTIF($E$7:E2093,E2093)-1</f>
        <v>1588</v>
      </c>
    </row>
    <row r="2094" customFormat="false" ht="14.25" hidden="false" customHeight="true" outlineLevel="0" collapsed="false">
      <c r="A2094" s="51" t="n">
        <v>15172</v>
      </c>
      <c r="B2094" s="53" t="n">
        <v>40878.49375</v>
      </c>
      <c r="C2094" s="57" t="n">
        <f aca="false">INT($C$2)-INT(Table3[[#This Row],[Last Purchase Date]])</f>
        <v>9</v>
      </c>
      <c r="D2094" s="1" t="n">
        <v>5</v>
      </c>
      <c r="E2094" s="1" t="n">
        <v>1624.05</v>
      </c>
      <c r="F2094" s="1" t="n">
        <f aca="false">ROUND((1-_xlfn.PERCENTRANK.INC($C$7:$C$4378,C2094))*9,0)</f>
        <v>8</v>
      </c>
      <c r="G2094" s="1" t="n">
        <f aca="false">ROUND(_xlfn.PERCENTRANK.INC($D$7:$D$4378,D2094)*9,0)</f>
        <v>6</v>
      </c>
      <c r="H2094" s="1" t="n">
        <f aca="false">ROUND(_xlfn.PERCENTRANK.INC($E$7:$E$4378,E2094)*9,0)</f>
        <v>7</v>
      </c>
      <c r="I2094" s="1" t="str">
        <f aca="false">CONCATENATE(F2094,G2094,H2094)</f>
        <v>867</v>
      </c>
      <c r="J2094" s="1" t="str">
        <f aca="false">_xlfn.IFS(AND(F2094&gt;=8,G2094&gt;=8,H2094&gt;=8),"CHAMPION",AND(F2094&gt;=6,G2094&gt;=7,H2094&gt;=6),"LOYAL CUSTOMER",AND(F2094&gt;=6,G2094&gt;=5,H2094&gt;=5),"POTENTIAL LOYALIST",AND(F2094&gt;=8,G2094&lt;=2,H2094&gt;=5),"NEW CUSTOMERS",AND(F2094&gt;=6,G2094&lt;=2,H2094&gt;=3),"PROMISING",AND(F2094&gt;=3,G2094&gt;=3,H2094&gt;=3),"NEED ATTENTION",AND(F2094&lt;=4,G2094&gt;=6,H2094&gt;=6),"AT RISK",AND(F2094&lt;=2,G2094&gt;=8,H2094&gt;=8),"CAN'T LOSE THEM",AND(F2094&lt;=2,G2094&lt;=2,H2094&lt;=2),"HIBERNATING",TRUE(),"Other")</f>
        <v>POTENTIAL LOYALIST</v>
      </c>
      <c r="K2094" s="1" t="n">
        <f aca="false">RANK(E2094,$E$7:$E$4378)+COUNTIF($E$7:E2094,E2094)-1</f>
        <v>1084</v>
      </c>
    </row>
    <row r="2095" customFormat="false" ht="14.25" hidden="false" customHeight="true" outlineLevel="0" collapsed="false">
      <c r="A2095" s="51" t="n">
        <v>15174</v>
      </c>
      <c r="B2095" s="53" t="n">
        <v>40564.3791666667</v>
      </c>
      <c r="C2095" s="57" t="n">
        <f aca="false">INT($C$2)-INT(Table3[[#This Row],[Last Purchase Date]])</f>
        <v>323</v>
      </c>
      <c r="D2095" s="1" t="n">
        <v>1</v>
      </c>
      <c r="E2095" s="1" t="n">
        <v>135.75</v>
      </c>
      <c r="F2095" s="1" t="n">
        <f aca="false">ROUND((1-_xlfn.PERCENTRANK.INC($C$7:$C$4378,C2095))*9,0)</f>
        <v>0</v>
      </c>
      <c r="G2095" s="1" t="n">
        <f aca="false">ROUND(_xlfn.PERCENTRANK.INC($D$7:$D$4378,D2095)*9,0)</f>
        <v>0</v>
      </c>
      <c r="H2095" s="1" t="n">
        <f aca="false">ROUND(_xlfn.PERCENTRANK.INC($E$7:$E$4378,E2095)*9,0)</f>
        <v>1</v>
      </c>
      <c r="I2095" s="1" t="str">
        <f aca="false">CONCATENATE(F2095,G2095,H2095)</f>
        <v>001</v>
      </c>
      <c r="J2095" s="1" t="str">
        <f aca="false">_xlfn.IFS(AND(F2095&gt;=8,G2095&gt;=8,H2095&gt;=8),"CHAMPION",AND(F2095&gt;=6,G2095&gt;=7,H2095&gt;=6),"LOYAL CUSTOMER",AND(F2095&gt;=6,G2095&gt;=5,H2095&gt;=5),"POTENTIAL LOYALIST",AND(F2095&gt;=8,G2095&lt;=2,H2095&gt;=5),"NEW CUSTOMERS",AND(F2095&gt;=6,G2095&lt;=2,H2095&gt;=3),"PROMISING",AND(F2095&gt;=3,G2095&gt;=3,H2095&gt;=3),"NEED ATTENTION",AND(F2095&lt;=4,G2095&gt;=6,H2095&gt;=6),"AT RISK",AND(F2095&lt;=2,G2095&gt;=8,H2095&gt;=8),"CAN'T LOSE THEM",AND(F2095&lt;=2,G2095&lt;=2,H2095&lt;=2),"HIBERNATING",TRUE(),"Other")</f>
        <v>HIBERNATING</v>
      </c>
      <c r="K2095" s="1" t="n">
        <f aca="false">RANK(E2095,$E$7:$E$4378)+COUNTIF($E$7:E2095,E2095)-1</f>
        <v>3982</v>
      </c>
    </row>
    <row r="2096" customFormat="false" ht="14.25" hidden="false" customHeight="true" outlineLevel="0" collapsed="false">
      <c r="A2096" s="51" t="n">
        <v>15175</v>
      </c>
      <c r="B2096" s="53" t="n">
        <v>40815.4798611111</v>
      </c>
      <c r="C2096" s="57" t="n">
        <f aca="false">INT($C$2)-INT(Table3[[#This Row],[Last Purchase Date]])</f>
        <v>72</v>
      </c>
      <c r="D2096" s="1" t="n">
        <v>1</v>
      </c>
      <c r="E2096" s="1" t="n">
        <v>224.14</v>
      </c>
      <c r="F2096" s="1" t="n">
        <f aca="false">ROUND((1-_xlfn.PERCENTRANK.INC($C$7:$C$4378,C2096))*9,0)</f>
        <v>4</v>
      </c>
      <c r="G2096" s="1" t="n">
        <f aca="false">ROUND(_xlfn.PERCENTRANK.INC($D$7:$D$4378,D2096)*9,0)</f>
        <v>0</v>
      </c>
      <c r="H2096" s="1" t="n">
        <f aca="false">ROUND(_xlfn.PERCENTRANK.INC($E$7:$E$4378,E2096)*9,0)</f>
        <v>2</v>
      </c>
      <c r="I2096" s="1" t="str">
        <f aca="false">CONCATENATE(F2096,G2096,H2096)</f>
        <v>402</v>
      </c>
      <c r="J2096" s="1" t="str">
        <f aca="false">_xlfn.IFS(AND(F2096&gt;=8,G2096&gt;=8,H2096&gt;=8),"CHAMPION",AND(F2096&gt;=6,G2096&gt;=7,H2096&gt;=6),"LOYAL CUSTOMER",AND(F2096&gt;=6,G2096&gt;=5,H2096&gt;=5),"POTENTIAL LOYALIST",AND(F2096&gt;=8,G2096&lt;=2,H2096&gt;=5),"NEW CUSTOMERS",AND(F2096&gt;=6,G2096&lt;=2,H2096&gt;=3),"PROMISING",AND(F2096&gt;=3,G2096&gt;=3,H2096&gt;=3),"NEED ATTENTION",AND(F2096&lt;=4,G2096&gt;=6,H2096&gt;=6),"AT RISK",AND(F2096&lt;=2,G2096&gt;=8,H2096&gt;=8),"CAN'T LOSE THEM",AND(F2096&lt;=2,G2096&lt;=2,H2096&lt;=2),"HIBERNATING",TRUE(),"Other")</f>
        <v>Other</v>
      </c>
      <c r="K2096" s="1" t="n">
        <f aca="false">RANK(E2096,$E$7:$E$4378)+COUNTIF($E$7:E2096,E2096)-1</f>
        <v>3542</v>
      </c>
    </row>
    <row r="2097" customFormat="false" ht="14.25" hidden="false" customHeight="true" outlineLevel="0" collapsed="false">
      <c r="A2097" s="51" t="n">
        <v>15178</v>
      </c>
      <c r="B2097" s="53" t="n">
        <v>40626.6333333333</v>
      </c>
      <c r="C2097" s="57" t="n">
        <f aca="false">INT($C$2)-INT(Table3[[#This Row],[Last Purchase Date]])</f>
        <v>261</v>
      </c>
      <c r="D2097" s="1" t="n">
        <v>1</v>
      </c>
      <c r="E2097" s="1" t="n">
        <v>40.5</v>
      </c>
      <c r="F2097" s="1" t="n">
        <f aca="false">ROUND((1-_xlfn.PERCENTRANK.INC($C$7:$C$4378,C2097))*9,0)</f>
        <v>1</v>
      </c>
      <c r="G2097" s="1" t="n">
        <f aca="false">ROUND(_xlfn.PERCENTRANK.INC($D$7:$D$4378,D2097)*9,0)</f>
        <v>0</v>
      </c>
      <c r="H2097" s="1" t="n">
        <f aca="false">ROUND(_xlfn.PERCENTRANK.INC($E$7:$E$4378,E2097)*9,0)</f>
        <v>0</v>
      </c>
      <c r="I2097" s="1" t="str">
        <f aca="false">CONCATENATE(F2097,G2097,H2097)</f>
        <v>100</v>
      </c>
      <c r="J2097" s="1" t="str">
        <f aca="false">_xlfn.IFS(AND(F2097&gt;=8,G2097&gt;=8,H2097&gt;=8),"CHAMPION",AND(F2097&gt;=6,G2097&gt;=7,H2097&gt;=6),"LOYAL CUSTOMER",AND(F2097&gt;=6,G2097&gt;=5,H2097&gt;=5),"POTENTIAL LOYALIST",AND(F2097&gt;=8,G2097&lt;=2,H2097&gt;=5),"NEW CUSTOMERS",AND(F2097&gt;=6,G2097&lt;=2,H2097&gt;=3),"PROMISING",AND(F2097&gt;=3,G2097&gt;=3,H2097&gt;=3),"NEED ATTENTION",AND(F2097&lt;=4,G2097&gt;=6,H2097&gt;=6),"AT RISK",AND(F2097&lt;=2,G2097&gt;=8,H2097&gt;=8),"CAN'T LOSE THEM",AND(F2097&lt;=2,G2097&lt;=2,H2097&lt;=2),"HIBERNATING",TRUE(),"Other")</f>
        <v>HIBERNATING</v>
      </c>
      <c r="K2097" s="1" t="n">
        <f aca="false">RANK(E2097,$E$7:$E$4378)+COUNTIF($E$7:E2097,E2097)-1</f>
        <v>4291</v>
      </c>
    </row>
    <row r="2098" customFormat="false" ht="14.25" hidden="false" customHeight="true" outlineLevel="0" collapsed="false">
      <c r="A2098" s="51" t="n">
        <v>15179</v>
      </c>
      <c r="B2098" s="53" t="n">
        <v>40868.5368055556</v>
      </c>
      <c r="C2098" s="57" t="n">
        <f aca="false">INT($C$2)-INT(Table3[[#This Row],[Last Purchase Date]])</f>
        <v>19</v>
      </c>
      <c r="D2098" s="1" t="n">
        <v>7</v>
      </c>
      <c r="E2098" s="1" t="n">
        <v>2186.2</v>
      </c>
      <c r="F2098" s="1" t="n">
        <f aca="false">ROUND((1-_xlfn.PERCENTRANK.INC($C$7:$C$4378,C2098))*9,0)</f>
        <v>7</v>
      </c>
      <c r="G2098" s="1" t="n">
        <f aca="false">ROUND(_xlfn.PERCENTRANK.INC($D$7:$D$4378,D2098)*9,0)</f>
        <v>7</v>
      </c>
      <c r="H2098" s="1" t="n">
        <f aca="false">ROUND(_xlfn.PERCENTRANK.INC($E$7:$E$4378,E2098)*9,0)</f>
        <v>7</v>
      </c>
      <c r="I2098" s="1" t="str">
        <f aca="false">CONCATENATE(F2098,G2098,H2098)</f>
        <v>777</v>
      </c>
      <c r="J2098" s="1" t="str">
        <f aca="false">_xlfn.IFS(AND(F2098&gt;=8,G2098&gt;=8,H2098&gt;=8),"CHAMPION",AND(F2098&gt;=6,G2098&gt;=7,H2098&gt;=6),"LOYAL CUSTOMER",AND(F2098&gt;=6,G2098&gt;=5,H2098&gt;=5),"POTENTIAL LOYALIST",AND(F2098&gt;=8,G2098&lt;=2,H2098&gt;=5),"NEW CUSTOMERS",AND(F2098&gt;=6,G2098&lt;=2,H2098&gt;=3),"PROMISING",AND(F2098&gt;=3,G2098&gt;=3,H2098&gt;=3),"NEED ATTENTION",AND(F2098&lt;=4,G2098&gt;=6,H2098&gt;=6),"AT RISK",AND(F2098&lt;=2,G2098&gt;=8,H2098&gt;=8),"CAN'T LOSE THEM",AND(F2098&lt;=2,G2098&lt;=2,H2098&lt;=2),"HIBERNATING",TRUE(),"Other")</f>
        <v>LOYAL CUSTOMER</v>
      </c>
      <c r="K2098" s="1" t="n">
        <f aca="false">RANK(E2098,$E$7:$E$4378)+COUNTIF($E$7:E2098,E2098)-1</f>
        <v>790</v>
      </c>
    </row>
    <row r="2099" customFormat="false" ht="14.25" hidden="false" customHeight="true" outlineLevel="0" collapsed="false">
      <c r="A2099" s="51" t="n">
        <v>15180</v>
      </c>
      <c r="B2099" s="53" t="n">
        <v>40519.6229166667</v>
      </c>
      <c r="C2099" s="57" t="n">
        <f aca="false">INT($C$2)-INT(Table3[[#This Row],[Last Purchase Date]])</f>
        <v>368</v>
      </c>
      <c r="D2099" s="1" t="n">
        <v>1</v>
      </c>
      <c r="E2099" s="1" t="n">
        <v>87.5</v>
      </c>
      <c r="F2099" s="1" t="n">
        <f aca="false">ROUND((1-_xlfn.PERCENTRANK.INC($C$7:$C$4378,C2099))*9,0)</f>
        <v>0</v>
      </c>
      <c r="G2099" s="1" t="n">
        <f aca="false">ROUND(_xlfn.PERCENTRANK.INC($D$7:$D$4378,D2099)*9,0)</f>
        <v>0</v>
      </c>
      <c r="H2099" s="1" t="n">
        <f aca="false">ROUND(_xlfn.PERCENTRANK.INC($E$7:$E$4378,E2099)*9,0)</f>
        <v>0</v>
      </c>
      <c r="I2099" s="1" t="str">
        <f aca="false">CONCATENATE(F2099,G2099,H2099)</f>
        <v>000</v>
      </c>
      <c r="J2099" s="1" t="str">
        <f aca="false">_xlfn.IFS(AND(F2099&gt;=8,G2099&gt;=8,H2099&gt;=8),"CHAMPION",AND(F2099&gt;=6,G2099&gt;=7,H2099&gt;=6),"LOYAL CUSTOMER",AND(F2099&gt;=6,G2099&gt;=5,H2099&gt;=5),"POTENTIAL LOYALIST",AND(F2099&gt;=8,G2099&lt;=2,H2099&gt;=5),"NEW CUSTOMERS",AND(F2099&gt;=6,G2099&lt;=2,H2099&gt;=3),"PROMISING",AND(F2099&gt;=3,G2099&gt;=3,H2099&gt;=3),"NEED ATTENTION",AND(F2099&lt;=4,G2099&gt;=6,H2099&gt;=6),"AT RISK",AND(F2099&lt;=2,G2099&gt;=8,H2099&gt;=8),"CAN'T LOSE THEM",AND(F2099&lt;=2,G2099&lt;=2,H2099&lt;=2),"HIBERNATING",TRUE(),"Other")</f>
        <v>HIBERNATING</v>
      </c>
      <c r="K2099" s="1" t="n">
        <f aca="false">RANK(E2099,$E$7:$E$4378)+COUNTIF($E$7:E2099,E2099)-1</f>
        <v>4203</v>
      </c>
    </row>
    <row r="2100" customFormat="false" ht="14.25" hidden="false" customHeight="true" outlineLevel="0" collapsed="false">
      <c r="A2100" s="51" t="n">
        <v>15181</v>
      </c>
      <c r="B2100" s="53" t="n">
        <v>40820.5819444444</v>
      </c>
      <c r="C2100" s="57" t="n">
        <f aca="false">INT($C$2)-INT(Table3[[#This Row],[Last Purchase Date]])</f>
        <v>67</v>
      </c>
      <c r="D2100" s="1" t="n">
        <v>5</v>
      </c>
      <c r="E2100" s="1" t="n">
        <v>680.28</v>
      </c>
      <c r="F2100" s="1" t="n">
        <f aca="false">ROUND((1-_xlfn.PERCENTRANK.INC($C$7:$C$4378,C2100))*9,0)</f>
        <v>4</v>
      </c>
      <c r="G2100" s="1" t="n">
        <f aca="false">ROUND(_xlfn.PERCENTRANK.INC($D$7:$D$4378,D2100)*9,0)</f>
        <v>6</v>
      </c>
      <c r="H2100" s="1" t="n">
        <f aca="false">ROUND(_xlfn.PERCENTRANK.INC($E$7:$E$4378,E2100)*9,0)</f>
        <v>5</v>
      </c>
      <c r="I2100" s="1" t="str">
        <f aca="false">CONCATENATE(F2100,G2100,H2100)</f>
        <v>465</v>
      </c>
      <c r="J2100" s="1" t="str">
        <f aca="false">_xlfn.IFS(AND(F2100&gt;=8,G2100&gt;=8,H2100&gt;=8),"CHAMPION",AND(F2100&gt;=6,G2100&gt;=7,H2100&gt;=6),"LOYAL CUSTOMER",AND(F2100&gt;=6,G2100&gt;=5,H2100&gt;=5),"POTENTIAL LOYALIST",AND(F2100&gt;=8,G2100&lt;=2,H2100&gt;=5),"NEW CUSTOMERS",AND(F2100&gt;=6,G2100&lt;=2,H2100&gt;=3),"PROMISING",AND(F2100&gt;=3,G2100&gt;=3,H2100&gt;=3),"NEED ATTENTION",AND(F2100&lt;=4,G2100&gt;=6,H2100&gt;=6),"AT RISK",AND(F2100&lt;=2,G2100&gt;=8,H2100&gt;=8),"CAN'T LOSE THEM",AND(F2100&lt;=2,G2100&lt;=2,H2100&lt;=2),"HIBERNATING",TRUE(),"Other")</f>
        <v>NEED ATTENTION</v>
      </c>
      <c r="K2100" s="1" t="n">
        <f aca="false">RANK(E2100,$E$7:$E$4378)+COUNTIF($E$7:E2100,E2100)-1</f>
        <v>2105</v>
      </c>
    </row>
    <row r="2101" customFormat="false" ht="14.25" hidden="false" customHeight="true" outlineLevel="0" collapsed="false">
      <c r="A2101" s="51" t="n">
        <v>15182</v>
      </c>
      <c r="B2101" s="53" t="n">
        <v>40732.5673611111</v>
      </c>
      <c r="C2101" s="57" t="n">
        <f aca="false">INT($C$2)-INT(Table3[[#This Row],[Last Purchase Date]])</f>
        <v>155</v>
      </c>
      <c r="D2101" s="1" t="n">
        <v>2</v>
      </c>
      <c r="E2101" s="1" t="n">
        <v>622.85</v>
      </c>
      <c r="F2101" s="1" t="n">
        <f aca="false">ROUND((1-_xlfn.PERCENTRANK.INC($C$7:$C$4378,C2101))*9,0)</f>
        <v>2</v>
      </c>
      <c r="G2101" s="1" t="n">
        <f aca="false">ROUND(_xlfn.PERCENTRANK.INC($D$7:$D$4378,D2101)*9,0)</f>
        <v>3</v>
      </c>
      <c r="H2101" s="1" t="n">
        <f aca="false">ROUND(_xlfn.PERCENTRANK.INC($E$7:$E$4378,E2101)*9,0)</f>
        <v>4</v>
      </c>
      <c r="I2101" s="1" t="str">
        <f aca="false">CONCATENATE(F2101,G2101,H2101)</f>
        <v>234</v>
      </c>
      <c r="J2101" s="1" t="str">
        <f aca="false">_xlfn.IFS(AND(F2101&gt;=8,G2101&gt;=8,H2101&gt;=8),"CHAMPION",AND(F2101&gt;=6,G2101&gt;=7,H2101&gt;=6),"LOYAL CUSTOMER",AND(F2101&gt;=6,G2101&gt;=5,H2101&gt;=5),"POTENTIAL LOYALIST",AND(F2101&gt;=8,G2101&lt;=2,H2101&gt;=5),"NEW CUSTOMERS",AND(F2101&gt;=6,G2101&lt;=2,H2101&gt;=3),"PROMISING",AND(F2101&gt;=3,G2101&gt;=3,H2101&gt;=3),"NEED ATTENTION",AND(F2101&lt;=4,G2101&gt;=6,H2101&gt;=6),"AT RISK",AND(F2101&lt;=2,G2101&gt;=8,H2101&gt;=8),"CAN'T LOSE THEM",AND(F2101&lt;=2,G2101&lt;=2,H2101&lt;=2),"HIBERNATING",TRUE(),"Other")</f>
        <v>Other</v>
      </c>
      <c r="K2101" s="1" t="n">
        <f aca="false">RANK(E2101,$E$7:$E$4378)+COUNTIF($E$7:E2101,E2101)-1</f>
        <v>2250</v>
      </c>
    </row>
    <row r="2102" customFormat="false" ht="14.25" hidden="false" customHeight="true" outlineLevel="0" collapsed="false">
      <c r="A2102" s="51" t="n">
        <v>15184</v>
      </c>
      <c r="B2102" s="53" t="n">
        <v>40857.5701388889</v>
      </c>
      <c r="C2102" s="57" t="n">
        <f aca="false">INT($C$2)-INT(Table3[[#This Row],[Last Purchase Date]])</f>
        <v>30</v>
      </c>
      <c r="D2102" s="1" t="n">
        <v>2</v>
      </c>
      <c r="E2102" s="1" t="n">
        <v>406.76</v>
      </c>
      <c r="F2102" s="1" t="n">
        <f aca="false">ROUND((1-_xlfn.PERCENTRANK.INC($C$7:$C$4378,C2102))*9,0)</f>
        <v>6</v>
      </c>
      <c r="G2102" s="1" t="n">
        <f aca="false">ROUND(_xlfn.PERCENTRANK.INC($D$7:$D$4378,D2102)*9,0)</f>
        <v>3</v>
      </c>
      <c r="H2102" s="1" t="n">
        <f aca="false">ROUND(_xlfn.PERCENTRANK.INC($E$7:$E$4378,E2102)*9,0)</f>
        <v>3</v>
      </c>
      <c r="I2102" s="1" t="str">
        <f aca="false">CONCATENATE(F2102,G2102,H2102)</f>
        <v>633</v>
      </c>
      <c r="J2102" s="1" t="str">
        <f aca="false">_xlfn.IFS(AND(F2102&gt;=8,G2102&gt;=8,H2102&gt;=8),"CHAMPION",AND(F2102&gt;=6,G2102&gt;=7,H2102&gt;=6),"LOYAL CUSTOMER",AND(F2102&gt;=6,G2102&gt;=5,H2102&gt;=5),"POTENTIAL LOYALIST",AND(F2102&gt;=8,G2102&lt;=2,H2102&gt;=5),"NEW CUSTOMERS",AND(F2102&gt;=6,G2102&lt;=2,H2102&gt;=3),"PROMISING",AND(F2102&gt;=3,G2102&gt;=3,H2102&gt;=3),"NEED ATTENTION",AND(F2102&lt;=4,G2102&gt;=6,H2102&gt;=6),"AT RISK",AND(F2102&lt;=2,G2102&gt;=8,H2102&gt;=8),"CAN'T LOSE THEM",AND(F2102&lt;=2,G2102&lt;=2,H2102&lt;=2),"HIBERNATING",TRUE(),"Other")</f>
        <v>NEED ATTENTION</v>
      </c>
      <c r="K2102" s="1" t="n">
        <f aca="false">RANK(E2102,$E$7:$E$4378)+COUNTIF($E$7:E2102,E2102)-1</f>
        <v>2801</v>
      </c>
    </row>
    <row r="2103" customFormat="false" ht="14.25" hidden="false" customHeight="true" outlineLevel="0" collapsed="false">
      <c r="A2103" s="51" t="n">
        <v>15185</v>
      </c>
      <c r="B2103" s="53" t="n">
        <v>40816.5875</v>
      </c>
      <c r="C2103" s="57" t="n">
        <f aca="false">INT($C$2)-INT(Table3[[#This Row],[Last Purchase Date]])</f>
        <v>71</v>
      </c>
      <c r="D2103" s="1" t="n">
        <v>1</v>
      </c>
      <c r="E2103" s="1" t="n">
        <v>310.62</v>
      </c>
      <c r="F2103" s="1" t="n">
        <f aca="false">ROUND((1-_xlfn.PERCENTRANK.INC($C$7:$C$4378,C2103))*9,0)</f>
        <v>4</v>
      </c>
      <c r="G2103" s="1" t="n">
        <f aca="false">ROUND(_xlfn.PERCENTRANK.INC($D$7:$D$4378,D2103)*9,0)</f>
        <v>0</v>
      </c>
      <c r="H2103" s="1" t="n">
        <f aca="false">ROUND(_xlfn.PERCENTRANK.INC($E$7:$E$4378,E2103)*9,0)</f>
        <v>2</v>
      </c>
      <c r="I2103" s="1" t="str">
        <f aca="false">CONCATENATE(F2103,G2103,H2103)</f>
        <v>402</v>
      </c>
      <c r="J2103" s="1" t="str">
        <f aca="false">_xlfn.IFS(AND(F2103&gt;=8,G2103&gt;=8,H2103&gt;=8),"CHAMPION",AND(F2103&gt;=6,G2103&gt;=7,H2103&gt;=6),"LOYAL CUSTOMER",AND(F2103&gt;=6,G2103&gt;=5,H2103&gt;=5),"POTENTIAL LOYALIST",AND(F2103&gt;=8,G2103&lt;=2,H2103&gt;=5),"NEW CUSTOMERS",AND(F2103&gt;=6,G2103&lt;=2,H2103&gt;=3),"PROMISING",AND(F2103&gt;=3,G2103&gt;=3,H2103&gt;=3),"NEED ATTENTION",AND(F2103&lt;=4,G2103&gt;=6,H2103&gt;=6),"AT RISK",AND(F2103&lt;=2,G2103&gt;=8,H2103&gt;=8),"CAN'T LOSE THEM",AND(F2103&lt;=2,G2103&lt;=2,H2103&lt;=2),"HIBERNATING",TRUE(),"Other")</f>
        <v>Other</v>
      </c>
      <c r="K2103" s="1" t="n">
        <f aca="false">RANK(E2103,$E$7:$E$4378)+COUNTIF($E$7:E2103,E2103)-1</f>
        <v>3191</v>
      </c>
    </row>
    <row r="2104" customFormat="false" ht="14.25" hidden="false" customHeight="true" outlineLevel="0" collapsed="false">
      <c r="A2104" s="51" t="n">
        <v>15186</v>
      </c>
      <c r="B2104" s="53" t="n">
        <v>40872.6236111111</v>
      </c>
      <c r="C2104" s="57" t="n">
        <f aca="false">INT($C$2)-INT(Table3[[#This Row],[Last Purchase Date]])</f>
        <v>15</v>
      </c>
      <c r="D2104" s="1" t="n">
        <v>2</v>
      </c>
      <c r="E2104" s="1" t="n">
        <v>411.41</v>
      </c>
      <c r="F2104" s="1" t="n">
        <f aca="false">ROUND((1-_xlfn.PERCENTRANK.INC($C$7:$C$4378,C2104))*9,0)</f>
        <v>7</v>
      </c>
      <c r="G2104" s="1" t="n">
        <f aca="false">ROUND(_xlfn.PERCENTRANK.INC($D$7:$D$4378,D2104)*9,0)</f>
        <v>3</v>
      </c>
      <c r="H2104" s="1" t="n">
        <f aca="false">ROUND(_xlfn.PERCENTRANK.INC($E$7:$E$4378,E2104)*9,0)</f>
        <v>3</v>
      </c>
      <c r="I2104" s="1" t="str">
        <f aca="false">CONCATENATE(F2104,G2104,H2104)</f>
        <v>733</v>
      </c>
      <c r="J2104" s="1" t="str">
        <f aca="false">_xlfn.IFS(AND(F2104&gt;=8,G2104&gt;=8,H2104&gt;=8),"CHAMPION",AND(F2104&gt;=6,G2104&gt;=7,H2104&gt;=6),"LOYAL CUSTOMER",AND(F2104&gt;=6,G2104&gt;=5,H2104&gt;=5),"POTENTIAL LOYALIST",AND(F2104&gt;=8,G2104&lt;=2,H2104&gt;=5),"NEW CUSTOMERS",AND(F2104&gt;=6,G2104&lt;=2,H2104&gt;=3),"PROMISING",AND(F2104&gt;=3,G2104&gt;=3,H2104&gt;=3),"NEED ATTENTION",AND(F2104&lt;=4,G2104&gt;=6,H2104&gt;=6),"AT RISK",AND(F2104&lt;=2,G2104&gt;=8,H2104&gt;=8),"CAN'T LOSE THEM",AND(F2104&lt;=2,G2104&lt;=2,H2104&lt;=2),"HIBERNATING",TRUE(),"Other")</f>
        <v>NEED ATTENTION</v>
      </c>
      <c r="K2104" s="1" t="n">
        <f aca="false">RANK(E2104,$E$7:$E$4378)+COUNTIF($E$7:E2104,E2104)-1</f>
        <v>2786</v>
      </c>
    </row>
    <row r="2105" customFormat="false" ht="14.25" hidden="false" customHeight="true" outlineLevel="0" collapsed="false">
      <c r="A2105" s="51" t="n">
        <v>15187</v>
      </c>
      <c r="B2105" s="53" t="n">
        <v>40885.4972222222</v>
      </c>
      <c r="C2105" s="57" t="n">
        <f aca="false">INT($C$2)-INT(Table3[[#This Row],[Last Purchase Date]])</f>
        <v>2</v>
      </c>
      <c r="D2105" s="1" t="n">
        <v>18</v>
      </c>
      <c r="E2105" s="1" t="n">
        <v>4670.08</v>
      </c>
      <c r="F2105" s="1" t="n">
        <f aca="false">ROUND((1-_xlfn.PERCENTRANK.INC($C$7:$C$4378,C2105))*9,0)</f>
        <v>9</v>
      </c>
      <c r="G2105" s="1" t="n">
        <f aca="false">ROUND(_xlfn.PERCENTRANK.INC($D$7:$D$4378,D2105)*9,0)</f>
        <v>9</v>
      </c>
      <c r="H2105" s="1" t="n">
        <f aca="false">ROUND(_xlfn.PERCENTRANK.INC($E$7:$E$4378,E2105)*9,0)</f>
        <v>8</v>
      </c>
      <c r="I2105" s="1" t="str">
        <f aca="false">CONCATENATE(F2105,G2105,H2105)</f>
        <v>998</v>
      </c>
      <c r="J2105" s="1" t="str">
        <f aca="false">_xlfn.IFS(AND(F2105&gt;=8,G2105&gt;=8,H2105&gt;=8),"CHAMPION",AND(F2105&gt;=6,G2105&gt;=7,H2105&gt;=6),"LOYAL CUSTOMER",AND(F2105&gt;=6,G2105&gt;=5,H2105&gt;=5),"POTENTIAL LOYALIST",AND(F2105&gt;=8,G2105&lt;=2,H2105&gt;=5),"NEW CUSTOMERS",AND(F2105&gt;=6,G2105&lt;=2,H2105&gt;=3),"PROMISING",AND(F2105&gt;=3,G2105&gt;=3,H2105&gt;=3),"NEED ATTENTION",AND(F2105&lt;=4,G2105&gt;=6,H2105&gt;=6),"AT RISK",AND(F2105&lt;=2,G2105&gt;=8,H2105&gt;=8),"CAN'T LOSE THEM",AND(F2105&lt;=2,G2105&lt;=2,H2105&lt;=2),"HIBERNATING",TRUE(),"Other")</f>
        <v>CHAMPION</v>
      </c>
      <c r="K2105" s="1" t="n">
        <f aca="false">RANK(E2105,$E$7:$E$4378)+COUNTIF($E$7:E2105,E2105)-1</f>
        <v>290</v>
      </c>
    </row>
    <row r="2106" customFormat="false" ht="14.25" hidden="false" customHeight="true" outlineLevel="0" collapsed="false">
      <c r="A2106" s="51" t="n">
        <v>15189</v>
      </c>
      <c r="B2106" s="53" t="n">
        <v>40885.5569444444</v>
      </c>
      <c r="C2106" s="57" t="n">
        <f aca="false">INT($C$2)-INT(Table3[[#This Row],[Last Purchase Date]])</f>
        <v>2</v>
      </c>
      <c r="D2106" s="1" t="n">
        <v>53</v>
      </c>
      <c r="E2106" s="1" t="n">
        <v>15802.14</v>
      </c>
      <c r="F2106" s="1" t="n">
        <f aca="false">ROUND((1-_xlfn.PERCENTRANK.INC($C$7:$C$4378,C2106))*9,0)</f>
        <v>9</v>
      </c>
      <c r="G2106" s="1" t="n">
        <f aca="false">ROUND(_xlfn.PERCENTRANK.INC($D$7:$D$4378,D2106)*9,0)</f>
        <v>9</v>
      </c>
      <c r="H2106" s="1" t="n">
        <f aca="false">ROUND(_xlfn.PERCENTRANK.INC($E$7:$E$4378,E2106)*9,0)</f>
        <v>9</v>
      </c>
      <c r="I2106" s="1" t="str">
        <f aca="false">CONCATENATE(F2106,G2106,H2106)</f>
        <v>999</v>
      </c>
      <c r="J2106" s="1" t="str">
        <f aca="false">_xlfn.IFS(AND(F2106&gt;=8,G2106&gt;=8,H2106&gt;=8),"CHAMPION",AND(F2106&gt;=6,G2106&gt;=7,H2106&gt;=6),"LOYAL CUSTOMER",AND(F2106&gt;=6,G2106&gt;=5,H2106&gt;=5),"POTENTIAL LOYALIST",AND(F2106&gt;=8,G2106&lt;=2,H2106&gt;=5),"NEW CUSTOMERS",AND(F2106&gt;=6,G2106&lt;=2,H2106&gt;=3),"PROMISING",AND(F2106&gt;=3,G2106&gt;=3,H2106&gt;=3),"NEED ATTENTION",AND(F2106&lt;=4,G2106&gt;=6,H2106&gt;=6),"AT RISK",AND(F2106&lt;=2,G2106&gt;=8,H2106&gt;=8),"CAN'T LOSE THEM",AND(F2106&lt;=2,G2106&lt;=2,H2106&lt;=2),"HIBERNATING",TRUE(),"Other")</f>
        <v>CHAMPION</v>
      </c>
      <c r="K2106" s="1" t="n">
        <f aca="false">RANK(E2106,$E$7:$E$4378)+COUNTIF($E$7:E2106,E2106)-1</f>
        <v>52</v>
      </c>
    </row>
    <row r="2107" customFormat="false" ht="14.25" hidden="false" customHeight="true" outlineLevel="0" collapsed="false">
      <c r="A2107" s="51" t="n">
        <v>15192</v>
      </c>
      <c r="B2107" s="53" t="n">
        <v>40767.4868055556</v>
      </c>
      <c r="C2107" s="57" t="n">
        <f aca="false">INT($C$2)-INT(Table3[[#This Row],[Last Purchase Date]])</f>
        <v>120</v>
      </c>
      <c r="D2107" s="1" t="n">
        <v>3</v>
      </c>
      <c r="E2107" s="1" t="n">
        <v>1044.32</v>
      </c>
      <c r="F2107" s="1" t="n">
        <f aca="false">ROUND((1-_xlfn.PERCENTRANK.INC($C$7:$C$4378,C2107))*9,0)</f>
        <v>3</v>
      </c>
      <c r="G2107" s="1" t="n">
        <f aca="false">ROUND(_xlfn.PERCENTRANK.INC($D$7:$D$4378,D2107)*9,0)</f>
        <v>4</v>
      </c>
      <c r="H2107" s="1" t="n">
        <f aca="false">ROUND(_xlfn.PERCENTRANK.INC($E$7:$E$4378,E2107)*9,0)</f>
        <v>6</v>
      </c>
      <c r="I2107" s="1" t="str">
        <f aca="false">CONCATENATE(F2107,G2107,H2107)</f>
        <v>346</v>
      </c>
      <c r="J2107" s="1" t="str">
        <f aca="false">_xlfn.IFS(AND(F2107&gt;=8,G2107&gt;=8,H2107&gt;=8),"CHAMPION",AND(F2107&gt;=6,G2107&gt;=7,H2107&gt;=6),"LOYAL CUSTOMER",AND(F2107&gt;=6,G2107&gt;=5,H2107&gt;=5),"POTENTIAL LOYALIST",AND(F2107&gt;=8,G2107&lt;=2,H2107&gt;=5),"NEW CUSTOMERS",AND(F2107&gt;=6,G2107&lt;=2,H2107&gt;=3),"PROMISING",AND(F2107&gt;=3,G2107&gt;=3,H2107&gt;=3),"NEED ATTENTION",AND(F2107&lt;=4,G2107&gt;=6,H2107&gt;=6),"AT RISK",AND(F2107&lt;=2,G2107&gt;=8,H2107&gt;=8),"CAN'T LOSE THEM",AND(F2107&lt;=2,G2107&lt;=2,H2107&lt;=2),"HIBERNATING",TRUE(),"Other")</f>
        <v>NEED ATTENTION</v>
      </c>
      <c r="K2107" s="1" t="n">
        <f aca="false">RANK(E2107,$E$7:$E$4378)+COUNTIF($E$7:E2107,E2107)-1</f>
        <v>1572</v>
      </c>
    </row>
    <row r="2108" customFormat="false" ht="14.25" hidden="false" customHeight="true" outlineLevel="0" collapsed="false">
      <c r="A2108" s="51" t="n">
        <v>15193</v>
      </c>
      <c r="B2108" s="53" t="n">
        <v>40826.3493055556</v>
      </c>
      <c r="C2108" s="57" t="n">
        <f aca="false">INT($C$2)-INT(Table3[[#This Row],[Last Purchase Date]])</f>
        <v>61</v>
      </c>
      <c r="D2108" s="1" t="n">
        <v>1</v>
      </c>
      <c r="E2108" s="1" t="n">
        <v>499.32</v>
      </c>
      <c r="F2108" s="1" t="n">
        <f aca="false">ROUND((1-_xlfn.PERCENTRANK.INC($C$7:$C$4378,C2108))*9,0)</f>
        <v>4</v>
      </c>
      <c r="G2108" s="1" t="n">
        <f aca="false">ROUND(_xlfn.PERCENTRANK.INC($D$7:$D$4378,D2108)*9,0)</f>
        <v>0</v>
      </c>
      <c r="H2108" s="1" t="n">
        <f aca="false">ROUND(_xlfn.PERCENTRANK.INC($E$7:$E$4378,E2108)*9,0)</f>
        <v>4</v>
      </c>
      <c r="I2108" s="1" t="str">
        <f aca="false">CONCATENATE(F2108,G2108,H2108)</f>
        <v>404</v>
      </c>
      <c r="J2108" s="1" t="str">
        <f aca="false">_xlfn.IFS(AND(F2108&gt;=8,G2108&gt;=8,H2108&gt;=8),"CHAMPION",AND(F2108&gt;=6,G2108&gt;=7,H2108&gt;=6),"LOYAL CUSTOMER",AND(F2108&gt;=6,G2108&gt;=5,H2108&gt;=5),"POTENTIAL LOYALIST",AND(F2108&gt;=8,G2108&lt;=2,H2108&gt;=5),"NEW CUSTOMERS",AND(F2108&gt;=6,G2108&lt;=2,H2108&gt;=3),"PROMISING",AND(F2108&gt;=3,G2108&gt;=3,H2108&gt;=3),"NEED ATTENTION",AND(F2108&lt;=4,G2108&gt;=6,H2108&gt;=6),"AT RISK",AND(F2108&lt;=2,G2108&gt;=8,H2108&gt;=8),"CAN'T LOSE THEM",AND(F2108&lt;=2,G2108&lt;=2,H2108&lt;=2),"HIBERNATING",TRUE(),"Other")</f>
        <v>Other</v>
      </c>
      <c r="K2108" s="1" t="n">
        <f aca="false">RANK(E2108,$E$7:$E$4378)+COUNTIF($E$7:E2108,E2108)-1</f>
        <v>2543</v>
      </c>
    </row>
    <row r="2109" customFormat="false" ht="14.25" hidden="false" customHeight="true" outlineLevel="0" collapsed="false">
      <c r="A2109" s="51" t="n">
        <v>15194</v>
      </c>
      <c r="B2109" s="53" t="n">
        <v>40883.6319444445</v>
      </c>
      <c r="C2109" s="57" t="n">
        <f aca="false">INT($C$2)-INT(Table3[[#This Row],[Last Purchase Date]])</f>
        <v>4</v>
      </c>
      <c r="D2109" s="1" t="n">
        <v>22</v>
      </c>
      <c r="E2109" s="1" t="n">
        <v>7521.17</v>
      </c>
      <c r="F2109" s="1" t="n">
        <f aca="false">ROUND((1-_xlfn.PERCENTRANK.INC($C$7:$C$4378,C2109))*9,0)</f>
        <v>8</v>
      </c>
      <c r="G2109" s="1" t="n">
        <f aca="false">ROUND(_xlfn.PERCENTRANK.INC($D$7:$D$4378,D2109)*9,0)</f>
        <v>9</v>
      </c>
      <c r="H2109" s="1" t="n">
        <f aca="false">ROUND(_xlfn.PERCENTRANK.INC($E$7:$E$4378,E2109)*9,0)</f>
        <v>9</v>
      </c>
      <c r="I2109" s="1" t="str">
        <f aca="false">CONCATENATE(F2109,G2109,H2109)</f>
        <v>899</v>
      </c>
      <c r="J2109" s="1" t="str">
        <f aca="false">_xlfn.IFS(AND(F2109&gt;=8,G2109&gt;=8,H2109&gt;=8),"CHAMPION",AND(F2109&gt;=6,G2109&gt;=7,H2109&gt;=6),"LOYAL CUSTOMER",AND(F2109&gt;=6,G2109&gt;=5,H2109&gt;=5),"POTENTIAL LOYALIST",AND(F2109&gt;=8,G2109&lt;=2,H2109&gt;=5),"NEW CUSTOMERS",AND(F2109&gt;=6,G2109&lt;=2,H2109&gt;=3),"PROMISING",AND(F2109&gt;=3,G2109&gt;=3,H2109&gt;=3),"NEED ATTENTION",AND(F2109&lt;=4,G2109&gt;=6,H2109&gt;=6),"AT RISK",AND(F2109&lt;=2,G2109&gt;=8,H2109&gt;=8),"CAN'T LOSE THEM",AND(F2109&lt;=2,G2109&lt;=2,H2109&lt;=2),"HIBERNATING",TRUE(),"Other")</f>
        <v>CHAMPION</v>
      </c>
      <c r="K2109" s="1" t="n">
        <f aca="false">RANK(E2109,$E$7:$E$4378)+COUNTIF($E$7:E2109,E2109)-1</f>
        <v>140</v>
      </c>
    </row>
    <row r="2110" customFormat="false" ht="14.25" hidden="false" customHeight="true" outlineLevel="0" collapsed="false">
      <c r="A2110" s="51" t="n">
        <v>15195</v>
      </c>
      <c r="B2110" s="53" t="n">
        <v>40884.5138888889</v>
      </c>
      <c r="C2110" s="57" t="n">
        <f aca="false">INT($C$2)-INT(Table3[[#This Row],[Last Purchase Date]])</f>
        <v>3</v>
      </c>
      <c r="D2110" s="1" t="n">
        <v>1</v>
      </c>
      <c r="E2110" s="1" t="n">
        <v>3861</v>
      </c>
      <c r="F2110" s="1" t="n">
        <f aca="false">ROUND((1-_xlfn.PERCENTRANK.INC($C$7:$C$4378,C2110))*9,0)</f>
        <v>9</v>
      </c>
      <c r="G2110" s="1" t="n">
        <f aca="false">ROUND(_xlfn.PERCENTRANK.INC($D$7:$D$4378,D2110)*9,0)</f>
        <v>0</v>
      </c>
      <c r="H2110" s="1" t="n">
        <f aca="false">ROUND(_xlfn.PERCENTRANK.INC($E$7:$E$4378,E2110)*9,0)</f>
        <v>8</v>
      </c>
      <c r="I2110" s="1" t="str">
        <f aca="false">CONCATENATE(F2110,G2110,H2110)</f>
        <v>908</v>
      </c>
      <c r="J2110" s="1" t="str">
        <f aca="false">_xlfn.IFS(AND(F2110&gt;=8,G2110&gt;=8,H2110&gt;=8),"CHAMPION",AND(F2110&gt;=6,G2110&gt;=7,H2110&gt;=6),"LOYAL CUSTOMER",AND(F2110&gt;=6,G2110&gt;=5,H2110&gt;=5),"POTENTIAL LOYALIST",AND(F2110&gt;=8,G2110&lt;=2,H2110&gt;=5),"NEW CUSTOMERS",AND(F2110&gt;=6,G2110&lt;=2,H2110&gt;=3),"PROMISING",AND(F2110&gt;=3,G2110&gt;=3,H2110&gt;=3),"NEED ATTENTION",AND(F2110&lt;=4,G2110&gt;=6,H2110&gt;=6),"AT RISK",AND(F2110&lt;=2,G2110&gt;=8,H2110&gt;=8),"CAN'T LOSE THEM",AND(F2110&lt;=2,G2110&lt;=2,H2110&lt;=2),"HIBERNATING",TRUE(),"Other")</f>
        <v>NEW CUSTOMERS</v>
      </c>
      <c r="K2110" s="1" t="n">
        <f aca="false">RANK(E2110,$E$7:$E$4378)+COUNTIF($E$7:E2110,E2110)-1</f>
        <v>378</v>
      </c>
    </row>
    <row r="2111" customFormat="false" ht="14.25" hidden="false" customHeight="true" outlineLevel="0" collapsed="false">
      <c r="A2111" s="51" t="n">
        <v>15197</v>
      </c>
      <c r="B2111" s="53" t="n">
        <v>40878.3430555556</v>
      </c>
      <c r="C2111" s="57" t="n">
        <f aca="false">INT($C$2)-INT(Table3[[#This Row],[Last Purchase Date]])</f>
        <v>9</v>
      </c>
      <c r="D2111" s="1" t="n">
        <v>5</v>
      </c>
      <c r="E2111" s="1" t="n">
        <v>656.44</v>
      </c>
      <c r="F2111" s="1" t="n">
        <f aca="false">ROUND((1-_xlfn.PERCENTRANK.INC($C$7:$C$4378,C2111))*9,0)</f>
        <v>8</v>
      </c>
      <c r="G2111" s="1" t="n">
        <f aca="false">ROUND(_xlfn.PERCENTRANK.INC($D$7:$D$4378,D2111)*9,0)</f>
        <v>6</v>
      </c>
      <c r="H2111" s="1" t="n">
        <f aca="false">ROUND(_xlfn.PERCENTRANK.INC($E$7:$E$4378,E2111)*9,0)</f>
        <v>5</v>
      </c>
      <c r="I2111" s="1" t="str">
        <f aca="false">CONCATENATE(F2111,G2111,H2111)</f>
        <v>865</v>
      </c>
      <c r="J2111" s="1" t="str">
        <f aca="false">_xlfn.IFS(AND(F2111&gt;=8,G2111&gt;=8,H2111&gt;=8),"CHAMPION",AND(F2111&gt;=6,G2111&gt;=7,H2111&gt;=6),"LOYAL CUSTOMER",AND(F2111&gt;=6,G2111&gt;=5,H2111&gt;=5),"POTENTIAL LOYALIST",AND(F2111&gt;=8,G2111&lt;=2,H2111&gt;=5),"NEW CUSTOMERS",AND(F2111&gt;=6,G2111&lt;=2,H2111&gt;=3),"PROMISING",AND(F2111&gt;=3,G2111&gt;=3,H2111&gt;=3),"NEED ATTENTION",AND(F2111&lt;=4,G2111&gt;=6,H2111&gt;=6),"AT RISK",AND(F2111&lt;=2,G2111&gt;=8,H2111&gt;=8),"CAN'T LOSE THEM",AND(F2111&lt;=2,G2111&lt;=2,H2111&lt;=2),"HIBERNATING",TRUE(),"Other")</f>
        <v>POTENTIAL LOYALIST</v>
      </c>
      <c r="K2111" s="1" t="n">
        <f aca="false">RANK(E2111,$E$7:$E$4378)+COUNTIF($E$7:E2111,E2111)-1</f>
        <v>2167</v>
      </c>
    </row>
    <row r="2112" customFormat="false" ht="14.25" hidden="false" customHeight="true" outlineLevel="0" collapsed="false">
      <c r="A2112" s="51" t="n">
        <v>15198</v>
      </c>
      <c r="B2112" s="53" t="n">
        <v>40794.6125</v>
      </c>
      <c r="C2112" s="57" t="n">
        <f aca="false">INT($C$2)-INT(Table3[[#This Row],[Last Purchase Date]])</f>
        <v>93</v>
      </c>
      <c r="D2112" s="1" t="n">
        <v>2</v>
      </c>
      <c r="E2112" s="1" t="n">
        <v>193.64</v>
      </c>
      <c r="F2112" s="1" t="n">
        <f aca="false">ROUND((1-_xlfn.PERCENTRANK.INC($C$7:$C$4378,C2112))*9,0)</f>
        <v>3</v>
      </c>
      <c r="G2112" s="1" t="n">
        <f aca="false">ROUND(_xlfn.PERCENTRANK.INC($D$7:$D$4378,D2112)*9,0)</f>
        <v>3</v>
      </c>
      <c r="H2112" s="1" t="n">
        <f aca="false">ROUND(_xlfn.PERCENTRANK.INC($E$7:$E$4378,E2112)*9,0)</f>
        <v>1</v>
      </c>
      <c r="I2112" s="1" t="str">
        <f aca="false">CONCATENATE(F2112,G2112,H2112)</f>
        <v>331</v>
      </c>
      <c r="J2112" s="1" t="str">
        <f aca="false">_xlfn.IFS(AND(F2112&gt;=8,G2112&gt;=8,H2112&gt;=8),"CHAMPION",AND(F2112&gt;=6,G2112&gt;=7,H2112&gt;=6),"LOYAL CUSTOMER",AND(F2112&gt;=6,G2112&gt;=5,H2112&gt;=5),"POTENTIAL LOYALIST",AND(F2112&gt;=8,G2112&lt;=2,H2112&gt;=5),"NEW CUSTOMERS",AND(F2112&gt;=6,G2112&lt;=2,H2112&gt;=3),"PROMISING",AND(F2112&gt;=3,G2112&gt;=3,H2112&gt;=3),"NEED ATTENTION",AND(F2112&lt;=4,G2112&gt;=6,H2112&gt;=6),"AT RISK",AND(F2112&lt;=2,G2112&gt;=8,H2112&gt;=8),"CAN'T LOSE THEM",AND(F2112&lt;=2,G2112&lt;=2,H2112&lt;=2),"HIBERNATING",TRUE(),"Other")</f>
        <v>Other</v>
      </c>
      <c r="K2112" s="1" t="n">
        <f aca="false">RANK(E2112,$E$7:$E$4378)+COUNTIF($E$7:E2112,E2112)-1</f>
        <v>3690</v>
      </c>
    </row>
    <row r="2113" customFormat="false" ht="14.25" hidden="false" customHeight="true" outlineLevel="0" collapsed="false">
      <c r="A2113" s="51" t="n">
        <v>15199</v>
      </c>
      <c r="B2113" s="53" t="n">
        <v>40827.6333333333</v>
      </c>
      <c r="C2113" s="57" t="n">
        <f aca="false">INT($C$2)-INT(Table3[[#This Row],[Last Purchase Date]])</f>
        <v>60</v>
      </c>
      <c r="D2113" s="1" t="n">
        <v>4</v>
      </c>
      <c r="E2113" s="1" t="n">
        <v>1268.7</v>
      </c>
      <c r="F2113" s="1" t="n">
        <f aca="false">ROUND((1-_xlfn.PERCENTRANK.INC($C$7:$C$4378,C2113))*9,0)</f>
        <v>4</v>
      </c>
      <c r="G2113" s="1" t="n">
        <f aca="false">ROUND(_xlfn.PERCENTRANK.INC($D$7:$D$4378,D2113)*9,0)</f>
        <v>5</v>
      </c>
      <c r="H2113" s="1" t="n">
        <f aca="false">ROUND(_xlfn.PERCENTRANK.INC($E$7:$E$4378,E2113)*9,0)</f>
        <v>6</v>
      </c>
      <c r="I2113" s="1" t="str">
        <f aca="false">CONCATENATE(F2113,G2113,H2113)</f>
        <v>456</v>
      </c>
      <c r="J2113" s="1" t="str">
        <f aca="false">_xlfn.IFS(AND(F2113&gt;=8,G2113&gt;=8,H2113&gt;=8),"CHAMPION",AND(F2113&gt;=6,G2113&gt;=7,H2113&gt;=6),"LOYAL CUSTOMER",AND(F2113&gt;=6,G2113&gt;=5,H2113&gt;=5),"POTENTIAL LOYALIST",AND(F2113&gt;=8,G2113&lt;=2,H2113&gt;=5),"NEW CUSTOMERS",AND(F2113&gt;=6,G2113&lt;=2,H2113&gt;=3),"PROMISING",AND(F2113&gt;=3,G2113&gt;=3,H2113&gt;=3),"NEED ATTENTION",AND(F2113&lt;=4,G2113&gt;=6,H2113&gt;=6),"AT RISK",AND(F2113&lt;=2,G2113&gt;=8,H2113&gt;=8),"CAN'T LOSE THEM",AND(F2113&lt;=2,G2113&lt;=2,H2113&lt;=2),"HIBERNATING",TRUE(),"Other")</f>
        <v>NEED ATTENTION</v>
      </c>
      <c r="K2113" s="1" t="n">
        <f aca="false">RANK(E2113,$E$7:$E$4378)+COUNTIF($E$7:E2113,E2113)-1</f>
        <v>1354</v>
      </c>
    </row>
    <row r="2114" customFormat="false" ht="14.25" hidden="false" customHeight="true" outlineLevel="0" collapsed="false">
      <c r="A2114" s="51" t="n">
        <v>15201</v>
      </c>
      <c r="B2114" s="53" t="n">
        <v>40808.4118055556</v>
      </c>
      <c r="C2114" s="57" t="n">
        <f aca="false">INT($C$2)-INT(Table3[[#This Row],[Last Purchase Date]])</f>
        <v>79</v>
      </c>
      <c r="D2114" s="1" t="n">
        <v>11</v>
      </c>
      <c r="E2114" s="1" t="n">
        <v>927.84</v>
      </c>
      <c r="F2114" s="1" t="n">
        <f aca="false">ROUND((1-_xlfn.PERCENTRANK.INC($C$7:$C$4378,C2114))*9,0)</f>
        <v>3</v>
      </c>
      <c r="G2114" s="1" t="n">
        <f aca="false">ROUND(_xlfn.PERCENTRANK.INC($D$7:$D$4378,D2114)*9,0)</f>
        <v>8</v>
      </c>
      <c r="H2114" s="1" t="n">
        <f aca="false">ROUND(_xlfn.PERCENTRANK.INC($E$7:$E$4378,E2114)*9,0)</f>
        <v>5</v>
      </c>
      <c r="I2114" s="1" t="str">
        <f aca="false">CONCATENATE(F2114,G2114,H2114)</f>
        <v>385</v>
      </c>
      <c r="J2114" s="1" t="str">
        <f aca="false">_xlfn.IFS(AND(F2114&gt;=8,G2114&gt;=8,H2114&gt;=8),"CHAMPION",AND(F2114&gt;=6,G2114&gt;=7,H2114&gt;=6),"LOYAL CUSTOMER",AND(F2114&gt;=6,G2114&gt;=5,H2114&gt;=5),"POTENTIAL LOYALIST",AND(F2114&gt;=8,G2114&lt;=2,H2114&gt;=5),"NEW CUSTOMERS",AND(F2114&gt;=6,G2114&lt;=2,H2114&gt;=3),"PROMISING",AND(F2114&gt;=3,G2114&gt;=3,H2114&gt;=3),"NEED ATTENTION",AND(F2114&lt;=4,G2114&gt;=6,H2114&gt;=6),"AT RISK",AND(F2114&lt;=2,G2114&gt;=8,H2114&gt;=8),"CAN'T LOSE THEM",AND(F2114&lt;=2,G2114&lt;=2,H2114&lt;=2),"HIBERNATING",TRUE(),"Other")</f>
        <v>NEED ATTENTION</v>
      </c>
      <c r="K2114" s="1" t="n">
        <f aca="false">RANK(E2114,$E$7:$E$4378)+COUNTIF($E$7:E2114,E2114)-1</f>
        <v>1720</v>
      </c>
    </row>
    <row r="2115" customFormat="false" ht="14.25" hidden="false" customHeight="true" outlineLevel="0" collapsed="false">
      <c r="A2115" s="51" t="n">
        <v>15203</v>
      </c>
      <c r="B2115" s="53" t="n">
        <v>40861.3444444445</v>
      </c>
      <c r="C2115" s="57" t="n">
        <f aca="false">INT($C$2)-INT(Table3[[#This Row],[Last Purchase Date]])</f>
        <v>26</v>
      </c>
      <c r="D2115" s="1" t="n">
        <v>6</v>
      </c>
      <c r="E2115" s="1" t="n">
        <v>1827.8</v>
      </c>
      <c r="F2115" s="1" t="n">
        <f aca="false">ROUND((1-_xlfn.PERCENTRANK.INC($C$7:$C$4378,C2115))*9,0)</f>
        <v>6</v>
      </c>
      <c r="G2115" s="1" t="n">
        <f aca="false">ROUND(_xlfn.PERCENTRANK.INC($D$7:$D$4378,D2115)*9,0)</f>
        <v>7</v>
      </c>
      <c r="H2115" s="1" t="n">
        <f aca="false">ROUND(_xlfn.PERCENTRANK.INC($E$7:$E$4378,E2115)*9,0)</f>
        <v>7</v>
      </c>
      <c r="I2115" s="1" t="str">
        <f aca="false">CONCATENATE(F2115,G2115,H2115)</f>
        <v>677</v>
      </c>
      <c r="J2115" s="1" t="str">
        <f aca="false">_xlfn.IFS(AND(F2115&gt;=8,G2115&gt;=8,H2115&gt;=8),"CHAMPION",AND(F2115&gt;=6,G2115&gt;=7,H2115&gt;=6),"LOYAL CUSTOMER",AND(F2115&gt;=6,G2115&gt;=5,H2115&gt;=5),"POTENTIAL LOYALIST",AND(F2115&gt;=8,G2115&lt;=2,H2115&gt;=5),"NEW CUSTOMERS",AND(F2115&gt;=6,G2115&lt;=2,H2115&gt;=3),"PROMISING",AND(F2115&gt;=3,G2115&gt;=3,H2115&gt;=3),"NEED ATTENTION",AND(F2115&lt;=4,G2115&gt;=6,H2115&gt;=6),"AT RISK",AND(F2115&lt;=2,G2115&gt;=8,H2115&gt;=8),"CAN'T LOSE THEM",AND(F2115&lt;=2,G2115&lt;=2,H2115&lt;=2),"HIBERNATING",TRUE(),"Other")</f>
        <v>LOYAL CUSTOMER</v>
      </c>
      <c r="K2115" s="1" t="n">
        <f aca="false">RANK(E2115,$E$7:$E$4378)+COUNTIF($E$7:E2115,E2115)-1</f>
        <v>961</v>
      </c>
    </row>
    <row r="2116" customFormat="false" ht="14.25" hidden="false" customHeight="true" outlineLevel="0" collapsed="false">
      <c r="A2116" s="51" t="n">
        <v>15204</v>
      </c>
      <c r="B2116" s="53" t="n">
        <v>40529.5756944444</v>
      </c>
      <c r="C2116" s="57" t="n">
        <f aca="false">INT($C$2)-INT(Table3[[#This Row],[Last Purchase Date]])</f>
        <v>358</v>
      </c>
      <c r="D2116" s="1" t="n">
        <v>1</v>
      </c>
      <c r="E2116" s="1" t="n">
        <v>316.58</v>
      </c>
      <c r="F2116" s="1" t="n">
        <f aca="false">ROUND((1-_xlfn.PERCENTRANK.INC($C$7:$C$4378,C2116))*9,0)</f>
        <v>0</v>
      </c>
      <c r="G2116" s="1" t="n">
        <f aca="false">ROUND(_xlfn.PERCENTRANK.INC($D$7:$D$4378,D2116)*9,0)</f>
        <v>0</v>
      </c>
      <c r="H2116" s="1" t="n">
        <f aca="false">ROUND(_xlfn.PERCENTRANK.INC($E$7:$E$4378,E2116)*9,0)</f>
        <v>3</v>
      </c>
      <c r="I2116" s="1" t="str">
        <f aca="false">CONCATENATE(F2116,G2116,H2116)</f>
        <v>003</v>
      </c>
      <c r="J2116" s="1" t="str">
        <f aca="false">_xlfn.IFS(AND(F2116&gt;=8,G2116&gt;=8,H2116&gt;=8),"CHAMPION",AND(F2116&gt;=6,G2116&gt;=7,H2116&gt;=6),"LOYAL CUSTOMER",AND(F2116&gt;=6,G2116&gt;=5,H2116&gt;=5),"POTENTIAL LOYALIST",AND(F2116&gt;=8,G2116&lt;=2,H2116&gt;=5),"NEW CUSTOMERS",AND(F2116&gt;=6,G2116&lt;=2,H2116&gt;=3),"PROMISING",AND(F2116&gt;=3,G2116&gt;=3,H2116&gt;=3),"NEED ATTENTION",AND(F2116&lt;=4,G2116&gt;=6,H2116&gt;=6),"AT RISK",AND(F2116&lt;=2,G2116&gt;=8,H2116&gt;=8),"CAN'T LOSE THEM",AND(F2116&lt;=2,G2116&lt;=2,H2116&lt;=2),"HIBERNATING",TRUE(),"Other")</f>
        <v>Other</v>
      </c>
      <c r="K2116" s="1" t="n">
        <f aca="false">RANK(E2116,$E$7:$E$4378)+COUNTIF($E$7:E2116,E2116)-1</f>
        <v>3156</v>
      </c>
    </row>
    <row r="2117" customFormat="false" ht="14.25" hidden="false" customHeight="true" outlineLevel="0" collapsed="false">
      <c r="A2117" s="51" t="n">
        <v>15205</v>
      </c>
      <c r="B2117" s="53" t="n">
        <v>40801.8166666667</v>
      </c>
      <c r="C2117" s="57" t="n">
        <f aca="false">INT($C$2)-INT(Table3[[#This Row],[Last Purchase Date]])</f>
        <v>86</v>
      </c>
      <c r="D2117" s="1" t="n">
        <v>3</v>
      </c>
      <c r="E2117" s="1" t="n">
        <v>648.83</v>
      </c>
      <c r="F2117" s="1" t="n">
        <f aca="false">ROUND((1-_xlfn.PERCENTRANK.INC($C$7:$C$4378,C2117))*9,0)</f>
        <v>3</v>
      </c>
      <c r="G2117" s="1" t="n">
        <f aca="false">ROUND(_xlfn.PERCENTRANK.INC($D$7:$D$4378,D2117)*9,0)</f>
        <v>4</v>
      </c>
      <c r="H2117" s="1" t="n">
        <f aca="false">ROUND(_xlfn.PERCENTRANK.INC($E$7:$E$4378,E2117)*9,0)</f>
        <v>5</v>
      </c>
      <c r="I2117" s="1" t="str">
        <f aca="false">CONCATENATE(F2117,G2117,H2117)</f>
        <v>345</v>
      </c>
      <c r="J2117" s="1" t="str">
        <f aca="false">_xlfn.IFS(AND(F2117&gt;=8,G2117&gt;=8,H2117&gt;=8),"CHAMPION",AND(F2117&gt;=6,G2117&gt;=7,H2117&gt;=6),"LOYAL CUSTOMER",AND(F2117&gt;=6,G2117&gt;=5,H2117&gt;=5),"POTENTIAL LOYALIST",AND(F2117&gt;=8,G2117&lt;=2,H2117&gt;=5),"NEW CUSTOMERS",AND(F2117&gt;=6,G2117&lt;=2,H2117&gt;=3),"PROMISING",AND(F2117&gt;=3,G2117&gt;=3,H2117&gt;=3),"NEED ATTENTION",AND(F2117&lt;=4,G2117&gt;=6,H2117&gt;=6),"AT RISK",AND(F2117&lt;=2,G2117&gt;=8,H2117&gt;=8),"CAN'T LOSE THEM",AND(F2117&lt;=2,G2117&lt;=2,H2117&lt;=2),"HIBERNATING",TRUE(),"Other")</f>
        <v>NEED ATTENTION</v>
      </c>
      <c r="K2117" s="1" t="n">
        <f aca="false">RANK(E2117,$E$7:$E$4378)+COUNTIF($E$7:E2117,E2117)-1</f>
        <v>2184</v>
      </c>
    </row>
    <row r="2118" customFormat="false" ht="14.25" hidden="false" customHeight="true" outlineLevel="0" collapsed="false">
      <c r="A2118" s="51" t="n">
        <v>15206</v>
      </c>
      <c r="B2118" s="53" t="n">
        <v>40876.5701388889</v>
      </c>
      <c r="C2118" s="57" t="n">
        <f aca="false">INT($C$2)-INT(Table3[[#This Row],[Last Purchase Date]])</f>
        <v>11</v>
      </c>
      <c r="D2118" s="1" t="n">
        <v>4</v>
      </c>
      <c r="E2118" s="1" t="n">
        <v>420.3</v>
      </c>
      <c r="F2118" s="1" t="n">
        <f aca="false">ROUND((1-_xlfn.PERCENTRANK.INC($C$7:$C$4378,C2118))*9,0)</f>
        <v>7</v>
      </c>
      <c r="G2118" s="1" t="n">
        <f aca="false">ROUND(_xlfn.PERCENTRANK.INC($D$7:$D$4378,D2118)*9,0)</f>
        <v>5</v>
      </c>
      <c r="H2118" s="1" t="n">
        <f aca="false">ROUND(_xlfn.PERCENTRANK.INC($E$7:$E$4378,E2118)*9,0)</f>
        <v>3</v>
      </c>
      <c r="I2118" s="1" t="str">
        <f aca="false">CONCATENATE(F2118,G2118,H2118)</f>
        <v>753</v>
      </c>
      <c r="J2118" s="1" t="str">
        <f aca="false">_xlfn.IFS(AND(F2118&gt;=8,G2118&gt;=8,H2118&gt;=8),"CHAMPION",AND(F2118&gt;=6,G2118&gt;=7,H2118&gt;=6),"LOYAL CUSTOMER",AND(F2118&gt;=6,G2118&gt;=5,H2118&gt;=5),"POTENTIAL LOYALIST",AND(F2118&gt;=8,G2118&lt;=2,H2118&gt;=5),"NEW CUSTOMERS",AND(F2118&gt;=6,G2118&lt;=2,H2118&gt;=3),"PROMISING",AND(F2118&gt;=3,G2118&gt;=3,H2118&gt;=3),"NEED ATTENTION",AND(F2118&lt;=4,G2118&gt;=6,H2118&gt;=6),"AT RISK",AND(F2118&lt;=2,G2118&gt;=8,H2118&gt;=8),"CAN'T LOSE THEM",AND(F2118&lt;=2,G2118&lt;=2,H2118&lt;=2),"HIBERNATING",TRUE(),"Other")</f>
        <v>NEED ATTENTION</v>
      </c>
      <c r="K2118" s="1" t="n">
        <f aca="false">RANK(E2118,$E$7:$E$4378)+COUNTIF($E$7:E2118,E2118)-1</f>
        <v>2751</v>
      </c>
    </row>
    <row r="2119" customFormat="false" ht="14.25" hidden="false" customHeight="true" outlineLevel="0" collapsed="false">
      <c r="A2119" s="51" t="n">
        <v>15208</v>
      </c>
      <c r="B2119" s="53" t="n">
        <v>40885.725</v>
      </c>
      <c r="C2119" s="57" t="n">
        <f aca="false">INT($C$2)-INT(Table3[[#This Row],[Last Purchase Date]])</f>
        <v>2</v>
      </c>
      <c r="D2119" s="1" t="n">
        <v>6</v>
      </c>
      <c r="E2119" s="1" t="n">
        <v>867.62</v>
      </c>
      <c r="F2119" s="1" t="n">
        <f aca="false">ROUND((1-_xlfn.PERCENTRANK.INC($C$7:$C$4378,C2119))*9,0)</f>
        <v>9</v>
      </c>
      <c r="G2119" s="1" t="n">
        <f aca="false">ROUND(_xlfn.PERCENTRANK.INC($D$7:$D$4378,D2119)*9,0)</f>
        <v>7</v>
      </c>
      <c r="H2119" s="1" t="n">
        <f aca="false">ROUND(_xlfn.PERCENTRANK.INC($E$7:$E$4378,E2119)*9,0)</f>
        <v>5</v>
      </c>
      <c r="I2119" s="1" t="str">
        <f aca="false">CONCATENATE(F2119,G2119,H2119)</f>
        <v>975</v>
      </c>
      <c r="J2119" s="1" t="str">
        <f aca="false">_xlfn.IFS(AND(F2119&gt;=8,G2119&gt;=8,H2119&gt;=8),"CHAMPION",AND(F2119&gt;=6,G2119&gt;=7,H2119&gt;=6),"LOYAL CUSTOMER",AND(F2119&gt;=6,G2119&gt;=5,H2119&gt;=5),"POTENTIAL LOYALIST",AND(F2119&gt;=8,G2119&lt;=2,H2119&gt;=5),"NEW CUSTOMERS",AND(F2119&gt;=6,G2119&lt;=2,H2119&gt;=3),"PROMISING",AND(F2119&gt;=3,G2119&gt;=3,H2119&gt;=3),"NEED ATTENTION",AND(F2119&lt;=4,G2119&gt;=6,H2119&gt;=6),"AT RISK",AND(F2119&lt;=2,G2119&gt;=8,H2119&gt;=8),"CAN'T LOSE THEM",AND(F2119&lt;=2,G2119&lt;=2,H2119&lt;=2),"HIBERNATING",TRUE(),"Other")</f>
        <v>POTENTIAL LOYALIST</v>
      </c>
      <c r="K2119" s="1" t="n">
        <f aca="false">RANK(E2119,$E$7:$E$4378)+COUNTIF($E$7:E2119,E2119)-1</f>
        <v>1806</v>
      </c>
    </row>
    <row r="2120" customFormat="false" ht="14.25" hidden="false" customHeight="true" outlineLevel="0" collapsed="false">
      <c r="A2120" s="51" t="n">
        <v>15210</v>
      </c>
      <c r="B2120" s="53" t="n">
        <v>40661.6743055556</v>
      </c>
      <c r="C2120" s="57" t="n">
        <f aca="false">INT($C$2)-INT(Table3[[#This Row],[Last Purchase Date]])</f>
        <v>226</v>
      </c>
      <c r="D2120" s="1" t="n">
        <v>1</v>
      </c>
      <c r="E2120" s="1" t="n">
        <v>331.18</v>
      </c>
      <c r="F2120" s="1" t="n">
        <f aca="false">ROUND((1-_xlfn.PERCENTRANK.INC($C$7:$C$4378,C2120))*9,0)</f>
        <v>1</v>
      </c>
      <c r="G2120" s="1" t="n">
        <f aca="false">ROUND(_xlfn.PERCENTRANK.INC($D$7:$D$4378,D2120)*9,0)</f>
        <v>0</v>
      </c>
      <c r="H2120" s="1" t="n">
        <f aca="false">ROUND(_xlfn.PERCENTRANK.INC($E$7:$E$4378,E2120)*9,0)</f>
        <v>3</v>
      </c>
      <c r="I2120" s="1" t="str">
        <f aca="false">CONCATENATE(F2120,G2120,H2120)</f>
        <v>103</v>
      </c>
      <c r="J2120" s="1" t="str">
        <f aca="false">_xlfn.IFS(AND(F2120&gt;=8,G2120&gt;=8,H2120&gt;=8),"CHAMPION",AND(F2120&gt;=6,G2120&gt;=7,H2120&gt;=6),"LOYAL CUSTOMER",AND(F2120&gt;=6,G2120&gt;=5,H2120&gt;=5),"POTENTIAL LOYALIST",AND(F2120&gt;=8,G2120&lt;=2,H2120&gt;=5),"NEW CUSTOMERS",AND(F2120&gt;=6,G2120&lt;=2,H2120&gt;=3),"PROMISING",AND(F2120&gt;=3,G2120&gt;=3,H2120&gt;=3),"NEED ATTENTION",AND(F2120&lt;=4,G2120&gt;=6,H2120&gt;=6),"AT RISK",AND(F2120&lt;=2,G2120&gt;=8,H2120&gt;=8),"CAN'T LOSE THEM",AND(F2120&lt;=2,G2120&lt;=2,H2120&lt;=2),"HIBERNATING",TRUE(),"Other")</f>
        <v>Other</v>
      </c>
      <c r="K2120" s="1" t="n">
        <f aca="false">RANK(E2120,$E$7:$E$4378)+COUNTIF($E$7:E2120,E2120)-1</f>
        <v>3087</v>
      </c>
    </row>
    <row r="2121" customFormat="false" ht="14.25" hidden="false" customHeight="true" outlineLevel="0" collapsed="false">
      <c r="A2121" s="51" t="n">
        <v>15211</v>
      </c>
      <c r="B2121" s="53" t="n">
        <v>40826.5631944445</v>
      </c>
      <c r="C2121" s="57" t="n">
        <f aca="false">INT($C$2)-INT(Table3[[#This Row],[Last Purchase Date]])</f>
        <v>61</v>
      </c>
      <c r="D2121" s="1" t="n">
        <v>2</v>
      </c>
      <c r="E2121" s="1" t="n">
        <v>894.41</v>
      </c>
      <c r="F2121" s="1" t="n">
        <f aca="false">ROUND((1-_xlfn.PERCENTRANK.INC($C$7:$C$4378,C2121))*9,0)</f>
        <v>4</v>
      </c>
      <c r="G2121" s="1" t="n">
        <f aca="false">ROUND(_xlfn.PERCENTRANK.INC($D$7:$D$4378,D2121)*9,0)</f>
        <v>3</v>
      </c>
      <c r="H2121" s="1" t="n">
        <f aca="false">ROUND(_xlfn.PERCENTRANK.INC($E$7:$E$4378,E2121)*9,0)</f>
        <v>5</v>
      </c>
      <c r="I2121" s="1" t="str">
        <f aca="false">CONCATENATE(F2121,G2121,H2121)</f>
        <v>435</v>
      </c>
      <c r="J2121" s="1" t="str">
        <f aca="false">_xlfn.IFS(AND(F2121&gt;=8,G2121&gt;=8,H2121&gt;=8),"CHAMPION",AND(F2121&gt;=6,G2121&gt;=7,H2121&gt;=6),"LOYAL CUSTOMER",AND(F2121&gt;=6,G2121&gt;=5,H2121&gt;=5),"POTENTIAL LOYALIST",AND(F2121&gt;=8,G2121&lt;=2,H2121&gt;=5),"NEW CUSTOMERS",AND(F2121&gt;=6,G2121&lt;=2,H2121&gt;=3),"PROMISING",AND(F2121&gt;=3,G2121&gt;=3,H2121&gt;=3),"NEED ATTENTION",AND(F2121&lt;=4,G2121&gt;=6,H2121&gt;=6),"AT RISK",AND(F2121&lt;=2,G2121&gt;=8,H2121&gt;=8),"CAN'T LOSE THEM",AND(F2121&lt;=2,G2121&lt;=2,H2121&lt;=2),"HIBERNATING",TRUE(),"Other")</f>
        <v>NEED ATTENTION</v>
      </c>
      <c r="K2121" s="1" t="n">
        <f aca="false">RANK(E2121,$E$7:$E$4378)+COUNTIF($E$7:E2121,E2121)-1</f>
        <v>1769</v>
      </c>
    </row>
    <row r="2122" customFormat="false" ht="14.25" hidden="false" customHeight="true" outlineLevel="0" collapsed="false">
      <c r="A2122" s="51" t="n">
        <v>15212</v>
      </c>
      <c r="B2122" s="53" t="n">
        <v>40647.55</v>
      </c>
      <c r="C2122" s="57" t="n">
        <f aca="false">INT($C$2)-INT(Table3[[#This Row],[Last Purchase Date]])</f>
        <v>240</v>
      </c>
      <c r="D2122" s="1" t="n">
        <v>2</v>
      </c>
      <c r="E2122" s="1" t="n">
        <v>88.95</v>
      </c>
      <c r="F2122" s="1" t="n">
        <f aca="false">ROUND((1-_xlfn.PERCENTRANK.INC($C$7:$C$4378,C2122))*9,0)</f>
        <v>1</v>
      </c>
      <c r="G2122" s="1" t="n">
        <f aca="false">ROUND(_xlfn.PERCENTRANK.INC($D$7:$D$4378,D2122)*9,0)</f>
        <v>3</v>
      </c>
      <c r="H2122" s="1" t="n">
        <f aca="false">ROUND(_xlfn.PERCENTRANK.INC($E$7:$E$4378,E2122)*9,0)</f>
        <v>0</v>
      </c>
      <c r="I2122" s="1" t="str">
        <f aca="false">CONCATENATE(F2122,G2122,H2122)</f>
        <v>130</v>
      </c>
      <c r="J2122" s="1" t="str">
        <f aca="false">_xlfn.IFS(AND(F2122&gt;=8,G2122&gt;=8,H2122&gt;=8),"CHAMPION",AND(F2122&gt;=6,G2122&gt;=7,H2122&gt;=6),"LOYAL CUSTOMER",AND(F2122&gt;=6,G2122&gt;=5,H2122&gt;=5),"POTENTIAL LOYALIST",AND(F2122&gt;=8,G2122&lt;=2,H2122&gt;=5),"NEW CUSTOMERS",AND(F2122&gt;=6,G2122&lt;=2,H2122&gt;=3),"PROMISING",AND(F2122&gt;=3,G2122&gt;=3,H2122&gt;=3),"NEED ATTENTION",AND(F2122&lt;=4,G2122&gt;=6,H2122&gt;=6),"AT RISK",AND(F2122&lt;=2,G2122&gt;=8,H2122&gt;=8),"CAN'T LOSE THEM",AND(F2122&lt;=2,G2122&lt;=2,H2122&lt;=2),"HIBERNATING",TRUE(),"Other")</f>
        <v>Other</v>
      </c>
      <c r="K2122" s="1" t="n">
        <f aca="false">RANK(E2122,$E$7:$E$4378)+COUNTIF($E$7:E2122,E2122)-1</f>
        <v>4200</v>
      </c>
    </row>
    <row r="2123" customFormat="false" ht="14.25" hidden="false" customHeight="true" outlineLevel="0" collapsed="false">
      <c r="A2123" s="51" t="n">
        <v>15213</v>
      </c>
      <c r="B2123" s="53" t="n">
        <v>40568.5173611111</v>
      </c>
      <c r="C2123" s="57" t="n">
        <f aca="false">INT($C$2)-INT(Table3[[#This Row],[Last Purchase Date]])</f>
        <v>319</v>
      </c>
      <c r="D2123" s="1" t="n">
        <v>3</v>
      </c>
      <c r="E2123" s="1" t="n">
        <v>325.05</v>
      </c>
      <c r="F2123" s="1" t="n">
        <f aca="false">ROUND((1-_xlfn.PERCENTRANK.INC($C$7:$C$4378,C2123))*9,0)</f>
        <v>0</v>
      </c>
      <c r="G2123" s="1" t="n">
        <f aca="false">ROUND(_xlfn.PERCENTRANK.INC($D$7:$D$4378,D2123)*9,0)</f>
        <v>4</v>
      </c>
      <c r="H2123" s="1" t="n">
        <f aca="false">ROUND(_xlfn.PERCENTRANK.INC($E$7:$E$4378,E2123)*9,0)</f>
        <v>3</v>
      </c>
      <c r="I2123" s="1" t="str">
        <f aca="false">CONCATENATE(F2123,G2123,H2123)</f>
        <v>043</v>
      </c>
      <c r="J2123" s="1" t="str">
        <f aca="false">_xlfn.IFS(AND(F2123&gt;=8,G2123&gt;=8,H2123&gt;=8),"CHAMPION",AND(F2123&gt;=6,G2123&gt;=7,H2123&gt;=6),"LOYAL CUSTOMER",AND(F2123&gt;=6,G2123&gt;=5,H2123&gt;=5),"POTENTIAL LOYALIST",AND(F2123&gt;=8,G2123&lt;=2,H2123&gt;=5),"NEW CUSTOMERS",AND(F2123&gt;=6,G2123&lt;=2,H2123&gt;=3),"PROMISING",AND(F2123&gt;=3,G2123&gt;=3,H2123&gt;=3),"NEED ATTENTION",AND(F2123&lt;=4,G2123&gt;=6,H2123&gt;=6),"AT RISK",AND(F2123&lt;=2,G2123&gt;=8,H2123&gt;=8),"CAN'T LOSE THEM",AND(F2123&lt;=2,G2123&lt;=2,H2123&lt;=2),"HIBERNATING",TRUE(),"Other")</f>
        <v>Other</v>
      </c>
      <c r="K2123" s="1" t="n">
        <f aca="false">RANK(E2123,$E$7:$E$4378)+COUNTIF($E$7:E2123,E2123)-1</f>
        <v>3117</v>
      </c>
    </row>
    <row r="2124" customFormat="false" ht="14.25" hidden="false" customHeight="true" outlineLevel="0" collapsed="false">
      <c r="A2124" s="51" t="n">
        <v>15214</v>
      </c>
      <c r="B2124" s="53" t="n">
        <v>40885.5048611111</v>
      </c>
      <c r="C2124" s="57" t="n">
        <f aca="false">INT($C$2)-INT(Table3[[#This Row],[Last Purchase Date]])</f>
        <v>2</v>
      </c>
      <c r="D2124" s="1" t="n">
        <v>8</v>
      </c>
      <c r="E2124" s="1" t="n">
        <v>1661.44</v>
      </c>
      <c r="F2124" s="1" t="n">
        <f aca="false">ROUND((1-_xlfn.PERCENTRANK.INC($C$7:$C$4378,C2124))*9,0)</f>
        <v>9</v>
      </c>
      <c r="G2124" s="1" t="n">
        <f aca="false">ROUND(_xlfn.PERCENTRANK.INC($D$7:$D$4378,D2124)*9,0)</f>
        <v>7</v>
      </c>
      <c r="H2124" s="1" t="n">
        <f aca="false">ROUND(_xlfn.PERCENTRANK.INC($E$7:$E$4378,E2124)*9,0)</f>
        <v>7</v>
      </c>
      <c r="I2124" s="1" t="str">
        <f aca="false">CONCATENATE(F2124,G2124,H2124)</f>
        <v>977</v>
      </c>
      <c r="J2124" s="1" t="str">
        <f aca="false">_xlfn.IFS(AND(F2124&gt;=8,G2124&gt;=8,H2124&gt;=8),"CHAMPION",AND(F2124&gt;=6,G2124&gt;=7,H2124&gt;=6),"LOYAL CUSTOMER",AND(F2124&gt;=6,G2124&gt;=5,H2124&gt;=5),"POTENTIAL LOYALIST",AND(F2124&gt;=8,G2124&lt;=2,H2124&gt;=5),"NEW CUSTOMERS",AND(F2124&gt;=6,G2124&lt;=2,H2124&gt;=3),"PROMISING",AND(F2124&gt;=3,G2124&gt;=3,H2124&gt;=3),"NEED ATTENTION",AND(F2124&lt;=4,G2124&gt;=6,H2124&gt;=6),"AT RISK",AND(F2124&lt;=2,G2124&gt;=8,H2124&gt;=8),"CAN'T LOSE THEM",AND(F2124&lt;=2,G2124&lt;=2,H2124&lt;=2),"HIBERNATING",TRUE(),"Other")</f>
        <v>LOYAL CUSTOMER</v>
      </c>
      <c r="K2124" s="1" t="n">
        <f aca="false">RANK(E2124,$E$7:$E$4378)+COUNTIF($E$7:E2124,E2124)-1</f>
        <v>1059</v>
      </c>
    </row>
    <row r="2125" customFormat="false" ht="14.25" hidden="false" customHeight="true" outlineLevel="0" collapsed="false">
      <c r="A2125" s="51" t="n">
        <v>15215</v>
      </c>
      <c r="B2125" s="53" t="n">
        <v>40842.5194444444</v>
      </c>
      <c r="C2125" s="57" t="n">
        <f aca="false">INT($C$2)-INT(Table3[[#This Row],[Last Purchase Date]])</f>
        <v>45</v>
      </c>
      <c r="D2125" s="1" t="n">
        <v>6</v>
      </c>
      <c r="E2125" s="1" t="n">
        <v>615.99</v>
      </c>
      <c r="F2125" s="1" t="n">
        <f aca="false">ROUND((1-_xlfn.PERCENTRANK.INC($C$7:$C$4378,C2125))*9,0)</f>
        <v>5</v>
      </c>
      <c r="G2125" s="1" t="n">
        <f aca="false">ROUND(_xlfn.PERCENTRANK.INC($D$7:$D$4378,D2125)*9,0)</f>
        <v>7</v>
      </c>
      <c r="H2125" s="1" t="n">
        <f aca="false">ROUND(_xlfn.PERCENTRANK.INC($E$7:$E$4378,E2125)*9,0)</f>
        <v>4</v>
      </c>
      <c r="I2125" s="1" t="str">
        <f aca="false">CONCATENATE(F2125,G2125,H2125)</f>
        <v>574</v>
      </c>
      <c r="J2125" s="1" t="str">
        <f aca="false">_xlfn.IFS(AND(F2125&gt;=8,G2125&gt;=8,H2125&gt;=8),"CHAMPION",AND(F2125&gt;=6,G2125&gt;=7,H2125&gt;=6),"LOYAL CUSTOMER",AND(F2125&gt;=6,G2125&gt;=5,H2125&gt;=5),"POTENTIAL LOYALIST",AND(F2125&gt;=8,G2125&lt;=2,H2125&gt;=5),"NEW CUSTOMERS",AND(F2125&gt;=6,G2125&lt;=2,H2125&gt;=3),"PROMISING",AND(F2125&gt;=3,G2125&gt;=3,H2125&gt;=3),"NEED ATTENTION",AND(F2125&lt;=4,G2125&gt;=6,H2125&gt;=6),"AT RISK",AND(F2125&lt;=2,G2125&gt;=8,H2125&gt;=8),"CAN'T LOSE THEM",AND(F2125&lt;=2,G2125&lt;=2,H2125&lt;=2),"HIBERNATING",TRUE(),"Other")</f>
        <v>NEED ATTENTION</v>
      </c>
      <c r="K2125" s="1" t="n">
        <f aca="false">RANK(E2125,$E$7:$E$4378)+COUNTIF($E$7:E2125,E2125)-1</f>
        <v>2269</v>
      </c>
    </row>
    <row r="2126" customFormat="false" ht="14.25" hidden="false" customHeight="true" outlineLevel="0" collapsed="false">
      <c r="A2126" s="51" t="n">
        <v>15216</v>
      </c>
      <c r="B2126" s="53" t="n">
        <v>40799.4868055556</v>
      </c>
      <c r="C2126" s="57" t="n">
        <f aca="false">INT($C$2)-INT(Table3[[#This Row],[Last Purchase Date]])</f>
        <v>88</v>
      </c>
      <c r="D2126" s="1" t="n">
        <v>1</v>
      </c>
      <c r="E2126" s="1" t="n">
        <v>96.6</v>
      </c>
      <c r="F2126" s="1" t="n">
        <f aca="false">ROUND((1-_xlfn.PERCENTRANK.INC($C$7:$C$4378,C2126))*9,0)</f>
        <v>3</v>
      </c>
      <c r="G2126" s="1" t="n">
        <f aca="false">ROUND(_xlfn.PERCENTRANK.INC($D$7:$D$4378,D2126)*9,0)</f>
        <v>0</v>
      </c>
      <c r="H2126" s="1" t="n">
        <f aca="false">ROUND(_xlfn.PERCENTRANK.INC($E$7:$E$4378,E2126)*9,0)</f>
        <v>0</v>
      </c>
      <c r="I2126" s="1" t="str">
        <f aca="false">CONCATENATE(F2126,G2126,H2126)</f>
        <v>300</v>
      </c>
      <c r="J2126" s="1" t="str">
        <f aca="false">_xlfn.IFS(AND(F2126&gt;=8,G2126&gt;=8,H2126&gt;=8),"CHAMPION",AND(F2126&gt;=6,G2126&gt;=7,H2126&gt;=6),"LOYAL CUSTOMER",AND(F2126&gt;=6,G2126&gt;=5,H2126&gt;=5),"POTENTIAL LOYALIST",AND(F2126&gt;=8,G2126&lt;=2,H2126&gt;=5),"NEW CUSTOMERS",AND(F2126&gt;=6,G2126&lt;=2,H2126&gt;=3),"PROMISING",AND(F2126&gt;=3,G2126&gt;=3,H2126&gt;=3),"NEED ATTENTION",AND(F2126&lt;=4,G2126&gt;=6,H2126&gt;=6),"AT RISK",AND(F2126&lt;=2,G2126&gt;=8,H2126&gt;=8),"CAN'T LOSE THEM",AND(F2126&lt;=2,G2126&lt;=2,H2126&lt;=2),"HIBERNATING",TRUE(),"Other")</f>
        <v>Other</v>
      </c>
      <c r="K2126" s="1" t="n">
        <f aca="false">RANK(E2126,$E$7:$E$4378)+COUNTIF($E$7:E2126,E2126)-1</f>
        <v>4170</v>
      </c>
    </row>
    <row r="2127" customFormat="false" ht="14.25" hidden="false" customHeight="true" outlineLevel="0" collapsed="false">
      <c r="A2127" s="51" t="n">
        <v>15218</v>
      </c>
      <c r="B2127" s="53" t="n">
        <v>40876.4916666667</v>
      </c>
      <c r="C2127" s="57" t="n">
        <f aca="false">INT($C$2)-INT(Table3[[#This Row],[Last Purchase Date]])</f>
        <v>11</v>
      </c>
      <c r="D2127" s="1" t="n">
        <v>11</v>
      </c>
      <c r="E2127" s="1" t="n">
        <v>5756.89</v>
      </c>
      <c r="F2127" s="1" t="n">
        <f aca="false">ROUND((1-_xlfn.PERCENTRANK.INC($C$7:$C$4378,C2127))*9,0)</f>
        <v>7</v>
      </c>
      <c r="G2127" s="1" t="n">
        <f aca="false">ROUND(_xlfn.PERCENTRANK.INC($D$7:$D$4378,D2127)*9,0)</f>
        <v>8</v>
      </c>
      <c r="H2127" s="1" t="n">
        <f aca="false">ROUND(_xlfn.PERCENTRANK.INC($E$7:$E$4378,E2127)*9,0)</f>
        <v>9</v>
      </c>
      <c r="I2127" s="1" t="str">
        <f aca="false">CONCATENATE(F2127,G2127,H2127)</f>
        <v>789</v>
      </c>
      <c r="J2127" s="1" t="str">
        <f aca="false">_xlfn.IFS(AND(F2127&gt;=8,G2127&gt;=8,H2127&gt;=8),"CHAMPION",AND(F2127&gt;=6,G2127&gt;=7,H2127&gt;=6),"LOYAL CUSTOMER",AND(F2127&gt;=6,G2127&gt;=5,H2127&gt;=5),"POTENTIAL LOYALIST",AND(F2127&gt;=8,G2127&lt;=2,H2127&gt;=5),"NEW CUSTOMERS",AND(F2127&gt;=6,G2127&lt;=2,H2127&gt;=3),"PROMISING",AND(F2127&gt;=3,G2127&gt;=3,H2127&gt;=3),"NEED ATTENTION",AND(F2127&lt;=4,G2127&gt;=6,H2127&gt;=6),"AT RISK",AND(F2127&lt;=2,G2127&gt;=8,H2127&gt;=8),"CAN'T LOSE THEM",AND(F2127&lt;=2,G2127&lt;=2,H2127&lt;=2),"HIBERNATING",TRUE(),"Other")</f>
        <v>LOYAL CUSTOMER</v>
      </c>
      <c r="K2127" s="1" t="n">
        <f aca="false">RANK(E2127,$E$7:$E$4378)+COUNTIF($E$7:E2127,E2127)-1</f>
        <v>211</v>
      </c>
    </row>
    <row r="2128" customFormat="false" ht="14.25" hidden="false" customHeight="true" outlineLevel="0" collapsed="false">
      <c r="A2128" s="51" t="n">
        <v>15219</v>
      </c>
      <c r="B2128" s="53" t="n">
        <v>40710.70625</v>
      </c>
      <c r="C2128" s="57" t="n">
        <f aca="false">INT($C$2)-INT(Table3[[#This Row],[Last Purchase Date]])</f>
        <v>177</v>
      </c>
      <c r="D2128" s="1" t="n">
        <v>1</v>
      </c>
      <c r="E2128" s="1" t="n">
        <v>305.75</v>
      </c>
      <c r="F2128" s="1" t="n">
        <f aca="false">ROUND((1-_xlfn.PERCENTRANK.INC($C$7:$C$4378,C2128))*9,0)</f>
        <v>2</v>
      </c>
      <c r="G2128" s="1" t="n">
        <f aca="false">ROUND(_xlfn.PERCENTRANK.INC($D$7:$D$4378,D2128)*9,0)</f>
        <v>0</v>
      </c>
      <c r="H2128" s="1" t="n">
        <f aca="false">ROUND(_xlfn.PERCENTRANK.INC($E$7:$E$4378,E2128)*9,0)</f>
        <v>2</v>
      </c>
      <c r="I2128" s="1" t="str">
        <f aca="false">CONCATENATE(F2128,G2128,H2128)</f>
        <v>202</v>
      </c>
      <c r="J2128" s="1" t="str">
        <f aca="false">_xlfn.IFS(AND(F2128&gt;=8,G2128&gt;=8,H2128&gt;=8),"CHAMPION",AND(F2128&gt;=6,G2128&gt;=7,H2128&gt;=6),"LOYAL CUSTOMER",AND(F2128&gt;=6,G2128&gt;=5,H2128&gt;=5),"POTENTIAL LOYALIST",AND(F2128&gt;=8,G2128&lt;=2,H2128&gt;=5),"NEW CUSTOMERS",AND(F2128&gt;=6,G2128&lt;=2,H2128&gt;=3),"PROMISING",AND(F2128&gt;=3,G2128&gt;=3,H2128&gt;=3),"NEED ATTENTION",AND(F2128&lt;=4,G2128&gt;=6,H2128&gt;=6),"AT RISK",AND(F2128&lt;=2,G2128&gt;=8,H2128&gt;=8),"CAN'T LOSE THEM",AND(F2128&lt;=2,G2128&lt;=2,H2128&lt;=2),"HIBERNATING",TRUE(),"Other")</f>
        <v>HIBERNATING</v>
      </c>
      <c r="K2128" s="1" t="n">
        <f aca="false">RANK(E2128,$E$7:$E$4378)+COUNTIF($E$7:E2128,E2128)-1</f>
        <v>3221</v>
      </c>
    </row>
    <row r="2129" customFormat="false" ht="14.25" hidden="false" customHeight="true" outlineLevel="0" collapsed="false">
      <c r="A2129" s="51" t="n">
        <v>15220</v>
      </c>
      <c r="B2129" s="53" t="n">
        <v>40835.5270833333</v>
      </c>
      <c r="C2129" s="57" t="n">
        <f aca="false">INT($C$2)-INT(Table3[[#This Row],[Last Purchase Date]])</f>
        <v>52</v>
      </c>
      <c r="D2129" s="1" t="n">
        <v>7</v>
      </c>
      <c r="E2129" s="1" t="n">
        <v>1758.92</v>
      </c>
      <c r="F2129" s="1" t="n">
        <f aca="false">ROUND((1-_xlfn.PERCENTRANK.INC($C$7:$C$4378,C2129))*9,0)</f>
        <v>4</v>
      </c>
      <c r="G2129" s="1" t="n">
        <f aca="false">ROUND(_xlfn.PERCENTRANK.INC($D$7:$D$4378,D2129)*9,0)</f>
        <v>7</v>
      </c>
      <c r="H2129" s="1" t="n">
        <f aca="false">ROUND(_xlfn.PERCENTRANK.INC($E$7:$E$4378,E2129)*9,0)</f>
        <v>7</v>
      </c>
      <c r="I2129" s="1" t="str">
        <f aca="false">CONCATENATE(F2129,G2129,H2129)</f>
        <v>477</v>
      </c>
      <c r="J2129" s="1" t="str">
        <f aca="false">_xlfn.IFS(AND(F2129&gt;=8,G2129&gt;=8,H2129&gt;=8),"CHAMPION",AND(F2129&gt;=6,G2129&gt;=7,H2129&gt;=6),"LOYAL CUSTOMER",AND(F2129&gt;=6,G2129&gt;=5,H2129&gt;=5),"POTENTIAL LOYALIST",AND(F2129&gt;=8,G2129&lt;=2,H2129&gt;=5),"NEW CUSTOMERS",AND(F2129&gt;=6,G2129&lt;=2,H2129&gt;=3),"PROMISING",AND(F2129&gt;=3,G2129&gt;=3,H2129&gt;=3),"NEED ATTENTION",AND(F2129&lt;=4,G2129&gt;=6,H2129&gt;=6),"AT RISK",AND(F2129&lt;=2,G2129&gt;=8,H2129&gt;=8),"CAN'T LOSE THEM",AND(F2129&lt;=2,G2129&lt;=2,H2129&lt;=2),"HIBERNATING",TRUE(),"Other")</f>
        <v>NEED ATTENTION</v>
      </c>
      <c r="K2129" s="1" t="n">
        <f aca="false">RANK(E2129,$E$7:$E$4378)+COUNTIF($E$7:E2129,E2129)-1</f>
        <v>1006</v>
      </c>
    </row>
    <row r="2130" customFormat="false" ht="14.25" hidden="false" customHeight="true" outlineLevel="0" collapsed="false">
      <c r="A2130" s="51" t="n">
        <v>15221</v>
      </c>
      <c r="B2130" s="53" t="n">
        <v>40520.5472222222</v>
      </c>
      <c r="C2130" s="57" t="n">
        <f aca="false">INT($C$2)-INT(Table3[[#This Row],[Last Purchase Date]])</f>
        <v>367</v>
      </c>
      <c r="D2130" s="1" t="n">
        <v>2</v>
      </c>
      <c r="E2130" s="1" t="n">
        <v>114.1</v>
      </c>
      <c r="F2130" s="1" t="n">
        <f aca="false">ROUND((1-_xlfn.PERCENTRANK.INC($C$7:$C$4378,C2130))*9,0)</f>
        <v>0</v>
      </c>
      <c r="G2130" s="1" t="n">
        <f aca="false">ROUND(_xlfn.PERCENTRANK.INC($D$7:$D$4378,D2130)*9,0)</f>
        <v>3</v>
      </c>
      <c r="H2130" s="1" t="n">
        <f aca="false">ROUND(_xlfn.PERCENTRANK.INC($E$7:$E$4378,E2130)*9,0)</f>
        <v>1</v>
      </c>
      <c r="I2130" s="1" t="str">
        <f aca="false">CONCATENATE(F2130,G2130,H2130)</f>
        <v>031</v>
      </c>
      <c r="J2130" s="1" t="str">
        <f aca="false">_xlfn.IFS(AND(F2130&gt;=8,G2130&gt;=8,H2130&gt;=8),"CHAMPION",AND(F2130&gt;=6,G2130&gt;=7,H2130&gt;=6),"LOYAL CUSTOMER",AND(F2130&gt;=6,G2130&gt;=5,H2130&gt;=5),"POTENTIAL LOYALIST",AND(F2130&gt;=8,G2130&lt;=2,H2130&gt;=5),"NEW CUSTOMERS",AND(F2130&gt;=6,G2130&lt;=2,H2130&gt;=3),"PROMISING",AND(F2130&gt;=3,G2130&gt;=3,H2130&gt;=3),"NEED ATTENTION",AND(F2130&lt;=4,G2130&gt;=6,H2130&gt;=6),"AT RISK",AND(F2130&lt;=2,G2130&gt;=8,H2130&gt;=8),"CAN'T LOSE THEM",AND(F2130&lt;=2,G2130&lt;=2,H2130&lt;=2),"HIBERNATING",TRUE(),"Other")</f>
        <v>Other</v>
      </c>
      <c r="K2130" s="1" t="n">
        <f aca="false">RANK(E2130,$E$7:$E$4378)+COUNTIF($E$7:E2130,E2130)-1</f>
        <v>4082</v>
      </c>
    </row>
    <row r="2131" customFormat="false" ht="14.25" hidden="false" customHeight="true" outlineLevel="0" collapsed="false">
      <c r="A2131" s="51" t="n">
        <v>15222</v>
      </c>
      <c r="B2131" s="53" t="n">
        <v>40568.3354166667</v>
      </c>
      <c r="C2131" s="57" t="n">
        <f aca="false">INT($C$2)-INT(Table3[[#This Row],[Last Purchase Date]])</f>
        <v>319</v>
      </c>
      <c r="D2131" s="1" t="n">
        <v>1</v>
      </c>
      <c r="E2131" s="1" t="n">
        <v>585</v>
      </c>
      <c r="F2131" s="1" t="n">
        <f aca="false">ROUND((1-_xlfn.PERCENTRANK.INC($C$7:$C$4378,C2131))*9,0)</f>
        <v>0</v>
      </c>
      <c r="G2131" s="1" t="n">
        <f aca="false">ROUND(_xlfn.PERCENTRANK.INC($D$7:$D$4378,D2131)*9,0)</f>
        <v>0</v>
      </c>
      <c r="H2131" s="1" t="n">
        <f aca="false">ROUND(_xlfn.PERCENTRANK.INC($E$7:$E$4378,E2131)*9,0)</f>
        <v>4</v>
      </c>
      <c r="I2131" s="1" t="str">
        <f aca="false">CONCATENATE(F2131,G2131,H2131)</f>
        <v>004</v>
      </c>
      <c r="J2131" s="1" t="str">
        <f aca="false">_xlfn.IFS(AND(F2131&gt;=8,G2131&gt;=8,H2131&gt;=8),"CHAMPION",AND(F2131&gt;=6,G2131&gt;=7,H2131&gt;=6),"LOYAL CUSTOMER",AND(F2131&gt;=6,G2131&gt;=5,H2131&gt;=5),"POTENTIAL LOYALIST",AND(F2131&gt;=8,G2131&lt;=2,H2131&gt;=5),"NEW CUSTOMERS",AND(F2131&gt;=6,G2131&lt;=2,H2131&gt;=3),"PROMISING",AND(F2131&gt;=3,G2131&gt;=3,H2131&gt;=3),"NEED ATTENTION",AND(F2131&lt;=4,G2131&gt;=6,H2131&gt;=6),"AT RISK",AND(F2131&lt;=2,G2131&gt;=8,H2131&gt;=8),"CAN'T LOSE THEM",AND(F2131&lt;=2,G2131&lt;=2,H2131&lt;=2),"HIBERNATING",TRUE(),"Other")</f>
        <v>Other</v>
      </c>
      <c r="K2131" s="1" t="n">
        <f aca="false">RANK(E2131,$E$7:$E$4378)+COUNTIF($E$7:E2131,E2131)-1</f>
        <v>2356</v>
      </c>
    </row>
    <row r="2132" customFormat="false" ht="14.25" hidden="false" customHeight="true" outlineLevel="0" collapsed="false">
      <c r="A2132" s="51" t="n">
        <v>15223</v>
      </c>
      <c r="B2132" s="53" t="n">
        <v>40661.4798611111</v>
      </c>
      <c r="C2132" s="57" t="n">
        <f aca="false">INT($C$2)-INT(Table3[[#This Row],[Last Purchase Date]])</f>
        <v>226</v>
      </c>
      <c r="D2132" s="1" t="n">
        <v>3</v>
      </c>
      <c r="E2132" s="1" t="n">
        <v>454.9</v>
      </c>
      <c r="F2132" s="1" t="n">
        <f aca="false">ROUND((1-_xlfn.PERCENTRANK.INC($C$7:$C$4378,C2132))*9,0)</f>
        <v>1</v>
      </c>
      <c r="G2132" s="1" t="n">
        <f aca="false">ROUND(_xlfn.PERCENTRANK.INC($D$7:$D$4378,D2132)*9,0)</f>
        <v>4</v>
      </c>
      <c r="H2132" s="1" t="n">
        <f aca="false">ROUND(_xlfn.PERCENTRANK.INC($E$7:$E$4378,E2132)*9,0)</f>
        <v>4</v>
      </c>
      <c r="I2132" s="1" t="str">
        <f aca="false">CONCATENATE(F2132,G2132,H2132)</f>
        <v>144</v>
      </c>
      <c r="J2132" s="1" t="str">
        <f aca="false">_xlfn.IFS(AND(F2132&gt;=8,G2132&gt;=8,H2132&gt;=8),"CHAMPION",AND(F2132&gt;=6,G2132&gt;=7,H2132&gt;=6),"LOYAL CUSTOMER",AND(F2132&gt;=6,G2132&gt;=5,H2132&gt;=5),"POTENTIAL LOYALIST",AND(F2132&gt;=8,G2132&lt;=2,H2132&gt;=5),"NEW CUSTOMERS",AND(F2132&gt;=6,G2132&lt;=2,H2132&gt;=3),"PROMISING",AND(F2132&gt;=3,G2132&gt;=3,H2132&gt;=3),"NEED ATTENTION",AND(F2132&lt;=4,G2132&gt;=6,H2132&gt;=6),"AT RISK",AND(F2132&lt;=2,G2132&gt;=8,H2132&gt;=8),"CAN'T LOSE THEM",AND(F2132&lt;=2,G2132&lt;=2,H2132&lt;=2),"HIBERNATING",TRUE(),"Other")</f>
        <v>Other</v>
      </c>
      <c r="K2132" s="1" t="n">
        <f aca="false">RANK(E2132,$E$7:$E$4378)+COUNTIF($E$7:E2132,E2132)-1</f>
        <v>2659</v>
      </c>
    </row>
    <row r="2133" customFormat="false" ht="14.25" hidden="false" customHeight="true" outlineLevel="0" collapsed="false">
      <c r="A2133" s="51" t="n">
        <v>15224</v>
      </c>
      <c r="B2133" s="53" t="n">
        <v>40528.6263888889</v>
      </c>
      <c r="C2133" s="57" t="n">
        <f aca="false">INT($C$2)-INT(Table3[[#This Row],[Last Purchase Date]])</f>
        <v>359</v>
      </c>
      <c r="D2133" s="1" t="n">
        <v>3</v>
      </c>
      <c r="E2133" s="1" t="n">
        <v>310.48</v>
      </c>
      <c r="F2133" s="1" t="n">
        <f aca="false">ROUND((1-_xlfn.PERCENTRANK.INC($C$7:$C$4378,C2133))*9,0)</f>
        <v>0</v>
      </c>
      <c r="G2133" s="1" t="n">
        <f aca="false">ROUND(_xlfn.PERCENTRANK.INC($D$7:$D$4378,D2133)*9,0)</f>
        <v>4</v>
      </c>
      <c r="H2133" s="1" t="n">
        <f aca="false">ROUND(_xlfn.PERCENTRANK.INC($E$7:$E$4378,E2133)*9,0)</f>
        <v>2</v>
      </c>
      <c r="I2133" s="1" t="str">
        <f aca="false">CONCATENATE(F2133,G2133,H2133)</f>
        <v>042</v>
      </c>
      <c r="J2133" s="1" t="str">
        <f aca="false">_xlfn.IFS(AND(F2133&gt;=8,G2133&gt;=8,H2133&gt;=8),"CHAMPION",AND(F2133&gt;=6,G2133&gt;=7,H2133&gt;=6),"LOYAL CUSTOMER",AND(F2133&gt;=6,G2133&gt;=5,H2133&gt;=5),"POTENTIAL LOYALIST",AND(F2133&gt;=8,G2133&lt;=2,H2133&gt;=5),"NEW CUSTOMERS",AND(F2133&gt;=6,G2133&lt;=2,H2133&gt;=3),"PROMISING",AND(F2133&gt;=3,G2133&gt;=3,H2133&gt;=3),"NEED ATTENTION",AND(F2133&lt;=4,G2133&gt;=6,H2133&gt;=6),"AT RISK",AND(F2133&lt;=2,G2133&gt;=8,H2133&gt;=8),"CAN'T LOSE THEM",AND(F2133&lt;=2,G2133&lt;=2,H2133&lt;=2),"HIBERNATING",TRUE(),"Other")</f>
        <v>Other</v>
      </c>
      <c r="K2133" s="1" t="n">
        <f aca="false">RANK(E2133,$E$7:$E$4378)+COUNTIF($E$7:E2133,E2133)-1</f>
        <v>3192</v>
      </c>
    </row>
    <row r="2134" customFormat="false" ht="14.25" hidden="false" customHeight="true" outlineLevel="0" collapsed="false">
      <c r="A2134" s="51" t="n">
        <v>15225</v>
      </c>
      <c r="B2134" s="53" t="n">
        <v>40652.61875</v>
      </c>
      <c r="C2134" s="57" t="n">
        <f aca="false">INT($C$2)-INT(Table3[[#This Row],[Last Purchase Date]])</f>
        <v>235</v>
      </c>
      <c r="D2134" s="1" t="n">
        <v>1</v>
      </c>
      <c r="E2134" s="1" t="n">
        <v>409.4</v>
      </c>
      <c r="F2134" s="1" t="n">
        <f aca="false">ROUND((1-_xlfn.PERCENTRANK.INC($C$7:$C$4378,C2134))*9,0)</f>
        <v>1</v>
      </c>
      <c r="G2134" s="1" t="n">
        <f aca="false">ROUND(_xlfn.PERCENTRANK.INC($D$7:$D$4378,D2134)*9,0)</f>
        <v>0</v>
      </c>
      <c r="H2134" s="1" t="n">
        <f aca="false">ROUND(_xlfn.PERCENTRANK.INC($E$7:$E$4378,E2134)*9,0)</f>
        <v>3</v>
      </c>
      <c r="I2134" s="1" t="str">
        <f aca="false">CONCATENATE(F2134,G2134,H2134)</f>
        <v>103</v>
      </c>
      <c r="J2134" s="1" t="str">
        <f aca="false">_xlfn.IFS(AND(F2134&gt;=8,G2134&gt;=8,H2134&gt;=8),"CHAMPION",AND(F2134&gt;=6,G2134&gt;=7,H2134&gt;=6),"LOYAL CUSTOMER",AND(F2134&gt;=6,G2134&gt;=5,H2134&gt;=5),"POTENTIAL LOYALIST",AND(F2134&gt;=8,G2134&lt;=2,H2134&gt;=5),"NEW CUSTOMERS",AND(F2134&gt;=6,G2134&lt;=2,H2134&gt;=3),"PROMISING",AND(F2134&gt;=3,G2134&gt;=3,H2134&gt;=3),"NEED ATTENTION",AND(F2134&lt;=4,G2134&gt;=6,H2134&gt;=6),"AT RISK",AND(F2134&lt;=2,G2134&gt;=8,H2134&gt;=8),"CAN'T LOSE THEM",AND(F2134&lt;=2,G2134&lt;=2,H2134&lt;=2),"HIBERNATING",TRUE(),"Other")</f>
        <v>Other</v>
      </c>
      <c r="K2134" s="1" t="n">
        <f aca="false">RANK(E2134,$E$7:$E$4378)+COUNTIF($E$7:E2134,E2134)-1</f>
        <v>2794</v>
      </c>
    </row>
    <row r="2135" customFormat="false" ht="14.25" hidden="false" customHeight="true" outlineLevel="0" collapsed="false">
      <c r="A2135" s="51" t="n">
        <v>15226</v>
      </c>
      <c r="B2135" s="53" t="n">
        <v>40576.4868055556</v>
      </c>
      <c r="C2135" s="57" t="n">
        <f aca="false">INT($C$2)-INT(Table3[[#This Row],[Last Purchase Date]])</f>
        <v>311</v>
      </c>
      <c r="D2135" s="1" t="n">
        <v>1</v>
      </c>
      <c r="E2135" s="1" t="n">
        <v>154.41</v>
      </c>
      <c r="F2135" s="1" t="n">
        <f aca="false">ROUND((1-_xlfn.PERCENTRANK.INC($C$7:$C$4378,C2135))*9,0)</f>
        <v>0</v>
      </c>
      <c r="G2135" s="1" t="n">
        <f aca="false">ROUND(_xlfn.PERCENTRANK.INC($D$7:$D$4378,D2135)*9,0)</f>
        <v>0</v>
      </c>
      <c r="H2135" s="1" t="n">
        <f aca="false">ROUND(_xlfn.PERCENTRANK.INC($E$7:$E$4378,E2135)*9,0)</f>
        <v>1</v>
      </c>
      <c r="I2135" s="1" t="str">
        <f aca="false">CONCATENATE(F2135,G2135,H2135)</f>
        <v>001</v>
      </c>
      <c r="J2135" s="1" t="str">
        <f aca="false">_xlfn.IFS(AND(F2135&gt;=8,G2135&gt;=8,H2135&gt;=8),"CHAMPION",AND(F2135&gt;=6,G2135&gt;=7,H2135&gt;=6),"LOYAL CUSTOMER",AND(F2135&gt;=6,G2135&gt;=5,H2135&gt;=5),"POTENTIAL LOYALIST",AND(F2135&gt;=8,G2135&lt;=2,H2135&gt;=5),"NEW CUSTOMERS",AND(F2135&gt;=6,G2135&lt;=2,H2135&gt;=3),"PROMISING",AND(F2135&gt;=3,G2135&gt;=3,H2135&gt;=3),"NEED ATTENTION",AND(F2135&lt;=4,G2135&gt;=6,H2135&gt;=6),"AT RISK",AND(F2135&lt;=2,G2135&gt;=8,H2135&gt;=8),"CAN'T LOSE THEM",AND(F2135&lt;=2,G2135&lt;=2,H2135&lt;=2),"HIBERNATING",TRUE(),"Other")</f>
        <v>HIBERNATING</v>
      </c>
      <c r="K2135" s="1" t="n">
        <f aca="false">RANK(E2135,$E$7:$E$4378)+COUNTIF($E$7:E2135,E2135)-1</f>
        <v>3895</v>
      </c>
    </row>
    <row r="2136" customFormat="false" ht="14.25" hidden="false" customHeight="true" outlineLevel="0" collapsed="false">
      <c r="A2136" s="51" t="n">
        <v>15227</v>
      </c>
      <c r="B2136" s="53" t="n">
        <v>40850.4993055556</v>
      </c>
      <c r="C2136" s="57" t="n">
        <f aca="false">INT($C$2)-INT(Table3[[#This Row],[Last Purchase Date]])</f>
        <v>37</v>
      </c>
      <c r="D2136" s="1" t="n">
        <v>5</v>
      </c>
      <c r="E2136" s="1" t="n">
        <v>1219.4</v>
      </c>
      <c r="F2136" s="1" t="n">
        <f aca="false">ROUND((1-_xlfn.PERCENTRANK.INC($C$7:$C$4378,C2136))*9,0)</f>
        <v>5</v>
      </c>
      <c r="G2136" s="1" t="n">
        <f aca="false">ROUND(_xlfn.PERCENTRANK.INC($D$7:$D$4378,D2136)*9,0)</f>
        <v>6</v>
      </c>
      <c r="H2136" s="1" t="n">
        <f aca="false">ROUND(_xlfn.PERCENTRANK.INC($E$7:$E$4378,E2136)*9,0)</f>
        <v>6</v>
      </c>
      <c r="I2136" s="1" t="str">
        <f aca="false">CONCATENATE(F2136,G2136,H2136)</f>
        <v>566</v>
      </c>
      <c r="J2136" s="1" t="str">
        <f aca="false">_xlfn.IFS(AND(F2136&gt;=8,G2136&gt;=8,H2136&gt;=8),"CHAMPION",AND(F2136&gt;=6,G2136&gt;=7,H2136&gt;=6),"LOYAL CUSTOMER",AND(F2136&gt;=6,G2136&gt;=5,H2136&gt;=5),"POTENTIAL LOYALIST",AND(F2136&gt;=8,G2136&lt;=2,H2136&gt;=5),"NEW CUSTOMERS",AND(F2136&gt;=6,G2136&lt;=2,H2136&gt;=3),"PROMISING",AND(F2136&gt;=3,G2136&gt;=3,H2136&gt;=3),"NEED ATTENTION",AND(F2136&lt;=4,G2136&gt;=6,H2136&gt;=6),"AT RISK",AND(F2136&lt;=2,G2136&gt;=8,H2136&gt;=8),"CAN'T LOSE THEM",AND(F2136&lt;=2,G2136&lt;=2,H2136&lt;=2),"HIBERNATING",TRUE(),"Other")</f>
        <v>NEED ATTENTION</v>
      </c>
      <c r="K2136" s="1" t="n">
        <f aca="false">RANK(E2136,$E$7:$E$4378)+COUNTIF($E$7:E2136,E2136)-1</f>
        <v>1397</v>
      </c>
    </row>
    <row r="2137" customFormat="false" ht="14.25" hidden="false" customHeight="true" outlineLevel="0" collapsed="false">
      <c r="A2137" s="51" t="n">
        <v>15228</v>
      </c>
      <c r="B2137" s="53" t="n">
        <v>40820.5805555556</v>
      </c>
      <c r="C2137" s="57" t="n">
        <f aca="false">INT($C$2)-INT(Table3[[#This Row],[Last Purchase Date]])</f>
        <v>67</v>
      </c>
      <c r="D2137" s="1" t="n">
        <v>5</v>
      </c>
      <c r="E2137" s="1" t="n">
        <v>3376.96</v>
      </c>
      <c r="F2137" s="1" t="n">
        <f aca="false">ROUND((1-_xlfn.PERCENTRANK.INC($C$7:$C$4378,C2137))*9,0)</f>
        <v>4</v>
      </c>
      <c r="G2137" s="1" t="n">
        <f aca="false">ROUND(_xlfn.PERCENTRANK.INC($D$7:$D$4378,D2137)*9,0)</f>
        <v>6</v>
      </c>
      <c r="H2137" s="1" t="n">
        <f aca="false">ROUND(_xlfn.PERCENTRANK.INC($E$7:$E$4378,E2137)*9,0)</f>
        <v>8</v>
      </c>
      <c r="I2137" s="1" t="str">
        <f aca="false">CONCATENATE(F2137,G2137,H2137)</f>
        <v>468</v>
      </c>
      <c r="J2137" s="1" t="str">
        <f aca="false">_xlfn.IFS(AND(F2137&gt;=8,G2137&gt;=8,H2137&gt;=8),"CHAMPION",AND(F2137&gt;=6,G2137&gt;=7,H2137&gt;=6),"LOYAL CUSTOMER",AND(F2137&gt;=6,G2137&gt;=5,H2137&gt;=5),"POTENTIAL LOYALIST",AND(F2137&gt;=8,G2137&lt;=2,H2137&gt;=5),"NEW CUSTOMERS",AND(F2137&gt;=6,G2137&lt;=2,H2137&gt;=3),"PROMISING",AND(F2137&gt;=3,G2137&gt;=3,H2137&gt;=3),"NEED ATTENTION",AND(F2137&lt;=4,G2137&gt;=6,H2137&gt;=6),"AT RISK",AND(F2137&lt;=2,G2137&gt;=8,H2137&gt;=8),"CAN'T LOSE THEM",AND(F2137&lt;=2,G2137&lt;=2,H2137&lt;=2),"HIBERNATING",TRUE(),"Other")</f>
        <v>NEED ATTENTION</v>
      </c>
      <c r="K2137" s="1" t="n">
        <f aca="false">RANK(E2137,$E$7:$E$4378)+COUNTIF($E$7:E2137,E2137)-1</f>
        <v>463</v>
      </c>
    </row>
    <row r="2138" customFormat="false" ht="14.25" hidden="false" customHeight="true" outlineLevel="0" collapsed="false">
      <c r="A2138" s="51" t="n">
        <v>15230</v>
      </c>
      <c r="B2138" s="53" t="n">
        <v>40647.6104166667</v>
      </c>
      <c r="C2138" s="57" t="n">
        <f aca="false">INT($C$2)-INT(Table3[[#This Row],[Last Purchase Date]])</f>
        <v>240</v>
      </c>
      <c r="D2138" s="1" t="n">
        <v>2</v>
      </c>
      <c r="E2138" s="1" t="n">
        <v>429.6</v>
      </c>
      <c r="F2138" s="1" t="n">
        <f aca="false">ROUND((1-_xlfn.PERCENTRANK.INC($C$7:$C$4378,C2138))*9,0)</f>
        <v>1</v>
      </c>
      <c r="G2138" s="1" t="n">
        <f aca="false">ROUND(_xlfn.PERCENTRANK.INC($D$7:$D$4378,D2138)*9,0)</f>
        <v>3</v>
      </c>
      <c r="H2138" s="1" t="n">
        <f aca="false">ROUND(_xlfn.PERCENTRANK.INC($E$7:$E$4378,E2138)*9,0)</f>
        <v>3</v>
      </c>
      <c r="I2138" s="1" t="str">
        <f aca="false">CONCATENATE(F2138,G2138,H2138)</f>
        <v>133</v>
      </c>
      <c r="J2138" s="1" t="str">
        <f aca="false">_xlfn.IFS(AND(F2138&gt;=8,G2138&gt;=8,H2138&gt;=8),"CHAMPION",AND(F2138&gt;=6,G2138&gt;=7,H2138&gt;=6),"LOYAL CUSTOMER",AND(F2138&gt;=6,G2138&gt;=5,H2138&gt;=5),"POTENTIAL LOYALIST",AND(F2138&gt;=8,G2138&lt;=2,H2138&gt;=5),"NEW CUSTOMERS",AND(F2138&gt;=6,G2138&lt;=2,H2138&gt;=3),"PROMISING",AND(F2138&gt;=3,G2138&gt;=3,H2138&gt;=3),"NEED ATTENTION",AND(F2138&lt;=4,G2138&gt;=6,H2138&gt;=6),"AT RISK",AND(F2138&lt;=2,G2138&gt;=8,H2138&gt;=8),"CAN'T LOSE THEM",AND(F2138&lt;=2,G2138&lt;=2,H2138&lt;=2),"HIBERNATING",TRUE(),"Other")</f>
        <v>Other</v>
      </c>
      <c r="K2138" s="1" t="n">
        <f aca="false">RANK(E2138,$E$7:$E$4378)+COUNTIF($E$7:E2138,E2138)-1</f>
        <v>2723</v>
      </c>
    </row>
    <row r="2139" customFormat="false" ht="14.25" hidden="false" customHeight="true" outlineLevel="0" collapsed="false">
      <c r="A2139" s="51" t="n">
        <v>15232</v>
      </c>
      <c r="B2139" s="53" t="n">
        <v>40773.6854166667</v>
      </c>
      <c r="C2139" s="57" t="n">
        <f aca="false">INT($C$2)-INT(Table3[[#This Row],[Last Purchase Date]])</f>
        <v>114</v>
      </c>
      <c r="D2139" s="1" t="n">
        <v>2</v>
      </c>
      <c r="E2139" s="1" t="n">
        <v>612.06</v>
      </c>
      <c r="F2139" s="1" t="n">
        <f aca="false">ROUND((1-_xlfn.PERCENTRANK.INC($C$7:$C$4378,C2139))*9,0)</f>
        <v>3</v>
      </c>
      <c r="G2139" s="1" t="n">
        <f aca="false">ROUND(_xlfn.PERCENTRANK.INC($D$7:$D$4378,D2139)*9,0)</f>
        <v>3</v>
      </c>
      <c r="H2139" s="1" t="n">
        <f aca="false">ROUND(_xlfn.PERCENTRANK.INC($E$7:$E$4378,E2139)*9,0)</f>
        <v>4</v>
      </c>
      <c r="I2139" s="1" t="str">
        <f aca="false">CONCATENATE(F2139,G2139,H2139)</f>
        <v>334</v>
      </c>
      <c r="J2139" s="1" t="str">
        <f aca="false">_xlfn.IFS(AND(F2139&gt;=8,G2139&gt;=8,H2139&gt;=8),"CHAMPION",AND(F2139&gt;=6,G2139&gt;=7,H2139&gt;=6),"LOYAL CUSTOMER",AND(F2139&gt;=6,G2139&gt;=5,H2139&gt;=5),"POTENTIAL LOYALIST",AND(F2139&gt;=8,G2139&lt;=2,H2139&gt;=5),"NEW CUSTOMERS",AND(F2139&gt;=6,G2139&lt;=2,H2139&gt;=3),"PROMISING",AND(F2139&gt;=3,G2139&gt;=3,H2139&gt;=3),"NEED ATTENTION",AND(F2139&lt;=4,G2139&gt;=6,H2139&gt;=6),"AT RISK",AND(F2139&lt;=2,G2139&gt;=8,H2139&gt;=8),"CAN'T LOSE THEM",AND(F2139&lt;=2,G2139&lt;=2,H2139&lt;=2),"HIBERNATING",TRUE(),"Other")</f>
        <v>NEED ATTENTION</v>
      </c>
      <c r="K2139" s="1" t="n">
        <f aca="false">RANK(E2139,$E$7:$E$4378)+COUNTIF($E$7:E2139,E2139)-1</f>
        <v>2276</v>
      </c>
    </row>
    <row r="2140" customFormat="false" ht="14.25" hidden="false" customHeight="true" outlineLevel="0" collapsed="false">
      <c r="A2140" s="51" t="n">
        <v>15234</v>
      </c>
      <c r="B2140" s="53" t="n">
        <v>40610.3701388889</v>
      </c>
      <c r="C2140" s="57" t="n">
        <f aca="false">INT($C$2)-INT(Table3[[#This Row],[Last Purchase Date]])</f>
        <v>277</v>
      </c>
      <c r="D2140" s="1" t="n">
        <v>1</v>
      </c>
      <c r="E2140" s="1" t="n">
        <v>197</v>
      </c>
      <c r="F2140" s="1" t="n">
        <f aca="false">ROUND((1-_xlfn.PERCENTRANK.INC($C$7:$C$4378,C2140))*9,0)</f>
        <v>1</v>
      </c>
      <c r="G2140" s="1" t="n">
        <f aca="false">ROUND(_xlfn.PERCENTRANK.INC($D$7:$D$4378,D2140)*9,0)</f>
        <v>0</v>
      </c>
      <c r="H2140" s="1" t="n">
        <f aca="false">ROUND(_xlfn.PERCENTRANK.INC($E$7:$E$4378,E2140)*9,0)</f>
        <v>1</v>
      </c>
      <c r="I2140" s="1" t="str">
        <f aca="false">CONCATENATE(F2140,G2140,H2140)</f>
        <v>101</v>
      </c>
      <c r="J2140" s="1" t="str">
        <f aca="false">_xlfn.IFS(AND(F2140&gt;=8,G2140&gt;=8,H2140&gt;=8),"CHAMPION",AND(F2140&gt;=6,G2140&gt;=7,H2140&gt;=6),"LOYAL CUSTOMER",AND(F2140&gt;=6,G2140&gt;=5,H2140&gt;=5),"POTENTIAL LOYALIST",AND(F2140&gt;=8,G2140&lt;=2,H2140&gt;=5),"NEW CUSTOMERS",AND(F2140&gt;=6,G2140&lt;=2,H2140&gt;=3),"PROMISING",AND(F2140&gt;=3,G2140&gt;=3,H2140&gt;=3),"NEED ATTENTION",AND(F2140&lt;=4,G2140&gt;=6,H2140&gt;=6),"AT RISK",AND(F2140&lt;=2,G2140&gt;=8,H2140&gt;=8),"CAN'T LOSE THEM",AND(F2140&lt;=2,G2140&lt;=2,H2140&lt;=2),"HIBERNATING",TRUE(),"Other")</f>
        <v>HIBERNATING</v>
      </c>
      <c r="K2140" s="1" t="n">
        <f aca="false">RANK(E2140,$E$7:$E$4378)+COUNTIF($E$7:E2140,E2140)-1</f>
        <v>3676</v>
      </c>
    </row>
    <row r="2141" customFormat="false" ht="14.25" hidden="false" customHeight="true" outlineLevel="0" collapsed="false">
      <c r="A2141" s="51" t="n">
        <v>15235</v>
      </c>
      <c r="B2141" s="53" t="n">
        <v>40669.4055555556</v>
      </c>
      <c r="C2141" s="57" t="n">
        <f aca="false">INT($C$2)-INT(Table3[[#This Row],[Last Purchase Date]])</f>
        <v>218</v>
      </c>
      <c r="D2141" s="1" t="n">
        <v>12</v>
      </c>
      <c r="E2141" s="1" t="n">
        <v>2247.51</v>
      </c>
      <c r="F2141" s="1" t="n">
        <f aca="false">ROUND((1-_xlfn.PERCENTRANK.INC($C$7:$C$4378,C2141))*9,0)</f>
        <v>1</v>
      </c>
      <c r="G2141" s="1" t="n">
        <f aca="false">ROUND(_xlfn.PERCENTRANK.INC($D$7:$D$4378,D2141)*9,0)</f>
        <v>8</v>
      </c>
      <c r="H2141" s="1" t="n">
        <f aca="false">ROUND(_xlfn.PERCENTRANK.INC($E$7:$E$4378,E2141)*9,0)</f>
        <v>7</v>
      </c>
      <c r="I2141" s="1" t="str">
        <f aca="false">CONCATENATE(F2141,G2141,H2141)</f>
        <v>187</v>
      </c>
      <c r="J2141" s="1" t="str">
        <f aca="false">_xlfn.IFS(AND(F2141&gt;=8,G2141&gt;=8,H2141&gt;=8),"CHAMPION",AND(F2141&gt;=6,G2141&gt;=7,H2141&gt;=6),"LOYAL CUSTOMER",AND(F2141&gt;=6,G2141&gt;=5,H2141&gt;=5),"POTENTIAL LOYALIST",AND(F2141&gt;=8,G2141&lt;=2,H2141&gt;=5),"NEW CUSTOMERS",AND(F2141&gt;=6,G2141&lt;=2,H2141&gt;=3),"PROMISING",AND(F2141&gt;=3,G2141&gt;=3,H2141&gt;=3),"NEED ATTENTION",AND(F2141&lt;=4,G2141&gt;=6,H2141&gt;=6),"AT RISK",AND(F2141&lt;=2,G2141&gt;=8,H2141&gt;=8),"CAN'T LOSE THEM",AND(F2141&lt;=2,G2141&lt;=2,H2141&lt;=2),"HIBERNATING",TRUE(),"Other")</f>
        <v>AT RISK</v>
      </c>
      <c r="K2141" s="1" t="n">
        <f aca="false">RANK(E2141,$E$7:$E$4378)+COUNTIF($E$7:E2141,E2141)-1</f>
        <v>762</v>
      </c>
    </row>
    <row r="2142" customFormat="false" ht="14.25" hidden="false" customHeight="true" outlineLevel="0" collapsed="false">
      <c r="A2142" s="51" t="n">
        <v>15236</v>
      </c>
      <c r="B2142" s="53" t="n">
        <v>40588.4527777778</v>
      </c>
      <c r="C2142" s="57" t="n">
        <f aca="false">INT($C$2)-INT(Table3[[#This Row],[Last Purchase Date]])</f>
        <v>299</v>
      </c>
      <c r="D2142" s="1" t="n">
        <v>1</v>
      </c>
      <c r="E2142" s="1" t="n">
        <v>321.05</v>
      </c>
      <c r="F2142" s="1" t="n">
        <f aca="false">ROUND((1-_xlfn.PERCENTRANK.INC($C$7:$C$4378,C2142))*9,0)</f>
        <v>1</v>
      </c>
      <c r="G2142" s="1" t="n">
        <f aca="false">ROUND(_xlfn.PERCENTRANK.INC($D$7:$D$4378,D2142)*9,0)</f>
        <v>0</v>
      </c>
      <c r="H2142" s="1" t="n">
        <f aca="false">ROUND(_xlfn.PERCENTRANK.INC($E$7:$E$4378,E2142)*9,0)</f>
        <v>3</v>
      </c>
      <c r="I2142" s="1" t="str">
        <f aca="false">CONCATENATE(F2142,G2142,H2142)</f>
        <v>103</v>
      </c>
      <c r="J2142" s="1" t="str">
        <f aca="false">_xlfn.IFS(AND(F2142&gt;=8,G2142&gt;=8,H2142&gt;=8),"CHAMPION",AND(F2142&gt;=6,G2142&gt;=7,H2142&gt;=6),"LOYAL CUSTOMER",AND(F2142&gt;=6,G2142&gt;=5,H2142&gt;=5),"POTENTIAL LOYALIST",AND(F2142&gt;=8,G2142&lt;=2,H2142&gt;=5),"NEW CUSTOMERS",AND(F2142&gt;=6,G2142&lt;=2,H2142&gt;=3),"PROMISING",AND(F2142&gt;=3,G2142&gt;=3,H2142&gt;=3),"NEED ATTENTION",AND(F2142&lt;=4,G2142&gt;=6,H2142&gt;=6),"AT RISK",AND(F2142&lt;=2,G2142&gt;=8,H2142&gt;=8),"CAN'T LOSE THEM",AND(F2142&lt;=2,G2142&lt;=2,H2142&lt;=2),"HIBERNATING",TRUE(),"Other")</f>
        <v>Other</v>
      </c>
      <c r="K2142" s="1" t="n">
        <f aca="false">RANK(E2142,$E$7:$E$4378)+COUNTIF($E$7:E2142,E2142)-1</f>
        <v>3133</v>
      </c>
    </row>
    <row r="2143" customFormat="false" ht="14.25" hidden="false" customHeight="true" outlineLevel="0" collapsed="false">
      <c r="A2143" s="51" t="n">
        <v>15237</v>
      </c>
      <c r="B2143" s="53" t="n">
        <v>40885.4069444445</v>
      </c>
      <c r="C2143" s="57" t="n">
        <f aca="false">INT($C$2)-INT(Table3[[#This Row],[Last Purchase Date]])</f>
        <v>2</v>
      </c>
      <c r="D2143" s="1" t="n">
        <v>4</v>
      </c>
      <c r="E2143" s="1" t="n">
        <v>1412.32</v>
      </c>
      <c r="F2143" s="1" t="n">
        <f aca="false">ROUND((1-_xlfn.PERCENTRANK.INC($C$7:$C$4378,C2143))*9,0)</f>
        <v>9</v>
      </c>
      <c r="G2143" s="1" t="n">
        <f aca="false">ROUND(_xlfn.PERCENTRANK.INC($D$7:$D$4378,D2143)*9,0)</f>
        <v>5</v>
      </c>
      <c r="H2143" s="1" t="n">
        <f aca="false">ROUND(_xlfn.PERCENTRANK.INC($E$7:$E$4378,E2143)*9,0)</f>
        <v>6</v>
      </c>
      <c r="I2143" s="1" t="str">
        <f aca="false">CONCATENATE(F2143,G2143,H2143)</f>
        <v>956</v>
      </c>
      <c r="J2143" s="1" t="str">
        <f aca="false">_xlfn.IFS(AND(F2143&gt;=8,G2143&gt;=8,H2143&gt;=8),"CHAMPION",AND(F2143&gt;=6,G2143&gt;=7,H2143&gt;=6),"LOYAL CUSTOMER",AND(F2143&gt;=6,G2143&gt;=5,H2143&gt;=5),"POTENTIAL LOYALIST",AND(F2143&gt;=8,G2143&lt;=2,H2143&gt;=5),"NEW CUSTOMERS",AND(F2143&gt;=6,G2143&lt;=2,H2143&gt;=3),"PROMISING",AND(F2143&gt;=3,G2143&gt;=3,H2143&gt;=3),"NEED ATTENTION",AND(F2143&lt;=4,G2143&gt;=6,H2143&gt;=6),"AT RISK",AND(F2143&lt;=2,G2143&gt;=8,H2143&gt;=8),"CAN'T LOSE THEM",AND(F2143&lt;=2,G2143&lt;=2,H2143&lt;=2),"HIBERNATING",TRUE(),"Other")</f>
        <v>POTENTIAL LOYALIST</v>
      </c>
      <c r="K2143" s="1" t="n">
        <f aca="false">RANK(E2143,$E$7:$E$4378)+COUNTIF($E$7:E2143,E2143)-1</f>
        <v>1229</v>
      </c>
    </row>
    <row r="2144" customFormat="false" ht="14.25" hidden="false" customHeight="true" outlineLevel="0" collapsed="false">
      <c r="A2144" s="51" t="n">
        <v>15238</v>
      </c>
      <c r="B2144" s="53" t="n">
        <v>40857.6027777778</v>
      </c>
      <c r="C2144" s="57" t="n">
        <f aca="false">INT($C$2)-INT(Table3[[#This Row],[Last Purchase Date]])</f>
        <v>30</v>
      </c>
      <c r="D2144" s="1" t="n">
        <v>5</v>
      </c>
      <c r="E2144" s="1" t="n">
        <v>1056.54</v>
      </c>
      <c r="F2144" s="1" t="n">
        <f aca="false">ROUND((1-_xlfn.PERCENTRANK.INC($C$7:$C$4378,C2144))*9,0)</f>
        <v>6</v>
      </c>
      <c r="G2144" s="1" t="n">
        <f aca="false">ROUND(_xlfn.PERCENTRANK.INC($D$7:$D$4378,D2144)*9,0)</f>
        <v>6</v>
      </c>
      <c r="H2144" s="1" t="n">
        <f aca="false">ROUND(_xlfn.PERCENTRANK.INC($E$7:$E$4378,E2144)*9,0)</f>
        <v>6</v>
      </c>
      <c r="I2144" s="1" t="str">
        <f aca="false">CONCATENATE(F2144,G2144,H2144)</f>
        <v>666</v>
      </c>
      <c r="J2144" s="1" t="str">
        <f aca="false">_xlfn.IFS(AND(F2144&gt;=8,G2144&gt;=8,H2144&gt;=8),"CHAMPION",AND(F2144&gt;=6,G2144&gt;=7,H2144&gt;=6),"LOYAL CUSTOMER",AND(F2144&gt;=6,G2144&gt;=5,H2144&gt;=5),"POTENTIAL LOYALIST",AND(F2144&gt;=8,G2144&lt;=2,H2144&gt;=5),"NEW CUSTOMERS",AND(F2144&gt;=6,G2144&lt;=2,H2144&gt;=3),"PROMISING",AND(F2144&gt;=3,G2144&gt;=3,H2144&gt;=3),"NEED ATTENTION",AND(F2144&lt;=4,G2144&gt;=6,H2144&gt;=6),"AT RISK",AND(F2144&lt;=2,G2144&gt;=8,H2144&gt;=8),"CAN'T LOSE THEM",AND(F2144&lt;=2,G2144&lt;=2,H2144&lt;=2),"HIBERNATING",TRUE(),"Other")</f>
        <v>POTENTIAL LOYALIST</v>
      </c>
      <c r="K2144" s="1" t="n">
        <f aca="false">RANK(E2144,$E$7:$E$4378)+COUNTIF($E$7:E2144,E2144)-1</f>
        <v>1551</v>
      </c>
    </row>
    <row r="2145" customFormat="false" ht="14.25" hidden="false" customHeight="true" outlineLevel="0" collapsed="false">
      <c r="A2145" s="51" t="n">
        <v>15239</v>
      </c>
      <c r="B2145" s="53" t="n">
        <v>40876.5930555556</v>
      </c>
      <c r="C2145" s="57" t="n">
        <f aca="false">INT($C$2)-INT(Table3[[#This Row],[Last Purchase Date]])</f>
        <v>11</v>
      </c>
      <c r="D2145" s="1" t="n">
        <v>3</v>
      </c>
      <c r="E2145" s="1" t="n">
        <v>764.34</v>
      </c>
      <c r="F2145" s="1" t="n">
        <f aca="false">ROUND((1-_xlfn.PERCENTRANK.INC($C$7:$C$4378,C2145))*9,0)</f>
        <v>7</v>
      </c>
      <c r="G2145" s="1" t="n">
        <f aca="false">ROUND(_xlfn.PERCENTRANK.INC($D$7:$D$4378,D2145)*9,0)</f>
        <v>4</v>
      </c>
      <c r="H2145" s="1" t="n">
        <f aca="false">ROUND(_xlfn.PERCENTRANK.INC($E$7:$E$4378,E2145)*9,0)</f>
        <v>5</v>
      </c>
      <c r="I2145" s="1" t="str">
        <f aca="false">CONCATENATE(F2145,G2145,H2145)</f>
        <v>745</v>
      </c>
      <c r="J2145" s="1" t="str">
        <f aca="false">_xlfn.IFS(AND(F2145&gt;=8,G2145&gt;=8,H2145&gt;=8),"CHAMPION",AND(F2145&gt;=6,G2145&gt;=7,H2145&gt;=6),"LOYAL CUSTOMER",AND(F2145&gt;=6,G2145&gt;=5,H2145&gt;=5),"POTENTIAL LOYALIST",AND(F2145&gt;=8,G2145&lt;=2,H2145&gt;=5),"NEW CUSTOMERS",AND(F2145&gt;=6,G2145&lt;=2,H2145&gt;=3),"PROMISING",AND(F2145&gt;=3,G2145&gt;=3,H2145&gt;=3),"NEED ATTENTION",AND(F2145&lt;=4,G2145&gt;=6,H2145&gt;=6),"AT RISK",AND(F2145&lt;=2,G2145&gt;=8,H2145&gt;=8),"CAN'T LOSE THEM",AND(F2145&lt;=2,G2145&lt;=2,H2145&lt;=2),"HIBERNATING",TRUE(),"Other")</f>
        <v>NEED ATTENTION</v>
      </c>
      <c r="K2145" s="1" t="n">
        <f aca="false">RANK(E2145,$E$7:$E$4378)+COUNTIF($E$7:E2145,E2145)-1</f>
        <v>1958</v>
      </c>
    </row>
    <row r="2146" customFormat="false" ht="14.25" hidden="false" customHeight="true" outlineLevel="0" collapsed="false">
      <c r="A2146" s="51" t="n">
        <v>15240</v>
      </c>
      <c r="B2146" s="53" t="n">
        <v>40842.4097222222</v>
      </c>
      <c r="C2146" s="57" t="n">
        <f aca="false">INT($C$2)-INT(Table3[[#This Row],[Last Purchase Date]])</f>
        <v>45</v>
      </c>
      <c r="D2146" s="1" t="n">
        <v>7</v>
      </c>
      <c r="E2146" s="1" t="n">
        <v>1685.57</v>
      </c>
      <c r="F2146" s="1" t="n">
        <f aca="false">ROUND((1-_xlfn.PERCENTRANK.INC($C$7:$C$4378,C2146))*9,0)</f>
        <v>5</v>
      </c>
      <c r="G2146" s="1" t="n">
        <f aca="false">ROUND(_xlfn.PERCENTRANK.INC($D$7:$D$4378,D2146)*9,0)</f>
        <v>7</v>
      </c>
      <c r="H2146" s="1" t="n">
        <f aca="false">ROUND(_xlfn.PERCENTRANK.INC($E$7:$E$4378,E2146)*9,0)</f>
        <v>7</v>
      </c>
      <c r="I2146" s="1" t="str">
        <f aca="false">CONCATENATE(F2146,G2146,H2146)</f>
        <v>577</v>
      </c>
      <c r="J2146" s="1" t="str">
        <f aca="false">_xlfn.IFS(AND(F2146&gt;=8,G2146&gt;=8,H2146&gt;=8),"CHAMPION",AND(F2146&gt;=6,G2146&gt;=7,H2146&gt;=6),"LOYAL CUSTOMER",AND(F2146&gt;=6,G2146&gt;=5,H2146&gt;=5),"POTENTIAL LOYALIST",AND(F2146&gt;=8,G2146&lt;=2,H2146&gt;=5),"NEW CUSTOMERS",AND(F2146&gt;=6,G2146&lt;=2,H2146&gt;=3),"PROMISING",AND(F2146&gt;=3,G2146&gt;=3,H2146&gt;=3),"NEED ATTENTION",AND(F2146&lt;=4,G2146&gt;=6,H2146&gt;=6),"AT RISK",AND(F2146&lt;=2,G2146&gt;=8,H2146&gt;=8),"CAN'T LOSE THEM",AND(F2146&lt;=2,G2146&lt;=2,H2146&lt;=2),"HIBERNATING",TRUE(),"Other")</f>
        <v>NEED ATTENTION</v>
      </c>
      <c r="K2146" s="1" t="n">
        <f aca="false">RANK(E2146,$E$7:$E$4378)+COUNTIF($E$7:E2146,E2146)-1</f>
        <v>1046</v>
      </c>
    </row>
    <row r="2147" customFormat="false" ht="14.25" hidden="false" customHeight="true" outlineLevel="0" collapsed="false">
      <c r="A2147" s="51" t="n">
        <v>15241</v>
      </c>
      <c r="B2147" s="53" t="n">
        <v>40820.3784722222</v>
      </c>
      <c r="C2147" s="57" t="n">
        <f aca="false">INT($C$2)-INT(Table3[[#This Row],[Last Purchase Date]])</f>
        <v>67</v>
      </c>
      <c r="D2147" s="1" t="n">
        <v>9</v>
      </c>
      <c r="E2147" s="1" t="n">
        <v>1738.59</v>
      </c>
      <c r="F2147" s="1" t="n">
        <f aca="false">ROUND((1-_xlfn.PERCENTRANK.INC($C$7:$C$4378,C2147))*9,0)</f>
        <v>4</v>
      </c>
      <c r="G2147" s="1" t="n">
        <f aca="false">ROUND(_xlfn.PERCENTRANK.INC($D$7:$D$4378,D2147)*9,0)</f>
        <v>8</v>
      </c>
      <c r="H2147" s="1" t="n">
        <f aca="false">ROUND(_xlfn.PERCENTRANK.INC($E$7:$E$4378,E2147)*9,0)</f>
        <v>7</v>
      </c>
      <c r="I2147" s="1" t="str">
        <f aca="false">CONCATENATE(F2147,G2147,H2147)</f>
        <v>487</v>
      </c>
      <c r="J2147" s="1" t="str">
        <f aca="false">_xlfn.IFS(AND(F2147&gt;=8,G2147&gt;=8,H2147&gt;=8),"CHAMPION",AND(F2147&gt;=6,G2147&gt;=7,H2147&gt;=6),"LOYAL CUSTOMER",AND(F2147&gt;=6,G2147&gt;=5,H2147&gt;=5),"POTENTIAL LOYALIST",AND(F2147&gt;=8,G2147&lt;=2,H2147&gt;=5),"NEW CUSTOMERS",AND(F2147&gt;=6,G2147&lt;=2,H2147&gt;=3),"PROMISING",AND(F2147&gt;=3,G2147&gt;=3,H2147&gt;=3),"NEED ATTENTION",AND(F2147&lt;=4,G2147&gt;=6,H2147&gt;=6),"AT RISK",AND(F2147&lt;=2,G2147&gt;=8,H2147&gt;=8),"CAN'T LOSE THEM",AND(F2147&lt;=2,G2147&lt;=2,H2147&lt;=2),"HIBERNATING",TRUE(),"Other")</f>
        <v>NEED ATTENTION</v>
      </c>
      <c r="K2147" s="1" t="n">
        <f aca="false">RANK(E2147,$E$7:$E$4378)+COUNTIF($E$7:E2147,E2147)-1</f>
        <v>1018</v>
      </c>
    </row>
    <row r="2148" customFormat="false" ht="14.25" hidden="false" customHeight="true" outlineLevel="0" collapsed="false">
      <c r="A2148" s="51" t="n">
        <v>15243</v>
      </c>
      <c r="B2148" s="53" t="n">
        <v>40812.5916666667</v>
      </c>
      <c r="C2148" s="57" t="n">
        <f aca="false">INT($C$2)-INT(Table3[[#This Row],[Last Purchase Date]])</f>
        <v>75</v>
      </c>
      <c r="D2148" s="1" t="n">
        <v>1</v>
      </c>
      <c r="E2148" s="1" t="n">
        <v>316.68</v>
      </c>
      <c r="F2148" s="1" t="n">
        <f aca="false">ROUND((1-_xlfn.PERCENTRANK.INC($C$7:$C$4378,C2148))*9,0)</f>
        <v>3</v>
      </c>
      <c r="G2148" s="1" t="n">
        <f aca="false">ROUND(_xlfn.PERCENTRANK.INC($D$7:$D$4378,D2148)*9,0)</f>
        <v>0</v>
      </c>
      <c r="H2148" s="1" t="n">
        <f aca="false">ROUND(_xlfn.PERCENTRANK.INC($E$7:$E$4378,E2148)*9,0)</f>
        <v>3</v>
      </c>
      <c r="I2148" s="1" t="str">
        <f aca="false">CONCATENATE(F2148,G2148,H2148)</f>
        <v>303</v>
      </c>
      <c r="J2148" s="1" t="str">
        <f aca="false">_xlfn.IFS(AND(F2148&gt;=8,G2148&gt;=8,H2148&gt;=8),"CHAMPION",AND(F2148&gt;=6,G2148&gt;=7,H2148&gt;=6),"LOYAL CUSTOMER",AND(F2148&gt;=6,G2148&gt;=5,H2148&gt;=5),"POTENTIAL LOYALIST",AND(F2148&gt;=8,G2148&lt;=2,H2148&gt;=5),"NEW CUSTOMERS",AND(F2148&gt;=6,G2148&lt;=2,H2148&gt;=3),"PROMISING",AND(F2148&gt;=3,G2148&gt;=3,H2148&gt;=3),"NEED ATTENTION",AND(F2148&lt;=4,G2148&gt;=6,H2148&gt;=6),"AT RISK",AND(F2148&lt;=2,G2148&gt;=8,H2148&gt;=8),"CAN'T LOSE THEM",AND(F2148&lt;=2,G2148&lt;=2,H2148&lt;=2),"HIBERNATING",TRUE(),"Other")</f>
        <v>Other</v>
      </c>
      <c r="K2148" s="1" t="n">
        <f aca="false">RANK(E2148,$E$7:$E$4378)+COUNTIF($E$7:E2148,E2148)-1</f>
        <v>3154</v>
      </c>
    </row>
    <row r="2149" customFormat="false" ht="14.25" hidden="false" customHeight="true" outlineLevel="0" collapsed="false">
      <c r="A2149" s="51" t="n">
        <v>15244</v>
      </c>
      <c r="B2149" s="53" t="n">
        <v>40821.5548611111</v>
      </c>
      <c r="C2149" s="57" t="n">
        <f aca="false">INT($C$2)-INT(Table3[[#This Row],[Last Purchase Date]])</f>
        <v>66</v>
      </c>
      <c r="D2149" s="1" t="n">
        <v>2</v>
      </c>
      <c r="E2149" s="1" t="n">
        <v>631.57</v>
      </c>
      <c r="F2149" s="1" t="n">
        <f aca="false">ROUND((1-_xlfn.PERCENTRANK.INC($C$7:$C$4378,C2149))*9,0)</f>
        <v>4</v>
      </c>
      <c r="G2149" s="1" t="n">
        <f aca="false">ROUND(_xlfn.PERCENTRANK.INC($D$7:$D$4378,D2149)*9,0)</f>
        <v>3</v>
      </c>
      <c r="H2149" s="1" t="n">
        <f aca="false">ROUND(_xlfn.PERCENTRANK.INC($E$7:$E$4378,E2149)*9,0)</f>
        <v>4</v>
      </c>
      <c r="I2149" s="1" t="str">
        <f aca="false">CONCATENATE(F2149,G2149,H2149)</f>
        <v>434</v>
      </c>
      <c r="J2149" s="1" t="str">
        <f aca="false">_xlfn.IFS(AND(F2149&gt;=8,G2149&gt;=8,H2149&gt;=8),"CHAMPION",AND(F2149&gt;=6,G2149&gt;=7,H2149&gt;=6),"LOYAL CUSTOMER",AND(F2149&gt;=6,G2149&gt;=5,H2149&gt;=5),"POTENTIAL LOYALIST",AND(F2149&gt;=8,G2149&lt;=2,H2149&gt;=5),"NEW CUSTOMERS",AND(F2149&gt;=6,G2149&lt;=2,H2149&gt;=3),"PROMISING",AND(F2149&gt;=3,G2149&gt;=3,H2149&gt;=3),"NEED ATTENTION",AND(F2149&lt;=4,G2149&gt;=6,H2149&gt;=6),"AT RISK",AND(F2149&lt;=2,G2149&gt;=8,H2149&gt;=8),"CAN'T LOSE THEM",AND(F2149&lt;=2,G2149&lt;=2,H2149&lt;=2),"HIBERNATING",TRUE(),"Other")</f>
        <v>NEED ATTENTION</v>
      </c>
      <c r="K2149" s="1" t="n">
        <f aca="false">RANK(E2149,$E$7:$E$4378)+COUNTIF($E$7:E2149,E2149)-1</f>
        <v>2231</v>
      </c>
    </row>
    <row r="2150" customFormat="false" ht="14.25" hidden="false" customHeight="true" outlineLevel="0" collapsed="false">
      <c r="A2150" s="51" t="n">
        <v>15245</v>
      </c>
      <c r="B2150" s="53" t="n">
        <v>40752.7888888889</v>
      </c>
      <c r="C2150" s="57" t="n">
        <f aca="false">INT($C$2)-INT(Table3[[#This Row],[Last Purchase Date]])</f>
        <v>135</v>
      </c>
      <c r="D2150" s="1" t="n">
        <v>3</v>
      </c>
      <c r="E2150" s="1" t="n">
        <v>2515.84</v>
      </c>
      <c r="F2150" s="1" t="n">
        <f aca="false">ROUND((1-_xlfn.PERCENTRANK.INC($C$7:$C$4378,C2150))*9,0)</f>
        <v>2</v>
      </c>
      <c r="G2150" s="1" t="n">
        <f aca="false">ROUND(_xlfn.PERCENTRANK.INC($D$7:$D$4378,D2150)*9,0)</f>
        <v>4</v>
      </c>
      <c r="H2150" s="1" t="n">
        <f aca="false">ROUND(_xlfn.PERCENTRANK.INC($E$7:$E$4378,E2150)*9,0)</f>
        <v>8</v>
      </c>
      <c r="I2150" s="1" t="str">
        <f aca="false">CONCATENATE(F2150,G2150,H2150)</f>
        <v>248</v>
      </c>
      <c r="J2150" s="1" t="str">
        <f aca="false">_xlfn.IFS(AND(F2150&gt;=8,G2150&gt;=8,H2150&gt;=8),"CHAMPION",AND(F2150&gt;=6,G2150&gt;=7,H2150&gt;=6),"LOYAL CUSTOMER",AND(F2150&gt;=6,G2150&gt;=5,H2150&gt;=5),"POTENTIAL LOYALIST",AND(F2150&gt;=8,G2150&lt;=2,H2150&gt;=5),"NEW CUSTOMERS",AND(F2150&gt;=6,G2150&lt;=2,H2150&gt;=3),"PROMISING",AND(F2150&gt;=3,G2150&gt;=3,H2150&gt;=3),"NEED ATTENTION",AND(F2150&lt;=4,G2150&gt;=6,H2150&gt;=6),"AT RISK",AND(F2150&lt;=2,G2150&gt;=8,H2150&gt;=8),"CAN'T LOSE THEM",AND(F2150&lt;=2,G2150&lt;=2,H2150&lt;=2),"HIBERNATING",TRUE(),"Other")</f>
        <v>Other</v>
      </c>
      <c r="K2150" s="1" t="n">
        <f aca="false">RANK(E2150,$E$7:$E$4378)+COUNTIF($E$7:E2150,E2150)-1</f>
        <v>675</v>
      </c>
    </row>
    <row r="2151" customFormat="false" ht="14.25" hidden="false" customHeight="true" outlineLevel="0" collapsed="false">
      <c r="A2151" s="51" t="n">
        <v>15246</v>
      </c>
      <c r="B2151" s="53" t="n">
        <v>40648.6145833333</v>
      </c>
      <c r="C2151" s="57" t="n">
        <f aca="false">INT($C$2)-INT(Table3[[#This Row],[Last Purchase Date]])</f>
        <v>239</v>
      </c>
      <c r="D2151" s="1" t="n">
        <v>2</v>
      </c>
      <c r="E2151" s="1" t="n">
        <v>514.15</v>
      </c>
      <c r="F2151" s="1" t="n">
        <f aca="false">ROUND((1-_xlfn.PERCENTRANK.INC($C$7:$C$4378,C2151))*9,0)</f>
        <v>1</v>
      </c>
      <c r="G2151" s="1" t="n">
        <f aca="false">ROUND(_xlfn.PERCENTRANK.INC($D$7:$D$4378,D2151)*9,0)</f>
        <v>3</v>
      </c>
      <c r="H2151" s="1" t="n">
        <f aca="false">ROUND(_xlfn.PERCENTRANK.INC($E$7:$E$4378,E2151)*9,0)</f>
        <v>4</v>
      </c>
      <c r="I2151" s="1" t="str">
        <f aca="false">CONCATENATE(F2151,G2151,H2151)</f>
        <v>134</v>
      </c>
      <c r="J2151" s="1" t="str">
        <f aca="false">_xlfn.IFS(AND(F2151&gt;=8,G2151&gt;=8,H2151&gt;=8),"CHAMPION",AND(F2151&gt;=6,G2151&gt;=7,H2151&gt;=6),"LOYAL CUSTOMER",AND(F2151&gt;=6,G2151&gt;=5,H2151&gt;=5),"POTENTIAL LOYALIST",AND(F2151&gt;=8,G2151&lt;=2,H2151&gt;=5),"NEW CUSTOMERS",AND(F2151&gt;=6,G2151&lt;=2,H2151&gt;=3),"PROMISING",AND(F2151&gt;=3,G2151&gt;=3,H2151&gt;=3),"NEED ATTENTION",AND(F2151&lt;=4,G2151&gt;=6,H2151&gt;=6),"AT RISK",AND(F2151&lt;=2,G2151&gt;=8,H2151&gt;=8),"CAN'T LOSE THEM",AND(F2151&lt;=2,G2151&lt;=2,H2151&lt;=2),"HIBERNATING",TRUE(),"Other")</f>
        <v>Other</v>
      </c>
      <c r="K2151" s="1" t="n">
        <f aca="false">RANK(E2151,$E$7:$E$4378)+COUNTIF($E$7:E2151,E2151)-1</f>
        <v>2506</v>
      </c>
    </row>
    <row r="2152" customFormat="false" ht="14.25" hidden="false" customHeight="true" outlineLevel="0" collapsed="false">
      <c r="A2152" s="51" t="n">
        <v>15247</v>
      </c>
      <c r="B2152" s="53" t="n">
        <v>40764.5361111111</v>
      </c>
      <c r="C2152" s="57" t="n">
        <f aca="false">INT($C$2)-INT(Table3[[#This Row],[Last Purchase Date]])</f>
        <v>123</v>
      </c>
      <c r="D2152" s="1" t="n">
        <v>1</v>
      </c>
      <c r="E2152" s="1" t="n">
        <v>356</v>
      </c>
      <c r="F2152" s="1" t="n">
        <f aca="false">ROUND((1-_xlfn.PERCENTRANK.INC($C$7:$C$4378,C2152))*9,0)</f>
        <v>3</v>
      </c>
      <c r="G2152" s="1" t="n">
        <f aca="false">ROUND(_xlfn.PERCENTRANK.INC($D$7:$D$4378,D2152)*9,0)</f>
        <v>0</v>
      </c>
      <c r="H2152" s="1" t="n">
        <f aca="false">ROUND(_xlfn.PERCENTRANK.INC($E$7:$E$4378,E2152)*9,0)</f>
        <v>3</v>
      </c>
      <c r="I2152" s="1" t="str">
        <f aca="false">CONCATENATE(F2152,G2152,H2152)</f>
        <v>303</v>
      </c>
      <c r="J2152" s="1" t="str">
        <f aca="false">_xlfn.IFS(AND(F2152&gt;=8,G2152&gt;=8,H2152&gt;=8),"CHAMPION",AND(F2152&gt;=6,G2152&gt;=7,H2152&gt;=6),"LOYAL CUSTOMER",AND(F2152&gt;=6,G2152&gt;=5,H2152&gt;=5),"POTENTIAL LOYALIST",AND(F2152&gt;=8,G2152&lt;=2,H2152&gt;=5),"NEW CUSTOMERS",AND(F2152&gt;=6,G2152&lt;=2,H2152&gt;=3),"PROMISING",AND(F2152&gt;=3,G2152&gt;=3,H2152&gt;=3),"NEED ATTENTION",AND(F2152&lt;=4,G2152&gt;=6,H2152&gt;=6),"AT RISK",AND(F2152&lt;=2,G2152&gt;=8,H2152&gt;=8),"CAN'T LOSE THEM",AND(F2152&lt;=2,G2152&lt;=2,H2152&lt;=2),"HIBERNATING",TRUE(),"Other")</f>
        <v>Other</v>
      </c>
      <c r="K2152" s="1" t="n">
        <f aca="false">RANK(E2152,$E$7:$E$4378)+COUNTIF($E$7:E2152,E2152)-1</f>
        <v>2980</v>
      </c>
    </row>
    <row r="2153" customFormat="false" ht="14.25" hidden="false" customHeight="true" outlineLevel="0" collapsed="false">
      <c r="A2153" s="51" t="n">
        <v>15249</v>
      </c>
      <c r="B2153" s="53" t="n">
        <v>40855.4895833333</v>
      </c>
      <c r="C2153" s="57" t="n">
        <f aca="false">INT($C$2)-INT(Table3[[#This Row],[Last Purchase Date]])</f>
        <v>32</v>
      </c>
      <c r="D2153" s="1" t="n">
        <v>15</v>
      </c>
      <c r="E2153" s="1" t="n">
        <v>6657.36000000001</v>
      </c>
      <c r="F2153" s="1" t="n">
        <f aca="false">ROUND((1-_xlfn.PERCENTRANK.INC($C$7:$C$4378,C2153))*9,0)</f>
        <v>5</v>
      </c>
      <c r="G2153" s="1" t="n">
        <f aca="false">ROUND(_xlfn.PERCENTRANK.INC($D$7:$D$4378,D2153)*9,0)</f>
        <v>8</v>
      </c>
      <c r="H2153" s="1" t="n">
        <f aca="false">ROUND(_xlfn.PERCENTRANK.INC($E$7:$E$4378,E2153)*9,0)</f>
        <v>9</v>
      </c>
      <c r="I2153" s="1" t="str">
        <f aca="false">CONCATENATE(F2153,G2153,H2153)</f>
        <v>589</v>
      </c>
      <c r="J2153" s="1" t="str">
        <f aca="false">_xlfn.IFS(AND(F2153&gt;=8,G2153&gt;=8,H2153&gt;=8),"CHAMPION",AND(F2153&gt;=6,G2153&gt;=7,H2153&gt;=6),"LOYAL CUSTOMER",AND(F2153&gt;=6,G2153&gt;=5,H2153&gt;=5),"POTENTIAL LOYALIST",AND(F2153&gt;=8,G2153&lt;=2,H2153&gt;=5),"NEW CUSTOMERS",AND(F2153&gt;=6,G2153&lt;=2,H2153&gt;=3),"PROMISING",AND(F2153&gt;=3,G2153&gt;=3,H2153&gt;=3),"NEED ATTENTION",AND(F2153&lt;=4,G2153&gt;=6,H2153&gt;=6),"AT RISK",AND(F2153&lt;=2,G2153&gt;=8,H2153&gt;=8),"CAN'T LOSE THEM",AND(F2153&lt;=2,G2153&lt;=2,H2153&lt;=2),"HIBERNATING",TRUE(),"Other")</f>
        <v>NEED ATTENTION</v>
      </c>
      <c r="K2153" s="1" t="n">
        <f aca="false">RANK(E2153,$E$7:$E$4378)+COUNTIF($E$7:E2153,E2153)-1</f>
        <v>173</v>
      </c>
    </row>
    <row r="2154" customFormat="false" ht="14.25" hidden="false" customHeight="true" outlineLevel="0" collapsed="false">
      <c r="A2154" s="51" t="n">
        <v>15251</v>
      </c>
      <c r="B2154" s="53" t="n">
        <v>40877.6263888889</v>
      </c>
      <c r="C2154" s="57" t="n">
        <f aca="false">INT($C$2)-INT(Table3[[#This Row],[Last Purchase Date]])</f>
        <v>10</v>
      </c>
      <c r="D2154" s="1" t="n">
        <v>15</v>
      </c>
      <c r="E2154" s="1" t="n">
        <v>10327.11</v>
      </c>
      <c r="F2154" s="1" t="n">
        <f aca="false">ROUND((1-_xlfn.PERCENTRANK.INC($C$7:$C$4378,C2154))*9,0)</f>
        <v>8</v>
      </c>
      <c r="G2154" s="1" t="n">
        <f aca="false">ROUND(_xlfn.PERCENTRANK.INC($D$7:$D$4378,D2154)*9,0)</f>
        <v>8</v>
      </c>
      <c r="H2154" s="1" t="n">
        <f aca="false">ROUND(_xlfn.PERCENTRANK.INC($E$7:$E$4378,E2154)*9,0)</f>
        <v>9</v>
      </c>
      <c r="I2154" s="1" t="str">
        <f aca="false">CONCATENATE(F2154,G2154,H2154)</f>
        <v>889</v>
      </c>
      <c r="J2154" s="1" t="str">
        <f aca="false">_xlfn.IFS(AND(F2154&gt;=8,G2154&gt;=8,H2154&gt;=8),"CHAMPION",AND(F2154&gt;=6,G2154&gt;=7,H2154&gt;=6),"LOYAL CUSTOMER",AND(F2154&gt;=6,G2154&gt;=5,H2154&gt;=5),"POTENTIAL LOYALIST",AND(F2154&gt;=8,G2154&lt;=2,H2154&gt;=5),"NEW CUSTOMERS",AND(F2154&gt;=6,G2154&lt;=2,H2154&gt;=3),"PROMISING",AND(F2154&gt;=3,G2154&gt;=3,H2154&gt;=3),"NEED ATTENTION",AND(F2154&lt;=4,G2154&gt;=6,H2154&gt;=6),"AT RISK",AND(F2154&lt;=2,G2154&gt;=8,H2154&gt;=8),"CAN'T LOSE THEM",AND(F2154&lt;=2,G2154&lt;=2,H2154&lt;=2),"HIBERNATING",TRUE(),"Other")</f>
        <v>CHAMPION</v>
      </c>
      <c r="K2154" s="1" t="n">
        <f aca="false">RANK(E2154,$E$7:$E$4378)+COUNTIF($E$7:E2154,E2154)-1</f>
        <v>93</v>
      </c>
    </row>
    <row r="2155" customFormat="false" ht="14.25" hidden="false" customHeight="true" outlineLevel="0" collapsed="false">
      <c r="A2155" s="51" t="n">
        <v>15252</v>
      </c>
      <c r="B2155" s="53" t="n">
        <v>40850.5625</v>
      </c>
      <c r="C2155" s="57" t="n">
        <f aca="false">INT($C$2)-INT(Table3[[#This Row],[Last Purchase Date]])</f>
        <v>37</v>
      </c>
      <c r="D2155" s="1" t="n">
        <v>2</v>
      </c>
      <c r="E2155" s="1" t="n">
        <v>740.78</v>
      </c>
      <c r="F2155" s="1" t="n">
        <f aca="false">ROUND((1-_xlfn.PERCENTRANK.INC($C$7:$C$4378,C2155))*9,0)</f>
        <v>5</v>
      </c>
      <c r="G2155" s="1" t="n">
        <f aca="false">ROUND(_xlfn.PERCENTRANK.INC($D$7:$D$4378,D2155)*9,0)</f>
        <v>3</v>
      </c>
      <c r="H2155" s="1" t="n">
        <f aca="false">ROUND(_xlfn.PERCENTRANK.INC($E$7:$E$4378,E2155)*9,0)</f>
        <v>5</v>
      </c>
      <c r="I2155" s="1" t="str">
        <f aca="false">CONCATENATE(F2155,G2155,H2155)</f>
        <v>535</v>
      </c>
      <c r="J2155" s="1" t="str">
        <f aca="false">_xlfn.IFS(AND(F2155&gt;=8,G2155&gt;=8,H2155&gt;=8),"CHAMPION",AND(F2155&gt;=6,G2155&gt;=7,H2155&gt;=6),"LOYAL CUSTOMER",AND(F2155&gt;=6,G2155&gt;=5,H2155&gt;=5),"POTENTIAL LOYALIST",AND(F2155&gt;=8,G2155&lt;=2,H2155&gt;=5),"NEW CUSTOMERS",AND(F2155&gt;=6,G2155&lt;=2,H2155&gt;=3),"PROMISING",AND(F2155&gt;=3,G2155&gt;=3,H2155&gt;=3),"NEED ATTENTION",AND(F2155&lt;=4,G2155&gt;=6,H2155&gt;=6),"AT RISK",AND(F2155&lt;=2,G2155&gt;=8,H2155&gt;=8),"CAN'T LOSE THEM",AND(F2155&lt;=2,G2155&lt;=2,H2155&lt;=2),"HIBERNATING",TRUE(),"Other")</f>
        <v>NEED ATTENTION</v>
      </c>
      <c r="K2155" s="1" t="n">
        <f aca="false">RANK(E2155,$E$7:$E$4378)+COUNTIF($E$7:E2155,E2155)-1</f>
        <v>1992</v>
      </c>
    </row>
    <row r="2156" customFormat="false" ht="14.25" hidden="false" customHeight="true" outlineLevel="0" collapsed="false">
      <c r="A2156" s="51" t="n">
        <v>15253</v>
      </c>
      <c r="B2156" s="53" t="n">
        <v>40870.6819444444</v>
      </c>
      <c r="C2156" s="57" t="n">
        <f aca="false">INT($C$2)-INT(Table3[[#This Row],[Last Purchase Date]])</f>
        <v>17</v>
      </c>
      <c r="D2156" s="1" t="n">
        <v>6</v>
      </c>
      <c r="E2156" s="1" t="n">
        <v>915.3</v>
      </c>
      <c r="F2156" s="1" t="n">
        <f aca="false">ROUND((1-_xlfn.PERCENTRANK.INC($C$7:$C$4378,C2156))*9,0)</f>
        <v>7</v>
      </c>
      <c r="G2156" s="1" t="n">
        <f aca="false">ROUND(_xlfn.PERCENTRANK.INC($D$7:$D$4378,D2156)*9,0)</f>
        <v>7</v>
      </c>
      <c r="H2156" s="1" t="n">
        <f aca="false">ROUND(_xlfn.PERCENTRANK.INC($E$7:$E$4378,E2156)*9,0)</f>
        <v>5</v>
      </c>
      <c r="I2156" s="1" t="str">
        <f aca="false">CONCATENATE(F2156,G2156,H2156)</f>
        <v>775</v>
      </c>
      <c r="J2156" s="1" t="str">
        <f aca="false">_xlfn.IFS(AND(F2156&gt;=8,G2156&gt;=8,H2156&gt;=8),"CHAMPION",AND(F2156&gt;=6,G2156&gt;=7,H2156&gt;=6),"LOYAL CUSTOMER",AND(F2156&gt;=6,G2156&gt;=5,H2156&gt;=5),"POTENTIAL LOYALIST",AND(F2156&gt;=8,G2156&lt;=2,H2156&gt;=5),"NEW CUSTOMERS",AND(F2156&gt;=6,G2156&lt;=2,H2156&gt;=3),"PROMISING",AND(F2156&gt;=3,G2156&gt;=3,H2156&gt;=3),"NEED ATTENTION",AND(F2156&lt;=4,G2156&gt;=6,H2156&gt;=6),"AT RISK",AND(F2156&lt;=2,G2156&gt;=8,H2156&gt;=8),"CAN'T LOSE THEM",AND(F2156&lt;=2,G2156&lt;=2,H2156&lt;=2),"HIBERNATING",TRUE(),"Other")</f>
        <v>POTENTIAL LOYALIST</v>
      </c>
      <c r="K2156" s="1" t="n">
        <f aca="false">RANK(E2156,$E$7:$E$4378)+COUNTIF($E$7:E2156,E2156)-1</f>
        <v>1735</v>
      </c>
    </row>
    <row r="2157" customFormat="false" ht="14.25" hidden="false" customHeight="true" outlineLevel="0" collapsed="false">
      <c r="A2157" s="51" t="n">
        <v>15254</v>
      </c>
      <c r="B2157" s="53" t="n">
        <v>40759.6277777778</v>
      </c>
      <c r="C2157" s="57" t="n">
        <f aca="false">INT($C$2)-INT(Table3[[#This Row],[Last Purchase Date]])</f>
        <v>128</v>
      </c>
      <c r="D2157" s="1" t="n">
        <v>1</v>
      </c>
      <c r="E2157" s="1" t="n">
        <v>300.36</v>
      </c>
      <c r="F2157" s="1" t="n">
        <f aca="false">ROUND((1-_xlfn.PERCENTRANK.INC($C$7:$C$4378,C2157))*9,0)</f>
        <v>2</v>
      </c>
      <c r="G2157" s="1" t="n">
        <f aca="false">ROUND(_xlfn.PERCENTRANK.INC($D$7:$D$4378,D2157)*9,0)</f>
        <v>0</v>
      </c>
      <c r="H2157" s="1" t="n">
        <f aca="false">ROUND(_xlfn.PERCENTRANK.INC($E$7:$E$4378,E2157)*9,0)</f>
        <v>2</v>
      </c>
      <c r="I2157" s="1" t="str">
        <f aca="false">CONCATENATE(F2157,G2157,H2157)</f>
        <v>202</v>
      </c>
      <c r="J2157" s="1" t="str">
        <f aca="false">_xlfn.IFS(AND(F2157&gt;=8,G2157&gt;=8,H2157&gt;=8),"CHAMPION",AND(F2157&gt;=6,G2157&gt;=7,H2157&gt;=6),"LOYAL CUSTOMER",AND(F2157&gt;=6,G2157&gt;=5,H2157&gt;=5),"POTENTIAL LOYALIST",AND(F2157&gt;=8,G2157&lt;=2,H2157&gt;=5),"NEW CUSTOMERS",AND(F2157&gt;=6,G2157&lt;=2,H2157&gt;=3),"PROMISING",AND(F2157&gt;=3,G2157&gt;=3,H2157&gt;=3),"NEED ATTENTION",AND(F2157&lt;=4,G2157&gt;=6,H2157&gt;=6),"AT RISK",AND(F2157&lt;=2,G2157&gt;=8,H2157&gt;=8),"CAN'T LOSE THEM",AND(F2157&lt;=2,G2157&lt;=2,H2157&lt;=2),"HIBERNATING",TRUE(),"Other")</f>
        <v>HIBERNATING</v>
      </c>
      <c r="K2157" s="1" t="n">
        <f aca="false">RANK(E2157,$E$7:$E$4378)+COUNTIF($E$7:E2157,E2157)-1</f>
        <v>3253</v>
      </c>
    </row>
    <row r="2158" customFormat="false" ht="14.25" hidden="false" customHeight="true" outlineLevel="0" collapsed="false">
      <c r="A2158" s="51" t="n">
        <v>15255</v>
      </c>
      <c r="B2158" s="53" t="n">
        <v>40820.5298611111</v>
      </c>
      <c r="C2158" s="57" t="n">
        <f aca="false">INT($C$2)-INT(Table3[[#This Row],[Last Purchase Date]])</f>
        <v>67</v>
      </c>
      <c r="D2158" s="1" t="n">
        <v>1</v>
      </c>
      <c r="E2158" s="1" t="n">
        <v>890.85</v>
      </c>
      <c r="F2158" s="1" t="n">
        <f aca="false">ROUND((1-_xlfn.PERCENTRANK.INC($C$7:$C$4378,C2158))*9,0)</f>
        <v>4</v>
      </c>
      <c r="G2158" s="1" t="n">
        <f aca="false">ROUND(_xlfn.PERCENTRANK.INC($D$7:$D$4378,D2158)*9,0)</f>
        <v>0</v>
      </c>
      <c r="H2158" s="1" t="n">
        <f aca="false">ROUND(_xlfn.PERCENTRANK.INC($E$7:$E$4378,E2158)*9,0)</f>
        <v>5</v>
      </c>
      <c r="I2158" s="1" t="str">
        <f aca="false">CONCATENATE(F2158,G2158,H2158)</f>
        <v>405</v>
      </c>
      <c r="J2158" s="1" t="str">
        <f aca="false">_xlfn.IFS(AND(F2158&gt;=8,G2158&gt;=8,H2158&gt;=8),"CHAMPION",AND(F2158&gt;=6,G2158&gt;=7,H2158&gt;=6),"LOYAL CUSTOMER",AND(F2158&gt;=6,G2158&gt;=5,H2158&gt;=5),"POTENTIAL LOYALIST",AND(F2158&gt;=8,G2158&lt;=2,H2158&gt;=5),"NEW CUSTOMERS",AND(F2158&gt;=6,G2158&lt;=2,H2158&gt;=3),"PROMISING",AND(F2158&gt;=3,G2158&gt;=3,H2158&gt;=3),"NEED ATTENTION",AND(F2158&lt;=4,G2158&gt;=6,H2158&gt;=6),"AT RISK",AND(F2158&lt;=2,G2158&gt;=8,H2158&gt;=8),"CAN'T LOSE THEM",AND(F2158&lt;=2,G2158&lt;=2,H2158&lt;=2),"HIBERNATING",TRUE(),"Other")</f>
        <v>Other</v>
      </c>
      <c r="K2158" s="1" t="n">
        <f aca="false">RANK(E2158,$E$7:$E$4378)+COUNTIF($E$7:E2158,E2158)-1</f>
        <v>1773</v>
      </c>
    </row>
    <row r="2159" customFormat="false" ht="14.25" hidden="false" customHeight="true" outlineLevel="0" collapsed="false">
      <c r="A2159" s="51" t="n">
        <v>15256</v>
      </c>
      <c r="B2159" s="53" t="n">
        <v>40738.4909722222</v>
      </c>
      <c r="C2159" s="57" t="n">
        <f aca="false">INT($C$2)-INT(Table3[[#This Row],[Last Purchase Date]])</f>
        <v>149</v>
      </c>
      <c r="D2159" s="1" t="n">
        <v>1</v>
      </c>
      <c r="E2159" s="1" t="n">
        <v>98.45</v>
      </c>
      <c r="F2159" s="1" t="n">
        <f aca="false">ROUND((1-_xlfn.PERCENTRANK.INC($C$7:$C$4378,C2159))*9,0)</f>
        <v>2</v>
      </c>
      <c r="G2159" s="1" t="n">
        <f aca="false">ROUND(_xlfn.PERCENTRANK.INC($D$7:$D$4378,D2159)*9,0)</f>
        <v>0</v>
      </c>
      <c r="H2159" s="1" t="n">
        <f aca="false">ROUND(_xlfn.PERCENTRANK.INC($E$7:$E$4378,E2159)*9,0)</f>
        <v>0</v>
      </c>
      <c r="I2159" s="1" t="str">
        <f aca="false">CONCATENATE(F2159,G2159,H2159)</f>
        <v>200</v>
      </c>
      <c r="J2159" s="1" t="str">
        <f aca="false">_xlfn.IFS(AND(F2159&gt;=8,G2159&gt;=8,H2159&gt;=8),"CHAMPION",AND(F2159&gt;=6,G2159&gt;=7,H2159&gt;=6),"LOYAL CUSTOMER",AND(F2159&gt;=6,G2159&gt;=5,H2159&gt;=5),"POTENTIAL LOYALIST",AND(F2159&gt;=8,G2159&lt;=2,H2159&gt;=5),"NEW CUSTOMERS",AND(F2159&gt;=6,G2159&lt;=2,H2159&gt;=3),"PROMISING",AND(F2159&gt;=3,G2159&gt;=3,H2159&gt;=3),"NEED ATTENTION",AND(F2159&lt;=4,G2159&gt;=6,H2159&gt;=6),"AT RISK",AND(F2159&lt;=2,G2159&gt;=8,H2159&gt;=8),"CAN'T LOSE THEM",AND(F2159&lt;=2,G2159&lt;=2,H2159&lt;=2),"HIBERNATING",TRUE(),"Other")</f>
        <v>HIBERNATING</v>
      </c>
      <c r="K2159" s="1" t="n">
        <f aca="false">RANK(E2159,$E$7:$E$4378)+COUNTIF($E$7:E2159,E2159)-1</f>
        <v>4162</v>
      </c>
    </row>
    <row r="2160" customFormat="false" ht="14.25" hidden="false" customHeight="true" outlineLevel="0" collapsed="false">
      <c r="A2160" s="51" t="n">
        <v>15257</v>
      </c>
      <c r="B2160" s="53" t="n">
        <v>40605.58125</v>
      </c>
      <c r="C2160" s="57" t="n">
        <f aca="false">INT($C$2)-INT(Table3[[#This Row],[Last Purchase Date]])</f>
        <v>282</v>
      </c>
      <c r="D2160" s="1" t="n">
        <v>2</v>
      </c>
      <c r="E2160" s="1" t="n">
        <v>232.15</v>
      </c>
      <c r="F2160" s="1" t="n">
        <f aca="false">ROUND((1-_xlfn.PERCENTRANK.INC($C$7:$C$4378,C2160))*9,0)</f>
        <v>1</v>
      </c>
      <c r="G2160" s="1" t="n">
        <f aca="false">ROUND(_xlfn.PERCENTRANK.INC($D$7:$D$4378,D2160)*9,0)</f>
        <v>3</v>
      </c>
      <c r="H2160" s="1" t="n">
        <f aca="false">ROUND(_xlfn.PERCENTRANK.INC($E$7:$E$4378,E2160)*9,0)</f>
        <v>2</v>
      </c>
      <c r="I2160" s="1" t="str">
        <f aca="false">CONCATENATE(F2160,G2160,H2160)</f>
        <v>132</v>
      </c>
      <c r="J2160" s="1" t="str">
        <f aca="false">_xlfn.IFS(AND(F2160&gt;=8,G2160&gt;=8,H2160&gt;=8),"CHAMPION",AND(F2160&gt;=6,G2160&gt;=7,H2160&gt;=6),"LOYAL CUSTOMER",AND(F2160&gt;=6,G2160&gt;=5,H2160&gt;=5),"POTENTIAL LOYALIST",AND(F2160&gt;=8,G2160&lt;=2,H2160&gt;=5),"NEW CUSTOMERS",AND(F2160&gt;=6,G2160&lt;=2,H2160&gt;=3),"PROMISING",AND(F2160&gt;=3,G2160&gt;=3,H2160&gt;=3),"NEED ATTENTION",AND(F2160&lt;=4,G2160&gt;=6,H2160&gt;=6),"AT RISK",AND(F2160&lt;=2,G2160&gt;=8,H2160&gt;=8),"CAN'T LOSE THEM",AND(F2160&lt;=2,G2160&lt;=2,H2160&lt;=2),"HIBERNATING",TRUE(),"Other")</f>
        <v>Other</v>
      </c>
      <c r="K2160" s="1" t="n">
        <f aca="false">RANK(E2160,$E$7:$E$4378)+COUNTIF($E$7:E2160,E2160)-1</f>
        <v>3510</v>
      </c>
    </row>
    <row r="2161" customFormat="false" ht="14.25" hidden="false" customHeight="true" outlineLevel="0" collapsed="false">
      <c r="A2161" s="51" t="n">
        <v>15258</v>
      </c>
      <c r="B2161" s="53" t="n">
        <v>40718.5208333333</v>
      </c>
      <c r="C2161" s="57" t="n">
        <f aca="false">INT($C$2)-INT(Table3[[#This Row],[Last Purchase Date]])</f>
        <v>169</v>
      </c>
      <c r="D2161" s="1" t="n">
        <v>2</v>
      </c>
      <c r="E2161" s="1" t="n">
        <v>623.16</v>
      </c>
      <c r="F2161" s="1" t="n">
        <f aca="false">ROUND((1-_xlfn.PERCENTRANK.INC($C$7:$C$4378,C2161))*9,0)</f>
        <v>2</v>
      </c>
      <c r="G2161" s="1" t="n">
        <f aca="false">ROUND(_xlfn.PERCENTRANK.INC($D$7:$D$4378,D2161)*9,0)</f>
        <v>3</v>
      </c>
      <c r="H2161" s="1" t="n">
        <f aca="false">ROUND(_xlfn.PERCENTRANK.INC($E$7:$E$4378,E2161)*9,0)</f>
        <v>4</v>
      </c>
      <c r="I2161" s="1" t="str">
        <f aca="false">CONCATENATE(F2161,G2161,H2161)</f>
        <v>234</v>
      </c>
      <c r="J2161" s="1" t="str">
        <f aca="false">_xlfn.IFS(AND(F2161&gt;=8,G2161&gt;=8,H2161&gt;=8),"CHAMPION",AND(F2161&gt;=6,G2161&gt;=7,H2161&gt;=6),"LOYAL CUSTOMER",AND(F2161&gt;=6,G2161&gt;=5,H2161&gt;=5),"POTENTIAL LOYALIST",AND(F2161&gt;=8,G2161&lt;=2,H2161&gt;=5),"NEW CUSTOMERS",AND(F2161&gt;=6,G2161&lt;=2,H2161&gt;=3),"PROMISING",AND(F2161&gt;=3,G2161&gt;=3,H2161&gt;=3),"NEED ATTENTION",AND(F2161&lt;=4,G2161&gt;=6,H2161&gt;=6),"AT RISK",AND(F2161&lt;=2,G2161&gt;=8,H2161&gt;=8),"CAN'T LOSE THEM",AND(F2161&lt;=2,G2161&lt;=2,H2161&lt;=2),"HIBERNATING",TRUE(),"Other")</f>
        <v>Other</v>
      </c>
      <c r="K2161" s="1" t="n">
        <f aca="false">RANK(E2161,$E$7:$E$4378)+COUNTIF($E$7:E2161,E2161)-1</f>
        <v>2248</v>
      </c>
    </row>
    <row r="2162" customFormat="false" ht="14.25" hidden="false" customHeight="true" outlineLevel="0" collapsed="false">
      <c r="A2162" s="51" t="n">
        <v>15260</v>
      </c>
      <c r="B2162" s="53" t="n">
        <v>40786.5798611111</v>
      </c>
      <c r="C2162" s="57" t="n">
        <f aca="false">INT($C$2)-INT(Table3[[#This Row],[Last Purchase Date]])</f>
        <v>101</v>
      </c>
      <c r="D2162" s="1" t="n">
        <v>8</v>
      </c>
      <c r="E2162" s="1" t="n">
        <v>1780.77</v>
      </c>
      <c r="F2162" s="1" t="n">
        <f aca="false">ROUND((1-_xlfn.PERCENTRANK.INC($C$7:$C$4378,C2162))*9,0)</f>
        <v>3</v>
      </c>
      <c r="G2162" s="1" t="n">
        <f aca="false">ROUND(_xlfn.PERCENTRANK.INC($D$7:$D$4378,D2162)*9,0)</f>
        <v>7</v>
      </c>
      <c r="H2162" s="1" t="n">
        <f aca="false">ROUND(_xlfn.PERCENTRANK.INC($E$7:$E$4378,E2162)*9,0)</f>
        <v>7</v>
      </c>
      <c r="I2162" s="1" t="str">
        <f aca="false">CONCATENATE(F2162,G2162,H2162)</f>
        <v>377</v>
      </c>
      <c r="J2162" s="1" t="str">
        <f aca="false">_xlfn.IFS(AND(F2162&gt;=8,G2162&gt;=8,H2162&gt;=8),"CHAMPION",AND(F2162&gt;=6,G2162&gt;=7,H2162&gt;=6),"LOYAL CUSTOMER",AND(F2162&gt;=6,G2162&gt;=5,H2162&gt;=5),"POTENTIAL LOYALIST",AND(F2162&gt;=8,G2162&lt;=2,H2162&gt;=5),"NEW CUSTOMERS",AND(F2162&gt;=6,G2162&lt;=2,H2162&gt;=3),"PROMISING",AND(F2162&gt;=3,G2162&gt;=3,H2162&gt;=3),"NEED ATTENTION",AND(F2162&lt;=4,G2162&gt;=6,H2162&gt;=6),"AT RISK",AND(F2162&lt;=2,G2162&gt;=8,H2162&gt;=8),"CAN'T LOSE THEM",AND(F2162&lt;=2,G2162&lt;=2,H2162&lt;=2),"HIBERNATING",TRUE(),"Other")</f>
        <v>NEED ATTENTION</v>
      </c>
      <c r="K2162" s="1" t="n">
        <f aca="false">RANK(E2162,$E$7:$E$4378)+COUNTIF($E$7:E2162,E2162)-1</f>
        <v>990</v>
      </c>
    </row>
    <row r="2163" customFormat="false" ht="14.25" hidden="false" customHeight="true" outlineLevel="0" collapsed="false">
      <c r="A2163" s="51" t="n">
        <v>15261</v>
      </c>
      <c r="B2163" s="53" t="n">
        <v>40751.6388888889</v>
      </c>
      <c r="C2163" s="57" t="n">
        <f aca="false">INT($C$2)-INT(Table3[[#This Row],[Last Purchase Date]])</f>
        <v>136</v>
      </c>
      <c r="D2163" s="1" t="n">
        <v>1</v>
      </c>
      <c r="E2163" s="1" t="n">
        <v>254.82</v>
      </c>
      <c r="F2163" s="1" t="n">
        <f aca="false">ROUND((1-_xlfn.PERCENTRANK.INC($C$7:$C$4378,C2163))*9,0)</f>
        <v>2</v>
      </c>
      <c r="G2163" s="1" t="n">
        <f aca="false">ROUND(_xlfn.PERCENTRANK.INC($D$7:$D$4378,D2163)*9,0)</f>
        <v>0</v>
      </c>
      <c r="H2163" s="1" t="n">
        <f aca="false">ROUND(_xlfn.PERCENTRANK.INC($E$7:$E$4378,E2163)*9,0)</f>
        <v>2</v>
      </c>
      <c r="I2163" s="1" t="str">
        <f aca="false">CONCATENATE(F2163,G2163,H2163)</f>
        <v>202</v>
      </c>
      <c r="J2163" s="1" t="str">
        <f aca="false">_xlfn.IFS(AND(F2163&gt;=8,G2163&gt;=8,H2163&gt;=8),"CHAMPION",AND(F2163&gt;=6,G2163&gt;=7,H2163&gt;=6),"LOYAL CUSTOMER",AND(F2163&gt;=6,G2163&gt;=5,H2163&gt;=5),"POTENTIAL LOYALIST",AND(F2163&gt;=8,G2163&lt;=2,H2163&gt;=5),"NEW CUSTOMERS",AND(F2163&gt;=6,G2163&lt;=2,H2163&gt;=3),"PROMISING",AND(F2163&gt;=3,G2163&gt;=3,H2163&gt;=3),"NEED ATTENTION",AND(F2163&lt;=4,G2163&gt;=6,H2163&gt;=6),"AT RISK",AND(F2163&lt;=2,G2163&gt;=8,H2163&gt;=8),"CAN'T LOSE THEM",AND(F2163&lt;=2,G2163&lt;=2,H2163&lt;=2),"HIBERNATING",TRUE(),"Other")</f>
        <v>HIBERNATING</v>
      </c>
      <c r="K2163" s="1" t="n">
        <f aca="false">RANK(E2163,$E$7:$E$4378)+COUNTIF($E$7:E2163,E2163)-1</f>
        <v>3416</v>
      </c>
    </row>
    <row r="2164" customFormat="false" ht="14.25" hidden="false" customHeight="true" outlineLevel="0" collapsed="false">
      <c r="A2164" s="51" t="n">
        <v>15262</v>
      </c>
      <c r="B2164" s="53" t="n">
        <v>40563.5111111111</v>
      </c>
      <c r="C2164" s="57" t="n">
        <f aca="false">INT($C$2)-INT(Table3[[#This Row],[Last Purchase Date]])</f>
        <v>324</v>
      </c>
      <c r="D2164" s="1" t="n">
        <v>1</v>
      </c>
      <c r="E2164" s="1" t="n">
        <v>178.95</v>
      </c>
      <c r="F2164" s="1" t="n">
        <f aca="false">ROUND((1-_xlfn.PERCENTRANK.INC($C$7:$C$4378,C2164))*9,0)</f>
        <v>0</v>
      </c>
      <c r="G2164" s="1" t="n">
        <f aca="false">ROUND(_xlfn.PERCENTRANK.INC($D$7:$D$4378,D2164)*9,0)</f>
        <v>0</v>
      </c>
      <c r="H2164" s="1" t="n">
        <f aca="false">ROUND(_xlfn.PERCENTRANK.INC($E$7:$E$4378,E2164)*9,0)</f>
        <v>1</v>
      </c>
      <c r="I2164" s="1" t="str">
        <f aca="false">CONCATENATE(F2164,G2164,H2164)</f>
        <v>001</v>
      </c>
      <c r="J2164" s="1" t="str">
        <f aca="false">_xlfn.IFS(AND(F2164&gt;=8,G2164&gt;=8,H2164&gt;=8),"CHAMPION",AND(F2164&gt;=6,G2164&gt;=7,H2164&gt;=6),"LOYAL CUSTOMER",AND(F2164&gt;=6,G2164&gt;=5,H2164&gt;=5),"POTENTIAL LOYALIST",AND(F2164&gt;=8,G2164&lt;=2,H2164&gt;=5),"NEW CUSTOMERS",AND(F2164&gt;=6,G2164&lt;=2,H2164&gt;=3),"PROMISING",AND(F2164&gt;=3,G2164&gt;=3,H2164&gt;=3),"NEED ATTENTION",AND(F2164&lt;=4,G2164&gt;=6,H2164&gt;=6),"AT RISK",AND(F2164&lt;=2,G2164&gt;=8,H2164&gt;=8),"CAN'T LOSE THEM",AND(F2164&lt;=2,G2164&lt;=2,H2164&lt;=2),"HIBERNATING",TRUE(),"Other")</f>
        <v>HIBERNATING</v>
      </c>
      <c r="K2164" s="1" t="n">
        <f aca="false">RANK(E2164,$E$7:$E$4378)+COUNTIF($E$7:E2164,E2164)-1</f>
        <v>3760</v>
      </c>
    </row>
    <row r="2165" customFormat="false" ht="14.25" hidden="false" customHeight="true" outlineLevel="0" collapsed="false">
      <c r="A2165" s="51" t="n">
        <v>15263</v>
      </c>
      <c r="B2165" s="53" t="n">
        <v>40780.4347222222</v>
      </c>
      <c r="C2165" s="57" t="n">
        <f aca="false">INT($C$2)-INT(Table3[[#This Row],[Last Purchase Date]])</f>
        <v>107</v>
      </c>
      <c r="D2165" s="1" t="n">
        <v>1</v>
      </c>
      <c r="E2165" s="1" t="n">
        <v>156.51</v>
      </c>
      <c r="F2165" s="1" t="n">
        <f aca="false">ROUND((1-_xlfn.PERCENTRANK.INC($C$7:$C$4378,C2165))*9,0)</f>
        <v>3</v>
      </c>
      <c r="G2165" s="1" t="n">
        <f aca="false">ROUND(_xlfn.PERCENTRANK.INC($D$7:$D$4378,D2165)*9,0)</f>
        <v>0</v>
      </c>
      <c r="H2165" s="1" t="n">
        <f aca="false">ROUND(_xlfn.PERCENTRANK.INC($E$7:$E$4378,E2165)*9,0)</f>
        <v>1</v>
      </c>
      <c r="I2165" s="1" t="str">
        <f aca="false">CONCATENATE(F2165,G2165,H2165)</f>
        <v>301</v>
      </c>
      <c r="J2165" s="1" t="str">
        <f aca="false">_xlfn.IFS(AND(F2165&gt;=8,G2165&gt;=8,H2165&gt;=8),"CHAMPION",AND(F2165&gt;=6,G2165&gt;=7,H2165&gt;=6),"LOYAL CUSTOMER",AND(F2165&gt;=6,G2165&gt;=5,H2165&gt;=5),"POTENTIAL LOYALIST",AND(F2165&gt;=8,G2165&lt;=2,H2165&gt;=5),"NEW CUSTOMERS",AND(F2165&gt;=6,G2165&lt;=2,H2165&gt;=3),"PROMISING",AND(F2165&gt;=3,G2165&gt;=3,H2165&gt;=3),"NEED ATTENTION",AND(F2165&lt;=4,G2165&gt;=6,H2165&gt;=6),"AT RISK",AND(F2165&lt;=2,G2165&gt;=8,H2165&gt;=8),"CAN'T LOSE THEM",AND(F2165&lt;=2,G2165&lt;=2,H2165&lt;=2),"HIBERNATING",TRUE(),"Other")</f>
        <v>Other</v>
      </c>
      <c r="K2165" s="1" t="n">
        <f aca="false">RANK(E2165,$E$7:$E$4378)+COUNTIF($E$7:E2165,E2165)-1</f>
        <v>3879</v>
      </c>
    </row>
    <row r="2166" customFormat="false" ht="14.25" hidden="false" customHeight="true" outlineLevel="0" collapsed="false">
      <c r="A2166" s="51" t="n">
        <v>15264</v>
      </c>
      <c r="B2166" s="53" t="n">
        <v>40822.5756944444</v>
      </c>
      <c r="C2166" s="57" t="n">
        <f aca="false">INT($C$2)-INT(Table3[[#This Row],[Last Purchase Date]])</f>
        <v>65</v>
      </c>
      <c r="D2166" s="1" t="n">
        <v>1</v>
      </c>
      <c r="E2166" s="1" t="n">
        <v>393.74</v>
      </c>
      <c r="F2166" s="1" t="n">
        <f aca="false">ROUND((1-_xlfn.PERCENTRANK.INC($C$7:$C$4378,C2166))*9,0)</f>
        <v>4</v>
      </c>
      <c r="G2166" s="1" t="n">
        <f aca="false">ROUND(_xlfn.PERCENTRANK.INC($D$7:$D$4378,D2166)*9,0)</f>
        <v>0</v>
      </c>
      <c r="H2166" s="1" t="n">
        <f aca="false">ROUND(_xlfn.PERCENTRANK.INC($E$7:$E$4378,E2166)*9,0)</f>
        <v>3</v>
      </c>
      <c r="I2166" s="1" t="str">
        <f aca="false">CONCATENATE(F2166,G2166,H2166)</f>
        <v>403</v>
      </c>
      <c r="J2166" s="1" t="str">
        <f aca="false">_xlfn.IFS(AND(F2166&gt;=8,G2166&gt;=8,H2166&gt;=8),"CHAMPION",AND(F2166&gt;=6,G2166&gt;=7,H2166&gt;=6),"LOYAL CUSTOMER",AND(F2166&gt;=6,G2166&gt;=5,H2166&gt;=5),"POTENTIAL LOYALIST",AND(F2166&gt;=8,G2166&lt;=2,H2166&gt;=5),"NEW CUSTOMERS",AND(F2166&gt;=6,G2166&lt;=2,H2166&gt;=3),"PROMISING",AND(F2166&gt;=3,G2166&gt;=3,H2166&gt;=3),"NEED ATTENTION",AND(F2166&lt;=4,G2166&gt;=6,H2166&gt;=6),"AT RISK",AND(F2166&lt;=2,G2166&gt;=8,H2166&gt;=8),"CAN'T LOSE THEM",AND(F2166&lt;=2,G2166&lt;=2,H2166&lt;=2),"HIBERNATING",TRUE(),"Other")</f>
        <v>Other</v>
      </c>
      <c r="K2166" s="1" t="n">
        <f aca="false">RANK(E2166,$E$7:$E$4378)+COUNTIF($E$7:E2166,E2166)-1</f>
        <v>2837</v>
      </c>
    </row>
    <row r="2167" customFormat="false" ht="14.25" hidden="false" customHeight="true" outlineLevel="0" collapsed="false">
      <c r="A2167" s="51" t="n">
        <v>15265</v>
      </c>
      <c r="B2167" s="53" t="n">
        <v>40735.6152777778</v>
      </c>
      <c r="C2167" s="57" t="n">
        <f aca="false">INT($C$2)-INT(Table3[[#This Row],[Last Purchase Date]])</f>
        <v>152</v>
      </c>
      <c r="D2167" s="1" t="n">
        <v>2</v>
      </c>
      <c r="E2167" s="1" t="n">
        <v>1506.12</v>
      </c>
      <c r="F2167" s="1" t="n">
        <f aca="false">ROUND((1-_xlfn.PERCENTRANK.INC($C$7:$C$4378,C2167))*9,0)</f>
        <v>2</v>
      </c>
      <c r="G2167" s="1" t="n">
        <f aca="false">ROUND(_xlfn.PERCENTRANK.INC($D$7:$D$4378,D2167)*9,0)</f>
        <v>3</v>
      </c>
      <c r="H2167" s="1" t="n">
        <f aca="false">ROUND(_xlfn.PERCENTRANK.INC($E$7:$E$4378,E2167)*9,0)</f>
        <v>7</v>
      </c>
      <c r="I2167" s="1" t="str">
        <f aca="false">CONCATENATE(F2167,G2167,H2167)</f>
        <v>237</v>
      </c>
      <c r="J2167" s="1" t="str">
        <f aca="false">_xlfn.IFS(AND(F2167&gt;=8,G2167&gt;=8,H2167&gt;=8),"CHAMPION",AND(F2167&gt;=6,G2167&gt;=7,H2167&gt;=6),"LOYAL CUSTOMER",AND(F2167&gt;=6,G2167&gt;=5,H2167&gt;=5),"POTENTIAL LOYALIST",AND(F2167&gt;=8,G2167&lt;=2,H2167&gt;=5),"NEW CUSTOMERS",AND(F2167&gt;=6,G2167&lt;=2,H2167&gt;=3),"PROMISING",AND(F2167&gt;=3,G2167&gt;=3,H2167&gt;=3),"NEED ATTENTION",AND(F2167&lt;=4,G2167&gt;=6,H2167&gt;=6),"AT RISK",AND(F2167&lt;=2,G2167&gt;=8,H2167&gt;=8),"CAN'T LOSE THEM",AND(F2167&lt;=2,G2167&lt;=2,H2167&lt;=2),"HIBERNATING",TRUE(),"Other")</f>
        <v>Other</v>
      </c>
      <c r="K2167" s="1" t="n">
        <f aca="false">RANK(E2167,$E$7:$E$4378)+COUNTIF($E$7:E2167,E2167)-1</f>
        <v>1161</v>
      </c>
    </row>
    <row r="2168" customFormat="false" ht="14.25" hidden="false" customHeight="true" outlineLevel="0" collapsed="false">
      <c r="A2168" s="51" t="n">
        <v>15266</v>
      </c>
      <c r="B2168" s="53" t="n">
        <v>40548.5694444445</v>
      </c>
      <c r="C2168" s="57" t="n">
        <f aca="false">INT($C$2)-INT(Table3[[#This Row],[Last Purchase Date]])</f>
        <v>339</v>
      </c>
      <c r="D2168" s="1" t="n">
        <v>1</v>
      </c>
      <c r="E2168" s="1" t="n">
        <v>119.3</v>
      </c>
      <c r="F2168" s="1" t="n">
        <f aca="false">ROUND((1-_xlfn.PERCENTRANK.INC($C$7:$C$4378,C2168))*9,0)</f>
        <v>0</v>
      </c>
      <c r="G2168" s="1" t="n">
        <f aca="false">ROUND(_xlfn.PERCENTRANK.INC($D$7:$D$4378,D2168)*9,0)</f>
        <v>0</v>
      </c>
      <c r="H2168" s="1" t="n">
        <f aca="false">ROUND(_xlfn.PERCENTRANK.INC($E$7:$E$4378,E2168)*9,0)</f>
        <v>1</v>
      </c>
      <c r="I2168" s="1" t="str">
        <f aca="false">CONCATENATE(F2168,G2168,H2168)</f>
        <v>001</v>
      </c>
      <c r="J2168" s="1" t="str">
        <f aca="false">_xlfn.IFS(AND(F2168&gt;=8,G2168&gt;=8,H2168&gt;=8),"CHAMPION",AND(F2168&gt;=6,G2168&gt;=7,H2168&gt;=6),"LOYAL CUSTOMER",AND(F2168&gt;=6,G2168&gt;=5,H2168&gt;=5),"POTENTIAL LOYALIST",AND(F2168&gt;=8,G2168&lt;=2,H2168&gt;=5),"NEW CUSTOMERS",AND(F2168&gt;=6,G2168&lt;=2,H2168&gt;=3),"PROMISING",AND(F2168&gt;=3,G2168&gt;=3,H2168&gt;=3),"NEED ATTENTION",AND(F2168&lt;=4,G2168&gt;=6,H2168&gt;=6),"AT RISK",AND(F2168&lt;=2,G2168&gt;=8,H2168&gt;=8),"CAN'T LOSE THEM",AND(F2168&lt;=2,G2168&lt;=2,H2168&lt;=2),"HIBERNATING",TRUE(),"Other")</f>
        <v>HIBERNATING</v>
      </c>
      <c r="K2168" s="1" t="n">
        <f aca="false">RANK(E2168,$E$7:$E$4378)+COUNTIF($E$7:E2168,E2168)-1</f>
        <v>4054</v>
      </c>
    </row>
    <row r="2169" customFormat="false" ht="14.25" hidden="false" customHeight="true" outlineLevel="0" collapsed="false">
      <c r="A2169" s="51" t="n">
        <v>15267</v>
      </c>
      <c r="B2169" s="53" t="n">
        <v>40864.6659722222</v>
      </c>
      <c r="C2169" s="57" t="n">
        <f aca="false">INT($C$2)-INT(Table3[[#This Row],[Last Purchase Date]])</f>
        <v>23</v>
      </c>
      <c r="D2169" s="1" t="n">
        <v>5</v>
      </c>
      <c r="E2169" s="1" t="n">
        <v>1717.36</v>
      </c>
      <c r="F2169" s="1" t="n">
        <f aca="false">ROUND((1-_xlfn.PERCENTRANK.INC($C$7:$C$4378,C2169))*9,0)</f>
        <v>6</v>
      </c>
      <c r="G2169" s="1" t="n">
        <f aca="false">ROUND(_xlfn.PERCENTRANK.INC($D$7:$D$4378,D2169)*9,0)</f>
        <v>6</v>
      </c>
      <c r="H2169" s="1" t="n">
        <f aca="false">ROUND(_xlfn.PERCENTRANK.INC($E$7:$E$4378,E2169)*9,0)</f>
        <v>7</v>
      </c>
      <c r="I2169" s="1" t="str">
        <f aca="false">CONCATENATE(F2169,G2169,H2169)</f>
        <v>667</v>
      </c>
      <c r="J2169" s="1" t="str">
        <f aca="false">_xlfn.IFS(AND(F2169&gt;=8,G2169&gt;=8,H2169&gt;=8),"CHAMPION",AND(F2169&gt;=6,G2169&gt;=7,H2169&gt;=6),"LOYAL CUSTOMER",AND(F2169&gt;=6,G2169&gt;=5,H2169&gt;=5),"POTENTIAL LOYALIST",AND(F2169&gt;=8,G2169&lt;=2,H2169&gt;=5),"NEW CUSTOMERS",AND(F2169&gt;=6,G2169&lt;=2,H2169&gt;=3),"PROMISING",AND(F2169&gt;=3,G2169&gt;=3,H2169&gt;=3),"NEED ATTENTION",AND(F2169&lt;=4,G2169&gt;=6,H2169&gt;=6),"AT RISK",AND(F2169&lt;=2,G2169&gt;=8,H2169&gt;=8),"CAN'T LOSE THEM",AND(F2169&lt;=2,G2169&lt;=2,H2169&lt;=2),"HIBERNATING",TRUE(),"Other")</f>
        <v>POTENTIAL LOYALIST</v>
      </c>
      <c r="K2169" s="1" t="n">
        <f aca="false">RANK(E2169,$E$7:$E$4378)+COUNTIF($E$7:E2169,E2169)-1</f>
        <v>1026</v>
      </c>
    </row>
    <row r="2170" customFormat="false" ht="14.25" hidden="false" customHeight="true" outlineLevel="0" collapsed="false">
      <c r="A2170" s="51" t="n">
        <v>15269</v>
      </c>
      <c r="B2170" s="53" t="n">
        <v>40863.3972222222</v>
      </c>
      <c r="C2170" s="57" t="n">
        <f aca="false">INT($C$2)-INT(Table3[[#This Row],[Last Purchase Date]])</f>
        <v>24</v>
      </c>
      <c r="D2170" s="1" t="n">
        <v>1</v>
      </c>
      <c r="E2170" s="1" t="n">
        <v>408.8</v>
      </c>
      <c r="F2170" s="1" t="n">
        <f aca="false">ROUND((1-_xlfn.PERCENTRANK.INC($C$7:$C$4378,C2170))*9,0)</f>
        <v>6</v>
      </c>
      <c r="G2170" s="1" t="n">
        <f aca="false">ROUND(_xlfn.PERCENTRANK.INC($D$7:$D$4378,D2170)*9,0)</f>
        <v>0</v>
      </c>
      <c r="H2170" s="1" t="n">
        <f aca="false">ROUND(_xlfn.PERCENTRANK.INC($E$7:$E$4378,E2170)*9,0)</f>
        <v>3</v>
      </c>
      <c r="I2170" s="1" t="str">
        <f aca="false">CONCATENATE(F2170,G2170,H2170)</f>
        <v>603</v>
      </c>
      <c r="J2170" s="1" t="str">
        <f aca="false">_xlfn.IFS(AND(F2170&gt;=8,G2170&gt;=8,H2170&gt;=8),"CHAMPION",AND(F2170&gt;=6,G2170&gt;=7,H2170&gt;=6),"LOYAL CUSTOMER",AND(F2170&gt;=6,G2170&gt;=5,H2170&gt;=5),"POTENTIAL LOYALIST",AND(F2170&gt;=8,G2170&lt;=2,H2170&gt;=5),"NEW CUSTOMERS",AND(F2170&gt;=6,G2170&lt;=2,H2170&gt;=3),"PROMISING",AND(F2170&gt;=3,G2170&gt;=3,H2170&gt;=3),"NEED ATTENTION",AND(F2170&lt;=4,G2170&gt;=6,H2170&gt;=6),"AT RISK",AND(F2170&lt;=2,G2170&gt;=8,H2170&gt;=8),"CAN'T LOSE THEM",AND(F2170&lt;=2,G2170&lt;=2,H2170&lt;=2),"HIBERNATING",TRUE(),"Other")</f>
        <v>PROMISING</v>
      </c>
      <c r="K2170" s="1" t="n">
        <f aca="false">RANK(E2170,$E$7:$E$4378)+COUNTIF($E$7:E2170,E2170)-1</f>
        <v>2797</v>
      </c>
    </row>
    <row r="2171" customFormat="false" ht="14.25" hidden="false" customHeight="true" outlineLevel="0" collapsed="false">
      <c r="A2171" s="51" t="n">
        <v>15270</v>
      </c>
      <c r="B2171" s="53" t="n">
        <v>40871.3916666667</v>
      </c>
      <c r="C2171" s="57" t="n">
        <f aca="false">INT($C$2)-INT(Table3[[#This Row],[Last Purchase Date]])</f>
        <v>16</v>
      </c>
      <c r="D2171" s="1" t="n">
        <v>9</v>
      </c>
      <c r="E2171" s="1" t="n">
        <v>2298.2</v>
      </c>
      <c r="F2171" s="1" t="n">
        <f aca="false">ROUND((1-_xlfn.PERCENTRANK.INC($C$7:$C$4378,C2171))*9,0)</f>
        <v>7</v>
      </c>
      <c r="G2171" s="1" t="n">
        <f aca="false">ROUND(_xlfn.PERCENTRANK.INC($D$7:$D$4378,D2171)*9,0)</f>
        <v>8</v>
      </c>
      <c r="H2171" s="1" t="n">
        <f aca="false">ROUND(_xlfn.PERCENTRANK.INC($E$7:$E$4378,E2171)*9,0)</f>
        <v>7</v>
      </c>
      <c r="I2171" s="1" t="str">
        <f aca="false">CONCATENATE(F2171,G2171,H2171)</f>
        <v>787</v>
      </c>
      <c r="J2171" s="1" t="str">
        <f aca="false">_xlfn.IFS(AND(F2171&gt;=8,G2171&gt;=8,H2171&gt;=8),"CHAMPION",AND(F2171&gt;=6,G2171&gt;=7,H2171&gt;=6),"LOYAL CUSTOMER",AND(F2171&gt;=6,G2171&gt;=5,H2171&gt;=5),"POTENTIAL LOYALIST",AND(F2171&gt;=8,G2171&lt;=2,H2171&gt;=5),"NEW CUSTOMERS",AND(F2171&gt;=6,G2171&lt;=2,H2171&gt;=3),"PROMISING",AND(F2171&gt;=3,G2171&gt;=3,H2171&gt;=3),"NEED ATTENTION",AND(F2171&lt;=4,G2171&gt;=6,H2171&gt;=6),"AT RISK",AND(F2171&lt;=2,G2171&gt;=8,H2171&gt;=8),"CAN'T LOSE THEM",AND(F2171&lt;=2,G2171&lt;=2,H2171&lt;=2),"HIBERNATING",TRUE(),"Other")</f>
        <v>LOYAL CUSTOMER</v>
      </c>
      <c r="K2171" s="1" t="n">
        <f aca="false">RANK(E2171,$E$7:$E$4378)+COUNTIF($E$7:E2171,E2171)-1</f>
        <v>743</v>
      </c>
    </row>
    <row r="2172" customFormat="false" ht="14.25" hidden="false" customHeight="true" outlineLevel="0" collapsed="false">
      <c r="A2172" s="51" t="n">
        <v>15271</v>
      </c>
      <c r="B2172" s="53" t="n">
        <v>40879.5909722222</v>
      </c>
      <c r="C2172" s="57" t="n">
        <f aca="false">INT($C$2)-INT(Table3[[#This Row],[Last Purchase Date]])</f>
        <v>8</v>
      </c>
      <c r="D2172" s="1" t="n">
        <v>16</v>
      </c>
      <c r="E2172" s="1" t="n">
        <v>2485.82</v>
      </c>
      <c r="F2172" s="1" t="n">
        <f aca="false">ROUND((1-_xlfn.PERCENTRANK.INC($C$7:$C$4378,C2172))*9,0)</f>
        <v>8</v>
      </c>
      <c r="G2172" s="1" t="n">
        <f aca="false">ROUND(_xlfn.PERCENTRANK.INC($D$7:$D$4378,D2172)*9,0)</f>
        <v>9</v>
      </c>
      <c r="H2172" s="1" t="n">
        <f aca="false">ROUND(_xlfn.PERCENTRANK.INC($E$7:$E$4378,E2172)*9,0)</f>
        <v>8</v>
      </c>
      <c r="I2172" s="1" t="str">
        <f aca="false">CONCATENATE(F2172,G2172,H2172)</f>
        <v>898</v>
      </c>
      <c r="J2172" s="1" t="str">
        <f aca="false">_xlfn.IFS(AND(F2172&gt;=8,G2172&gt;=8,H2172&gt;=8),"CHAMPION",AND(F2172&gt;=6,G2172&gt;=7,H2172&gt;=6),"LOYAL CUSTOMER",AND(F2172&gt;=6,G2172&gt;=5,H2172&gt;=5),"POTENTIAL LOYALIST",AND(F2172&gt;=8,G2172&lt;=2,H2172&gt;=5),"NEW CUSTOMERS",AND(F2172&gt;=6,G2172&lt;=2,H2172&gt;=3),"PROMISING",AND(F2172&gt;=3,G2172&gt;=3,H2172&gt;=3),"NEED ATTENTION",AND(F2172&lt;=4,G2172&gt;=6,H2172&gt;=6),"AT RISK",AND(F2172&lt;=2,G2172&gt;=8,H2172&gt;=8),"CAN'T LOSE THEM",AND(F2172&lt;=2,G2172&lt;=2,H2172&lt;=2),"HIBERNATING",TRUE(),"Other")</f>
        <v>CHAMPION</v>
      </c>
      <c r="K2172" s="1" t="n">
        <f aca="false">RANK(E2172,$E$7:$E$4378)+COUNTIF($E$7:E2172,E2172)-1</f>
        <v>686</v>
      </c>
    </row>
    <row r="2173" customFormat="false" ht="14.25" hidden="false" customHeight="true" outlineLevel="0" collapsed="false">
      <c r="A2173" s="51" t="n">
        <v>15272</v>
      </c>
      <c r="B2173" s="53" t="n">
        <v>40829.5409722222</v>
      </c>
      <c r="C2173" s="57" t="n">
        <f aca="false">INT($C$2)-INT(Table3[[#This Row],[Last Purchase Date]])</f>
        <v>58</v>
      </c>
      <c r="D2173" s="1" t="n">
        <v>2</v>
      </c>
      <c r="E2173" s="1" t="n">
        <v>721.94</v>
      </c>
      <c r="F2173" s="1" t="n">
        <f aca="false">ROUND((1-_xlfn.PERCENTRANK.INC($C$7:$C$4378,C2173))*9,0)</f>
        <v>4</v>
      </c>
      <c r="G2173" s="1" t="n">
        <f aca="false">ROUND(_xlfn.PERCENTRANK.INC($D$7:$D$4378,D2173)*9,0)</f>
        <v>3</v>
      </c>
      <c r="H2173" s="1" t="n">
        <f aca="false">ROUND(_xlfn.PERCENTRANK.INC($E$7:$E$4378,E2173)*9,0)</f>
        <v>5</v>
      </c>
      <c r="I2173" s="1" t="str">
        <f aca="false">CONCATENATE(F2173,G2173,H2173)</f>
        <v>435</v>
      </c>
      <c r="J2173" s="1" t="str">
        <f aca="false">_xlfn.IFS(AND(F2173&gt;=8,G2173&gt;=8,H2173&gt;=8),"CHAMPION",AND(F2173&gt;=6,G2173&gt;=7,H2173&gt;=6),"LOYAL CUSTOMER",AND(F2173&gt;=6,G2173&gt;=5,H2173&gt;=5),"POTENTIAL LOYALIST",AND(F2173&gt;=8,G2173&lt;=2,H2173&gt;=5),"NEW CUSTOMERS",AND(F2173&gt;=6,G2173&lt;=2,H2173&gt;=3),"PROMISING",AND(F2173&gt;=3,G2173&gt;=3,H2173&gt;=3),"NEED ATTENTION",AND(F2173&lt;=4,G2173&gt;=6,H2173&gt;=6),"AT RISK",AND(F2173&lt;=2,G2173&gt;=8,H2173&gt;=8),"CAN'T LOSE THEM",AND(F2173&lt;=2,G2173&lt;=2,H2173&lt;=2),"HIBERNATING",TRUE(),"Other")</f>
        <v>NEED ATTENTION</v>
      </c>
      <c r="K2173" s="1" t="n">
        <f aca="false">RANK(E2173,$E$7:$E$4378)+COUNTIF($E$7:E2173,E2173)-1</f>
        <v>2025</v>
      </c>
    </row>
    <row r="2174" customFormat="false" ht="14.25" hidden="false" customHeight="true" outlineLevel="0" collapsed="false">
      <c r="A2174" s="51" t="n">
        <v>15274</v>
      </c>
      <c r="B2174" s="53" t="n">
        <v>40882.70625</v>
      </c>
      <c r="C2174" s="57" t="n">
        <f aca="false">INT($C$2)-INT(Table3[[#This Row],[Last Purchase Date]])</f>
        <v>5</v>
      </c>
      <c r="D2174" s="1" t="n">
        <v>2</v>
      </c>
      <c r="E2174" s="1" t="n">
        <v>716.57</v>
      </c>
      <c r="F2174" s="1" t="n">
        <f aca="false">ROUND((1-_xlfn.PERCENTRANK.INC($C$7:$C$4378,C2174))*9,0)</f>
        <v>8</v>
      </c>
      <c r="G2174" s="1" t="n">
        <f aca="false">ROUND(_xlfn.PERCENTRANK.INC($D$7:$D$4378,D2174)*9,0)</f>
        <v>3</v>
      </c>
      <c r="H2174" s="1" t="n">
        <f aca="false">ROUND(_xlfn.PERCENTRANK.INC($E$7:$E$4378,E2174)*9,0)</f>
        <v>5</v>
      </c>
      <c r="I2174" s="1" t="str">
        <f aca="false">CONCATENATE(F2174,G2174,H2174)</f>
        <v>835</v>
      </c>
      <c r="J2174" s="1" t="str">
        <f aca="false">_xlfn.IFS(AND(F2174&gt;=8,G2174&gt;=8,H2174&gt;=8),"CHAMPION",AND(F2174&gt;=6,G2174&gt;=7,H2174&gt;=6),"LOYAL CUSTOMER",AND(F2174&gt;=6,G2174&gt;=5,H2174&gt;=5),"POTENTIAL LOYALIST",AND(F2174&gt;=8,G2174&lt;=2,H2174&gt;=5),"NEW CUSTOMERS",AND(F2174&gt;=6,G2174&lt;=2,H2174&gt;=3),"PROMISING",AND(F2174&gt;=3,G2174&gt;=3,H2174&gt;=3),"NEED ATTENTION",AND(F2174&lt;=4,G2174&gt;=6,H2174&gt;=6),"AT RISK",AND(F2174&lt;=2,G2174&gt;=8,H2174&gt;=8),"CAN'T LOSE THEM",AND(F2174&lt;=2,G2174&lt;=2,H2174&lt;=2),"HIBERNATING",TRUE(),"Other")</f>
        <v>NEED ATTENTION</v>
      </c>
      <c r="K2174" s="1" t="n">
        <f aca="false">RANK(E2174,$E$7:$E$4378)+COUNTIF($E$7:E2174,E2174)-1</f>
        <v>2032</v>
      </c>
    </row>
    <row r="2175" customFormat="false" ht="14.25" hidden="false" customHeight="true" outlineLevel="0" collapsed="false">
      <c r="A2175" s="51" t="n">
        <v>15275</v>
      </c>
      <c r="B2175" s="53" t="n">
        <v>40855.7458333333</v>
      </c>
      <c r="C2175" s="57" t="n">
        <f aca="false">INT($C$2)-INT(Table3[[#This Row],[Last Purchase Date]])</f>
        <v>32</v>
      </c>
      <c r="D2175" s="1" t="n">
        <v>2</v>
      </c>
      <c r="E2175" s="1" t="n">
        <v>609.19</v>
      </c>
      <c r="F2175" s="1" t="n">
        <f aca="false">ROUND((1-_xlfn.PERCENTRANK.INC($C$7:$C$4378,C2175))*9,0)</f>
        <v>5</v>
      </c>
      <c r="G2175" s="1" t="n">
        <f aca="false">ROUND(_xlfn.PERCENTRANK.INC($D$7:$D$4378,D2175)*9,0)</f>
        <v>3</v>
      </c>
      <c r="H2175" s="1" t="n">
        <f aca="false">ROUND(_xlfn.PERCENTRANK.INC($E$7:$E$4378,E2175)*9,0)</f>
        <v>4</v>
      </c>
      <c r="I2175" s="1" t="str">
        <f aca="false">CONCATENATE(F2175,G2175,H2175)</f>
        <v>534</v>
      </c>
      <c r="J2175" s="1" t="str">
        <f aca="false">_xlfn.IFS(AND(F2175&gt;=8,G2175&gt;=8,H2175&gt;=8),"CHAMPION",AND(F2175&gt;=6,G2175&gt;=7,H2175&gt;=6),"LOYAL CUSTOMER",AND(F2175&gt;=6,G2175&gt;=5,H2175&gt;=5),"POTENTIAL LOYALIST",AND(F2175&gt;=8,G2175&lt;=2,H2175&gt;=5),"NEW CUSTOMERS",AND(F2175&gt;=6,G2175&lt;=2,H2175&gt;=3),"PROMISING",AND(F2175&gt;=3,G2175&gt;=3,H2175&gt;=3),"NEED ATTENTION",AND(F2175&lt;=4,G2175&gt;=6,H2175&gt;=6),"AT RISK",AND(F2175&lt;=2,G2175&gt;=8,H2175&gt;=8),"CAN'T LOSE THEM",AND(F2175&lt;=2,G2175&lt;=2,H2175&lt;=2),"HIBERNATING",TRUE(),"Other")</f>
        <v>NEED ATTENTION</v>
      </c>
      <c r="K2175" s="1" t="n">
        <f aca="false">RANK(E2175,$E$7:$E$4378)+COUNTIF($E$7:E2175,E2175)-1</f>
        <v>2285</v>
      </c>
    </row>
    <row r="2176" customFormat="false" ht="14.25" hidden="false" customHeight="true" outlineLevel="0" collapsed="false">
      <c r="A2176" s="51" t="n">
        <v>15276</v>
      </c>
      <c r="B2176" s="53" t="n">
        <v>40820.69375</v>
      </c>
      <c r="C2176" s="57" t="n">
        <f aca="false">INT($C$2)-INT(Table3[[#This Row],[Last Purchase Date]])</f>
        <v>67</v>
      </c>
      <c r="D2176" s="1" t="n">
        <v>1</v>
      </c>
      <c r="E2176" s="1" t="n">
        <v>135.31</v>
      </c>
      <c r="F2176" s="1" t="n">
        <f aca="false">ROUND((1-_xlfn.PERCENTRANK.INC($C$7:$C$4378,C2176))*9,0)</f>
        <v>4</v>
      </c>
      <c r="G2176" s="1" t="n">
        <f aca="false">ROUND(_xlfn.PERCENTRANK.INC($D$7:$D$4378,D2176)*9,0)</f>
        <v>0</v>
      </c>
      <c r="H2176" s="1" t="n">
        <f aca="false">ROUND(_xlfn.PERCENTRANK.INC($E$7:$E$4378,E2176)*9,0)</f>
        <v>1</v>
      </c>
      <c r="I2176" s="1" t="str">
        <f aca="false">CONCATENATE(F2176,G2176,H2176)</f>
        <v>401</v>
      </c>
      <c r="J2176" s="1" t="str">
        <f aca="false">_xlfn.IFS(AND(F2176&gt;=8,G2176&gt;=8,H2176&gt;=8),"CHAMPION",AND(F2176&gt;=6,G2176&gt;=7,H2176&gt;=6),"LOYAL CUSTOMER",AND(F2176&gt;=6,G2176&gt;=5,H2176&gt;=5),"POTENTIAL LOYALIST",AND(F2176&gt;=8,G2176&lt;=2,H2176&gt;=5),"NEW CUSTOMERS",AND(F2176&gt;=6,G2176&lt;=2,H2176&gt;=3),"PROMISING",AND(F2176&gt;=3,G2176&gt;=3,H2176&gt;=3),"NEED ATTENTION",AND(F2176&lt;=4,G2176&gt;=6,H2176&gt;=6),"AT RISK",AND(F2176&lt;=2,G2176&gt;=8,H2176&gt;=8),"CAN'T LOSE THEM",AND(F2176&lt;=2,G2176&lt;=2,H2176&lt;=2),"HIBERNATING",TRUE(),"Other")</f>
        <v>Other</v>
      </c>
      <c r="K2176" s="1" t="n">
        <f aca="false">RANK(E2176,$E$7:$E$4378)+COUNTIF($E$7:E2176,E2176)-1</f>
        <v>3985</v>
      </c>
    </row>
    <row r="2177" customFormat="false" ht="14.25" hidden="false" customHeight="true" outlineLevel="0" collapsed="false">
      <c r="A2177" s="51" t="n">
        <v>15277</v>
      </c>
      <c r="B2177" s="53" t="n">
        <v>40840.4222222222</v>
      </c>
      <c r="C2177" s="57" t="n">
        <f aca="false">INT($C$2)-INT(Table3[[#This Row],[Last Purchase Date]])</f>
        <v>47</v>
      </c>
      <c r="D2177" s="1" t="n">
        <v>1</v>
      </c>
      <c r="E2177" s="1" t="n">
        <v>255.9</v>
      </c>
      <c r="F2177" s="1" t="n">
        <f aca="false">ROUND((1-_xlfn.PERCENTRANK.INC($C$7:$C$4378,C2177))*9,0)</f>
        <v>5</v>
      </c>
      <c r="G2177" s="1" t="n">
        <f aca="false">ROUND(_xlfn.PERCENTRANK.INC($D$7:$D$4378,D2177)*9,0)</f>
        <v>0</v>
      </c>
      <c r="H2177" s="1" t="n">
        <f aca="false">ROUND(_xlfn.PERCENTRANK.INC($E$7:$E$4378,E2177)*9,0)</f>
        <v>2</v>
      </c>
      <c r="I2177" s="1" t="str">
        <f aca="false">CONCATENATE(F2177,G2177,H2177)</f>
        <v>502</v>
      </c>
      <c r="J2177" s="1" t="str">
        <f aca="false">_xlfn.IFS(AND(F2177&gt;=8,G2177&gt;=8,H2177&gt;=8),"CHAMPION",AND(F2177&gt;=6,G2177&gt;=7,H2177&gt;=6),"LOYAL CUSTOMER",AND(F2177&gt;=6,G2177&gt;=5,H2177&gt;=5),"POTENTIAL LOYALIST",AND(F2177&gt;=8,G2177&lt;=2,H2177&gt;=5),"NEW CUSTOMERS",AND(F2177&gt;=6,G2177&lt;=2,H2177&gt;=3),"PROMISING",AND(F2177&gt;=3,G2177&gt;=3,H2177&gt;=3),"NEED ATTENTION",AND(F2177&lt;=4,G2177&gt;=6,H2177&gt;=6),"AT RISK",AND(F2177&lt;=2,G2177&gt;=8,H2177&gt;=8),"CAN'T LOSE THEM",AND(F2177&lt;=2,G2177&lt;=2,H2177&lt;=2),"HIBERNATING",TRUE(),"Other")</f>
        <v>Other</v>
      </c>
      <c r="K2177" s="1" t="n">
        <f aca="false">RANK(E2177,$E$7:$E$4378)+COUNTIF($E$7:E2177,E2177)-1</f>
        <v>3413</v>
      </c>
    </row>
    <row r="2178" customFormat="false" ht="14.25" hidden="false" customHeight="true" outlineLevel="0" collapsed="false">
      <c r="A2178" s="51" t="n">
        <v>15279</v>
      </c>
      <c r="B2178" s="53" t="n">
        <v>40532.45</v>
      </c>
      <c r="C2178" s="57" t="n">
        <f aca="false">INT($C$2)-INT(Table3[[#This Row],[Last Purchase Date]])</f>
        <v>355</v>
      </c>
      <c r="D2178" s="1" t="n">
        <v>2</v>
      </c>
      <c r="E2178" s="1" t="n">
        <v>277.41</v>
      </c>
      <c r="F2178" s="1" t="n">
        <f aca="false">ROUND((1-_xlfn.PERCENTRANK.INC($C$7:$C$4378,C2178))*9,0)</f>
        <v>0</v>
      </c>
      <c r="G2178" s="1" t="n">
        <f aca="false">ROUND(_xlfn.PERCENTRANK.INC($D$7:$D$4378,D2178)*9,0)</f>
        <v>3</v>
      </c>
      <c r="H2178" s="1" t="n">
        <f aca="false">ROUND(_xlfn.PERCENTRANK.INC($E$7:$E$4378,E2178)*9,0)</f>
        <v>2</v>
      </c>
      <c r="I2178" s="1" t="str">
        <f aca="false">CONCATENATE(F2178,G2178,H2178)</f>
        <v>032</v>
      </c>
      <c r="J2178" s="1" t="str">
        <f aca="false">_xlfn.IFS(AND(F2178&gt;=8,G2178&gt;=8,H2178&gt;=8),"CHAMPION",AND(F2178&gt;=6,G2178&gt;=7,H2178&gt;=6),"LOYAL CUSTOMER",AND(F2178&gt;=6,G2178&gt;=5,H2178&gt;=5),"POTENTIAL LOYALIST",AND(F2178&gt;=8,G2178&lt;=2,H2178&gt;=5),"NEW CUSTOMERS",AND(F2178&gt;=6,G2178&lt;=2,H2178&gt;=3),"PROMISING",AND(F2178&gt;=3,G2178&gt;=3,H2178&gt;=3),"NEED ATTENTION",AND(F2178&lt;=4,G2178&gt;=6,H2178&gt;=6),"AT RISK",AND(F2178&lt;=2,G2178&gt;=8,H2178&gt;=8),"CAN'T LOSE THEM",AND(F2178&lt;=2,G2178&lt;=2,H2178&lt;=2),"HIBERNATING",TRUE(),"Other")</f>
        <v>Other</v>
      </c>
      <c r="K2178" s="1" t="n">
        <f aca="false">RANK(E2178,$E$7:$E$4378)+COUNTIF($E$7:E2178,E2178)-1</f>
        <v>3334</v>
      </c>
    </row>
    <row r="2179" customFormat="false" ht="14.25" hidden="false" customHeight="true" outlineLevel="0" collapsed="false">
      <c r="A2179" s="51" t="n">
        <v>15280</v>
      </c>
      <c r="B2179" s="53" t="n">
        <v>40714.7180555556</v>
      </c>
      <c r="C2179" s="57" t="n">
        <f aca="false">INT($C$2)-INT(Table3[[#This Row],[Last Purchase Date]])</f>
        <v>173</v>
      </c>
      <c r="D2179" s="1" t="n">
        <v>1</v>
      </c>
      <c r="E2179" s="1" t="n">
        <v>113.12</v>
      </c>
      <c r="F2179" s="1" t="n">
        <f aca="false">ROUND((1-_xlfn.PERCENTRANK.INC($C$7:$C$4378,C2179))*9,0)</f>
        <v>2</v>
      </c>
      <c r="G2179" s="1" t="n">
        <f aca="false">ROUND(_xlfn.PERCENTRANK.INC($D$7:$D$4378,D2179)*9,0)</f>
        <v>0</v>
      </c>
      <c r="H2179" s="1" t="n">
        <f aca="false">ROUND(_xlfn.PERCENTRANK.INC($E$7:$E$4378,E2179)*9,0)</f>
        <v>1</v>
      </c>
      <c r="I2179" s="1" t="str">
        <f aca="false">CONCATENATE(F2179,G2179,H2179)</f>
        <v>201</v>
      </c>
      <c r="J2179" s="1" t="str">
        <f aca="false">_xlfn.IFS(AND(F2179&gt;=8,G2179&gt;=8,H2179&gt;=8),"CHAMPION",AND(F2179&gt;=6,G2179&gt;=7,H2179&gt;=6),"LOYAL CUSTOMER",AND(F2179&gt;=6,G2179&gt;=5,H2179&gt;=5),"POTENTIAL LOYALIST",AND(F2179&gt;=8,G2179&lt;=2,H2179&gt;=5),"NEW CUSTOMERS",AND(F2179&gt;=6,G2179&lt;=2,H2179&gt;=3),"PROMISING",AND(F2179&gt;=3,G2179&gt;=3,H2179&gt;=3),"NEED ATTENTION",AND(F2179&lt;=4,G2179&gt;=6,H2179&gt;=6),"AT RISK",AND(F2179&lt;=2,G2179&gt;=8,H2179&gt;=8),"CAN'T LOSE THEM",AND(F2179&lt;=2,G2179&lt;=2,H2179&lt;=2),"HIBERNATING",TRUE(),"Other")</f>
        <v>HIBERNATING</v>
      </c>
      <c r="K2179" s="1" t="n">
        <f aca="false">RANK(E2179,$E$7:$E$4378)+COUNTIF($E$7:E2179,E2179)-1</f>
        <v>4090</v>
      </c>
    </row>
    <row r="2180" customFormat="false" ht="14.25" hidden="false" customHeight="true" outlineLevel="0" collapsed="false">
      <c r="A2180" s="51" t="n">
        <v>15281</v>
      </c>
      <c r="B2180" s="53" t="n">
        <v>40828.3819444445</v>
      </c>
      <c r="C2180" s="57" t="n">
        <f aca="false">INT($C$2)-INT(Table3[[#This Row],[Last Purchase Date]])</f>
        <v>59</v>
      </c>
      <c r="D2180" s="1" t="n">
        <v>12</v>
      </c>
      <c r="E2180" s="1" t="n">
        <v>2239.95</v>
      </c>
      <c r="F2180" s="1" t="n">
        <f aca="false">ROUND((1-_xlfn.PERCENTRANK.INC($C$7:$C$4378,C2180))*9,0)</f>
        <v>4</v>
      </c>
      <c r="G2180" s="1" t="n">
        <f aca="false">ROUND(_xlfn.PERCENTRANK.INC($D$7:$D$4378,D2180)*9,0)</f>
        <v>8</v>
      </c>
      <c r="H2180" s="1" t="n">
        <f aca="false">ROUND(_xlfn.PERCENTRANK.INC($E$7:$E$4378,E2180)*9,0)</f>
        <v>7</v>
      </c>
      <c r="I2180" s="1" t="str">
        <f aca="false">CONCATENATE(F2180,G2180,H2180)</f>
        <v>487</v>
      </c>
      <c r="J2180" s="1" t="str">
        <f aca="false">_xlfn.IFS(AND(F2180&gt;=8,G2180&gt;=8,H2180&gt;=8),"CHAMPION",AND(F2180&gt;=6,G2180&gt;=7,H2180&gt;=6),"LOYAL CUSTOMER",AND(F2180&gt;=6,G2180&gt;=5,H2180&gt;=5),"POTENTIAL LOYALIST",AND(F2180&gt;=8,G2180&lt;=2,H2180&gt;=5),"NEW CUSTOMERS",AND(F2180&gt;=6,G2180&lt;=2,H2180&gt;=3),"PROMISING",AND(F2180&gt;=3,G2180&gt;=3,H2180&gt;=3),"NEED ATTENTION",AND(F2180&lt;=4,G2180&gt;=6,H2180&gt;=6),"AT RISK",AND(F2180&lt;=2,G2180&gt;=8,H2180&gt;=8),"CAN'T LOSE THEM",AND(F2180&lt;=2,G2180&lt;=2,H2180&lt;=2),"HIBERNATING",TRUE(),"Other")</f>
        <v>NEED ATTENTION</v>
      </c>
      <c r="K2180" s="1" t="n">
        <f aca="false">RANK(E2180,$E$7:$E$4378)+COUNTIF($E$7:E2180,E2180)-1</f>
        <v>766</v>
      </c>
    </row>
    <row r="2181" customFormat="false" ht="14.25" hidden="false" customHeight="true" outlineLevel="0" collapsed="false">
      <c r="A2181" s="51" t="n">
        <v>15286</v>
      </c>
      <c r="B2181" s="53" t="n">
        <v>40837.4638888889</v>
      </c>
      <c r="C2181" s="57" t="n">
        <f aca="false">INT($C$2)-INT(Table3[[#This Row],[Last Purchase Date]])</f>
        <v>50</v>
      </c>
      <c r="D2181" s="1" t="n">
        <v>1</v>
      </c>
      <c r="E2181" s="1" t="n">
        <v>240.55</v>
      </c>
      <c r="F2181" s="1" t="n">
        <f aca="false">ROUND((1-_xlfn.PERCENTRANK.INC($C$7:$C$4378,C2181))*9,0)</f>
        <v>5</v>
      </c>
      <c r="G2181" s="1" t="n">
        <f aca="false">ROUND(_xlfn.PERCENTRANK.INC($D$7:$D$4378,D2181)*9,0)</f>
        <v>0</v>
      </c>
      <c r="H2181" s="1" t="n">
        <f aca="false">ROUND(_xlfn.PERCENTRANK.INC($E$7:$E$4378,E2181)*9,0)</f>
        <v>2</v>
      </c>
      <c r="I2181" s="1" t="str">
        <f aca="false">CONCATENATE(F2181,G2181,H2181)</f>
        <v>502</v>
      </c>
      <c r="J2181" s="1" t="str">
        <f aca="false">_xlfn.IFS(AND(F2181&gt;=8,G2181&gt;=8,H2181&gt;=8),"CHAMPION",AND(F2181&gt;=6,G2181&gt;=7,H2181&gt;=6),"LOYAL CUSTOMER",AND(F2181&gt;=6,G2181&gt;=5,H2181&gt;=5),"POTENTIAL LOYALIST",AND(F2181&gt;=8,G2181&lt;=2,H2181&gt;=5),"NEW CUSTOMERS",AND(F2181&gt;=6,G2181&lt;=2,H2181&gt;=3),"PROMISING",AND(F2181&gt;=3,G2181&gt;=3,H2181&gt;=3),"NEED ATTENTION",AND(F2181&lt;=4,G2181&gt;=6,H2181&gt;=6),"AT RISK",AND(F2181&lt;=2,G2181&gt;=8,H2181&gt;=8),"CAN'T LOSE THEM",AND(F2181&lt;=2,G2181&lt;=2,H2181&lt;=2),"HIBERNATING",TRUE(),"Other")</f>
        <v>Other</v>
      </c>
      <c r="K2181" s="1" t="n">
        <f aca="false">RANK(E2181,$E$7:$E$4378)+COUNTIF($E$7:E2181,E2181)-1</f>
        <v>3477</v>
      </c>
    </row>
    <row r="2182" customFormat="false" ht="14.25" hidden="false" customHeight="true" outlineLevel="0" collapsed="false">
      <c r="A2182" s="51" t="n">
        <v>15287</v>
      </c>
      <c r="B2182" s="53" t="n">
        <v>40864.6486111111</v>
      </c>
      <c r="C2182" s="57" t="n">
        <f aca="false">INT($C$2)-INT(Table3[[#This Row],[Last Purchase Date]])</f>
        <v>23</v>
      </c>
      <c r="D2182" s="1" t="n">
        <v>3</v>
      </c>
      <c r="E2182" s="1" t="n">
        <v>485.24</v>
      </c>
      <c r="F2182" s="1" t="n">
        <f aca="false">ROUND((1-_xlfn.PERCENTRANK.INC($C$7:$C$4378,C2182))*9,0)</f>
        <v>6</v>
      </c>
      <c r="G2182" s="1" t="n">
        <f aca="false">ROUND(_xlfn.PERCENTRANK.INC($D$7:$D$4378,D2182)*9,0)</f>
        <v>4</v>
      </c>
      <c r="H2182" s="1" t="n">
        <f aca="false">ROUND(_xlfn.PERCENTRANK.INC($E$7:$E$4378,E2182)*9,0)</f>
        <v>4</v>
      </c>
      <c r="I2182" s="1" t="str">
        <f aca="false">CONCATENATE(F2182,G2182,H2182)</f>
        <v>644</v>
      </c>
      <c r="J2182" s="1" t="str">
        <f aca="false">_xlfn.IFS(AND(F2182&gt;=8,G2182&gt;=8,H2182&gt;=8),"CHAMPION",AND(F2182&gt;=6,G2182&gt;=7,H2182&gt;=6),"LOYAL CUSTOMER",AND(F2182&gt;=6,G2182&gt;=5,H2182&gt;=5),"POTENTIAL LOYALIST",AND(F2182&gt;=8,G2182&lt;=2,H2182&gt;=5),"NEW CUSTOMERS",AND(F2182&gt;=6,G2182&lt;=2,H2182&gt;=3),"PROMISING",AND(F2182&gt;=3,G2182&gt;=3,H2182&gt;=3),"NEED ATTENTION",AND(F2182&lt;=4,G2182&gt;=6,H2182&gt;=6),"AT RISK",AND(F2182&lt;=2,G2182&gt;=8,H2182&gt;=8),"CAN'T LOSE THEM",AND(F2182&lt;=2,G2182&lt;=2,H2182&lt;=2),"HIBERNATING",TRUE(),"Other")</f>
        <v>NEED ATTENTION</v>
      </c>
      <c r="K2182" s="1" t="n">
        <f aca="false">RANK(E2182,$E$7:$E$4378)+COUNTIF($E$7:E2182,E2182)-1</f>
        <v>2581</v>
      </c>
    </row>
    <row r="2183" customFormat="false" ht="14.25" hidden="false" customHeight="true" outlineLevel="0" collapsed="false">
      <c r="A2183" s="51" t="n">
        <v>15288</v>
      </c>
      <c r="B2183" s="53" t="n">
        <v>40843.7069444444</v>
      </c>
      <c r="C2183" s="57" t="n">
        <f aca="false">INT($C$2)-INT(Table3[[#This Row],[Last Purchase Date]])</f>
        <v>44</v>
      </c>
      <c r="D2183" s="1" t="n">
        <v>5</v>
      </c>
      <c r="E2183" s="1" t="n">
        <v>2306.52</v>
      </c>
      <c r="F2183" s="1" t="n">
        <f aca="false">ROUND((1-_xlfn.PERCENTRANK.INC($C$7:$C$4378,C2183))*9,0)</f>
        <v>5</v>
      </c>
      <c r="G2183" s="1" t="n">
        <f aca="false">ROUND(_xlfn.PERCENTRANK.INC($D$7:$D$4378,D2183)*9,0)</f>
        <v>6</v>
      </c>
      <c r="H2183" s="1" t="n">
        <f aca="false">ROUND(_xlfn.PERCENTRANK.INC($E$7:$E$4378,E2183)*9,0)</f>
        <v>7</v>
      </c>
      <c r="I2183" s="1" t="str">
        <f aca="false">CONCATENATE(F2183,G2183,H2183)</f>
        <v>567</v>
      </c>
      <c r="J2183" s="1" t="str">
        <f aca="false">_xlfn.IFS(AND(F2183&gt;=8,G2183&gt;=8,H2183&gt;=8),"CHAMPION",AND(F2183&gt;=6,G2183&gt;=7,H2183&gt;=6),"LOYAL CUSTOMER",AND(F2183&gt;=6,G2183&gt;=5,H2183&gt;=5),"POTENTIAL LOYALIST",AND(F2183&gt;=8,G2183&lt;=2,H2183&gt;=5),"NEW CUSTOMERS",AND(F2183&gt;=6,G2183&lt;=2,H2183&gt;=3),"PROMISING",AND(F2183&gt;=3,G2183&gt;=3,H2183&gt;=3),"NEED ATTENTION",AND(F2183&lt;=4,G2183&gt;=6,H2183&gt;=6),"AT RISK",AND(F2183&lt;=2,G2183&gt;=8,H2183&gt;=8),"CAN'T LOSE THEM",AND(F2183&lt;=2,G2183&lt;=2,H2183&lt;=2),"HIBERNATING",TRUE(),"Other")</f>
        <v>NEED ATTENTION</v>
      </c>
      <c r="K2183" s="1" t="n">
        <f aca="false">RANK(E2183,$E$7:$E$4378)+COUNTIF($E$7:E2183,E2183)-1</f>
        <v>739</v>
      </c>
    </row>
    <row r="2184" customFormat="false" ht="14.25" hidden="false" customHeight="true" outlineLevel="0" collapsed="false">
      <c r="A2184" s="51" t="n">
        <v>15289</v>
      </c>
      <c r="B2184" s="53" t="n">
        <v>40857.5756944444</v>
      </c>
      <c r="C2184" s="57" t="n">
        <f aca="false">INT($C$2)-INT(Table3[[#This Row],[Last Purchase Date]])</f>
        <v>30</v>
      </c>
      <c r="D2184" s="1" t="n">
        <v>4</v>
      </c>
      <c r="E2184" s="1" t="n">
        <v>935.1</v>
      </c>
      <c r="F2184" s="1" t="n">
        <f aca="false">ROUND((1-_xlfn.PERCENTRANK.INC($C$7:$C$4378,C2184))*9,0)</f>
        <v>6</v>
      </c>
      <c r="G2184" s="1" t="n">
        <f aca="false">ROUND(_xlfn.PERCENTRANK.INC($D$7:$D$4378,D2184)*9,0)</f>
        <v>5</v>
      </c>
      <c r="H2184" s="1" t="n">
        <f aca="false">ROUND(_xlfn.PERCENTRANK.INC($E$7:$E$4378,E2184)*9,0)</f>
        <v>5</v>
      </c>
      <c r="I2184" s="1" t="str">
        <f aca="false">CONCATENATE(F2184,G2184,H2184)</f>
        <v>655</v>
      </c>
      <c r="J2184" s="1" t="str">
        <f aca="false">_xlfn.IFS(AND(F2184&gt;=8,G2184&gt;=8,H2184&gt;=8),"CHAMPION",AND(F2184&gt;=6,G2184&gt;=7,H2184&gt;=6),"LOYAL CUSTOMER",AND(F2184&gt;=6,G2184&gt;=5,H2184&gt;=5),"POTENTIAL LOYALIST",AND(F2184&gt;=8,G2184&lt;=2,H2184&gt;=5),"NEW CUSTOMERS",AND(F2184&gt;=6,G2184&lt;=2,H2184&gt;=3),"PROMISING",AND(F2184&gt;=3,G2184&gt;=3,H2184&gt;=3),"NEED ATTENTION",AND(F2184&lt;=4,G2184&gt;=6,H2184&gt;=6),"AT RISK",AND(F2184&lt;=2,G2184&gt;=8,H2184&gt;=8),"CAN'T LOSE THEM",AND(F2184&lt;=2,G2184&lt;=2,H2184&lt;=2),"HIBERNATING",TRUE(),"Other")</f>
        <v>POTENTIAL LOYALIST</v>
      </c>
      <c r="K2184" s="1" t="n">
        <f aca="false">RANK(E2184,$E$7:$E$4378)+COUNTIF($E$7:E2184,E2184)-1</f>
        <v>1714</v>
      </c>
    </row>
    <row r="2185" customFormat="false" ht="14.25" hidden="false" customHeight="true" outlineLevel="0" collapsed="false">
      <c r="A2185" s="51" t="n">
        <v>15290</v>
      </c>
      <c r="B2185" s="53" t="n">
        <v>40882.4854166667</v>
      </c>
      <c r="C2185" s="57" t="n">
        <f aca="false">INT($C$2)-INT(Table3[[#This Row],[Last Purchase Date]])</f>
        <v>5</v>
      </c>
      <c r="D2185" s="1" t="n">
        <v>21</v>
      </c>
      <c r="E2185" s="1" t="n">
        <v>7803.77</v>
      </c>
      <c r="F2185" s="1" t="n">
        <f aca="false">ROUND((1-_xlfn.PERCENTRANK.INC($C$7:$C$4378,C2185))*9,0)</f>
        <v>8</v>
      </c>
      <c r="G2185" s="1" t="n">
        <f aca="false">ROUND(_xlfn.PERCENTRANK.INC($D$7:$D$4378,D2185)*9,0)</f>
        <v>9</v>
      </c>
      <c r="H2185" s="1" t="n">
        <f aca="false">ROUND(_xlfn.PERCENTRANK.INC($E$7:$E$4378,E2185)*9,0)</f>
        <v>9</v>
      </c>
      <c r="I2185" s="1" t="str">
        <f aca="false">CONCATENATE(F2185,G2185,H2185)</f>
        <v>899</v>
      </c>
      <c r="J2185" s="1" t="str">
        <f aca="false">_xlfn.IFS(AND(F2185&gt;=8,G2185&gt;=8,H2185&gt;=8),"CHAMPION",AND(F2185&gt;=6,G2185&gt;=7,H2185&gt;=6),"LOYAL CUSTOMER",AND(F2185&gt;=6,G2185&gt;=5,H2185&gt;=5),"POTENTIAL LOYALIST",AND(F2185&gt;=8,G2185&lt;=2,H2185&gt;=5),"NEW CUSTOMERS",AND(F2185&gt;=6,G2185&lt;=2,H2185&gt;=3),"PROMISING",AND(F2185&gt;=3,G2185&gt;=3,H2185&gt;=3),"NEED ATTENTION",AND(F2185&lt;=4,G2185&gt;=6,H2185&gt;=6),"AT RISK",AND(F2185&lt;=2,G2185&gt;=8,H2185&gt;=8),"CAN'T LOSE THEM",AND(F2185&lt;=2,G2185&lt;=2,H2185&lt;=2),"HIBERNATING",TRUE(),"Other")</f>
        <v>CHAMPION</v>
      </c>
      <c r="K2185" s="1" t="n">
        <f aca="false">RANK(E2185,$E$7:$E$4378)+COUNTIF($E$7:E2185,E2185)-1</f>
        <v>134</v>
      </c>
    </row>
    <row r="2186" customFormat="false" ht="14.25" hidden="false" customHeight="true" outlineLevel="0" collapsed="false">
      <c r="A2186" s="51" t="n">
        <v>15291</v>
      </c>
      <c r="B2186" s="53" t="n">
        <v>40861.4597222222</v>
      </c>
      <c r="C2186" s="57" t="n">
        <f aca="false">INT($C$2)-INT(Table3[[#This Row],[Last Purchase Date]])</f>
        <v>26</v>
      </c>
      <c r="D2186" s="1" t="n">
        <v>20</v>
      </c>
      <c r="E2186" s="1" t="n">
        <v>4596.51</v>
      </c>
      <c r="F2186" s="1" t="n">
        <f aca="false">ROUND((1-_xlfn.PERCENTRANK.INC($C$7:$C$4378,C2186))*9,0)</f>
        <v>6</v>
      </c>
      <c r="G2186" s="1" t="n">
        <f aca="false">ROUND(_xlfn.PERCENTRANK.INC($D$7:$D$4378,D2186)*9,0)</f>
        <v>9</v>
      </c>
      <c r="H2186" s="1" t="n">
        <f aca="false">ROUND(_xlfn.PERCENTRANK.INC($E$7:$E$4378,E2186)*9,0)</f>
        <v>8</v>
      </c>
      <c r="I2186" s="1" t="str">
        <f aca="false">CONCATENATE(F2186,G2186,H2186)</f>
        <v>698</v>
      </c>
      <c r="J2186" s="1" t="str">
        <f aca="false">_xlfn.IFS(AND(F2186&gt;=8,G2186&gt;=8,H2186&gt;=8),"CHAMPION",AND(F2186&gt;=6,G2186&gt;=7,H2186&gt;=6),"LOYAL CUSTOMER",AND(F2186&gt;=6,G2186&gt;=5,H2186&gt;=5),"POTENTIAL LOYALIST",AND(F2186&gt;=8,G2186&lt;=2,H2186&gt;=5),"NEW CUSTOMERS",AND(F2186&gt;=6,G2186&lt;=2,H2186&gt;=3),"PROMISING",AND(F2186&gt;=3,G2186&gt;=3,H2186&gt;=3),"NEED ATTENTION",AND(F2186&lt;=4,G2186&gt;=6,H2186&gt;=6),"AT RISK",AND(F2186&lt;=2,G2186&gt;=8,H2186&gt;=8),"CAN'T LOSE THEM",AND(F2186&lt;=2,G2186&lt;=2,H2186&lt;=2),"HIBERNATING",TRUE(),"Other")</f>
        <v>LOYAL CUSTOMER</v>
      </c>
      <c r="K2186" s="1" t="n">
        <f aca="false">RANK(E2186,$E$7:$E$4378)+COUNTIF($E$7:E2186,E2186)-1</f>
        <v>296</v>
      </c>
    </row>
    <row r="2187" customFormat="false" ht="14.25" hidden="false" customHeight="true" outlineLevel="0" collapsed="false">
      <c r="A2187" s="51" t="n">
        <v>15292</v>
      </c>
      <c r="B2187" s="53" t="n">
        <v>40685.625</v>
      </c>
      <c r="C2187" s="57" t="n">
        <f aca="false">INT($C$2)-INT(Table3[[#This Row],[Last Purchase Date]])</f>
        <v>202</v>
      </c>
      <c r="D2187" s="1" t="n">
        <v>1</v>
      </c>
      <c r="E2187" s="1" t="n">
        <v>180.94</v>
      </c>
      <c r="F2187" s="1" t="n">
        <f aca="false">ROUND((1-_xlfn.PERCENTRANK.INC($C$7:$C$4378,C2187))*9,0)</f>
        <v>2</v>
      </c>
      <c r="G2187" s="1" t="n">
        <f aca="false">ROUND(_xlfn.PERCENTRANK.INC($D$7:$D$4378,D2187)*9,0)</f>
        <v>0</v>
      </c>
      <c r="H2187" s="1" t="n">
        <f aca="false">ROUND(_xlfn.PERCENTRANK.INC($E$7:$E$4378,E2187)*9,0)</f>
        <v>1</v>
      </c>
      <c r="I2187" s="1" t="str">
        <f aca="false">CONCATENATE(F2187,G2187,H2187)</f>
        <v>201</v>
      </c>
      <c r="J2187" s="1" t="str">
        <f aca="false">_xlfn.IFS(AND(F2187&gt;=8,G2187&gt;=8,H2187&gt;=8),"CHAMPION",AND(F2187&gt;=6,G2187&gt;=7,H2187&gt;=6),"LOYAL CUSTOMER",AND(F2187&gt;=6,G2187&gt;=5,H2187&gt;=5),"POTENTIAL LOYALIST",AND(F2187&gt;=8,G2187&lt;=2,H2187&gt;=5),"NEW CUSTOMERS",AND(F2187&gt;=6,G2187&lt;=2,H2187&gt;=3),"PROMISING",AND(F2187&gt;=3,G2187&gt;=3,H2187&gt;=3),"NEED ATTENTION",AND(F2187&lt;=4,G2187&gt;=6,H2187&gt;=6),"AT RISK",AND(F2187&lt;=2,G2187&gt;=8,H2187&gt;=8),"CAN'T LOSE THEM",AND(F2187&lt;=2,G2187&lt;=2,H2187&lt;=2),"HIBERNATING",TRUE(),"Other")</f>
        <v>HIBERNATING</v>
      </c>
      <c r="K2187" s="1" t="n">
        <f aca="false">RANK(E2187,$E$7:$E$4378)+COUNTIF($E$7:E2187,E2187)-1</f>
        <v>3746</v>
      </c>
    </row>
    <row r="2188" customFormat="false" ht="14.25" hidden="false" customHeight="true" outlineLevel="0" collapsed="false">
      <c r="A2188" s="51" t="n">
        <v>15296</v>
      </c>
      <c r="B2188" s="53" t="n">
        <v>40842.6895833333</v>
      </c>
      <c r="C2188" s="57" t="n">
        <f aca="false">INT($C$2)-INT(Table3[[#This Row],[Last Purchase Date]])</f>
        <v>45</v>
      </c>
      <c r="D2188" s="1" t="n">
        <v>10</v>
      </c>
      <c r="E2188" s="1" t="n">
        <v>3610.31</v>
      </c>
      <c r="F2188" s="1" t="n">
        <f aca="false">ROUND((1-_xlfn.PERCENTRANK.INC($C$7:$C$4378,C2188))*9,0)</f>
        <v>5</v>
      </c>
      <c r="G2188" s="1" t="n">
        <f aca="false">ROUND(_xlfn.PERCENTRANK.INC($D$7:$D$4378,D2188)*9,0)</f>
        <v>8</v>
      </c>
      <c r="H2188" s="1" t="n">
        <f aca="false">ROUND(_xlfn.PERCENTRANK.INC($E$7:$E$4378,E2188)*9,0)</f>
        <v>8</v>
      </c>
      <c r="I2188" s="1" t="str">
        <f aca="false">CONCATENATE(F2188,G2188,H2188)</f>
        <v>588</v>
      </c>
      <c r="J2188" s="1" t="str">
        <f aca="false">_xlfn.IFS(AND(F2188&gt;=8,G2188&gt;=8,H2188&gt;=8),"CHAMPION",AND(F2188&gt;=6,G2188&gt;=7,H2188&gt;=6),"LOYAL CUSTOMER",AND(F2188&gt;=6,G2188&gt;=5,H2188&gt;=5),"POTENTIAL LOYALIST",AND(F2188&gt;=8,G2188&lt;=2,H2188&gt;=5),"NEW CUSTOMERS",AND(F2188&gt;=6,G2188&lt;=2,H2188&gt;=3),"PROMISING",AND(F2188&gt;=3,G2188&gt;=3,H2188&gt;=3),"NEED ATTENTION",AND(F2188&lt;=4,G2188&gt;=6,H2188&gt;=6),"AT RISK",AND(F2188&lt;=2,G2188&gt;=8,H2188&gt;=8),"CAN'T LOSE THEM",AND(F2188&lt;=2,G2188&lt;=2,H2188&lt;=2),"HIBERNATING",TRUE(),"Other")</f>
        <v>NEED ATTENTION</v>
      </c>
      <c r="K2188" s="1" t="n">
        <f aca="false">RANK(E2188,$E$7:$E$4378)+COUNTIF($E$7:E2188,E2188)-1</f>
        <v>419</v>
      </c>
    </row>
    <row r="2189" customFormat="false" ht="14.25" hidden="false" customHeight="true" outlineLevel="0" collapsed="false">
      <c r="A2189" s="51" t="n">
        <v>15297</v>
      </c>
      <c r="B2189" s="53" t="n">
        <v>40876.6888888889</v>
      </c>
      <c r="C2189" s="57" t="n">
        <f aca="false">INT($C$2)-INT(Table3[[#This Row],[Last Purchase Date]])</f>
        <v>11</v>
      </c>
      <c r="D2189" s="1" t="n">
        <v>4</v>
      </c>
      <c r="E2189" s="1" t="n">
        <v>635.04</v>
      </c>
      <c r="F2189" s="1" t="n">
        <f aca="false">ROUND((1-_xlfn.PERCENTRANK.INC($C$7:$C$4378,C2189))*9,0)</f>
        <v>7</v>
      </c>
      <c r="G2189" s="1" t="n">
        <f aca="false">ROUND(_xlfn.PERCENTRANK.INC($D$7:$D$4378,D2189)*9,0)</f>
        <v>5</v>
      </c>
      <c r="H2189" s="1" t="n">
        <f aca="false">ROUND(_xlfn.PERCENTRANK.INC($E$7:$E$4378,E2189)*9,0)</f>
        <v>4</v>
      </c>
      <c r="I2189" s="1" t="str">
        <f aca="false">CONCATENATE(F2189,G2189,H2189)</f>
        <v>754</v>
      </c>
      <c r="J2189" s="1" t="str">
        <f aca="false">_xlfn.IFS(AND(F2189&gt;=8,G2189&gt;=8,H2189&gt;=8),"CHAMPION",AND(F2189&gt;=6,G2189&gt;=7,H2189&gt;=6),"LOYAL CUSTOMER",AND(F2189&gt;=6,G2189&gt;=5,H2189&gt;=5),"POTENTIAL LOYALIST",AND(F2189&gt;=8,G2189&lt;=2,H2189&gt;=5),"NEW CUSTOMERS",AND(F2189&gt;=6,G2189&lt;=2,H2189&gt;=3),"PROMISING",AND(F2189&gt;=3,G2189&gt;=3,H2189&gt;=3),"NEED ATTENTION",AND(F2189&lt;=4,G2189&gt;=6,H2189&gt;=6),"AT RISK",AND(F2189&lt;=2,G2189&gt;=8,H2189&gt;=8),"CAN'T LOSE THEM",AND(F2189&lt;=2,G2189&lt;=2,H2189&lt;=2),"HIBERNATING",TRUE(),"Other")</f>
        <v>NEED ATTENTION</v>
      </c>
      <c r="K2189" s="1" t="n">
        <f aca="false">RANK(E2189,$E$7:$E$4378)+COUNTIF($E$7:E2189,E2189)-1</f>
        <v>2222</v>
      </c>
    </row>
    <row r="2190" customFormat="false" ht="14.25" hidden="false" customHeight="true" outlineLevel="0" collapsed="false">
      <c r="A2190" s="51" t="n">
        <v>15298</v>
      </c>
      <c r="B2190" s="53" t="n">
        <v>40884.7201388889</v>
      </c>
      <c r="C2190" s="57" t="n">
        <f aca="false">INT($C$2)-INT(Table3[[#This Row],[Last Purchase Date]])</f>
        <v>3</v>
      </c>
      <c r="D2190" s="1" t="n">
        <v>14</v>
      </c>
      <c r="E2190" s="1" t="n">
        <v>3774.1</v>
      </c>
      <c r="F2190" s="1" t="n">
        <f aca="false">ROUND((1-_xlfn.PERCENTRANK.INC($C$7:$C$4378,C2190))*9,0)</f>
        <v>9</v>
      </c>
      <c r="G2190" s="1" t="n">
        <f aca="false">ROUND(_xlfn.PERCENTRANK.INC($D$7:$D$4378,D2190)*9,0)</f>
        <v>8</v>
      </c>
      <c r="H2190" s="1" t="n">
        <f aca="false">ROUND(_xlfn.PERCENTRANK.INC($E$7:$E$4378,E2190)*9,0)</f>
        <v>8</v>
      </c>
      <c r="I2190" s="1" t="str">
        <f aca="false">CONCATENATE(F2190,G2190,H2190)</f>
        <v>988</v>
      </c>
      <c r="J2190" s="1" t="str">
        <f aca="false">_xlfn.IFS(AND(F2190&gt;=8,G2190&gt;=8,H2190&gt;=8),"CHAMPION",AND(F2190&gt;=6,G2190&gt;=7,H2190&gt;=6),"LOYAL CUSTOMER",AND(F2190&gt;=6,G2190&gt;=5,H2190&gt;=5),"POTENTIAL LOYALIST",AND(F2190&gt;=8,G2190&lt;=2,H2190&gt;=5),"NEW CUSTOMERS",AND(F2190&gt;=6,G2190&lt;=2,H2190&gt;=3),"PROMISING",AND(F2190&gt;=3,G2190&gt;=3,H2190&gt;=3),"NEED ATTENTION",AND(F2190&lt;=4,G2190&gt;=6,H2190&gt;=6),"AT RISK",AND(F2190&lt;=2,G2190&gt;=8,H2190&gt;=8),"CAN'T LOSE THEM",AND(F2190&lt;=2,G2190&lt;=2,H2190&lt;=2),"HIBERNATING",TRUE(),"Other")</f>
        <v>CHAMPION</v>
      </c>
      <c r="K2190" s="1" t="n">
        <f aca="false">RANK(E2190,$E$7:$E$4378)+COUNTIF($E$7:E2190,E2190)-1</f>
        <v>389</v>
      </c>
    </row>
    <row r="2191" customFormat="false" ht="14.25" hidden="false" customHeight="true" outlineLevel="0" collapsed="false">
      <c r="A2191" s="51" t="n">
        <v>15299</v>
      </c>
      <c r="B2191" s="53" t="n">
        <v>40819.5965277778</v>
      </c>
      <c r="C2191" s="57" t="n">
        <f aca="false">INT($C$2)-INT(Table3[[#This Row],[Last Purchase Date]])</f>
        <v>68</v>
      </c>
      <c r="D2191" s="1" t="n">
        <v>11</v>
      </c>
      <c r="E2191" s="1" t="n">
        <v>3787.09</v>
      </c>
      <c r="F2191" s="1" t="n">
        <f aca="false">ROUND((1-_xlfn.PERCENTRANK.INC($C$7:$C$4378,C2191))*9,0)</f>
        <v>4</v>
      </c>
      <c r="G2191" s="1" t="n">
        <f aca="false">ROUND(_xlfn.PERCENTRANK.INC($D$7:$D$4378,D2191)*9,0)</f>
        <v>8</v>
      </c>
      <c r="H2191" s="1" t="n">
        <f aca="false">ROUND(_xlfn.PERCENTRANK.INC($E$7:$E$4378,E2191)*9,0)</f>
        <v>8</v>
      </c>
      <c r="I2191" s="1" t="str">
        <f aca="false">CONCATENATE(F2191,G2191,H2191)</f>
        <v>488</v>
      </c>
      <c r="J2191" s="1" t="str">
        <f aca="false">_xlfn.IFS(AND(F2191&gt;=8,G2191&gt;=8,H2191&gt;=8),"CHAMPION",AND(F2191&gt;=6,G2191&gt;=7,H2191&gt;=6),"LOYAL CUSTOMER",AND(F2191&gt;=6,G2191&gt;=5,H2191&gt;=5),"POTENTIAL LOYALIST",AND(F2191&gt;=8,G2191&lt;=2,H2191&gt;=5),"NEW CUSTOMERS",AND(F2191&gt;=6,G2191&lt;=2,H2191&gt;=3),"PROMISING",AND(F2191&gt;=3,G2191&gt;=3,H2191&gt;=3),"NEED ATTENTION",AND(F2191&lt;=4,G2191&gt;=6,H2191&gt;=6),"AT RISK",AND(F2191&lt;=2,G2191&gt;=8,H2191&gt;=8),"CAN'T LOSE THEM",AND(F2191&lt;=2,G2191&lt;=2,H2191&lt;=2),"HIBERNATING",TRUE(),"Other")</f>
        <v>NEED ATTENTION</v>
      </c>
      <c r="K2191" s="1" t="n">
        <f aca="false">RANK(E2191,$E$7:$E$4378)+COUNTIF($E$7:E2191,E2191)-1</f>
        <v>387</v>
      </c>
    </row>
    <row r="2192" customFormat="false" ht="14.25" hidden="false" customHeight="true" outlineLevel="0" collapsed="false">
      <c r="A2192" s="51" t="n">
        <v>15300</v>
      </c>
      <c r="B2192" s="53" t="n">
        <v>40822.7138888889</v>
      </c>
      <c r="C2192" s="57" t="n">
        <f aca="false">INT($C$2)-INT(Table3[[#This Row],[Last Purchase Date]])</f>
        <v>65</v>
      </c>
      <c r="D2192" s="1" t="n">
        <v>1</v>
      </c>
      <c r="E2192" s="1" t="n">
        <v>496.44</v>
      </c>
      <c r="F2192" s="1" t="n">
        <f aca="false">ROUND((1-_xlfn.PERCENTRANK.INC($C$7:$C$4378,C2192))*9,0)</f>
        <v>4</v>
      </c>
      <c r="G2192" s="1" t="n">
        <f aca="false">ROUND(_xlfn.PERCENTRANK.INC($D$7:$D$4378,D2192)*9,0)</f>
        <v>0</v>
      </c>
      <c r="H2192" s="1" t="n">
        <f aca="false">ROUND(_xlfn.PERCENTRANK.INC($E$7:$E$4378,E2192)*9,0)</f>
        <v>4</v>
      </c>
      <c r="I2192" s="1" t="str">
        <f aca="false">CONCATENATE(F2192,G2192,H2192)</f>
        <v>404</v>
      </c>
      <c r="J2192" s="1" t="str">
        <f aca="false">_xlfn.IFS(AND(F2192&gt;=8,G2192&gt;=8,H2192&gt;=8),"CHAMPION",AND(F2192&gt;=6,G2192&gt;=7,H2192&gt;=6),"LOYAL CUSTOMER",AND(F2192&gt;=6,G2192&gt;=5,H2192&gt;=5),"POTENTIAL LOYALIST",AND(F2192&gt;=8,G2192&lt;=2,H2192&gt;=5),"NEW CUSTOMERS",AND(F2192&gt;=6,G2192&lt;=2,H2192&gt;=3),"PROMISING",AND(F2192&gt;=3,G2192&gt;=3,H2192&gt;=3),"NEED ATTENTION",AND(F2192&lt;=4,G2192&gt;=6,H2192&gt;=6),"AT RISK",AND(F2192&lt;=2,G2192&gt;=8,H2192&gt;=8),"CAN'T LOSE THEM",AND(F2192&lt;=2,G2192&lt;=2,H2192&lt;=2),"HIBERNATING",TRUE(),"Other")</f>
        <v>Other</v>
      </c>
      <c r="K2192" s="1" t="n">
        <f aca="false">RANK(E2192,$E$7:$E$4378)+COUNTIF($E$7:E2192,E2192)-1</f>
        <v>2551</v>
      </c>
    </row>
    <row r="2193" customFormat="false" ht="14.25" hidden="false" customHeight="true" outlineLevel="0" collapsed="false">
      <c r="A2193" s="51" t="n">
        <v>15301</v>
      </c>
      <c r="B2193" s="53" t="n">
        <v>40836.4145833333</v>
      </c>
      <c r="C2193" s="57" t="n">
        <f aca="false">INT($C$2)-INT(Table3[[#This Row],[Last Purchase Date]])</f>
        <v>51</v>
      </c>
      <c r="D2193" s="1" t="n">
        <v>14</v>
      </c>
      <c r="E2193" s="1" t="n">
        <v>5028.12</v>
      </c>
      <c r="F2193" s="1" t="n">
        <f aca="false">ROUND((1-_xlfn.PERCENTRANK.INC($C$7:$C$4378,C2193))*9,0)</f>
        <v>5</v>
      </c>
      <c r="G2193" s="1" t="n">
        <f aca="false">ROUND(_xlfn.PERCENTRANK.INC($D$7:$D$4378,D2193)*9,0)</f>
        <v>8</v>
      </c>
      <c r="H2193" s="1" t="n">
        <f aca="false">ROUND(_xlfn.PERCENTRANK.INC($E$7:$E$4378,E2193)*9,0)</f>
        <v>8</v>
      </c>
      <c r="I2193" s="1" t="str">
        <f aca="false">CONCATENATE(F2193,G2193,H2193)</f>
        <v>588</v>
      </c>
      <c r="J2193" s="1" t="str">
        <f aca="false">_xlfn.IFS(AND(F2193&gt;=8,G2193&gt;=8,H2193&gt;=8),"CHAMPION",AND(F2193&gt;=6,G2193&gt;=7,H2193&gt;=6),"LOYAL CUSTOMER",AND(F2193&gt;=6,G2193&gt;=5,H2193&gt;=5),"POTENTIAL LOYALIST",AND(F2193&gt;=8,G2193&lt;=2,H2193&gt;=5),"NEW CUSTOMERS",AND(F2193&gt;=6,G2193&lt;=2,H2193&gt;=3),"PROMISING",AND(F2193&gt;=3,G2193&gt;=3,H2193&gt;=3),"NEED ATTENTION",AND(F2193&lt;=4,G2193&gt;=6,H2193&gt;=6),"AT RISK",AND(F2193&lt;=2,G2193&gt;=8,H2193&gt;=8),"CAN'T LOSE THEM",AND(F2193&lt;=2,G2193&lt;=2,H2193&lt;=2),"HIBERNATING",TRUE(),"Other")</f>
        <v>NEED ATTENTION</v>
      </c>
      <c r="K2193" s="1" t="n">
        <f aca="false">RANK(E2193,$E$7:$E$4378)+COUNTIF($E$7:E2193,E2193)-1</f>
        <v>261</v>
      </c>
    </row>
    <row r="2194" customFormat="false" ht="14.25" hidden="false" customHeight="true" outlineLevel="0" collapsed="false">
      <c r="A2194" s="51" t="n">
        <v>15303</v>
      </c>
      <c r="B2194" s="53" t="n">
        <v>40596.5826388889</v>
      </c>
      <c r="C2194" s="57" t="n">
        <f aca="false">INT($C$2)-INT(Table3[[#This Row],[Last Purchase Date]])</f>
        <v>291</v>
      </c>
      <c r="D2194" s="1" t="n">
        <v>1</v>
      </c>
      <c r="E2194" s="1" t="n">
        <v>574.02</v>
      </c>
      <c r="F2194" s="1" t="n">
        <f aca="false">ROUND((1-_xlfn.PERCENTRANK.INC($C$7:$C$4378,C2194))*9,0)</f>
        <v>1</v>
      </c>
      <c r="G2194" s="1" t="n">
        <f aca="false">ROUND(_xlfn.PERCENTRANK.INC($D$7:$D$4378,D2194)*9,0)</f>
        <v>0</v>
      </c>
      <c r="H2194" s="1" t="n">
        <f aca="false">ROUND(_xlfn.PERCENTRANK.INC($E$7:$E$4378,E2194)*9,0)</f>
        <v>4</v>
      </c>
      <c r="I2194" s="1" t="str">
        <f aca="false">CONCATENATE(F2194,G2194,H2194)</f>
        <v>104</v>
      </c>
      <c r="J2194" s="1" t="str">
        <f aca="false">_xlfn.IFS(AND(F2194&gt;=8,G2194&gt;=8,H2194&gt;=8),"CHAMPION",AND(F2194&gt;=6,G2194&gt;=7,H2194&gt;=6),"LOYAL CUSTOMER",AND(F2194&gt;=6,G2194&gt;=5,H2194&gt;=5),"POTENTIAL LOYALIST",AND(F2194&gt;=8,G2194&lt;=2,H2194&gt;=5),"NEW CUSTOMERS",AND(F2194&gt;=6,G2194&lt;=2,H2194&gt;=3),"PROMISING",AND(F2194&gt;=3,G2194&gt;=3,H2194&gt;=3),"NEED ATTENTION",AND(F2194&lt;=4,G2194&gt;=6,H2194&gt;=6),"AT RISK",AND(F2194&lt;=2,G2194&gt;=8,H2194&gt;=8),"CAN'T LOSE THEM",AND(F2194&lt;=2,G2194&lt;=2,H2194&lt;=2),"HIBERNATING",TRUE(),"Other")</f>
        <v>Other</v>
      </c>
      <c r="K2194" s="1" t="n">
        <f aca="false">RANK(E2194,$E$7:$E$4378)+COUNTIF($E$7:E2194,E2194)-1</f>
        <v>2385</v>
      </c>
    </row>
    <row r="2195" customFormat="false" ht="14.25" hidden="false" customHeight="true" outlineLevel="0" collapsed="false">
      <c r="A2195" s="51" t="n">
        <v>15304</v>
      </c>
      <c r="B2195" s="53" t="n">
        <v>40826.4326388889</v>
      </c>
      <c r="C2195" s="57" t="n">
        <f aca="false">INT($C$2)-INT(Table3[[#This Row],[Last Purchase Date]])</f>
        <v>61</v>
      </c>
      <c r="D2195" s="1" t="n">
        <v>10</v>
      </c>
      <c r="E2195" s="1" t="n">
        <v>680.3</v>
      </c>
      <c r="F2195" s="1" t="n">
        <f aca="false">ROUND((1-_xlfn.PERCENTRANK.INC($C$7:$C$4378,C2195))*9,0)</f>
        <v>4</v>
      </c>
      <c r="G2195" s="1" t="n">
        <f aca="false">ROUND(_xlfn.PERCENTRANK.INC($D$7:$D$4378,D2195)*9,0)</f>
        <v>8</v>
      </c>
      <c r="H2195" s="1" t="n">
        <f aca="false">ROUND(_xlfn.PERCENTRANK.INC($E$7:$E$4378,E2195)*9,0)</f>
        <v>5</v>
      </c>
      <c r="I2195" s="1" t="str">
        <f aca="false">CONCATENATE(F2195,G2195,H2195)</f>
        <v>485</v>
      </c>
      <c r="J2195" s="1" t="str">
        <f aca="false">_xlfn.IFS(AND(F2195&gt;=8,G2195&gt;=8,H2195&gt;=8),"CHAMPION",AND(F2195&gt;=6,G2195&gt;=7,H2195&gt;=6),"LOYAL CUSTOMER",AND(F2195&gt;=6,G2195&gt;=5,H2195&gt;=5),"POTENTIAL LOYALIST",AND(F2195&gt;=8,G2195&lt;=2,H2195&gt;=5),"NEW CUSTOMERS",AND(F2195&gt;=6,G2195&lt;=2,H2195&gt;=3),"PROMISING",AND(F2195&gt;=3,G2195&gt;=3,H2195&gt;=3),"NEED ATTENTION",AND(F2195&lt;=4,G2195&gt;=6,H2195&gt;=6),"AT RISK",AND(F2195&lt;=2,G2195&gt;=8,H2195&gt;=8),"CAN'T LOSE THEM",AND(F2195&lt;=2,G2195&lt;=2,H2195&lt;=2),"HIBERNATING",TRUE(),"Other")</f>
        <v>NEED ATTENTION</v>
      </c>
      <c r="K2195" s="1" t="n">
        <f aca="false">RANK(E2195,$E$7:$E$4378)+COUNTIF($E$7:E2195,E2195)-1</f>
        <v>2104</v>
      </c>
    </row>
    <row r="2196" customFormat="false" ht="14.25" hidden="false" customHeight="true" outlineLevel="0" collapsed="false">
      <c r="A2196" s="51" t="n">
        <v>15306</v>
      </c>
      <c r="B2196" s="53" t="n">
        <v>40822.5388888889</v>
      </c>
      <c r="C2196" s="57" t="n">
        <f aca="false">INT($C$2)-INT(Table3[[#This Row],[Last Purchase Date]])</f>
        <v>65</v>
      </c>
      <c r="D2196" s="1" t="n">
        <v>3</v>
      </c>
      <c r="E2196" s="1" t="n">
        <v>1174.35</v>
      </c>
      <c r="F2196" s="1" t="n">
        <f aca="false">ROUND((1-_xlfn.PERCENTRANK.INC($C$7:$C$4378,C2196))*9,0)</f>
        <v>4</v>
      </c>
      <c r="G2196" s="1" t="n">
        <f aca="false">ROUND(_xlfn.PERCENTRANK.INC($D$7:$D$4378,D2196)*9,0)</f>
        <v>4</v>
      </c>
      <c r="H2196" s="1" t="n">
        <f aca="false">ROUND(_xlfn.PERCENTRANK.INC($E$7:$E$4378,E2196)*9,0)</f>
        <v>6</v>
      </c>
      <c r="I2196" s="1" t="str">
        <f aca="false">CONCATENATE(F2196,G2196,H2196)</f>
        <v>446</v>
      </c>
      <c r="J2196" s="1" t="str">
        <f aca="false">_xlfn.IFS(AND(F2196&gt;=8,G2196&gt;=8,H2196&gt;=8),"CHAMPION",AND(F2196&gt;=6,G2196&gt;=7,H2196&gt;=6),"LOYAL CUSTOMER",AND(F2196&gt;=6,G2196&gt;=5,H2196&gt;=5),"POTENTIAL LOYALIST",AND(F2196&gt;=8,G2196&lt;=2,H2196&gt;=5),"NEW CUSTOMERS",AND(F2196&gt;=6,G2196&lt;=2,H2196&gt;=3),"PROMISING",AND(F2196&gt;=3,G2196&gt;=3,H2196&gt;=3),"NEED ATTENTION",AND(F2196&lt;=4,G2196&gt;=6,H2196&gt;=6),"AT RISK",AND(F2196&lt;=2,G2196&gt;=8,H2196&gt;=8),"CAN'T LOSE THEM",AND(F2196&lt;=2,G2196&lt;=2,H2196&lt;=2),"HIBERNATING",TRUE(),"Other")</f>
        <v>NEED ATTENTION</v>
      </c>
      <c r="K2196" s="1" t="n">
        <f aca="false">RANK(E2196,$E$7:$E$4378)+COUNTIF($E$7:E2196,E2196)-1</f>
        <v>1430</v>
      </c>
    </row>
    <row r="2197" customFormat="false" ht="14.25" hidden="false" customHeight="true" outlineLevel="0" collapsed="false">
      <c r="A2197" s="51" t="n">
        <v>15307</v>
      </c>
      <c r="B2197" s="53" t="n">
        <v>40791.4847222222</v>
      </c>
      <c r="C2197" s="57" t="n">
        <f aca="false">INT($C$2)-INT(Table3[[#This Row],[Last Purchase Date]])</f>
        <v>96</v>
      </c>
      <c r="D2197" s="1" t="n">
        <v>1</v>
      </c>
      <c r="E2197" s="1" t="n">
        <v>205.3</v>
      </c>
      <c r="F2197" s="1" t="n">
        <f aca="false">ROUND((1-_xlfn.PERCENTRANK.INC($C$7:$C$4378,C2197))*9,0)</f>
        <v>3</v>
      </c>
      <c r="G2197" s="1" t="n">
        <f aca="false">ROUND(_xlfn.PERCENTRANK.INC($D$7:$D$4378,D2197)*9,0)</f>
        <v>0</v>
      </c>
      <c r="H2197" s="1" t="n">
        <f aca="false">ROUND(_xlfn.PERCENTRANK.INC($E$7:$E$4378,E2197)*9,0)</f>
        <v>2</v>
      </c>
      <c r="I2197" s="1" t="str">
        <f aca="false">CONCATENATE(F2197,G2197,H2197)</f>
        <v>302</v>
      </c>
      <c r="J2197" s="1" t="str">
        <f aca="false">_xlfn.IFS(AND(F2197&gt;=8,G2197&gt;=8,H2197&gt;=8),"CHAMPION",AND(F2197&gt;=6,G2197&gt;=7,H2197&gt;=6),"LOYAL CUSTOMER",AND(F2197&gt;=6,G2197&gt;=5,H2197&gt;=5),"POTENTIAL LOYALIST",AND(F2197&gt;=8,G2197&lt;=2,H2197&gt;=5),"NEW CUSTOMERS",AND(F2197&gt;=6,G2197&lt;=2,H2197&gt;=3),"PROMISING",AND(F2197&gt;=3,G2197&gt;=3,H2197&gt;=3),"NEED ATTENTION",AND(F2197&lt;=4,G2197&gt;=6,H2197&gt;=6),"AT RISK",AND(F2197&lt;=2,G2197&gt;=8,H2197&gt;=8),"CAN'T LOSE THEM",AND(F2197&lt;=2,G2197&lt;=2,H2197&lt;=2),"HIBERNATING",TRUE(),"Other")</f>
        <v>Other</v>
      </c>
      <c r="K2197" s="1" t="n">
        <f aca="false">RANK(E2197,$E$7:$E$4378)+COUNTIF($E$7:E2197,E2197)-1</f>
        <v>3635</v>
      </c>
    </row>
    <row r="2198" customFormat="false" ht="14.25" hidden="false" customHeight="true" outlineLevel="0" collapsed="false">
      <c r="A2198" s="51" t="n">
        <v>15308</v>
      </c>
      <c r="B2198" s="53" t="n">
        <v>40616.5166666667</v>
      </c>
      <c r="C2198" s="57" t="n">
        <f aca="false">INT($C$2)-INT(Table3[[#This Row],[Last Purchase Date]])</f>
        <v>271</v>
      </c>
      <c r="D2198" s="1" t="n">
        <v>2</v>
      </c>
      <c r="E2198" s="1" t="n">
        <v>302.27</v>
      </c>
      <c r="F2198" s="1" t="n">
        <f aca="false">ROUND((1-_xlfn.PERCENTRANK.INC($C$7:$C$4378,C2198))*9,0)</f>
        <v>1</v>
      </c>
      <c r="G2198" s="1" t="n">
        <f aca="false">ROUND(_xlfn.PERCENTRANK.INC($D$7:$D$4378,D2198)*9,0)</f>
        <v>3</v>
      </c>
      <c r="H2198" s="1" t="n">
        <f aca="false">ROUND(_xlfn.PERCENTRANK.INC($E$7:$E$4378,E2198)*9,0)</f>
        <v>2</v>
      </c>
      <c r="I2198" s="1" t="str">
        <f aca="false">CONCATENATE(F2198,G2198,H2198)</f>
        <v>132</v>
      </c>
      <c r="J2198" s="1" t="str">
        <f aca="false">_xlfn.IFS(AND(F2198&gt;=8,G2198&gt;=8,H2198&gt;=8),"CHAMPION",AND(F2198&gt;=6,G2198&gt;=7,H2198&gt;=6),"LOYAL CUSTOMER",AND(F2198&gt;=6,G2198&gt;=5,H2198&gt;=5),"POTENTIAL LOYALIST",AND(F2198&gt;=8,G2198&lt;=2,H2198&gt;=5),"NEW CUSTOMERS",AND(F2198&gt;=6,G2198&lt;=2,H2198&gt;=3),"PROMISING",AND(F2198&gt;=3,G2198&gt;=3,H2198&gt;=3),"NEED ATTENTION",AND(F2198&lt;=4,G2198&gt;=6,H2198&gt;=6),"AT RISK",AND(F2198&lt;=2,G2198&gt;=8,H2198&gt;=8),"CAN'T LOSE THEM",AND(F2198&lt;=2,G2198&lt;=2,H2198&lt;=2),"HIBERNATING",TRUE(),"Other")</f>
        <v>Other</v>
      </c>
      <c r="K2198" s="1" t="n">
        <f aca="false">RANK(E2198,$E$7:$E$4378)+COUNTIF($E$7:E2198,E2198)-1</f>
        <v>3242</v>
      </c>
    </row>
    <row r="2199" customFormat="false" ht="14.25" hidden="false" customHeight="true" outlineLevel="0" collapsed="false">
      <c r="A2199" s="51" t="n">
        <v>15311</v>
      </c>
      <c r="B2199" s="53" t="n">
        <v>40886.5</v>
      </c>
      <c r="C2199" s="57" t="n">
        <f aca="false">INT($C$2)-INT(Table3[[#This Row],[Last Purchase Date]])</f>
        <v>1</v>
      </c>
      <c r="D2199" s="1" t="n">
        <v>118</v>
      </c>
      <c r="E2199" s="1" t="n">
        <v>59419.3400000001</v>
      </c>
      <c r="F2199" s="1" t="n">
        <f aca="false">ROUND((1-_xlfn.PERCENTRANK.INC($C$7:$C$4378,C2199))*9,0)</f>
        <v>9</v>
      </c>
      <c r="G2199" s="1" t="n">
        <f aca="false">ROUND(_xlfn.PERCENTRANK.INC($D$7:$D$4378,D2199)*9,0)</f>
        <v>9</v>
      </c>
      <c r="H2199" s="1" t="n">
        <f aca="false">ROUND(_xlfn.PERCENTRANK.INC($E$7:$E$4378,E2199)*9,0)</f>
        <v>9</v>
      </c>
      <c r="I2199" s="1" t="str">
        <f aca="false">CONCATENATE(F2199,G2199,H2199)</f>
        <v>999</v>
      </c>
      <c r="J2199" s="1" t="str">
        <f aca="false">_xlfn.IFS(AND(F2199&gt;=8,G2199&gt;=8,H2199&gt;=8),"CHAMPION",AND(F2199&gt;=6,G2199&gt;=7,H2199&gt;=6),"LOYAL CUSTOMER",AND(F2199&gt;=6,G2199&gt;=5,H2199&gt;=5),"POTENTIAL LOYALIST",AND(F2199&gt;=8,G2199&lt;=2,H2199&gt;=5),"NEW CUSTOMERS",AND(F2199&gt;=6,G2199&lt;=2,H2199&gt;=3),"PROMISING",AND(F2199&gt;=3,G2199&gt;=3,H2199&gt;=3),"NEED ATTENTION",AND(F2199&lt;=4,G2199&gt;=6,H2199&gt;=6),"AT RISK",AND(F2199&lt;=2,G2199&gt;=8,H2199&gt;=8),"CAN'T LOSE THEM",AND(F2199&lt;=2,G2199&lt;=2,H2199&lt;=2),"HIBERNATING",TRUE(),"Other")</f>
        <v>CHAMPION</v>
      </c>
      <c r="K2199" s="1" t="n">
        <f aca="false">RANK(E2199,$E$7:$E$4378)+COUNTIF($E$7:E2199,E2199)-1</f>
        <v>10</v>
      </c>
    </row>
    <row r="2200" customFormat="false" ht="14.25" hidden="false" customHeight="true" outlineLevel="0" collapsed="false">
      <c r="A2200" s="51" t="n">
        <v>15312</v>
      </c>
      <c r="B2200" s="53" t="n">
        <v>40811.5486111111</v>
      </c>
      <c r="C2200" s="57" t="n">
        <f aca="false">INT($C$2)-INT(Table3[[#This Row],[Last Purchase Date]])</f>
        <v>76</v>
      </c>
      <c r="D2200" s="1" t="n">
        <v>5</v>
      </c>
      <c r="E2200" s="1" t="n">
        <v>921.1</v>
      </c>
      <c r="F2200" s="1" t="n">
        <f aca="false">ROUND((1-_xlfn.PERCENTRANK.INC($C$7:$C$4378,C2200))*9,0)</f>
        <v>3</v>
      </c>
      <c r="G2200" s="1" t="n">
        <f aca="false">ROUND(_xlfn.PERCENTRANK.INC($D$7:$D$4378,D2200)*9,0)</f>
        <v>6</v>
      </c>
      <c r="H2200" s="1" t="n">
        <f aca="false">ROUND(_xlfn.PERCENTRANK.INC($E$7:$E$4378,E2200)*9,0)</f>
        <v>5</v>
      </c>
      <c r="I2200" s="1" t="str">
        <f aca="false">CONCATENATE(F2200,G2200,H2200)</f>
        <v>365</v>
      </c>
      <c r="J2200" s="1" t="str">
        <f aca="false">_xlfn.IFS(AND(F2200&gt;=8,G2200&gt;=8,H2200&gt;=8),"CHAMPION",AND(F2200&gt;=6,G2200&gt;=7,H2200&gt;=6),"LOYAL CUSTOMER",AND(F2200&gt;=6,G2200&gt;=5,H2200&gt;=5),"POTENTIAL LOYALIST",AND(F2200&gt;=8,G2200&lt;=2,H2200&gt;=5),"NEW CUSTOMERS",AND(F2200&gt;=6,G2200&lt;=2,H2200&gt;=3),"PROMISING",AND(F2200&gt;=3,G2200&gt;=3,H2200&gt;=3),"NEED ATTENTION",AND(F2200&lt;=4,G2200&gt;=6,H2200&gt;=6),"AT RISK",AND(F2200&lt;=2,G2200&gt;=8,H2200&gt;=8),"CAN'T LOSE THEM",AND(F2200&lt;=2,G2200&lt;=2,H2200&lt;=2),"HIBERNATING",TRUE(),"Other")</f>
        <v>NEED ATTENTION</v>
      </c>
      <c r="K2200" s="1" t="n">
        <f aca="false">RANK(E2200,$E$7:$E$4378)+COUNTIF($E$7:E2200,E2200)-1</f>
        <v>1726</v>
      </c>
    </row>
    <row r="2201" customFormat="false" ht="14.25" hidden="false" customHeight="true" outlineLevel="0" collapsed="false">
      <c r="A2201" s="51" t="n">
        <v>15313</v>
      </c>
      <c r="B2201" s="53" t="n">
        <v>40776.6680555556</v>
      </c>
      <c r="C2201" s="57" t="n">
        <f aca="false">INT($C$2)-INT(Table3[[#This Row],[Last Purchase Date]])</f>
        <v>111</v>
      </c>
      <c r="D2201" s="1" t="n">
        <v>1</v>
      </c>
      <c r="E2201" s="1" t="n">
        <v>52</v>
      </c>
      <c r="F2201" s="1" t="n">
        <f aca="false">ROUND((1-_xlfn.PERCENTRANK.INC($C$7:$C$4378,C2201))*9,0)</f>
        <v>3</v>
      </c>
      <c r="G2201" s="1" t="n">
        <f aca="false">ROUND(_xlfn.PERCENTRANK.INC($D$7:$D$4378,D2201)*9,0)</f>
        <v>0</v>
      </c>
      <c r="H2201" s="1" t="n">
        <f aca="false">ROUND(_xlfn.PERCENTRANK.INC($E$7:$E$4378,E2201)*9,0)</f>
        <v>0</v>
      </c>
      <c r="I2201" s="1" t="str">
        <f aca="false">CONCATENATE(F2201,G2201,H2201)</f>
        <v>300</v>
      </c>
      <c r="J2201" s="1" t="str">
        <f aca="false">_xlfn.IFS(AND(F2201&gt;=8,G2201&gt;=8,H2201&gt;=8),"CHAMPION",AND(F2201&gt;=6,G2201&gt;=7,H2201&gt;=6),"LOYAL CUSTOMER",AND(F2201&gt;=6,G2201&gt;=5,H2201&gt;=5),"POTENTIAL LOYALIST",AND(F2201&gt;=8,G2201&lt;=2,H2201&gt;=5),"NEW CUSTOMERS",AND(F2201&gt;=6,G2201&lt;=2,H2201&gt;=3),"PROMISING",AND(F2201&gt;=3,G2201&gt;=3,H2201&gt;=3),"NEED ATTENTION",AND(F2201&lt;=4,G2201&gt;=6,H2201&gt;=6),"AT RISK",AND(F2201&lt;=2,G2201&gt;=8,H2201&gt;=8),"CAN'T LOSE THEM",AND(F2201&lt;=2,G2201&lt;=2,H2201&lt;=2),"HIBERNATING",TRUE(),"Other")</f>
        <v>Other</v>
      </c>
      <c r="K2201" s="1" t="n">
        <f aca="false">RANK(E2201,$E$7:$E$4378)+COUNTIF($E$7:E2201,E2201)-1</f>
        <v>4278</v>
      </c>
    </row>
    <row r="2202" customFormat="false" ht="14.25" hidden="false" customHeight="true" outlineLevel="0" collapsed="false">
      <c r="A2202" s="51" t="n">
        <v>15314</v>
      </c>
      <c r="B2202" s="53" t="n">
        <v>40687.6104166667</v>
      </c>
      <c r="C2202" s="57" t="n">
        <f aca="false">INT($C$2)-INT(Table3[[#This Row],[Last Purchase Date]])</f>
        <v>200</v>
      </c>
      <c r="D2202" s="1" t="n">
        <v>1</v>
      </c>
      <c r="E2202" s="1" t="n">
        <v>327.97</v>
      </c>
      <c r="F2202" s="1" t="n">
        <f aca="false">ROUND((1-_xlfn.PERCENTRANK.INC($C$7:$C$4378,C2202))*9,0)</f>
        <v>2</v>
      </c>
      <c r="G2202" s="1" t="n">
        <f aca="false">ROUND(_xlfn.PERCENTRANK.INC($D$7:$D$4378,D2202)*9,0)</f>
        <v>0</v>
      </c>
      <c r="H2202" s="1" t="n">
        <f aca="false">ROUND(_xlfn.PERCENTRANK.INC($E$7:$E$4378,E2202)*9,0)</f>
        <v>3</v>
      </c>
      <c r="I2202" s="1" t="str">
        <f aca="false">CONCATENATE(F2202,G2202,H2202)</f>
        <v>203</v>
      </c>
      <c r="J2202" s="1" t="str">
        <f aca="false">_xlfn.IFS(AND(F2202&gt;=8,G2202&gt;=8,H2202&gt;=8),"CHAMPION",AND(F2202&gt;=6,G2202&gt;=7,H2202&gt;=6),"LOYAL CUSTOMER",AND(F2202&gt;=6,G2202&gt;=5,H2202&gt;=5),"POTENTIAL LOYALIST",AND(F2202&gt;=8,G2202&lt;=2,H2202&gt;=5),"NEW CUSTOMERS",AND(F2202&gt;=6,G2202&lt;=2,H2202&gt;=3),"PROMISING",AND(F2202&gt;=3,G2202&gt;=3,H2202&gt;=3),"NEED ATTENTION",AND(F2202&lt;=4,G2202&gt;=6,H2202&gt;=6),"AT RISK",AND(F2202&lt;=2,G2202&gt;=8,H2202&gt;=8),"CAN'T LOSE THEM",AND(F2202&lt;=2,G2202&lt;=2,H2202&lt;=2),"HIBERNATING",TRUE(),"Other")</f>
        <v>Other</v>
      </c>
      <c r="K2202" s="1" t="n">
        <f aca="false">RANK(E2202,$E$7:$E$4378)+COUNTIF($E$7:E2202,E2202)-1</f>
        <v>3105</v>
      </c>
    </row>
    <row r="2203" customFormat="false" ht="14.25" hidden="false" customHeight="true" outlineLevel="0" collapsed="false">
      <c r="A2203" s="51" t="n">
        <v>15315</v>
      </c>
      <c r="B2203" s="53" t="n">
        <v>40822.5354166667</v>
      </c>
      <c r="C2203" s="57" t="n">
        <f aca="false">INT($C$2)-INT(Table3[[#This Row],[Last Purchase Date]])</f>
        <v>65</v>
      </c>
      <c r="D2203" s="1" t="n">
        <v>3</v>
      </c>
      <c r="E2203" s="1" t="n">
        <v>551.54</v>
      </c>
      <c r="F2203" s="1" t="n">
        <f aca="false">ROUND((1-_xlfn.PERCENTRANK.INC($C$7:$C$4378,C2203))*9,0)</f>
        <v>4</v>
      </c>
      <c r="G2203" s="1" t="n">
        <f aca="false">ROUND(_xlfn.PERCENTRANK.INC($D$7:$D$4378,D2203)*9,0)</f>
        <v>4</v>
      </c>
      <c r="H2203" s="1" t="n">
        <f aca="false">ROUND(_xlfn.PERCENTRANK.INC($E$7:$E$4378,E2203)*9,0)</f>
        <v>4</v>
      </c>
      <c r="I2203" s="1" t="str">
        <f aca="false">CONCATENATE(F2203,G2203,H2203)</f>
        <v>444</v>
      </c>
      <c r="J2203" s="1" t="str">
        <f aca="false">_xlfn.IFS(AND(F2203&gt;=8,G2203&gt;=8,H2203&gt;=8),"CHAMPION",AND(F2203&gt;=6,G2203&gt;=7,H2203&gt;=6),"LOYAL CUSTOMER",AND(F2203&gt;=6,G2203&gt;=5,H2203&gt;=5),"POTENTIAL LOYALIST",AND(F2203&gt;=8,G2203&lt;=2,H2203&gt;=5),"NEW CUSTOMERS",AND(F2203&gt;=6,G2203&lt;=2,H2203&gt;=3),"PROMISING",AND(F2203&gt;=3,G2203&gt;=3,H2203&gt;=3),"NEED ATTENTION",AND(F2203&lt;=4,G2203&gt;=6,H2203&gt;=6),"AT RISK",AND(F2203&lt;=2,G2203&gt;=8,H2203&gt;=8),"CAN'T LOSE THEM",AND(F2203&lt;=2,G2203&lt;=2,H2203&lt;=2),"HIBERNATING",TRUE(),"Other")</f>
        <v>NEED ATTENTION</v>
      </c>
      <c r="K2203" s="1" t="n">
        <f aca="false">RANK(E2203,$E$7:$E$4378)+COUNTIF($E$7:E2203,E2203)-1</f>
        <v>2427</v>
      </c>
    </row>
    <row r="2204" customFormat="false" ht="14.25" hidden="false" customHeight="true" outlineLevel="0" collapsed="false">
      <c r="A2204" s="51" t="n">
        <v>15316</v>
      </c>
      <c r="B2204" s="53" t="n">
        <v>40560.4819444444</v>
      </c>
      <c r="C2204" s="57" t="n">
        <f aca="false">INT($C$2)-INT(Table3[[#This Row],[Last Purchase Date]])</f>
        <v>327</v>
      </c>
      <c r="D2204" s="1" t="n">
        <v>1</v>
      </c>
      <c r="E2204" s="1" t="n">
        <v>165</v>
      </c>
      <c r="F2204" s="1" t="n">
        <f aca="false">ROUND((1-_xlfn.PERCENTRANK.INC($C$7:$C$4378,C2204))*9,0)</f>
        <v>0</v>
      </c>
      <c r="G2204" s="1" t="n">
        <f aca="false">ROUND(_xlfn.PERCENTRANK.INC($D$7:$D$4378,D2204)*9,0)</f>
        <v>0</v>
      </c>
      <c r="H2204" s="1" t="n">
        <f aca="false">ROUND(_xlfn.PERCENTRANK.INC($E$7:$E$4378,E2204)*9,0)</f>
        <v>1</v>
      </c>
      <c r="I2204" s="1" t="str">
        <f aca="false">CONCATENATE(F2204,G2204,H2204)</f>
        <v>001</v>
      </c>
      <c r="J2204" s="1" t="str">
        <f aca="false">_xlfn.IFS(AND(F2204&gt;=8,G2204&gt;=8,H2204&gt;=8),"CHAMPION",AND(F2204&gt;=6,G2204&gt;=7,H2204&gt;=6),"LOYAL CUSTOMER",AND(F2204&gt;=6,G2204&gt;=5,H2204&gt;=5),"POTENTIAL LOYALIST",AND(F2204&gt;=8,G2204&lt;=2,H2204&gt;=5),"NEW CUSTOMERS",AND(F2204&gt;=6,G2204&lt;=2,H2204&gt;=3),"PROMISING",AND(F2204&gt;=3,G2204&gt;=3,H2204&gt;=3),"NEED ATTENTION",AND(F2204&lt;=4,G2204&gt;=6,H2204&gt;=6),"AT RISK",AND(F2204&lt;=2,G2204&gt;=8,H2204&gt;=8),"CAN'T LOSE THEM",AND(F2204&lt;=2,G2204&lt;=2,H2204&lt;=2),"HIBERNATING",TRUE(),"Other")</f>
        <v>HIBERNATING</v>
      </c>
      <c r="K2204" s="1" t="n">
        <f aca="false">RANK(E2204,$E$7:$E$4378)+COUNTIF($E$7:E2204,E2204)-1</f>
        <v>3832</v>
      </c>
    </row>
    <row r="2205" customFormat="false" ht="14.25" hidden="false" customHeight="true" outlineLevel="0" collapsed="false">
      <c r="A2205" s="51" t="n">
        <v>15318</v>
      </c>
      <c r="B2205" s="53" t="n">
        <v>40883.4791666667</v>
      </c>
      <c r="C2205" s="57" t="n">
        <f aca="false">INT($C$2)-INT(Table3[[#This Row],[Last Purchase Date]])</f>
        <v>4</v>
      </c>
      <c r="D2205" s="1" t="n">
        <v>1</v>
      </c>
      <c r="E2205" s="1" t="n">
        <v>312.62</v>
      </c>
      <c r="F2205" s="1" t="n">
        <f aca="false">ROUND((1-_xlfn.PERCENTRANK.INC($C$7:$C$4378,C2205))*9,0)</f>
        <v>8</v>
      </c>
      <c r="G2205" s="1" t="n">
        <f aca="false">ROUND(_xlfn.PERCENTRANK.INC($D$7:$D$4378,D2205)*9,0)</f>
        <v>0</v>
      </c>
      <c r="H2205" s="1" t="n">
        <f aca="false">ROUND(_xlfn.PERCENTRANK.INC($E$7:$E$4378,E2205)*9,0)</f>
        <v>2</v>
      </c>
      <c r="I2205" s="1" t="str">
        <f aca="false">CONCATENATE(F2205,G2205,H2205)</f>
        <v>802</v>
      </c>
      <c r="J2205" s="1" t="str">
        <f aca="false">_xlfn.IFS(AND(F2205&gt;=8,G2205&gt;=8,H2205&gt;=8),"CHAMPION",AND(F2205&gt;=6,G2205&gt;=7,H2205&gt;=6),"LOYAL CUSTOMER",AND(F2205&gt;=6,G2205&gt;=5,H2205&gt;=5),"POTENTIAL LOYALIST",AND(F2205&gt;=8,G2205&lt;=2,H2205&gt;=5),"NEW CUSTOMERS",AND(F2205&gt;=6,G2205&lt;=2,H2205&gt;=3),"PROMISING",AND(F2205&gt;=3,G2205&gt;=3,H2205&gt;=3),"NEED ATTENTION",AND(F2205&lt;=4,G2205&gt;=6,H2205&gt;=6),"AT RISK",AND(F2205&lt;=2,G2205&gt;=8,H2205&gt;=8),"CAN'T LOSE THEM",AND(F2205&lt;=2,G2205&lt;=2,H2205&lt;=2),"HIBERNATING",TRUE(),"Other")</f>
        <v>Other</v>
      </c>
      <c r="K2205" s="1" t="n">
        <f aca="false">RANK(E2205,$E$7:$E$4378)+COUNTIF($E$7:E2205,E2205)-1</f>
        <v>3177</v>
      </c>
    </row>
    <row r="2206" customFormat="false" ht="14.25" hidden="false" customHeight="true" outlineLevel="0" collapsed="false">
      <c r="A2206" s="51" t="n">
        <v>15319</v>
      </c>
      <c r="B2206" s="53" t="n">
        <v>40603.5333333333</v>
      </c>
      <c r="C2206" s="57" t="n">
        <f aca="false">INT($C$2)-INT(Table3[[#This Row],[Last Purchase Date]])</f>
        <v>284</v>
      </c>
      <c r="D2206" s="1" t="n">
        <v>1</v>
      </c>
      <c r="E2206" s="1" t="n">
        <v>204.5</v>
      </c>
      <c r="F2206" s="1" t="n">
        <f aca="false">ROUND((1-_xlfn.PERCENTRANK.INC($C$7:$C$4378,C2206))*9,0)</f>
        <v>1</v>
      </c>
      <c r="G2206" s="1" t="n">
        <f aca="false">ROUND(_xlfn.PERCENTRANK.INC($D$7:$D$4378,D2206)*9,0)</f>
        <v>0</v>
      </c>
      <c r="H2206" s="1" t="n">
        <f aca="false">ROUND(_xlfn.PERCENTRANK.INC($E$7:$E$4378,E2206)*9,0)</f>
        <v>2</v>
      </c>
      <c r="I2206" s="1" t="str">
        <f aca="false">CONCATENATE(F2206,G2206,H2206)</f>
        <v>102</v>
      </c>
      <c r="J2206" s="1" t="str">
        <f aca="false">_xlfn.IFS(AND(F2206&gt;=8,G2206&gt;=8,H2206&gt;=8),"CHAMPION",AND(F2206&gt;=6,G2206&gt;=7,H2206&gt;=6),"LOYAL CUSTOMER",AND(F2206&gt;=6,G2206&gt;=5,H2206&gt;=5),"POTENTIAL LOYALIST",AND(F2206&gt;=8,G2206&lt;=2,H2206&gt;=5),"NEW CUSTOMERS",AND(F2206&gt;=6,G2206&lt;=2,H2206&gt;=3),"PROMISING",AND(F2206&gt;=3,G2206&gt;=3,H2206&gt;=3),"NEED ATTENTION",AND(F2206&lt;=4,G2206&gt;=6,H2206&gt;=6),"AT RISK",AND(F2206&lt;=2,G2206&gt;=8,H2206&gt;=8),"CAN'T LOSE THEM",AND(F2206&lt;=2,G2206&lt;=2,H2206&lt;=2),"HIBERNATING",TRUE(),"Other")</f>
        <v>HIBERNATING</v>
      </c>
      <c r="K2206" s="1" t="n">
        <f aca="false">RANK(E2206,$E$7:$E$4378)+COUNTIF($E$7:E2206,E2206)-1</f>
        <v>3638</v>
      </c>
    </row>
    <row r="2207" customFormat="false" ht="14.25" hidden="false" customHeight="true" outlineLevel="0" collapsed="false">
      <c r="A2207" s="51" t="n">
        <v>15320</v>
      </c>
      <c r="B2207" s="53" t="n">
        <v>40842.5604166667</v>
      </c>
      <c r="C2207" s="57" t="n">
        <f aca="false">INT($C$2)-INT(Table3[[#This Row],[Last Purchase Date]])</f>
        <v>45</v>
      </c>
      <c r="D2207" s="1" t="n">
        <v>1</v>
      </c>
      <c r="E2207" s="1" t="n">
        <v>267.13</v>
      </c>
      <c r="F2207" s="1" t="n">
        <f aca="false">ROUND((1-_xlfn.PERCENTRANK.INC($C$7:$C$4378,C2207))*9,0)</f>
        <v>5</v>
      </c>
      <c r="G2207" s="1" t="n">
        <f aca="false">ROUND(_xlfn.PERCENTRANK.INC($D$7:$D$4378,D2207)*9,0)</f>
        <v>0</v>
      </c>
      <c r="H2207" s="1" t="n">
        <f aca="false">ROUND(_xlfn.PERCENTRANK.INC($E$7:$E$4378,E2207)*9,0)</f>
        <v>2</v>
      </c>
      <c r="I2207" s="1" t="str">
        <f aca="false">CONCATENATE(F2207,G2207,H2207)</f>
        <v>502</v>
      </c>
      <c r="J2207" s="1" t="str">
        <f aca="false">_xlfn.IFS(AND(F2207&gt;=8,G2207&gt;=8,H2207&gt;=8),"CHAMPION",AND(F2207&gt;=6,G2207&gt;=7,H2207&gt;=6),"LOYAL CUSTOMER",AND(F2207&gt;=6,G2207&gt;=5,H2207&gt;=5),"POTENTIAL LOYALIST",AND(F2207&gt;=8,G2207&lt;=2,H2207&gt;=5),"NEW CUSTOMERS",AND(F2207&gt;=6,G2207&lt;=2,H2207&gt;=3),"PROMISING",AND(F2207&gt;=3,G2207&gt;=3,H2207&gt;=3),"NEED ATTENTION",AND(F2207&lt;=4,G2207&gt;=6,H2207&gt;=6),"AT RISK",AND(F2207&lt;=2,G2207&gt;=8,H2207&gt;=8),"CAN'T LOSE THEM",AND(F2207&lt;=2,G2207&lt;=2,H2207&lt;=2),"HIBERNATING",TRUE(),"Other")</f>
        <v>Other</v>
      </c>
      <c r="K2207" s="1" t="n">
        <f aca="false">RANK(E2207,$E$7:$E$4378)+COUNTIF($E$7:E2207,E2207)-1</f>
        <v>3370</v>
      </c>
    </row>
    <row r="2208" customFormat="false" ht="14.25" hidden="false" customHeight="true" outlineLevel="0" collapsed="false">
      <c r="A2208" s="51" t="n">
        <v>15321</v>
      </c>
      <c r="B2208" s="53" t="n">
        <v>40837.5819444444</v>
      </c>
      <c r="C2208" s="57" t="n">
        <f aca="false">INT($C$2)-INT(Table3[[#This Row],[Last Purchase Date]])</f>
        <v>50</v>
      </c>
      <c r="D2208" s="1" t="n">
        <v>4</v>
      </c>
      <c r="E2208" s="1" t="n">
        <v>2650.73</v>
      </c>
      <c r="F2208" s="1" t="n">
        <f aca="false">ROUND((1-_xlfn.PERCENTRANK.INC($C$7:$C$4378,C2208))*9,0)</f>
        <v>5</v>
      </c>
      <c r="G2208" s="1" t="n">
        <f aca="false">ROUND(_xlfn.PERCENTRANK.INC($D$7:$D$4378,D2208)*9,0)</f>
        <v>5</v>
      </c>
      <c r="H2208" s="1" t="n">
        <f aca="false">ROUND(_xlfn.PERCENTRANK.INC($E$7:$E$4378,E2208)*9,0)</f>
        <v>8</v>
      </c>
      <c r="I2208" s="1" t="str">
        <f aca="false">CONCATENATE(F2208,G2208,H2208)</f>
        <v>558</v>
      </c>
      <c r="J2208" s="1" t="str">
        <f aca="false">_xlfn.IFS(AND(F2208&gt;=8,G2208&gt;=8,H2208&gt;=8),"CHAMPION",AND(F2208&gt;=6,G2208&gt;=7,H2208&gt;=6),"LOYAL CUSTOMER",AND(F2208&gt;=6,G2208&gt;=5,H2208&gt;=5),"POTENTIAL LOYALIST",AND(F2208&gt;=8,G2208&lt;=2,H2208&gt;=5),"NEW CUSTOMERS",AND(F2208&gt;=6,G2208&lt;=2,H2208&gt;=3),"PROMISING",AND(F2208&gt;=3,G2208&gt;=3,H2208&gt;=3),"NEED ATTENTION",AND(F2208&lt;=4,G2208&gt;=6,H2208&gt;=6),"AT RISK",AND(F2208&lt;=2,G2208&gt;=8,H2208&gt;=8),"CAN'T LOSE THEM",AND(F2208&lt;=2,G2208&lt;=2,H2208&lt;=2),"HIBERNATING",TRUE(),"Other")</f>
        <v>NEED ATTENTION</v>
      </c>
      <c r="K2208" s="1" t="n">
        <f aca="false">RANK(E2208,$E$7:$E$4378)+COUNTIF($E$7:E2208,E2208)-1</f>
        <v>626</v>
      </c>
    </row>
    <row r="2209" customFormat="false" ht="14.25" hidden="false" customHeight="true" outlineLevel="0" collapsed="false">
      <c r="A2209" s="51" t="n">
        <v>15322</v>
      </c>
      <c r="B2209" s="53" t="n">
        <v>40822.8597222222</v>
      </c>
      <c r="C2209" s="57" t="n">
        <f aca="false">INT($C$2)-INT(Table3[[#This Row],[Last Purchase Date]])</f>
        <v>65</v>
      </c>
      <c r="D2209" s="1" t="n">
        <v>2</v>
      </c>
      <c r="E2209" s="1" t="n">
        <v>602.97</v>
      </c>
      <c r="F2209" s="1" t="n">
        <f aca="false">ROUND((1-_xlfn.PERCENTRANK.INC($C$7:$C$4378,C2209))*9,0)</f>
        <v>4</v>
      </c>
      <c r="G2209" s="1" t="n">
        <f aca="false">ROUND(_xlfn.PERCENTRANK.INC($D$7:$D$4378,D2209)*9,0)</f>
        <v>3</v>
      </c>
      <c r="H2209" s="1" t="n">
        <f aca="false">ROUND(_xlfn.PERCENTRANK.INC($E$7:$E$4378,E2209)*9,0)</f>
        <v>4</v>
      </c>
      <c r="I2209" s="1" t="str">
        <f aca="false">CONCATENATE(F2209,G2209,H2209)</f>
        <v>434</v>
      </c>
      <c r="J2209" s="1" t="str">
        <f aca="false">_xlfn.IFS(AND(F2209&gt;=8,G2209&gt;=8,H2209&gt;=8),"CHAMPION",AND(F2209&gt;=6,G2209&gt;=7,H2209&gt;=6),"LOYAL CUSTOMER",AND(F2209&gt;=6,G2209&gt;=5,H2209&gt;=5),"POTENTIAL LOYALIST",AND(F2209&gt;=8,G2209&lt;=2,H2209&gt;=5),"NEW CUSTOMERS",AND(F2209&gt;=6,G2209&lt;=2,H2209&gt;=3),"PROMISING",AND(F2209&gt;=3,G2209&gt;=3,H2209&gt;=3),"NEED ATTENTION",AND(F2209&lt;=4,G2209&gt;=6,H2209&gt;=6),"AT RISK",AND(F2209&lt;=2,G2209&gt;=8,H2209&gt;=8),"CAN'T LOSE THEM",AND(F2209&lt;=2,G2209&lt;=2,H2209&lt;=2),"HIBERNATING",TRUE(),"Other")</f>
        <v>NEED ATTENTION</v>
      </c>
      <c r="K2209" s="1" t="n">
        <f aca="false">RANK(E2209,$E$7:$E$4378)+COUNTIF($E$7:E2209,E2209)-1</f>
        <v>2308</v>
      </c>
    </row>
    <row r="2210" customFormat="false" ht="14.25" hidden="false" customHeight="true" outlineLevel="0" collapsed="false">
      <c r="A2210" s="51" t="n">
        <v>15325</v>
      </c>
      <c r="B2210" s="53" t="n">
        <v>40783.4965277778</v>
      </c>
      <c r="C2210" s="57" t="n">
        <f aca="false">INT($C$2)-INT(Table3[[#This Row],[Last Purchase Date]])</f>
        <v>104</v>
      </c>
      <c r="D2210" s="1" t="n">
        <v>1</v>
      </c>
      <c r="E2210" s="1" t="n">
        <v>162.29</v>
      </c>
      <c r="F2210" s="1" t="n">
        <f aca="false">ROUND((1-_xlfn.PERCENTRANK.INC($C$7:$C$4378,C2210))*9,0)</f>
        <v>3</v>
      </c>
      <c r="G2210" s="1" t="n">
        <f aca="false">ROUND(_xlfn.PERCENTRANK.INC($D$7:$D$4378,D2210)*9,0)</f>
        <v>0</v>
      </c>
      <c r="H2210" s="1" t="n">
        <f aca="false">ROUND(_xlfn.PERCENTRANK.INC($E$7:$E$4378,E2210)*9,0)</f>
        <v>1</v>
      </c>
      <c r="I2210" s="1" t="str">
        <f aca="false">CONCATENATE(F2210,G2210,H2210)</f>
        <v>301</v>
      </c>
      <c r="J2210" s="1" t="str">
        <f aca="false">_xlfn.IFS(AND(F2210&gt;=8,G2210&gt;=8,H2210&gt;=8),"CHAMPION",AND(F2210&gt;=6,G2210&gt;=7,H2210&gt;=6),"LOYAL CUSTOMER",AND(F2210&gt;=6,G2210&gt;=5,H2210&gt;=5),"POTENTIAL LOYALIST",AND(F2210&gt;=8,G2210&lt;=2,H2210&gt;=5),"NEW CUSTOMERS",AND(F2210&gt;=6,G2210&lt;=2,H2210&gt;=3),"PROMISING",AND(F2210&gt;=3,G2210&gt;=3,H2210&gt;=3),"NEED ATTENTION",AND(F2210&lt;=4,G2210&gt;=6,H2210&gt;=6),"AT RISK",AND(F2210&lt;=2,G2210&gt;=8,H2210&gt;=8),"CAN'T LOSE THEM",AND(F2210&lt;=2,G2210&lt;=2,H2210&lt;=2),"HIBERNATING",TRUE(),"Other")</f>
        <v>Other</v>
      </c>
      <c r="K2210" s="1" t="n">
        <f aca="false">RANK(E2210,$E$7:$E$4378)+COUNTIF($E$7:E2210,E2210)-1</f>
        <v>3845</v>
      </c>
    </row>
    <row r="2211" customFormat="false" ht="14.25" hidden="false" customHeight="true" outlineLevel="0" collapsed="false">
      <c r="A2211" s="51" t="n">
        <v>15326</v>
      </c>
      <c r="B2211" s="53" t="n">
        <v>40553.4847222222</v>
      </c>
      <c r="C2211" s="57" t="n">
        <f aca="false">INT($C$2)-INT(Table3[[#This Row],[Last Purchase Date]])</f>
        <v>334</v>
      </c>
      <c r="D2211" s="1" t="n">
        <v>1</v>
      </c>
      <c r="E2211" s="1" t="n">
        <v>311.71</v>
      </c>
      <c r="F2211" s="1" t="n">
        <f aca="false">ROUND((1-_xlfn.PERCENTRANK.INC($C$7:$C$4378,C2211))*9,0)</f>
        <v>0</v>
      </c>
      <c r="G2211" s="1" t="n">
        <f aca="false">ROUND(_xlfn.PERCENTRANK.INC($D$7:$D$4378,D2211)*9,0)</f>
        <v>0</v>
      </c>
      <c r="H2211" s="1" t="n">
        <f aca="false">ROUND(_xlfn.PERCENTRANK.INC($E$7:$E$4378,E2211)*9,0)</f>
        <v>2</v>
      </c>
      <c r="I2211" s="1" t="str">
        <f aca="false">CONCATENATE(F2211,G2211,H2211)</f>
        <v>002</v>
      </c>
      <c r="J2211" s="1" t="str">
        <f aca="false">_xlfn.IFS(AND(F2211&gt;=8,G2211&gt;=8,H2211&gt;=8),"CHAMPION",AND(F2211&gt;=6,G2211&gt;=7,H2211&gt;=6),"LOYAL CUSTOMER",AND(F2211&gt;=6,G2211&gt;=5,H2211&gt;=5),"POTENTIAL LOYALIST",AND(F2211&gt;=8,G2211&lt;=2,H2211&gt;=5),"NEW CUSTOMERS",AND(F2211&gt;=6,G2211&lt;=2,H2211&gt;=3),"PROMISING",AND(F2211&gt;=3,G2211&gt;=3,H2211&gt;=3),"NEED ATTENTION",AND(F2211&lt;=4,G2211&gt;=6,H2211&gt;=6),"AT RISK",AND(F2211&lt;=2,G2211&gt;=8,H2211&gt;=8),"CAN'T LOSE THEM",AND(F2211&lt;=2,G2211&lt;=2,H2211&lt;=2),"HIBERNATING",TRUE(),"Other")</f>
        <v>HIBERNATING</v>
      </c>
      <c r="K2211" s="1" t="n">
        <f aca="false">RANK(E2211,$E$7:$E$4378)+COUNTIF($E$7:E2211,E2211)-1</f>
        <v>3184</v>
      </c>
    </row>
    <row r="2212" customFormat="false" ht="14.25" hidden="false" customHeight="true" outlineLevel="0" collapsed="false">
      <c r="A2212" s="51" t="n">
        <v>15327</v>
      </c>
      <c r="B2212" s="53" t="n">
        <v>40834.4965277778</v>
      </c>
      <c r="C2212" s="57" t="n">
        <f aca="false">INT($C$2)-INT(Table3[[#This Row],[Last Purchase Date]])</f>
        <v>53</v>
      </c>
      <c r="D2212" s="1" t="n">
        <v>1</v>
      </c>
      <c r="E2212" s="1" t="n">
        <v>208.75</v>
      </c>
      <c r="F2212" s="1" t="n">
        <f aca="false">ROUND((1-_xlfn.PERCENTRANK.INC($C$7:$C$4378,C2212))*9,0)</f>
        <v>4</v>
      </c>
      <c r="G2212" s="1" t="n">
        <f aca="false">ROUND(_xlfn.PERCENTRANK.INC($D$7:$D$4378,D2212)*9,0)</f>
        <v>0</v>
      </c>
      <c r="H2212" s="1" t="n">
        <f aca="false">ROUND(_xlfn.PERCENTRANK.INC($E$7:$E$4378,E2212)*9,0)</f>
        <v>2</v>
      </c>
      <c r="I2212" s="1" t="str">
        <f aca="false">CONCATENATE(F2212,G2212,H2212)</f>
        <v>402</v>
      </c>
      <c r="J2212" s="1" t="str">
        <f aca="false">_xlfn.IFS(AND(F2212&gt;=8,G2212&gt;=8,H2212&gt;=8),"CHAMPION",AND(F2212&gt;=6,G2212&gt;=7,H2212&gt;=6),"LOYAL CUSTOMER",AND(F2212&gt;=6,G2212&gt;=5,H2212&gt;=5),"POTENTIAL LOYALIST",AND(F2212&gt;=8,G2212&lt;=2,H2212&gt;=5),"NEW CUSTOMERS",AND(F2212&gt;=6,G2212&lt;=2,H2212&gt;=3),"PROMISING",AND(F2212&gt;=3,G2212&gt;=3,H2212&gt;=3),"NEED ATTENTION",AND(F2212&lt;=4,G2212&gt;=6,H2212&gt;=6),"AT RISK",AND(F2212&lt;=2,G2212&gt;=8,H2212&gt;=8),"CAN'T LOSE THEM",AND(F2212&lt;=2,G2212&lt;=2,H2212&lt;=2),"HIBERNATING",TRUE(),"Other")</f>
        <v>Other</v>
      </c>
      <c r="K2212" s="1" t="n">
        <f aca="false">RANK(E2212,$E$7:$E$4378)+COUNTIF($E$7:E2212,E2212)-1</f>
        <v>3615</v>
      </c>
    </row>
    <row r="2213" customFormat="false" ht="14.25" hidden="false" customHeight="true" outlineLevel="0" collapsed="false">
      <c r="A2213" s="51" t="n">
        <v>15329</v>
      </c>
      <c r="B2213" s="53" t="n">
        <v>40851.5388888889</v>
      </c>
      <c r="C2213" s="57" t="n">
        <f aca="false">INT($C$2)-INT(Table3[[#This Row],[Last Purchase Date]])</f>
        <v>36</v>
      </c>
      <c r="D2213" s="1" t="n">
        <v>5</v>
      </c>
      <c r="E2213" s="1" t="n">
        <v>1005.5</v>
      </c>
      <c r="F2213" s="1" t="n">
        <f aca="false">ROUND((1-_xlfn.PERCENTRANK.INC($C$7:$C$4378,C2213))*9,0)</f>
        <v>5</v>
      </c>
      <c r="G2213" s="1" t="n">
        <f aca="false">ROUND(_xlfn.PERCENTRANK.INC($D$7:$D$4378,D2213)*9,0)</f>
        <v>6</v>
      </c>
      <c r="H2213" s="1" t="n">
        <f aca="false">ROUND(_xlfn.PERCENTRANK.INC($E$7:$E$4378,E2213)*9,0)</f>
        <v>6</v>
      </c>
      <c r="I2213" s="1" t="str">
        <f aca="false">CONCATENATE(F2213,G2213,H2213)</f>
        <v>566</v>
      </c>
      <c r="J2213" s="1" t="str">
        <f aca="false">_xlfn.IFS(AND(F2213&gt;=8,G2213&gt;=8,H2213&gt;=8),"CHAMPION",AND(F2213&gt;=6,G2213&gt;=7,H2213&gt;=6),"LOYAL CUSTOMER",AND(F2213&gt;=6,G2213&gt;=5,H2213&gt;=5),"POTENTIAL LOYALIST",AND(F2213&gt;=8,G2213&lt;=2,H2213&gt;=5),"NEW CUSTOMERS",AND(F2213&gt;=6,G2213&lt;=2,H2213&gt;=3),"PROMISING",AND(F2213&gt;=3,G2213&gt;=3,H2213&gt;=3),"NEED ATTENTION",AND(F2213&lt;=4,G2213&gt;=6,H2213&gt;=6),"AT RISK",AND(F2213&lt;=2,G2213&gt;=8,H2213&gt;=8),"CAN'T LOSE THEM",AND(F2213&lt;=2,G2213&lt;=2,H2213&lt;=2),"HIBERNATING",TRUE(),"Other")</f>
        <v>NEED ATTENTION</v>
      </c>
      <c r="K2213" s="1" t="n">
        <f aca="false">RANK(E2213,$E$7:$E$4378)+COUNTIF($E$7:E2213,E2213)-1</f>
        <v>1625</v>
      </c>
    </row>
    <row r="2214" customFormat="false" ht="14.25" hidden="false" customHeight="true" outlineLevel="0" collapsed="false">
      <c r="A2214" s="51" t="n">
        <v>15330</v>
      </c>
      <c r="B2214" s="53" t="n">
        <v>40854.7430555556</v>
      </c>
      <c r="C2214" s="57" t="n">
        <f aca="false">INT($C$2)-INT(Table3[[#This Row],[Last Purchase Date]])</f>
        <v>33</v>
      </c>
      <c r="D2214" s="1" t="n">
        <v>2</v>
      </c>
      <c r="E2214" s="1" t="n">
        <v>714.96</v>
      </c>
      <c r="F2214" s="1" t="n">
        <f aca="false">ROUND((1-_xlfn.PERCENTRANK.INC($C$7:$C$4378,C2214))*9,0)</f>
        <v>5</v>
      </c>
      <c r="G2214" s="1" t="n">
        <f aca="false">ROUND(_xlfn.PERCENTRANK.INC($D$7:$D$4378,D2214)*9,0)</f>
        <v>3</v>
      </c>
      <c r="H2214" s="1" t="n">
        <f aca="false">ROUND(_xlfn.PERCENTRANK.INC($E$7:$E$4378,E2214)*9,0)</f>
        <v>5</v>
      </c>
      <c r="I2214" s="1" t="str">
        <f aca="false">CONCATENATE(F2214,G2214,H2214)</f>
        <v>535</v>
      </c>
      <c r="J2214" s="1" t="str">
        <f aca="false">_xlfn.IFS(AND(F2214&gt;=8,G2214&gt;=8,H2214&gt;=8),"CHAMPION",AND(F2214&gt;=6,G2214&gt;=7,H2214&gt;=6),"LOYAL CUSTOMER",AND(F2214&gt;=6,G2214&gt;=5,H2214&gt;=5),"POTENTIAL LOYALIST",AND(F2214&gt;=8,G2214&lt;=2,H2214&gt;=5),"NEW CUSTOMERS",AND(F2214&gt;=6,G2214&lt;=2,H2214&gt;=3),"PROMISING",AND(F2214&gt;=3,G2214&gt;=3,H2214&gt;=3),"NEED ATTENTION",AND(F2214&lt;=4,G2214&gt;=6,H2214&gt;=6),"AT RISK",AND(F2214&lt;=2,G2214&gt;=8,H2214&gt;=8),"CAN'T LOSE THEM",AND(F2214&lt;=2,G2214&lt;=2,H2214&lt;=2),"HIBERNATING",TRUE(),"Other")</f>
        <v>NEED ATTENTION</v>
      </c>
      <c r="K2214" s="1" t="n">
        <f aca="false">RANK(E2214,$E$7:$E$4378)+COUNTIF($E$7:E2214,E2214)-1</f>
        <v>2036</v>
      </c>
    </row>
    <row r="2215" customFormat="false" ht="14.25" hidden="false" customHeight="true" outlineLevel="0" collapsed="false">
      <c r="A2215" s="51" t="n">
        <v>15332</v>
      </c>
      <c r="B2215" s="53" t="n">
        <v>40520.6131944444</v>
      </c>
      <c r="C2215" s="57" t="n">
        <f aca="false">INT($C$2)-INT(Table3[[#This Row],[Last Purchase Date]])</f>
        <v>367</v>
      </c>
      <c r="D2215" s="1" t="n">
        <v>4</v>
      </c>
      <c r="E2215" s="1" t="n">
        <v>1661.06</v>
      </c>
      <c r="F2215" s="1" t="n">
        <f aca="false">ROUND((1-_xlfn.PERCENTRANK.INC($C$7:$C$4378,C2215))*9,0)</f>
        <v>0</v>
      </c>
      <c r="G2215" s="1" t="n">
        <f aca="false">ROUND(_xlfn.PERCENTRANK.INC($D$7:$D$4378,D2215)*9,0)</f>
        <v>5</v>
      </c>
      <c r="H2215" s="1" t="n">
        <f aca="false">ROUND(_xlfn.PERCENTRANK.INC($E$7:$E$4378,E2215)*9,0)</f>
        <v>7</v>
      </c>
      <c r="I2215" s="1" t="str">
        <f aca="false">CONCATENATE(F2215,G2215,H2215)</f>
        <v>057</v>
      </c>
      <c r="J2215" s="1" t="str">
        <f aca="false">_xlfn.IFS(AND(F2215&gt;=8,G2215&gt;=8,H2215&gt;=8),"CHAMPION",AND(F2215&gt;=6,G2215&gt;=7,H2215&gt;=6),"LOYAL CUSTOMER",AND(F2215&gt;=6,G2215&gt;=5,H2215&gt;=5),"POTENTIAL LOYALIST",AND(F2215&gt;=8,G2215&lt;=2,H2215&gt;=5),"NEW CUSTOMERS",AND(F2215&gt;=6,G2215&lt;=2,H2215&gt;=3),"PROMISING",AND(F2215&gt;=3,G2215&gt;=3,H2215&gt;=3),"NEED ATTENTION",AND(F2215&lt;=4,G2215&gt;=6,H2215&gt;=6),"AT RISK",AND(F2215&lt;=2,G2215&gt;=8,H2215&gt;=8),"CAN'T LOSE THEM",AND(F2215&lt;=2,G2215&lt;=2,H2215&lt;=2),"HIBERNATING",TRUE(),"Other")</f>
        <v>Other</v>
      </c>
      <c r="K2215" s="1" t="n">
        <f aca="false">RANK(E2215,$E$7:$E$4378)+COUNTIF($E$7:E2215,E2215)-1</f>
        <v>1061</v>
      </c>
    </row>
    <row r="2216" customFormat="false" ht="14.25" hidden="false" customHeight="true" outlineLevel="0" collapsed="false">
      <c r="A2216" s="51" t="n">
        <v>15333</v>
      </c>
      <c r="B2216" s="53" t="n">
        <v>40678.5604166667</v>
      </c>
      <c r="C2216" s="57" t="n">
        <f aca="false">INT($C$2)-INT(Table3[[#This Row],[Last Purchase Date]])</f>
        <v>209</v>
      </c>
      <c r="D2216" s="1" t="n">
        <v>1</v>
      </c>
      <c r="E2216" s="1" t="n">
        <v>1028.56</v>
      </c>
      <c r="F2216" s="1" t="n">
        <f aca="false">ROUND((1-_xlfn.PERCENTRANK.INC($C$7:$C$4378,C2216))*9,0)</f>
        <v>1</v>
      </c>
      <c r="G2216" s="1" t="n">
        <f aca="false">ROUND(_xlfn.PERCENTRANK.INC($D$7:$D$4378,D2216)*9,0)</f>
        <v>0</v>
      </c>
      <c r="H2216" s="1" t="n">
        <f aca="false">ROUND(_xlfn.PERCENTRANK.INC($E$7:$E$4378,E2216)*9,0)</f>
        <v>6</v>
      </c>
      <c r="I2216" s="1" t="str">
        <f aca="false">CONCATENATE(F2216,G2216,H2216)</f>
        <v>106</v>
      </c>
      <c r="J2216" s="1" t="str">
        <f aca="false">_xlfn.IFS(AND(F2216&gt;=8,G2216&gt;=8,H2216&gt;=8),"CHAMPION",AND(F2216&gt;=6,G2216&gt;=7,H2216&gt;=6),"LOYAL CUSTOMER",AND(F2216&gt;=6,G2216&gt;=5,H2216&gt;=5),"POTENTIAL LOYALIST",AND(F2216&gt;=8,G2216&lt;=2,H2216&gt;=5),"NEW CUSTOMERS",AND(F2216&gt;=6,G2216&lt;=2,H2216&gt;=3),"PROMISING",AND(F2216&gt;=3,G2216&gt;=3,H2216&gt;=3),"NEED ATTENTION",AND(F2216&lt;=4,G2216&gt;=6,H2216&gt;=6),"AT RISK",AND(F2216&lt;=2,G2216&gt;=8,H2216&gt;=8),"CAN'T LOSE THEM",AND(F2216&lt;=2,G2216&lt;=2,H2216&lt;=2),"HIBERNATING",TRUE(),"Other")</f>
        <v>Other</v>
      </c>
      <c r="K2216" s="1" t="n">
        <f aca="false">RANK(E2216,$E$7:$E$4378)+COUNTIF($E$7:E2216,E2216)-1</f>
        <v>1596</v>
      </c>
    </row>
    <row r="2217" customFormat="false" ht="14.25" hidden="false" customHeight="true" outlineLevel="0" collapsed="false">
      <c r="A2217" s="51" t="n">
        <v>15334</v>
      </c>
      <c r="B2217" s="53" t="n">
        <v>40730.4736111111</v>
      </c>
      <c r="C2217" s="57" t="n">
        <f aca="false">INT($C$2)-INT(Table3[[#This Row],[Last Purchase Date]])</f>
        <v>157</v>
      </c>
      <c r="D2217" s="1" t="n">
        <v>3</v>
      </c>
      <c r="E2217" s="1" t="n">
        <v>351.67</v>
      </c>
      <c r="F2217" s="1" t="n">
        <f aca="false">ROUND((1-_xlfn.PERCENTRANK.INC($C$7:$C$4378,C2217))*9,0)</f>
        <v>2</v>
      </c>
      <c r="G2217" s="1" t="n">
        <f aca="false">ROUND(_xlfn.PERCENTRANK.INC($D$7:$D$4378,D2217)*9,0)</f>
        <v>4</v>
      </c>
      <c r="H2217" s="1" t="n">
        <f aca="false">ROUND(_xlfn.PERCENTRANK.INC($E$7:$E$4378,E2217)*9,0)</f>
        <v>3</v>
      </c>
      <c r="I2217" s="1" t="str">
        <f aca="false">CONCATENATE(F2217,G2217,H2217)</f>
        <v>243</v>
      </c>
      <c r="J2217" s="1" t="str">
        <f aca="false">_xlfn.IFS(AND(F2217&gt;=8,G2217&gt;=8,H2217&gt;=8),"CHAMPION",AND(F2217&gt;=6,G2217&gt;=7,H2217&gt;=6),"LOYAL CUSTOMER",AND(F2217&gt;=6,G2217&gt;=5,H2217&gt;=5),"POTENTIAL LOYALIST",AND(F2217&gt;=8,G2217&lt;=2,H2217&gt;=5),"NEW CUSTOMERS",AND(F2217&gt;=6,G2217&lt;=2,H2217&gt;=3),"PROMISING",AND(F2217&gt;=3,G2217&gt;=3,H2217&gt;=3),"NEED ATTENTION",AND(F2217&lt;=4,G2217&gt;=6,H2217&gt;=6),"AT RISK",AND(F2217&lt;=2,G2217&gt;=8,H2217&gt;=8),"CAN'T LOSE THEM",AND(F2217&lt;=2,G2217&lt;=2,H2217&lt;=2),"HIBERNATING",TRUE(),"Other")</f>
        <v>Other</v>
      </c>
      <c r="K2217" s="1" t="n">
        <f aca="false">RANK(E2217,$E$7:$E$4378)+COUNTIF($E$7:E2217,E2217)-1</f>
        <v>2997</v>
      </c>
    </row>
    <row r="2218" customFormat="false" ht="14.25" hidden="false" customHeight="true" outlineLevel="0" collapsed="false">
      <c r="A2218" s="51" t="n">
        <v>15335</v>
      </c>
      <c r="B2218" s="53" t="n">
        <v>40833.5347222222</v>
      </c>
      <c r="C2218" s="57" t="n">
        <f aca="false">INT($C$2)-INT(Table3[[#This Row],[Last Purchase Date]])</f>
        <v>54</v>
      </c>
      <c r="D2218" s="1" t="n">
        <v>1</v>
      </c>
      <c r="E2218" s="1" t="n">
        <v>173.97</v>
      </c>
      <c r="F2218" s="1" t="n">
        <f aca="false">ROUND((1-_xlfn.PERCENTRANK.INC($C$7:$C$4378,C2218))*9,0)</f>
        <v>4</v>
      </c>
      <c r="G2218" s="1" t="n">
        <f aca="false">ROUND(_xlfn.PERCENTRANK.INC($D$7:$D$4378,D2218)*9,0)</f>
        <v>0</v>
      </c>
      <c r="H2218" s="1" t="n">
        <f aca="false">ROUND(_xlfn.PERCENTRANK.INC($E$7:$E$4378,E2218)*9,0)</f>
        <v>1</v>
      </c>
      <c r="I2218" s="1" t="str">
        <f aca="false">CONCATENATE(F2218,G2218,H2218)</f>
        <v>401</v>
      </c>
      <c r="J2218" s="1" t="str">
        <f aca="false">_xlfn.IFS(AND(F2218&gt;=8,G2218&gt;=8,H2218&gt;=8),"CHAMPION",AND(F2218&gt;=6,G2218&gt;=7,H2218&gt;=6),"LOYAL CUSTOMER",AND(F2218&gt;=6,G2218&gt;=5,H2218&gt;=5),"POTENTIAL LOYALIST",AND(F2218&gt;=8,G2218&lt;=2,H2218&gt;=5),"NEW CUSTOMERS",AND(F2218&gt;=6,G2218&lt;=2,H2218&gt;=3),"PROMISING",AND(F2218&gt;=3,G2218&gt;=3,H2218&gt;=3),"NEED ATTENTION",AND(F2218&lt;=4,G2218&gt;=6,H2218&gt;=6),"AT RISK",AND(F2218&lt;=2,G2218&gt;=8,H2218&gt;=8),"CAN'T LOSE THEM",AND(F2218&lt;=2,G2218&lt;=2,H2218&lt;=2),"HIBERNATING",TRUE(),"Other")</f>
        <v>Other</v>
      </c>
      <c r="K2218" s="1" t="n">
        <f aca="false">RANK(E2218,$E$7:$E$4378)+COUNTIF($E$7:E2218,E2218)-1</f>
        <v>3785</v>
      </c>
    </row>
    <row r="2219" customFormat="false" ht="14.25" hidden="false" customHeight="true" outlineLevel="0" collapsed="false">
      <c r="A2219" s="51" t="n">
        <v>15339</v>
      </c>
      <c r="B2219" s="53" t="n">
        <v>40820.5354166667</v>
      </c>
      <c r="C2219" s="57" t="n">
        <f aca="false">INT($C$2)-INT(Table3[[#This Row],[Last Purchase Date]])</f>
        <v>67</v>
      </c>
      <c r="D2219" s="1" t="n">
        <v>3</v>
      </c>
      <c r="E2219" s="1" t="n">
        <v>557.57</v>
      </c>
      <c r="F2219" s="1" t="n">
        <f aca="false">ROUND((1-_xlfn.PERCENTRANK.INC($C$7:$C$4378,C2219))*9,0)</f>
        <v>4</v>
      </c>
      <c r="G2219" s="1" t="n">
        <f aca="false">ROUND(_xlfn.PERCENTRANK.INC($D$7:$D$4378,D2219)*9,0)</f>
        <v>4</v>
      </c>
      <c r="H2219" s="1" t="n">
        <f aca="false">ROUND(_xlfn.PERCENTRANK.INC($E$7:$E$4378,E2219)*9,0)</f>
        <v>4</v>
      </c>
      <c r="I2219" s="1" t="str">
        <f aca="false">CONCATENATE(F2219,G2219,H2219)</f>
        <v>444</v>
      </c>
      <c r="J2219" s="1" t="str">
        <f aca="false">_xlfn.IFS(AND(F2219&gt;=8,G2219&gt;=8,H2219&gt;=8),"CHAMPION",AND(F2219&gt;=6,G2219&gt;=7,H2219&gt;=6),"LOYAL CUSTOMER",AND(F2219&gt;=6,G2219&gt;=5,H2219&gt;=5),"POTENTIAL LOYALIST",AND(F2219&gt;=8,G2219&lt;=2,H2219&gt;=5),"NEW CUSTOMERS",AND(F2219&gt;=6,G2219&lt;=2,H2219&gt;=3),"PROMISING",AND(F2219&gt;=3,G2219&gt;=3,H2219&gt;=3),"NEED ATTENTION",AND(F2219&lt;=4,G2219&gt;=6,H2219&gt;=6),"AT RISK",AND(F2219&lt;=2,G2219&gt;=8,H2219&gt;=8),"CAN'T LOSE THEM",AND(F2219&lt;=2,G2219&lt;=2,H2219&lt;=2),"HIBERNATING",TRUE(),"Other")</f>
        <v>NEED ATTENTION</v>
      </c>
      <c r="K2219" s="1" t="n">
        <f aca="false">RANK(E2219,$E$7:$E$4378)+COUNTIF($E$7:E2219,E2219)-1</f>
        <v>2414</v>
      </c>
    </row>
    <row r="2220" customFormat="false" ht="14.25" hidden="false" customHeight="true" outlineLevel="0" collapsed="false">
      <c r="A2220" s="51" t="n">
        <v>15341</v>
      </c>
      <c r="B2220" s="53" t="n">
        <v>40806.4027777778</v>
      </c>
      <c r="C2220" s="57" t="n">
        <f aca="false">INT($C$2)-INT(Table3[[#This Row],[Last Purchase Date]])</f>
        <v>81</v>
      </c>
      <c r="D2220" s="1" t="n">
        <v>1</v>
      </c>
      <c r="E2220" s="1" t="n">
        <v>2020.52</v>
      </c>
      <c r="F2220" s="1" t="n">
        <f aca="false">ROUND((1-_xlfn.PERCENTRANK.INC($C$7:$C$4378,C2220))*9,0)</f>
        <v>3</v>
      </c>
      <c r="G2220" s="1" t="n">
        <f aca="false">ROUND(_xlfn.PERCENTRANK.INC($D$7:$D$4378,D2220)*9,0)</f>
        <v>0</v>
      </c>
      <c r="H2220" s="1" t="n">
        <f aca="false">ROUND(_xlfn.PERCENTRANK.INC($E$7:$E$4378,E2220)*9,0)</f>
        <v>7</v>
      </c>
      <c r="I2220" s="1" t="str">
        <f aca="false">CONCATENATE(F2220,G2220,H2220)</f>
        <v>307</v>
      </c>
      <c r="J2220" s="1" t="str">
        <f aca="false">_xlfn.IFS(AND(F2220&gt;=8,G2220&gt;=8,H2220&gt;=8),"CHAMPION",AND(F2220&gt;=6,G2220&gt;=7,H2220&gt;=6),"LOYAL CUSTOMER",AND(F2220&gt;=6,G2220&gt;=5,H2220&gt;=5),"POTENTIAL LOYALIST",AND(F2220&gt;=8,G2220&lt;=2,H2220&gt;=5),"NEW CUSTOMERS",AND(F2220&gt;=6,G2220&lt;=2,H2220&gt;=3),"PROMISING",AND(F2220&gt;=3,G2220&gt;=3,H2220&gt;=3),"NEED ATTENTION",AND(F2220&lt;=4,G2220&gt;=6,H2220&gt;=6),"AT RISK",AND(F2220&lt;=2,G2220&gt;=8,H2220&gt;=8),"CAN'T LOSE THEM",AND(F2220&lt;=2,G2220&lt;=2,H2220&lt;=2),"HIBERNATING",TRUE(),"Other")</f>
        <v>Other</v>
      </c>
      <c r="K2220" s="1" t="n">
        <f aca="false">RANK(E2220,$E$7:$E$4378)+COUNTIF($E$7:E2220,E2220)-1</f>
        <v>866</v>
      </c>
    </row>
    <row r="2221" customFormat="false" ht="14.25" hidden="false" customHeight="true" outlineLevel="0" collapsed="false">
      <c r="A2221" s="51" t="n">
        <v>15342</v>
      </c>
      <c r="B2221" s="53" t="n">
        <v>40770.6805555556</v>
      </c>
      <c r="C2221" s="57" t="n">
        <f aca="false">INT($C$2)-INT(Table3[[#This Row],[Last Purchase Date]])</f>
        <v>117</v>
      </c>
      <c r="D2221" s="1" t="n">
        <v>2</v>
      </c>
      <c r="E2221" s="1" t="n">
        <v>391.76</v>
      </c>
      <c r="F2221" s="1" t="n">
        <f aca="false">ROUND((1-_xlfn.PERCENTRANK.INC($C$7:$C$4378,C2221))*9,0)</f>
        <v>3</v>
      </c>
      <c r="G2221" s="1" t="n">
        <f aca="false">ROUND(_xlfn.PERCENTRANK.INC($D$7:$D$4378,D2221)*9,0)</f>
        <v>3</v>
      </c>
      <c r="H2221" s="1" t="n">
        <f aca="false">ROUND(_xlfn.PERCENTRANK.INC($E$7:$E$4378,E2221)*9,0)</f>
        <v>3</v>
      </c>
      <c r="I2221" s="1" t="str">
        <f aca="false">CONCATENATE(F2221,G2221,H2221)</f>
        <v>333</v>
      </c>
      <c r="J2221" s="1" t="str">
        <f aca="false">_xlfn.IFS(AND(F2221&gt;=8,G2221&gt;=8,H2221&gt;=8),"CHAMPION",AND(F2221&gt;=6,G2221&gt;=7,H2221&gt;=6),"LOYAL CUSTOMER",AND(F2221&gt;=6,G2221&gt;=5,H2221&gt;=5),"POTENTIAL LOYALIST",AND(F2221&gt;=8,G2221&lt;=2,H2221&gt;=5),"NEW CUSTOMERS",AND(F2221&gt;=6,G2221&lt;=2,H2221&gt;=3),"PROMISING",AND(F2221&gt;=3,G2221&gt;=3,H2221&gt;=3),"NEED ATTENTION",AND(F2221&lt;=4,G2221&gt;=6,H2221&gt;=6),"AT RISK",AND(F2221&lt;=2,G2221&gt;=8,H2221&gt;=8),"CAN'T LOSE THEM",AND(F2221&lt;=2,G2221&lt;=2,H2221&lt;=2),"HIBERNATING",TRUE(),"Other")</f>
        <v>NEED ATTENTION</v>
      </c>
      <c r="K2221" s="1" t="n">
        <f aca="false">RANK(E2221,$E$7:$E$4378)+COUNTIF($E$7:E2221,E2221)-1</f>
        <v>2842</v>
      </c>
    </row>
    <row r="2222" customFormat="false" ht="14.25" hidden="false" customHeight="true" outlineLevel="0" collapsed="false">
      <c r="A2222" s="51" t="n">
        <v>15343</v>
      </c>
      <c r="B2222" s="53" t="n">
        <v>40799.5798611111</v>
      </c>
      <c r="C2222" s="57" t="n">
        <f aca="false">INT($C$2)-INT(Table3[[#This Row],[Last Purchase Date]])</f>
        <v>88</v>
      </c>
      <c r="D2222" s="1" t="n">
        <v>1</v>
      </c>
      <c r="E2222" s="1" t="n">
        <v>364.5</v>
      </c>
      <c r="F2222" s="1" t="n">
        <f aca="false">ROUND((1-_xlfn.PERCENTRANK.INC($C$7:$C$4378,C2222))*9,0)</f>
        <v>3</v>
      </c>
      <c r="G2222" s="1" t="n">
        <f aca="false">ROUND(_xlfn.PERCENTRANK.INC($D$7:$D$4378,D2222)*9,0)</f>
        <v>0</v>
      </c>
      <c r="H2222" s="1" t="n">
        <f aca="false">ROUND(_xlfn.PERCENTRANK.INC($E$7:$E$4378,E2222)*9,0)</f>
        <v>3</v>
      </c>
      <c r="I2222" s="1" t="str">
        <f aca="false">CONCATENATE(F2222,G2222,H2222)</f>
        <v>303</v>
      </c>
      <c r="J2222" s="1" t="str">
        <f aca="false">_xlfn.IFS(AND(F2222&gt;=8,G2222&gt;=8,H2222&gt;=8),"CHAMPION",AND(F2222&gt;=6,G2222&gt;=7,H2222&gt;=6),"LOYAL CUSTOMER",AND(F2222&gt;=6,G2222&gt;=5,H2222&gt;=5),"POTENTIAL LOYALIST",AND(F2222&gt;=8,G2222&lt;=2,H2222&gt;=5),"NEW CUSTOMERS",AND(F2222&gt;=6,G2222&lt;=2,H2222&gt;=3),"PROMISING",AND(F2222&gt;=3,G2222&gt;=3,H2222&gt;=3),"NEED ATTENTION",AND(F2222&lt;=4,G2222&gt;=6,H2222&gt;=6),"AT RISK",AND(F2222&lt;=2,G2222&gt;=8,H2222&gt;=8),"CAN'T LOSE THEM",AND(F2222&lt;=2,G2222&lt;=2,H2222&lt;=2),"HIBERNATING",TRUE(),"Other")</f>
        <v>Other</v>
      </c>
      <c r="K2222" s="1" t="n">
        <f aca="false">RANK(E2222,$E$7:$E$4378)+COUNTIF($E$7:E2222,E2222)-1</f>
        <v>2942</v>
      </c>
    </row>
    <row r="2223" customFormat="false" ht="14.25" hidden="false" customHeight="true" outlineLevel="0" collapsed="false">
      <c r="A2223" s="51" t="n">
        <v>15344</v>
      </c>
      <c r="B2223" s="53" t="n">
        <v>40886.4479166667</v>
      </c>
      <c r="C2223" s="57" t="n">
        <f aca="false">INT($C$2)-INT(Table3[[#This Row],[Last Purchase Date]])</f>
        <v>1</v>
      </c>
      <c r="D2223" s="1" t="n">
        <v>5</v>
      </c>
      <c r="E2223" s="1" t="n">
        <v>476.58</v>
      </c>
      <c r="F2223" s="1" t="n">
        <f aca="false">ROUND((1-_xlfn.PERCENTRANK.INC($C$7:$C$4378,C2223))*9,0)</f>
        <v>9</v>
      </c>
      <c r="G2223" s="1" t="n">
        <f aca="false">ROUND(_xlfn.PERCENTRANK.INC($D$7:$D$4378,D2223)*9,0)</f>
        <v>6</v>
      </c>
      <c r="H2223" s="1" t="n">
        <f aca="false">ROUND(_xlfn.PERCENTRANK.INC($E$7:$E$4378,E2223)*9,0)</f>
        <v>4</v>
      </c>
      <c r="I2223" s="1" t="str">
        <f aca="false">CONCATENATE(F2223,G2223,H2223)</f>
        <v>964</v>
      </c>
      <c r="J2223" s="1" t="str">
        <f aca="false">_xlfn.IFS(AND(F2223&gt;=8,G2223&gt;=8,H2223&gt;=8),"CHAMPION",AND(F2223&gt;=6,G2223&gt;=7,H2223&gt;=6),"LOYAL CUSTOMER",AND(F2223&gt;=6,G2223&gt;=5,H2223&gt;=5),"POTENTIAL LOYALIST",AND(F2223&gt;=8,G2223&lt;=2,H2223&gt;=5),"NEW CUSTOMERS",AND(F2223&gt;=6,G2223&lt;=2,H2223&gt;=3),"PROMISING",AND(F2223&gt;=3,G2223&gt;=3,H2223&gt;=3),"NEED ATTENTION",AND(F2223&lt;=4,G2223&gt;=6,H2223&gt;=6),"AT RISK",AND(F2223&lt;=2,G2223&gt;=8,H2223&gt;=8),"CAN'T LOSE THEM",AND(F2223&lt;=2,G2223&lt;=2,H2223&lt;=2),"HIBERNATING",TRUE(),"Other")</f>
        <v>NEED ATTENTION</v>
      </c>
      <c r="K2223" s="1" t="n">
        <f aca="false">RANK(E2223,$E$7:$E$4378)+COUNTIF($E$7:E2223,E2223)-1</f>
        <v>2601</v>
      </c>
    </row>
    <row r="2224" customFormat="false" ht="14.25" hidden="false" customHeight="true" outlineLevel="0" collapsed="false">
      <c r="A2224" s="51" t="n">
        <v>15345</v>
      </c>
      <c r="B2224" s="53" t="n">
        <v>40851.5583333333</v>
      </c>
      <c r="C2224" s="57" t="n">
        <f aca="false">INT($C$2)-INT(Table3[[#This Row],[Last Purchase Date]])</f>
        <v>36</v>
      </c>
      <c r="D2224" s="1" t="n">
        <v>2</v>
      </c>
      <c r="E2224" s="1" t="n">
        <v>367.69</v>
      </c>
      <c r="F2224" s="1" t="n">
        <f aca="false">ROUND((1-_xlfn.PERCENTRANK.INC($C$7:$C$4378,C2224))*9,0)</f>
        <v>5</v>
      </c>
      <c r="G2224" s="1" t="n">
        <f aca="false">ROUND(_xlfn.PERCENTRANK.INC($D$7:$D$4378,D2224)*9,0)</f>
        <v>3</v>
      </c>
      <c r="H2224" s="1" t="n">
        <f aca="false">ROUND(_xlfn.PERCENTRANK.INC($E$7:$E$4378,E2224)*9,0)</f>
        <v>3</v>
      </c>
      <c r="I2224" s="1" t="str">
        <f aca="false">CONCATENATE(F2224,G2224,H2224)</f>
        <v>533</v>
      </c>
      <c r="J2224" s="1" t="str">
        <f aca="false">_xlfn.IFS(AND(F2224&gt;=8,G2224&gt;=8,H2224&gt;=8),"CHAMPION",AND(F2224&gt;=6,G2224&gt;=7,H2224&gt;=6),"LOYAL CUSTOMER",AND(F2224&gt;=6,G2224&gt;=5,H2224&gt;=5),"POTENTIAL LOYALIST",AND(F2224&gt;=8,G2224&lt;=2,H2224&gt;=5),"NEW CUSTOMERS",AND(F2224&gt;=6,G2224&lt;=2,H2224&gt;=3),"PROMISING",AND(F2224&gt;=3,G2224&gt;=3,H2224&gt;=3),"NEED ATTENTION",AND(F2224&lt;=4,G2224&gt;=6,H2224&gt;=6),"AT RISK",AND(F2224&lt;=2,G2224&gt;=8,H2224&gt;=8),"CAN'T LOSE THEM",AND(F2224&lt;=2,G2224&lt;=2,H2224&lt;=2),"HIBERNATING",TRUE(),"Other")</f>
        <v>NEED ATTENTION</v>
      </c>
      <c r="K2224" s="1" t="n">
        <f aca="false">RANK(E2224,$E$7:$E$4378)+COUNTIF($E$7:E2224,E2224)-1</f>
        <v>2932</v>
      </c>
    </row>
    <row r="2225" customFormat="false" ht="14.25" hidden="false" customHeight="true" outlineLevel="0" collapsed="false">
      <c r="A2225" s="51" t="n">
        <v>15346</v>
      </c>
      <c r="B2225" s="53" t="n">
        <v>40554.4708333333</v>
      </c>
      <c r="C2225" s="57" t="n">
        <f aca="false">INT($C$2)-INT(Table3[[#This Row],[Last Purchase Date]])</f>
        <v>333</v>
      </c>
      <c r="D2225" s="1" t="n">
        <v>1</v>
      </c>
      <c r="E2225" s="1" t="n">
        <v>252.42</v>
      </c>
      <c r="F2225" s="1" t="n">
        <f aca="false">ROUND((1-_xlfn.PERCENTRANK.INC($C$7:$C$4378,C2225))*9,0)</f>
        <v>0</v>
      </c>
      <c r="G2225" s="1" t="n">
        <f aca="false">ROUND(_xlfn.PERCENTRANK.INC($D$7:$D$4378,D2225)*9,0)</f>
        <v>0</v>
      </c>
      <c r="H2225" s="1" t="n">
        <f aca="false">ROUND(_xlfn.PERCENTRANK.INC($E$7:$E$4378,E2225)*9,0)</f>
        <v>2</v>
      </c>
      <c r="I2225" s="1" t="str">
        <f aca="false">CONCATENATE(F2225,G2225,H2225)</f>
        <v>002</v>
      </c>
      <c r="J2225" s="1" t="str">
        <f aca="false">_xlfn.IFS(AND(F2225&gt;=8,G2225&gt;=8,H2225&gt;=8),"CHAMPION",AND(F2225&gt;=6,G2225&gt;=7,H2225&gt;=6),"LOYAL CUSTOMER",AND(F2225&gt;=6,G2225&gt;=5,H2225&gt;=5),"POTENTIAL LOYALIST",AND(F2225&gt;=8,G2225&lt;=2,H2225&gt;=5),"NEW CUSTOMERS",AND(F2225&gt;=6,G2225&lt;=2,H2225&gt;=3),"PROMISING",AND(F2225&gt;=3,G2225&gt;=3,H2225&gt;=3),"NEED ATTENTION",AND(F2225&lt;=4,G2225&gt;=6,H2225&gt;=6),"AT RISK",AND(F2225&lt;=2,G2225&gt;=8,H2225&gt;=8),"CAN'T LOSE THEM",AND(F2225&lt;=2,G2225&lt;=2,H2225&lt;=2),"HIBERNATING",TRUE(),"Other")</f>
        <v>HIBERNATING</v>
      </c>
      <c r="K2225" s="1" t="n">
        <f aca="false">RANK(E2225,$E$7:$E$4378)+COUNTIF($E$7:E2225,E2225)-1</f>
        <v>3426</v>
      </c>
    </row>
    <row r="2226" customFormat="false" ht="14.25" hidden="false" customHeight="true" outlineLevel="0" collapsed="false">
      <c r="A2226" s="51" t="n">
        <v>15347</v>
      </c>
      <c r="B2226" s="53" t="n">
        <v>40520.6423611111</v>
      </c>
      <c r="C2226" s="57" t="n">
        <f aca="false">INT($C$2)-INT(Table3[[#This Row],[Last Purchase Date]])</f>
        <v>367</v>
      </c>
      <c r="D2226" s="1" t="n">
        <v>1</v>
      </c>
      <c r="E2226" s="1" t="n">
        <v>201.6</v>
      </c>
      <c r="F2226" s="1" t="n">
        <f aca="false">ROUND((1-_xlfn.PERCENTRANK.INC($C$7:$C$4378,C2226))*9,0)</f>
        <v>0</v>
      </c>
      <c r="G2226" s="1" t="n">
        <f aca="false">ROUND(_xlfn.PERCENTRANK.INC($D$7:$D$4378,D2226)*9,0)</f>
        <v>0</v>
      </c>
      <c r="H2226" s="1" t="n">
        <f aca="false">ROUND(_xlfn.PERCENTRANK.INC($E$7:$E$4378,E2226)*9,0)</f>
        <v>1</v>
      </c>
      <c r="I2226" s="1" t="str">
        <f aca="false">CONCATENATE(F2226,G2226,H2226)</f>
        <v>001</v>
      </c>
      <c r="J2226" s="1" t="str">
        <f aca="false">_xlfn.IFS(AND(F2226&gt;=8,G2226&gt;=8,H2226&gt;=8),"CHAMPION",AND(F2226&gt;=6,G2226&gt;=7,H2226&gt;=6),"LOYAL CUSTOMER",AND(F2226&gt;=6,G2226&gt;=5,H2226&gt;=5),"POTENTIAL LOYALIST",AND(F2226&gt;=8,G2226&lt;=2,H2226&gt;=5),"NEW CUSTOMERS",AND(F2226&gt;=6,G2226&lt;=2,H2226&gt;=3),"PROMISING",AND(F2226&gt;=3,G2226&gt;=3,H2226&gt;=3),"NEED ATTENTION",AND(F2226&lt;=4,G2226&gt;=6,H2226&gt;=6),"AT RISK",AND(F2226&lt;=2,G2226&gt;=8,H2226&gt;=8),"CAN'T LOSE THEM",AND(F2226&lt;=2,G2226&lt;=2,H2226&lt;=2),"HIBERNATING",TRUE(),"Other")</f>
        <v>HIBERNATING</v>
      </c>
      <c r="K2226" s="1" t="n">
        <f aca="false">RANK(E2226,$E$7:$E$4378)+COUNTIF($E$7:E2226,E2226)-1</f>
        <v>3652</v>
      </c>
    </row>
    <row r="2227" customFormat="false" ht="14.25" hidden="false" customHeight="true" outlineLevel="0" collapsed="false">
      <c r="A2227" s="51" t="n">
        <v>15348</v>
      </c>
      <c r="B2227" s="53" t="n">
        <v>40814.5534722222</v>
      </c>
      <c r="C2227" s="57" t="n">
        <f aca="false">INT($C$2)-INT(Table3[[#This Row],[Last Purchase Date]])</f>
        <v>73</v>
      </c>
      <c r="D2227" s="1" t="n">
        <v>1</v>
      </c>
      <c r="E2227" s="1" t="n">
        <v>158.04</v>
      </c>
      <c r="F2227" s="1" t="n">
        <f aca="false">ROUND((1-_xlfn.PERCENTRANK.INC($C$7:$C$4378,C2227))*9,0)</f>
        <v>4</v>
      </c>
      <c r="G2227" s="1" t="n">
        <f aca="false">ROUND(_xlfn.PERCENTRANK.INC($D$7:$D$4378,D2227)*9,0)</f>
        <v>0</v>
      </c>
      <c r="H2227" s="1" t="n">
        <f aca="false">ROUND(_xlfn.PERCENTRANK.INC($E$7:$E$4378,E2227)*9,0)</f>
        <v>1</v>
      </c>
      <c r="I2227" s="1" t="str">
        <f aca="false">CONCATENATE(F2227,G2227,H2227)</f>
        <v>401</v>
      </c>
      <c r="J2227" s="1" t="str">
        <f aca="false">_xlfn.IFS(AND(F2227&gt;=8,G2227&gt;=8,H2227&gt;=8),"CHAMPION",AND(F2227&gt;=6,G2227&gt;=7,H2227&gt;=6),"LOYAL CUSTOMER",AND(F2227&gt;=6,G2227&gt;=5,H2227&gt;=5),"POTENTIAL LOYALIST",AND(F2227&gt;=8,G2227&lt;=2,H2227&gt;=5),"NEW CUSTOMERS",AND(F2227&gt;=6,G2227&lt;=2,H2227&gt;=3),"PROMISING",AND(F2227&gt;=3,G2227&gt;=3,H2227&gt;=3),"NEED ATTENTION",AND(F2227&lt;=4,G2227&gt;=6,H2227&gt;=6),"AT RISK",AND(F2227&lt;=2,G2227&gt;=8,H2227&gt;=8),"CAN'T LOSE THEM",AND(F2227&lt;=2,G2227&lt;=2,H2227&lt;=2),"HIBERNATING",TRUE(),"Other")</f>
        <v>Other</v>
      </c>
      <c r="K2227" s="1" t="n">
        <f aca="false">RANK(E2227,$E$7:$E$4378)+COUNTIF($E$7:E2227,E2227)-1</f>
        <v>3868</v>
      </c>
    </row>
    <row r="2228" customFormat="false" ht="14.25" hidden="false" customHeight="true" outlineLevel="0" collapsed="false">
      <c r="A2228" s="51" t="n">
        <v>15349</v>
      </c>
      <c r="B2228" s="53" t="n">
        <v>40728.6708333333</v>
      </c>
      <c r="C2228" s="57" t="n">
        <f aca="false">INT($C$2)-INT(Table3[[#This Row],[Last Purchase Date]])</f>
        <v>159</v>
      </c>
      <c r="D2228" s="1" t="n">
        <v>2</v>
      </c>
      <c r="E2228" s="1" t="n">
        <v>473.81</v>
      </c>
      <c r="F2228" s="1" t="n">
        <f aca="false">ROUND((1-_xlfn.PERCENTRANK.INC($C$7:$C$4378,C2228))*9,0)</f>
        <v>2</v>
      </c>
      <c r="G2228" s="1" t="n">
        <f aca="false">ROUND(_xlfn.PERCENTRANK.INC($D$7:$D$4378,D2228)*9,0)</f>
        <v>3</v>
      </c>
      <c r="H2228" s="1" t="n">
        <f aca="false">ROUND(_xlfn.PERCENTRANK.INC($E$7:$E$4378,E2228)*9,0)</f>
        <v>4</v>
      </c>
      <c r="I2228" s="1" t="str">
        <f aca="false">CONCATENATE(F2228,G2228,H2228)</f>
        <v>234</v>
      </c>
      <c r="J2228" s="1" t="str">
        <f aca="false">_xlfn.IFS(AND(F2228&gt;=8,G2228&gt;=8,H2228&gt;=8),"CHAMPION",AND(F2228&gt;=6,G2228&gt;=7,H2228&gt;=6),"LOYAL CUSTOMER",AND(F2228&gt;=6,G2228&gt;=5,H2228&gt;=5),"POTENTIAL LOYALIST",AND(F2228&gt;=8,G2228&lt;=2,H2228&gt;=5),"NEW CUSTOMERS",AND(F2228&gt;=6,G2228&lt;=2,H2228&gt;=3),"PROMISING",AND(F2228&gt;=3,G2228&gt;=3,H2228&gt;=3),"NEED ATTENTION",AND(F2228&lt;=4,G2228&gt;=6,H2228&gt;=6),"AT RISK",AND(F2228&lt;=2,G2228&gt;=8,H2228&gt;=8),"CAN'T LOSE THEM",AND(F2228&lt;=2,G2228&lt;=2,H2228&lt;=2),"HIBERNATING",TRUE(),"Other")</f>
        <v>Other</v>
      </c>
      <c r="K2228" s="1" t="n">
        <f aca="false">RANK(E2228,$E$7:$E$4378)+COUNTIF($E$7:E2228,E2228)-1</f>
        <v>2604</v>
      </c>
    </row>
    <row r="2229" customFormat="false" ht="14.25" hidden="false" customHeight="true" outlineLevel="0" collapsed="false">
      <c r="A2229" s="51" t="n">
        <v>15350</v>
      </c>
      <c r="B2229" s="53" t="n">
        <v>40513.5645833333</v>
      </c>
      <c r="C2229" s="57" t="n">
        <f aca="false">INT($C$2)-INT(Table3[[#This Row],[Last Purchase Date]])</f>
        <v>374</v>
      </c>
      <c r="D2229" s="1" t="n">
        <v>1</v>
      </c>
      <c r="E2229" s="1" t="n">
        <v>115.65</v>
      </c>
      <c r="F2229" s="1" t="n">
        <f aca="false">ROUND((1-_xlfn.PERCENTRANK.INC($C$7:$C$4378,C2229))*9,0)</f>
        <v>0</v>
      </c>
      <c r="G2229" s="1" t="n">
        <f aca="false">ROUND(_xlfn.PERCENTRANK.INC($D$7:$D$4378,D2229)*9,0)</f>
        <v>0</v>
      </c>
      <c r="H2229" s="1" t="n">
        <f aca="false">ROUND(_xlfn.PERCENTRANK.INC($E$7:$E$4378,E2229)*9,0)</f>
        <v>1</v>
      </c>
      <c r="I2229" s="1" t="str">
        <f aca="false">CONCATENATE(F2229,G2229,H2229)</f>
        <v>001</v>
      </c>
      <c r="J2229" s="1" t="str">
        <f aca="false">_xlfn.IFS(AND(F2229&gt;=8,G2229&gt;=8,H2229&gt;=8),"CHAMPION",AND(F2229&gt;=6,G2229&gt;=7,H2229&gt;=6),"LOYAL CUSTOMER",AND(F2229&gt;=6,G2229&gt;=5,H2229&gt;=5),"POTENTIAL LOYALIST",AND(F2229&gt;=8,G2229&lt;=2,H2229&gt;=5),"NEW CUSTOMERS",AND(F2229&gt;=6,G2229&lt;=2,H2229&gt;=3),"PROMISING",AND(F2229&gt;=3,G2229&gt;=3,H2229&gt;=3),"NEED ATTENTION",AND(F2229&lt;=4,G2229&gt;=6,H2229&gt;=6),"AT RISK",AND(F2229&lt;=2,G2229&gt;=8,H2229&gt;=8),"CAN'T LOSE THEM",AND(F2229&lt;=2,G2229&lt;=2,H2229&lt;=2),"HIBERNATING",TRUE(),"Other")</f>
        <v>HIBERNATING</v>
      </c>
      <c r="K2229" s="1" t="n">
        <f aca="false">RANK(E2229,$E$7:$E$4378)+COUNTIF($E$7:E2229,E2229)-1</f>
        <v>4069</v>
      </c>
    </row>
    <row r="2230" customFormat="false" ht="14.25" hidden="false" customHeight="true" outlineLevel="0" collapsed="false">
      <c r="A2230" s="51" t="n">
        <v>15351</v>
      </c>
      <c r="B2230" s="53" t="n">
        <v>40874.5361111111</v>
      </c>
      <c r="C2230" s="57" t="n">
        <f aca="false">INT($C$2)-INT(Table3[[#This Row],[Last Purchase Date]])</f>
        <v>13</v>
      </c>
      <c r="D2230" s="1" t="n">
        <v>10</v>
      </c>
      <c r="E2230" s="1" t="n">
        <v>1862.14</v>
      </c>
      <c r="F2230" s="1" t="n">
        <f aca="false">ROUND((1-_xlfn.PERCENTRANK.INC($C$7:$C$4378,C2230))*9,0)</f>
        <v>7</v>
      </c>
      <c r="G2230" s="1" t="n">
        <f aca="false">ROUND(_xlfn.PERCENTRANK.INC($D$7:$D$4378,D2230)*9,0)</f>
        <v>8</v>
      </c>
      <c r="H2230" s="1" t="n">
        <f aca="false">ROUND(_xlfn.PERCENTRANK.INC($E$7:$E$4378,E2230)*9,0)</f>
        <v>7</v>
      </c>
      <c r="I2230" s="1" t="str">
        <f aca="false">CONCATENATE(F2230,G2230,H2230)</f>
        <v>787</v>
      </c>
      <c r="J2230" s="1" t="str">
        <f aca="false">_xlfn.IFS(AND(F2230&gt;=8,G2230&gt;=8,H2230&gt;=8),"CHAMPION",AND(F2230&gt;=6,G2230&gt;=7,H2230&gt;=6),"LOYAL CUSTOMER",AND(F2230&gt;=6,G2230&gt;=5,H2230&gt;=5),"POTENTIAL LOYALIST",AND(F2230&gt;=8,G2230&lt;=2,H2230&gt;=5),"NEW CUSTOMERS",AND(F2230&gt;=6,G2230&lt;=2,H2230&gt;=3),"PROMISING",AND(F2230&gt;=3,G2230&gt;=3,H2230&gt;=3),"NEED ATTENTION",AND(F2230&lt;=4,G2230&gt;=6,H2230&gt;=6),"AT RISK",AND(F2230&lt;=2,G2230&gt;=8,H2230&gt;=8),"CAN'T LOSE THEM",AND(F2230&lt;=2,G2230&lt;=2,H2230&lt;=2),"HIBERNATING",TRUE(),"Other")</f>
        <v>LOYAL CUSTOMER</v>
      </c>
      <c r="K2230" s="1" t="n">
        <f aca="false">RANK(E2230,$E$7:$E$4378)+COUNTIF($E$7:E2230,E2230)-1</f>
        <v>940</v>
      </c>
    </row>
    <row r="2231" customFormat="false" ht="14.25" hidden="false" customHeight="true" outlineLevel="0" collapsed="false">
      <c r="A2231" s="51" t="n">
        <v>15353</v>
      </c>
      <c r="B2231" s="53" t="n">
        <v>40632.5104166667</v>
      </c>
      <c r="C2231" s="57" t="n">
        <f aca="false">INT($C$2)-INT(Table3[[#This Row],[Last Purchase Date]])</f>
        <v>255</v>
      </c>
      <c r="D2231" s="1" t="n">
        <v>2</v>
      </c>
      <c r="E2231" s="1" t="n">
        <v>777.02</v>
      </c>
      <c r="F2231" s="1" t="n">
        <f aca="false">ROUND((1-_xlfn.PERCENTRANK.INC($C$7:$C$4378,C2231))*9,0)</f>
        <v>1</v>
      </c>
      <c r="G2231" s="1" t="n">
        <f aca="false">ROUND(_xlfn.PERCENTRANK.INC($D$7:$D$4378,D2231)*9,0)</f>
        <v>3</v>
      </c>
      <c r="H2231" s="1" t="n">
        <f aca="false">ROUND(_xlfn.PERCENTRANK.INC($E$7:$E$4378,E2231)*9,0)</f>
        <v>5</v>
      </c>
      <c r="I2231" s="1" t="str">
        <f aca="false">CONCATENATE(F2231,G2231,H2231)</f>
        <v>135</v>
      </c>
      <c r="J2231" s="1" t="str">
        <f aca="false">_xlfn.IFS(AND(F2231&gt;=8,G2231&gt;=8,H2231&gt;=8),"CHAMPION",AND(F2231&gt;=6,G2231&gt;=7,H2231&gt;=6),"LOYAL CUSTOMER",AND(F2231&gt;=6,G2231&gt;=5,H2231&gt;=5),"POTENTIAL LOYALIST",AND(F2231&gt;=8,G2231&lt;=2,H2231&gt;=5),"NEW CUSTOMERS",AND(F2231&gt;=6,G2231&lt;=2,H2231&gt;=3),"PROMISING",AND(F2231&gt;=3,G2231&gt;=3,H2231&gt;=3),"NEED ATTENTION",AND(F2231&lt;=4,G2231&gt;=6,H2231&gt;=6),"AT RISK",AND(F2231&lt;=2,G2231&gt;=8,H2231&gt;=8),"CAN'T LOSE THEM",AND(F2231&lt;=2,G2231&lt;=2,H2231&lt;=2),"HIBERNATING",TRUE(),"Other")</f>
        <v>Other</v>
      </c>
      <c r="K2231" s="1" t="n">
        <f aca="false">RANK(E2231,$E$7:$E$4378)+COUNTIF($E$7:E2231,E2231)-1</f>
        <v>1933</v>
      </c>
    </row>
    <row r="2232" customFormat="false" ht="14.25" hidden="false" customHeight="true" outlineLevel="0" collapsed="false">
      <c r="A2232" s="51" t="n">
        <v>15355</v>
      </c>
      <c r="B2232" s="53" t="n">
        <v>40857.5722222222</v>
      </c>
      <c r="C2232" s="57" t="n">
        <f aca="false">INT($C$2)-INT(Table3[[#This Row],[Last Purchase Date]])</f>
        <v>30</v>
      </c>
      <c r="D2232" s="1" t="n">
        <v>2</v>
      </c>
      <c r="E2232" s="1" t="n">
        <v>277.05</v>
      </c>
      <c r="F2232" s="1" t="n">
        <f aca="false">ROUND((1-_xlfn.PERCENTRANK.INC($C$7:$C$4378,C2232))*9,0)</f>
        <v>6</v>
      </c>
      <c r="G2232" s="1" t="n">
        <f aca="false">ROUND(_xlfn.PERCENTRANK.INC($D$7:$D$4378,D2232)*9,0)</f>
        <v>3</v>
      </c>
      <c r="H2232" s="1" t="n">
        <f aca="false">ROUND(_xlfn.PERCENTRANK.INC($E$7:$E$4378,E2232)*9,0)</f>
        <v>2</v>
      </c>
      <c r="I2232" s="1" t="str">
        <f aca="false">CONCATENATE(F2232,G2232,H2232)</f>
        <v>632</v>
      </c>
      <c r="J2232" s="1" t="str">
        <f aca="false">_xlfn.IFS(AND(F2232&gt;=8,G2232&gt;=8,H2232&gt;=8),"CHAMPION",AND(F2232&gt;=6,G2232&gt;=7,H2232&gt;=6),"LOYAL CUSTOMER",AND(F2232&gt;=6,G2232&gt;=5,H2232&gt;=5),"POTENTIAL LOYALIST",AND(F2232&gt;=8,G2232&lt;=2,H2232&gt;=5),"NEW CUSTOMERS",AND(F2232&gt;=6,G2232&lt;=2,H2232&gt;=3),"PROMISING",AND(F2232&gt;=3,G2232&gt;=3,H2232&gt;=3),"NEED ATTENTION",AND(F2232&lt;=4,G2232&gt;=6,H2232&gt;=6),"AT RISK",AND(F2232&lt;=2,G2232&gt;=8,H2232&gt;=8),"CAN'T LOSE THEM",AND(F2232&lt;=2,G2232&lt;=2,H2232&lt;=2),"HIBERNATING",TRUE(),"Other")</f>
        <v>Other</v>
      </c>
      <c r="K2232" s="1" t="n">
        <f aca="false">RANK(E2232,$E$7:$E$4378)+COUNTIF($E$7:E2232,E2232)-1</f>
        <v>3337</v>
      </c>
    </row>
    <row r="2233" customFormat="false" ht="14.25" hidden="false" customHeight="true" outlineLevel="0" collapsed="false">
      <c r="A2233" s="51" t="n">
        <v>15356</v>
      </c>
      <c r="B2233" s="53" t="n">
        <v>40855.5493055556</v>
      </c>
      <c r="C2233" s="57" t="n">
        <f aca="false">INT($C$2)-INT(Table3[[#This Row],[Last Purchase Date]])</f>
        <v>32</v>
      </c>
      <c r="D2233" s="1" t="n">
        <v>10</v>
      </c>
      <c r="E2233" s="1" t="n">
        <v>2766.5</v>
      </c>
      <c r="F2233" s="1" t="n">
        <f aca="false">ROUND((1-_xlfn.PERCENTRANK.INC($C$7:$C$4378,C2233))*9,0)</f>
        <v>5</v>
      </c>
      <c r="G2233" s="1" t="n">
        <f aca="false">ROUND(_xlfn.PERCENTRANK.INC($D$7:$D$4378,D2233)*9,0)</f>
        <v>8</v>
      </c>
      <c r="H2233" s="1" t="n">
        <f aca="false">ROUND(_xlfn.PERCENTRANK.INC($E$7:$E$4378,E2233)*9,0)</f>
        <v>8</v>
      </c>
      <c r="I2233" s="1" t="str">
        <f aca="false">CONCATENATE(F2233,G2233,H2233)</f>
        <v>588</v>
      </c>
      <c r="J2233" s="1" t="str">
        <f aca="false">_xlfn.IFS(AND(F2233&gt;=8,G2233&gt;=8,H2233&gt;=8),"CHAMPION",AND(F2233&gt;=6,G2233&gt;=7,H2233&gt;=6),"LOYAL CUSTOMER",AND(F2233&gt;=6,G2233&gt;=5,H2233&gt;=5),"POTENTIAL LOYALIST",AND(F2233&gt;=8,G2233&lt;=2,H2233&gt;=5),"NEW CUSTOMERS",AND(F2233&gt;=6,G2233&lt;=2,H2233&gt;=3),"PROMISING",AND(F2233&gt;=3,G2233&gt;=3,H2233&gt;=3),"NEED ATTENTION",AND(F2233&lt;=4,G2233&gt;=6,H2233&gt;=6),"AT RISK",AND(F2233&lt;=2,G2233&gt;=8,H2233&gt;=8),"CAN'T LOSE THEM",AND(F2233&lt;=2,G2233&lt;=2,H2233&lt;=2),"HIBERNATING",TRUE(),"Other")</f>
        <v>NEED ATTENTION</v>
      </c>
      <c r="K2233" s="1" t="n">
        <f aca="false">RANK(E2233,$E$7:$E$4378)+COUNTIF($E$7:E2233,E2233)-1</f>
        <v>592</v>
      </c>
    </row>
    <row r="2234" customFormat="false" ht="14.25" hidden="false" customHeight="true" outlineLevel="0" collapsed="false">
      <c r="A2234" s="51" t="n">
        <v>15358</v>
      </c>
      <c r="B2234" s="53" t="n">
        <v>40882.3777777778</v>
      </c>
      <c r="C2234" s="57" t="n">
        <f aca="false">INT($C$2)-INT(Table3[[#This Row],[Last Purchase Date]])</f>
        <v>5</v>
      </c>
      <c r="D2234" s="1" t="n">
        <v>29</v>
      </c>
      <c r="E2234" s="1" t="n">
        <v>8234.79999999999</v>
      </c>
      <c r="F2234" s="1" t="n">
        <f aca="false">ROUND((1-_xlfn.PERCENTRANK.INC($C$7:$C$4378,C2234))*9,0)</f>
        <v>8</v>
      </c>
      <c r="G2234" s="1" t="n">
        <f aca="false">ROUND(_xlfn.PERCENTRANK.INC($D$7:$D$4378,D2234)*9,0)</f>
        <v>9</v>
      </c>
      <c r="H2234" s="1" t="n">
        <f aca="false">ROUND(_xlfn.PERCENTRANK.INC($E$7:$E$4378,E2234)*9,0)</f>
        <v>9</v>
      </c>
      <c r="I2234" s="1" t="str">
        <f aca="false">CONCATENATE(F2234,G2234,H2234)</f>
        <v>899</v>
      </c>
      <c r="J2234" s="1" t="str">
        <f aca="false">_xlfn.IFS(AND(F2234&gt;=8,G2234&gt;=8,H2234&gt;=8),"CHAMPION",AND(F2234&gt;=6,G2234&gt;=7,H2234&gt;=6),"LOYAL CUSTOMER",AND(F2234&gt;=6,G2234&gt;=5,H2234&gt;=5),"POTENTIAL LOYALIST",AND(F2234&gt;=8,G2234&lt;=2,H2234&gt;=5),"NEW CUSTOMERS",AND(F2234&gt;=6,G2234&lt;=2,H2234&gt;=3),"PROMISING",AND(F2234&gt;=3,G2234&gt;=3,H2234&gt;=3),"NEED ATTENTION",AND(F2234&lt;=4,G2234&gt;=6,H2234&gt;=6),"AT RISK",AND(F2234&lt;=2,G2234&gt;=8,H2234&gt;=8),"CAN'T LOSE THEM",AND(F2234&lt;=2,G2234&lt;=2,H2234&lt;=2),"HIBERNATING",TRUE(),"Other")</f>
        <v>CHAMPION</v>
      </c>
      <c r="K2234" s="1" t="n">
        <f aca="false">RANK(E2234,$E$7:$E$4378)+COUNTIF($E$7:E2234,E2234)-1</f>
        <v>122</v>
      </c>
    </row>
    <row r="2235" customFormat="false" ht="14.25" hidden="false" customHeight="true" outlineLevel="0" collapsed="false">
      <c r="A2235" s="51" t="n">
        <v>15360</v>
      </c>
      <c r="B2235" s="53" t="n">
        <v>40847.3993055556</v>
      </c>
      <c r="C2235" s="57" t="n">
        <f aca="false">INT($C$2)-INT(Table3[[#This Row],[Last Purchase Date]])</f>
        <v>40</v>
      </c>
      <c r="D2235" s="1" t="n">
        <v>1</v>
      </c>
      <c r="E2235" s="1" t="n">
        <v>427.93</v>
      </c>
      <c r="F2235" s="1" t="n">
        <f aca="false">ROUND((1-_xlfn.PERCENTRANK.INC($C$7:$C$4378,C2235))*9,0)</f>
        <v>5</v>
      </c>
      <c r="G2235" s="1" t="n">
        <f aca="false">ROUND(_xlfn.PERCENTRANK.INC($D$7:$D$4378,D2235)*9,0)</f>
        <v>0</v>
      </c>
      <c r="H2235" s="1" t="n">
        <f aca="false">ROUND(_xlfn.PERCENTRANK.INC($E$7:$E$4378,E2235)*9,0)</f>
        <v>3</v>
      </c>
      <c r="I2235" s="1" t="str">
        <f aca="false">CONCATENATE(F2235,G2235,H2235)</f>
        <v>503</v>
      </c>
      <c r="J2235" s="1" t="str">
        <f aca="false">_xlfn.IFS(AND(F2235&gt;=8,G2235&gt;=8,H2235&gt;=8),"CHAMPION",AND(F2235&gt;=6,G2235&gt;=7,H2235&gt;=6),"LOYAL CUSTOMER",AND(F2235&gt;=6,G2235&gt;=5,H2235&gt;=5),"POTENTIAL LOYALIST",AND(F2235&gt;=8,G2235&lt;=2,H2235&gt;=5),"NEW CUSTOMERS",AND(F2235&gt;=6,G2235&lt;=2,H2235&gt;=3),"PROMISING",AND(F2235&gt;=3,G2235&gt;=3,H2235&gt;=3),"NEED ATTENTION",AND(F2235&lt;=4,G2235&gt;=6,H2235&gt;=6),"AT RISK",AND(F2235&lt;=2,G2235&gt;=8,H2235&gt;=8),"CAN'T LOSE THEM",AND(F2235&lt;=2,G2235&lt;=2,H2235&lt;=2),"HIBERNATING",TRUE(),"Other")</f>
        <v>Other</v>
      </c>
      <c r="K2235" s="1" t="n">
        <f aca="false">RANK(E2235,$E$7:$E$4378)+COUNTIF($E$7:E2235,E2235)-1</f>
        <v>2729</v>
      </c>
    </row>
    <row r="2236" customFormat="false" ht="14.25" hidden="false" customHeight="true" outlineLevel="0" collapsed="false">
      <c r="A2236" s="51" t="n">
        <v>15361</v>
      </c>
      <c r="B2236" s="53" t="n">
        <v>40525.4111111111</v>
      </c>
      <c r="C2236" s="57" t="n">
        <f aca="false">INT($C$2)-INT(Table3[[#This Row],[Last Purchase Date]])</f>
        <v>362</v>
      </c>
      <c r="D2236" s="1" t="n">
        <v>1</v>
      </c>
      <c r="E2236" s="1" t="n">
        <v>418.92</v>
      </c>
      <c r="F2236" s="1" t="n">
        <f aca="false">ROUND((1-_xlfn.PERCENTRANK.INC($C$7:$C$4378,C2236))*9,0)</f>
        <v>0</v>
      </c>
      <c r="G2236" s="1" t="n">
        <f aca="false">ROUND(_xlfn.PERCENTRANK.INC($D$7:$D$4378,D2236)*9,0)</f>
        <v>0</v>
      </c>
      <c r="H2236" s="1" t="n">
        <f aca="false">ROUND(_xlfn.PERCENTRANK.INC($E$7:$E$4378,E2236)*9,0)</f>
        <v>3</v>
      </c>
      <c r="I2236" s="1" t="str">
        <f aca="false">CONCATENATE(F2236,G2236,H2236)</f>
        <v>003</v>
      </c>
      <c r="J2236" s="1" t="str">
        <f aca="false">_xlfn.IFS(AND(F2236&gt;=8,G2236&gt;=8,H2236&gt;=8),"CHAMPION",AND(F2236&gt;=6,G2236&gt;=7,H2236&gt;=6),"LOYAL CUSTOMER",AND(F2236&gt;=6,G2236&gt;=5,H2236&gt;=5),"POTENTIAL LOYALIST",AND(F2236&gt;=8,G2236&lt;=2,H2236&gt;=5),"NEW CUSTOMERS",AND(F2236&gt;=6,G2236&lt;=2,H2236&gt;=3),"PROMISING",AND(F2236&gt;=3,G2236&gt;=3,H2236&gt;=3),"NEED ATTENTION",AND(F2236&lt;=4,G2236&gt;=6,H2236&gt;=6),"AT RISK",AND(F2236&lt;=2,G2236&gt;=8,H2236&gt;=8),"CAN'T LOSE THEM",AND(F2236&lt;=2,G2236&lt;=2,H2236&lt;=2),"HIBERNATING",TRUE(),"Other")</f>
        <v>Other</v>
      </c>
      <c r="K2236" s="1" t="n">
        <f aca="false">RANK(E2236,$E$7:$E$4378)+COUNTIF($E$7:E2236,E2236)-1</f>
        <v>2753</v>
      </c>
    </row>
    <row r="2237" customFormat="false" ht="14.25" hidden="false" customHeight="true" outlineLevel="0" collapsed="false">
      <c r="A2237" s="51" t="n">
        <v>15363</v>
      </c>
      <c r="B2237" s="53" t="n">
        <v>40645.6583333333</v>
      </c>
      <c r="C2237" s="57" t="n">
        <f aca="false">INT($C$2)-INT(Table3[[#This Row],[Last Purchase Date]])</f>
        <v>242</v>
      </c>
      <c r="D2237" s="1" t="n">
        <v>2</v>
      </c>
      <c r="E2237" s="1" t="n">
        <v>318.05</v>
      </c>
      <c r="F2237" s="1" t="n">
        <f aca="false">ROUND((1-_xlfn.PERCENTRANK.INC($C$7:$C$4378,C2237))*9,0)</f>
        <v>1</v>
      </c>
      <c r="G2237" s="1" t="n">
        <f aca="false">ROUND(_xlfn.PERCENTRANK.INC($D$7:$D$4378,D2237)*9,0)</f>
        <v>3</v>
      </c>
      <c r="H2237" s="1" t="n">
        <f aca="false">ROUND(_xlfn.PERCENTRANK.INC($E$7:$E$4378,E2237)*9,0)</f>
        <v>3</v>
      </c>
      <c r="I2237" s="1" t="str">
        <f aca="false">CONCATENATE(F2237,G2237,H2237)</f>
        <v>133</v>
      </c>
      <c r="J2237" s="1" t="str">
        <f aca="false">_xlfn.IFS(AND(F2237&gt;=8,G2237&gt;=8,H2237&gt;=8),"CHAMPION",AND(F2237&gt;=6,G2237&gt;=7,H2237&gt;=6),"LOYAL CUSTOMER",AND(F2237&gt;=6,G2237&gt;=5,H2237&gt;=5),"POTENTIAL LOYALIST",AND(F2237&gt;=8,G2237&lt;=2,H2237&gt;=5),"NEW CUSTOMERS",AND(F2237&gt;=6,G2237&lt;=2,H2237&gt;=3),"PROMISING",AND(F2237&gt;=3,G2237&gt;=3,H2237&gt;=3),"NEED ATTENTION",AND(F2237&lt;=4,G2237&gt;=6,H2237&gt;=6),"AT RISK",AND(F2237&lt;=2,G2237&gt;=8,H2237&gt;=8),"CAN'T LOSE THEM",AND(F2237&lt;=2,G2237&lt;=2,H2237&lt;=2),"HIBERNATING",TRUE(),"Other")</f>
        <v>Other</v>
      </c>
      <c r="K2237" s="1" t="n">
        <f aca="false">RANK(E2237,$E$7:$E$4378)+COUNTIF($E$7:E2237,E2237)-1</f>
        <v>3149</v>
      </c>
    </row>
    <row r="2238" customFormat="false" ht="14.25" hidden="false" customHeight="true" outlineLevel="0" collapsed="false">
      <c r="A2238" s="51" t="n">
        <v>15364</v>
      </c>
      <c r="B2238" s="53" t="n">
        <v>40791.4069444445</v>
      </c>
      <c r="C2238" s="57" t="n">
        <f aca="false">INT($C$2)-INT(Table3[[#This Row],[Last Purchase Date]])</f>
        <v>96</v>
      </c>
      <c r="D2238" s="1" t="n">
        <v>2</v>
      </c>
      <c r="E2238" s="1" t="n">
        <v>913.19</v>
      </c>
      <c r="F2238" s="1" t="n">
        <f aca="false">ROUND((1-_xlfn.PERCENTRANK.INC($C$7:$C$4378,C2238))*9,0)</f>
        <v>3</v>
      </c>
      <c r="G2238" s="1" t="n">
        <f aca="false">ROUND(_xlfn.PERCENTRANK.INC($D$7:$D$4378,D2238)*9,0)</f>
        <v>3</v>
      </c>
      <c r="H2238" s="1" t="n">
        <f aca="false">ROUND(_xlfn.PERCENTRANK.INC($E$7:$E$4378,E2238)*9,0)</f>
        <v>5</v>
      </c>
      <c r="I2238" s="1" t="str">
        <f aca="false">CONCATENATE(F2238,G2238,H2238)</f>
        <v>335</v>
      </c>
      <c r="J2238" s="1" t="str">
        <f aca="false">_xlfn.IFS(AND(F2238&gt;=8,G2238&gt;=8,H2238&gt;=8),"CHAMPION",AND(F2238&gt;=6,G2238&gt;=7,H2238&gt;=6),"LOYAL CUSTOMER",AND(F2238&gt;=6,G2238&gt;=5,H2238&gt;=5),"POTENTIAL LOYALIST",AND(F2238&gt;=8,G2238&lt;=2,H2238&gt;=5),"NEW CUSTOMERS",AND(F2238&gt;=6,G2238&lt;=2,H2238&gt;=3),"PROMISING",AND(F2238&gt;=3,G2238&gt;=3,H2238&gt;=3),"NEED ATTENTION",AND(F2238&lt;=4,G2238&gt;=6,H2238&gt;=6),"AT RISK",AND(F2238&lt;=2,G2238&gt;=8,H2238&gt;=8),"CAN'T LOSE THEM",AND(F2238&lt;=2,G2238&lt;=2,H2238&lt;=2),"HIBERNATING",TRUE(),"Other")</f>
        <v>NEED ATTENTION</v>
      </c>
      <c r="K2238" s="1" t="n">
        <f aca="false">RANK(E2238,$E$7:$E$4378)+COUNTIF($E$7:E2238,E2238)-1</f>
        <v>1739</v>
      </c>
    </row>
    <row r="2239" customFormat="false" ht="14.25" hidden="false" customHeight="true" outlineLevel="0" collapsed="false">
      <c r="A2239" s="51" t="n">
        <v>15365</v>
      </c>
      <c r="B2239" s="53" t="n">
        <v>40861.3534722222</v>
      </c>
      <c r="C2239" s="57" t="n">
        <f aca="false">INT($C$2)-INT(Table3[[#This Row],[Last Purchase Date]])</f>
        <v>26</v>
      </c>
      <c r="D2239" s="1" t="n">
        <v>9</v>
      </c>
      <c r="E2239" s="1" t="n">
        <v>1330.45</v>
      </c>
      <c r="F2239" s="1" t="n">
        <f aca="false">ROUND((1-_xlfn.PERCENTRANK.INC($C$7:$C$4378,C2239))*9,0)</f>
        <v>6</v>
      </c>
      <c r="G2239" s="1" t="n">
        <f aca="false">ROUND(_xlfn.PERCENTRANK.INC($D$7:$D$4378,D2239)*9,0)</f>
        <v>8</v>
      </c>
      <c r="H2239" s="1" t="n">
        <f aca="false">ROUND(_xlfn.PERCENTRANK.INC($E$7:$E$4378,E2239)*9,0)</f>
        <v>6</v>
      </c>
      <c r="I2239" s="1" t="str">
        <f aca="false">CONCATENATE(F2239,G2239,H2239)</f>
        <v>686</v>
      </c>
      <c r="J2239" s="1" t="str">
        <f aca="false">_xlfn.IFS(AND(F2239&gt;=8,G2239&gt;=8,H2239&gt;=8),"CHAMPION",AND(F2239&gt;=6,G2239&gt;=7,H2239&gt;=6),"LOYAL CUSTOMER",AND(F2239&gt;=6,G2239&gt;=5,H2239&gt;=5),"POTENTIAL LOYALIST",AND(F2239&gt;=8,G2239&lt;=2,H2239&gt;=5),"NEW CUSTOMERS",AND(F2239&gt;=6,G2239&lt;=2,H2239&gt;=3),"PROMISING",AND(F2239&gt;=3,G2239&gt;=3,H2239&gt;=3),"NEED ATTENTION",AND(F2239&lt;=4,G2239&gt;=6,H2239&gt;=6),"AT RISK",AND(F2239&lt;=2,G2239&gt;=8,H2239&gt;=8),"CAN'T LOSE THEM",AND(F2239&lt;=2,G2239&lt;=2,H2239&lt;=2),"HIBERNATING",TRUE(),"Other")</f>
        <v>LOYAL CUSTOMER</v>
      </c>
      <c r="K2239" s="1" t="n">
        <f aca="false">RANK(E2239,$E$7:$E$4378)+COUNTIF($E$7:E2239,E2239)-1</f>
        <v>1295</v>
      </c>
    </row>
    <row r="2240" customFormat="false" ht="14.25" hidden="false" customHeight="true" outlineLevel="0" collapsed="false">
      <c r="A2240" s="51" t="n">
        <v>15366</v>
      </c>
      <c r="B2240" s="53" t="n">
        <v>40811.6256944445</v>
      </c>
      <c r="C2240" s="57" t="n">
        <f aca="false">INT($C$2)-INT(Table3[[#This Row],[Last Purchase Date]])</f>
        <v>76</v>
      </c>
      <c r="D2240" s="1" t="n">
        <v>2</v>
      </c>
      <c r="E2240" s="1" t="n">
        <v>602.51</v>
      </c>
      <c r="F2240" s="1" t="n">
        <f aca="false">ROUND((1-_xlfn.PERCENTRANK.INC($C$7:$C$4378,C2240))*9,0)</f>
        <v>3</v>
      </c>
      <c r="G2240" s="1" t="n">
        <f aca="false">ROUND(_xlfn.PERCENTRANK.INC($D$7:$D$4378,D2240)*9,0)</f>
        <v>3</v>
      </c>
      <c r="H2240" s="1" t="n">
        <f aca="false">ROUND(_xlfn.PERCENTRANK.INC($E$7:$E$4378,E2240)*9,0)</f>
        <v>4</v>
      </c>
      <c r="I2240" s="1" t="str">
        <f aca="false">CONCATENATE(F2240,G2240,H2240)</f>
        <v>334</v>
      </c>
      <c r="J2240" s="1" t="str">
        <f aca="false">_xlfn.IFS(AND(F2240&gt;=8,G2240&gt;=8,H2240&gt;=8),"CHAMPION",AND(F2240&gt;=6,G2240&gt;=7,H2240&gt;=6),"LOYAL CUSTOMER",AND(F2240&gt;=6,G2240&gt;=5,H2240&gt;=5),"POTENTIAL LOYALIST",AND(F2240&gt;=8,G2240&lt;=2,H2240&gt;=5),"NEW CUSTOMERS",AND(F2240&gt;=6,G2240&lt;=2,H2240&gt;=3),"PROMISING",AND(F2240&gt;=3,G2240&gt;=3,H2240&gt;=3),"NEED ATTENTION",AND(F2240&lt;=4,G2240&gt;=6,H2240&gt;=6),"AT RISK",AND(F2240&lt;=2,G2240&gt;=8,H2240&gt;=8),"CAN'T LOSE THEM",AND(F2240&lt;=2,G2240&lt;=2,H2240&lt;=2),"HIBERNATING",TRUE(),"Other")</f>
        <v>NEED ATTENTION</v>
      </c>
      <c r="K2240" s="1" t="n">
        <f aca="false">RANK(E2240,$E$7:$E$4378)+COUNTIF($E$7:E2240,E2240)-1</f>
        <v>2309</v>
      </c>
    </row>
    <row r="2241" customFormat="false" ht="14.25" hidden="false" customHeight="true" outlineLevel="0" collapsed="false">
      <c r="A2241" s="51" t="n">
        <v>15367</v>
      </c>
      <c r="B2241" s="53" t="n">
        <v>40829.5923611111</v>
      </c>
      <c r="C2241" s="57" t="n">
        <f aca="false">INT($C$2)-INT(Table3[[#This Row],[Last Purchase Date]])</f>
        <v>58</v>
      </c>
      <c r="D2241" s="1" t="n">
        <v>5</v>
      </c>
      <c r="E2241" s="1" t="n">
        <v>1867.69</v>
      </c>
      <c r="F2241" s="1" t="n">
        <f aca="false">ROUND((1-_xlfn.PERCENTRANK.INC($C$7:$C$4378,C2241))*9,0)</f>
        <v>4</v>
      </c>
      <c r="G2241" s="1" t="n">
        <f aca="false">ROUND(_xlfn.PERCENTRANK.INC($D$7:$D$4378,D2241)*9,0)</f>
        <v>6</v>
      </c>
      <c r="H2241" s="1" t="n">
        <f aca="false">ROUND(_xlfn.PERCENTRANK.INC($E$7:$E$4378,E2241)*9,0)</f>
        <v>7</v>
      </c>
      <c r="I2241" s="1" t="str">
        <f aca="false">CONCATENATE(F2241,G2241,H2241)</f>
        <v>467</v>
      </c>
      <c r="J2241" s="1" t="str">
        <f aca="false">_xlfn.IFS(AND(F2241&gt;=8,G2241&gt;=8,H2241&gt;=8),"CHAMPION",AND(F2241&gt;=6,G2241&gt;=7,H2241&gt;=6),"LOYAL CUSTOMER",AND(F2241&gt;=6,G2241&gt;=5,H2241&gt;=5),"POTENTIAL LOYALIST",AND(F2241&gt;=8,G2241&lt;=2,H2241&gt;=5),"NEW CUSTOMERS",AND(F2241&gt;=6,G2241&lt;=2,H2241&gt;=3),"PROMISING",AND(F2241&gt;=3,G2241&gt;=3,H2241&gt;=3),"NEED ATTENTION",AND(F2241&lt;=4,G2241&gt;=6,H2241&gt;=6),"AT RISK",AND(F2241&lt;=2,G2241&gt;=8,H2241&gt;=8),"CAN'T LOSE THEM",AND(F2241&lt;=2,G2241&lt;=2,H2241&lt;=2),"HIBERNATING",TRUE(),"Other")</f>
        <v>NEED ATTENTION</v>
      </c>
      <c r="K2241" s="1" t="n">
        <f aca="false">RANK(E2241,$E$7:$E$4378)+COUNTIF($E$7:E2241,E2241)-1</f>
        <v>936</v>
      </c>
    </row>
    <row r="2242" customFormat="false" ht="14.25" hidden="false" customHeight="true" outlineLevel="0" collapsed="false">
      <c r="A2242" s="51" t="n">
        <v>15368</v>
      </c>
      <c r="B2242" s="53" t="n">
        <v>40865.6125</v>
      </c>
      <c r="C2242" s="57" t="n">
        <f aca="false">INT($C$2)-INT(Table3[[#This Row],[Last Purchase Date]])</f>
        <v>22</v>
      </c>
      <c r="D2242" s="1" t="n">
        <v>1</v>
      </c>
      <c r="E2242" s="1" t="n">
        <v>446.94</v>
      </c>
      <c r="F2242" s="1" t="n">
        <f aca="false">ROUND((1-_xlfn.PERCENTRANK.INC($C$7:$C$4378,C2242))*9,0)</f>
        <v>6</v>
      </c>
      <c r="G2242" s="1" t="n">
        <f aca="false">ROUND(_xlfn.PERCENTRANK.INC($D$7:$D$4378,D2242)*9,0)</f>
        <v>0</v>
      </c>
      <c r="H2242" s="1" t="n">
        <f aca="false">ROUND(_xlfn.PERCENTRANK.INC($E$7:$E$4378,E2242)*9,0)</f>
        <v>3</v>
      </c>
      <c r="I2242" s="1" t="str">
        <f aca="false">CONCATENATE(F2242,G2242,H2242)</f>
        <v>603</v>
      </c>
      <c r="J2242" s="1" t="str">
        <f aca="false">_xlfn.IFS(AND(F2242&gt;=8,G2242&gt;=8,H2242&gt;=8),"CHAMPION",AND(F2242&gt;=6,G2242&gt;=7,H2242&gt;=6),"LOYAL CUSTOMER",AND(F2242&gt;=6,G2242&gt;=5,H2242&gt;=5),"POTENTIAL LOYALIST",AND(F2242&gt;=8,G2242&lt;=2,H2242&gt;=5),"NEW CUSTOMERS",AND(F2242&gt;=6,G2242&lt;=2,H2242&gt;=3),"PROMISING",AND(F2242&gt;=3,G2242&gt;=3,H2242&gt;=3),"NEED ATTENTION",AND(F2242&lt;=4,G2242&gt;=6,H2242&gt;=6),"AT RISK",AND(F2242&lt;=2,G2242&gt;=8,H2242&gt;=8),"CAN'T LOSE THEM",AND(F2242&lt;=2,G2242&lt;=2,H2242&lt;=2),"HIBERNATING",TRUE(),"Other")</f>
        <v>PROMISING</v>
      </c>
      <c r="K2242" s="1" t="n">
        <f aca="false">RANK(E2242,$E$7:$E$4378)+COUNTIF($E$7:E2242,E2242)-1</f>
        <v>2681</v>
      </c>
    </row>
    <row r="2243" customFormat="false" ht="14.25" hidden="false" customHeight="true" outlineLevel="0" collapsed="false">
      <c r="A2243" s="51" t="n">
        <v>15369</v>
      </c>
      <c r="B2243" s="53" t="n">
        <v>40742.6326388889</v>
      </c>
      <c r="C2243" s="57" t="n">
        <f aca="false">INT($C$2)-INT(Table3[[#This Row],[Last Purchase Date]])</f>
        <v>145</v>
      </c>
      <c r="D2243" s="1" t="n">
        <v>1</v>
      </c>
      <c r="E2243" s="1" t="n">
        <v>-1592.49</v>
      </c>
      <c r="F2243" s="1" t="n">
        <f aca="false">ROUND((1-_xlfn.PERCENTRANK.INC($C$7:$C$4378,C2243))*9,0)</f>
        <v>2</v>
      </c>
      <c r="G2243" s="1" t="n">
        <f aca="false">ROUND(_xlfn.PERCENTRANK.INC($D$7:$D$4378,D2243)*9,0)</f>
        <v>0</v>
      </c>
      <c r="H2243" s="1" t="n">
        <f aca="false">ROUND(_xlfn.PERCENTRANK.INC($E$7:$E$4378,E2243)*9,0)</f>
        <v>0</v>
      </c>
      <c r="I2243" s="1" t="str">
        <f aca="false">CONCATENATE(F2243,G2243,H2243)</f>
        <v>200</v>
      </c>
      <c r="J2243" s="1" t="str">
        <f aca="false">_xlfn.IFS(AND(F2243&gt;=8,G2243&gt;=8,H2243&gt;=8),"CHAMPION",AND(F2243&gt;=6,G2243&gt;=7,H2243&gt;=6),"LOYAL CUSTOMER",AND(F2243&gt;=6,G2243&gt;=5,H2243&gt;=5),"POTENTIAL LOYALIST",AND(F2243&gt;=8,G2243&lt;=2,H2243&gt;=5),"NEW CUSTOMERS",AND(F2243&gt;=6,G2243&lt;=2,H2243&gt;=3),"PROMISING",AND(F2243&gt;=3,G2243&gt;=3,H2243&gt;=3),"NEED ATTENTION",AND(F2243&lt;=4,G2243&gt;=6,H2243&gt;=6),"AT RISK",AND(F2243&lt;=2,G2243&gt;=8,H2243&gt;=8),"CAN'T LOSE THEM",AND(F2243&lt;=2,G2243&lt;=2,H2243&lt;=2),"HIBERNATING",TRUE(),"Other")</f>
        <v>HIBERNATING</v>
      </c>
      <c r="K2243" s="1" t="n">
        <f aca="false">RANK(E2243,$E$7:$E$4378)+COUNTIF($E$7:E2243,E2243)-1</f>
        <v>4371</v>
      </c>
    </row>
    <row r="2244" customFormat="false" ht="14.25" hidden="false" customHeight="true" outlineLevel="0" collapsed="false">
      <c r="A2244" s="51" t="n">
        <v>15370</v>
      </c>
      <c r="B2244" s="53" t="n">
        <v>40846.4569444444</v>
      </c>
      <c r="C2244" s="57" t="n">
        <f aca="false">INT($C$2)-INT(Table3[[#This Row],[Last Purchase Date]])</f>
        <v>41</v>
      </c>
      <c r="D2244" s="1" t="n">
        <v>8</v>
      </c>
      <c r="E2244" s="1" t="n">
        <v>2360.55</v>
      </c>
      <c r="F2244" s="1" t="n">
        <f aca="false">ROUND((1-_xlfn.PERCENTRANK.INC($C$7:$C$4378,C2244))*9,0)</f>
        <v>5</v>
      </c>
      <c r="G2244" s="1" t="n">
        <f aca="false">ROUND(_xlfn.PERCENTRANK.INC($D$7:$D$4378,D2244)*9,0)</f>
        <v>7</v>
      </c>
      <c r="H2244" s="1" t="n">
        <f aca="false">ROUND(_xlfn.PERCENTRANK.INC($E$7:$E$4378,E2244)*9,0)</f>
        <v>8</v>
      </c>
      <c r="I2244" s="1" t="str">
        <f aca="false">CONCATENATE(F2244,G2244,H2244)</f>
        <v>578</v>
      </c>
      <c r="J2244" s="1" t="str">
        <f aca="false">_xlfn.IFS(AND(F2244&gt;=8,G2244&gt;=8,H2244&gt;=8),"CHAMPION",AND(F2244&gt;=6,G2244&gt;=7,H2244&gt;=6),"LOYAL CUSTOMER",AND(F2244&gt;=6,G2244&gt;=5,H2244&gt;=5),"POTENTIAL LOYALIST",AND(F2244&gt;=8,G2244&lt;=2,H2244&gt;=5),"NEW CUSTOMERS",AND(F2244&gt;=6,G2244&lt;=2,H2244&gt;=3),"PROMISING",AND(F2244&gt;=3,G2244&gt;=3,H2244&gt;=3),"NEED ATTENTION",AND(F2244&lt;=4,G2244&gt;=6,H2244&gt;=6),"AT RISK",AND(F2244&lt;=2,G2244&gt;=8,H2244&gt;=8),"CAN'T LOSE THEM",AND(F2244&lt;=2,G2244&lt;=2,H2244&lt;=2),"HIBERNATING",TRUE(),"Other")</f>
        <v>NEED ATTENTION</v>
      </c>
      <c r="K2244" s="1" t="n">
        <f aca="false">RANK(E2244,$E$7:$E$4378)+COUNTIF($E$7:E2244,E2244)-1</f>
        <v>722</v>
      </c>
    </row>
    <row r="2245" customFormat="false" ht="14.25" hidden="false" customHeight="true" outlineLevel="0" collapsed="false">
      <c r="A2245" s="51" t="n">
        <v>15372</v>
      </c>
      <c r="B2245" s="53" t="n">
        <v>40749.69375</v>
      </c>
      <c r="C2245" s="57" t="n">
        <f aca="false">INT($C$2)-INT(Table3[[#This Row],[Last Purchase Date]])</f>
        <v>138</v>
      </c>
      <c r="D2245" s="1" t="n">
        <v>1</v>
      </c>
      <c r="E2245" s="1" t="n">
        <v>2007.4</v>
      </c>
      <c r="F2245" s="1" t="n">
        <f aca="false">ROUND((1-_xlfn.PERCENTRANK.INC($C$7:$C$4378,C2245))*9,0)</f>
        <v>2</v>
      </c>
      <c r="G2245" s="1" t="n">
        <f aca="false">ROUND(_xlfn.PERCENTRANK.INC($D$7:$D$4378,D2245)*9,0)</f>
        <v>0</v>
      </c>
      <c r="H2245" s="1" t="n">
        <f aca="false">ROUND(_xlfn.PERCENTRANK.INC($E$7:$E$4378,E2245)*9,0)</f>
        <v>7</v>
      </c>
      <c r="I2245" s="1" t="str">
        <f aca="false">CONCATENATE(F2245,G2245,H2245)</f>
        <v>207</v>
      </c>
      <c r="J2245" s="1" t="str">
        <f aca="false">_xlfn.IFS(AND(F2245&gt;=8,G2245&gt;=8,H2245&gt;=8),"CHAMPION",AND(F2245&gt;=6,G2245&gt;=7,H2245&gt;=6),"LOYAL CUSTOMER",AND(F2245&gt;=6,G2245&gt;=5,H2245&gt;=5),"POTENTIAL LOYALIST",AND(F2245&gt;=8,G2245&lt;=2,H2245&gt;=5),"NEW CUSTOMERS",AND(F2245&gt;=6,G2245&lt;=2,H2245&gt;=3),"PROMISING",AND(F2245&gt;=3,G2245&gt;=3,H2245&gt;=3),"NEED ATTENTION",AND(F2245&lt;=4,G2245&gt;=6,H2245&gt;=6),"AT RISK",AND(F2245&lt;=2,G2245&gt;=8,H2245&gt;=8),"CAN'T LOSE THEM",AND(F2245&lt;=2,G2245&lt;=2,H2245&lt;=2),"HIBERNATING",TRUE(),"Other")</f>
        <v>Other</v>
      </c>
      <c r="K2245" s="1" t="n">
        <f aca="false">RANK(E2245,$E$7:$E$4378)+COUNTIF($E$7:E2245,E2245)-1</f>
        <v>871</v>
      </c>
    </row>
    <row r="2246" customFormat="false" ht="14.25" hidden="false" customHeight="true" outlineLevel="0" collapsed="false">
      <c r="A2246" s="51" t="n">
        <v>15373</v>
      </c>
      <c r="B2246" s="53" t="n">
        <v>40878.6284722222</v>
      </c>
      <c r="C2246" s="57" t="n">
        <f aca="false">INT($C$2)-INT(Table3[[#This Row],[Last Purchase Date]])</f>
        <v>9</v>
      </c>
      <c r="D2246" s="1" t="n">
        <v>13</v>
      </c>
      <c r="E2246" s="1" t="n">
        <v>2213.11</v>
      </c>
      <c r="F2246" s="1" t="n">
        <f aca="false">ROUND((1-_xlfn.PERCENTRANK.INC($C$7:$C$4378,C2246))*9,0)</f>
        <v>8</v>
      </c>
      <c r="G2246" s="1" t="n">
        <f aca="false">ROUND(_xlfn.PERCENTRANK.INC($D$7:$D$4378,D2246)*9,0)</f>
        <v>8</v>
      </c>
      <c r="H2246" s="1" t="n">
        <f aca="false">ROUND(_xlfn.PERCENTRANK.INC($E$7:$E$4378,E2246)*9,0)</f>
        <v>7</v>
      </c>
      <c r="I2246" s="1" t="str">
        <f aca="false">CONCATENATE(F2246,G2246,H2246)</f>
        <v>887</v>
      </c>
      <c r="J2246" s="1" t="str">
        <f aca="false">_xlfn.IFS(AND(F2246&gt;=8,G2246&gt;=8,H2246&gt;=8),"CHAMPION",AND(F2246&gt;=6,G2246&gt;=7,H2246&gt;=6),"LOYAL CUSTOMER",AND(F2246&gt;=6,G2246&gt;=5,H2246&gt;=5),"POTENTIAL LOYALIST",AND(F2246&gt;=8,G2246&lt;=2,H2246&gt;=5),"NEW CUSTOMERS",AND(F2246&gt;=6,G2246&lt;=2,H2246&gt;=3),"PROMISING",AND(F2246&gt;=3,G2246&gt;=3,H2246&gt;=3),"NEED ATTENTION",AND(F2246&lt;=4,G2246&gt;=6,H2246&gt;=6),"AT RISK",AND(F2246&lt;=2,G2246&gt;=8,H2246&gt;=8),"CAN'T LOSE THEM",AND(F2246&lt;=2,G2246&lt;=2,H2246&lt;=2),"HIBERNATING",TRUE(),"Other")</f>
        <v>LOYAL CUSTOMER</v>
      </c>
      <c r="K2246" s="1" t="n">
        <f aca="false">RANK(E2246,$E$7:$E$4378)+COUNTIF($E$7:E2246,E2246)-1</f>
        <v>774</v>
      </c>
    </row>
    <row r="2247" customFormat="false" ht="14.25" hidden="false" customHeight="true" outlineLevel="0" collapsed="false">
      <c r="A2247" s="51" t="n">
        <v>15374</v>
      </c>
      <c r="B2247" s="53" t="n">
        <v>40758.4159722222</v>
      </c>
      <c r="C2247" s="57" t="n">
        <f aca="false">INT($C$2)-INT(Table3[[#This Row],[Last Purchase Date]])</f>
        <v>129</v>
      </c>
      <c r="D2247" s="1" t="n">
        <v>1</v>
      </c>
      <c r="E2247" s="1" t="n">
        <v>168</v>
      </c>
      <c r="F2247" s="1" t="n">
        <f aca="false">ROUND((1-_xlfn.PERCENTRANK.INC($C$7:$C$4378,C2247))*9,0)</f>
        <v>2</v>
      </c>
      <c r="G2247" s="1" t="n">
        <f aca="false">ROUND(_xlfn.PERCENTRANK.INC($D$7:$D$4378,D2247)*9,0)</f>
        <v>0</v>
      </c>
      <c r="H2247" s="1" t="n">
        <f aca="false">ROUND(_xlfn.PERCENTRANK.INC($E$7:$E$4378,E2247)*9,0)</f>
        <v>1</v>
      </c>
      <c r="I2247" s="1" t="str">
        <f aca="false">CONCATENATE(F2247,G2247,H2247)</f>
        <v>201</v>
      </c>
      <c r="J2247" s="1" t="str">
        <f aca="false">_xlfn.IFS(AND(F2247&gt;=8,G2247&gt;=8,H2247&gt;=8),"CHAMPION",AND(F2247&gt;=6,G2247&gt;=7,H2247&gt;=6),"LOYAL CUSTOMER",AND(F2247&gt;=6,G2247&gt;=5,H2247&gt;=5),"POTENTIAL LOYALIST",AND(F2247&gt;=8,G2247&lt;=2,H2247&gt;=5),"NEW CUSTOMERS",AND(F2247&gt;=6,G2247&lt;=2,H2247&gt;=3),"PROMISING",AND(F2247&gt;=3,G2247&gt;=3,H2247&gt;=3),"NEED ATTENTION",AND(F2247&lt;=4,G2247&gt;=6,H2247&gt;=6),"AT RISK",AND(F2247&lt;=2,G2247&gt;=8,H2247&gt;=8),"CAN'T LOSE THEM",AND(F2247&lt;=2,G2247&lt;=2,H2247&lt;=2),"HIBERNATING",TRUE(),"Other")</f>
        <v>HIBERNATING</v>
      </c>
      <c r="K2247" s="1" t="n">
        <f aca="false">RANK(E2247,$E$7:$E$4378)+COUNTIF($E$7:E2247,E2247)-1</f>
        <v>3817</v>
      </c>
    </row>
    <row r="2248" customFormat="false" ht="14.25" hidden="false" customHeight="true" outlineLevel="0" collapsed="false">
      <c r="A2248" s="51" t="n">
        <v>15376</v>
      </c>
      <c r="B2248" s="53" t="n">
        <v>40846.6277777778</v>
      </c>
      <c r="C2248" s="57" t="n">
        <f aca="false">INT($C$2)-INT(Table3[[#This Row],[Last Purchase Date]])</f>
        <v>41</v>
      </c>
      <c r="D2248" s="1" t="n">
        <v>3</v>
      </c>
      <c r="E2248" s="1" t="n">
        <v>1233.36</v>
      </c>
      <c r="F2248" s="1" t="n">
        <f aca="false">ROUND((1-_xlfn.PERCENTRANK.INC($C$7:$C$4378,C2248))*9,0)</f>
        <v>5</v>
      </c>
      <c r="G2248" s="1" t="n">
        <f aca="false">ROUND(_xlfn.PERCENTRANK.INC($D$7:$D$4378,D2248)*9,0)</f>
        <v>4</v>
      </c>
      <c r="H2248" s="1" t="n">
        <f aca="false">ROUND(_xlfn.PERCENTRANK.INC($E$7:$E$4378,E2248)*9,0)</f>
        <v>6</v>
      </c>
      <c r="I2248" s="1" t="str">
        <f aca="false">CONCATENATE(F2248,G2248,H2248)</f>
        <v>546</v>
      </c>
      <c r="J2248" s="1" t="str">
        <f aca="false">_xlfn.IFS(AND(F2248&gt;=8,G2248&gt;=8,H2248&gt;=8),"CHAMPION",AND(F2248&gt;=6,G2248&gt;=7,H2248&gt;=6),"LOYAL CUSTOMER",AND(F2248&gt;=6,G2248&gt;=5,H2248&gt;=5),"POTENTIAL LOYALIST",AND(F2248&gt;=8,G2248&lt;=2,H2248&gt;=5),"NEW CUSTOMERS",AND(F2248&gt;=6,G2248&lt;=2,H2248&gt;=3),"PROMISING",AND(F2248&gt;=3,G2248&gt;=3,H2248&gt;=3),"NEED ATTENTION",AND(F2248&lt;=4,G2248&gt;=6,H2248&gt;=6),"AT RISK",AND(F2248&lt;=2,G2248&gt;=8,H2248&gt;=8),"CAN'T LOSE THEM",AND(F2248&lt;=2,G2248&lt;=2,H2248&lt;=2),"HIBERNATING",TRUE(),"Other")</f>
        <v>NEED ATTENTION</v>
      </c>
      <c r="K2248" s="1" t="n">
        <f aca="false">RANK(E2248,$E$7:$E$4378)+COUNTIF($E$7:E2248,E2248)-1</f>
        <v>1388</v>
      </c>
    </row>
    <row r="2249" customFormat="false" ht="14.25" hidden="false" customHeight="true" outlineLevel="0" collapsed="false">
      <c r="A2249" s="51" t="n">
        <v>15379</v>
      </c>
      <c r="B2249" s="53" t="n">
        <v>40717.5506944444</v>
      </c>
      <c r="C2249" s="57" t="n">
        <f aca="false">INT($C$2)-INT(Table3[[#This Row],[Last Purchase Date]])</f>
        <v>170</v>
      </c>
      <c r="D2249" s="1" t="n">
        <v>8</v>
      </c>
      <c r="E2249" s="1" t="n">
        <v>3631.89</v>
      </c>
      <c r="F2249" s="1" t="n">
        <f aca="false">ROUND((1-_xlfn.PERCENTRANK.INC($C$7:$C$4378,C2249))*9,0)</f>
        <v>2</v>
      </c>
      <c r="G2249" s="1" t="n">
        <f aca="false">ROUND(_xlfn.PERCENTRANK.INC($D$7:$D$4378,D2249)*9,0)</f>
        <v>7</v>
      </c>
      <c r="H2249" s="1" t="n">
        <f aca="false">ROUND(_xlfn.PERCENTRANK.INC($E$7:$E$4378,E2249)*9,0)</f>
        <v>8</v>
      </c>
      <c r="I2249" s="1" t="str">
        <f aca="false">CONCATENATE(F2249,G2249,H2249)</f>
        <v>278</v>
      </c>
      <c r="J2249" s="1" t="str">
        <f aca="false">_xlfn.IFS(AND(F2249&gt;=8,G2249&gt;=8,H2249&gt;=8),"CHAMPION",AND(F2249&gt;=6,G2249&gt;=7,H2249&gt;=6),"LOYAL CUSTOMER",AND(F2249&gt;=6,G2249&gt;=5,H2249&gt;=5),"POTENTIAL LOYALIST",AND(F2249&gt;=8,G2249&lt;=2,H2249&gt;=5),"NEW CUSTOMERS",AND(F2249&gt;=6,G2249&lt;=2,H2249&gt;=3),"PROMISING",AND(F2249&gt;=3,G2249&gt;=3,H2249&gt;=3),"NEED ATTENTION",AND(F2249&lt;=4,G2249&gt;=6,H2249&gt;=6),"AT RISK",AND(F2249&lt;=2,G2249&gt;=8,H2249&gt;=8),"CAN'T LOSE THEM",AND(F2249&lt;=2,G2249&lt;=2,H2249&lt;=2),"HIBERNATING",TRUE(),"Other")</f>
        <v>AT RISK</v>
      </c>
      <c r="K2249" s="1" t="n">
        <f aca="false">RANK(E2249,$E$7:$E$4378)+COUNTIF($E$7:E2249,E2249)-1</f>
        <v>415</v>
      </c>
    </row>
    <row r="2250" customFormat="false" ht="14.25" hidden="false" customHeight="true" outlineLevel="0" collapsed="false">
      <c r="A2250" s="51" t="n">
        <v>15380</v>
      </c>
      <c r="B2250" s="53" t="n">
        <v>40878.5090277778</v>
      </c>
      <c r="C2250" s="57" t="n">
        <f aca="false">INT($C$2)-INT(Table3[[#This Row],[Last Purchase Date]])</f>
        <v>9</v>
      </c>
      <c r="D2250" s="1" t="n">
        <v>6</v>
      </c>
      <c r="E2250" s="1" t="n">
        <v>1682.36</v>
      </c>
      <c r="F2250" s="1" t="n">
        <f aca="false">ROUND((1-_xlfn.PERCENTRANK.INC($C$7:$C$4378,C2250))*9,0)</f>
        <v>8</v>
      </c>
      <c r="G2250" s="1" t="n">
        <f aca="false">ROUND(_xlfn.PERCENTRANK.INC($D$7:$D$4378,D2250)*9,0)</f>
        <v>7</v>
      </c>
      <c r="H2250" s="1" t="n">
        <f aca="false">ROUND(_xlfn.PERCENTRANK.INC($E$7:$E$4378,E2250)*9,0)</f>
        <v>7</v>
      </c>
      <c r="I2250" s="1" t="str">
        <f aca="false">CONCATENATE(F2250,G2250,H2250)</f>
        <v>877</v>
      </c>
      <c r="J2250" s="1" t="str">
        <f aca="false">_xlfn.IFS(AND(F2250&gt;=8,G2250&gt;=8,H2250&gt;=8),"CHAMPION",AND(F2250&gt;=6,G2250&gt;=7,H2250&gt;=6),"LOYAL CUSTOMER",AND(F2250&gt;=6,G2250&gt;=5,H2250&gt;=5),"POTENTIAL LOYALIST",AND(F2250&gt;=8,G2250&lt;=2,H2250&gt;=5),"NEW CUSTOMERS",AND(F2250&gt;=6,G2250&lt;=2,H2250&gt;=3),"PROMISING",AND(F2250&gt;=3,G2250&gt;=3,H2250&gt;=3),"NEED ATTENTION",AND(F2250&lt;=4,G2250&gt;=6,H2250&gt;=6),"AT RISK",AND(F2250&lt;=2,G2250&gt;=8,H2250&gt;=8),"CAN'T LOSE THEM",AND(F2250&lt;=2,G2250&lt;=2,H2250&lt;=2),"HIBERNATING",TRUE(),"Other")</f>
        <v>LOYAL CUSTOMER</v>
      </c>
      <c r="K2250" s="1" t="n">
        <f aca="false">RANK(E2250,$E$7:$E$4378)+COUNTIF($E$7:E2250,E2250)-1</f>
        <v>1047</v>
      </c>
    </row>
    <row r="2251" customFormat="false" ht="14.25" hidden="false" customHeight="true" outlineLevel="0" collapsed="false">
      <c r="A2251" s="51" t="n">
        <v>15381</v>
      </c>
      <c r="B2251" s="53" t="n">
        <v>40673.4965277778</v>
      </c>
      <c r="C2251" s="57" t="n">
        <f aca="false">INT($C$2)-INT(Table3[[#This Row],[Last Purchase Date]])</f>
        <v>214</v>
      </c>
      <c r="D2251" s="1" t="n">
        <v>2</v>
      </c>
      <c r="E2251" s="1" t="n">
        <v>596.85</v>
      </c>
      <c r="F2251" s="1" t="n">
        <f aca="false">ROUND((1-_xlfn.PERCENTRANK.INC($C$7:$C$4378,C2251))*9,0)</f>
        <v>1</v>
      </c>
      <c r="G2251" s="1" t="n">
        <f aca="false">ROUND(_xlfn.PERCENTRANK.INC($D$7:$D$4378,D2251)*9,0)</f>
        <v>3</v>
      </c>
      <c r="H2251" s="1" t="n">
        <f aca="false">ROUND(_xlfn.PERCENTRANK.INC($E$7:$E$4378,E2251)*9,0)</f>
        <v>4</v>
      </c>
      <c r="I2251" s="1" t="str">
        <f aca="false">CONCATENATE(F2251,G2251,H2251)</f>
        <v>134</v>
      </c>
      <c r="J2251" s="1" t="str">
        <f aca="false">_xlfn.IFS(AND(F2251&gt;=8,G2251&gt;=8,H2251&gt;=8),"CHAMPION",AND(F2251&gt;=6,G2251&gt;=7,H2251&gt;=6),"LOYAL CUSTOMER",AND(F2251&gt;=6,G2251&gt;=5,H2251&gt;=5),"POTENTIAL LOYALIST",AND(F2251&gt;=8,G2251&lt;=2,H2251&gt;=5),"NEW CUSTOMERS",AND(F2251&gt;=6,G2251&lt;=2,H2251&gt;=3),"PROMISING",AND(F2251&gt;=3,G2251&gt;=3,H2251&gt;=3),"NEED ATTENTION",AND(F2251&lt;=4,G2251&gt;=6,H2251&gt;=6),"AT RISK",AND(F2251&lt;=2,G2251&gt;=8,H2251&gt;=8),"CAN'T LOSE THEM",AND(F2251&lt;=2,G2251&lt;=2,H2251&lt;=2),"HIBERNATING",TRUE(),"Other")</f>
        <v>Other</v>
      </c>
      <c r="K2251" s="1" t="n">
        <f aca="false">RANK(E2251,$E$7:$E$4378)+COUNTIF($E$7:E2251,E2251)-1</f>
        <v>2332</v>
      </c>
    </row>
    <row r="2252" customFormat="false" ht="14.25" hidden="false" customHeight="true" outlineLevel="0" collapsed="false">
      <c r="A2252" s="51" t="n">
        <v>15382</v>
      </c>
      <c r="B2252" s="53" t="n">
        <v>40872.4569444444</v>
      </c>
      <c r="C2252" s="57" t="n">
        <f aca="false">INT($C$2)-INT(Table3[[#This Row],[Last Purchase Date]])</f>
        <v>15</v>
      </c>
      <c r="D2252" s="1" t="n">
        <v>8</v>
      </c>
      <c r="E2252" s="1" t="n">
        <v>5927.86</v>
      </c>
      <c r="F2252" s="1" t="n">
        <f aca="false">ROUND((1-_xlfn.PERCENTRANK.INC($C$7:$C$4378,C2252))*9,0)</f>
        <v>7</v>
      </c>
      <c r="G2252" s="1" t="n">
        <f aca="false">ROUND(_xlfn.PERCENTRANK.INC($D$7:$D$4378,D2252)*9,0)</f>
        <v>7</v>
      </c>
      <c r="H2252" s="1" t="n">
        <f aca="false">ROUND(_xlfn.PERCENTRANK.INC($E$7:$E$4378,E2252)*9,0)</f>
        <v>9</v>
      </c>
      <c r="I2252" s="1" t="str">
        <f aca="false">CONCATENATE(F2252,G2252,H2252)</f>
        <v>779</v>
      </c>
      <c r="J2252" s="1" t="str">
        <f aca="false">_xlfn.IFS(AND(F2252&gt;=8,G2252&gt;=8,H2252&gt;=8),"CHAMPION",AND(F2252&gt;=6,G2252&gt;=7,H2252&gt;=6),"LOYAL CUSTOMER",AND(F2252&gt;=6,G2252&gt;=5,H2252&gt;=5),"POTENTIAL LOYALIST",AND(F2252&gt;=8,G2252&lt;=2,H2252&gt;=5),"NEW CUSTOMERS",AND(F2252&gt;=6,G2252&lt;=2,H2252&gt;=3),"PROMISING",AND(F2252&gt;=3,G2252&gt;=3,H2252&gt;=3),"NEED ATTENTION",AND(F2252&lt;=4,G2252&gt;=6,H2252&gt;=6),"AT RISK",AND(F2252&lt;=2,G2252&gt;=8,H2252&gt;=8),"CAN'T LOSE THEM",AND(F2252&lt;=2,G2252&lt;=2,H2252&lt;=2),"HIBERNATING",TRUE(),"Other")</f>
        <v>LOYAL CUSTOMER</v>
      </c>
      <c r="K2252" s="1" t="n">
        <f aca="false">RANK(E2252,$E$7:$E$4378)+COUNTIF($E$7:E2252,E2252)-1</f>
        <v>202</v>
      </c>
    </row>
    <row r="2253" customFormat="false" ht="14.25" hidden="false" customHeight="true" outlineLevel="0" collapsed="false">
      <c r="A2253" s="51" t="n">
        <v>15384</v>
      </c>
      <c r="B2253" s="53" t="n">
        <v>40717.45625</v>
      </c>
      <c r="C2253" s="57" t="n">
        <f aca="false">INT($C$2)-INT(Table3[[#This Row],[Last Purchase Date]])</f>
        <v>170</v>
      </c>
      <c r="D2253" s="1" t="n">
        <v>3</v>
      </c>
      <c r="E2253" s="1" t="n">
        <v>635.76</v>
      </c>
      <c r="F2253" s="1" t="n">
        <f aca="false">ROUND((1-_xlfn.PERCENTRANK.INC($C$7:$C$4378,C2253))*9,0)</f>
        <v>2</v>
      </c>
      <c r="G2253" s="1" t="n">
        <f aca="false">ROUND(_xlfn.PERCENTRANK.INC($D$7:$D$4378,D2253)*9,0)</f>
        <v>4</v>
      </c>
      <c r="H2253" s="1" t="n">
        <f aca="false">ROUND(_xlfn.PERCENTRANK.INC($E$7:$E$4378,E2253)*9,0)</f>
        <v>4</v>
      </c>
      <c r="I2253" s="1" t="str">
        <f aca="false">CONCATENATE(F2253,G2253,H2253)</f>
        <v>244</v>
      </c>
      <c r="J2253" s="1" t="str">
        <f aca="false">_xlfn.IFS(AND(F2253&gt;=8,G2253&gt;=8,H2253&gt;=8),"CHAMPION",AND(F2253&gt;=6,G2253&gt;=7,H2253&gt;=6),"LOYAL CUSTOMER",AND(F2253&gt;=6,G2253&gt;=5,H2253&gt;=5),"POTENTIAL LOYALIST",AND(F2253&gt;=8,G2253&lt;=2,H2253&gt;=5),"NEW CUSTOMERS",AND(F2253&gt;=6,G2253&lt;=2,H2253&gt;=3),"PROMISING",AND(F2253&gt;=3,G2253&gt;=3,H2253&gt;=3),"NEED ATTENTION",AND(F2253&lt;=4,G2253&gt;=6,H2253&gt;=6),"AT RISK",AND(F2253&lt;=2,G2253&gt;=8,H2253&gt;=8),"CAN'T LOSE THEM",AND(F2253&lt;=2,G2253&lt;=2,H2253&lt;=2),"HIBERNATING",TRUE(),"Other")</f>
        <v>Other</v>
      </c>
      <c r="K2253" s="1" t="n">
        <f aca="false">RANK(E2253,$E$7:$E$4378)+COUNTIF($E$7:E2253,E2253)-1</f>
        <v>2218</v>
      </c>
    </row>
    <row r="2254" customFormat="false" ht="14.25" hidden="false" customHeight="true" outlineLevel="0" collapsed="false">
      <c r="A2254" s="51" t="n">
        <v>15385</v>
      </c>
      <c r="B2254" s="53" t="n">
        <v>40846.6326388889</v>
      </c>
      <c r="C2254" s="57" t="n">
        <f aca="false">INT($C$2)-INT(Table3[[#This Row],[Last Purchase Date]])</f>
        <v>41</v>
      </c>
      <c r="D2254" s="1" t="n">
        <v>1</v>
      </c>
      <c r="E2254" s="1" t="n">
        <v>316.88</v>
      </c>
      <c r="F2254" s="1" t="n">
        <f aca="false">ROUND((1-_xlfn.PERCENTRANK.INC($C$7:$C$4378,C2254))*9,0)</f>
        <v>5</v>
      </c>
      <c r="G2254" s="1" t="n">
        <f aca="false">ROUND(_xlfn.PERCENTRANK.INC($D$7:$D$4378,D2254)*9,0)</f>
        <v>0</v>
      </c>
      <c r="H2254" s="1" t="n">
        <f aca="false">ROUND(_xlfn.PERCENTRANK.INC($E$7:$E$4378,E2254)*9,0)</f>
        <v>3</v>
      </c>
      <c r="I2254" s="1" t="str">
        <f aca="false">CONCATENATE(F2254,G2254,H2254)</f>
        <v>503</v>
      </c>
      <c r="J2254" s="1" t="str">
        <f aca="false">_xlfn.IFS(AND(F2254&gt;=8,G2254&gt;=8,H2254&gt;=8),"CHAMPION",AND(F2254&gt;=6,G2254&gt;=7,H2254&gt;=6),"LOYAL CUSTOMER",AND(F2254&gt;=6,G2254&gt;=5,H2254&gt;=5),"POTENTIAL LOYALIST",AND(F2254&gt;=8,G2254&lt;=2,H2254&gt;=5),"NEW CUSTOMERS",AND(F2254&gt;=6,G2254&lt;=2,H2254&gt;=3),"PROMISING",AND(F2254&gt;=3,G2254&gt;=3,H2254&gt;=3),"NEED ATTENTION",AND(F2254&lt;=4,G2254&gt;=6,H2254&gt;=6),"AT RISK",AND(F2254&lt;=2,G2254&gt;=8,H2254&gt;=8),"CAN'T LOSE THEM",AND(F2254&lt;=2,G2254&lt;=2,H2254&lt;=2),"HIBERNATING",TRUE(),"Other")</f>
        <v>Other</v>
      </c>
      <c r="K2254" s="1" t="n">
        <f aca="false">RANK(E2254,$E$7:$E$4378)+COUNTIF($E$7:E2254,E2254)-1</f>
        <v>3153</v>
      </c>
    </row>
    <row r="2255" customFormat="false" ht="14.25" hidden="false" customHeight="true" outlineLevel="0" collapsed="false">
      <c r="A2255" s="51" t="n">
        <v>15386</v>
      </c>
      <c r="B2255" s="53" t="n">
        <v>40700.5743055556</v>
      </c>
      <c r="C2255" s="57" t="n">
        <f aca="false">INT($C$2)-INT(Table3[[#This Row],[Last Purchase Date]])</f>
        <v>187</v>
      </c>
      <c r="D2255" s="1" t="n">
        <v>1</v>
      </c>
      <c r="E2255" s="1" t="n">
        <v>394.14</v>
      </c>
      <c r="F2255" s="1" t="n">
        <f aca="false">ROUND((1-_xlfn.PERCENTRANK.INC($C$7:$C$4378,C2255))*9,0)</f>
        <v>2</v>
      </c>
      <c r="G2255" s="1" t="n">
        <f aca="false">ROUND(_xlfn.PERCENTRANK.INC($D$7:$D$4378,D2255)*9,0)</f>
        <v>0</v>
      </c>
      <c r="H2255" s="1" t="n">
        <f aca="false">ROUND(_xlfn.PERCENTRANK.INC($E$7:$E$4378,E2255)*9,0)</f>
        <v>3</v>
      </c>
      <c r="I2255" s="1" t="str">
        <f aca="false">CONCATENATE(F2255,G2255,H2255)</f>
        <v>203</v>
      </c>
      <c r="J2255" s="1" t="str">
        <f aca="false">_xlfn.IFS(AND(F2255&gt;=8,G2255&gt;=8,H2255&gt;=8),"CHAMPION",AND(F2255&gt;=6,G2255&gt;=7,H2255&gt;=6),"LOYAL CUSTOMER",AND(F2255&gt;=6,G2255&gt;=5,H2255&gt;=5),"POTENTIAL LOYALIST",AND(F2255&gt;=8,G2255&lt;=2,H2255&gt;=5),"NEW CUSTOMERS",AND(F2255&gt;=6,G2255&lt;=2,H2255&gt;=3),"PROMISING",AND(F2255&gt;=3,G2255&gt;=3,H2255&gt;=3),"NEED ATTENTION",AND(F2255&lt;=4,G2255&gt;=6,H2255&gt;=6),"AT RISK",AND(F2255&lt;=2,G2255&gt;=8,H2255&gt;=8),"CAN'T LOSE THEM",AND(F2255&lt;=2,G2255&lt;=2,H2255&lt;=2),"HIBERNATING",TRUE(),"Other")</f>
        <v>Other</v>
      </c>
      <c r="K2255" s="1" t="n">
        <f aca="false">RANK(E2255,$E$7:$E$4378)+COUNTIF($E$7:E2255,E2255)-1</f>
        <v>2836</v>
      </c>
    </row>
    <row r="2256" customFormat="false" ht="14.25" hidden="false" customHeight="true" outlineLevel="0" collapsed="false">
      <c r="A2256" s="51" t="n">
        <v>15388</v>
      </c>
      <c r="B2256" s="53" t="n">
        <v>40616.5784722222</v>
      </c>
      <c r="C2256" s="57" t="n">
        <f aca="false">INT($C$2)-INT(Table3[[#This Row],[Last Purchase Date]])</f>
        <v>271</v>
      </c>
      <c r="D2256" s="1" t="n">
        <v>1</v>
      </c>
      <c r="E2256" s="1" t="n">
        <v>140.54</v>
      </c>
      <c r="F2256" s="1" t="n">
        <f aca="false">ROUND((1-_xlfn.PERCENTRANK.INC($C$7:$C$4378,C2256))*9,0)</f>
        <v>1</v>
      </c>
      <c r="G2256" s="1" t="n">
        <f aca="false">ROUND(_xlfn.PERCENTRANK.INC($D$7:$D$4378,D2256)*9,0)</f>
        <v>0</v>
      </c>
      <c r="H2256" s="1" t="n">
        <f aca="false">ROUND(_xlfn.PERCENTRANK.INC($E$7:$E$4378,E2256)*9,0)</f>
        <v>1</v>
      </c>
      <c r="I2256" s="1" t="str">
        <f aca="false">CONCATENATE(F2256,G2256,H2256)</f>
        <v>101</v>
      </c>
      <c r="J2256" s="1" t="str">
        <f aca="false">_xlfn.IFS(AND(F2256&gt;=8,G2256&gt;=8,H2256&gt;=8),"CHAMPION",AND(F2256&gt;=6,G2256&gt;=7,H2256&gt;=6),"LOYAL CUSTOMER",AND(F2256&gt;=6,G2256&gt;=5,H2256&gt;=5),"POTENTIAL LOYALIST",AND(F2256&gt;=8,G2256&lt;=2,H2256&gt;=5),"NEW CUSTOMERS",AND(F2256&gt;=6,G2256&lt;=2,H2256&gt;=3),"PROMISING",AND(F2256&gt;=3,G2256&gt;=3,H2256&gt;=3),"NEED ATTENTION",AND(F2256&lt;=4,G2256&gt;=6,H2256&gt;=6),"AT RISK",AND(F2256&lt;=2,G2256&gt;=8,H2256&gt;=8),"CAN'T LOSE THEM",AND(F2256&lt;=2,G2256&lt;=2,H2256&lt;=2),"HIBERNATING",TRUE(),"Other")</f>
        <v>HIBERNATING</v>
      </c>
      <c r="K2256" s="1" t="n">
        <f aca="false">RANK(E2256,$E$7:$E$4378)+COUNTIF($E$7:E2256,E2256)-1</f>
        <v>3954</v>
      </c>
    </row>
    <row r="2257" customFormat="false" ht="14.25" hidden="false" customHeight="true" outlineLevel="0" collapsed="false">
      <c r="A2257" s="51" t="n">
        <v>15389</v>
      </c>
      <c r="B2257" s="53" t="n">
        <v>40714.6791666667</v>
      </c>
      <c r="C2257" s="57" t="n">
        <f aca="false">INT($C$2)-INT(Table3[[#This Row],[Last Purchase Date]])</f>
        <v>173</v>
      </c>
      <c r="D2257" s="1" t="n">
        <v>1</v>
      </c>
      <c r="E2257" s="1" t="n">
        <v>500</v>
      </c>
      <c r="F2257" s="1" t="n">
        <f aca="false">ROUND((1-_xlfn.PERCENTRANK.INC($C$7:$C$4378,C2257))*9,0)</f>
        <v>2</v>
      </c>
      <c r="G2257" s="1" t="n">
        <f aca="false">ROUND(_xlfn.PERCENTRANK.INC($D$7:$D$4378,D2257)*9,0)</f>
        <v>0</v>
      </c>
      <c r="H2257" s="1" t="n">
        <f aca="false">ROUND(_xlfn.PERCENTRANK.INC($E$7:$E$4378,E2257)*9,0)</f>
        <v>4</v>
      </c>
      <c r="I2257" s="1" t="str">
        <f aca="false">CONCATENATE(F2257,G2257,H2257)</f>
        <v>204</v>
      </c>
      <c r="J2257" s="1" t="str">
        <f aca="false">_xlfn.IFS(AND(F2257&gt;=8,G2257&gt;=8,H2257&gt;=8),"CHAMPION",AND(F2257&gt;=6,G2257&gt;=7,H2257&gt;=6),"LOYAL CUSTOMER",AND(F2257&gt;=6,G2257&gt;=5,H2257&gt;=5),"POTENTIAL LOYALIST",AND(F2257&gt;=8,G2257&lt;=2,H2257&gt;=5),"NEW CUSTOMERS",AND(F2257&gt;=6,G2257&lt;=2,H2257&gt;=3),"PROMISING",AND(F2257&gt;=3,G2257&gt;=3,H2257&gt;=3),"NEED ATTENTION",AND(F2257&lt;=4,G2257&gt;=6,H2257&gt;=6),"AT RISK",AND(F2257&lt;=2,G2257&gt;=8,H2257&gt;=8),"CAN'T LOSE THEM",AND(F2257&lt;=2,G2257&lt;=2,H2257&lt;=2),"HIBERNATING",TRUE(),"Other")</f>
        <v>Other</v>
      </c>
      <c r="K2257" s="1" t="n">
        <f aca="false">RANK(E2257,$E$7:$E$4378)+COUNTIF($E$7:E2257,E2257)-1</f>
        <v>2540</v>
      </c>
    </row>
    <row r="2258" customFormat="false" ht="14.25" hidden="false" customHeight="true" outlineLevel="0" collapsed="false">
      <c r="A2258" s="51" t="n">
        <v>15392</v>
      </c>
      <c r="B2258" s="53" t="n">
        <v>40882.4590277778</v>
      </c>
      <c r="C2258" s="57" t="n">
        <f aca="false">INT($C$2)-INT(Table3[[#This Row],[Last Purchase Date]])</f>
        <v>5</v>
      </c>
      <c r="D2258" s="1" t="n">
        <v>5</v>
      </c>
      <c r="E2258" s="1" t="n">
        <v>1515.73</v>
      </c>
      <c r="F2258" s="1" t="n">
        <f aca="false">ROUND((1-_xlfn.PERCENTRANK.INC($C$7:$C$4378,C2258))*9,0)</f>
        <v>8</v>
      </c>
      <c r="G2258" s="1" t="n">
        <f aca="false">ROUND(_xlfn.PERCENTRANK.INC($D$7:$D$4378,D2258)*9,0)</f>
        <v>6</v>
      </c>
      <c r="H2258" s="1" t="n">
        <f aca="false">ROUND(_xlfn.PERCENTRANK.INC($E$7:$E$4378,E2258)*9,0)</f>
        <v>7</v>
      </c>
      <c r="I2258" s="1" t="str">
        <f aca="false">CONCATENATE(F2258,G2258,H2258)</f>
        <v>867</v>
      </c>
      <c r="J2258" s="1" t="str">
        <f aca="false">_xlfn.IFS(AND(F2258&gt;=8,G2258&gt;=8,H2258&gt;=8),"CHAMPION",AND(F2258&gt;=6,G2258&gt;=7,H2258&gt;=6),"LOYAL CUSTOMER",AND(F2258&gt;=6,G2258&gt;=5,H2258&gt;=5),"POTENTIAL LOYALIST",AND(F2258&gt;=8,G2258&lt;=2,H2258&gt;=5),"NEW CUSTOMERS",AND(F2258&gt;=6,G2258&lt;=2,H2258&gt;=3),"PROMISING",AND(F2258&gt;=3,G2258&gt;=3,H2258&gt;=3),"NEED ATTENTION",AND(F2258&lt;=4,G2258&gt;=6,H2258&gt;=6),"AT RISK",AND(F2258&lt;=2,G2258&gt;=8,H2258&gt;=8),"CAN'T LOSE THEM",AND(F2258&lt;=2,G2258&lt;=2,H2258&lt;=2),"HIBERNATING",TRUE(),"Other")</f>
        <v>POTENTIAL LOYALIST</v>
      </c>
      <c r="K2258" s="1" t="n">
        <f aca="false">RANK(E2258,$E$7:$E$4378)+COUNTIF($E$7:E2258,E2258)-1</f>
        <v>1157</v>
      </c>
    </row>
    <row r="2259" customFormat="false" ht="14.25" hidden="false" customHeight="true" outlineLevel="0" collapsed="false">
      <c r="A2259" s="51" t="n">
        <v>15393</v>
      </c>
      <c r="B2259" s="53" t="n">
        <v>40870.7</v>
      </c>
      <c r="C2259" s="57" t="n">
        <f aca="false">INT($C$2)-INT(Table3[[#This Row],[Last Purchase Date]])</f>
        <v>17</v>
      </c>
      <c r="D2259" s="1" t="n">
        <v>2</v>
      </c>
      <c r="E2259" s="1" t="n">
        <v>231.86</v>
      </c>
      <c r="F2259" s="1" t="n">
        <f aca="false">ROUND((1-_xlfn.PERCENTRANK.INC($C$7:$C$4378,C2259))*9,0)</f>
        <v>7</v>
      </c>
      <c r="G2259" s="1" t="n">
        <f aca="false">ROUND(_xlfn.PERCENTRANK.INC($D$7:$D$4378,D2259)*9,0)</f>
        <v>3</v>
      </c>
      <c r="H2259" s="1" t="n">
        <f aca="false">ROUND(_xlfn.PERCENTRANK.INC($E$7:$E$4378,E2259)*9,0)</f>
        <v>2</v>
      </c>
      <c r="I2259" s="1" t="str">
        <f aca="false">CONCATENATE(F2259,G2259,H2259)</f>
        <v>732</v>
      </c>
      <c r="J2259" s="1" t="str">
        <f aca="false">_xlfn.IFS(AND(F2259&gt;=8,G2259&gt;=8,H2259&gt;=8),"CHAMPION",AND(F2259&gt;=6,G2259&gt;=7,H2259&gt;=6),"LOYAL CUSTOMER",AND(F2259&gt;=6,G2259&gt;=5,H2259&gt;=5),"POTENTIAL LOYALIST",AND(F2259&gt;=8,G2259&lt;=2,H2259&gt;=5),"NEW CUSTOMERS",AND(F2259&gt;=6,G2259&lt;=2,H2259&gt;=3),"PROMISING",AND(F2259&gt;=3,G2259&gt;=3,H2259&gt;=3),"NEED ATTENTION",AND(F2259&lt;=4,G2259&gt;=6,H2259&gt;=6),"AT RISK",AND(F2259&lt;=2,G2259&gt;=8,H2259&gt;=8),"CAN'T LOSE THEM",AND(F2259&lt;=2,G2259&lt;=2,H2259&lt;=2),"HIBERNATING",TRUE(),"Other")</f>
        <v>Other</v>
      </c>
      <c r="K2259" s="1" t="n">
        <f aca="false">RANK(E2259,$E$7:$E$4378)+COUNTIF($E$7:E2259,E2259)-1</f>
        <v>3511</v>
      </c>
    </row>
    <row r="2260" customFormat="false" ht="14.25" hidden="false" customHeight="true" outlineLevel="0" collapsed="false">
      <c r="A2260" s="51" t="n">
        <v>15394</v>
      </c>
      <c r="B2260" s="53" t="n">
        <v>40877.4923611111</v>
      </c>
      <c r="C2260" s="57" t="n">
        <f aca="false">INT($C$2)-INT(Table3[[#This Row],[Last Purchase Date]])</f>
        <v>10</v>
      </c>
      <c r="D2260" s="1" t="n">
        <v>4</v>
      </c>
      <c r="E2260" s="1" t="n">
        <v>2183.54</v>
      </c>
      <c r="F2260" s="1" t="n">
        <f aca="false">ROUND((1-_xlfn.PERCENTRANK.INC($C$7:$C$4378,C2260))*9,0)</f>
        <v>8</v>
      </c>
      <c r="G2260" s="1" t="n">
        <f aca="false">ROUND(_xlfn.PERCENTRANK.INC($D$7:$D$4378,D2260)*9,0)</f>
        <v>5</v>
      </c>
      <c r="H2260" s="1" t="n">
        <f aca="false">ROUND(_xlfn.PERCENTRANK.INC($E$7:$E$4378,E2260)*9,0)</f>
        <v>7</v>
      </c>
      <c r="I2260" s="1" t="str">
        <f aca="false">CONCATENATE(F2260,G2260,H2260)</f>
        <v>857</v>
      </c>
      <c r="J2260" s="1" t="str">
        <f aca="false">_xlfn.IFS(AND(F2260&gt;=8,G2260&gt;=8,H2260&gt;=8),"CHAMPION",AND(F2260&gt;=6,G2260&gt;=7,H2260&gt;=6),"LOYAL CUSTOMER",AND(F2260&gt;=6,G2260&gt;=5,H2260&gt;=5),"POTENTIAL LOYALIST",AND(F2260&gt;=8,G2260&lt;=2,H2260&gt;=5),"NEW CUSTOMERS",AND(F2260&gt;=6,G2260&lt;=2,H2260&gt;=3),"PROMISING",AND(F2260&gt;=3,G2260&gt;=3,H2260&gt;=3),"NEED ATTENTION",AND(F2260&lt;=4,G2260&gt;=6,H2260&gt;=6),"AT RISK",AND(F2260&lt;=2,G2260&gt;=8,H2260&gt;=8),"CAN'T LOSE THEM",AND(F2260&lt;=2,G2260&lt;=2,H2260&lt;=2),"HIBERNATING",TRUE(),"Other")</f>
        <v>POTENTIAL LOYALIST</v>
      </c>
      <c r="K2260" s="1" t="n">
        <f aca="false">RANK(E2260,$E$7:$E$4378)+COUNTIF($E$7:E2260,E2260)-1</f>
        <v>791</v>
      </c>
    </row>
    <row r="2261" customFormat="false" ht="14.25" hidden="false" customHeight="true" outlineLevel="0" collapsed="false">
      <c r="A2261" s="51" t="n">
        <v>15395</v>
      </c>
      <c r="B2261" s="53" t="n">
        <v>40561.5277777778</v>
      </c>
      <c r="C2261" s="57" t="n">
        <f aca="false">INT($C$2)-INT(Table3[[#This Row],[Last Purchase Date]])</f>
        <v>326</v>
      </c>
      <c r="D2261" s="1" t="n">
        <v>1</v>
      </c>
      <c r="E2261" s="1" t="n">
        <v>107.45</v>
      </c>
      <c r="F2261" s="1" t="n">
        <f aca="false">ROUND((1-_xlfn.PERCENTRANK.INC($C$7:$C$4378,C2261))*9,0)</f>
        <v>0</v>
      </c>
      <c r="G2261" s="1" t="n">
        <f aca="false">ROUND(_xlfn.PERCENTRANK.INC($D$7:$D$4378,D2261)*9,0)</f>
        <v>0</v>
      </c>
      <c r="H2261" s="1" t="n">
        <f aca="false">ROUND(_xlfn.PERCENTRANK.INC($E$7:$E$4378,E2261)*9,0)</f>
        <v>1</v>
      </c>
      <c r="I2261" s="1" t="str">
        <f aca="false">CONCATENATE(F2261,G2261,H2261)</f>
        <v>001</v>
      </c>
      <c r="J2261" s="1" t="str">
        <f aca="false">_xlfn.IFS(AND(F2261&gt;=8,G2261&gt;=8,H2261&gt;=8),"CHAMPION",AND(F2261&gt;=6,G2261&gt;=7,H2261&gt;=6),"LOYAL CUSTOMER",AND(F2261&gt;=6,G2261&gt;=5,H2261&gt;=5),"POTENTIAL LOYALIST",AND(F2261&gt;=8,G2261&lt;=2,H2261&gt;=5),"NEW CUSTOMERS",AND(F2261&gt;=6,G2261&lt;=2,H2261&gt;=3),"PROMISING",AND(F2261&gt;=3,G2261&gt;=3,H2261&gt;=3),"NEED ATTENTION",AND(F2261&lt;=4,G2261&gt;=6,H2261&gt;=6),"AT RISK",AND(F2261&lt;=2,G2261&gt;=8,H2261&gt;=8),"CAN'T LOSE THEM",AND(F2261&lt;=2,G2261&lt;=2,H2261&lt;=2),"HIBERNATING",TRUE(),"Other")</f>
        <v>HIBERNATING</v>
      </c>
      <c r="K2261" s="1" t="n">
        <f aca="false">RANK(E2261,$E$7:$E$4378)+COUNTIF($E$7:E2261,E2261)-1</f>
        <v>4128</v>
      </c>
    </row>
    <row r="2262" customFormat="false" ht="14.25" hidden="false" customHeight="true" outlineLevel="0" collapsed="false">
      <c r="A2262" s="51" t="n">
        <v>15396</v>
      </c>
      <c r="B2262" s="53" t="n">
        <v>40774.4555555556</v>
      </c>
      <c r="C2262" s="57" t="n">
        <f aca="false">INT($C$2)-INT(Table3[[#This Row],[Last Purchase Date]])</f>
        <v>113</v>
      </c>
      <c r="D2262" s="1" t="n">
        <v>1</v>
      </c>
      <c r="E2262" s="1" t="n">
        <v>288.18</v>
      </c>
      <c r="F2262" s="1" t="n">
        <f aca="false">ROUND((1-_xlfn.PERCENTRANK.INC($C$7:$C$4378,C2262))*9,0)</f>
        <v>3</v>
      </c>
      <c r="G2262" s="1" t="n">
        <f aca="false">ROUND(_xlfn.PERCENTRANK.INC($D$7:$D$4378,D2262)*9,0)</f>
        <v>0</v>
      </c>
      <c r="H2262" s="1" t="n">
        <f aca="false">ROUND(_xlfn.PERCENTRANK.INC($E$7:$E$4378,E2262)*9,0)</f>
        <v>2</v>
      </c>
      <c r="I2262" s="1" t="str">
        <f aca="false">CONCATENATE(F2262,G2262,H2262)</f>
        <v>302</v>
      </c>
      <c r="J2262" s="1" t="str">
        <f aca="false">_xlfn.IFS(AND(F2262&gt;=8,G2262&gt;=8,H2262&gt;=8),"CHAMPION",AND(F2262&gt;=6,G2262&gt;=7,H2262&gt;=6),"LOYAL CUSTOMER",AND(F2262&gt;=6,G2262&gt;=5,H2262&gt;=5),"POTENTIAL LOYALIST",AND(F2262&gt;=8,G2262&lt;=2,H2262&gt;=5),"NEW CUSTOMERS",AND(F2262&gt;=6,G2262&lt;=2,H2262&gt;=3),"PROMISING",AND(F2262&gt;=3,G2262&gt;=3,H2262&gt;=3),"NEED ATTENTION",AND(F2262&lt;=4,G2262&gt;=6,H2262&gt;=6),"AT RISK",AND(F2262&lt;=2,G2262&gt;=8,H2262&gt;=8),"CAN'T LOSE THEM",AND(F2262&lt;=2,G2262&lt;=2,H2262&lt;=2),"HIBERNATING",TRUE(),"Other")</f>
        <v>Other</v>
      </c>
      <c r="K2262" s="1" t="n">
        <f aca="false">RANK(E2262,$E$7:$E$4378)+COUNTIF($E$7:E2262,E2262)-1</f>
        <v>3304</v>
      </c>
    </row>
    <row r="2263" customFormat="false" ht="14.25" hidden="false" customHeight="true" outlineLevel="0" collapsed="false">
      <c r="A2263" s="51" t="n">
        <v>15397</v>
      </c>
      <c r="B2263" s="53" t="n">
        <v>40597.3923611111</v>
      </c>
      <c r="C2263" s="57" t="n">
        <f aca="false">INT($C$2)-INT(Table3[[#This Row],[Last Purchase Date]])</f>
        <v>290</v>
      </c>
      <c r="D2263" s="1" t="n">
        <v>1</v>
      </c>
      <c r="E2263" s="1" t="n">
        <v>94</v>
      </c>
      <c r="F2263" s="1" t="n">
        <f aca="false">ROUND((1-_xlfn.PERCENTRANK.INC($C$7:$C$4378,C2263))*9,0)</f>
        <v>1</v>
      </c>
      <c r="G2263" s="1" t="n">
        <f aca="false">ROUND(_xlfn.PERCENTRANK.INC($D$7:$D$4378,D2263)*9,0)</f>
        <v>0</v>
      </c>
      <c r="H2263" s="1" t="n">
        <f aca="false">ROUND(_xlfn.PERCENTRANK.INC($E$7:$E$4378,E2263)*9,0)</f>
        <v>0</v>
      </c>
      <c r="I2263" s="1" t="str">
        <f aca="false">CONCATENATE(F2263,G2263,H2263)</f>
        <v>100</v>
      </c>
      <c r="J2263" s="1" t="str">
        <f aca="false">_xlfn.IFS(AND(F2263&gt;=8,G2263&gt;=8,H2263&gt;=8),"CHAMPION",AND(F2263&gt;=6,G2263&gt;=7,H2263&gt;=6),"LOYAL CUSTOMER",AND(F2263&gt;=6,G2263&gt;=5,H2263&gt;=5),"POTENTIAL LOYALIST",AND(F2263&gt;=8,G2263&lt;=2,H2263&gt;=5),"NEW CUSTOMERS",AND(F2263&gt;=6,G2263&lt;=2,H2263&gt;=3),"PROMISING",AND(F2263&gt;=3,G2263&gt;=3,H2263&gt;=3),"NEED ATTENTION",AND(F2263&lt;=4,G2263&gt;=6,H2263&gt;=6),"AT RISK",AND(F2263&lt;=2,G2263&gt;=8,H2263&gt;=8),"CAN'T LOSE THEM",AND(F2263&lt;=2,G2263&lt;=2,H2263&lt;=2),"HIBERNATING",TRUE(),"Other")</f>
        <v>HIBERNATING</v>
      </c>
      <c r="K2263" s="1" t="n">
        <f aca="false">RANK(E2263,$E$7:$E$4378)+COUNTIF($E$7:E2263,E2263)-1</f>
        <v>4178</v>
      </c>
    </row>
    <row r="2264" customFormat="false" ht="14.25" hidden="false" customHeight="true" outlineLevel="0" collapsed="false">
      <c r="A2264" s="51" t="n">
        <v>15398</v>
      </c>
      <c r="B2264" s="53" t="n">
        <v>40870.6993055556</v>
      </c>
      <c r="C2264" s="57" t="n">
        <f aca="false">INT($C$2)-INT(Table3[[#This Row],[Last Purchase Date]])</f>
        <v>17</v>
      </c>
      <c r="D2264" s="1" t="n">
        <v>3</v>
      </c>
      <c r="E2264" s="1" t="n">
        <v>1339.63</v>
      </c>
      <c r="F2264" s="1" t="n">
        <f aca="false">ROUND((1-_xlfn.PERCENTRANK.INC($C$7:$C$4378,C2264))*9,0)</f>
        <v>7</v>
      </c>
      <c r="G2264" s="1" t="n">
        <f aca="false">ROUND(_xlfn.PERCENTRANK.INC($D$7:$D$4378,D2264)*9,0)</f>
        <v>4</v>
      </c>
      <c r="H2264" s="1" t="n">
        <f aca="false">ROUND(_xlfn.PERCENTRANK.INC($E$7:$E$4378,E2264)*9,0)</f>
        <v>6</v>
      </c>
      <c r="I2264" s="1" t="str">
        <f aca="false">CONCATENATE(F2264,G2264,H2264)</f>
        <v>746</v>
      </c>
      <c r="J2264" s="1" t="str">
        <f aca="false">_xlfn.IFS(AND(F2264&gt;=8,G2264&gt;=8,H2264&gt;=8),"CHAMPION",AND(F2264&gt;=6,G2264&gt;=7,H2264&gt;=6),"LOYAL CUSTOMER",AND(F2264&gt;=6,G2264&gt;=5,H2264&gt;=5),"POTENTIAL LOYALIST",AND(F2264&gt;=8,G2264&lt;=2,H2264&gt;=5),"NEW CUSTOMERS",AND(F2264&gt;=6,G2264&lt;=2,H2264&gt;=3),"PROMISING",AND(F2264&gt;=3,G2264&gt;=3,H2264&gt;=3),"NEED ATTENTION",AND(F2264&lt;=4,G2264&gt;=6,H2264&gt;=6),"AT RISK",AND(F2264&lt;=2,G2264&gt;=8,H2264&gt;=8),"CAN'T LOSE THEM",AND(F2264&lt;=2,G2264&lt;=2,H2264&lt;=2),"HIBERNATING",TRUE(),"Other")</f>
        <v>NEED ATTENTION</v>
      </c>
      <c r="K2264" s="1" t="n">
        <f aca="false">RANK(E2264,$E$7:$E$4378)+COUNTIF($E$7:E2264,E2264)-1</f>
        <v>1287</v>
      </c>
    </row>
    <row r="2265" customFormat="false" ht="14.25" hidden="false" customHeight="true" outlineLevel="0" collapsed="false">
      <c r="A2265" s="51" t="n">
        <v>15399</v>
      </c>
      <c r="B2265" s="53" t="n">
        <v>40885.5444444444</v>
      </c>
      <c r="C2265" s="57" t="n">
        <f aca="false">INT($C$2)-INT(Table3[[#This Row],[Last Purchase Date]])</f>
        <v>2</v>
      </c>
      <c r="D2265" s="1" t="n">
        <v>3</v>
      </c>
      <c r="E2265" s="1" t="n">
        <v>815.77</v>
      </c>
      <c r="F2265" s="1" t="n">
        <f aca="false">ROUND((1-_xlfn.PERCENTRANK.INC($C$7:$C$4378,C2265))*9,0)</f>
        <v>9</v>
      </c>
      <c r="G2265" s="1" t="n">
        <f aca="false">ROUND(_xlfn.PERCENTRANK.INC($D$7:$D$4378,D2265)*9,0)</f>
        <v>4</v>
      </c>
      <c r="H2265" s="1" t="n">
        <f aca="false">ROUND(_xlfn.PERCENTRANK.INC($E$7:$E$4378,E2265)*9,0)</f>
        <v>5</v>
      </c>
      <c r="I2265" s="1" t="str">
        <f aca="false">CONCATENATE(F2265,G2265,H2265)</f>
        <v>945</v>
      </c>
      <c r="J2265" s="1" t="str">
        <f aca="false">_xlfn.IFS(AND(F2265&gt;=8,G2265&gt;=8,H2265&gt;=8),"CHAMPION",AND(F2265&gt;=6,G2265&gt;=7,H2265&gt;=6),"LOYAL CUSTOMER",AND(F2265&gt;=6,G2265&gt;=5,H2265&gt;=5),"POTENTIAL LOYALIST",AND(F2265&gt;=8,G2265&lt;=2,H2265&gt;=5),"NEW CUSTOMERS",AND(F2265&gt;=6,G2265&lt;=2,H2265&gt;=3),"PROMISING",AND(F2265&gt;=3,G2265&gt;=3,H2265&gt;=3),"NEED ATTENTION",AND(F2265&lt;=4,G2265&gt;=6,H2265&gt;=6),"AT RISK",AND(F2265&lt;=2,G2265&gt;=8,H2265&gt;=8),"CAN'T LOSE THEM",AND(F2265&lt;=2,G2265&lt;=2,H2265&lt;=2),"HIBERNATING",TRUE(),"Other")</f>
        <v>NEED ATTENTION</v>
      </c>
      <c r="K2265" s="1" t="n">
        <f aca="false">RANK(E2265,$E$7:$E$4378)+COUNTIF($E$7:E2265,E2265)-1</f>
        <v>1870</v>
      </c>
    </row>
    <row r="2266" customFormat="false" ht="14.25" hidden="false" customHeight="true" outlineLevel="0" collapsed="false">
      <c r="A2266" s="51" t="n">
        <v>15400</v>
      </c>
      <c r="B2266" s="53" t="n">
        <v>40794.58125</v>
      </c>
      <c r="C2266" s="57" t="n">
        <f aca="false">INT($C$2)-INT(Table3[[#This Row],[Last Purchase Date]])</f>
        <v>93</v>
      </c>
      <c r="D2266" s="1" t="n">
        <v>6</v>
      </c>
      <c r="E2266" s="1" t="n">
        <v>666.7</v>
      </c>
      <c r="F2266" s="1" t="n">
        <f aca="false">ROUND((1-_xlfn.PERCENTRANK.INC($C$7:$C$4378,C2266))*9,0)</f>
        <v>3</v>
      </c>
      <c r="G2266" s="1" t="n">
        <f aca="false">ROUND(_xlfn.PERCENTRANK.INC($D$7:$D$4378,D2266)*9,0)</f>
        <v>7</v>
      </c>
      <c r="H2266" s="1" t="n">
        <f aca="false">ROUND(_xlfn.PERCENTRANK.INC($E$7:$E$4378,E2266)*9,0)</f>
        <v>5</v>
      </c>
      <c r="I2266" s="1" t="str">
        <f aca="false">CONCATENATE(F2266,G2266,H2266)</f>
        <v>375</v>
      </c>
      <c r="J2266" s="1" t="str">
        <f aca="false">_xlfn.IFS(AND(F2266&gt;=8,G2266&gt;=8,H2266&gt;=8),"CHAMPION",AND(F2266&gt;=6,G2266&gt;=7,H2266&gt;=6),"LOYAL CUSTOMER",AND(F2266&gt;=6,G2266&gt;=5,H2266&gt;=5),"POTENTIAL LOYALIST",AND(F2266&gt;=8,G2266&lt;=2,H2266&gt;=5),"NEW CUSTOMERS",AND(F2266&gt;=6,G2266&lt;=2,H2266&gt;=3),"PROMISING",AND(F2266&gt;=3,G2266&gt;=3,H2266&gt;=3),"NEED ATTENTION",AND(F2266&lt;=4,G2266&gt;=6,H2266&gt;=6),"AT RISK",AND(F2266&lt;=2,G2266&gt;=8,H2266&gt;=8),"CAN'T LOSE THEM",AND(F2266&lt;=2,G2266&lt;=2,H2266&lt;=2),"HIBERNATING",TRUE(),"Other")</f>
        <v>NEED ATTENTION</v>
      </c>
      <c r="K2266" s="1" t="n">
        <f aca="false">RANK(E2266,$E$7:$E$4378)+COUNTIF($E$7:E2266,E2266)-1</f>
        <v>2137</v>
      </c>
    </row>
    <row r="2267" customFormat="false" ht="14.25" hidden="false" customHeight="true" outlineLevel="0" collapsed="false">
      <c r="A2267" s="51" t="n">
        <v>15402</v>
      </c>
      <c r="B2267" s="53" t="n">
        <v>40738.5118055556</v>
      </c>
      <c r="C2267" s="57" t="n">
        <f aca="false">INT($C$2)-INT(Table3[[#This Row],[Last Purchase Date]])</f>
        <v>149</v>
      </c>
      <c r="D2267" s="1" t="n">
        <v>2</v>
      </c>
      <c r="E2267" s="1" t="n">
        <v>626.77</v>
      </c>
      <c r="F2267" s="1" t="n">
        <f aca="false">ROUND((1-_xlfn.PERCENTRANK.INC($C$7:$C$4378,C2267))*9,0)</f>
        <v>2</v>
      </c>
      <c r="G2267" s="1" t="n">
        <f aca="false">ROUND(_xlfn.PERCENTRANK.INC($D$7:$D$4378,D2267)*9,0)</f>
        <v>3</v>
      </c>
      <c r="H2267" s="1" t="n">
        <f aca="false">ROUND(_xlfn.PERCENTRANK.INC($E$7:$E$4378,E2267)*9,0)</f>
        <v>4</v>
      </c>
      <c r="I2267" s="1" t="str">
        <f aca="false">CONCATENATE(F2267,G2267,H2267)</f>
        <v>234</v>
      </c>
      <c r="J2267" s="1" t="str">
        <f aca="false">_xlfn.IFS(AND(F2267&gt;=8,G2267&gt;=8,H2267&gt;=8),"CHAMPION",AND(F2267&gt;=6,G2267&gt;=7,H2267&gt;=6),"LOYAL CUSTOMER",AND(F2267&gt;=6,G2267&gt;=5,H2267&gt;=5),"POTENTIAL LOYALIST",AND(F2267&gt;=8,G2267&lt;=2,H2267&gt;=5),"NEW CUSTOMERS",AND(F2267&gt;=6,G2267&lt;=2,H2267&gt;=3),"PROMISING",AND(F2267&gt;=3,G2267&gt;=3,H2267&gt;=3),"NEED ATTENTION",AND(F2267&lt;=4,G2267&gt;=6,H2267&gt;=6),"AT RISK",AND(F2267&lt;=2,G2267&gt;=8,H2267&gt;=8),"CAN'T LOSE THEM",AND(F2267&lt;=2,G2267&lt;=2,H2267&lt;=2),"HIBERNATING",TRUE(),"Other")</f>
        <v>Other</v>
      </c>
      <c r="K2267" s="1" t="n">
        <f aca="false">RANK(E2267,$E$7:$E$4378)+COUNTIF($E$7:E2267,E2267)-1</f>
        <v>2241</v>
      </c>
    </row>
    <row r="2268" customFormat="false" ht="14.25" hidden="false" customHeight="true" outlineLevel="0" collapsed="false">
      <c r="A2268" s="51" t="n">
        <v>15405</v>
      </c>
      <c r="B2268" s="53" t="n">
        <v>40697.6138888889</v>
      </c>
      <c r="C2268" s="57" t="n">
        <f aca="false">INT($C$2)-INT(Table3[[#This Row],[Last Purchase Date]])</f>
        <v>190</v>
      </c>
      <c r="D2268" s="1" t="n">
        <v>1</v>
      </c>
      <c r="E2268" s="1" t="n">
        <v>349.1</v>
      </c>
      <c r="F2268" s="1" t="n">
        <f aca="false">ROUND((1-_xlfn.PERCENTRANK.INC($C$7:$C$4378,C2268))*9,0)</f>
        <v>2</v>
      </c>
      <c r="G2268" s="1" t="n">
        <f aca="false">ROUND(_xlfn.PERCENTRANK.INC($D$7:$D$4378,D2268)*9,0)</f>
        <v>0</v>
      </c>
      <c r="H2268" s="1" t="n">
        <f aca="false">ROUND(_xlfn.PERCENTRANK.INC($E$7:$E$4378,E2268)*9,0)</f>
        <v>3</v>
      </c>
      <c r="I2268" s="1" t="str">
        <f aca="false">CONCATENATE(F2268,G2268,H2268)</f>
        <v>203</v>
      </c>
      <c r="J2268" s="1" t="str">
        <f aca="false">_xlfn.IFS(AND(F2268&gt;=8,G2268&gt;=8,H2268&gt;=8),"CHAMPION",AND(F2268&gt;=6,G2268&gt;=7,H2268&gt;=6),"LOYAL CUSTOMER",AND(F2268&gt;=6,G2268&gt;=5,H2268&gt;=5),"POTENTIAL LOYALIST",AND(F2268&gt;=8,G2268&lt;=2,H2268&gt;=5),"NEW CUSTOMERS",AND(F2268&gt;=6,G2268&lt;=2,H2268&gt;=3),"PROMISING",AND(F2268&gt;=3,G2268&gt;=3,H2268&gt;=3),"NEED ATTENTION",AND(F2268&lt;=4,G2268&gt;=6,H2268&gt;=6),"AT RISK",AND(F2268&lt;=2,G2268&gt;=8,H2268&gt;=8),"CAN'T LOSE THEM",AND(F2268&lt;=2,G2268&lt;=2,H2268&lt;=2),"HIBERNATING",TRUE(),"Other")</f>
        <v>Other</v>
      </c>
      <c r="K2268" s="1" t="n">
        <f aca="false">RANK(E2268,$E$7:$E$4378)+COUNTIF($E$7:E2268,E2268)-1</f>
        <v>3011</v>
      </c>
    </row>
    <row r="2269" customFormat="false" ht="14.25" hidden="false" customHeight="true" outlineLevel="0" collapsed="false">
      <c r="A2269" s="51" t="n">
        <v>15406</v>
      </c>
      <c r="B2269" s="53" t="n">
        <v>40868.6763888889</v>
      </c>
      <c r="C2269" s="57" t="n">
        <f aca="false">INT($C$2)-INT(Table3[[#This Row],[Last Purchase Date]])</f>
        <v>19</v>
      </c>
      <c r="D2269" s="1" t="n">
        <v>4</v>
      </c>
      <c r="E2269" s="1" t="n">
        <v>426.61</v>
      </c>
      <c r="F2269" s="1" t="n">
        <f aca="false">ROUND((1-_xlfn.PERCENTRANK.INC($C$7:$C$4378,C2269))*9,0)</f>
        <v>7</v>
      </c>
      <c r="G2269" s="1" t="n">
        <f aca="false">ROUND(_xlfn.PERCENTRANK.INC($D$7:$D$4378,D2269)*9,0)</f>
        <v>5</v>
      </c>
      <c r="H2269" s="1" t="n">
        <f aca="false">ROUND(_xlfn.PERCENTRANK.INC($E$7:$E$4378,E2269)*9,0)</f>
        <v>3</v>
      </c>
      <c r="I2269" s="1" t="str">
        <f aca="false">CONCATENATE(F2269,G2269,H2269)</f>
        <v>753</v>
      </c>
      <c r="J2269" s="1" t="str">
        <f aca="false">_xlfn.IFS(AND(F2269&gt;=8,G2269&gt;=8,H2269&gt;=8),"CHAMPION",AND(F2269&gt;=6,G2269&gt;=7,H2269&gt;=6),"LOYAL CUSTOMER",AND(F2269&gt;=6,G2269&gt;=5,H2269&gt;=5),"POTENTIAL LOYALIST",AND(F2269&gt;=8,G2269&lt;=2,H2269&gt;=5),"NEW CUSTOMERS",AND(F2269&gt;=6,G2269&lt;=2,H2269&gt;=3),"PROMISING",AND(F2269&gt;=3,G2269&gt;=3,H2269&gt;=3),"NEED ATTENTION",AND(F2269&lt;=4,G2269&gt;=6,H2269&gt;=6),"AT RISK",AND(F2269&lt;=2,G2269&gt;=8,H2269&gt;=8),"CAN'T LOSE THEM",AND(F2269&lt;=2,G2269&lt;=2,H2269&lt;=2),"HIBERNATING",TRUE(),"Other")</f>
        <v>NEED ATTENTION</v>
      </c>
      <c r="K2269" s="1" t="n">
        <f aca="false">RANK(E2269,$E$7:$E$4378)+COUNTIF($E$7:E2269,E2269)-1</f>
        <v>2736</v>
      </c>
    </row>
    <row r="2270" customFormat="false" ht="14.25" hidden="false" customHeight="true" outlineLevel="0" collapsed="false">
      <c r="A2270" s="51" t="n">
        <v>15407</v>
      </c>
      <c r="B2270" s="53" t="n">
        <v>40853.4965277778</v>
      </c>
      <c r="C2270" s="57" t="n">
        <f aca="false">INT($C$2)-INT(Table3[[#This Row],[Last Purchase Date]])</f>
        <v>34</v>
      </c>
      <c r="D2270" s="1" t="n">
        <v>4</v>
      </c>
      <c r="E2270" s="1" t="n">
        <v>1056.44</v>
      </c>
      <c r="F2270" s="1" t="n">
        <f aca="false">ROUND((1-_xlfn.PERCENTRANK.INC($C$7:$C$4378,C2270))*9,0)</f>
        <v>5</v>
      </c>
      <c r="G2270" s="1" t="n">
        <f aca="false">ROUND(_xlfn.PERCENTRANK.INC($D$7:$D$4378,D2270)*9,0)</f>
        <v>5</v>
      </c>
      <c r="H2270" s="1" t="n">
        <f aca="false">ROUND(_xlfn.PERCENTRANK.INC($E$7:$E$4378,E2270)*9,0)</f>
        <v>6</v>
      </c>
      <c r="I2270" s="1" t="str">
        <f aca="false">CONCATENATE(F2270,G2270,H2270)</f>
        <v>556</v>
      </c>
      <c r="J2270" s="1" t="str">
        <f aca="false">_xlfn.IFS(AND(F2270&gt;=8,G2270&gt;=8,H2270&gt;=8),"CHAMPION",AND(F2270&gt;=6,G2270&gt;=7,H2270&gt;=6),"LOYAL CUSTOMER",AND(F2270&gt;=6,G2270&gt;=5,H2270&gt;=5),"POTENTIAL LOYALIST",AND(F2270&gt;=8,G2270&lt;=2,H2270&gt;=5),"NEW CUSTOMERS",AND(F2270&gt;=6,G2270&lt;=2,H2270&gt;=3),"PROMISING",AND(F2270&gt;=3,G2270&gt;=3,H2270&gt;=3),"NEED ATTENTION",AND(F2270&lt;=4,G2270&gt;=6,H2270&gt;=6),"AT RISK",AND(F2270&lt;=2,G2270&gt;=8,H2270&gt;=8),"CAN'T LOSE THEM",AND(F2270&lt;=2,G2270&lt;=2,H2270&lt;=2),"HIBERNATING",TRUE(),"Other")</f>
        <v>NEED ATTENTION</v>
      </c>
      <c r="K2270" s="1" t="n">
        <f aca="false">RANK(E2270,$E$7:$E$4378)+COUNTIF($E$7:E2270,E2270)-1</f>
        <v>1552</v>
      </c>
    </row>
    <row r="2271" customFormat="false" ht="14.25" hidden="false" customHeight="true" outlineLevel="0" collapsed="false">
      <c r="A2271" s="51" t="n">
        <v>15408</v>
      </c>
      <c r="B2271" s="53" t="n">
        <v>40622.6263888889</v>
      </c>
      <c r="C2271" s="57" t="n">
        <f aca="false">INT($C$2)-INT(Table3[[#This Row],[Last Purchase Date]])</f>
        <v>265</v>
      </c>
      <c r="D2271" s="1" t="n">
        <v>1</v>
      </c>
      <c r="E2271" s="1" t="n">
        <v>267.18</v>
      </c>
      <c r="F2271" s="1" t="n">
        <f aca="false">ROUND((1-_xlfn.PERCENTRANK.INC($C$7:$C$4378,C2271))*9,0)</f>
        <v>1</v>
      </c>
      <c r="G2271" s="1" t="n">
        <f aca="false">ROUND(_xlfn.PERCENTRANK.INC($D$7:$D$4378,D2271)*9,0)</f>
        <v>0</v>
      </c>
      <c r="H2271" s="1" t="n">
        <f aca="false">ROUND(_xlfn.PERCENTRANK.INC($E$7:$E$4378,E2271)*9,0)</f>
        <v>2</v>
      </c>
      <c r="I2271" s="1" t="str">
        <f aca="false">CONCATENATE(F2271,G2271,H2271)</f>
        <v>102</v>
      </c>
      <c r="J2271" s="1" t="str">
        <f aca="false">_xlfn.IFS(AND(F2271&gt;=8,G2271&gt;=8,H2271&gt;=8),"CHAMPION",AND(F2271&gt;=6,G2271&gt;=7,H2271&gt;=6),"LOYAL CUSTOMER",AND(F2271&gt;=6,G2271&gt;=5,H2271&gt;=5),"POTENTIAL LOYALIST",AND(F2271&gt;=8,G2271&lt;=2,H2271&gt;=5),"NEW CUSTOMERS",AND(F2271&gt;=6,G2271&lt;=2,H2271&gt;=3),"PROMISING",AND(F2271&gt;=3,G2271&gt;=3,H2271&gt;=3),"NEED ATTENTION",AND(F2271&lt;=4,G2271&gt;=6,H2271&gt;=6),"AT RISK",AND(F2271&lt;=2,G2271&gt;=8,H2271&gt;=8),"CAN'T LOSE THEM",AND(F2271&lt;=2,G2271&lt;=2,H2271&lt;=2),"HIBERNATING",TRUE(),"Other")</f>
        <v>HIBERNATING</v>
      </c>
      <c r="K2271" s="1" t="n">
        <f aca="false">RANK(E2271,$E$7:$E$4378)+COUNTIF($E$7:E2271,E2271)-1</f>
        <v>3368</v>
      </c>
    </row>
    <row r="2272" customFormat="false" ht="14.25" hidden="false" customHeight="true" outlineLevel="0" collapsed="false">
      <c r="A2272" s="51" t="n">
        <v>15410</v>
      </c>
      <c r="B2272" s="53" t="n">
        <v>40802.6159722222</v>
      </c>
      <c r="C2272" s="57" t="n">
        <f aca="false">INT($C$2)-INT(Table3[[#This Row],[Last Purchase Date]])</f>
        <v>85</v>
      </c>
      <c r="D2272" s="1" t="n">
        <v>8</v>
      </c>
      <c r="E2272" s="1" t="n">
        <v>3450.84</v>
      </c>
      <c r="F2272" s="1" t="n">
        <f aca="false">ROUND((1-_xlfn.PERCENTRANK.INC($C$7:$C$4378,C2272))*9,0)</f>
        <v>3</v>
      </c>
      <c r="G2272" s="1" t="n">
        <f aca="false">ROUND(_xlfn.PERCENTRANK.INC($D$7:$D$4378,D2272)*9,0)</f>
        <v>7</v>
      </c>
      <c r="H2272" s="1" t="n">
        <f aca="false">ROUND(_xlfn.PERCENTRANK.INC($E$7:$E$4378,E2272)*9,0)</f>
        <v>8</v>
      </c>
      <c r="I2272" s="1" t="str">
        <f aca="false">CONCATENATE(F2272,G2272,H2272)</f>
        <v>378</v>
      </c>
      <c r="J2272" s="1" t="str">
        <f aca="false">_xlfn.IFS(AND(F2272&gt;=8,G2272&gt;=8,H2272&gt;=8),"CHAMPION",AND(F2272&gt;=6,G2272&gt;=7,H2272&gt;=6),"LOYAL CUSTOMER",AND(F2272&gt;=6,G2272&gt;=5,H2272&gt;=5),"POTENTIAL LOYALIST",AND(F2272&gt;=8,G2272&lt;=2,H2272&gt;=5),"NEW CUSTOMERS",AND(F2272&gt;=6,G2272&lt;=2,H2272&gt;=3),"PROMISING",AND(F2272&gt;=3,G2272&gt;=3,H2272&gt;=3),"NEED ATTENTION",AND(F2272&lt;=4,G2272&gt;=6,H2272&gt;=6),"AT RISK",AND(F2272&lt;=2,G2272&gt;=8,H2272&gt;=8),"CAN'T LOSE THEM",AND(F2272&lt;=2,G2272&lt;=2,H2272&lt;=2),"HIBERNATING",TRUE(),"Other")</f>
        <v>NEED ATTENTION</v>
      </c>
      <c r="K2272" s="1" t="n">
        <f aca="false">RANK(E2272,$E$7:$E$4378)+COUNTIF($E$7:E2272,E2272)-1</f>
        <v>448</v>
      </c>
    </row>
    <row r="2273" customFormat="false" ht="14.25" hidden="false" customHeight="true" outlineLevel="0" collapsed="false">
      <c r="A2273" s="51" t="n">
        <v>15411</v>
      </c>
      <c r="B2273" s="53" t="n">
        <v>40860.6381944444</v>
      </c>
      <c r="C2273" s="57" t="n">
        <f aca="false">INT($C$2)-INT(Table3[[#This Row],[Last Purchase Date]])</f>
        <v>27</v>
      </c>
      <c r="D2273" s="1" t="n">
        <v>5</v>
      </c>
      <c r="E2273" s="1" t="n">
        <v>1346.38</v>
      </c>
      <c r="F2273" s="1" t="n">
        <f aca="false">ROUND((1-_xlfn.PERCENTRANK.INC($C$7:$C$4378,C2273))*9,0)</f>
        <v>6</v>
      </c>
      <c r="G2273" s="1" t="n">
        <f aca="false">ROUND(_xlfn.PERCENTRANK.INC($D$7:$D$4378,D2273)*9,0)</f>
        <v>6</v>
      </c>
      <c r="H2273" s="1" t="n">
        <f aca="false">ROUND(_xlfn.PERCENTRANK.INC($E$7:$E$4378,E2273)*9,0)</f>
        <v>6</v>
      </c>
      <c r="I2273" s="1" t="str">
        <f aca="false">CONCATENATE(F2273,G2273,H2273)</f>
        <v>666</v>
      </c>
      <c r="J2273" s="1" t="str">
        <f aca="false">_xlfn.IFS(AND(F2273&gt;=8,G2273&gt;=8,H2273&gt;=8),"CHAMPION",AND(F2273&gt;=6,G2273&gt;=7,H2273&gt;=6),"LOYAL CUSTOMER",AND(F2273&gt;=6,G2273&gt;=5,H2273&gt;=5),"POTENTIAL LOYALIST",AND(F2273&gt;=8,G2273&lt;=2,H2273&gt;=5),"NEW CUSTOMERS",AND(F2273&gt;=6,G2273&lt;=2,H2273&gt;=3),"PROMISING",AND(F2273&gt;=3,G2273&gt;=3,H2273&gt;=3),"NEED ATTENTION",AND(F2273&lt;=4,G2273&gt;=6,H2273&gt;=6),"AT RISK",AND(F2273&lt;=2,G2273&gt;=8,H2273&gt;=8),"CAN'T LOSE THEM",AND(F2273&lt;=2,G2273&lt;=2,H2273&lt;=2),"HIBERNATING",TRUE(),"Other")</f>
        <v>POTENTIAL LOYALIST</v>
      </c>
      <c r="K2273" s="1" t="n">
        <f aca="false">RANK(E2273,$E$7:$E$4378)+COUNTIF($E$7:E2273,E2273)-1</f>
        <v>1280</v>
      </c>
    </row>
    <row r="2274" customFormat="false" ht="14.25" hidden="false" customHeight="true" outlineLevel="0" collapsed="false">
      <c r="A2274" s="51" t="n">
        <v>15412</v>
      </c>
      <c r="B2274" s="53" t="n">
        <v>40715.6416666667</v>
      </c>
      <c r="C2274" s="57" t="n">
        <f aca="false">INT($C$2)-INT(Table3[[#This Row],[Last Purchase Date]])</f>
        <v>172</v>
      </c>
      <c r="D2274" s="1" t="n">
        <v>1</v>
      </c>
      <c r="E2274" s="1" t="n">
        <v>190.53</v>
      </c>
      <c r="F2274" s="1" t="n">
        <f aca="false">ROUND((1-_xlfn.PERCENTRANK.INC($C$7:$C$4378,C2274))*9,0)</f>
        <v>2</v>
      </c>
      <c r="G2274" s="1" t="n">
        <f aca="false">ROUND(_xlfn.PERCENTRANK.INC($D$7:$D$4378,D2274)*9,0)</f>
        <v>0</v>
      </c>
      <c r="H2274" s="1" t="n">
        <f aca="false">ROUND(_xlfn.PERCENTRANK.INC($E$7:$E$4378,E2274)*9,0)</f>
        <v>1</v>
      </c>
      <c r="I2274" s="1" t="str">
        <f aca="false">CONCATENATE(F2274,G2274,H2274)</f>
        <v>201</v>
      </c>
      <c r="J2274" s="1" t="str">
        <f aca="false">_xlfn.IFS(AND(F2274&gt;=8,G2274&gt;=8,H2274&gt;=8),"CHAMPION",AND(F2274&gt;=6,G2274&gt;=7,H2274&gt;=6),"LOYAL CUSTOMER",AND(F2274&gt;=6,G2274&gt;=5,H2274&gt;=5),"POTENTIAL LOYALIST",AND(F2274&gt;=8,G2274&lt;=2,H2274&gt;=5),"NEW CUSTOMERS",AND(F2274&gt;=6,G2274&lt;=2,H2274&gt;=3),"PROMISING",AND(F2274&gt;=3,G2274&gt;=3,H2274&gt;=3),"NEED ATTENTION",AND(F2274&lt;=4,G2274&gt;=6,H2274&gt;=6),"AT RISK",AND(F2274&lt;=2,G2274&gt;=8,H2274&gt;=8),"CAN'T LOSE THEM",AND(F2274&lt;=2,G2274&lt;=2,H2274&lt;=2),"HIBERNATING",TRUE(),"Other")</f>
        <v>HIBERNATING</v>
      </c>
      <c r="K2274" s="1" t="n">
        <f aca="false">RANK(E2274,$E$7:$E$4378)+COUNTIF($E$7:E2274,E2274)-1</f>
        <v>3705</v>
      </c>
    </row>
    <row r="2275" customFormat="false" ht="14.25" hidden="false" customHeight="true" outlineLevel="0" collapsed="false">
      <c r="A2275" s="51" t="n">
        <v>15414</v>
      </c>
      <c r="B2275" s="53" t="n">
        <v>40877.4097222222</v>
      </c>
      <c r="C2275" s="57" t="n">
        <f aca="false">INT($C$2)-INT(Table3[[#This Row],[Last Purchase Date]])</f>
        <v>10</v>
      </c>
      <c r="D2275" s="1" t="n">
        <v>3</v>
      </c>
      <c r="E2275" s="1" t="n">
        <v>774.9</v>
      </c>
      <c r="F2275" s="1" t="n">
        <f aca="false">ROUND((1-_xlfn.PERCENTRANK.INC($C$7:$C$4378,C2275))*9,0)</f>
        <v>8</v>
      </c>
      <c r="G2275" s="1" t="n">
        <f aca="false">ROUND(_xlfn.PERCENTRANK.INC($D$7:$D$4378,D2275)*9,0)</f>
        <v>4</v>
      </c>
      <c r="H2275" s="1" t="n">
        <f aca="false">ROUND(_xlfn.PERCENTRANK.INC($E$7:$E$4378,E2275)*9,0)</f>
        <v>5</v>
      </c>
      <c r="I2275" s="1" t="str">
        <f aca="false">CONCATENATE(F2275,G2275,H2275)</f>
        <v>845</v>
      </c>
      <c r="J2275" s="1" t="str">
        <f aca="false">_xlfn.IFS(AND(F2275&gt;=8,G2275&gt;=8,H2275&gt;=8),"CHAMPION",AND(F2275&gt;=6,G2275&gt;=7,H2275&gt;=6),"LOYAL CUSTOMER",AND(F2275&gt;=6,G2275&gt;=5,H2275&gt;=5),"POTENTIAL LOYALIST",AND(F2275&gt;=8,G2275&lt;=2,H2275&gt;=5),"NEW CUSTOMERS",AND(F2275&gt;=6,G2275&lt;=2,H2275&gt;=3),"PROMISING",AND(F2275&gt;=3,G2275&gt;=3,H2275&gt;=3),"NEED ATTENTION",AND(F2275&lt;=4,G2275&gt;=6,H2275&gt;=6),"AT RISK",AND(F2275&lt;=2,G2275&gt;=8,H2275&gt;=8),"CAN'T LOSE THEM",AND(F2275&lt;=2,G2275&lt;=2,H2275&lt;=2),"HIBERNATING",TRUE(),"Other")</f>
        <v>NEED ATTENTION</v>
      </c>
      <c r="K2275" s="1" t="n">
        <f aca="false">RANK(E2275,$E$7:$E$4378)+COUNTIF($E$7:E2275,E2275)-1</f>
        <v>1938</v>
      </c>
    </row>
    <row r="2276" customFormat="false" ht="14.25" hidden="false" customHeight="true" outlineLevel="0" collapsed="false">
      <c r="A2276" s="51" t="n">
        <v>15415</v>
      </c>
      <c r="B2276" s="53" t="n">
        <v>40573.5923611111</v>
      </c>
      <c r="C2276" s="57" t="n">
        <f aca="false">INT($C$2)-INT(Table3[[#This Row],[Last Purchase Date]])</f>
        <v>314</v>
      </c>
      <c r="D2276" s="1" t="n">
        <v>1</v>
      </c>
      <c r="E2276" s="1" t="n">
        <v>572.81</v>
      </c>
      <c r="F2276" s="1" t="n">
        <f aca="false">ROUND((1-_xlfn.PERCENTRANK.INC($C$7:$C$4378,C2276))*9,0)</f>
        <v>0</v>
      </c>
      <c r="G2276" s="1" t="n">
        <f aca="false">ROUND(_xlfn.PERCENTRANK.INC($D$7:$D$4378,D2276)*9,0)</f>
        <v>0</v>
      </c>
      <c r="H2276" s="1" t="n">
        <f aca="false">ROUND(_xlfn.PERCENTRANK.INC($E$7:$E$4378,E2276)*9,0)</f>
        <v>4</v>
      </c>
      <c r="I2276" s="1" t="str">
        <f aca="false">CONCATENATE(F2276,G2276,H2276)</f>
        <v>004</v>
      </c>
      <c r="J2276" s="1" t="str">
        <f aca="false">_xlfn.IFS(AND(F2276&gt;=8,G2276&gt;=8,H2276&gt;=8),"CHAMPION",AND(F2276&gt;=6,G2276&gt;=7,H2276&gt;=6),"LOYAL CUSTOMER",AND(F2276&gt;=6,G2276&gt;=5,H2276&gt;=5),"POTENTIAL LOYALIST",AND(F2276&gt;=8,G2276&lt;=2,H2276&gt;=5),"NEW CUSTOMERS",AND(F2276&gt;=6,G2276&lt;=2,H2276&gt;=3),"PROMISING",AND(F2276&gt;=3,G2276&gt;=3,H2276&gt;=3),"NEED ATTENTION",AND(F2276&lt;=4,G2276&gt;=6,H2276&gt;=6),"AT RISK",AND(F2276&lt;=2,G2276&gt;=8,H2276&gt;=8),"CAN'T LOSE THEM",AND(F2276&lt;=2,G2276&lt;=2,H2276&lt;=2),"HIBERNATING",TRUE(),"Other")</f>
        <v>Other</v>
      </c>
      <c r="K2276" s="1" t="n">
        <f aca="false">RANK(E2276,$E$7:$E$4378)+COUNTIF($E$7:E2276,E2276)-1</f>
        <v>2387</v>
      </c>
    </row>
    <row r="2277" customFormat="false" ht="14.25" hidden="false" customHeight="true" outlineLevel="0" collapsed="false">
      <c r="A2277" s="51" t="n">
        <v>15416</v>
      </c>
      <c r="B2277" s="53" t="n">
        <v>40822.4013888889</v>
      </c>
      <c r="C2277" s="57" t="n">
        <f aca="false">INT($C$2)-INT(Table3[[#This Row],[Last Purchase Date]])</f>
        <v>65</v>
      </c>
      <c r="D2277" s="1" t="n">
        <v>5</v>
      </c>
      <c r="E2277" s="1" t="n">
        <v>3974.37</v>
      </c>
      <c r="F2277" s="1" t="n">
        <f aca="false">ROUND((1-_xlfn.PERCENTRANK.INC($C$7:$C$4378,C2277))*9,0)</f>
        <v>4</v>
      </c>
      <c r="G2277" s="1" t="n">
        <f aca="false">ROUND(_xlfn.PERCENTRANK.INC($D$7:$D$4378,D2277)*9,0)</f>
        <v>6</v>
      </c>
      <c r="H2277" s="1" t="n">
        <f aca="false">ROUND(_xlfn.PERCENTRANK.INC($E$7:$E$4378,E2277)*9,0)</f>
        <v>8</v>
      </c>
      <c r="I2277" s="1" t="str">
        <f aca="false">CONCATENATE(F2277,G2277,H2277)</f>
        <v>468</v>
      </c>
      <c r="J2277" s="1" t="str">
        <f aca="false">_xlfn.IFS(AND(F2277&gt;=8,G2277&gt;=8,H2277&gt;=8),"CHAMPION",AND(F2277&gt;=6,G2277&gt;=7,H2277&gt;=6),"LOYAL CUSTOMER",AND(F2277&gt;=6,G2277&gt;=5,H2277&gt;=5),"POTENTIAL LOYALIST",AND(F2277&gt;=8,G2277&lt;=2,H2277&gt;=5),"NEW CUSTOMERS",AND(F2277&gt;=6,G2277&lt;=2,H2277&gt;=3),"PROMISING",AND(F2277&gt;=3,G2277&gt;=3,H2277&gt;=3),"NEED ATTENTION",AND(F2277&lt;=4,G2277&gt;=6,H2277&gt;=6),"AT RISK",AND(F2277&lt;=2,G2277&gt;=8,H2277&gt;=8),"CAN'T LOSE THEM",AND(F2277&lt;=2,G2277&lt;=2,H2277&lt;=2),"HIBERNATING",TRUE(),"Other")</f>
        <v>NEED ATTENTION</v>
      </c>
      <c r="K2277" s="1" t="n">
        <f aca="false">RANK(E2277,$E$7:$E$4378)+COUNTIF($E$7:E2277,E2277)-1</f>
        <v>358</v>
      </c>
    </row>
    <row r="2278" customFormat="false" ht="14.25" hidden="false" customHeight="true" outlineLevel="0" collapsed="false">
      <c r="A2278" s="51" t="n">
        <v>15417</v>
      </c>
      <c r="B2278" s="53" t="n">
        <v>40801.6430555556</v>
      </c>
      <c r="C2278" s="57" t="n">
        <f aca="false">INT($C$2)-INT(Table3[[#This Row],[Last Purchase Date]])</f>
        <v>86</v>
      </c>
      <c r="D2278" s="1" t="n">
        <v>1</v>
      </c>
      <c r="E2278" s="1" t="n">
        <v>508.8</v>
      </c>
      <c r="F2278" s="1" t="n">
        <f aca="false">ROUND((1-_xlfn.PERCENTRANK.INC($C$7:$C$4378,C2278))*9,0)</f>
        <v>3</v>
      </c>
      <c r="G2278" s="1" t="n">
        <f aca="false">ROUND(_xlfn.PERCENTRANK.INC($D$7:$D$4378,D2278)*9,0)</f>
        <v>0</v>
      </c>
      <c r="H2278" s="1" t="n">
        <f aca="false">ROUND(_xlfn.PERCENTRANK.INC($E$7:$E$4378,E2278)*9,0)</f>
        <v>4</v>
      </c>
      <c r="I2278" s="1" t="str">
        <f aca="false">CONCATENATE(F2278,G2278,H2278)</f>
        <v>304</v>
      </c>
      <c r="J2278" s="1" t="str">
        <f aca="false">_xlfn.IFS(AND(F2278&gt;=8,G2278&gt;=8,H2278&gt;=8),"CHAMPION",AND(F2278&gt;=6,G2278&gt;=7,H2278&gt;=6),"LOYAL CUSTOMER",AND(F2278&gt;=6,G2278&gt;=5,H2278&gt;=5),"POTENTIAL LOYALIST",AND(F2278&gt;=8,G2278&lt;=2,H2278&gt;=5),"NEW CUSTOMERS",AND(F2278&gt;=6,G2278&lt;=2,H2278&gt;=3),"PROMISING",AND(F2278&gt;=3,G2278&gt;=3,H2278&gt;=3),"NEED ATTENTION",AND(F2278&lt;=4,G2278&gt;=6,H2278&gt;=6),"AT RISK",AND(F2278&lt;=2,G2278&gt;=8,H2278&gt;=8),"CAN'T LOSE THEM",AND(F2278&lt;=2,G2278&lt;=2,H2278&lt;=2),"HIBERNATING",TRUE(),"Other")</f>
        <v>Other</v>
      </c>
      <c r="K2278" s="1" t="n">
        <f aca="false">RANK(E2278,$E$7:$E$4378)+COUNTIF($E$7:E2278,E2278)-1</f>
        <v>2519</v>
      </c>
    </row>
    <row r="2279" customFormat="false" ht="14.25" hidden="false" customHeight="true" outlineLevel="0" collapsed="false">
      <c r="A2279" s="51" t="n">
        <v>15419</v>
      </c>
      <c r="B2279" s="53" t="n">
        <v>40862.3909722222</v>
      </c>
      <c r="C2279" s="57" t="n">
        <f aca="false">INT($C$2)-INT(Table3[[#This Row],[Last Purchase Date]])</f>
        <v>25</v>
      </c>
      <c r="D2279" s="1" t="n">
        <v>1</v>
      </c>
      <c r="E2279" s="1" t="n">
        <v>135.86</v>
      </c>
      <c r="F2279" s="1" t="n">
        <f aca="false">ROUND((1-_xlfn.PERCENTRANK.INC($C$7:$C$4378,C2279))*9,0)</f>
        <v>6</v>
      </c>
      <c r="G2279" s="1" t="n">
        <f aca="false">ROUND(_xlfn.PERCENTRANK.INC($D$7:$D$4378,D2279)*9,0)</f>
        <v>0</v>
      </c>
      <c r="H2279" s="1" t="n">
        <f aca="false">ROUND(_xlfn.PERCENTRANK.INC($E$7:$E$4378,E2279)*9,0)</f>
        <v>1</v>
      </c>
      <c r="I2279" s="1" t="str">
        <f aca="false">CONCATENATE(F2279,G2279,H2279)</f>
        <v>601</v>
      </c>
      <c r="J2279" s="1" t="str">
        <f aca="false">_xlfn.IFS(AND(F2279&gt;=8,G2279&gt;=8,H2279&gt;=8),"CHAMPION",AND(F2279&gt;=6,G2279&gt;=7,H2279&gt;=6),"LOYAL CUSTOMER",AND(F2279&gt;=6,G2279&gt;=5,H2279&gt;=5),"POTENTIAL LOYALIST",AND(F2279&gt;=8,G2279&lt;=2,H2279&gt;=5),"NEW CUSTOMERS",AND(F2279&gt;=6,G2279&lt;=2,H2279&gt;=3),"PROMISING",AND(F2279&gt;=3,G2279&gt;=3,H2279&gt;=3),"NEED ATTENTION",AND(F2279&lt;=4,G2279&gt;=6,H2279&gt;=6),"AT RISK",AND(F2279&lt;=2,G2279&gt;=8,H2279&gt;=8),"CAN'T LOSE THEM",AND(F2279&lt;=2,G2279&lt;=2,H2279&lt;=2),"HIBERNATING",TRUE(),"Other")</f>
        <v>Other</v>
      </c>
      <c r="K2279" s="1" t="n">
        <f aca="false">RANK(E2279,$E$7:$E$4378)+COUNTIF($E$7:E2279,E2279)-1</f>
        <v>3981</v>
      </c>
    </row>
    <row r="2280" customFormat="false" ht="14.25" hidden="false" customHeight="true" outlineLevel="0" collapsed="false">
      <c r="A2280" s="51" t="n">
        <v>15421</v>
      </c>
      <c r="B2280" s="53" t="n">
        <v>40828.3888888889</v>
      </c>
      <c r="C2280" s="57" t="n">
        <f aca="false">INT($C$2)-INT(Table3[[#This Row],[Last Purchase Date]])</f>
        <v>59</v>
      </c>
      <c r="D2280" s="1" t="n">
        <v>4</v>
      </c>
      <c r="E2280" s="1" t="n">
        <v>950.36</v>
      </c>
      <c r="F2280" s="1" t="n">
        <f aca="false">ROUND((1-_xlfn.PERCENTRANK.INC($C$7:$C$4378,C2280))*9,0)</f>
        <v>4</v>
      </c>
      <c r="G2280" s="1" t="n">
        <f aca="false">ROUND(_xlfn.PERCENTRANK.INC($D$7:$D$4378,D2280)*9,0)</f>
        <v>5</v>
      </c>
      <c r="H2280" s="1" t="n">
        <f aca="false">ROUND(_xlfn.PERCENTRANK.INC($E$7:$E$4378,E2280)*9,0)</f>
        <v>6</v>
      </c>
      <c r="I2280" s="1" t="str">
        <f aca="false">CONCATENATE(F2280,G2280,H2280)</f>
        <v>456</v>
      </c>
      <c r="J2280" s="1" t="str">
        <f aca="false">_xlfn.IFS(AND(F2280&gt;=8,G2280&gt;=8,H2280&gt;=8),"CHAMPION",AND(F2280&gt;=6,G2280&gt;=7,H2280&gt;=6),"LOYAL CUSTOMER",AND(F2280&gt;=6,G2280&gt;=5,H2280&gt;=5),"POTENTIAL LOYALIST",AND(F2280&gt;=8,G2280&lt;=2,H2280&gt;=5),"NEW CUSTOMERS",AND(F2280&gt;=6,G2280&lt;=2,H2280&gt;=3),"PROMISING",AND(F2280&gt;=3,G2280&gt;=3,H2280&gt;=3),"NEED ATTENTION",AND(F2280&lt;=4,G2280&gt;=6,H2280&gt;=6),"AT RISK",AND(F2280&lt;=2,G2280&gt;=8,H2280&gt;=8),"CAN'T LOSE THEM",AND(F2280&lt;=2,G2280&lt;=2,H2280&lt;=2),"HIBERNATING",TRUE(),"Other")</f>
        <v>NEED ATTENTION</v>
      </c>
      <c r="K2280" s="1" t="n">
        <f aca="false">RANK(E2280,$E$7:$E$4378)+COUNTIF($E$7:E2280,E2280)-1</f>
        <v>1695</v>
      </c>
    </row>
    <row r="2281" customFormat="false" ht="14.25" hidden="false" customHeight="true" outlineLevel="0" collapsed="false">
      <c r="A2281" s="51" t="n">
        <v>15422</v>
      </c>
      <c r="B2281" s="53" t="n">
        <v>40563.6784722222</v>
      </c>
      <c r="C2281" s="57" t="n">
        <f aca="false">INT($C$2)-INT(Table3[[#This Row],[Last Purchase Date]])</f>
        <v>324</v>
      </c>
      <c r="D2281" s="1" t="n">
        <v>2</v>
      </c>
      <c r="E2281" s="1" t="n">
        <v>97.7</v>
      </c>
      <c r="F2281" s="1" t="n">
        <f aca="false">ROUND((1-_xlfn.PERCENTRANK.INC($C$7:$C$4378,C2281))*9,0)</f>
        <v>0</v>
      </c>
      <c r="G2281" s="1" t="n">
        <f aca="false">ROUND(_xlfn.PERCENTRANK.INC($D$7:$D$4378,D2281)*9,0)</f>
        <v>3</v>
      </c>
      <c r="H2281" s="1" t="n">
        <f aca="false">ROUND(_xlfn.PERCENTRANK.INC($E$7:$E$4378,E2281)*9,0)</f>
        <v>0</v>
      </c>
      <c r="I2281" s="1" t="str">
        <f aca="false">CONCATENATE(F2281,G2281,H2281)</f>
        <v>030</v>
      </c>
      <c r="J2281" s="1" t="str">
        <f aca="false">_xlfn.IFS(AND(F2281&gt;=8,G2281&gt;=8,H2281&gt;=8),"CHAMPION",AND(F2281&gt;=6,G2281&gt;=7,H2281&gt;=6),"LOYAL CUSTOMER",AND(F2281&gt;=6,G2281&gt;=5,H2281&gt;=5),"POTENTIAL LOYALIST",AND(F2281&gt;=8,G2281&lt;=2,H2281&gt;=5),"NEW CUSTOMERS",AND(F2281&gt;=6,G2281&lt;=2,H2281&gt;=3),"PROMISING",AND(F2281&gt;=3,G2281&gt;=3,H2281&gt;=3),"NEED ATTENTION",AND(F2281&lt;=4,G2281&gt;=6,H2281&gt;=6),"AT RISK",AND(F2281&lt;=2,G2281&gt;=8,H2281&gt;=8),"CAN'T LOSE THEM",AND(F2281&lt;=2,G2281&lt;=2,H2281&lt;=2),"HIBERNATING",TRUE(),"Other")</f>
        <v>Other</v>
      </c>
      <c r="K2281" s="1" t="n">
        <f aca="false">RANK(E2281,$E$7:$E$4378)+COUNTIF($E$7:E2281,E2281)-1</f>
        <v>4166</v>
      </c>
    </row>
    <row r="2282" customFormat="false" ht="14.25" hidden="false" customHeight="true" outlineLevel="0" collapsed="false">
      <c r="A2282" s="51" t="n">
        <v>15423</v>
      </c>
      <c r="B2282" s="53" t="n">
        <v>40848.5840277778</v>
      </c>
      <c r="C2282" s="57" t="n">
        <f aca="false">INT($C$2)-INT(Table3[[#This Row],[Last Purchase Date]])</f>
        <v>39</v>
      </c>
      <c r="D2282" s="1" t="n">
        <v>1</v>
      </c>
      <c r="E2282" s="1" t="n">
        <v>43.5</v>
      </c>
      <c r="F2282" s="1" t="n">
        <f aca="false">ROUND((1-_xlfn.PERCENTRANK.INC($C$7:$C$4378,C2282))*9,0)</f>
        <v>5</v>
      </c>
      <c r="G2282" s="1" t="n">
        <f aca="false">ROUND(_xlfn.PERCENTRANK.INC($D$7:$D$4378,D2282)*9,0)</f>
        <v>0</v>
      </c>
      <c r="H2282" s="1" t="n">
        <f aca="false">ROUND(_xlfn.PERCENTRANK.INC($E$7:$E$4378,E2282)*9,0)</f>
        <v>0</v>
      </c>
      <c r="I2282" s="1" t="str">
        <f aca="false">CONCATENATE(F2282,G2282,H2282)</f>
        <v>500</v>
      </c>
      <c r="J2282" s="1" t="str">
        <f aca="false">_xlfn.IFS(AND(F2282&gt;=8,G2282&gt;=8,H2282&gt;=8),"CHAMPION",AND(F2282&gt;=6,G2282&gt;=7,H2282&gt;=6),"LOYAL CUSTOMER",AND(F2282&gt;=6,G2282&gt;=5,H2282&gt;=5),"POTENTIAL LOYALIST",AND(F2282&gt;=8,G2282&lt;=2,H2282&gt;=5),"NEW CUSTOMERS",AND(F2282&gt;=6,G2282&lt;=2,H2282&gt;=3),"PROMISING",AND(F2282&gt;=3,G2282&gt;=3,H2282&gt;=3),"NEED ATTENTION",AND(F2282&lt;=4,G2282&gt;=6,H2282&gt;=6),"AT RISK",AND(F2282&lt;=2,G2282&gt;=8,H2282&gt;=8),"CAN'T LOSE THEM",AND(F2282&lt;=2,G2282&lt;=2,H2282&lt;=2),"HIBERNATING",TRUE(),"Other")</f>
        <v>Other</v>
      </c>
      <c r="K2282" s="1" t="n">
        <f aca="false">RANK(E2282,$E$7:$E$4378)+COUNTIF($E$7:E2282,E2282)-1</f>
        <v>4287</v>
      </c>
    </row>
    <row r="2283" customFormat="false" ht="14.25" hidden="false" customHeight="true" outlineLevel="0" collapsed="false">
      <c r="A2283" s="51" t="n">
        <v>15424</v>
      </c>
      <c r="B2283" s="53" t="n">
        <v>40632.5430555556</v>
      </c>
      <c r="C2283" s="57" t="n">
        <f aca="false">INT($C$2)-INT(Table3[[#This Row],[Last Purchase Date]])</f>
        <v>255</v>
      </c>
      <c r="D2283" s="1" t="n">
        <v>2</v>
      </c>
      <c r="E2283" s="1" t="n">
        <v>383.34</v>
      </c>
      <c r="F2283" s="1" t="n">
        <f aca="false">ROUND((1-_xlfn.PERCENTRANK.INC($C$7:$C$4378,C2283))*9,0)</f>
        <v>1</v>
      </c>
      <c r="G2283" s="1" t="n">
        <f aca="false">ROUND(_xlfn.PERCENTRANK.INC($D$7:$D$4378,D2283)*9,0)</f>
        <v>3</v>
      </c>
      <c r="H2283" s="1" t="n">
        <f aca="false">ROUND(_xlfn.PERCENTRANK.INC($E$7:$E$4378,E2283)*9,0)</f>
        <v>3</v>
      </c>
      <c r="I2283" s="1" t="str">
        <f aca="false">CONCATENATE(F2283,G2283,H2283)</f>
        <v>133</v>
      </c>
      <c r="J2283" s="1" t="str">
        <f aca="false">_xlfn.IFS(AND(F2283&gt;=8,G2283&gt;=8,H2283&gt;=8),"CHAMPION",AND(F2283&gt;=6,G2283&gt;=7,H2283&gt;=6),"LOYAL CUSTOMER",AND(F2283&gt;=6,G2283&gt;=5,H2283&gt;=5),"POTENTIAL LOYALIST",AND(F2283&gt;=8,G2283&lt;=2,H2283&gt;=5),"NEW CUSTOMERS",AND(F2283&gt;=6,G2283&lt;=2,H2283&gt;=3),"PROMISING",AND(F2283&gt;=3,G2283&gt;=3,H2283&gt;=3),"NEED ATTENTION",AND(F2283&lt;=4,G2283&gt;=6,H2283&gt;=6),"AT RISK",AND(F2283&lt;=2,G2283&gt;=8,H2283&gt;=8),"CAN'T LOSE THEM",AND(F2283&lt;=2,G2283&lt;=2,H2283&lt;=2),"HIBERNATING",TRUE(),"Other")</f>
        <v>Other</v>
      </c>
      <c r="K2283" s="1" t="n">
        <f aca="false">RANK(E2283,$E$7:$E$4378)+COUNTIF($E$7:E2283,E2283)-1</f>
        <v>2876</v>
      </c>
    </row>
    <row r="2284" customFormat="false" ht="14.25" hidden="false" customHeight="true" outlineLevel="0" collapsed="false">
      <c r="A2284" s="51" t="n">
        <v>15426</v>
      </c>
      <c r="B2284" s="53" t="n">
        <v>40867.65</v>
      </c>
      <c r="C2284" s="57" t="n">
        <f aca="false">INT($C$2)-INT(Table3[[#This Row],[Last Purchase Date]])</f>
        <v>20</v>
      </c>
      <c r="D2284" s="1" t="n">
        <v>7</v>
      </c>
      <c r="E2284" s="1" t="n">
        <v>1429.9</v>
      </c>
      <c r="F2284" s="1" t="n">
        <f aca="false">ROUND((1-_xlfn.PERCENTRANK.INC($C$7:$C$4378,C2284))*9,0)</f>
        <v>6</v>
      </c>
      <c r="G2284" s="1" t="n">
        <f aca="false">ROUND(_xlfn.PERCENTRANK.INC($D$7:$D$4378,D2284)*9,0)</f>
        <v>7</v>
      </c>
      <c r="H2284" s="1" t="n">
        <f aca="false">ROUND(_xlfn.PERCENTRANK.INC($E$7:$E$4378,E2284)*9,0)</f>
        <v>7</v>
      </c>
      <c r="I2284" s="1" t="str">
        <f aca="false">CONCATENATE(F2284,G2284,H2284)</f>
        <v>677</v>
      </c>
      <c r="J2284" s="1" t="str">
        <f aca="false">_xlfn.IFS(AND(F2284&gt;=8,G2284&gt;=8,H2284&gt;=8),"CHAMPION",AND(F2284&gt;=6,G2284&gt;=7,H2284&gt;=6),"LOYAL CUSTOMER",AND(F2284&gt;=6,G2284&gt;=5,H2284&gt;=5),"POTENTIAL LOYALIST",AND(F2284&gt;=8,G2284&lt;=2,H2284&gt;=5),"NEW CUSTOMERS",AND(F2284&gt;=6,G2284&lt;=2,H2284&gt;=3),"PROMISING",AND(F2284&gt;=3,G2284&gt;=3,H2284&gt;=3),"NEED ATTENTION",AND(F2284&lt;=4,G2284&gt;=6,H2284&gt;=6),"AT RISK",AND(F2284&lt;=2,G2284&gt;=8,H2284&gt;=8),"CAN'T LOSE THEM",AND(F2284&lt;=2,G2284&lt;=2,H2284&lt;=2),"HIBERNATING",TRUE(),"Other")</f>
        <v>LOYAL CUSTOMER</v>
      </c>
      <c r="K2284" s="1" t="n">
        <f aca="false">RANK(E2284,$E$7:$E$4378)+COUNTIF($E$7:E2284,E2284)-1</f>
        <v>1212</v>
      </c>
    </row>
    <row r="2285" customFormat="false" ht="14.25" hidden="false" customHeight="true" outlineLevel="0" collapsed="false">
      <c r="A2285" s="51" t="n">
        <v>15427</v>
      </c>
      <c r="B2285" s="53" t="n">
        <v>40853.6034722222</v>
      </c>
      <c r="C2285" s="57" t="n">
        <f aca="false">INT($C$2)-INT(Table3[[#This Row],[Last Purchase Date]])</f>
        <v>34</v>
      </c>
      <c r="D2285" s="1" t="n">
        <v>3</v>
      </c>
      <c r="E2285" s="1" t="n">
        <v>1483.14</v>
      </c>
      <c r="F2285" s="1" t="n">
        <f aca="false">ROUND((1-_xlfn.PERCENTRANK.INC($C$7:$C$4378,C2285))*9,0)</f>
        <v>5</v>
      </c>
      <c r="G2285" s="1" t="n">
        <f aca="false">ROUND(_xlfn.PERCENTRANK.INC($D$7:$D$4378,D2285)*9,0)</f>
        <v>4</v>
      </c>
      <c r="H2285" s="1" t="n">
        <f aca="false">ROUND(_xlfn.PERCENTRANK.INC($E$7:$E$4378,E2285)*9,0)</f>
        <v>7</v>
      </c>
      <c r="I2285" s="1" t="str">
        <f aca="false">CONCATENATE(F2285,G2285,H2285)</f>
        <v>547</v>
      </c>
      <c r="J2285" s="1" t="str">
        <f aca="false">_xlfn.IFS(AND(F2285&gt;=8,G2285&gt;=8,H2285&gt;=8),"CHAMPION",AND(F2285&gt;=6,G2285&gt;=7,H2285&gt;=6),"LOYAL CUSTOMER",AND(F2285&gt;=6,G2285&gt;=5,H2285&gt;=5),"POTENTIAL LOYALIST",AND(F2285&gt;=8,G2285&lt;=2,H2285&gt;=5),"NEW CUSTOMERS",AND(F2285&gt;=6,G2285&lt;=2,H2285&gt;=3),"PROMISING",AND(F2285&gt;=3,G2285&gt;=3,H2285&gt;=3),"NEED ATTENTION",AND(F2285&lt;=4,G2285&gt;=6,H2285&gt;=6),"AT RISK",AND(F2285&lt;=2,G2285&gt;=8,H2285&gt;=8),"CAN'T LOSE THEM",AND(F2285&lt;=2,G2285&lt;=2,H2285&lt;=2),"HIBERNATING",TRUE(),"Other")</f>
        <v>NEED ATTENTION</v>
      </c>
      <c r="K2285" s="1" t="n">
        <f aca="false">RANK(E2285,$E$7:$E$4378)+COUNTIF($E$7:E2285,E2285)-1</f>
        <v>1182</v>
      </c>
    </row>
    <row r="2286" customFormat="false" ht="14.25" hidden="false" customHeight="true" outlineLevel="0" collapsed="false">
      <c r="A2286" s="51" t="n">
        <v>15428</v>
      </c>
      <c r="B2286" s="53" t="n">
        <v>40871.7041666667</v>
      </c>
      <c r="C2286" s="57" t="n">
        <f aca="false">INT($C$2)-INT(Table3[[#This Row],[Last Purchase Date]])</f>
        <v>16</v>
      </c>
      <c r="D2286" s="1" t="n">
        <v>1</v>
      </c>
      <c r="E2286" s="1" t="n">
        <v>93.78</v>
      </c>
      <c r="F2286" s="1" t="n">
        <f aca="false">ROUND((1-_xlfn.PERCENTRANK.INC($C$7:$C$4378,C2286))*9,0)</f>
        <v>7</v>
      </c>
      <c r="G2286" s="1" t="n">
        <f aca="false">ROUND(_xlfn.PERCENTRANK.INC($D$7:$D$4378,D2286)*9,0)</f>
        <v>0</v>
      </c>
      <c r="H2286" s="1" t="n">
        <f aca="false">ROUND(_xlfn.PERCENTRANK.INC($E$7:$E$4378,E2286)*9,0)</f>
        <v>0</v>
      </c>
      <c r="I2286" s="1" t="str">
        <f aca="false">CONCATENATE(F2286,G2286,H2286)</f>
        <v>700</v>
      </c>
      <c r="J2286" s="1" t="str">
        <f aca="false">_xlfn.IFS(AND(F2286&gt;=8,G2286&gt;=8,H2286&gt;=8),"CHAMPION",AND(F2286&gt;=6,G2286&gt;=7,H2286&gt;=6),"LOYAL CUSTOMER",AND(F2286&gt;=6,G2286&gt;=5,H2286&gt;=5),"POTENTIAL LOYALIST",AND(F2286&gt;=8,G2286&lt;=2,H2286&gt;=5),"NEW CUSTOMERS",AND(F2286&gt;=6,G2286&lt;=2,H2286&gt;=3),"PROMISING",AND(F2286&gt;=3,G2286&gt;=3,H2286&gt;=3),"NEED ATTENTION",AND(F2286&lt;=4,G2286&gt;=6,H2286&gt;=6),"AT RISK",AND(F2286&lt;=2,G2286&gt;=8,H2286&gt;=8),"CAN'T LOSE THEM",AND(F2286&lt;=2,G2286&lt;=2,H2286&lt;=2),"HIBERNATING",TRUE(),"Other")</f>
        <v>Other</v>
      </c>
      <c r="K2286" s="1" t="n">
        <f aca="false">RANK(E2286,$E$7:$E$4378)+COUNTIF($E$7:E2286,E2286)-1</f>
        <v>4179</v>
      </c>
    </row>
    <row r="2287" customFormat="false" ht="14.25" hidden="false" customHeight="true" outlineLevel="0" collapsed="false">
      <c r="A2287" s="51" t="n">
        <v>15429</v>
      </c>
      <c r="B2287" s="53" t="n">
        <v>40860.5194444444</v>
      </c>
      <c r="C2287" s="57" t="n">
        <f aca="false">INT($C$2)-INT(Table3[[#This Row],[Last Purchase Date]])</f>
        <v>27</v>
      </c>
      <c r="D2287" s="1" t="n">
        <v>3</v>
      </c>
      <c r="E2287" s="1" t="n">
        <v>364.9</v>
      </c>
      <c r="F2287" s="1" t="n">
        <f aca="false">ROUND((1-_xlfn.PERCENTRANK.INC($C$7:$C$4378,C2287))*9,0)</f>
        <v>6</v>
      </c>
      <c r="G2287" s="1" t="n">
        <f aca="false">ROUND(_xlfn.PERCENTRANK.INC($D$7:$D$4378,D2287)*9,0)</f>
        <v>4</v>
      </c>
      <c r="H2287" s="1" t="n">
        <f aca="false">ROUND(_xlfn.PERCENTRANK.INC($E$7:$E$4378,E2287)*9,0)</f>
        <v>3</v>
      </c>
      <c r="I2287" s="1" t="str">
        <f aca="false">CONCATENATE(F2287,G2287,H2287)</f>
        <v>643</v>
      </c>
      <c r="J2287" s="1" t="str">
        <f aca="false">_xlfn.IFS(AND(F2287&gt;=8,G2287&gt;=8,H2287&gt;=8),"CHAMPION",AND(F2287&gt;=6,G2287&gt;=7,H2287&gt;=6),"LOYAL CUSTOMER",AND(F2287&gt;=6,G2287&gt;=5,H2287&gt;=5),"POTENTIAL LOYALIST",AND(F2287&gt;=8,G2287&lt;=2,H2287&gt;=5),"NEW CUSTOMERS",AND(F2287&gt;=6,G2287&lt;=2,H2287&gt;=3),"PROMISING",AND(F2287&gt;=3,G2287&gt;=3,H2287&gt;=3),"NEED ATTENTION",AND(F2287&lt;=4,G2287&gt;=6,H2287&gt;=6),"AT RISK",AND(F2287&lt;=2,G2287&gt;=8,H2287&gt;=8),"CAN'T LOSE THEM",AND(F2287&lt;=2,G2287&lt;=2,H2287&lt;=2),"HIBERNATING",TRUE(),"Other")</f>
        <v>NEED ATTENTION</v>
      </c>
      <c r="K2287" s="1" t="n">
        <f aca="false">RANK(E2287,$E$7:$E$4378)+COUNTIF($E$7:E2287,E2287)-1</f>
        <v>2938</v>
      </c>
    </row>
    <row r="2288" customFormat="false" ht="14.25" hidden="false" customHeight="true" outlineLevel="0" collapsed="false">
      <c r="A2288" s="51" t="n">
        <v>15432</v>
      </c>
      <c r="B2288" s="53" t="n">
        <v>40863.6875</v>
      </c>
      <c r="C2288" s="57" t="n">
        <f aca="false">INT($C$2)-INT(Table3[[#This Row],[Last Purchase Date]])</f>
        <v>24</v>
      </c>
      <c r="D2288" s="1" t="n">
        <v>1</v>
      </c>
      <c r="E2288" s="1" t="n">
        <v>171.19</v>
      </c>
      <c r="F2288" s="1" t="n">
        <f aca="false">ROUND((1-_xlfn.PERCENTRANK.INC($C$7:$C$4378,C2288))*9,0)</f>
        <v>6</v>
      </c>
      <c r="G2288" s="1" t="n">
        <f aca="false">ROUND(_xlfn.PERCENTRANK.INC($D$7:$D$4378,D2288)*9,0)</f>
        <v>0</v>
      </c>
      <c r="H2288" s="1" t="n">
        <f aca="false">ROUND(_xlfn.PERCENTRANK.INC($E$7:$E$4378,E2288)*9,0)</f>
        <v>1</v>
      </c>
      <c r="I2288" s="1" t="str">
        <f aca="false">CONCATENATE(F2288,G2288,H2288)</f>
        <v>601</v>
      </c>
      <c r="J2288" s="1" t="str">
        <f aca="false">_xlfn.IFS(AND(F2288&gt;=8,G2288&gt;=8,H2288&gt;=8),"CHAMPION",AND(F2288&gt;=6,G2288&gt;=7,H2288&gt;=6),"LOYAL CUSTOMER",AND(F2288&gt;=6,G2288&gt;=5,H2288&gt;=5),"POTENTIAL LOYALIST",AND(F2288&gt;=8,G2288&lt;=2,H2288&gt;=5),"NEW CUSTOMERS",AND(F2288&gt;=6,G2288&lt;=2,H2288&gt;=3),"PROMISING",AND(F2288&gt;=3,G2288&gt;=3,H2288&gt;=3),"NEED ATTENTION",AND(F2288&lt;=4,G2288&gt;=6,H2288&gt;=6),"AT RISK",AND(F2288&lt;=2,G2288&gt;=8,H2288&gt;=8),"CAN'T LOSE THEM",AND(F2288&lt;=2,G2288&lt;=2,H2288&lt;=2),"HIBERNATING",TRUE(),"Other")</f>
        <v>Other</v>
      </c>
      <c r="K2288" s="1" t="n">
        <f aca="false">RANK(E2288,$E$7:$E$4378)+COUNTIF($E$7:E2288,E2288)-1</f>
        <v>3800</v>
      </c>
    </row>
    <row r="2289" customFormat="false" ht="14.25" hidden="false" customHeight="true" outlineLevel="0" collapsed="false">
      <c r="A2289" s="51" t="n">
        <v>15433</v>
      </c>
      <c r="B2289" s="53" t="n">
        <v>40807.6833333333</v>
      </c>
      <c r="C2289" s="57" t="n">
        <f aca="false">INT($C$2)-INT(Table3[[#This Row],[Last Purchase Date]])</f>
        <v>80</v>
      </c>
      <c r="D2289" s="1" t="n">
        <v>3</v>
      </c>
      <c r="E2289" s="1" t="n">
        <v>417.87</v>
      </c>
      <c r="F2289" s="1" t="n">
        <f aca="false">ROUND((1-_xlfn.PERCENTRANK.INC($C$7:$C$4378,C2289))*9,0)</f>
        <v>3</v>
      </c>
      <c r="G2289" s="1" t="n">
        <f aca="false">ROUND(_xlfn.PERCENTRANK.INC($D$7:$D$4378,D2289)*9,0)</f>
        <v>4</v>
      </c>
      <c r="H2289" s="1" t="n">
        <f aca="false">ROUND(_xlfn.PERCENTRANK.INC($E$7:$E$4378,E2289)*9,0)</f>
        <v>3</v>
      </c>
      <c r="I2289" s="1" t="str">
        <f aca="false">CONCATENATE(F2289,G2289,H2289)</f>
        <v>343</v>
      </c>
      <c r="J2289" s="1" t="str">
        <f aca="false">_xlfn.IFS(AND(F2289&gt;=8,G2289&gt;=8,H2289&gt;=8),"CHAMPION",AND(F2289&gt;=6,G2289&gt;=7,H2289&gt;=6),"LOYAL CUSTOMER",AND(F2289&gt;=6,G2289&gt;=5,H2289&gt;=5),"POTENTIAL LOYALIST",AND(F2289&gt;=8,G2289&lt;=2,H2289&gt;=5),"NEW CUSTOMERS",AND(F2289&gt;=6,G2289&lt;=2,H2289&gt;=3),"PROMISING",AND(F2289&gt;=3,G2289&gt;=3,H2289&gt;=3),"NEED ATTENTION",AND(F2289&lt;=4,G2289&gt;=6,H2289&gt;=6),"AT RISK",AND(F2289&lt;=2,G2289&gt;=8,H2289&gt;=8),"CAN'T LOSE THEM",AND(F2289&lt;=2,G2289&lt;=2,H2289&lt;=2),"HIBERNATING",TRUE(),"Other")</f>
        <v>NEED ATTENTION</v>
      </c>
      <c r="K2289" s="1" t="n">
        <f aca="false">RANK(E2289,$E$7:$E$4378)+COUNTIF($E$7:E2289,E2289)-1</f>
        <v>2757</v>
      </c>
    </row>
    <row r="2290" customFormat="false" ht="14.25" hidden="false" customHeight="true" outlineLevel="0" collapsed="false">
      <c r="A2290" s="51" t="n">
        <v>15434</v>
      </c>
      <c r="B2290" s="53" t="n">
        <v>40878.5645833333</v>
      </c>
      <c r="C2290" s="57" t="n">
        <f aca="false">INT($C$2)-INT(Table3[[#This Row],[Last Purchase Date]])</f>
        <v>9</v>
      </c>
      <c r="D2290" s="1" t="n">
        <v>6</v>
      </c>
      <c r="E2290" s="1" t="n">
        <v>997.48</v>
      </c>
      <c r="F2290" s="1" t="n">
        <f aca="false">ROUND((1-_xlfn.PERCENTRANK.INC($C$7:$C$4378,C2290))*9,0)</f>
        <v>8</v>
      </c>
      <c r="G2290" s="1" t="n">
        <f aca="false">ROUND(_xlfn.PERCENTRANK.INC($D$7:$D$4378,D2290)*9,0)</f>
        <v>7</v>
      </c>
      <c r="H2290" s="1" t="n">
        <f aca="false">ROUND(_xlfn.PERCENTRANK.INC($E$7:$E$4378,E2290)*9,0)</f>
        <v>6</v>
      </c>
      <c r="I2290" s="1" t="str">
        <f aca="false">CONCATENATE(F2290,G2290,H2290)</f>
        <v>876</v>
      </c>
      <c r="J2290" s="1" t="str">
        <f aca="false">_xlfn.IFS(AND(F2290&gt;=8,G2290&gt;=8,H2290&gt;=8),"CHAMPION",AND(F2290&gt;=6,G2290&gt;=7,H2290&gt;=6),"LOYAL CUSTOMER",AND(F2290&gt;=6,G2290&gt;=5,H2290&gt;=5),"POTENTIAL LOYALIST",AND(F2290&gt;=8,G2290&lt;=2,H2290&gt;=5),"NEW CUSTOMERS",AND(F2290&gt;=6,G2290&lt;=2,H2290&gt;=3),"PROMISING",AND(F2290&gt;=3,G2290&gt;=3,H2290&gt;=3),"NEED ATTENTION",AND(F2290&lt;=4,G2290&gt;=6,H2290&gt;=6),"AT RISK",AND(F2290&lt;=2,G2290&gt;=8,H2290&gt;=8),"CAN'T LOSE THEM",AND(F2290&lt;=2,G2290&lt;=2,H2290&lt;=2),"HIBERNATING",TRUE(),"Other")</f>
        <v>LOYAL CUSTOMER</v>
      </c>
      <c r="K2290" s="1" t="n">
        <f aca="false">RANK(E2290,$E$7:$E$4378)+COUNTIF($E$7:E2290,E2290)-1</f>
        <v>1636</v>
      </c>
    </row>
    <row r="2291" customFormat="false" ht="14.25" hidden="false" customHeight="true" outlineLevel="0" collapsed="false">
      <c r="A2291" s="51" t="n">
        <v>15435</v>
      </c>
      <c r="B2291" s="53" t="n">
        <v>40864.69375</v>
      </c>
      <c r="C2291" s="57" t="n">
        <f aca="false">INT($C$2)-INT(Table3[[#This Row],[Last Purchase Date]])</f>
        <v>23</v>
      </c>
      <c r="D2291" s="1" t="n">
        <v>1</v>
      </c>
      <c r="E2291" s="1" t="n">
        <v>149.29</v>
      </c>
      <c r="F2291" s="1" t="n">
        <f aca="false">ROUND((1-_xlfn.PERCENTRANK.INC($C$7:$C$4378,C2291))*9,0)</f>
        <v>6</v>
      </c>
      <c r="G2291" s="1" t="n">
        <f aca="false">ROUND(_xlfn.PERCENTRANK.INC($D$7:$D$4378,D2291)*9,0)</f>
        <v>0</v>
      </c>
      <c r="H2291" s="1" t="n">
        <f aca="false">ROUND(_xlfn.PERCENTRANK.INC($E$7:$E$4378,E2291)*9,0)</f>
        <v>1</v>
      </c>
      <c r="I2291" s="1" t="str">
        <f aca="false">CONCATENATE(F2291,G2291,H2291)</f>
        <v>601</v>
      </c>
      <c r="J2291" s="1" t="str">
        <f aca="false">_xlfn.IFS(AND(F2291&gt;=8,G2291&gt;=8,H2291&gt;=8),"CHAMPION",AND(F2291&gt;=6,G2291&gt;=7,H2291&gt;=6),"LOYAL CUSTOMER",AND(F2291&gt;=6,G2291&gt;=5,H2291&gt;=5),"POTENTIAL LOYALIST",AND(F2291&gt;=8,G2291&lt;=2,H2291&gt;=5),"NEW CUSTOMERS",AND(F2291&gt;=6,G2291&lt;=2,H2291&gt;=3),"PROMISING",AND(F2291&gt;=3,G2291&gt;=3,H2291&gt;=3),"NEED ATTENTION",AND(F2291&lt;=4,G2291&gt;=6,H2291&gt;=6),"AT RISK",AND(F2291&lt;=2,G2291&gt;=8,H2291&gt;=8),"CAN'T LOSE THEM",AND(F2291&lt;=2,G2291&lt;=2,H2291&lt;=2),"HIBERNATING",TRUE(),"Other")</f>
        <v>Other</v>
      </c>
      <c r="K2291" s="1" t="n">
        <f aca="false">RANK(E2291,$E$7:$E$4378)+COUNTIF($E$7:E2291,E2291)-1</f>
        <v>3923</v>
      </c>
    </row>
    <row r="2292" customFormat="false" ht="14.25" hidden="false" customHeight="true" outlineLevel="0" collapsed="false">
      <c r="A2292" s="51" t="n">
        <v>15436</v>
      </c>
      <c r="B2292" s="53" t="n">
        <v>40874.6701388889</v>
      </c>
      <c r="C2292" s="57" t="n">
        <f aca="false">INT($C$2)-INT(Table3[[#This Row],[Last Purchase Date]])</f>
        <v>13</v>
      </c>
      <c r="D2292" s="1" t="n">
        <v>3</v>
      </c>
      <c r="E2292" s="1" t="n">
        <v>1122.53</v>
      </c>
      <c r="F2292" s="1" t="n">
        <f aca="false">ROUND((1-_xlfn.PERCENTRANK.INC($C$7:$C$4378,C2292))*9,0)</f>
        <v>7</v>
      </c>
      <c r="G2292" s="1" t="n">
        <f aca="false">ROUND(_xlfn.PERCENTRANK.INC($D$7:$D$4378,D2292)*9,0)</f>
        <v>4</v>
      </c>
      <c r="H2292" s="1" t="n">
        <f aca="false">ROUND(_xlfn.PERCENTRANK.INC($E$7:$E$4378,E2292)*9,0)</f>
        <v>6</v>
      </c>
      <c r="I2292" s="1" t="str">
        <f aca="false">CONCATENATE(F2292,G2292,H2292)</f>
        <v>746</v>
      </c>
      <c r="J2292" s="1" t="str">
        <f aca="false">_xlfn.IFS(AND(F2292&gt;=8,G2292&gt;=8,H2292&gt;=8),"CHAMPION",AND(F2292&gt;=6,G2292&gt;=7,H2292&gt;=6),"LOYAL CUSTOMER",AND(F2292&gt;=6,G2292&gt;=5,H2292&gt;=5),"POTENTIAL LOYALIST",AND(F2292&gt;=8,G2292&lt;=2,H2292&gt;=5),"NEW CUSTOMERS",AND(F2292&gt;=6,G2292&lt;=2,H2292&gt;=3),"PROMISING",AND(F2292&gt;=3,G2292&gt;=3,H2292&gt;=3),"NEED ATTENTION",AND(F2292&lt;=4,G2292&gt;=6,H2292&gt;=6),"AT RISK",AND(F2292&lt;=2,G2292&gt;=8,H2292&gt;=8),"CAN'T LOSE THEM",AND(F2292&lt;=2,G2292&lt;=2,H2292&lt;=2),"HIBERNATING",TRUE(),"Other")</f>
        <v>NEED ATTENTION</v>
      </c>
      <c r="K2292" s="1" t="n">
        <f aca="false">RANK(E2292,$E$7:$E$4378)+COUNTIF($E$7:E2292,E2292)-1</f>
        <v>1482</v>
      </c>
    </row>
    <row r="2293" customFormat="false" ht="14.25" hidden="false" customHeight="true" outlineLevel="0" collapsed="false">
      <c r="A2293" s="51" t="n">
        <v>15437</v>
      </c>
      <c r="B2293" s="53" t="n">
        <v>40624.5493055556</v>
      </c>
      <c r="C2293" s="57" t="n">
        <f aca="false">INT($C$2)-INT(Table3[[#This Row],[Last Purchase Date]])</f>
        <v>263</v>
      </c>
      <c r="D2293" s="1" t="n">
        <v>1</v>
      </c>
      <c r="E2293" s="1" t="n">
        <v>200.16</v>
      </c>
      <c r="F2293" s="1" t="n">
        <f aca="false">ROUND((1-_xlfn.PERCENTRANK.INC($C$7:$C$4378,C2293))*9,0)</f>
        <v>1</v>
      </c>
      <c r="G2293" s="1" t="n">
        <f aca="false">ROUND(_xlfn.PERCENTRANK.INC($D$7:$D$4378,D2293)*9,0)</f>
        <v>0</v>
      </c>
      <c r="H2293" s="1" t="n">
        <f aca="false">ROUND(_xlfn.PERCENTRANK.INC($E$7:$E$4378,E2293)*9,0)</f>
        <v>1</v>
      </c>
      <c r="I2293" s="1" t="str">
        <f aca="false">CONCATENATE(F2293,G2293,H2293)</f>
        <v>101</v>
      </c>
      <c r="J2293" s="1" t="str">
        <f aca="false">_xlfn.IFS(AND(F2293&gt;=8,G2293&gt;=8,H2293&gt;=8),"CHAMPION",AND(F2293&gt;=6,G2293&gt;=7,H2293&gt;=6),"LOYAL CUSTOMER",AND(F2293&gt;=6,G2293&gt;=5,H2293&gt;=5),"POTENTIAL LOYALIST",AND(F2293&gt;=8,G2293&lt;=2,H2293&gt;=5),"NEW CUSTOMERS",AND(F2293&gt;=6,G2293&lt;=2,H2293&gt;=3),"PROMISING",AND(F2293&gt;=3,G2293&gt;=3,H2293&gt;=3),"NEED ATTENTION",AND(F2293&lt;=4,G2293&gt;=6,H2293&gt;=6),"AT RISK",AND(F2293&lt;=2,G2293&gt;=8,H2293&gt;=8),"CAN'T LOSE THEM",AND(F2293&lt;=2,G2293&lt;=2,H2293&lt;=2),"HIBERNATING",TRUE(),"Other")</f>
        <v>HIBERNATING</v>
      </c>
      <c r="K2293" s="1" t="n">
        <f aca="false">RANK(E2293,$E$7:$E$4378)+COUNTIF($E$7:E2293,E2293)-1</f>
        <v>3657</v>
      </c>
    </row>
    <row r="2294" customFormat="false" ht="14.25" hidden="false" customHeight="true" outlineLevel="0" collapsed="false">
      <c r="A2294" s="51" t="n">
        <v>15438</v>
      </c>
      <c r="B2294" s="53" t="n">
        <v>40755.5965277778</v>
      </c>
      <c r="C2294" s="57" t="n">
        <f aca="false">INT($C$2)-INT(Table3[[#This Row],[Last Purchase Date]])</f>
        <v>132</v>
      </c>
      <c r="D2294" s="1" t="n">
        <v>1</v>
      </c>
      <c r="E2294" s="1" t="n">
        <v>156.58</v>
      </c>
      <c r="F2294" s="1" t="n">
        <f aca="false">ROUND((1-_xlfn.PERCENTRANK.INC($C$7:$C$4378,C2294))*9,0)</f>
        <v>2</v>
      </c>
      <c r="G2294" s="1" t="n">
        <f aca="false">ROUND(_xlfn.PERCENTRANK.INC($D$7:$D$4378,D2294)*9,0)</f>
        <v>0</v>
      </c>
      <c r="H2294" s="1" t="n">
        <f aca="false">ROUND(_xlfn.PERCENTRANK.INC($E$7:$E$4378,E2294)*9,0)</f>
        <v>1</v>
      </c>
      <c r="I2294" s="1" t="str">
        <f aca="false">CONCATENATE(F2294,G2294,H2294)</f>
        <v>201</v>
      </c>
      <c r="J2294" s="1" t="str">
        <f aca="false">_xlfn.IFS(AND(F2294&gt;=8,G2294&gt;=8,H2294&gt;=8),"CHAMPION",AND(F2294&gt;=6,G2294&gt;=7,H2294&gt;=6),"LOYAL CUSTOMER",AND(F2294&gt;=6,G2294&gt;=5,H2294&gt;=5),"POTENTIAL LOYALIST",AND(F2294&gt;=8,G2294&lt;=2,H2294&gt;=5),"NEW CUSTOMERS",AND(F2294&gt;=6,G2294&lt;=2,H2294&gt;=3),"PROMISING",AND(F2294&gt;=3,G2294&gt;=3,H2294&gt;=3),"NEED ATTENTION",AND(F2294&lt;=4,G2294&gt;=6,H2294&gt;=6),"AT RISK",AND(F2294&lt;=2,G2294&gt;=8,H2294&gt;=8),"CAN'T LOSE THEM",AND(F2294&lt;=2,G2294&lt;=2,H2294&lt;=2),"HIBERNATING",TRUE(),"Other")</f>
        <v>HIBERNATING</v>
      </c>
      <c r="K2294" s="1" t="n">
        <f aca="false">RANK(E2294,$E$7:$E$4378)+COUNTIF($E$7:E2294,E2294)-1</f>
        <v>3878</v>
      </c>
    </row>
    <row r="2295" customFormat="false" ht="14.25" hidden="false" customHeight="true" outlineLevel="0" collapsed="false">
      <c r="A2295" s="51" t="n">
        <v>15440</v>
      </c>
      <c r="B2295" s="53" t="n">
        <v>40832.5111111111</v>
      </c>
      <c r="C2295" s="57" t="n">
        <f aca="false">INT($C$2)-INT(Table3[[#This Row],[Last Purchase Date]])</f>
        <v>55</v>
      </c>
      <c r="D2295" s="1" t="n">
        <v>3</v>
      </c>
      <c r="E2295" s="1" t="n">
        <v>383.68</v>
      </c>
      <c r="F2295" s="1" t="n">
        <f aca="false">ROUND((1-_xlfn.PERCENTRANK.INC($C$7:$C$4378,C2295))*9,0)</f>
        <v>4</v>
      </c>
      <c r="G2295" s="1" t="n">
        <f aca="false">ROUND(_xlfn.PERCENTRANK.INC($D$7:$D$4378,D2295)*9,0)</f>
        <v>4</v>
      </c>
      <c r="H2295" s="1" t="n">
        <f aca="false">ROUND(_xlfn.PERCENTRANK.INC($E$7:$E$4378,E2295)*9,0)</f>
        <v>3</v>
      </c>
      <c r="I2295" s="1" t="str">
        <f aca="false">CONCATENATE(F2295,G2295,H2295)</f>
        <v>443</v>
      </c>
      <c r="J2295" s="1" t="str">
        <f aca="false">_xlfn.IFS(AND(F2295&gt;=8,G2295&gt;=8,H2295&gt;=8),"CHAMPION",AND(F2295&gt;=6,G2295&gt;=7,H2295&gt;=6),"LOYAL CUSTOMER",AND(F2295&gt;=6,G2295&gt;=5,H2295&gt;=5),"POTENTIAL LOYALIST",AND(F2295&gt;=8,G2295&lt;=2,H2295&gt;=5),"NEW CUSTOMERS",AND(F2295&gt;=6,G2295&lt;=2,H2295&gt;=3),"PROMISING",AND(F2295&gt;=3,G2295&gt;=3,H2295&gt;=3),"NEED ATTENTION",AND(F2295&lt;=4,G2295&gt;=6,H2295&gt;=6),"AT RISK",AND(F2295&lt;=2,G2295&gt;=8,H2295&gt;=8),"CAN'T LOSE THEM",AND(F2295&lt;=2,G2295&lt;=2,H2295&lt;=2),"HIBERNATING",TRUE(),"Other")</f>
        <v>NEED ATTENTION</v>
      </c>
      <c r="K2295" s="1" t="n">
        <f aca="false">RANK(E2295,$E$7:$E$4378)+COUNTIF($E$7:E2295,E2295)-1</f>
        <v>2874</v>
      </c>
    </row>
    <row r="2296" customFormat="false" ht="14.25" hidden="false" customHeight="true" outlineLevel="0" collapsed="false">
      <c r="A2296" s="51" t="n">
        <v>15442</v>
      </c>
      <c r="B2296" s="53" t="n">
        <v>40638.5166666667</v>
      </c>
      <c r="C2296" s="57" t="n">
        <f aca="false">INT($C$2)-INT(Table3[[#This Row],[Last Purchase Date]])</f>
        <v>249</v>
      </c>
      <c r="D2296" s="1" t="n">
        <v>1</v>
      </c>
      <c r="E2296" s="1" t="n">
        <v>594</v>
      </c>
      <c r="F2296" s="1" t="n">
        <f aca="false">ROUND((1-_xlfn.PERCENTRANK.INC($C$7:$C$4378,C2296))*9,0)</f>
        <v>1</v>
      </c>
      <c r="G2296" s="1" t="n">
        <f aca="false">ROUND(_xlfn.PERCENTRANK.INC($D$7:$D$4378,D2296)*9,0)</f>
        <v>0</v>
      </c>
      <c r="H2296" s="1" t="n">
        <f aca="false">ROUND(_xlfn.PERCENTRANK.INC($E$7:$E$4378,E2296)*9,0)</f>
        <v>4</v>
      </c>
      <c r="I2296" s="1" t="str">
        <f aca="false">CONCATENATE(F2296,G2296,H2296)</f>
        <v>104</v>
      </c>
      <c r="J2296" s="1" t="str">
        <f aca="false">_xlfn.IFS(AND(F2296&gt;=8,G2296&gt;=8,H2296&gt;=8),"CHAMPION",AND(F2296&gt;=6,G2296&gt;=7,H2296&gt;=6),"LOYAL CUSTOMER",AND(F2296&gt;=6,G2296&gt;=5,H2296&gt;=5),"POTENTIAL LOYALIST",AND(F2296&gt;=8,G2296&lt;=2,H2296&gt;=5),"NEW CUSTOMERS",AND(F2296&gt;=6,G2296&lt;=2,H2296&gt;=3),"PROMISING",AND(F2296&gt;=3,G2296&gt;=3,H2296&gt;=3),"NEED ATTENTION",AND(F2296&lt;=4,G2296&gt;=6,H2296&gt;=6),"AT RISK",AND(F2296&lt;=2,G2296&gt;=8,H2296&gt;=8),"CAN'T LOSE THEM",AND(F2296&lt;=2,G2296&lt;=2,H2296&lt;=2),"HIBERNATING",TRUE(),"Other")</f>
        <v>Other</v>
      </c>
      <c r="K2296" s="1" t="n">
        <f aca="false">RANK(E2296,$E$7:$E$4378)+COUNTIF($E$7:E2296,E2296)-1</f>
        <v>2339</v>
      </c>
    </row>
    <row r="2297" customFormat="false" ht="14.25" hidden="false" customHeight="true" outlineLevel="0" collapsed="false">
      <c r="A2297" s="51" t="n">
        <v>15443</v>
      </c>
      <c r="B2297" s="53" t="n">
        <v>40885.4444444445</v>
      </c>
      <c r="C2297" s="57" t="n">
        <f aca="false">INT($C$2)-INT(Table3[[#This Row],[Last Purchase Date]])</f>
        <v>2</v>
      </c>
      <c r="D2297" s="1" t="n">
        <v>8</v>
      </c>
      <c r="E2297" s="1" t="n">
        <v>3212.16</v>
      </c>
      <c r="F2297" s="1" t="n">
        <f aca="false">ROUND((1-_xlfn.PERCENTRANK.INC($C$7:$C$4378,C2297))*9,0)</f>
        <v>9</v>
      </c>
      <c r="G2297" s="1" t="n">
        <f aca="false">ROUND(_xlfn.PERCENTRANK.INC($D$7:$D$4378,D2297)*9,0)</f>
        <v>7</v>
      </c>
      <c r="H2297" s="1" t="n">
        <f aca="false">ROUND(_xlfn.PERCENTRANK.INC($E$7:$E$4378,E2297)*9,0)</f>
        <v>8</v>
      </c>
      <c r="I2297" s="1" t="str">
        <f aca="false">CONCATENATE(F2297,G2297,H2297)</f>
        <v>978</v>
      </c>
      <c r="J2297" s="1" t="str">
        <f aca="false">_xlfn.IFS(AND(F2297&gt;=8,G2297&gt;=8,H2297&gt;=8),"CHAMPION",AND(F2297&gt;=6,G2297&gt;=7,H2297&gt;=6),"LOYAL CUSTOMER",AND(F2297&gt;=6,G2297&gt;=5,H2297&gt;=5),"POTENTIAL LOYALIST",AND(F2297&gt;=8,G2297&lt;=2,H2297&gt;=5),"NEW CUSTOMERS",AND(F2297&gt;=6,G2297&lt;=2,H2297&gt;=3),"PROMISING",AND(F2297&gt;=3,G2297&gt;=3,H2297&gt;=3),"NEED ATTENTION",AND(F2297&lt;=4,G2297&gt;=6,H2297&gt;=6),"AT RISK",AND(F2297&lt;=2,G2297&gt;=8,H2297&gt;=8),"CAN'T LOSE THEM",AND(F2297&lt;=2,G2297&lt;=2,H2297&lt;=2),"HIBERNATING",TRUE(),"Other")</f>
        <v>LOYAL CUSTOMER</v>
      </c>
      <c r="K2297" s="1" t="n">
        <f aca="false">RANK(E2297,$E$7:$E$4378)+COUNTIF($E$7:E2297,E2297)-1</f>
        <v>491</v>
      </c>
    </row>
    <row r="2298" customFormat="false" ht="14.25" hidden="false" customHeight="true" outlineLevel="0" collapsed="false">
      <c r="A2298" s="51" t="n">
        <v>15444</v>
      </c>
      <c r="B2298" s="53" t="n">
        <v>40877.7340277778</v>
      </c>
      <c r="C2298" s="57" t="n">
        <f aca="false">INT($C$2)-INT(Table3[[#This Row],[Last Purchase Date]])</f>
        <v>10</v>
      </c>
      <c r="D2298" s="1" t="n">
        <v>2</v>
      </c>
      <c r="E2298" s="1" t="n">
        <v>1418.26</v>
      </c>
      <c r="F2298" s="1" t="n">
        <f aca="false">ROUND((1-_xlfn.PERCENTRANK.INC($C$7:$C$4378,C2298))*9,0)</f>
        <v>8</v>
      </c>
      <c r="G2298" s="1" t="n">
        <f aca="false">ROUND(_xlfn.PERCENTRANK.INC($D$7:$D$4378,D2298)*9,0)</f>
        <v>3</v>
      </c>
      <c r="H2298" s="1" t="n">
        <f aca="false">ROUND(_xlfn.PERCENTRANK.INC($E$7:$E$4378,E2298)*9,0)</f>
        <v>6</v>
      </c>
      <c r="I2298" s="1" t="str">
        <f aca="false">CONCATENATE(F2298,G2298,H2298)</f>
        <v>836</v>
      </c>
      <c r="J2298" s="1" t="str">
        <f aca="false">_xlfn.IFS(AND(F2298&gt;=8,G2298&gt;=8,H2298&gt;=8),"CHAMPION",AND(F2298&gt;=6,G2298&gt;=7,H2298&gt;=6),"LOYAL CUSTOMER",AND(F2298&gt;=6,G2298&gt;=5,H2298&gt;=5),"POTENTIAL LOYALIST",AND(F2298&gt;=8,G2298&lt;=2,H2298&gt;=5),"NEW CUSTOMERS",AND(F2298&gt;=6,G2298&lt;=2,H2298&gt;=3),"PROMISING",AND(F2298&gt;=3,G2298&gt;=3,H2298&gt;=3),"NEED ATTENTION",AND(F2298&lt;=4,G2298&gt;=6,H2298&gt;=6),"AT RISK",AND(F2298&lt;=2,G2298&gt;=8,H2298&gt;=8),"CAN'T LOSE THEM",AND(F2298&lt;=2,G2298&lt;=2,H2298&lt;=2),"HIBERNATING",TRUE(),"Other")</f>
        <v>NEED ATTENTION</v>
      </c>
      <c r="K2298" s="1" t="n">
        <f aca="false">RANK(E2298,$E$7:$E$4378)+COUNTIF($E$7:E2298,E2298)-1</f>
        <v>1223</v>
      </c>
    </row>
    <row r="2299" customFormat="false" ht="14.25" hidden="false" customHeight="true" outlineLevel="0" collapsed="false">
      <c r="A2299" s="51" t="n">
        <v>15445</v>
      </c>
      <c r="B2299" s="53" t="n">
        <v>40622.6291666667</v>
      </c>
      <c r="C2299" s="57" t="n">
        <f aca="false">INT($C$2)-INT(Table3[[#This Row],[Last Purchase Date]])</f>
        <v>265</v>
      </c>
      <c r="D2299" s="1" t="n">
        <v>1</v>
      </c>
      <c r="E2299" s="1" t="n">
        <v>113.5</v>
      </c>
      <c r="F2299" s="1" t="n">
        <f aca="false">ROUND((1-_xlfn.PERCENTRANK.INC($C$7:$C$4378,C2299))*9,0)</f>
        <v>1</v>
      </c>
      <c r="G2299" s="1" t="n">
        <f aca="false">ROUND(_xlfn.PERCENTRANK.INC($D$7:$D$4378,D2299)*9,0)</f>
        <v>0</v>
      </c>
      <c r="H2299" s="1" t="n">
        <f aca="false">ROUND(_xlfn.PERCENTRANK.INC($E$7:$E$4378,E2299)*9,0)</f>
        <v>1</v>
      </c>
      <c r="I2299" s="1" t="str">
        <f aca="false">CONCATENATE(F2299,G2299,H2299)</f>
        <v>101</v>
      </c>
      <c r="J2299" s="1" t="str">
        <f aca="false">_xlfn.IFS(AND(F2299&gt;=8,G2299&gt;=8,H2299&gt;=8),"CHAMPION",AND(F2299&gt;=6,G2299&gt;=7,H2299&gt;=6),"LOYAL CUSTOMER",AND(F2299&gt;=6,G2299&gt;=5,H2299&gt;=5),"POTENTIAL LOYALIST",AND(F2299&gt;=8,G2299&lt;=2,H2299&gt;=5),"NEW CUSTOMERS",AND(F2299&gt;=6,G2299&lt;=2,H2299&gt;=3),"PROMISING",AND(F2299&gt;=3,G2299&gt;=3,H2299&gt;=3),"NEED ATTENTION",AND(F2299&lt;=4,G2299&gt;=6,H2299&gt;=6),"AT RISK",AND(F2299&lt;=2,G2299&gt;=8,H2299&gt;=8),"CAN'T LOSE THEM",AND(F2299&lt;=2,G2299&lt;=2,H2299&lt;=2),"HIBERNATING",TRUE(),"Other")</f>
        <v>HIBERNATING</v>
      </c>
      <c r="K2299" s="1" t="n">
        <f aca="false">RANK(E2299,$E$7:$E$4378)+COUNTIF($E$7:E2299,E2299)-1</f>
        <v>4086</v>
      </c>
    </row>
    <row r="2300" customFormat="false" ht="14.25" hidden="false" customHeight="true" outlineLevel="0" collapsed="false">
      <c r="A2300" s="51" t="n">
        <v>15447</v>
      </c>
      <c r="B2300" s="53" t="n">
        <v>40556.4763888889</v>
      </c>
      <c r="C2300" s="57" t="n">
        <f aca="false">INT($C$2)-INT(Table3[[#This Row],[Last Purchase Date]])</f>
        <v>331</v>
      </c>
      <c r="D2300" s="1" t="n">
        <v>1</v>
      </c>
      <c r="E2300" s="1" t="n">
        <v>155.17</v>
      </c>
      <c r="F2300" s="1" t="n">
        <f aca="false">ROUND((1-_xlfn.PERCENTRANK.INC($C$7:$C$4378,C2300))*9,0)</f>
        <v>0</v>
      </c>
      <c r="G2300" s="1" t="n">
        <f aca="false">ROUND(_xlfn.PERCENTRANK.INC($D$7:$D$4378,D2300)*9,0)</f>
        <v>0</v>
      </c>
      <c r="H2300" s="1" t="n">
        <f aca="false">ROUND(_xlfn.PERCENTRANK.INC($E$7:$E$4378,E2300)*9,0)</f>
        <v>1</v>
      </c>
      <c r="I2300" s="1" t="str">
        <f aca="false">CONCATENATE(F2300,G2300,H2300)</f>
        <v>001</v>
      </c>
      <c r="J2300" s="1" t="str">
        <f aca="false">_xlfn.IFS(AND(F2300&gt;=8,G2300&gt;=8,H2300&gt;=8),"CHAMPION",AND(F2300&gt;=6,G2300&gt;=7,H2300&gt;=6),"LOYAL CUSTOMER",AND(F2300&gt;=6,G2300&gt;=5,H2300&gt;=5),"POTENTIAL LOYALIST",AND(F2300&gt;=8,G2300&lt;=2,H2300&gt;=5),"NEW CUSTOMERS",AND(F2300&gt;=6,G2300&lt;=2,H2300&gt;=3),"PROMISING",AND(F2300&gt;=3,G2300&gt;=3,H2300&gt;=3),"NEED ATTENTION",AND(F2300&lt;=4,G2300&gt;=6,H2300&gt;=6),"AT RISK",AND(F2300&lt;=2,G2300&gt;=8,H2300&gt;=8),"CAN'T LOSE THEM",AND(F2300&lt;=2,G2300&lt;=2,H2300&lt;=2),"HIBERNATING",TRUE(),"Other")</f>
        <v>HIBERNATING</v>
      </c>
      <c r="K2300" s="1" t="n">
        <f aca="false">RANK(E2300,$E$7:$E$4378)+COUNTIF($E$7:E2300,E2300)-1</f>
        <v>3887</v>
      </c>
    </row>
    <row r="2301" customFormat="false" ht="14.25" hidden="false" customHeight="true" outlineLevel="0" collapsed="false">
      <c r="A2301" s="51" t="n">
        <v>15448</v>
      </c>
      <c r="B2301" s="53" t="n">
        <v>40574.4458333333</v>
      </c>
      <c r="C2301" s="57" t="n">
        <f aca="false">INT($C$2)-INT(Table3[[#This Row],[Last Purchase Date]])</f>
        <v>313</v>
      </c>
      <c r="D2301" s="1" t="n">
        <v>1</v>
      </c>
      <c r="E2301" s="1" t="n">
        <v>494.64</v>
      </c>
      <c r="F2301" s="1" t="n">
        <f aca="false">ROUND((1-_xlfn.PERCENTRANK.INC($C$7:$C$4378,C2301))*9,0)</f>
        <v>0</v>
      </c>
      <c r="G2301" s="1" t="n">
        <f aca="false">ROUND(_xlfn.PERCENTRANK.INC($D$7:$D$4378,D2301)*9,0)</f>
        <v>0</v>
      </c>
      <c r="H2301" s="1" t="n">
        <f aca="false">ROUND(_xlfn.PERCENTRANK.INC($E$7:$E$4378,E2301)*9,0)</f>
        <v>4</v>
      </c>
      <c r="I2301" s="1" t="str">
        <f aca="false">CONCATENATE(F2301,G2301,H2301)</f>
        <v>004</v>
      </c>
      <c r="J2301" s="1" t="str">
        <f aca="false">_xlfn.IFS(AND(F2301&gt;=8,G2301&gt;=8,H2301&gt;=8),"CHAMPION",AND(F2301&gt;=6,G2301&gt;=7,H2301&gt;=6),"LOYAL CUSTOMER",AND(F2301&gt;=6,G2301&gt;=5,H2301&gt;=5),"POTENTIAL LOYALIST",AND(F2301&gt;=8,G2301&lt;=2,H2301&gt;=5),"NEW CUSTOMERS",AND(F2301&gt;=6,G2301&lt;=2,H2301&gt;=3),"PROMISING",AND(F2301&gt;=3,G2301&gt;=3,H2301&gt;=3),"NEED ATTENTION",AND(F2301&lt;=4,G2301&gt;=6,H2301&gt;=6),"AT RISK",AND(F2301&lt;=2,G2301&gt;=8,H2301&gt;=8),"CAN'T LOSE THEM",AND(F2301&lt;=2,G2301&lt;=2,H2301&lt;=2),"HIBERNATING",TRUE(),"Other")</f>
        <v>Other</v>
      </c>
      <c r="K2301" s="1" t="n">
        <f aca="false">RANK(E2301,$E$7:$E$4378)+COUNTIF($E$7:E2301,E2301)-1</f>
        <v>2556</v>
      </c>
    </row>
    <row r="2302" customFormat="false" ht="14.25" hidden="false" customHeight="true" outlineLevel="0" collapsed="false">
      <c r="A2302" s="51" t="n">
        <v>15449</v>
      </c>
      <c r="B2302" s="53" t="n">
        <v>40860.6263888889</v>
      </c>
      <c r="C2302" s="57" t="n">
        <f aca="false">INT($C$2)-INT(Table3[[#This Row],[Last Purchase Date]])</f>
        <v>27</v>
      </c>
      <c r="D2302" s="1" t="n">
        <v>5</v>
      </c>
      <c r="E2302" s="1" t="n">
        <v>971.22</v>
      </c>
      <c r="F2302" s="1" t="n">
        <f aca="false">ROUND((1-_xlfn.PERCENTRANK.INC($C$7:$C$4378,C2302))*9,0)</f>
        <v>6</v>
      </c>
      <c r="G2302" s="1" t="n">
        <f aca="false">ROUND(_xlfn.PERCENTRANK.INC($D$7:$D$4378,D2302)*9,0)</f>
        <v>6</v>
      </c>
      <c r="H2302" s="1" t="n">
        <f aca="false">ROUND(_xlfn.PERCENTRANK.INC($E$7:$E$4378,E2302)*9,0)</f>
        <v>6</v>
      </c>
      <c r="I2302" s="1" t="str">
        <f aca="false">CONCATENATE(F2302,G2302,H2302)</f>
        <v>666</v>
      </c>
      <c r="J2302" s="1" t="str">
        <f aca="false">_xlfn.IFS(AND(F2302&gt;=8,G2302&gt;=8,H2302&gt;=8),"CHAMPION",AND(F2302&gt;=6,G2302&gt;=7,H2302&gt;=6),"LOYAL CUSTOMER",AND(F2302&gt;=6,G2302&gt;=5,H2302&gt;=5),"POTENTIAL LOYALIST",AND(F2302&gt;=8,G2302&lt;=2,H2302&gt;=5),"NEW CUSTOMERS",AND(F2302&gt;=6,G2302&lt;=2,H2302&gt;=3),"PROMISING",AND(F2302&gt;=3,G2302&gt;=3,H2302&gt;=3),"NEED ATTENTION",AND(F2302&lt;=4,G2302&gt;=6,H2302&gt;=6),"AT RISK",AND(F2302&lt;=2,G2302&gt;=8,H2302&gt;=8),"CAN'T LOSE THEM",AND(F2302&lt;=2,G2302&lt;=2,H2302&lt;=2),"HIBERNATING",TRUE(),"Other")</f>
        <v>POTENTIAL LOYALIST</v>
      </c>
      <c r="K2302" s="1" t="n">
        <f aca="false">RANK(E2302,$E$7:$E$4378)+COUNTIF($E$7:E2302,E2302)-1</f>
        <v>1677</v>
      </c>
    </row>
    <row r="2303" customFormat="false" ht="14.25" hidden="false" customHeight="true" outlineLevel="0" collapsed="false">
      <c r="A2303" s="51" t="n">
        <v>15450</v>
      </c>
      <c r="B2303" s="53" t="n">
        <v>40856.7159722222</v>
      </c>
      <c r="C2303" s="57" t="n">
        <f aca="false">INT($C$2)-INT(Table3[[#This Row],[Last Purchase Date]])</f>
        <v>31</v>
      </c>
      <c r="D2303" s="1" t="n">
        <v>1</v>
      </c>
      <c r="E2303" s="1" t="n">
        <v>429.84</v>
      </c>
      <c r="F2303" s="1" t="n">
        <f aca="false">ROUND((1-_xlfn.PERCENTRANK.INC($C$7:$C$4378,C2303))*9,0)</f>
        <v>6</v>
      </c>
      <c r="G2303" s="1" t="n">
        <f aca="false">ROUND(_xlfn.PERCENTRANK.INC($D$7:$D$4378,D2303)*9,0)</f>
        <v>0</v>
      </c>
      <c r="H2303" s="1" t="n">
        <f aca="false">ROUND(_xlfn.PERCENTRANK.INC($E$7:$E$4378,E2303)*9,0)</f>
        <v>3</v>
      </c>
      <c r="I2303" s="1" t="str">
        <f aca="false">CONCATENATE(F2303,G2303,H2303)</f>
        <v>603</v>
      </c>
      <c r="J2303" s="1" t="str">
        <f aca="false">_xlfn.IFS(AND(F2303&gt;=8,G2303&gt;=8,H2303&gt;=8),"CHAMPION",AND(F2303&gt;=6,G2303&gt;=7,H2303&gt;=6),"LOYAL CUSTOMER",AND(F2303&gt;=6,G2303&gt;=5,H2303&gt;=5),"POTENTIAL LOYALIST",AND(F2303&gt;=8,G2303&lt;=2,H2303&gt;=5),"NEW CUSTOMERS",AND(F2303&gt;=6,G2303&lt;=2,H2303&gt;=3),"PROMISING",AND(F2303&gt;=3,G2303&gt;=3,H2303&gt;=3),"NEED ATTENTION",AND(F2303&lt;=4,G2303&gt;=6,H2303&gt;=6),"AT RISK",AND(F2303&lt;=2,G2303&gt;=8,H2303&gt;=8),"CAN'T LOSE THEM",AND(F2303&lt;=2,G2303&lt;=2,H2303&lt;=2),"HIBERNATING",TRUE(),"Other")</f>
        <v>PROMISING</v>
      </c>
      <c r="K2303" s="1" t="n">
        <f aca="false">RANK(E2303,$E$7:$E$4378)+COUNTIF($E$7:E2303,E2303)-1</f>
        <v>2721</v>
      </c>
    </row>
    <row r="2304" customFormat="false" ht="14.25" hidden="false" customHeight="true" outlineLevel="0" collapsed="false">
      <c r="A2304" s="51" t="n">
        <v>15452</v>
      </c>
      <c r="B2304" s="53" t="n">
        <v>40857.5090277778</v>
      </c>
      <c r="C2304" s="57" t="n">
        <f aca="false">INT($C$2)-INT(Table3[[#This Row],[Last Purchase Date]])</f>
        <v>30</v>
      </c>
      <c r="D2304" s="1" t="n">
        <v>3</v>
      </c>
      <c r="E2304" s="1" t="n">
        <v>538.73</v>
      </c>
      <c r="F2304" s="1" t="n">
        <f aca="false">ROUND((1-_xlfn.PERCENTRANK.INC($C$7:$C$4378,C2304))*9,0)</f>
        <v>6</v>
      </c>
      <c r="G2304" s="1" t="n">
        <f aca="false">ROUND(_xlfn.PERCENTRANK.INC($D$7:$D$4378,D2304)*9,0)</f>
        <v>4</v>
      </c>
      <c r="H2304" s="1" t="n">
        <f aca="false">ROUND(_xlfn.PERCENTRANK.INC($E$7:$E$4378,E2304)*9,0)</f>
        <v>4</v>
      </c>
      <c r="I2304" s="1" t="str">
        <f aca="false">CONCATENATE(F2304,G2304,H2304)</f>
        <v>644</v>
      </c>
      <c r="J2304" s="1" t="str">
        <f aca="false">_xlfn.IFS(AND(F2304&gt;=8,G2304&gt;=8,H2304&gt;=8),"CHAMPION",AND(F2304&gt;=6,G2304&gt;=7,H2304&gt;=6),"LOYAL CUSTOMER",AND(F2304&gt;=6,G2304&gt;=5,H2304&gt;=5),"POTENTIAL LOYALIST",AND(F2304&gt;=8,G2304&lt;=2,H2304&gt;=5),"NEW CUSTOMERS",AND(F2304&gt;=6,G2304&lt;=2,H2304&gt;=3),"PROMISING",AND(F2304&gt;=3,G2304&gt;=3,H2304&gt;=3),"NEED ATTENTION",AND(F2304&lt;=4,G2304&gt;=6,H2304&gt;=6),"AT RISK",AND(F2304&lt;=2,G2304&gt;=8,H2304&gt;=8),"CAN'T LOSE THEM",AND(F2304&lt;=2,G2304&lt;=2,H2304&lt;=2),"HIBERNATING",TRUE(),"Other")</f>
        <v>NEED ATTENTION</v>
      </c>
      <c r="K2304" s="1" t="n">
        <f aca="false">RANK(E2304,$E$7:$E$4378)+COUNTIF($E$7:E2304,E2304)-1</f>
        <v>2457</v>
      </c>
    </row>
    <row r="2305" customFormat="false" ht="14.25" hidden="false" customHeight="true" outlineLevel="0" collapsed="false">
      <c r="A2305" s="51" t="n">
        <v>15453</v>
      </c>
      <c r="B2305" s="53" t="n">
        <v>40885.4576388889</v>
      </c>
      <c r="C2305" s="57" t="n">
        <f aca="false">INT($C$2)-INT(Table3[[#This Row],[Last Purchase Date]])</f>
        <v>2</v>
      </c>
      <c r="D2305" s="1" t="n">
        <v>7</v>
      </c>
      <c r="E2305" s="1" t="n">
        <v>1388.37</v>
      </c>
      <c r="F2305" s="1" t="n">
        <f aca="false">ROUND((1-_xlfn.PERCENTRANK.INC($C$7:$C$4378,C2305))*9,0)</f>
        <v>9</v>
      </c>
      <c r="G2305" s="1" t="n">
        <f aca="false">ROUND(_xlfn.PERCENTRANK.INC($D$7:$D$4378,D2305)*9,0)</f>
        <v>7</v>
      </c>
      <c r="H2305" s="1" t="n">
        <f aca="false">ROUND(_xlfn.PERCENTRANK.INC($E$7:$E$4378,E2305)*9,0)</f>
        <v>6</v>
      </c>
      <c r="I2305" s="1" t="str">
        <f aca="false">CONCATENATE(F2305,G2305,H2305)</f>
        <v>976</v>
      </c>
      <c r="J2305" s="1" t="str">
        <f aca="false">_xlfn.IFS(AND(F2305&gt;=8,G2305&gt;=8,H2305&gt;=8),"CHAMPION",AND(F2305&gt;=6,G2305&gt;=7,H2305&gt;=6),"LOYAL CUSTOMER",AND(F2305&gt;=6,G2305&gt;=5,H2305&gt;=5),"POTENTIAL LOYALIST",AND(F2305&gt;=8,G2305&lt;=2,H2305&gt;=5),"NEW CUSTOMERS",AND(F2305&gt;=6,G2305&lt;=2,H2305&gt;=3),"PROMISING",AND(F2305&gt;=3,G2305&gt;=3,H2305&gt;=3),"NEED ATTENTION",AND(F2305&lt;=4,G2305&gt;=6,H2305&gt;=6),"AT RISK",AND(F2305&lt;=2,G2305&gt;=8,H2305&gt;=8),"CAN'T LOSE THEM",AND(F2305&lt;=2,G2305&lt;=2,H2305&lt;=2),"HIBERNATING",TRUE(),"Other")</f>
        <v>LOYAL CUSTOMER</v>
      </c>
      <c r="K2305" s="1" t="n">
        <f aca="false">RANK(E2305,$E$7:$E$4378)+COUNTIF($E$7:E2305,E2305)-1</f>
        <v>1245</v>
      </c>
    </row>
    <row r="2306" customFormat="false" ht="14.25" hidden="false" customHeight="true" outlineLevel="0" collapsed="false">
      <c r="A2306" s="51" t="n">
        <v>15454</v>
      </c>
      <c r="B2306" s="53" t="n">
        <v>40524.5979166667</v>
      </c>
      <c r="C2306" s="57" t="n">
        <f aca="false">INT($C$2)-INT(Table3[[#This Row],[Last Purchase Date]])</f>
        <v>363</v>
      </c>
      <c r="D2306" s="1" t="n">
        <v>1</v>
      </c>
      <c r="E2306" s="1" t="n">
        <v>179.1</v>
      </c>
      <c r="F2306" s="1" t="n">
        <f aca="false">ROUND((1-_xlfn.PERCENTRANK.INC($C$7:$C$4378,C2306))*9,0)</f>
        <v>0</v>
      </c>
      <c r="G2306" s="1" t="n">
        <f aca="false">ROUND(_xlfn.PERCENTRANK.INC($D$7:$D$4378,D2306)*9,0)</f>
        <v>0</v>
      </c>
      <c r="H2306" s="1" t="n">
        <f aca="false">ROUND(_xlfn.PERCENTRANK.INC($E$7:$E$4378,E2306)*9,0)</f>
        <v>1</v>
      </c>
      <c r="I2306" s="1" t="str">
        <f aca="false">CONCATENATE(F2306,G2306,H2306)</f>
        <v>001</v>
      </c>
      <c r="J2306" s="1" t="str">
        <f aca="false">_xlfn.IFS(AND(F2306&gt;=8,G2306&gt;=8,H2306&gt;=8),"CHAMPION",AND(F2306&gt;=6,G2306&gt;=7,H2306&gt;=6),"LOYAL CUSTOMER",AND(F2306&gt;=6,G2306&gt;=5,H2306&gt;=5),"POTENTIAL LOYALIST",AND(F2306&gt;=8,G2306&lt;=2,H2306&gt;=5),"NEW CUSTOMERS",AND(F2306&gt;=6,G2306&lt;=2,H2306&gt;=3),"PROMISING",AND(F2306&gt;=3,G2306&gt;=3,H2306&gt;=3),"NEED ATTENTION",AND(F2306&lt;=4,G2306&gt;=6,H2306&gt;=6),"AT RISK",AND(F2306&lt;=2,G2306&gt;=8,H2306&gt;=8),"CAN'T LOSE THEM",AND(F2306&lt;=2,G2306&lt;=2,H2306&lt;=2),"HIBERNATING",TRUE(),"Other")</f>
        <v>HIBERNATING</v>
      </c>
      <c r="K2306" s="1" t="n">
        <f aca="false">RANK(E2306,$E$7:$E$4378)+COUNTIF($E$7:E2306,E2306)-1</f>
        <v>3755</v>
      </c>
    </row>
    <row r="2307" customFormat="false" ht="14.25" hidden="false" customHeight="true" outlineLevel="0" collapsed="false">
      <c r="A2307" s="51" t="n">
        <v>15456</v>
      </c>
      <c r="B2307" s="53" t="n">
        <v>40603.5770833333</v>
      </c>
      <c r="C2307" s="57" t="n">
        <f aca="false">INT($C$2)-INT(Table3[[#This Row],[Last Purchase Date]])</f>
        <v>284</v>
      </c>
      <c r="D2307" s="1" t="n">
        <v>3</v>
      </c>
      <c r="E2307" s="1" t="n">
        <v>447.22</v>
      </c>
      <c r="F2307" s="1" t="n">
        <f aca="false">ROUND((1-_xlfn.PERCENTRANK.INC($C$7:$C$4378,C2307))*9,0)</f>
        <v>1</v>
      </c>
      <c r="G2307" s="1" t="n">
        <f aca="false">ROUND(_xlfn.PERCENTRANK.INC($D$7:$D$4378,D2307)*9,0)</f>
        <v>4</v>
      </c>
      <c r="H2307" s="1" t="n">
        <f aca="false">ROUND(_xlfn.PERCENTRANK.INC($E$7:$E$4378,E2307)*9,0)</f>
        <v>3</v>
      </c>
      <c r="I2307" s="1" t="str">
        <f aca="false">CONCATENATE(F2307,G2307,H2307)</f>
        <v>143</v>
      </c>
      <c r="J2307" s="1" t="str">
        <f aca="false">_xlfn.IFS(AND(F2307&gt;=8,G2307&gt;=8,H2307&gt;=8),"CHAMPION",AND(F2307&gt;=6,G2307&gt;=7,H2307&gt;=6),"LOYAL CUSTOMER",AND(F2307&gt;=6,G2307&gt;=5,H2307&gt;=5),"POTENTIAL LOYALIST",AND(F2307&gt;=8,G2307&lt;=2,H2307&gt;=5),"NEW CUSTOMERS",AND(F2307&gt;=6,G2307&lt;=2,H2307&gt;=3),"PROMISING",AND(F2307&gt;=3,G2307&gt;=3,H2307&gt;=3),"NEED ATTENTION",AND(F2307&lt;=4,G2307&gt;=6,H2307&gt;=6),"AT RISK",AND(F2307&lt;=2,G2307&gt;=8,H2307&gt;=8),"CAN'T LOSE THEM",AND(F2307&lt;=2,G2307&lt;=2,H2307&lt;=2),"HIBERNATING",TRUE(),"Other")</f>
        <v>Other</v>
      </c>
      <c r="K2307" s="1" t="n">
        <f aca="false">RANK(E2307,$E$7:$E$4378)+COUNTIF($E$7:E2307,E2307)-1</f>
        <v>2680</v>
      </c>
    </row>
    <row r="2308" customFormat="false" ht="14.25" hidden="false" customHeight="true" outlineLevel="0" collapsed="false">
      <c r="A2308" s="51" t="n">
        <v>15457</v>
      </c>
      <c r="B2308" s="53" t="n">
        <v>40624.6465277778</v>
      </c>
      <c r="C2308" s="57" t="n">
        <f aca="false">INT($C$2)-INT(Table3[[#This Row],[Last Purchase Date]])</f>
        <v>263</v>
      </c>
      <c r="D2308" s="1" t="n">
        <v>1</v>
      </c>
      <c r="E2308" s="1" t="n">
        <v>237.07</v>
      </c>
      <c r="F2308" s="1" t="n">
        <f aca="false">ROUND((1-_xlfn.PERCENTRANK.INC($C$7:$C$4378,C2308))*9,0)</f>
        <v>1</v>
      </c>
      <c r="G2308" s="1" t="n">
        <f aca="false">ROUND(_xlfn.PERCENTRANK.INC($D$7:$D$4378,D2308)*9,0)</f>
        <v>0</v>
      </c>
      <c r="H2308" s="1" t="n">
        <f aca="false">ROUND(_xlfn.PERCENTRANK.INC($E$7:$E$4378,E2308)*9,0)</f>
        <v>2</v>
      </c>
      <c r="I2308" s="1" t="str">
        <f aca="false">CONCATENATE(F2308,G2308,H2308)</f>
        <v>102</v>
      </c>
      <c r="J2308" s="1" t="str">
        <f aca="false">_xlfn.IFS(AND(F2308&gt;=8,G2308&gt;=8,H2308&gt;=8),"CHAMPION",AND(F2308&gt;=6,G2308&gt;=7,H2308&gt;=6),"LOYAL CUSTOMER",AND(F2308&gt;=6,G2308&gt;=5,H2308&gt;=5),"POTENTIAL LOYALIST",AND(F2308&gt;=8,G2308&lt;=2,H2308&gt;=5),"NEW CUSTOMERS",AND(F2308&gt;=6,G2308&lt;=2,H2308&gt;=3),"PROMISING",AND(F2308&gt;=3,G2308&gt;=3,H2308&gt;=3),"NEED ATTENTION",AND(F2308&lt;=4,G2308&gt;=6,H2308&gt;=6),"AT RISK",AND(F2308&lt;=2,G2308&gt;=8,H2308&gt;=8),"CAN'T LOSE THEM",AND(F2308&lt;=2,G2308&lt;=2,H2308&lt;=2),"HIBERNATING",TRUE(),"Other")</f>
        <v>HIBERNATING</v>
      </c>
      <c r="K2308" s="1" t="n">
        <f aca="false">RANK(E2308,$E$7:$E$4378)+COUNTIF($E$7:E2308,E2308)-1</f>
        <v>3491</v>
      </c>
    </row>
    <row r="2309" customFormat="false" ht="14.25" hidden="false" customHeight="true" outlineLevel="0" collapsed="false">
      <c r="A2309" s="51" t="n">
        <v>15458</v>
      </c>
      <c r="B2309" s="53" t="n">
        <v>40861.5472222222</v>
      </c>
      <c r="C2309" s="57" t="n">
        <f aca="false">INT($C$2)-INT(Table3[[#This Row],[Last Purchase Date]])</f>
        <v>26</v>
      </c>
      <c r="D2309" s="1" t="n">
        <v>1</v>
      </c>
      <c r="E2309" s="1" t="n">
        <v>161.64</v>
      </c>
      <c r="F2309" s="1" t="n">
        <f aca="false">ROUND((1-_xlfn.PERCENTRANK.INC($C$7:$C$4378,C2309))*9,0)</f>
        <v>6</v>
      </c>
      <c r="G2309" s="1" t="n">
        <f aca="false">ROUND(_xlfn.PERCENTRANK.INC($D$7:$D$4378,D2309)*9,0)</f>
        <v>0</v>
      </c>
      <c r="H2309" s="1" t="n">
        <f aca="false">ROUND(_xlfn.PERCENTRANK.INC($E$7:$E$4378,E2309)*9,0)</f>
        <v>1</v>
      </c>
      <c r="I2309" s="1" t="str">
        <f aca="false">CONCATENATE(F2309,G2309,H2309)</f>
        <v>601</v>
      </c>
      <c r="J2309" s="1" t="str">
        <f aca="false">_xlfn.IFS(AND(F2309&gt;=8,G2309&gt;=8,H2309&gt;=8),"CHAMPION",AND(F2309&gt;=6,G2309&gt;=7,H2309&gt;=6),"LOYAL CUSTOMER",AND(F2309&gt;=6,G2309&gt;=5,H2309&gt;=5),"POTENTIAL LOYALIST",AND(F2309&gt;=8,G2309&lt;=2,H2309&gt;=5),"NEW CUSTOMERS",AND(F2309&gt;=6,G2309&lt;=2,H2309&gt;=3),"PROMISING",AND(F2309&gt;=3,G2309&gt;=3,H2309&gt;=3),"NEED ATTENTION",AND(F2309&lt;=4,G2309&gt;=6,H2309&gt;=6),"AT RISK",AND(F2309&lt;=2,G2309&gt;=8,H2309&gt;=8),"CAN'T LOSE THEM",AND(F2309&lt;=2,G2309&lt;=2,H2309&lt;=2),"HIBERNATING",TRUE(),"Other")</f>
        <v>Other</v>
      </c>
      <c r="K2309" s="1" t="n">
        <f aca="false">RANK(E2309,$E$7:$E$4378)+COUNTIF($E$7:E2309,E2309)-1</f>
        <v>3848</v>
      </c>
    </row>
    <row r="2310" customFormat="false" ht="14.25" hidden="false" customHeight="true" outlineLevel="0" collapsed="false">
      <c r="A2310" s="51" t="n">
        <v>15460</v>
      </c>
      <c r="B2310" s="53" t="n">
        <v>40532.6722222222</v>
      </c>
      <c r="C2310" s="57" t="n">
        <f aca="false">INT($C$2)-INT(Table3[[#This Row],[Last Purchase Date]])</f>
        <v>355</v>
      </c>
      <c r="D2310" s="1" t="n">
        <v>1</v>
      </c>
      <c r="E2310" s="1" t="n">
        <v>216.76</v>
      </c>
      <c r="F2310" s="1" t="n">
        <f aca="false">ROUND((1-_xlfn.PERCENTRANK.INC($C$7:$C$4378,C2310))*9,0)</f>
        <v>0</v>
      </c>
      <c r="G2310" s="1" t="n">
        <f aca="false">ROUND(_xlfn.PERCENTRANK.INC($D$7:$D$4378,D2310)*9,0)</f>
        <v>0</v>
      </c>
      <c r="H2310" s="1" t="n">
        <f aca="false">ROUND(_xlfn.PERCENTRANK.INC($E$7:$E$4378,E2310)*9,0)</f>
        <v>2</v>
      </c>
      <c r="I2310" s="1" t="str">
        <f aca="false">CONCATENATE(F2310,G2310,H2310)</f>
        <v>002</v>
      </c>
      <c r="J2310" s="1" t="str">
        <f aca="false">_xlfn.IFS(AND(F2310&gt;=8,G2310&gt;=8,H2310&gt;=8),"CHAMPION",AND(F2310&gt;=6,G2310&gt;=7,H2310&gt;=6),"LOYAL CUSTOMER",AND(F2310&gt;=6,G2310&gt;=5,H2310&gt;=5),"POTENTIAL LOYALIST",AND(F2310&gt;=8,G2310&lt;=2,H2310&gt;=5),"NEW CUSTOMERS",AND(F2310&gt;=6,G2310&lt;=2,H2310&gt;=3),"PROMISING",AND(F2310&gt;=3,G2310&gt;=3,H2310&gt;=3),"NEED ATTENTION",AND(F2310&lt;=4,G2310&gt;=6,H2310&gt;=6),"AT RISK",AND(F2310&lt;=2,G2310&gt;=8,H2310&gt;=8),"CAN'T LOSE THEM",AND(F2310&lt;=2,G2310&lt;=2,H2310&lt;=2),"HIBERNATING",TRUE(),"Other")</f>
        <v>HIBERNATING</v>
      </c>
      <c r="K2310" s="1" t="n">
        <f aca="false">RANK(E2310,$E$7:$E$4378)+COUNTIF($E$7:E2310,E2310)-1</f>
        <v>3575</v>
      </c>
    </row>
    <row r="2311" customFormat="false" ht="14.25" hidden="false" customHeight="true" outlineLevel="0" collapsed="false">
      <c r="A2311" s="51" t="n">
        <v>15462</v>
      </c>
      <c r="B2311" s="53" t="n">
        <v>40792.5493055556</v>
      </c>
      <c r="C2311" s="57" t="n">
        <f aca="false">INT($C$2)-INT(Table3[[#This Row],[Last Purchase Date]])</f>
        <v>95</v>
      </c>
      <c r="D2311" s="1" t="n">
        <v>3</v>
      </c>
      <c r="E2311" s="1" t="n">
        <v>234.6</v>
      </c>
      <c r="F2311" s="1" t="n">
        <f aca="false">ROUND((1-_xlfn.PERCENTRANK.INC($C$7:$C$4378,C2311))*9,0)</f>
        <v>3</v>
      </c>
      <c r="G2311" s="1" t="n">
        <f aca="false">ROUND(_xlfn.PERCENTRANK.INC($D$7:$D$4378,D2311)*9,0)</f>
        <v>4</v>
      </c>
      <c r="H2311" s="1" t="n">
        <f aca="false">ROUND(_xlfn.PERCENTRANK.INC($E$7:$E$4378,E2311)*9,0)</f>
        <v>2</v>
      </c>
      <c r="I2311" s="1" t="str">
        <f aca="false">CONCATENATE(F2311,G2311,H2311)</f>
        <v>342</v>
      </c>
      <c r="J2311" s="1" t="str">
        <f aca="false">_xlfn.IFS(AND(F2311&gt;=8,G2311&gt;=8,H2311&gt;=8),"CHAMPION",AND(F2311&gt;=6,G2311&gt;=7,H2311&gt;=6),"LOYAL CUSTOMER",AND(F2311&gt;=6,G2311&gt;=5,H2311&gt;=5),"POTENTIAL LOYALIST",AND(F2311&gt;=8,G2311&lt;=2,H2311&gt;=5),"NEW CUSTOMERS",AND(F2311&gt;=6,G2311&lt;=2,H2311&gt;=3),"PROMISING",AND(F2311&gt;=3,G2311&gt;=3,H2311&gt;=3),"NEED ATTENTION",AND(F2311&lt;=4,G2311&gt;=6,H2311&gt;=6),"AT RISK",AND(F2311&lt;=2,G2311&gt;=8,H2311&gt;=8),"CAN'T LOSE THEM",AND(F2311&lt;=2,G2311&lt;=2,H2311&lt;=2),"HIBERNATING",TRUE(),"Other")</f>
        <v>Other</v>
      </c>
      <c r="K2311" s="1" t="n">
        <f aca="false">RANK(E2311,$E$7:$E$4378)+COUNTIF($E$7:E2311,E2311)-1</f>
        <v>3497</v>
      </c>
    </row>
    <row r="2312" customFormat="false" ht="14.25" hidden="false" customHeight="true" outlineLevel="0" collapsed="false">
      <c r="A2312" s="51" t="n">
        <v>15463</v>
      </c>
      <c r="B2312" s="53" t="n">
        <v>40857.5395833333</v>
      </c>
      <c r="C2312" s="57" t="n">
        <f aca="false">INT($C$2)-INT(Table3[[#This Row],[Last Purchase Date]])</f>
        <v>30</v>
      </c>
      <c r="D2312" s="1" t="n">
        <v>1</v>
      </c>
      <c r="E2312" s="1" t="n">
        <v>126.14</v>
      </c>
      <c r="F2312" s="1" t="n">
        <f aca="false">ROUND((1-_xlfn.PERCENTRANK.INC($C$7:$C$4378,C2312))*9,0)</f>
        <v>6</v>
      </c>
      <c r="G2312" s="1" t="n">
        <f aca="false">ROUND(_xlfn.PERCENTRANK.INC($D$7:$D$4378,D2312)*9,0)</f>
        <v>0</v>
      </c>
      <c r="H2312" s="1" t="n">
        <f aca="false">ROUND(_xlfn.PERCENTRANK.INC($E$7:$E$4378,E2312)*9,0)</f>
        <v>1</v>
      </c>
      <c r="I2312" s="1" t="str">
        <f aca="false">CONCATENATE(F2312,G2312,H2312)</f>
        <v>601</v>
      </c>
      <c r="J2312" s="1" t="str">
        <f aca="false">_xlfn.IFS(AND(F2312&gt;=8,G2312&gt;=8,H2312&gt;=8),"CHAMPION",AND(F2312&gt;=6,G2312&gt;=7,H2312&gt;=6),"LOYAL CUSTOMER",AND(F2312&gt;=6,G2312&gt;=5,H2312&gt;=5),"POTENTIAL LOYALIST",AND(F2312&gt;=8,G2312&lt;=2,H2312&gt;=5),"NEW CUSTOMERS",AND(F2312&gt;=6,G2312&lt;=2,H2312&gt;=3),"PROMISING",AND(F2312&gt;=3,G2312&gt;=3,H2312&gt;=3),"NEED ATTENTION",AND(F2312&lt;=4,G2312&gt;=6,H2312&gt;=6),"AT RISK",AND(F2312&lt;=2,G2312&gt;=8,H2312&gt;=8),"CAN'T LOSE THEM",AND(F2312&lt;=2,G2312&lt;=2,H2312&lt;=2),"HIBERNATING",TRUE(),"Other")</f>
        <v>Other</v>
      </c>
      <c r="K2312" s="1" t="n">
        <f aca="false">RANK(E2312,$E$7:$E$4378)+COUNTIF($E$7:E2312,E2312)-1</f>
        <v>4020</v>
      </c>
    </row>
    <row r="2313" customFormat="false" ht="14.25" hidden="false" customHeight="true" outlineLevel="0" collapsed="false">
      <c r="A2313" s="51" t="n">
        <v>15464</v>
      </c>
      <c r="B2313" s="53" t="n">
        <v>40548.6638888889</v>
      </c>
      <c r="C2313" s="57" t="n">
        <f aca="false">INT($C$2)-INT(Table3[[#This Row],[Last Purchase Date]])</f>
        <v>339</v>
      </c>
      <c r="D2313" s="1" t="n">
        <v>1</v>
      </c>
      <c r="E2313" s="1" t="n">
        <v>1048.85</v>
      </c>
      <c r="F2313" s="1" t="n">
        <f aca="false">ROUND((1-_xlfn.PERCENTRANK.INC($C$7:$C$4378,C2313))*9,0)</f>
        <v>0</v>
      </c>
      <c r="G2313" s="1" t="n">
        <f aca="false">ROUND(_xlfn.PERCENTRANK.INC($D$7:$D$4378,D2313)*9,0)</f>
        <v>0</v>
      </c>
      <c r="H2313" s="1" t="n">
        <f aca="false">ROUND(_xlfn.PERCENTRANK.INC($E$7:$E$4378,E2313)*9,0)</f>
        <v>6</v>
      </c>
      <c r="I2313" s="1" t="str">
        <f aca="false">CONCATENATE(F2313,G2313,H2313)</f>
        <v>006</v>
      </c>
      <c r="J2313" s="1" t="str">
        <f aca="false">_xlfn.IFS(AND(F2313&gt;=8,G2313&gt;=8,H2313&gt;=8),"CHAMPION",AND(F2313&gt;=6,G2313&gt;=7,H2313&gt;=6),"LOYAL CUSTOMER",AND(F2313&gt;=6,G2313&gt;=5,H2313&gt;=5),"POTENTIAL LOYALIST",AND(F2313&gt;=8,G2313&lt;=2,H2313&gt;=5),"NEW CUSTOMERS",AND(F2313&gt;=6,G2313&lt;=2,H2313&gt;=3),"PROMISING",AND(F2313&gt;=3,G2313&gt;=3,H2313&gt;=3),"NEED ATTENTION",AND(F2313&lt;=4,G2313&gt;=6,H2313&gt;=6),"AT RISK",AND(F2313&lt;=2,G2313&gt;=8,H2313&gt;=8),"CAN'T LOSE THEM",AND(F2313&lt;=2,G2313&lt;=2,H2313&lt;=2),"HIBERNATING",TRUE(),"Other")</f>
        <v>Other</v>
      </c>
      <c r="K2313" s="1" t="n">
        <f aca="false">RANK(E2313,$E$7:$E$4378)+COUNTIF($E$7:E2313,E2313)-1</f>
        <v>1563</v>
      </c>
    </row>
    <row r="2314" customFormat="false" ht="14.25" hidden="false" customHeight="true" outlineLevel="0" collapsed="false">
      <c r="A2314" s="51" t="n">
        <v>15465</v>
      </c>
      <c r="B2314" s="53" t="n">
        <v>40867.4243055556</v>
      </c>
      <c r="C2314" s="57" t="n">
        <f aca="false">INT($C$2)-INT(Table3[[#This Row],[Last Purchase Date]])</f>
        <v>20</v>
      </c>
      <c r="D2314" s="1" t="n">
        <v>24</v>
      </c>
      <c r="E2314" s="1" t="n">
        <v>6945.02</v>
      </c>
      <c r="F2314" s="1" t="n">
        <f aca="false">ROUND((1-_xlfn.PERCENTRANK.INC($C$7:$C$4378,C2314))*9,0)</f>
        <v>6</v>
      </c>
      <c r="G2314" s="1" t="n">
        <f aca="false">ROUND(_xlfn.PERCENTRANK.INC($D$7:$D$4378,D2314)*9,0)</f>
        <v>9</v>
      </c>
      <c r="H2314" s="1" t="n">
        <f aca="false">ROUND(_xlfn.PERCENTRANK.INC($E$7:$E$4378,E2314)*9,0)</f>
        <v>9</v>
      </c>
      <c r="I2314" s="1" t="str">
        <f aca="false">CONCATENATE(F2314,G2314,H2314)</f>
        <v>699</v>
      </c>
      <c r="J2314" s="1" t="str">
        <f aca="false">_xlfn.IFS(AND(F2314&gt;=8,G2314&gt;=8,H2314&gt;=8),"CHAMPION",AND(F2314&gt;=6,G2314&gt;=7,H2314&gt;=6),"LOYAL CUSTOMER",AND(F2314&gt;=6,G2314&gt;=5,H2314&gt;=5),"POTENTIAL LOYALIST",AND(F2314&gt;=8,G2314&lt;=2,H2314&gt;=5),"NEW CUSTOMERS",AND(F2314&gt;=6,G2314&lt;=2,H2314&gt;=3),"PROMISING",AND(F2314&gt;=3,G2314&gt;=3,H2314&gt;=3),"NEED ATTENTION",AND(F2314&lt;=4,G2314&gt;=6,H2314&gt;=6),"AT RISK",AND(F2314&lt;=2,G2314&gt;=8,H2314&gt;=8),"CAN'T LOSE THEM",AND(F2314&lt;=2,G2314&lt;=2,H2314&lt;=2),"HIBERNATING",TRUE(),"Other")</f>
        <v>LOYAL CUSTOMER</v>
      </c>
      <c r="K2314" s="1" t="n">
        <f aca="false">RANK(E2314,$E$7:$E$4378)+COUNTIF($E$7:E2314,E2314)-1</f>
        <v>157</v>
      </c>
    </row>
    <row r="2315" customFormat="false" ht="14.25" hidden="false" customHeight="true" outlineLevel="0" collapsed="false">
      <c r="A2315" s="51" t="n">
        <v>15466</v>
      </c>
      <c r="B2315" s="53" t="n">
        <v>40801.5888888889</v>
      </c>
      <c r="C2315" s="57" t="n">
        <f aca="false">INT($C$2)-INT(Table3[[#This Row],[Last Purchase Date]])</f>
        <v>86</v>
      </c>
      <c r="D2315" s="1" t="n">
        <v>1</v>
      </c>
      <c r="E2315" s="1" t="n">
        <v>334.53</v>
      </c>
      <c r="F2315" s="1" t="n">
        <f aca="false">ROUND((1-_xlfn.PERCENTRANK.INC($C$7:$C$4378,C2315))*9,0)</f>
        <v>3</v>
      </c>
      <c r="G2315" s="1" t="n">
        <f aca="false">ROUND(_xlfn.PERCENTRANK.INC($D$7:$D$4378,D2315)*9,0)</f>
        <v>0</v>
      </c>
      <c r="H2315" s="1" t="n">
        <f aca="false">ROUND(_xlfn.PERCENTRANK.INC($E$7:$E$4378,E2315)*9,0)</f>
        <v>3</v>
      </c>
      <c r="I2315" s="1" t="str">
        <f aca="false">CONCATENATE(F2315,G2315,H2315)</f>
        <v>303</v>
      </c>
      <c r="J2315" s="1" t="str">
        <f aca="false">_xlfn.IFS(AND(F2315&gt;=8,G2315&gt;=8,H2315&gt;=8),"CHAMPION",AND(F2315&gt;=6,G2315&gt;=7,H2315&gt;=6),"LOYAL CUSTOMER",AND(F2315&gt;=6,G2315&gt;=5,H2315&gt;=5),"POTENTIAL LOYALIST",AND(F2315&gt;=8,G2315&lt;=2,H2315&gt;=5),"NEW CUSTOMERS",AND(F2315&gt;=6,G2315&lt;=2,H2315&gt;=3),"PROMISING",AND(F2315&gt;=3,G2315&gt;=3,H2315&gt;=3),"NEED ATTENTION",AND(F2315&lt;=4,G2315&gt;=6,H2315&gt;=6),"AT RISK",AND(F2315&lt;=2,G2315&gt;=8,H2315&gt;=8),"CAN'T LOSE THEM",AND(F2315&lt;=2,G2315&lt;=2,H2315&lt;=2),"HIBERNATING",TRUE(),"Other")</f>
        <v>Other</v>
      </c>
      <c r="K2315" s="1" t="n">
        <f aca="false">RANK(E2315,$E$7:$E$4378)+COUNTIF($E$7:E2315,E2315)-1</f>
        <v>3075</v>
      </c>
    </row>
    <row r="2316" customFormat="false" ht="14.25" hidden="false" customHeight="true" outlineLevel="0" collapsed="false">
      <c r="A2316" s="51" t="n">
        <v>15467</v>
      </c>
      <c r="B2316" s="53" t="n">
        <v>40877.5951388889</v>
      </c>
      <c r="C2316" s="57" t="n">
        <f aca="false">INT($C$2)-INT(Table3[[#This Row],[Last Purchase Date]])</f>
        <v>10</v>
      </c>
      <c r="D2316" s="1" t="n">
        <v>4</v>
      </c>
      <c r="E2316" s="1" t="n">
        <v>511.88</v>
      </c>
      <c r="F2316" s="1" t="n">
        <f aca="false">ROUND((1-_xlfn.PERCENTRANK.INC($C$7:$C$4378,C2316))*9,0)</f>
        <v>8</v>
      </c>
      <c r="G2316" s="1" t="n">
        <f aca="false">ROUND(_xlfn.PERCENTRANK.INC($D$7:$D$4378,D2316)*9,0)</f>
        <v>5</v>
      </c>
      <c r="H2316" s="1" t="n">
        <f aca="false">ROUND(_xlfn.PERCENTRANK.INC($E$7:$E$4378,E2316)*9,0)</f>
        <v>4</v>
      </c>
      <c r="I2316" s="1" t="str">
        <f aca="false">CONCATENATE(F2316,G2316,H2316)</f>
        <v>854</v>
      </c>
      <c r="J2316" s="1" t="str">
        <f aca="false">_xlfn.IFS(AND(F2316&gt;=8,G2316&gt;=8,H2316&gt;=8),"CHAMPION",AND(F2316&gt;=6,G2316&gt;=7,H2316&gt;=6),"LOYAL CUSTOMER",AND(F2316&gt;=6,G2316&gt;=5,H2316&gt;=5),"POTENTIAL LOYALIST",AND(F2316&gt;=8,G2316&lt;=2,H2316&gt;=5),"NEW CUSTOMERS",AND(F2316&gt;=6,G2316&lt;=2,H2316&gt;=3),"PROMISING",AND(F2316&gt;=3,G2316&gt;=3,H2316&gt;=3),"NEED ATTENTION",AND(F2316&lt;=4,G2316&gt;=6,H2316&gt;=6),"AT RISK",AND(F2316&lt;=2,G2316&gt;=8,H2316&gt;=8),"CAN'T LOSE THEM",AND(F2316&lt;=2,G2316&lt;=2,H2316&lt;=2),"HIBERNATING",TRUE(),"Other")</f>
        <v>NEED ATTENTION</v>
      </c>
      <c r="K2316" s="1" t="n">
        <f aca="false">RANK(E2316,$E$7:$E$4378)+COUNTIF($E$7:E2316,E2316)-1</f>
        <v>2511</v>
      </c>
    </row>
    <row r="2317" customFormat="false" ht="14.25" hidden="false" customHeight="true" outlineLevel="0" collapsed="false">
      <c r="A2317" s="51" t="n">
        <v>15468</v>
      </c>
      <c r="B2317" s="53" t="n">
        <v>40851.5493055556</v>
      </c>
      <c r="C2317" s="57" t="n">
        <f aca="false">INT($C$2)-INT(Table3[[#This Row],[Last Purchase Date]])</f>
        <v>36</v>
      </c>
      <c r="D2317" s="1" t="n">
        <v>5</v>
      </c>
      <c r="E2317" s="1" t="n">
        <v>438.46</v>
      </c>
      <c r="F2317" s="1" t="n">
        <f aca="false">ROUND((1-_xlfn.PERCENTRANK.INC($C$7:$C$4378,C2317))*9,0)</f>
        <v>5</v>
      </c>
      <c r="G2317" s="1" t="n">
        <f aca="false">ROUND(_xlfn.PERCENTRANK.INC($D$7:$D$4378,D2317)*9,0)</f>
        <v>6</v>
      </c>
      <c r="H2317" s="1" t="n">
        <f aca="false">ROUND(_xlfn.PERCENTRANK.INC($E$7:$E$4378,E2317)*9,0)</f>
        <v>3</v>
      </c>
      <c r="I2317" s="1" t="str">
        <f aca="false">CONCATENATE(F2317,G2317,H2317)</f>
        <v>563</v>
      </c>
      <c r="J2317" s="1" t="str">
        <f aca="false">_xlfn.IFS(AND(F2317&gt;=8,G2317&gt;=8,H2317&gt;=8),"CHAMPION",AND(F2317&gt;=6,G2317&gt;=7,H2317&gt;=6),"LOYAL CUSTOMER",AND(F2317&gt;=6,G2317&gt;=5,H2317&gt;=5),"POTENTIAL LOYALIST",AND(F2317&gt;=8,G2317&lt;=2,H2317&gt;=5),"NEW CUSTOMERS",AND(F2317&gt;=6,G2317&lt;=2,H2317&gt;=3),"PROMISING",AND(F2317&gt;=3,G2317&gt;=3,H2317&gt;=3),"NEED ATTENTION",AND(F2317&lt;=4,G2317&gt;=6,H2317&gt;=6),"AT RISK",AND(F2317&lt;=2,G2317&gt;=8,H2317&gt;=8),"CAN'T LOSE THEM",AND(F2317&lt;=2,G2317&lt;=2,H2317&lt;=2),"HIBERNATING",TRUE(),"Other")</f>
        <v>NEED ATTENTION</v>
      </c>
      <c r="K2317" s="1" t="n">
        <f aca="false">RANK(E2317,$E$7:$E$4378)+COUNTIF($E$7:E2317,E2317)-1</f>
        <v>2700</v>
      </c>
    </row>
    <row r="2318" customFormat="false" ht="14.25" hidden="false" customHeight="true" outlineLevel="0" collapsed="false">
      <c r="A2318" s="51" t="n">
        <v>15469</v>
      </c>
      <c r="B2318" s="53" t="n">
        <v>40843.8027777778</v>
      </c>
      <c r="C2318" s="57" t="n">
        <f aca="false">INT($C$2)-INT(Table3[[#This Row],[Last Purchase Date]])</f>
        <v>44</v>
      </c>
      <c r="D2318" s="1" t="n">
        <v>4</v>
      </c>
      <c r="E2318" s="1" t="n">
        <v>504.5</v>
      </c>
      <c r="F2318" s="1" t="n">
        <f aca="false">ROUND((1-_xlfn.PERCENTRANK.INC($C$7:$C$4378,C2318))*9,0)</f>
        <v>5</v>
      </c>
      <c r="G2318" s="1" t="n">
        <f aca="false">ROUND(_xlfn.PERCENTRANK.INC($D$7:$D$4378,D2318)*9,0)</f>
        <v>5</v>
      </c>
      <c r="H2318" s="1" t="n">
        <f aca="false">ROUND(_xlfn.PERCENTRANK.INC($E$7:$E$4378,E2318)*9,0)</f>
        <v>4</v>
      </c>
      <c r="I2318" s="1" t="str">
        <f aca="false">CONCATENATE(F2318,G2318,H2318)</f>
        <v>554</v>
      </c>
      <c r="J2318" s="1" t="str">
        <f aca="false">_xlfn.IFS(AND(F2318&gt;=8,G2318&gt;=8,H2318&gt;=8),"CHAMPION",AND(F2318&gt;=6,G2318&gt;=7,H2318&gt;=6),"LOYAL CUSTOMER",AND(F2318&gt;=6,G2318&gt;=5,H2318&gt;=5),"POTENTIAL LOYALIST",AND(F2318&gt;=8,G2318&lt;=2,H2318&gt;=5),"NEW CUSTOMERS",AND(F2318&gt;=6,G2318&lt;=2,H2318&gt;=3),"PROMISING",AND(F2318&gt;=3,G2318&gt;=3,H2318&gt;=3),"NEED ATTENTION",AND(F2318&lt;=4,G2318&gt;=6,H2318&gt;=6),"AT RISK",AND(F2318&lt;=2,G2318&gt;=8,H2318&gt;=8),"CAN'T LOSE THEM",AND(F2318&lt;=2,G2318&lt;=2,H2318&lt;=2),"HIBERNATING",TRUE(),"Other")</f>
        <v>NEED ATTENTION</v>
      </c>
      <c r="K2318" s="1" t="n">
        <f aca="false">RANK(E2318,$E$7:$E$4378)+COUNTIF($E$7:E2318,E2318)-1</f>
        <v>2532</v>
      </c>
    </row>
    <row r="2319" customFormat="false" ht="14.25" hidden="false" customHeight="true" outlineLevel="0" collapsed="false">
      <c r="A2319" s="51" t="n">
        <v>15471</v>
      </c>
      <c r="B2319" s="53" t="n">
        <v>40884.5916666667</v>
      </c>
      <c r="C2319" s="57" t="n">
        <f aca="false">INT($C$2)-INT(Table3[[#This Row],[Last Purchase Date]])</f>
        <v>3</v>
      </c>
      <c r="D2319" s="1" t="n">
        <v>1</v>
      </c>
      <c r="E2319" s="1" t="n">
        <v>469.48</v>
      </c>
      <c r="F2319" s="1" t="n">
        <f aca="false">ROUND((1-_xlfn.PERCENTRANK.INC($C$7:$C$4378,C2319))*9,0)</f>
        <v>9</v>
      </c>
      <c r="G2319" s="1" t="n">
        <f aca="false">ROUND(_xlfn.PERCENTRANK.INC($D$7:$D$4378,D2319)*9,0)</f>
        <v>0</v>
      </c>
      <c r="H2319" s="1" t="n">
        <f aca="false">ROUND(_xlfn.PERCENTRANK.INC($E$7:$E$4378,E2319)*9,0)</f>
        <v>4</v>
      </c>
      <c r="I2319" s="1" t="str">
        <f aca="false">CONCATENATE(F2319,G2319,H2319)</f>
        <v>904</v>
      </c>
      <c r="J2319" s="1" t="str">
        <f aca="false">_xlfn.IFS(AND(F2319&gt;=8,G2319&gt;=8,H2319&gt;=8),"CHAMPION",AND(F2319&gt;=6,G2319&gt;=7,H2319&gt;=6),"LOYAL CUSTOMER",AND(F2319&gt;=6,G2319&gt;=5,H2319&gt;=5),"POTENTIAL LOYALIST",AND(F2319&gt;=8,G2319&lt;=2,H2319&gt;=5),"NEW CUSTOMERS",AND(F2319&gt;=6,G2319&lt;=2,H2319&gt;=3),"PROMISING",AND(F2319&gt;=3,G2319&gt;=3,H2319&gt;=3),"NEED ATTENTION",AND(F2319&lt;=4,G2319&gt;=6,H2319&gt;=6),"AT RISK",AND(F2319&lt;=2,G2319&gt;=8,H2319&gt;=8),"CAN'T LOSE THEM",AND(F2319&lt;=2,G2319&lt;=2,H2319&lt;=2),"HIBERNATING",TRUE(),"Other")</f>
        <v>PROMISING</v>
      </c>
      <c r="K2319" s="1" t="n">
        <f aca="false">RANK(E2319,$E$7:$E$4378)+COUNTIF($E$7:E2319,E2319)-1</f>
        <v>2614</v>
      </c>
    </row>
    <row r="2320" customFormat="false" ht="14.25" hidden="false" customHeight="true" outlineLevel="0" collapsed="false">
      <c r="A2320" s="51" t="n">
        <v>15472</v>
      </c>
      <c r="B2320" s="53" t="n">
        <v>40773.6368055556</v>
      </c>
      <c r="C2320" s="57" t="n">
        <f aca="false">INT($C$2)-INT(Table3[[#This Row],[Last Purchase Date]])</f>
        <v>114</v>
      </c>
      <c r="D2320" s="1" t="n">
        <v>1</v>
      </c>
      <c r="E2320" s="1" t="n">
        <v>371.56</v>
      </c>
      <c r="F2320" s="1" t="n">
        <f aca="false">ROUND((1-_xlfn.PERCENTRANK.INC($C$7:$C$4378,C2320))*9,0)</f>
        <v>3</v>
      </c>
      <c r="G2320" s="1" t="n">
        <f aca="false">ROUND(_xlfn.PERCENTRANK.INC($D$7:$D$4378,D2320)*9,0)</f>
        <v>0</v>
      </c>
      <c r="H2320" s="1" t="n">
        <f aca="false">ROUND(_xlfn.PERCENTRANK.INC($E$7:$E$4378,E2320)*9,0)</f>
        <v>3</v>
      </c>
      <c r="I2320" s="1" t="str">
        <f aca="false">CONCATENATE(F2320,G2320,H2320)</f>
        <v>303</v>
      </c>
      <c r="J2320" s="1" t="str">
        <f aca="false">_xlfn.IFS(AND(F2320&gt;=8,G2320&gt;=8,H2320&gt;=8),"CHAMPION",AND(F2320&gt;=6,G2320&gt;=7,H2320&gt;=6),"LOYAL CUSTOMER",AND(F2320&gt;=6,G2320&gt;=5,H2320&gt;=5),"POTENTIAL LOYALIST",AND(F2320&gt;=8,G2320&lt;=2,H2320&gt;=5),"NEW CUSTOMERS",AND(F2320&gt;=6,G2320&lt;=2,H2320&gt;=3),"PROMISING",AND(F2320&gt;=3,G2320&gt;=3,H2320&gt;=3),"NEED ATTENTION",AND(F2320&lt;=4,G2320&gt;=6,H2320&gt;=6),"AT RISK",AND(F2320&lt;=2,G2320&gt;=8,H2320&gt;=8),"CAN'T LOSE THEM",AND(F2320&lt;=2,G2320&lt;=2,H2320&lt;=2),"HIBERNATING",TRUE(),"Other")</f>
        <v>Other</v>
      </c>
      <c r="K2320" s="1" t="n">
        <f aca="false">RANK(E2320,$E$7:$E$4378)+COUNTIF($E$7:E2320,E2320)-1</f>
        <v>2925</v>
      </c>
    </row>
    <row r="2321" customFormat="false" ht="14.25" hidden="false" customHeight="true" outlineLevel="0" collapsed="false">
      <c r="A2321" s="51" t="n">
        <v>15473</v>
      </c>
      <c r="B2321" s="53" t="n">
        <v>40872.6354166667</v>
      </c>
      <c r="C2321" s="57" t="n">
        <f aca="false">INT($C$2)-INT(Table3[[#This Row],[Last Purchase Date]])</f>
        <v>15</v>
      </c>
      <c r="D2321" s="1" t="n">
        <v>10</v>
      </c>
      <c r="E2321" s="1" t="n">
        <v>1465.2</v>
      </c>
      <c r="F2321" s="1" t="n">
        <f aca="false">ROUND((1-_xlfn.PERCENTRANK.INC($C$7:$C$4378,C2321))*9,0)</f>
        <v>7</v>
      </c>
      <c r="G2321" s="1" t="n">
        <f aca="false">ROUND(_xlfn.PERCENTRANK.INC($D$7:$D$4378,D2321)*9,0)</f>
        <v>8</v>
      </c>
      <c r="H2321" s="1" t="n">
        <f aca="false">ROUND(_xlfn.PERCENTRANK.INC($E$7:$E$4378,E2321)*9,0)</f>
        <v>7</v>
      </c>
      <c r="I2321" s="1" t="str">
        <f aca="false">CONCATENATE(F2321,G2321,H2321)</f>
        <v>787</v>
      </c>
      <c r="J2321" s="1" t="str">
        <f aca="false">_xlfn.IFS(AND(F2321&gt;=8,G2321&gt;=8,H2321&gt;=8),"CHAMPION",AND(F2321&gt;=6,G2321&gt;=7,H2321&gt;=6),"LOYAL CUSTOMER",AND(F2321&gt;=6,G2321&gt;=5,H2321&gt;=5),"POTENTIAL LOYALIST",AND(F2321&gt;=8,G2321&lt;=2,H2321&gt;=5),"NEW CUSTOMERS",AND(F2321&gt;=6,G2321&lt;=2,H2321&gt;=3),"PROMISING",AND(F2321&gt;=3,G2321&gt;=3,H2321&gt;=3),"NEED ATTENTION",AND(F2321&lt;=4,G2321&gt;=6,H2321&gt;=6),"AT RISK",AND(F2321&lt;=2,G2321&gt;=8,H2321&gt;=8),"CAN'T LOSE THEM",AND(F2321&lt;=2,G2321&lt;=2,H2321&lt;=2),"HIBERNATING",TRUE(),"Other")</f>
        <v>LOYAL CUSTOMER</v>
      </c>
      <c r="K2321" s="1" t="n">
        <f aca="false">RANK(E2321,$E$7:$E$4378)+COUNTIF($E$7:E2321,E2321)-1</f>
        <v>1189</v>
      </c>
    </row>
    <row r="2322" customFormat="false" ht="14.25" hidden="false" customHeight="true" outlineLevel="0" collapsed="false">
      <c r="A2322" s="51" t="n">
        <v>15475</v>
      </c>
      <c r="B2322" s="53" t="n">
        <v>40809.6388888889</v>
      </c>
      <c r="C2322" s="57" t="n">
        <f aca="false">INT($C$2)-INT(Table3[[#This Row],[Last Purchase Date]])</f>
        <v>78</v>
      </c>
      <c r="D2322" s="1" t="n">
        <v>1</v>
      </c>
      <c r="E2322" s="1" t="n">
        <v>454.11</v>
      </c>
      <c r="F2322" s="1" t="n">
        <f aca="false">ROUND((1-_xlfn.PERCENTRANK.INC($C$7:$C$4378,C2322))*9,0)</f>
        <v>3</v>
      </c>
      <c r="G2322" s="1" t="n">
        <f aca="false">ROUND(_xlfn.PERCENTRANK.INC($D$7:$D$4378,D2322)*9,0)</f>
        <v>0</v>
      </c>
      <c r="H2322" s="1" t="n">
        <f aca="false">ROUND(_xlfn.PERCENTRANK.INC($E$7:$E$4378,E2322)*9,0)</f>
        <v>4</v>
      </c>
      <c r="I2322" s="1" t="str">
        <f aca="false">CONCATENATE(F2322,G2322,H2322)</f>
        <v>304</v>
      </c>
      <c r="J2322" s="1" t="str">
        <f aca="false">_xlfn.IFS(AND(F2322&gt;=8,G2322&gt;=8,H2322&gt;=8),"CHAMPION",AND(F2322&gt;=6,G2322&gt;=7,H2322&gt;=6),"LOYAL CUSTOMER",AND(F2322&gt;=6,G2322&gt;=5,H2322&gt;=5),"POTENTIAL LOYALIST",AND(F2322&gt;=8,G2322&lt;=2,H2322&gt;=5),"NEW CUSTOMERS",AND(F2322&gt;=6,G2322&lt;=2,H2322&gt;=3),"PROMISING",AND(F2322&gt;=3,G2322&gt;=3,H2322&gt;=3),"NEED ATTENTION",AND(F2322&lt;=4,G2322&gt;=6,H2322&gt;=6),"AT RISK",AND(F2322&lt;=2,G2322&gt;=8,H2322&gt;=8),"CAN'T LOSE THEM",AND(F2322&lt;=2,G2322&lt;=2,H2322&lt;=2),"HIBERNATING",TRUE(),"Other")</f>
        <v>Other</v>
      </c>
      <c r="K2322" s="1" t="n">
        <f aca="false">RANK(E2322,$E$7:$E$4378)+COUNTIF($E$7:E2322,E2322)-1</f>
        <v>2662</v>
      </c>
    </row>
    <row r="2323" customFormat="false" ht="14.25" hidden="false" customHeight="true" outlineLevel="0" collapsed="false">
      <c r="A2323" s="51" t="n">
        <v>15478</v>
      </c>
      <c r="B2323" s="53" t="n">
        <v>40846.5965277778</v>
      </c>
      <c r="C2323" s="57" t="n">
        <f aca="false">INT($C$2)-INT(Table3[[#This Row],[Last Purchase Date]])</f>
        <v>41</v>
      </c>
      <c r="D2323" s="1" t="n">
        <v>2</v>
      </c>
      <c r="E2323" s="1" t="n">
        <v>1441.42</v>
      </c>
      <c r="F2323" s="1" t="n">
        <f aca="false">ROUND((1-_xlfn.PERCENTRANK.INC($C$7:$C$4378,C2323))*9,0)</f>
        <v>5</v>
      </c>
      <c r="G2323" s="1" t="n">
        <f aca="false">ROUND(_xlfn.PERCENTRANK.INC($D$7:$D$4378,D2323)*9,0)</f>
        <v>3</v>
      </c>
      <c r="H2323" s="1" t="n">
        <f aca="false">ROUND(_xlfn.PERCENTRANK.INC($E$7:$E$4378,E2323)*9,0)</f>
        <v>7</v>
      </c>
      <c r="I2323" s="1" t="str">
        <f aca="false">CONCATENATE(F2323,G2323,H2323)</f>
        <v>537</v>
      </c>
      <c r="J2323" s="1" t="str">
        <f aca="false">_xlfn.IFS(AND(F2323&gt;=8,G2323&gt;=8,H2323&gt;=8),"CHAMPION",AND(F2323&gt;=6,G2323&gt;=7,H2323&gt;=6),"LOYAL CUSTOMER",AND(F2323&gt;=6,G2323&gt;=5,H2323&gt;=5),"POTENTIAL LOYALIST",AND(F2323&gt;=8,G2323&lt;=2,H2323&gt;=5),"NEW CUSTOMERS",AND(F2323&gt;=6,G2323&lt;=2,H2323&gt;=3),"PROMISING",AND(F2323&gt;=3,G2323&gt;=3,H2323&gt;=3),"NEED ATTENTION",AND(F2323&lt;=4,G2323&gt;=6,H2323&gt;=6),"AT RISK",AND(F2323&lt;=2,G2323&gt;=8,H2323&gt;=8),"CAN'T LOSE THEM",AND(F2323&lt;=2,G2323&lt;=2,H2323&lt;=2),"HIBERNATING",TRUE(),"Other")</f>
        <v>NEED ATTENTION</v>
      </c>
      <c r="K2323" s="1" t="n">
        <f aca="false">RANK(E2323,$E$7:$E$4378)+COUNTIF($E$7:E2323,E2323)-1</f>
        <v>1205</v>
      </c>
    </row>
    <row r="2324" customFormat="false" ht="14.25" hidden="false" customHeight="true" outlineLevel="0" collapsed="false">
      <c r="A2324" s="51" t="n">
        <v>15480</v>
      </c>
      <c r="B2324" s="53" t="n">
        <v>40770.6055555556</v>
      </c>
      <c r="C2324" s="57" t="n">
        <f aca="false">INT($C$2)-INT(Table3[[#This Row],[Last Purchase Date]])</f>
        <v>117</v>
      </c>
      <c r="D2324" s="1" t="n">
        <v>1</v>
      </c>
      <c r="E2324" s="1" t="n">
        <v>905.5</v>
      </c>
      <c r="F2324" s="1" t="n">
        <f aca="false">ROUND((1-_xlfn.PERCENTRANK.INC($C$7:$C$4378,C2324))*9,0)</f>
        <v>3</v>
      </c>
      <c r="G2324" s="1" t="n">
        <f aca="false">ROUND(_xlfn.PERCENTRANK.INC($D$7:$D$4378,D2324)*9,0)</f>
        <v>0</v>
      </c>
      <c r="H2324" s="1" t="n">
        <f aca="false">ROUND(_xlfn.PERCENTRANK.INC($E$7:$E$4378,E2324)*9,0)</f>
        <v>5</v>
      </c>
      <c r="I2324" s="1" t="str">
        <f aca="false">CONCATENATE(F2324,G2324,H2324)</f>
        <v>305</v>
      </c>
      <c r="J2324" s="1" t="str">
        <f aca="false">_xlfn.IFS(AND(F2324&gt;=8,G2324&gt;=8,H2324&gt;=8),"CHAMPION",AND(F2324&gt;=6,G2324&gt;=7,H2324&gt;=6),"LOYAL CUSTOMER",AND(F2324&gt;=6,G2324&gt;=5,H2324&gt;=5),"POTENTIAL LOYALIST",AND(F2324&gt;=8,G2324&lt;=2,H2324&gt;=5),"NEW CUSTOMERS",AND(F2324&gt;=6,G2324&lt;=2,H2324&gt;=3),"PROMISING",AND(F2324&gt;=3,G2324&gt;=3,H2324&gt;=3),"NEED ATTENTION",AND(F2324&lt;=4,G2324&gt;=6,H2324&gt;=6),"AT RISK",AND(F2324&lt;=2,G2324&gt;=8,H2324&gt;=8),"CAN'T LOSE THEM",AND(F2324&lt;=2,G2324&lt;=2,H2324&lt;=2),"HIBERNATING",TRUE(),"Other")</f>
        <v>Other</v>
      </c>
      <c r="K2324" s="1" t="n">
        <f aca="false">RANK(E2324,$E$7:$E$4378)+COUNTIF($E$7:E2324,E2324)-1</f>
        <v>1754</v>
      </c>
    </row>
    <row r="2325" customFormat="false" ht="14.25" hidden="false" customHeight="true" outlineLevel="0" collapsed="false">
      <c r="A2325" s="51" t="n">
        <v>15482</v>
      </c>
      <c r="B2325" s="53" t="n">
        <v>40871.4486111111</v>
      </c>
      <c r="C2325" s="57" t="n">
        <f aca="false">INT($C$2)-INT(Table3[[#This Row],[Last Purchase Date]])</f>
        <v>16</v>
      </c>
      <c r="D2325" s="1" t="n">
        <v>16</v>
      </c>
      <c r="E2325" s="1" t="n">
        <v>6568.72</v>
      </c>
      <c r="F2325" s="1" t="n">
        <f aca="false">ROUND((1-_xlfn.PERCENTRANK.INC($C$7:$C$4378,C2325))*9,0)</f>
        <v>7</v>
      </c>
      <c r="G2325" s="1" t="n">
        <f aca="false">ROUND(_xlfn.PERCENTRANK.INC($D$7:$D$4378,D2325)*9,0)</f>
        <v>9</v>
      </c>
      <c r="H2325" s="1" t="n">
        <f aca="false">ROUND(_xlfn.PERCENTRANK.INC($E$7:$E$4378,E2325)*9,0)</f>
        <v>9</v>
      </c>
      <c r="I2325" s="1" t="str">
        <f aca="false">CONCATENATE(F2325,G2325,H2325)</f>
        <v>799</v>
      </c>
      <c r="J2325" s="1" t="str">
        <f aca="false">_xlfn.IFS(AND(F2325&gt;=8,G2325&gt;=8,H2325&gt;=8),"CHAMPION",AND(F2325&gt;=6,G2325&gt;=7,H2325&gt;=6),"LOYAL CUSTOMER",AND(F2325&gt;=6,G2325&gt;=5,H2325&gt;=5),"POTENTIAL LOYALIST",AND(F2325&gt;=8,G2325&lt;=2,H2325&gt;=5),"NEW CUSTOMERS",AND(F2325&gt;=6,G2325&lt;=2,H2325&gt;=3),"PROMISING",AND(F2325&gt;=3,G2325&gt;=3,H2325&gt;=3),"NEED ATTENTION",AND(F2325&lt;=4,G2325&gt;=6,H2325&gt;=6),"AT RISK",AND(F2325&lt;=2,G2325&gt;=8,H2325&gt;=8),"CAN'T LOSE THEM",AND(F2325&lt;=2,G2325&lt;=2,H2325&lt;=2),"HIBERNATING",TRUE(),"Other")</f>
        <v>LOYAL CUSTOMER</v>
      </c>
      <c r="K2325" s="1" t="n">
        <f aca="false">RANK(E2325,$E$7:$E$4378)+COUNTIF($E$7:E2325,E2325)-1</f>
        <v>177</v>
      </c>
    </row>
    <row r="2326" customFormat="false" ht="14.25" hidden="false" customHeight="true" outlineLevel="0" collapsed="false">
      <c r="A2326" s="51" t="n">
        <v>15483</v>
      </c>
      <c r="B2326" s="53" t="n">
        <v>40725.5465277778</v>
      </c>
      <c r="C2326" s="57" t="n">
        <f aca="false">INT($C$2)-INT(Table3[[#This Row],[Last Purchase Date]])</f>
        <v>162</v>
      </c>
      <c r="D2326" s="1" t="n">
        <v>4</v>
      </c>
      <c r="E2326" s="1" t="n">
        <v>233.81</v>
      </c>
      <c r="F2326" s="1" t="n">
        <f aca="false">ROUND((1-_xlfn.PERCENTRANK.INC($C$7:$C$4378,C2326))*9,0)</f>
        <v>2</v>
      </c>
      <c r="G2326" s="1" t="n">
        <f aca="false">ROUND(_xlfn.PERCENTRANK.INC($D$7:$D$4378,D2326)*9,0)</f>
        <v>5</v>
      </c>
      <c r="H2326" s="1" t="n">
        <f aca="false">ROUND(_xlfn.PERCENTRANK.INC($E$7:$E$4378,E2326)*9,0)</f>
        <v>2</v>
      </c>
      <c r="I2326" s="1" t="str">
        <f aca="false">CONCATENATE(F2326,G2326,H2326)</f>
        <v>252</v>
      </c>
      <c r="J2326" s="1" t="str">
        <f aca="false">_xlfn.IFS(AND(F2326&gt;=8,G2326&gt;=8,H2326&gt;=8),"CHAMPION",AND(F2326&gt;=6,G2326&gt;=7,H2326&gt;=6),"LOYAL CUSTOMER",AND(F2326&gt;=6,G2326&gt;=5,H2326&gt;=5),"POTENTIAL LOYALIST",AND(F2326&gt;=8,G2326&lt;=2,H2326&gt;=5),"NEW CUSTOMERS",AND(F2326&gt;=6,G2326&lt;=2,H2326&gt;=3),"PROMISING",AND(F2326&gt;=3,G2326&gt;=3,H2326&gt;=3),"NEED ATTENTION",AND(F2326&lt;=4,G2326&gt;=6,H2326&gt;=6),"AT RISK",AND(F2326&lt;=2,G2326&gt;=8,H2326&gt;=8),"CAN'T LOSE THEM",AND(F2326&lt;=2,G2326&lt;=2,H2326&lt;=2),"HIBERNATING",TRUE(),"Other")</f>
        <v>Other</v>
      </c>
      <c r="K2326" s="1" t="n">
        <f aca="false">RANK(E2326,$E$7:$E$4378)+COUNTIF($E$7:E2326,E2326)-1</f>
        <v>3502</v>
      </c>
    </row>
    <row r="2327" customFormat="false" ht="14.25" hidden="false" customHeight="true" outlineLevel="0" collapsed="false">
      <c r="A2327" s="51" t="n">
        <v>15484</v>
      </c>
      <c r="B2327" s="53" t="n">
        <v>40885.6270833333</v>
      </c>
      <c r="C2327" s="57" t="n">
        <f aca="false">INT($C$2)-INT(Table3[[#This Row],[Last Purchase Date]])</f>
        <v>2</v>
      </c>
      <c r="D2327" s="1" t="n">
        <v>5</v>
      </c>
      <c r="E2327" s="1" t="n">
        <v>3563.11</v>
      </c>
      <c r="F2327" s="1" t="n">
        <f aca="false">ROUND((1-_xlfn.PERCENTRANK.INC($C$7:$C$4378,C2327))*9,0)</f>
        <v>9</v>
      </c>
      <c r="G2327" s="1" t="n">
        <f aca="false">ROUND(_xlfn.PERCENTRANK.INC($D$7:$D$4378,D2327)*9,0)</f>
        <v>6</v>
      </c>
      <c r="H2327" s="1" t="n">
        <f aca="false">ROUND(_xlfn.PERCENTRANK.INC($E$7:$E$4378,E2327)*9,0)</f>
        <v>8</v>
      </c>
      <c r="I2327" s="1" t="str">
        <f aca="false">CONCATENATE(F2327,G2327,H2327)</f>
        <v>968</v>
      </c>
      <c r="J2327" s="1" t="str">
        <f aca="false">_xlfn.IFS(AND(F2327&gt;=8,G2327&gt;=8,H2327&gt;=8),"CHAMPION",AND(F2327&gt;=6,G2327&gt;=7,H2327&gt;=6),"LOYAL CUSTOMER",AND(F2327&gt;=6,G2327&gt;=5,H2327&gt;=5),"POTENTIAL LOYALIST",AND(F2327&gt;=8,G2327&lt;=2,H2327&gt;=5),"NEW CUSTOMERS",AND(F2327&gt;=6,G2327&lt;=2,H2327&gt;=3),"PROMISING",AND(F2327&gt;=3,G2327&gt;=3,H2327&gt;=3),"NEED ATTENTION",AND(F2327&lt;=4,G2327&gt;=6,H2327&gt;=6),"AT RISK",AND(F2327&lt;=2,G2327&gt;=8,H2327&gt;=8),"CAN'T LOSE THEM",AND(F2327&lt;=2,G2327&lt;=2,H2327&lt;=2),"HIBERNATING",TRUE(),"Other")</f>
        <v>POTENTIAL LOYALIST</v>
      </c>
      <c r="K2327" s="1" t="n">
        <f aca="false">RANK(E2327,$E$7:$E$4378)+COUNTIF($E$7:E2327,E2327)-1</f>
        <v>426</v>
      </c>
    </row>
    <row r="2328" customFormat="false" ht="14.25" hidden="false" customHeight="true" outlineLevel="0" collapsed="false">
      <c r="A2328" s="51" t="n">
        <v>15485</v>
      </c>
      <c r="B2328" s="53" t="n">
        <v>40856.6048611111</v>
      </c>
      <c r="C2328" s="57" t="n">
        <f aca="false">INT($C$2)-INT(Table3[[#This Row],[Last Purchase Date]])</f>
        <v>31</v>
      </c>
      <c r="D2328" s="1" t="n">
        <v>3</v>
      </c>
      <c r="E2328" s="1" t="n">
        <v>2575</v>
      </c>
      <c r="F2328" s="1" t="n">
        <f aca="false">ROUND((1-_xlfn.PERCENTRANK.INC($C$7:$C$4378,C2328))*9,0)</f>
        <v>6</v>
      </c>
      <c r="G2328" s="1" t="n">
        <f aca="false">ROUND(_xlfn.PERCENTRANK.INC($D$7:$D$4378,D2328)*9,0)</f>
        <v>4</v>
      </c>
      <c r="H2328" s="1" t="n">
        <f aca="false">ROUND(_xlfn.PERCENTRANK.INC($E$7:$E$4378,E2328)*9,0)</f>
        <v>8</v>
      </c>
      <c r="I2328" s="1" t="str">
        <f aca="false">CONCATENATE(F2328,G2328,H2328)</f>
        <v>648</v>
      </c>
      <c r="J2328" s="1" t="str">
        <f aca="false">_xlfn.IFS(AND(F2328&gt;=8,G2328&gt;=8,H2328&gt;=8),"CHAMPION",AND(F2328&gt;=6,G2328&gt;=7,H2328&gt;=6),"LOYAL CUSTOMER",AND(F2328&gt;=6,G2328&gt;=5,H2328&gt;=5),"POTENTIAL LOYALIST",AND(F2328&gt;=8,G2328&lt;=2,H2328&gt;=5),"NEW CUSTOMERS",AND(F2328&gt;=6,G2328&lt;=2,H2328&gt;=3),"PROMISING",AND(F2328&gt;=3,G2328&gt;=3,H2328&gt;=3),"NEED ATTENTION",AND(F2328&lt;=4,G2328&gt;=6,H2328&gt;=6),"AT RISK",AND(F2328&lt;=2,G2328&gt;=8,H2328&gt;=8),"CAN'T LOSE THEM",AND(F2328&lt;=2,G2328&lt;=2,H2328&lt;=2),"HIBERNATING",TRUE(),"Other")</f>
        <v>NEED ATTENTION</v>
      </c>
      <c r="K2328" s="1" t="n">
        <f aca="false">RANK(E2328,$E$7:$E$4378)+COUNTIF($E$7:E2328,E2328)-1</f>
        <v>658</v>
      </c>
    </row>
    <row r="2329" customFormat="false" ht="14.25" hidden="false" customHeight="true" outlineLevel="0" collapsed="false">
      <c r="A2329" s="51" t="n">
        <v>15488</v>
      </c>
      <c r="B2329" s="53" t="n">
        <v>40794.4243055556</v>
      </c>
      <c r="C2329" s="57" t="n">
        <f aca="false">INT($C$2)-INT(Table3[[#This Row],[Last Purchase Date]])</f>
        <v>93</v>
      </c>
      <c r="D2329" s="1" t="n">
        <v>1</v>
      </c>
      <c r="E2329" s="1" t="n">
        <v>91.32</v>
      </c>
      <c r="F2329" s="1" t="n">
        <f aca="false">ROUND((1-_xlfn.PERCENTRANK.INC($C$7:$C$4378,C2329))*9,0)</f>
        <v>3</v>
      </c>
      <c r="G2329" s="1" t="n">
        <f aca="false">ROUND(_xlfn.PERCENTRANK.INC($D$7:$D$4378,D2329)*9,0)</f>
        <v>0</v>
      </c>
      <c r="H2329" s="1" t="n">
        <f aca="false">ROUND(_xlfn.PERCENTRANK.INC($E$7:$E$4378,E2329)*9,0)</f>
        <v>0</v>
      </c>
      <c r="I2329" s="1" t="str">
        <f aca="false">CONCATENATE(F2329,G2329,H2329)</f>
        <v>300</v>
      </c>
      <c r="J2329" s="1" t="str">
        <f aca="false">_xlfn.IFS(AND(F2329&gt;=8,G2329&gt;=8,H2329&gt;=8),"CHAMPION",AND(F2329&gt;=6,G2329&gt;=7,H2329&gt;=6),"LOYAL CUSTOMER",AND(F2329&gt;=6,G2329&gt;=5,H2329&gt;=5),"POTENTIAL LOYALIST",AND(F2329&gt;=8,G2329&lt;=2,H2329&gt;=5),"NEW CUSTOMERS",AND(F2329&gt;=6,G2329&lt;=2,H2329&gt;=3),"PROMISING",AND(F2329&gt;=3,G2329&gt;=3,H2329&gt;=3),"NEED ATTENTION",AND(F2329&lt;=4,G2329&gt;=6,H2329&gt;=6),"AT RISK",AND(F2329&lt;=2,G2329&gt;=8,H2329&gt;=8),"CAN'T LOSE THEM",AND(F2329&lt;=2,G2329&lt;=2,H2329&lt;=2),"HIBERNATING",TRUE(),"Other")</f>
        <v>Other</v>
      </c>
      <c r="K2329" s="1" t="n">
        <f aca="false">RANK(E2329,$E$7:$E$4378)+COUNTIF($E$7:E2329,E2329)-1</f>
        <v>4189</v>
      </c>
    </row>
    <row r="2330" customFormat="false" ht="14.25" hidden="false" customHeight="true" outlineLevel="0" collapsed="false">
      <c r="A2330" s="51" t="n">
        <v>15489</v>
      </c>
      <c r="B2330" s="53" t="n">
        <v>40864.3701388889</v>
      </c>
      <c r="C2330" s="57" t="n">
        <f aca="false">INT($C$2)-INT(Table3[[#This Row],[Last Purchase Date]])</f>
        <v>23</v>
      </c>
      <c r="D2330" s="1" t="n">
        <v>4</v>
      </c>
      <c r="E2330" s="1" t="n">
        <v>1090.03</v>
      </c>
      <c r="F2330" s="1" t="n">
        <f aca="false">ROUND((1-_xlfn.PERCENTRANK.INC($C$7:$C$4378,C2330))*9,0)</f>
        <v>6</v>
      </c>
      <c r="G2330" s="1" t="n">
        <f aca="false">ROUND(_xlfn.PERCENTRANK.INC($D$7:$D$4378,D2330)*9,0)</f>
        <v>5</v>
      </c>
      <c r="H2330" s="1" t="n">
        <f aca="false">ROUND(_xlfn.PERCENTRANK.INC($E$7:$E$4378,E2330)*9,0)</f>
        <v>6</v>
      </c>
      <c r="I2330" s="1" t="str">
        <f aca="false">CONCATENATE(F2330,G2330,H2330)</f>
        <v>656</v>
      </c>
      <c r="J2330" s="1" t="str">
        <f aca="false">_xlfn.IFS(AND(F2330&gt;=8,G2330&gt;=8,H2330&gt;=8),"CHAMPION",AND(F2330&gt;=6,G2330&gt;=7,H2330&gt;=6),"LOYAL CUSTOMER",AND(F2330&gt;=6,G2330&gt;=5,H2330&gt;=5),"POTENTIAL LOYALIST",AND(F2330&gt;=8,G2330&lt;=2,H2330&gt;=5),"NEW CUSTOMERS",AND(F2330&gt;=6,G2330&lt;=2,H2330&gt;=3),"PROMISING",AND(F2330&gt;=3,G2330&gt;=3,H2330&gt;=3),"NEED ATTENTION",AND(F2330&lt;=4,G2330&gt;=6,H2330&gt;=6),"AT RISK",AND(F2330&lt;=2,G2330&gt;=8,H2330&gt;=8),"CAN'T LOSE THEM",AND(F2330&lt;=2,G2330&lt;=2,H2330&lt;=2),"HIBERNATING",TRUE(),"Other")</f>
        <v>POTENTIAL LOYALIST</v>
      </c>
      <c r="K2330" s="1" t="n">
        <f aca="false">RANK(E2330,$E$7:$E$4378)+COUNTIF($E$7:E2330,E2330)-1</f>
        <v>1519</v>
      </c>
    </row>
    <row r="2331" customFormat="false" ht="14.25" hidden="false" customHeight="true" outlineLevel="0" collapsed="false">
      <c r="A2331" s="51" t="n">
        <v>15491</v>
      </c>
      <c r="B2331" s="53" t="n">
        <v>40791.6638888889</v>
      </c>
      <c r="C2331" s="57" t="n">
        <f aca="false">INT($C$2)-INT(Table3[[#This Row],[Last Purchase Date]])</f>
        <v>96</v>
      </c>
      <c r="D2331" s="1" t="n">
        <v>7</v>
      </c>
      <c r="E2331" s="1" t="n">
        <v>3090.85</v>
      </c>
      <c r="F2331" s="1" t="n">
        <f aca="false">ROUND((1-_xlfn.PERCENTRANK.INC($C$7:$C$4378,C2331))*9,0)</f>
        <v>3</v>
      </c>
      <c r="G2331" s="1" t="n">
        <f aca="false">ROUND(_xlfn.PERCENTRANK.INC($D$7:$D$4378,D2331)*9,0)</f>
        <v>7</v>
      </c>
      <c r="H2331" s="1" t="n">
        <f aca="false">ROUND(_xlfn.PERCENTRANK.INC($E$7:$E$4378,E2331)*9,0)</f>
        <v>8</v>
      </c>
      <c r="I2331" s="1" t="str">
        <f aca="false">CONCATENATE(F2331,G2331,H2331)</f>
        <v>378</v>
      </c>
      <c r="J2331" s="1" t="str">
        <f aca="false">_xlfn.IFS(AND(F2331&gt;=8,G2331&gt;=8,H2331&gt;=8),"CHAMPION",AND(F2331&gt;=6,G2331&gt;=7,H2331&gt;=6),"LOYAL CUSTOMER",AND(F2331&gt;=6,G2331&gt;=5,H2331&gt;=5),"POTENTIAL LOYALIST",AND(F2331&gt;=8,G2331&lt;=2,H2331&gt;=5),"NEW CUSTOMERS",AND(F2331&gt;=6,G2331&lt;=2,H2331&gt;=3),"PROMISING",AND(F2331&gt;=3,G2331&gt;=3,H2331&gt;=3),"NEED ATTENTION",AND(F2331&lt;=4,G2331&gt;=6,H2331&gt;=6),"AT RISK",AND(F2331&lt;=2,G2331&gt;=8,H2331&gt;=8),"CAN'T LOSE THEM",AND(F2331&lt;=2,G2331&lt;=2,H2331&lt;=2),"HIBERNATING",TRUE(),"Other")</f>
        <v>NEED ATTENTION</v>
      </c>
      <c r="K2331" s="1" t="n">
        <f aca="false">RANK(E2331,$E$7:$E$4378)+COUNTIF($E$7:E2331,E2331)-1</f>
        <v>517</v>
      </c>
    </row>
    <row r="2332" customFormat="false" ht="14.25" hidden="false" customHeight="true" outlineLevel="0" collapsed="false">
      <c r="A2332" s="51" t="n">
        <v>15492</v>
      </c>
      <c r="B2332" s="53" t="n">
        <v>40858.6201388889</v>
      </c>
      <c r="C2332" s="57" t="n">
        <f aca="false">INT($C$2)-INT(Table3[[#This Row],[Last Purchase Date]])</f>
        <v>29</v>
      </c>
      <c r="D2332" s="1" t="n">
        <v>2</v>
      </c>
      <c r="E2332" s="1" t="n">
        <v>659.46</v>
      </c>
      <c r="F2332" s="1" t="n">
        <f aca="false">ROUND((1-_xlfn.PERCENTRANK.INC($C$7:$C$4378,C2332))*9,0)</f>
        <v>6</v>
      </c>
      <c r="G2332" s="1" t="n">
        <f aca="false">ROUND(_xlfn.PERCENTRANK.INC($D$7:$D$4378,D2332)*9,0)</f>
        <v>3</v>
      </c>
      <c r="H2332" s="1" t="n">
        <f aca="false">ROUND(_xlfn.PERCENTRANK.INC($E$7:$E$4378,E2332)*9,0)</f>
        <v>5</v>
      </c>
      <c r="I2332" s="1" t="str">
        <f aca="false">CONCATENATE(F2332,G2332,H2332)</f>
        <v>635</v>
      </c>
      <c r="J2332" s="1" t="str">
        <f aca="false">_xlfn.IFS(AND(F2332&gt;=8,G2332&gt;=8,H2332&gt;=8),"CHAMPION",AND(F2332&gt;=6,G2332&gt;=7,H2332&gt;=6),"LOYAL CUSTOMER",AND(F2332&gt;=6,G2332&gt;=5,H2332&gt;=5),"POTENTIAL LOYALIST",AND(F2332&gt;=8,G2332&lt;=2,H2332&gt;=5),"NEW CUSTOMERS",AND(F2332&gt;=6,G2332&lt;=2,H2332&gt;=3),"PROMISING",AND(F2332&gt;=3,G2332&gt;=3,H2332&gt;=3),"NEED ATTENTION",AND(F2332&lt;=4,G2332&gt;=6,H2332&gt;=6),"AT RISK",AND(F2332&lt;=2,G2332&gt;=8,H2332&gt;=8),"CAN'T LOSE THEM",AND(F2332&lt;=2,G2332&lt;=2,H2332&lt;=2),"HIBERNATING",TRUE(),"Other")</f>
        <v>NEED ATTENTION</v>
      </c>
      <c r="K2332" s="1" t="n">
        <f aca="false">RANK(E2332,$E$7:$E$4378)+COUNTIF($E$7:E2332,E2332)-1</f>
        <v>2154</v>
      </c>
    </row>
    <row r="2333" customFormat="false" ht="14.25" hidden="false" customHeight="true" outlineLevel="0" collapsed="false">
      <c r="A2333" s="51" t="n">
        <v>15493</v>
      </c>
      <c r="B2333" s="53" t="n">
        <v>40854.5027777778</v>
      </c>
      <c r="C2333" s="57" t="n">
        <f aca="false">INT($C$2)-INT(Table3[[#This Row],[Last Purchase Date]])</f>
        <v>33</v>
      </c>
      <c r="D2333" s="1" t="n">
        <v>7</v>
      </c>
      <c r="E2333" s="1" t="n">
        <v>1967.25000000001</v>
      </c>
      <c r="F2333" s="1" t="n">
        <f aca="false">ROUND((1-_xlfn.PERCENTRANK.INC($C$7:$C$4378,C2333))*9,0)</f>
        <v>5</v>
      </c>
      <c r="G2333" s="1" t="n">
        <f aca="false">ROUND(_xlfn.PERCENTRANK.INC($D$7:$D$4378,D2333)*9,0)</f>
        <v>7</v>
      </c>
      <c r="H2333" s="1" t="n">
        <f aca="false">ROUND(_xlfn.PERCENTRANK.INC($E$7:$E$4378,E2333)*9,0)</f>
        <v>7</v>
      </c>
      <c r="I2333" s="1" t="str">
        <f aca="false">CONCATENATE(F2333,G2333,H2333)</f>
        <v>577</v>
      </c>
      <c r="J2333" s="1" t="str">
        <f aca="false">_xlfn.IFS(AND(F2333&gt;=8,G2333&gt;=8,H2333&gt;=8),"CHAMPION",AND(F2333&gt;=6,G2333&gt;=7,H2333&gt;=6),"LOYAL CUSTOMER",AND(F2333&gt;=6,G2333&gt;=5,H2333&gt;=5),"POTENTIAL LOYALIST",AND(F2333&gt;=8,G2333&lt;=2,H2333&gt;=5),"NEW CUSTOMERS",AND(F2333&gt;=6,G2333&lt;=2,H2333&gt;=3),"PROMISING",AND(F2333&gt;=3,G2333&gt;=3,H2333&gt;=3),"NEED ATTENTION",AND(F2333&lt;=4,G2333&gt;=6,H2333&gt;=6),"AT RISK",AND(F2333&lt;=2,G2333&gt;=8,H2333&gt;=8),"CAN'T LOSE THEM",AND(F2333&lt;=2,G2333&lt;=2,H2333&lt;=2),"HIBERNATING",TRUE(),"Other")</f>
        <v>NEED ATTENTION</v>
      </c>
      <c r="K2333" s="1" t="n">
        <f aca="false">RANK(E2333,$E$7:$E$4378)+COUNTIF($E$7:E2333,E2333)-1</f>
        <v>890</v>
      </c>
    </row>
    <row r="2334" customFormat="false" ht="14.25" hidden="false" customHeight="true" outlineLevel="0" collapsed="false">
      <c r="A2334" s="51" t="n">
        <v>15494</v>
      </c>
      <c r="B2334" s="53" t="n">
        <v>40865.61875</v>
      </c>
      <c r="C2334" s="57" t="n">
        <f aca="false">INT($C$2)-INT(Table3[[#This Row],[Last Purchase Date]])</f>
        <v>22</v>
      </c>
      <c r="D2334" s="1" t="n">
        <v>2</v>
      </c>
      <c r="E2334" s="1" t="n">
        <v>1299.23</v>
      </c>
      <c r="F2334" s="1" t="n">
        <f aca="false">ROUND((1-_xlfn.PERCENTRANK.INC($C$7:$C$4378,C2334))*9,0)</f>
        <v>6</v>
      </c>
      <c r="G2334" s="1" t="n">
        <f aca="false">ROUND(_xlfn.PERCENTRANK.INC($D$7:$D$4378,D2334)*9,0)</f>
        <v>3</v>
      </c>
      <c r="H2334" s="1" t="n">
        <f aca="false">ROUND(_xlfn.PERCENTRANK.INC($E$7:$E$4378,E2334)*9,0)</f>
        <v>6</v>
      </c>
      <c r="I2334" s="1" t="str">
        <f aca="false">CONCATENATE(F2334,G2334,H2334)</f>
        <v>636</v>
      </c>
      <c r="J2334" s="1" t="str">
        <f aca="false">_xlfn.IFS(AND(F2334&gt;=8,G2334&gt;=8,H2334&gt;=8),"CHAMPION",AND(F2334&gt;=6,G2334&gt;=7,H2334&gt;=6),"LOYAL CUSTOMER",AND(F2334&gt;=6,G2334&gt;=5,H2334&gt;=5),"POTENTIAL LOYALIST",AND(F2334&gt;=8,G2334&lt;=2,H2334&gt;=5),"NEW CUSTOMERS",AND(F2334&gt;=6,G2334&lt;=2,H2334&gt;=3),"PROMISING",AND(F2334&gt;=3,G2334&gt;=3,H2334&gt;=3),"NEED ATTENTION",AND(F2334&lt;=4,G2334&gt;=6,H2334&gt;=6),"AT RISK",AND(F2334&lt;=2,G2334&gt;=8,H2334&gt;=8),"CAN'T LOSE THEM",AND(F2334&lt;=2,G2334&lt;=2,H2334&lt;=2),"HIBERNATING",TRUE(),"Other")</f>
        <v>NEED ATTENTION</v>
      </c>
      <c r="K2334" s="1" t="n">
        <f aca="false">RANK(E2334,$E$7:$E$4378)+COUNTIF($E$7:E2334,E2334)-1</f>
        <v>1327</v>
      </c>
    </row>
    <row r="2335" customFormat="false" ht="14.25" hidden="false" customHeight="true" outlineLevel="0" collapsed="false">
      <c r="A2335" s="51" t="n">
        <v>15497</v>
      </c>
      <c r="B2335" s="53" t="n">
        <v>40869.49375</v>
      </c>
      <c r="C2335" s="57" t="n">
        <f aca="false">INT($C$2)-INT(Table3[[#This Row],[Last Purchase Date]])</f>
        <v>18</v>
      </c>
      <c r="D2335" s="1" t="n">
        <v>3</v>
      </c>
      <c r="E2335" s="1" t="n">
        <v>1259.7</v>
      </c>
      <c r="F2335" s="1" t="n">
        <f aca="false">ROUND((1-_xlfn.PERCENTRANK.INC($C$7:$C$4378,C2335))*9,0)</f>
        <v>7</v>
      </c>
      <c r="G2335" s="1" t="n">
        <f aca="false">ROUND(_xlfn.PERCENTRANK.INC($D$7:$D$4378,D2335)*9,0)</f>
        <v>4</v>
      </c>
      <c r="H2335" s="1" t="n">
        <f aca="false">ROUND(_xlfn.PERCENTRANK.INC($E$7:$E$4378,E2335)*9,0)</f>
        <v>6</v>
      </c>
      <c r="I2335" s="1" t="str">
        <f aca="false">CONCATENATE(F2335,G2335,H2335)</f>
        <v>746</v>
      </c>
      <c r="J2335" s="1" t="str">
        <f aca="false">_xlfn.IFS(AND(F2335&gt;=8,G2335&gt;=8,H2335&gt;=8),"CHAMPION",AND(F2335&gt;=6,G2335&gt;=7,H2335&gt;=6),"LOYAL CUSTOMER",AND(F2335&gt;=6,G2335&gt;=5,H2335&gt;=5),"POTENTIAL LOYALIST",AND(F2335&gt;=8,G2335&lt;=2,H2335&gt;=5),"NEW CUSTOMERS",AND(F2335&gt;=6,G2335&lt;=2,H2335&gt;=3),"PROMISING",AND(F2335&gt;=3,G2335&gt;=3,H2335&gt;=3),"NEED ATTENTION",AND(F2335&lt;=4,G2335&gt;=6,H2335&gt;=6),"AT RISK",AND(F2335&lt;=2,G2335&gt;=8,H2335&gt;=8),"CAN'T LOSE THEM",AND(F2335&lt;=2,G2335&lt;=2,H2335&lt;=2),"HIBERNATING",TRUE(),"Other")</f>
        <v>NEED ATTENTION</v>
      </c>
      <c r="K2335" s="1" t="n">
        <f aca="false">RANK(E2335,$E$7:$E$4378)+COUNTIF($E$7:E2335,E2335)-1</f>
        <v>1364</v>
      </c>
    </row>
    <row r="2336" customFormat="false" ht="14.25" hidden="false" customHeight="true" outlineLevel="0" collapsed="false">
      <c r="A2336" s="51" t="n">
        <v>15498</v>
      </c>
      <c r="B2336" s="53" t="n">
        <v>40886.4361111111</v>
      </c>
      <c r="C2336" s="57" t="n">
        <f aca="false">INT($C$2)-INT(Table3[[#This Row],[Last Purchase Date]])</f>
        <v>1</v>
      </c>
      <c r="D2336" s="1" t="n">
        <v>35</v>
      </c>
      <c r="E2336" s="1" t="n">
        <v>12396.46</v>
      </c>
      <c r="F2336" s="1" t="n">
        <f aca="false">ROUND((1-_xlfn.PERCENTRANK.INC($C$7:$C$4378,C2336))*9,0)</f>
        <v>9</v>
      </c>
      <c r="G2336" s="1" t="n">
        <f aca="false">ROUND(_xlfn.PERCENTRANK.INC($D$7:$D$4378,D2336)*9,0)</f>
        <v>9</v>
      </c>
      <c r="H2336" s="1" t="n">
        <f aca="false">ROUND(_xlfn.PERCENTRANK.INC($E$7:$E$4378,E2336)*9,0)</f>
        <v>9</v>
      </c>
      <c r="I2336" s="1" t="str">
        <f aca="false">CONCATENATE(F2336,G2336,H2336)</f>
        <v>999</v>
      </c>
      <c r="J2336" s="1" t="str">
        <f aca="false">_xlfn.IFS(AND(F2336&gt;=8,G2336&gt;=8,H2336&gt;=8),"CHAMPION",AND(F2336&gt;=6,G2336&gt;=7,H2336&gt;=6),"LOYAL CUSTOMER",AND(F2336&gt;=6,G2336&gt;=5,H2336&gt;=5),"POTENTIAL LOYALIST",AND(F2336&gt;=8,G2336&lt;=2,H2336&gt;=5),"NEW CUSTOMERS",AND(F2336&gt;=6,G2336&lt;=2,H2336&gt;=3),"PROMISING",AND(F2336&gt;=3,G2336&gt;=3,H2336&gt;=3),"NEED ATTENTION",AND(F2336&lt;=4,G2336&gt;=6,H2336&gt;=6),"AT RISK",AND(F2336&lt;=2,G2336&gt;=8,H2336&gt;=8),"CAN'T LOSE THEM",AND(F2336&lt;=2,G2336&lt;=2,H2336&lt;=2),"HIBERNATING",TRUE(),"Other")</f>
        <v>CHAMPION</v>
      </c>
      <c r="K2336" s="1" t="n">
        <f aca="false">RANK(E2336,$E$7:$E$4378)+COUNTIF($E$7:E2336,E2336)-1</f>
        <v>69</v>
      </c>
    </row>
    <row r="2337" customFormat="false" ht="14.25" hidden="false" customHeight="true" outlineLevel="0" collapsed="false">
      <c r="A2337" s="51" t="n">
        <v>15500</v>
      </c>
      <c r="B2337" s="53" t="n">
        <v>40878.5743055556</v>
      </c>
      <c r="C2337" s="57" t="n">
        <f aca="false">INT($C$2)-INT(Table3[[#This Row],[Last Purchase Date]])</f>
        <v>9</v>
      </c>
      <c r="D2337" s="1" t="n">
        <v>4</v>
      </c>
      <c r="E2337" s="1" t="n">
        <v>1131.56</v>
      </c>
      <c r="F2337" s="1" t="n">
        <f aca="false">ROUND((1-_xlfn.PERCENTRANK.INC($C$7:$C$4378,C2337))*9,0)</f>
        <v>8</v>
      </c>
      <c r="G2337" s="1" t="n">
        <f aca="false">ROUND(_xlfn.PERCENTRANK.INC($D$7:$D$4378,D2337)*9,0)</f>
        <v>5</v>
      </c>
      <c r="H2337" s="1" t="n">
        <f aca="false">ROUND(_xlfn.PERCENTRANK.INC($E$7:$E$4378,E2337)*9,0)</f>
        <v>6</v>
      </c>
      <c r="I2337" s="1" t="str">
        <f aca="false">CONCATENATE(F2337,G2337,H2337)</f>
        <v>856</v>
      </c>
      <c r="J2337" s="1" t="str">
        <f aca="false">_xlfn.IFS(AND(F2337&gt;=8,G2337&gt;=8,H2337&gt;=8),"CHAMPION",AND(F2337&gt;=6,G2337&gt;=7,H2337&gt;=6),"LOYAL CUSTOMER",AND(F2337&gt;=6,G2337&gt;=5,H2337&gt;=5),"POTENTIAL LOYALIST",AND(F2337&gt;=8,G2337&lt;=2,H2337&gt;=5),"NEW CUSTOMERS",AND(F2337&gt;=6,G2337&lt;=2,H2337&gt;=3),"PROMISING",AND(F2337&gt;=3,G2337&gt;=3,H2337&gt;=3),"NEED ATTENTION",AND(F2337&lt;=4,G2337&gt;=6,H2337&gt;=6),"AT RISK",AND(F2337&lt;=2,G2337&gt;=8,H2337&gt;=8),"CAN'T LOSE THEM",AND(F2337&lt;=2,G2337&lt;=2,H2337&lt;=2),"HIBERNATING",TRUE(),"Other")</f>
        <v>POTENTIAL LOYALIST</v>
      </c>
      <c r="K2337" s="1" t="n">
        <f aca="false">RANK(E2337,$E$7:$E$4378)+COUNTIF($E$7:E2337,E2337)-1</f>
        <v>1472</v>
      </c>
    </row>
    <row r="2338" customFormat="false" ht="14.25" hidden="false" customHeight="true" outlineLevel="0" collapsed="false">
      <c r="A2338" s="51" t="n">
        <v>15502</v>
      </c>
      <c r="B2338" s="53" t="n">
        <v>40871.5333333333</v>
      </c>
      <c r="C2338" s="57" t="n">
        <f aca="false">INT($C$2)-INT(Table3[[#This Row],[Last Purchase Date]])</f>
        <v>16</v>
      </c>
      <c r="D2338" s="1" t="n">
        <v>23</v>
      </c>
      <c r="E2338" s="1" t="n">
        <v>5541.46</v>
      </c>
      <c r="F2338" s="1" t="n">
        <f aca="false">ROUND((1-_xlfn.PERCENTRANK.INC($C$7:$C$4378,C2338))*9,0)</f>
        <v>7</v>
      </c>
      <c r="G2338" s="1" t="n">
        <f aca="false">ROUND(_xlfn.PERCENTRANK.INC($D$7:$D$4378,D2338)*9,0)</f>
        <v>9</v>
      </c>
      <c r="H2338" s="1" t="n">
        <f aca="false">ROUND(_xlfn.PERCENTRANK.INC($E$7:$E$4378,E2338)*9,0)</f>
        <v>9</v>
      </c>
      <c r="I2338" s="1" t="str">
        <f aca="false">CONCATENATE(F2338,G2338,H2338)</f>
        <v>799</v>
      </c>
      <c r="J2338" s="1" t="str">
        <f aca="false">_xlfn.IFS(AND(F2338&gt;=8,G2338&gt;=8,H2338&gt;=8),"CHAMPION",AND(F2338&gt;=6,G2338&gt;=7,H2338&gt;=6),"LOYAL CUSTOMER",AND(F2338&gt;=6,G2338&gt;=5,H2338&gt;=5),"POTENTIAL LOYALIST",AND(F2338&gt;=8,G2338&lt;=2,H2338&gt;=5),"NEW CUSTOMERS",AND(F2338&gt;=6,G2338&lt;=2,H2338&gt;=3),"PROMISING",AND(F2338&gt;=3,G2338&gt;=3,H2338&gt;=3),"NEED ATTENTION",AND(F2338&lt;=4,G2338&gt;=6,H2338&gt;=6),"AT RISK",AND(F2338&lt;=2,G2338&gt;=8,H2338&gt;=8),"CAN'T LOSE THEM",AND(F2338&lt;=2,G2338&lt;=2,H2338&lt;=2),"HIBERNATING",TRUE(),"Other")</f>
        <v>LOYAL CUSTOMER</v>
      </c>
      <c r="K2338" s="1" t="n">
        <f aca="false">RANK(E2338,$E$7:$E$4378)+COUNTIF($E$7:E2338,E2338)-1</f>
        <v>228</v>
      </c>
    </row>
    <row r="2339" customFormat="false" ht="14.25" hidden="false" customHeight="true" outlineLevel="0" collapsed="false">
      <c r="A2339" s="51" t="n">
        <v>15503</v>
      </c>
      <c r="B2339" s="53" t="n">
        <v>40524.45625</v>
      </c>
      <c r="C2339" s="57" t="n">
        <f aca="false">INT($C$2)-INT(Table3[[#This Row],[Last Purchase Date]])</f>
        <v>363</v>
      </c>
      <c r="D2339" s="1" t="n">
        <v>1</v>
      </c>
      <c r="E2339" s="1" t="n">
        <v>147.09</v>
      </c>
      <c r="F2339" s="1" t="n">
        <f aca="false">ROUND((1-_xlfn.PERCENTRANK.INC($C$7:$C$4378,C2339))*9,0)</f>
        <v>0</v>
      </c>
      <c r="G2339" s="1" t="n">
        <f aca="false">ROUND(_xlfn.PERCENTRANK.INC($D$7:$D$4378,D2339)*9,0)</f>
        <v>0</v>
      </c>
      <c r="H2339" s="1" t="n">
        <f aca="false">ROUND(_xlfn.PERCENTRANK.INC($E$7:$E$4378,E2339)*9,0)</f>
        <v>1</v>
      </c>
      <c r="I2339" s="1" t="str">
        <f aca="false">CONCATENATE(F2339,G2339,H2339)</f>
        <v>001</v>
      </c>
      <c r="J2339" s="1" t="str">
        <f aca="false">_xlfn.IFS(AND(F2339&gt;=8,G2339&gt;=8,H2339&gt;=8),"CHAMPION",AND(F2339&gt;=6,G2339&gt;=7,H2339&gt;=6),"LOYAL CUSTOMER",AND(F2339&gt;=6,G2339&gt;=5,H2339&gt;=5),"POTENTIAL LOYALIST",AND(F2339&gt;=8,G2339&lt;=2,H2339&gt;=5),"NEW CUSTOMERS",AND(F2339&gt;=6,G2339&lt;=2,H2339&gt;=3),"PROMISING",AND(F2339&gt;=3,G2339&gt;=3,H2339&gt;=3),"NEED ATTENTION",AND(F2339&lt;=4,G2339&gt;=6,H2339&gt;=6),"AT RISK",AND(F2339&lt;=2,G2339&gt;=8,H2339&gt;=8),"CAN'T LOSE THEM",AND(F2339&lt;=2,G2339&lt;=2,H2339&lt;=2),"HIBERNATING",TRUE(),"Other")</f>
        <v>HIBERNATING</v>
      </c>
      <c r="K2339" s="1" t="n">
        <f aca="false">RANK(E2339,$E$7:$E$4378)+COUNTIF($E$7:E2339,E2339)-1</f>
        <v>3932</v>
      </c>
    </row>
    <row r="2340" customFormat="false" ht="14.25" hidden="false" customHeight="true" outlineLevel="0" collapsed="false">
      <c r="A2340" s="51" t="n">
        <v>15504</v>
      </c>
      <c r="B2340" s="53" t="n">
        <v>40805.5729166667</v>
      </c>
      <c r="C2340" s="57" t="n">
        <f aca="false">INT($C$2)-INT(Table3[[#This Row],[Last Purchase Date]])</f>
        <v>82</v>
      </c>
      <c r="D2340" s="1" t="n">
        <v>1</v>
      </c>
      <c r="E2340" s="1" t="n">
        <v>52.83</v>
      </c>
      <c r="F2340" s="1" t="n">
        <f aca="false">ROUND((1-_xlfn.PERCENTRANK.INC($C$7:$C$4378,C2340))*9,0)</f>
        <v>3</v>
      </c>
      <c r="G2340" s="1" t="n">
        <f aca="false">ROUND(_xlfn.PERCENTRANK.INC($D$7:$D$4378,D2340)*9,0)</f>
        <v>0</v>
      </c>
      <c r="H2340" s="1" t="n">
        <f aca="false">ROUND(_xlfn.PERCENTRANK.INC($E$7:$E$4378,E2340)*9,0)</f>
        <v>0</v>
      </c>
      <c r="I2340" s="1" t="str">
        <f aca="false">CONCATENATE(F2340,G2340,H2340)</f>
        <v>300</v>
      </c>
      <c r="J2340" s="1" t="str">
        <f aca="false">_xlfn.IFS(AND(F2340&gt;=8,G2340&gt;=8,H2340&gt;=8),"CHAMPION",AND(F2340&gt;=6,G2340&gt;=7,H2340&gt;=6),"LOYAL CUSTOMER",AND(F2340&gt;=6,G2340&gt;=5,H2340&gt;=5),"POTENTIAL LOYALIST",AND(F2340&gt;=8,G2340&lt;=2,H2340&gt;=5),"NEW CUSTOMERS",AND(F2340&gt;=6,G2340&lt;=2,H2340&gt;=3),"PROMISING",AND(F2340&gt;=3,G2340&gt;=3,H2340&gt;=3),"NEED ATTENTION",AND(F2340&lt;=4,G2340&gt;=6,H2340&gt;=6),"AT RISK",AND(F2340&lt;=2,G2340&gt;=8,H2340&gt;=8),"CAN'T LOSE THEM",AND(F2340&lt;=2,G2340&lt;=2,H2340&lt;=2),"HIBERNATING",TRUE(),"Other")</f>
        <v>Other</v>
      </c>
      <c r="K2340" s="1" t="n">
        <f aca="false">RANK(E2340,$E$7:$E$4378)+COUNTIF($E$7:E2340,E2340)-1</f>
        <v>4275</v>
      </c>
    </row>
    <row r="2341" customFormat="false" ht="14.25" hidden="false" customHeight="true" outlineLevel="0" collapsed="false">
      <c r="A2341" s="51" t="n">
        <v>15505</v>
      </c>
      <c r="B2341" s="53" t="n">
        <v>40834.3305555556</v>
      </c>
      <c r="C2341" s="57" t="n">
        <f aca="false">INT($C$2)-INT(Table3[[#This Row],[Last Purchase Date]])</f>
        <v>53</v>
      </c>
      <c r="D2341" s="1" t="n">
        <v>7</v>
      </c>
      <c r="E2341" s="1" t="n">
        <v>3497.14</v>
      </c>
      <c r="F2341" s="1" t="n">
        <f aca="false">ROUND((1-_xlfn.PERCENTRANK.INC($C$7:$C$4378,C2341))*9,0)</f>
        <v>4</v>
      </c>
      <c r="G2341" s="1" t="n">
        <f aca="false">ROUND(_xlfn.PERCENTRANK.INC($D$7:$D$4378,D2341)*9,0)</f>
        <v>7</v>
      </c>
      <c r="H2341" s="1" t="n">
        <f aca="false">ROUND(_xlfn.PERCENTRANK.INC($E$7:$E$4378,E2341)*9,0)</f>
        <v>8</v>
      </c>
      <c r="I2341" s="1" t="str">
        <f aca="false">CONCATENATE(F2341,G2341,H2341)</f>
        <v>478</v>
      </c>
      <c r="J2341" s="1" t="str">
        <f aca="false">_xlfn.IFS(AND(F2341&gt;=8,G2341&gt;=8,H2341&gt;=8),"CHAMPION",AND(F2341&gt;=6,G2341&gt;=7,H2341&gt;=6),"LOYAL CUSTOMER",AND(F2341&gt;=6,G2341&gt;=5,H2341&gt;=5),"POTENTIAL LOYALIST",AND(F2341&gt;=8,G2341&lt;=2,H2341&gt;=5),"NEW CUSTOMERS",AND(F2341&gt;=6,G2341&lt;=2,H2341&gt;=3),"PROMISING",AND(F2341&gt;=3,G2341&gt;=3,H2341&gt;=3),"NEED ATTENTION",AND(F2341&lt;=4,G2341&gt;=6,H2341&gt;=6),"AT RISK",AND(F2341&lt;=2,G2341&gt;=8,H2341&gt;=8),"CAN'T LOSE THEM",AND(F2341&lt;=2,G2341&lt;=2,H2341&lt;=2),"HIBERNATING",TRUE(),"Other")</f>
        <v>NEED ATTENTION</v>
      </c>
      <c r="K2341" s="1" t="n">
        <f aca="false">RANK(E2341,$E$7:$E$4378)+COUNTIF($E$7:E2341,E2341)-1</f>
        <v>439</v>
      </c>
    </row>
    <row r="2342" customFormat="false" ht="14.25" hidden="false" customHeight="true" outlineLevel="0" collapsed="false">
      <c r="A2342" s="51" t="n">
        <v>15506</v>
      </c>
      <c r="B2342" s="53" t="n">
        <v>40864.5076388889</v>
      </c>
      <c r="C2342" s="57" t="n">
        <f aca="false">INT($C$2)-INT(Table3[[#This Row],[Last Purchase Date]])</f>
        <v>23</v>
      </c>
      <c r="D2342" s="1" t="n">
        <v>3</v>
      </c>
      <c r="E2342" s="1" t="n">
        <v>979.26</v>
      </c>
      <c r="F2342" s="1" t="n">
        <f aca="false">ROUND((1-_xlfn.PERCENTRANK.INC($C$7:$C$4378,C2342))*9,0)</f>
        <v>6</v>
      </c>
      <c r="G2342" s="1" t="n">
        <f aca="false">ROUND(_xlfn.PERCENTRANK.INC($D$7:$D$4378,D2342)*9,0)</f>
        <v>4</v>
      </c>
      <c r="H2342" s="1" t="n">
        <f aca="false">ROUND(_xlfn.PERCENTRANK.INC($E$7:$E$4378,E2342)*9,0)</f>
        <v>6</v>
      </c>
      <c r="I2342" s="1" t="str">
        <f aca="false">CONCATENATE(F2342,G2342,H2342)</f>
        <v>646</v>
      </c>
      <c r="J2342" s="1" t="str">
        <f aca="false">_xlfn.IFS(AND(F2342&gt;=8,G2342&gt;=8,H2342&gt;=8),"CHAMPION",AND(F2342&gt;=6,G2342&gt;=7,H2342&gt;=6),"LOYAL CUSTOMER",AND(F2342&gt;=6,G2342&gt;=5,H2342&gt;=5),"POTENTIAL LOYALIST",AND(F2342&gt;=8,G2342&lt;=2,H2342&gt;=5),"NEW CUSTOMERS",AND(F2342&gt;=6,G2342&lt;=2,H2342&gt;=3),"PROMISING",AND(F2342&gt;=3,G2342&gt;=3,H2342&gt;=3),"NEED ATTENTION",AND(F2342&lt;=4,G2342&gt;=6,H2342&gt;=6),"AT RISK",AND(F2342&lt;=2,G2342&gt;=8,H2342&gt;=8),"CAN'T LOSE THEM",AND(F2342&lt;=2,G2342&lt;=2,H2342&lt;=2),"HIBERNATING",TRUE(),"Other")</f>
        <v>NEED ATTENTION</v>
      </c>
      <c r="K2342" s="1" t="n">
        <f aca="false">RANK(E2342,$E$7:$E$4378)+COUNTIF($E$7:E2342,E2342)-1</f>
        <v>1666</v>
      </c>
    </row>
    <row r="2343" customFormat="false" ht="14.25" hidden="false" customHeight="true" outlineLevel="0" collapsed="false">
      <c r="A2343" s="51" t="n">
        <v>15507</v>
      </c>
      <c r="B2343" s="53" t="n">
        <v>40715.4715277778</v>
      </c>
      <c r="C2343" s="57" t="n">
        <f aca="false">INT($C$2)-INT(Table3[[#This Row],[Last Purchase Date]])</f>
        <v>172</v>
      </c>
      <c r="D2343" s="1" t="n">
        <v>1</v>
      </c>
      <c r="E2343" s="1" t="n">
        <v>492.36</v>
      </c>
      <c r="F2343" s="1" t="n">
        <f aca="false">ROUND((1-_xlfn.PERCENTRANK.INC($C$7:$C$4378,C2343))*9,0)</f>
        <v>2</v>
      </c>
      <c r="G2343" s="1" t="n">
        <f aca="false">ROUND(_xlfn.PERCENTRANK.INC($D$7:$D$4378,D2343)*9,0)</f>
        <v>0</v>
      </c>
      <c r="H2343" s="1" t="n">
        <f aca="false">ROUND(_xlfn.PERCENTRANK.INC($E$7:$E$4378,E2343)*9,0)</f>
        <v>4</v>
      </c>
      <c r="I2343" s="1" t="str">
        <f aca="false">CONCATENATE(F2343,G2343,H2343)</f>
        <v>204</v>
      </c>
      <c r="J2343" s="1" t="str">
        <f aca="false">_xlfn.IFS(AND(F2343&gt;=8,G2343&gt;=8,H2343&gt;=8),"CHAMPION",AND(F2343&gt;=6,G2343&gt;=7,H2343&gt;=6),"LOYAL CUSTOMER",AND(F2343&gt;=6,G2343&gt;=5,H2343&gt;=5),"POTENTIAL LOYALIST",AND(F2343&gt;=8,G2343&lt;=2,H2343&gt;=5),"NEW CUSTOMERS",AND(F2343&gt;=6,G2343&lt;=2,H2343&gt;=3),"PROMISING",AND(F2343&gt;=3,G2343&gt;=3,H2343&gt;=3),"NEED ATTENTION",AND(F2343&lt;=4,G2343&gt;=6,H2343&gt;=6),"AT RISK",AND(F2343&lt;=2,G2343&gt;=8,H2343&gt;=8),"CAN'T LOSE THEM",AND(F2343&lt;=2,G2343&lt;=2,H2343&lt;=2),"HIBERNATING",TRUE(),"Other")</f>
        <v>Other</v>
      </c>
      <c r="K2343" s="1" t="n">
        <f aca="false">RANK(E2343,$E$7:$E$4378)+COUNTIF($E$7:E2343,E2343)-1</f>
        <v>2563</v>
      </c>
    </row>
    <row r="2344" customFormat="false" ht="14.25" hidden="false" customHeight="true" outlineLevel="0" collapsed="false">
      <c r="A2344" s="51" t="n">
        <v>15508</v>
      </c>
      <c r="B2344" s="53" t="n">
        <v>40697.6548611111</v>
      </c>
      <c r="C2344" s="57" t="n">
        <f aca="false">INT($C$2)-INT(Table3[[#This Row],[Last Purchase Date]])</f>
        <v>190</v>
      </c>
      <c r="D2344" s="1" t="n">
        <v>6</v>
      </c>
      <c r="E2344" s="1" t="n">
        <v>1000.27</v>
      </c>
      <c r="F2344" s="1" t="n">
        <f aca="false">ROUND((1-_xlfn.PERCENTRANK.INC($C$7:$C$4378,C2344))*9,0)</f>
        <v>2</v>
      </c>
      <c r="G2344" s="1" t="n">
        <f aca="false">ROUND(_xlfn.PERCENTRANK.INC($D$7:$D$4378,D2344)*9,0)</f>
        <v>7</v>
      </c>
      <c r="H2344" s="1" t="n">
        <f aca="false">ROUND(_xlfn.PERCENTRANK.INC($E$7:$E$4378,E2344)*9,0)</f>
        <v>6</v>
      </c>
      <c r="I2344" s="1" t="str">
        <f aca="false">CONCATENATE(F2344,G2344,H2344)</f>
        <v>276</v>
      </c>
      <c r="J2344" s="1" t="str">
        <f aca="false">_xlfn.IFS(AND(F2344&gt;=8,G2344&gt;=8,H2344&gt;=8),"CHAMPION",AND(F2344&gt;=6,G2344&gt;=7,H2344&gt;=6),"LOYAL CUSTOMER",AND(F2344&gt;=6,G2344&gt;=5,H2344&gt;=5),"POTENTIAL LOYALIST",AND(F2344&gt;=8,G2344&lt;=2,H2344&gt;=5),"NEW CUSTOMERS",AND(F2344&gt;=6,G2344&lt;=2,H2344&gt;=3),"PROMISING",AND(F2344&gt;=3,G2344&gt;=3,H2344&gt;=3),"NEED ATTENTION",AND(F2344&lt;=4,G2344&gt;=6,H2344&gt;=6),"AT RISK",AND(F2344&lt;=2,G2344&gt;=8,H2344&gt;=8),"CAN'T LOSE THEM",AND(F2344&lt;=2,G2344&lt;=2,H2344&lt;=2),"HIBERNATING",TRUE(),"Other")</f>
        <v>AT RISK</v>
      </c>
      <c r="K2344" s="1" t="n">
        <f aca="false">RANK(E2344,$E$7:$E$4378)+COUNTIF($E$7:E2344,E2344)-1</f>
        <v>1631</v>
      </c>
    </row>
    <row r="2345" customFormat="false" ht="14.25" hidden="false" customHeight="true" outlineLevel="0" collapsed="false">
      <c r="A2345" s="51" t="n">
        <v>15510</v>
      </c>
      <c r="B2345" s="53" t="n">
        <v>40556.5069444445</v>
      </c>
      <c r="C2345" s="57" t="n">
        <f aca="false">INT($C$2)-INT(Table3[[#This Row],[Last Purchase Date]])</f>
        <v>331</v>
      </c>
      <c r="D2345" s="1" t="n">
        <v>1</v>
      </c>
      <c r="E2345" s="1" t="n">
        <v>250</v>
      </c>
      <c r="F2345" s="1" t="n">
        <f aca="false">ROUND((1-_xlfn.PERCENTRANK.INC($C$7:$C$4378,C2345))*9,0)</f>
        <v>0</v>
      </c>
      <c r="G2345" s="1" t="n">
        <f aca="false">ROUND(_xlfn.PERCENTRANK.INC($D$7:$D$4378,D2345)*9,0)</f>
        <v>0</v>
      </c>
      <c r="H2345" s="1" t="n">
        <f aca="false">ROUND(_xlfn.PERCENTRANK.INC($E$7:$E$4378,E2345)*9,0)</f>
        <v>2</v>
      </c>
      <c r="I2345" s="1" t="str">
        <f aca="false">CONCATENATE(F2345,G2345,H2345)</f>
        <v>002</v>
      </c>
      <c r="J2345" s="1" t="str">
        <f aca="false">_xlfn.IFS(AND(F2345&gt;=8,G2345&gt;=8,H2345&gt;=8),"CHAMPION",AND(F2345&gt;=6,G2345&gt;=7,H2345&gt;=6),"LOYAL CUSTOMER",AND(F2345&gt;=6,G2345&gt;=5,H2345&gt;=5),"POTENTIAL LOYALIST",AND(F2345&gt;=8,G2345&lt;=2,H2345&gt;=5),"NEW CUSTOMERS",AND(F2345&gt;=6,G2345&lt;=2,H2345&gt;=3),"PROMISING",AND(F2345&gt;=3,G2345&gt;=3,H2345&gt;=3),"NEED ATTENTION",AND(F2345&lt;=4,G2345&gt;=6,H2345&gt;=6),"AT RISK",AND(F2345&lt;=2,G2345&gt;=8,H2345&gt;=8),"CAN'T LOSE THEM",AND(F2345&lt;=2,G2345&lt;=2,H2345&lt;=2),"HIBERNATING",TRUE(),"Other")</f>
        <v>HIBERNATING</v>
      </c>
      <c r="K2345" s="1" t="n">
        <f aca="false">RANK(E2345,$E$7:$E$4378)+COUNTIF($E$7:E2345,E2345)-1</f>
        <v>3439</v>
      </c>
    </row>
    <row r="2346" customFormat="false" ht="14.25" hidden="false" customHeight="true" outlineLevel="0" collapsed="false">
      <c r="A2346" s="51" t="n">
        <v>15511</v>
      </c>
      <c r="B2346" s="53" t="n">
        <v>40875.4048611111</v>
      </c>
      <c r="C2346" s="57" t="n">
        <f aca="false">INT($C$2)-INT(Table3[[#This Row],[Last Purchase Date]])</f>
        <v>12</v>
      </c>
      <c r="D2346" s="1" t="n">
        <v>5</v>
      </c>
      <c r="E2346" s="1" t="n">
        <v>909.23</v>
      </c>
      <c r="F2346" s="1" t="n">
        <f aca="false">ROUND((1-_xlfn.PERCENTRANK.INC($C$7:$C$4378,C2346))*9,0)</f>
        <v>7</v>
      </c>
      <c r="G2346" s="1" t="n">
        <f aca="false">ROUND(_xlfn.PERCENTRANK.INC($D$7:$D$4378,D2346)*9,0)</f>
        <v>6</v>
      </c>
      <c r="H2346" s="1" t="n">
        <f aca="false">ROUND(_xlfn.PERCENTRANK.INC($E$7:$E$4378,E2346)*9,0)</f>
        <v>5</v>
      </c>
      <c r="I2346" s="1" t="str">
        <f aca="false">CONCATENATE(F2346,G2346,H2346)</f>
        <v>765</v>
      </c>
      <c r="J2346" s="1" t="str">
        <f aca="false">_xlfn.IFS(AND(F2346&gt;=8,G2346&gt;=8,H2346&gt;=8),"CHAMPION",AND(F2346&gt;=6,G2346&gt;=7,H2346&gt;=6),"LOYAL CUSTOMER",AND(F2346&gt;=6,G2346&gt;=5,H2346&gt;=5),"POTENTIAL LOYALIST",AND(F2346&gt;=8,G2346&lt;=2,H2346&gt;=5),"NEW CUSTOMERS",AND(F2346&gt;=6,G2346&lt;=2,H2346&gt;=3),"PROMISING",AND(F2346&gt;=3,G2346&gt;=3,H2346&gt;=3),"NEED ATTENTION",AND(F2346&lt;=4,G2346&gt;=6,H2346&gt;=6),"AT RISK",AND(F2346&lt;=2,G2346&gt;=8,H2346&gt;=8),"CAN'T LOSE THEM",AND(F2346&lt;=2,G2346&lt;=2,H2346&lt;=2),"HIBERNATING",TRUE(),"Other")</f>
        <v>POTENTIAL LOYALIST</v>
      </c>
      <c r="K2346" s="1" t="n">
        <f aca="false">RANK(E2346,$E$7:$E$4378)+COUNTIF($E$7:E2346,E2346)-1</f>
        <v>1749</v>
      </c>
    </row>
    <row r="2347" customFormat="false" ht="14.25" hidden="false" customHeight="true" outlineLevel="0" collapsed="false">
      <c r="A2347" s="51" t="n">
        <v>15512</v>
      </c>
      <c r="B2347" s="53" t="n">
        <v>40731.4305555556</v>
      </c>
      <c r="C2347" s="57" t="n">
        <f aca="false">INT($C$2)-INT(Table3[[#This Row],[Last Purchase Date]])</f>
        <v>156</v>
      </c>
      <c r="D2347" s="1" t="n">
        <v>2</v>
      </c>
      <c r="E2347" s="1" t="n">
        <v>121</v>
      </c>
      <c r="F2347" s="1" t="n">
        <f aca="false">ROUND((1-_xlfn.PERCENTRANK.INC($C$7:$C$4378,C2347))*9,0)</f>
        <v>2</v>
      </c>
      <c r="G2347" s="1" t="n">
        <f aca="false">ROUND(_xlfn.PERCENTRANK.INC($D$7:$D$4378,D2347)*9,0)</f>
        <v>3</v>
      </c>
      <c r="H2347" s="1" t="n">
        <f aca="false">ROUND(_xlfn.PERCENTRANK.INC($E$7:$E$4378,E2347)*9,0)</f>
        <v>1</v>
      </c>
      <c r="I2347" s="1" t="str">
        <f aca="false">CONCATENATE(F2347,G2347,H2347)</f>
        <v>231</v>
      </c>
      <c r="J2347" s="1" t="str">
        <f aca="false">_xlfn.IFS(AND(F2347&gt;=8,G2347&gt;=8,H2347&gt;=8),"CHAMPION",AND(F2347&gt;=6,G2347&gt;=7,H2347&gt;=6),"LOYAL CUSTOMER",AND(F2347&gt;=6,G2347&gt;=5,H2347&gt;=5),"POTENTIAL LOYALIST",AND(F2347&gt;=8,G2347&lt;=2,H2347&gt;=5),"NEW CUSTOMERS",AND(F2347&gt;=6,G2347&lt;=2,H2347&gt;=3),"PROMISING",AND(F2347&gt;=3,G2347&gt;=3,H2347&gt;=3),"NEED ATTENTION",AND(F2347&lt;=4,G2347&gt;=6,H2347&gt;=6),"AT RISK",AND(F2347&lt;=2,G2347&gt;=8,H2347&gt;=8),"CAN'T LOSE THEM",AND(F2347&lt;=2,G2347&lt;=2,H2347&lt;=2),"HIBERNATING",TRUE(),"Other")</f>
        <v>Other</v>
      </c>
      <c r="K2347" s="1" t="n">
        <f aca="false">RANK(E2347,$E$7:$E$4378)+COUNTIF($E$7:E2347,E2347)-1</f>
        <v>4045</v>
      </c>
    </row>
    <row r="2348" customFormat="false" ht="14.25" hidden="false" customHeight="true" outlineLevel="0" collapsed="false">
      <c r="A2348" s="51" t="n">
        <v>15513</v>
      </c>
      <c r="B2348" s="53" t="n">
        <v>40855.68125</v>
      </c>
      <c r="C2348" s="57" t="n">
        <f aca="false">INT($C$2)-INT(Table3[[#This Row],[Last Purchase Date]])</f>
        <v>32</v>
      </c>
      <c r="D2348" s="1" t="n">
        <v>22</v>
      </c>
      <c r="E2348" s="1" t="n">
        <v>14520.08</v>
      </c>
      <c r="F2348" s="1" t="n">
        <f aca="false">ROUND((1-_xlfn.PERCENTRANK.INC($C$7:$C$4378,C2348))*9,0)</f>
        <v>5</v>
      </c>
      <c r="G2348" s="1" t="n">
        <f aca="false">ROUND(_xlfn.PERCENTRANK.INC($D$7:$D$4378,D2348)*9,0)</f>
        <v>9</v>
      </c>
      <c r="H2348" s="1" t="n">
        <f aca="false">ROUND(_xlfn.PERCENTRANK.INC($E$7:$E$4378,E2348)*9,0)</f>
        <v>9</v>
      </c>
      <c r="I2348" s="1" t="str">
        <f aca="false">CONCATENATE(F2348,G2348,H2348)</f>
        <v>599</v>
      </c>
      <c r="J2348" s="1" t="str">
        <f aca="false">_xlfn.IFS(AND(F2348&gt;=8,G2348&gt;=8,H2348&gt;=8),"CHAMPION",AND(F2348&gt;=6,G2348&gt;=7,H2348&gt;=6),"LOYAL CUSTOMER",AND(F2348&gt;=6,G2348&gt;=5,H2348&gt;=5),"POTENTIAL LOYALIST",AND(F2348&gt;=8,G2348&lt;=2,H2348&gt;=5),"NEW CUSTOMERS",AND(F2348&gt;=6,G2348&lt;=2,H2348&gt;=3),"PROMISING",AND(F2348&gt;=3,G2348&gt;=3,H2348&gt;=3),"NEED ATTENTION",AND(F2348&lt;=4,G2348&gt;=6,H2348&gt;=6),"AT RISK",AND(F2348&lt;=2,G2348&gt;=8,H2348&gt;=8),"CAN'T LOSE THEM",AND(F2348&lt;=2,G2348&lt;=2,H2348&lt;=2),"HIBERNATING",TRUE(),"Other")</f>
        <v>NEED ATTENTION</v>
      </c>
      <c r="K2348" s="1" t="n">
        <f aca="false">RANK(E2348,$E$7:$E$4378)+COUNTIF($E$7:E2348,E2348)-1</f>
        <v>56</v>
      </c>
    </row>
    <row r="2349" customFormat="false" ht="14.25" hidden="false" customHeight="true" outlineLevel="0" collapsed="false">
      <c r="A2349" s="51" t="n">
        <v>15514</v>
      </c>
      <c r="B2349" s="53" t="n">
        <v>40874.6111111111</v>
      </c>
      <c r="C2349" s="57" t="n">
        <f aca="false">INT($C$2)-INT(Table3[[#This Row],[Last Purchase Date]])</f>
        <v>13</v>
      </c>
      <c r="D2349" s="1" t="n">
        <v>13</v>
      </c>
      <c r="E2349" s="1" t="n">
        <v>2963.19</v>
      </c>
      <c r="F2349" s="1" t="n">
        <f aca="false">ROUND((1-_xlfn.PERCENTRANK.INC($C$7:$C$4378,C2349))*9,0)</f>
        <v>7</v>
      </c>
      <c r="G2349" s="1" t="n">
        <f aca="false">ROUND(_xlfn.PERCENTRANK.INC($D$7:$D$4378,D2349)*9,0)</f>
        <v>8</v>
      </c>
      <c r="H2349" s="1" t="n">
        <f aca="false">ROUND(_xlfn.PERCENTRANK.INC($E$7:$E$4378,E2349)*9,0)</f>
        <v>8</v>
      </c>
      <c r="I2349" s="1" t="str">
        <f aca="false">CONCATENATE(F2349,G2349,H2349)</f>
        <v>788</v>
      </c>
      <c r="J2349" s="1" t="str">
        <f aca="false">_xlfn.IFS(AND(F2349&gt;=8,G2349&gt;=8,H2349&gt;=8),"CHAMPION",AND(F2349&gt;=6,G2349&gt;=7,H2349&gt;=6),"LOYAL CUSTOMER",AND(F2349&gt;=6,G2349&gt;=5,H2349&gt;=5),"POTENTIAL LOYALIST",AND(F2349&gt;=8,G2349&lt;=2,H2349&gt;=5),"NEW CUSTOMERS",AND(F2349&gt;=6,G2349&lt;=2,H2349&gt;=3),"PROMISING",AND(F2349&gt;=3,G2349&gt;=3,H2349&gt;=3),"NEED ATTENTION",AND(F2349&lt;=4,G2349&gt;=6,H2349&gt;=6),"AT RISK",AND(F2349&lt;=2,G2349&gt;=8,H2349&gt;=8),"CAN'T LOSE THEM",AND(F2349&lt;=2,G2349&lt;=2,H2349&lt;=2),"HIBERNATING",TRUE(),"Other")</f>
        <v>LOYAL CUSTOMER</v>
      </c>
      <c r="K2349" s="1" t="n">
        <f aca="false">RANK(E2349,$E$7:$E$4378)+COUNTIF($E$7:E2349,E2349)-1</f>
        <v>547</v>
      </c>
    </row>
    <row r="2350" customFormat="false" ht="14.25" hidden="false" customHeight="true" outlineLevel="0" collapsed="false">
      <c r="A2350" s="51" t="n">
        <v>15516</v>
      </c>
      <c r="B2350" s="53" t="n">
        <v>40842.4520833333</v>
      </c>
      <c r="C2350" s="57" t="n">
        <f aca="false">INT($C$2)-INT(Table3[[#This Row],[Last Purchase Date]])</f>
        <v>45</v>
      </c>
      <c r="D2350" s="1" t="n">
        <v>3</v>
      </c>
      <c r="E2350" s="1" t="n">
        <v>62.43</v>
      </c>
      <c r="F2350" s="1" t="n">
        <f aca="false">ROUND((1-_xlfn.PERCENTRANK.INC($C$7:$C$4378,C2350))*9,0)</f>
        <v>5</v>
      </c>
      <c r="G2350" s="1" t="n">
        <f aca="false">ROUND(_xlfn.PERCENTRANK.INC($D$7:$D$4378,D2350)*9,0)</f>
        <v>4</v>
      </c>
      <c r="H2350" s="1" t="n">
        <f aca="false">ROUND(_xlfn.PERCENTRANK.INC($E$7:$E$4378,E2350)*9,0)</f>
        <v>0</v>
      </c>
      <c r="I2350" s="1" t="str">
        <f aca="false">CONCATENATE(F2350,G2350,H2350)</f>
        <v>540</v>
      </c>
      <c r="J2350" s="1" t="str">
        <f aca="false">_xlfn.IFS(AND(F2350&gt;=8,G2350&gt;=8,H2350&gt;=8),"CHAMPION",AND(F2350&gt;=6,G2350&gt;=7,H2350&gt;=6),"LOYAL CUSTOMER",AND(F2350&gt;=6,G2350&gt;=5,H2350&gt;=5),"POTENTIAL LOYALIST",AND(F2350&gt;=8,G2350&lt;=2,H2350&gt;=5),"NEW CUSTOMERS",AND(F2350&gt;=6,G2350&lt;=2,H2350&gt;=3),"PROMISING",AND(F2350&gt;=3,G2350&gt;=3,H2350&gt;=3),"NEED ATTENTION",AND(F2350&lt;=4,G2350&gt;=6,H2350&gt;=6),"AT RISK",AND(F2350&lt;=2,G2350&gt;=8,H2350&gt;=8),"CAN'T LOSE THEM",AND(F2350&lt;=2,G2350&lt;=2,H2350&lt;=2),"HIBERNATING",TRUE(),"Other")</f>
        <v>Other</v>
      </c>
      <c r="K2350" s="1" t="n">
        <f aca="false">RANK(E2350,$E$7:$E$4378)+COUNTIF($E$7:E2350,E2350)-1</f>
        <v>4260</v>
      </c>
    </row>
    <row r="2351" customFormat="false" ht="14.25" hidden="false" customHeight="true" outlineLevel="0" collapsed="false">
      <c r="A2351" s="51" t="n">
        <v>15517</v>
      </c>
      <c r="B2351" s="53" t="n">
        <v>40653.5847222222</v>
      </c>
      <c r="C2351" s="57" t="n">
        <f aca="false">INT($C$2)-INT(Table3[[#This Row],[Last Purchase Date]])</f>
        <v>234</v>
      </c>
      <c r="D2351" s="1" t="n">
        <v>1</v>
      </c>
      <c r="E2351" s="1" t="n">
        <v>267.03</v>
      </c>
      <c r="F2351" s="1" t="n">
        <f aca="false">ROUND((1-_xlfn.PERCENTRANK.INC($C$7:$C$4378,C2351))*9,0)</f>
        <v>1</v>
      </c>
      <c r="G2351" s="1" t="n">
        <f aca="false">ROUND(_xlfn.PERCENTRANK.INC($D$7:$D$4378,D2351)*9,0)</f>
        <v>0</v>
      </c>
      <c r="H2351" s="1" t="n">
        <f aca="false">ROUND(_xlfn.PERCENTRANK.INC($E$7:$E$4378,E2351)*9,0)</f>
        <v>2</v>
      </c>
      <c r="I2351" s="1" t="str">
        <f aca="false">CONCATENATE(F2351,G2351,H2351)</f>
        <v>102</v>
      </c>
      <c r="J2351" s="1" t="str">
        <f aca="false">_xlfn.IFS(AND(F2351&gt;=8,G2351&gt;=8,H2351&gt;=8),"CHAMPION",AND(F2351&gt;=6,G2351&gt;=7,H2351&gt;=6),"LOYAL CUSTOMER",AND(F2351&gt;=6,G2351&gt;=5,H2351&gt;=5),"POTENTIAL LOYALIST",AND(F2351&gt;=8,G2351&lt;=2,H2351&gt;=5),"NEW CUSTOMERS",AND(F2351&gt;=6,G2351&lt;=2,H2351&gt;=3),"PROMISING",AND(F2351&gt;=3,G2351&gt;=3,H2351&gt;=3),"NEED ATTENTION",AND(F2351&lt;=4,G2351&gt;=6,H2351&gt;=6),"AT RISK",AND(F2351&lt;=2,G2351&gt;=8,H2351&gt;=8),"CAN'T LOSE THEM",AND(F2351&lt;=2,G2351&lt;=2,H2351&lt;=2),"HIBERNATING",TRUE(),"Other")</f>
        <v>HIBERNATING</v>
      </c>
      <c r="K2351" s="1" t="n">
        <f aca="false">RANK(E2351,$E$7:$E$4378)+COUNTIF($E$7:E2351,E2351)-1</f>
        <v>3372</v>
      </c>
    </row>
    <row r="2352" customFormat="false" ht="14.25" hidden="false" customHeight="true" outlineLevel="0" collapsed="false">
      <c r="A2352" s="51" t="n">
        <v>15518</v>
      </c>
      <c r="B2352" s="53" t="n">
        <v>40822.5451388889</v>
      </c>
      <c r="C2352" s="57" t="n">
        <f aca="false">INT($C$2)-INT(Table3[[#This Row],[Last Purchase Date]])</f>
        <v>65</v>
      </c>
      <c r="D2352" s="1" t="n">
        <v>13</v>
      </c>
      <c r="E2352" s="1" t="n">
        <v>1911.89</v>
      </c>
      <c r="F2352" s="1" t="n">
        <f aca="false">ROUND((1-_xlfn.PERCENTRANK.INC($C$7:$C$4378,C2352))*9,0)</f>
        <v>4</v>
      </c>
      <c r="G2352" s="1" t="n">
        <f aca="false">ROUND(_xlfn.PERCENTRANK.INC($D$7:$D$4378,D2352)*9,0)</f>
        <v>8</v>
      </c>
      <c r="H2352" s="1" t="n">
        <f aca="false">ROUND(_xlfn.PERCENTRANK.INC($E$7:$E$4378,E2352)*9,0)</f>
        <v>7</v>
      </c>
      <c r="I2352" s="1" t="str">
        <f aca="false">CONCATENATE(F2352,G2352,H2352)</f>
        <v>487</v>
      </c>
      <c r="J2352" s="1" t="str">
        <f aca="false">_xlfn.IFS(AND(F2352&gt;=8,G2352&gt;=8,H2352&gt;=8),"CHAMPION",AND(F2352&gt;=6,G2352&gt;=7,H2352&gt;=6),"LOYAL CUSTOMER",AND(F2352&gt;=6,G2352&gt;=5,H2352&gt;=5),"POTENTIAL LOYALIST",AND(F2352&gt;=8,G2352&lt;=2,H2352&gt;=5),"NEW CUSTOMERS",AND(F2352&gt;=6,G2352&lt;=2,H2352&gt;=3),"PROMISING",AND(F2352&gt;=3,G2352&gt;=3,H2352&gt;=3),"NEED ATTENTION",AND(F2352&lt;=4,G2352&gt;=6,H2352&gt;=6),"AT RISK",AND(F2352&lt;=2,G2352&gt;=8,H2352&gt;=8),"CAN'T LOSE THEM",AND(F2352&lt;=2,G2352&lt;=2,H2352&lt;=2),"HIBERNATING",TRUE(),"Other")</f>
        <v>NEED ATTENTION</v>
      </c>
      <c r="K2352" s="1" t="n">
        <f aca="false">RANK(E2352,$E$7:$E$4378)+COUNTIF($E$7:E2352,E2352)-1</f>
        <v>911</v>
      </c>
    </row>
    <row r="2353" customFormat="false" ht="14.25" hidden="false" customHeight="true" outlineLevel="0" collapsed="false">
      <c r="A2353" s="51" t="n">
        <v>15520</v>
      </c>
      <c r="B2353" s="53" t="n">
        <v>40885.4569444444</v>
      </c>
      <c r="C2353" s="57" t="n">
        <f aca="false">INT($C$2)-INT(Table3[[#This Row],[Last Purchase Date]])</f>
        <v>2</v>
      </c>
      <c r="D2353" s="1" t="n">
        <v>1</v>
      </c>
      <c r="E2353" s="1" t="n">
        <v>343.5</v>
      </c>
      <c r="F2353" s="1" t="n">
        <f aca="false">ROUND((1-_xlfn.PERCENTRANK.INC($C$7:$C$4378,C2353))*9,0)</f>
        <v>9</v>
      </c>
      <c r="G2353" s="1" t="n">
        <f aca="false">ROUND(_xlfn.PERCENTRANK.INC($D$7:$D$4378,D2353)*9,0)</f>
        <v>0</v>
      </c>
      <c r="H2353" s="1" t="n">
        <f aca="false">ROUND(_xlfn.PERCENTRANK.INC($E$7:$E$4378,E2353)*9,0)</f>
        <v>3</v>
      </c>
      <c r="I2353" s="1" t="str">
        <f aca="false">CONCATENATE(F2353,G2353,H2353)</f>
        <v>903</v>
      </c>
      <c r="J2353" s="1" t="str">
        <f aca="false">_xlfn.IFS(AND(F2353&gt;=8,G2353&gt;=8,H2353&gt;=8),"CHAMPION",AND(F2353&gt;=6,G2353&gt;=7,H2353&gt;=6),"LOYAL CUSTOMER",AND(F2353&gt;=6,G2353&gt;=5,H2353&gt;=5),"POTENTIAL LOYALIST",AND(F2353&gt;=8,G2353&lt;=2,H2353&gt;=5),"NEW CUSTOMERS",AND(F2353&gt;=6,G2353&lt;=2,H2353&gt;=3),"PROMISING",AND(F2353&gt;=3,G2353&gt;=3,H2353&gt;=3),"NEED ATTENTION",AND(F2353&lt;=4,G2353&gt;=6,H2353&gt;=6),"AT RISK",AND(F2353&lt;=2,G2353&gt;=8,H2353&gt;=8),"CAN'T LOSE THEM",AND(F2353&lt;=2,G2353&lt;=2,H2353&lt;=2),"HIBERNATING",TRUE(),"Other")</f>
        <v>PROMISING</v>
      </c>
      <c r="K2353" s="1" t="n">
        <f aca="false">RANK(E2353,$E$7:$E$4378)+COUNTIF($E$7:E2353,E2353)-1</f>
        <v>3039</v>
      </c>
    </row>
    <row r="2354" customFormat="false" ht="14.25" hidden="false" customHeight="true" outlineLevel="0" collapsed="false">
      <c r="A2354" s="51" t="n">
        <v>15521</v>
      </c>
      <c r="B2354" s="53" t="n">
        <v>40850.5777777778</v>
      </c>
      <c r="C2354" s="57" t="n">
        <f aca="false">INT($C$2)-INT(Table3[[#This Row],[Last Purchase Date]])</f>
        <v>37</v>
      </c>
      <c r="D2354" s="1" t="n">
        <v>13</v>
      </c>
      <c r="E2354" s="1" t="n">
        <v>2574.65</v>
      </c>
      <c r="F2354" s="1" t="n">
        <f aca="false">ROUND((1-_xlfn.PERCENTRANK.INC($C$7:$C$4378,C2354))*9,0)</f>
        <v>5</v>
      </c>
      <c r="G2354" s="1" t="n">
        <f aca="false">ROUND(_xlfn.PERCENTRANK.INC($D$7:$D$4378,D2354)*9,0)</f>
        <v>8</v>
      </c>
      <c r="H2354" s="1" t="n">
        <f aca="false">ROUND(_xlfn.PERCENTRANK.INC($E$7:$E$4378,E2354)*9,0)</f>
        <v>8</v>
      </c>
      <c r="I2354" s="1" t="str">
        <f aca="false">CONCATENATE(F2354,G2354,H2354)</f>
        <v>588</v>
      </c>
      <c r="J2354" s="1" t="str">
        <f aca="false">_xlfn.IFS(AND(F2354&gt;=8,G2354&gt;=8,H2354&gt;=8),"CHAMPION",AND(F2354&gt;=6,G2354&gt;=7,H2354&gt;=6),"LOYAL CUSTOMER",AND(F2354&gt;=6,G2354&gt;=5,H2354&gt;=5),"POTENTIAL LOYALIST",AND(F2354&gt;=8,G2354&lt;=2,H2354&gt;=5),"NEW CUSTOMERS",AND(F2354&gt;=6,G2354&lt;=2,H2354&gt;=3),"PROMISING",AND(F2354&gt;=3,G2354&gt;=3,H2354&gt;=3),"NEED ATTENTION",AND(F2354&lt;=4,G2354&gt;=6,H2354&gt;=6),"AT RISK",AND(F2354&lt;=2,G2354&gt;=8,H2354&gt;=8),"CAN'T LOSE THEM",AND(F2354&lt;=2,G2354&lt;=2,H2354&lt;=2),"HIBERNATING",TRUE(),"Other")</f>
        <v>NEED ATTENTION</v>
      </c>
      <c r="K2354" s="1" t="n">
        <f aca="false">RANK(E2354,$E$7:$E$4378)+COUNTIF($E$7:E2354,E2354)-1</f>
        <v>659</v>
      </c>
    </row>
    <row r="2355" customFormat="false" ht="14.25" hidden="false" customHeight="true" outlineLevel="0" collapsed="false">
      <c r="A2355" s="51" t="n">
        <v>15522</v>
      </c>
      <c r="B2355" s="53" t="n">
        <v>40854.4763888889</v>
      </c>
      <c r="C2355" s="57" t="n">
        <f aca="false">INT($C$2)-INT(Table3[[#This Row],[Last Purchase Date]])</f>
        <v>33</v>
      </c>
      <c r="D2355" s="1" t="n">
        <v>2</v>
      </c>
      <c r="E2355" s="1" t="n">
        <v>398.84</v>
      </c>
      <c r="F2355" s="1" t="n">
        <f aca="false">ROUND((1-_xlfn.PERCENTRANK.INC($C$7:$C$4378,C2355))*9,0)</f>
        <v>5</v>
      </c>
      <c r="G2355" s="1" t="n">
        <f aca="false">ROUND(_xlfn.PERCENTRANK.INC($D$7:$D$4378,D2355)*9,0)</f>
        <v>3</v>
      </c>
      <c r="H2355" s="1" t="n">
        <f aca="false">ROUND(_xlfn.PERCENTRANK.INC($E$7:$E$4378,E2355)*9,0)</f>
        <v>3</v>
      </c>
      <c r="I2355" s="1" t="str">
        <f aca="false">CONCATENATE(F2355,G2355,H2355)</f>
        <v>533</v>
      </c>
      <c r="J2355" s="1" t="str">
        <f aca="false">_xlfn.IFS(AND(F2355&gt;=8,G2355&gt;=8,H2355&gt;=8),"CHAMPION",AND(F2355&gt;=6,G2355&gt;=7,H2355&gt;=6),"LOYAL CUSTOMER",AND(F2355&gt;=6,G2355&gt;=5,H2355&gt;=5),"POTENTIAL LOYALIST",AND(F2355&gt;=8,G2355&lt;=2,H2355&gt;=5),"NEW CUSTOMERS",AND(F2355&gt;=6,G2355&lt;=2,H2355&gt;=3),"PROMISING",AND(F2355&gt;=3,G2355&gt;=3,H2355&gt;=3),"NEED ATTENTION",AND(F2355&lt;=4,G2355&gt;=6,H2355&gt;=6),"AT RISK",AND(F2355&lt;=2,G2355&gt;=8,H2355&gt;=8),"CAN'T LOSE THEM",AND(F2355&lt;=2,G2355&lt;=2,H2355&lt;=2),"HIBERNATING",TRUE(),"Other")</f>
        <v>NEED ATTENTION</v>
      </c>
      <c r="K2355" s="1" t="n">
        <f aca="false">RANK(E2355,$E$7:$E$4378)+COUNTIF($E$7:E2355,E2355)-1</f>
        <v>2822</v>
      </c>
    </row>
    <row r="2356" customFormat="false" ht="14.25" hidden="false" customHeight="true" outlineLevel="0" collapsed="false">
      <c r="A2356" s="51" t="n">
        <v>15523</v>
      </c>
      <c r="B2356" s="53" t="n">
        <v>40802.6868055556</v>
      </c>
      <c r="C2356" s="57" t="n">
        <f aca="false">INT($C$2)-INT(Table3[[#This Row],[Last Purchase Date]])</f>
        <v>85</v>
      </c>
      <c r="D2356" s="1" t="n">
        <v>1</v>
      </c>
      <c r="E2356" s="1" t="n">
        <v>412.01</v>
      </c>
      <c r="F2356" s="1" t="n">
        <f aca="false">ROUND((1-_xlfn.PERCENTRANK.INC($C$7:$C$4378,C2356))*9,0)</f>
        <v>3</v>
      </c>
      <c r="G2356" s="1" t="n">
        <f aca="false">ROUND(_xlfn.PERCENTRANK.INC($D$7:$D$4378,D2356)*9,0)</f>
        <v>0</v>
      </c>
      <c r="H2356" s="1" t="n">
        <f aca="false">ROUND(_xlfn.PERCENTRANK.INC($E$7:$E$4378,E2356)*9,0)</f>
        <v>3</v>
      </c>
      <c r="I2356" s="1" t="str">
        <f aca="false">CONCATENATE(F2356,G2356,H2356)</f>
        <v>303</v>
      </c>
      <c r="J2356" s="1" t="str">
        <f aca="false">_xlfn.IFS(AND(F2356&gt;=8,G2356&gt;=8,H2356&gt;=8),"CHAMPION",AND(F2356&gt;=6,G2356&gt;=7,H2356&gt;=6),"LOYAL CUSTOMER",AND(F2356&gt;=6,G2356&gt;=5,H2356&gt;=5),"POTENTIAL LOYALIST",AND(F2356&gt;=8,G2356&lt;=2,H2356&gt;=5),"NEW CUSTOMERS",AND(F2356&gt;=6,G2356&lt;=2,H2356&gt;=3),"PROMISING",AND(F2356&gt;=3,G2356&gt;=3,H2356&gt;=3),"NEED ATTENTION",AND(F2356&lt;=4,G2356&gt;=6,H2356&gt;=6),"AT RISK",AND(F2356&lt;=2,G2356&gt;=8,H2356&gt;=8),"CAN'T LOSE THEM",AND(F2356&lt;=2,G2356&lt;=2,H2356&lt;=2),"HIBERNATING",TRUE(),"Other")</f>
        <v>Other</v>
      </c>
      <c r="K2356" s="1" t="n">
        <f aca="false">RANK(E2356,$E$7:$E$4378)+COUNTIF($E$7:E2356,E2356)-1</f>
        <v>2782</v>
      </c>
    </row>
    <row r="2357" customFormat="false" ht="14.25" hidden="false" customHeight="true" outlineLevel="0" collapsed="false">
      <c r="A2357" s="51" t="n">
        <v>15524</v>
      </c>
      <c r="B2357" s="53" t="n">
        <v>40862.50625</v>
      </c>
      <c r="C2357" s="57" t="n">
        <f aca="false">INT($C$2)-INT(Table3[[#This Row],[Last Purchase Date]])</f>
        <v>25</v>
      </c>
      <c r="D2357" s="1" t="n">
        <v>1</v>
      </c>
      <c r="E2357" s="1" t="n">
        <v>440</v>
      </c>
      <c r="F2357" s="1" t="n">
        <f aca="false">ROUND((1-_xlfn.PERCENTRANK.INC($C$7:$C$4378,C2357))*9,0)</f>
        <v>6</v>
      </c>
      <c r="G2357" s="1" t="n">
        <f aca="false">ROUND(_xlfn.PERCENTRANK.INC($D$7:$D$4378,D2357)*9,0)</f>
        <v>0</v>
      </c>
      <c r="H2357" s="1" t="n">
        <f aca="false">ROUND(_xlfn.PERCENTRANK.INC($E$7:$E$4378,E2357)*9,0)</f>
        <v>3</v>
      </c>
      <c r="I2357" s="1" t="str">
        <f aca="false">CONCATENATE(F2357,G2357,H2357)</f>
        <v>603</v>
      </c>
      <c r="J2357" s="1" t="str">
        <f aca="false">_xlfn.IFS(AND(F2357&gt;=8,G2357&gt;=8,H2357&gt;=8),"CHAMPION",AND(F2357&gt;=6,G2357&gt;=7,H2357&gt;=6),"LOYAL CUSTOMER",AND(F2357&gt;=6,G2357&gt;=5,H2357&gt;=5),"POTENTIAL LOYALIST",AND(F2357&gt;=8,G2357&lt;=2,H2357&gt;=5),"NEW CUSTOMERS",AND(F2357&gt;=6,G2357&lt;=2,H2357&gt;=3),"PROMISING",AND(F2357&gt;=3,G2357&gt;=3,H2357&gt;=3),"NEED ATTENTION",AND(F2357&lt;=4,G2357&gt;=6,H2357&gt;=6),"AT RISK",AND(F2357&lt;=2,G2357&gt;=8,H2357&gt;=8),"CAN'T LOSE THEM",AND(F2357&lt;=2,G2357&lt;=2,H2357&lt;=2),"HIBERNATING",TRUE(),"Other")</f>
        <v>PROMISING</v>
      </c>
      <c r="K2357" s="1" t="n">
        <f aca="false">RANK(E2357,$E$7:$E$4378)+COUNTIF($E$7:E2357,E2357)-1</f>
        <v>2694</v>
      </c>
    </row>
    <row r="2358" customFormat="false" ht="14.25" hidden="false" customHeight="true" outlineLevel="0" collapsed="false">
      <c r="A2358" s="51" t="n">
        <v>15525</v>
      </c>
      <c r="B2358" s="53" t="n">
        <v>40884.6520833333</v>
      </c>
      <c r="C2358" s="57" t="n">
        <f aca="false">INT($C$2)-INT(Table3[[#This Row],[Last Purchase Date]])</f>
        <v>3</v>
      </c>
      <c r="D2358" s="1" t="n">
        <v>4</v>
      </c>
      <c r="E2358" s="1" t="n">
        <v>811.02</v>
      </c>
      <c r="F2358" s="1" t="n">
        <f aca="false">ROUND((1-_xlfn.PERCENTRANK.INC($C$7:$C$4378,C2358))*9,0)</f>
        <v>9</v>
      </c>
      <c r="G2358" s="1" t="n">
        <f aca="false">ROUND(_xlfn.PERCENTRANK.INC($D$7:$D$4378,D2358)*9,0)</f>
        <v>5</v>
      </c>
      <c r="H2358" s="1" t="n">
        <f aca="false">ROUND(_xlfn.PERCENTRANK.INC($E$7:$E$4378,E2358)*9,0)</f>
        <v>5</v>
      </c>
      <c r="I2358" s="1" t="str">
        <f aca="false">CONCATENATE(F2358,G2358,H2358)</f>
        <v>955</v>
      </c>
      <c r="J2358" s="1" t="str">
        <f aca="false">_xlfn.IFS(AND(F2358&gt;=8,G2358&gt;=8,H2358&gt;=8),"CHAMPION",AND(F2358&gt;=6,G2358&gt;=7,H2358&gt;=6),"LOYAL CUSTOMER",AND(F2358&gt;=6,G2358&gt;=5,H2358&gt;=5),"POTENTIAL LOYALIST",AND(F2358&gt;=8,G2358&lt;=2,H2358&gt;=5),"NEW CUSTOMERS",AND(F2358&gt;=6,G2358&lt;=2,H2358&gt;=3),"PROMISING",AND(F2358&gt;=3,G2358&gt;=3,H2358&gt;=3),"NEED ATTENTION",AND(F2358&lt;=4,G2358&gt;=6,H2358&gt;=6),"AT RISK",AND(F2358&lt;=2,G2358&gt;=8,H2358&gt;=8),"CAN'T LOSE THEM",AND(F2358&lt;=2,G2358&lt;=2,H2358&lt;=2),"HIBERNATING",TRUE(),"Other")</f>
        <v>POTENTIAL LOYALIST</v>
      </c>
      <c r="K2358" s="1" t="n">
        <f aca="false">RANK(E2358,$E$7:$E$4378)+COUNTIF($E$7:E2358,E2358)-1</f>
        <v>1881</v>
      </c>
    </row>
    <row r="2359" customFormat="false" ht="14.25" hidden="false" customHeight="true" outlineLevel="0" collapsed="false">
      <c r="A2359" s="51" t="n">
        <v>15526</v>
      </c>
      <c r="B2359" s="53" t="n">
        <v>40853.6277777778</v>
      </c>
      <c r="C2359" s="57" t="n">
        <f aca="false">INT($C$2)-INT(Table3[[#This Row],[Last Purchase Date]])</f>
        <v>34</v>
      </c>
      <c r="D2359" s="1" t="n">
        <v>2</v>
      </c>
      <c r="E2359" s="1" t="n">
        <v>148.44</v>
      </c>
      <c r="F2359" s="1" t="n">
        <f aca="false">ROUND((1-_xlfn.PERCENTRANK.INC($C$7:$C$4378,C2359))*9,0)</f>
        <v>5</v>
      </c>
      <c r="G2359" s="1" t="n">
        <f aca="false">ROUND(_xlfn.PERCENTRANK.INC($D$7:$D$4378,D2359)*9,0)</f>
        <v>3</v>
      </c>
      <c r="H2359" s="1" t="n">
        <f aca="false">ROUND(_xlfn.PERCENTRANK.INC($E$7:$E$4378,E2359)*9,0)</f>
        <v>1</v>
      </c>
      <c r="I2359" s="1" t="str">
        <f aca="false">CONCATENATE(F2359,G2359,H2359)</f>
        <v>531</v>
      </c>
      <c r="J2359" s="1" t="str">
        <f aca="false">_xlfn.IFS(AND(F2359&gt;=8,G2359&gt;=8,H2359&gt;=8),"CHAMPION",AND(F2359&gt;=6,G2359&gt;=7,H2359&gt;=6),"LOYAL CUSTOMER",AND(F2359&gt;=6,G2359&gt;=5,H2359&gt;=5),"POTENTIAL LOYALIST",AND(F2359&gt;=8,G2359&lt;=2,H2359&gt;=5),"NEW CUSTOMERS",AND(F2359&gt;=6,G2359&lt;=2,H2359&gt;=3),"PROMISING",AND(F2359&gt;=3,G2359&gt;=3,H2359&gt;=3),"NEED ATTENTION",AND(F2359&lt;=4,G2359&gt;=6,H2359&gt;=6),"AT RISK",AND(F2359&lt;=2,G2359&gt;=8,H2359&gt;=8),"CAN'T LOSE THEM",AND(F2359&lt;=2,G2359&lt;=2,H2359&lt;=2),"HIBERNATING",TRUE(),"Other")</f>
        <v>Other</v>
      </c>
      <c r="K2359" s="1" t="n">
        <f aca="false">RANK(E2359,$E$7:$E$4378)+COUNTIF($E$7:E2359,E2359)-1</f>
        <v>3926</v>
      </c>
    </row>
    <row r="2360" customFormat="false" ht="14.25" hidden="false" customHeight="true" outlineLevel="0" collapsed="false">
      <c r="A2360" s="51" t="n">
        <v>15527</v>
      </c>
      <c r="B2360" s="53" t="n">
        <v>40868.5118055556</v>
      </c>
      <c r="C2360" s="57" t="n">
        <f aca="false">INT($C$2)-INT(Table3[[#This Row],[Last Purchase Date]])</f>
        <v>19</v>
      </c>
      <c r="D2360" s="1" t="n">
        <v>10</v>
      </c>
      <c r="E2360" s="1" t="n">
        <v>2348.82</v>
      </c>
      <c r="F2360" s="1" t="n">
        <f aca="false">ROUND((1-_xlfn.PERCENTRANK.INC($C$7:$C$4378,C2360))*9,0)</f>
        <v>7</v>
      </c>
      <c r="G2360" s="1" t="n">
        <f aca="false">ROUND(_xlfn.PERCENTRANK.INC($D$7:$D$4378,D2360)*9,0)</f>
        <v>8</v>
      </c>
      <c r="H2360" s="1" t="n">
        <f aca="false">ROUND(_xlfn.PERCENTRANK.INC($E$7:$E$4378,E2360)*9,0)</f>
        <v>8</v>
      </c>
      <c r="I2360" s="1" t="str">
        <f aca="false">CONCATENATE(F2360,G2360,H2360)</f>
        <v>788</v>
      </c>
      <c r="J2360" s="1" t="str">
        <f aca="false">_xlfn.IFS(AND(F2360&gt;=8,G2360&gt;=8,H2360&gt;=8),"CHAMPION",AND(F2360&gt;=6,G2360&gt;=7,H2360&gt;=6),"LOYAL CUSTOMER",AND(F2360&gt;=6,G2360&gt;=5,H2360&gt;=5),"POTENTIAL LOYALIST",AND(F2360&gt;=8,G2360&lt;=2,H2360&gt;=5),"NEW CUSTOMERS",AND(F2360&gt;=6,G2360&lt;=2,H2360&gt;=3),"PROMISING",AND(F2360&gt;=3,G2360&gt;=3,H2360&gt;=3),"NEED ATTENTION",AND(F2360&lt;=4,G2360&gt;=6,H2360&gt;=6),"AT RISK",AND(F2360&lt;=2,G2360&gt;=8,H2360&gt;=8),"CAN'T LOSE THEM",AND(F2360&lt;=2,G2360&lt;=2,H2360&lt;=2),"HIBERNATING",TRUE(),"Other")</f>
        <v>LOYAL CUSTOMER</v>
      </c>
      <c r="K2360" s="1" t="n">
        <f aca="false">RANK(E2360,$E$7:$E$4378)+COUNTIF($E$7:E2360,E2360)-1</f>
        <v>727</v>
      </c>
    </row>
    <row r="2361" customFormat="false" ht="14.25" hidden="false" customHeight="true" outlineLevel="0" collapsed="false">
      <c r="A2361" s="51" t="n">
        <v>15528</v>
      </c>
      <c r="B2361" s="53" t="n">
        <v>40632.6763888889</v>
      </c>
      <c r="C2361" s="57" t="n">
        <f aca="false">INT($C$2)-INT(Table3[[#This Row],[Last Purchase Date]])</f>
        <v>255</v>
      </c>
      <c r="D2361" s="1" t="n">
        <v>1</v>
      </c>
      <c r="E2361" s="1" t="n">
        <v>229.33</v>
      </c>
      <c r="F2361" s="1" t="n">
        <f aca="false">ROUND((1-_xlfn.PERCENTRANK.INC($C$7:$C$4378,C2361))*9,0)</f>
        <v>1</v>
      </c>
      <c r="G2361" s="1" t="n">
        <f aca="false">ROUND(_xlfn.PERCENTRANK.INC($D$7:$D$4378,D2361)*9,0)</f>
        <v>0</v>
      </c>
      <c r="H2361" s="1" t="n">
        <f aca="false">ROUND(_xlfn.PERCENTRANK.INC($E$7:$E$4378,E2361)*9,0)</f>
        <v>2</v>
      </c>
      <c r="I2361" s="1" t="str">
        <f aca="false">CONCATENATE(F2361,G2361,H2361)</f>
        <v>102</v>
      </c>
      <c r="J2361" s="1" t="str">
        <f aca="false">_xlfn.IFS(AND(F2361&gt;=8,G2361&gt;=8,H2361&gt;=8),"CHAMPION",AND(F2361&gt;=6,G2361&gt;=7,H2361&gt;=6),"LOYAL CUSTOMER",AND(F2361&gt;=6,G2361&gt;=5,H2361&gt;=5),"POTENTIAL LOYALIST",AND(F2361&gt;=8,G2361&lt;=2,H2361&gt;=5),"NEW CUSTOMERS",AND(F2361&gt;=6,G2361&lt;=2,H2361&gt;=3),"PROMISING",AND(F2361&gt;=3,G2361&gt;=3,H2361&gt;=3),"NEED ATTENTION",AND(F2361&lt;=4,G2361&gt;=6,H2361&gt;=6),"AT RISK",AND(F2361&lt;=2,G2361&gt;=8,H2361&gt;=8),"CAN'T LOSE THEM",AND(F2361&lt;=2,G2361&lt;=2,H2361&lt;=2),"HIBERNATING",TRUE(),"Other")</f>
        <v>HIBERNATING</v>
      </c>
      <c r="K2361" s="1" t="n">
        <f aca="false">RANK(E2361,$E$7:$E$4378)+COUNTIF($E$7:E2361,E2361)-1</f>
        <v>3522</v>
      </c>
    </row>
    <row r="2362" customFormat="false" ht="14.25" hidden="false" customHeight="true" outlineLevel="0" collapsed="false">
      <c r="A2362" s="51" t="n">
        <v>15529</v>
      </c>
      <c r="B2362" s="53" t="n">
        <v>40864.4784722222</v>
      </c>
      <c r="C2362" s="57" t="n">
        <f aca="false">INT($C$2)-INT(Table3[[#This Row],[Last Purchase Date]])</f>
        <v>23</v>
      </c>
      <c r="D2362" s="1" t="n">
        <v>12</v>
      </c>
      <c r="E2362" s="1" t="n">
        <v>3967.78</v>
      </c>
      <c r="F2362" s="1" t="n">
        <f aca="false">ROUND((1-_xlfn.PERCENTRANK.INC($C$7:$C$4378,C2362))*9,0)</f>
        <v>6</v>
      </c>
      <c r="G2362" s="1" t="n">
        <f aca="false">ROUND(_xlfn.PERCENTRANK.INC($D$7:$D$4378,D2362)*9,0)</f>
        <v>8</v>
      </c>
      <c r="H2362" s="1" t="n">
        <f aca="false">ROUND(_xlfn.PERCENTRANK.INC($E$7:$E$4378,E2362)*9,0)</f>
        <v>8</v>
      </c>
      <c r="I2362" s="1" t="str">
        <f aca="false">CONCATENATE(F2362,G2362,H2362)</f>
        <v>688</v>
      </c>
      <c r="J2362" s="1" t="str">
        <f aca="false">_xlfn.IFS(AND(F2362&gt;=8,G2362&gt;=8,H2362&gt;=8),"CHAMPION",AND(F2362&gt;=6,G2362&gt;=7,H2362&gt;=6),"LOYAL CUSTOMER",AND(F2362&gt;=6,G2362&gt;=5,H2362&gt;=5),"POTENTIAL LOYALIST",AND(F2362&gt;=8,G2362&lt;=2,H2362&gt;=5),"NEW CUSTOMERS",AND(F2362&gt;=6,G2362&lt;=2,H2362&gt;=3),"PROMISING",AND(F2362&gt;=3,G2362&gt;=3,H2362&gt;=3),"NEED ATTENTION",AND(F2362&lt;=4,G2362&gt;=6,H2362&gt;=6),"AT RISK",AND(F2362&lt;=2,G2362&gt;=8,H2362&gt;=8),"CAN'T LOSE THEM",AND(F2362&lt;=2,G2362&lt;=2,H2362&lt;=2),"HIBERNATING",TRUE(),"Other")</f>
        <v>LOYAL CUSTOMER</v>
      </c>
      <c r="K2362" s="1" t="n">
        <f aca="false">RANK(E2362,$E$7:$E$4378)+COUNTIF($E$7:E2362,E2362)-1</f>
        <v>359</v>
      </c>
    </row>
    <row r="2363" customFormat="false" ht="14.25" hidden="false" customHeight="true" outlineLevel="0" collapsed="false">
      <c r="A2363" s="51" t="n">
        <v>15530</v>
      </c>
      <c r="B2363" s="53" t="n">
        <v>40865.5173611111</v>
      </c>
      <c r="C2363" s="57" t="n">
        <f aca="false">INT($C$2)-INT(Table3[[#This Row],[Last Purchase Date]])</f>
        <v>22</v>
      </c>
      <c r="D2363" s="1" t="n">
        <v>4</v>
      </c>
      <c r="E2363" s="1" t="n">
        <v>1502.35</v>
      </c>
      <c r="F2363" s="1" t="n">
        <f aca="false">ROUND((1-_xlfn.PERCENTRANK.INC($C$7:$C$4378,C2363))*9,0)</f>
        <v>6</v>
      </c>
      <c r="G2363" s="1" t="n">
        <f aca="false">ROUND(_xlfn.PERCENTRANK.INC($D$7:$D$4378,D2363)*9,0)</f>
        <v>5</v>
      </c>
      <c r="H2363" s="1" t="n">
        <f aca="false">ROUND(_xlfn.PERCENTRANK.INC($E$7:$E$4378,E2363)*9,0)</f>
        <v>7</v>
      </c>
      <c r="I2363" s="1" t="str">
        <f aca="false">CONCATENATE(F2363,G2363,H2363)</f>
        <v>657</v>
      </c>
      <c r="J2363" s="1" t="str">
        <f aca="false">_xlfn.IFS(AND(F2363&gt;=8,G2363&gt;=8,H2363&gt;=8),"CHAMPION",AND(F2363&gt;=6,G2363&gt;=7,H2363&gt;=6),"LOYAL CUSTOMER",AND(F2363&gt;=6,G2363&gt;=5,H2363&gt;=5),"POTENTIAL LOYALIST",AND(F2363&gt;=8,G2363&lt;=2,H2363&gt;=5),"NEW CUSTOMERS",AND(F2363&gt;=6,G2363&lt;=2,H2363&gt;=3),"PROMISING",AND(F2363&gt;=3,G2363&gt;=3,H2363&gt;=3),"NEED ATTENTION",AND(F2363&lt;=4,G2363&gt;=6,H2363&gt;=6),"AT RISK",AND(F2363&lt;=2,G2363&gt;=8,H2363&gt;=8),"CAN'T LOSE THEM",AND(F2363&lt;=2,G2363&lt;=2,H2363&lt;=2),"HIBERNATING",TRUE(),"Other")</f>
        <v>POTENTIAL LOYALIST</v>
      </c>
      <c r="K2363" s="1" t="n">
        <f aca="false">RANK(E2363,$E$7:$E$4378)+COUNTIF($E$7:E2363,E2363)-1</f>
        <v>1165</v>
      </c>
    </row>
    <row r="2364" customFormat="false" ht="14.25" hidden="false" customHeight="true" outlineLevel="0" collapsed="false">
      <c r="A2364" s="51" t="n">
        <v>15531</v>
      </c>
      <c r="B2364" s="53" t="n">
        <v>40878.7798611111</v>
      </c>
      <c r="C2364" s="57" t="n">
        <f aca="false">INT($C$2)-INT(Table3[[#This Row],[Last Purchase Date]])</f>
        <v>9</v>
      </c>
      <c r="D2364" s="1" t="n">
        <v>2</v>
      </c>
      <c r="E2364" s="1" t="n">
        <v>2007.44</v>
      </c>
      <c r="F2364" s="1" t="n">
        <f aca="false">ROUND((1-_xlfn.PERCENTRANK.INC($C$7:$C$4378,C2364))*9,0)</f>
        <v>8</v>
      </c>
      <c r="G2364" s="1" t="n">
        <f aca="false">ROUND(_xlfn.PERCENTRANK.INC($D$7:$D$4378,D2364)*9,0)</f>
        <v>3</v>
      </c>
      <c r="H2364" s="1" t="n">
        <f aca="false">ROUND(_xlfn.PERCENTRANK.INC($E$7:$E$4378,E2364)*9,0)</f>
        <v>7</v>
      </c>
      <c r="I2364" s="1" t="str">
        <f aca="false">CONCATENATE(F2364,G2364,H2364)</f>
        <v>837</v>
      </c>
      <c r="J2364" s="1" t="str">
        <f aca="false">_xlfn.IFS(AND(F2364&gt;=8,G2364&gt;=8,H2364&gt;=8),"CHAMPION",AND(F2364&gt;=6,G2364&gt;=7,H2364&gt;=6),"LOYAL CUSTOMER",AND(F2364&gt;=6,G2364&gt;=5,H2364&gt;=5),"POTENTIAL LOYALIST",AND(F2364&gt;=8,G2364&lt;=2,H2364&gt;=5),"NEW CUSTOMERS",AND(F2364&gt;=6,G2364&lt;=2,H2364&gt;=3),"PROMISING",AND(F2364&gt;=3,G2364&gt;=3,H2364&gt;=3),"NEED ATTENTION",AND(F2364&lt;=4,G2364&gt;=6,H2364&gt;=6),"AT RISK",AND(F2364&lt;=2,G2364&gt;=8,H2364&gt;=8),"CAN'T LOSE THEM",AND(F2364&lt;=2,G2364&lt;=2,H2364&lt;=2),"HIBERNATING",TRUE(),"Other")</f>
        <v>NEED ATTENTION</v>
      </c>
      <c r="K2364" s="1" t="n">
        <f aca="false">RANK(E2364,$E$7:$E$4378)+COUNTIF($E$7:E2364,E2364)-1</f>
        <v>870</v>
      </c>
    </row>
    <row r="2365" customFormat="false" ht="14.25" hidden="false" customHeight="true" outlineLevel="0" collapsed="false">
      <c r="A2365" s="51" t="n">
        <v>15532</v>
      </c>
      <c r="B2365" s="53" t="n">
        <v>40861.61875</v>
      </c>
      <c r="C2365" s="57" t="n">
        <f aca="false">INT($C$2)-INT(Table3[[#This Row],[Last Purchase Date]])</f>
        <v>26</v>
      </c>
      <c r="D2365" s="1" t="n">
        <v>6</v>
      </c>
      <c r="E2365" s="1" t="n">
        <v>1517.08</v>
      </c>
      <c r="F2365" s="1" t="n">
        <f aca="false">ROUND((1-_xlfn.PERCENTRANK.INC($C$7:$C$4378,C2365))*9,0)</f>
        <v>6</v>
      </c>
      <c r="G2365" s="1" t="n">
        <f aca="false">ROUND(_xlfn.PERCENTRANK.INC($D$7:$D$4378,D2365)*9,0)</f>
        <v>7</v>
      </c>
      <c r="H2365" s="1" t="n">
        <f aca="false">ROUND(_xlfn.PERCENTRANK.INC($E$7:$E$4378,E2365)*9,0)</f>
        <v>7</v>
      </c>
      <c r="I2365" s="1" t="str">
        <f aca="false">CONCATENATE(F2365,G2365,H2365)</f>
        <v>677</v>
      </c>
      <c r="J2365" s="1" t="str">
        <f aca="false">_xlfn.IFS(AND(F2365&gt;=8,G2365&gt;=8,H2365&gt;=8),"CHAMPION",AND(F2365&gt;=6,G2365&gt;=7,H2365&gt;=6),"LOYAL CUSTOMER",AND(F2365&gt;=6,G2365&gt;=5,H2365&gt;=5),"POTENTIAL LOYALIST",AND(F2365&gt;=8,G2365&lt;=2,H2365&gt;=5),"NEW CUSTOMERS",AND(F2365&gt;=6,G2365&lt;=2,H2365&gt;=3),"PROMISING",AND(F2365&gt;=3,G2365&gt;=3,H2365&gt;=3),"NEED ATTENTION",AND(F2365&lt;=4,G2365&gt;=6,H2365&gt;=6),"AT RISK",AND(F2365&lt;=2,G2365&gt;=8,H2365&gt;=8),"CAN'T LOSE THEM",AND(F2365&lt;=2,G2365&lt;=2,H2365&lt;=2),"HIBERNATING",TRUE(),"Other")</f>
        <v>LOYAL CUSTOMER</v>
      </c>
      <c r="K2365" s="1" t="n">
        <f aca="false">RANK(E2365,$E$7:$E$4378)+COUNTIF($E$7:E2365,E2365)-1</f>
        <v>1155</v>
      </c>
    </row>
    <row r="2366" customFormat="false" ht="14.25" hidden="false" customHeight="true" outlineLevel="0" collapsed="false">
      <c r="A2366" s="51" t="n">
        <v>15533</v>
      </c>
      <c r="B2366" s="53" t="n">
        <v>40867.6493055556</v>
      </c>
      <c r="C2366" s="57" t="n">
        <f aca="false">INT($C$2)-INT(Table3[[#This Row],[Last Purchase Date]])</f>
        <v>20</v>
      </c>
      <c r="D2366" s="1" t="n">
        <v>5</v>
      </c>
      <c r="E2366" s="1" t="n">
        <v>746.92</v>
      </c>
      <c r="F2366" s="1" t="n">
        <f aca="false">ROUND((1-_xlfn.PERCENTRANK.INC($C$7:$C$4378,C2366))*9,0)</f>
        <v>6</v>
      </c>
      <c r="G2366" s="1" t="n">
        <f aca="false">ROUND(_xlfn.PERCENTRANK.INC($D$7:$D$4378,D2366)*9,0)</f>
        <v>6</v>
      </c>
      <c r="H2366" s="1" t="n">
        <f aca="false">ROUND(_xlfn.PERCENTRANK.INC($E$7:$E$4378,E2366)*9,0)</f>
        <v>5</v>
      </c>
      <c r="I2366" s="1" t="str">
        <f aca="false">CONCATENATE(F2366,G2366,H2366)</f>
        <v>665</v>
      </c>
      <c r="J2366" s="1" t="str">
        <f aca="false">_xlfn.IFS(AND(F2366&gt;=8,G2366&gt;=8,H2366&gt;=8),"CHAMPION",AND(F2366&gt;=6,G2366&gt;=7,H2366&gt;=6),"LOYAL CUSTOMER",AND(F2366&gt;=6,G2366&gt;=5,H2366&gt;=5),"POTENTIAL LOYALIST",AND(F2366&gt;=8,G2366&lt;=2,H2366&gt;=5),"NEW CUSTOMERS",AND(F2366&gt;=6,G2366&lt;=2,H2366&gt;=3),"PROMISING",AND(F2366&gt;=3,G2366&gt;=3,H2366&gt;=3),"NEED ATTENTION",AND(F2366&lt;=4,G2366&gt;=6,H2366&gt;=6),"AT RISK",AND(F2366&lt;=2,G2366&gt;=8,H2366&gt;=8),"CAN'T LOSE THEM",AND(F2366&lt;=2,G2366&lt;=2,H2366&lt;=2),"HIBERNATING",TRUE(),"Other")</f>
        <v>POTENTIAL LOYALIST</v>
      </c>
      <c r="K2366" s="1" t="n">
        <f aca="false">RANK(E2366,$E$7:$E$4378)+COUNTIF($E$7:E2366,E2366)-1</f>
        <v>1982</v>
      </c>
    </row>
    <row r="2367" customFormat="false" ht="14.25" hidden="false" customHeight="true" outlineLevel="0" collapsed="false">
      <c r="A2367" s="51" t="n">
        <v>15535</v>
      </c>
      <c r="B2367" s="53" t="n">
        <v>40713.6680555556</v>
      </c>
      <c r="C2367" s="57" t="n">
        <f aca="false">INT($C$2)-INT(Table3[[#This Row],[Last Purchase Date]])</f>
        <v>174</v>
      </c>
      <c r="D2367" s="1" t="n">
        <v>7</v>
      </c>
      <c r="E2367" s="1" t="n">
        <v>459.9</v>
      </c>
      <c r="F2367" s="1" t="n">
        <f aca="false">ROUND((1-_xlfn.PERCENTRANK.INC($C$7:$C$4378,C2367))*9,0)</f>
        <v>2</v>
      </c>
      <c r="G2367" s="1" t="n">
        <f aca="false">ROUND(_xlfn.PERCENTRANK.INC($D$7:$D$4378,D2367)*9,0)</f>
        <v>7</v>
      </c>
      <c r="H2367" s="1" t="n">
        <f aca="false">ROUND(_xlfn.PERCENTRANK.INC($E$7:$E$4378,E2367)*9,0)</f>
        <v>4</v>
      </c>
      <c r="I2367" s="1" t="str">
        <f aca="false">CONCATENATE(F2367,G2367,H2367)</f>
        <v>274</v>
      </c>
      <c r="J2367" s="1" t="str">
        <f aca="false">_xlfn.IFS(AND(F2367&gt;=8,G2367&gt;=8,H2367&gt;=8),"CHAMPION",AND(F2367&gt;=6,G2367&gt;=7,H2367&gt;=6),"LOYAL CUSTOMER",AND(F2367&gt;=6,G2367&gt;=5,H2367&gt;=5),"POTENTIAL LOYALIST",AND(F2367&gt;=8,G2367&lt;=2,H2367&gt;=5),"NEW CUSTOMERS",AND(F2367&gt;=6,G2367&lt;=2,H2367&gt;=3),"PROMISING",AND(F2367&gt;=3,G2367&gt;=3,H2367&gt;=3),"NEED ATTENTION",AND(F2367&lt;=4,G2367&gt;=6,H2367&gt;=6),"AT RISK",AND(F2367&lt;=2,G2367&gt;=8,H2367&gt;=8),"CAN'T LOSE THEM",AND(F2367&lt;=2,G2367&lt;=2,H2367&lt;=2),"HIBERNATING",TRUE(),"Other")</f>
        <v>Other</v>
      </c>
      <c r="K2367" s="1" t="n">
        <f aca="false">RANK(E2367,$E$7:$E$4378)+COUNTIF($E$7:E2367,E2367)-1</f>
        <v>2640</v>
      </c>
    </row>
    <row r="2368" customFormat="false" ht="14.25" hidden="false" customHeight="true" outlineLevel="0" collapsed="false">
      <c r="A2368" s="51" t="n">
        <v>15537</v>
      </c>
      <c r="B2368" s="53" t="n">
        <v>40723.5486111111</v>
      </c>
      <c r="C2368" s="57" t="n">
        <f aca="false">INT($C$2)-INT(Table3[[#This Row],[Last Purchase Date]])</f>
        <v>164</v>
      </c>
      <c r="D2368" s="1" t="n">
        <v>1</v>
      </c>
      <c r="E2368" s="1" t="n">
        <v>110.92</v>
      </c>
      <c r="F2368" s="1" t="n">
        <f aca="false">ROUND((1-_xlfn.PERCENTRANK.INC($C$7:$C$4378,C2368))*9,0)</f>
        <v>2</v>
      </c>
      <c r="G2368" s="1" t="n">
        <f aca="false">ROUND(_xlfn.PERCENTRANK.INC($D$7:$D$4378,D2368)*9,0)</f>
        <v>0</v>
      </c>
      <c r="H2368" s="1" t="n">
        <f aca="false">ROUND(_xlfn.PERCENTRANK.INC($E$7:$E$4378,E2368)*9,0)</f>
        <v>1</v>
      </c>
      <c r="I2368" s="1" t="str">
        <f aca="false">CONCATENATE(F2368,G2368,H2368)</f>
        <v>201</v>
      </c>
      <c r="J2368" s="1" t="str">
        <f aca="false">_xlfn.IFS(AND(F2368&gt;=8,G2368&gt;=8,H2368&gt;=8),"CHAMPION",AND(F2368&gt;=6,G2368&gt;=7,H2368&gt;=6),"LOYAL CUSTOMER",AND(F2368&gt;=6,G2368&gt;=5,H2368&gt;=5),"POTENTIAL LOYALIST",AND(F2368&gt;=8,G2368&lt;=2,H2368&gt;=5),"NEW CUSTOMERS",AND(F2368&gt;=6,G2368&lt;=2,H2368&gt;=3),"PROMISING",AND(F2368&gt;=3,G2368&gt;=3,H2368&gt;=3),"NEED ATTENTION",AND(F2368&lt;=4,G2368&gt;=6,H2368&gt;=6),"AT RISK",AND(F2368&lt;=2,G2368&gt;=8,H2368&gt;=8),"CAN'T LOSE THEM",AND(F2368&lt;=2,G2368&lt;=2,H2368&lt;=2),"HIBERNATING",TRUE(),"Other")</f>
        <v>HIBERNATING</v>
      </c>
      <c r="K2368" s="1" t="n">
        <f aca="false">RANK(E2368,$E$7:$E$4378)+COUNTIF($E$7:E2368,E2368)-1</f>
        <v>4107</v>
      </c>
    </row>
    <row r="2369" customFormat="false" ht="14.25" hidden="false" customHeight="true" outlineLevel="0" collapsed="false">
      <c r="A2369" s="51" t="n">
        <v>15539</v>
      </c>
      <c r="B2369" s="53" t="n">
        <v>40879.5666666667</v>
      </c>
      <c r="C2369" s="57" t="n">
        <f aca="false">INT($C$2)-INT(Table3[[#This Row],[Last Purchase Date]])</f>
        <v>8</v>
      </c>
      <c r="D2369" s="1" t="n">
        <v>1</v>
      </c>
      <c r="E2369" s="1" t="n">
        <v>538.46</v>
      </c>
      <c r="F2369" s="1" t="n">
        <f aca="false">ROUND((1-_xlfn.PERCENTRANK.INC($C$7:$C$4378,C2369))*9,0)</f>
        <v>8</v>
      </c>
      <c r="G2369" s="1" t="n">
        <f aca="false">ROUND(_xlfn.PERCENTRANK.INC($D$7:$D$4378,D2369)*9,0)</f>
        <v>0</v>
      </c>
      <c r="H2369" s="1" t="n">
        <f aca="false">ROUND(_xlfn.PERCENTRANK.INC($E$7:$E$4378,E2369)*9,0)</f>
        <v>4</v>
      </c>
      <c r="I2369" s="1" t="str">
        <f aca="false">CONCATENATE(F2369,G2369,H2369)</f>
        <v>804</v>
      </c>
      <c r="J2369" s="1" t="str">
        <f aca="false">_xlfn.IFS(AND(F2369&gt;=8,G2369&gt;=8,H2369&gt;=8),"CHAMPION",AND(F2369&gt;=6,G2369&gt;=7,H2369&gt;=6),"LOYAL CUSTOMER",AND(F2369&gt;=6,G2369&gt;=5,H2369&gt;=5),"POTENTIAL LOYALIST",AND(F2369&gt;=8,G2369&lt;=2,H2369&gt;=5),"NEW CUSTOMERS",AND(F2369&gt;=6,G2369&lt;=2,H2369&gt;=3),"PROMISING",AND(F2369&gt;=3,G2369&gt;=3,H2369&gt;=3),"NEED ATTENTION",AND(F2369&lt;=4,G2369&gt;=6,H2369&gt;=6),"AT RISK",AND(F2369&lt;=2,G2369&gt;=8,H2369&gt;=8),"CAN'T LOSE THEM",AND(F2369&lt;=2,G2369&lt;=2,H2369&lt;=2),"HIBERNATING",TRUE(),"Other")</f>
        <v>PROMISING</v>
      </c>
      <c r="K2369" s="1" t="n">
        <f aca="false">RANK(E2369,$E$7:$E$4378)+COUNTIF($E$7:E2369,E2369)-1</f>
        <v>2459</v>
      </c>
    </row>
    <row r="2370" customFormat="false" ht="14.25" hidden="false" customHeight="true" outlineLevel="0" collapsed="false">
      <c r="A2370" s="51" t="n">
        <v>15540</v>
      </c>
      <c r="B2370" s="53" t="n">
        <v>40875.5770833333</v>
      </c>
      <c r="C2370" s="57" t="n">
        <f aca="false">INT($C$2)-INT(Table3[[#This Row],[Last Purchase Date]])</f>
        <v>12</v>
      </c>
      <c r="D2370" s="1" t="n">
        <v>1</v>
      </c>
      <c r="E2370" s="1" t="n">
        <v>213.3</v>
      </c>
      <c r="F2370" s="1" t="n">
        <f aca="false">ROUND((1-_xlfn.PERCENTRANK.INC($C$7:$C$4378,C2370))*9,0)</f>
        <v>7</v>
      </c>
      <c r="G2370" s="1" t="n">
        <f aca="false">ROUND(_xlfn.PERCENTRANK.INC($D$7:$D$4378,D2370)*9,0)</f>
        <v>0</v>
      </c>
      <c r="H2370" s="1" t="n">
        <f aca="false">ROUND(_xlfn.PERCENTRANK.INC($E$7:$E$4378,E2370)*9,0)</f>
        <v>2</v>
      </c>
      <c r="I2370" s="1" t="str">
        <f aca="false">CONCATENATE(F2370,G2370,H2370)</f>
        <v>702</v>
      </c>
      <c r="J2370" s="1" t="str">
        <f aca="false">_xlfn.IFS(AND(F2370&gt;=8,G2370&gt;=8,H2370&gt;=8),"CHAMPION",AND(F2370&gt;=6,G2370&gt;=7,H2370&gt;=6),"LOYAL CUSTOMER",AND(F2370&gt;=6,G2370&gt;=5,H2370&gt;=5),"POTENTIAL LOYALIST",AND(F2370&gt;=8,G2370&lt;=2,H2370&gt;=5),"NEW CUSTOMERS",AND(F2370&gt;=6,G2370&lt;=2,H2370&gt;=3),"PROMISING",AND(F2370&gt;=3,G2370&gt;=3,H2370&gt;=3),"NEED ATTENTION",AND(F2370&lt;=4,G2370&gt;=6,H2370&gt;=6),"AT RISK",AND(F2370&lt;=2,G2370&gt;=8,H2370&gt;=8),"CAN'T LOSE THEM",AND(F2370&lt;=2,G2370&lt;=2,H2370&lt;=2),"HIBERNATING",TRUE(),"Other")</f>
        <v>Other</v>
      </c>
      <c r="K2370" s="1" t="n">
        <f aca="false">RANK(E2370,$E$7:$E$4378)+COUNTIF($E$7:E2370,E2370)-1</f>
        <v>3601</v>
      </c>
    </row>
    <row r="2371" customFormat="false" ht="14.25" hidden="false" customHeight="true" outlineLevel="0" collapsed="false">
      <c r="A2371" s="51" t="n">
        <v>15541</v>
      </c>
      <c r="B2371" s="53" t="n">
        <v>40772.6236111111</v>
      </c>
      <c r="C2371" s="57" t="n">
        <f aca="false">INT($C$2)-INT(Table3[[#This Row],[Last Purchase Date]])</f>
        <v>115</v>
      </c>
      <c r="D2371" s="1" t="n">
        <v>1</v>
      </c>
      <c r="E2371" s="1" t="n">
        <v>85.13</v>
      </c>
      <c r="F2371" s="1" t="n">
        <f aca="false">ROUND((1-_xlfn.PERCENTRANK.INC($C$7:$C$4378,C2371))*9,0)</f>
        <v>3</v>
      </c>
      <c r="G2371" s="1" t="n">
        <f aca="false">ROUND(_xlfn.PERCENTRANK.INC($D$7:$D$4378,D2371)*9,0)</f>
        <v>0</v>
      </c>
      <c r="H2371" s="1" t="n">
        <f aca="false">ROUND(_xlfn.PERCENTRANK.INC($E$7:$E$4378,E2371)*9,0)</f>
        <v>0</v>
      </c>
      <c r="I2371" s="1" t="str">
        <f aca="false">CONCATENATE(F2371,G2371,H2371)</f>
        <v>300</v>
      </c>
      <c r="J2371" s="1" t="str">
        <f aca="false">_xlfn.IFS(AND(F2371&gt;=8,G2371&gt;=8,H2371&gt;=8),"CHAMPION",AND(F2371&gt;=6,G2371&gt;=7,H2371&gt;=6),"LOYAL CUSTOMER",AND(F2371&gt;=6,G2371&gt;=5,H2371&gt;=5),"POTENTIAL LOYALIST",AND(F2371&gt;=8,G2371&lt;=2,H2371&gt;=5),"NEW CUSTOMERS",AND(F2371&gt;=6,G2371&lt;=2,H2371&gt;=3),"PROMISING",AND(F2371&gt;=3,G2371&gt;=3,H2371&gt;=3),"NEED ATTENTION",AND(F2371&lt;=4,G2371&gt;=6,H2371&gt;=6),"AT RISK",AND(F2371&lt;=2,G2371&gt;=8,H2371&gt;=8),"CAN'T LOSE THEM",AND(F2371&lt;=2,G2371&lt;=2,H2371&lt;=2),"HIBERNATING",TRUE(),"Other")</f>
        <v>Other</v>
      </c>
      <c r="K2371" s="1" t="n">
        <f aca="false">RANK(E2371,$E$7:$E$4378)+COUNTIF($E$7:E2371,E2371)-1</f>
        <v>4206</v>
      </c>
    </row>
    <row r="2372" customFormat="false" ht="14.25" hidden="false" customHeight="true" outlineLevel="0" collapsed="false">
      <c r="A2372" s="51" t="n">
        <v>15543</v>
      </c>
      <c r="B2372" s="53" t="n">
        <v>40598.6430555556</v>
      </c>
      <c r="C2372" s="57" t="n">
        <f aca="false">INT($C$2)-INT(Table3[[#This Row],[Last Purchase Date]])</f>
        <v>289</v>
      </c>
      <c r="D2372" s="1" t="n">
        <v>1</v>
      </c>
      <c r="E2372" s="1" t="n">
        <v>127.86</v>
      </c>
      <c r="F2372" s="1" t="n">
        <f aca="false">ROUND((1-_xlfn.PERCENTRANK.INC($C$7:$C$4378,C2372))*9,0)</f>
        <v>1</v>
      </c>
      <c r="G2372" s="1" t="n">
        <f aca="false">ROUND(_xlfn.PERCENTRANK.INC($D$7:$D$4378,D2372)*9,0)</f>
        <v>0</v>
      </c>
      <c r="H2372" s="1" t="n">
        <f aca="false">ROUND(_xlfn.PERCENTRANK.INC($E$7:$E$4378,E2372)*9,0)</f>
        <v>1</v>
      </c>
      <c r="I2372" s="1" t="str">
        <f aca="false">CONCATENATE(F2372,G2372,H2372)</f>
        <v>101</v>
      </c>
      <c r="J2372" s="1" t="str">
        <f aca="false">_xlfn.IFS(AND(F2372&gt;=8,G2372&gt;=8,H2372&gt;=8),"CHAMPION",AND(F2372&gt;=6,G2372&gt;=7,H2372&gt;=6),"LOYAL CUSTOMER",AND(F2372&gt;=6,G2372&gt;=5,H2372&gt;=5),"POTENTIAL LOYALIST",AND(F2372&gt;=8,G2372&lt;=2,H2372&gt;=5),"NEW CUSTOMERS",AND(F2372&gt;=6,G2372&lt;=2,H2372&gt;=3),"PROMISING",AND(F2372&gt;=3,G2372&gt;=3,H2372&gt;=3),"NEED ATTENTION",AND(F2372&lt;=4,G2372&gt;=6,H2372&gt;=6),"AT RISK",AND(F2372&lt;=2,G2372&gt;=8,H2372&gt;=8),"CAN'T LOSE THEM",AND(F2372&lt;=2,G2372&lt;=2,H2372&lt;=2),"HIBERNATING",TRUE(),"Other")</f>
        <v>HIBERNATING</v>
      </c>
      <c r="K2372" s="1" t="n">
        <f aca="false">RANK(E2372,$E$7:$E$4378)+COUNTIF($E$7:E2372,E2372)-1</f>
        <v>4011</v>
      </c>
    </row>
    <row r="2373" customFormat="false" ht="14.25" hidden="false" customHeight="true" outlineLevel="0" collapsed="false">
      <c r="A2373" s="51" t="n">
        <v>15544</v>
      </c>
      <c r="B2373" s="53" t="n">
        <v>40878.3861111111</v>
      </c>
      <c r="C2373" s="57" t="n">
        <f aca="false">INT($C$2)-INT(Table3[[#This Row],[Last Purchase Date]])</f>
        <v>9</v>
      </c>
      <c r="D2373" s="1" t="n">
        <v>11</v>
      </c>
      <c r="E2373" s="1" t="n">
        <v>3542.51</v>
      </c>
      <c r="F2373" s="1" t="n">
        <f aca="false">ROUND((1-_xlfn.PERCENTRANK.INC($C$7:$C$4378,C2373))*9,0)</f>
        <v>8</v>
      </c>
      <c r="G2373" s="1" t="n">
        <f aca="false">ROUND(_xlfn.PERCENTRANK.INC($D$7:$D$4378,D2373)*9,0)</f>
        <v>8</v>
      </c>
      <c r="H2373" s="1" t="n">
        <f aca="false">ROUND(_xlfn.PERCENTRANK.INC($E$7:$E$4378,E2373)*9,0)</f>
        <v>8</v>
      </c>
      <c r="I2373" s="1" t="str">
        <f aca="false">CONCATENATE(F2373,G2373,H2373)</f>
        <v>888</v>
      </c>
      <c r="J2373" s="1" t="str">
        <f aca="false">_xlfn.IFS(AND(F2373&gt;=8,G2373&gt;=8,H2373&gt;=8),"CHAMPION",AND(F2373&gt;=6,G2373&gt;=7,H2373&gt;=6),"LOYAL CUSTOMER",AND(F2373&gt;=6,G2373&gt;=5,H2373&gt;=5),"POTENTIAL LOYALIST",AND(F2373&gt;=8,G2373&lt;=2,H2373&gt;=5),"NEW CUSTOMERS",AND(F2373&gt;=6,G2373&lt;=2,H2373&gt;=3),"PROMISING",AND(F2373&gt;=3,G2373&gt;=3,H2373&gt;=3),"NEED ATTENTION",AND(F2373&lt;=4,G2373&gt;=6,H2373&gt;=6),"AT RISK",AND(F2373&lt;=2,G2373&gt;=8,H2373&gt;=8),"CAN'T LOSE THEM",AND(F2373&lt;=2,G2373&lt;=2,H2373&lt;=2),"HIBERNATING",TRUE(),"Other")</f>
        <v>CHAMPION</v>
      </c>
      <c r="K2373" s="1" t="n">
        <f aca="false">RANK(E2373,$E$7:$E$4378)+COUNTIF($E$7:E2373,E2373)-1</f>
        <v>430</v>
      </c>
    </row>
    <row r="2374" customFormat="false" ht="14.25" hidden="false" customHeight="true" outlineLevel="0" collapsed="false">
      <c r="A2374" s="51" t="n">
        <v>15545</v>
      </c>
      <c r="B2374" s="53" t="n">
        <v>40832.5583333333</v>
      </c>
      <c r="C2374" s="57" t="n">
        <f aca="false">INT($C$2)-INT(Table3[[#This Row],[Last Purchase Date]])</f>
        <v>55</v>
      </c>
      <c r="D2374" s="1" t="n">
        <v>2</v>
      </c>
      <c r="E2374" s="1" t="n">
        <v>292.72</v>
      </c>
      <c r="F2374" s="1" t="n">
        <f aca="false">ROUND((1-_xlfn.PERCENTRANK.INC($C$7:$C$4378,C2374))*9,0)</f>
        <v>4</v>
      </c>
      <c r="G2374" s="1" t="n">
        <f aca="false">ROUND(_xlfn.PERCENTRANK.INC($D$7:$D$4378,D2374)*9,0)</f>
        <v>3</v>
      </c>
      <c r="H2374" s="1" t="n">
        <f aca="false">ROUND(_xlfn.PERCENTRANK.INC($E$7:$E$4378,E2374)*9,0)</f>
        <v>2</v>
      </c>
      <c r="I2374" s="1" t="str">
        <f aca="false">CONCATENATE(F2374,G2374,H2374)</f>
        <v>432</v>
      </c>
      <c r="J2374" s="1" t="str">
        <f aca="false">_xlfn.IFS(AND(F2374&gt;=8,G2374&gt;=8,H2374&gt;=8),"CHAMPION",AND(F2374&gt;=6,G2374&gt;=7,H2374&gt;=6),"LOYAL CUSTOMER",AND(F2374&gt;=6,G2374&gt;=5,H2374&gt;=5),"POTENTIAL LOYALIST",AND(F2374&gt;=8,G2374&lt;=2,H2374&gt;=5),"NEW CUSTOMERS",AND(F2374&gt;=6,G2374&lt;=2,H2374&gt;=3),"PROMISING",AND(F2374&gt;=3,G2374&gt;=3,H2374&gt;=3),"NEED ATTENTION",AND(F2374&lt;=4,G2374&gt;=6,H2374&gt;=6),"AT RISK",AND(F2374&lt;=2,G2374&gt;=8,H2374&gt;=8),"CAN'T LOSE THEM",AND(F2374&lt;=2,G2374&lt;=2,H2374&lt;=2),"HIBERNATING",TRUE(),"Other")</f>
        <v>Other</v>
      </c>
      <c r="K2374" s="1" t="n">
        <f aca="false">RANK(E2374,$E$7:$E$4378)+COUNTIF($E$7:E2374,E2374)-1</f>
        <v>3281</v>
      </c>
    </row>
    <row r="2375" customFormat="false" ht="14.25" hidden="false" customHeight="true" outlineLevel="0" collapsed="false">
      <c r="A2375" s="51" t="n">
        <v>15547</v>
      </c>
      <c r="B2375" s="53" t="n">
        <v>40879.5361111111</v>
      </c>
      <c r="C2375" s="57" t="n">
        <f aca="false">INT($C$2)-INT(Table3[[#This Row],[Last Purchase Date]])</f>
        <v>8</v>
      </c>
      <c r="D2375" s="1" t="n">
        <v>14</v>
      </c>
      <c r="E2375" s="1" t="n">
        <v>4954.83999999999</v>
      </c>
      <c r="F2375" s="1" t="n">
        <f aca="false">ROUND((1-_xlfn.PERCENTRANK.INC($C$7:$C$4378,C2375))*9,0)</f>
        <v>8</v>
      </c>
      <c r="G2375" s="1" t="n">
        <f aca="false">ROUND(_xlfn.PERCENTRANK.INC($D$7:$D$4378,D2375)*9,0)</f>
        <v>8</v>
      </c>
      <c r="H2375" s="1" t="n">
        <f aca="false">ROUND(_xlfn.PERCENTRANK.INC($E$7:$E$4378,E2375)*9,0)</f>
        <v>8</v>
      </c>
      <c r="I2375" s="1" t="str">
        <f aca="false">CONCATENATE(F2375,G2375,H2375)</f>
        <v>888</v>
      </c>
      <c r="J2375" s="1" t="str">
        <f aca="false">_xlfn.IFS(AND(F2375&gt;=8,G2375&gt;=8,H2375&gt;=8),"CHAMPION",AND(F2375&gt;=6,G2375&gt;=7,H2375&gt;=6),"LOYAL CUSTOMER",AND(F2375&gt;=6,G2375&gt;=5,H2375&gt;=5),"POTENTIAL LOYALIST",AND(F2375&gt;=8,G2375&lt;=2,H2375&gt;=5),"NEW CUSTOMERS",AND(F2375&gt;=6,G2375&lt;=2,H2375&gt;=3),"PROMISING",AND(F2375&gt;=3,G2375&gt;=3,H2375&gt;=3),"NEED ATTENTION",AND(F2375&lt;=4,G2375&gt;=6,H2375&gt;=6),"AT RISK",AND(F2375&lt;=2,G2375&gt;=8,H2375&gt;=8),"CAN'T LOSE THEM",AND(F2375&lt;=2,G2375&lt;=2,H2375&lt;=2),"HIBERNATING",TRUE(),"Other")</f>
        <v>CHAMPION</v>
      </c>
      <c r="K2375" s="1" t="n">
        <f aca="false">RANK(E2375,$E$7:$E$4378)+COUNTIF($E$7:E2375,E2375)-1</f>
        <v>265</v>
      </c>
    </row>
    <row r="2376" customFormat="false" ht="14.25" hidden="false" customHeight="true" outlineLevel="0" collapsed="false">
      <c r="A2376" s="51" t="n">
        <v>15549</v>
      </c>
      <c r="B2376" s="53" t="n">
        <v>40809.6819444444</v>
      </c>
      <c r="C2376" s="57" t="n">
        <f aca="false">INT($C$2)-INT(Table3[[#This Row],[Last Purchase Date]])</f>
        <v>78</v>
      </c>
      <c r="D2376" s="1" t="n">
        <v>4</v>
      </c>
      <c r="E2376" s="1" t="n">
        <v>1655.76</v>
      </c>
      <c r="F2376" s="1" t="n">
        <f aca="false">ROUND((1-_xlfn.PERCENTRANK.INC($C$7:$C$4378,C2376))*9,0)</f>
        <v>3</v>
      </c>
      <c r="G2376" s="1" t="n">
        <f aca="false">ROUND(_xlfn.PERCENTRANK.INC($D$7:$D$4378,D2376)*9,0)</f>
        <v>5</v>
      </c>
      <c r="H2376" s="1" t="n">
        <f aca="false">ROUND(_xlfn.PERCENTRANK.INC($E$7:$E$4378,E2376)*9,0)</f>
        <v>7</v>
      </c>
      <c r="I2376" s="1" t="str">
        <f aca="false">CONCATENATE(F2376,G2376,H2376)</f>
        <v>357</v>
      </c>
      <c r="J2376" s="1" t="str">
        <f aca="false">_xlfn.IFS(AND(F2376&gt;=8,G2376&gt;=8,H2376&gt;=8),"CHAMPION",AND(F2376&gt;=6,G2376&gt;=7,H2376&gt;=6),"LOYAL CUSTOMER",AND(F2376&gt;=6,G2376&gt;=5,H2376&gt;=5),"POTENTIAL LOYALIST",AND(F2376&gt;=8,G2376&lt;=2,H2376&gt;=5),"NEW CUSTOMERS",AND(F2376&gt;=6,G2376&lt;=2,H2376&gt;=3),"PROMISING",AND(F2376&gt;=3,G2376&gt;=3,H2376&gt;=3),"NEED ATTENTION",AND(F2376&lt;=4,G2376&gt;=6,H2376&gt;=6),"AT RISK",AND(F2376&lt;=2,G2376&gt;=8,H2376&gt;=8),"CAN'T LOSE THEM",AND(F2376&lt;=2,G2376&lt;=2,H2376&lt;=2),"HIBERNATING",TRUE(),"Other")</f>
        <v>NEED ATTENTION</v>
      </c>
      <c r="K2376" s="1" t="n">
        <f aca="false">RANK(E2376,$E$7:$E$4378)+COUNTIF($E$7:E2376,E2376)-1</f>
        <v>1064</v>
      </c>
    </row>
    <row r="2377" customFormat="false" ht="14.25" hidden="false" customHeight="true" outlineLevel="0" collapsed="false">
      <c r="A2377" s="51" t="n">
        <v>15550</v>
      </c>
      <c r="B2377" s="53" t="n">
        <v>40882.6513888889</v>
      </c>
      <c r="C2377" s="57" t="n">
        <f aca="false">INT($C$2)-INT(Table3[[#This Row],[Last Purchase Date]])</f>
        <v>5</v>
      </c>
      <c r="D2377" s="1" t="n">
        <v>4</v>
      </c>
      <c r="E2377" s="1" t="n">
        <v>575.63</v>
      </c>
      <c r="F2377" s="1" t="n">
        <f aca="false">ROUND((1-_xlfn.PERCENTRANK.INC($C$7:$C$4378,C2377))*9,0)</f>
        <v>8</v>
      </c>
      <c r="G2377" s="1" t="n">
        <f aca="false">ROUND(_xlfn.PERCENTRANK.INC($D$7:$D$4378,D2377)*9,0)</f>
        <v>5</v>
      </c>
      <c r="H2377" s="1" t="n">
        <f aca="false">ROUND(_xlfn.PERCENTRANK.INC($E$7:$E$4378,E2377)*9,0)</f>
        <v>4</v>
      </c>
      <c r="I2377" s="1" t="str">
        <f aca="false">CONCATENATE(F2377,G2377,H2377)</f>
        <v>854</v>
      </c>
      <c r="J2377" s="1" t="str">
        <f aca="false">_xlfn.IFS(AND(F2377&gt;=8,G2377&gt;=8,H2377&gt;=8),"CHAMPION",AND(F2377&gt;=6,G2377&gt;=7,H2377&gt;=6),"LOYAL CUSTOMER",AND(F2377&gt;=6,G2377&gt;=5,H2377&gt;=5),"POTENTIAL LOYALIST",AND(F2377&gt;=8,G2377&lt;=2,H2377&gt;=5),"NEW CUSTOMERS",AND(F2377&gt;=6,G2377&lt;=2,H2377&gt;=3),"PROMISING",AND(F2377&gt;=3,G2377&gt;=3,H2377&gt;=3),"NEED ATTENTION",AND(F2377&lt;=4,G2377&gt;=6,H2377&gt;=6),"AT RISK",AND(F2377&lt;=2,G2377&gt;=8,H2377&gt;=8),"CAN'T LOSE THEM",AND(F2377&lt;=2,G2377&lt;=2,H2377&lt;=2),"HIBERNATING",TRUE(),"Other")</f>
        <v>NEED ATTENTION</v>
      </c>
      <c r="K2377" s="1" t="n">
        <f aca="false">RANK(E2377,$E$7:$E$4378)+COUNTIF($E$7:E2377,E2377)-1</f>
        <v>2379</v>
      </c>
    </row>
    <row r="2378" customFormat="false" ht="14.25" hidden="false" customHeight="true" outlineLevel="0" collapsed="false">
      <c r="A2378" s="51" t="n">
        <v>15551</v>
      </c>
      <c r="B2378" s="53" t="n">
        <v>40850.5256944444</v>
      </c>
      <c r="C2378" s="57" t="n">
        <f aca="false">INT($C$2)-INT(Table3[[#This Row],[Last Purchase Date]])</f>
        <v>37</v>
      </c>
      <c r="D2378" s="1" t="n">
        <v>1</v>
      </c>
      <c r="E2378" s="1" t="n">
        <v>436.06</v>
      </c>
      <c r="F2378" s="1" t="n">
        <f aca="false">ROUND((1-_xlfn.PERCENTRANK.INC($C$7:$C$4378,C2378))*9,0)</f>
        <v>5</v>
      </c>
      <c r="G2378" s="1" t="n">
        <f aca="false">ROUND(_xlfn.PERCENTRANK.INC($D$7:$D$4378,D2378)*9,0)</f>
        <v>0</v>
      </c>
      <c r="H2378" s="1" t="n">
        <f aca="false">ROUND(_xlfn.PERCENTRANK.INC($E$7:$E$4378,E2378)*9,0)</f>
        <v>3</v>
      </c>
      <c r="I2378" s="1" t="str">
        <f aca="false">CONCATENATE(F2378,G2378,H2378)</f>
        <v>503</v>
      </c>
      <c r="J2378" s="1" t="str">
        <f aca="false">_xlfn.IFS(AND(F2378&gt;=8,G2378&gt;=8,H2378&gt;=8),"CHAMPION",AND(F2378&gt;=6,G2378&gt;=7,H2378&gt;=6),"LOYAL CUSTOMER",AND(F2378&gt;=6,G2378&gt;=5,H2378&gt;=5),"POTENTIAL LOYALIST",AND(F2378&gt;=8,G2378&lt;=2,H2378&gt;=5),"NEW CUSTOMERS",AND(F2378&gt;=6,G2378&lt;=2,H2378&gt;=3),"PROMISING",AND(F2378&gt;=3,G2378&gt;=3,H2378&gt;=3),"NEED ATTENTION",AND(F2378&lt;=4,G2378&gt;=6,H2378&gt;=6),"AT RISK",AND(F2378&lt;=2,G2378&gt;=8,H2378&gt;=8),"CAN'T LOSE THEM",AND(F2378&lt;=2,G2378&lt;=2,H2378&lt;=2),"HIBERNATING",TRUE(),"Other")</f>
        <v>Other</v>
      </c>
      <c r="K2378" s="1" t="n">
        <f aca="false">RANK(E2378,$E$7:$E$4378)+COUNTIF($E$7:E2378,E2378)-1</f>
        <v>2708</v>
      </c>
    </row>
    <row r="2379" customFormat="false" ht="14.25" hidden="false" customHeight="true" outlineLevel="0" collapsed="false">
      <c r="A2379" s="51" t="n">
        <v>15552</v>
      </c>
      <c r="B2379" s="53" t="n">
        <v>40669.6159722222</v>
      </c>
      <c r="C2379" s="57" t="n">
        <f aca="false">INT($C$2)-INT(Table3[[#This Row],[Last Purchase Date]])</f>
        <v>218</v>
      </c>
      <c r="D2379" s="1" t="n">
        <v>1</v>
      </c>
      <c r="E2379" s="1" t="n">
        <v>90.12</v>
      </c>
      <c r="F2379" s="1" t="n">
        <f aca="false">ROUND((1-_xlfn.PERCENTRANK.INC($C$7:$C$4378,C2379))*9,0)</f>
        <v>1</v>
      </c>
      <c r="G2379" s="1" t="n">
        <f aca="false">ROUND(_xlfn.PERCENTRANK.INC($D$7:$D$4378,D2379)*9,0)</f>
        <v>0</v>
      </c>
      <c r="H2379" s="1" t="n">
        <f aca="false">ROUND(_xlfn.PERCENTRANK.INC($E$7:$E$4378,E2379)*9,0)</f>
        <v>0</v>
      </c>
      <c r="I2379" s="1" t="str">
        <f aca="false">CONCATENATE(F2379,G2379,H2379)</f>
        <v>100</v>
      </c>
      <c r="J2379" s="1" t="str">
        <f aca="false">_xlfn.IFS(AND(F2379&gt;=8,G2379&gt;=8,H2379&gt;=8),"CHAMPION",AND(F2379&gt;=6,G2379&gt;=7,H2379&gt;=6),"LOYAL CUSTOMER",AND(F2379&gt;=6,G2379&gt;=5,H2379&gt;=5),"POTENTIAL LOYALIST",AND(F2379&gt;=8,G2379&lt;=2,H2379&gt;=5),"NEW CUSTOMERS",AND(F2379&gt;=6,G2379&lt;=2,H2379&gt;=3),"PROMISING",AND(F2379&gt;=3,G2379&gt;=3,H2379&gt;=3),"NEED ATTENTION",AND(F2379&lt;=4,G2379&gt;=6,H2379&gt;=6),"AT RISK",AND(F2379&lt;=2,G2379&gt;=8,H2379&gt;=8),"CAN'T LOSE THEM",AND(F2379&lt;=2,G2379&lt;=2,H2379&lt;=2),"HIBERNATING",TRUE(),"Other")</f>
        <v>HIBERNATING</v>
      </c>
      <c r="K2379" s="1" t="n">
        <f aca="false">RANK(E2379,$E$7:$E$4378)+COUNTIF($E$7:E2379,E2379)-1</f>
        <v>4193</v>
      </c>
    </row>
    <row r="2380" customFormat="false" ht="14.25" hidden="false" customHeight="true" outlineLevel="0" collapsed="false">
      <c r="A2380" s="51" t="n">
        <v>15553</v>
      </c>
      <c r="B2380" s="53" t="n">
        <v>40826.5847222222</v>
      </c>
      <c r="C2380" s="57" t="n">
        <f aca="false">INT($C$2)-INT(Table3[[#This Row],[Last Purchase Date]])</f>
        <v>61</v>
      </c>
      <c r="D2380" s="1" t="n">
        <v>1</v>
      </c>
      <c r="E2380" s="1" t="n">
        <v>437.23</v>
      </c>
      <c r="F2380" s="1" t="n">
        <f aca="false">ROUND((1-_xlfn.PERCENTRANK.INC($C$7:$C$4378,C2380))*9,0)</f>
        <v>4</v>
      </c>
      <c r="G2380" s="1" t="n">
        <f aca="false">ROUND(_xlfn.PERCENTRANK.INC($D$7:$D$4378,D2380)*9,0)</f>
        <v>0</v>
      </c>
      <c r="H2380" s="1" t="n">
        <f aca="false">ROUND(_xlfn.PERCENTRANK.INC($E$7:$E$4378,E2380)*9,0)</f>
        <v>3</v>
      </c>
      <c r="I2380" s="1" t="str">
        <f aca="false">CONCATENATE(F2380,G2380,H2380)</f>
        <v>403</v>
      </c>
      <c r="J2380" s="1" t="str">
        <f aca="false">_xlfn.IFS(AND(F2380&gt;=8,G2380&gt;=8,H2380&gt;=8),"CHAMPION",AND(F2380&gt;=6,G2380&gt;=7,H2380&gt;=6),"LOYAL CUSTOMER",AND(F2380&gt;=6,G2380&gt;=5,H2380&gt;=5),"POTENTIAL LOYALIST",AND(F2380&gt;=8,G2380&lt;=2,H2380&gt;=5),"NEW CUSTOMERS",AND(F2380&gt;=6,G2380&lt;=2,H2380&gt;=3),"PROMISING",AND(F2380&gt;=3,G2380&gt;=3,H2380&gt;=3),"NEED ATTENTION",AND(F2380&lt;=4,G2380&gt;=6,H2380&gt;=6),"AT RISK",AND(F2380&lt;=2,G2380&gt;=8,H2380&gt;=8),"CAN'T LOSE THEM",AND(F2380&lt;=2,G2380&lt;=2,H2380&lt;=2),"HIBERNATING",TRUE(),"Other")</f>
        <v>Other</v>
      </c>
      <c r="K2380" s="1" t="n">
        <f aca="false">RANK(E2380,$E$7:$E$4378)+COUNTIF($E$7:E2380,E2380)-1</f>
        <v>2706</v>
      </c>
    </row>
    <row r="2381" customFormat="false" ht="14.25" hidden="false" customHeight="true" outlineLevel="0" collapsed="false">
      <c r="A2381" s="51" t="n">
        <v>15554</v>
      </c>
      <c r="B2381" s="53" t="n">
        <v>40609.375</v>
      </c>
      <c r="C2381" s="57" t="n">
        <f aca="false">INT($C$2)-INT(Table3[[#This Row],[Last Purchase Date]])</f>
        <v>278</v>
      </c>
      <c r="D2381" s="1" t="n">
        <v>1</v>
      </c>
      <c r="E2381" s="1" t="n">
        <v>217.2</v>
      </c>
      <c r="F2381" s="1" t="n">
        <f aca="false">ROUND((1-_xlfn.PERCENTRANK.INC($C$7:$C$4378,C2381))*9,0)</f>
        <v>1</v>
      </c>
      <c r="G2381" s="1" t="n">
        <f aca="false">ROUND(_xlfn.PERCENTRANK.INC($D$7:$D$4378,D2381)*9,0)</f>
        <v>0</v>
      </c>
      <c r="H2381" s="1" t="n">
        <f aca="false">ROUND(_xlfn.PERCENTRANK.INC($E$7:$E$4378,E2381)*9,0)</f>
        <v>2</v>
      </c>
      <c r="I2381" s="1" t="str">
        <f aca="false">CONCATENATE(F2381,G2381,H2381)</f>
        <v>102</v>
      </c>
      <c r="J2381" s="1" t="str">
        <f aca="false">_xlfn.IFS(AND(F2381&gt;=8,G2381&gt;=8,H2381&gt;=8),"CHAMPION",AND(F2381&gt;=6,G2381&gt;=7,H2381&gt;=6),"LOYAL CUSTOMER",AND(F2381&gt;=6,G2381&gt;=5,H2381&gt;=5),"POTENTIAL LOYALIST",AND(F2381&gt;=8,G2381&lt;=2,H2381&gt;=5),"NEW CUSTOMERS",AND(F2381&gt;=6,G2381&lt;=2,H2381&gt;=3),"PROMISING",AND(F2381&gt;=3,G2381&gt;=3,H2381&gt;=3),"NEED ATTENTION",AND(F2381&lt;=4,G2381&gt;=6,H2381&gt;=6),"AT RISK",AND(F2381&lt;=2,G2381&gt;=8,H2381&gt;=8),"CAN'T LOSE THEM",AND(F2381&lt;=2,G2381&lt;=2,H2381&lt;=2),"HIBERNATING",TRUE(),"Other")</f>
        <v>HIBERNATING</v>
      </c>
      <c r="K2381" s="1" t="n">
        <f aca="false">RANK(E2381,$E$7:$E$4378)+COUNTIF($E$7:E2381,E2381)-1</f>
        <v>3572</v>
      </c>
    </row>
    <row r="2382" customFormat="false" ht="14.25" hidden="false" customHeight="true" outlineLevel="0" collapsed="false">
      <c r="A2382" s="51" t="n">
        <v>15555</v>
      </c>
      <c r="B2382" s="53" t="n">
        <v>40874.6798611111</v>
      </c>
      <c r="C2382" s="57" t="n">
        <f aca="false">INT($C$2)-INT(Table3[[#This Row],[Last Purchase Date]])</f>
        <v>13</v>
      </c>
      <c r="D2382" s="1" t="n">
        <v>20</v>
      </c>
      <c r="E2382" s="1" t="n">
        <v>4758.2</v>
      </c>
      <c r="F2382" s="1" t="n">
        <f aca="false">ROUND((1-_xlfn.PERCENTRANK.INC($C$7:$C$4378,C2382))*9,0)</f>
        <v>7</v>
      </c>
      <c r="G2382" s="1" t="n">
        <f aca="false">ROUND(_xlfn.PERCENTRANK.INC($D$7:$D$4378,D2382)*9,0)</f>
        <v>9</v>
      </c>
      <c r="H2382" s="1" t="n">
        <f aca="false">ROUND(_xlfn.PERCENTRANK.INC($E$7:$E$4378,E2382)*9,0)</f>
        <v>8</v>
      </c>
      <c r="I2382" s="1" t="str">
        <f aca="false">CONCATENATE(F2382,G2382,H2382)</f>
        <v>798</v>
      </c>
      <c r="J2382" s="1" t="str">
        <f aca="false">_xlfn.IFS(AND(F2382&gt;=8,G2382&gt;=8,H2382&gt;=8),"CHAMPION",AND(F2382&gt;=6,G2382&gt;=7,H2382&gt;=6),"LOYAL CUSTOMER",AND(F2382&gt;=6,G2382&gt;=5,H2382&gt;=5),"POTENTIAL LOYALIST",AND(F2382&gt;=8,G2382&lt;=2,H2382&gt;=5),"NEW CUSTOMERS",AND(F2382&gt;=6,G2382&lt;=2,H2382&gt;=3),"PROMISING",AND(F2382&gt;=3,G2382&gt;=3,H2382&gt;=3),"NEED ATTENTION",AND(F2382&lt;=4,G2382&gt;=6,H2382&gt;=6),"AT RISK",AND(F2382&lt;=2,G2382&gt;=8,H2382&gt;=8),"CAN'T LOSE THEM",AND(F2382&lt;=2,G2382&lt;=2,H2382&lt;=2),"HIBERNATING",TRUE(),"Other")</f>
        <v>LOYAL CUSTOMER</v>
      </c>
      <c r="K2382" s="1" t="n">
        <f aca="false">RANK(E2382,$E$7:$E$4378)+COUNTIF($E$7:E2382,E2382)-1</f>
        <v>280</v>
      </c>
    </row>
    <row r="2383" customFormat="false" ht="14.25" hidden="false" customHeight="true" outlineLevel="0" collapsed="false">
      <c r="A2383" s="51" t="n">
        <v>15556</v>
      </c>
      <c r="B2383" s="53" t="n">
        <v>40862.6722222222</v>
      </c>
      <c r="C2383" s="57" t="n">
        <f aca="false">INT($C$2)-INT(Table3[[#This Row],[Last Purchase Date]])</f>
        <v>25</v>
      </c>
      <c r="D2383" s="1" t="n">
        <v>1</v>
      </c>
      <c r="E2383" s="1" t="n">
        <v>279.77</v>
      </c>
      <c r="F2383" s="1" t="n">
        <f aca="false">ROUND((1-_xlfn.PERCENTRANK.INC($C$7:$C$4378,C2383))*9,0)</f>
        <v>6</v>
      </c>
      <c r="G2383" s="1" t="n">
        <f aca="false">ROUND(_xlfn.PERCENTRANK.INC($D$7:$D$4378,D2383)*9,0)</f>
        <v>0</v>
      </c>
      <c r="H2383" s="1" t="n">
        <f aca="false">ROUND(_xlfn.PERCENTRANK.INC($E$7:$E$4378,E2383)*9,0)</f>
        <v>2</v>
      </c>
      <c r="I2383" s="1" t="str">
        <f aca="false">CONCATENATE(F2383,G2383,H2383)</f>
        <v>602</v>
      </c>
      <c r="J2383" s="1" t="str">
        <f aca="false">_xlfn.IFS(AND(F2383&gt;=8,G2383&gt;=8,H2383&gt;=8),"CHAMPION",AND(F2383&gt;=6,G2383&gt;=7,H2383&gt;=6),"LOYAL CUSTOMER",AND(F2383&gt;=6,G2383&gt;=5,H2383&gt;=5),"POTENTIAL LOYALIST",AND(F2383&gt;=8,G2383&lt;=2,H2383&gt;=5),"NEW CUSTOMERS",AND(F2383&gt;=6,G2383&lt;=2,H2383&gt;=3),"PROMISING",AND(F2383&gt;=3,G2383&gt;=3,H2383&gt;=3),"NEED ATTENTION",AND(F2383&lt;=4,G2383&gt;=6,H2383&gt;=6),"AT RISK",AND(F2383&lt;=2,G2383&gt;=8,H2383&gt;=8),"CAN'T LOSE THEM",AND(F2383&lt;=2,G2383&lt;=2,H2383&lt;=2),"HIBERNATING",TRUE(),"Other")</f>
        <v>Other</v>
      </c>
      <c r="K2383" s="1" t="n">
        <f aca="false">RANK(E2383,$E$7:$E$4378)+COUNTIF($E$7:E2383,E2383)-1</f>
        <v>3329</v>
      </c>
    </row>
    <row r="2384" customFormat="false" ht="14.25" hidden="false" customHeight="true" outlineLevel="0" collapsed="false">
      <c r="A2384" s="51" t="n">
        <v>15557</v>
      </c>
      <c r="B2384" s="53" t="n">
        <v>40858.5319444445</v>
      </c>
      <c r="C2384" s="57" t="n">
        <f aca="false">INT($C$2)-INT(Table3[[#This Row],[Last Purchase Date]])</f>
        <v>29</v>
      </c>
      <c r="D2384" s="1" t="n">
        <v>1</v>
      </c>
      <c r="E2384" s="1" t="n">
        <v>473.65</v>
      </c>
      <c r="F2384" s="1" t="n">
        <f aca="false">ROUND((1-_xlfn.PERCENTRANK.INC($C$7:$C$4378,C2384))*9,0)</f>
        <v>6</v>
      </c>
      <c r="G2384" s="1" t="n">
        <f aca="false">ROUND(_xlfn.PERCENTRANK.INC($D$7:$D$4378,D2384)*9,0)</f>
        <v>0</v>
      </c>
      <c r="H2384" s="1" t="n">
        <f aca="false">ROUND(_xlfn.PERCENTRANK.INC($E$7:$E$4378,E2384)*9,0)</f>
        <v>4</v>
      </c>
      <c r="I2384" s="1" t="str">
        <f aca="false">CONCATENATE(F2384,G2384,H2384)</f>
        <v>604</v>
      </c>
      <c r="J2384" s="1" t="str">
        <f aca="false">_xlfn.IFS(AND(F2384&gt;=8,G2384&gt;=8,H2384&gt;=8),"CHAMPION",AND(F2384&gt;=6,G2384&gt;=7,H2384&gt;=6),"LOYAL CUSTOMER",AND(F2384&gt;=6,G2384&gt;=5,H2384&gt;=5),"POTENTIAL LOYALIST",AND(F2384&gt;=8,G2384&lt;=2,H2384&gt;=5),"NEW CUSTOMERS",AND(F2384&gt;=6,G2384&lt;=2,H2384&gt;=3),"PROMISING",AND(F2384&gt;=3,G2384&gt;=3,H2384&gt;=3),"NEED ATTENTION",AND(F2384&lt;=4,G2384&gt;=6,H2384&gt;=6),"AT RISK",AND(F2384&lt;=2,G2384&gt;=8,H2384&gt;=8),"CAN'T LOSE THEM",AND(F2384&lt;=2,G2384&lt;=2,H2384&lt;=2),"HIBERNATING",TRUE(),"Other")</f>
        <v>PROMISING</v>
      </c>
      <c r="K2384" s="1" t="n">
        <f aca="false">RANK(E2384,$E$7:$E$4378)+COUNTIF($E$7:E2384,E2384)-1</f>
        <v>2605</v>
      </c>
    </row>
    <row r="2385" customFormat="false" ht="14.25" hidden="false" customHeight="true" outlineLevel="0" collapsed="false">
      <c r="A2385" s="51" t="n">
        <v>15561</v>
      </c>
      <c r="B2385" s="53" t="n">
        <v>40875.4631944444</v>
      </c>
      <c r="C2385" s="57" t="n">
        <f aca="false">INT($C$2)-INT(Table3[[#This Row],[Last Purchase Date]])</f>
        <v>12</v>
      </c>
      <c r="D2385" s="1" t="n">
        <v>5</v>
      </c>
      <c r="E2385" s="1" t="n">
        <v>722.74</v>
      </c>
      <c r="F2385" s="1" t="n">
        <f aca="false">ROUND((1-_xlfn.PERCENTRANK.INC($C$7:$C$4378,C2385))*9,0)</f>
        <v>7</v>
      </c>
      <c r="G2385" s="1" t="n">
        <f aca="false">ROUND(_xlfn.PERCENTRANK.INC($D$7:$D$4378,D2385)*9,0)</f>
        <v>6</v>
      </c>
      <c r="H2385" s="1" t="n">
        <f aca="false">ROUND(_xlfn.PERCENTRANK.INC($E$7:$E$4378,E2385)*9,0)</f>
        <v>5</v>
      </c>
      <c r="I2385" s="1" t="str">
        <f aca="false">CONCATENATE(F2385,G2385,H2385)</f>
        <v>765</v>
      </c>
      <c r="J2385" s="1" t="str">
        <f aca="false">_xlfn.IFS(AND(F2385&gt;=8,G2385&gt;=8,H2385&gt;=8),"CHAMPION",AND(F2385&gt;=6,G2385&gt;=7,H2385&gt;=6),"LOYAL CUSTOMER",AND(F2385&gt;=6,G2385&gt;=5,H2385&gt;=5),"POTENTIAL LOYALIST",AND(F2385&gt;=8,G2385&lt;=2,H2385&gt;=5),"NEW CUSTOMERS",AND(F2385&gt;=6,G2385&lt;=2,H2385&gt;=3),"PROMISING",AND(F2385&gt;=3,G2385&gt;=3,H2385&gt;=3),"NEED ATTENTION",AND(F2385&lt;=4,G2385&gt;=6,H2385&gt;=6),"AT RISK",AND(F2385&lt;=2,G2385&gt;=8,H2385&gt;=8),"CAN'T LOSE THEM",AND(F2385&lt;=2,G2385&lt;=2,H2385&lt;=2),"HIBERNATING",TRUE(),"Other")</f>
        <v>POTENTIAL LOYALIST</v>
      </c>
      <c r="K2385" s="1" t="n">
        <f aca="false">RANK(E2385,$E$7:$E$4378)+COUNTIF($E$7:E2385,E2385)-1</f>
        <v>2021</v>
      </c>
    </row>
    <row r="2386" customFormat="false" ht="14.25" hidden="false" customHeight="true" outlineLevel="0" collapsed="false">
      <c r="A2386" s="51" t="n">
        <v>15562</v>
      </c>
      <c r="B2386" s="53" t="n">
        <v>40535.4131944445</v>
      </c>
      <c r="C2386" s="57" t="n">
        <f aca="false">INT($C$2)-INT(Table3[[#This Row],[Last Purchase Date]])</f>
        <v>352</v>
      </c>
      <c r="D2386" s="1" t="n">
        <v>1</v>
      </c>
      <c r="E2386" s="1" t="n">
        <v>134.55</v>
      </c>
      <c r="F2386" s="1" t="n">
        <f aca="false">ROUND((1-_xlfn.PERCENTRANK.INC($C$7:$C$4378,C2386))*9,0)</f>
        <v>0</v>
      </c>
      <c r="G2386" s="1" t="n">
        <f aca="false">ROUND(_xlfn.PERCENTRANK.INC($D$7:$D$4378,D2386)*9,0)</f>
        <v>0</v>
      </c>
      <c r="H2386" s="1" t="n">
        <f aca="false">ROUND(_xlfn.PERCENTRANK.INC($E$7:$E$4378,E2386)*9,0)</f>
        <v>1</v>
      </c>
      <c r="I2386" s="1" t="str">
        <f aca="false">CONCATENATE(F2386,G2386,H2386)</f>
        <v>001</v>
      </c>
      <c r="J2386" s="1" t="str">
        <f aca="false">_xlfn.IFS(AND(F2386&gt;=8,G2386&gt;=8,H2386&gt;=8),"CHAMPION",AND(F2386&gt;=6,G2386&gt;=7,H2386&gt;=6),"LOYAL CUSTOMER",AND(F2386&gt;=6,G2386&gt;=5,H2386&gt;=5),"POTENTIAL LOYALIST",AND(F2386&gt;=8,G2386&lt;=2,H2386&gt;=5),"NEW CUSTOMERS",AND(F2386&gt;=6,G2386&lt;=2,H2386&gt;=3),"PROMISING",AND(F2386&gt;=3,G2386&gt;=3,H2386&gt;=3),"NEED ATTENTION",AND(F2386&lt;=4,G2386&gt;=6,H2386&gt;=6),"AT RISK",AND(F2386&lt;=2,G2386&gt;=8,H2386&gt;=8),"CAN'T LOSE THEM",AND(F2386&lt;=2,G2386&lt;=2,H2386&lt;=2),"HIBERNATING",TRUE(),"Other")</f>
        <v>HIBERNATING</v>
      </c>
      <c r="K2386" s="1" t="n">
        <f aca="false">RANK(E2386,$E$7:$E$4378)+COUNTIF($E$7:E2386,E2386)-1</f>
        <v>3989</v>
      </c>
    </row>
    <row r="2387" customFormat="false" ht="14.25" hidden="false" customHeight="true" outlineLevel="0" collapsed="false">
      <c r="A2387" s="51" t="n">
        <v>15563</v>
      </c>
      <c r="B2387" s="53" t="n">
        <v>40878.4</v>
      </c>
      <c r="C2387" s="57" t="n">
        <f aca="false">INT($C$2)-INT(Table3[[#This Row],[Last Purchase Date]])</f>
        <v>9</v>
      </c>
      <c r="D2387" s="1" t="n">
        <v>7</v>
      </c>
      <c r="E2387" s="1" t="n">
        <v>1319.69</v>
      </c>
      <c r="F2387" s="1" t="n">
        <f aca="false">ROUND((1-_xlfn.PERCENTRANK.INC($C$7:$C$4378,C2387))*9,0)</f>
        <v>8</v>
      </c>
      <c r="G2387" s="1" t="n">
        <f aca="false">ROUND(_xlfn.PERCENTRANK.INC($D$7:$D$4378,D2387)*9,0)</f>
        <v>7</v>
      </c>
      <c r="H2387" s="1" t="n">
        <f aca="false">ROUND(_xlfn.PERCENTRANK.INC($E$7:$E$4378,E2387)*9,0)</f>
        <v>6</v>
      </c>
      <c r="I2387" s="1" t="str">
        <f aca="false">CONCATENATE(F2387,G2387,H2387)</f>
        <v>876</v>
      </c>
      <c r="J2387" s="1" t="str">
        <f aca="false">_xlfn.IFS(AND(F2387&gt;=8,G2387&gt;=8,H2387&gt;=8),"CHAMPION",AND(F2387&gt;=6,G2387&gt;=7,H2387&gt;=6),"LOYAL CUSTOMER",AND(F2387&gt;=6,G2387&gt;=5,H2387&gt;=5),"POTENTIAL LOYALIST",AND(F2387&gt;=8,G2387&lt;=2,H2387&gt;=5),"NEW CUSTOMERS",AND(F2387&gt;=6,G2387&lt;=2,H2387&gt;=3),"PROMISING",AND(F2387&gt;=3,G2387&gt;=3,H2387&gt;=3),"NEED ATTENTION",AND(F2387&lt;=4,G2387&gt;=6,H2387&gt;=6),"AT RISK",AND(F2387&lt;=2,G2387&gt;=8,H2387&gt;=8),"CAN'T LOSE THEM",AND(F2387&lt;=2,G2387&lt;=2,H2387&lt;=2),"HIBERNATING",TRUE(),"Other")</f>
        <v>LOYAL CUSTOMER</v>
      </c>
      <c r="K2387" s="1" t="n">
        <f aca="false">RANK(E2387,$E$7:$E$4378)+COUNTIF($E$7:E2387,E2387)-1</f>
        <v>1301</v>
      </c>
    </row>
    <row r="2388" customFormat="false" ht="14.25" hidden="false" customHeight="true" outlineLevel="0" collapsed="false">
      <c r="A2388" s="51" t="n">
        <v>15565</v>
      </c>
      <c r="B2388" s="53" t="n">
        <v>40836.60625</v>
      </c>
      <c r="C2388" s="57" t="n">
        <f aca="false">INT($C$2)-INT(Table3[[#This Row],[Last Purchase Date]])</f>
        <v>51</v>
      </c>
      <c r="D2388" s="1" t="n">
        <v>2</v>
      </c>
      <c r="E2388" s="1" t="n">
        <v>173.16</v>
      </c>
      <c r="F2388" s="1" t="n">
        <f aca="false">ROUND((1-_xlfn.PERCENTRANK.INC($C$7:$C$4378,C2388))*9,0)</f>
        <v>5</v>
      </c>
      <c r="G2388" s="1" t="n">
        <f aca="false">ROUND(_xlfn.PERCENTRANK.INC($D$7:$D$4378,D2388)*9,0)</f>
        <v>3</v>
      </c>
      <c r="H2388" s="1" t="n">
        <f aca="false">ROUND(_xlfn.PERCENTRANK.INC($E$7:$E$4378,E2388)*9,0)</f>
        <v>1</v>
      </c>
      <c r="I2388" s="1" t="str">
        <f aca="false">CONCATENATE(F2388,G2388,H2388)</f>
        <v>531</v>
      </c>
      <c r="J2388" s="1" t="str">
        <f aca="false">_xlfn.IFS(AND(F2388&gt;=8,G2388&gt;=8,H2388&gt;=8),"CHAMPION",AND(F2388&gt;=6,G2388&gt;=7,H2388&gt;=6),"LOYAL CUSTOMER",AND(F2388&gt;=6,G2388&gt;=5,H2388&gt;=5),"POTENTIAL LOYALIST",AND(F2388&gt;=8,G2388&lt;=2,H2388&gt;=5),"NEW CUSTOMERS",AND(F2388&gt;=6,G2388&lt;=2,H2388&gt;=3),"PROMISING",AND(F2388&gt;=3,G2388&gt;=3,H2388&gt;=3),"NEED ATTENTION",AND(F2388&lt;=4,G2388&gt;=6,H2388&gt;=6),"AT RISK",AND(F2388&lt;=2,G2388&gt;=8,H2388&gt;=8),"CAN'T LOSE THEM",AND(F2388&lt;=2,G2388&lt;=2,H2388&lt;=2),"HIBERNATING",TRUE(),"Other")</f>
        <v>Other</v>
      </c>
      <c r="K2388" s="1" t="n">
        <f aca="false">RANK(E2388,$E$7:$E$4378)+COUNTIF($E$7:E2388,E2388)-1</f>
        <v>3790</v>
      </c>
    </row>
    <row r="2389" customFormat="false" ht="14.25" hidden="false" customHeight="true" outlineLevel="0" collapsed="false">
      <c r="A2389" s="51" t="n">
        <v>15567</v>
      </c>
      <c r="B2389" s="53" t="n">
        <v>40868.45</v>
      </c>
      <c r="C2389" s="57" t="n">
        <f aca="false">INT($C$2)-INT(Table3[[#This Row],[Last Purchase Date]])</f>
        <v>19</v>
      </c>
      <c r="D2389" s="1" t="n">
        <v>1</v>
      </c>
      <c r="E2389" s="1" t="n">
        <v>186.01</v>
      </c>
      <c r="F2389" s="1" t="n">
        <f aca="false">ROUND((1-_xlfn.PERCENTRANK.INC($C$7:$C$4378,C2389))*9,0)</f>
        <v>7</v>
      </c>
      <c r="G2389" s="1" t="n">
        <f aca="false">ROUND(_xlfn.PERCENTRANK.INC($D$7:$D$4378,D2389)*9,0)</f>
        <v>0</v>
      </c>
      <c r="H2389" s="1" t="n">
        <f aca="false">ROUND(_xlfn.PERCENTRANK.INC($E$7:$E$4378,E2389)*9,0)</f>
        <v>1</v>
      </c>
      <c r="I2389" s="1" t="str">
        <f aca="false">CONCATENATE(F2389,G2389,H2389)</f>
        <v>701</v>
      </c>
      <c r="J2389" s="1" t="str">
        <f aca="false">_xlfn.IFS(AND(F2389&gt;=8,G2389&gt;=8,H2389&gt;=8),"CHAMPION",AND(F2389&gt;=6,G2389&gt;=7,H2389&gt;=6),"LOYAL CUSTOMER",AND(F2389&gt;=6,G2389&gt;=5,H2389&gt;=5),"POTENTIAL LOYALIST",AND(F2389&gt;=8,G2389&lt;=2,H2389&gt;=5),"NEW CUSTOMERS",AND(F2389&gt;=6,G2389&lt;=2,H2389&gt;=3),"PROMISING",AND(F2389&gt;=3,G2389&gt;=3,H2389&gt;=3),"NEED ATTENTION",AND(F2389&lt;=4,G2389&gt;=6,H2389&gt;=6),"AT RISK",AND(F2389&lt;=2,G2389&gt;=8,H2389&gt;=8),"CAN'T LOSE THEM",AND(F2389&lt;=2,G2389&lt;=2,H2389&lt;=2),"HIBERNATING",TRUE(),"Other")</f>
        <v>Other</v>
      </c>
      <c r="K2389" s="1" t="n">
        <f aca="false">RANK(E2389,$E$7:$E$4378)+COUNTIF($E$7:E2389,E2389)-1</f>
        <v>3724</v>
      </c>
    </row>
    <row r="2390" customFormat="false" ht="14.25" hidden="false" customHeight="true" outlineLevel="0" collapsed="false">
      <c r="A2390" s="51" t="n">
        <v>15568</v>
      </c>
      <c r="B2390" s="53" t="n">
        <v>40884.4770833333</v>
      </c>
      <c r="C2390" s="57" t="n">
        <f aca="false">INT($C$2)-INT(Table3[[#This Row],[Last Purchase Date]])</f>
        <v>3</v>
      </c>
      <c r="D2390" s="1" t="n">
        <v>3</v>
      </c>
      <c r="E2390" s="1" t="n">
        <v>758.29</v>
      </c>
      <c r="F2390" s="1" t="n">
        <f aca="false">ROUND((1-_xlfn.PERCENTRANK.INC($C$7:$C$4378,C2390))*9,0)</f>
        <v>9</v>
      </c>
      <c r="G2390" s="1" t="n">
        <f aca="false">ROUND(_xlfn.PERCENTRANK.INC($D$7:$D$4378,D2390)*9,0)</f>
        <v>4</v>
      </c>
      <c r="H2390" s="1" t="n">
        <f aca="false">ROUND(_xlfn.PERCENTRANK.INC($E$7:$E$4378,E2390)*9,0)</f>
        <v>5</v>
      </c>
      <c r="I2390" s="1" t="str">
        <f aca="false">CONCATENATE(F2390,G2390,H2390)</f>
        <v>945</v>
      </c>
      <c r="J2390" s="1" t="str">
        <f aca="false">_xlfn.IFS(AND(F2390&gt;=8,G2390&gt;=8,H2390&gt;=8),"CHAMPION",AND(F2390&gt;=6,G2390&gt;=7,H2390&gt;=6),"LOYAL CUSTOMER",AND(F2390&gt;=6,G2390&gt;=5,H2390&gt;=5),"POTENTIAL LOYALIST",AND(F2390&gt;=8,G2390&lt;=2,H2390&gt;=5),"NEW CUSTOMERS",AND(F2390&gt;=6,G2390&lt;=2,H2390&gt;=3),"PROMISING",AND(F2390&gt;=3,G2390&gt;=3,H2390&gt;=3),"NEED ATTENTION",AND(F2390&lt;=4,G2390&gt;=6,H2390&gt;=6),"AT RISK",AND(F2390&lt;=2,G2390&gt;=8,H2390&gt;=8),"CAN'T LOSE THEM",AND(F2390&lt;=2,G2390&lt;=2,H2390&lt;=2),"HIBERNATING",TRUE(),"Other")</f>
        <v>NEED ATTENTION</v>
      </c>
      <c r="K2390" s="1" t="n">
        <f aca="false">RANK(E2390,$E$7:$E$4378)+COUNTIF($E$7:E2390,E2390)-1</f>
        <v>1968</v>
      </c>
    </row>
    <row r="2391" customFormat="false" ht="14.25" hidden="false" customHeight="true" outlineLevel="0" collapsed="false">
      <c r="A2391" s="51" t="n">
        <v>15569</v>
      </c>
      <c r="B2391" s="53" t="n">
        <v>40783.4270833333</v>
      </c>
      <c r="C2391" s="57" t="n">
        <f aca="false">INT($C$2)-INT(Table3[[#This Row],[Last Purchase Date]])</f>
        <v>104</v>
      </c>
      <c r="D2391" s="1" t="n">
        <v>5</v>
      </c>
      <c r="E2391" s="1" t="n">
        <v>1375.71</v>
      </c>
      <c r="F2391" s="1" t="n">
        <f aca="false">ROUND((1-_xlfn.PERCENTRANK.INC($C$7:$C$4378,C2391))*9,0)</f>
        <v>3</v>
      </c>
      <c r="G2391" s="1" t="n">
        <f aca="false">ROUND(_xlfn.PERCENTRANK.INC($D$7:$D$4378,D2391)*9,0)</f>
        <v>6</v>
      </c>
      <c r="H2391" s="1" t="n">
        <f aca="false">ROUND(_xlfn.PERCENTRANK.INC($E$7:$E$4378,E2391)*9,0)</f>
        <v>6</v>
      </c>
      <c r="I2391" s="1" t="str">
        <f aca="false">CONCATENATE(F2391,G2391,H2391)</f>
        <v>366</v>
      </c>
      <c r="J2391" s="1" t="str">
        <f aca="false">_xlfn.IFS(AND(F2391&gt;=8,G2391&gt;=8,H2391&gt;=8),"CHAMPION",AND(F2391&gt;=6,G2391&gt;=7,H2391&gt;=6),"LOYAL CUSTOMER",AND(F2391&gt;=6,G2391&gt;=5,H2391&gt;=5),"POTENTIAL LOYALIST",AND(F2391&gt;=8,G2391&lt;=2,H2391&gt;=5),"NEW CUSTOMERS",AND(F2391&gt;=6,G2391&lt;=2,H2391&gt;=3),"PROMISING",AND(F2391&gt;=3,G2391&gt;=3,H2391&gt;=3),"NEED ATTENTION",AND(F2391&lt;=4,G2391&gt;=6,H2391&gt;=6),"AT RISK",AND(F2391&lt;=2,G2391&gt;=8,H2391&gt;=8),"CAN'T LOSE THEM",AND(F2391&lt;=2,G2391&lt;=2,H2391&lt;=2),"HIBERNATING",TRUE(),"Other")</f>
        <v>NEED ATTENTION</v>
      </c>
      <c r="K2391" s="1" t="n">
        <f aca="false">RANK(E2391,$E$7:$E$4378)+COUNTIF($E$7:E2391,E2391)-1</f>
        <v>1258</v>
      </c>
    </row>
    <row r="2392" customFormat="false" ht="14.25" hidden="false" customHeight="true" outlineLevel="0" collapsed="false">
      <c r="A2392" s="51" t="n">
        <v>15570</v>
      </c>
      <c r="B2392" s="53" t="n">
        <v>40879.6159722222</v>
      </c>
      <c r="C2392" s="57" t="n">
        <f aca="false">INT($C$2)-INT(Table3[[#This Row],[Last Purchase Date]])</f>
        <v>8</v>
      </c>
      <c r="D2392" s="1" t="n">
        <v>13</v>
      </c>
      <c r="E2392" s="1" t="n">
        <v>4109.97</v>
      </c>
      <c r="F2392" s="1" t="n">
        <f aca="false">ROUND((1-_xlfn.PERCENTRANK.INC($C$7:$C$4378,C2392))*9,0)</f>
        <v>8</v>
      </c>
      <c r="G2392" s="1" t="n">
        <f aca="false">ROUND(_xlfn.PERCENTRANK.INC($D$7:$D$4378,D2392)*9,0)</f>
        <v>8</v>
      </c>
      <c r="H2392" s="1" t="n">
        <f aca="false">ROUND(_xlfn.PERCENTRANK.INC($E$7:$E$4378,E2392)*9,0)</f>
        <v>8</v>
      </c>
      <c r="I2392" s="1" t="str">
        <f aca="false">CONCATENATE(F2392,G2392,H2392)</f>
        <v>888</v>
      </c>
      <c r="J2392" s="1" t="str">
        <f aca="false">_xlfn.IFS(AND(F2392&gt;=8,G2392&gt;=8,H2392&gt;=8),"CHAMPION",AND(F2392&gt;=6,G2392&gt;=7,H2392&gt;=6),"LOYAL CUSTOMER",AND(F2392&gt;=6,G2392&gt;=5,H2392&gt;=5),"POTENTIAL LOYALIST",AND(F2392&gt;=8,G2392&lt;=2,H2392&gt;=5),"NEW CUSTOMERS",AND(F2392&gt;=6,G2392&lt;=2,H2392&gt;=3),"PROMISING",AND(F2392&gt;=3,G2392&gt;=3,H2392&gt;=3),"NEED ATTENTION",AND(F2392&lt;=4,G2392&gt;=6,H2392&gt;=6),"AT RISK",AND(F2392&lt;=2,G2392&gt;=8,H2392&gt;=8),"CAN'T LOSE THEM",AND(F2392&lt;=2,G2392&lt;=2,H2392&lt;=2),"HIBERNATING",TRUE(),"Other")</f>
        <v>CHAMPION</v>
      </c>
      <c r="K2392" s="1" t="n">
        <f aca="false">RANK(E2392,$E$7:$E$4378)+COUNTIF($E$7:E2392,E2392)-1</f>
        <v>338</v>
      </c>
    </row>
    <row r="2393" customFormat="false" ht="14.25" hidden="false" customHeight="true" outlineLevel="0" collapsed="false">
      <c r="A2393" s="51" t="n">
        <v>15571</v>
      </c>
      <c r="B2393" s="53" t="n">
        <v>40875.4180555556</v>
      </c>
      <c r="C2393" s="57" t="n">
        <f aca="false">INT($C$2)-INT(Table3[[#This Row],[Last Purchase Date]])</f>
        <v>12</v>
      </c>
      <c r="D2393" s="1" t="n">
        <v>4</v>
      </c>
      <c r="E2393" s="1" t="n">
        <v>650.43</v>
      </c>
      <c r="F2393" s="1" t="n">
        <f aca="false">ROUND((1-_xlfn.PERCENTRANK.INC($C$7:$C$4378,C2393))*9,0)</f>
        <v>7</v>
      </c>
      <c r="G2393" s="1" t="n">
        <f aca="false">ROUND(_xlfn.PERCENTRANK.INC($D$7:$D$4378,D2393)*9,0)</f>
        <v>5</v>
      </c>
      <c r="H2393" s="1" t="n">
        <f aca="false">ROUND(_xlfn.PERCENTRANK.INC($E$7:$E$4378,E2393)*9,0)</f>
        <v>5</v>
      </c>
      <c r="I2393" s="1" t="str">
        <f aca="false">CONCATENATE(F2393,G2393,H2393)</f>
        <v>755</v>
      </c>
      <c r="J2393" s="1" t="str">
        <f aca="false">_xlfn.IFS(AND(F2393&gt;=8,G2393&gt;=8,H2393&gt;=8),"CHAMPION",AND(F2393&gt;=6,G2393&gt;=7,H2393&gt;=6),"LOYAL CUSTOMER",AND(F2393&gt;=6,G2393&gt;=5,H2393&gt;=5),"POTENTIAL LOYALIST",AND(F2393&gt;=8,G2393&lt;=2,H2393&gt;=5),"NEW CUSTOMERS",AND(F2393&gt;=6,G2393&lt;=2,H2393&gt;=3),"PROMISING",AND(F2393&gt;=3,G2393&gt;=3,H2393&gt;=3),"NEED ATTENTION",AND(F2393&lt;=4,G2393&gt;=6,H2393&gt;=6),"AT RISK",AND(F2393&lt;=2,G2393&gt;=8,H2393&gt;=8),"CAN'T LOSE THEM",AND(F2393&lt;=2,G2393&lt;=2,H2393&lt;=2),"HIBERNATING",TRUE(),"Other")</f>
        <v>POTENTIAL LOYALIST</v>
      </c>
      <c r="K2393" s="1" t="n">
        <f aca="false">RANK(E2393,$E$7:$E$4378)+COUNTIF($E$7:E2393,E2393)-1</f>
        <v>2180</v>
      </c>
    </row>
    <row r="2394" customFormat="false" ht="14.25" hidden="false" customHeight="true" outlineLevel="0" collapsed="false">
      <c r="A2394" s="51" t="n">
        <v>15572</v>
      </c>
      <c r="B2394" s="53" t="n">
        <v>40882.4229166667</v>
      </c>
      <c r="C2394" s="57" t="n">
        <f aca="false">INT($C$2)-INT(Table3[[#This Row],[Last Purchase Date]])</f>
        <v>5</v>
      </c>
      <c r="D2394" s="1" t="n">
        <v>7</v>
      </c>
      <c r="E2394" s="1" t="n">
        <v>2552.86</v>
      </c>
      <c r="F2394" s="1" t="n">
        <f aca="false">ROUND((1-_xlfn.PERCENTRANK.INC($C$7:$C$4378,C2394))*9,0)</f>
        <v>8</v>
      </c>
      <c r="G2394" s="1" t="n">
        <f aca="false">ROUND(_xlfn.PERCENTRANK.INC($D$7:$D$4378,D2394)*9,0)</f>
        <v>7</v>
      </c>
      <c r="H2394" s="1" t="n">
        <f aca="false">ROUND(_xlfn.PERCENTRANK.INC($E$7:$E$4378,E2394)*9,0)</f>
        <v>8</v>
      </c>
      <c r="I2394" s="1" t="str">
        <f aca="false">CONCATENATE(F2394,G2394,H2394)</f>
        <v>878</v>
      </c>
      <c r="J2394" s="1" t="str">
        <f aca="false">_xlfn.IFS(AND(F2394&gt;=8,G2394&gt;=8,H2394&gt;=8),"CHAMPION",AND(F2394&gt;=6,G2394&gt;=7,H2394&gt;=6),"LOYAL CUSTOMER",AND(F2394&gt;=6,G2394&gt;=5,H2394&gt;=5),"POTENTIAL LOYALIST",AND(F2394&gt;=8,G2394&lt;=2,H2394&gt;=5),"NEW CUSTOMERS",AND(F2394&gt;=6,G2394&lt;=2,H2394&gt;=3),"PROMISING",AND(F2394&gt;=3,G2394&gt;=3,H2394&gt;=3),"NEED ATTENTION",AND(F2394&lt;=4,G2394&gt;=6,H2394&gt;=6),"AT RISK",AND(F2394&lt;=2,G2394&gt;=8,H2394&gt;=8),"CAN'T LOSE THEM",AND(F2394&lt;=2,G2394&lt;=2,H2394&lt;=2),"HIBERNATING",TRUE(),"Other")</f>
        <v>LOYAL CUSTOMER</v>
      </c>
      <c r="K2394" s="1" t="n">
        <f aca="false">RANK(E2394,$E$7:$E$4378)+COUNTIF($E$7:E2394,E2394)-1</f>
        <v>664</v>
      </c>
    </row>
    <row r="2395" customFormat="false" ht="14.25" hidden="false" customHeight="true" outlineLevel="0" collapsed="false">
      <c r="A2395" s="51" t="n">
        <v>15573</v>
      </c>
      <c r="B2395" s="53" t="n">
        <v>40855.4847222222</v>
      </c>
      <c r="C2395" s="57" t="n">
        <f aca="false">INT($C$2)-INT(Table3[[#This Row],[Last Purchase Date]])</f>
        <v>32</v>
      </c>
      <c r="D2395" s="1" t="n">
        <v>2</v>
      </c>
      <c r="E2395" s="1" t="n">
        <v>607.45</v>
      </c>
      <c r="F2395" s="1" t="n">
        <f aca="false">ROUND((1-_xlfn.PERCENTRANK.INC($C$7:$C$4378,C2395))*9,0)</f>
        <v>5</v>
      </c>
      <c r="G2395" s="1" t="n">
        <f aca="false">ROUND(_xlfn.PERCENTRANK.INC($D$7:$D$4378,D2395)*9,0)</f>
        <v>3</v>
      </c>
      <c r="H2395" s="1" t="n">
        <f aca="false">ROUND(_xlfn.PERCENTRANK.INC($E$7:$E$4378,E2395)*9,0)</f>
        <v>4</v>
      </c>
      <c r="I2395" s="1" t="str">
        <f aca="false">CONCATENATE(F2395,G2395,H2395)</f>
        <v>534</v>
      </c>
      <c r="J2395" s="1" t="str">
        <f aca="false">_xlfn.IFS(AND(F2395&gt;=8,G2395&gt;=8,H2395&gt;=8),"CHAMPION",AND(F2395&gt;=6,G2395&gt;=7,H2395&gt;=6),"LOYAL CUSTOMER",AND(F2395&gt;=6,G2395&gt;=5,H2395&gt;=5),"POTENTIAL LOYALIST",AND(F2395&gt;=8,G2395&lt;=2,H2395&gt;=5),"NEW CUSTOMERS",AND(F2395&gt;=6,G2395&lt;=2,H2395&gt;=3),"PROMISING",AND(F2395&gt;=3,G2395&gt;=3,H2395&gt;=3),"NEED ATTENTION",AND(F2395&lt;=4,G2395&gt;=6,H2395&gt;=6),"AT RISK",AND(F2395&lt;=2,G2395&gt;=8,H2395&gt;=8),"CAN'T LOSE THEM",AND(F2395&lt;=2,G2395&lt;=2,H2395&lt;=2),"HIBERNATING",TRUE(),"Other")</f>
        <v>NEED ATTENTION</v>
      </c>
      <c r="K2395" s="1" t="n">
        <f aca="false">RANK(E2395,$E$7:$E$4378)+COUNTIF($E$7:E2395,E2395)-1</f>
        <v>2290</v>
      </c>
    </row>
    <row r="2396" customFormat="false" ht="14.25" hidden="false" customHeight="true" outlineLevel="0" collapsed="false">
      <c r="A2396" s="51" t="n">
        <v>15574</v>
      </c>
      <c r="B2396" s="53" t="n">
        <v>40709.5006944445</v>
      </c>
      <c r="C2396" s="57" t="n">
        <f aca="false">INT($C$2)-INT(Table3[[#This Row],[Last Purchase Date]])</f>
        <v>178</v>
      </c>
      <c r="D2396" s="1" t="n">
        <v>4</v>
      </c>
      <c r="E2396" s="1" t="n">
        <v>702.25</v>
      </c>
      <c r="F2396" s="1" t="n">
        <f aca="false">ROUND((1-_xlfn.PERCENTRANK.INC($C$7:$C$4378,C2396))*9,0)</f>
        <v>2</v>
      </c>
      <c r="G2396" s="1" t="n">
        <f aca="false">ROUND(_xlfn.PERCENTRANK.INC($D$7:$D$4378,D2396)*9,0)</f>
        <v>5</v>
      </c>
      <c r="H2396" s="1" t="n">
        <f aca="false">ROUND(_xlfn.PERCENTRANK.INC($E$7:$E$4378,E2396)*9,0)</f>
        <v>5</v>
      </c>
      <c r="I2396" s="1" t="str">
        <f aca="false">CONCATENATE(F2396,G2396,H2396)</f>
        <v>255</v>
      </c>
      <c r="J2396" s="1" t="str">
        <f aca="false">_xlfn.IFS(AND(F2396&gt;=8,G2396&gt;=8,H2396&gt;=8),"CHAMPION",AND(F2396&gt;=6,G2396&gt;=7,H2396&gt;=6),"LOYAL CUSTOMER",AND(F2396&gt;=6,G2396&gt;=5,H2396&gt;=5),"POTENTIAL LOYALIST",AND(F2396&gt;=8,G2396&lt;=2,H2396&gt;=5),"NEW CUSTOMERS",AND(F2396&gt;=6,G2396&lt;=2,H2396&gt;=3),"PROMISING",AND(F2396&gt;=3,G2396&gt;=3,H2396&gt;=3),"NEED ATTENTION",AND(F2396&lt;=4,G2396&gt;=6,H2396&gt;=6),"AT RISK",AND(F2396&lt;=2,G2396&gt;=8,H2396&gt;=8),"CAN'T LOSE THEM",AND(F2396&lt;=2,G2396&lt;=2,H2396&lt;=2),"HIBERNATING",TRUE(),"Other")</f>
        <v>Other</v>
      </c>
      <c r="K2396" s="1" t="n">
        <f aca="false">RANK(E2396,$E$7:$E$4378)+COUNTIF($E$7:E2396,E2396)-1</f>
        <v>2063</v>
      </c>
    </row>
    <row r="2397" customFormat="false" ht="14.25" hidden="false" customHeight="true" outlineLevel="0" collapsed="false">
      <c r="A2397" s="51" t="n">
        <v>15576</v>
      </c>
      <c r="B2397" s="53" t="n">
        <v>40849.5020833333</v>
      </c>
      <c r="C2397" s="57" t="n">
        <f aca="false">INT($C$2)-INT(Table3[[#This Row],[Last Purchase Date]])</f>
        <v>38</v>
      </c>
      <c r="D2397" s="1" t="n">
        <v>1</v>
      </c>
      <c r="E2397" s="1" t="n">
        <v>940.67</v>
      </c>
      <c r="F2397" s="1" t="n">
        <f aca="false">ROUND((1-_xlfn.PERCENTRANK.INC($C$7:$C$4378,C2397))*9,0)</f>
        <v>5</v>
      </c>
      <c r="G2397" s="1" t="n">
        <f aca="false">ROUND(_xlfn.PERCENTRANK.INC($D$7:$D$4378,D2397)*9,0)</f>
        <v>0</v>
      </c>
      <c r="H2397" s="1" t="n">
        <f aca="false">ROUND(_xlfn.PERCENTRANK.INC($E$7:$E$4378,E2397)*9,0)</f>
        <v>5</v>
      </c>
      <c r="I2397" s="1" t="str">
        <f aca="false">CONCATENATE(F2397,G2397,H2397)</f>
        <v>505</v>
      </c>
      <c r="J2397" s="1" t="str">
        <f aca="false">_xlfn.IFS(AND(F2397&gt;=8,G2397&gt;=8,H2397&gt;=8),"CHAMPION",AND(F2397&gt;=6,G2397&gt;=7,H2397&gt;=6),"LOYAL CUSTOMER",AND(F2397&gt;=6,G2397&gt;=5,H2397&gt;=5),"POTENTIAL LOYALIST",AND(F2397&gt;=8,G2397&lt;=2,H2397&gt;=5),"NEW CUSTOMERS",AND(F2397&gt;=6,G2397&lt;=2,H2397&gt;=3),"PROMISING",AND(F2397&gt;=3,G2397&gt;=3,H2397&gt;=3),"NEED ATTENTION",AND(F2397&lt;=4,G2397&gt;=6,H2397&gt;=6),"AT RISK",AND(F2397&lt;=2,G2397&gt;=8,H2397&gt;=8),"CAN'T LOSE THEM",AND(F2397&lt;=2,G2397&lt;=2,H2397&lt;=2),"HIBERNATING",TRUE(),"Other")</f>
        <v>Other</v>
      </c>
      <c r="K2397" s="1" t="n">
        <f aca="false">RANK(E2397,$E$7:$E$4378)+COUNTIF($E$7:E2397,E2397)-1</f>
        <v>1707</v>
      </c>
    </row>
    <row r="2398" customFormat="false" ht="14.25" hidden="false" customHeight="true" outlineLevel="0" collapsed="false">
      <c r="A2398" s="51" t="n">
        <v>15577</v>
      </c>
      <c r="B2398" s="53" t="n">
        <v>40735.7104166667</v>
      </c>
      <c r="C2398" s="57" t="n">
        <f aca="false">INT($C$2)-INT(Table3[[#This Row],[Last Purchase Date]])</f>
        <v>152</v>
      </c>
      <c r="D2398" s="1" t="n">
        <v>3</v>
      </c>
      <c r="E2398" s="1" t="n">
        <v>258.88</v>
      </c>
      <c r="F2398" s="1" t="n">
        <f aca="false">ROUND((1-_xlfn.PERCENTRANK.INC($C$7:$C$4378,C2398))*9,0)</f>
        <v>2</v>
      </c>
      <c r="G2398" s="1" t="n">
        <f aca="false">ROUND(_xlfn.PERCENTRANK.INC($D$7:$D$4378,D2398)*9,0)</f>
        <v>4</v>
      </c>
      <c r="H2398" s="1" t="n">
        <f aca="false">ROUND(_xlfn.PERCENTRANK.INC($E$7:$E$4378,E2398)*9,0)</f>
        <v>2</v>
      </c>
      <c r="I2398" s="1" t="str">
        <f aca="false">CONCATENATE(F2398,G2398,H2398)</f>
        <v>242</v>
      </c>
      <c r="J2398" s="1" t="str">
        <f aca="false">_xlfn.IFS(AND(F2398&gt;=8,G2398&gt;=8,H2398&gt;=8),"CHAMPION",AND(F2398&gt;=6,G2398&gt;=7,H2398&gt;=6),"LOYAL CUSTOMER",AND(F2398&gt;=6,G2398&gt;=5,H2398&gt;=5),"POTENTIAL LOYALIST",AND(F2398&gt;=8,G2398&lt;=2,H2398&gt;=5),"NEW CUSTOMERS",AND(F2398&gt;=6,G2398&lt;=2,H2398&gt;=3),"PROMISING",AND(F2398&gt;=3,G2398&gt;=3,H2398&gt;=3),"NEED ATTENTION",AND(F2398&lt;=4,G2398&gt;=6,H2398&gt;=6),"AT RISK",AND(F2398&lt;=2,G2398&gt;=8,H2398&gt;=8),"CAN'T LOSE THEM",AND(F2398&lt;=2,G2398&lt;=2,H2398&lt;=2),"HIBERNATING",TRUE(),"Other")</f>
        <v>Other</v>
      </c>
      <c r="K2398" s="1" t="n">
        <f aca="false">RANK(E2398,$E$7:$E$4378)+COUNTIF($E$7:E2398,E2398)-1</f>
        <v>3402</v>
      </c>
    </row>
    <row r="2399" customFormat="false" ht="14.25" hidden="false" customHeight="true" outlineLevel="0" collapsed="false">
      <c r="A2399" s="51" t="n">
        <v>15578</v>
      </c>
      <c r="B2399" s="53" t="n">
        <v>40724.54375</v>
      </c>
      <c r="C2399" s="57" t="n">
        <f aca="false">INT($C$2)-INT(Table3[[#This Row],[Last Purchase Date]])</f>
        <v>163</v>
      </c>
      <c r="D2399" s="1" t="n">
        <v>1</v>
      </c>
      <c r="E2399" s="1" t="n">
        <v>127.1</v>
      </c>
      <c r="F2399" s="1" t="n">
        <f aca="false">ROUND((1-_xlfn.PERCENTRANK.INC($C$7:$C$4378,C2399))*9,0)</f>
        <v>2</v>
      </c>
      <c r="G2399" s="1" t="n">
        <f aca="false">ROUND(_xlfn.PERCENTRANK.INC($D$7:$D$4378,D2399)*9,0)</f>
        <v>0</v>
      </c>
      <c r="H2399" s="1" t="n">
        <f aca="false">ROUND(_xlfn.PERCENTRANK.INC($E$7:$E$4378,E2399)*9,0)</f>
        <v>1</v>
      </c>
      <c r="I2399" s="1" t="str">
        <f aca="false">CONCATENATE(F2399,G2399,H2399)</f>
        <v>201</v>
      </c>
      <c r="J2399" s="1" t="str">
        <f aca="false">_xlfn.IFS(AND(F2399&gt;=8,G2399&gt;=8,H2399&gt;=8),"CHAMPION",AND(F2399&gt;=6,G2399&gt;=7,H2399&gt;=6),"LOYAL CUSTOMER",AND(F2399&gt;=6,G2399&gt;=5,H2399&gt;=5),"POTENTIAL LOYALIST",AND(F2399&gt;=8,G2399&lt;=2,H2399&gt;=5),"NEW CUSTOMERS",AND(F2399&gt;=6,G2399&lt;=2,H2399&gt;=3),"PROMISING",AND(F2399&gt;=3,G2399&gt;=3,H2399&gt;=3),"NEED ATTENTION",AND(F2399&lt;=4,G2399&gt;=6,H2399&gt;=6),"AT RISK",AND(F2399&lt;=2,G2399&gt;=8,H2399&gt;=8),"CAN'T LOSE THEM",AND(F2399&lt;=2,G2399&lt;=2,H2399&lt;=2),"HIBERNATING",TRUE(),"Other")</f>
        <v>HIBERNATING</v>
      </c>
      <c r="K2399" s="1" t="n">
        <f aca="false">RANK(E2399,$E$7:$E$4378)+COUNTIF($E$7:E2399,E2399)-1</f>
        <v>4015</v>
      </c>
    </row>
    <row r="2400" customFormat="false" ht="14.25" hidden="false" customHeight="true" outlineLevel="0" collapsed="false">
      <c r="A2400" s="51" t="n">
        <v>15579</v>
      </c>
      <c r="B2400" s="53" t="n">
        <v>40818.53125</v>
      </c>
      <c r="C2400" s="57" t="n">
        <f aca="false">INT($C$2)-INT(Table3[[#This Row],[Last Purchase Date]])</f>
        <v>69</v>
      </c>
      <c r="D2400" s="1" t="n">
        <v>2</v>
      </c>
      <c r="E2400" s="1" t="n">
        <v>348.6</v>
      </c>
      <c r="F2400" s="1" t="n">
        <f aca="false">ROUND((1-_xlfn.PERCENTRANK.INC($C$7:$C$4378,C2400))*9,0)</f>
        <v>4</v>
      </c>
      <c r="G2400" s="1" t="n">
        <f aca="false">ROUND(_xlfn.PERCENTRANK.INC($D$7:$D$4378,D2400)*9,0)</f>
        <v>3</v>
      </c>
      <c r="H2400" s="1" t="n">
        <f aca="false">ROUND(_xlfn.PERCENTRANK.INC($E$7:$E$4378,E2400)*9,0)</f>
        <v>3</v>
      </c>
      <c r="I2400" s="1" t="str">
        <f aca="false">CONCATENATE(F2400,G2400,H2400)</f>
        <v>433</v>
      </c>
      <c r="J2400" s="1" t="str">
        <f aca="false">_xlfn.IFS(AND(F2400&gt;=8,G2400&gt;=8,H2400&gt;=8),"CHAMPION",AND(F2400&gt;=6,G2400&gt;=7,H2400&gt;=6),"LOYAL CUSTOMER",AND(F2400&gt;=6,G2400&gt;=5,H2400&gt;=5),"POTENTIAL LOYALIST",AND(F2400&gt;=8,G2400&lt;=2,H2400&gt;=5),"NEW CUSTOMERS",AND(F2400&gt;=6,G2400&lt;=2,H2400&gt;=3),"PROMISING",AND(F2400&gt;=3,G2400&gt;=3,H2400&gt;=3),"NEED ATTENTION",AND(F2400&lt;=4,G2400&gt;=6,H2400&gt;=6),"AT RISK",AND(F2400&lt;=2,G2400&gt;=8,H2400&gt;=8),"CAN'T LOSE THEM",AND(F2400&lt;=2,G2400&lt;=2,H2400&lt;=2),"HIBERNATING",TRUE(),"Other")</f>
        <v>NEED ATTENTION</v>
      </c>
      <c r="K2400" s="1" t="n">
        <f aca="false">RANK(E2400,$E$7:$E$4378)+COUNTIF($E$7:E2400,E2400)-1</f>
        <v>3016</v>
      </c>
    </row>
    <row r="2401" customFormat="false" ht="14.25" hidden="false" customHeight="true" outlineLevel="0" collapsed="false">
      <c r="A2401" s="51" t="n">
        <v>15581</v>
      </c>
      <c r="B2401" s="53" t="n">
        <v>40766.4013888889</v>
      </c>
      <c r="C2401" s="57" t="n">
        <f aca="false">INT($C$2)-INT(Table3[[#This Row],[Last Purchase Date]])</f>
        <v>121</v>
      </c>
      <c r="D2401" s="1" t="n">
        <v>14</v>
      </c>
      <c r="E2401" s="1" t="n">
        <v>3429.97</v>
      </c>
      <c r="F2401" s="1" t="n">
        <f aca="false">ROUND((1-_xlfn.PERCENTRANK.INC($C$7:$C$4378,C2401))*9,0)</f>
        <v>3</v>
      </c>
      <c r="G2401" s="1" t="n">
        <f aca="false">ROUND(_xlfn.PERCENTRANK.INC($D$7:$D$4378,D2401)*9,0)</f>
        <v>8</v>
      </c>
      <c r="H2401" s="1" t="n">
        <f aca="false">ROUND(_xlfn.PERCENTRANK.INC($E$7:$E$4378,E2401)*9,0)</f>
        <v>8</v>
      </c>
      <c r="I2401" s="1" t="str">
        <f aca="false">CONCATENATE(F2401,G2401,H2401)</f>
        <v>388</v>
      </c>
      <c r="J2401" s="1" t="str">
        <f aca="false">_xlfn.IFS(AND(F2401&gt;=8,G2401&gt;=8,H2401&gt;=8),"CHAMPION",AND(F2401&gt;=6,G2401&gt;=7,H2401&gt;=6),"LOYAL CUSTOMER",AND(F2401&gt;=6,G2401&gt;=5,H2401&gt;=5),"POTENTIAL LOYALIST",AND(F2401&gt;=8,G2401&lt;=2,H2401&gt;=5),"NEW CUSTOMERS",AND(F2401&gt;=6,G2401&lt;=2,H2401&gt;=3),"PROMISING",AND(F2401&gt;=3,G2401&gt;=3,H2401&gt;=3),"NEED ATTENTION",AND(F2401&lt;=4,G2401&gt;=6,H2401&gt;=6),"AT RISK",AND(F2401&lt;=2,G2401&gt;=8,H2401&gt;=8),"CAN'T LOSE THEM",AND(F2401&lt;=2,G2401&lt;=2,H2401&lt;=2),"HIBERNATING",TRUE(),"Other")</f>
        <v>NEED ATTENTION</v>
      </c>
      <c r="K2401" s="1" t="n">
        <f aca="false">RANK(E2401,$E$7:$E$4378)+COUNTIF($E$7:E2401,E2401)-1</f>
        <v>453</v>
      </c>
    </row>
    <row r="2402" customFormat="false" ht="14.25" hidden="false" customHeight="true" outlineLevel="0" collapsed="false">
      <c r="A2402" s="51" t="n">
        <v>15582</v>
      </c>
      <c r="B2402" s="53" t="n">
        <v>40862.4131944445</v>
      </c>
      <c r="C2402" s="57" t="n">
        <f aca="false">INT($C$2)-INT(Table3[[#This Row],[Last Purchase Date]])</f>
        <v>25</v>
      </c>
      <c r="D2402" s="1" t="n">
        <v>3</v>
      </c>
      <c r="E2402" s="1" t="n">
        <v>682.91</v>
      </c>
      <c r="F2402" s="1" t="n">
        <f aca="false">ROUND((1-_xlfn.PERCENTRANK.INC($C$7:$C$4378,C2402))*9,0)</f>
        <v>6</v>
      </c>
      <c r="G2402" s="1" t="n">
        <f aca="false">ROUND(_xlfn.PERCENTRANK.INC($D$7:$D$4378,D2402)*9,0)</f>
        <v>4</v>
      </c>
      <c r="H2402" s="1" t="n">
        <f aca="false">ROUND(_xlfn.PERCENTRANK.INC($E$7:$E$4378,E2402)*9,0)</f>
        <v>5</v>
      </c>
      <c r="I2402" s="1" t="str">
        <f aca="false">CONCATENATE(F2402,G2402,H2402)</f>
        <v>645</v>
      </c>
      <c r="J2402" s="1" t="str">
        <f aca="false">_xlfn.IFS(AND(F2402&gt;=8,G2402&gt;=8,H2402&gt;=8),"CHAMPION",AND(F2402&gt;=6,G2402&gt;=7,H2402&gt;=6),"LOYAL CUSTOMER",AND(F2402&gt;=6,G2402&gt;=5,H2402&gt;=5),"POTENTIAL LOYALIST",AND(F2402&gt;=8,G2402&lt;=2,H2402&gt;=5),"NEW CUSTOMERS",AND(F2402&gt;=6,G2402&lt;=2,H2402&gt;=3),"PROMISING",AND(F2402&gt;=3,G2402&gt;=3,H2402&gt;=3),"NEED ATTENTION",AND(F2402&lt;=4,G2402&gt;=6,H2402&gt;=6),"AT RISK",AND(F2402&lt;=2,G2402&gt;=8,H2402&gt;=8),"CAN'T LOSE THEM",AND(F2402&lt;=2,G2402&lt;=2,H2402&lt;=2),"HIBERNATING",TRUE(),"Other")</f>
        <v>NEED ATTENTION</v>
      </c>
      <c r="K2402" s="1" t="n">
        <f aca="false">RANK(E2402,$E$7:$E$4378)+COUNTIF($E$7:E2402,E2402)-1</f>
        <v>2097</v>
      </c>
    </row>
    <row r="2403" customFormat="false" ht="14.25" hidden="false" customHeight="true" outlineLevel="0" collapsed="false">
      <c r="A2403" s="51" t="n">
        <v>15584</v>
      </c>
      <c r="B2403" s="53" t="n">
        <v>40863.4548611111</v>
      </c>
      <c r="C2403" s="57" t="n">
        <f aca="false">INT($C$2)-INT(Table3[[#This Row],[Last Purchase Date]])</f>
        <v>24</v>
      </c>
      <c r="D2403" s="1" t="n">
        <v>5</v>
      </c>
      <c r="E2403" s="1" t="n">
        <v>722.61</v>
      </c>
      <c r="F2403" s="1" t="n">
        <f aca="false">ROUND((1-_xlfn.PERCENTRANK.INC($C$7:$C$4378,C2403))*9,0)</f>
        <v>6</v>
      </c>
      <c r="G2403" s="1" t="n">
        <f aca="false">ROUND(_xlfn.PERCENTRANK.INC($D$7:$D$4378,D2403)*9,0)</f>
        <v>6</v>
      </c>
      <c r="H2403" s="1" t="n">
        <f aca="false">ROUND(_xlfn.PERCENTRANK.INC($E$7:$E$4378,E2403)*9,0)</f>
        <v>5</v>
      </c>
      <c r="I2403" s="1" t="str">
        <f aca="false">CONCATENATE(F2403,G2403,H2403)</f>
        <v>665</v>
      </c>
      <c r="J2403" s="1" t="str">
        <f aca="false">_xlfn.IFS(AND(F2403&gt;=8,G2403&gt;=8,H2403&gt;=8),"CHAMPION",AND(F2403&gt;=6,G2403&gt;=7,H2403&gt;=6),"LOYAL CUSTOMER",AND(F2403&gt;=6,G2403&gt;=5,H2403&gt;=5),"POTENTIAL LOYALIST",AND(F2403&gt;=8,G2403&lt;=2,H2403&gt;=5),"NEW CUSTOMERS",AND(F2403&gt;=6,G2403&lt;=2,H2403&gt;=3),"PROMISING",AND(F2403&gt;=3,G2403&gt;=3,H2403&gt;=3),"NEED ATTENTION",AND(F2403&lt;=4,G2403&gt;=6,H2403&gt;=6),"AT RISK",AND(F2403&lt;=2,G2403&gt;=8,H2403&gt;=8),"CAN'T LOSE THEM",AND(F2403&lt;=2,G2403&lt;=2,H2403&lt;=2),"HIBERNATING",TRUE(),"Other")</f>
        <v>POTENTIAL LOYALIST</v>
      </c>
      <c r="K2403" s="1" t="n">
        <f aca="false">RANK(E2403,$E$7:$E$4378)+COUNTIF($E$7:E2403,E2403)-1</f>
        <v>2022</v>
      </c>
    </row>
    <row r="2404" customFormat="false" ht="14.25" hidden="false" customHeight="true" outlineLevel="0" collapsed="false">
      <c r="A2404" s="51" t="n">
        <v>15585</v>
      </c>
      <c r="B2404" s="53" t="n">
        <v>40710.3597222222</v>
      </c>
      <c r="C2404" s="57" t="n">
        <f aca="false">INT($C$2)-INT(Table3[[#This Row],[Last Purchase Date]])</f>
        <v>177</v>
      </c>
      <c r="D2404" s="1" t="n">
        <v>1</v>
      </c>
      <c r="E2404" s="1" t="n">
        <v>455.3</v>
      </c>
      <c r="F2404" s="1" t="n">
        <f aca="false">ROUND((1-_xlfn.PERCENTRANK.INC($C$7:$C$4378,C2404))*9,0)</f>
        <v>2</v>
      </c>
      <c r="G2404" s="1" t="n">
        <f aca="false">ROUND(_xlfn.PERCENTRANK.INC($D$7:$D$4378,D2404)*9,0)</f>
        <v>0</v>
      </c>
      <c r="H2404" s="1" t="n">
        <f aca="false">ROUND(_xlfn.PERCENTRANK.INC($E$7:$E$4378,E2404)*9,0)</f>
        <v>4</v>
      </c>
      <c r="I2404" s="1" t="str">
        <f aca="false">CONCATENATE(F2404,G2404,H2404)</f>
        <v>204</v>
      </c>
      <c r="J2404" s="1" t="str">
        <f aca="false">_xlfn.IFS(AND(F2404&gt;=8,G2404&gt;=8,H2404&gt;=8),"CHAMPION",AND(F2404&gt;=6,G2404&gt;=7,H2404&gt;=6),"LOYAL CUSTOMER",AND(F2404&gt;=6,G2404&gt;=5,H2404&gt;=5),"POTENTIAL LOYALIST",AND(F2404&gt;=8,G2404&lt;=2,H2404&gt;=5),"NEW CUSTOMERS",AND(F2404&gt;=6,G2404&lt;=2,H2404&gt;=3),"PROMISING",AND(F2404&gt;=3,G2404&gt;=3,H2404&gt;=3),"NEED ATTENTION",AND(F2404&lt;=4,G2404&gt;=6,H2404&gt;=6),"AT RISK",AND(F2404&lt;=2,G2404&gt;=8,H2404&gt;=8),"CAN'T LOSE THEM",AND(F2404&lt;=2,G2404&lt;=2,H2404&lt;=2),"HIBERNATING",TRUE(),"Other")</f>
        <v>Other</v>
      </c>
      <c r="K2404" s="1" t="n">
        <f aca="false">RANK(E2404,$E$7:$E$4378)+COUNTIF($E$7:E2404,E2404)-1</f>
        <v>2657</v>
      </c>
    </row>
    <row r="2405" customFormat="false" ht="14.25" hidden="false" customHeight="true" outlineLevel="0" collapsed="false">
      <c r="A2405" s="51" t="n">
        <v>15587</v>
      </c>
      <c r="B2405" s="53" t="n">
        <v>40836.5673611111</v>
      </c>
      <c r="C2405" s="57" t="n">
        <f aca="false">INT($C$2)-INT(Table3[[#This Row],[Last Purchase Date]])</f>
        <v>51</v>
      </c>
      <c r="D2405" s="1" t="n">
        <v>4</v>
      </c>
      <c r="E2405" s="1" t="n">
        <v>913.68</v>
      </c>
      <c r="F2405" s="1" t="n">
        <f aca="false">ROUND((1-_xlfn.PERCENTRANK.INC($C$7:$C$4378,C2405))*9,0)</f>
        <v>5</v>
      </c>
      <c r="G2405" s="1" t="n">
        <f aca="false">ROUND(_xlfn.PERCENTRANK.INC($D$7:$D$4378,D2405)*9,0)</f>
        <v>5</v>
      </c>
      <c r="H2405" s="1" t="n">
        <f aca="false">ROUND(_xlfn.PERCENTRANK.INC($E$7:$E$4378,E2405)*9,0)</f>
        <v>5</v>
      </c>
      <c r="I2405" s="1" t="str">
        <f aca="false">CONCATENATE(F2405,G2405,H2405)</f>
        <v>555</v>
      </c>
      <c r="J2405" s="1" t="str">
        <f aca="false">_xlfn.IFS(AND(F2405&gt;=8,G2405&gt;=8,H2405&gt;=8),"CHAMPION",AND(F2405&gt;=6,G2405&gt;=7,H2405&gt;=6),"LOYAL CUSTOMER",AND(F2405&gt;=6,G2405&gt;=5,H2405&gt;=5),"POTENTIAL LOYALIST",AND(F2405&gt;=8,G2405&lt;=2,H2405&gt;=5),"NEW CUSTOMERS",AND(F2405&gt;=6,G2405&lt;=2,H2405&gt;=3),"PROMISING",AND(F2405&gt;=3,G2405&gt;=3,H2405&gt;=3),"NEED ATTENTION",AND(F2405&lt;=4,G2405&gt;=6,H2405&gt;=6),"AT RISK",AND(F2405&lt;=2,G2405&gt;=8,H2405&gt;=8),"CAN'T LOSE THEM",AND(F2405&lt;=2,G2405&lt;=2,H2405&lt;=2),"HIBERNATING",TRUE(),"Other")</f>
        <v>NEED ATTENTION</v>
      </c>
      <c r="K2405" s="1" t="n">
        <f aca="false">RANK(E2405,$E$7:$E$4378)+COUNTIF($E$7:E2405,E2405)-1</f>
        <v>1738</v>
      </c>
    </row>
    <row r="2406" customFormat="false" ht="14.25" hidden="false" customHeight="true" outlineLevel="0" collapsed="false">
      <c r="A2406" s="51" t="n">
        <v>15589</v>
      </c>
      <c r="B2406" s="53" t="n">
        <v>40634.4736111111</v>
      </c>
      <c r="C2406" s="57" t="n">
        <f aca="false">INT($C$2)-INT(Table3[[#This Row],[Last Purchase Date]])</f>
        <v>253</v>
      </c>
      <c r="D2406" s="1" t="n">
        <v>4</v>
      </c>
      <c r="E2406" s="1" t="n">
        <v>456.58</v>
      </c>
      <c r="F2406" s="1" t="n">
        <f aca="false">ROUND((1-_xlfn.PERCENTRANK.INC($C$7:$C$4378,C2406))*9,0)</f>
        <v>1</v>
      </c>
      <c r="G2406" s="1" t="n">
        <f aca="false">ROUND(_xlfn.PERCENTRANK.INC($D$7:$D$4378,D2406)*9,0)</f>
        <v>5</v>
      </c>
      <c r="H2406" s="1" t="n">
        <f aca="false">ROUND(_xlfn.PERCENTRANK.INC($E$7:$E$4378,E2406)*9,0)</f>
        <v>4</v>
      </c>
      <c r="I2406" s="1" t="str">
        <f aca="false">CONCATENATE(F2406,G2406,H2406)</f>
        <v>154</v>
      </c>
      <c r="J2406" s="1" t="str">
        <f aca="false">_xlfn.IFS(AND(F2406&gt;=8,G2406&gt;=8,H2406&gt;=8),"CHAMPION",AND(F2406&gt;=6,G2406&gt;=7,H2406&gt;=6),"LOYAL CUSTOMER",AND(F2406&gt;=6,G2406&gt;=5,H2406&gt;=5),"POTENTIAL LOYALIST",AND(F2406&gt;=8,G2406&lt;=2,H2406&gt;=5),"NEW CUSTOMERS",AND(F2406&gt;=6,G2406&lt;=2,H2406&gt;=3),"PROMISING",AND(F2406&gt;=3,G2406&gt;=3,H2406&gt;=3),"NEED ATTENTION",AND(F2406&lt;=4,G2406&gt;=6,H2406&gt;=6),"AT RISK",AND(F2406&lt;=2,G2406&gt;=8,H2406&gt;=8),"CAN'T LOSE THEM",AND(F2406&lt;=2,G2406&lt;=2,H2406&lt;=2),"HIBERNATING",TRUE(),"Other")</f>
        <v>Other</v>
      </c>
      <c r="K2406" s="1" t="n">
        <f aca="false">RANK(E2406,$E$7:$E$4378)+COUNTIF($E$7:E2406,E2406)-1</f>
        <v>2652</v>
      </c>
    </row>
    <row r="2407" customFormat="false" ht="14.25" hidden="false" customHeight="true" outlineLevel="0" collapsed="false">
      <c r="A2407" s="51" t="n">
        <v>15590</v>
      </c>
      <c r="B2407" s="53" t="n">
        <v>40597.6916666667</v>
      </c>
      <c r="C2407" s="57" t="n">
        <f aca="false">INT($C$2)-INT(Table3[[#This Row],[Last Purchase Date]])</f>
        <v>290</v>
      </c>
      <c r="D2407" s="1" t="n">
        <v>1</v>
      </c>
      <c r="E2407" s="1" t="n">
        <v>-30.19</v>
      </c>
      <c r="F2407" s="1" t="n">
        <f aca="false">ROUND((1-_xlfn.PERCENTRANK.INC($C$7:$C$4378,C2407))*9,0)</f>
        <v>1</v>
      </c>
      <c r="G2407" s="1" t="n">
        <f aca="false">ROUND(_xlfn.PERCENTRANK.INC($D$7:$D$4378,D2407)*9,0)</f>
        <v>0</v>
      </c>
      <c r="H2407" s="1" t="n">
        <f aca="false">ROUND(_xlfn.PERCENTRANK.INC($E$7:$E$4378,E2407)*9,0)</f>
        <v>0</v>
      </c>
      <c r="I2407" s="1" t="str">
        <f aca="false">CONCATENATE(F2407,G2407,H2407)</f>
        <v>100</v>
      </c>
      <c r="J2407" s="1" t="str">
        <f aca="false">_xlfn.IFS(AND(F2407&gt;=8,G2407&gt;=8,H2407&gt;=8),"CHAMPION",AND(F2407&gt;=6,G2407&gt;=7,H2407&gt;=6),"LOYAL CUSTOMER",AND(F2407&gt;=6,G2407&gt;=5,H2407&gt;=5),"POTENTIAL LOYALIST",AND(F2407&gt;=8,G2407&lt;=2,H2407&gt;=5),"NEW CUSTOMERS",AND(F2407&gt;=6,G2407&lt;=2,H2407&gt;=3),"PROMISING",AND(F2407&gt;=3,G2407&gt;=3,H2407&gt;=3),"NEED ATTENTION",AND(F2407&lt;=4,G2407&gt;=6,H2407&gt;=6),"AT RISK",AND(F2407&lt;=2,G2407&gt;=8,H2407&gt;=8),"CAN'T LOSE THEM",AND(F2407&lt;=2,G2407&lt;=2,H2407&lt;=2),"HIBERNATING",TRUE(),"Other")</f>
        <v>HIBERNATING</v>
      </c>
      <c r="K2407" s="1" t="n">
        <f aca="false">RANK(E2407,$E$7:$E$4378)+COUNTIF($E$7:E2407,E2407)-1</f>
        <v>4347</v>
      </c>
    </row>
    <row r="2408" customFormat="false" ht="14.25" hidden="false" customHeight="true" outlineLevel="0" collapsed="false">
      <c r="A2408" s="51" t="n">
        <v>15592</v>
      </c>
      <c r="B2408" s="53" t="n">
        <v>40840.3743055556</v>
      </c>
      <c r="C2408" s="57" t="n">
        <f aca="false">INT($C$2)-INT(Table3[[#This Row],[Last Purchase Date]])</f>
        <v>47</v>
      </c>
      <c r="D2408" s="1" t="n">
        <v>1</v>
      </c>
      <c r="E2408" s="1" t="n">
        <v>388.58</v>
      </c>
      <c r="F2408" s="1" t="n">
        <f aca="false">ROUND((1-_xlfn.PERCENTRANK.INC($C$7:$C$4378,C2408))*9,0)</f>
        <v>5</v>
      </c>
      <c r="G2408" s="1" t="n">
        <f aca="false">ROUND(_xlfn.PERCENTRANK.INC($D$7:$D$4378,D2408)*9,0)</f>
        <v>0</v>
      </c>
      <c r="H2408" s="1" t="n">
        <f aca="false">ROUND(_xlfn.PERCENTRANK.INC($E$7:$E$4378,E2408)*9,0)</f>
        <v>3</v>
      </c>
      <c r="I2408" s="1" t="str">
        <f aca="false">CONCATENATE(F2408,G2408,H2408)</f>
        <v>503</v>
      </c>
      <c r="J2408" s="1" t="str">
        <f aca="false">_xlfn.IFS(AND(F2408&gt;=8,G2408&gt;=8,H2408&gt;=8),"CHAMPION",AND(F2408&gt;=6,G2408&gt;=7,H2408&gt;=6),"LOYAL CUSTOMER",AND(F2408&gt;=6,G2408&gt;=5,H2408&gt;=5),"POTENTIAL LOYALIST",AND(F2408&gt;=8,G2408&lt;=2,H2408&gt;=5),"NEW CUSTOMERS",AND(F2408&gt;=6,G2408&lt;=2,H2408&gt;=3),"PROMISING",AND(F2408&gt;=3,G2408&gt;=3,H2408&gt;=3),"NEED ATTENTION",AND(F2408&lt;=4,G2408&gt;=6,H2408&gt;=6),"AT RISK",AND(F2408&lt;=2,G2408&gt;=8,H2408&gt;=8),"CAN'T LOSE THEM",AND(F2408&lt;=2,G2408&lt;=2,H2408&lt;=2),"HIBERNATING",TRUE(),"Other")</f>
        <v>Other</v>
      </c>
      <c r="K2408" s="1" t="n">
        <f aca="false">RANK(E2408,$E$7:$E$4378)+COUNTIF($E$7:E2408,E2408)-1</f>
        <v>2854</v>
      </c>
    </row>
    <row r="2409" customFormat="false" ht="14.25" hidden="false" customHeight="true" outlineLevel="0" collapsed="false">
      <c r="A2409" s="51" t="n">
        <v>15593</v>
      </c>
      <c r="B2409" s="53" t="n">
        <v>40816.4902777778</v>
      </c>
      <c r="C2409" s="57" t="n">
        <f aca="false">INT($C$2)-INT(Table3[[#This Row],[Last Purchase Date]])</f>
        <v>71</v>
      </c>
      <c r="D2409" s="1" t="n">
        <v>1</v>
      </c>
      <c r="E2409" s="1" t="n">
        <v>199.8</v>
      </c>
      <c r="F2409" s="1" t="n">
        <f aca="false">ROUND((1-_xlfn.PERCENTRANK.INC($C$7:$C$4378,C2409))*9,0)</f>
        <v>4</v>
      </c>
      <c r="G2409" s="1" t="n">
        <f aca="false">ROUND(_xlfn.PERCENTRANK.INC($D$7:$D$4378,D2409)*9,0)</f>
        <v>0</v>
      </c>
      <c r="H2409" s="1" t="n">
        <f aca="false">ROUND(_xlfn.PERCENTRANK.INC($E$7:$E$4378,E2409)*9,0)</f>
        <v>1</v>
      </c>
      <c r="I2409" s="1" t="str">
        <f aca="false">CONCATENATE(F2409,G2409,H2409)</f>
        <v>401</v>
      </c>
      <c r="J2409" s="1" t="str">
        <f aca="false">_xlfn.IFS(AND(F2409&gt;=8,G2409&gt;=8,H2409&gt;=8),"CHAMPION",AND(F2409&gt;=6,G2409&gt;=7,H2409&gt;=6),"LOYAL CUSTOMER",AND(F2409&gt;=6,G2409&gt;=5,H2409&gt;=5),"POTENTIAL LOYALIST",AND(F2409&gt;=8,G2409&lt;=2,H2409&gt;=5),"NEW CUSTOMERS",AND(F2409&gt;=6,G2409&lt;=2,H2409&gt;=3),"PROMISING",AND(F2409&gt;=3,G2409&gt;=3,H2409&gt;=3),"NEED ATTENTION",AND(F2409&lt;=4,G2409&gt;=6,H2409&gt;=6),"AT RISK",AND(F2409&lt;=2,G2409&gt;=8,H2409&gt;=8),"CAN'T LOSE THEM",AND(F2409&lt;=2,G2409&lt;=2,H2409&lt;=2),"HIBERNATING",TRUE(),"Other")</f>
        <v>Other</v>
      </c>
      <c r="K2409" s="1" t="n">
        <f aca="false">RANK(E2409,$E$7:$E$4378)+COUNTIF($E$7:E2409,E2409)-1</f>
        <v>3661</v>
      </c>
    </row>
    <row r="2410" customFormat="false" ht="14.25" hidden="false" customHeight="true" outlineLevel="0" collapsed="false">
      <c r="A2410" s="51" t="n">
        <v>15594</v>
      </c>
      <c r="B2410" s="53" t="n">
        <v>40871.3701388889</v>
      </c>
      <c r="C2410" s="57" t="n">
        <f aca="false">INT($C$2)-INT(Table3[[#This Row],[Last Purchase Date]])</f>
        <v>16</v>
      </c>
      <c r="D2410" s="1" t="n">
        <v>6</v>
      </c>
      <c r="E2410" s="1" t="n">
        <v>1767.53</v>
      </c>
      <c r="F2410" s="1" t="n">
        <f aca="false">ROUND((1-_xlfn.PERCENTRANK.INC($C$7:$C$4378,C2410))*9,0)</f>
        <v>7</v>
      </c>
      <c r="G2410" s="1" t="n">
        <f aca="false">ROUND(_xlfn.PERCENTRANK.INC($D$7:$D$4378,D2410)*9,0)</f>
        <v>7</v>
      </c>
      <c r="H2410" s="1" t="n">
        <f aca="false">ROUND(_xlfn.PERCENTRANK.INC($E$7:$E$4378,E2410)*9,0)</f>
        <v>7</v>
      </c>
      <c r="I2410" s="1" t="str">
        <f aca="false">CONCATENATE(F2410,G2410,H2410)</f>
        <v>777</v>
      </c>
      <c r="J2410" s="1" t="str">
        <f aca="false">_xlfn.IFS(AND(F2410&gt;=8,G2410&gt;=8,H2410&gt;=8),"CHAMPION",AND(F2410&gt;=6,G2410&gt;=7,H2410&gt;=6),"LOYAL CUSTOMER",AND(F2410&gt;=6,G2410&gt;=5,H2410&gt;=5),"POTENTIAL LOYALIST",AND(F2410&gt;=8,G2410&lt;=2,H2410&gt;=5),"NEW CUSTOMERS",AND(F2410&gt;=6,G2410&lt;=2,H2410&gt;=3),"PROMISING",AND(F2410&gt;=3,G2410&gt;=3,H2410&gt;=3),"NEED ATTENTION",AND(F2410&lt;=4,G2410&gt;=6,H2410&gt;=6),"AT RISK",AND(F2410&lt;=2,G2410&gt;=8,H2410&gt;=8),"CAN'T LOSE THEM",AND(F2410&lt;=2,G2410&lt;=2,H2410&lt;=2),"HIBERNATING",TRUE(),"Other")</f>
        <v>LOYAL CUSTOMER</v>
      </c>
      <c r="K2410" s="1" t="n">
        <f aca="false">RANK(E2410,$E$7:$E$4378)+COUNTIF($E$7:E2410,E2410)-1</f>
        <v>1000</v>
      </c>
    </row>
    <row r="2411" customFormat="false" ht="14.25" hidden="false" customHeight="true" outlineLevel="0" collapsed="false">
      <c r="A2411" s="51" t="n">
        <v>15596</v>
      </c>
      <c r="B2411" s="53" t="n">
        <v>40786.4548611111</v>
      </c>
      <c r="C2411" s="57" t="n">
        <f aca="false">INT($C$2)-INT(Table3[[#This Row],[Last Purchase Date]])</f>
        <v>101</v>
      </c>
      <c r="D2411" s="1" t="n">
        <v>9</v>
      </c>
      <c r="E2411" s="1" t="n">
        <v>1343.34</v>
      </c>
      <c r="F2411" s="1" t="n">
        <f aca="false">ROUND((1-_xlfn.PERCENTRANK.INC($C$7:$C$4378,C2411))*9,0)</f>
        <v>3</v>
      </c>
      <c r="G2411" s="1" t="n">
        <f aca="false">ROUND(_xlfn.PERCENTRANK.INC($D$7:$D$4378,D2411)*9,0)</f>
        <v>8</v>
      </c>
      <c r="H2411" s="1" t="n">
        <f aca="false">ROUND(_xlfn.PERCENTRANK.INC($E$7:$E$4378,E2411)*9,0)</f>
        <v>6</v>
      </c>
      <c r="I2411" s="1" t="str">
        <f aca="false">CONCATENATE(F2411,G2411,H2411)</f>
        <v>386</v>
      </c>
      <c r="J2411" s="1" t="str">
        <f aca="false">_xlfn.IFS(AND(F2411&gt;=8,G2411&gt;=8,H2411&gt;=8),"CHAMPION",AND(F2411&gt;=6,G2411&gt;=7,H2411&gt;=6),"LOYAL CUSTOMER",AND(F2411&gt;=6,G2411&gt;=5,H2411&gt;=5),"POTENTIAL LOYALIST",AND(F2411&gt;=8,G2411&lt;=2,H2411&gt;=5),"NEW CUSTOMERS",AND(F2411&gt;=6,G2411&lt;=2,H2411&gt;=3),"PROMISING",AND(F2411&gt;=3,G2411&gt;=3,H2411&gt;=3),"NEED ATTENTION",AND(F2411&lt;=4,G2411&gt;=6,H2411&gt;=6),"AT RISK",AND(F2411&lt;=2,G2411&gt;=8,H2411&gt;=8),"CAN'T LOSE THEM",AND(F2411&lt;=2,G2411&lt;=2,H2411&lt;=2),"HIBERNATING",TRUE(),"Other")</f>
        <v>NEED ATTENTION</v>
      </c>
      <c r="K2411" s="1" t="n">
        <f aca="false">RANK(E2411,$E$7:$E$4378)+COUNTIF($E$7:E2411,E2411)-1</f>
        <v>1282</v>
      </c>
    </row>
    <row r="2412" customFormat="false" ht="14.25" hidden="false" customHeight="true" outlineLevel="0" collapsed="false">
      <c r="A2412" s="51" t="n">
        <v>15597</v>
      </c>
      <c r="B2412" s="53" t="n">
        <v>40857.4902777778</v>
      </c>
      <c r="C2412" s="57" t="n">
        <f aca="false">INT($C$2)-INT(Table3[[#This Row],[Last Purchase Date]])</f>
        <v>30</v>
      </c>
      <c r="D2412" s="1" t="n">
        <v>2</v>
      </c>
      <c r="E2412" s="1" t="n">
        <v>315.72</v>
      </c>
      <c r="F2412" s="1" t="n">
        <f aca="false">ROUND((1-_xlfn.PERCENTRANK.INC($C$7:$C$4378,C2412))*9,0)</f>
        <v>6</v>
      </c>
      <c r="G2412" s="1" t="n">
        <f aca="false">ROUND(_xlfn.PERCENTRANK.INC($D$7:$D$4378,D2412)*9,0)</f>
        <v>3</v>
      </c>
      <c r="H2412" s="1" t="n">
        <f aca="false">ROUND(_xlfn.PERCENTRANK.INC($E$7:$E$4378,E2412)*9,0)</f>
        <v>2</v>
      </c>
      <c r="I2412" s="1" t="str">
        <f aca="false">CONCATENATE(F2412,G2412,H2412)</f>
        <v>632</v>
      </c>
      <c r="J2412" s="1" t="str">
        <f aca="false">_xlfn.IFS(AND(F2412&gt;=8,G2412&gt;=8,H2412&gt;=8),"CHAMPION",AND(F2412&gt;=6,G2412&gt;=7,H2412&gt;=6),"LOYAL CUSTOMER",AND(F2412&gt;=6,G2412&gt;=5,H2412&gt;=5),"POTENTIAL LOYALIST",AND(F2412&gt;=8,G2412&lt;=2,H2412&gt;=5),"NEW CUSTOMERS",AND(F2412&gt;=6,G2412&lt;=2,H2412&gt;=3),"PROMISING",AND(F2412&gt;=3,G2412&gt;=3,H2412&gt;=3),"NEED ATTENTION",AND(F2412&lt;=4,G2412&gt;=6,H2412&gt;=6),"AT RISK",AND(F2412&lt;=2,G2412&gt;=8,H2412&gt;=8),"CAN'T LOSE THEM",AND(F2412&lt;=2,G2412&lt;=2,H2412&lt;=2),"HIBERNATING",TRUE(),"Other")</f>
        <v>Other</v>
      </c>
      <c r="K2412" s="1" t="n">
        <f aca="false">RANK(E2412,$E$7:$E$4378)+COUNTIF($E$7:E2412,E2412)-1</f>
        <v>3160</v>
      </c>
    </row>
    <row r="2413" customFormat="false" ht="14.25" hidden="false" customHeight="true" outlineLevel="0" collapsed="false">
      <c r="A2413" s="51" t="n">
        <v>15598</v>
      </c>
      <c r="B2413" s="53" t="n">
        <v>40851.5513888889</v>
      </c>
      <c r="C2413" s="57" t="n">
        <f aca="false">INT($C$2)-INT(Table3[[#This Row],[Last Purchase Date]])</f>
        <v>36</v>
      </c>
      <c r="D2413" s="1" t="n">
        <v>3</v>
      </c>
      <c r="E2413" s="1" t="n">
        <v>235.68</v>
      </c>
      <c r="F2413" s="1" t="n">
        <f aca="false">ROUND((1-_xlfn.PERCENTRANK.INC($C$7:$C$4378,C2413))*9,0)</f>
        <v>5</v>
      </c>
      <c r="G2413" s="1" t="n">
        <f aca="false">ROUND(_xlfn.PERCENTRANK.INC($D$7:$D$4378,D2413)*9,0)</f>
        <v>4</v>
      </c>
      <c r="H2413" s="1" t="n">
        <f aca="false">ROUND(_xlfn.PERCENTRANK.INC($E$7:$E$4378,E2413)*9,0)</f>
        <v>2</v>
      </c>
      <c r="I2413" s="1" t="str">
        <f aca="false">CONCATENATE(F2413,G2413,H2413)</f>
        <v>542</v>
      </c>
      <c r="J2413" s="1" t="str">
        <f aca="false">_xlfn.IFS(AND(F2413&gt;=8,G2413&gt;=8,H2413&gt;=8),"CHAMPION",AND(F2413&gt;=6,G2413&gt;=7,H2413&gt;=6),"LOYAL CUSTOMER",AND(F2413&gt;=6,G2413&gt;=5,H2413&gt;=5),"POTENTIAL LOYALIST",AND(F2413&gt;=8,G2413&lt;=2,H2413&gt;=5),"NEW CUSTOMERS",AND(F2413&gt;=6,G2413&lt;=2,H2413&gt;=3),"PROMISING",AND(F2413&gt;=3,G2413&gt;=3,H2413&gt;=3),"NEED ATTENTION",AND(F2413&lt;=4,G2413&gt;=6,H2413&gt;=6),"AT RISK",AND(F2413&lt;=2,G2413&gt;=8,H2413&gt;=8),"CAN'T LOSE THEM",AND(F2413&lt;=2,G2413&lt;=2,H2413&lt;=2),"HIBERNATING",TRUE(),"Other")</f>
        <v>Other</v>
      </c>
      <c r="K2413" s="1" t="n">
        <f aca="false">RANK(E2413,$E$7:$E$4378)+COUNTIF($E$7:E2413,E2413)-1</f>
        <v>3496</v>
      </c>
    </row>
    <row r="2414" customFormat="false" ht="14.25" hidden="false" customHeight="true" outlineLevel="0" collapsed="false">
      <c r="A2414" s="51" t="n">
        <v>15599</v>
      </c>
      <c r="B2414" s="53" t="n">
        <v>40860.4888888889</v>
      </c>
      <c r="C2414" s="57" t="n">
        <f aca="false">INT($C$2)-INT(Table3[[#This Row],[Last Purchase Date]])</f>
        <v>27</v>
      </c>
      <c r="D2414" s="1" t="n">
        <v>2</v>
      </c>
      <c r="E2414" s="1" t="n">
        <v>761.74</v>
      </c>
      <c r="F2414" s="1" t="n">
        <f aca="false">ROUND((1-_xlfn.PERCENTRANK.INC($C$7:$C$4378,C2414))*9,0)</f>
        <v>6</v>
      </c>
      <c r="G2414" s="1" t="n">
        <f aca="false">ROUND(_xlfn.PERCENTRANK.INC($D$7:$D$4378,D2414)*9,0)</f>
        <v>3</v>
      </c>
      <c r="H2414" s="1" t="n">
        <f aca="false">ROUND(_xlfn.PERCENTRANK.INC($E$7:$E$4378,E2414)*9,0)</f>
        <v>5</v>
      </c>
      <c r="I2414" s="1" t="str">
        <f aca="false">CONCATENATE(F2414,G2414,H2414)</f>
        <v>635</v>
      </c>
      <c r="J2414" s="1" t="str">
        <f aca="false">_xlfn.IFS(AND(F2414&gt;=8,G2414&gt;=8,H2414&gt;=8),"CHAMPION",AND(F2414&gt;=6,G2414&gt;=7,H2414&gt;=6),"LOYAL CUSTOMER",AND(F2414&gt;=6,G2414&gt;=5,H2414&gt;=5),"POTENTIAL LOYALIST",AND(F2414&gt;=8,G2414&lt;=2,H2414&gt;=5),"NEW CUSTOMERS",AND(F2414&gt;=6,G2414&lt;=2,H2414&gt;=3),"PROMISING",AND(F2414&gt;=3,G2414&gt;=3,H2414&gt;=3),"NEED ATTENTION",AND(F2414&lt;=4,G2414&gt;=6,H2414&gt;=6),"AT RISK",AND(F2414&lt;=2,G2414&gt;=8,H2414&gt;=8),"CAN'T LOSE THEM",AND(F2414&lt;=2,G2414&lt;=2,H2414&lt;=2),"HIBERNATING",TRUE(),"Other")</f>
        <v>NEED ATTENTION</v>
      </c>
      <c r="K2414" s="1" t="n">
        <f aca="false">RANK(E2414,$E$7:$E$4378)+COUNTIF($E$7:E2414,E2414)-1</f>
        <v>1962</v>
      </c>
    </row>
    <row r="2415" customFormat="false" ht="14.25" hidden="false" customHeight="true" outlineLevel="0" collapsed="false">
      <c r="A2415" s="51" t="n">
        <v>15601</v>
      </c>
      <c r="B2415" s="53" t="n">
        <v>40875.6354166667</v>
      </c>
      <c r="C2415" s="57" t="n">
        <f aca="false">INT($C$2)-INT(Table3[[#This Row],[Last Purchase Date]])</f>
        <v>12</v>
      </c>
      <c r="D2415" s="1" t="n">
        <v>17</v>
      </c>
      <c r="E2415" s="1" t="n">
        <v>6745.36</v>
      </c>
      <c r="F2415" s="1" t="n">
        <f aca="false">ROUND((1-_xlfn.PERCENTRANK.INC($C$7:$C$4378,C2415))*9,0)</f>
        <v>7</v>
      </c>
      <c r="G2415" s="1" t="n">
        <f aca="false">ROUND(_xlfn.PERCENTRANK.INC($D$7:$D$4378,D2415)*9,0)</f>
        <v>9</v>
      </c>
      <c r="H2415" s="1" t="n">
        <f aca="false">ROUND(_xlfn.PERCENTRANK.INC($E$7:$E$4378,E2415)*9,0)</f>
        <v>9</v>
      </c>
      <c r="I2415" s="1" t="str">
        <f aca="false">CONCATENATE(F2415,G2415,H2415)</f>
        <v>799</v>
      </c>
      <c r="J2415" s="1" t="str">
        <f aca="false">_xlfn.IFS(AND(F2415&gt;=8,G2415&gt;=8,H2415&gt;=8),"CHAMPION",AND(F2415&gt;=6,G2415&gt;=7,H2415&gt;=6),"LOYAL CUSTOMER",AND(F2415&gt;=6,G2415&gt;=5,H2415&gt;=5),"POTENTIAL LOYALIST",AND(F2415&gt;=8,G2415&lt;=2,H2415&gt;=5),"NEW CUSTOMERS",AND(F2415&gt;=6,G2415&lt;=2,H2415&gt;=3),"PROMISING",AND(F2415&gt;=3,G2415&gt;=3,H2415&gt;=3),"NEED ATTENTION",AND(F2415&lt;=4,G2415&gt;=6,H2415&gt;=6),"AT RISK",AND(F2415&lt;=2,G2415&gt;=8,H2415&gt;=8),"CAN'T LOSE THEM",AND(F2415&lt;=2,G2415&lt;=2,H2415&lt;=2),"HIBERNATING",TRUE(),"Other")</f>
        <v>LOYAL CUSTOMER</v>
      </c>
      <c r="K2415" s="1" t="n">
        <f aca="false">RANK(E2415,$E$7:$E$4378)+COUNTIF($E$7:E2415,E2415)-1</f>
        <v>168</v>
      </c>
    </row>
    <row r="2416" customFormat="false" ht="14.25" hidden="false" customHeight="true" outlineLevel="0" collapsed="false">
      <c r="A2416" s="51" t="n">
        <v>15602</v>
      </c>
      <c r="B2416" s="53" t="n">
        <v>40878.5930555556</v>
      </c>
      <c r="C2416" s="57" t="n">
        <f aca="false">INT($C$2)-INT(Table3[[#This Row],[Last Purchase Date]])</f>
        <v>9</v>
      </c>
      <c r="D2416" s="1" t="n">
        <v>15</v>
      </c>
      <c r="E2416" s="1" t="n">
        <v>1083.63</v>
      </c>
      <c r="F2416" s="1" t="n">
        <f aca="false">ROUND((1-_xlfn.PERCENTRANK.INC($C$7:$C$4378,C2416))*9,0)</f>
        <v>8</v>
      </c>
      <c r="G2416" s="1" t="n">
        <f aca="false">ROUND(_xlfn.PERCENTRANK.INC($D$7:$D$4378,D2416)*9,0)</f>
        <v>8</v>
      </c>
      <c r="H2416" s="1" t="n">
        <f aca="false">ROUND(_xlfn.PERCENTRANK.INC($E$7:$E$4378,E2416)*9,0)</f>
        <v>6</v>
      </c>
      <c r="I2416" s="1" t="str">
        <f aca="false">CONCATENATE(F2416,G2416,H2416)</f>
        <v>886</v>
      </c>
      <c r="J2416" s="1" t="str">
        <f aca="false">_xlfn.IFS(AND(F2416&gt;=8,G2416&gt;=8,H2416&gt;=8),"CHAMPION",AND(F2416&gt;=6,G2416&gt;=7,H2416&gt;=6),"LOYAL CUSTOMER",AND(F2416&gt;=6,G2416&gt;=5,H2416&gt;=5),"POTENTIAL LOYALIST",AND(F2416&gt;=8,G2416&lt;=2,H2416&gt;=5),"NEW CUSTOMERS",AND(F2416&gt;=6,G2416&lt;=2,H2416&gt;=3),"PROMISING",AND(F2416&gt;=3,G2416&gt;=3,H2416&gt;=3),"NEED ATTENTION",AND(F2416&lt;=4,G2416&gt;=6,H2416&gt;=6),"AT RISK",AND(F2416&lt;=2,G2416&gt;=8,H2416&gt;=8),"CAN'T LOSE THEM",AND(F2416&lt;=2,G2416&lt;=2,H2416&lt;=2),"HIBERNATING",TRUE(),"Other")</f>
        <v>LOYAL CUSTOMER</v>
      </c>
      <c r="K2416" s="1" t="n">
        <f aca="false">RANK(E2416,$E$7:$E$4378)+COUNTIF($E$7:E2416,E2416)-1</f>
        <v>1526</v>
      </c>
    </row>
    <row r="2417" customFormat="false" ht="14.25" hidden="false" customHeight="true" outlineLevel="0" collapsed="false">
      <c r="A2417" s="51" t="n">
        <v>15603</v>
      </c>
      <c r="B2417" s="53" t="n">
        <v>40808.4194444444</v>
      </c>
      <c r="C2417" s="57" t="n">
        <f aca="false">INT($C$2)-INT(Table3[[#This Row],[Last Purchase Date]])</f>
        <v>79</v>
      </c>
      <c r="D2417" s="1" t="n">
        <v>1</v>
      </c>
      <c r="E2417" s="1" t="n">
        <v>48.48</v>
      </c>
      <c r="F2417" s="1" t="n">
        <f aca="false">ROUND((1-_xlfn.PERCENTRANK.INC($C$7:$C$4378,C2417))*9,0)</f>
        <v>3</v>
      </c>
      <c r="G2417" s="1" t="n">
        <f aca="false">ROUND(_xlfn.PERCENTRANK.INC($D$7:$D$4378,D2417)*9,0)</f>
        <v>0</v>
      </c>
      <c r="H2417" s="1" t="n">
        <f aca="false">ROUND(_xlfn.PERCENTRANK.INC($E$7:$E$4378,E2417)*9,0)</f>
        <v>0</v>
      </c>
      <c r="I2417" s="1" t="str">
        <f aca="false">CONCATENATE(F2417,G2417,H2417)</f>
        <v>300</v>
      </c>
      <c r="J2417" s="1" t="str">
        <f aca="false">_xlfn.IFS(AND(F2417&gt;=8,G2417&gt;=8,H2417&gt;=8),"CHAMPION",AND(F2417&gt;=6,G2417&gt;=7,H2417&gt;=6),"LOYAL CUSTOMER",AND(F2417&gt;=6,G2417&gt;=5,H2417&gt;=5),"POTENTIAL LOYALIST",AND(F2417&gt;=8,G2417&lt;=2,H2417&gt;=5),"NEW CUSTOMERS",AND(F2417&gt;=6,G2417&lt;=2,H2417&gt;=3),"PROMISING",AND(F2417&gt;=3,G2417&gt;=3,H2417&gt;=3),"NEED ATTENTION",AND(F2417&lt;=4,G2417&gt;=6,H2417&gt;=6),"AT RISK",AND(F2417&lt;=2,G2417&gt;=8,H2417&gt;=8),"CAN'T LOSE THEM",AND(F2417&lt;=2,G2417&lt;=2,H2417&lt;=2),"HIBERNATING",TRUE(),"Other")</f>
        <v>Other</v>
      </c>
      <c r="K2417" s="1" t="n">
        <f aca="false">RANK(E2417,$E$7:$E$4378)+COUNTIF($E$7:E2417,E2417)-1</f>
        <v>4284</v>
      </c>
    </row>
    <row r="2418" customFormat="false" ht="14.25" hidden="false" customHeight="true" outlineLevel="0" collapsed="false">
      <c r="A2418" s="51" t="n">
        <v>15604</v>
      </c>
      <c r="B2418" s="53" t="n">
        <v>40834.6159722222</v>
      </c>
      <c r="C2418" s="57" t="n">
        <f aca="false">INT($C$2)-INT(Table3[[#This Row],[Last Purchase Date]])</f>
        <v>53</v>
      </c>
      <c r="D2418" s="1" t="n">
        <v>1</v>
      </c>
      <c r="E2418" s="1" t="n">
        <v>216.39</v>
      </c>
      <c r="F2418" s="1" t="n">
        <f aca="false">ROUND((1-_xlfn.PERCENTRANK.INC($C$7:$C$4378,C2418))*9,0)</f>
        <v>4</v>
      </c>
      <c r="G2418" s="1" t="n">
        <f aca="false">ROUND(_xlfn.PERCENTRANK.INC($D$7:$D$4378,D2418)*9,0)</f>
        <v>0</v>
      </c>
      <c r="H2418" s="1" t="n">
        <f aca="false">ROUND(_xlfn.PERCENTRANK.INC($E$7:$E$4378,E2418)*9,0)</f>
        <v>2</v>
      </c>
      <c r="I2418" s="1" t="str">
        <f aca="false">CONCATENATE(F2418,G2418,H2418)</f>
        <v>402</v>
      </c>
      <c r="J2418" s="1" t="str">
        <f aca="false">_xlfn.IFS(AND(F2418&gt;=8,G2418&gt;=8,H2418&gt;=8),"CHAMPION",AND(F2418&gt;=6,G2418&gt;=7,H2418&gt;=6),"LOYAL CUSTOMER",AND(F2418&gt;=6,G2418&gt;=5,H2418&gt;=5),"POTENTIAL LOYALIST",AND(F2418&gt;=8,G2418&lt;=2,H2418&gt;=5),"NEW CUSTOMERS",AND(F2418&gt;=6,G2418&lt;=2,H2418&gt;=3),"PROMISING",AND(F2418&gt;=3,G2418&gt;=3,H2418&gt;=3),"NEED ATTENTION",AND(F2418&lt;=4,G2418&gt;=6,H2418&gt;=6),"AT RISK",AND(F2418&lt;=2,G2418&gt;=8,H2418&gt;=8),"CAN'T LOSE THEM",AND(F2418&lt;=2,G2418&lt;=2,H2418&lt;=2),"HIBERNATING",TRUE(),"Other")</f>
        <v>Other</v>
      </c>
      <c r="K2418" s="1" t="n">
        <f aca="false">RANK(E2418,$E$7:$E$4378)+COUNTIF($E$7:E2418,E2418)-1</f>
        <v>3577</v>
      </c>
    </row>
    <row r="2419" customFormat="false" ht="14.25" hidden="false" customHeight="true" outlineLevel="0" collapsed="false">
      <c r="A2419" s="51" t="n">
        <v>15605</v>
      </c>
      <c r="B2419" s="53" t="n">
        <v>40850.5951388889</v>
      </c>
      <c r="C2419" s="57" t="n">
        <f aca="false">INT($C$2)-INT(Table3[[#This Row],[Last Purchase Date]])</f>
        <v>37</v>
      </c>
      <c r="D2419" s="1" t="n">
        <v>5</v>
      </c>
      <c r="E2419" s="1" t="n">
        <v>1198.23</v>
      </c>
      <c r="F2419" s="1" t="n">
        <f aca="false">ROUND((1-_xlfn.PERCENTRANK.INC($C$7:$C$4378,C2419))*9,0)</f>
        <v>5</v>
      </c>
      <c r="G2419" s="1" t="n">
        <f aca="false">ROUND(_xlfn.PERCENTRANK.INC($D$7:$D$4378,D2419)*9,0)</f>
        <v>6</v>
      </c>
      <c r="H2419" s="1" t="n">
        <f aca="false">ROUND(_xlfn.PERCENTRANK.INC($E$7:$E$4378,E2419)*9,0)</f>
        <v>6</v>
      </c>
      <c r="I2419" s="1" t="str">
        <f aca="false">CONCATENATE(F2419,G2419,H2419)</f>
        <v>566</v>
      </c>
      <c r="J2419" s="1" t="str">
        <f aca="false">_xlfn.IFS(AND(F2419&gt;=8,G2419&gt;=8,H2419&gt;=8),"CHAMPION",AND(F2419&gt;=6,G2419&gt;=7,H2419&gt;=6),"LOYAL CUSTOMER",AND(F2419&gt;=6,G2419&gt;=5,H2419&gt;=5),"POTENTIAL LOYALIST",AND(F2419&gt;=8,G2419&lt;=2,H2419&gt;=5),"NEW CUSTOMERS",AND(F2419&gt;=6,G2419&lt;=2,H2419&gt;=3),"PROMISING",AND(F2419&gt;=3,G2419&gt;=3,H2419&gt;=3),"NEED ATTENTION",AND(F2419&lt;=4,G2419&gt;=6,H2419&gt;=6),"AT RISK",AND(F2419&lt;=2,G2419&gt;=8,H2419&gt;=8),"CAN'T LOSE THEM",AND(F2419&lt;=2,G2419&lt;=2,H2419&lt;=2),"HIBERNATING",TRUE(),"Other")</f>
        <v>NEED ATTENTION</v>
      </c>
      <c r="K2419" s="1" t="n">
        <f aca="false">RANK(E2419,$E$7:$E$4378)+COUNTIF($E$7:E2419,E2419)-1</f>
        <v>1414</v>
      </c>
    </row>
    <row r="2420" customFormat="false" ht="14.25" hidden="false" customHeight="true" outlineLevel="0" collapsed="false">
      <c r="A2420" s="51" t="n">
        <v>15606</v>
      </c>
      <c r="B2420" s="53" t="n">
        <v>40829.5638888889</v>
      </c>
      <c r="C2420" s="57" t="n">
        <f aca="false">INT($C$2)-INT(Table3[[#This Row],[Last Purchase Date]])</f>
        <v>58</v>
      </c>
      <c r="D2420" s="1" t="n">
        <v>11</v>
      </c>
      <c r="E2420" s="1" t="n">
        <v>2422.64</v>
      </c>
      <c r="F2420" s="1" t="n">
        <f aca="false">ROUND((1-_xlfn.PERCENTRANK.INC($C$7:$C$4378,C2420))*9,0)</f>
        <v>4</v>
      </c>
      <c r="G2420" s="1" t="n">
        <f aca="false">ROUND(_xlfn.PERCENTRANK.INC($D$7:$D$4378,D2420)*9,0)</f>
        <v>8</v>
      </c>
      <c r="H2420" s="1" t="n">
        <f aca="false">ROUND(_xlfn.PERCENTRANK.INC($E$7:$E$4378,E2420)*9,0)</f>
        <v>8</v>
      </c>
      <c r="I2420" s="1" t="str">
        <f aca="false">CONCATENATE(F2420,G2420,H2420)</f>
        <v>488</v>
      </c>
      <c r="J2420" s="1" t="str">
        <f aca="false">_xlfn.IFS(AND(F2420&gt;=8,G2420&gt;=8,H2420&gt;=8),"CHAMPION",AND(F2420&gt;=6,G2420&gt;=7,H2420&gt;=6),"LOYAL CUSTOMER",AND(F2420&gt;=6,G2420&gt;=5,H2420&gt;=5),"POTENTIAL LOYALIST",AND(F2420&gt;=8,G2420&lt;=2,H2420&gt;=5),"NEW CUSTOMERS",AND(F2420&gt;=6,G2420&lt;=2,H2420&gt;=3),"PROMISING",AND(F2420&gt;=3,G2420&gt;=3,H2420&gt;=3),"NEED ATTENTION",AND(F2420&lt;=4,G2420&gt;=6,H2420&gt;=6),"AT RISK",AND(F2420&lt;=2,G2420&gt;=8,H2420&gt;=8),"CAN'T LOSE THEM",AND(F2420&lt;=2,G2420&lt;=2,H2420&lt;=2),"HIBERNATING",TRUE(),"Other")</f>
        <v>NEED ATTENTION</v>
      </c>
      <c r="K2420" s="1" t="n">
        <f aca="false">RANK(E2420,$E$7:$E$4378)+COUNTIF($E$7:E2420,E2420)-1</f>
        <v>705</v>
      </c>
    </row>
    <row r="2421" customFormat="false" ht="14.25" hidden="false" customHeight="true" outlineLevel="0" collapsed="false">
      <c r="A2421" s="51" t="n">
        <v>15607</v>
      </c>
      <c r="B2421" s="53" t="n">
        <v>40550.5305555556</v>
      </c>
      <c r="C2421" s="57" t="n">
        <f aca="false">INT($C$2)-INT(Table3[[#This Row],[Last Purchase Date]])</f>
        <v>337</v>
      </c>
      <c r="D2421" s="1" t="n">
        <v>1</v>
      </c>
      <c r="E2421" s="1" t="n">
        <v>104.76</v>
      </c>
      <c r="F2421" s="1" t="n">
        <f aca="false">ROUND((1-_xlfn.PERCENTRANK.INC($C$7:$C$4378,C2421))*9,0)</f>
        <v>0</v>
      </c>
      <c r="G2421" s="1" t="n">
        <f aca="false">ROUND(_xlfn.PERCENTRANK.INC($D$7:$D$4378,D2421)*9,0)</f>
        <v>0</v>
      </c>
      <c r="H2421" s="1" t="n">
        <f aca="false">ROUND(_xlfn.PERCENTRANK.INC($E$7:$E$4378,E2421)*9,0)</f>
        <v>0</v>
      </c>
      <c r="I2421" s="1" t="str">
        <f aca="false">CONCATENATE(F2421,G2421,H2421)</f>
        <v>000</v>
      </c>
      <c r="J2421" s="1" t="str">
        <f aca="false">_xlfn.IFS(AND(F2421&gt;=8,G2421&gt;=8,H2421&gt;=8),"CHAMPION",AND(F2421&gt;=6,G2421&gt;=7,H2421&gt;=6),"LOYAL CUSTOMER",AND(F2421&gt;=6,G2421&gt;=5,H2421&gt;=5),"POTENTIAL LOYALIST",AND(F2421&gt;=8,G2421&lt;=2,H2421&gt;=5),"NEW CUSTOMERS",AND(F2421&gt;=6,G2421&lt;=2,H2421&gt;=3),"PROMISING",AND(F2421&gt;=3,G2421&gt;=3,H2421&gt;=3),"NEED ATTENTION",AND(F2421&lt;=4,G2421&gt;=6,H2421&gt;=6),"AT RISK",AND(F2421&lt;=2,G2421&gt;=8,H2421&gt;=8),"CAN'T LOSE THEM",AND(F2421&lt;=2,G2421&lt;=2,H2421&lt;=2),"HIBERNATING",TRUE(),"Other")</f>
        <v>HIBERNATING</v>
      </c>
      <c r="K2421" s="1" t="n">
        <f aca="false">RANK(E2421,$E$7:$E$4378)+COUNTIF($E$7:E2421,E2421)-1</f>
        <v>4136</v>
      </c>
    </row>
    <row r="2422" customFormat="false" ht="14.25" hidden="false" customHeight="true" outlineLevel="0" collapsed="false">
      <c r="A2422" s="51" t="n">
        <v>15608</v>
      </c>
      <c r="B2422" s="53" t="n">
        <v>40858.5555555556</v>
      </c>
      <c r="C2422" s="57" t="n">
        <f aca="false">INT($C$2)-INT(Table3[[#This Row],[Last Purchase Date]])</f>
        <v>29</v>
      </c>
      <c r="D2422" s="1" t="n">
        <v>4</v>
      </c>
      <c r="E2422" s="1" t="n">
        <v>1093.68</v>
      </c>
      <c r="F2422" s="1" t="n">
        <f aca="false">ROUND((1-_xlfn.PERCENTRANK.INC($C$7:$C$4378,C2422))*9,0)</f>
        <v>6</v>
      </c>
      <c r="G2422" s="1" t="n">
        <f aca="false">ROUND(_xlfn.PERCENTRANK.INC($D$7:$D$4378,D2422)*9,0)</f>
        <v>5</v>
      </c>
      <c r="H2422" s="1" t="n">
        <f aca="false">ROUND(_xlfn.PERCENTRANK.INC($E$7:$E$4378,E2422)*9,0)</f>
        <v>6</v>
      </c>
      <c r="I2422" s="1" t="str">
        <f aca="false">CONCATENATE(F2422,G2422,H2422)</f>
        <v>656</v>
      </c>
      <c r="J2422" s="1" t="str">
        <f aca="false">_xlfn.IFS(AND(F2422&gt;=8,G2422&gt;=8,H2422&gt;=8),"CHAMPION",AND(F2422&gt;=6,G2422&gt;=7,H2422&gt;=6),"LOYAL CUSTOMER",AND(F2422&gt;=6,G2422&gt;=5,H2422&gt;=5),"POTENTIAL LOYALIST",AND(F2422&gt;=8,G2422&lt;=2,H2422&gt;=5),"NEW CUSTOMERS",AND(F2422&gt;=6,G2422&lt;=2,H2422&gt;=3),"PROMISING",AND(F2422&gt;=3,G2422&gt;=3,H2422&gt;=3),"NEED ATTENTION",AND(F2422&lt;=4,G2422&gt;=6,H2422&gt;=6),"AT RISK",AND(F2422&lt;=2,G2422&gt;=8,H2422&gt;=8),"CAN'T LOSE THEM",AND(F2422&lt;=2,G2422&lt;=2,H2422&lt;=2),"HIBERNATING",TRUE(),"Other")</f>
        <v>POTENTIAL LOYALIST</v>
      </c>
      <c r="K2422" s="1" t="n">
        <f aca="false">RANK(E2422,$E$7:$E$4378)+COUNTIF($E$7:E2422,E2422)-1</f>
        <v>1516</v>
      </c>
    </row>
    <row r="2423" customFormat="false" ht="14.25" hidden="false" customHeight="true" outlineLevel="0" collapsed="false">
      <c r="A2423" s="51" t="n">
        <v>15609</v>
      </c>
      <c r="B2423" s="53" t="n">
        <v>40704.4131944445</v>
      </c>
      <c r="C2423" s="57" t="n">
        <f aca="false">INT($C$2)-INT(Table3[[#This Row],[Last Purchase Date]])</f>
        <v>183</v>
      </c>
      <c r="D2423" s="1" t="n">
        <v>2</v>
      </c>
      <c r="E2423" s="1" t="n">
        <v>270.03</v>
      </c>
      <c r="F2423" s="1" t="n">
        <f aca="false">ROUND((1-_xlfn.PERCENTRANK.INC($C$7:$C$4378,C2423))*9,0)</f>
        <v>2</v>
      </c>
      <c r="G2423" s="1" t="n">
        <f aca="false">ROUND(_xlfn.PERCENTRANK.INC($D$7:$D$4378,D2423)*9,0)</f>
        <v>3</v>
      </c>
      <c r="H2423" s="1" t="n">
        <f aca="false">ROUND(_xlfn.PERCENTRANK.INC($E$7:$E$4378,E2423)*9,0)</f>
        <v>2</v>
      </c>
      <c r="I2423" s="1" t="str">
        <f aca="false">CONCATENATE(F2423,G2423,H2423)</f>
        <v>232</v>
      </c>
      <c r="J2423" s="1" t="str">
        <f aca="false">_xlfn.IFS(AND(F2423&gt;=8,G2423&gt;=8,H2423&gt;=8),"CHAMPION",AND(F2423&gt;=6,G2423&gt;=7,H2423&gt;=6),"LOYAL CUSTOMER",AND(F2423&gt;=6,G2423&gt;=5,H2423&gt;=5),"POTENTIAL LOYALIST",AND(F2423&gt;=8,G2423&lt;=2,H2423&gt;=5),"NEW CUSTOMERS",AND(F2423&gt;=6,G2423&lt;=2,H2423&gt;=3),"PROMISING",AND(F2423&gt;=3,G2423&gt;=3,H2423&gt;=3),"NEED ATTENTION",AND(F2423&lt;=4,G2423&gt;=6,H2423&gt;=6),"AT RISK",AND(F2423&lt;=2,G2423&gt;=8,H2423&gt;=8),"CAN'T LOSE THEM",AND(F2423&lt;=2,G2423&lt;=2,H2423&lt;=2),"HIBERNATING",TRUE(),"Other")</f>
        <v>Other</v>
      </c>
      <c r="K2423" s="1" t="n">
        <f aca="false">RANK(E2423,$E$7:$E$4378)+COUNTIF($E$7:E2423,E2423)-1</f>
        <v>3366</v>
      </c>
    </row>
    <row r="2424" customFormat="false" ht="14.25" hidden="false" customHeight="true" outlineLevel="0" collapsed="false">
      <c r="A2424" s="51" t="n">
        <v>15610</v>
      </c>
      <c r="B2424" s="53" t="n">
        <v>40835.4416666667</v>
      </c>
      <c r="C2424" s="57" t="n">
        <f aca="false">INT($C$2)-INT(Table3[[#This Row],[Last Purchase Date]])</f>
        <v>52</v>
      </c>
      <c r="D2424" s="1" t="n">
        <v>1</v>
      </c>
      <c r="E2424" s="1" t="n">
        <v>112.46</v>
      </c>
      <c r="F2424" s="1" t="n">
        <f aca="false">ROUND((1-_xlfn.PERCENTRANK.INC($C$7:$C$4378,C2424))*9,0)</f>
        <v>4</v>
      </c>
      <c r="G2424" s="1" t="n">
        <f aca="false">ROUND(_xlfn.PERCENTRANK.INC($D$7:$D$4378,D2424)*9,0)</f>
        <v>0</v>
      </c>
      <c r="H2424" s="1" t="n">
        <f aca="false">ROUND(_xlfn.PERCENTRANK.INC($E$7:$E$4378,E2424)*9,0)</f>
        <v>1</v>
      </c>
      <c r="I2424" s="1" t="str">
        <f aca="false">CONCATENATE(F2424,G2424,H2424)</f>
        <v>401</v>
      </c>
      <c r="J2424" s="1" t="str">
        <f aca="false">_xlfn.IFS(AND(F2424&gt;=8,G2424&gt;=8,H2424&gt;=8),"CHAMPION",AND(F2424&gt;=6,G2424&gt;=7,H2424&gt;=6),"LOYAL CUSTOMER",AND(F2424&gt;=6,G2424&gt;=5,H2424&gt;=5),"POTENTIAL LOYALIST",AND(F2424&gt;=8,G2424&lt;=2,H2424&gt;=5),"NEW CUSTOMERS",AND(F2424&gt;=6,G2424&lt;=2,H2424&gt;=3),"PROMISING",AND(F2424&gt;=3,G2424&gt;=3,H2424&gt;=3),"NEED ATTENTION",AND(F2424&lt;=4,G2424&gt;=6,H2424&gt;=6),"AT RISK",AND(F2424&lt;=2,G2424&gt;=8,H2424&gt;=8),"CAN'T LOSE THEM",AND(F2424&lt;=2,G2424&lt;=2,H2424&lt;=2),"HIBERNATING",TRUE(),"Other")</f>
        <v>Other</v>
      </c>
      <c r="K2424" s="1" t="n">
        <f aca="false">RANK(E2424,$E$7:$E$4378)+COUNTIF($E$7:E2424,E2424)-1</f>
        <v>4096</v>
      </c>
    </row>
    <row r="2425" customFormat="false" ht="14.25" hidden="false" customHeight="true" outlineLevel="0" collapsed="false">
      <c r="A2425" s="51" t="n">
        <v>15611</v>
      </c>
      <c r="B2425" s="53" t="n">
        <v>40877.525</v>
      </c>
      <c r="C2425" s="57" t="n">
        <f aca="false">INT($C$2)-INT(Table3[[#This Row],[Last Purchase Date]])</f>
        <v>10</v>
      </c>
      <c r="D2425" s="1" t="n">
        <v>15</v>
      </c>
      <c r="E2425" s="1" t="n">
        <v>1568.39</v>
      </c>
      <c r="F2425" s="1" t="n">
        <f aca="false">ROUND((1-_xlfn.PERCENTRANK.INC($C$7:$C$4378,C2425))*9,0)</f>
        <v>8</v>
      </c>
      <c r="G2425" s="1" t="n">
        <f aca="false">ROUND(_xlfn.PERCENTRANK.INC($D$7:$D$4378,D2425)*9,0)</f>
        <v>8</v>
      </c>
      <c r="H2425" s="1" t="n">
        <f aca="false">ROUND(_xlfn.PERCENTRANK.INC($E$7:$E$4378,E2425)*9,0)</f>
        <v>7</v>
      </c>
      <c r="I2425" s="1" t="str">
        <f aca="false">CONCATENATE(F2425,G2425,H2425)</f>
        <v>887</v>
      </c>
      <c r="J2425" s="1" t="str">
        <f aca="false">_xlfn.IFS(AND(F2425&gt;=8,G2425&gt;=8,H2425&gt;=8),"CHAMPION",AND(F2425&gt;=6,G2425&gt;=7,H2425&gt;=6),"LOYAL CUSTOMER",AND(F2425&gt;=6,G2425&gt;=5,H2425&gt;=5),"POTENTIAL LOYALIST",AND(F2425&gt;=8,G2425&lt;=2,H2425&gt;=5),"NEW CUSTOMERS",AND(F2425&gt;=6,G2425&lt;=2,H2425&gt;=3),"PROMISING",AND(F2425&gt;=3,G2425&gt;=3,H2425&gt;=3),"NEED ATTENTION",AND(F2425&lt;=4,G2425&gt;=6,H2425&gt;=6),"AT RISK",AND(F2425&lt;=2,G2425&gt;=8,H2425&gt;=8),"CAN'T LOSE THEM",AND(F2425&lt;=2,G2425&lt;=2,H2425&lt;=2),"HIBERNATING",TRUE(),"Other")</f>
        <v>LOYAL CUSTOMER</v>
      </c>
      <c r="K2425" s="1" t="n">
        <f aca="false">RANK(E2425,$E$7:$E$4378)+COUNTIF($E$7:E2425,E2425)-1</f>
        <v>1114</v>
      </c>
    </row>
    <row r="2426" customFormat="false" ht="14.25" hidden="false" customHeight="true" outlineLevel="0" collapsed="false">
      <c r="A2426" s="51" t="n">
        <v>15612</v>
      </c>
      <c r="B2426" s="53" t="n">
        <v>40850.6194444444</v>
      </c>
      <c r="C2426" s="57" t="n">
        <f aca="false">INT($C$2)-INT(Table3[[#This Row],[Last Purchase Date]])</f>
        <v>37</v>
      </c>
      <c r="D2426" s="1" t="n">
        <v>2</v>
      </c>
      <c r="E2426" s="1" t="n">
        <v>195.15</v>
      </c>
      <c r="F2426" s="1" t="n">
        <f aca="false">ROUND((1-_xlfn.PERCENTRANK.INC($C$7:$C$4378,C2426))*9,0)</f>
        <v>5</v>
      </c>
      <c r="G2426" s="1" t="n">
        <f aca="false">ROUND(_xlfn.PERCENTRANK.INC($D$7:$D$4378,D2426)*9,0)</f>
        <v>3</v>
      </c>
      <c r="H2426" s="1" t="n">
        <f aca="false">ROUND(_xlfn.PERCENTRANK.INC($E$7:$E$4378,E2426)*9,0)</f>
        <v>1</v>
      </c>
      <c r="I2426" s="1" t="str">
        <f aca="false">CONCATENATE(F2426,G2426,H2426)</f>
        <v>531</v>
      </c>
      <c r="J2426" s="1" t="str">
        <f aca="false">_xlfn.IFS(AND(F2426&gt;=8,G2426&gt;=8,H2426&gt;=8),"CHAMPION",AND(F2426&gt;=6,G2426&gt;=7,H2426&gt;=6),"LOYAL CUSTOMER",AND(F2426&gt;=6,G2426&gt;=5,H2426&gt;=5),"POTENTIAL LOYALIST",AND(F2426&gt;=8,G2426&lt;=2,H2426&gt;=5),"NEW CUSTOMERS",AND(F2426&gt;=6,G2426&lt;=2,H2426&gt;=3),"PROMISING",AND(F2426&gt;=3,G2426&gt;=3,H2426&gt;=3),"NEED ATTENTION",AND(F2426&lt;=4,G2426&gt;=6,H2426&gt;=6),"AT RISK",AND(F2426&lt;=2,G2426&gt;=8,H2426&gt;=8),"CAN'T LOSE THEM",AND(F2426&lt;=2,G2426&lt;=2,H2426&lt;=2),"HIBERNATING",TRUE(),"Other")</f>
        <v>Other</v>
      </c>
      <c r="K2426" s="1" t="n">
        <f aca="false">RANK(E2426,$E$7:$E$4378)+COUNTIF($E$7:E2426,E2426)-1</f>
        <v>3684</v>
      </c>
    </row>
    <row r="2427" customFormat="false" ht="14.25" hidden="false" customHeight="true" outlineLevel="0" collapsed="false">
      <c r="A2427" s="51" t="n">
        <v>15615</v>
      </c>
      <c r="B2427" s="53" t="n">
        <v>40876.6125</v>
      </c>
      <c r="C2427" s="57" t="n">
        <f aca="false">INT($C$2)-INT(Table3[[#This Row],[Last Purchase Date]])</f>
        <v>11</v>
      </c>
      <c r="D2427" s="1" t="n">
        <v>27</v>
      </c>
      <c r="E2427" s="1" t="n">
        <v>10360.04</v>
      </c>
      <c r="F2427" s="1" t="n">
        <f aca="false">ROUND((1-_xlfn.PERCENTRANK.INC($C$7:$C$4378,C2427))*9,0)</f>
        <v>7</v>
      </c>
      <c r="G2427" s="1" t="n">
        <f aca="false">ROUND(_xlfn.PERCENTRANK.INC($D$7:$D$4378,D2427)*9,0)</f>
        <v>9</v>
      </c>
      <c r="H2427" s="1" t="n">
        <f aca="false">ROUND(_xlfn.PERCENTRANK.INC($E$7:$E$4378,E2427)*9,0)</f>
        <v>9</v>
      </c>
      <c r="I2427" s="1" t="str">
        <f aca="false">CONCATENATE(F2427,G2427,H2427)</f>
        <v>799</v>
      </c>
      <c r="J2427" s="1" t="str">
        <f aca="false">_xlfn.IFS(AND(F2427&gt;=8,G2427&gt;=8,H2427&gt;=8),"CHAMPION",AND(F2427&gt;=6,G2427&gt;=7,H2427&gt;=6),"LOYAL CUSTOMER",AND(F2427&gt;=6,G2427&gt;=5,H2427&gt;=5),"POTENTIAL LOYALIST",AND(F2427&gt;=8,G2427&lt;=2,H2427&gt;=5),"NEW CUSTOMERS",AND(F2427&gt;=6,G2427&lt;=2,H2427&gt;=3),"PROMISING",AND(F2427&gt;=3,G2427&gt;=3,H2427&gt;=3),"NEED ATTENTION",AND(F2427&lt;=4,G2427&gt;=6,H2427&gt;=6),"AT RISK",AND(F2427&lt;=2,G2427&gt;=8,H2427&gt;=8),"CAN'T LOSE THEM",AND(F2427&lt;=2,G2427&lt;=2,H2427&lt;=2),"HIBERNATING",TRUE(),"Other")</f>
        <v>LOYAL CUSTOMER</v>
      </c>
      <c r="K2427" s="1" t="n">
        <f aca="false">RANK(E2427,$E$7:$E$4378)+COUNTIF($E$7:E2427,E2427)-1</f>
        <v>92</v>
      </c>
    </row>
    <row r="2428" customFormat="false" ht="14.25" hidden="false" customHeight="true" outlineLevel="0" collapsed="false">
      <c r="A2428" s="51" t="n">
        <v>15618</v>
      </c>
      <c r="B2428" s="53" t="n">
        <v>40854.3569444444</v>
      </c>
      <c r="C2428" s="57" t="n">
        <f aca="false">INT($C$2)-INT(Table3[[#This Row],[Last Purchase Date]])</f>
        <v>33</v>
      </c>
      <c r="D2428" s="1" t="n">
        <v>5</v>
      </c>
      <c r="E2428" s="1" t="n">
        <v>747.031</v>
      </c>
      <c r="F2428" s="1" t="n">
        <f aca="false">ROUND((1-_xlfn.PERCENTRANK.INC($C$7:$C$4378,C2428))*9,0)</f>
        <v>5</v>
      </c>
      <c r="G2428" s="1" t="n">
        <f aca="false">ROUND(_xlfn.PERCENTRANK.INC($D$7:$D$4378,D2428)*9,0)</f>
        <v>6</v>
      </c>
      <c r="H2428" s="1" t="n">
        <f aca="false">ROUND(_xlfn.PERCENTRANK.INC($E$7:$E$4378,E2428)*9,0)</f>
        <v>5</v>
      </c>
      <c r="I2428" s="1" t="str">
        <f aca="false">CONCATENATE(F2428,G2428,H2428)</f>
        <v>565</v>
      </c>
      <c r="J2428" s="1" t="str">
        <f aca="false">_xlfn.IFS(AND(F2428&gt;=8,G2428&gt;=8,H2428&gt;=8),"CHAMPION",AND(F2428&gt;=6,G2428&gt;=7,H2428&gt;=6),"LOYAL CUSTOMER",AND(F2428&gt;=6,G2428&gt;=5,H2428&gt;=5),"POTENTIAL LOYALIST",AND(F2428&gt;=8,G2428&lt;=2,H2428&gt;=5),"NEW CUSTOMERS",AND(F2428&gt;=6,G2428&lt;=2,H2428&gt;=3),"PROMISING",AND(F2428&gt;=3,G2428&gt;=3,H2428&gt;=3),"NEED ATTENTION",AND(F2428&lt;=4,G2428&gt;=6,H2428&gt;=6),"AT RISK",AND(F2428&lt;=2,G2428&gt;=8,H2428&gt;=8),"CAN'T LOSE THEM",AND(F2428&lt;=2,G2428&lt;=2,H2428&lt;=2),"HIBERNATING",TRUE(),"Other")</f>
        <v>NEED ATTENTION</v>
      </c>
      <c r="K2428" s="1" t="n">
        <f aca="false">RANK(E2428,$E$7:$E$4378)+COUNTIF($E$7:E2428,E2428)-1</f>
        <v>1981</v>
      </c>
    </row>
    <row r="2429" customFormat="false" ht="14.25" hidden="false" customHeight="true" outlineLevel="0" collapsed="false">
      <c r="A2429" s="51" t="n">
        <v>15619</v>
      </c>
      <c r="B2429" s="53" t="n">
        <v>40876.3430555556</v>
      </c>
      <c r="C2429" s="57" t="n">
        <f aca="false">INT($C$2)-INT(Table3[[#This Row],[Last Purchase Date]])</f>
        <v>11</v>
      </c>
      <c r="D2429" s="1" t="n">
        <v>1</v>
      </c>
      <c r="E2429" s="1" t="n">
        <v>336.4</v>
      </c>
      <c r="F2429" s="1" t="n">
        <f aca="false">ROUND((1-_xlfn.PERCENTRANK.INC($C$7:$C$4378,C2429))*9,0)</f>
        <v>7</v>
      </c>
      <c r="G2429" s="1" t="n">
        <f aca="false">ROUND(_xlfn.PERCENTRANK.INC($D$7:$D$4378,D2429)*9,0)</f>
        <v>0</v>
      </c>
      <c r="H2429" s="1" t="n">
        <f aca="false">ROUND(_xlfn.PERCENTRANK.INC($E$7:$E$4378,E2429)*9,0)</f>
        <v>3</v>
      </c>
      <c r="I2429" s="1" t="str">
        <f aca="false">CONCATENATE(F2429,G2429,H2429)</f>
        <v>703</v>
      </c>
      <c r="J2429" s="1" t="str">
        <f aca="false">_xlfn.IFS(AND(F2429&gt;=8,G2429&gt;=8,H2429&gt;=8),"CHAMPION",AND(F2429&gt;=6,G2429&gt;=7,H2429&gt;=6),"LOYAL CUSTOMER",AND(F2429&gt;=6,G2429&gt;=5,H2429&gt;=5),"POTENTIAL LOYALIST",AND(F2429&gt;=8,G2429&lt;=2,H2429&gt;=5),"NEW CUSTOMERS",AND(F2429&gt;=6,G2429&lt;=2,H2429&gt;=3),"PROMISING",AND(F2429&gt;=3,G2429&gt;=3,H2429&gt;=3),"NEED ATTENTION",AND(F2429&lt;=4,G2429&gt;=6,H2429&gt;=6),"AT RISK",AND(F2429&lt;=2,G2429&gt;=8,H2429&gt;=8),"CAN'T LOSE THEM",AND(F2429&lt;=2,G2429&lt;=2,H2429&lt;=2),"HIBERNATING",TRUE(),"Other")</f>
        <v>PROMISING</v>
      </c>
      <c r="K2429" s="1" t="n">
        <f aca="false">RANK(E2429,$E$7:$E$4378)+COUNTIF($E$7:E2429,E2429)-1</f>
        <v>3065</v>
      </c>
    </row>
    <row r="2430" customFormat="false" ht="14.25" hidden="false" customHeight="true" outlineLevel="0" collapsed="false">
      <c r="A2430" s="51" t="n">
        <v>15620</v>
      </c>
      <c r="B2430" s="53" t="n">
        <v>40836.8034722222</v>
      </c>
      <c r="C2430" s="57" t="n">
        <f aca="false">INT($C$2)-INT(Table3[[#This Row],[Last Purchase Date]])</f>
        <v>51</v>
      </c>
      <c r="D2430" s="1" t="n">
        <v>6</v>
      </c>
      <c r="E2430" s="1" t="n">
        <v>1524.4</v>
      </c>
      <c r="F2430" s="1" t="n">
        <f aca="false">ROUND((1-_xlfn.PERCENTRANK.INC($C$7:$C$4378,C2430))*9,0)</f>
        <v>5</v>
      </c>
      <c r="G2430" s="1" t="n">
        <f aca="false">ROUND(_xlfn.PERCENTRANK.INC($D$7:$D$4378,D2430)*9,0)</f>
        <v>7</v>
      </c>
      <c r="H2430" s="1" t="n">
        <f aca="false">ROUND(_xlfn.PERCENTRANK.INC($E$7:$E$4378,E2430)*9,0)</f>
        <v>7</v>
      </c>
      <c r="I2430" s="1" t="str">
        <f aca="false">CONCATENATE(F2430,G2430,H2430)</f>
        <v>577</v>
      </c>
      <c r="J2430" s="1" t="str">
        <f aca="false">_xlfn.IFS(AND(F2430&gt;=8,G2430&gt;=8,H2430&gt;=8),"CHAMPION",AND(F2430&gt;=6,G2430&gt;=7,H2430&gt;=6),"LOYAL CUSTOMER",AND(F2430&gt;=6,G2430&gt;=5,H2430&gt;=5),"POTENTIAL LOYALIST",AND(F2430&gt;=8,G2430&lt;=2,H2430&gt;=5),"NEW CUSTOMERS",AND(F2430&gt;=6,G2430&lt;=2,H2430&gt;=3),"PROMISING",AND(F2430&gt;=3,G2430&gt;=3,H2430&gt;=3),"NEED ATTENTION",AND(F2430&lt;=4,G2430&gt;=6,H2430&gt;=6),"AT RISK",AND(F2430&lt;=2,G2430&gt;=8,H2430&gt;=8),"CAN'T LOSE THEM",AND(F2430&lt;=2,G2430&lt;=2,H2430&lt;=2),"HIBERNATING",TRUE(),"Other")</f>
        <v>NEED ATTENTION</v>
      </c>
      <c r="K2430" s="1" t="n">
        <f aca="false">RANK(E2430,$E$7:$E$4378)+COUNTIF($E$7:E2430,E2430)-1</f>
        <v>1144</v>
      </c>
    </row>
    <row r="2431" customFormat="false" ht="14.25" hidden="false" customHeight="true" outlineLevel="0" collapsed="false">
      <c r="A2431" s="51" t="n">
        <v>15621</v>
      </c>
      <c r="B2431" s="53" t="n">
        <v>40882.5840277778</v>
      </c>
      <c r="C2431" s="57" t="n">
        <f aca="false">INT($C$2)-INT(Table3[[#This Row],[Last Purchase Date]])</f>
        <v>5</v>
      </c>
      <c r="D2431" s="1" t="n">
        <v>6</v>
      </c>
      <c r="E2431" s="1" t="n">
        <v>1158.77</v>
      </c>
      <c r="F2431" s="1" t="n">
        <f aca="false">ROUND((1-_xlfn.PERCENTRANK.INC($C$7:$C$4378,C2431))*9,0)</f>
        <v>8</v>
      </c>
      <c r="G2431" s="1" t="n">
        <f aca="false">ROUND(_xlfn.PERCENTRANK.INC($D$7:$D$4378,D2431)*9,0)</f>
        <v>7</v>
      </c>
      <c r="H2431" s="1" t="n">
        <f aca="false">ROUND(_xlfn.PERCENTRANK.INC($E$7:$E$4378,E2431)*9,0)</f>
        <v>6</v>
      </c>
      <c r="I2431" s="1" t="str">
        <f aca="false">CONCATENATE(F2431,G2431,H2431)</f>
        <v>876</v>
      </c>
      <c r="J2431" s="1" t="str">
        <f aca="false">_xlfn.IFS(AND(F2431&gt;=8,G2431&gt;=8,H2431&gt;=8),"CHAMPION",AND(F2431&gt;=6,G2431&gt;=7,H2431&gt;=6),"LOYAL CUSTOMER",AND(F2431&gt;=6,G2431&gt;=5,H2431&gt;=5),"POTENTIAL LOYALIST",AND(F2431&gt;=8,G2431&lt;=2,H2431&gt;=5),"NEW CUSTOMERS",AND(F2431&gt;=6,G2431&lt;=2,H2431&gt;=3),"PROMISING",AND(F2431&gt;=3,G2431&gt;=3,H2431&gt;=3),"NEED ATTENTION",AND(F2431&lt;=4,G2431&gt;=6,H2431&gt;=6),"AT RISK",AND(F2431&lt;=2,G2431&gt;=8,H2431&gt;=8),"CAN'T LOSE THEM",AND(F2431&lt;=2,G2431&lt;=2,H2431&lt;=2),"HIBERNATING",TRUE(),"Other")</f>
        <v>LOYAL CUSTOMER</v>
      </c>
      <c r="K2431" s="1" t="n">
        <f aca="false">RANK(E2431,$E$7:$E$4378)+COUNTIF($E$7:E2431,E2431)-1</f>
        <v>1441</v>
      </c>
    </row>
    <row r="2432" customFormat="false" ht="14.25" hidden="false" customHeight="true" outlineLevel="0" collapsed="false">
      <c r="A2432" s="51" t="n">
        <v>15622</v>
      </c>
      <c r="B2432" s="53" t="n">
        <v>40883.6229166667</v>
      </c>
      <c r="C2432" s="57" t="n">
        <f aca="false">INT($C$2)-INT(Table3[[#This Row],[Last Purchase Date]])</f>
        <v>4</v>
      </c>
      <c r="D2432" s="1" t="n">
        <v>16</v>
      </c>
      <c r="E2432" s="1" t="n">
        <v>3224.53</v>
      </c>
      <c r="F2432" s="1" t="n">
        <f aca="false">ROUND((1-_xlfn.PERCENTRANK.INC($C$7:$C$4378,C2432))*9,0)</f>
        <v>8</v>
      </c>
      <c r="G2432" s="1" t="n">
        <f aca="false">ROUND(_xlfn.PERCENTRANK.INC($D$7:$D$4378,D2432)*9,0)</f>
        <v>9</v>
      </c>
      <c r="H2432" s="1" t="n">
        <f aca="false">ROUND(_xlfn.PERCENTRANK.INC($E$7:$E$4378,E2432)*9,0)</f>
        <v>8</v>
      </c>
      <c r="I2432" s="1" t="str">
        <f aca="false">CONCATENATE(F2432,G2432,H2432)</f>
        <v>898</v>
      </c>
      <c r="J2432" s="1" t="str">
        <f aca="false">_xlfn.IFS(AND(F2432&gt;=8,G2432&gt;=8,H2432&gt;=8),"CHAMPION",AND(F2432&gt;=6,G2432&gt;=7,H2432&gt;=6),"LOYAL CUSTOMER",AND(F2432&gt;=6,G2432&gt;=5,H2432&gt;=5),"POTENTIAL LOYALIST",AND(F2432&gt;=8,G2432&lt;=2,H2432&gt;=5),"NEW CUSTOMERS",AND(F2432&gt;=6,G2432&lt;=2,H2432&gt;=3),"PROMISING",AND(F2432&gt;=3,G2432&gt;=3,H2432&gt;=3),"NEED ATTENTION",AND(F2432&lt;=4,G2432&gt;=6,H2432&gt;=6),"AT RISK",AND(F2432&lt;=2,G2432&gt;=8,H2432&gt;=8),"CAN'T LOSE THEM",AND(F2432&lt;=2,G2432&lt;=2,H2432&lt;=2),"HIBERNATING",TRUE(),"Other")</f>
        <v>CHAMPION</v>
      </c>
      <c r="K2432" s="1" t="n">
        <f aca="false">RANK(E2432,$E$7:$E$4378)+COUNTIF($E$7:E2432,E2432)-1</f>
        <v>487</v>
      </c>
    </row>
    <row r="2433" customFormat="false" ht="14.25" hidden="false" customHeight="true" outlineLevel="0" collapsed="false">
      <c r="A2433" s="51" t="n">
        <v>15623</v>
      </c>
      <c r="B2433" s="53" t="n">
        <v>40745.7263888889</v>
      </c>
      <c r="C2433" s="57" t="n">
        <f aca="false">INT($C$2)-INT(Table3[[#This Row],[Last Purchase Date]])</f>
        <v>142</v>
      </c>
      <c r="D2433" s="1" t="n">
        <v>1</v>
      </c>
      <c r="E2433" s="1" t="n">
        <v>301.03</v>
      </c>
      <c r="F2433" s="1" t="n">
        <f aca="false">ROUND((1-_xlfn.PERCENTRANK.INC($C$7:$C$4378,C2433))*9,0)</f>
        <v>2</v>
      </c>
      <c r="G2433" s="1" t="n">
        <f aca="false">ROUND(_xlfn.PERCENTRANK.INC($D$7:$D$4378,D2433)*9,0)</f>
        <v>0</v>
      </c>
      <c r="H2433" s="1" t="n">
        <f aca="false">ROUND(_xlfn.PERCENTRANK.INC($E$7:$E$4378,E2433)*9,0)</f>
        <v>2</v>
      </c>
      <c r="I2433" s="1" t="str">
        <f aca="false">CONCATENATE(F2433,G2433,H2433)</f>
        <v>202</v>
      </c>
      <c r="J2433" s="1" t="str">
        <f aca="false">_xlfn.IFS(AND(F2433&gt;=8,G2433&gt;=8,H2433&gt;=8),"CHAMPION",AND(F2433&gt;=6,G2433&gt;=7,H2433&gt;=6),"LOYAL CUSTOMER",AND(F2433&gt;=6,G2433&gt;=5,H2433&gt;=5),"POTENTIAL LOYALIST",AND(F2433&gt;=8,G2433&lt;=2,H2433&gt;=5),"NEW CUSTOMERS",AND(F2433&gt;=6,G2433&lt;=2,H2433&gt;=3),"PROMISING",AND(F2433&gt;=3,G2433&gt;=3,H2433&gt;=3),"NEED ATTENTION",AND(F2433&lt;=4,G2433&gt;=6,H2433&gt;=6),"AT RISK",AND(F2433&lt;=2,G2433&gt;=8,H2433&gt;=8),"CAN'T LOSE THEM",AND(F2433&lt;=2,G2433&lt;=2,H2433&lt;=2),"HIBERNATING",TRUE(),"Other")</f>
        <v>HIBERNATING</v>
      </c>
      <c r="K2433" s="1" t="n">
        <f aca="false">RANK(E2433,$E$7:$E$4378)+COUNTIF($E$7:E2433,E2433)-1</f>
        <v>3247</v>
      </c>
    </row>
    <row r="2434" customFormat="false" ht="14.25" hidden="false" customHeight="true" outlineLevel="0" collapsed="false">
      <c r="A2434" s="51" t="n">
        <v>15624</v>
      </c>
      <c r="B2434" s="53" t="n">
        <v>40770.4847222222</v>
      </c>
      <c r="C2434" s="57" t="n">
        <f aca="false">INT($C$2)-INT(Table3[[#This Row],[Last Purchase Date]])</f>
        <v>117</v>
      </c>
      <c r="D2434" s="1" t="n">
        <v>4</v>
      </c>
      <c r="E2434" s="1" t="n">
        <v>588.13</v>
      </c>
      <c r="F2434" s="1" t="n">
        <f aca="false">ROUND((1-_xlfn.PERCENTRANK.INC($C$7:$C$4378,C2434))*9,0)</f>
        <v>3</v>
      </c>
      <c r="G2434" s="1" t="n">
        <f aca="false">ROUND(_xlfn.PERCENTRANK.INC($D$7:$D$4378,D2434)*9,0)</f>
        <v>5</v>
      </c>
      <c r="H2434" s="1" t="n">
        <f aca="false">ROUND(_xlfn.PERCENTRANK.INC($E$7:$E$4378,E2434)*9,0)</f>
        <v>4</v>
      </c>
      <c r="I2434" s="1" t="str">
        <f aca="false">CONCATENATE(F2434,G2434,H2434)</f>
        <v>354</v>
      </c>
      <c r="J2434" s="1" t="str">
        <f aca="false">_xlfn.IFS(AND(F2434&gt;=8,G2434&gt;=8,H2434&gt;=8),"CHAMPION",AND(F2434&gt;=6,G2434&gt;=7,H2434&gt;=6),"LOYAL CUSTOMER",AND(F2434&gt;=6,G2434&gt;=5,H2434&gt;=5),"POTENTIAL LOYALIST",AND(F2434&gt;=8,G2434&lt;=2,H2434&gt;=5),"NEW CUSTOMERS",AND(F2434&gt;=6,G2434&lt;=2,H2434&gt;=3),"PROMISING",AND(F2434&gt;=3,G2434&gt;=3,H2434&gt;=3),"NEED ATTENTION",AND(F2434&lt;=4,G2434&gt;=6,H2434&gt;=6),"AT RISK",AND(F2434&lt;=2,G2434&gt;=8,H2434&gt;=8),"CAN'T LOSE THEM",AND(F2434&lt;=2,G2434&lt;=2,H2434&lt;=2),"HIBERNATING",TRUE(),"Other")</f>
        <v>NEED ATTENTION</v>
      </c>
      <c r="K2434" s="1" t="n">
        <f aca="false">RANK(E2434,$E$7:$E$4378)+COUNTIF($E$7:E2434,E2434)-1</f>
        <v>2352</v>
      </c>
    </row>
    <row r="2435" customFormat="false" ht="14.25" hidden="false" customHeight="true" outlineLevel="0" collapsed="false">
      <c r="A2435" s="51" t="n">
        <v>15625</v>
      </c>
      <c r="B2435" s="53" t="n">
        <v>40786.6756944444</v>
      </c>
      <c r="C2435" s="57" t="n">
        <f aca="false">INT($C$2)-INT(Table3[[#This Row],[Last Purchase Date]])</f>
        <v>101</v>
      </c>
      <c r="D2435" s="1" t="n">
        <v>8</v>
      </c>
      <c r="E2435" s="1" t="n">
        <v>1504.56</v>
      </c>
      <c r="F2435" s="1" t="n">
        <f aca="false">ROUND((1-_xlfn.PERCENTRANK.INC($C$7:$C$4378,C2435))*9,0)</f>
        <v>3</v>
      </c>
      <c r="G2435" s="1" t="n">
        <f aca="false">ROUND(_xlfn.PERCENTRANK.INC($D$7:$D$4378,D2435)*9,0)</f>
        <v>7</v>
      </c>
      <c r="H2435" s="1" t="n">
        <f aca="false">ROUND(_xlfn.PERCENTRANK.INC($E$7:$E$4378,E2435)*9,0)</f>
        <v>7</v>
      </c>
      <c r="I2435" s="1" t="str">
        <f aca="false">CONCATENATE(F2435,G2435,H2435)</f>
        <v>377</v>
      </c>
      <c r="J2435" s="1" t="str">
        <f aca="false">_xlfn.IFS(AND(F2435&gt;=8,G2435&gt;=8,H2435&gt;=8),"CHAMPION",AND(F2435&gt;=6,G2435&gt;=7,H2435&gt;=6),"LOYAL CUSTOMER",AND(F2435&gt;=6,G2435&gt;=5,H2435&gt;=5),"POTENTIAL LOYALIST",AND(F2435&gt;=8,G2435&lt;=2,H2435&gt;=5),"NEW CUSTOMERS",AND(F2435&gt;=6,G2435&lt;=2,H2435&gt;=3),"PROMISING",AND(F2435&gt;=3,G2435&gt;=3,H2435&gt;=3),"NEED ATTENTION",AND(F2435&lt;=4,G2435&gt;=6,H2435&gt;=6),"AT RISK",AND(F2435&lt;=2,G2435&gt;=8,H2435&gt;=8),"CAN'T LOSE THEM",AND(F2435&lt;=2,G2435&lt;=2,H2435&lt;=2),"HIBERNATING",TRUE(),"Other")</f>
        <v>NEED ATTENTION</v>
      </c>
      <c r="K2435" s="1" t="n">
        <f aca="false">RANK(E2435,$E$7:$E$4378)+COUNTIF($E$7:E2435,E2435)-1</f>
        <v>1162</v>
      </c>
    </row>
    <row r="2436" customFormat="false" ht="14.25" hidden="false" customHeight="true" outlineLevel="0" collapsed="false">
      <c r="A2436" s="51" t="n">
        <v>15626</v>
      </c>
      <c r="B2436" s="53" t="n">
        <v>40812.41875</v>
      </c>
      <c r="C2436" s="57" t="n">
        <f aca="false">INT($C$2)-INT(Table3[[#This Row],[Last Purchase Date]])</f>
        <v>75</v>
      </c>
      <c r="D2436" s="1" t="n">
        <v>2</v>
      </c>
      <c r="E2436" s="1" t="n">
        <v>675.8</v>
      </c>
      <c r="F2436" s="1" t="n">
        <f aca="false">ROUND((1-_xlfn.PERCENTRANK.INC($C$7:$C$4378,C2436))*9,0)</f>
        <v>3</v>
      </c>
      <c r="G2436" s="1" t="n">
        <f aca="false">ROUND(_xlfn.PERCENTRANK.INC($D$7:$D$4378,D2436)*9,0)</f>
        <v>3</v>
      </c>
      <c r="H2436" s="1" t="n">
        <f aca="false">ROUND(_xlfn.PERCENTRANK.INC($E$7:$E$4378,E2436)*9,0)</f>
        <v>5</v>
      </c>
      <c r="I2436" s="1" t="str">
        <f aca="false">CONCATENATE(F2436,G2436,H2436)</f>
        <v>335</v>
      </c>
      <c r="J2436" s="1" t="str">
        <f aca="false">_xlfn.IFS(AND(F2436&gt;=8,G2436&gt;=8,H2436&gt;=8),"CHAMPION",AND(F2436&gt;=6,G2436&gt;=7,H2436&gt;=6),"LOYAL CUSTOMER",AND(F2436&gt;=6,G2436&gt;=5,H2436&gt;=5),"POTENTIAL LOYALIST",AND(F2436&gt;=8,G2436&lt;=2,H2436&gt;=5),"NEW CUSTOMERS",AND(F2436&gt;=6,G2436&lt;=2,H2436&gt;=3),"PROMISING",AND(F2436&gt;=3,G2436&gt;=3,H2436&gt;=3),"NEED ATTENTION",AND(F2436&lt;=4,G2436&gt;=6,H2436&gt;=6),"AT RISK",AND(F2436&lt;=2,G2436&gt;=8,H2436&gt;=8),"CAN'T LOSE THEM",AND(F2436&lt;=2,G2436&lt;=2,H2436&lt;=2),"HIBERNATING",TRUE(),"Other")</f>
        <v>NEED ATTENTION</v>
      </c>
      <c r="K2436" s="1" t="n">
        <f aca="false">RANK(E2436,$E$7:$E$4378)+COUNTIF($E$7:E2436,E2436)-1</f>
        <v>2114</v>
      </c>
    </row>
    <row r="2437" customFormat="false" ht="14.25" hidden="false" customHeight="true" outlineLevel="0" collapsed="false">
      <c r="A2437" s="51" t="n">
        <v>15628</v>
      </c>
      <c r="B2437" s="53" t="n">
        <v>40882.4333333333</v>
      </c>
      <c r="C2437" s="57" t="n">
        <f aca="false">INT($C$2)-INT(Table3[[#This Row],[Last Purchase Date]])</f>
        <v>5</v>
      </c>
      <c r="D2437" s="1" t="n">
        <v>10</v>
      </c>
      <c r="E2437" s="1" t="n">
        <v>2865.64</v>
      </c>
      <c r="F2437" s="1" t="n">
        <f aca="false">ROUND((1-_xlfn.PERCENTRANK.INC($C$7:$C$4378,C2437))*9,0)</f>
        <v>8</v>
      </c>
      <c r="G2437" s="1" t="n">
        <f aca="false">ROUND(_xlfn.PERCENTRANK.INC($D$7:$D$4378,D2437)*9,0)</f>
        <v>8</v>
      </c>
      <c r="H2437" s="1" t="n">
        <f aca="false">ROUND(_xlfn.PERCENTRANK.INC($E$7:$E$4378,E2437)*9,0)</f>
        <v>8</v>
      </c>
      <c r="I2437" s="1" t="str">
        <f aca="false">CONCATENATE(F2437,G2437,H2437)</f>
        <v>888</v>
      </c>
      <c r="J2437" s="1" t="str">
        <f aca="false">_xlfn.IFS(AND(F2437&gt;=8,G2437&gt;=8,H2437&gt;=8),"CHAMPION",AND(F2437&gt;=6,G2437&gt;=7,H2437&gt;=6),"LOYAL CUSTOMER",AND(F2437&gt;=6,G2437&gt;=5,H2437&gt;=5),"POTENTIAL LOYALIST",AND(F2437&gt;=8,G2437&lt;=2,H2437&gt;=5),"NEW CUSTOMERS",AND(F2437&gt;=6,G2437&lt;=2,H2437&gt;=3),"PROMISING",AND(F2437&gt;=3,G2437&gt;=3,H2437&gt;=3),"NEED ATTENTION",AND(F2437&lt;=4,G2437&gt;=6,H2437&gt;=6),"AT RISK",AND(F2437&lt;=2,G2437&gt;=8,H2437&gt;=8),"CAN'T LOSE THEM",AND(F2437&lt;=2,G2437&lt;=2,H2437&lt;=2),"HIBERNATING",TRUE(),"Other")</f>
        <v>CHAMPION</v>
      </c>
      <c r="K2437" s="1" t="n">
        <f aca="false">RANK(E2437,$E$7:$E$4378)+COUNTIF($E$7:E2437,E2437)-1</f>
        <v>570</v>
      </c>
    </row>
    <row r="2438" customFormat="false" ht="14.25" hidden="false" customHeight="true" outlineLevel="0" collapsed="false">
      <c r="A2438" s="51" t="n">
        <v>15630</v>
      </c>
      <c r="B2438" s="53" t="n">
        <v>40841.65</v>
      </c>
      <c r="C2438" s="57" t="n">
        <f aca="false">INT($C$2)-INT(Table3[[#This Row],[Last Purchase Date]])</f>
        <v>46</v>
      </c>
      <c r="D2438" s="1" t="n">
        <v>3</v>
      </c>
      <c r="E2438" s="1" t="n">
        <v>1180.4</v>
      </c>
      <c r="F2438" s="1" t="n">
        <f aca="false">ROUND((1-_xlfn.PERCENTRANK.INC($C$7:$C$4378,C2438))*9,0)</f>
        <v>5</v>
      </c>
      <c r="G2438" s="1" t="n">
        <f aca="false">ROUND(_xlfn.PERCENTRANK.INC($D$7:$D$4378,D2438)*9,0)</f>
        <v>4</v>
      </c>
      <c r="H2438" s="1" t="n">
        <f aca="false">ROUND(_xlfn.PERCENTRANK.INC($E$7:$E$4378,E2438)*9,0)</f>
        <v>6</v>
      </c>
      <c r="I2438" s="1" t="str">
        <f aca="false">CONCATENATE(F2438,G2438,H2438)</f>
        <v>546</v>
      </c>
      <c r="J2438" s="1" t="str">
        <f aca="false">_xlfn.IFS(AND(F2438&gt;=8,G2438&gt;=8,H2438&gt;=8),"CHAMPION",AND(F2438&gt;=6,G2438&gt;=7,H2438&gt;=6),"LOYAL CUSTOMER",AND(F2438&gt;=6,G2438&gt;=5,H2438&gt;=5),"POTENTIAL LOYALIST",AND(F2438&gt;=8,G2438&lt;=2,H2438&gt;=5),"NEW CUSTOMERS",AND(F2438&gt;=6,G2438&lt;=2,H2438&gt;=3),"PROMISING",AND(F2438&gt;=3,G2438&gt;=3,H2438&gt;=3),"NEED ATTENTION",AND(F2438&lt;=4,G2438&gt;=6,H2438&gt;=6),"AT RISK",AND(F2438&lt;=2,G2438&gt;=8,H2438&gt;=8),"CAN'T LOSE THEM",AND(F2438&lt;=2,G2438&lt;=2,H2438&lt;=2),"HIBERNATING",TRUE(),"Other")</f>
        <v>NEED ATTENTION</v>
      </c>
      <c r="K2438" s="1" t="n">
        <f aca="false">RANK(E2438,$E$7:$E$4378)+COUNTIF($E$7:E2438,E2438)-1</f>
        <v>1425</v>
      </c>
    </row>
    <row r="2439" customFormat="false" ht="14.25" hidden="false" customHeight="true" outlineLevel="0" collapsed="false">
      <c r="A2439" s="51" t="n">
        <v>15632</v>
      </c>
      <c r="B2439" s="53" t="n">
        <v>40871.4104166667</v>
      </c>
      <c r="C2439" s="57" t="n">
        <f aca="false">INT($C$2)-INT(Table3[[#This Row],[Last Purchase Date]])</f>
        <v>16</v>
      </c>
      <c r="D2439" s="1" t="n">
        <v>10</v>
      </c>
      <c r="E2439" s="1" t="n">
        <v>3147.31</v>
      </c>
      <c r="F2439" s="1" t="n">
        <f aca="false">ROUND((1-_xlfn.PERCENTRANK.INC($C$7:$C$4378,C2439))*9,0)</f>
        <v>7</v>
      </c>
      <c r="G2439" s="1" t="n">
        <f aca="false">ROUND(_xlfn.PERCENTRANK.INC($D$7:$D$4378,D2439)*9,0)</f>
        <v>8</v>
      </c>
      <c r="H2439" s="1" t="n">
        <f aca="false">ROUND(_xlfn.PERCENTRANK.INC($E$7:$E$4378,E2439)*9,0)</f>
        <v>8</v>
      </c>
      <c r="I2439" s="1" t="str">
        <f aca="false">CONCATENATE(F2439,G2439,H2439)</f>
        <v>788</v>
      </c>
      <c r="J2439" s="1" t="str">
        <f aca="false">_xlfn.IFS(AND(F2439&gt;=8,G2439&gt;=8,H2439&gt;=8),"CHAMPION",AND(F2439&gt;=6,G2439&gt;=7,H2439&gt;=6),"LOYAL CUSTOMER",AND(F2439&gt;=6,G2439&gt;=5,H2439&gt;=5),"POTENTIAL LOYALIST",AND(F2439&gt;=8,G2439&lt;=2,H2439&gt;=5),"NEW CUSTOMERS",AND(F2439&gt;=6,G2439&lt;=2,H2439&gt;=3),"PROMISING",AND(F2439&gt;=3,G2439&gt;=3,H2439&gt;=3),"NEED ATTENTION",AND(F2439&lt;=4,G2439&gt;=6,H2439&gt;=6),"AT RISK",AND(F2439&lt;=2,G2439&gt;=8,H2439&gt;=8),"CAN'T LOSE THEM",AND(F2439&lt;=2,G2439&lt;=2,H2439&lt;=2),"HIBERNATING",TRUE(),"Other")</f>
        <v>LOYAL CUSTOMER</v>
      </c>
      <c r="K2439" s="1" t="n">
        <f aca="false">RANK(E2439,$E$7:$E$4378)+COUNTIF($E$7:E2439,E2439)-1</f>
        <v>505</v>
      </c>
    </row>
    <row r="2440" customFormat="false" ht="14.25" hidden="false" customHeight="true" outlineLevel="0" collapsed="false">
      <c r="A2440" s="51" t="n">
        <v>15634</v>
      </c>
      <c r="B2440" s="53" t="n">
        <v>40869.6861111111</v>
      </c>
      <c r="C2440" s="57" t="n">
        <f aca="false">INT($C$2)-INT(Table3[[#This Row],[Last Purchase Date]])</f>
        <v>18</v>
      </c>
      <c r="D2440" s="1" t="n">
        <v>1</v>
      </c>
      <c r="E2440" s="1" t="n">
        <v>243.55</v>
      </c>
      <c r="F2440" s="1" t="n">
        <f aca="false">ROUND((1-_xlfn.PERCENTRANK.INC($C$7:$C$4378,C2440))*9,0)</f>
        <v>7</v>
      </c>
      <c r="G2440" s="1" t="n">
        <f aca="false">ROUND(_xlfn.PERCENTRANK.INC($D$7:$D$4378,D2440)*9,0)</f>
        <v>0</v>
      </c>
      <c r="H2440" s="1" t="n">
        <f aca="false">ROUND(_xlfn.PERCENTRANK.INC($E$7:$E$4378,E2440)*9,0)</f>
        <v>2</v>
      </c>
      <c r="I2440" s="1" t="str">
        <f aca="false">CONCATENATE(F2440,G2440,H2440)</f>
        <v>702</v>
      </c>
      <c r="J2440" s="1" t="str">
        <f aca="false">_xlfn.IFS(AND(F2440&gt;=8,G2440&gt;=8,H2440&gt;=8),"CHAMPION",AND(F2440&gt;=6,G2440&gt;=7,H2440&gt;=6),"LOYAL CUSTOMER",AND(F2440&gt;=6,G2440&gt;=5,H2440&gt;=5),"POTENTIAL LOYALIST",AND(F2440&gt;=8,G2440&lt;=2,H2440&gt;=5),"NEW CUSTOMERS",AND(F2440&gt;=6,G2440&lt;=2,H2440&gt;=3),"PROMISING",AND(F2440&gt;=3,G2440&gt;=3,H2440&gt;=3),"NEED ATTENTION",AND(F2440&lt;=4,G2440&gt;=6,H2440&gt;=6),"AT RISK",AND(F2440&lt;=2,G2440&gt;=8,H2440&gt;=8),"CAN'T LOSE THEM",AND(F2440&lt;=2,G2440&lt;=2,H2440&lt;=2),"HIBERNATING",TRUE(),"Other")</f>
        <v>Other</v>
      </c>
      <c r="K2440" s="1" t="n">
        <f aca="false">RANK(E2440,$E$7:$E$4378)+COUNTIF($E$7:E2440,E2440)-1</f>
        <v>3468</v>
      </c>
    </row>
    <row r="2441" customFormat="false" ht="14.25" hidden="false" customHeight="true" outlineLevel="0" collapsed="false">
      <c r="A2441" s="51" t="n">
        <v>15636</v>
      </c>
      <c r="B2441" s="53" t="n">
        <v>40797.4701388889</v>
      </c>
      <c r="C2441" s="57" t="n">
        <f aca="false">INT($C$2)-INT(Table3[[#This Row],[Last Purchase Date]])</f>
        <v>90</v>
      </c>
      <c r="D2441" s="1" t="n">
        <v>2</v>
      </c>
      <c r="E2441" s="1" t="n">
        <v>724.76</v>
      </c>
      <c r="F2441" s="1" t="n">
        <f aca="false">ROUND((1-_xlfn.PERCENTRANK.INC($C$7:$C$4378,C2441))*9,0)</f>
        <v>3</v>
      </c>
      <c r="G2441" s="1" t="n">
        <f aca="false">ROUND(_xlfn.PERCENTRANK.INC($D$7:$D$4378,D2441)*9,0)</f>
        <v>3</v>
      </c>
      <c r="H2441" s="1" t="n">
        <f aca="false">ROUND(_xlfn.PERCENTRANK.INC($E$7:$E$4378,E2441)*9,0)</f>
        <v>5</v>
      </c>
      <c r="I2441" s="1" t="str">
        <f aca="false">CONCATENATE(F2441,G2441,H2441)</f>
        <v>335</v>
      </c>
      <c r="J2441" s="1" t="str">
        <f aca="false">_xlfn.IFS(AND(F2441&gt;=8,G2441&gt;=8,H2441&gt;=8),"CHAMPION",AND(F2441&gt;=6,G2441&gt;=7,H2441&gt;=6),"LOYAL CUSTOMER",AND(F2441&gt;=6,G2441&gt;=5,H2441&gt;=5),"POTENTIAL LOYALIST",AND(F2441&gt;=8,G2441&lt;=2,H2441&gt;=5),"NEW CUSTOMERS",AND(F2441&gt;=6,G2441&lt;=2,H2441&gt;=3),"PROMISING",AND(F2441&gt;=3,G2441&gt;=3,H2441&gt;=3),"NEED ATTENTION",AND(F2441&lt;=4,G2441&gt;=6,H2441&gt;=6),"AT RISK",AND(F2441&lt;=2,G2441&gt;=8,H2441&gt;=8),"CAN'T LOSE THEM",AND(F2441&lt;=2,G2441&lt;=2,H2441&lt;=2),"HIBERNATING",TRUE(),"Other")</f>
        <v>NEED ATTENTION</v>
      </c>
      <c r="K2441" s="1" t="n">
        <f aca="false">RANK(E2441,$E$7:$E$4378)+COUNTIF($E$7:E2441,E2441)-1</f>
        <v>2017</v>
      </c>
    </row>
    <row r="2442" customFormat="false" ht="14.25" hidden="false" customHeight="true" outlineLevel="0" collapsed="false">
      <c r="A2442" s="51" t="n">
        <v>15637</v>
      </c>
      <c r="B2442" s="53" t="n">
        <v>40834.3527777778</v>
      </c>
      <c r="C2442" s="57" t="n">
        <f aca="false">INT($C$2)-INT(Table3[[#This Row],[Last Purchase Date]])</f>
        <v>53</v>
      </c>
      <c r="D2442" s="1" t="n">
        <v>1</v>
      </c>
      <c r="E2442" s="1" t="n">
        <v>223.36</v>
      </c>
      <c r="F2442" s="1" t="n">
        <f aca="false">ROUND((1-_xlfn.PERCENTRANK.INC($C$7:$C$4378,C2442))*9,0)</f>
        <v>4</v>
      </c>
      <c r="G2442" s="1" t="n">
        <f aca="false">ROUND(_xlfn.PERCENTRANK.INC($D$7:$D$4378,D2442)*9,0)</f>
        <v>0</v>
      </c>
      <c r="H2442" s="1" t="n">
        <f aca="false">ROUND(_xlfn.PERCENTRANK.INC($E$7:$E$4378,E2442)*9,0)</f>
        <v>2</v>
      </c>
      <c r="I2442" s="1" t="str">
        <f aca="false">CONCATENATE(F2442,G2442,H2442)</f>
        <v>402</v>
      </c>
      <c r="J2442" s="1" t="str">
        <f aca="false">_xlfn.IFS(AND(F2442&gt;=8,G2442&gt;=8,H2442&gt;=8),"CHAMPION",AND(F2442&gt;=6,G2442&gt;=7,H2442&gt;=6),"LOYAL CUSTOMER",AND(F2442&gt;=6,G2442&gt;=5,H2442&gt;=5),"POTENTIAL LOYALIST",AND(F2442&gt;=8,G2442&lt;=2,H2442&gt;=5),"NEW CUSTOMERS",AND(F2442&gt;=6,G2442&lt;=2,H2442&gt;=3),"PROMISING",AND(F2442&gt;=3,G2442&gt;=3,H2442&gt;=3),"NEED ATTENTION",AND(F2442&lt;=4,G2442&gt;=6,H2442&gt;=6),"AT RISK",AND(F2442&lt;=2,G2442&gt;=8,H2442&gt;=8),"CAN'T LOSE THEM",AND(F2442&lt;=2,G2442&lt;=2,H2442&lt;=2),"HIBERNATING",TRUE(),"Other")</f>
        <v>Other</v>
      </c>
      <c r="K2442" s="1" t="n">
        <f aca="false">RANK(E2442,$E$7:$E$4378)+COUNTIF($E$7:E2442,E2442)-1</f>
        <v>3548</v>
      </c>
    </row>
    <row r="2443" customFormat="false" ht="14.25" hidden="false" customHeight="true" outlineLevel="0" collapsed="false">
      <c r="A2443" s="51" t="n">
        <v>15638</v>
      </c>
      <c r="B2443" s="53" t="n">
        <v>40585.6333333333</v>
      </c>
      <c r="C2443" s="57" t="n">
        <f aca="false">INT($C$2)-INT(Table3[[#This Row],[Last Purchase Date]])</f>
        <v>302</v>
      </c>
      <c r="D2443" s="1" t="n">
        <v>1</v>
      </c>
      <c r="E2443" s="1" t="n">
        <v>-94</v>
      </c>
      <c r="F2443" s="1" t="n">
        <f aca="false">ROUND((1-_xlfn.PERCENTRANK.INC($C$7:$C$4378,C2443))*9,0)</f>
        <v>1</v>
      </c>
      <c r="G2443" s="1" t="n">
        <f aca="false">ROUND(_xlfn.PERCENTRANK.INC($D$7:$D$4378,D2443)*9,0)</f>
        <v>0</v>
      </c>
      <c r="H2443" s="1" t="n">
        <f aca="false">ROUND(_xlfn.PERCENTRANK.INC($E$7:$E$4378,E2443)*9,0)</f>
        <v>0</v>
      </c>
      <c r="I2443" s="1" t="str">
        <f aca="false">CONCATENATE(F2443,G2443,H2443)</f>
        <v>100</v>
      </c>
      <c r="J2443" s="1" t="str">
        <f aca="false">_xlfn.IFS(AND(F2443&gt;=8,G2443&gt;=8,H2443&gt;=8),"CHAMPION",AND(F2443&gt;=6,G2443&gt;=7,H2443&gt;=6),"LOYAL CUSTOMER",AND(F2443&gt;=6,G2443&gt;=5,H2443&gt;=5),"POTENTIAL LOYALIST",AND(F2443&gt;=8,G2443&lt;=2,H2443&gt;=5),"NEW CUSTOMERS",AND(F2443&gt;=6,G2443&lt;=2,H2443&gt;=3),"PROMISING",AND(F2443&gt;=3,G2443&gt;=3,H2443&gt;=3),"NEED ATTENTION",AND(F2443&lt;=4,G2443&gt;=6,H2443&gt;=6),"AT RISK",AND(F2443&lt;=2,G2443&gt;=8,H2443&gt;=8),"CAN'T LOSE THEM",AND(F2443&lt;=2,G2443&lt;=2,H2443&lt;=2),"HIBERNATING",TRUE(),"Other")</f>
        <v>HIBERNATING</v>
      </c>
      <c r="K2443" s="1" t="n">
        <f aca="false">RANK(E2443,$E$7:$E$4378)+COUNTIF($E$7:E2443,E2443)-1</f>
        <v>4355</v>
      </c>
    </row>
    <row r="2444" customFormat="false" ht="14.25" hidden="false" customHeight="true" outlineLevel="0" collapsed="false">
      <c r="A2444" s="51" t="n">
        <v>15639</v>
      </c>
      <c r="B2444" s="53" t="n">
        <v>40752.6041666667</v>
      </c>
      <c r="C2444" s="57" t="n">
        <f aca="false">INT($C$2)-INT(Table3[[#This Row],[Last Purchase Date]])</f>
        <v>135</v>
      </c>
      <c r="D2444" s="1" t="n">
        <v>1</v>
      </c>
      <c r="E2444" s="1" t="n">
        <v>425.32</v>
      </c>
      <c r="F2444" s="1" t="n">
        <f aca="false">ROUND((1-_xlfn.PERCENTRANK.INC($C$7:$C$4378,C2444))*9,0)</f>
        <v>2</v>
      </c>
      <c r="G2444" s="1" t="n">
        <f aca="false">ROUND(_xlfn.PERCENTRANK.INC($D$7:$D$4378,D2444)*9,0)</f>
        <v>0</v>
      </c>
      <c r="H2444" s="1" t="n">
        <f aca="false">ROUND(_xlfn.PERCENTRANK.INC($E$7:$E$4378,E2444)*9,0)</f>
        <v>3</v>
      </c>
      <c r="I2444" s="1" t="str">
        <f aca="false">CONCATENATE(F2444,G2444,H2444)</f>
        <v>203</v>
      </c>
      <c r="J2444" s="1" t="str">
        <f aca="false">_xlfn.IFS(AND(F2444&gt;=8,G2444&gt;=8,H2444&gt;=8),"CHAMPION",AND(F2444&gt;=6,G2444&gt;=7,H2444&gt;=6),"LOYAL CUSTOMER",AND(F2444&gt;=6,G2444&gt;=5,H2444&gt;=5),"POTENTIAL LOYALIST",AND(F2444&gt;=8,G2444&lt;=2,H2444&gt;=5),"NEW CUSTOMERS",AND(F2444&gt;=6,G2444&lt;=2,H2444&gt;=3),"PROMISING",AND(F2444&gt;=3,G2444&gt;=3,H2444&gt;=3),"NEED ATTENTION",AND(F2444&lt;=4,G2444&gt;=6,H2444&gt;=6),"AT RISK",AND(F2444&lt;=2,G2444&gt;=8,H2444&gt;=8),"CAN'T LOSE THEM",AND(F2444&lt;=2,G2444&lt;=2,H2444&lt;=2),"HIBERNATING",TRUE(),"Other")</f>
        <v>Other</v>
      </c>
      <c r="K2444" s="1" t="n">
        <f aca="false">RANK(E2444,$E$7:$E$4378)+COUNTIF($E$7:E2444,E2444)-1</f>
        <v>2737</v>
      </c>
    </row>
    <row r="2445" customFormat="false" ht="14.25" hidden="false" customHeight="true" outlineLevel="0" collapsed="false">
      <c r="A2445" s="51" t="n">
        <v>15640</v>
      </c>
      <c r="B2445" s="53" t="n">
        <v>40882.6076388889</v>
      </c>
      <c r="C2445" s="57" t="n">
        <f aca="false">INT($C$2)-INT(Table3[[#This Row],[Last Purchase Date]])</f>
        <v>5</v>
      </c>
      <c r="D2445" s="1" t="n">
        <v>17</v>
      </c>
      <c r="E2445" s="1" t="n">
        <v>12433.34</v>
      </c>
      <c r="F2445" s="1" t="n">
        <f aca="false">ROUND((1-_xlfn.PERCENTRANK.INC($C$7:$C$4378,C2445))*9,0)</f>
        <v>8</v>
      </c>
      <c r="G2445" s="1" t="n">
        <f aca="false">ROUND(_xlfn.PERCENTRANK.INC($D$7:$D$4378,D2445)*9,0)</f>
        <v>9</v>
      </c>
      <c r="H2445" s="1" t="n">
        <f aca="false">ROUND(_xlfn.PERCENTRANK.INC($E$7:$E$4378,E2445)*9,0)</f>
        <v>9</v>
      </c>
      <c r="I2445" s="1" t="str">
        <f aca="false">CONCATENATE(F2445,G2445,H2445)</f>
        <v>899</v>
      </c>
      <c r="J2445" s="1" t="str">
        <f aca="false">_xlfn.IFS(AND(F2445&gt;=8,G2445&gt;=8,H2445&gt;=8),"CHAMPION",AND(F2445&gt;=6,G2445&gt;=7,H2445&gt;=6),"LOYAL CUSTOMER",AND(F2445&gt;=6,G2445&gt;=5,H2445&gt;=5),"POTENTIAL LOYALIST",AND(F2445&gt;=8,G2445&lt;=2,H2445&gt;=5),"NEW CUSTOMERS",AND(F2445&gt;=6,G2445&lt;=2,H2445&gt;=3),"PROMISING",AND(F2445&gt;=3,G2445&gt;=3,H2445&gt;=3),"NEED ATTENTION",AND(F2445&lt;=4,G2445&gt;=6,H2445&gt;=6),"AT RISK",AND(F2445&lt;=2,G2445&gt;=8,H2445&gt;=8),"CAN'T LOSE THEM",AND(F2445&lt;=2,G2445&lt;=2,H2445&lt;=2),"HIBERNATING",TRUE(),"Other")</f>
        <v>CHAMPION</v>
      </c>
      <c r="K2445" s="1" t="n">
        <f aca="false">RANK(E2445,$E$7:$E$4378)+COUNTIF($E$7:E2445,E2445)-1</f>
        <v>67</v>
      </c>
    </row>
    <row r="2446" customFormat="false" ht="14.25" hidden="false" customHeight="true" outlineLevel="0" collapsed="false">
      <c r="A2446" s="51" t="n">
        <v>15641</v>
      </c>
      <c r="B2446" s="53" t="n">
        <v>40781.5861111111</v>
      </c>
      <c r="C2446" s="57" t="n">
        <f aca="false">INT($C$2)-INT(Table3[[#This Row],[Last Purchase Date]])</f>
        <v>106</v>
      </c>
      <c r="D2446" s="1" t="n">
        <v>4</v>
      </c>
      <c r="E2446" s="1" t="n">
        <v>1887.2</v>
      </c>
      <c r="F2446" s="1" t="n">
        <f aca="false">ROUND((1-_xlfn.PERCENTRANK.INC($C$7:$C$4378,C2446))*9,0)</f>
        <v>3</v>
      </c>
      <c r="G2446" s="1" t="n">
        <f aca="false">ROUND(_xlfn.PERCENTRANK.INC($D$7:$D$4378,D2446)*9,0)</f>
        <v>5</v>
      </c>
      <c r="H2446" s="1" t="n">
        <f aca="false">ROUND(_xlfn.PERCENTRANK.INC($E$7:$E$4378,E2446)*9,0)</f>
        <v>7</v>
      </c>
      <c r="I2446" s="1" t="str">
        <f aca="false">CONCATENATE(F2446,G2446,H2446)</f>
        <v>357</v>
      </c>
      <c r="J2446" s="1" t="str">
        <f aca="false">_xlfn.IFS(AND(F2446&gt;=8,G2446&gt;=8,H2446&gt;=8),"CHAMPION",AND(F2446&gt;=6,G2446&gt;=7,H2446&gt;=6),"LOYAL CUSTOMER",AND(F2446&gt;=6,G2446&gt;=5,H2446&gt;=5),"POTENTIAL LOYALIST",AND(F2446&gt;=8,G2446&lt;=2,H2446&gt;=5),"NEW CUSTOMERS",AND(F2446&gt;=6,G2446&lt;=2,H2446&gt;=3),"PROMISING",AND(F2446&gt;=3,G2446&gt;=3,H2446&gt;=3),"NEED ATTENTION",AND(F2446&lt;=4,G2446&gt;=6,H2446&gt;=6),"AT RISK",AND(F2446&lt;=2,G2446&gt;=8,H2446&gt;=8),"CAN'T LOSE THEM",AND(F2446&lt;=2,G2446&lt;=2,H2446&lt;=2),"HIBERNATING",TRUE(),"Other")</f>
        <v>NEED ATTENTION</v>
      </c>
      <c r="K2446" s="1" t="n">
        <f aca="false">RANK(E2446,$E$7:$E$4378)+COUNTIF($E$7:E2446,E2446)-1</f>
        <v>927</v>
      </c>
    </row>
    <row r="2447" customFormat="false" ht="14.25" hidden="false" customHeight="true" outlineLevel="0" collapsed="false">
      <c r="A2447" s="51" t="n">
        <v>15643</v>
      </c>
      <c r="B2447" s="53" t="n">
        <v>40707.7215277778</v>
      </c>
      <c r="C2447" s="57" t="n">
        <f aca="false">INT($C$2)-INT(Table3[[#This Row],[Last Purchase Date]])</f>
        <v>180</v>
      </c>
      <c r="D2447" s="1" t="n">
        <v>6</v>
      </c>
      <c r="E2447" s="1" t="n">
        <v>647.4</v>
      </c>
      <c r="F2447" s="1" t="n">
        <f aca="false">ROUND((1-_xlfn.PERCENTRANK.INC($C$7:$C$4378,C2447))*9,0)</f>
        <v>2</v>
      </c>
      <c r="G2447" s="1" t="n">
        <f aca="false">ROUND(_xlfn.PERCENTRANK.INC($D$7:$D$4378,D2447)*9,0)</f>
        <v>7</v>
      </c>
      <c r="H2447" s="1" t="n">
        <f aca="false">ROUND(_xlfn.PERCENTRANK.INC($E$7:$E$4378,E2447)*9,0)</f>
        <v>5</v>
      </c>
      <c r="I2447" s="1" t="str">
        <f aca="false">CONCATENATE(F2447,G2447,H2447)</f>
        <v>275</v>
      </c>
      <c r="J2447" s="1" t="str">
        <f aca="false">_xlfn.IFS(AND(F2447&gt;=8,G2447&gt;=8,H2447&gt;=8),"CHAMPION",AND(F2447&gt;=6,G2447&gt;=7,H2447&gt;=6),"LOYAL CUSTOMER",AND(F2447&gt;=6,G2447&gt;=5,H2447&gt;=5),"POTENTIAL LOYALIST",AND(F2447&gt;=8,G2447&lt;=2,H2447&gt;=5),"NEW CUSTOMERS",AND(F2447&gt;=6,G2447&lt;=2,H2447&gt;=3),"PROMISING",AND(F2447&gt;=3,G2447&gt;=3,H2447&gt;=3),"NEED ATTENTION",AND(F2447&lt;=4,G2447&gt;=6,H2447&gt;=6),"AT RISK",AND(F2447&lt;=2,G2447&gt;=8,H2447&gt;=8),"CAN'T LOSE THEM",AND(F2447&lt;=2,G2447&lt;=2,H2447&lt;=2),"HIBERNATING",TRUE(),"Other")</f>
        <v>Other</v>
      </c>
      <c r="K2447" s="1" t="n">
        <f aca="false">RANK(E2447,$E$7:$E$4378)+COUNTIF($E$7:E2447,E2447)-1</f>
        <v>2188</v>
      </c>
    </row>
    <row r="2448" customFormat="false" ht="14.25" hidden="false" customHeight="true" outlineLevel="0" collapsed="false">
      <c r="A2448" s="51" t="n">
        <v>15644</v>
      </c>
      <c r="B2448" s="53" t="n">
        <v>40720.6208333333</v>
      </c>
      <c r="C2448" s="57" t="n">
        <f aca="false">INT($C$2)-INT(Table3[[#This Row],[Last Purchase Date]])</f>
        <v>167</v>
      </c>
      <c r="D2448" s="1" t="n">
        <v>4</v>
      </c>
      <c r="E2448" s="1" t="n">
        <v>813</v>
      </c>
      <c r="F2448" s="1" t="n">
        <f aca="false">ROUND((1-_xlfn.PERCENTRANK.INC($C$7:$C$4378,C2448))*9,0)</f>
        <v>2</v>
      </c>
      <c r="G2448" s="1" t="n">
        <f aca="false">ROUND(_xlfn.PERCENTRANK.INC($D$7:$D$4378,D2448)*9,0)</f>
        <v>5</v>
      </c>
      <c r="H2448" s="1" t="n">
        <f aca="false">ROUND(_xlfn.PERCENTRANK.INC($E$7:$E$4378,E2448)*9,0)</f>
        <v>5</v>
      </c>
      <c r="I2448" s="1" t="str">
        <f aca="false">CONCATENATE(F2448,G2448,H2448)</f>
        <v>255</v>
      </c>
      <c r="J2448" s="1" t="str">
        <f aca="false">_xlfn.IFS(AND(F2448&gt;=8,G2448&gt;=8,H2448&gt;=8),"CHAMPION",AND(F2448&gt;=6,G2448&gt;=7,H2448&gt;=6),"LOYAL CUSTOMER",AND(F2448&gt;=6,G2448&gt;=5,H2448&gt;=5),"POTENTIAL LOYALIST",AND(F2448&gt;=8,G2448&lt;=2,H2448&gt;=5),"NEW CUSTOMERS",AND(F2448&gt;=6,G2448&lt;=2,H2448&gt;=3),"PROMISING",AND(F2448&gt;=3,G2448&gt;=3,H2448&gt;=3),"NEED ATTENTION",AND(F2448&lt;=4,G2448&gt;=6,H2448&gt;=6),"AT RISK",AND(F2448&lt;=2,G2448&gt;=8,H2448&gt;=8),"CAN'T LOSE THEM",AND(F2448&lt;=2,G2448&lt;=2,H2448&lt;=2),"HIBERNATING",TRUE(),"Other")</f>
        <v>Other</v>
      </c>
      <c r="K2448" s="1" t="n">
        <f aca="false">RANK(E2448,$E$7:$E$4378)+COUNTIF($E$7:E2448,E2448)-1</f>
        <v>1879</v>
      </c>
    </row>
    <row r="2449" customFormat="false" ht="14.25" hidden="false" customHeight="true" outlineLevel="0" collapsed="false">
      <c r="A2449" s="51" t="n">
        <v>15645</v>
      </c>
      <c r="B2449" s="53" t="n">
        <v>40868.4965277778</v>
      </c>
      <c r="C2449" s="57" t="n">
        <f aca="false">INT($C$2)-INT(Table3[[#This Row],[Last Purchase Date]])</f>
        <v>19</v>
      </c>
      <c r="D2449" s="1" t="n">
        <v>1</v>
      </c>
      <c r="E2449" s="1" t="n">
        <v>612.01</v>
      </c>
      <c r="F2449" s="1" t="n">
        <f aca="false">ROUND((1-_xlfn.PERCENTRANK.INC($C$7:$C$4378,C2449))*9,0)</f>
        <v>7</v>
      </c>
      <c r="G2449" s="1" t="n">
        <f aca="false">ROUND(_xlfn.PERCENTRANK.INC($D$7:$D$4378,D2449)*9,0)</f>
        <v>0</v>
      </c>
      <c r="H2449" s="1" t="n">
        <f aca="false">ROUND(_xlfn.PERCENTRANK.INC($E$7:$E$4378,E2449)*9,0)</f>
        <v>4</v>
      </c>
      <c r="I2449" s="1" t="str">
        <f aca="false">CONCATENATE(F2449,G2449,H2449)</f>
        <v>704</v>
      </c>
      <c r="J2449" s="1" t="str">
        <f aca="false">_xlfn.IFS(AND(F2449&gt;=8,G2449&gt;=8,H2449&gt;=8),"CHAMPION",AND(F2449&gt;=6,G2449&gt;=7,H2449&gt;=6),"LOYAL CUSTOMER",AND(F2449&gt;=6,G2449&gt;=5,H2449&gt;=5),"POTENTIAL LOYALIST",AND(F2449&gt;=8,G2449&lt;=2,H2449&gt;=5),"NEW CUSTOMERS",AND(F2449&gt;=6,G2449&lt;=2,H2449&gt;=3),"PROMISING",AND(F2449&gt;=3,G2449&gt;=3,H2449&gt;=3),"NEED ATTENTION",AND(F2449&lt;=4,G2449&gt;=6,H2449&gt;=6),"AT RISK",AND(F2449&lt;=2,G2449&gt;=8,H2449&gt;=8),"CAN'T LOSE THEM",AND(F2449&lt;=2,G2449&lt;=2,H2449&lt;=2),"HIBERNATING",TRUE(),"Other")</f>
        <v>PROMISING</v>
      </c>
      <c r="K2449" s="1" t="n">
        <f aca="false">RANK(E2449,$E$7:$E$4378)+COUNTIF($E$7:E2449,E2449)-1</f>
        <v>2277</v>
      </c>
    </row>
    <row r="2450" customFormat="false" ht="14.25" hidden="false" customHeight="true" outlineLevel="0" collapsed="false">
      <c r="A2450" s="51" t="n">
        <v>15646</v>
      </c>
      <c r="B2450" s="53" t="n">
        <v>40729.4118055556</v>
      </c>
      <c r="C2450" s="57" t="n">
        <f aca="false">INT($C$2)-INT(Table3[[#This Row],[Last Purchase Date]])</f>
        <v>158</v>
      </c>
      <c r="D2450" s="1" t="n">
        <v>4</v>
      </c>
      <c r="E2450" s="1" t="n">
        <v>425.14</v>
      </c>
      <c r="F2450" s="1" t="n">
        <f aca="false">ROUND((1-_xlfn.PERCENTRANK.INC($C$7:$C$4378,C2450))*9,0)</f>
        <v>2</v>
      </c>
      <c r="G2450" s="1" t="n">
        <f aca="false">ROUND(_xlfn.PERCENTRANK.INC($D$7:$D$4378,D2450)*9,0)</f>
        <v>5</v>
      </c>
      <c r="H2450" s="1" t="n">
        <f aca="false">ROUND(_xlfn.PERCENTRANK.INC($E$7:$E$4378,E2450)*9,0)</f>
        <v>3</v>
      </c>
      <c r="I2450" s="1" t="str">
        <f aca="false">CONCATENATE(F2450,G2450,H2450)</f>
        <v>253</v>
      </c>
      <c r="J2450" s="1" t="str">
        <f aca="false">_xlfn.IFS(AND(F2450&gt;=8,G2450&gt;=8,H2450&gt;=8),"CHAMPION",AND(F2450&gt;=6,G2450&gt;=7,H2450&gt;=6),"LOYAL CUSTOMER",AND(F2450&gt;=6,G2450&gt;=5,H2450&gt;=5),"POTENTIAL LOYALIST",AND(F2450&gt;=8,G2450&lt;=2,H2450&gt;=5),"NEW CUSTOMERS",AND(F2450&gt;=6,G2450&lt;=2,H2450&gt;=3),"PROMISING",AND(F2450&gt;=3,G2450&gt;=3,H2450&gt;=3),"NEED ATTENTION",AND(F2450&lt;=4,G2450&gt;=6,H2450&gt;=6),"AT RISK",AND(F2450&lt;=2,G2450&gt;=8,H2450&gt;=8),"CAN'T LOSE THEM",AND(F2450&lt;=2,G2450&lt;=2,H2450&lt;=2),"HIBERNATING",TRUE(),"Other")</f>
        <v>Other</v>
      </c>
      <c r="K2450" s="1" t="n">
        <f aca="false">RANK(E2450,$E$7:$E$4378)+COUNTIF($E$7:E2450,E2450)-1</f>
        <v>2739</v>
      </c>
    </row>
    <row r="2451" customFormat="false" ht="14.25" hidden="false" customHeight="true" outlineLevel="0" collapsed="false">
      <c r="A2451" s="51" t="n">
        <v>15648</v>
      </c>
      <c r="B2451" s="53" t="n">
        <v>40682.6618055556</v>
      </c>
      <c r="C2451" s="57" t="n">
        <f aca="false">INT($C$2)-INT(Table3[[#This Row],[Last Purchase Date]])</f>
        <v>205</v>
      </c>
      <c r="D2451" s="1" t="n">
        <v>4</v>
      </c>
      <c r="E2451" s="1" t="n">
        <v>599.9</v>
      </c>
      <c r="F2451" s="1" t="n">
        <f aca="false">ROUND((1-_xlfn.PERCENTRANK.INC($C$7:$C$4378,C2451))*9,0)</f>
        <v>2</v>
      </c>
      <c r="G2451" s="1" t="n">
        <f aca="false">ROUND(_xlfn.PERCENTRANK.INC($D$7:$D$4378,D2451)*9,0)</f>
        <v>5</v>
      </c>
      <c r="H2451" s="1" t="n">
        <f aca="false">ROUND(_xlfn.PERCENTRANK.INC($E$7:$E$4378,E2451)*9,0)</f>
        <v>4</v>
      </c>
      <c r="I2451" s="1" t="str">
        <f aca="false">CONCATENATE(F2451,G2451,H2451)</f>
        <v>254</v>
      </c>
      <c r="J2451" s="1" t="str">
        <f aca="false">_xlfn.IFS(AND(F2451&gt;=8,G2451&gt;=8,H2451&gt;=8),"CHAMPION",AND(F2451&gt;=6,G2451&gt;=7,H2451&gt;=6),"LOYAL CUSTOMER",AND(F2451&gt;=6,G2451&gt;=5,H2451&gt;=5),"POTENTIAL LOYALIST",AND(F2451&gt;=8,G2451&lt;=2,H2451&gt;=5),"NEW CUSTOMERS",AND(F2451&gt;=6,G2451&lt;=2,H2451&gt;=3),"PROMISING",AND(F2451&gt;=3,G2451&gt;=3,H2451&gt;=3),"NEED ATTENTION",AND(F2451&lt;=4,G2451&gt;=6,H2451&gt;=6),"AT RISK",AND(F2451&lt;=2,G2451&gt;=8,H2451&gt;=8),"CAN'T LOSE THEM",AND(F2451&lt;=2,G2451&lt;=2,H2451&lt;=2),"HIBERNATING",TRUE(),"Other")</f>
        <v>Other</v>
      </c>
      <c r="K2451" s="1" t="n">
        <f aca="false">RANK(E2451,$E$7:$E$4378)+COUNTIF($E$7:E2451,E2451)-1</f>
        <v>2320</v>
      </c>
    </row>
    <row r="2452" customFormat="false" ht="14.25" hidden="false" customHeight="true" outlineLevel="0" collapsed="false">
      <c r="A2452" s="51" t="n">
        <v>15649</v>
      </c>
      <c r="B2452" s="53" t="n">
        <v>40550.5652777778</v>
      </c>
      <c r="C2452" s="57" t="n">
        <f aca="false">INT($C$2)-INT(Table3[[#This Row],[Last Purchase Date]])</f>
        <v>337</v>
      </c>
      <c r="D2452" s="1" t="n">
        <v>2</v>
      </c>
      <c r="E2452" s="1" t="n">
        <v>816</v>
      </c>
      <c r="F2452" s="1" t="n">
        <f aca="false">ROUND((1-_xlfn.PERCENTRANK.INC($C$7:$C$4378,C2452))*9,0)</f>
        <v>0</v>
      </c>
      <c r="G2452" s="1" t="n">
        <f aca="false">ROUND(_xlfn.PERCENTRANK.INC($D$7:$D$4378,D2452)*9,0)</f>
        <v>3</v>
      </c>
      <c r="H2452" s="1" t="n">
        <f aca="false">ROUND(_xlfn.PERCENTRANK.INC($E$7:$E$4378,E2452)*9,0)</f>
        <v>5</v>
      </c>
      <c r="I2452" s="1" t="str">
        <f aca="false">CONCATENATE(F2452,G2452,H2452)</f>
        <v>035</v>
      </c>
      <c r="J2452" s="1" t="str">
        <f aca="false">_xlfn.IFS(AND(F2452&gt;=8,G2452&gt;=8,H2452&gt;=8),"CHAMPION",AND(F2452&gt;=6,G2452&gt;=7,H2452&gt;=6),"LOYAL CUSTOMER",AND(F2452&gt;=6,G2452&gt;=5,H2452&gt;=5),"POTENTIAL LOYALIST",AND(F2452&gt;=8,G2452&lt;=2,H2452&gt;=5),"NEW CUSTOMERS",AND(F2452&gt;=6,G2452&lt;=2,H2452&gt;=3),"PROMISING",AND(F2452&gt;=3,G2452&gt;=3,H2452&gt;=3),"NEED ATTENTION",AND(F2452&lt;=4,G2452&gt;=6,H2452&gt;=6),"AT RISK",AND(F2452&lt;=2,G2452&gt;=8,H2452&gt;=8),"CAN'T LOSE THEM",AND(F2452&lt;=2,G2452&lt;=2,H2452&lt;=2),"HIBERNATING",TRUE(),"Other")</f>
        <v>Other</v>
      </c>
      <c r="K2452" s="1" t="n">
        <f aca="false">RANK(E2452,$E$7:$E$4378)+COUNTIF($E$7:E2452,E2452)-1</f>
        <v>1869</v>
      </c>
    </row>
    <row r="2453" customFormat="false" ht="14.25" hidden="false" customHeight="true" outlineLevel="0" collapsed="false">
      <c r="A2453" s="51" t="n">
        <v>15651</v>
      </c>
      <c r="B2453" s="53" t="n">
        <v>40850.3618055556</v>
      </c>
      <c r="C2453" s="57" t="n">
        <f aca="false">INT($C$2)-INT(Table3[[#This Row],[Last Purchase Date]])</f>
        <v>37</v>
      </c>
      <c r="D2453" s="1" t="n">
        <v>3</v>
      </c>
      <c r="E2453" s="1" t="n">
        <v>646.3</v>
      </c>
      <c r="F2453" s="1" t="n">
        <f aca="false">ROUND((1-_xlfn.PERCENTRANK.INC($C$7:$C$4378,C2453))*9,0)</f>
        <v>5</v>
      </c>
      <c r="G2453" s="1" t="n">
        <f aca="false">ROUND(_xlfn.PERCENTRANK.INC($D$7:$D$4378,D2453)*9,0)</f>
        <v>4</v>
      </c>
      <c r="H2453" s="1" t="n">
        <f aca="false">ROUND(_xlfn.PERCENTRANK.INC($E$7:$E$4378,E2453)*9,0)</f>
        <v>4</v>
      </c>
      <c r="I2453" s="1" t="str">
        <f aca="false">CONCATENATE(F2453,G2453,H2453)</f>
        <v>544</v>
      </c>
      <c r="J2453" s="1" t="str">
        <f aca="false">_xlfn.IFS(AND(F2453&gt;=8,G2453&gt;=8,H2453&gt;=8),"CHAMPION",AND(F2453&gt;=6,G2453&gt;=7,H2453&gt;=6),"LOYAL CUSTOMER",AND(F2453&gt;=6,G2453&gt;=5,H2453&gt;=5),"POTENTIAL LOYALIST",AND(F2453&gt;=8,G2453&lt;=2,H2453&gt;=5),"NEW CUSTOMERS",AND(F2453&gt;=6,G2453&lt;=2,H2453&gt;=3),"PROMISING",AND(F2453&gt;=3,G2453&gt;=3,H2453&gt;=3),"NEED ATTENTION",AND(F2453&lt;=4,G2453&gt;=6,H2453&gt;=6),"AT RISK",AND(F2453&lt;=2,G2453&gt;=8,H2453&gt;=8),"CAN'T LOSE THEM",AND(F2453&lt;=2,G2453&lt;=2,H2453&lt;=2),"HIBERNATING",TRUE(),"Other")</f>
        <v>NEED ATTENTION</v>
      </c>
      <c r="K2453" s="1" t="n">
        <f aca="false">RANK(E2453,$E$7:$E$4378)+COUNTIF($E$7:E2453,E2453)-1</f>
        <v>2191</v>
      </c>
    </row>
    <row r="2454" customFormat="false" ht="14.25" hidden="false" customHeight="true" outlineLevel="0" collapsed="false">
      <c r="A2454" s="51" t="n">
        <v>15652</v>
      </c>
      <c r="B2454" s="53" t="n">
        <v>40795.5986111111</v>
      </c>
      <c r="C2454" s="57" t="n">
        <f aca="false">INT($C$2)-INT(Table3[[#This Row],[Last Purchase Date]])</f>
        <v>92</v>
      </c>
      <c r="D2454" s="1" t="n">
        <v>1</v>
      </c>
      <c r="E2454" s="1" t="n">
        <v>337.74</v>
      </c>
      <c r="F2454" s="1" t="n">
        <f aca="false">ROUND((1-_xlfn.PERCENTRANK.INC($C$7:$C$4378,C2454))*9,0)</f>
        <v>3</v>
      </c>
      <c r="G2454" s="1" t="n">
        <f aca="false">ROUND(_xlfn.PERCENTRANK.INC($D$7:$D$4378,D2454)*9,0)</f>
        <v>0</v>
      </c>
      <c r="H2454" s="1" t="n">
        <f aca="false">ROUND(_xlfn.PERCENTRANK.INC($E$7:$E$4378,E2454)*9,0)</f>
        <v>3</v>
      </c>
      <c r="I2454" s="1" t="str">
        <f aca="false">CONCATENATE(F2454,G2454,H2454)</f>
        <v>303</v>
      </c>
      <c r="J2454" s="1" t="str">
        <f aca="false">_xlfn.IFS(AND(F2454&gt;=8,G2454&gt;=8,H2454&gt;=8),"CHAMPION",AND(F2454&gt;=6,G2454&gt;=7,H2454&gt;=6),"LOYAL CUSTOMER",AND(F2454&gt;=6,G2454&gt;=5,H2454&gt;=5),"POTENTIAL LOYALIST",AND(F2454&gt;=8,G2454&lt;=2,H2454&gt;=5),"NEW CUSTOMERS",AND(F2454&gt;=6,G2454&lt;=2,H2454&gt;=3),"PROMISING",AND(F2454&gt;=3,G2454&gt;=3,H2454&gt;=3),"NEED ATTENTION",AND(F2454&lt;=4,G2454&gt;=6,H2454&gt;=6),"AT RISK",AND(F2454&lt;=2,G2454&gt;=8,H2454&gt;=8),"CAN'T LOSE THEM",AND(F2454&lt;=2,G2454&lt;=2,H2454&lt;=2),"HIBERNATING",TRUE(),"Other")</f>
        <v>Other</v>
      </c>
      <c r="K2454" s="1" t="n">
        <f aca="false">RANK(E2454,$E$7:$E$4378)+COUNTIF($E$7:E2454,E2454)-1</f>
        <v>3058</v>
      </c>
    </row>
    <row r="2455" customFormat="false" ht="14.25" hidden="false" customHeight="true" outlineLevel="0" collapsed="false">
      <c r="A2455" s="51" t="n">
        <v>15653</v>
      </c>
      <c r="B2455" s="53" t="n">
        <v>40794.4506944444</v>
      </c>
      <c r="C2455" s="57" t="n">
        <f aca="false">INT($C$2)-INT(Table3[[#This Row],[Last Purchase Date]])</f>
        <v>93</v>
      </c>
      <c r="D2455" s="1" t="n">
        <v>2</v>
      </c>
      <c r="E2455" s="1" t="n">
        <v>877.44</v>
      </c>
      <c r="F2455" s="1" t="n">
        <f aca="false">ROUND((1-_xlfn.PERCENTRANK.INC($C$7:$C$4378,C2455))*9,0)</f>
        <v>3</v>
      </c>
      <c r="G2455" s="1" t="n">
        <f aca="false">ROUND(_xlfn.PERCENTRANK.INC($D$7:$D$4378,D2455)*9,0)</f>
        <v>3</v>
      </c>
      <c r="H2455" s="1" t="n">
        <f aca="false">ROUND(_xlfn.PERCENTRANK.INC($E$7:$E$4378,E2455)*9,0)</f>
        <v>5</v>
      </c>
      <c r="I2455" s="1" t="str">
        <f aca="false">CONCATENATE(F2455,G2455,H2455)</f>
        <v>335</v>
      </c>
      <c r="J2455" s="1" t="str">
        <f aca="false">_xlfn.IFS(AND(F2455&gt;=8,G2455&gt;=8,H2455&gt;=8),"CHAMPION",AND(F2455&gt;=6,G2455&gt;=7,H2455&gt;=6),"LOYAL CUSTOMER",AND(F2455&gt;=6,G2455&gt;=5,H2455&gt;=5),"POTENTIAL LOYALIST",AND(F2455&gt;=8,G2455&lt;=2,H2455&gt;=5),"NEW CUSTOMERS",AND(F2455&gt;=6,G2455&lt;=2,H2455&gt;=3),"PROMISING",AND(F2455&gt;=3,G2455&gt;=3,H2455&gt;=3),"NEED ATTENTION",AND(F2455&lt;=4,G2455&gt;=6,H2455&gt;=6),"AT RISK",AND(F2455&lt;=2,G2455&gt;=8,H2455&gt;=8),"CAN'T LOSE THEM",AND(F2455&lt;=2,G2455&lt;=2,H2455&lt;=2),"HIBERNATING",TRUE(),"Other")</f>
        <v>NEED ATTENTION</v>
      </c>
      <c r="K2455" s="1" t="n">
        <f aca="false">RANK(E2455,$E$7:$E$4378)+COUNTIF($E$7:E2455,E2455)-1</f>
        <v>1791</v>
      </c>
    </row>
    <row r="2456" customFormat="false" ht="14.25" hidden="false" customHeight="true" outlineLevel="0" collapsed="false">
      <c r="A2456" s="51" t="n">
        <v>15654</v>
      </c>
      <c r="B2456" s="53" t="n">
        <v>40877.5472222222</v>
      </c>
      <c r="C2456" s="57" t="n">
        <f aca="false">INT($C$2)-INT(Table3[[#This Row],[Last Purchase Date]])</f>
        <v>10</v>
      </c>
      <c r="D2456" s="1" t="n">
        <v>2</v>
      </c>
      <c r="E2456" s="1" t="n">
        <v>922.53</v>
      </c>
      <c r="F2456" s="1" t="n">
        <f aca="false">ROUND((1-_xlfn.PERCENTRANK.INC($C$7:$C$4378,C2456))*9,0)</f>
        <v>8</v>
      </c>
      <c r="G2456" s="1" t="n">
        <f aca="false">ROUND(_xlfn.PERCENTRANK.INC($D$7:$D$4378,D2456)*9,0)</f>
        <v>3</v>
      </c>
      <c r="H2456" s="1" t="n">
        <f aca="false">ROUND(_xlfn.PERCENTRANK.INC($E$7:$E$4378,E2456)*9,0)</f>
        <v>5</v>
      </c>
      <c r="I2456" s="1" t="str">
        <f aca="false">CONCATENATE(F2456,G2456,H2456)</f>
        <v>835</v>
      </c>
      <c r="J2456" s="1" t="str">
        <f aca="false">_xlfn.IFS(AND(F2456&gt;=8,G2456&gt;=8,H2456&gt;=8),"CHAMPION",AND(F2456&gt;=6,G2456&gt;=7,H2456&gt;=6),"LOYAL CUSTOMER",AND(F2456&gt;=6,G2456&gt;=5,H2456&gt;=5),"POTENTIAL LOYALIST",AND(F2456&gt;=8,G2456&lt;=2,H2456&gt;=5),"NEW CUSTOMERS",AND(F2456&gt;=6,G2456&lt;=2,H2456&gt;=3),"PROMISING",AND(F2456&gt;=3,G2456&gt;=3,H2456&gt;=3),"NEED ATTENTION",AND(F2456&lt;=4,G2456&gt;=6,H2456&gt;=6),"AT RISK",AND(F2456&lt;=2,G2456&gt;=8,H2456&gt;=8),"CAN'T LOSE THEM",AND(F2456&lt;=2,G2456&lt;=2,H2456&lt;=2),"HIBERNATING",TRUE(),"Other")</f>
        <v>NEED ATTENTION</v>
      </c>
      <c r="K2456" s="1" t="n">
        <f aca="false">RANK(E2456,$E$7:$E$4378)+COUNTIF($E$7:E2456,E2456)-1</f>
        <v>1722</v>
      </c>
    </row>
    <row r="2457" customFormat="false" ht="14.25" hidden="false" customHeight="true" outlineLevel="0" collapsed="false">
      <c r="A2457" s="51" t="n">
        <v>15655</v>
      </c>
      <c r="B2457" s="53" t="n">
        <v>40653.6861111111</v>
      </c>
      <c r="C2457" s="57" t="n">
        <f aca="false">INT($C$2)-INT(Table3[[#This Row],[Last Purchase Date]])</f>
        <v>234</v>
      </c>
      <c r="D2457" s="1" t="n">
        <v>2</v>
      </c>
      <c r="E2457" s="1" t="n">
        <v>511.32</v>
      </c>
      <c r="F2457" s="1" t="n">
        <f aca="false">ROUND((1-_xlfn.PERCENTRANK.INC($C$7:$C$4378,C2457))*9,0)</f>
        <v>1</v>
      </c>
      <c r="G2457" s="1" t="n">
        <f aca="false">ROUND(_xlfn.PERCENTRANK.INC($D$7:$D$4378,D2457)*9,0)</f>
        <v>3</v>
      </c>
      <c r="H2457" s="1" t="n">
        <f aca="false">ROUND(_xlfn.PERCENTRANK.INC($E$7:$E$4378,E2457)*9,0)</f>
        <v>4</v>
      </c>
      <c r="I2457" s="1" t="str">
        <f aca="false">CONCATENATE(F2457,G2457,H2457)</f>
        <v>134</v>
      </c>
      <c r="J2457" s="1" t="str">
        <f aca="false">_xlfn.IFS(AND(F2457&gt;=8,G2457&gt;=8,H2457&gt;=8),"CHAMPION",AND(F2457&gt;=6,G2457&gt;=7,H2457&gt;=6),"LOYAL CUSTOMER",AND(F2457&gt;=6,G2457&gt;=5,H2457&gt;=5),"POTENTIAL LOYALIST",AND(F2457&gt;=8,G2457&lt;=2,H2457&gt;=5),"NEW CUSTOMERS",AND(F2457&gt;=6,G2457&lt;=2,H2457&gt;=3),"PROMISING",AND(F2457&gt;=3,G2457&gt;=3,H2457&gt;=3),"NEED ATTENTION",AND(F2457&lt;=4,G2457&gt;=6,H2457&gt;=6),"AT RISK",AND(F2457&lt;=2,G2457&gt;=8,H2457&gt;=8),"CAN'T LOSE THEM",AND(F2457&lt;=2,G2457&lt;=2,H2457&lt;=2),"HIBERNATING",TRUE(),"Other")</f>
        <v>Other</v>
      </c>
      <c r="K2457" s="1" t="n">
        <f aca="false">RANK(E2457,$E$7:$E$4378)+COUNTIF($E$7:E2457,E2457)-1</f>
        <v>2514</v>
      </c>
    </row>
    <row r="2458" customFormat="false" ht="14.25" hidden="false" customHeight="true" outlineLevel="0" collapsed="false">
      <c r="A2458" s="51" t="n">
        <v>15656</v>
      </c>
      <c r="B2458" s="53" t="n">
        <v>40841.6222222222</v>
      </c>
      <c r="C2458" s="57" t="n">
        <f aca="false">INT($C$2)-INT(Table3[[#This Row],[Last Purchase Date]])</f>
        <v>46</v>
      </c>
      <c r="D2458" s="1" t="n">
        <v>4</v>
      </c>
      <c r="E2458" s="1" t="n">
        <v>748.5</v>
      </c>
      <c r="F2458" s="1" t="n">
        <f aca="false">ROUND((1-_xlfn.PERCENTRANK.INC($C$7:$C$4378,C2458))*9,0)</f>
        <v>5</v>
      </c>
      <c r="G2458" s="1" t="n">
        <f aca="false">ROUND(_xlfn.PERCENTRANK.INC($D$7:$D$4378,D2458)*9,0)</f>
        <v>5</v>
      </c>
      <c r="H2458" s="1" t="n">
        <f aca="false">ROUND(_xlfn.PERCENTRANK.INC($E$7:$E$4378,E2458)*9,0)</f>
        <v>5</v>
      </c>
      <c r="I2458" s="1" t="str">
        <f aca="false">CONCATENATE(F2458,G2458,H2458)</f>
        <v>555</v>
      </c>
      <c r="J2458" s="1" t="str">
        <f aca="false">_xlfn.IFS(AND(F2458&gt;=8,G2458&gt;=8,H2458&gt;=8),"CHAMPION",AND(F2458&gt;=6,G2458&gt;=7,H2458&gt;=6),"LOYAL CUSTOMER",AND(F2458&gt;=6,G2458&gt;=5,H2458&gt;=5),"POTENTIAL LOYALIST",AND(F2458&gt;=8,G2458&lt;=2,H2458&gt;=5),"NEW CUSTOMERS",AND(F2458&gt;=6,G2458&lt;=2,H2458&gt;=3),"PROMISING",AND(F2458&gt;=3,G2458&gt;=3,H2458&gt;=3),"NEED ATTENTION",AND(F2458&lt;=4,G2458&gt;=6,H2458&gt;=6),"AT RISK",AND(F2458&lt;=2,G2458&gt;=8,H2458&gt;=8),"CAN'T LOSE THEM",AND(F2458&lt;=2,G2458&lt;=2,H2458&lt;=2),"HIBERNATING",TRUE(),"Other")</f>
        <v>NEED ATTENTION</v>
      </c>
      <c r="K2458" s="1" t="n">
        <f aca="false">RANK(E2458,$E$7:$E$4378)+COUNTIF($E$7:E2458,E2458)-1</f>
        <v>1978</v>
      </c>
    </row>
    <row r="2459" customFormat="false" ht="14.25" hidden="false" customHeight="true" outlineLevel="0" collapsed="false">
      <c r="A2459" s="51" t="n">
        <v>15657</v>
      </c>
      <c r="B2459" s="53" t="n">
        <v>40864.5131944444</v>
      </c>
      <c r="C2459" s="57" t="n">
        <f aca="false">INT($C$2)-INT(Table3[[#This Row],[Last Purchase Date]])</f>
        <v>23</v>
      </c>
      <c r="D2459" s="1" t="n">
        <v>1</v>
      </c>
      <c r="E2459" s="1" t="n">
        <v>30</v>
      </c>
      <c r="F2459" s="1" t="n">
        <f aca="false">ROUND((1-_xlfn.PERCENTRANK.INC($C$7:$C$4378,C2459))*9,0)</f>
        <v>6</v>
      </c>
      <c r="G2459" s="1" t="n">
        <f aca="false">ROUND(_xlfn.PERCENTRANK.INC($D$7:$D$4378,D2459)*9,0)</f>
        <v>0</v>
      </c>
      <c r="H2459" s="1" t="n">
        <f aca="false">ROUND(_xlfn.PERCENTRANK.INC($E$7:$E$4378,E2459)*9,0)</f>
        <v>0</v>
      </c>
      <c r="I2459" s="1" t="str">
        <f aca="false">CONCATENATE(F2459,G2459,H2459)</f>
        <v>600</v>
      </c>
      <c r="J2459" s="1" t="str">
        <f aca="false">_xlfn.IFS(AND(F2459&gt;=8,G2459&gt;=8,H2459&gt;=8),"CHAMPION",AND(F2459&gt;=6,G2459&gt;=7,H2459&gt;=6),"LOYAL CUSTOMER",AND(F2459&gt;=6,G2459&gt;=5,H2459&gt;=5),"POTENTIAL LOYALIST",AND(F2459&gt;=8,G2459&lt;=2,H2459&gt;=5),"NEW CUSTOMERS",AND(F2459&gt;=6,G2459&lt;=2,H2459&gt;=3),"PROMISING",AND(F2459&gt;=3,G2459&gt;=3,H2459&gt;=3),"NEED ATTENTION",AND(F2459&lt;=4,G2459&gt;=6,H2459&gt;=6),"AT RISK",AND(F2459&lt;=2,G2459&gt;=8,H2459&gt;=8),"CAN'T LOSE THEM",AND(F2459&lt;=2,G2459&lt;=2,H2459&lt;=2),"HIBERNATING",TRUE(),"Other")</f>
        <v>Other</v>
      </c>
      <c r="K2459" s="1" t="n">
        <f aca="false">RANK(E2459,$E$7:$E$4378)+COUNTIF($E$7:E2459,E2459)-1</f>
        <v>4307</v>
      </c>
    </row>
    <row r="2460" customFormat="false" ht="14.25" hidden="false" customHeight="true" outlineLevel="0" collapsed="false">
      <c r="A2460" s="51" t="n">
        <v>15658</v>
      </c>
      <c r="B2460" s="53" t="n">
        <v>40696.6402777778</v>
      </c>
      <c r="C2460" s="57" t="n">
        <f aca="false">INT($C$2)-INT(Table3[[#This Row],[Last Purchase Date]])</f>
        <v>191</v>
      </c>
      <c r="D2460" s="1" t="n">
        <v>8</v>
      </c>
      <c r="E2460" s="1" t="n">
        <v>958.9</v>
      </c>
      <c r="F2460" s="1" t="n">
        <f aca="false">ROUND((1-_xlfn.PERCENTRANK.INC($C$7:$C$4378,C2460))*9,0)</f>
        <v>2</v>
      </c>
      <c r="G2460" s="1" t="n">
        <f aca="false">ROUND(_xlfn.PERCENTRANK.INC($D$7:$D$4378,D2460)*9,0)</f>
        <v>7</v>
      </c>
      <c r="H2460" s="1" t="n">
        <f aca="false">ROUND(_xlfn.PERCENTRANK.INC($E$7:$E$4378,E2460)*9,0)</f>
        <v>6</v>
      </c>
      <c r="I2460" s="1" t="str">
        <f aca="false">CONCATENATE(F2460,G2460,H2460)</f>
        <v>276</v>
      </c>
      <c r="J2460" s="1" t="str">
        <f aca="false">_xlfn.IFS(AND(F2460&gt;=8,G2460&gt;=8,H2460&gt;=8),"CHAMPION",AND(F2460&gt;=6,G2460&gt;=7,H2460&gt;=6),"LOYAL CUSTOMER",AND(F2460&gt;=6,G2460&gt;=5,H2460&gt;=5),"POTENTIAL LOYALIST",AND(F2460&gt;=8,G2460&lt;=2,H2460&gt;=5),"NEW CUSTOMERS",AND(F2460&gt;=6,G2460&lt;=2,H2460&gt;=3),"PROMISING",AND(F2460&gt;=3,G2460&gt;=3,H2460&gt;=3),"NEED ATTENTION",AND(F2460&lt;=4,G2460&gt;=6,H2460&gt;=6),"AT RISK",AND(F2460&lt;=2,G2460&gt;=8,H2460&gt;=8),"CAN'T LOSE THEM",AND(F2460&lt;=2,G2460&lt;=2,H2460&lt;=2),"HIBERNATING",TRUE(),"Other")</f>
        <v>AT RISK</v>
      </c>
      <c r="K2460" s="1" t="n">
        <f aca="false">RANK(E2460,$E$7:$E$4378)+COUNTIF($E$7:E2460,E2460)-1</f>
        <v>1688</v>
      </c>
    </row>
    <row r="2461" customFormat="false" ht="14.25" hidden="false" customHeight="true" outlineLevel="0" collapsed="false">
      <c r="A2461" s="51" t="n">
        <v>15659</v>
      </c>
      <c r="B2461" s="53" t="n">
        <v>40843.3909722222</v>
      </c>
      <c r="C2461" s="57" t="n">
        <f aca="false">INT($C$2)-INT(Table3[[#This Row],[Last Purchase Date]])</f>
        <v>44</v>
      </c>
      <c r="D2461" s="1" t="n">
        <v>1</v>
      </c>
      <c r="E2461" s="1" t="n">
        <v>306.45</v>
      </c>
      <c r="F2461" s="1" t="n">
        <f aca="false">ROUND((1-_xlfn.PERCENTRANK.INC($C$7:$C$4378,C2461))*9,0)</f>
        <v>5</v>
      </c>
      <c r="G2461" s="1" t="n">
        <f aca="false">ROUND(_xlfn.PERCENTRANK.INC($D$7:$D$4378,D2461)*9,0)</f>
        <v>0</v>
      </c>
      <c r="H2461" s="1" t="n">
        <f aca="false">ROUND(_xlfn.PERCENTRANK.INC($E$7:$E$4378,E2461)*9,0)</f>
        <v>2</v>
      </c>
      <c r="I2461" s="1" t="str">
        <f aca="false">CONCATENATE(F2461,G2461,H2461)</f>
        <v>502</v>
      </c>
      <c r="J2461" s="1" t="str">
        <f aca="false">_xlfn.IFS(AND(F2461&gt;=8,G2461&gt;=8,H2461&gt;=8),"CHAMPION",AND(F2461&gt;=6,G2461&gt;=7,H2461&gt;=6),"LOYAL CUSTOMER",AND(F2461&gt;=6,G2461&gt;=5,H2461&gt;=5),"POTENTIAL LOYALIST",AND(F2461&gt;=8,G2461&lt;=2,H2461&gt;=5),"NEW CUSTOMERS",AND(F2461&gt;=6,G2461&lt;=2,H2461&gt;=3),"PROMISING",AND(F2461&gt;=3,G2461&gt;=3,H2461&gt;=3),"NEED ATTENTION",AND(F2461&lt;=4,G2461&gt;=6,H2461&gt;=6),"AT RISK",AND(F2461&lt;=2,G2461&gt;=8,H2461&gt;=8),"CAN'T LOSE THEM",AND(F2461&lt;=2,G2461&lt;=2,H2461&lt;=2),"HIBERNATING",TRUE(),"Other")</f>
        <v>Other</v>
      </c>
      <c r="K2461" s="1" t="n">
        <f aca="false">RANK(E2461,$E$7:$E$4378)+COUNTIF($E$7:E2461,E2461)-1</f>
        <v>3219</v>
      </c>
    </row>
    <row r="2462" customFormat="false" ht="14.25" hidden="false" customHeight="true" outlineLevel="0" collapsed="false">
      <c r="A2462" s="51" t="n">
        <v>15660</v>
      </c>
      <c r="B2462" s="53" t="n">
        <v>40861.7069444444</v>
      </c>
      <c r="C2462" s="57" t="n">
        <f aca="false">INT($C$2)-INT(Table3[[#This Row],[Last Purchase Date]])</f>
        <v>26</v>
      </c>
      <c r="D2462" s="1" t="n">
        <v>12</v>
      </c>
      <c r="E2462" s="1" t="n">
        <v>1552.01</v>
      </c>
      <c r="F2462" s="1" t="n">
        <f aca="false">ROUND((1-_xlfn.PERCENTRANK.INC($C$7:$C$4378,C2462))*9,0)</f>
        <v>6</v>
      </c>
      <c r="G2462" s="1" t="n">
        <f aca="false">ROUND(_xlfn.PERCENTRANK.INC($D$7:$D$4378,D2462)*9,0)</f>
        <v>8</v>
      </c>
      <c r="H2462" s="1" t="n">
        <f aca="false">ROUND(_xlfn.PERCENTRANK.INC($E$7:$E$4378,E2462)*9,0)</f>
        <v>7</v>
      </c>
      <c r="I2462" s="1" t="str">
        <f aca="false">CONCATENATE(F2462,G2462,H2462)</f>
        <v>687</v>
      </c>
      <c r="J2462" s="1" t="str">
        <f aca="false">_xlfn.IFS(AND(F2462&gt;=8,G2462&gt;=8,H2462&gt;=8),"CHAMPION",AND(F2462&gt;=6,G2462&gt;=7,H2462&gt;=6),"LOYAL CUSTOMER",AND(F2462&gt;=6,G2462&gt;=5,H2462&gt;=5),"POTENTIAL LOYALIST",AND(F2462&gt;=8,G2462&lt;=2,H2462&gt;=5),"NEW CUSTOMERS",AND(F2462&gt;=6,G2462&lt;=2,H2462&gt;=3),"PROMISING",AND(F2462&gt;=3,G2462&gt;=3,H2462&gt;=3),"NEED ATTENTION",AND(F2462&lt;=4,G2462&gt;=6,H2462&gt;=6),"AT RISK",AND(F2462&lt;=2,G2462&gt;=8,H2462&gt;=8),"CAN'T LOSE THEM",AND(F2462&lt;=2,G2462&lt;=2,H2462&lt;=2),"HIBERNATING",TRUE(),"Other")</f>
        <v>LOYAL CUSTOMER</v>
      </c>
      <c r="K2462" s="1" t="n">
        <f aca="false">RANK(E2462,$E$7:$E$4378)+COUNTIF($E$7:E2462,E2462)-1</f>
        <v>1125</v>
      </c>
    </row>
    <row r="2463" customFormat="false" ht="14.25" hidden="false" customHeight="true" outlineLevel="0" collapsed="false">
      <c r="A2463" s="51" t="n">
        <v>15661</v>
      </c>
      <c r="B2463" s="53" t="n">
        <v>40569.5805555556</v>
      </c>
      <c r="C2463" s="57" t="n">
        <f aca="false">INT($C$2)-INT(Table3[[#This Row],[Last Purchase Date]])</f>
        <v>318</v>
      </c>
      <c r="D2463" s="1" t="n">
        <v>2</v>
      </c>
      <c r="E2463" s="1" t="n">
        <v>309.8</v>
      </c>
      <c r="F2463" s="1" t="n">
        <f aca="false">ROUND((1-_xlfn.PERCENTRANK.INC($C$7:$C$4378,C2463))*9,0)</f>
        <v>0</v>
      </c>
      <c r="G2463" s="1" t="n">
        <f aca="false">ROUND(_xlfn.PERCENTRANK.INC($D$7:$D$4378,D2463)*9,0)</f>
        <v>3</v>
      </c>
      <c r="H2463" s="1" t="n">
        <f aca="false">ROUND(_xlfn.PERCENTRANK.INC($E$7:$E$4378,E2463)*9,0)</f>
        <v>2</v>
      </c>
      <c r="I2463" s="1" t="str">
        <f aca="false">CONCATENATE(F2463,G2463,H2463)</f>
        <v>032</v>
      </c>
      <c r="J2463" s="1" t="str">
        <f aca="false">_xlfn.IFS(AND(F2463&gt;=8,G2463&gt;=8,H2463&gt;=8),"CHAMPION",AND(F2463&gt;=6,G2463&gt;=7,H2463&gt;=6),"LOYAL CUSTOMER",AND(F2463&gt;=6,G2463&gt;=5,H2463&gt;=5),"POTENTIAL LOYALIST",AND(F2463&gt;=8,G2463&lt;=2,H2463&gt;=5),"NEW CUSTOMERS",AND(F2463&gt;=6,G2463&lt;=2,H2463&gt;=3),"PROMISING",AND(F2463&gt;=3,G2463&gt;=3,H2463&gt;=3),"NEED ATTENTION",AND(F2463&lt;=4,G2463&gt;=6,H2463&gt;=6),"AT RISK",AND(F2463&lt;=2,G2463&gt;=8,H2463&gt;=8),"CAN'T LOSE THEM",AND(F2463&lt;=2,G2463&lt;=2,H2463&lt;=2),"HIBERNATING",TRUE(),"Other")</f>
        <v>Other</v>
      </c>
      <c r="K2463" s="1" t="n">
        <f aca="false">RANK(E2463,$E$7:$E$4378)+COUNTIF($E$7:E2463,E2463)-1</f>
        <v>3195</v>
      </c>
    </row>
    <row r="2464" customFormat="false" ht="14.25" hidden="false" customHeight="true" outlineLevel="0" collapsed="false">
      <c r="A2464" s="51" t="n">
        <v>15663</v>
      </c>
      <c r="B2464" s="53" t="n">
        <v>40780.6597222222</v>
      </c>
      <c r="C2464" s="57" t="n">
        <f aca="false">INT($C$2)-INT(Table3[[#This Row],[Last Purchase Date]])</f>
        <v>107</v>
      </c>
      <c r="D2464" s="1" t="n">
        <v>1</v>
      </c>
      <c r="E2464" s="1" t="n">
        <v>138.14</v>
      </c>
      <c r="F2464" s="1" t="n">
        <f aca="false">ROUND((1-_xlfn.PERCENTRANK.INC($C$7:$C$4378,C2464))*9,0)</f>
        <v>3</v>
      </c>
      <c r="G2464" s="1" t="n">
        <f aca="false">ROUND(_xlfn.PERCENTRANK.INC($D$7:$D$4378,D2464)*9,0)</f>
        <v>0</v>
      </c>
      <c r="H2464" s="1" t="n">
        <f aca="false">ROUND(_xlfn.PERCENTRANK.INC($E$7:$E$4378,E2464)*9,0)</f>
        <v>1</v>
      </c>
      <c r="I2464" s="1" t="str">
        <f aca="false">CONCATENATE(F2464,G2464,H2464)</f>
        <v>301</v>
      </c>
      <c r="J2464" s="1" t="str">
        <f aca="false">_xlfn.IFS(AND(F2464&gt;=8,G2464&gt;=8,H2464&gt;=8),"CHAMPION",AND(F2464&gt;=6,G2464&gt;=7,H2464&gt;=6),"LOYAL CUSTOMER",AND(F2464&gt;=6,G2464&gt;=5,H2464&gt;=5),"POTENTIAL LOYALIST",AND(F2464&gt;=8,G2464&lt;=2,H2464&gt;=5),"NEW CUSTOMERS",AND(F2464&gt;=6,G2464&lt;=2,H2464&gt;=3),"PROMISING",AND(F2464&gt;=3,G2464&gt;=3,H2464&gt;=3),"NEED ATTENTION",AND(F2464&lt;=4,G2464&gt;=6,H2464&gt;=6),"AT RISK",AND(F2464&lt;=2,G2464&gt;=8,H2464&gt;=8),"CAN'T LOSE THEM",AND(F2464&lt;=2,G2464&lt;=2,H2464&lt;=2),"HIBERNATING",TRUE(),"Other")</f>
        <v>Other</v>
      </c>
      <c r="K2464" s="1" t="n">
        <f aca="false">RANK(E2464,$E$7:$E$4378)+COUNTIF($E$7:E2464,E2464)-1</f>
        <v>3970</v>
      </c>
    </row>
    <row r="2465" customFormat="false" ht="14.25" hidden="false" customHeight="true" outlineLevel="0" collapsed="false">
      <c r="A2465" s="51" t="n">
        <v>15664</v>
      </c>
      <c r="B2465" s="53" t="n">
        <v>40836.45625</v>
      </c>
      <c r="C2465" s="57" t="n">
        <f aca="false">INT($C$2)-INT(Table3[[#This Row],[Last Purchase Date]])</f>
        <v>51</v>
      </c>
      <c r="D2465" s="1" t="n">
        <v>2</v>
      </c>
      <c r="E2465" s="1" t="n">
        <v>358.63</v>
      </c>
      <c r="F2465" s="1" t="n">
        <f aca="false">ROUND((1-_xlfn.PERCENTRANK.INC($C$7:$C$4378,C2465))*9,0)</f>
        <v>5</v>
      </c>
      <c r="G2465" s="1" t="n">
        <f aca="false">ROUND(_xlfn.PERCENTRANK.INC($D$7:$D$4378,D2465)*9,0)</f>
        <v>3</v>
      </c>
      <c r="H2465" s="1" t="n">
        <f aca="false">ROUND(_xlfn.PERCENTRANK.INC($E$7:$E$4378,E2465)*9,0)</f>
        <v>3</v>
      </c>
      <c r="I2465" s="1" t="str">
        <f aca="false">CONCATENATE(F2465,G2465,H2465)</f>
        <v>533</v>
      </c>
      <c r="J2465" s="1" t="str">
        <f aca="false">_xlfn.IFS(AND(F2465&gt;=8,G2465&gt;=8,H2465&gt;=8),"CHAMPION",AND(F2465&gt;=6,G2465&gt;=7,H2465&gt;=6),"LOYAL CUSTOMER",AND(F2465&gt;=6,G2465&gt;=5,H2465&gt;=5),"POTENTIAL LOYALIST",AND(F2465&gt;=8,G2465&lt;=2,H2465&gt;=5),"NEW CUSTOMERS",AND(F2465&gt;=6,G2465&lt;=2,H2465&gt;=3),"PROMISING",AND(F2465&gt;=3,G2465&gt;=3,H2465&gt;=3),"NEED ATTENTION",AND(F2465&lt;=4,G2465&gt;=6,H2465&gt;=6),"AT RISK",AND(F2465&lt;=2,G2465&gt;=8,H2465&gt;=8),"CAN'T LOSE THEM",AND(F2465&lt;=2,G2465&lt;=2,H2465&lt;=2),"HIBERNATING",TRUE(),"Other")</f>
        <v>NEED ATTENTION</v>
      </c>
      <c r="K2465" s="1" t="n">
        <f aca="false">RANK(E2465,$E$7:$E$4378)+COUNTIF($E$7:E2465,E2465)-1</f>
        <v>2969</v>
      </c>
    </row>
    <row r="2466" customFormat="false" ht="14.25" hidden="false" customHeight="true" outlineLevel="0" collapsed="false">
      <c r="A2466" s="51" t="n">
        <v>15665</v>
      </c>
      <c r="B2466" s="53" t="n">
        <v>40718.6229166667</v>
      </c>
      <c r="C2466" s="57" t="n">
        <f aca="false">INT($C$2)-INT(Table3[[#This Row],[Last Purchase Date]])</f>
        <v>169</v>
      </c>
      <c r="D2466" s="1" t="n">
        <v>2</v>
      </c>
      <c r="E2466" s="1" t="n">
        <v>2242.01</v>
      </c>
      <c r="F2466" s="1" t="n">
        <f aca="false">ROUND((1-_xlfn.PERCENTRANK.INC($C$7:$C$4378,C2466))*9,0)</f>
        <v>2</v>
      </c>
      <c r="G2466" s="1" t="n">
        <f aca="false">ROUND(_xlfn.PERCENTRANK.INC($D$7:$D$4378,D2466)*9,0)</f>
        <v>3</v>
      </c>
      <c r="H2466" s="1" t="n">
        <f aca="false">ROUND(_xlfn.PERCENTRANK.INC($E$7:$E$4378,E2466)*9,0)</f>
        <v>7</v>
      </c>
      <c r="I2466" s="1" t="str">
        <f aca="false">CONCATENATE(F2466,G2466,H2466)</f>
        <v>237</v>
      </c>
      <c r="J2466" s="1" t="str">
        <f aca="false">_xlfn.IFS(AND(F2466&gt;=8,G2466&gt;=8,H2466&gt;=8),"CHAMPION",AND(F2466&gt;=6,G2466&gt;=7,H2466&gt;=6),"LOYAL CUSTOMER",AND(F2466&gt;=6,G2466&gt;=5,H2466&gt;=5),"POTENTIAL LOYALIST",AND(F2466&gt;=8,G2466&lt;=2,H2466&gt;=5),"NEW CUSTOMERS",AND(F2466&gt;=6,G2466&lt;=2,H2466&gt;=3),"PROMISING",AND(F2466&gt;=3,G2466&gt;=3,H2466&gt;=3),"NEED ATTENTION",AND(F2466&lt;=4,G2466&gt;=6,H2466&gt;=6),"AT RISK",AND(F2466&lt;=2,G2466&gt;=8,H2466&gt;=8),"CAN'T LOSE THEM",AND(F2466&lt;=2,G2466&lt;=2,H2466&lt;=2),"HIBERNATING",TRUE(),"Other")</f>
        <v>Other</v>
      </c>
      <c r="K2466" s="1" t="n">
        <f aca="false">RANK(E2466,$E$7:$E$4378)+COUNTIF($E$7:E2466,E2466)-1</f>
        <v>765</v>
      </c>
    </row>
    <row r="2467" customFormat="false" ht="14.25" hidden="false" customHeight="true" outlineLevel="0" collapsed="false">
      <c r="A2467" s="51" t="n">
        <v>15667</v>
      </c>
      <c r="B2467" s="53" t="n">
        <v>40847.4555555556</v>
      </c>
      <c r="C2467" s="57" t="n">
        <f aca="false">INT($C$2)-INT(Table3[[#This Row],[Last Purchase Date]])</f>
        <v>40</v>
      </c>
      <c r="D2467" s="1" t="n">
        <v>1</v>
      </c>
      <c r="E2467" s="1" t="n">
        <v>301.32</v>
      </c>
      <c r="F2467" s="1" t="n">
        <f aca="false">ROUND((1-_xlfn.PERCENTRANK.INC($C$7:$C$4378,C2467))*9,0)</f>
        <v>5</v>
      </c>
      <c r="G2467" s="1" t="n">
        <f aca="false">ROUND(_xlfn.PERCENTRANK.INC($D$7:$D$4378,D2467)*9,0)</f>
        <v>0</v>
      </c>
      <c r="H2467" s="1" t="n">
        <f aca="false">ROUND(_xlfn.PERCENTRANK.INC($E$7:$E$4378,E2467)*9,0)</f>
        <v>2</v>
      </c>
      <c r="I2467" s="1" t="str">
        <f aca="false">CONCATENATE(F2467,G2467,H2467)</f>
        <v>502</v>
      </c>
      <c r="J2467" s="1" t="str">
        <f aca="false">_xlfn.IFS(AND(F2467&gt;=8,G2467&gt;=8,H2467&gt;=8),"CHAMPION",AND(F2467&gt;=6,G2467&gt;=7,H2467&gt;=6),"LOYAL CUSTOMER",AND(F2467&gt;=6,G2467&gt;=5,H2467&gt;=5),"POTENTIAL LOYALIST",AND(F2467&gt;=8,G2467&lt;=2,H2467&gt;=5),"NEW CUSTOMERS",AND(F2467&gt;=6,G2467&lt;=2,H2467&gt;=3),"PROMISING",AND(F2467&gt;=3,G2467&gt;=3,H2467&gt;=3),"NEED ATTENTION",AND(F2467&lt;=4,G2467&gt;=6,H2467&gt;=6),"AT RISK",AND(F2467&lt;=2,G2467&gt;=8,H2467&gt;=8),"CAN'T LOSE THEM",AND(F2467&lt;=2,G2467&lt;=2,H2467&lt;=2),"HIBERNATING",TRUE(),"Other")</f>
        <v>Other</v>
      </c>
      <c r="K2467" s="1" t="n">
        <f aca="false">RANK(E2467,$E$7:$E$4378)+COUNTIF($E$7:E2467,E2467)-1</f>
        <v>3245</v>
      </c>
    </row>
    <row r="2468" customFormat="false" ht="14.25" hidden="false" customHeight="true" outlineLevel="0" collapsed="false">
      <c r="A2468" s="51" t="n">
        <v>15668</v>
      </c>
      <c r="B2468" s="53" t="n">
        <v>40669.44375</v>
      </c>
      <c r="C2468" s="57" t="n">
        <f aca="false">INT($C$2)-INT(Table3[[#This Row],[Last Purchase Date]])</f>
        <v>218</v>
      </c>
      <c r="D2468" s="1" t="n">
        <v>1</v>
      </c>
      <c r="E2468" s="1" t="n">
        <v>76.32</v>
      </c>
      <c r="F2468" s="1" t="n">
        <f aca="false">ROUND((1-_xlfn.PERCENTRANK.INC($C$7:$C$4378,C2468))*9,0)</f>
        <v>1</v>
      </c>
      <c r="G2468" s="1" t="n">
        <f aca="false">ROUND(_xlfn.PERCENTRANK.INC($D$7:$D$4378,D2468)*9,0)</f>
        <v>0</v>
      </c>
      <c r="H2468" s="1" t="n">
        <f aca="false">ROUND(_xlfn.PERCENTRANK.INC($E$7:$E$4378,E2468)*9,0)</f>
        <v>0</v>
      </c>
      <c r="I2468" s="1" t="str">
        <f aca="false">CONCATENATE(F2468,G2468,H2468)</f>
        <v>100</v>
      </c>
      <c r="J2468" s="1" t="str">
        <f aca="false">_xlfn.IFS(AND(F2468&gt;=8,G2468&gt;=8,H2468&gt;=8),"CHAMPION",AND(F2468&gt;=6,G2468&gt;=7,H2468&gt;=6),"LOYAL CUSTOMER",AND(F2468&gt;=6,G2468&gt;=5,H2468&gt;=5),"POTENTIAL LOYALIST",AND(F2468&gt;=8,G2468&lt;=2,H2468&gt;=5),"NEW CUSTOMERS",AND(F2468&gt;=6,G2468&lt;=2,H2468&gt;=3),"PROMISING",AND(F2468&gt;=3,G2468&gt;=3,H2468&gt;=3),"NEED ATTENTION",AND(F2468&lt;=4,G2468&gt;=6,H2468&gt;=6),"AT RISK",AND(F2468&lt;=2,G2468&gt;=8,H2468&gt;=8),"CAN'T LOSE THEM",AND(F2468&lt;=2,G2468&lt;=2,H2468&lt;=2),"HIBERNATING",TRUE(),"Other")</f>
        <v>HIBERNATING</v>
      </c>
      <c r="K2468" s="1" t="n">
        <f aca="false">RANK(E2468,$E$7:$E$4378)+COUNTIF($E$7:E2468,E2468)-1</f>
        <v>4229</v>
      </c>
    </row>
    <row r="2469" customFormat="false" ht="14.25" hidden="false" customHeight="true" outlineLevel="0" collapsed="false">
      <c r="A2469" s="51" t="n">
        <v>15669</v>
      </c>
      <c r="B2469" s="53" t="n">
        <v>40846.66875</v>
      </c>
      <c r="C2469" s="57" t="n">
        <f aca="false">INT($C$2)-INT(Table3[[#This Row],[Last Purchase Date]])</f>
        <v>41</v>
      </c>
      <c r="D2469" s="1" t="n">
        <v>5</v>
      </c>
      <c r="E2469" s="1" t="n">
        <v>677.69</v>
      </c>
      <c r="F2469" s="1" t="n">
        <f aca="false">ROUND((1-_xlfn.PERCENTRANK.INC($C$7:$C$4378,C2469))*9,0)</f>
        <v>5</v>
      </c>
      <c r="G2469" s="1" t="n">
        <f aca="false">ROUND(_xlfn.PERCENTRANK.INC($D$7:$D$4378,D2469)*9,0)</f>
        <v>6</v>
      </c>
      <c r="H2469" s="1" t="n">
        <f aca="false">ROUND(_xlfn.PERCENTRANK.INC($E$7:$E$4378,E2469)*9,0)</f>
        <v>5</v>
      </c>
      <c r="I2469" s="1" t="str">
        <f aca="false">CONCATENATE(F2469,G2469,H2469)</f>
        <v>565</v>
      </c>
      <c r="J2469" s="1" t="str">
        <f aca="false">_xlfn.IFS(AND(F2469&gt;=8,G2469&gt;=8,H2469&gt;=8),"CHAMPION",AND(F2469&gt;=6,G2469&gt;=7,H2469&gt;=6),"LOYAL CUSTOMER",AND(F2469&gt;=6,G2469&gt;=5,H2469&gt;=5),"POTENTIAL LOYALIST",AND(F2469&gt;=8,G2469&lt;=2,H2469&gt;=5),"NEW CUSTOMERS",AND(F2469&gt;=6,G2469&lt;=2,H2469&gt;=3),"PROMISING",AND(F2469&gt;=3,G2469&gt;=3,H2469&gt;=3),"NEED ATTENTION",AND(F2469&lt;=4,G2469&gt;=6,H2469&gt;=6),"AT RISK",AND(F2469&lt;=2,G2469&gt;=8,H2469&gt;=8),"CAN'T LOSE THEM",AND(F2469&lt;=2,G2469&lt;=2,H2469&lt;=2),"HIBERNATING",TRUE(),"Other")</f>
        <v>NEED ATTENTION</v>
      </c>
      <c r="K2469" s="1" t="n">
        <f aca="false">RANK(E2469,$E$7:$E$4378)+COUNTIF($E$7:E2469,E2469)-1</f>
        <v>2111</v>
      </c>
    </row>
    <row r="2470" customFormat="false" ht="14.25" hidden="false" customHeight="true" outlineLevel="0" collapsed="false">
      <c r="A2470" s="51" t="n">
        <v>15670</v>
      </c>
      <c r="B2470" s="53" t="n">
        <v>40590.4513888889</v>
      </c>
      <c r="C2470" s="57" t="n">
        <f aca="false">INT($C$2)-INT(Table3[[#This Row],[Last Purchase Date]])</f>
        <v>297</v>
      </c>
      <c r="D2470" s="1" t="n">
        <v>1</v>
      </c>
      <c r="E2470" s="1" t="n">
        <v>173.05</v>
      </c>
      <c r="F2470" s="1" t="n">
        <f aca="false">ROUND((1-_xlfn.PERCENTRANK.INC($C$7:$C$4378,C2470))*9,0)</f>
        <v>1</v>
      </c>
      <c r="G2470" s="1" t="n">
        <f aca="false">ROUND(_xlfn.PERCENTRANK.INC($D$7:$D$4378,D2470)*9,0)</f>
        <v>0</v>
      </c>
      <c r="H2470" s="1" t="n">
        <f aca="false">ROUND(_xlfn.PERCENTRANK.INC($E$7:$E$4378,E2470)*9,0)</f>
        <v>1</v>
      </c>
      <c r="I2470" s="1" t="str">
        <f aca="false">CONCATENATE(F2470,G2470,H2470)</f>
        <v>101</v>
      </c>
      <c r="J2470" s="1" t="str">
        <f aca="false">_xlfn.IFS(AND(F2470&gt;=8,G2470&gt;=8,H2470&gt;=8),"CHAMPION",AND(F2470&gt;=6,G2470&gt;=7,H2470&gt;=6),"LOYAL CUSTOMER",AND(F2470&gt;=6,G2470&gt;=5,H2470&gt;=5),"POTENTIAL LOYALIST",AND(F2470&gt;=8,G2470&lt;=2,H2470&gt;=5),"NEW CUSTOMERS",AND(F2470&gt;=6,G2470&lt;=2,H2470&gt;=3),"PROMISING",AND(F2470&gt;=3,G2470&gt;=3,H2470&gt;=3),"NEED ATTENTION",AND(F2470&lt;=4,G2470&gt;=6,H2470&gt;=6),"AT RISK",AND(F2470&lt;=2,G2470&gt;=8,H2470&gt;=8),"CAN'T LOSE THEM",AND(F2470&lt;=2,G2470&lt;=2,H2470&lt;=2),"HIBERNATING",TRUE(),"Other")</f>
        <v>HIBERNATING</v>
      </c>
      <c r="K2470" s="1" t="n">
        <f aca="false">RANK(E2470,$E$7:$E$4378)+COUNTIF($E$7:E2470,E2470)-1</f>
        <v>3791</v>
      </c>
    </row>
    <row r="2471" customFormat="false" ht="14.25" hidden="false" customHeight="true" outlineLevel="0" collapsed="false">
      <c r="A2471" s="51" t="n">
        <v>15671</v>
      </c>
      <c r="B2471" s="53" t="n">
        <v>40868.5298611111</v>
      </c>
      <c r="C2471" s="57" t="n">
        <f aca="false">INT($C$2)-INT(Table3[[#This Row],[Last Purchase Date]])</f>
        <v>19</v>
      </c>
      <c r="D2471" s="1" t="n">
        <v>10</v>
      </c>
      <c r="E2471" s="1" t="n">
        <v>2635.49</v>
      </c>
      <c r="F2471" s="1" t="n">
        <f aca="false">ROUND((1-_xlfn.PERCENTRANK.INC($C$7:$C$4378,C2471))*9,0)</f>
        <v>7</v>
      </c>
      <c r="G2471" s="1" t="n">
        <f aca="false">ROUND(_xlfn.PERCENTRANK.INC($D$7:$D$4378,D2471)*9,0)</f>
        <v>8</v>
      </c>
      <c r="H2471" s="1" t="n">
        <f aca="false">ROUND(_xlfn.PERCENTRANK.INC($E$7:$E$4378,E2471)*9,0)</f>
        <v>8</v>
      </c>
      <c r="I2471" s="1" t="str">
        <f aca="false">CONCATENATE(F2471,G2471,H2471)</f>
        <v>788</v>
      </c>
      <c r="J2471" s="1" t="str">
        <f aca="false">_xlfn.IFS(AND(F2471&gt;=8,G2471&gt;=8,H2471&gt;=8),"CHAMPION",AND(F2471&gt;=6,G2471&gt;=7,H2471&gt;=6),"LOYAL CUSTOMER",AND(F2471&gt;=6,G2471&gt;=5,H2471&gt;=5),"POTENTIAL LOYALIST",AND(F2471&gt;=8,G2471&lt;=2,H2471&gt;=5),"NEW CUSTOMERS",AND(F2471&gt;=6,G2471&lt;=2,H2471&gt;=3),"PROMISING",AND(F2471&gt;=3,G2471&gt;=3,H2471&gt;=3),"NEED ATTENTION",AND(F2471&lt;=4,G2471&gt;=6,H2471&gt;=6),"AT RISK",AND(F2471&lt;=2,G2471&gt;=8,H2471&gt;=8),"CAN'T LOSE THEM",AND(F2471&lt;=2,G2471&lt;=2,H2471&lt;=2),"HIBERNATING",TRUE(),"Other")</f>
        <v>LOYAL CUSTOMER</v>
      </c>
      <c r="K2471" s="1" t="n">
        <f aca="false">RANK(E2471,$E$7:$E$4378)+COUNTIF($E$7:E2471,E2471)-1</f>
        <v>629</v>
      </c>
    </row>
    <row r="2472" customFormat="false" ht="14.25" hidden="false" customHeight="true" outlineLevel="0" collapsed="false">
      <c r="A2472" s="51" t="n">
        <v>15673</v>
      </c>
      <c r="B2472" s="53" t="n">
        <v>40798.675</v>
      </c>
      <c r="C2472" s="57" t="n">
        <f aca="false">INT($C$2)-INT(Table3[[#This Row],[Last Purchase Date]])</f>
        <v>89</v>
      </c>
      <c r="D2472" s="1" t="n">
        <v>4</v>
      </c>
      <c r="E2472" s="1" t="n">
        <v>2881.02</v>
      </c>
      <c r="F2472" s="1" t="n">
        <f aca="false">ROUND((1-_xlfn.PERCENTRANK.INC($C$7:$C$4378,C2472))*9,0)</f>
        <v>3</v>
      </c>
      <c r="G2472" s="1" t="n">
        <f aca="false">ROUND(_xlfn.PERCENTRANK.INC($D$7:$D$4378,D2472)*9,0)</f>
        <v>5</v>
      </c>
      <c r="H2472" s="1" t="n">
        <f aca="false">ROUND(_xlfn.PERCENTRANK.INC($E$7:$E$4378,E2472)*9,0)</f>
        <v>8</v>
      </c>
      <c r="I2472" s="1" t="str">
        <f aca="false">CONCATENATE(F2472,G2472,H2472)</f>
        <v>358</v>
      </c>
      <c r="J2472" s="1" t="str">
        <f aca="false">_xlfn.IFS(AND(F2472&gt;=8,G2472&gt;=8,H2472&gt;=8),"CHAMPION",AND(F2472&gt;=6,G2472&gt;=7,H2472&gt;=6),"LOYAL CUSTOMER",AND(F2472&gt;=6,G2472&gt;=5,H2472&gt;=5),"POTENTIAL LOYALIST",AND(F2472&gt;=8,G2472&lt;=2,H2472&gt;=5),"NEW CUSTOMERS",AND(F2472&gt;=6,G2472&lt;=2,H2472&gt;=3),"PROMISING",AND(F2472&gt;=3,G2472&gt;=3,H2472&gt;=3),"NEED ATTENTION",AND(F2472&lt;=4,G2472&gt;=6,H2472&gt;=6),"AT RISK",AND(F2472&lt;=2,G2472&gt;=8,H2472&gt;=8),"CAN'T LOSE THEM",AND(F2472&lt;=2,G2472&lt;=2,H2472&lt;=2),"HIBERNATING",TRUE(),"Other")</f>
        <v>NEED ATTENTION</v>
      </c>
      <c r="K2472" s="1" t="n">
        <f aca="false">RANK(E2472,$E$7:$E$4378)+COUNTIF($E$7:E2472,E2472)-1</f>
        <v>565</v>
      </c>
    </row>
    <row r="2473" customFormat="false" ht="14.25" hidden="false" customHeight="true" outlineLevel="0" collapsed="false">
      <c r="A2473" s="51" t="n">
        <v>15674</v>
      </c>
      <c r="B2473" s="53" t="n">
        <v>40813.6368055556</v>
      </c>
      <c r="C2473" s="57" t="n">
        <f aca="false">INT($C$2)-INT(Table3[[#This Row],[Last Purchase Date]])</f>
        <v>74</v>
      </c>
      <c r="D2473" s="1" t="n">
        <v>8</v>
      </c>
      <c r="E2473" s="1" t="n">
        <v>1744.02</v>
      </c>
      <c r="F2473" s="1" t="n">
        <f aca="false">ROUND((1-_xlfn.PERCENTRANK.INC($C$7:$C$4378,C2473))*9,0)</f>
        <v>3</v>
      </c>
      <c r="G2473" s="1" t="n">
        <f aca="false">ROUND(_xlfn.PERCENTRANK.INC($D$7:$D$4378,D2473)*9,0)</f>
        <v>7</v>
      </c>
      <c r="H2473" s="1" t="n">
        <f aca="false">ROUND(_xlfn.PERCENTRANK.INC($E$7:$E$4378,E2473)*9,0)</f>
        <v>7</v>
      </c>
      <c r="I2473" s="1" t="str">
        <f aca="false">CONCATENATE(F2473,G2473,H2473)</f>
        <v>377</v>
      </c>
      <c r="J2473" s="1" t="str">
        <f aca="false">_xlfn.IFS(AND(F2473&gt;=8,G2473&gt;=8,H2473&gt;=8),"CHAMPION",AND(F2473&gt;=6,G2473&gt;=7,H2473&gt;=6),"LOYAL CUSTOMER",AND(F2473&gt;=6,G2473&gt;=5,H2473&gt;=5),"POTENTIAL LOYALIST",AND(F2473&gt;=8,G2473&lt;=2,H2473&gt;=5),"NEW CUSTOMERS",AND(F2473&gt;=6,G2473&lt;=2,H2473&gt;=3),"PROMISING",AND(F2473&gt;=3,G2473&gt;=3,H2473&gt;=3),"NEED ATTENTION",AND(F2473&lt;=4,G2473&gt;=6,H2473&gt;=6),"AT RISK",AND(F2473&lt;=2,G2473&gt;=8,H2473&gt;=8),"CAN'T LOSE THEM",AND(F2473&lt;=2,G2473&lt;=2,H2473&lt;=2),"HIBERNATING",TRUE(),"Other")</f>
        <v>NEED ATTENTION</v>
      </c>
      <c r="K2473" s="1" t="n">
        <f aca="false">RANK(E2473,$E$7:$E$4378)+COUNTIF($E$7:E2473,E2473)-1</f>
        <v>1012</v>
      </c>
    </row>
    <row r="2474" customFormat="false" ht="14.25" hidden="false" customHeight="true" outlineLevel="0" collapsed="false">
      <c r="A2474" s="51" t="n">
        <v>15675</v>
      </c>
      <c r="B2474" s="53" t="n">
        <v>40805.575</v>
      </c>
      <c r="C2474" s="57" t="n">
        <f aca="false">INT($C$2)-INT(Table3[[#This Row],[Last Purchase Date]])</f>
        <v>82</v>
      </c>
      <c r="D2474" s="1" t="n">
        <v>3</v>
      </c>
      <c r="E2474" s="1" t="n">
        <v>323.69</v>
      </c>
      <c r="F2474" s="1" t="n">
        <f aca="false">ROUND((1-_xlfn.PERCENTRANK.INC($C$7:$C$4378,C2474))*9,0)</f>
        <v>3</v>
      </c>
      <c r="G2474" s="1" t="n">
        <f aca="false">ROUND(_xlfn.PERCENTRANK.INC($D$7:$D$4378,D2474)*9,0)</f>
        <v>4</v>
      </c>
      <c r="H2474" s="1" t="n">
        <f aca="false">ROUND(_xlfn.PERCENTRANK.INC($E$7:$E$4378,E2474)*9,0)</f>
        <v>3</v>
      </c>
      <c r="I2474" s="1" t="str">
        <f aca="false">CONCATENATE(F2474,G2474,H2474)</f>
        <v>343</v>
      </c>
      <c r="J2474" s="1" t="str">
        <f aca="false">_xlfn.IFS(AND(F2474&gt;=8,G2474&gt;=8,H2474&gt;=8),"CHAMPION",AND(F2474&gt;=6,G2474&gt;=7,H2474&gt;=6),"LOYAL CUSTOMER",AND(F2474&gt;=6,G2474&gt;=5,H2474&gt;=5),"POTENTIAL LOYALIST",AND(F2474&gt;=8,G2474&lt;=2,H2474&gt;=5),"NEW CUSTOMERS",AND(F2474&gt;=6,G2474&lt;=2,H2474&gt;=3),"PROMISING",AND(F2474&gt;=3,G2474&gt;=3,H2474&gt;=3),"NEED ATTENTION",AND(F2474&lt;=4,G2474&gt;=6,H2474&gt;=6),"AT RISK",AND(F2474&lt;=2,G2474&gt;=8,H2474&gt;=8),"CAN'T LOSE THEM",AND(F2474&lt;=2,G2474&lt;=2,H2474&lt;=2),"HIBERNATING",TRUE(),"Other")</f>
        <v>NEED ATTENTION</v>
      </c>
      <c r="K2474" s="1" t="n">
        <f aca="false">RANK(E2474,$E$7:$E$4378)+COUNTIF($E$7:E2474,E2474)-1</f>
        <v>3123</v>
      </c>
    </row>
    <row r="2475" customFormat="false" ht="14.25" hidden="false" customHeight="true" outlineLevel="0" collapsed="false">
      <c r="A2475" s="51" t="n">
        <v>15676</v>
      </c>
      <c r="B2475" s="53" t="n">
        <v>40877.7354166667</v>
      </c>
      <c r="C2475" s="57" t="n">
        <f aca="false">INT($C$2)-INT(Table3[[#This Row],[Last Purchase Date]])</f>
        <v>10</v>
      </c>
      <c r="D2475" s="1" t="n">
        <v>5</v>
      </c>
      <c r="E2475" s="1" t="n">
        <v>3324.09</v>
      </c>
      <c r="F2475" s="1" t="n">
        <f aca="false">ROUND((1-_xlfn.PERCENTRANK.INC($C$7:$C$4378,C2475))*9,0)</f>
        <v>8</v>
      </c>
      <c r="G2475" s="1" t="n">
        <f aca="false">ROUND(_xlfn.PERCENTRANK.INC($D$7:$D$4378,D2475)*9,0)</f>
        <v>6</v>
      </c>
      <c r="H2475" s="1" t="n">
        <f aca="false">ROUND(_xlfn.PERCENTRANK.INC($E$7:$E$4378,E2475)*9,0)</f>
        <v>8</v>
      </c>
      <c r="I2475" s="1" t="str">
        <f aca="false">CONCATENATE(F2475,G2475,H2475)</f>
        <v>868</v>
      </c>
      <c r="J2475" s="1" t="str">
        <f aca="false">_xlfn.IFS(AND(F2475&gt;=8,G2475&gt;=8,H2475&gt;=8),"CHAMPION",AND(F2475&gt;=6,G2475&gt;=7,H2475&gt;=6),"LOYAL CUSTOMER",AND(F2475&gt;=6,G2475&gt;=5,H2475&gt;=5),"POTENTIAL LOYALIST",AND(F2475&gt;=8,G2475&lt;=2,H2475&gt;=5),"NEW CUSTOMERS",AND(F2475&gt;=6,G2475&lt;=2,H2475&gt;=3),"PROMISING",AND(F2475&gt;=3,G2475&gt;=3,H2475&gt;=3),"NEED ATTENTION",AND(F2475&lt;=4,G2475&gt;=6,H2475&gt;=6),"AT RISK",AND(F2475&lt;=2,G2475&gt;=8,H2475&gt;=8),"CAN'T LOSE THEM",AND(F2475&lt;=2,G2475&lt;=2,H2475&lt;=2),"HIBERNATING",TRUE(),"Other")</f>
        <v>POTENTIAL LOYALIST</v>
      </c>
      <c r="K2475" s="1" t="n">
        <f aca="false">RANK(E2475,$E$7:$E$4378)+COUNTIF($E$7:E2475,E2475)-1</f>
        <v>471</v>
      </c>
    </row>
    <row r="2476" customFormat="false" ht="14.25" hidden="false" customHeight="true" outlineLevel="0" collapsed="false">
      <c r="A2476" s="51" t="n">
        <v>15677</v>
      </c>
      <c r="B2476" s="53" t="n">
        <v>40837.65</v>
      </c>
      <c r="C2476" s="57" t="n">
        <f aca="false">INT($C$2)-INT(Table3[[#This Row],[Last Purchase Date]])</f>
        <v>50</v>
      </c>
      <c r="D2476" s="1" t="n">
        <v>1</v>
      </c>
      <c r="E2476" s="1" t="n">
        <v>657.23</v>
      </c>
      <c r="F2476" s="1" t="n">
        <f aca="false">ROUND((1-_xlfn.PERCENTRANK.INC($C$7:$C$4378,C2476))*9,0)</f>
        <v>5</v>
      </c>
      <c r="G2476" s="1" t="n">
        <f aca="false">ROUND(_xlfn.PERCENTRANK.INC($D$7:$D$4378,D2476)*9,0)</f>
        <v>0</v>
      </c>
      <c r="H2476" s="1" t="n">
        <f aca="false">ROUND(_xlfn.PERCENTRANK.INC($E$7:$E$4378,E2476)*9,0)</f>
        <v>5</v>
      </c>
      <c r="I2476" s="1" t="str">
        <f aca="false">CONCATENATE(F2476,G2476,H2476)</f>
        <v>505</v>
      </c>
      <c r="J2476" s="1" t="str">
        <f aca="false">_xlfn.IFS(AND(F2476&gt;=8,G2476&gt;=8,H2476&gt;=8),"CHAMPION",AND(F2476&gt;=6,G2476&gt;=7,H2476&gt;=6),"LOYAL CUSTOMER",AND(F2476&gt;=6,G2476&gt;=5,H2476&gt;=5),"POTENTIAL LOYALIST",AND(F2476&gt;=8,G2476&lt;=2,H2476&gt;=5),"NEW CUSTOMERS",AND(F2476&gt;=6,G2476&lt;=2,H2476&gt;=3),"PROMISING",AND(F2476&gt;=3,G2476&gt;=3,H2476&gt;=3),"NEED ATTENTION",AND(F2476&lt;=4,G2476&gt;=6,H2476&gt;=6),"AT RISK",AND(F2476&lt;=2,G2476&gt;=8,H2476&gt;=8),"CAN'T LOSE THEM",AND(F2476&lt;=2,G2476&lt;=2,H2476&lt;=2),"HIBERNATING",TRUE(),"Other")</f>
        <v>Other</v>
      </c>
      <c r="K2476" s="1" t="n">
        <f aca="false">RANK(E2476,$E$7:$E$4378)+COUNTIF($E$7:E2476,E2476)-1</f>
        <v>2164</v>
      </c>
    </row>
    <row r="2477" customFormat="false" ht="14.25" hidden="false" customHeight="true" outlineLevel="0" collapsed="false">
      <c r="A2477" s="51" t="n">
        <v>15678</v>
      </c>
      <c r="B2477" s="53" t="n">
        <v>40834.3923611111</v>
      </c>
      <c r="C2477" s="57" t="n">
        <f aca="false">INT($C$2)-INT(Table3[[#This Row],[Last Purchase Date]])</f>
        <v>53</v>
      </c>
      <c r="D2477" s="1" t="n">
        <v>1</v>
      </c>
      <c r="E2477" s="1" t="n">
        <v>352.7</v>
      </c>
      <c r="F2477" s="1" t="n">
        <f aca="false">ROUND((1-_xlfn.PERCENTRANK.INC($C$7:$C$4378,C2477))*9,0)</f>
        <v>4</v>
      </c>
      <c r="G2477" s="1" t="n">
        <f aca="false">ROUND(_xlfn.PERCENTRANK.INC($D$7:$D$4378,D2477)*9,0)</f>
        <v>0</v>
      </c>
      <c r="H2477" s="1" t="n">
        <f aca="false">ROUND(_xlfn.PERCENTRANK.INC($E$7:$E$4378,E2477)*9,0)</f>
        <v>3</v>
      </c>
      <c r="I2477" s="1" t="str">
        <f aca="false">CONCATENATE(F2477,G2477,H2477)</f>
        <v>403</v>
      </c>
      <c r="J2477" s="1" t="str">
        <f aca="false">_xlfn.IFS(AND(F2477&gt;=8,G2477&gt;=8,H2477&gt;=8),"CHAMPION",AND(F2477&gt;=6,G2477&gt;=7,H2477&gt;=6),"LOYAL CUSTOMER",AND(F2477&gt;=6,G2477&gt;=5,H2477&gt;=5),"POTENTIAL LOYALIST",AND(F2477&gt;=8,G2477&lt;=2,H2477&gt;=5),"NEW CUSTOMERS",AND(F2477&gt;=6,G2477&lt;=2,H2477&gt;=3),"PROMISING",AND(F2477&gt;=3,G2477&gt;=3,H2477&gt;=3),"NEED ATTENTION",AND(F2477&lt;=4,G2477&gt;=6,H2477&gt;=6),"AT RISK",AND(F2477&lt;=2,G2477&gt;=8,H2477&gt;=8),"CAN'T LOSE THEM",AND(F2477&lt;=2,G2477&lt;=2,H2477&lt;=2),"HIBERNATING",TRUE(),"Other")</f>
        <v>Other</v>
      </c>
      <c r="K2477" s="1" t="n">
        <f aca="false">RANK(E2477,$E$7:$E$4378)+COUNTIF($E$7:E2477,E2477)-1</f>
        <v>2995</v>
      </c>
    </row>
    <row r="2478" customFormat="false" ht="14.25" hidden="false" customHeight="true" outlineLevel="0" collapsed="false">
      <c r="A2478" s="51" t="n">
        <v>15679</v>
      </c>
      <c r="B2478" s="53" t="n">
        <v>40862.6798611111</v>
      </c>
      <c r="C2478" s="57" t="n">
        <f aca="false">INT($C$2)-INT(Table3[[#This Row],[Last Purchase Date]])</f>
        <v>25</v>
      </c>
      <c r="D2478" s="1" t="n">
        <v>4</v>
      </c>
      <c r="E2478" s="1" t="n">
        <v>781.28</v>
      </c>
      <c r="F2478" s="1" t="n">
        <f aca="false">ROUND((1-_xlfn.PERCENTRANK.INC($C$7:$C$4378,C2478))*9,0)</f>
        <v>6</v>
      </c>
      <c r="G2478" s="1" t="n">
        <f aca="false">ROUND(_xlfn.PERCENTRANK.INC($D$7:$D$4378,D2478)*9,0)</f>
        <v>5</v>
      </c>
      <c r="H2478" s="1" t="n">
        <f aca="false">ROUND(_xlfn.PERCENTRANK.INC($E$7:$E$4378,E2478)*9,0)</f>
        <v>5</v>
      </c>
      <c r="I2478" s="1" t="str">
        <f aca="false">CONCATENATE(F2478,G2478,H2478)</f>
        <v>655</v>
      </c>
      <c r="J2478" s="1" t="str">
        <f aca="false">_xlfn.IFS(AND(F2478&gt;=8,G2478&gt;=8,H2478&gt;=8),"CHAMPION",AND(F2478&gt;=6,G2478&gt;=7,H2478&gt;=6),"LOYAL CUSTOMER",AND(F2478&gt;=6,G2478&gt;=5,H2478&gt;=5),"POTENTIAL LOYALIST",AND(F2478&gt;=8,G2478&lt;=2,H2478&gt;=5),"NEW CUSTOMERS",AND(F2478&gt;=6,G2478&lt;=2,H2478&gt;=3),"PROMISING",AND(F2478&gt;=3,G2478&gt;=3,H2478&gt;=3),"NEED ATTENTION",AND(F2478&lt;=4,G2478&gt;=6,H2478&gt;=6),"AT RISK",AND(F2478&lt;=2,G2478&gt;=8,H2478&gt;=8),"CAN'T LOSE THEM",AND(F2478&lt;=2,G2478&lt;=2,H2478&lt;=2),"HIBERNATING",TRUE(),"Other")</f>
        <v>POTENTIAL LOYALIST</v>
      </c>
      <c r="K2478" s="1" t="n">
        <f aca="false">RANK(E2478,$E$7:$E$4378)+COUNTIF($E$7:E2478,E2478)-1</f>
        <v>1920</v>
      </c>
    </row>
    <row r="2479" customFormat="false" ht="14.25" hidden="false" customHeight="true" outlineLevel="0" collapsed="false">
      <c r="A2479" s="51" t="n">
        <v>15680</v>
      </c>
      <c r="B2479" s="53" t="n">
        <v>40877.5736111111</v>
      </c>
      <c r="C2479" s="57" t="n">
        <f aca="false">INT($C$2)-INT(Table3[[#This Row],[Last Purchase Date]])</f>
        <v>10</v>
      </c>
      <c r="D2479" s="1" t="n">
        <v>3</v>
      </c>
      <c r="E2479" s="1" t="n">
        <v>1333.68</v>
      </c>
      <c r="F2479" s="1" t="n">
        <f aca="false">ROUND((1-_xlfn.PERCENTRANK.INC($C$7:$C$4378,C2479))*9,0)</f>
        <v>8</v>
      </c>
      <c r="G2479" s="1" t="n">
        <f aca="false">ROUND(_xlfn.PERCENTRANK.INC($D$7:$D$4378,D2479)*9,0)</f>
        <v>4</v>
      </c>
      <c r="H2479" s="1" t="n">
        <f aca="false">ROUND(_xlfn.PERCENTRANK.INC($E$7:$E$4378,E2479)*9,0)</f>
        <v>6</v>
      </c>
      <c r="I2479" s="1" t="str">
        <f aca="false">CONCATENATE(F2479,G2479,H2479)</f>
        <v>846</v>
      </c>
      <c r="J2479" s="1" t="str">
        <f aca="false">_xlfn.IFS(AND(F2479&gt;=8,G2479&gt;=8,H2479&gt;=8),"CHAMPION",AND(F2479&gt;=6,G2479&gt;=7,H2479&gt;=6),"LOYAL CUSTOMER",AND(F2479&gt;=6,G2479&gt;=5,H2479&gt;=5),"POTENTIAL LOYALIST",AND(F2479&gt;=8,G2479&lt;=2,H2479&gt;=5),"NEW CUSTOMERS",AND(F2479&gt;=6,G2479&lt;=2,H2479&gt;=3),"PROMISING",AND(F2479&gt;=3,G2479&gt;=3,H2479&gt;=3),"NEED ATTENTION",AND(F2479&lt;=4,G2479&gt;=6,H2479&gt;=6),"AT RISK",AND(F2479&lt;=2,G2479&gt;=8,H2479&gt;=8),"CAN'T LOSE THEM",AND(F2479&lt;=2,G2479&lt;=2,H2479&lt;=2),"HIBERNATING",TRUE(),"Other")</f>
        <v>NEED ATTENTION</v>
      </c>
      <c r="K2479" s="1" t="n">
        <f aca="false">RANK(E2479,$E$7:$E$4378)+COUNTIF($E$7:E2479,E2479)-1</f>
        <v>1292</v>
      </c>
    </row>
    <row r="2480" customFormat="false" ht="14.25" hidden="false" customHeight="true" outlineLevel="0" collapsed="false">
      <c r="A2480" s="51" t="n">
        <v>15681</v>
      </c>
      <c r="B2480" s="53" t="n">
        <v>40868.5590277778</v>
      </c>
      <c r="C2480" s="57" t="n">
        <f aca="false">INT($C$2)-INT(Table3[[#This Row],[Last Purchase Date]])</f>
        <v>19</v>
      </c>
      <c r="D2480" s="1" t="n">
        <v>6</v>
      </c>
      <c r="E2480" s="1" t="n">
        <v>946.36</v>
      </c>
      <c r="F2480" s="1" t="n">
        <f aca="false">ROUND((1-_xlfn.PERCENTRANK.INC($C$7:$C$4378,C2480))*9,0)</f>
        <v>7</v>
      </c>
      <c r="G2480" s="1" t="n">
        <f aca="false">ROUND(_xlfn.PERCENTRANK.INC($D$7:$D$4378,D2480)*9,0)</f>
        <v>7</v>
      </c>
      <c r="H2480" s="1" t="n">
        <f aca="false">ROUND(_xlfn.PERCENTRANK.INC($E$7:$E$4378,E2480)*9,0)</f>
        <v>5</v>
      </c>
      <c r="I2480" s="1" t="str">
        <f aca="false">CONCATENATE(F2480,G2480,H2480)</f>
        <v>775</v>
      </c>
      <c r="J2480" s="1" t="str">
        <f aca="false">_xlfn.IFS(AND(F2480&gt;=8,G2480&gt;=8,H2480&gt;=8),"CHAMPION",AND(F2480&gt;=6,G2480&gt;=7,H2480&gt;=6),"LOYAL CUSTOMER",AND(F2480&gt;=6,G2480&gt;=5,H2480&gt;=5),"POTENTIAL LOYALIST",AND(F2480&gt;=8,G2480&lt;=2,H2480&gt;=5),"NEW CUSTOMERS",AND(F2480&gt;=6,G2480&lt;=2,H2480&gt;=3),"PROMISING",AND(F2480&gt;=3,G2480&gt;=3,H2480&gt;=3),"NEED ATTENTION",AND(F2480&lt;=4,G2480&gt;=6,H2480&gt;=6),"AT RISK",AND(F2480&lt;=2,G2480&gt;=8,H2480&gt;=8),"CAN'T LOSE THEM",AND(F2480&lt;=2,G2480&lt;=2,H2480&lt;=2),"HIBERNATING",TRUE(),"Other")</f>
        <v>POTENTIAL LOYALIST</v>
      </c>
      <c r="K2480" s="1" t="n">
        <f aca="false">RANK(E2480,$E$7:$E$4378)+COUNTIF($E$7:E2480,E2480)-1</f>
        <v>1701</v>
      </c>
    </row>
    <row r="2481" customFormat="false" ht="14.25" hidden="false" customHeight="true" outlineLevel="0" collapsed="false">
      <c r="A2481" s="51" t="n">
        <v>15683</v>
      </c>
      <c r="B2481" s="53" t="n">
        <v>40769.5388888889</v>
      </c>
      <c r="C2481" s="57" t="n">
        <f aca="false">INT($C$2)-INT(Table3[[#This Row],[Last Purchase Date]])</f>
        <v>118</v>
      </c>
      <c r="D2481" s="1" t="n">
        <v>1</v>
      </c>
      <c r="E2481" s="1" t="n">
        <v>193.75</v>
      </c>
      <c r="F2481" s="1" t="n">
        <f aca="false">ROUND((1-_xlfn.PERCENTRANK.INC($C$7:$C$4378,C2481))*9,0)</f>
        <v>3</v>
      </c>
      <c r="G2481" s="1" t="n">
        <f aca="false">ROUND(_xlfn.PERCENTRANK.INC($D$7:$D$4378,D2481)*9,0)</f>
        <v>0</v>
      </c>
      <c r="H2481" s="1" t="n">
        <f aca="false">ROUND(_xlfn.PERCENTRANK.INC($E$7:$E$4378,E2481)*9,0)</f>
        <v>1</v>
      </c>
      <c r="I2481" s="1" t="str">
        <f aca="false">CONCATENATE(F2481,G2481,H2481)</f>
        <v>301</v>
      </c>
      <c r="J2481" s="1" t="str">
        <f aca="false">_xlfn.IFS(AND(F2481&gt;=8,G2481&gt;=8,H2481&gt;=8),"CHAMPION",AND(F2481&gt;=6,G2481&gt;=7,H2481&gt;=6),"LOYAL CUSTOMER",AND(F2481&gt;=6,G2481&gt;=5,H2481&gt;=5),"POTENTIAL LOYALIST",AND(F2481&gt;=8,G2481&lt;=2,H2481&gt;=5),"NEW CUSTOMERS",AND(F2481&gt;=6,G2481&lt;=2,H2481&gt;=3),"PROMISING",AND(F2481&gt;=3,G2481&gt;=3,H2481&gt;=3),"NEED ATTENTION",AND(F2481&lt;=4,G2481&gt;=6,H2481&gt;=6),"AT RISK",AND(F2481&lt;=2,G2481&gt;=8,H2481&gt;=8),"CAN'T LOSE THEM",AND(F2481&lt;=2,G2481&lt;=2,H2481&lt;=2),"HIBERNATING",TRUE(),"Other")</f>
        <v>Other</v>
      </c>
      <c r="K2481" s="1" t="n">
        <f aca="false">RANK(E2481,$E$7:$E$4378)+COUNTIF($E$7:E2481,E2481)-1</f>
        <v>3689</v>
      </c>
    </row>
    <row r="2482" customFormat="false" ht="14.25" hidden="false" customHeight="true" outlineLevel="0" collapsed="false">
      <c r="A2482" s="51" t="n">
        <v>15687</v>
      </c>
      <c r="B2482" s="53" t="n">
        <v>40878.35625</v>
      </c>
      <c r="C2482" s="57" t="n">
        <f aca="false">INT($C$2)-INT(Table3[[#This Row],[Last Purchase Date]])</f>
        <v>9</v>
      </c>
      <c r="D2482" s="1" t="n">
        <v>11</v>
      </c>
      <c r="E2482" s="1" t="n">
        <v>2981.5</v>
      </c>
      <c r="F2482" s="1" t="n">
        <f aca="false">ROUND((1-_xlfn.PERCENTRANK.INC($C$7:$C$4378,C2482))*9,0)</f>
        <v>8</v>
      </c>
      <c r="G2482" s="1" t="n">
        <f aca="false">ROUND(_xlfn.PERCENTRANK.INC($D$7:$D$4378,D2482)*9,0)</f>
        <v>8</v>
      </c>
      <c r="H2482" s="1" t="n">
        <f aca="false">ROUND(_xlfn.PERCENTRANK.INC($E$7:$E$4378,E2482)*9,0)</f>
        <v>8</v>
      </c>
      <c r="I2482" s="1" t="str">
        <f aca="false">CONCATENATE(F2482,G2482,H2482)</f>
        <v>888</v>
      </c>
      <c r="J2482" s="1" t="str">
        <f aca="false">_xlfn.IFS(AND(F2482&gt;=8,G2482&gt;=8,H2482&gt;=8),"CHAMPION",AND(F2482&gt;=6,G2482&gt;=7,H2482&gt;=6),"LOYAL CUSTOMER",AND(F2482&gt;=6,G2482&gt;=5,H2482&gt;=5),"POTENTIAL LOYALIST",AND(F2482&gt;=8,G2482&lt;=2,H2482&gt;=5),"NEW CUSTOMERS",AND(F2482&gt;=6,G2482&lt;=2,H2482&gt;=3),"PROMISING",AND(F2482&gt;=3,G2482&gt;=3,H2482&gt;=3),"NEED ATTENTION",AND(F2482&lt;=4,G2482&gt;=6,H2482&gt;=6),"AT RISK",AND(F2482&lt;=2,G2482&gt;=8,H2482&gt;=8),"CAN'T LOSE THEM",AND(F2482&lt;=2,G2482&lt;=2,H2482&lt;=2),"HIBERNATING",TRUE(),"Other")</f>
        <v>CHAMPION</v>
      </c>
      <c r="K2482" s="1" t="n">
        <f aca="false">RANK(E2482,$E$7:$E$4378)+COUNTIF($E$7:E2482,E2482)-1</f>
        <v>544</v>
      </c>
    </row>
    <row r="2483" customFormat="false" ht="14.25" hidden="false" customHeight="true" outlineLevel="0" collapsed="false">
      <c r="A2483" s="51" t="n">
        <v>15689</v>
      </c>
      <c r="B2483" s="53" t="n">
        <v>40767.4006944444</v>
      </c>
      <c r="C2483" s="57" t="n">
        <f aca="false">INT($C$2)-INT(Table3[[#This Row],[Last Purchase Date]])</f>
        <v>120</v>
      </c>
      <c r="D2483" s="1" t="n">
        <v>2</v>
      </c>
      <c r="E2483" s="1" t="n">
        <v>254.1</v>
      </c>
      <c r="F2483" s="1" t="n">
        <f aca="false">ROUND((1-_xlfn.PERCENTRANK.INC($C$7:$C$4378,C2483))*9,0)</f>
        <v>3</v>
      </c>
      <c r="G2483" s="1" t="n">
        <f aca="false">ROUND(_xlfn.PERCENTRANK.INC($D$7:$D$4378,D2483)*9,0)</f>
        <v>3</v>
      </c>
      <c r="H2483" s="1" t="n">
        <f aca="false">ROUND(_xlfn.PERCENTRANK.INC($E$7:$E$4378,E2483)*9,0)</f>
        <v>2</v>
      </c>
      <c r="I2483" s="1" t="str">
        <f aca="false">CONCATENATE(F2483,G2483,H2483)</f>
        <v>332</v>
      </c>
      <c r="J2483" s="1" t="str">
        <f aca="false">_xlfn.IFS(AND(F2483&gt;=8,G2483&gt;=8,H2483&gt;=8),"CHAMPION",AND(F2483&gt;=6,G2483&gt;=7,H2483&gt;=6),"LOYAL CUSTOMER",AND(F2483&gt;=6,G2483&gt;=5,H2483&gt;=5),"POTENTIAL LOYALIST",AND(F2483&gt;=8,G2483&lt;=2,H2483&gt;=5),"NEW CUSTOMERS",AND(F2483&gt;=6,G2483&lt;=2,H2483&gt;=3),"PROMISING",AND(F2483&gt;=3,G2483&gt;=3,H2483&gt;=3),"NEED ATTENTION",AND(F2483&lt;=4,G2483&gt;=6,H2483&gt;=6),"AT RISK",AND(F2483&lt;=2,G2483&gt;=8,H2483&gt;=8),"CAN'T LOSE THEM",AND(F2483&lt;=2,G2483&lt;=2,H2483&lt;=2),"HIBERNATING",TRUE(),"Other")</f>
        <v>Other</v>
      </c>
      <c r="K2483" s="1" t="n">
        <f aca="false">RANK(E2483,$E$7:$E$4378)+COUNTIF($E$7:E2483,E2483)-1</f>
        <v>3420</v>
      </c>
    </row>
    <row r="2484" customFormat="false" ht="14.25" hidden="false" customHeight="true" outlineLevel="0" collapsed="false">
      <c r="A2484" s="51" t="n">
        <v>15690</v>
      </c>
      <c r="B2484" s="53" t="n">
        <v>40882.6659722222</v>
      </c>
      <c r="C2484" s="57" t="n">
        <f aca="false">INT($C$2)-INT(Table3[[#This Row],[Last Purchase Date]])</f>
        <v>5</v>
      </c>
      <c r="D2484" s="1" t="n">
        <v>2</v>
      </c>
      <c r="E2484" s="1" t="n">
        <v>239.76</v>
      </c>
      <c r="F2484" s="1" t="n">
        <f aca="false">ROUND((1-_xlfn.PERCENTRANK.INC($C$7:$C$4378,C2484))*9,0)</f>
        <v>8</v>
      </c>
      <c r="G2484" s="1" t="n">
        <f aca="false">ROUND(_xlfn.PERCENTRANK.INC($D$7:$D$4378,D2484)*9,0)</f>
        <v>3</v>
      </c>
      <c r="H2484" s="1" t="n">
        <f aca="false">ROUND(_xlfn.PERCENTRANK.INC($E$7:$E$4378,E2484)*9,0)</f>
        <v>2</v>
      </c>
      <c r="I2484" s="1" t="str">
        <f aca="false">CONCATENATE(F2484,G2484,H2484)</f>
        <v>832</v>
      </c>
      <c r="J2484" s="1" t="str">
        <f aca="false">_xlfn.IFS(AND(F2484&gt;=8,G2484&gt;=8,H2484&gt;=8),"CHAMPION",AND(F2484&gt;=6,G2484&gt;=7,H2484&gt;=6),"LOYAL CUSTOMER",AND(F2484&gt;=6,G2484&gt;=5,H2484&gt;=5),"POTENTIAL LOYALIST",AND(F2484&gt;=8,G2484&lt;=2,H2484&gt;=5),"NEW CUSTOMERS",AND(F2484&gt;=6,G2484&lt;=2,H2484&gt;=3),"PROMISING",AND(F2484&gt;=3,G2484&gt;=3,H2484&gt;=3),"NEED ATTENTION",AND(F2484&lt;=4,G2484&gt;=6,H2484&gt;=6),"AT RISK",AND(F2484&lt;=2,G2484&gt;=8,H2484&gt;=8),"CAN'T LOSE THEM",AND(F2484&lt;=2,G2484&lt;=2,H2484&lt;=2),"HIBERNATING",TRUE(),"Other")</f>
        <v>Other</v>
      </c>
      <c r="K2484" s="1" t="n">
        <f aca="false">RANK(E2484,$E$7:$E$4378)+COUNTIF($E$7:E2484,E2484)-1</f>
        <v>3482</v>
      </c>
    </row>
    <row r="2485" customFormat="false" ht="14.25" hidden="false" customHeight="true" outlineLevel="0" collapsed="false">
      <c r="A2485" s="51" t="n">
        <v>15691</v>
      </c>
      <c r="B2485" s="53" t="n">
        <v>40634.6340277778</v>
      </c>
      <c r="C2485" s="57" t="n">
        <f aca="false">INT($C$2)-INT(Table3[[#This Row],[Last Purchase Date]])</f>
        <v>253</v>
      </c>
      <c r="D2485" s="1" t="n">
        <v>1</v>
      </c>
      <c r="E2485" s="1" t="n">
        <v>136.8</v>
      </c>
      <c r="F2485" s="1" t="n">
        <f aca="false">ROUND((1-_xlfn.PERCENTRANK.INC($C$7:$C$4378,C2485))*9,0)</f>
        <v>1</v>
      </c>
      <c r="G2485" s="1" t="n">
        <f aca="false">ROUND(_xlfn.PERCENTRANK.INC($D$7:$D$4378,D2485)*9,0)</f>
        <v>0</v>
      </c>
      <c r="H2485" s="1" t="n">
        <f aca="false">ROUND(_xlfn.PERCENTRANK.INC($E$7:$E$4378,E2485)*9,0)</f>
        <v>1</v>
      </c>
      <c r="I2485" s="1" t="str">
        <f aca="false">CONCATENATE(F2485,G2485,H2485)</f>
        <v>101</v>
      </c>
      <c r="J2485" s="1" t="str">
        <f aca="false">_xlfn.IFS(AND(F2485&gt;=8,G2485&gt;=8,H2485&gt;=8),"CHAMPION",AND(F2485&gt;=6,G2485&gt;=7,H2485&gt;=6),"LOYAL CUSTOMER",AND(F2485&gt;=6,G2485&gt;=5,H2485&gt;=5),"POTENTIAL LOYALIST",AND(F2485&gt;=8,G2485&lt;=2,H2485&gt;=5),"NEW CUSTOMERS",AND(F2485&gt;=6,G2485&lt;=2,H2485&gt;=3),"PROMISING",AND(F2485&gt;=3,G2485&gt;=3,H2485&gt;=3),"NEED ATTENTION",AND(F2485&lt;=4,G2485&gt;=6,H2485&gt;=6),"AT RISK",AND(F2485&lt;=2,G2485&gt;=8,H2485&gt;=8),"CAN'T LOSE THEM",AND(F2485&lt;=2,G2485&lt;=2,H2485&lt;=2),"HIBERNATING",TRUE(),"Other")</f>
        <v>HIBERNATING</v>
      </c>
      <c r="K2485" s="1" t="n">
        <f aca="false">RANK(E2485,$E$7:$E$4378)+COUNTIF($E$7:E2485,E2485)-1</f>
        <v>3975</v>
      </c>
    </row>
    <row r="2486" customFormat="false" ht="14.25" hidden="false" customHeight="true" outlineLevel="0" collapsed="false">
      <c r="A2486" s="51" t="n">
        <v>15692</v>
      </c>
      <c r="B2486" s="53" t="n">
        <v>40858.5916666667</v>
      </c>
      <c r="C2486" s="57" t="n">
        <f aca="false">INT($C$2)-INT(Table3[[#This Row],[Last Purchase Date]])</f>
        <v>29</v>
      </c>
      <c r="D2486" s="1" t="n">
        <v>1</v>
      </c>
      <c r="E2486" s="1" t="n">
        <v>191.04</v>
      </c>
      <c r="F2486" s="1" t="n">
        <f aca="false">ROUND((1-_xlfn.PERCENTRANK.INC($C$7:$C$4378,C2486))*9,0)</f>
        <v>6</v>
      </c>
      <c r="G2486" s="1" t="n">
        <f aca="false">ROUND(_xlfn.PERCENTRANK.INC($D$7:$D$4378,D2486)*9,0)</f>
        <v>0</v>
      </c>
      <c r="H2486" s="1" t="n">
        <f aca="false">ROUND(_xlfn.PERCENTRANK.INC($E$7:$E$4378,E2486)*9,0)</f>
        <v>1</v>
      </c>
      <c r="I2486" s="1" t="str">
        <f aca="false">CONCATENATE(F2486,G2486,H2486)</f>
        <v>601</v>
      </c>
      <c r="J2486" s="1" t="str">
        <f aca="false">_xlfn.IFS(AND(F2486&gt;=8,G2486&gt;=8,H2486&gt;=8),"CHAMPION",AND(F2486&gt;=6,G2486&gt;=7,H2486&gt;=6),"LOYAL CUSTOMER",AND(F2486&gt;=6,G2486&gt;=5,H2486&gt;=5),"POTENTIAL LOYALIST",AND(F2486&gt;=8,G2486&lt;=2,H2486&gt;=5),"NEW CUSTOMERS",AND(F2486&gt;=6,G2486&lt;=2,H2486&gt;=3),"PROMISING",AND(F2486&gt;=3,G2486&gt;=3,H2486&gt;=3),"NEED ATTENTION",AND(F2486&lt;=4,G2486&gt;=6,H2486&gt;=6),"AT RISK",AND(F2486&lt;=2,G2486&gt;=8,H2486&gt;=8),"CAN'T LOSE THEM",AND(F2486&lt;=2,G2486&lt;=2,H2486&lt;=2),"HIBERNATING",TRUE(),"Other")</f>
        <v>Other</v>
      </c>
      <c r="K2486" s="1" t="n">
        <f aca="false">RANK(E2486,$E$7:$E$4378)+COUNTIF($E$7:E2486,E2486)-1</f>
        <v>3702</v>
      </c>
    </row>
    <row r="2487" customFormat="false" ht="14.25" hidden="false" customHeight="true" outlineLevel="0" collapsed="false">
      <c r="A2487" s="51" t="n">
        <v>15694</v>
      </c>
      <c r="B2487" s="53" t="n">
        <v>40886.4055555556</v>
      </c>
      <c r="C2487" s="57" t="n">
        <f aca="false">INT($C$2)-INT(Table3[[#This Row],[Last Purchase Date]])</f>
        <v>1</v>
      </c>
      <c r="D2487" s="1" t="n">
        <v>15</v>
      </c>
      <c r="E2487" s="1" t="n">
        <v>6423.6</v>
      </c>
      <c r="F2487" s="1" t="n">
        <f aca="false">ROUND((1-_xlfn.PERCENTRANK.INC($C$7:$C$4378,C2487))*9,0)</f>
        <v>9</v>
      </c>
      <c r="G2487" s="1" t="n">
        <f aca="false">ROUND(_xlfn.PERCENTRANK.INC($D$7:$D$4378,D2487)*9,0)</f>
        <v>8</v>
      </c>
      <c r="H2487" s="1" t="n">
        <f aca="false">ROUND(_xlfn.PERCENTRANK.INC($E$7:$E$4378,E2487)*9,0)</f>
        <v>9</v>
      </c>
      <c r="I2487" s="1" t="str">
        <f aca="false">CONCATENATE(F2487,G2487,H2487)</f>
        <v>989</v>
      </c>
      <c r="J2487" s="1" t="str">
        <f aca="false">_xlfn.IFS(AND(F2487&gt;=8,G2487&gt;=8,H2487&gt;=8),"CHAMPION",AND(F2487&gt;=6,G2487&gt;=7,H2487&gt;=6),"LOYAL CUSTOMER",AND(F2487&gt;=6,G2487&gt;=5,H2487&gt;=5),"POTENTIAL LOYALIST",AND(F2487&gt;=8,G2487&lt;=2,H2487&gt;=5),"NEW CUSTOMERS",AND(F2487&gt;=6,G2487&lt;=2,H2487&gt;=3),"PROMISING",AND(F2487&gt;=3,G2487&gt;=3,H2487&gt;=3),"NEED ATTENTION",AND(F2487&lt;=4,G2487&gt;=6,H2487&gt;=6),"AT RISK",AND(F2487&lt;=2,G2487&gt;=8,H2487&gt;=8),"CAN'T LOSE THEM",AND(F2487&lt;=2,G2487&lt;=2,H2487&lt;=2),"HIBERNATING",TRUE(),"Other")</f>
        <v>CHAMPION</v>
      </c>
      <c r="K2487" s="1" t="n">
        <f aca="false">RANK(E2487,$E$7:$E$4378)+COUNTIF($E$7:E2487,E2487)-1</f>
        <v>181</v>
      </c>
    </row>
    <row r="2488" customFormat="false" ht="14.25" hidden="false" customHeight="true" outlineLevel="0" collapsed="false">
      <c r="A2488" s="51" t="n">
        <v>15695</v>
      </c>
      <c r="B2488" s="53" t="n">
        <v>40620.3555555556</v>
      </c>
      <c r="C2488" s="57" t="n">
        <f aca="false">INT($C$2)-INT(Table3[[#This Row],[Last Purchase Date]])</f>
        <v>267</v>
      </c>
      <c r="D2488" s="1" t="n">
        <v>2</v>
      </c>
      <c r="E2488" s="1" t="n">
        <v>409.98</v>
      </c>
      <c r="F2488" s="1" t="n">
        <f aca="false">ROUND((1-_xlfn.PERCENTRANK.INC($C$7:$C$4378,C2488))*9,0)</f>
        <v>1</v>
      </c>
      <c r="G2488" s="1" t="n">
        <f aca="false">ROUND(_xlfn.PERCENTRANK.INC($D$7:$D$4378,D2488)*9,0)</f>
        <v>3</v>
      </c>
      <c r="H2488" s="1" t="n">
        <f aca="false">ROUND(_xlfn.PERCENTRANK.INC($E$7:$E$4378,E2488)*9,0)</f>
        <v>3</v>
      </c>
      <c r="I2488" s="1" t="str">
        <f aca="false">CONCATENATE(F2488,G2488,H2488)</f>
        <v>133</v>
      </c>
      <c r="J2488" s="1" t="str">
        <f aca="false">_xlfn.IFS(AND(F2488&gt;=8,G2488&gt;=8,H2488&gt;=8),"CHAMPION",AND(F2488&gt;=6,G2488&gt;=7,H2488&gt;=6),"LOYAL CUSTOMER",AND(F2488&gt;=6,G2488&gt;=5,H2488&gt;=5),"POTENTIAL LOYALIST",AND(F2488&gt;=8,G2488&lt;=2,H2488&gt;=5),"NEW CUSTOMERS",AND(F2488&gt;=6,G2488&lt;=2,H2488&gt;=3),"PROMISING",AND(F2488&gt;=3,G2488&gt;=3,H2488&gt;=3),"NEED ATTENTION",AND(F2488&lt;=4,G2488&gt;=6,H2488&gt;=6),"AT RISK",AND(F2488&lt;=2,G2488&gt;=8,H2488&gt;=8),"CAN'T LOSE THEM",AND(F2488&lt;=2,G2488&lt;=2,H2488&lt;=2),"HIBERNATING",TRUE(),"Other")</f>
        <v>Other</v>
      </c>
      <c r="K2488" s="1" t="n">
        <f aca="false">RANK(E2488,$E$7:$E$4378)+COUNTIF($E$7:E2488,E2488)-1</f>
        <v>2789</v>
      </c>
    </row>
    <row r="2489" customFormat="false" ht="14.25" hidden="false" customHeight="true" outlineLevel="0" collapsed="false">
      <c r="A2489" s="51" t="n">
        <v>15696</v>
      </c>
      <c r="B2489" s="53" t="n">
        <v>40853.5847222222</v>
      </c>
      <c r="C2489" s="57" t="n">
        <f aca="false">INT($C$2)-INT(Table3[[#This Row],[Last Purchase Date]])</f>
        <v>34</v>
      </c>
      <c r="D2489" s="1" t="n">
        <v>12</v>
      </c>
      <c r="E2489" s="1" t="n">
        <v>2644.46</v>
      </c>
      <c r="F2489" s="1" t="n">
        <f aca="false">ROUND((1-_xlfn.PERCENTRANK.INC($C$7:$C$4378,C2489))*9,0)</f>
        <v>5</v>
      </c>
      <c r="G2489" s="1" t="n">
        <f aca="false">ROUND(_xlfn.PERCENTRANK.INC($D$7:$D$4378,D2489)*9,0)</f>
        <v>8</v>
      </c>
      <c r="H2489" s="1" t="n">
        <f aca="false">ROUND(_xlfn.PERCENTRANK.INC($E$7:$E$4378,E2489)*9,0)</f>
        <v>8</v>
      </c>
      <c r="I2489" s="1" t="str">
        <f aca="false">CONCATENATE(F2489,G2489,H2489)</f>
        <v>588</v>
      </c>
      <c r="J2489" s="1" t="str">
        <f aca="false">_xlfn.IFS(AND(F2489&gt;=8,G2489&gt;=8,H2489&gt;=8),"CHAMPION",AND(F2489&gt;=6,G2489&gt;=7,H2489&gt;=6),"LOYAL CUSTOMER",AND(F2489&gt;=6,G2489&gt;=5,H2489&gt;=5),"POTENTIAL LOYALIST",AND(F2489&gt;=8,G2489&lt;=2,H2489&gt;=5),"NEW CUSTOMERS",AND(F2489&gt;=6,G2489&lt;=2,H2489&gt;=3),"PROMISING",AND(F2489&gt;=3,G2489&gt;=3,H2489&gt;=3),"NEED ATTENTION",AND(F2489&lt;=4,G2489&gt;=6,H2489&gt;=6),"AT RISK",AND(F2489&lt;=2,G2489&gt;=8,H2489&gt;=8),"CAN'T LOSE THEM",AND(F2489&lt;=2,G2489&lt;=2,H2489&lt;=2),"HIBERNATING",TRUE(),"Other")</f>
        <v>NEED ATTENTION</v>
      </c>
      <c r="K2489" s="1" t="n">
        <f aca="false">RANK(E2489,$E$7:$E$4378)+COUNTIF($E$7:E2489,E2489)-1</f>
        <v>627</v>
      </c>
    </row>
    <row r="2490" customFormat="false" ht="14.25" hidden="false" customHeight="true" outlineLevel="0" collapsed="false">
      <c r="A2490" s="51" t="n">
        <v>15699</v>
      </c>
      <c r="B2490" s="53" t="n">
        <v>40869.3513888889</v>
      </c>
      <c r="C2490" s="57" t="n">
        <f aca="false">INT($C$2)-INT(Table3[[#This Row],[Last Purchase Date]])</f>
        <v>18</v>
      </c>
      <c r="D2490" s="1" t="n">
        <v>1</v>
      </c>
      <c r="E2490" s="1" t="n">
        <v>309.65</v>
      </c>
      <c r="F2490" s="1" t="n">
        <f aca="false">ROUND((1-_xlfn.PERCENTRANK.INC($C$7:$C$4378,C2490))*9,0)</f>
        <v>7</v>
      </c>
      <c r="G2490" s="1" t="n">
        <f aca="false">ROUND(_xlfn.PERCENTRANK.INC($D$7:$D$4378,D2490)*9,0)</f>
        <v>0</v>
      </c>
      <c r="H2490" s="1" t="n">
        <f aca="false">ROUND(_xlfn.PERCENTRANK.INC($E$7:$E$4378,E2490)*9,0)</f>
        <v>2</v>
      </c>
      <c r="I2490" s="1" t="str">
        <f aca="false">CONCATENATE(F2490,G2490,H2490)</f>
        <v>702</v>
      </c>
      <c r="J2490" s="1" t="str">
        <f aca="false">_xlfn.IFS(AND(F2490&gt;=8,G2490&gt;=8,H2490&gt;=8),"CHAMPION",AND(F2490&gt;=6,G2490&gt;=7,H2490&gt;=6),"LOYAL CUSTOMER",AND(F2490&gt;=6,G2490&gt;=5,H2490&gt;=5),"POTENTIAL LOYALIST",AND(F2490&gt;=8,G2490&lt;=2,H2490&gt;=5),"NEW CUSTOMERS",AND(F2490&gt;=6,G2490&lt;=2,H2490&gt;=3),"PROMISING",AND(F2490&gt;=3,G2490&gt;=3,H2490&gt;=3),"NEED ATTENTION",AND(F2490&lt;=4,G2490&gt;=6,H2490&gt;=6),"AT RISK",AND(F2490&lt;=2,G2490&gt;=8,H2490&gt;=8),"CAN'T LOSE THEM",AND(F2490&lt;=2,G2490&lt;=2,H2490&lt;=2),"HIBERNATING",TRUE(),"Other")</f>
        <v>Other</v>
      </c>
      <c r="K2490" s="1" t="n">
        <f aca="false">RANK(E2490,$E$7:$E$4378)+COUNTIF($E$7:E2490,E2490)-1</f>
        <v>3196</v>
      </c>
    </row>
    <row r="2491" customFormat="false" ht="14.25" hidden="false" customHeight="true" outlineLevel="0" collapsed="false">
      <c r="A2491" s="51" t="n">
        <v>15700</v>
      </c>
      <c r="B2491" s="53" t="n">
        <v>40714.7034722222</v>
      </c>
      <c r="C2491" s="57" t="n">
        <f aca="false">INT($C$2)-INT(Table3[[#This Row],[Last Purchase Date]])</f>
        <v>173</v>
      </c>
      <c r="D2491" s="1" t="n">
        <v>3</v>
      </c>
      <c r="E2491" s="1" t="n">
        <v>664.03</v>
      </c>
      <c r="F2491" s="1" t="n">
        <f aca="false">ROUND((1-_xlfn.PERCENTRANK.INC($C$7:$C$4378,C2491))*9,0)</f>
        <v>2</v>
      </c>
      <c r="G2491" s="1" t="n">
        <f aca="false">ROUND(_xlfn.PERCENTRANK.INC($D$7:$D$4378,D2491)*9,0)</f>
        <v>4</v>
      </c>
      <c r="H2491" s="1" t="n">
        <f aca="false">ROUND(_xlfn.PERCENTRANK.INC($E$7:$E$4378,E2491)*9,0)</f>
        <v>5</v>
      </c>
      <c r="I2491" s="1" t="str">
        <f aca="false">CONCATENATE(F2491,G2491,H2491)</f>
        <v>245</v>
      </c>
      <c r="J2491" s="1" t="str">
        <f aca="false">_xlfn.IFS(AND(F2491&gt;=8,G2491&gt;=8,H2491&gt;=8),"CHAMPION",AND(F2491&gt;=6,G2491&gt;=7,H2491&gt;=6),"LOYAL CUSTOMER",AND(F2491&gt;=6,G2491&gt;=5,H2491&gt;=5),"POTENTIAL LOYALIST",AND(F2491&gt;=8,G2491&lt;=2,H2491&gt;=5),"NEW CUSTOMERS",AND(F2491&gt;=6,G2491&lt;=2,H2491&gt;=3),"PROMISING",AND(F2491&gt;=3,G2491&gt;=3,H2491&gt;=3),"NEED ATTENTION",AND(F2491&lt;=4,G2491&gt;=6,H2491&gt;=6),"AT RISK",AND(F2491&lt;=2,G2491&gt;=8,H2491&gt;=8),"CAN'T LOSE THEM",AND(F2491&lt;=2,G2491&lt;=2,H2491&lt;=2),"HIBERNATING",TRUE(),"Other")</f>
        <v>Other</v>
      </c>
      <c r="K2491" s="1" t="n">
        <f aca="false">RANK(E2491,$E$7:$E$4378)+COUNTIF($E$7:E2491,E2491)-1</f>
        <v>2145</v>
      </c>
    </row>
    <row r="2492" customFormat="false" ht="14.25" hidden="false" customHeight="true" outlineLevel="0" collapsed="false">
      <c r="A2492" s="51" t="n">
        <v>15701</v>
      </c>
      <c r="B2492" s="53" t="n">
        <v>40884.6104166667</v>
      </c>
      <c r="C2492" s="57" t="n">
        <f aca="false">INT($C$2)-INT(Table3[[#This Row],[Last Purchase Date]])</f>
        <v>3</v>
      </c>
      <c r="D2492" s="1" t="n">
        <v>4</v>
      </c>
      <c r="E2492" s="1" t="n">
        <v>1542.14</v>
      </c>
      <c r="F2492" s="1" t="n">
        <f aca="false">ROUND((1-_xlfn.PERCENTRANK.INC($C$7:$C$4378,C2492))*9,0)</f>
        <v>9</v>
      </c>
      <c r="G2492" s="1" t="n">
        <f aca="false">ROUND(_xlfn.PERCENTRANK.INC($D$7:$D$4378,D2492)*9,0)</f>
        <v>5</v>
      </c>
      <c r="H2492" s="1" t="n">
        <f aca="false">ROUND(_xlfn.PERCENTRANK.INC($E$7:$E$4378,E2492)*9,0)</f>
        <v>7</v>
      </c>
      <c r="I2492" s="1" t="str">
        <f aca="false">CONCATENATE(F2492,G2492,H2492)</f>
        <v>957</v>
      </c>
      <c r="J2492" s="1" t="str">
        <f aca="false">_xlfn.IFS(AND(F2492&gt;=8,G2492&gt;=8,H2492&gt;=8),"CHAMPION",AND(F2492&gt;=6,G2492&gt;=7,H2492&gt;=6),"LOYAL CUSTOMER",AND(F2492&gt;=6,G2492&gt;=5,H2492&gt;=5),"POTENTIAL LOYALIST",AND(F2492&gt;=8,G2492&lt;=2,H2492&gt;=5),"NEW CUSTOMERS",AND(F2492&gt;=6,G2492&lt;=2,H2492&gt;=3),"PROMISING",AND(F2492&gt;=3,G2492&gt;=3,H2492&gt;=3),"NEED ATTENTION",AND(F2492&lt;=4,G2492&gt;=6,H2492&gt;=6),"AT RISK",AND(F2492&lt;=2,G2492&gt;=8,H2492&gt;=8),"CAN'T LOSE THEM",AND(F2492&lt;=2,G2492&lt;=2,H2492&lt;=2),"HIBERNATING",TRUE(),"Other")</f>
        <v>POTENTIAL LOYALIST</v>
      </c>
      <c r="K2492" s="1" t="n">
        <f aca="false">RANK(E2492,$E$7:$E$4378)+COUNTIF($E$7:E2492,E2492)-1</f>
        <v>1133</v>
      </c>
    </row>
    <row r="2493" customFormat="false" ht="14.25" hidden="false" customHeight="true" outlineLevel="0" collapsed="false">
      <c r="A2493" s="51" t="n">
        <v>15703</v>
      </c>
      <c r="B2493" s="53" t="n">
        <v>40622.4520833333</v>
      </c>
      <c r="C2493" s="57" t="n">
        <f aca="false">INT($C$2)-INT(Table3[[#This Row],[Last Purchase Date]])</f>
        <v>265</v>
      </c>
      <c r="D2493" s="1" t="n">
        <v>1</v>
      </c>
      <c r="E2493" s="1" t="n">
        <v>211.5</v>
      </c>
      <c r="F2493" s="1" t="n">
        <f aca="false">ROUND((1-_xlfn.PERCENTRANK.INC($C$7:$C$4378,C2493))*9,0)</f>
        <v>1</v>
      </c>
      <c r="G2493" s="1" t="n">
        <f aca="false">ROUND(_xlfn.PERCENTRANK.INC($D$7:$D$4378,D2493)*9,0)</f>
        <v>0</v>
      </c>
      <c r="H2493" s="1" t="n">
        <f aca="false">ROUND(_xlfn.PERCENTRANK.INC($E$7:$E$4378,E2493)*9,0)</f>
        <v>2</v>
      </c>
      <c r="I2493" s="1" t="str">
        <f aca="false">CONCATENATE(F2493,G2493,H2493)</f>
        <v>102</v>
      </c>
      <c r="J2493" s="1" t="str">
        <f aca="false">_xlfn.IFS(AND(F2493&gt;=8,G2493&gt;=8,H2493&gt;=8),"CHAMPION",AND(F2493&gt;=6,G2493&gt;=7,H2493&gt;=6),"LOYAL CUSTOMER",AND(F2493&gt;=6,G2493&gt;=5,H2493&gt;=5),"POTENTIAL LOYALIST",AND(F2493&gt;=8,G2493&lt;=2,H2493&gt;=5),"NEW CUSTOMERS",AND(F2493&gt;=6,G2493&lt;=2,H2493&gt;=3),"PROMISING",AND(F2493&gt;=3,G2493&gt;=3,H2493&gt;=3),"NEED ATTENTION",AND(F2493&lt;=4,G2493&gt;=6,H2493&gt;=6),"AT RISK",AND(F2493&lt;=2,G2493&gt;=8,H2493&gt;=8),"CAN'T LOSE THEM",AND(F2493&lt;=2,G2493&lt;=2,H2493&lt;=2),"HIBERNATING",TRUE(),"Other")</f>
        <v>HIBERNATING</v>
      </c>
      <c r="K2493" s="1" t="n">
        <f aca="false">RANK(E2493,$E$7:$E$4378)+COUNTIF($E$7:E2493,E2493)-1</f>
        <v>3609</v>
      </c>
    </row>
    <row r="2494" customFormat="false" ht="14.25" hidden="false" customHeight="true" outlineLevel="0" collapsed="false">
      <c r="A2494" s="51" t="n">
        <v>15704</v>
      </c>
      <c r="B2494" s="53" t="n">
        <v>40746.5659722222</v>
      </c>
      <c r="C2494" s="57" t="n">
        <f aca="false">INT($C$2)-INT(Table3[[#This Row],[Last Purchase Date]])</f>
        <v>141</v>
      </c>
      <c r="D2494" s="1" t="n">
        <v>4</v>
      </c>
      <c r="E2494" s="1" t="n">
        <v>2293.62</v>
      </c>
      <c r="F2494" s="1" t="n">
        <f aca="false">ROUND((1-_xlfn.PERCENTRANK.INC($C$7:$C$4378,C2494))*9,0)</f>
        <v>2</v>
      </c>
      <c r="G2494" s="1" t="n">
        <f aca="false">ROUND(_xlfn.PERCENTRANK.INC($D$7:$D$4378,D2494)*9,0)</f>
        <v>5</v>
      </c>
      <c r="H2494" s="1" t="n">
        <f aca="false">ROUND(_xlfn.PERCENTRANK.INC($E$7:$E$4378,E2494)*9,0)</f>
        <v>7</v>
      </c>
      <c r="I2494" s="1" t="str">
        <f aca="false">CONCATENATE(F2494,G2494,H2494)</f>
        <v>257</v>
      </c>
      <c r="J2494" s="1" t="str">
        <f aca="false">_xlfn.IFS(AND(F2494&gt;=8,G2494&gt;=8,H2494&gt;=8),"CHAMPION",AND(F2494&gt;=6,G2494&gt;=7,H2494&gt;=6),"LOYAL CUSTOMER",AND(F2494&gt;=6,G2494&gt;=5,H2494&gt;=5),"POTENTIAL LOYALIST",AND(F2494&gt;=8,G2494&lt;=2,H2494&gt;=5),"NEW CUSTOMERS",AND(F2494&gt;=6,G2494&lt;=2,H2494&gt;=3),"PROMISING",AND(F2494&gt;=3,G2494&gt;=3,H2494&gt;=3),"NEED ATTENTION",AND(F2494&lt;=4,G2494&gt;=6,H2494&gt;=6),"AT RISK",AND(F2494&lt;=2,G2494&gt;=8,H2494&gt;=8),"CAN'T LOSE THEM",AND(F2494&lt;=2,G2494&lt;=2,H2494&lt;=2),"HIBERNATING",TRUE(),"Other")</f>
        <v>Other</v>
      </c>
      <c r="K2494" s="1" t="n">
        <f aca="false">RANK(E2494,$E$7:$E$4378)+COUNTIF($E$7:E2494,E2494)-1</f>
        <v>746</v>
      </c>
    </row>
    <row r="2495" customFormat="false" ht="14.25" hidden="false" customHeight="true" outlineLevel="0" collapsed="false">
      <c r="A2495" s="51" t="n">
        <v>15705</v>
      </c>
      <c r="B2495" s="53" t="n">
        <v>40685.6506944444</v>
      </c>
      <c r="C2495" s="57" t="n">
        <f aca="false">INT($C$2)-INT(Table3[[#This Row],[Last Purchase Date]])</f>
        <v>202</v>
      </c>
      <c r="D2495" s="1" t="n">
        <v>1</v>
      </c>
      <c r="E2495" s="1" t="n">
        <v>143.1</v>
      </c>
      <c r="F2495" s="1" t="n">
        <f aca="false">ROUND((1-_xlfn.PERCENTRANK.INC($C$7:$C$4378,C2495))*9,0)</f>
        <v>2</v>
      </c>
      <c r="G2495" s="1" t="n">
        <f aca="false">ROUND(_xlfn.PERCENTRANK.INC($D$7:$D$4378,D2495)*9,0)</f>
        <v>0</v>
      </c>
      <c r="H2495" s="1" t="n">
        <f aca="false">ROUND(_xlfn.PERCENTRANK.INC($E$7:$E$4378,E2495)*9,0)</f>
        <v>1</v>
      </c>
      <c r="I2495" s="1" t="str">
        <f aca="false">CONCATENATE(F2495,G2495,H2495)</f>
        <v>201</v>
      </c>
      <c r="J2495" s="1" t="str">
        <f aca="false">_xlfn.IFS(AND(F2495&gt;=8,G2495&gt;=8,H2495&gt;=8),"CHAMPION",AND(F2495&gt;=6,G2495&gt;=7,H2495&gt;=6),"LOYAL CUSTOMER",AND(F2495&gt;=6,G2495&gt;=5,H2495&gt;=5),"POTENTIAL LOYALIST",AND(F2495&gt;=8,G2495&lt;=2,H2495&gt;=5),"NEW CUSTOMERS",AND(F2495&gt;=6,G2495&lt;=2,H2495&gt;=3),"PROMISING",AND(F2495&gt;=3,G2495&gt;=3,H2495&gt;=3),"NEED ATTENTION",AND(F2495&lt;=4,G2495&gt;=6,H2495&gt;=6),"AT RISK",AND(F2495&lt;=2,G2495&gt;=8,H2495&gt;=8),"CAN'T LOSE THEM",AND(F2495&lt;=2,G2495&lt;=2,H2495&lt;=2),"HIBERNATING",TRUE(),"Other")</f>
        <v>HIBERNATING</v>
      </c>
      <c r="K2495" s="1" t="n">
        <f aca="false">RANK(E2495,$E$7:$E$4378)+COUNTIF($E$7:E2495,E2495)-1</f>
        <v>3945</v>
      </c>
    </row>
    <row r="2496" customFormat="false" ht="14.25" hidden="false" customHeight="true" outlineLevel="0" collapsed="false">
      <c r="A2496" s="51" t="n">
        <v>15706</v>
      </c>
      <c r="B2496" s="53" t="n">
        <v>40827.4263888889</v>
      </c>
      <c r="C2496" s="57" t="n">
        <f aca="false">INT($C$2)-INT(Table3[[#This Row],[Last Purchase Date]])</f>
        <v>60</v>
      </c>
      <c r="D2496" s="1" t="n">
        <v>7</v>
      </c>
      <c r="E2496" s="1" t="n">
        <v>1001.81</v>
      </c>
      <c r="F2496" s="1" t="n">
        <f aca="false">ROUND((1-_xlfn.PERCENTRANK.INC($C$7:$C$4378,C2496))*9,0)</f>
        <v>4</v>
      </c>
      <c r="G2496" s="1" t="n">
        <f aca="false">ROUND(_xlfn.PERCENTRANK.INC($D$7:$D$4378,D2496)*9,0)</f>
        <v>7</v>
      </c>
      <c r="H2496" s="1" t="n">
        <f aca="false">ROUND(_xlfn.PERCENTRANK.INC($E$7:$E$4378,E2496)*9,0)</f>
        <v>6</v>
      </c>
      <c r="I2496" s="1" t="str">
        <f aca="false">CONCATENATE(F2496,G2496,H2496)</f>
        <v>476</v>
      </c>
      <c r="J2496" s="1" t="str">
        <f aca="false">_xlfn.IFS(AND(F2496&gt;=8,G2496&gt;=8,H2496&gt;=8),"CHAMPION",AND(F2496&gt;=6,G2496&gt;=7,H2496&gt;=6),"LOYAL CUSTOMER",AND(F2496&gt;=6,G2496&gt;=5,H2496&gt;=5),"POTENTIAL LOYALIST",AND(F2496&gt;=8,G2496&lt;=2,H2496&gt;=5),"NEW CUSTOMERS",AND(F2496&gt;=6,G2496&lt;=2,H2496&gt;=3),"PROMISING",AND(F2496&gt;=3,G2496&gt;=3,H2496&gt;=3),"NEED ATTENTION",AND(F2496&lt;=4,G2496&gt;=6,H2496&gt;=6),"AT RISK",AND(F2496&lt;=2,G2496&gt;=8,H2496&gt;=8),"CAN'T LOSE THEM",AND(F2496&lt;=2,G2496&lt;=2,H2496&lt;=2),"HIBERNATING",TRUE(),"Other")</f>
        <v>NEED ATTENTION</v>
      </c>
      <c r="K2496" s="1" t="n">
        <f aca="false">RANK(E2496,$E$7:$E$4378)+COUNTIF($E$7:E2496,E2496)-1</f>
        <v>1629</v>
      </c>
    </row>
    <row r="2497" customFormat="false" ht="14.25" hidden="false" customHeight="true" outlineLevel="0" collapsed="false">
      <c r="A2497" s="51" t="n">
        <v>15707</v>
      </c>
      <c r="B2497" s="53" t="n">
        <v>40851.6076388889</v>
      </c>
      <c r="C2497" s="57" t="n">
        <f aca="false">INT($C$2)-INT(Table3[[#This Row],[Last Purchase Date]])</f>
        <v>36</v>
      </c>
      <c r="D2497" s="1" t="n">
        <v>4</v>
      </c>
      <c r="E2497" s="1" t="n">
        <v>945.58</v>
      </c>
      <c r="F2497" s="1" t="n">
        <f aca="false">ROUND((1-_xlfn.PERCENTRANK.INC($C$7:$C$4378,C2497))*9,0)</f>
        <v>5</v>
      </c>
      <c r="G2497" s="1" t="n">
        <f aca="false">ROUND(_xlfn.PERCENTRANK.INC($D$7:$D$4378,D2497)*9,0)</f>
        <v>5</v>
      </c>
      <c r="H2497" s="1" t="n">
        <f aca="false">ROUND(_xlfn.PERCENTRANK.INC($E$7:$E$4378,E2497)*9,0)</f>
        <v>5</v>
      </c>
      <c r="I2497" s="1" t="str">
        <f aca="false">CONCATENATE(F2497,G2497,H2497)</f>
        <v>555</v>
      </c>
      <c r="J2497" s="1" t="str">
        <f aca="false">_xlfn.IFS(AND(F2497&gt;=8,G2497&gt;=8,H2497&gt;=8),"CHAMPION",AND(F2497&gt;=6,G2497&gt;=7,H2497&gt;=6),"LOYAL CUSTOMER",AND(F2497&gt;=6,G2497&gt;=5,H2497&gt;=5),"POTENTIAL LOYALIST",AND(F2497&gt;=8,G2497&lt;=2,H2497&gt;=5),"NEW CUSTOMERS",AND(F2497&gt;=6,G2497&lt;=2,H2497&gt;=3),"PROMISING",AND(F2497&gt;=3,G2497&gt;=3,H2497&gt;=3),"NEED ATTENTION",AND(F2497&lt;=4,G2497&gt;=6,H2497&gt;=6),"AT RISK",AND(F2497&lt;=2,G2497&gt;=8,H2497&gt;=8),"CAN'T LOSE THEM",AND(F2497&lt;=2,G2497&lt;=2,H2497&lt;=2),"HIBERNATING",TRUE(),"Other")</f>
        <v>NEED ATTENTION</v>
      </c>
      <c r="K2497" s="1" t="n">
        <f aca="false">RANK(E2497,$E$7:$E$4378)+COUNTIF($E$7:E2497,E2497)-1</f>
        <v>1702</v>
      </c>
    </row>
    <row r="2498" customFormat="false" ht="14.25" hidden="false" customHeight="true" outlineLevel="0" collapsed="false">
      <c r="A2498" s="51" t="n">
        <v>15708</v>
      </c>
      <c r="B2498" s="53" t="n">
        <v>40846.4541666667</v>
      </c>
      <c r="C2498" s="57" t="n">
        <f aca="false">INT($C$2)-INT(Table3[[#This Row],[Last Purchase Date]])</f>
        <v>41</v>
      </c>
      <c r="D2498" s="1" t="n">
        <v>11</v>
      </c>
      <c r="E2498" s="1" t="n">
        <v>3329.72</v>
      </c>
      <c r="F2498" s="1" t="n">
        <f aca="false">ROUND((1-_xlfn.PERCENTRANK.INC($C$7:$C$4378,C2498))*9,0)</f>
        <v>5</v>
      </c>
      <c r="G2498" s="1" t="n">
        <f aca="false">ROUND(_xlfn.PERCENTRANK.INC($D$7:$D$4378,D2498)*9,0)</f>
        <v>8</v>
      </c>
      <c r="H2498" s="1" t="n">
        <f aca="false">ROUND(_xlfn.PERCENTRANK.INC($E$7:$E$4378,E2498)*9,0)</f>
        <v>8</v>
      </c>
      <c r="I2498" s="1" t="str">
        <f aca="false">CONCATENATE(F2498,G2498,H2498)</f>
        <v>588</v>
      </c>
      <c r="J2498" s="1" t="str">
        <f aca="false">_xlfn.IFS(AND(F2498&gt;=8,G2498&gt;=8,H2498&gt;=8),"CHAMPION",AND(F2498&gt;=6,G2498&gt;=7,H2498&gt;=6),"LOYAL CUSTOMER",AND(F2498&gt;=6,G2498&gt;=5,H2498&gt;=5),"POTENTIAL LOYALIST",AND(F2498&gt;=8,G2498&lt;=2,H2498&gt;=5),"NEW CUSTOMERS",AND(F2498&gt;=6,G2498&lt;=2,H2498&gt;=3),"PROMISING",AND(F2498&gt;=3,G2498&gt;=3,H2498&gt;=3),"NEED ATTENTION",AND(F2498&lt;=4,G2498&gt;=6,H2498&gt;=6),"AT RISK",AND(F2498&lt;=2,G2498&gt;=8,H2498&gt;=8),"CAN'T LOSE THEM",AND(F2498&lt;=2,G2498&lt;=2,H2498&lt;=2),"HIBERNATING",TRUE(),"Other")</f>
        <v>NEED ATTENTION</v>
      </c>
      <c r="K2498" s="1" t="n">
        <f aca="false">RANK(E2498,$E$7:$E$4378)+COUNTIF($E$7:E2498,E2498)-1</f>
        <v>470</v>
      </c>
    </row>
    <row r="2499" customFormat="false" ht="14.25" hidden="false" customHeight="true" outlineLevel="0" collapsed="false">
      <c r="A2499" s="51" t="n">
        <v>15709</v>
      </c>
      <c r="B2499" s="53" t="n">
        <v>40603.4430555556</v>
      </c>
      <c r="C2499" s="57" t="n">
        <f aca="false">INT($C$2)-INT(Table3[[#This Row],[Last Purchase Date]])</f>
        <v>284</v>
      </c>
      <c r="D2499" s="1" t="n">
        <v>1</v>
      </c>
      <c r="E2499" s="1" t="n">
        <v>133.25</v>
      </c>
      <c r="F2499" s="1" t="n">
        <f aca="false">ROUND((1-_xlfn.PERCENTRANK.INC($C$7:$C$4378,C2499))*9,0)</f>
        <v>1</v>
      </c>
      <c r="G2499" s="1" t="n">
        <f aca="false">ROUND(_xlfn.PERCENTRANK.INC($D$7:$D$4378,D2499)*9,0)</f>
        <v>0</v>
      </c>
      <c r="H2499" s="1" t="n">
        <f aca="false">ROUND(_xlfn.PERCENTRANK.INC($E$7:$E$4378,E2499)*9,0)</f>
        <v>1</v>
      </c>
      <c r="I2499" s="1" t="str">
        <f aca="false">CONCATENATE(F2499,G2499,H2499)</f>
        <v>101</v>
      </c>
      <c r="J2499" s="1" t="str">
        <f aca="false">_xlfn.IFS(AND(F2499&gt;=8,G2499&gt;=8,H2499&gt;=8),"CHAMPION",AND(F2499&gt;=6,G2499&gt;=7,H2499&gt;=6),"LOYAL CUSTOMER",AND(F2499&gt;=6,G2499&gt;=5,H2499&gt;=5),"POTENTIAL LOYALIST",AND(F2499&gt;=8,G2499&lt;=2,H2499&gt;=5),"NEW CUSTOMERS",AND(F2499&gt;=6,G2499&lt;=2,H2499&gt;=3),"PROMISING",AND(F2499&gt;=3,G2499&gt;=3,H2499&gt;=3),"NEED ATTENTION",AND(F2499&lt;=4,G2499&gt;=6,H2499&gt;=6),"AT RISK",AND(F2499&lt;=2,G2499&gt;=8,H2499&gt;=8),"CAN'T LOSE THEM",AND(F2499&lt;=2,G2499&lt;=2,H2499&lt;=2),"HIBERNATING",TRUE(),"Other")</f>
        <v>HIBERNATING</v>
      </c>
      <c r="K2499" s="1" t="n">
        <f aca="false">RANK(E2499,$E$7:$E$4378)+COUNTIF($E$7:E2499,E2499)-1</f>
        <v>3998</v>
      </c>
    </row>
    <row r="2500" customFormat="false" ht="14.25" hidden="false" customHeight="true" outlineLevel="0" collapsed="false">
      <c r="A2500" s="51" t="n">
        <v>15712</v>
      </c>
      <c r="B2500" s="53" t="n">
        <v>40877.5895833333</v>
      </c>
      <c r="C2500" s="57" t="n">
        <f aca="false">INT($C$2)-INT(Table3[[#This Row],[Last Purchase Date]])</f>
        <v>10</v>
      </c>
      <c r="D2500" s="1" t="n">
        <v>5</v>
      </c>
      <c r="E2500" s="1" t="n">
        <v>1072.36</v>
      </c>
      <c r="F2500" s="1" t="n">
        <f aca="false">ROUND((1-_xlfn.PERCENTRANK.INC($C$7:$C$4378,C2500))*9,0)</f>
        <v>8</v>
      </c>
      <c r="G2500" s="1" t="n">
        <f aca="false">ROUND(_xlfn.PERCENTRANK.INC($D$7:$D$4378,D2500)*9,0)</f>
        <v>6</v>
      </c>
      <c r="H2500" s="1" t="n">
        <f aca="false">ROUND(_xlfn.PERCENTRANK.INC($E$7:$E$4378,E2500)*9,0)</f>
        <v>6</v>
      </c>
      <c r="I2500" s="1" t="str">
        <f aca="false">CONCATENATE(F2500,G2500,H2500)</f>
        <v>866</v>
      </c>
      <c r="J2500" s="1" t="str">
        <f aca="false">_xlfn.IFS(AND(F2500&gt;=8,G2500&gt;=8,H2500&gt;=8),"CHAMPION",AND(F2500&gt;=6,G2500&gt;=7,H2500&gt;=6),"LOYAL CUSTOMER",AND(F2500&gt;=6,G2500&gt;=5,H2500&gt;=5),"POTENTIAL LOYALIST",AND(F2500&gt;=8,G2500&lt;=2,H2500&gt;=5),"NEW CUSTOMERS",AND(F2500&gt;=6,G2500&lt;=2,H2500&gt;=3),"PROMISING",AND(F2500&gt;=3,G2500&gt;=3,H2500&gt;=3),"NEED ATTENTION",AND(F2500&lt;=4,G2500&gt;=6,H2500&gt;=6),"AT RISK",AND(F2500&lt;=2,G2500&gt;=8,H2500&gt;=8),"CAN'T LOSE THEM",AND(F2500&lt;=2,G2500&lt;=2,H2500&lt;=2),"HIBERNATING",TRUE(),"Other")</f>
        <v>POTENTIAL LOYALIST</v>
      </c>
      <c r="K2500" s="1" t="n">
        <f aca="false">RANK(E2500,$E$7:$E$4378)+COUNTIF($E$7:E2500,E2500)-1</f>
        <v>1534</v>
      </c>
    </row>
    <row r="2501" customFormat="false" ht="14.25" hidden="false" customHeight="true" outlineLevel="0" collapsed="false">
      <c r="A2501" s="51" t="n">
        <v>15713</v>
      </c>
      <c r="B2501" s="53" t="n">
        <v>40743.5652777778</v>
      </c>
      <c r="C2501" s="57" t="n">
        <f aca="false">INT($C$2)-INT(Table3[[#This Row],[Last Purchase Date]])</f>
        <v>144</v>
      </c>
      <c r="D2501" s="1" t="n">
        <v>3</v>
      </c>
      <c r="E2501" s="1" t="n">
        <v>346.75</v>
      </c>
      <c r="F2501" s="1" t="n">
        <f aca="false">ROUND((1-_xlfn.PERCENTRANK.INC($C$7:$C$4378,C2501))*9,0)</f>
        <v>2</v>
      </c>
      <c r="G2501" s="1" t="n">
        <f aca="false">ROUND(_xlfn.PERCENTRANK.INC($D$7:$D$4378,D2501)*9,0)</f>
        <v>4</v>
      </c>
      <c r="H2501" s="1" t="n">
        <f aca="false">ROUND(_xlfn.PERCENTRANK.INC($E$7:$E$4378,E2501)*9,0)</f>
        <v>3</v>
      </c>
      <c r="I2501" s="1" t="str">
        <f aca="false">CONCATENATE(F2501,G2501,H2501)</f>
        <v>243</v>
      </c>
      <c r="J2501" s="1" t="str">
        <f aca="false">_xlfn.IFS(AND(F2501&gt;=8,G2501&gt;=8,H2501&gt;=8),"CHAMPION",AND(F2501&gt;=6,G2501&gt;=7,H2501&gt;=6),"LOYAL CUSTOMER",AND(F2501&gt;=6,G2501&gt;=5,H2501&gt;=5),"POTENTIAL LOYALIST",AND(F2501&gt;=8,G2501&lt;=2,H2501&gt;=5),"NEW CUSTOMERS",AND(F2501&gt;=6,G2501&lt;=2,H2501&gt;=3),"PROMISING",AND(F2501&gt;=3,G2501&gt;=3,H2501&gt;=3),"NEED ATTENTION",AND(F2501&lt;=4,G2501&gt;=6,H2501&gt;=6),"AT RISK",AND(F2501&lt;=2,G2501&gt;=8,H2501&gt;=8),"CAN'T LOSE THEM",AND(F2501&lt;=2,G2501&lt;=2,H2501&lt;=2),"HIBERNATING",TRUE(),"Other")</f>
        <v>Other</v>
      </c>
      <c r="K2501" s="1" t="n">
        <f aca="false">RANK(E2501,$E$7:$E$4378)+COUNTIF($E$7:E2501,E2501)-1</f>
        <v>3025</v>
      </c>
    </row>
    <row r="2502" customFormat="false" ht="14.25" hidden="false" customHeight="true" outlineLevel="0" collapsed="false">
      <c r="A2502" s="51" t="n">
        <v>15714</v>
      </c>
      <c r="B2502" s="53" t="n">
        <v>40875.4763888889</v>
      </c>
      <c r="C2502" s="57" t="n">
        <f aca="false">INT($C$2)-INT(Table3[[#This Row],[Last Purchase Date]])</f>
        <v>12</v>
      </c>
      <c r="D2502" s="1" t="n">
        <v>2</v>
      </c>
      <c r="E2502" s="1" t="n">
        <v>330.88</v>
      </c>
      <c r="F2502" s="1" t="n">
        <f aca="false">ROUND((1-_xlfn.PERCENTRANK.INC($C$7:$C$4378,C2502))*9,0)</f>
        <v>7</v>
      </c>
      <c r="G2502" s="1" t="n">
        <f aca="false">ROUND(_xlfn.PERCENTRANK.INC($D$7:$D$4378,D2502)*9,0)</f>
        <v>3</v>
      </c>
      <c r="H2502" s="1" t="n">
        <f aca="false">ROUND(_xlfn.PERCENTRANK.INC($E$7:$E$4378,E2502)*9,0)</f>
        <v>3</v>
      </c>
      <c r="I2502" s="1" t="str">
        <f aca="false">CONCATENATE(F2502,G2502,H2502)</f>
        <v>733</v>
      </c>
      <c r="J2502" s="1" t="str">
        <f aca="false">_xlfn.IFS(AND(F2502&gt;=8,G2502&gt;=8,H2502&gt;=8),"CHAMPION",AND(F2502&gt;=6,G2502&gt;=7,H2502&gt;=6),"LOYAL CUSTOMER",AND(F2502&gt;=6,G2502&gt;=5,H2502&gt;=5),"POTENTIAL LOYALIST",AND(F2502&gt;=8,G2502&lt;=2,H2502&gt;=5),"NEW CUSTOMERS",AND(F2502&gt;=6,G2502&lt;=2,H2502&gt;=3),"PROMISING",AND(F2502&gt;=3,G2502&gt;=3,H2502&gt;=3),"NEED ATTENTION",AND(F2502&lt;=4,G2502&gt;=6,H2502&gt;=6),"AT RISK",AND(F2502&lt;=2,G2502&gt;=8,H2502&gt;=8),"CAN'T LOSE THEM",AND(F2502&lt;=2,G2502&lt;=2,H2502&lt;=2),"HIBERNATING",TRUE(),"Other")</f>
        <v>NEED ATTENTION</v>
      </c>
      <c r="K2502" s="1" t="n">
        <f aca="false">RANK(E2502,$E$7:$E$4378)+COUNTIF($E$7:E2502,E2502)-1</f>
        <v>3091</v>
      </c>
    </row>
    <row r="2503" customFormat="false" ht="14.25" hidden="false" customHeight="true" outlineLevel="0" collapsed="false">
      <c r="A2503" s="51" t="n">
        <v>15716</v>
      </c>
      <c r="B2503" s="53" t="n">
        <v>40741.4993055556</v>
      </c>
      <c r="C2503" s="57" t="n">
        <f aca="false">INT($C$2)-INT(Table3[[#This Row],[Last Purchase Date]])</f>
        <v>146</v>
      </c>
      <c r="D2503" s="1" t="n">
        <v>4</v>
      </c>
      <c r="E2503" s="1" t="n">
        <v>1118.81</v>
      </c>
      <c r="F2503" s="1" t="n">
        <f aca="false">ROUND((1-_xlfn.PERCENTRANK.INC($C$7:$C$4378,C2503))*9,0)</f>
        <v>2</v>
      </c>
      <c r="G2503" s="1" t="n">
        <f aca="false">ROUND(_xlfn.PERCENTRANK.INC($D$7:$D$4378,D2503)*9,0)</f>
        <v>5</v>
      </c>
      <c r="H2503" s="1" t="n">
        <f aca="false">ROUND(_xlfn.PERCENTRANK.INC($E$7:$E$4378,E2503)*9,0)</f>
        <v>6</v>
      </c>
      <c r="I2503" s="1" t="str">
        <f aca="false">CONCATENATE(F2503,G2503,H2503)</f>
        <v>256</v>
      </c>
      <c r="J2503" s="1" t="str">
        <f aca="false">_xlfn.IFS(AND(F2503&gt;=8,G2503&gt;=8,H2503&gt;=8),"CHAMPION",AND(F2503&gt;=6,G2503&gt;=7,H2503&gt;=6),"LOYAL CUSTOMER",AND(F2503&gt;=6,G2503&gt;=5,H2503&gt;=5),"POTENTIAL LOYALIST",AND(F2503&gt;=8,G2503&lt;=2,H2503&gt;=5),"NEW CUSTOMERS",AND(F2503&gt;=6,G2503&lt;=2,H2503&gt;=3),"PROMISING",AND(F2503&gt;=3,G2503&gt;=3,H2503&gt;=3),"NEED ATTENTION",AND(F2503&lt;=4,G2503&gt;=6,H2503&gt;=6),"AT RISK",AND(F2503&lt;=2,G2503&gt;=8,H2503&gt;=8),"CAN'T LOSE THEM",AND(F2503&lt;=2,G2503&lt;=2,H2503&lt;=2),"HIBERNATING",TRUE(),"Other")</f>
        <v>Other</v>
      </c>
      <c r="K2503" s="1" t="n">
        <f aca="false">RANK(E2503,$E$7:$E$4378)+COUNTIF($E$7:E2503,E2503)-1</f>
        <v>1491</v>
      </c>
    </row>
    <row r="2504" customFormat="false" ht="14.25" hidden="false" customHeight="true" outlineLevel="0" collapsed="false">
      <c r="A2504" s="51" t="n">
        <v>15717</v>
      </c>
      <c r="B2504" s="53" t="n">
        <v>40652.55625</v>
      </c>
      <c r="C2504" s="57" t="n">
        <f aca="false">INT($C$2)-INT(Table3[[#This Row],[Last Purchase Date]])</f>
        <v>235</v>
      </c>
      <c r="D2504" s="1" t="n">
        <v>1</v>
      </c>
      <c r="E2504" s="1" t="n">
        <v>150.3</v>
      </c>
      <c r="F2504" s="1" t="n">
        <f aca="false">ROUND((1-_xlfn.PERCENTRANK.INC($C$7:$C$4378,C2504))*9,0)</f>
        <v>1</v>
      </c>
      <c r="G2504" s="1" t="n">
        <f aca="false">ROUND(_xlfn.PERCENTRANK.INC($D$7:$D$4378,D2504)*9,0)</f>
        <v>0</v>
      </c>
      <c r="H2504" s="1" t="n">
        <f aca="false">ROUND(_xlfn.PERCENTRANK.INC($E$7:$E$4378,E2504)*9,0)</f>
        <v>1</v>
      </c>
      <c r="I2504" s="1" t="str">
        <f aca="false">CONCATENATE(F2504,G2504,H2504)</f>
        <v>101</v>
      </c>
      <c r="J2504" s="1" t="str">
        <f aca="false">_xlfn.IFS(AND(F2504&gt;=8,G2504&gt;=8,H2504&gt;=8),"CHAMPION",AND(F2504&gt;=6,G2504&gt;=7,H2504&gt;=6),"LOYAL CUSTOMER",AND(F2504&gt;=6,G2504&gt;=5,H2504&gt;=5),"POTENTIAL LOYALIST",AND(F2504&gt;=8,G2504&lt;=2,H2504&gt;=5),"NEW CUSTOMERS",AND(F2504&gt;=6,G2504&lt;=2,H2504&gt;=3),"PROMISING",AND(F2504&gt;=3,G2504&gt;=3,H2504&gt;=3),"NEED ATTENTION",AND(F2504&lt;=4,G2504&gt;=6,H2504&gt;=6),"AT RISK",AND(F2504&lt;=2,G2504&gt;=8,H2504&gt;=8),"CAN'T LOSE THEM",AND(F2504&lt;=2,G2504&lt;=2,H2504&lt;=2),"HIBERNATING",TRUE(),"Other")</f>
        <v>HIBERNATING</v>
      </c>
      <c r="K2504" s="1" t="n">
        <f aca="false">RANK(E2504,$E$7:$E$4378)+COUNTIF($E$7:E2504,E2504)-1</f>
        <v>3917</v>
      </c>
    </row>
    <row r="2505" customFormat="false" ht="14.25" hidden="false" customHeight="true" outlineLevel="0" collapsed="false">
      <c r="A2505" s="51" t="n">
        <v>15719</v>
      </c>
      <c r="B2505" s="53" t="n">
        <v>40854.5201388889</v>
      </c>
      <c r="C2505" s="57" t="n">
        <f aca="false">INT($C$2)-INT(Table3[[#This Row],[Last Purchase Date]])</f>
        <v>33</v>
      </c>
      <c r="D2505" s="1" t="n">
        <v>14</v>
      </c>
      <c r="E2505" s="1" t="n">
        <v>5043.96</v>
      </c>
      <c r="F2505" s="1" t="n">
        <f aca="false">ROUND((1-_xlfn.PERCENTRANK.INC($C$7:$C$4378,C2505))*9,0)</f>
        <v>5</v>
      </c>
      <c r="G2505" s="1" t="n">
        <f aca="false">ROUND(_xlfn.PERCENTRANK.INC($D$7:$D$4378,D2505)*9,0)</f>
        <v>8</v>
      </c>
      <c r="H2505" s="1" t="n">
        <f aca="false">ROUND(_xlfn.PERCENTRANK.INC($E$7:$E$4378,E2505)*9,0)</f>
        <v>8</v>
      </c>
      <c r="I2505" s="1" t="str">
        <f aca="false">CONCATENATE(F2505,G2505,H2505)</f>
        <v>588</v>
      </c>
      <c r="J2505" s="1" t="str">
        <f aca="false">_xlfn.IFS(AND(F2505&gt;=8,G2505&gt;=8,H2505&gt;=8),"CHAMPION",AND(F2505&gt;=6,G2505&gt;=7,H2505&gt;=6),"LOYAL CUSTOMER",AND(F2505&gt;=6,G2505&gt;=5,H2505&gt;=5),"POTENTIAL LOYALIST",AND(F2505&gt;=8,G2505&lt;=2,H2505&gt;=5),"NEW CUSTOMERS",AND(F2505&gt;=6,G2505&lt;=2,H2505&gt;=3),"PROMISING",AND(F2505&gt;=3,G2505&gt;=3,H2505&gt;=3),"NEED ATTENTION",AND(F2505&lt;=4,G2505&gt;=6,H2505&gt;=6),"AT RISK",AND(F2505&lt;=2,G2505&gt;=8,H2505&gt;=8),"CAN'T LOSE THEM",AND(F2505&lt;=2,G2505&lt;=2,H2505&lt;=2),"HIBERNATING",TRUE(),"Other")</f>
        <v>NEED ATTENTION</v>
      </c>
      <c r="K2505" s="1" t="n">
        <f aca="false">RANK(E2505,$E$7:$E$4378)+COUNTIF($E$7:E2505,E2505)-1</f>
        <v>258</v>
      </c>
    </row>
    <row r="2506" customFormat="false" ht="14.25" hidden="false" customHeight="true" outlineLevel="0" collapsed="false">
      <c r="A2506" s="51" t="n">
        <v>15720</v>
      </c>
      <c r="B2506" s="53" t="n">
        <v>40862.6166666667</v>
      </c>
      <c r="C2506" s="57" t="n">
        <f aca="false">INT($C$2)-INT(Table3[[#This Row],[Last Purchase Date]])</f>
        <v>25</v>
      </c>
      <c r="D2506" s="1" t="n">
        <v>1</v>
      </c>
      <c r="E2506" s="1" t="n">
        <v>598.73</v>
      </c>
      <c r="F2506" s="1" t="n">
        <f aca="false">ROUND((1-_xlfn.PERCENTRANK.INC($C$7:$C$4378,C2506))*9,0)</f>
        <v>6</v>
      </c>
      <c r="G2506" s="1" t="n">
        <f aca="false">ROUND(_xlfn.PERCENTRANK.INC($D$7:$D$4378,D2506)*9,0)</f>
        <v>0</v>
      </c>
      <c r="H2506" s="1" t="n">
        <f aca="false">ROUND(_xlfn.PERCENTRANK.INC($E$7:$E$4378,E2506)*9,0)</f>
        <v>4</v>
      </c>
      <c r="I2506" s="1" t="str">
        <f aca="false">CONCATENATE(F2506,G2506,H2506)</f>
        <v>604</v>
      </c>
      <c r="J2506" s="1" t="str">
        <f aca="false">_xlfn.IFS(AND(F2506&gt;=8,G2506&gt;=8,H2506&gt;=8),"CHAMPION",AND(F2506&gt;=6,G2506&gt;=7,H2506&gt;=6),"LOYAL CUSTOMER",AND(F2506&gt;=6,G2506&gt;=5,H2506&gt;=5),"POTENTIAL LOYALIST",AND(F2506&gt;=8,G2506&lt;=2,H2506&gt;=5),"NEW CUSTOMERS",AND(F2506&gt;=6,G2506&lt;=2,H2506&gt;=3),"PROMISING",AND(F2506&gt;=3,G2506&gt;=3,H2506&gt;=3),"NEED ATTENTION",AND(F2506&lt;=4,G2506&gt;=6,H2506&gt;=6),"AT RISK",AND(F2506&lt;=2,G2506&gt;=8,H2506&gt;=8),"CAN'T LOSE THEM",AND(F2506&lt;=2,G2506&lt;=2,H2506&lt;=2),"HIBERNATING",TRUE(),"Other")</f>
        <v>PROMISING</v>
      </c>
      <c r="K2506" s="1" t="n">
        <f aca="false">RANK(E2506,$E$7:$E$4378)+COUNTIF($E$7:E2506,E2506)-1</f>
        <v>2325</v>
      </c>
    </row>
    <row r="2507" customFormat="false" ht="14.25" hidden="false" customHeight="true" outlineLevel="0" collapsed="false">
      <c r="A2507" s="51" t="n">
        <v>15721</v>
      </c>
      <c r="B2507" s="53" t="n">
        <v>40875.5097222222</v>
      </c>
      <c r="C2507" s="57" t="n">
        <f aca="false">INT($C$2)-INT(Table3[[#This Row],[Last Purchase Date]])</f>
        <v>12</v>
      </c>
      <c r="D2507" s="1" t="n">
        <v>1</v>
      </c>
      <c r="E2507" s="1" t="n">
        <v>507.08</v>
      </c>
      <c r="F2507" s="1" t="n">
        <f aca="false">ROUND((1-_xlfn.PERCENTRANK.INC($C$7:$C$4378,C2507))*9,0)</f>
        <v>7</v>
      </c>
      <c r="G2507" s="1" t="n">
        <f aca="false">ROUND(_xlfn.PERCENTRANK.INC($D$7:$D$4378,D2507)*9,0)</f>
        <v>0</v>
      </c>
      <c r="H2507" s="1" t="n">
        <f aca="false">ROUND(_xlfn.PERCENTRANK.INC($E$7:$E$4378,E2507)*9,0)</f>
        <v>4</v>
      </c>
      <c r="I2507" s="1" t="str">
        <f aca="false">CONCATENATE(F2507,G2507,H2507)</f>
        <v>704</v>
      </c>
      <c r="J2507" s="1" t="str">
        <f aca="false">_xlfn.IFS(AND(F2507&gt;=8,G2507&gt;=8,H2507&gt;=8),"CHAMPION",AND(F2507&gt;=6,G2507&gt;=7,H2507&gt;=6),"LOYAL CUSTOMER",AND(F2507&gt;=6,G2507&gt;=5,H2507&gt;=5),"POTENTIAL LOYALIST",AND(F2507&gt;=8,G2507&lt;=2,H2507&gt;=5),"NEW CUSTOMERS",AND(F2507&gt;=6,G2507&lt;=2,H2507&gt;=3),"PROMISING",AND(F2507&gt;=3,G2507&gt;=3,H2507&gt;=3),"NEED ATTENTION",AND(F2507&lt;=4,G2507&gt;=6,H2507&gt;=6),"AT RISK",AND(F2507&lt;=2,G2507&gt;=8,H2507&gt;=8),"CAN'T LOSE THEM",AND(F2507&lt;=2,G2507&lt;=2,H2507&lt;=2),"HIBERNATING",TRUE(),"Other")</f>
        <v>PROMISING</v>
      </c>
      <c r="K2507" s="1" t="n">
        <f aca="false">RANK(E2507,$E$7:$E$4378)+COUNTIF($E$7:E2507,E2507)-1</f>
        <v>2526</v>
      </c>
    </row>
    <row r="2508" customFormat="false" ht="14.25" hidden="false" customHeight="true" outlineLevel="0" collapsed="false">
      <c r="A2508" s="51" t="n">
        <v>15722</v>
      </c>
      <c r="B2508" s="53" t="n">
        <v>40851.4881944444</v>
      </c>
      <c r="C2508" s="57" t="n">
        <f aca="false">INT($C$2)-INT(Table3[[#This Row],[Last Purchase Date]])</f>
        <v>36</v>
      </c>
      <c r="D2508" s="1" t="n">
        <v>6</v>
      </c>
      <c r="E2508" s="1" t="n">
        <v>2181.21</v>
      </c>
      <c r="F2508" s="1" t="n">
        <f aca="false">ROUND((1-_xlfn.PERCENTRANK.INC($C$7:$C$4378,C2508))*9,0)</f>
        <v>5</v>
      </c>
      <c r="G2508" s="1" t="n">
        <f aca="false">ROUND(_xlfn.PERCENTRANK.INC($D$7:$D$4378,D2508)*9,0)</f>
        <v>7</v>
      </c>
      <c r="H2508" s="1" t="n">
        <f aca="false">ROUND(_xlfn.PERCENTRANK.INC($E$7:$E$4378,E2508)*9,0)</f>
        <v>7</v>
      </c>
      <c r="I2508" s="1" t="str">
        <f aca="false">CONCATENATE(F2508,G2508,H2508)</f>
        <v>577</v>
      </c>
      <c r="J2508" s="1" t="str">
        <f aca="false">_xlfn.IFS(AND(F2508&gt;=8,G2508&gt;=8,H2508&gt;=8),"CHAMPION",AND(F2508&gt;=6,G2508&gt;=7,H2508&gt;=6),"LOYAL CUSTOMER",AND(F2508&gt;=6,G2508&gt;=5,H2508&gt;=5),"POTENTIAL LOYALIST",AND(F2508&gt;=8,G2508&lt;=2,H2508&gt;=5),"NEW CUSTOMERS",AND(F2508&gt;=6,G2508&lt;=2,H2508&gt;=3),"PROMISING",AND(F2508&gt;=3,G2508&gt;=3,H2508&gt;=3),"NEED ATTENTION",AND(F2508&lt;=4,G2508&gt;=6,H2508&gt;=6),"AT RISK",AND(F2508&lt;=2,G2508&gt;=8,H2508&gt;=8),"CAN'T LOSE THEM",AND(F2508&lt;=2,G2508&lt;=2,H2508&lt;=2),"HIBERNATING",TRUE(),"Other")</f>
        <v>NEED ATTENTION</v>
      </c>
      <c r="K2508" s="1" t="n">
        <f aca="false">RANK(E2508,$E$7:$E$4378)+COUNTIF($E$7:E2508,E2508)-1</f>
        <v>793</v>
      </c>
    </row>
    <row r="2509" customFormat="false" ht="14.25" hidden="false" customHeight="true" outlineLevel="0" collapsed="false">
      <c r="A2509" s="51" t="n">
        <v>15723</v>
      </c>
      <c r="B2509" s="53" t="n">
        <v>40522.4666666667</v>
      </c>
      <c r="C2509" s="57" t="n">
        <f aca="false">INT($C$2)-INT(Table3[[#This Row],[Last Purchase Date]])</f>
        <v>365</v>
      </c>
      <c r="D2509" s="1" t="n">
        <v>1</v>
      </c>
      <c r="E2509" s="1" t="n">
        <v>203.1</v>
      </c>
      <c r="F2509" s="1" t="n">
        <f aca="false">ROUND((1-_xlfn.PERCENTRANK.INC($C$7:$C$4378,C2509))*9,0)</f>
        <v>0</v>
      </c>
      <c r="G2509" s="1" t="n">
        <f aca="false">ROUND(_xlfn.PERCENTRANK.INC($D$7:$D$4378,D2509)*9,0)</f>
        <v>0</v>
      </c>
      <c r="H2509" s="1" t="n">
        <f aca="false">ROUND(_xlfn.PERCENTRANK.INC($E$7:$E$4378,E2509)*9,0)</f>
        <v>1</v>
      </c>
      <c r="I2509" s="1" t="str">
        <f aca="false">CONCATENATE(F2509,G2509,H2509)</f>
        <v>001</v>
      </c>
      <c r="J2509" s="1" t="str">
        <f aca="false">_xlfn.IFS(AND(F2509&gt;=8,G2509&gt;=8,H2509&gt;=8),"CHAMPION",AND(F2509&gt;=6,G2509&gt;=7,H2509&gt;=6),"LOYAL CUSTOMER",AND(F2509&gt;=6,G2509&gt;=5,H2509&gt;=5),"POTENTIAL LOYALIST",AND(F2509&gt;=8,G2509&lt;=2,H2509&gt;=5),"NEW CUSTOMERS",AND(F2509&gt;=6,G2509&lt;=2,H2509&gt;=3),"PROMISING",AND(F2509&gt;=3,G2509&gt;=3,H2509&gt;=3),"NEED ATTENTION",AND(F2509&lt;=4,G2509&gt;=6,H2509&gt;=6),"AT RISK",AND(F2509&lt;=2,G2509&gt;=8,H2509&gt;=8),"CAN'T LOSE THEM",AND(F2509&lt;=2,G2509&lt;=2,H2509&lt;=2),"HIBERNATING",TRUE(),"Other")</f>
        <v>HIBERNATING</v>
      </c>
      <c r="K2509" s="1" t="n">
        <f aca="false">RANK(E2509,$E$7:$E$4378)+COUNTIF($E$7:E2509,E2509)-1</f>
        <v>3648</v>
      </c>
    </row>
    <row r="2510" customFormat="false" ht="14.25" hidden="false" customHeight="true" outlineLevel="0" collapsed="false">
      <c r="A2510" s="51" t="n">
        <v>15724</v>
      </c>
      <c r="B2510" s="53" t="n">
        <v>40685.6111111111</v>
      </c>
      <c r="C2510" s="57" t="n">
        <f aca="false">INT($C$2)-INT(Table3[[#This Row],[Last Purchase Date]])</f>
        <v>202</v>
      </c>
      <c r="D2510" s="1" t="n">
        <v>3</v>
      </c>
      <c r="E2510" s="1" t="n">
        <v>212.3</v>
      </c>
      <c r="F2510" s="1" t="n">
        <f aca="false">ROUND((1-_xlfn.PERCENTRANK.INC($C$7:$C$4378,C2510))*9,0)</f>
        <v>2</v>
      </c>
      <c r="G2510" s="1" t="n">
        <f aca="false">ROUND(_xlfn.PERCENTRANK.INC($D$7:$D$4378,D2510)*9,0)</f>
        <v>4</v>
      </c>
      <c r="H2510" s="1" t="n">
        <f aca="false">ROUND(_xlfn.PERCENTRANK.INC($E$7:$E$4378,E2510)*9,0)</f>
        <v>2</v>
      </c>
      <c r="I2510" s="1" t="str">
        <f aca="false">CONCATENATE(F2510,G2510,H2510)</f>
        <v>242</v>
      </c>
      <c r="J2510" s="1" t="str">
        <f aca="false">_xlfn.IFS(AND(F2510&gt;=8,G2510&gt;=8,H2510&gt;=8),"CHAMPION",AND(F2510&gt;=6,G2510&gt;=7,H2510&gt;=6),"LOYAL CUSTOMER",AND(F2510&gt;=6,G2510&gt;=5,H2510&gt;=5),"POTENTIAL LOYALIST",AND(F2510&gt;=8,G2510&lt;=2,H2510&gt;=5),"NEW CUSTOMERS",AND(F2510&gt;=6,G2510&lt;=2,H2510&gt;=3),"PROMISING",AND(F2510&gt;=3,G2510&gt;=3,H2510&gt;=3),"NEED ATTENTION",AND(F2510&lt;=4,G2510&gt;=6,H2510&gt;=6),"AT RISK",AND(F2510&lt;=2,G2510&gt;=8,H2510&gt;=8),"CAN'T LOSE THEM",AND(F2510&lt;=2,G2510&lt;=2,H2510&lt;=2),"HIBERNATING",TRUE(),"Other")</f>
        <v>Other</v>
      </c>
      <c r="K2510" s="1" t="n">
        <f aca="false">RANK(E2510,$E$7:$E$4378)+COUNTIF($E$7:E2510,E2510)-1</f>
        <v>3607</v>
      </c>
    </row>
    <row r="2511" customFormat="false" ht="14.25" hidden="false" customHeight="true" outlineLevel="0" collapsed="false">
      <c r="A2511" s="51" t="n">
        <v>15725</v>
      </c>
      <c r="B2511" s="53" t="n">
        <v>40871.61875</v>
      </c>
      <c r="C2511" s="57" t="n">
        <f aca="false">INT($C$2)-INT(Table3[[#This Row],[Last Purchase Date]])</f>
        <v>16</v>
      </c>
      <c r="D2511" s="1" t="n">
        <v>1</v>
      </c>
      <c r="E2511" s="1" t="n">
        <v>415.25</v>
      </c>
      <c r="F2511" s="1" t="n">
        <f aca="false">ROUND((1-_xlfn.PERCENTRANK.INC($C$7:$C$4378,C2511))*9,0)</f>
        <v>7</v>
      </c>
      <c r="G2511" s="1" t="n">
        <f aca="false">ROUND(_xlfn.PERCENTRANK.INC($D$7:$D$4378,D2511)*9,0)</f>
        <v>0</v>
      </c>
      <c r="H2511" s="1" t="n">
        <f aca="false">ROUND(_xlfn.PERCENTRANK.INC($E$7:$E$4378,E2511)*9,0)</f>
        <v>3</v>
      </c>
      <c r="I2511" s="1" t="str">
        <f aca="false">CONCATENATE(F2511,G2511,H2511)</f>
        <v>703</v>
      </c>
      <c r="J2511" s="1" t="str">
        <f aca="false">_xlfn.IFS(AND(F2511&gt;=8,G2511&gt;=8,H2511&gt;=8),"CHAMPION",AND(F2511&gt;=6,G2511&gt;=7,H2511&gt;=6),"LOYAL CUSTOMER",AND(F2511&gt;=6,G2511&gt;=5,H2511&gt;=5),"POTENTIAL LOYALIST",AND(F2511&gt;=8,G2511&lt;=2,H2511&gt;=5),"NEW CUSTOMERS",AND(F2511&gt;=6,G2511&lt;=2,H2511&gt;=3),"PROMISING",AND(F2511&gt;=3,G2511&gt;=3,H2511&gt;=3),"NEED ATTENTION",AND(F2511&lt;=4,G2511&gt;=6,H2511&gt;=6),"AT RISK",AND(F2511&lt;=2,G2511&gt;=8,H2511&gt;=8),"CAN'T LOSE THEM",AND(F2511&lt;=2,G2511&lt;=2,H2511&lt;=2),"HIBERNATING",TRUE(),"Other")</f>
        <v>PROMISING</v>
      </c>
      <c r="K2511" s="1" t="n">
        <f aca="false">RANK(E2511,$E$7:$E$4378)+COUNTIF($E$7:E2511,E2511)-1</f>
        <v>2771</v>
      </c>
    </row>
    <row r="2512" customFormat="false" ht="14.25" hidden="false" customHeight="true" outlineLevel="0" collapsed="false">
      <c r="A2512" s="51" t="n">
        <v>15727</v>
      </c>
      <c r="B2512" s="53" t="n">
        <v>40870.525</v>
      </c>
      <c r="C2512" s="57" t="n">
        <f aca="false">INT($C$2)-INT(Table3[[#This Row],[Last Purchase Date]])</f>
        <v>17</v>
      </c>
      <c r="D2512" s="1" t="n">
        <v>7</v>
      </c>
      <c r="E2512" s="1" t="n">
        <v>5178.96</v>
      </c>
      <c r="F2512" s="1" t="n">
        <f aca="false">ROUND((1-_xlfn.PERCENTRANK.INC($C$7:$C$4378,C2512))*9,0)</f>
        <v>7</v>
      </c>
      <c r="G2512" s="1" t="n">
        <f aca="false">ROUND(_xlfn.PERCENTRANK.INC($D$7:$D$4378,D2512)*9,0)</f>
        <v>7</v>
      </c>
      <c r="H2512" s="1" t="n">
        <f aca="false">ROUND(_xlfn.PERCENTRANK.INC($E$7:$E$4378,E2512)*9,0)</f>
        <v>8</v>
      </c>
      <c r="I2512" s="1" t="str">
        <f aca="false">CONCATENATE(F2512,G2512,H2512)</f>
        <v>778</v>
      </c>
      <c r="J2512" s="1" t="str">
        <f aca="false">_xlfn.IFS(AND(F2512&gt;=8,G2512&gt;=8,H2512&gt;=8),"CHAMPION",AND(F2512&gt;=6,G2512&gt;=7,H2512&gt;=6),"LOYAL CUSTOMER",AND(F2512&gt;=6,G2512&gt;=5,H2512&gt;=5),"POTENTIAL LOYALIST",AND(F2512&gt;=8,G2512&lt;=2,H2512&gt;=5),"NEW CUSTOMERS",AND(F2512&gt;=6,G2512&lt;=2,H2512&gt;=3),"PROMISING",AND(F2512&gt;=3,G2512&gt;=3,H2512&gt;=3),"NEED ATTENTION",AND(F2512&lt;=4,G2512&gt;=6,H2512&gt;=6),"AT RISK",AND(F2512&lt;=2,G2512&gt;=8,H2512&gt;=8),"CAN'T LOSE THEM",AND(F2512&lt;=2,G2512&lt;=2,H2512&lt;=2),"HIBERNATING",TRUE(),"Other")</f>
        <v>LOYAL CUSTOMER</v>
      </c>
      <c r="K2512" s="1" t="n">
        <f aca="false">RANK(E2512,$E$7:$E$4378)+COUNTIF($E$7:E2512,E2512)-1</f>
        <v>245</v>
      </c>
    </row>
    <row r="2513" customFormat="false" ht="14.25" hidden="false" customHeight="true" outlineLevel="0" collapsed="false">
      <c r="A2513" s="51" t="n">
        <v>15728</v>
      </c>
      <c r="B2513" s="53" t="n">
        <v>40837.5854166667</v>
      </c>
      <c r="C2513" s="57" t="n">
        <f aca="false">INT($C$2)-INT(Table3[[#This Row],[Last Purchase Date]])</f>
        <v>50</v>
      </c>
      <c r="D2513" s="1" t="n">
        <v>1</v>
      </c>
      <c r="E2513" s="1" t="n">
        <v>-134.8</v>
      </c>
      <c r="F2513" s="1" t="n">
        <f aca="false">ROUND((1-_xlfn.PERCENTRANK.INC($C$7:$C$4378,C2513))*9,0)</f>
        <v>5</v>
      </c>
      <c r="G2513" s="1" t="n">
        <f aca="false">ROUND(_xlfn.PERCENTRANK.INC($D$7:$D$4378,D2513)*9,0)</f>
        <v>0</v>
      </c>
      <c r="H2513" s="1" t="n">
        <f aca="false">ROUND(_xlfn.PERCENTRANK.INC($E$7:$E$4378,E2513)*9,0)</f>
        <v>0</v>
      </c>
      <c r="I2513" s="1" t="str">
        <f aca="false">CONCATENATE(F2513,G2513,H2513)</f>
        <v>500</v>
      </c>
      <c r="J2513" s="1" t="str">
        <f aca="false">_xlfn.IFS(AND(F2513&gt;=8,G2513&gt;=8,H2513&gt;=8),"CHAMPION",AND(F2513&gt;=6,G2513&gt;=7,H2513&gt;=6),"LOYAL CUSTOMER",AND(F2513&gt;=6,G2513&gt;=5,H2513&gt;=5),"POTENTIAL LOYALIST",AND(F2513&gt;=8,G2513&lt;=2,H2513&gt;=5),"NEW CUSTOMERS",AND(F2513&gt;=6,G2513&lt;=2,H2513&gt;=3),"PROMISING",AND(F2513&gt;=3,G2513&gt;=3,H2513&gt;=3),"NEED ATTENTION",AND(F2513&lt;=4,G2513&gt;=6,H2513&gt;=6),"AT RISK",AND(F2513&lt;=2,G2513&gt;=8,H2513&gt;=8),"CAN'T LOSE THEM",AND(F2513&lt;=2,G2513&lt;=2,H2513&lt;=2),"HIBERNATING",TRUE(),"Other")</f>
        <v>Other</v>
      </c>
      <c r="K2513" s="1" t="n">
        <f aca="false">RANK(E2513,$E$7:$E$4378)+COUNTIF($E$7:E2513,E2513)-1</f>
        <v>4360</v>
      </c>
    </row>
    <row r="2514" customFormat="false" ht="14.25" hidden="false" customHeight="true" outlineLevel="0" collapsed="false">
      <c r="A2514" s="51" t="n">
        <v>15729</v>
      </c>
      <c r="B2514" s="53" t="n">
        <v>40688.6965277778</v>
      </c>
      <c r="C2514" s="57" t="n">
        <f aca="false">INT($C$2)-INT(Table3[[#This Row],[Last Purchase Date]])</f>
        <v>199</v>
      </c>
      <c r="D2514" s="1" t="n">
        <v>2</v>
      </c>
      <c r="E2514" s="1" t="n">
        <v>62</v>
      </c>
      <c r="F2514" s="1" t="n">
        <f aca="false">ROUND((1-_xlfn.PERCENTRANK.INC($C$7:$C$4378,C2514))*9,0)</f>
        <v>2</v>
      </c>
      <c r="G2514" s="1" t="n">
        <f aca="false">ROUND(_xlfn.PERCENTRANK.INC($D$7:$D$4378,D2514)*9,0)</f>
        <v>3</v>
      </c>
      <c r="H2514" s="1" t="n">
        <f aca="false">ROUND(_xlfn.PERCENTRANK.INC($E$7:$E$4378,E2514)*9,0)</f>
        <v>0</v>
      </c>
      <c r="I2514" s="1" t="str">
        <f aca="false">CONCATENATE(F2514,G2514,H2514)</f>
        <v>230</v>
      </c>
      <c r="J2514" s="1" t="str">
        <f aca="false">_xlfn.IFS(AND(F2514&gt;=8,G2514&gt;=8,H2514&gt;=8),"CHAMPION",AND(F2514&gt;=6,G2514&gt;=7,H2514&gt;=6),"LOYAL CUSTOMER",AND(F2514&gt;=6,G2514&gt;=5,H2514&gt;=5),"POTENTIAL LOYALIST",AND(F2514&gt;=8,G2514&lt;=2,H2514&gt;=5),"NEW CUSTOMERS",AND(F2514&gt;=6,G2514&lt;=2,H2514&gt;=3),"PROMISING",AND(F2514&gt;=3,G2514&gt;=3,H2514&gt;=3),"NEED ATTENTION",AND(F2514&lt;=4,G2514&gt;=6,H2514&gt;=6),"AT RISK",AND(F2514&lt;=2,G2514&gt;=8,H2514&gt;=8),"CAN'T LOSE THEM",AND(F2514&lt;=2,G2514&lt;=2,H2514&lt;=2),"HIBERNATING",TRUE(),"Other")</f>
        <v>Other</v>
      </c>
      <c r="K2514" s="1" t="n">
        <f aca="false">RANK(E2514,$E$7:$E$4378)+COUNTIF($E$7:E2514,E2514)-1</f>
        <v>4261</v>
      </c>
    </row>
    <row r="2515" customFormat="false" ht="14.25" hidden="false" customHeight="true" outlineLevel="0" collapsed="false">
      <c r="A2515" s="51" t="n">
        <v>15730</v>
      </c>
      <c r="B2515" s="53" t="n">
        <v>40821.5215277778</v>
      </c>
      <c r="C2515" s="57" t="n">
        <f aca="false">INT($C$2)-INT(Table3[[#This Row],[Last Purchase Date]])</f>
        <v>66</v>
      </c>
      <c r="D2515" s="1" t="n">
        <v>4</v>
      </c>
      <c r="E2515" s="1" t="n">
        <v>1108.38</v>
      </c>
      <c r="F2515" s="1" t="n">
        <f aca="false">ROUND((1-_xlfn.PERCENTRANK.INC($C$7:$C$4378,C2515))*9,0)</f>
        <v>4</v>
      </c>
      <c r="G2515" s="1" t="n">
        <f aca="false">ROUND(_xlfn.PERCENTRANK.INC($D$7:$D$4378,D2515)*9,0)</f>
        <v>5</v>
      </c>
      <c r="H2515" s="1" t="n">
        <f aca="false">ROUND(_xlfn.PERCENTRANK.INC($E$7:$E$4378,E2515)*9,0)</f>
        <v>6</v>
      </c>
      <c r="I2515" s="1" t="str">
        <f aca="false">CONCATENATE(F2515,G2515,H2515)</f>
        <v>456</v>
      </c>
      <c r="J2515" s="1" t="str">
        <f aca="false">_xlfn.IFS(AND(F2515&gt;=8,G2515&gt;=8,H2515&gt;=8),"CHAMPION",AND(F2515&gt;=6,G2515&gt;=7,H2515&gt;=6),"LOYAL CUSTOMER",AND(F2515&gt;=6,G2515&gt;=5,H2515&gt;=5),"POTENTIAL LOYALIST",AND(F2515&gt;=8,G2515&lt;=2,H2515&gt;=5),"NEW CUSTOMERS",AND(F2515&gt;=6,G2515&lt;=2,H2515&gt;=3),"PROMISING",AND(F2515&gt;=3,G2515&gt;=3,H2515&gt;=3),"NEED ATTENTION",AND(F2515&lt;=4,G2515&gt;=6,H2515&gt;=6),"AT RISK",AND(F2515&lt;=2,G2515&gt;=8,H2515&gt;=8),"CAN'T LOSE THEM",AND(F2515&lt;=2,G2515&lt;=2,H2515&lt;=2),"HIBERNATING",TRUE(),"Other")</f>
        <v>NEED ATTENTION</v>
      </c>
      <c r="K2515" s="1" t="n">
        <f aca="false">RANK(E2515,$E$7:$E$4378)+COUNTIF($E$7:E2515,E2515)-1</f>
        <v>1501</v>
      </c>
    </row>
    <row r="2516" customFormat="false" ht="14.25" hidden="false" customHeight="true" outlineLevel="0" collapsed="false">
      <c r="A2516" s="51" t="n">
        <v>15732</v>
      </c>
      <c r="B2516" s="53" t="n">
        <v>40674.6</v>
      </c>
      <c r="C2516" s="57" t="n">
        <f aca="false">INT($C$2)-INT(Table3[[#This Row],[Last Purchase Date]])</f>
        <v>213</v>
      </c>
      <c r="D2516" s="1" t="n">
        <v>2</v>
      </c>
      <c r="E2516" s="1" t="n">
        <v>294.12</v>
      </c>
      <c r="F2516" s="1" t="n">
        <f aca="false">ROUND((1-_xlfn.PERCENTRANK.INC($C$7:$C$4378,C2516))*9,0)</f>
        <v>1</v>
      </c>
      <c r="G2516" s="1" t="n">
        <f aca="false">ROUND(_xlfn.PERCENTRANK.INC($D$7:$D$4378,D2516)*9,0)</f>
        <v>3</v>
      </c>
      <c r="H2516" s="1" t="n">
        <f aca="false">ROUND(_xlfn.PERCENTRANK.INC($E$7:$E$4378,E2516)*9,0)</f>
        <v>2</v>
      </c>
      <c r="I2516" s="1" t="str">
        <f aca="false">CONCATENATE(F2516,G2516,H2516)</f>
        <v>132</v>
      </c>
      <c r="J2516" s="1" t="str">
        <f aca="false">_xlfn.IFS(AND(F2516&gt;=8,G2516&gt;=8,H2516&gt;=8),"CHAMPION",AND(F2516&gt;=6,G2516&gt;=7,H2516&gt;=6),"LOYAL CUSTOMER",AND(F2516&gt;=6,G2516&gt;=5,H2516&gt;=5),"POTENTIAL LOYALIST",AND(F2516&gt;=8,G2516&lt;=2,H2516&gt;=5),"NEW CUSTOMERS",AND(F2516&gt;=6,G2516&lt;=2,H2516&gt;=3),"PROMISING",AND(F2516&gt;=3,G2516&gt;=3,H2516&gt;=3),"NEED ATTENTION",AND(F2516&lt;=4,G2516&gt;=6,H2516&gt;=6),"AT RISK",AND(F2516&lt;=2,G2516&gt;=8,H2516&gt;=8),"CAN'T LOSE THEM",AND(F2516&lt;=2,G2516&lt;=2,H2516&lt;=2),"HIBERNATING",TRUE(),"Other")</f>
        <v>Other</v>
      </c>
      <c r="K2516" s="1" t="n">
        <f aca="false">RANK(E2516,$E$7:$E$4378)+COUNTIF($E$7:E2516,E2516)-1</f>
        <v>3278</v>
      </c>
    </row>
    <row r="2517" customFormat="false" ht="14.25" hidden="false" customHeight="true" outlineLevel="0" collapsed="false">
      <c r="A2517" s="51" t="n">
        <v>15733</v>
      </c>
      <c r="B2517" s="53" t="n">
        <v>40604.3784722222</v>
      </c>
      <c r="C2517" s="57" t="n">
        <f aca="false">INT($C$2)-INT(Table3[[#This Row],[Last Purchase Date]])</f>
        <v>283</v>
      </c>
      <c r="D2517" s="1" t="n">
        <v>1</v>
      </c>
      <c r="E2517" s="1" t="n">
        <v>162.3</v>
      </c>
      <c r="F2517" s="1" t="n">
        <f aca="false">ROUND((1-_xlfn.PERCENTRANK.INC($C$7:$C$4378,C2517))*9,0)</f>
        <v>1</v>
      </c>
      <c r="G2517" s="1" t="n">
        <f aca="false">ROUND(_xlfn.PERCENTRANK.INC($D$7:$D$4378,D2517)*9,0)</f>
        <v>0</v>
      </c>
      <c r="H2517" s="1" t="n">
        <f aca="false">ROUND(_xlfn.PERCENTRANK.INC($E$7:$E$4378,E2517)*9,0)</f>
        <v>1</v>
      </c>
      <c r="I2517" s="1" t="str">
        <f aca="false">CONCATENATE(F2517,G2517,H2517)</f>
        <v>101</v>
      </c>
      <c r="J2517" s="1" t="str">
        <f aca="false">_xlfn.IFS(AND(F2517&gt;=8,G2517&gt;=8,H2517&gt;=8),"CHAMPION",AND(F2517&gt;=6,G2517&gt;=7,H2517&gt;=6),"LOYAL CUSTOMER",AND(F2517&gt;=6,G2517&gt;=5,H2517&gt;=5),"POTENTIAL LOYALIST",AND(F2517&gt;=8,G2517&lt;=2,H2517&gt;=5),"NEW CUSTOMERS",AND(F2517&gt;=6,G2517&lt;=2,H2517&gt;=3),"PROMISING",AND(F2517&gt;=3,G2517&gt;=3,H2517&gt;=3),"NEED ATTENTION",AND(F2517&lt;=4,G2517&gt;=6,H2517&gt;=6),"AT RISK",AND(F2517&lt;=2,G2517&gt;=8,H2517&gt;=8),"CAN'T LOSE THEM",AND(F2517&lt;=2,G2517&lt;=2,H2517&lt;=2),"HIBERNATING",TRUE(),"Other")</f>
        <v>HIBERNATING</v>
      </c>
      <c r="K2517" s="1" t="n">
        <f aca="false">RANK(E2517,$E$7:$E$4378)+COUNTIF($E$7:E2517,E2517)-1</f>
        <v>3844</v>
      </c>
    </row>
    <row r="2518" customFormat="false" ht="14.25" hidden="false" customHeight="true" outlineLevel="0" collapsed="false">
      <c r="A2518" s="51" t="n">
        <v>15734</v>
      </c>
      <c r="B2518" s="53" t="n">
        <v>40772.4513888889</v>
      </c>
      <c r="C2518" s="57" t="n">
        <f aca="false">INT($C$2)-INT(Table3[[#This Row],[Last Purchase Date]])</f>
        <v>115</v>
      </c>
      <c r="D2518" s="1" t="n">
        <v>2</v>
      </c>
      <c r="E2518" s="1" t="n">
        <v>1339.45</v>
      </c>
      <c r="F2518" s="1" t="n">
        <f aca="false">ROUND((1-_xlfn.PERCENTRANK.INC($C$7:$C$4378,C2518))*9,0)</f>
        <v>3</v>
      </c>
      <c r="G2518" s="1" t="n">
        <f aca="false">ROUND(_xlfn.PERCENTRANK.INC($D$7:$D$4378,D2518)*9,0)</f>
        <v>3</v>
      </c>
      <c r="H2518" s="1" t="n">
        <f aca="false">ROUND(_xlfn.PERCENTRANK.INC($E$7:$E$4378,E2518)*9,0)</f>
        <v>6</v>
      </c>
      <c r="I2518" s="1" t="str">
        <f aca="false">CONCATENATE(F2518,G2518,H2518)</f>
        <v>336</v>
      </c>
      <c r="J2518" s="1" t="str">
        <f aca="false">_xlfn.IFS(AND(F2518&gt;=8,G2518&gt;=8,H2518&gt;=8),"CHAMPION",AND(F2518&gt;=6,G2518&gt;=7,H2518&gt;=6),"LOYAL CUSTOMER",AND(F2518&gt;=6,G2518&gt;=5,H2518&gt;=5),"POTENTIAL LOYALIST",AND(F2518&gt;=8,G2518&lt;=2,H2518&gt;=5),"NEW CUSTOMERS",AND(F2518&gt;=6,G2518&lt;=2,H2518&gt;=3),"PROMISING",AND(F2518&gt;=3,G2518&gt;=3,H2518&gt;=3),"NEED ATTENTION",AND(F2518&lt;=4,G2518&gt;=6,H2518&gt;=6),"AT RISK",AND(F2518&lt;=2,G2518&gt;=8,H2518&gt;=8),"CAN'T LOSE THEM",AND(F2518&lt;=2,G2518&lt;=2,H2518&lt;=2),"HIBERNATING",TRUE(),"Other")</f>
        <v>NEED ATTENTION</v>
      </c>
      <c r="K2518" s="1" t="n">
        <f aca="false">RANK(E2518,$E$7:$E$4378)+COUNTIF($E$7:E2518,E2518)-1</f>
        <v>1288</v>
      </c>
    </row>
    <row r="2519" customFormat="false" ht="14.25" hidden="false" customHeight="true" outlineLevel="0" collapsed="false">
      <c r="A2519" s="51" t="n">
        <v>15737</v>
      </c>
      <c r="B2519" s="53" t="n">
        <v>40872.4729166667</v>
      </c>
      <c r="C2519" s="57" t="n">
        <f aca="false">INT($C$2)-INT(Table3[[#This Row],[Last Purchase Date]])</f>
        <v>15</v>
      </c>
      <c r="D2519" s="1" t="n">
        <v>12</v>
      </c>
      <c r="E2519" s="1" t="n">
        <v>1121.21</v>
      </c>
      <c r="F2519" s="1" t="n">
        <f aca="false">ROUND((1-_xlfn.PERCENTRANK.INC($C$7:$C$4378,C2519))*9,0)</f>
        <v>7</v>
      </c>
      <c r="G2519" s="1" t="n">
        <f aca="false">ROUND(_xlfn.PERCENTRANK.INC($D$7:$D$4378,D2519)*9,0)</f>
        <v>8</v>
      </c>
      <c r="H2519" s="1" t="n">
        <f aca="false">ROUND(_xlfn.PERCENTRANK.INC($E$7:$E$4378,E2519)*9,0)</f>
        <v>6</v>
      </c>
      <c r="I2519" s="1" t="str">
        <f aca="false">CONCATENATE(F2519,G2519,H2519)</f>
        <v>786</v>
      </c>
      <c r="J2519" s="1" t="str">
        <f aca="false">_xlfn.IFS(AND(F2519&gt;=8,G2519&gt;=8,H2519&gt;=8),"CHAMPION",AND(F2519&gt;=6,G2519&gt;=7,H2519&gt;=6),"LOYAL CUSTOMER",AND(F2519&gt;=6,G2519&gt;=5,H2519&gt;=5),"POTENTIAL LOYALIST",AND(F2519&gt;=8,G2519&lt;=2,H2519&gt;=5),"NEW CUSTOMERS",AND(F2519&gt;=6,G2519&lt;=2,H2519&gt;=3),"PROMISING",AND(F2519&gt;=3,G2519&gt;=3,H2519&gt;=3),"NEED ATTENTION",AND(F2519&lt;=4,G2519&gt;=6,H2519&gt;=6),"AT RISK",AND(F2519&lt;=2,G2519&gt;=8,H2519&gt;=8),"CAN'T LOSE THEM",AND(F2519&lt;=2,G2519&lt;=2,H2519&lt;=2),"HIBERNATING",TRUE(),"Other")</f>
        <v>LOYAL CUSTOMER</v>
      </c>
      <c r="K2519" s="1" t="n">
        <f aca="false">RANK(E2519,$E$7:$E$4378)+COUNTIF($E$7:E2519,E2519)-1</f>
        <v>1485</v>
      </c>
    </row>
    <row r="2520" customFormat="false" ht="14.25" hidden="false" customHeight="true" outlineLevel="0" collapsed="false">
      <c r="A2520" s="51" t="n">
        <v>15738</v>
      </c>
      <c r="B2520" s="53" t="n">
        <v>40868.3513888889</v>
      </c>
      <c r="C2520" s="57" t="n">
        <f aca="false">INT($C$2)-INT(Table3[[#This Row],[Last Purchase Date]])</f>
        <v>19</v>
      </c>
      <c r="D2520" s="1" t="n">
        <v>19</v>
      </c>
      <c r="E2520" s="1" t="n">
        <v>4788.77</v>
      </c>
      <c r="F2520" s="1" t="n">
        <f aca="false">ROUND((1-_xlfn.PERCENTRANK.INC($C$7:$C$4378,C2520))*9,0)</f>
        <v>7</v>
      </c>
      <c r="G2520" s="1" t="n">
        <f aca="false">ROUND(_xlfn.PERCENTRANK.INC($D$7:$D$4378,D2520)*9,0)</f>
        <v>9</v>
      </c>
      <c r="H2520" s="1" t="n">
        <f aca="false">ROUND(_xlfn.PERCENTRANK.INC($E$7:$E$4378,E2520)*9,0)</f>
        <v>8</v>
      </c>
      <c r="I2520" s="1" t="str">
        <f aca="false">CONCATENATE(F2520,G2520,H2520)</f>
        <v>798</v>
      </c>
      <c r="J2520" s="1" t="str">
        <f aca="false">_xlfn.IFS(AND(F2520&gt;=8,G2520&gt;=8,H2520&gt;=8),"CHAMPION",AND(F2520&gt;=6,G2520&gt;=7,H2520&gt;=6),"LOYAL CUSTOMER",AND(F2520&gt;=6,G2520&gt;=5,H2520&gt;=5),"POTENTIAL LOYALIST",AND(F2520&gt;=8,G2520&lt;=2,H2520&gt;=5),"NEW CUSTOMERS",AND(F2520&gt;=6,G2520&lt;=2,H2520&gt;=3),"PROMISING",AND(F2520&gt;=3,G2520&gt;=3,H2520&gt;=3),"NEED ATTENTION",AND(F2520&lt;=4,G2520&gt;=6,H2520&gt;=6),"AT RISK",AND(F2520&lt;=2,G2520&gt;=8,H2520&gt;=8),"CAN'T LOSE THEM",AND(F2520&lt;=2,G2520&lt;=2,H2520&lt;=2),"HIBERNATING",TRUE(),"Other")</f>
        <v>LOYAL CUSTOMER</v>
      </c>
      <c r="K2520" s="1" t="n">
        <f aca="false">RANK(E2520,$E$7:$E$4378)+COUNTIF($E$7:E2520,E2520)-1</f>
        <v>278</v>
      </c>
    </row>
    <row r="2521" customFormat="false" ht="14.25" hidden="false" customHeight="true" outlineLevel="0" collapsed="false">
      <c r="A2521" s="51" t="n">
        <v>15739</v>
      </c>
      <c r="B2521" s="53" t="n">
        <v>40820.5708333333</v>
      </c>
      <c r="C2521" s="57" t="n">
        <f aca="false">INT($C$2)-INT(Table3[[#This Row],[Last Purchase Date]])</f>
        <v>67</v>
      </c>
      <c r="D2521" s="1" t="n">
        <v>1</v>
      </c>
      <c r="E2521" s="1" t="n">
        <v>449.12</v>
      </c>
      <c r="F2521" s="1" t="n">
        <f aca="false">ROUND((1-_xlfn.PERCENTRANK.INC($C$7:$C$4378,C2521))*9,0)</f>
        <v>4</v>
      </c>
      <c r="G2521" s="1" t="n">
        <f aca="false">ROUND(_xlfn.PERCENTRANK.INC($D$7:$D$4378,D2521)*9,0)</f>
        <v>0</v>
      </c>
      <c r="H2521" s="1" t="n">
        <f aca="false">ROUND(_xlfn.PERCENTRANK.INC($E$7:$E$4378,E2521)*9,0)</f>
        <v>3</v>
      </c>
      <c r="I2521" s="1" t="str">
        <f aca="false">CONCATENATE(F2521,G2521,H2521)</f>
        <v>403</v>
      </c>
      <c r="J2521" s="1" t="str">
        <f aca="false">_xlfn.IFS(AND(F2521&gt;=8,G2521&gt;=8,H2521&gt;=8),"CHAMPION",AND(F2521&gt;=6,G2521&gt;=7,H2521&gt;=6),"LOYAL CUSTOMER",AND(F2521&gt;=6,G2521&gt;=5,H2521&gt;=5),"POTENTIAL LOYALIST",AND(F2521&gt;=8,G2521&lt;=2,H2521&gt;=5),"NEW CUSTOMERS",AND(F2521&gt;=6,G2521&lt;=2,H2521&gt;=3),"PROMISING",AND(F2521&gt;=3,G2521&gt;=3,H2521&gt;=3),"NEED ATTENTION",AND(F2521&lt;=4,G2521&gt;=6,H2521&gt;=6),"AT RISK",AND(F2521&lt;=2,G2521&gt;=8,H2521&gt;=8),"CAN'T LOSE THEM",AND(F2521&lt;=2,G2521&lt;=2,H2521&lt;=2),"HIBERNATING",TRUE(),"Other")</f>
        <v>Other</v>
      </c>
      <c r="K2521" s="1" t="n">
        <f aca="false">RANK(E2521,$E$7:$E$4378)+COUNTIF($E$7:E2521,E2521)-1</f>
        <v>2677</v>
      </c>
    </row>
    <row r="2522" customFormat="false" ht="14.25" hidden="false" customHeight="true" outlineLevel="0" collapsed="false">
      <c r="A2522" s="51" t="n">
        <v>15740</v>
      </c>
      <c r="B2522" s="53" t="n">
        <v>40837.6034722222</v>
      </c>
      <c r="C2522" s="57" t="n">
        <f aca="false">INT($C$2)-INT(Table3[[#This Row],[Last Purchase Date]])</f>
        <v>50</v>
      </c>
      <c r="D2522" s="1" t="n">
        <v>1</v>
      </c>
      <c r="E2522" s="1" t="n">
        <v>154.88</v>
      </c>
      <c r="F2522" s="1" t="n">
        <f aca="false">ROUND((1-_xlfn.PERCENTRANK.INC($C$7:$C$4378,C2522))*9,0)</f>
        <v>5</v>
      </c>
      <c r="G2522" s="1" t="n">
        <f aca="false">ROUND(_xlfn.PERCENTRANK.INC($D$7:$D$4378,D2522)*9,0)</f>
        <v>0</v>
      </c>
      <c r="H2522" s="1" t="n">
        <f aca="false">ROUND(_xlfn.PERCENTRANK.INC($E$7:$E$4378,E2522)*9,0)</f>
        <v>1</v>
      </c>
      <c r="I2522" s="1" t="str">
        <f aca="false">CONCATENATE(F2522,G2522,H2522)</f>
        <v>501</v>
      </c>
      <c r="J2522" s="1" t="str">
        <f aca="false">_xlfn.IFS(AND(F2522&gt;=8,G2522&gt;=8,H2522&gt;=8),"CHAMPION",AND(F2522&gt;=6,G2522&gt;=7,H2522&gt;=6),"LOYAL CUSTOMER",AND(F2522&gt;=6,G2522&gt;=5,H2522&gt;=5),"POTENTIAL LOYALIST",AND(F2522&gt;=8,G2522&lt;=2,H2522&gt;=5),"NEW CUSTOMERS",AND(F2522&gt;=6,G2522&lt;=2,H2522&gt;=3),"PROMISING",AND(F2522&gt;=3,G2522&gt;=3,H2522&gt;=3),"NEED ATTENTION",AND(F2522&lt;=4,G2522&gt;=6,H2522&gt;=6),"AT RISK",AND(F2522&lt;=2,G2522&gt;=8,H2522&gt;=8),"CAN'T LOSE THEM",AND(F2522&lt;=2,G2522&lt;=2,H2522&lt;=2),"HIBERNATING",TRUE(),"Other")</f>
        <v>Other</v>
      </c>
      <c r="K2522" s="1" t="n">
        <f aca="false">RANK(E2522,$E$7:$E$4378)+COUNTIF($E$7:E2522,E2522)-1</f>
        <v>3892</v>
      </c>
    </row>
    <row r="2523" customFormat="false" ht="14.25" hidden="false" customHeight="true" outlineLevel="0" collapsed="false">
      <c r="A2523" s="51" t="n">
        <v>15743</v>
      </c>
      <c r="B2523" s="53" t="n">
        <v>40870.7215277778</v>
      </c>
      <c r="C2523" s="57" t="n">
        <f aca="false">INT($C$2)-INT(Table3[[#This Row],[Last Purchase Date]])</f>
        <v>17</v>
      </c>
      <c r="D2523" s="1" t="n">
        <v>4</v>
      </c>
      <c r="E2523" s="1" t="n">
        <v>784.46</v>
      </c>
      <c r="F2523" s="1" t="n">
        <f aca="false">ROUND((1-_xlfn.PERCENTRANK.INC($C$7:$C$4378,C2523))*9,0)</f>
        <v>7</v>
      </c>
      <c r="G2523" s="1" t="n">
        <f aca="false">ROUND(_xlfn.PERCENTRANK.INC($D$7:$D$4378,D2523)*9,0)</f>
        <v>5</v>
      </c>
      <c r="H2523" s="1" t="n">
        <f aca="false">ROUND(_xlfn.PERCENTRANK.INC($E$7:$E$4378,E2523)*9,0)</f>
        <v>5</v>
      </c>
      <c r="I2523" s="1" t="str">
        <f aca="false">CONCATENATE(F2523,G2523,H2523)</f>
        <v>755</v>
      </c>
      <c r="J2523" s="1" t="str">
        <f aca="false">_xlfn.IFS(AND(F2523&gt;=8,G2523&gt;=8,H2523&gt;=8),"CHAMPION",AND(F2523&gt;=6,G2523&gt;=7,H2523&gt;=6),"LOYAL CUSTOMER",AND(F2523&gt;=6,G2523&gt;=5,H2523&gt;=5),"POTENTIAL LOYALIST",AND(F2523&gt;=8,G2523&lt;=2,H2523&gt;=5),"NEW CUSTOMERS",AND(F2523&gt;=6,G2523&lt;=2,H2523&gt;=3),"PROMISING",AND(F2523&gt;=3,G2523&gt;=3,H2523&gt;=3),"NEED ATTENTION",AND(F2523&lt;=4,G2523&gt;=6,H2523&gt;=6),"AT RISK",AND(F2523&lt;=2,G2523&gt;=8,H2523&gt;=8),"CAN'T LOSE THEM",AND(F2523&lt;=2,G2523&lt;=2,H2523&lt;=2),"HIBERNATING",TRUE(),"Other")</f>
        <v>POTENTIAL LOYALIST</v>
      </c>
      <c r="K2523" s="1" t="n">
        <f aca="false">RANK(E2523,$E$7:$E$4378)+COUNTIF($E$7:E2523,E2523)-1</f>
        <v>1913</v>
      </c>
    </row>
    <row r="2524" customFormat="false" ht="14.25" hidden="false" customHeight="true" outlineLevel="0" collapsed="false">
      <c r="A2524" s="51" t="n">
        <v>15744</v>
      </c>
      <c r="B2524" s="53" t="n">
        <v>40809.4111111111</v>
      </c>
      <c r="C2524" s="57" t="n">
        <f aca="false">INT($C$2)-INT(Table3[[#This Row],[Last Purchase Date]])</f>
        <v>78</v>
      </c>
      <c r="D2524" s="1" t="n">
        <v>1</v>
      </c>
      <c r="E2524" s="1" t="n">
        <v>34.8</v>
      </c>
      <c r="F2524" s="1" t="n">
        <f aca="false">ROUND((1-_xlfn.PERCENTRANK.INC($C$7:$C$4378,C2524))*9,0)</f>
        <v>3</v>
      </c>
      <c r="G2524" s="1" t="n">
        <f aca="false">ROUND(_xlfn.PERCENTRANK.INC($D$7:$D$4378,D2524)*9,0)</f>
        <v>0</v>
      </c>
      <c r="H2524" s="1" t="n">
        <f aca="false">ROUND(_xlfn.PERCENTRANK.INC($E$7:$E$4378,E2524)*9,0)</f>
        <v>0</v>
      </c>
      <c r="I2524" s="1" t="str">
        <f aca="false">CONCATENATE(F2524,G2524,H2524)</f>
        <v>300</v>
      </c>
      <c r="J2524" s="1" t="str">
        <f aca="false">_xlfn.IFS(AND(F2524&gt;=8,G2524&gt;=8,H2524&gt;=8),"CHAMPION",AND(F2524&gt;=6,G2524&gt;=7,H2524&gt;=6),"LOYAL CUSTOMER",AND(F2524&gt;=6,G2524&gt;=5,H2524&gt;=5),"POTENTIAL LOYALIST",AND(F2524&gt;=8,G2524&lt;=2,H2524&gt;=5),"NEW CUSTOMERS",AND(F2524&gt;=6,G2524&lt;=2,H2524&gt;=3),"PROMISING",AND(F2524&gt;=3,G2524&gt;=3,H2524&gt;=3),"NEED ATTENTION",AND(F2524&lt;=4,G2524&gt;=6,H2524&gt;=6),"AT RISK",AND(F2524&lt;=2,G2524&gt;=8,H2524&gt;=8),"CAN'T LOSE THEM",AND(F2524&lt;=2,G2524&lt;=2,H2524&lt;=2),"HIBERNATING",TRUE(),"Other")</f>
        <v>Other</v>
      </c>
      <c r="K2524" s="1" t="n">
        <f aca="false">RANK(E2524,$E$7:$E$4378)+COUNTIF($E$7:E2524,E2524)-1</f>
        <v>4302</v>
      </c>
    </row>
    <row r="2525" customFormat="false" ht="14.25" hidden="false" customHeight="true" outlineLevel="0" collapsed="false">
      <c r="A2525" s="51" t="n">
        <v>15745</v>
      </c>
      <c r="B2525" s="53" t="n">
        <v>40878.4708333333</v>
      </c>
      <c r="C2525" s="57" t="n">
        <f aca="false">INT($C$2)-INT(Table3[[#This Row],[Last Purchase Date]])</f>
        <v>9</v>
      </c>
      <c r="D2525" s="1" t="n">
        <v>6</v>
      </c>
      <c r="E2525" s="1" t="n">
        <v>1071.24</v>
      </c>
      <c r="F2525" s="1" t="n">
        <f aca="false">ROUND((1-_xlfn.PERCENTRANK.INC($C$7:$C$4378,C2525))*9,0)</f>
        <v>8</v>
      </c>
      <c r="G2525" s="1" t="n">
        <f aca="false">ROUND(_xlfn.PERCENTRANK.INC($D$7:$D$4378,D2525)*9,0)</f>
        <v>7</v>
      </c>
      <c r="H2525" s="1" t="n">
        <f aca="false">ROUND(_xlfn.PERCENTRANK.INC($E$7:$E$4378,E2525)*9,0)</f>
        <v>6</v>
      </c>
      <c r="I2525" s="1" t="str">
        <f aca="false">CONCATENATE(F2525,G2525,H2525)</f>
        <v>876</v>
      </c>
      <c r="J2525" s="1" t="str">
        <f aca="false">_xlfn.IFS(AND(F2525&gt;=8,G2525&gt;=8,H2525&gt;=8),"CHAMPION",AND(F2525&gt;=6,G2525&gt;=7,H2525&gt;=6),"LOYAL CUSTOMER",AND(F2525&gt;=6,G2525&gt;=5,H2525&gt;=5),"POTENTIAL LOYALIST",AND(F2525&gt;=8,G2525&lt;=2,H2525&gt;=5),"NEW CUSTOMERS",AND(F2525&gt;=6,G2525&lt;=2,H2525&gt;=3),"PROMISING",AND(F2525&gt;=3,G2525&gt;=3,H2525&gt;=3),"NEED ATTENTION",AND(F2525&lt;=4,G2525&gt;=6,H2525&gt;=6),"AT RISK",AND(F2525&lt;=2,G2525&gt;=8,H2525&gt;=8),"CAN'T LOSE THEM",AND(F2525&lt;=2,G2525&lt;=2,H2525&lt;=2),"HIBERNATING",TRUE(),"Other")</f>
        <v>LOYAL CUSTOMER</v>
      </c>
      <c r="K2525" s="1" t="n">
        <f aca="false">RANK(E2525,$E$7:$E$4378)+COUNTIF($E$7:E2525,E2525)-1</f>
        <v>1535</v>
      </c>
    </row>
    <row r="2526" customFormat="false" ht="14.25" hidden="false" customHeight="true" outlineLevel="0" collapsed="false">
      <c r="A2526" s="51" t="n">
        <v>15746</v>
      </c>
      <c r="B2526" s="53" t="n">
        <v>40752.64375</v>
      </c>
      <c r="C2526" s="57" t="n">
        <f aca="false">INT($C$2)-INT(Table3[[#This Row],[Last Purchase Date]])</f>
        <v>135</v>
      </c>
      <c r="D2526" s="1" t="n">
        <v>2</v>
      </c>
      <c r="E2526" s="1" t="n">
        <v>182.96</v>
      </c>
      <c r="F2526" s="1" t="n">
        <f aca="false">ROUND((1-_xlfn.PERCENTRANK.INC($C$7:$C$4378,C2526))*9,0)</f>
        <v>2</v>
      </c>
      <c r="G2526" s="1" t="n">
        <f aca="false">ROUND(_xlfn.PERCENTRANK.INC($D$7:$D$4378,D2526)*9,0)</f>
        <v>3</v>
      </c>
      <c r="H2526" s="1" t="n">
        <f aca="false">ROUND(_xlfn.PERCENTRANK.INC($E$7:$E$4378,E2526)*9,0)</f>
        <v>1</v>
      </c>
      <c r="I2526" s="1" t="str">
        <f aca="false">CONCATENATE(F2526,G2526,H2526)</f>
        <v>231</v>
      </c>
      <c r="J2526" s="1" t="str">
        <f aca="false">_xlfn.IFS(AND(F2526&gt;=8,G2526&gt;=8,H2526&gt;=8),"CHAMPION",AND(F2526&gt;=6,G2526&gt;=7,H2526&gt;=6),"LOYAL CUSTOMER",AND(F2526&gt;=6,G2526&gt;=5,H2526&gt;=5),"POTENTIAL LOYALIST",AND(F2526&gt;=8,G2526&lt;=2,H2526&gt;=5),"NEW CUSTOMERS",AND(F2526&gt;=6,G2526&lt;=2,H2526&gt;=3),"PROMISING",AND(F2526&gt;=3,G2526&gt;=3,H2526&gt;=3),"NEED ATTENTION",AND(F2526&lt;=4,G2526&gt;=6,H2526&gt;=6),"AT RISK",AND(F2526&lt;=2,G2526&gt;=8,H2526&gt;=8),"CAN'T LOSE THEM",AND(F2526&lt;=2,G2526&lt;=2,H2526&lt;=2),"HIBERNATING",TRUE(),"Other")</f>
        <v>Other</v>
      </c>
      <c r="K2526" s="1" t="n">
        <f aca="false">RANK(E2526,$E$7:$E$4378)+COUNTIF($E$7:E2526,E2526)-1</f>
        <v>3738</v>
      </c>
    </row>
    <row r="2527" customFormat="false" ht="14.25" hidden="false" customHeight="true" outlineLevel="0" collapsed="false">
      <c r="A2527" s="51" t="n">
        <v>15747</v>
      </c>
      <c r="B2527" s="53" t="n">
        <v>40874.5180555556</v>
      </c>
      <c r="C2527" s="57" t="n">
        <f aca="false">INT($C$2)-INT(Table3[[#This Row],[Last Purchase Date]])</f>
        <v>13</v>
      </c>
      <c r="D2527" s="1" t="n">
        <v>3</v>
      </c>
      <c r="E2527" s="1" t="n">
        <v>974.04</v>
      </c>
      <c r="F2527" s="1" t="n">
        <f aca="false">ROUND((1-_xlfn.PERCENTRANK.INC($C$7:$C$4378,C2527))*9,0)</f>
        <v>7</v>
      </c>
      <c r="G2527" s="1" t="n">
        <f aca="false">ROUND(_xlfn.PERCENTRANK.INC($D$7:$D$4378,D2527)*9,0)</f>
        <v>4</v>
      </c>
      <c r="H2527" s="1" t="n">
        <f aca="false">ROUND(_xlfn.PERCENTRANK.INC($E$7:$E$4378,E2527)*9,0)</f>
        <v>6</v>
      </c>
      <c r="I2527" s="1" t="str">
        <f aca="false">CONCATENATE(F2527,G2527,H2527)</f>
        <v>746</v>
      </c>
      <c r="J2527" s="1" t="str">
        <f aca="false">_xlfn.IFS(AND(F2527&gt;=8,G2527&gt;=8,H2527&gt;=8),"CHAMPION",AND(F2527&gt;=6,G2527&gt;=7,H2527&gt;=6),"LOYAL CUSTOMER",AND(F2527&gt;=6,G2527&gt;=5,H2527&gt;=5),"POTENTIAL LOYALIST",AND(F2527&gt;=8,G2527&lt;=2,H2527&gt;=5),"NEW CUSTOMERS",AND(F2527&gt;=6,G2527&lt;=2,H2527&gt;=3),"PROMISING",AND(F2527&gt;=3,G2527&gt;=3,H2527&gt;=3),"NEED ATTENTION",AND(F2527&lt;=4,G2527&gt;=6,H2527&gt;=6),"AT RISK",AND(F2527&lt;=2,G2527&gt;=8,H2527&gt;=8),"CAN'T LOSE THEM",AND(F2527&lt;=2,G2527&lt;=2,H2527&lt;=2),"HIBERNATING",TRUE(),"Other")</f>
        <v>NEED ATTENTION</v>
      </c>
      <c r="K2527" s="1" t="n">
        <f aca="false">RANK(E2527,$E$7:$E$4378)+COUNTIF($E$7:E2527,E2527)-1</f>
        <v>1673</v>
      </c>
    </row>
    <row r="2528" customFormat="false" ht="14.25" hidden="false" customHeight="true" outlineLevel="0" collapsed="false">
      <c r="A2528" s="51" t="n">
        <v>15748</v>
      </c>
      <c r="B2528" s="53" t="n">
        <v>40846.5354166667</v>
      </c>
      <c r="C2528" s="57" t="n">
        <f aca="false">INT($C$2)-INT(Table3[[#This Row],[Last Purchase Date]])</f>
        <v>41</v>
      </c>
      <c r="D2528" s="1" t="n">
        <v>1</v>
      </c>
      <c r="E2528" s="1" t="n">
        <v>149.31</v>
      </c>
      <c r="F2528" s="1" t="n">
        <f aca="false">ROUND((1-_xlfn.PERCENTRANK.INC($C$7:$C$4378,C2528))*9,0)</f>
        <v>5</v>
      </c>
      <c r="G2528" s="1" t="n">
        <f aca="false">ROUND(_xlfn.PERCENTRANK.INC($D$7:$D$4378,D2528)*9,0)</f>
        <v>0</v>
      </c>
      <c r="H2528" s="1" t="n">
        <f aca="false">ROUND(_xlfn.PERCENTRANK.INC($E$7:$E$4378,E2528)*9,0)</f>
        <v>1</v>
      </c>
      <c r="I2528" s="1" t="str">
        <f aca="false">CONCATENATE(F2528,G2528,H2528)</f>
        <v>501</v>
      </c>
      <c r="J2528" s="1" t="str">
        <f aca="false">_xlfn.IFS(AND(F2528&gt;=8,G2528&gt;=8,H2528&gt;=8),"CHAMPION",AND(F2528&gt;=6,G2528&gt;=7,H2528&gt;=6),"LOYAL CUSTOMER",AND(F2528&gt;=6,G2528&gt;=5,H2528&gt;=5),"POTENTIAL LOYALIST",AND(F2528&gt;=8,G2528&lt;=2,H2528&gt;=5),"NEW CUSTOMERS",AND(F2528&gt;=6,G2528&lt;=2,H2528&gt;=3),"PROMISING",AND(F2528&gt;=3,G2528&gt;=3,H2528&gt;=3),"NEED ATTENTION",AND(F2528&lt;=4,G2528&gt;=6,H2528&gt;=6),"AT RISK",AND(F2528&lt;=2,G2528&gt;=8,H2528&gt;=8),"CAN'T LOSE THEM",AND(F2528&lt;=2,G2528&lt;=2,H2528&lt;=2),"HIBERNATING",TRUE(),"Other")</f>
        <v>Other</v>
      </c>
      <c r="K2528" s="1" t="n">
        <f aca="false">RANK(E2528,$E$7:$E$4378)+COUNTIF($E$7:E2528,E2528)-1</f>
        <v>3922</v>
      </c>
    </row>
    <row r="2529" customFormat="false" ht="14.25" hidden="false" customHeight="true" outlineLevel="0" collapsed="false">
      <c r="A2529" s="51" t="n">
        <v>15749</v>
      </c>
      <c r="B2529" s="53" t="n">
        <v>40651.5555555556</v>
      </c>
      <c r="C2529" s="57" t="n">
        <f aca="false">INT($C$2)-INT(Table3[[#This Row],[Last Purchase Date]])</f>
        <v>236</v>
      </c>
      <c r="D2529" s="1" t="n">
        <v>4</v>
      </c>
      <c r="E2529" s="1" t="n">
        <v>21535.9</v>
      </c>
      <c r="F2529" s="1" t="n">
        <f aca="false">ROUND((1-_xlfn.PERCENTRANK.INC($C$7:$C$4378,C2529))*9,0)</f>
        <v>1</v>
      </c>
      <c r="G2529" s="1" t="n">
        <f aca="false">ROUND(_xlfn.PERCENTRANK.INC($D$7:$D$4378,D2529)*9,0)</f>
        <v>5</v>
      </c>
      <c r="H2529" s="1" t="n">
        <f aca="false">ROUND(_xlfn.PERCENTRANK.INC($E$7:$E$4378,E2529)*9,0)</f>
        <v>9</v>
      </c>
      <c r="I2529" s="1" t="str">
        <f aca="false">CONCATENATE(F2529,G2529,H2529)</f>
        <v>159</v>
      </c>
      <c r="J2529" s="1" t="str">
        <f aca="false">_xlfn.IFS(AND(F2529&gt;=8,G2529&gt;=8,H2529&gt;=8),"CHAMPION",AND(F2529&gt;=6,G2529&gt;=7,H2529&gt;=6),"LOYAL CUSTOMER",AND(F2529&gt;=6,G2529&gt;=5,H2529&gt;=5),"POTENTIAL LOYALIST",AND(F2529&gt;=8,G2529&lt;=2,H2529&gt;=5),"NEW CUSTOMERS",AND(F2529&gt;=6,G2529&lt;=2,H2529&gt;=3),"PROMISING",AND(F2529&gt;=3,G2529&gt;=3,H2529&gt;=3),"NEED ATTENTION",AND(F2529&lt;=4,G2529&gt;=6,H2529&gt;=6),"AT RISK",AND(F2529&lt;=2,G2529&gt;=8,H2529&gt;=8),"CAN'T LOSE THEM",AND(F2529&lt;=2,G2529&lt;=2,H2529&lt;=2),"HIBERNATING",TRUE(),"Other")</f>
        <v>Other</v>
      </c>
      <c r="K2529" s="1" t="n">
        <f aca="false">RANK(E2529,$E$7:$E$4378)+COUNTIF($E$7:E2529,E2529)-1</f>
        <v>35</v>
      </c>
    </row>
    <row r="2530" customFormat="false" ht="14.25" hidden="false" customHeight="true" outlineLevel="0" collapsed="false">
      <c r="A2530" s="51" t="n">
        <v>15750</v>
      </c>
      <c r="B2530" s="53" t="n">
        <v>40884.5236111111</v>
      </c>
      <c r="C2530" s="57" t="n">
        <f aca="false">INT($C$2)-INT(Table3[[#This Row],[Last Purchase Date]])</f>
        <v>3</v>
      </c>
      <c r="D2530" s="1" t="n">
        <v>9</v>
      </c>
      <c r="E2530" s="1" t="n">
        <v>2451.23</v>
      </c>
      <c r="F2530" s="1" t="n">
        <f aca="false">ROUND((1-_xlfn.PERCENTRANK.INC($C$7:$C$4378,C2530))*9,0)</f>
        <v>9</v>
      </c>
      <c r="G2530" s="1" t="n">
        <f aca="false">ROUND(_xlfn.PERCENTRANK.INC($D$7:$D$4378,D2530)*9,0)</f>
        <v>8</v>
      </c>
      <c r="H2530" s="1" t="n">
        <f aca="false">ROUND(_xlfn.PERCENTRANK.INC($E$7:$E$4378,E2530)*9,0)</f>
        <v>8</v>
      </c>
      <c r="I2530" s="1" t="str">
        <f aca="false">CONCATENATE(F2530,G2530,H2530)</f>
        <v>988</v>
      </c>
      <c r="J2530" s="1" t="str">
        <f aca="false">_xlfn.IFS(AND(F2530&gt;=8,G2530&gt;=8,H2530&gt;=8),"CHAMPION",AND(F2530&gt;=6,G2530&gt;=7,H2530&gt;=6),"LOYAL CUSTOMER",AND(F2530&gt;=6,G2530&gt;=5,H2530&gt;=5),"POTENTIAL LOYALIST",AND(F2530&gt;=8,G2530&lt;=2,H2530&gt;=5),"NEW CUSTOMERS",AND(F2530&gt;=6,G2530&lt;=2,H2530&gt;=3),"PROMISING",AND(F2530&gt;=3,G2530&gt;=3,H2530&gt;=3),"NEED ATTENTION",AND(F2530&lt;=4,G2530&gt;=6,H2530&gt;=6),"AT RISK",AND(F2530&lt;=2,G2530&gt;=8,H2530&gt;=8),"CAN'T LOSE THEM",AND(F2530&lt;=2,G2530&lt;=2,H2530&lt;=2),"HIBERNATING",TRUE(),"Other")</f>
        <v>CHAMPION</v>
      </c>
      <c r="K2530" s="1" t="n">
        <f aca="false">RANK(E2530,$E$7:$E$4378)+COUNTIF($E$7:E2530,E2530)-1</f>
        <v>700</v>
      </c>
    </row>
    <row r="2531" customFormat="false" ht="14.25" hidden="false" customHeight="true" outlineLevel="0" collapsed="false">
      <c r="A2531" s="51" t="n">
        <v>15752</v>
      </c>
      <c r="B2531" s="53" t="n">
        <v>40847.4840277778</v>
      </c>
      <c r="C2531" s="57" t="n">
        <f aca="false">INT($C$2)-INT(Table3[[#This Row],[Last Purchase Date]])</f>
        <v>40</v>
      </c>
      <c r="D2531" s="1" t="n">
        <v>8</v>
      </c>
      <c r="E2531" s="1" t="n">
        <v>2628.93</v>
      </c>
      <c r="F2531" s="1" t="n">
        <f aca="false">ROUND((1-_xlfn.PERCENTRANK.INC($C$7:$C$4378,C2531))*9,0)</f>
        <v>5</v>
      </c>
      <c r="G2531" s="1" t="n">
        <f aca="false">ROUND(_xlfn.PERCENTRANK.INC($D$7:$D$4378,D2531)*9,0)</f>
        <v>7</v>
      </c>
      <c r="H2531" s="1" t="n">
        <f aca="false">ROUND(_xlfn.PERCENTRANK.INC($E$7:$E$4378,E2531)*9,0)</f>
        <v>8</v>
      </c>
      <c r="I2531" s="1" t="str">
        <f aca="false">CONCATENATE(F2531,G2531,H2531)</f>
        <v>578</v>
      </c>
      <c r="J2531" s="1" t="str">
        <f aca="false">_xlfn.IFS(AND(F2531&gt;=8,G2531&gt;=8,H2531&gt;=8),"CHAMPION",AND(F2531&gt;=6,G2531&gt;=7,H2531&gt;=6),"LOYAL CUSTOMER",AND(F2531&gt;=6,G2531&gt;=5,H2531&gt;=5),"POTENTIAL LOYALIST",AND(F2531&gt;=8,G2531&lt;=2,H2531&gt;=5),"NEW CUSTOMERS",AND(F2531&gt;=6,G2531&lt;=2,H2531&gt;=3),"PROMISING",AND(F2531&gt;=3,G2531&gt;=3,H2531&gt;=3),"NEED ATTENTION",AND(F2531&lt;=4,G2531&gt;=6,H2531&gt;=6),"AT RISK",AND(F2531&lt;=2,G2531&gt;=8,H2531&gt;=8),"CAN'T LOSE THEM",AND(F2531&lt;=2,G2531&lt;=2,H2531&lt;=2),"HIBERNATING",TRUE(),"Other")</f>
        <v>NEED ATTENTION</v>
      </c>
      <c r="K2531" s="1" t="n">
        <f aca="false">RANK(E2531,$E$7:$E$4378)+COUNTIF($E$7:E2531,E2531)-1</f>
        <v>635</v>
      </c>
    </row>
    <row r="2532" customFormat="false" ht="14.25" hidden="false" customHeight="true" outlineLevel="0" collapsed="false">
      <c r="A2532" s="51" t="n">
        <v>15753</v>
      </c>
      <c r="B2532" s="53" t="n">
        <v>40582.5284722222</v>
      </c>
      <c r="C2532" s="57" t="n">
        <f aca="false">INT($C$2)-INT(Table3[[#This Row],[Last Purchase Date]])</f>
        <v>305</v>
      </c>
      <c r="D2532" s="1" t="n">
        <v>1</v>
      </c>
      <c r="E2532" s="1" t="n">
        <v>79.2</v>
      </c>
      <c r="F2532" s="1" t="n">
        <f aca="false">ROUND((1-_xlfn.PERCENTRANK.INC($C$7:$C$4378,C2532))*9,0)</f>
        <v>1</v>
      </c>
      <c r="G2532" s="1" t="n">
        <f aca="false">ROUND(_xlfn.PERCENTRANK.INC($D$7:$D$4378,D2532)*9,0)</f>
        <v>0</v>
      </c>
      <c r="H2532" s="1" t="n">
        <f aca="false">ROUND(_xlfn.PERCENTRANK.INC($E$7:$E$4378,E2532)*9,0)</f>
        <v>0</v>
      </c>
      <c r="I2532" s="1" t="str">
        <f aca="false">CONCATENATE(F2532,G2532,H2532)</f>
        <v>100</v>
      </c>
      <c r="J2532" s="1" t="str">
        <f aca="false">_xlfn.IFS(AND(F2532&gt;=8,G2532&gt;=8,H2532&gt;=8),"CHAMPION",AND(F2532&gt;=6,G2532&gt;=7,H2532&gt;=6),"LOYAL CUSTOMER",AND(F2532&gt;=6,G2532&gt;=5,H2532&gt;=5),"POTENTIAL LOYALIST",AND(F2532&gt;=8,G2532&lt;=2,H2532&gt;=5),"NEW CUSTOMERS",AND(F2532&gt;=6,G2532&lt;=2,H2532&gt;=3),"PROMISING",AND(F2532&gt;=3,G2532&gt;=3,H2532&gt;=3),"NEED ATTENTION",AND(F2532&lt;=4,G2532&gt;=6,H2532&gt;=6),"AT RISK",AND(F2532&lt;=2,G2532&gt;=8,H2532&gt;=8),"CAN'T LOSE THEM",AND(F2532&lt;=2,G2532&lt;=2,H2532&lt;=2),"HIBERNATING",TRUE(),"Other")</f>
        <v>HIBERNATING</v>
      </c>
      <c r="K2532" s="1" t="n">
        <f aca="false">RANK(E2532,$E$7:$E$4378)+COUNTIF($E$7:E2532,E2532)-1</f>
        <v>4220</v>
      </c>
    </row>
    <row r="2533" customFormat="false" ht="14.25" hidden="false" customHeight="true" outlineLevel="0" collapsed="false">
      <c r="A2533" s="51" t="n">
        <v>15754</v>
      </c>
      <c r="B2533" s="53" t="n">
        <v>40836.4888888889</v>
      </c>
      <c r="C2533" s="57" t="n">
        <f aca="false">INT($C$2)-INT(Table3[[#This Row],[Last Purchase Date]])</f>
        <v>51</v>
      </c>
      <c r="D2533" s="1" t="n">
        <v>4</v>
      </c>
      <c r="E2533" s="1" t="n">
        <v>455.67</v>
      </c>
      <c r="F2533" s="1" t="n">
        <f aca="false">ROUND((1-_xlfn.PERCENTRANK.INC($C$7:$C$4378,C2533))*9,0)</f>
        <v>5</v>
      </c>
      <c r="G2533" s="1" t="n">
        <f aca="false">ROUND(_xlfn.PERCENTRANK.INC($D$7:$D$4378,D2533)*9,0)</f>
        <v>5</v>
      </c>
      <c r="H2533" s="1" t="n">
        <f aca="false">ROUND(_xlfn.PERCENTRANK.INC($E$7:$E$4378,E2533)*9,0)</f>
        <v>4</v>
      </c>
      <c r="I2533" s="1" t="str">
        <f aca="false">CONCATENATE(F2533,G2533,H2533)</f>
        <v>554</v>
      </c>
      <c r="J2533" s="1" t="str">
        <f aca="false">_xlfn.IFS(AND(F2533&gt;=8,G2533&gt;=8,H2533&gt;=8),"CHAMPION",AND(F2533&gt;=6,G2533&gt;=7,H2533&gt;=6),"LOYAL CUSTOMER",AND(F2533&gt;=6,G2533&gt;=5,H2533&gt;=5),"POTENTIAL LOYALIST",AND(F2533&gt;=8,G2533&lt;=2,H2533&gt;=5),"NEW CUSTOMERS",AND(F2533&gt;=6,G2533&lt;=2,H2533&gt;=3),"PROMISING",AND(F2533&gt;=3,G2533&gt;=3,H2533&gt;=3),"NEED ATTENTION",AND(F2533&lt;=4,G2533&gt;=6,H2533&gt;=6),"AT RISK",AND(F2533&lt;=2,G2533&gt;=8,H2533&gt;=8),"CAN'T LOSE THEM",AND(F2533&lt;=2,G2533&lt;=2,H2533&lt;=2),"HIBERNATING",TRUE(),"Other")</f>
        <v>NEED ATTENTION</v>
      </c>
      <c r="K2533" s="1" t="n">
        <f aca="false">RANK(E2533,$E$7:$E$4378)+COUNTIF($E$7:E2533,E2533)-1</f>
        <v>2655</v>
      </c>
    </row>
    <row r="2534" customFormat="false" ht="14.25" hidden="false" customHeight="true" outlineLevel="0" collapsed="false">
      <c r="A2534" s="51" t="n">
        <v>15755</v>
      </c>
      <c r="B2534" s="53" t="n">
        <v>40885.7909722222</v>
      </c>
      <c r="C2534" s="57" t="n">
        <f aca="false">INT($C$2)-INT(Table3[[#This Row],[Last Purchase Date]])</f>
        <v>2</v>
      </c>
      <c r="D2534" s="1" t="n">
        <v>8</v>
      </c>
      <c r="E2534" s="1" t="n">
        <v>2318.88</v>
      </c>
      <c r="F2534" s="1" t="n">
        <f aca="false">ROUND((1-_xlfn.PERCENTRANK.INC($C$7:$C$4378,C2534))*9,0)</f>
        <v>9</v>
      </c>
      <c r="G2534" s="1" t="n">
        <f aca="false">ROUND(_xlfn.PERCENTRANK.INC($D$7:$D$4378,D2534)*9,0)</f>
        <v>7</v>
      </c>
      <c r="H2534" s="1" t="n">
        <f aca="false">ROUND(_xlfn.PERCENTRANK.INC($E$7:$E$4378,E2534)*9,0)</f>
        <v>7</v>
      </c>
      <c r="I2534" s="1" t="str">
        <f aca="false">CONCATENATE(F2534,G2534,H2534)</f>
        <v>977</v>
      </c>
      <c r="J2534" s="1" t="str">
        <f aca="false">_xlfn.IFS(AND(F2534&gt;=8,G2534&gt;=8,H2534&gt;=8),"CHAMPION",AND(F2534&gt;=6,G2534&gt;=7,H2534&gt;=6),"LOYAL CUSTOMER",AND(F2534&gt;=6,G2534&gt;=5,H2534&gt;=5),"POTENTIAL LOYALIST",AND(F2534&gt;=8,G2534&lt;=2,H2534&gt;=5),"NEW CUSTOMERS",AND(F2534&gt;=6,G2534&lt;=2,H2534&gt;=3),"PROMISING",AND(F2534&gt;=3,G2534&gt;=3,H2534&gt;=3),"NEED ATTENTION",AND(F2534&lt;=4,G2534&gt;=6,H2534&gt;=6),"AT RISK",AND(F2534&lt;=2,G2534&gt;=8,H2534&gt;=8),"CAN'T LOSE THEM",AND(F2534&lt;=2,G2534&lt;=2,H2534&lt;=2),"HIBERNATING",TRUE(),"Other")</f>
        <v>LOYAL CUSTOMER</v>
      </c>
      <c r="K2534" s="1" t="n">
        <f aca="false">RANK(E2534,$E$7:$E$4378)+COUNTIF($E$7:E2534,E2534)-1</f>
        <v>734</v>
      </c>
    </row>
    <row r="2535" customFormat="false" ht="14.25" hidden="false" customHeight="true" outlineLevel="0" collapsed="false">
      <c r="A2535" s="51" t="n">
        <v>15756</v>
      </c>
      <c r="B2535" s="53" t="n">
        <v>40825.5625</v>
      </c>
      <c r="C2535" s="57" t="n">
        <f aca="false">INT($C$2)-INT(Table3[[#This Row],[Last Purchase Date]])</f>
        <v>62</v>
      </c>
      <c r="D2535" s="1" t="n">
        <v>4</v>
      </c>
      <c r="E2535" s="1" t="n">
        <v>532.96</v>
      </c>
      <c r="F2535" s="1" t="n">
        <f aca="false">ROUND((1-_xlfn.PERCENTRANK.INC($C$7:$C$4378,C2535))*9,0)</f>
        <v>4</v>
      </c>
      <c r="G2535" s="1" t="n">
        <f aca="false">ROUND(_xlfn.PERCENTRANK.INC($D$7:$D$4378,D2535)*9,0)</f>
        <v>5</v>
      </c>
      <c r="H2535" s="1" t="n">
        <f aca="false">ROUND(_xlfn.PERCENTRANK.INC($E$7:$E$4378,E2535)*9,0)</f>
        <v>4</v>
      </c>
      <c r="I2535" s="1" t="str">
        <f aca="false">CONCATENATE(F2535,G2535,H2535)</f>
        <v>454</v>
      </c>
      <c r="J2535" s="1" t="str">
        <f aca="false">_xlfn.IFS(AND(F2535&gt;=8,G2535&gt;=8,H2535&gt;=8),"CHAMPION",AND(F2535&gt;=6,G2535&gt;=7,H2535&gt;=6),"LOYAL CUSTOMER",AND(F2535&gt;=6,G2535&gt;=5,H2535&gt;=5),"POTENTIAL LOYALIST",AND(F2535&gt;=8,G2535&lt;=2,H2535&gt;=5),"NEW CUSTOMERS",AND(F2535&gt;=6,G2535&lt;=2,H2535&gt;=3),"PROMISING",AND(F2535&gt;=3,G2535&gt;=3,H2535&gt;=3),"NEED ATTENTION",AND(F2535&lt;=4,G2535&gt;=6,H2535&gt;=6),"AT RISK",AND(F2535&lt;=2,G2535&gt;=8,H2535&gt;=8),"CAN'T LOSE THEM",AND(F2535&lt;=2,G2535&lt;=2,H2535&lt;=2),"HIBERNATING",TRUE(),"Other")</f>
        <v>NEED ATTENTION</v>
      </c>
      <c r="K2535" s="1" t="n">
        <f aca="false">RANK(E2535,$E$7:$E$4378)+COUNTIF($E$7:E2535,E2535)-1</f>
        <v>2476</v>
      </c>
    </row>
    <row r="2536" customFormat="false" ht="14.25" hidden="false" customHeight="true" outlineLevel="0" collapsed="false">
      <c r="A2536" s="51" t="n">
        <v>15757</v>
      </c>
      <c r="B2536" s="53" t="n">
        <v>40821.5097222222</v>
      </c>
      <c r="C2536" s="57" t="n">
        <f aca="false">INT($C$2)-INT(Table3[[#This Row],[Last Purchase Date]])</f>
        <v>66</v>
      </c>
      <c r="D2536" s="1" t="n">
        <v>2</v>
      </c>
      <c r="E2536" s="1" t="n">
        <v>714.42</v>
      </c>
      <c r="F2536" s="1" t="n">
        <f aca="false">ROUND((1-_xlfn.PERCENTRANK.INC($C$7:$C$4378,C2536))*9,0)</f>
        <v>4</v>
      </c>
      <c r="G2536" s="1" t="n">
        <f aca="false">ROUND(_xlfn.PERCENTRANK.INC($D$7:$D$4378,D2536)*9,0)</f>
        <v>3</v>
      </c>
      <c r="H2536" s="1" t="n">
        <f aca="false">ROUND(_xlfn.PERCENTRANK.INC($E$7:$E$4378,E2536)*9,0)</f>
        <v>5</v>
      </c>
      <c r="I2536" s="1" t="str">
        <f aca="false">CONCATENATE(F2536,G2536,H2536)</f>
        <v>435</v>
      </c>
      <c r="J2536" s="1" t="str">
        <f aca="false">_xlfn.IFS(AND(F2536&gt;=8,G2536&gt;=8,H2536&gt;=8),"CHAMPION",AND(F2536&gt;=6,G2536&gt;=7,H2536&gt;=6),"LOYAL CUSTOMER",AND(F2536&gt;=6,G2536&gt;=5,H2536&gt;=5),"POTENTIAL LOYALIST",AND(F2536&gt;=8,G2536&lt;=2,H2536&gt;=5),"NEW CUSTOMERS",AND(F2536&gt;=6,G2536&lt;=2,H2536&gt;=3),"PROMISING",AND(F2536&gt;=3,G2536&gt;=3,H2536&gt;=3),"NEED ATTENTION",AND(F2536&lt;=4,G2536&gt;=6,H2536&gt;=6),"AT RISK",AND(F2536&lt;=2,G2536&gt;=8,H2536&gt;=8),"CAN'T LOSE THEM",AND(F2536&lt;=2,G2536&lt;=2,H2536&lt;=2),"HIBERNATING",TRUE(),"Other")</f>
        <v>NEED ATTENTION</v>
      </c>
      <c r="K2536" s="1" t="n">
        <f aca="false">RANK(E2536,$E$7:$E$4378)+COUNTIF($E$7:E2536,E2536)-1</f>
        <v>2037</v>
      </c>
    </row>
    <row r="2537" customFormat="false" ht="14.25" hidden="false" customHeight="true" outlineLevel="0" collapsed="false">
      <c r="A2537" s="51" t="n">
        <v>15758</v>
      </c>
      <c r="B2537" s="53" t="n">
        <v>40862.45</v>
      </c>
      <c r="C2537" s="57" t="n">
        <f aca="false">INT($C$2)-INT(Table3[[#This Row],[Last Purchase Date]])</f>
        <v>25</v>
      </c>
      <c r="D2537" s="1" t="n">
        <v>1</v>
      </c>
      <c r="E2537" s="1" t="n">
        <v>205.25</v>
      </c>
      <c r="F2537" s="1" t="n">
        <f aca="false">ROUND((1-_xlfn.PERCENTRANK.INC($C$7:$C$4378,C2537))*9,0)</f>
        <v>6</v>
      </c>
      <c r="G2537" s="1" t="n">
        <f aca="false">ROUND(_xlfn.PERCENTRANK.INC($D$7:$D$4378,D2537)*9,0)</f>
        <v>0</v>
      </c>
      <c r="H2537" s="1" t="n">
        <f aca="false">ROUND(_xlfn.PERCENTRANK.INC($E$7:$E$4378,E2537)*9,0)</f>
        <v>2</v>
      </c>
      <c r="I2537" s="1" t="str">
        <f aca="false">CONCATENATE(F2537,G2537,H2537)</f>
        <v>602</v>
      </c>
      <c r="J2537" s="1" t="str">
        <f aca="false">_xlfn.IFS(AND(F2537&gt;=8,G2537&gt;=8,H2537&gt;=8),"CHAMPION",AND(F2537&gt;=6,G2537&gt;=7,H2537&gt;=6),"LOYAL CUSTOMER",AND(F2537&gt;=6,G2537&gt;=5,H2537&gt;=5),"POTENTIAL LOYALIST",AND(F2537&gt;=8,G2537&lt;=2,H2537&gt;=5),"NEW CUSTOMERS",AND(F2537&gt;=6,G2537&lt;=2,H2537&gt;=3),"PROMISING",AND(F2537&gt;=3,G2537&gt;=3,H2537&gt;=3),"NEED ATTENTION",AND(F2537&lt;=4,G2537&gt;=6,H2537&gt;=6),"AT RISK",AND(F2537&lt;=2,G2537&gt;=8,H2537&gt;=8),"CAN'T LOSE THEM",AND(F2537&lt;=2,G2537&lt;=2,H2537&lt;=2),"HIBERNATING",TRUE(),"Other")</f>
        <v>Other</v>
      </c>
      <c r="K2537" s="1" t="n">
        <f aca="false">RANK(E2537,$E$7:$E$4378)+COUNTIF($E$7:E2537,E2537)-1</f>
        <v>3636</v>
      </c>
    </row>
    <row r="2538" customFormat="false" ht="14.25" hidden="false" customHeight="true" outlineLevel="0" collapsed="false">
      <c r="A2538" s="51" t="n">
        <v>15759</v>
      </c>
      <c r="B2538" s="53" t="n">
        <v>40668.6340277778</v>
      </c>
      <c r="C2538" s="57" t="n">
        <f aca="false">INT($C$2)-INT(Table3[[#This Row],[Last Purchase Date]])</f>
        <v>219</v>
      </c>
      <c r="D2538" s="1" t="n">
        <v>3</v>
      </c>
      <c r="E2538" s="1" t="n">
        <v>253.04</v>
      </c>
      <c r="F2538" s="1" t="n">
        <f aca="false">ROUND((1-_xlfn.PERCENTRANK.INC($C$7:$C$4378,C2538))*9,0)</f>
        <v>1</v>
      </c>
      <c r="G2538" s="1" t="n">
        <f aca="false">ROUND(_xlfn.PERCENTRANK.INC($D$7:$D$4378,D2538)*9,0)</f>
        <v>4</v>
      </c>
      <c r="H2538" s="1" t="n">
        <f aca="false">ROUND(_xlfn.PERCENTRANK.INC($E$7:$E$4378,E2538)*9,0)</f>
        <v>2</v>
      </c>
      <c r="I2538" s="1" t="str">
        <f aca="false">CONCATENATE(F2538,G2538,H2538)</f>
        <v>142</v>
      </c>
      <c r="J2538" s="1" t="str">
        <f aca="false">_xlfn.IFS(AND(F2538&gt;=8,G2538&gt;=8,H2538&gt;=8),"CHAMPION",AND(F2538&gt;=6,G2538&gt;=7,H2538&gt;=6),"LOYAL CUSTOMER",AND(F2538&gt;=6,G2538&gt;=5,H2538&gt;=5),"POTENTIAL LOYALIST",AND(F2538&gt;=8,G2538&lt;=2,H2538&gt;=5),"NEW CUSTOMERS",AND(F2538&gt;=6,G2538&lt;=2,H2538&gt;=3),"PROMISING",AND(F2538&gt;=3,G2538&gt;=3,H2538&gt;=3),"NEED ATTENTION",AND(F2538&lt;=4,G2538&gt;=6,H2538&gt;=6),"AT RISK",AND(F2538&lt;=2,G2538&gt;=8,H2538&gt;=8),"CAN'T LOSE THEM",AND(F2538&lt;=2,G2538&lt;=2,H2538&lt;=2),"HIBERNATING",TRUE(),"Other")</f>
        <v>Other</v>
      </c>
      <c r="K2538" s="1" t="n">
        <f aca="false">RANK(E2538,$E$7:$E$4378)+COUNTIF($E$7:E2538,E2538)-1</f>
        <v>3422</v>
      </c>
    </row>
    <row r="2539" customFormat="false" ht="14.25" hidden="false" customHeight="true" outlineLevel="0" collapsed="false">
      <c r="A2539" s="51" t="n">
        <v>15762</v>
      </c>
      <c r="B2539" s="53" t="n">
        <v>40821.6770833333</v>
      </c>
      <c r="C2539" s="57" t="n">
        <f aca="false">INT($C$2)-INT(Table3[[#This Row],[Last Purchase Date]])</f>
        <v>66</v>
      </c>
      <c r="D2539" s="1" t="n">
        <v>2</v>
      </c>
      <c r="E2539" s="1" t="n">
        <v>583.75</v>
      </c>
      <c r="F2539" s="1" t="n">
        <f aca="false">ROUND((1-_xlfn.PERCENTRANK.INC($C$7:$C$4378,C2539))*9,0)</f>
        <v>4</v>
      </c>
      <c r="G2539" s="1" t="n">
        <f aca="false">ROUND(_xlfn.PERCENTRANK.INC($D$7:$D$4378,D2539)*9,0)</f>
        <v>3</v>
      </c>
      <c r="H2539" s="1" t="n">
        <f aca="false">ROUND(_xlfn.PERCENTRANK.INC($E$7:$E$4378,E2539)*9,0)</f>
        <v>4</v>
      </c>
      <c r="I2539" s="1" t="str">
        <f aca="false">CONCATENATE(F2539,G2539,H2539)</f>
        <v>434</v>
      </c>
      <c r="J2539" s="1" t="str">
        <f aca="false">_xlfn.IFS(AND(F2539&gt;=8,G2539&gt;=8,H2539&gt;=8),"CHAMPION",AND(F2539&gt;=6,G2539&gt;=7,H2539&gt;=6),"LOYAL CUSTOMER",AND(F2539&gt;=6,G2539&gt;=5,H2539&gt;=5),"POTENTIAL LOYALIST",AND(F2539&gt;=8,G2539&lt;=2,H2539&gt;=5),"NEW CUSTOMERS",AND(F2539&gt;=6,G2539&lt;=2,H2539&gt;=3),"PROMISING",AND(F2539&gt;=3,G2539&gt;=3,H2539&gt;=3),"NEED ATTENTION",AND(F2539&lt;=4,G2539&gt;=6,H2539&gt;=6),"AT RISK",AND(F2539&lt;=2,G2539&gt;=8,H2539&gt;=8),"CAN'T LOSE THEM",AND(F2539&lt;=2,G2539&lt;=2,H2539&lt;=2),"HIBERNATING",TRUE(),"Other")</f>
        <v>NEED ATTENTION</v>
      </c>
      <c r="K2539" s="1" t="n">
        <f aca="false">RANK(E2539,$E$7:$E$4378)+COUNTIF($E$7:E2539,E2539)-1</f>
        <v>2361</v>
      </c>
    </row>
    <row r="2540" customFormat="false" ht="14.25" hidden="false" customHeight="true" outlineLevel="0" collapsed="false">
      <c r="A2540" s="51" t="n">
        <v>15763</v>
      </c>
      <c r="B2540" s="53" t="n">
        <v>40855.4055555556</v>
      </c>
      <c r="C2540" s="57" t="n">
        <f aca="false">INT($C$2)-INT(Table3[[#This Row],[Last Purchase Date]])</f>
        <v>32</v>
      </c>
      <c r="D2540" s="1" t="n">
        <v>3</v>
      </c>
      <c r="E2540" s="1" t="n">
        <v>1048.67</v>
      </c>
      <c r="F2540" s="1" t="n">
        <f aca="false">ROUND((1-_xlfn.PERCENTRANK.INC($C$7:$C$4378,C2540))*9,0)</f>
        <v>5</v>
      </c>
      <c r="G2540" s="1" t="n">
        <f aca="false">ROUND(_xlfn.PERCENTRANK.INC($D$7:$D$4378,D2540)*9,0)</f>
        <v>4</v>
      </c>
      <c r="H2540" s="1" t="n">
        <f aca="false">ROUND(_xlfn.PERCENTRANK.INC($E$7:$E$4378,E2540)*9,0)</f>
        <v>6</v>
      </c>
      <c r="I2540" s="1" t="str">
        <f aca="false">CONCATENATE(F2540,G2540,H2540)</f>
        <v>546</v>
      </c>
      <c r="J2540" s="1" t="str">
        <f aca="false">_xlfn.IFS(AND(F2540&gt;=8,G2540&gt;=8,H2540&gt;=8),"CHAMPION",AND(F2540&gt;=6,G2540&gt;=7,H2540&gt;=6),"LOYAL CUSTOMER",AND(F2540&gt;=6,G2540&gt;=5,H2540&gt;=5),"POTENTIAL LOYALIST",AND(F2540&gt;=8,G2540&lt;=2,H2540&gt;=5),"NEW CUSTOMERS",AND(F2540&gt;=6,G2540&lt;=2,H2540&gt;=3),"PROMISING",AND(F2540&gt;=3,G2540&gt;=3,H2540&gt;=3),"NEED ATTENTION",AND(F2540&lt;=4,G2540&gt;=6,H2540&gt;=6),"AT RISK",AND(F2540&lt;=2,G2540&gt;=8,H2540&gt;=8),"CAN'T LOSE THEM",AND(F2540&lt;=2,G2540&lt;=2,H2540&lt;=2),"HIBERNATING",TRUE(),"Other")</f>
        <v>NEED ATTENTION</v>
      </c>
      <c r="K2540" s="1" t="n">
        <f aca="false">RANK(E2540,$E$7:$E$4378)+COUNTIF($E$7:E2540,E2540)-1</f>
        <v>1564</v>
      </c>
    </row>
    <row r="2541" customFormat="false" ht="14.25" hidden="false" customHeight="true" outlineLevel="0" collapsed="false">
      <c r="A2541" s="51" t="n">
        <v>15764</v>
      </c>
      <c r="B2541" s="53" t="n">
        <v>40805.6777777778</v>
      </c>
      <c r="C2541" s="57" t="n">
        <f aca="false">INT($C$2)-INT(Table3[[#This Row],[Last Purchase Date]])</f>
        <v>82</v>
      </c>
      <c r="D2541" s="1" t="n">
        <v>10</v>
      </c>
      <c r="E2541" s="1" t="n">
        <v>3245.47</v>
      </c>
      <c r="F2541" s="1" t="n">
        <f aca="false">ROUND((1-_xlfn.PERCENTRANK.INC($C$7:$C$4378,C2541))*9,0)</f>
        <v>3</v>
      </c>
      <c r="G2541" s="1" t="n">
        <f aca="false">ROUND(_xlfn.PERCENTRANK.INC($D$7:$D$4378,D2541)*9,0)</f>
        <v>8</v>
      </c>
      <c r="H2541" s="1" t="n">
        <f aca="false">ROUND(_xlfn.PERCENTRANK.INC($E$7:$E$4378,E2541)*9,0)</f>
        <v>8</v>
      </c>
      <c r="I2541" s="1" t="str">
        <f aca="false">CONCATENATE(F2541,G2541,H2541)</f>
        <v>388</v>
      </c>
      <c r="J2541" s="1" t="str">
        <f aca="false">_xlfn.IFS(AND(F2541&gt;=8,G2541&gt;=8,H2541&gt;=8),"CHAMPION",AND(F2541&gt;=6,G2541&gt;=7,H2541&gt;=6),"LOYAL CUSTOMER",AND(F2541&gt;=6,G2541&gt;=5,H2541&gt;=5),"POTENTIAL LOYALIST",AND(F2541&gt;=8,G2541&lt;=2,H2541&gt;=5),"NEW CUSTOMERS",AND(F2541&gt;=6,G2541&lt;=2,H2541&gt;=3),"PROMISING",AND(F2541&gt;=3,G2541&gt;=3,H2541&gt;=3),"NEED ATTENTION",AND(F2541&lt;=4,G2541&gt;=6,H2541&gt;=6),"AT RISK",AND(F2541&lt;=2,G2541&gt;=8,H2541&gt;=8),"CAN'T LOSE THEM",AND(F2541&lt;=2,G2541&lt;=2,H2541&lt;=2),"HIBERNATING",TRUE(),"Other")</f>
        <v>NEED ATTENTION</v>
      </c>
      <c r="K2541" s="1" t="n">
        <f aca="false">RANK(E2541,$E$7:$E$4378)+COUNTIF($E$7:E2541,E2541)-1</f>
        <v>485</v>
      </c>
    </row>
    <row r="2542" customFormat="false" ht="14.25" hidden="false" customHeight="true" outlineLevel="0" collapsed="false">
      <c r="A2542" s="51" t="n">
        <v>15766</v>
      </c>
      <c r="B2542" s="53" t="n">
        <v>40822.7104166667</v>
      </c>
      <c r="C2542" s="57" t="n">
        <f aca="false">INT($C$2)-INT(Table3[[#This Row],[Last Purchase Date]])</f>
        <v>65</v>
      </c>
      <c r="D2542" s="1" t="n">
        <v>1</v>
      </c>
      <c r="E2542" s="1" t="n">
        <v>315.06</v>
      </c>
      <c r="F2542" s="1" t="n">
        <f aca="false">ROUND((1-_xlfn.PERCENTRANK.INC($C$7:$C$4378,C2542))*9,0)</f>
        <v>4</v>
      </c>
      <c r="G2542" s="1" t="n">
        <f aca="false">ROUND(_xlfn.PERCENTRANK.INC($D$7:$D$4378,D2542)*9,0)</f>
        <v>0</v>
      </c>
      <c r="H2542" s="1" t="n">
        <f aca="false">ROUND(_xlfn.PERCENTRANK.INC($E$7:$E$4378,E2542)*9,0)</f>
        <v>2</v>
      </c>
      <c r="I2542" s="1" t="str">
        <f aca="false">CONCATENATE(F2542,G2542,H2542)</f>
        <v>402</v>
      </c>
      <c r="J2542" s="1" t="str">
        <f aca="false">_xlfn.IFS(AND(F2542&gt;=8,G2542&gt;=8,H2542&gt;=8),"CHAMPION",AND(F2542&gt;=6,G2542&gt;=7,H2542&gt;=6),"LOYAL CUSTOMER",AND(F2542&gt;=6,G2542&gt;=5,H2542&gt;=5),"POTENTIAL LOYALIST",AND(F2542&gt;=8,G2542&lt;=2,H2542&gt;=5),"NEW CUSTOMERS",AND(F2542&gt;=6,G2542&lt;=2,H2542&gt;=3),"PROMISING",AND(F2542&gt;=3,G2542&gt;=3,H2542&gt;=3),"NEED ATTENTION",AND(F2542&lt;=4,G2542&gt;=6,H2542&gt;=6),"AT RISK",AND(F2542&lt;=2,G2542&gt;=8,H2542&gt;=8),"CAN'T LOSE THEM",AND(F2542&lt;=2,G2542&lt;=2,H2542&lt;=2),"HIBERNATING",TRUE(),"Other")</f>
        <v>Other</v>
      </c>
      <c r="K2542" s="1" t="n">
        <f aca="false">RANK(E2542,$E$7:$E$4378)+COUNTIF($E$7:E2542,E2542)-1</f>
        <v>3162</v>
      </c>
    </row>
    <row r="2543" customFormat="false" ht="14.25" hidden="false" customHeight="true" outlineLevel="0" collapsed="false">
      <c r="A2543" s="51" t="n">
        <v>15768</v>
      </c>
      <c r="B2543" s="53" t="n">
        <v>40771.45</v>
      </c>
      <c r="C2543" s="57" t="n">
        <f aca="false">INT($C$2)-INT(Table3[[#This Row],[Last Purchase Date]])</f>
        <v>116</v>
      </c>
      <c r="D2543" s="1" t="n">
        <v>4</v>
      </c>
      <c r="E2543" s="1" t="n">
        <v>581.83</v>
      </c>
      <c r="F2543" s="1" t="n">
        <f aca="false">ROUND((1-_xlfn.PERCENTRANK.INC($C$7:$C$4378,C2543))*9,0)</f>
        <v>3</v>
      </c>
      <c r="G2543" s="1" t="n">
        <f aca="false">ROUND(_xlfn.PERCENTRANK.INC($D$7:$D$4378,D2543)*9,0)</f>
        <v>5</v>
      </c>
      <c r="H2543" s="1" t="n">
        <f aca="false">ROUND(_xlfn.PERCENTRANK.INC($E$7:$E$4378,E2543)*9,0)</f>
        <v>4</v>
      </c>
      <c r="I2543" s="1" t="str">
        <f aca="false">CONCATENATE(F2543,G2543,H2543)</f>
        <v>354</v>
      </c>
      <c r="J2543" s="1" t="str">
        <f aca="false">_xlfn.IFS(AND(F2543&gt;=8,G2543&gt;=8,H2543&gt;=8),"CHAMPION",AND(F2543&gt;=6,G2543&gt;=7,H2543&gt;=6),"LOYAL CUSTOMER",AND(F2543&gt;=6,G2543&gt;=5,H2543&gt;=5),"POTENTIAL LOYALIST",AND(F2543&gt;=8,G2543&lt;=2,H2543&gt;=5),"NEW CUSTOMERS",AND(F2543&gt;=6,G2543&lt;=2,H2543&gt;=3),"PROMISING",AND(F2543&gt;=3,G2543&gt;=3,H2543&gt;=3),"NEED ATTENTION",AND(F2543&lt;=4,G2543&gt;=6,H2543&gt;=6),"AT RISK",AND(F2543&lt;=2,G2543&gt;=8,H2543&gt;=8),"CAN'T LOSE THEM",AND(F2543&lt;=2,G2543&lt;=2,H2543&lt;=2),"HIBERNATING",TRUE(),"Other")</f>
        <v>NEED ATTENTION</v>
      </c>
      <c r="K2543" s="1" t="n">
        <f aca="false">RANK(E2543,$E$7:$E$4378)+COUNTIF($E$7:E2543,E2543)-1</f>
        <v>2370</v>
      </c>
    </row>
    <row r="2544" customFormat="false" ht="14.25" hidden="false" customHeight="true" outlineLevel="0" collapsed="false">
      <c r="A2544" s="51" t="n">
        <v>15769</v>
      </c>
      <c r="B2544" s="53" t="n">
        <v>40879.5777777778</v>
      </c>
      <c r="C2544" s="57" t="n">
        <f aca="false">INT($C$2)-INT(Table3[[#This Row],[Last Purchase Date]])</f>
        <v>8</v>
      </c>
      <c r="D2544" s="1" t="n">
        <v>29</v>
      </c>
      <c r="E2544" s="1" t="n">
        <v>51823.72</v>
      </c>
      <c r="F2544" s="1" t="n">
        <f aca="false">ROUND((1-_xlfn.PERCENTRANK.INC($C$7:$C$4378,C2544))*9,0)</f>
        <v>8</v>
      </c>
      <c r="G2544" s="1" t="n">
        <f aca="false">ROUND(_xlfn.PERCENTRANK.INC($D$7:$D$4378,D2544)*9,0)</f>
        <v>9</v>
      </c>
      <c r="H2544" s="1" t="n">
        <f aca="false">ROUND(_xlfn.PERCENTRANK.INC($E$7:$E$4378,E2544)*9,0)</f>
        <v>9</v>
      </c>
      <c r="I2544" s="1" t="str">
        <f aca="false">CONCATENATE(F2544,G2544,H2544)</f>
        <v>899</v>
      </c>
      <c r="J2544" s="1" t="str">
        <f aca="false">_xlfn.IFS(AND(F2544&gt;=8,G2544&gt;=8,H2544&gt;=8),"CHAMPION",AND(F2544&gt;=6,G2544&gt;=7,H2544&gt;=6),"LOYAL CUSTOMER",AND(F2544&gt;=6,G2544&gt;=5,H2544&gt;=5),"POTENTIAL LOYALIST",AND(F2544&gt;=8,G2544&lt;=2,H2544&gt;=5),"NEW CUSTOMERS",AND(F2544&gt;=6,G2544&lt;=2,H2544&gt;=3),"PROMISING",AND(F2544&gt;=3,G2544&gt;=3,H2544&gt;=3),"NEED ATTENTION",AND(F2544&lt;=4,G2544&gt;=6,H2544&gt;=6),"AT RISK",AND(F2544&lt;=2,G2544&gt;=8,H2544&gt;=8),"CAN'T LOSE THEM",AND(F2544&lt;=2,G2544&lt;=2,H2544&lt;=2),"HIBERNATING",TRUE(),"Other")</f>
        <v>CHAMPION</v>
      </c>
      <c r="K2544" s="1" t="n">
        <f aca="false">RANK(E2544,$E$7:$E$4378)+COUNTIF($E$7:E2544,E2544)-1</f>
        <v>15</v>
      </c>
    </row>
    <row r="2545" customFormat="false" ht="14.25" hidden="false" customHeight="true" outlineLevel="0" collapsed="false">
      <c r="A2545" s="51" t="n">
        <v>15773</v>
      </c>
      <c r="B2545" s="53" t="n">
        <v>40881.5333333333</v>
      </c>
      <c r="C2545" s="57" t="n">
        <f aca="false">INT($C$2)-INT(Table3[[#This Row],[Last Purchase Date]])</f>
        <v>6</v>
      </c>
      <c r="D2545" s="1" t="n">
        <v>1</v>
      </c>
      <c r="E2545" s="1" t="n">
        <v>635.68</v>
      </c>
      <c r="F2545" s="1" t="n">
        <f aca="false">ROUND((1-_xlfn.PERCENTRANK.INC($C$7:$C$4378,C2545))*9,0)</f>
        <v>8</v>
      </c>
      <c r="G2545" s="1" t="n">
        <f aca="false">ROUND(_xlfn.PERCENTRANK.INC($D$7:$D$4378,D2545)*9,0)</f>
        <v>0</v>
      </c>
      <c r="H2545" s="1" t="n">
        <f aca="false">ROUND(_xlfn.PERCENTRANK.INC($E$7:$E$4378,E2545)*9,0)</f>
        <v>4</v>
      </c>
      <c r="I2545" s="1" t="str">
        <f aca="false">CONCATENATE(F2545,G2545,H2545)</f>
        <v>804</v>
      </c>
      <c r="J2545" s="1" t="str">
        <f aca="false">_xlfn.IFS(AND(F2545&gt;=8,G2545&gt;=8,H2545&gt;=8),"CHAMPION",AND(F2545&gt;=6,G2545&gt;=7,H2545&gt;=6),"LOYAL CUSTOMER",AND(F2545&gt;=6,G2545&gt;=5,H2545&gt;=5),"POTENTIAL LOYALIST",AND(F2545&gt;=8,G2545&lt;=2,H2545&gt;=5),"NEW CUSTOMERS",AND(F2545&gt;=6,G2545&lt;=2,H2545&gt;=3),"PROMISING",AND(F2545&gt;=3,G2545&gt;=3,H2545&gt;=3),"NEED ATTENTION",AND(F2545&lt;=4,G2545&gt;=6,H2545&gt;=6),"AT RISK",AND(F2545&lt;=2,G2545&gt;=8,H2545&gt;=8),"CAN'T LOSE THEM",AND(F2545&lt;=2,G2545&lt;=2,H2545&lt;=2),"HIBERNATING",TRUE(),"Other")</f>
        <v>PROMISING</v>
      </c>
      <c r="K2545" s="1" t="n">
        <f aca="false">RANK(E2545,$E$7:$E$4378)+COUNTIF($E$7:E2545,E2545)-1</f>
        <v>2219</v>
      </c>
    </row>
    <row r="2546" customFormat="false" ht="14.25" hidden="false" customHeight="true" outlineLevel="0" collapsed="false">
      <c r="A2546" s="51" t="n">
        <v>15774</v>
      </c>
      <c r="B2546" s="53" t="n">
        <v>40818.5027777778</v>
      </c>
      <c r="C2546" s="57" t="n">
        <f aca="false">INT($C$2)-INT(Table3[[#This Row],[Last Purchase Date]])</f>
        <v>69</v>
      </c>
      <c r="D2546" s="1" t="n">
        <v>1</v>
      </c>
      <c r="E2546" s="1" t="n">
        <v>270.8</v>
      </c>
      <c r="F2546" s="1" t="n">
        <f aca="false">ROUND((1-_xlfn.PERCENTRANK.INC($C$7:$C$4378,C2546))*9,0)</f>
        <v>4</v>
      </c>
      <c r="G2546" s="1" t="n">
        <f aca="false">ROUND(_xlfn.PERCENTRANK.INC($D$7:$D$4378,D2546)*9,0)</f>
        <v>0</v>
      </c>
      <c r="H2546" s="1" t="n">
        <f aca="false">ROUND(_xlfn.PERCENTRANK.INC($E$7:$E$4378,E2546)*9,0)</f>
        <v>2</v>
      </c>
      <c r="I2546" s="1" t="str">
        <f aca="false">CONCATENATE(F2546,G2546,H2546)</f>
        <v>402</v>
      </c>
      <c r="J2546" s="1" t="str">
        <f aca="false">_xlfn.IFS(AND(F2546&gt;=8,G2546&gt;=8,H2546&gt;=8),"CHAMPION",AND(F2546&gt;=6,G2546&gt;=7,H2546&gt;=6),"LOYAL CUSTOMER",AND(F2546&gt;=6,G2546&gt;=5,H2546&gt;=5),"POTENTIAL LOYALIST",AND(F2546&gt;=8,G2546&lt;=2,H2546&gt;=5),"NEW CUSTOMERS",AND(F2546&gt;=6,G2546&lt;=2,H2546&gt;=3),"PROMISING",AND(F2546&gt;=3,G2546&gt;=3,H2546&gt;=3),"NEED ATTENTION",AND(F2546&lt;=4,G2546&gt;=6,H2546&gt;=6),"AT RISK",AND(F2546&lt;=2,G2546&gt;=8,H2546&gt;=8),"CAN'T LOSE THEM",AND(F2546&lt;=2,G2546&lt;=2,H2546&lt;=2),"HIBERNATING",TRUE(),"Other")</f>
        <v>Other</v>
      </c>
      <c r="K2546" s="1" t="n">
        <f aca="false">RANK(E2546,$E$7:$E$4378)+COUNTIF($E$7:E2546,E2546)-1</f>
        <v>3361</v>
      </c>
    </row>
    <row r="2547" customFormat="false" ht="14.25" hidden="false" customHeight="true" outlineLevel="0" collapsed="false">
      <c r="A2547" s="51" t="n">
        <v>15775</v>
      </c>
      <c r="B2547" s="53" t="n">
        <v>40641.5388888889</v>
      </c>
      <c r="C2547" s="57" t="n">
        <f aca="false">INT($C$2)-INT(Table3[[#This Row],[Last Purchase Date]])</f>
        <v>246</v>
      </c>
      <c r="D2547" s="1" t="n">
        <v>1</v>
      </c>
      <c r="E2547" s="1" t="n">
        <v>104.9</v>
      </c>
      <c r="F2547" s="1" t="n">
        <f aca="false">ROUND((1-_xlfn.PERCENTRANK.INC($C$7:$C$4378,C2547))*9,0)</f>
        <v>1</v>
      </c>
      <c r="G2547" s="1" t="n">
        <f aca="false">ROUND(_xlfn.PERCENTRANK.INC($D$7:$D$4378,D2547)*9,0)</f>
        <v>0</v>
      </c>
      <c r="H2547" s="1" t="n">
        <f aca="false">ROUND(_xlfn.PERCENTRANK.INC($E$7:$E$4378,E2547)*9,0)</f>
        <v>0</v>
      </c>
      <c r="I2547" s="1" t="str">
        <f aca="false">CONCATENATE(F2547,G2547,H2547)</f>
        <v>100</v>
      </c>
      <c r="J2547" s="1" t="str">
        <f aca="false">_xlfn.IFS(AND(F2547&gt;=8,G2547&gt;=8,H2547&gt;=8),"CHAMPION",AND(F2547&gt;=6,G2547&gt;=7,H2547&gt;=6),"LOYAL CUSTOMER",AND(F2547&gt;=6,G2547&gt;=5,H2547&gt;=5),"POTENTIAL LOYALIST",AND(F2547&gt;=8,G2547&lt;=2,H2547&gt;=5),"NEW CUSTOMERS",AND(F2547&gt;=6,G2547&lt;=2,H2547&gt;=3),"PROMISING",AND(F2547&gt;=3,G2547&gt;=3,H2547&gt;=3),"NEED ATTENTION",AND(F2547&lt;=4,G2547&gt;=6,H2547&gt;=6),"AT RISK",AND(F2547&lt;=2,G2547&gt;=8,H2547&gt;=8),"CAN'T LOSE THEM",AND(F2547&lt;=2,G2547&lt;=2,H2547&lt;=2),"HIBERNATING",TRUE(),"Other")</f>
        <v>HIBERNATING</v>
      </c>
      <c r="K2547" s="1" t="n">
        <f aca="false">RANK(E2547,$E$7:$E$4378)+COUNTIF($E$7:E2547,E2547)-1</f>
        <v>4134</v>
      </c>
    </row>
    <row r="2548" customFormat="false" ht="14.25" hidden="false" customHeight="true" outlineLevel="0" collapsed="false">
      <c r="A2548" s="51" t="n">
        <v>15776</v>
      </c>
      <c r="B2548" s="53" t="n">
        <v>40753.5736111111</v>
      </c>
      <c r="C2548" s="57" t="n">
        <f aca="false">INT($C$2)-INT(Table3[[#This Row],[Last Purchase Date]])</f>
        <v>134</v>
      </c>
      <c r="D2548" s="1" t="n">
        <v>1</v>
      </c>
      <c r="E2548" s="1" t="n">
        <v>241.62</v>
      </c>
      <c r="F2548" s="1" t="n">
        <f aca="false">ROUND((1-_xlfn.PERCENTRANK.INC($C$7:$C$4378,C2548))*9,0)</f>
        <v>2</v>
      </c>
      <c r="G2548" s="1" t="n">
        <f aca="false">ROUND(_xlfn.PERCENTRANK.INC($D$7:$D$4378,D2548)*9,0)</f>
        <v>0</v>
      </c>
      <c r="H2548" s="1" t="n">
        <f aca="false">ROUND(_xlfn.PERCENTRANK.INC($E$7:$E$4378,E2548)*9,0)</f>
        <v>2</v>
      </c>
      <c r="I2548" s="1" t="str">
        <f aca="false">CONCATENATE(F2548,G2548,H2548)</f>
        <v>202</v>
      </c>
      <c r="J2548" s="1" t="str">
        <f aca="false">_xlfn.IFS(AND(F2548&gt;=8,G2548&gt;=8,H2548&gt;=8),"CHAMPION",AND(F2548&gt;=6,G2548&gt;=7,H2548&gt;=6),"LOYAL CUSTOMER",AND(F2548&gt;=6,G2548&gt;=5,H2548&gt;=5),"POTENTIAL LOYALIST",AND(F2548&gt;=8,G2548&lt;=2,H2548&gt;=5),"NEW CUSTOMERS",AND(F2548&gt;=6,G2548&lt;=2,H2548&gt;=3),"PROMISING",AND(F2548&gt;=3,G2548&gt;=3,H2548&gt;=3),"NEED ATTENTION",AND(F2548&lt;=4,G2548&gt;=6,H2548&gt;=6),"AT RISK",AND(F2548&lt;=2,G2548&gt;=8,H2548&gt;=8),"CAN'T LOSE THEM",AND(F2548&lt;=2,G2548&lt;=2,H2548&lt;=2),"HIBERNATING",TRUE(),"Other")</f>
        <v>HIBERNATING</v>
      </c>
      <c r="K2548" s="1" t="n">
        <f aca="false">RANK(E2548,$E$7:$E$4378)+COUNTIF($E$7:E2548,E2548)-1</f>
        <v>3474</v>
      </c>
    </row>
    <row r="2549" customFormat="false" ht="14.25" hidden="false" customHeight="true" outlineLevel="0" collapsed="false">
      <c r="A2549" s="51" t="n">
        <v>15777</v>
      </c>
      <c r="B2549" s="53" t="n">
        <v>40645.6965277778</v>
      </c>
      <c r="C2549" s="57" t="n">
        <f aca="false">INT($C$2)-INT(Table3[[#This Row],[Last Purchase Date]])</f>
        <v>242</v>
      </c>
      <c r="D2549" s="1" t="n">
        <v>5</v>
      </c>
      <c r="E2549" s="1" t="n">
        <v>1021.61</v>
      </c>
      <c r="F2549" s="1" t="n">
        <f aca="false">ROUND((1-_xlfn.PERCENTRANK.INC($C$7:$C$4378,C2549))*9,0)</f>
        <v>1</v>
      </c>
      <c r="G2549" s="1" t="n">
        <f aca="false">ROUND(_xlfn.PERCENTRANK.INC($D$7:$D$4378,D2549)*9,0)</f>
        <v>6</v>
      </c>
      <c r="H2549" s="1" t="n">
        <f aca="false">ROUND(_xlfn.PERCENTRANK.INC($E$7:$E$4378,E2549)*9,0)</f>
        <v>6</v>
      </c>
      <c r="I2549" s="1" t="str">
        <f aca="false">CONCATENATE(F2549,G2549,H2549)</f>
        <v>166</v>
      </c>
      <c r="J2549" s="1" t="str">
        <f aca="false">_xlfn.IFS(AND(F2549&gt;=8,G2549&gt;=8,H2549&gt;=8),"CHAMPION",AND(F2549&gt;=6,G2549&gt;=7,H2549&gt;=6),"LOYAL CUSTOMER",AND(F2549&gt;=6,G2549&gt;=5,H2549&gt;=5),"POTENTIAL LOYALIST",AND(F2549&gt;=8,G2549&lt;=2,H2549&gt;=5),"NEW CUSTOMERS",AND(F2549&gt;=6,G2549&lt;=2,H2549&gt;=3),"PROMISING",AND(F2549&gt;=3,G2549&gt;=3,H2549&gt;=3),"NEED ATTENTION",AND(F2549&lt;=4,G2549&gt;=6,H2549&gt;=6),"AT RISK",AND(F2549&lt;=2,G2549&gt;=8,H2549&gt;=8),"CAN'T LOSE THEM",AND(F2549&lt;=2,G2549&lt;=2,H2549&lt;=2),"HIBERNATING",TRUE(),"Other")</f>
        <v>AT RISK</v>
      </c>
      <c r="K2549" s="1" t="n">
        <f aca="false">RANK(E2549,$E$7:$E$4378)+COUNTIF($E$7:E2549,E2549)-1</f>
        <v>1602</v>
      </c>
    </row>
    <row r="2550" customFormat="false" ht="14.25" hidden="false" customHeight="true" outlineLevel="0" collapsed="false">
      <c r="A2550" s="51" t="n">
        <v>15780</v>
      </c>
      <c r="B2550" s="53" t="n">
        <v>40703.5006944445</v>
      </c>
      <c r="C2550" s="57" t="n">
        <f aca="false">INT($C$2)-INT(Table3[[#This Row],[Last Purchase Date]])</f>
        <v>184</v>
      </c>
      <c r="D2550" s="1" t="n">
        <v>3</v>
      </c>
      <c r="E2550" s="1" t="n">
        <v>475.28</v>
      </c>
      <c r="F2550" s="1" t="n">
        <f aca="false">ROUND((1-_xlfn.PERCENTRANK.INC($C$7:$C$4378,C2550))*9,0)</f>
        <v>2</v>
      </c>
      <c r="G2550" s="1" t="n">
        <f aca="false">ROUND(_xlfn.PERCENTRANK.INC($D$7:$D$4378,D2550)*9,0)</f>
        <v>4</v>
      </c>
      <c r="H2550" s="1" t="n">
        <f aca="false">ROUND(_xlfn.PERCENTRANK.INC($E$7:$E$4378,E2550)*9,0)</f>
        <v>4</v>
      </c>
      <c r="I2550" s="1" t="str">
        <f aca="false">CONCATENATE(F2550,G2550,H2550)</f>
        <v>244</v>
      </c>
      <c r="J2550" s="1" t="str">
        <f aca="false">_xlfn.IFS(AND(F2550&gt;=8,G2550&gt;=8,H2550&gt;=8),"CHAMPION",AND(F2550&gt;=6,G2550&gt;=7,H2550&gt;=6),"LOYAL CUSTOMER",AND(F2550&gt;=6,G2550&gt;=5,H2550&gt;=5),"POTENTIAL LOYALIST",AND(F2550&gt;=8,G2550&lt;=2,H2550&gt;=5),"NEW CUSTOMERS",AND(F2550&gt;=6,G2550&lt;=2,H2550&gt;=3),"PROMISING",AND(F2550&gt;=3,G2550&gt;=3,H2550&gt;=3),"NEED ATTENTION",AND(F2550&lt;=4,G2550&gt;=6,H2550&gt;=6),"AT RISK",AND(F2550&lt;=2,G2550&gt;=8,H2550&gt;=8),"CAN'T LOSE THEM",AND(F2550&lt;=2,G2550&lt;=2,H2550&lt;=2),"HIBERNATING",TRUE(),"Other")</f>
        <v>Other</v>
      </c>
      <c r="K2550" s="1" t="n">
        <f aca="false">RANK(E2550,$E$7:$E$4378)+COUNTIF($E$7:E2550,E2550)-1</f>
        <v>2603</v>
      </c>
    </row>
    <row r="2551" customFormat="false" ht="14.25" hidden="false" customHeight="true" outlineLevel="0" collapsed="false">
      <c r="A2551" s="51" t="n">
        <v>15781</v>
      </c>
      <c r="B2551" s="53" t="n">
        <v>40861.6229166667</v>
      </c>
      <c r="C2551" s="57" t="n">
        <f aca="false">INT($C$2)-INT(Table3[[#This Row],[Last Purchase Date]])</f>
        <v>26</v>
      </c>
      <c r="D2551" s="1" t="n">
        <v>4</v>
      </c>
      <c r="E2551" s="1" t="n">
        <v>333.56</v>
      </c>
      <c r="F2551" s="1" t="n">
        <f aca="false">ROUND((1-_xlfn.PERCENTRANK.INC($C$7:$C$4378,C2551))*9,0)</f>
        <v>6</v>
      </c>
      <c r="G2551" s="1" t="n">
        <f aca="false">ROUND(_xlfn.PERCENTRANK.INC($D$7:$D$4378,D2551)*9,0)</f>
        <v>5</v>
      </c>
      <c r="H2551" s="1" t="n">
        <f aca="false">ROUND(_xlfn.PERCENTRANK.INC($E$7:$E$4378,E2551)*9,0)</f>
        <v>3</v>
      </c>
      <c r="I2551" s="1" t="str">
        <f aca="false">CONCATENATE(F2551,G2551,H2551)</f>
        <v>653</v>
      </c>
      <c r="J2551" s="1" t="str">
        <f aca="false">_xlfn.IFS(AND(F2551&gt;=8,G2551&gt;=8,H2551&gt;=8),"CHAMPION",AND(F2551&gt;=6,G2551&gt;=7,H2551&gt;=6),"LOYAL CUSTOMER",AND(F2551&gt;=6,G2551&gt;=5,H2551&gt;=5),"POTENTIAL LOYALIST",AND(F2551&gt;=8,G2551&lt;=2,H2551&gt;=5),"NEW CUSTOMERS",AND(F2551&gt;=6,G2551&lt;=2,H2551&gt;=3),"PROMISING",AND(F2551&gt;=3,G2551&gt;=3,H2551&gt;=3),"NEED ATTENTION",AND(F2551&lt;=4,G2551&gt;=6,H2551&gt;=6),"AT RISK",AND(F2551&lt;=2,G2551&gt;=8,H2551&gt;=8),"CAN'T LOSE THEM",AND(F2551&lt;=2,G2551&lt;=2,H2551&lt;=2),"HIBERNATING",TRUE(),"Other")</f>
        <v>NEED ATTENTION</v>
      </c>
      <c r="K2551" s="1" t="n">
        <f aca="false">RANK(E2551,$E$7:$E$4378)+COUNTIF($E$7:E2551,E2551)-1</f>
        <v>3079</v>
      </c>
    </row>
    <row r="2552" customFormat="false" ht="14.25" hidden="false" customHeight="true" outlineLevel="0" collapsed="false">
      <c r="A2552" s="51" t="n">
        <v>15782</v>
      </c>
      <c r="B2552" s="53" t="n">
        <v>40877.4506944444</v>
      </c>
      <c r="C2552" s="57" t="n">
        <f aca="false">INT($C$2)-INT(Table3[[#This Row],[Last Purchase Date]])</f>
        <v>10</v>
      </c>
      <c r="D2552" s="1" t="n">
        <v>4</v>
      </c>
      <c r="E2552" s="1" t="n">
        <v>2593.94</v>
      </c>
      <c r="F2552" s="1" t="n">
        <f aca="false">ROUND((1-_xlfn.PERCENTRANK.INC($C$7:$C$4378,C2552))*9,0)</f>
        <v>8</v>
      </c>
      <c r="G2552" s="1" t="n">
        <f aca="false">ROUND(_xlfn.PERCENTRANK.INC($D$7:$D$4378,D2552)*9,0)</f>
        <v>5</v>
      </c>
      <c r="H2552" s="1" t="n">
        <f aca="false">ROUND(_xlfn.PERCENTRANK.INC($E$7:$E$4378,E2552)*9,0)</f>
        <v>8</v>
      </c>
      <c r="I2552" s="1" t="str">
        <f aca="false">CONCATENATE(F2552,G2552,H2552)</f>
        <v>858</v>
      </c>
      <c r="J2552" s="1" t="str">
        <f aca="false">_xlfn.IFS(AND(F2552&gt;=8,G2552&gt;=8,H2552&gt;=8),"CHAMPION",AND(F2552&gt;=6,G2552&gt;=7,H2552&gt;=6),"LOYAL CUSTOMER",AND(F2552&gt;=6,G2552&gt;=5,H2552&gt;=5),"POTENTIAL LOYALIST",AND(F2552&gt;=8,G2552&lt;=2,H2552&gt;=5),"NEW CUSTOMERS",AND(F2552&gt;=6,G2552&lt;=2,H2552&gt;=3),"PROMISING",AND(F2552&gt;=3,G2552&gt;=3,H2552&gt;=3),"NEED ATTENTION",AND(F2552&lt;=4,G2552&gt;=6,H2552&gt;=6),"AT RISK",AND(F2552&lt;=2,G2552&gt;=8,H2552&gt;=8),"CAN'T LOSE THEM",AND(F2552&lt;=2,G2552&lt;=2,H2552&lt;=2),"HIBERNATING",TRUE(),"Other")</f>
        <v>POTENTIAL LOYALIST</v>
      </c>
      <c r="K2552" s="1" t="n">
        <f aca="false">RANK(E2552,$E$7:$E$4378)+COUNTIF($E$7:E2552,E2552)-1</f>
        <v>651</v>
      </c>
    </row>
    <row r="2553" customFormat="false" ht="14.25" hidden="false" customHeight="true" outlineLevel="0" collapsed="false">
      <c r="A2553" s="51" t="n">
        <v>15783</v>
      </c>
      <c r="B2553" s="53" t="n">
        <v>40876.4097222222</v>
      </c>
      <c r="C2553" s="57" t="n">
        <f aca="false">INT($C$2)-INT(Table3[[#This Row],[Last Purchase Date]])</f>
        <v>11</v>
      </c>
      <c r="D2553" s="1" t="n">
        <v>1</v>
      </c>
      <c r="E2553" s="1" t="n">
        <v>246.3</v>
      </c>
      <c r="F2553" s="1" t="n">
        <f aca="false">ROUND((1-_xlfn.PERCENTRANK.INC($C$7:$C$4378,C2553))*9,0)</f>
        <v>7</v>
      </c>
      <c r="G2553" s="1" t="n">
        <f aca="false">ROUND(_xlfn.PERCENTRANK.INC($D$7:$D$4378,D2553)*9,0)</f>
        <v>0</v>
      </c>
      <c r="H2553" s="1" t="n">
        <f aca="false">ROUND(_xlfn.PERCENTRANK.INC($E$7:$E$4378,E2553)*9,0)</f>
        <v>2</v>
      </c>
      <c r="I2553" s="1" t="str">
        <f aca="false">CONCATENATE(F2553,G2553,H2553)</f>
        <v>702</v>
      </c>
      <c r="J2553" s="1" t="str">
        <f aca="false">_xlfn.IFS(AND(F2553&gt;=8,G2553&gt;=8,H2553&gt;=8),"CHAMPION",AND(F2553&gt;=6,G2553&gt;=7,H2553&gt;=6),"LOYAL CUSTOMER",AND(F2553&gt;=6,G2553&gt;=5,H2553&gt;=5),"POTENTIAL LOYALIST",AND(F2553&gt;=8,G2553&lt;=2,H2553&gt;=5),"NEW CUSTOMERS",AND(F2553&gt;=6,G2553&lt;=2,H2553&gt;=3),"PROMISING",AND(F2553&gt;=3,G2553&gt;=3,H2553&gt;=3),"NEED ATTENTION",AND(F2553&lt;=4,G2553&gt;=6,H2553&gt;=6),"AT RISK",AND(F2553&lt;=2,G2553&gt;=8,H2553&gt;=8),"CAN'T LOSE THEM",AND(F2553&lt;=2,G2553&lt;=2,H2553&lt;=2),"HIBERNATING",TRUE(),"Other")</f>
        <v>Other</v>
      </c>
      <c r="K2553" s="1" t="n">
        <f aca="false">RANK(E2553,$E$7:$E$4378)+COUNTIF($E$7:E2553,E2553)-1</f>
        <v>3453</v>
      </c>
    </row>
    <row r="2554" customFormat="false" ht="14.25" hidden="false" customHeight="true" outlineLevel="0" collapsed="false">
      <c r="A2554" s="51" t="n">
        <v>15785</v>
      </c>
      <c r="B2554" s="53" t="n">
        <v>40857.5055555556</v>
      </c>
      <c r="C2554" s="57" t="n">
        <f aca="false">INT($C$2)-INT(Table3[[#This Row],[Last Purchase Date]])</f>
        <v>30</v>
      </c>
      <c r="D2554" s="1" t="n">
        <v>8</v>
      </c>
      <c r="E2554" s="1" t="n">
        <v>2303.75</v>
      </c>
      <c r="F2554" s="1" t="n">
        <f aca="false">ROUND((1-_xlfn.PERCENTRANK.INC($C$7:$C$4378,C2554))*9,0)</f>
        <v>6</v>
      </c>
      <c r="G2554" s="1" t="n">
        <f aca="false">ROUND(_xlfn.PERCENTRANK.INC($D$7:$D$4378,D2554)*9,0)</f>
        <v>7</v>
      </c>
      <c r="H2554" s="1" t="n">
        <f aca="false">ROUND(_xlfn.PERCENTRANK.INC($E$7:$E$4378,E2554)*9,0)</f>
        <v>7</v>
      </c>
      <c r="I2554" s="1" t="str">
        <f aca="false">CONCATENATE(F2554,G2554,H2554)</f>
        <v>677</v>
      </c>
      <c r="J2554" s="1" t="str">
        <f aca="false">_xlfn.IFS(AND(F2554&gt;=8,G2554&gt;=8,H2554&gt;=8),"CHAMPION",AND(F2554&gt;=6,G2554&gt;=7,H2554&gt;=6),"LOYAL CUSTOMER",AND(F2554&gt;=6,G2554&gt;=5,H2554&gt;=5),"POTENTIAL LOYALIST",AND(F2554&gt;=8,G2554&lt;=2,H2554&gt;=5),"NEW CUSTOMERS",AND(F2554&gt;=6,G2554&lt;=2,H2554&gt;=3),"PROMISING",AND(F2554&gt;=3,G2554&gt;=3,H2554&gt;=3),"NEED ATTENTION",AND(F2554&lt;=4,G2554&gt;=6,H2554&gt;=6),"AT RISK",AND(F2554&lt;=2,G2554&gt;=8,H2554&gt;=8),"CAN'T LOSE THEM",AND(F2554&lt;=2,G2554&lt;=2,H2554&lt;=2),"HIBERNATING",TRUE(),"Other")</f>
        <v>LOYAL CUSTOMER</v>
      </c>
      <c r="K2554" s="1" t="n">
        <f aca="false">RANK(E2554,$E$7:$E$4378)+COUNTIF($E$7:E2554,E2554)-1</f>
        <v>740</v>
      </c>
    </row>
    <row r="2555" customFormat="false" ht="14.25" hidden="false" customHeight="true" outlineLevel="0" collapsed="false">
      <c r="A2555" s="51" t="n">
        <v>15786</v>
      </c>
      <c r="B2555" s="53" t="n">
        <v>40843.4534722222</v>
      </c>
      <c r="C2555" s="57" t="n">
        <f aca="false">INT($C$2)-INT(Table3[[#This Row],[Last Purchase Date]])</f>
        <v>44</v>
      </c>
      <c r="D2555" s="1" t="n">
        <v>5</v>
      </c>
      <c r="E2555" s="1" t="n">
        <v>4834.2</v>
      </c>
      <c r="F2555" s="1" t="n">
        <f aca="false">ROUND((1-_xlfn.PERCENTRANK.INC($C$7:$C$4378,C2555))*9,0)</f>
        <v>5</v>
      </c>
      <c r="G2555" s="1" t="n">
        <f aca="false">ROUND(_xlfn.PERCENTRANK.INC($D$7:$D$4378,D2555)*9,0)</f>
        <v>6</v>
      </c>
      <c r="H2555" s="1" t="n">
        <f aca="false">ROUND(_xlfn.PERCENTRANK.INC($E$7:$E$4378,E2555)*9,0)</f>
        <v>8</v>
      </c>
      <c r="I2555" s="1" t="str">
        <f aca="false">CONCATENATE(F2555,G2555,H2555)</f>
        <v>568</v>
      </c>
      <c r="J2555" s="1" t="str">
        <f aca="false">_xlfn.IFS(AND(F2555&gt;=8,G2555&gt;=8,H2555&gt;=8),"CHAMPION",AND(F2555&gt;=6,G2555&gt;=7,H2555&gt;=6),"LOYAL CUSTOMER",AND(F2555&gt;=6,G2555&gt;=5,H2555&gt;=5),"POTENTIAL LOYALIST",AND(F2555&gt;=8,G2555&lt;=2,H2555&gt;=5),"NEW CUSTOMERS",AND(F2555&gt;=6,G2555&lt;=2,H2555&gt;=3),"PROMISING",AND(F2555&gt;=3,G2555&gt;=3,H2555&gt;=3),"NEED ATTENTION",AND(F2555&lt;=4,G2555&gt;=6,H2555&gt;=6),"AT RISK",AND(F2555&lt;=2,G2555&gt;=8,H2555&gt;=8),"CAN'T LOSE THEM",AND(F2555&lt;=2,G2555&lt;=2,H2555&lt;=2),"HIBERNATING",TRUE(),"Other")</f>
        <v>NEED ATTENTION</v>
      </c>
      <c r="K2555" s="1" t="n">
        <f aca="false">RANK(E2555,$E$7:$E$4378)+COUNTIF($E$7:E2555,E2555)-1</f>
        <v>275</v>
      </c>
    </row>
    <row r="2556" customFormat="false" ht="14.25" hidden="false" customHeight="true" outlineLevel="0" collapsed="false">
      <c r="A2556" s="51" t="n">
        <v>15787</v>
      </c>
      <c r="B2556" s="53" t="n">
        <v>40860.6215277778</v>
      </c>
      <c r="C2556" s="57" t="n">
        <f aca="false">INT($C$2)-INT(Table3[[#This Row],[Last Purchase Date]])</f>
        <v>27</v>
      </c>
      <c r="D2556" s="1" t="n">
        <v>3</v>
      </c>
      <c r="E2556" s="1" t="n">
        <v>948.05</v>
      </c>
      <c r="F2556" s="1" t="n">
        <f aca="false">ROUND((1-_xlfn.PERCENTRANK.INC($C$7:$C$4378,C2556))*9,0)</f>
        <v>6</v>
      </c>
      <c r="G2556" s="1" t="n">
        <f aca="false">ROUND(_xlfn.PERCENTRANK.INC($D$7:$D$4378,D2556)*9,0)</f>
        <v>4</v>
      </c>
      <c r="H2556" s="1" t="n">
        <f aca="false">ROUND(_xlfn.PERCENTRANK.INC($E$7:$E$4378,E2556)*9,0)</f>
        <v>6</v>
      </c>
      <c r="I2556" s="1" t="str">
        <f aca="false">CONCATENATE(F2556,G2556,H2556)</f>
        <v>646</v>
      </c>
      <c r="J2556" s="1" t="str">
        <f aca="false">_xlfn.IFS(AND(F2556&gt;=8,G2556&gt;=8,H2556&gt;=8),"CHAMPION",AND(F2556&gt;=6,G2556&gt;=7,H2556&gt;=6),"LOYAL CUSTOMER",AND(F2556&gt;=6,G2556&gt;=5,H2556&gt;=5),"POTENTIAL LOYALIST",AND(F2556&gt;=8,G2556&lt;=2,H2556&gt;=5),"NEW CUSTOMERS",AND(F2556&gt;=6,G2556&lt;=2,H2556&gt;=3),"PROMISING",AND(F2556&gt;=3,G2556&gt;=3,H2556&gt;=3),"NEED ATTENTION",AND(F2556&lt;=4,G2556&gt;=6,H2556&gt;=6),"AT RISK",AND(F2556&lt;=2,G2556&gt;=8,H2556&gt;=8),"CAN'T LOSE THEM",AND(F2556&lt;=2,G2556&lt;=2,H2556&lt;=2),"HIBERNATING",TRUE(),"Other")</f>
        <v>NEED ATTENTION</v>
      </c>
      <c r="K2556" s="1" t="n">
        <f aca="false">RANK(E2556,$E$7:$E$4378)+COUNTIF($E$7:E2556,E2556)-1</f>
        <v>1699</v>
      </c>
    </row>
    <row r="2557" customFormat="false" ht="14.25" hidden="false" customHeight="true" outlineLevel="0" collapsed="false">
      <c r="A2557" s="51" t="n">
        <v>15789</v>
      </c>
      <c r="B2557" s="53" t="n">
        <v>40528.6076388889</v>
      </c>
      <c r="C2557" s="57" t="n">
        <f aca="false">INT($C$2)-INT(Table3[[#This Row],[Last Purchase Date]])</f>
        <v>359</v>
      </c>
      <c r="D2557" s="1" t="n">
        <v>1</v>
      </c>
      <c r="E2557" s="1" t="n">
        <v>351.3</v>
      </c>
      <c r="F2557" s="1" t="n">
        <f aca="false">ROUND((1-_xlfn.PERCENTRANK.INC($C$7:$C$4378,C2557))*9,0)</f>
        <v>0</v>
      </c>
      <c r="G2557" s="1" t="n">
        <f aca="false">ROUND(_xlfn.PERCENTRANK.INC($D$7:$D$4378,D2557)*9,0)</f>
        <v>0</v>
      </c>
      <c r="H2557" s="1" t="n">
        <f aca="false">ROUND(_xlfn.PERCENTRANK.INC($E$7:$E$4378,E2557)*9,0)</f>
        <v>3</v>
      </c>
      <c r="I2557" s="1" t="str">
        <f aca="false">CONCATENATE(F2557,G2557,H2557)</f>
        <v>003</v>
      </c>
      <c r="J2557" s="1" t="str">
        <f aca="false">_xlfn.IFS(AND(F2557&gt;=8,G2557&gt;=8,H2557&gt;=8),"CHAMPION",AND(F2557&gt;=6,G2557&gt;=7,H2557&gt;=6),"LOYAL CUSTOMER",AND(F2557&gt;=6,G2557&gt;=5,H2557&gt;=5),"POTENTIAL LOYALIST",AND(F2557&gt;=8,G2557&lt;=2,H2557&gt;=5),"NEW CUSTOMERS",AND(F2557&gt;=6,G2557&lt;=2,H2557&gt;=3),"PROMISING",AND(F2557&gt;=3,G2557&gt;=3,H2557&gt;=3),"NEED ATTENTION",AND(F2557&lt;=4,G2557&gt;=6,H2557&gt;=6),"AT RISK",AND(F2557&lt;=2,G2557&gt;=8,H2557&gt;=8),"CAN'T LOSE THEM",AND(F2557&lt;=2,G2557&lt;=2,H2557&lt;=2),"HIBERNATING",TRUE(),"Other")</f>
        <v>Other</v>
      </c>
      <c r="K2557" s="1" t="n">
        <f aca="false">RANK(E2557,$E$7:$E$4378)+COUNTIF($E$7:E2557,E2557)-1</f>
        <v>2999</v>
      </c>
    </row>
    <row r="2558" customFormat="false" ht="14.25" hidden="false" customHeight="true" outlineLevel="0" collapsed="false">
      <c r="A2558" s="51" t="n">
        <v>15790</v>
      </c>
      <c r="B2558" s="53" t="n">
        <v>40876.6201388889</v>
      </c>
      <c r="C2558" s="57" t="n">
        <f aca="false">INT($C$2)-INT(Table3[[#This Row],[Last Purchase Date]])</f>
        <v>11</v>
      </c>
      <c r="D2558" s="1" t="n">
        <v>1</v>
      </c>
      <c r="E2558" s="1" t="n">
        <v>220.85</v>
      </c>
      <c r="F2558" s="1" t="n">
        <f aca="false">ROUND((1-_xlfn.PERCENTRANK.INC($C$7:$C$4378,C2558))*9,0)</f>
        <v>7</v>
      </c>
      <c r="G2558" s="1" t="n">
        <f aca="false">ROUND(_xlfn.PERCENTRANK.INC($D$7:$D$4378,D2558)*9,0)</f>
        <v>0</v>
      </c>
      <c r="H2558" s="1" t="n">
        <f aca="false">ROUND(_xlfn.PERCENTRANK.INC($E$7:$E$4378,E2558)*9,0)</f>
        <v>2</v>
      </c>
      <c r="I2558" s="1" t="str">
        <f aca="false">CONCATENATE(F2558,G2558,H2558)</f>
        <v>702</v>
      </c>
      <c r="J2558" s="1" t="str">
        <f aca="false">_xlfn.IFS(AND(F2558&gt;=8,G2558&gt;=8,H2558&gt;=8),"CHAMPION",AND(F2558&gt;=6,G2558&gt;=7,H2558&gt;=6),"LOYAL CUSTOMER",AND(F2558&gt;=6,G2558&gt;=5,H2558&gt;=5),"POTENTIAL LOYALIST",AND(F2558&gt;=8,G2558&lt;=2,H2558&gt;=5),"NEW CUSTOMERS",AND(F2558&gt;=6,G2558&lt;=2,H2558&gt;=3),"PROMISING",AND(F2558&gt;=3,G2558&gt;=3,H2558&gt;=3),"NEED ATTENTION",AND(F2558&lt;=4,G2558&gt;=6,H2558&gt;=6),"AT RISK",AND(F2558&lt;=2,G2558&gt;=8,H2558&gt;=8),"CAN'T LOSE THEM",AND(F2558&lt;=2,G2558&lt;=2,H2558&lt;=2),"HIBERNATING",TRUE(),"Other")</f>
        <v>Other</v>
      </c>
      <c r="K2558" s="1" t="n">
        <f aca="false">RANK(E2558,$E$7:$E$4378)+COUNTIF($E$7:E2558,E2558)-1</f>
        <v>3556</v>
      </c>
    </row>
    <row r="2559" customFormat="false" ht="14.25" hidden="false" customHeight="true" outlineLevel="0" collapsed="false">
      <c r="A2559" s="51" t="n">
        <v>15791</v>
      </c>
      <c r="B2559" s="53" t="n">
        <v>40843.4263888889</v>
      </c>
      <c r="C2559" s="57" t="n">
        <f aca="false">INT($C$2)-INT(Table3[[#This Row],[Last Purchase Date]])</f>
        <v>44</v>
      </c>
      <c r="D2559" s="1" t="n">
        <v>3</v>
      </c>
      <c r="E2559" s="1" t="n">
        <v>1604.44</v>
      </c>
      <c r="F2559" s="1" t="n">
        <f aca="false">ROUND((1-_xlfn.PERCENTRANK.INC($C$7:$C$4378,C2559))*9,0)</f>
        <v>5</v>
      </c>
      <c r="G2559" s="1" t="n">
        <f aca="false">ROUND(_xlfn.PERCENTRANK.INC($D$7:$D$4378,D2559)*9,0)</f>
        <v>4</v>
      </c>
      <c r="H2559" s="1" t="n">
        <f aca="false">ROUND(_xlfn.PERCENTRANK.INC($E$7:$E$4378,E2559)*9,0)</f>
        <v>7</v>
      </c>
      <c r="I2559" s="1" t="str">
        <f aca="false">CONCATENATE(F2559,G2559,H2559)</f>
        <v>547</v>
      </c>
      <c r="J2559" s="1" t="str">
        <f aca="false">_xlfn.IFS(AND(F2559&gt;=8,G2559&gt;=8,H2559&gt;=8),"CHAMPION",AND(F2559&gt;=6,G2559&gt;=7,H2559&gt;=6),"LOYAL CUSTOMER",AND(F2559&gt;=6,G2559&gt;=5,H2559&gt;=5),"POTENTIAL LOYALIST",AND(F2559&gt;=8,G2559&lt;=2,H2559&gt;=5),"NEW CUSTOMERS",AND(F2559&gt;=6,G2559&lt;=2,H2559&gt;=3),"PROMISING",AND(F2559&gt;=3,G2559&gt;=3,H2559&gt;=3),"NEED ATTENTION",AND(F2559&lt;=4,G2559&gt;=6,H2559&gt;=6),"AT RISK",AND(F2559&lt;=2,G2559&gt;=8,H2559&gt;=8),"CAN'T LOSE THEM",AND(F2559&lt;=2,G2559&lt;=2,H2559&lt;=2),"HIBERNATING",TRUE(),"Other")</f>
        <v>NEED ATTENTION</v>
      </c>
      <c r="K2559" s="1" t="n">
        <f aca="false">RANK(E2559,$E$7:$E$4378)+COUNTIF($E$7:E2559,E2559)-1</f>
        <v>1099</v>
      </c>
    </row>
    <row r="2560" customFormat="false" ht="14.25" hidden="false" customHeight="true" outlineLevel="0" collapsed="false">
      <c r="A2560" s="51" t="n">
        <v>15793</v>
      </c>
      <c r="B2560" s="53" t="n">
        <v>40877.6305555556</v>
      </c>
      <c r="C2560" s="57" t="n">
        <f aca="false">INT($C$2)-INT(Table3[[#This Row],[Last Purchase Date]])</f>
        <v>10</v>
      </c>
      <c r="D2560" s="1" t="n">
        <v>4</v>
      </c>
      <c r="E2560" s="1" t="n">
        <v>948.96</v>
      </c>
      <c r="F2560" s="1" t="n">
        <f aca="false">ROUND((1-_xlfn.PERCENTRANK.INC($C$7:$C$4378,C2560))*9,0)</f>
        <v>8</v>
      </c>
      <c r="G2560" s="1" t="n">
        <f aca="false">ROUND(_xlfn.PERCENTRANK.INC($D$7:$D$4378,D2560)*9,0)</f>
        <v>5</v>
      </c>
      <c r="H2560" s="1" t="n">
        <f aca="false">ROUND(_xlfn.PERCENTRANK.INC($E$7:$E$4378,E2560)*9,0)</f>
        <v>6</v>
      </c>
      <c r="I2560" s="1" t="str">
        <f aca="false">CONCATENATE(F2560,G2560,H2560)</f>
        <v>856</v>
      </c>
      <c r="J2560" s="1" t="str">
        <f aca="false">_xlfn.IFS(AND(F2560&gt;=8,G2560&gt;=8,H2560&gt;=8),"CHAMPION",AND(F2560&gt;=6,G2560&gt;=7,H2560&gt;=6),"LOYAL CUSTOMER",AND(F2560&gt;=6,G2560&gt;=5,H2560&gt;=5),"POTENTIAL LOYALIST",AND(F2560&gt;=8,G2560&lt;=2,H2560&gt;=5),"NEW CUSTOMERS",AND(F2560&gt;=6,G2560&lt;=2,H2560&gt;=3),"PROMISING",AND(F2560&gt;=3,G2560&gt;=3,H2560&gt;=3),"NEED ATTENTION",AND(F2560&lt;=4,G2560&gt;=6,H2560&gt;=6),"AT RISK",AND(F2560&lt;=2,G2560&gt;=8,H2560&gt;=8),"CAN'T LOSE THEM",AND(F2560&lt;=2,G2560&lt;=2,H2560&lt;=2),"HIBERNATING",TRUE(),"Other")</f>
        <v>POTENTIAL LOYALIST</v>
      </c>
      <c r="K2560" s="1" t="n">
        <f aca="false">RANK(E2560,$E$7:$E$4378)+COUNTIF($E$7:E2560,E2560)-1</f>
        <v>1697</v>
      </c>
    </row>
    <row r="2561" customFormat="false" ht="14.25" hidden="false" customHeight="true" outlineLevel="0" collapsed="false">
      <c r="A2561" s="51" t="n">
        <v>15795</v>
      </c>
      <c r="B2561" s="53" t="n">
        <v>40737.4465277778</v>
      </c>
      <c r="C2561" s="57" t="n">
        <f aca="false">INT($C$2)-INT(Table3[[#This Row],[Last Purchase Date]])</f>
        <v>150</v>
      </c>
      <c r="D2561" s="1" t="n">
        <v>1</v>
      </c>
      <c r="E2561" s="1" t="n">
        <v>610.01</v>
      </c>
      <c r="F2561" s="1" t="n">
        <f aca="false">ROUND((1-_xlfn.PERCENTRANK.INC($C$7:$C$4378,C2561))*9,0)</f>
        <v>2</v>
      </c>
      <c r="G2561" s="1" t="n">
        <f aca="false">ROUND(_xlfn.PERCENTRANK.INC($D$7:$D$4378,D2561)*9,0)</f>
        <v>0</v>
      </c>
      <c r="H2561" s="1" t="n">
        <f aca="false">ROUND(_xlfn.PERCENTRANK.INC($E$7:$E$4378,E2561)*9,0)</f>
        <v>4</v>
      </c>
      <c r="I2561" s="1" t="str">
        <f aca="false">CONCATENATE(F2561,G2561,H2561)</f>
        <v>204</v>
      </c>
      <c r="J2561" s="1" t="str">
        <f aca="false">_xlfn.IFS(AND(F2561&gt;=8,G2561&gt;=8,H2561&gt;=8),"CHAMPION",AND(F2561&gt;=6,G2561&gt;=7,H2561&gt;=6),"LOYAL CUSTOMER",AND(F2561&gt;=6,G2561&gt;=5,H2561&gt;=5),"POTENTIAL LOYALIST",AND(F2561&gt;=8,G2561&lt;=2,H2561&gt;=5),"NEW CUSTOMERS",AND(F2561&gt;=6,G2561&lt;=2,H2561&gt;=3),"PROMISING",AND(F2561&gt;=3,G2561&gt;=3,H2561&gt;=3),"NEED ATTENTION",AND(F2561&lt;=4,G2561&gt;=6,H2561&gt;=6),"AT RISK",AND(F2561&lt;=2,G2561&gt;=8,H2561&gt;=8),"CAN'T LOSE THEM",AND(F2561&lt;=2,G2561&lt;=2,H2561&lt;=2),"HIBERNATING",TRUE(),"Other")</f>
        <v>Other</v>
      </c>
      <c r="K2561" s="1" t="n">
        <f aca="false">RANK(E2561,$E$7:$E$4378)+COUNTIF($E$7:E2561,E2561)-1</f>
        <v>2282</v>
      </c>
    </row>
    <row r="2562" customFormat="false" ht="14.25" hidden="false" customHeight="true" outlineLevel="0" collapsed="false">
      <c r="A2562" s="51" t="n">
        <v>15796</v>
      </c>
      <c r="B2562" s="53" t="n">
        <v>40885.8298611111</v>
      </c>
      <c r="C2562" s="57" t="n">
        <f aca="false">INT($C$2)-INT(Table3[[#This Row],[Last Purchase Date]])</f>
        <v>2</v>
      </c>
      <c r="D2562" s="1" t="n">
        <v>10</v>
      </c>
      <c r="E2562" s="1" t="n">
        <v>2666.61</v>
      </c>
      <c r="F2562" s="1" t="n">
        <f aca="false">ROUND((1-_xlfn.PERCENTRANK.INC($C$7:$C$4378,C2562))*9,0)</f>
        <v>9</v>
      </c>
      <c r="G2562" s="1" t="n">
        <f aca="false">ROUND(_xlfn.PERCENTRANK.INC($D$7:$D$4378,D2562)*9,0)</f>
        <v>8</v>
      </c>
      <c r="H2562" s="1" t="n">
        <f aca="false">ROUND(_xlfn.PERCENTRANK.INC($E$7:$E$4378,E2562)*9,0)</f>
        <v>8</v>
      </c>
      <c r="I2562" s="1" t="str">
        <f aca="false">CONCATENATE(F2562,G2562,H2562)</f>
        <v>988</v>
      </c>
      <c r="J2562" s="1" t="str">
        <f aca="false">_xlfn.IFS(AND(F2562&gt;=8,G2562&gt;=8,H2562&gt;=8),"CHAMPION",AND(F2562&gt;=6,G2562&gt;=7,H2562&gt;=6),"LOYAL CUSTOMER",AND(F2562&gt;=6,G2562&gt;=5,H2562&gt;=5),"POTENTIAL LOYALIST",AND(F2562&gt;=8,G2562&lt;=2,H2562&gt;=5),"NEW CUSTOMERS",AND(F2562&gt;=6,G2562&lt;=2,H2562&gt;=3),"PROMISING",AND(F2562&gt;=3,G2562&gt;=3,H2562&gt;=3),"NEED ATTENTION",AND(F2562&lt;=4,G2562&gt;=6,H2562&gt;=6),"AT RISK",AND(F2562&lt;=2,G2562&gt;=8,H2562&gt;=8),"CAN'T LOSE THEM",AND(F2562&lt;=2,G2562&lt;=2,H2562&lt;=2),"HIBERNATING",TRUE(),"Other")</f>
        <v>CHAMPION</v>
      </c>
      <c r="K2562" s="1" t="n">
        <f aca="false">RANK(E2562,$E$7:$E$4378)+COUNTIF($E$7:E2562,E2562)-1</f>
        <v>620</v>
      </c>
    </row>
    <row r="2563" customFormat="false" ht="14.25" hidden="false" customHeight="true" outlineLevel="0" collapsed="false">
      <c r="A2563" s="51" t="n">
        <v>15797</v>
      </c>
      <c r="B2563" s="53" t="n">
        <v>40773.7111111111</v>
      </c>
      <c r="C2563" s="57" t="n">
        <f aca="false">INT($C$2)-INT(Table3[[#This Row],[Last Purchase Date]])</f>
        <v>114</v>
      </c>
      <c r="D2563" s="1" t="n">
        <v>4</v>
      </c>
      <c r="E2563" s="1" t="n">
        <v>2207.4</v>
      </c>
      <c r="F2563" s="1" t="n">
        <f aca="false">ROUND((1-_xlfn.PERCENTRANK.INC($C$7:$C$4378,C2563))*9,0)</f>
        <v>3</v>
      </c>
      <c r="G2563" s="1" t="n">
        <f aca="false">ROUND(_xlfn.PERCENTRANK.INC($D$7:$D$4378,D2563)*9,0)</f>
        <v>5</v>
      </c>
      <c r="H2563" s="1" t="n">
        <f aca="false">ROUND(_xlfn.PERCENTRANK.INC($E$7:$E$4378,E2563)*9,0)</f>
        <v>7</v>
      </c>
      <c r="I2563" s="1" t="str">
        <f aca="false">CONCATENATE(F2563,G2563,H2563)</f>
        <v>357</v>
      </c>
      <c r="J2563" s="1" t="str">
        <f aca="false">_xlfn.IFS(AND(F2563&gt;=8,G2563&gt;=8,H2563&gt;=8),"CHAMPION",AND(F2563&gt;=6,G2563&gt;=7,H2563&gt;=6),"LOYAL CUSTOMER",AND(F2563&gt;=6,G2563&gt;=5,H2563&gt;=5),"POTENTIAL LOYALIST",AND(F2563&gt;=8,G2563&lt;=2,H2563&gt;=5),"NEW CUSTOMERS",AND(F2563&gt;=6,G2563&lt;=2,H2563&gt;=3),"PROMISING",AND(F2563&gt;=3,G2563&gt;=3,H2563&gt;=3),"NEED ATTENTION",AND(F2563&lt;=4,G2563&gt;=6,H2563&gt;=6),"AT RISK",AND(F2563&lt;=2,G2563&gt;=8,H2563&gt;=8),"CAN'T LOSE THEM",AND(F2563&lt;=2,G2563&lt;=2,H2563&lt;=2),"HIBERNATING",TRUE(),"Other")</f>
        <v>NEED ATTENTION</v>
      </c>
      <c r="K2563" s="1" t="n">
        <f aca="false">RANK(E2563,$E$7:$E$4378)+COUNTIF($E$7:E2563,E2563)-1</f>
        <v>778</v>
      </c>
    </row>
    <row r="2564" customFormat="false" ht="14.25" hidden="false" customHeight="true" outlineLevel="0" collapsed="false">
      <c r="A2564" s="51" t="n">
        <v>15799</v>
      </c>
      <c r="B2564" s="53" t="n">
        <v>40811.5319444445</v>
      </c>
      <c r="C2564" s="57" t="n">
        <f aca="false">INT($C$2)-INT(Table3[[#This Row],[Last Purchase Date]])</f>
        <v>76</v>
      </c>
      <c r="D2564" s="1" t="n">
        <v>3</v>
      </c>
      <c r="E2564" s="1" t="n">
        <v>884.14</v>
      </c>
      <c r="F2564" s="1" t="n">
        <f aca="false">ROUND((1-_xlfn.PERCENTRANK.INC($C$7:$C$4378,C2564))*9,0)</f>
        <v>3</v>
      </c>
      <c r="G2564" s="1" t="n">
        <f aca="false">ROUND(_xlfn.PERCENTRANK.INC($D$7:$D$4378,D2564)*9,0)</f>
        <v>4</v>
      </c>
      <c r="H2564" s="1" t="n">
        <f aca="false">ROUND(_xlfn.PERCENTRANK.INC($E$7:$E$4378,E2564)*9,0)</f>
        <v>5</v>
      </c>
      <c r="I2564" s="1" t="str">
        <f aca="false">CONCATENATE(F2564,G2564,H2564)</f>
        <v>345</v>
      </c>
      <c r="J2564" s="1" t="str">
        <f aca="false">_xlfn.IFS(AND(F2564&gt;=8,G2564&gt;=8,H2564&gt;=8),"CHAMPION",AND(F2564&gt;=6,G2564&gt;=7,H2564&gt;=6),"LOYAL CUSTOMER",AND(F2564&gt;=6,G2564&gt;=5,H2564&gt;=5),"POTENTIAL LOYALIST",AND(F2564&gt;=8,G2564&lt;=2,H2564&gt;=5),"NEW CUSTOMERS",AND(F2564&gt;=6,G2564&lt;=2,H2564&gt;=3),"PROMISING",AND(F2564&gt;=3,G2564&gt;=3,H2564&gt;=3),"NEED ATTENTION",AND(F2564&lt;=4,G2564&gt;=6,H2564&gt;=6),"AT RISK",AND(F2564&lt;=2,G2564&gt;=8,H2564&gt;=8),"CAN'T LOSE THEM",AND(F2564&lt;=2,G2564&lt;=2,H2564&lt;=2),"HIBERNATING",TRUE(),"Other")</f>
        <v>NEED ATTENTION</v>
      </c>
      <c r="K2564" s="1" t="n">
        <f aca="false">RANK(E2564,$E$7:$E$4378)+COUNTIF($E$7:E2564,E2564)-1</f>
        <v>1782</v>
      </c>
    </row>
    <row r="2565" customFormat="false" ht="14.25" hidden="false" customHeight="true" outlineLevel="0" collapsed="false">
      <c r="A2565" s="51" t="n">
        <v>15800</v>
      </c>
      <c r="B2565" s="53" t="n">
        <v>40779.5993055556</v>
      </c>
      <c r="C2565" s="57" t="n">
        <f aca="false">INT($C$2)-INT(Table3[[#This Row],[Last Purchase Date]])</f>
        <v>108</v>
      </c>
      <c r="D2565" s="1" t="n">
        <v>2</v>
      </c>
      <c r="E2565" s="1" t="n">
        <v>699.08</v>
      </c>
      <c r="F2565" s="1" t="n">
        <f aca="false">ROUND((1-_xlfn.PERCENTRANK.INC($C$7:$C$4378,C2565))*9,0)</f>
        <v>3</v>
      </c>
      <c r="G2565" s="1" t="n">
        <f aca="false">ROUND(_xlfn.PERCENTRANK.INC($D$7:$D$4378,D2565)*9,0)</f>
        <v>3</v>
      </c>
      <c r="H2565" s="1" t="n">
        <f aca="false">ROUND(_xlfn.PERCENTRANK.INC($E$7:$E$4378,E2565)*9,0)</f>
        <v>5</v>
      </c>
      <c r="I2565" s="1" t="str">
        <f aca="false">CONCATENATE(F2565,G2565,H2565)</f>
        <v>335</v>
      </c>
      <c r="J2565" s="1" t="str">
        <f aca="false">_xlfn.IFS(AND(F2565&gt;=8,G2565&gt;=8,H2565&gt;=8),"CHAMPION",AND(F2565&gt;=6,G2565&gt;=7,H2565&gt;=6),"LOYAL CUSTOMER",AND(F2565&gt;=6,G2565&gt;=5,H2565&gt;=5),"POTENTIAL LOYALIST",AND(F2565&gt;=8,G2565&lt;=2,H2565&gt;=5),"NEW CUSTOMERS",AND(F2565&gt;=6,G2565&lt;=2,H2565&gt;=3),"PROMISING",AND(F2565&gt;=3,G2565&gt;=3,H2565&gt;=3),"NEED ATTENTION",AND(F2565&lt;=4,G2565&gt;=6,H2565&gt;=6),"AT RISK",AND(F2565&lt;=2,G2565&gt;=8,H2565&gt;=8),"CAN'T LOSE THEM",AND(F2565&lt;=2,G2565&lt;=2,H2565&lt;=2),"HIBERNATING",TRUE(),"Other")</f>
        <v>NEED ATTENTION</v>
      </c>
      <c r="K2565" s="1" t="n">
        <f aca="false">RANK(E2565,$E$7:$E$4378)+COUNTIF($E$7:E2565,E2565)-1</f>
        <v>2068</v>
      </c>
    </row>
    <row r="2566" customFormat="false" ht="14.25" hidden="false" customHeight="true" outlineLevel="0" collapsed="false">
      <c r="A2566" s="51" t="n">
        <v>15801</v>
      </c>
      <c r="B2566" s="53" t="n">
        <v>40840.5777777778</v>
      </c>
      <c r="C2566" s="57" t="n">
        <f aca="false">INT($C$2)-INT(Table3[[#This Row],[Last Purchase Date]])</f>
        <v>47</v>
      </c>
      <c r="D2566" s="1" t="n">
        <v>4</v>
      </c>
      <c r="E2566" s="1" t="n">
        <v>1042.19</v>
      </c>
      <c r="F2566" s="1" t="n">
        <f aca="false">ROUND((1-_xlfn.PERCENTRANK.INC($C$7:$C$4378,C2566))*9,0)</f>
        <v>5</v>
      </c>
      <c r="G2566" s="1" t="n">
        <f aca="false">ROUND(_xlfn.PERCENTRANK.INC($D$7:$D$4378,D2566)*9,0)</f>
        <v>5</v>
      </c>
      <c r="H2566" s="1" t="n">
        <f aca="false">ROUND(_xlfn.PERCENTRANK.INC($E$7:$E$4378,E2566)*9,0)</f>
        <v>6</v>
      </c>
      <c r="I2566" s="1" t="str">
        <f aca="false">CONCATENATE(F2566,G2566,H2566)</f>
        <v>556</v>
      </c>
      <c r="J2566" s="1" t="str">
        <f aca="false">_xlfn.IFS(AND(F2566&gt;=8,G2566&gt;=8,H2566&gt;=8),"CHAMPION",AND(F2566&gt;=6,G2566&gt;=7,H2566&gt;=6),"LOYAL CUSTOMER",AND(F2566&gt;=6,G2566&gt;=5,H2566&gt;=5),"POTENTIAL LOYALIST",AND(F2566&gt;=8,G2566&lt;=2,H2566&gt;=5),"NEW CUSTOMERS",AND(F2566&gt;=6,G2566&lt;=2,H2566&gt;=3),"PROMISING",AND(F2566&gt;=3,G2566&gt;=3,H2566&gt;=3),"NEED ATTENTION",AND(F2566&lt;=4,G2566&gt;=6,H2566&gt;=6),"AT RISK",AND(F2566&lt;=2,G2566&gt;=8,H2566&gt;=8),"CAN'T LOSE THEM",AND(F2566&lt;=2,G2566&lt;=2,H2566&lt;=2),"HIBERNATING",TRUE(),"Other")</f>
        <v>NEED ATTENTION</v>
      </c>
      <c r="K2566" s="1" t="n">
        <f aca="false">RANK(E2566,$E$7:$E$4378)+COUNTIF($E$7:E2566,E2566)-1</f>
        <v>1576</v>
      </c>
    </row>
    <row r="2567" customFormat="false" ht="14.25" hidden="false" customHeight="true" outlineLevel="0" collapsed="false">
      <c r="A2567" s="51" t="n">
        <v>15802</v>
      </c>
      <c r="B2567" s="53" t="n">
        <v>40744.4861111111</v>
      </c>
      <c r="C2567" s="57" t="n">
        <f aca="false">INT($C$2)-INT(Table3[[#This Row],[Last Purchase Date]])</f>
        <v>143</v>
      </c>
      <c r="D2567" s="1" t="n">
        <v>3</v>
      </c>
      <c r="E2567" s="1" t="n">
        <v>-451.42</v>
      </c>
      <c r="F2567" s="1" t="n">
        <f aca="false">ROUND((1-_xlfn.PERCENTRANK.INC($C$7:$C$4378,C2567))*9,0)</f>
        <v>2</v>
      </c>
      <c r="G2567" s="1" t="n">
        <f aca="false">ROUND(_xlfn.PERCENTRANK.INC($D$7:$D$4378,D2567)*9,0)</f>
        <v>4</v>
      </c>
      <c r="H2567" s="1" t="n">
        <f aca="false">ROUND(_xlfn.PERCENTRANK.INC($E$7:$E$4378,E2567)*9,0)</f>
        <v>0</v>
      </c>
      <c r="I2567" s="1" t="str">
        <f aca="false">CONCATENATE(F2567,G2567,H2567)</f>
        <v>240</v>
      </c>
      <c r="J2567" s="1" t="str">
        <f aca="false">_xlfn.IFS(AND(F2567&gt;=8,G2567&gt;=8,H2567&gt;=8),"CHAMPION",AND(F2567&gt;=6,G2567&gt;=7,H2567&gt;=6),"LOYAL CUSTOMER",AND(F2567&gt;=6,G2567&gt;=5,H2567&gt;=5),"POTENTIAL LOYALIST",AND(F2567&gt;=8,G2567&lt;=2,H2567&gt;=5),"NEW CUSTOMERS",AND(F2567&gt;=6,G2567&lt;=2,H2567&gt;=3),"PROMISING",AND(F2567&gt;=3,G2567&gt;=3,H2567&gt;=3),"NEED ATTENTION",AND(F2567&lt;=4,G2567&gt;=6,H2567&gt;=6),"AT RISK",AND(F2567&lt;=2,G2567&gt;=8,H2567&gt;=8),"CAN'T LOSE THEM",AND(F2567&lt;=2,G2567&lt;=2,H2567&lt;=2),"HIBERNATING",TRUE(),"Other")</f>
        <v>Other</v>
      </c>
      <c r="K2567" s="1" t="n">
        <f aca="false">RANK(E2567,$E$7:$E$4378)+COUNTIF($E$7:E2567,E2567)-1</f>
        <v>4365</v>
      </c>
    </row>
    <row r="2568" customFormat="false" ht="14.25" hidden="false" customHeight="true" outlineLevel="0" collapsed="false">
      <c r="A2568" s="51" t="n">
        <v>15803</v>
      </c>
      <c r="B2568" s="53" t="n">
        <v>40835.6222222222</v>
      </c>
      <c r="C2568" s="57" t="n">
        <f aca="false">INT($C$2)-INT(Table3[[#This Row],[Last Purchase Date]])</f>
        <v>52</v>
      </c>
      <c r="D2568" s="1" t="n">
        <v>1</v>
      </c>
      <c r="E2568" s="1" t="n">
        <v>415.82</v>
      </c>
      <c r="F2568" s="1" t="n">
        <f aca="false">ROUND((1-_xlfn.PERCENTRANK.INC($C$7:$C$4378,C2568))*9,0)</f>
        <v>4</v>
      </c>
      <c r="G2568" s="1" t="n">
        <f aca="false">ROUND(_xlfn.PERCENTRANK.INC($D$7:$D$4378,D2568)*9,0)</f>
        <v>0</v>
      </c>
      <c r="H2568" s="1" t="n">
        <f aca="false">ROUND(_xlfn.PERCENTRANK.INC($E$7:$E$4378,E2568)*9,0)</f>
        <v>3</v>
      </c>
      <c r="I2568" s="1" t="str">
        <f aca="false">CONCATENATE(F2568,G2568,H2568)</f>
        <v>403</v>
      </c>
      <c r="J2568" s="1" t="str">
        <f aca="false">_xlfn.IFS(AND(F2568&gt;=8,G2568&gt;=8,H2568&gt;=8),"CHAMPION",AND(F2568&gt;=6,G2568&gt;=7,H2568&gt;=6),"LOYAL CUSTOMER",AND(F2568&gt;=6,G2568&gt;=5,H2568&gt;=5),"POTENTIAL LOYALIST",AND(F2568&gt;=8,G2568&lt;=2,H2568&gt;=5),"NEW CUSTOMERS",AND(F2568&gt;=6,G2568&lt;=2,H2568&gt;=3),"PROMISING",AND(F2568&gt;=3,G2568&gt;=3,H2568&gt;=3),"NEED ATTENTION",AND(F2568&lt;=4,G2568&gt;=6,H2568&gt;=6),"AT RISK",AND(F2568&lt;=2,G2568&gt;=8,H2568&gt;=8),"CAN'T LOSE THEM",AND(F2568&lt;=2,G2568&lt;=2,H2568&lt;=2),"HIBERNATING",TRUE(),"Other")</f>
        <v>Other</v>
      </c>
      <c r="K2568" s="1" t="n">
        <f aca="false">RANK(E2568,$E$7:$E$4378)+COUNTIF($E$7:E2568,E2568)-1</f>
        <v>2769</v>
      </c>
    </row>
    <row r="2569" customFormat="false" ht="14.25" hidden="false" customHeight="true" outlineLevel="0" collapsed="false">
      <c r="A2569" s="51" t="n">
        <v>15804</v>
      </c>
      <c r="B2569" s="53" t="n">
        <v>40886.5215277778</v>
      </c>
      <c r="C2569" s="57" t="n">
        <f aca="false">INT($C$2)-INT(Table3[[#This Row],[Last Purchase Date]])</f>
        <v>1</v>
      </c>
      <c r="D2569" s="1" t="n">
        <v>19</v>
      </c>
      <c r="E2569" s="1" t="n">
        <v>3848.55</v>
      </c>
      <c r="F2569" s="1" t="n">
        <f aca="false">ROUND((1-_xlfn.PERCENTRANK.INC($C$7:$C$4378,C2569))*9,0)</f>
        <v>9</v>
      </c>
      <c r="G2569" s="1" t="n">
        <f aca="false">ROUND(_xlfn.PERCENTRANK.INC($D$7:$D$4378,D2569)*9,0)</f>
        <v>9</v>
      </c>
      <c r="H2569" s="1" t="n">
        <f aca="false">ROUND(_xlfn.PERCENTRANK.INC($E$7:$E$4378,E2569)*9,0)</f>
        <v>8</v>
      </c>
      <c r="I2569" s="1" t="str">
        <f aca="false">CONCATENATE(F2569,G2569,H2569)</f>
        <v>998</v>
      </c>
      <c r="J2569" s="1" t="str">
        <f aca="false">_xlfn.IFS(AND(F2569&gt;=8,G2569&gt;=8,H2569&gt;=8),"CHAMPION",AND(F2569&gt;=6,G2569&gt;=7,H2569&gt;=6),"LOYAL CUSTOMER",AND(F2569&gt;=6,G2569&gt;=5,H2569&gt;=5),"POTENTIAL LOYALIST",AND(F2569&gt;=8,G2569&lt;=2,H2569&gt;=5),"NEW CUSTOMERS",AND(F2569&gt;=6,G2569&lt;=2,H2569&gt;=3),"PROMISING",AND(F2569&gt;=3,G2569&gt;=3,H2569&gt;=3),"NEED ATTENTION",AND(F2569&lt;=4,G2569&gt;=6,H2569&gt;=6),"AT RISK",AND(F2569&lt;=2,G2569&gt;=8,H2569&gt;=8),"CAN'T LOSE THEM",AND(F2569&lt;=2,G2569&lt;=2,H2569&lt;=2),"HIBERNATING",TRUE(),"Other")</f>
        <v>CHAMPION</v>
      </c>
      <c r="K2569" s="1" t="n">
        <f aca="false">RANK(E2569,$E$7:$E$4378)+COUNTIF($E$7:E2569,E2569)-1</f>
        <v>380</v>
      </c>
    </row>
    <row r="2570" customFormat="false" ht="14.25" hidden="false" customHeight="true" outlineLevel="0" collapsed="false">
      <c r="A2570" s="51" t="n">
        <v>15805</v>
      </c>
      <c r="B2570" s="53" t="n">
        <v>40863.6888888889</v>
      </c>
      <c r="C2570" s="57" t="n">
        <f aca="false">INT($C$2)-INT(Table3[[#This Row],[Last Purchase Date]])</f>
        <v>24</v>
      </c>
      <c r="D2570" s="1" t="n">
        <v>20</v>
      </c>
      <c r="E2570" s="1" t="n">
        <v>5452.17</v>
      </c>
      <c r="F2570" s="1" t="n">
        <f aca="false">ROUND((1-_xlfn.PERCENTRANK.INC($C$7:$C$4378,C2570))*9,0)</f>
        <v>6</v>
      </c>
      <c r="G2570" s="1" t="n">
        <f aca="false">ROUND(_xlfn.PERCENTRANK.INC($D$7:$D$4378,D2570)*9,0)</f>
        <v>9</v>
      </c>
      <c r="H2570" s="1" t="n">
        <f aca="false">ROUND(_xlfn.PERCENTRANK.INC($E$7:$E$4378,E2570)*9,0)</f>
        <v>9</v>
      </c>
      <c r="I2570" s="1" t="str">
        <f aca="false">CONCATENATE(F2570,G2570,H2570)</f>
        <v>699</v>
      </c>
      <c r="J2570" s="1" t="str">
        <f aca="false">_xlfn.IFS(AND(F2570&gt;=8,G2570&gt;=8,H2570&gt;=8),"CHAMPION",AND(F2570&gt;=6,G2570&gt;=7,H2570&gt;=6),"LOYAL CUSTOMER",AND(F2570&gt;=6,G2570&gt;=5,H2570&gt;=5),"POTENTIAL LOYALIST",AND(F2570&gt;=8,G2570&lt;=2,H2570&gt;=5),"NEW CUSTOMERS",AND(F2570&gt;=6,G2570&lt;=2,H2570&gt;=3),"PROMISING",AND(F2570&gt;=3,G2570&gt;=3,H2570&gt;=3),"NEED ATTENTION",AND(F2570&lt;=4,G2570&gt;=6,H2570&gt;=6),"AT RISK",AND(F2570&lt;=2,G2570&gt;=8,H2570&gt;=8),"CAN'T LOSE THEM",AND(F2570&lt;=2,G2570&lt;=2,H2570&lt;=2),"HIBERNATING",TRUE(),"Other")</f>
        <v>LOYAL CUSTOMER</v>
      </c>
      <c r="K2570" s="1" t="n">
        <f aca="false">RANK(E2570,$E$7:$E$4378)+COUNTIF($E$7:E2570,E2570)-1</f>
        <v>231</v>
      </c>
    </row>
    <row r="2571" customFormat="false" ht="14.25" hidden="false" customHeight="true" outlineLevel="0" collapsed="false">
      <c r="A2571" s="51" t="n">
        <v>15806</v>
      </c>
      <c r="B2571" s="53" t="n">
        <v>40840.6076388889</v>
      </c>
      <c r="C2571" s="57" t="n">
        <f aca="false">INT($C$2)-INT(Table3[[#This Row],[Last Purchase Date]])</f>
        <v>47</v>
      </c>
      <c r="D2571" s="1" t="n">
        <v>3</v>
      </c>
      <c r="E2571" s="1" t="n">
        <v>784.58</v>
      </c>
      <c r="F2571" s="1" t="n">
        <f aca="false">ROUND((1-_xlfn.PERCENTRANK.INC($C$7:$C$4378,C2571))*9,0)</f>
        <v>5</v>
      </c>
      <c r="G2571" s="1" t="n">
        <f aca="false">ROUND(_xlfn.PERCENTRANK.INC($D$7:$D$4378,D2571)*9,0)</f>
        <v>4</v>
      </c>
      <c r="H2571" s="1" t="n">
        <f aca="false">ROUND(_xlfn.PERCENTRANK.INC($E$7:$E$4378,E2571)*9,0)</f>
        <v>5</v>
      </c>
      <c r="I2571" s="1" t="str">
        <f aca="false">CONCATENATE(F2571,G2571,H2571)</f>
        <v>545</v>
      </c>
      <c r="J2571" s="1" t="str">
        <f aca="false">_xlfn.IFS(AND(F2571&gt;=8,G2571&gt;=8,H2571&gt;=8),"CHAMPION",AND(F2571&gt;=6,G2571&gt;=7,H2571&gt;=6),"LOYAL CUSTOMER",AND(F2571&gt;=6,G2571&gt;=5,H2571&gt;=5),"POTENTIAL LOYALIST",AND(F2571&gt;=8,G2571&lt;=2,H2571&gt;=5),"NEW CUSTOMERS",AND(F2571&gt;=6,G2571&lt;=2,H2571&gt;=3),"PROMISING",AND(F2571&gt;=3,G2571&gt;=3,H2571&gt;=3),"NEED ATTENTION",AND(F2571&lt;=4,G2571&gt;=6,H2571&gt;=6),"AT RISK",AND(F2571&lt;=2,G2571&gt;=8,H2571&gt;=8),"CAN'T LOSE THEM",AND(F2571&lt;=2,G2571&lt;=2,H2571&lt;=2),"HIBERNATING",TRUE(),"Other")</f>
        <v>NEED ATTENTION</v>
      </c>
      <c r="K2571" s="1" t="n">
        <f aca="false">RANK(E2571,$E$7:$E$4378)+COUNTIF($E$7:E2571,E2571)-1</f>
        <v>1912</v>
      </c>
    </row>
    <row r="2572" customFormat="false" ht="14.25" hidden="false" customHeight="true" outlineLevel="0" collapsed="false">
      <c r="A2572" s="51" t="n">
        <v>15807</v>
      </c>
      <c r="B2572" s="53" t="n">
        <v>40836.5902777778</v>
      </c>
      <c r="C2572" s="57" t="n">
        <f aca="false">INT($C$2)-INT(Table3[[#This Row],[Last Purchase Date]])</f>
        <v>51</v>
      </c>
      <c r="D2572" s="1" t="n">
        <v>3</v>
      </c>
      <c r="E2572" s="1" t="n">
        <v>903.9</v>
      </c>
      <c r="F2572" s="1" t="n">
        <f aca="false">ROUND((1-_xlfn.PERCENTRANK.INC($C$7:$C$4378,C2572))*9,0)</f>
        <v>5</v>
      </c>
      <c r="G2572" s="1" t="n">
        <f aca="false">ROUND(_xlfn.PERCENTRANK.INC($D$7:$D$4378,D2572)*9,0)</f>
        <v>4</v>
      </c>
      <c r="H2572" s="1" t="n">
        <f aca="false">ROUND(_xlfn.PERCENTRANK.INC($E$7:$E$4378,E2572)*9,0)</f>
        <v>5</v>
      </c>
      <c r="I2572" s="1" t="str">
        <f aca="false">CONCATENATE(F2572,G2572,H2572)</f>
        <v>545</v>
      </c>
      <c r="J2572" s="1" t="str">
        <f aca="false">_xlfn.IFS(AND(F2572&gt;=8,G2572&gt;=8,H2572&gt;=8),"CHAMPION",AND(F2572&gt;=6,G2572&gt;=7,H2572&gt;=6),"LOYAL CUSTOMER",AND(F2572&gt;=6,G2572&gt;=5,H2572&gt;=5),"POTENTIAL LOYALIST",AND(F2572&gt;=8,G2572&lt;=2,H2572&gt;=5),"NEW CUSTOMERS",AND(F2572&gt;=6,G2572&lt;=2,H2572&gt;=3),"PROMISING",AND(F2572&gt;=3,G2572&gt;=3,H2572&gt;=3),"NEED ATTENTION",AND(F2572&lt;=4,G2572&gt;=6,H2572&gt;=6),"AT RISK",AND(F2572&lt;=2,G2572&gt;=8,H2572&gt;=8),"CAN'T LOSE THEM",AND(F2572&lt;=2,G2572&lt;=2,H2572&lt;=2),"HIBERNATING",TRUE(),"Other")</f>
        <v>NEED ATTENTION</v>
      </c>
      <c r="K2572" s="1" t="n">
        <f aca="false">RANK(E2572,$E$7:$E$4378)+COUNTIF($E$7:E2572,E2572)-1</f>
        <v>1758</v>
      </c>
    </row>
    <row r="2573" customFormat="false" ht="14.25" hidden="false" customHeight="true" outlineLevel="0" collapsed="false">
      <c r="A2573" s="51" t="n">
        <v>15808</v>
      </c>
      <c r="B2573" s="53" t="n">
        <v>40580.60625</v>
      </c>
      <c r="C2573" s="57" t="n">
        <f aca="false">INT($C$2)-INT(Table3[[#This Row],[Last Purchase Date]])</f>
        <v>307</v>
      </c>
      <c r="D2573" s="1" t="n">
        <v>5</v>
      </c>
      <c r="E2573" s="1" t="n">
        <v>3724.77</v>
      </c>
      <c r="F2573" s="1" t="n">
        <f aca="false">ROUND((1-_xlfn.PERCENTRANK.INC($C$7:$C$4378,C2573))*9,0)</f>
        <v>1</v>
      </c>
      <c r="G2573" s="1" t="n">
        <f aca="false">ROUND(_xlfn.PERCENTRANK.INC($D$7:$D$4378,D2573)*9,0)</f>
        <v>6</v>
      </c>
      <c r="H2573" s="1" t="n">
        <f aca="false">ROUND(_xlfn.PERCENTRANK.INC($E$7:$E$4378,E2573)*9,0)</f>
        <v>8</v>
      </c>
      <c r="I2573" s="1" t="str">
        <f aca="false">CONCATENATE(F2573,G2573,H2573)</f>
        <v>168</v>
      </c>
      <c r="J2573" s="1" t="str">
        <f aca="false">_xlfn.IFS(AND(F2573&gt;=8,G2573&gt;=8,H2573&gt;=8),"CHAMPION",AND(F2573&gt;=6,G2573&gt;=7,H2573&gt;=6),"LOYAL CUSTOMER",AND(F2573&gt;=6,G2573&gt;=5,H2573&gt;=5),"POTENTIAL LOYALIST",AND(F2573&gt;=8,G2573&lt;=2,H2573&gt;=5),"NEW CUSTOMERS",AND(F2573&gt;=6,G2573&lt;=2,H2573&gt;=3),"PROMISING",AND(F2573&gt;=3,G2573&gt;=3,H2573&gt;=3),"NEED ATTENTION",AND(F2573&lt;=4,G2573&gt;=6,H2573&gt;=6),"AT RISK",AND(F2573&lt;=2,G2573&gt;=8,H2573&gt;=8),"CAN'T LOSE THEM",AND(F2573&lt;=2,G2573&lt;=2,H2573&lt;=2),"HIBERNATING",TRUE(),"Other")</f>
        <v>AT RISK</v>
      </c>
      <c r="K2573" s="1" t="n">
        <f aca="false">RANK(E2573,$E$7:$E$4378)+COUNTIF($E$7:E2573,E2573)-1</f>
        <v>400</v>
      </c>
    </row>
    <row r="2574" customFormat="false" ht="14.25" hidden="false" customHeight="true" outlineLevel="0" collapsed="false">
      <c r="A2574" s="51" t="n">
        <v>15809</v>
      </c>
      <c r="B2574" s="53" t="n">
        <v>40851.5034722222</v>
      </c>
      <c r="C2574" s="57" t="n">
        <f aca="false">INT($C$2)-INT(Table3[[#This Row],[Last Purchase Date]])</f>
        <v>36</v>
      </c>
      <c r="D2574" s="1" t="n">
        <v>6</v>
      </c>
      <c r="E2574" s="1" t="n">
        <v>399.21</v>
      </c>
      <c r="F2574" s="1" t="n">
        <f aca="false">ROUND((1-_xlfn.PERCENTRANK.INC($C$7:$C$4378,C2574))*9,0)</f>
        <v>5</v>
      </c>
      <c r="G2574" s="1" t="n">
        <f aca="false">ROUND(_xlfn.PERCENTRANK.INC($D$7:$D$4378,D2574)*9,0)</f>
        <v>7</v>
      </c>
      <c r="H2574" s="1" t="n">
        <f aca="false">ROUND(_xlfn.PERCENTRANK.INC($E$7:$E$4378,E2574)*9,0)</f>
        <v>3</v>
      </c>
      <c r="I2574" s="1" t="str">
        <f aca="false">CONCATENATE(F2574,G2574,H2574)</f>
        <v>573</v>
      </c>
      <c r="J2574" s="1" t="str">
        <f aca="false">_xlfn.IFS(AND(F2574&gt;=8,G2574&gt;=8,H2574&gt;=8),"CHAMPION",AND(F2574&gt;=6,G2574&gt;=7,H2574&gt;=6),"LOYAL CUSTOMER",AND(F2574&gt;=6,G2574&gt;=5,H2574&gt;=5),"POTENTIAL LOYALIST",AND(F2574&gt;=8,G2574&lt;=2,H2574&gt;=5),"NEW CUSTOMERS",AND(F2574&gt;=6,G2574&lt;=2,H2574&gt;=3),"PROMISING",AND(F2574&gt;=3,G2574&gt;=3,H2574&gt;=3),"NEED ATTENTION",AND(F2574&lt;=4,G2574&gt;=6,H2574&gt;=6),"AT RISK",AND(F2574&lt;=2,G2574&gt;=8,H2574&gt;=8),"CAN'T LOSE THEM",AND(F2574&lt;=2,G2574&lt;=2,H2574&lt;=2),"HIBERNATING",TRUE(),"Other")</f>
        <v>NEED ATTENTION</v>
      </c>
      <c r="K2574" s="1" t="n">
        <f aca="false">RANK(E2574,$E$7:$E$4378)+COUNTIF($E$7:E2574,E2574)-1</f>
        <v>2820</v>
      </c>
    </row>
    <row r="2575" customFormat="false" ht="14.25" hidden="false" customHeight="true" outlineLevel="0" collapsed="false">
      <c r="A2575" s="51" t="n">
        <v>15810</v>
      </c>
      <c r="B2575" s="53" t="n">
        <v>40808.4013888889</v>
      </c>
      <c r="C2575" s="57" t="n">
        <f aca="false">INT($C$2)-INT(Table3[[#This Row],[Last Purchase Date]])</f>
        <v>79</v>
      </c>
      <c r="D2575" s="1" t="n">
        <v>7</v>
      </c>
      <c r="E2575" s="1" t="n">
        <v>1145.43</v>
      </c>
      <c r="F2575" s="1" t="n">
        <f aca="false">ROUND((1-_xlfn.PERCENTRANK.INC($C$7:$C$4378,C2575))*9,0)</f>
        <v>3</v>
      </c>
      <c r="G2575" s="1" t="n">
        <f aca="false">ROUND(_xlfn.PERCENTRANK.INC($D$7:$D$4378,D2575)*9,0)</f>
        <v>7</v>
      </c>
      <c r="H2575" s="1" t="n">
        <f aca="false">ROUND(_xlfn.PERCENTRANK.INC($E$7:$E$4378,E2575)*9,0)</f>
        <v>6</v>
      </c>
      <c r="I2575" s="1" t="str">
        <f aca="false">CONCATENATE(F2575,G2575,H2575)</f>
        <v>376</v>
      </c>
      <c r="J2575" s="1" t="str">
        <f aca="false">_xlfn.IFS(AND(F2575&gt;=8,G2575&gt;=8,H2575&gt;=8),"CHAMPION",AND(F2575&gt;=6,G2575&gt;=7,H2575&gt;=6),"LOYAL CUSTOMER",AND(F2575&gt;=6,G2575&gt;=5,H2575&gt;=5),"POTENTIAL LOYALIST",AND(F2575&gt;=8,G2575&lt;=2,H2575&gt;=5),"NEW CUSTOMERS",AND(F2575&gt;=6,G2575&lt;=2,H2575&gt;=3),"PROMISING",AND(F2575&gt;=3,G2575&gt;=3,H2575&gt;=3),"NEED ATTENTION",AND(F2575&lt;=4,G2575&gt;=6,H2575&gt;=6),"AT RISK",AND(F2575&lt;=2,G2575&gt;=8,H2575&gt;=8),"CAN'T LOSE THEM",AND(F2575&lt;=2,G2575&lt;=2,H2575&lt;=2),"HIBERNATING",TRUE(),"Other")</f>
        <v>NEED ATTENTION</v>
      </c>
      <c r="K2575" s="1" t="n">
        <f aca="false">RANK(E2575,$E$7:$E$4378)+COUNTIF($E$7:E2575,E2575)-1</f>
        <v>1453</v>
      </c>
    </row>
    <row r="2576" customFormat="false" ht="14.25" hidden="false" customHeight="true" outlineLevel="0" collapsed="false">
      <c r="A2576" s="51" t="n">
        <v>15811</v>
      </c>
      <c r="B2576" s="53" t="n">
        <v>40869.6451388889</v>
      </c>
      <c r="C2576" s="57" t="n">
        <f aca="false">INT($C$2)-INT(Table3[[#This Row],[Last Purchase Date]])</f>
        <v>18</v>
      </c>
      <c r="D2576" s="1" t="n">
        <v>9</v>
      </c>
      <c r="E2576" s="1" t="n">
        <v>2171.32</v>
      </c>
      <c r="F2576" s="1" t="n">
        <f aca="false">ROUND((1-_xlfn.PERCENTRANK.INC($C$7:$C$4378,C2576))*9,0)</f>
        <v>7</v>
      </c>
      <c r="G2576" s="1" t="n">
        <f aca="false">ROUND(_xlfn.PERCENTRANK.INC($D$7:$D$4378,D2576)*9,0)</f>
        <v>8</v>
      </c>
      <c r="H2576" s="1" t="n">
        <f aca="false">ROUND(_xlfn.PERCENTRANK.INC($E$7:$E$4378,E2576)*9,0)</f>
        <v>7</v>
      </c>
      <c r="I2576" s="1" t="str">
        <f aca="false">CONCATENATE(F2576,G2576,H2576)</f>
        <v>787</v>
      </c>
      <c r="J2576" s="1" t="str">
        <f aca="false">_xlfn.IFS(AND(F2576&gt;=8,G2576&gt;=8,H2576&gt;=8),"CHAMPION",AND(F2576&gt;=6,G2576&gt;=7,H2576&gt;=6),"LOYAL CUSTOMER",AND(F2576&gt;=6,G2576&gt;=5,H2576&gt;=5),"POTENTIAL LOYALIST",AND(F2576&gt;=8,G2576&lt;=2,H2576&gt;=5),"NEW CUSTOMERS",AND(F2576&gt;=6,G2576&lt;=2,H2576&gt;=3),"PROMISING",AND(F2576&gt;=3,G2576&gt;=3,H2576&gt;=3),"NEED ATTENTION",AND(F2576&lt;=4,G2576&gt;=6,H2576&gt;=6),"AT RISK",AND(F2576&lt;=2,G2576&gt;=8,H2576&gt;=8),"CAN'T LOSE THEM",AND(F2576&lt;=2,G2576&lt;=2,H2576&lt;=2),"HIBERNATING",TRUE(),"Other")</f>
        <v>LOYAL CUSTOMER</v>
      </c>
      <c r="K2576" s="1" t="n">
        <f aca="false">RANK(E2576,$E$7:$E$4378)+COUNTIF($E$7:E2576,E2576)-1</f>
        <v>797</v>
      </c>
    </row>
    <row r="2577" customFormat="false" ht="14.25" hidden="false" customHeight="true" outlineLevel="0" collapsed="false">
      <c r="A2577" s="51" t="n">
        <v>15812</v>
      </c>
      <c r="B2577" s="53" t="n">
        <v>40779.5965277778</v>
      </c>
      <c r="C2577" s="57" t="n">
        <f aca="false">INT($C$2)-INT(Table3[[#This Row],[Last Purchase Date]])</f>
        <v>108</v>
      </c>
      <c r="D2577" s="1" t="n">
        <v>5</v>
      </c>
      <c r="E2577" s="1" t="n">
        <v>1801.14</v>
      </c>
      <c r="F2577" s="1" t="n">
        <f aca="false">ROUND((1-_xlfn.PERCENTRANK.INC($C$7:$C$4378,C2577))*9,0)</f>
        <v>3</v>
      </c>
      <c r="G2577" s="1" t="n">
        <f aca="false">ROUND(_xlfn.PERCENTRANK.INC($D$7:$D$4378,D2577)*9,0)</f>
        <v>6</v>
      </c>
      <c r="H2577" s="1" t="n">
        <f aca="false">ROUND(_xlfn.PERCENTRANK.INC($E$7:$E$4378,E2577)*9,0)</f>
        <v>7</v>
      </c>
      <c r="I2577" s="1" t="str">
        <f aca="false">CONCATENATE(F2577,G2577,H2577)</f>
        <v>367</v>
      </c>
      <c r="J2577" s="1" t="str">
        <f aca="false">_xlfn.IFS(AND(F2577&gt;=8,G2577&gt;=8,H2577&gt;=8),"CHAMPION",AND(F2577&gt;=6,G2577&gt;=7,H2577&gt;=6),"LOYAL CUSTOMER",AND(F2577&gt;=6,G2577&gt;=5,H2577&gt;=5),"POTENTIAL LOYALIST",AND(F2577&gt;=8,G2577&lt;=2,H2577&gt;=5),"NEW CUSTOMERS",AND(F2577&gt;=6,G2577&lt;=2,H2577&gt;=3),"PROMISING",AND(F2577&gt;=3,G2577&gt;=3,H2577&gt;=3),"NEED ATTENTION",AND(F2577&lt;=4,G2577&gt;=6,H2577&gt;=6),"AT RISK",AND(F2577&lt;=2,G2577&gt;=8,H2577&gt;=8),"CAN'T LOSE THEM",AND(F2577&lt;=2,G2577&lt;=2,H2577&lt;=2),"HIBERNATING",TRUE(),"Other")</f>
        <v>NEED ATTENTION</v>
      </c>
      <c r="K2577" s="1" t="n">
        <f aca="false">RANK(E2577,$E$7:$E$4378)+COUNTIF($E$7:E2577,E2577)-1</f>
        <v>974</v>
      </c>
    </row>
    <row r="2578" customFormat="false" ht="14.25" hidden="false" customHeight="true" outlineLevel="0" collapsed="false">
      <c r="A2578" s="51" t="n">
        <v>15813</v>
      </c>
      <c r="B2578" s="53" t="n">
        <v>40679.3423611111</v>
      </c>
      <c r="C2578" s="57" t="n">
        <f aca="false">INT($C$2)-INT(Table3[[#This Row],[Last Purchase Date]])</f>
        <v>208</v>
      </c>
      <c r="D2578" s="1" t="n">
        <v>2</v>
      </c>
      <c r="E2578" s="1" t="n">
        <v>1303.91</v>
      </c>
      <c r="F2578" s="1" t="n">
        <f aca="false">ROUND((1-_xlfn.PERCENTRANK.INC($C$7:$C$4378,C2578))*9,0)</f>
        <v>1</v>
      </c>
      <c r="G2578" s="1" t="n">
        <f aca="false">ROUND(_xlfn.PERCENTRANK.INC($D$7:$D$4378,D2578)*9,0)</f>
        <v>3</v>
      </c>
      <c r="H2578" s="1" t="n">
        <f aca="false">ROUND(_xlfn.PERCENTRANK.INC($E$7:$E$4378,E2578)*9,0)</f>
        <v>6</v>
      </c>
      <c r="I2578" s="1" t="str">
        <f aca="false">CONCATENATE(F2578,G2578,H2578)</f>
        <v>136</v>
      </c>
      <c r="J2578" s="1" t="str">
        <f aca="false">_xlfn.IFS(AND(F2578&gt;=8,G2578&gt;=8,H2578&gt;=8),"CHAMPION",AND(F2578&gt;=6,G2578&gt;=7,H2578&gt;=6),"LOYAL CUSTOMER",AND(F2578&gt;=6,G2578&gt;=5,H2578&gt;=5),"POTENTIAL LOYALIST",AND(F2578&gt;=8,G2578&lt;=2,H2578&gt;=5),"NEW CUSTOMERS",AND(F2578&gt;=6,G2578&lt;=2,H2578&gt;=3),"PROMISING",AND(F2578&gt;=3,G2578&gt;=3,H2578&gt;=3),"NEED ATTENTION",AND(F2578&lt;=4,G2578&gt;=6,H2578&gt;=6),"AT RISK",AND(F2578&lt;=2,G2578&gt;=8,H2578&gt;=8),"CAN'T LOSE THEM",AND(F2578&lt;=2,G2578&lt;=2,H2578&lt;=2),"HIBERNATING",TRUE(),"Other")</f>
        <v>Other</v>
      </c>
      <c r="K2578" s="1" t="n">
        <f aca="false">RANK(E2578,$E$7:$E$4378)+COUNTIF($E$7:E2578,E2578)-1</f>
        <v>1324</v>
      </c>
    </row>
    <row r="2579" customFormat="false" ht="14.25" hidden="false" customHeight="true" outlineLevel="0" collapsed="false">
      <c r="A2579" s="51" t="n">
        <v>15814</v>
      </c>
      <c r="B2579" s="53" t="n">
        <v>40883.6256944445</v>
      </c>
      <c r="C2579" s="57" t="n">
        <f aca="false">INT($C$2)-INT(Table3[[#This Row],[Last Purchase Date]])</f>
        <v>4</v>
      </c>
      <c r="D2579" s="1" t="n">
        <v>6</v>
      </c>
      <c r="E2579" s="1" t="n">
        <v>1842.73</v>
      </c>
      <c r="F2579" s="1" t="n">
        <f aca="false">ROUND((1-_xlfn.PERCENTRANK.INC($C$7:$C$4378,C2579))*9,0)</f>
        <v>8</v>
      </c>
      <c r="G2579" s="1" t="n">
        <f aca="false">ROUND(_xlfn.PERCENTRANK.INC($D$7:$D$4378,D2579)*9,0)</f>
        <v>7</v>
      </c>
      <c r="H2579" s="1" t="n">
        <f aca="false">ROUND(_xlfn.PERCENTRANK.INC($E$7:$E$4378,E2579)*9,0)</f>
        <v>7</v>
      </c>
      <c r="I2579" s="1" t="str">
        <f aca="false">CONCATENATE(F2579,G2579,H2579)</f>
        <v>877</v>
      </c>
      <c r="J2579" s="1" t="str">
        <f aca="false">_xlfn.IFS(AND(F2579&gt;=8,G2579&gt;=8,H2579&gt;=8),"CHAMPION",AND(F2579&gt;=6,G2579&gt;=7,H2579&gt;=6),"LOYAL CUSTOMER",AND(F2579&gt;=6,G2579&gt;=5,H2579&gt;=5),"POTENTIAL LOYALIST",AND(F2579&gt;=8,G2579&lt;=2,H2579&gt;=5),"NEW CUSTOMERS",AND(F2579&gt;=6,G2579&lt;=2,H2579&gt;=3),"PROMISING",AND(F2579&gt;=3,G2579&gt;=3,H2579&gt;=3),"NEED ATTENTION",AND(F2579&lt;=4,G2579&gt;=6,H2579&gt;=6),"AT RISK",AND(F2579&lt;=2,G2579&gt;=8,H2579&gt;=8),"CAN'T LOSE THEM",AND(F2579&lt;=2,G2579&lt;=2,H2579&lt;=2),"HIBERNATING",TRUE(),"Other")</f>
        <v>LOYAL CUSTOMER</v>
      </c>
      <c r="K2579" s="1" t="n">
        <f aca="false">RANK(E2579,$E$7:$E$4378)+COUNTIF($E$7:E2579,E2579)-1</f>
        <v>950</v>
      </c>
    </row>
    <row r="2580" customFormat="false" ht="14.25" hidden="false" customHeight="true" outlineLevel="0" collapsed="false">
      <c r="A2580" s="51" t="n">
        <v>15815</v>
      </c>
      <c r="B2580" s="53" t="n">
        <v>40823.5291666667</v>
      </c>
      <c r="C2580" s="57" t="n">
        <f aca="false">INT($C$2)-INT(Table3[[#This Row],[Last Purchase Date]])</f>
        <v>64</v>
      </c>
      <c r="D2580" s="1" t="n">
        <v>5</v>
      </c>
      <c r="E2580" s="1" t="n">
        <v>2100.6</v>
      </c>
      <c r="F2580" s="1" t="n">
        <f aca="false">ROUND((1-_xlfn.PERCENTRANK.INC($C$7:$C$4378,C2580))*9,0)</f>
        <v>4</v>
      </c>
      <c r="G2580" s="1" t="n">
        <f aca="false">ROUND(_xlfn.PERCENTRANK.INC($D$7:$D$4378,D2580)*9,0)</f>
        <v>6</v>
      </c>
      <c r="H2580" s="1" t="n">
        <f aca="false">ROUND(_xlfn.PERCENTRANK.INC($E$7:$E$4378,E2580)*9,0)</f>
        <v>7</v>
      </c>
      <c r="I2580" s="1" t="str">
        <f aca="false">CONCATENATE(F2580,G2580,H2580)</f>
        <v>467</v>
      </c>
      <c r="J2580" s="1" t="str">
        <f aca="false">_xlfn.IFS(AND(F2580&gt;=8,G2580&gt;=8,H2580&gt;=8),"CHAMPION",AND(F2580&gt;=6,G2580&gt;=7,H2580&gt;=6),"LOYAL CUSTOMER",AND(F2580&gt;=6,G2580&gt;=5,H2580&gt;=5),"POTENTIAL LOYALIST",AND(F2580&gt;=8,G2580&lt;=2,H2580&gt;=5),"NEW CUSTOMERS",AND(F2580&gt;=6,G2580&lt;=2,H2580&gt;=3),"PROMISING",AND(F2580&gt;=3,G2580&gt;=3,H2580&gt;=3),"NEED ATTENTION",AND(F2580&lt;=4,G2580&gt;=6,H2580&gt;=6),"AT RISK",AND(F2580&lt;=2,G2580&gt;=8,H2580&gt;=8),"CAN'T LOSE THEM",AND(F2580&lt;=2,G2580&lt;=2,H2580&lt;=2),"HIBERNATING",TRUE(),"Other")</f>
        <v>NEED ATTENTION</v>
      </c>
      <c r="K2580" s="1" t="n">
        <f aca="false">RANK(E2580,$E$7:$E$4378)+COUNTIF($E$7:E2580,E2580)-1</f>
        <v>827</v>
      </c>
    </row>
    <row r="2581" customFormat="false" ht="14.25" hidden="false" customHeight="true" outlineLevel="0" collapsed="false">
      <c r="A2581" s="51" t="n">
        <v>15819</v>
      </c>
      <c r="B2581" s="53" t="n">
        <v>40837.6180555556</v>
      </c>
      <c r="C2581" s="57" t="n">
        <f aca="false">INT($C$2)-INT(Table3[[#This Row],[Last Purchase Date]])</f>
        <v>50</v>
      </c>
      <c r="D2581" s="1" t="n">
        <v>4</v>
      </c>
      <c r="E2581" s="1" t="n">
        <v>1905.45</v>
      </c>
      <c r="F2581" s="1" t="n">
        <f aca="false">ROUND((1-_xlfn.PERCENTRANK.INC($C$7:$C$4378,C2581))*9,0)</f>
        <v>5</v>
      </c>
      <c r="G2581" s="1" t="n">
        <f aca="false">ROUND(_xlfn.PERCENTRANK.INC($D$7:$D$4378,D2581)*9,0)</f>
        <v>5</v>
      </c>
      <c r="H2581" s="1" t="n">
        <f aca="false">ROUND(_xlfn.PERCENTRANK.INC($E$7:$E$4378,E2581)*9,0)</f>
        <v>7</v>
      </c>
      <c r="I2581" s="1" t="str">
        <f aca="false">CONCATENATE(F2581,G2581,H2581)</f>
        <v>557</v>
      </c>
      <c r="J2581" s="1" t="str">
        <f aca="false">_xlfn.IFS(AND(F2581&gt;=8,G2581&gt;=8,H2581&gt;=8),"CHAMPION",AND(F2581&gt;=6,G2581&gt;=7,H2581&gt;=6),"LOYAL CUSTOMER",AND(F2581&gt;=6,G2581&gt;=5,H2581&gt;=5),"POTENTIAL LOYALIST",AND(F2581&gt;=8,G2581&lt;=2,H2581&gt;=5),"NEW CUSTOMERS",AND(F2581&gt;=6,G2581&lt;=2,H2581&gt;=3),"PROMISING",AND(F2581&gt;=3,G2581&gt;=3,H2581&gt;=3),"NEED ATTENTION",AND(F2581&lt;=4,G2581&gt;=6,H2581&gt;=6),"AT RISK",AND(F2581&lt;=2,G2581&gt;=8,H2581&gt;=8),"CAN'T LOSE THEM",AND(F2581&lt;=2,G2581&lt;=2,H2581&lt;=2),"HIBERNATING",TRUE(),"Other")</f>
        <v>NEED ATTENTION</v>
      </c>
      <c r="K2581" s="1" t="n">
        <f aca="false">RANK(E2581,$E$7:$E$4378)+COUNTIF($E$7:E2581,E2581)-1</f>
        <v>917</v>
      </c>
    </row>
    <row r="2582" customFormat="false" ht="14.25" hidden="false" customHeight="true" outlineLevel="0" collapsed="false">
      <c r="A2582" s="51" t="n">
        <v>15820</v>
      </c>
      <c r="B2582" s="53" t="n">
        <v>40567.5</v>
      </c>
      <c r="C2582" s="57" t="n">
        <f aca="false">INT($C$2)-INT(Table3[[#This Row],[Last Purchase Date]])</f>
        <v>320</v>
      </c>
      <c r="D2582" s="1" t="n">
        <v>1</v>
      </c>
      <c r="E2582" s="1" t="n">
        <v>206.98</v>
      </c>
      <c r="F2582" s="1" t="n">
        <f aca="false">ROUND((1-_xlfn.PERCENTRANK.INC($C$7:$C$4378,C2582))*9,0)</f>
        <v>0</v>
      </c>
      <c r="G2582" s="1" t="n">
        <f aca="false">ROUND(_xlfn.PERCENTRANK.INC($D$7:$D$4378,D2582)*9,0)</f>
        <v>0</v>
      </c>
      <c r="H2582" s="1" t="n">
        <f aca="false">ROUND(_xlfn.PERCENTRANK.INC($E$7:$E$4378,E2582)*9,0)</f>
        <v>2</v>
      </c>
      <c r="I2582" s="1" t="str">
        <f aca="false">CONCATENATE(F2582,G2582,H2582)</f>
        <v>002</v>
      </c>
      <c r="J2582" s="1" t="str">
        <f aca="false">_xlfn.IFS(AND(F2582&gt;=8,G2582&gt;=8,H2582&gt;=8),"CHAMPION",AND(F2582&gt;=6,G2582&gt;=7,H2582&gt;=6),"LOYAL CUSTOMER",AND(F2582&gt;=6,G2582&gt;=5,H2582&gt;=5),"POTENTIAL LOYALIST",AND(F2582&gt;=8,G2582&lt;=2,H2582&gt;=5),"NEW CUSTOMERS",AND(F2582&gt;=6,G2582&lt;=2,H2582&gt;=3),"PROMISING",AND(F2582&gt;=3,G2582&gt;=3,H2582&gt;=3),"NEED ATTENTION",AND(F2582&lt;=4,G2582&gt;=6,H2582&gt;=6),"AT RISK",AND(F2582&lt;=2,G2582&gt;=8,H2582&gt;=8),"CAN'T LOSE THEM",AND(F2582&lt;=2,G2582&lt;=2,H2582&lt;=2),"HIBERNATING",TRUE(),"Other")</f>
        <v>HIBERNATING</v>
      </c>
      <c r="K2582" s="1" t="n">
        <f aca="false">RANK(E2582,$E$7:$E$4378)+COUNTIF($E$7:E2582,E2582)-1</f>
        <v>3628</v>
      </c>
    </row>
    <row r="2583" customFormat="false" ht="14.25" hidden="false" customHeight="true" outlineLevel="0" collapsed="false">
      <c r="A2583" s="51" t="n">
        <v>15821</v>
      </c>
      <c r="B2583" s="53" t="n">
        <v>40842.6583333333</v>
      </c>
      <c r="C2583" s="57" t="n">
        <f aca="false">INT($C$2)-INT(Table3[[#This Row],[Last Purchase Date]])</f>
        <v>45</v>
      </c>
      <c r="D2583" s="1" t="n">
        <v>2</v>
      </c>
      <c r="E2583" s="1" t="n">
        <v>570.96</v>
      </c>
      <c r="F2583" s="1" t="n">
        <f aca="false">ROUND((1-_xlfn.PERCENTRANK.INC($C$7:$C$4378,C2583))*9,0)</f>
        <v>5</v>
      </c>
      <c r="G2583" s="1" t="n">
        <f aca="false">ROUND(_xlfn.PERCENTRANK.INC($D$7:$D$4378,D2583)*9,0)</f>
        <v>3</v>
      </c>
      <c r="H2583" s="1" t="n">
        <f aca="false">ROUND(_xlfn.PERCENTRANK.INC($E$7:$E$4378,E2583)*9,0)</f>
        <v>4</v>
      </c>
      <c r="I2583" s="1" t="str">
        <f aca="false">CONCATENATE(F2583,G2583,H2583)</f>
        <v>534</v>
      </c>
      <c r="J2583" s="1" t="str">
        <f aca="false">_xlfn.IFS(AND(F2583&gt;=8,G2583&gt;=8,H2583&gt;=8),"CHAMPION",AND(F2583&gt;=6,G2583&gt;=7,H2583&gt;=6),"LOYAL CUSTOMER",AND(F2583&gt;=6,G2583&gt;=5,H2583&gt;=5),"POTENTIAL LOYALIST",AND(F2583&gt;=8,G2583&lt;=2,H2583&gt;=5),"NEW CUSTOMERS",AND(F2583&gt;=6,G2583&lt;=2,H2583&gt;=3),"PROMISING",AND(F2583&gt;=3,G2583&gt;=3,H2583&gt;=3),"NEED ATTENTION",AND(F2583&lt;=4,G2583&gt;=6,H2583&gt;=6),"AT RISK",AND(F2583&lt;=2,G2583&gt;=8,H2583&gt;=8),"CAN'T LOSE THEM",AND(F2583&lt;=2,G2583&lt;=2,H2583&lt;=2),"HIBERNATING",TRUE(),"Other")</f>
        <v>NEED ATTENTION</v>
      </c>
      <c r="K2583" s="1" t="n">
        <f aca="false">RANK(E2583,$E$7:$E$4378)+COUNTIF($E$7:E2583,E2583)-1</f>
        <v>2392</v>
      </c>
    </row>
    <row r="2584" customFormat="false" ht="14.25" hidden="false" customHeight="true" outlineLevel="0" collapsed="false">
      <c r="A2584" s="51" t="n">
        <v>15822</v>
      </c>
      <c r="B2584" s="53" t="n">
        <v>40883.6180555556</v>
      </c>
      <c r="C2584" s="57" t="n">
        <f aca="false">INT($C$2)-INT(Table3[[#This Row],[Last Purchase Date]])</f>
        <v>4</v>
      </c>
      <c r="D2584" s="1" t="n">
        <v>2</v>
      </c>
      <c r="E2584" s="1" t="n">
        <v>885.47</v>
      </c>
      <c r="F2584" s="1" t="n">
        <f aca="false">ROUND((1-_xlfn.PERCENTRANK.INC($C$7:$C$4378,C2584))*9,0)</f>
        <v>8</v>
      </c>
      <c r="G2584" s="1" t="n">
        <f aca="false">ROUND(_xlfn.PERCENTRANK.INC($D$7:$D$4378,D2584)*9,0)</f>
        <v>3</v>
      </c>
      <c r="H2584" s="1" t="n">
        <f aca="false">ROUND(_xlfn.PERCENTRANK.INC($E$7:$E$4378,E2584)*9,0)</f>
        <v>5</v>
      </c>
      <c r="I2584" s="1" t="str">
        <f aca="false">CONCATENATE(F2584,G2584,H2584)</f>
        <v>835</v>
      </c>
      <c r="J2584" s="1" t="str">
        <f aca="false">_xlfn.IFS(AND(F2584&gt;=8,G2584&gt;=8,H2584&gt;=8),"CHAMPION",AND(F2584&gt;=6,G2584&gt;=7,H2584&gt;=6),"LOYAL CUSTOMER",AND(F2584&gt;=6,G2584&gt;=5,H2584&gt;=5),"POTENTIAL LOYALIST",AND(F2584&gt;=8,G2584&lt;=2,H2584&gt;=5),"NEW CUSTOMERS",AND(F2584&gt;=6,G2584&lt;=2,H2584&gt;=3),"PROMISING",AND(F2584&gt;=3,G2584&gt;=3,H2584&gt;=3),"NEED ATTENTION",AND(F2584&lt;=4,G2584&gt;=6,H2584&gt;=6),"AT RISK",AND(F2584&lt;=2,G2584&gt;=8,H2584&gt;=8),"CAN'T LOSE THEM",AND(F2584&lt;=2,G2584&lt;=2,H2584&lt;=2),"HIBERNATING",TRUE(),"Other")</f>
        <v>NEED ATTENTION</v>
      </c>
      <c r="K2584" s="1" t="n">
        <f aca="false">RANK(E2584,$E$7:$E$4378)+COUNTIF($E$7:E2584,E2584)-1</f>
        <v>1780</v>
      </c>
    </row>
    <row r="2585" customFormat="false" ht="14.25" hidden="false" customHeight="true" outlineLevel="0" collapsed="false">
      <c r="A2585" s="51" t="n">
        <v>15823</v>
      </c>
      <c r="B2585" s="53" t="n">
        <v>40549.5402777778</v>
      </c>
      <c r="C2585" s="57" t="n">
        <f aca="false">INT($C$2)-INT(Table3[[#This Row],[Last Purchase Date]])</f>
        <v>338</v>
      </c>
      <c r="D2585" s="1" t="n">
        <v>2</v>
      </c>
      <c r="E2585" s="1" t="n">
        <v>-840.76</v>
      </c>
      <c r="F2585" s="1" t="n">
        <f aca="false">ROUND((1-_xlfn.PERCENTRANK.INC($C$7:$C$4378,C2585))*9,0)</f>
        <v>0</v>
      </c>
      <c r="G2585" s="1" t="n">
        <f aca="false">ROUND(_xlfn.PERCENTRANK.INC($D$7:$D$4378,D2585)*9,0)</f>
        <v>3</v>
      </c>
      <c r="H2585" s="1" t="n">
        <f aca="false">ROUND(_xlfn.PERCENTRANK.INC($E$7:$E$4378,E2585)*9,0)</f>
        <v>0</v>
      </c>
      <c r="I2585" s="1" t="str">
        <f aca="false">CONCATENATE(F2585,G2585,H2585)</f>
        <v>030</v>
      </c>
      <c r="J2585" s="1" t="str">
        <f aca="false">_xlfn.IFS(AND(F2585&gt;=8,G2585&gt;=8,H2585&gt;=8),"CHAMPION",AND(F2585&gt;=6,G2585&gt;=7,H2585&gt;=6),"LOYAL CUSTOMER",AND(F2585&gt;=6,G2585&gt;=5,H2585&gt;=5),"POTENTIAL LOYALIST",AND(F2585&gt;=8,G2585&lt;=2,H2585&gt;=5),"NEW CUSTOMERS",AND(F2585&gt;=6,G2585&lt;=2,H2585&gt;=3),"PROMISING",AND(F2585&gt;=3,G2585&gt;=3,H2585&gt;=3),"NEED ATTENTION",AND(F2585&lt;=4,G2585&gt;=6,H2585&gt;=6),"AT RISK",AND(F2585&lt;=2,G2585&gt;=8,H2585&gt;=8),"CAN'T LOSE THEM",AND(F2585&lt;=2,G2585&lt;=2,H2585&lt;=2),"HIBERNATING",TRUE(),"Other")</f>
        <v>Other</v>
      </c>
      <c r="K2585" s="1" t="n">
        <f aca="false">RANK(E2585,$E$7:$E$4378)+COUNTIF($E$7:E2585,E2585)-1</f>
        <v>4367</v>
      </c>
    </row>
    <row r="2586" customFormat="false" ht="14.25" hidden="false" customHeight="true" outlineLevel="0" collapsed="false">
      <c r="A2586" s="51" t="n">
        <v>15825</v>
      </c>
      <c r="B2586" s="53" t="n">
        <v>40714.5604166667</v>
      </c>
      <c r="C2586" s="57" t="n">
        <f aca="false">INT($C$2)-INT(Table3[[#This Row],[Last Purchase Date]])</f>
        <v>173</v>
      </c>
      <c r="D2586" s="1" t="n">
        <v>1</v>
      </c>
      <c r="E2586" s="1" t="n">
        <v>532.94</v>
      </c>
      <c r="F2586" s="1" t="n">
        <f aca="false">ROUND((1-_xlfn.PERCENTRANK.INC($C$7:$C$4378,C2586))*9,0)</f>
        <v>2</v>
      </c>
      <c r="G2586" s="1" t="n">
        <f aca="false">ROUND(_xlfn.PERCENTRANK.INC($D$7:$D$4378,D2586)*9,0)</f>
        <v>0</v>
      </c>
      <c r="H2586" s="1" t="n">
        <f aca="false">ROUND(_xlfn.PERCENTRANK.INC($E$7:$E$4378,E2586)*9,0)</f>
        <v>4</v>
      </c>
      <c r="I2586" s="1" t="str">
        <f aca="false">CONCATENATE(F2586,G2586,H2586)</f>
        <v>204</v>
      </c>
      <c r="J2586" s="1" t="str">
        <f aca="false">_xlfn.IFS(AND(F2586&gt;=8,G2586&gt;=8,H2586&gt;=8),"CHAMPION",AND(F2586&gt;=6,G2586&gt;=7,H2586&gt;=6),"LOYAL CUSTOMER",AND(F2586&gt;=6,G2586&gt;=5,H2586&gt;=5),"POTENTIAL LOYALIST",AND(F2586&gt;=8,G2586&lt;=2,H2586&gt;=5),"NEW CUSTOMERS",AND(F2586&gt;=6,G2586&lt;=2,H2586&gt;=3),"PROMISING",AND(F2586&gt;=3,G2586&gt;=3,H2586&gt;=3),"NEED ATTENTION",AND(F2586&lt;=4,G2586&gt;=6,H2586&gt;=6),"AT RISK",AND(F2586&lt;=2,G2586&gt;=8,H2586&gt;=8),"CAN'T LOSE THEM",AND(F2586&lt;=2,G2586&lt;=2,H2586&lt;=2),"HIBERNATING",TRUE(),"Other")</f>
        <v>Other</v>
      </c>
      <c r="K2586" s="1" t="n">
        <f aca="false">RANK(E2586,$E$7:$E$4378)+COUNTIF($E$7:E2586,E2586)-1</f>
        <v>2477</v>
      </c>
    </row>
    <row r="2587" customFormat="false" ht="14.25" hidden="false" customHeight="true" outlineLevel="0" collapsed="false">
      <c r="A2587" s="51" t="n">
        <v>15826</v>
      </c>
      <c r="B2587" s="53" t="n">
        <v>40835.5583333333</v>
      </c>
      <c r="C2587" s="57" t="n">
        <f aca="false">INT($C$2)-INT(Table3[[#This Row],[Last Purchase Date]])</f>
        <v>52</v>
      </c>
      <c r="D2587" s="1" t="n">
        <v>4</v>
      </c>
      <c r="E2587" s="1" t="n">
        <v>1649.36</v>
      </c>
      <c r="F2587" s="1" t="n">
        <f aca="false">ROUND((1-_xlfn.PERCENTRANK.INC($C$7:$C$4378,C2587))*9,0)</f>
        <v>4</v>
      </c>
      <c r="G2587" s="1" t="n">
        <f aca="false">ROUND(_xlfn.PERCENTRANK.INC($D$7:$D$4378,D2587)*9,0)</f>
        <v>5</v>
      </c>
      <c r="H2587" s="1" t="n">
        <f aca="false">ROUND(_xlfn.PERCENTRANK.INC($E$7:$E$4378,E2587)*9,0)</f>
        <v>7</v>
      </c>
      <c r="I2587" s="1" t="str">
        <f aca="false">CONCATENATE(F2587,G2587,H2587)</f>
        <v>457</v>
      </c>
      <c r="J2587" s="1" t="str">
        <f aca="false">_xlfn.IFS(AND(F2587&gt;=8,G2587&gt;=8,H2587&gt;=8),"CHAMPION",AND(F2587&gt;=6,G2587&gt;=7,H2587&gt;=6),"LOYAL CUSTOMER",AND(F2587&gt;=6,G2587&gt;=5,H2587&gt;=5),"POTENTIAL LOYALIST",AND(F2587&gt;=8,G2587&lt;=2,H2587&gt;=5),"NEW CUSTOMERS",AND(F2587&gt;=6,G2587&lt;=2,H2587&gt;=3),"PROMISING",AND(F2587&gt;=3,G2587&gt;=3,H2587&gt;=3),"NEED ATTENTION",AND(F2587&lt;=4,G2587&gt;=6,H2587&gt;=6),"AT RISK",AND(F2587&lt;=2,G2587&gt;=8,H2587&gt;=8),"CAN'T LOSE THEM",AND(F2587&lt;=2,G2587&lt;=2,H2587&lt;=2),"HIBERNATING",TRUE(),"Other")</f>
        <v>NEED ATTENTION</v>
      </c>
      <c r="K2587" s="1" t="n">
        <f aca="false">RANK(E2587,$E$7:$E$4378)+COUNTIF($E$7:E2587,E2587)-1</f>
        <v>1066</v>
      </c>
    </row>
    <row r="2588" customFormat="false" ht="14.25" hidden="false" customHeight="true" outlineLevel="0" collapsed="false">
      <c r="A2588" s="51" t="n">
        <v>15827</v>
      </c>
      <c r="B2588" s="53" t="n">
        <v>40813.6493055556</v>
      </c>
      <c r="C2588" s="57" t="n">
        <f aca="false">INT($C$2)-INT(Table3[[#This Row],[Last Purchase Date]])</f>
        <v>74</v>
      </c>
      <c r="D2588" s="1" t="n">
        <v>20</v>
      </c>
      <c r="E2588" s="1" t="n">
        <v>1641.48</v>
      </c>
      <c r="F2588" s="1" t="n">
        <f aca="false">ROUND((1-_xlfn.PERCENTRANK.INC($C$7:$C$4378,C2588))*9,0)</f>
        <v>3</v>
      </c>
      <c r="G2588" s="1" t="n">
        <f aca="false">ROUND(_xlfn.PERCENTRANK.INC($D$7:$D$4378,D2588)*9,0)</f>
        <v>9</v>
      </c>
      <c r="H2588" s="1" t="n">
        <f aca="false">ROUND(_xlfn.PERCENTRANK.INC($E$7:$E$4378,E2588)*9,0)</f>
        <v>7</v>
      </c>
      <c r="I2588" s="1" t="str">
        <f aca="false">CONCATENATE(F2588,G2588,H2588)</f>
        <v>397</v>
      </c>
      <c r="J2588" s="1" t="str">
        <f aca="false">_xlfn.IFS(AND(F2588&gt;=8,G2588&gt;=8,H2588&gt;=8),"CHAMPION",AND(F2588&gt;=6,G2588&gt;=7,H2588&gt;=6),"LOYAL CUSTOMER",AND(F2588&gt;=6,G2588&gt;=5,H2588&gt;=5),"POTENTIAL LOYALIST",AND(F2588&gt;=8,G2588&lt;=2,H2588&gt;=5),"NEW CUSTOMERS",AND(F2588&gt;=6,G2588&lt;=2,H2588&gt;=3),"PROMISING",AND(F2588&gt;=3,G2588&gt;=3,H2588&gt;=3),"NEED ATTENTION",AND(F2588&lt;=4,G2588&gt;=6,H2588&gt;=6),"AT RISK",AND(F2588&lt;=2,G2588&gt;=8,H2588&gt;=8),"CAN'T LOSE THEM",AND(F2588&lt;=2,G2588&lt;=2,H2588&lt;=2),"HIBERNATING",TRUE(),"Other")</f>
        <v>NEED ATTENTION</v>
      </c>
      <c r="K2588" s="1" t="n">
        <f aca="false">RANK(E2588,$E$7:$E$4378)+COUNTIF($E$7:E2588,E2588)-1</f>
        <v>1073</v>
      </c>
    </row>
    <row r="2589" customFormat="false" ht="14.25" hidden="false" customHeight="true" outlineLevel="0" collapsed="false">
      <c r="A2589" s="51" t="n">
        <v>15829</v>
      </c>
      <c r="B2589" s="53" t="n">
        <v>40787.6979166667</v>
      </c>
      <c r="C2589" s="57" t="n">
        <f aca="false">INT($C$2)-INT(Table3[[#This Row],[Last Purchase Date]])</f>
        <v>100</v>
      </c>
      <c r="D2589" s="1" t="n">
        <v>2</v>
      </c>
      <c r="E2589" s="1" t="n">
        <v>636.14</v>
      </c>
      <c r="F2589" s="1" t="n">
        <f aca="false">ROUND((1-_xlfn.PERCENTRANK.INC($C$7:$C$4378,C2589))*9,0)</f>
        <v>3</v>
      </c>
      <c r="G2589" s="1" t="n">
        <f aca="false">ROUND(_xlfn.PERCENTRANK.INC($D$7:$D$4378,D2589)*9,0)</f>
        <v>3</v>
      </c>
      <c r="H2589" s="1" t="n">
        <f aca="false">ROUND(_xlfn.PERCENTRANK.INC($E$7:$E$4378,E2589)*9,0)</f>
        <v>4</v>
      </c>
      <c r="I2589" s="1" t="str">
        <f aca="false">CONCATENATE(F2589,G2589,H2589)</f>
        <v>334</v>
      </c>
      <c r="J2589" s="1" t="str">
        <f aca="false">_xlfn.IFS(AND(F2589&gt;=8,G2589&gt;=8,H2589&gt;=8),"CHAMPION",AND(F2589&gt;=6,G2589&gt;=7,H2589&gt;=6),"LOYAL CUSTOMER",AND(F2589&gt;=6,G2589&gt;=5,H2589&gt;=5),"POTENTIAL LOYALIST",AND(F2589&gt;=8,G2589&lt;=2,H2589&gt;=5),"NEW CUSTOMERS",AND(F2589&gt;=6,G2589&lt;=2,H2589&gt;=3),"PROMISING",AND(F2589&gt;=3,G2589&gt;=3,H2589&gt;=3),"NEED ATTENTION",AND(F2589&lt;=4,G2589&gt;=6,H2589&gt;=6),"AT RISK",AND(F2589&lt;=2,G2589&gt;=8,H2589&gt;=8),"CAN'T LOSE THEM",AND(F2589&lt;=2,G2589&lt;=2,H2589&lt;=2),"HIBERNATING",TRUE(),"Other")</f>
        <v>NEED ATTENTION</v>
      </c>
      <c r="K2589" s="1" t="n">
        <f aca="false">RANK(E2589,$E$7:$E$4378)+COUNTIF($E$7:E2589,E2589)-1</f>
        <v>2217</v>
      </c>
    </row>
    <row r="2590" customFormat="false" ht="14.25" hidden="false" customHeight="true" outlineLevel="0" collapsed="false">
      <c r="A2590" s="51" t="n">
        <v>15830</v>
      </c>
      <c r="B2590" s="53" t="n">
        <v>40857.5659722222</v>
      </c>
      <c r="C2590" s="57" t="n">
        <f aca="false">INT($C$2)-INT(Table3[[#This Row],[Last Purchase Date]])</f>
        <v>30</v>
      </c>
      <c r="D2590" s="1" t="n">
        <v>2</v>
      </c>
      <c r="E2590" s="1" t="n">
        <v>547.7</v>
      </c>
      <c r="F2590" s="1" t="n">
        <f aca="false">ROUND((1-_xlfn.PERCENTRANK.INC($C$7:$C$4378,C2590))*9,0)</f>
        <v>6</v>
      </c>
      <c r="G2590" s="1" t="n">
        <f aca="false">ROUND(_xlfn.PERCENTRANK.INC($D$7:$D$4378,D2590)*9,0)</f>
        <v>3</v>
      </c>
      <c r="H2590" s="1" t="n">
        <f aca="false">ROUND(_xlfn.PERCENTRANK.INC($E$7:$E$4378,E2590)*9,0)</f>
        <v>4</v>
      </c>
      <c r="I2590" s="1" t="str">
        <f aca="false">CONCATENATE(F2590,G2590,H2590)</f>
        <v>634</v>
      </c>
      <c r="J2590" s="1" t="str">
        <f aca="false">_xlfn.IFS(AND(F2590&gt;=8,G2590&gt;=8,H2590&gt;=8),"CHAMPION",AND(F2590&gt;=6,G2590&gt;=7,H2590&gt;=6),"LOYAL CUSTOMER",AND(F2590&gt;=6,G2590&gt;=5,H2590&gt;=5),"POTENTIAL LOYALIST",AND(F2590&gt;=8,G2590&lt;=2,H2590&gt;=5),"NEW CUSTOMERS",AND(F2590&gt;=6,G2590&lt;=2,H2590&gt;=3),"PROMISING",AND(F2590&gt;=3,G2590&gt;=3,H2590&gt;=3),"NEED ATTENTION",AND(F2590&lt;=4,G2590&gt;=6,H2590&gt;=6),"AT RISK",AND(F2590&lt;=2,G2590&gt;=8,H2590&gt;=8),"CAN'T LOSE THEM",AND(F2590&lt;=2,G2590&lt;=2,H2590&lt;=2),"HIBERNATING",TRUE(),"Other")</f>
        <v>NEED ATTENTION</v>
      </c>
      <c r="K2590" s="1" t="n">
        <f aca="false">RANK(E2590,$E$7:$E$4378)+COUNTIF($E$7:E2590,E2590)-1</f>
        <v>2434</v>
      </c>
    </row>
    <row r="2591" customFormat="false" ht="14.25" hidden="false" customHeight="true" outlineLevel="0" collapsed="false">
      <c r="A2591" s="51" t="n">
        <v>15831</v>
      </c>
      <c r="B2591" s="53" t="n">
        <v>40828.5513888889</v>
      </c>
      <c r="C2591" s="57" t="n">
        <f aca="false">INT($C$2)-INT(Table3[[#This Row],[Last Purchase Date]])</f>
        <v>59</v>
      </c>
      <c r="D2591" s="1" t="n">
        <v>4</v>
      </c>
      <c r="E2591" s="1" t="n">
        <v>747.76</v>
      </c>
      <c r="F2591" s="1" t="n">
        <f aca="false">ROUND((1-_xlfn.PERCENTRANK.INC($C$7:$C$4378,C2591))*9,0)</f>
        <v>4</v>
      </c>
      <c r="G2591" s="1" t="n">
        <f aca="false">ROUND(_xlfn.PERCENTRANK.INC($D$7:$D$4378,D2591)*9,0)</f>
        <v>5</v>
      </c>
      <c r="H2591" s="1" t="n">
        <f aca="false">ROUND(_xlfn.PERCENTRANK.INC($E$7:$E$4378,E2591)*9,0)</f>
        <v>5</v>
      </c>
      <c r="I2591" s="1" t="str">
        <f aca="false">CONCATENATE(F2591,G2591,H2591)</f>
        <v>455</v>
      </c>
      <c r="J2591" s="1" t="str">
        <f aca="false">_xlfn.IFS(AND(F2591&gt;=8,G2591&gt;=8,H2591&gt;=8),"CHAMPION",AND(F2591&gt;=6,G2591&gt;=7,H2591&gt;=6),"LOYAL CUSTOMER",AND(F2591&gt;=6,G2591&gt;=5,H2591&gt;=5),"POTENTIAL LOYALIST",AND(F2591&gt;=8,G2591&lt;=2,H2591&gt;=5),"NEW CUSTOMERS",AND(F2591&gt;=6,G2591&lt;=2,H2591&gt;=3),"PROMISING",AND(F2591&gt;=3,G2591&gt;=3,H2591&gt;=3),"NEED ATTENTION",AND(F2591&lt;=4,G2591&gt;=6,H2591&gt;=6),"AT RISK",AND(F2591&lt;=2,G2591&gt;=8,H2591&gt;=8),"CAN'T LOSE THEM",AND(F2591&lt;=2,G2591&lt;=2,H2591&lt;=2),"HIBERNATING",TRUE(),"Other")</f>
        <v>NEED ATTENTION</v>
      </c>
      <c r="K2591" s="1" t="n">
        <f aca="false">RANK(E2591,$E$7:$E$4378)+COUNTIF($E$7:E2591,E2591)-1</f>
        <v>1979</v>
      </c>
    </row>
    <row r="2592" customFormat="false" ht="14.25" hidden="false" customHeight="true" outlineLevel="0" collapsed="false">
      <c r="A2592" s="51" t="n">
        <v>15832</v>
      </c>
      <c r="B2592" s="53" t="n">
        <v>40632.6451388889</v>
      </c>
      <c r="C2592" s="57" t="n">
        <f aca="false">INT($C$2)-INT(Table3[[#This Row],[Last Purchase Date]])</f>
        <v>255</v>
      </c>
      <c r="D2592" s="1" t="n">
        <v>1</v>
      </c>
      <c r="E2592" s="1" t="n">
        <v>836.79</v>
      </c>
      <c r="F2592" s="1" t="n">
        <f aca="false">ROUND((1-_xlfn.PERCENTRANK.INC($C$7:$C$4378,C2592))*9,0)</f>
        <v>1</v>
      </c>
      <c r="G2592" s="1" t="n">
        <f aca="false">ROUND(_xlfn.PERCENTRANK.INC($D$7:$D$4378,D2592)*9,0)</f>
        <v>0</v>
      </c>
      <c r="H2592" s="1" t="n">
        <f aca="false">ROUND(_xlfn.PERCENTRANK.INC($E$7:$E$4378,E2592)*9,0)</f>
        <v>5</v>
      </c>
      <c r="I2592" s="1" t="str">
        <f aca="false">CONCATENATE(F2592,G2592,H2592)</f>
        <v>105</v>
      </c>
      <c r="J2592" s="1" t="str">
        <f aca="false">_xlfn.IFS(AND(F2592&gt;=8,G2592&gt;=8,H2592&gt;=8),"CHAMPION",AND(F2592&gt;=6,G2592&gt;=7,H2592&gt;=6),"LOYAL CUSTOMER",AND(F2592&gt;=6,G2592&gt;=5,H2592&gt;=5),"POTENTIAL LOYALIST",AND(F2592&gt;=8,G2592&lt;=2,H2592&gt;=5),"NEW CUSTOMERS",AND(F2592&gt;=6,G2592&lt;=2,H2592&gt;=3),"PROMISING",AND(F2592&gt;=3,G2592&gt;=3,H2592&gt;=3),"NEED ATTENTION",AND(F2592&lt;=4,G2592&gt;=6,H2592&gt;=6),"AT RISK",AND(F2592&lt;=2,G2592&gt;=8,H2592&gt;=8),"CAN'T LOSE THEM",AND(F2592&lt;=2,G2592&lt;=2,H2592&lt;=2),"HIBERNATING",TRUE(),"Other")</f>
        <v>Other</v>
      </c>
      <c r="K2592" s="1" t="n">
        <f aca="false">RANK(E2592,$E$7:$E$4378)+COUNTIF($E$7:E2592,E2592)-1</f>
        <v>1847</v>
      </c>
    </row>
    <row r="2593" customFormat="false" ht="14.25" hidden="false" customHeight="true" outlineLevel="0" collapsed="false">
      <c r="A2593" s="51" t="n">
        <v>15834</v>
      </c>
      <c r="B2593" s="53" t="n">
        <v>40816.6118055556</v>
      </c>
      <c r="C2593" s="57" t="n">
        <f aca="false">INT($C$2)-INT(Table3[[#This Row],[Last Purchase Date]])</f>
        <v>71</v>
      </c>
      <c r="D2593" s="1" t="n">
        <v>6</v>
      </c>
      <c r="E2593" s="1" t="n">
        <v>2084.9</v>
      </c>
      <c r="F2593" s="1" t="n">
        <f aca="false">ROUND((1-_xlfn.PERCENTRANK.INC($C$7:$C$4378,C2593))*9,0)</f>
        <v>4</v>
      </c>
      <c r="G2593" s="1" t="n">
        <f aca="false">ROUND(_xlfn.PERCENTRANK.INC($D$7:$D$4378,D2593)*9,0)</f>
        <v>7</v>
      </c>
      <c r="H2593" s="1" t="n">
        <f aca="false">ROUND(_xlfn.PERCENTRANK.INC($E$7:$E$4378,E2593)*9,0)</f>
        <v>7</v>
      </c>
      <c r="I2593" s="1" t="str">
        <f aca="false">CONCATENATE(F2593,G2593,H2593)</f>
        <v>477</v>
      </c>
      <c r="J2593" s="1" t="str">
        <f aca="false">_xlfn.IFS(AND(F2593&gt;=8,G2593&gt;=8,H2593&gt;=8),"CHAMPION",AND(F2593&gt;=6,G2593&gt;=7,H2593&gt;=6),"LOYAL CUSTOMER",AND(F2593&gt;=6,G2593&gt;=5,H2593&gt;=5),"POTENTIAL LOYALIST",AND(F2593&gt;=8,G2593&lt;=2,H2593&gt;=5),"NEW CUSTOMERS",AND(F2593&gt;=6,G2593&lt;=2,H2593&gt;=3),"PROMISING",AND(F2593&gt;=3,G2593&gt;=3,H2593&gt;=3),"NEED ATTENTION",AND(F2593&lt;=4,G2593&gt;=6,H2593&gt;=6),"AT RISK",AND(F2593&lt;=2,G2593&gt;=8,H2593&gt;=8),"CAN'T LOSE THEM",AND(F2593&lt;=2,G2593&lt;=2,H2593&lt;=2),"HIBERNATING",TRUE(),"Other")</f>
        <v>NEED ATTENTION</v>
      </c>
      <c r="K2593" s="1" t="n">
        <f aca="false">RANK(E2593,$E$7:$E$4378)+COUNTIF($E$7:E2593,E2593)-1</f>
        <v>836</v>
      </c>
    </row>
    <row r="2594" customFormat="false" ht="14.25" hidden="false" customHeight="true" outlineLevel="0" collapsed="false">
      <c r="A2594" s="51" t="n">
        <v>15835</v>
      </c>
      <c r="B2594" s="53" t="n">
        <v>40842.6576388889</v>
      </c>
      <c r="C2594" s="57" t="n">
        <f aca="false">INT($C$2)-INT(Table3[[#This Row],[Last Purchase Date]])</f>
        <v>45</v>
      </c>
      <c r="D2594" s="1" t="n">
        <v>4</v>
      </c>
      <c r="E2594" s="1" t="n">
        <v>954.09</v>
      </c>
      <c r="F2594" s="1" t="n">
        <f aca="false">ROUND((1-_xlfn.PERCENTRANK.INC($C$7:$C$4378,C2594))*9,0)</f>
        <v>5</v>
      </c>
      <c r="G2594" s="1" t="n">
        <f aca="false">ROUND(_xlfn.PERCENTRANK.INC($D$7:$D$4378,D2594)*9,0)</f>
        <v>5</v>
      </c>
      <c r="H2594" s="1" t="n">
        <f aca="false">ROUND(_xlfn.PERCENTRANK.INC($E$7:$E$4378,E2594)*9,0)</f>
        <v>6</v>
      </c>
      <c r="I2594" s="1" t="str">
        <f aca="false">CONCATENATE(F2594,G2594,H2594)</f>
        <v>556</v>
      </c>
      <c r="J2594" s="1" t="str">
        <f aca="false">_xlfn.IFS(AND(F2594&gt;=8,G2594&gt;=8,H2594&gt;=8),"CHAMPION",AND(F2594&gt;=6,G2594&gt;=7,H2594&gt;=6),"LOYAL CUSTOMER",AND(F2594&gt;=6,G2594&gt;=5,H2594&gt;=5),"POTENTIAL LOYALIST",AND(F2594&gt;=8,G2594&lt;=2,H2594&gt;=5),"NEW CUSTOMERS",AND(F2594&gt;=6,G2594&lt;=2,H2594&gt;=3),"PROMISING",AND(F2594&gt;=3,G2594&gt;=3,H2594&gt;=3),"NEED ATTENTION",AND(F2594&lt;=4,G2594&gt;=6,H2594&gt;=6),"AT RISK",AND(F2594&lt;=2,G2594&gt;=8,H2594&gt;=8),"CAN'T LOSE THEM",AND(F2594&lt;=2,G2594&lt;=2,H2594&lt;=2),"HIBERNATING",TRUE(),"Other")</f>
        <v>NEED ATTENTION</v>
      </c>
      <c r="K2594" s="1" t="n">
        <f aca="false">RANK(E2594,$E$7:$E$4378)+COUNTIF($E$7:E2594,E2594)-1</f>
        <v>1693</v>
      </c>
    </row>
    <row r="2595" customFormat="false" ht="14.25" hidden="false" customHeight="true" outlineLevel="0" collapsed="false">
      <c r="A2595" s="51" t="n">
        <v>15836</v>
      </c>
      <c r="B2595" s="53" t="n">
        <v>40841.6506944444</v>
      </c>
      <c r="C2595" s="57" t="n">
        <f aca="false">INT($C$2)-INT(Table3[[#This Row],[Last Purchase Date]])</f>
        <v>46</v>
      </c>
      <c r="D2595" s="1" t="n">
        <v>2</v>
      </c>
      <c r="E2595" s="1" t="n">
        <v>117.47</v>
      </c>
      <c r="F2595" s="1" t="n">
        <f aca="false">ROUND((1-_xlfn.PERCENTRANK.INC($C$7:$C$4378,C2595))*9,0)</f>
        <v>5</v>
      </c>
      <c r="G2595" s="1" t="n">
        <f aca="false">ROUND(_xlfn.PERCENTRANK.INC($D$7:$D$4378,D2595)*9,0)</f>
        <v>3</v>
      </c>
      <c r="H2595" s="1" t="n">
        <f aca="false">ROUND(_xlfn.PERCENTRANK.INC($E$7:$E$4378,E2595)*9,0)</f>
        <v>1</v>
      </c>
      <c r="I2595" s="1" t="str">
        <f aca="false">CONCATENATE(F2595,G2595,H2595)</f>
        <v>531</v>
      </c>
      <c r="J2595" s="1" t="str">
        <f aca="false">_xlfn.IFS(AND(F2595&gt;=8,G2595&gt;=8,H2595&gt;=8),"CHAMPION",AND(F2595&gt;=6,G2595&gt;=7,H2595&gt;=6),"LOYAL CUSTOMER",AND(F2595&gt;=6,G2595&gt;=5,H2595&gt;=5),"POTENTIAL LOYALIST",AND(F2595&gt;=8,G2595&lt;=2,H2595&gt;=5),"NEW CUSTOMERS",AND(F2595&gt;=6,G2595&lt;=2,H2595&gt;=3),"PROMISING",AND(F2595&gt;=3,G2595&gt;=3,H2595&gt;=3),"NEED ATTENTION",AND(F2595&lt;=4,G2595&gt;=6,H2595&gt;=6),"AT RISK",AND(F2595&lt;=2,G2595&gt;=8,H2595&gt;=8),"CAN'T LOSE THEM",AND(F2595&lt;=2,G2595&lt;=2,H2595&lt;=2),"HIBERNATING",TRUE(),"Other")</f>
        <v>Other</v>
      </c>
      <c r="K2595" s="1" t="n">
        <f aca="false">RANK(E2595,$E$7:$E$4378)+COUNTIF($E$7:E2595,E2595)-1</f>
        <v>4062</v>
      </c>
    </row>
    <row r="2596" customFormat="false" ht="14.25" hidden="false" customHeight="true" outlineLevel="0" collapsed="false">
      <c r="A2596" s="51" t="n">
        <v>15837</v>
      </c>
      <c r="B2596" s="53" t="n">
        <v>40822.3756944445</v>
      </c>
      <c r="C2596" s="57" t="n">
        <f aca="false">INT($C$2)-INT(Table3[[#This Row],[Last Purchase Date]])</f>
        <v>65</v>
      </c>
      <c r="D2596" s="1" t="n">
        <v>1</v>
      </c>
      <c r="E2596" s="1" t="n">
        <v>391.98</v>
      </c>
      <c r="F2596" s="1" t="n">
        <f aca="false">ROUND((1-_xlfn.PERCENTRANK.INC($C$7:$C$4378,C2596))*9,0)</f>
        <v>4</v>
      </c>
      <c r="G2596" s="1" t="n">
        <f aca="false">ROUND(_xlfn.PERCENTRANK.INC($D$7:$D$4378,D2596)*9,0)</f>
        <v>0</v>
      </c>
      <c r="H2596" s="1" t="n">
        <f aca="false">ROUND(_xlfn.PERCENTRANK.INC($E$7:$E$4378,E2596)*9,0)</f>
        <v>3</v>
      </c>
      <c r="I2596" s="1" t="str">
        <f aca="false">CONCATENATE(F2596,G2596,H2596)</f>
        <v>403</v>
      </c>
      <c r="J2596" s="1" t="str">
        <f aca="false">_xlfn.IFS(AND(F2596&gt;=8,G2596&gt;=8,H2596&gt;=8),"CHAMPION",AND(F2596&gt;=6,G2596&gt;=7,H2596&gt;=6),"LOYAL CUSTOMER",AND(F2596&gt;=6,G2596&gt;=5,H2596&gt;=5),"POTENTIAL LOYALIST",AND(F2596&gt;=8,G2596&lt;=2,H2596&gt;=5),"NEW CUSTOMERS",AND(F2596&gt;=6,G2596&lt;=2,H2596&gt;=3),"PROMISING",AND(F2596&gt;=3,G2596&gt;=3,H2596&gt;=3),"NEED ATTENTION",AND(F2596&lt;=4,G2596&gt;=6,H2596&gt;=6),"AT RISK",AND(F2596&lt;=2,G2596&gt;=8,H2596&gt;=8),"CAN'T LOSE THEM",AND(F2596&lt;=2,G2596&lt;=2,H2596&lt;=2),"HIBERNATING",TRUE(),"Other")</f>
        <v>Other</v>
      </c>
      <c r="K2596" s="1" t="n">
        <f aca="false">RANK(E2596,$E$7:$E$4378)+COUNTIF($E$7:E2596,E2596)-1</f>
        <v>2841</v>
      </c>
    </row>
    <row r="2597" customFormat="false" ht="14.25" hidden="false" customHeight="true" outlineLevel="0" collapsed="false">
      <c r="A2597" s="51" t="n">
        <v>15838</v>
      </c>
      <c r="B2597" s="53" t="n">
        <v>40875.5833333333</v>
      </c>
      <c r="C2597" s="57" t="n">
        <f aca="false">INT($C$2)-INT(Table3[[#This Row],[Last Purchase Date]])</f>
        <v>12</v>
      </c>
      <c r="D2597" s="1" t="n">
        <v>21</v>
      </c>
      <c r="E2597" s="1" t="n">
        <v>33350.76</v>
      </c>
      <c r="F2597" s="1" t="n">
        <f aca="false">ROUND((1-_xlfn.PERCENTRANK.INC($C$7:$C$4378,C2597))*9,0)</f>
        <v>7</v>
      </c>
      <c r="G2597" s="1" t="n">
        <f aca="false">ROUND(_xlfn.PERCENTRANK.INC($D$7:$D$4378,D2597)*9,0)</f>
        <v>9</v>
      </c>
      <c r="H2597" s="1" t="n">
        <f aca="false">ROUND(_xlfn.PERCENTRANK.INC($E$7:$E$4378,E2597)*9,0)</f>
        <v>9</v>
      </c>
      <c r="I2597" s="1" t="str">
        <f aca="false">CONCATENATE(F2597,G2597,H2597)</f>
        <v>799</v>
      </c>
      <c r="J2597" s="1" t="str">
        <f aca="false">_xlfn.IFS(AND(F2597&gt;=8,G2597&gt;=8,H2597&gt;=8),"CHAMPION",AND(F2597&gt;=6,G2597&gt;=7,H2597&gt;=6),"LOYAL CUSTOMER",AND(F2597&gt;=6,G2597&gt;=5,H2597&gt;=5),"POTENTIAL LOYALIST",AND(F2597&gt;=8,G2597&lt;=2,H2597&gt;=5),"NEW CUSTOMERS",AND(F2597&gt;=6,G2597&lt;=2,H2597&gt;=3),"PROMISING",AND(F2597&gt;=3,G2597&gt;=3,H2597&gt;=3),"NEED ATTENTION",AND(F2597&lt;=4,G2597&gt;=6,H2597&gt;=6),"AT RISK",AND(F2597&lt;=2,G2597&gt;=8,H2597&gt;=8),"CAN'T LOSE THEM",AND(F2597&lt;=2,G2597&lt;=2,H2597&lt;=2),"HIBERNATING",TRUE(),"Other")</f>
        <v>LOYAL CUSTOMER</v>
      </c>
      <c r="K2597" s="1" t="n">
        <f aca="false">RANK(E2597,$E$7:$E$4378)+COUNTIF($E$7:E2597,E2597)-1</f>
        <v>24</v>
      </c>
    </row>
    <row r="2598" customFormat="false" ht="14.25" hidden="false" customHeight="true" outlineLevel="0" collapsed="false">
      <c r="A2598" s="51" t="n">
        <v>15839</v>
      </c>
      <c r="B2598" s="53" t="n">
        <v>40861.5590277778</v>
      </c>
      <c r="C2598" s="57" t="n">
        <f aca="false">INT($C$2)-INT(Table3[[#This Row],[Last Purchase Date]])</f>
        <v>26</v>
      </c>
      <c r="D2598" s="1" t="n">
        <v>5</v>
      </c>
      <c r="E2598" s="1" t="n">
        <v>1020.74</v>
      </c>
      <c r="F2598" s="1" t="n">
        <f aca="false">ROUND((1-_xlfn.PERCENTRANK.INC($C$7:$C$4378,C2598))*9,0)</f>
        <v>6</v>
      </c>
      <c r="G2598" s="1" t="n">
        <f aca="false">ROUND(_xlfn.PERCENTRANK.INC($D$7:$D$4378,D2598)*9,0)</f>
        <v>6</v>
      </c>
      <c r="H2598" s="1" t="n">
        <f aca="false">ROUND(_xlfn.PERCENTRANK.INC($E$7:$E$4378,E2598)*9,0)</f>
        <v>6</v>
      </c>
      <c r="I2598" s="1" t="str">
        <f aca="false">CONCATENATE(F2598,G2598,H2598)</f>
        <v>666</v>
      </c>
      <c r="J2598" s="1" t="str">
        <f aca="false">_xlfn.IFS(AND(F2598&gt;=8,G2598&gt;=8,H2598&gt;=8),"CHAMPION",AND(F2598&gt;=6,G2598&gt;=7,H2598&gt;=6),"LOYAL CUSTOMER",AND(F2598&gt;=6,G2598&gt;=5,H2598&gt;=5),"POTENTIAL LOYALIST",AND(F2598&gt;=8,G2598&lt;=2,H2598&gt;=5),"NEW CUSTOMERS",AND(F2598&gt;=6,G2598&lt;=2,H2598&gt;=3),"PROMISING",AND(F2598&gt;=3,G2598&gt;=3,H2598&gt;=3),"NEED ATTENTION",AND(F2598&lt;=4,G2598&gt;=6,H2598&gt;=6),"AT RISK",AND(F2598&lt;=2,G2598&gt;=8,H2598&gt;=8),"CAN'T LOSE THEM",AND(F2598&lt;=2,G2598&lt;=2,H2598&lt;=2),"HIBERNATING",TRUE(),"Other")</f>
        <v>POTENTIAL LOYALIST</v>
      </c>
      <c r="K2598" s="1" t="n">
        <f aca="false">RANK(E2598,$E$7:$E$4378)+COUNTIF($E$7:E2598,E2598)-1</f>
        <v>1605</v>
      </c>
    </row>
    <row r="2599" customFormat="false" ht="14.25" hidden="false" customHeight="true" outlineLevel="0" collapsed="false">
      <c r="A2599" s="51" t="n">
        <v>15840</v>
      </c>
      <c r="B2599" s="53" t="n">
        <v>40828.3805555556</v>
      </c>
      <c r="C2599" s="57" t="n">
        <f aca="false">INT($C$2)-INT(Table3[[#This Row],[Last Purchase Date]])</f>
        <v>59</v>
      </c>
      <c r="D2599" s="1" t="n">
        <v>3</v>
      </c>
      <c r="E2599" s="1" t="n">
        <v>345.66</v>
      </c>
      <c r="F2599" s="1" t="n">
        <f aca="false">ROUND((1-_xlfn.PERCENTRANK.INC($C$7:$C$4378,C2599))*9,0)</f>
        <v>4</v>
      </c>
      <c r="G2599" s="1" t="n">
        <f aca="false">ROUND(_xlfn.PERCENTRANK.INC($D$7:$D$4378,D2599)*9,0)</f>
        <v>4</v>
      </c>
      <c r="H2599" s="1" t="n">
        <f aca="false">ROUND(_xlfn.PERCENTRANK.INC($E$7:$E$4378,E2599)*9,0)</f>
        <v>3</v>
      </c>
      <c r="I2599" s="1" t="str">
        <f aca="false">CONCATENATE(F2599,G2599,H2599)</f>
        <v>443</v>
      </c>
      <c r="J2599" s="1" t="str">
        <f aca="false">_xlfn.IFS(AND(F2599&gt;=8,G2599&gt;=8,H2599&gt;=8),"CHAMPION",AND(F2599&gt;=6,G2599&gt;=7,H2599&gt;=6),"LOYAL CUSTOMER",AND(F2599&gt;=6,G2599&gt;=5,H2599&gt;=5),"POTENTIAL LOYALIST",AND(F2599&gt;=8,G2599&lt;=2,H2599&gt;=5),"NEW CUSTOMERS",AND(F2599&gt;=6,G2599&lt;=2,H2599&gt;=3),"PROMISING",AND(F2599&gt;=3,G2599&gt;=3,H2599&gt;=3),"NEED ATTENTION",AND(F2599&lt;=4,G2599&gt;=6,H2599&gt;=6),"AT RISK",AND(F2599&lt;=2,G2599&gt;=8,H2599&gt;=8),"CAN'T LOSE THEM",AND(F2599&lt;=2,G2599&lt;=2,H2599&lt;=2),"HIBERNATING",TRUE(),"Other")</f>
        <v>NEED ATTENTION</v>
      </c>
      <c r="K2599" s="1" t="n">
        <f aca="false">RANK(E2599,$E$7:$E$4378)+COUNTIF($E$7:E2599,E2599)-1</f>
        <v>3030</v>
      </c>
    </row>
    <row r="2600" customFormat="false" ht="14.25" hidden="false" customHeight="true" outlineLevel="0" collapsed="false">
      <c r="A2600" s="51" t="n">
        <v>15841</v>
      </c>
      <c r="B2600" s="53" t="n">
        <v>40822.7715277778</v>
      </c>
      <c r="C2600" s="57" t="n">
        <f aca="false">INT($C$2)-INT(Table3[[#This Row],[Last Purchase Date]])</f>
        <v>65</v>
      </c>
      <c r="D2600" s="1" t="n">
        <v>6</v>
      </c>
      <c r="E2600" s="1" t="n">
        <v>1209.1</v>
      </c>
      <c r="F2600" s="1" t="n">
        <f aca="false">ROUND((1-_xlfn.PERCENTRANK.INC($C$7:$C$4378,C2600))*9,0)</f>
        <v>4</v>
      </c>
      <c r="G2600" s="1" t="n">
        <f aca="false">ROUND(_xlfn.PERCENTRANK.INC($D$7:$D$4378,D2600)*9,0)</f>
        <v>7</v>
      </c>
      <c r="H2600" s="1" t="n">
        <f aca="false">ROUND(_xlfn.PERCENTRANK.INC($E$7:$E$4378,E2600)*9,0)</f>
        <v>6</v>
      </c>
      <c r="I2600" s="1" t="str">
        <f aca="false">CONCATENATE(F2600,G2600,H2600)</f>
        <v>476</v>
      </c>
      <c r="J2600" s="1" t="str">
        <f aca="false">_xlfn.IFS(AND(F2600&gt;=8,G2600&gt;=8,H2600&gt;=8),"CHAMPION",AND(F2600&gt;=6,G2600&gt;=7,H2600&gt;=6),"LOYAL CUSTOMER",AND(F2600&gt;=6,G2600&gt;=5,H2600&gt;=5),"POTENTIAL LOYALIST",AND(F2600&gt;=8,G2600&lt;=2,H2600&gt;=5),"NEW CUSTOMERS",AND(F2600&gt;=6,G2600&lt;=2,H2600&gt;=3),"PROMISING",AND(F2600&gt;=3,G2600&gt;=3,H2600&gt;=3),"NEED ATTENTION",AND(F2600&lt;=4,G2600&gt;=6,H2600&gt;=6),"AT RISK",AND(F2600&lt;=2,G2600&gt;=8,H2600&gt;=8),"CAN'T LOSE THEM",AND(F2600&lt;=2,G2600&lt;=2,H2600&lt;=2),"HIBERNATING",TRUE(),"Other")</f>
        <v>NEED ATTENTION</v>
      </c>
      <c r="K2600" s="1" t="n">
        <f aca="false">RANK(E2600,$E$7:$E$4378)+COUNTIF($E$7:E2600,E2600)-1</f>
        <v>1405</v>
      </c>
    </row>
    <row r="2601" customFormat="false" ht="14.25" hidden="false" customHeight="true" outlineLevel="0" collapsed="false">
      <c r="A2601" s="51" t="n">
        <v>15843</v>
      </c>
      <c r="B2601" s="53" t="n">
        <v>40583.4298611111</v>
      </c>
      <c r="C2601" s="57" t="n">
        <f aca="false">INT($C$2)-INT(Table3[[#This Row],[Last Purchase Date]])</f>
        <v>304</v>
      </c>
      <c r="D2601" s="1" t="n">
        <v>1</v>
      </c>
      <c r="E2601" s="1" t="n">
        <v>118.95</v>
      </c>
      <c r="F2601" s="1" t="n">
        <f aca="false">ROUND((1-_xlfn.PERCENTRANK.INC($C$7:$C$4378,C2601))*9,0)</f>
        <v>1</v>
      </c>
      <c r="G2601" s="1" t="n">
        <f aca="false">ROUND(_xlfn.PERCENTRANK.INC($D$7:$D$4378,D2601)*9,0)</f>
        <v>0</v>
      </c>
      <c r="H2601" s="1" t="n">
        <f aca="false">ROUND(_xlfn.PERCENTRANK.INC($E$7:$E$4378,E2601)*9,0)</f>
        <v>1</v>
      </c>
      <c r="I2601" s="1" t="str">
        <f aca="false">CONCATENATE(F2601,G2601,H2601)</f>
        <v>101</v>
      </c>
      <c r="J2601" s="1" t="str">
        <f aca="false">_xlfn.IFS(AND(F2601&gt;=8,G2601&gt;=8,H2601&gt;=8),"CHAMPION",AND(F2601&gt;=6,G2601&gt;=7,H2601&gt;=6),"LOYAL CUSTOMER",AND(F2601&gt;=6,G2601&gt;=5,H2601&gt;=5),"POTENTIAL LOYALIST",AND(F2601&gt;=8,G2601&lt;=2,H2601&gt;=5),"NEW CUSTOMERS",AND(F2601&gt;=6,G2601&lt;=2,H2601&gt;=3),"PROMISING",AND(F2601&gt;=3,G2601&gt;=3,H2601&gt;=3),"NEED ATTENTION",AND(F2601&lt;=4,G2601&gt;=6,H2601&gt;=6),"AT RISK",AND(F2601&lt;=2,G2601&gt;=8,H2601&gt;=8),"CAN'T LOSE THEM",AND(F2601&lt;=2,G2601&lt;=2,H2601&lt;=2),"HIBERNATING",TRUE(),"Other")</f>
        <v>HIBERNATING</v>
      </c>
      <c r="K2601" s="1" t="n">
        <f aca="false">RANK(E2601,$E$7:$E$4378)+COUNTIF($E$7:E2601,E2601)-1</f>
        <v>4056</v>
      </c>
    </row>
    <row r="2602" customFormat="false" ht="14.25" hidden="false" customHeight="true" outlineLevel="0" collapsed="false">
      <c r="A2602" s="51" t="n">
        <v>15844</v>
      </c>
      <c r="B2602" s="53" t="n">
        <v>40840.6381944444</v>
      </c>
      <c r="C2602" s="57" t="n">
        <f aca="false">INT($C$2)-INT(Table3[[#This Row],[Last Purchase Date]])</f>
        <v>47</v>
      </c>
      <c r="D2602" s="1" t="n">
        <v>1</v>
      </c>
      <c r="E2602" s="1" t="n">
        <v>130.74</v>
      </c>
      <c r="F2602" s="1" t="n">
        <f aca="false">ROUND((1-_xlfn.PERCENTRANK.INC($C$7:$C$4378,C2602))*9,0)</f>
        <v>5</v>
      </c>
      <c r="G2602" s="1" t="n">
        <f aca="false">ROUND(_xlfn.PERCENTRANK.INC($D$7:$D$4378,D2602)*9,0)</f>
        <v>0</v>
      </c>
      <c r="H2602" s="1" t="n">
        <f aca="false">ROUND(_xlfn.PERCENTRANK.INC($E$7:$E$4378,E2602)*9,0)</f>
        <v>1</v>
      </c>
      <c r="I2602" s="1" t="str">
        <f aca="false">CONCATENATE(F2602,G2602,H2602)</f>
        <v>501</v>
      </c>
      <c r="J2602" s="1" t="str">
        <f aca="false">_xlfn.IFS(AND(F2602&gt;=8,G2602&gt;=8,H2602&gt;=8),"CHAMPION",AND(F2602&gt;=6,G2602&gt;=7,H2602&gt;=6),"LOYAL CUSTOMER",AND(F2602&gt;=6,G2602&gt;=5,H2602&gt;=5),"POTENTIAL LOYALIST",AND(F2602&gt;=8,G2602&lt;=2,H2602&gt;=5),"NEW CUSTOMERS",AND(F2602&gt;=6,G2602&lt;=2,H2602&gt;=3),"PROMISING",AND(F2602&gt;=3,G2602&gt;=3,H2602&gt;=3),"NEED ATTENTION",AND(F2602&lt;=4,G2602&gt;=6,H2602&gt;=6),"AT RISK",AND(F2602&lt;=2,G2602&gt;=8,H2602&gt;=8),"CAN'T LOSE THEM",AND(F2602&lt;=2,G2602&lt;=2,H2602&lt;=2),"HIBERNATING",TRUE(),"Other")</f>
        <v>Other</v>
      </c>
      <c r="K2602" s="1" t="n">
        <f aca="false">RANK(E2602,$E$7:$E$4378)+COUNTIF($E$7:E2602,E2602)-1</f>
        <v>4006</v>
      </c>
    </row>
    <row r="2603" customFormat="false" ht="14.25" hidden="false" customHeight="true" outlineLevel="0" collapsed="false">
      <c r="A2603" s="51" t="n">
        <v>15845</v>
      </c>
      <c r="B2603" s="53" t="n">
        <v>40869.4041666667</v>
      </c>
      <c r="C2603" s="57" t="n">
        <f aca="false">INT($C$2)-INT(Table3[[#This Row],[Last Purchase Date]])</f>
        <v>18</v>
      </c>
      <c r="D2603" s="1" t="n">
        <v>10</v>
      </c>
      <c r="E2603" s="1" t="n">
        <v>3650.87</v>
      </c>
      <c r="F2603" s="1" t="n">
        <f aca="false">ROUND((1-_xlfn.PERCENTRANK.INC($C$7:$C$4378,C2603))*9,0)</f>
        <v>7</v>
      </c>
      <c r="G2603" s="1" t="n">
        <f aca="false">ROUND(_xlfn.PERCENTRANK.INC($D$7:$D$4378,D2603)*9,0)</f>
        <v>8</v>
      </c>
      <c r="H2603" s="1" t="n">
        <f aca="false">ROUND(_xlfn.PERCENTRANK.INC($E$7:$E$4378,E2603)*9,0)</f>
        <v>8</v>
      </c>
      <c r="I2603" s="1" t="str">
        <f aca="false">CONCATENATE(F2603,G2603,H2603)</f>
        <v>788</v>
      </c>
      <c r="J2603" s="1" t="str">
        <f aca="false">_xlfn.IFS(AND(F2603&gt;=8,G2603&gt;=8,H2603&gt;=8),"CHAMPION",AND(F2603&gt;=6,G2603&gt;=7,H2603&gt;=6),"LOYAL CUSTOMER",AND(F2603&gt;=6,G2603&gt;=5,H2603&gt;=5),"POTENTIAL LOYALIST",AND(F2603&gt;=8,G2603&lt;=2,H2603&gt;=5),"NEW CUSTOMERS",AND(F2603&gt;=6,G2603&lt;=2,H2603&gt;=3),"PROMISING",AND(F2603&gt;=3,G2603&gt;=3,H2603&gt;=3),"NEED ATTENTION",AND(F2603&lt;=4,G2603&gt;=6,H2603&gt;=6),"AT RISK",AND(F2603&lt;=2,G2603&gt;=8,H2603&gt;=8),"CAN'T LOSE THEM",AND(F2603&lt;=2,G2603&lt;=2,H2603&lt;=2),"HIBERNATING",TRUE(),"Other")</f>
        <v>LOYAL CUSTOMER</v>
      </c>
      <c r="K2603" s="1" t="n">
        <f aca="false">RANK(E2603,$E$7:$E$4378)+COUNTIF($E$7:E2603,E2603)-1</f>
        <v>412</v>
      </c>
    </row>
    <row r="2604" customFormat="false" ht="14.25" hidden="false" customHeight="true" outlineLevel="0" collapsed="false">
      <c r="A2604" s="51" t="n">
        <v>15847</v>
      </c>
      <c r="B2604" s="53" t="n">
        <v>40848.6118055556</v>
      </c>
      <c r="C2604" s="57" t="n">
        <f aca="false">INT($C$2)-INT(Table3[[#This Row],[Last Purchase Date]])</f>
        <v>39</v>
      </c>
      <c r="D2604" s="1" t="n">
        <v>2</v>
      </c>
      <c r="E2604" s="1" t="n">
        <v>389.27</v>
      </c>
      <c r="F2604" s="1" t="n">
        <f aca="false">ROUND((1-_xlfn.PERCENTRANK.INC($C$7:$C$4378,C2604))*9,0)</f>
        <v>5</v>
      </c>
      <c r="G2604" s="1" t="n">
        <f aca="false">ROUND(_xlfn.PERCENTRANK.INC($D$7:$D$4378,D2604)*9,0)</f>
        <v>3</v>
      </c>
      <c r="H2604" s="1" t="n">
        <f aca="false">ROUND(_xlfn.PERCENTRANK.INC($E$7:$E$4378,E2604)*9,0)</f>
        <v>3</v>
      </c>
      <c r="I2604" s="1" t="str">
        <f aca="false">CONCATENATE(F2604,G2604,H2604)</f>
        <v>533</v>
      </c>
      <c r="J2604" s="1" t="str">
        <f aca="false">_xlfn.IFS(AND(F2604&gt;=8,G2604&gt;=8,H2604&gt;=8),"CHAMPION",AND(F2604&gt;=6,G2604&gt;=7,H2604&gt;=6),"LOYAL CUSTOMER",AND(F2604&gt;=6,G2604&gt;=5,H2604&gt;=5),"POTENTIAL LOYALIST",AND(F2604&gt;=8,G2604&lt;=2,H2604&gt;=5),"NEW CUSTOMERS",AND(F2604&gt;=6,G2604&lt;=2,H2604&gt;=3),"PROMISING",AND(F2604&gt;=3,G2604&gt;=3,H2604&gt;=3),"NEED ATTENTION",AND(F2604&lt;=4,G2604&gt;=6,H2604&gt;=6),"AT RISK",AND(F2604&lt;=2,G2604&gt;=8,H2604&gt;=8),"CAN'T LOSE THEM",AND(F2604&lt;=2,G2604&lt;=2,H2604&lt;=2),"HIBERNATING",TRUE(),"Other")</f>
        <v>NEED ATTENTION</v>
      </c>
      <c r="K2604" s="1" t="n">
        <f aca="false">RANK(E2604,$E$7:$E$4378)+COUNTIF($E$7:E2604,E2604)-1</f>
        <v>2851</v>
      </c>
    </row>
    <row r="2605" customFormat="false" ht="14.25" hidden="false" customHeight="true" outlineLevel="0" collapsed="false">
      <c r="A2605" s="51" t="n">
        <v>15850</v>
      </c>
      <c r="B2605" s="53" t="n">
        <v>40867.5930555556</v>
      </c>
      <c r="C2605" s="57" t="n">
        <f aca="false">INT($C$2)-INT(Table3[[#This Row],[Last Purchase Date]])</f>
        <v>20</v>
      </c>
      <c r="D2605" s="1" t="n">
        <v>2</v>
      </c>
      <c r="E2605" s="1" t="n">
        <v>238.85</v>
      </c>
      <c r="F2605" s="1" t="n">
        <f aca="false">ROUND((1-_xlfn.PERCENTRANK.INC($C$7:$C$4378,C2605))*9,0)</f>
        <v>6</v>
      </c>
      <c r="G2605" s="1" t="n">
        <f aca="false">ROUND(_xlfn.PERCENTRANK.INC($D$7:$D$4378,D2605)*9,0)</f>
        <v>3</v>
      </c>
      <c r="H2605" s="1" t="n">
        <f aca="false">ROUND(_xlfn.PERCENTRANK.INC($E$7:$E$4378,E2605)*9,0)</f>
        <v>2</v>
      </c>
      <c r="I2605" s="1" t="str">
        <f aca="false">CONCATENATE(F2605,G2605,H2605)</f>
        <v>632</v>
      </c>
      <c r="J2605" s="1" t="str">
        <f aca="false">_xlfn.IFS(AND(F2605&gt;=8,G2605&gt;=8,H2605&gt;=8),"CHAMPION",AND(F2605&gt;=6,G2605&gt;=7,H2605&gt;=6),"LOYAL CUSTOMER",AND(F2605&gt;=6,G2605&gt;=5,H2605&gt;=5),"POTENTIAL LOYALIST",AND(F2605&gt;=8,G2605&lt;=2,H2605&gt;=5),"NEW CUSTOMERS",AND(F2605&gt;=6,G2605&lt;=2,H2605&gt;=3),"PROMISING",AND(F2605&gt;=3,G2605&gt;=3,H2605&gt;=3),"NEED ATTENTION",AND(F2605&lt;=4,G2605&gt;=6,H2605&gt;=6),"AT RISK",AND(F2605&lt;=2,G2605&gt;=8,H2605&gt;=8),"CAN'T LOSE THEM",AND(F2605&lt;=2,G2605&lt;=2,H2605&lt;=2),"HIBERNATING",TRUE(),"Other")</f>
        <v>Other</v>
      </c>
      <c r="K2605" s="1" t="n">
        <f aca="false">RANK(E2605,$E$7:$E$4378)+COUNTIF($E$7:E2605,E2605)-1</f>
        <v>3488</v>
      </c>
    </row>
    <row r="2606" customFormat="false" ht="14.25" hidden="false" customHeight="true" outlineLevel="0" collapsed="false">
      <c r="A2606" s="51" t="n">
        <v>15852</v>
      </c>
      <c r="B2606" s="53" t="n">
        <v>40700.4736111111</v>
      </c>
      <c r="C2606" s="57" t="n">
        <f aca="false">INT($C$2)-INT(Table3[[#This Row],[Last Purchase Date]])</f>
        <v>187</v>
      </c>
      <c r="D2606" s="1" t="n">
        <v>2</v>
      </c>
      <c r="E2606" s="1" t="n">
        <v>160.71</v>
      </c>
      <c r="F2606" s="1" t="n">
        <f aca="false">ROUND((1-_xlfn.PERCENTRANK.INC($C$7:$C$4378,C2606))*9,0)</f>
        <v>2</v>
      </c>
      <c r="G2606" s="1" t="n">
        <f aca="false">ROUND(_xlfn.PERCENTRANK.INC($D$7:$D$4378,D2606)*9,0)</f>
        <v>3</v>
      </c>
      <c r="H2606" s="1" t="n">
        <f aca="false">ROUND(_xlfn.PERCENTRANK.INC($E$7:$E$4378,E2606)*9,0)</f>
        <v>1</v>
      </c>
      <c r="I2606" s="1" t="str">
        <f aca="false">CONCATENATE(F2606,G2606,H2606)</f>
        <v>231</v>
      </c>
      <c r="J2606" s="1" t="str">
        <f aca="false">_xlfn.IFS(AND(F2606&gt;=8,G2606&gt;=8,H2606&gt;=8),"CHAMPION",AND(F2606&gt;=6,G2606&gt;=7,H2606&gt;=6),"LOYAL CUSTOMER",AND(F2606&gt;=6,G2606&gt;=5,H2606&gt;=5),"POTENTIAL LOYALIST",AND(F2606&gt;=8,G2606&lt;=2,H2606&gt;=5),"NEW CUSTOMERS",AND(F2606&gt;=6,G2606&lt;=2,H2606&gt;=3),"PROMISING",AND(F2606&gt;=3,G2606&gt;=3,H2606&gt;=3),"NEED ATTENTION",AND(F2606&lt;=4,G2606&gt;=6,H2606&gt;=6),"AT RISK",AND(F2606&lt;=2,G2606&gt;=8,H2606&gt;=8),"CAN'T LOSE THEM",AND(F2606&lt;=2,G2606&lt;=2,H2606&lt;=2),"HIBERNATING",TRUE(),"Other")</f>
        <v>Other</v>
      </c>
      <c r="K2606" s="1" t="n">
        <f aca="false">RANK(E2606,$E$7:$E$4378)+COUNTIF($E$7:E2606,E2606)-1</f>
        <v>3856</v>
      </c>
    </row>
    <row r="2607" customFormat="false" ht="14.25" hidden="false" customHeight="true" outlineLevel="0" collapsed="false">
      <c r="A2607" s="51" t="n">
        <v>15853</v>
      </c>
      <c r="B2607" s="53" t="n">
        <v>40835.4430555556</v>
      </c>
      <c r="C2607" s="57" t="n">
        <f aca="false">INT($C$2)-INT(Table3[[#This Row],[Last Purchase Date]])</f>
        <v>52</v>
      </c>
      <c r="D2607" s="1" t="n">
        <v>1</v>
      </c>
      <c r="E2607" s="1" t="n">
        <v>110.8</v>
      </c>
      <c r="F2607" s="1" t="n">
        <f aca="false">ROUND((1-_xlfn.PERCENTRANK.INC($C$7:$C$4378,C2607))*9,0)</f>
        <v>4</v>
      </c>
      <c r="G2607" s="1" t="n">
        <f aca="false">ROUND(_xlfn.PERCENTRANK.INC($D$7:$D$4378,D2607)*9,0)</f>
        <v>0</v>
      </c>
      <c r="H2607" s="1" t="n">
        <f aca="false">ROUND(_xlfn.PERCENTRANK.INC($E$7:$E$4378,E2607)*9,0)</f>
        <v>1</v>
      </c>
      <c r="I2607" s="1" t="str">
        <f aca="false">CONCATENATE(F2607,G2607,H2607)</f>
        <v>401</v>
      </c>
      <c r="J2607" s="1" t="str">
        <f aca="false">_xlfn.IFS(AND(F2607&gt;=8,G2607&gt;=8,H2607&gt;=8),"CHAMPION",AND(F2607&gt;=6,G2607&gt;=7,H2607&gt;=6),"LOYAL CUSTOMER",AND(F2607&gt;=6,G2607&gt;=5,H2607&gt;=5),"POTENTIAL LOYALIST",AND(F2607&gt;=8,G2607&lt;=2,H2607&gt;=5),"NEW CUSTOMERS",AND(F2607&gt;=6,G2607&lt;=2,H2607&gt;=3),"PROMISING",AND(F2607&gt;=3,G2607&gt;=3,H2607&gt;=3),"NEED ATTENTION",AND(F2607&lt;=4,G2607&gt;=6,H2607&gt;=6),"AT RISK",AND(F2607&lt;=2,G2607&gt;=8,H2607&gt;=8),"CAN'T LOSE THEM",AND(F2607&lt;=2,G2607&lt;=2,H2607&lt;=2),"HIBERNATING",TRUE(),"Other")</f>
        <v>Other</v>
      </c>
      <c r="K2607" s="1" t="n">
        <f aca="false">RANK(E2607,$E$7:$E$4378)+COUNTIF($E$7:E2607,E2607)-1</f>
        <v>4109</v>
      </c>
    </row>
    <row r="2608" customFormat="false" ht="14.25" hidden="false" customHeight="true" outlineLevel="0" collapsed="false">
      <c r="A2608" s="51" t="n">
        <v>15854</v>
      </c>
      <c r="B2608" s="53" t="n">
        <v>40882.56875</v>
      </c>
      <c r="C2608" s="57" t="n">
        <f aca="false">INT($C$2)-INT(Table3[[#This Row],[Last Purchase Date]])</f>
        <v>5</v>
      </c>
      <c r="D2608" s="1" t="n">
        <v>12</v>
      </c>
      <c r="E2608" s="1" t="n">
        <v>2974.65</v>
      </c>
      <c r="F2608" s="1" t="n">
        <f aca="false">ROUND((1-_xlfn.PERCENTRANK.INC($C$7:$C$4378,C2608))*9,0)</f>
        <v>8</v>
      </c>
      <c r="G2608" s="1" t="n">
        <f aca="false">ROUND(_xlfn.PERCENTRANK.INC($D$7:$D$4378,D2608)*9,0)</f>
        <v>8</v>
      </c>
      <c r="H2608" s="1" t="n">
        <f aca="false">ROUND(_xlfn.PERCENTRANK.INC($E$7:$E$4378,E2608)*9,0)</f>
        <v>8</v>
      </c>
      <c r="I2608" s="1" t="str">
        <f aca="false">CONCATENATE(F2608,G2608,H2608)</f>
        <v>888</v>
      </c>
      <c r="J2608" s="1" t="str">
        <f aca="false">_xlfn.IFS(AND(F2608&gt;=8,G2608&gt;=8,H2608&gt;=8),"CHAMPION",AND(F2608&gt;=6,G2608&gt;=7,H2608&gt;=6),"LOYAL CUSTOMER",AND(F2608&gt;=6,G2608&gt;=5,H2608&gt;=5),"POTENTIAL LOYALIST",AND(F2608&gt;=8,G2608&lt;=2,H2608&gt;=5),"NEW CUSTOMERS",AND(F2608&gt;=6,G2608&lt;=2,H2608&gt;=3),"PROMISING",AND(F2608&gt;=3,G2608&gt;=3,H2608&gt;=3),"NEED ATTENTION",AND(F2608&lt;=4,G2608&gt;=6,H2608&gt;=6),"AT RISK",AND(F2608&lt;=2,G2608&gt;=8,H2608&gt;=8),"CAN'T LOSE THEM",AND(F2608&lt;=2,G2608&lt;=2,H2608&lt;=2),"HIBERNATING",TRUE(),"Other")</f>
        <v>CHAMPION</v>
      </c>
      <c r="K2608" s="1" t="n">
        <f aca="false">RANK(E2608,$E$7:$E$4378)+COUNTIF($E$7:E2608,E2608)-1</f>
        <v>545</v>
      </c>
    </row>
    <row r="2609" customFormat="false" ht="14.25" hidden="false" customHeight="true" outlineLevel="0" collapsed="false">
      <c r="A2609" s="51" t="n">
        <v>15855</v>
      </c>
      <c r="B2609" s="53" t="n">
        <v>40750.4305555556</v>
      </c>
      <c r="C2609" s="57" t="n">
        <f aca="false">INT($C$2)-INT(Table3[[#This Row],[Last Purchase Date]])</f>
        <v>137</v>
      </c>
      <c r="D2609" s="1" t="n">
        <v>5</v>
      </c>
      <c r="E2609" s="1" t="n">
        <v>712.24</v>
      </c>
      <c r="F2609" s="1" t="n">
        <f aca="false">ROUND((1-_xlfn.PERCENTRANK.INC($C$7:$C$4378,C2609))*9,0)</f>
        <v>2</v>
      </c>
      <c r="G2609" s="1" t="n">
        <f aca="false">ROUND(_xlfn.PERCENTRANK.INC($D$7:$D$4378,D2609)*9,0)</f>
        <v>6</v>
      </c>
      <c r="H2609" s="1" t="n">
        <f aca="false">ROUND(_xlfn.PERCENTRANK.INC($E$7:$E$4378,E2609)*9,0)</f>
        <v>5</v>
      </c>
      <c r="I2609" s="1" t="str">
        <f aca="false">CONCATENATE(F2609,G2609,H2609)</f>
        <v>265</v>
      </c>
      <c r="J2609" s="1" t="str">
        <f aca="false">_xlfn.IFS(AND(F2609&gt;=8,G2609&gt;=8,H2609&gt;=8),"CHAMPION",AND(F2609&gt;=6,G2609&gt;=7,H2609&gt;=6),"LOYAL CUSTOMER",AND(F2609&gt;=6,G2609&gt;=5,H2609&gt;=5),"POTENTIAL LOYALIST",AND(F2609&gt;=8,G2609&lt;=2,H2609&gt;=5),"NEW CUSTOMERS",AND(F2609&gt;=6,G2609&lt;=2,H2609&gt;=3),"PROMISING",AND(F2609&gt;=3,G2609&gt;=3,H2609&gt;=3),"NEED ATTENTION",AND(F2609&lt;=4,G2609&gt;=6,H2609&gt;=6),"AT RISK",AND(F2609&lt;=2,G2609&gt;=8,H2609&gt;=8),"CAN'T LOSE THEM",AND(F2609&lt;=2,G2609&lt;=2,H2609&lt;=2),"HIBERNATING",TRUE(),"Other")</f>
        <v>Other</v>
      </c>
      <c r="K2609" s="1" t="n">
        <f aca="false">RANK(E2609,$E$7:$E$4378)+COUNTIF($E$7:E2609,E2609)-1</f>
        <v>2043</v>
      </c>
    </row>
    <row r="2610" customFormat="false" ht="14.25" hidden="false" customHeight="true" outlineLevel="0" collapsed="false">
      <c r="A2610" s="51" t="n">
        <v>15856</v>
      </c>
      <c r="B2610" s="53" t="n">
        <v>40882.7145833333</v>
      </c>
      <c r="C2610" s="57" t="n">
        <f aca="false">INT($C$2)-INT(Table3[[#This Row],[Last Purchase Date]])</f>
        <v>5</v>
      </c>
      <c r="D2610" s="1" t="n">
        <v>31</v>
      </c>
      <c r="E2610" s="1" t="n">
        <v>16173.67</v>
      </c>
      <c r="F2610" s="1" t="n">
        <f aca="false">ROUND((1-_xlfn.PERCENTRANK.INC($C$7:$C$4378,C2610))*9,0)</f>
        <v>8</v>
      </c>
      <c r="G2610" s="1" t="n">
        <f aca="false">ROUND(_xlfn.PERCENTRANK.INC($D$7:$D$4378,D2610)*9,0)</f>
        <v>9</v>
      </c>
      <c r="H2610" s="1" t="n">
        <f aca="false">ROUND(_xlfn.PERCENTRANK.INC($E$7:$E$4378,E2610)*9,0)</f>
        <v>9</v>
      </c>
      <c r="I2610" s="1" t="str">
        <f aca="false">CONCATENATE(F2610,G2610,H2610)</f>
        <v>899</v>
      </c>
      <c r="J2610" s="1" t="str">
        <f aca="false">_xlfn.IFS(AND(F2610&gt;=8,G2610&gt;=8,H2610&gt;=8),"CHAMPION",AND(F2610&gt;=6,G2610&gt;=7,H2610&gt;=6),"LOYAL CUSTOMER",AND(F2610&gt;=6,G2610&gt;=5,H2610&gt;=5),"POTENTIAL LOYALIST",AND(F2610&gt;=8,G2610&lt;=2,H2610&gt;=5),"NEW CUSTOMERS",AND(F2610&gt;=6,G2610&lt;=2,H2610&gt;=3),"PROMISING",AND(F2610&gt;=3,G2610&gt;=3,H2610&gt;=3),"NEED ATTENTION",AND(F2610&lt;=4,G2610&gt;=6,H2610&gt;=6),"AT RISK",AND(F2610&lt;=2,G2610&gt;=8,H2610&gt;=8),"CAN'T LOSE THEM",AND(F2610&lt;=2,G2610&lt;=2,H2610&lt;=2),"HIBERNATING",TRUE(),"Other")</f>
        <v>CHAMPION</v>
      </c>
      <c r="K2610" s="1" t="n">
        <f aca="false">RANK(E2610,$E$7:$E$4378)+COUNTIF($E$7:E2610,E2610)-1</f>
        <v>51</v>
      </c>
    </row>
    <row r="2611" customFormat="false" ht="14.25" hidden="false" customHeight="true" outlineLevel="0" collapsed="false">
      <c r="A2611" s="51" t="n">
        <v>15857</v>
      </c>
      <c r="B2611" s="53" t="n">
        <v>40868.5125</v>
      </c>
      <c r="C2611" s="57" t="n">
        <f aca="false">INT($C$2)-INT(Table3[[#This Row],[Last Purchase Date]])</f>
        <v>19</v>
      </c>
      <c r="D2611" s="1" t="n">
        <v>1</v>
      </c>
      <c r="E2611" s="1" t="n">
        <v>297</v>
      </c>
      <c r="F2611" s="1" t="n">
        <f aca="false">ROUND((1-_xlfn.PERCENTRANK.INC($C$7:$C$4378,C2611))*9,0)</f>
        <v>7</v>
      </c>
      <c r="G2611" s="1" t="n">
        <f aca="false">ROUND(_xlfn.PERCENTRANK.INC($D$7:$D$4378,D2611)*9,0)</f>
        <v>0</v>
      </c>
      <c r="H2611" s="1" t="n">
        <f aca="false">ROUND(_xlfn.PERCENTRANK.INC($E$7:$E$4378,E2611)*9,0)</f>
        <v>2</v>
      </c>
      <c r="I2611" s="1" t="str">
        <f aca="false">CONCATENATE(F2611,G2611,H2611)</f>
        <v>702</v>
      </c>
      <c r="J2611" s="1" t="str">
        <f aca="false">_xlfn.IFS(AND(F2611&gt;=8,G2611&gt;=8,H2611&gt;=8),"CHAMPION",AND(F2611&gt;=6,G2611&gt;=7,H2611&gt;=6),"LOYAL CUSTOMER",AND(F2611&gt;=6,G2611&gt;=5,H2611&gt;=5),"POTENTIAL LOYALIST",AND(F2611&gt;=8,G2611&lt;=2,H2611&gt;=5),"NEW CUSTOMERS",AND(F2611&gt;=6,G2611&lt;=2,H2611&gt;=3),"PROMISING",AND(F2611&gt;=3,G2611&gt;=3,H2611&gt;=3),"NEED ATTENTION",AND(F2611&lt;=4,G2611&gt;=6,H2611&gt;=6),"AT RISK",AND(F2611&lt;=2,G2611&gt;=8,H2611&gt;=8),"CAN'T LOSE THEM",AND(F2611&lt;=2,G2611&lt;=2,H2611&lt;=2),"HIBERNATING",TRUE(),"Other")</f>
        <v>Other</v>
      </c>
      <c r="K2611" s="1" t="n">
        <f aca="false">RANK(E2611,$E$7:$E$4378)+COUNTIF($E$7:E2611,E2611)-1</f>
        <v>3266</v>
      </c>
    </row>
    <row r="2612" customFormat="false" ht="14.25" hidden="false" customHeight="true" outlineLevel="0" collapsed="false">
      <c r="A2612" s="51" t="n">
        <v>15858</v>
      </c>
      <c r="B2612" s="53" t="n">
        <v>40871.5333333333</v>
      </c>
      <c r="C2612" s="57" t="n">
        <f aca="false">INT($C$2)-INT(Table3[[#This Row],[Last Purchase Date]])</f>
        <v>16</v>
      </c>
      <c r="D2612" s="1" t="n">
        <v>5</v>
      </c>
      <c r="E2612" s="1" t="n">
        <v>1438.85</v>
      </c>
      <c r="F2612" s="1" t="n">
        <f aca="false">ROUND((1-_xlfn.PERCENTRANK.INC($C$7:$C$4378,C2612))*9,0)</f>
        <v>7</v>
      </c>
      <c r="G2612" s="1" t="n">
        <f aca="false">ROUND(_xlfn.PERCENTRANK.INC($D$7:$D$4378,D2612)*9,0)</f>
        <v>6</v>
      </c>
      <c r="H2612" s="1" t="n">
        <f aca="false">ROUND(_xlfn.PERCENTRANK.INC($E$7:$E$4378,E2612)*9,0)</f>
        <v>7</v>
      </c>
      <c r="I2612" s="1" t="str">
        <f aca="false">CONCATENATE(F2612,G2612,H2612)</f>
        <v>767</v>
      </c>
      <c r="J2612" s="1" t="str">
        <f aca="false">_xlfn.IFS(AND(F2612&gt;=8,G2612&gt;=8,H2612&gt;=8),"CHAMPION",AND(F2612&gt;=6,G2612&gt;=7,H2612&gt;=6),"LOYAL CUSTOMER",AND(F2612&gt;=6,G2612&gt;=5,H2612&gt;=5),"POTENTIAL LOYALIST",AND(F2612&gt;=8,G2612&lt;=2,H2612&gt;=5),"NEW CUSTOMERS",AND(F2612&gt;=6,G2612&lt;=2,H2612&gt;=3),"PROMISING",AND(F2612&gt;=3,G2612&gt;=3,H2612&gt;=3),"NEED ATTENTION",AND(F2612&lt;=4,G2612&gt;=6,H2612&gt;=6),"AT RISK",AND(F2612&lt;=2,G2612&gt;=8,H2612&gt;=8),"CAN'T LOSE THEM",AND(F2612&lt;=2,G2612&lt;=2,H2612&lt;=2),"HIBERNATING",TRUE(),"Other")</f>
        <v>POTENTIAL LOYALIST</v>
      </c>
      <c r="K2612" s="1" t="n">
        <f aca="false">RANK(E2612,$E$7:$E$4378)+COUNTIF($E$7:E2612,E2612)-1</f>
        <v>1206</v>
      </c>
    </row>
    <row r="2613" customFormat="false" ht="14.25" hidden="false" customHeight="true" outlineLevel="0" collapsed="false">
      <c r="A2613" s="51" t="n">
        <v>15860</v>
      </c>
      <c r="B2613" s="53" t="n">
        <v>40846.4756944445</v>
      </c>
      <c r="C2613" s="57" t="n">
        <f aca="false">INT($C$2)-INT(Table3[[#This Row],[Last Purchase Date]])</f>
        <v>41</v>
      </c>
      <c r="D2613" s="1" t="n">
        <v>8</v>
      </c>
      <c r="E2613" s="1" t="n">
        <v>977.209999999999</v>
      </c>
      <c r="F2613" s="1" t="n">
        <f aca="false">ROUND((1-_xlfn.PERCENTRANK.INC($C$7:$C$4378,C2613))*9,0)</f>
        <v>5</v>
      </c>
      <c r="G2613" s="1" t="n">
        <f aca="false">ROUND(_xlfn.PERCENTRANK.INC($D$7:$D$4378,D2613)*9,0)</f>
        <v>7</v>
      </c>
      <c r="H2613" s="1" t="n">
        <f aca="false">ROUND(_xlfn.PERCENTRANK.INC($E$7:$E$4378,E2613)*9,0)</f>
        <v>6</v>
      </c>
      <c r="I2613" s="1" t="str">
        <f aca="false">CONCATENATE(F2613,G2613,H2613)</f>
        <v>576</v>
      </c>
      <c r="J2613" s="1" t="str">
        <f aca="false">_xlfn.IFS(AND(F2613&gt;=8,G2613&gt;=8,H2613&gt;=8),"CHAMPION",AND(F2613&gt;=6,G2613&gt;=7,H2613&gt;=6),"LOYAL CUSTOMER",AND(F2613&gt;=6,G2613&gt;=5,H2613&gt;=5),"POTENTIAL LOYALIST",AND(F2613&gt;=8,G2613&lt;=2,H2613&gt;=5),"NEW CUSTOMERS",AND(F2613&gt;=6,G2613&lt;=2,H2613&gt;=3),"PROMISING",AND(F2613&gt;=3,G2613&gt;=3,H2613&gt;=3),"NEED ATTENTION",AND(F2613&lt;=4,G2613&gt;=6,H2613&gt;=6),"AT RISK",AND(F2613&lt;=2,G2613&gt;=8,H2613&gt;=8),"CAN'T LOSE THEM",AND(F2613&lt;=2,G2613&lt;=2,H2613&lt;=2),"HIBERNATING",TRUE(),"Other")</f>
        <v>NEED ATTENTION</v>
      </c>
      <c r="K2613" s="1" t="n">
        <f aca="false">RANK(E2613,$E$7:$E$4378)+COUNTIF($E$7:E2613,E2613)-1</f>
        <v>1670</v>
      </c>
    </row>
    <row r="2614" customFormat="false" ht="14.25" hidden="false" customHeight="true" outlineLevel="0" collapsed="false">
      <c r="A2614" s="51" t="n">
        <v>15861</v>
      </c>
      <c r="B2614" s="53" t="n">
        <v>40874.6659722222</v>
      </c>
      <c r="C2614" s="57" t="n">
        <f aca="false">INT($C$2)-INT(Table3[[#This Row],[Last Purchase Date]])</f>
        <v>13</v>
      </c>
      <c r="D2614" s="1" t="n">
        <v>9</v>
      </c>
      <c r="E2614" s="1" t="n">
        <v>3000.36</v>
      </c>
      <c r="F2614" s="1" t="n">
        <f aca="false">ROUND((1-_xlfn.PERCENTRANK.INC($C$7:$C$4378,C2614))*9,0)</f>
        <v>7</v>
      </c>
      <c r="G2614" s="1" t="n">
        <f aca="false">ROUND(_xlfn.PERCENTRANK.INC($D$7:$D$4378,D2614)*9,0)</f>
        <v>8</v>
      </c>
      <c r="H2614" s="1" t="n">
        <f aca="false">ROUND(_xlfn.PERCENTRANK.INC($E$7:$E$4378,E2614)*9,0)</f>
        <v>8</v>
      </c>
      <c r="I2614" s="1" t="str">
        <f aca="false">CONCATENATE(F2614,G2614,H2614)</f>
        <v>788</v>
      </c>
      <c r="J2614" s="1" t="str">
        <f aca="false">_xlfn.IFS(AND(F2614&gt;=8,G2614&gt;=8,H2614&gt;=8),"CHAMPION",AND(F2614&gt;=6,G2614&gt;=7,H2614&gt;=6),"LOYAL CUSTOMER",AND(F2614&gt;=6,G2614&gt;=5,H2614&gt;=5),"POTENTIAL LOYALIST",AND(F2614&gt;=8,G2614&lt;=2,H2614&gt;=5),"NEW CUSTOMERS",AND(F2614&gt;=6,G2614&lt;=2,H2614&gt;=3),"PROMISING",AND(F2614&gt;=3,G2614&gt;=3,H2614&gt;=3),"NEED ATTENTION",AND(F2614&lt;=4,G2614&gt;=6,H2614&gt;=6),"AT RISK",AND(F2614&lt;=2,G2614&gt;=8,H2614&gt;=8),"CAN'T LOSE THEM",AND(F2614&lt;=2,G2614&lt;=2,H2614&lt;=2),"HIBERNATING",TRUE(),"Other")</f>
        <v>LOYAL CUSTOMER</v>
      </c>
      <c r="K2614" s="1" t="n">
        <f aca="false">RANK(E2614,$E$7:$E$4378)+COUNTIF($E$7:E2614,E2614)-1</f>
        <v>539</v>
      </c>
    </row>
    <row r="2615" customFormat="false" ht="14.25" hidden="false" customHeight="true" outlineLevel="0" collapsed="false">
      <c r="A2615" s="51" t="n">
        <v>15862</v>
      </c>
      <c r="B2615" s="53" t="n">
        <v>40878.5611111111</v>
      </c>
      <c r="C2615" s="57" t="n">
        <f aca="false">INT($C$2)-INT(Table3[[#This Row],[Last Purchase Date]])</f>
        <v>9</v>
      </c>
      <c r="D2615" s="1" t="n">
        <v>4</v>
      </c>
      <c r="E2615" s="1" t="n">
        <v>832.88</v>
      </c>
      <c r="F2615" s="1" t="n">
        <f aca="false">ROUND((1-_xlfn.PERCENTRANK.INC($C$7:$C$4378,C2615))*9,0)</f>
        <v>8</v>
      </c>
      <c r="G2615" s="1" t="n">
        <f aca="false">ROUND(_xlfn.PERCENTRANK.INC($D$7:$D$4378,D2615)*9,0)</f>
        <v>5</v>
      </c>
      <c r="H2615" s="1" t="n">
        <f aca="false">ROUND(_xlfn.PERCENTRANK.INC($E$7:$E$4378,E2615)*9,0)</f>
        <v>5</v>
      </c>
      <c r="I2615" s="1" t="str">
        <f aca="false">CONCATENATE(F2615,G2615,H2615)</f>
        <v>855</v>
      </c>
      <c r="J2615" s="1" t="str">
        <f aca="false">_xlfn.IFS(AND(F2615&gt;=8,G2615&gt;=8,H2615&gt;=8),"CHAMPION",AND(F2615&gt;=6,G2615&gt;=7,H2615&gt;=6),"LOYAL CUSTOMER",AND(F2615&gt;=6,G2615&gt;=5,H2615&gt;=5),"POTENTIAL LOYALIST",AND(F2615&gt;=8,G2615&lt;=2,H2615&gt;=5),"NEW CUSTOMERS",AND(F2615&gt;=6,G2615&lt;=2,H2615&gt;=3),"PROMISING",AND(F2615&gt;=3,G2615&gt;=3,H2615&gt;=3),"NEED ATTENTION",AND(F2615&lt;=4,G2615&gt;=6,H2615&gt;=6),"AT RISK",AND(F2615&lt;=2,G2615&gt;=8,H2615&gt;=8),"CAN'T LOSE THEM",AND(F2615&lt;=2,G2615&lt;=2,H2615&lt;=2),"HIBERNATING",TRUE(),"Other")</f>
        <v>POTENTIAL LOYALIST</v>
      </c>
      <c r="K2615" s="1" t="n">
        <f aca="false">RANK(E2615,$E$7:$E$4378)+COUNTIF($E$7:E2615,E2615)-1</f>
        <v>1853</v>
      </c>
    </row>
    <row r="2616" customFormat="false" ht="14.25" hidden="false" customHeight="true" outlineLevel="0" collapsed="false">
      <c r="A2616" s="51" t="n">
        <v>15863</v>
      </c>
      <c r="B2616" s="53" t="n">
        <v>40861.5340277778</v>
      </c>
      <c r="C2616" s="57" t="n">
        <f aca="false">INT($C$2)-INT(Table3[[#This Row],[Last Purchase Date]])</f>
        <v>26</v>
      </c>
      <c r="D2616" s="1" t="n">
        <v>2</v>
      </c>
      <c r="E2616" s="1" t="n">
        <v>68.84</v>
      </c>
      <c r="F2616" s="1" t="n">
        <f aca="false">ROUND((1-_xlfn.PERCENTRANK.INC($C$7:$C$4378,C2616))*9,0)</f>
        <v>6</v>
      </c>
      <c r="G2616" s="1" t="n">
        <f aca="false">ROUND(_xlfn.PERCENTRANK.INC($D$7:$D$4378,D2616)*9,0)</f>
        <v>3</v>
      </c>
      <c r="H2616" s="1" t="n">
        <f aca="false">ROUND(_xlfn.PERCENTRANK.INC($E$7:$E$4378,E2616)*9,0)</f>
        <v>0</v>
      </c>
      <c r="I2616" s="1" t="str">
        <f aca="false">CONCATENATE(F2616,G2616,H2616)</f>
        <v>630</v>
      </c>
      <c r="J2616" s="1" t="str">
        <f aca="false">_xlfn.IFS(AND(F2616&gt;=8,G2616&gt;=8,H2616&gt;=8),"CHAMPION",AND(F2616&gt;=6,G2616&gt;=7,H2616&gt;=6),"LOYAL CUSTOMER",AND(F2616&gt;=6,G2616&gt;=5,H2616&gt;=5),"POTENTIAL LOYALIST",AND(F2616&gt;=8,G2616&lt;=2,H2616&gt;=5),"NEW CUSTOMERS",AND(F2616&gt;=6,G2616&lt;=2,H2616&gt;=3),"PROMISING",AND(F2616&gt;=3,G2616&gt;=3,H2616&gt;=3),"NEED ATTENTION",AND(F2616&lt;=4,G2616&gt;=6,H2616&gt;=6),"AT RISK",AND(F2616&lt;=2,G2616&gt;=8,H2616&gt;=8),"CAN'T LOSE THEM",AND(F2616&lt;=2,G2616&lt;=2,H2616&lt;=2),"HIBERNATING",TRUE(),"Other")</f>
        <v>Other</v>
      </c>
      <c r="K2616" s="1" t="n">
        <f aca="false">RANK(E2616,$E$7:$E$4378)+COUNTIF($E$7:E2616,E2616)-1</f>
        <v>4250</v>
      </c>
    </row>
    <row r="2617" customFormat="false" ht="14.25" hidden="false" customHeight="true" outlineLevel="0" collapsed="false">
      <c r="A2617" s="51" t="n">
        <v>15864</v>
      </c>
      <c r="B2617" s="53" t="n">
        <v>40864.5638888889</v>
      </c>
      <c r="C2617" s="57" t="n">
        <f aca="false">INT($C$2)-INT(Table3[[#This Row],[Last Purchase Date]])</f>
        <v>23</v>
      </c>
      <c r="D2617" s="1" t="n">
        <v>8</v>
      </c>
      <c r="E2617" s="1" t="n">
        <v>1769.78</v>
      </c>
      <c r="F2617" s="1" t="n">
        <f aca="false">ROUND((1-_xlfn.PERCENTRANK.INC($C$7:$C$4378,C2617))*9,0)</f>
        <v>6</v>
      </c>
      <c r="G2617" s="1" t="n">
        <f aca="false">ROUND(_xlfn.PERCENTRANK.INC($D$7:$D$4378,D2617)*9,0)</f>
        <v>7</v>
      </c>
      <c r="H2617" s="1" t="n">
        <f aca="false">ROUND(_xlfn.PERCENTRANK.INC($E$7:$E$4378,E2617)*9,0)</f>
        <v>7</v>
      </c>
      <c r="I2617" s="1" t="str">
        <f aca="false">CONCATENATE(F2617,G2617,H2617)</f>
        <v>677</v>
      </c>
      <c r="J2617" s="1" t="str">
        <f aca="false">_xlfn.IFS(AND(F2617&gt;=8,G2617&gt;=8,H2617&gt;=8),"CHAMPION",AND(F2617&gt;=6,G2617&gt;=7,H2617&gt;=6),"LOYAL CUSTOMER",AND(F2617&gt;=6,G2617&gt;=5,H2617&gt;=5),"POTENTIAL LOYALIST",AND(F2617&gt;=8,G2617&lt;=2,H2617&gt;=5),"NEW CUSTOMERS",AND(F2617&gt;=6,G2617&lt;=2,H2617&gt;=3),"PROMISING",AND(F2617&gt;=3,G2617&gt;=3,H2617&gt;=3),"NEED ATTENTION",AND(F2617&lt;=4,G2617&gt;=6,H2617&gt;=6),"AT RISK",AND(F2617&lt;=2,G2617&gt;=8,H2617&gt;=8),"CAN'T LOSE THEM",AND(F2617&lt;=2,G2617&lt;=2,H2617&lt;=2),"HIBERNATING",TRUE(),"Other")</f>
        <v>LOYAL CUSTOMER</v>
      </c>
      <c r="K2617" s="1" t="n">
        <f aca="false">RANK(E2617,$E$7:$E$4378)+COUNTIF($E$7:E2617,E2617)-1</f>
        <v>999</v>
      </c>
    </row>
    <row r="2618" customFormat="false" ht="14.25" hidden="false" customHeight="true" outlineLevel="0" collapsed="false">
      <c r="A2618" s="51" t="n">
        <v>15865</v>
      </c>
      <c r="B2618" s="53" t="n">
        <v>40846.5298611111</v>
      </c>
      <c r="C2618" s="57" t="n">
        <f aca="false">INT($C$2)-INT(Table3[[#This Row],[Last Purchase Date]])</f>
        <v>41</v>
      </c>
      <c r="D2618" s="1" t="n">
        <v>3</v>
      </c>
      <c r="E2618" s="1" t="n">
        <v>895.13</v>
      </c>
      <c r="F2618" s="1" t="n">
        <f aca="false">ROUND((1-_xlfn.PERCENTRANK.INC($C$7:$C$4378,C2618))*9,0)</f>
        <v>5</v>
      </c>
      <c r="G2618" s="1" t="n">
        <f aca="false">ROUND(_xlfn.PERCENTRANK.INC($D$7:$D$4378,D2618)*9,0)</f>
        <v>4</v>
      </c>
      <c r="H2618" s="1" t="n">
        <f aca="false">ROUND(_xlfn.PERCENTRANK.INC($E$7:$E$4378,E2618)*9,0)</f>
        <v>5</v>
      </c>
      <c r="I2618" s="1" t="str">
        <f aca="false">CONCATENATE(F2618,G2618,H2618)</f>
        <v>545</v>
      </c>
      <c r="J2618" s="1" t="str">
        <f aca="false">_xlfn.IFS(AND(F2618&gt;=8,G2618&gt;=8,H2618&gt;=8),"CHAMPION",AND(F2618&gt;=6,G2618&gt;=7,H2618&gt;=6),"LOYAL CUSTOMER",AND(F2618&gt;=6,G2618&gt;=5,H2618&gt;=5),"POTENTIAL LOYALIST",AND(F2618&gt;=8,G2618&lt;=2,H2618&gt;=5),"NEW CUSTOMERS",AND(F2618&gt;=6,G2618&lt;=2,H2618&gt;=3),"PROMISING",AND(F2618&gt;=3,G2618&gt;=3,H2618&gt;=3),"NEED ATTENTION",AND(F2618&lt;=4,G2618&gt;=6,H2618&gt;=6),"AT RISK",AND(F2618&lt;=2,G2618&gt;=8,H2618&gt;=8),"CAN'T LOSE THEM",AND(F2618&lt;=2,G2618&lt;=2,H2618&lt;=2),"HIBERNATING",TRUE(),"Other")</f>
        <v>NEED ATTENTION</v>
      </c>
      <c r="K2618" s="1" t="n">
        <f aca="false">RANK(E2618,$E$7:$E$4378)+COUNTIF($E$7:E2618,E2618)-1</f>
        <v>1768</v>
      </c>
    </row>
    <row r="2619" customFormat="false" ht="14.25" hidden="false" customHeight="true" outlineLevel="0" collapsed="false">
      <c r="A2619" s="51" t="n">
        <v>15866</v>
      </c>
      <c r="B2619" s="53" t="n">
        <v>40785.5895833333</v>
      </c>
      <c r="C2619" s="57" t="n">
        <f aca="false">INT($C$2)-INT(Table3[[#This Row],[Last Purchase Date]])</f>
        <v>102</v>
      </c>
      <c r="D2619" s="1" t="n">
        <v>1</v>
      </c>
      <c r="E2619" s="1" t="n">
        <v>230.53</v>
      </c>
      <c r="F2619" s="1" t="n">
        <f aca="false">ROUND((1-_xlfn.PERCENTRANK.INC($C$7:$C$4378,C2619))*9,0)</f>
        <v>3</v>
      </c>
      <c r="G2619" s="1" t="n">
        <f aca="false">ROUND(_xlfn.PERCENTRANK.INC($D$7:$D$4378,D2619)*9,0)</f>
        <v>0</v>
      </c>
      <c r="H2619" s="1" t="n">
        <f aca="false">ROUND(_xlfn.PERCENTRANK.INC($E$7:$E$4378,E2619)*9,0)</f>
        <v>2</v>
      </c>
      <c r="I2619" s="1" t="str">
        <f aca="false">CONCATENATE(F2619,G2619,H2619)</f>
        <v>302</v>
      </c>
      <c r="J2619" s="1" t="str">
        <f aca="false">_xlfn.IFS(AND(F2619&gt;=8,G2619&gt;=8,H2619&gt;=8),"CHAMPION",AND(F2619&gt;=6,G2619&gt;=7,H2619&gt;=6),"LOYAL CUSTOMER",AND(F2619&gt;=6,G2619&gt;=5,H2619&gt;=5),"POTENTIAL LOYALIST",AND(F2619&gt;=8,G2619&lt;=2,H2619&gt;=5),"NEW CUSTOMERS",AND(F2619&gt;=6,G2619&lt;=2,H2619&gt;=3),"PROMISING",AND(F2619&gt;=3,G2619&gt;=3,H2619&gt;=3),"NEED ATTENTION",AND(F2619&lt;=4,G2619&gt;=6,H2619&gt;=6),"AT RISK",AND(F2619&lt;=2,G2619&gt;=8,H2619&gt;=8),"CAN'T LOSE THEM",AND(F2619&lt;=2,G2619&lt;=2,H2619&lt;=2),"HIBERNATING",TRUE(),"Other")</f>
        <v>Other</v>
      </c>
      <c r="K2619" s="1" t="n">
        <f aca="false">RANK(E2619,$E$7:$E$4378)+COUNTIF($E$7:E2619,E2619)-1</f>
        <v>3514</v>
      </c>
    </row>
    <row r="2620" customFormat="false" ht="14.25" hidden="false" customHeight="true" outlineLevel="0" collapsed="false">
      <c r="A2620" s="51" t="n">
        <v>15867</v>
      </c>
      <c r="B2620" s="53" t="n">
        <v>40881.5673611111</v>
      </c>
      <c r="C2620" s="57" t="n">
        <f aca="false">INT($C$2)-INT(Table3[[#This Row],[Last Purchase Date]])</f>
        <v>6</v>
      </c>
      <c r="D2620" s="1" t="n">
        <v>16</v>
      </c>
      <c r="E2620" s="1" t="n">
        <v>3797.79</v>
      </c>
      <c r="F2620" s="1" t="n">
        <f aca="false">ROUND((1-_xlfn.PERCENTRANK.INC($C$7:$C$4378,C2620))*9,0)</f>
        <v>8</v>
      </c>
      <c r="G2620" s="1" t="n">
        <f aca="false">ROUND(_xlfn.PERCENTRANK.INC($D$7:$D$4378,D2620)*9,0)</f>
        <v>9</v>
      </c>
      <c r="H2620" s="1" t="n">
        <f aca="false">ROUND(_xlfn.PERCENTRANK.INC($E$7:$E$4378,E2620)*9,0)</f>
        <v>8</v>
      </c>
      <c r="I2620" s="1" t="str">
        <f aca="false">CONCATENATE(F2620,G2620,H2620)</f>
        <v>898</v>
      </c>
      <c r="J2620" s="1" t="str">
        <f aca="false">_xlfn.IFS(AND(F2620&gt;=8,G2620&gt;=8,H2620&gt;=8),"CHAMPION",AND(F2620&gt;=6,G2620&gt;=7,H2620&gt;=6),"LOYAL CUSTOMER",AND(F2620&gt;=6,G2620&gt;=5,H2620&gt;=5),"POTENTIAL LOYALIST",AND(F2620&gt;=8,G2620&lt;=2,H2620&gt;=5),"NEW CUSTOMERS",AND(F2620&gt;=6,G2620&lt;=2,H2620&gt;=3),"PROMISING",AND(F2620&gt;=3,G2620&gt;=3,H2620&gt;=3),"NEED ATTENTION",AND(F2620&lt;=4,G2620&gt;=6,H2620&gt;=6),"AT RISK",AND(F2620&lt;=2,G2620&gt;=8,H2620&gt;=8),"CAN'T LOSE THEM",AND(F2620&lt;=2,G2620&lt;=2,H2620&lt;=2),"HIBERNATING",TRUE(),"Other")</f>
        <v>CHAMPION</v>
      </c>
      <c r="K2620" s="1" t="n">
        <f aca="false">RANK(E2620,$E$7:$E$4378)+COUNTIF($E$7:E2620,E2620)-1</f>
        <v>384</v>
      </c>
    </row>
    <row r="2621" customFormat="false" ht="14.25" hidden="false" customHeight="true" outlineLevel="0" collapsed="false">
      <c r="A2621" s="51" t="n">
        <v>15869</v>
      </c>
      <c r="B2621" s="53" t="n">
        <v>40609.7243055556</v>
      </c>
      <c r="C2621" s="57" t="n">
        <f aca="false">INT($C$2)-INT(Table3[[#This Row],[Last Purchase Date]])</f>
        <v>278</v>
      </c>
      <c r="D2621" s="1" t="n">
        <v>2</v>
      </c>
      <c r="E2621" s="1" t="n">
        <v>149.64</v>
      </c>
      <c r="F2621" s="1" t="n">
        <f aca="false">ROUND((1-_xlfn.PERCENTRANK.INC($C$7:$C$4378,C2621))*9,0)</f>
        <v>1</v>
      </c>
      <c r="G2621" s="1" t="n">
        <f aca="false">ROUND(_xlfn.PERCENTRANK.INC($D$7:$D$4378,D2621)*9,0)</f>
        <v>3</v>
      </c>
      <c r="H2621" s="1" t="n">
        <f aca="false">ROUND(_xlfn.PERCENTRANK.INC($E$7:$E$4378,E2621)*9,0)</f>
        <v>1</v>
      </c>
      <c r="I2621" s="1" t="str">
        <f aca="false">CONCATENATE(F2621,G2621,H2621)</f>
        <v>131</v>
      </c>
      <c r="J2621" s="1" t="str">
        <f aca="false">_xlfn.IFS(AND(F2621&gt;=8,G2621&gt;=8,H2621&gt;=8),"CHAMPION",AND(F2621&gt;=6,G2621&gt;=7,H2621&gt;=6),"LOYAL CUSTOMER",AND(F2621&gt;=6,G2621&gt;=5,H2621&gt;=5),"POTENTIAL LOYALIST",AND(F2621&gt;=8,G2621&lt;=2,H2621&gt;=5),"NEW CUSTOMERS",AND(F2621&gt;=6,G2621&lt;=2,H2621&gt;=3),"PROMISING",AND(F2621&gt;=3,G2621&gt;=3,H2621&gt;=3),"NEED ATTENTION",AND(F2621&lt;=4,G2621&gt;=6,H2621&gt;=6),"AT RISK",AND(F2621&lt;=2,G2621&gt;=8,H2621&gt;=8),"CAN'T LOSE THEM",AND(F2621&lt;=2,G2621&lt;=2,H2621&lt;=2),"HIBERNATING",TRUE(),"Other")</f>
        <v>Other</v>
      </c>
      <c r="K2621" s="1" t="n">
        <f aca="false">RANK(E2621,$E$7:$E$4378)+COUNTIF($E$7:E2621,E2621)-1</f>
        <v>3919</v>
      </c>
    </row>
    <row r="2622" customFormat="false" ht="14.25" hidden="false" customHeight="true" outlineLevel="0" collapsed="false">
      <c r="A2622" s="51" t="n">
        <v>15870</v>
      </c>
      <c r="B2622" s="53" t="n">
        <v>40854.4569444444</v>
      </c>
      <c r="C2622" s="57" t="n">
        <f aca="false">INT($C$2)-INT(Table3[[#This Row],[Last Purchase Date]])</f>
        <v>33</v>
      </c>
      <c r="D2622" s="1" t="n">
        <v>1</v>
      </c>
      <c r="E2622" s="1" t="n">
        <v>354.09</v>
      </c>
      <c r="F2622" s="1" t="n">
        <f aca="false">ROUND((1-_xlfn.PERCENTRANK.INC($C$7:$C$4378,C2622))*9,0)</f>
        <v>5</v>
      </c>
      <c r="G2622" s="1" t="n">
        <f aca="false">ROUND(_xlfn.PERCENTRANK.INC($D$7:$D$4378,D2622)*9,0)</f>
        <v>0</v>
      </c>
      <c r="H2622" s="1" t="n">
        <f aca="false">ROUND(_xlfn.PERCENTRANK.INC($E$7:$E$4378,E2622)*9,0)</f>
        <v>3</v>
      </c>
      <c r="I2622" s="1" t="str">
        <f aca="false">CONCATENATE(F2622,G2622,H2622)</f>
        <v>503</v>
      </c>
      <c r="J2622" s="1" t="str">
        <f aca="false">_xlfn.IFS(AND(F2622&gt;=8,G2622&gt;=8,H2622&gt;=8),"CHAMPION",AND(F2622&gt;=6,G2622&gt;=7,H2622&gt;=6),"LOYAL CUSTOMER",AND(F2622&gt;=6,G2622&gt;=5,H2622&gt;=5),"POTENTIAL LOYALIST",AND(F2622&gt;=8,G2622&lt;=2,H2622&gt;=5),"NEW CUSTOMERS",AND(F2622&gt;=6,G2622&lt;=2,H2622&gt;=3),"PROMISING",AND(F2622&gt;=3,G2622&gt;=3,H2622&gt;=3),"NEED ATTENTION",AND(F2622&lt;=4,G2622&gt;=6,H2622&gt;=6),"AT RISK",AND(F2622&lt;=2,G2622&gt;=8,H2622&gt;=8),"CAN'T LOSE THEM",AND(F2622&lt;=2,G2622&lt;=2,H2622&lt;=2),"HIBERNATING",TRUE(),"Other")</f>
        <v>Other</v>
      </c>
      <c r="K2622" s="1" t="n">
        <f aca="false">RANK(E2622,$E$7:$E$4378)+COUNTIF($E$7:E2622,E2622)-1</f>
        <v>2988</v>
      </c>
    </row>
    <row r="2623" customFormat="false" ht="14.25" hidden="false" customHeight="true" outlineLevel="0" collapsed="false">
      <c r="A2623" s="51" t="n">
        <v>15872</v>
      </c>
      <c r="B2623" s="53" t="n">
        <v>40872.4965277778</v>
      </c>
      <c r="C2623" s="57" t="n">
        <f aca="false">INT($C$2)-INT(Table3[[#This Row],[Last Purchase Date]])</f>
        <v>15</v>
      </c>
      <c r="D2623" s="1" t="n">
        <v>2</v>
      </c>
      <c r="E2623" s="1" t="n">
        <v>360.93</v>
      </c>
      <c r="F2623" s="1" t="n">
        <f aca="false">ROUND((1-_xlfn.PERCENTRANK.INC($C$7:$C$4378,C2623))*9,0)</f>
        <v>7</v>
      </c>
      <c r="G2623" s="1" t="n">
        <f aca="false">ROUND(_xlfn.PERCENTRANK.INC($D$7:$D$4378,D2623)*9,0)</f>
        <v>3</v>
      </c>
      <c r="H2623" s="1" t="n">
        <f aca="false">ROUND(_xlfn.PERCENTRANK.INC($E$7:$E$4378,E2623)*9,0)</f>
        <v>3</v>
      </c>
      <c r="I2623" s="1" t="str">
        <f aca="false">CONCATENATE(F2623,G2623,H2623)</f>
        <v>733</v>
      </c>
      <c r="J2623" s="1" t="str">
        <f aca="false">_xlfn.IFS(AND(F2623&gt;=8,G2623&gt;=8,H2623&gt;=8),"CHAMPION",AND(F2623&gt;=6,G2623&gt;=7,H2623&gt;=6),"LOYAL CUSTOMER",AND(F2623&gt;=6,G2623&gt;=5,H2623&gt;=5),"POTENTIAL LOYALIST",AND(F2623&gt;=8,G2623&lt;=2,H2623&gt;=5),"NEW CUSTOMERS",AND(F2623&gt;=6,G2623&lt;=2,H2623&gt;=3),"PROMISING",AND(F2623&gt;=3,G2623&gt;=3,H2623&gt;=3),"NEED ATTENTION",AND(F2623&lt;=4,G2623&gt;=6,H2623&gt;=6),"AT RISK",AND(F2623&lt;=2,G2623&gt;=8,H2623&gt;=8),"CAN'T LOSE THEM",AND(F2623&lt;=2,G2623&lt;=2,H2623&lt;=2),"HIBERNATING",TRUE(),"Other")</f>
        <v>NEED ATTENTION</v>
      </c>
      <c r="K2623" s="1" t="n">
        <f aca="false">RANK(E2623,$E$7:$E$4378)+COUNTIF($E$7:E2623,E2623)-1</f>
        <v>2965</v>
      </c>
    </row>
    <row r="2624" customFormat="false" ht="14.25" hidden="false" customHeight="true" outlineLevel="0" collapsed="false">
      <c r="A2624" s="51" t="n">
        <v>15874</v>
      </c>
      <c r="B2624" s="53" t="n">
        <v>40823.5402777778</v>
      </c>
      <c r="C2624" s="57" t="n">
        <f aca="false">INT($C$2)-INT(Table3[[#This Row],[Last Purchase Date]])</f>
        <v>64</v>
      </c>
      <c r="D2624" s="1" t="n">
        <v>9</v>
      </c>
      <c r="E2624" s="1" t="n">
        <v>4330.67</v>
      </c>
      <c r="F2624" s="1" t="n">
        <f aca="false">ROUND((1-_xlfn.PERCENTRANK.INC($C$7:$C$4378,C2624))*9,0)</f>
        <v>4</v>
      </c>
      <c r="G2624" s="1" t="n">
        <f aca="false">ROUND(_xlfn.PERCENTRANK.INC($D$7:$D$4378,D2624)*9,0)</f>
        <v>8</v>
      </c>
      <c r="H2624" s="1" t="n">
        <f aca="false">ROUND(_xlfn.PERCENTRANK.INC($E$7:$E$4378,E2624)*9,0)</f>
        <v>8</v>
      </c>
      <c r="I2624" s="1" t="str">
        <f aca="false">CONCATENATE(F2624,G2624,H2624)</f>
        <v>488</v>
      </c>
      <c r="J2624" s="1" t="str">
        <f aca="false">_xlfn.IFS(AND(F2624&gt;=8,G2624&gt;=8,H2624&gt;=8),"CHAMPION",AND(F2624&gt;=6,G2624&gt;=7,H2624&gt;=6),"LOYAL CUSTOMER",AND(F2624&gt;=6,G2624&gt;=5,H2624&gt;=5),"POTENTIAL LOYALIST",AND(F2624&gt;=8,G2624&lt;=2,H2624&gt;=5),"NEW CUSTOMERS",AND(F2624&gt;=6,G2624&lt;=2,H2624&gt;=3),"PROMISING",AND(F2624&gt;=3,G2624&gt;=3,H2624&gt;=3),"NEED ATTENTION",AND(F2624&lt;=4,G2624&gt;=6,H2624&gt;=6),"AT RISK",AND(F2624&lt;=2,G2624&gt;=8,H2624&gt;=8),"CAN'T LOSE THEM",AND(F2624&lt;=2,G2624&lt;=2,H2624&lt;=2),"HIBERNATING",TRUE(),"Other")</f>
        <v>NEED ATTENTION</v>
      </c>
      <c r="K2624" s="1" t="n">
        <f aca="false">RANK(E2624,$E$7:$E$4378)+COUNTIF($E$7:E2624,E2624)-1</f>
        <v>316</v>
      </c>
    </row>
    <row r="2625" customFormat="false" ht="14.25" hidden="false" customHeight="true" outlineLevel="0" collapsed="false">
      <c r="A2625" s="51" t="n">
        <v>15877</v>
      </c>
      <c r="B2625" s="53" t="n">
        <v>40885.4979166667</v>
      </c>
      <c r="C2625" s="57" t="n">
        <f aca="false">INT($C$2)-INT(Table3[[#This Row],[Last Purchase Date]])</f>
        <v>2</v>
      </c>
      <c r="D2625" s="1" t="n">
        <v>3</v>
      </c>
      <c r="E2625" s="1" t="n">
        <v>440.78</v>
      </c>
      <c r="F2625" s="1" t="n">
        <f aca="false">ROUND((1-_xlfn.PERCENTRANK.INC($C$7:$C$4378,C2625))*9,0)</f>
        <v>9</v>
      </c>
      <c r="G2625" s="1" t="n">
        <f aca="false">ROUND(_xlfn.PERCENTRANK.INC($D$7:$D$4378,D2625)*9,0)</f>
        <v>4</v>
      </c>
      <c r="H2625" s="1" t="n">
        <f aca="false">ROUND(_xlfn.PERCENTRANK.INC($E$7:$E$4378,E2625)*9,0)</f>
        <v>3</v>
      </c>
      <c r="I2625" s="1" t="str">
        <f aca="false">CONCATENATE(F2625,G2625,H2625)</f>
        <v>943</v>
      </c>
      <c r="J2625" s="1" t="str">
        <f aca="false">_xlfn.IFS(AND(F2625&gt;=8,G2625&gt;=8,H2625&gt;=8),"CHAMPION",AND(F2625&gt;=6,G2625&gt;=7,H2625&gt;=6),"LOYAL CUSTOMER",AND(F2625&gt;=6,G2625&gt;=5,H2625&gt;=5),"POTENTIAL LOYALIST",AND(F2625&gt;=8,G2625&lt;=2,H2625&gt;=5),"NEW CUSTOMERS",AND(F2625&gt;=6,G2625&lt;=2,H2625&gt;=3),"PROMISING",AND(F2625&gt;=3,G2625&gt;=3,H2625&gt;=3),"NEED ATTENTION",AND(F2625&lt;=4,G2625&gt;=6,H2625&gt;=6),"AT RISK",AND(F2625&lt;=2,G2625&gt;=8,H2625&gt;=8),"CAN'T LOSE THEM",AND(F2625&lt;=2,G2625&lt;=2,H2625&lt;=2),"HIBERNATING",TRUE(),"Other")</f>
        <v>NEED ATTENTION</v>
      </c>
      <c r="K2625" s="1" t="n">
        <f aca="false">RANK(E2625,$E$7:$E$4378)+COUNTIF($E$7:E2625,E2625)-1</f>
        <v>2691</v>
      </c>
    </row>
    <row r="2626" customFormat="false" ht="14.25" hidden="false" customHeight="true" outlineLevel="0" collapsed="false">
      <c r="A2626" s="51" t="n">
        <v>15880</v>
      </c>
      <c r="B2626" s="53" t="n">
        <v>40517.5479166667</v>
      </c>
      <c r="C2626" s="57" t="n">
        <f aca="false">INT($C$2)-INT(Table3[[#This Row],[Last Purchase Date]])</f>
        <v>370</v>
      </c>
      <c r="D2626" s="1" t="n">
        <v>2</v>
      </c>
      <c r="E2626" s="1" t="n">
        <v>313.28</v>
      </c>
      <c r="F2626" s="1" t="n">
        <f aca="false">ROUND((1-_xlfn.PERCENTRANK.INC($C$7:$C$4378,C2626))*9,0)</f>
        <v>0</v>
      </c>
      <c r="G2626" s="1" t="n">
        <f aca="false">ROUND(_xlfn.PERCENTRANK.INC($D$7:$D$4378,D2626)*9,0)</f>
        <v>3</v>
      </c>
      <c r="H2626" s="1" t="n">
        <f aca="false">ROUND(_xlfn.PERCENTRANK.INC($E$7:$E$4378,E2626)*9,0)</f>
        <v>2</v>
      </c>
      <c r="I2626" s="1" t="str">
        <f aca="false">CONCATENATE(F2626,G2626,H2626)</f>
        <v>032</v>
      </c>
      <c r="J2626" s="1" t="str">
        <f aca="false">_xlfn.IFS(AND(F2626&gt;=8,G2626&gt;=8,H2626&gt;=8),"CHAMPION",AND(F2626&gt;=6,G2626&gt;=7,H2626&gt;=6),"LOYAL CUSTOMER",AND(F2626&gt;=6,G2626&gt;=5,H2626&gt;=5),"POTENTIAL LOYALIST",AND(F2626&gt;=8,G2626&lt;=2,H2626&gt;=5),"NEW CUSTOMERS",AND(F2626&gt;=6,G2626&lt;=2,H2626&gt;=3),"PROMISING",AND(F2626&gt;=3,G2626&gt;=3,H2626&gt;=3),"NEED ATTENTION",AND(F2626&lt;=4,G2626&gt;=6,H2626&gt;=6),"AT RISK",AND(F2626&lt;=2,G2626&gt;=8,H2626&gt;=8),"CAN'T LOSE THEM",AND(F2626&lt;=2,G2626&lt;=2,H2626&lt;=2),"HIBERNATING",TRUE(),"Other")</f>
        <v>Other</v>
      </c>
      <c r="K2626" s="1" t="n">
        <f aca="false">RANK(E2626,$E$7:$E$4378)+COUNTIF($E$7:E2626,E2626)-1</f>
        <v>3174</v>
      </c>
    </row>
    <row r="2627" customFormat="false" ht="14.25" hidden="false" customHeight="true" outlineLevel="0" collapsed="false">
      <c r="A2627" s="51" t="n">
        <v>15881</v>
      </c>
      <c r="B2627" s="53" t="n">
        <v>40574.7076388889</v>
      </c>
      <c r="C2627" s="57" t="n">
        <f aca="false">INT($C$2)-INT(Table3[[#This Row],[Last Purchase Date]])</f>
        <v>313</v>
      </c>
      <c r="D2627" s="1" t="n">
        <v>8</v>
      </c>
      <c r="E2627" s="1" t="n">
        <v>438.24</v>
      </c>
      <c r="F2627" s="1" t="n">
        <f aca="false">ROUND((1-_xlfn.PERCENTRANK.INC($C$7:$C$4378,C2627))*9,0)</f>
        <v>0</v>
      </c>
      <c r="G2627" s="1" t="n">
        <f aca="false">ROUND(_xlfn.PERCENTRANK.INC($D$7:$D$4378,D2627)*9,0)</f>
        <v>7</v>
      </c>
      <c r="H2627" s="1" t="n">
        <f aca="false">ROUND(_xlfn.PERCENTRANK.INC($E$7:$E$4378,E2627)*9,0)</f>
        <v>3</v>
      </c>
      <c r="I2627" s="1" t="str">
        <f aca="false">CONCATENATE(F2627,G2627,H2627)</f>
        <v>073</v>
      </c>
      <c r="J2627" s="1" t="str">
        <f aca="false">_xlfn.IFS(AND(F2627&gt;=8,G2627&gt;=8,H2627&gt;=8),"CHAMPION",AND(F2627&gt;=6,G2627&gt;=7,H2627&gt;=6),"LOYAL CUSTOMER",AND(F2627&gt;=6,G2627&gt;=5,H2627&gt;=5),"POTENTIAL LOYALIST",AND(F2627&gt;=8,G2627&lt;=2,H2627&gt;=5),"NEW CUSTOMERS",AND(F2627&gt;=6,G2627&lt;=2,H2627&gt;=3),"PROMISING",AND(F2627&gt;=3,G2627&gt;=3,H2627&gt;=3),"NEED ATTENTION",AND(F2627&lt;=4,G2627&gt;=6,H2627&gt;=6),"AT RISK",AND(F2627&lt;=2,G2627&gt;=8,H2627&gt;=8),"CAN'T LOSE THEM",AND(F2627&lt;=2,G2627&lt;=2,H2627&lt;=2),"HIBERNATING",TRUE(),"Other")</f>
        <v>Other</v>
      </c>
      <c r="K2627" s="1" t="n">
        <f aca="false">RANK(E2627,$E$7:$E$4378)+COUNTIF($E$7:E2627,E2627)-1</f>
        <v>2701</v>
      </c>
    </row>
    <row r="2628" customFormat="false" ht="14.25" hidden="false" customHeight="true" outlineLevel="0" collapsed="false">
      <c r="A2628" s="51" t="n">
        <v>15882</v>
      </c>
      <c r="B2628" s="53" t="n">
        <v>40688.4826388889</v>
      </c>
      <c r="C2628" s="57" t="n">
        <f aca="false">INT($C$2)-INT(Table3[[#This Row],[Last Purchase Date]])</f>
        <v>199</v>
      </c>
      <c r="D2628" s="1" t="n">
        <v>5</v>
      </c>
      <c r="E2628" s="1" t="n">
        <v>495.36</v>
      </c>
      <c r="F2628" s="1" t="n">
        <f aca="false">ROUND((1-_xlfn.PERCENTRANK.INC($C$7:$C$4378,C2628))*9,0)</f>
        <v>2</v>
      </c>
      <c r="G2628" s="1" t="n">
        <f aca="false">ROUND(_xlfn.PERCENTRANK.INC($D$7:$D$4378,D2628)*9,0)</f>
        <v>6</v>
      </c>
      <c r="H2628" s="1" t="n">
        <f aca="false">ROUND(_xlfn.PERCENTRANK.INC($E$7:$E$4378,E2628)*9,0)</f>
        <v>4</v>
      </c>
      <c r="I2628" s="1" t="str">
        <f aca="false">CONCATENATE(F2628,G2628,H2628)</f>
        <v>264</v>
      </c>
      <c r="J2628" s="1" t="str">
        <f aca="false">_xlfn.IFS(AND(F2628&gt;=8,G2628&gt;=8,H2628&gt;=8),"CHAMPION",AND(F2628&gt;=6,G2628&gt;=7,H2628&gt;=6),"LOYAL CUSTOMER",AND(F2628&gt;=6,G2628&gt;=5,H2628&gt;=5),"POTENTIAL LOYALIST",AND(F2628&gt;=8,G2628&lt;=2,H2628&gt;=5),"NEW CUSTOMERS",AND(F2628&gt;=6,G2628&lt;=2,H2628&gt;=3),"PROMISING",AND(F2628&gt;=3,G2628&gt;=3,H2628&gt;=3),"NEED ATTENTION",AND(F2628&lt;=4,G2628&gt;=6,H2628&gt;=6),"AT RISK",AND(F2628&lt;=2,G2628&gt;=8,H2628&gt;=8),"CAN'T LOSE THEM",AND(F2628&lt;=2,G2628&lt;=2,H2628&lt;=2),"HIBERNATING",TRUE(),"Other")</f>
        <v>Other</v>
      </c>
      <c r="K2628" s="1" t="n">
        <f aca="false">RANK(E2628,$E$7:$E$4378)+COUNTIF($E$7:E2628,E2628)-1</f>
        <v>2554</v>
      </c>
    </row>
    <row r="2629" customFormat="false" ht="14.25" hidden="false" customHeight="true" outlineLevel="0" collapsed="false">
      <c r="A2629" s="51" t="n">
        <v>15883</v>
      </c>
      <c r="B2629" s="53" t="n">
        <v>40884.7118055556</v>
      </c>
      <c r="C2629" s="57" t="n">
        <f aca="false">INT($C$2)-INT(Table3[[#This Row],[Last Purchase Date]])</f>
        <v>3</v>
      </c>
      <c r="D2629" s="1" t="n">
        <v>2</v>
      </c>
      <c r="E2629" s="1" t="n">
        <v>396.48</v>
      </c>
      <c r="F2629" s="1" t="n">
        <f aca="false">ROUND((1-_xlfn.PERCENTRANK.INC($C$7:$C$4378,C2629))*9,0)</f>
        <v>9</v>
      </c>
      <c r="G2629" s="1" t="n">
        <f aca="false">ROUND(_xlfn.PERCENTRANK.INC($D$7:$D$4378,D2629)*9,0)</f>
        <v>3</v>
      </c>
      <c r="H2629" s="1" t="n">
        <f aca="false">ROUND(_xlfn.PERCENTRANK.INC($E$7:$E$4378,E2629)*9,0)</f>
        <v>3</v>
      </c>
      <c r="I2629" s="1" t="str">
        <f aca="false">CONCATENATE(F2629,G2629,H2629)</f>
        <v>933</v>
      </c>
      <c r="J2629" s="1" t="str">
        <f aca="false">_xlfn.IFS(AND(F2629&gt;=8,G2629&gt;=8,H2629&gt;=8),"CHAMPION",AND(F2629&gt;=6,G2629&gt;=7,H2629&gt;=6),"LOYAL CUSTOMER",AND(F2629&gt;=6,G2629&gt;=5,H2629&gt;=5),"POTENTIAL LOYALIST",AND(F2629&gt;=8,G2629&lt;=2,H2629&gt;=5),"NEW CUSTOMERS",AND(F2629&gt;=6,G2629&lt;=2,H2629&gt;=3),"PROMISING",AND(F2629&gt;=3,G2629&gt;=3,H2629&gt;=3),"NEED ATTENTION",AND(F2629&lt;=4,G2629&gt;=6,H2629&gt;=6),"AT RISK",AND(F2629&lt;=2,G2629&gt;=8,H2629&gt;=8),"CAN'T LOSE THEM",AND(F2629&lt;=2,G2629&lt;=2,H2629&lt;=2),"HIBERNATING",TRUE(),"Other")</f>
        <v>NEED ATTENTION</v>
      </c>
      <c r="K2629" s="1" t="n">
        <f aca="false">RANK(E2629,$E$7:$E$4378)+COUNTIF($E$7:E2629,E2629)-1</f>
        <v>2831</v>
      </c>
    </row>
    <row r="2630" customFormat="false" ht="14.25" hidden="false" customHeight="true" outlineLevel="0" collapsed="false">
      <c r="A2630" s="51" t="n">
        <v>15885</v>
      </c>
      <c r="B2630" s="53" t="n">
        <v>40794.4465277778</v>
      </c>
      <c r="C2630" s="57" t="n">
        <f aca="false">INT($C$2)-INT(Table3[[#This Row],[Last Purchase Date]])</f>
        <v>93</v>
      </c>
      <c r="D2630" s="1" t="n">
        <v>3</v>
      </c>
      <c r="E2630" s="1" t="n">
        <v>379.35</v>
      </c>
      <c r="F2630" s="1" t="n">
        <f aca="false">ROUND((1-_xlfn.PERCENTRANK.INC($C$7:$C$4378,C2630))*9,0)</f>
        <v>3</v>
      </c>
      <c r="G2630" s="1" t="n">
        <f aca="false">ROUND(_xlfn.PERCENTRANK.INC($D$7:$D$4378,D2630)*9,0)</f>
        <v>4</v>
      </c>
      <c r="H2630" s="1" t="n">
        <f aca="false">ROUND(_xlfn.PERCENTRANK.INC($E$7:$E$4378,E2630)*9,0)</f>
        <v>3</v>
      </c>
      <c r="I2630" s="1" t="str">
        <f aca="false">CONCATENATE(F2630,G2630,H2630)</f>
        <v>343</v>
      </c>
      <c r="J2630" s="1" t="str">
        <f aca="false">_xlfn.IFS(AND(F2630&gt;=8,G2630&gt;=8,H2630&gt;=8),"CHAMPION",AND(F2630&gt;=6,G2630&gt;=7,H2630&gt;=6),"LOYAL CUSTOMER",AND(F2630&gt;=6,G2630&gt;=5,H2630&gt;=5),"POTENTIAL LOYALIST",AND(F2630&gt;=8,G2630&lt;=2,H2630&gt;=5),"NEW CUSTOMERS",AND(F2630&gt;=6,G2630&lt;=2,H2630&gt;=3),"PROMISING",AND(F2630&gt;=3,G2630&gt;=3,H2630&gt;=3),"NEED ATTENTION",AND(F2630&lt;=4,G2630&gt;=6,H2630&gt;=6),"AT RISK",AND(F2630&lt;=2,G2630&gt;=8,H2630&gt;=8),"CAN'T LOSE THEM",AND(F2630&lt;=2,G2630&lt;=2,H2630&lt;=2),"HIBERNATING",TRUE(),"Other")</f>
        <v>NEED ATTENTION</v>
      </c>
      <c r="K2630" s="1" t="n">
        <f aca="false">RANK(E2630,$E$7:$E$4378)+COUNTIF($E$7:E2630,E2630)-1</f>
        <v>2901</v>
      </c>
    </row>
    <row r="2631" customFormat="false" ht="14.25" hidden="false" customHeight="true" outlineLevel="0" collapsed="false">
      <c r="A2631" s="51" t="n">
        <v>15886</v>
      </c>
      <c r="B2631" s="53" t="n">
        <v>40826.6006944445</v>
      </c>
      <c r="C2631" s="57" t="n">
        <f aca="false">INT($C$2)-INT(Table3[[#This Row],[Last Purchase Date]])</f>
        <v>61</v>
      </c>
      <c r="D2631" s="1" t="n">
        <v>1</v>
      </c>
      <c r="E2631" s="1" t="n">
        <v>181.09</v>
      </c>
      <c r="F2631" s="1" t="n">
        <f aca="false">ROUND((1-_xlfn.PERCENTRANK.INC($C$7:$C$4378,C2631))*9,0)</f>
        <v>4</v>
      </c>
      <c r="G2631" s="1" t="n">
        <f aca="false">ROUND(_xlfn.PERCENTRANK.INC($D$7:$D$4378,D2631)*9,0)</f>
        <v>0</v>
      </c>
      <c r="H2631" s="1" t="n">
        <f aca="false">ROUND(_xlfn.PERCENTRANK.INC($E$7:$E$4378,E2631)*9,0)</f>
        <v>1</v>
      </c>
      <c r="I2631" s="1" t="str">
        <f aca="false">CONCATENATE(F2631,G2631,H2631)</f>
        <v>401</v>
      </c>
      <c r="J2631" s="1" t="str">
        <f aca="false">_xlfn.IFS(AND(F2631&gt;=8,G2631&gt;=8,H2631&gt;=8),"CHAMPION",AND(F2631&gt;=6,G2631&gt;=7,H2631&gt;=6),"LOYAL CUSTOMER",AND(F2631&gt;=6,G2631&gt;=5,H2631&gt;=5),"POTENTIAL LOYALIST",AND(F2631&gt;=8,G2631&lt;=2,H2631&gt;=5),"NEW CUSTOMERS",AND(F2631&gt;=6,G2631&lt;=2,H2631&gt;=3),"PROMISING",AND(F2631&gt;=3,G2631&gt;=3,H2631&gt;=3),"NEED ATTENTION",AND(F2631&lt;=4,G2631&gt;=6,H2631&gt;=6),"AT RISK",AND(F2631&lt;=2,G2631&gt;=8,H2631&gt;=8),"CAN'T LOSE THEM",AND(F2631&lt;=2,G2631&lt;=2,H2631&lt;=2),"HIBERNATING",TRUE(),"Other")</f>
        <v>Other</v>
      </c>
      <c r="K2631" s="1" t="n">
        <f aca="false">RANK(E2631,$E$7:$E$4378)+COUNTIF($E$7:E2631,E2631)-1</f>
        <v>3743</v>
      </c>
    </row>
    <row r="2632" customFormat="false" ht="14.25" hidden="false" customHeight="true" outlineLevel="0" collapsed="false">
      <c r="A2632" s="51" t="n">
        <v>15888</v>
      </c>
      <c r="B2632" s="53" t="n">
        <v>40807.4055555556</v>
      </c>
      <c r="C2632" s="57" t="n">
        <f aca="false">INT($C$2)-INT(Table3[[#This Row],[Last Purchase Date]])</f>
        <v>80</v>
      </c>
      <c r="D2632" s="1" t="n">
        <v>2</v>
      </c>
      <c r="E2632" s="1" t="n">
        <v>141.27</v>
      </c>
      <c r="F2632" s="1" t="n">
        <f aca="false">ROUND((1-_xlfn.PERCENTRANK.INC($C$7:$C$4378,C2632))*9,0)</f>
        <v>3</v>
      </c>
      <c r="G2632" s="1" t="n">
        <f aca="false">ROUND(_xlfn.PERCENTRANK.INC($D$7:$D$4378,D2632)*9,0)</f>
        <v>3</v>
      </c>
      <c r="H2632" s="1" t="n">
        <f aca="false">ROUND(_xlfn.PERCENTRANK.INC($E$7:$E$4378,E2632)*9,0)</f>
        <v>1</v>
      </c>
      <c r="I2632" s="1" t="str">
        <f aca="false">CONCATENATE(F2632,G2632,H2632)</f>
        <v>331</v>
      </c>
      <c r="J2632" s="1" t="str">
        <f aca="false">_xlfn.IFS(AND(F2632&gt;=8,G2632&gt;=8,H2632&gt;=8),"CHAMPION",AND(F2632&gt;=6,G2632&gt;=7,H2632&gt;=6),"LOYAL CUSTOMER",AND(F2632&gt;=6,G2632&gt;=5,H2632&gt;=5),"POTENTIAL LOYALIST",AND(F2632&gt;=8,G2632&lt;=2,H2632&gt;=5),"NEW CUSTOMERS",AND(F2632&gt;=6,G2632&lt;=2,H2632&gt;=3),"PROMISING",AND(F2632&gt;=3,G2632&gt;=3,H2632&gt;=3),"NEED ATTENTION",AND(F2632&lt;=4,G2632&gt;=6,H2632&gt;=6),"AT RISK",AND(F2632&lt;=2,G2632&gt;=8,H2632&gt;=8),"CAN'T LOSE THEM",AND(F2632&lt;=2,G2632&lt;=2,H2632&lt;=2),"HIBERNATING",TRUE(),"Other")</f>
        <v>Other</v>
      </c>
      <c r="K2632" s="1" t="n">
        <f aca="false">RANK(E2632,$E$7:$E$4378)+COUNTIF($E$7:E2632,E2632)-1</f>
        <v>3952</v>
      </c>
    </row>
    <row r="2633" customFormat="false" ht="14.25" hidden="false" customHeight="true" outlineLevel="0" collapsed="false">
      <c r="A2633" s="51" t="n">
        <v>15889</v>
      </c>
      <c r="B2633" s="53" t="n">
        <v>40730.4652777778</v>
      </c>
      <c r="C2633" s="57" t="n">
        <f aca="false">INT($C$2)-INT(Table3[[#This Row],[Last Purchase Date]])</f>
        <v>157</v>
      </c>
      <c r="D2633" s="1" t="n">
        <v>2</v>
      </c>
      <c r="E2633" s="1" t="n">
        <v>446.87</v>
      </c>
      <c r="F2633" s="1" t="n">
        <f aca="false">ROUND((1-_xlfn.PERCENTRANK.INC($C$7:$C$4378,C2633))*9,0)</f>
        <v>2</v>
      </c>
      <c r="G2633" s="1" t="n">
        <f aca="false">ROUND(_xlfn.PERCENTRANK.INC($D$7:$D$4378,D2633)*9,0)</f>
        <v>3</v>
      </c>
      <c r="H2633" s="1" t="n">
        <f aca="false">ROUND(_xlfn.PERCENTRANK.INC($E$7:$E$4378,E2633)*9,0)</f>
        <v>3</v>
      </c>
      <c r="I2633" s="1" t="str">
        <f aca="false">CONCATENATE(F2633,G2633,H2633)</f>
        <v>233</v>
      </c>
      <c r="J2633" s="1" t="str">
        <f aca="false">_xlfn.IFS(AND(F2633&gt;=8,G2633&gt;=8,H2633&gt;=8),"CHAMPION",AND(F2633&gt;=6,G2633&gt;=7,H2633&gt;=6),"LOYAL CUSTOMER",AND(F2633&gt;=6,G2633&gt;=5,H2633&gt;=5),"POTENTIAL LOYALIST",AND(F2633&gt;=8,G2633&lt;=2,H2633&gt;=5),"NEW CUSTOMERS",AND(F2633&gt;=6,G2633&lt;=2,H2633&gt;=3),"PROMISING",AND(F2633&gt;=3,G2633&gt;=3,H2633&gt;=3),"NEED ATTENTION",AND(F2633&lt;=4,G2633&gt;=6,H2633&gt;=6),"AT RISK",AND(F2633&lt;=2,G2633&gt;=8,H2633&gt;=8),"CAN'T LOSE THEM",AND(F2633&lt;=2,G2633&lt;=2,H2633&lt;=2),"HIBERNATING",TRUE(),"Other")</f>
        <v>Other</v>
      </c>
      <c r="K2633" s="1" t="n">
        <f aca="false">RANK(E2633,$E$7:$E$4378)+COUNTIF($E$7:E2633,E2633)-1</f>
        <v>2682</v>
      </c>
    </row>
    <row r="2634" customFormat="false" ht="14.25" hidden="false" customHeight="true" outlineLevel="0" collapsed="false">
      <c r="A2634" s="51" t="n">
        <v>15891</v>
      </c>
      <c r="B2634" s="53" t="n">
        <v>40660.5243055556</v>
      </c>
      <c r="C2634" s="57" t="n">
        <f aca="false">INT($C$2)-INT(Table3[[#This Row],[Last Purchase Date]])</f>
        <v>227</v>
      </c>
      <c r="D2634" s="1" t="n">
        <v>1</v>
      </c>
      <c r="E2634" s="1" t="n">
        <v>524.52</v>
      </c>
      <c r="F2634" s="1" t="n">
        <f aca="false">ROUND((1-_xlfn.PERCENTRANK.INC($C$7:$C$4378,C2634))*9,0)</f>
        <v>1</v>
      </c>
      <c r="G2634" s="1" t="n">
        <f aca="false">ROUND(_xlfn.PERCENTRANK.INC($D$7:$D$4378,D2634)*9,0)</f>
        <v>0</v>
      </c>
      <c r="H2634" s="1" t="n">
        <f aca="false">ROUND(_xlfn.PERCENTRANK.INC($E$7:$E$4378,E2634)*9,0)</f>
        <v>4</v>
      </c>
      <c r="I2634" s="1" t="str">
        <f aca="false">CONCATENATE(F2634,G2634,H2634)</f>
        <v>104</v>
      </c>
      <c r="J2634" s="1" t="str">
        <f aca="false">_xlfn.IFS(AND(F2634&gt;=8,G2634&gt;=8,H2634&gt;=8),"CHAMPION",AND(F2634&gt;=6,G2634&gt;=7,H2634&gt;=6),"LOYAL CUSTOMER",AND(F2634&gt;=6,G2634&gt;=5,H2634&gt;=5),"POTENTIAL LOYALIST",AND(F2634&gt;=8,G2634&lt;=2,H2634&gt;=5),"NEW CUSTOMERS",AND(F2634&gt;=6,G2634&lt;=2,H2634&gt;=3),"PROMISING",AND(F2634&gt;=3,G2634&gt;=3,H2634&gt;=3),"NEED ATTENTION",AND(F2634&lt;=4,G2634&gt;=6,H2634&gt;=6),"AT RISK",AND(F2634&lt;=2,G2634&gt;=8,H2634&gt;=8),"CAN'T LOSE THEM",AND(F2634&lt;=2,G2634&lt;=2,H2634&lt;=2),"HIBERNATING",TRUE(),"Other")</f>
        <v>Other</v>
      </c>
      <c r="K2634" s="1" t="n">
        <f aca="false">RANK(E2634,$E$7:$E$4378)+COUNTIF($E$7:E2634,E2634)-1</f>
        <v>2490</v>
      </c>
    </row>
    <row r="2635" customFormat="false" ht="14.25" hidden="false" customHeight="true" outlineLevel="0" collapsed="false">
      <c r="A2635" s="51" t="n">
        <v>15894</v>
      </c>
      <c r="B2635" s="53" t="n">
        <v>40633.5763888889</v>
      </c>
      <c r="C2635" s="57" t="n">
        <f aca="false">INT($C$2)-INT(Table3[[#This Row],[Last Purchase Date]])</f>
        <v>254</v>
      </c>
      <c r="D2635" s="1" t="n">
        <v>2</v>
      </c>
      <c r="E2635" s="1" t="n">
        <v>263.55</v>
      </c>
      <c r="F2635" s="1" t="n">
        <f aca="false">ROUND((1-_xlfn.PERCENTRANK.INC($C$7:$C$4378,C2635))*9,0)</f>
        <v>1</v>
      </c>
      <c r="G2635" s="1" t="n">
        <f aca="false">ROUND(_xlfn.PERCENTRANK.INC($D$7:$D$4378,D2635)*9,0)</f>
        <v>3</v>
      </c>
      <c r="H2635" s="1" t="n">
        <f aca="false">ROUND(_xlfn.PERCENTRANK.INC($E$7:$E$4378,E2635)*9,0)</f>
        <v>2</v>
      </c>
      <c r="I2635" s="1" t="str">
        <f aca="false">CONCATENATE(F2635,G2635,H2635)</f>
        <v>132</v>
      </c>
      <c r="J2635" s="1" t="str">
        <f aca="false">_xlfn.IFS(AND(F2635&gt;=8,G2635&gt;=8,H2635&gt;=8),"CHAMPION",AND(F2635&gt;=6,G2635&gt;=7,H2635&gt;=6),"LOYAL CUSTOMER",AND(F2635&gt;=6,G2635&gt;=5,H2635&gt;=5),"POTENTIAL LOYALIST",AND(F2635&gt;=8,G2635&lt;=2,H2635&gt;=5),"NEW CUSTOMERS",AND(F2635&gt;=6,G2635&lt;=2,H2635&gt;=3),"PROMISING",AND(F2635&gt;=3,G2635&gt;=3,H2635&gt;=3),"NEED ATTENTION",AND(F2635&lt;=4,G2635&gt;=6,H2635&gt;=6),"AT RISK",AND(F2635&lt;=2,G2635&gt;=8,H2635&gt;=8),"CAN'T LOSE THEM",AND(F2635&lt;=2,G2635&lt;=2,H2635&lt;=2),"HIBERNATING",TRUE(),"Other")</f>
        <v>Other</v>
      </c>
      <c r="K2635" s="1" t="n">
        <f aca="false">RANK(E2635,$E$7:$E$4378)+COUNTIF($E$7:E2635,E2635)-1</f>
        <v>3387</v>
      </c>
    </row>
    <row r="2636" customFormat="false" ht="14.25" hidden="false" customHeight="true" outlineLevel="0" collapsed="false">
      <c r="A2636" s="51" t="n">
        <v>15895</v>
      </c>
      <c r="B2636" s="53" t="n">
        <v>40737.4354166667</v>
      </c>
      <c r="C2636" s="57" t="n">
        <f aca="false">INT($C$2)-INT(Table3[[#This Row],[Last Purchase Date]])</f>
        <v>150</v>
      </c>
      <c r="D2636" s="1" t="n">
        <v>1</v>
      </c>
      <c r="E2636" s="1" t="n">
        <v>179.17</v>
      </c>
      <c r="F2636" s="1" t="n">
        <f aca="false">ROUND((1-_xlfn.PERCENTRANK.INC($C$7:$C$4378,C2636))*9,0)</f>
        <v>2</v>
      </c>
      <c r="G2636" s="1" t="n">
        <f aca="false">ROUND(_xlfn.PERCENTRANK.INC($D$7:$D$4378,D2636)*9,0)</f>
        <v>0</v>
      </c>
      <c r="H2636" s="1" t="n">
        <f aca="false">ROUND(_xlfn.PERCENTRANK.INC($E$7:$E$4378,E2636)*9,0)</f>
        <v>1</v>
      </c>
      <c r="I2636" s="1" t="str">
        <f aca="false">CONCATENATE(F2636,G2636,H2636)</f>
        <v>201</v>
      </c>
      <c r="J2636" s="1" t="str">
        <f aca="false">_xlfn.IFS(AND(F2636&gt;=8,G2636&gt;=8,H2636&gt;=8),"CHAMPION",AND(F2636&gt;=6,G2636&gt;=7,H2636&gt;=6),"LOYAL CUSTOMER",AND(F2636&gt;=6,G2636&gt;=5,H2636&gt;=5),"POTENTIAL LOYALIST",AND(F2636&gt;=8,G2636&lt;=2,H2636&gt;=5),"NEW CUSTOMERS",AND(F2636&gt;=6,G2636&lt;=2,H2636&gt;=3),"PROMISING",AND(F2636&gt;=3,G2636&gt;=3,H2636&gt;=3),"NEED ATTENTION",AND(F2636&lt;=4,G2636&gt;=6,H2636&gt;=6),"AT RISK",AND(F2636&lt;=2,G2636&gt;=8,H2636&gt;=8),"CAN'T LOSE THEM",AND(F2636&lt;=2,G2636&lt;=2,H2636&lt;=2),"HIBERNATING",TRUE(),"Other")</f>
        <v>HIBERNATING</v>
      </c>
      <c r="K2636" s="1" t="n">
        <f aca="false">RANK(E2636,$E$7:$E$4378)+COUNTIF($E$7:E2636,E2636)-1</f>
        <v>3754</v>
      </c>
    </row>
    <row r="2637" customFormat="false" ht="14.25" hidden="false" customHeight="true" outlineLevel="0" collapsed="false">
      <c r="A2637" s="51" t="n">
        <v>15897</v>
      </c>
      <c r="B2637" s="53" t="n">
        <v>40692.5763888889</v>
      </c>
      <c r="C2637" s="57" t="n">
        <f aca="false">INT($C$2)-INT(Table3[[#This Row],[Last Purchase Date]])</f>
        <v>195</v>
      </c>
      <c r="D2637" s="1" t="n">
        <v>2</v>
      </c>
      <c r="E2637" s="1" t="n">
        <v>222.05</v>
      </c>
      <c r="F2637" s="1" t="n">
        <f aca="false">ROUND((1-_xlfn.PERCENTRANK.INC($C$7:$C$4378,C2637))*9,0)</f>
        <v>2</v>
      </c>
      <c r="G2637" s="1" t="n">
        <f aca="false">ROUND(_xlfn.PERCENTRANK.INC($D$7:$D$4378,D2637)*9,0)</f>
        <v>3</v>
      </c>
      <c r="H2637" s="1" t="n">
        <f aca="false">ROUND(_xlfn.PERCENTRANK.INC($E$7:$E$4378,E2637)*9,0)</f>
        <v>2</v>
      </c>
      <c r="I2637" s="1" t="str">
        <f aca="false">CONCATENATE(F2637,G2637,H2637)</f>
        <v>232</v>
      </c>
      <c r="J2637" s="1" t="str">
        <f aca="false">_xlfn.IFS(AND(F2637&gt;=8,G2637&gt;=8,H2637&gt;=8),"CHAMPION",AND(F2637&gt;=6,G2637&gt;=7,H2637&gt;=6),"LOYAL CUSTOMER",AND(F2637&gt;=6,G2637&gt;=5,H2637&gt;=5),"POTENTIAL LOYALIST",AND(F2637&gt;=8,G2637&lt;=2,H2637&gt;=5),"NEW CUSTOMERS",AND(F2637&gt;=6,G2637&lt;=2,H2637&gt;=3),"PROMISING",AND(F2637&gt;=3,G2637&gt;=3,H2637&gt;=3),"NEED ATTENTION",AND(F2637&lt;=4,G2637&gt;=6,H2637&gt;=6),"AT RISK",AND(F2637&lt;=2,G2637&gt;=8,H2637&gt;=8),"CAN'T LOSE THEM",AND(F2637&lt;=2,G2637&lt;=2,H2637&lt;=2),"HIBERNATING",TRUE(),"Other")</f>
        <v>Other</v>
      </c>
      <c r="K2637" s="1" t="n">
        <f aca="false">RANK(E2637,$E$7:$E$4378)+COUNTIF($E$7:E2637,E2637)-1</f>
        <v>3551</v>
      </c>
    </row>
    <row r="2638" customFormat="false" ht="14.25" hidden="false" customHeight="true" outlineLevel="0" collapsed="false">
      <c r="A2638" s="51" t="n">
        <v>15898</v>
      </c>
      <c r="B2638" s="53" t="n">
        <v>40885.6409722222</v>
      </c>
      <c r="C2638" s="57" t="n">
        <f aca="false">INT($C$2)-INT(Table3[[#This Row],[Last Purchase Date]])</f>
        <v>2</v>
      </c>
      <c r="D2638" s="1" t="n">
        <v>6</v>
      </c>
      <c r="E2638" s="1" t="n">
        <v>1384.68</v>
      </c>
      <c r="F2638" s="1" t="n">
        <f aca="false">ROUND((1-_xlfn.PERCENTRANK.INC($C$7:$C$4378,C2638))*9,0)</f>
        <v>9</v>
      </c>
      <c r="G2638" s="1" t="n">
        <f aca="false">ROUND(_xlfn.PERCENTRANK.INC($D$7:$D$4378,D2638)*9,0)</f>
        <v>7</v>
      </c>
      <c r="H2638" s="1" t="n">
        <f aca="false">ROUND(_xlfn.PERCENTRANK.INC($E$7:$E$4378,E2638)*9,0)</f>
        <v>6</v>
      </c>
      <c r="I2638" s="1" t="str">
        <f aca="false">CONCATENATE(F2638,G2638,H2638)</f>
        <v>976</v>
      </c>
      <c r="J2638" s="1" t="str">
        <f aca="false">_xlfn.IFS(AND(F2638&gt;=8,G2638&gt;=8,H2638&gt;=8),"CHAMPION",AND(F2638&gt;=6,G2638&gt;=7,H2638&gt;=6),"LOYAL CUSTOMER",AND(F2638&gt;=6,G2638&gt;=5,H2638&gt;=5),"POTENTIAL LOYALIST",AND(F2638&gt;=8,G2638&lt;=2,H2638&gt;=5),"NEW CUSTOMERS",AND(F2638&gt;=6,G2638&lt;=2,H2638&gt;=3),"PROMISING",AND(F2638&gt;=3,G2638&gt;=3,H2638&gt;=3),"NEED ATTENTION",AND(F2638&lt;=4,G2638&gt;=6,H2638&gt;=6),"AT RISK",AND(F2638&lt;=2,G2638&gt;=8,H2638&gt;=8),"CAN'T LOSE THEM",AND(F2638&lt;=2,G2638&lt;=2,H2638&lt;=2),"HIBERNATING",TRUE(),"Other")</f>
        <v>LOYAL CUSTOMER</v>
      </c>
      <c r="K2638" s="1" t="n">
        <f aca="false">RANK(E2638,$E$7:$E$4378)+COUNTIF($E$7:E2638,E2638)-1</f>
        <v>1248</v>
      </c>
    </row>
    <row r="2639" customFormat="false" ht="14.25" hidden="false" customHeight="true" outlineLevel="0" collapsed="false">
      <c r="A2639" s="51" t="n">
        <v>15899</v>
      </c>
      <c r="B2639" s="53" t="n">
        <v>40518.4416666667</v>
      </c>
      <c r="C2639" s="57" t="n">
        <f aca="false">INT($C$2)-INT(Table3[[#This Row],[Last Purchase Date]])</f>
        <v>369</v>
      </c>
      <c r="D2639" s="1" t="n">
        <v>1</v>
      </c>
      <c r="E2639" s="1" t="n">
        <v>56.25</v>
      </c>
      <c r="F2639" s="1" t="n">
        <f aca="false">ROUND((1-_xlfn.PERCENTRANK.INC($C$7:$C$4378,C2639))*9,0)</f>
        <v>0</v>
      </c>
      <c r="G2639" s="1" t="n">
        <f aca="false">ROUND(_xlfn.PERCENTRANK.INC($D$7:$D$4378,D2639)*9,0)</f>
        <v>0</v>
      </c>
      <c r="H2639" s="1" t="n">
        <f aca="false">ROUND(_xlfn.PERCENTRANK.INC($E$7:$E$4378,E2639)*9,0)</f>
        <v>0</v>
      </c>
      <c r="I2639" s="1" t="str">
        <f aca="false">CONCATENATE(F2639,G2639,H2639)</f>
        <v>000</v>
      </c>
      <c r="J2639" s="1" t="str">
        <f aca="false">_xlfn.IFS(AND(F2639&gt;=8,G2639&gt;=8,H2639&gt;=8),"CHAMPION",AND(F2639&gt;=6,G2639&gt;=7,H2639&gt;=6),"LOYAL CUSTOMER",AND(F2639&gt;=6,G2639&gt;=5,H2639&gt;=5),"POTENTIAL LOYALIST",AND(F2639&gt;=8,G2639&lt;=2,H2639&gt;=5),"NEW CUSTOMERS",AND(F2639&gt;=6,G2639&lt;=2,H2639&gt;=3),"PROMISING",AND(F2639&gt;=3,G2639&gt;=3,H2639&gt;=3),"NEED ATTENTION",AND(F2639&lt;=4,G2639&gt;=6,H2639&gt;=6),"AT RISK",AND(F2639&lt;=2,G2639&gt;=8,H2639&gt;=8),"CAN'T LOSE THEM",AND(F2639&lt;=2,G2639&lt;=2,H2639&lt;=2),"HIBERNATING",TRUE(),"Other")</f>
        <v>HIBERNATING</v>
      </c>
      <c r="K2639" s="1" t="n">
        <f aca="false">RANK(E2639,$E$7:$E$4378)+COUNTIF($E$7:E2639,E2639)-1</f>
        <v>4271</v>
      </c>
    </row>
    <row r="2640" customFormat="false" ht="14.25" hidden="false" customHeight="true" outlineLevel="0" collapsed="false">
      <c r="A2640" s="51" t="n">
        <v>15900</v>
      </c>
      <c r="B2640" s="53" t="n">
        <v>40863.5131944444</v>
      </c>
      <c r="C2640" s="57" t="n">
        <f aca="false">INT($C$2)-INT(Table3[[#This Row],[Last Purchase Date]])</f>
        <v>24</v>
      </c>
      <c r="D2640" s="1" t="n">
        <v>1</v>
      </c>
      <c r="E2640" s="1" t="n">
        <v>351.11</v>
      </c>
      <c r="F2640" s="1" t="n">
        <f aca="false">ROUND((1-_xlfn.PERCENTRANK.INC($C$7:$C$4378,C2640))*9,0)</f>
        <v>6</v>
      </c>
      <c r="G2640" s="1" t="n">
        <f aca="false">ROUND(_xlfn.PERCENTRANK.INC($D$7:$D$4378,D2640)*9,0)</f>
        <v>0</v>
      </c>
      <c r="H2640" s="1" t="n">
        <f aca="false">ROUND(_xlfn.PERCENTRANK.INC($E$7:$E$4378,E2640)*9,0)</f>
        <v>3</v>
      </c>
      <c r="I2640" s="1" t="str">
        <f aca="false">CONCATENATE(F2640,G2640,H2640)</f>
        <v>603</v>
      </c>
      <c r="J2640" s="1" t="str">
        <f aca="false">_xlfn.IFS(AND(F2640&gt;=8,G2640&gt;=8,H2640&gt;=8),"CHAMPION",AND(F2640&gt;=6,G2640&gt;=7,H2640&gt;=6),"LOYAL CUSTOMER",AND(F2640&gt;=6,G2640&gt;=5,H2640&gt;=5),"POTENTIAL LOYALIST",AND(F2640&gt;=8,G2640&lt;=2,H2640&gt;=5),"NEW CUSTOMERS",AND(F2640&gt;=6,G2640&lt;=2,H2640&gt;=3),"PROMISING",AND(F2640&gt;=3,G2640&gt;=3,H2640&gt;=3),"NEED ATTENTION",AND(F2640&lt;=4,G2640&gt;=6,H2640&gt;=6),"AT RISK",AND(F2640&lt;=2,G2640&gt;=8,H2640&gt;=8),"CAN'T LOSE THEM",AND(F2640&lt;=2,G2640&lt;=2,H2640&lt;=2),"HIBERNATING",TRUE(),"Other")</f>
        <v>PROMISING</v>
      </c>
      <c r="K2640" s="1" t="n">
        <f aca="false">RANK(E2640,$E$7:$E$4378)+COUNTIF($E$7:E2640,E2640)-1</f>
        <v>3001</v>
      </c>
    </row>
    <row r="2641" customFormat="false" ht="14.25" hidden="false" customHeight="true" outlineLevel="0" collapsed="false">
      <c r="A2641" s="51" t="n">
        <v>15901</v>
      </c>
      <c r="B2641" s="53" t="n">
        <v>40870.5298611111</v>
      </c>
      <c r="C2641" s="57" t="n">
        <f aca="false">INT($C$2)-INT(Table3[[#This Row],[Last Purchase Date]])</f>
        <v>17</v>
      </c>
      <c r="D2641" s="1" t="n">
        <v>3</v>
      </c>
      <c r="E2641" s="1" t="n">
        <v>363.88</v>
      </c>
      <c r="F2641" s="1" t="n">
        <f aca="false">ROUND((1-_xlfn.PERCENTRANK.INC($C$7:$C$4378,C2641))*9,0)</f>
        <v>7</v>
      </c>
      <c r="G2641" s="1" t="n">
        <f aca="false">ROUND(_xlfn.PERCENTRANK.INC($D$7:$D$4378,D2641)*9,0)</f>
        <v>4</v>
      </c>
      <c r="H2641" s="1" t="n">
        <f aca="false">ROUND(_xlfn.PERCENTRANK.INC($E$7:$E$4378,E2641)*9,0)</f>
        <v>3</v>
      </c>
      <c r="I2641" s="1" t="str">
        <f aca="false">CONCATENATE(F2641,G2641,H2641)</f>
        <v>743</v>
      </c>
      <c r="J2641" s="1" t="str">
        <f aca="false">_xlfn.IFS(AND(F2641&gt;=8,G2641&gt;=8,H2641&gt;=8),"CHAMPION",AND(F2641&gt;=6,G2641&gt;=7,H2641&gt;=6),"LOYAL CUSTOMER",AND(F2641&gt;=6,G2641&gt;=5,H2641&gt;=5),"POTENTIAL LOYALIST",AND(F2641&gt;=8,G2641&lt;=2,H2641&gt;=5),"NEW CUSTOMERS",AND(F2641&gt;=6,G2641&lt;=2,H2641&gt;=3),"PROMISING",AND(F2641&gt;=3,G2641&gt;=3,H2641&gt;=3),"NEED ATTENTION",AND(F2641&lt;=4,G2641&gt;=6,H2641&gt;=6),"AT RISK",AND(F2641&lt;=2,G2641&gt;=8,H2641&gt;=8),"CAN'T LOSE THEM",AND(F2641&lt;=2,G2641&lt;=2,H2641&lt;=2),"HIBERNATING",TRUE(),"Other")</f>
        <v>NEED ATTENTION</v>
      </c>
      <c r="K2641" s="1" t="n">
        <f aca="false">RANK(E2641,$E$7:$E$4378)+COUNTIF($E$7:E2641,E2641)-1</f>
        <v>2947</v>
      </c>
    </row>
    <row r="2642" customFormat="false" ht="14.25" hidden="false" customHeight="true" outlineLevel="0" collapsed="false">
      <c r="A2642" s="51" t="n">
        <v>15903</v>
      </c>
      <c r="B2642" s="53" t="n">
        <v>40877.3388888889</v>
      </c>
      <c r="C2642" s="57" t="n">
        <f aca="false">INT($C$2)-INT(Table3[[#This Row],[Last Purchase Date]])</f>
        <v>10</v>
      </c>
      <c r="D2642" s="1" t="n">
        <v>8</v>
      </c>
      <c r="E2642" s="1" t="n">
        <v>5126.34</v>
      </c>
      <c r="F2642" s="1" t="n">
        <f aca="false">ROUND((1-_xlfn.PERCENTRANK.INC($C$7:$C$4378,C2642))*9,0)</f>
        <v>8</v>
      </c>
      <c r="G2642" s="1" t="n">
        <f aca="false">ROUND(_xlfn.PERCENTRANK.INC($D$7:$D$4378,D2642)*9,0)</f>
        <v>7</v>
      </c>
      <c r="H2642" s="1" t="n">
        <f aca="false">ROUND(_xlfn.PERCENTRANK.INC($E$7:$E$4378,E2642)*9,0)</f>
        <v>8</v>
      </c>
      <c r="I2642" s="1" t="str">
        <f aca="false">CONCATENATE(F2642,G2642,H2642)</f>
        <v>878</v>
      </c>
      <c r="J2642" s="1" t="str">
        <f aca="false">_xlfn.IFS(AND(F2642&gt;=8,G2642&gt;=8,H2642&gt;=8),"CHAMPION",AND(F2642&gt;=6,G2642&gt;=7,H2642&gt;=6),"LOYAL CUSTOMER",AND(F2642&gt;=6,G2642&gt;=5,H2642&gt;=5),"POTENTIAL LOYALIST",AND(F2642&gt;=8,G2642&lt;=2,H2642&gt;=5),"NEW CUSTOMERS",AND(F2642&gt;=6,G2642&lt;=2,H2642&gt;=3),"PROMISING",AND(F2642&gt;=3,G2642&gt;=3,H2642&gt;=3),"NEED ATTENTION",AND(F2642&lt;=4,G2642&gt;=6,H2642&gt;=6),"AT RISK",AND(F2642&lt;=2,G2642&gt;=8,H2642&gt;=8),"CAN'T LOSE THEM",AND(F2642&lt;=2,G2642&lt;=2,H2642&lt;=2),"HIBERNATING",TRUE(),"Other")</f>
        <v>LOYAL CUSTOMER</v>
      </c>
      <c r="K2642" s="1" t="n">
        <f aca="false">RANK(E2642,$E$7:$E$4378)+COUNTIF($E$7:E2642,E2642)-1</f>
        <v>250</v>
      </c>
    </row>
    <row r="2643" customFormat="false" ht="14.25" hidden="false" customHeight="true" outlineLevel="0" collapsed="false">
      <c r="A2643" s="51" t="n">
        <v>15904</v>
      </c>
      <c r="B2643" s="53" t="n">
        <v>40878.6180555556</v>
      </c>
      <c r="C2643" s="57" t="n">
        <f aca="false">INT($C$2)-INT(Table3[[#This Row],[Last Purchase Date]])</f>
        <v>9</v>
      </c>
      <c r="D2643" s="1" t="n">
        <v>1</v>
      </c>
      <c r="E2643" s="1" t="n">
        <v>164.68</v>
      </c>
      <c r="F2643" s="1" t="n">
        <f aca="false">ROUND((1-_xlfn.PERCENTRANK.INC($C$7:$C$4378,C2643))*9,0)</f>
        <v>8</v>
      </c>
      <c r="G2643" s="1" t="n">
        <f aca="false">ROUND(_xlfn.PERCENTRANK.INC($D$7:$D$4378,D2643)*9,0)</f>
        <v>0</v>
      </c>
      <c r="H2643" s="1" t="n">
        <f aca="false">ROUND(_xlfn.PERCENTRANK.INC($E$7:$E$4378,E2643)*9,0)</f>
        <v>1</v>
      </c>
      <c r="I2643" s="1" t="str">
        <f aca="false">CONCATENATE(F2643,G2643,H2643)</f>
        <v>801</v>
      </c>
      <c r="J2643" s="1" t="str">
        <f aca="false">_xlfn.IFS(AND(F2643&gt;=8,G2643&gt;=8,H2643&gt;=8),"CHAMPION",AND(F2643&gt;=6,G2643&gt;=7,H2643&gt;=6),"LOYAL CUSTOMER",AND(F2643&gt;=6,G2643&gt;=5,H2643&gt;=5),"POTENTIAL LOYALIST",AND(F2643&gt;=8,G2643&lt;=2,H2643&gt;=5),"NEW CUSTOMERS",AND(F2643&gt;=6,G2643&lt;=2,H2643&gt;=3),"PROMISING",AND(F2643&gt;=3,G2643&gt;=3,H2643&gt;=3),"NEED ATTENTION",AND(F2643&lt;=4,G2643&gt;=6,H2643&gt;=6),"AT RISK",AND(F2643&lt;=2,G2643&gt;=8,H2643&gt;=8),"CAN'T LOSE THEM",AND(F2643&lt;=2,G2643&lt;=2,H2643&lt;=2),"HIBERNATING",TRUE(),"Other")</f>
        <v>Other</v>
      </c>
      <c r="K2643" s="1" t="n">
        <f aca="false">RANK(E2643,$E$7:$E$4378)+COUNTIF($E$7:E2643,E2643)-1</f>
        <v>3833</v>
      </c>
    </row>
    <row r="2644" customFormat="false" ht="14.25" hidden="false" customHeight="true" outlineLevel="0" collapsed="false">
      <c r="A2644" s="51" t="n">
        <v>15906</v>
      </c>
      <c r="B2644" s="53" t="n">
        <v>40867.5166666667</v>
      </c>
      <c r="C2644" s="57" t="n">
        <f aca="false">INT($C$2)-INT(Table3[[#This Row],[Last Purchase Date]])</f>
        <v>20</v>
      </c>
      <c r="D2644" s="1" t="n">
        <v>8</v>
      </c>
      <c r="E2644" s="1" t="n">
        <v>1521.79</v>
      </c>
      <c r="F2644" s="1" t="n">
        <f aca="false">ROUND((1-_xlfn.PERCENTRANK.INC($C$7:$C$4378,C2644))*9,0)</f>
        <v>6</v>
      </c>
      <c r="G2644" s="1" t="n">
        <f aca="false">ROUND(_xlfn.PERCENTRANK.INC($D$7:$D$4378,D2644)*9,0)</f>
        <v>7</v>
      </c>
      <c r="H2644" s="1" t="n">
        <f aca="false">ROUND(_xlfn.PERCENTRANK.INC($E$7:$E$4378,E2644)*9,0)</f>
        <v>7</v>
      </c>
      <c r="I2644" s="1" t="str">
        <f aca="false">CONCATENATE(F2644,G2644,H2644)</f>
        <v>677</v>
      </c>
      <c r="J2644" s="1" t="str">
        <f aca="false">_xlfn.IFS(AND(F2644&gt;=8,G2644&gt;=8,H2644&gt;=8),"CHAMPION",AND(F2644&gt;=6,G2644&gt;=7,H2644&gt;=6),"LOYAL CUSTOMER",AND(F2644&gt;=6,G2644&gt;=5,H2644&gt;=5),"POTENTIAL LOYALIST",AND(F2644&gt;=8,G2644&lt;=2,H2644&gt;=5),"NEW CUSTOMERS",AND(F2644&gt;=6,G2644&lt;=2,H2644&gt;=3),"PROMISING",AND(F2644&gt;=3,G2644&gt;=3,H2644&gt;=3),"NEED ATTENTION",AND(F2644&lt;=4,G2644&gt;=6,H2644&gt;=6),"AT RISK",AND(F2644&lt;=2,G2644&gt;=8,H2644&gt;=8),"CAN'T LOSE THEM",AND(F2644&lt;=2,G2644&lt;=2,H2644&lt;=2),"HIBERNATING",TRUE(),"Other")</f>
        <v>LOYAL CUSTOMER</v>
      </c>
      <c r="K2644" s="1" t="n">
        <f aca="false">RANK(E2644,$E$7:$E$4378)+COUNTIF($E$7:E2644,E2644)-1</f>
        <v>1149</v>
      </c>
    </row>
    <row r="2645" customFormat="false" ht="14.25" hidden="false" customHeight="true" outlineLevel="0" collapsed="false">
      <c r="A2645" s="51" t="n">
        <v>15907</v>
      </c>
      <c r="B2645" s="53" t="n">
        <v>40883.5145833333</v>
      </c>
      <c r="C2645" s="57" t="n">
        <f aca="false">INT($C$2)-INT(Table3[[#This Row],[Last Purchase Date]])</f>
        <v>4</v>
      </c>
      <c r="D2645" s="1" t="n">
        <v>3</v>
      </c>
      <c r="E2645" s="1" t="n">
        <v>967.45</v>
      </c>
      <c r="F2645" s="1" t="n">
        <f aca="false">ROUND((1-_xlfn.PERCENTRANK.INC($C$7:$C$4378,C2645))*9,0)</f>
        <v>8</v>
      </c>
      <c r="G2645" s="1" t="n">
        <f aca="false">ROUND(_xlfn.PERCENTRANK.INC($D$7:$D$4378,D2645)*9,0)</f>
        <v>4</v>
      </c>
      <c r="H2645" s="1" t="n">
        <f aca="false">ROUND(_xlfn.PERCENTRANK.INC($E$7:$E$4378,E2645)*9,0)</f>
        <v>6</v>
      </c>
      <c r="I2645" s="1" t="str">
        <f aca="false">CONCATENATE(F2645,G2645,H2645)</f>
        <v>846</v>
      </c>
      <c r="J2645" s="1" t="str">
        <f aca="false">_xlfn.IFS(AND(F2645&gt;=8,G2645&gt;=8,H2645&gt;=8),"CHAMPION",AND(F2645&gt;=6,G2645&gt;=7,H2645&gt;=6),"LOYAL CUSTOMER",AND(F2645&gt;=6,G2645&gt;=5,H2645&gt;=5),"POTENTIAL LOYALIST",AND(F2645&gt;=8,G2645&lt;=2,H2645&gt;=5),"NEW CUSTOMERS",AND(F2645&gt;=6,G2645&lt;=2,H2645&gt;=3),"PROMISING",AND(F2645&gt;=3,G2645&gt;=3,H2645&gt;=3),"NEED ATTENTION",AND(F2645&lt;=4,G2645&gt;=6,H2645&gt;=6),"AT RISK",AND(F2645&lt;=2,G2645&gt;=8,H2645&gt;=8),"CAN'T LOSE THEM",AND(F2645&lt;=2,G2645&lt;=2,H2645&lt;=2),"HIBERNATING",TRUE(),"Other")</f>
        <v>NEED ATTENTION</v>
      </c>
      <c r="K2645" s="1" t="n">
        <f aca="false">RANK(E2645,$E$7:$E$4378)+COUNTIF($E$7:E2645,E2645)-1</f>
        <v>1679</v>
      </c>
    </row>
    <row r="2646" customFormat="false" ht="14.25" hidden="false" customHeight="true" outlineLevel="0" collapsed="false">
      <c r="A2646" s="51" t="n">
        <v>15909</v>
      </c>
      <c r="B2646" s="53" t="n">
        <v>40713.4430555556</v>
      </c>
      <c r="C2646" s="57" t="n">
        <f aca="false">INT($C$2)-INT(Table3[[#This Row],[Last Purchase Date]])</f>
        <v>174</v>
      </c>
      <c r="D2646" s="1" t="n">
        <v>1</v>
      </c>
      <c r="E2646" s="1" t="n">
        <v>191.94</v>
      </c>
      <c r="F2646" s="1" t="n">
        <f aca="false">ROUND((1-_xlfn.PERCENTRANK.INC($C$7:$C$4378,C2646))*9,0)</f>
        <v>2</v>
      </c>
      <c r="G2646" s="1" t="n">
        <f aca="false">ROUND(_xlfn.PERCENTRANK.INC($D$7:$D$4378,D2646)*9,0)</f>
        <v>0</v>
      </c>
      <c r="H2646" s="1" t="n">
        <f aca="false">ROUND(_xlfn.PERCENTRANK.INC($E$7:$E$4378,E2646)*9,0)</f>
        <v>1</v>
      </c>
      <c r="I2646" s="1" t="str">
        <f aca="false">CONCATENATE(F2646,G2646,H2646)</f>
        <v>201</v>
      </c>
      <c r="J2646" s="1" t="str">
        <f aca="false">_xlfn.IFS(AND(F2646&gt;=8,G2646&gt;=8,H2646&gt;=8),"CHAMPION",AND(F2646&gt;=6,G2646&gt;=7,H2646&gt;=6),"LOYAL CUSTOMER",AND(F2646&gt;=6,G2646&gt;=5,H2646&gt;=5),"POTENTIAL LOYALIST",AND(F2646&gt;=8,G2646&lt;=2,H2646&gt;=5),"NEW CUSTOMERS",AND(F2646&gt;=6,G2646&lt;=2,H2646&gt;=3),"PROMISING",AND(F2646&gt;=3,G2646&gt;=3,H2646&gt;=3),"NEED ATTENTION",AND(F2646&lt;=4,G2646&gt;=6,H2646&gt;=6),"AT RISK",AND(F2646&lt;=2,G2646&gt;=8,H2646&gt;=8),"CAN'T LOSE THEM",AND(F2646&lt;=2,G2646&lt;=2,H2646&lt;=2),"HIBERNATING",TRUE(),"Other")</f>
        <v>HIBERNATING</v>
      </c>
      <c r="K2646" s="1" t="n">
        <f aca="false">RANK(E2646,$E$7:$E$4378)+COUNTIF($E$7:E2646,E2646)-1</f>
        <v>3699</v>
      </c>
    </row>
    <row r="2647" customFormat="false" ht="14.25" hidden="false" customHeight="true" outlineLevel="0" collapsed="false">
      <c r="A2647" s="51" t="n">
        <v>15910</v>
      </c>
      <c r="B2647" s="53" t="n">
        <v>40886.4520833333</v>
      </c>
      <c r="C2647" s="57" t="n">
        <f aca="false">INT($C$2)-INT(Table3[[#This Row],[Last Purchase Date]])</f>
        <v>1</v>
      </c>
      <c r="D2647" s="1" t="n">
        <v>8</v>
      </c>
      <c r="E2647" s="1" t="n">
        <v>1232.18</v>
      </c>
      <c r="F2647" s="1" t="n">
        <f aca="false">ROUND((1-_xlfn.PERCENTRANK.INC($C$7:$C$4378,C2647))*9,0)</f>
        <v>9</v>
      </c>
      <c r="G2647" s="1" t="n">
        <f aca="false">ROUND(_xlfn.PERCENTRANK.INC($D$7:$D$4378,D2647)*9,0)</f>
        <v>7</v>
      </c>
      <c r="H2647" s="1" t="n">
        <f aca="false">ROUND(_xlfn.PERCENTRANK.INC($E$7:$E$4378,E2647)*9,0)</f>
        <v>6</v>
      </c>
      <c r="I2647" s="1" t="str">
        <f aca="false">CONCATENATE(F2647,G2647,H2647)</f>
        <v>976</v>
      </c>
      <c r="J2647" s="1" t="str">
        <f aca="false">_xlfn.IFS(AND(F2647&gt;=8,G2647&gt;=8,H2647&gt;=8),"CHAMPION",AND(F2647&gt;=6,G2647&gt;=7,H2647&gt;=6),"LOYAL CUSTOMER",AND(F2647&gt;=6,G2647&gt;=5,H2647&gt;=5),"POTENTIAL LOYALIST",AND(F2647&gt;=8,G2647&lt;=2,H2647&gt;=5),"NEW CUSTOMERS",AND(F2647&gt;=6,G2647&lt;=2,H2647&gt;=3),"PROMISING",AND(F2647&gt;=3,G2647&gt;=3,H2647&gt;=3),"NEED ATTENTION",AND(F2647&lt;=4,G2647&gt;=6,H2647&gt;=6),"AT RISK",AND(F2647&lt;=2,G2647&gt;=8,H2647&gt;=8),"CAN'T LOSE THEM",AND(F2647&lt;=2,G2647&lt;=2,H2647&lt;=2),"HIBERNATING",TRUE(),"Other")</f>
        <v>LOYAL CUSTOMER</v>
      </c>
      <c r="K2647" s="1" t="n">
        <f aca="false">RANK(E2647,$E$7:$E$4378)+COUNTIF($E$7:E2647,E2647)-1</f>
        <v>1389</v>
      </c>
    </row>
    <row r="2648" customFormat="false" ht="14.25" hidden="false" customHeight="true" outlineLevel="0" collapsed="false">
      <c r="A2648" s="51" t="n">
        <v>15912</v>
      </c>
      <c r="B2648" s="53" t="n">
        <v>40708.6034722222</v>
      </c>
      <c r="C2648" s="57" t="n">
        <f aca="false">INT($C$2)-INT(Table3[[#This Row],[Last Purchase Date]])</f>
        <v>179</v>
      </c>
      <c r="D2648" s="1" t="n">
        <v>2</v>
      </c>
      <c r="E2648" s="1" t="n">
        <v>264.62</v>
      </c>
      <c r="F2648" s="1" t="n">
        <f aca="false">ROUND((1-_xlfn.PERCENTRANK.INC($C$7:$C$4378,C2648))*9,0)</f>
        <v>2</v>
      </c>
      <c r="G2648" s="1" t="n">
        <f aca="false">ROUND(_xlfn.PERCENTRANK.INC($D$7:$D$4378,D2648)*9,0)</f>
        <v>3</v>
      </c>
      <c r="H2648" s="1" t="n">
        <f aca="false">ROUND(_xlfn.PERCENTRANK.INC($E$7:$E$4378,E2648)*9,0)</f>
        <v>2</v>
      </c>
      <c r="I2648" s="1" t="str">
        <f aca="false">CONCATENATE(F2648,G2648,H2648)</f>
        <v>232</v>
      </c>
      <c r="J2648" s="1" t="str">
        <f aca="false">_xlfn.IFS(AND(F2648&gt;=8,G2648&gt;=8,H2648&gt;=8),"CHAMPION",AND(F2648&gt;=6,G2648&gt;=7,H2648&gt;=6),"LOYAL CUSTOMER",AND(F2648&gt;=6,G2648&gt;=5,H2648&gt;=5),"POTENTIAL LOYALIST",AND(F2648&gt;=8,G2648&lt;=2,H2648&gt;=5),"NEW CUSTOMERS",AND(F2648&gt;=6,G2648&lt;=2,H2648&gt;=3),"PROMISING",AND(F2648&gt;=3,G2648&gt;=3,H2648&gt;=3),"NEED ATTENTION",AND(F2648&lt;=4,G2648&gt;=6,H2648&gt;=6),"AT RISK",AND(F2648&lt;=2,G2648&gt;=8,H2648&gt;=8),"CAN'T LOSE THEM",AND(F2648&lt;=2,G2648&lt;=2,H2648&lt;=2),"HIBERNATING",TRUE(),"Other")</f>
        <v>Other</v>
      </c>
      <c r="K2648" s="1" t="n">
        <f aca="false">RANK(E2648,$E$7:$E$4378)+COUNTIF($E$7:E2648,E2648)-1</f>
        <v>3384</v>
      </c>
    </row>
    <row r="2649" customFormat="false" ht="14.25" hidden="false" customHeight="true" outlineLevel="0" collapsed="false">
      <c r="A2649" s="51" t="n">
        <v>15916</v>
      </c>
      <c r="B2649" s="53" t="n">
        <v>40870.5736111111</v>
      </c>
      <c r="C2649" s="57" t="n">
        <f aca="false">INT($C$2)-INT(Table3[[#This Row],[Last Purchase Date]])</f>
        <v>17</v>
      </c>
      <c r="D2649" s="1" t="n">
        <v>10</v>
      </c>
      <c r="E2649" s="1" t="n">
        <v>1491.24</v>
      </c>
      <c r="F2649" s="1" t="n">
        <f aca="false">ROUND((1-_xlfn.PERCENTRANK.INC($C$7:$C$4378,C2649))*9,0)</f>
        <v>7</v>
      </c>
      <c r="G2649" s="1" t="n">
        <f aca="false">ROUND(_xlfn.PERCENTRANK.INC($D$7:$D$4378,D2649)*9,0)</f>
        <v>8</v>
      </c>
      <c r="H2649" s="1" t="n">
        <f aca="false">ROUND(_xlfn.PERCENTRANK.INC($E$7:$E$4378,E2649)*9,0)</f>
        <v>7</v>
      </c>
      <c r="I2649" s="1" t="str">
        <f aca="false">CONCATENATE(F2649,G2649,H2649)</f>
        <v>787</v>
      </c>
      <c r="J2649" s="1" t="str">
        <f aca="false">_xlfn.IFS(AND(F2649&gt;=8,G2649&gt;=8,H2649&gt;=8),"CHAMPION",AND(F2649&gt;=6,G2649&gt;=7,H2649&gt;=6),"LOYAL CUSTOMER",AND(F2649&gt;=6,G2649&gt;=5,H2649&gt;=5),"POTENTIAL LOYALIST",AND(F2649&gt;=8,G2649&lt;=2,H2649&gt;=5),"NEW CUSTOMERS",AND(F2649&gt;=6,G2649&lt;=2,H2649&gt;=3),"PROMISING",AND(F2649&gt;=3,G2649&gt;=3,H2649&gt;=3),"NEED ATTENTION",AND(F2649&lt;=4,G2649&gt;=6,H2649&gt;=6),"AT RISK",AND(F2649&lt;=2,G2649&gt;=8,H2649&gt;=8),"CAN'T LOSE THEM",AND(F2649&lt;=2,G2649&lt;=2,H2649&lt;=2),"HIBERNATING",TRUE(),"Other")</f>
        <v>LOYAL CUSTOMER</v>
      </c>
      <c r="K2649" s="1" t="n">
        <f aca="false">RANK(E2649,$E$7:$E$4378)+COUNTIF($E$7:E2649,E2649)-1</f>
        <v>1170</v>
      </c>
    </row>
    <row r="2650" customFormat="false" ht="14.25" hidden="false" customHeight="true" outlineLevel="0" collapsed="false">
      <c r="A2650" s="51" t="n">
        <v>15917</v>
      </c>
      <c r="B2650" s="53" t="n">
        <v>40639.4444444445</v>
      </c>
      <c r="C2650" s="57" t="n">
        <f aca="false">INT($C$2)-INT(Table3[[#This Row],[Last Purchase Date]])</f>
        <v>248</v>
      </c>
      <c r="D2650" s="1" t="n">
        <v>1</v>
      </c>
      <c r="E2650" s="1" t="n">
        <v>123.1</v>
      </c>
      <c r="F2650" s="1" t="n">
        <f aca="false">ROUND((1-_xlfn.PERCENTRANK.INC($C$7:$C$4378,C2650))*9,0)</f>
        <v>1</v>
      </c>
      <c r="G2650" s="1" t="n">
        <f aca="false">ROUND(_xlfn.PERCENTRANK.INC($D$7:$D$4378,D2650)*9,0)</f>
        <v>0</v>
      </c>
      <c r="H2650" s="1" t="n">
        <f aca="false">ROUND(_xlfn.PERCENTRANK.INC($E$7:$E$4378,E2650)*9,0)</f>
        <v>1</v>
      </c>
      <c r="I2650" s="1" t="str">
        <f aca="false">CONCATENATE(F2650,G2650,H2650)</f>
        <v>101</v>
      </c>
      <c r="J2650" s="1" t="str">
        <f aca="false">_xlfn.IFS(AND(F2650&gt;=8,G2650&gt;=8,H2650&gt;=8),"CHAMPION",AND(F2650&gt;=6,G2650&gt;=7,H2650&gt;=6),"LOYAL CUSTOMER",AND(F2650&gt;=6,G2650&gt;=5,H2650&gt;=5),"POTENTIAL LOYALIST",AND(F2650&gt;=8,G2650&lt;=2,H2650&gt;=5),"NEW CUSTOMERS",AND(F2650&gt;=6,G2650&lt;=2,H2650&gt;=3),"PROMISING",AND(F2650&gt;=3,G2650&gt;=3,H2650&gt;=3),"NEED ATTENTION",AND(F2650&lt;=4,G2650&gt;=6,H2650&gt;=6),"AT RISK",AND(F2650&lt;=2,G2650&gt;=8,H2650&gt;=8),"CAN'T LOSE THEM",AND(F2650&lt;=2,G2650&lt;=2,H2650&lt;=2),"HIBERNATING",TRUE(),"Other")</f>
        <v>HIBERNATING</v>
      </c>
      <c r="K2650" s="1" t="n">
        <f aca="false">RANK(E2650,$E$7:$E$4378)+COUNTIF($E$7:E2650,E2650)-1</f>
        <v>4034</v>
      </c>
    </row>
    <row r="2651" customFormat="false" ht="14.25" hidden="false" customHeight="true" outlineLevel="0" collapsed="false">
      <c r="A2651" s="51" t="n">
        <v>15918</v>
      </c>
      <c r="B2651" s="53" t="n">
        <v>40696.4875</v>
      </c>
      <c r="C2651" s="57" t="n">
        <f aca="false">INT($C$2)-INT(Table3[[#This Row],[Last Purchase Date]])</f>
        <v>191</v>
      </c>
      <c r="D2651" s="1" t="n">
        <v>2</v>
      </c>
      <c r="E2651" s="1" t="n">
        <v>334.23</v>
      </c>
      <c r="F2651" s="1" t="n">
        <f aca="false">ROUND((1-_xlfn.PERCENTRANK.INC($C$7:$C$4378,C2651))*9,0)</f>
        <v>2</v>
      </c>
      <c r="G2651" s="1" t="n">
        <f aca="false">ROUND(_xlfn.PERCENTRANK.INC($D$7:$D$4378,D2651)*9,0)</f>
        <v>3</v>
      </c>
      <c r="H2651" s="1" t="n">
        <f aca="false">ROUND(_xlfn.PERCENTRANK.INC($E$7:$E$4378,E2651)*9,0)</f>
        <v>3</v>
      </c>
      <c r="I2651" s="1" t="str">
        <f aca="false">CONCATENATE(F2651,G2651,H2651)</f>
        <v>233</v>
      </c>
      <c r="J2651" s="1" t="str">
        <f aca="false">_xlfn.IFS(AND(F2651&gt;=8,G2651&gt;=8,H2651&gt;=8),"CHAMPION",AND(F2651&gt;=6,G2651&gt;=7,H2651&gt;=6),"LOYAL CUSTOMER",AND(F2651&gt;=6,G2651&gt;=5,H2651&gt;=5),"POTENTIAL LOYALIST",AND(F2651&gt;=8,G2651&lt;=2,H2651&gt;=5),"NEW CUSTOMERS",AND(F2651&gt;=6,G2651&lt;=2,H2651&gt;=3),"PROMISING",AND(F2651&gt;=3,G2651&gt;=3,H2651&gt;=3),"NEED ATTENTION",AND(F2651&lt;=4,G2651&gt;=6,H2651&gt;=6),"AT RISK",AND(F2651&lt;=2,G2651&gt;=8,H2651&gt;=8),"CAN'T LOSE THEM",AND(F2651&lt;=2,G2651&lt;=2,H2651&lt;=2),"HIBERNATING",TRUE(),"Other")</f>
        <v>Other</v>
      </c>
      <c r="K2651" s="1" t="n">
        <f aca="false">RANK(E2651,$E$7:$E$4378)+COUNTIF($E$7:E2651,E2651)-1</f>
        <v>3077</v>
      </c>
    </row>
    <row r="2652" customFormat="false" ht="14.25" hidden="false" customHeight="true" outlineLevel="0" collapsed="false">
      <c r="A2652" s="51" t="n">
        <v>15919</v>
      </c>
      <c r="B2652" s="53" t="n">
        <v>40867.4777777778</v>
      </c>
      <c r="C2652" s="57" t="n">
        <f aca="false">INT($C$2)-INT(Table3[[#This Row],[Last Purchase Date]])</f>
        <v>20</v>
      </c>
      <c r="D2652" s="1" t="n">
        <v>2</v>
      </c>
      <c r="E2652" s="1" t="n">
        <v>639.89</v>
      </c>
      <c r="F2652" s="1" t="n">
        <f aca="false">ROUND((1-_xlfn.PERCENTRANK.INC($C$7:$C$4378,C2652))*9,0)</f>
        <v>6</v>
      </c>
      <c r="G2652" s="1" t="n">
        <f aca="false">ROUND(_xlfn.PERCENTRANK.INC($D$7:$D$4378,D2652)*9,0)</f>
        <v>3</v>
      </c>
      <c r="H2652" s="1" t="n">
        <f aca="false">ROUND(_xlfn.PERCENTRANK.INC($E$7:$E$4378,E2652)*9,0)</f>
        <v>4</v>
      </c>
      <c r="I2652" s="1" t="str">
        <f aca="false">CONCATENATE(F2652,G2652,H2652)</f>
        <v>634</v>
      </c>
      <c r="J2652" s="1" t="str">
        <f aca="false">_xlfn.IFS(AND(F2652&gt;=8,G2652&gt;=8,H2652&gt;=8),"CHAMPION",AND(F2652&gt;=6,G2652&gt;=7,H2652&gt;=6),"LOYAL CUSTOMER",AND(F2652&gt;=6,G2652&gt;=5,H2652&gt;=5),"POTENTIAL LOYALIST",AND(F2652&gt;=8,G2652&lt;=2,H2652&gt;=5),"NEW CUSTOMERS",AND(F2652&gt;=6,G2652&lt;=2,H2652&gt;=3),"PROMISING",AND(F2652&gt;=3,G2652&gt;=3,H2652&gt;=3),"NEED ATTENTION",AND(F2652&lt;=4,G2652&gt;=6,H2652&gt;=6),"AT RISK",AND(F2652&lt;=2,G2652&gt;=8,H2652&gt;=8),"CAN'T LOSE THEM",AND(F2652&lt;=2,G2652&lt;=2,H2652&lt;=2),"HIBERNATING",TRUE(),"Other")</f>
        <v>NEED ATTENTION</v>
      </c>
      <c r="K2652" s="1" t="n">
        <f aca="false">RANK(E2652,$E$7:$E$4378)+COUNTIF($E$7:E2652,E2652)-1</f>
        <v>2209</v>
      </c>
    </row>
    <row r="2653" customFormat="false" ht="14.25" hidden="false" customHeight="true" outlineLevel="0" collapsed="false">
      <c r="A2653" s="51" t="n">
        <v>15920</v>
      </c>
      <c r="B2653" s="53" t="n">
        <v>40732.6465277778</v>
      </c>
      <c r="C2653" s="57" t="n">
        <f aca="false">INT($C$2)-INT(Table3[[#This Row],[Last Purchase Date]])</f>
        <v>155</v>
      </c>
      <c r="D2653" s="1" t="n">
        <v>4</v>
      </c>
      <c r="E2653" s="1" t="n">
        <v>167.5</v>
      </c>
      <c r="F2653" s="1" t="n">
        <f aca="false">ROUND((1-_xlfn.PERCENTRANK.INC($C$7:$C$4378,C2653))*9,0)</f>
        <v>2</v>
      </c>
      <c r="G2653" s="1" t="n">
        <f aca="false">ROUND(_xlfn.PERCENTRANK.INC($D$7:$D$4378,D2653)*9,0)</f>
        <v>5</v>
      </c>
      <c r="H2653" s="1" t="n">
        <f aca="false">ROUND(_xlfn.PERCENTRANK.INC($E$7:$E$4378,E2653)*9,0)</f>
        <v>1</v>
      </c>
      <c r="I2653" s="1" t="str">
        <f aca="false">CONCATENATE(F2653,G2653,H2653)</f>
        <v>251</v>
      </c>
      <c r="J2653" s="1" t="str">
        <f aca="false">_xlfn.IFS(AND(F2653&gt;=8,G2653&gt;=8,H2653&gt;=8),"CHAMPION",AND(F2653&gt;=6,G2653&gt;=7,H2653&gt;=6),"LOYAL CUSTOMER",AND(F2653&gt;=6,G2653&gt;=5,H2653&gt;=5),"POTENTIAL LOYALIST",AND(F2653&gt;=8,G2653&lt;=2,H2653&gt;=5),"NEW CUSTOMERS",AND(F2653&gt;=6,G2653&lt;=2,H2653&gt;=3),"PROMISING",AND(F2653&gt;=3,G2653&gt;=3,H2653&gt;=3),"NEED ATTENTION",AND(F2653&lt;=4,G2653&gt;=6,H2653&gt;=6),"AT RISK",AND(F2653&lt;=2,G2653&gt;=8,H2653&gt;=8),"CAN'T LOSE THEM",AND(F2653&lt;=2,G2653&lt;=2,H2653&lt;=2),"HIBERNATING",TRUE(),"Other")</f>
        <v>Other</v>
      </c>
      <c r="K2653" s="1" t="n">
        <f aca="false">RANK(E2653,$E$7:$E$4378)+COUNTIF($E$7:E2653,E2653)-1</f>
        <v>3821</v>
      </c>
    </row>
    <row r="2654" customFormat="false" ht="14.25" hidden="false" customHeight="true" outlineLevel="0" collapsed="false">
      <c r="A2654" s="51" t="n">
        <v>15921</v>
      </c>
      <c r="B2654" s="53" t="n">
        <v>40714.4604166667</v>
      </c>
      <c r="C2654" s="57" t="n">
        <f aca="false">INT($C$2)-INT(Table3[[#This Row],[Last Purchase Date]])</f>
        <v>173</v>
      </c>
      <c r="D2654" s="1" t="n">
        <v>1</v>
      </c>
      <c r="E2654" s="1" t="n">
        <v>336.03</v>
      </c>
      <c r="F2654" s="1" t="n">
        <f aca="false">ROUND((1-_xlfn.PERCENTRANK.INC($C$7:$C$4378,C2654))*9,0)</f>
        <v>2</v>
      </c>
      <c r="G2654" s="1" t="n">
        <f aca="false">ROUND(_xlfn.PERCENTRANK.INC($D$7:$D$4378,D2654)*9,0)</f>
        <v>0</v>
      </c>
      <c r="H2654" s="1" t="n">
        <f aca="false">ROUND(_xlfn.PERCENTRANK.INC($E$7:$E$4378,E2654)*9,0)</f>
        <v>3</v>
      </c>
      <c r="I2654" s="1" t="str">
        <f aca="false">CONCATENATE(F2654,G2654,H2654)</f>
        <v>203</v>
      </c>
      <c r="J2654" s="1" t="str">
        <f aca="false">_xlfn.IFS(AND(F2654&gt;=8,G2654&gt;=8,H2654&gt;=8),"CHAMPION",AND(F2654&gt;=6,G2654&gt;=7,H2654&gt;=6),"LOYAL CUSTOMER",AND(F2654&gt;=6,G2654&gt;=5,H2654&gt;=5),"POTENTIAL LOYALIST",AND(F2654&gt;=8,G2654&lt;=2,H2654&gt;=5),"NEW CUSTOMERS",AND(F2654&gt;=6,G2654&lt;=2,H2654&gt;=3),"PROMISING",AND(F2654&gt;=3,G2654&gt;=3,H2654&gt;=3),"NEED ATTENTION",AND(F2654&lt;=4,G2654&gt;=6,H2654&gt;=6),"AT RISK",AND(F2654&lt;=2,G2654&gt;=8,H2654&gt;=8),"CAN'T LOSE THEM",AND(F2654&lt;=2,G2654&lt;=2,H2654&lt;=2),"HIBERNATING",TRUE(),"Other")</f>
        <v>Other</v>
      </c>
      <c r="K2654" s="1" t="n">
        <f aca="false">RANK(E2654,$E$7:$E$4378)+COUNTIF($E$7:E2654,E2654)-1</f>
        <v>3069</v>
      </c>
    </row>
    <row r="2655" customFormat="false" ht="14.25" hidden="false" customHeight="true" outlineLevel="0" collapsed="false">
      <c r="A2655" s="51" t="n">
        <v>15922</v>
      </c>
      <c r="B2655" s="53" t="n">
        <v>40514.5451388889</v>
      </c>
      <c r="C2655" s="57" t="n">
        <f aca="false">INT($C$2)-INT(Table3[[#This Row],[Last Purchase Date]])</f>
        <v>373</v>
      </c>
      <c r="D2655" s="1" t="n">
        <v>2</v>
      </c>
      <c r="E2655" s="1" t="n">
        <v>363.6</v>
      </c>
      <c r="F2655" s="1" t="n">
        <f aca="false">ROUND((1-_xlfn.PERCENTRANK.INC($C$7:$C$4378,C2655))*9,0)</f>
        <v>0</v>
      </c>
      <c r="G2655" s="1" t="n">
        <f aca="false">ROUND(_xlfn.PERCENTRANK.INC($D$7:$D$4378,D2655)*9,0)</f>
        <v>3</v>
      </c>
      <c r="H2655" s="1" t="n">
        <f aca="false">ROUND(_xlfn.PERCENTRANK.INC($E$7:$E$4378,E2655)*9,0)</f>
        <v>3</v>
      </c>
      <c r="I2655" s="1" t="str">
        <f aca="false">CONCATENATE(F2655,G2655,H2655)</f>
        <v>033</v>
      </c>
      <c r="J2655" s="1" t="str">
        <f aca="false">_xlfn.IFS(AND(F2655&gt;=8,G2655&gt;=8,H2655&gt;=8),"CHAMPION",AND(F2655&gt;=6,G2655&gt;=7,H2655&gt;=6),"LOYAL CUSTOMER",AND(F2655&gt;=6,G2655&gt;=5,H2655&gt;=5),"POTENTIAL LOYALIST",AND(F2655&gt;=8,G2655&lt;=2,H2655&gt;=5),"NEW CUSTOMERS",AND(F2655&gt;=6,G2655&lt;=2,H2655&gt;=3),"PROMISING",AND(F2655&gt;=3,G2655&gt;=3,H2655&gt;=3),"NEED ATTENTION",AND(F2655&lt;=4,G2655&gt;=6,H2655&gt;=6),"AT RISK",AND(F2655&lt;=2,G2655&gt;=8,H2655&gt;=8),"CAN'T LOSE THEM",AND(F2655&lt;=2,G2655&lt;=2,H2655&lt;=2),"HIBERNATING",TRUE(),"Other")</f>
        <v>Other</v>
      </c>
      <c r="K2655" s="1" t="n">
        <f aca="false">RANK(E2655,$E$7:$E$4378)+COUNTIF($E$7:E2655,E2655)-1</f>
        <v>2953</v>
      </c>
    </row>
    <row r="2656" customFormat="false" ht="14.25" hidden="false" customHeight="true" outlineLevel="0" collapsed="false">
      <c r="A2656" s="51" t="n">
        <v>15923</v>
      </c>
      <c r="B2656" s="53" t="n">
        <v>40514.5111111111</v>
      </c>
      <c r="C2656" s="57" t="n">
        <f aca="false">INT($C$2)-INT(Table3[[#This Row],[Last Purchase Date]])</f>
        <v>373</v>
      </c>
      <c r="D2656" s="1" t="n">
        <v>1</v>
      </c>
      <c r="E2656" s="1" t="n">
        <v>127.08</v>
      </c>
      <c r="F2656" s="1" t="n">
        <f aca="false">ROUND((1-_xlfn.PERCENTRANK.INC($C$7:$C$4378,C2656))*9,0)</f>
        <v>0</v>
      </c>
      <c r="G2656" s="1" t="n">
        <f aca="false">ROUND(_xlfn.PERCENTRANK.INC($D$7:$D$4378,D2656)*9,0)</f>
        <v>0</v>
      </c>
      <c r="H2656" s="1" t="n">
        <f aca="false">ROUND(_xlfn.PERCENTRANK.INC($E$7:$E$4378,E2656)*9,0)</f>
        <v>1</v>
      </c>
      <c r="I2656" s="1" t="str">
        <f aca="false">CONCATENATE(F2656,G2656,H2656)</f>
        <v>001</v>
      </c>
      <c r="J2656" s="1" t="str">
        <f aca="false">_xlfn.IFS(AND(F2656&gt;=8,G2656&gt;=8,H2656&gt;=8),"CHAMPION",AND(F2656&gt;=6,G2656&gt;=7,H2656&gt;=6),"LOYAL CUSTOMER",AND(F2656&gt;=6,G2656&gt;=5,H2656&gt;=5),"POTENTIAL LOYALIST",AND(F2656&gt;=8,G2656&lt;=2,H2656&gt;=5),"NEW CUSTOMERS",AND(F2656&gt;=6,G2656&lt;=2,H2656&gt;=3),"PROMISING",AND(F2656&gt;=3,G2656&gt;=3,H2656&gt;=3),"NEED ATTENTION",AND(F2656&lt;=4,G2656&gt;=6,H2656&gt;=6),"AT RISK",AND(F2656&lt;=2,G2656&gt;=8,H2656&gt;=8),"CAN'T LOSE THEM",AND(F2656&lt;=2,G2656&lt;=2,H2656&lt;=2),"HIBERNATING",TRUE(),"Other")</f>
        <v>HIBERNATING</v>
      </c>
      <c r="K2656" s="1" t="n">
        <f aca="false">RANK(E2656,$E$7:$E$4378)+COUNTIF($E$7:E2656,E2656)-1</f>
        <v>4016</v>
      </c>
    </row>
    <row r="2657" customFormat="false" ht="14.25" hidden="false" customHeight="true" outlineLevel="0" collapsed="false">
      <c r="A2657" s="51" t="n">
        <v>15925</v>
      </c>
      <c r="B2657" s="53" t="n">
        <v>40692.6493055556</v>
      </c>
      <c r="C2657" s="57" t="n">
        <f aca="false">INT($C$2)-INT(Table3[[#This Row],[Last Purchase Date]])</f>
        <v>195</v>
      </c>
      <c r="D2657" s="1" t="n">
        <v>1</v>
      </c>
      <c r="E2657" s="1" t="n">
        <v>207.15</v>
      </c>
      <c r="F2657" s="1" t="n">
        <f aca="false">ROUND((1-_xlfn.PERCENTRANK.INC($C$7:$C$4378,C2657))*9,0)</f>
        <v>2</v>
      </c>
      <c r="G2657" s="1" t="n">
        <f aca="false">ROUND(_xlfn.PERCENTRANK.INC($D$7:$D$4378,D2657)*9,0)</f>
        <v>0</v>
      </c>
      <c r="H2657" s="1" t="n">
        <f aca="false">ROUND(_xlfn.PERCENTRANK.INC($E$7:$E$4378,E2657)*9,0)</f>
        <v>2</v>
      </c>
      <c r="I2657" s="1" t="str">
        <f aca="false">CONCATENATE(F2657,G2657,H2657)</f>
        <v>202</v>
      </c>
      <c r="J2657" s="1" t="str">
        <f aca="false">_xlfn.IFS(AND(F2657&gt;=8,G2657&gt;=8,H2657&gt;=8),"CHAMPION",AND(F2657&gt;=6,G2657&gt;=7,H2657&gt;=6),"LOYAL CUSTOMER",AND(F2657&gt;=6,G2657&gt;=5,H2657&gt;=5),"POTENTIAL LOYALIST",AND(F2657&gt;=8,G2657&lt;=2,H2657&gt;=5),"NEW CUSTOMERS",AND(F2657&gt;=6,G2657&lt;=2,H2657&gt;=3),"PROMISING",AND(F2657&gt;=3,G2657&gt;=3,H2657&gt;=3),"NEED ATTENTION",AND(F2657&lt;=4,G2657&gt;=6,H2657&gt;=6),"AT RISK",AND(F2657&lt;=2,G2657&gt;=8,H2657&gt;=8),"CAN'T LOSE THEM",AND(F2657&lt;=2,G2657&lt;=2,H2657&lt;=2),"HIBERNATING",TRUE(),"Other")</f>
        <v>HIBERNATING</v>
      </c>
      <c r="K2657" s="1" t="n">
        <f aca="false">RANK(E2657,$E$7:$E$4378)+COUNTIF($E$7:E2657,E2657)-1</f>
        <v>3627</v>
      </c>
    </row>
    <row r="2658" customFormat="false" ht="14.25" hidden="false" customHeight="true" outlineLevel="0" collapsed="false">
      <c r="A2658" s="51" t="n">
        <v>15930</v>
      </c>
      <c r="B2658" s="53" t="n">
        <v>40819.6194444444</v>
      </c>
      <c r="C2658" s="57" t="n">
        <f aca="false">INT($C$2)-INT(Table3[[#This Row],[Last Purchase Date]])</f>
        <v>68</v>
      </c>
      <c r="D2658" s="1" t="n">
        <v>1</v>
      </c>
      <c r="E2658" s="1" t="n">
        <v>426.63</v>
      </c>
      <c r="F2658" s="1" t="n">
        <f aca="false">ROUND((1-_xlfn.PERCENTRANK.INC($C$7:$C$4378,C2658))*9,0)</f>
        <v>4</v>
      </c>
      <c r="G2658" s="1" t="n">
        <f aca="false">ROUND(_xlfn.PERCENTRANK.INC($D$7:$D$4378,D2658)*9,0)</f>
        <v>0</v>
      </c>
      <c r="H2658" s="1" t="n">
        <f aca="false">ROUND(_xlfn.PERCENTRANK.INC($E$7:$E$4378,E2658)*9,0)</f>
        <v>3</v>
      </c>
      <c r="I2658" s="1" t="str">
        <f aca="false">CONCATENATE(F2658,G2658,H2658)</f>
        <v>403</v>
      </c>
      <c r="J2658" s="1" t="str">
        <f aca="false">_xlfn.IFS(AND(F2658&gt;=8,G2658&gt;=8,H2658&gt;=8),"CHAMPION",AND(F2658&gt;=6,G2658&gt;=7,H2658&gt;=6),"LOYAL CUSTOMER",AND(F2658&gt;=6,G2658&gt;=5,H2658&gt;=5),"POTENTIAL LOYALIST",AND(F2658&gt;=8,G2658&lt;=2,H2658&gt;=5),"NEW CUSTOMERS",AND(F2658&gt;=6,G2658&lt;=2,H2658&gt;=3),"PROMISING",AND(F2658&gt;=3,G2658&gt;=3,H2658&gt;=3),"NEED ATTENTION",AND(F2658&lt;=4,G2658&gt;=6,H2658&gt;=6),"AT RISK",AND(F2658&lt;=2,G2658&gt;=8,H2658&gt;=8),"CAN'T LOSE THEM",AND(F2658&lt;=2,G2658&lt;=2,H2658&lt;=2),"HIBERNATING",TRUE(),"Other")</f>
        <v>Other</v>
      </c>
      <c r="K2658" s="1" t="n">
        <f aca="false">RANK(E2658,$E$7:$E$4378)+COUNTIF($E$7:E2658,E2658)-1</f>
        <v>2735</v>
      </c>
    </row>
    <row r="2659" customFormat="false" ht="14.25" hidden="false" customHeight="true" outlineLevel="0" collapsed="false">
      <c r="A2659" s="51" t="n">
        <v>15932</v>
      </c>
      <c r="B2659" s="53" t="n">
        <v>40882.7173611111</v>
      </c>
      <c r="C2659" s="57" t="n">
        <f aca="false">INT($C$2)-INT(Table3[[#This Row],[Last Purchase Date]])</f>
        <v>5</v>
      </c>
      <c r="D2659" s="1" t="n">
        <v>11</v>
      </c>
      <c r="E2659" s="1" t="n">
        <v>2461.85</v>
      </c>
      <c r="F2659" s="1" t="n">
        <f aca="false">ROUND((1-_xlfn.PERCENTRANK.INC($C$7:$C$4378,C2659))*9,0)</f>
        <v>8</v>
      </c>
      <c r="G2659" s="1" t="n">
        <f aca="false">ROUND(_xlfn.PERCENTRANK.INC($D$7:$D$4378,D2659)*9,0)</f>
        <v>8</v>
      </c>
      <c r="H2659" s="1" t="n">
        <f aca="false">ROUND(_xlfn.PERCENTRANK.INC($E$7:$E$4378,E2659)*9,0)</f>
        <v>8</v>
      </c>
      <c r="I2659" s="1" t="str">
        <f aca="false">CONCATENATE(F2659,G2659,H2659)</f>
        <v>888</v>
      </c>
      <c r="J2659" s="1" t="str">
        <f aca="false">_xlfn.IFS(AND(F2659&gt;=8,G2659&gt;=8,H2659&gt;=8),"CHAMPION",AND(F2659&gt;=6,G2659&gt;=7,H2659&gt;=6),"LOYAL CUSTOMER",AND(F2659&gt;=6,G2659&gt;=5,H2659&gt;=5),"POTENTIAL LOYALIST",AND(F2659&gt;=8,G2659&lt;=2,H2659&gt;=5),"NEW CUSTOMERS",AND(F2659&gt;=6,G2659&lt;=2,H2659&gt;=3),"PROMISING",AND(F2659&gt;=3,G2659&gt;=3,H2659&gt;=3),"NEED ATTENTION",AND(F2659&lt;=4,G2659&gt;=6,H2659&gt;=6),"AT RISK",AND(F2659&lt;=2,G2659&gt;=8,H2659&gt;=8),"CAN'T LOSE THEM",AND(F2659&lt;=2,G2659&lt;=2,H2659&lt;=2),"HIBERNATING",TRUE(),"Other")</f>
        <v>CHAMPION</v>
      </c>
      <c r="K2659" s="1" t="n">
        <f aca="false">RANK(E2659,$E$7:$E$4378)+COUNTIF($E$7:E2659,E2659)-1</f>
        <v>695</v>
      </c>
    </row>
    <row r="2660" customFormat="false" ht="14.25" hidden="false" customHeight="true" outlineLevel="0" collapsed="false">
      <c r="A2660" s="51" t="n">
        <v>15933</v>
      </c>
      <c r="B2660" s="53" t="n">
        <v>40865.5513888889</v>
      </c>
      <c r="C2660" s="57" t="n">
        <f aca="false">INT($C$2)-INT(Table3[[#This Row],[Last Purchase Date]])</f>
        <v>22</v>
      </c>
      <c r="D2660" s="1" t="n">
        <v>3</v>
      </c>
      <c r="E2660" s="1" t="n">
        <v>1107.46</v>
      </c>
      <c r="F2660" s="1" t="n">
        <f aca="false">ROUND((1-_xlfn.PERCENTRANK.INC($C$7:$C$4378,C2660))*9,0)</f>
        <v>6</v>
      </c>
      <c r="G2660" s="1" t="n">
        <f aca="false">ROUND(_xlfn.PERCENTRANK.INC($D$7:$D$4378,D2660)*9,0)</f>
        <v>4</v>
      </c>
      <c r="H2660" s="1" t="n">
        <f aca="false">ROUND(_xlfn.PERCENTRANK.INC($E$7:$E$4378,E2660)*9,0)</f>
        <v>6</v>
      </c>
      <c r="I2660" s="1" t="str">
        <f aca="false">CONCATENATE(F2660,G2660,H2660)</f>
        <v>646</v>
      </c>
      <c r="J2660" s="1" t="str">
        <f aca="false">_xlfn.IFS(AND(F2660&gt;=8,G2660&gt;=8,H2660&gt;=8),"CHAMPION",AND(F2660&gt;=6,G2660&gt;=7,H2660&gt;=6),"LOYAL CUSTOMER",AND(F2660&gt;=6,G2660&gt;=5,H2660&gt;=5),"POTENTIAL LOYALIST",AND(F2660&gt;=8,G2660&lt;=2,H2660&gt;=5),"NEW CUSTOMERS",AND(F2660&gt;=6,G2660&lt;=2,H2660&gt;=3),"PROMISING",AND(F2660&gt;=3,G2660&gt;=3,H2660&gt;=3),"NEED ATTENTION",AND(F2660&lt;=4,G2660&gt;=6,H2660&gt;=6),"AT RISK",AND(F2660&lt;=2,G2660&gt;=8,H2660&gt;=8),"CAN'T LOSE THEM",AND(F2660&lt;=2,G2660&lt;=2,H2660&lt;=2),"HIBERNATING",TRUE(),"Other")</f>
        <v>NEED ATTENTION</v>
      </c>
      <c r="K2660" s="1" t="n">
        <f aca="false">RANK(E2660,$E$7:$E$4378)+COUNTIF($E$7:E2660,E2660)-1</f>
        <v>1502</v>
      </c>
    </row>
    <row r="2661" customFormat="false" ht="14.25" hidden="false" customHeight="true" outlineLevel="0" collapsed="false">
      <c r="A2661" s="51" t="n">
        <v>15935</v>
      </c>
      <c r="B2661" s="53" t="n">
        <v>40647.5604166667</v>
      </c>
      <c r="C2661" s="57" t="n">
        <f aca="false">INT($C$2)-INT(Table3[[#This Row],[Last Purchase Date]])</f>
        <v>240</v>
      </c>
      <c r="D2661" s="1" t="n">
        <v>2</v>
      </c>
      <c r="E2661" s="1" t="n">
        <v>416.86</v>
      </c>
      <c r="F2661" s="1" t="n">
        <f aca="false">ROUND((1-_xlfn.PERCENTRANK.INC($C$7:$C$4378,C2661))*9,0)</f>
        <v>1</v>
      </c>
      <c r="G2661" s="1" t="n">
        <f aca="false">ROUND(_xlfn.PERCENTRANK.INC($D$7:$D$4378,D2661)*9,0)</f>
        <v>3</v>
      </c>
      <c r="H2661" s="1" t="n">
        <f aca="false">ROUND(_xlfn.PERCENTRANK.INC($E$7:$E$4378,E2661)*9,0)</f>
        <v>3</v>
      </c>
      <c r="I2661" s="1" t="str">
        <f aca="false">CONCATENATE(F2661,G2661,H2661)</f>
        <v>133</v>
      </c>
      <c r="J2661" s="1" t="str">
        <f aca="false">_xlfn.IFS(AND(F2661&gt;=8,G2661&gt;=8,H2661&gt;=8),"CHAMPION",AND(F2661&gt;=6,G2661&gt;=7,H2661&gt;=6),"LOYAL CUSTOMER",AND(F2661&gt;=6,G2661&gt;=5,H2661&gt;=5),"POTENTIAL LOYALIST",AND(F2661&gt;=8,G2661&lt;=2,H2661&gt;=5),"NEW CUSTOMERS",AND(F2661&gt;=6,G2661&lt;=2,H2661&gt;=3),"PROMISING",AND(F2661&gt;=3,G2661&gt;=3,H2661&gt;=3),"NEED ATTENTION",AND(F2661&lt;=4,G2661&gt;=6,H2661&gt;=6),"AT RISK",AND(F2661&lt;=2,G2661&gt;=8,H2661&gt;=8),"CAN'T LOSE THEM",AND(F2661&lt;=2,G2661&lt;=2,H2661&lt;=2),"HIBERNATING",TRUE(),"Other")</f>
        <v>Other</v>
      </c>
      <c r="K2661" s="1" t="n">
        <f aca="false">RANK(E2661,$E$7:$E$4378)+COUNTIF($E$7:E2661,E2661)-1</f>
        <v>2765</v>
      </c>
    </row>
    <row r="2662" customFormat="false" ht="14.25" hidden="false" customHeight="true" outlineLevel="0" collapsed="false">
      <c r="A2662" s="51" t="n">
        <v>15937</v>
      </c>
      <c r="B2662" s="53" t="n">
        <v>40822.6583333333</v>
      </c>
      <c r="C2662" s="57" t="n">
        <f aca="false">INT($C$2)-INT(Table3[[#This Row],[Last Purchase Date]])</f>
        <v>65</v>
      </c>
      <c r="D2662" s="1" t="n">
        <v>1</v>
      </c>
      <c r="E2662" s="1" t="n">
        <v>145.35</v>
      </c>
      <c r="F2662" s="1" t="n">
        <f aca="false">ROUND((1-_xlfn.PERCENTRANK.INC($C$7:$C$4378,C2662))*9,0)</f>
        <v>4</v>
      </c>
      <c r="G2662" s="1" t="n">
        <f aca="false">ROUND(_xlfn.PERCENTRANK.INC($D$7:$D$4378,D2662)*9,0)</f>
        <v>0</v>
      </c>
      <c r="H2662" s="1" t="n">
        <f aca="false">ROUND(_xlfn.PERCENTRANK.INC($E$7:$E$4378,E2662)*9,0)</f>
        <v>1</v>
      </c>
      <c r="I2662" s="1" t="str">
        <f aca="false">CONCATENATE(F2662,G2662,H2662)</f>
        <v>401</v>
      </c>
      <c r="J2662" s="1" t="str">
        <f aca="false">_xlfn.IFS(AND(F2662&gt;=8,G2662&gt;=8,H2662&gt;=8),"CHAMPION",AND(F2662&gt;=6,G2662&gt;=7,H2662&gt;=6),"LOYAL CUSTOMER",AND(F2662&gt;=6,G2662&gt;=5,H2662&gt;=5),"POTENTIAL LOYALIST",AND(F2662&gt;=8,G2662&lt;=2,H2662&gt;=5),"NEW CUSTOMERS",AND(F2662&gt;=6,G2662&lt;=2,H2662&gt;=3),"PROMISING",AND(F2662&gt;=3,G2662&gt;=3,H2662&gt;=3),"NEED ATTENTION",AND(F2662&lt;=4,G2662&gt;=6,H2662&gt;=6),"AT RISK",AND(F2662&lt;=2,G2662&gt;=8,H2662&gt;=8),"CAN'T LOSE THEM",AND(F2662&lt;=2,G2662&lt;=2,H2662&lt;=2),"HIBERNATING",TRUE(),"Other")</f>
        <v>Other</v>
      </c>
      <c r="K2662" s="1" t="n">
        <f aca="false">RANK(E2662,$E$7:$E$4378)+COUNTIF($E$7:E2662,E2662)-1</f>
        <v>3938</v>
      </c>
    </row>
    <row r="2663" customFormat="false" ht="14.25" hidden="false" customHeight="true" outlineLevel="0" collapsed="false">
      <c r="A2663" s="51" t="n">
        <v>15938</v>
      </c>
      <c r="B2663" s="53" t="n">
        <v>40774.5388888889</v>
      </c>
      <c r="C2663" s="57" t="n">
        <f aca="false">INT($C$2)-INT(Table3[[#This Row],[Last Purchase Date]])</f>
        <v>113</v>
      </c>
      <c r="D2663" s="1" t="n">
        <v>5</v>
      </c>
      <c r="E2663" s="1" t="n">
        <v>404.58</v>
      </c>
      <c r="F2663" s="1" t="n">
        <f aca="false">ROUND((1-_xlfn.PERCENTRANK.INC($C$7:$C$4378,C2663))*9,0)</f>
        <v>3</v>
      </c>
      <c r="G2663" s="1" t="n">
        <f aca="false">ROUND(_xlfn.PERCENTRANK.INC($D$7:$D$4378,D2663)*9,0)</f>
        <v>6</v>
      </c>
      <c r="H2663" s="1" t="n">
        <f aca="false">ROUND(_xlfn.PERCENTRANK.INC($E$7:$E$4378,E2663)*9,0)</f>
        <v>3</v>
      </c>
      <c r="I2663" s="1" t="str">
        <f aca="false">CONCATENATE(F2663,G2663,H2663)</f>
        <v>363</v>
      </c>
      <c r="J2663" s="1" t="str">
        <f aca="false">_xlfn.IFS(AND(F2663&gt;=8,G2663&gt;=8,H2663&gt;=8),"CHAMPION",AND(F2663&gt;=6,G2663&gt;=7,H2663&gt;=6),"LOYAL CUSTOMER",AND(F2663&gt;=6,G2663&gt;=5,H2663&gt;=5),"POTENTIAL LOYALIST",AND(F2663&gt;=8,G2663&lt;=2,H2663&gt;=5),"NEW CUSTOMERS",AND(F2663&gt;=6,G2663&lt;=2,H2663&gt;=3),"PROMISING",AND(F2663&gt;=3,G2663&gt;=3,H2663&gt;=3),"NEED ATTENTION",AND(F2663&lt;=4,G2663&gt;=6,H2663&gt;=6),"AT RISK",AND(F2663&lt;=2,G2663&gt;=8,H2663&gt;=8),"CAN'T LOSE THEM",AND(F2663&lt;=2,G2663&lt;=2,H2663&lt;=2),"HIBERNATING",TRUE(),"Other")</f>
        <v>NEED ATTENTION</v>
      </c>
      <c r="K2663" s="1" t="n">
        <f aca="false">RANK(E2663,$E$7:$E$4378)+COUNTIF($E$7:E2663,E2663)-1</f>
        <v>2809</v>
      </c>
    </row>
    <row r="2664" customFormat="false" ht="14.25" hidden="false" customHeight="true" outlineLevel="0" collapsed="false">
      <c r="A2664" s="51" t="n">
        <v>15939</v>
      </c>
      <c r="B2664" s="53" t="n">
        <v>40797.4791666667</v>
      </c>
      <c r="C2664" s="57" t="n">
        <f aca="false">INT($C$2)-INT(Table3[[#This Row],[Last Purchase Date]])</f>
        <v>90</v>
      </c>
      <c r="D2664" s="1" t="n">
        <v>16</v>
      </c>
      <c r="E2664" s="1" t="n">
        <v>6102.26</v>
      </c>
      <c r="F2664" s="1" t="n">
        <f aca="false">ROUND((1-_xlfn.PERCENTRANK.INC($C$7:$C$4378,C2664))*9,0)</f>
        <v>3</v>
      </c>
      <c r="G2664" s="1" t="n">
        <f aca="false">ROUND(_xlfn.PERCENTRANK.INC($D$7:$D$4378,D2664)*9,0)</f>
        <v>9</v>
      </c>
      <c r="H2664" s="1" t="n">
        <f aca="false">ROUND(_xlfn.PERCENTRANK.INC($E$7:$E$4378,E2664)*9,0)</f>
        <v>9</v>
      </c>
      <c r="I2664" s="1" t="str">
        <f aca="false">CONCATENATE(F2664,G2664,H2664)</f>
        <v>399</v>
      </c>
      <c r="J2664" s="1" t="str">
        <f aca="false">_xlfn.IFS(AND(F2664&gt;=8,G2664&gt;=8,H2664&gt;=8),"CHAMPION",AND(F2664&gt;=6,G2664&gt;=7,H2664&gt;=6),"LOYAL CUSTOMER",AND(F2664&gt;=6,G2664&gt;=5,H2664&gt;=5),"POTENTIAL LOYALIST",AND(F2664&gt;=8,G2664&lt;=2,H2664&gt;=5),"NEW CUSTOMERS",AND(F2664&gt;=6,G2664&lt;=2,H2664&gt;=3),"PROMISING",AND(F2664&gt;=3,G2664&gt;=3,H2664&gt;=3),"NEED ATTENTION",AND(F2664&lt;=4,G2664&gt;=6,H2664&gt;=6),"AT RISK",AND(F2664&lt;=2,G2664&gt;=8,H2664&gt;=8),"CAN'T LOSE THEM",AND(F2664&lt;=2,G2664&lt;=2,H2664&lt;=2),"HIBERNATING",TRUE(),"Other")</f>
        <v>NEED ATTENTION</v>
      </c>
      <c r="K2664" s="1" t="n">
        <f aca="false">RANK(E2664,$E$7:$E$4378)+COUNTIF($E$7:E2664,E2664)-1</f>
        <v>197</v>
      </c>
    </row>
    <row r="2665" customFormat="false" ht="14.25" hidden="false" customHeight="true" outlineLevel="0" collapsed="false">
      <c r="A2665" s="51" t="n">
        <v>15940</v>
      </c>
      <c r="B2665" s="53" t="n">
        <v>40575.68125</v>
      </c>
      <c r="C2665" s="57" t="n">
        <f aca="false">INT($C$2)-INT(Table3[[#This Row],[Last Purchase Date]])</f>
        <v>312</v>
      </c>
      <c r="D2665" s="1" t="n">
        <v>2</v>
      </c>
      <c r="E2665" s="1" t="n">
        <v>31.8</v>
      </c>
      <c r="F2665" s="1" t="n">
        <f aca="false">ROUND((1-_xlfn.PERCENTRANK.INC($C$7:$C$4378,C2665))*9,0)</f>
        <v>0</v>
      </c>
      <c r="G2665" s="1" t="n">
        <f aca="false">ROUND(_xlfn.PERCENTRANK.INC($D$7:$D$4378,D2665)*9,0)</f>
        <v>3</v>
      </c>
      <c r="H2665" s="1" t="n">
        <f aca="false">ROUND(_xlfn.PERCENTRANK.INC($E$7:$E$4378,E2665)*9,0)</f>
        <v>0</v>
      </c>
      <c r="I2665" s="1" t="str">
        <f aca="false">CONCATENATE(F2665,G2665,H2665)</f>
        <v>030</v>
      </c>
      <c r="J2665" s="1" t="str">
        <f aca="false">_xlfn.IFS(AND(F2665&gt;=8,G2665&gt;=8,H2665&gt;=8),"CHAMPION",AND(F2665&gt;=6,G2665&gt;=7,H2665&gt;=6),"LOYAL CUSTOMER",AND(F2665&gt;=6,G2665&gt;=5,H2665&gt;=5),"POTENTIAL LOYALIST",AND(F2665&gt;=8,G2665&lt;=2,H2665&gt;=5),"NEW CUSTOMERS",AND(F2665&gt;=6,G2665&lt;=2,H2665&gt;=3),"PROMISING",AND(F2665&gt;=3,G2665&gt;=3,H2665&gt;=3),"NEED ATTENTION",AND(F2665&lt;=4,G2665&gt;=6,H2665&gt;=6),"AT RISK",AND(F2665&lt;=2,G2665&gt;=8,H2665&gt;=8),"CAN'T LOSE THEM",AND(F2665&lt;=2,G2665&lt;=2,H2665&lt;=2),"HIBERNATING",TRUE(),"Other")</f>
        <v>Other</v>
      </c>
      <c r="K2665" s="1" t="n">
        <f aca="false">RANK(E2665,$E$7:$E$4378)+COUNTIF($E$7:E2665,E2665)-1</f>
        <v>4305</v>
      </c>
    </row>
    <row r="2666" customFormat="false" ht="14.25" hidden="false" customHeight="true" outlineLevel="0" collapsed="false">
      <c r="A2666" s="51" t="n">
        <v>15942</v>
      </c>
      <c r="B2666" s="53" t="n">
        <v>40753.3756944445</v>
      </c>
      <c r="C2666" s="57" t="n">
        <f aca="false">INT($C$2)-INT(Table3[[#This Row],[Last Purchase Date]])</f>
        <v>134</v>
      </c>
      <c r="D2666" s="1" t="n">
        <v>1</v>
      </c>
      <c r="E2666" s="1" t="n">
        <v>337.44</v>
      </c>
      <c r="F2666" s="1" t="n">
        <f aca="false">ROUND((1-_xlfn.PERCENTRANK.INC($C$7:$C$4378,C2666))*9,0)</f>
        <v>2</v>
      </c>
      <c r="G2666" s="1" t="n">
        <f aca="false">ROUND(_xlfn.PERCENTRANK.INC($D$7:$D$4378,D2666)*9,0)</f>
        <v>0</v>
      </c>
      <c r="H2666" s="1" t="n">
        <f aca="false">ROUND(_xlfn.PERCENTRANK.INC($E$7:$E$4378,E2666)*9,0)</f>
        <v>3</v>
      </c>
      <c r="I2666" s="1" t="str">
        <f aca="false">CONCATENATE(F2666,G2666,H2666)</f>
        <v>203</v>
      </c>
      <c r="J2666" s="1" t="str">
        <f aca="false">_xlfn.IFS(AND(F2666&gt;=8,G2666&gt;=8,H2666&gt;=8),"CHAMPION",AND(F2666&gt;=6,G2666&gt;=7,H2666&gt;=6),"LOYAL CUSTOMER",AND(F2666&gt;=6,G2666&gt;=5,H2666&gt;=5),"POTENTIAL LOYALIST",AND(F2666&gt;=8,G2666&lt;=2,H2666&gt;=5),"NEW CUSTOMERS",AND(F2666&gt;=6,G2666&lt;=2,H2666&gt;=3),"PROMISING",AND(F2666&gt;=3,G2666&gt;=3,H2666&gt;=3),"NEED ATTENTION",AND(F2666&lt;=4,G2666&gt;=6,H2666&gt;=6),"AT RISK",AND(F2666&lt;=2,G2666&gt;=8,H2666&gt;=8),"CAN'T LOSE THEM",AND(F2666&lt;=2,G2666&lt;=2,H2666&lt;=2),"HIBERNATING",TRUE(),"Other")</f>
        <v>Other</v>
      </c>
      <c r="K2666" s="1" t="n">
        <f aca="false">RANK(E2666,$E$7:$E$4378)+COUNTIF($E$7:E2666,E2666)-1</f>
        <v>3060</v>
      </c>
    </row>
    <row r="2667" customFormat="false" ht="14.25" hidden="false" customHeight="true" outlineLevel="0" collapsed="false">
      <c r="A2667" s="51" t="n">
        <v>15944</v>
      </c>
      <c r="B2667" s="53" t="n">
        <v>40610.4395833333</v>
      </c>
      <c r="C2667" s="57" t="n">
        <f aca="false">INT($C$2)-INT(Table3[[#This Row],[Last Purchase Date]])</f>
        <v>277</v>
      </c>
      <c r="D2667" s="1" t="n">
        <v>1</v>
      </c>
      <c r="E2667" s="1" t="n">
        <v>325.1</v>
      </c>
      <c r="F2667" s="1" t="n">
        <f aca="false">ROUND((1-_xlfn.PERCENTRANK.INC($C$7:$C$4378,C2667))*9,0)</f>
        <v>1</v>
      </c>
      <c r="G2667" s="1" t="n">
        <f aca="false">ROUND(_xlfn.PERCENTRANK.INC($D$7:$D$4378,D2667)*9,0)</f>
        <v>0</v>
      </c>
      <c r="H2667" s="1" t="n">
        <f aca="false">ROUND(_xlfn.PERCENTRANK.INC($E$7:$E$4378,E2667)*9,0)</f>
        <v>3</v>
      </c>
      <c r="I2667" s="1" t="str">
        <f aca="false">CONCATENATE(F2667,G2667,H2667)</f>
        <v>103</v>
      </c>
      <c r="J2667" s="1" t="str">
        <f aca="false">_xlfn.IFS(AND(F2667&gt;=8,G2667&gt;=8,H2667&gt;=8),"CHAMPION",AND(F2667&gt;=6,G2667&gt;=7,H2667&gt;=6),"LOYAL CUSTOMER",AND(F2667&gt;=6,G2667&gt;=5,H2667&gt;=5),"POTENTIAL LOYALIST",AND(F2667&gt;=8,G2667&lt;=2,H2667&gt;=5),"NEW CUSTOMERS",AND(F2667&gt;=6,G2667&lt;=2,H2667&gt;=3),"PROMISING",AND(F2667&gt;=3,G2667&gt;=3,H2667&gt;=3),"NEED ATTENTION",AND(F2667&lt;=4,G2667&gt;=6,H2667&gt;=6),"AT RISK",AND(F2667&lt;=2,G2667&gt;=8,H2667&gt;=8),"CAN'T LOSE THEM",AND(F2667&lt;=2,G2667&lt;=2,H2667&lt;=2),"HIBERNATING",TRUE(),"Other")</f>
        <v>Other</v>
      </c>
      <c r="K2667" s="1" t="n">
        <f aca="false">RANK(E2667,$E$7:$E$4378)+COUNTIF($E$7:E2667,E2667)-1</f>
        <v>3116</v>
      </c>
    </row>
    <row r="2668" customFormat="false" ht="14.25" hidden="false" customHeight="true" outlineLevel="0" collapsed="false">
      <c r="A2668" s="51" t="n">
        <v>15945</v>
      </c>
      <c r="B2668" s="53" t="n">
        <v>40521.5513888889</v>
      </c>
      <c r="C2668" s="57" t="n">
        <f aca="false">INT($C$2)-INT(Table3[[#This Row],[Last Purchase Date]])</f>
        <v>366</v>
      </c>
      <c r="D2668" s="1" t="n">
        <v>1</v>
      </c>
      <c r="E2668" s="1" t="n">
        <v>181</v>
      </c>
      <c r="F2668" s="1" t="n">
        <f aca="false">ROUND((1-_xlfn.PERCENTRANK.INC($C$7:$C$4378,C2668))*9,0)</f>
        <v>0</v>
      </c>
      <c r="G2668" s="1" t="n">
        <f aca="false">ROUND(_xlfn.PERCENTRANK.INC($D$7:$D$4378,D2668)*9,0)</f>
        <v>0</v>
      </c>
      <c r="H2668" s="1" t="n">
        <f aca="false">ROUND(_xlfn.PERCENTRANK.INC($E$7:$E$4378,E2668)*9,0)</f>
        <v>1</v>
      </c>
      <c r="I2668" s="1" t="str">
        <f aca="false">CONCATENATE(F2668,G2668,H2668)</f>
        <v>001</v>
      </c>
      <c r="J2668" s="1" t="str">
        <f aca="false">_xlfn.IFS(AND(F2668&gt;=8,G2668&gt;=8,H2668&gt;=8),"CHAMPION",AND(F2668&gt;=6,G2668&gt;=7,H2668&gt;=6),"LOYAL CUSTOMER",AND(F2668&gt;=6,G2668&gt;=5,H2668&gt;=5),"POTENTIAL LOYALIST",AND(F2668&gt;=8,G2668&lt;=2,H2668&gt;=5),"NEW CUSTOMERS",AND(F2668&gt;=6,G2668&lt;=2,H2668&gt;=3),"PROMISING",AND(F2668&gt;=3,G2668&gt;=3,H2668&gt;=3),"NEED ATTENTION",AND(F2668&lt;=4,G2668&gt;=6,H2668&gt;=6),"AT RISK",AND(F2668&lt;=2,G2668&gt;=8,H2668&gt;=8),"CAN'T LOSE THEM",AND(F2668&lt;=2,G2668&lt;=2,H2668&lt;=2),"HIBERNATING",TRUE(),"Other")</f>
        <v>HIBERNATING</v>
      </c>
      <c r="K2668" s="1" t="n">
        <f aca="false">RANK(E2668,$E$7:$E$4378)+COUNTIF($E$7:E2668,E2668)-1</f>
        <v>3745</v>
      </c>
    </row>
    <row r="2669" customFormat="false" ht="14.25" hidden="false" customHeight="true" outlineLevel="0" collapsed="false">
      <c r="A2669" s="51" t="n">
        <v>15947</v>
      </c>
      <c r="B2669" s="53" t="n">
        <v>40804.4486111111</v>
      </c>
      <c r="C2669" s="57" t="n">
        <f aca="false">INT($C$2)-INT(Table3[[#This Row],[Last Purchase Date]])</f>
        <v>83</v>
      </c>
      <c r="D2669" s="1" t="n">
        <v>1</v>
      </c>
      <c r="E2669" s="1" t="n">
        <v>1708.24</v>
      </c>
      <c r="F2669" s="1" t="n">
        <f aca="false">ROUND((1-_xlfn.PERCENTRANK.INC($C$7:$C$4378,C2669))*9,0)</f>
        <v>3</v>
      </c>
      <c r="G2669" s="1" t="n">
        <f aca="false">ROUND(_xlfn.PERCENTRANK.INC($D$7:$D$4378,D2669)*9,0)</f>
        <v>0</v>
      </c>
      <c r="H2669" s="1" t="n">
        <f aca="false">ROUND(_xlfn.PERCENTRANK.INC($E$7:$E$4378,E2669)*9,0)</f>
        <v>7</v>
      </c>
      <c r="I2669" s="1" t="str">
        <f aca="false">CONCATENATE(F2669,G2669,H2669)</f>
        <v>307</v>
      </c>
      <c r="J2669" s="1" t="str">
        <f aca="false">_xlfn.IFS(AND(F2669&gt;=8,G2669&gt;=8,H2669&gt;=8),"CHAMPION",AND(F2669&gt;=6,G2669&gt;=7,H2669&gt;=6),"LOYAL CUSTOMER",AND(F2669&gt;=6,G2669&gt;=5,H2669&gt;=5),"POTENTIAL LOYALIST",AND(F2669&gt;=8,G2669&lt;=2,H2669&gt;=5),"NEW CUSTOMERS",AND(F2669&gt;=6,G2669&lt;=2,H2669&gt;=3),"PROMISING",AND(F2669&gt;=3,G2669&gt;=3,H2669&gt;=3),"NEED ATTENTION",AND(F2669&lt;=4,G2669&gt;=6,H2669&gt;=6),"AT RISK",AND(F2669&lt;=2,G2669&gt;=8,H2669&gt;=8),"CAN'T LOSE THEM",AND(F2669&lt;=2,G2669&lt;=2,H2669&lt;=2),"HIBERNATING",TRUE(),"Other")</f>
        <v>Other</v>
      </c>
      <c r="K2669" s="1" t="n">
        <f aca="false">RANK(E2669,$E$7:$E$4378)+COUNTIF($E$7:E2669,E2669)-1</f>
        <v>1030</v>
      </c>
    </row>
    <row r="2670" customFormat="false" ht="14.25" hidden="false" customHeight="true" outlineLevel="0" collapsed="false">
      <c r="A2670" s="51" t="n">
        <v>15948</v>
      </c>
      <c r="B2670" s="53" t="n">
        <v>40878.6472222222</v>
      </c>
      <c r="C2670" s="57" t="n">
        <f aca="false">INT($C$2)-INT(Table3[[#This Row],[Last Purchase Date]])</f>
        <v>9</v>
      </c>
      <c r="D2670" s="1" t="n">
        <v>2</v>
      </c>
      <c r="E2670" s="1" t="n">
        <v>955.24</v>
      </c>
      <c r="F2670" s="1" t="n">
        <f aca="false">ROUND((1-_xlfn.PERCENTRANK.INC($C$7:$C$4378,C2670))*9,0)</f>
        <v>8</v>
      </c>
      <c r="G2670" s="1" t="n">
        <f aca="false">ROUND(_xlfn.PERCENTRANK.INC($D$7:$D$4378,D2670)*9,0)</f>
        <v>3</v>
      </c>
      <c r="H2670" s="1" t="n">
        <f aca="false">ROUND(_xlfn.PERCENTRANK.INC($E$7:$E$4378,E2670)*9,0)</f>
        <v>6</v>
      </c>
      <c r="I2670" s="1" t="str">
        <f aca="false">CONCATENATE(F2670,G2670,H2670)</f>
        <v>836</v>
      </c>
      <c r="J2670" s="1" t="str">
        <f aca="false">_xlfn.IFS(AND(F2670&gt;=8,G2670&gt;=8,H2670&gt;=8),"CHAMPION",AND(F2670&gt;=6,G2670&gt;=7,H2670&gt;=6),"LOYAL CUSTOMER",AND(F2670&gt;=6,G2670&gt;=5,H2670&gt;=5),"POTENTIAL LOYALIST",AND(F2670&gt;=8,G2670&lt;=2,H2670&gt;=5),"NEW CUSTOMERS",AND(F2670&gt;=6,G2670&lt;=2,H2670&gt;=3),"PROMISING",AND(F2670&gt;=3,G2670&gt;=3,H2670&gt;=3),"NEED ATTENTION",AND(F2670&lt;=4,G2670&gt;=6,H2670&gt;=6),"AT RISK",AND(F2670&lt;=2,G2670&gt;=8,H2670&gt;=8),"CAN'T LOSE THEM",AND(F2670&lt;=2,G2670&lt;=2,H2670&lt;=2),"HIBERNATING",TRUE(),"Other")</f>
        <v>NEED ATTENTION</v>
      </c>
      <c r="K2670" s="1" t="n">
        <f aca="false">RANK(E2670,$E$7:$E$4378)+COUNTIF($E$7:E2670,E2670)-1</f>
        <v>1691</v>
      </c>
    </row>
    <row r="2671" customFormat="false" ht="14.25" hidden="false" customHeight="true" outlineLevel="0" collapsed="false">
      <c r="A2671" s="51" t="n">
        <v>15949</v>
      </c>
      <c r="B2671" s="53" t="n">
        <v>40870.38125</v>
      </c>
      <c r="C2671" s="57" t="n">
        <f aca="false">INT($C$2)-INT(Table3[[#This Row],[Last Purchase Date]])</f>
        <v>17</v>
      </c>
      <c r="D2671" s="1" t="n">
        <v>2</v>
      </c>
      <c r="E2671" s="1" t="n">
        <v>364.72</v>
      </c>
      <c r="F2671" s="1" t="n">
        <f aca="false">ROUND((1-_xlfn.PERCENTRANK.INC($C$7:$C$4378,C2671))*9,0)</f>
        <v>7</v>
      </c>
      <c r="G2671" s="1" t="n">
        <f aca="false">ROUND(_xlfn.PERCENTRANK.INC($D$7:$D$4378,D2671)*9,0)</f>
        <v>3</v>
      </c>
      <c r="H2671" s="1" t="n">
        <f aca="false">ROUND(_xlfn.PERCENTRANK.INC($E$7:$E$4378,E2671)*9,0)</f>
        <v>3</v>
      </c>
      <c r="I2671" s="1" t="str">
        <f aca="false">CONCATENATE(F2671,G2671,H2671)</f>
        <v>733</v>
      </c>
      <c r="J2671" s="1" t="str">
        <f aca="false">_xlfn.IFS(AND(F2671&gt;=8,G2671&gt;=8,H2671&gt;=8),"CHAMPION",AND(F2671&gt;=6,G2671&gt;=7,H2671&gt;=6),"LOYAL CUSTOMER",AND(F2671&gt;=6,G2671&gt;=5,H2671&gt;=5),"POTENTIAL LOYALIST",AND(F2671&gt;=8,G2671&lt;=2,H2671&gt;=5),"NEW CUSTOMERS",AND(F2671&gt;=6,G2671&lt;=2,H2671&gt;=3),"PROMISING",AND(F2671&gt;=3,G2671&gt;=3,H2671&gt;=3),"NEED ATTENTION",AND(F2671&lt;=4,G2671&gt;=6,H2671&gt;=6),"AT RISK",AND(F2671&lt;=2,G2671&gt;=8,H2671&gt;=8),"CAN'T LOSE THEM",AND(F2671&lt;=2,G2671&lt;=2,H2671&lt;=2),"HIBERNATING",TRUE(),"Other")</f>
        <v>NEED ATTENTION</v>
      </c>
      <c r="K2671" s="1" t="n">
        <f aca="false">RANK(E2671,$E$7:$E$4378)+COUNTIF($E$7:E2671,E2671)-1</f>
        <v>2940</v>
      </c>
    </row>
    <row r="2672" customFormat="false" ht="14.25" hidden="false" customHeight="true" outlineLevel="0" collapsed="false">
      <c r="A2672" s="51" t="n">
        <v>15950</v>
      </c>
      <c r="B2672" s="53" t="n">
        <v>40885.4402777778</v>
      </c>
      <c r="C2672" s="57" t="n">
        <f aca="false">INT($C$2)-INT(Table3[[#This Row],[Last Purchase Date]])</f>
        <v>2</v>
      </c>
      <c r="D2672" s="1" t="n">
        <v>5</v>
      </c>
      <c r="E2672" s="1" t="n">
        <v>1705.26</v>
      </c>
      <c r="F2672" s="1" t="n">
        <f aca="false">ROUND((1-_xlfn.PERCENTRANK.INC($C$7:$C$4378,C2672))*9,0)</f>
        <v>9</v>
      </c>
      <c r="G2672" s="1" t="n">
        <f aca="false">ROUND(_xlfn.PERCENTRANK.INC($D$7:$D$4378,D2672)*9,0)</f>
        <v>6</v>
      </c>
      <c r="H2672" s="1" t="n">
        <f aca="false">ROUND(_xlfn.PERCENTRANK.INC($E$7:$E$4378,E2672)*9,0)</f>
        <v>7</v>
      </c>
      <c r="I2672" s="1" t="str">
        <f aca="false">CONCATENATE(F2672,G2672,H2672)</f>
        <v>967</v>
      </c>
      <c r="J2672" s="1" t="str">
        <f aca="false">_xlfn.IFS(AND(F2672&gt;=8,G2672&gt;=8,H2672&gt;=8),"CHAMPION",AND(F2672&gt;=6,G2672&gt;=7,H2672&gt;=6),"LOYAL CUSTOMER",AND(F2672&gt;=6,G2672&gt;=5,H2672&gt;=5),"POTENTIAL LOYALIST",AND(F2672&gt;=8,G2672&lt;=2,H2672&gt;=5),"NEW CUSTOMERS",AND(F2672&gt;=6,G2672&lt;=2,H2672&gt;=3),"PROMISING",AND(F2672&gt;=3,G2672&gt;=3,H2672&gt;=3),"NEED ATTENTION",AND(F2672&lt;=4,G2672&gt;=6,H2672&gt;=6),"AT RISK",AND(F2672&lt;=2,G2672&gt;=8,H2672&gt;=8),"CAN'T LOSE THEM",AND(F2672&lt;=2,G2672&lt;=2,H2672&lt;=2),"HIBERNATING",TRUE(),"Other")</f>
        <v>POTENTIAL LOYALIST</v>
      </c>
      <c r="K2672" s="1" t="n">
        <f aca="false">RANK(E2672,$E$7:$E$4378)+COUNTIF($E$7:E2672,E2672)-1</f>
        <v>1035</v>
      </c>
    </row>
    <row r="2673" customFormat="false" ht="14.25" hidden="false" customHeight="true" outlineLevel="0" collapsed="false">
      <c r="A2673" s="51" t="n">
        <v>15951</v>
      </c>
      <c r="B2673" s="53" t="n">
        <v>40885.7895833333</v>
      </c>
      <c r="C2673" s="57" t="n">
        <f aca="false">INT($C$2)-INT(Table3[[#This Row],[Last Purchase Date]])</f>
        <v>2</v>
      </c>
      <c r="D2673" s="1" t="n">
        <v>3</v>
      </c>
      <c r="E2673" s="1" t="n">
        <v>669.57</v>
      </c>
      <c r="F2673" s="1" t="n">
        <f aca="false">ROUND((1-_xlfn.PERCENTRANK.INC($C$7:$C$4378,C2673))*9,0)</f>
        <v>9</v>
      </c>
      <c r="G2673" s="1" t="n">
        <f aca="false">ROUND(_xlfn.PERCENTRANK.INC($D$7:$D$4378,D2673)*9,0)</f>
        <v>4</v>
      </c>
      <c r="H2673" s="1" t="n">
        <f aca="false">ROUND(_xlfn.PERCENTRANK.INC($E$7:$E$4378,E2673)*9,0)</f>
        <v>5</v>
      </c>
      <c r="I2673" s="1" t="str">
        <f aca="false">CONCATENATE(F2673,G2673,H2673)</f>
        <v>945</v>
      </c>
      <c r="J2673" s="1" t="str">
        <f aca="false">_xlfn.IFS(AND(F2673&gt;=8,G2673&gt;=8,H2673&gt;=8),"CHAMPION",AND(F2673&gt;=6,G2673&gt;=7,H2673&gt;=6),"LOYAL CUSTOMER",AND(F2673&gt;=6,G2673&gt;=5,H2673&gt;=5),"POTENTIAL LOYALIST",AND(F2673&gt;=8,G2673&lt;=2,H2673&gt;=5),"NEW CUSTOMERS",AND(F2673&gt;=6,G2673&lt;=2,H2673&gt;=3),"PROMISING",AND(F2673&gt;=3,G2673&gt;=3,H2673&gt;=3),"NEED ATTENTION",AND(F2673&lt;=4,G2673&gt;=6,H2673&gt;=6),"AT RISK",AND(F2673&lt;=2,G2673&gt;=8,H2673&gt;=8),"CAN'T LOSE THEM",AND(F2673&lt;=2,G2673&lt;=2,H2673&lt;=2),"HIBERNATING",TRUE(),"Other")</f>
        <v>NEED ATTENTION</v>
      </c>
      <c r="K2673" s="1" t="n">
        <f aca="false">RANK(E2673,$E$7:$E$4378)+COUNTIF($E$7:E2673,E2673)-1</f>
        <v>2128</v>
      </c>
    </row>
    <row r="2674" customFormat="false" ht="14.25" hidden="false" customHeight="true" outlineLevel="0" collapsed="false">
      <c r="A2674" s="51" t="n">
        <v>15952</v>
      </c>
      <c r="B2674" s="53" t="n">
        <v>40853.4708333333</v>
      </c>
      <c r="C2674" s="57" t="n">
        <f aca="false">INT($C$2)-INT(Table3[[#This Row],[Last Purchase Date]])</f>
        <v>34</v>
      </c>
      <c r="D2674" s="1" t="n">
        <v>4</v>
      </c>
      <c r="E2674" s="1" t="n">
        <v>806.57</v>
      </c>
      <c r="F2674" s="1" t="n">
        <f aca="false">ROUND((1-_xlfn.PERCENTRANK.INC($C$7:$C$4378,C2674))*9,0)</f>
        <v>5</v>
      </c>
      <c r="G2674" s="1" t="n">
        <f aca="false">ROUND(_xlfn.PERCENTRANK.INC($D$7:$D$4378,D2674)*9,0)</f>
        <v>5</v>
      </c>
      <c r="H2674" s="1" t="n">
        <f aca="false">ROUND(_xlfn.PERCENTRANK.INC($E$7:$E$4378,E2674)*9,0)</f>
        <v>5</v>
      </c>
      <c r="I2674" s="1" t="str">
        <f aca="false">CONCATENATE(F2674,G2674,H2674)</f>
        <v>555</v>
      </c>
      <c r="J2674" s="1" t="str">
        <f aca="false">_xlfn.IFS(AND(F2674&gt;=8,G2674&gt;=8,H2674&gt;=8),"CHAMPION",AND(F2674&gt;=6,G2674&gt;=7,H2674&gt;=6),"LOYAL CUSTOMER",AND(F2674&gt;=6,G2674&gt;=5,H2674&gt;=5),"POTENTIAL LOYALIST",AND(F2674&gt;=8,G2674&lt;=2,H2674&gt;=5),"NEW CUSTOMERS",AND(F2674&gt;=6,G2674&lt;=2,H2674&gt;=3),"PROMISING",AND(F2674&gt;=3,G2674&gt;=3,H2674&gt;=3),"NEED ATTENTION",AND(F2674&lt;=4,G2674&gt;=6,H2674&gt;=6),"AT RISK",AND(F2674&lt;=2,G2674&gt;=8,H2674&gt;=8),"CAN'T LOSE THEM",AND(F2674&lt;=2,G2674&lt;=2,H2674&lt;=2),"HIBERNATING",TRUE(),"Other")</f>
        <v>NEED ATTENTION</v>
      </c>
      <c r="K2674" s="1" t="n">
        <f aca="false">RANK(E2674,$E$7:$E$4378)+COUNTIF($E$7:E2674,E2674)-1</f>
        <v>1888</v>
      </c>
    </row>
    <row r="2675" customFormat="false" ht="14.25" hidden="false" customHeight="true" outlineLevel="0" collapsed="false">
      <c r="A2675" s="51" t="n">
        <v>15953</v>
      </c>
      <c r="B2675" s="53" t="n">
        <v>40871.6472222222</v>
      </c>
      <c r="C2675" s="57" t="n">
        <f aca="false">INT($C$2)-INT(Table3[[#This Row],[Last Purchase Date]])</f>
        <v>16</v>
      </c>
      <c r="D2675" s="1" t="n">
        <v>10</v>
      </c>
      <c r="E2675" s="1" t="n">
        <v>1634.53</v>
      </c>
      <c r="F2675" s="1" t="n">
        <f aca="false">ROUND((1-_xlfn.PERCENTRANK.INC($C$7:$C$4378,C2675))*9,0)</f>
        <v>7</v>
      </c>
      <c r="G2675" s="1" t="n">
        <f aca="false">ROUND(_xlfn.PERCENTRANK.INC($D$7:$D$4378,D2675)*9,0)</f>
        <v>8</v>
      </c>
      <c r="H2675" s="1" t="n">
        <f aca="false">ROUND(_xlfn.PERCENTRANK.INC($E$7:$E$4378,E2675)*9,0)</f>
        <v>7</v>
      </c>
      <c r="I2675" s="1" t="str">
        <f aca="false">CONCATENATE(F2675,G2675,H2675)</f>
        <v>787</v>
      </c>
      <c r="J2675" s="1" t="str">
        <f aca="false">_xlfn.IFS(AND(F2675&gt;=8,G2675&gt;=8,H2675&gt;=8),"CHAMPION",AND(F2675&gt;=6,G2675&gt;=7,H2675&gt;=6),"LOYAL CUSTOMER",AND(F2675&gt;=6,G2675&gt;=5,H2675&gt;=5),"POTENTIAL LOYALIST",AND(F2675&gt;=8,G2675&lt;=2,H2675&gt;=5),"NEW CUSTOMERS",AND(F2675&gt;=6,G2675&lt;=2,H2675&gt;=3),"PROMISING",AND(F2675&gt;=3,G2675&gt;=3,H2675&gt;=3),"NEED ATTENTION",AND(F2675&lt;=4,G2675&gt;=6,H2675&gt;=6),"AT RISK",AND(F2675&lt;=2,G2675&gt;=8,H2675&gt;=8),"CAN'T LOSE THEM",AND(F2675&lt;=2,G2675&lt;=2,H2675&lt;=2),"HIBERNATING",TRUE(),"Other")</f>
        <v>LOYAL CUSTOMER</v>
      </c>
      <c r="K2675" s="1" t="n">
        <f aca="false">RANK(E2675,$E$7:$E$4378)+COUNTIF($E$7:E2675,E2675)-1</f>
        <v>1076</v>
      </c>
    </row>
    <row r="2676" customFormat="false" ht="14.25" hidden="false" customHeight="true" outlineLevel="0" collapsed="false">
      <c r="A2676" s="51" t="n">
        <v>15955</v>
      </c>
      <c r="B2676" s="53" t="n">
        <v>40862.59375</v>
      </c>
      <c r="C2676" s="57" t="n">
        <f aca="false">INT($C$2)-INT(Table3[[#This Row],[Last Purchase Date]])</f>
        <v>25</v>
      </c>
      <c r="D2676" s="1" t="n">
        <v>16</v>
      </c>
      <c r="E2676" s="1" t="n">
        <v>4389.81</v>
      </c>
      <c r="F2676" s="1" t="n">
        <f aca="false">ROUND((1-_xlfn.PERCENTRANK.INC($C$7:$C$4378,C2676))*9,0)</f>
        <v>6</v>
      </c>
      <c r="G2676" s="1" t="n">
        <f aca="false">ROUND(_xlfn.PERCENTRANK.INC($D$7:$D$4378,D2676)*9,0)</f>
        <v>9</v>
      </c>
      <c r="H2676" s="1" t="n">
        <f aca="false">ROUND(_xlfn.PERCENTRANK.INC($E$7:$E$4378,E2676)*9,0)</f>
        <v>8</v>
      </c>
      <c r="I2676" s="1" t="str">
        <f aca="false">CONCATENATE(F2676,G2676,H2676)</f>
        <v>698</v>
      </c>
      <c r="J2676" s="1" t="str">
        <f aca="false">_xlfn.IFS(AND(F2676&gt;=8,G2676&gt;=8,H2676&gt;=8),"CHAMPION",AND(F2676&gt;=6,G2676&gt;=7,H2676&gt;=6),"LOYAL CUSTOMER",AND(F2676&gt;=6,G2676&gt;=5,H2676&gt;=5),"POTENTIAL LOYALIST",AND(F2676&gt;=8,G2676&lt;=2,H2676&gt;=5),"NEW CUSTOMERS",AND(F2676&gt;=6,G2676&lt;=2,H2676&gt;=3),"PROMISING",AND(F2676&gt;=3,G2676&gt;=3,H2676&gt;=3),"NEED ATTENTION",AND(F2676&lt;=4,G2676&gt;=6,H2676&gt;=6),"AT RISK",AND(F2676&lt;=2,G2676&gt;=8,H2676&gt;=8),"CAN'T LOSE THEM",AND(F2676&lt;=2,G2676&lt;=2,H2676&lt;=2),"HIBERNATING",TRUE(),"Other")</f>
        <v>LOYAL CUSTOMER</v>
      </c>
      <c r="K2676" s="1" t="n">
        <f aca="false">RANK(E2676,$E$7:$E$4378)+COUNTIF($E$7:E2676,E2676)-1</f>
        <v>312</v>
      </c>
    </row>
    <row r="2677" customFormat="false" ht="14.25" hidden="false" customHeight="true" outlineLevel="0" collapsed="false">
      <c r="A2677" s="51" t="n">
        <v>15957</v>
      </c>
      <c r="B2677" s="53" t="n">
        <v>40855.5097222222</v>
      </c>
      <c r="C2677" s="57" t="n">
        <f aca="false">INT($C$2)-INT(Table3[[#This Row],[Last Purchase Date]])</f>
        <v>32</v>
      </c>
      <c r="D2677" s="1" t="n">
        <v>1</v>
      </c>
      <c r="E2677" s="1" t="n">
        <v>428.89</v>
      </c>
      <c r="F2677" s="1" t="n">
        <f aca="false">ROUND((1-_xlfn.PERCENTRANK.INC($C$7:$C$4378,C2677))*9,0)</f>
        <v>5</v>
      </c>
      <c r="G2677" s="1" t="n">
        <f aca="false">ROUND(_xlfn.PERCENTRANK.INC($D$7:$D$4378,D2677)*9,0)</f>
        <v>0</v>
      </c>
      <c r="H2677" s="1" t="n">
        <f aca="false">ROUND(_xlfn.PERCENTRANK.INC($E$7:$E$4378,E2677)*9,0)</f>
        <v>3</v>
      </c>
      <c r="I2677" s="1" t="str">
        <f aca="false">CONCATENATE(F2677,G2677,H2677)</f>
        <v>503</v>
      </c>
      <c r="J2677" s="1" t="str">
        <f aca="false">_xlfn.IFS(AND(F2677&gt;=8,G2677&gt;=8,H2677&gt;=8),"CHAMPION",AND(F2677&gt;=6,G2677&gt;=7,H2677&gt;=6),"LOYAL CUSTOMER",AND(F2677&gt;=6,G2677&gt;=5,H2677&gt;=5),"POTENTIAL LOYALIST",AND(F2677&gt;=8,G2677&lt;=2,H2677&gt;=5),"NEW CUSTOMERS",AND(F2677&gt;=6,G2677&lt;=2,H2677&gt;=3),"PROMISING",AND(F2677&gt;=3,G2677&gt;=3,H2677&gt;=3),"NEED ATTENTION",AND(F2677&lt;=4,G2677&gt;=6,H2677&gt;=6),"AT RISK",AND(F2677&lt;=2,G2677&gt;=8,H2677&gt;=8),"CAN'T LOSE THEM",AND(F2677&lt;=2,G2677&lt;=2,H2677&lt;=2),"HIBERNATING",TRUE(),"Other")</f>
        <v>Other</v>
      </c>
      <c r="K2677" s="1" t="n">
        <f aca="false">RANK(E2677,$E$7:$E$4378)+COUNTIF($E$7:E2677,E2677)-1</f>
        <v>2725</v>
      </c>
    </row>
    <row r="2678" customFormat="false" ht="14.25" hidden="false" customHeight="true" outlineLevel="0" collapsed="false">
      <c r="A2678" s="51" t="n">
        <v>15958</v>
      </c>
      <c r="B2678" s="53" t="n">
        <v>40812.5701388889</v>
      </c>
      <c r="C2678" s="57" t="n">
        <f aca="false">INT($C$2)-INT(Table3[[#This Row],[Last Purchase Date]])</f>
        <v>75</v>
      </c>
      <c r="D2678" s="1" t="n">
        <v>1</v>
      </c>
      <c r="E2678" s="1" t="n">
        <v>104.35</v>
      </c>
      <c r="F2678" s="1" t="n">
        <f aca="false">ROUND((1-_xlfn.PERCENTRANK.INC($C$7:$C$4378,C2678))*9,0)</f>
        <v>3</v>
      </c>
      <c r="G2678" s="1" t="n">
        <f aca="false">ROUND(_xlfn.PERCENTRANK.INC($D$7:$D$4378,D2678)*9,0)</f>
        <v>0</v>
      </c>
      <c r="H2678" s="1" t="n">
        <f aca="false">ROUND(_xlfn.PERCENTRANK.INC($E$7:$E$4378,E2678)*9,0)</f>
        <v>0</v>
      </c>
      <c r="I2678" s="1" t="str">
        <f aca="false">CONCATENATE(F2678,G2678,H2678)</f>
        <v>300</v>
      </c>
      <c r="J2678" s="1" t="str">
        <f aca="false">_xlfn.IFS(AND(F2678&gt;=8,G2678&gt;=8,H2678&gt;=8),"CHAMPION",AND(F2678&gt;=6,G2678&gt;=7,H2678&gt;=6),"LOYAL CUSTOMER",AND(F2678&gt;=6,G2678&gt;=5,H2678&gt;=5),"POTENTIAL LOYALIST",AND(F2678&gt;=8,G2678&lt;=2,H2678&gt;=5),"NEW CUSTOMERS",AND(F2678&gt;=6,G2678&lt;=2,H2678&gt;=3),"PROMISING",AND(F2678&gt;=3,G2678&gt;=3,H2678&gt;=3),"NEED ATTENTION",AND(F2678&lt;=4,G2678&gt;=6,H2678&gt;=6),"AT RISK",AND(F2678&lt;=2,G2678&gt;=8,H2678&gt;=8),"CAN'T LOSE THEM",AND(F2678&lt;=2,G2678&lt;=2,H2678&lt;=2),"HIBERNATING",TRUE(),"Other")</f>
        <v>Other</v>
      </c>
      <c r="K2678" s="1" t="n">
        <f aca="false">RANK(E2678,$E$7:$E$4378)+COUNTIF($E$7:E2678,E2678)-1</f>
        <v>4137</v>
      </c>
    </row>
    <row r="2679" customFormat="false" ht="14.25" hidden="false" customHeight="true" outlineLevel="0" collapsed="false">
      <c r="A2679" s="51" t="n">
        <v>15963</v>
      </c>
      <c r="B2679" s="53" t="n">
        <v>40867.48125</v>
      </c>
      <c r="C2679" s="57" t="n">
        <f aca="false">INT($C$2)-INT(Table3[[#This Row],[Last Purchase Date]])</f>
        <v>20</v>
      </c>
      <c r="D2679" s="1" t="n">
        <v>2</v>
      </c>
      <c r="E2679" s="1" t="n">
        <v>470.76</v>
      </c>
      <c r="F2679" s="1" t="n">
        <f aca="false">ROUND((1-_xlfn.PERCENTRANK.INC($C$7:$C$4378,C2679))*9,0)</f>
        <v>6</v>
      </c>
      <c r="G2679" s="1" t="n">
        <f aca="false">ROUND(_xlfn.PERCENTRANK.INC($D$7:$D$4378,D2679)*9,0)</f>
        <v>3</v>
      </c>
      <c r="H2679" s="1" t="n">
        <f aca="false">ROUND(_xlfn.PERCENTRANK.INC($E$7:$E$4378,E2679)*9,0)</f>
        <v>4</v>
      </c>
      <c r="I2679" s="1" t="str">
        <f aca="false">CONCATENATE(F2679,G2679,H2679)</f>
        <v>634</v>
      </c>
      <c r="J2679" s="1" t="str">
        <f aca="false">_xlfn.IFS(AND(F2679&gt;=8,G2679&gt;=8,H2679&gt;=8),"CHAMPION",AND(F2679&gt;=6,G2679&gt;=7,H2679&gt;=6),"LOYAL CUSTOMER",AND(F2679&gt;=6,G2679&gt;=5,H2679&gt;=5),"POTENTIAL LOYALIST",AND(F2679&gt;=8,G2679&lt;=2,H2679&gt;=5),"NEW CUSTOMERS",AND(F2679&gt;=6,G2679&lt;=2,H2679&gt;=3),"PROMISING",AND(F2679&gt;=3,G2679&gt;=3,H2679&gt;=3),"NEED ATTENTION",AND(F2679&lt;=4,G2679&gt;=6,H2679&gt;=6),"AT RISK",AND(F2679&lt;=2,G2679&gt;=8,H2679&gt;=8),"CAN'T LOSE THEM",AND(F2679&lt;=2,G2679&lt;=2,H2679&lt;=2),"HIBERNATING",TRUE(),"Other")</f>
        <v>NEED ATTENTION</v>
      </c>
      <c r="K2679" s="1" t="n">
        <f aca="false">RANK(E2679,$E$7:$E$4378)+COUNTIF($E$7:E2679,E2679)-1</f>
        <v>2613</v>
      </c>
    </row>
    <row r="2680" customFormat="false" ht="14.25" hidden="false" customHeight="true" outlineLevel="0" collapsed="false">
      <c r="A2680" s="51" t="n">
        <v>15965</v>
      </c>
      <c r="B2680" s="53" t="n">
        <v>40869.6972222222</v>
      </c>
      <c r="C2680" s="57" t="n">
        <f aca="false">INT($C$2)-INT(Table3[[#This Row],[Last Purchase Date]])</f>
        <v>18</v>
      </c>
      <c r="D2680" s="1" t="n">
        <v>4</v>
      </c>
      <c r="E2680" s="1" t="n">
        <v>845.64</v>
      </c>
      <c r="F2680" s="1" t="n">
        <f aca="false">ROUND((1-_xlfn.PERCENTRANK.INC($C$7:$C$4378,C2680))*9,0)</f>
        <v>7</v>
      </c>
      <c r="G2680" s="1" t="n">
        <f aca="false">ROUND(_xlfn.PERCENTRANK.INC($D$7:$D$4378,D2680)*9,0)</f>
        <v>5</v>
      </c>
      <c r="H2680" s="1" t="n">
        <f aca="false">ROUND(_xlfn.PERCENTRANK.INC($E$7:$E$4378,E2680)*9,0)</f>
        <v>5</v>
      </c>
      <c r="I2680" s="1" t="str">
        <f aca="false">CONCATENATE(F2680,G2680,H2680)</f>
        <v>755</v>
      </c>
      <c r="J2680" s="1" t="str">
        <f aca="false">_xlfn.IFS(AND(F2680&gt;=8,G2680&gt;=8,H2680&gt;=8),"CHAMPION",AND(F2680&gt;=6,G2680&gt;=7,H2680&gt;=6),"LOYAL CUSTOMER",AND(F2680&gt;=6,G2680&gt;=5,H2680&gt;=5),"POTENTIAL LOYALIST",AND(F2680&gt;=8,G2680&lt;=2,H2680&gt;=5),"NEW CUSTOMERS",AND(F2680&gt;=6,G2680&lt;=2,H2680&gt;=3),"PROMISING",AND(F2680&gt;=3,G2680&gt;=3,H2680&gt;=3),"NEED ATTENTION",AND(F2680&lt;=4,G2680&gt;=6,H2680&gt;=6),"AT RISK",AND(F2680&lt;=2,G2680&gt;=8,H2680&gt;=8),"CAN'T LOSE THEM",AND(F2680&lt;=2,G2680&lt;=2,H2680&lt;=2),"HIBERNATING",TRUE(),"Other")</f>
        <v>POTENTIAL LOYALIST</v>
      </c>
      <c r="K2680" s="1" t="n">
        <f aca="false">RANK(E2680,$E$7:$E$4378)+COUNTIF($E$7:E2680,E2680)-1</f>
        <v>1837</v>
      </c>
    </row>
    <row r="2681" customFormat="false" ht="14.25" hidden="false" customHeight="true" outlineLevel="0" collapsed="false">
      <c r="A2681" s="51" t="n">
        <v>15967</v>
      </c>
      <c r="B2681" s="53" t="n">
        <v>40863.6534722222</v>
      </c>
      <c r="C2681" s="57" t="n">
        <f aca="false">INT($C$2)-INT(Table3[[#This Row],[Last Purchase Date]])</f>
        <v>24</v>
      </c>
      <c r="D2681" s="1" t="n">
        <v>2</v>
      </c>
      <c r="E2681" s="1" t="n">
        <v>418.83</v>
      </c>
      <c r="F2681" s="1" t="n">
        <f aca="false">ROUND((1-_xlfn.PERCENTRANK.INC($C$7:$C$4378,C2681))*9,0)</f>
        <v>6</v>
      </c>
      <c r="G2681" s="1" t="n">
        <f aca="false">ROUND(_xlfn.PERCENTRANK.INC($D$7:$D$4378,D2681)*9,0)</f>
        <v>3</v>
      </c>
      <c r="H2681" s="1" t="n">
        <f aca="false">ROUND(_xlfn.PERCENTRANK.INC($E$7:$E$4378,E2681)*9,0)</f>
        <v>3</v>
      </c>
      <c r="I2681" s="1" t="str">
        <f aca="false">CONCATENATE(F2681,G2681,H2681)</f>
        <v>633</v>
      </c>
      <c r="J2681" s="1" t="str">
        <f aca="false">_xlfn.IFS(AND(F2681&gt;=8,G2681&gt;=8,H2681&gt;=8),"CHAMPION",AND(F2681&gt;=6,G2681&gt;=7,H2681&gt;=6),"LOYAL CUSTOMER",AND(F2681&gt;=6,G2681&gt;=5,H2681&gt;=5),"POTENTIAL LOYALIST",AND(F2681&gt;=8,G2681&lt;=2,H2681&gt;=5),"NEW CUSTOMERS",AND(F2681&gt;=6,G2681&lt;=2,H2681&gt;=3),"PROMISING",AND(F2681&gt;=3,G2681&gt;=3,H2681&gt;=3),"NEED ATTENTION",AND(F2681&lt;=4,G2681&gt;=6,H2681&gt;=6),"AT RISK",AND(F2681&lt;=2,G2681&gt;=8,H2681&gt;=8),"CAN'T LOSE THEM",AND(F2681&lt;=2,G2681&lt;=2,H2681&lt;=2),"HIBERNATING",TRUE(),"Other")</f>
        <v>NEED ATTENTION</v>
      </c>
      <c r="K2681" s="1" t="n">
        <f aca="false">RANK(E2681,$E$7:$E$4378)+COUNTIF($E$7:E2681,E2681)-1</f>
        <v>2754</v>
      </c>
    </row>
    <row r="2682" customFormat="false" ht="14.25" hidden="false" customHeight="true" outlineLevel="0" collapsed="false">
      <c r="A2682" s="51" t="n">
        <v>15969</v>
      </c>
      <c r="B2682" s="53" t="n">
        <v>40884.4625</v>
      </c>
      <c r="C2682" s="57" t="n">
        <f aca="false">INT($C$2)-INT(Table3[[#This Row],[Last Purchase Date]])</f>
        <v>3</v>
      </c>
      <c r="D2682" s="1" t="n">
        <v>4</v>
      </c>
      <c r="E2682" s="1" t="n">
        <v>582.9</v>
      </c>
      <c r="F2682" s="1" t="n">
        <f aca="false">ROUND((1-_xlfn.PERCENTRANK.INC($C$7:$C$4378,C2682))*9,0)</f>
        <v>9</v>
      </c>
      <c r="G2682" s="1" t="n">
        <f aca="false">ROUND(_xlfn.PERCENTRANK.INC($D$7:$D$4378,D2682)*9,0)</f>
        <v>5</v>
      </c>
      <c r="H2682" s="1" t="n">
        <f aca="false">ROUND(_xlfn.PERCENTRANK.INC($E$7:$E$4378,E2682)*9,0)</f>
        <v>4</v>
      </c>
      <c r="I2682" s="1" t="str">
        <f aca="false">CONCATENATE(F2682,G2682,H2682)</f>
        <v>954</v>
      </c>
      <c r="J2682" s="1" t="str">
        <f aca="false">_xlfn.IFS(AND(F2682&gt;=8,G2682&gt;=8,H2682&gt;=8),"CHAMPION",AND(F2682&gt;=6,G2682&gt;=7,H2682&gt;=6),"LOYAL CUSTOMER",AND(F2682&gt;=6,G2682&gt;=5,H2682&gt;=5),"POTENTIAL LOYALIST",AND(F2682&gt;=8,G2682&lt;=2,H2682&gt;=5),"NEW CUSTOMERS",AND(F2682&gt;=6,G2682&lt;=2,H2682&gt;=3),"PROMISING",AND(F2682&gt;=3,G2682&gt;=3,H2682&gt;=3),"NEED ATTENTION",AND(F2682&lt;=4,G2682&gt;=6,H2682&gt;=6),"AT RISK",AND(F2682&lt;=2,G2682&gt;=8,H2682&gt;=8),"CAN'T LOSE THEM",AND(F2682&lt;=2,G2682&lt;=2,H2682&lt;=2),"HIBERNATING",TRUE(),"Other")</f>
        <v>NEED ATTENTION</v>
      </c>
      <c r="K2682" s="1" t="n">
        <f aca="false">RANK(E2682,$E$7:$E$4378)+COUNTIF($E$7:E2682,E2682)-1</f>
        <v>2362</v>
      </c>
    </row>
    <row r="2683" customFormat="false" ht="14.25" hidden="false" customHeight="true" outlineLevel="0" collapsed="false">
      <c r="A2683" s="51" t="n">
        <v>15970</v>
      </c>
      <c r="B2683" s="53" t="n">
        <v>40583.5055555556</v>
      </c>
      <c r="C2683" s="57" t="n">
        <f aca="false">INT($C$2)-INT(Table3[[#This Row],[Last Purchase Date]])</f>
        <v>304</v>
      </c>
      <c r="D2683" s="1" t="n">
        <v>1</v>
      </c>
      <c r="E2683" s="1" t="n">
        <v>314.1</v>
      </c>
      <c r="F2683" s="1" t="n">
        <f aca="false">ROUND((1-_xlfn.PERCENTRANK.INC($C$7:$C$4378,C2683))*9,0)</f>
        <v>1</v>
      </c>
      <c r="G2683" s="1" t="n">
        <f aca="false">ROUND(_xlfn.PERCENTRANK.INC($D$7:$D$4378,D2683)*9,0)</f>
        <v>0</v>
      </c>
      <c r="H2683" s="1" t="n">
        <f aca="false">ROUND(_xlfn.PERCENTRANK.INC($E$7:$E$4378,E2683)*9,0)</f>
        <v>2</v>
      </c>
      <c r="I2683" s="1" t="str">
        <f aca="false">CONCATENATE(F2683,G2683,H2683)</f>
        <v>102</v>
      </c>
      <c r="J2683" s="1" t="str">
        <f aca="false">_xlfn.IFS(AND(F2683&gt;=8,G2683&gt;=8,H2683&gt;=8),"CHAMPION",AND(F2683&gt;=6,G2683&gt;=7,H2683&gt;=6),"LOYAL CUSTOMER",AND(F2683&gt;=6,G2683&gt;=5,H2683&gt;=5),"POTENTIAL LOYALIST",AND(F2683&gt;=8,G2683&lt;=2,H2683&gt;=5),"NEW CUSTOMERS",AND(F2683&gt;=6,G2683&lt;=2,H2683&gt;=3),"PROMISING",AND(F2683&gt;=3,G2683&gt;=3,H2683&gt;=3),"NEED ATTENTION",AND(F2683&lt;=4,G2683&gt;=6,H2683&gt;=6),"AT RISK",AND(F2683&lt;=2,G2683&gt;=8,H2683&gt;=8),"CAN'T LOSE THEM",AND(F2683&lt;=2,G2683&lt;=2,H2683&lt;=2),"HIBERNATING",TRUE(),"Other")</f>
        <v>HIBERNATING</v>
      </c>
      <c r="K2683" s="1" t="n">
        <f aca="false">RANK(E2683,$E$7:$E$4378)+COUNTIF($E$7:E2683,E2683)-1</f>
        <v>3169</v>
      </c>
    </row>
    <row r="2684" customFormat="false" ht="14.25" hidden="false" customHeight="true" outlineLevel="0" collapsed="false">
      <c r="A2684" s="51" t="n">
        <v>15971</v>
      </c>
      <c r="B2684" s="53" t="n">
        <v>40869.5347222222</v>
      </c>
      <c r="C2684" s="57" t="n">
        <f aca="false">INT($C$2)-INT(Table3[[#This Row],[Last Purchase Date]])</f>
        <v>18</v>
      </c>
      <c r="D2684" s="1" t="n">
        <v>12</v>
      </c>
      <c r="E2684" s="1" t="n">
        <v>4199.85</v>
      </c>
      <c r="F2684" s="1" t="n">
        <f aca="false">ROUND((1-_xlfn.PERCENTRANK.INC($C$7:$C$4378,C2684))*9,0)</f>
        <v>7</v>
      </c>
      <c r="G2684" s="1" t="n">
        <f aca="false">ROUND(_xlfn.PERCENTRANK.INC($D$7:$D$4378,D2684)*9,0)</f>
        <v>8</v>
      </c>
      <c r="H2684" s="1" t="n">
        <f aca="false">ROUND(_xlfn.PERCENTRANK.INC($E$7:$E$4378,E2684)*9,0)</f>
        <v>8</v>
      </c>
      <c r="I2684" s="1" t="str">
        <f aca="false">CONCATENATE(F2684,G2684,H2684)</f>
        <v>788</v>
      </c>
      <c r="J2684" s="1" t="str">
        <f aca="false">_xlfn.IFS(AND(F2684&gt;=8,G2684&gt;=8,H2684&gt;=8),"CHAMPION",AND(F2684&gt;=6,G2684&gt;=7,H2684&gt;=6),"LOYAL CUSTOMER",AND(F2684&gt;=6,G2684&gt;=5,H2684&gt;=5),"POTENTIAL LOYALIST",AND(F2684&gt;=8,G2684&lt;=2,H2684&gt;=5),"NEW CUSTOMERS",AND(F2684&gt;=6,G2684&lt;=2,H2684&gt;=3),"PROMISING",AND(F2684&gt;=3,G2684&gt;=3,H2684&gt;=3),"NEED ATTENTION",AND(F2684&lt;=4,G2684&gt;=6,H2684&gt;=6),"AT RISK",AND(F2684&lt;=2,G2684&gt;=8,H2684&gt;=8),"CAN'T LOSE THEM",AND(F2684&lt;=2,G2684&lt;=2,H2684&lt;=2),"HIBERNATING",TRUE(),"Other")</f>
        <v>LOYAL CUSTOMER</v>
      </c>
      <c r="K2684" s="1" t="n">
        <f aca="false">RANK(E2684,$E$7:$E$4378)+COUNTIF($E$7:E2684,E2684)-1</f>
        <v>331</v>
      </c>
    </row>
    <row r="2685" customFormat="false" ht="14.25" hidden="false" customHeight="true" outlineLevel="0" collapsed="false">
      <c r="A2685" s="51" t="n">
        <v>15973</v>
      </c>
      <c r="B2685" s="53" t="n">
        <v>40651.4020833333</v>
      </c>
      <c r="C2685" s="57" t="n">
        <f aca="false">INT($C$2)-INT(Table3[[#This Row],[Last Purchase Date]])</f>
        <v>236</v>
      </c>
      <c r="D2685" s="1" t="n">
        <v>3</v>
      </c>
      <c r="E2685" s="1" t="n">
        <v>99.77</v>
      </c>
      <c r="F2685" s="1" t="n">
        <f aca="false">ROUND((1-_xlfn.PERCENTRANK.INC($C$7:$C$4378,C2685))*9,0)</f>
        <v>1</v>
      </c>
      <c r="G2685" s="1" t="n">
        <f aca="false">ROUND(_xlfn.PERCENTRANK.INC($D$7:$D$4378,D2685)*9,0)</f>
        <v>4</v>
      </c>
      <c r="H2685" s="1" t="n">
        <f aca="false">ROUND(_xlfn.PERCENTRANK.INC($E$7:$E$4378,E2685)*9,0)</f>
        <v>0</v>
      </c>
      <c r="I2685" s="1" t="str">
        <f aca="false">CONCATENATE(F2685,G2685,H2685)</f>
        <v>140</v>
      </c>
      <c r="J2685" s="1" t="str">
        <f aca="false">_xlfn.IFS(AND(F2685&gt;=8,G2685&gt;=8,H2685&gt;=8),"CHAMPION",AND(F2685&gt;=6,G2685&gt;=7,H2685&gt;=6),"LOYAL CUSTOMER",AND(F2685&gt;=6,G2685&gt;=5,H2685&gt;=5),"POTENTIAL LOYALIST",AND(F2685&gt;=8,G2685&lt;=2,H2685&gt;=5),"NEW CUSTOMERS",AND(F2685&gt;=6,G2685&lt;=2,H2685&gt;=3),"PROMISING",AND(F2685&gt;=3,G2685&gt;=3,H2685&gt;=3),"NEED ATTENTION",AND(F2685&lt;=4,G2685&gt;=6,H2685&gt;=6),"AT RISK",AND(F2685&lt;=2,G2685&gt;=8,H2685&gt;=8),"CAN'T LOSE THEM",AND(F2685&lt;=2,G2685&lt;=2,H2685&lt;=2),"HIBERNATING",TRUE(),"Other")</f>
        <v>Other</v>
      </c>
      <c r="K2685" s="1" t="n">
        <f aca="false">RANK(E2685,$E$7:$E$4378)+COUNTIF($E$7:E2685,E2685)-1</f>
        <v>4158</v>
      </c>
    </row>
    <row r="2686" customFormat="false" ht="14.25" hidden="false" customHeight="true" outlineLevel="0" collapsed="false">
      <c r="A2686" s="51" t="n">
        <v>15974</v>
      </c>
      <c r="B2686" s="53" t="n">
        <v>40847.5506944444</v>
      </c>
      <c r="C2686" s="57" t="n">
        <f aca="false">INT($C$2)-INT(Table3[[#This Row],[Last Purchase Date]])</f>
        <v>40</v>
      </c>
      <c r="D2686" s="1" t="n">
        <v>8</v>
      </c>
      <c r="E2686" s="1" t="n">
        <v>3429.55</v>
      </c>
      <c r="F2686" s="1" t="n">
        <f aca="false">ROUND((1-_xlfn.PERCENTRANK.INC($C$7:$C$4378,C2686))*9,0)</f>
        <v>5</v>
      </c>
      <c r="G2686" s="1" t="n">
        <f aca="false">ROUND(_xlfn.PERCENTRANK.INC($D$7:$D$4378,D2686)*9,0)</f>
        <v>7</v>
      </c>
      <c r="H2686" s="1" t="n">
        <f aca="false">ROUND(_xlfn.PERCENTRANK.INC($E$7:$E$4378,E2686)*9,0)</f>
        <v>8</v>
      </c>
      <c r="I2686" s="1" t="str">
        <f aca="false">CONCATENATE(F2686,G2686,H2686)</f>
        <v>578</v>
      </c>
      <c r="J2686" s="1" t="str">
        <f aca="false">_xlfn.IFS(AND(F2686&gt;=8,G2686&gt;=8,H2686&gt;=8),"CHAMPION",AND(F2686&gt;=6,G2686&gt;=7,H2686&gt;=6),"LOYAL CUSTOMER",AND(F2686&gt;=6,G2686&gt;=5,H2686&gt;=5),"POTENTIAL LOYALIST",AND(F2686&gt;=8,G2686&lt;=2,H2686&gt;=5),"NEW CUSTOMERS",AND(F2686&gt;=6,G2686&lt;=2,H2686&gt;=3),"PROMISING",AND(F2686&gt;=3,G2686&gt;=3,H2686&gt;=3),"NEED ATTENTION",AND(F2686&lt;=4,G2686&gt;=6,H2686&gt;=6),"AT RISK",AND(F2686&lt;=2,G2686&gt;=8,H2686&gt;=8),"CAN'T LOSE THEM",AND(F2686&lt;=2,G2686&lt;=2,H2686&lt;=2),"HIBERNATING",TRUE(),"Other")</f>
        <v>NEED ATTENTION</v>
      </c>
      <c r="K2686" s="1" t="n">
        <f aca="false">RANK(E2686,$E$7:$E$4378)+COUNTIF($E$7:E2686,E2686)-1</f>
        <v>454</v>
      </c>
    </row>
    <row r="2687" customFormat="false" ht="14.25" hidden="false" customHeight="true" outlineLevel="0" collapsed="false">
      <c r="A2687" s="51" t="n">
        <v>15975</v>
      </c>
      <c r="B2687" s="53" t="n">
        <v>40802.5645833333</v>
      </c>
      <c r="C2687" s="57" t="n">
        <f aca="false">INT($C$2)-INT(Table3[[#This Row],[Last Purchase Date]])</f>
        <v>85</v>
      </c>
      <c r="D2687" s="1" t="n">
        <v>1</v>
      </c>
      <c r="E2687" s="1" t="n">
        <v>371.01</v>
      </c>
      <c r="F2687" s="1" t="n">
        <f aca="false">ROUND((1-_xlfn.PERCENTRANK.INC($C$7:$C$4378,C2687))*9,0)</f>
        <v>3</v>
      </c>
      <c r="G2687" s="1" t="n">
        <f aca="false">ROUND(_xlfn.PERCENTRANK.INC($D$7:$D$4378,D2687)*9,0)</f>
        <v>0</v>
      </c>
      <c r="H2687" s="1" t="n">
        <f aca="false">ROUND(_xlfn.PERCENTRANK.INC($E$7:$E$4378,E2687)*9,0)</f>
        <v>3</v>
      </c>
      <c r="I2687" s="1" t="str">
        <f aca="false">CONCATENATE(F2687,G2687,H2687)</f>
        <v>303</v>
      </c>
      <c r="J2687" s="1" t="str">
        <f aca="false">_xlfn.IFS(AND(F2687&gt;=8,G2687&gt;=8,H2687&gt;=8),"CHAMPION",AND(F2687&gt;=6,G2687&gt;=7,H2687&gt;=6),"LOYAL CUSTOMER",AND(F2687&gt;=6,G2687&gt;=5,H2687&gt;=5),"POTENTIAL LOYALIST",AND(F2687&gt;=8,G2687&lt;=2,H2687&gt;=5),"NEW CUSTOMERS",AND(F2687&gt;=6,G2687&lt;=2,H2687&gt;=3),"PROMISING",AND(F2687&gt;=3,G2687&gt;=3,H2687&gt;=3),"NEED ATTENTION",AND(F2687&lt;=4,G2687&gt;=6,H2687&gt;=6),"AT RISK",AND(F2687&lt;=2,G2687&gt;=8,H2687&gt;=8),"CAN'T LOSE THEM",AND(F2687&lt;=2,G2687&lt;=2,H2687&lt;=2),"HIBERNATING",TRUE(),"Other")</f>
        <v>Other</v>
      </c>
      <c r="K2687" s="1" t="n">
        <f aca="false">RANK(E2687,$E$7:$E$4378)+COUNTIF($E$7:E2687,E2687)-1</f>
        <v>2926</v>
      </c>
    </row>
    <row r="2688" customFormat="false" ht="14.25" hidden="false" customHeight="true" outlineLevel="0" collapsed="false">
      <c r="A2688" s="51" t="n">
        <v>15976</v>
      </c>
      <c r="B2688" s="53" t="n">
        <v>40721.5416666667</v>
      </c>
      <c r="C2688" s="57" t="n">
        <f aca="false">INT($C$2)-INT(Table3[[#This Row],[Last Purchase Date]])</f>
        <v>166</v>
      </c>
      <c r="D2688" s="1" t="n">
        <v>2</v>
      </c>
      <c r="E2688" s="1" t="n">
        <v>430.94</v>
      </c>
      <c r="F2688" s="1" t="n">
        <f aca="false">ROUND((1-_xlfn.PERCENTRANK.INC($C$7:$C$4378,C2688))*9,0)</f>
        <v>2</v>
      </c>
      <c r="G2688" s="1" t="n">
        <f aca="false">ROUND(_xlfn.PERCENTRANK.INC($D$7:$D$4378,D2688)*9,0)</f>
        <v>3</v>
      </c>
      <c r="H2688" s="1" t="n">
        <f aca="false">ROUND(_xlfn.PERCENTRANK.INC($E$7:$E$4378,E2688)*9,0)</f>
        <v>3</v>
      </c>
      <c r="I2688" s="1" t="str">
        <f aca="false">CONCATENATE(F2688,G2688,H2688)</f>
        <v>233</v>
      </c>
      <c r="J2688" s="1" t="str">
        <f aca="false">_xlfn.IFS(AND(F2688&gt;=8,G2688&gt;=8,H2688&gt;=8),"CHAMPION",AND(F2688&gt;=6,G2688&gt;=7,H2688&gt;=6),"LOYAL CUSTOMER",AND(F2688&gt;=6,G2688&gt;=5,H2688&gt;=5),"POTENTIAL LOYALIST",AND(F2688&gt;=8,G2688&lt;=2,H2688&gt;=5),"NEW CUSTOMERS",AND(F2688&gt;=6,G2688&lt;=2,H2688&gt;=3),"PROMISING",AND(F2688&gt;=3,G2688&gt;=3,H2688&gt;=3),"NEED ATTENTION",AND(F2688&lt;=4,G2688&gt;=6,H2688&gt;=6),"AT RISK",AND(F2688&lt;=2,G2688&gt;=8,H2688&gt;=8),"CAN'T LOSE THEM",AND(F2688&lt;=2,G2688&lt;=2,H2688&lt;=2),"HIBERNATING",TRUE(),"Other")</f>
        <v>Other</v>
      </c>
      <c r="K2688" s="1" t="n">
        <f aca="false">RANK(E2688,$E$7:$E$4378)+COUNTIF($E$7:E2688,E2688)-1</f>
        <v>2714</v>
      </c>
    </row>
    <row r="2689" customFormat="false" ht="14.25" hidden="false" customHeight="true" outlineLevel="0" collapsed="false">
      <c r="A2689" s="51" t="n">
        <v>15977</v>
      </c>
      <c r="B2689" s="53" t="n">
        <v>40869.5618055556</v>
      </c>
      <c r="C2689" s="57" t="n">
        <f aca="false">INT($C$2)-INT(Table3[[#This Row],[Last Purchase Date]])</f>
        <v>18</v>
      </c>
      <c r="D2689" s="1" t="n">
        <v>2</v>
      </c>
      <c r="E2689" s="1" t="n">
        <v>1054.73</v>
      </c>
      <c r="F2689" s="1" t="n">
        <f aca="false">ROUND((1-_xlfn.PERCENTRANK.INC($C$7:$C$4378,C2689))*9,0)</f>
        <v>7</v>
      </c>
      <c r="G2689" s="1" t="n">
        <f aca="false">ROUND(_xlfn.PERCENTRANK.INC($D$7:$D$4378,D2689)*9,0)</f>
        <v>3</v>
      </c>
      <c r="H2689" s="1" t="n">
        <f aca="false">ROUND(_xlfn.PERCENTRANK.INC($E$7:$E$4378,E2689)*9,0)</f>
        <v>6</v>
      </c>
      <c r="I2689" s="1" t="str">
        <f aca="false">CONCATENATE(F2689,G2689,H2689)</f>
        <v>736</v>
      </c>
      <c r="J2689" s="1" t="str">
        <f aca="false">_xlfn.IFS(AND(F2689&gt;=8,G2689&gt;=8,H2689&gt;=8),"CHAMPION",AND(F2689&gt;=6,G2689&gt;=7,H2689&gt;=6),"LOYAL CUSTOMER",AND(F2689&gt;=6,G2689&gt;=5,H2689&gt;=5),"POTENTIAL LOYALIST",AND(F2689&gt;=8,G2689&lt;=2,H2689&gt;=5),"NEW CUSTOMERS",AND(F2689&gt;=6,G2689&lt;=2,H2689&gt;=3),"PROMISING",AND(F2689&gt;=3,G2689&gt;=3,H2689&gt;=3),"NEED ATTENTION",AND(F2689&lt;=4,G2689&gt;=6,H2689&gt;=6),"AT RISK",AND(F2689&lt;=2,G2689&gt;=8,H2689&gt;=8),"CAN'T LOSE THEM",AND(F2689&lt;=2,G2689&lt;=2,H2689&lt;=2),"HIBERNATING",TRUE(),"Other")</f>
        <v>NEED ATTENTION</v>
      </c>
      <c r="K2689" s="1" t="n">
        <f aca="false">RANK(E2689,$E$7:$E$4378)+COUNTIF($E$7:E2689,E2689)-1</f>
        <v>1554</v>
      </c>
    </row>
    <row r="2690" customFormat="false" ht="14.25" hidden="false" customHeight="true" outlineLevel="0" collapsed="false">
      <c r="A2690" s="51" t="n">
        <v>15978</v>
      </c>
      <c r="B2690" s="53" t="n">
        <v>40809.6395833333</v>
      </c>
      <c r="C2690" s="57" t="n">
        <f aca="false">INT($C$2)-INT(Table3[[#This Row],[Last Purchase Date]])</f>
        <v>78</v>
      </c>
      <c r="D2690" s="1" t="n">
        <v>1</v>
      </c>
      <c r="E2690" s="1" t="n">
        <v>1098.78</v>
      </c>
      <c r="F2690" s="1" t="n">
        <f aca="false">ROUND((1-_xlfn.PERCENTRANK.INC($C$7:$C$4378,C2690))*9,0)</f>
        <v>3</v>
      </c>
      <c r="G2690" s="1" t="n">
        <f aca="false">ROUND(_xlfn.PERCENTRANK.INC($D$7:$D$4378,D2690)*9,0)</f>
        <v>0</v>
      </c>
      <c r="H2690" s="1" t="n">
        <f aca="false">ROUND(_xlfn.PERCENTRANK.INC($E$7:$E$4378,E2690)*9,0)</f>
        <v>6</v>
      </c>
      <c r="I2690" s="1" t="str">
        <f aca="false">CONCATENATE(F2690,G2690,H2690)</f>
        <v>306</v>
      </c>
      <c r="J2690" s="1" t="str">
        <f aca="false">_xlfn.IFS(AND(F2690&gt;=8,G2690&gt;=8,H2690&gt;=8),"CHAMPION",AND(F2690&gt;=6,G2690&gt;=7,H2690&gt;=6),"LOYAL CUSTOMER",AND(F2690&gt;=6,G2690&gt;=5,H2690&gt;=5),"POTENTIAL LOYALIST",AND(F2690&gt;=8,G2690&lt;=2,H2690&gt;=5),"NEW CUSTOMERS",AND(F2690&gt;=6,G2690&lt;=2,H2690&gt;=3),"PROMISING",AND(F2690&gt;=3,G2690&gt;=3,H2690&gt;=3),"NEED ATTENTION",AND(F2690&lt;=4,G2690&gt;=6,H2690&gt;=6),"AT RISK",AND(F2690&lt;=2,G2690&gt;=8,H2690&gt;=8),"CAN'T LOSE THEM",AND(F2690&lt;=2,G2690&lt;=2,H2690&lt;=2),"HIBERNATING",TRUE(),"Other")</f>
        <v>Other</v>
      </c>
      <c r="K2690" s="1" t="n">
        <f aca="false">RANK(E2690,$E$7:$E$4378)+COUNTIF($E$7:E2690,E2690)-1</f>
        <v>1510</v>
      </c>
    </row>
    <row r="2691" customFormat="false" ht="14.25" hidden="false" customHeight="true" outlineLevel="0" collapsed="false">
      <c r="A2691" s="51" t="n">
        <v>15980</v>
      </c>
      <c r="B2691" s="53" t="n">
        <v>40798.4034722222</v>
      </c>
      <c r="C2691" s="57" t="n">
        <f aca="false">INT($C$2)-INT(Table3[[#This Row],[Last Purchase Date]])</f>
        <v>89</v>
      </c>
      <c r="D2691" s="1" t="n">
        <v>3</v>
      </c>
      <c r="E2691" s="1" t="n">
        <v>2398.86</v>
      </c>
      <c r="F2691" s="1" t="n">
        <f aca="false">ROUND((1-_xlfn.PERCENTRANK.INC($C$7:$C$4378,C2691))*9,0)</f>
        <v>3</v>
      </c>
      <c r="G2691" s="1" t="n">
        <f aca="false">ROUND(_xlfn.PERCENTRANK.INC($D$7:$D$4378,D2691)*9,0)</f>
        <v>4</v>
      </c>
      <c r="H2691" s="1" t="n">
        <f aca="false">ROUND(_xlfn.PERCENTRANK.INC($E$7:$E$4378,E2691)*9,0)</f>
        <v>8</v>
      </c>
      <c r="I2691" s="1" t="str">
        <f aca="false">CONCATENATE(F2691,G2691,H2691)</f>
        <v>348</v>
      </c>
      <c r="J2691" s="1" t="str">
        <f aca="false">_xlfn.IFS(AND(F2691&gt;=8,G2691&gt;=8,H2691&gt;=8),"CHAMPION",AND(F2691&gt;=6,G2691&gt;=7,H2691&gt;=6),"LOYAL CUSTOMER",AND(F2691&gt;=6,G2691&gt;=5,H2691&gt;=5),"POTENTIAL LOYALIST",AND(F2691&gt;=8,G2691&lt;=2,H2691&gt;=5),"NEW CUSTOMERS",AND(F2691&gt;=6,G2691&lt;=2,H2691&gt;=3),"PROMISING",AND(F2691&gt;=3,G2691&gt;=3,H2691&gt;=3),"NEED ATTENTION",AND(F2691&lt;=4,G2691&gt;=6,H2691&gt;=6),"AT RISK",AND(F2691&lt;=2,G2691&gt;=8,H2691&gt;=8),"CAN'T LOSE THEM",AND(F2691&lt;=2,G2691&lt;=2,H2691&lt;=2),"HIBERNATING",TRUE(),"Other")</f>
        <v>NEED ATTENTION</v>
      </c>
      <c r="K2691" s="1" t="n">
        <f aca="false">RANK(E2691,$E$7:$E$4378)+COUNTIF($E$7:E2691,E2691)-1</f>
        <v>711</v>
      </c>
    </row>
    <row r="2692" customFormat="false" ht="14.25" hidden="false" customHeight="true" outlineLevel="0" collapsed="false">
      <c r="A2692" s="51" t="n">
        <v>15981</v>
      </c>
      <c r="B2692" s="53" t="n">
        <v>40862.3333333333</v>
      </c>
      <c r="C2692" s="57" t="n">
        <f aca="false">INT($C$2)-INT(Table3[[#This Row],[Last Purchase Date]])</f>
        <v>25</v>
      </c>
      <c r="D2692" s="1" t="n">
        <v>8</v>
      </c>
      <c r="E2692" s="1" t="n">
        <v>3408.48</v>
      </c>
      <c r="F2692" s="1" t="n">
        <f aca="false">ROUND((1-_xlfn.PERCENTRANK.INC($C$7:$C$4378,C2692))*9,0)</f>
        <v>6</v>
      </c>
      <c r="G2692" s="1" t="n">
        <f aca="false">ROUND(_xlfn.PERCENTRANK.INC($D$7:$D$4378,D2692)*9,0)</f>
        <v>7</v>
      </c>
      <c r="H2692" s="1" t="n">
        <f aca="false">ROUND(_xlfn.PERCENTRANK.INC($E$7:$E$4378,E2692)*9,0)</f>
        <v>8</v>
      </c>
      <c r="I2692" s="1" t="str">
        <f aca="false">CONCATENATE(F2692,G2692,H2692)</f>
        <v>678</v>
      </c>
      <c r="J2692" s="1" t="str">
        <f aca="false">_xlfn.IFS(AND(F2692&gt;=8,G2692&gt;=8,H2692&gt;=8),"CHAMPION",AND(F2692&gt;=6,G2692&gt;=7,H2692&gt;=6),"LOYAL CUSTOMER",AND(F2692&gt;=6,G2692&gt;=5,H2692&gt;=5),"POTENTIAL LOYALIST",AND(F2692&gt;=8,G2692&lt;=2,H2692&gt;=5),"NEW CUSTOMERS",AND(F2692&gt;=6,G2692&lt;=2,H2692&gt;=3),"PROMISING",AND(F2692&gt;=3,G2692&gt;=3,H2692&gt;=3),"NEED ATTENTION",AND(F2692&lt;=4,G2692&gt;=6,H2692&gt;=6),"AT RISK",AND(F2692&lt;=2,G2692&gt;=8,H2692&gt;=8),"CAN'T LOSE THEM",AND(F2692&lt;=2,G2692&lt;=2,H2692&lt;=2),"HIBERNATING",TRUE(),"Other")</f>
        <v>LOYAL CUSTOMER</v>
      </c>
      <c r="K2692" s="1" t="n">
        <f aca="false">RANK(E2692,$E$7:$E$4378)+COUNTIF($E$7:E2692,E2692)-1</f>
        <v>458</v>
      </c>
    </row>
    <row r="2693" customFormat="false" ht="14.25" hidden="false" customHeight="true" outlineLevel="0" collapsed="false">
      <c r="A2693" s="51" t="n">
        <v>15983</v>
      </c>
      <c r="B2693" s="53" t="n">
        <v>40864.7319444444</v>
      </c>
      <c r="C2693" s="57" t="n">
        <f aca="false">INT($C$2)-INT(Table3[[#This Row],[Last Purchase Date]])</f>
        <v>23</v>
      </c>
      <c r="D2693" s="1" t="n">
        <v>4</v>
      </c>
      <c r="E2693" s="1" t="n">
        <v>1475.02</v>
      </c>
      <c r="F2693" s="1" t="n">
        <f aca="false">ROUND((1-_xlfn.PERCENTRANK.INC($C$7:$C$4378,C2693))*9,0)</f>
        <v>6</v>
      </c>
      <c r="G2693" s="1" t="n">
        <f aca="false">ROUND(_xlfn.PERCENTRANK.INC($D$7:$D$4378,D2693)*9,0)</f>
        <v>5</v>
      </c>
      <c r="H2693" s="1" t="n">
        <f aca="false">ROUND(_xlfn.PERCENTRANK.INC($E$7:$E$4378,E2693)*9,0)</f>
        <v>7</v>
      </c>
      <c r="I2693" s="1" t="str">
        <f aca="false">CONCATENATE(F2693,G2693,H2693)</f>
        <v>657</v>
      </c>
      <c r="J2693" s="1" t="str">
        <f aca="false">_xlfn.IFS(AND(F2693&gt;=8,G2693&gt;=8,H2693&gt;=8),"CHAMPION",AND(F2693&gt;=6,G2693&gt;=7,H2693&gt;=6),"LOYAL CUSTOMER",AND(F2693&gt;=6,G2693&gt;=5,H2693&gt;=5),"POTENTIAL LOYALIST",AND(F2693&gt;=8,G2693&lt;=2,H2693&gt;=5),"NEW CUSTOMERS",AND(F2693&gt;=6,G2693&lt;=2,H2693&gt;=3),"PROMISING",AND(F2693&gt;=3,G2693&gt;=3,H2693&gt;=3),"NEED ATTENTION",AND(F2693&lt;=4,G2693&gt;=6,H2693&gt;=6),"AT RISK",AND(F2693&lt;=2,G2693&gt;=8,H2693&gt;=8),"CAN'T LOSE THEM",AND(F2693&lt;=2,G2693&lt;=2,H2693&lt;=2),"HIBERNATING",TRUE(),"Other")</f>
        <v>POTENTIAL LOYALIST</v>
      </c>
      <c r="K2693" s="1" t="n">
        <f aca="false">RANK(E2693,$E$7:$E$4378)+COUNTIF($E$7:E2693,E2693)-1</f>
        <v>1184</v>
      </c>
    </row>
    <row r="2694" customFormat="false" ht="14.25" hidden="false" customHeight="true" outlineLevel="0" collapsed="false">
      <c r="A2694" s="51" t="n">
        <v>15984</v>
      </c>
      <c r="B2694" s="53" t="n">
        <v>40884.5111111111</v>
      </c>
      <c r="C2694" s="57" t="n">
        <f aca="false">INT($C$2)-INT(Table3[[#This Row],[Last Purchase Date]])</f>
        <v>3</v>
      </c>
      <c r="D2694" s="1" t="n">
        <v>11</v>
      </c>
      <c r="E2694" s="1" t="n">
        <v>2816.97</v>
      </c>
      <c r="F2694" s="1" t="n">
        <f aca="false">ROUND((1-_xlfn.PERCENTRANK.INC($C$7:$C$4378,C2694))*9,0)</f>
        <v>9</v>
      </c>
      <c r="G2694" s="1" t="n">
        <f aca="false">ROUND(_xlfn.PERCENTRANK.INC($D$7:$D$4378,D2694)*9,0)</f>
        <v>8</v>
      </c>
      <c r="H2694" s="1" t="n">
        <f aca="false">ROUND(_xlfn.PERCENTRANK.INC($E$7:$E$4378,E2694)*9,0)</f>
        <v>8</v>
      </c>
      <c r="I2694" s="1" t="str">
        <f aca="false">CONCATENATE(F2694,G2694,H2694)</f>
        <v>988</v>
      </c>
      <c r="J2694" s="1" t="str">
        <f aca="false">_xlfn.IFS(AND(F2694&gt;=8,G2694&gt;=8,H2694&gt;=8),"CHAMPION",AND(F2694&gt;=6,G2694&gt;=7,H2694&gt;=6),"LOYAL CUSTOMER",AND(F2694&gt;=6,G2694&gt;=5,H2694&gt;=5),"POTENTIAL LOYALIST",AND(F2694&gt;=8,G2694&lt;=2,H2694&gt;=5),"NEW CUSTOMERS",AND(F2694&gt;=6,G2694&lt;=2,H2694&gt;=3),"PROMISING",AND(F2694&gt;=3,G2694&gt;=3,H2694&gt;=3),"NEED ATTENTION",AND(F2694&lt;=4,G2694&gt;=6,H2694&gt;=6),"AT RISK",AND(F2694&lt;=2,G2694&gt;=8,H2694&gt;=8),"CAN'T LOSE THEM",AND(F2694&lt;=2,G2694&lt;=2,H2694&lt;=2),"HIBERNATING",TRUE(),"Other")</f>
        <v>CHAMPION</v>
      </c>
      <c r="K2694" s="1" t="n">
        <f aca="false">RANK(E2694,$E$7:$E$4378)+COUNTIF($E$7:E2694,E2694)-1</f>
        <v>581</v>
      </c>
    </row>
    <row r="2695" customFormat="false" ht="14.25" hidden="false" customHeight="true" outlineLevel="0" collapsed="false">
      <c r="A2695" s="51" t="n">
        <v>15985</v>
      </c>
      <c r="B2695" s="53" t="n">
        <v>40763.6881944445</v>
      </c>
      <c r="C2695" s="57" t="n">
        <f aca="false">INT($C$2)-INT(Table3[[#This Row],[Last Purchase Date]])</f>
        <v>124</v>
      </c>
      <c r="D2695" s="1" t="n">
        <v>3</v>
      </c>
      <c r="E2695" s="1" t="n">
        <v>1037.42</v>
      </c>
      <c r="F2695" s="1" t="n">
        <f aca="false">ROUND((1-_xlfn.PERCENTRANK.INC($C$7:$C$4378,C2695))*9,0)</f>
        <v>2</v>
      </c>
      <c r="G2695" s="1" t="n">
        <f aca="false">ROUND(_xlfn.PERCENTRANK.INC($D$7:$D$4378,D2695)*9,0)</f>
        <v>4</v>
      </c>
      <c r="H2695" s="1" t="n">
        <f aca="false">ROUND(_xlfn.PERCENTRANK.INC($E$7:$E$4378,E2695)*9,0)</f>
        <v>6</v>
      </c>
      <c r="I2695" s="1" t="str">
        <f aca="false">CONCATENATE(F2695,G2695,H2695)</f>
        <v>246</v>
      </c>
      <c r="J2695" s="1" t="str">
        <f aca="false">_xlfn.IFS(AND(F2695&gt;=8,G2695&gt;=8,H2695&gt;=8),"CHAMPION",AND(F2695&gt;=6,G2695&gt;=7,H2695&gt;=6),"LOYAL CUSTOMER",AND(F2695&gt;=6,G2695&gt;=5,H2695&gt;=5),"POTENTIAL LOYALIST",AND(F2695&gt;=8,G2695&lt;=2,H2695&gt;=5),"NEW CUSTOMERS",AND(F2695&gt;=6,G2695&lt;=2,H2695&gt;=3),"PROMISING",AND(F2695&gt;=3,G2695&gt;=3,H2695&gt;=3),"NEED ATTENTION",AND(F2695&lt;=4,G2695&gt;=6,H2695&gt;=6),"AT RISK",AND(F2695&lt;=2,G2695&gt;=8,H2695&gt;=8),"CAN'T LOSE THEM",AND(F2695&lt;=2,G2695&lt;=2,H2695&lt;=2),"HIBERNATING",TRUE(),"Other")</f>
        <v>Other</v>
      </c>
      <c r="K2695" s="1" t="n">
        <f aca="false">RANK(E2695,$E$7:$E$4378)+COUNTIF($E$7:E2695,E2695)-1</f>
        <v>1584</v>
      </c>
    </row>
    <row r="2696" customFormat="false" ht="14.25" hidden="false" customHeight="true" outlineLevel="0" collapsed="false">
      <c r="A2696" s="51" t="n">
        <v>15986</v>
      </c>
      <c r="B2696" s="53" t="n">
        <v>40856.6368055556</v>
      </c>
      <c r="C2696" s="57" t="n">
        <f aca="false">INT($C$2)-INT(Table3[[#This Row],[Last Purchase Date]])</f>
        <v>31</v>
      </c>
      <c r="D2696" s="1" t="n">
        <v>1</v>
      </c>
      <c r="E2696" s="1" t="n">
        <v>168.12</v>
      </c>
      <c r="F2696" s="1" t="n">
        <f aca="false">ROUND((1-_xlfn.PERCENTRANK.INC($C$7:$C$4378,C2696))*9,0)</f>
        <v>6</v>
      </c>
      <c r="G2696" s="1" t="n">
        <f aca="false">ROUND(_xlfn.PERCENTRANK.INC($D$7:$D$4378,D2696)*9,0)</f>
        <v>0</v>
      </c>
      <c r="H2696" s="1" t="n">
        <f aca="false">ROUND(_xlfn.PERCENTRANK.INC($E$7:$E$4378,E2696)*9,0)</f>
        <v>1</v>
      </c>
      <c r="I2696" s="1" t="str">
        <f aca="false">CONCATENATE(F2696,G2696,H2696)</f>
        <v>601</v>
      </c>
      <c r="J2696" s="1" t="str">
        <f aca="false">_xlfn.IFS(AND(F2696&gt;=8,G2696&gt;=8,H2696&gt;=8),"CHAMPION",AND(F2696&gt;=6,G2696&gt;=7,H2696&gt;=6),"LOYAL CUSTOMER",AND(F2696&gt;=6,G2696&gt;=5,H2696&gt;=5),"POTENTIAL LOYALIST",AND(F2696&gt;=8,G2696&lt;=2,H2696&gt;=5),"NEW CUSTOMERS",AND(F2696&gt;=6,G2696&lt;=2,H2696&gt;=3),"PROMISING",AND(F2696&gt;=3,G2696&gt;=3,H2696&gt;=3),"NEED ATTENTION",AND(F2696&lt;=4,G2696&gt;=6,H2696&gt;=6),"AT RISK",AND(F2696&lt;=2,G2696&gt;=8,H2696&gt;=8),"CAN'T LOSE THEM",AND(F2696&lt;=2,G2696&lt;=2,H2696&lt;=2),"HIBERNATING",TRUE(),"Other")</f>
        <v>Other</v>
      </c>
      <c r="K2696" s="1" t="n">
        <f aca="false">RANK(E2696,$E$7:$E$4378)+COUNTIF($E$7:E2696,E2696)-1</f>
        <v>3815</v>
      </c>
    </row>
    <row r="2697" customFormat="false" ht="14.25" hidden="false" customHeight="true" outlineLevel="0" collapsed="false">
      <c r="A2697" s="51" t="n">
        <v>15987</v>
      </c>
      <c r="B2697" s="53" t="n">
        <v>40874.6513888889</v>
      </c>
      <c r="C2697" s="57" t="n">
        <f aca="false">INT($C$2)-INT(Table3[[#This Row],[Last Purchase Date]])</f>
        <v>13</v>
      </c>
      <c r="D2697" s="1" t="n">
        <v>7</v>
      </c>
      <c r="E2697" s="1" t="n">
        <v>1451.28</v>
      </c>
      <c r="F2697" s="1" t="n">
        <f aca="false">ROUND((1-_xlfn.PERCENTRANK.INC($C$7:$C$4378,C2697))*9,0)</f>
        <v>7</v>
      </c>
      <c r="G2697" s="1" t="n">
        <f aca="false">ROUND(_xlfn.PERCENTRANK.INC($D$7:$D$4378,D2697)*9,0)</f>
        <v>7</v>
      </c>
      <c r="H2697" s="1" t="n">
        <f aca="false">ROUND(_xlfn.PERCENTRANK.INC($E$7:$E$4378,E2697)*9,0)</f>
        <v>7</v>
      </c>
      <c r="I2697" s="1" t="str">
        <f aca="false">CONCATENATE(F2697,G2697,H2697)</f>
        <v>777</v>
      </c>
      <c r="J2697" s="1" t="str">
        <f aca="false">_xlfn.IFS(AND(F2697&gt;=8,G2697&gt;=8,H2697&gt;=8),"CHAMPION",AND(F2697&gt;=6,G2697&gt;=7,H2697&gt;=6),"LOYAL CUSTOMER",AND(F2697&gt;=6,G2697&gt;=5,H2697&gt;=5),"POTENTIAL LOYALIST",AND(F2697&gt;=8,G2697&lt;=2,H2697&gt;=5),"NEW CUSTOMERS",AND(F2697&gt;=6,G2697&lt;=2,H2697&gt;=3),"PROMISING",AND(F2697&gt;=3,G2697&gt;=3,H2697&gt;=3),"NEED ATTENTION",AND(F2697&lt;=4,G2697&gt;=6,H2697&gt;=6),"AT RISK",AND(F2697&lt;=2,G2697&gt;=8,H2697&gt;=8),"CAN'T LOSE THEM",AND(F2697&lt;=2,G2697&lt;=2,H2697&lt;=2),"HIBERNATING",TRUE(),"Other")</f>
        <v>LOYAL CUSTOMER</v>
      </c>
      <c r="K2697" s="1" t="n">
        <f aca="false">RANK(E2697,$E$7:$E$4378)+COUNTIF($E$7:E2697,E2697)-1</f>
        <v>1196</v>
      </c>
    </row>
    <row r="2698" customFormat="false" ht="14.25" hidden="false" customHeight="true" outlineLevel="0" collapsed="false">
      <c r="A2698" s="51" t="n">
        <v>15988</v>
      </c>
      <c r="B2698" s="53" t="n">
        <v>40867.5576388889</v>
      </c>
      <c r="C2698" s="57" t="n">
        <f aca="false">INT($C$2)-INT(Table3[[#This Row],[Last Purchase Date]])</f>
        <v>20</v>
      </c>
      <c r="D2698" s="1" t="n">
        <v>1</v>
      </c>
      <c r="E2698" s="1" t="n">
        <v>158.03</v>
      </c>
      <c r="F2698" s="1" t="n">
        <f aca="false">ROUND((1-_xlfn.PERCENTRANK.INC($C$7:$C$4378,C2698))*9,0)</f>
        <v>6</v>
      </c>
      <c r="G2698" s="1" t="n">
        <f aca="false">ROUND(_xlfn.PERCENTRANK.INC($D$7:$D$4378,D2698)*9,0)</f>
        <v>0</v>
      </c>
      <c r="H2698" s="1" t="n">
        <f aca="false">ROUND(_xlfn.PERCENTRANK.INC($E$7:$E$4378,E2698)*9,0)</f>
        <v>1</v>
      </c>
      <c r="I2698" s="1" t="str">
        <f aca="false">CONCATENATE(F2698,G2698,H2698)</f>
        <v>601</v>
      </c>
      <c r="J2698" s="1" t="str">
        <f aca="false">_xlfn.IFS(AND(F2698&gt;=8,G2698&gt;=8,H2698&gt;=8),"CHAMPION",AND(F2698&gt;=6,G2698&gt;=7,H2698&gt;=6),"LOYAL CUSTOMER",AND(F2698&gt;=6,G2698&gt;=5,H2698&gt;=5),"POTENTIAL LOYALIST",AND(F2698&gt;=8,G2698&lt;=2,H2698&gt;=5),"NEW CUSTOMERS",AND(F2698&gt;=6,G2698&lt;=2,H2698&gt;=3),"PROMISING",AND(F2698&gt;=3,G2698&gt;=3,H2698&gt;=3),"NEED ATTENTION",AND(F2698&lt;=4,G2698&gt;=6,H2698&gt;=6),"AT RISK",AND(F2698&lt;=2,G2698&gt;=8,H2698&gt;=8),"CAN'T LOSE THEM",AND(F2698&lt;=2,G2698&lt;=2,H2698&lt;=2),"HIBERNATING",TRUE(),"Other")</f>
        <v>Other</v>
      </c>
      <c r="K2698" s="1" t="n">
        <f aca="false">RANK(E2698,$E$7:$E$4378)+COUNTIF($E$7:E2698,E2698)-1</f>
        <v>3869</v>
      </c>
    </row>
    <row r="2699" customFormat="false" ht="14.25" hidden="false" customHeight="true" outlineLevel="0" collapsed="false">
      <c r="A2699" s="51" t="n">
        <v>15990</v>
      </c>
      <c r="B2699" s="53" t="n">
        <v>40842.6652777778</v>
      </c>
      <c r="C2699" s="57" t="n">
        <f aca="false">INT($C$2)-INT(Table3[[#This Row],[Last Purchase Date]])</f>
        <v>45</v>
      </c>
      <c r="D2699" s="1" t="n">
        <v>2</v>
      </c>
      <c r="E2699" s="1" t="n">
        <v>792.11</v>
      </c>
      <c r="F2699" s="1" t="n">
        <f aca="false">ROUND((1-_xlfn.PERCENTRANK.INC($C$7:$C$4378,C2699))*9,0)</f>
        <v>5</v>
      </c>
      <c r="G2699" s="1" t="n">
        <f aca="false">ROUND(_xlfn.PERCENTRANK.INC($D$7:$D$4378,D2699)*9,0)</f>
        <v>3</v>
      </c>
      <c r="H2699" s="1" t="n">
        <f aca="false">ROUND(_xlfn.PERCENTRANK.INC($E$7:$E$4378,E2699)*9,0)</f>
        <v>5</v>
      </c>
      <c r="I2699" s="1" t="str">
        <f aca="false">CONCATENATE(F2699,G2699,H2699)</f>
        <v>535</v>
      </c>
      <c r="J2699" s="1" t="str">
        <f aca="false">_xlfn.IFS(AND(F2699&gt;=8,G2699&gt;=8,H2699&gt;=8),"CHAMPION",AND(F2699&gt;=6,G2699&gt;=7,H2699&gt;=6),"LOYAL CUSTOMER",AND(F2699&gt;=6,G2699&gt;=5,H2699&gt;=5),"POTENTIAL LOYALIST",AND(F2699&gt;=8,G2699&lt;=2,H2699&gt;=5),"NEW CUSTOMERS",AND(F2699&gt;=6,G2699&lt;=2,H2699&gt;=3),"PROMISING",AND(F2699&gt;=3,G2699&gt;=3,H2699&gt;=3),"NEED ATTENTION",AND(F2699&lt;=4,G2699&gt;=6,H2699&gt;=6),"AT RISK",AND(F2699&lt;=2,G2699&gt;=8,H2699&gt;=8),"CAN'T LOSE THEM",AND(F2699&lt;=2,G2699&lt;=2,H2699&lt;=2),"HIBERNATING",TRUE(),"Other")</f>
        <v>NEED ATTENTION</v>
      </c>
      <c r="K2699" s="1" t="n">
        <f aca="false">RANK(E2699,$E$7:$E$4378)+COUNTIF($E$7:E2699,E2699)-1</f>
        <v>1908</v>
      </c>
    </row>
    <row r="2700" customFormat="false" ht="14.25" hidden="false" customHeight="true" outlineLevel="0" collapsed="false">
      <c r="A2700" s="51" t="n">
        <v>15992</v>
      </c>
      <c r="B2700" s="53" t="n">
        <v>40883.4583333333</v>
      </c>
      <c r="C2700" s="57" t="n">
        <f aca="false">INT($C$2)-INT(Table3[[#This Row],[Last Purchase Date]])</f>
        <v>4</v>
      </c>
      <c r="D2700" s="1" t="n">
        <v>1</v>
      </c>
      <c r="E2700" s="1" t="n">
        <v>41.99</v>
      </c>
      <c r="F2700" s="1" t="n">
        <f aca="false">ROUND((1-_xlfn.PERCENTRANK.INC($C$7:$C$4378,C2700))*9,0)</f>
        <v>8</v>
      </c>
      <c r="G2700" s="1" t="n">
        <f aca="false">ROUND(_xlfn.PERCENTRANK.INC($D$7:$D$4378,D2700)*9,0)</f>
        <v>0</v>
      </c>
      <c r="H2700" s="1" t="n">
        <f aca="false">ROUND(_xlfn.PERCENTRANK.INC($E$7:$E$4378,E2700)*9,0)</f>
        <v>0</v>
      </c>
      <c r="I2700" s="1" t="str">
        <f aca="false">CONCATENATE(F2700,G2700,H2700)</f>
        <v>800</v>
      </c>
      <c r="J2700" s="1" t="str">
        <f aca="false">_xlfn.IFS(AND(F2700&gt;=8,G2700&gt;=8,H2700&gt;=8),"CHAMPION",AND(F2700&gt;=6,G2700&gt;=7,H2700&gt;=6),"LOYAL CUSTOMER",AND(F2700&gt;=6,G2700&gt;=5,H2700&gt;=5),"POTENTIAL LOYALIST",AND(F2700&gt;=8,G2700&lt;=2,H2700&gt;=5),"NEW CUSTOMERS",AND(F2700&gt;=6,G2700&lt;=2,H2700&gt;=3),"PROMISING",AND(F2700&gt;=3,G2700&gt;=3,H2700&gt;=3),"NEED ATTENTION",AND(F2700&lt;=4,G2700&gt;=6,H2700&gt;=6),"AT RISK",AND(F2700&lt;=2,G2700&gt;=8,H2700&gt;=8),"CAN'T LOSE THEM",AND(F2700&lt;=2,G2700&lt;=2,H2700&lt;=2),"HIBERNATING",TRUE(),"Other")</f>
        <v>Other</v>
      </c>
      <c r="K2700" s="1" t="n">
        <f aca="false">RANK(E2700,$E$7:$E$4378)+COUNTIF($E$7:E2700,E2700)-1</f>
        <v>4289</v>
      </c>
    </row>
    <row r="2701" customFormat="false" ht="14.25" hidden="false" customHeight="true" outlineLevel="0" collapsed="false">
      <c r="A2701" s="51" t="n">
        <v>15993</v>
      </c>
      <c r="B2701" s="53" t="n">
        <v>40878.4479166667</v>
      </c>
      <c r="C2701" s="57" t="n">
        <f aca="false">INT($C$2)-INT(Table3[[#This Row],[Last Purchase Date]])</f>
        <v>9</v>
      </c>
      <c r="D2701" s="1" t="n">
        <v>10</v>
      </c>
      <c r="E2701" s="1" t="n">
        <v>2756.82</v>
      </c>
      <c r="F2701" s="1" t="n">
        <f aca="false">ROUND((1-_xlfn.PERCENTRANK.INC($C$7:$C$4378,C2701))*9,0)</f>
        <v>8</v>
      </c>
      <c r="G2701" s="1" t="n">
        <f aca="false">ROUND(_xlfn.PERCENTRANK.INC($D$7:$D$4378,D2701)*9,0)</f>
        <v>8</v>
      </c>
      <c r="H2701" s="1" t="n">
        <f aca="false">ROUND(_xlfn.PERCENTRANK.INC($E$7:$E$4378,E2701)*9,0)</f>
        <v>8</v>
      </c>
      <c r="I2701" s="1" t="str">
        <f aca="false">CONCATENATE(F2701,G2701,H2701)</f>
        <v>888</v>
      </c>
      <c r="J2701" s="1" t="str">
        <f aca="false">_xlfn.IFS(AND(F2701&gt;=8,G2701&gt;=8,H2701&gt;=8),"CHAMPION",AND(F2701&gt;=6,G2701&gt;=7,H2701&gt;=6),"LOYAL CUSTOMER",AND(F2701&gt;=6,G2701&gt;=5,H2701&gt;=5),"POTENTIAL LOYALIST",AND(F2701&gt;=8,G2701&lt;=2,H2701&gt;=5),"NEW CUSTOMERS",AND(F2701&gt;=6,G2701&lt;=2,H2701&gt;=3),"PROMISING",AND(F2701&gt;=3,G2701&gt;=3,H2701&gt;=3),"NEED ATTENTION",AND(F2701&lt;=4,G2701&gt;=6,H2701&gt;=6),"AT RISK",AND(F2701&lt;=2,G2701&gt;=8,H2701&gt;=8),"CAN'T LOSE THEM",AND(F2701&lt;=2,G2701&lt;=2,H2701&lt;=2),"HIBERNATING",TRUE(),"Other")</f>
        <v>CHAMPION</v>
      </c>
      <c r="K2701" s="1" t="n">
        <f aca="false">RANK(E2701,$E$7:$E$4378)+COUNTIF($E$7:E2701,E2701)-1</f>
        <v>599</v>
      </c>
    </row>
    <row r="2702" customFormat="false" ht="14.25" hidden="false" customHeight="true" outlineLevel="0" collapsed="false">
      <c r="A2702" s="51" t="n">
        <v>15994</v>
      </c>
      <c r="B2702" s="53" t="n">
        <v>40832.5194444444</v>
      </c>
      <c r="C2702" s="57" t="n">
        <f aca="false">INT($C$2)-INT(Table3[[#This Row],[Last Purchase Date]])</f>
        <v>55</v>
      </c>
      <c r="D2702" s="1" t="n">
        <v>1</v>
      </c>
      <c r="E2702" s="1" t="n">
        <v>427.07</v>
      </c>
      <c r="F2702" s="1" t="n">
        <f aca="false">ROUND((1-_xlfn.PERCENTRANK.INC($C$7:$C$4378,C2702))*9,0)</f>
        <v>4</v>
      </c>
      <c r="G2702" s="1" t="n">
        <f aca="false">ROUND(_xlfn.PERCENTRANK.INC($D$7:$D$4378,D2702)*9,0)</f>
        <v>0</v>
      </c>
      <c r="H2702" s="1" t="n">
        <f aca="false">ROUND(_xlfn.PERCENTRANK.INC($E$7:$E$4378,E2702)*9,0)</f>
        <v>3</v>
      </c>
      <c r="I2702" s="1" t="str">
        <f aca="false">CONCATENATE(F2702,G2702,H2702)</f>
        <v>403</v>
      </c>
      <c r="J2702" s="1" t="str">
        <f aca="false">_xlfn.IFS(AND(F2702&gt;=8,G2702&gt;=8,H2702&gt;=8),"CHAMPION",AND(F2702&gt;=6,G2702&gt;=7,H2702&gt;=6),"LOYAL CUSTOMER",AND(F2702&gt;=6,G2702&gt;=5,H2702&gt;=5),"POTENTIAL LOYALIST",AND(F2702&gt;=8,G2702&lt;=2,H2702&gt;=5),"NEW CUSTOMERS",AND(F2702&gt;=6,G2702&lt;=2,H2702&gt;=3),"PROMISING",AND(F2702&gt;=3,G2702&gt;=3,H2702&gt;=3),"NEED ATTENTION",AND(F2702&lt;=4,G2702&gt;=6,H2702&gt;=6),"AT RISK",AND(F2702&lt;=2,G2702&gt;=8,H2702&gt;=8),"CAN'T LOSE THEM",AND(F2702&lt;=2,G2702&lt;=2,H2702&lt;=2),"HIBERNATING",TRUE(),"Other")</f>
        <v>Other</v>
      </c>
      <c r="K2702" s="1" t="n">
        <f aca="false">RANK(E2702,$E$7:$E$4378)+COUNTIF($E$7:E2702,E2702)-1</f>
        <v>2732</v>
      </c>
    </row>
    <row r="2703" customFormat="false" ht="14.25" hidden="false" customHeight="true" outlineLevel="0" collapsed="false">
      <c r="A2703" s="51" t="n">
        <v>15996</v>
      </c>
      <c r="B2703" s="53" t="n">
        <v>40798.6347222222</v>
      </c>
      <c r="C2703" s="57" t="n">
        <f aca="false">INT($C$2)-INT(Table3[[#This Row],[Last Purchase Date]])</f>
        <v>89</v>
      </c>
      <c r="D2703" s="1" t="n">
        <v>7</v>
      </c>
      <c r="E2703" s="1" t="n">
        <v>1044.78</v>
      </c>
      <c r="F2703" s="1" t="n">
        <f aca="false">ROUND((1-_xlfn.PERCENTRANK.INC($C$7:$C$4378,C2703))*9,0)</f>
        <v>3</v>
      </c>
      <c r="G2703" s="1" t="n">
        <f aca="false">ROUND(_xlfn.PERCENTRANK.INC($D$7:$D$4378,D2703)*9,0)</f>
        <v>7</v>
      </c>
      <c r="H2703" s="1" t="n">
        <f aca="false">ROUND(_xlfn.PERCENTRANK.INC($E$7:$E$4378,E2703)*9,0)</f>
        <v>6</v>
      </c>
      <c r="I2703" s="1" t="str">
        <f aca="false">CONCATENATE(F2703,G2703,H2703)</f>
        <v>376</v>
      </c>
      <c r="J2703" s="1" t="str">
        <f aca="false">_xlfn.IFS(AND(F2703&gt;=8,G2703&gt;=8,H2703&gt;=8),"CHAMPION",AND(F2703&gt;=6,G2703&gt;=7,H2703&gt;=6),"LOYAL CUSTOMER",AND(F2703&gt;=6,G2703&gt;=5,H2703&gt;=5),"POTENTIAL LOYALIST",AND(F2703&gt;=8,G2703&lt;=2,H2703&gt;=5),"NEW CUSTOMERS",AND(F2703&gt;=6,G2703&lt;=2,H2703&gt;=3),"PROMISING",AND(F2703&gt;=3,G2703&gt;=3,H2703&gt;=3),"NEED ATTENTION",AND(F2703&lt;=4,G2703&gt;=6,H2703&gt;=6),"AT RISK",AND(F2703&lt;=2,G2703&gt;=8,H2703&gt;=8),"CAN'T LOSE THEM",AND(F2703&lt;=2,G2703&lt;=2,H2703&lt;=2),"HIBERNATING",TRUE(),"Other")</f>
        <v>NEED ATTENTION</v>
      </c>
      <c r="K2703" s="1" t="n">
        <f aca="false">RANK(E2703,$E$7:$E$4378)+COUNTIF($E$7:E2703,E2703)-1</f>
        <v>1570</v>
      </c>
    </row>
    <row r="2704" customFormat="false" ht="14.25" hidden="false" customHeight="true" outlineLevel="0" collapsed="false">
      <c r="A2704" s="51" t="n">
        <v>15998</v>
      </c>
      <c r="B2704" s="53" t="n">
        <v>40850.53125</v>
      </c>
      <c r="C2704" s="57" t="n">
        <f aca="false">INT($C$2)-INT(Table3[[#This Row],[Last Purchase Date]])</f>
        <v>37</v>
      </c>
      <c r="D2704" s="1" t="n">
        <v>6</v>
      </c>
      <c r="E2704" s="1" t="n">
        <v>3084.17</v>
      </c>
      <c r="F2704" s="1" t="n">
        <f aca="false">ROUND((1-_xlfn.PERCENTRANK.INC($C$7:$C$4378,C2704))*9,0)</f>
        <v>5</v>
      </c>
      <c r="G2704" s="1" t="n">
        <f aca="false">ROUND(_xlfn.PERCENTRANK.INC($D$7:$D$4378,D2704)*9,0)</f>
        <v>7</v>
      </c>
      <c r="H2704" s="1" t="n">
        <f aca="false">ROUND(_xlfn.PERCENTRANK.INC($E$7:$E$4378,E2704)*9,0)</f>
        <v>8</v>
      </c>
      <c r="I2704" s="1" t="str">
        <f aca="false">CONCATENATE(F2704,G2704,H2704)</f>
        <v>578</v>
      </c>
      <c r="J2704" s="1" t="str">
        <f aca="false">_xlfn.IFS(AND(F2704&gt;=8,G2704&gt;=8,H2704&gt;=8),"CHAMPION",AND(F2704&gt;=6,G2704&gt;=7,H2704&gt;=6),"LOYAL CUSTOMER",AND(F2704&gt;=6,G2704&gt;=5,H2704&gt;=5),"POTENTIAL LOYALIST",AND(F2704&gt;=8,G2704&lt;=2,H2704&gt;=5),"NEW CUSTOMERS",AND(F2704&gt;=6,G2704&lt;=2,H2704&gt;=3),"PROMISING",AND(F2704&gt;=3,G2704&gt;=3,H2704&gt;=3),"NEED ATTENTION",AND(F2704&lt;=4,G2704&gt;=6,H2704&gt;=6),"AT RISK",AND(F2704&lt;=2,G2704&gt;=8,H2704&gt;=8),"CAN'T LOSE THEM",AND(F2704&lt;=2,G2704&lt;=2,H2704&lt;=2),"HIBERNATING",TRUE(),"Other")</f>
        <v>NEED ATTENTION</v>
      </c>
      <c r="K2704" s="1" t="n">
        <f aca="false">RANK(E2704,$E$7:$E$4378)+COUNTIF($E$7:E2704,E2704)-1</f>
        <v>522</v>
      </c>
    </row>
    <row r="2705" customFormat="false" ht="14.25" hidden="false" customHeight="true" outlineLevel="0" collapsed="false">
      <c r="A2705" s="51" t="n">
        <v>16000</v>
      </c>
      <c r="B2705" s="53" t="n">
        <v>40884.5118055556</v>
      </c>
      <c r="C2705" s="57" t="n">
        <f aca="false">INT($C$2)-INT(Table3[[#This Row],[Last Purchase Date]])</f>
        <v>3</v>
      </c>
      <c r="D2705" s="1" t="n">
        <v>3</v>
      </c>
      <c r="E2705" s="1" t="n">
        <v>12393.7</v>
      </c>
      <c r="F2705" s="1" t="n">
        <f aca="false">ROUND((1-_xlfn.PERCENTRANK.INC($C$7:$C$4378,C2705))*9,0)</f>
        <v>9</v>
      </c>
      <c r="G2705" s="1" t="n">
        <f aca="false">ROUND(_xlfn.PERCENTRANK.INC($D$7:$D$4378,D2705)*9,0)</f>
        <v>4</v>
      </c>
      <c r="H2705" s="1" t="n">
        <f aca="false">ROUND(_xlfn.PERCENTRANK.INC($E$7:$E$4378,E2705)*9,0)</f>
        <v>9</v>
      </c>
      <c r="I2705" s="1" t="str">
        <f aca="false">CONCATENATE(F2705,G2705,H2705)</f>
        <v>949</v>
      </c>
      <c r="J2705" s="1" t="str">
        <f aca="false">_xlfn.IFS(AND(F2705&gt;=8,G2705&gt;=8,H2705&gt;=8),"CHAMPION",AND(F2705&gt;=6,G2705&gt;=7,H2705&gt;=6),"LOYAL CUSTOMER",AND(F2705&gt;=6,G2705&gt;=5,H2705&gt;=5),"POTENTIAL LOYALIST",AND(F2705&gt;=8,G2705&lt;=2,H2705&gt;=5),"NEW CUSTOMERS",AND(F2705&gt;=6,G2705&lt;=2,H2705&gt;=3),"PROMISING",AND(F2705&gt;=3,G2705&gt;=3,H2705&gt;=3),"NEED ATTENTION",AND(F2705&lt;=4,G2705&gt;=6,H2705&gt;=6),"AT RISK",AND(F2705&lt;=2,G2705&gt;=8,H2705&gt;=8),"CAN'T LOSE THEM",AND(F2705&lt;=2,G2705&lt;=2,H2705&lt;=2),"HIBERNATING",TRUE(),"Other")</f>
        <v>NEED ATTENTION</v>
      </c>
      <c r="K2705" s="1" t="n">
        <f aca="false">RANK(E2705,$E$7:$E$4378)+COUNTIF($E$7:E2705,E2705)-1</f>
        <v>70</v>
      </c>
    </row>
    <row r="2706" customFormat="false" ht="14.25" hidden="false" customHeight="true" outlineLevel="0" collapsed="false">
      <c r="A2706" s="51" t="n">
        <v>16003</v>
      </c>
      <c r="B2706" s="53" t="n">
        <v>40857.4145833333</v>
      </c>
      <c r="C2706" s="57" t="n">
        <f aca="false">INT($C$2)-INT(Table3[[#This Row],[Last Purchase Date]])</f>
        <v>30</v>
      </c>
      <c r="D2706" s="1" t="n">
        <v>5</v>
      </c>
      <c r="E2706" s="1" t="n">
        <v>2735.37</v>
      </c>
      <c r="F2706" s="1" t="n">
        <f aca="false">ROUND((1-_xlfn.PERCENTRANK.INC($C$7:$C$4378,C2706))*9,0)</f>
        <v>6</v>
      </c>
      <c r="G2706" s="1" t="n">
        <f aca="false">ROUND(_xlfn.PERCENTRANK.INC($D$7:$D$4378,D2706)*9,0)</f>
        <v>6</v>
      </c>
      <c r="H2706" s="1" t="n">
        <f aca="false">ROUND(_xlfn.PERCENTRANK.INC($E$7:$E$4378,E2706)*9,0)</f>
        <v>8</v>
      </c>
      <c r="I2706" s="1" t="str">
        <f aca="false">CONCATENATE(F2706,G2706,H2706)</f>
        <v>668</v>
      </c>
      <c r="J2706" s="1" t="str">
        <f aca="false">_xlfn.IFS(AND(F2706&gt;=8,G2706&gt;=8,H2706&gt;=8),"CHAMPION",AND(F2706&gt;=6,G2706&gt;=7,H2706&gt;=6),"LOYAL CUSTOMER",AND(F2706&gt;=6,G2706&gt;=5,H2706&gt;=5),"POTENTIAL LOYALIST",AND(F2706&gt;=8,G2706&lt;=2,H2706&gt;=5),"NEW CUSTOMERS",AND(F2706&gt;=6,G2706&lt;=2,H2706&gt;=3),"PROMISING",AND(F2706&gt;=3,G2706&gt;=3,H2706&gt;=3),"NEED ATTENTION",AND(F2706&lt;=4,G2706&gt;=6,H2706&gt;=6),"AT RISK",AND(F2706&lt;=2,G2706&gt;=8,H2706&gt;=8),"CAN'T LOSE THEM",AND(F2706&lt;=2,G2706&lt;=2,H2706&lt;=2),"HIBERNATING",TRUE(),"Other")</f>
        <v>POTENTIAL LOYALIST</v>
      </c>
      <c r="K2706" s="1" t="n">
        <f aca="false">RANK(E2706,$E$7:$E$4378)+COUNTIF($E$7:E2706,E2706)-1</f>
        <v>609</v>
      </c>
    </row>
    <row r="2707" customFormat="false" ht="14.25" hidden="false" customHeight="true" outlineLevel="0" collapsed="false">
      <c r="A2707" s="51" t="n">
        <v>16005</v>
      </c>
      <c r="B2707" s="53" t="n">
        <v>40874.5743055556</v>
      </c>
      <c r="C2707" s="57" t="n">
        <f aca="false">INT($C$2)-INT(Table3[[#This Row],[Last Purchase Date]])</f>
        <v>13</v>
      </c>
      <c r="D2707" s="1" t="n">
        <v>4</v>
      </c>
      <c r="E2707" s="1" t="n">
        <v>615.39</v>
      </c>
      <c r="F2707" s="1" t="n">
        <f aca="false">ROUND((1-_xlfn.PERCENTRANK.INC($C$7:$C$4378,C2707))*9,0)</f>
        <v>7</v>
      </c>
      <c r="G2707" s="1" t="n">
        <f aca="false">ROUND(_xlfn.PERCENTRANK.INC($D$7:$D$4378,D2707)*9,0)</f>
        <v>5</v>
      </c>
      <c r="H2707" s="1" t="n">
        <f aca="false">ROUND(_xlfn.PERCENTRANK.INC($E$7:$E$4378,E2707)*9,0)</f>
        <v>4</v>
      </c>
      <c r="I2707" s="1" t="str">
        <f aca="false">CONCATENATE(F2707,G2707,H2707)</f>
        <v>754</v>
      </c>
      <c r="J2707" s="1" t="str">
        <f aca="false">_xlfn.IFS(AND(F2707&gt;=8,G2707&gt;=8,H2707&gt;=8),"CHAMPION",AND(F2707&gt;=6,G2707&gt;=7,H2707&gt;=6),"LOYAL CUSTOMER",AND(F2707&gt;=6,G2707&gt;=5,H2707&gt;=5),"POTENTIAL LOYALIST",AND(F2707&gt;=8,G2707&lt;=2,H2707&gt;=5),"NEW CUSTOMERS",AND(F2707&gt;=6,G2707&lt;=2,H2707&gt;=3),"PROMISING",AND(F2707&gt;=3,G2707&gt;=3,H2707&gt;=3),"NEED ATTENTION",AND(F2707&lt;=4,G2707&gt;=6,H2707&gt;=6),"AT RISK",AND(F2707&lt;=2,G2707&gt;=8,H2707&gt;=8),"CAN'T LOSE THEM",AND(F2707&lt;=2,G2707&lt;=2,H2707&lt;=2),"HIBERNATING",TRUE(),"Other")</f>
        <v>NEED ATTENTION</v>
      </c>
      <c r="K2707" s="1" t="n">
        <f aca="false">RANK(E2707,$E$7:$E$4378)+COUNTIF($E$7:E2707,E2707)-1</f>
        <v>2270</v>
      </c>
    </row>
    <row r="2708" customFormat="false" ht="14.25" hidden="false" customHeight="true" outlineLevel="0" collapsed="false">
      <c r="A2708" s="51" t="n">
        <v>16006</v>
      </c>
      <c r="B2708" s="53" t="n">
        <v>40675.55</v>
      </c>
      <c r="C2708" s="57" t="n">
        <f aca="false">INT($C$2)-INT(Table3[[#This Row],[Last Purchase Date]])</f>
        <v>212</v>
      </c>
      <c r="D2708" s="1" t="n">
        <v>1</v>
      </c>
      <c r="E2708" s="1" t="n">
        <v>101.4</v>
      </c>
      <c r="F2708" s="1" t="n">
        <f aca="false">ROUND((1-_xlfn.PERCENTRANK.INC($C$7:$C$4378,C2708))*9,0)</f>
        <v>1</v>
      </c>
      <c r="G2708" s="1" t="n">
        <f aca="false">ROUND(_xlfn.PERCENTRANK.INC($D$7:$D$4378,D2708)*9,0)</f>
        <v>0</v>
      </c>
      <c r="H2708" s="1" t="n">
        <f aca="false">ROUND(_xlfn.PERCENTRANK.INC($E$7:$E$4378,E2708)*9,0)</f>
        <v>0</v>
      </c>
      <c r="I2708" s="1" t="str">
        <f aca="false">CONCATENATE(F2708,G2708,H2708)</f>
        <v>100</v>
      </c>
      <c r="J2708" s="1" t="str">
        <f aca="false">_xlfn.IFS(AND(F2708&gt;=8,G2708&gt;=8,H2708&gt;=8),"CHAMPION",AND(F2708&gt;=6,G2708&gt;=7,H2708&gt;=6),"LOYAL CUSTOMER",AND(F2708&gt;=6,G2708&gt;=5,H2708&gt;=5),"POTENTIAL LOYALIST",AND(F2708&gt;=8,G2708&lt;=2,H2708&gt;=5),"NEW CUSTOMERS",AND(F2708&gt;=6,G2708&lt;=2,H2708&gt;=3),"PROMISING",AND(F2708&gt;=3,G2708&gt;=3,H2708&gt;=3),"NEED ATTENTION",AND(F2708&lt;=4,G2708&gt;=6,H2708&gt;=6),"AT RISK",AND(F2708&lt;=2,G2708&gt;=8,H2708&gt;=8),"CAN'T LOSE THEM",AND(F2708&lt;=2,G2708&lt;=2,H2708&lt;=2),"HIBERNATING",TRUE(),"Other")</f>
        <v>HIBERNATING</v>
      </c>
      <c r="K2708" s="1" t="n">
        <f aca="false">RANK(E2708,$E$7:$E$4378)+COUNTIF($E$7:E2708,E2708)-1</f>
        <v>4150</v>
      </c>
    </row>
    <row r="2709" customFormat="false" ht="14.25" hidden="false" customHeight="true" outlineLevel="0" collapsed="false">
      <c r="A2709" s="51" t="n">
        <v>16007</v>
      </c>
      <c r="B2709" s="53" t="n">
        <v>40839.4618055556</v>
      </c>
      <c r="C2709" s="57" t="n">
        <f aca="false">INT($C$2)-INT(Table3[[#This Row],[Last Purchase Date]])</f>
        <v>48</v>
      </c>
      <c r="D2709" s="1" t="n">
        <v>4</v>
      </c>
      <c r="E2709" s="1" t="n">
        <v>1701.94</v>
      </c>
      <c r="F2709" s="1" t="n">
        <f aca="false">ROUND((1-_xlfn.PERCENTRANK.INC($C$7:$C$4378,C2709))*9,0)</f>
        <v>5</v>
      </c>
      <c r="G2709" s="1" t="n">
        <f aca="false">ROUND(_xlfn.PERCENTRANK.INC($D$7:$D$4378,D2709)*9,0)</f>
        <v>5</v>
      </c>
      <c r="H2709" s="1" t="n">
        <f aca="false">ROUND(_xlfn.PERCENTRANK.INC($E$7:$E$4378,E2709)*9,0)</f>
        <v>7</v>
      </c>
      <c r="I2709" s="1" t="str">
        <f aca="false">CONCATENATE(F2709,G2709,H2709)</f>
        <v>557</v>
      </c>
      <c r="J2709" s="1" t="str">
        <f aca="false">_xlfn.IFS(AND(F2709&gt;=8,G2709&gt;=8,H2709&gt;=8),"CHAMPION",AND(F2709&gt;=6,G2709&gt;=7,H2709&gt;=6),"LOYAL CUSTOMER",AND(F2709&gt;=6,G2709&gt;=5,H2709&gt;=5),"POTENTIAL LOYALIST",AND(F2709&gt;=8,G2709&lt;=2,H2709&gt;=5),"NEW CUSTOMERS",AND(F2709&gt;=6,G2709&lt;=2,H2709&gt;=3),"PROMISING",AND(F2709&gt;=3,G2709&gt;=3,H2709&gt;=3),"NEED ATTENTION",AND(F2709&lt;=4,G2709&gt;=6,H2709&gt;=6),"AT RISK",AND(F2709&lt;=2,G2709&gt;=8,H2709&gt;=8),"CAN'T LOSE THEM",AND(F2709&lt;=2,G2709&lt;=2,H2709&lt;=2),"HIBERNATING",TRUE(),"Other")</f>
        <v>NEED ATTENTION</v>
      </c>
      <c r="K2709" s="1" t="n">
        <f aca="false">RANK(E2709,$E$7:$E$4378)+COUNTIF($E$7:E2709,E2709)-1</f>
        <v>1037</v>
      </c>
    </row>
    <row r="2710" customFormat="false" ht="14.25" hidden="false" customHeight="true" outlineLevel="0" collapsed="false">
      <c r="A2710" s="51" t="n">
        <v>16008</v>
      </c>
      <c r="B2710" s="53" t="n">
        <v>40863.4388888889</v>
      </c>
      <c r="C2710" s="57" t="n">
        <f aca="false">INT($C$2)-INT(Table3[[#This Row],[Last Purchase Date]])</f>
        <v>24</v>
      </c>
      <c r="D2710" s="1" t="n">
        <v>3</v>
      </c>
      <c r="E2710" s="1" t="n">
        <v>478.78</v>
      </c>
      <c r="F2710" s="1" t="n">
        <f aca="false">ROUND((1-_xlfn.PERCENTRANK.INC($C$7:$C$4378,C2710))*9,0)</f>
        <v>6</v>
      </c>
      <c r="G2710" s="1" t="n">
        <f aca="false">ROUND(_xlfn.PERCENTRANK.INC($D$7:$D$4378,D2710)*9,0)</f>
        <v>4</v>
      </c>
      <c r="H2710" s="1" t="n">
        <f aca="false">ROUND(_xlfn.PERCENTRANK.INC($E$7:$E$4378,E2710)*9,0)</f>
        <v>4</v>
      </c>
      <c r="I2710" s="1" t="str">
        <f aca="false">CONCATENATE(F2710,G2710,H2710)</f>
        <v>644</v>
      </c>
      <c r="J2710" s="1" t="str">
        <f aca="false">_xlfn.IFS(AND(F2710&gt;=8,G2710&gt;=8,H2710&gt;=8),"CHAMPION",AND(F2710&gt;=6,G2710&gt;=7,H2710&gt;=6),"LOYAL CUSTOMER",AND(F2710&gt;=6,G2710&gt;=5,H2710&gt;=5),"POTENTIAL LOYALIST",AND(F2710&gt;=8,G2710&lt;=2,H2710&gt;=5),"NEW CUSTOMERS",AND(F2710&gt;=6,G2710&lt;=2,H2710&gt;=3),"PROMISING",AND(F2710&gt;=3,G2710&gt;=3,H2710&gt;=3),"NEED ATTENTION",AND(F2710&lt;=4,G2710&gt;=6,H2710&gt;=6),"AT RISK",AND(F2710&lt;=2,G2710&gt;=8,H2710&gt;=8),"CAN'T LOSE THEM",AND(F2710&lt;=2,G2710&lt;=2,H2710&lt;=2),"HIBERNATING",TRUE(),"Other")</f>
        <v>NEED ATTENTION</v>
      </c>
      <c r="K2710" s="1" t="n">
        <f aca="false">RANK(E2710,$E$7:$E$4378)+COUNTIF($E$7:E2710,E2710)-1</f>
        <v>2597</v>
      </c>
    </row>
    <row r="2711" customFormat="false" ht="14.25" hidden="false" customHeight="true" outlineLevel="0" collapsed="false">
      <c r="A2711" s="51" t="n">
        <v>16009</v>
      </c>
      <c r="B2711" s="53" t="n">
        <v>40864.7020833333</v>
      </c>
      <c r="C2711" s="57" t="n">
        <f aca="false">INT($C$2)-INT(Table3[[#This Row],[Last Purchase Date]])</f>
        <v>23</v>
      </c>
      <c r="D2711" s="1" t="n">
        <v>4</v>
      </c>
      <c r="E2711" s="1" t="n">
        <v>992.71</v>
      </c>
      <c r="F2711" s="1" t="n">
        <f aca="false">ROUND((1-_xlfn.PERCENTRANK.INC($C$7:$C$4378,C2711))*9,0)</f>
        <v>6</v>
      </c>
      <c r="G2711" s="1" t="n">
        <f aca="false">ROUND(_xlfn.PERCENTRANK.INC($D$7:$D$4378,D2711)*9,0)</f>
        <v>5</v>
      </c>
      <c r="H2711" s="1" t="n">
        <f aca="false">ROUND(_xlfn.PERCENTRANK.INC($E$7:$E$4378,E2711)*9,0)</f>
        <v>6</v>
      </c>
      <c r="I2711" s="1" t="str">
        <f aca="false">CONCATENATE(F2711,G2711,H2711)</f>
        <v>656</v>
      </c>
      <c r="J2711" s="1" t="str">
        <f aca="false">_xlfn.IFS(AND(F2711&gt;=8,G2711&gt;=8,H2711&gt;=8),"CHAMPION",AND(F2711&gt;=6,G2711&gt;=7,H2711&gt;=6),"LOYAL CUSTOMER",AND(F2711&gt;=6,G2711&gt;=5,H2711&gt;=5),"POTENTIAL LOYALIST",AND(F2711&gt;=8,G2711&lt;=2,H2711&gt;=5),"NEW CUSTOMERS",AND(F2711&gt;=6,G2711&lt;=2,H2711&gt;=3),"PROMISING",AND(F2711&gt;=3,G2711&gt;=3,H2711&gt;=3),"NEED ATTENTION",AND(F2711&lt;=4,G2711&gt;=6,H2711&gt;=6),"AT RISK",AND(F2711&lt;=2,G2711&gt;=8,H2711&gt;=8),"CAN'T LOSE THEM",AND(F2711&lt;=2,G2711&lt;=2,H2711&lt;=2),"HIBERNATING",TRUE(),"Other")</f>
        <v>POTENTIAL LOYALIST</v>
      </c>
      <c r="K2711" s="1" t="n">
        <f aca="false">RANK(E2711,$E$7:$E$4378)+COUNTIF($E$7:E2711,E2711)-1</f>
        <v>1642</v>
      </c>
    </row>
    <row r="2712" customFormat="false" ht="14.25" hidden="false" customHeight="true" outlineLevel="0" collapsed="false">
      <c r="A2712" s="51" t="n">
        <v>16010</v>
      </c>
      <c r="B2712" s="53" t="n">
        <v>40641.4263888889</v>
      </c>
      <c r="C2712" s="57" t="n">
        <f aca="false">INT($C$2)-INT(Table3[[#This Row],[Last Purchase Date]])</f>
        <v>246</v>
      </c>
      <c r="D2712" s="1" t="n">
        <v>3</v>
      </c>
      <c r="E2712" s="1" t="n">
        <v>407.5</v>
      </c>
      <c r="F2712" s="1" t="n">
        <f aca="false">ROUND((1-_xlfn.PERCENTRANK.INC($C$7:$C$4378,C2712))*9,0)</f>
        <v>1</v>
      </c>
      <c r="G2712" s="1" t="n">
        <f aca="false">ROUND(_xlfn.PERCENTRANK.INC($D$7:$D$4378,D2712)*9,0)</f>
        <v>4</v>
      </c>
      <c r="H2712" s="1" t="n">
        <f aca="false">ROUND(_xlfn.PERCENTRANK.INC($E$7:$E$4378,E2712)*9,0)</f>
        <v>3</v>
      </c>
      <c r="I2712" s="1" t="str">
        <f aca="false">CONCATENATE(F2712,G2712,H2712)</f>
        <v>143</v>
      </c>
      <c r="J2712" s="1" t="str">
        <f aca="false">_xlfn.IFS(AND(F2712&gt;=8,G2712&gt;=8,H2712&gt;=8),"CHAMPION",AND(F2712&gt;=6,G2712&gt;=7,H2712&gt;=6),"LOYAL CUSTOMER",AND(F2712&gt;=6,G2712&gt;=5,H2712&gt;=5),"POTENTIAL LOYALIST",AND(F2712&gt;=8,G2712&lt;=2,H2712&gt;=5),"NEW CUSTOMERS",AND(F2712&gt;=6,G2712&lt;=2,H2712&gt;=3),"PROMISING",AND(F2712&gt;=3,G2712&gt;=3,H2712&gt;=3),"NEED ATTENTION",AND(F2712&lt;=4,G2712&gt;=6,H2712&gt;=6),"AT RISK",AND(F2712&lt;=2,G2712&gt;=8,H2712&gt;=8),"CAN'T LOSE THEM",AND(F2712&lt;=2,G2712&lt;=2,H2712&lt;=2),"HIBERNATING",TRUE(),"Other")</f>
        <v>Other</v>
      </c>
      <c r="K2712" s="1" t="n">
        <f aca="false">RANK(E2712,$E$7:$E$4378)+COUNTIF($E$7:E2712,E2712)-1</f>
        <v>2800</v>
      </c>
    </row>
    <row r="2713" customFormat="false" ht="14.25" hidden="false" customHeight="true" outlineLevel="0" collapsed="false">
      <c r="A2713" s="51" t="n">
        <v>16011</v>
      </c>
      <c r="B2713" s="53" t="n">
        <v>40878.6881944445</v>
      </c>
      <c r="C2713" s="57" t="n">
        <f aca="false">INT($C$2)-INT(Table3[[#This Row],[Last Purchase Date]])</f>
        <v>9</v>
      </c>
      <c r="D2713" s="1" t="n">
        <v>16</v>
      </c>
      <c r="E2713" s="1" t="n">
        <v>3362.71</v>
      </c>
      <c r="F2713" s="1" t="n">
        <f aca="false">ROUND((1-_xlfn.PERCENTRANK.INC($C$7:$C$4378,C2713))*9,0)</f>
        <v>8</v>
      </c>
      <c r="G2713" s="1" t="n">
        <f aca="false">ROUND(_xlfn.PERCENTRANK.INC($D$7:$D$4378,D2713)*9,0)</f>
        <v>9</v>
      </c>
      <c r="H2713" s="1" t="n">
        <f aca="false">ROUND(_xlfn.PERCENTRANK.INC($E$7:$E$4378,E2713)*9,0)</f>
        <v>8</v>
      </c>
      <c r="I2713" s="1" t="str">
        <f aca="false">CONCATENATE(F2713,G2713,H2713)</f>
        <v>898</v>
      </c>
      <c r="J2713" s="1" t="str">
        <f aca="false">_xlfn.IFS(AND(F2713&gt;=8,G2713&gt;=8,H2713&gt;=8),"CHAMPION",AND(F2713&gt;=6,G2713&gt;=7,H2713&gt;=6),"LOYAL CUSTOMER",AND(F2713&gt;=6,G2713&gt;=5,H2713&gt;=5),"POTENTIAL LOYALIST",AND(F2713&gt;=8,G2713&lt;=2,H2713&gt;=5),"NEW CUSTOMERS",AND(F2713&gt;=6,G2713&lt;=2,H2713&gt;=3),"PROMISING",AND(F2713&gt;=3,G2713&gt;=3,H2713&gt;=3),"NEED ATTENTION",AND(F2713&lt;=4,G2713&gt;=6,H2713&gt;=6),"AT RISK",AND(F2713&lt;=2,G2713&gt;=8,H2713&gt;=8),"CAN'T LOSE THEM",AND(F2713&lt;=2,G2713&lt;=2,H2713&lt;=2),"HIBERNATING",TRUE(),"Other")</f>
        <v>CHAMPION</v>
      </c>
      <c r="K2713" s="1" t="n">
        <f aca="false">RANK(E2713,$E$7:$E$4378)+COUNTIF($E$7:E2713,E2713)-1</f>
        <v>466</v>
      </c>
    </row>
    <row r="2714" customFormat="false" ht="14.25" hidden="false" customHeight="true" outlineLevel="0" collapsed="false">
      <c r="A2714" s="51" t="n">
        <v>16012</v>
      </c>
      <c r="B2714" s="53" t="n">
        <v>40851.5590277778</v>
      </c>
      <c r="C2714" s="57" t="n">
        <f aca="false">INT($C$2)-INT(Table3[[#This Row],[Last Purchase Date]])</f>
        <v>36</v>
      </c>
      <c r="D2714" s="1" t="n">
        <v>3</v>
      </c>
      <c r="E2714" s="1" t="n">
        <v>1415.29</v>
      </c>
      <c r="F2714" s="1" t="n">
        <f aca="false">ROUND((1-_xlfn.PERCENTRANK.INC($C$7:$C$4378,C2714))*9,0)</f>
        <v>5</v>
      </c>
      <c r="G2714" s="1" t="n">
        <f aca="false">ROUND(_xlfn.PERCENTRANK.INC($D$7:$D$4378,D2714)*9,0)</f>
        <v>4</v>
      </c>
      <c r="H2714" s="1" t="n">
        <f aca="false">ROUND(_xlfn.PERCENTRANK.INC($E$7:$E$4378,E2714)*9,0)</f>
        <v>6</v>
      </c>
      <c r="I2714" s="1" t="str">
        <f aca="false">CONCATENATE(F2714,G2714,H2714)</f>
        <v>546</v>
      </c>
      <c r="J2714" s="1" t="str">
        <f aca="false">_xlfn.IFS(AND(F2714&gt;=8,G2714&gt;=8,H2714&gt;=8),"CHAMPION",AND(F2714&gt;=6,G2714&gt;=7,H2714&gt;=6),"LOYAL CUSTOMER",AND(F2714&gt;=6,G2714&gt;=5,H2714&gt;=5),"POTENTIAL LOYALIST",AND(F2714&gt;=8,G2714&lt;=2,H2714&gt;=5),"NEW CUSTOMERS",AND(F2714&gt;=6,G2714&lt;=2,H2714&gt;=3),"PROMISING",AND(F2714&gt;=3,G2714&gt;=3,H2714&gt;=3),"NEED ATTENTION",AND(F2714&lt;=4,G2714&gt;=6,H2714&gt;=6),"AT RISK",AND(F2714&lt;=2,G2714&gt;=8,H2714&gt;=8),"CAN'T LOSE THEM",AND(F2714&lt;=2,G2714&lt;=2,H2714&lt;=2),"HIBERNATING",TRUE(),"Other")</f>
        <v>NEED ATTENTION</v>
      </c>
      <c r="K2714" s="1" t="n">
        <f aca="false">RANK(E2714,$E$7:$E$4378)+COUNTIF($E$7:E2714,E2714)-1</f>
        <v>1226</v>
      </c>
    </row>
    <row r="2715" customFormat="false" ht="14.25" hidden="false" customHeight="true" outlineLevel="0" collapsed="false">
      <c r="A2715" s="51" t="n">
        <v>16013</v>
      </c>
      <c r="B2715" s="53" t="n">
        <v>40883.4416666667</v>
      </c>
      <c r="C2715" s="57" t="n">
        <f aca="false">INT($C$2)-INT(Table3[[#This Row],[Last Purchase Date]])</f>
        <v>4</v>
      </c>
      <c r="D2715" s="1" t="n">
        <v>54</v>
      </c>
      <c r="E2715" s="1" t="n">
        <v>33366.25</v>
      </c>
      <c r="F2715" s="1" t="n">
        <f aca="false">ROUND((1-_xlfn.PERCENTRANK.INC($C$7:$C$4378,C2715))*9,0)</f>
        <v>8</v>
      </c>
      <c r="G2715" s="1" t="n">
        <f aca="false">ROUND(_xlfn.PERCENTRANK.INC($D$7:$D$4378,D2715)*9,0)</f>
        <v>9</v>
      </c>
      <c r="H2715" s="1" t="n">
        <f aca="false">ROUND(_xlfn.PERCENTRANK.INC($E$7:$E$4378,E2715)*9,0)</f>
        <v>9</v>
      </c>
      <c r="I2715" s="1" t="str">
        <f aca="false">CONCATENATE(F2715,G2715,H2715)</f>
        <v>899</v>
      </c>
      <c r="J2715" s="1" t="str">
        <f aca="false">_xlfn.IFS(AND(F2715&gt;=8,G2715&gt;=8,H2715&gt;=8),"CHAMPION",AND(F2715&gt;=6,G2715&gt;=7,H2715&gt;=6),"LOYAL CUSTOMER",AND(F2715&gt;=6,G2715&gt;=5,H2715&gt;=5),"POTENTIAL LOYALIST",AND(F2715&gt;=8,G2715&lt;=2,H2715&gt;=5),"NEW CUSTOMERS",AND(F2715&gt;=6,G2715&lt;=2,H2715&gt;=3),"PROMISING",AND(F2715&gt;=3,G2715&gt;=3,H2715&gt;=3),"NEED ATTENTION",AND(F2715&lt;=4,G2715&gt;=6,H2715&gt;=6),"AT RISK",AND(F2715&lt;=2,G2715&gt;=8,H2715&gt;=8),"CAN'T LOSE THEM",AND(F2715&lt;=2,G2715&lt;=2,H2715&lt;=2),"HIBERNATING",TRUE(),"Other")</f>
        <v>CHAMPION</v>
      </c>
      <c r="K2715" s="1" t="n">
        <f aca="false">RANK(E2715,$E$7:$E$4378)+COUNTIF($E$7:E2715,E2715)-1</f>
        <v>23</v>
      </c>
    </row>
    <row r="2716" customFormat="false" ht="14.25" hidden="false" customHeight="true" outlineLevel="0" collapsed="false">
      <c r="A2716" s="51" t="n">
        <v>16014</v>
      </c>
      <c r="B2716" s="53" t="n">
        <v>40851.4743055556</v>
      </c>
      <c r="C2716" s="57" t="n">
        <f aca="false">INT($C$2)-INT(Table3[[#This Row],[Last Purchase Date]])</f>
        <v>36</v>
      </c>
      <c r="D2716" s="1" t="n">
        <v>4</v>
      </c>
      <c r="E2716" s="1" t="n">
        <v>653.13</v>
      </c>
      <c r="F2716" s="1" t="n">
        <f aca="false">ROUND((1-_xlfn.PERCENTRANK.INC($C$7:$C$4378,C2716))*9,0)</f>
        <v>5</v>
      </c>
      <c r="G2716" s="1" t="n">
        <f aca="false">ROUND(_xlfn.PERCENTRANK.INC($D$7:$D$4378,D2716)*9,0)</f>
        <v>5</v>
      </c>
      <c r="H2716" s="1" t="n">
        <f aca="false">ROUND(_xlfn.PERCENTRANK.INC($E$7:$E$4378,E2716)*9,0)</f>
        <v>5</v>
      </c>
      <c r="I2716" s="1" t="str">
        <f aca="false">CONCATENATE(F2716,G2716,H2716)</f>
        <v>555</v>
      </c>
      <c r="J2716" s="1" t="str">
        <f aca="false">_xlfn.IFS(AND(F2716&gt;=8,G2716&gt;=8,H2716&gt;=8),"CHAMPION",AND(F2716&gt;=6,G2716&gt;=7,H2716&gt;=6),"LOYAL CUSTOMER",AND(F2716&gt;=6,G2716&gt;=5,H2716&gt;=5),"POTENTIAL LOYALIST",AND(F2716&gt;=8,G2716&lt;=2,H2716&gt;=5),"NEW CUSTOMERS",AND(F2716&gt;=6,G2716&lt;=2,H2716&gt;=3),"PROMISING",AND(F2716&gt;=3,G2716&gt;=3,H2716&gt;=3),"NEED ATTENTION",AND(F2716&lt;=4,G2716&gt;=6,H2716&gt;=6),"AT RISK",AND(F2716&lt;=2,G2716&gt;=8,H2716&gt;=8),"CAN'T LOSE THEM",AND(F2716&lt;=2,G2716&lt;=2,H2716&lt;=2),"HIBERNATING",TRUE(),"Other")</f>
        <v>NEED ATTENTION</v>
      </c>
      <c r="K2716" s="1" t="n">
        <f aca="false">RANK(E2716,$E$7:$E$4378)+COUNTIF($E$7:E2716,E2716)-1</f>
        <v>2174</v>
      </c>
    </row>
    <row r="2717" customFormat="false" ht="14.25" hidden="false" customHeight="true" outlineLevel="0" collapsed="false">
      <c r="A2717" s="51" t="n">
        <v>16015</v>
      </c>
      <c r="B2717" s="53" t="n">
        <v>40883.4569444444</v>
      </c>
      <c r="C2717" s="57" t="n">
        <f aca="false">INT($C$2)-INT(Table3[[#This Row],[Last Purchase Date]])</f>
        <v>4</v>
      </c>
      <c r="D2717" s="1" t="n">
        <v>4</v>
      </c>
      <c r="E2717" s="1" t="n">
        <v>690.54</v>
      </c>
      <c r="F2717" s="1" t="n">
        <f aca="false">ROUND((1-_xlfn.PERCENTRANK.INC($C$7:$C$4378,C2717))*9,0)</f>
        <v>8</v>
      </c>
      <c r="G2717" s="1" t="n">
        <f aca="false">ROUND(_xlfn.PERCENTRANK.INC($D$7:$D$4378,D2717)*9,0)</f>
        <v>5</v>
      </c>
      <c r="H2717" s="1" t="n">
        <f aca="false">ROUND(_xlfn.PERCENTRANK.INC($E$7:$E$4378,E2717)*9,0)</f>
        <v>5</v>
      </c>
      <c r="I2717" s="1" t="str">
        <f aca="false">CONCATENATE(F2717,G2717,H2717)</f>
        <v>855</v>
      </c>
      <c r="J2717" s="1" t="str">
        <f aca="false">_xlfn.IFS(AND(F2717&gt;=8,G2717&gt;=8,H2717&gt;=8),"CHAMPION",AND(F2717&gt;=6,G2717&gt;=7,H2717&gt;=6),"LOYAL CUSTOMER",AND(F2717&gt;=6,G2717&gt;=5,H2717&gt;=5),"POTENTIAL LOYALIST",AND(F2717&gt;=8,G2717&lt;=2,H2717&gt;=5),"NEW CUSTOMERS",AND(F2717&gt;=6,G2717&lt;=2,H2717&gt;=3),"PROMISING",AND(F2717&gt;=3,G2717&gt;=3,H2717&gt;=3),"NEED ATTENTION",AND(F2717&lt;=4,G2717&gt;=6,H2717&gt;=6),"AT RISK",AND(F2717&lt;=2,G2717&gt;=8,H2717&gt;=8),"CAN'T LOSE THEM",AND(F2717&lt;=2,G2717&lt;=2,H2717&lt;=2),"HIBERNATING",TRUE(),"Other")</f>
        <v>POTENTIAL LOYALIST</v>
      </c>
      <c r="K2717" s="1" t="n">
        <f aca="false">RANK(E2717,$E$7:$E$4378)+COUNTIF($E$7:E2717,E2717)-1</f>
        <v>2080</v>
      </c>
    </row>
    <row r="2718" customFormat="false" ht="14.25" hidden="false" customHeight="true" outlineLevel="0" collapsed="false">
      <c r="A2718" s="51" t="n">
        <v>16016</v>
      </c>
      <c r="B2718" s="53" t="n">
        <v>40883.6076388889</v>
      </c>
      <c r="C2718" s="57" t="n">
        <f aca="false">INT($C$2)-INT(Table3[[#This Row],[Last Purchase Date]])</f>
        <v>4</v>
      </c>
      <c r="D2718" s="1" t="n">
        <v>10</v>
      </c>
      <c r="E2718" s="1" t="n">
        <v>1483.31</v>
      </c>
      <c r="F2718" s="1" t="n">
        <f aca="false">ROUND((1-_xlfn.PERCENTRANK.INC($C$7:$C$4378,C2718))*9,0)</f>
        <v>8</v>
      </c>
      <c r="G2718" s="1" t="n">
        <f aca="false">ROUND(_xlfn.PERCENTRANK.INC($D$7:$D$4378,D2718)*9,0)</f>
        <v>8</v>
      </c>
      <c r="H2718" s="1" t="n">
        <f aca="false">ROUND(_xlfn.PERCENTRANK.INC($E$7:$E$4378,E2718)*9,0)</f>
        <v>7</v>
      </c>
      <c r="I2718" s="1" t="str">
        <f aca="false">CONCATENATE(F2718,G2718,H2718)</f>
        <v>887</v>
      </c>
      <c r="J2718" s="1" t="str">
        <f aca="false">_xlfn.IFS(AND(F2718&gt;=8,G2718&gt;=8,H2718&gt;=8),"CHAMPION",AND(F2718&gt;=6,G2718&gt;=7,H2718&gt;=6),"LOYAL CUSTOMER",AND(F2718&gt;=6,G2718&gt;=5,H2718&gt;=5),"POTENTIAL LOYALIST",AND(F2718&gt;=8,G2718&lt;=2,H2718&gt;=5),"NEW CUSTOMERS",AND(F2718&gt;=6,G2718&lt;=2,H2718&gt;=3),"PROMISING",AND(F2718&gt;=3,G2718&gt;=3,H2718&gt;=3),"NEED ATTENTION",AND(F2718&lt;=4,G2718&gt;=6,H2718&gt;=6),"AT RISK",AND(F2718&lt;=2,G2718&gt;=8,H2718&gt;=8),"CAN'T LOSE THEM",AND(F2718&lt;=2,G2718&lt;=2,H2718&lt;=2),"HIBERNATING",TRUE(),"Other")</f>
        <v>LOYAL CUSTOMER</v>
      </c>
      <c r="K2718" s="1" t="n">
        <f aca="false">RANK(E2718,$E$7:$E$4378)+COUNTIF($E$7:E2718,E2718)-1</f>
        <v>1181</v>
      </c>
    </row>
    <row r="2719" customFormat="false" ht="14.25" hidden="false" customHeight="true" outlineLevel="0" collapsed="false">
      <c r="A2719" s="51" t="n">
        <v>16017</v>
      </c>
      <c r="B2719" s="53" t="n">
        <v>40839.5388888889</v>
      </c>
      <c r="C2719" s="57" t="n">
        <f aca="false">INT($C$2)-INT(Table3[[#This Row],[Last Purchase Date]])</f>
        <v>48</v>
      </c>
      <c r="D2719" s="1" t="n">
        <v>1</v>
      </c>
      <c r="E2719" s="1" t="n">
        <v>211.88</v>
      </c>
      <c r="F2719" s="1" t="n">
        <f aca="false">ROUND((1-_xlfn.PERCENTRANK.INC($C$7:$C$4378,C2719))*9,0)</f>
        <v>5</v>
      </c>
      <c r="G2719" s="1" t="n">
        <f aca="false">ROUND(_xlfn.PERCENTRANK.INC($D$7:$D$4378,D2719)*9,0)</f>
        <v>0</v>
      </c>
      <c r="H2719" s="1" t="n">
        <f aca="false">ROUND(_xlfn.PERCENTRANK.INC($E$7:$E$4378,E2719)*9,0)</f>
        <v>2</v>
      </c>
      <c r="I2719" s="1" t="str">
        <f aca="false">CONCATENATE(F2719,G2719,H2719)</f>
        <v>502</v>
      </c>
      <c r="J2719" s="1" t="str">
        <f aca="false">_xlfn.IFS(AND(F2719&gt;=8,G2719&gt;=8,H2719&gt;=8),"CHAMPION",AND(F2719&gt;=6,G2719&gt;=7,H2719&gt;=6),"LOYAL CUSTOMER",AND(F2719&gt;=6,G2719&gt;=5,H2719&gt;=5),"POTENTIAL LOYALIST",AND(F2719&gt;=8,G2719&lt;=2,H2719&gt;=5),"NEW CUSTOMERS",AND(F2719&gt;=6,G2719&lt;=2,H2719&gt;=3),"PROMISING",AND(F2719&gt;=3,G2719&gt;=3,H2719&gt;=3),"NEED ATTENTION",AND(F2719&lt;=4,G2719&gt;=6,H2719&gt;=6),"AT RISK",AND(F2719&lt;=2,G2719&gt;=8,H2719&gt;=8),"CAN'T LOSE THEM",AND(F2719&lt;=2,G2719&lt;=2,H2719&lt;=2),"HIBERNATING",TRUE(),"Other")</f>
        <v>Other</v>
      </c>
      <c r="K2719" s="1" t="n">
        <f aca="false">RANK(E2719,$E$7:$E$4378)+COUNTIF($E$7:E2719,E2719)-1</f>
        <v>3608</v>
      </c>
    </row>
    <row r="2720" customFormat="false" ht="14.25" hidden="false" customHeight="true" outlineLevel="0" collapsed="false">
      <c r="A2720" s="51" t="n">
        <v>16018</v>
      </c>
      <c r="B2720" s="53" t="n">
        <v>40847.5923611111</v>
      </c>
      <c r="C2720" s="57" t="n">
        <f aca="false">INT($C$2)-INT(Table3[[#This Row],[Last Purchase Date]])</f>
        <v>40</v>
      </c>
      <c r="D2720" s="1" t="n">
        <v>2</v>
      </c>
      <c r="E2720" s="1" t="n">
        <v>408.9</v>
      </c>
      <c r="F2720" s="1" t="n">
        <f aca="false">ROUND((1-_xlfn.PERCENTRANK.INC($C$7:$C$4378,C2720))*9,0)</f>
        <v>5</v>
      </c>
      <c r="G2720" s="1" t="n">
        <f aca="false">ROUND(_xlfn.PERCENTRANK.INC($D$7:$D$4378,D2720)*9,0)</f>
        <v>3</v>
      </c>
      <c r="H2720" s="1" t="n">
        <f aca="false">ROUND(_xlfn.PERCENTRANK.INC($E$7:$E$4378,E2720)*9,0)</f>
        <v>3</v>
      </c>
      <c r="I2720" s="1" t="str">
        <f aca="false">CONCATENATE(F2720,G2720,H2720)</f>
        <v>533</v>
      </c>
      <c r="J2720" s="1" t="str">
        <f aca="false">_xlfn.IFS(AND(F2720&gt;=8,G2720&gt;=8,H2720&gt;=8),"CHAMPION",AND(F2720&gt;=6,G2720&gt;=7,H2720&gt;=6),"LOYAL CUSTOMER",AND(F2720&gt;=6,G2720&gt;=5,H2720&gt;=5),"POTENTIAL LOYALIST",AND(F2720&gt;=8,G2720&lt;=2,H2720&gt;=5),"NEW CUSTOMERS",AND(F2720&gt;=6,G2720&lt;=2,H2720&gt;=3),"PROMISING",AND(F2720&gt;=3,G2720&gt;=3,H2720&gt;=3),"NEED ATTENTION",AND(F2720&lt;=4,G2720&gt;=6,H2720&gt;=6),"AT RISK",AND(F2720&lt;=2,G2720&gt;=8,H2720&gt;=8),"CAN'T LOSE THEM",AND(F2720&lt;=2,G2720&lt;=2,H2720&lt;=2),"HIBERNATING",TRUE(),"Other")</f>
        <v>NEED ATTENTION</v>
      </c>
      <c r="K2720" s="1" t="n">
        <f aca="false">RANK(E2720,$E$7:$E$4378)+COUNTIF($E$7:E2720,E2720)-1</f>
        <v>2796</v>
      </c>
    </row>
    <row r="2721" customFormat="false" ht="14.25" hidden="false" customHeight="true" outlineLevel="0" collapsed="false">
      <c r="A2721" s="51" t="n">
        <v>16019</v>
      </c>
      <c r="B2721" s="53" t="n">
        <v>40885.4208333333</v>
      </c>
      <c r="C2721" s="57" t="n">
        <f aca="false">INT($C$2)-INT(Table3[[#This Row],[Last Purchase Date]])</f>
        <v>2</v>
      </c>
      <c r="D2721" s="1" t="n">
        <v>10</v>
      </c>
      <c r="E2721" s="1" t="n">
        <v>3450.24</v>
      </c>
      <c r="F2721" s="1" t="n">
        <f aca="false">ROUND((1-_xlfn.PERCENTRANK.INC($C$7:$C$4378,C2721))*9,0)</f>
        <v>9</v>
      </c>
      <c r="G2721" s="1" t="n">
        <f aca="false">ROUND(_xlfn.PERCENTRANK.INC($D$7:$D$4378,D2721)*9,0)</f>
        <v>8</v>
      </c>
      <c r="H2721" s="1" t="n">
        <f aca="false">ROUND(_xlfn.PERCENTRANK.INC($E$7:$E$4378,E2721)*9,0)</f>
        <v>8</v>
      </c>
      <c r="I2721" s="1" t="str">
        <f aca="false">CONCATENATE(F2721,G2721,H2721)</f>
        <v>988</v>
      </c>
      <c r="J2721" s="1" t="str">
        <f aca="false">_xlfn.IFS(AND(F2721&gt;=8,G2721&gt;=8,H2721&gt;=8),"CHAMPION",AND(F2721&gt;=6,G2721&gt;=7,H2721&gt;=6),"LOYAL CUSTOMER",AND(F2721&gt;=6,G2721&gt;=5,H2721&gt;=5),"POTENTIAL LOYALIST",AND(F2721&gt;=8,G2721&lt;=2,H2721&gt;=5),"NEW CUSTOMERS",AND(F2721&gt;=6,G2721&lt;=2,H2721&gt;=3),"PROMISING",AND(F2721&gt;=3,G2721&gt;=3,H2721&gt;=3),"NEED ATTENTION",AND(F2721&lt;=4,G2721&gt;=6,H2721&gt;=6),"AT RISK",AND(F2721&lt;=2,G2721&gt;=8,H2721&gt;=8),"CAN'T LOSE THEM",AND(F2721&lt;=2,G2721&lt;=2,H2721&lt;=2),"HIBERNATING",TRUE(),"Other")</f>
        <v>CHAMPION</v>
      </c>
      <c r="K2721" s="1" t="n">
        <f aca="false">RANK(E2721,$E$7:$E$4378)+COUNTIF($E$7:E2721,E2721)-1</f>
        <v>449</v>
      </c>
    </row>
    <row r="2722" customFormat="false" ht="14.25" hidden="false" customHeight="true" outlineLevel="0" collapsed="false">
      <c r="A2722" s="51" t="n">
        <v>16020</v>
      </c>
      <c r="B2722" s="53" t="n">
        <v>40870.4708333333</v>
      </c>
      <c r="C2722" s="57" t="n">
        <f aca="false">INT($C$2)-INT(Table3[[#This Row],[Last Purchase Date]])</f>
        <v>17</v>
      </c>
      <c r="D2722" s="1" t="n">
        <v>3</v>
      </c>
      <c r="E2722" s="1" t="n">
        <v>851.01</v>
      </c>
      <c r="F2722" s="1" t="n">
        <f aca="false">ROUND((1-_xlfn.PERCENTRANK.INC($C$7:$C$4378,C2722))*9,0)</f>
        <v>7</v>
      </c>
      <c r="G2722" s="1" t="n">
        <f aca="false">ROUND(_xlfn.PERCENTRANK.INC($D$7:$D$4378,D2722)*9,0)</f>
        <v>4</v>
      </c>
      <c r="H2722" s="1" t="n">
        <f aca="false">ROUND(_xlfn.PERCENTRANK.INC($E$7:$E$4378,E2722)*9,0)</f>
        <v>5</v>
      </c>
      <c r="I2722" s="1" t="str">
        <f aca="false">CONCATENATE(F2722,G2722,H2722)</f>
        <v>745</v>
      </c>
      <c r="J2722" s="1" t="str">
        <f aca="false">_xlfn.IFS(AND(F2722&gt;=8,G2722&gt;=8,H2722&gt;=8),"CHAMPION",AND(F2722&gt;=6,G2722&gt;=7,H2722&gt;=6),"LOYAL CUSTOMER",AND(F2722&gt;=6,G2722&gt;=5,H2722&gt;=5),"POTENTIAL LOYALIST",AND(F2722&gt;=8,G2722&lt;=2,H2722&gt;=5),"NEW CUSTOMERS",AND(F2722&gt;=6,G2722&lt;=2,H2722&gt;=3),"PROMISING",AND(F2722&gt;=3,G2722&gt;=3,H2722&gt;=3),"NEED ATTENTION",AND(F2722&lt;=4,G2722&gt;=6,H2722&gt;=6),"AT RISK",AND(F2722&lt;=2,G2722&gt;=8,H2722&gt;=8),"CAN'T LOSE THEM",AND(F2722&lt;=2,G2722&lt;=2,H2722&lt;=2),"HIBERNATING",TRUE(),"Other")</f>
        <v>NEED ATTENTION</v>
      </c>
      <c r="K2722" s="1" t="n">
        <f aca="false">RANK(E2722,$E$7:$E$4378)+COUNTIF($E$7:E2722,E2722)-1</f>
        <v>1828</v>
      </c>
    </row>
    <row r="2723" customFormat="false" ht="14.25" hidden="false" customHeight="true" outlineLevel="0" collapsed="false">
      <c r="A2723" s="51" t="n">
        <v>16022</v>
      </c>
      <c r="B2723" s="53" t="n">
        <v>40626.5527777778</v>
      </c>
      <c r="C2723" s="57" t="n">
        <f aca="false">INT($C$2)-INT(Table3[[#This Row],[Last Purchase Date]])</f>
        <v>261</v>
      </c>
      <c r="D2723" s="1" t="n">
        <v>1</v>
      </c>
      <c r="E2723" s="1" t="n">
        <v>628.28</v>
      </c>
      <c r="F2723" s="1" t="n">
        <f aca="false">ROUND((1-_xlfn.PERCENTRANK.INC($C$7:$C$4378,C2723))*9,0)</f>
        <v>1</v>
      </c>
      <c r="G2723" s="1" t="n">
        <f aca="false">ROUND(_xlfn.PERCENTRANK.INC($D$7:$D$4378,D2723)*9,0)</f>
        <v>0</v>
      </c>
      <c r="H2723" s="1" t="n">
        <f aca="false">ROUND(_xlfn.PERCENTRANK.INC($E$7:$E$4378,E2723)*9,0)</f>
        <v>4</v>
      </c>
      <c r="I2723" s="1" t="str">
        <f aca="false">CONCATENATE(F2723,G2723,H2723)</f>
        <v>104</v>
      </c>
      <c r="J2723" s="1" t="str">
        <f aca="false">_xlfn.IFS(AND(F2723&gt;=8,G2723&gt;=8,H2723&gt;=8),"CHAMPION",AND(F2723&gt;=6,G2723&gt;=7,H2723&gt;=6),"LOYAL CUSTOMER",AND(F2723&gt;=6,G2723&gt;=5,H2723&gt;=5),"POTENTIAL LOYALIST",AND(F2723&gt;=8,G2723&lt;=2,H2723&gt;=5),"NEW CUSTOMERS",AND(F2723&gt;=6,G2723&lt;=2,H2723&gt;=3),"PROMISING",AND(F2723&gt;=3,G2723&gt;=3,H2723&gt;=3),"NEED ATTENTION",AND(F2723&lt;=4,G2723&gt;=6,H2723&gt;=6),"AT RISK",AND(F2723&lt;=2,G2723&gt;=8,H2723&gt;=8),"CAN'T LOSE THEM",AND(F2723&lt;=2,G2723&lt;=2,H2723&lt;=2),"HIBERNATING",TRUE(),"Other")</f>
        <v>Other</v>
      </c>
      <c r="K2723" s="1" t="n">
        <f aca="false">RANK(E2723,$E$7:$E$4378)+COUNTIF($E$7:E2723,E2723)-1</f>
        <v>2237</v>
      </c>
    </row>
    <row r="2724" customFormat="false" ht="14.25" hidden="false" customHeight="true" outlineLevel="0" collapsed="false">
      <c r="A2724" s="51" t="n">
        <v>16023</v>
      </c>
      <c r="B2724" s="53" t="n">
        <v>40840.6902777778</v>
      </c>
      <c r="C2724" s="57" t="n">
        <f aca="false">INT($C$2)-INT(Table3[[#This Row],[Last Purchase Date]])</f>
        <v>47</v>
      </c>
      <c r="D2724" s="1" t="n">
        <v>3</v>
      </c>
      <c r="E2724" s="1" t="n">
        <v>719.81</v>
      </c>
      <c r="F2724" s="1" t="n">
        <f aca="false">ROUND((1-_xlfn.PERCENTRANK.INC($C$7:$C$4378,C2724))*9,0)</f>
        <v>5</v>
      </c>
      <c r="G2724" s="1" t="n">
        <f aca="false">ROUND(_xlfn.PERCENTRANK.INC($D$7:$D$4378,D2724)*9,0)</f>
        <v>4</v>
      </c>
      <c r="H2724" s="1" t="n">
        <f aca="false">ROUND(_xlfn.PERCENTRANK.INC($E$7:$E$4378,E2724)*9,0)</f>
        <v>5</v>
      </c>
      <c r="I2724" s="1" t="str">
        <f aca="false">CONCATENATE(F2724,G2724,H2724)</f>
        <v>545</v>
      </c>
      <c r="J2724" s="1" t="str">
        <f aca="false">_xlfn.IFS(AND(F2724&gt;=8,G2724&gt;=8,H2724&gt;=8),"CHAMPION",AND(F2724&gt;=6,G2724&gt;=7,H2724&gt;=6),"LOYAL CUSTOMER",AND(F2724&gt;=6,G2724&gt;=5,H2724&gt;=5),"POTENTIAL LOYALIST",AND(F2724&gt;=8,G2724&lt;=2,H2724&gt;=5),"NEW CUSTOMERS",AND(F2724&gt;=6,G2724&lt;=2,H2724&gt;=3),"PROMISING",AND(F2724&gt;=3,G2724&gt;=3,H2724&gt;=3),"NEED ATTENTION",AND(F2724&lt;=4,G2724&gt;=6,H2724&gt;=6),"AT RISK",AND(F2724&lt;=2,G2724&gt;=8,H2724&gt;=8),"CAN'T LOSE THEM",AND(F2724&lt;=2,G2724&lt;=2,H2724&lt;=2),"HIBERNATING",TRUE(),"Other")</f>
        <v>NEED ATTENTION</v>
      </c>
      <c r="K2724" s="1" t="n">
        <f aca="false">RANK(E2724,$E$7:$E$4378)+COUNTIF($E$7:E2724,E2724)-1</f>
        <v>2028</v>
      </c>
    </row>
    <row r="2725" customFormat="false" ht="14.25" hidden="false" customHeight="true" outlineLevel="0" collapsed="false">
      <c r="A2725" s="51" t="n">
        <v>16024</v>
      </c>
      <c r="B2725" s="53" t="n">
        <v>40874.5597222222</v>
      </c>
      <c r="C2725" s="57" t="n">
        <f aca="false">INT($C$2)-INT(Table3[[#This Row],[Last Purchase Date]])</f>
        <v>13</v>
      </c>
      <c r="D2725" s="1" t="n">
        <v>1</v>
      </c>
      <c r="E2725" s="1" t="n">
        <v>251.24</v>
      </c>
      <c r="F2725" s="1" t="n">
        <f aca="false">ROUND((1-_xlfn.PERCENTRANK.INC($C$7:$C$4378,C2725))*9,0)</f>
        <v>7</v>
      </c>
      <c r="G2725" s="1" t="n">
        <f aca="false">ROUND(_xlfn.PERCENTRANK.INC($D$7:$D$4378,D2725)*9,0)</f>
        <v>0</v>
      </c>
      <c r="H2725" s="1" t="n">
        <f aca="false">ROUND(_xlfn.PERCENTRANK.INC($E$7:$E$4378,E2725)*9,0)</f>
        <v>2</v>
      </c>
      <c r="I2725" s="1" t="str">
        <f aca="false">CONCATENATE(F2725,G2725,H2725)</f>
        <v>702</v>
      </c>
      <c r="J2725" s="1" t="str">
        <f aca="false">_xlfn.IFS(AND(F2725&gt;=8,G2725&gt;=8,H2725&gt;=8),"CHAMPION",AND(F2725&gt;=6,G2725&gt;=7,H2725&gt;=6),"LOYAL CUSTOMER",AND(F2725&gt;=6,G2725&gt;=5,H2725&gt;=5),"POTENTIAL LOYALIST",AND(F2725&gt;=8,G2725&lt;=2,H2725&gt;=5),"NEW CUSTOMERS",AND(F2725&gt;=6,G2725&lt;=2,H2725&gt;=3),"PROMISING",AND(F2725&gt;=3,G2725&gt;=3,H2725&gt;=3),"NEED ATTENTION",AND(F2725&lt;=4,G2725&gt;=6,H2725&gt;=6),"AT RISK",AND(F2725&lt;=2,G2725&gt;=8,H2725&gt;=8),"CAN'T LOSE THEM",AND(F2725&lt;=2,G2725&lt;=2,H2725&lt;=2),"HIBERNATING",TRUE(),"Other")</f>
        <v>Other</v>
      </c>
      <c r="K2725" s="1" t="n">
        <f aca="false">RANK(E2725,$E$7:$E$4378)+COUNTIF($E$7:E2725,E2725)-1</f>
        <v>3433</v>
      </c>
    </row>
    <row r="2726" customFormat="false" ht="14.25" hidden="false" customHeight="true" outlineLevel="0" collapsed="false">
      <c r="A2726" s="51" t="n">
        <v>16025</v>
      </c>
      <c r="B2726" s="53" t="n">
        <v>40857.4895833333</v>
      </c>
      <c r="C2726" s="57" t="n">
        <f aca="false">INT($C$2)-INT(Table3[[#This Row],[Last Purchase Date]])</f>
        <v>30</v>
      </c>
      <c r="D2726" s="1" t="n">
        <v>1</v>
      </c>
      <c r="E2726" s="1" t="n">
        <v>439.66</v>
      </c>
      <c r="F2726" s="1" t="n">
        <f aca="false">ROUND((1-_xlfn.PERCENTRANK.INC($C$7:$C$4378,C2726))*9,0)</f>
        <v>6</v>
      </c>
      <c r="G2726" s="1" t="n">
        <f aca="false">ROUND(_xlfn.PERCENTRANK.INC($D$7:$D$4378,D2726)*9,0)</f>
        <v>0</v>
      </c>
      <c r="H2726" s="1" t="n">
        <f aca="false">ROUND(_xlfn.PERCENTRANK.INC($E$7:$E$4378,E2726)*9,0)</f>
        <v>3</v>
      </c>
      <c r="I2726" s="1" t="str">
        <f aca="false">CONCATENATE(F2726,G2726,H2726)</f>
        <v>603</v>
      </c>
      <c r="J2726" s="1" t="str">
        <f aca="false">_xlfn.IFS(AND(F2726&gt;=8,G2726&gt;=8,H2726&gt;=8),"CHAMPION",AND(F2726&gt;=6,G2726&gt;=7,H2726&gt;=6),"LOYAL CUSTOMER",AND(F2726&gt;=6,G2726&gt;=5,H2726&gt;=5),"POTENTIAL LOYALIST",AND(F2726&gt;=8,G2726&lt;=2,H2726&gt;=5),"NEW CUSTOMERS",AND(F2726&gt;=6,G2726&lt;=2,H2726&gt;=3),"PROMISING",AND(F2726&gt;=3,G2726&gt;=3,H2726&gt;=3),"NEED ATTENTION",AND(F2726&lt;=4,G2726&gt;=6,H2726&gt;=6),"AT RISK",AND(F2726&lt;=2,G2726&gt;=8,H2726&gt;=8),"CAN'T LOSE THEM",AND(F2726&lt;=2,G2726&lt;=2,H2726&lt;=2),"HIBERNATING",TRUE(),"Other")</f>
        <v>PROMISING</v>
      </c>
      <c r="K2726" s="1" t="n">
        <f aca="false">RANK(E2726,$E$7:$E$4378)+COUNTIF($E$7:E2726,E2726)-1</f>
        <v>2696</v>
      </c>
    </row>
    <row r="2727" customFormat="false" ht="14.25" hidden="false" customHeight="true" outlineLevel="0" collapsed="false">
      <c r="A2727" s="51" t="n">
        <v>16026</v>
      </c>
      <c r="B2727" s="53" t="n">
        <v>40843.5784722222</v>
      </c>
      <c r="C2727" s="57" t="n">
        <f aca="false">INT($C$2)-INT(Table3[[#This Row],[Last Purchase Date]])</f>
        <v>44</v>
      </c>
      <c r="D2727" s="1" t="n">
        <v>1</v>
      </c>
      <c r="E2727" s="1" t="n">
        <v>236.09</v>
      </c>
      <c r="F2727" s="1" t="n">
        <f aca="false">ROUND((1-_xlfn.PERCENTRANK.INC($C$7:$C$4378,C2727))*9,0)</f>
        <v>5</v>
      </c>
      <c r="G2727" s="1" t="n">
        <f aca="false">ROUND(_xlfn.PERCENTRANK.INC($D$7:$D$4378,D2727)*9,0)</f>
        <v>0</v>
      </c>
      <c r="H2727" s="1" t="n">
        <f aca="false">ROUND(_xlfn.PERCENTRANK.INC($E$7:$E$4378,E2727)*9,0)</f>
        <v>2</v>
      </c>
      <c r="I2727" s="1" t="str">
        <f aca="false">CONCATENATE(F2727,G2727,H2727)</f>
        <v>502</v>
      </c>
      <c r="J2727" s="1" t="str">
        <f aca="false">_xlfn.IFS(AND(F2727&gt;=8,G2727&gt;=8,H2727&gt;=8),"CHAMPION",AND(F2727&gt;=6,G2727&gt;=7,H2727&gt;=6),"LOYAL CUSTOMER",AND(F2727&gt;=6,G2727&gt;=5,H2727&gt;=5),"POTENTIAL LOYALIST",AND(F2727&gt;=8,G2727&lt;=2,H2727&gt;=5),"NEW CUSTOMERS",AND(F2727&gt;=6,G2727&lt;=2,H2727&gt;=3),"PROMISING",AND(F2727&gt;=3,G2727&gt;=3,H2727&gt;=3),"NEED ATTENTION",AND(F2727&lt;=4,G2727&gt;=6,H2727&gt;=6),"AT RISK",AND(F2727&lt;=2,G2727&gt;=8,H2727&gt;=8),"CAN'T LOSE THEM",AND(F2727&lt;=2,G2727&lt;=2,H2727&lt;=2),"HIBERNATING",TRUE(),"Other")</f>
        <v>Other</v>
      </c>
      <c r="K2727" s="1" t="n">
        <f aca="false">RANK(E2727,$E$7:$E$4378)+COUNTIF($E$7:E2727,E2727)-1</f>
        <v>3494</v>
      </c>
    </row>
    <row r="2728" customFormat="false" ht="14.25" hidden="false" customHeight="true" outlineLevel="0" collapsed="false">
      <c r="A2728" s="51" t="n">
        <v>16027</v>
      </c>
      <c r="B2728" s="53" t="n">
        <v>40795.4493055556</v>
      </c>
      <c r="C2728" s="57" t="n">
        <f aca="false">INT($C$2)-INT(Table3[[#This Row],[Last Purchase Date]])</f>
        <v>92</v>
      </c>
      <c r="D2728" s="1" t="n">
        <v>7</v>
      </c>
      <c r="E2728" s="1" t="n">
        <v>852.12</v>
      </c>
      <c r="F2728" s="1" t="n">
        <f aca="false">ROUND((1-_xlfn.PERCENTRANK.INC($C$7:$C$4378,C2728))*9,0)</f>
        <v>3</v>
      </c>
      <c r="G2728" s="1" t="n">
        <f aca="false">ROUND(_xlfn.PERCENTRANK.INC($D$7:$D$4378,D2728)*9,0)</f>
        <v>7</v>
      </c>
      <c r="H2728" s="1" t="n">
        <f aca="false">ROUND(_xlfn.PERCENTRANK.INC($E$7:$E$4378,E2728)*9,0)</f>
        <v>5</v>
      </c>
      <c r="I2728" s="1" t="str">
        <f aca="false">CONCATENATE(F2728,G2728,H2728)</f>
        <v>375</v>
      </c>
      <c r="J2728" s="1" t="str">
        <f aca="false">_xlfn.IFS(AND(F2728&gt;=8,G2728&gt;=8,H2728&gt;=8),"CHAMPION",AND(F2728&gt;=6,G2728&gt;=7,H2728&gt;=6),"LOYAL CUSTOMER",AND(F2728&gt;=6,G2728&gt;=5,H2728&gt;=5),"POTENTIAL LOYALIST",AND(F2728&gt;=8,G2728&lt;=2,H2728&gt;=5),"NEW CUSTOMERS",AND(F2728&gt;=6,G2728&lt;=2,H2728&gt;=3),"PROMISING",AND(F2728&gt;=3,G2728&gt;=3,H2728&gt;=3),"NEED ATTENTION",AND(F2728&lt;=4,G2728&gt;=6,H2728&gt;=6),"AT RISK",AND(F2728&lt;=2,G2728&gt;=8,H2728&gt;=8),"CAN'T LOSE THEM",AND(F2728&lt;=2,G2728&lt;=2,H2728&lt;=2),"HIBERNATING",TRUE(),"Other")</f>
        <v>NEED ATTENTION</v>
      </c>
      <c r="K2728" s="1" t="n">
        <f aca="false">RANK(E2728,$E$7:$E$4378)+COUNTIF($E$7:E2728,E2728)-1</f>
        <v>1827</v>
      </c>
    </row>
    <row r="2729" customFormat="false" ht="14.25" hidden="false" customHeight="true" outlineLevel="0" collapsed="false">
      <c r="A2729" s="51" t="n">
        <v>16029</v>
      </c>
      <c r="B2729" s="53" t="n">
        <v>40848.4354166667</v>
      </c>
      <c r="C2729" s="57" t="n">
        <f aca="false">INT($C$2)-INT(Table3[[#This Row],[Last Purchase Date]])</f>
        <v>39</v>
      </c>
      <c r="D2729" s="1" t="n">
        <v>76</v>
      </c>
      <c r="E2729" s="1" t="n">
        <v>50992.61</v>
      </c>
      <c r="F2729" s="1" t="n">
        <f aca="false">ROUND((1-_xlfn.PERCENTRANK.INC($C$7:$C$4378,C2729))*9,0)</f>
        <v>5</v>
      </c>
      <c r="G2729" s="1" t="n">
        <f aca="false">ROUND(_xlfn.PERCENTRANK.INC($D$7:$D$4378,D2729)*9,0)</f>
        <v>9</v>
      </c>
      <c r="H2729" s="1" t="n">
        <f aca="false">ROUND(_xlfn.PERCENTRANK.INC($E$7:$E$4378,E2729)*9,0)</f>
        <v>9</v>
      </c>
      <c r="I2729" s="1" t="str">
        <f aca="false">CONCATENATE(F2729,G2729,H2729)</f>
        <v>599</v>
      </c>
      <c r="J2729" s="1" t="str">
        <f aca="false">_xlfn.IFS(AND(F2729&gt;=8,G2729&gt;=8,H2729&gt;=8),"CHAMPION",AND(F2729&gt;=6,G2729&gt;=7,H2729&gt;=6),"LOYAL CUSTOMER",AND(F2729&gt;=6,G2729&gt;=5,H2729&gt;=5),"POTENTIAL LOYALIST",AND(F2729&gt;=8,G2729&lt;=2,H2729&gt;=5),"NEW CUSTOMERS",AND(F2729&gt;=6,G2729&lt;=2,H2729&gt;=3),"PROMISING",AND(F2729&gt;=3,G2729&gt;=3,H2729&gt;=3),"NEED ATTENTION",AND(F2729&lt;=4,G2729&gt;=6,H2729&gt;=6),"AT RISK",AND(F2729&lt;=2,G2729&gt;=8,H2729&gt;=8),"CAN'T LOSE THEM",AND(F2729&lt;=2,G2729&lt;=2,H2729&lt;=2),"HIBERNATING",TRUE(),"Other")</f>
        <v>NEED ATTENTION</v>
      </c>
      <c r="K2729" s="1" t="n">
        <f aca="false">RANK(E2729,$E$7:$E$4378)+COUNTIF($E$7:E2729,E2729)-1</f>
        <v>16</v>
      </c>
    </row>
    <row r="2730" customFormat="false" ht="14.25" hidden="false" customHeight="true" outlineLevel="0" collapsed="false">
      <c r="A2730" s="51" t="n">
        <v>16030</v>
      </c>
      <c r="B2730" s="53" t="n">
        <v>40577.4777777778</v>
      </c>
      <c r="C2730" s="57" t="n">
        <f aca="false">INT($C$2)-INT(Table3[[#This Row],[Last Purchase Date]])</f>
        <v>310</v>
      </c>
      <c r="D2730" s="1" t="n">
        <v>1</v>
      </c>
      <c r="E2730" s="1" t="n">
        <v>331.24</v>
      </c>
      <c r="F2730" s="1" t="n">
        <f aca="false">ROUND((1-_xlfn.PERCENTRANK.INC($C$7:$C$4378,C2730))*9,0)</f>
        <v>1</v>
      </c>
      <c r="G2730" s="1" t="n">
        <f aca="false">ROUND(_xlfn.PERCENTRANK.INC($D$7:$D$4378,D2730)*9,0)</f>
        <v>0</v>
      </c>
      <c r="H2730" s="1" t="n">
        <f aca="false">ROUND(_xlfn.PERCENTRANK.INC($E$7:$E$4378,E2730)*9,0)</f>
        <v>3</v>
      </c>
      <c r="I2730" s="1" t="str">
        <f aca="false">CONCATENATE(F2730,G2730,H2730)</f>
        <v>103</v>
      </c>
      <c r="J2730" s="1" t="str">
        <f aca="false">_xlfn.IFS(AND(F2730&gt;=8,G2730&gt;=8,H2730&gt;=8),"CHAMPION",AND(F2730&gt;=6,G2730&gt;=7,H2730&gt;=6),"LOYAL CUSTOMER",AND(F2730&gt;=6,G2730&gt;=5,H2730&gt;=5),"POTENTIAL LOYALIST",AND(F2730&gt;=8,G2730&lt;=2,H2730&gt;=5),"NEW CUSTOMERS",AND(F2730&gt;=6,G2730&lt;=2,H2730&gt;=3),"PROMISING",AND(F2730&gt;=3,G2730&gt;=3,H2730&gt;=3),"NEED ATTENTION",AND(F2730&lt;=4,G2730&gt;=6,H2730&gt;=6),"AT RISK",AND(F2730&lt;=2,G2730&gt;=8,H2730&gt;=8),"CAN'T LOSE THEM",AND(F2730&lt;=2,G2730&lt;=2,H2730&lt;=2),"HIBERNATING",TRUE(),"Other")</f>
        <v>Other</v>
      </c>
      <c r="K2730" s="1" t="n">
        <f aca="false">RANK(E2730,$E$7:$E$4378)+COUNTIF($E$7:E2730,E2730)-1</f>
        <v>3086</v>
      </c>
    </row>
    <row r="2731" customFormat="false" ht="14.25" hidden="false" customHeight="true" outlineLevel="0" collapsed="false">
      <c r="A2731" s="51" t="n">
        <v>16031</v>
      </c>
      <c r="B2731" s="53" t="n">
        <v>40794.5465277778</v>
      </c>
      <c r="C2731" s="57" t="n">
        <f aca="false">INT($C$2)-INT(Table3[[#This Row],[Last Purchase Date]])</f>
        <v>93</v>
      </c>
      <c r="D2731" s="1" t="n">
        <v>2</v>
      </c>
      <c r="E2731" s="1" t="n">
        <v>548.94</v>
      </c>
      <c r="F2731" s="1" t="n">
        <f aca="false">ROUND((1-_xlfn.PERCENTRANK.INC($C$7:$C$4378,C2731))*9,0)</f>
        <v>3</v>
      </c>
      <c r="G2731" s="1" t="n">
        <f aca="false">ROUND(_xlfn.PERCENTRANK.INC($D$7:$D$4378,D2731)*9,0)</f>
        <v>3</v>
      </c>
      <c r="H2731" s="1" t="n">
        <f aca="false">ROUND(_xlfn.PERCENTRANK.INC($E$7:$E$4378,E2731)*9,0)</f>
        <v>4</v>
      </c>
      <c r="I2731" s="1" t="str">
        <f aca="false">CONCATENATE(F2731,G2731,H2731)</f>
        <v>334</v>
      </c>
      <c r="J2731" s="1" t="str">
        <f aca="false">_xlfn.IFS(AND(F2731&gt;=8,G2731&gt;=8,H2731&gt;=8),"CHAMPION",AND(F2731&gt;=6,G2731&gt;=7,H2731&gt;=6),"LOYAL CUSTOMER",AND(F2731&gt;=6,G2731&gt;=5,H2731&gt;=5),"POTENTIAL LOYALIST",AND(F2731&gt;=8,G2731&lt;=2,H2731&gt;=5),"NEW CUSTOMERS",AND(F2731&gt;=6,G2731&lt;=2,H2731&gt;=3),"PROMISING",AND(F2731&gt;=3,G2731&gt;=3,H2731&gt;=3),"NEED ATTENTION",AND(F2731&lt;=4,G2731&gt;=6,H2731&gt;=6),"AT RISK",AND(F2731&lt;=2,G2731&gt;=8,H2731&gt;=8),"CAN'T LOSE THEM",AND(F2731&lt;=2,G2731&lt;=2,H2731&lt;=2),"HIBERNATING",TRUE(),"Other")</f>
        <v>NEED ATTENTION</v>
      </c>
      <c r="K2731" s="1" t="n">
        <f aca="false">RANK(E2731,$E$7:$E$4378)+COUNTIF($E$7:E2731,E2731)-1</f>
        <v>2433</v>
      </c>
    </row>
    <row r="2732" customFormat="false" ht="14.25" hidden="false" customHeight="true" outlineLevel="0" collapsed="false">
      <c r="A2732" s="51" t="n">
        <v>16033</v>
      </c>
      <c r="B2732" s="53" t="n">
        <v>40881.5305555556</v>
      </c>
      <c r="C2732" s="57" t="n">
        <f aca="false">INT($C$2)-INT(Table3[[#This Row],[Last Purchase Date]])</f>
        <v>6</v>
      </c>
      <c r="D2732" s="1" t="n">
        <v>27</v>
      </c>
      <c r="E2732" s="1" t="n">
        <v>8727.61</v>
      </c>
      <c r="F2732" s="1" t="n">
        <f aca="false">ROUND((1-_xlfn.PERCENTRANK.INC($C$7:$C$4378,C2732))*9,0)</f>
        <v>8</v>
      </c>
      <c r="G2732" s="1" t="n">
        <f aca="false">ROUND(_xlfn.PERCENTRANK.INC($D$7:$D$4378,D2732)*9,0)</f>
        <v>9</v>
      </c>
      <c r="H2732" s="1" t="n">
        <f aca="false">ROUND(_xlfn.PERCENTRANK.INC($E$7:$E$4378,E2732)*9,0)</f>
        <v>9</v>
      </c>
      <c r="I2732" s="1" t="str">
        <f aca="false">CONCATENATE(F2732,G2732,H2732)</f>
        <v>899</v>
      </c>
      <c r="J2732" s="1" t="str">
        <f aca="false">_xlfn.IFS(AND(F2732&gt;=8,G2732&gt;=8,H2732&gt;=8),"CHAMPION",AND(F2732&gt;=6,G2732&gt;=7,H2732&gt;=6),"LOYAL CUSTOMER",AND(F2732&gt;=6,G2732&gt;=5,H2732&gt;=5),"POTENTIAL LOYALIST",AND(F2732&gt;=8,G2732&lt;=2,H2732&gt;=5),"NEW CUSTOMERS",AND(F2732&gt;=6,G2732&lt;=2,H2732&gt;=3),"PROMISING",AND(F2732&gt;=3,G2732&gt;=3,H2732&gt;=3),"NEED ATTENTION",AND(F2732&lt;=4,G2732&gt;=6,H2732&gt;=6),"AT RISK",AND(F2732&lt;=2,G2732&gt;=8,H2732&gt;=8),"CAN'T LOSE THEM",AND(F2732&lt;=2,G2732&lt;=2,H2732&lt;=2),"HIBERNATING",TRUE(),"Other")</f>
        <v>CHAMPION</v>
      </c>
      <c r="K2732" s="1" t="n">
        <f aca="false">RANK(E2732,$E$7:$E$4378)+COUNTIF($E$7:E2732,E2732)-1</f>
        <v>114</v>
      </c>
    </row>
    <row r="2733" customFormat="false" ht="14.25" hidden="false" customHeight="true" outlineLevel="0" collapsed="false">
      <c r="A2733" s="51" t="n">
        <v>16034</v>
      </c>
      <c r="B2733" s="53" t="n">
        <v>40690.6784722222</v>
      </c>
      <c r="C2733" s="57" t="n">
        <f aca="false">INT($C$2)-INT(Table3[[#This Row],[Last Purchase Date]])</f>
        <v>197</v>
      </c>
      <c r="D2733" s="1" t="n">
        <v>3</v>
      </c>
      <c r="E2733" s="1" t="n">
        <v>437.7</v>
      </c>
      <c r="F2733" s="1" t="n">
        <f aca="false">ROUND((1-_xlfn.PERCENTRANK.INC($C$7:$C$4378,C2733))*9,0)</f>
        <v>2</v>
      </c>
      <c r="G2733" s="1" t="n">
        <f aca="false">ROUND(_xlfn.PERCENTRANK.INC($D$7:$D$4378,D2733)*9,0)</f>
        <v>4</v>
      </c>
      <c r="H2733" s="1" t="n">
        <f aca="false">ROUND(_xlfn.PERCENTRANK.INC($E$7:$E$4378,E2733)*9,0)</f>
        <v>3</v>
      </c>
      <c r="I2733" s="1" t="str">
        <f aca="false">CONCATENATE(F2733,G2733,H2733)</f>
        <v>243</v>
      </c>
      <c r="J2733" s="1" t="str">
        <f aca="false">_xlfn.IFS(AND(F2733&gt;=8,G2733&gt;=8,H2733&gt;=8),"CHAMPION",AND(F2733&gt;=6,G2733&gt;=7,H2733&gt;=6),"LOYAL CUSTOMER",AND(F2733&gt;=6,G2733&gt;=5,H2733&gt;=5),"POTENTIAL LOYALIST",AND(F2733&gt;=8,G2733&lt;=2,H2733&gt;=5),"NEW CUSTOMERS",AND(F2733&gt;=6,G2733&lt;=2,H2733&gt;=3),"PROMISING",AND(F2733&gt;=3,G2733&gt;=3,H2733&gt;=3),"NEED ATTENTION",AND(F2733&lt;=4,G2733&gt;=6,H2733&gt;=6),"AT RISK",AND(F2733&lt;=2,G2733&gt;=8,H2733&gt;=8),"CAN'T LOSE THEM",AND(F2733&lt;=2,G2733&lt;=2,H2733&lt;=2),"HIBERNATING",TRUE(),"Other")</f>
        <v>Other</v>
      </c>
      <c r="K2733" s="1" t="n">
        <f aca="false">RANK(E2733,$E$7:$E$4378)+COUNTIF($E$7:E2733,E2733)-1</f>
        <v>2704</v>
      </c>
    </row>
    <row r="2734" customFormat="false" ht="14.25" hidden="false" customHeight="true" outlineLevel="0" collapsed="false">
      <c r="A2734" s="51" t="n">
        <v>16036</v>
      </c>
      <c r="B2734" s="53" t="n">
        <v>40799.6201388889</v>
      </c>
      <c r="C2734" s="57" t="n">
        <f aca="false">INT($C$2)-INT(Table3[[#This Row],[Last Purchase Date]])</f>
        <v>88</v>
      </c>
      <c r="D2734" s="1" t="n">
        <v>2</v>
      </c>
      <c r="E2734" s="1" t="n">
        <v>758.919999999999</v>
      </c>
      <c r="F2734" s="1" t="n">
        <f aca="false">ROUND((1-_xlfn.PERCENTRANK.INC($C$7:$C$4378,C2734))*9,0)</f>
        <v>3</v>
      </c>
      <c r="G2734" s="1" t="n">
        <f aca="false">ROUND(_xlfn.PERCENTRANK.INC($D$7:$D$4378,D2734)*9,0)</f>
        <v>3</v>
      </c>
      <c r="H2734" s="1" t="n">
        <f aca="false">ROUND(_xlfn.PERCENTRANK.INC($E$7:$E$4378,E2734)*9,0)</f>
        <v>5</v>
      </c>
      <c r="I2734" s="1" t="str">
        <f aca="false">CONCATENATE(F2734,G2734,H2734)</f>
        <v>335</v>
      </c>
      <c r="J2734" s="1" t="str">
        <f aca="false">_xlfn.IFS(AND(F2734&gt;=8,G2734&gt;=8,H2734&gt;=8),"CHAMPION",AND(F2734&gt;=6,G2734&gt;=7,H2734&gt;=6),"LOYAL CUSTOMER",AND(F2734&gt;=6,G2734&gt;=5,H2734&gt;=5),"POTENTIAL LOYALIST",AND(F2734&gt;=8,G2734&lt;=2,H2734&gt;=5),"NEW CUSTOMERS",AND(F2734&gt;=6,G2734&lt;=2,H2734&gt;=3),"PROMISING",AND(F2734&gt;=3,G2734&gt;=3,H2734&gt;=3),"NEED ATTENTION",AND(F2734&lt;=4,G2734&gt;=6,H2734&gt;=6),"AT RISK",AND(F2734&lt;=2,G2734&gt;=8,H2734&gt;=8),"CAN'T LOSE THEM",AND(F2734&lt;=2,G2734&lt;=2,H2734&lt;=2),"HIBERNATING",TRUE(),"Other")</f>
        <v>NEED ATTENTION</v>
      </c>
      <c r="K2734" s="1" t="n">
        <f aca="false">RANK(E2734,$E$7:$E$4378)+COUNTIF($E$7:E2734,E2734)-1</f>
        <v>1967</v>
      </c>
    </row>
    <row r="2735" customFormat="false" ht="14.25" hidden="false" customHeight="true" outlineLevel="0" collapsed="false">
      <c r="A2735" s="51" t="n">
        <v>16037</v>
      </c>
      <c r="B2735" s="53" t="n">
        <v>40617.3840277778</v>
      </c>
      <c r="C2735" s="57" t="n">
        <f aca="false">INT($C$2)-INT(Table3[[#This Row],[Last Purchase Date]])</f>
        <v>270</v>
      </c>
      <c r="D2735" s="1" t="n">
        <v>3</v>
      </c>
      <c r="E2735" s="1" t="n">
        <v>855.02</v>
      </c>
      <c r="F2735" s="1" t="n">
        <f aca="false">ROUND((1-_xlfn.PERCENTRANK.INC($C$7:$C$4378,C2735))*9,0)</f>
        <v>1</v>
      </c>
      <c r="G2735" s="1" t="n">
        <f aca="false">ROUND(_xlfn.PERCENTRANK.INC($D$7:$D$4378,D2735)*9,0)</f>
        <v>4</v>
      </c>
      <c r="H2735" s="1" t="n">
        <f aca="false">ROUND(_xlfn.PERCENTRANK.INC($E$7:$E$4378,E2735)*9,0)</f>
        <v>5</v>
      </c>
      <c r="I2735" s="1" t="str">
        <f aca="false">CONCATENATE(F2735,G2735,H2735)</f>
        <v>145</v>
      </c>
      <c r="J2735" s="1" t="str">
        <f aca="false">_xlfn.IFS(AND(F2735&gt;=8,G2735&gt;=8,H2735&gt;=8),"CHAMPION",AND(F2735&gt;=6,G2735&gt;=7,H2735&gt;=6),"LOYAL CUSTOMER",AND(F2735&gt;=6,G2735&gt;=5,H2735&gt;=5),"POTENTIAL LOYALIST",AND(F2735&gt;=8,G2735&lt;=2,H2735&gt;=5),"NEW CUSTOMERS",AND(F2735&gt;=6,G2735&lt;=2,H2735&gt;=3),"PROMISING",AND(F2735&gt;=3,G2735&gt;=3,H2735&gt;=3),"NEED ATTENTION",AND(F2735&lt;=4,G2735&gt;=6,H2735&gt;=6),"AT RISK",AND(F2735&lt;=2,G2735&gt;=8,H2735&gt;=8),"CAN'T LOSE THEM",AND(F2735&lt;=2,G2735&lt;=2,H2735&lt;=2),"HIBERNATING",TRUE(),"Other")</f>
        <v>Other</v>
      </c>
      <c r="K2735" s="1" t="n">
        <f aca="false">RANK(E2735,$E$7:$E$4378)+COUNTIF($E$7:E2735,E2735)-1</f>
        <v>1822</v>
      </c>
    </row>
    <row r="2736" customFormat="false" ht="14.25" hidden="false" customHeight="true" outlineLevel="0" collapsed="false">
      <c r="A2736" s="51" t="n">
        <v>16038</v>
      </c>
      <c r="B2736" s="53" t="n">
        <v>40879.5277777778</v>
      </c>
      <c r="C2736" s="57" t="n">
        <f aca="false">INT($C$2)-INT(Table3[[#This Row],[Last Purchase Date]])</f>
        <v>8</v>
      </c>
      <c r="D2736" s="1" t="n">
        <v>4</v>
      </c>
      <c r="E2736" s="1" t="n">
        <v>454.33</v>
      </c>
      <c r="F2736" s="1" t="n">
        <f aca="false">ROUND((1-_xlfn.PERCENTRANK.INC($C$7:$C$4378,C2736))*9,0)</f>
        <v>8</v>
      </c>
      <c r="G2736" s="1" t="n">
        <f aca="false">ROUND(_xlfn.PERCENTRANK.INC($D$7:$D$4378,D2736)*9,0)</f>
        <v>5</v>
      </c>
      <c r="H2736" s="1" t="n">
        <f aca="false">ROUND(_xlfn.PERCENTRANK.INC($E$7:$E$4378,E2736)*9,0)</f>
        <v>4</v>
      </c>
      <c r="I2736" s="1" t="str">
        <f aca="false">CONCATENATE(F2736,G2736,H2736)</f>
        <v>854</v>
      </c>
      <c r="J2736" s="1" t="str">
        <f aca="false">_xlfn.IFS(AND(F2736&gt;=8,G2736&gt;=8,H2736&gt;=8),"CHAMPION",AND(F2736&gt;=6,G2736&gt;=7,H2736&gt;=6),"LOYAL CUSTOMER",AND(F2736&gt;=6,G2736&gt;=5,H2736&gt;=5),"POTENTIAL LOYALIST",AND(F2736&gt;=8,G2736&lt;=2,H2736&gt;=5),"NEW CUSTOMERS",AND(F2736&gt;=6,G2736&lt;=2,H2736&gt;=3),"PROMISING",AND(F2736&gt;=3,G2736&gt;=3,H2736&gt;=3),"NEED ATTENTION",AND(F2736&lt;=4,G2736&gt;=6,H2736&gt;=6),"AT RISK",AND(F2736&lt;=2,G2736&gt;=8,H2736&gt;=8),"CAN'T LOSE THEM",AND(F2736&lt;=2,G2736&lt;=2,H2736&lt;=2),"HIBERNATING",TRUE(),"Other")</f>
        <v>NEED ATTENTION</v>
      </c>
      <c r="K2736" s="1" t="n">
        <f aca="false">RANK(E2736,$E$7:$E$4378)+COUNTIF($E$7:E2736,E2736)-1</f>
        <v>2660</v>
      </c>
    </row>
    <row r="2737" customFormat="false" ht="14.25" hidden="false" customHeight="true" outlineLevel="0" collapsed="false">
      <c r="A2737" s="51" t="n">
        <v>16040</v>
      </c>
      <c r="B2737" s="53" t="n">
        <v>40821.5743055556</v>
      </c>
      <c r="C2737" s="57" t="n">
        <f aca="false">INT($C$2)-INT(Table3[[#This Row],[Last Purchase Date]])</f>
        <v>66</v>
      </c>
      <c r="D2737" s="1" t="n">
        <v>3</v>
      </c>
      <c r="E2737" s="1" t="n">
        <v>1313.55</v>
      </c>
      <c r="F2737" s="1" t="n">
        <f aca="false">ROUND((1-_xlfn.PERCENTRANK.INC($C$7:$C$4378,C2737))*9,0)</f>
        <v>4</v>
      </c>
      <c r="G2737" s="1" t="n">
        <f aca="false">ROUND(_xlfn.PERCENTRANK.INC($D$7:$D$4378,D2737)*9,0)</f>
        <v>4</v>
      </c>
      <c r="H2737" s="1" t="n">
        <f aca="false">ROUND(_xlfn.PERCENTRANK.INC($E$7:$E$4378,E2737)*9,0)</f>
        <v>6</v>
      </c>
      <c r="I2737" s="1" t="str">
        <f aca="false">CONCATENATE(F2737,G2737,H2737)</f>
        <v>446</v>
      </c>
      <c r="J2737" s="1" t="str">
        <f aca="false">_xlfn.IFS(AND(F2737&gt;=8,G2737&gt;=8,H2737&gt;=8),"CHAMPION",AND(F2737&gt;=6,G2737&gt;=7,H2737&gt;=6),"LOYAL CUSTOMER",AND(F2737&gt;=6,G2737&gt;=5,H2737&gt;=5),"POTENTIAL LOYALIST",AND(F2737&gt;=8,G2737&lt;=2,H2737&gt;=5),"NEW CUSTOMERS",AND(F2737&gt;=6,G2737&lt;=2,H2737&gt;=3),"PROMISING",AND(F2737&gt;=3,G2737&gt;=3,H2737&gt;=3),"NEED ATTENTION",AND(F2737&lt;=4,G2737&gt;=6,H2737&gt;=6),"AT RISK",AND(F2737&lt;=2,G2737&gt;=8,H2737&gt;=8),"CAN'T LOSE THEM",AND(F2737&lt;=2,G2737&lt;=2,H2737&lt;=2),"HIBERNATING",TRUE(),"Other")</f>
        <v>NEED ATTENTION</v>
      </c>
      <c r="K2737" s="1" t="n">
        <f aca="false">RANK(E2737,$E$7:$E$4378)+COUNTIF($E$7:E2737,E2737)-1</f>
        <v>1310</v>
      </c>
    </row>
    <row r="2738" customFormat="false" ht="14.25" hidden="false" customHeight="true" outlineLevel="0" collapsed="false">
      <c r="A2738" s="51" t="n">
        <v>16041</v>
      </c>
      <c r="B2738" s="53" t="n">
        <v>40856.5173611111</v>
      </c>
      <c r="C2738" s="57" t="n">
        <f aca="false">INT($C$2)-INT(Table3[[#This Row],[Last Purchase Date]])</f>
        <v>31</v>
      </c>
      <c r="D2738" s="1" t="n">
        <v>3</v>
      </c>
      <c r="E2738" s="1" t="n">
        <v>3166.4</v>
      </c>
      <c r="F2738" s="1" t="n">
        <f aca="false">ROUND((1-_xlfn.PERCENTRANK.INC($C$7:$C$4378,C2738))*9,0)</f>
        <v>6</v>
      </c>
      <c r="G2738" s="1" t="n">
        <f aca="false">ROUND(_xlfn.PERCENTRANK.INC($D$7:$D$4378,D2738)*9,0)</f>
        <v>4</v>
      </c>
      <c r="H2738" s="1" t="n">
        <f aca="false">ROUND(_xlfn.PERCENTRANK.INC($E$7:$E$4378,E2738)*9,0)</f>
        <v>8</v>
      </c>
      <c r="I2738" s="1" t="str">
        <f aca="false">CONCATENATE(F2738,G2738,H2738)</f>
        <v>648</v>
      </c>
      <c r="J2738" s="1" t="str">
        <f aca="false">_xlfn.IFS(AND(F2738&gt;=8,G2738&gt;=8,H2738&gt;=8),"CHAMPION",AND(F2738&gt;=6,G2738&gt;=7,H2738&gt;=6),"LOYAL CUSTOMER",AND(F2738&gt;=6,G2738&gt;=5,H2738&gt;=5),"POTENTIAL LOYALIST",AND(F2738&gt;=8,G2738&lt;=2,H2738&gt;=5),"NEW CUSTOMERS",AND(F2738&gt;=6,G2738&lt;=2,H2738&gt;=3),"PROMISING",AND(F2738&gt;=3,G2738&gt;=3,H2738&gt;=3),"NEED ATTENTION",AND(F2738&lt;=4,G2738&gt;=6,H2738&gt;=6),"AT RISK",AND(F2738&lt;=2,G2738&gt;=8,H2738&gt;=8),"CAN'T LOSE THEM",AND(F2738&lt;=2,G2738&lt;=2,H2738&lt;=2),"HIBERNATING",TRUE(),"Other")</f>
        <v>NEED ATTENTION</v>
      </c>
      <c r="K2738" s="1" t="n">
        <f aca="false">RANK(E2738,$E$7:$E$4378)+COUNTIF($E$7:E2738,E2738)-1</f>
        <v>501</v>
      </c>
    </row>
    <row r="2739" customFormat="false" ht="14.25" hidden="false" customHeight="true" outlineLevel="0" collapsed="false">
      <c r="A2739" s="51" t="n">
        <v>16042</v>
      </c>
      <c r="B2739" s="53" t="n">
        <v>40864.7430555556</v>
      </c>
      <c r="C2739" s="57" t="n">
        <f aca="false">INT($C$2)-INT(Table3[[#This Row],[Last Purchase Date]])</f>
        <v>23</v>
      </c>
      <c r="D2739" s="1" t="n">
        <v>7</v>
      </c>
      <c r="E2739" s="1" t="n">
        <v>1147.37</v>
      </c>
      <c r="F2739" s="1" t="n">
        <f aca="false">ROUND((1-_xlfn.PERCENTRANK.INC($C$7:$C$4378,C2739))*9,0)</f>
        <v>6</v>
      </c>
      <c r="G2739" s="1" t="n">
        <f aca="false">ROUND(_xlfn.PERCENTRANK.INC($D$7:$D$4378,D2739)*9,0)</f>
        <v>7</v>
      </c>
      <c r="H2739" s="1" t="n">
        <f aca="false">ROUND(_xlfn.PERCENTRANK.INC($E$7:$E$4378,E2739)*9,0)</f>
        <v>6</v>
      </c>
      <c r="I2739" s="1" t="str">
        <f aca="false">CONCATENATE(F2739,G2739,H2739)</f>
        <v>676</v>
      </c>
      <c r="J2739" s="1" t="str">
        <f aca="false">_xlfn.IFS(AND(F2739&gt;=8,G2739&gt;=8,H2739&gt;=8),"CHAMPION",AND(F2739&gt;=6,G2739&gt;=7,H2739&gt;=6),"LOYAL CUSTOMER",AND(F2739&gt;=6,G2739&gt;=5,H2739&gt;=5),"POTENTIAL LOYALIST",AND(F2739&gt;=8,G2739&lt;=2,H2739&gt;=5),"NEW CUSTOMERS",AND(F2739&gt;=6,G2739&lt;=2,H2739&gt;=3),"PROMISING",AND(F2739&gt;=3,G2739&gt;=3,H2739&gt;=3),"NEED ATTENTION",AND(F2739&lt;=4,G2739&gt;=6,H2739&gt;=6),"AT RISK",AND(F2739&lt;=2,G2739&gt;=8,H2739&gt;=8),"CAN'T LOSE THEM",AND(F2739&lt;=2,G2739&lt;=2,H2739&lt;=2),"HIBERNATING",TRUE(),"Other")</f>
        <v>LOYAL CUSTOMER</v>
      </c>
      <c r="K2739" s="1" t="n">
        <f aca="false">RANK(E2739,$E$7:$E$4378)+COUNTIF($E$7:E2739,E2739)-1</f>
        <v>1449</v>
      </c>
    </row>
    <row r="2740" customFormat="false" ht="14.25" hidden="false" customHeight="true" outlineLevel="0" collapsed="false">
      <c r="A2740" s="51" t="n">
        <v>16043</v>
      </c>
      <c r="B2740" s="53" t="n">
        <v>40849.5347222222</v>
      </c>
      <c r="C2740" s="57" t="n">
        <f aca="false">INT($C$2)-INT(Table3[[#This Row],[Last Purchase Date]])</f>
        <v>38</v>
      </c>
      <c r="D2740" s="1" t="n">
        <v>4</v>
      </c>
      <c r="E2740" s="1" t="n">
        <v>773.99</v>
      </c>
      <c r="F2740" s="1" t="n">
        <f aca="false">ROUND((1-_xlfn.PERCENTRANK.INC($C$7:$C$4378,C2740))*9,0)</f>
        <v>5</v>
      </c>
      <c r="G2740" s="1" t="n">
        <f aca="false">ROUND(_xlfn.PERCENTRANK.INC($D$7:$D$4378,D2740)*9,0)</f>
        <v>5</v>
      </c>
      <c r="H2740" s="1" t="n">
        <f aca="false">ROUND(_xlfn.PERCENTRANK.INC($E$7:$E$4378,E2740)*9,0)</f>
        <v>5</v>
      </c>
      <c r="I2740" s="1" t="str">
        <f aca="false">CONCATENATE(F2740,G2740,H2740)</f>
        <v>555</v>
      </c>
      <c r="J2740" s="1" t="str">
        <f aca="false">_xlfn.IFS(AND(F2740&gt;=8,G2740&gt;=8,H2740&gt;=8),"CHAMPION",AND(F2740&gt;=6,G2740&gt;=7,H2740&gt;=6),"LOYAL CUSTOMER",AND(F2740&gt;=6,G2740&gt;=5,H2740&gt;=5),"POTENTIAL LOYALIST",AND(F2740&gt;=8,G2740&lt;=2,H2740&gt;=5),"NEW CUSTOMERS",AND(F2740&gt;=6,G2740&lt;=2,H2740&gt;=3),"PROMISING",AND(F2740&gt;=3,G2740&gt;=3,H2740&gt;=3),"NEED ATTENTION",AND(F2740&lt;=4,G2740&gt;=6,H2740&gt;=6),"AT RISK",AND(F2740&lt;=2,G2740&gt;=8,H2740&gt;=8),"CAN'T LOSE THEM",AND(F2740&lt;=2,G2740&lt;=2,H2740&lt;=2),"HIBERNATING",TRUE(),"Other")</f>
        <v>NEED ATTENTION</v>
      </c>
      <c r="K2740" s="1" t="n">
        <f aca="false">RANK(E2740,$E$7:$E$4378)+COUNTIF($E$7:E2740,E2740)-1</f>
        <v>1939</v>
      </c>
    </row>
    <row r="2741" customFormat="false" ht="14.25" hidden="false" customHeight="true" outlineLevel="0" collapsed="false">
      <c r="A2741" s="51" t="n">
        <v>16045</v>
      </c>
      <c r="B2741" s="53" t="n">
        <v>40767.5284722222</v>
      </c>
      <c r="C2741" s="57" t="n">
        <f aca="false">INT($C$2)-INT(Table3[[#This Row],[Last Purchase Date]])</f>
        <v>120</v>
      </c>
      <c r="D2741" s="1" t="n">
        <v>4</v>
      </c>
      <c r="E2741" s="1" t="n">
        <v>1340.7</v>
      </c>
      <c r="F2741" s="1" t="n">
        <f aca="false">ROUND((1-_xlfn.PERCENTRANK.INC($C$7:$C$4378,C2741))*9,0)</f>
        <v>3</v>
      </c>
      <c r="G2741" s="1" t="n">
        <f aca="false">ROUND(_xlfn.PERCENTRANK.INC($D$7:$D$4378,D2741)*9,0)</f>
        <v>5</v>
      </c>
      <c r="H2741" s="1" t="n">
        <f aca="false">ROUND(_xlfn.PERCENTRANK.INC($E$7:$E$4378,E2741)*9,0)</f>
        <v>6</v>
      </c>
      <c r="I2741" s="1" t="str">
        <f aca="false">CONCATENATE(F2741,G2741,H2741)</f>
        <v>356</v>
      </c>
      <c r="J2741" s="1" t="str">
        <f aca="false">_xlfn.IFS(AND(F2741&gt;=8,G2741&gt;=8,H2741&gt;=8),"CHAMPION",AND(F2741&gt;=6,G2741&gt;=7,H2741&gt;=6),"LOYAL CUSTOMER",AND(F2741&gt;=6,G2741&gt;=5,H2741&gt;=5),"POTENTIAL LOYALIST",AND(F2741&gt;=8,G2741&lt;=2,H2741&gt;=5),"NEW CUSTOMERS",AND(F2741&gt;=6,G2741&lt;=2,H2741&gt;=3),"PROMISING",AND(F2741&gt;=3,G2741&gt;=3,H2741&gt;=3),"NEED ATTENTION",AND(F2741&lt;=4,G2741&gt;=6,H2741&gt;=6),"AT RISK",AND(F2741&lt;=2,G2741&gt;=8,H2741&gt;=8),"CAN'T LOSE THEM",AND(F2741&lt;=2,G2741&lt;=2,H2741&lt;=2),"HIBERNATING",TRUE(),"Other")</f>
        <v>NEED ATTENTION</v>
      </c>
      <c r="K2741" s="1" t="n">
        <f aca="false">RANK(E2741,$E$7:$E$4378)+COUNTIF($E$7:E2741,E2741)-1</f>
        <v>1285</v>
      </c>
    </row>
    <row r="2742" customFormat="false" ht="14.25" hidden="false" customHeight="true" outlineLevel="0" collapsed="false">
      <c r="A2742" s="51" t="n">
        <v>16048</v>
      </c>
      <c r="B2742" s="53" t="n">
        <v>40801.425</v>
      </c>
      <c r="C2742" s="57" t="n">
        <f aca="false">INT($C$2)-INT(Table3[[#This Row],[Last Purchase Date]])</f>
        <v>86</v>
      </c>
      <c r="D2742" s="1" t="n">
        <v>3</v>
      </c>
      <c r="E2742" s="1" t="n">
        <v>243.69</v>
      </c>
      <c r="F2742" s="1" t="n">
        <f aca="false">ROUND((1-_xlfn.PERCENTRANK.INC($C$7:$C$4378,C2742))*9,0)</f>
        <v>3</v>
      </c>
      <c r="G2742" s="1" t="n">
        <f aca="false">ROUND(_xlfn.PERCENTRANK.INC($D$7:$D$4378,D2742)*9,0)</f>
        <v>4</v>
      </c>
      <c r="H2742" s="1" t="n">
        <f aca="false">ROUND(_xlfn.PERCENTRANK.INC($E$7:$E$4378,E2742)*9,0)</f>
        <v>2</v>
      </c>
      <c r="I2742" s="1" t="str">
        <f aca="false">CONCATENATE(F2742,G2742,H2742)</f>
        <v>342</v>
      </c>
      <c r="J2742" s="1" t="str">
        <f aca="false">_xlfn.IFS(AND(F2742&gt;=8,G2742&gt;=8,H2742&gt;=8),"CHAMPION",AND(F2742&gt;=6,G2742&gt;=7,H2742&gt;=6),"LOYAL CUSTOMER",AND(F2742&gt;=6,G2742&gt;=5,H2742&gt;=5),"POTENTIAL LOYALIST",AND(F2742&gt;=8,G2742&lt;=2,H2742&gt;=5),"NEW CUSTOMERS",AND(F2742&gt;=6,G2742&lt;=2,H2742&gt;=3),"PROMISING",AND(F2742&gt;=3,G2742&gt;=3,H2742&gt;=3),"NEED ATTENTION",AND(F2742&lt;=4,G2742&gt;=6,H2742&gt;=6),"AT RISK",AND(F2742&lt;=2,G2742&gt;=8,H2742&gt;=8),"CAN'T LOSE THEM",AND(F2742&lt;=2,G2742&lt;=2,H2742&lt;=2),"HIBERNATING",TRUE(),"Other")</f>
        <v>Other</v>
      </c>
      <c r="K2742" s="1" t="n">
        <f aca="false">RANK(E2742,$E$7:$E$4378)+COUNTIF($E$7:E2742,E2742)-1</f>
        <v>3466</v>
      </c>
    </row>
    <row r="2743" customFormat="false" ht="14.25" hidden="false" customHeight="true" outlineLevel="0" collapsed="false">
      <c r="A2743" s="51" t="n">
        <v>16049</v>
      </c>
      <c r="B2743" s="53" t="n">
        <v>40846.5548611111</v>
      </c>
      <c r="C2743" s="57" t="n">
        <f aca="false">INT($C$2)-INT(Table3[[#This Row],[Last Purchase Date]])</f>
        <v>41</v>
      </c>
      <c r="D2743" s="1" t="n">
        <v>3</v>
      </c>
      <c r="E2743" s="1" t="n">
        <v>1111.79</v>
      </c>
      <c r="F2743" s="1" t="n">
        <f aca="false">ROUND((1-_xlfn.PERCENTRANK.INC($C$7:$C$4378,C2743))*9,0)</f>
        <v>5</v>
      </c>
      <c r="G2743" s="1" t="n">
        <f aca="false">ROUND(_xlfn.PERCENTRANK.INC($D$7:$D$4378,D2743)*9,0)</f>
        <v>4</v>
      </c>
      <c r="H2743" s="1" t="n">
        <f aca="false">ROUND(_xlfn.PERCENTRANK.INC($E$7:$E$4378,E2743)*9,0)</f>
        <v>6</v>
      </c>
      <c r="I2743" s="1" t="str">
        <f aca="false">CONCATENATE(F2743,G2743,H2743)</f>
        <v>546</v>
      </c>
      <c r="J2743" s="1" t="str">
        <f aca="false">_xlfn.IFS(AND(F2743&gt;=8,G2743&gt;=8,H2743&gt;=8),"CHAMPION",AND(F2743&gt;=6,G2743&gt;=7,H2743&gt;=6),"LOYAL CUSTOMER",AND(F2743&gt;=6,G2743&gt;=5,H2743&gt;=5),"POTENTIAL LOYALIST",AND(F2743&gt;=8,G2743&lt;=2,H2743&gt;=5),"NEW CUSTOMERS",AND(F2743&gt;=6,G2743&lt;=2,H2743&gt;=3),"PROMISING",AND(F2743&gt;=3,G2743&gt;=3,H2743&gt;=3),"NEED ATTENTION",AND(F2743&lt;=4,G2743&gt;=6,H2743&gt;=6),"AT RISK",AND(F2743&lt;=2,G2743&gt;=8,H2743&gt;=8),"CAN'T LOSE THEM",AND(F2743&lt;=2,G2743&lt;=2,H2743&lt;=2),"HIBERNATING",TRUE(),"Other")</f>
        <v>NEED ATTENTION</v>
      </c>
      <c r="K2743" s="1" t="n">
        <f aca="false">RANK(E2743,$E$7:$E$4378)+COUNTIF($E$7:E2743,E2743)-1</f>
        <v>1496</v>
      </c>
    </row>
    <row r="2744" customFormat="false" ht="14.25" hidden="false" customHeight="true" outlineLevel="0" collapsed="false">
      <c r="A2744" s="51" t="n">
        <v>16050</v>
      </c>
      <c r="B2744" s="53" t="n">
        <v>40713.4888888889</v>
      </c>
      <c r="C2744" s="57" t="n">
        <f aca="false">INT($C$2)-INT(Table3[[#This Row],[Last Purchase Date]])</f>
        <v>174</v>
      </c>
      <c r="D2744" s="1" t="n">
        <v>1</v>
      </c>
      <c r="E2744" s="1" t="n">
        <v>137.9</v>
      </c>
      <c r="F2744" s="1" t="n">
        <f aca="false">ROUND((1-_xlfn.PERCENTRANK.INC($C$7:$C$4378,C2744))*9,0)</f>
        <v>2</v>
      </c>
      <c r="G2744" s="1" t="n">
        <f aca="false">ROUND(_xlfn.PERCENTRANK.INC($D$7:$D$4378,D2744)*9,0)</f>
        <v>0</v>
      </c>
      <c r="H2744" s="1" t="n">
        <f aca="false">ROUND(_xlfn.PERCENTRANK.INC($E$7:$E$4378,E2744)*9,0)</f>
        <v>1</v>
      </c>
      <c r="I2744" s="1" t="str">
        <f aca="false">CONCATENATE(F2744,G2744,H2744)</f>
        <v>201</v>
      </c>
      <c r="J2744" s="1" t="str">
        <f aca="false">_xlfn.IFS(AND(F2744&gt;=8,G2744&gt;=8,H2744&gt;=8),"CHAMPION",AND(F2744&gt;=6,G2744&gt;=7,H2744&gt;=6),"LOYAL CUSTOMER",AND(F2744&gt;=6,G2744&gt;=5,H2744&gt;=5),"POTENTIAL LOYALIST",AND(F2744&gt;=8,G2744&lt;=2,H2744&gt;=5),"NEW CUSTOMERS",AND(F2744&gt;=6,G2744&lt;=2,H2744&gt;=3),"PROMISING",AND(F2744&gt;=3,G2744&gt;=3,H2744&gt;=3),"NEED ATTENTION",AND(F2744&lt;=4,G2744&gt;=6,H2744&gt;=6),"AT RISK",AND(F2744&lt;=2,G2744&gt;=8,H2744&gt;=8),"CAN'T LOSE THEM",AND(F2744&lt;=2,G2744&lt;=2,H2744&lt;=2),"HIBERNATING",TRUE(),"Other")</f>
        <v>HIBERNATING</v>
      </c>
      <c r="K2744" s="1" t="n">
        <f aca="false">RANK(E2744,$E$7:$E$4378)+COUNTIF($E$7:E2744,E2744)-1</f>
        <v>3972</v>
      </c>
    </row>
    <row r="2745" customFormat="false" ht="14.25" hidden="false" customHeight="true" outlineLevel="0" collapsed="false">
      <c r="A2745" s="51" t="n">
        <v>16052</v>
      </c>
      <c r="B2745" s="53" t="n">
        <v>40832.6340277778</v>
      </c>
      <c r="C2745" s="57" t="n">
        <f aca="false">INT($C$2)-INT(Table3[[#This Row],[Last Purchase Date]])</f>
        <v>55</v>
      </c>
      <c r="D2745" s="1" t="n">
        <v>1</v>
      </c>
      <c r="E2745" s="1" t="n">
        <v>362.06</v>
      </c>
      <c r="F2745" s="1" t="n">
        <f aca="false">ROUND((1-_xlfn.PERCENTRANK.INC($C$7:$C$4378,C2745))*9,0)</f>
        <v>4</v>
      </c>
      <c r="G2745" s="1" t="n">
        <f aca="false">ROUND(_xlfn.PERCENTRANK.INC($D$7:$D$4378,D2745)*9,0)</f>
        <v>0</v>
      </c>
      <c r="H2745" s="1" t="n">
        <f aca="false">ROUND(_xlfn.PERCENTRANK.INC($E$7:$E$4378,E2745)*9,0)</f>
        <v>3</v>
      </c>
      <c r="I2745" s="1" t="str">
        <f aca="false">CONCATENATE(F2745,G2745,H2745)</f>
        <v>403</v>
      </c>
      <c r="J2745" s="1" t="str">
        <f aca="false">_xlfn.IFS(AND(F2745&gt;=8,G2745&gt;=8,H2745&gt;=8),"CHAMPION",AND(F2745&gt;=6,G2745&gt;=7,H2745&gt;=6),"LOYAL CUSTOMER",AND(F2745&gt;=6,G2745&gt;=5,H2745&gt;=5),"POTENTIAL LOYALIST",AND(F2745&gt;=8,G2745&lt;=2,H2745&gt;=5),"NEW CUSTOMERS",AND(F2745&gt;=6,G2745&lt;=2,H2745&gt;=3),"PROMISING",AND(F2745&gt;=3,G2745&gt;=3,H2745&gt;=3),"NEED ATTENTION",AND(F2745&lt;=4,G2745&gt;=6,H2745&gt;=6),"AT RISK",AND(F2745&lt;=2,G2745&gt;=8,H2745&gt;=8),"CAN'T LOSE THEM",AND(F2745&lt;=2,G2745&lt;=2,H2745&lt;=2),"HIBERNATING",TRUE(),"Other")</f>
        <v>Other</v>
      </c>
      <c r="K2745" s="1" t="n">
        <f aca="false">RANK(E2745,$E$7:$E$4378)+COUNTIF($E$7:E2745,E2745)-1</f>
        <v>2959</v>
      </c>
    </row>
    <row r="2746" customFormat="false" ht="14.25" hidden="false" customHeight="true" outlineLevel="0" collapsed="false">
      <c r="A2746" s="51" t="n">
        <v>16053</v>
      </c>
      <c r="B2746" s="53" t="n">
        <v>40854.4729166667</v>
      </c>
      <c r="C2746" s="57" t="n">
        <f aca="false">INT($C$2)-INT(Table3[[#This Row],[Last Purchase Date]])</f>
        <v>33</v>
      </c>
      <c r="D2746" s="1" t="n">
        <v>2</v>
      </c>
      <c r="E2746" s="1" t="n">
        <v>1511.95</v>
      </c>
      <c r="F2746" s="1" t="n">
        <f aca="false">ROUND((1-_xlfn.PERCENTRANK.INC($C$7:$C$4378,C2746))*9,0)</f>
        <v>5</v>
      </c>
      <c r="G2746" s="1" t="n">
        <f aca="false">ROUND(_xlfn.PERCENTRANK.INC($D$7:$D$4378,D2746)*9,0)</f>
        <v>3</v>
      </c>
      <c r="H2746" s="1" t="n">
        <f aca="false">ROUND(_xlfn.PERCENTRANK.INC($E$7:$E$4378,E2746)*9,0)</f>
        <v>7</v>
      </c>
      <c r="I2746" s="1" t="str">
        <f aca="false">CONCATENATE(F2746,G2746,H2746)</f>
        <v>537</v>
      </c>
      <c r="J2746" s="1" t="str">
        <f aca="false">_xlfn.IFS(AND(F2746&gt;=8,G2746&gt;=8,H2746&gt;=8),"CHAMPION",AND(F2746&gt;=6,G2746&gt;=7,H2746&gt;=6),"LOYAL CUSTOMER",AND(F2746&gt;=6,G2746&gt;=5,H2746&gt;=5),"POTENTIAL LOYALIST",AND(F2746&gt;=8,G2746&lt;=2,H2746&gt;=5),"NEW CUSTOMERS",AND(F2746&gt;=6,G2746&lt;=2,H2746&gt;=3),"PROMISING",AND(F2746&gt;=3,G2746&gt;=3,H2746&gt;=3),"NEED ATTENTION",AND(F2746&lt;=4,G2746&gt;=6,H2746&gt;=6),"AT RISK",AND(F2746&lt;=2,G2746&gt;=8,H2746&gt;=8),"CAN'T LOSE THEM",AND(F2746&lt;=2,G2746&lt;=2,H2746&lt;=2),"HIBERNATING",TRUE(),"Other")</f>
        <v>NEED ATTENTION</v>
      </c>
      <c r="K2746" s="1" t="n">
        <f aca="false">RANK(E2746,$E$7:$E$4378)+COUNTIF($E$7:E2746,E2746)-1</f>
        <v>1158</v>
      </c>
    </row>
    <row r="2747" customFormat="false" ht="14.25" hidden="false" customHeight="true" outlineLevel="0" collapsed="false">
      <c r="A2747" s="51" t="n">
        <v>16054</v>
      </c>
      <c r="B2747" s="53" t="n">
        <v>40741.5472222222</v>
      </c>
      <c r="C2747" s="57" t="n">
        <f aca="false">INT($C$2)-INT(Table3[[#This Row],[Last Purchase Date]])</f>
        <v>146</v>
      </c>
      <c r="D2747" s="1" t="n">
        <v>1</v>
      </c>
      <c r="E2747" s="1" t="n">
        <v>783.9</v>
      </c>
      <c r="F2747" s="1" t="n">
        <f aca="false">ROUND((1-_xlfn.PERCENTRANK.INC($C$7:$C$4378,C2747))*9,0)</f>
        <v>2</v>
      </c>
      <c r="G2747" s="1" t="n">
        <f aca="false">ROUND(_xlfn.PERCENTRANK.INC($D$7:$D$4378,D2747)*9,0)</f>
        <v>0</v>
      </c>
      <c r="H2747" s="1" t="n">
        <f aca="false">ROUND(_xlfn.PERCENTRANK.INC($E$7:$E$4378,E2747)*9,0)</f>
        <v>5</v>
      </c>
      <c r="I2747" s="1" t="str">
        <f aca="false">CONCATENATE(F2747,G2747,H2747)</f>
        <v>205</v>
      </c>
      <c r="J2747" s="1" t="str">
        <f aca="false">_xlfn.IFS(AND(F2747&gt;=8,G2747&gt;=8,H2747&gt;=8),"CHAMPION",AND(F2747&gt;=6,G2747&gt;=7,H2747&gt;=6),"LOYAL CUSTOMER",AND(F2747&gt;=6,G2747&gt;=5,H2747&gt;=5),"POTENTIAL LOYALIST",AND(F2747&gt;=8,G2747&lt;=2,H2747&gt;=5),"NEW CUSTOMERS",AND(F2747&gt;=6,G2747&lt;=2,H2747&gt;=3),"PROMISING",AND(F2747&gt;=3,G2747&gt;=3,H2747&gt;=3),"NEED ATTENTION",AND(F2747&lt;=4,G2747&gt;=6,H2747&gt;=6),"AT RISK",AND(F2747&lt;=2,G2747&gt;=8,H2747&gt;=8),"CAN'T LOSE THEM",AND(F2747&lt;=2,G2747&lt;=2,H2747&lt;=2),"HIBERNATING",TRUE(),"Other")</f>
        <v>Other</v>
      </c>
      <c r="K2747" s="1" t="n">
        <f aca="false">RANK(E2747,$E$7:$E$4378)+COUNTIF($E$7:E2747,E2747)-1</f>
        <v>1915</v>
      </c>
    </row>
    <row r="2748" customFormat="false" ht="14.25" hidden="false" customHeight="true" outlineLevel="0" collapsed="false">
      <c r="A2748" s="51" t="n">
        <v>16055</v>
      </c>
      <c r="B2748" s="53" t="n">
        <v>40666.3930555556</v>
      </c>
      <c r="C2748" s="57" t="n">
        <f aca="false">INT($C$2)-INT(Table3[[#This Row],[Last Purchase Date]])</f>
        <v>221</v>
      </c>
      <c r="D2748" s="1" t="n">
        <v>1</v>
      </c>
      <c r="E2748" s="1" t="n">
        <v>134.8</v>
      </c>
      <c r="F2748" s="1" t="n">
        <f aca="false">ROUND((1-_xlfn.PERCENTRANK.INC($C$7:$C$4378,C2748))*9,0)</f>
        <v>1</v>
      </c>
      <c r="G2748" s="1" t="n">
        <f aca="false">ROUND(_xlfn.PERCENTRANK.INC($D$7:$D$4378,D2748)*9,0)</f>
        <v>0</v>
      </c>
      <c r="H2748" s="1" t="n">
        <f aca="false">ROUND(_xlfn.PERCENTRANK.INC($E$7:$E$4378,E2748)*9,0)</f>
        <v>1</v>
      </c>
      <c r="I2748" s="1" t="str">
        <f aca="false">CONCATENATE(F2748,G2748,H2748)</f>
        <v>101</v>
      </c>
      <c r="J2748" s="1" t="str">
        <f aca="false">_xlfn.IFS(AND(F2748&gt;=8,G2748&gt;=8,H2748&gt;=8),"CHAMPION",AND(F2748&gt;=6,G2748&gt;=7,H2748&gt;=6),"LOYAL CUSTOMER",AND(F2748&gt;=6,G2748&gt;=5,H2748&gt;=5),"POTENTIAL LOYALIST",AND(F2748&gt;=8,G2748&lt;=2,H2748&gt;=5),"NEW CUSTOMERS",AND(F2748&gt;=6,G2748&lt;=2,H2748&gt;=3),"PROMISING",AND(F2748&gt;=3,G2748&gt;=3,H2748&gt;=3),"NEED ATTENTION",AND(F2748&lt;=4,G2748&gt;=6,H2748&gt;=6),"AT RISK",AND(F2748&lt;=2,G2748&gt;=8,H2748&gt;=8),"CAN'T LOSE THEM",AND(F2748&lt;=2,G2748&lt;=2,H2748&lt;=2),"HIBERNATING",TRUE(),"Other")</f>
        <v>HIBERNATING</v>
      </c>
      <c r="K2748" s="1" t="n">
        <f aca="false">RANK(E2748,$E$7:$E$4378)+COUNTIF($E$7:E2748,E2748)-1</f>
        <v>3987</v>
      </c>
    </row>
    <row r="2749" customFormat="false" ht="14.25" hidden="false" customHeight="true" outlineLevel="0" collapsed="false">
      <c r="A2749" s="51" t="n">
        <v>16056</v>
      </c>
      <c r="B2749" s="53" t="n">
        <v>40841.6381944444</v>
      </c>
      <c r="C2749" s="57" t="n">
        <f aca="false">INT($C$2)-INT(Table3[[#This Row],[Last Purchase Date]])</f>
        <v>46</v>
      </c>
      <c r="D2749" s="1" t="n">
        <v>1</v>
      </c>
      <c r="E2749" s="1" t="n">
        <v>664.85</v>
      </c>
      <c r="F2749" s="1" t="n">
        <f aca="false">ROUND((1-_xlfn.PERCENTRANK.INC($C$7:$C$4378,C2749))*9,0)</f>
        <v>5</v>
      </c>
      <c r="G2749" s="1" t="n">
        <f aca="false">ROUND(_xlfn.PERCENTRANK.INC($D$7:$D$4378,D2749)*9,0)</f>
        <v>0</v>
      </c>
      <c r="H2749" s="1" t="n">
        <f aca="false">ROUND(_xlfn.PERCENTRANK.INC($E$7:$E$4378,E2749)*9,0)</f>
        <v>5</v>
      </c>
      <c r="I2749" s="1" t="str">
        <f aca="false">CONCATENATE(F2749,G2749,H2749)</f>
        <v>505</v>
      </c>
      <c r="J2749" s="1" t="str">
        <f aca="false">_xlfn.IFS(AND(F2749&gt;=8,G2749&gt;=8,H2749&gt;=8),"CHAMPION",AND(F2749&gt;=6,G2749&gt;=7,H2749&gt;=6),"LOYAL CUSTOMER",AND(F2749&gt;=6,G2749&gt;=5,H2749&gt;=5),"POTENTIAL LOYALIST",AND(F2749&gt;=8,G2749&lt;=2,H2749&gt;=5),"NEW CUSTOMERS",AND(F2749&gt;=6,G2749&lt;=2,H2749&gt;=3),"PROMISING",AND(F2749&gt;=3,G2749&gt;=3,H2749&gt;=3),"NEED ATTENTION",AND(F2749&lt;=4,G2749&gt;=6,H2749&gt;=6),"AT RISK",AND(F2749&lt;=2,G2749&gt;=8,H2749&gt;=8),"CAN'T LOSE THEM",AND(F2749&lt;=2,G2749&lt;=2,H2749&lt;=2),"HIBERNATING",TRUE(),"Other")</f>
        <v>Other</v>
      </c>
      <c r="K2749" s="1" t="n">
        <f aca="false">RANK(E2749,$E$7:$E$4378)+COUNTIF($E$7:E2749,E2749)-1</f>
        <v>2142</v>
      </c>
    </row>
    <row r="2750" customFormat="false" ht="14.25" hidden="false" customHeight="true" outlineLevel="0" collapsed="false">
      <c r="A2750" s="51" t="n">
        <v>16057</v>
      </c>
      <c r="B2750" s="53" t="n">
        <v>40882.6916666667</v>
      </c>
      <c r="C2750" s="57" t="n">
        <f aca="false">INT($C$2)-INT(Table3[[#This Row],[Last Purchase Date]])</f>
        <v>5</v>
      </c>
      <c r="D2750" s="1" t="n">
        <v>10</v>
      </c>
      <c r="E2750" s="1" t="n">
        <v>2140.22</v>
      </c>
      <c r="F2750" s="1" t="n">
        <f aca="false">ROUND((1-_xlfn.PERCENTRANK.INC($C$7:$C$4378,C2750))*9,0)</f>
        <v>8</v>
      </c>
      <c r="G2750" s="1" t="n">
        <f aca="false">ROUND(_xlfn.PERCENTRANK.INC($D$7:$D$4378,D2750)*9,0)</f>
        <v>8</v>
      </c>
      <c r="H2750" s="1" t="n">
        <f aca="false">ROUND(_xlfn.PERCENTRANK.INC($E$7:$E$4378,E2750)*9,0)</f>
        <v>7</v>
      </c>
      <c r="I2750" s="1" t="str">
        <f aca="false">CONCATENATE(F2750,G2750,H2750)</f>
        <v>887</v>
      </c>
      <c r="J2750" s="1" t="str">
        <f aca="false">_xlfn.IFS(AND(F2750&gt;=8,G2750&gt;=8,H2750&gt;=8),"CHAMPION",AND(F2750&gt;=6,G2750&gt;=7,H2750&gt;=6),"LOYAL CUSTOMER",AND(F2750&gt;=6,G2750&gt;=5,H2750&gt;=5),"POTENTIAL LOYALIST",AND(F2750&gt;=8,G2750&lt;=2,H2750&gt;=5),"NEW CUSTOMERS",AND(F2750&gt;=6,G2750&lt;=2,H2750&gt;=3),"PROMISING",AND(F2750&gt;=3,G2750&gt;=3,H2750&gt;=3),"NEED ATTENTION",AND(F2750&lt;=4,G2750&gt;=6,H2750&gt;=6),"AT RISK",AND(F2750&lt;=2,G2750&gt;=8,H2750&gt;=8),"CAN'T LOSE THEM",AND(F2750&lt;=2,G2750&lt;=2,H2750&lt;=2),"HIBERNATING",TRUE(),"Other")</f>
        <v>LOYAL CUSTOMER</v>
      </c>
      <c r="K2750" s="1" t="n">
        <f aca="false">RANK(E2750,$E$7:$E$4378)+COUNTIF($E$7:E2750,E2750)-1</f>
        <v>807</v>
      </c>
    </row>
    <row r="2751" customFormat="false" ht="14.25" hidden="false" customHeight="true" outlineLevel="0" collapsed="false">
      <c r="A2751" s="51" t="n">
        <v>16059</v>
      </c>
      <c r="B2751" s="53" t="n">
        <v>40821.4138888889</v>
      </c>
      <c r="C2751" s="57" t="n">
        <f aca="false">INT($C$2)-INT(Table3[[#This Row],[Last Purchase Date]])</f>
        <v>66</v>
      </c>
      <c r="D2751" s="1" t="n">
        <v>6</v>
      </c>
      <c r="E2751" s="1" t="n">
        <v>1459.86</v>
      </c>
      <c r="F2751" s="1" t="n">
        <f aca="false">ROUND((1-_xlfn.PERCENTRANK.INC($C$7:$C$4378,C2751))*9,0)</f>
        <v>4</v>
      </c>
      <c r="G2751" s="1" t="n">
        <f aca="false">ROUND(_xlfn.PERCENTRANK.INC($D$7:$D$4378,D2751)*9,0)</f>
        <v>7</v>
      </c>
      <c r="H2751" s="1" t="n">
        <f aca="false">ROUND(_xlfn.PERCENTRANK.INC($E$7:$E$4378,E2751)*9,0)</f>
        <v>7</v>
      </c>
      <c r="I2751" s="1" t="str">
        <f aca="false">CONCATENATE(F2751,G2751,H2751)</f>
        <v>477</v>
      </c>
      <c r="J2751" s="1" t="str">
        <f aca="false">_xlfn.IFS(AND(F2751&gt;=8,G2751&gt;=8,H2751&gt;=8),"CHAMPION",AND(F2751&gt;=6,G2751&gt;=7,H2751&gt;=6),"LOYAL CUSTOMER",AND(F2751&gt;=6,G2751&gt;=5,H2751&gt;=5),"POTENTIAL LOYALIST",AND(F2751&gt;=8,G2751&lt;=2,H2751&gt;=5),"NEW CUSTOMERS",AND(F2751&gt;=6,G2751&lt;=2,H2751&gt;=3),"PROMISING",AND(F2751&gt;=3,G2751&gt;=3,H2751&gt;=3),"NEED ATTENTION",AND(F2751&lt;=4,G2751&gt;=6,H2751&gt;=6),"AT RISK",AND(F2751&lt;=2,G2751&gt;=8,H2751&gt;=8),"CAN'T LOSE THEM",AND(F2751&lt;=2,G2751&lt;=2,H2751&lt;=2),"HIBERNATING",TRUE(),"Other")</f>
        <v>NEED ATTENTION</v>
      </c>
      <c r="K2751" s="1" t="n">
        <f aca="false">RANK(E2751,$E$7:$E$4378)+COUNTIF($E$7:E2751,E2751)-1</f>
        <v>1193</v>
      </c>
    </row>
    <row r="2752" customFormat="false" ht="14.25" hidden="false" customHeight="true" outlineLevel="0" collapsed="false">
      <c r="A2752" s="51" t="n">
        <v>16061</v>
      </c>
      <c r="B2752" s="53" t="n">
        <v>40617.6118055556</v>
      </c>
      <c r="C2752" s="57" t="n">
        <f aca="false">INT($C$2)-INT(Table3[[#This Row],[Last Purchase Date]])</f>
        <v>270</v>
      </c>
      <c r="D2752" s="1" t="n">
        <v>1</v>
      </c>
      <c r="E2752" s="1" t="n">
        <v>-29.95</v>
      </c>
      <c r="F2752" s="1" t="n">
        <f aca="false">ROUND((1-_xlfn.PERCENTRANK.INC($C$7:$C$4378,C2752))*9,0)</f>
        <v>1</v>
      </c>
      <c r="G2752" s="1" t="n">
        <f aca="false">ROUND(_xlfn.PERCENTRANK.INC($D$7:$D$4378,D2752)*9,0)</f>
        <v>0</v>
      </c>
      <c r="H2752" s="1" t="n">
        <f aca="false">ROUND(_xlfn.PERCENTRANK.INC($E$7:$E$4378,E2752)*9,0)</f>
        <v>0</v>
      </c>
      <c r="I2752" s="1" t="str">
        <f aca="false">CONCATENATE(F2752,G2752,H2752)</f>
        <v>100</v>
      </c>
      <c r="J2752" s="1" t="str">
        <f aca="false">_xlfn.IFS(AND(F2752&gt;=8,G2752&gt;=8,H2752&gt;=8),"CHAMPION",AND(F2752&gt;=6,G2752&gt;=7,H2752&gt;=6),"LOYAL CUSTOMER",AND(F2752&gt;=6,G2752&gt;=5,H2752&gt;=5),"POTENTIAL LOYALIST",AND(F2752&gt;=8,G2752&lt;=2,H2752&gt;=5),"NEW CUSTOMERS",AND(F2752&gt;=6,G2752&lt;=2,H2752&gt;=3),"PROMISING",AND(F2752&gt;=3,G2752&gt;=3,H2752&gt;=3),"NEED ATTENTION",AND(F2752&lt;=4,G2752&gt;=6,H2752&gt;=6),"AT RISK",AND(F2752&lt;=2,G2752&gt;=8,H2752&gt;=8),"CAN'T LOSE THEM",AND(F2752&lt;=2,G2752&lt;=2,H2752&lt;=2),"HIBERNATING",TRUE(),"Other")</f>
        <v>HIBERNATING</v>
      </c>
      <c r="K2752" s="1" t="n">
        <f aca="false">RANK(E2752,$E$7:$E$4378)+COUNTIF($E$7:E2752,E2752)-1</f>
        <v>4346</v>
      </c>
    </row>
    <row r="2753" customFormat="false" ht="14.25" hidden="false" customHeight="true" outlineLevel="0" collapsed="false">
      <c r="A2753" s="51" t="n">
        <v>16062</v>
      </c>
      <c r="B2753" s="53" t="n">
        <v>40877.5104166667</v>
      </c>
      <c r="C2753" s="57" t="n">
        <f aca="false">INT($C$2)-INT(Table3[[#This Row],[Last Purchase Date]])</f>
        <v>10</v>
      </c>
      <c r="D2753" s="1" t="n">
        <v>4</v>
      </c>
      <c r="E2753" s="1" t="n">
        <v>1153.62</v>
      </c>
      <c r="F2753" s="1" t="n">
        <f aca="false">ROUND((1-_xlfn.PERCENTRANK.INC($C$7:$C$4378,C2753))*9,0)</f>
        <v>8</v>
      </c>
      <c r="G2753" s="1" t="n">
        <f aca="false">ROUND(_xlfn.PERCENTRANK.INC($D$7:$D$4378,D2753)*9,0)</f>
        <v>5</v>
      </c>
      <c r="H2753" s="1" t="n">
        <f aca="false">ROUND(_xlfn.PERCENTRANK.INC($E$7:$E$4378,E2753)*9,0)</f>
        <v>6</v>
      </c>
      <c r="I2753" s="1" t="str">
        <f aca="false">CONCATENATE(F2753,G2753,H2753)</f>
        <v>856</v>
      </c>
      <c r="J2753" s="1" t="str">
        <f aca="false">_xlfn.IFS(AND(F2753&gt;=8,G2753&gt;=8,H2753&gt;=8),"CHAMPION",AND(F2753&gt;=6,G2753&gt;=7,H2753&gt;=6),"LOYAL CUSTOMER",AND(F2753&gt;=6,G2753&gt;=5,H2753&gt;=5),"POTENTIAL LOYALIST",AND(F2753&gt;=8,G2753&lt;=2,H2753&gt;=5),"NEW CUSTOMERS",AND(F2753&gt;=6,G2753&lt;=2,H2753&gt;=3),"PROMISING",AND(F2753&gt;=3,G2753&gt;=3,H2753&gt;=3),"NEED ATTENTION",AND(F2753&lt;=4,G2753&gt;=6,H2753&gt;=6),"AT RISK",AND(F2753&lt;=2,G2753&gt;=8,H2753&gt;=8),"CAN'T LOSE THEM",AND(F2753&lt;=2,G2753&lt;=2,H2753&lt;=2),"HIBERNATING",TRUE(),"Other")</f>
        <v>POTENTIAL LOYALIST</v>
      </c>
      <c r="K2753" s="1" t="n">
        <f aca="false">RANK(E2753,$E$7:$E$4378)+COUNTIF($E$7:E2753,E2753)-1</f>
        <v>1447</v>
      </c>
    </row>
    <row r="2754" customFormat="false" ht="14.25" hidden="false" customHeight="true" outlineLevel="0" collapsed="false">
      <c r="A2754" s="51" t="n">
        <v>16063</v>
      </c>
      <c r="B2754" s="53" t="n">
        <v>40626.6222222222</v>
      </c>
      <c r="C2754" s="57" t="n">
        <f aca="false">INT($C$2)-INT(Table3[[#This Row],[Last Purchase Date]])</f>
        <v>261</v>
      </c>
      <c r="D2754" s="1" t="n">
        <v>1</v>
      </c>
      <c r="E2754" s="1" t="n">
        <v>335.32</v>
      </c>
      <c r="F2754" s="1" t="n">
        <f aca="false">ROUND((1-_xlfn.PERCENTRANK.INC($C$7:$C$4378,C2754))*9,0)</f>
        <v>1</v>
      </c>
      <c r="G2754" s="1" t="n">
        <f aca="false">ROUND(_xlfn.PERCENTRANK.INC($D$7:$D$4378,D2754)*9,0)</f>
        <v>0</v>
      </c>
      <c r="H2754" s="1" t="n">
        <f aca="false">ROUND(_xlfn.PERCENTRANK.INC($E$7:$E$4378,E2754)*9,0)</f>
        <v>3</v>
      </c>
      <c r="I2754" s="1" t="str">
        <f aca="false">CONCATENATE(F2754,G2754,H2754)</f>
        <v>103</v>
      </c>
      <c r="J2754" s="1" t="str">
        <f aca="false">_xlfn.IFS(AND(F2754&gt;=8,G2754&gt;=8,H2754&gt;=8),"CHAMPION",AND(F2754&gt;=6,G2754&gt;=7,H2754&gt;=6),"LOYAL CUSTOMER",AND(F2754&gt;=6,G2754&gt;=5,H2754&gt;=5),"POTENTIAL LOYALIST",AND(F2754&gt;=8,G2754&lt;=2,H2754&gt;=5),"NEW CUSTOMERS",AND(F2754&gt;=6,G2754&lt;=2,H2754&gt;=3),"PROMISING",AND(F2754&gt;=3,G2754&gt;=3,H2754&gt;=3),"NEED ATTENTION",AND(F2754&lt;=4,G2754&gt;=6,H2754&gt;=6),"AT RISK",AND(F2754&lt;=2,G2754&gt;=8,H2754&gt;=8),"CAN'T LOSE THEM",AND(F2754&lt;=2,G2754&lt;=2,H2754&lt;=2),"HIBERNATING",TRUE(),"Other")</f>
        <v>Other</v>
      </c>
      <c r="K2754" s="1" t="n">
        <f aca="false">RANK(E2754,$E$7:$E$4378)+COUNTIF($E$7:E2754,E2754)-1</f>
        <v>3071</v>
      </c>
    </row>
    <row r="2755" customFormat="false" ht="14.25" hidden="false" customHeight="true" outlineLevel="0" collapsed="false">
      <c r="A2755" s="51" t="n">
        <v>16065</v>
      </c>
      <c r="B2755" s="53" t="n">
        <v>40521.54375</v>
      </c>
      <c r="C2755" s="57" t="n">
        <f aca="false">INT($C$2)-INT(Table3[[#This Row],[Last Purchase Date]])</f>
        <v>366</v>
      </c>
      <c r="D2755" s="1" t="n">
        <v>1</v>
      </c>
      <c r="E2755" s="1" t="n">
        <v>372.09</v>
      </c>
      <c r="F2755" s="1" t="n">
        <f aca="false">ROUND((1-_xlfn.PERCENTRANK.INC($C$7:$C$4378,C2755))*9,0)</f>
        <v>0</v>
      </c>
      <c r="G2755" s="1" t="n">
        <f aca="false">ROUND(_xlfn.PERCENTRANK.INC($D$7:$D$4378,D2755)*9,0)</f>
        <v>0</v>
      </c>
      <c r="H2755" s="1" t="n">
        <f aca="false">ROUND(_xlfn.PERCENTRANK.INC($E$7:$E$4378,E2755)*9,0)</f>
        <v>3</v>
      </c>
      <c r="I2755" s="1" t="str">
        <f aca="false">CONCATENATE(F2755,G2755,H2755)</f>
        <v>003</v>
      </c>
      <c r="J2755" s="1" t="str">
        <f aca="false">_xlfn.IFS(AND(F2755&gt;=8,G2755&gt;=8,H2755&gt;=8),"CHAMPION",AND(F2755&gt;=6,G2755&gt;=7,H2755&gt;=6),"LOYAL CUSTOMER",AND(F2755&gt;=6,G2755&gt;=5,H2755&gt;=5),"POTENTIAL LOYALIST",AND(F2755&gt;=8,G2755&lt;=2,H2755&gt;=5),"NEW CUSTOMERS",AND(F2755&gt;=6,G2755&lt;=2,H2755&gt;=3),"PROMISING",AND(F2755&gt;=3,G2755&gt;=3,H2755&gt;=3),"NEED ATTENTION",AND(F2755&lt;=4,G2755&gt;=6,H2755&gt;=6),"AT RISK",AND(F2755&lt;=2,G2755&gt;=8,H2755&gt;=8),"CAN'T LOSE THEM",AND(F2755&lt;=2,G2755&lt;=2,H2755&lt;=2),"HIBERNATING",TRUE(),"Other")</f>
        <v>Other</v>
      </c>
      <c r="K2755" s="1" t="n">
        <f aca="false">RANK(E2755,$E$7:$E$4378)+COUNTIF($E$7:E2755,E2755)-1</f>
        <v>2923</v>
      </c>
    </row>
    <row r="2756" customFormat="false" ht="14.25" hidden="false" customHeight="true" outlineLevel="0" collapsed="false">
      <c r="A2756" s="51" t="n">
        <v>16066</v>
      </c>
      <c r="B2756" s="53" t="n">
        <v>40870.4958333333</v>
      </c>
      <c r="C2756" s="57" t="n">
        <f aca="false">INT($C$2)-INT(Table3[[#This Row],[Last Purchase Date]])</f>
        <v>17</v>
      </c>
      <c r="D2756" s="1" t="n">
        <v>5</v>
      </c>
      <c r="E2756" s="1" t="n">
        <v>1521.87</v>
      </c>
      <c r="F2756" s="1" t="n">
        <f aca="false">ROUND((1-_xlfn.PERCENTRANK.INC($C$7:$C$4378,C2756))*9,0)</f>
        <v>7</v>
      </c>
      <c r="G2756" s="1" t="n">
        <f aca="false">ROUND(_xlfn.PERCENTRANK.INC($D$7:$D$4378,D2756)*9,0)</f>
        <v>6</v>
      </c>
      <c r="H2756" s="1" t="n">
        <f aca="false">ROUND(_xlfn.PERCENTRANK.INC($E$7:$E$4378,E2756)*9,0)</f>
        <v>7</v>
      </c>
      <c r="I2756" s="1" t="str">
        <f aca="false">CONCATENATE(F2756,G2756,H2756)</f>
        <v>767</v>
      </c>
      <c r="J2756" s="1" t="str">
        <f aca="false">_xlfn.IFS(AND(F2756&gt;=8,G2756&gt;=8,H2756&gt;=8),"CHAMPION",AND(F2756&gt;=6,G2756&gt;=7,H2756&gt;=6),"LOYAL CUSTOMER",AND(F2756&gt;=6,G2756&gt;=5,H2756&gt;=5),"POTENTIAL LOYALIST",AND(F2756&gt;=8,G2756&lt;=2,H2756&gt;=5),"NEW CUSTOMERS",AND(F2756&gt;=6,G2756&lt;=2,H2756&gt;=3),"PROMISING",AND(F2756&gt;=3,G2756&gt;=3,H2756&gt;=3),"NEED ATTENTION",AND(F2756&lt;=4,G2756&gt;=6,H2756&gt;=6),"AT RISK",AND(F2756&lt;=2,G2756&gt;=8,H2756&gt;=8),"CAN'T LOSE THEM",AND(F2756&lt;=2,G2756&lt;=2,H2756&lt;=2),"HIBERNATING",TRUE(),"Other")</f>
        <v>POTENTIAL LOYALIST</v>
      </c>
      <c r="K2756" s="1" t="n">
        <f aca="false">RANK(E2756,$E$7:$E$4378)+COUNTIF($E$7:E2756,E2756)-1</f>
        <v>1148</v>
      </c>
    </row>
    <row r="2757" customFormat="false" ht="14.25" hidden="false" customHeight="true" outlineLevel="0" collapsed="false">
      <c r="A2757" s="51" t="n">
        <v>16070</v>
      </c>
      <c r="B2757" s="53" t="n">
        <v>40864.6597222222</v>
      </c>
      <c r="C2757" s="57" t="n">
        <f aca="false">INT($C$2)-INT(Table3[[#This Row],[Last Purchase Date]])</f>
        <v>23</v>
      </c>
      <c r="D2757" s="1" t="n">
        <v>2</v>
      </c>
      <c r="E2757" s="1" t="n">
        <v>852.15</v>
      </c>
      <c r="F2757" s="1" t="n">
        <f aca="false">ROUND((1-_xlfn.PERCENTRANK.INC($C$7:$C$4378,C2757))*9,0)</f>
        <v>6</v>
      </c>
      <c r="G2757" s="1" t="n">
        <f aca="false">ROUND(_xlfn.PERCENTRANK.INC($D$7:$D$4378,D2757)*9,0)</f>
        <v>3</v>
      </c>
      <c r="H2757" s="1" t="n">
        <f aca="false">ROUND(_xlfn.PERCENTRANK.INC($E$7:$E$4378,E2757)*9,0)</f>
        <v>5</v>
      </c>
      <c r="I2757" s="1" t="str">
        <f aca="false">CONCATENATE(F2757,G2757,H2757)</f>
        <v>635</v>
      </c>
      <c r="J2757" s="1" t="str">
        <f aca="false">_xlfn.IFS(AND(F2757&gt;=8,G2757&gt;=8,H2757&gt;=8),"CHAMPION",AND(F2757&gt;=6,G2757&gt;=7,H2757&gt;=6),"LOYAL CUSTOMER",AND(F2757&gt;=6,G2757&gt;=5,H2757&gt;=5),"POTENTIAL LOYALIST",AND(F2757&gt;=8,G2757&lt;=2,H2757&gt;=5),"NEW CUSTOMERS",AND(F2757&gt;=6,G2757&lt;=2,H2757&gt;=3),"PROMISING",AND(F2757&gt;=3,G2757&gt;=3,H2757&gt;=3),"NEED ATTENTION",AND(F2757&lt;=4,G2757&gt;=6,H2757&gt;=6),"AT RISK",AND(F2757&lt;=2,G2757&gt;=8,H2757&gt;=8),"CAN'T LOSE THEM",AND(F2757&lt;=2,G2757&lt;=2,H2757&lt;=2),"HIBERNATING",TRUE(),"Other")</f>
        <v>NEED ATTENTION</v>
      </c>
      <c r="K2757" s="1" t="n">
        <f aca="false">RANK(E2757,$E$7:$E$4378)+COUNTIF($E$7:E2757,E2757)-1</f>
        <v>1826</v>
      </c>
    </row>
    <row r="2758" customFormat="false" ht="14.25" hidden="false" customHeight="true" outlineLevel="0" collapsed="false">
      <c r="A2758" s="51" t="n">
        <v>16071</v>
      </c>
      <c r="B2758" s="53" t="n">
        <v>40842.4680555556</v>
      </c>
      <c r="C2758" s="57" t="n">
        <f aca="false">INT($C$2)-INT(Table3[[#This Row],[Last Purchase Date]])</f>
        <v>45</v>
      </c>
      <c r="D2758" s="1" t="n">
        <v>1</v>
      </c>
      <c r="E2758" s="1" t="n">
        <v>326.24</v>
      </c>
      <c r="F2758" s="1" t="n">
        <f aca="false">ROUND((1-_xlfn.PERCENTRANK.INC($C$7:$C$4378,C2758))*9,0)</f>
        <v>5</v>
      </c>
      <c r="G2758" s="1" t="n">
        <f aca="false">ROUND(_xlfn.PERCENTRANK.INC($D$7:$D$4378,D2758)*9,0)</f>
        <v>0</v>
      </c>
      <c r="H2758" s="1" t="n">
        <f aca="false">ROUND(_xlfn.PERCENTRANK.INC($E$7:$E$4378,E2758)*9,0)</f>
        <v>3</v>
      </c>
      <c r="I2758" s="1" t="str">
        <f aca="false">CONCATENATE(F2758,G2758,H2758)</f>
        <v>503</v>
      </c>
      <c r="J2758" s="1" t="str">
        <f aca="false">_xlfn.IFS(AND(F2758&gt;=8,G2758&gt;=8,H2758&gt;=8),"CHAMPION",AND(F2758&gt;=6,G2758&gt;=7,H2758&gt;=6),"LOYAL CUSTOMER",AND(F2758&gt;=6,G2758&gt;=5,H2758&gt;=5),"POTENTIAL LOYALIST",AND(F2758&gt;=8,G2758&lt;=2,H2758&gt;=5),"NEW CUSTOMERS",AND(F2758&gt;=6,G2758&lt;=2,H2758&gt;=3),"PROMISING",AND(F2758&gt;=3,G2758&gt;=3,H2758&gt;=3),"NEED ATTENTION",AND(F2758&lt;=4,G2758&gt;=6,H2758&gt;=6),"AT RISK",AND(F2758&lt;=2,G2758&gt;=8,H2758&gt;=8),"CAN'T LOSE THEM",AND(F2758&lt;=2,G2758&lt;=2,H2758&lt;=2),"HIBERNATING",TRUE(),"Other")</f>
        <v>Other</v>
      </c>
      <c r="K2758" s="1" t="n">
        <f aca="false">RANK(E2758,$E$7:$E$4378)+COUNTIF($E$7:E2758,E2758)-1</f>
        <v>3112</v>
      </c>
    </row>
    <row r="2759" customFormat="false" ht="14.25" hidden="false" customHeight="true" outlineLevel="0" collapsed="false">
      <c r="A2759" s="51" t="n">
        <v>16072</v>
      </c>
      <c r="B2759" s="53" t="n">
        <v>40598.6055555556</v>
      </c>
      <c r="C2759" s="57" t="n">
        <f aca="false">INT($C$2)-INT(Table3[[#This Row],[Last Purchase Date]])</f>
        <v>289</v>
      </c>
      <c r="D2759" s="1" t="n">
        <v>1</v>
      </c>
      <c r="E2759" s="1" t="n">
        <v>584.32</v>
      </c>
      <c r="F2759" s="1" t="n">
        <f aca="false">ROUND((1-_xlfn.PERCENTRANK.INC($C$7:$C$4378,C2759))*9,0)</f>
        <v>1</v>
      </c>
      <c r="G2759" s="1" t="n">
        <f aca="false">ROUND(_xlfn.PERCENTRANK.INC($D$7:$D$4378,D2759)*9,0)</f>
        <v>0</v>
      </c>
      <c r="H2759" s="1" t="n">
        <f aca="false">ROUND(_xlfn.PERCENTRANK.INC($E$7:$E$4378,E2759)*9,0)</f>
        <v>4</v>
      </c>
      <c r="I2759" s="1" t="str">
        <f aca="false">CONCATENATE(F2759,G2759,H2759)</f>
        <v>104</v>
      </c>
      <c r="J2759" s="1" t="str">
        <f aca="false">_xlfn.IFS(AND(F2759&gt;=8,G2759&gt;=8,H2759&gt;=8),"CHAMPION",AND(F2759&gt;=6,G2759&gt;=7,H2759&gt;=6),"LOYAL CUSTOMER",AND(F2759&gt;=6,G2759&gt;=5,H2759&gt;=5),"POTENTIAL LOYALIST",AND(F2759&gt;=8,G2759&lt;=2,H2759&gt;=5),"NEW CUSTOMERS",AND(F2759&gt;=6,G2759&lt;=2,H2759&gt;=3),"PROMISING",AND(F2759&gt;=3,G2759&gt;=3,H2759&gt;=3),"NEED ATTENTION",AND(F2759&lt;=4,G2759&gt;=6,H2759&gt;=6),"AT RISK",AND(F2759&lt;=2,G2759&gt;=8,H2759&gt;=8),"CAN'T LOSE THEM",AND(F2759&lt;=2,G2759&lt;=2,H2759&lt;=2),"HIBERNATING",TRUE(),"Other")</f>
        <v>Other</v>
      </c>
      <c r="K2759" s="1" t="n">
        <f aca="false">RANK(E2759,$E$7:$E$4378)+COUNTIF($E$7:E2759,E2759)-1</f>
        <v>2358</v>
      </c>
    </row>
    <row r="2760" customFormat="false" ht="14.25" hidden="false" customHeight="true" outlineLevel="0" collapsed="false">
      <c r="A2760" s="51" t="n">
        <v>16073</v>
      </c>
      <c r="B2760" s="53" t="n">
        <v>40595.5229166667</v>
      </c>
      <c r="C2760" s="57" t="n">
        <f aca="false">INT($C$2)-INT(Table3[[#This Row],[Last Purchase Date]])</f>
        <v>292</v>
      </c>
      <c r="D2760" s="1" t="n">
        <v>2</v>
      </c>
      <c r="E2760" s="1" t="n">
        <v>94.35</v>
      </c>
      <c r="F2760" s="1" t="n">
        <f aca="false">ROUND((1-_xlfn.PERCENTRANK.INC($C$7:$C$4378,C2760))*9,0)</f>
        <v>1</v>
      </c>
      <c r="G2760" s="1" t="n">
        <f aca="false">ROUND(_xlfn.PERCENTRANK.INC($D$7:$D$4378,D2760)*9,0)</f>
        <v>3</v>
      </c>
      <c r="H2760" s="1" t="n">
        <f aca="false">ROUND(_xlfn.PERCENTRANK.INC($E$7:$E$4378,E2760)*9,0)</f>
        <v>0</v>
      </c>
      <c r="I2760" s="1" t="str">
        <f aca="false">CONCATENATE(F2760,G2760,H2760)</f>
        <v>130</v>
      </c>
      <c r="J2760" s="1" t="str">
        <f aca="false">_xlfn.IFS(AND(F2760&gt;=8,G2760&gt;=8,H2760&gt;=8),"CHAMPION",AND(F2760&gt;=6,G2760&gt;=7,H2760&gt;=6),"LOYAL CUSTOMER",AND(F2760&gt;=6,G2760&gt;=5,H2760&gt;=5),"POTENTIAL LOYALIST",AND(F2760&gt;=8,G2760&lt;=2,H2760&gt;=5),"NEW CUSTOMERS",AND(F2760&gt;=6,G2760&lt;=2,H2760&gt;=3),"PROMISING",AND(F2760&gt;=3,G2760&gt;=3,H2760&gt;=3),"NEED ATTENTION",AND(F2760&lt;=4,G2760&gt;=6,H2760&gt;=6),"AT RISK",AND(F2760&lt;=2,G2760&gt;=8,H2760&gt;=8),"CAN'T LOSE THEM",AND(F2760&lt;=2,G2760&lt;=2,H2760&lt;=2),"HIBERNATING",TRUE(),"Other")</f>
        <v>Other</v>
      </c>
      <c r="K2760" s="1" t="n">
        <f aca="false">RANK(E2760,$E$7:$E$4378)+COUNTIF($E$7:E2760,E2760)-1</f>
        <v>4176</v>
      </c>
    </row>
    <row r="2761" customFormat="false" ht="14.25" hidden="false" customHeight="true" outlineLevel="0" collapsed="false">
      <c r="A2761" s="51" t="n">
        <v>16076</v>
      </c>
      <c r="B2761" s="53" t="n">
        <v>40883.6243055556</v>
      </c>
      <c r="C2761" s="57" t="n">
        <f aca="false">INT($C$2)-INT(Table3[[#This Row],[Last Purchase Date]])</f>
        <v>4</v>
      </c>
      <c r="D2761" s="1" t="n">
        <v>11</v>
      </c>
      <c r="E2761" s="1" t="n">
        <v>2173.53</v>
      </c>
      <c r="F2761" s="1" t="n">
        <f aca="false">ROUND((1-_xlfn.PERCENTRANK.INC($C$7:$C$4378,C2761))*9,0)</f>
        <v>8</v>
      </c>
      <c r="G2761" s="1" t="n">
        <f aca="false">ROUND(_xlfn.PERCENTRANK.INC($D$7:$D$4378,D2761)*9,0)</f>
        <v>8</v>
      </c>
      <c r="H2761" s="1" t="n">
        <f aca="false">ROUND(_xlfn.PERCENTRANK.INC($E$7:$E$4378,E2761)*9,0)</f>
        <v>7</v>
      </c>
      <c r="I2761" s="1" t="str">
        <f aca="false">CONCATENATE(F2761,G2761,H2761)</f>
        <v>887</v>
      </c>
      <c r="J2761" s="1" t="str">
        <f aca="false">_xlfn.IFS(AND(F2761&gt;=8,G2761&gt;=8,H2761&gt;=8),"CHAMPION",AND(F2761&gt;=6,G2761&gt;=7,H2761&gt;=6),"LOYAL CUSTOMER",AND(F2761&gt;=6,G2761&gt;=5,H2761&gt;=5),"POTENTIAL LOYALIST",AND(F2761&gt;=8,G2761&lt;=2,H2761&gt;=5),"NEW CUSTOMERS",AND(F2761&gt;=6,G2761&lt;=2,H2761&gt;=3),"PROMISING",AND(F2761&gt;=3,G2761&gt;=3,H2761&gt;=3),"NEED ATTENTION",AND(F2761&lt;=4,G2761&gt;=6,H2761&gt;=6),"AT RISK",AND(F2761&lt;=2,G2761&gt;=8,H2761&gt;=8),"CAN'T LOSE THEM",AND(F2761&lt;=2,G2761&lt;=2,H2761&lt;=2),"HIBERNATING",TRUE(),"Other")</f>
        <v>LOYAL CUSTOMER</v>
      </c>
      <c r="K2761" s="1" t="n">
        <f aca="false">RANK(E2761,$E$7:$E$4378)+COUNTIF($E$7:E2761,E2761)-1</f>
        <v>796</v>
      </c>
    </row>
    <row r="2762" customFormat="false" ht="14.25" hidden="false" customHeight="true" outlineLevel="0" collapsed="false">
      <c r="A2762" s="51" t="n">
        <v>16078</v>
      </c>
      <c r="B2762" s="53" t="n">
        <v>40603.4076388889</v>
      </c>
      <c r="C2762" s="57" t="n">
        <f aca="false">INT($C$2)-INT(Table3[[#This Row],[Last Purchase Date]])</f>
        <v>284</v>
      </c>
      <c r="D2762" s="1" t="n">
        <v>1</v>
      </c>
      <c r="E2762" s="1" t="n">
        <v>79.2</v>
      </c>
      <c r="F2762" s="1" t="n">
        <f aca="false">ROUND((1-_xlfn.PERCENTRANK.INC($C$7:$C$4378,C2762))*9,0)</f>
        <v>1</v>
      </c>
      <c r="G2762" s="1" t="n">
        <f aca="false">ROUND(_xlfn.PERCENTRANK.INC($D$7:$D$4378,D2762)*9,0)</f>
        <v>0</v>
      </c>
      <c r="H2762" s="1" t="n">
        <f aca="false">ROUND(_xlfn.PERCENTRANK.INC($E$7:$E$4378,E2762)*9,0)</f>
        <v>0</v>
      </c>
      <c r="I2762" s="1" t="str">
        <f aca="false">CONCATENATE(F2762,G2762,H2762)</f>
        <v>100</v>
      </c>
      <c r="J2762" s="1" t="str">
        <f aca="false">_xlfn.IFS(AND(F2762&gt;=8,G2762&gt;=8,H2762&gt;=8),"CHAMPION",AND(F2762&gt;=6,G2762&gt;=7,H2762&gt;=6),"LOYAL CUSTOMER",AND(F2762&gt;=6,G2762&gt;=5,H2762&gt;=5),"POTENTIAL LOYALIST",AND(F2762&gt;=8,G2762&lt;=2,H2762&gt;=5),"NEW CUSTOMERS",AND(F2762&gt;=6,G2762&lt;=2,H2762&gt;=3),"PROMISING",AND(F2762&gt;=3,G2762&gt;=3,H2762&gt;=3),"NEED ATTENTION",AND(F2762&lt;=4,G2762&gt;=6,H2762&gt;=6),"AT RISK",AND(F2762&lt;=2,G2762&gt;=8,H2762&gt;=8),"CAN'T LOSE THEM",AND(F2762&lt;=2,G2762&lt;=2,H2762&lt;=2),"HIBERNATING",TRUE(),"Other")</f>
        <v>HIBERNATING</v>
      </c>
      <c r="K2762" s="1" t="n">
        <f aca="false">RANK(E2762,$E$7:$E$4378)+COUNTIF($E$7:E2762,E2762)-1</f>
        <v>4221</v>
      </c>
    </row>
    <row r="2763" customFormat="false" ht="14.25" hidden="false" customHeight="true" outlineLevel="0" collapsed="false">
      <c r="A2763" s="51" t="n">
        <v>16079</v>
      </c>
      <c r="B2763" s="53" t="n">
        <v>40870.5333333333</v>
      </c>
      <c r="C2763" s="57" t="n">
        <f aca="false">INT($C$2)-INT(Table3[[#This Row],[Last Purchase Date]])</f>
        <v>17</v>
      </c>
      <c r="D2763" s="1" t="n">
        <v>3</v>
      </c>
      <c r="E2763" s="1" t="n">
        <v>1352</v>
      </c>
      <c r="F2763" s="1" t="n">
        <f aca="false">ROUND((1-_xlfn.PERCENTRANK.INC($C$7:$C$4378,C2763))*9,0)</f>
        <v>7</v>
      </c>
      <c r="G2763" s="1" t="n">
        <f aca="false">ROUND(_xlfn.PERCENTRANK.INC($D$7:$D$4378,D2763)*9,0)</f>
        <v>4</v>
      </c>
      <c r="H2763" s="1" t="n">
        <f aca="false">ROUND(_xlfn.PERCENTRANK.INC($E$7:$E$4378,E2763)*9,0)</f>
        <v>6</v>
      </c>
      <c r="I2763" s="1" t="str">
        <f aca="false">CONCATENATE(F2763,G2763,H2763)</f>
        <v>746</v>
      </c>
      <c r="J2763" s="1" t="str">
        <f aca="false">_xlfn.IFS(AND(F2763&gt;=8,G2763&gt;=8,H2763&gt;=8),"CHAMPION",AND(F2763&gt;=6,G2763&gt;=7,H2763&gt;=6),"LOYAL CUSTOMER",AND(F2763&gt;=6,G2763&gt;=5,H2763&gt;=5),"POTENTIAL LOYALIST",AND(F2763&gt;=8,G2763&lt;=2,H2763&gt;=5),"NEW CUSTOMERS",AND(F2763&gt;=6,G2763&lt;=2,H2763&gt;=3),"PROMISING",AND(F2763&gt;=3,G2763&gt;=3,H2763&gt;=3),"NEED ATTENTION",AND(F2763&lt;=4,G2763&gt;=6,H2763&gt;=6),"AT RISK",AND(F2763&lt;=2,G2763&gt;=8,H2763&gt;=8),"CAN'T LOSE THEM",AND(F2763&lt;=2,G2763&lt;=2,H2763&lt;=2),"HIBERNATING",TRUE(),"Other")</f>
        <v>NEED ATTENTION</v>
      </c>
      <c r="K2763" s="1" t="n">
        <f aca="false">RANK(E2763,$E$7:$E$4378)+COUNTIF($E$7:E2763,E2763)-1</f>
        <v>1274</v>
      </c>
    </row>
    <row r="2764" customFormat="false" ht="14.25" hidden="false" customHeight="true" outlineLevel="0" collapsed="false">
      <c r="A2764" s="51" t="n">
        <v>16080</v>
      </c>
      <c r="B2764" s="53" t="n">
        <v>40805.4458333333</v>
      </c>
      <c r="C2764" s="57" t="n">
        <f aca="false">INT($C$2)-INT(Table3[[#This Row],[Last Purchase Date]])</f>
        <v>82</v>
      </c>
      <c r="D2764" s="1" t="n">
        <v>3</v>
      </c>
      <c r="E2764" s="1" t="n">
        <v>176.6</v>
      </c>
      <c r="F2764" s="1" t="n">
        <f aca="false">ROUND((1-_xlfn.PERCENTRANK.INC($C$7:$C$4378,C2764))*9,0)</f>
        <v>3</v>
      </c>
      <c r="G2764" s="1" t="n">
        <f aca="false">ROUND(_xlfn.PERCENTRANK.INC($D$7:$D$4378,D2764)*9,0)</f>
        <v>4</v>
      </c>
      <c r="H2764" s="1" t="n">
        <f aca="false">ROUND(_xlfn.PERCENTRANK.INC($E$7:$E$4378,E2764)*9,0)</f>
        <v>1</v>
      </c>
      <c r="I2764" s="1" t="str">
        <f aca="false">CONCATENATE(F2764,G2764,H2764)</f>
        <v>341</v>
      </c>
      <c r="J2764" s="1" t="str">
        <f aca="false">_xlfn.IFS(AND(F2764&gt;=8,G2764&gt;=8,H2764&gt;=8),"CHAMPION",AND(F2764&gt;=6,G2764&gt;=7,H2764&gt;=6),"LOYAL CUSTOMER",AND(F2764&gt;=6,G2764&gt;=5,H2764&gt;=5),"POTENTIAL LOYALIST",AND(F2764&gt;=8,G2764&lt;=2,H2764&gt;=5),"NEW CUSTOMERS",AND(F2764&gt;=6,G2764&lt;=2,H2764&gt;=3),"PROMISING",AND(F2764&gt;=3,G2764&gt;=3,H2764&gt;=3),"NEED ATTENTION",AND(F2764&lt;=4,G2764&gt;=6,H2764&gt;=6),"AT RISK",AND(F2764&lt;=2,G2764&gt;=8,H2764&gt;=8),"CAN'T LOSE THEM",AND(F2764&lt;=2,G2764&lt;=2,H2764&lt;=2),"HIBERNATING",TRUE(),"Other")</f>
        <v>Other</v>
      </c>
      <c r="K2764" s="1" t="n">
        <f aca="false">RANK(E2764,$E$7:$E$4378)+COUNTIF($E$7:E2764,E2764)-1</f>
        <v>3774</v>
      </c>
    </row>
    <row r="2765" customFormat="false" ht="14.25" hidden="false" customHeight="true" outlineLevel="0" collapsed="false">
      <c r="A2765" s="51" t="n">
        <v>16081</v>
      </c>
      <c r="B2765" s="53" t="n">
        <v>40830.5458333333</v>
      </c>
      <c r="C2765" s="57" t="n">
        <f aca="false">INT($C$2)-INT(Table3[[#This Row],[Last Purchase Date]])</f>
        <v>57</v>
      </c>
      <c r="D2765" s="1" t="n">
        <v>5</v>
      </c>
      <c r="E2765" s="1" t="n">
        <v>2806.9</v>
      </c>
      <c r="F2765" s="1" t="n">
        <f aca="false">ROUND((1-_xlfn.PERCENTRANK.INC($C$7:$C$4378,C2765))*9,0)</f>
        <v>4</v>
      </c>
      <c r="G2765" s="1" t="n">
        <f aca="false">ROUND(_xlfn.PERCENTRANK.INC($D$7:$D$4378,D2765)*9,0)</f>
        <v>6</v>
      </c>
      <c r="H2765" s="1" t="n">
        <f aca="false">ROUND(_xlfn.PERCENTRANK.INC($E$7:$E$4378,E2765)*9,0)</f>
        <v>8</v>
      </c>
      <c r="I2765" s="1" t="str">
        <f aca="false">CONCATENATE(F2765,G2765,H2765)</f>
        <v>468</v>
      </c>
      <c r="J2765" s="1" t="str">
        <f aca="false">_xlfn.IFS(AND(F2765&gt;=8,G2765&gt;=8,H2765&gt;=8),"CHAMPION",AND(F2765&gt;=6,G2765&gt;=7,H2765&gt;=6),"LOYAL CUSTOMER",AND(F2765&gt;=6,G2765&gt;=5,H2765&gt;=5),"POTENTIAL LOYALIST",AND(F2765&gt;=8,G2765&lt;=2,H2765&gt;=5),"NEW CUSTOMERS",AND(F2765&gt;=6,G2765&lt;=2,H2765&gt;=3),"PROMISING",AND(F2765&gt;=3,G2765&gt;=3,H2765&gt;=3),"NEED ATTENTION",AND(F2765&lt;=4,G2765&gt;=6,H2765&gt;=6),"AT RISK",AND(F2765&lt;=2,G2765&gt;=8,H2765&gt;=8),"CAN'T LOSE THEM",AND(F2765&lt;=2,G2765&lt;=2,H2765&lt;=2),"HIBERNATING",TRUE(),"Other")</f>
        <v>NEED ATTENTION</v>
      </c>
      <c r="K2765" s="1" t="n">
        <f aca="false">RANK(E2765,$E$7:$E$4378)+COUNTIF($E$7:E2765,E2765)-1</f>
        <v>583</v>
      </c>
    </row>
    <row r="2766" customFormat="false" ht="14.25" hidden="false" customHeight="true" outlineLevel="0" collapsed="false">
      <c r="A2766" s="51" t="n">
        <v>16083</v>
      </c>
      <c r="B2766" s="53" t="n">
        <v>40786.4493055556</v>
      </c>
      <c r="C2766" s="57" t="n">
        <f aca="false">INT($C$2)-INT(Table3[[#This Row],[Last Purchase Date]])</f>
        <v>101</v>
      </c>
      <c r="D2766" s="1" t="n">
        <v>2</v>
      </c>
      <c r="E2766" s="1" t="n">
        <v>1317.62</v>
      </c>
      <c r="F2766" s="1" t="n">
        <f aca="false">ROUND((1-_xlfn.PERCENTRANK.INC($C$7:$C$4378,C2766))*9,0)</f>
        <v>3</v>
      </c>
      <c r="G2766" s="1" t="n">
        <f aca="false">ROUND(_xlfn.PERCENTRANK.INC($D$7:$D$4378,D2766)*9,0)</f>
        <v>3</v>
      </c>
      <c r="H2766" s="1" t="n">
        <f aca="false">ROUND(_xlfn.PERCENTRANK.INC($E$7:$E$4378,E2766)*9,0)</f>
        <v>6</v>
      </c>
      <c r="I2766" s="1" t="str">
        <f aca="false">CONCATENATE(F2766,G2766,H2766)</f>
        <v>336</v>
      </c>
      <c r="J2766" s="1" t="str">
        <f aca="false">_xlfn.IFS(AND(F2766&gt;=8,G2766&gt;=8,H2766&gt;=8),"CHAMPION",AND(F2766&gt;=6,G2766&gt;=7,H2766&gt;=6),"LOYAL CUSTOMER",AND(F2766&gt;=6,G2766&gt;=5,H2766&gt;=5),"POTENTIAL LOYALIST",AND(F2766&gt;=8,G2766&lt;=2,H2766&gt;=5),"NEW CUSTOMERS",AND(F2766&gt;=6,G2766&lt;=2,H2766&gt;=3),"PROMISING",AND(F2766&gt;=3,G2766&gt;=3,H2766&gt;=3),"NEED ATTENTION",AND(F2766&lt;=4,G2766&gt;=6,H2766&gt;=6),"AT RISK",AND(F2766&lt;=2,G2766&gt;=8,H2766&gt;=8),"CAN'T LOSE THEM",AND(F2766&lt;=2,G2766&lt;=2,H2766&lt;=2),"HIBERNATING",TRUE(),"Other")</f>
        <v>NEED ATTENTION</v>
      </c>
      <c r="K2766" s="1" t="n">
        <f aca="false">RANK(E2766,$E$7:$E$4378)+COUNTIF($E$7:E2766,E2766)-1</f>
        <v>1302</v>
      </c>
    </row>
    <row r="2767" customFormat="false" ht="14.25" hidden="false" customHeight="true" outlineLevel="0" collapsed="false">
      <c r="A2767" s="51" t="n">
        <v>16084</v>
      </c>
      <c r="B2767" s="53" t="n">
        <v>40587.6701388889</v>
      </c>
      <c r="C2767" s="57" t="n">
        <f aca="false">INT($C$2)-INT(Table3[[#This Row],[Last Purchase Date]])</f>
        <v>300</v>
      </c>
      <c r="D2767" s="1" t="n">
        <v>1</v>
      </c>
      <c r="E2767" s="1" t="n">
        <v>436.18</v>
      </c>
      <c r="F2767" s="1" t="n">
        <f aca="false">ROUND((1-_xlfn.PERCENTRANK.INC($C$7:$C$4378,C2767))*9,0)</f>
        <v>1</v>
      </c>
      <c r="G2767" s="1" t="n">
        <f aca="false">ROUND(_xlfn.PERCENTRANK.INC($D$7:$D$4378,D2767)*9,0)</f>
        <v>0</v>
      </c>
      <c r="H2767" s="1" t="n">
        <f aca="false">ROUND(_xlfn.PERCENTRANK.INC($E$7:$E$4378,E2767)*9,0)</f>
        <v>3</v>
      </c>
      <c r="I2767" s="1" t="str">
        <f aca="false">CONCATENATE(F2767,G2767,H2767)</f>
        <v>103</v>
      </c>
      <c r="J2767" s="1" t="str">
        <f aca="false">_xlfn.IFS(AND(F2767&gt;=8,G2767&gt;=8,H2767&gt;=8),"CHAMPION",AND(F2767&gt;=6,G2767&gt;=7,H2767&gt;=6),"LOYAL CUSTOMER",AND(F2767&gt;=6,G2767&gt;=5,H2767&gt;=5),"POTENTIAL LOYALIST",AND(F2767&gt;=8,G2767&lt;=2,H2767&gt;=5),"NEW CUSTOMERS",AND(F2767&gt;=6,G2767&lt;=2,H2767&gt;=3),"PROMISING",AND(F2767&gt;=3,G2767&gt;=3,H2767&gt;=3),"NEED ATTENTION",AND(F2767&lt;=4,G2767&gt;=6,H2767&gt;=6),"AT RISK",AND(F2767&lt;=2,G2767&gt;=8,H2767&gt;=8),"CAN'T LOSE THEM",AND(F2767&lt;=2,G2767&lt;=2,H2767&lt;=2),"HIBERNATING",TRUE(),"Other")</f>
        <v>Other</v>
      </c>
      <c r="K2767" s="1" t="n">
        <f aca="false">RANK(E2767,$E$7:$E$4378)+COUNTIF($E$7:E2767,E2767)-1</f>
        <v>2707</v>
      </c>
    </row>
    <row r="2768" customFormat="false" ht="14.25" hidden="false" customHeight="true" outlineLevel="0" collapsed="false">
      <c r="A2768" s="51" t="n">
        <v>16085</v>
      </c>
      <c r="B2768" s="53" t="n">
        <v>40863.5583333333</v>
      </c>
      <c r="C2768" s="57" t="n">
        <f aca="false">INT($C$2)-INT(Table3[[#This Row],[Last Purchase Date]])</f>
        <v>24</v>
      </c>
      <c r="D2768" s="1" t="n">
        <v>5</v>
      </c>
      <c r="E2768" s="1" t="n">
        <v>981.51</v>
      </c>
      <c r="F2768" s="1" t="n">
        <f aca="false">ROUND((1-_xlfn.PERCENTRANK.INC($C$7:$C$4378,C2768))*9,0)</f>
        <v>6</v>
      </c>
      <c r="G2768" s="1" t="n">
        <f aca="false">ROUND(_xlfn.PERCENTRANK.INC($D$7:$D$4378,D2768)*9,0)</f>
        <v>6</v>
      </c>
      <c r="H2768" s="1" t="n">
        <f aca="false">ROUND(_xlfn.PERCENTRANK.INC($E$7:$E$4378,E2768)*9,0)</f>
        <v>6</v>
      </c>
      <c r="I2768" s="1" t="str">
        <f aca="false">CONCATENATE(F2768,G2768,H2768)</f>
        <v>666</v>
      </c>
      <c r="J2768" s="1" t="str">
        <f aca="false">_xlfn.IFS(AND(F2768&gt;=8,G2768&gt;=8,H2768&gt;=8),"CHAMPION",AND(F2768&gt;=6,G2768&gt;=7,H2768&gt;=6),"LOYAL CUSTOMER",AND(F2768&gt;=6,G2768&gt;=5,H2768&gt;=5),"POTENTIAL LOYALIST",AND(F2768&gt;=8,G2768&lt;=2,H2768&gt;=5),"NEW CUSTOMERS",AND(F2768&gt;=6,G2768&lt;=2,H2768&gt;=3),"PROMISING",AND(F2768&gt;=3,G2768&gt;=3,H2768&gt;=3),"NEED ATTENTION",AND(F2768&lt;=4,G2768&gt;=6,H2768&gt;=6),"AT RISK",AND(F2768&lt;=2,G2768&gt;=8,H2768&gt;=8),"CAN'T LOSE THEM",AND(F2768&lt;=2,G2768&lt;=2,H2768&lt;=2),"HIBERNATING",TRUE(),"Other")</f>
        <v>POTENTIAL LOYALIST</v>
      </c>
      <c r="K2768" s="1" t="n">
        <f aca="false">RANK(E2768,$E$7:$E$4378)+COUNTIF($E$7:E2768,E2768)-1</f>
        <v>1661</v>
      </c>
    </row>
    <row r="2769" customFormat="false" ht="14.25" hidden="false" customHeight="true" outlineLevel="0" collapsed="false">
      <c r="A2769" s="51" t="n">
        <v>16086</v>
      </c>
      <c r="B2769" s="53" t="n">
        <v>40827.5479166667</v>
      </c>
      <c r="C2769" s="57" t="n">
        <f aca="false">INT($C$2)-INT(Table3[[#This Row],[Last Purchase Date]])</f>
        <v>60</v>
      </c>
      <c r="D2769" s="1" t="n">
        <v>6</v>
      </c>
      <c r="E2769" s="1" t="n">
        <v>1119.31</v>
      </c>
      <c r="F2769" s="1" t="n">
        <f aca="false">ROUND((1-_xlfn.PERCENTRANK.INC($C$7:$C$4378,C2769))*9,0)</f>
        <v>4</v>
      </c>
      <c r="G2769" s="1" t="n">
        <f aca="false">ROUND(_xlfn.PERCENTRANK.INC($D$7:$D$4378,D2769)*9,0)</f>
        <v>7</v>
      </c>
      <c r="H2769" s="1" t="n">
        <f aca="false">ROUND(_xlfn.PERCENTRANK.INC($E$7:$E$4378,E2769)*9,0)</f>
        <v>6</v>
      </c>
      <c r="I2769" s="1" t="str">
        <f aca="false">CONCATENATE(F2769,G2769,H2769)</f>
        <v>476</v>
      </c>
      <c r="J2769" s="1" t="str">
        <f aca="false">_xlfn.IFS(AND(F2769&gt;=8,G2769&gt;=8,H2769&gt;=8),"CHAMPION",AND(F2769&gt;=6,G2769&gt;=7,H2769&gt;=6),"LOYAL CUSTOMER",AND(F2769&gt;=6,G2769&gt;=5,H2769&gt;=5),"POTENTIAL LOYALIST",AND(F2769&gt;=8,G2769&lt;=2,H2769&gt;=5),"NEW CUSTOMERS",AND(F2769&gt;=6,G2769&lt;=2,H2769&gt;=3),"PROMISING",AND(F2769&gt;=3,G2769&gt;=3,H2769&gt;=3),"NEED ATTENTION",AND(F2769&lt;=4,G2769&gt;=6,H2769&gt;=6),"AT RISK",AND(F2769&lt;=2,G2769&gt;=8,H2769&gt;=8),"CAN'T LOSE THEM",AND(F2769&lt;=2,G2769&lt;=2,H2769&lt;=2),"HIBERNATING",TRUE(),"Other")</f>
        <v>NEED ATTENTION</v>
      </c>
      <c r="K2769" s="1" t="n">
        <f aca="false">RANK(E2769,$E$7:$E$4378)+COUNTIF($E$7:E2769,E2769)-1</f>
        <v>1489</v>
      </c>
    </row>
    <row r="2770" customFormat="false" ht="14.25" hidden="false" customHeight="true" outlineLevel="0" collapsed="false">
      <c r="A2770" s="51" t="n">
        <v>16091</v>
      </c>
      <c r="B2770" s="53" t="n">
        <v>40732.3645833333</v>
      </c>
      <c r="C2770" s="57" t="n">
        <f aca="false">INT($C$2)-INT(Table3[[#This Row],[Last Purchase Date]])</f>
        <v>155</v>
      </c>
      <c r="D2770" s="1" t="n">
        <v>2</v>
      </c>
      <c r="E2770" s="1" t="n">
        <v>315.06</v>
      </c>
      <c r="F2770" s="1" t="n">
        <f aca="false">ROUND((1-_xlfn.PERCENTRANK.INC($C$7:$C$4378,C2770))*9,0)</f>
        <v>2</v>
      </c>
      <c r="G2770" s="1" t="n">
        <f aca="false">ROUND(_xlfn.PERCENTRANK.INC($D$7:$D$4378,D2770)*9,0)</f>
        <v>3</v>
      </c>
      <c r="H2770" s="1" t="n">
        <f aca="false">ROUND(_xlfn.PERCENTRANK.INC($E$7:$E$4378,E2770)*9,0)</f>
        <v>2</v>
      </c>
      <c r="I2770" s="1" t="str">
        <f aca="false">CONCATENATE(F2770,G2770,H2770)</f>
        <v>232</v>
      </c>
      <c r="J2770" s="1" t="str">
        <f aca="false">_xlfn.IFS(AND(F2770&gt;=8,G2770&gt;=8,H2770&gt;=8),"CHAMPION",AND(F2770&gt;=6,G2770&gt;=7,H2770&gt;=6),"LOYAL CUSTOMER",AND(F2770&gt;=6,G2770&gt;=5,H2770&gt;=5),"POTENTIAL LOYALIST",AND(F2770&gt;=8,G2770&lt;=2,H2770&gt;=5),"NEW CUSTOMERS",AND(F2770&gt;=6,G2770&lt;=2,H2770&gt;=3),"PROMISING",AND(F2770&gt;=3,G2770&gt;=3,H2770&gt;=3),"NEED ATTENTION",AND(F2770&lt;=4,G2770&gt;=6,H2770&gt;=6),"AT RISK",AND(F2770&lt;=2,G2770&gt;=8,H2770&gt;=8),"CAN'T LOSE THEM",AND(F2770&lt;=2,G2770&lt;=2,H2770&lt;=2),"HIBERNATING",TRUE(),"Other")</f>
        <v>Other</v>
      </c>
      <c r="K2770" s="1" t="n">
        <f aca="false">RANK(E2770,$E$7:$E$4378)+COUNTIF($E$7:E2770,E2770)-1</f>
        <v>3163</v>
      </c>
    </row>
    <row r="2771" customFormat="false" ht="14.25" hidden="false" customHeight="true" outlineLevel="0" collapsed="false">
      <c r="A2771" s="51" t="n">
        <v>16092</v>
      </c>
      <c r="B2771" s="53" t="n">
        <v>40788.4902777778</v>
      </c>
      <c r="C2771" s="57" t="n">
        <f aca="false">INT($C$2)-INT(Table3[[#This Row],[Last Purchase Date]])</f>
        <v>99</v>
      </c>
      <c r="D2771" s="1" t="n">
        <v>5</v>
      </c>
      <c r="E2771" s="1" t="n">
        <v>779.36</v>
      </c>
      <c r="F2771" s="1" t="n">
        <f aca="false">ROUND((1-_xlfn.PERCENTRANK.INC($C$7:$C$4378,C2771))*9,0)</f>
        <v>3</v>
      </c>
      <c r="G2771" s="1" t="n">
        <f aca="false">ROUND(_xlfn.PERCENTRANK.INC($D$7:$D$4378,D2771)*9,0)</f>
        <v>6</v>
      </c>
      <c r="H2771" s="1" t="n">
        <f aca="false">ROUND(_xlfn.PERCENTRANK.INC($E$7:$E$4378,E2771)*9,0)</f>
        <v>5</v>
      </c>
      <c r="I2771" s="1" t="str">
        <f aca="false">CONCATENATE(F2771,G2771,H2771)</f>
        <v>365</v>
      </c>
      <c r="J2771" s="1" t="str">
        <f aca="false">_xlfn.IFS(AND(F2771&gt;=8,G2771&gt;=8,H2771&gt;=8),"CHAMPION",AND(F2771&gt;=6,G2771&gt;=7,H2771&gt;=6),"LOYAL CUSTOMER",AND(F2771&gt;=6,G2771&gt;=5,H2771&gt;=5),"POTENTIAL LOYALIST",AND(F2771&gt;=8,G2771&lt;=2,H2771&gt;=5),"NEW CUSTOMERS",AND(F2771&gt;=6,G2771&lt;=2,H2771&gt;=3),"PROMISING",AND(F2771&gt;=3,G2771&gt;=3,H2771&gt;=3),"NEED ATTENTION",AND(F2771&lt;=4,G2771&gt;=6,H2771&gt;=6),"AT RISK",AND(F2771&lt;=2,G2771&gt;=8,H2771&gt;=8),"CAN'T LOSE THEM",AND(F2771&lt;=2,G2771&lt;=2,H2771&lt;=2),"HIBERNATING",TRUE(),"Other")</f>
        <v>NEED ATTENTION</v>
      </c>
      <c r="K2771" s="1" t="n">
        <f aca="false">RANK(E2771,$E$7:$E$4378)+COUNTIF($E$7:E2771,E2771)-1</f>
        <v>1927</v>
      </c>
    </row>
    <row r="2772" customFormat="false" ht="14.25" hidden="false" customHeight="true" outlineLevel="0" collapsed="false">
      <c r="A2772" s="51" t="n">
        <v>16093</v>
      </c>
      <c r="B2772" s="53" t="n">
        <v>40780.4645833333</v>
      </c>
      <c r="C2772" s="57" t="n">
        <f aca="false">INT($C$2)-INT(Table3[[#This Row],[Last Purchase Date]])</f>
        <v>107</v>
      </c>
      <c r="D2772" s="1" t="n">
        <v>1</v>
      </c>
      <c r="E2772" s="1" t="n">
        <v>17</v>
      </c>
      <c r="F2772" s="1" t="n">
        <f aca="false">ROUND((1-_xlfn.PERCENTRANK.INC($C$7:$C$4378,C2772))*9,0)</f>
        <v>3</v>
      </c>
      <c r="G2772" s="1" t="n">
        <f aca="false">ROUND(_xlfn.PERCENTRANK.INC($D$7:$D$4378,D2772)*9,0)</f>
        <v>0</v>
      </c>
      <c r="H2772" s="1" t="n">
        <f aca="false">ROUND(_xlfn.PERCENTRANK.INC($E$7:$E$4378,E2772)*9,0)</f>
        <v>0</v>
      </c>
      <c r="I2772" s="1" t="str">
        <f aca="false">CONCATENATE(F2772,G2772,H2772)</f>
        <v>300</v>
      </c>
      <c r="J2772" s="1" t="str">
        <f aca="false">_xlfn.IFS(AND(F2772&gt;=8,G2772&gt;=8,H2772&gt;=8),"CHAMPION",AND(F2772&gt;=6,G2772&gt;=7,H2772&gt;=6),"LOYAL CUSTOMER",AND(F2772&gt;=6,G2772&gt;=5,H2772&gt;=5),"POTENTIAL LOYALIST",AND(F2772&gt;=8,G2772&lt;=2,H2772&gt;=5),"NEW CUSTOMERS",AND(F2772&gt;=6,G2772&lt;=2,H2772&gt;=3),"PROMISING",AND(F2772&gt;=3,G2772&gt;=3,H2772&gt;=3),"NEED ATTENTION",AND(F2772&lt;=4,G2772&gt;=6,H2772&gt;=6),"AT RISK",AND(F2772&lt;=2,G2772&gt;=8,H2772&gt;=8),"CAN'T LOSE THEM",AND(F2772&lt;=2,G2772&lt;=2,H2772&lt;=2),"HIBERNATING",TRUE(),"Other")</f>
        <v>Other</v>
      </c>
      <c r="K2772" s="1" t="n">
        <f aca="false">RANK(E2772,$E$7:$E$4378)+COUNTIF($E$7:E2772,E2772)-1</f>
        <v>4311</v>
      </c>
    </row>
    <row r="2773" customFormat="false" ht="14.25" hidden="false" customHeight="true" outlineLevel="0" collapsed="false">
      <c r="A2773" s="51" t="n">
        <v>16094</v>
      </c>
      <c r="B2773" s="53" t="n">
        <v>40875.53125</v>
      </c>
      <c r="C2773" s="57" t="n">
        <f aca="false">INT($C$2)-INT(Table3[[#This Row],[Last Purchase Date]])</f>
        <v>12</v>
      </c>
      <c r="D2773" s="1" t="n">
        <v>6</v>
      </c>
      <c r="E2773" s="1" t="n">
        <v>1041.83</v>
      </c>
      <c r="F2773" s="1" t="n">
        <f aca="false">ROUND((1-_xlfn.PERCENTRANK.INC($C$7:$C$4378,C2773))*9,0)</f>
        <v>7</v>
      </c>
      <c r="G2773" s="1" t="n">
        <f aca="false">ROUND(_xlfn.PERCENTRANK.INC($D$7:$D$4378,D2773)*9,0)</f>
        <v>7</v>
      </c>
      <c r="H2773" s="1" t="n">
        <f aca="false">ROUND(_xlfn.PERCENTRANK.INC($E$7:$E$4378,E2773)*9,0)</f>
        <v>6</v>
      </c>
      <c r="I2773" s="1" t="str">
        <f aca="false">CONCATENATE(F2773,G2773,H2773)</f>
        <v>776</v>
      </c>
      <c r="J2773" s="1" t="str">
        <f aca="false">_xlfn.IFS(AND(F2773&gt;=8,G2773&gt;=8,H2773&gt;=8),"CHAMPION",AND(F2773&gt;=6,G2773&gt;=7,H2773&gt;=6),"LOYAL CUSTOMER",AND(F2773&gt;=6,G2773&gt;=5,H2773&gt;=5),"POTENTIAL LOYALIST",AND(F2773&gt;=8,G2773&lt;=2,H2773&gt;=5),"NEW CUSTOMERS",AND(F2773&gt;=6,G2773&lt;=2,H2773&gt;=3),"PROMISING",AND(F2773&gt;=3,G2773&gt;=3,H2773&gt;=3),"NEED ATTENTION",AND(F2773&lt;=4,G2773&gt;=6,H2773&gt;=6),"AT RISK",AND(F2773&lt;=2,G2773&gt;=8,H2773&gt;=8),"CAN'T LOSE THEM",AND(F2773&lt;=2,G2773&lt;=2,H2773&lt;=2),"HIBERNATING",TRUE(),"Other")</f>
        <v>LOYAL CUSTOMER</v>
      </c>
      <c r="K2773" s="1" t="n">
        <f aca="false">RANK(E2773,$E$7:$E$4378)+COUNTIF($E$7:E2773,E2773)-1</f>
        <v>1578</v>
      </c>
    </row>
    <row r="2774" customFormat="false" ht="14.25" hidden="false" customHeight="true" outlineLevel="0" collapsed="false">
      <c r="A2774" s="51" t="n">
        <v>16096</v>
      </c>
      <c r="B2774" s="53" t="n">
        <v>40622.5680555556</v>
      </c>
      <c r="C2774" s="57" t="n">
        <f aca="false">INT($C$2)-INT(Table3[[#This Row],[Last Purchase Date]])</f>
        <v>265</v>
      </c>
      <c r="D2774" s="1" t="n">
        <v>1</v>
      </c>
      <c r="E2774" s="1" t="n">
        <v>320.62</v>
      </c>
      <c r="F2774" s="1" t="n">
        <f aca="false">ROUND((1-_xlfn.PERCENTRANK.INC($C$7:$C$4378,C2774))*9,0)</f>
        <v>1</v>
      </c>
      <c r="G2774" s="1" t="n">
        <f aca="false">ROUND(_xlfn.PERCENTRANK.INC($D$7:$D$4378,D2774)*9,0)</f>
        <v>0</v>
      </c>
      <c r="H2774" s="1" t="n">
        <f aca="false">ROUND(_xlfn.PERCENTRANK.INC($E$7:$E$4378,E2774)*9,0)</f>
        <v>3</v>
      </c>
      <c r="I2774" s="1" t="str">
        <f aca="false">CONCATENATE(F2774,G2774,H2774)</f>
        <v>103</v>
      </c>
      <c r="J2774" s="1" t="str">
        <f aca="false">_xlfn.IFS(AND(F2774&gt;=8,G2774&gt;=8,H2774&gt;=8),"CHAMPION",AND(F2774&gt;=6,G2774&gt;=7,H2774&gt;=6),"LOYAL CUSTOMER",AND(F2774&gt;=6,G2774&gt;=5,H2774&gt;=5),"POTENTIAL LOYALIST",AND(F2774&gt;=8,G2774&lt;=2,H2774&gt;=5),"NEW CUSTOMERS",AND(F2774&gt;=6,G2774&lt;=2,H2774&gt;=3),"PROMISING",AND(F2774&gt;=3,G2774&gt;=3,H2774&gt;=3),"NEED ATTENTION",AND(F2774&lt;=4,G2774&gt;=6,H2774&gt;=6),"AT RISK",AND(F2774&lt;=2,G2774&gt;=8,H2774&gt;=8),"CAN'T LOSE THEM",AND(F2774&lt;=2,G2774&lt;=2,H2774&lt;=2),"HIBERNATING",TRUE(),"Other")</f>
        <v>Other</v>
      </c>
      <c r="K2774" s="1" t="n">
        <f aca="false">RANK(E2774,$E$7:$E$4378)+COUNTIF($E$7:E2774,E2774)-1</f>
        <v>3136</v>
      </c>
    </row>
    <row r="2775" customFormat="false" ht="14.25" hidden="false" customHeight="true" outlineLevel="0" collapsed="false">
      <c r="A2775" s="51" t="n">
        <v>16097</v>
      </c>
      <c r="B2775" s="53" t="n">
        <v>40646.5743055556</v>
      </c>
      <c r="C2775" s="57" t="n">
        <f aca="false">INT($C$2)-INT(Table3[[#This Row],[Last Purchase Date]])</f>
        <v>241</v>
      </c>
      <c r="D2775" s="1" t="n">
        <v>1</v>
      </c>
      <c r="E2775" s="1" t="n">
        <v>185.05</v>
      </c>
      <c r="F2775" s="1" t="n">
        <f aca="false">ROUND((1-_xlfn.PERCENTRANK.INC($C$7:$C$4378,C2775))*9,0)</f>
        <v>1</v>
      </c>
      <c r="G2775" s="1" t="n">
        <f aca="false">ROUND(_xlfn.PERCENTRANK.INC($D$7:$D$4378,D2775)*9,0)</f>
        <v>0</v>
      </c>
      <c r="H2775" s="1" t="n">
        <f aca="false">ROUND(_xlfn.PERCENTRANK.INC($E$7:$E$4378,E2775)*9,0)</f>
        <v>1</v>
      </c>
      <c r="I2775" s="1" t="str">
        <f aca="false">CONCATENATE(F2775,G2775,H2775)</f>
        <v>101</v>
      </c>
      <c r="J2775" s="1" t="str">
        <f aca="false">_xlfn.IFS(AND(F2775&gt;=8,G2775&gt;=8,H2775&gt;=8),"CHAMPION",AND(F2775&gt;=6,G2775&gt;=7,H2775&gt;=6),"LOYAL CUSTOMER",AND(F2775&gt;=6,G2775&gt;=5,H2775&gt;=5),"POTENTIAL LOYALIST",AND(F2775&gt;=8,G2775&lt;=2,H2775&gt;=5),"NEW CUSTOMERS",AND(F2775&gt;=6,G2775&lt;=2,H2775&gt;=3),"PROMISING",AND(F2775&gt;=3,G2775&gt;=3,H2775&gt;=3),"NEED ATTENTION",AND(F2775&lt;=4,G2775&gt;=6,H2775&gt;=6),"AT RISK",AND(F2775&lt;=2,G2775&gt;=8,H2775&gt;=8),"CAN'T LOSE THEM",AND(F2775&lt;=2,G2775&lt;=2,H2775&lt;=2),"HIBERNATING",TRUE(),"Other")</f>
        <v>HIBERNATING</v>
      </c>
      <c r="K2775" s="1" t="n">
        <f aca="false">RANK(E2775,$E$7:$E$4378)+COUNTIF($E$7:E2775,E2775)-1</f>
        <v>3729</v>
      </c>
    </row>
    <row r="2776" customFormat="false" ht="14.25" hidden="false" customHeight="true" outlineLevel="0" collapsed="false">
      <c r="A2776" s="51" t="n">
        <v>16098</v>
      </c>
      <c r="B2776" s="53" t="n">
        <v>40799.4159722222</v>
      </c>
      <c r="C2776" s="57" t="n">
        <f aca="false">INT($C$2)-INT(Table3[[#This Row],[Last Purchase Date]])</f>
        <v>88</v>
      </c>
      <c r="D2776" s="1" t="n">
        <v>7</v>
      </c>
      <c r="E2776" s="1" t="n">
        <v>2005.63</v>
      </c>
      <c r="F2776" s="1" t="n">
        <f aca="false">ROUND((1-_xlfn.PERCENTRANK.INC($C$7:$C$4378,C2776))*9,0)</f>
        <v>3</v>
      </c>
      <c r="G2776" s="1" t="n">
        <f aca="false">ROUND(_xlfn.PERCENTRANK.INC($D$7:$D$4378,D2776)*9,0)</f>
        <v>7</v>
      </c>
      <c r="H2776" s="1" t="n">
        <f aca="false">ROUND(_xlfn.PERCENTRANK.INC($E$7:$E$4378,E2776)*9,0)</f>
        <v>7</v>
      </c>
      <c r="I2776" s="1" t="str">
        <f aca="false">CONCATENATE(F2776,G2776,H2776)</f>
        <v>377</v>
      </c>
      <c r="J2776" s="1" t="str">
        <f aca="false">_xlfn.IFS(AND(F2776&gt;=8,G2776&gt;=8,H2776&gt;=8),"CHAMPION",AND(F2776&gt;=6,G2776&gt;=7,H2776&gt;=6),"LOYAL CUSTOMER",AND(F2776&gt;=6,G2776&gt;=5,H2776&gt;=5),"POTENTIAL LOYALIST",AND(F2776&gt;=8,G2776&lt;=2,H2776&gt;=5),"NEW CUSTOMERS",AND(F2776&gt;=6,G2776&lt;=2,H2776&gt;=3),"PROMISING",AND(F2776&gt;=3,G2776&gt;=3,H2776&gt;=3),"NEED ATTENTION",AND(F2776&lt;=4,G2776&gt;=6,H2776&gt;=6),"AT RISK",AND(F2776&lt;=2,G2776&gt;=8,H2776&gt;=8),"CAN'T LOSE THEM",AND(F2776&lt;=2,G2776&lt;=2,H2776&lt;=2),"HIBERNATING",TRUE(),"Other")</f>
        <v>NEED ATTENTION</v>
      </c>
      <c r="K2776" s="1" t="n">
        <f aca="false">RANK(E2776,$E$7:$E$4378)+COUNTIF($E$7:E2776,E2776)-1</f>
        <v>872</v>
      </c>
    </row>
    <row r="2777" customFormat="false" ht="14.25" hidden="false" customHeight="true" outlineLevel="0" collapsed="false">
      <c r="A2777" s="51" t="n">
        <v>16099</v>
      </c>
      <c r="B2777" s="53" t="n">
        <v>40836.5506944444</v>
      </c>
      <c r="C2777" s="57" t="n">
        <f aca="false">INT($C$2)-INT(Table3[[#This Row],[Last Purchase Date]])</f>
        <v>51</v>
      </c>
      <c r="D2777" s="1" t="n">
        <v>3</v>
      </c>
      <c r="E2777" s="1" t="n">
        <v>731.9</v>
      </c>
      <c r="F2777" s="1" t="n">
        <f aca="false">ROUND((1-_xlfn.PERCENTRANK.INC($C$7:$C$4378,C2777))*9,0)</f>
        <v>5</v>
      </c>
      <c r="G2777" s="1" t="n">
        <f aca="false">ROUND(_xlfn.PERCENTRANK.INC($D$7:$D$4378,D2777)*9,0)</f>
        <v>4</v>
      </c>
      <c r="H2777" s="1" t="n">
        <f aca="false">ROUND(_xlfn.PERCENTRANK.INC($E$7:$E$4378,E2777)*9,0)</f>
        <v>5</v>
      </c>
      <c r="I2777" s="1" t="str">
        <f aca="false">CONCATENATE(F2777,G2777,H2777)</f>
        <v>545</v>
      </c>
      <c r="J2777" s="1" t="str">
        <f aca="false">_xlfn.IFS(AND(F2777&gt;=8,G2777&gt;=8,H2777&gt;=8),"CHAMPION",AND(F2777&gt;=6,G2777&gt;=7,H2777&gt;=6),"LOYAL CUSTOMER",AND(F2777&gt;=6,G2777&gt;=5,H2777&gt;=5),"POTENTIAL LOYALIST",AND(F2777&gt;=8,G2777&lt;=2,H2777&gt;=5),"NEW CUSTOMERS",AND(F2777&gt;=6,G2777&lt;=2,H2777&gt;=3),"PROMISING",AND(F2777&gt;=3,G2777&gt;=3,H2777&gt;=3),"NEED ATTENTION",AND(F2777&lt;=4,G2777&gt;=6,H2777&gt;=6),"AT RISK",AND(F2777&lt;=2,G2777&gt;=8,H2777&gt;=8),"CAN'T LOSE THEM",AND(F2777&lt;=2,G2777&lt;=2,H2777&lt;=2),"HIBERNATING",TRUE(),"Other")</f>
        <v>NEED ATTENTION</v>
      </c>
      <c r="K2777" s="1" t="n">
        <f aca="false">RANK(E2777,$E$7:$E$4378)+COUNTIF($E$7:E2777,E2777)-1</f>
        <v>2007</v>
      </c>
    </row>
    <row r="2778" customFormat="false" ht="14.25" hidden="false" customHeight="true" outlineLevel="0" collapsed="false">
      <c r="A2778" s="51" t="n">
        <v>16101</v>
      </c>
      <c r="B2778" s="53" t="n">
        <v>40877.7041666667</v>
      </c>
      <c r="C2778" s="57" t="n">
        <f aca="false">INT($C$2)-INT(Table3[[#This Row],[Last Purchase Date]])</f>
        <v>10</v>
      </c>
      <c r="D2778" s="1" t="n">
        <v>3</v>
      </c>
      <c r="E2778" s="1" t="n">
        <v>1245.96</v>
      </c>
      <c r="F2778" s="1" t="n">
        <f aca="false">ROUND((1-_xlfn.PERCENTRANK.INC($C$7:$C$4378,C2778))*9,0)</f>
        <v>8</v>
      </c>
      <c r="G2778" s="1" t="n">
        <f aca="false">ROUND(_xlfn.PERCENTRANK.INC($D$7:$D$4378,D2778)*9,0)</f>
        <v>4</v>
      </c>
      <c r="H2778" s="1" t="n">
        <f aca="false">ROUND(_xlfn.PERCENTRANK.INC($E$7:$E$4378,E2778)*9,0)</f>
        <v>6</v>
      </c>
      <c r="I2778" s="1" t="str">
        <f aca="false">CONCATENATE(F2778,G2778,H2778)</f>
        <v>846</v>
      </c>
      <c r="J2778" s="1" t="str">
        <f aca="false">_xlfn.IFS(AND(F2778&gt;=8,G2778&gt;=8,H2778&gt;=8),"CHAMPION",AND(F2778&gt;=6,G2778&gt;=7,H2778&gt;=6),"LOYAL CUSTOMER",AND(F2778&gt;=6,G2778&gt;=5,H2778&gt;=5),"POTENTIAL LOYALIST",AND(F2778&gt;=8,G2778&lt;=2,H2778&gt;=5),"NEW CUSTOMERS",AND(F2778&gt;=6,G2778&lt;=2,H2778&gt;=3),"PROMISING",AND(F2778&gt;=3,G2778&gt;=3,H2778&gt;=3),"NEED ATTENTION",AND(F2778&lt;=4,G2778&gt;=6,H2778&gt;=6),"AT RISK",AND(F2778&lt;=2,G2778&gt;=8,H2778&gt;=8),"CAN'T LOSE THEM",AND(F2778&lt;=2,G2778&lt;=2,H2778&lt;=2),"HIBERNATING",TRUE(),"Other")</f>
        <v>NEED ATTENTION</v>
      </c>
      <c r="K2778" s="1" t="n">
        <f aca="false">RANK(E2778,$E$7:$E$4378)+COUNTIF($E$7:E2778,E2778)-1</f>
        <v>1381</v>
      </c>
    </row>
    <row r="2779" customFormat="false" ht="14.25" hidden="false" customHeight="true" outlineLevel="0" collapsed="false">
      <c r="A2779" s="51" t="n">
        <v>16102</v>
      </c>
      <c r="B2779" s="53" t="n">
        <v>40844.5548611111</v>
      </c>
      <c r="C2779" s="57" t="n">
        <f aca="false">INT($C$2)-INT(Table3[[#This Row],[Last Purchase Date]])</f>
        <v>43</v>
      </c>
      <c r="D2779" s="1" t="n">
        <v>3</v>
      </c>
      <c r="E2779" s="1" t="n">
        <v>1842.14</v>
      </c>
      <c r="F2779" s="1" t="n">
        <f aca="false">ROUND((1-_xlfn.PERCENTRANK.INC($C$7:$C$4378,C2779))*9,0)</f>
        <v>5</v>
      </c>
      <c r="G2779" s="1" t="n">
        <f aca="false">ROUND(_xlfn.PERCENTRANK.INC($D$7:$D$4378,D2779)*9,0)</f>
        <v>4</v>
      </c>
      <c r="H2779" s="1" t="n">
        <f aca="false">ROUND(_xlfn.PERCENTRANK.INC($E$7:$E$4378,E2779)*9,0)</f>
        <v>7</v>
      </c>
      <c r="I2779" s="1" t="str">
        <f aca="false">CONCATENATE(F2779,G2779,H2779)</f>
        <v>547</v>
      </c>
      <c r="J2779" s="1" t="str">
        <f aca="false">_xlfn.IFS(AND(F2779&gt;=8,G2779&gt;=8,H2779&gt;=8),"CHAMPION",AND(F2779&gt;=6,G2779&gt;=7,H2779&gt;=6),"LOYAL CUSTOMER",AND(F2779&gt;=6,G2779&gt;=5,H2779&gt;=5),"POTENTIAL LOYALIST",AND(F2779&gt;=8,G2779&lt;=2,H2779&gt;=5),"NEW CUSTOMERS",AND(F2779&gt;=6,G2779&lt;=2,H2779&gt;=3),"PROMISING",AND(F2779&gt;=3,G2779&gt;=3,H2779&gt;=3),"NEED ATTENTION",AND(F2779&lt;=4,G2779&gt;=6,H2779&gt;=6),"AT RISK",AND(F2779&lt;=2,G2779&gt;=8,H2779&gt;=8),"CAN'T LOSE THEM",AND(F2779&lt;=2,G2779&lt;=2,H2779&lt;=2),"HIBERNATING",TRUE(),"Other")</f>
        <v>NEED ATTENTION</v>
      </c>
      <c r="K2779" s="1" t="n">
        <f aca="false">RANK(E2779,$E$7:$E$4378)+COUNTIF($E$7:E2779,E2779)-1</f>
        <v>952</v>
      </c>
    </row>
    <row r="2780" customFormat="false" ht="14.25" hidden="false" customHeight="true" outlineLevel="0" collapsed="false">
      <c r="A2780" s="51" t="n">
        <v>16103</v>
      </c>
      <c r="B2780" s="53" t="n">
        <v>40879.5944444445</v>
      </c>
      <c r="C2780" s="57" t="n">
        <f aca="false">INT($C$2)-INT(Table3[[#This Row],[Last Purchase Date]])</f>
        <v>8</v>
      </c>
      <c r="D2780" s="1" t="n">
        <v>6</v>
      </c>
      <c r="E2780" s="1" t="n">
        <v>1429.64</v>
      </c>
      <c r="F2780" s="1" t="n">
        <f aca="false">ROUND((1-_xlfn.PERCENTRANK.INC($C$7:$C$4378,C2780))*9,0)</f>
        <v>8</v>
      </c>
      <c r="G2780" s="1" t="n">
        <f aca="false">ROUND(_xlfn.PERCENTRANK.INC($D$7:$D$4378,D2780)*9,0)</f>
        <v>7</v>
      </c>
      <c r="H2780" s="1" t="n">
        <f aca="false">ROUND(_xlfn.PERCENTRANK.INC($E$7:$E$4378,E2780)*9,0)</f>
        <v>7</v>
      </c>
      <c r="I2780" s="1" t="str">
        <f aca="false">CONCATENATE(F2780,G2780,H2780)</f>
        <v>877</v>
      </c>
      <c r="J2780" s="1" t="str">
        <f aca="false">_xlfn.IFS(AND(F2780&gt;=8,G2780&gt;=8,H2780&gt;=8),"CHAMPION",AND(F2780&gt;=6,G2780&gt;=7,H2780&gt;=6),"LOYAL CUSTOMER",AND(F2780&gt;=6,G2780&gt;=5,H2780&gt;=5),"POTENTIAL LOYALIST",AND(F2780&gt;=8,G2780&lt;=2,H2780&gt;=5),"NEW CUSTOMERS",AND(F2780&gt;=6,G2780&lt;=2,H2780&gt;=3),"PROMISING",AND(F2780&gt;=3,G2780&gt;=3,H2780&gt;=3),"NEED ATTENTION",AND(F2780&lt;=4,G2780&gt;=6,H2780&gt;=6),"AT RISK",AND(F2780&lt;=2,G2780&gt;=8,H2780&gt;=8),"CAN'T LOSE THEM",AND(F2780&lt;=2,G2780&lt;=2,H2780&lt;=2),"HIBERNATING",TRUE(),"Other")</f>
        <v>LOYAL CUSTOMER</v>
      </c>
      <c r="K2780" s="1" t="n">
        <f aca="false">RANK(E2780,$E$7:$E$4378)+COUNTIF($E$7:E2780,E2780)-1</f>
        <v>1213</v>
      </c>
    </row>
    <row r="2781" customFormat="false" ht="14.25" hidden="false" customHeight="true" outlineLevel="0" collapsed="false">
      <c r="A2781" s="51" t="n">
        <v>16104</v>
      </c>
      <c r="B2781" s="53" t="n">
        <v>40825.4326388889</v>
      </c>
      <c r="C2781" s="57" t="n">
        <f aca="false">INT($C$2)-INT(Table3[[#This Row],[Last Purchase Date]])</f>
        <v>62</v>
      </c>
      <c r="D2781" s="1" t="n">
        <v>1</v>
      </c>
      <c r="E2781" s="1" t="n">
        <v>302.36</v>
      </c>
      <c r="F2781" s="1" t="n">
        <f aca="false">ROUND((1-_xlfn.PERCENTRANK.INC($C$7:$C$4378,C2781))*9,0)</f>
        <v>4</v>
      </c>
      <c r="G2781" s="1" t="n">
        <f aca="false">ROUND(_xlfn.PERCENTRANK.INC($D$7:$D$4378,D2781)*9,0)</f>
        <v>0</v>
      </c>
      <c r="H2781" s="1" t="n">
        <f aca="false">ROUND(_xlfn.PERCENTRANK.INC($E$7:$E$4378,E2781)*9,0)</f>
        <v>2</v>
      </c>
      <c r="I2781" s="1" t="str">
        <f aca="false">CONCATENATE(F2781,G2781,H2781)</f>
        <v>402</v>
      </c>
      <c r="J2781" s="1" t="str">
        <f aca="false">_xlfn.IFS(AND(F2781&gt;=8,G2781&gt;=8,H2781&gt;=8),"CHAMPION",AND(F2781&gt;=6,G2781&gt;=7,H2781&gt;=6),"LOYAL CUSTOMER",AND(F2781&gt;=6,G2781&gt;=5,H2781&gt;=5),"POTENTIAL LOYALIST",AND(F2781&gt;=8,G2781&lt;=2,H2781&gt;=5),"NEW CUSTOMERS",AND(F2781&gt;=6,G2781&lt;=2,H2781&gt;=3),"PROMISING",AND(F2781&gt;=3,G2781&gt;=3,H2781&gt;=3),"NEED ATTENTION",AND(F2781&lt;=4,G2781&gt;=6,H2781&gt;=6),"AT RISK",AND(F2781&lt;=2,G2781&gt;=8,H2781&gt;=8),"CAN'T LOSE THEM",AND(F2781&lt;=2,G2781&lt;=2,H2781&lt;=2),"HIBERNATING",TRUE(),"Other")</f>
        <v>Other</v>
      </c>
      <c r="K2781" s="1" t="n">
        <f aca="false">RANK(E2781,$E$7:$E$4378)+COUNTIF($E$7:E2781,E2781)-1</f>
        <v>3241</v>
      </c>
    </row>
    <row r="2782" customFormat="false" ht="14.25" hidden="false" customHeight="true" outlineLevel="0" collapsed="false">
      <c r="A2782" s="51" t="n">
        <v>16105</v>
      </c>
      <c r="B2782" s="53" t="n">
        <v>40638.4256944444</v>
      </c>
      <c r="C2782" s="57" t="n">
        <f aca="false">INT($C$2)-INT(Table3[[#This Row],[Last Purchase Date]])</f>
        <v>249</v>
      </c>
      <c r="D2782" s="1" t="n">
        <v>1</v>
      </c>
      <c r="E2782" s="1" t="n">
        <v>336.96</v>
      </c>
      <c r="F2782" s="1" t="n">
        <f aca="false">ROUND((1-_xlfn.PERCENTRANK.INC($C$7:$C$4378,C2782))*9,0)</f>
        <v>1</v>
      </c>
      <c r="G2782" s="1" t="n">
        <f aca="false">ROUND(_xlfn.PERCENTRANK.INC($D$7:$D$4378,D2782)*9,0)</f>
        <v>0</v>
      </c>
      <c r="H2782" s="1" t="n">
        <f aca="false">ROUND(_xlfn.PERCENTRANK.INC($E$7:$E$4378,E2782)*9,0)</f>
        <v>3</v>
      </c>
      <c r="I2782" s="1" t="str">
        <f aca="false">CONCATENATE(F2782,G2782,H2782)</f>
        <v>103</v>
      </c>
      <c r="J2782" s="1" t="str">
        <f aca="false">_xlfn.IFS(AND(F2782&gt;=8,G2782&gt;=8,H2782&gt;=8),"CHAMPION",AND(F2782&gt;=6,G2782&gt;=7,H2782&gt;=6),"LOYAL CUSTOMER",AND(F2782&gt;=6,G2782&gt;=5,H2782&gt;=5),"POTENTIAL LOYALIST",AND(F2782&gt;=8,G2782&lt;=2,H2782&gt;=5),"NEW CUSTOMERS",AND(F2782&gt;=6,G2782&lt;=2,H2782&gt;=3),"PROMISING",AND(F2782&gt;=3,G2782&gt;=3,H2782&gt;=3),"NEED ATTENTION",AND(F2782&lt;=4,G2782&gt;=6,H2782&gt;=6),"AT RISK",AND(F2782&lt;=2,G2782&gt;=8,H2782&gt;=8),"CAN'T LOSE THEM",AND(F2782&lt;=2,G2782&lt;=2,H2782&lt;=2),"HIBERNATING",TRUE(),"Other")</f>
        <v>Other</v>
      </c>
      <c r="K2782" s="1" t="n">
        <f aca="false">RANK(E2782,$E$7:$E$4378)+COUNTIF($E$7:E2782,E2782)-1</f>
        <v>3063</v>
      </c>
    </row>
    <row r="2783" customFormat="false" ht="14.25" hidden="false" customHeight="true" outlineLevel="0" collapsed="false">
      <c r="A2783" s="51" t="n">
        <v>16106</v>
      </c>
      <c r="B2783" s="53" t="n">
        <v>40821.4423611111</v>
      </c>
      <c r="C2783" s="57" t="n">
        <f aca="false">INT($C$2)-INT(Table3[[#This Row],[Last Purchase Date]])</f>
        <v>66</v>
      </c>
      <c r="D2783" s="1" t="n">
        <v>1</v>
      </c>
      <c r="E2783" s="1" t="n">
        <v>108.38</v>
      </c>
      <c r="F2783" s="1" t="n">
        <f aca="false">ROUND((1-_xlfn.PERCENTRANK.INC($C$7:$C$4378,C2783))*9,0)</f>
        <v>4</v>
      </c>
      <c r="G2783" s="1" t="n">
        <f aca="false">ROUND(_xlfn.PERCENTRANK.INC($D$7:$D$4378,D2783)*9,0)</f>
        <v>0</v>
      </c>
      <c r="H2783" s="1" t="n">
        <f aca="false">ROUND(_xlfn.PERCENTRANK.INC($E$7:$E$4378,E2783)*9,0)</f>
        <v>1</v>
      </c>
      <c r="I2783" s="1" t="str">
        <f aca="false">CONCATENATE(F2783,G2783,H2783)</f>
        <v>401</v>
      </c>
      <c r="J2783" s="1" t="str">
        <f aca="false">_xlfn.IFS(AND(F2783&gt;=8,G2783&gt;=8,H2783&gt;=8),"CHAMPION",AND(F2783&gt;=6,G2783&gt;=7,H2783&gt;=6),"LOYAL CUSTOMER",AND(F2783&gt;=6,G2783&gt;=5,H2783&gt;=5),"POTENTIAL LOYALIST",AND(F2783&gt;=8,G2783&lt;=2,H2783&gt;=5),"NEW CUSTOMERS",AND(F2783&gt;=6,G2783&lt;=2,H2783&gt;=3),"PROMISING",AND(F2783&gt;=3,G2783&gt;=3,H2783&gt;=3),"NEED ATTENTION",AND(F2783&lt;=4,G2783&gt;=6,H2783&gt;=6),"AT RISK",AND(F2783&lt;=2,G2783&gt;=8,H2783&gt;=8),"CAN'T LOSE THEM",AND(F2783&lt;=2,G2783&lt;=2,H2783&lt;=2),"HIBERNATING",TRUE(),"Other")</f>
        <v>Other</v>
      </c>
      <c r="K2783" s="1" t="n">
        <f aca="false">RANK(E2783,$E$7:$E$4378)+COUNTIF($E$7:E2783,E2783)-1</f>
        <v>4123</v>
      </c>
    </row>
    <row r="2784" customFormat="false" ht="14.25" hidden="false" customHeight="true" outlineLevel="0" collapsed="false">
      <c r="A2784" s="51" t="n">
        <v>16107</v>
      </c>
      <c r="B2784" s="53" t="n">
        <v>40869.4027777778</v>
      </c>
      <c r="C2784" s="57" t="n">
        <f aca="false">INT($C$2)-INT(Table3[[#This Row],[Last Purchase Date]])</f>
        <v>18</v>
      </c>
      <c r="D2784" s="1" t="n">
        <v>7</v>
      </c>
      <c r="E2784" s="1" t="n">
        <v>3204.16</v>
      </c>
      <c r="F2784" s="1" t="n">
        <f aca="false">ROUND((1-_xlfn.PERCENTRANK.INC($C$7:$C$4378,C2784))*9,0)</f>
        <v>7</v>
      </c>
      <c r="G2784" s="1" t="n">
        <f aca="false">ROUND(_xlfn.PERCENTRANK.INC($D$7:$D$4378,D2784)*9,0)</f>
        <v>7</v>
      </c>
      <c r="H2784" s="1" t="n">
        <f aca="false">ROUND(_xlfn.PERCENTRANK.INC($E$7:$E$4378,E2784)*9,0)</f>
        <v>8</v>
      </c>
      <c r="I2784" s="1" t="str">
        <f aca="false">CONCATENATE(F2784,G2784,H2784)</f>
        <v>778</v>
      </c>
      <c r="J2784" s="1" t="str">
        <f aca="false">_xlfn.IFS(AND(F2784&gt;=8,G2784&gt;=8,H2784&gt;=8),"CHAMPION",AND(F2784&gt;=6,G2784&gt;=7,H2784&gt;=6),"LOYAL CUSTOMER",AND(F2784&gt;=6,G2784&gt;=5,H2784&gt;=5),"POTENTIAL LOYALIST",AND(F2784&gt;=8,G2784&lt;=2,H2784&gt;=5),"NEW CUSTOMERS",AND(F2784&gt;=6,G2784&lt;=2,H2784&gt;=3),"PROMISING",AND(F2784&gt;=3,G2784&gt;=3,H2784&gt;=3),"NEED ATTENTION",AND(F2784&lt;=4,G2784&gt;=6,H2784&gt;=6),"AT RISK",AND(F2784&lt;=2,G2784&gt;=8,H2784&gt;=8),"CAN'T LOSE THEM",AND(F2784&lt;=2,G2784&lt;=2,H2784&lt;=2),"HIBERNATING",TRUE(),"Other")</f>
        <v>LOYAL CUSTOMER</v>
      </c>
      <c r="K2784" s="1" t="n">
        <f aca="false">RANK(E2784,$E$7:$E$4378)+COUNTIF($E$7:E2784,E2784)-1</f>
        <v>492</v>
      </c>
    </row>
    <row r="2785" customFormat="false" ht="14.25" hidden="false" customHeight="true" outlineLevel="0" collapsed="false">
      <c r="A2785" s="51" t="n">
        <v>16108</v>
      </c>
      <c r="B2785" s="53" t="n">
        <v>40802.49375</v>
      </c>
      <c r="C2785" s="57" t="n">
        <f aca="false">INT($C$2)-INT(Table3[[#This Row],[Last Purchase Date]])</f>
        <v>85</v>
      </c>
      <c r="D2785" s="1" t="n">
        <v>2</v>
      </c>
      <c r="E2785" s="1" t="n">
        <v>816.1</v>
      </c>
      <c r="F2785" s="1" t="n">
        <f aca="false">ROUND((1-_xlfn.PERCENTRANK.INC($C$7:$C$4378,C2785))*9,0)</f>
        <v>3</v>
      </c>
      <c r="G2785" s="1" t="n">
        <f aca="false">ROUND(_xlfn.PERCENTRANK.INC($D$7:$D$4378,D2785)*9,0)</f>
        <v>3</v>
      </c>
      <c r="H2785" s="1" t="n">
        <f aca="false">ROUND(_xlfn.PERCENTRANK.INC($E$7:$E$4378,E2785)*9,0)</f>
        <v>5</v>
      </c>
      <c r="I2785" s="1" t="str">
        <f aca="false">CONCATENATE(F2785,G2785,H2785)</f>
        <v>335</v>
      </c>
      <c r="J2785" s="1" t="str">
        <f aca="false">_xlfn.IFS(AND(F2785&gt;=8,G2785&gt;=8,H2785&gt;=8),"CHAMPION",AND(F2785&gt;=6,G2785&gt;=7,H2785&gt;=6),"LOYAL CUSTOMER",AND(F2785&gt;=6,G2785&gt;=5,H2785&gt;=5),"POTENTIAL LOYALIST",AND(F2785&gt;=8,G2785&lt;=2,H2785&gt;=5),"NEW CUSTOMERS",AND(F2785&gt;=6,G2785&lt;=2,H2785&gt;=3),"PROMISING",AND(F2785&gt;=3,G2785&gt;=3,H2785&gt;=3),"NEED ATTENTION",AND(F2785&lt;=4,G2785&gt;=6,H2785&gt;=6),"AT RISK",AND(F2785&lt;=2,G2785&gt;=8,H2785&gt;=8),"CAN'T LOSE THEM",AND(F2785&lt;=2,G2785&lt;=2,H2785&lt;=2),"HIBERNATING",TRUE(),"Other")</f>
        <v>NEED ATTENTION</v>
      </c>
      <c r="K2785" s="1" t="n">
        <f aca="false">RANK(E2785,$E$7:$E$4378)+COUNTIF($E$7:E2785,E2785)-1</f>
        <v>1868</v>
      </c>
    </row>
    <row r="2786" customFormat="false" ht="14.25" hidden="false" customHeight="true" outlineLevel="0" collapsed="false">
      <c r="A2786" s="51" t="n">
        <v>16109</v>
      </c>
      <c r="B2786" s="53" t="n">
        <v>40668.3868055556</v>
      </c>
      <c r="C2786" s="57" t="n">
        <f aca="false">INT($C$2)-INT(Table3[[#This Row],[Last Purchase Date]])</f>
        <v>219</v>
      </c>
      <c r="D2786" s="1" t="n">
        <v>2</v>
      </c>
      <c r="E2786" s="1" t="n">
        <v>611.88</v>
      </c>
      <c r="F2786" s="1" t="n">
        <f aca="false">ROUND((1-_xlfn.PERCENTRANK.INC($C$7:$C$4378,C2786))*9,0)</f>
        <v>1</v>
      </c>
      <c r="G2786" s="1" t="n">
        <f aca="false">ROUND(_xlfn.PERCENTRANK.INC($D$7:$D$4378,D2786)*9,0)</f>
        <v>3</v>
      </c>
      <c r="H2786" s="1" t="n">
        <f aca="false">ROUND(_xlfn.PERCENTRANK.INC($E$7:$E$4378,E2786)*9,0)</f>
        <v>4</v>
      </c>
      <c r="I2786" s="1" t="str">
        <f aca="false">CONCATENATE(F2786,G2786,H2786)</f>
        <v>134</v>
      </c>
      <c r="J2786" s="1" t="str">
        <f aca="false">_xlfn.IFS(AND(F2786&gt;=8,G2786&gt;=8,H2786&gt;=8),"CHAMPION",AND(F2786&gt;=6,G2786&gt;=7,H2786&gt;=6),"LOYAL CUSTOMER",AND(F2786&gt;=6,G2786&gt;=5,H2786&gt;=5),"POTENTIAL LOYALIST",AND(F2786&gt;=8,G2786&lt;=2,H2786&gt;=5),"NEW CUSTOMERS",AND(F2786&gt;=6,G2786&lt;=2,H2786&gt;=3),"PROMISING",AND(F2786&gt;=3,G2786&gt;=3,H2786&gt;=3),"NEED ATTENTION",AND(F2786&lt;=4,G2786&gt;=6,H2786&gt;=6),"AT RISK",AND(F2786&lt;=2,G2786&gt;=8,H2786&gt;=8),"CAN'T LOSE THEM",AND(F2786&lt;=2,G2786&lt;=2,H2786&lt;=2),"HIBERNATING",TRUE(),"Other")</f>
        <v>Other</v>
      </c>
      <c r="K2786" s="1" t="n">
        <f aca="false">RANK(E2786,$E$7:$E$4378)+COUNTIF($E$7:E2786,E2786)-1</f>
        <v>2278</v>
      </c>
    </row>
    <row r="2787" customFormat="false" ht="14.25" hidden="false" customHeight="true" outlineLevel="0" collapsed="false">
      <c r="A2787" s="51" t="n">
        <v>16110</v>
      </c>
      <c r="B2787" s="53" t="n">
        <v>40841.6076388889</v>
      </c>
      <c r="C2787" s="57" t="n">
        <f aca="false">INT($C$2)-INT(Table3[[#This Row],[Last Purchase Date]])</f>
        <v>46</v>
      </c>
      <c r="D2787" s="1" t="n">
        <v>3</v>
      </c>
      <c r="E2787" s="1" t="n">
        <v>1337.48</v>
      </c>
      <c r="F2787" s="1" t="n">
        <f aca="false">ROUND((1-_xlfn.PERCENTRANK.INC($C$7:$C$4378,C2787))*9,0)</f>
        <v>5</v>
      </c>
      <c r="G2787" s="1" t="n">
        <f aca="false">ROUND(_xlfn.PERCENTRANK.INC($D$7:$D$4378,D2787)*9,0)</f>
        <v>4</v>
      </c>
      <c r="H2787" s="1" t="n">
        <f aca="false">ROUND(_xlfn.PERCENTRANK.INC($E$7:$E$4378,E2787)*9,0)</f>
        <v>6</v>
      </c>
      <c r="I2787" s="1" t="str">
        <f aca="false">CONCATENATE(F2787,G2787,H2787)</f>
        <v>546</v>
      </c>
      <c r="J2787" s="1" t="str">
        <f aca="false">_xlfn.IFS(AND(F2787&gt;=8,G2787&gt;=8,H2787&gt;=8),"CHAMPION",AND(F2787&gt;=6,G2787&gt;=7,H2787&gt;=6),"LOYAL CUSTOMER",AND(F2787&gt;=6,G2787&gt;=5,H2787&gt;=5),"POTENTIAL LOYALIST",AND(F2787&gt;=8,G2787&lt;=2,H2787&gt;=5),"NEW CUSTOMERS",AND(F2787&gt;=6,G2787&lt;=2,H2787&gt;=3),"PROMISING",AND(F2787&gt;=3,G2787&gt;=3,H2787&gt;=3),"NEED ATTENTION",AND(F2787&lt;=4,G2787&gt;=6,H2787&gt;=6),"AT RISK",AND(F2787&lt;=2,G2787&gt;=8,H2787&gt;=8),"CAN'T LOSE THEM",AND(F2787&lt;=2,G2787&lt;=2,H2787&lt;=2),"HIBERNATING",TRUE(),"Other")</f>
        <v>NEED ATTENTION</v>
      </c>
      <c r="K2787" s="1" t="n">
        <f aca="false">RANK(E2787,$E$7:$E$4378)+COUNTIF($E$7:E2787,E2787)-1</f>
        <v>1290</v>
      </c>
    </row>
    <row r="2788" customFormat="false" ht="14.25" hidden="false" customHeight="true" outlineLevel="0" collapsed="false">
      <c r="A2788" s="51" t="n">
        <v>16112</v>
      </c>
      <c r="B2788" s="53" t="n">
        <v>40743.6027777778</v>
      </c>
      <c r="C2788" s="57" t="n">
        <f aca="false">INT($C$2)-INT(Table3[[#This Row],[Last Purchase Date]])</f>
        <v>144</v>
      </c>
      <c r="D2788" s="1" t="n">
        <v>4</v>
      </c>
      <c r="E2788" s="1" t="n">
        <v>195.74</v>
      </c>
      <c r="F2788" s="1" t="n">
        <f aca="false">ROUND((1-_xlfn.PERCENTRANK.INC($C$7:$C$4378,C2788))*9,0)</f>
        <v>2</v>
      </c>
      <c r="G2788" s="1" t="n">
        <f aca="false">ROUND(_xlfn.PERCENTRANK.INC($D$7:$D$4378,D2788)*9,0)</f>
        <v>5</v>
      </c>
      <c r="H2788" s="1" t="n">
        <f aca="false">ROUND(_xlfn.PERCENTRANK.INC($E$7:$E$4378,E2788)*9,0)</f>
        <v>1</v>
      </c>
      <c r="I2788" s="1" t="str">
        <f aca="false">CONCATENATE(F2788,G2788,H2788)</f>
        <v>251</v>
      </c>
      <c r="J2788" s="1" t="str">
        <f aca="false">_xlfn.IFS(AND(F2788&gt;=8,G2788&gt;=8,H2788&gt;=8),"CHAMPION",AND(F2788&gt;=6,G2788&gt;=7,H2788&gt;=6),"LOYAL CUSTOMER",AND(F2788&gt;=6,G2788&gt;=5,H2788&gt;=5),"POTENTIAL LOYALIST",AND(F2788&gt;=8,G2788&lt;=2,H2788&gt;=5),"NEW CUSTOMERS",AND(F2788&gt;=6,G2788&lt;=2,H2788&gt;=3),"PROMISING",AND(F2788&gt;=3,G2788&gt;=3,H2788&gt;=3),"NEED ATTENTION",AND(F2788&lt;=4,G2788&gt;=6,H2788&gt;=6),"AT RISK",AND(F2788&lt;=2,G2788&gt;=8,H2788&gt;=8),"CAN'T LOSE THEM",AND(F2788&lt;=2,G2788&lt;=2,H2788&lt;=2),"HIBERNATING",TRUE(),"Other")</f>
        <v>Other</v>
      </c>
      <c r="K2788" s="1" t="n">
        <f aca="false">RANK(E2788,$E$7:$E$4378)+COUNTIF($E$7:E2788,E2788)-1</f>
        <v>3681</v>
      </c>
    </row>
    <row r="2789" customFormat="false" ht="14.25" hidden="false" customHeight="true" outlineLevel="0" collapsed="false">
      <c r="A2789" s="51" t="n">
        <v>16113</v>
      </c>
      <c r="B2789" s="53" t="n">
        <v>40703.6777777778</v>
      </c>
      <c r="C2789" s="57" t="n">
        <f aca="false">INT($C$2)-INT(Table3[[#This Row],[Last Purchase Date]])</f>
        <v>184</v>
      </c>
      <c r="D2789" s="1" t="n">
        <v>1</v>
      </c>
      <c r="E2789" s="1" t="n">
        <v>161.38</v>
      </c>
      <c r="F2789" s="1" t="n">
        <f aca="false">ROUND((1-_xlfn.PERCENTRANK.INC($C$7:$C$4378,C2789))*9,0)</f>
        <v>2</v>
      </c>
      <c r="G2789" s="1" t="n">
        <f aca="false">ROUND(_xlfn.PERCENTRANK.INC($D$7:$D$4378,D2789)*9,0)</f>
        <v>0</v>
      </c>
      <c r="H2789" s="1" t="n">
        <f aca="false">ROUND(_xlfn.PERCENTRANK.INC($E$7:$E$4378,E2789)*9,0)</f>
        <v>1</v>
      </c>
      <c r="I2789" s="1" t="str">
        <f aca="false">CONCATENATE(F2789,G2789,H2789)</f>
        <v>201</v>
      </c>
      <c r="J2789" s="1" t="str">
        <f aca="false">_xlfn.IFS(AND(F2789&gt;=8,G2789&gt;=8,H2789&gt;=8),"CHAMPION",AND(F2789&gt;=6,G2789&gt;=7,H2789&gt;=6),"LOYAL CUSTOMER",AND(F2789&gt;=6,G2789&gt;=5,H2789&gt;=5),"POTENTIAL LOYALIST",AND(F2789&gt;=8,G2789&lt;=2,H2789&gt;=5),"NEW CUSTOMERS",AND(F2789&gt;=6,G2789&lt;=2,H2789&gt;=3),"PROMISING",AND(F2789&gt;=3,G2789&gt;=3,H2789&gt;=3),"NEED ATTENTION",AND(F2789&lt;=4,G2789&gt;=6,H2789&gt;=6),"AT RISK",AND(F2789&lt;=2,G2789&gt;=8,H2789&gt;=8),"CAN'T LOSE THEM",AND(F2789&lt;=2,G2789&lt;=2,H2789&lt;=2),"HIBERNATING",TRUE(),"Other")</f>
        <v>HIBERNATING</v>
      </c>
      <c r="K2789" s="1" t="n">
        <f aca="false">RANK(E2789,$E$7:$E$4378)+COUNTIF($E$7:E2789,E2789)-1</f>
        <v>3849</v>
      </c>
    </row>
    <row r="2790" customFormat="false" ht="14.25" hidden="false" customHeight="true" outlineLevel="0" collapsed="false">
      <c r="A2790" s="51" t="n">
        <v>16114</v>
      </c>
      <c r="B2790" s="53" t="n">
        <v>40716.4256944444</v>
      </c>
      <c r="C2790" s="57" t="n">
        <f aca="false">INT($C$2)-INT(Table3[[#This Row],[Last Purchase Date]])</f>
        <v>171</v>
      </c>
      <c r="D2790" s="1" t="n">
        <v>1</v>
      </c>
      <c r="E2790" s="1" t="n">
        <v>135.75</v>
      </c>
      <c r="F2790" s="1" t="n">
        <f aca="false">ROUND((1-_xlfn.PERCENTRANK.INC($C$7:$C$4378,C2790))*9,0)</f>
        <v>2</v>
      </c>
      <c r="G2790" s="1" t="n">
        <f aca="false">ROUND(_xlfn.PERCENTRANK.INC($D$7:$D$4378,D2790)*9,0)</f>
        <v>0</v>
      </c>
      <c r="H2790" s="1" t="n">
        <f aca="false">ROUND(_xlfn.PERCENTRANK.INC($E$7:$E$4378,E2790)*9,0)</f>
        <v>1</v>
      </c>
      <c r="I2790" s="1" t="str">
        <f aca="false">CONCATENATE(F2790,G2790,H2790)</f>
        <v>201</v>
      </c>
      <c r="J2790" s="1" t="str">
        <f aca="false">_xlfn.IFS(AND(F2790&gt;=8,G2790&gt;=8,H2790&gt;=8),"CHAMPION",AND(F2790&gt;=6,G2790&gt;=7,H2790&gt;=6),"LOYAL CUSTOMER",AND(F2790&gt;=6,G2790&gt;=5,H2790&gt;=5),"POTENTIAL LOYALIST",AND(F2790&gt;=8,G2790&lt;=2,H2790&gt;=5),"NEW CUSTOMERS",AND(F2790&gt;=6,G2790&lt;=2,H2790&gt;=3),"PROMISING",AND(F2790&gt;=3,G2790&gt;=3,H2790&gt;=3),"NEED ATTENTION",AND(F2790&lt;=4,G2790&gt;=6,H2790&gt;=6),"AT RISK",AND(F2790&lt;=2,G2790&gt;=8,H2790&gt;=8),"CAN'T LOSE THEM",AND(F2790&lt;=2,G2790&lt;=2,H2790&lt;=2),"HIBERNATING",TRUE(),"Other")</f>
        <v>HIBERNATING</v>
      </c>
      <c r="K2790" s="1" t="n">
        <f aca="false">RANK(E2790,$E$7:$E$4378)+COUNTIF($E$7:E2790,E2790)-1</f>
        <v>3983</v>
      </c>
    </row>
    <row r="2791" customFormat="false" ht="14.25" hidden="false" customHeight="true" outlineLevel="0" collapsed="false">
      <c r="A2791" s="51" t="n">
        <v>16115</v>
      </c>
      <c r="B2791" s="53" t="n">
        <v>40877.4805555556</v>
      </c>
      <c r="C2791" s="57" t="n">
        <f aca="false">INT($C$2)-INT(Table3[[#This Row],[Last Purchase Date]])</f>
        <v>10</v>
      </c>
      <c r="D2791" s="1" t="n">
        <v>8</v>
      </c>
      <c r="E2791" s="1" t="n">
        <v>1667.97</v>
      </c>
      <c r="F2791" s="1" t="n">
        <f aca="false">ROUND((1-_xlfn.PERCENTRANK.INC($C$7:$C$4378,C2791))*9,0)</f>
        <v>8</v>
      </c>
      <c r="G2791" s="1" t="n">
        <f aca="false">ROUND(_xlfn.PERCENTRANK.INC($D$7:$D$4378,D2791)*9,0)</f>
        <v>7</v>
      </c>
      <c r="H2791" s="1" t="n">
        <f aca="false">ROUND(_xlfn.PERCENTRANK.INC($E$7:$E$4378,E2791)*9,0)</f>
        <v>7</v>
      </c>
      <c r="I2791" s="1" t="str">
        <f aca="false">CONCATENATE(F2791,G2791,H2791)</f>
        <v>877</v>
      </c>
      <c r="J2791" s="1" t="str">
        <f aca="false">_xlfn.IFS(AND(F2791&gt;=8,G2791&gt;=8,H2791&gt;=8),"CHAMPION",AND(F2791&gt;=6,G2791&gt;=7,H2791&gt;=6),"LOYAL CUSTOMER",AND(F2791&gt;=6,G2791&gt;=5,H2791&gt;=5),"POTENTIAL LOYALIST",AND(F2791&gt;=8,G2791&lt;=2,H2791&gt;=5),"NEW CUSTOMERS",AND(F2791&gt;=6,G2791&lt;=2,H2791&gt;=3),"PROMISING",AND(F2791&gt;=3,G2791&gt;=3,H2791&gt;=3),"NEED ATTENTION",AND(F2791&lt;=4,G2791&gt;=6,H2791&gt;=6),"AT RISK",AND(F2791&lt;=2,G2791&gt;=8,H2791&gt;=8),"CAN'T LOSE THEM",AND(F2791&lt;=2,G2791&lt;=2,H2791&lt;=2),"HIBERNATING",TRUE(),"Other")</f>
        <v>LOYAL CUSTOMER</v>
      </c>
      <c r="K2791" s="1" t="n">
        <f aca="false">RANK(E2791,$E$7:$E$4378)+COUNTIF($E$7:E2791,E2791)-1</f>
        <v>1057</v>
      </c>
    </row>
    <row r="2792" customFormat="false" ht="14.25" hidden="false" customHeight="true" outlineLevel="0" collapsed="false">
      <c r="A2792" s="51" t="n">
        <v>16116</v>
      </c>
      <c r="B2792" s="53" t="n">
        <v>40681.3909722222</v>
      </c>
      <c r="C2792" s="57" t="n">
        <f aca="false">INT($C$2)-INT(Table3[[#This Row],[Last Purchase Date]])</f>
        <v>206</v>
      </c>
      <c r="D2792" s="1" t="n">
        <v>2</v>
      </c>
      <c r="E2792" s="1" t="n">
        <v>592.88</v>
      </c>
      <c r="F2792" s="1" t="n">
        <f aca="false">ROUND((1-_xlfn.PERCENTRANK.INC($C$7:$C$4378,C2792))*9,0)</f>
        <v>1</v>
      </c>
      <c r="G2792" s="1" t="n">
        <f aca="false">ROUND(_xlfn.PERCENTRANK.INC($D$7:$D$4378,D2792)*9,0)</f>
        <v>3</v>
      </c>
      <c r="H2792" s="1" t="n">
        <f aca="false">ROUND(_xlfn.PERCENTRANK.INC($E$7:$E$4378,E2792)*9,0)</f>
        <v>4</v>
      </c>
      <c r="I2792" s="1" t="str">
        <f aca="false">CONCATENATE(F2792,G2792,H2792)</f>
        <v>134</v>
      </c>
      <c r="J2792" s="1" t="str">
        <f aca="false">_xlfn.IFS(AND(F2792&gt;=8,G2792&gt;=8,H2792&gt;=8),"CHAMPION",AND(F2792&gt;=6,G2792&gt;=7,H2792&gt;=6),"LOYAL CUSTOMER",AND(F2792&gt;=6,G2792&gt;=5,H2792&gt;=5),"POTENTIAL LOYALIST",AND(F2792&gt;=8,G2792&lt;=2,H2792&gt;=5),"NEW CUSTOMERS",AND(F2792&gt;=6,G2792&lt;=2,H2792&gt;=3),"PROMISING",AND(F2792&gt;=3,G2792&gt;=3,H2792&gt;=3),"NEED ATTENTION",AND(F2792&lt;=4,G2792&gt;=6,H2792&gt;=6),"AT RISK",AND(F2792&lt;=2,G2792&gt;=8,H2792&gt;=8),"CAN'T LOSE THEM",AND(F2792&lt;=2,G2792&lt;=2,H2792&lt;=2),"HIBERNATING",TRUE(),"Other")</f>
        <v>Other</v>
      </c>
      <c r="K2792" s="1" t="n">
        <f aca="false">RANK(E2792,$E$7:$E$4378)+COUNTIF($E$7:E2792,E2792)-1</f>
        <v>2342</v>
      </c>
    </row>
    <row r="2793" customFormat="false" ht="14.25" hidden="false" customHeight="true" outlineLevel="0" collapsed="false">
      <c r="A2793" s="51" t="n">
        <v>16117</v>
      </c>
      <c r="B2793" s="53" t="n">
        <v>40697.4875</v>
      </c>
      <c r="C2793" s="57" t="n">
        <f aca="false">INT($C$2)-INT(Table3[[#This Row],[Last Purchase Date]])</f>
        <v>190</v>
      </c>
      <c r="D2793" s="1" t="n">
        <v>1</v>
      </c>
      <c r="E2793" s="1" t="n">
        <v>232.21</v>
      </c>
      <c r="F2793" s="1" t="n">
        <f aca="false">ROUND((1-_xlfn.PERCENTRANK.INC($C$7:$C$4378,C2793))*9,0)</f>
        <v>2</v>
      </c>
      <c r="G2793" s="1" t="n">
        <f aca="false">ROUND(_xlfn.PERCENTRANK.INC($D$7:$D$4378,D2793)*9,0)</f>
        <v>0</v>
      </c>
      <c r="H2793" s="1" t="n">
        <f aca="false">ROUND(_xlfn.PERCENTRANK.INC($E$7:$E$4378,E2793)*9,0)</f>
        <v>2</v>
      </c>
      <c r="I2793" s="1" t="str">
        <f aca="false">CONCATENATE(F2793,G2793,H2793)</f>
        <v>202</v>
      </c>
      <c r="J2793" s="1" t="str">
        <f aca="false">_xlfn.IFS(AND(F2793&gt;=8,G2793&gt;=8,H2793&gt;=8),"CHAMPION",AND(F2793&gt;=6,G2793&gt;=7,H2793&gt;=6),"LOYAL CUSTOMER",AND(F2793&gt;=6,G2793&gt;=5,H2793&gt;=5),"POTENTIAL LOYALIST",AND(F2793&gt;=8,G2793&lt;=2,H2793&gt;=5),"NEW CUSTOMERS",AND(F2793&gt;=6,G2793&lt;=2,H2793&gt;=3),"PROMISING",AND(F2793&gt;=3,G2793&gt;=3,H2793&gt;=3),"NEED ATTENTION",AND(F2793&lt;=4,G2793&gt;=6,H2793&gt;=6),"AT RISK",AND(F2793&lt;=2,G2793&gt;=8,H2793&gt;=8),"CAN'T LOSE THEM",AND(F2793&lt;=2,G2793&lt;=2,H2793&lt;=2),"HIBERNATING",TRUE(),"Other")</f>
        <v>HIBERNATING</v>
      </c>
      <c r="K2793" s="1" t="n">
        <f aca="false">RANK(E2793,$E$7:$E$4378)+COUNTIF($E$7:E2793,E2793)-1</f>
        <v>3508</v>
      </c>
    </row>
    <row r="2794" customFormat="false" ht="14.25" hidden="false" customHeight="true" outlineLevel="0" collapsed="false">
      <c r="A2794" s="51" t="n">
        <v>16119</v>
      </c>
      <c r="B2794" s="53" t="n">
        <v>40878.6326388889</v>
      </c>
      <c r="C2794" s="57" t="n">
        <f aca="false">INT($C$2)-INT(Table3[[#This Row],[Last Purchase Date]])</f>
        <v>9</v>
      </c>
      <c r="D2794" s="1" t="n">
        <v>2</v>
      </c>
      <c r="E2794" s="1" t="n">
        <v>423.36</v>
      </c>
      <c r="F2794" s="1" t="n">
        <f aca="false">ROUND((1-_xlfn.PERCENTRANK.INC($C$7:$C$4378,C2794))*9,0)</f>
        <v>8</v>
      </c>
      <c r="G2794" s="1" t="n">
        <f aca="false">ROUND(_xlfn.PERCENTRANK.INC($D$7:$D$4378,D2794)*9,0)</f>
        <v>3</v>
      </c>
      <c r="H2794" s="1" t="n">
        <f aca="false">ROUND(_xlfn.PERCENTRANK.INC($E$7:$E$4378,E2794)*9,0)</f>
        <v>3</v>
      </c>
      <c r="I2794" s="1" t="str">
        <f aca="false">CONCATENATE(F2794,G2794,H2794)</f>
        <v>833</v>
      </c>
      <c r="J2794" s="1" t="str">
        <f aca="false">_xlfn.IFS(AND(F2794&gt;=8,G2794&gt;=8,H2794&gt;=8),"CHAMPION",AND(F2794&gt;=6,G2794&gt;=7,H2794&gt;=6),"LOYAL CUSTOMER",AND(F2794&gt;=6,G2794&gt;=5,H2794&gt;=5),"POTENTIAL LOYALIST",AND(F2794&gt;=8,G2794&lt;=2,H2794&gt;=5),"NEW CUSTOMERS",AND(F2794&gt;=6,G2794&lt;=2,H2794&gt;=3),"PROMISING",AND(F2794&gt;=3,G2794&gt;=3,H2794&gt;=3),"NEED ATTENTION",AND(F2794&lt;=4,G2794&gt;=6,H2794&gt;=6),"AT RISK",AND(F2794&lt;=2,G2794&gt;=8,H2794&gt;=8),"CAN'T LOSE THEM",AND(F2794&lt;=2,G2794&lt;=2,H2794&lt;=2),"HIBERNATING",TRUE(),"Other")</f>
        <v>NEED ATTENTION</v>
      </c>
      <c r="K2794" s="1" t="n">
        <f aca="false">RANK(E2794,$E$7:$E$4378)+COUNTIF($E$7:E2794,E2794)-1</f>
        <v>2743</v>
      </c>
    </row>
    <row r="2795" customFormat="false" ht="14.25" hidden="false" customHeight="true" outlineLevel="0" collapsed="false">
      <c r="A2795" s="51" t="n">
        <v>16120</v>
      </c>
      <c r="B2795" s="53" t="n">
        <v>40827.5986111111</v>
      </c>
      <c r="C2795" s="57" t="n">
        <f aca="false">INT($C$2)-INT(Table3[[#This Row],[Last Purchase Date]])</f>
        <v>60</v>
      </c>
      <c r="D2795" s="1" t="n">
        <v>5</v>
      </c>
      <c r="E2795" s="1" t="n">
        <v>1294.14</v>
      </c>
      <c r="F2795" s="1" t="n">
        <f aca="false">ROUND((1-_xlfn.PERCENTRANK.INC($C$7:$C$4378,C2795))*9,0)</f>
        <v>4</v>
      </c>
      <c r="G2795" s="1" t="n">
        <f aca="false">ROUND(_xlfn.PERCENTRANK.INC($D$7:$D$4378,D2795)*9,0)</f>
        <v>6</v>
      </c>
      <c r="H2795" s="1" t="n">
        <f aca="false">ROUND(_xlfn.PERCENTRANK.INC($E$7:$E$4378,E2795)*9,0)</f>
        <v>6</v>
      </c>
      <c r="I2795" s="1" t="str">
        <f aca="false">CONCATENATE(F2795,G2795,H2795)</f>
        <v>466</v>
      </c>
      <c r="J2795" s="1" t="str">
        <f aca="false">_xlfn.IFS(AND(F2795&gt;=8,G2795&gt;=8,H2795&gt;=8),"CHAMPION",AND(F2795&gt;=6,G2795&gt;=7,H2795&gt;=6),"LOYAL CUSTOMER",AND(F2795&gt;=6,G2795&gt;=5,H2795&gt;=5),"POTENTIAL LOYALIST",AND(F2795&gt;=8,G2795&lt;=2,H2795&gt;=5),"NEW CUSTOMERS",AND(F2795&gt;=6,G2795&lt;=2,H2795&gt;=3),"PROMISING",AND(F2795&gt;=3,G2795&gt;=3,H2795&gt;=3),"NEED ATTENTION",AND(F2795&lt;=4,G2795&gt;=6,H2795&gt;=6),"AT RISK",AND(F2795&lt;=2,G2795&gt;=8,H2795&gt;=8),"CAN'T LOSE THEM",AND(F2795&lt;=2,G2795&lt;=2,H2795&lt;=2),"HIBERNATING",TRUE(),"Other")</f>
        <v>NEED ATTENTION</v>
      </c>
      <c r="K2795" s="1" t="n">
        <f aca="false">RANK(E2795,$E$7:$E$4378)+COUNTIF($E$7:E2795,E2795)-1</f>
        <v>1333</v>
      </c>
    </row>
    <row r="2796" customFormat="false" ht="14.25" hidden="false" customHeight="true" outlineLevel="0" collapsed="false">
      <c r="A2796" s="51" t="n">
        <v>16121</v>
      </c>
      <c r="B2796" s="53" t="n">
        <v>40829.5409722222</v>
      </c>
      <c r="C2796" s="57" t="n">
        <f aca="false">INT($C$2)-INT(Table3[[#This Row],[Last Purchase Date]])</f>
        <v>58</v>
      </c>
      <c r="D2796" s="1" t="n">
        <v>2</v>
      </c>
      <c r="E2796" s="1" t="n">
        <v>867.11</v>
      </c>
      <c r="F2796" s="1" t="n">
        <f aca="false">ROUND((1-_xlfn.PERCENTRANK.INC($C$7:$C$4378,C2796))*9,0)</f>
        <v>4</v>
      </c>
      <c r="G2796" s="1" t="n">
        <f aca="false">ROUND(_xlfn.PERCENTRANK.INC($D$7:$D$4378,D2796)*9,0)</f>
        <v>3</v>
      </c>
      <c r="H2796" s="1" t="n">
        <f aca="false">ROUND(_xlfn.PERCENTRANK.INC($E$7:$E$4378,E2796)*9,0)</f>
        <v>5</v>
      </c>
      <c r="I2796" s="1" t="str">
        <f aca="false">CONCATENATE(F2796,G2796,H2796)</f>
        <v>435</v>
      </c>
      <c r="J2796" s="1" t="str">
        <f aca="false">_xlfn.IFS(AND(F2796&gt;=8,G2796&gt;=8,H2796&gt;=8),"CHAMPION",AND(F2796&gt;=6,G2796&gt;=7,H2796&gt;=6),"LOYAL CUSTOMER",AND(F2796&gt;=6,G2796&gt;=5,H2796&gt;=5),"POTENTIAL LOYALIST",AND(F2796&gt;=8,G2796&lt;=2,H2796&gt;=5),"NEW CUSTOMERS",AND(F2796&gt;=6,G2796&lt;=2,H2796&gt;=3),"PROMISING",AND(F2796&gt;=3,G2796&gt;=3,H2796&gt;=3),"NEED ATTENTION",AND(F2796&lt;=4,G2796&gt;=6,H2796&gt;=6),"AT RISK",AND(F2796&lt;=2,G2796&gt;=8,H2796&gt;=8),"CAN'T LOSE THEM",AND(F2796&lt;=2,G2796&lt;=2,H2796&lt;=2),"HIBERNATING",TRUE(),"Other")</f>
        <v>NEED ATTENTION</v>
      </c>
      <c r="K2796" s="1" t="n">
        <f aca="false">RANK(E2796,$E$7:$E$4378)+COUNTIF($E$7:E2796,E2796)-1</f>
        <v>1808</v>
      </c>
    </row>
    <row r="2797" customFormat="false" ht="14.25" hidden="false" customHeight="true" outlineLevel="0" collapsed="false">
      <c r="A2797" s="51" t="n">
        <v>16122</v>
      </c>
      <c r="B2797" s="53" t="n">
        <v>40813.6486111111</v>
      </c>
      <c r="C2797" s="57" t="n">
        <f aca="false">INT($C$2)-INT(Table3[[#This Row],[Last Purchase Date]])</f>
        <v>74</v>
      </c>
      <c r="D2797" s="1" t="n">
        <v>4</v>
      </c>
      <c r="E2797" s="1" t="n">
        <v>684.42</v>
      </c>
      <c r="F2797" s="1" t="n">
        <f aca="false">ROUND((1-_xlfn.PERCENTRANK.INC($C$7:$C$4378,C2797))*9,0)</f>
        <v>3</v>
      </c>
      <c r="G2797" s="1" t="n">
        <f aca="false">ROUND(_xlfn.PERCENTRANK.INC($D$7:$D$4378,D2797)*9,0)</f>
        <v>5</v>
      </c>
      <c r="H2797" s="1" t="n">
        <f aca="false">ROUND(_xlfn.PERCENTRANK.INC($E$7:$E$4378,E2797)*9,0)</f>
        <v>5</v>
      </c>
      <c r="I2797" s="1" t="str">
        <f aca="false">CONCATENATE(F2797,G2797,H2797)</f>
        <v>355</v>
      </c>
      <c r="J2797" s="1" t="str">
        <f aca="false">_xlfn.IFS(AND(F2797&gt;=8,G2797&gt;=8,H2797&gt;=8),"CHAMPION",AND(F2797&gt;=6,G2797&gt;=7,H2797&gt;=6),"LOYAL CUSTOMER",AND(F2797&gt;=6,G2797&gt;=5,H2797&gt;=5),"POTENTIAL LOYALIST",AND(F2797&gt;=8,G2797&lt;=2,H2797&gt;=5),"NEW CUSTOMERS",AND(F2797&gt;=6,G2797&lt;=2,H2797&gt;=3),"PROMISING",AND(F2797&gt;=3,G2797&gt;=3,H2797&gt;=3),"NEED ATTENTION",AND(F2797&lt;=4,G2797&gt;=6,H2797&gt;=6),"AT RISK",AND(F2797&lt;=2,G2797&gt;=8,H2797&gt;=8),"CAN'T LOSE THEM",AND(F2797&lt;=2,G2797&lt;=2,H2797&lt;=2),"HIBERNATING",TRUE(),"Other")</f>
        <v>NEED ATTENTION</v>
      </c>
      <c r="K2797" s="1" t="n">
        <f aca="false">RANK(E2797,$E$7:$E$4378)+COUNTIF($E$7:E2797,E2797)-1</f>
        <v>2092</v>
      </c>
    </row>
    <row r="2798" customFormat="false" ht="14.25" hidden="false" customHeight="true" outlineLevel="0" collapsed="false">
      <c r="A2798" s="51" t="n">
        <v>16123</v>
      </c>
      <c r="B2798" s="53" t="n">
        <v>40835.3875</v>
      </c>
      <c r="C2798" s="57" t="n">
        <f aca="false">INT($C$2)-INT(Table3[[#This Row],[Last Purchase Date]])</f>
        <v>52</v>
      </c>
      <c r="D2798" s="1" t="n">
        <v>1</v>
      </c>
      <c r="E2798" s="1" t="n">
        <v>307.78</v>
      </c>
      <c r="F2798" s="1" t="n">
        <f aca="false">ROUND((1-_xlfn.PERCENTRANK.INC($C$7:$C$4378,C2798))*9,0)</f>
        <v>4</v>
      </c>
      <c r="G2798" s="1" t="n">
        <f aca="false">ROUND(_xlfn.PERCENTRANK.INC($D$7:$D$4378,D2798)*9,0)</f>
        <v>0</v>
      </c>
      <c r="H2798" s="1" t="n">
        <f aca="false">ROUND(_xlfn.PERCENTRANK.INC($E$7:$E$4378,E2798)*9,0)</f>
        <v>2</v>
      </c>
      <c r="I2798" s="1" t="str">
        <f aca="false">CONCATENATE(F2798,G2798,H2798)</f>
        <v>402</v>
      </c>
      <c r="J2798" s="1" t="str">
        <f aca="false">_xlfn.IFS(AND(F2798&gt;=8,G2798&gt;=8,H2798&gt;=8),"CHAMPION",AND(F2798&gt;=6,G2798&gt;=7,H2798&gt;=6),"LOYAL CUSTOMER",AND(F2798&gt;=6,G2798&gt;=5,H2798&gt;=5),"POTENTIAL LOYALIST",AND(F2798&gt;=8,G2798&lt;=2,H2798&gt;=5),"NEW CUSTOMERS",AND(F2798&gt;=6,G2798&lt;=2,H2798&gt;=3),"PROMISING",AND(F2798&gt;=3,G2798&gt;=3,H2798&gt;=3),"NEED ATTENTION",AND(F2798&lt;=4,G2798&gt;=6,H2798&gt;=6),"AT RISK",AND(F2798&lt;=2,G2798&gt;=8,H2798&gt;=8),"CAN'T LOSE THEM",AND(F2798&lt;=2,G2798&lt;=2,H2798&lt;=2),"HIBERNATING",TRUE(),"Other")</f>
        <v>Other</v>
      </c>
      <c r="K2798" s="1" t="n">
        <f aca="false">RANK(E2798,$E$7:$E$4378)+COUNTIF($E$7:E2798,E2798)-1</f>
        <v>3206</v>
      </c>
    </row>
    <row r="2799" customFormat="false" ht="14.25" hidden="false" customHeight="true" outlineLevel="0" collapsed="false">
      <c r="A2799" s="51" t="n">
        <v>16124</v>
      </c>
      <c r="B2799" s="53" t="n">
        <v>40570.6701388889</v>
      </c>
      <c r="C2799" s="57" t="n">
        <f aca="false">INT($C$2)-INT(Table3[[#This Row],[Last Purchase Date]])</f>
        <v>317</v>
      </c>
      <c r="D2799" s="1" t="n">
        <v>2</v>
      </c>
      <c r="E2799" s="1" t="n">
        <v>187.15</v>
      </c>
      <c r="F2799" s="1" t="n">
        <f aca="false">ROUND((1-_xlfn.PERCENTRANK.INC($C$7:$C$4378,C2799))*9,0)</f>
        <v>0</v>
      </c>
      <c r="G2799" s="1" t="n">
        <f aca="false">ROUND(_xlfn.PERCENTRANK.INC($D$7:$D$4378,D2799)*9,0)</f>
        <v>3</v>
      </c>
      <c r="H2799" s="1" t="n">
        <f aca="false">ROUND(_xlfn.PERCENTRANK.INC($E$7:$E$4378,E2799)*9,0)</f>
        <v>1</v>
      </c>
      <c r="I2799" s="1" t="str">
        <f aca="false">CONCATENATE(F2799,G2799,H2799)</f>
        <v>031</v>
      </c>
      <c r="J2799" s="1" t="str">
        <f aca="false">_xlfn.IFS(AND(F2799&gt;=8,G2799&gt;=8,H2799&gt;=8),"CHAMPION",AND(F2799&gt;=6,G2799&gt;=7,H2799&gt;=6),"LOYAL CUSTOMER",AND(F2799&gt;=6,G2799&gt;=5,H2799&gt;=5),"POTENTIAL LOYALIST",AND(F2799&gt;=8,G2799&lt;=2,H2799&gt;=5),"NEW CUSTOMERS",AND(F2799&gt;=6,G2799&lt;=2,H2799&gt;=3),"PROMISING",AND(F2799&gt;=3,G2799&gt;=3,H2799&gt;=3),"NEED ATTENTION",AND(F2799&lt;=4,G2799&gt;=6,H2799&gt;=6),"AT RISK",AND(F2799&lt;=2,G2799&gt;=8,H2799&gt;=8),"CAN'T LOSE THEM",AND(F2799&lt;=2,G2799&lt;=2,H2799&lt;=2),"HIBERNATING",TRUE(),"Other")</f>
        <v>Other</v>
      </c>
      <c r="K2799" s="1" t="n">
        <f aca="false">RANK(E2799,$E$7:$E$4378)+COUNTIF($E$7:E2799,E2799)-1</f>
        <v>3721</v>
      </c>
    </row>
    <row r="2800" customFormat="false" ht="14.25" hidden="false" customHeight="true" outlineLevel="0" collapsed="false">
      <c r="A2800" s="51" t="n">
        <v>16125</v>
      </c>
      <c r="B2800" s="53" t="n">
        <v>40519.6583333333</v>
      </c>
      <c r="C2800" s="57" t="n">
        <f aca="false">INT($C$2)-INT(Table3[[#This Row],[Last Purchase Date]])</f>
        <v>368</v>
      </c>
      <c r="D2800" s="1" t="n">
        <v>1</v>
      </c>
      <c r="E2800" s="1" t="n">
        <v>289.35</v>
      </c>
      <c r="F2800" s="1" t="n">
        <f aca="false">ROUND((1-_xlfn.PERCENTRANK.INC($C$7:$C$4378,C2800))*9,0)</f>
        <v>0</v>
      </c>
      <c r="G2800" s="1" t="n">
        <f aca="false">ROUND(_xlfn.PERCENTRANK.INC($D$7:$D$4378,D2800)*9,0)</f>
        <v>0</v>
      </c>
      <c r="H2800" s="1" t="n">
        <f aca="false">ROUND(_xlfn.PERCENTRANK.INC($E$7:$E$4378,E2800)*9,0)</f>
        <v>2</v>
      </c>
      <c r="I2800" s="1" t="str">
        <f aca="false">CONCATENATE(F2800,G2800,H2800)</f>
        <v>002</v>
      </c>
      <c r="J2800" s="1" t="str">
        <f aca="false">_xlfn.IFS(AND(F2800&gt;=8,G2800&gt;=8,H2800&gt;=8),"CHAMPION",AND(F2800&gt;=6,G2800&gt;=7,H2800&gt;=6),"LOYAL CUSTOMER",AND(F2800&gt;=6,G2800&gt;=5,H2800&gt;=5),"POTENTIAL LOYALIST",AND(F2800&gt;=8,G2800&lt;=2,H2800&gt;=5),"NEW CUSTOMERS",AND(F2800&gt;=6,G2800&lt;=2,H2800&gt;=3),"PROMISING",AND(F2800&gt;=3,G2800&gt;=3,H2800&gt;=3),"NEED ATTENTION",AND(F2800&lt;=4,G2800&gt;=6,H2800&gt;=6),"AT RISK",AND(F2800&lt;=2,G2800&gt;=8,H2800&gt;=8),"CAN'T LOSE THEM",AND(F2800&lt;=2,G2800&lt;=2,H2800&lt;=2),"HIBERNATING",TRUE(),"Other")</f>
        <v>HIBERNATING</v>
      </c>
      <c r="K2800" s="1" t="n">
        <f aca="false">RANK(E2800,$E$7:$E$4378)+COUNTIF($E$7:E2800,E2800)-1</f>
        <v>3300</v>
      </c>
    </row>
    <row r="2801" customFormat="false" ht="14.25" hidden="false" customHeight="true" outlineLevel="0" collapsed="false">
      <c r="A2801" s="51" t="n">
        <v>16126</v>
      </c>
      <c r="B2801" s="53" t="n">
        <v>40857.66875</v>
      </c>
      <c r="C2801" s="57" t="n">
        <f aca="false">INT($C$2)-INT(Table3[[#This Row],[Last Purchase Date]])</f>
        <v>30</v>
      </c>
      <c r="D2801" s="1" t="n">
        <v>4</v>
      </c>
      <c r="E2801" s="1" t="n">
        <v>6287.77</v>
      </c>
      <c r="F2801" s="1" t="n">
        <f aca="false">ROUND((1-_xlfn.PERCENTRANK.INC($C$7:$C$4378,C2801))*9,0)</f>
        <v>6</v>
      </c>
      <c r="G2801" s="1" t="n">
        <f aca="false">ROUND(_xlfn.PERCENTRANK.INC($D$7:$D$4378,D2801)*9,0)</f>
        <v>5</v>
      </c>
      <c r="H2801" s="1" t="n">
        <f aca="false">ROUND(_xlfn.PERCENTRANK.INC($E$7:$E$4378,E2801)*9,0)</f>
        <v>9</v>
      </c>
      <c r="I2801" s="1" t="str">
        <f aca="false">CONCATENATE(F2801,G2801,H2801)</f>
        <v>659</v>
      </c>
      <c r="J2801" s="1" t="str">
        <f aca="false">_xlfn.IFS(AND(F2801&gt;=8,G2801&gt;=8,H2801&gt;=8),"CHAMPION",AND(F2801&gt;=6,G2801&gt;=7,H2801&gt;=6),"LOYAL CUSTOMER",AND(F2801&gt;=6,G2801&gt;=5,H2801&gt;=5),"POTENTIAL LOYALIST",AND(F2801&gt;=8,G2801&lt;=2,H2801&gt;=5),"NEW CUSTOMERS",AND(F2801&gt;=6,G2801&lt;=2,H2801&gt;=3),"PROMISING",AND(F2801&gt;=3,G2801&gt;=3,H2801&gt;=3),"NEED ATTENTION",AND(F2801&lt;=4,G2801&gt;=6,H2801&gt;=6),"AT RISK",AND(F2801&lt;=2,G2801&gt;=8,H2801&gt;=8),"CAN'T LOSE THEM",AND(F2801&lt;=2,G2801&lt;=2,H2801&lt;=2),"HIBERNATING",TRUE(),"Other")</f>
        <v>POTENTIAL LOYALIST</v>
      </c>
      <c r="K2801" s="1" t="n">
        <f aca="false">RANK(E2801,$E$7:$E$4378)+COUNTIF($E$7:E2801,E2801)-1</f>
        <v>187</v>
      </c>
    </row>
    <row r="2802" customFormat="false" ht="14.25" hidden="false" customHeight="true" outlineLevel="0" collapsed="false">
      <c r="A2802" s="51" t="n">
        <v>16127</v>
      </c>
      <c r="B2802" s="53" t="n">
        <v>40847.5819444444</v>
      </c>
      <c r="C2802" s="57" t="n">
        <f aca="false">INT($C$2)-INT(Table3[[#This Row],[Last Purchase Date]])</f>
        <v>40</v>
      </c>
      <c r="D2802" s="1" t="n">
        <v>1</v>
      </c>
      <c r="E2802" s="1" t="n">
        <v>656.25</v>
      </c>
      <c r="F2802" s="1" t="n">
        <f aca="false">ROUND((1-_xlfn.PERCENTRANK.INC($C$7:$C$4378,C2802))*9,0)</f>
        <v>5</v>
      </c>
      <c r="G2802" s="1" t="n">
        <f aca="false">ROUND(_xlfn.PERCENTRANK.INC($D$7:$D$4378,D2802)*9,0)</f>
        <v>0</v>
      </c>
      <c r="H2802" s="1" t="n">
        <f aca="false">ROUND(_xlfn.PERCENTRANK.INC($E$7:$E$4378,E2802)*9,0)</f>
        <v>5</v>
      </c>
      <c r="I2802" s="1" t="str">
        <f aca="false">CONCATENATE(F2802,G2802,H2802)</f>
        <v>505</v>
      </c>
      <c r="J2802" s="1" t="str">
        <f aca="false">_xlfn.IFS(AND(F2802&gt;=8,G2802&gt;=8,H2802&gt;=8),"CHAMPION",AND(F2802&gt;=6,G2802&gt;=7,H2802&gt;=6),"LOYAL CUSTOMER",AND(F2802&gt;=6,G2802&gt;=5,H2802&gt;=5),"POTENTIAL LOYALIST",AND(F2802&gt;=8,G2802&lt;=2,H2802&gt;=5),"NEW CUSTOMERS",AND(F2802&gt;=6,G2802&lt;=2,H2802&gt;=3),"PROMISING",AND(F2802&gt;=3,G2802&gt;=3,H2802&gt;=3),"NEED ATTENTION",AND(F2802&lt;=4,G2802&gt;=6,H2802&gt;=6),"AT RISK",AND(F2802&lt;=2,G2802&gt;=8,H2802&gt;=8),"CAN'T LOSE THEM",AND(F2802&lt;=2,G2802&lt;=2,H2802&lt;=2),"HIBERNATING",TRUE(),"Other")</f>
        <v>Other</v>
      </c>
      <c r="K2802" s="1" t="n">
        <f aca="false">RANK(E2802,$E$7:$E$4378)+COUNTIF($E$7:E2802,E2802)-1</f>
        <v>2168</v>
      </c>
    </row>
    <row r="2803" customFormat="false" ht="14.25" hidden="false" customHeight="true" outlineLevel="0" collapsed="false">
      <c r="A2803" s="51" t="n">
        <v>16128</v>
      </c>
      <c r="B2803" s="53" t="n">
        <v>40869.4680555556</v>
      </c>
      <c r="C2803" s="57" t="n">
        <f aca="false">INT($C$2)-INT(Table3[[#This Row],[Last Purchase Date]])</f>
        <v>18</v>
      </c>
      <c r="D2803" s="1" t="n">
        <v>5</v>
      </c>
      <c r="E2803" s="1" t="n">
        <v>1880.22</v>
      </c>
      <c r="F2803" s="1" t="n">
        <f aca="false">ROUND((1-_xlfn.PERCENTRANK.INC($C$7:$C$4378,C2803))*9,0)</f>
        <v>7</v>
      </c>
      <c r="G2803" s="1" t="n">
        <f aca="false">ROUND(_xlfn.PERCENTRANK.INC($D$7:$D$4378,D2803)*9,0)</f>
        <v>6</v>
      </c>
      <c r="H2803" s="1" t="n">
        <f aca="false">ROUND(_xlfn.PERCENTRANK.INC($E$7:$E$4378,E2803)*9,0)</f>
        <v>7</v>
      </c>
      <c r="I2803" s="1" t="str">
        <f aca="false">CONCATENATE(F2803,G2803,H2803)</f>
        <v>767</v>
      </c>
      <c r="J2803" s="1" t="str">
        <f aca="false">_xlfn.IFS(AND(F2803&gt;=8,G2803&gt;=8,H2803&gt;=8),"CHAMPION",AND(F2803&gt;=6,G2803&gt;=7,H2803&gt;=6),"LOYAL CUSTOMER",AND(F2803&gt;=6,G2803&gt;=5,H2803&gt;=5),"POTENTIAL LOYALIST",AND(F2803&gt;=8,G2803&lt;=2,H2803&gt;=5),"NEW CUSTOMERS",AND(F2803&gt;=6,G2803&lt;=2,H2803&gt;=3),"PROMISING",AND(F2803&gt;=3,G2803&gt;=3,H2803&gt;=3),"NEED ATTENTION",AND(F2803&lt;=4,G2803&gt;=6,H2803&gt;=6),"AT RISK",AND(F2803&lt;=2,G2803&gt;=8,H2803&gt;=8),"CAN'T LOSE THEM",AND(F2803&lt;=2,G2803&lt;=2,H2803&lt;=2),"HIBERNATING",TRUE(),"Other")</f>
        <v>POTENTIAL LOYALIST</v>
      </c>
      <c r="K2803" s="1" t="n">
        <f aca="false">RANK(E2803,$E$7:$E$4378)+COUNTIF($E$7:E2803,E2803)-1</f>
        <v>931</v>
      </c>
    </row>
    <row r="2804" customFormat="false" ht="14.25" hidden="false" customHeight="true" outlineLevel="0" collapsed="false">
      <c r="A2804" s="51" t="n">
        <v>16131</v>
      </c>
      <c r="B2804" s="53" t="n">
        <v>40835.4951388889</v>
      </c>
      <c r="C2804" s="57" t="n">
        <f aca="false">INT($C$2)-INT(Table3[[#This Row],[Last Purchase Date]])</f>
        <v>52</v>
      </c>
      <c r="D2804" s="1" t="n">
        <v>6</v>
      </c>
      <c r="E2804" s="1" t="n">
        <v>3506.54</v>
      </c>
      <c r="F2804" s="1" t="n">
        <f aca="false">ROUND((1-_xlfn.PERCENTRANK.INC($C$7:$C$4378,C2804))*9,0)</f>
        <v>4</v>
      </c>
      <c r="G2804" s="1" t="n">
        <f aca="false">ROUND(_xlfn.PERCENTRANK.INC($D$7:$D$4378,D2804)*9,0)</f>
        <v>7</v>
      </c>
      <c r="H2804" s="1" t="n">
        <f aca="false">ROUND(_xlfn.PERCENTRANK.INC($E$7:$E$4378,E2804)*9,0)</f>
        <v>8</v>
      </c>
      <c r="I2804" s="1" t="str">
        <f aca="false">CONCATENATE(F2804,G2804,H2804)</f>
        <v>478</v>
      </c>
      <c r="J2804" s="1" t="str">
        <f aca="false">_xlfn.IFS(AND(F2804&gt;=8,G2804&gt;=8,H2804&gt;=8),"CHAMPION",AND(F2804&gt;=6,G2804&gt;=7,H2804&gt;=6),"LOYAL CUSTOMER",AND(F2804&gt;=6,G2804&gt;=5,H2804&gt;=5),"POTENTIAL LOYALIST",AND(F2804&gt;=8,G2804&lt;=2,H2804&gt;=5),"NEW CUSTOMERS",AND(F2804&gt;=6,G2804&lt;=2,H2804&gt;=3),"PROMISING",AND(F2804&gt;=3,G2804&gt;=3,H2804&gt;=3),"NEED ATTENTION",AND(F2804&lt;=4,G2804&gt;=6,H2804&gt;=6),"AT RISK",AND(F2804&lt;=2,G2804&gt;=8,H2804&gt;=8),"CAN'T LOSE THEM",AND(F2804&lt;=2,G2804&lt;=2,H2804&lt;=2),"HIBERNATING",TRUE(),"Other")</f>
        <v>NEED ATTENTION</v>
      </c>
      <c r="K2804" s="1" t="n">
        <f aca="false">RANK(E2804,$E$7:$E$4378)+COUNTIF($E$7:E2804,E2804)-1</f>
        <v>438</v>
      </c>
    </row>
    <row r="2805" customFormat="false" ht="14.25" hidden="false" customHeight="true" outlineLevel="0" collapsed="false">
      <c r="A2805" s="51" t="n">
        <v>16133</v>
      </c>
      <c r="B2805" s="53" t="n">
        <v>40883.475</v>
      </c>
      <c r="C2805" s="57" t="n">
        <f aca="false">INT($C$2)-INT(Table3[[#This Row],[Last Purchase Date]])</f>
        <v>4</v>
      </c>
      <c r="D2805" s="1" t="n">
        <v>46</v>
      </c>
      <c r="E2805" s="1" t="n">
        <v>14305.66</v>
      </c>
      <c r="F2805" s="1" t="n">
        <f aca="false">ROUND((1-_xlfn.PERCENTRANK.INC($C$7:$C$4378,C2805))*9,0)</f>
        <v>8</v>
      </c>
      <c r="G2805" s="1" t="n">
        <f aca="false">ROUND(_xlfn.PERCENTRANK.INC($D$7:$D$4378,D2805)*9,0)</f>
        <v>9</v>
      </c>
      <c r="H2805" s="1" t="n">
        <f aca="false">ROUND(_xlfn.PERCENTRANK.INC($E$7:$E$4378,E2805)*9,0)</f>
        <v>9</v>
      </c>
      <c r="I2805" s="1" t="str">
        <f aca="false">CONCATENATE(F2805,G2805,H2805)</f>
        <v>899</v>
      </c>
      <c r="J2805" s="1" t="str">
        <f aca="false">_xlfn.IFS(AND(F2805&gt;=8,G2805&gt;=8,H2805&gt;=8),"CHAMPION",AND(F2805&gt;=6,G2805&gt;=7,H2805&gt;=6),"LOYAL CUSTOMER",AND(F2805&gt;=6,G2805&gt;=5,H2805&gt;=5),"POTENTIAL LOYALIST",AND(F2805&gt;=8,G2805&lt;=2,H2805&gt;=5),"NEW CUSTOMERS",AND(F2805&gt;=6,G2805&lt;=2,H2805&gt;=3),"PROMISING",AND(F2805&gt;=3,G2805&gt;=3,H2805&gt;=3),"NEED ATTENTION",AND(F2805&lt;=4,G2805&gt;=6,H2805&gt;=6),"AT RISK",AND(F2805&lt;=2,G2805&gt;=8,H2805&gt;=8),"CAN'T LOSE THEM",AND(F2805&lt;=2,G2805&lt;=2,H2805&lt;=2),"HIBERNATING",TRUE(),"Other")</f>
        <v>CHAMPION</v>
      </c>
      <c r="K2805" s="1" t="n">
        <f aca="false">RANK(E2805,$E$7:$E$4378)+COUNTIF($E$7:E2805,E2805)-1</f>
        <v>57</v>
      </c>
    </row>
    <row r="2806" customFormat="false" ht="14.25" hidden="false" customHeight="true" outlineLevel="0" collapsed="false">
      <c r="A2806" s="51" t="n">
        <v>16134</v>
      </c>
      <c r="B2806" s="53" t="n">
        <v>40865.4201388889</v>
      </c>
      <c r="C2806" s="57" t="n">
        <f aca="false">INT($C$2)-INT(Table3[[#This Row],[Last Purchase Date]])</f>
        <v>22</v>
      </c>
      <c r="D2806" s="1" t="n">
        <v>3</v>
      </c>
      <c r="E2806" s="1" t="n">
        <v>603.69</v>
      </c>
      <c r="F2806" s="1" t="n">
        <f aca="false">ROUND((1-_xlfn.PERCENTRANK.INC($C$7:$C$4378,C2806))*9,0)</f>
        <v>6</v>
      </c>
      <c r="G2806" s="1" t="n">
        <f aca="false">ROUND(_xlfn.PERCENTRANK.INC($D$7:$D$4378,D2806)*9,0)</f>
        <v>4</v>
      </c>
      <c r="H2806" s="1" t="n">
        <f aca="false">ROUND(_xlfn.PERCENTRANK.INC($E$7:$E$4378,E2806)*9,0)</f>
        <v>4</v>
      </c>
      <c r="I2806" s="1" t="str">
        <f aca="false">CONCATENATE(F2806,G2806,H2806)</f>
        <v>644</v>
      </c>
      <c r="J2806" s="1" t="str">
        <f aca="false">_xlfn.IFS(AND(F2806&gt;=8,G2806&gt;=8,H2806&gt;=8),"CHAMPION",AND(F2806&gt;=6,G2806&gt;=7,H2806&gt;=6),"LOYAL CUSTOMER",AND(F2806&gt;=6,G2806&gt;=5,H2806&gt;=5),"POTENTIAL LOYALIST",AND(F2806&gt;=8,G2806&lt;=2,H2806&gt;=5),"NEW CUSTOMERS",AND(F2806&gt;=6,G2806&lt;=2,H2806&gt;=3),"PROMISING",AND(F2806&gt;=3,G2806&gt;=3,H2806&gt;=3),"NEED ATTENTION",AND(F2806&lt;=4,G2806&gt;=6,H2806&gt;=6),"AT RISK",AND(F2806&lt;=2,G2806&gt;=8,H2806&gt;=8),"CAN'T LOSE THEM",AND(F2806&lt;=2,G2806&lt;=2,H2806&lt;=2),"HIBERNATING",TRUE(),"Other")</f>
        <v>NEED ATTENTION</v>
      </c>
      <c r="K2806" s="1" t="n">
        <f aca="false">RANK(E2806,$E$7:$E$4378)+COUNTIF($E$7:E2806,E2806)-1</f>
        <v>2305</v>
      </c>
    </row>
    <row r="2807" customFormat="false" ht="14.25" hidden="false" customHeight="true" outlineLevel="0" collapsed="false">
      <c r="A2807" s="51" t="n">
        <v>16135</v>
      </c>
      <c r="B2807" s="53" t="n">
        <v>40624.5208333333</v>
      </c>
      <c r="C2807" s="57" t="n">
        <f aca="false">INT($C$2)-INT(Table3[[#This Row],[Last Purchase Date]])</f>
        <v>263</v>
      </c>
      <c r="D2807" s="1" t="n">
        <v>1</v>
      </c>
      <c r="E2807" s="1" t="n">
        <v>517.55</v>
      </c>
      <c r="F2807" s="1" t="n">
        <f aca="false">ROUND((1-_xlfn.PERCENTRANK.INC($C$7:$C$4378,C2807))*9,0)</f>
        <v>1</v>
      </c>
      <c r="G2807" s="1" t="n">
        <f aca="false">ROUND(_xlfn.PERCENTRANK.INC($D$7:$D$4378,D2807)*9,0)</f>
        <v>0</v>
      </c>
      <c r="H2807" s="1" t="n">
        <f aca="false">ROUND(_xlfn.PERCENTRANK.INC($E$7:$E$4378,E2807)*9,0)</f>
        <v>4</v>
      </c>
      <c r="I2807" s="1" t="str">
        <f aca="false">CONCATENATE(F2807,G2807,H2807)</f>
        <v>104</v>
      </c>
      <c r="J2807" s="1" t="str">
        <f aca="false">_xlfn.IFS(AND(F2807&gt;=8,G2807&gt;=8,H2807&gt;=8),"CHAMPION",AND(F2807&gt;=6,G2807&gt;=7,H2807&gt;=6),"LOYAL CUSTOMER",AND(F2807&gt;=6,G2807&gt;=5,H2807&gt;=5),"POTENTIAL LOYALIST",AND(F2807&gt;=8,G2807&lt;=2,H2807&gt;=5),"NEW CUSTOMERS",AND(F2807&gt;=6,G2807&lt;=2,H2807&gt;=3),"PROMISING",AND(F2807&gt;=3,G2807&gt;=3,H2807&gt;=3),"NEED ATTENTION",AND(F2807&lt;=4,G2807&gt;=6,H2807&gt;=6),"AT RISK",AND(F2807&lt;=2,G2807&gt;=8,H2807&gt;=8),"CAN'T LOSE THEM",AND(F2807&lt;=2,G2807&lt;=2,H2807&lt;=2),"HIBERNATING",TRUE(),"Other")</f>
        <v>Other</v>
      </c>
      <c r="K2807" s="1" t="n">
        <f aca="false">RANK(E2807,$E$7:$E$4378)+COUNTIF($E$7:E2807,E2807)-1</f>
        <v>2502</v>
      </c>
    </row>
    <row r="2808" customFormat="false" ht="14.25" hidden="false" customHeight="true" outlineLevel="0" collapsed="false">
      <c r="A2808" s="51" t="n">
        <v>16136</v>
      </c>
      <c r="B2808" s="53" t="n">
        <v>40827.3819444445</v>
      </c>
      <c r="C2808" s="57" t="n">
        <f aca="false">INT($C$2)-INT(Table3[[#This Row],[Last Purchase Date]])</f>
        <v>60</v>
      </c>
      <c r="D2808" s="1" t="n">
        <v>3</v>
      </c>
      <c r="E2808" s="1" t="n">
        <v>709.38</v>
      </c>
      <c r="F2808" s="1" t="n">
        <f aca="false">ROUND((1-_xlfn.PERCENTRANK.INC($C$7:$C$4378,C2808))*9,0)</f>
        <v>4</v>
      </c>
      <c r="G2808" s="1" t="n">
        <f aca="false">ROUND(_xlfn.PERCENTRANK.INC($D$7:$D$4378,D2808)*9,0)</f>
        <v>4</v>
      </c>
      <c r="H2808" s="1" t="n">
        <f aca="false">ROUND(_xlfn.PERCENTRANK.INC($E$7:$E$4378,E2808)*9,0)</f>
        <v>5</v>
      </c>
      <c r="I2808" s="1" t="str">
        <f aca="false">CONCATENATE(F2808,G2808,H2808)</f>
        <v>445</v>
      </c>
      <c r="J2808" s="1" t="str">
        <f aca="false">_xlfn.IFS(AND(F2808&gt;=8,G2808&gt;=8,H2808&gt;=8),"CHAMPION",AND(F2808&gt;=6,G2808&gt;=7,H2808&gt;=6),"LOYAL CUSTOMER",AND(F2808&gt;=6,G2808&gt;=5,H2808&gt;=5),"POTENTIAL LOYALIST",AND(F2808&gt;=8,G2808&lt;=2,H2808&gt;=5),"NEW CUSTOMERS",AND(F2808&gt;=6,G2808&lt;=2,H2808&gt;=3),"PROMISING",AND(F2808&gt;=3,G2808&gt;=3,H2808&gt;=3),"NEED ATTENTION",AND(F2808&lt;=4,G2808&gt;=6,H2808&gt;=6),"AT RISK",AND(F2808&lt;=2,G2808&gt;=8,H2808&gt;=8),"CAN'T LOSE THEM",AND(F2808&lt;=2,G2808&lt;=2,H2808&lt;=2),"HIBERNATING",TRUE(),"Other")</f>
        <v>NEED ATTENTION</v>
      </c>
      <c r="K2808" s="1" t="n">
        <f aca="false">RANK(E2808,$E$7:$E$4378)+COUNTIF($E$7:E2808,E2808)-1</f>
        <v>2049</v>
      </c>
    </row>
    <row r="2809" customFormat="false" ht="14.25" hidden="false" customHeight="true" outlineLevel="0" collapsed="false">
      <c r="A2809" s="51" t="n">
        <v>16138</v>
      </c>
      <c r="B2809" s="53" t="n">
        <v>40518.6319444445</v>
      </c>
      <c r="C2809" s="57" t="n">
        <f aca="false">INT($C$2)-INT(Table3[[#This Row],[Last Purchase Date]])</f>
        <v>369</v>
      </c>
      <c r="D2809" s="1" t="n">
        <v>1</v>
      </c>
      <c r="E2809" s="1" t="n">
        <v>-7.95</v>
      </c>
      <c r="F2809" s="1" t="n">
        <f aca="false">ROUND((1-_xlfn.PERCENTRANK.INC($C$7:$C$4378,C2809))*9,0)</f>
        <v>0</v>
      </c>
      <c r="G2809" s="1" t="n">
        <f aca="false">ROUND(_xlfn.PERCENTRANK.INC($D$7:$D$4378,D2809)*9,0)</f>
        <v>0</v>
      </c>
      <c r="H2809" s="1" t="n">
        <f aca="false">ROUND(_xlfn.PERCENTRANK.INC($E$7:$E$4378,E2809)*9,0)</f>
        <v>0</v>
      </c>
      <c r="I2809" s="1" t="str">
        <f aca="false">CONCATENATE(F2809,G2809,H2809)</f>
        <v>000</v>
      </c>
      <c r="J2809" s="1" t="str">
        <f aca="false">_xlfn.IFS(AND(F2809&gt;=8,G2809&gt;=8,H2809&gt;=8),"CHAMPION",AND(F2809&gt;=6,G2809&gt;=7,H2809&gt;=6),"LOYAL CUSTOMER",AND(F2809&gt;=6,G2809&gt;=5,H2809&gt;=5),"POTENTIAL LOYALIST",AND(F2809&gt;=8,G2809&lt;=2,H2809&gt;=5),"NEW CUSTOMERS",AND(F2809&gt;=6,G2809&lt;=2,H2809&gt;=3),"PROMISING",AND(F2809&gt;=3,G2809&gt;=3,H2809&gt;=3),"NEED ATTENTION",AND(F2809&lt;=4,G2809&gt;=6,H2809&gt;=6),"AT RISK",AND(F2809&lt;=2,G2809&gt;=8,H2809&gt;=8),"CAN'T LOSE THEM",AND(F2809&lt;=2,G2809&lt;=2,H2809&lt;=2),"HIBERNATING",TRUE(),"Other")</f>
        <v>HIBERNATING</v>
      </c>
      <c r="K2809" s="1" t="n">
        <f aca="false">RANK(E2809,$E$7:$E$4378)+COUNTIF($E$7:E2809,E2809)-1</f>
        <v>4338</v>
      </c>
    </row>
    <row r="2810" customFormat="false" ht="14.25" hidden="false" customHeight="true" outlineLevel="0" collapsed="false">
      <c r="A2810" s="51" t="n">
        <v>16139</v>
      </c>
      <c r="B2810" s="53" t="n">
        <v>40868.3590277778</v>
      </c>
      <c r="C2810" s="57" t="n">
        <f aca="false">INT($C$2)-INT(Table3[[#This Row],[Last Purchase Date]])</f>
        <v>19</v>
      </c>
      <c r="D2810" s="1" t="n">
        <v>3</v>
      </c>
      <c r="E2810" s="1" t="n">
        <v>635.41</v>
      </c>
      <c r="F2810" s="1" t="n">
        <f aca="false">ROUND((1-_xlfn.PERCENTRANK.INC($C$7:$C$4378,C2810))*9,0)</f>
        <v>7</v>
      </c>
      <c r="G2810" s="1" t="n">
        <f aca="false">ROUND(_xlfn.PERCENTRANK.INC($D$7:$D$4378,D2810)*9,0)</f>
        <v>4</v>
      </c>
      <c r="H2810" s="1" t="n">
        <f aca="false">ROUND(_xlfn.PERCENTRANK.INC($E$7:$E$4378,E2810)*9,0)</f>
        <v>4</v>
      </c>
      <c r="I2810" s="1" t="str">
        <f aca="false">CONCATENATE(F2810,G2810,H2810)</f>
        <v>744</v>
      </c>
      <c r="J2810" s="1" t="str">
        <f aca="false">_xlfn.IFS(AND(F2810&gt;=8,G2810&gt;=8,H2810&gt;=8),"CHAMPION",AND(F2810&gt;=6,G2810&gt;=7,H2810&gt;=6),"LOYAL CUSTOMER",AND(F2810&gt;=6,G2810&gt;=5,H2810&gt;=5),"POTENTIAL LOYALIST",AND(F2810&gt;=8,G2810&lt;=2,H2810&gt;=5),"NEW CUSTOMERS",AND(F2810&gt;=6,G2810&lt;=2,H2810&gt;=3),"PROMISING",AND(F2810&gt;=3,G2810&gt;=3,H2810&gt;=3),"NEED ATTENTION",AND(F2810&lt;=4,G2810&gt;=6,H2810&gt;=6),"AT RISK",AND(F2810&lt;=2,G2810&gt;=8,H2810&gt;=8),"CAN'T LOSE THEM",AND(F2810&lt;=2,G2810&lt;=2,H2810&lt;=2),"HIBERNATING",TRUE(),"Other")</f>
        <v>NEED ATTENTION</v>
      </c>
      <c r="K2810" s="1" t="n">
        <f aca="false">RANK(E2810,$E$7:$E$4378)+COUNTIF($E$7:E2810,E2810)-1</f>
        <v>2220</v>
      </c>
    </row>
    <row r="2811" customFormat="false" ht="14.25" hidden="false" customHeight="true" outlineLevel="0" collapsed="false">
      <c r="A2811" s="51" t="n">
        <v>16140</v>
      </c>
      <c r="B2811" s="53" t="n">
        <v>40834.4576388889</v>
      </c>
      <c r="C2811" s="57" t="n">
        <f aca="false">INT($C$2)-INT(Table3[[#This Row],[Last Purchase Date]])</f>
        <v>53</v>
      </c>
      <c r="D2811" s="1" t="n">
        <v>4</v>
      </c>
      <c r="E2811" s="1" t="n">
        <v>703.77</v>
      </c>
      <c r="F2811" s="1" t="n">
        <f aca="false">ROUND((1-_xlfn.PERCENTRANK.INC($C$7:$C$4378,C2811))*9,0)</f>
        <v>4</v>
      </c>
      <c r="G2811" s="1" t="n">
        <f aca="false">ROUND(_xlfn.PERCENTRANK.INC($D$7:$D$4378,D2811)*9,0)</f>
        <v>5</v>
      </c>
      <c r="H2811" s="1" t="n">
        <f aca="false">ROUND(_xlfn.PERCENTRANK.INC($E$7:$E$4378,E2811)*9,0)</f>
        <v>5</v>
      </c>
      <c r="I2811" s="1" t="str">
        <f aca="false">CONCATENATE(F2811,G2811,H2811)</f>
        <v>455</v>
      </c>
      <c r="J2811" s="1" t="str">
        <f aca="false">_xlfn.IFS(AND(F2811&gt;=8,G2811&gt;=8,H2811&gt;=8),"CHAMPION",AND(F2811&gt;=6,G2811&gt;=7,H2811&gt;=6),"LOYAL CUSTOMER",AND(F2811&gt;=6,G2811&gt;=5,H2811&gt;=5),"POTENTIAL LOYALIST",AND(F2811&gt;=8,G2811&lt;=2,H2811&gt;=5),"NEW CUSTOMERS",AND(F2811&gt;=6,G2811&lt;=2,H2811&gt;=3),"PROMISING",AND(F2811&gt;=3,G2811&gt;=3,H2811&gt;=3),"NEED ATTENTION",AND(F2811&lt;=4,G2811&gt;=6,H2811&gt;=6),"AT RISK",AND(F2811&lt;=2,G2811&gt;=8,H2811&gt;=8),"CAN'T LOSE THEM",AND(F2811&lt;=2,G2811&lt;=2,H2811&lt;=2),"HIBERNATING",TRUE(),"Other")</f>
        <v>NEED ATTENTION</v>
      </c>
      <c r="K2811" s="1" t="n">
        <f aca="false">RANK(E2811,$E$7:$E$4378)+COUNTIF($E$7:E2811,E2811)-1</f>
        <v>2058</v>
      </c>
    </row>
    <row r="2812" customFormat="false" ht="14.25" hidden="false" customHeight="true" outlineLevel="0" collapsed="false">
      <c r="A2812" s="51" t="n">
        <v>16141</v>
      </c>
      <c r="B2812" s="53" t="n">
        <v>40798.5493055556</v>
      </c>
      <c r="C2812" s="57" t="n">
        <f aca="false">INT($C$2)-INT(Table3[[#This Row],[Last Purchase Date]])</f>
        <v>89</v>
      </c>
      <c r="D2812" s="1" t="n">
        <v>1</v>
      </c>
      <c r="E2812" s="1" t="n">
        <v>620.4</v>
      </c>
      <c r="F2812" s="1" t="n">
        <f aca="false">ROUND((1-_xlfn.PERCENTRANK.INC($C$7:$C$4378,C2812))*9,0)</f>
        <v>3</v>
      </c>
      <c r="G2812" s="1" t="n">
        <f aca="false">ROUND(_xlfn.PERCENTRANK.INC($D$7:$D$4378,D2812)*9,0)</f>
        <v>0</v>
      </c>
      <c r="H2812" s="1" t="n">
        <f aca="false">ROUND(_xlfn.PERCENTRANK.INC($E$7:$E$4378,E2812)*9,0)</f>
        <v>4</v>
      </c>
      <c r="I2812" s="1" t="str">
        <f aca="false">CONCATENATE(F2812,G2812,H2812)</f>
        <v>304</v>
      </c>
      <c r="J2812" s="1" t="str">
        <f aca="false">_xlfn.IFS(AND(F2812&gt;=8,G2812&gt;=8,H2812&gt;=8),"CHAMPION",AND(F2812&gt;=6,G2812&gt;=7,H2812&gt;=6),"LOYAL CUSTOMER",AND(F2812&gt;=6,G2812&gt;=5,H2812&gt;=5),"POTENTIAL LOYALIST",AND(F2812&gt;=8,G2812&lt;=2,H2812&gt;=5),"NEW CUSTOMERS",AND(F2812&gt;=6,G2812&lt;=2,H2812&gt;=3),"PROMISING",AND(F2812&gt;=3,G2812&gt;=3,H2812&gt;=3),"NEED ATTENTION",AND(F2812&lt;=4,G2812&gt;=6,H2812&gt;=6),"AT RISK",AND(F2812&lt;=2,G2812&gt;=8,H2812&gt;=8),"CAN'T LOSE THEM",AND(F2812&lt;=2,G2812&lt;=2,H2812&lt;=2),"HIBERNATING",TRUE(),"Other")</f>
        <v>Other</v>
      </c>
      <c r="K2812" s="1" t="n">
        <f aca="false">RANK(E2812,$E$7:$E$4378)+COUNTIF($E$7:E2812,E2812)-1</f>
        <v>2256</v>
      </c>
    </row>
    <row r="2813" customFormat="false" ht="14.25" hidden="false" customHeight="true" outlineLevel="0" collapsed="false">
      <c r="A2813" s="51" t="n">
        <v>16142</v>
      </c>
      <c r="B2813" s="53" t="n">
        <v>40637.4277777778</v>
      </c>
      <c r="C2813" s="57" t="n">
        <f aca="false">INT($C$2)-INT(Table3[[#This Row],[Last Purchase Date]])</f>
        <v>250</v>
      </c>
      <c r="D2813" s="1" t="n">
        <v>1</v>
      </c>
      <c r="E2813" s="1" t="n">
        <v>535.34</v>
      </c>
      <c r="F2813" s="1" t="n">
        <f aca="false">ROUND((1-_xlfn.PERCENTRANK.INC($C$7:$C$4378,C2813))*9,0)</f>
        <v>1</v>
      </c>
      <c r="G2813" s="1" t="n">
        <f aca="false">ROUND(_xlfn.PERCENTRANK.INC($D$7:$D$4378,D2813)*9,0)</f>
        <v>0</v>
      </c>
      <c r="H2813" s="1" t="n">
        <f aca="false">ROUND(_xlfn.PERCENTRANK.INC($E$7:$E$4378,E2813)*9,0)</f>
        <v>4</v>
      </c>
      <c r="I2813" s="1" t="str">
        <f aca="false">CONCATENATE(F2813,G2813,H2813)</f>
        <v>104</v>
      </c>
      <c r="J2813" s="1" t="str">
        <f aca="false">_xlfn.IFS(AND(F2813&gt;=8,G2813&gt;=8,H2813&gt;=8),"CHAMPION",AND(F2813&gt;=6,G2813&gt;=7,H2813&gt;=6),"LOYAL CUSTOMER",AND(F2813&gt;=6,G2813&gt;=5,H2813&gt;=5),"POTENTIAL LOYALIST",AND(F2813&gt;=8,G2813&lt;=2,H2813&gt;=5),"NEW CUSTOMERS",AND(F2813&gt;=6,G2813&lt;=2,H2813&gt;=3),"PROMISING",AND(F2813&gt;=3,G2813&gt;=3,H2813&gt;=3),"NEED ATTENTION",AND(F2813&lt;=4,G2813&gt;=6,H2813&gt;=6),"AT RISK",AND(F2813&lt;=2,G2813&gt;=8,H2813&gt;=8),"CAN'T LOSE THEM",AND(F2813&lt;=2,G2813&lt;=2,H2813&lt;=2),"HIBERNATING",TRUE(),"Other")</f>
        <v>Other</v>
      </c>
      <c r="K2813" s="1" t="n">
        <f aca="false">RANK(E2813,$E$7:$E$4378)+COUNTIF($E$7:E2813,E2813)-1</f>
        <v>2469</v>
      </c>
    </row>
    <row r="2814" customFormat="false" ht="14.25" hidden="false" customHeight="true" outlineLevel="0" collapsed="false">
      <c r="A2814" s="51" t="n">
        <v>16143</v>
      </c>
      <c r="B2814" s="53" t="n">
        <v>40883.5923611111</v>
      </c>
      <c r="C2814" s="57" t="n">
        <f aca="false">INT($C$2)-INT(Table3[[#This Row],[Last Purchase Date]])</f>
        <v>4</v>
      </c>
      <c r="D2814" s="1" t="n">
        <v>7</v>
      </c>
      <c r="E2814" s="1" t="n">
        <v>2419.84</v>
      </c>
      <c r="F2814" s="1" t="n">
        <f aca="false">ROUND((1-_xlfn.PERCENTRANK.INC($C$7:$C$4378,C2814))*9,0)</f>
        <v>8</v>
      </c>
      <c r="G2814" s="1" t="n">
        <f aca="false">ROUND(_xlfn.PERCENTRANK.INC($D$7:$D$4378,D2814)*9,0)</f>
        <v>7</v>
      </c>
      <c r="H2814" s="1" t="n">
        <f aca="false">ROUND(_xlfn.PERCENTRANK.INC($E$7:$E$4378,E2814)*9,0)</f>
        <v>8</v>
      </c>
      <c r="I2814" s="1" t="str">
        <f aca="false">CONCATENATE(F2814,G2814,H2814)</f>
        <v>878</v>
      </c>
      <c r="J2814" s="1" t="str">
        <f aca="false">_xlfn.IFS(AND(F2814&gt;=8,G2814&gt;=8,H2814&gt;=8),"CHAMPION",AND(F2814&gt;=6,G2814&gt;=7,H2814&gt;=6),"LOYAL CUSTOMER",AND(F2814&gt;=6,G2814&gt;=5,H2814&gt;=5),"POTENTIAL LOYALIST",AND(F2814&gt;=8,G2814&lt;=2,H2814&gt;=5),"NEW CUSTOMERS",AND(F2814&gt;=6,G2814&lt;=2,H2814&gt;=3),"PROMISING",AND(F2814&gt;=3,G2814&gt;=3,H2814&gt;=3),"NEED ATTENTION",AND(F2814&lt;=4,G2814&gt;=6,H2814&gt;=6),"AT RISK",AND(F2814&lt;=2,G2814&gt;=8,H2814&gt;=8),"CAN'T LOSE THEM",AND(F2814&lt;=2,G2814&lt;=2,H2814&lt;=2),"HIBERNATING",TRUE(),"Other")</f>
        <v>LOYAL CUSTOMER</v>
      </c>
      <c r="K2814" s="1" t="n">
        <f aca="false">RANK(E2814,$E$7:$E$4378)+COUNTIF($E$7:E2814,E2814)-1</f>
        <v>708</v>
      </c>
    </row>
    <row r="2815" customFormat="false" ht="14.25" hidden="false" customHeight="true" outlineLevel="0" collapsed="false">
      <c r="A2815" s="51" t="n">
        <v>16144</v>
      </c>
      <c r="B2815" s="53" t="n">
        <v>40640.4229166667</v>
      </c>
      <c r="C2815" s="57" t="n">
        <f aca="false">INT($C$2)-INT(Table3[[#This Row],[Last Purchase Date]])</f>
        <v>247</v>
      </c>
      <c r="D2815" s="1" t="n">
        <v>1</v>
      </c>
      <c r="E2815" s="1" t="n">
        <v>175.2</v>
      </c>
      <c r="F2815" s="1" t="n">
        <f aca="false">ROUND((1-_xlfn.PERCENTRANK.INC($C$7:$C$4378,C2815))*9,0)</f>
        <v>1</v>
      </c>
      <c r="G2815" s="1" t="n">
        <f aca="false">ROUND(_xlfn.PERCENTRANK.INC($D$7:$D$4378,D2815)*9,0)</f>
        <v>0</v>
      </c>
      <c r="H2815" s="1" t="n">
        <f aca="false">ROUND(_xlfn.PERCENTRANK.INC($E$7:$E$4378,E2815)*9,0)</f>
        <v>1</v>
      </c>
      <c r="I2815" s="1" t="str">
        <f aca="false">CONCATENATE(F2815,G2815,H2815)</f>
        <v>101</v>
      </c>
      <c r="J2815" s="1" t="str">
        <f aca="false">_xlfn.IFS(AND(F2815&gt;=8,G2815&gt;=8,H2815&gt;=8),"CHAMPION",AND(F2815&gt;=6,G2815&gt;=7,H2815&gt;=6),"LOYAL CUSTOMER",AND(F2815&gt;=6,G2815&gt;=5,H2815&gt;=5),"POTENTIAL LOYALIST",AND(F2815&gt;=8,G2815&lt;=2,H2815&gt;=5),"NEW CUSTOMERS",AND(F2815&gt;=6,G2815&lt;=2,H2815&gt;=3),"PROMISING",AND(F2815&gt;=3,G2815&gt;=3,H2815&gt;=3),"NEED ATTENTION",AND(F2815&lt;=4,G2815&gt;=6,H2815&gt;=6),"AT RISK",AND(F2815&lt;=2,G2815&gt;=8,H2815&gt;=8),"CAN'T LOSE THEM",AND(F2815&lt;=2,G2815&lt;=2,H2815&lt;=2),"HIBERNATING",TRUE(),"Other")</f>
        <v>HIBERNATING</v>
      </c>
      <c r="K2815" s="1" t="n">
        <f aca="false">RANK(E2815,$E$7:$E$4378)+COUNTIF($E$7:E2815,E2815)-1</f>
        <v>3778</v>
      </c>
    </row>
    <row r="2816" customFormat="false" ht="14.25" hidden="false" customHeight="true" outlineLevel="0" collapsed="false">
      <c r="A2816" s="51" t="n">
        <v>16145</v>
      </c>
      <c r="B2816" s="53" t="n">
        <v>40878.4395833333</v>
      </c>
      <c r="C2816" s="57" t="n">
        <f aca="false">INT($C$2)-INT(Table3[[#This Row],[Last Purchase Date]])</f>
        <v>9</v>
      </c>
      <c r="D2816" s="1" t="n">
        <v>18</v>
      </c>
      <c r="E2816" s="1" t="n">
        <v>3741.98</v>
      </c>
      <c r="F2816" s="1" t="n">
        <f aca="false">ROUND((1-_xlfn.PERCENTRANK.INC($C$7:$C$4378,C2816))*9,0)</f>
        <v>8</v>
      </c>
      <c r="G2816" s="1" t="n">
        <f aca="false">ROUND(_xlfn.PERCENTRANK.INC($D$7:$D$4378,D2816)*9,0)</f>
        <v>9</v>
      </c>
      <c r="H2816" s="1" t="n">
        <f aca="false">ROUND(_xlfn.PERCENTRANK.INC($E$7:$E$4378,E2816)*9,0)</f>
        <v>8</v>
      </c>
      <c r="I2816" s="1" t="str">
        <f aca="false">CONCATENATE(F2816,G2816,H2816)</f>
        <v>898</v>
      </c>
      <c r="J2816" s="1" t="str">
        <f aca="false">_xlfn.IFS(AND(F2816&gt;=8,G2816&gt;=8,H2816&gt;=8),"CHAMPION",AND(F2816&gt;=6,G2816&gt;=7,H2816&gt;=6),"LOYAL CUSTOMER",AND(F2816&gt;=6,G2816&gt;=5,H2816&gt;=5),"POTENTIAL LOYALIST",AND(F2816&gt;=8,G2816&lt;=2,H2816&gt;=5),"NEW CUSTOMERS",AND(F2816&gt;=6,G2816&lt;=2,H2816&gt;=3),"PROMISING",AND(F2816&gt;=3,G2816&gt;=3,H2816&gt;=3),"NEED ATTENTION",AND(F2816&lt;=4,G2816&gt;=6,H2816&gt;=6),"AT RISK",AND(F2816&lt;=2,G2816&gt;=8,H2816&gt;=8),"CAN'T LOSE THEM",AND(F2816&lt;=2,G2816&lt;=2,H2816&lt;=2),"HIBERNATING",TRUE(),"Other")</f>
        <v>CHAMPION</v>
      </c>
      <c r="K2816" s="1" t="n">
        <f aca="false">RANK(E2816,$E$7:$E$4378)+COUNTIF($E$7:E2816,E2816)-1</f>
        <v>398</v>
      </c>
    </row>
    <row r="2817" customFormat="false" ht="14.25" hidden="false" customHeight="true" outlineLevel="0" collapsed="false">
      <c r="A2817" s="51" t="n">
        <v>16146</v>
      </c>
      <c r="B2817" s="53" t="n">
        <v>40729.5972222222</v>
      </c>
      <c r="C2817" s="57" t="n">
        <f aca="false">INT($C$2)-INT(Table3[[#This Row],[Last Purchase Date]])</f>
        <v>158</v>
      </c>
      <c r="D2817" s="1" t="n">
        <v>3</v>
      </c>
      <c r="E2817" s="1" t="n">
        <v>734.13</v>
      </c>
      <c r="F2817" s="1" t="n">
        <f aca="false">ROUND((1-_xlfn.PERCENTRANK.INC($C$7:$C$4378,C2817))*9,0)</f>
        <v>2</v>
      </c>
      <c r="G2817" s="1" t="n">
        <f aca="false">ROUND(_xlfn.PERCENTRANK.INC($D$7:$D$4378,D2817)*9,0)</f>
        <v>4</v>
      </c>
      <c r="H2817" s="1" t="n">
        <f aca="false">ROUND(_xlfn.PERCENTRANK.INC($E$7:$E$4378,E2817)*9,0)</f>
        <v>5</v>
      </c>
      <c r="I2817" s="1" t="str">
        <f aca="false">CONCATENATE(F2817,G2817,H2817)</f>
        <v>245</v>
      </c>
      <c r="J2817" s="1" t="str">
        <f aca="false">_xlfn.IFS(AND(F2817&gt;=8,G2817&gt;=8,H2817&gt;=8),"CHAMPION",AND(F2817&gt;=6,G2817&gt;=7,H2817&gt;=6),"LOYAL CUSTOMER",AND(F2817&gt;=6,G2817&gt;=5,H2817&gt;=5),"POTENTIAL LOYALIST",AND(F2817&gt;=8,G2817&lt;=2,H2817&gt;=5),"NEW CUSTOMERS",AND(F2817&gt;=6,G2817&lt;=2,H2817&gt;=3),"PROMISING",AND(F2817&gt;=3,G2817&gt;=3,H2817&gt;=3),"NEED ATTENTION",AND(F2817&lt;=4,G2817&gt;=6,H2817&gt;=6),"AT RISK",AND(F2817&lt;=2,G2817&gt;=8,H2817&gt;=8),"CAN'T LOSE THEM",AND(F2817&lt;=2,G2817&lt;=2,H2817&lt;=2),"HIBERNATING",TRUE(),"Other")</f>
        <v>Other</v>
      </c>
      <c r="K2817" s="1" t="n">
        <f aca="false">RANK(E2817,$E$7:$E$4378)+COUNTIF($E$7:E2817,E2817)-1</f>
        <v>2001</v>
      </c>
    </row>
    <row r="2818" customFormat="false" ht="14.25" hidden="false" customHeight="true" outlineLevel="0" collapsed="false">
      <c r="A2818" s="51" t="n">
        <v>16147</v>
      </c>
      <c r="B2818" s="53" t="n">
        <v>40753.4145833333</v>
      </c>
      <c r="C2818" s="57" t="n">
        <f aca="false">INT($C$2)-INT(Table3[[#This Row],[Last Purchase Date]])</f>
        <v>134</v>
      </c>
      <c r="D2818" s="1" t="n">
        <v>1</v>
      </c>
      <c r="E2818" s="1" t="n">
        <v>375</v>
      </c>
      <c r="F2818" s="1" t="n">
        <f aca="false">ROUND((1-_xlfn.PERCENTRANK.INC($C$7:$C$4378,C2818))*9,0)</f>
        <v>2</v>
      </c>
      <c r="G2818" s="1" t="n">
        <f aca="false">ROUND(_xlfn.PERCENTRANK.INC($D$7:$D$4378,D2818)*9,0)</f>
        <v>0</v>
      </c>
      <c r="H2818" s="1" t="n">
        <f aca="false">ROUND(_xlfn.PERCENTRANK.INC($E$7:$E$4378,E2818)*9,0)</f>
        <v>3</v>
      </c>
      <c r="I2818" s="1" t="str">
        <f aca="false">CONCATENATE(F2818,G2818,H2818)</f>
        <v>203</v>
      </c>
      <c r="J2818" s="1" t="str">
        <f aca="false">_xlfn.IFS(AND(F2818&gt;=8,G2818&gt;=8,H2818&gt;=8),"CHAMPION",AND(F2818&gt;=6,G2818&gt;=7,H2818&gt;=6),"LOYAL CUSTOMER",AND(F2818&gt;=6,G2818&gt;=5,H2818&gt;=5),"POTENTIAL LOYALIST",AND(F2818&gt;=8,G2818&lt;=2,H2818&gt;=5),"NEW CUSTOMERS",AND(F2818&gt;=6,G2818&lt;=2,H2818&gt;=3),"PROMISING",AND(F2818&gt;=3,G2818&gt;=3,H2818&gt;=3),"NEED ATTENTION",AND(F2818&lt;=4,G2818&gt;=6,H2818&gt;=6),"AT RISK",AND(F2818&lt;=2,G2818&gt;=8,H2818&gt;=8),"CAN'T LOSE THEM",AND(F2818&lt;=2,G2818&lt;=2,H2818&lt;=2),"HIBERNATING",TRUE(),"Other")</f>
        <v>Other</v>
      </c>
      <c r="K2818" s="1" t="n">
        <f aca="false">RANK(E2818,$E$7:$E$4378)+COUNTIF($E$7:E2818,E2818)-1</f>
        <v>2913</v>
      </c>
    </row>
    <row r="2819" customFormat="false" ht="14.25" hidden="false" customHeight="true" outlineLevel="0" collapsed="false">
      <c r="A2819" s="51" t="n">
        <v>16148</v>
      </c>
      <c r="B2819" s="53" t="n">
        <v>40590.5840277778</v>
      </c>
      <c r="C2819" s="57" t="n">
        <f aca="false">INT($C$2)-INT(Table3[[#This Row],[Last Purchase Date]])</f>
        <v>297</v>
      </c>
      <c r="D2819" s="1" t="n">
        <v>1</v>
      </c>
      <c r="E2819" s="1" t="n">
        <v>76.32</v>
      </c>
      <c r="F2819" s="1" t="n">
        <f aca="false">ROUND((1-_xlfn.PERCENTRANK.INC($C$7:$C$4378,C2819))*9,0)</f>
        <v>1</v>
      </c>
      <c r="G2819" s="1" t="n">
        <f aca="false">ROUND(_xlfn.PERCENTRANK.INC($D$7:$D$4378,D2819)*9,0)</f>
        <v>0</v>
      </c>
      <c r="H2819" s="1" t="n">
        <f aca="false">ROUND(_xlfn.PERCENTRANK.INC($E$7:$E$4378,E2819)*9,0)</f>
        <v>0</v>
      </c>
      <c r="I2819" s="1" t="str">
        <f aca="false">CONCATENATE(F2819,G2819,H2819)</f>
        <v>100</v>
      </c>
      <c r="J2819" s="1" t="str">
        <f aca="false">_xlfn.IFS(AND(F2819&gt;=8,G2819&gt;=8,H2819&gt;=8),"CHAMPION",AND(F2819&gt;=6,G2819&gt;=7,H2819&gt;=6),"LOYAL CUSTOMER",AND(F2819&gt;=6,G2819&gt;=5,H2819&gt;=5),"POTENTIAL LOYALIST",AND(F2819&gt;=8,G2819&lt;=2,H2819&gt;=5),"NEW CUSTOMERS",AND(F2819&gt;=6,G2819&lt;=2,H2819&gt;=3),"PROMISING",AND(F2819&gt;=3,G2819&gt;=3,H2819&gt;=3),"NEED ATTENTION",AND(F2819&lt;=4,G2819&gt;=6,H2819&gt;=6),"AT RISK",AND(F2819&lt;=2,G2819&gt;=8,H2819&gt;=8),"CAN'T LOSE THEM",AND(F2819&lt;=2,G2819&lt;=2,H2819&lt;=2),"HIBERNATING",TRUE(),"Other")</f>
        <v>HIBERNATING</v>
      </c>
      <c r="K2819" s="1" t="n">
        <f aca="false">RANK(E2819,$E$7:$E$4378)+COUNTIF($E$7:E2819,E2819)-1</f>
        <v>4230</v>
      </c>
    </row>
    <row r="2820" customFormat="false" ht="14.25" hidden="false" customHeight="true" outlineLevel="0" collapsed="false">
      <c r="A2820" s="51" t="n">
        <v>16149</v>
      </c>
      <c r="B2820" s="53" t="n">
        <v>40882.4784722222</v>
      </c>
      <c r="C2820" s="57" t="n">
        <f aca="false">INT($C$2)-INT(Table3[[#This Row],[Last Purchase Date]])</f>
        <v>5</v>
      </c>
      <c r="D2820" s="1" t="n">
        <v>2</v>
      </c>
      <c r="E2820" s="1" t="n">
        <v>280.52</v>
      </c>
      <c r="F2820" s="1" t="n">
        <f aca="false">ROUND((1-_xlfn.PERCENTRANK.INC($C$7:$C$4378,C2820))*9,0)</f>
        <v>8</v>
      </c>
      <c r="G2820" s="1" t="n">
        <f aca="false">ROUND(_xlfn.PERCENTRANK.INC($D$7:$D$4378,D2820)*9,0)</f>
        <v>3</v>
      </c>
      <c r="H2820" s="1" t="n">
        <f aca="false">ROUND(_xlfn.PERCENTRANK.INC($E$7:$E$4378,E2820)*9,0)</f>
        <v>2</v>
      </c>
      <c r="I2820" s="1" t="str">
        <f aca="false">CONCATENATE(F2820,G2820,H2820)</f>
        <v>832</v>
      </c>
      <c r="J2820" s="1" t="str">
        <f aca="false">_xlfn.IFS(AND(F2820&gt;=8,G2820&gt;=8,H2820&gt;=8),"CHAMPION",AND(F2820&gt;=6,G2820&gt;=7,H2820&gt;=6),"LOYAL CUSTOMER",AND(F2820&gt;=6,G2820&gt;=5,H2820&gt;=5),"POTENTIAL LOYALIST",AND(F2820&gt;=8,G2820&lt;=2,H2820&gt;=5),"NEW CUSTOMERS",AND(F2820&gt;=6,G2820&lt;=2,H2820&gt;=3),"PROMISING",AND(F2820&gt;=3,G2820&gt;=3,H2820&gt;=3),"NEED ATTENTION",AND(F2820&lt;=4,G2820&gt;=6,H2820&gt;=6),"AT RISK",AND(F2820&lt;=2,G2820&gt;=8,H2820&gt;=8),"CAN'T LOSE THEM",AND(F2820&lt;=2,G2820&lt;=2,H2820&lt;=2),"HIBERNATING",TRUE(),"Other")</f>
        <v>Other</v>
      </c>
      <c r="K2820" s="1" t="n">
        <f aca="false">RANK(E2820,$E$7:$E$4378)+COUNTIF($E$7:E2820,E2820)-1</f>
        <v>3327</v>
      </c>
    </row>
    <row r="2821" customFormat="false" ht="14.25" hidden="false" customHeight="true" outlineLevel="0" collapsed="false">
      <c r="A2821" s="51" t="n">
        <v>16150</v>
      </c>
      <c r="B2821" s="53" t="n">
        <v>40848.3951388889</v>
      </c>
      <c r="C2821" s="57" t="n">
        <f aca="false">INT($C$2)-INT(Table3[[#This Row],[Last Purchase Date]])</f>
        <v>39</v>
      </c>
      <c r="D2821" s="1" t="n">
        <v>10</v>
      </c>
      <c r="E2821" s="1" t="n">
        <v>1906.07</v>
      </c>
      <c r="F2821" s="1" t="n">
        <f aca="false">ROUND((1-_xlfn.PERCENTRANK.INC($C$7:$C$4378,C2821))*9,0)</f>
        <v>5</v>
      </c>
      <c r="G2821" s="1" t="n">
        <f aca="false">ROUND(_xlfn.PERCENTRANK.INC($D$7:$D$4378,D2821)*9,0)</f>
        <v>8</v>
      </c>
      <c r="H2821" s="1" t="n">
        <f aca="false">ROUND(_xlfn.PERCENTRANK.INC($E$7:$E$4378,E2821)*9,0)</f>
        <v>7</v>
      </c>
      <c r="I2821" s="1" t="str">
        <f aca="false">CONCATENATE(F2821,G2821,H2821)</f>
        <v>587</v>
      </c>
      <c r="J2821" s="1" t="str">
        <f aca="false">_xlfn.IFS(AND(F2821&gt;=8,G2821&gt;=8,H2821&gt;=8),"CHAMPION",AND(F2821&gt;=6,G2821&gt;=7,H2821&gt;=6),"LOYAL CUSTOMER",AND(F2821&gt;=6,G2821&gt;=5,H2821&gt;=5),"POTENTIAL LOYALIST",AND(F2821&gt;=8,G2821&lt;=2,H2821&gt;=5),"NEW CUSTOMERS",AND(F2821&gt;=6,G2821&lt;=2,H2821&gt;=3),"PROMISING",AND(F2821&gt;=3,G2821&gt;=3,H2821&gt;=3),"NEED ATTENTION",AND(F2821&lt;=4,G2821&gt;=6,H2821&gt;=6),"AT RISK",AND(F2821&lt;=2,G2821&gt;=8,H2821&gt;=8),"CAN'T LOSE THEM",AND(F2821&lt;=2,G2821&lt;=2,H2821&lt;=2),"HIBERNATING",TRUE(),"Other")</f>
        <v>NEED ATTENTION</v>
      </c>
      <c r="K2821" s="1" t="n">
        <f aca="false">RANK(E2821,$E$7:$E$4378)+COUNTIF($E$7:E2821,E2821)-1</f>
        <v>916</v>
      </c>
    </row>
    <row r="2822" customFormat="false" ht="14.25" hidden="false" customHeight="true" outlineLevel="0" collapsed="false">
      <c r="A2822" s="51" t="n">
        <v>16152</v>
      </c>
      <c r="B2822" s="53" t="n">
        <v>40618.4076388889</v>
      </c>
      <c r="C2822" s="57" t="n">
        <f aca="false">INT($C$2)-INT(Table3[[#This Row],[Last Purchase Date]])</f>
        <v>269</v>
      </c>
      <c r="D2822" s="1" t="n">
        <v>1</v>
      </c>
      <c r="E2822" s="1" t="n">
        <v>1829.04</v>
      </c>
      <c r="F2822" s="1" t="n">
        <f aca="false">ROUND((1-_xlfn.PERCENTRANK.INC($C$7:$C$4378,C2822))*9,0)</f>
        <v>1</v>
      </c>
      <c r="G2822" s="1" t="n">
        <f aca="false">ROUND(_xlfn.PERCENTRANK.INC($D$7:$D$4378,D2822)*9,0)</f>
        <v>0</v>
      </c>
      <c r="H2822" s="1" t="n">
        <f aca="false">ROUND(_xlfn.PERCENTRANK.INC($E$7:$E$4378,E2822)*9,0)</f>
        <v>7</v>
      </c>
      <c r="I2822" s="1" t="str">
        <f aca="false">CONCATENATE(F2822,G2822,H2822)</f>
        <v>107</v>
      </c>
      <c r="J2822" s="1" t="str">
        <f aca="false">_xlfn.IFS(AND(F2822&gt;=8,G2822&gt;=8,H2822&gt;=8),"CHAMPION",AND(F2822&gt;=6,G2822&gt;=7,H2822&gt;=6),"LOYAL CUSTOMER",AND(F2822&gt;=6,G2822&gt;=5,H2822&gt;=5),"POTENTIAL LOYALIST",AND(F2822&gt;=8,G2822&lt;=2,H2822&gt;=5),"NEW CUSTOMERS",AND(F2822&gt;=6,G2822&lt;=2,H2822&gt;=3),"PROMISING",AND(F2822&gt;=3,G2822&gt;=3,H2822&gt;=3),"NEED ATTENTION",AND(F2822&lt;=4,G2822&gt;=6,H2822&gt;=6),"AT RISK",AND(F2822&lt;=2,G2822&gt;=8,H2822&gt;=8),"CAN'T LOSE THEM",AND(F2822&lt;=2,G2822&lt;=2,H2822&lt;=2),"HIBERNATING",TRUE(),"Other")</f>
        <v>Other</v>
      </c>
      <c r="K2822" s="1" t="n">
        <f aca="false">RANK(E2822,$E$7:$E$4378)+COUNTIF($E$7:E2822,E2822)-1</f>
        <v>960</v>
      </c>
    </row>
    <row r="2823" customFormat="false" ht="14.25" hidden="false" customHeight="true" outlineLevel="0" collapsed="false">
      <c r="A2823" s="51" t="n">
        <v>16153</v>
      </c>
      <c r="B2823" s="53" t="n">
        <v>40837.4513888889</v>
      </c>
      <c r="C2823" s="57" t="n">
        <f aca="false">INT($C$2)-INT(Table3[[#This Row],[Last Purchase Date]])</f>
        <v>50</v>
      </c>
      <c r="D2823" s="1" t="n">
        <v>5</v>
      </c>
      <c r="E2823" s="1" t="n">
        <v>1824.23</v>
      </c>
      <c r="F2823" s="1" t="n">
        <f aca="false">ROUND((1-_xlfn.PERCENTRANK.INC($C$7:$C$4378,C2823))*9,0)</f>
        <v>5</v>
      </c>
      <c r="G2823" s="1" t="n">
        <f aca="false">ROUND(_xlfn.PERCENTRANK.INC($D$7:$D$4378,D2823)*9,0)</f>
        <v>6</v>
      </c>
      <c r="H2823" s="1" t="n">
        <f aca="false">ROUND(_xlfn.PERCENTRANK.INC($E$7:$E$4378,E2823)*9,0)</f>
        <v>7</v>
      </c>
      <c r="I2823" s="1" t="str">
        <f aca="false">CONCATENATE(F2823,G2823,H2823)</f>
        <v>567</v>
      </c>
      <c r="J2823" s="1" t="str">
        <f aca="false">_xlfn.IFS(AND(F2823&gt;=8,G2823&gt;=8,H2823&gt;=8),"CHAMPION",AND(F2823&gt;=6,G2823&gt;=7,H2823&gt;=6),"LOYAL CUSTOMER",AND(F2823&gt;=6,G2823&gt;=5,H2823&gt;=5),"POTENTIAL LOYALIST",AND(F2823&gt;=8,G2823&lt;=2,H2823&gt;=5),"NEW CUSTOMERS",AND(F2823&gt;=6,G2823&lt;=2,H2823&gt;=3),"PROMISING",AND(F2823&gt;=3,G2823&gt;=3,H2823&gt;=3),"NEED ATTENTION",AND(F2823&lt;=4,G2823&gt;=6,H2823&gt;=6),"AT RISK",AND(F2823&lt;=2,G2823&gt;=8,H2823&gt;=8),"CAN'T LOSE THEM",AND(F2823&lt;=2,G2823&lt;=2,H2823&lt;=2),"HIBERNATING",TRUE(),"Other")</f>
        <v>NEED ATTENTION</v>
      </c>
      <c r="K2823" s="1" t="n">
        <f aca="false">RANK(E2823,$E$7:$E$4378)+COUNTIF($E$7:E2823,E2823)-1</f>
        <v>963</v>
      </c>
    </row>
    <row r="2824" customFormat="false" ht="14.25" hidden="false" customHeight="true" outlineLevel="0" collapsed="false">
      <c r="A2824" s="51" t="n">
        <v>16156</v>
      </c>
      <c r="B2824" s="53" t="n">
        <v>40878.5291666667</v>
      </c>
      <c r="C2824" s="57" t="n">
        <f aca="false">INT($C$2)-INT(Table3[[#This Row],[Last Purchase Date]])</f>
        <v>9</v>
      </c>
      <c r="D2824" s="1" t="n">
        <v>13</v>
      </c>
      <c r="E2824" s="1" t="n">
        <v>3024.62</v>
      </c>
      <c r="F2824" s="1" t="n">
        <f aca="false">ROUND((1-_xlfn.PERCENTRANK.INC($C$7:$C$4378,C2824))*9,0)</f>
        <v>8</v>
      </c>
      <c r="G2824" s="1" t="n">
        <f aca="false">ROUND(_xlfn.PERCENTRANK.INC($D$7:$D$4378,D2824)*9,0)</f>
        <v>8</v>
      </c>
      <c r="H2824" s="1" t="n">
        <f aca="false">ROUND(_xlfn.PERCENTRANK.INC($E$7:$E$4378,E2824)*9,0)</f>
        <v>8</v>
      </c>
      <c r="I2824" s="1" t="str">
        <f aca="false">CONCATENATE(F2824,G2824,H2824)</f>
        <v>888</v>
      </c>
      <c r="J2824" s="1" t="str">
        <f aca="false">_xlfn.IFS(AND(F2824&gt;=8,G2824&gt;=8,H2824&gt;=8),"CHAMPION",AND(F2824&gt;=6,G2824&gt;=7,H2824&gt;=6),"LOYAL CUSTOMER",AND(F2824&gt;=6,G2824&gt;=5,H2824&gt;=5),"POTENTIAL LOYALIST",AND(F2824&gt;=8,G2824&lt;=2,H2824&gt;=5),"NEW CUSTOMERS",AND(F2824&gt;=6,G2824&lt;=2,H2824&gt;=3),"PROMISING",AND(F2824&gt;=3,G2824&gt;=3,H2824&gt;=3),"NEED ATTENTION",AND(F2824&lt;=4,G2824&gt;=6,H2824&gt;=6),"AT RISK",AND(F2824&lt;=2,G2824&gt;=8,H2824&gt;=8),"CAN'T LOSE THEM",AND(F2824&lt;=2,G2824&lt;=2,H2824&lt;=2),"HIBERNATING",TRUE(),"Other")</f>
        <v>CHAMPION</v>
      </c>
      <c r="K2824" s="1" t="n">
        <f aca="false">RANK(E2824,$E$7:$E$4378)+COUNTIF($E$7:E2824,E2824)-1</f>
        <v>534</v>
      </c>
    </row>
    <row r="2825" customFormat="false" ht="14.25" hidden="false" customHeight="true" outlineLevel="0" collapsed="false">
      <c r="A2825" s="51" t="n">
        <v>16157</v>
      </c>
      <c r="B2825" s="53" t="n">
        <v>40871.4868055556</v>
      </c>
      <c r="C2825" s="57" t="n">
        <f aca="false">INT($C$2)-INT(Table3[[#This Row],[Last Purchase Date]])</f>
        <v>16</v>
      </c>
      <c r="D2825" s="1" t="n">
        <v>4</v>
      </c>
      <c r="E2825" s="1" t="n">
        <v>644.24</v>
      </c>
      <c r="F2825" s="1" t="n">
        <f aca="false">ROUND((1-_xlfn.PERCENTRANK.INC($C$7:$C$4378,C2825))*9,0)</f>
        <v>7</v>
      </c>
      <c r="G2825" s="1" t="n">
        <f aca="false">ROUND(_xlfn.PERCENTRANK.INC($D$7:$D$4378,D2825)*9,0)</f>
        <v>5</v>
      </c>
      <c r="H2825" s="1" t="n">
        <f aca="false">ROUND(_xlfn.PERCENTRANK.INC($E$7:$E$4378,E2825)*9,0)</f>
        <v>4</v>
      </c>
      <c r="I2825" s="1" t="str">
        <f aca="false">CONCATENATE(F2825,G2825,H2825)</f>
        <v>754</v>
      </c>
      <c r="J2825" s="1" t="str">
        <f aca="false">_xlfn.IFS(AND(F2825&gt;=8,G2825&gt;=8,H2825&gt;=8),"CHAMPION",AND(F2825&gt;=6,G2825&gt;=7,H2825&gt;=6),"LOYAL CUSTOMER",AND(F2825&gt;=6,G2825&gt;=5,H2825&gt;=5),"POTENTIAL LOYALIST",AND(F2825&gt;=8,G2825&lt;=2,H2825&gt;=5),"NEW CUSTOMERS",AND(F2825&gt;=6,G2825&lt;=2,H2825&gt;=3),"PROMISING",AND(F2825&gt;=3,G2825&gt;=3,H2825&gt;=3),"NEED ATTENTION",AND(F2825&lt;=4,G2825&gt;=6,H2825&gt;=6),"AT RISK",AND(F2825&lt;=2,G2825&gt;=8,H2825&gt;=8),"CAN'T LOSE THEM",AND(F2825&lt;=2,G2825&lt;=2,H2825&lt;=2),"HIBERNATING",TRUE(),"Other")</f>
        <v>NEED ATTENTION</v>
      </c>
      <c r="K2825" s="1" t="n">
        <f aca="false">RANK(E2825,$E$7:$E$4378)+COUNTIF($E$7:E2825,E2825)-1</f>
        <v>2196</v>
      </c>
    </row>
    <row r="2826" customFormat="false" ht="14.25" hidden="false" customHeight="true" outlineLevel="0" collapsed="false">
      <c r="A2826" s="51" t="n">
        <v>16159</v>
      </c>
      <c r="B2826" s="53" t="n">
        <v>40605.51875</v>
      </c>
      <c r="C2826" s="57" t="n">
        <f aca="false">INT($C$2)-INT(Table3[[#This Row],[Last Purchase Date]])</f>
        <v>282</v>
      </c>
      <c r="D2826" s="1" t="n">
        <v>1</v>
      </c>
      <c r="E2826" s="1" t="n">
        <v>348.2</v>
      </c>
      <c r="F2826" s="1" t="n">
        <f aca="false">ROUND((1-_xlfn.PERCENTRANK.INC($C$7:$C$4378,C2826))*9,0)</f>
        <v>1</v>
      </c>
      <c r="G2826" s="1" t="n">
        <f aca="false">ROUND(_xlfn.PERCENTRANK.INC($D$7:$D$4378,D2826)*9,0)</f>
        <v>0</v>
      </c>
      <c r="H2826" s="1" t="n">
        <f aca="false">ROUND(_xlfn.PERCENTRANK.INC($E$7:$E$4378,E2826)*9,0)</f>
        <v>3</v>
      </c>
      <c r="I2826" s="1" t="str">
        <f aca="false">CONCATENATE(F2826,G2826,H2826)</f>
        <v>103</v>
      </c>
      <c r="J2826" s="1" t="str">
        <f aca="false">_xlfn.IFS(AND(F2826&gt;=8,G2826&gt;=8,H2826&gt;=8),"CHAMPION",AND(F2826&gt;=6,G2826&gt;=7,H2826&gt;=6),"LOYAL CUSTOMER",AND(F2826&gt;=6,G2826&gt;=5,H2826&gt;=5),"POTENTIAL LOYALIST",AND(F2826&gt;=8,G2826&lt;=2,H2826&gt;=5),"NEW CUSTOMERS",AND(F2826&gt;=6,G2826&lt;=2,H2826&gt;=3),"PROMISING",AND(F2826&gt;=3,G2826&gt;=3,H2826&gt;=3),"NEED ATTENTION",AND(F2826&lt;=4,G2826&gt;=6,H2826&gt;=6),"AT RISK",AND(F2826&lt;=2,G2826&gt;=8,H2826&gt;=8),"CAN'T LOSE THEM",AND(F2826&lt;=2,G2826&lt;=2,H2826&lt;=2),"HIBERNATING",TRUE(),"Other")</f>
        <v>Other</v>
      </c>
      <c r="K2826" s="1" t="n">
        <f aca="false">RANK(E2826,$E$7:$E$4378)+COUNTIF($E$7:E2826,E2826)-1</f>
        <v>3017</v>
      </c>
    </row>
    <row r="2827" customFormat="false" ht="14.25" hidden="false" customHeight="true" outlineLevel="0" collapsed="false">
      <c r="A2827" s="51" t="n">
        <v>16160</v>
      </c>
      <c r="B2827" s="53" t="n">
        <v>40822.7708333333</v>
      </c>
      <c r="C2827" s="57" t="n">
        <f aca="false">INT($C$2)-INT(Table3[[#This Row],[Last Purchase Date]])</f>
        <v>65</v>
      </c>
      <c r="D2827" s="1" t="n">
        <v>4</v>
      </c>
      <c r="E2827" s="1" t="n">
        <v>1009.45</v>
      </c>
      <c r="F2827" s="1" t="n">
        <f aca="false">ROUND((1-_xlfn.PERCENTRANK.INC($C$7:$C$4378,C2827))*9,0)</f>
        <v>4</v>
      </c>
      <c r="G2827" s="1" t="n">
        <f aca="false">ROUND(_xlfn.PERCENTRANK.INC($D$7:$D$4378,D2827)*9,0)</f>
        <v>5</v>
      </c>
      <c r="H2827" s="1" t="n">
        <f aca="false">ROUND(_xlfn.PERCENTRANK.INC($E$7:$E$4378,E2827)*9,0)</f>
        <v>6</v>
      </c>
      <c r="I2827" s="1" t="str">
        <f aca="false">CONCATENATE(F2827,G2827,H2827)</f>
        <v>456</v>
      </c>
      <c r="J2827" s="1" t="str">
        <f aca="false">_xlfn.IFS(AND(F2827&gt;=8,G2827&gt;=8,H2827&gt;=8),"CHAMPION",AND(F2827&gt;=6,G2827&gt;=7,H2827&gt;=6),"LOYAL CUSTOMER",AND(F2827&gt;=6,G2827&gt;=5,H2827&gt;=5),"POTENTIAL LOYALIST",AND(F2827&gt;=8,G2827&lt;=2,H2827&gt;=5),"NEW CUSTOMERS",AND(F2827&gt;=6,G2827&lt;=2,H2827&gt;=3),"PROMISING",AND(F2827&gt;=3,G2827&gt;=3,H2827&gt;=3),"NEED ATTENTION",AND(F2827&lt;=4,G2827&gt;=6,H2827&gt;=6),"AT RISK",AND(F2827&lt;=2,G2827&gt;=8,H2827&gt;=8),"CAN'T LOSE THEM",AND(F2827&lt;=2,G2827&lt;=2,H2827&lt;=2),"HIBERNATING",TRUE(),"Other")</f>
        <v>NEED ATTENTION</v>
      </c>
      <c r="K2827" s="1" t="n">
        <f aca="false">RANK(E2827,$E$7:$E$4378)+COUNTIF($E$7:E2827,E2827)-1</f>
        <v>1621</v>
      </c>
    </row>
    <row r="2828" customFormat="false" ht="14.25" hidden="false" customHeight="true" outlineLevel="0" collapsed="false">
      <c r="A2828" s="51" t="n">
        <v>16161</v>
      </c>
      <c r="B2828" s="53" t="n">
        <v>40885.5069444445</v>
      </c>
      <c r="C2828" s="57" t="n">
        <f aca="false">INT($C$2)-INT(Table3[[#This Row],[Last Purchase Date]])</f>
        <v>2</v>
      </c>
      <c r="D2828" s="1" t="n">
        <v>26</v>
      </c>
      <c r="E2828" s="1" t="n">
        <v>5352.97</v>
      </c>
      <c r="F2828" s="1" t="n">
        <f aca="false">ROUND((1-_xlfn.PERCENTRANK.INC($C$7:$C$4378,C2828))*9,0)</f>
        <v>9</v>
      </c>
      <c r="G2828" s="1" t="n">
        <f aca="false">ROUND(_xlfn.PERCENTRANK.INC($D$7:$D$4378,D2828)*9,0)</f>
        <v>9</v>
      </c>
      <c r="H2828" s="1" t="n">
        <f aca="false">ROUND(_xlfn.PERCENTRANK.INC($E$7:$E$4378,E2828)*9,0)</f>
        <v>9</v>
      </c>
      <c r="I2828" s="1" t="str">
        <f aca="false">CONCATENATE(F2828,G2828,H2828)</f>
        <v>999</v>
      </c>
      <c r="J2828" s="1" t="str">
        <f aca="false">_xlfn.IFS(AND(F2828&gt;=8,G2828&gt;=8,H2828&gt;=8),"CHAMPION",AND(F2828&gt;=6,G2828&gt;=7,H2828&gt;=6),"LOYAL CUSTOMER",AND(F2828&gt;=6,G2828&gt;=5,H2828&gt;=5),"POTENTIAL LOYALIST",AND(F2828&gt;=8,G2828&lt;=2,H2828&gt;=5),"NEW CUSTOMERS",AND(F2828&gt;=6,G2828&lt;=2,H2828&gt;=3),"PROMISING",AND(F2828&gt;=3,G2828&gt;=3,H2828&gt;=3),"NEED ATTENTION",AND(F2828&lt;=4,G2828&gt;=6,H2828&gt;=6),"AT RISK",AND(F2828&lt;=2,G2828&gt;=8,H2828&gt;=8),"CAN'T LOSE THEM",AND(F2828&lt;=2,G2828&lt;=2,H2828&lt;=2),"HIBERNATING",TRUE(),"Other")</f>
        <v>CHAMPION</v>
      </c>
      <c r="K2828" s="1" t="n">
        <f aca="false">RANK(E2828,$E$7:$E$4378)+COUNTIF($E$7:E2828,E2828)-1</f>
        <v>237</v>
      </c>
    </row>
    <row r="2829" customFormat="false" ht="14.25" hidden="false" customHeight="true" outlineLevel="0" collapsed="false">
      <c r="A2829" s="51" t="n">
        <v>16162</v>
      </c>
      <c r="B2829" s="53" t="n">
        <v>40634.6270833333</v>
      </c>
      <c r="C2829" s="57" t="n">
        <f aca="false">INT($C$2)-INT(Table3[[#This Row],[Last Purchase Date]])</f>
        <v>253</v>
      </c>
      <c r="D2829" s="1" t="n">
        <v>1</v>
      </c>
      <c r="E2829" s="1" t="n">
        <v>37.4</v>
      </c>
      <c r="F2829" s="1" t="n">
        <f aca="false">ROUND((1-_xlfn.PERCENTRANK.INC($C$7:$C$4378,C2829))*9,0)</f>
        <v>1</v>
      </c>
      <c r="G2829" s="1" t="n">
        <f aca="false">ROUND(_xlfn.PERCENTRANK.INC($D$7:$D$4378,D2829)*9,0)</f>
        <v>0</v>
      </c>
      <c r="H2829" s="1" t="n">
        <f aca="false">ROUND(_xlfn.PERCENTRANK.INC($E$7:$E$4378,E2829)*9,0)</f>
        <v>0</v>
      </c>
      <c r="I2829" s="1" t="str">
        <f aca="false">CONCATENATE(F2829,G2829,H2829)</f>
        <v>100</v>
      </c>
      <c r="J2829" s="1" t="str">
        <f aca="false">_xlfn.IFS(AND(F2829&gt;=8,G2829&gt;=8,H2829&gt;=8),"CHAMPION",AND(F2829&gt;=6,G2829&gt;=7,H2829&gt;=6),"LOYAL CUSTOMER",AND(F2829&gt;=6,G2829&gt;=5,H2829&gt;=5),"POTENTIAL LOYALIST",AND(F2829&gt;=8,G2829&lt;=2,H2829&gt;=5),"NEW CUSTOMERS",AND(F2829&gt;=6,G2829&lt;=2,H2829&gt;=3),"PROMISING",AND(F2829&gt;=3,G2829&gt;=3,H2829&gt;=3),"NEED ATTENTION",AND(F2829&lt;=4,G2829&gt;=6,H2829&gt;=6),"AT RISK",AND(F2829&lt;=2,G2829&gt;=8,H2829&gt;=8),"CAN'T LOSE THEM",AND(F2829&lt;=2,G2829&lt;=2,H2829&lt;=2),"HIBERNATING",TRUE(),"Other")</f>
        <v>HIBERNATING</v>
      </c>
      <c r="K2829" s="1" t="n">
        <f aca="false">RANK(E2829,$E$7:$E$4378)+COUNTIF($E$7:E2829,E2829)-1</f>
        <v>4297</v>
      </c>
    </row>
    <row r="2830" customFormat="false" ht="14.25" hidden="false" customHeight="true" outlineLevel="0" collapsed="false">
      <c r="A2830" s="51" t="n">
        <v>16163</v>
      </c>
      <c r="B2830" s="53" t="n">
        <v>40661.8215277778</v>
      </c>
      <c r="C2830" s="57" t="n">
        <f aca="false">INT($C$2)-INT(Table3[[#This Row],[Last Purchase Date]])</f>
        <v>226</v>
      </c>
      <c r="D2830" s="1" t="n">
        <v>3</v>
      </c>
      <c r="E2830" s="1" t="n">
        <v>441.6</v>
      </c>
      <c r="F2830" s="1" t="n">
        <f aca="false">ROUND((1-_xlfn.PERCENTRANK.INC($C$7:$C$4378,C2830))*9,0)</f>
        <v>1</v>
      </c>
      <c r="G2830" s="1" t="n">
        <f aca="false">ROUND(_xlfn.PERCENTRANK.INC($D$7:$D$4378,D2830)*9,0)</f>
        <v>4</v>
      </c>
      <c r="H2830" s="1" t="n">
        <f aca="false">ROUND(_xlfn.PERCENTRANK.INC($E$7:$E$4378,E2830)*9,0)</f>
        <v>3</v>
      </c>
      <c r="I2830" s="1" t="str">
        <f aca="false">CONCATENATE(F2830,G2830,H2830)</f>
        <v>143</v>
      </c>
      <c r="J2830" s="1" t="str">
        <f aca="false">_xlfn.IFS(AND(F2830&gt;=8,G2830&gt;=8,H2830&gt;=8),"CHAMPION",AND(F2830&gt;=6,G2830&gt;=7,H2830&gt;=6),"LOYAL CUSTOMER",AND(F2830&gt;=6,G2830&gt;=5,H2830&gt;=5),"POTENTIAL LOYALIST",AND(F2830&gt;=8,G2830&lt;=2,H2830&gt;=5),"NEW CUSTOMERS",AND(F2830&gt;=6,G2830&lt;=2,H2830&gt;=3),"PROMISING",AND(F2830&gt;=3,G2830&gt;=3,H2830&gt;=3),"NEED ATTENTION",AND(F2830&lt;=4,G2830&gt;=6,H2830&gt;=6),"AT RISK",AND(F2830&lt;=2,G2830&gt;=8,H2830&gt;=8),"CAN'T LOSE THEM",AND(F2830&lt;=2,G2830&lt;=2,H2830&lt;=2),"HIBERNATING",TRUE(),"Other")</f>
        <v>Other</v>
      </c>
      <c r="K2830" s="1" t="n">
        <f aca="false">RANK(E2830,$E$7:$E$4378)+COUNTIF($E$7:E2830,E2830)-1</f>
        <v>2690</v>
      </c>
    </row>
    <row r="2831" customFormat="false" ht="14.25" hidden="false" customHeight="true" outlineLevel="0" collapsed="false">
      <c r="A2831" s="51" t="n">
        <v>16164</v>
      </c>
      <c r="B2831" s="53" t="n">
        <v>40869.6277777778</v>
      </c>
      <c r="C2831" s="57" t="n">
        <f aca="false">INT($C$2)-INT(Table3[[#This Row],[Last Purchase Date]])</f>
        <v>18</v>
      </c>
      <c r="D2831" s="1" t="n">
        <v>4</v>
      </c>
      <c r="E2831" s="1" t="n">
        <v>802.53</v>
      </c>
      <c r="F2831" s="1" t="n">
        <f aca="false">ROUND((1-_xlfn.PERCENTRANK.INC($C$7:$C$4378,C2831))*9,0)</f>
        <v>7</v>
      </c>
      <c r="G2831" s="1" t="n">
        <f aca="false">ROUND(_xlfn.PERCENTRANK.INC($D$7:$D$4378,D2831)*9,0)</f>
        <v>5</v>
      </c>
      <c r="H2831" s="1" t="n">
        <f aca="false">ROUND(_xlfn.PERCENTRANK.INC($E$7:$E$4378,E2831)*9,0)</f>
        <v>5</v>
      </c>
      <c r="I2831" s="1" t="str">
        <f aca="false">CONCATENATE(F2831,G2831,H2831)</f>
        <v>755</v>
      </c>
      <c r="J2831" s="1" t="str">
        <f aca="false">_xlfn.IFS(AND(F2831&gt;=8,G2831&gt;=8,H2831&gt;=8),"CHAMPION",AND(F2831&gt;=6,G2831&gt;=7,H2831&gt;=6),"LOYAL CUSTOMER",AND(F2831&gt;=6,G2831&gt;=5,H2831&gt;=5),"POTENTIAL LOYALIST",AND(F2831&gt;=8,G2831&lt;=2,H2831&gt;=5),"NEW CUSTOMERS",AND(F2831&gt;=6,G2831&lt;=2,H2831&gt;=3),"PROMISING",AND(F2831&gt;=3,G2831&gt;=3,H2831&gt;=3),"NEED ATTENTION",AND(F2831&lt;=4,G2831&gt;=6,H2831&gt;=6),"AT RISK",AND(F2831&lt;=2,G2831&gt;=8,H2831&gt;=8),"CAN'T LOSE THEM",AND(F2831&lt;=2,G2831&lt;=2,H2831&lt;=2),"HIBERNATING",TRUE(),"Other")</f>
        <v>POTENTIAL LOYALIST</v>
      </c>
      <c r="K2831" s="1" t="n">
        <f aca="false">RANK(E2831,$E$7:$E$4378)+COUNTIF($E$7:E2831,E2831)-1</f>
        <v>1896</v>
      </c>
    </row>
    <row r="2832" customFormat="false" ht="14.25" hidden="false" customHeight="true" outlineLevel="0" collapsed="false">
      <c r="A2832" s="51" t="n">
        <v>16168</v>
      </c>
      <c r="B2832" s="53" t="n">
        <v>40876.53125</v>
      </c>
      <c r="C2832" s="57" t="n">
        <f aca="false">INT($C$2)-INT(Table3[[#This Row],[Last Purchase Date]])</f>
        <v>11</v>
      </c>
      <c r="D2832" s="1" t="n">
        <v>28</v>
      </c>
      <c r="E2832" s="1" t="n">
        <v>3770.6</v>
      </c>
      <c r="F2832" s="1" t="n">
        <f aca="false">ROUND((1-_xlfn.PERCENTRANK.INC($C$7:$C$4378,C2832))*9,0)</f>
        <v>7</v>
      </c>
      <c r="G2832" s="1" t="n">
        <f aca="false">ROUND(_xlfn.PERCENTRANK.INC($D$7:$D$4378,D2832)*9,0)</f>
        <v>9</v>
      </c>
      <c r="H2832" s="1" t="n">
        <f aca="false">ROUND(_xlfn.PERCENTRANK.INC($E$7:$E$4378,E2832)*9,0)</f>
        <v>8</v>
      </c>
      <c r="I2832" s="1" t="str">
        <f aca="false">CONCATENATE(F2832,G2832,H2832)</f>
        <v>798</v>
      </c>
      <c r="J2832" s="1" t="str">
        <f aca="false">_xlfn.IFS(AND(F2832&gt;=8,G2832&gt;=8,H2832&gt;=8),"CHAMPION",AND(F2832&gt;=6,G2832&gt;=7,H2832&gt;=6),"LOYAL CUSTOMER",AND(F2832&gt;=6,G2832&gt;=5,H2832&gt;=5),"POTENTIAL LOYALIST",AND(F2832&gt;=8,G2832&lt;=2,H2832&gt;=5),"NEW CUSTOMERS",AND(F2832&gt;=6,G2832&lt;=2,H2832&gt;=3),"PROMISING",AND(F2832&gt;=3,G2832&gt;=3,H2832&gt;=3),"NEED ATTENTION",AND(F2832&lt;=4,G2832&gt;=6,H2832&gt;=6),"AT RISK",AND(F2832&lt;=2,G2832&gt;=8,H2832&gt;=8),"CAN'T LOSE THEM",AND(F2832&lt;=2,G2832&lt;=2,H2832&lt;=2),"HIBERNATING",TRUE(),"Other")</f>
        <v>LOYAL CUSTOMER</v>
      </c>
      <c r="K2832" s="1" t="n">
        <f aca="false">RANK(E2832,$E$7:$E$4378)+COUNTIF($E$7:E2832,E2832)-1</f>
        <v>390</v>
      </c>
    </row>
    <row r="2833" customFormat="false" ht="14.25" hidden="false" customHeight="true" outlineLevel="0" collapsed="false">
      <c r="A2833" s="51" t="n">
        <v>16169</v>
      </c>
      <c r="B2833" s="53" t="n">
        <v>40878.6444444444</v>
      </c>
      <c r="C2833" s="57" t="n">
        <f aca="false">INT($C$2)-INT(Table3[[#This Row],[Last Purchase Date]])</f>
        <v>9</v>
      </c>
      <c r="D2833" s="1" t="n">
        <v>4</v>
      </c>
      <c r="E2833" s="1" t="n">
        <v>1822.97</v>
      </c>
      <c r="F2833" s="1" t="n">
        <f aca="false">ROUND((1-_xlfn.PERCENTRANK.INC($C$7:$C$4378,C2833))*9,0)</f>
        <v>8</v>
      </c>
      <c r="G2833" s="1" t="n">
        <f aca="false">ROUND(_xlfn.PERCENTRANK.INC($D$7:$D$4378,D2833)*9,0)</f>
        <v>5</v>
      </c>
      <c r="H2833" s="1" t="n">
        <f aca="false">ROUND(_xlfn.PERCENTRANK.INC($E$7:$E$4378,E2833)*9,0)</f>
        <v>7</v>
      </c>
      <c r="I2833" s="1" t="str">
        <f aca="false">CONCATENATE(F2833,G2833,H2833)</f>
        <v>857</v>
      </c>
      <c r="J2833" s="1" t="str">
        <f aca="false">_xlfn.IFS(AND(F2833&gt;=8,G2833&gt;=8,H2833&gt;=8),"CHAMPION",AND(F2833&gt;=6,G2833&gt;=7,H2833&gt;=6),"LOYAL CUSTOMER",AND(F2833&gt;=6,G2833&gt;=5,H2833&gt;=5),"POTENTIAL LOYALIST",AND(F2833&gt;=8,G2833&lt;=2,H2833&gt;=5),"NEW CUSTOMERS",AND(F2833&gt;=6,G2833&lt;=2,H2833&gt;=3),"PROMISING",AND(F2833&gt;=3,G2833&gt;=3,H2833&gt;=3),"NEED ATTENTION",AND(F2833&lt;=4,G2833&gt;=6,H2833&gt;=6),"AT RISK",AND(F2833&lt;=2,G2833&gt;=8,H2833&gt;=8),"CAN'T LOSE THEM",AND(F2833&lt;=2,G2833&lt;=2,H2833&lt;=2),"HIBERNATING",TRUE(),"Other")</f>
        <v>POTENTIAL LOYALIST</v>
      </c>
      <c r="K2833" s="1" t="n">
        <f aca="false">RANK(E2833,$E$7:$E$4378)+COUNTIF($E$7:E2833,E2833)-1</f>
        <v>964</v>
      </c>
    </row>
    <row r="2834" customFormat="false" ht="14.25" hidden="false" customHeight="true" outlineLevel="0" collapsed="false">
      <c r="A2834" s="51" t="n">
        <v>16170</v>
      </c>
      <c r="B2834" s="53" t="n">
        <v>40836.3479166667</v>
      </c>
      <c r="C2834" s="57" t="n">
        <f aca="false">INT($C$2)-INT(Table3[[#This Row],[Last Purchase Date]])</f>
        <v>51</v>
      </c>
      <c r="D2834" s="1" t="n">
        <v>7</v>
      </c>
      <c r="E2834" s="1" t="n">
        <v>1880.42</v>
      </c>
      <c r="F2834" s="1" t="n">
        <f aca="false">ROUND((1-_xlfn.PERCENTRANK.INC($C$7:$C$4378,C2834))*9,0)</f>
        <v>5</v>
      </c>
      <c r="G2834" s="1" t="n">
        <f aca="false">ROUND(_xlfn.PERCENTRANK.INC($D$7:$D$4378,D2834)*9,0)</f>
        <v>7</v>
      </c>
      <c r="H2834" s="1" t="n">
        <f aca="false">ROUND(_xlfn.PERCENTRANK.INC($E$7:$E$4378,E2834)*9,0)</f>
        <v>7</v>
      </c>
      <c r="I2834" s="1" t="str">
        <f aca="false">CONCATENATE(F2834,G2834,H2834)</f>
        <v>577</v>
      </c>
      <c r="J2834" s="1" t="str">
        <f aca="false">_xlfn.IFS(AND(F2834&gt;=8,G2834&gt;=8,H2834&gt;=8),"CHAMPION",AND(F2834&gt;=6,G2834&gt;=7,H2834&gt;=6),"LOYAL CUSTOMER",AND(F2834&gt;=6,G2834&gt;=5,H2834&gt;=5),"POTENTIAL LOYALIST",AND(F2834&gt;=8,G2834&lt;=2,H2834&gt;=5),"NEW CUSTOMERS",AND(F2834&gt;=6,G2834&lt;=2,H2834&gt;=3),"PROMISING",AND(F2834&gt;=3,G2834&gt;=3,H2834&gt;=3),"NEED ATTENTION",AND(F2834&lt;=4,G2834&gt;=6,H2834&gt;=6),"AT RISK",AND(F2834&lt;=2,G2834&gt;=8,H2834&gt;=8),"CAN'T LOSE THEM",AND(F2834&lt;=2,G2834&lt;=2,H2834&lt;=2),"HIBERNATING",TRUE(),"Other")</f>
        <v>NEED ATTENTION</v>
      </c>
      <c r="K2834" s="1" t="n">
        <f aca="false">RANK(E2834,$E$7:$E$4378)+COUNTIF($E$7:E2834,E2834)-1</f>
        <v>930</v>
      </c>
    </row>
    <row r="2835" customFormat="false" ht="14.25" hidden="false" customHeight="true" outlineLevel="0" collapsed="false">
      <c r="A2835" s="51" t="n">
        <v>16171</v>
      </c>
      <c r="B2835" s="53" t="n">
        <v>40827.61875</v>
      </c>
      <c r="C2835" s="57" t="n">
        <f aca="false">INT($C$2)-INT(Table3[[#This Row],[Last Purchase Date]])</f>
        <v>60</v>
      </c>
      <c r="D2835" s="1" t="n">
        <v>1</v>
      </c>
      <c r="E2835" s="1" t="n">
        <v>73.2</v>
      </c>
      <c r="F2835" s="1" t="n">
        <f aca="false">ROUND((1-_xlfn.PERCENTRANK.INC($C$7:$C$4378,C2835))*9,0)</f>
        <v>4</v>
      </c>
      <c r="G2835" s="1" t="n">
        <f aca="false">ROUND(_xlfn.PERCENTRANK.INC($D$7:$D$4378,D2835)*9,0)</f>
        <v>0</v>
      </c>
      <c r="H2835" s="1" t="n">
        <f aca="false">ROUND(_xlfn.PERCENTRANK.INC($E$7:$E$4378,E2835)*9,0)</f>
        <v>0</v>
      </c>
      <c r="I2835" s="1" t="str">
        <f aca="false">CONCATENATE(F2835,G2835,H2835)</f>
        <v>400</v>
      </c>
      <c r="J2835" s="1" t="str">
        <f aca="false">_xlfn.IFS(AND(F2835&gt;=8,G2835&gt;=8,H2835&gt;=8),"CHAMPION",AND(F2835&gt;=6,G2835&gt;=7,H2835&gt;=6),"LOYAL CUSTOMER",AND(F2835&gt;=6,G2835&gt;=5,H2835&gt;=5),"POTENTIAL LOYALIST",AND(F2835&gt;=8,G2835&lt;=2,H2835&gt;=5),"NEW CUSTOMERS",AND(F2835&gt;=6,G2835&lt;=2,H2835&gt;=3),"PROMISING",AND(F2835&gt;=3,G2835&gt;=3,H2835&gt;=3),"NEED ATTENTION",AND(F2835&lt;=4,G2835&gt;=6,H2835&gt;=6),"AT RISK",AND(F2835&lt;=2,G2835&gt;=8,H2835&gt;=8),"CAN'T LOSE THEM",AND(F2835&lt;=2,G2835&lt;=2,H2835&lt;=2),"HIBERNATING",TRUE(),"Other")</f>
        <v>Other</v>
      </c>
      <c r="K2835" s="1" t="n">
        <f aca="false">RANK(E2835,$E$7:$E$4378)+COUNTIF($E$7:E2835,E2835)-1</f>
        <v>4242</v>
      </c>
    </row>
    <row r="2836" customFormat="false" ht="14.25" hidden="false" customHeight="true" outlineLevel="0" collapsed="false">
      <c r="A2836" s="51" t="n">
        <v>16172</v>
      </c>
      <c r="B2836" s="53" t="n">
        <v>40791.5569444444</v>
      </c>
      <c r="C2836" s="57" t="n">
        <f aca="false">INT($C$2)-INT(Table3[[#This Row],[Last Purchase Date]])</f>
        <v>96</v>
      </c>
      <c r="D2836" s="1" t="n">
        <v>5</v>
      </c>
      <c r="E2836" s="1" t="n">
        <v>1140.21</v>
      </c>
      <c r="F2836" s="1" t="n">
        <f aca="false">ROUND((1-_xlfn.PERCENTRANK.INC($C$7:$C$4378,C2836))*9,0)</f>
        <v>3</v>
      </c>
      <c r="G2836" s="1" t="n">
        <f aca="false">ROUND(_xlfn.PERCENTRANK.INC($D$7:$D$4378,D2836)*9,0)</f>
        <v>6</v>
      </c>
      <c r="H2836" s="1" t="n">
        <f aca="false">ROUND(_xlfn.PERCENTRANK.INC($E$7:$E$4378,E2836)*9,0)</f>
        <v>6</v>
      </c>
      <c r="I2836" s="1" t="str">
        <f aca="false">CONCATENATE(F2836,G2836,H2836)</f>
        <v>366</v>
      </c>
      <c r="J2836" s="1" t="str">
        <f aca="false">_xlfn.IFS(AND(F2836&gt;=8,G2836&gt;=8,H2836&gt;=8),"CHAMPION",AND(F2836&gt;=6,G2836&gt;=7,H2836&gt;=6),"LOYAL CUSTOMER",AND(F2836&gt;=6,G2836&gt;=5,H2836&gt;=5),"POTENTIAL LOYALIST",AND(F2836&gt;=8,G2836&lt;=2,H2836&gt;=5),"NEW CUSTOMERS",AND(F2836&gt;=6,G2836&lt;=2,H2836&gt;=3),"PROMISING",AND(F2836&gt;=3,G2836&gt;=3,H2836&gt;=3),"NEED ATTENTION",AND(F2836&lt;=4,G2836&gt;=6,H2836&gt;=6),"AT RISK",AND(F2836&lt;=2,G2836&gt;=8,H2836&gt;=8),"CAN'T LOSE THEM",AND(F2836&lt;=2,G2836&lt;=2,H2836&lt;=2),"HIBERNATING",TRUE(),"Other")</f>
        <v>NEED ATTENTION</v>
      </c>
      <c r="K2836" s="1" t="n">
        <f aca="false">RANK(E2836,$E$7:$E$4378)+COUNTIF($E$7:E2836,E2836)-1</f>
        <v>1462</v>
      </c>
    </row>
    <row r="2837" customFormat="false" ht="14.25" hidden="false" customHeight="true" outlineLevel="0" collapsed="false">
      <c r="A2837" s="51" t="n">
        <v>16173</v>
      </c>
      <c r="B2837" s="53" t="n">
        <v>40871.4534722222</v>
      </c>
      <c r="C2837" s="57" t="n">
        <f aca="false">INT($C$2)-INT(Table3[[#This Row],[Last Purchase Date]])</f>
        <v>16</v>
      </c>
      <c r="D2837" s="1" t="n">
        <v>7</v>
      </c>
      <c r="E2837" s="1" t="n">
        <v>1406.57</v>
      </c>
      <c r="F2837" s="1" t="n">
        <f aca="false">ROUND((1-_xlfn.PERCENTRANK.INC($C$7:$C$4378,C2837))*9,0)</f>
        <v>7</v>
      </c>
      <c r="G2837" s="1" t="n">
        <f aca="false">ROUND(_xlfn.PERCENTRANK.INC($D$7:$D$4378,D2837)*9,0)</f>
        <v>7</v>
      </c>
      <c r="H2837" s="1" t="n">
        <f aca="false">ROUND(_xlfn.PERCENTRANK.INC($E$7:$E$4378,E2837)*9,0)</f>
        <v>6</v>
      </c>
      <c r="I2837" s="1" t="str">
        <f aca="false">CONCATENATE(F2837,G2837,H2837)</f>
        <v>776</v>
      </c>
      <c r="J2837" s="1" t="str">
        <f aca="false">_xlfn.IFS(AND(F2837&gt;=8,G2837&gt;=8,H2837&gt;=8),"CHAMPION",AND(F2837&gt;=6,G2837&gt;=7,H2837&gt;=6),"LOYAL CUSTOMER",AND(F2837&gt;=6,G2837&gt;=5,H2837&gt;=5),"POTENTIAL LOYALIST",AND(F2837&gt;=8,G2837&lt;=2,H2837&gt;=5),"NEW CUSTOMERS",AND(F2837&gt;=6,G2837&lt;=2,H2837&gt;=3),"PROMISING",AND(F2837&gt;=3,G2837&gt;=3,H2837&gt;=3),"NEED ATTENTION",AND(F2837&lt;=4,G2837&gt;=6,H2837&gt;=6),"AT RISK",AND(F2837&lt;=2,G2837&gt;=8,H2837&gt;=8),"CAN'T LOSE THEM",AND(F2837&lt;=2,G2837&lt;=2,H2837&lt;=2),"HIBERNATING",TRUE(),"Other")</f>
        <v>LOYAL CUSTOMER</v>
      </c>
      <c r="K2837" s="1" t="n">
        <f aca="false">RANK(E2837,$E$7:$E$4378)+COUNTIF($E$7:E2837,E2837)-1</f>
        <v>1233</v>
      </c>
    </row>
    <row r="2838" customFormat="false" ht="14.25" hidden="false" customHeight="true" outlineLevel="0" collapsed="false">
      <c r="A2838" s="51" t="n">
        <v>16174</v>
      </c>
      <c r="B2838" s="53" t="n">
        <v>40760.5597222222</v>
      </c>
      <c r="C2838" s="57" t="n">
        <f aca="false">INT($C$2)-INT(Table3[[#This Row],[Last Purchase Date]])</f>
        <v>127</v>
      </c>
      <c r="D2838" s="1" t="n">
        <v>3</v>
      </c>
      <c r="E2838" s="1" t="n">
        <v>1009.55</v>
      </c>
      <c r="F2838" s="1" t="n">
        <f aca="false">ROUND((1-_xlfn.PERCENTRANK.INC($C$7:$C$4378,C2838))*9,0)</f>
        <v>2</v>
      </c>
      <c r="G2838" s="1" t="n">
        <f aca="false">ROUND(_xlfn.PERCENTRANK.INC($D$7:$D$4378,D2838)*9,0)</f>
        <v>4</v>
      </c>
      <c r="H2838" s="1" t="n">
        <f aca="false">ROUND(_xlfn.PERCENTRANK.INC($E$7:$E$4378,E2838)*9,0)</f>
        <v>6</v>
      </c>
      <c r="I2838" s="1" t="str">
        <f aca="false">CONCATENATE(F2838,G2838,H2838)</f>
        <v>246</v>
      </c>
      <c r="J2838" s="1" t="str">
        <f aca="false">_xlfn.IFS(AND(F2838&gt;=8,G2838&gt;=8,H2838&gt;=8),"CHAMPION",AND(F2838&gt;=6,G2838&gt;=7,H2838&gt;=6),"LOYAL CUSTOMER",AND(F2838&gt;=6,G2838&gt;=5,H2838&gt;=5),"POTENTIAL LOYALIST",AND(F2838&gt;=8,G2838&lt;=2,H2838&gt;=5),"NEW CUSTOMERS",AND(F2838&gt;=6,G2838&lt;=2,H2838&gt;=3),"PROMISING",AND(F2838&gt;=3,G2838&gt;=3,H2838&gt;=3),"NEED ATTENTION",AND(F2838&lt;=4,G2838&gt;=6,H2838&gt;=6),"AT RISK",AND(F2838&lt;=2,G2838&gt;=8,H2838&gt;=8),"CAN'T LOSE THEM",AND(F2838&lt;=2,G2838&lt;=2,H2838&lt;=2),"HIBERNATING",TRUE(),"Other")</f>
        <v>Other</v>
      </c>
      <c r="K2838" s="1" t="n">
        <f aca="false">RANK(E2838,$E$7:$E$4378)+COUNTIF($E$7:E2838,E2838)-1</f>
        <v>1620</v>
      </c>
    </row>
    <row r="2839" customFormat="false" ht="14.25" hidden="false" customHeight="true" outlineLevel="0" collapsed="false">
      <c r="A2839" s="51" t="n">
        <v>16175</v>
      </c>
      <c r="B2839" s="53" t="n">
        <v>40792.6055555556</v>
      </c>
      <c r="C2839" s="57" t="n">
        <f aca="false">INT($C$2)-INT(Table3[[#This Row],[Last Purchase Date]])</f>
        <v>95</v>
      </c>
      <c r="D2839" s="1" t="n">
        <v>4</v>
      </c>
      <c r="E2839" s="1" t="n">
        <v>1037.59</v>
      </c>
      <c r="F2839" s="1" t="n">
        <f aca="false">ROUND((1-_xlfn.PERCENTRANK.INC($C$7:$C$4378,C2839))*9,0)</f>
        <v>3</v>
      </c>
      <c r="G2839" s="1" t="n">
        <f aca="false">ROUND(_xlfn.PERCENTRANK.INC($D$7:$D$4378,D2839)*9,0)</f>
        <v>5</v>
      </c>
      <c r="H2839" s="1" t="n">
        <f aca="false">ROUND(_xlfn.PERCENTRANK.INC($E$7:$E$4378,E2839)*9,0)</f>
        <v>6</v>
      </c>
      <c r="I2839" s="1" t="str">
        <f aca="false">CONCATENATE(F2839,G2839,H2839)</f>
        <v>356</v>
      </c>
      <c r="J2839" s="1" t="str">
        <f aca="false">_xlfn.IFS(AND(F2839&gt;=8,G2839&gt;=8,H2839&gt;=8),"CHAMPION",AND(F2839&gt;=6,G2839&gt;=7,H2839&gt;=6),"LOYAL CUSTOMER",AND(F2839&gt;=6,G2839&gt;=5,H2839&gt;=5),"POTENTIAL LOYALIST",AND(F2839&gt;=8,G2839&lt;=2,H2839&gt;=5),"NEW CUSTOMERS",AND(F2839&gt;=6,G2839&lt;=2,H2839&gt;=3),"PROMISING",AND(F2839&gt;=3,G2839&gt;=3,H2839&gt;=3),"NEED ATTENTION",AND(F2839&lt;=4,G2839&gt;=6,H2839&gt;=6),"AT RISK",AND(F2839&lt;=2,G2839&gt;=8,H2839&gt;=8),"CAN'T LOSE THEM",AND(F2839&lt;=2,G2839&lt;=2,H2839&lt;=2),"HIBERNATING",TRUE(),"Other")</f>
        <v>NEED ATTENTION</v>
      </c>
      <c r="K2839" s="1" t="n">
        <f aca="false">RANK(E2839,$E$7:$E$4378)+COUNTIF($E$7:E2839,E2839)-1</f>
        <v>1583</v>
      </c>
    </row>
    <row r="2840" customFormat="false" ht="14.25" hidden="false" customHeight="true" outlineLevel="0" collapsed="false">
      <c r="A2840" s="51" t="n">
        <v>16177</v>
      </c>
      <c r="B2840" s="53" t="n">
        <v>40836.5395833333</v>
      </c>
      <c r="C2840" s="57" t="n">
        <f aca="false">INT($C$2)-INT(Table3[[#This Row],[Last Purchase Date]])</f>
        <v>51</v>
      </c>
      <c r="D2840" s="1" t="n">
        <v>1</v>
      </c>
      <c r="E2840" s="1" t="n">
        <v>331.95</v>
      </c>
      <c r="F2840" s="1" t="n">
        <f aca="false">ROUND((1-_xlfn.PERCENTRANK.INC($C$7:$C$4378,C2840))*9,0)</f>
        <v>5</v>
      </c>
      <c r="G2840" s="1" t="n">
        <f aca="false">ROUND(_xlfn.PERCENTRANK.INC($D$7:$D$4378,D2840)*9,0)</f>
        <v>0</v>
      </c>
      <c r="H2840" s="1" t="n">
        <f aca="false">ROUND(_xlfn.PERCENTRANK.INC($E$7:$E$4378,E2840)*9,0)</f>
        <v>3</v>
      </c>
      <c r="I2840" s="1" t="str">
        <f aca="false">CONCATENATE(F2840,G2840,H2840)</f>
        <v>503</v>
      </c>
      <c r="J2840" s="1" t="str">
        <f aca="false">_xlfn.IFS(AND(F2840&gt;=8,G2840&gt;=8,H2840&gt;=8),"CHAMPION",AND(F2840&gt;=6,G2840&gt;=7,H2840&gt;=6),"LOYAL CUSTOMER",AND(F2840&gt;=6,G2840&gt;=5,H2840&gt;=5),"POTENTIAL LOYALIST",AND(F2840&gt;=8,G2840&lt;=2,H2840&gt;=5),"NEW CUSTOMERS",AND(F2840&gt;=6,G2840&lt;=2,H2840&gt;=3),"PROMISING",AND(F2840&gt;=3,G2840&gt;=3,H2840&gt;=3),"NEED ATTENTION",AND(F2840&lt;=4,G2840&gt;=6,H2840&gt;=6),"AT RISK",AND(F2840&lt;=2,G2840&gt;=8,H2840&gt;=8),"CAN'T LOSE THEM",AND(F2840&lt;=2,G2840&lt;=2,H2840&lt;=2),"HIBERNATING",TRUE(),"Other")</f>
        <v>Other</v>
      </c>
      <c r="K2840" s="1" t="n">
        <f aca="false">RANK(E2840,$E$7:$E$4378)+COUNTIF($E$7:E2840,E2840)-1</f>
        <v>3085</v>
      </c>
    </row>
    <row r="2841" customFormat="false" ht="14.25" hidden="false" customHeight="true" outlineLevel="0" collapsed="false">
      <c r="A2841" s="51" t="n">
        <v>16178</v>
      </c>
      <c r="B2841" s="53" t="n">
        <v>40748.6701388889</v>
      </c>
      <c r="C2841" s="57" t="n">
        <f aca="false">INT($C$2)-INT(Table3[[#This Row],[Last Purchase Date]])</f>
        <v>139</v>
      </c>
      <c r="D2841" s="1" t="n">
        <v>1</v>
      </c>
      <c r="E2841" s="1" t="n">
        <v>197.9</v>
      </c>
      <c r="F2841" s="1" t="n">
        <f aca="false">ROUND((1-_xlfn.PERCENTRANK.INC($C$7:$C$4378,C2841))*9,0)</f>
        <v>2</v>
      </c>
      <c r="G2841" s="1" t="n">
        <f aca="false">ROUND(_xlfn.PERCENTRANK.INC($D$7:$D$4378,D2841)*9,0)</f>
        <v>0</v>
      </c>
      <c r="H2841" s="1" t="n">
        <f aca="false">ROUND(_xlfn.PERCENTRANK.INC($E$7:$E$4378,E2841)*9,0)</f>
        <v>1</v>
      </c>
      <c r="I2841" s="1" t="str">
        <f aca="false">CONCATENATE(F2841,G2841,H2841)</f>
        <v>201</v>
      </c>
      <c r="J2841" s="1" t="str">
        <f aca="false">_xlfn.IFS(AND(F2841&gt;=8,G2841&gt;=8,H2841&gt;=8),"CHAMPION",AND(F2841&gt;=6,G2841&gt;=7,H2841&gt;=6),"LOYAL CUSTOMER",AND(F2841&gt;=6,G2841&gt;=5,H2841&gt;=5),"POTENTIAL LOYALIST",AND(F2841&gt;=8,G2841&lt;=2,H2841&gt;=5),"NEW CUSTOMERS",AND(F2841&gt;=6,G2841&lt;=2,H2841&gt;=3),"PROMISING",AND(F2841&gt;=3,G2841&gt;=3,H2841&gt;=3),"NEED ATTENTION",AND(F2841&lt;=4,G2841&gt;=6,H2841&gt;=6),"AT RISK",AND(F2841&lt;=2,G2841&gt;=8,H2841&gt;=8),"CAN'T LOSE THEM",AND(F2841&lt;=2,G2841&lt;=2,H2841&lt;=2),"HIBERNATING",TRUE(),"Other")</f>
        <v>HIBERNATING</v>
      </c>
      <c r="K2841" s="1" t="n">
        <f aca="false">RANK(E2841,$E$7:$E$4378)+COUNTIF($E$7:E2841,E2841)-1</f>
        <v>3667</v>
      </c>
    </row>
    <row r="2842" customFormat="false" ht="14.25" hidden="false" customHeight="true" outlineLevel="0" collapsed="false">
      <c r="A2842" s="51" t="n">
        <v>16179</v>
      </c>
      <c r="B2842" s="53" t="n">
        <v>40826.4034722222</v>
      </c>
      <c r="C2842" s="57" t="n">
        <f aca="false">INT($C$2)-INT(Table3[[#This Row],[Last Purchase Date]])</f>
        <v>61</v>
      </c>
      <c r="D2842" s="1" t="n">
        <v>1</v>
      </c>
      <c r="E2842" s="1" t="n">
        <v>215.83</v>
      </c>
      <c r="F2842" s="1" t="n">
        <f aca="false">ROUND((1-_xlfn.PERCENTRANK.INC($C$7:$C$4378,C2842))*9,0)</f>
        <v>4</v>
      </c>
      <c r="G2842" s="1" t="n">
        <f aca="false">ROUND(_xlfn.PERCENTRANK.INC($D$7:$D$4378,D2842)*9,0)</f>
        <v>0</v>
      </c>
      <c r="H2842" s="1" t="n">
        <f aca="false">ROUND(_xlfn.PERCENTRANK.INC($E$7:$E$4378,E2842)*9,0)</f>
        <v>2</v>
      </c>
      <c r="I2842" s="1" t="str">
        <f aca="false">CONCATENATE(F2842,G2842,H2842)</f>
        <v>402</v>
      </c>
      <c r="J2842" s="1" t="str">
        <f aca="false">_xlfn.IFS(AND(F2842&gt;=8,G2842&gt;=8,H2842&gt;=8),"CHAMPION",AND(F2842&gt;=6,G2842&gt;=7,H2842&gt;=6),"LOYAL CUSTOMER",AND(F2842&gt;=6,G2842&gt;=5,H2842&gt;=5),"POTENTIAL LOYALIST",AND(F2842&gt;=8,G2842&lt;=2,H2842&gt;=5),"NEW CUSTOMERS",AND(F2842&gt;=6,G2842&lt;=2,H2842&gt;=3),"PROMISING",AND(F2842&gt;=3,G2842&gt;=3,H2842&gt;=3),"NEED ATTENTION",AND(F2842&lt;=4,G2842&gt;=6,H2842&gt;=6),"AT RISK",AND(F2842&lt;=2,G2842&gt;=8,H2842&gt;=8),"CAN'T LOSE THEM",AND(F2842&lt;=2,G2842&lt;=2,H2842&lt;=2),"HIBERNATING",TRUE(),"Other")</f>
        <v>Other</v>
      </c>
      <c r="K2842" s="1" t="n">
        <f aca="false">RANK(E2842,$E$7:$E$4378)+COUNTIF($E$7:E2842,E2842)-1</f>
        <v>3581</v>
      </c>
    </row>
    <row r="2843" customFormat="false" ht="14.25" hidden="false" customHeight="true" outlineLevel="0" collapsed="false">
      <c r="A2843" s="51" t="n">
        <v>16180</v>
      </c>
      <c r="B2843" s="53" t="n">
        <v>40786.6861111111</v>
      </c>
      <c r="C2843" s="57" t="n">
        <f aca="false">INT($C$2)-INT(Table3[[#This Row],[Last Purchase Date]])</f>
        <v>101</v>
      </c>
      <c r="D2843" s="1" t="n">
        <v>10</v>
      </c>
      <c r="E2843" s="1" t="n">
        <v>10217.48</v>
      </c>
      <c r="F2843" s="1" t="n">
        <f aca="false">ROUND((1-_xlfn.PERCENTRANK.INC($C$7:$C$4378,C2843))*9,0)</f>
        <v>3</v>
      </c>
      <c r="G2843" s="1" t="n">
        <f aca="false">ROUND(_xlfn.PERCENTRANK.INC($D$7:$D$4378,D2843)*9,0)</f>
        <v>8</v>
      </c>
      <c r="H2843" s="1" t="n">
        <f aca="false">ROUND(_xlfn.PERCENTRANK.INC($E$7:$E$4378,E2843)*9,0)</f>
        <v>9</v>
      </c>
      <c r="I2843" s="1" t="str">
        <f aca="false">CONCATENATE(F2843,G2843,H2843)</f>
        <v>389</v>
      </c>
      <c r="J2843" s="1" t="str">
        <f aca="false">_xlfn.IFS(AND(F2843&gt;=8,G2843&gt;=8,H2843&gt;=8),"CHAMPION",AND(F2843&gt;=6,G2843&gt;=7,H2843&gt;=6),"LOYAL CUSTOMER",AND(F2843&gt;=6,G2843&gt;=5,H2843&gt;=5),"POTENTIAL LOYALIST",AND(F2843&gt;=8,G2843&lt;=2,H2843&gt;=5),"NEW CUSTOMERS",AND(F2843&gt;=6,G2843&lt;=2,H2843&gt;=3),"PROMISING",AND(F2843&gt;=3,G2843&gt;=3,H2843&gt;=3),"NEED ATTENTION",AND(F2843&lt;=4,G2843&gt;=6,H2843&gt;=6),"AT RISK",AND(F2843&lt;=2,G2843&gt;=8,H2843&gt;=8),"CAN'T LOSE THEM",AND(F2843&lt;=2,G2843&lt;=2,H2843&lt;=2),"HIBERNATING",TRUE(),"Other")</f>
        <v>NEED ATTENTION</v>
      </c>
      <c r="K2843" s="1" t="n">
        <f aca="false">RANK(E2843,$E$7:$E$4378)+COUNTIF($E$7:E2843,E2843)-1</f>
        <v>94</v>
      </c>
    </row>
    <row r="2844" customFormat="false" ht="14.25" hidden="false" customHeight="true" outlineLevel="0" collapsed="false">
      <c r="A2844" s="51" t="n">
        <v>16181</v>
      </c>
      <c r="B2844" s="53" t="n">
        <v>40813.5680555556</v>
      </c>
      <c r="C2844" s="57" t="n">
        <f aca="false">INT($C$2)-INT(Table3[[#This Row],[Last Purchase Date]])</f>
        <v>74</v>
      </c>
      <c r="D2844" s="1" t="n">
        <v>1</v>
      </c>
      <c r="E2844" s="1" t="n">
        <v>305.54</v>
      </c>
      <c r="F2844" s="1" t="n">
        <f aca="false">ROUND((1-_xlfn.PERCENTRANK.INC($C$7:$C$4378,C2844))*9,0)</f>
        <v>3</v>
      </c>
      <c r="G2844" s="1" t="n">
        <f aca="false">ROUND(_xlfn.PERCENTRANK.INC($D$7:$D$4378,D2844)*9,0)</f>
        <v>0</v>
      </c>
      <c r="H2844" s="1" t="n">
        <f aca="false">ROUND(_xlfn.PERCENTRANK.INC($E$7:$E$4378,E2844)*9,0)</f>
        <v>2</v>
      </c>
      <c r="I2844" s="1" t="str">
        <f aca="false">CONCATENATE(F2844,G2844,H2844)</f>
        <v>302</v>
      </c>
      <c r="J2844" s="1" t="str">
        <f aca="false">_xlfn.IFS(AND(F2844&gt;=8,G2844&gt;=8,H2844&gt;=8),"CHAMPION",AND(F2844&gt;=6,G2844&gt;=7,H2844&gt;=6),"LOYAL CUSTOMER",AND(F2844&gt;=6,G2844&gt;=5,H2844&gt;=5),"POTENTIAL LOYALIST",AND(F2844&gt;=8,G2844&lt;=2,H2844&gt;=5),"NEW CUSTOMERS",AND(F2844&gt;=6,G2844&lt;=2,H2844&gt;=3),"PROMISING",AND(F2844&gt;=3,G2844&gt;=3,H2844&gt;=3),"NEED ATTENTION",AND(F2844&lt;=4,G2844&gt;=6,H2844&gt;=6),"AT RISK",AND(F2844&lt;=2,G2844&gt;=8,H2844&gt;=8),"CAN'T LOSE THEM",AND(F2844&lt;=2,G2844&lt;=2,H2844&lt;=2),"HIBERNATING",TRUE(),"Other")</f>
        <v>Other</v>
      </c>
      <c r="K2844" s="1" t="n">
        <f aca="false">RANK(E2844,$E$7:$E$4378)+COUNTIF($E$7:E2844,E2844)-1</f>
        <v>3224</v>
      </c>
    </row>
    <row r="2845" customFormat="false" ht="14.25" hidden="false" customHeight="true" outlineLevel="0" collapsed="false">
      <c r="A2845" s="51" t="n">
        <v>16182</v>
      </c>
      <c r="B2845" s="53" t="n">
        <v>40814.5576388889</v>
      </c>
      <c r="C2845" s="57" t="n">
        <f aca="false">INT($C$2)-INT(Table3[[#This Row],[Last Purchase Date]])</f>
        <v>73</v>
      </c>
      <c r="D2845" s="1" t="n">
        <v>4</v>
      </c>
      <c r="E2845" s="1" t="n">
        <v>6617.65</v>
      </c>
      <c r="F2845" s="1" t="n">
        <f aca="false">ROUND((1-_xlfn.PERCENTRANK.INC($C$7:$C$4378,C2845))*9,0)</f>
        <v>4</v>
      </c>
      <c r="G2845" s="1" t="n">
        <f aca="false">ROUND(_xlfn.PERCENTRANK.INC($D$7:$D$4378,D2845)*9,0)</f>
        <v>5</v>
      </c>
      <c r="H2845" s="1" t="n">
        <f aca="false">ROUND(_xlfn.PERCENTRANK.INC($E$7:$E$4378,E2845)*9,0)</f>
        <v>9</v>
      </c>
      <c r="I2845" s="1" t="str">
        <f aca="false">CONCATENATE(F2845,G2845,H2845)</f>
        <v>459</v>
      </c>
      <c r="J2845" s="1" t="str">
        <f aca="false">_xlfn.IFS(AND(F2845&gt;=8,G2845&gt;=8,H2845&gt;=8),"CHAMPION",AND(F2845&gt;=6,G2845&gt;=7,H2845&gt;=6),"LOYAL CUSTOMER",AND(F2845&gt;=6,G2845&gt;=5,H2845&gt;=5),"POTENTIAL LOYALIST",AND(F2845&gt;=8,G2845&lt;=2,H2845&gt;=5),"NEW CUSTOMERS",AND(F2845&gt;=6,G2845&lt;=2,H2845&gt;=3),"PROMISING",AND(F2845&gt;=3,G2845&gt;=3,H2845&gt;=3),"NEED ATTENTION",AND(F2845&lt;=4,G2845&gt;=6,H2845&gt;=6),"AT RISK",AND(F2845&lt;=2,G2845&gt;=8,H2845&gt;=8),"CAN'T LOSE THEM",AND(F2845&lt;=2,G2845&lt;=2,H2845&lt;=2),"HIBERNATING",TRUE(),"Other")</f>
        <v>NEED ATTENTION</v>
      </c>
      <c r="K2845" s="1" t="n">
        <f aca="false">RANK(E2845,$E$7:$E$4378)+COUNTIF($E$7:E2845,E2845)-1</f>
        <v>175</v>
      </c>
    </row>
    <row r="2846" customFormat="false" ht="14.25" hidden="false" customHeight="true" outlineLevel="0" collapsed="false">
      <c r="A2846" s="51" t="n">
        <v>16183</v>
      </c>
      <c r="B2846" s="53" t="n">
        <v>40819.6243055556</v>
      </c>
      <c r="C2846" s="57" t="n">
        <f aca="false">INT($C$2)-INT(Table3[[#This Row],[Last Purchase Date]])</f>
        <v>68</v>
      </c>
      <c r="D2846" s="1" t="n">
        <v>1</v>
      </c>
      <c r="E2846" s="1" t="n">
        <v>338.71</v>
      </c>
      <c r="F2846" s="1" t="n">
        <f aca="false">ROUND((1-_xlfn.PERCENTRANK.INC($C$7:$C$4378,C2846))*9,0)</f>
        <v>4</v>
      </c>
      <c r="G2846" s="1" t="n">
        <f aca="false">ROUND(_xlfn.PERCENTRANK.INC($D$7:$D$4378,D2846)*9,0)</f>
        <v>0</v>
      </c>
      <c r="H2846" s="1" t="n">
        <f aca="false">ROUND(_xlfn.PERCENTRANK.INC($E$7:$E$4378,E2846)*9,0)</f>
        <v>3</v>
      </c>
      <c r="I2846" s="1" t="str">
        <f aca="false">CONCATENATE(F2846,G2846,H2846)</f>
        <v>403</v>
      </c>
      <c r="J2846" s="1" t="str">
        <f aca="false">_xlfn.IFS(AND(F2846&gt;=8,G2846&gt;=8,H2846&gt;=8),"CHAMPION",AND(F2846&gt;=6,G2846&gt;=7,H2846&gt;=6),"LOYAL CUSTOMER",AND(F2846&gt;=6,G2846&gt;=5,H2846&gt;=5),"POTENTIAL LOYALIST",AND(F2846&gt;=8,G2846&lt;=2,H2846&gt;=5),"NEW CUSTOMERS",AND(F2846&gt;=6,G2846&lt;=2,H2846&gt;=3),"PROMISING",AND(F2846&gt;=3,G2846&gt;=3,H2846&gt;=3),"NEED ATTENTION",AND(F2846&lt;=4,G2846&gt;=6,H2846&gt;=6),"AT RISK",AND(F2846&lt;=2,G2846&gt;=8,H2846&gt;=8),"CAN'T LOSE THEM",AND(F2846&lt;=2,G2846&lt;=2,H2846&lt;=2),"HIBERNATING",TRUE(),"Other")</f>
        <v>Other</v>
      </c>
      <c r="K2846" s="1" t="n">
        <f aca="false">RANK(E2846,$E$7:$E$4378)+COUNTIF($E$7:E2846,E2846)-1</f>
        <v>3057</v>
      </c>
    </row>
    <row r="2847" customFormat="false" ht="14.25" hidden="false" customHeight="true" outlineLevel="0" collapsed="false">
      <c r="A2847" s="51" t="n">
        <v>16184</v>
      </c>
      <c r="B2847" s="53" t="n">
        <v>40822.7381944444</v>
      </c>
      <c r="C2847" s="57" t="n">
        <f aca="false">INT($C$2)-INT(Table3[[#This Row],[Last Purchase Date]])</f>
        <v>65</v>
      </c>
      <c r="D2847" s="1" t="n">
        <v>7</v>
      </c>
      <c r="E2847" s="1" t="n">
        <v>1155.54</v>
      </c>
      <c r="F2847" s="1" t="n">
        <f aca="false">ROUND((1-_xlfn.PERCENTRANK.INC($C$7:$C$4378,C2847))*9,0)</f>
        <v>4</v>
      </c>
      <c r="G2847" s="1" t="n">
        <f aca="false">ROUND(_xlfn.PERCENTRANK.INC($D$7:$D$4378,D2847)*9,0)</f>
        <v>7</v>
      </c>
      <c r="H2847" s="1" t="n">
        <f aca="false">ROUND(_xlfn.PERCENTRANK.INC($E$7:$E$4378,E2847)*9,0)</f>
        <v>6</v>
      </c>
      <c r="I2847" s="1" t="str">
        <f aca="false">CONCATENATE(F2847,G2847,H2847)</f>
        <v>476</v>
      </c>
      <c r="J2847" s="1" t="str">
        <f aca="false">_xlfn.IFS(AND(F2847&gt;=8,G2847&gt;=8,H2847&gt;=8),"CHAMPION",AND(F2847&gt;=6,G2847&gt;=7,H2847&gt;=6),"LOYAL CUSTOMER",AND(F2847&gt;=6,G2847&gt;=5,H2847&gt;=5),"POTENTIAL LOYALIST",AND(F2847&gt;=8,G2847&lt;=2,H2847&gt;=5),"NEW CUSTOMERS",AND(F2847&gt;=6,G2847&lt;=2,H2847&gt;=3),"PROMISING",AND(F2847&gt;=3,G2847&gt;=3,H2847&gt;=3),"NEED ATTENTION",AND(F2847&lt;=4,G2847&gt;=6,H2847&gt;=6),"AT RISK",AND(F2847&lt;=2,G2847&gt;=8,H2847&gt;=8),"CAN'T LOSE THEM",AND(F2847&lt;=2,G2847&lt;=2,H2847&lt;=2),"HIBERNATING",TRUE(),"Other")</f>
        <v>NEED ATTENTION</v>
      </c>
      <c r="K2847" s="1" t="n">
        <f aca="false">RANK(E2847,$E$7:$E$4378)+COUNTIF($E$7:E2847,E2847)-1</f>
        <v>1446</v>
      </c>
    </row>
    <row r="2848" customFormat="false" ht="14.25" hidden="false" customHeight="true" outlineLevel="0" collapsed="false">
      <c r="A2848" s="51" t="n">
        <v>16185</v>
      </c>
      <c r="B2848" s="53" t="n">
        <v>40870.4034722222</v>
      </c>
      <c r="C2848" s="57" t="n">
        <f aca="false">INT($C$2)-INT(Table3[[#This Row],[Last Purchase Date]])</f>
        <v>17</v>
      </c>
      <c r="D2848" s="1" t="n">
        <v>2</v>
      </c>
      <c r="E2848" s="1" t="n">
        <v>529.41</v>
      </c>
      <c r="F2848" s="1" t="n">
        <f aca="false">ROUND((1-_xlfn.PERCENTRANK.INC($C$7:$C$4378,C2848))*9,0)</f>
        <v>7</v>
      </c>
      <c r="G2848" s="1" t="n">
        <f aca="false">ROUND(_xlfn.PERCENTRANK.INC($D$7:$D$4378,D2848)*9,0)</f>
        <v>3</v>
      </c>
      <c r="H2848" s="1" t="n">
        <f aca="false">ROUND(_xlfn.PERCENTRANK.INC($E$7:$E$4378,E2848)*9,0)</f>
        <v>4</v>
      </c>
      <c r="I2848" s="1" t="str">
        <f aca="false">CONCATENATE(F2848,G2848,H2848)</f>
        <v>734</v>
      </c>
      <c r="J2848" s="1" t="str">
        <f aca="false">_xlfn.IFS(AND(F2848&gt;=8,G2848&gt;=8,H2848&gt;=8),"CHAMPION",AND(F2848&gt;=6,G2848&gt;=7,H2848&gt;=6),"LOYAL CUSTOMER",AND(F2848&gt;=6,G2848&gt;=5,H2848&gt;=5),"POTENTIAL LOYALIST",AND(F2848&gt;=8,G2848&lt;=2,H2848&gt;=5),"NEW CUSTOMERS",AND(F2848&gt;=6,G2848&lt;=2,H2848&gt;=3),"PROMISING",AND(F2848&gt;=3,G2848&gt;=3,H2848&gt;=3),"NEED ATTENTION",AND(F2848&lt;=4,G2848&gt;=6,H2848&gt;=6),"AT RISK",AND(F2848&lt;=2,G2848&gt;=8,H2848&gt;=8),"CAN'T LOSE THEM",AND(F2848&lt;=2,G2848&lt;=2,H2848&lt;=2),"HIBERNATING",TRUE(),"Other")</f>
        <v>NEED ATTENTION</v>
      </c>
      <c r="K2848" s="1" t="n">
        <f aca="false">RANK(E2848,$E$7:$E$4378)+COUNTIF($E$7:E2848,E2848)-1</f>
        <v>2484</v>
      </c>
    </row>
    <row r="2849" customFormat="false" ht="14.25" hidden="false" customHeight="true" outlineLevel="0" collapsed="false">
      <c r="A2849" s="51" t="n">
        <v>16186</v>
      </c>
      <c r="B2849" s="53" t="n">
        <v>40864.5298611111</v>
      </c>
      <c r="C2849" s="57" t="n">
        <f aca="false">INT($C$2)-INT(Table3[[#This Row],[Last Purchase Date]])</f>
        <v>23</v>
      </c>
      <c r="D2849" s="1" t="n">
        <v>13</v>
      </c>
      <c r="E2849" s="1" t="n">
        <v>3991.94</v>
      </c>
      <c r="F2849" s="1" t="n">
        <f aca="false">ROUND((1-_xlfn.PERCENTRANK.INC($C$7:$C$4378,C2849))*9,0)</f>
        <v>6</v>
      </c>
      <c r="G2849" s="1" t="n">
        <f aca="false">ROUND(_xlfn.PERCENTRANK.INC($D$7:$D$4378,D2849)*9,0)</f>
        <v>8</v>
      </c>
      <c r="H2849" s="1" t="n">
        <f aca="false">ROUND(_xlfn.PERCENTRANK.INC($E$7:$E$4378,E2849)*9,0)</f>
        <v>8</v>
      </c>
      <c r="I2849" s="1" t="str">
        <f aca="false">CONCATENATE(F2849,G2849,H2849)</f>
        <v>688</v>
      </c>
      <c r="J2849" s="1" t="str">
        <f aca="false">_xlfn.IFS(AND(F2849&gt;=8,G2849&gt;=8,H2849&gt;=8),"CHAMPION",AND(F2849&gt;=6,G2849&gt;=7,H2849&gt;=6),"LOYAL CUSTOMER",AND(F2849&gt;=6,G2849&gt;=5,H2849&gt;=5),"POTENTIAL LOYALIST",AND(F2849&gt;=8,G2849&lt;=2,H2849&gt;=5),"NEW CUSTOMERS",AND(F2849&gt;=6,G2849&lt;=2,H2849&gt;=3),"PROMISING",AND(F2849&gt;=3,G2849&gt;=3,H2849&gt;=3),"NEED ATTENTION",AND(F2849&lt;=4,G2849&gt;=6,H2849&gt;=6),"AT RISK",AND(F2849&lt;=2,G2849&gt;=8,H2849&gt;=8),"CAN'T LOSE THEM",AND(F2849&lt;=2,G2849&lt;=2,H2849&lt;=2),"HIBERNATING",TRUE(),"Other")</f>
        <v>LOYAL CUSTOMER</v>
      </c>
      <c r="K2849" s="1" t="n">
        <f aca="false">RANK(E2849,$E$7:$E$4378)+COUNTIF($E$7:E2849,E2849)-1</f>
        <v>352</v>
      </c>
    </row>
    <row r="2850" customFormat="false" ht="14.25" hidden="false" customHeight="true" outlineLevel="0" collapsed="false">
      <c r="A2850" s="51" t="n">
        <v>16187</v>
      </c>
      <c r="B2850" s="53" t="n">
        <v>40855.4097222222</v>
      </c>
      <c r="C2850" s="57" t="n">
        <f aca="false">INT($C$2)-INT(Table3[[#This Row],[Last Purchase Date]])</f>
        <v>32</v>
      </c>
      <c r="D2850" s="1" t="n">
        <v>17</v>
      </c>
      <c r="E2850" s="1" t="n">
        <v>6841.24</v>
      </c>
      <c r="F2850" s="1" t="n">
        <f aca="false">ROUND((1-_xlfn.PERCENTRANK.INC($C$7:$C$4378,C2850))*9,0)</f>
        <v>5</v>
      </c>
      <c r="G2850" s="1" t="n">
        <f aca="false">ROUND(_xlfn.PERCENTRANK.INC($D$7:$D$4378,D2850)*9,0)</f>
        <v>9</v>
      </c>
      <c r="H2850" s="1" t="n">
        <f aca="false">ROUND(_xlfn.PERCENTRANK.INC($E$7:$E$4378,E2850)*9,0)</f>
        <v>9</v>
      </c>
      <c r="I2850" s="1" t="str">
        <f aca="false">CONCATENATE(F2850,G2850,H2850)</f>
        <v>599</v>
      </c>
      <c r="J2850" s="1" t="str">
        <f aca="false">_xlfn.IFS(AND(F2850&gt;=8,G2850&gt;=8,H2850&gt;=8),"CHAMPION",AND(F2850&gt;=6,G2850&gt;=7,H2850&gt;=6),"LOYAL CUSTOMER",AND(F2850&gt;=6,G2850&gt;=5,H2850&gt;=5),"POTENTIAL LOYALIST",AND(F2850&gt;=8,G2850&lt;=2,H2850&gt;=5),"NEW CUSTOMERS",AND(F2850&gt;=6,G2850&lt;=2,H2850&gt;=3),"PROMISING",AND(F2850&gt;=3,G2850&gt;=3,H2850&gt;=3),"NEED ATTENTION",AND(F2850&lt;=4,G2850&gt;=6,H2850&gt;=6),"AT RISK",AND(F2850&lt;=2,G2850&gt;=8,H2850&gt;=8),"CAN'T LOSE THEM",AND(F2850&lt;=2,G2850&lt;=2,H2850&lt;=2),"HIBERNATING",TRUE(),"Other")</f>
        <v>NEED ATTENTION</v>
      </c>
      <c r="K2850" s="1" t="n">
        <f aca="false">RANK(E2850,$E$7:$E$4378)+COUNTIF($E$7:E2850,E2850)-1</f>
        <v>160</v>
      </c>
    </row>
    <row r="2851" customFormat="false" ht="14.25" hidden="false" customHeight="true" outlineLevel="0" collapsed="false">
      <c r="A2851" s="51" t="n">
        <v>16188</v>
      </c>
      <c r="B2851" s="53" t="n">
        <v>40842.5131944444</v>
      </c>
      <c r="C2851" s="57" t="n">
        <f aca="false">INT($C$2)-INT(Table3[[#This Row],[Last Purchase Date]])</f>
        <v>45</v>
      </c>
      <c r="D2851" s="1" t="n">
        <v>4</v>
      </c>
      <c r="E2851" s="1" t="n">
        <v>981.86</v>
      </c>
      <c r="F2851" s="1" t="n">
        <f aca="false">ROUND((1-_xlfn.PERCENTRANK.INC($C$7:$C$4378,C2851))*9,0)</f>
        <v>5</v>
      </c>
      <c r="G2851" s="1" t="n">
        <f aca="false">ROUND(_xlfn.PERCENTRANK.INC($D$7:$D$4378,D2851)*9,0)</f>
        <v>5</v>
      </c>
      <c r="H2851" s="1" t="n">
        <f aca="false">ROUND(_xlfn.PERCENTRANK.INC($E$7:$E$4378,E2851)*9,0)</f>
        <v>6</v>
      </c>
      <c r="I2851" s="1" t="str">
        <f aca="false">CONCATENATE(F2851,G2851,H2851)</f>
        <v>556</v>
      </c>
      <c r="J2851" s="1" t="str">
        <f aca="false">_xlfn.IFS(AND(F2851&gt;=8,G2851&gt;=8,H2851&gt;=8),"CHAMPION",AND(F2851&gt;=6,G2851&gt;=7,H2851&gt;=6),"LOYAL CUSTOMER",AND(F2851&gt;=6,G2851&gt;=5,H2851&gt;=5),"POTENTIAL LOYALIST",AND(F2851&gt;=8,G2851&lt;=2,H2851&gt;=5),"NEW CUSTOMERS",AND(F2851&gt;=6,G2851&lt;=2,H2851&gt;=3),"PROMISING",AND(F2851&gt;=3,G2851&gt;=3,H2851&gt;=3),"NEED ATTENTION",AND(F2851&lt;=4,G2851&gt;=6,H2851&gt;=6),"AT RISK",AND(F2851&lt;=2,G2851&gt;=8,H2851&gt;=8),"CAN'T LOSE THEM",AND(F2851&lt;=2,G2851&lt;=2,H2851&lt;=2),"HIBERNATING",TRUE(),"Other")</f>
        <v>NEED ATTENTION</v>
      </c>
      <c r="K2851" s="1" t="n">
        <f aca="false">RANK(E2851,$E$7:$E$4378)+COUNTIF($E$7:E2851,E2851)-1</f>
        <v>1659</v>
      </c>
    </row>
    <row r="2852" customFormat="false" ht="14.25" hidden="false" customHeight="true" outlineLevel="0" collapsed="false">
      <c r="A2852" s="51" t="n">
        <v>16189</v>
      </c>
      <c r="B2852" s="53" t="n">
        <v>40871.4909722222</v>
      </c>
      <c r="C2852" s="57" t="n">
        <f aca="false">INT($C$2)-INT(Table3[[#This Row],[Last Purchase Date]])</f>
        <v>16</v>
      </c>
      <c r="D2852" s="1" t="n">
        <v>2</v>
      </c>
      <c r="E2852" s="1" t="n">
        <v>215.48</v>
      </c>
      <c r="F2852" s="1" t="n">
        <f aca="false">ROUND((1-_xlfn.PERCENTRANK.INC($C$7:$C$4378,C2852))*9,0)</f>
        <v>7</v>
      </c>
      <c r="G2852" s="1" t="n">
        <f aca="false">ROUND(_xlfn.PERCENTRANK.INC($D$7:$D$4378,D2852)*9,0)</f>
        <v>3</v>
      </c>
      <c r="H2852" s="1" t="n">
        <f aca="false">ROUND(_xlfn.PERCENTRANK.INC($E$7:$E$4378,E2852)*9,0)</f>
        <v>2</v>
      </c>
      <c r="I2852" s="1" t="str">
        <f aca="false">CONCATENATE(F2852,G2852,H2852)</f>
        <v>732</v>
      </c>
      <c r="J2852" s="1" t="str">
        <f aca="false">_xlfn.IFS(AND(F2852&gt;=8,G2852&gt;=8,H2852&gt;=8),"CHAMPION",AND(F2852&gt;=6,G2852&gt;=7,H2852&gt;=6),"LOYAL CUSTOMER",AND(F2852&gt;=6,G2852&gt;=5,H2852&gt;=5),"POTENTIAL LOYALIST",AND(F2852&gt;=8,G2852&lt;=2,H2852&gt;=5),"NEW CUSTOMERS",AND(F2852&gt;=6,G2852&lt;=2,H2852&gt;=3),"PROMISING",AND(F2852&gt;=3,G2852&gt;=3,H2852&gt;=3),"NEED ATTENTION",AND(F2852&lt;=4,G2852&gt;=6,H2852&gt;=6),"AT RISK",AND(F2852&lt;=2,G2852&gt;=8,H2852&gt;=8),"CAN'T LOSE THEM",AND(F2852&lt;=2,G2852&lt;=2,H2852&lt;=2),"HIBERNATING",TRUE(),"Other")</f>
        <v>Other</v>
      </c>
      <c r="K2852" s="1" t="n">
        <f aca="false">RANK(E2852,$E$7:$E$4378)+COUNTIF($E$7:E2852,E2852)-1</f>
        <v>3585</v>
      </c>
    </row>
    <row r="2853" customFormat="false" ht="14.25" hidden="false" customHeight="true" outlineLevel="0" collapsed="false">
      <c r="A2853" s="51" t="n">
        <v>16190</v>
      </c>
      <c r="B2853" s="53" t="n">
        <v>40846.6659722222</v>
      </c>
      <c r="C2853" s="57" t="n">
        <f aca="false">INT($C$2)-INT(Table3[[#This Row],[Last Purchase Date]])</f>
        <v>41</v>
      </c>
      <c r="D2853" s="1" t="n">
        <v>1</v>
      </c>
      <c r="E2853" s="1" t="n">
        <v>215.08</v>
      </c>
      <c r="F2853" s="1" t="n">
        <f aca="false">ROUND((1-_xlfn.PERCENTRANK.INC($C$7:$C$4378,C2853))*9,0)</f>
        <v>5</v>
      </c>
      <c r="G2853" s="1" t="n">
        <f aca="false">ROUND(_xlfn.PERCENTRANK.INC($D$7:$D$4378,D2853)*9,0)</f>
        <v>0</v>
      </c>
      <c r="H2853" s="1" t="n">
        <f aca="false">ROUND(_xlfn.PERCENTRANK.INC($E$7:$E$4378,E2853)*9,0)</f>
        <v>2</v>
      </c>
      <c r="I2853" s="1" t="str">
        <f aca="false">CONCATENATE(F2853,G2853,H2853)</f>
        <v>502</v>
      </c>
      <c r="J2853" s="1" t="str">
        <f aca="false">_xlfn.IFS(AND(F2853&gt;=8,G2853&gt;=8,H2853&gt;=8),"CHAMPION",AND(F2853&gt;=6,G2853&gt;=7,H2853&gt;=6),"LOYAL CUSTOMER",AND(F2853&gt;=6,G2853&gt;=5,H2853&gt;=5),"POTENTIAL LOYALIST",AND(F2853&gt;=8,G2853&lt;=2,H2853&gt;=5),"NEW CUSTOMERS",AND(F2853&gt;=6,G2853&lt;=2,H2853&gt;=3),"PROMISING",AND(F2853&gt;=3,G2853&gt;=3,H2853&gt;=3),"NEED ATTENTION",AND(F2853&lt;=4,G2853&gt;=6,H2853&gt;=6),"AT RISK",AND(F2853&lt;=2,G2853&gt;=8,H2853&gt;=8),"CAN'T LOSE THEM",AND(F2853&lt;=2,G2853&lt;=2,H2853&lt;=2),"HIBERNATING",TRUE(),"Other")</f>
        <v>Other</v>
      </c>
      <c r="K2853" s="1" t="n">
        <f aca="false">RANK(E2853,$E$7:$E$4378)+COUNTIF($E$7:E2853,E2853)-1</f>
        <v>3586</v>
      </c>
    </row>
    <row r="2854" customFormat="false" ht="14.25" hidden="false" customHeight="true" outlineLevel="0" collapsed="false">
      <c r="A2854" s="51" t="n">
        <v>16191</v>
      </c>
      <c r="B2854" s="53" t="n">
        <v>40884.4763888889</v>
      </c>
      <c r="C2854" s="57" t="n">
        <f aca="false">INT($C$2)-INT(Table3[[#This Row],[Last Purchase Date]])</f>
        <v>3</v>
      </c>
      <c r="D2854" s="1" t="n">
        <v>25</v>
      </c>
      <c r="E2854" s="1" t="n">
        <v>4913.32</v>
      </c>
      <c r="F2854" s="1" t="n">
        <f aca="false">ROUND((1-_xlfn.PERCENTRANK.INC($C$7:$C$4378,C2854))*9,0)</f>
        <v>9</v>
      </c>
      <c r="G2854" s="1" t="n">
        <f aca="false">ROUND(_xlfn.PERCENTRANK.INC($D$7:$D$4378,D2854)*9,0)</f>
        <v>9</v>
      </c>
      <c r="H2854" s="1" t="n">
        <f aca="false">ROUND(_xlfn.PERCENTRANK.INC($E$7:$E$4378,E2854)*9,0)</f>
        <v>8</v>
      </c>
      <c r="I2854" s="1" t="str">
        <f aca="false">CONCATENATE(F2854,G2854,H2854)</f>
        <v>998</v>
      </c>
      <c r="J2854" s="1" t="str">
        <f aca="false">_xlfn.IFS(AND(F2854&gt;=8,G2854&gt;=8,H2854&gt;=8),"CHAMPION",AND(F2854&gt;=6,G2854&gt;=7,H2854&gt;=6),"LOYAL CUSTOMER",AND(F2854&gt;=6,G2854&gt;=5,H2854&gt;=5),"POTENTIAL LOYALIST",AND(F2854&gt;=8,G2854&lt;=2,H2854&gt;=5),"NEW CUSTOMERS",AND(F2854&gt;=6,G2854&lt;=2,H2854&gt;=3),"PROMISING",AND(F2854&gt;=3,G2854&gt;=3,H2854&gt;=3),"NEED ATTENTION",AND(F2854&lt;=4,G2854&gt;=6,H2854&gt;=6),"AT RISK",AND(F2854&lt;=2,G2854&gt;=8,H2854&gt;=8),"CAN'T LOSE THEM",AND(F2854&lt;=2,G2854&lt;=2,H2854&lt;=2),"HIBERNATING",TRUE(),"Other")</f>
        <v>CHAMPION</v>
      </c>
      <c r="K2854" s="1" t="n">
        <f aca="false">RANK(E2854,$E$7:$E$4378)+COUNTIF($E$7:E2854,E2854)-1</f>
        <v>267</v>
      </c>
    </row>
    <row r="2855" customFormat="false" ht="14.25" hidden="false" customHeight="true" outlineLevel="0" collapsed="false">
      <c r="A2855" s="51" t="n">
        <v>16193</v>
      </c>
      <c r="B2855" s="53" t="n">
        <v>40650.4895833333</v>
      </c>
      <c r="C2855" s="57" t="n">
        <f aca="false">INT($C$2)-INT(Table3[[#This Row],[Last Purchase Date]])</f>
        <v>237</v>
      </c>
      <c r="D2855" s="1" t="n">
        <v>1</v>
      </c>
      <c r="E2855" s="1" t="n">
        <v>314.45</v>
      </c>
      <c r="F2855" s="1" t="n">
        <f aca="false">ROUND((1-_xlfn.PERCENTRANK.INC($C$7:$C$4378,C2855))*9,0)</f>
        <v>1</v>
      </c>
      <c r="G2855" s="1" t="n">
        <f aca="false">ROUND(_xlfn.PERCENTRANK.INC($D$7:$D$4378,D2855)*9,0)</f>
        <v>0</v>
      </c>
      <c r="H2855" s="1" t="n">
        <f aca="false">ROUND(_xlfn.PERCENTRANK.INC($E$7:$E$4378,E2855)*9,0)</f>
        <v>2</v>
      </c>
      <c r="I2855" s="1" t="str">
        <f aca="false">CONCATENATE(F2855,G2855,H2855)</f>
        <v>102</v>
      </c>
      <c r="J2855" s="1" t="str">
        <f aca="false">_xlfn.IFS(AND(F2855&gt;=8,G2855&gt;=8,H2855&gt;=8),"CHAMPION",AND(F2855&gt;=6,G2855&gt;=7,H2855&gt;=6),"LOYAL CUSTOMER",AND(F2855&gt;=6,G2855&gt;=5,H2855&gt;=5),"POTENTIAL LOYALIST",AND(F2855&gt;=8,G2855&lt;=2,H2855&gt;=5),"NEW CUSTOMERS",AND(F2855&gt;=6,G2855&lt;=2,H2855&gt;=3),"PROMISING",AND(F2855&gt;=3,G2855&gt;=3,H2855&gt;=3),"NEED ATTENTION",AND(F2855&lt;=4,G2855&gt;=6,H2855&gt;=6),"AT RISK",AND(F2855&lt;=2,G2855&gt;=8,H2855&gt;=8),"CAN'T LOSE THEM",AND(F2855&lt;=2,G2855&lt;=2,H2855&lt;=2),"HIBERNATING",TRUE(),"Other")</f>
        <v>HIBERNATING</v>
      </c>
      <c r="K2855" s="1" t="n">
        <f aca="false">RANK(E2855,$E$7:$E$4378)+COUNTIF($E$7:E2855,E2855)-1</f>
        <v>3166</v>
      </c>
    </row>
    <row r="2856" customFormat="false" ht="14.25" hidden="false" customHeight="true" outlineLevel="0" collapsed="false">
      <c r="A2856" s="51" t="n">
        <v>16198</v>
      </c>
      <c r="B2856" s="53" t="n">
        <v>40811.6236111111</v>
      </c>
      <c r="C2856" s="57" t="n">
        <f aca="false">INT($C$2)-INT(Table3[[#This Row],[Last Purchase Date]])</f>
        <v>76</v>
      </c>
      <c r="D2856" s="1" t="n">
        <v>1</v>
      </c>
      <c r="E2856" s="1" t="n">
        <v>400.681</v>
      </c>
      <c r="F2856" s="1" t="n">
        <f aca="false">ROUND((1-_xlfn.PERCENTRANK.INC($C$7:$C$4378,C2856))*9,0)</f>
        <v>3</v>
      </c>
      <c r="G2856" s="1" t="n">
        <f aca="false">ROUND(_xlfn.PERCENTRANK.INC($D$7:$D$4378,D2856)*9,0)</f>
        <v>0</v>
      </c>
      <c r="H2856" s="1" t="n">
        <f aca="false">ROUND(_xlfn.PERCENTRANK.INC($E$7:$E$4378,E2856)*9,0)</f>
        <v>3</v>
      </c>
      <c r="I2856" s="1" t="str">
        <f aca="false">CONCATENATE(F2856,G2856,H2856)</f>
        <v>303</v>
      </c>
      <c r="J2856" s="1" t="str">
        <f aca="false">_xlfn.IFS(AND(F2856&gt;=8,G2856&gt;=8,H2856&gt;=8),"CHAMPION",AND(F2856&gt;=6,G2856&gt;=7,H2856&gt;=6),"LOYAL CUSTOMER",AND(F2856&gt;=6,G2856&gt;=5,H2856&gt;=5),"POTENTIAL LOYALIST",AND(F2856&gt;=8,G2856&lt;=2,H2856&gt;=5),"NEW CUSTOMERS",AND(F2856&gt;=6,G2856&lt;=2,H2856&gt;=3),"PROMISING",AND(F2856&gt;=3,G2856&gt;=3,H2856&gt;=3),"NEED ATTENTION",AND(F2856&lt;=4,G2856&gt;=6,H2856&gt;=6),"AT RISK",AND(F2856&lt;=2,G2856&gt;=8,H2856&gt;=8),"CAN'T LOSE THEM",AND(F2856&lt;=2,G2856&lt;=2,H2856&lt;=2),"HIBERNATING",TRUE(),"Other")</f>
        <v>Other</v>
      </c>
      <c r="K2856" s="1" t="n">
        <f aca="false">RANK(E2856,$E$7:$E$4378)+COUNTIF($E$7:E2856,E2856)-1</f>
        <v>2816</v>
      </c>
    </row>
    <row r="2857" customFormat="false" ht="14.25" hidden="false" customHeight="true" outlineLevel="0" collapsed="false">
      <c r="A2857" s="51" t="n">
        <v>16200</v>
      </c>
      <c r="B2857" s="53" t="n">
        <v>40882.6111111111</v>
      </c>
      <c r="C2857" s="57" t="n">
        <f aca="false">INT($C$2)-INT(Table3[[#This Row],[Last Purchase Date]])</f>
        <v>5</v>
      </c>
      <c r="D2857" s="1" t="n">
        <v>2</v>
      </c>
      <c r="E2857" s="1" t="n">
        <v>1080.62</v>
      </c>
      <c r="F2857" s="1" t="n">
        <f aca="false">ROUND((1-_xlfn.PERCENTRANK.INC($C$7:$C$4378,C2857))*9,0)</f>
        <v>8</v>
      </c>
      <c r="G2857" s="1" t="n">
        <f aca="false">ROUND(_xlfn.PERCENTRANK.INC($D$7:$D$4378,D2857)*9,0)</f>
        <v>3</v>
      </c>
      <c r="H2857" s="1" t="n">
        <f aca="false">ROUND(_xlfn.PERCENTRANK.INC($E$7:$E$4378,E2857)*9,0)</f>
        <v>6</v>
      </c>
      <c r="I2857" s="1" t="str">
        <f aca="false">CONCATENATE(F2857,G2857,H2857)</f>
        <v>836</v>
      </c>
      <c r="J2857" s="1" t="str">
        <f aca="false">_xlfn.IFS(AND(F2857&gt;=8,G2857&gt;=8,H2857&gt;=8),"CHAMPION",AND(F2857&gt;=6,G2857&gt;=7,H2857&gt;=6),"LOYAL CUSTOMER",AND(F2857&gt;=6,G2857&gt;=5,H2857&gt;=5),"POTENTIAL LOYALIST",AND(F2857&gt;=8,G2857&lt;=2,H2857&gt;=5),"NEW CUSTOMERS",AND(F2857&gt;=6,G2857&lt;=2,H2857&gt;=3),"PROMISING",AND(F2857&gt;=3,G2857&gt;=3,H2857&gt;=3),"NEED ATTENTION",AND(F2857&lt;=4,G2857&gt;=6,H2857&gt;=6),"AT RISK",AND(F2857&lt;=2,G2857&gt;=8,H2857&gt;=8),"CAN'T LOSE THEM",AND(F2857&lt;=2,G2857&lt;=2,H2857&lt;=2),"HIBERNATING",TRUE(),"Other")</f>
        <v>NEED ATTENTION</v>
      </c>
      <c r="K2857" s="1" t="n">
        <f aca="false">RANK(E2857,$E$7:$E$4378)+COUNTIF($E$7:E2857,E2857)-1</f>
        <v>1528</v>
      </c>
    </row>
    <row r="2858" customFormat="false" ht="14.25" hidden="false" customHeight="true" outlineLevel="0" collapsed="false">
      <c r="A2858" s="51" t="n">
        <v>16201</v>
      </c>
      <c r="B2858" s="53" t="n">
        <v>40883.6680555556</v>
      </c>
      <c r="C2858" s="57" t="n">
        <f aca="false">INT($C$2)-INT(Table3[[#This Row],[Last Purchase Date]])</f>
        <v>4</v>
      </c>
      <c r="D2858" s="1" t="n">
        <v>5</v>
      </c>
      <c r="E2858" s="1" t="n">
        <v>1821.52</v>
      </c>
      <c r="F2858" s="1" t="n">
        <f aca="false">ROUND((1-_xlfn.PERCENTRANK.INC($C$7:$C$4378,C2858))*9,0)</f>
        <v>8</v>
      </c>
      <c r="G2858" s="1" t="n">
        <f aca="false">ROUND(_xlfn.PERCENTRANK.INC($D$7:$D$4378,D2858)*9,0)</f>
        <v>6</v>
      </c>
      <c r="H2858" s="1" t="n">
        <f aca="false">ROUND(_xlfn.PERCENTRANK.INC($E$7:$E$4378,E2858)*9,0)</f>
        <v>7</v>
      </c>
      <c r="I2858" s="1" t="str">
        <f aca="false">CONCATENATE(F2858,G2858,H2858)</f>
        <v>867</v>
      </c>
      <c r="J2858" s="1" t="str">
        <f aca="false">_xlfn.IFS(AND(F2858&gt;=8,G2858&gt;=8,H2858&gt;=8),"CHAMPION",AND(F2858&gt;=6,G2858&gt;=7,H2858&gt;=6),"LOYAL CUSTOMER",AND(F2858&gt;=6,G2858&gt;=5,H2858&gt;=5),"POTENTIAL LOYALIST",AND(F2858&gt;=8,G2858&lt;=2,H2858&gt;=5),"NEW CUSTOMERS",AND(F2858&gt;=6,G2858&lt;=2,H2858&gt;=3),"PROMISING",AND(F2858&gt;=3,G2858&gt;=3,H2858&gt;=3),"NEED ATTENTION",AND(F2858&lt;=4,G2858&gt;=6,H2858&gt;=6),"AT RISK",AND(F2858&lt;=2,G2858&gt;=8,H2858&gt;=8),"CAN'T LOSE THEM",AND(F2858&lt;=2,G2858&lt;=2,H2858&lt;=2),"HIBERNATING",TRUE(),"Other")</f>
        <v>POTENTIAL LOYALIST</v>
      </c>
      <c r="K2858" s="1" t="n">
        <f aca="false">RANK(E2858,$E$7:$E$4378)+COUNTIF($E$7:E2858,E2858)-1</f>
        <v>965</v>
      </c>
    </row>
    <row r="2859" customFormat="false" ht="14.25" hidden="false" customHeight="true" outlineLevel="0" collapsed="false">
      <c r="A2859" s="51" t="n">
        <v>16202</v>
      </c>
      <c r="B2859" s="53" t="n">
        <v>40526.4465277778</v>
      </c>
      <c r="C2859" s="57" t="n">
        <f aca="false">INT($C$2)-INT(Table3[[#This Row],[Last Purchase Date]])</f>
        <v>361</v>
      </c>
      <c r="D2859" s="1" t="n">
        <v>1</v>
      </c>
      <c r="E2859" s="1" t="n">
        <v>365.27</v>
      </c>
      <c r="F2859" s="1" t="n">
        <f aca="false">ROUND((1-_xlfn.PERCENTRANK.INC($C$7:$C$4378,C2859))*9,0)</f>
        <v>0</v>
      </c>
      <c r="G2859" s="1" t="n">
        <f aca="false">ROUND(_xlfn.PERCENTRANK.INC($D$7:$D$4378,D2859)*9,0)</f>
        <v>0</v>
      </c>
      <c r="H2859" s="1" t="n">
        <f aca="false">ROUND(_xlfn.PERCENTRANK.INC($E$7:$E$4378,E2859)*9,0)</f>
        <v>3</v>
      </c>
      <c r="I2859" s="1" t="str">
        <f aca="false">CONCATENATE(F2859,G2859,H2859)</f>
        <v>003</v>
      </c>
      <c r="J2859" s="1" t="str">
        <f aca="false">_xlfn.IFS(AND(F2859&gt;=8,G2859&gt;=8,H2859&gt;=8),"CHAMPION",AND(F2859&gt;=6,G2859&gt;=7,H2859&gt;=6),"LOYAL CUSTOMER",AND(F2859&gt;=6,G2859&gt;=5,H2859&gt;=5),"POTENTIAL LOYALIST",AND(F2859&gt;=8,G2859&lt;=2,H2859&gt;=5),"NEW CUSTOMERS",AND(F2859&gt;=6,G2859&lt;=2,H2859&gt;=3),"PROMISING",AND(F2859&gt;=3,G2859&gt;=3,H2859&gt;=3),"NEED ATTENTION",AND(F2859&lt;=4,G2859&gt;=6,H2859&gt;=6),"AT RISK",AND(F2859&lt;=2,G2859&gt;=8,H2859&gt;=8),"CAN'T LOSE THEM",AND(F2859&lt;=2,G2859&lt;=2,H2859&lt;=2),"HIBERNATING",TRUE(),"Other")</f>
        <v>Other</v>
      </c>
      <c r="K2859" s="1" t="n">
        <f aca="false">RANK(E2859,$E$7:$E$4378)+COUNTIF($E$7:E2859,E2859)-1</f>
        <v>2937</v>
      </c>
    </row>
    <row r="2860" customFormat="false" ht="14.25" hidden="false" customHeight="true" outlineLevel="0" collapsed="false">
      <c r="A2860" s="51" t="n">
        <v>16203</v>
      </c>
      <c r="B2860" s="53" t="n">
        <v>40828.5215277778</v>
      </c>
      <c r="C2860" s="57" t="n">
        <f aca="false">INT($C$2)-INT(Table3[[#This Row],[Last Purchase Date]])</f>
        <v>59</v>
      </c>
      <c r="D2860" s="1" t="n">
        <v>5</v>
      </c>
      <c r="E2860" s="1" t="n">
        <v>589.15</v>
      </c>
      <c r="F2860" s="1" t="n">
        <f aca="false">ROUND((1-_xlfn.PERCENTRANK.INC($C$7:$C$4378,C2860))*9,0)</f>
        <v>4</v>
      </c>
      <c r="G2860" s="1" t="n">
        <f aca="false">ROUND(_xlfn.PERCENTRANK.INC($D$7:$D$4378,D2860)*9,0)</f>
        <v>6</v>
      </c>
      <c r="H2860" s="1" t="n">
        <f aca="false">ROUND(_xlfn.PERCENTRANK.INC($E$7:$E$4378,E2860)*9,0)</f>
        <v>4</v>
      </c>
      <c r="I2860" s="1" t="str">
        <f aca="false">CONCATENATE(F2860,G2860,H2860)</f>
        <v>464</v>
      </c>
      <c r="J2860" s="1" t="str">
        <f aca="false">_xlfn.IFS(AND(F2860&gt;=8,G2860&gt;=8,H2860&gt;=8),"CHAMPION",AND(F2860&gt;=6,G2860&gt;=7,H2860&gt;=6),"LOYAL CUSTOMER",AND(F2860&gt;=6,G2860&gt;=5,H2860&gt;=5),"POTENTIAL LOYALIST",AND(F2860&gt;=8,G2860&lt;=2,H2860&gt;=5),"NEW CUSTOMERS",AND(F2860&gt;=6,G2860&lt;=2,H2860&gt;=3),"PROMISING",AND(F2860&gt;=3,G2860&gt;=3,H2860&gt;=3),"NEED ATTENTION",AND(F2860&lt;=4,G2860&gt;=6,H2860&gt;=6),"AT RISK",AND(F2860&lt;=2,G2860&gt;=8,H2860&gt;=8),"CAN'T LOSE THEM",AND(F2860&lt;=2,G2860&lt;=2,H2860&lt;=2),"HIBERNATING",TRUE(),"Other")</f>
        <v>NEED ATTENTION</v>
      </c>
      <c r="K2860" s="1" t="n">
        <f aca="false">RANK(E2860,$E$7:$E$4378)+COUNTIF($E$7:E2860,E2860)-1</f>
        <v>2350</v>
      </c>
    </row>
    <row r="2861" customFormat="false" ht="14.25" hidden="false" customHeight="true" outlineLevel="0" collapsed="false">
      <c r="A2861" s="51" t="n">
        <v>16204</v>
      </c>
      <c r="B2861" s="53" t="n">
        <v>40863.5694444445</v>
      </c>
      <c r="C2861" s="57" t="n">
        <f aca="false">INT($C$2)-INT(Table3[[#This Row],[Last Purchase Date]])</f>
        <v>24</v>
      </c>
      <c r="D2861" s="1" t="n">
        <v>1</v>
      </c>
      <c r="E2861" s="1" t="n">
        <v>405.71</v>
      </c>
      <c r="F2861" s="1" t="n">
        <f aca="false">ROUND((1-_xlfn.PERCENTRANK.INC($C$7:$C$4378,C2861))*9,0)</f>
        <v>6</v>
      </c>
      <c r="G2861" s="1" t="n">
        <f aca="false">ROUND(_xlfn.PERCENTRANK.INC($D$7:$D$4378,D2861)*9,0)</f>
        <v>0</v>
      </c>
      <c r="H2861" s="1" t="n">
        <f aca="false">ROUND(_xlfn.PERCENTRANK.INC($E$7:$E$4378,E2861)*9,0)</f>
        <v>3</v>
      </c>
      <c r="I2861" s="1" t="str">
        <f aca="false">CONCATENATE(F2861,G2861,H2861)</f>
        <v>603</v>
      </c>
      <c r="J2861" s="1" t="str">
        <f aca="false">_xlfn.IFS(AND(F2861&gt;=8,G2861&gt;=8,H2861&gt;=8),"CHAMPION",AND(F2861&gt;=6,G2861&gt;=7,H2861&gt;=6),"LOYAL CUSTOMER",AND(F2861&gt;=6,G2861&gt;=5,H2861&gt;=5),"POTENTIAL LOYALIST",AND(F2861&gt;=8,G2861&lt;=2,H2861&gt;=5),"NEW CUSTOMERS",AND(F2861&gt;=6,G2861&lt;=2,H2861&gt;=3),"PROMISING",AND(F2861&gt;=3,G2861&gt;=3,H2861&gt;=3),"NEED ATTENTION",AND(F2861&lt;=4,G2861&gt;=6,H2861&gt;=6),"AT RISK",AND(F2861&lt;=2,G2861&gt;=8,H2861&gt;=8),"CAN'T LOSE THEM",AND(F2861&lt;=2,G2861&lt;=2,H2861&lt;=2),"HIBERNATING",TRUE(),"Other")</f>
        <v>PROMISING</v>
      </c>
      <c r="K2861" s="1" t="n">
        <f aca="false">RANK(E2861,$E$7:$E$4378)+COUNTIF($E$7:E2861,E2861)-1</f>
        <v>2805</v>
      </c>
    </row>
    <row r="2862" customFormat="false" ht="14.25" hidden="false" customHeight="true" outlineLevel="0" collapsed="false">
      <c r="A2862" s="51" t="n">
        <v>16205</v>
      </c>
      <c r="B2862" s="53" t="n">
        <v>40856.3972222222</v>
      </c>
      <c r="C2862" s="57" t="n">
        <f aca="false">INT($C$2)-INT(Table3[[#This Row],[Last Purchase Date]])</f>
        <v>31</v>
      </c>
      <c r="D2862" s="1" t="n">
        <v>4</v>
      </c>
      <c r="E2862" s="1" t="n">
        <v>761.38</v>
      </c>
      <c r="F2862" s="1" t="n">
        <f aca="false">ROUND((1-_xlfn.PERCENTRANK.INC($C$7:$C$4378,C2862))*9,0)</f>
        <v>6</v>
      </c>
      <c r="G2862" s="1" t="n">
        <f aca="false">ROUND(_xlfn.PERCENTRANK.INC($D$7:$D$4378,D2862)*9,0)</f>
        <v>5</v>
      </c>
      <c r="H2862" s="1" t="n">
        <f aca="false">ROUND(_xlfn.PERCENTRANK.INC($E$7:$E$4378,E2862)*9,0)</f>
        <v>5</v>
      </c>
      <c r="I2862" s="1" t="str">
        <f aca="false">CONCATENATE(F2862,G2862,H2862)</f>
        <v>655</v>
      </c>
      <c r="J2862" s="1" t="str">
        <f aca="false">_xlfn.IFS(AND(F2862&gt;=8,G2862&gt;=8,H2862&gt;=8),"CHAMPION",AND(F2862&gt;=6,G2862&gt;=7,H2862&gt;=6),"LOYAL CUSTOMER",AND(F2862&gt;=6,G2862&gt;=5,H2862&gt;=5),"POTENTIAL LOYALIST",AND(F2862&gt;=8,G2862&lt;=2,H2862&gt;=5),"NEW CUSTOMERS",AND(F2862&gt;=6,G2862&lt;=2,H2862&gt;=3),"PROMISING",AND(F2862&gt;=3,G2862&gt;=3,H2862&gt;=3),"NEED ATTENTION",AND(F2862&lt;=4,G2862&gt;=6,H2862&gt;=6),"AT RISK",AND(F2862&lt;=2,G2862&gt;=8,H2862&gt;=8),"CAN'T LOSE THEM",AND(F2862&lt;=2,G2862&lt;=2,H2862&lt;=2),"HIBERNATING",TRUE(),"Other")</f>
        <v>POTENTIAL LOYALIST</v>
      </c>
      <c r="K2862" s="1" t="n">
        <f aca="false">RANK(E2862,$E$7:$E$4378)+COUNTIF($E$7:E2862,E2862)-1</f>
        <v>1963</v>
      </c>
    </row>
    <row r="2863" customFormat="false" ht="14.25" hidden="false" customHeight="true" outlineLevel="0" collapsed="false">
      <c r="A2863" s="51" t="n">
        <v>16206</v>
      </c>
      <c r="B2863" s="53" t="n">
        <v>40832.4451388889</v>
      </c>
      <c r="C2863" s="57" t="n">
        <f aca="false">INT($C$2)-INT(Table3[[#This Row],[Last Purchase Date]])</f>
        <v>55</v>
      </c>
      <c r="D2863" s="1" t="n">
        <v>4</v>
      </c>
      <c r="E2863" s="1" t="n">
        <v>537.06</v>
      </c>
      <c r="F2863" s="1" t="n">
        <f aca="false">ROUND((1-_xlfn.PERCENTRANK.INC($C$7:$C$4378,C2863))*9,0)</f>
        <v>4</v>
      </c>
      <c r="G2863" s="1" t="n">
        <f aca="false">ROUND(_xlfn.PERCENTRANK.INC($D$7:$D$4378,D2863)*9,0)</f>
        <v>5</v>
      </c>
      <c r="H2863" s="1" t="n">
        <f aca="false">ROUND(_xlfn.PERCENTRANK.INC($E$7:$E$4378,E2863)*9,0)</f>
        <v>4</v>
      </c>
      <c r="I2863" s="1" t="str">
        <f aca="false">CONCATENATE(F2863,G2863,H2863)</f>
        <v>454</v>
      </c>
      <c r="J2863" s="1" t="str">
        <f aca="false">_xlfn.IFS(AND(F2863&gt;=8,G2863&gt;=8,H2863&gt;=8),"CHAMPION",AND(F2863&gt;=6,G2863&gt;=7,H2863&gt;=6),"LOYAL CUSTOMER",AND(F2863&gt;=6,G2863&gt;=5,H2863&gt;=5),"POTENTIAL LOYALIST",AND(F2863&gt;=8,G2863&lt;=2,H2863&gt;=5),"NEW CUSTOMERS",AND(F2863&gt;=6,G2863&lt;=2,H2863&gt;=3),"PROMISING",AND(F2863&gt;=3,G2863&gt;=3,H2863&gt;=3),"NEED ATTENTION",AND(F2863&lt;=4,G2863&gt;=6,H2863&gt;=6),"AT RISK",AND(F2863&lt;=2,G2863&gt;=8,H2863&gt;=8),"CAN'T LOSE THEM",AND(F2863&lt;=2,G2863&lt;=2,H2863&lt;=2),"HIBERNATING",TRUE(),"Other")</f>
        <v>NEED ATTENTION</v>
      </c>
      <c r="K2863" s="1" t="n">
        <f aca="false">RANK(E2863,$E$7:$E$4378)+COUNTIF($E$7:E2863,E2863)-1</f>
        <v>2464</v>
      </c>
    </row>
    <row r="2864" customFormat="false" ht="14.25" hidden="false" customHeight="true" outlineLevel="0" collapsed="false">
      <c r="A2864" s="51" t="n">
        <v>16207</v>
      </c>
      <c r="B2864" s="53" t="n">
        <v>40861.5770833333</v>
      </c>
      <c r="C2864" s="57" t="n">
        <f aca="false">INT($C$2)-INT(Table3[[#This Row],[Last Purchase Date]])</f>
        <v>26</v>
      </c>
      <c r="D2864" s="1" t="n">
        <v>1</v>
      </c>
      <c r="E2864" s="1" t="n">
        <v>394.38</v>
      </c>
      <c r="F2864" s="1" t="n">
        <f aca="false">ROUND((1-_xlfn.PERCENTRANK.INC($C$7:$C$4378,C2864))*9,0)</f>
        <v>6</v>
      </c>
      <c r="G2864" s="1" t="n">
        <f aca="false">ROUND(_xlfn.PERCENTRANK.INC($D$7:$D$4378,D2864)*9,0)</f>
        <v>0</v>
      </c>
      <c r="H2864" s="1" t="n">
        <f aca="false">ROUND(_xlfn.PERCENTRANK.INC($E$7:$E$4378,E2864)*9,0)</f>
        <v>3</v>
      </c>
      <c r="I2864" s="1" t="str">
        <f aca="false">CONCATENATE(F2864,G2864,H2864)</f>
        <v>603</v>
      </c>
      <c r="J2864" s="1" t="str">
        <f aca="false">_xlfn.IFS(AND(F2864&gt;=8,G2864&gt;=8,H2864&gt;=8),"CHAMPION",AND(F2864&gt;=6,G2864&gt;=7,H2864&gt;=6),"LOYAL CUSTOMER",AND(F2864&gt;=6,G2864&gt;=5,H2864&gt;=5),"POTENTIAL LOYALIST",AND(F2864&gt;=8,G2864&lt;=2,H2864&gt;=5),"NEW CUSTOMERS",AND(F2864&gt;=6,G2864&lt;=2,H2864&gt;=3),"PROMISING",AND(F2864&gt;=3,G2864&gt;=3,H2864&gt;=3),"NEED ATTENTION",AND(F2864&lt;=4,G2864&gt;=6,H2864&gt;=6),"AT RISK",AND(F2864&lt;=2,G2864&gt;=8,H2864&gt;=8),"CAN'T LOSE THEM",AND(F2864&lt;=2,G2864&lt;=2,H2864&lt;=2),"HIBERNATING",TRUE(),"Other")</f>
        <v>PROMISING</v>
      </c>
      <c r="K2864" s="1" t="n">
        <f aca="false">RANK(E2864,$E$7:$E$4378)+COUNTIF($E$7:E2864,E2864)-1</f>
        <v>2835</v>
      </c>
    </row>
    <row r="2865" customFormat="false" ht="14.25" hidden="false" customHeight="true" outlineLevel="0" collapsed="false">
      <c r="A2865" s="51" t="n">
        <v>16208</v>
      </c>
      <c r="B2865" s="53" t="n">
        <v>40842.4833333333</v>
      </c>
      <c r="C2865" s="57" t="n">
        <f aca="false">INT($C$2)-INT(Table3[[#This Row],[Last Purchase Date]])</f>
        <v>45</v>
      </c>
      <c r="D2865" s="1" t="n">
        <v>2</v>
      </c>
      <c r="E2865" s="1" t="n">
        <v>664.26</v>
      </c>
      <c r="F2865" s="1" t="n">
        <f aca="false">ROUND((1-_xlfn.PERCENTRANK.INC($C$7:$C$4378,C2865))*9,0)</f>
        <v>5</v>
      </c>
      <c r="G2865" s="1" t="n">
        <f aca="false">ROUND(_xlfn.PERCENTRANK.INC($D$7:$D$4378,D2865)*9,0)</f>
        <v>3</v>
      </c>
      <c r="H2865" s="1" t="n">
        <f aca="false">ROUND(_xlfn.PERCENTRANK.INC($E$7:$E$4378,E2865)*9,0)</f>
        <v>5</v>
      </c>
      <c r="I2865" s="1" t="str">
        <f aca="false">CONCATENATE(F2865,G2865,H2865)</f>
        <v>535</v>
      </c>
      <c r="J2865" s="1" t="str">
        <f aca="false">_xlfn.IFS(AND(F2865&gt;=8,G2865&gt;=8,H2865&gt;=8),"CHAMPION",AND(F2865&gt;=6,G2865&gt;=7,H2865&gt;=6),"LOYAL CUSTOMER",AND(F2865&gt;=6,G2865&gt;=5,H2865&gt;=5),"POTENTIAL LOYALIST",AND(F2865&gt;=8,G2865&lt;=2,H2865&gt;=5),"NEW CUSTOMERS",AND(F2865&gt;=6,G2865&lt;=2,H2865&gt;=3),"PROMISING",AND(F2865&gt;=3,G2865&gt;=3,H2865&gt;=3),"NEED ATTENTION",AND(F2865&lt;=4,G2865&gt;=6,H2865&gt;=6),"AT RISK",AND(F2865&lt;=2,G2865&gt;=8,H2865&gt;=8),"CAN'T LOSE THEM",AND(F2865&lt;=2,G2865&lt;=2,H2865&lt;=2),"HIBERNATING",TRUE(),"Other")</f>
        <v>NEED ATTENTION</v>
      </c>
      <c r="K2865" s="1" t="n">
        <f aca="false">RANK(E2865,$E$7:$E$4378)+COUNTIF($E$7:E2865,E2865)-1</f>
        <v>2144</v>
      </c>
    </row>
    <row r="2866" customFormat="false" ht="14.25" hidden="false" customHeight="true" outlineLevel="0" collapsed="false">
      <c r="A2866" s="51" t="n">
        <v>16209</v>
      </c>
      <c r="B2866" s="53" t="n">
        <v>40798.4986111111</v>
      </c>
      <c r="C2866" s="57" t="n">
        <f aca="false">INT($C$2)-INT(Table3[[#This Row],[Last Purchase Date]])</f>
        <v>89</v>
      </c>
      <c r="D2866" s="1" t="n">
        <v>5</v>
      </c>
      <c r="E2866" s="1" t="n">
        <v>2262.62</v>
      </c>
      <c r="F2866" s="1" t="n">
        <f aca="false">ROUND((1-_xlfn.PERCENTRANK.INC($C$7:$C$4378,C2866))*9,0)</f>
        <v>3</v>
      </c>
      <c r="G2866" s="1" t="n">
        <f aca="false">ROUND(_xlfn.PERCENTRANK.INC($D$7:$D$4378,D2866)*9,0)</f>
        <v>6</v>
      </c>
      <c r="H2866" s="1" t="n">
        <f aca="false">ROUND(_xlfn.PERCENTRANK.INC($E$7:$E$4378,E2866)*9,0)</f>
        <v>7</v>
      </c>
      <c r="I2866" s="1" t="str">
        <f aca="false">CONCATENATE(F2866,G2866,H2866)</f>
        <v>367</v>
      </c>
      <c r="J2866" s="1" t="str">
        <f aca="false">_xlfn.IFS(AND(F2866&gt;=8,G2866&gt;=8,H2866&gt;=8),"CHAMPION",AND(F2866&gt;=6,G2866&gt;=7,H2866&gt;=6),"LOYAL CUSTOMER",AND(F2866&gt;=6,G2866&gt;=5,H2866&gt;=5),"POTENTIAL LOYALIST",AND(F2866&gt;=8,G2866&lt;=2,H2866&gt;=5),"NEW CUSTOMERS",AND(F2866&gt;=6,G2866&lt;=2,H2866&gt;=3),"PROMISING",AND(F2866&gt;=3,G2866&gt;=3,H2866&gt;=3),"NEED ATTENTION",AND(F2866&lt;=4,G2866&gt;=6,H2866&gt;=6),"AT RISK",AND(F2866&lt;=2,G2866&gt;=8,H2866&gt;=8),"CAN'T LOSE THEM",AND(F2866&lt;=2,G2866&lt;=2,H2866&lt;=2),"HIBERNATING",TRUE(),"Other")</f>
        <v>NEED ATTENTION</v>
      </c>
      <c r="K2866" s="1" t="n">
        <f aca="false">RANK(E2866,$E$7:$E$4378)+COUNTIF($E$7:E2866,E2866)-1</f>
        <v>760</v>
      </c>
    </row>
    <row r="2867" customFormat="false" ht="14.25" hidden="false" customHeight="true" outlineLevel="0" collapsed="false">
      <c r="A2867" s="51" t="n">
        <v>16210</v>
      </c>
      <c r="B2867" s="53" t="n">
        <v>40885.525</v>
      </c>
      <c r="C2867" s="57" t="n">
        <f aca="false">INT($C$2)-INT(Table3[[#This Row],[Last Purchase Date]])</f>
        <v>2</v>
      </c>
      <c r="D2867" s="1" t="n">
        <v>18</v>
      </c>
      <c r="E2867" s="1" t="n">
        <v>21086.3</v>
      </c>
      <c r="F2867" s="1" t="n">
        <f aca="false">ROUND((1-_xlfn.PERCENTRANK.INC($C$7:$C$4378,C2867))*9,0)</f>
        <v>9</v>
      </c>
      <c r="G2867" s="1" t="n">
        <f aca="false">ROUND(_xlfn.PERCENTRANK.INC($D$7:$D$4378,D2867)*9,0)</f>
        <v>9</v>
      </c>
      <c r="H2867" s="1" t="n">
        <f aca="false">ROUND(_xlfn.PERCENTRANK.INC($E$7:$E$4378,E2867)*9,0)</f>
        <v>9</v>
      </c>
      <c r="I2867" s="1" t="str">
        <f aca="false">CONCATENATE(F2867,G2867,H2867)</f>
        <v>999</v>
      </c>
      <c r="J2867" s="1" t="str">
        <f aca="false">_xlfn.IFS(AND(F2867&gt;=8,G2867&gt;=8,H2867&gt;=8),"CHAMPION",AND(F2867&gt;=6,G2867&gt;=7,H2867&gt;=6),"LOYAL CUSTOMER",AND(F2867&gt;=6,G2867&gt;=5,H2867&gt;=5),"POTENTIAL LOYALIST",AND(F2867&gt;=8,G2867&lt;=2,H2867&gt;=5),"NEW CUSTOMERS",AND(F2867&gt;=6,G2867&lt;=2,H2867&gt;=3),"PROMISING",AND(F2867&gt;=3,G2867&gt;=3,H2867&gt;=3),"NEED ATTENTION",AND(F2867&lt;=4,G2867&gt;=6,H2867&gt;=6),"AT RISK",AND(F2867&lt;=2,G2867&gt;=8,H2867&gt;=8),"CAN'T LOSE THEM",AND(F2867&lt;=2,G2867&lt;=2,H2867&lt;=2),"HIBERNATING",TRUE(),"Other")</f>
        <v>CHAMPION</v>
      </c>
      <c r="K2867" s="1" t="n">
        <f aca="false">RANK(E2867,$E$7:$E$4378)+COUNTIF($E$7:E2867,E2867)-1</f>
        <v>36</v>
      </c>
    </row>
    <row r="2868" customFormat="false" ht="14.25" hidden="false" customHeight="true" outlineLevel="0" collapsed="false">
      <c r="A2868" s="51" t="n">
        <v>16211</v>
      </c>
      <c r="B2868" s="53" t="n">
        <v>40805.6826388889</v>
      </c>
      <c r="C2868" s="57" t="n">
        <f aca="false">INT($C$2)-INT(Table3[[#This Row],[Last Purchase Date]])</f>
        <v>82</v>
      </c>
      <c r="D2868" s="1" t="n">
        <v>2</v>
      </c>
      <c r="E2868" s="1" t="n">
        <v>542.77</v>
      </c>
      <c r="F2868" s="1" t="n">
        <f aca="false">ROUND((1-_xlfn.PERCENTRANK.INC($C$7:$C$4378,C2868))*9,0)</f>
        <v>3</v>
      </c>
      <c r="G2868" s="1" t="n">
        <f aca="false">ROUND(_xlfn.PERCENTRANK.INC($D$7:$D$4378,D2868)*9,0)</f>
        <v>3</v>
      </c>
      <c r="H2868" s="1" t="n">
        <f aca="false">ROUND(_xlfn.PERCENTRANK.INC($E$7:$E$4378,E2868)*9,0)</f>
        <v>4</v>
      </c>
      <c r="I2868" s="1" t="str">
        <f aca="false">CONCATENATE(F2868,G2868,H2868)</f>
        <v>334</v>
      </c>
      <c r="J2868" s="1" t="str">
        <f aca="false">_xlfn.IFS(AND(F2868&gt;=8,G2868&gt;=8,H2868&gt;=8),"CHAMPION",AND(F2868&gt;=6,G2868&gt;=7,H2868&gt;=6),"LOYAL CUSTOMER",AND(F2868&gt;=6,G2868&gt;=5,H2868&gt;=5),"POTENTIAL LOYALIST",AND(F2868&gt;=8,G2868&lt;=2,H2868&gt;=5),"NEW CUSTOMERS",AND(F2868&gt;=6,G2868&lt;=2,H2868&gt;=3),"PROMISING",AND(F2868&gt;=3,G2868&gt;=3,H2868&gt;=3),"NEED ATTENTION",AND(F2868&lt;=4,G2868&gt;=6,H2868&gt;=6),"AT RISK",AND(F2868&lt;=2,G2868&gt;=8,H2868&gt;=8),"CAN'T LOSE THEM",AND(F2868&lt;=2,G2868&lt;=2,H2868&lt;=2),"HIBERNATING",TRUE(),"Other")</f>
        <v>NEED ATTENTION</v>
      </c>
      <c r="K2868" s="1" t="n">
        <f aca="false">RANK(E2868,$E$7:$E$4378)+COUNTIF($E$7:E2868,E2868)-1</f>
        <v>2446</v>
      </c>
    </row>
    <row r="2869" customFormat="false" ht="14.25" hidden="false" customHeight="true" outlineLevel="0" collapsed="false">
      <c r="A2869" s="51" t="n">
        <v>16212</v>
      </c>
      <c r="B2869" s="53" t="n">
        <v>40867.5416666667</v>
      </c>
      <c r="C2869" s="57" t="n">
        <f aca="false">INT($C$2)-INT(Table3[[#This Row],[Last Purchase Date]])</f>
        <v>20</v>
      </c>
      <c r="D2869" s="1" t="n">
        <v>3</v>
      </c>
      <c r="E2869" s="1" t="n">
        <v>681.19</v>
      </c>
      <c r="F2869" s="1" t="n">
        <f aca="false">ROUND((1-_xlfn.PERCENTRANK.INC($C$7:$C$4378,C2869))*9,0)</f>
        <v>6</v>
      </c>
      <c r="G2869" s="1" t="n">
        <f aca="false">ROUND(_xlfn.PERCENTRANK.INC($D$7:$D$4378,D2869)*9,0)</f>
        <v>4</v>
      </c>
      <c r="H2869" s="1" t="n">
        <f aca="false">ROUND(_xlfn.PERCENTRANK.INC($E$7:$E$4378,E2869)*9,0)</f>
        <v>5</v>
      </c>
      <c r="I2869" s="1" t="str">
        <f aca="false">CONCATENATE(F2869,G2869,H2869)</f>
        <v>645</v>
      </c>
      <c r="J2869" s="1" t="str">
        <f aca="false">_xlfn.IFS(AND(F2869&gt;=8,G2869&gt;=8,H2869&gt;=8),"CHAMPION",AND(F2869&gt;=6,G2869&gt;=7,H2869&gt;=6),"LOYAL CUSTOMER",AND(F2869&gt;=6,G2869&gt;=5,H2869&gt;=5),"POTENTIAL LOYALIST",AND(F2869&gt;=8,G2869&lt;=2,H2869&gt;=5),"NEW CUSTOMERS",AND(F2869&gt;=6,G2869&lt;=2,H2869&gt;=3),"PROMISING",AND(F2869&gt;=3,G2869&gt;=3,H2869&gt;=3),"NEED ATTENTION",AND(F2869&lt;=4,G2869&gt;=6,H2869&gt;=6),"AT RISK",AND(F2869&lt;=2,G2869&gt;=8,H2869&gt;=8),"CAN'T LOSE THEM",AND(F2869&lt;=2,G2869&lt;=2,H2869&lt;=2),"HIBERNATING",TRUE(),"Other")</f>
        <v>NEED ATTENTION</v>
      </c>
      <c r="K2869" s="1" t="n">
        <f aca="false">RANK(E2869,$E$7:$E$4378)+COUNTIF($E$7:E2869,E2869)-1</f>
        <v>2100</v>
      </c>
    </row>
    <row r="2870" customFormat="false" ht="14.25" hidden="false" customHeight="true" outlineLevel="0" collapsed="false">
      <c r="A2870" s="51" t="n">
        <v>16213</v>
      </c>
      <c r="B2870" s="53" t="n">
        <v>40808.41875</v>
      </c>
      <c r="C2870" s="57" t="n">
        <f aca="false">INT($C$2)-INT(Table3[[#This Row],[Last Purchase Date]])</f>
        <v>79</v>
      </c>
      <c r="D2870" s="1" t="n">
        <v>1</v>
      </c>
      <c r="E2870" s="1" t="n">
        <v>159</v>
      </c>
      <c r="F2870" s="1" t="n">
        <f aca="false">ROUND((1-_xlfn.PERCENTRANK.INC($C$7:$C$4378,C2870))*9,0)</f>
        <v>3</v>
      </c>
      <c r="G2870" s="1" t="n">
        <f aca="false">ROUND(_xlfn.PERCENTRANK.INC($D$7:$D$4378,D2870)*9,0)</f>
        <v>0</v>
      </c>
      <c r="H2870" s="1" t="n">
        <f aca="false">ROUND(_xlfn.PERCENTRANK.INC($E$7:$E$4378,E2870)*9,0)</f>
        <v>1</v>
      </c>
      <c r="I2870" s="1" t="str">
        <f aca="false">CONCATENATE(F2870,G2870,H2870)</f>
        <v>301</v>
      </c>
      <c r="J2870" s="1" t="str">
        <f aca="false">_xlfn.IFS(AND(F2870&gt;=8,G2870&gt;=8,H2870&gt;=8),"CHAMPION",AND(F2870&gt;=6,G2870&gt;=7,H2870&gt;=6),"LOYAL CUSTOMER",AND(F2870&gt;=6,G2870&gt;=5,H2870&gt;=5),"POTENTIAL LOYALIST",AND(F2870&gt;=8,G2870&lt;=2,H2870&gt;=5),"NEW CUSTOMERS",AND(F2870&gt;=6,G2870&lt;=2,H2870&gt;=3),"PROMISING",AND(F2870&gt;=3,G2870&gt;=3,H2870&gt;=3),"NEED ATTENTION",AND(F2870&lt;=4,G2870&gt;=6,H2870&gt;=6),"AT RISK",AND(F2870&lt;=2,G2870&gt;=8,H2870&gt;=8),"CAN'T LOSE THEM",AND(F2870&lt;=2,G2870&lt;=2,H2870&lt;=2),"HIBERNATING",TRUE(),"Other")</f>
        <v>Other</v>
      </c>
      <c r="K2870" s="1" t="n">
        <f aca="false">RANK(E2870,$E$7:$E$4378)+COUNTIF($E$7:E2870,E2870)-1</f>
        <v>3863</v>
      </c>
    </row>
    <row r="2871" customFormat="false" ht="14.25" hidden="false" customHeight="true" outlineLevel="0" collapsed="false">
      <c r="A2871" s="51" t="n">
        <v>16214</v>
      </c>
      <c r="B2871" s="53" t="n">
        <v>40716.4791666667</v>
      </c>
      <c r="C2871" s="57" t="n">
        <f aca="false">INT($C$2)-INT(Table3[[#This Row],[Last Purchase Date]])</f>
        <v>171</v>
      </c>
      <c r="D2871" s="1" t="n">
        <v>3</v>
      </c>
      <c r="E2871" s="1" t="n">
        <v>1062.75</v>
      </c>
      <c r="F2871" s="1" t="n">
        <f aca="false">ROUND((1-_xlfn.PERCENTRANK.INC($C$7:$C$4378,C2871))*9,0)</f>
        <v>2</v>
      </c>
      <c r="G2871" s="1" t="n">
        <f aca="false">ROUND(_xlfn.PERCENTRANK.INC($D$7:$D$4378,D2871)*9,0)</f>
        <v>4</v>
      </c>
      <c r="H2871" s="1" t="n">
        <f aca="false">ROUND(_xlfn.PERCENTRANK.INC($E$7:$E$4378,E2871)*9,0)</f>
        <v>6</v>
      </c>
      <c r="I2871" s="1" t="str">
        <f aca="false">CONCATENATE(F2871,G2871,H2871)</f>
        <v>246</v>
      </c>
      <c r="J2871" s="1" t="str">
        <f aca="false">_xlfn.IFS(AND(F2871&gt;=8,G2871&gt;=8,H2871&gt;=8),"CHAMPION",AND(F2871&gt;=6,G2871&gt;=7,H2871&gt;=6),"LOYAL CUSTOMER",AND(F2871&gt;=6,G2871&gt;=5,H2871&gt;=5),"POTENTIAL LOYALIST",AND(F2871&gt;=8,G2871&lt;=2,H2871&gt;=5),"NEW CUSTOMERS",AND(F2871&gt;=6,G2871&lt;=2,H2871&gt;=3),"PROMISING",AND(F2871&gt;=3,G2871&gt;=3,H2871&gt;=3),"NEED ATTENTION",AND(F2871&lt;=4,G2871&gt;=6,H2871&gt;=6),"AT RISK",AND(F2871&lt;=2,G2871&gt;=8,H2871&gt;=8),"CAN'T LOSE THEM",AND(F2871&lt;=2,G2871&lt;=2,H2871&lt;=2),"HIBERNATING",TRUE(),"Other")</f>
        <v>Other</v>
      </c>
      <c r="K2871" s="1" t="n">
        <f aca="false">RANK(E2871,$E$7:$E$4378)+COUNTIF($E$7:E2871,E2871)-1</f>
        <v>1546</v>
      </c>
    </row>
    <row r="2872" customFormat="false" ht="14.25" hidden="false" customHeight="true" outlineLevel="0" collapsed="false">
      <c r="A2872" s="51" t="n">
        <v>16215</v>
      </c>
      <c r="B2872" s="53" t="n">
        <v>40806.4291666667</v>
      </c>
      <c r="C2872" s="57" t="n">
        <f aca="false">INT($C$2)-INT(Table3[[#This Row],[Last Purchase Date]])</f>
        <v>81</v>
      </c>
      <c r="D2872" s="1" t="n">
        <v>1</v>
      </c>
      <c r="E2872" s="1" t="n">
        <v>242.35</v>
      </c>
      <c r="F2872" s="1" t="n">
        <f aca="false">ROUND((1-_xlfn.PERCENTRANK.INC($C$7:$C$4378,C2872))*9,0)</f>
        <v>3</v>
      </c>
      <c r="G2872" s="1" t="n">
        <f aca="false">ROUND(_xlfn.PERCENTRANK.INC($D$7:$D$4378,D2872)*9,0)</f>
        <v>0</v>
      </c>
      <c r="H2872" s="1" t="n">
        <f aca="false">ROUND(_xlfn.PERCENTRANK.INC($E$7:$E$4378,E2872)*9,0)</f>
        <v>2</v>
      </c>
      <c r="I2872" s="1" t="str">
        <f aca="false">CONCATENATE(F2872,G2872,H2872)</f>
        <v>302</v>
      </c>
      <c r="J2872" s="1" t="str">
        <f aca="false">_xlfn.IFS(AND(F2872&gt;=8,G2872&gt;=8,H2872&gt;=8),"CHAMPION",AND(F2872&gt;=6,G2872&gt;=7,H2872&gt;=6),"LOYAL CUSTOMER",AND(F2872&gt;=6,G2872&gt;=5,H2872&gt;=5),"POTENTIAL LOYALIST",AND(F2872&gt;=8,G2872&lt;=2,H2872&gt;=5),"NEW CUSTOMERS",AND(F2872&gt;=6,G2872&lt;=2,H2872&gt;=3),"PROMISING",AND(F2872&gt;=3,G2872&gt;=3,H2872&gt;=3),"NEED ATTENTION",AND(F2872&lt;=4,G2872&gt;=6,H2872&gt;=6),"AT RISK",AND(F2872&lt;=2,G2872&gt;=8,H2872&gt;=8),"CAN'T LOSE THEM",AND(F2872&lt;=2,G2872&lt;=2,H2872&lt;=2),"HIBERNATING",TRUE(),"Other")</f>
        <v>Other</v>
      </c>
      <c r="K2872" s="1" t="n">
        <f aca="false">RANK(E2872,$E$7:$E$4378)+COUNTIF($E$7:E2872,E2872)-1</f>
        <v>3472</v>
      </c>
    </row>
    <row r="2873" customFormat="false" ht="14.25" hidden="false" customHeight="true" outlineLevel="0" collapsed="false">
      <c r="A2873" s="51" t="n">
        <v>16216</v>
      </c>
      <c r="B2873" s="53" t="n">
        <v>40619.6486111111</v>
      </c>
      <c r="C2873" s="57" t="n">
        <f aca="false">INT($C$2)-INT(Table3[[#This Row],[Last Purchase Date]])</f>
        <v>268</v>
      </c>
      <c r="D2873" s="1" t="n">
        <v>1</v>
      </c>
      <c r="E2873" s="1" t="n">
        <v>914.93</v>
      </c>
      <c r="F2873" s="1" t="n">
        <f aca="false">ROUND((1-_xlfn.PERCENTRANK.INC($C$7:$C$4378,C2873))*9,0)</f>
        <v>1</v>
      </c>
      <c r="G2873" s="1" t="n">
        <f aca="false">ROUND(_xlfn.PERCENTRANK.INC($D$7:$D$4378,D2873)*9,0)</f>
        <v>0</v>
      </c>
      <c r="H2873" s="1" t="n">
        <f aca="false">ROUND(_xlfn.PERCENTRANK.INC($E$7:$E$4378,E2873)*9,0)</f>
        <v>5</v>
      </c>
      <c r="I2873" s="1" t="str">
        <f aca="false">CONCATENATE(F2873,G2873,H2873)</f>
        <v>105</v>
      </c>
      <c r="J2873" s="1" t="str">
        <f aca="false">_xlfn.IFS(AND(F2873&gt;=8,G2873&gt;=8,H2873&gt;=8),"CHAMPION",AND(F2873&gt;=6,G2873&gt;=7,H2873&gt;=6),"LOYAL CUSTOMER",AND(F2873&gt;=6,G2873&gt;=5,H2873&gt;=5),"POTENTIAL LOYALIST",AND(F2873&gt;=8,G2873&lt;=2,H2873&gt;=5),"NEW CUSTOMERS",AND(F2873&gt;=6,G2873&lt;=2,H2873&gt;=3),"PROMISING",AND(F2873&gt;=3,G2873&gt;=3,H2873&gt;=3),"NEED ATTENTION",AND(F2873&lt;=4,G2873&gt;=6,H2873&gt;=6),"AT RISK",AND(F2873&lt;=2,G2873&gt;=8,H2873&gt;=8),"CAN'T LOSE THEM",AND(F2873&lt;=2,G2873&lt;=2,H2873&lt;=2),"HIBERNATING",TRUE(),"Other")</f>
        <v>Other</v>
      </c>
      <c r="K2873" s="1" t="n">
        <f aca="false">RANK(E2873,$E$7:$E$4378)+COUNTIF($E$7:E2873,E2873)-1</f>
        <v>1736</v>
      </c>
    </row>
    <row r="2874" customFormat="false" ht="14.25" hidden="false" customHeight="true" outlineLevel="0" collapsed="false">
      <c r="A2874" s="51" t="n">
        <v>16217</v>
      </c>
      <c r="B2874" s="53" t="n">
        <v>40651.5631944445</v>
      </c>
      <c r="C2874" s="57" t="n">
        <f aca="false">INT($C$2)-INT(Table3[[#This Row],[Last Purchase Date]])</f>
        <v>236</v>
      </c>
      <c r="D2874" s="1" t="n">
        <v>4</v>
      </c>
      <c r="E2874" s="1" t="n">
        <v>259.39</v>
      </c>
      <c r="F2874" s="1" t="n">
        <f aca="false">ROUND((1-_xlfn.PERCENTRANK.INC($C$7:$C$4378,C2874))*9,0)</f>
        <v>1</v>
      </c>
      <c r="G2874" s="1" t="n">
        <f aca="false">ROUND(_xlfn.PERCENTRANK.INC($D$7:$D$4378,D2874)*9,0)</f>
        <v>5</v>
      </c>
      <c r="H2874" s="1" t="n">
        <f aca="false">ROUND(_xlfn.PERCENTRANK.INC($E$7:$E$4378,E2874)*9,0)</f>
        <v>2</v>
      </c>
      <c r="I2874" s="1" t="str">
        <f aca="false">CONCATENATE(F2874,G2874,H2874)</f>
        <v>152</v>
      </c>
      <c r="J2874" s="1" t="str">
        <f aca="false">_xlfn.IFS(AND(F2874&gt;=8,G2874&gt;=8,H2874&gt;=8),"CHAMPION",AND(F2874&gt;=6,G2874&gt;=7,H2874&gt;=6),"LOYAL CUSTOMER",AND(F2874&gt;=6,G2874&gt;=5,H2874&gt;=5),"POTENTIAL LOYALIST",AND(F2874&gt;=8,G2874&lt;=2,H2874&gt;=5),"NEW CUSTOMERS",AND(F2874&gt;=6,G2874&lt;=2,H2874&gt;=3),"PROMISING",AND(F2874&gt;=3,G2874&gt;=3,H2874&gt;=3),"NEED ATTENTION",AND(F2874&lt;=4,G2874&gt;=6,H2874&gt;=6),"AT RISK",AND(F2874&lt;=2,G2874&gt;=8,H2874&gt;=8),"CAN'T LOSE THEM",AND(F2874&lt;=2,G2874&lt;=2,H2874&lt;=2),"HIBERNATING",TRUE(),"Other")</f>
        <v>Other</v>
      </c>
      <c r="K2874" s="1" t="n">
        <f aca="false">RANK(E2874,$E$7:$E$4378)+COUNTIF($E$7:E2874,E2874)-1</f>
        <v>3398</v>
      </c>
    </row>
    <row r="2875" customFormat="false" ht="14.25" hidden="false" customHeight="true" outlineLevel="0" collapsed="false">
      <c r="A2875" s="51" t="n">
        <v>16218</v>
      </c>
      <c r="B2875" s="53" t="n">
        <v>40857.4159722222</v>
      </c>
      <c r="C2875" s="57" t="n">
        <f aca="false">INT($C$2)-INT(Table3[[#This Row],[Last Purchase Date]])</f>
        <v>30</v>
      </c>
      <c r="D2875" s="1" t="n">
        <v>8</v>
      </c>
      <c r="E2875" s="1" t="n">
        <v>3054.87</v>
      </c>
      <c r="F2875" s="1" t="n">
        <f aca="false">ROUND((1-_xlfn.PERCENTRANK.INC($C$7:$C$4378,C2875))*9,0)</f>
        <v>6</v>
      </c>
      <c r="G2875" s="1" t="n">
        <f aca="false">ROUND(_xlfn.PERCENTRANK.INC($D$7:$D$4378,D2875)*9,0)</f>
        <v>7</v>
      </c>
      <c r="H2875" s="1" t="n">
        <f aca="false">ROUND(_xlfn.PERCENTRANK.INC($E$7:$E$4378,E2875)*9,0)</f>
        <v>8</v>
      </c>
      <c r="I2875" s="1" t="str">
        <f aca="false">CONCATENATE(F2875,G2875,H2875)</f>
        <v>678</v>
      </c>
      <c r="J2875" s="1" t="str">
        <f aca="false">_xlfn.IFS(AND(F2875&gt;=8,G2875&gt;=8,H2875&gt;=8),"CHAMPION",AND(F2875&gt;=6,G2875&gt;=7,H2875&gt;=6),"LOYAL CUSTOMER",AND(F2875&gt;=6,G2875&gt;=5,H2875&gt;=5),"POTENTIAL LOYALIST",AND(F2875&gt;=8,G2875&lt;=2,H2875&gt;=5),"NEW CUSTOMERS",AND(F2875&gt;=6,G2875&lt;=2,H2875&gt;=3),"PROMISING",AND(F2875&gt;=3,G2875&gt;=3,H2875&gt;=3),"NEED ATTENTION",AND(F2875&lt;=4,G2875&gt;=6,H2875&gt;=6),"AT RISK",AND(F2875&lt;=2,G2875&gt;=8,H2875&gt;=8),"CAN'T LOSE THEM",AND(F2875&lt;=2,G2875&lt;=2,H2875&lt;=2),"HIBERNATING",TRUE(),"Other")</f>
        <v>LOYAL CUSTOMER</v>
      </c>
      <c r="K2875" s="1" t="n">
        <f aca="false">RANK(E2875,$E$7:$E$4378)+COUNTIF($E$7:E2875,E2875)-1</f>
        <v>527</v>
      </c>
    </row>
    <row r="2876" customFormat="false" ht="14.25" hidden="false" customHeight="true" outlineLevel="0" collapsed="false">
      <c r="A2876" s="51" t="n">
        <v>16221</v>
      </c>
      <c r="B2876" s="53" t="n">
        <v>40850.4881944444</v>
      </c>
      <c r="C2876" s="57" t="n">
        <f aca="false">INT($C$2)-INT(Table3[[#This Row],[Last Purchase Date]])</f>
        <v>37</v>
      </c>
      <c r="D2876" s="1" t="n">
        <v>3</v>
      </c>
      <c r="E2876" s="1" t="n">
        <v>864.86</v>
      </c>
      <c r="F2876" s="1" t="n">
        <f aca="false">ROUND((1-_xlfn.PERCENTRANK.INC($C$7:$C$4378,C2876))*9,0)</f>
        <v>5</v>
      </c>
      <c r="G2876" s="1" t="n">
        <f aca="false">ROUND(_xlfn.PERCENTRANK.INC($D$7:$D$4378,D2876)*9,0)</f>
        <v>4</v>
      </c>
      <c r="H2876" s="1" t="n">
        <f aca="false">ROUND(_xlfn.PERCENTRANK.INC($E$7:$E$4378,E2876)*9,0)</f>
        <v>5</v>
      </c>
      <c r="I2876" s="1" t="str">
        <f aca="false">CONCATENATE(F2876,G2876,H2876)</f>
        <v>545</v>
      </c>
      <c r="J2876" s="1" t="str">
        <f aca="false">_xlfn.IFS(AND(F2876&gt;=8,G2876&gt;=8,H2876&gt;=8),"CHAMPION",AND(F2876&gt;=6,G2876&gt;=7,H2876&gt;=6),"LOYAL CUSTOMER",AND(F2876&gt;=6,G2876&gt;=5,H2876&gt;=5),"POTENTIAL LOYALIST",AND(F2876&gt;=8,G2876&lt;=2,H2876&gt;=5),"NEW CUSTOMERS",AND(F2876&gt;=6,G2876&lt;=2,H2876&gt;=3),"PROMISING",AND(F2876&gt;=3,G2876&gt;=3,H2876&gt;=3),"NEED ATTENTION",AND(F2876&lt;=4,G2876&gt;=6,H2876&gt;=6),"AT RISK",AND(F2876&lt;=2,G2876&gt;=8,H2876&gt;=8),"CAN'T LOSE THEM",AND(F2876&lt;=2,G2876&lt;=2,H2876&lt;=2),"HIBERNATING",TRUE(),"Other")</f>
        <v>NEED ATTENTION</v>
      </c>
      <c r="K2876" s="1" t="n">
        <f aca="false">RANK(E2876,$E$7:$E$4378)+COUNTIF($E$7:E2876,E2876)-1</f>
        <v>1811</v>
      </c>
    </row>
    <row r="2877" customFormat="false" ht="14.25" hidden="false" customHeight="true" outlineLevel="0" collapsed="false">
      <c r="A2877" s="51" t="n">
        <v>16222</v>
      </c>
      <c r="B2877" s="53" t="n">
        <v>40568.5680555556</v>
      </c>
      <c r="C2877" s="57" t="n">
        <f aca="false">INT($C$2)-INT(Table3[[#This Row],[Last Purchase Date]])</f>
        <v>319</v>
      </c>
      <c r="D2877" s="1" t="n">
        <v>1</v>
      </c>
      <c r="E2877" s="1" t="n">
        <v>846.720000000001</v>
      </c>
      <c r="F2877" s="1" t="n">
        <f aca="false">ROUND((1-_xlfn.PERCENTRANK.INC($C$7:$C$4378,C2877))*9,0)</f>
        <v>0</v>
      </c>
      <c r="G2877" s="1" t="n">
        <f aca="false">ROUND(_xlfn.PERCENTRANK.INC($D$7:$D$4378,D2877)*9,0)</f>
        <v>0</v>
      </c>
      <c r="H2877" s="1" t="n">
        <f aca="false">ROUND(_xlfn.PERCENTRANK.INC($E$7:$E$4378,E2877)*9,0)</f>
        <v>5</v>
      </c>
      <c r="I2877" s="1" t="str">
        <f aca="false">CONCATENATE(F2877,G2877,H2877)</f>
        <v>005</v>
      </c>
      <c r="J2877" s="1" t="str">
        <f aca="false">_xlfn.IFS(AND(F2877&gt;=8,G2877&gt;=8,H2877&gt;=8),"CHAMPION",AND(F2877&gt;=6,G2877&gt;=7,H2877&gt;=6),"LOYAL CUSTOMER",AND(F2877&gt;=6,G2877&gt;=5,H2877&gt;=5),"POTENTIAL LOYALIST",AND(F2877&gt;=8,G2877&lt;=2,H2877&gt;=5),"NEW CUSTOMERS",AND(F2877&gt;=6,G2877&lt;=2,H2877&gt;=3),"PROMISING",AND(F2877&gt;=3,G2877&gt;=3,H2877&gt;=3),"NEED ATTENTION",AND(F2877&lt;=4,G2877&gt;=6,H2877&gt;=6),"AT RISK",AND(F2877&lt;=2,G2877&gt;=8,H2877&gt;=8),"CAN'T LOSE THEM",AND(F2877&lt;=2,G2877&lt;=2,H2877&lt;=2),"HIBERNATING",TRUE(),"Other")</f>
        <v>Other</v>
      </c>
      <c r="K2877" s="1" t="n">
        <f aca="false">RANK(E2877,$E$7:$E$4378)+COUNTIF($E$7:E2877,E2877)-1</f>
        <v>1836</v>
      </c>
    </row>
    <row r="2878" customFormat="false" ht="14.25" hidden="false" customHeight="true" outlineLevel="0" collapsed="false">
      <c r="A2878" s="51" t="n">
        <v>16224</v>
      </c>
      <c r="B2878" s="53" t="n">
        <v>40829.74375</v>
      </c>
      <c r="C2878" s="57" t="n">
        <f aca="false">INT($C$2)-INT(Table3[[#This Row],[Last Purchase Date]])</f>
        <v>58</v>
      </c>
      <c r="D2878" s="1" t="n">
        <v>4</v>
      </c>
      <c r="E2878" s="1" t="n">
        <v>1295.3</v>
      </c>
      <c r="F2878" s="1" t="n">
        <f aca="false">ROUND((1-_xlfn.PERCENTRANK.INC($C$7:$C$4378,C2878))*9,0)</f>
        <v>4</v>
      </c>
      <c r="G2878" s="1" t="n">
        <f aca="false">ROUND(_xlfn.PERCENTRANK.INC($D$7:$D$4378,D2878)*9,0)</f>
        <v>5</v>
      </c>
      <c r="H2878" s="1" t="n">
        <f aca="false">ROUND(_xlfn.PERCENTRANK.INC($E$7:$E$4378,E2878)*9,0)</f>
        <v>6</v>
      </c>
      <c r="I2878" s="1" t="str">
        <f aca="false">CONCATENATE(F2878,G2878,H2878)</f>
        <v>456</v>
      </c>
      <c r="J2878" s="1" t="str">
        <f aca="false">_xlfn.IFS(AND(F2878&gt;=8,G2878&gt;=8,H2878&gt;=8),"CHAMPION",AND(F2878&gt;=6,G2878&gt;=7,H2878&gt;=6),"LOYAL CUSTOMER",AND(F2878&gt;=6,G2878&gt;=5,H2878&gt;=5),"POTENTIAL LOYALIST",AND(F2878&gt;=8,G2878&lt;=2,H2878&gt;=5),"NEW CUSTOMERS",AND(F2878&gt;=6,G2878&lt;=2,H2878&gt;=3),"PROMISING",AND(F2878&gt;=3,G2878&gt;=3,H2878&gt;=3),"NEED ATTENTION",AND(F2878&lt;=4,G2878&gt;=6,H2878&gt;=6),"AT RISK",AND(F2878&lt;=2,G2878&gt;=8,H2878&gt;=8),"CAN'T LOSE THEM",AND(F2878&lt;=2,G2878&lt;=2,H2878&lt;=2),"HIBERNATING",TRUE(),"Other")</f>
        <v>NEED ATTENTION</v>
      </c>
      <c r="K2878" s="1" t="n">
        <f aca="false">RANK(E2878,$E$7:$E$4378)+COUNTIF($E$7:E2878,E2878)-1</f>
        <v>1332</v>
      </c>
    </row>
    <row r="2879" customFormat="false" ht="14.25" hidden="false" customHeight="true" outlineLevel="0" collapsed="false">
      <c r="A2879" s="51" t="n">
        <v>16225</v>
      </c>
      <c r="B2879" s="53" t="n">
        <v>40842.3541666667</v>
      </c>
      <c r="C2879" s="57" t="n">
        <f aca="false">INT($C$2)-INT(Table3[[#This Row],[Last Purchase Date]])</f>
        <v>45</v>
      </c>
      <c r="D2879" s="1" t="n">
        <v>5</v>
      </c>
      <c r="E2879" s="1" t="n">
        <v>1096.32</v>
      </c>
      <c r="F2879" s="1" t="n">
        <f aca="false">ROUND((1-_xlfn.PERCENTRANK.INC($C$7:$C$4378,C2879))*9,0)</f>
        <v>5</v>
      </c>
      <c r="G2879" s="1" t="n">
        <f aca="false">ROUND(_xlfn.PERCENTRANK.INC($D$7:$D$4378,D2879)*9,0)</f>
        <v>6</v>
      </c>
      <c r="H2879" s="1" t="n">
        <f aca="false">ROUND(_xlfn.PERCENTRANK.INC($E$7:$E$4378,E2879)*9,0)</f>
        <v>6</v>
      </c>
      <c r="I2879" s="1" t="str">
        <f aca="false">CONCATENATE(F2879,G2879,H2879)</f>
        <v>566</v>
      </c>
      <c r="J2879" s="1" t="str">
        <f aca="false">_xlfn.IFS(AND(F2879&gt;=8,G2879&gt;=8,H2879&gt;=8),"CHAMPION",AND(F2879&gt;=6,G2879&gt;=7,H2879&gt;=6),"LOYAL CUSTOMER",AND(F2879&gt;=6,G2879&gt;=5,H2879&gt;=5),"POTENTIAL LOYALIST",AND(F2879&gt;=8,G2879&lt;=2,H2879&gt;=5),"NEW CUSTOMERS",AND(F2879&gt;=6,G2879&lt;=2,H2879&gt;=3),"PROMISING",AND(F2879&gt;=3,G2879&gt;=3,H2879&gt;=3),"NEED ATTENTION",AND(F2879&lt;=4,G2879&gt;=6,H2879&gt;=6),"AT RISK",AND(F2879&lt;=2,G2879&gt;=8,H2879&gt;=8),"CAN'T LOSE THEM",AND(F2879&lt;=2,G2879&lt;=2,H2879&lt;=2),"HIBERNATING",TRUE(),"Other")</f>
        <v>NEED ATTENTION</v>
      </c>
      <c r="K2879" s="1" t="n">
        <f aca="false">RANK(E2879,$E$7:$E$4378)+COUNTIF($E$7:E2879,E2879)-1</f>
        <v>1514</v>
      </c>
    </row>
    <row r="2880" customFormat="false" ht="14.25" hidden="false" customHeight="true" outlineLevel="0" collapsed="false">
      <c r="A2880" s="51" t="n">
        <v>16226</v>
      </c>
      <c r="B2880" s="53" t="n">
        <v>40683.6118055556</v>
      </c>
      <c r="C2880" s="57" t="n">
        <f aca="false">INT($C$2)-INT(Table3[[#This Row],[Last Purchase Date]])</f>
        <v>204</v>
      </c>
      <c r="D2880" s="1" t="n">
        <v>3</v>
      </c>
      <c r="E2880" s="1" t="n">
        <v>255.12</v>
      </c>
      <c r="F2880" s="1" t="n">
        <f aca="false">ROUND((1-_xlfn.PERCENTRANK.INC($C$7:$C$4378,C2880))*9,0)</f>
        <v>2</v>
      </c>
      <c r="G2880" s="1" t="n">
        <f aca="false">ROUND(_xlfn.PERCENTRANK.INC($D$7:$D$4378,D2880)*9,0)</f>
        <v>4</v>
      </c>
      <c r="H2880" s="1" t="n">
        <f aca="false">ROUND(_xlfn.PERCENTRANK.INC($E$7:$E$4378,E2880)*9,0)</f>
        <v>2</v>
      </c>
      <c r="I2880" s="1" t="str">
        <f aca="false">CONCATENATE(F2880,G2880,H2880)</f>
        <v>242</v>
      </c>
      <c r="J2880" s="1" t="str">
        <f aca="false">_xlfn.IFS(AND(F2880&gt;=8,G2880&gt;=8,H2880&gt;=8),"CHAMPION",AND(F2880&gt;=6,G2880&gt;=7,H2880&gt;=6),"LOYAL CUSTOMER",AND(F2880&gt;=6,G2880&gt;=5,H2880&gt;=5),"POTENTIAL LOYALIST",AND(F2880&gt;=8,G2880&lt;=2,H2880&gt;=5),"NEW CUSTOMERS",AND(F2880&gt;=6,G2880&lt;=2,H2880&gt;=3),"PROMISING",AND(F2880&gt;=3,G2880&gt;=3,H2880&gt;=3),"NEED ATTENTION",AND(F2880&lt;=4,G2880&gt;=6,H2880&gt;=6),"AT RISK",AND(F2880&lt;=2,G2880&gt;=8,H2880&gt;=8),"CAN'T LOSE THEM",AND(F2880&lt;=2,G2880&lt;=2,H2880&lt;=2),"HIBERNATING",TRUE(),"Other")</f>
        <v>Other</v>
      </c>
      <c r="K2880" s="1" t="n">
        <f aca="false">RANK(E2880,$E$7:$E$4378)+COUNTIF($E$7:E2880,E2880)-1</f>
        <v>3415</v>
      </c>
    </row>
    <row r="2881" customFormat="false" ht="14.25" hidden="false" customHeight="true" outlineLevel="0" collapsed="false">
      <c r="A2881" s="51" t="n">
        <v>16227</v>
      </c>
      <c r="B2881" s="53" t="n">
        <v>40667.6854166667</v>
      </c>
      <c r="C2881" s="57" t="n">
        <f aca="false">INT($C$2)-INT(Table3[[#This Row],[Last Purchase Date]])</f>
        <v>220</v>
      </c>
      <c r="D2881" s="1" t="n">
        <v>2</v>
      </c>
      <c r="E2881" s="1" t="n">
        <v>308.32</v>
      </c>
      <c r="F2881" s="1" t="n">
        <f aca="false">ROUND((1-_xlfn.PERCENTRANK.INC($C$7:$C$4378,C2881))*9,0)</f>
        <v>1</v>
      </c>
      <c r="G2881" s="1" t="n">
        <f aca="false">ROUND(_xlfn.PERCENTRANK.INC($D$7:$D$4378,D2881)*9,0)</f>
        <v>3</v>
      </c>
      <c r="H2881" s="1" t="n">
        <f aca="false">ROUND(_xlfn.PERCENTRANK.INC($E$7:$E$4378,E2881)*9,0)</f>
        <v>2</v>
      </c>
      <c r="I2881" s="1" t="str">
        <f aca="false">CONCATENATE(F2881,G2881,H2881)</f>
        <v>132</v>
      </c>
      <c r="J2881" s="1" t="str">
        <f aca="false">_xlfn.IFS(AND(F2881&gt;=8,G2881&gt;=8,H2881&gt;=8),"CHAMPION",AND(F2881&gt;=6,G2881&gt;=7,H2881&gt;=6),"LOYAL CUSTOMER",AND(F2881&gt;=6,G2881&gt;=5,H2881&gt;=5),"POTENTIAL LOYALIST",AND(F2881&gt;=8,G2881&lt;=2,H2881&gt;=5),"NEW CUSTOMERS",AND(F2881&gt;=6,G2881&lt;=2,H2881&gt;=3),"PROMISING",AND(F2881&gt;=3,G2881&gt;=3,H2881&gt;=3),"NEED ATTENTION",AND(F2881&lt;=4,G2881&gt;=6,H2881&gt;=6),"AT RISK",AND(F2881&lt;=2,G2881&gt;=8,H2881&gt;=8),"CAN'T LOSE THEM",AND(F2881&lt;=2,G2881&lt;=2,H2881&lt;=2),"HIBERNATING",TRUE(),"Other")</f>
        <v>Other</v>
      </c>
      <c r="K2881" s="1" t="n">
        <f aca="false">RANK(E2881,$E$7:$E$4378)+COUNTIF($E$7:E2881,E2881)-1</f>
        <v>3204</v>
      </c>
    </row>
    <row r="2882" customFormat="false" ht="14.25" hidden="false" customHeight="true" outlineLevel="0" collapsed="false">
      <c r="A2882" s="51" t="n">
        <v>16229</v>
      </c>
      <c r="B2882" s="53" t="n">
        <v>40799.7194444445</v>
      </c>
      <c r="C2882" s="57" t="n">
        <f aca="false">INT($C$2)-INT(Table3[[#This Row],[Last Purchase Date]])</f>
        <v>88</v>
      </c>
      <c r="D2882" s="1" t="n">
        <v>2</v>
      </c>
      <c r="E2882" s="1" t="n">
        <v>1010.6</v>
      </c>
      <c r="F2882" s="1" t="n">
        <f aca="false">ROUND((1-_xlfn.PERCENTRANK.INC($C$7:$C$4378,C2882))*9,0)</f>
        <v>3</v>
      </c>
      <c r="G2882" s="1" t="n">
        <f aca="false">ROUND(_xlfn.PERCENTRANK.INC($D$7:$D$4378,D2882)*9,0)</f>
        <v>3</v>
      </c>
      <c r="H2882" s="1" t="n">
        <f aca="false">ROUND(_xlfn.PERCENTRANK.INC($E$7:$E$4378,E2882)*9,0)</f>
        <v>6</v>
      </c>
      <c r="I2882" s="1" t="str">
        <f aca="false">CONCATENATE(F2882,G2882,H2882)</f>
        <v>336</v>
      </c>
      <c r="J2882" s="1" t="str">
        <f aca="false">_xlfn.IFS(AND(F2882&gt;=8,G2882&gt;=8,H2882&gt;=8),"CHAMPION",AND(F2882&gt;=6,G2882&gt;=7,H2882&gt;=6),"LOYAL CUSTOMER",AND(F2882&gt;=6,G2882&gt;=5,H2882&gt;=5),"POTENTIAL LOYALIST",AND(F2882&gt;=8,G2882&lt;=2,H2882&gt;=5),"NEW CUSTOMERS",AND(F2882&gt;=6,G2882&lt;=2,H2882&gt;=3),"PROMISING",AND(F2882&gt;=3,G2882&gt;=3,H2882&gt;=3),"NEED ATTENTION",AND(F2882&lt;=4,G2882&gt;=6,H2882&gt;=6),"AT RISK",AND(F2882&lt;=2,G2882&gt;=8,H2882&gt;=8),"CAN'T LOSE THEM",AND(F2882&lt;=2,G2882&lt;=2,H2882&lt;=2),"HIBERNATING",TRUE(),"Other")</f>
        <v>NEED ATTENTION</v>
      </c>
      <c r="K2882" s="1" t="n">
        <f aca="false">RANK(E2882,$E$7:$E$4378)+COUNTIF($E$7:E2882,E2882)-1</f>
        <v>1619</v>
      </c>
    </row>
    <row r="2883" customFormat="false" ht="14.25" hidden="false" customHeight="true" outlineLevel="0" collapsed="false">
      <c r="A2883" s="51" t="n">
        <v>16230</v>
      </c>
      <c r="B2883" s="53" t="n">
        <v>40697.4208333333</v>
      </c>
      <c r="C2883" s="57" t="n">
        <f aca="false">INT($C$2)-INT(Table3[[#This Row],[Last Purchase Date]])</f>
        <v>190</v>
      </c>
      <c r="D2883" s="1" t="n">
        <v>2</v>
      </c>
      <c r="E2883" s="1" t="n">
        <v>542.03</v>
      </c>
      <c r="F2883" s="1" t="n">
        <f aca="false">ROUND((1-_xlfn.PERCENTRANK.INC($C$7:$C$4378,C2883))*9,0)</f>
        <v>2</v>
      </c>
      <c r="G2883" s="1" t="n">
        <f aca="false">ROUND(_xlfn.PERCENTRANK.INC($D$7:$D$4378,D2883)*9,0)</f>
        <v>3</v>
      </c>
      <c r="H2883" s="1" t="n">
        <f aca="false">ROUND(_xlfn.PERCENTRANK.INC($E$7:$E$4378,E2883)*9,0)</f>
        <v>4</v>
      </c>
      <c r="I2883" s="1" t="str">
        <f aca="false">CONCATENATE(F2883,G2883,H2883)</f>
        <v>234</v>
      </c>
      <c r="J2883" s="1" t="str">
        <f aca="false">_xlfn.IFS(AND(F2883&gt;=8,G2883&gt;=8,H2883&gt;=8),"CHAMPION",AND(F2883&gt;=6,G2883&gt;=7,H2883&gt;=6),"LOYAL CUSTOMER",AND(F2883&gt;=6,G2883&gt;=5,H2883&gt;=5),"POTENTIAL LOYALIST",AND(F2883&gt;=8,G2883&lt;=2,H2883&gt;=5),"NEW CUSTOMERS",AND(F2883&gt;=6,G2883&lt;=2,H2883&gt;=3),"PROMISING",AND(F2883&gt;=3,G2883&gt;=3,H2883&gt;=3),"NEED ATTENTION",AND(F2883&lt;=4,G2883&gt;=6,H2883&gt;=6),"AT RISK",AND(F2883&lt;=2,G2883&gt;=8,H2883&gt;=8),"CAN'T LOSE THEM",AND(F2883&lt;=2,G2883&lt;=2,H2883&lt;=2),"HIBERNATING",TRUE(),"Other")</f>
        <v>Other</v>
      </c>
      <c r="K2883" s="1" t="n">
        <f aca="false">RANK(E2883,$E$7:$E$4378)+COUNTIF($E$7:E2883,E2883)-1</f>
        <v>2448</v>
      </c>
    </row>
    <row r="2884" customFormat="false" ht="14.25" hidden="false" customHeight="true" outlineLevel="0" collapsed="false">
      <c r="A2884" s="51" t="n">
        <v>16232</v>
      </c>
      <c r="B2884" s="53" t="n">
        <v>40854.4666666667</v>
      </c>
      <c r="C2884" s="57" t="n">
        <f aca="false">INT($C$2)-INT(Table3[[#This Row],[Last Purchase Date]])</f>
        <v>33</v>
      </c>
      <c r="D2884" s="1" t="n">
        <v>5</v>
      </c>
      <c r="E2884" s="1" t="n">
        <v>983.23</v>
      </c>
      <c r="F2884" s="1" t="n">
        <f aca="false">ROUND((1-_xlfn.PERCENTRANK.INC($C$7:$C$4378,C2884))*9,0)</f>
        <v>5</v>
      </c>
      <c r="G2884" s="1" t="n">
        <f aca="false">ROUND(_xlfn.PERCENTRANK.INC($D$7:$D$4378,D2884)*9,0)</f>
        <v>6</v>
      </c>
      <c r="H2884" s="1" t="n">
        <f aca="false">ROUND(_xlfn.PERCENTRANK.INC($E$7:$E$4378,E2884)*9,0)</f>
        <v>6</v>
      </c>
      <c r="I2884" s="1" t="str">
        <f aca="false">CONCATENATE(F2884,G2884,H2884)</f>
        <v>566</v>
      </c>
      <c r="J2884" s="1" t="str">
        <f aca="false">_xlfn.IFS(AND(F2884&gt;=8,G2884&gt;=8,H2884&gt;=8),"CHAMPION",AND(F2884&gt;=6,G2884&gt;=7,H2884&gt;=6),"LOYAL CUSTOMER",AND(F2884&gt;=6,G2884&gt;=5,H2884&gt;=5),"POTENTIAL LOYALIST",AND(F2884&gt;=8,G2884&lt;=2,H2884&gt;=5),"NEW CUSTOMERS",AND(F2884&gt;=6,G2884&lt;=2,H2884&gt;=3),"PROMISING",AND(F2884&gt;=3,G2884&gt;=3,H2884&gt;=3),"NEED ATTENTION",AND(F2884&lt;=4,G2884&gt;=6,H2884&gt;=6),"AT RISK",AND(F2884&lt;=2,G2884&gt;=8,H2884&gt;=8),"CAN'T LOSE THEM",AND(F2884&lt;=2,G2884&lt;=2,H2884&lt;=2),"HIBERNATING",TRUE(),"Other")</f>
        <v>NEED ATTENTION</v>
      </c>
      <c r="K2884" s="1" t="n">
        <f aca="false">RANK(E2884,$E$7:$E$4378)+COUNTIF($E$7:E2884,E2884)-1</f>
        <v>1654</v>
      </c>
    </row>
    <row r="2885" customFormat="false" ht="14.25" hidden="false" customHeight="true" outlineLevel="0" collapsed="false">
      <c r="A2885" s="51" t="n">
        <v>16233</v>
      </c>
      <c r="B2885" s="53" t="n">
        <v>40815.7270833333</v>
      </c>
      <c r="C2885" s="57" t="n">
        <f aca="false">INT($C$2)-INT(Table3[[#This Row],[Last Purchase Date]])</f>
        <v>72</v>
      </c>
      <c r="D2885" s="1" t="n">
        <v>5</v>
      </c>
      <c r="E2885" s="1" t="n">
        <v>422.13</v>
      </c>
      <c r="F2885" s="1" t="n">
        <f aca="false">ROUND((1-_xlfn.PERCENTRANK.INC($C$7:$C$4378,C2885))*9,0)</f>
        <v>4</v>
      </c>
      <c r="G2885" s="1" t="n">
        <f aca="false">ROUND(_xlfn.PERCENTRANK.INC($D$7:$D$4378,D2885)*9,0)</f>
        <v>6</v>
      </c>
      <c r="H2885" s="1" t="n">
        <f aca="false">ROUND(_xlfn.PERCENTRANK.INC($E$7:$E$4378,E2885)*9,0)</f>
        <v>3</v>
      </c>
      <c r="I2885" s="1" t="str">
        <f aca="false">CONCATENATE(F2885,G2885,H2885)</f>
        <v>463</v>
      </c>
      <c r="J2885" s="1" t="str">
        <f aca="false">_xlfn.IFS(AND(F2885&gt;=8,G2885&gt;=8,H2885&gt;=8),"CHAMPION",AND(F2885&gt;=6,G2885&gt;=7,H2885&gt;=6),"LOYAL CUSTOMER",AND(F2885&gt;=6,G2885&gt;=5,H2885&gt;=5),"POTENTIAL LOYALIST",AND(F2885&gt;=8,G2885&lt;=2,H2885&gt;=5),"NEW CUSTOMERS",AND(F2885&gt;=6,G2885&lt;=2,H2885&gt;=3),"PROMISING",AND(F2885&gt;=3,G2885&gt;=3,H2885&gt;=3),"NEED ATTENTION",AND(F2885&lt;=4,G2885&gt;=6,H2885&gt;=6),"AT RISK",AND(F2885&lt;=2,G2885&gt;=8,H2885&gt;=8),"CAN'T LOSE THEM",AND(F2885&lt;=2,G2885&lt;=2,H2885&lt;=2),"HIBERNATING",TRUE(),"Other")</f>
        <v>NEED ATTENTION</v>
      </c>
      <c r="K2885" s="1" t="n">
        <f aca="false">RANK(E2885,$E$7:$E$4378)+COUNTIF($E$7:E2885,E2885)-1</f>
        <v>2748</v>
      </c>
    </row>
    <row r="2886" customFormat="false" ht="14.25" hidden="false" customHeight="true" outlineLevel="0" collapsed="false">
      <c r="A2886" s="51" t="n">
        <v>16235</v>
      </c>
      <c r="B2886" s="53" t="n">
        <v>40846.4555555556</v>
      </c>
      <c r="C2886" s="57" t="n">
        <f aca="false">INT($C$2)-INT(Table3[[#This Row],[Last Purchase Date]])</f>
        <v>41</v>
      </c>
      <c r="D2886" s="1" t="n">
        <v>6</v>
      </c>
      <c r="E2886" s="1" t="n">
        <v>858.41</v>
      </c>
      <c r="F2886" s="1" t="n">
        <f aca="false">ROUND((1-_xlfn.PERCENTRANK.INC($C$7:$C$4378,C2886))*9,0)</f>
        <v>5</v>
      </c>
      <c r="G2886" s="1" t="n">
        <f aca="false">ROUND(_xlfn.PERCENTRANK.INC($D$7:$D$4378,D2886)*9,0)</f>
        <v>7</v>
      </c>
      <c r="H2886" s="1" t="n">
        <f aca="false">ROUND(_xlfn.PERCENTRANK.INC($E$7:$E$4378,E2886)*9,0)</f>
        <v>5</v>
      </c>
      <c r="I2886" s="1" t="str">
        <f aca="false">CONCATENATE(F2886,G2886,H2886)</f>
        <v>575</v>
      </c>
      <c r="J2886" s="1" t="str">
        <f aca="false">_xlfn.IFS(AND(F2886&gt;=8,G2886&gt;=8,H2886&gt;=8),"CHAMPION",AND(F2886&gt;=6,G2886&gt;=7,H2886&gt;=6),"LOYAL CUSTOMER",AND(F2886&gt;=6,G2886&gt;=5,H2886&gt;=5),"POTENTIAL LOYALIST",AND(F2886&gt;=8,G2886&lt;=2,H2886&gt;=5),"NEW CUSTOMERS",AND(F2886&gt;=6,G2886&lt;=2,H2886&gt;=3),"PROMISING",AND(F2886&gt;=3,G2886&gt;=3,H2886&gt;=3),"NEED ATTENTION",AND(F2886&lt;=4,G2886&gt;=6,H2886&gt;=6),"AT RISK",AND(F2886&lt;=2,G2886&gt;=8,H2886&gt;=8),"CAN'T LOSE THEM",AND(F2886&lt;=2,G2886&lt;=2,H2886&lt;=2),"HIBERNATING",TRUE(),"Other")</f>
        <v>NEED ATTENTION</v>
      </c>
      <c r="K2886" s="1" t="n">
        <f aca="false">RANK(E2886,$E$7:$E$4378)+COUNTIF($E$7:E2886,E2886)-1</f>
        <v>1821</v>
      </c>
    </row>
    <row r="2887" customFormat="false" ht="14.25" hidden="false" customHeight="true" outlineLevel="0" collapsed="false">
      <c r="A2887" s="51" t="n">
        <v>16236</v>
      </c>
      <c r="B2887" s="53" t="n">
        <v>40808.5902777778</v>
      </c>
      <c r="C2887" s="57" t="n">
        <f aca="false">INT($C$2)-INT(Table3[[#This Row],[Last Purchase Date]])</f>
        <v>79</v>
      </c>
      <c r="D2887" s="1" t="n">
        <v>1</v>
      </c>
      <c r="E2887" s="1" t="n">
        <v>432.2</v>
      </c>
      <c r="F2887" s="1" t="n">
        <f aca="false">ROUND((1-_xlfn.PERCENTRANK.INC($C$7:$C$4378,C2887))*9,0)</f>
        <v>3</v>
      </c>
      <c r="G2887" s="1" t="n">
        <f aca="false">ROUND(_xlfn.PERCENTRANK.INC($D$7:$D$4378,D2887)*9,0)</f>
        <v>0</v>
      </c>
      <c r="H2887" s="1" t="n">
        <f aca="false">ROUND(_xlfn.PERCENTRANK.INC($E$7:$E$4378,E2887)*9,0)</f>
        <v>3</v>
      </c>
      <c r="I2887" s="1" t="str">
        <f aca="false">CONCATENATE(F2887,G2887,H2887)</f>
        <v>303</v>
      </c>
      <c r="J2887" s="1" t="str">
        <f aca="false">_xlfn.IFS(AND(F2887&gt;=8,G2887&gt;=8,H2887&gt;=8),"CHAMPION",AND(F2887&gt;=6,G2887&gt;=7,H2887&gt;=6),"LOYAL CUSTOMER",AND(F2887&gt;=6,G2887&gt;=5,H2887&gt;=5),"POTENTIAL LOYALIST",AND(F2887&gt;=8,G2887&lt;=2,H2887&gt;=5),"NEW CUSTOMERS",AND(F2887&gt;=6,G2887&lt;=2,H2887&gt;=3),"PROMISING",AND(F2887&gt;=3,G2887&gt;=3,H2887&gt;=3),"NEED ATTENTION",AND(F2887&lt;=4,G2887&gt;=6,H2887&gt;=6),"AT RISK",AND(F2887&lt;=2,G2887&gt;=8,H2887&gt;=8),"CAN'T LOSE THEM",AND(F2887&lt;=2,G2887&lt;=2,H2887&lt;=2),"HIBERNATING",TRUE(),"Other")</f>
        <v>Other</v>
      </c>
      <c r="K2887" s="1" t="n">
        <f aca="false">RANK(E2887,$E$7:$E$4378)+COUNTIF($E$7:E2887,E2887)-1</f>
        <v>2710</v>
      </c>
    </row>
    <row r="2888" customFormat="false" ht="14.25" hidden="false" customHeight="true" outlineLevel="0" collapsed="false">
      <c r="A2888" s="51" t="n">
        <v>16239</v>
      </c>
      <c r="B2888" s="53" t="n">
        <v>40830.3534722222</v>
      </c>
      <c r="C2888" s="57" t="n">
        <f aca="false">INT($C$2)-INT(Table3[[#This Row],[Last Purchase Date]])</f>
        <v>57</v>
      </c>
      <c r="D2888" s="1" t="n">
        <v>3</v>
      </c>
      <c r="E2888" s="1" t="n">
        <v>372.9</v>
      </c>
      <c r="F2888" s="1" t="n">
        <f aca="false">ROUND((1-_xlfn.PERCENTRANK.INC($C$7:$C$4378,C2888))*9,0)</f>
        <v>4</v>
      </c>
      <c r="G2888" s="1" t="n">
        <f aca="false">ROUND(_xlfn.PERCENTRANK.INC($D$7:$D$4378,D2888)*9,0)</f>
        <v>4</v>
      </c>
      <c r="H2888" s="1" t="n">
        <f aca="false">ROUND(_xlfn.PERCENTRANK.INC($E$7:$E$4378,E2888)*9,0)</f>
        <v>3</v>
      </c>
      <c r="I2888" s="1" t="str">
        <f aca="false">CONCATENATE(F2888,G2888,H2888)</f>
        <v>443</v>
      </c>
      <c r="J2888" s="1" t="str">
        <f aca="false">_xlfn.IFS(AND(F2888&gt;=8,G2888&gt;=8,H2888&gt;=8),"CHAMPION",AND(F2888&gt;=6,G2888&gt;=7,H2888&gt;=6),"LOYAL CUSTOMER",AND(F2888&gt;=6,G2888&gt;=5,H2888&gt;=5),"POTENTIAL LOYALIST",AND(F2888&gt;=8,G2888&lt;=2,H2888&gt;=5),"NEW CUSTOMERS",AND(F2888&gt;=6,G2888&lt;=2,H2888&gt;=3),"PROMISING",AND(F2888&gt;=3,G2888&gt;=3,H2888&gt;=3),"NEED ATTENTION",AND(F2888&lt;=4,G2888&gt;=6,H2888&gt;=6),"AT RISK",AND(F2888&lt;=2,G2888&gt;=8,H2888&gt;=8),"CAN'T LOSE THEM",AND(F2888&lt;=2,G2888&lt;=2,H2888&lt;=2),"HIBERNATING",TRUE(),"Other")</f>
        <v>NEED ATTENTION</v>
      </c>
      <c r="K2888" s="1" t="n">
        <f aca="false">RANK(E2888,$E$7:$E$4378)+COUNTIF($E$7:E2888,E2888)-1</f>
        <v>2920</v>
      </c>
    </row>
    <row r="2889" customFormat="false" ht="14.25" hidden="false" customHeight="true" outlineLevel="0" collapsed="false">
      <c r="A2889" s="51" t="n">
        <v>16240</v>
      </c>
      <c r="B2889" s="53" t="n">
        <v>40878.5847222222</v>
      </c>
      <c r="C2889" s="57" t="n">
        <f aca="false">INT($C$2)-INT(Table3[[#This Row],[Last Purchase Date]])</f>
        <v>9</v>
      </c>
      <c r="D2889" s="1" t="n">
        <v>5</v>
      </c>
      <c r="E2889" s="1" t="n">
        <v>3693.81</v>
      </c>
      <c r="F2889" s="1" t="n">
        <f aca="false">ROUND((1-_xlfn.PERCENTRANK.INC($C$7:$C$4378,C2889))*9,0)</f>
        <v>8</v>
      </c>
      <c r="G2889" s="1" t="n">
        <f aca="false">ROUND(_xlfn.PERCENTRANK.INC($D$7:$D$4378,D2889)*9,0)</f>
        <v>6</v>
      </c>
      <c r="H2889" s="1" t="n">
        <f aca="false">ROUND(_xlfn.PERCENTRANK.INC($E$7:$E$4378,E2889)*9,0)</f>
        <v>8</v>
      </c>
      <c r="I2889" s="1" t="str">
        <f aca="false">CONCATENATE(F2889,G2889,H2889)</f>
        <v>868</v>
      </c>
      <c r="J2889" s="1" t="str">
        <f aca="false">_xlfn.IFS(AND(F2889&gt;=8,G2889&gt;=8,H2889&gt;=8),"CHAMPION",AND(F2889&gt;=6,G2889&gt;=7,H2889&gt;=6),"LOYAL CUSTOMER",AND(F2889&gt;=6,G2889&gt;=5,H2889&gt;=5),"POTENTIAL LOYALIST",AND(F2889&gt;=8,G2889&lt;=2,H2889&gt;=5),"NEW CUSTOMERS",AND(F2889&gt;=6,G2889&lt;=2,H2889&gt;=3),"PROMISING",AND(F2889&gt;=3,G2889&gt;=3,H2889&gt;=3),"NEED ATTENTION",AND(F2889&lt;=4,G2889&gt;=6,H2889&gt;=6),"AT RISK",AND(F2889&lt;=2,G2889&gt;=8,H2889&gt;=8),"CAN'T LOSE THEM",AND(F2889&lt;=2,G2889&lt;=2,H2889&lt;=2),"HIBERNATING",TRUE(),"Other")</f>
        <v>POTENTIAL LOYALIST</v>
      </c>
      <c r="K2889" s="1" t="n">
        <f aca="false">RANK(E2889,$E$7:$E$4378)+COUNTIF($E$7:E2889,E2889)-1</f>
        <v>405</v>
      </c>
    </row>
    <row r="2890" customFormat="false" ht="14.25" hidden="false" customHeight="true" outlineLevel="0" collapsed="false">
      <c r="A2890" s="51" t="n">
        <v>16241</v>
      </c>
      <c r="B2890" s="53" t="n">
        <v>40877.4638888889</v>
      </c>
      <c r="C2890" s="57" t="n">
        <f aca="false">INT($C$2)-INT(Table3[[#This Row],[Last Purchase Date]])</f>
        <v>10</v>
      </c>
      <c r="D2890" s="1" t="n">
        <v>13</v>
      </c>
      <c r="E2890" s="1" t="n">
        <v>2607.87</v>
      </c>
      <c r="F2890" s="1" t="n">
        <f aca="false">ROUND((1-_xlfn.PERCENTRANK.INC($C$7:$C$4378,C2890))*9,0)</f>
        <v>8</v>
      </c>
      <c r="G2890" s="1" t="n">
        <f aca="false">ROUND(_xlfn.PERCENTRANK.INC($D$7:$D$4378,D2890)*9,0)</f>
        <v>8</v>
      </c>
      <c r="H2890" s="1" t="n">
        <f aca="false">ROUND(_xlfn.PERCENTRANK.INC($E$7:$E$4378,E2890)*9,0)</f>
        <v>8</v>
      </c>
      <c r="I2890" s="1" t="str">
        <f aca="false">CONCATENATE(F2890,G2890,H2890)</f>
        <v>888</v>
      </c>
      <c r="J2890" s="1" t="str">
        <f aca="false">_xlfn.IFS(AND(F2890&gt;=8,G2890&gt;=8,H2890&gt;=8),"CHAMPION",AND(F2890&gt;=6,G2890&gt;=7,H2890&gt;=6),"LOYAL CUSTOMER",AND(F2890&gt;=6,G2890&gt;=5,H2890&gt;=5),"POTENTIAL LOYALIST",AND(F2890&gt;=8,G2890&lt;=2,H2890&gt;=5),"NEW CUSTOMERS",AND(F2890&gt;=6,G2890&lt;=2,H2890&gt;=3),"PROMISING",AND(F2890&gt;=3,G2890&gt;=3,H2890&gt;=3),"NEED ATTENTION",AND(F2890&lt;=4,G2890&gt;=6,H2890&gt;=6),"AT RISK",AND(F2890&lt;=2,G2890&gt;=8,H2890&gt;=8),"CAN'T LOSE THEM",AND(F2890&lt;=2,G2890&lt;=2,H2890&lt;=2),"HIBERNATING",TRUE(),"Other")</f>
        <v>CHAMPION</v>
      </c>
      <c r="K2890" s="1" t="n">
        <f aca="false">RANK(E2890,$E$7:$E$4378)+COUNTIF($E$7:E2890,E2890)-1</f>
        <v>645</v>
      </c>
    </row>
    <row r="2891" customFormat="false" ht="14.25" hidden="false" customHeight="true" outlineLevel="0" collapsed="false">
      <c r="A2891" s="51" t="n">
        <v>16242</v>
      </c>
      <c r="B2891" s="53" t="n">
        <v>40878.6333333333</v>
      </c>
      <c r="C2891" s="57" t="n">
        <f aca="false">INT($C$2)-INT(Table3[[#This Row],[Last Purchase Date]])</f>
        <v>9</v>
      </c>
      <c r="D2891" s="1" t="n">
        <v>8</v>
      </c>
      <c r="E2891" s="1" t="n">
        <v>3598.26</v>
      </c>
      <c r="F2891" s="1" t="n">
        <f aca="false">ROUND((1-_xlfn.PERCENTRANK.INC($C$7:$C$4378,C2891))*9,0)</f>
        <v>8</v>
      </c>
      <c r="G2891" s="1" t="n">
        <f aca="false">ROUND(_xlfn.PERCENTRANK.INC($D$7:$D$4378,D2891)*9,0)</f>
        <v>7</v>
      </c>
      <c r="H2891" s="1" t="n">
        <f aca="false">ROUND(_xlfn.PERCENTRANK.INC($E$7:$E$4378,E2891)*9,0)</f>
        <v>8</v>
      </c>
      <c r="I2891" s="1" t="str">
        <f aca="false">CONCATENATE(F2891,G2891,H2891)</f>
        <v>878</v>
      </c>
      <c r="J2891" s="1" t="str">
        <f aca="false">_xlfn.IFS(AND(F2891&gt;=8,G2891&gt;=8,H2891&gt;=8),"CHAMPION",AND(F2891&gt;=6,G2891&gt;=7,H2891&gt;=6),"LOYAL CUSTOMER",AND(F2891&gt;=6,G2891&gt;=5,H2891&gt;=5),"POTENTIAL LOYALIST",AND(F2891&gt;=8,G2891&lt;=2,H2891&gt;=5),"NEW CUSTOMERS",AND(F2891&gt;=6,G2891&lt;=2,H2891&gt;=3),"PROMISING",AND(F2891&gt;=3,G2891&gt;=3,H2891&gt;=3),"NEED ATTENTION",AND(F2891&lt;=4,G2891&gt;=6,H2891&gt;=6),"AT RISK",AND(F2891&lt;=2,G2891&gt;=8,H2891&gt;=8),"CAN'T LOSE THEM",AND(F2891&lt;=2,G2891&lt;=2,H2891&lt;=2),"HIBERNATING",TRUE(),"Other")</f>
        <v>LOYAL CUSTOMER</v>
      </c>
      <c r="K2891" s="1" t="n">
        <f aca="false">RANK(E2891,$E$7:$E$4378)+COUNTIF($E$7:E2891,E2891)-1</f>
        <v>421</v>
      </c>
    </row>
    <row r="2892" customFormat="false" ht="14.25" hidden="false" customHeight="true" outlineLevel="0" collapsed="false">
      <c r="A2892" s="51" t="n">
        <v>16243</v>
      </c>
      <c r="B2892" s="53" t="n">
        <v>40853.5222222222</v>
      </c>
      <c r="C2892" s="57" t="n">
        <f aca="false">INT($C$2)-INT(Table3[[#This Row],[Last Purchase Date]])</f>
        <v>34</v>
      </c>
      <c r="D2892" s="1" t="n">
        <v>2</v>
      </c>
      <c r="E2892" s="1" t="n">
        <v>409.1</v>
      </c>
      <c r="F2892" s="1" t="n">
        <f aca="false">ROUND((1-_xlfn.PERCENTRANK.INC($C$7:$C$4378,C2892))*9,0)</f>
        <v>5</v>
      </c>
      <c r="G2892" s="1" t="n">
        <f aca="false">ROUND(_xlfn.PERCENTRANK.INC($D$7:$D$4378,D2892)*9,0)</f>
        <v>3</v>
      </c>
      <c r="H2892" s="1" t="n">
        <f aca="false">ROUND(_xlfn.PERCENTRANK.INC($E$7:$E$4378,E2892)*9,0)</f>
        <v>3</v>
      </c>
      <c r="I2892" s="1" t="str">
        <f aca="false">CONCATENATE(F2892,G2892,H2892)</f>
        <v>533</v>
      </c>
      <c r="J2892" s="1" t="str">
        <f aca="false">_xlfn.IFS(AND(F2892&gt;=8,G2892&gt;=8,H2892&gt;=8),"CHAMPION",AND(F2892&gt;=6,G2892&gt;=7,H2892&gt;=6),"LOYAL CUSTOMER",AND(F2892&gt;=6,G2892&gt;=5,H2892&gt;=5),"POTENTIAL LOYALIST",AND(F2892&gt;=8,G2892&lt;=2,H2892&gt;=5),"NEW CUSTOMERS",AND(F2892&gt;=6,G2892&lt;=2,H2892&gt;=3),"PROMISING",AND(F2892&gt;=3,G2892&gt;=3,H2892&gt;=3),"NEED ATTENTION",AND(F2892&lt;=4,G2892&gt;=6,H2892&gt;=6),"AT RISK",AND(F2892&lt;=2,G2892&gt;=8,H2892&gt;=8),"CAN'T LOSE THEM",AND(F2892&lt;=2,G2892&lt;=2,H2892&lt;=2),"HIBERNATING",TRUE(),"Other")</f>
        <v>NEED ATTENTION</v>
      </c>
      <c r="K2892" s="1" t="n">
        <f aca="false">RANK(E2892,$E$7:$E$4378)+COUNTIF($E$7:E2892,E2892)-1</f>
        <v>2795</v>
      </c>
    </row>
    <row r="2893" customFormat="false" ht="14.25" hidden="false" customHeight="true" outlineLevel="0" collapsed="false">
      <c r="A2893" s="51" t="n">
        <v>16244</v>
      </c>
      <c r="B2893" s="53" t="n">
        <v>40675.4291666667</v>
      </c>
      <c r="C2893" s="57" t="n">
        <f aca="false">INT($C$2)-INT(Table3[[#This Row],[Last Purchase Date]])</f>
        <v>212</v>
      </c>
      <c r="D2893" s="1" t="n">
        <v>2</v>
      </c>
      <c r="E2893" s="1" t="n">
        <v>1522.75</v>
      </c>
      <c r="F2893" s="1" t="n">
        <f aca="false">ROUND((1-_xlfn.PERCENTRANK.INC($C$7:$C$4378,C2893))*9,0)</f>
        <v>1</v>
      </c>
      <c r="G2893" s="1" t="n">
        <f aca="false">ROUND(_xlfn.PERCENTRANK.INC($D$7:$D$4378,D2893)*9,0)</f>
        <v>3</v>
      </c>
      <c r="H2893" s="1" t="n">
        <f aca="false">ROUND(_xlfn.PERCENTRANK.INC($E$7:$E$4378,E2893)*9,0)</f>
        <v>7</v>
      </c>
      <c r="I2893" s="1" t="str">
        <f aca="false">CONCATENATE(F2893,G2893,H2893)</f>
        <v>137</v>
      </c>
      <c r="J2893" s="1" t="str">
        <f aca="false">_xlfn.IFS(AND(F2893&gt;=8,G2893&gt;=8,H2893&gt;=8),"CHAMPION",AND(F2893&gt;=6,G2893&gt;=7,H2893&gt;=6),"LOYAL CUSTOMER",AND(F2893&gt;=6,G2893&gt;=5,H2893&gt;=5),"POTENTIAL LOYALIST",AND(F2893&gt;=8,G2893&lt;=2,H2893&gt;=5),"NEW CUSTOMERS",AND(F2893&gt;=6,G2893&lt;=2,H2893&gt;=3),"PROMISING",AND(F2893&gt;=3,G2893&gt;=3,H2893&gt;=3),"NEED ATTENTION",AND(F2893&lt;=4,G2893&gt;=6,H2893&gt;=6),"AT RISK",AND(F2893&lt;=2,G2893&gt;=8,H2893&gt;=8),"CAN'T LOSE THEM",AND(F2893&lt;=2,G2893&lt;=2,H2893&lt;=2),"HIBERNATING",TRUE(),"Other")</f>
        <v>Other</v>
      </c>
      <c r="K2893" s="1" t="n">
        <f aca="false">RANK(E2893,$E$7:$E$4378)+COUNTIF($E$7:E2893,E2893)-1</f>
        <v>1146</v>
      </c>
    </row>
    <row r="2894" customFormat="false" ht="14.25" hidden="false" customHeight="true" outlineLevel="0" collapsed="false">
      <c r="A2894" s="51" t="n">
        <v>16245</v>
      </c>
      <c r="B2894" s="53" t="n">
        <v>40863.4263888889</v>
      </c>
      <c r="C2894" s="57" t="n">
        <f aca="false">INT($C$2)-INT(Table3[[#This Row],[Last Purchase Date]])</f>
        <v>24</v>
      </c>
      <c r="D2894" s="1" t="n">
        <v>5</v>
      </c>
      <c r="E2894" s="1" t="n">
        <v>1352.36</v>
      </c>
      <c r="F2894" s="1" t="n">
        <f aca="false">ROUND((1-_xlfn.PERCENTRANK.INC($C$7:$C$4378,C2894))*9,0)</f>
        <v>6</v>
      </c>
      <c r="G2894" s="1" t="n">
        <f aca="false">ROUND(_xlfn.PERCENTRANK.INC($D$7:$D$4378,D2894)*9,0)</f>
        <v>6</v>
      </c>
      <c r="H2894" s="1" t="n">
        <f aca="false">ROUND(_xlfn.PERCENTRANK.INC($E$7:$E$4378,E2894)*9,0)</f>
        <v>6</v>
      </c>
      <c r="I2894" s="1" t="str">
        <f aca="false">CONCATENATE(F2894,G2894,H2894)</f>
        <v>666</v>
      </c>
      <c r="J2894" s="1" t="str">
        <f aca="false">_xlfn.IFS(AND(F2894&gt;=8,G2894&gt;=8,H2894&gt;=8),"CHAMPION",AND(F2894&gt;=6,G2894&gt;=7,H2894&gt;=6),"LOYAL CUSTOMER",AND(F2894&gt;=6,G2894&gt;=5,H2894&gt;=5),"POTENTIAL LOYALIST",AND(F2894&gt;=8,G2894&lt;=2,H2894&gt;=5),"NEW CUSTOMERS",AND(F2894&gt;=6,G2894&lt;=2,H2894&gt;=3),"PROMISING",AND(F2894&gt;=3,G2894&gt;=3,H2894&gt;=3),"NEED ATTENTION",AND(F2894&lt;=4,G2894&gt;=6,H2894&gt;=6),"AT RISK",AND(F2894&lt;=2,G2894&gt;=8,H2894&gt;=8),"CAN'T LOSE THEM",AND(F2894&lt;=2,G2894&lt;=2,H2894&lt;=2),"HIBERNATING",TRUE(),"Other")</f>
        <v>POTENTIAL LOYALIST</v>
      </c>
      <c r="K2894" s="1" t="n">
        <f aca="false">RANK(E2894,$E$7:$E$4378)+COUNTIF($E$7:E2894,E2894)-1</f>
        <v>1272</v>
      </c>
    </row>
    <row r="2895" customFormat="false" ht="14.25" hidden="false" customHeight="true" outlineLevel="0" collapsed="false">
      <c r="A2895" s="51" t="n">
        <v>16247</v>
      </c>
      <c r="B2895" s="53" t="n">
        <v>40716.5993055556</v>
      </c>
      <c r="C2895" s="57" t="n">
        <f aca="false">INT($C$2)-INT(Table3[[#This Row],[Last Purchase Date]])</f>
        <v>171</v>
      </c>
      <c r="D2895" s="1" t="n">
        <v>1</v>
      </c>
      <c r="E2895" s="1" t="n">
        <v>114.56</v>
      </c>
      <c r="F2895" s="1" t="n">
        <f aca="false">ROUND((1-_xlfn.PERCENTRANK.INC($C$7:$C$4378,C2895))*9,0)</f>
        <v>2</v>
      </c>
      <c r="G2895" s="1" t="n">
        <f aca="false">ROUND(_xlfn.PERCENTRANK.INC($D$7:$D$4378,D2895)*9,0)</f>
        <v>0</v>
      </c>
      <c r="H2895" s="1" t="n">
        <f aca="false">ROUND(_xlfn.PERCENTRANK.INC($E$7:$E$4378,E2895)*9,0)</f>
        <v>1</v>
      </c>
      <c r="I2895" s="1" t="str">
        <f aca="false">CONCATENATE(F2895,G2895,H2895)</f>
        <v>201</v>
      </c>
      <c r="J2895" s="1" t="str">
        <f aca="false">_xlfn.IFS(AND(F2895&gt;=8,G2895&gt;=8,H2895&gt;=8),"CHAMPION",AND(F2895&gt;=6,G2895&gt;=7,H2895&gt;=6),"LOYAL CUSTOMER",AND(F2895&gt;=6,G2895&gt;=5,H2895&gt;=5),"POTENTIAL LOYALIST",AND(F2895&gt;=8,G2895&lt;=2,H2895&gt;=5),"NEW CUSTOMERS",AND(F2895&gt;=6,G2895&lt;=2,H2895&gt;=3),"PROMISING",AND(F2895&gt;=3,G2895&gt;=3,H2895&gt;=3),"NEED ATTENTION",AND(F2895&lt;=4,G2895&gt;=6,H2895&gt;=6),"AT RISK",AND(F2895&lt;=2,G2895&gt;=8,H2895&gt;=8),"CAN'T LOSE THEM",AND(F2895&lt;=2,G2895&lt;=2,H2895&lt;=2),"HIBERNATING",TRUE(),"Other")</f>
        <v>HIBERNATING</v>
      </c>
      <c r="K2895" s="1" t="n">
        <f aca="false">RANK(E2895,$E$7:$E$4378)+COUNTIF($E$7:E2895,E2895)-1</f>
        <v>4075</v>
      </c>
    </row>
    <row r="2896" customFormat="false" ht="14.25" hidden="false" customHeight="true" outlineLevel="0" collapsed="false">
      <c r="A2896" s="51" t="n">
        <v>16248</v>
      </c>
      <c r="B2896" s="53" t="n">
        <v>40825.4805555556</v>
      </c>
      <c r="C2896" s="57" t="n">
        <f aca="false">INT($C$2)-INT(Table3[[#This Row],[Last Purchase Date]])</f>
        <v>62</v>
      </c>
      <c r="D2896" s="1" t="n">
        <v>1</v>
      </c>
      <c r="E2896" s="1" t="n">
        <v>152.94</v>
      </c>
      <c r="F2896" s="1" t="n">
        <f aca="false">ROUND((1-_xlfn.PERCENTRANK.INC($C$7:$C$4378,C2896))*9,0)</f>
        <v>4</v>
      </c>
      <c r="G2896" s="1" t="n">
        <f aca="false">ROUND(_xlfn.PERCENTRANK.INC($D$7:$D$4378,D2896)*9,0)</f>
        <v>0</v>
      </c>
      <c r="H2896" s="1" t="n">
        <f aca="false">ROUND(_xlfn.PERCENTRANK.INC($E$7:$E$4378,E2896)*9,0)</f>
        <v>1</v>
      </c>
      <c r="I2896" s="1" t="str">
        <f aca="false">CONCATENATE(F2896,G2896,H2896)</f>
        <v>401</v>
      </c>
      <c r="J2896" s="1" t="str">
        <f aca="false">_xlfn.IFS(AND(F2896&gt;=8,G2896&gt;=8,H2896&gt;=8),"CHAMPION",AND(F2896&gt;=6,G2896&gt;=7,H2896&gt;=6),"LOYAL CUSTOMER",AND(F2896&gt;=6,G2896&gt;=5,H2896&gt;=5),"POTENTIAL LOYALIST",AND(F2896&gt;=8,G2896&lt;=2,H2896&gt;=5),"NEW CUSTOMERS",AND(F2896&gt;=6,G2896&lt;=2,H2896&gt;=3),"PROMISING",AND(F2896&gt;=3,G2896&gt;=3,H2896&gt;=3),"NEED ATTENTION",AND(F2896&lt;=4,G2896&gt;=6,H2896&gt;=6),"AT RISK",AND(F2896&lt;=2,G2896&gt;=8,H2896&gt;=8),"CAN'T LOSE THEM",AND(F2896&lt;=2,G2896&lt;=2,H2896&lt;=2),"HIBERNATING",TRUE(),"Other")</f>
        <v>Other</v>
      </c>
      <c r="K2896" s="1" t="n">
        <f aca="false">RANK(E2896,$E$7:$E$4378)+COUNTIF($E$7:E2896,E2896)-1</f>
        <v>3901</v>
      </c>
    </row>
    <row r="2897" customFormat="false" ht="14.25" hidden="false" customHeight="true" outlineLevel="0" collapsed="false">
      <c r="A2897" s="51" t="n">
        <v>16249</v>
      </c>
      <c r="B2897" s="53" t="n">
        <v>40834.4215277778</v>
      </c>
      <c r="C2897" s="57" t="n">
        <f aca="false">INT($C$2)-INT(Table3[[#This Row],[Last Purchase Date]])</f>
        <v>53</v>
      </c>
      <c r="D2897" s="1" t="n">
        <v>5</v>
      </c>
      <c r="E2897" s="1" t="n">
        <v>1800.07</v>
      </c>
      <c r="F2897" s="1" t="n">
        <f aca="false">ROUND((1-_xlfn.PERCENTRANK.INC($C$7:$C$4378,C2897))*9,0)</f>
        <v>4</v>
      </c>
      <c r="G2897" s="1" t="n">
        <f aca="false">ROUND(_xlfn.PERCENTRANK.INC($D$7:$D$4378,D2897)*9,0)</f>
        <v>6</v>
      </c>
      <c r="H2897" s="1" t="n">
        <f aca="false">ROUND(_xlfn.PERCENTRANK.INC($E$7:$E$4378,E2897)*9,0)</f>
        <v>7</v>
      </c>
      <c r="I2897" s="1" t="str">
        <f aca="false">CONCATENATE(F2897,G2897,H2897)</f>
        <v>467</v>
      </c>
      <c r="J2897" s="1" t="str">
        <f aca="false">_xlfn.IFS(AND(F2897&gt;=8,G2897&gt;=8,H2897&gt;=8),"CHAMPION",AND(F2897&gt;=6,G2897&gt;=7,H2897&gt;=6),"LOYAL CUSTOMER",AND(F2897&gt;=6,G2897&gt;=5,H2897&gt;=5),"POTENTIAL LOYALIST",AND(F2897&gt;=8,G2897&lt;=2,H2897&gt;=5),"NEW CUSTOMERS",AND(F2897&gt;=6,G2897&lt;=2,H2897&gt;=3),"PROMISING",AND(F2897&gt;=3,G2897&gt;=3,H2897&gt;=3),"NEED ATTENTION",AND(F2897&lt;=4,G2897&gt;=6,H2897&gt;=6),"AT RISK",AND(F2897&lt;=2,G2897&gt;=8,H2897&gt;=8),"CAN'T LOSE THEM",AND(F2897&lt;=2,G2897&lt;=2,H2897&lt;=2),"HIBERNATING",TRUE(),"Other")</f>
        <v>NEED ATTENTION</v>
      </c>
      <c r="K2897" s="1" t="n">
        <f aca="false">RANK(E2897,$E$7:$E$4378)+COUNTIF($E$7:E2897,E2897)-1</f>
        <v>975</v>
      </c>
    </row>
    <row r="2898" customFormat="false" ht="14.25" hidden="false" customHeight="true" outlineLevel="0" collapsed="false">
      <c r="A2898" s="51" t="n">
        <v>16250</v>
      </c>
      <c r="B2898" s="53" t="n">
        <v>40625.6298611111</v>
      </c>
      <c r="C2898" s="57" t="n">
        <f aca="false">INT($C$2)-INT(Table3[[#This Row],[Last Purchase Date]])</f>
        <v>262</v>
      </c>
      <c r="D2898" s="1" t="n">
        <v>2</v>
      </c>
      <c r="E2898" s="1" t="n">
        <v>389.44</v>
      </c>
      <c r="F2898" s="1" t="n">
        <f aca="false">ROUND((1-_xlfn.PERCENTRANK.INC($C$7:$C$4378,C2898))*9,0)</f>
        <v>1</v>
      </c>
      <c r="G2898" s="1" t="n">
        <f aca="false">ROUND(_xlfn.PERCENTRANK.INC($D$7:$D$4378,D2898)*9,0)</f>
        <v>3</v>
      </c>
      <c r="H2898" s="1" t="n">
        <f aca="false">ROUND(_xlfn.PERCENTRANK.INC($E$7:$E$4378,E2898)*9,0)</f>
        <v>3</v>
      </c>
      <c r="I2898" s="1" t="str">
        <f aca="false">CONCATENATE(F2898,G2898,H2898)</f>
        <v>133</v>
      </c>
      <c r="J2898" s="1" t="str">
        <f aca="false">_xlfn.IFS(AND(F2898&gt;=8,G2898&gt;=8,H2898&gt;=8),"CHAMPION",AND(F2898&gt;=6,G2898&gt;=7,H2898&gt;=6),"LOYAL CUSTOMER",AND(F2898&gt;=6,G2898&gt;=5,H2898&gt;=5),"POTENTIAL LOYALIST",AND(F2898&gt;=8,G2898&lt;=2,H2898&gt;=5),"NEW CUSTOMERS",AND(F2898&gt;=6,G2898&lt;=2,H2898&gt;=3),"PROMISING",AND(F2898&gt;=3,G2898&gt;=3,H2898&gt;=3),"NEED ATTENTION",AND(F2898&lt;=4,G2898&gt;=6,H2898&gt;=6),"AT RISK",AND(F2898&lt;=2,G2898&gt;=8,H2898&gt;=8),"CAN'T LOSE THEM",AND(F2898&lt;=2,G2898&lt;=2,H2898&lt;=2),"HIBERNATING",TRUE(),"Other")</f>
        <v>Other</v>
      </c>
      <c r="K2898" s="1" t="n">
        <f aca="false">RANK(E2898,$E$7:$E$4378)+COUNTIF($E$7:E2898,E2898)-1</f>
        <v>2849</v>
      </c>
    </row>
    <row r="2899" customFormat="false" ht="14.25" hidden="false" customHeight="true" outlineLevel="0" collapsed="false">
      <c r="A2899" s="51" t="n">
        <v>16252</v>
      </c>
      <c r="B2899" s="53" t="n">
        <v>40520.6770833333</v>
      </c>
      <c r="C2899" s="57" t="n">
        <f aca="false">INT($C$2)-INT(Table3[[#This Row],[Last Purchase Date]])</f>
        <v>367</v>
      </c>
      <c r="D2899" s="1" t="n">
        <v>1</v>
      </c>
      <c r="E2899" s="1" t="n">
        <v>-295.09</v>
      </c>
      <c r="F2899" s="1" t="n">
        <f aca="false">ROUND((1-_xlfn.PERCENTRANK.INC($C$7:$C$4378,C2899))*9,0)</f>
        <v>0</v>
      </c>
      <c r="G2899" s="1" t="n">
        <f aca="false">ROUND(_xlfn.PERCENTRANK.INC($D$7:$D$4378,D2899)*9,0)</f>
        <v>0</v>
      </c>
      <c r="H2899" s="1" t="n">
        <f aca="false">ROUND(_xlfn.PERCENTRANK.INC($E$7:$E$4378,E2899)*9,0)</f>
        <v>0</v>
      </c>
      <c r="I2899" s="1" t="str">
        <f aca="false">CONCATENATE(F2899,G2899,H2899)</f>
        <v>000</v>
      </c>
      <c r="J2899" s="1" t="str">
        <f aca="false">_xlfn.IFS(AND(F2899&gt;=8,G2899&gt;=8,H2899&gt;=8),"CHAMPION",AND(F2899&gt;=6,G2899&gt;=7,H2899&gt;=6),"LOYAL CUSTOMER",AND(F2899&gt;=6,G2899&gt;=5,H2899&gt;=5),"POTENTIAL LOYALIST",AND(F2899&gt;=8,G2899&lt;=2,H2899&gt;=5),"NEW CUSTOMERS",AND(F2899&gt;=6,G2899&lt;=2,H2899&gt;=3),"PROMISING",AND(F2899&gt;=3,G2899&gt;=3,H2899&gt;=3),"NEED ATTENTION",AND(F2899&lt;=4,G2899&gt;=6,H2899&gt;=6),"AT RISK",AND(F2899&lt;=2,G2899&gt;=8,H2899&gt;=8),"CAN'T LOSE THEM",AND(F2899&lt;=2,G2899&lt;=2,H2899&lt;=2),"HIBERNATING",TRUE(),"Other")</f>
        <v>HIBERNATING</v>
      </c>
      <c r="K2899" s="1" t="n">
        <f aca="false">RANK(E2899,$E$7:$E$4378)+COUNTIF($E$7:E2899,E2899)-1</f>
        <v>4364</v>
      </c>
    </row>
    <row r="2900" customFormat="false" ht="14.25" hidden="false" customHeight="true" outlineLevel="0" collapsed="false">
      <c r="A2900" s="51" t="n">
        <v>16253</v>
      </c>
      <c r="B2900" s="53" t="n">
        <v>40855.4743055556</v>
      </c>
      <c r="C2900" s="57" t="n">
        <f aca="false">INT($C$2)-INT(Table3[[#This Row],[Last Purchase Date]])</f>
        <v>32</v>
      </c>
      <c r="D2900" s="1" t="n">
        <v>3</v>
      </c>
      <c r="E2900" s="1" t="n">
        <v>3665.62</v>
      </c>
      <c r="F2900" s="1" t="n">
        <f aca="false">ROUND((1-_xlfn.PERCENTRANK.INC($C$7:$C$4378,C2900))*9,0)</f>
        <v>5</v>
      </c>
      <c r="G2900" s="1" t="n">
        <f aca="false">ROUND(_xlfn.PERCENTRANK.INC($D$7:$D$4378,D2900)*9,0)</f>
        <v>4</v>
      </c>
      <c r="H2900" s="1" t="n">
        <f aca="false">ROUND(_xlfn.PERCENTRANK.INC($E$7:$E$4378,E2900)*9,0)</f>
        <v>8</v>
      </c>
      <c r="I2900" s="1" t="str">
        <f aca="false">CONCATENATE(F2900,G2900,H2900)</f>
        <v>548</v>
      </c>
      <c r="J2900" s="1" t="str">
        <f aca="false">_xlfn.IFS(AND(F2900&gt;=8,G2900&gt;=8,H2900&gt;=8),"CHAMPION",AND(F2900&gt;=6,G2900&gt;=7,H2900&gt;=6),"LOYAL CUSTOMER",AND(F2900&gt;=6,G2900&gt;=5,H2900&gt;=5),"POTENTIAL LOYALIST",AND(F2900&gt;=8,G2900&lt;=2,H2900&gt;=5),"NEW CUSTOMERS",AND(F2900&gt;=6,G2900&lt;=2,H2900&gt;=3),"PROMISING",AND(F2900&gt;=3,G2900&gt;=3,H2900&gt;=3),"NEED ATTENTION",AND(F2900&lt;=4,G2900&gt;=6,H2900&gt;=6),"AT RISK",AND(F2900&lt;=2,G2900&gt;=8,H2900&gt;=8),"CAN'T LOSE THEM",AND(F2900&lt;=2,G2900&lt;=2,H2900&lt;=2),"HIBERNATING",TRUE(),"Other")</f>
        <v>NEED ATTENTION</v>
      </c>
      <c r="K2900" s="1" t="n">
        <f aca="false">RANK(E2900,$E$7:$E$4378)+COUNTIF($E$7:E2900,E2900)-1</f>
        <v>408</v>
      </c>
    </row>
    <row r="2901" customFormat="false" ht="14.25" hidden="false" customHeight="true" outlineLevel="0" collapsed="false">
      <c r="A2901" s="51" t="n">
        <v>16255</v>
      </c>
      <c r="B2901" s="53" t="n">
        <v>40870.5277777778</v>
      </c>
      <c r="C2901" s="57" t="n">
        <f aca="false">INT($C$2)-INT(Table3[[#This Row],[Last Purchase Date]])</f>
        <v>17</v>
      </c>
      <c r="D2901" s="1" t="n">
        <v>10</v>
      </c>
      <c r="E2901" s="1" t="n">
        <v>2609.3</v>
      </c>
      <c r="F2901" s="1" t="n">
        <f aca="false">ROUND((1-_xlfn.PERCENTRANK.INC($C$7:$C$4378,C2901))*9,0)</f>
        <v>7</v>
      </c>
      <c r="G2901" s="1" t="n">
        <f aca="false">ROUND(_xlfn.PERCENTRANK.INC($D$7:$D$4378,D2901)*9,0)</f>
        <v>8</v>
      </c>
      <c r="H2901" s="1" t="n">
        <f aca="false">ROUND(_xlfn.PERCENTRANK.INC($E$7:$E$4378,E2901)*9,0)</f>
        <v>8</v>
      </c>
      <c r="I2901" s="1" t="str">
        <f aca="false">CONCATENATE(F2901,G2901,H2901)</f>
        <v>788</v>
      </c>
      <c r="J2901" s="1" t="str">
        <f aca="false">_xlfn.IFS(AND(F2901&gt;=8,G2901&gt;=8,H2901&gt;=8),"CHAMPION",AND(F2901&gt;=6,G2901&gt;=7,H2901&gt;=6),"LOYAL CUSTOMER",AND(F2901&gt;=6,G2901&gt;=5,H2901&gt;=5),"POTENTIAL LOYALIST",AND(F2901&gt;=8,G2901&lt;=2,H2901&gt;=5),"NEW CUSTOMERS",AND(F2901&gt;=6,G2901&lt;=2,H2901&gt;=3),"PROMISING",AND(F2901&gt;=3,G2901&gt;=3,H2901&gt;=3),"NEED ATTENTION",AND(F2901&lt;=4,G2901&gt;=6,H2901&gt;=6),"AT RISK",AND(F2901&lt;=2,G2901&gt;=8,H2901&gt;=8),"CAN'T LOSE THEM",AND(F2901&lt;=2,G2901&lt;=2,H2901&lt;=2),"HIBERNATING",TRUE(),"Other")</f>
        <v>LOYAL CUSTOMER</v>
      </c>
      <c r="K2901" s="1" t="n">
        <f aca="false">RANK(E2901,$E$7:$E$4378)+COUNTIF($E$7:E2901,E2901)-1</f>
        <v>643</v>
      </c>
    </row>
    <row r="2902" customFormat="false" ht="14.25" hidden="false" customHeight="true" outlineLevel="0" collapsed="false">
      <c r="A2902" s="51" t="n">
        <v>16256</v>
      </c>
      <c r="B2902" s="53" t="n">
        <v>40629.5097222222</v>
      </c>
      <c r="C2902" s="57" t="n">
        <f aca="false">INT($C$2)-INT(Table3[[#This Row],[Last Purchase Date]])</f>
        <v>258</v>
      </c>
      <c r="D2902" s="1" t="n">
        <v>2</v>
      </c>
      <c r="E2902" s="1" t="n">
        <v>732.63</v>
      </c>
      <c r="F2902" s="1" t="n">
        <f aca="false">ROUND((1-_xlfn.PERCENTRANK.INC($C$7:$C$4378,C2902))*9,0)</f>
        <v>1</v>
      </c>
      <c r="G2902" s="1" t="n">
        <f aca="false">ROUND(_xlfn.PERCENTRANK.INC($D$7:$D$4378,D2902)*9,0)</f>
        <v>3</v>
      </c>
      <c r="H2902" s="1" t="n">
        <f aca="false">ROUND(_xlfn.PERCENTRANK.INC($E$7:$E$4378,E2902)*9,0)</f>
        <v>5</v>
      </c>
      <c r="I2902" s="1" t="str">
        <f aca="false">CONCATENATE(F2902,G2902,H2902)</f>
        <v>135</v>
      </c>
      <c r="J2902" s="1" t="str">
        <f aca="false">_xlfn.IFS(AND(F2902&gt;=8,G2902&gt;=8,H2902&gt;=8),"CHAMPION",AND(F2902&gt;=6,G2902&gt;=7,H2902&gt;=6),"LOYAL CUSTOMER",AND(F2902&gt;=6,G2902&gt;=5,H2902&gt;=5),"POTENTIAL LOYALIST",AND(F2902&gt;=8,G2902&lt;=2,H2902&gt;=5),"NEW CUSTOMERS",AND(F2902&gt;=6,G2902&lt;=2,H2902&gt;=3),"PROMISING",AND(F2902&gt;=3,G2902&gt;=3,H2902&gt;=3),"NEED ATTENTION",AND(F2902&lt;=4,G2902&gt;=6,H2902&gt;=6),"AT RISK",AND(F2902&lt;=2,G2902&gt;=8,H2902&gt;=8),"CAN'T LOSE THEM",AND(F2902&lt;=2,G2902&lt;=2,H2902&lt;=2),"HIBERNATING",TRUE(),"Other")</f>
        <v>Other</v>
      </c>
      <c r="K2902" s="1" t="n">
        <f aca="false">RANK(E2902,$E$7:$E$4378)+COUNTIF($E$7:E2902,E2902)-1</f>
        <v>2004</v>
      </c>
    </row>
    <row r="2903" customFormat="false" ht="14.25" hidden="false" customHeight="true" outlineLevel="0" collapsed="false">
      <c r="A2903" s="51" t="n">
        <v>16257</v>
      </c>
      <c r="B2903" s="53" t="n">
        <v>40710.4243055556</v>
      </c>
      <c r="C2903" s="57" t="n">
        <f aca="false">INT($C$2)-INT(Table3[[#This Row],[Last Purchase Date]])</f>
        <v>177</v>
      </c>
      <c r="D2903" s="1" t="n">
        <v>1</v>
      </c>
      <c r="E2903" s="1" t="n">
        <v>46.95</v>
      </c>
      <c r="F2903" s="1" t="n">
        <f aca="false">ROUND((1-_xlfn.PERCENTRANK.INC($C$7:$C$4378,C2903))*9,0)</f>
        <v>2</v>
      </c>
      <c r="G2903" s="1" t="n">
        <f aca="false">ROUND(_xlfn.PERCENTRANK.INC($D$7:$D$4378,D2903)*9,0)</f>
        <v>0</v>
      </c>
      <c r="H2903" s="1" t="n">
        <f aca="false">ROUND(_xlfn.PERCENTRANK.INC($E$7:$E$4378,E2903)*9,0)</f>
        <v>0</v>
      </c>
      <c r="I2903" s="1" t="str">
        <f aca="false">CONCATENATE(F2903,G2903,H2903)</f>
        <v>200</v>
      </c>
      <c r="J2903" s="1" t="str">
        <f aca="false">_xlfn.IFS(AND(F2903&gt;=8,G2903&gt;=8,H2903&gt;=8),"CHAMPION",AND(F2903&gt;=6,G2903&gt;=7,H2903&gt;=6),"LOYAL CUSTOMER",AND(F2903&gt;=6,G2903&gt;=5,H2903&gt;=5),"POTENTIAL LOYALIST",AND(F2903&gt;=8,G2903&lt;=2,H2903&gt;=5),"NEW CUSTOMERS",AND(F2903&gt;=6,G2903&lt;=2,H2903&gt;=3),"PROMISING",AND(F2903&gt;=3,G2903&gt;=3,H2903&gt;=3),"NEED ATTENTION",AND(F2903&lt;=4,G2903&gt;=6,H2903&gt;=6),"AT RISK",AND(F2903&lt;=2,G2903&gt;=8,H2903&gt;=8),"CAN'T LOSE THEM",AND(F2903&lt;=2,G2903&lt;=2,H2903&lt;=2),"HIBERNATING",TRUE(),"Other")</f>
        <v>HIBERNATING</v>
      </c>
      <c r="K2903" s="1" t="n">
        <f aca="false">RANK(E2903,$E$7:$E$4378)+COUNTIF($E$7:E2903,E2903)-1</f>
        <v>4285</v>
      </c>
    </row>
    <row r="2904" customFormat="false" ht="14.25" hidden="false" customHeight="true" outlineLevel="0" collapsed="false">
      <c r="A2904" s="51" t="n">
        <v>16258</v>
      </c>
      <c r="B2904" s="53" t="n">
        <v>40841.5625</v>
      </c>
      <c r="C2904" s="57" t="n">
        <f aca="false">INT($C$2)-INT(Table3[[#This Row],[Last Purchase Date]])</f>
        <v>46</v>
      </c>
      <c r="D2904" s="1" t="n">
        <v>5</v>
      </c>
      <c r="E2904" s="1" t="n">
        <v>5203.51</v>
      </c>
      <c r="F2904" s="1" t="n">
        <f aca="false">ROUND((1-_xlfn.PERCENTRANK.INC($C$7:$C$4378,C2904))*9,0)</f>
        <v>5</v>
      </c>
      <c r="G2904" s="1" t="n">
        <f aca="false">ROUND(_xlfn.PERCENTRANK.INC($D$7:$D$4378,D2904)*9,0)</f>
        <v>6</v>
      </c>
      <c r="H2904" s="1" t="n">
        <f aca="false">ROUND(_xlfn.PERCENTRANK.INC($E$7:$E$4378,E2904)*9,0)</f>
        <v>9</v>
      </c>
      <c r="I2904" s="1" t="str">
        <f aca="false">CONCATENATE(F2904,G2904,H2904)</f>
        <v>569</v>
      </c>
      <c r="J2904" s="1" t="str">
        <f aca="false">_xlfn.IFS(AND(F2904&gt;=8,G2904&gt;=8,H2904&gt;=8),"CHAMPION",AND(F2904&gt;=6,G2904&gt;=7,H2904&gt;=6),"LOYAL CUSTOMER",AND(F2904&gt;=6,G2904&gt;=5,H2904&gt;=5),"POTENTIAL LOYALIST",AND(F2904&gt;=8,G2904&lt;=2,H2904&gt;=5),"NEW CUSTOMERS",AND(F2904&gt;=6,G2904&lt;=2,H2904&gt;=3),"PROMISING",AND(F2904&gt;=3,G2904&gt;=3,H2904&gt;=3),"NEED ATTENTION",AND(F2904&lt;=4,G2904&gt;=6,H2904&gt;=6),"AT RISK",AND(F2904&lt;=2,G2904&gt;=8,H2904&gt;=8),"CAN'T LOSE THEM",AND(F2904&lt;=2,G2904&lt;=2,H2904&lt;=2),"HIBERNATING",TRUE(),"Other")</f>
        <v>NEED ATTENTION</v>
      </c>
      <c r="K2904" s="1" t="n">
        <f aca="false">RANK(E2904,$E$7:$E$4378)+COUNTIF($E$7:E2904,E2904)-1</f>
        <v>243</v>
      </c>
    </row>
    <row r="2905" customFormat="false" ht="14.25" hidden="false" customHeight="true" outlineLevel="0" collapsed="false">
      <c r="A2905" s="51" t="n">
        <v>16260</v>
      </c>
      <c r="B2905" s="53" t="n">
        <v>40836.4027777778</v>
      </c>
      <c r="C2905" s="57" t="n">
        <f aca="false">INT($C$2)-INT(Table3[[#This Row],[Last Purchase Date]])</f>
        <v>51</v>
      </c>
      <c r="D2905" s="1" t="n">
        <v>1</v>
      </c>
      <c r="E2905" s="1" t="n">
        <v>1035.45</v>
      </c>
      <c r="F2905" s="1" t="n">
        <f aca="false">ROUND((1-_xlfn.PERCENTRANK.INC($C$7:$C$4378,C2905))*9,0)</f>
        <v>5</v>
      </c>
      <c r="G2905" s="1" t="n">
        <f aca="false">ROUND(_xlfn.PERCENTRANK.INC($D$7:$D$4378,D2905)*9,0)</f>
        <v>0</v>
      </c>
      <c r="H2905" s="1" t="n">
        <f aca="false">ROUND(_xlfn.PERCENTRANK.INC($E$7:$E$4378,E2905)*9,0)</f>
        <v>6</v>
      </c>
      <c r="I2905" s="1" t="str">
        <f aca="false">CONCATENATE(F2905,G2905,H2905)</f>
        <v>506</v>
      </c>
      <c r="J2905" s="1" t="str">
        <f aca="false">_xlfn.IFS(AND(F2905&gt;=8,G2905&gt;=8,H2905&gt;=8),"CHAMPION",AND(F2905&gt;=6,G2905&gt;=7,H2905&gt;=6),"LOYAL CUSTOMER",AND(F2905&gt;=6,G2905&gt;=5,H2905&gt;=5),"POTENTIAL LOYALIST",AND(F2905&gt;=8,G2905&lt;=2,H2905&gt;=5),"NEW CUSTOMERS",AND(F2905&gt;=6,G2905&lt;=2,H2905&gt;=3),"PROMISING",AND(F2905&gt;=3,G2905&gt;=3,H2905&gt;=3),"NEED ATTENTION",AND(F2905&lt;=4,G2905&gt;=6,H2905&gt;=6),"AT RISK",AND(F2905&lt;=2,G2905&gt;=8,H2905&gt;=8),"CAN'T LOSE THEM",AND(F2905&lt;=2,G2905&lt;=2,H2905&lt;=2),"HIBERNATING",TRUE(),"Other")</f>
        <v>Other</v>
      </c>
      <c r="K2905" s="1" t="n">
        <f aca="false">RANK(E2905,$E$7:$E$4378)+COUNTIF($E$7:E2905,E2905)-1</f>
        <v>1587</v>
      </c>
    </row>
    <row r="2906" customFormat="false" ht="14.25" hidden="false" customHeight="true" outlineLevel="0" collapsed="false">
      <c r="A2906" s="51" t="n">
        <v>16261</v>
      </c>
      <c r="B2906" s="53" t="n">
        <v>40869.7243055556</v>
      </c>
      <c r="C2906" s="57" t="n">
        <f aca="false">INT($C$2)-INT(Table3[[#This Row],[Last Purchase Date]])</f>
        <v>18</v>
      </c>
      <c r="D2906" s="1" t="n">
        <v>4</v>
      </c>
      <c r="E2906" s="1" t="n">
        <v>746.83</v>
      </c>
      <c r="F2906" s="1" t="n">
        <f aca="false">ROUND((1-_xlfn.PERCENTRANK.INC($C$7:$C$4378,C2906))*9,0)</f>
        <v>7</v>
      </c>
      <c r="G2906" s="1" t="n">
        <f aca="false">ROUND(_xlfn.PERCENTRANK.INC($D$7:$D$4378,D2906)*9,0)</f>
        <v>5</v>
      </c>
      <c r="H2906" s="1" t="n">
        <f aca="false">ROUND(_xlfn.PERCENTRANK.INC($E$7:$E$4378,E2906)*9,0)</f>
        <v>5</v>
      </c>
      <c r="I2906" s="1" t="str">
        <f aca="false">CONCATENATE(F2906,G2906,H2906)</f>
        <v>755</v>
      </c>
      <c r="J2906" s="1" t="str">
        <f aca="false">_xlfn.IFS(AND(F2906&gt;=8,G2906&gt;=8,H2906&gt;=8),"CHAMPION",AND(F2906&gt;=6,G2906&gt;=7,H2906&gt;=6),"LOYAL CUSTOMER",AND(F2906&gt;=6,G2906&gt;=5,H2906&gt;=5),"POTENTIAL LOYALIST",AND(F2906&gt;=8,G2906&lt;=2,H2906&gt;=5),"NEW CUSTOMERS",AND(F2906&gt;=6,G2906&lt;=2,H2906&gt;=3),"PROMISING",AND(F2906&gt;=3,G2906&gt;=3,H2906&gt;=3),"NEED ATTENTION",AND(F2906&lt;=4,G2906&gt;=6,H2906&gt;=6),"AT RISK",AND(F2906&lt;=2,G2906&gt;=8,H2906&gt;=8),"CAN'T LOSE THEM",AND(F2906&lt;=2,G2906&lt;=2,H2906&lt;=2),"HIBERNATING",TRUE(),"Other")</f>
        <v>POTENTIAL LOYALIST</v>
      </c>
      <c r="K2906" s="1" t="n">
        <f aca="false">RANK(E2906,$E$7:$E$4378)+COUNTIF($E$7:E2906,E2906)-1</f>
        <v>1983</v>
      </c>
    </row>
    <row r="2907" customFormat="false" ht="14.25" hidden="false" customHeight="true" outlineLevel="0" collapsed="false">
      <c r="A2907" s="51" t="n">
        <v>16262</v>
      </c>
      <c r="B2907" s="53" t="n">
        <v>40526.4965277778</v>
      </c>
      <c r="C2907" s="57" t="n">
        <f aca="false">INT($C$2)-INT(Table3[[#This Row],[Last Purchase Date]])</f>
        <v>361</v>
      </c>
      <c r="D2907" s="1" t="n">
        <v>1</v>
      </c>
      <c r="E2907" s="1" t="n">
        <v>-31.65</v>
      </c>
      <c r="F2907" s="1" t="n">
        <f aca="false">ROUND((1-_xlfn.PERCENTRANK.INC($C$7:$C$4378,C2907))*9,0)</f>
        <v>0</v>
      </c>
      <c r="G2907" s="1" t="n">
        <f aca="false">ROUND(_xlfn.PERCENTRANK.INC($D$7:$D$4378,D2907)*9,0)</f>
        <v>0</v>
      </c>
      <c r="H2907" s="1" t="n">
        <f aca="false">ROUND(_xlfn.PERCENTRANK.INC($E$7:$E$4378,E2907)*9,0)</f>
        <v>0</v>
      </c>
      <c r="I2907" s="1" t="str">
        <f aca="false">CONCATENATE(F2907,G2907,H2907)</f>
        <v>000</v>
      </c>
      <c r="J2907" s="1" t="str">
        <f aca="false">_xlfn.IFS(AND(F2907&gt;=8,G2907&gt;=8,H2907&gt;=8),"CHAMPION",AND(F2907&gt;=6,G2907&gt;=7,H2907&gt;=6),"LOYAL CUSTOMER",AND(F2907&gt;=6,G2907&gt;=5,H2907&gt;=5),"POTENTIAL LOYALIST",AND(F2907&gt;=8,G2907&lt;=2,H2907&gt;=5),"NEW CUSTOMERS",AND(F2907&gt;=6,G2907&lt;=2,H2907&gt;=3),"PROMISING",AND(F2907&gt;=3,G2907&gt;=3,H2907&gt;=3),"NEED ATTENTION",AND(F2907&lt;=4,G2907&gt;=6,H2907&gt;=6),"AT RISK",AND(F2907&lt;=2,G2907&gt;=8,H2907&gt;=8),"CAN'T LOSE THEM",AND(F2907&lt;=2,G2907&lt;=2,H2907&lt;=2),"HIBERNATING",TRUE(),"Other")</f>
        <v>HIBERNATING</v>
      </c>
      <c r="K2907" s="1" t="n">
        <f aca="false">RANK(E2907,$E$7:$E$4378)+COUNTIF($E$7:E2907,E2907)-1</f>
        <v>4349</v>
      </c>
    </row>
    <row r="2908" customFormat="false" ht="14.25" hidden="false" customHeight="true" outlineLevel="0" collapsed="false">
      <c r="A2908" s="51" t="n">
        <v>16265</v>
      </c>
      <c r="B2908" s="53" t="n">
        <v>40877.6951388889</v>
      </c>
      <c r="C2908" s="57" t="n">
        <f aca="false">INT($C$2)-INT(Table3[[#This Row],[Last Purchase Date]])</f>
        <v>10</v>
      </c>
      <c r="D2908" s="1" t="n">
        <v>11</v>
      </c>
      <c r="E2908" s="1" t="n">
        <v>5423.15</v>
      </c>
      <c r="F2908" s="1" t="n">
        <f aca="false">ROUND((1-_xlfn.PERCENTRANK.INC($C$7:$C$4378,C2908))*9,0)</f>
        <v>8</v>
      </c>
      <c r="G2908" s="1" t="n">
        <f aca="false">ROUND(_xlfn.PERCENTRANK.INC($D$7:$D$4378,D2908)*9,0)</f>
        <v>8</v>
      </c>
      <c r="H2908" s="1" t="n">
        <f aca="false">ROUND(_xlfn.PERCENTRANK.INC($E$7:$E$4378,E2908)*9,0)</f>
        <v>9</v>
      </c>
      <c r="I2908" s="1" t="str">
        <f aca="false">CONCATENATE(F2908,G2908,H2908)</f>
        <v>889</v>
      </c>
      <c r="J2908" s="1" t="str">
        <f aca="false">_xlfn.IFS(AND(F2908&gt;=8,G2908&gt;=8,H2908&gt;=8),"CHAMPION",AND(F2908&gt;=6,G2908&gt;=7,H2908&gt;=6),"LOYAL CUSTOMER",AND(F2908&gt;=6,G2908&gt;=5,H2908&gt;=5),"POTENTIAL LOYALIST",AND(F2908&gt;=8,G2908&lt;=2,H2908&gt;=5),"NEW CUSTOMERS",AND(F2908&gt;=6,G2908&lt;=2,H2908&gt;=3),"PROMISING",AND(F2908&gt;=3,G2908&gt;=3,H2908&gt;=3),"NEED ATTENTION",AND(F2908&lt;=4,G2908&gt;=6,H2908&gt;=6),"AT RISK",AND(F2908&lt;=2,G2908&gt;=8,H2908&gt;=8),"CAN'T LOSE THEM",AND(F2908&lt;=2,G2908&lt;=2,H2908&lt;=2),"HIBERNATING",TRUE(),"Other")</f>
        <v>CHAMPION</v>
      </c>
      <c r="K2908" s="1" t="n">
        <f aca="false">RANK(E2908,$E$7:$E$4378)+COUNTIF($E$7:E2908,E2908)-1</f>
        <v>233</v>
      </c>
    </row>
    <row r="2909" customFormat="false" ht="14.25" hidden="false" customHeight="true" outlineLevel="0" collapsed="false">
      <c r="A2909" s="51" t="n">
        <v>16266</v>
      </c>
      <c r="B2909" s="53" t="n">
        <v>40813.5055555556</v>
      </c>
      <c r="C2909" s="57" t="n">
        <f aca="false">INT($C$2)-INT(Table3[[#This Row],[Last Purchase Date]])</f>
        <v>74</v>
      </c>
      <c r="D2909" s="1" t="n">
        <v>7</v>
      </c>
      <c r="E2909" s="1" t="n">
        <v>861.89</v>
      </c>
      <c r="F2909" s="1" t="n">
        <f aca="false">ROUND((1-_xlfn.PERCENTRANK.INC($C$7:$C$4378,C2909))*9,0)</f>
        <v>3</v>
      </c>
      <c r="G2909" s="1" t="n">
        <f aca="false">ROUND(_xlfn.PERCENTRANK.INC($D$7:$D$4378,D2909)*9,0)</f>
        <v>7</v>
      </c>
      <c r="H2909" s="1" t="n">
        <f aca="false">ROUND(_xlfn.PERCENTRANK.INC($E$7:$E$4378,E2909)*9,0)</f>
        <v>5</v>
      </c>
      <c r="I2909" s="1" t="str">
        <f aca="false">CONCATENATE(F2909,G2909,H2909)</f>
        <v>375</v>
      </c>
      <c r="J2909" s="1" t="str">
        <f aca="false">_xlfn.IFS(AND(F2909&gt;=8,G2909&gt;=8,H2909&gt;=8),"CHAMPION",AND(F2909&gt;=6,G2909&gt;=7,H2909&gt;=6),"LOYAL CUSTOMER",AND(F2909&gt;=6,G2909&gt;=5,H2909&gt;=5),"POTENTIAL LOYALIST",AND(F2909&gt;=8,G2909&lt;=2,H2909&gt;=5),"NEW CUSTOMERS",AND(F2909&gt;=6,G2909&lt;=2,H2909&gt;=3),"PROMISING",AND(F2909&gt;=3,G2909&gt;=3,H2909&gt;=3),"NEED ATTENTION",AND(F2909&lt;=4,G2909&gt;=6,H2909&gt;=6),"AT RISK",AND(F2909&lt;=2,G2909&gt;=8,H2909&gt;=8),"CAN'T LOSE THEM",AND(F2909&lt;=2,G2909&lt;=2,H2909&lt;=2),"HIBERNATING",TRUE(),"Other")</f>
        <v>NEED ATTENTION</v>
      </c>
      <c r="K2909" s="1" t="n">
        <f aca="false">RANK(E2909,$E$7:$E$4378)+COUNTIF($E$7:E2909,E2909)-1</f>
        <v>1814</v>
      </c>
    </row>
    <row r="2910" customFormat="false" ht="14.25" hidden="false" customHeight="true" outlineLevel="0" collapsed="false">
      <c r="A2910" s="51" t="n">
        <v>16268</v>
      </c>
      <c r="B2910" s="53" t="n">
        <v>40815.7708333333</v>
      </c>
      <c r="C2910" s="57" t="n">
        <f aca="false">INT($C$2)-INT(Table3[[#This Row],[Last Purchase Date]])</f>
        <v>72</v>
      </c>
      <c r="D2910" s="1" t="n">
        <v>2</v>
      </c>
      <c r="E2910" s="1" t="n">
        <v>667.65</v>
      </c>
      <c r="F2910" s="1" t="n">
        <f aca="false">ROUND((1-_xlfn.PERCENTRANK.INC($C$7:$C$4378,C2910))*9,0)</f>
        <v>4</v>
      </c>
      <c r="G2910" s="1" t="n">
        <f aca="false">ROUND(_xlfn.PERCENTRANK.INC($D$7:$D$4378,D2910)*9,0)</f>
        <v>3</v>
      </c>
      <c r="H2910" s="1" t="n">
        <f aca="false">ROUND(_xlfn.PERCENTRANK.INC($E$7:$E$4378,E2910)*9,0)</f>
        <v>5</v>
      </c>
      <c r="I2910" s="1" t="str">
        <f aca="false">CONCATENATE(F2910,G2910,H2910)</f>
        <v>435</v>
      </c>
      <c r="J2910" s="1" t="str">
        <f aca="false">_xlfn.IFS(AND(F2910&gt;=8,G2910&gt;=8,H2910&gt;=8),"CHAMPION",AND(F2910&gt;=6,G2910&gt;=7,H2910&gt;=6),"LOYAL CUSTOMER",AND(F2910&gt;=6,G2910&gt;=5,H2910&gt;=5),"POTENTIAL LOYALIST",AND(F2910&gt;=8,G2910&lt;=2,H2910&gt;=5),"NEW CUSTOMERS",AND(F2910&gt;=6,G2910&lt;=2,H2910&gt;=3),"PROMISING",AND(F2910&gt;=3,G2910&gt;=3,H2910&gt;=3),"NEED ATTENTION",AND(F2910&lt;=4,G2910&gt;=6,H2910&gt;=6),"AT RISK",AND(F2910&lt;=2,G2910&gt;=8,H2910&gt;=8),"CAN'T LOSE THEM",AND(F2910&lt;=2,G2910&lt;=2,H2910&lt;=2),"HIBERNATING",TRUE(),"Other")</f>
        <v>NEED ATTENTION</v>
      </c>
      <c r="K2910" s="1" t="n">
        <f aca="false">RANK(E2910,$E$7:$E$4378)+COUNTIF($E$7:E2910,E2910)-1</f>
        <v>2135</v>
      </c>
    </row>
    <row r="2911" customFormat="false" ht="14.25" hidden="false" customHeight="true" outlineLevel="0" collapsed="false">
      <c r="A2911" s="51" t="n">
        <v>16270</v>
      </c>
      <c r="B2911" s="53" t="n">
        <v>40533.6013888889</v>
      </c>
      <c r="C2911" s="57" t="n">
        <f aca="false">INT($C$2)-INT(Table3[[#This Row],[Last Purchase Date]])</f>
        <v>354</v>
      </c>
      <c r="D2911" s="1" t="n">
        <v>1</v>
      </c>
      <c r="E2911" s="1" t="n">
        <v>1141.24</v>
      </c>
      <c r="F2911" s="1" t="n">
        <f aca="false">ROUND((1-_xlfn.PERCENTRANK.INC($C$7:$C$4378,C2911))*9,0)</f>
        <v>0</v>
      </c>
      <c r="G2911" s="1" t="n">
        <f aca="false">ROUND(_xlfn.PERCENTRANK.INC($D$7:$D$4378,D2911)*9,0)</f>
        <v>0</v>
      </c>
      <c r="H2911" s="1" t="n">
        <f aca="false">ROUND(_xlfn.PERCENTRANK.INC($E$7:$E$4378,E2911)*9,0)</f>
        <v>6</v>
      </c>
      <c r="I2911" s="1" t="str">
        <f aca="false">CONCATENATE(F2911,G2911,H2911)</f>
        <v>006</v>
      </c>
      <c r="J2911" s="1" t="str">
        <f aca="false">_xlfn.IFS(AND(F2911&gt;=8,G2911&gt;=8,H2911&gt;=8),"CHAMPION",AND(F2911&gt;=6,G2911&gt;=7,H2911&gt;=6),"LOYAL CUSTOMER",AND(F2911&gt;=6,G2911&gt;=5,H2911&gt;=5),"POTENTIAL LOYALIST",AND(F2911&gt;=8,G2911&lt;=2,H2911&gt;=5),"NEW CUSTOMERS",AND(F2911&gt;=6,G2911&lt;=2,H2911&gt;=3),"PROMISING",AND(F2911&gt;=3,G2911&gt;=3,H2911&gt;=3),"NEED ATTENTION",AND(F2911&lt;=4,G2911&gt;=6,H2911&gt;=6),"AT RISK",AND(F2911&lt;=2,G2911&gt;=8,H2911&gt;=8),"CAN'T LOSE THEM",AND(F2911&lt;=2,G2911&lt;=2,H2911&lt;=2),"HIBERNATING",TRUE(),"Other")</f>
        <v>Other</v>
      </c>
      <c r="K2911" s="1" t="n">
        <f aca="false">RANK(E2911,$E$7:$E$4378)+COUNTIF($E$7:E2911,E2911)-1</f>
        <v>1458</v>
      </c>
    </row>
    <row r="2912" customFormat="false" ht="14.25" hidden="false" customHeight="true" outlineLevel="0" collapsed="false">
      <c r="A2912" s="51" t="n">
        <v>16271</v>
      </c>
      <c r="B2912" s="53" t="n">
        <v>40884.53125</v>
      </c>
      <c r="C2912" s="57" t="n">
        <f aca="false">INT($C$2)-INT(Table3[[#This Row],[Last Purchase Date]])</f>
        <v>3</v>
      </c>
      <c r="D2912" s="1" t="n">
        <v>6</v>
      </c>
      <c r="E2912" s="1" t="n">
        <v>1423.29</v>
      </c>
      <c r="F2912" s="1" t="n">
        <f aca="false">ROUND((1-_xlfn.PERCENTRANK.INC($C$7:$C$4378,C2912))*9,0)</f>
        <v>9</v>
      </c>
      <c r="G2912" s="1" t="n">
        <f aca="false">ROUND(_xlfn.PERCENTRANK.INC($D$7:$D$4378,D2912)*9,0)</f>
        <v>7</v>
      </c>
      <c r="H2912" s="1" t="n">
        <f aca="false">ROUND(_xlfn.PERCENTRANK.INC($E$7:$E$4378,E2912)*9,0)</f>
        <v>6</v>
      </c>
      <c r="I2912" s="1" t="str">
        <f aca="false">CONCATENATE(F2912,G2912,H2912)</f>
        <v>976</v>
      </c>
      <c r="J2912" s="1" t="str">
        <f aca="false">_xlfn.IFS(AND(F2912&gt;=8,G2912&gt;=8,H2912&gt;=8),"CHAMPION",AND(F2912&gt;=6,G2912&gt;=7,H2912&gt;=6),"LOYAL CUSTOMER",AND(F2912&gt;=6,G2912&gt;=5,H2912&gt;=5),"POTENTIAL LOYALIST",AND(F2912&gt;=8,G2912&lt;=2,H2912&gt;=5),"NEW CUSTOMERS",AND(F2912&gt;=6,G2912&lt;=2,H2912&gt;=3),"PROMISING",AND(F2912&gt;=3,G2912&gt;=3,H2912&gt;=3),"NEED ATTENTION",AND(F2912&lt;=4,G2912&gt;=6,H2912&gt;=6),"AT RISK",AND(F2912&lt;=2,G2912&gt;=8,H2912&gt;=8),"CAN'T LOSE THEM",AND(F2912&lt;=2,G2912&lt;=2,H2912&lt;=2),"HIBERNATING",TRUE(),"Other")</f>
        <v>LOYAL CUSTOMER</v>
      </c>
      <c r="K2912" s="1" t="n">
        <f aca="false">RANK(E2912,$E$7:$E$4378)+COUNTIF($E$7:E2912,E2912)-1</f>
        <v>1217</v>
      </c>
    </row>
    <row r="2913" customFormat="false" ht="14.25" hidden="false" customHeight="true" outlineLevel="0" collapsed="false">
      <c r="A2913" s="51" t="n">
        <v>16272</v>
      </c>
      <c r="B2913" s="53" t="n">
        <v>40770.4541666667</v>
      </c>
      <c r="C2913" s="57" t="n">
        <f aca="false">INT($C$2)-INT(Table3[[#This Row],[Last Purchase Date]])</f>
        <v>117</v>
      </c>
      <c r="D2913" s="1" t="n">
        <v>1</v>
      </c>
      <c r="E2913" s="1" t="n">
        <v>411.7</v>
      </c>
      <c r="F2913" s="1" t="n">
        <f aca="false">ROUND((1-_xlfn.PERCENTRANK.INC($C$7:$C$4378,C2913))*9,0)</f>
        <v>3</v>
      </c>
      <c r="G2913" s="1" t="n">
        <f aca="false">ROUND(_xlfn.PERCENTRANK.INC($D$7:$D$4378,D2913)*9,0)</f>
        <v>0</v>
      </c>
      <c r="H2913" s="1" t="n">
        <f aca="false">ROUND(_xlfn.PERCENTRANK.INC($E$7:$E$4378,E2913)*9,0)</f>
        <v>3</v>
      </c>
      <c r="I2913" s="1" t="str">
        <f aca="false">CONCATENATE(F2913,G2913,H2913)</f>
        <v>303</v>
      </c>
      <c r="J2913" s="1" t="str">
        <f aca="false">_xlfn.IFS(AND(F2913&gt;=8,G2913&gt;=8,H2913&gt;=8),"CHAMPION",AND(F2913&gt;=6,G2913&gt;=7,H2913&gt;=6),"LOYAL CUSTOMER",AND(F2913&gt;=6,G2913&gt;=5,H2913&gt;=5),"POTENTIAL LOYALIST",AND(F2913&gt;=8,G2913&lt;=2,H2913&gt;=5),"NEW CUSTOMERS",AND(F2913&gt;=6,G2913&lt;=2,H2913&gt;=3),"PROMISING",AND(F2913&gt;=3,G2913&gt;=3,H2913&gt;=3),"NEED ATTENTION",AND(F2913&lt;=4,G2913&gt;=6,H2913&gt;=6),"AT RISK",AND(F2913&lt;=2,G2913&gt;=8,H2913&gt;=8),"CAN'T LOSE THEM",AND(F2913&lt;=2,G2913&lt;=2,H2913&lt;=2),"HIBERNATING",TRUE(),"Other")</f>
        <v>Other</v>
      </c>
      <c r="K2913" s="1" t="n">
        <f aca="false">RANK(E2913,$E$7:$E$4378)+COUNTIF($E$7:E2913,E2913)-1</f>
        <v>2783</v>
      </c>
    </row>
    <row r="2914" customFormat="false" ht="14.25" hidden="false" customHeight="true" outlineLevel="0" collapsed="false">
      <c r="A2914" s="51" t="n">
        <v>16274</v>
      </c>
      <c r="B2914" s="53" t="n">
        <v>40513.6493055556</v>
      </c>
      <c r="C2914" s="57" t="n">
        <f aca="false">INT($C$2)-INT(Table3[[#This Row],[Last Purchase Date]])</f>
        <v>374</v>
      </c>
      <c r="D2914" s="1" t="n">
        <v>1</v>
      </c>
      <c r="E2914" s="1" t="n">
        <v>357.95</v>
      </c>
      <c r="F2914" s="1" t="n">
        <f aca="false">ROUND((1-_xlfn.PERCENTRANK.INC($C$7:$C$4378,C2914))*9,0)</f>
        <v>0</v>
      </c>
      <c r="G2914" s="1" t="n">
        <f aca="false">ROUND(_xlfn.PERCENTRANK.INC($D$7:$D$4378,D2914)*9,0)</f>
        <v>0</v>
      </c>
      <c r="H2914" s="1" t="n">
        <f aca="false">ROUND(_xlfn.PERCENTRANK.INC($E$7:$E$4378,E2914)*9,0)</f>
        <v>3</v>
      </c>
      <c r="I2914" s="1" t="str">
        <f aca="false">CONCATENATE(F2914,G2914,H2914)</f>
        <v>003</v>
      </c>
      <c r="J2914" s="1" t="str">
        <f aca="false">_xlfn.IFS(AND(F2914&gt;=8,G2914&gt;=8,H2914&gt;=8),"CHAMPION",AND(F2914&gt;=6,G2914&gt;=7,H2914&gt;=6),"LOYAL CUSTOMER",AND(F2914&gt;=6,G2914&gt;=5,H2914&gt;=5),"POTENTIAL LOYALIST",AND(F2914&gt;=8,G2914&lt;=2,H2914&gt;=5),"NEW CUSTOMERS",AND(F2914&gt;=6,G2914&lt;=2,H2914&gt;=3),"PROMISING",AND(F2914&gt;=3,G2914&gt;=3,H2914&gt;=3),"NEED ATTENTION",AND(F2914&lt;=4,G2914&gt;=6,H2914&gt;=6),"AT RISK",AND(F2914&lt;=2,G2914&gt;=8,H2914&gt;=8),"CAN'T LOSE THEM",AND(F2914&lt;=2,G2914&lt;=2,H2914&lt;=2),"HIBERNATING",TRUE(),"Other")</f>
        <v>Other</v>
      </c>
      <c r="K2914" s="1" t="n">
        <f aca="false">RANK(E2914,$E$7:$E$4378)+COUNTIF($E$7:E2914,E2914)-1</f>
        <v>2975</v>
      </c>
    </row>
    <row r="2915" customFormat="false" ht="14.25" hidden="false" customHeight="true" outlineLevel="0" collapsed="false">
      <c r="A2915" s="51" t="n">
        <v>16275</v>
      </c>
      <c r="B2915" s="53" t="n">
        <v>40690.5284722222</v>
      </c>
      <c r="C2915" s="57" t="n">
        <f aca="false">INT($C$2)-INT(Table3[[#This Row],[Last Purchase Date]])</f>
        <v>197</v>
      </c>
      <c r="D2915" s="1" t="n">
        <v>1</v>
      </c>
      <c r="E2915" s="1" t="n">
        <v>559.87</v>
      </c>
      <c r="F2915" s="1" t="n">
        <f aca="false">ROUND((1-_xlfn.PERCENTRANK.INC($C$7:$C$4378,C2915))*9,0)</f>
        <v>2</v>
      </c>
      <c r="G2915" s="1" t="n">
        <f aca="false">ROUND(_xlfn.PERCENTRANK.INC($D$7:$D$4378,D2915)*9,0)</f>
        <v>0</v>
      </c>
      <c r="H2915" s="1" t="n">
        <f aca="false">ROUND(_xlfn.PERCENTRANK.INC($E$7:$E$4378,E2915)*9,0)</f>
        <v>4</v>
      </c>
      <c r="I2915" s="1" t="str">
        <f aca="false">CONCATENATE(F2915,G2915,H2915)</f>
        <v>204</v>
      </c>
      <c r="J2915" s="1" t="str">
        <f aca="false">_xlfn.IFS(AND(F2915&gt;=8,G2915&gt;=8,H2915&gt;=8),"CHAMPION",AND(F2915&gt;=6,G2915&gt;=7,H2915&gt;=6),"LOYAL CUSTOMER",AND(F2915&gt;=6,G2915&gt;=5,H2915&gt;=5),"POTENTIAL LOYALIST",AND(F2915&gt;=8,G2915&lt;=2,H2915&gt;=5),"NEW CUSTOMERS",AND(F2915&gt;=6,G2915&lt;=2,H2915&gt;=3),"PROMISING",AND(F2915&gt;=3,G2915&gt;=3,H2915&gt;=3),"NEED ATTENTION",AND(F2915&lt;=4,G2915&gt;=6,H2915&gt;=6),"AT RISK",AND(F2915&lt;=2,G2915&gt;=8,H2915&gt;=8),"CAN'T LOSE THEM",AND(F2915&lt;=2,G2915&lt;=2,H2915&lt;=2),"HIBERNATING",TRUE(),"Other")</f>
        <v>Other</v>
      </c>
      <c r="K2915" s="1" t="n">
        <f aca="false">RANK(E2915,$E$7:$E$4378)+COUNTIF($E$7:E2915,E2915)-1</f>
        <v>2407</v>
      </c>
    </row>
    <row r="2916" customFormat="false" ht="14.25" hidden="false" customHeight="true" outlineLevel="0" collapsed="false">
      <c r="A2916" s="51" t="n">
        <v>16276</v>
      </c>
      <c r="B2916" s="53" t="n">
        <v>40710.3986111111</v>
      </c>
      <c r="C2916" s="57" t="n">
        <f aca="false">INT($C$2)-INT(Table3[[#This Row],[Last Purchase Date]])</f>
        <v>177</v>
      </c>
      <c r="D2916" s="1" t="n">
        <v>1</v>
      </c>
      <c r="E2916" s="1" t="n">
        <v>810.6</v>
      </c>
      <c r="F2916" s="1" t="n">
        <f aca="false">ROUND((1-_xlfn.PERCENTRANK.INC($C$7:$C$4378,C2916))*9,0)</f>
        <v>2</v>
      </c>
      <c r="G2916" s="1" t="n">
        <f aca="false">ROUND(_xlfn.PERCENTRANK.INC($D$7:$D$4378,D2916)*9,0)</f>
        <v>0</v>
      </c>
      <c r="H2916" s="1" t="n">
        <f aca="false">ROUND(_xlfn.PERCENTRANK.INC($E$7:$E$4378,E2916)*9,0)</f>
        <v>5</v>
      </c>
      <c r="I2916" s="1" t="str">
        <f aca="false">CONCATENATE(F2916,G2916,H2916)</f>
        <v>205</v>
      </c>
      <c r="J2916" s="1" t="str">
        <f aca="false">_xlfn.IFS(AND(F2916&gt;=8,G2916&gt;=8,H2916&gt;=8),"CHAMPION",AND(F2916&gt;=6,G2916&gt;=7,H2916&gt;=6),"LOYAL CUSTOMER",AND(F2916&gt;=6,G2916&gt;=5,H2916&gt;=5),"POTENTIAL LOYALIST",AND(F2916&gt;=8,G2916&lt;=2,H2916&gt;=5),"NEW CUSTOMERS",AND(F2916&gt;=6,G2916&lt;=2,H2916&gt;=3),"PROMISING",AND(F2916&gt;=3,G2916&gt;=3,H2916&gt;=3),"NEED ATTENTION",AND(F2916&lt;=4,G2916&gt;=6,H2916&gt;=6),"AT RISK",AND(F2916&lt;=2,G2916&gt;=8,H2916&gt;=8),"CAN'T LOSE THEM",AND(F2916&lt;=2,G2916&lt;=2,H2916&lt;=2),"HIBERNATING",TRUE(),"Other")</f>
        <v>Other</v>
      </c>
      <c r="K2916" s="1" t="n">
        <f aca="false">RANK(E2916,$E$7:$E$4378)+COUNTIF($E$7:E2916,E2916)-1</f>
        <v>1882</v>
      </c>
    </row>
    <row r="2917" customFormat="false" ht="14.25" hidden="false" customHeight="true" outlineLevel="0" collapsed="false">
      <c r="A2917" s="51" t="n">
        <v>16278</v>
      </c>
      <c r="B2917" s="53" t="n">
        <v>40863.6729166667</v>
      </c>
      <c r="C2917" s="57" t="n">
        <f aca="false">INT($C$2)-INT(Table3[[#This Row],[Last Purchase Date]])</f>
        <v>24</v>
      </c>
      <c r="D2917" s="1" t="n">
        <v>3</v>
      </c>
      <c r="E2917" s="1" t="n">
        <v>537.83</v>
      </c>
      <c r="F2917" s="1" t="n">
        <f aca="false">ROUND((1-_xlfn.PERCENTRANK.INC($C$7:$C$4378,C2917))*9,0)</f>
        <v>6</v>
      </c>
      <c r="G2917" s="1" t="n">
        <f aca="false">ROUND(_xlfn.PERCENTRANK.INC($D$7:$D$4378,D2917)*9,0)</f>
        <v>4</v>
      </c>
      <c r="H2917" s="1" t="n">
        <f aca="false">ROUND(_xlfn.PERCENTRANK.INC($E$7:$E$4378,E2917)*9,0)</f>
        <v>4</v>
      </c>
      <c r="I2917" s="1" t="str">
        <f aca="false">CONCATENATE(F2917,G2917,H2917)</f>
        <v>644</v>
      </c>
      <c r="J2917" s="1" t="str">
        <f aca="false">_xlfn.IFS(AND(F2917&gt;=8,G2917&gt;=8,H2917&gt;=8),"CHAMPION",AND(F2917&gt;=6,G2917&gt;=7,H2917&gt;=6),"LOYAL CUSTOMER",AND(F2917&gt;=6,G2917&gt;=5,H2917&gt;=5),"POTENTIAL LOYALIST",AND(F2917&gt;=8,G2917&lt;=2,H2917&gt;=5),"NEW CUSTOMERS",AND(F2917&gt;=6,G2917&lt;=2,H2917&gt;=3),"PROMISING",AND(F2917&gt;=3,G2917&gt;=3,H2917&gt;=3),"NEED ATTENTION",AND(F2917&lt;=4,G2917&gt;=6,H2917&gt;=6),"AT RISK",AND(F2917&lt;=2,G2917&gt;=8,H2917&gt;=8),"CAN'T LOSE THEM",AND(F2917&lt;=2,G2917&lt;=2,H2917&lt;=2),"HIBERNATING",TRUE(),"Other")</f>
        <v>NEED ATTENTION</v>
      </c>
      <c r="K2917" s="1" t="n">
        <f aca="false">RANK(E2917,$E$7:$E$4378)+COUNTIF($E$7:E2917,E2917)-1</f>
        <v>2460</v>
      </c>
    </row>
    <row r="2918" customFormat="false" ht="14.25" hidden="false" customHeight="true" outlineLevel="0" collapsed="false">
      <c r="A2918" s="51" t="n">
        <v>16279</v>
      </c>
      <c r="B2918" s="53" t="n">
        <v>40865.625</v>
      </c>
      <c r="C2918" s="57" t="n">
        <f aca="false">INT($C$2)-INT(Table3[[#This Row],[Last Purchase Date]])</f>
        <v>22</v>
      </c>
      <c r="D2918" s="1" t="n">
        <v>4</v>
      </c>
      <c r="E2918" s="1" t="n">
        <v>1496.68</v>
      </c>
      <c r="F2918" s="1" t="n">
        <f aca="false">ROUND((1-_xlfn.PERCENTRANK.INC($C$7:$C$4378,C2918))*9,0)</f>
        <v>6</v>
      </c>
      <c r="G2918" s="1" t="n">
        <f aca="false">ROUND(_xlfn.PERCENTRANK.INC($D$7:$D$4378,D2918)*9,0)</f>
        <v>5</v>
      </c>
      <c r="H2918" s="1" t="n">
        <f aca="false">ROUND(_xlfn.PERCENTRANK.INC($E$7:$E$4378,E2918)*9,0)</f>
        <v>7</v>
      </c>
      <c r="I2918" s="1" t="str">
        <f aca="false">CONCATENATE(F2918,G2918,H2918)</f>
        <v>657</v>
      </c>
      <c r="J2918" s="1" t="str">
        <f aca="false">_xlfn.IFS(AND(F2918&gt;=8,G2918&gt;=8,H2918&gt;=8),"CHAMPION",AND(F2918&gt;=6,G2918&gt;=7,H2918&gt;=6),"LOYAL CUSTOMER",AND(F2918&gt;=6,G2918&gt;=5,H2918&gt;=5),"POTENTIAL LOYALIST",AND(F2918&gt;=8,G2918&lt;=2,H2918&gt;=5),"NEW CUSTOMERS",AND(F2918&gt;=6,G2918&lt;=2,H2918&gt;=3),"PROMISING",AND(F2918&gt;=3,G2918&gt;=3,H2918&gt;=3),"NEED ATTENTION",AND(F2918&lt;=4,G2918&gt;=6,H2918&gt;=6),"AT RISK",AND(F2918&lt;=2,G2918&gt;=8,H2918&gt;=8),"CAN'T LOSE THEM",AND(F2918&lt;=2,G2918&lt;=2,H2918&lt;=2),"HIBERNATING",TRUE(),"Other")</f>
        <v>POTENTIAL LOYALIST</v>
      </c>
      <c r="K2918" s="1" t="n">
        <f aca="false">RANK(E2918,$E$7:$E$4378)+COUNTIF($E$7:E2918,E2918)-1</f>
        <v>1168</v>
      </c>
    </row>
    <row r="2919" customFormat="false" ht="14.25" hidden="false" customHeight="true" outlineLevel="0" collapsed="false">
      <c r="A2919" s="51" t="n">
        <v>16281</v>
      </c>
      <c r="B2919" s="53" t="n">
        <v>40814.6229166667</v>
      </c>
      <c r="C2919" s="57" t="n">
        <f aca="false">INT($C$2)-INT(Table3[[#This Row],[Last Purchase Date]])</f>
        <v>73</v>
      </c>
      <c r="D2919" s="1" t="n">
        <v>1</v>
      </c>
      <c r="E2919" s="1" t="n">
        <v>2062.06</v>
      </c>
      <c r="F2919" s="1" t="n">
        <f aca="false">ROUND((1-_xlfn.PERCENTRANK.INC($C$7:$C$4378,C2919))*9,0)</f>
        <v>4</v>
      </c>
      <c r="G2919" s="1" t="n">
        <f aca="false">ROUND(_xlfn.PERCENTRANK.INC($D$7:$D$4378,D2919)*9,0)</f>
        <v>0</v>
      </c>
      <c r="H2919" s="1" t="n">
        <f aca="false">ROUND(_xlfn.PERCENTRANK.INC($E$7:$E$4378,E2919)*9,0)</f>
        <v>7</v>
      </c>
      <c r="I2919" s="1" t="str">
        <f aca="false">CONCATENATE(F2919,G2919,H2919)</f>
        <v>407</v>
      </c>
      <c r="J2919" s="1" t="str">
        <f aca="false">_xlfn.IFS(AND(F2919&gt;=8,G2919&gt;=8,H2919&gt;=8),"CHAMPION",AND(F2919&gt;=6,G2919&gt;=7,H2919&gt;=6),"LOYAL CUSTOMER",AND(F2919&gt;=6,G2919&gt;=5,H2919&gt;=5),"POTENTIAL LOYALIST",AND(F2919&gt;=8,G2919&lt;=2,H2919&gt;=5),"NEW CUSTOMERS",AND(F2919&gt;=6,G2919&lt;=2,H2919&gt;=3),"PROMISING",AND(F2919&gt;=3,G2919&gt;=3,H2919&gt;=3),"NEED ATTENTION",AND(F2919&lt;=4,G2919&gt;=6,H2919&gt;=6),"AT RISK",AND(F2919&lt;=2,G2919&gt;=8,H2919&gt;=8),"CAN'T LOSE THEM",AND(F2919&lt;=2,G2919&lt;=2,H2919&lt;=2),"HIBERNATING",TRUE(),"Other")</f>
        <v>Other</v>
      </c>
      <c r="K2919" s="1" t="n">
        <f aca="false">RANK(E2919,$E$7:$E$4378)+COUNTIF($E$7:E2919,E2919)-1</f>
        <v>844</v>
      </c>
    </row>
    <row r="2920" customFormat="false" ht="14.25" hidden="false" customHeight="true" outlineLevel="0" collapsed="false">
      <c r="A2920" s="51" t="n">
        <v>16282</v>
      </c>
      <c r="B2920" s="53" t="n">
        <v>40547.4875</v>
      </c>
      <c r="C2920" s="57" t="n">
        <f aca="false">INT($C$2)-INT(Table3[[#This Row],[Last Purchase Date]])</f>
        <v>340</v>
      </c>
      <c r="D2920" s="1" t="n">
        <v>1</v>
      </c>
      <c r="E2920" s="1" t="n">
        <v>168.3</v>
      </c>
      <c r="F2920" s="1" t="n">
        <f aca="false">ROUND((1-_xlfn.PERCENTRANK.INC($C$7:$C$4378,C2920))*9,0)</f>
        <v>0</v>
      </c>
      <c r="G2920" s="1" t="n">
        <f aca="false">ROUND(_xlfn.PERCENTRANK.INC($D$7:$D$4378,D2920)*9,0)</f>
        <v>0</v>
      </c>
      <c r="H2920" s="1" t="n">
        <f aca="false">ROUND(_xlfn.PERCENTRANK.INC($E$7:$E$4378,E2920)*9,0)</f>
        <v>1</v>
      </c>
      <c r="I2920" s="1" t="str">
        <f aca="false">CONCATENATE(F2920,G2920,H2920)</f>
        <v>001</v>
      </c>
      <c r="J2920" s="1" t="str">
        <f aca="false">_xlfn.IFS(AND(F2920&gt;=8,G2920&gt;=8,H2920&gt;=8),"CHAMPION",AND(F2920&gt;=6,G2920&gt;=7,H2920&gt;=6),"LOYAL CUSTOMER",AND(F2920&gt;=6,G2920&gt;=5,H2920&gt;=5),"POTENTIAL LOYALIST",AND(F2920&gt;=8,G2920&lt;=2,H2920&gt;=5),"NEW CUSTOMERS",AND(F2920&gt;=6,G2920&lt;=2,H2920&gt;=3),"PROMISING",AND(F2920&gt;=3,G2920&gt;=3,H2920&gt;=3),"NEED ATTENTION",AND(F2920&lt;=4,G2920&gt;=6,H2920&gt;=6),"AT RISK",AND(F2920&lt;=2,G2920&gt;=8,H2920&gt;=8),"CAN'T LOSE THEM",AND(F2920&lt;=2,G2920&lt;=2,H2920&lt;=2),"HIBERNATING",TRUE(),"Other")</f>
        <v>HIBERNATING</v>
      </c>
      <c r="K2920" s="1" t="n">
        <f aca="false">RANK(E2920,$E$7:$E$4378)+COUNTIF($E$7:E2920,E2920)-1</f>
        <v>3813</v>
      </c>
    </row>
    <row r="2921" customFormat="false" ht="14.25" hidden="false" customHeight="true" outlineLevel="0" collapsed="false">
      <c r="A2921" s="51" t="n">
        <v>16283</v>
      </c>
      <c r="B2921" s="53" t="n">
        <v>40881.5055555556</v>
      </c>
      <c r="C2921" s="57" t="n">
        <f aca="false">INT($C$2)-INT(Table3[[#This Row],[Last Purchase Date]])</f>
        <v>6</v>
      </c>
      <c r="D2921" s="1" t="n">
        <v>7</v>
      </c>
      <c r="E2921" s="1" t="n">
        <v>1531.51</v>
      </c>
      <c r="F2921" s="1" t="n">
        <f aca="false">ROUND((1-_xlfn.PERCENTRANK.INC($C$7:$C$4378,C2921))*9,0)</f>
        <v>8</v>
      </c>
      <c r="G2921" s="1" t="n">
        <f aca="false">ROUND(_xlfn.PERCENTRANK.INC($D$7:$D$4378,D2921)*9,0)</f>
        <v>7</v>
      </c>
      <c r="H2921" s="1" t="n">
        <f aca="false">ROUND(_xlfn.PERCENTRANK.INC($E$7:$E$4378,E2921)*9,0)</f>
        <v>7</v>
      </c>
      <c r="I2921" s="1" t="str">
        <f aca="false">CONCATENATE(F2921,G2921,H2921)</f>
        <v>877</v>
      </c>
      <c r="J2921" s="1" t="str">
        <f aca="false">_xlfn.IFS(AND(F2921&gt;=8,G2921&gt;=8,H2921&gt;=8),"CHAMPION",AND(F2921&gt;=6,G2921&gt;=7,H2921&gt;=6),"LOYAL CUSTOMER",AND(F2921&gt;=6,G2921&gt;=5,H2921&gt;=5),"POTENTIAL LOYALIST",AND(F2921&gt;=8,G2921&lt;=2,H2921&gt;=5),"NEW CUSTOMERS",AND(F2921&gt;=6,G2921&lt;=2,H2921&gt;=3),"PROMISING",AND(F2921&gt;=3,G2921&gt;=3,H2921&gt;=3),"NEED ATTENTION",AND(F2921&lt;=4,G2921&gt;=6,H2921&gt;=6),"AT RISK",AND(F2921&lt;=2,G2921&gt;=8,H2921&gt;=8),"CAN'T LOSE THEM",AND(F2921&lt;=2,G2921&lt;=2,H2921&lt;=2),"HIBERNATING",TRUE(),"Other")</f>
        <v>LOYAL CUSTOMER</v>
      </c>
      <c r="K2921" s="1" t="n">
        <f aca="false">RANK(E2921,$E$7:$E$4378)+COUNTIF($E$7:E2921,E2921)-1</f>
        <v>1140</v>
      </c>
    </row>
    <row r="2922" customFormat="false" ht="14.25" hidden="false" customHeight="true" outlineLevel="0" collapsed="false">
      <c r="A2922" s="51" t="n">
        <v>16284</v>
      </c>
      <c r="B2922" s="53" t="n">
        <v>40855.675</v>
      </c>
      <c r="C2922" s="57" t="n">
        <f aca="false">INT($C$2)-INT(Table3[[#This Row],[Last Purchase Date]])</f>
        <v>32</v>
      </c>
      <c r="D2922" s="1" t="n">
        <v>2</v>
      </c>
      <c r="E2922" s="1" t="n">
        <v>823.97</v>
      </c>
      <c r="F2922" s="1" t="n">
        <f aca="false">ROUND((1-_xlfn.PERCENTRANK.INC($C$7:$C$4378,C2922))*9,0)</f>
        <v>5</v>
      </c>
      <c r="G2922" s="1" t="n">
        <f aca="false">ROUND(_xlfn.PERCENTRANK.INC($D$7:$D$4378,D2922)*9,0)</f>
        <v>3</v>
      </c>
      <c r="H2922" s="1" t="n">
        <f aca="false">ROUND(_xlfn.PERCENTRANK.INC($E$7:$E$4378,E2922)*9,0)</f>
        <v>5</v>
      </c>
      <c r="I2922" s="1" t="str">
        <f aca="false">CONCATENATE(F2922,G2922,H2922)</f>
        <v>535</v>
      </c>
      <c r="J2922" s="1" t="str">
        <f aca="false">_xlfn.IFS(AND(F2922&gt;=8,G2922&gt;=8,H2922&gt;=8),"CHAMPION",AND(F2922&gt;=6,G2922&gt;=7,H2922&gt;=6),"LOYAL CUSTOMER",AND(F2922&gt;=6,G2922&gt;=5,H2922&gt;=5),"POTENTIAL LOYALIST",AND(F2922&gt;=8,G2922&lt;=2,H2922&gt;=5),"NEW CUSTOMERS",AND(F2922&gt;=6,G2922&lt;=2,H2922&gt;=3),"PROMISING",AND(F2922&gt;=3,G2922&gt;=3,H2922&gt;=3),"NEED ATTENTION",AND(F2922&lt;=4,G2922&gt;=6,H2922&gt;=6),"AT RISK",AND(F2922&lt;=2,G2922&gt;=8,H2922&gt;=8),"CAN'T LOSE THEM",AND(F2922&lt;=2,G2922&lt;=2,H2922&lt;=2),"HIBERNATING",TRUE(),"Other")</f>
        <v>NEED ATTENTION</v>
      </c>
      <c r="K2922" s="1" t="n">
        <f aca="false">RANK(E2922,$E$7:$E$4378)+COUNTIF($E$7:E2922,E2922)-1</f>
        <v>1860</v>
      </c>
    </row>
    <row r="2923" customFormat="false" ht="14.25" hidden="false" customHeight="true" outlineLevel="0" collapsed="false">
      <c r="A2923" s="51" t="n">
        <v>16287</v>
      </c>
      <c r="B2923" s="53" t="n">
        <v>40717.3805555556</v>
      </c>
      <c r="C2923" s="57" t="n">
        <f aca="false">INT($C$2)-INT(Table3[[#This Row],[Last Purchase Date]])</f>
        <v>170</v>
      </c>
      <c r="D2923" s="1" t="n">
        <v>1</v>
      </c>
      <c r="E2923" s="1" t="n">
        <v>142.5</v>
      </c>
      <c r="F2923" s="1" t="n">
        <f aca="false">ROUND((1-_xlfn.PERCENTRANK.INC($C$7:$C$4378,C2923))*9,0)</f>
        <v>2</v>
      </c>
      <c r="G2923" s="1" t="n">
        <f aca="false">ROUND(_xlfn.PERCENTRANK.INC($D$7:$D$4378,D2923)*9,0)</f>
        <v>0</v>
      </c>
      <c r="H2923" s="1" t="n">
        <f aca="false">ROUND(_xlfn.PERCENTRANK.INC($E$7:$E$4378,E2923)*9,0)</f>
        <v>1</v>
      </c>
      <c r="I2923" s="1" t="str">
        <f aca="false">CONCATENATE(F2923,G2923,H2923)</f>
        <v>201</v>
      </c>
      <c r="J2923" s="1" t="str">
        <f aca="false">_xlfn.IFS(AND(F2923&gt;=8,G2923&gt;=8,H2923&gt;=8),"CHAMPION",AND(F2923&gt;=6,G2923&gt;=7,H2923&gt;=6),"LOYAL CUSTOMER",AND(F2923&gt;=6,G2923&gt;=5,H2923&gt;=5),"POTENTIAL LOYALIST",AND(F2923&gt;=8,G2923&lt;=2,H2923&gt;=5),"NEW CUSTOMERS",AND(F2923&gt;=6,G2923&lt;=2,H2923&gt;=3),"PROMISING",AND(F2923&gt;=3,G2923&gt;=3,H2923&gt;=3),"NEED ATTENTION",AND(F2923&lt;=4,G2923&gt;=6,H2923&gt;=6),"AT RISK",AND(F2923&lt;=2,G2923&gt;=8,H2923&gt;=8),"CAN'T LOSE THEM",AND(F2923&lt;=2,G2923&lt;=2,H2923&lt;=2),"HIBERNATING",TRUE(),"Other")</f>
        <v>HIBERNATING</v>
      </c>
      <c r="K2923" s="1" t="n">
        <f aca="false">RANK(E2923,$E$7:$E$4378)+COUNTIF($E$7:E2923,E2923)-1</f>
        <v>3947</v>
      </c>
    </row>
    <row r="2924" customFormat="false" ht="14.25" hidden="false" customHeight="true" outlineLevel="0" collapsed="false">
      <c r="A2924" s="51" t="n">
        <v>16292</v>
      </c>
      <c r="B2924" s="53" t="n">
        <v>40769.6041666667</v>
      </c>
      <c r="C2924" s="57" t="n">
        <f aca="false">INT($C$2)-INT(Table3[[#This Row],[Last Purchase Date]])</f>
        <v>118</v>
      </c>
      <c r="D2924" s="1" t="n">
        <v>2</v>
      </c>
      <c r="E2924" s="1" t="n">
        <v>280.9</v>
      </c>
      <c r="F2924" s="1" t="n">
        <f aca="false">ROUND((1-_xlfn.PERCENTRANK.INC($C$7:$C$4378,C2924))*9,0)</f>
        <v>3</v>
      </c>
      <c r="G2924" s="1" t="n">
        <f aca="false">ROUND(_xlfn.PERCENTRANK.INC($D$7:$D$4378,D2924)*9,0)</f>
        <v>3</v>
      </c>
      <c r="H2924" s="1" t="n">
        <f aca="false">ROUND(_xlfn.PERCENTRANK.INC($E$7:$E$4378,E2924)*9,0)</f>
        <v>2</v>
      </c>
      <c r="I2924" s="1" t="str">
        <f aca="false">CONCATENATE(F2924,G2924,H2924)</f>
        <v>332</v>
      </c>
      <c r="J2924" s="1" t="str">
        <f aca="false">_xlfn.IFS(AND(F2924&gt;=8,G2924&gt;=8,H2924&gt;=8),"CHAMPION",AND(F2924&gt;=6,G2924&gt;=7,H2924&gt;=6),"LOYAL CUSTOMER",AND(F2924&gt;=6,G2924&gt;=5,H2924&gt;=5),"POTENTIAL LOYALIST",AND(F2924&gt;=8,G2924&lt;=2,H2924&gt;=5),"NEW CUSTOMERS",AND(F2924&gt;=6,G2924&lt;=2,H2924&gt;=3),"PROMISING",AND(F2924&gt;=3,G2924&gt;=3,H2924&gt;=3),"NEED ATTENTION",AND(F2924&lt;=4,G2924&gt;=6,H2924&gt;=6),"AT RISK",AND(F2924&lt;=2,G2924&gt;=8,H2924&gt;=8),"CAN'T LOSE THEM",AND(F2924&lt;=2,G2924&lt;=2,H2924&lt;=2),"HIBERNATING",TRUE(),"Other")</f>
        <v>Other</v>
      </c>
      <c r="K2924" s="1" t="n">
        <f aca="false">RANK(E2924,$E$7:$E$4378)+COUNTIF($E$7:E2924,E2924)-1</f>
        <v>3324</v>
      </c>
    </row>
    <row r="2925" customFormat="false" ht="14.25" hidden="false" customHeight="true" outlineLevel="0" collapsed="false">
      <c r="A2925" s="51" t="n">
        <v>16293</v>
      </c>
      <c r="B2925" s="53" t="n">
        <v>40878.3840277778</v>
      </c>
      <c r="C2925" s="57" t="n">
        <f aca="false">INT($C$2)-INT(Table3[[#This Row],[Last Purchase Date]])</f>
        <v>9</v>
      </c>
      <c r="D2925" s="1" t="n">
        <v>12</v>
      </c>
      <c r="E2925" s="1" t="n">
        <v>2236.74</v>
      </c>
      <c r="F2925" s="1" t="n">
        <f aca="false">ROUND((1-_xlfn.PERCENTRANK.INC($C$7:$C$4378,C2925))*9,0)</f>
        <v>8</v>
      </c>
      <c r="G2925" s="1" t="n">
        <f aca="false">ROUND(_xlfn.PERCENTRANK.INC($D$7:$D$4378,D2925)*9,0)</f>
        <v>8</v>
      </c>
      <c r="H2925" s="1" t="n">
        <f aca="false">ROUND(_xlfn.PERCENTRANK.INC($E$7:$E$4378,E2925)*9,0)</f>
        <v>7</v>
      </c>
      <c r="I2925" s="1" t="str">
        <f aca="false">CONCATENATE(F2925,G2925,H2925)</f>
        <v>887</v>
      </c>
      <c r="J2925" s="1" t="str">
        <f aca="false">_xlfn.IFS(AND(F2925&gt;=8,G2925&gt;=8,H2925&gt;=8),"CHAMPION",AND(F2925&gt;=6,G2925&gt;=7,H2925&gt;=6),"LOYAL CUSTOMER",AND(F2925&gt;=6,G2925&gt;=5,H2925&gt;=5),"POTENTIAL LOYALIST",AND(F2925&gt;=8,G2925&lt;=2,H2925&gt;=5),"NEW CUSTOMERS",AND(F2925&gt;=6,G2925&lt;=2,H2925&gt;=3),"PROMISING",AND(F2925&gt;=3,G2925&gt;=3,H2925&gt;=3),"NEED ATTENTION",AND(F2925&lt;=4,G2925&gt;=6,H2925&gt;=6),"AT RISK",AND(F2925&lt;=2,G2925&gt;=8,H2925&gt;=8),"CAN'T LOSE THEM",AND(F2925&lt;=2,G2925&lt;=2,H2925&lt;=2),"HIBERNATING",TRUE(),"Other")</f>
        <v>LOYAL CUSTOMER</v>
      </c>
      <c r="K2925" s="1" t="n">
        <f aca="false">RANK(E2925,$E$7:$E$4378)+COUNTIF($E$7:E2925,E2925)-1</f>
        <v>767</v>
      </c>
    </row>
    <row r="2926" customFormat="false" ht="14.25" hidden="false" customHeight="true" outlineLevel="0" collapsed="false">
      <c r="A2926" s="51" t="n">
        <v>16295</v>
      </c>
      <c r="B2926" s="53" t="n">
        <v>40877.3451388889</v>
      </c>
      <c r="C2926" s="57" t="n">
        <f aca="false">INT($C$2)-INT(Table3[[#This Row],[Last Purchase Date]])</f>
        <v>10</v>
      </c>
      <c r="D2926" s="1" t="n">
        <v>4</v>
      </c>
      <c r="E2926" s="1" t="n">
        <v>1328.55</v>
      </c>
      <c r="F2926" s="1" t="n">
        <f aca="false">ROUND((1-_xlfn.PERCENTRANK.INC($C$7:$C$4378,C2926))*9,0)</f>
        <v>8</v>
      </c>
      <c r="G2926" s="1" t="n">
        <f aca="false">ROUND(_xlfn.PERCENTRANK.INC($D$7:$D$4378,D2926)*9,0)</f>
        <v>5</v>
      </c>
      <c r="H2926" s="1" t="n">
        <f aca="false">ROUND(_xlfn.PERCENTRANK.INC($E$7:$E$4378,E2926)*9,0)</f>
        <v>6</v>
      </c>
      <c r="I2926" s="1" t="str">
        <f aca="false">CONCATENATE(F2926,G2926,H2926)</f>
        <v>856</v>
      </c>
      <c r="J2926" s="1" t="str">
        <f aca="false">_xlfn.IFS(AND(F2926&gt;=8,G2926&gt;=8,H2926&gt;=8),"CHAMPION",AND(F2926&gt;=6,G2926&gt;=7,H2926&gt;=6),"LOYAL CUSTOMER",AND(F2926&gt;=6,G2926&gt;=5,H2926&gt;=5),"POTENTIAL LOYALIST",AND(F2926&gt;=8,G2926&lt;=2,H2926&gt;=5),"NEW CUSTOMERS",AND(F2926&gt;=6,G2926&lt;=2,H2926&gt;=3),"PROMISING",AND(F2926&gt;=3,G2926&gt;=3,H2926&gt;=3),"NEED ATTENTION",AND(F2926&lt;=4,G2926&gt;=6,H2926&gt;=6),"AT RISK",AND(F2926&lt;=2,G2926&gt;=8,H2926&gt;=8),"CAN'T LOSE THEM",AND(F2926&lt;=2,G2926&lt;=2,H2926&lt;=2),"HIBERNATING",TRUE(),"Other")</f>
        <v>POTENTIAL LOYALIST</v>
      </c>
      <c r="K2926" s="1" t="n">
        <f aca="false">RANK(E2926,$E$7:$E$4378)+COUNTIF($E$7:E2926,E2926)-1</f>
        <v>1297</v>
      </c>
    </row>
    <row r="2927" customFormat="false" ht="14.25" hidden="false" customHeight="true" outlineLevel="0" collapsed="false">
      <c r="A2927" s="51" t="n">
        <v>16297</v>
      </c>
      <c r="B2927" s="53" t="n">
        <v>40674.46875</v>
      </c>
      <c r="C2927" s="57" t="n">
        <f aca="false">INT($C$2)-INT(Table3[[#This Row],[Last Purchase Date]])</f>
        <v>213</v>
      </c>
      <c r="D2927" s="1" t="n">
        <v>4</v>
      </c>
      <c r="E2927" s="1" t="n">
        <v>275.4</v>
      </c>
      <c r="F2927" s="1" t="n">
        <f aca="false">ROUND((1-_xlfn.PERCENTRANK.INC($C$7:$C$4378,C2927))*9,0)</f>
        <v>1</v>
      </c>
      <c r="G2927" s="1" t="n">
        <f aca="false">ROUND(_xlfn.PERCENTRANK.INC($D$7:$D$4378,D2927)*9,0)</f>
        <v>5</v>
      </c>
      <c r="H2927" s="1" t="n">
        <f aca="false">ROUND(_xlfn.PERCENTRANK.INC($E$7:$E$4378,E2927)*9,0)</f>
        <v>2</v>
      </c>
      <c r="I2927" s="1" t="str">
        <f aca="false">CONCATENATE(F2927,G2927,H2927)</f>
        <v>152</v>
      </c>
      <c r="J2927" s="1" t="str">
        <f aca="false">_xlfn.IFS(AND(F2927&gt;=8,G2927&gt;=8,H2927&gt;=8),"CHAMPION",AND(F2927&gt;=6,G2927&gt;=7,H2927&gt;=6),"LOYAL CUSTOMER",AND(F2927&gt;=6,G2927&gt;=5,H2927&gt;=5),"POTENTIAL LOYALIST",AND(F2927&gt;=8,G2927&lt;=2,H2927&gt;=5),"NEW CUSTOMERS",AND(F2927&gt;=6,G2927&lt;=2,H2927&gt;=3),"PROMISING",AND(F2927&gt;=3,G2927&gt;=3,H2927&gt;=3),"NEED ATTENTION",AND(F2927&lt;=4,G2927&gt;=6,H2927&gt;=6),"AT RISK",AND(F2927&lt;=2,G2927&gt;=8,H2927&gt;=8),"CAN'T LOSE THEM",AND(F2927&lt;=2,G2927&lt;=2,H2927&lt;=2),"HIBERNATING",TRUE(),"Other")</f>
        <v>Other</v>
      </c>
      <c r="K2927" s="1" t="n">
        <f aca="false">RANK(E2927,$E$7:$E$4378)+COUNTIF($E$7:E2927,E2927)-1</f>
        <v>3343</v>
      </c>
    </row>
    <row r="2928" customFormat="false" ht="14.25" hidden="false" customHeight="true" outlineLevel="0" collapsed="false">
      <c r="A2928" s="51" t="n">
        <v>16298</v>
      </c>
      <c r="B2928" s="53" t="n">
        <v>40864.4993055556</v>
      </c>
      <c r="C2928" s="57" t="n">
        <f aca="false">INT($C$2)-INT(Table3[[#This Row],[Last Purchase Date]])</f>
        <v>23</v>
      </c>
      <c r="D2928" s="1" t="n">
        <v>3</v>
      </c>
      <c r="E2928" s="1" t="n">
        <v>598.2</v>
      </c>
      <c r="F2928" s="1" t="n">
        <f aca="false">ROUND((1-_xlfn.PERCENTRANK.INC($C$7:$C$4378,C2928))*9,0)</f>
        <v>6</v>
      </c>
      <c r="G2928" s="1" t="n">
        <f aca="false">ROUND(_xlfn.PERCENTRANK.INC($D$7:$D$4378,D2928)*9,0)</f>
        <v>4</v>
      </c>
      <c r="H2928" s="1" t="n">
        <f aca="false">ROUND(_xlfn.PERCENTRANK.INC($E$7:$E$4378,E2928)*9,0)</f>
        <v>4</v>
      </c>
      <c r="I2928" s="1" t="str">
        <f aca="false">CONCATENATE(F2928,G2928,H2928)</f>
        <v>644</v>
      </c>
      <c r="J2928" s="1" t="str">
        <f aca="false">_xlfn.IFS(AND(F2928&gt;=8,G2928&gt;=8,H2928&gt;=8),"CHAMPION",AND(F2928&gt;=6,G2928&gt;=7,H2928&gt;=6),"LOYAL CUSTOMER",AND(F2928&gt;=6,G2928&gt;=5,H2928&gt;=5),"POTENTIAL LOYALIST",AND(F2928&gt;=8,G2928&lt;=2,H2928&gt;=5),"NEW CUSTOMERS",AND(F2928&gt;=6,G2928&lt;=2,H2928&gt;=3),"PROMISING",AND(F2928&gt;=3,G2928&gt;=3,H2928&gt;=3),"NEED ATTENTION",AND(F2928&lt;=4,G2928&gt;=6,H2928&gt;=6),"AT RISK",AND(F2928&lt;=2,G2928&gt;=8,H2928&gt;=8),"CAN'T LOSE THEM",AND(F2928&lt;=2,G2928&lt;=2,H2928&lt;=2),"HIBERNATING",TRUE(),"Other")</f>
        <v>NEED ATTENTION</v>
      </c>
      <c r="K2928" s="1" t="n">
        <f aca="false">RANK(E2928,$E$7:$E$4378)+COUNTIF($E$7:E2928,E2928)-1</f>
        <v>2328</v>
      </c>
    </row>
    <row r="2929" customFormat="false" ht="14.25" hidden="false" customHeight="true" outlineLevel="0" collapsed="false">
      <c r="A2929" s="51" t="n">
        <v>16302</v>
      </c>
      <c r="B2929" s="53" t="n">
        <v>40779.3923611111</v>
      </c>
      <c r="C2929" s="57" t="n">
        <f aca="false">INT($C$2)-INT(Table3[[#This Row],[Last Purchase Date]])</f>
        <v>108</v>
      </c>
      <c r="D2929" s="1" t="n">
        <v>2</v>
      </c>
      <c r="E2929" s="1" t="n">
        <v>212.82</v>
      </c>
      <c r="F2929" s="1" t="n">
        <f aca="false">ROUND((1-_xlfn.PERCENTRANK.INC($C$7:$C$4378,C2929))*9,0)</f>
        <v>3</v>
      </c>
      <c r="G2929" s="1" t="n">
        <f aca="false">ROUND(_xlfn.PERCENTRANK.INC($D$7:$D$4378,D2929)*9,0)</f>
        <v>3</v>
      </c>
      <c r="H2929" s="1" t="n">
        <f aca="false">ROUND(_xlfn.PERCENTRANK.INC($E$7:$E$4378,E2929)*9,0)</f>
        <v>2</v>
      </c>
      <c r="I2929" s="1" t="str">
        <f aca="false">CONCATENATE(F2929,G2929,H2929)</f>
        <v>332</v>
      </c>
      <c r="J2929" s="1" t="str">
        <f aca="false">_xlfn.IFS(AND(F2929&gt;=8,G2929&gt;=8,H2929&gt;=8),"CHAMPION",AND(F2929&gt;=6,G2929&gt;=7,H2929&gt;=6),"LOYAL CUSTOMER",AND(F2929&gt;=6,G2929&gt;=5,H2929&gt;=5),"POTENTIAL LOYALIST",AND(F2929&gt;=8,G2929&lt;=2,H2929&gt;=5),"NEW CUSTOMERS",AND(F2929&gt;=6,G2929&lt;=2,H2929&gt;=3),"PROMISING",AND(F2929&gt;=3,G2929&gt;=3,H2929&gt;=3),"NEED ATTENTION",AND(F2929&lt;=4,G2929&gt;=6,H2929&gt;=6),"AT RISK",AND(F2929&lt;=2,G2929&gt;=8,H2929&gt;=8),"CAN'T LOSE THEM",AND(F2929&lt;=2,G2929&lt;=2,H2929&lt;=2),"HIBERNATING",TRUE(),"Other")</f>
        <v>Other</v>
      </c>
      <c r="K2929" s="1" t="n">
        <f aca="false">RANK(E2929,$E$7:$E$4378)+COUNTIF($E$7:E2929,E2929)-1</f>
        <v>3605</v>
      </c>
    </row>
    <row r="2930" customFormat="false" ht="14.25" hidden="false" customHeight="true" outlineLevel="0" collapsed="false">
      <c r="A2930" s="51" t="n">
        <v>16303</v>
      </c>
      <c r="B2930" s="53" t="n">
        <v>40861.4506944444</v>
      </c>
      <c r="C2930" s="57" t="n">
        <f aca="false">INT($C$2)-INT(Table3[[#This Row],[Last Purchase Date]])</f>
        <v>26</v>
      </c>
      <c r="D2930" s="1" t="n">
        <v>4</v>
      </c>
      <c r="E2930" s="1" t="n">
        <v>5305.83</v>
      </c>
      <c r="F2930" s="1" t="n">
        <f aca="false">ROUND((1-_xlfn.PERCENTRANK.INC($C$7:$C$4378,C2930))*9,0)</f>
        <v>6</v>
      </c>
      <c r="G2930" s="1" t="n">
        <f aca="false">ROUND(_xlfn.PERCENTRANK.INC($D$7:$D$4378,D2930)*9,0)</f>
        <v>5</v>
      </c>
      <c r="H2930" s="1" t="n">
        <f aca="false">ROUND(_xlfn.PERCENTRANK.INC($E$7:$E$4378,E2930)*9,0)</f>
        <v>9</v>
      </c>
      <c r="I2930" s="1" t="str">
        <f aca="false">CONCATENATE(F2930,G2930,H2930)</f>
        <v>659</v>
      </c>
      <c r="J2930" s="1" t="str">
        <f aca="false">_xlfn.IFS(AND(F2930&gt;=8,G2930&gt;=8,H2930&gt;=8),"CHAMPION",AND(F2930&gt;=6,G2930&gt;=7,H2930&gt;=6),"LOYAL CUSTOMER",AND(F2930&gt;=6,G2930&gt;=5,H2930&gt;=5),"POTENTIAL LOYALIST",AND(F2930&gt;=8,G2930&lt;=2,H2930&gt;=5),"NEW CUSTOMERS",AND(F2930&gt;=6,G2930&lt;=2,H2930&gt;=3),"PROMISING",AND(F2930&gt;=3,G2930&gt;=3,H2930&gt;=3),"NEED ATTENTION",AND(F2930&lt;=4,G2930&gt;=6,H2930&gt;=6),"AT RISK",AND(F2930&lt;=2,G2930&gt;=8,H2930&gt;=8),"CAN'T LOSE THEM",AND(F2930&lt;=2,G2930&lt;=2,H2930&lt;=2),"HIBERNATING",TRUE(),"Other")</f>
        <v>POTENTIAL LOYALIST</v>
      </c>
      <c r="K2930" s="1" t="n">
        <f aca="false">RANK(E2930,$E$7:$E$4378)+COUNTIF($E$7:E2930,E2930)-1</f>
        <v>239</v>
      </c>
    </row>
    <row r="2931" customFormat="false" ht="14.25" hidden="false" customHeight="true" outlineLevel="0" collapsed="false">
      <c r="A2931" s="51" t="n">
        <v>16305</v>
      </c>
      <c r="B2931" s="53" t="n">
        <v>40748.5125</v>
      </c>
      <c r="C2931" s="57" t="n">
        <f aca="false">INT($C$2)-INT(Table3[[#This Row],[Last Purchase Date]])</f>
        <v>139</v>
      </c>
      <c r="D2931" s="1" t="n">
        <v>1</v>
      </c>
      <c r="E2931" s="1" t="n">
        <v>361.22</v>
      </c>
      <c r="F2931" s="1" t="n">
        <f aca="false">ROUND((1-_xlfn.PERCENTRANK.INC($C$7:$C$4378,C2931))*9,0)</f>
        <v>2</v>
      </c>
      <c r="G2931" s="1" t="n">
        <f aca="false">ROUND(_xlfn.PERCENTRANK.INC($D$7:$D$4378,D2931)*9,0)</f>
        <v>0</v>
      </c>
      <c r="H2931" s="1" t="n">
        <f aca="false">ROUND(_xlfn.PERCENTRANK.INC($E$7:$E$4378,E2931)*9,0)</f>
        <v>3</v>
      </c>
      <c r="I2931" s="1" t="str">
        <f aca="false">CONCATENATE(F2931,G2931,H2931)</f>
        <v>203</v>
      </c>
      <c r="J2931" s="1" t="str">
        <f aca="false">_xlfn.IFS(AND(F2931&gt;=8,G2931&gt;=8,H2931&gt;=8),"CHAMPION",AND(F2931&gt;=6,G2931&gt;=7,H2931&gt;=6),"LOYAL CUSTOMER",AND(F2931&gt;=6,G2931&gt;=5,H2931&gt;=5),"POTENTIAL LOYALIST",AND(F2931&gt;=8,G2931&lt;=2,H2931&gt;=5),"NEW CUSTOMERS",AND(F2931&gt;=6,G2931&lt;=2,H2931&gt;=3),"PROMISING",AND(F2931&gt;=3,G2931&gt;=3,H2931&gt;=3),"NEED ATTENTION",AND(F2931&lt;=4,G2931&gt;=6,H2931&gt;=6),"AT RISK",AND(F2931&lt;=2,G2931&gt;=8,H2931&gt;=8),"CAN'T LOSE THEM",AND(F2931&lt;=2,G2931&lt;=2,H2931&lt;=2),"HIBERNATING",TRUE(),"Other")</f>
        <v>Other</v>
      </c>
      <c r="K2931" s="1" t="n">
        <f aca="false">RANK(E2931,$E$7:$E$4378)+COUNTIF($E$7:E2931,E2931)-1</f>
        <v>2963</v>
      </c>
    </row>
    <row r="2932" customFormat="false" ht="14.25" hidden="false" customHeight="true" outlineLevel="0" collapsed="false">
      <c r="A2932" s="51" t="n">
        <v>16306</v>
      </c>
      <c r="B2932" s="53" t="n">
        <v>40673.5083333333</v>
      </c>
      <c r="C2932" s="57" t="n">
        <f aca="false">INT($C$2)-INT(Table3[[#This Row],[Last Purchase Date]])</f>
        <v>214</v>
      </c>
      <c r="D2932" s="1" t="n">
        <v>9</v>
      </c>
      <c r="E2932" s="1" t="n">
        <v>602.27</v>
      </c>
      <c r="F2932" s="1" t="n">
        <f aca="false">ROUND((1-_xlfn.PERCENTRANK.INC($C$7:$C$4378,C2932))*9,0)</f>
        <v>1</v>
      </c>
      <c r="G2932" s="1" t="n">
        <f aca="false">ROUND(_xlfn.PERCENTRANK.INC($D$7:$D$4378,D2932)*9,0)</f>
        <v>8</v>
      </c>
      <c r="H2932" s="1" t="n">
        <f aca="false">ROUND(_xlfn.PERCENTRANK.INC($E$7:$E$4378,E2932)*9,0)</f>
        <v>4</v>
      </c>
      <c r="I2932" s="1" t="str">
        <f aca="false">CONCATENATE(F2932,G2932,H2932)</f>
        <v>184</v>
      </c>
      <c r="J2932" s="1" t="str">
        <f aca="false">_xlfn.IFS(AND(F2932&gt;=8,G2932&gt;=8,H2932&gt;=8),"CHAMPION",AND(F2932&gt;=6,G2932&gt;=7,H2932&gt;=6),"LOYAL CUSTOMER",AND(F2932&gt;=6,G2932&gt;=5,H2932&gt;=5),"POTENTIAL LOYALIST",AND(F2932&gt;=8,G2932&lt;=2,H2932&gt;=5),"NEW CUSTOMERS",AND(F2932&gt;=6,G2932&lt;=2,H2932&gt;=3),"PROMISING",AND(F2932&gt;=3,G2932&gt;=3,H2932&gt;=3),"NEED ATTENTION",AND(F2932&lt;=4,G2932&gt;=6,H2932&gt;=6),"AT RISK",AND(F2932&lt;=2,G2932&gt;=8,H2932&gt;=8),"CAN'T LOSE THEM",AND(F2932&lt;=2,G2932&lt;=2,H2932&lt;=2),"HIBERNATING",TRUE(),"Other")</f>
        <v>Other</v>
      </c>
      <c r="K2932" s="1" t="n">
        <f aca="false">RANK(E2932,$E$7:$E$4378)+COUNTIF($E$7:E2932,E2932)-1</f>
        <v>2310</v>
      </c>
    </row>
    <row r="2933" customFormat="false" ht="14.25" hidden="false" customHeight="true" outlineLevel="0" collapsed="false">
      <c r="A2933" s="51" t="n">
        <v>16308</v>
      </c>
      <c r="B2933" s="53" t="n">
        <v>40849.475</v>
      </c>
      <c r="C2933" s="57" t="n">
        <f aca="false">INT($C$2)-INT(Table3[[#This Row],[Last Purchase Date]])</f>
        <v>38</v>
      </c>
      <c r="D2933" s="1" t="n">
        <v>4</v>
      </c>
      <c r="E2933" s="1" t="n">
        <v>2560</v>
      </c>
      <c r="F2933" s="1" t="n">
        <f aca="false">ROUND((1-_xlfn.PERCENTRANK.INC($C$7:$C$4378,C2933))*9,0)</f>
        <v>5</v>
      </c>
      <c r="G2933" s="1" t="n">
        <f aca="false">ROUND(_xlfn.PERCENTRANK.INC($D$7:$D$4378,D2933)*9,0)</f>
        <v>5</v>
      </c>
      <c r="H2933" s="1" t="n">
        <f aca="false">ROUND(_xlfn.PERCENTRANK.INC($E$7:$E$4378,E2933)*9,0)</f>
        <v>8</v>
      </c>
      <c r="I2933" s="1" t="str">
        <f aca="false">CONCATENATE(F2933,G2933,H2933)</f>
        <v>558</v>
      </c>
      <c r="J2933" s="1" t="str">
        <f aca="false">_xlfn.IFS(AND(F2933&gt;=8,G2933&gt;=8,H2933&gt;=8),"CHAMPION",AND(F2933&gt;=6,G2933&gt;=7,H2933&gt;=6),"LOYAL CUSTOMER",AND(F2933&gt;=6,G2933&gt;=5,H2933&gt;=5),"POTENTIAL LOYALIST",AND(F2933&gt;=8,G2933&lt;=2,H2933&gt;=5),"NEW CUSTOMERS",AND(F2933&gt;=6,G2933&lt;=2,H2933&gt;=3),"PROMISING",AND(F2933&gt;=3,G2933&gt;=3,H2933&gt;=3),"NEED ATTENTION",AND(F2933&lt;=4,G2933&gt;=6,H2933&gt;=6),"AT RISK",AND(F2933&lt;=2,G2933&gt;=8,H2933&gt;=8),"CAN'T LOSE THEM",AND(F2933&lt;=2,G2933&lt;=2,H2933&lt;=2),"HIBERNATING",TRUE(),"Other")</f>
        <v>NEED ATTENTION</v>
      </c>
      <c r="K2933" s="1" t="n">
        <f aca="false">RANK(E2933,$E$7:$E$4378)+COUNTIF($E$7:E2933,E2933)-1</f>
        <v>662</v>
      </c>
    </row>
    <row r="2934" customFormat="false" ht="14.25" hidden="false" customHeight="true" outlineLevel="0" collapsed="false">
      <c r="A2934" s="51" t="n">
        <v>16309</v>
      </c>
      <c r="B2934" s="53" t="n">
        <v>40795.5180555556</v>
      </c>
      <c r="C2934" s="57" t="n">
        <f aca="false">INT($C$2)-INT(Table3[[#This Row],[Last Purchase Date]])</f>
        <v>92</v>
      </c>
      <c r="D2934" s="1" t="n">
        <v>3</v>
      </c>
      <c r="E2934" s="1" t="n">
        <v>686.67</v>
      </c>
      <c r="F2934" s="1" t="n">
        <f aca="false">ROUND((1-_xlfn.PERCENTRANK.INC($C$7:$C$4378,C2934))*9,0)</f>
        <v>3</v>
      </c>
      <c r="G2934" s="1" t="n">
        <f aca="false">ROUND(_xlfn.PERCENTRANK.INC($D$7:$D$4378,D2934)*9,0)</f>
        <v>4</v>
      </c>
      <c r="H2934" s="1" t="n">
        <f aca="false">ROUND(_xlfn.PERCENTRANK.INC($E$7:$E$4378,E2934)*9,0)</f>
        <v>5</v>
      </c>
      <c r="I2934" s="1" t="str">
        <f aca="false">CONCATENATE(F2934,G2934,H2934)</f>
        <v>345</v>
      </c>
      <c r="J2934" s="1" t="str">
        <f aca="false">_xlfn.IFS(AND(F2934&gt;=8,G2934&gt;=8,H2934&gt;=8),"CHAMPION",AND(F2934&gt;=6,G2934&gt;=7,H2934&gt;=6),"LOYAL CUSTOMER",AND(F2934&gt;=6,G2934&gt;=5,H2934&gt;=5),"POTENTIAL LOYALIST",AND(F2934&gt;=8,G2934&lt;=2,H2934&gt;=5),"NEW CUSTOMERS",AND(F2934&gt;=6,G2934&lt;=2,H2934&gt;=3),"PROMISING",AND(F2934&gt;=3,G2934&gt;=3,H2934&gt;=3),"NEED ATTENTION",AND(F2934&lt;=4,G2934&gt;=6,H2934&gt;=6),"AT RISK",AND(F2934&lt;=2,G2934&gt;=8,H2934&gt;=8),"CAN'T LOSE THEM",AND(F2934&lt;=2,G2934&lt;=2,H2934&lt;=2),"HIBERNATING",TRUE(),"Other")</f>
        <v>NEED ATTENTION</v>
      </c>
      <c r="K2934" s="1" t="n">
        <f aca="false">RANK(E2934,$E$7:$E$4378)+COUNTIF($E$7:E2934,E2934)-1</f>
        <v>2088</v>
      </c>
    </row>
    <row r="2935" customFormat="false" ht="14.25" hidden="false" customHeight="true" outlineLevel="0" collapsed="false">
      <c r="A2935" s="51" t="n">
        <v>16311</v>
      </c>
      <c r="B2935" s="53" t="n">
        <v>40869.3708333333</v>
      </c>
      <c r="C2935" s="57" t="n">
        <f aca="false">INT($C$2)-INT(Table3[[#This Row],[Last Purchase Date]])</f>
        <v>18</v>
      </c>
      <c r="D2935" s="1" t="n">
        <v>2</v>
      </c>
      <c r="E2935" s="1" t="n">
        <v>616.26</v>
      </c>
      <c r="F2935" s="1" t="n">
        <f aca="false">ROUND((1-_xlfn.PERCENTRANK.INC($C$7:$C$4378,C2935))*9,0)</f>
        <v>7</v>
      </c>
      <c r="G2935" s="1" t="n">
        <f aca="false">ROUND(_xlfn.PERCENTRANK.INC($D$7:$D$4378,D2935)*9,0)</f>
        <v>3</v>
      </c>
      <c r="H2935" s="1" t="n">
        <f aca="false">ROUND(_xlfn.PERCENTRANK.INC($E$7:$E$4378,E2935)*9,0)</f>
        <v>4</v>
      </c>
      <c r="I2935" s="1" t="str">
        <f aca="false">CONCATENATE(F2935,G2935,H2935)</f>
        <v>734</v>
      </c>
      <c r="J2935" s="1" t="str">
        <f aca="false">_xlfn.IFS(AND(F2935&gt;=8,G2935&gt;=8,H2935&gt;=8),"CHAMPION",AND(F2935&gt;=6,G2935&gt;=7,H2935&gt;=6),"LOYAL CUSTOMER",AND(F2935&gt;=6,G2935&gt;=5,H2935&gt;=5),"POTENTIAL LOYALIST",AND(F2935&gt;=8,G2935&lt;=2,H2935&gt;=5),"NEW CUSTOMERS",AND(F2935&gt;=6,G2935&lt;=2,H2935&gt;=3),"PROMISING",AND(F2935&gt;=3,G2935&gt;=3,H2935&gt;=3),"NEED ATTENTION",AND(F2935&lt;=4,G2935&gt;=6,H2935&gt;=6),"AT RISK",AND(F2935&lt;=2,G2935&gt;=8,H2935&gt;=8),"CAN'T LOSE THEM",AND(F2935&lt;=2,G2935&lt;=2,H2935&lt;=2),"HIBERNATING",TRUE(),"Other")</f>
        <v>NEED ATTENTION</v>
      </c>
      <c r="K2935" s="1" t="n">
        <f aca="false">RANK(E2935,$E$7:$E$4378)+COUNTIF($E$7:E2935,E2935)-1</f>
        <v>2268</v>
      </c>
    </row>
    <row r="2936" customFormat="false" ht="14.25" hidden="false" customHeight="true" outlineLevel="0" collapsed="false">
      <c r="A2936" s="51" t="n">
        <v>16313</v>
      </c>
      <c r="B2936" s="53" t="n">
        <v>40883.5430555556</v>
      </c>
      <c r="C2936" s="57" t="n">
        <f aca="false">INT($C$2)-INT(Table3[[#This Row],[Last Purchase Date]])</f>
        <v>4</v>
      </c>
      <c r="D2936" s="1" t="n">
        <v>2</v>
      </c>
      <c r="E2936" s="1" t="n">
        <v>274.15</v>
      </c>
      <c r="F2936" s="1" t="n">
        <f aca="false">ROUND((1-_xlfn.PERCENTRANK.INC($C$7:$C$4378,C2936))*9,0)</f>
        <v>8</v>
      </c>
      <c r="G2936" s="1" t="n">
        <f aca="false">ROUND(_xlfn.PERCENTRANK.INC($D$7:$D$4378,D2936)*9,0)</f>
        <v>3</v>
      </c>
      <c r="H2936" s="1" t="n">
        <f aca="false">ROUND(_xlfn.PERCENTRANK.INC($E$7:$E$4378,E2936)*9,0)</f>
        <v>2</v>
      </c>
      <c r="I2936" s="1" t="str">
        <f aca="false">CONCATENATE(F2936,G2936,H2936)</f>
        <v>832</v>
      </c>
      <c r="J2936" s="1" t="str">
        <f aca="false">_xlfn.IFS(AND(F2936&gt;=8,G2936&gt;=8,H2936&gt;=8),"CHAMPION",AND(F2936&gt;=6,G2936&gt;=7,H2936&gt;=6),"LOYAL CUSTOMER",AND(F2936&gt;=6,G2936&gt;=5,H2936&gt;=5),"POTENTIAL LOYALIST",AND(F2936&gt;=8,G2936&lt;=2,H2936&gt;=5),"NEW CUSTOMERS",AND(F2936&gt;=6,G2936&lt;=2,H2936&gt;=3),"PROMISING",AND(F2936&gt;=3,G2936&gt;=3,H2936&gt;=3),"NEED ATTENTION",AND(F2936&lt;=4,G2936&gt;=6,H2936&gt;=6),"AT RISK",AND(F2936&lt;=2,G2936&gt;=8,H2936&gt;=8),"CAN'T LOSE THEM",AND(F2936&lt;=2,G2936&lt;=2,H2936&lt;=2),"HIBERNATING",TRUE(),"Other")</f>
        <v>Other</v>
      </c>
      <c r="K2936" s="1" t="n">
        <f aca="false">RANK(E2936,$E$7:$E$4378)+COUNTIF($E$7:E2936,E2936)-1</f>
        <v>3347</v>
      </c>
    </row>
    <row r="2937" customFormat="false" ht="14.25" hidden="false" customHeight="true" outlineLevel="0" collapsed="false">
      <c r="A2937" s="51" t="n">
        <v>16315</v>
      </c>
      <c r="B2937" s="53" t="n">
        <v>40556.4979166667</v>
      </c>
      <c r="C2937" s="57" t="n">
        <f aca="false">INT($C$2)-INT(Table3[[#This Row],[Last Purchase Date]])</f>
        <v>331</v>
      </c>
      <c r="D2937" s="1" t="n">
        <v>1</v>
      </c>
      <c r="E2937" s="1" t="n">
        <v>226.37</v>
      </c>
      <c r="F2937" s="1" t="n">
        <f aca="false">ROUND((1-_xlfn.PERCENTRANK.INC($C$7:$C$4378,C2937))*9,0)</f>
        <v>0</v>
      </c>
      <c r="G2937" s="1" t="n">
        <f aca="false">ROUND(_xlfn.PERCENTRANK.INC($D$7:$D$4378,D2937)*9,0)</f>
        <v>0</v>
      </c>
      <c r="H2937" s="1" t="n">
        <f aca="false">ROUND(_xlfn.PERCENTRANK.INC($E$7:$E$4378,E2937)*9,0)</f>
        <v>2</v>
      </c>
      <c r="I2937" s="1" t="str">
        <f aca="false">CONCATENATE(F2937,G2937,H2937)</f>
        <v>002</v>
      </c>
      <c r="J2937" s="1" t="str">
        <f aca="false">_xlfn.IFS(AND(F2937&gt;=8,G2937&gt;=8,H2937&gt;=8),"CHAMPION",AND(F2937&gt;=6,G2937&gt;=7,H2937&gt;=6),"LOYAL CUSTOMER",AND(F2937&gt;=6,G2937&gt;=5,H2937&gt;=5),"POTENTIAL LOYALIST",AND(F2937&gt;=8,G2937&lt;=2,H2937&gt;=5),"NEW CUSTOMERS",AND(F2937&gt;=6,G2937&lt;=2,H2937&gt;=3),"PROMISING",AND(F2937&gt;=3,G2937&gt;=3,H2937&gt;=3),"NEED ATTENTION",AND(F2937&lt;=4,G2937&gt;=6,H2937&gt;=6),"AT RISK",AND(F2937&lt;=2,G2937&gt;=8,H2937&gt;=8),"CAN'T LOSE THEM",AND(F2937&lt;=2,G2937&lt;=2,H2937&lt;=2),"HIBERNATING",TRUE(),"Other")</f>
        <v>HIBERNATING</v>
      </c>
      <c r="K2937" s="1" t="n">
        <f aca="false">RANK(E2937,$E$7:$E$4378)+COUNTIF($E$7:E2937,E2937)-1</f>
        <v>3532</v>
      </c>
    </row>
    <row r="2938" customFormat="false" ht="14.25" hidden="false" customHeight="true" outlineLevel="0" collapsed="false">
      <c r="A2938" s="51" t="n">
        <v>16316</v>
      </c>
      <c r="B2938" s="53" t="n">
        <v>40822.575</v>
      </c>
      <c r="C2938" s="57" t="n">
        <f aca="false">INT($C$2)-INT(Table3[[#This Row],[Last Purchase Date]])</f>
        <v>65</v>
      </c>
      <c r="D2938" s="1" t="n">
        <v>12</v>
      </c>
      <c r="E2938" s="1" t="n">
        <v>2755.56</v>
      </c>
      <c r="F2938" s="1" t="n">
        <f aca="false">ROUND((1-_xlfn.PERCENTRANK.INC($C$7:$C$4378,C2938))*9,0)</f>
        <v>4</v>
      </c>
      <c r="G2938" s="1" t="n">
        <f aca="false">ROUND(_xlfn.PERCENTRANK.INC($D$7:$D$4378,D2938)*9,0)</f>
        <v>8</v>
      </c>
      <c r="H2938" s="1" t="n">
        <f aca="false">ROUND(_xlfn.PERCENTRANK.INC($E$7:$E$4378,E2938)*9,0)</f>
        <v>8</v>
      </c>
      <c r="I2938" s="1" t="str">
        <f aca="false">CONCATENATE(F2938,G2938,H2938)</f>
        <v>488</v>
      </c>
      <c r="J2938" s="1" t="str">
        <f aca="false">_xlfn.IFS(AND(F2938&gt;=8,G2938&gt;=8,H2938&gt;=8),"CHAMPION",AND(F2938&gt;=6,G2938&gt;=7,H2938&gt;=6),"LOYAL CUSTOMER",AND(F2938&gt;=6,G2938&gt;=5,H2938&gt;=5),"POTENTIAL LOYALIST",AND(F2938&gt;=8,G2938&lt;=2,H2938&gt;=5),"NEW CUSTOMERS",AND(F2938&gt;=6,G2938&lt;=2,H2938&gt;=3),"PROMISING",AND(F2938&gt;=3,G2938&gt;=3,H2938&gt;=3),"NEED ATTENTION",AND(F2938&lt;=4,G2938&gt;=6,H2938&gt;=6),"AT RISK",AND(F2938&lt;=2,G2938&gt;=8,H2938&gt;=8),"CAN'T LOSE THEM",AND(F2938&lt;=2,G2938&lt;=2,H2938&lt;=2),"HIBERNATING",TRUE(),"Other")</f>
        <v>NEED ATTENTION</v>
      </c>
      <c r="K2938" s="1" t="n">
        <f aca="false">RANK(E2938,$E$7:$E$4378)+COUNTIF($E$7:E2938,E2938)-1</f>
        <v>600</v>
      </c>
    </row>
    <row r="2939" customFormat="false" ht="14.25" hidden="false" customHeight="true" outlineLevel="0" collapsed="false">
      <c r="A2939" s="51" t="n">
        <v>16317</v>
      </c>
      <c r="B2939" s="53" t="n">
        <v>40767.5319444445</v>
      </c>
      <c r="C2939" s="57" t="n">
        <f aca="false">INT($C$2)-INT(Table3[[#This Row],[Last Purchase Date]])</f>
        <v>120</v>
      </c>
      <c r="D2939" s="1" t="n">
        <v>3</v>
      </c>
      <c r="E2939" s="1" t="n">
        <v>1341.65</v>
      </c>
      <c r="F2939" s="1" t="n">
        <f aca="false">ROUND((1-_xlfn.PERCENTRANK.INC($C$7:$C$4378,C2939))*9,0)</f>
        <v>3</v>
      </c>
      <c r="G2939" s="1" t="n">
        <f aca="false">ROUND(_xlfn.PERCENTRANK.INC($D$7:$D$4378,D2939)*9,0)</f>
        <v>4</v>
      </c>
      <c r="H2939" s="1" t="n">
        <f aca="false">ROUND(_xlfn.PERCENTRANK.INC($E$7:$E$4378,E2939)*9,0)</f>
        <v>6</v>
      </c>
      <c r="I2939" s="1" t="str">
        <f aca="false">CONCATENATE(F2939,G2939,H2939)</f>
        <v>346</v>
      </c>
      <c r="J2939" s="1" t="str">
        <f aca="false">_xlfn.IFS(AND(F2939&gt;=8,G2939&gt;=8,H2939&gt;=8),"CHAMPION",AND(F2939&gt;=6,G2939&gt;=7,H2939&gt;=6),"LOYAL CUSTOMER",AND(F2939&gt;=6,G2939&gt;=5,H2939&gt;=5),"POTENTIAL LOYALIST",AND(F2939&gt;=8,G2939&lt;=2,H2939&gt;=5),"NEW CUSTOMERS",AND(F2939&gt;=6,G2939&lt;=2,H2939&gt;=3),"PROMISING",AND(F2939&gt;=3,G2939&gt;=3,H2939&gt;=3),"NEED ATTENTION",AND(F2939&lt;=4,G2939&gt;=6,H2939&gt;=6),"AT RISK",AND(F2939&lt;=2,G2939&gt;=8,H2939&gt;=8),"CAN'T LOSE THEM",AND(F2939&lt;=2,G2939&lt;=2,H2939&lt;=2),"HIBERNATING",TRUE(),"Other")</f>
        <v>NEED ATTENTION</v>
      </c>
      <c r="K2939" s="1" t="n">
        <f aca="false">RANK(E2939,$E$7:$E$4378)+COUNTIF($E$7:E2939,E2939)-1</f>
        <v>1284</v>
      </c>
    </row>
    <row r="2940" customFormat="false" ht="14.25" hidden="false" customHeight="true" outlineLevel="0" collapsed="false">
      <c r="A2940" s="51" t="n">
        <v>16318</v>
      </c>
      <c r="B2940" s="53" t="n">
        <v>40851.5451388889</v>
      </c>
      <c r="C2940" s="57" t="n">
        <f aca="false">INT($C$2)-INT(Table3[[#This Row],[Last Purchase Date]])</f>
        <v>36</v>
      </c>
      <c r="D2940" s="1" t="n">
        <v>1</v>
      </c>
      <c r="E2940" s="1" t="n">
        <v>328.15</v>
      </c>
      <c r="F2940" s="1" t="n">
        <f aca="false">ROUND((1-_xlfn.PERCENTRANK.INC($C$7:$C$4378,C2940))*9,0)</f>
        <v>5</v>
      </c>
      <c r="G2940" s="1" t="n">
        <f aca="false">ROUND(_xlfn.PERCENTRANK.INC($D$7:$D$4378,D2940)*9,0)</f>
        <v>0</v>
      </c>
      <c r="H2940" s="1" t="n">
        <f aca="false">ROUND(_xlfn.PERCENTRANK.INC($E$7:$E$4378,E2940)*9,0)</f>
        <v>3</v>
      </c>
      <c r="I2940" s="1" t="str">
        <f aca="false">CONCATENATE(F2940,G2940,H2940)</f>
        <v>503</v>
      </c>
      <c r="J2940" s="1" t="str">
        <f aca="false">_xlfn.IFS(AND(F2940&gt;=8,G2940&gt;=8,H2940&gt;=8),"CHAMPION",AND(F2940&gt;=6,G2940&gt;=7,H2940&gt;=6),"LOYAL CUSTOMER",AND(F2940&gt;=6,G2940&gt;=5,H2940&gt;=5),"POTENTIAL LOYALIST",AND(F2940&gt;=8,G2940&lt;=2,H2940&gt;=5),"NEW CUSTOMERS",AND(F2940&gt;=6,G2940&lt;=2,H2940&gt;=3),"PROMISING",AND(F2940&gt;=3,G2940&gt;=3,H2940&gt;=3),"NEED ATTENTION",AND(F2940&lt;=4,G2940&gt;=6,H2940&gt;=6),"AT RISK",AND(F2940&lt;=2,G2940&gt;=8,H2940&gt;=8),"CAN'T LOSE THEM",AND(F2940&lt;=2,G2940&lt;=2,H2940&lt;=2),"HIBERNATING",TRUE(),"Other")</f>
        <v>Other</v>
      </c>
      <c r="K2940" s="1" t="n">
        <f aca="false">RANK(E2940,$E$7:$E$4378)+COUNTIF($E$7:E2940,E2940)-1</f>
        <v>3104</v>
      </c>
    </row>
    <row r="2941" customFormat="false" ht="14.25" hidden="false" customHeight="true" outlineLevel="0" collapsed="false">
      <c r="A2941" s="51" t="n">
        <v>16319</v>
      </c>
      <c r="B2941" s="53" t="n">
        <v>40669.4770833333</v>
      </c>
      <c r="C2941" s="57" t="n">
        <f aca="false">INT($C$2)-INT(Table3[[#This Row],[Last Purchase Date]])</f>
        <v>218</v>
      </c>
      <c r="D2941" s="1" t="n">
        <v>1</v>
      </c>
      <c r="E2941" s="1" t="n">
        <v>404.4</v>
      </c>
      <c r="F2941" s="1" t="n">
        <f aca="false">ROUND((1-_xlfn.PERCENTRANK.INC($C$7:$C$4378,C2941))*9,0)</f>
        <v>1</v>
      </c>
      <c r="G2941" s="1" t="n">
        <f aca="false">ROUND(_xlfn.PERCENTRANK.INC($D$7:$D$4378,D2941)*9,0)</f>
        <v>0</v>
      </c>
      <c r="H2941" s="1" t="n">
        <f aca="false">ROUND(_xlfn.PERCENTRANK.INC($E$7:$E$4378,E2941)*9,0)</f>
        <v>3</v>
      </c>
      <c r="I2941" s="1" t="str">
        <f aca="false">CONCATENATE(F2941,G2941,H2941)</f>
        <v>103</v>
      </c>
      <c r="J2941" s="1" t="str">
        <f aca="false">_xlfn.IFS(AND(F2941&gt;=8,G2941&gt;=8,H2941&gt;=8),"CHAMPION",AND(F2941&gt;=6,G2941&gt;=7,H2941&gt;=6),"LOYAL CUSTOMER",AND(F2941&gt;=6,G2941&gt;=5,H2941&gt;=5),"POTENTIAL LOYALIST",AND(F2941&gt;=8,G2941&lt;=2,H2941&gt;=5),"NEW CUSTOMERS",AND(F2941&gt;=6,G2941&lt;=2,H2941&gt;=3),"PROMISING",AND(F2941&gt;=3,G2941&gt;=3,H2941&gt;=3),"NEED ATTENTION",AND(F2941&lt;=4,G2941&gt;=6,H2941&gt;=6),"AT RISK",AND(F2941&lt;=2,G2941&gt;=8,H2941&gt;=8),"CAN'T LOSE THEM",AND(F2941&lt;=2,G2941&lt;=2,H2941&lt;=2),"HIBERNATING",TRUE(),"Other")</f>
        <v>Other</v>
      </c>
      <c r="K2941" s="1" t="n">
        <f aca="false">RANK(E2941,$E$7:$E$4378)+COUNTIF($E$7:E2941,E2941)-1</f>
        <v>2810</v>
      </c>
    </row>
    <row r="2942" customFormat="false" ht="14.25" hidden="false" customHeight="true" outlineLevel="0" collapsed="false">
      <c r="A2942" s="51" t="n">
        <v>16320</v>
      </c>
      <c r="B2942" s="53" t="n">
        <v>40714.6423611111</v>
      </c>
      <c r="C2942" s="57" t="n">
        <f aca="false">INT($C$2)-INT(Table3[[#This Row],[Last Purchase Date]])</f>
        <v>173</v>
      </c>
      <c r="D2942" s="1" t="n">
        <v>2</v>
      </c>
      <c r="E2942" s="1" t="n">
        <v>1038.46</v>
      </c>
      <c r="F2942" s="1" t="n">
        <f aca="false">ROUND((1-_xlfn.PERCENTRANK.INC($C$7:$C$4378,C2942))*9,0)</f>
        <v>2</v>
      </c>
      <c r="G2942" s="1" t="n">
        <f aca="false">ROUND(_xlfn.PERCENTRANK.INC($D$7:$D$4378,D2942)*9,0)</f>
        <v>3</v>
      </c>
      <c r="H2942" s="1" t="n">
        <f aca="false">ROUND(_xlfn.PERCENTRANK.INC($E$7:$E$4378,E2942)*9,0)</f>
        <v>6</v>
      </c>
      <c r="I2942" s="1" t="str">
        <f aca="false">CONCATENATE(F2942,G2942,H2942)</f>
        <v>236</v>
      </c>
      <c r="J2942" s="1" t="str">
        <f aca="false">_xlfn.IFS(AND(F2942&gt;=8,G2942&gt;=8,H2942&gt;=8),"CHAMPION",AND(F2942&gt;=6,G2942&gt;=7,H2942&gt;=6),"LOYAL CUSTOMER",AND(F2942&gt;=6,G2942&gt;=5,H2942&gt;=5),"POTENTIAL LOYALIST",AND(F2942&gt;=8,G2942&lt;=2,H2942&gt;=5),"NEW CUSTOMERS",AND(F2942&gt;=6,G2942&lt;=2,H2942&gt;=3),"PROMISING",AND(F2942&gt;=3,G2942&gt;=3,H2942&gt;=3),"NEED ATTENTION",AND(F2942&lt;=4,G2942&gt;=6,H2942&gt;=6),"AT RISK",AND(F2942&lt;=2,G2942&gt;=8,H2942&gt;=8),"CAN'T LOSE THEM",AND(F2942&lt;=2,G2942&lt;=2,H2942&lt;=2),"HIBERNATING",TRUE(),"Other")</f>
        <v>Other</v>
      </c>
      <c r="K2942" s="1" t="n">
        <f aca="false">RANK(E2942,$E$7:$E$4378)+COUNTIF($E$7:E2942,E2942)-1</f>
        <v>1582</v>
      </c>
    </row>
    <row r="2943" customFormat="false" ht="14.25" hidden="false" customHeight="true" outlineLevel="0" collapsed="false">
      <c r="A2943" s="51" t="n">
        <v>16321</v>
      </c>
      <c r="B2943" s="53" t="n">
        <v>40814.6215277778</v>
      </c>
      <c r="C2943" s="57" t="n">
        <f aca="false">INT($C$2)-INT(Table3[[#This Row],[Last Purchase Date]])</f>
        <v>73</v>
      </c>
      <c r="D2943" s="1" t="n">
        <v>7</v>
      </c>
      <c r="E2943" s="1" t="n">
        <v>230.7</v>
      </c>
      <c r="F2943" s="1" t="n">
        <f aca="false">ROUND((1-_xlfn.PERCENTRANK.INC($C$7:$C$4378,C2943))*9,0)</f>
        <v>4</v>
      </c>
      <c r="G2943" s="1" t="n">
        <f aca="false">ROUND(_xlfn.PERCENTRANK.INC($D$7:$D$4378,D2943)*9,0)</f>
        <v>7</v>
      </c>
      <c r="H2943" s="1" t="n">
        <f aca="false">ROUND(_xlfn.PERCENTRANK.INC($E$7:$E$4378,E2943)*9,0)</f>
        <v>2</v>
      </c>
      <c r="I2943" s="1" t="str">
        <f aca="false">CONCATENATE(F2943,G2943,H2943)</f>
        <v>472</v>
      </c>
      <c r="J2943" s="1" t="str">
        <f aca="false">_xlfn.IFS(AND(F2943&gt;=8,G2943&gt;=8,H2943&gt;=8),"CHAMPION",AND(F2943&gt;=6,G2943&gt;=7,H2943&gt;=6),"LOYAL CUSTOMER",AND(F2943&gt;=6,G2943&gt;=5,H2943&gt;=5),"POTENTIAL LOYALIST",AND(F2943&gt;=8,G2943&lt;=2,H2943&gt;=5),"NEW CUSTOMERS",AND(F2943&gt;=6,G2943&lt;=2,H2943&gt;=3),"PROMISING",AND(F2943&gt;=3,G2943&gt;=3,H2943&gt;=3),"NEED ATTENTION",AND(F2943&lt;=4,G2943&gt;=6,H2943&gt;=6),"AT RISK",AND(F2943&lt;=2,G2943&gt;=8,H2943&gt;=8),"CAN'T LOSE THEM",AND(F2943&lt;=2,G2943&lt;=2,H2943&lt;=2),"HIBERNATING",TRUE(),"Other")</f>
        <v>Other</v>
      </c>
      <c r="K2943" s="1" t="n">
        <f aca="false">RANK(E2943,$E$7:$E$4378)+COUNTIF($E$7:E2943,E2943)-1</f>
        <v>3513</v>
      </c>
    </row>
    <row r="2944" customFormat="false" ht="14.25" hidden="false" customHeight="true" outlineLevel="0" collapsed="false">
      <c r="A2944" s="51" t="n">
        <v>16322</v>
      </c>
      <c r="B2944" s="53" t="n">
        <v>40885.6534722222</v>
      </c>
      <c r="C2944" s="57" t="n">
        <f aca="false">INT($C$2)-INT(Table3[[#This Row],[Last Purchase Date]])</f>
        <v>2</v>
      </c>
      <c r="D2944" s="1" t="n">
        <v>2</v>
      </c>
      <c r="E2944" s="1" t="n">
        <v>326.75</v>
      </c>
      <c r="F2944" s="1" t="n">
        <f aca="false">ROUND((1-_xlfn.PERCENTRANK.INC($C$7:$C$4378,C2944))*9,0)</f>
        <v>9</v>
      </c>
      <c r="G2944" s="1" t="n">
        <f aca="false">ROUND(_xlfn.PERCENTRANK.INC($D$7:$D$4378,D2944)*9,0)</f>
        <v>3</v>
      </c>
      <c r="H2944" s="1" t="n">
        <f aca="false">ROUND(_xlfn.PERCENTRANK.INC($E$7:$E$4378,E2944)*9,0)</f>
        <v>3</v>
      </c>
      <c r="I2944" s="1" t="str">
        <f aca="false">CONCATENATE(F2944,G2944,H2944)</f>
        <v>933</v>
      </c>
      <c r="J2944" s="1" t="str">
        <f aca="false">_xlfn.IFS(AND(F2944&gt;=8,G2944&gt;=8,H2944&gt;=8),"CHAMPION",AND(F2944&gt;=6,G2944&gt;=7,H2944&gt;=6),"LOYAL CUSTOMER",AND(F2944&gt;=6,G2944&gt;=5,H2944&gt;=5),"POTENTIAL LOYALIST",AND(F2944&gt;=8,G2944&lt;=2,H2944&gt;=5),"NEW CUSTOMERS",AND(F2944&gt;=6,G2944&lt;=2,H2944&gt;=3),"PROMISING",AND(F2944&gt;=3,G2944&gt;=3,H2944&gt;=3),"NEED ATTENTION",AND(F2944&lt;=4,G2944&gt;=6,H2944&gt;=6),"AT RISK",AND(F2944&lt;=2,G2944&gt;=8,H2944&gt;=8),"CAN'T LOSE THEM",AND(F2944&lt;=2,G2944&lt;=2,H2944&lt;=2),"HIBERNATING",TRUE(),"Other")</f>
        <v>NEED ATTENTION</v>
      </c>
      <c r="K2944" s="1" t="n">
        <f aca="false">RANK(E2944,$E$7:$E$4378)+COUNTIF($E$7:E2944,E2944)-1</f>
        <v>3109</v>
      </c>
    </row>
    <row r="2945" customFormat="false" ht="14.25" hidden="false" customHeight="true" outlineLevel="0" collapsed="false">
      <c r="A2945" s="51" t="n">
        <v>16323</v>
      </c>
      <c r="B2945" s="53" t="n">
        <v>40690.6166666667</v>
      </c>
      <c r="C2945" s="57" t="n">
        <f aca="false">INT($C$2)-INT(Table3[[#This Row],[Last Purchase Date]])</f>
        <v>197</v>
      </c>
      <c r="D2945" s="1" t="n">
        <v>1</v>
      </c>
      <c r="E2945" s="1" t="n">
        <v>207.5</v>
      </c>
      <c r="F2945" s="1" t="n">
        <f aca="false">ROUND((1-_xlfn.PERCENTRANK.INC($C$7:$C$4378,C2945))*9,0)</f>
        <v>2</v>
      </c>
      <c r="G2945" s="1" t="n">
        <f aca="false">ROUND(_xlfn.PERCENTRANK.INC($D$7:$D$4378,D2945)*9,0)</f>
        <v>0</v>
      </c>
      <c r="H2945" s="1" t="n">
        <f aca="false">ROUND(_xlfn.PERCENTRANK.INC($E$7:$E$4378,E2945)*9,0)</f>
        <v>2</v>
      </c>
      <c r="I2945" s="1" t="str">
        <f aca="false">CONCATENATE(F2945,G2945,H2945)</f>
        <v>202</v>
      </c>
      <c r="J2945" s="1" t="str">
        <f aca="false">_xlfn.IFS(AND(F2945&gt;=8,G2945&gt;=8,H2945&gt;=8),"CHAMPION",AND(F2945&gt;=6,G2945&gt;=7,H2945&gt;=6),"LOYAL CUSTOMER",AND(F2945&gt;=6,G2945&gt;=5,H2945&gt;=5),"POTENTIAL LOYALIST",AND(F2945&gt;=8,G2945&lt;=2,H2945&gt;=5),"NEW CUSTOMERS",AND(F2945&gt;=6,G2945&lt;=2,H2945&gt;=3),"PROMISING",AND(F2945&gt;=3,G2945&gt;=3,H2945&gt;=3),"NEED ATTENTION",AND(F2945&lt;=4,G2945&gt;=6,H2945&gt;=6),"AT RISK",AND(F2945&lt;=2,G2945&gt;=8,H2945&gt;=8),"CAN'T LOSE THEM",AND(F2945&lt;=2,G2945&lt;=2,H2945&lt;=2),"HIBERNATING",TRUE(),"Other")</f>
        <v>HIBERNATING</v>
      </c>
      <c r="K2945" s="1" t="n">
        <f aca="false">RANK(E2945,$E$7:$E$4378)+COUNTIF($E$7:E2945,E2945)-1</f>
        <v>3623</v>
      </c>
    </row>
    <row r="2946" customFormat="false" ht="14.25" hidden="false" customHeight="true" outlineLevel="0" collapsed="false">
      <c r="A2946" s="51" t="n">
        <v>16324</v>
      </c>
      <c r="B2946" s="53" t="n">
        <v>40758.5402777778</v>
      </c>
      <c r="C2946" s="57" t="n">
        <f aca="false">INT($C$2)-INT(Table3[[#This Row],[Last Purchase Date]])</f>
        <v>129</v>
      </c>
      <c r="D2946" s="1" t="n">
        <v>3</v>
      </c>
      <c r="E2946" s="1" t="n">
        <v>428.68</v>
      </c>
      <c r="F2946" s="1" t="n">
        <f aca="false">ROUND((1-_xlfn.PERCENTRANK.INC($C$7:$C$4378,C2946))*9,0)</f>
        <v>2</v>
      </c>
      <c r="G2946" s="1" t="n">
        <f aca="false">ROUND(_xlfn.PERCENTRANK.INC($D$7:$D$4378,D2946)*9,0)</f>
        <v>4</v>
      </c>
      <c r="H2946" s="1" t="n">
        <f aca="false">ROUND(_xlfn.PERCENTRANK.INC($E$7:$E$4378,E2946)*9,0)</f>
        <v>3</v>
      </c>
      <c r="I2946" s="1" t="str">
        <f aca="false">CONCATENATE(F2946,G2946,H2946)</f>
        <v>243</v>
      </c>
      <c r="J2946" s="1" t="str">
        <f aca="false">_xlfn.IFS(AND(F2946&gt;=8,G2946&gt;=8,H2946&gt;=8),"CHAMPION",AND(F2946&gt;=6,G2946&gt;=7,H2946&gt;=6),"LOYAL CUSTOMER",AND(F2946&gt;=6,G2946&gt;=5,H2946&gt;=5),"POTENTIAL LOYALIST",AND(F2946&gt;=8,G2946&lt;=2,H2946&gt;=5),"NEW CUSTOMERS",AND(F2946&gt;=6,G2946&lt;=2,H2946&gt;=3),"PROMISING",AND(F2946&gt;=3,G2946&gt;=3,H2946&gt;=3),"NEED ATTENTION",AND(F2946&lt;=4,G2946&gt;=6,H2946&gt;=6),"AT RISK",AND(F2946&lt;=2,G2946&gt;=8,H2946&gt;=8),"CAN'T LOSE THEM",AND(F2946&lt;=2,G2946&lt;=2,H2946&lt;=2),"HIBERNATING",TRUE(),"Other")</f>
        <v>Other</v>
      </c>
      <c r="K2946" s="1" t="n">
        <f aca="false">RANK(E2946,$E$7:$E$4378)+COUNTIF($E$7:E2946,E2946)-1</f>
        <v>2726</v>
      </c>
    </row>
    <row r="2947" customFormat="false" ht="14.25" hidden="false" customHeight="true" outlineLevel="0" collapsed="false">
      <c r="A2947" s="51" t="n">
        <v>16325</v>
      </c>
      <c r="B2947" s="53" t="n">
        <v>40842.6868055556</v>
      </c>
      <c r="C2947" s="57" t="n">
        <f aca="false">INT($C$2)-INT(Table3[[#This Row],[Last Purchase Date]])</f>
        <v>45</v>
      </c>
      <c r="D2947" s="1" t="n">
        <v>5</v>
      </c>
      <c r="E2947" s="1" t="n">
        <v>510.54</v>
      </c>
      <c r="F2947" s="1" t="n">
        <f aca="false">ROUND((1-_xlfn.PERCENTRANK.INC($C$7:$C$4378,C2947))*9,0)</f>
        <v>5</v>
      </c>
      <c r="G2947" s="1" t="n">
        <f aca="false">ROUND(_xlfn.PERCENTRANK.INC($D$7:$D$4378,D2947)*9,0)</f>
        <v>6</v>
      </c>
      <c r="H2947" s="1" t="n">
        <f aca="false">ROUND(_xlfn.PERCENTRANK.INC($E$7:$E$4378,E2947)*9,0)</f>
        <v>4</v>
      </c>
      <c r="I2947" s="1" t="str">
        <f aca="false">CONCATENATE(F2947,G2947,H2947)</f>
        <v>564</v>
      </c>
      <c r="J2947" s="1" t="str">
        <f aca="false">_xlfn.IFS(AND(F2947&gt;=8,G2947&gt;=8,H2947&gt;=8),"CHAMPION",AND(F2947&gt;=6,G2947&gt;=7,H2947&gt;=6),"LOYAL CUSTOMER",AND(F2947&gt;=6,G2947&gt;=5,H2947&gt;=5),"POTENTIAL LOYALIST",AND(F2947&gt;=8,G2947&lt;=2,H2947&gt;=5),"NEW CUSTOMERS",AND(F2947&gt;=6,G2947&lt;=2,H2947&gt;=3),"PROMISING",AND(F2947&gt;=3,G2947&gt;=3,H2947&gt;=3),"NEED ATTENTION",AND(F2947&lt;=4,G2947&gt;=6,H2947&gt;=6),"AT RISK",AND(F2947&lt;=2,G2947&gt;=8,H2947&gt;=8),"CAN'T LOSE THEM",AND(F2947&lt;=2,G2947&lt;=2,H2947&lt;=2),"HIBERNATING",TRUE(),"Other")</f>
        <v>NEED ATTENTION</v>
      </c>
      <c r="K2947" s="1" t="n">
        <f aca="false">RANK(E2947,$E$7:$E$4378)+COUNTIF($E$7:E2947,E2947)-1</f>
        <v>2516</v>
      </c>
    </row>
    <row r="2948" customFormat="false" ht="14.25" hidden="false" customHeight="true" outlineLevel="0" collapsed="false">
      <c r="A2948" s="51" t="n">
        <v>16326</v>
      </c>
      <c r="B2948" s="53" t="n">
        <v>40881.4243055556</v>
      </c>
      <c r="C2948" s="57" t="n">
        <f aca="false">INT($C$2)-INT(Table3[[#This Row],[Last Purchase Date]])</f>
        <v>6</v>
      </c>
      <c r="D2948" s="1" t="n">
        <v>15</v>
      </c>
      <c r="E2948" s="1" t="n">
        <v>3085.96000000001</v>
      </c>
      <c r="F2948" s="1" t="n">
        <f aca="false">ROUND((1-_xlfn.PERCENTRANK.INC($C$7:$C$4378,C2948))*9,0)</f>
        <v>8</v>
      </c>
      <c r="G2948" s="1" t="n">
        <f aca="false">ROUND(_xlfn.PERCENTRANK.INC($D$7:$D$4378,D2948)*9,0)</f>
        <v>8</v>
      </c>
      <c r="H2948" s="1" t="n">
        <f aca="false">ROUND(_xlfn.PERCENTRANK.INC($E$7:$E$4378,E2948)*9,0)</f>
        <v>8</v>
      </c>
      <c r="I2948" s="1" t="str">
        <f aca="false">CONCATENATE(F2948,G2948,H2948)</f>
        <v>888</v>
      </c>
      <c r="J2948" s="1" t="str">
        <f aca="false">_xlfn.IFS(AND(F2948&gt;=8,G2948&gt;=8,H2948&gt;=8),"CHAMPION",AND(F2948&gt;=6,G2948&gt;=7,H2948&gt;=6),"LOYAL CUSTOMER",AND(F2948&gt;=6,G2948&gt;=5,H2948&gt;=5),"POTENTIAL LOYALIST",AND(F2948&gt;=8,G2948&lt;=2,H2948&gt;=5),"NEW CUSTOMERS",AND(F2948&gt;=6,G2948&lt;=2,H2948&gt;=3),"PROMISING",AND(F2948&gt;=3,G2948&gt;=3,H2948&gt;=3),"NEED ATTENTION",AND(F2948&lt;=4,G2948&gt;=6,H2948&gt;=6),"AT RISK",AND(F2948&lt;=2,G2948&gt;=8,H2948&gt;=8),"CAN'T LOSE THEM",AND(F2948&lt;=2,G2948&lt;=2,H2948&lt;=2),"HIBERNATING",TRUE(),"Other")</f>
        <v>CHAMPION</v>
      </c>
      <c r="K2948" s="1" t="n">
        <f aca="false">RANK(E2948,$E$7:$E$4378)+COUNTIF($E$7:E2948,E2948)-1</f>
        <v>519</v>
      </c>
    </row>
    <row r="2949" customFormat="false" ht="14.25" hidden="false" customHeight="true" outlineLevel="0" collapsed="false">
      <c r="A2949" s="51" t="n">
        <v>16327</v>
      </c>
      <c r="B2949" s="53" t="n">
        <v>40872.5576388889</v>
      </c>
      <c r="C2949" s="57" t="n">
        <f aca="false">INT($C$2)-INT(Table3[[#This Row],[Last Purchase Date]])</f>
        <v>15</v>
      </c>
      <c r="D2949" s="1" t="n">
        <v>6</v>
      </c>
      <c r="E2949" s="1" t="n">
        <v>3844.22</v>
      </c>
      <c r="F2949" s="1" t="n">
        <f aca="false">ROUND((1-_xlfn.PERCENTRANK.INC($C$7:$C$4378,C2949))*9,0)</f>
        <v>7</v>
      </c>
      <c r="G2949" s="1" t="n">
        <f aca="false">ROUND(_xlfn.PERCENTRANK.INC($D$7:$D$4378,D2949)*9,0)</f>
        <v>7</v>
      </c>
      <c r="H2949" s="1" t="n">
        <f aca="false">ROUND(_xlfn.PERCENTRANK.INC($E$7:$E$4378,E2949)*9,0)</f>
        <v>8</v>
      </c>
      <c r="I2949" s="1" t="str">
        <f aca="false">CONCATENATE(F2949,G2949,H2949)</f>
        <v>778</v>
      </c>
      <c r="J2949" s="1" t="str">
        <f aca="false">_xlfn.IFS(AND(F2949&gt;=8,G2949&gt;=8,H2949&gt;=8),"CHAMPION",AND(F2949&gt;=6,G2949&gt;=7,H2949&gt;=6),"LOYAL CUSTOMER",AND(F2949&gt;=6,G2949&gt;=5,H2949&gt;=5),"POTENTIAL LOYALIST",AND(F2949&gt;=8,G2949&lt;=2,H2949&gt;=5),"NEW CUSTOMERS",AND(F2949&gt;=6,G2949&lt;=2,H2949&gt;=3),"PROMISING",AND(F2949&gt;=3,G2949&gt;=3,H2949&gt;=3),"NEED ATTENTION",AND(F2949&lt;=4,G2949&gt;=6,H2949&gt;=6),"AT RISK",AND(F2949&lt;=2,G2949&gt;=8,H2949&gt;=8),"CAN'T LOSE THEM",AND(F2949&lt;=2,G2949&lt;=2,H2949&lt;=2),"HIBERNATING",TRUE(),"Other")</f>
        <v>LOYAL CUSTOMER</v>
      </c>
      <c r="K2949" s="1" t="n">
        <f aca="false">RANK(E2949,$E$7:$E$4378)+COUNTIF($E$7:E2949,E2949)-1</f>
        <v>381</v>
      </c>
    </row>
    <row r="2950" customFormat="false" ht="14.25" hidden="false" customHeight="true" outlineLevel="0" collapsed="false">
      <c r="A2950" s="51" t="n">
        <v>16330</v>
      </c>
      <c r="B2950" s="53" t="n">
        <v>40869.5166666667</v>
      </c>
      <c r="C2950" s="57" t="n">
        <f aca="false">INT($C$2)-INT(Table3[[#This Row],[Last Purchase Date]])</f>
        <v>18</v>
      </c>
      <c r="D2950" s="1" t="n">
        <v>4</v>
      </c>
      <c r="E2950" s="1" t="n">
        <v>242.21</v>
      </c>
      <c r="F2950" s="1" t="n">
        <f aca="false">ROUND((1-_xlfn.PERCENTRANK.INC($C$7:$C$4378,C2950))*9,0)</f>
        <v>7</v>
      </c>
      <c r="G2950" s="1" t="n">
        <f aca="false">ROUND(_xlfn.PERCENTRANK.INC($D$7:$D$4378,D2950)*9,0)</f>
        <v>5</v>
      </c>
      <c r="H2950" s="1" t="n">
        <f aca="false">ROUND(_xlfn.PERCENTRANK.INC($E$7:$E$4378,E2950)*9,0)</f>
        <v>2</v>
      </c>
      <c r="I2950" s="1" t="str">
        <f aca="false">CONCATENATE(F2950,G2950,H2950)</f>
        <v>752</v>
      </c>
      <c r="J2950" s="1" t="str">
        <f aca="false">_xlfn.IFS(AND(F2950&gt;=8,G2950&gt;=8,H2950&gt;=8),"CHAMPION",AND(F2950&gt;=6,G2950&gt;=7,H2950&gt;=6),"LOYAL CUSTOMER",AND(F2950&gt;=6,G2950&gt;=5,H2950&gt;=5),"POTENTIAL LOYALIST",AND(F2950&gt;=8,G2950&lt;=2,H2950&gt;=5),"NEW CUSTOMERS",AND(F2950&gt;=6,G2950&lt;=2,H2950&gt;=3),"PROMISING",AND(F2950&gt;=3,G2950&gt;=3,H2950&gt;=3),"NEED ATTENTION",AND(F2950&lt;=4,G2950&gt;=6,H2950&gt;=6),"AT RISK",AND(F2950&lt;=2,G2950&gt;=8,H2950&gt;=8),"CAN'T LOSE THEM",AND(F2950&lt;=2,G2950&lt;=2,H2950&lt;=2),"HIBERNATING",TRUE(),"Other")</f>
        <v>Other</v>
      </c>
      <c r="K2950" s="1" t="n">
        <f aca="false">RANK(E2950,$E$7:$E$4378)+COUNTIF($E$7:E2950,E2950)-1</f>
        <v>3473</v>
      </c>
    </row>
    <row r="2951" customFormat="false" ht="14.25" hidden="false" customHeight="true" outlineLevel="0" collapsed="false">
      <c r="A2951" s="51" t="n">
        <v>16332</v>
      </c>
      <c r="B2951" s="53" t="n">
        <v>40858.5986111111</v>
      </c>
      <c r="C2951" s="57" t="n">
        <f aca="false">INT($C$2)-INT(Table3[[#This Row],[Last Purchase Date]])</f>
        <v>29</v>
      </c>
      <c r="D2951" s="1" t="n">
        <v>8</v>
      </c>
      <c r="E2951" s="1" t="n">
        <v>1583.2</v>
      </c>
      <c r="F2951" s="1" t="n">
        <f aca="false">ROUND((1-_xlfn.PERCENTRANK.INC($C$7:$C$4378,C2951))*9,0)</f>
        <v>6</v>
      </c>
      <c r="G2951" s="1" t="n">
        <f aca="false">ROUND(_xlfn.PERCENTRANK.INC($D$7:$D$4378,D2951)*9,0)</f>
        <v>7</v>
      </c>
      <c r="H2951" s="1" t="n">
        <f aca="false">ROUND(_xlfn.PERCENTRANK.INC($E$7:$E$4378,E2951)*9,0)</f>
        <v>7</v>
      </c>
      <c r="I2951" s="1" t="str">
        <f aca="false">CONCATENATE(F2951,G2951,H2951)</f>
        <v>677</v>
      </c>
      <c r="J2951" s="1" t="str">
        <f aca="false">_xlfn.IFS(AND(F2951&gt;=8,G2951&gt;=8,H2951&gt;=8),"CHAMPION",AND(F2951&gt;=6,G2951&gt;=7,H2951&gt;=6),"LOYAL CUSTOMER",AND(F2951&gt;=6,G2951&gt;=5,H2951&gt;=5),"POTENTIAL LOYALIST",AND(F2951&gt;=8,G2951&lt;=2,H2951&gt;=5),"NEW CUSTOMERS",AND(F2951&gt;=6,G2951&lt;=2,H2951&gt;=3),"PROMISING",AND(F2951&gt;=3,G2951&gt;=3,H2951&gt;=3),"NEED ATTENTION",AND(F2951&lt;=4,G2951&gt;=6,H2951&gt;=6),"AT RISK",AND(F2951&lt;=2,G2951&gt;=8,H2951&gt;=8),"CAN'T LOSE THEM",AND(F2951&lt;=2,G2951&lt;=2,H2951&lt;=2),"HIBERNATING",TRUE(),"Other")</f>
        <v>LOYAL CUSTOMER</v>
      </c>
      <c r="K2951" s="1" t="n">
        <f aca="false">RANK(E2951,$E$7:$E$4378)+COUNTIF($E$7:E2951,E2951)-1</f>
        <v>1109</v>
      </c>
    </row>
    <row r="2952" customFormat="false" ht="14.25" hidden="false" customHeight="true" outlineLevel="0" collapsed="false">
      <c r="A2952" s="51" t="n">
        <v>16333</v>
      </c>
      <c r="B2952" s="53" t="n">
        <v>40879.5131944444</v>
      </c>
      <c r="C2952" s="57" t="n">
        <f aca="false">INT($C$2)-INT(Table3[[#This Row],[Last Purchase Date]])</f>
        <v>8</v>
      </c>
      <c r="D2952" s="1" t="n">
        <v>22</v>
      </c>
      <c r="E2952" s="1" t="n">
        <v>26626.8</v>
      </c>
      <c r="F2952" s="1" t="n">
        <f aca="false">ROUND((1-_xlfn.PERCENTRANK.INC($C$7:$C$4378,C2952))*9,0)</f>
        <v>8</v>
      </c>
      <c r="G2952" s="1" t="n">
        <f aca="false">ROUND(_xlfn.PERCENTRANK.INC($D$7:$D$4378,D2952)*9,0)</f>
        <v>9</v>
      </c>
      <c r="H2952" s="1" t="n">
        <f aca="false">ROUND(_xlfn.PERCENTRANK.INC($E$7:$E$4378,E2952)*9,0)</f>
        <v>9</v>
      </c>
      <c r="I2952" s="1" t="str">
        <f aca="false">CONCATENATE(F2952,G2952,H2952)</f>
        <v>899</v>
      </c>
      <c r="J2952" s="1" t="str">
        <f aca="false">_xlfn.IFS(AND(F2952&gt;=8,G2952&gt;=8,H2952&gt;=8),"CHAMPION",AND(F2952&gt;=6,G2952&gt;=7,H2952&gt;=6),"LOYAL CUSTOMER",AND(F2952&gt;=6,G2952&gt;=5,H2952&gt;=5),"POTENTIAL LOYALIST",AND(F2952&gt;=8,G2952&lt;=2,H2952&gt;=5),"NEW CUSTOMERS",AND(F2952&gt;=6,G2952&lt;=2,H2952&gt;=3),"PROMISING",AND(F2952&gt;=3,G2952&gt;=3,H2952&gt;=3),"NEED ATTENTION",AND(F2952&lt;=4,G2952&gt;=6,H2952&gt;=6),"AT RISK",AND(F2952&lt;=2,G2952&gt;=8,H2952&gt;=8),"CAN'T LOSE THEM",AND(F2952&lt;=2,G2952&lt;=2,H2952&lt;=2),"HIBERNATING",TRUE(),"Other")</f>
        <v>CHAMPION</v>
      </c>
      <c r="K2952" s="1" t="n">
        <f aca="false">RANK(E2952,$E$7:$E$4378)+COUNTIF($E$7:E2952,E2952)-1</f>
        <v>33</v>
      </c>
    </row>
    <row r="2953" customFormat="false" ht="14.25" hidden="false" customHeight="true" outlineLevel="0" collapsed="false">
      <c r="A2953" s="51" t="n">
        <v>16337</v>
      </c>
      <c r="B2953" s="53" t="n">
        <v>40850.41875</v>
      </c>
      <c r="C2953" s="57" t="n">
        <f aca="false">INT($C$2)-INT(Table3[[#This Row],[Last Purchase Date]])</f>
        <v>37</v>
      </c>
      <c r="D2953" s="1" t="n">
        <v>1</v>
      </c>
      <c r="E2953" s="1" t="n">
        <v>151.05</v>
      </c>
      <c r="F2953" s="1" t="n">
        <f aca="false">ROUND((1-_xlfn.PERCENTRANK.INC($C$7:$C$4378,C2953))*9,0)</f>
        <v>5</v>
      </c>
      <c r="G2953" s="1" t="n">
        <f aca="false">ROUND(_xlfn.PERCENTRANK.INC($D$7:$D$4378,D2953)*9,0)</f>
        <v>0</v>
      </c>
      <c r="H2953" s="1" t="n">
        <f aca="false">ROUND(_xlfn.PERCENTRANK.INC($E$7:$E$4378,E2953)*9,0)</f>
        <v>1</v>
      </c>
      <c r="I2953" s="1" t="str">
        <f aca="false">CONCATENATE(F2953,G2953,H2953)</f>
        <v>501</v>
      </c>
      <c r="J2953" s="1" t="str">
        <f aca="false">_xlfn.IFS(AND(F2953&gt;=8,G2953&gt;=8,H2953&gt;=8),"CHAMPION",AND(F2953&gt;=6,G2953&gt;=7,H2953&gt;=6),"LOYAL CUSTOMER",AND(F2953&gt;=6,G2953&gt;=5,H2953&gt;=5),"POTENTIAL LOYALIST",AND(F2953&gt;=8,G2953&lt;=2,H2953&gt;=5),"NEW CUSTOMERS",AND(F2953&gt;=6,G2953&lt;=2,H2953&gt;=3),"PROMISING",AND(F2953&gt;=3,G2953&gt;=3,H2953&gt;=3),"NEED ATTENTION",AND(F2953&lt;=4,G2953&gt;=6,H2953&gt;=6),"AT RISK",AND(F2953&lt;=2,G2953&gt;=8,H2953&gt;=8),"CAN'T LOSE THEM",AND(F2953&lt;=2,G2953&lt;=2,H2953&lt;=2),"HIBERNATING",TRUE(),"Other")</f>
        <v>Other</v>
      </c>
      <c r="K2953" s="1" t="n">
        <f aca="false">RANK(E2953,$E$7:$E$4378)+COUNTIF($E$7:E2953,E2953)-1</f>
        <v>3916</v>
      </c>
    </row>
    <row r="2954" customFormat="false" ht="14.25" hidden="false" customHeight="true" outlineLevel="0" collapsed="false">
      <c r="A2954" s="51" t="n">
        <v>16338</v>
      </c>
      <c r="B2954" s="53" t="n">
        <v>40729.5805555556</v>
      </c>
      <c r="C2954" s="57" t="n">
        <f aca="false">INT($C$2)-INT(Table3[[#This Row],[Last Purchase Date]])</f>
        <v>158</v>
      </c>
      <c r="D2954" s="1" t="n">
        <v>1</v>
      </c>
      <c r="E2954" s="1" t="n">
        <v>214.8</v>
      </c>
      <c r="F2954" s="1" t="n">
        <f aca="false">ROUND((1-_xlfn.PERCENTRANK.INC($C$7:$C$4378,C2954))*9,0)</f>
        <v>2</v>
      </c>
      <c r="G2954" s="1" t="n">
        <f aca="false">ROUND(_xlfn.PERCENTRANK.INC($D$7:$D$4378,D2954)*9,0)</f>
        <v>0</v>
      </c>
      <c r="H2954" s="1" t="n">
        <f aca="false">ROUND(_xlfn.PERCENTRANK.INC($E$7:$E$4378,E2954)*9,0)</f>
        <v>2</v>
      </c>
      <c r="I2954" s="1" t="str">
        <f aca="false">CONCATENATE(F2954,G2954,H2954)</f>
        <v>202</v>
      </c>
      <c r="J2954" s="1" t="str">
        <f aca="false">_xlfn.IFS(AND(F2954&gt;=8,G2954&gt;=8,H2954&gt;=8),"CHAMPION",AND(F2954&gt;=6,G2954&gt;=7,H2954&gt;=6),"LOYAL CUSTOMER",AND(F2954&gt;=6,G2954&gt;=5,H2954&gt;=5),"POTENTIAL LOYALIST",AND(F2954&gt;=8,G2954&lt;=2,H2954&gt;=5),"NEW CUSTOMERS",AND(F2954&gt;=6,G2954&lt;=2,H2954&gt;=3),"PROMISING",AND(F2954&gt;=3,G2954&gt;=3,H2954&gt;=3),"NEED ATTENTION",AND(F2954&lt;=4,G2954&gt;=6,H2954&gt;=6),"AT RISK",AND(F2954&lt;=2,G2954&gt;=8,H2954&gt;=8),"CAN'T LOSE THEM",AND(F2954&lt;=2,G2954&lt;=2,H2954&lt;=2),"HIBERNATING",TRUE(),"Other")</f>
        <v>HIBERNATING</v>
      </c>
      <c r="K2954" s="1" t="n">
        <f aca="false">RANK(E2954,$E$7:$E$4378)+COUNTIF($E$7:E2954,E2954)-1</f>
        <v>3590</v>
      </c>
    </row>
    <row r="2955" customFormat="false" ht="14.25" hidden="false" customHeight="true" outlineLevel="0" collapsed="false">
      <c r="A2955" s="51" t="n">
        <v>16339</v>
      </c>
      <c r="B2955" s="53" t="n">
        <v>40602.5701388889</v>
      </c>
      <c r="C2955" s="57" t="n">
        <f aca="false">INT($C$2)-INT(Table3[[#This Row],[Last Purchase Date]])</f>
        <v>285</v>
      </c>
      <c r="D2955" s="1" t="n">
        <v>1</v>
      </c>
      <c r="E2955" s="1" t="n">
        <v>109.95</v>
      </c>
      <c r="F2955" s="1" t="n">
        <f aca="false">ROUND((1-_xlfn.PERCENTRANK.INC($C$7:$C$4378,C2955))*9,0)</f>
        <v>1</v>
      </c>
      <c r="G2955" s="1" t="n">
        <f aca="false">ROUND(_xlfn.PERCENTRANK.INC($D$7:$D$4378,D2955)*9,0)</f>
        <v>0</v>
      </c>
      <c r="H2955" s="1" t="n">
        <f aca="false">ROUND(_xlfn.PERCENTRANK.INC($E$7:$E$4378,E2955)*9,0)</f>
        <v>1</v>
      </c>
      <c r="I2955" s="1" t="str">
        <f aca="false">CONCATENATE(F2955,G2955,H2955)</f>
        <v>101</v>
      </c>
      <c r="J2955" s="1" t="str">
        <f aca="false">_xlfn.IFS(AND(F2955&gt;=8,G2955&gt;=8,H2955&gt;=8),"CHAMPION",AND(F2955&gt;=6,G2955&gt;=7,H2955&gt;=6),"LOYAL CUSTOMER",AND(F2955&gt;=6,G2955&gt;=5,H2955&gt;=5),"POTENTIAL LOYALIST",AND(F2955&gt;=8,G2955&lt;=2,H2955&gt;=5),"NEW CUSTOMERS",AND(F2955&gt;=6,G2955&lt;=2,H2955&gt;=3),"PROMISING",AND(F2955&gt;=3,G2955&gt;=3,H2955&gt;=3),"NEED ATTENTION",AND(F2955&lt;=4,G2955&gt;=6,H2955&gt;=6),"AT RISK",AND(F2955&lt;=2,G2955&gt;=8,H2955&gt;=8),"CAN'T LOSE THEM",AND(F2955&lt;=2,G2955&lt;=2,H2955&lt;=2),"HIBERNATING",TRUE(),"Other")</f>
        <v>HIBERNATING</v>
      </c>
      <c r="K2955" s="1" t="n">
        <f aca="false">RANK(E2955,$E$7:$E$4378)+COUNTIF($E$7:E2955,E2955)-1</f>
        <v>4117</v>
      </c>
    </row>
    <row r="2956" customFormat="false" ht="14.25" hidden="false" customHeight="true" outlineLevel="0" collapsed="false">
      <c r="A2956" s="51" t="n">
        <v>16340</v>
      </c>
      <c r="B2956" s="53" t="n">
        <v>40779.6201388889</v>
      </c>
      <c r="C2956" s="57" t="n">
        <f aca="false">INT($C$2)-INT(Table3[[#This Row],[Last Purchase Date]])</f>
        <v>108</v>
      </c>
      <c r="D2956" s="1" t="n">
        <v>1</v>
      </c>
      <c r="E2956" s="1" t="n">
        <v>549.07</v>
      </c>
      <c r="F2956" s="1" t="n">
        <f aca="false">ROUND((1-_xlfn.PERCENTRANK.INC($C$7:$C$4378,C2956))*9,0)</f>
        <v>3</v>
      </c>
      <c r="G2956" s="1" t="n">
        <f aca="false">ROUND(_xlfn.PERCENTRANK.INC($D$7:$D$4378,D2956)*9,0)</f>
        <v>0</v>
      </c>
      <c r="H2956" s="1" t="n">
        <f aca="false">ROUND(_xlfn.PERCENTRANK.INC($E$7:$E$4378,E2956)*9,0)</f>
        <v>4</v>
      </c>
      <c r="I2956" s="1" t="str">
        <f aca="false">CONCATENATE(F2956,G2956,H2956)</f>
        <v>304</v>
      </c>
      <c r="J2956" s="1" t="str">
        <f aca="false">_xlfn.IFS(AND(F2956&gt;=8,G2956&gt;=8,H2956&gt;=8),"CHAMPION",AND(F2956&gt;=6,G2956&gt;=7,H2956&gt;=6),"LOYAL CUSTOMER",AND(F2956&gt;=6,G2956&gt;=5,H2956&gt;=5),"POTENTIAL LOYALIST",AND(F2956&gt;=8,G2956&lt;=2,H2956&gt;=5),"NEW CUSTOMERS",AND(F2956&gt;=6,G2956&lt;=2,H2956&gt;=3),"PROMISING",AND(F2956&gt;=3,G2956&gt;=3,H2956&gt;=3),"NEED ATTENTION",AND(F2956&lt;=4,G2956&gt;=6,H2956&gt;=6),"AT RISK",AND(F2956&lt;=2,G2956&gt;=8,H2956&gt;=8),"CAN'T LOSE THEM",AND(F2956&lt;=2,G2956&lt;=2,H2956&lt;=2),"HIBERNATING",TRUE(),"Other")</f>
        <v>Other</v>
      </c>
      <c r="K2956" s="1" t="n">
        <f aca="false">RANK(E2956,$E$7:$E$4378)+COUNTIF($E$7:E2956,E2956)-1</f>
        <v>2432</v>
      </c>
    </row>
    <row r="2957" customFormat="false" ht="14.25" hidden="false" customHeight="true" outlineLevel="0" collapsed="false">
      <c r="A2957" s="51" t="n">
        <v>16341</v>
      </c>
      <c r="B2957" s="53" t="n">
        <v>40862.3833333333</v>
      </c>
      <c r="C2957" s="57" t="n">
        <f aca="false">INT($C$2)-INT(Table3[[#This Row],[Last Purchase Date]])</f>
        <v>25</v>
      </c>
      <c r="D2957" s="1" t="n">
        <v>6</v>
      </c>
      <c r="E2957" s="1" t="n">
        <v>1959.38</v>
      </c>
      <c r="F2957" s="1" t="n">
        <f aca="false">ROUND((1-_xlfn.PERCENTRANK.INC($C$7:$C$4378,C2957))*9,0)</f>
        <v>6</v>
      </c>
      <c r="G2957" s="1" t="n">
        <f aca="false">ROUND(_xlfn.PERCENTRANK.INC($D$7:$D$4378,D2957)*9,0)</f>
        <v>7</v>
      </c>
      <c r="H2957" s="1" t="n">
        <f aca="false">ROUND(_xlfn.PERCENTRANK.INC($E$7:$E$4378,E2957)*9,0)</f>
        <v>7</v>
      </c>
      <c r="I2957" s="1" t="str">
        <f aca="false">CONCATENATE(F2957,G2957,H2957)</f>
        <v>677</v>
      </c>
      <c r="J2957" s="1" t="str">
        <f aca="false">_xlfn.IFS(AND(F2957&gt;=8,G2957&gt;=8,H2957&gt;=8),"CHAMPION",AND(F2957&gt;=6,G2957&gt;=7,H2957&gt;=6),"LOYAL CUSTOMER",AND(F2957&gt;=6,G2957&gt;=5,H2957&gt;=5),"POTENTIAL LOYALIST",AND(F2957&gt;=8,G2957&lt;=2,H2957&gt;=5),"NEW CUSTOMERS",AND(F2957&gt;=6,G2957&lt;=2,H2957&gt;=3),"PROMISING",AND(F2957&gt;=3,G2957&gt;=3,H2957&gt;=3),"NEED ATTENTION",AND(F2957&lt;=4,G2957&gt;=6,H2957&gt;=6),"AT RISK",AND(F2957&lt;=2,G2957&gt;=8,H2957&gt;=8),"CAN'T LOSE THEM",AND(F2957&lt;=2,G2957&lt;=2,H2957&lt;=2),"HIBERNATING",TRUE(),"Other")</f>
        <v>LOYAL CUSTOMER</v>
      </c>
      <c r="K2957" s="1" t="n">
        <f aca="false">RANK(E2957,$E$7:$E$4378)+COUNTIF($E$7:E2957,E2957)-1</f>
        <v>894</v>
      </c>
    </row>
    <row r="2958" customFormat="false" ht="14.25" hidden="false" customHeight="true" outlineLevel="0" collapsed="false">
      <c r="A2958" s="51" t="n">
        <v>16342</v>
      </c>
      <c r="B2958" s="53" t="n">
        <v>40811.6083333333</v>
      </c>
      <c r="C2958" s="57" t="n">
        <f aca="false">INT($C$2)-INT(Table3[[#This Row],[Last Purchase Date]])</f>
        <v>76</v>
      </c>
      <c r="D2958" s="1" t="n">
        <v>4</v>
      </c>
      <c r="E2958" s="1" t="n">
        <v>322.41</v>
      </c>
      <c r="F2958" s="1" t="n">
        <f aca="false">ROUND((1-_xlfn.PERCENTRANK.INC($C$7:$C$4378,C2958))*9,0)</f>
        <v>3</v>
      </c>
      <c r="G2958" s="1" t="n">
        <f aca="false">ROUND(_xlfn.PERCENTRANK.INC($D$7:$D$4378,D2958)*9,0)</f>
        <v>5</v>
      </c>
      <c r="H2958" s="1" t="n">
        <f aca="false">ROUND(_xlfn.PERCENTRANK.INC($E$7:$E$4378,E2958)*9,0)</f>
        <v>3</v>
      </c>
      <c r="I2958" s="1" t="str">
        <f aca="false">CONCATENATE(F2958,G2958,H2958)</f>
        <v>353</v>
      </c>
      <c r="J2958" s="1" t="str">
        <f aca="false">_xlfn.IFS(AND(F2958&gt;=8,G2958&gt;=8,H2958&gt;=8),"CHAMPION",AND(F2958&gt;=6,G2958&gt;=7,H2958&gt;=6),"LOYAL CUSTOMER",AND(F2958&gt;=6,G2958&gt;=5,H2958&gt;=5),"POTENTIAL LOYALIST",AND(F2958&gt;=8,G2958&lt;=2,H2958&gt;=5),"NEW CUSTOMERS",AND(F2958&gt;=6,G2958&lt;=2,H2958&gt;=3),"PROMISING",AND(F2958&gt;=3,G2958&gt;=3,H2958&gt;=3),"NEED ATTENTION",AND(F2958&lt;=4,G2958&gt;=6,H2958&gt;=6),"AT RISK",AND(F2958&lt;=2,G2958&gt;=8,H2958&gt;=8),"CAN'T LOSE THEM",AND(F2958&lt;=2,G2958&lt;=2,H2958&lt;=2),"HIBERNATING",TRUE(),"Other")</f>
        <v>NEED ATTENTION</v>
      </c>
      <c r="K2958" s="1" t="n">
        <f aca="false">RANK(E2958,$E$7:$E$4378)+COUNTIF($E$7:E2958,E2958)-1</f>
        <v>3128</v>
      </c>
    </row>
    <row r="2959" customFormat="false" ht="14.25" hidden="false" customHeight="true" outlineLevel="0" collapsed="false">
      <c r="A2959" s="51" t="n">
        <v>16343</v>
      </c>
      <c r="B2959" s="53" t="n">
        <v>40870.7395833333</v>
      </c>
      <c r="C2959" s="57" t="n">
        <f aca="false">INT($C$2)-INT(Table3[[#This Row],[Last Purchase Date]])</f>
        <v>17</v>
      </c>
      <c r="D2959" s="1" t="n">
        <v>2</v>
      </c>
      <c r="E2959" s="1" t="n">
        <v>370.48</v>
      </c>
      <c r="F2959" s="1" t="n">
        <f aca="false">ROUND((1-_xlfn.PERCENTRANK.INC($C$7:$C$4378,C2959))*9,0)</f>
        <v>7</v>
      </c>
      <c r="G2959" s="1" t="n">
        <f aca="false">ROUND(_xlfn.PERCENTRANK.INC($D$7:$D$4378,D2959)*9,0)</f>
        <v>3</v>
      </c>
      <c r="H2959" s="1" t="n">
        <f aca="false">ROUND(_xlfn.PERCENTRANK.INC($E$7:$E$4378,E2959)*9,0)</f>
        <v>3</v>
      </c>
      <c r="I2959" s="1" t="str">
        <f aca="false">CONCATENATE(F2959,G2959,H2959)</f>
        <v>733</v>
      </c>
      <c r="J2959" s="1" t="str">
        <f aca="false">_xlfn.IFS(AND(F2959&gt;=8,G2959&gt;=8,H2959&gt;=8),"CHAMPION",AND(F2959&gt;=6,G2959&gt;=7,H2959&gt;=6),"LOYAL CUSTOMER",AND(F2959&gt;=6,G2959&gt;=5,H2959&gt;=5),"POTENTIAL LOYALIST",AND(F2959&gt;=8,G2959&lt;=2,H2959&gt;=5),"NEW CUSTOMERS",AND(F2959&gt;=6,G2959&lt;=2,H2959&gt;=3),"PROMISING",AND(F2959&gt;=3,G2959&gt;=3,H2959&gt;=3),"NEED ATTENTION",AND(F2959&lt;=4,G2959&gt;=6,H2959&gt;=6),"AT RISK",AND(F2959&lt;=2,G2959&gt;=8,H2959&gt;=8),"CAN'T LOSE THEM",AND(F2959&lt;=2,G2959&lt;=2,H2959&lt;=2),"HIBERNATING",TRUE(),"Other")</f>
        <v>NEED ATTENTION</v>
      </c>
      <c r="K2959" s="1" t="n">
        <f aca="false">RANK(E2959,$E$7:$E$4378)+COUNTIF($E$7:E2959,E2959)-1</f>
        <v>2928</v>
      </c>
    </row>
    <row r="2960" customFormat="false" ht="14.25" hidden="false" customHeight="true" outlineLevel="0" collapsed="false">
      <c r="A2960" s="51" t="n">
        <v>16344</v>
      </c>
      <c r="B2960" s="53" t="n">
        <v>40728.6597222222</v>
      </c>
      <c r="C2960" s="57" t="n">
        <f aca="false">INT($C$2)-INT(Table3[[#This Row],[Last Purchase Date]])</f>
        <v>159</v>
      </c>
      <c r="D2960" s="1" t="n">
        <v>1</v>
      </c>
      <c r="E2960" s="1" t="n">
        <v>101.1</v>
      </c>
      <c r="F2960" s="1" t="n">
        <f aca="false">ROUND((1-_xlfn.PERCENTRANK.INC($C$7:$C$4378,C2960))*9,0)</f>
        <v>2</v>
      </c>
      <c r="G2960" s="1" t="n">
        <f aca="false">ROUND(_xlfn.PERCENTRANK.INC($D$7:$D$4378,D2960)*9,0)</f>
        <v>0</v>
      </c>
      <c r="H2960" s="1" t="n">
        <f aca="false">ROUND(_xlfn.PERCENTRANK.INC($E$7:$E$4378,E2960)*9,0)</f>
        <v>0</v>
      </c>
      <c r="I2960" s="1" t="str">
        <f aca="false">CONCATENATE(F2960,G2960,H2960)</f>
        <v>200</v>
      </c>
      <c r="J2960" s="1" t="str">
        <f aca="false">_xlfn.IFS(AND(F2960&gt;=8,G2960&gt;=8,H2960&gt;=8),"CHAMPION",AND(F2960&gt;=6,G2960&gt;=7,H2960&gt;=6),"LOYAL CUSTOMER",AND(F2960&gt;=6,G2960&gt;=5,H2960&gt;=5),"POTENTIAL LOYALIST",AND(F2960&gt;=8,G2960&lt;=2,H2960&gt;=5),"NEW CUSTOMERS",AND(F2960&gt;=6,G2960&lt;=2,H2960&gt;=3),"PROMISING",AND(F2960&gt;=3,G2960&gt;=3,H2960&gt;=3),"NEED ATTENTION",AND(F2960&lt;=4,G2960&gt;=6,H2960&gt;=6),"AT RISK",AND(F2960&lt;=2,G2960&gt;=8,H2960&gt;=8),"CAN'T LOSE THEM",AND(F2960&lt;=2,G2960&lt;=2,H2960&lt;=2),"HIBERNATING",TRUE(),"Other")</f>
        <v>HIBERNATING</v>
      </c>
      <c r="K2960" s="1" t="n">
        <f aca="false">RANK(E2960,$E$7:$E$4378)+COUNTIF($E$7:E2960,E2960)-1</f>
        <v>4154</v>
      </c>
    </row>
    <row r="2961" customFormat="false" ht="14.25" hidden="false" customHeight="true" outlineLevel="0" collapsed="false">
      <c r="A2961" s="51" t="n">
        <v>16345</v>
      </c>
      <c r="B2961" s="53" t="n">
        <v>40842.66875</v>
      </c>
      <c r="C2961" s="57" t="n">
        <f aca="false">INT($C$2)-INT(Table3[[#This Row],[Last Purchase Date]])</f>
        <v>45</v>
      </c>
      <c r="D2961" s="1" t="n">
        <v>1</v>
      </c>
      <c r="E2961" s="1" t="n">
        <v>575.41</v>
      </c>
      <c r="F2961" s="1" t="n">
        <f aca="false">ROUND((1-_xlfn.PERCENTRANK.INC($C$7:$C$4378,C2961))*9,0)</f>
        <v>5</v>
      </c>
      <c r="G2961" s="1" t="n">
        <f aca="false">ROUND(_xlfn.PERCENTRANK.INC($D$7:$D$4378,D2961)*9,0)</f>
        <v>0</v>
      </c>
      <c r="H2961" s="1" t="n">
        <f aca="false">ROUND(_xlfn.PERCENTRANK.INC($E$7:$E$4378,E2961)*9,0)</f>
        <v>4</v>
      </c>
      <c r="I2961" s="1" t="str">
        <f aca="false">CONCATENATE(F2961,G2961,H2961)</f>
        <v>504</v>
      </c>
      <c r="J2961" s="1" t="str">
        <f aca="false">_xlfn.IFS(AND(F2961&gt;=8,G2961&gt;=8,H2961&gt;=8),"CHAMPION",AND(F2961&gt;=6,G2961&gt;=7,H2961&gt;=6),"LOYAL CUSTOMER",AND(F2961&gt;=6,G2961&gt;=5,H2961&gt;=5),"POTENTIAL LOYALIST",AND(F2961&gt;=8,G2961&lt;=2,H2961&gt;=5),"NEW CUSTOMERS",AND(F2961&gt;=6,G2961&lt;=2,H2961&gt;=3),"PROMISING",AND(F2961&gt;=3,G2961&gt;=3,H2961&gt;=3),"NEED ATTENTION",AND(F2961&lt;=4,G2961&gt;=6,H2961&gt;=6),"AT RISK",AND(F2961&lt;=2,G2961&gt;=8,H2961&gt;=8),"CAN'T LOSE THEM",AND(F2961&lt;=2,G2961&lt;=2,H2961&lt;=2),"HIBERNATING",TRUE(),"Other")</f>
        <v>Other</v>
      </c>
      <c r="K2961" s="1" t="n">
        <f aca="false">RANK(E2961,$E$7:$E$4378)+COUNTIF($E$7:E2961,E2961)-1</f>
        <v>2380</v>
      </c>
    </row>
    <row r="2962" customFormat="false" ht="14.25" hidden="false" customHeight="true" outlineLevel="0" collapsed="false">
      <c r="A2962" s="51" t="n">
        <v>16347</v>
      </c>
      <c r="B2962" s="53" t="n">
        <v>40875.5513888889</v>
      </c>
      <c r="C2962" s="57" t="n">
        <f aca="false">INT($C$2)-INT(Table3[[#This Row],[Last Purchase Date]])</f>
        <v>12</v>
      </c>
      <c r="D2962" s="1" t="n">
        <v>2</v>
      </c>
      <c r="E2962" s="1" t="n">
        <v>887.65</v>
      </c>
      <c r="F2962" s="1" t="n">
        <f aca="false">ROUND((1-_xlfn.PERCENTRANK.INC($C$7:$C$4378,C2962))*9,0)</f>
        <v>7</v>
      </c>
      <c r="G2962" s="1" t="n">
        <f aca="false">ROUND(_xlfn.PERCENTRANK.INC($D$7:$D$4378,D2962)*9,0)</f>
        <v>3</v>
      </c>
      <c r="H2962" s="1" t="n">
        <f aca="false">ROUND(_xlfn.PERCENTRANK.INC($E$7:$E$4378,E2962)*9,0)</f>
        <v>5</v>
      </c>
      <c r="I2962" s="1" t="str">
        <f aca="false">CONCATENATE(F2962,G2962,H2962)</f>
        <v>735</v>
      </c>
      <c r="J2962" s="1" t="str">
        <f aca="false">_xlfn.IFS(AND(F2962&gt;=8,G2962&gt;=8,H2962&gt;=8),"CHAMPION",AND(F2962&gt;=6,G2962&gt;=7,H2962&gt;=6),"LOYAL CUSTOMER",AND(F2962&gt;=6,G2962&gt;=5,H2962&gt;=5),"POTENTIAL LOYALIST",AND(F2962&gt;=8,G2962&lt;=2,H2962&gt;=5),"NEW CUSTOMERS",AND(F2962&gt;=6,G2962&lt;=2,H2962&gt;=3),"PROMISING",AND(F2962&gt;=3,G2962&gt;=3,H2962&gt;=3),"NEED ATTENTION",AND(F2962&lt;=4,G2962&gt;=6,H2962&gt;=6),"AT RISK",AND(F2962&lt;=2,G2962&gt;=8,H2962&gt;=8),"CAN'T LOSE THEM",AND(F2962&lt;=2,G2962&lt;=2,H2962&lt;=2),"HIBERNATING",TRUE(),"Other")</f>
        <v>NEED ATTENTION</v>
      </c>
      <c r="K2962" s="1" t="n">
        <f aca="false">RANK(E2962,$E$7:$E$4378)+COUNTIF($E$7:E2962,E2962)-1</f>
        <v>1778</v>
      </c>
    </row>
    <row r="2963" customFormat="false" ht="14.25" hidden="false" customHeight="true" outlineLevel="0" collapsed="false">
      <c r="A2963" s="51" t="n">
        <v>16348</v>
      </c>
      <c r="B2963" s="53" t="n">
        <v>40854.6555555556</v>
      </c>
      <c r="C2963" s="57" t="n">
        <f aca="false">INT($C$2)-INT(Table3[[#This Row],[Last Purchase Date]])</f>
        <v>33</v>
      </c>
      <c r="D2963" s="1" t="n">
        <v>7</v>
      </c>
      <c r="E2963" s="1" t="n">
        <v>1469.45</v>
      </c>
      <c r="F2963" s="1" t="n">
        <f aca="false">ROUND((1-_xlfn.PERCENTRANK.INC($C$7:$C$4378,C2963))*9,0)</f>
        <v>5</v>
      </c>
      <c r="G2963" s="1" t="n">
        <f aca="false">ROUND(_xlfn.PERCENTRANK.INC($D$7:$D$4378,D2963)*9,0)</f>
        <v>7</v>
      </c>
      <c r="H2963" s="1" t="n">
        <f aca="false">ROUND(_xlfn.PERCENTRANK.INC($E$7:$E$4378,E2963)*9,0)</f>
        <v>7</v>
      </c>
      <c r="I2963" s="1" t="str">
        <f aca="false">CONCATENATE(F2963,G2963,H2963)</f>
        <v>577</v>
      </c>
      <c r="J2963" s="1" t="str">
        <f aca="false">_xlfn.IFS(AND(F2963&gt;=8,G2963&gt;=8,H2963&gt;=8),"CHAMPION",AND(F2963&gt;=6,G2963&gt;=7,H2963&gt;=6),"LOYAL CUSTOMER",AND(F2963&gt;=6,G2963&gt;=5,H2963&gt;=5),"POTENTIAL LOYALIST",AND(F2963&gt;=8,G2963&lt;=2,H2963&gt;=5),"NEW CUSTOMERS",AND(F2963&gt;=6,G2963&lt;=2,H2963&gt;=3),"PROMISING",AND(F2963&gt;=3,G2963&gt;=3,H2963&gt;=3),"NEED ATTENTION",AND(F2963&lt;=4,G2963&gt;=6,H2963&gt;=6),"AT RISK",AND(F2963&lt;=2,G2963&gt;=8,H2963&gt;=8),"CAN'T LOSE THEM",AND(F2963&lt;=2,G2963&lt;=2,H2963&lt;=2),"HIBERNATING",TRUE(),"Other")</f>
        <v>NEED ATTENTION</v>
      </c>
      <c r="K2963" s="1" t="n">
        <f aca="false">RANK(E2963,$E$7:$E$4378)+COUNTIF($E$7:E2963,E2963)-1</f>
        <v>1186</v>
      </c>
    </row>
    <row r="2964" customFormat="false" ht="14.25" hidden="false" customHeight="true" outlineLevel="0" collapsed="false">
      <c r="A2964" s="51" t="n">
        <v>16349</v>
      </c>
      <c r="B2964" s="53" t="n">
        <v>40596.5277777778</v>
      </c>
      <c r="C2964" s="57" t="n">
        <f aca="false">INT($C$2)-INT(Table3[[#This Row],[Last Purchase Date]])</f>
        <v>291</v>
      </c>
      <c r="D2964" s="1" t="n">
        <v>1</v>
      </c>
      <c r="E2964" s="1" t="n">
        <v>53.5</v>
      </c>
      <c r="F2964" s="1" t="n">
        <f aca="false">ROUND((1-_xlfn.PERCENTRANK.INC($C$7:$C$4378,C2964))*9,0)</f>
        <v>1</v>
      </c>
      <c r="G2964" s="1" t="n">
        <f aca="false">ROUND(_xlfn.PERCENTRANK.INC($D$7:$D$4378,D2964)*9,0)</f>
        <v>0</v>
      </c>
      <c r="H2964" s="1" t="n">
        <f aca="false">ROUND(_xlfn.PERCENTRANK.INC($E$7:$E$4378,E2964)*9,0)</f>
        <v>0</v>
      </c>
      <c r="I2964" s="1" t="str">
        <f aca="false">CONCATENATE(F2964,G2964,H2964)</f>
        <v>100</v>
      </c>
      <c r="J2964" s="1" t="str">
        <f aca="false">_xlfn.IFS(AND(F2964&gt;=8,G2964&gt;=8,H2964&gt;=8),"CHAMPION",AND(F2964&gt;=6,G2964&gt;=7,H2964&gt;=6),"LOYAL CUSTOMER",AND(F2964&gt;=6,G2964&gt;=5,H2964&gt;=5),"POTENTIAL LOYALIST",AND(F2964&gt;=8,G2964&lt;=2,H2964&gt;=5),"NEW CUSTOMERS",AND(F2964&gt;=6,G2964&lt;=2,H2964&gt;=3),"PROMISING",AND(F2964&gt;=3,G2964&gt;=3,H2964&gt;=3),"NEED ATTENTION",AND(F2964&lt;=4,G2964&gt;=6,H2964&gt;=6),"AT RISK",AND(F2964&lt;=2,G2964&gt;=8,H2964&gt;=8),"CAN'T LOSE THEM",AND(F2964&lt;=2,G2964&lt;=2,H2964&lt;=2),"HIBERNATING",TRUE(),"Other")</f>
        <v>HIBERNATING</v>
      </c>
      <c r="K2964" s="1" t="n">
        <f aca="false">RANK(E2964,$E$7:$E$4378)+COUNTIF($E$7:E2964,E2964)-1</f>
        <v>4274</v>
      </c>
    </row>
    <row r="2965" customFormat="false" ht="14.25" hidden="false" customHeight="true" outlineLevel="0" collapsed="false">
      <c r="A2965" s="51" t="n">
        <v>16350</v>
      </c>
      <c r="B2965" s="53" t="n">
        <v>40865.6618055556</v>
      </c>
      <c r="C2965" s="57" t="n">
        <f aca="false">INT($C$2)-INT(Table3[[#This Row],[Last Purchase Date]])</f>
        <v>22</v>
      </c>
      <c r="D2965" s="1" t="n">
        <v>5</v>
      </c>
      <c r="E2965" s="1" t="n">
        <v>1100.47</v>
      </c>
      <c r="F2965" s="1" t="n">
        <f aca="false">ROUND((1-_xlfn.PERCENTRANK.INC($C$7:$C$4378,C2965))*9,0)</f>
        <v>6</v>
      </c>
      <c r="G2965" s="1" t="n">
        <f aca="false">ROUND(_xlfn.PERCENTRANK.INC($D$7:$D$4378,D2965)*9,0)</f>
        <v>6</v>
      </c>
      <c r="H2965" s="1" t="n">
        <f aca="false">ROUND(_xlfn.PERCENTRANK.INC($E$7:$E$4378,E2965)*9,0)</f>
        <v>6</v>
      </c>
      <c r="I2965" s="1" t="str">
        <f aca="false">CONCATENATE(F2965,G2965,H2965)</f>
        <v>666</v>
      </c>
      <c r="J2965" s="1" t="str">
        <f aca="false">_xlfn.IFS(AND(F2965&gt;=8,G2965&gt;=8,H2965&gt;=8),"CHAMPION",AND(F2965&gt;=6,G2965&gt;=7,H2965&gt;=6),"LOYAL CUSTOMER",AND(F2965&gt;=6,G2965&gt;=5,H2965&gt;=5),"POTENTIAL LOYALIST",AND(F2965&gt;=8,G2965&lt;=2,H2965&gt;=5),"NEW CUSTOMERS",AND(F2965&gt;=6,G2965&lt;=2,H2965&gt;=3),"PROMISING",AND(F2965&gt;=3,G2965&gt;=3,H2965&gt;=3),"NEED ATTENTION",AND(F2965&lt;=4,G2965&gt;=6,H2965&gt;=6),"AT RISK",AND(F2965&lt;=2,G2965&gt;=8,H2965&gt;=8),"CAN'T LOSE THEM",AND(F2965&lt;=2,G2965&lt;=2,H2965&lt;=2),"HIBERNATING",TRUE(),"Other")</f>
        <v>POTENTIAL LOYALIST</v>
      </c>
      <c r="K2965" s="1" t="n">
        <f aca="false">RANK(E2965,$E$7:$E$4378)+COUNTIF($E$7:E2965,E2965)-1</f>
        <v>1509</v>
      </c>
    </row>
    <row r="2966" customFormat="false" ht="14.25" hidden="false" customHeight="true" outlineLevel="0" collapsed="false">
      <c r="A2966" s="51" t="n">
        <v>16351</v>
      </c>
      <c r="B2966" s="53" t="n">
        <v>40554.4347222222</v>
      </c>
      <c r="C2966" s="57" t="n">
        <f aca="false">INT($C$2)-INT(Table3[[#This Row],[Last Purchase Date]])</f>
        <v>333</v>
      </c>
      <c r="D2966" s="1" t="n">
        <v>1</v>
      </c>
      <c r="E2966" s="1" t="n">
        <v>153.9</v>
      </c>
      <c r="F2966" s="1" t="n">
        <f aca="false">ROUND((1-_xlfn.PERCENTRANK.INC($C$7:$C$4378,C2966))*9,0)</f>
        <v>0</v>
      </c>
      <c r="G2966" s="1" t="n">
        <f aca="false">ROUND(_xlfn.PERCENTRANK.INC($D$7:$D$4378,D2966)*9,0)</f>
        <v>0</v>
      </c>
      <c r="H2966" s="1" t="n">
        <f aca="false">ROUND(_xlfn.PERCENTRANK.INC($E$7:$E$4378,E2966)*9,0)</f>
        <v>1</v>
      </c>
      <c r="I2966" s="1" t="str">
        <f aca="false">CONCATENATE(F2966,G2966,H2966)</f>
        <v>001</v>
      </c>
      <c r="J2966" s="1" t="str">
        <f aca="false">_xlfn.IFS(AND(F2966&gt;=8,G2966&gt;=8,H2966&gt;=8),"CHAMPION",AND(F2966&gt;=6,G2966&gt;=7,H2966&gt;=6),"LOYAL CUSTOMER",AND(F2966&gt;=6,G2966&gt;=5,H2966&gt;=5),"POTENTIAL LOYALIST",AND(F2966&gt;=8,G2966&lt;=2,H2966&gt;=5),"NEW CUSTOMERS",AND(F2966&gt;=6,G2966&lt;=2,H2966&gt;=3),"PROMISING",AND(F2966&gt;=3,G2966&gt;=3,H2966&gt;=3),"NEED ATTENTION",AND(F2966&lt;=4,G2966&gt;=6,H2966&gt;=6),"AT RISK",AND(F2966&lt;=2,G2966&gt;=8,H2966&gt;=8),"CAN'T LOSE THEM",AND(F2966&lt;=2,G2966&lt;=2,H2966&lt;=2),"HIBERNATING",TRUE(),"Other")</f>
        <v>HIBERNATING</v>
      </c>
      <c r="K2966" s="1" t="n">
        <f aca="false">RANK(E2966,$E$7:$E$4378)+COUNTIF($E$7:E2966,E2966)-1</f>
        <v>3898</v>
      </c>
    </row>
    <row r="2967" customFormat="false" ht="14.25" hidden="false" customHeight="true" outlineLevel="0" collapsed="false">
      <c r="A2967" s="51" t="n">
        <v>16352</v>
      </c>
      <c r="B2967" s="53" t="n">
        <v>40869.4388888889</v>
      </c>
      <c r="C2967" s="57" t="n">
        <f aca="false">INT($C$2)-INT(Table3[[#This Row],[Last Purchase Date]])</f>
        <v>18</v>
      </c>
      <c r="D2967" s="1" t="n">
        <v>2</v>
      </c>
      <c r="E2967" s="1" t="n">
        <v>494.44</v>
      </c>
      <c r="F2967" s="1" t="n">
        <f aca="false">ROUND((1-_xlfn.PERCENTRANK.INC($C$7:$C$4378,C2967))*9,0)</f>
        <v>7</v>
      </c>
      <c r="G2967" s="1" t="n">
        <f aca="false">ROUND(_xlfn.PERCENTRANK.INC($D$7:$D$4378,D2967)*9,0)</f>
        <v>3</v>
      </c>
      <c r="H2967" s="1" t="n">
        <f aca="false">ROUND(_xlfn.PERCENTRANK.INC($E$7:$E$4378,E2967)*9,0)</f>
        <v>4</v>
      </c>
      <c r="I2967" s="1" t="str">
        <f aca="false">CONCATENATE(F2967,G2967,H2967)</f>
        <v>734</v>
      </c>
      <c r="J2967" s="1" t="str">
        <f aca="false">_xlfn.IFS(AND(F2967&gt;=8,G2967&gt;=8,H2967&gt;=8),"CHAMPION",AND(F2967&gt;=6,G2967&gt;=7,H2967&gt;=6),"LOYAL CUSTOMER",AND(F2967&gt;=6,G2967&gt;=5,H2967&gt;=5),"POTENTIAL LOYALIST",AND(F2967&gt;=8,G2967&lt;=2,H2967&gt;=5),"NEW CUSTOMERS",AND(F2967&gt;=6,G2967&lt;=2,H2967&gt;=3),"PROMISING",AND(F2967&gt;=3,G2967&gt;=3,H2967&gt;=3),"NEED ATTENTION",AND(F2967&lt;=4,G2967&gt;=6,H2967&gt;=6),"AT RISK",AND(F2967&lt;=2,G2967&gt;=8,H2967&gt;=8),"CAN'T LOSE THEM",AND(F2967&lt;=2,G2967&lt;=2,H2967&lt;=2),"HIBERNATING",TRUE(),"Other")</f>
        <v>NEED ATTENTION</v>
      </c>
      <c r="K2967" s="1" t="n">
        <f aca="false">RANK(E2967,$E$7:$E$4378)+COUNTIF($E$7:E2967,E2967)-1</f>
        <v>2557</v>
      </c>
    </row>
    <row r="2968" customFormat="false" ht="14.25" hidden="false" customHeight="true" outlineLevel="0" collapsed="false">
      <c r="A2968" s="51" t="n">
        <v>16353</v>
      </c>
      <c r="B2968" s="53" t="n">
        <v>40883.5159722222</v>
      </c>
      <c r="C2968" s="57" t="n">
        <f aca="false">INT($C$2)-INT(Table3[[#This Row],[Last Purchase Date]])</f>
        <v>4</v>
      </c>
      <c r="D2968" s="1" t="n">
        <v>23</v>
      </c>
      <c r="E2968" s="1" t="n">
        <v>6675.71</v>
      </c>
      <c r="F2968" s="1" t="n">
        <f aca="false">ROUND((1-_xlfn.PERCENTRANK.INC($C$7:$C$4378,C2968))*9,0)</f>
        <v>8</v>
      </c>
      <c r="G2968" s="1" t="n">
        <f aca="false">ROUND(_xlfn.PERCENTRANK.INC($D$7:$D$4378,D2968)*9,0)</f>
        <v>9</v>
      </c>
      <c r="H2968" s="1" t="n">
        <f aca="false">ROUND(_xlfn.PERCENTRANK.INC($E$7:$E$4378,E2968)*9,0)</f>
        <v>9</v>
      </c>
      <c r="I2968" s="1" t="str">
        <f aca="false">CONCATENATE(F2968,G2968,H2968)</f>
        <v>899</v>
      </c>
      <c r="J2968" s="1" t="str">
        <f aca="false">_xlfn.IFS(AND(F2968&gt;=8,G2968&gt;=8,H2968&gt;=8),"CHAMPION",AND(F2968&gt;=6,G2968&gt;=7,H2968&gt;=6),"LOYAL CUSTOMER",AND(F2968&gt;=6,G2968&gt;=5,H2968&gt;=5),"POTENTIAL LOYALIST",AND(F2968&gt;=8,G2968&lt;=2,H2968&gt;=5),"NEW CUSTOMERS",AND(F2968&gt;=6,G2968&lt;=2,H2968&gt;=3),"PROMISING",AND(F2968&gt;=3,G2968&gt;=3,H2968&gt;=3),"NEED ATTENTION",AND(F2968&lt;=4,G2968&gt;=6,H2968&gt;=6),"AT RISK",AND(F2968&lt;=2,G2968&gt;=8,H2968&gt;=8),"CAN'T LOSE THEM",AND(F2968&lt;=2,G2968&lt;=2,H2968&lt;=2),"HIBERNATING",TRUE(),"Other")</f>
        <v>CHAMPION</v>
      </c>
      <c r="K2968" s="1" t="n">
        <f aca="false">RANK(E2968,$E$7:$E$4378)+COUNTIF($E$7:E2968,E2968)-1</f>
        <v>171</v>
      </c>
    </row>
    <row r="2969" customFormat="false" ht="14.25" hidden="false" customHeight="true" outlineLevel="0" collapsed="false">
      <c r="A2969" s="51" t="n">
        <v>16354</v>
      </c>
      <c r="B2969" s="53" t="n">
        <v>40823.6027777778</v>
      </c>
      <c r="C2969" s="57" t="n">
        <f aca="false">INT($C$2)-INT(Table3[[#This Row],[Last Purchase Date]])</f>
        <v>64</v>
      </c>
      <c r="D2969" s="1" t="n">
        <v>2</v>
      </c>
      <c r="E2969" s="1" t="n">
        <v>395.8</v>
      </c>
      <c r="F2969" s="1" t="n">
        <f aca="false">ROUND((1-_xlfn.PERCENTRANK.INC($C$7:$C$4378,C2969))*9,0)</f>
        <v>4</v>
      </c>
      <c r="G2969" s="1" t="n">
        <f aca="false">ROUND(_xlfn.PERCENTRANK.INC($D$7:$D$4378,D2969)*9,0)</f>
        <v>3</v>
      </c>
      <c r="H2969" s="1" t="n">
        <f aca="false">ROUND(_xlfn.PERCENTRANK.INC($E$7:$E$4378,E2969)*9,0)</f>
        <v>3</v>
      </c>
      <c r="I2969" s="1" t="str">
        <f aca="false">CONCATENATE(F2969,G2969,H2969)</f>
        <v>433</v>
      </c>
      <c r="J2969" s="1" t="str">
        <f aca="false">_xlfn.IFS(AND(F2969&gt;=8,G2969&gt;=8,H2969&gt;=8),"CHAMPION",AND(F2969&gt;=6,G2969&gt;=7,H2969&gt;=6),"LOYAL CUSTOMER",AND(F2969&gt;=6,G2969&gt;=5,H2969&gt;=5),"POTENTIAL LOYALIST",AND(F2969&gt;=8,G2969&lt;=2,H2969&gt;=5),"NEW CUSTOMERS",AND(F2969&gt;=6,G2969&lt;=2,H2969&gt;=3),"PROMISING",AND(F2969&gt;=3,G2969&gt;=3,H2969&gt;=3),"NEED ATTENTION",AND(F2969&lt;=4,G2969&gt;=6,H2969&gt;=6),"AT RISK",AND(F2969&lt;=2,G2969&gt;=8,H2969&gt;=8),"CAN'T LOSE THEM",AND(F2969&lt;=2,G2969&lt;=2,H2969&lt;=2),"HIBERNATING",TRUE(),"Other")</f>
        <v>NEED ATTENTION</v>
      </c>
      <c r="K2969" s="1" t="n">
        <f aca="false">RANK(E2969,$E$7:$E$4378)+COUNTIF($E$7:E2969,E2969)-1</f>
        <v>2833</v>
      </c>
    </row>
    <row r="2970" customFormat="false" ht="14.25" hidden="false" customHeight="true" outlineLevel="0" collapsed="false">
      <c r="A2970" s="51" t="n">
        <v>16356</v>
      </c>
      <c r="B2970" s="53" t="n">
        <v>40689.49375</v>
      </c>
      <c r="C2970" s="57" t="n">
        <f aca="false">INT($C$2)-INT(Table3[[#This Row],[Last Purchase Date]])</f>
        <v>198</v>
      </c>
      <c r="D2970" s="1" t="n">
        <v>4</v>
      </c>
      <c r="E2970" s="1" t="n">
        <v>210.32</v>
      </c>
      <c r="F2970" s="1" t="n">
        <f aca="false">ROUND((1-_xlfn.PERCENTRANK.INC($C$7:$C$4378,C2970))*9,0)</f>
        <v>2</v>
      </c>
      <c r="G2970" s="1" t="n">
        <f aca="false">ROUND(_xlfn.PERCENTRANK.INC($D$7:$D$4378,D2970)*9,0)</f>
        <v>5</v>
      </c>
      <c r="H2970" s="1" t="n">
        <f aca="false">ROUND(_xlfn.PERCENTRANK.INC($E$7:$E$4378,E2970)*9,0)</f>
        <v>2</v>
      </c>
      <c r="I2970" s="1" t="str">
        <f aca="false">CONCATENATE(F2970,G2970,H2970)</f>
        <v>252</v>
      </c>
      <c r="J2970" s="1" t="str">
        <f aca="false">_xlfn.IFS(AND(F2970&gt;=8,G2970&gt;=8,H2970&gt;=8),"CHAMPION",AND(F2970&gt;=6,G2970&gt;=7,H2970&gt;=6),"LOYAL CUSTOMER",AND(F2970&gt;=6,G2970&gt;=5,H2970&gt;=5),"POTENTIAL LOYALIST",AND(F2970&gt;=8,G2970&lt;=2,H2970&gt;=5),"NEW CUSTOMERS",AND(F2970&gt;=6,G2970&lt;=2,H2970&gt;=3),"PROMISING",AND(F2970&gt;=3,G2970&gt;=3,H2970&gt;=3),"NEED ATTENTION",AND(F2970&lt;=4,G2970&gt;=6,H2970&gt;=6),"AT RISK",AND(F2970&lt;=2,G2970&gt;=8,H2970&gt;=8),"CAN'T LOSE THEM",AND(F2970&lt;=2,G2970&lt;=2,H2970&lt;=2),"HIBERNATING",TRUE(),"Other")</f>
        <v>Other</v>
      </c>
      <c r="K2970" s="1" t="n">
        <f aca="false">RANK(E2970,$E$7:$E$4378)+COUNTIF($E$7:E2970,E2970)-1</f>
        <v>3611</v>
      </c>
    </row>
    <row r="2971" customFormat="false" ht="14.25" hidden="false" customHeight="true" outlineLevel="0" collapsed="false">
      <c r="A2971" s="51" t="n">
        <v>16357</v>
      </c>
      <c r="B2971" s="53" t="n">
        <v>40853.6694444444</v>
      </c>
      <c r="C2971" s="57" t="n">
        <f aca="false">INT($C$2)-INT(Table3[[#This Row],[Last Purchase Date]])</f>
        <v>34</v>
      </c>
      <c r="D2971" s="1" t="n">
        <v>3</v>
      </c>
      <c r="E2971" s="1" t="n">
        <v>658.88</v>
      </c>
      <c r="F2971" s="1" t="n">
        <f aca="false">ROUND((1-_xlfn.PERCENTRANK.INC($C$7:$C$4378,C2971))*9,0)</f>
        <v>5</v>
      </c>
      <c r="G2971" s="1" t="n">
        <f aca="false">ROUND(_xlfn.PERCENTRANK.INC($D$7:$D$4378,D2971)*9,0)</f>
        <v>4</v>
      </c>
      <c r="H2971" s="1" t="n">
        <f aca="false">ROUND(_xlfn.PERCENTRANK.INC($E$7:$E$4378,E2971)*9,0)</f>
        <v>5</v>
      </c>
      <c r="I2971" s="1" t="str">
        <f aca="false">CONCATENATE(F2971,G2971,H2971)</f>
        <v>545</v>
      </c>
      <c r="J2971" s="1" t="str">
        <f aca="false">_xlfn.IFS(AND(F2971&gt;=8,G2971&gt;=8,H2971&gt;=8),"CHAMPION",AND(F2971&gt;=6,G2971&gt;=7,H2971&gt;=6),"LOYAL CUSTOMER",AND(F2971&gt;=6,G2971&gt;=5,H2971&gt;=5),"POTENTIAL LOYALIST",AND(F2971&gt;=8,G2971&lt;=2,H2971&gt;=5),"NEW CUSTOMERS",AND(F2971&gt;=6,G2971&lt;=2,H2971&gt;=3),"PROMISING",AND(F2971&gt;=3,G2971&gt;=3,H2971&gt;=3),"NEED ATTENTION",AND(F2971&lt;=4,G2971&gt;=6,H2971&gt;=6),"AT RISK",AND(F2971&lt;=2,G2971&gt;=8,H2971&gt;=8),"CAN'T LOSE THEM",AND(F2971&lt;=2,G2971&lt;=2,H2971&lt;=2),"HIBERNATING",TRUE(),"Other")</f>
        <v>NEED ATTENTION</v>
      </c>
      <c r="K2971" s="1" t="n">
        <f aca="false">RANK(E2971,$E$7:$E$4378)+COUNTIF($E$7:E2971,E2971)-1</f>
        <v>2157</v>
      </c>
    </row>
    <row r="2972" customFormat="false" ht="14.25" hidden="false" customHeight="true" outlineLevel="0" collapsed="false">
      <c r="A2972" s="51" t="n">
        <v>16358</v>
      </c>
      <c r="B2972" s="53" t="n">
        <v>40885.63125</v>
      </c>
      <c r="C2972" s="57" t="n">
        <f aca="false">INT($C$2)-INT(Table3[[#This Row],[Last Purchase Date]])</f>
        <v>2</v>
      </c>
      <c r="D2972" s="1" t="n">
        <v>5</v>
      </c>
      <c r="E2972" s="1" t="n">
        <v>2024.95</v>
      </c>
      <c r="F2972" s="1" t="n">
        <f aca="false">ROUND((1-_xlfn.PERCENTRANK.INC($C$7:$C$4378,C2972))*9,0)</f>
        <v>9</v>
      </c>
      <c r="G2972" s="1" t="n">
        <f aca="false">ROUND(_xlfn.PERCENTRANK.INC($D$7:$D$4378,D2972)*9,0)</f>
        <v>6</v>
      </c>
      <c r="H2972" s="1" t="n">
        <f aca="false">ROUND(_xlfn.PERCENTRANK.INC($E$7:$E$4378,E2972)*9,0)</f>
        <v>7</v>
      </c>
      <c r="I2972" s="1" t="str">
        <f aca="false">CONCATENATE(F2972,G2972,H2972)</f>
        <v>967</v>
      </c>
      <c r="J2972" s="1" t="str">
        <f aca="false">_xlfn.IFS(AND(F2972&gt;=8,G2972&gt;=8,H2972&gt;=8),"CHAMPION",AND(F2972&gt;=6,G2972&gt;=7,H2972&gt;=6),"LOYAL CUSTOMER",AND(F2972&gt;=6,G2972&gt;=5,H2972&gt;=5),"POTENTIAL LOYALIST",AND(F2972&gt;=8,G2972&lt;=2,H2972&gt;=5),"NEW CUSTOMERS",AND(F2972&gt;=6,G2972&lt;=2,H2972&gt;=3),"PROMISING",AND(F2972&gt;=3,G2972&gt;=3,H2972&gt;=3),"NEED ATTENTION",AND(F2972&lt;=4,G2972&gt;=6,H2972&gt;=6),"AT RISK",AND(F2972&lt;=2,G2972&gt;=8,H2972&gt;=8),"CAN'T LOSE THEM",AND(F2972&lt;=2,G2972&lt;=2,H2972&lt;=2),"HIBERNATING",TRUE(),"Other")</f>
        <v>POTENTIAL LOYALIST</v>
      </c>
      <c r="K2972" s="1" t="n">
        <f aca="false">RANK(E2972,$E$7:$E$4378)+COUNTIF($E$7:E2972,E2972)-1</f>
        <v>862</v>
      </c>
    </row>
    <row r="2973" customFormat="false" ht="14.25" hidden="false" customHeight="true" outlineLevel="0" collapsed="false">
      <c r="A2973" s="51" t="n">
        <v>16359</v>
      </c>
      <c r="B2973" s="53" t="n">
        <v>40879.7111111111</v>
      </c>
      <c r="C2973" s="57" t="n">
        <f aca="false">INT($C$2)-INT(Table3[[#This Row],[Last Purchase Date]])</f>
        <v>8</v>
      </c>
      <c r="D2973" s="1" t="n">
        <v>12</v>
      </c>
      <c r="E2973" s="1" t="n">
        <v>1460.37</v>
      </c>
      <c r="F2973" s="1" t="n">
        <f aca="false">ROUND((1-_xlfn.PERCENTRANK.INC($C$7:$C$4378,C2973))*9,0)</f>
        <v>8</v>
      </c>
      <c r="G2973" s="1" t="n">
        <f aca="false">ROUND(_xlfn.PERCENTRANK.INC($D$7:$D$4378,D2973)*9,0)</f>
        <v>8</v>
      </c>
      <c r="H2973" s="1" t="n">
        <f aca="false">ROUND(_xlfn.PERCENTRANK.INC($E$7:$E$4378,E2973)*9,0)</f>
        <v>7</v>
      </c>
      <c r="I2973" s="1" t="str">
        <f aca="false">CONCATENATE(F2973,G2973,H2973)</f>
        <v>887</v>
      </c>
      <c r="J2973" s="1" t="str">
        <f aca="false">_xlfn.IFS(AND(F2973&gt;=8,G2973&gt;=8,H2973&gt;=8),"CHAMPION",AND(F2973&gt;=6,G2973&gt;=7,H2973&gt;=6),"LOYAL CUSTOMER",AND(F2973&gt;=6,G2973&gt;=5,H2973&gt;=5),"POTENTIAL LOYALIST",AND(F2973&gt;=8,G2973&lt;=2,H2973&gt;=5),"NEW CUSTOMERS",AND(F2973&gt;=6,G2973&lt;=2,H2973&gt;=3),"PROMISING",AND(F2973&gt;=3,G2973&gt;=3,H2973&gt;=3),"NEED ATTENTION",AND(F2973&lt;=4,G2973&gt;=6,H2973&gt;=6),"AT RISK",AND(F2973&lt;=2,G2973&gt;=8,H2973&gt;=8),"CAN'T LOSE THEM",AND(F2973&lt;=2,G2973&lt;=2,H2973&lt;=2),"HIBERNATING",TRUE(),"Other")</f>
        <v>LOYAL CUSTOMER</v>
      </c>
      <c r="K2973" s="1" t="n">
        <f aca="false">RANK(E2973,$E$7:$E$4378)+COUNTIF($E$7:E2973,E2973)-1</f>
        <v>1192</v>
      </c>
    </row>
    <row r="2974" customFormat="false" ht="14.25" hidden="false" customHeight="true" outlineLevel="0" collapsed="false">
      <c r="A2974" s="51" t="n">
        <v>16360</v>
      </c>
      <c r="B2974" s="53" t="n">
        <v>40882.5111111111</v>
      </c>
      <c r="C2974" s="57" t="n">
        <f aca="false">INT($C$2)-INT(Table3[[#This Row],[Last Purchase Date]])</f>
        <v>5</v>
      </c>
      <c r="D2974" s="1" t="n">
        <v>8</v>
      </c>
      <c r="E2974" s="1" t="n">
        <v>3411.69</v>
      </c>
      <c r="F2974" s="1" t="n">
        <f aca="false">ROUND((1-_xlfn.PERCENTRANK.INC($C$7:$C$4378,C2974))*9,0)</f>
        <v>8</v>
      </c>
      <c r="G2974" s="1" t="n">
        <f aca="false">ROUND(_xlfn.PERCENTRANK.INC($D$7:$D$4378,D2974)*9,0)</f>
        <v>7</v>
      </c>
      <c r="H2974" s="1" t="n">
        <f aca="false">ROUND(_xlfn.PERCENTRANK.INC($E$7:$E$4378,E2974)*9,0)</f>
        <v>8</v>
      </c>
      <c r="I2974" s="1" t="str">
        <f aca="false">CONCATENATE(F2974,G2974,H2974)</f>
        <v>878</v>
      </c>
      <c r="J2974" s="1" t="str">
        <f aca="false">_xlfn.IFS(AND(F2974&gt;=8,G2974&gt;=8,H2974&gt;=8),"CHAMPION",AND(F2974&gt;=6,G2974&gt;=7,H2974&gt;=6),"LOYAL CUSTOMER",AND(F2974&gt;=6,G2974&gt;=5,H2974&gt;=5),"POTENTIAL LOYALIST",AND(F2974&gt;=8,G2974&lt;=2,H2974&gt;=5),"NEW CUSTOMERS",AND(F2974&gt;=6,G2974&lt;=2,H2974&gt;=3),"PROMISING",AND(F2974&gt;=3,G2974&gt;=3,H2974&gt;=3),"NEED ATTENTION",AND(F2974&lt;=4,G2974&gt;=6,H2974&gt;=6),"AT RISK",AND(F2974&lt;=2,G2974&gt;=8,H2974&gt;=8),"CAN'T LOSE THEM",AND(F2974&lt;=2,G2974&lt;=2,H2974&lt;=2),"HIBERNATING",TRUE(),"Other")</f>
        <v>LOYAL CUSTOMER</v>
      </c>
      <c r="K2974" s="1" t="n">
        <f aca="false">RANK(E2974,$E$7:$E$4378)+COUNTIF($E$7:E2974,E2974)-1</f>
        <v>456</v>
      </c>
    </row>
    <row r="2975" customFormat="false" ht="14.25" hidden="false" customHeight="true" outlineLevel="0" collapsed="false">
      <c r="A2975" s="51" t="n">
        <v>16361</v>
      </c>
      <c r="B2975" s="53" t="n">
        <v>40877.5222222222</v>
      </c>
      <c r="C2975" s="57" t="n">
        <f aca="false">INT($C$2)-INT(Table3[[#This Row],[Last Purchase Date]])</f>
        <v>10</v>
      </c>
      <c r="D2975" s="1" t="n">
        <v>4</v>
      </c>
      <c r="E2975" s="1" t="n">
        <v>896.66</v>
      </c>
      <c r="F2975" s="1" t="n">
        <f aca="false">ROUND((1-_xlfn.PERCENTRANK.INC($C$7:$C$4378,C2975))*9,0)</f>
        <v>8</v>
      </c>
      <c r="G2975" s="1" t="n">
        <f aca="false">ROUND(_xlfn.PERCENTRANK.INC($D$7:$D$4378,D2975)*9,0)</f>
        <v>5</v>
      </c>
      <c r="H2975" s="1" t="n">
        <f aca="false">ROUND(_xlfn.PERCENTRANK.INC($E$7:$E$4378,E2975)*9,0)</f>
        <v>5</v>
      </c>
      <c r="I2975" s="1" t="str">
        <f aca="false">CONCATENATE(F2975,G2975,H2975)</f>
        <v>855</v>
      </c>
      <c r="J2975" s="1" t="str">
        <f aca="false">_xlfn.IFS(AND(F2975&gt;=8,G2975&gt;=8,H2975&gt;=8),"CHAMPION",AND(F2975&gt;=6,G2975&gt;=7,H2975&gt;=6),"LOYAL CUSTOMER",AND(F2975&gt;=6,G2975&gt;=5,H2975&gt;=5),"POTENTIAL LOYALIST",AND(F2975&gt;=8,G2975&lt;=2,H2975&gt;=5),"NEW CUSTOMERS",AND(F2975&gt;=6,G2975&lt;=2,H2975&gt;=3),"PROMISING",AND(F2975&gt;=3,G2975&gt;=3,H2975&gt;=3),"NEED ATTENTION",AND(F2975&lt;=4,G2975&gt;=6,H2975&gt;=6),"AT RISK",AND(F2975&lt;=2,G2975&gt;=8,H2975&gt;=8),"CAN'T LOSE THEM",AND(F2975&lt;=2,G2975&lt;=2,H2975&lt;=2),"HIBERNATING",TRUE(),"Other")</f>
        <v>POTENTIAL LOYALIST</v>
      </c>
      <c r="K2975" s="1" t="n">
        <f aca="false">RANK(E2975,$E$7:$E$4378)+COUNTIF($E$7:E2975,E2975)-1</f>
        <v>1766</v>
      </c>
    </row>
    <row r="2976" customFormat="false" ht="14.25" hidden="false" customHeight="true" outlineLevel="0" collapsed="false">
      <c r="A2976" s="51" t="n">
        <v>16362</v>
      </c>
      <c r="B2976" s="53" t="n">
        <v>40854.5423611111</v>
      </c>
      <c r="C2976" s="57" t="n">
        <f aca="false">INT($C$2)-INT(Table3[[#This Row],[Last Purchase Date]])</f>
        <v>33</v>
      </c>
      <c r="D2976" s="1" t="n">
        <v>9</v>
      </c>
      <c r="E2976" s="1" t="n">
        <v>652.07</v>
      </c>
      <c r="F2976" s="1" t="n">
        <f aca="false">ROUND((1-_xlfn.PERCENTRANK.INC($C$7:$C$4378,C2976))*9,0)</f>
        <v>5</v>
      </c>
      <c r="G2976" s="1" t="n">
        <f aca="false">ROUND(_xlfn.PERCENTRANK.INC($D$7:$D$4378,D2976)*9,0)</f>
        <v>8</v>
      </c>
      <c r="H2976" s="1" t="n">
        <f aca="false">ROUND(_xlfn.PERCENTRANK.INC($E$7:$E$4378,E2976)*9,0)</f>
        <v>5</v>
      </c>
      <c r="I2976" s="1" t="str">
        <f aca="false">CONCATENATE(F2976,G2976,H2976)</f>
        <v>585</v>
      </c>
      <c r="J2976" s="1" t="str">
        <f aca="false">_xlfn.IFS(AND(F2976&gt;=8,G2976&gt;=8,H2976&gt;=8),"CHAMPION",AND(F2976&gt;=6,G2976&gt;=7,H2976&gt;=6),"LOYAL CUSTOMER",AND(F2976&gt;=6,G2976&gt;=5,H2976&gt;=5),"POTENTIAL LOYALIST",AND(F2976&gt;=8,G2976&lt;=2,H2976&gt;=5),"NEW CUSTOMERS",AND(F2976&gt;=6,G2976&lt;=2,H2976&gt;=3),"PROMISING",AND(F2976&gt;=3,G2976&gt;=3,H2976&gt;=3),"NEED ATTENTION",AND(F2976&lt;=4,G2976&gt;=6,H2976&gt;=6),"AT RISK",AND(F2976&lt;=2,G2976&gt;=8,H2976&gt;=8),"CAN'T LOSE THEM",AND(F2976&lt;=2,G2976&lt;=2,H2976&lt;=2),"HIBERNATING",TRUE(),"Other")</f>
        <v>NEED ATTENTION</v>
      </c>
      <c r="K2976" s="1" t="n">
        <f aca="false">RANK(E2976,$E$7:$E$4378)+COUNTIF($E$7:E2976,E2976)-1</f>
        <v>2178</v>
      </c>
    </row>
    <row r="2977" customFormat="false" ht="14.25" hidden="false" customHeight="true" outlineLevel="0" collapsed="false">
      <c r="A2977" s="51" t="n">
        <v>16363</v>
      </c>
      <c r="B2977" s="53" t="n">
        <v>40833.5930555556</v>
      </c>
      <c r="C2977" s="57" t="n">
        <f aca="false">INT($C$2)-INT(Table3[[#This Row],[Last Purchase Date]])</f>
        <v>54</v>
      </c>
      <c r="D2977" s="1" t="n">
        <v>1</v>
      </c>
      <c r="E2977" s="1" t="n">
        <v>109.36</v>
      </c>
      <c r="F2977" s="1" t="n">
        <f aca="false">ROUND((1-_xlfn.PERCENTRANK.INC($C$7:$C$4378,C2977))*9,0)</f>
        <v>4</v>
      </c>
      <c r="G2977" s="1" t="n">
        <f aca="false">ROUND(_xlfn.PERCENTRANK.INC($D$7:$D$4378,D2977)*9,0)</f>
        <v>0</v>
      </c>
      <c r="H2977" s="1" t="n">
        <f aca="false">ROUND(_xlfn.PERCENTRANK.INC($E$7:$E$4378,E2977)*9,0)</f>
        <v>1</v>
      </c>
      <c r="I2977" s="1" t="str">
        <f aca="false">CONCATENATE(F2977,G2977,H2977)</f>
        <v>401</v>
      </c>
      <c r="J2977" s="1" t="str">
        <f aca="false">_xlfn.IFS(AND(F2977&gt;=8,G2977&gt;=8,H2977&gt;=8),"CHAMPION",AND(F2977&gt;=6,G2977&gt;=7,H2977&gt;=6),"LOYAL CUSTOMER",AND(F2977&gt;=6,G2977&gt;=5,H2977&gt;=5),"POTENTIAL LOYALIST",AND(F2977&gt;=8,G2977&lt;=2,H2977&gt;=5),"NEW CUSTOMERS",AND(F2977&gt;=6,G2977&lt;=2,H2977&gt;=3),"PROMISING",AND(F2977&gt;=3,G2977&gt;=3,H2977&gt;=3),"NEED ATTENTION",AND(F2977&lt;=4,G2977&gt;=6,H2977&gt;=6),"AT RISK",AND(F2977&lt;=2,G2977&gt;=8,H2977&gt;=8),"CAN'T LOSE THEM",AND(F2977&lt;=2,G2977&lt;=2,H2977&lt;=2),"HIBERNATING",TRUE(),"Other")</f>
        <v>Other</v>
      </c>
      <c r="K2977" s="1" t="n">
        <f aca="false">RANK(E2977,$E$7:$E$4378)+COUNTIF($E$7:E2977,E2977)-1</f>
        <v>4119</v>
      </c>
    </row>
    <row r="2978" customFormat="false" ht="14.25" hidden="false" customHeight="true" outlineLevel="0" collapsed="false">
      <c r="A2978" s="51" t="n">
        <v>16364</v>
      </c>
      <c r="B2978" s="53" t="n">
        <v>40875.4770833333</v>
      </c>
      <c r="C2978" s="57" t="n">
        <f aca="false">INT($C$2)-INT(Table3[[#This Row],[Last Purchase Date]])</f>
        <v>12</v>
      </c>
      <c r="D2978" s="1" t="n">
        <v>2</v>
      </c>
      <c r="E2978" s="1" t="n">
        <v>707.04</v>
      </c>
      <c r="F2978" s="1" t="n">
        <f aca="false">ROUND((1-_xlfn.PERCENTRANK.INC($C$7:$C$4378,C2978))*9,0)</f>
        <v>7</v>
      </c>
      <c r="G2978" s="1" t="n">
        <f aca="false">ROUND(_xlfn.PERCENTRANK.INC($D$7:$D$4378,D2978)*9,0)</f>
        <v>3</v>
      </c>
      <c r="H2978" s="1" t="n">
        <f aca="false">ROUND(_xlfn.PERCENTRANK.INC($E$7:$E$4378,E2978)*9,0)</f>
        <v>5</v>
      </c>
      <c r="I2978" s="1" t="str">
        <f aca="false">CONCATENATE(F2978,G2978,H2978)</f>
        <v>735</v>
      </c>
      <c r="J2978" s="1" t="str">
        <f aca="false">_xlfn.IFS(AND(F2978&gt;=8,G2978&gt;=8,H2978&gt;=8),"CHAMPION",AND(F2978&gt;=6,G2978&gt;=7,H2978&gt;=6),"LOYAL CUSTOMER",AND(F2978&gt;=6,G2978&gt;=5,H2978&gt;=5),"POTENTIAL LOYALIST",AND(F2978&gt;=8,G2978&lt;=2,H2978&gt;=5),"NEW CUSTOMERS",AND(F2978&gt;=6,G2978&lt;=2,H2978&gt;=3),"PROMISING",AND(F2978&gt;=3,G2978&gt;=3,H2978&gt;=3),"NEED ATTENTION",AND(F2978&lt;=4,G2978&gt;=6,H2978&gt;=6),"AT RISK",AND(F2978&lt;=2,G2978&gt;=8,H2978&gt;=8),"CAN'T LOSE THEM",AND(F2978&lt;=2,G2978&lt;=2,H2978&lt;=2),"HIBERNATING",TRUE(),"Other")</f>
        <v>NEED ATTENTION</v>
      </c>
      <c r="K2978" s="1" t="n">
        <f aca="false">RANK(E2978,$E$7:$E$4378)+COUNTIF($E$7:E2978,E2978)-1</f>
        <v>2053</v>
      </c>
    </row>
    <row r="2979" customFormat="false" ht="14.25" hidden="false" customHeight="true" outlineLevel="0" collapsed="false">
      <c r="A2979" s="51" t="n">
        <v>16365</v>
      </c>
      <c r="B2979" s="53" t="n">
        <v>40869.475</v>
      </c>
      <c r="C2979" s="57" t="n">
        <f aca="false">INT($C$2)-INT(Table3[[#This Row],[Last Purchase Date]])</f>
        <v>18</v>
      </c>
      <c r="D2979" s="1" t="n">
        <v>9</v>
      </c>
      <c r="E2979" s="1" t="n">
        <v>1540.42</v>
      </c>
      <c r="F2979" s="1" t="n">
        <f aca="false">ROUND((1-_xlfn.PERCENTRANK.INC($C$7:$C$4378,C2979))*9,0)</f>
        <v>7</v>
      </c>
      <c r="G2979" s="1" t="n">
        <f aca="false">ROUND(_xlfn.PERCENTRANK.INC($D$7:$D$4378,D2979)*9,0)</f>
        <v>8</v>
      </c>
      <c r="H2979" s="1" t="n">
        <f aca="false">ROUND(_xlfn.PERCENTRANK.INC($E$7:$E$4378,E2979)*9,0)</f>
        <v>7</v>
      </c>
      <c r="I2979" s="1" t="str">
        <f aca="false">CONCATENATE(F2979,G2979,H2979)</f>
        <v>787</v>
      </c>
      <c r="J2979" s="1" t="str">
        <f aca="false">_xlfn.IFS(AND(F2979&gt;=8,G2979&gt;=8,H2979&gt;=8),"CHAMPION",AND(F2979&gt;=6,G2979&gt;=7,H2979&gt;=6),"LOYAL CUSTOMER",AND(F2979&gt;=6,G2979&gt;=5,H2979&gt;=5),"POTENTIAL LOYALIST",AND(F2979&gt;=8,G2979&lt;=2,H2979&gt;=5),"NEW CUSTOMERS",AND(F2979&gt;=6,G2979&lt;=2,H2979&gt;=3),"PROMISING",AND(F2979&gt;=3,G2979&gt;=3,H2979&gt;=3),"NEED ATTENTION",AND(F2979&lt;=4,G2979&gt;=6,H2979&gt;=6),"AT RISK",AND(F2979&lt;=2,G2979&gt;=8,H2979&gt;=8),"CAN'T LOSE THEM",AND(F2979&lt;=2,G2979&lt;=2,H2979&lt;=2),"HIBERNATING",TRUE(),"Other")</f>
        <v>LOYAL CUSTOMER</v>
      </c>
      <c r="K2979" s="1" t="n">
        <f aca="false">RANK(E2979,$E$7:$E$4378)+COUNTIF($E$7:E2979,E2979)-1</f>
        <v>1134</v>
      </c>
    </row>
    <row r="2980" customFormat="false" ht="14.25" hidden="false" customHeight="true" outlineLevel="0" collapsed="false">
      <c r="A2980" s="51" t="n">
        <v>16366</v>
      </c>
      <c r="B2980" s="53" t="n">
        <v>40868.3465277778</v>
      </c>
      <c r="C2980" s="57" t="n">
        <f aca="false">INT($C$2)-INT(Table3[[#This Row],[Last Purchase Date]])</f>
        <v>19</v>
      </c>
      <c r="D2980" s="1" t="n">
        <v>1</v>
      </c>
      <c r="E2980" s="1" t="n">
        <v>327.3</v>
      </c>
      <c r="F2980" s="1" t="n">
        <f aca="false">ROUND((1-_xlfn.PERCENTRANK.INC($C$7:$C$4378,C2980))*9,0)</f>
        <v>7</v>
      </c>
      <c r="G2980" s="1" t="n">
        <f aca="false">ROUND(_xlfn.PERCENTRANK.INC($D$7:$D$4378,D2980)*9,0)</f>
        <v>0</v>
      </c>
      <c r="H2980" s="1" t="n">
        <f aca="false">ROUND(_xlfn.PERCENTRANK.INC($E$7:$E$4378,E2980)*9,0)</f>
        <v>3</v>
      </c>
      <c r="I2980" s="1" t="str">
        <f aca="false">CONCATENATE(F2980,G2980,H2980)</f>
        <v>703</v>
      </c>
      <c r="J2980" s="1" t="str">
        <f aca="false">_xlfn.IFS(AND(F2980&gt;=8,G2980&gt;=8,H2980&gt;=8),"CHAMPION",AND(F2980&gt;=6,G2980&gt;=7,H2980&gt;=6),"LOYAL CUSTOMER",AND(F2980&gt;=6,G2980&gt;=5,H2980&gt;=5),"POTENTIAL LOYALIST",AND(F2980&gt;=8,G2980&lt;=2,H2980&gt;=5),"NEW CUSTOMERS",AND(F2980&gt;=6,G2980&lt;=2,H2980&gt;=3),"PROMISING",AND(F2980&gt;=3,G2980&gt;=3,H2980&gt;=3),"NEED ATTENTION",AND(F2980&lt;=4,G2980&gt;=6,H2980&gt;=6),"AT RISK",AND(F2980&lt;=2,G2980&gt;=8,H2980&gt;=8),"CAN'T LOSE THEM",AND(F2980&lt;=2,G2980&lt;=2,H2980&lt;=2),"HIBERNATING",TRUE(),"Other")</f>
        <v>PROMISING</v>
      </c>
      <c r="K2980" s="1" t="n">
        <f aca="false">RANK(E2980,$E$7:$E$4378)+COUNTIF($E$7:E2980,E2980)-1</f>
        <v>3107</v>
      </c>
    </row>
    <row r="2981" customFormat="false" ht="14.25" hidden="false" customHeight="true" outlineLevel="0" collapsed="false">
      <c r="A2981" s="51" t="n">
        <v>16367</v>
      </c>
      <c r="B2981" s="53" t="n">
        <v>40849.5506944444</v>
      </c>
      <c r="C2981" s="57" t="n">
        <f aca="false">INT($C$2)-INT(Table3[[#This Row],[Last Purchase Date]])</f>
        <v>38</v>
      </c>
      <c r="D2981" s="1" t="n">
        <v>2</v>
      </c>
      <c r="E2981" s="1" t="n">
        <v>804.49</v>
      </c>
      <c r="F2981" s="1" t="n">
        <f aca="false">ROUND((1-_xlfn.PERCENTRANK.INC($C$7:$C$4378,C2981))*9,0)</f>
        <v>5</v>
      </c>
      <c r="G2981" s="1" t="n">
        <f aca="false">ROUND(_xlfn.PERCENTRANK.INC($D$7:$D$4378,D2981)*9,0)</f>
        <v>3</v>
      </c>
      <c r="H2981" s="1" t="n">
        <f aca="false">ROUND(_xlfn.PERCENTRANK.INC($E$7:$E$4378,E2981)*9,0)</f>
        <v>5</v>
      </c>
      <c r="I2981" s="1" t="str">
        <f aca="false">CONCATENATE(F2981,G2981,H2981)</f>
        <v>535</v>
      </c>
      <c r="J2981" s="1" t="str">
        <f aca="false">_xlfn.IFS(AND(F2981&gt;=8,G2981&gt;=8,H2981&gt;=8),"CHAMPION",AND(F2981&gt;=6,G2981&gt;=7,H2981&gt;=6),"LOYAL CUSTOMER",AND(F2981&gt;=6,G2981&gt;=5,H2981&gt;=5),"POTENTIAL LOYALIST",AND(F2981&gt;=8,G2981&lt;=2,H2981&gt;=5),"NEW CUSTOMERS",AND(F2981&gt;=6,G2981&lt;=2,H2981&gt;=3),"PROMISING",AND(F2981&gt;=3,G2981&gt;=3,H2981&gt;=3),"NEED ATTENTION",AND(F2981&lt;=4,G2981&gt;=6,H2981&gt;=6),"AT RISK",AND(F2981&lt;=2,G2981&gt;=8,H2981&gt;=8),"CAN'T LOSE THEM",AND(F2981&lt;=2,G2981&lt;=2,H2981&lt;=2),"HIBERNATING",TRUE(),"Other")</f>
        <v>NEED ATTENTION</v>
      </c>
      <c r="K2981" s="1" t="n">
        <f aca="false">RANK(E2981,$E$7:$E$4378)+COUNTIF($E$7:E2981,E2981)-1</f>
        <v>1892</v>
      </c>
    </row>
    <row r="2982" customFormat="false" ht="14.25" hidden="false" customHeight="true" outlineLevel="0" collapsed="false">
      <c r="A2982" s="51" t="n">
        <v>16368</v>
      </c>
      <c r="B2982" s="53" t="n">
        <v>40884.55</v>
      </c>
      <c r="C2982" s="57" t="n">
        <f aca="false">INT($C$2)-INT(Table3[[#This Row],[Last Purchase Date]])</f>
        <v>3</v>
      </c>
      <c r="D2982" s="1" t="n">
        <v>2</v>
      </c>
      <c r="E2982" s="1" t="n">
        <v>497.43</v>
      </c>
      <c r="F2982" s="1" t="n">
        <f aca="false">ROUND((1-_xlfn.PERCENTRANK.INC($C$7:$C$4378,C2982))*9,0)</f>
        <v>9</v>
      </c>
      <c r="G2982" s="1" t="n">
        <f aca="false">ROUND(_xlfn.PERCENTRANK.INC($D$7:$D$4378,D2982)*9,0)</f>
        <v>3</v>
      </c>
      <c r="H2982" s="1" t="n">
        <f aca="false">ROUND(_xlfn.PERCENTRANK.INC($E$7:$E$4378,E2982)*9,0)</f>
        <v>4</v>
      </c>
      <c r="I2982" s="1" t="str">
        <f aca="false">CONCATENATE(F2982,G2982,H2982)</f>
        <v>934</v>
      </c>
      <c r="J2982" s="1" t="str">
        <f aca="false">_xlfn.IFS(AND(F2982&gt;=8,G2982&gt;=8,H2982&gt;=8),"CHAMPION",AND(F2982&gt;=6,G2982&gt;=7,H2982&gt;=6),"LOYAL CUSTOMER",AND(F2982&gt;=6,G2982&gt;=5,H2982&gt;=5),"POTENTIAL LOYALIST",AND(F2982&gt;=8,G2982&lt;=2,H2982&gt;=5),"NEW CUSTOMERS",AND(F2982&gt;=6,G2982&lt;=2,H2982&gt;=3),"PROMISING",AND(F2982&gt;=3,G2982&gt;=3,H2982&gt;=3),"NEED ATTENTION",AND(F2982&lt;=4,G2982&gt;=6,H2982&gt;=6),"AT RISK",AND(F2982&lt;=2,G2982&gt;=8,H2982&gt;=8),"CAN'T LOSE THEM",AND(F2982&lt;=2,G2982&lt;=2,H2982&lt;=2),"HIBERNATING",TRUE(),"Other")</f>
        <v>NEED ATTENTION</v>
      </c>
      <c r="K2982" s="1" t="n">
        <f aca="false">RANK(E2982,$E$7:$E$4378)+COUNTIF($E$7:E2982,E2982)-1</f>
        <v>2549</v>
      </c>
    </row>
    <row r="2983" customFormat="false" ht="14.25" hidden="false" customHeight="true" outlineLevel="0" collapsed="false">
      <c r="A2983" s="51" t="n">
        <v>16369</v>
      </c>
      <c r="B2983" s="53" t="n">
        <v>40868.6840277778</v>
      </c>
      <c r="C2983" s="57" t="n">
        <f aca="false">INT($C$2)-INT(Table3[[#This Row],[Last Purchase Date]])</f>
        <v>19</v>
      </c>
      <c r="D2983" s="1" t="n">
        <v>3</v>
      </c>
      <c r="E2983" s="1" t="n">
        <v>1553.66</v>
      </c>
      <c r="F2983" s="1" t="n">
        <f aca="false">ROUND((1-_xlfn.PERCENTRANK.INC($C$7:$C$4378,C2983))*9,0)</f>
        <v>7</v>
      </c>
      <c r="G2983" s="1" t="n">
        <f aca="false">ROUND(_xlfn.PERCENTRANK.INC($D$7:$D$4378,D2983)*9,0)</f>
        <v>4</v>
      </c>
      <c r="H2983" s="1" t="n">
        <f aca="false">ROUND(_xlfn.PERCENTRANK.INC($E$7:$E$4378,E2983)*9,0)</f>
        <v>7</v>
      </c>
      <c r="I2983" s="1" t="str">
        <f aca="false">CONCATENATE(F2983,G2983,H2983)</f>
        <v>747</v>
      </c>
      <c r="J2983" s="1" t="str">
        <f aca="false">_xlfn.IFS(AND(F2983&gt;=8,G2983&gt;=8,H2983&gt;=8),"CHAMPION",AND(F2983&gt;=6,G2983&gt;=7,H2983&gt;=6),"LOYAL CUSTOMER",AND(F2983&gt;=6,G2983&gt;=5,H2983&gt;=5),"POTENTIAL LOYALIST",AND(F2983&gt;=8,G2983&lt;=2,H2983&gt;=5),"NEW CUSTOMERS",AND(F2983&gt;=6,G2983&lt;=2,H2983&gt;=3),"PROMISING",AND(F2983&gt;=3,G2983&gt;=3,H2983&gt;=3),"NEED ATTENTION",AND(F2983&lt;=4,G2983&gt;=6,H2983&gt;=6),"AT RISK",AND(F2983&lt;=2,G2983&gt;=8,H2983&gt;=8),"CAN'T LOSE THEM",AND(F2983&lt;=2,G2983&lt;=2,H2983&lt;=2),"HIBERNATING",TRUE(),"Other")</f>
        <v>NEED ATTENTION</v>
      </c>
      <c r="K2983" s="1" t="n">
        <f aca="false">RANK(E2983,$E$7:$E$4378)+COUNTIF($E$7:E2983,E2983)-1</f>
        <v>1124</v>
      </c>
    </row>
    <row r="2984" customFormat="false" ht="14.25" hidden="false" customHeight="true" outlineLevel="0" collapsed="false">
      <c r="A2984" s="51" t="n">
        <v>16370</v>
      </c>
      <c r="B2984" s="53" t="n">
        <v>40804.6631944445</v>
      </c>
      <c r="C2984" s="57" t="n">
        <f aca="false">INT($C$2)-INT(Table3[[#This Row],[Last Purchase Date]])</f>
        <v>83</v>
      </c>
      <c r="D2984" s="1" t="n">
        <v>4</v>
      </c>
      <c r="E2984" s="1" t="n">
        <v>1320.56</v>
      </c>
      <c r="F2984" s="1" t="n">
        <f aca="false">ROUND((1-_xlfn.PERCENTRANK.INC($C$7:$C$4378,C2984))*9,0)</f>
        <v>3</v>
      </c>
      <c r="G2984" s="1" t="n">
        <f aca="false">ROUND(_xlfn.PERCENTRANK.INC($D$7:$D$4378,D2984)*9,0)</f>
        <v>5</v>
      </c>
      <c r="H2984" s="1" t="n">
        <f aca="false">ROUND(_xlfn.PERCENTRANK.INC($E$7:$E$4378,E2984)*9,0)</f>
        <v>6</v>
      </c>
      <c r="I2984" s="1" t="str">
        <f aca="false">CONCATENATE(F2984,G2984,H2984)</f>
        <v>356</v>
      </c>
      <c r="J2984" s="1" t="str">
        <f aca="false">_xlfn.IFS(AND(F2984&gt;=8,G2984&gt;=8,H2984&gt;=8),"CHAMPION",AND(F2984&gt;=6,G2984&gt;=7,H2984&gt;=6),"LOYAL CUSTOMER",AND(F2984&gt;=6,G2984&gt;=5,H2984&gt;=5),"POTENTIAL LOYALIST",AND(F2984&gt;=8,G2984&lt;=2,H2984&gt;=5),"NEW CUSTOMERS",AND(F2984&gt;=6,G2984&lt;=2,H2984&gt;=3),"PROMISING",AND(F2984&gt;=3,G2984&gt;=3,H2984&gt;=3),"NEED ATTENTION",AND(F2984&lt;=4,G2984&gt;=6,H2984&gt;=6),"AT RISK",AND(F2984&lt;=2,G2984&gt;=8,H2984&gt;=8),"CAN'T LOSE THEM",AND(F2984&lt;=2,G2984&lt;=2,H2984&lt;=2),"HIBERNATING",TRUE(),"Other")</f>
        <v>NEED ATTENTION</v>
      </c>
      <c r="K2984" s="1" t="n">
        <f aca="false">RANK(E2984,$E$7:$E$4378)+COUNTIF($E$7:E2984,E2984)-1</f>
        <v>1300</v>
      </c>
    </row>
    <row r="2985" customFormat="false" ht="14.25" hidden="false" customHeight="true" outlineLevel="0" collapsed="false">
      <c r="A2985" s="51" t="n">
        <v>16372</v>
      </c>
      <c r="B2985" s="53" t="n">
        <v>40853.5472222222</v>
      </c>
      <c r="C2985" s="57" t="n">
        <f aca="false">INT($C$2)-INT(Table3[[#This Row],[Last Purchase Date]])</f>
        <v>34</v>
      </c>
      <c r="D2985" s="1" t="n">
        <v>2</v>
      </c>
      <c r="E2985" s="1" t="n">
        <v>367.93</v>
      </c>
      <c r="F2985" s="1" t="n">
        <f aca="false">ROUND((1-_xlfn.PERCENTRANK.INC($C$7:$C$4378,C2985))*9,0)</f>
        <v>5</v>
      </c>
      <c r="G2985" s="1" t="n">
        <f aca="false">ROUND(_xlfn.PERCENTRANK.INC($D$7:$D$4378,D2985)*9,0)</f>
        <v>3</v>
      </c>
      <c r="H2985" s="1" t="n">
        <f aca="false">ROUND(_xlfn.PERCENTRANK.INC($E$7:$E$4378,E2985)*9,0)</f>
        <v>3</v>
      </c>
      <c r="I2985" s="1" t="str">
        <f aca="false">CONCATENATE(F2985,G2985,H2985)</f>
        <v>533</v>
      </c>
      <c r="J2985" s="1" t="str">
        <f aca="false">_xlfn.IFS(AND(F2985&gt;=8,G2985&gt;=8,H2985&gt;=8),"CHAMPION",AND(F2985&gt;=6,G2985&gt;=7,H2985&gt;=6),"LOYAL CUSTOMER",AND(F2985&gt;=6,G2985&gt;=5,H2985&gt;=5),"POTENTIAL LOYALIST",AND(F2985&gt;=8,G2985&lt;=2,H2985&gt;=5),"NEW CUSTOMERS",AND(F2985&gt;=6,G2985&lt;=2,H2985&gt;=3),"PROMISING",AND(F2985&gt;=3,G2985&gt;=3,H2985&gt;=3),"NEED ATTENTION",AND(F2985&lt;=4,G2985&gt;=6,H2985&gt;=6),"AT RISK",AND(F2985&lt;=2,G2985&gt;=8,H2985&gt;=8),"CAN'T LOSE THEM",AND(F2985&lt;=2,G2985&lt;=2,H2985&lt;=2),"HIBERNATING",TRUE(),"Other")</f>
        <v>NEED ATTENTION</v>
      </c>
      <c r="K2985" s="1" t="n">
        <f aca="false">RANK(E2985,$E$7:$E$4378)+COUNTIF($E$7:E2985,E2985)-1</f>
        <v>2931</v>
      </c>
    </row>
    <row r="2986" customFormat="false" ht="14.25" hidden="false" customHeight="true" outlineLevel="0" collapsed="false">
      <c r="A2986" s="51" t="n">
        <v>16374</v>
      </c>
      <c r="B2986" s="53" t="n">
        <v>40820.6395833333</v>
      </c>
      <c r="C2986" s="57" t="n">
        <f aca="false">INT($C$2)-INT(Table3[[#This Row],[Last Purchase Date]])</f>
        <v>67</v>
      </c>
      <c r="D2986" s="1" t="n">
        <v>2</v>
      </c>
      <c r="E2986" s="1" t="n">
        <v>473.03</v>
      </c>
      <c r="F2986" s="1" t="n">
        <f aca="false">ROUND((1-_xlfn.PERCENTRANK.INC($C$7:$C$4378,C2986))*9,0)</f>
        <v>4</v>
      </c>
      <c r="G2986" s="1" t="n">
        <f aca="false">ROUND(_xlfn.PERCENTRANK.INC($D$7:$D$4378,D2986)*9,0)</f>
        <v>3</v>
      </c>
      <c r="H2986" s="1" t="n">
        <f aca="false">ROUND(_xlfn.PERCENTRANK.INC($E$7:$E$4378,E2986)*9,0)</f>
        <v>4</v>
      </c>
      <c r="I2986" s="1" t="str">
        <f aca="false">CONCATENATE(F2986,G2986,H2986)</f>
        <v>434</v>
      </c>
      <c r="J2986" s="1" t="str">
        <f aca="false">_xlfn.IFS(AND(F2986&gt;=8,G2986&gt;=8,H2986&gt;=8),"CHAMPION",AND(F2986&gt;=6,G2986&gt;=7,H2986&gt;=6),"LOYAL CUSTOMER",AND(F2986&gt;=6,G2986&gt;=5,H2986&gt;=5),"POTENTIAL LOYALIST",AND(F2986&gt;=8,G2986&lt;=2,H2986&gt;=5),"NEW CUSTOMERS",AND(F2986&gt;=6,G2986&lt;=2,H2986&gt;=3),"PROMISING",AND(F2986&gt;=3,G2986&gt;=3,H2986&gt;=3),"NEED ATTENTION",AND(F2986&lt;=4,G2986&gt;=6,H2986&gt;=6),"AT RISK",AND(F2986&lt;=2,G2986&gt;=8,H2986&gt;=8),"CAN'T LOSE THEM",AND(F2986&lt;=2,G2986&lt;=2,H2986&lt;=2),"HIBERNATING",TRUE(),"Other")</f>
        <v>NEED ATTENTION</v>
      </c>
      <c r="K2986" s="1" t="n">
        <f aca="false">RANK(E2986,$E$7:$E$4378)+COUNTIF($E$7:E2986,E2986)-1</f>
        <v>2607</v>
      </c>
    </row>
    <row r="2987" customFormat="false" ht="14.25" hidden="false" customHeight="true" outlineLevel="0" collapsed="false">
      <c r="A2987" s="51" t="n">
        <v>16376</v>
      </c>
      <c r="B2987" s="53" t="n">
        <v>40878.4847222222</v>
      </c>
      <c r="C2987" s="57" t="n">
        <f aca="false">INT($C$2)-INT(Table3[[#This Row],[Last Purchase Date]])</f>
        <v>9</v>
      </c>
      <c r="D2987" s="1" t="n">
        <v>3</v>
      </c>
      <c r="E2987" s="1" t="n">
        <v>977.520000000001</v>
      </c>
      <c r="F2987" s="1" t="n">
        <f aca="false">ROUND((1-_xlfn.PERCENTRANK.INC($C$7:$C$4378,C2987))*9,0)</f>
        <v>8</v>
      </c>
      <c r="G2987" s="1" t="n">
        <f aca="false">ROUND(_xlfn.PERCENTRANK.INC($D$7:$D$4378,D2987)*9,0)</f>
        <v>4</v>
      </c>
      <c r="H2987" s="1" t="n">
        <f aca="false">ROUND(_xlfn.PERCENTRANK.INC($E$7:$E$4378,E2987)*9,0)</f>
        <v>6</v>
      </c>
      <c r="I2987" s="1" t="str">
        <f aca="false">CONCATENATE(F2987,G2987,H2987)</f>
        <v>846</v>
      </c>
      <c r="J2987" s="1" t="str">
        <f aca="false">_xlfn.IFS(AND(F2987&gt;=8,G2987&gt;=8,H2987&gt;=8),"CHAMPION",AND(F2987&gt;=6,G2987&gt;=7,H2987&gt;=6),"LOYAL CUSTOMER",AND(F2987&gt;=6,G2987&gt;=5,H2987&gt;=5),"POTENTIAL LOYALIST",AND(F2987&gt;=8,G2987&lt;=2,H2987&gt;=5),"NEW CUSTOMERS",AND(F2987&gt;=6,G2987&lt;=2,H2987&gt;=3),"PROMISING",AND(F2987&gt;=3,G2987&gt;=3,H2987&gt;=3),"NEED ATTENTION",AND(F2987&lt;=4,G2987&gt;=6,H2987&gt;=6),"AT RISK",AND(F2987&lt;=2,G2987&gt;=8,H2987&gt;=8),"CAN'T LOSE THEM",AND(F2987&lt;=2,G2987&lt;=2,H2987&lt;=2),"HIBERNATING",TRUE(),"Other")</f>
        <v>NEED ATTENTION</v>
      </c>
      <c r="K2987" s="1" t="n">
        <f aca="false">RANK(E2987,$E$7:$E$4378)+COUNTIF($E$7:E2987,E2987)-1</f>
        <v>1669</v>
      </c>
    </row>
    <row r="2988" customFormat="false" ht="14.25" hidden="false" customHeight="true" outlineLevel="0" collapsed="false">
      <c r="A2988" s="51" t="n">
        <v>16377</v>
      </c>
      <c r="B2988" s="53" t="n">
        <v>40619.6534722222</v>
      </c>
      <c r="C2988" s="57" t="n">
        <f aca="false">INT($C$2)-INT(Table3[[#This Row],[Last Purchase Date]])</f>
        <v>268</v>
      </c>
      <c r="D2988" s="1" t="n">
        <v>1</v>
      </c>
      <c r="E2988" s="1" t="n">
        <v>676.2</v>
      </c>
      <c r="F2988" s="1" t="n">
        <f aca="false">ROUND((1-_xlfn.PERCENTRANK.INC($C$7:$C$4378,C2988))*9,0)</f>
        <v>1</v>
      </c>
      <c r="G2988" s="1" t="n">
        <f aca="false">ROUND(_xlfn.PERCENTRANK.INC($D$7:$D$4378,D2988)*9,0)</f>
        <v>0</v>
      </c>
      <c r="H2988" s="1" t="n">
        <f aca="false">ROUND(_xlfn.PERCENTRANK.INC($E$7:$E$4378,E2988)*9,0)</f>
        <v>5</v>
      </c>
      <c r="I2988" s="1" t="str">
        <f aca="false">CONCATENATE(F2988,G2988,H2988)</f>
        <v>105</v>
      </c>
      <c r="J2988" s="1" t="str">
        <f aca="false">_xlfn.IFS(AND(F2988&gt;=8,G2988&gt;=8,H2988&gt;=8),"CHAMPION",AND(F2988&gt;=6,G2988&gt;=7,H2988&gt;=6),"LOYAL CUSTOMER",AND(F2988&gt;=6,G2988&gt;=5,H2988&gt;=5),"POTENTIAL LOYALIST",AND(F2988&gt;=8,G2988&lt;=2,H2988&gt;=5),"NEW CUSTOMERS",AND(F2988&gt;=6,G2988&lt;=2,H2988&gt;=3),"PROMISING",AND(F2988&gt;=3,G2988&gt;=3,H2988&gt;=3),"NEED ATTENTION",AND(F2988&lt;=4,G2988&gt;=6,H2988&gt;=6),"AT RISK",AND(F2988&lt;=2,G2988&gt;=8,H2988&gt;=8),"CAN'T LOSE THEM",AND(F2988&lt;=2,G2988&lt;=2,H2988&lt;=2),"HIBERNATING",TRUE(),"Other")</f>
        <v>Other</v>
      </c>
      <c r="K2988" s="1" t="n">
        <f aca="false">RANK(E2988,$E$7:$E$4378)+COUNTIF($E$7:E2988,E2988)-1</f>
        <v>2113</v>
      </c>
    </row>
    <row r="2989" customFormat="false" ht="14.25" hidden="false" customHeight="true" outlineLevel="0" collapsed="false">
      <c r="A2989" s="51" t="n">
        <v>16378</v>
      </c>
      <c r="B2989" s="53" t="n">
        <v>40639.6298611111</v>
      </c>
      <c r="C2989" s="57" t="n">
        <f aca="false">INT($C$2)-INT(Table3[[#This Row],[Last Purchase Date]])</f>
        <v>248</v>
      </c>
      <c r="D2989" s="1" t="n">
        <v>3</v>
      </c>
      <c r="E2989" s="1" t="n">
        <v>362.95</v>
      </c>
      <c r="F2989" s="1" t="n">
        <f aca="false">ROUND((1-_xlfn.PERCENTRANK.INC($C$7:$C$4378,C2989))*9,0)</f>
        <v>1</v>
      </c>
      <c r="G2989" s="1" t="n">
        <f aca="false">ROUND(_xlfn.PERCENTRANK.INC($D$7:$D$4378,D2989)*9,0)</f>
        <v>4</v>
      </c>
      <c r="H2989" s="1" t="n">
        <f aca="false">ROUND(_xlfn.PERCENTRANK.INC($E$7:$E$4378,E2989)*9,0)</f>
        <v>3</v>
      </c>
      <c r="I2989" s="1" t="str">
        <f aca="false">CONCATENATE(F2989,G2989,H2989)</f>
        <v>143</v>
      </c>
      <c r="J2989" s="1" t="str">
        <f aca="false">_xlfn.IFS(AND(F2989&gt;=8,G2989&gt;=8,H2989&gt;=8),"CHAMPION",AND(F2989&gt;=6,G2989&gt;=7,H2989&gt;=6),"LOYAL CUSTOMER",AND(F2989&gt;=6,G2989&gt;=5,H2989&gt;=5),"POTENTIAL LOYALIST",AND(F2989&gt;=8,G2989&lt;=2,H2989&gt;=5),"NEW CUSTOMERS",AND(F2989&gt;=6,G2989&lt;=2,H2989&gt;=3),"PROMISING",AND(F2989&gt;=3,G2989&gt;=3,H2989&gt;=3),"NEED ATTENTION",AND(F2989&lt;=4,G2989&gt;=6,H2989&gt;=6),"AT RISK",AND(F2989&lt;=2,G2989&gt;=8,H2989&gt;=8),"CAN'T LOSE THEM",AND(F2989&lt;=2,G2989&lt;=2,H2989&lt;=2),"HIBERNATING",TRUE(),"Other")</f>
        <v>Other</v>
      </c>
      <c r="K2989" s="1" t="n">
        <f aca="false">RANK(E2989,$E$7:$E$4378)+COUNTIF($E$7:E2989,E2989)-1</f>
        <v>2957</v>
      </c>
    </row>
    <row r="2990" customFormat="false" ht="14.25" hidden="false" customHeight="true" outlineLevel="0" collapsed="false">
      <c r="A2990" s="51" t="n">
        <v>16379</v>
      </c>
      <c r="B2990" s="53" t="n">
        <v>40882.6513888889</v>
      </c>
      <c r="C2990" s="57" t="n">
        <f aca="false">INT($C$2)-INT(Table3[[#This Row],[Last Purchase Date]])</f>
        <v>5</v>
      </c>
      <c r="D2990" s="1" t="n">
        <v>5</v>
      </c>
      <c r="E2990" s="1" t="n">
        <v>2131.9</v>
      </c>
      <c r="F2990" s="1" t="n">
        <f aca="false">ROUND((1-_xlfn.PERCENTRANK.INC($C$7:$C$4378,C2990))*9,0)</f>
        <v>8</v>
      </c>
      <c r="G2990" s="1" t="n">
        <f aca="false">ROUND(_xlfn.PERCENTRANK.INC($D$7:$D$4378,D2990)*9,0)</f>
        <v>6</v>
      </c>
      <c r="H2990" s="1" t="n">
        <f aca="false">ROUND(_xlfn.PERCENTRANK.INC($E$7:$E$4378,E2990)*9,0)</f>
        <v>7</v>
      </c>
      <c r="I2990" s="1" t="str">
        <f aca="false">CONCATENATE(F2990,G2990,H2990)</f>
        <v>867</v>
      </c>
      <c r="J2990" s="1" t="str">
        <f aca="false">_xlfn.IFS(AND(F2990&gt;=8,G2990&gt;=8,H2990&gt;=8),"CHAMPION",AND(F2990&gt;=6,G2990&gt;=7,H2990&gt;=6),"LOYAL CUSTOMER",AND(F2990&gt;=6,G2990&gt;=5,H2990&gt;=5),"POTENTIAL LOYALIST",AND(F2990&gt;=8,G2990&lt;=2,H2990&gt;=5),"NEW CUSTOMERS",AND(F2990&gt;=6,G2990&lt;=2,H2990&gt;=3),"PROMISING",AND(F2990&gt;=3,G2990&gt;=3,H2990&gt;=3),"NEED ATTENTION",AND(F2990&lt;=4,G2990&gt;=6,H2990&gt;=6),"AT RISK",AND(F2990&lt;=2,G2990&gt;=8,H2990&gt;=8),"CAN'T LOSE THEM",AND(F2990&lt;=2,G2990&lt;=2,H2990&lt;=2),"HIBERNATING",TRUE(),"Other")</f>
        <v>POTENTIAL LOYALIST</v>
      </c>
      <c r="K2990" s="1" t="n">
        <f aca="false">RANK(E2990,$E$7:$E$4378)+COUNTIF($E$7:E2990,E2990)-1</f>
        <v>810</v>
      </c>
    </row>
    <row r="2991" customFormat="false" ht="14.25" hidden="false" customHeight="true" outlineLevel="0" collapsed="false">
      <c r="A2991" s="51" t="n">
        <v>16380</v>
      </c>
      <c r="B2991" s="53" t="n">
        <v>40825.6527777778</v>
      </c>
      <c r="C2991" s="57" t="n">
        <f aca="false">INT($C$2)-INT(Table3[[#This Row],[Last Purchase Date]])</f>
        <v>62</v>
      </c>
      <c r="D2991" s="1" t="n">
        <v>1</v>
      </c>
      <c r="E2991" s="1" t="n">
        <v>1780.59</v>
      </c>
      <c r="F2991" s="1" t="n">
        <f aca="false">ROUND((1-_xlfn.PERCENTRANK.INC($C$7:$C$4378,C2991))*9,0)</f>
        <v>4</v>
      </c>
      <c r="G2991" s="1" t="n">
        <f aca="false">ROUND(_xlfn.PERCENTRANK.INC($D$7:$D$4378,D2991)*9,0)</f>
        <v>0</v>
      </c>
      <c r="H2991" s="1" t="n">
        <f aca="false">ROUND(_xlfn.PERCENTRANK.INC($E$7:$E$4378,E2991)*9,0)</f>
        <v>7</v>
      </c>
      <c r="I2991" s="1" t="str">
        <f aca="false">CONCATENATE(F2991,G2991,H2991)</f>
        <v>407</v>
      </c>
      <c r="J2991" s="1" t="str">
        <f aca="false">_xlfn.IFS(AND(F2991&gt;=8,G2991&gt;=8,H2991&gt;=8),"CHAMPION",AND(F2991&gt;=6,G2991&gt;=7,H2991&gt;=6),"LOYAL CUSTOMER",AND(F2991&gt;=6,G2991&gt;=5,H2991&gt;=5),"POTENTIAL LOYALIST",AND(F2991&gt;=8,G2991&lt;=2,H2991&gt;=5),"NEW CUSTOMERS",AND(F2991&gt;=6,G2991&lt;=2,H2991&gt;=3),"PROMISING",AND(F2991&gt;=3,G2991&gt;=3,H2991&gt;=3),"NEED ATTENTION",AND(F2991&lt;=4,G2991&gt;=6,H2991&gt;=6),"AT RISK",AND(F2991&lt;=2,G2991&gt;=8,H2991&gt;=8),"CAN'T LOSE THEM",AND(F2991&lt;=2,G2991&lt;=2,H2991&lt;=2),"HIBERNATING",TRUE(),"Other")</f>
        <v>Other</v>
      </c>
      <c r="K2991" s="1" t="n">
        <f aca="false">RANK(E2991,$E$7:$E$4378)+COUNTIF($E$7:E2991,E2991)-1</f>
        <v>991</v>
      </c>
    </row>
    <row r="2992" customFormat="false" ht="14.25" hidden="false" customHeight="true" outlineLevel="0" collapsed="false">
      <c r="A2992" s="51" t="n">
        <v>16383</v>
      </c>
      <c r="B2992" s="53" t="n">
        <v>40812.53125</v>
      </c>
      <c r="C2992" s="57" t="n">
        <f aca="false">INT($C$2)-INT(Table3[[#This Row],[Last Purchase Date]])</f>
        <v>75</v>
      </c>
      <c r="D2992" s="1" t="n">
        <v>2</v>
      </c>
      <c r="E2992" s="1" t="n">
        <v>668.36</v>
      </c>
      <c r="F2992" s="1" t="n">
        <f aca="false">ROUND((1-_xlfn.PERCENTRANK.INC($C$7:$C$4378,C2992))*9,0)</f>
        <v>3</v>
      </c>
      <c r="G2992" s="1" t="n">
        <f aca="false">ROUND(_xlfn.PERCENTRANK.INC($D$7:$D$4378,D2992)*9,0)</f>
        <v>3</v>
      </c>
      <c r="H2992" s="1" t="n">
        <f aca="false">ROUND(_xlfn.PERCENTRANK.INC($E$7:$E$4378,E2992)*9,0)</f>
        <v>5</v>
      </c>
      <c r="I2992" s="1" t="str">
        <f aca="false">CONCATENATE(F2992,G2992,H2992)</f>
        <v>335</v>
      </c>
      <c r="J2992" s="1" t="str">
        <f aca="false">_xlfn.IFS(AND(F2992&gt;=8,G2992&gt;=8,H2992&gt;=8),"CHAMPION",AND(F2992&gt;=6,G2992&gt;=7,H2992&gt;=6),"LOYAL CUSTOMER",AND(F2992&gt;=6,G2992&gt;=5,H2992&gt;=5),"POTENTIAL LOYALIST",AND(F2992&gt;=8,G2992&lt;=2,H2992&gt;=5),"NEW CUSTOMERS",AND(F2992&gt;=6,G2992&lt;=2,H2992&gt;=3),"PROMISING",AND(F2992&gt;=3,G2992&gt;=3,H2992&gt;=3),"NEED ATTENTION",AND(F2992&lt;=4,G2992&gt;=6,H2992&gt;=6),"AT RISK",AND(F2992&lt;=2,G2992&gt;=8,H2992&gt;=8),"CAN'T LOSE THEM",AND(F2992&lt;=2,G2992&lt;=2,H2992&lt;=2),"HIBERNATING",TRUE(),"Other")</f>
        <v>NEED ATTENTION</v>
      </c>
      <c r="K2992" s="1" t="n">
        <f aca="false">RANK(E2992,$E$7:$E$4378)+COUNTIF($E$7:E2992,E2992)-1</f>
        <v>2132</v>
      </c>
    </row>
    <row r="2993" customFormat="false" ht="14.25" hidden="false" customHeight="true" outlineLevel="0" collapsed="false">
      <c r="A2993" s="51" t="n">
        <v>16384</v>
      </c>
      <c r="B2993" s="53" t="n">
        <v>40797.4715277778</v>
      </c>
      <c r="C2993" s="57" t="n">
        <f aca="false">INT($C$2)-INT(Table3[[#This Row],[Last Purchase Date]])</f>
        <v>90</v>
      </c>
      <c r="D2993" s="1" t="n">
        <v>2</v>
      </c>
      <c r="E2993" s="1" t="n">
        <v>584.5</v>
      </c>
      <c r="F2993" s="1" t="n">
        <f aca="false">ROUND((1-_xlfn.PERCENTRANK.INC($C$7:$C$4378,C2993))*9,0)</f>
        <v>3</v>
      </c>
      <c r="G2993" s="1" t="n">
        <f aca="false">ROUND(_xlfn.PERCENTRANK.INC($D$7:$D$4378,D2993)*9,0)</f>
        <v>3</v>
      </c>
      <c r="H2993" s="1" t="n">
        <f aca="false">ROUND(_xlfn.PERCENTRANK.INC($E$7:$E$4378,E2993)*9,0)</f>
        <v>4</v>
      </c>
      <c r="I2993" s="1" t="str">
        <f aca="false">CONCATENATE(F2993,G2993,H2993)</f>
        <v>334</v>
      </c>
      <c r="J2993" s="1" t="str">
        <f aca="false">_xlfn.IFS(AND(F2993&gt;=8,G2993&gt;=8,H2993&gt;=8),"CHAMPION",AND(F2993&gt;=6,G2993&gt;=7,H2993&gt;=6),"LOYAL CUSTOMER",AND(F2993&gt;=6,G2993&gt;=5,H2993&gt;=5),"POTENTIAL LOYALIST",AND(F2993&gt;=8,G2993&lt;=2,H2993&gt;=5),"NEW CUSTOMERS",AND(F2993&gt;=6,G2993&lt;=2,H2993&gt;=3),"PROMISING",AND(F2993&gt;=3,G2993&gt;=3,H2993&gt;=3),"NEED ATTENTION",AND(F2993&lt;=4,G2993&gt;=6,H2993&gt;=6),"AT RISK",AND(F2993&lt;=2,G2993&gt;=8,H2993&gt;=8),"CAN'T LOSE THEM",AND(F2993&lt;=2,G2993&lt;=2,H2993&lt;=2),"HIBERNATING",TRUE(),"Other")</f>
        <v>NEED ATTENTION</v>
      </c>
      <c r="K2993" s="1" t="n">
        <f aca="false">RANK(E2993,$E$7:$E$4378)+COUNTIF($E$7:E2993,E2993)-1</f>
        <v>2357</v>
      </c>
    </row>
    <row r="2994" customFormat="false" ht="14.25" hidden="false" customHeight="true" outlineLevel="0" collapsed="false">
      <c r="A2994" s="51" t="n">
        <v>16385</v>
      </c>
      <c r="B2994" s="53" t="n">
        <v>40826.55</v>
      </c>
      <c r="C2994" s="57" t="n">
        <f aca="false">INT($C$2)-INT(Table3[[#This Row],[Last Purchase Date]])</f>
        <v>61</v>
      </c>
      <c r="D2994" s="1" t="n">
        <v>3</v>
      </c>
      <c r="E2994" s="1" t="n">
        <v>555.89</v>
      </c>
      <c r="F2994" s="1" t="n">
        <f aca="false">ROUND((1-_xlfn.PERCENTRANK.INC($C$7:$C$4378,C2994))*9,0)</f>
        <v>4</v>
      </c>
      <c r="G2994" s="1" t="n">
        <f aca="false">ROUND(_xlfn.PERCENTRANK.INC($D$7:$D$4378,D2994)*9,0)</f>
        <v>4</v>
      </c>
      <c r="H2994" s="1" t="n">
        <f aca="false">ROUND(_xlfn.PERCENTRANK.INC($E$7:$E$4378,E2994)*9,0)</f>
        <v>4</v>
      </c>
      <c r="I2994" s="1" t="str">
        <f aca="false">CONCATENATE(F2994,G2994,H2994)</f>
        <v>444</v>
      </c>
      <c r="J2994" s="1" t="str">
        <f aca="false">_xlfn.IFS(AND(F2994&gt;=8,G2994&gt;=8,H2994&gt;=8),"CHAMPION",AND(F2994&gt;=6,G2994&gt;=7,H2994&gt;=6),"LOYAL CUSTOMER",AND(F2994&gt;=6,G2994&gt;=5,H2994&gt;=5),"POTENTIAL LOYALIST",AND(F2994&gt;=8,G2994&lt;=2,H2994&gt;=5),"NEW CUSTOMERS",AND(F2994&gt;=6,G2994&lt;=2,H2994&gt;=3),"PROMISING",AND(F2994&gt;=3,G2994&gt;=3,H2994&gt;=3),"NEED ATTENTION",AND(F2994&lt;=4,G2994&gt;=6,H2994&gt;=6),"AT RISK",AND(F2994&lt;=2,G2994&gt;=8,H2994&gt;=8),"CAN'T LOSE THEM",AND(F2994&lt;=2,G2994&lt;=2,H2994&lt;=2),"HIBERNATING",TRUE(),"Other")</f>
        <v>NEED ATTENTION</v>
      </c>
      <c r="K2994" s="1" t="n">
        <f aca="false">RANK(E2994,$E$7:$E$4378)+COUNTIF($E$7:E2994,E2994)-1</f>
        <v>2418</v>
      </c>
    </row>
    <row r="2995" customFormat="false" ht="14.25" hidden="false" customHeight="true" outlineLevel="0" collapsed="false">
      <c r="A2995" s="51" t="n">
        <v>16386</v>
      </c>
      <c r="B2995" s="53" t="n">
        <v>40858.5194444444</v>
      </c>
      <c r="C2995" s="57" t="n">
        <f aca="false">INT($C$2)-INT(Table3[[#This Row],[Last Purchase Date]])</f>
        <v>29</v>
      </c>
      <c r="D2995" s="1" t="n">
        <v>2</v>
      </c>
      <c r="E2995" s="1" t="n">
        <v>317.2</v>
      </c>
      <c r="F2995" s="1" t="n">
        <f aca="false">ROUND((1-_xlfn.PERCENTRANK.INC($C$7:$C$4378,C2995))*9,0)</f>
        <v>6</v>
      </c>
      <c r="G2995" s="1" t="n">
        <f aca="false">ROUND(_xlfn.PERCENTRANK.INC($D$7:$D$4378,D2995)*9,0)</f>
        <v>3</v>
      </c>
      <c r="H2995" s="1" t="n">
        <f aca="false">ROUND(_xlfn.PERCENTRANK.INC($E$7:$E$4378,E2995)*9,0)</f>
        <v>3</v>
      </c>
      <c r="I2995" s="1" t="str">
        <f aca="false">CONCATENATE(F2995,G2995,H2995)</f>
        <v>633</v>
      </c>
      <c r="J2995" s="1" t="str">
        <f aca="false">_xlfn.IFS(AND(F2995&gt;=8,G2995&gt;=8,H2995&gt;=8),"CHAMPION",AND(F2995&gt;=6,G2995&gt;=7,H2995&gt;=6),"LOYAL CUSTOMER",AND(F2995&gt;=6,G2995&gt;=5,H2995&gt;=5),"POTENTIAL LOYALIST",AND(F2995&gt;=8,G2995&lt;=2,H2995&gt;=5),"NEW CUSTOMERS",AND(F2995&gt;=6,G2995&lt;=2,H2995&gt;=3),"PROMISING",AND(F2995&gt;=3,G2995&gt;=3,H2995&gt;=3),"NEED ATTENTION",AND(F2995&lt;=4,G2995&gt;=6,H2995&gt;=6),"AT RISK",AND(F2995&lt;=2,G2995&gt;=8,H2995&gt;=8),"CAN'T LOSE THEM",AND(F2995&lt;=2,G2995&lt;=2,H2995&lt;=2),"HIBERNATING",TRUE(),"Other")</f>
        <v>NEED ATTENTION</v>
      </c>
      <c r="K2995" s="1" t="n">
        <f aca="false">RANK(E2995,$E$7:$E$4378)+COUNTIF($E$7:E2995,E2995)-1</f>
        <v>3152</v>
      </c>
    </row>
    <row r="2996" customFormat="false" ht="14.25" hidden="false" customHeight="true" outlineLevel="0" collapsed="false">
      <c r="A2996" s="51" t="n">
        <v>16387</v>
      </c>
      <c r="B2996" s="53" t="n">
        <v>40564.4819444444</v>
      </c>
      <c r="C2996" s="57" t="n">
        <f aca="false">INT($C$2)-INT(Table3[[#This Row],[Last Purchase Date]])</f>
        <v>323</v>
      </c>
      <c r="D2996" s="1" t="n">
        <v>1</v>
      </c>
      <c r="E2996" s="1" t="n">
        <v>94.36</v>
      </c>
      <c r="F2996" s="1" t="n">
        <f aca="false">ROUND((1-_xlfn.PERCENTRANK.INC($C$7:$C$4378,C2996))*9,0)</f>
        <v>0</v>
      </c>
      <c r="G2996" s="1" t="n">
        <f aca="false">ROUND(_xlfn.PERCENTRANK.INC($D$7:$D$4378,D2996)*9,0)</f>
        <v>0</v>
      </c>
      <c r="H2996" s="1" t="n">
        <f aca="false">ROUND(_xlfn.PERCENTRANK.INC($E$7:$E$4378,E2996)*9,0)</f>
        <v>0</v>
      </c>
      <c r="I2996" s="1" t="str">
        <f aca="false">CONCATENATE(F2996,G2996,H2996)</f>
        <v>000</v>
      </c>
      <c r="J2996" s="1" t="str">
        <f aca="false">_xlfn.IFS(AND(F2996&gt;=8,G2996&gt;=8,H2996&gt;=8),"CHAMPION",AND(F2996&gt;=6,G2996&gt;=7,H2996&gt;=6),"LOYAL CUSTOMER",AND(F2996&gt;=6,G2996&gt;=5,H2996&gt;=5),"POTENTIAL LOYALIST",AND(F2996&gt;=8,G2996&lt;=2,H2996&gt;=5),"NEW CUSTOMERS",AND(F2996&gt;=6,G2996&lt;=2,H2996&gt;=3),"PROMISING",AND(F2996&gt;=3,G2996&gt;=3,H2996&gt;=3),"NEED ATTENTION",AND(F2996&lt;=4,G2996&gt;=6,H2996&gt;=6),"AT RISK",AND(F2996&lt;=2,G2996&gt;=8,H2996&gt;=8),"CAN'T LOSE THEM",AND(F2996&lt;=2,G2996&lt;=2,H2996&lt;=2),"HIBERNATING",TRUE(),"Other")</f>
        <v>HIBERNATING</v>
      </c>
      <c r="K2996" s="1" t="n">
        <f aca="false">RANK(E2996,$E$7:$E$4378)+COUNTIF($E$7:E2996,E2996)-1</f>
        <v>4175</v>
      </c>
    </row>
    <row r="2997" customFormat="false" ht="14.25" hidden="false" customHeight="true" outlineLevel="0" collapsed="false">
      <c r="A2997" s="51" t="n">
        <v>16389</v>
      </c>
      <c r="B2997" s="53" t="n">
        <v>40833.6118055556</v>
      </c>
      <c r="C2997" s="57" t="n">
        <f aca="false">INT($C$2)-INT(Table3[[#This Row],[Last Purchase Date]])</f>
        <v>54</v>
      </c>
      <c r="D2997" s="1" t="n">
        <v>5</v>
      </c>
      <c r="E2997" s="1" t="n">
        <v>1362.27</v>
      </c>
      <c r="F2997" s="1" t="n">
        <f aca="false">ROUND((1-_xlfn.PERCENTRANK.INC($C$7:$C$4378,C2997))*9,0)</f>
        <v>4</v>
      </c>
      <c r="G2997" s="1" t="n">
        <f aca="false">ROUND(_xlfn.PERCENTRANK.INC($D$7:$D$4378,D2997)*9,0)</f>
        <v>6</v>
      </c>
      <c r="H2997" s="1" t="n">
        <f aca="false">ROUND(_xlfn.PERCENTRANK.INC($E$7:$E$4378,E2997)*9,0)</f>
        <v>6</v>
      </c>
      <c r="I2997" s="1" t="str">
        <f aca="false">CONCATENATE(F2997,G2997,H2997)</f>
        <v>466</v>
      </c>
      <c r="J2997" s="1" t="str">
        <f aca="false">_xlfn.IFS(AND(F2997&gt;=8,G2997&gt;=8,H2997&gt;=8),"CHAMPION",AND(F2997&gt;=6,G2997&gt;=7,H2997&gt;=6),"LOYAL CUSTOMER",AND(F2997&gt;=6,G2997&gt;=5,H2997&gt;=5),"POTENTIAL LOYALIST",AND(F2997&gt;=8,G2997&lt;=2,H2997&gt;=5),"NEW CUSTOMERS",AND(F2997&gt;=6,G2997&lt;=2,H2997&gt;=3),"PROMISING",AND(F2997&gt;=3,G2997&gt;=3,H2997&gt;=3),"NEED ATTENTION",AND(F2997&lt;=4,G2997&gt;=6,H2997&gt;=6),"AT RISK",AND(F2997&lt;=2,G2997&gt;=8,H2997&gt;=8),"CAN'T LOSE THEM",AND(F2997&lt;=2,G2997&lt;=2,H2997&lt;=2),"HIBERNATING",TRUE(),"Other")</f>
        <v>NEED ATTENTION</v>
      </c>
      <c r="K2997" s="1" t="n">
        <f aca="false">RANK(E2997,$E$7:$E$4378)+COUNTIF($E$7:E2997,E2997)-1</f>
        <v>1265</v>
      </c>
    </row>
    <row r="2998" customFormat="false" ht="14.25" hidden="false" customHeight="true" outlineLevel="0" collapsed="false">
      <c r="A2998" s="51" t="n">
        <v>16392</v>
      </c>
      <c r="B2998" s="53" t="n">
        <v>40617.5076388889</v>
      </c>
      <c r="C2998" s="57" t="n">
        <f aca="false">INT($C$2)-INT(Table3[[#This Row],[Last Purchase Date]])</f>
        <v>270</v>
      </c>
      <c r="D2998" s="1" t="n">
        <v>1</v>
      </c>
      <c r="E2998" s="1" t="n">
        <v>221.19</v>
      </c>
      <c r="F2998" s="1" t="n">
        <f aca="false">ROUND((1-_xlfn.PERCENTRANK.INC($C$7:$C$4378,C2998))*9,0)</f>
        <v>1</v>
      </c>
      <c r="G2998" s="1" t="n">
        <f aca="false">ROUND(_xlfn.PERCENTRANK.INC($D$7:$D$4378,D2998)*9,0)</f>
        <v>0</v>
      </c>
      <c r="H2998" s="1" t="n">
        <f aca="false">ROUND(_xlfn.PERCENTRANK.INC($E$7:$E$4378,E2998)*9,0)</f>
        <v>2</v>
      </c>
      <c r="I2998" s="1" t="str">
        <f aca="false">CONCATENATE(F2998,G2998,H2998)</f>
        <v>102</v>
      </c>
      <c r="J2998" s="1" t="str">
        <f aca="false">_xlfn.IFS(AND(F2998&gt;=8,G2998&gt;=8,H2998&gt;=8),"CHAMPION",AND(F2998&gt;=6,G2998&gt;=7,H2998&gt;=6),"LOYAL CUSTOMER",AND(F2998&gt;=6,G2998&gt;=5,H2998&gt;=5),"POTENTIAL LOYALIST",AND(F2998&gt;=8,G2998&lt;=2,H2998&gt;=5),"NEW CUSTOMERS",AND(F2998&gt;=6,G2998&lt;=2,H2998&gt;=3),"PROMISING",AND(F2998&gt;=3,G2998&gt;=3,H2998&gt;=3),"NEED ATTENTION",AND(F2998&lt;=4,G2998&gt;=6,H2998&gt;=6),"AT RISK",AND(F2998&lt;=2,G2998&gt;=8,H2998&gt;=8),"CAN'T LOSE THEM",AND(F2998&lt;=2,G2998&lt;=2,H2998&lt;=2),"HIBERNATING",TRUE(),"Other")</f>
        <v>HIBERNATING</v>
      </c>
      <c r="K2998" s="1" t="n">
        <f aca="false">RANK(E2998,$E$7:$E$4378)+COUNTIF($E$7:E2998,E2998)-1</f>
        <v>3554</v>
      </c>
    </row>
    <row r="2999" customFormat="false" ht="14.25" hidden="false" customHeight="true" outlineLevel="0" collapsed="false">
      <c r="A2999" s="51" t="n">
        <v>16393</v>
      </c>
      <c r="B2999" s="53" t="n">
        <v>40884.5354166667</v>
      </c>
      <c r="C2999" s="57" t="n">
        <f aca="false">INT($C$2)-INT(Table3[[#This Row],[Last Purchase Date]])</f>
        <v>3</v>
      </c>
      <c r="D2999" s="1" t="n">
        <v>20</v>
      </c>
      <c r="E2999" s="1" t="n">
        <v>2941.05</v>
      </c>
      <c r="F2999" s="1" t="n">
        <f aca="false">ROUND((1-_xlfn.PERCENTRANK.INC($C$7:$C$4378,C2999))*9,0)</f>
        <v>9</v>
      </c>
      <c r="G2999" s="1" t="n">
        <f aca="false">ROUND(_xlfn.PERCENTRANK.INC($D$7:$D$4378,D2999)*9,0)</f>
        <v>9</v>
      </c>
      <c r="H2999" s="1" t="n">
        <f aca="false">ROUND(_xlfn.PERCENTRANK.INC($E$7:$E$4378,E2999)*9,0)</f>
        <v>8</v>
      </c>
      <c r="I2999" s="1" t="str">
        <f aca="false">CONCATENATE(F2999,G2999,H2999)</f>
        <v>998</v>
      </c>
      <c r="J2999" s="1" t="str">
        <f aca="false">_xlfn.IFS(AND(F2999&gt;=8,G2999&gt;=8,H2999&gt;=8),"CHAMPION",AND(F2999&gt;=6,G2999&gt;=7,H2999&gt;=6),"LOYAL CUSTOMER",AND(F2999&gt;=6,G2999&gt;=5,H2999&gt;=5),"POTENTIAL LOYALIST",AND(F2999&gt;=8,G2999&lt;=2,H2999&gt;=5),"NEW CUSTOMERS",AND(F2999&gt;=6,G2999&lt;=2,H2999&gt;=3),"PROMISING",AND(F2999&gt;=3,G2999&gt;=3,H2999&gt;=3),"NEED ATTENTION",AND(F2999&lt;=4,G2999&gt;=6,H2999&gt;=6),"AT RISK",AND(F2999&lt;=2,G2999&gt;=8,H2999&gt;=8),"CAN'T LOSE THEM",AND(F2999&lt;=2,G2999&lt;=2,H2999&lt;=2),"HIBERNATING",TRUE(),"Other")</f>
        <v>CHAMPION</v>
      </c>
      <c r="K2999" s="1" t="n">
        <f aca="false">RANK(E2999,$E$7:$E$4378)+COUNTIF($E$7:E2999,E2999)-1</f>
        <v>553</v>
      </c>
    </row>
    <row r="3000" customFormat="false" ht="14.25" hidden="false" customHeight="true" outlineLevel="0" collapsed="false">
      <c r="A3000" s="51" t="n">
        <v>16394</v>
      </c>
      <c r="B3000" s="53" t="n">
        <v>40836.8027777778</v>
      </c>
      <c r="C3000" s="57" t="n">
        <f aca="false">INT($C$2)-INT(Table3[[#This Row],[Last Purchase Date]])</f>
        <v>51</v>
      </c>
      <c r="D3000" s="1" t="n">
        <v>9</v>
      </c>
      <c r="E3000" s="1" t="n">
        <v>1412.06</v>
      </c>
      <c r="F3000" s="1" t="n">
        <f aca="false">ROUND((1-_xlfn.PERCENTRANK.INC($C$7:$C$4378,C3000))*9,0)</f>
        <v>5</v>
      </c>
      <c r="G3000" s="1" t="n">
        <f aca="false">ROUND(_xlfn.PERCENTRANK.INC($D$7:$D$4378,D3000)*9,0)</f>
        <v>8</v>
      </c>
      <c r="H3000" s="1" t="n">
        <f aca="false">ROUND(_xlfn.PERCENTRANK.INC($E$7:$E$4378,E3000)*9,0)</f>
        <v>6</v>
      </c>
      <c r="I3000" s="1" t="str">
        <f aca="false">CONCATENATE(F3000,G3000,H3000)</f>
        <v>586</v>
      </c>
      <c r="J3000" s="1" t="str">
        <f aca="false">_xlfn.IFS(AND(F3000&gt;=8,G3000&gt;=8,H3000&gt;=8),"CHAMPION",AND(F3000&gt;=6,G3000&gt;=7,H3000&gt;=6),"LOYAL CUSTOMER",AND(F3000&gt;=6,G3000&gt;=5,H3000&gt;=5),"POTENTIAL LOYALIST",AND(F3000&gt;=8,G3000&lt;=2,H3000&gt;=5),"NEW CUSTOMERS",AND(F3000&gt;=6,G3000&lt;=2,H3000&gt;=3),"PROMISING",AND(F3000&gt;=3,G3000&gt;=3,H3000&gt;=3),"NEED ATTENTION",AND(F3000&lt;=4,G3000&gt;=6,H3000&gt;=6),"AT RISK",AND(F3000&lt;=2,G3000&gt;=8,H3000&gt;=8),"CAN'T LOSE THEM",AND(F3000&lt;=2,G3000&lt;=2,H3000&lt;=2),"HIBERNATING",TRUE(),"Other")</f>
        <v>NEED ATTENTION</v>
      </c>
      <c r="K3000" s="1" t="n">
        <f aca="false">RANK(E3000,$E$7:$E$4378)+COUNTIF($E$7:E3000,E3000)-1</f>
        <v>1230</v>
      </c>
    </row>
    <row r="3001" customFormat="false" ht="14.25" hidden="false" customHeight="true" outlineLevel="0" collapsed="false">
      <c r="A3001" s="51" t="n">
        <v>16395</v>
      </c>
      <c r="B3001" s="53" t="n">
        <v>40826.5347222222</v>
      </c>
      <c r="C3001" s="57" t="n">
        <f aca="false">INT($C$2)-INT(Table3[[#This Row],[Last Purchase Date]])</f>
        <v>61</v>
      </c>
      <c r="D3001" s="1" t="n">
        <v>5</v>
      </c>
      <c r="E3001" s="1" t="n">
        <v>1486.9</v>
      </c>
      <c r="F3001" s="1" t="n">
        <f aca="false">ROUND((1-_xlfn.PERCENTRANK.INC($C$7:$C$4378,C3001))*9,0)</f>
        <v>4</v>
      </c>
      <c r="G3001" s="1" t="n">
        <f aca="false">ROUND(_xlfn.PERCENTRANK.INC($D$7:$D$4378,D3001)*9,0)</f>
        <v>6</v>
      </c>
      <c r="H3001" s="1" t="n">
        <f aca="false">ROUND(_xlfn.PERCENTRANK.INC($E$7:$E$4378,E3001)*9,0)</f>
        <v>7</v>
      </c>
      <c r="I3001" s="1" t="str">
        <f aca="false">CONCATENATE(F3001,G3001,H3001)</f>
        <v>467</v>
      </c>
      <c r="J3001" s="1" t="str">
        <f aca="false">_xlfn.IFS(AND(F3001&gt;=8,G3001&gt;=8,H3001&gt;=8),"CHAMPION",AND(F3001&gt;=6,G3001&gt;=7,H3001&gt;=6),"LOYAL CUSTOMER",AND(F3001&gt;=6,G3001&gt;=5,H3001&gt;=5),"POTENTIAL LOYALIST",AND(F3001&gt;=8,G3001&lt;=2,H3001&gt;=5),"NEW CUSTOMERS",AND(F3001&gt;=6,G3001&lt;=2,H3001&gt;=3),"PROMISING",AND(F3001&gt;=3,G3001&gt;=3,H3001&gt;=3),"NEED ATTENTION",AND(F3001&lt;=4,G3001&gt;=6,H3001&gt;=6),"AT RISK",AND(F3001&lt;=2,G3001&gt;=8,H3001&gt;=8),"CAN'T LOSE THEM",AND(F3001&lt;=2,G3001&lt;=2,H3001&lt;=2),"HIBERNATING",TRUE(),"Other")</f>
        <v>NEED ATTENTION</v>
      </c>
      <c r="K3001" s="1" t="n">
        <f aca="false">RANK(E3001,$E$7:$E$4378)+COUNTIF($E$7:E3001,E3001)-1</f>
        <v>1175</v>
      </c>
    </row>
    <row r="3002" customFormat="false" ht="14.25" hidden="false" customHeight="true" outlineLevel="0" collapsed="false">
      <c r="A3002" s="51" t="n">
        <v>16398</v>
      </c>
      <c r="B3002" s="53" t="n">
        <v>40742.4263888889</v>
      </c>
      <c r="C3002" s="57" t="n">
        <f aca="false">INT($C$2)-INT(Table3[[#This Row],[Last Purchase Date]])</f>
        <v>145</v>
      </c>
      <c r="D3002" s="1" t="n">
        <v>4</v>
      </c>
      <c r="E3002" s="1" t="n">
        <v>1631.15</v>
      </c>
      <c r="F3002" s="1" t="n">
        <f aca="false">ROUND((1-_xlfn.PERCENTRANK.INC($C$7:$C$4378,C3002))*9,0)</f>
        <v>2</v>
      </c>
      <c r="G3002" s="1" t="n">
        <f aca="false">ROUND(_xlfn.PERCENTRANK.INC($D$7:$D$4378,D3002)*9,0)</f>
        <v>5</v>
      </c>
      <c r="H3002" s="1" t="n">
        <f aca="false">ROUND(_xlfn.PERCENTRANK.INC($E$7:$E$4378,E3002)*9,0)</f>
        <v>7</v>
      </c>
      <c r="I3002" s="1" t="str">
        <f aca="false">CONCATENATE(F3002,G3002,H3002)</f>
        <v>257</v>
      </c>
      <c r="J3002" s="1" t="str">
        <f aca="false">_xlfn.IFS(AND(F3002&gt;=8,G3002&gt;=8,H3002&gt;=8),"CHAMPION",AND(F3002&gt;=6,G3002&gt;=7,H3002&gt;=6),"LOYAL CUSTOMER",AND(F3002&gt;=6,G3002&gt;=5,H3002&gt;=5),"POTENTIAL LOYALIST",AND(F3002&gt;=8,G3002&lt;=2,H3002&gt;=5),"NEW CUSTOMERS",AND(F3002&gt;=6,G3002&lt;=2,H3002&gt;=3),"PROMISING",AND(F3002&gt;=3,G3002&gt;=3,H3002&gt;=3),"NEED ATTENTION",AND(F3002&lt;=4,G3002&gt;=6,H3002&gt;=6),"AT RISK",AND(F3002&lt;=2,G3002&gt;=8,H3002&gt;=8),"CAN'T LOSE THEM",AND(F3002&lt;=2,G3002&lt;=2,H3002&lt;=2),"HIBERNATING",TRUE(),"Other")</f>
        <v>Other</v>
      </c>
      <c r="K3002" s="1" t="n">
        <f aca="false">RANK(E3002,$E$7:$E$4378)+COUNTIF($E$7:E3002,E3002)-1</f>
        <v>1078</v>
      </c>
    </row>
    <row r="3003" customFormat="false" ht="14.25" hidden="false" customHeight="true" outlineLevel="0" collapsed="false">
      <c r="A3003" s="51" t="n">
        <v>16399</v>
      </c>
      <c r="B3003" s="53" t="n">
        <v>40867.675</v>
      </c>
      <c r="C3003" s="57" t="n">
        <f aca="false">INT($C$2)-INT(Table3[[#This Row],[Last Purchase Date]])</f>
        <v>20</v>
      </c>
      <c r="D3003" s="1" t="n">
        <v>2</v>
      </c>
      <c r="E3003" s="1" t="n">
        <v>408.57</v>
      </c>
      <c r="F3003" s="1" t="n">
        <f aca="false">ROUND((1-_xlfn.PERCENTRANK.INC($C$7:$C$4378,C3003))*9,0)</f>
        <v>6</v>
      </c>
      <c r="G3003" s="1" t="n">
        <f aca="false">ROUND(_xlfn.PERCENTRANK.INC($D$7:$D$4378,D3003)*9,0)</f>
        <v>3</v>
      </c>
      <c r="H3003" s="1" t="n">
        <f aca="false">ROUND(_xlfn.PERCENTRANK.INC($E$7:$E$4378,E3003)*9,0)</f>
        <v>3</v>
      </c>
      <c r="I3003" s="1" t="str">
        <f aca="false">CONCATENATE(F3003,G3003,H3003)</f>
        <v>633</v>
      </c>
      <c r="J3003" s="1" t="str">
        <f aca="false">_xlfn.IFS(AND(F3003&gt;=8,G3003&gt;=8,H3003&gt;=8),"CHAMPION",AND(F3003&gt;=6,G3003&gt;=7,H3003&gt;=6),"LOYAL CUSTOMER",AND(F3003&gt;=6,G3003&gt;=5,H3003&gt;=5),"POTENTIAL LOYALIST",AND(F3003&gt;=8,G3003&lt;=2,H3003&gt;=5),"NEW CUSTOMERS",AND(F3003&gt;=6,G3003&lt;=2,H3003&gt;=3),"PROMISING",AND(F3003&gt;=3,G3003&gt;=3,H3003&gt;=3),"NEED ATTENTION",AND(F3003&lt;=4,G3003&gt;=6,H3003&gt;=6),"AT RISK",AND(F3003&lt;=2,G3003&gt;=8,H3003&gt;=8),"CAN'T LOSE THEM",AND(F3003&lt;=2,G3003&lt;=2,H3003&lt;=2),"HIBERNATING",TRUE(),"Other")</f>
        <v>NEED ATTENTION</v>
      </c>
      <c r="K3003" s="1" t="n">
        <f aca="false">RANK(E3003,$E$7:$E$4378)+COUNTIF($E$7:E3003,E3003)-1</f>
        <v>2798</v>
      </c>
    </row>
    <row r="3004" customFormat="false" ht="14.25" hidden="false" customHeight="true" outlineLevel="0" collapsed="false">
      <c r="A3004" s="51" t="n">
        <v>16400</v>
      </c>
      <c r="B3004" s="53" t="n">
        <v>40792.51875</v>
      </c>
      <c r="C3004" s="57" t="n">
        <f aca="false">INT($C$2)-INT(Table3[[#This Row],[Last Purchase Date]])</f>
        <v>95</v>
      </c>
      <c r="D3004" s="1" t="n">
        <v>1</v>
      </c>
      <c r="E3004" s="1" t="n">
        <v>303.93</v>
      </c>
      <c r="F3004" s="1" t="n">
        <f aca="false">ROUND((1-_xlfn.PERCENTRANK.INC($C$7:$C$4378,C3004))*9,0)</f>
        <v>3</v>
      </c>
      <c r="G3004" s="1" t="n">
        <f aca="false">ROUND(_xlfn.PERCENTRANK.INC($D$7:$D$4378,D3004)*9,0)</f>
        <v>0</v>
      </c>
      <c r="H3004" s="1" t="n">
        <f aca="false">ROUND(_xlfn.PERCENTRANK.INC($E$7:$E$4378,E3004)*9,0)</f>
        <v>2</v>
      </c>
      <c r="I3004" s="1" t="str">
        <f aca="false">CONCATENATE(F3004,G3004,H3004)</f>
        <v>302</v>
      </c>
      <c r="J3004" s="1" t="str">
        <f aca="false">_xlfn.IFS(AND(F3004&gt;=8,G3004&gt;=8,H3004&gt;=8),"CHAMPION",AND(F3004&gt;=6,G3004&gt;=7,H3004&gt;=6),"LOYAL CUSTOMER",AND(F3004&gt;=6,G3004&gt;=5,H3004&gt;=5),"POTENTIAL LOYALIST",AND(F3004&gt;=8,G3004&lt;=2,H3004&gt;=5),"NEW CUSTOMERS",AND(F3004&gt;=6,G3004&lt;=2,H3004&gt;=3),"PROMISING",AND(F3004&gt;=3,G3004&gt;=3,H3004&gt;=3),"NEED ATTENTION",AND(F3004&lt;=4,G3004&gt;=6,H3004&gt;=6),"AT RISK",AND(F3004&lt;=2,G3004&gt;=8,H3004&gt;=8),"CAN'T LOSE THEM",AND(F3004&lt;=2,G3004&lt;=2,H3004&lt;=2),"HIBERNATING",TRUE(),"Other")</f>
        <v>Other</v>
      </c>
      <c r="K3004" s="1" t="n">
        <f aca="false">RANK(E3004,$E$7:$E$4378)+COUNTIF($E$7:E3004,E3004)-1</f>
        <v>3233</v>
      </c>
    </row>
    <row r="3005" customFormat="false" ht="14.25" hidden="false" customHeight="true" outlineLevel="0" collapsed="false">
      <c r="A3005" s="51" t="n">
        <v>16401</v>
      </c>
      <c r="B3005" s="53" t="n">
        <v>40885.7604166667</v>
      </c>
      <c r="C3005" s="57" t="n">
        <f aca="false">INT($C$2)-INT(Table3[[#This Row],[Last Purchase Date]])</f>
        <v>2</v>
      </c>
      <c r="D3005" s="1" t="n">
        <v>20</v>
      </c>
      <c r="E3005" s="1" t="n">
        <v>4061.24</v>
      </c>
      <c r="F3005" s="1" t="n">
        <f aca="false">ROUND((1-_xlfn.PERCENTRANK.INC($C$7:$C$4378,C3005))*9,0)</f>
        <v>9</v>
      </c>
      <c r="G3005" s="1" t="n">
        <f aca="false">ROUND(_xlfn.PERCENTRANK.INC($D$7:$D$4378,D3005)*9,0)</f>
        <v>9</v>
      </c>
      <c r="H3005" s="1" t="n">
        <f aca="false">ROUND(_xlfn.PERCENTRANK.INC($E$7:$E$4378,E3005)*9,0)</f>
        <v>8</v>
      </c>
      <c r="I3005" s="1" t="str">
        <f aca="false">CONCATENATE(F3005,G3005,H3005)</f>
        <v>998</v>
      </c>
      <c r="J3005" s="1" t="str">
        <f aca="false">_xlfn.IFS(AND(F3005&gt;=8,G3005&gt;=8,H3005&gt;=8),"CHAMPION",AND(F3005&gt;=6,G3005&gt;=7,H3005&gt;=6),"LOYAL CUSTOMER",AND(F3005&gt;=6,G3005&gt;=5,H3005&gt;=5),"POTENTIAL LOYALIST",AND(F3005&gt;=8,G3005&lt;=2,H3005&gt;=5),"NEW CUSTOMERS",AND(F3005&gt;=6,G3005&lt;=2,H3005&gt;=3),"PROMISING",AND(F3005&gt;=3,G3005&gt;=3,H3005&gt;=3),"NEED ATTENTION",AND(F3005&lt;=4,G3005&gt;=6,H3005&gt;=6),"AT RISK",AND(F3005&lt;=2,G3005&gt;=8,H3005&gt;=8),"CAN'T LOSE THEM",AND(F3005&lt;=2,G3005&lt;=2,H3005&lt;=2),"HIBERNATING",TRUE(),"Other")</f>
        <v>CHAMPION</v>
      </c>
      <c r="K3005" s="1" t="n">
        <f aca="false">RANK(E3005,$E$7:$E$4378)+COUNTIF($E$7:E3005,E3005)-1</f>
        <v>346</v>
      </c>
    </row>
    <row r="3006" customFormat="false" ht="14.25" hidden="false" customHeight="true" outlineLevel="0" collapsed="false">
      <c r="A3006" s="51" t="n">
        <v>16402</v>
      </c>
      <c r="B3006" s="53" t="n">
        <v>40622.5173611111</v>
      </c>
      <c r="C3006" s="57" t="n">
        <f aca="false">INT($C$2)-INT(Table3[[#This Row],[Last Purchase Date]])</f>
        <v>265</v>
      </c>
      <c r="D3006" s="1" t="n">
        <v>2</v>
      </c>
      <c r="E3006" s="1" t="n">
        <v>299.6</v>
      </c>
      <c r="F3006" s="1" t="n">
        <f aca="false">ROUND((1-_xlfn.PERCENTRANK.INC($C$7:$C$4378,C3006))*9,0)</f>
        <v>1</v>
      </c>
      <c r="G3006" s="1" t="n">
        <f aca="false">ROUND(_xlfn.PERCENTRANK.INC($D$7:$D$4378,D3006)*9,0)</f>
        <v>3</v>
      </c>
      <c r="H3006" s="1" t="n">
        <f aca="false">ROUND(_xlfn.PERCENTRANK.INC($E$7:$E$4378,E3006)*9,0)</f>
        <v>2</v>
      </c>
      <c r="I3006" s="1" t="str">
        <f aca="false">CONCATENATE(F3006,G3006,H3006)</f>
        <v>132</v>
      </c>
      <c r="J3006" s="1" t="str">
        <f aca="false">_xlfn.IFS(AND(F3006&gt;=8,G3006&gt;=8,H3006&gt;=8),"CHAMPION",AND(F3006&gt;=6,G3006&gt;=7,H3006&gt;=6),"LOYAL CUSTOMER",AND(F3006&gt;=6,G3006&gt;=5,H3006&gt;=5),"POTENTIAL LOYALIST",AND(F3006&gt;=8,G3006&lt;=2,H3006&gt;=5),"NEW CUSTOMERS",AND(F3006&gt;=6,G3006&lt;=2,H3006&gt;=3),"PROMISING",AND(F3006&gt;=3,G3006&gt;=3,H3006&gt;=3),"NEED ATTENTION",AND(F3006&lt;=4,G3006&gt;=6,H3006&gt;=6),"AT RISK",AND(F3006&lt;=2,G3006&gt;=8,H3006&gt;=8),"CAN'T LOSE THEM",AND(F3006&lt;=2,G3006&lt;=2,H3006&lt;=2),"HIBERNATING",TRUE(),"Other")</f>
        <v>Other</v>
      </c>
      <c r="K3006" s="1" t="n">
        <f aca="false">RANK(E3006,$E$7:$E$4378)+COUNTIF($E$7:E3006,E3006)-1</f>
        <v>3255</v>
      </c>
    </row>
    <row r="3007" customFormat="false" ht="14.25" hidden="false" customHeight="true" outlineLevel="0" collapsed="false">
      <c r="A3007" s="51" t="n">
        <v>16403</v>
      </c>
      <c r="B3007" s="53" t="n">
        <v>40584.6944444445</v>
      </c>
      <c r="C3007" s="57" t="n">
        <f aca="false">INT($C$2)-INT(Table3[[#This Row],[Last Purchase Date]])</f>
        <v>303</v>
      </c>
      <c r="D3007" s="1" t="n">
        <v>2</v>
      </c>
      <c r="E3007" s="1" t="n">
        <v>161.05</v>
      </c>
      <c r="F3007" s="1" t="n">
        <f aca="false">ROUND((1-_xlfn.PERCENTRANK.INC($C$7:$C$4378,C3007))*9,0)</f>
        <v>1</v>
      </c>
      <c r="G3007" s="1" t="n">
        <f aca="false">ROUND(_xlfn.PERCENTRANK.INC($D$7:$D$4378,D3007)*9,0)</f>
        <v>3</v>
      </c>
      <c r="H3007" s="1" t="n">
        <f aca="false">ROUND(_xlfn.PERCENTRANK.INC($E$7:$E$4378,E3007)*9,0)</f>
        <v>1</v>
      </c>
      <c r="I3007" s="1" t="str">
        <f aca="false">CONCATENATE(F3007,G3007,H3007)</f>
        <v>131</v>
      </c>
      <c r="J3007" s="1" t="str">
        <f aca="false">_xlfn.IFS(AND(F3007&gt;=8,G3007&gt;=8,H3007&gt;=8),"CHAMPION",AND(F3007&gt;=6,G3007&gt;=7,H3007&gt;=6),"LOYAL CUSTOMER",AND(F3007&gt;=6,G3007&gt;=5,H3007&gt;=5),"POTENTIAL LOYALIST",AND(F3007&gt;=8,G3007&lt;=2,H3007&gt;=5),"NEW CUSTOMERS",AND(F3007&gt;=6,G3007&lt;=2,H3007&gt;=3),"PROMISING",AND(F3007&gt;=3,G3007&gt;=3,H3007&gt;=3),"NEED ATTENTION",AND(F3007&lt;=4,G3007&gt;=6,H3007&gt;=6),"AT RISK",AND(F3007&lt;=2,G3007&gt;=8,H3007&gt;=8),"CAN'T LOSE THEM",AND(F3007&lt;=2,G3007&lt;=2,H3007&lt;=2),"HIBERNATING",TRUE(),"Other")</f>
        <v>Other</v>
      </c>
      <c r="K3007" s="1" t="n">
        <f aca="false">RANK(E3007,$E$7:$E$4378)+COUNTIF($E$7:E3007,E3007)-1</f>
        <v>3851</v>
      </c>
    </row>
    <row r="3008" customFormat="false" ht="14.25" hidden="false" customHeight="true" outlineLevel="0" collapsed="false">
      <c r="A3008" s="51" t="n">
        <v>16404</v>
      </c>
      <c r="B3008" s="53" t="n">
        <v>40816.6215277778</v>
      </c>
      <c r="C3008" s="57" t="n">
        <f aca="false">INT($C$2)-INT(Table3[[#This Row],[Last Purchase Date]])</f>
        <v>71</v>
      </c>
      <c r="D3008" s="1" t="n">
        <v>1</v>
      </c>
      <c r="E3008" s="1" t="n">
        <v>443.05</v>
      </c>
      <c r="F3008" s="1" t="n">
        <f aca="false">ROUND((1-_xlfn.PERCENTRANK.INC($C$7:$C$4378,C3008))*9,0)</f>
        <v>4</v>
      </c>
      <c r="G3008" s="1" t="n">
        <f aca="false">ROUND(_xlfn.PERCENTRANK.INC($D$7:$D$4378,D3008)*9,0)</f>
        <v>0</v>
      </c>
      <c r="H3008" s="1" t="n">
        <f aca="false">ROUND(_xlfn.PERCENTRANK.INC($E$7:$E$4378,E3008)*9,0)</f>
        <v>3</v>
      </c>
      <c r="I3008" s="1" t="str">
        <f aca="false">CONCATENATE(F3008,G3008,H3008)</f>
        <v>403</v>
      </c>
      <c r="J3008" s="1" t="str">
        <f aca="false">_xlfn.IFS(AND(F3008&gt;=8,G3008&gt;=8,H3008&gt;=8),"CHAMPION",AND(F3008&gt;=6,G3008&gt;=7,H3008&gt;=6),"LOYAL CUSTOMER",AND(F3008&gt;=6,G3008&gt;=5,H3008&gt;=5),"POTENTIAL LOYALIST",AND(F3008&gt;=8,G3008&lt;=2,H3008&gt;=5),"NEW CUSTOMERS",AND(F3008&gt;=6,G3008&lt;=2,H3008&gt;=3),"PROMISING",AND(F3008&gt;=3,G3008&gt;=3,H3008&gt;=3),"NEED ATTENTION",AND(F3008&lt;=4,G3008&gt;=6,H3008&gt;=6),"AT RISK",AND(F3008&lt;=2,G3008&gt;=8,H3008&gt;=8),"CAN'T LOSE THEM",AND(F3008&lt;=2,G3008&lt;=2,H3008&lt;=2),"HIBERNATING",TRUE(),"Other")</f>
        <v>Other</v>
      </c>
      <c r="K3008" s="1" t="n">
        <f aca="false">RANK(E3008,$E$7:$E$4378)+COUNTIF($E$7:E3008,E3008)-1</f>
        <v>2687</v>
      </c>
    </row>
    <row r="3009" customFormat="false" ht="14.25" hidden="false" customHeight="true" outlineLevel="0" collapsed="false">
      <c r="A3009" s="51" t="n">
        <v>16405</v>
      </c>
      <c r="B3009" s="53" t="n">
        <v>40584.6416666667</v>
      </c>
      <c r="C3009" s="57" t="n">
        <f aca="false">INT($C$2)-INT(Table3[[#This Row],[Last Purchase Date]])</f>
        <v>303</v>
      </c>
      <c r="D3009" s="1" t="n">
        <v>2</v>
      </c>
      <c r="E3009" s="1" t="n">
        <v>167.25</v>
      </c>
      <c r="F3009" s="1" t="n">
        <f aca="false">ROUND((1-_xlfn.PERCENTRANK.INC($C$7:$C$4378,C3009))*9,0)</f>
        <v>1</v>
      </c>
      <c r="G3009" s="1" t="n">
        <f aca="false">ROUND(_xlfn.PERCENTRANK.INC($D$7:$D$4378,D3009)*9,0)</f>
        <v>3</v>
      </c>
      <c r="H3009" s="1" t="n">
        <f aca="false">ROUND(_xlfn.PERCENTRANK.INC($E$7:$E$4378,E3009)*9,0)</f>
        <v>1</v>
      </c>
      <c r="I3009" s="1" t="str">
        <f aca="false">CONCATENATE(F3009,G3009,H3009)</f>
        <v>131</v>
      </c>
      <c r="J3009" s="1" t="str">
        <f aca="false">_xlfn.IFS(AND(F3009&gt;=8,G3009&gt;=8,H3009&gt;=8),"CHAMPION",AND(F3009&gt;=6,G3009&gt;=7,H3009&gt;=6),"LOYAL CUSTOMER",AND(F3009&gt;=6,G3009&gt;=5,H3009&gt;=5),"POTENTIAL LOYALIST",AND(F3009&gt;=8,G3009&lt;=2,H3009&gt;=5),"NEW CUSTOMERS",AND(F3009&gt;=6,G3009&lt;=2,H3009&gt;=3),"PROMISING",AND(F3009&gt;=3,G3009&gt;=3,H3009&gt;=3),"NEED ATTENTION",AND(F3009&lt;=4,G3009&gt;=6,H3009&gt;=6),"AT RISK",AND(F3009&lt;=2,G3009&gt;=8,H3009&gt;=8),"CAN'T LOSE THEM",AND(F3009&lt;=2,G3009&lt;=2,H3009&lt;=2),"HIBERNATING",TRUE(),"Other")</f>
        <v>Other</v>
      </c>
      <c r="K3009" s="1" t="n">
        <f aca="false">RANK(E3009,$E$7:$E$4378)+COUNTIF($E$7:E3009,E3009)-1</f>
        <v>3823</v>
      </c>
    </row>
    <row r="3010" customFormat="false" ht="14.25" hidden="false" customHeight="true" outlineLevel="0" collapsed="false">
      <c r="A3010" s="51" t="n">
        <v>16406</v>
      </c>
      <c r="B3010" s="53" t="n">
        <v>40868.4979166667</v>
      </c>
      <c r="C3010" s="57" t="n">
        <f aca="false">INT($C$2)-INT(Table3[[#This Row],[Last Purchase Date]])</f>
        <v>19</v>
      </c>
      <c r="D3010" s="1" t="n">
        <v>1</v>
      </c>
      <c r="E3010" s="1" t="n">
        <v>163.07</v>
      </c>
      <c r="F3010" s="1" t="n">
        <f aca="false">ROUND((1-_xlfn.PERCENTRANK.INC($C$7:$C$4378,C3010))*9,0)</f>
        <v>7</v>
      </c>
      <c r="G3010" s="1" t="n">
        <f aca="false">ROUND(_xlfn.PERCENTRANK.INC($D$7:$D$4378,D3010)*9,0)</f>
        <v>0</v>
      </c>
      <c r="H3010" s="1" t="n">
        <f aca="false">ROUND(_xlfn.PERCENTRANK.INC($E$7:$E$4378,E3010)*9,0)</f>
        <v>1</v>
      </c>
      <c r="I3010" s="1" t="str">
        <f aca="false">CONCATENATE(F3010,G3010,H3010)</f>
        <v>701</v>
      </c>
      <c r="J3010" s="1" t="str">
        <f aca="false">_xlfn.IFS(AND(F3010&gt;=8,G3010&gt;=8,H3010&gt;=8),"CHAMPION",AND(F3010&gt;=6,G3010&gt;=7,H3010&gt;=6),"LOYAL CUSTOMER",AND(F3010&gt;=6,G3010&gt;=5,H3010&gt;=5),"POTENTIAL LOYALIST",AND(F3010&gt;=8,G3010&lt;=2,H3010&gt;=5),"NEW CUSTOMERS",AND(F3010&gt;=6,G3010&lt;=2,H3010&gt;=3),"PROMISING",AND(F3010&gt;=3,G3010&gt;=3,H3010&gt;=3),"NEED ATTENTION",AND(F3010&lt;=4,G3010&gt;=6,H3010&gt;=6),"AT RISK",AND(F3010&lt;=2,G3010&gt;=8,H3010&gt;=8),"CAN'T LOSE THEM",AND(F3010&lt;=2,G3010&lt;=2,H3010&lt;=2),"HIBERNATING",TRUE(),"Other")</f>
        <v>Other</v>
      </c>
      <c r="K3010" s="1" t="n">
        <f aca="false">RANK(E3010,$E$7:$E$4378)+COUNTIF($E$7:E3010,E3010)-1</f>
        <v>3841</v>
      </c>
    </row>
    <row r="3011" customFormat="false" ht="14.25" hidden="false" customHeight="true" outlineLevel="0" collapsed="false">
      <c r="A3011" s="51" t="n">
        <v>16407</v>
      </c>
      <c r="B3011" s="53" t="n">
        <v>40874.4618055556</v>
      </c>
      <c r="C3011" s="57" t="n">
        <f aca="false">INT($C$2)-INT(Table3[[#This Row],[Last Purchase Date]])</f>
        <v>13</v>
      </c>
      <c r="D3011" s="1" t="n">
        <v>10</v>
      </c>
      <c r="E3011" s="1" t="n">
        <v>2126.93</v>
      </c>
      <c r="F3011" s="1" t="n">
        <f aca="false">ROUND((1-_xlfn.PERCENTRANK.INC($C$7:$C$4378,C3011))*9,0)</f>
        <v>7</v>
      </c>
      <c r="G3011" s="1" t="n">
        <f aca="false">ROUND(_xlfn.PERCENTRANK.INC($D$7:$D$4378,D3011)*9,0)</f>
        <v>8</v>
      </c>
      <c r="H3011" s="1" t="n">
        <f aca="false">ROUND(_xlfn.PERCENTRANK.INC($E$7:$E$4378,E3011)*9,0)</f>
        <v>7</v>
      </c>
      <c r="I3011" s="1" t="str">
        <f aca="false">CONCATENATE(F3011,G3011,H3011)</f>
        <v>787</v>
      </c>
      <c r="J3011" s="1" t="str">
        <f aca="false">_xlfn.IFS(AND(F3011&gt;=8,G3011&gt;=8,H3011&gt;=8),"CHAMPION",AND(F3011&gt;=6,G3011&gt;=7,H3011&gt;=6),"LOYAL CUSTOMER",AND(F3011&gt;=6,G3011&gt;=5,H3011&gt;=5),"POTENTIAL LOYALIST",AND(F3011&gt;=8,G3011&lt;=2,H3011&gt;=5),"NEW CUSTOMERS",AND(F3011&gt;=6,G3011&lt;=2,H3011&gt;=3),"PROMISING",AND(F3011&gt;=3,G3011&gt;=3,H3011&gt;=3),"NEED ATTENTION",AND(F3011&lt;=4,G3011&gt;=6,H3011&gt;=6),"AT RISK",AND(F3011&lt;=2,G3011&gt;=8,H3011&gt;=8),"CAN'T LOSE THEM",AND(F3011&lt;=2,G3011&lt;=2,H3011&lt;=2),"HIBERNATING",TRUE(),"Other")</f>
        <v>LOYAL CUSTOMER</v>
      </c>
      <c r="K3011" s="1" t="n">
        <f aca="false">RANK(E3011,$E$7:$E$4378)+COUNTIF($E$7:E3011,E3011)-1</f>
        <v>814</v>
      </c>
    </row>
    <row r="3012" customFormat="false" ht="14.25" hidden="false" customHeight="true" outlineLevel="0" collapsed="false">
      <c r="A3012" s="51" t="n">
        <v>16409</v>
      </c>
      <c r="B3012" s="53" t="n">
        <v>40850.6979166667</v>
      </c>
      <c r="C3012" s="57" t="n">
        <f aca="false">INT($C$2)-INT(Table3[[#This Row],[Last Purchase Date]])</f>
        <v>37</v>
      </c>
      <c r="D3012" s="1" t="n">
        <v>5</v>
      </c>
      <c r="E3012" s="1" t="n">
        <v>2028.88</v>
      </c>
      <c r="F3012" s="1" t="n">
        <f aca="false">ROUND((1-_xlfn.PERCENTRANK.INC($C$7:$C$4378,C3012))*9,0)</f>
        <v>5</v>
      </c>
      <c r="G3012" s="1" t="n">
        <f aca="false">ROUND(_xlfn.PERCENTRANK.INC($D$7:$D$4378,D3012)*9,0)</f>
        <v>6</v>
      </c>
      <c r="H3012" s="1" t="n">
        <f aca="false">ROUND(_xlfn.PERCENTRANK.INC($E$7:$E$4378,E3012)*9,0)</f>
        <v>7</v>
      </c>
      <c r="I3012" s="1" t="str">
        <f aca="false">CONCATENATE(F3012,G3012,H3012)</f>
        <v>567</v>
      </c>
      <c r="J3012" s="1" t="str">
        <f aca="false">_xlfn.IFS(AND(F3012&gt;=8,G3012&gt;=8,H3012&gt;=8),"CHAMPION",AND(F3012&gt;=6,G3012&gt;=7,H3012&gt;=6),"LOYAL CUSTOMER",AND(F3012&gt;=6,G3012&gt;=5,H3012&gt;=5),"POTENTIAL LOYALIST",AND(F3012&gt;=8,G3012&lt;=2,H3012&gt;=5),"NEW CUSTOMERS",AND(F3012&gt;=6,G3012&lt;=2,H3012&gt;=3),"PROMISING",AND(F3012&gt;=3,G3012&gt;=3,H3012&gt;=3),"NEED ATTENTION",AND(F3012&lt;=4,G3012&gt;=6,H3012&gt;=6),"AT RISK",AND(F3012&lt;=2,G3012&gt;=8,H3012&gt;=8),"CAN'T LOSE THEM",AND(F3012&lt;=2,G3012&lt;=2,H3012&lt;=2),"HIBERNATING",TRUE(),"Other")</f>
        <v>NEED ATTENTION</v>
      </c>
      <c r="K3012" s="1" t="n">
        <f aca="false">RANK(E3012,$E$7:$E$4378)+COUNTIF($E$7:E3012,E3012)-1</f>
        <v>861</v>
      </c>
    </row>
    <row r="3013" customFormat="false" ht="14.25" hidden="false" customHeight="true" outlineLevel="0" collapsed="false">
      <c r="A3013" s="51" t="n">
        <v>16411</v>
      </c>
      <c r="B3013" s="53" t="n">
        <v>40867.5576388889</v>
      </c>
      <c r="C3013" s="57" t="n">
        <f aca="false">INT($C$2)-INT(Table3[[#This Row],[Last Purchase Date]])</f>
        <v>20</v>
      </c>
      <c r="D3013" s="1" t="n">
        <v>2</v>
      </c>
      <c r="E3013" s="1" t="n">
        <v>214.65</v>
      </c>
      <c r="F3013" s="1" t="n">
        <f aca="false">ROUND((1-_xlfn.PERCENTRANK.INC($C$7:$C$4378,C3013))*9,0)</f>
        <v>6</v>
      </c>
      <c r="G3013" s="1" t="n">
        <f aca="false">ROUND(_xlfn.PERCENTRANK.INC($D$7:$D$4378,D3013)*9,0)</f>
        <v>3</v>
      </c>
      <c r="H3013" s="1" t="n">
        <f aca="false">ROUND(_xlfn.PERCENTRANK.INC($E$7:$E$4378,E3013)*9,0)</f>
        <v>2</v>
      </c>
      <c r="I3013" s="1" t="str">
        <f aca="false">CONCATENATE(F3013,G3013,H3013)</f>
        <v>632</v>
      </c>
      <c r="J3013" s="1" t="str">
        <f aca="false">_xlfn.IFS(AND(F3013&gt;=8,G3013&gt;=8,H3013&gt;=8),"CHAMPION",AND(F3013&gt;=6,G3013&gt;=7,H3013&gt;=6),"LOYAL CUSTOMER",AND(F3013&gt;=6,G3013&gt;=5,H3013&gt;=5),"POTENTIAL LOYALIST",AND(F3013&gt;=8,G3013&lt;=2,H3013&gt;=5),"NEW CUSTOMERS",AND(F3013&gt;=6,G3013&lt;=2,H3013&gt;=3),"PROMISING",AND(F3013&gt;=3,G3013&gt;=3,H3013&gt;=3),"NEED ATTENTION",AND(F3013&lt;=4,G3013&gt;=6,H3013&gt;=6),"AT RISK",AND(F3013&lt;=2,G3013&gt;=8,H3013&gt;=8),"CAN'T LOSE THEM",AND(F3013&lt;=2,G3013&lt;=2,H3013&lt;=2),"HIBERNATING",TRUE(),"Other")</f>
        <v>Other</v>
      </c>
      <c r="K3013" s="1" t="n">
        <f aca="false">RANK(E3013,$E$7:$E$4378)+COUNTIF($E$7:E3013,E3013)-1</f>
        <v>3591</v>
      </c>
    </row>
    <row r="3014" customFormat="false" ht="14.25" hidden="false" customHeight="true" outlineLevel="0" collapsed="false">
      <c r="A3014" s="51" t="n">
        <v>16412</v>
      </c>
      <c r="B3014" s="53" t="n">
        <v>40833.5243055556</v>
      </c>
      <c r="C3014" s="57" t="n">
        <f aca="false">INT($C$2)-INT(Table3[[#This Row],[Last Purchase Date]])</f>
        <v>54</v>
      </c>
      <c r="D3014" s="1" t="n">
        <v>1</v>
      </c>
      <c r="E3014" s="1" t="n">
        <v>151.83</v>
      </c>
      <c r="F3014" s="1" t="n">
        <f aca="false">ROUND((1-_xlfn.PERCENTRANK.INC($C$7:$C$4378,C3014))*9,0)</f>
        <v>4</v>
      </c>
      <c r="G3014" s="1" t="n">
        <f aca="false">ROUND(_xlfn.PERCENTRANK.INC($D$7:$D$4378,D3014)*9,0)</f>
        <v>0</v>
      </c>
      <c r="H3014" s="1" t="n">
        <f aca="false">ROUND(_xlfn.PERCENTRANK.INC($E$7:$E$4378,E3014)*9,0)</f>
        <v>1</v>
      </c>
      <c r="I3014" s="1" t="str">
        <f aca="false">CONCATENATE(F3014,G3014,H3014)</f>
        <v>401</v>
      </c>
      <c r="J3014" s="1" t="str">
        <f aca="false">_xlfn.IFS(AND(F3014&gt;=8,G3014&gt;=8,H3014&gt;=8),"CHAMPION",AND(F3014&gt;=6,G3014&gt;=7,H3014&gt;=6),"LOYAL CUSTOMER",AND(F3014&gt;=6,G3014&gt;=5,H3014&gt;=5),"POTENTIAL LOYALIST",AND(F3014&gt;=8,G3014&lt;=2,H3014&gt;=5),"NEW CUSTOMERS",AND(F3014&gt;=6,G3014&lt;=2,H3014&gt;=3),"PROMISING",AND(F3014&gt;=3,G3014&gt;=3,H3014&gt;=3),"NEED ATTENTION",AND(F3014&lt;=4,G3014&gt;=6,H3014&gt;=6),"AT RISK",AND(F3014&lt;=2,G3014&gt;=8,H3014&gt;=8),"CAN'T LOSE THEM",AND(F3014&lt;=2,G3014&lt;=2,H3014&lt;=2),"HIBERNATING",TRUE(),"Other")</f>
        <v>Other</v>
      </c>
      <c r="K3014" s="1" t="n">
        <f aca="false">RANK(E3014,$E$7:$E$4378)+COUNTIF($E$7:E3014,E3014)-1</f>
        <v>3910</v>
      </c>
    </row>
    <row r="3015" customFormat="false" ht="14.25" hidden="false" customHeight="true" outlineLevel="0" collapsed="false">
      <c r="A3015" s="51" t="n">
        <v>16413</v>
      </c>
      <c r="B3015" s="53" t="n">
        <v>40830.5055555556</v>
      </c>
      <c r="C3015" s="57" t="n">
        <f aca="false">INT($C$2)-INT(Table3[[#This Row],[Last Purchase Date]])</f>
        <v>57</v>
      </c>
      <c r="D3015" s="1" t="n">
        <v>1</v>
      </c>
      <c r="E3015" s="1" t="n">
        <v>262.2</v>
      </c>
      <c r="F3015" s="1" t="n">
        <f aca="false">ROUND((1-_xlfn.PERCENTRANK.INC($C$7:$C$4378,C3015))*9,0)</f>
        <v>4</v>
      </c>
      <c r="G3015" s="1" t="n">
        <f aca="false">ROUND(_xlfn.PERCENTRANK.INC($D$7:$D$4378,D3015)*9,0)</f>
        <v>0</v>
      </c>
      <c r="H3015" s="1" t="n">
        <f aca="false">ROUND(_xlfn.PERCENTRANK.INC($E$7:$E$4378,E3015)*9,0)</f>
        <v>2</v>
      </c>
      <c r="I3015" s="1" t="str">
        <f aca="false">CONCATENATE(F3015,G3015,H3015)</f>
        <v>402</v>
      </c>
      <c r="J3015" s="1" t="str">
        <f aca="false">_xlfn.IFS(AND(F3015&gt;=8,G3015&gt;=8,H3015&gt;=8),"CHAMPION",AND(F3015&gt;=6,G3015&gt;=7,H3015&gt;=6),"LOYAL CUSTOMER",AND(F3015&gt;=6,G3015&gt;=5,H3015&gt;=5),"POTENTIAL LOYALIST",AND(F3015&gt;=8,G3015&lt;=2,H3015&gt;=5),"NEW CUSTOMERS",AND(F3015&gt;=6,G3015&lt;=2,H3015&gt;=3),"PROMISING",AND(F3015&gt;=3,G3015&gt;=3,H3015&gt;=3),"NEED ATTENTION",AND(F3015&lt;=4,G3015&gt;=6,H3015&gt;=6),"AT RISK",AND(F3015&lt;=2,G3015&gt;=8,H3015&gt;=8),"CAN'T LOSE THEM",AND(F3015&lt;=2,G3015&lt;=2,H3015&lt;=2),"HIBERNATING",TRUE(),"Other")</f>
        <v>Other</v>
      </c>
      <c r="K3015" s="1" t="n">
        <f aca="false">RANK(E3015,$E$7:$E$4378)+COUNTIF($E$7:E3015,E3015)-1</f>
        <v>3391</v>
      </c>
    </row>
    <row r="3016" customFormat="false" ht="14.25" hidden="false" customHeight="true" outlineLevel="0" collapsed="false">
      <c r="A3016" s="51" t="n">
        <v>16414</v>
      </c>
      <c r="B3016" s="53" t="n">
        <v>40865.4041666667</v>
      </c>
      <c r="C3016" s="57" t="n">
        <f aca="false">INT($C$2)-INT(Table3[[#This Row],[Last Purchase Date]])</f>
        <v>22</v>
      </c>
      <c r="D3016" s="1" t="n">
        <v>2</v>
      </c>
      <c r="E3016" s="1" t="n">
        <v>126.25</v>
      </c>
      <c r="F3016" s="1" t="n">
        <f aca="false">ROUND((1-_xlfn.PERCENTRANK.INC($C$7:$C$4378,C3016))*9,0)</f>
        <v>6</v>
      </c>
      <c r="G3016" s="1" t="n">
        <f aca="false">ROUND(_xlfn.PERCENTRANK.INC($D$7:$D$4378,D3016)*9,0)</f>
        <v>3</v>
      </c>
      <c r="H3016" s="1" t="n">
        <f aca="false">ROUND(_xlfn.PERCENTRANK.INC($E$7:$E$4378,E3016)*9,0)</f>
        <v>1</v>
      </c>
      <c r="I3016" s="1" t="str">
        <f aca="false">CONCATENATE(F3016,G3016,H3016)</f>
        <v>631</v>
      </c>
      <c r="J3016" s="1" t="str">
        <f aca="false">_xlfn.IFS(AND(F3016&gt;=8,G3016&gt;=8,H3016&gt;=8),"CHAMPION",AND(F3016&gt;=6,G3016&gt;=7,H3016&gt;=6),"LOYAL CUSTOMER",AND(F3016&gt;=6,G3016&gt;=5,H3016&gt;=5),"POTENTIAL LOYALIST",AND(F3016&gt;=8,G3016&lt;=2,H3016&gt;=5),"NEW CUSTOMERS",AND(F3016&gt;=6,G3016&lt;=2,H3016&gt;=3),"PROMISING",AND(F3016&gt;=3,G3016&gt;=3,H3016&gt;=3),"NEED ATTENTION",AND(F3016&lt;=4,G3016&gt;=6,H3016&gt;=6),"AT RISK",AND(F3016&lt;=2,G3016&gt;=8,H3016&gt;=8),"CAN'T LOSE THEM",AND(F3016&lt;=2,G3016&lt;=2,H3016&lt;=2),"HIBERNATING",TRUE(),"Other")</f>
        <v>Other</v>
      </c>
      <c r="K3016" s="1" t="n">
        <f aca="false">RANK(E3016,$E$7:$E$4378)+COUNTIF($E$7:E3016,E3016)-1</f>
        <v>4019</v>
      </c>
    </row>
    <row r="3017" customFormat="false" ht="14.25" hidden="false" customHeight="true" outlineLevel="0" collapsed="false">
      <c r="A3017" s="51" t="n">
        <v>16415</v>
      </c>
      <c r="B3017" s="53" t="n">
        <v>40842.5659722222</v>
      </c>
      <c r="C3017" s="57" t="n">
        <f aca="false">INT($C$2)-INT(Table3[[#This Row],[Last Purchase Date]])</f>
        <v>45</v>
      </c>
      <c r="D3017" s="1" t="n">
        <v>1</v>
      </c>
      <c r="E3017" s="1" t="n">
        <v>210.35</v>
      </c>
      <c r="F3017" s="1" t="n">
        <f aca="false">ROUND((1-_xlfn.PERCENTRANK.INC($C$7:$C$4378,C3017))*9,0)</f>
        <v>5</v>
      </c>
      <c r="G3017" s="1" t="n">
        <f aca="false">ROUND(_xlfn.PERCENTRANK.INC($D$7:$D$4378,D3017)*9,0)</f>
        <v>0</v>
      </c>
      <c r="H3017" s="1" t="n">
        <f aca="false">ROUND(_xlfn.PERCENTRANK.INC($E$7:$E$4378,E3017)*9,0)</f>
        <v>2</v>
      </c>
      <c r="I3017" s="1" t="str">
        <f aca="false">CONCATENATE(F3017,G3017,H3017)</f>
        <v>502</v>
      </c>
      <c r="J3017" s="1" t="str">
        <f aca="false">_xlfn.IFS(AND(F3017&gt;=8,G3017&gt;=8,H3017&gt;=8),"CHAMPION",AND(F3017&gt;=6,G3017&gt;=7,H3017&gt;=6),"LOYAL CUSTOMER",AND(F3017&gt;=6,G3017&gt;=5,H3017&gt;=5),"POTENTIAL LOYALIST",AND(F3017&gt;=8,G3017&lt;=2,H3017&gt;=5),"NEW CUSTOMERS",AND(F3017&gt;=6,G3017&lt;=2,H3017&gt;=3),"PROMISING",AND(F3017&gt;=3,G3017&gt;=3,H3017&gt;=3),"NEED ATTENTION",AND(F3017&lt;=4,G3017&gt;=6,H3017&gt;=6),"AT RISK",AND(F3017&lt;=2,G3017&gt;=8,H3017&gt;=8),"CAN'T LOSE THEM",AND(F3017&lt;=2,G3017&lt;=2,H3017&lt;=2),"HIBERNATING",TRUE(),"Other")</f>
        <v>Other</v>
      </c>
      <c r="K3017" s="1" t="n">
        <f aca="false">RANK(E3017,$E$7:$E$4378)+COUNTIF($E$7:E3017,E3017)-1</f>
        <v>3610</v>
      </c>
    </row>
    <row r="3018" customFormat="false" ht="14.25" hidden="false" customHeight="true" outlineLevel="0" collapsed="false">
      <c r="A3018" s="51" t="n">
        <v>16416</v>
      </c>
      <c r="B3018" s="53" t="n">
        <v>40860.5347222222</v>
      </c>
      <c r="C3018" s="57" t="n">
        <f aca="false">INT($C$2)-INT(Table3[[#This Row],[Last Purchase Date]])</f>
        <v>27</v>
      </c>
      <c r="D3018" s="1" t="n">
        <v>4</v>
      </c>
      <c r="E3018" s="1" t="n">
        <v>1026.99</v>
      </c>
      <c r="F3018" s="1" t="n">
        <f aca="false">ROUND((1-_xlfn.PERCENTRANK.INC($C$7:$C$4378,C3018))*9,0)</f>
        <v>6</v>
      </c>
      <c r="G3018" s="1" t="n">
        <f aca="false">ROUND(_xlfn.PERCENTRANK.INC($D$7:$D$4378,D3018)*9,0)</f>
        <v>5</v>
      </c>
      <c r="H3018" s="1" t="n">
        <f aca="false">ROUND(_xlfn.PERCENTRANK.INC($E$7:$E$4378,E3018)*9,0)</f>
        <v>6</v>
      </c>
      <c r="I3018" s="1" t="str">
        <f aca="false">CONCATENATE(F3018,G3018,H3018)</f>
        <v>656</v>
      </c>
      <c r="J3018" s="1" t="str">
        <f aca="false">_xlfn.IFS(AND(F3018&gt;=8,G3018&gt;=8,H3018&gt;=8),"CHAMPION",AND(F3018&gt;=6,G3018&gt;=7,H3018&gt;=6),"LOYAL CUSTOMER",AND(F3018&gt;=6,G3018&gt;=5,H3018&gt;=5),"POTENTIAL LOYALIST",AND(F3018&gt;=8,G3018&lt;=2,H3018&gt;=5),"NEW CUSTOMERS",AND(F3018&gt;=6,G3018&lt;=2,H3018&gt;=3),"PROMISING",AND(F3018&gt;=3,G3018&gt;=3,H3018&gt;=3),"NEED ATTENTION",AND(F3018&lt;=4,G3018&gt;=6,H3018&gt;=6),"AT RISK",AND(F3018&lt;=2,G3018&gt;=8,H3018&gt;=8),"CAN'T LOSE THEM",AND(F3018&lt;=2,G3018&lt;=2,H3018&lt;=2),"HIBERNATING",TRUE(),"Other")</f>
        <v>POTENTIAL LOYALIST</v>
      </c>
      <c r="K3018" s="1" t="n">
        <f aca="false">RANK(E3018,$E$7:$E$4378)+COUNTIF($E$7:E3018,E3018)-1</f>
        <v>1598</v>
      </c>
    </row>
    <row r="3019" customFormat="false" ht="14.25" hidden="false" customHeight="true" outlineLevel="0" collapsed="false">
      <c r="A3019" s="51" t="n">
        <v>16418</v>
      </c>
      <c r="B3019" s="53" t="n">
        <v>40842.5270833333</v>
      </c>
      <c r="C3019" s="57" t="n">
        <f aca="false">INT($C$2)-INT(Table3[[#This Row],[Last Purchase Date]])</f>
        <v>45</v>
      </c>
      <c r="D3019" s="1" t="n">
        <v>3</v>
      </c>
      <c r="E3019" s="1" t="n">
        <v>675.27</v>
      </c>
      <c r="F3019" s="1" t="n">
        <f aca="false">ROUND((1-_xlfn.PERCENTRANK.INC($C$7:$C$4378,C3019))*9,0)</f>
        <v>5</v>
      </c>
      <c r="G3019" s="1" t="n">
        <f aca="false">ROUND(_xlfn.PERCENTRANK.INC($D$7:$D$4378,D3019)*9,0)</f>
        <v>4</v>
      </c>
      <c r="H3019" s="1" t="n">
        <f aca="false">ROUND(_xlfn.PERCENTRANK.INC($E$7:$E$4378,E3019)*9,0)</f>
        <v>5</v>
      </c>
      <c r="I3019" s="1" t="str">
        <f aca="false">CONCATENATE(F3019,G3019,H3019)</f>
        <v>545</v>
      </c>
      <c r="J3019" s="1" t="str">
        <f aca="false">_xlfn.IFS(AND(F3019&gt;=8,G3019&gt;=8,H3019&gt;=8),"CHAMPION",AND(F3019&gt;=6,G3019&gt;=7,H3019&gt;=6),"LOYAL CUSTOMER",AND(F3019&gt;=6,G3019&gt;=5,H3019&gt;=5),"POTENTIAL LOYALIST",AND(F3019&gt;=8,G3019&lt;=2,H3019&gt;=5),"NEW CUSTOMERS",AND(F3019&gt;=6,G3019&lt;=2,H3019&gt;=3),"PROMISING",AND(F3019&gt;=3,G3019&gt;=3,H3019&gt;=3),"NEED ATTENTION",AND(F3019&lt;=4,G3019&gt;=6,H3019&gt;=6),"AT RISK",AND(F3019&lt;=2,G3019&gt;=8,H3019&gt;=8),"CAN'T LOSE THEM",AND(F3019&lt;=2,G3019&lt;=2,H3019&lt;=2),"HIBERNATING",TRUE(),"Other")</f>
        <v>NEED ATTENTION</v>
      </c>
      <c r="K3019" s="1" t="n">
        <f aca="false">RANK(E3019,$E$7:$E$4378)+COUNTIF($E$7:E3019,E3019)-1</f>
        <v>2116</v>
      </c>
    </row>
    <row r="3020" customFormat="false" ht="14.25" hidden="false" customHeight="true" outlineLevel="0" collapsed="false">
      <c r="A3020" s="51" t="n">
        <v>16419</v>
      </c>
      <c r="B3020" s="53" t="n">
        <v>40774.5229166667</v>
      </c>
      <c r="C3020" s="57" t="n">
        <f aca="false">INT($C$2)-INT(Table3[[#This Row],[Last Purchase Date]])</f>
        <v>113</v>
      </c>
      <c r="D3020" s="1" t="n">
        <v>7</v>
      </c>
      <c r="E3020" s="1" t="n">
        <v>959.48</v>
      </c>
      <c r="F3020" s="1" t="n">
        <f aca="false">ROUND((1-_xlfn.PERCENTRANK.INC($C$7:$C$4378,C3020))*9,0)</f>
        <v>3</v>
      </c>
      <c r="G3020" s="1" t="n">
        <f aca="false">ROUND(_xlfn.PERCENTRANK.INC($D$7:$D$4378,D3020)*9,0)</f>
        <v>7</v>
      </c>
      <c r="H3020" s="1" t="n">
        <f aca="false">ROUND(_xlfn.PERCENTRANK.INC($E$7:$E$4378,E3020)*9,0)</f>
        <v>6</v>
      </c>
      <c r="I3020" s="1" t="str">
        <f aca="false">CONCATENATE(F3020,G3020,H3020)</f>
        <v>376</v>
      </c>
      <c r="J3020" s="1" t="str">
        <f aca="false">_xlfn.IFS(AND(F3020&gt;=8,G3020&gt;=8,H3020&gt;=8),"CHAMPION",AND(F3020&gt;=6,G3020&gt;=7,H3020&gt;=6),"LOYAL CUSTOMER",AND(F3020&gt;=6,G3020&gt;=5,H3020&gt;=5),"POTENTIAL LOYALIST",AND(F3020&gt;=8,G3020&lt;=2,H3020&gt;=5),"NEW CUSTOMERS",AND(F3020&gt;=6,G3020&lt;=2,H3020&gt;=3),"PROMISING",AND(F3020&gt;=3,G3020&gt;=3,H3020&gt;=3),"NEED ATTENTION",AND(F3020&lt;=4,G3020&gt;=6,H3020&gt;=6),"AT RISK",AND(F3020&lt;=2,G3020&gt;=8,H3020&gt;=8),"CAN'T LOSE THEM",AND(F3020&lt;=2,G3020&lt;=2,H3020&lt;=2),"HIBERNATING",TRUE(),"Other")</f>
        <v>NEED ATTENTION</v>
      </c>
      <c r="K3020" s="1" t="n">
        <f aca="false">RANK(E3020,$E$7:$E$4378)+COUNTIF($E$7:E3020,E3020)-1</f>
        <v>1687</v>
      </c>
    </row>
    <row r="3021" customFormat="false" ht="14.25" hidden="false" customHeight="true" outlineLevel="0" collapsed="false">
      <c r="A3021" s="51" t="n">
        <v>16422</v>
      </c>
      <c r="B3021" s="53" t="n">
        <v>40869.5833333333</v>
      </c>
      <c r="C3021" s="57" t="n">
        <f aca="false">INT($C$2)-INT(Table3[[#This Row],[Last Purchase Date]])</f>
        <v>18</v>
      </c>
      <c r="D3021" s="1" t="n">
        <v>75</v>
      </c>
      <c r="E3021" s="1" t="n">
        <v>33805.69</v>
      </c>
      <c r="F3021" s="1" t="n">
        <f aca="false">ROUND((1-_xlfn.PERCENTRANK.INC($C$7:$C$4378,C3021))*9,0)</f>
        <v>7</v>
      </c>
      <c r="G3021" s="1" t="n">
        <f aca="false">ROUND(_xlfn.PERCENTRANK.INC($D$7:$D$4378,D3021)*9,0)</f>
        <v>9</v>
      </c>
      <c r="H3021" s="1" t="n">
        <f aca="false">ROUND(_xlfn.PERCENTRANK.INC($E$7:$E$4378,E3021)*9,0)</f>
        <v>9</v>
      </c>
      <c r="I3021" s="1" t="str">
        <f aca="false">CONCATENATE(F3021,G3021,H3021)</f>
        <v>799</v>
      </c>
      <c r="J3021" s="1" t="str">
        <f aca="false">_xlfn.IFS(AND(F3021&gt;=8,G3021&gt;=8,H3021&gt;=8),"CHAMPION",AND(F3021&gt;=6,G3021&gt;=7,H3021&gt;=6),"LOYAL CUSTOMER",AND(F3021&gt;=6,G3021&gt;=5,H3021&gt;=5),"POTENTIAL LOYALIST",AND(F3021&gt;=8,G3021&lt;=2,H3021&gt;=5),"NEW CUSTOMERS",AND(F3021&gt;=6,G3021&lt;=2,H3021&gt;=3),"PROMISING",AND(F3021&gt;=3,G3021&gt;=3,H3021&gt;=3),"NEED ATTENTION",AND(F3021&lt;=4,G3021&gt;=6,H3021&gt;=6),"AT RISK",AND(F3021&lt;=2,G3021&gt;=8,H3021&gt;=8),"CAN'T LOSE THEM",AND(F3021&lt;=2,G3021&lt;=2,H3021&lt;=2),"HIBERNATING",TRUE(),"Other")</f>
        <v>LOYAL CUSTOMER</v>
      </c>
      <c r="K3021" s="1" t="n">
        <f aca="false">RANK(E3021,$E$7:$E$4378)+COUNTIF($E$7:E3021,E3021)-1</f>
        <v>21</v>
      </c>
    </row>
    <row r="3022" customFormat="false" ht="14.25" hidden="false" customHeight="true" outlineLevel="0" collapsed="false">
      <c r="A3022" s="51" t="n">
        <v>16423</v>
      </c>
      <c r="B3022" s="53" t="n">
        <v>40862.3895833333</v>
      </c>
      <c r="C3022" s="57" t="n">
        <f aca="false">INT($C$2)-INT(Table3[[#This Row],[Last Purchase Date]])</f>
        <v>25</v>
      </c>
      <c r="D3022" s="1" t="n">
        <v>1</v>
      </c>
      <c r="E3022" s="1" t="n">
        <v>346.12</v>
      </c>
      <c r="F3022" s="1" t="n">
        <f aca="false">ROUND((1-_xlfn.PERCENTRANK.INC($C$7:$C$4378,C3022))*9,0)</f>
        <v>6</v>
      </c>
      <c r="G3022" s="1" t="n">
        <f aca="false">ROUND(_xlfn.PERCENTRANK.INC($D$7:$D$4378,D3022)*9,0)</f>
        <v>0</v>
      </c>
      <c r="H3022" s="1" t="n">
        <f aca="false">ROUND(_xlfn.PERCENTRANK.INC($E$7:$E$4378,E3022)*9,0)</f>
        <v>3</v>
      </c>
      <c r="I3022" s="1" t="str">
        <f aca="false">CONCATENATE(F3022,G3022,H3022)</f>
        <v>603</v>
      </c>
      <c r="J3022" s="1" t="str">
        <f aca="false">_xlfn.IFS(AND(F3022&gt;=8,G3022&gt;=8,H3022&gt;=8),"CHAMPION",AND(F3022&gt;=6,G3022&gt;=7,H3022&gt;=6),"LOYAL CUSTOMER",AND(F3022&gt;=6,G3022&gt;=5,H3022&gt;=5),"POTENTIAL LOYALIST",AND(F3022&gt;=8,G3022&lt;=2,H3022&gt;=5),"NEW CUSTOMERS",AND(F3022&gt;=6,G3022&lt;=2,H3022&gt;=3),"PROMISING",AND(F3022&gt;=3,G3022&gt;=3,H3022&gt;=3),"NEED ATTENTION",AND(F3022&lt;=4,G3022&gt;=6,H3022&gt;=6),"AT RISK",AND(F3022&lt;=2,G3022&gt;=8,H3022&gt;=8),"CAN'T LOSE THEM",AND(F3022&lt;=2,G3022&lt;=2,H3022&lt;=2),"HIBERNATING",TRUE(),"Other")</f>
        <v>PROMISING</v>
      </c>
      <c r="K3022" s="1" t="n">
        <f aca="false">RANK(E3022,$E$7:$E$4378)+COUNTIF($E$7:E3022,E3022)-1</f>
        <v>3028</v>
      </c>
    </row>
    <row r="3023" customFormat="false" ht="14.25" hidden="false" customHeight="true" outlineLevel="0" collapsed="false">
      <c r="A3023" s="51" t="n">
        <v>16424</v>
      </c>
      <c r="B3023" s="53" t="n">
        <v>40695.5694444445</v>
      </c>
      <c r="C3023" s="57" t="n">
        <f aca="false">INT($C$2)-INT(Table3[[#This Row],[Last Purchase Date]])</f>
        <v>192</v>
      </c>
      <c r="D3023" s="1" t="n">
        <v>2</v>
      </c>
      <c r="E3023" s="1" t="n">
        <v>82.56</v>
      </c>
      <c r="F3023" s="1" t="n">
        <f aca="false">ROUND((1-_xlfn.PERCENTRANK.INC($C$7:$C$4378,C3023))*9,0)</f>
        <v>2</v>
      </c>
      <c r="G3023" s="1" t="n">
        <f aca="false">ROUND(_xlfn.PERCENTRANK.INC($D$7:$D$4378,D3023)*9,0)</f>
        <v>3</v>
      </c>
      <c r="H3023" s="1" t="n">
        <f aca="false">ROUND(_xlfn.PERCENTRANK.INC($E$7:$E$4378,E3023)*9,0)</f>
        <v>0</v>
      </c>
      <c r="I3023" s="1" t="str">
        <f aca="false">CONCATENATE(F3023,G3023,H3023)</f>
        <v>230</v>
      </c>
      <c r="J3023" s="1" t="str">
        <f aca="false">_xlfn.IFS(AND(F3023&gt;=8,G3023&gt;=8,H3023&gt;=8),"CHAMPION",AND(F3023&gt;=6,G3023&gt;=7,H3023&gt;=6),"LOYAL CUSTOMER",AND(F3023&gt;=6,G3023&gt;=5,H3023&gt;=5),"POTENTIAL LOYALIST",AND(F3023&gt;=8,G3023&lt;=2,H3023&gt;=5),"NEW CUSTOMERS",AND(F3023&gt;=6,G3023&lt;=2,H3023&gt;=3),"PROMISING",AND(F3023&gt;=3,G3023&gt;=3,H3023&gt;=3),"NEED ATTENTION",AND(F3023&lt;=4,G3023&gt;=6,H3023&gt;=6),"AT RISK",AND(F3023&lt;=2,G3023&gt;=8,H3023&gt;=8),"CAN'T LOSE THEM",AND(F3023&lt;=2,G3023&lt;=2,H3023&lt;=2),"HIBERNATING",TRUE(),"Other")</f>
        <v>Other</v>
      </c>
      <c r="K3023" s="1" t="n">
        <f aca="false">RANK(E3023,$E$7:$E$4378)+COUNTIF($E$7:E3023,E3023)-1</f>
        <v>4211</v>
      </c>
    </row>
    <row r="3024" customFormat="false" ht="14.25" hidden="false" customHeight="true" outlineLevel="0" collapsed="false">
      <c r="A3024" s="51" t="n">
        <v>16425</v>
      </c>
      <c r="B3024" s="53" t="n">
        <v>40584.6041666667</v>
      </c>
      <c r="C3024" s="57" t="n">
        <f aca="false">INT($C$2)-INT(Table3[[#This Row],[Last Purchase Date]])</f>
        <v>303</v>
      </c>
      <c r="D3024" s="1" t="n">
        <v>1</v>
      </c>
      <c r="E3024" s="1" t="n">
        <v>302.7</v>
      </c>
      <c r="F3024" s="1" t="n">
        <f aca="false">ROUND((1-_xlfn.PERCENTRANK.INC($C$7:$C$4378,C3024))*9,0)</f>
        <v>1</v>
      </c>
      <c r="G3024" s="1" t="n">
        <f aca="false">ROUND(_xlfn.PERCENTRANK.INC($D$7:$D$4378,D3024)*9,0)</f>
        <v>0</v>
      </c>
      <c r="H3024" s="1" t="n">
        <f aca="false">ROUND(_xlfn.PERCENTRANK.INC($E$7:$E$4378,E3024)*9,0)</f>
        <v>2</v>
      </c>
      <c r="I3024" s="1" t="str">
        <f aca="false">CONCATENATE(F3024,G3024,H3024)</f>
        <v>102</v>
      </c>
      <c r="J3024" s="1" t="str">
        <f aca="false">_xlfn.IFS(AND(F3024&gt;=8,G3024&gt;=8,H3024&gt;=8),"CHAMPION",AND(F3024&gt;=6,G3024&gt;=7,H3024&gt;=6),"LOYAL CUSTOMER",AND(F3024&gt;=6,G3024&gt;=5,H3024&gt;=5),"POTENTIAL LOYALIST",AND(F3024&gt;=8,G3024&lt;=2,H3024&gt;=5),"NEW CUSTOMERS",AND(F3024&gt;=6,G3024&lt;=2,H3024&gt;=3),"PROMISING",AND(F3024&gt;=3,G3024&gt;=3,H3024&gt;=3),"NEED ATTENTION",AND(F3024&lt;=4,G3024&gt;=6,H3024&gt;=6),"AT RISK",AND(F3024&lt;=2,G3024&gt;=8,H3024&gt;=8),"CAN'T LOSE THEM",AND(F3024&lt;=2,G3024&lt;=2,H3024&lt;=2),"HIBERNATING",TRUE(),"Other")</f>
        <v>HIBERNATING</v>
      </c>
      <c r="K3024" s="1" t="n">
        <f aca="false">RANK(E3024,$E$7:$E$4378)+COUNTIF($E$7:E3024,E3024)-1</f>
        <v>3238</v>
      </c>
    </row>
    <row r="3025" customFormat="false" ht="14.25" hidden="false" customHeight="true" outlineLevel="0" collapsed="false">
      <c r="A3025" s="51" t="n">
        <v>16426</v>
      </c>
      <c r="B3025" s="53" t="n">
        <v>40884.5840277778</v>
      </c>
      <c r="C3025" s="57" t="n">
        <f aca="false">INT($C$2)-INT(Table3[[#This Row],[Last Purchase Date]])</f>
        <v>3</v>
      </c>
      <c r="D3025" s="1" t="n">
        <v>10</v>
      </c>
      <c r="E3025" s="1" t="n">
        <v>1908.25</v>
      </c>
      <c r="F3025" s="1" t="n">
        <f aca="false">ROUND((1-_xlfn.PERCENTRANK.INC($C$7:$C$4378,C3025))*9,0)</f>
        <v>9</v>
      </c>
      <c r="G3025" s="1" t="n">
        <f aca="false">ROUND(_xlfn.PERCENTRANK.INC($D$7:$D$4378,D3025)*9,0)</f>
        <v>8</v>
      </c>
      <c r="H3025" s="1" t="n">
        <f aca="false">ROUND(_xlfn.PERCENTRANK.INC($E$7:$E$4378,E3025)*9,0)</f>
        <v>7</v>
      </c>
      <c r="I3025" s="1" t="str">
        <f aca="false">CONCATENATE(F3025,G3025,H3025)</f>
        <v>987</v>
      </c>
      <c r="J3025" s="1" t="str">
        <f aca="false">_xlfn.IFS(AND(F3025&gt;=8,G3025&gt;=8,H3025&gt;=8),"CHAMPION",AND(F3025&gt;=6,G3025&gt;=7,H3025&gt;=6),"LOYAL CUSTOMER",AND(F3025&gt;=6,G3025&gt;=5,H3025&gt;=5),"POTENTIAL LOYALIST",AND(F3025&gt;=8,G3025&lt;=2,H3025&gt;=5),"NEW CUSTOMERS",AND(F3025&gt;=6,G3025&lt;=2,H3025&gt;=3),"PROMISING",AND(F3025&gt;=3,G3025&gt;=3,H3025&gt;=3),"NEED ATTENTION",AND(F3025&lt;=4,G3025&gt;=6,H3025&gt;=6),"AT RISK",AND(F3025&lt;=2,G3025&gt;=8,H3025&gt;=8),"CAN'T LOSE THEM",AND(F3025&lt;=2,G3025&lt;=2,H3025&lt;=2),"HIBERNATING",TRUE(),"Other")</f>
        <v>LOYAL CUSTOMER</v>
      </c>
      <c r="K3025" s="1" t="n">
        <f aca="false">RANK(E3025,$E$7:$E$4378)+COUNTIF($E$7:E3025,E3025)-1</f>
        <v>914</v>
      </c>
    </row>
    <row r="3026" customFormat="false" ht="14.25" hidden="false" customHeight="true" outlineLevel="0" collapsed="false">
      <c r="A3026" s="51" t="n">
        <v>16427</v>
      </c>
      <c r="B3026" s="53" t="n">
        <v>40623.7152777778</v>
      </c>
      <c r="C3026" s="57" t="n">
        <f aca="false">INT($C$2)-INT(Table3[[#This Row],[Last Purchase Date]])</f>
        <v>264</v>
      </c>
      <c r="D3026" s="1" t="n">
        <v>2</v>
      </c>
      <c r="E3026" s="1" t="n">
        <v>241.06</v>
      </c>
      <c r="F3026" s="1" t="n">
        <f aca="false">ROUND((1-_xlfn.PERCENTRANK.INC($C$7:$C$4378,C3026))*9,0)</f>
        <v>1</v>
      </c>
      <c r="G3026" s="1" t="n">
        <f aca="false">ROUND(_xlfn.PERCENTRANK.INC($D$7:$D$4378,D3026)*9,0)</f>
        <v>3</v>
      </c>
      <c r="H3026" s="1" t="n">
        <f aca="false">ROUND(_xlfn.PERCENTRANK.INC($E$7:$E$4378,E3026)*9,0)</f>
        <v>2</v>
      </c>
      <c r="I3026" s="1" t="str">
        <f aca="false">CONCATENATE(F3026,G3026,H3026)</f>
        <v>132</v>
      </c>
      <c r="J3026" s="1" t="str">
        <f aca="false">_xlfn.IFS(AND(F3026&gt;=8,G3026&gt;=8,H3026&gt;=8),"CHAMPION",AND(F3026&gt;=6,G3026&gt;=7,H3026&gt;=6),"LOYAL CUSTOMER",AND(F3026&gt;=6,G3026&gt;=5,H3026&gt;=5),"POTENTIAL LOYALIST",AND(F3026&gt;=8,G3026&lt;=2,H3026&gt;=5),"NEW CUSTOMERS",AND(F3026&gt;=6,G3026&lt;=2,H3026&gt;=3),"PROMISING",AND(F3026&gt;=3,G3026&gt;=3,H3026&gt;=3),"NEED ATTENTION",AND(F3026&lt;=4,G3026&gt;=6,H3026&gt;=6),"AT RISK",AND(F3026&lt;=2,G3026&gt;=8,H3026&gt;=8),"CAN'T LOSE THEM",AND(F3026&lt;=2,G3026&lt;=2,H3026&lt;=2),"HIBERNATING",TRUE(),"Other")</f>
        <v>Other</v>
      </c>
      <c r="K3026" s="1" t="n">
        <f aca="false">RANK(E3026,$E$7:$E$4378)+COUNTIF($E$7:E3026,E3026)-1</f>
        <v>3476</v>
      </c>
    </row>
    <row r="3027" customFormat="false" ht="14.25" hidden="false" customHeight="true" outlineLevel="0" collapsed="false">
      <c r="A3027" s="51" t="n">
        <v>16428</v>
      </c>
      <c r="B3027" s="53" t="n">
        <v>40805.6881944445</v>
      </c>
      <c r="C3027" s="57" t="n">
        <f aca="false">INT($C$2)-INT(Table3[[#This Row],[Last Purchase Date]])</f>
        <v>82</v>
      </c>
      <c r="D3027" s="1" t="n">
        <v>1</v>
      </c>
      <c r="E3027" s="1" t="n">
        <v>-2.95</v>
      </c>
      <c r="F3027" s="1" t="n">
        <f aca="false">ROUND((1-_xlfn.PERCENTRANK.INC($C$7:$C$4378,C3027))*9,0)</f>
        <v>3</v>
      </c>
      <c r="G3027" s="1" t="n">
        <f aca="false">ROUND(_xlfn.PERCENTRANK.INC($D$7:$D$4378,D3027)*9,0)</f>
        <v>0</v>
      </c>
      <c r="H3027" s="1" t="n">
        <f aca="false">ROUND(_xlfn.PERCENTRANK.INC($E$7:$E$4378,E3027)*9,0)</f>
        <v>0</v>
      </c>
      <c r="I3027" s="1" t="str">
        <f aca="false">CONCATENATE(F3027,G3027,H3027)</f>
        <v>300</v>
      </c>
      <c r="J3027" s="1" t="str">
        <f aca="false">_xlfn.IFS(AND(F3027&gt;=8,G3027&gt;=8,H3027&gt;=8),"CHAMPION",AND(F3027&gt;=6,G3027&gt;=7,H3027&gt;=6),"LOYAL CUSTOMER",AND(F3027&gt;=6,G3027&gt;=5,H3027&gt;=5),"POTENTIAL LOYALIST",AND(F3027&gt;=8,G3027&lt;=2,H3027&gt;=5),"NEW CUSTOMERS",AND(F3027&gt;=6,G3027&lt;=2,H3027&gt;=3),"PROMISING",AND(F3027&gt;=3,G3027&gt;=3,H3027&gt;=3),"NEED ATTENTION",AND(F3027&lt;=4,G3027&gt;=6,H3027&gt;=6),"AT RISK",AND(F3027&lt;=2,G3027&gt;=8,H3027&gt;=8),"CAN'T LOSE THEM",AND(F3027&lt;=2,G3027&lt;=2,H3027&lt;=2),"HIBERNATING",TRUE(),"Other")</f>
        <v>Other</v>
      </c>
      <c r="K3027" s="1" t="n">
        <f aca="false">RANK(E3027,$E$7:$E$4378)+COUNTIF($E$7:E3027,E3027)-1</f>
        <v>4334</v>
      </c>
    </row>
    <row r="3028" customFormat="false" ht="14.25" hidden="false" customHeight="true" outlineLevel="0" collapsed="false">
      <c r="A3028" s="51" t="n">
        <v>16429</v>
      </c>
      <c r="B3028" s="53" t="n">
        <v>40780.5791666667</v>
      </c>
      <c r="C3028" s="57" t="n">
        <f aca="false">INT($C$2)-INT(Table3[[#This Row],[Last Purchase Date]])</f>
        <v>107</v>
      </c>
      <c r="D3028" s="1" t="n">
        <v>1</v>
      </c>
      <c r="E3028" s="1" t="n">
        <v>284.55</v>
      </c>
      <c r="F3028" s="1" t="n">
        <f aca="false">ROUND((1-_xlfn.PERCENTRANK.INC($C$7:$C$4378,C3028))*9,0)</f>
        <v>3</v>
      </c>
      <c r="G3028" s="1" t="n">
        <f aca="false">ROUND(_xlfn.PERCENTRANK.INC($D$7:$D$4378,D3028)*9,0)</f>
        <v>0</v>
      </c>
      <c r="H3028" s="1" t="n">
        <f aca="false">ROUND(_xlfn.PERCENTRANK.INC($E$7:$E$4378,E3028)*9,0)</f>
        <v>2</v>
      </c>
      <c r="I3028" s="1" t="str">
        <f aca="false">CONCATENATE(F3028,G3028,H3028)</f>
        <v>302</v>
      </c>
      <c r="J3028" s="1" t="str">
        <f aca="false">_xlfn.IFS(AND(F3028&gt;=8,G3028&gt;=8,H3028&gt;=8),"CHAMPION",AND(F3028&gt;=6,G3028&gt;=7,H3028&gt;=6),"LOYAL CUSTOMER",AND(F3028&gt;=6,G3028&gt;=5,H3028&gt;=5),"POTENTIAL LOYALIST",AND(F3028&gt;=8,G3028&lt;=2,H3028&gt;=5),"NEW CUSTOMERS",AND(F3028&gt;=6,G3028&lt;=2,H3028&gt;=3),"PROMISING",AND(F3028&gt;=3,G3028&gt;=3,H3028&gt;=3),"NEED ATTENTION",AND(F3028&lt;=4,G3028&gt;=6,H3028&gt;=6),"AT RISK",AND(F3028&lt;=2,G3028&gt;=8,H3028&gt;=8),"CAN'T LOSE THEM",AND(F3028&lt;=2,G3028&lt;=2,H3028&lt;=2),"HIBERNATING",TRUE(),"Other")</f>
        <v>Other</v>
      </c>
      <c r="K3028" s="1" t="n">
        <f aca="false">RANK(E3028,$E$7:$E$4378)+COUNTIF($E$7:E3028,E3028)-1</f>
        <v>3313</v>
      </c>
    </row>
    <row r="3029" customFormat="false" ht="14.25" hidden="false" customHeight="true" outlineLevel="0" collapsed="false">
      <c r="A3029" s="51" t="n">
        <v>16430</v>
      </c>
      <c r="B3029" s="53" t="n">
        <v>40829.6159722222</v>
      </c>
      <c r="C3029" s="57" t="n">
        <f aca="false">INT($C$2)-INT(Table3[[#This Row],[Last Purchase Date]])</f>
        <v>58</v>
      </c>
      <c r="D3029" s="1" t="n">
        <v>1</v>
      </c>
      <c r="E3029" s="1" t="n">
        <v>300.85</v>
      </c>
      <c r="F3029" s="1" t="n">
        <f aca="false">ROUND((1-_xlfn.PERCENTRANK.INC($C$7:$C$4378,C3029))*9,0)</f>
        <v>4</v>
      </c>
      <c r="G3029" s="1" t="n">
        <f aca="false">ROUND(_xlfn.PERCENTRANK.INC($D$7:$D$4378,D3029)*9,0)</f>
        <v>0</v>
      </c>
      <c r="H3029" s="1" t="n">
        <f aca="false">ROUND(_xlfn.PERCENTRANK.INC($E$7:$E$4378,E3029)*9,0)</f>
        <v>2</v>
      </c>
      <c r="I3029" s="1" t="str">
        <f aca="false">CONCATENATE(F3029,G3029,H3029)</f>
        <v>402</v>
      </c>
      <c r="J3029" s="1" t="str">
        <f aca="false">_xlfn.IFS(AND(F3029&gt;=8,G3029&gt;=8,H3029&gt;=8),"CHAMPION",AND(F3029&gt;=6,G3029&gt;=7,H3029&gt;=6),"LOYAL CUSTOMER",AND(F3029&gt;=6,G3029&gt;=5,H3029&gt;=5),"POTENTIAL LOYALIST",AND(F3029&gt;=8,G3029&lt;=2,H3029&gt;=5),"NEW CUSTOMERS",AND(F3029&gt;=6,G3029&lt;=2,H3029&gt;=3),"PROMISING",AND(F3029&gt;=3,G3029&gt;=3,H3029&gt;=3),"NEED ATTENTION",AND(F3029&lt;=4,G3029&gt;=6,H3029&gt;=6),"AT RISK",AND(F3029&lt;=2,G3029&gt;=8,H3029&gt;=8),"CAN'T LOSE THEM",AND(F3029&lt;=2,G3029&lt;=2,H3029&lt;=2),"HIBERNATING",TRUE(),"Other")</f>
        <v>Other</v>
      </c>
      <c r="K3029" s="1" t="n">
        <f aca="false">RANK(E3029,$E$7:$E$4378)+COUNTIF($E$7:E3029,E3029)-1</f>
        <v>3249</v>
      </c>
    </row>
    <row r="3030" customFormat="false" ht="14.25" hidden="false" customHeight="true" outlineLevel="0" collapsed="false">
      <c r="A3030" s="51" t="n">
        <v>16431</v>
      </c>
      <c r="B3030" s="53" t="n">
        <v>40673.5895833333</v>
      </c>
      <c r="C3030" s="57" t="n">
        <f aca="false">INT($C$2)-INT(Table3[[#This Row],[Last Purchase Date]])</f>
        <v>214</v>
      </c>
      <c r="D3030" s="1" t="n">
        <v>3</v>
      </c>
      <c r="E3030" s="1" t="n">
        <v>642.81</v>
      </c>
      <c r="F3030" s="1" t="n">
        <f aca="false">ROUND((1-_xlfn.PERCENTRANK.INC($C$7:$C$4378,C3030))*9,0)</f>
        <v>1</v>
      </c>
      <c r="G3030" s="1" t="n">
        <f aca="false">ROUND(_xlfn.PERCENTRANK.INC($D$7:$D$4378,D3030)*9,0)</f>
        <v>4</v>
      </c>
      <c r="H3030" s="1" t="n">
        <f aca="false">ROUND(_xlfn.PERCENTRANK.INC($E$7:$E$4378,E3030)*9,0)</f>
        <v>4</v>
      </c>
      <c r="I3030" s="1" t="str">
        <f aca="false">CONCATENATE(F3030,G3030,H3030)</f>
        <v>144</v>
      </c>
      <c r="J3030" s="1" t="str">
        <f aca="false">_xlfn.IFS(AND(F3030&gt;=8,G3030&gt;=8,H3030&gt;=8),"CHAMPION",AND(F3030&gt;=6,G3030&gt;=7,H3030&gt;=6),"LOYAL CUSTOMER",AND(F3030&gt;=6,G3030&gt;=5,H3030&gt;=5),"POTENTIAL LOYALIST",AND(F3030&gt;=8,G3030&lt;=2,H3030&gt;=5),"NEW CUSTOMERS",AND(F3030&gt;=6,G3030&lt;=2,H3030&gt;=3),"PROMISING",AND(F3030&gt;=3,G3030&gt;=3,H3030&gt;=3),"NEED ATTENTION",AND(F3030&lt;=4,G3030&gt;=6,H3030&gt;=6),"AT RISK",AND(F3030&lt;=2,G3030&gt;=8,H3030&gt;=8),"CAN'T LOSE THEM",AND(F3030&lt;=2,G3030&lt;=2,H3030&lt;=2),"HIBERNATING",TRUE(),"Other")</f>
        <v>Other</v>
      </c>
      <c r="K3030" s="1" t="n">
        <f aca="false">RANK(E3030,$E$7:$E$4378)+COUNTIF($E$7:E3030,E3030)-1</f>
        <v>2199</v>
      </c>
    </row>
    <row r="3031" customFormat="false" ht="14.25" hidden="false" customHeight="true" outlineLevel="0" collapsed="false">
      <c r="A3031" s="51" t="n">
        <v>16432</v>
      </c>
      <c r="B3031" s="53" t="n">
        <v>40822.5826388889</v>
      </c>
      <c r="C3031" s="57" t="n">
        <f aca="false">INT($C$2)-INT(Table3[[#This Row],[Last Purchase Date]])</f>
        <v>65</v>
      </c>
      <c r="D3031" s="1" t="n">
        <v>1</v>
      </c>
      <c r="E3031" s="1" t="n">
        <v>287.4</v>
      </c>
      <c r="F3031" s="1" t="n">
        <f aca="false">ROUND((1-_xlfn.PERCENTRANK.INC($C$7:$C$4378,C3031))*9,0)</f>
        <v>4</v>
      </c>
      <c r="G3031" s="1" t="n">
        <f aca="false">ROUND(_xlfn.PERCENTRANK.INC($D$7:$D$4378,D3031)*9,0)</f>
        <v>0</v>
      </c>
      <c r="H3031" s="1" t="n">
        <f aca="false">ROUND(_xlfn.PERCENTRANK.INC($E$7:$E$4378,E3031)*9,0)</f>
        <v>2</v>
      </c>
      <c r="I3031" s="1" t="str">
        <f aca="false">CONCATENATE(F3031,G3031,H3031)</f>
        <v>402</v>
      </c>
      <c r="J3031" s="1" t="str">
        <f aca="false">_xlfn.IFS(AND(F3031&gt;=8,G3031&gt;=8,H3031&gt;=8),"CHAMPION",AND(F3031&gt;=6,G3031&gt;=7,H3031&gt;=6),"LOYAL CUSTOMER",AND(F3031&gt;=6,G3031&gt;=5,H3031&gt;=5),"POTENTIAL LOYALIST",AND(F3031&gt;=8,G3031&lt;=2,H3031&gt;=5),"NEW CUSTOMERS",AND(F3031&gt;=6,G3031&lt;=2,H3031&gt;=3),"PROMISING",AND(F3031&gt;=3,G3031&gt;=3,H3031&gt;=3),"NEED ATTENTION",AND(F3031&lt;=4,G3031&gt;=6,H3031&gt;=6),"AT RISK",AND(F3031&lt;=2,G3031&gt;=8,H3031&gt;=8),"CAN'T LOSE THEM",AND(F3031&lt;=2,G3031&lt;=2,H3031&lt;=2),"HIBERNATING",TRUE(),"Other")</f>
        <v>Other</v>
      </c>
      <c r="K3031" s="1" t="n">
        <f aca="false">RANK(E3031,$E$7:$E$4378)+COUNTIF($E$7:E3031,E3031)-1</f>
        <v>3307</v>
      </c>
    </row>
    <row r="3032" customFormat="false" ht="14.25" hidden="false" customHeight="true" outlineLevel="0" collapsed="false">
      <c r="A3032" s="51" t="n">
        <v>16433</v>
      </c>
      <c r="B3032" s="53" t="n">
        <v>40858.5895833333</v>
      </c>
      <c r="C3032" s="57" t="n">
        <f aca="false">INT($C$2)-INT(Table3[[#This Row],[Last Purchase Date]])</f>
        <v>29</v>
      </c>
      <c r="D3032" s="1" t="n">
        <v>1</v>
      </c>
      <c r="E3032" s="1" t="n">
        <v>184.26</v>
      </c>
      <c r="F3032" s="1" t="n">
        <f aca="false">ROUND((1-_xlfn.PERCENTRANK.INC($C$7:$C$4378,C3032))*9,0)</f>
        <v>6</v>
      </c>
      <c r="G3032" s="1" t="n">
        <f aca="false">ROUND(_xlfn.PERCENTRANK.INC($D$7:$D$4378,D3032)*9,0)</f>
        <v>0</v>
      </c>
      <c r="H3032" s="1" t="n">
        <f aca="false">ROUND(_xlfn.PERCENTRANK.INC($E$7:$E$4378,E3032)*9,0)</f>
        <v>1</v>
      </c>
      <c r="I3032" s="1" t="str">
        <f aca="false">CONCATENATE(F3032,G3032,H3032)</f>
        <v>601</v>
      </c>
      <c r="J3032" s="1" t="str">
        <f aca="false">_xlfn.IFS(AND(F3032&gt;=8,G3032&gt;=8,H3032&gt;=8),"CHAMPION",AND(F3032&gt;=6,G3032&gt;=7,H3032&gt;=6),"LOYAL CUSTOMER",AND(F3032&gt;=6,G3032&gt;=5,H3032&gt;=5),"POTENTIAL LOYALIST",AND(F3032&gt;=8,G3032&lt;=2,H3032&gt;=5),"NEW CUSTOMERS",AND(F3032&gt;=6,G3032&lt;=2,H3032&gt;=3),"PROMISING",AND(F3032&gt;=3,G3032&gt;=3,H3032&gt;=3),"NEED ATTENTION",AND(F3032&lt;=4,G3032&gt;=6,H3032&gt;=6),"AT RISK",AND(F3032&lt;=2,G3032&gt;=8,H3032&gt;=8),"CAN'T LOSE THEM",AND(F3032&lt;=2,G3032&lt;=2,H3032&lt;=2),"HIBERNATING",TRUE(),"Other")</f>
        <v>Other</v>
      </c>
      <c r="K3032" s="1" t="n">
        <f aca="false">RANK(E3032,$E$7:$E$4378)+COUNTIF($E$7:E3032,E3032)-1</f>
        <v>3732</v>
      </c>
    </row>
    <row r="3033" customFormat="false" ht="14.25" hidden="false" customHeight="true" outlineLevel="0" collapsed="false">
      <c r="A3033" s="51" t="n">
        <v>16434</v>
      </c>
      <c r="B3033" s="53" t="n">
        <v>40857.6027777778</v>
      </c>
      <c r="C3033" s="57" t="n">
        <f aca="false">INT($C$2)-INT(Table3[[#This Row],[Last Purchase Date]])</f>
        <v>30</v>
      </c>
      <c r="D3033" s="1" t="n">
        <v>7</v>
      </c>
      <c r="E3033" s="1" t="n">
        <v>1522.25</v>
      </c>
      <c r="F3033" s="1" t="n">
        <f aca="false">ROUND((1-_xlfn.PERCENTRANK.INC($C$7:$C$4378,C3033))*9,0)</f>
        <v>6</v>
      </c>
      <c r="G3033" s="1" t="n">
        <f aca="false">ROUND(_xlfn.PERCENTRANK.INC($D$7:$D$4378,D3033)*9,0)</f>
        <v>7</v>
      </c>
      <c r="H3033" s="1" t="n">
        <f aca="false">ROUND(_xlfn.PERCENTRANK.INC($E$7:$E$4378,E3033)*9,0)</f>
        <v>7</v>
      </c>
      <c r="I3033" s="1" t="str">
        <f aca="false">CONCATENATE(F3033,G3033,H3033)</f>
        <v>677</v>
      </c>
      <c r="J3033" s="1" t="str">
        <f aca="false">_xlfn.IFS(AND(F3033&gt;=8,G3033&gt;=8,H3033&gt;=8),"CHAMPION",AND(F3033&gt;=6,G3033&gt;=7,H3033&gt;=6),"LOYAL CUSTOMER",AND(F3033&gt;=6,G3033&gt;=5,H3033&gt;=5),"POTENTIAL LOYALIST",AND(F3033&gt;=8,G3033&lt;=2,H3033&gt;=5),"NEW CUSTOMERS",AND(F3033&gt;=6,G3033&lt;=2,H3033&gt;=3),"PROMISING",AND(F3033&gt;=3,G3033&gt;=3,H3033&gt;=3),"NEED ATTENTION",AND(F3033&lt;=4,G3033&gt;=6,H3033&gt;=6),"AT RISK",AND(F3033&lt;=2,G3033&gt;=8,H3033&gt;=8),"CAN'T LOSE THEM",AND(F3033&lt;=2,G3033&lt;=2,H3033&lt;=2),"HIBERNATING",TRUE(),"Other")</f>
        <v>LOYAL CUSTOMER</v>
      </c>
      <c r="K3033" s="1" t="n">
        <f aca="false">RANK(E3033,$E$7:$E$4378)+COUNTIF($E$7:E3033,E3033)-1</f>
        <v>1147</v>
      </c>
    </row>
    <row r="3034" customFormat="false" ht="14.25" hidden="false" customHeight="true" outlineLevel="0" collapsed="false">
      <c r="A3034" s="51" t="n">
        <v>16438</v>
      </c>
      <c r="B3034" s="53" t="n">
        <v>40881.4520833333</v>
      </c>
      <c r="C3034" s="57" t="n">
        <f aca="false">INT($C$2)-INT(Table3[[#This Row],[Last Purchase Date]])</f>
        <v>6</v>
      </c>
      <c r="D3034" s="1" t="n">
        <v>5</v>
      </c>
      <c r="E3034" s="1" t="n">
        <v>798.35</v>
      </c>
      <c r="F3034" s="1" t="n">
        <f aca="false">ROUND((1-_xlfn.PERCENTRANK.INC($C$7:$C$4378,C3034))*9,0)</f>
        <v>8</v>
      </c>
      <c r="G3034" s="1" t="n">
        <f aca="false">ROUND(_xlfn.PERCENTRANK.INC($D$7:$D$4378,D3034)*9,0)</f>
        <v>6</v>
      </c>
      <c r="H3034" s="1" t="n">
        <f aca="false">ROUND(_xlfn.PERCENTRANK.INC($E$7:$E$4378,E3034)*9,0)</f>
        <v>5</v>
      </c>
      <c r="I3034" s="1" t="str">
        <f aca="false">CONCATENATE(F3034,G3034,H3034)</f>
        <v>865</v>
      </c>
      <c r="J3034" s="1" t="str">
        <f aca="false">_xlfn.IFS(AND(F3034&gt;=8,G3034&gt;=8,H3034&gt;=8),"CHAMPION",AND(F3034&gt;=6,G3034&gt;=7,H3034&gt;=6),"LOYAL CUSTOMER",AND(F3034&gt;=6,G3034&gt;=5,H3034&gt;=5),"POTENTIAL LOYALIST",AND(F3034&gt;=8,G3034&lt;=2,H3034&gt;=5),"NEW CUSTOMERS",AND(F3034&gt;=6,G3034&lt;=2,H3034&gt;=3),"PROMISING",AND(F3034&gt;=3,G3034&gt;=3,H3034&gt;=3),"NEED ATTENTION",AND(F3034&lt;=4,G3034&gt;=6,H3034&gt;=6),"AT RISK",AND(F3034&lt;=2,G3034&gt;=8,H3034&gt;=8),"CAN'T LOSE THEM",AND(F3034&lt;=2,G3034&lt;=2,H3034&lt;=2),"HIBERNATING",TRUE(),"Other")</f>
        <v>POTENTIAL LOYALIST</v>
      </c>
      <c r="K3034" s="1" t="n">
        <f aca="false">RANK(E3034,$E$7:$E$4378)+COUNTIF($E$7:E3034,E3034)-1</f>
        <v>1904</v>
      </c>
    </row>
    <row r="3035" customFormat="false" ht="14.25" hidden="false" customHeight="true" outlineLevel="0" collapsed="false">
      <c r="A3035" s="51" t="n">
        <v>16440</v>
      </c>
      <c r="B3035" s="53" t="n">
        <v>40879.5013888889</v>
      </c>
      <c r="C3035" s="57" t="n">
        <f aca="false">INT($C$2)-INT(Table3[[#This Row],[Last Purchase Date]])</f>
        <v>8</v>
      </c>
      <c r="D3035" s="1" t="n">
        <v>5</v>
      </c>
      <c r="E3035" s="1" t="n">
        <v>3640.67</v>
      </c>
      <c r="F3035" s="1" t="n">
        <f aca="false">ROUND((1-_xlfn.PERCENTRANK.INC($C$7:$C$4378,C3035))*9,0)</f>
        <v>8</v>
      </c>
      <c r="G3035" s="1" t="n">
        <f aca="false">ROUND(_xlfn.PERCENTRANK.INC($D$7:$D$4378,D3035)*9,0)</f>
        <v>6</v>
      </c>
      <c r="H3035" s="1" t="n">
        <f aca="false">ROUND(_xlfn.PERCENTRANK.INC($E$7:$E$4378,E3035)*9,0)</f>
        <v>8</v>
      </c>
      <c r="I3035" s="1" t="str">
        <f aca="false">CONCATENATE(F3035,G3035,H3035)</f>
        <v>868</v>
      </c>
      <c r="J3035" s="1" t="str">
        <f aca="false">_xlfn.IFS(AND(F3035&gt;=8,G3035&gt;=8,H3035&gt;=8),"CHAMPION",AND(F3035&gt;=6,G3035&gt;=7,H3035&gt;=6),"LOYAL CUSTOMER",AND(F3035&gt;=6,G3035&gt;=5,H3035&gt;=5),"POTENTIAL LOYALIST",AND(F3035&gt;=8,G3035&lt;=2,H3035&gt;=5),"NEW CUSTOMERS",AND(F3035&gt;=6,G3035&lt;=2,H3035&gt;=3),"PROMISING",AND(F3035&gt;=3,G3035&gt;=3,H3035&gt;=3),"NEED ATTENTION",AND(F3035&lt;=4,G3035&gt;=6,H3035&gt;=6),"AT RISK",AND(F3035&lt;=2,G3035&gt;=8,H3035&gt;=8),"CAN'T LOSE THEM",AND(F3035&lt;=2,G3035&lt;=2,H3035&lt;=2),"HIBERNATING",TRUE(),"Other")</f>
        <v>POTENTIAL LOYALIST</v>
      </c>
      <c r="K3035" s="1" t="n">
        <f aca="false">RANK(E3035,$E$7:$E$4378)+COUNTIF($E$7:E3035,E3035)-1</f>
        <v>414</v>
      </c>
    </row>
    <row r="3036" customFormat="false" ht="14.25" hidden="false" customHeight="true" outlineLevel="0" collapsed="false">
      <c r="A3036" s="51" t="n">
        <v>16441</v>
      </c>
      <c r="B3036" s="53" t="n">
        <v>40819.7416666667</v>
      </c>
      <c r="C3036" s="57" t="n">
        <f aca="false">INT($C$2)-INT(Table3[[#This Row],[Last Purchase Date]])</f>
        <v>68</v>
      </c>
      <c r="D3036" s="1" t="n">
        <v>2</v>
      </c>
      <c r="E3036" s="1" t="n">
        <v>381.2</v>
      </c>
      <c r="F3036" s="1" t="n">
        <f aca="false">ROUND((1-_xlfn.PERCENTRANK.INC($C$7:$C$4378,C3036))*9,0)</f>
        <v>4</v>
      </c>
      <c r="G3036" s="1" t="n">
        <f aca="false">ROUND(_xlfn.PERCENTRANK.INC($D$7:$D$4378,D3036)*9,0)</f>
        <v>3</v>
      </c>
      <c r="H3036" s="1" t="n">
        <f aca="false">ROUND(_xlfn.PERCENTRANK.INC($E$7:$E$4378,E3036)*9,0)</f>
        <v>3</v>
      </c>
      <c r="I3036" s="1" t="str">
        <f aca="false">CONCATENATE(F3036,G3036,H3036)</f>
        <v>433</v>
      </c>
      <c r="J3036" s="1" t="str">
        <f aca="false">_xlfn.IFS(AND(F3036&gt;=8,G3036&gt;=8,H3036&gt;=8),"CHAMPION",AND(F3036&gt;=6,G3036&gt;=7,H3036&gt;=6),"LOYAL CUSTOMER",AND(F3036&gt;=6,G3036&gt;=5,H3036&gt;=5),"POTENTIAL LOYALIST",AND(F3036&gt;=8,G3036&lt;=2,H3036&gt;=5),"NEW CUSTOMERS",AND(F3036&gt;=6,G3036&lt;=2,H3036&gt;=3),"PROMISING",AND(F3036&gt;=3,G3036&gt;=3,H3036&gt;=3),"NEED ATTENTION",AND(F3036&lt;=4,G3036&gt;=6,H3036&gt;=6),"AT RISK",AND(F3036&lt;=2,G3036&gt;=8,H3036&gt;=8),"CAN'T LOSE THEM",AND(F3036&lt;=2,G3036&lt;=2,H3036&lt;=2),"HIBERNATING",TRUE(),"Other")</f>
        <v>NEED ATTENTION</v>
      </c>
      <c r="K3036" s="1" t="n">
        <f aca="false">RANK(E3036,$E$7:$E$4378)+COUNTIF($E$7:E3036,E3036)-1</f>
        <v>2884</v>
      </c>
    </row>
    <row r="3037" customFormat="false" ht="14.25" hidden="false" customHeight="true" outlineLevel="0" collapsed="false">
      <c r="A3037" s="51" t="n">
        <v>16442</v>
      </c>
      <c r="B3037" s="53" t="n">
        <v>40885.4881944444</v>
      </c>
      <c r="C3037" s="57" t="n">
        <f aca="false">INT($C$2)-INT(Table3[[#This Row],[Last Purchase Date]])</f>
        <v>2</v>
      </c>
      <c r="D3037" s="1" t="n">
        <v>3</v>
      </c>
      <c r="E3037" s="1" t="n">
        <v>616.79</v>
      </c>
      <c r="F3037" s="1" t="n">
        <f aca="false">ROUND((1-_xlfn.PERCENTRANK.INC($C$7:$C$4378,C3037))*9,0)</f>
        <v>9</v>
      </c>
      <c r="G3037" s="1" t="n">
        <f aca="false">ROUND(_xlfn.PERCENTRANK.INC($D$7:$D$4378,D3037)*9,0)</f>
        <v>4</v>
      </c>
      <c r="H3037" s="1" t="n">
        <f aca="false">ROUND(_xlfn.PERCENTRANK.INC($E$7:$E$4378,E3037)*9,0)</f>
        <v>4</v>
      </c>
      <c r="I3037" s="1" t="str">
        <f aca="false">CONCATENATE(F3037,G3037,H3037)</f>
        <v>944</v>
      </c>
      <c r="J3037" s="1" t="str">
        <f aca="false">_xlfn.IFS(AND(F3037&gt;=8,G3037&gt;=8,H3037&gt;=8),"CHAMPION",AND(F3037&gt;=6,G3037&gt;=7,H3037&gt;=6),"LOYAL CUSTOMER",AND(F3037&gt;=6,G3037&gt;=5,H3037&gt;=5),"POTENTIAL LOYALIST",AND(F3037&gt;=8,G3037&lt;=2,H3037&gt;=5),"NEW CUSTOMERS",AND(F3037&gt;=6,G3037&lt;=2,H3037&gt;=3),"PROMISING",AND(F3037&gt;=3,G3037&gt;=3,H3037&gt;=3),"NEED ATTENTION",AND(F3037&lt;=4,G3037&gt;=6,H3037&gt;=6),"AT RISK",AND(F3037&lt;=2,G3037&gt;=8,H3037&gt;=8),"CAN'T LOSE THEM",AND(F3037&lt;=2,G3037&lt;=2,H3037&lt;=2),"HIBERNATING",TRUE(),"Other")</f>
        <v>NEED ATTENTION</v>
      </c>
      <c r="K3037" s="1" t="n">
        <f aca="false">RANK(E3037,$E$7:$E$4378)+COUNTIF($E$7:E3037,E3037)-1</f>
        <v>2266</v>
      </c>
    </row>
    <row r="3038" customFormat="false" ht="14.25" hidden="false" customHeight="true" outlineLevel="0" collapsed="false">
      <c r="A3038" s="51" t="n">
        <v>16444</v>
      </c>
      <c r="B3038" s="53" t="n">
        <v>40840.5763888889</v>
      </c>
      <c r="C3038" s="57" t="n">
        <f aca="false">INT($C$2)-INT(Table3[[#This Row],[Last Purchase Date]])</f>
        <v>47</v>
      </c>
      <c r="D3038" s="1" t="n">
        <v>5</v>
      </c>
      <c r="E3038" s="1" t="n">
        <v>638.77</v>
      </c>
      <c r="F3038" s="1" t="n">
        <f aca="false">ROUND((1-_xlfn.PERCENTRANK.INC($C$7:$C$4378,C3038))*9,0)</f>
        <v>5</v>
      </c>
      <c r="G3038" s="1" t="n">
        <f aca="false">ROUND(_xlfn.PERCENTRANK.INC($D$7:$D$4378,D3038)*9,0)</f>
        <v>6</v>
      </c>
      <c r="H3038" s="1" t="n">
        <f aca="false">ROUND(_xlfn.PERCENTRANK.INC($E$7:$E$4378,E3038)*9,0)</f>
        <v>4</v>
      </c>
      <c r="I3038" s="1" t="str">
        <f aca="false">CONCATENATE(F3038,G3038,H3038)</f>
        <v>564</v>
      </c>
      <c r="J3038" s="1" t="str">
        <f aca="false">_xlfn.IFS(AND(F3038&gt;=8,G3038&gt;=8,H3038&gt;=8),"CHAMPION",AND(F3038&gt;=6,G3038&gt;=7,H3038&gt;=6),"LOYAL CUSTOMER",AND(F3038&gt;=6,G3038&gt;=5,H3038&gt;=5),"POTENTIAL LOYALIST",AND(F3038&gt;=8,G3038&lt;=2,H3038&gt;=5),"NEW CUSTOMERS",AND(F3038&gt;=6,G3038&lt;=2,H3038&gt;=3),"PROMISING",AND(F3038&gt;=3,G3038&gt;=3,H3038&gt;=3),"NEED ATTENTION",AND(F3038&lt;=4,G3038&gt;=6,H3038&gt;=6),"AT RISK",AND(F3038&lt;=2,G3038&gt;=8,H3038&gt;=8),"CAN'T LOSE THEM",AND(F3038&lt;=2,G3038&lt;=2,H3038&lt;=2),"HIBERNATING",TRUE(),"Other")</f>
        <v>NEED ATTENTION</v>
      </c>
      <c r="K3038" s="1" t="n">
        <f aca="false">RANK(E3038,$E$7:$E$4378)+COUNTIF($E$7:E3038,E3038)-1</f>
        <v>2211</v>
      </c>
    </row>
    <row r="3039" customFormat="false" ht="14.25" hidden="false" customHeight="true" outlineLevel="0" collapsed="false">
      <c r="A3039" s="51" t="n">
        <v>16445</v>
      </c>
      <c r="B3039" s="53" t="n">
        <v>40853.5222222222</v>
      </c>
      <c r="C3039" s="57" t="n">
        <f aca="false">INT($C$2)-INT(Table3[[#This Row],[Last Purchase Date]])</f>
        <v>34</v>
      </c>
      <c r="D3039" s="1" t="n">
        <v>1</v>
      </c>
      <c r="E3039" s="1" t="n">
        <v>230.51</v>
      </c>
      <c r="F3039" s="1" t="n">
        <f aca="false">ROUND((1-_xlfn.PERCENTRANK.INC($C$7:$C$4378,C3039))*9,0)</f>
        <v>5</v>
      </c>
      <c r="G3039" s="1" t="n">
        <f aca="false">ROUND(_xlfn.PERCENTRANK.INC($D$7:$D$4378,D3039)*9,0)</f>
        <v>0</v>
      </c>
      <c r="H3039" s="1" t="n">
        <f aca="false">ROUND(_xlfn.PERCENTRANK.INC($E$7:$E$4378,E3039)*9,0)</f>
        <v>2</v>
      </c>
      <c r="I3039" s="1" t="str">
        <f aca="false">CONCATENATE(F3039,G3039,H3039)</f>
        <v>502</v>
      </c>
      <c r="J3039" s="1" t="str">
        <f aca="false">_xlfn.IFS(AND(F3039&gt;=8,G3039&gt;=8,H3039&gt;=8),"CHAMPION",AND(F3039&gt;=6,G3039&gt;=7,H3039&gt;=6),"LOYAL CUSTOMER",AND(F3039&gt;=6,G3039&gt;=5,H3039&gt;=5),"POTENTIAL LOYALIST",AND(F3039&gt;=8,G3039&lt;=2,H3039&gt;=5),"NEW CUSTOMERS",AND(F3039&gt;=6,G3039&lt;=2,H3039&gt;=3),"PROMISING",AND(F3039&gt;=3,G3039&gt;=3,H3039&gt;=3),"NEED ATTENTION",AND(F3039&lt;=4,G3039&gt;=6,H3039&gt;=6),"AT RISK",AND(F3039&lt;=2,G3039&gt;=8,H3039&gt;=8),"CAN'T LOSE THEM",AND(F3039&lt;=2,G3039&lt;=2,H3039&lt;=2),"HIBERNATING",TRUE(),"Other")</f>
        <v>Other</v>
      </c>
      <c r="K3039" s="1" t="n">
        <f aca="false">RANK(E3039,$E$7:$E$4378)+COUNTIF($E$7:E3039,E3039)-1</f>
        <v>3515</v>
      </c>
    </row>
    <row r="3040" customFormat="false" ht="14.25" hidden="false" customHeight="true" outlineLevel="0" collapsed="false">
      <c r="A3040" s="51" t="n">
        <v>16446</v>
      </c>
      <c r="B3040" s="53" t="n">
        <v>40886.39375</v>
      </c>
      <c r="C3040" s="57" t="n">
        <f aca="false">INT($C$2)-INT(Table3[[#This Row],[Last Purchase Date]])</f>
        <v>1</v>
      </c>
      <c r="D3040" s="1" t="n">
        <v>3</v>
      </c>
      <c r="E3040" s="1" t="n">
        <v>2.89999999999418</v>
      </c>
      <c r="F3040" s="1" t="n">
        <f aca="false">ROUND((1-_xlfn.PERCENTRANK.INC($C$7:$C$4378,C3040))*9,0)</f>
        <v>9</v>
      </c>
      <c r="G3040" s="1" t="n">
        <f aca="false">ROUND(_xlfn.PERCENTRANK.INC($D$7:$D$4378,D3040)*9,0)</f>
        <v>4</v>
      </c>
      <c r="H3040" s="1" t="n">
        <f aca="false">ROUND(_xlfn.PERCENTRANK.INC($E$7:$E$4378,E3040)*9,0)</f>
        <v>0</v>
      </c>
      <c r="I3040" s="1" t="str">
        <f aca="false">CONCATENATE(F3040,G3040,H3040)</f>
        <v>940</v>
      </c>
      <c r="J3040" s="1" t="str">
        <f aca="false">_xlfn.IFS(AND(F3040&gt;=8,G3040&gt;=8,H3040&gt;=8),"CHAMPION",AND(F3040&gt;=6,G3040&gt;=7,H3040&gt;=6),"LOYAL CUSTOMER",AND(F3040&gt;=6,G3040&gt;=5,H3040&gt;=5),"POTENTIAL LOYALIST",AND(F3040&gt;=8,G3040&lt;=2,H3040&gt;=5),"NEW CUSTOMERS",AND(F3040&gt;=6,G3040&lt;=2,H3040&gt;=3),"PROMISING",AND(F3040&gt;=3,G3040&gt;=3,H3040&gt;=3),"NEED ATTENTION",AND(F3040&lt;=4,G3040&gt;=6,H3040&gt;=6),"AT RISK",AND(F3040&lt;=2,G3040&gt;=8,H3040&gt;=8),"CAN'T LOSE THEM",AND(F3040&lt;=2,G3040&lt;=2,H3040&lt;=2),"HIBERNATING",TRUE(),"Other")</f>
        <v>Other</v>
      </c>
      <c r="K3040" s="1" t="n">
        <f aca="false">RANK(E3040,$E$7:$E$4378)+COUNTIF($E$7:E3040,E3040)-1</f>
        <v>4317</v>
      </c>
    </row>
    <row r="3041" customFormat="false" ht="14.25" hidden="false" customHeight="true" outlineLevel="0" collapsed="false">
      <c r="A3041" s="51" t="n">
        <v>16447</v>
      </c>
      <c r="B3041" s="53" t="n">
        <v>40751.53125</v>
      </c>
      <c r="C3041" s="57" t="n">
        <f aca="false">INT($C$2)-INT(Table3[[#This Row],[Last Purchase Date]])</f>
        <v>136</v>
      </c>
      <c r="D3041" s="1" t="n">
        <v>1</v>
      </c>
      <c r="E3041" s="1" t="n">
        <v>259.01</v>
      </c>
      <c r="F3041" s="1" t="n">
        <f aca="false">ROUND((1-_xlfn.PERCENTRANK.INC($C$7:$C$4378,C3041))*9,0)</f>
        <v>2</v>
      </c>
      <c r="G3041" s="1" t="n">
        <f aca="false">ROUND(_xlfn.PERCENTRANK.INC($D$7:$D$4378,D3041)*9,0)</f>
        <v>0</v>
      </c>
      <c r="H3041" s="1" t="n">
        <f aca="false">ROUND(_xlfn.PERCENTRANK.INC($E$7:$E$4378,E3041)*9,0)</f>
        <v>2</v>
      </c>
      <c r="I3041" s="1" t="str">
        <f aca="false">CONCATENATE(F3041,G3041,H3041)</f>
        <v>202</v>
      </c>
      <c r="J3041" s="1" t="str">
        <f aca="false">_xlfn.IFS(AND(F3041&gt;=8,G3041&gt;=8,H3041&gt;=8),"CHAMPION",AND(F3041&gt;=6,G3041&gt;=7,H3041&gt;=6),"LOYAL CUSTOMER",AND(F3041&gt;=6,G3041&gt;=5,H3041&gt;=5),"POTENTIAL LOYALIST",AND(F3041&gt;=8,G3041&lt;=2,H3041&gt;=5),"NEW CUSTOMERS",AND(F3041&gt;=6,G3041&lt;=2,H3041&gt;=3),"PROMISING",AND(F3041&gt;=3,G3041&gt;=3,H3041&gt;=3),"NEED ATTENTION",AND(F3041&lt;=4,G3041&gt;=6,H3041&gt;=6),"AT RISK",AND(F3041&lt;=2,G3041&gt;=8,H3041&gt;=8),"CAN'T LOSE THEM",AND(F3041&lt;=2,G3041&lt;=2,H3041&lt;=2),"HIBERNATING",TRUE(),"Other")</f>
        <v>HIBERNATING</v>
      </c>
      <c r="K3041" s="1" t="n">
        <f aca="false">RANK(E3041,$E$7:$E$4378)+COUNTIF($E$7:E3041,E3041)-1</f>
        <v>3401</v>
      </c>
    </row>
    <row r="3042" customFormat="false" ht="14.25" hidden="false" customHeight="true" outlineLevel="0" collapsed="false">
      <c r="A3042" s="51" t="n">
        <v>16448</v>
      </c>
      <c r="B3042" s="53" t="n">
        <v>40688.6861111111</v>
      </c>
      <c r="C3042" s="57" t="n">
        <f aca="false">INT($C$2)-INT(Table3[[#This Row],[Last Purchase Date]])</f>
        <v>199</v>
      </c>
      <c r="D3042" s="1" t="n">
        <v>1</v>
      </c>
      <c r="E3042" s="1" t="n">
        <v>188.89</v>
      </c>
      <c r="F3042" s="1" t="n">
        <f aca="false">ROUND((1-_xlfn.PERCENTRANK.INC($C$7:$C$4378,C3042))*9,0)</f>
        <v>2</v>
      </c>
      <c r="G3042" s="1" t="n">
        <f aca="false">ROUND(_xlfn.PERCENTRANK.INC($D$7:$D$4378,D3042)*9,0)</f>
        <v>0</v>
      </c>
      <c r="H3042" s="1" t="n">
        <f aca="false">ROUND(_xlfn.PERCENTRANK.INC($E$7:$E$4378,E3042)*9,0)</f>
        <v>1</v>
      </c>
      <c r="I3042" s="1" t="str">
        <f aca="false">CONCATENATE(F3042,G3042,H3042)</f>
        <v>201</v>
      </c>
      <c r="J3042" s="1" t="str">
        <f aca="false">_xlfn.IFS(AND(F3042&gt;=8,G3042&gt;=8,H3042&gt;=8),"CHAMPION",AND(F3042&gt;=6,G3042&gt;=7,H3042&gt;=6),"LOYAL CUSTOMER",AND(F3042&gt;=6,G3042&gt;=5,H3042&gt;=5),"POTENTIAL LOYALIST",AND(F3042&gt;=8,G3042&lt;=2,H3042&gt;=5),"NEW CUSTOMERS",AND(F3042&gt;=6,G3042&lt;=2,H3042&gt;=3),"PROMISING",AND(F3042&gt;=3,G3042&gt;=3,H3042&gt;=3),"NEED ATTENTION",AND(F3042&lt;=4,G3042&gt;=6,H3042&gt;=6),"AT RISK",AND(F3042&lt;=2,G3042&gt;=8,H3042&gt;=8),"CAN'T LOSE THEM",AND(F3042&lt;=2,G3042&lt;=2,H3042&lt;=2),"HIBERNATING",TRUE(),"Other")</f>
        <v>HIBERNATING</v>
      </c>
      <c r="K3042" s="1" t="n">
        <f aca="false">RANK(E3042,$E$7:$E$4378)+COUNTIF($E$7:E3042,E3042)-1</f>
        <v>3713</v>
      </c>
    </row>
    <row r="3043" customFormat="false" ht="14.25" hidden="false" customHeight="true" outlineLevel="0" collapsed="false">
      <c r="A3043" s="51" t="n">
        <v>16449</v>
      </c>
      <c r="B3043" s="53" t="n">
        <v>40696.4631944444</v>
      </c>
      <c r="C3043" s="57" t="n">
        <f aca="false">INT($C$2)-INT(Table3[[#This Row],[Last Purchase Date]])</f>
        <v>191</v>
      </c>
      <c r="D3043" s="1" t="n">
        <v>3</v>
      </c>
      <c r="E3043" s="1" t="n">
        <v>674.69</v>
      </c>
      <c r="F3043" s="1" t="n">
        <f aca="false">ROUND((1-_xlfn.PERCENTRANK.INC($C$7:$C$4378,C3043))*9,0)</f>
        <v>2</v>
      </c>
      <c r="G3043" s="1" t="n">
        <f aca="false">ROUND(_xlfn.PERCENTRANK.INC($D$7:$D$4378,D3043)*9,0)</f>
        <v>4</v>
      </c>
      <c r="H3043" s="1" t="n">
        <f aca="false">ROUND(_xlfn.PERCENTRANK.INC($E$7:$E$4378,E3043)*9,0)</f>
        <v>5</v>
      </c>
      <c r="I3043" s="1" t="str">
        <f aca="false">CONCATENATE(F3043,G3043,H3043)</f>
        <v>245</v>
      </c>
      <c r="J3043" s="1" t="str">
        <f aca="false">_xlfn.IFS(AND(F3043&gt;=8,G3043&gt;=8,H3043&gt;=8),"CHAMPION",AND(F3043&gt;=6,G3043&gt;=7,H3043&gt;=6),"LOYAL CUSTOMER",AND(F3043&gt;=6,G3043&gt;=5,H3043&gt;=5),"POTENTIAL LOYALIST",AND(F3043&gt;=8,G3043&lt;=2,H3043&gt;=5),"NEW CUSTOMERS",AND(F3043&gt;=6,G3043&lt;=2,H3043&gt;=3),"PROMISING",AND(F3043&gt;=3,G3043&gt;=3,H3043&gt;=3),"NEED ATTENTION",AND(F3043&lt;=4,G3043&gt;=6,H3043&gt;=6),"AT RISK",AND(F3043&lt;=2,G3043&gt;=8,H3043&gt;=8),"CAN'T LOSE THEM",AND(F3043&lt;=2,G3043&lt;=2,H3043&lt;=2),"HIBERNATING",TRUE(),"Other")</f>
        <v>Other</v>
      </c>
      <c r="K3043" s="1" t="n">
        <f aca="false">RANK(E3043,$E$7:$E$4378)+COUNTIF($E$7:E3043,E3043)-1</f>
        <v>2118</v>
      </c>
    </row>
    <row r="3044" customFormat="false" ht="14.25" hidden="false" customHeight="true" outlineLevel="0" collapsed="false">
      <c r="A3044" s="51" t="n">
        <v>16450</v>
      </c>
      <c r="B3044" s="53" t="n">
        <v>40737.4909722222</v>
      </c>
      <c r="C3044" s="57" t="n">
        <f aca="false">INT($C$2)-INT(Table3[[#This Row],[Last Purchase Date]])</f>
        <v>150</v>
      </c>
      <c r="D3044" s="1" t="n">
        <v>1</v>
      </c>
      <c r="E3044" s="1" t="n">
        <v>311.92</v>
      </c>
      <c r="F3044" s="1" t="n">
        <f aca="false">ROUND((1-_xlfn.PERCENTRANK.INC($C$7:$C$4378,C3044))*9,0)</f>
        <v>2</v>
      </c>
      <c r="G3044" s="1" t="n">
        <f aca="false">ROUND(_xlfn.PERCENTRANK.INC($D$7:$D$4378,D3044)*9,0)</f>
        <v>0</v>
      </c>
      <c r="H3044" s="1" t="n">
        <f aca="false">ROUND(_xlfn.PERCENTRANK.INC($E$7:$E$4378,E3044)*9,0)</f>
        <v>2</v>
      </c>
      <c r="I3044" s="1" t="str">
        <f aca="false">CONCATENATE(F3044,G3044,H3044)</f>
        <v>202</v>
      </c>
      <c r="J3044" s="1" t="str">
        <f aca="false">_xlfn.IFS(AND(F3044&gt;=8,G3044&gt;=8,H3044&gt;=8),"CHAMPION",AND(F3044&gt;=6,G3044&gt;=7,H3044&gt;=6),"LOYAL CUSTOMER",AND(F3044&gt;=6,G3044&gt;=5,H3044&gt;=5),"POTENTIAL LOYALIST",AND(F3044&gt;=8,G3044&lt;=2,H3044&gt;=5),"NEW CUSTOMERS",AND(F3044&gt;=6,G3044&lt;=2,H3044&gt;=3),"PROMISING",AND(F3044&gt;=3,G3044&gt;=3,H3044&gt;=3),"NEED ATTENTION",AND(F3044&lt;=4,G3044&gt;=6,H3044&gt;=6),"AT RISK",AND(F3044&lt;=2,G3044&gt;=8,H3044&gt;=8),"CAN'T LOSE THEM",AND(F3044&lt;=2,G3044&lt;=2,H3044&lt;=2),"HIBERNATING",TRUE(),"Other")</f>
        <v>HIBERNATING</v>
      </c>
      <c r="K3044" s="1" t="n">
        <f aca="false">RANK(E3044,$E$7:$E$4378)+COUNTIF($E$7:E3044,E3044)-1</f>
        <v>3182</v>
      </c>
    </row>
    <row r="3045" customFormat="false" ht="14.25" hidden="false" customHeight="true" outlineLevel="0" collapsed="false">
      <c r="A3045" s="51" t="n">
        <v>16451</v>
      </c>
      <c r="B3045" s="53" t="n">
        <v>40799.3868055556</v>
      </c>
      <c r="C3045" s="57" t="n">
        <f aca="false">INT($C$2)-INT(Table3[[#This Row],[Last Purchase Date]])</f>
        <v>88</v>
      </c>
      <c r="D3045" s="1" t="n">
        <v>1</v>
      </c>
      <c r="E3045" s="1" t="n">
        <v>266.97</v>
      </c>
      <c r="F3045" s="1" t="n">
        <f aca="false">ROUND((1-_xlfn.PERCENTRANK.INC($C$7:$C$4378,C3045))*9,0)</f>
        <v>3</v>
      </c>
      <c r="G3045" s="1" t="n">
        <f aca="false">ROUND(_xlfn.PERCENTRANK.INC($D$7:$D$4378,D3045)*9,0)</f>
        <v>0</v>
      </c>
      <c r="H3045" s="1" t="n">
        <f aca="false">ROUND(_xlfn.PERCENTRANK.INC($E$7:$E$4378,E3045)*9,0)</f>
        <v>2</v>
      </c>
      <c r="I3045" s="1" t="str">
        <f aca="false">CONCATENATE(F3045,G3045,H3045)</f>
        <v>302</v>
      </c>
      <c r="J3045" s="1" t="str">
        <f aca="false">_xlfn.IFS(AND(F3045&gt;=8,G3045&gt;=8,H3045&gt;=8),"CHAMPION",AND(F3045&gt;=6,G3045&gt;=7,H3045&gt;=6),"LOYAL CUSTOMER",AND(F3045&gt;=6,G3045&gt;=5,H3045&gt;=5),"POTENTIAL LOYALIST",AND(F3045&gt;=8,G3045&lt;=2,H3045&gt;=5),"NEW CUSTOMERS",AND(F3045&gt;=6,G3045&lt;=2,H3045&gt;=3),"PROMISING",AND(F3045&gt;=3,G3045&gt;=3,H3045&gt;=3),"NEED ATTENTION",AND(F3045&lt;=4,G3045&gt;=6,H3045&gt;=6),"AT RISK",AND(F3045&lt;=2,G3045&gt;=8,H3045&gt;=8),"CAN'T LOSE THEM",AND(F3045&lt;=2,G3045&lt;=2,H3045&lt;=2),"HIBERNATING",TRUE(),"Other")</f>
        <v>Other</v>
      </c>
      <c r="K3045" s="1" t="n">
        <f aca="false">RANK(E3045,$E$7:$E$4378)+COUNTIF($E$7:E3045,E3045)-1</f>
        <v>3373</v>
      </c>
    </row>
    <row r="3046" customFormat="false" ht="14.25" hidden="false" customHeight="true" outlineLevel="0" collapsed="false">
      <c r="A3046" s="51" t="n">
        <v>16454</v>
      </c>
      <c r="B3046" s="53" t="n">
        <v>40842.4861111111</v>
      </c>
      <c r="C3046" s="57" t="n">
        <f aca="false">INT($C$2)-INT(Table3[[#This Row],[Last Purchase Date]])</f>
        <v>45</v>
      </c>
      <c r="D3046" s="1" t="n">
        <v>3</v>
      </c>
      <c r="E3046" s="1" t="n">
        <v>-8.15</v>
      </c>
      <c r="F3046" s="1" t="n">
        <f aca="false">ROUND((1-_xlfn.PERCENTRANK.INC($C$7:$C$4378,C3046))*9,0)</f>
        <v>5</v>
      </c>
      <c r="G3046" s="1" t="n">
        <f aca="false">ROUND(_xlfn.PERCENTRANK.INC($D$7:$D$4378,D3046)*9,0)</f>
        <v>4</v>
      </c>
      <c r="H3046" s="1" t="n">
        <f aca="false">ROUND(_xlfn.PERCENTRANK.INC($E$7:$E$4378,E3046)*9,0)</f>
        <v>0</v>
      </c>
      <c r="I3046" s="1" t="str">
        <f aca="false">CONCATENATE(F3046,G3046,H3046)</f>
        <v>540</v>
      </c>
      <c r="J3046" s="1" t="str">
        <f aca="false">_xlfn.IFS(AND(F3046&gt;=8,G3046&gt;=8,H3046&gt;=8),"CHAMPION",AND(F3046&gt;=6,G3046&gt;=7,H3046&gt;=6),"LOYAL CUSTOMER",AND(F3046&gt;=6,G3046&gt;=5,H3046&gt;=5),"POTENTIAL LOYALIST",AND(F3046&gt;=8,G3046&lt;=2,H3046&gt;=5),"NEW CUSTOMERS",AND(F3046&gt;=6,G3046&lt;=2,H3046&gt;=3),"PROMISING",AND(F3046&gt;=3,G3046&gt;=3,H3046&gt;=3),"NEED ATTENTION",AND(F3046&lt;=4,G3046&gt;=6,H3046&gt;=6),"AT RISK",AND(F3046&lt;=2,G3046&gt;=8,H3046&gt;=8),"CAN'T LOSE THEM",AND(F3046&lt;=2,G3046&lt;=2,H3046&lt;=2),"HIBERNATING",TRUE(),"Other")</f>
        <v>Other</v>
      </c>
      <c r="K3046" s="1" t="n">
        <f aca="false">RANK(E3046,$E$7:$E$4378)+COUNTIF($E$7:E3046,E3046)-1</f>
        <v>4339</v>
      </c>
    </row>
    <row r="3047" customFormat="false" ht="14.25" hidden="false" customHeight="true" outlineLevel="0" collapsed="false">
      <c r="A3047" s="51" t="n">
        <v>16455</v>
      </c>
      <c r="B3047" s="53" t="n">
        <v>40823.5118055556</v>
      </c>
      <c r="C3047" s="57" t="n">
        <f aca="false">INT($C$2)-INT(Table3[[#This Row],[Last Purchase Date]])</f>
        <v>64</v>
      </c>
      <c r="D3047" s="1" t="n">
        <v>7</v>
      </c>
      <c r="E3047" s="1" t="n">
        <v>1841.18</v>
      </c>
      <c r="F3047" s="1" t="n">
        <f aca="false">ROUND((1-_xlfn.PERCENTRANK.INC($C$7:$C$4378,C3047))*9,0)</f>
        <v>4</v>
      </c>
      <c r="G3047" s="1" t="n">
        <f aca="false">ROUND(_xlfn.PERCENTRANK.INC($D$7:$D$4378,D3047)*9,0)</f>
        <v>7</v>
      </c>
      <c r="H3047" s="1" t="n">
        <f aca="false">ROUND(_xlfn.PERCENTRANK.INC($E$7:$E$4378,E3047)*9,0)</f>
        <v>7</v>
      </c>
      <c r="I3047" s="1" t="str">
        <f aca="false">CONCATENATE(F3047,G3047,H3047)</f>
        <v>477</v>
      </c>
      <c r="J3047" s="1" t="str">
        <f aca="false">_xlfn.IFS(AND(F3047&gt;=8,G3047&gt;=8,H3047&gt;=8),"CHAMPION",AND(F3047&gt;=6,G3047&gt;=7,H3047&gt;=6),"LOYAL CUSTOMER",AND(F3047&gt;=6,G3047&gt;=5,H3047&gt;=5),"POTENTIAL LOYALIST",AND(F3047&gt;=8,G3047&lt;=2,H3047&gt;=5),"NEW CUSTOMERS",AND(F3047&gt;=6,G3047&lt;=2,H3047&gt;=3),"PROMISING",AND(F3047&gt;=3,G3047&gt;=3,H3047&gt;=3),"NEED ATTENTION",AND(F3047&lt;=4,G3047&gt;=6,H3047&gt;=6),"AT RISK",AND(F3047&lt;=2,G3047&gt;=8,H3047&gt;=8),"CAN'T LOSE THEM",AND(F3047&lt;=2,G3047&lt;=2,H3047&lt;=2),"HIBERNATING",TRUE(),"Other")</f>
        <v>NEED ATTENTION</v>
      </c>
      <c r="K3047" s="1" t="n">
        <f aca="false">RANK(E3047,$E$7:$E$4378)+COUNTIF($E$7:E3047,E3047)-1</f>
        <v>953</v>
      </c>
    </row>
    <row r="3048" customFormat="false" ht="14.25" hidden="false" customHeight="true" outlineLevel="0" collapsed="false">
      <c r="A3048" s="51" t="n">
        <v>16456</v>
      </c>
      <c r="B3048" s="53" t="n">
        <v>40787.5763888889</v>
      </c>
      <c r="C3048" s="57" t="n">
        <f aca="false">INT($C$2)-INT(Table3[[#This Row],[Last Purchase Date]])</f>
        <v>100</v>
      </c>
      <c r="D3048" s="1" t="n">
        <v>5</v>
      </c>
      <c r="E3048" s="1" t="n">
        <v>2158.37</v>
      </c>
      <c r="F3048" s="1" t="n">
        <f aca="false">ROUND((1-_xlfn.PERCENTRANK.INC($C$7:$C$4378,C3048))*9,0)</f>
        <v>3</v>
      </c>
      <c r="G3048" s="1" t="n">
        <f aca="false">ROUND(_xlfn.PERCENTRANK.INC($D$7:$D$4378,D3048)*9,0)</f>
        <v>6</v>
      </c>
      <c r="H3048" s="1" t="n">
        <f aca="false">ROUND(_xlfn.PERCENTRANK.INC($E$7:$E$4378,E3048)*9,0)</f>
        <v>7</v>
      </c>
      <c r="I3048" s="1" t="str">
        <f aca="false">CONCATENATE(F3048,G3048,H3048)</f>
        <v>367</v>
      </c>
      <c r="J3048" s="1" t="str">
        <f aca="false">_xlfn.IFS(AND(F3048&gt;=8,G3048&gt;=8,H3048&gt;=8),"CHAMPION",AND(F3048&gt;=6,G3048&gt;=7,H3048&gt;=6),"LOYAL CUSTOMER",AND(F3048&gt;=6,G3048&gt;=5,H3048&gt;=5),"POTENTIAL LOYALIST",AND(F3048&gt;=8,G3048&lt;=2,H3048&gt;=5),"NEW CUSTOMERS",AND(F3048&gt;=6,G3048&lt;=2,H3048&gt;=3),"PROMISING",AND(F3048&gt;=3,G3048&gt;=3,H3048&gt;=3),"NEED ATTENTION",AND(F3048&lt;=4,G3048&gt;=6,H3048&gt;=6),"AT RISK",AND(F3048&lt;=2,G3048&gt;=8,H3048&gt;=8),"CAN'T LOSE THEM",AND(F3048&lt;=2,G3048&lt;=2,H3048&lt;=2),"HIBERNATING",TRUE(),"Other")</f>
        <v>NEED ATTENTION</v>
      </c>
      <c r="K3048" s="1" t="n">
        <f aca="false">RANK(E3048,$E$7:$E$4378)+COUNTIF($E$7:E3048,E3048)-1</f>
        <v>800</v>
      </c>
    </row>
    <row r="3049" customFormat="false" ht="14.25" hidden="false" customHeight="true" outlineLevel="0" collapsed="false">
      <c r="A3049" s="51" t="n">
        <v>16457</v>
      </c>
      <c r="B3049" s="53" t="n">
        <v>40668.5548611111</v>
      </c>
      <c r="C3049" s="57" t="n">
        <f aca="false">INT($C$2)-INT(Table3[[#This Row],[Last Purchase Date]])</f>
        <v>219</v>
      </c>
      <c r="D3049" s="1" t="n">
        <v>1</v>
      </c>
      <c r="E3049" s="1" t="n">
        <v>208.36</v>
      </c>
      <c r="F3049" s="1" t="n">
        <f aca="false">ROUND((1-_xlfn.PERCENTRANK.INC($C$7:$C$4378,C3049))*9,0)</f>
        <v>1</v>
      </c>
      <c r="G3049" s="1" t="n">
        <f aca="false">ROUND(_xlfn.PERCENTRANK.INC($D$7:$D$4378,D3049)*9,0)</f>
        <v>0</v>
      </c>
      <c r="H3049" s="1" t="n">
        <f aca="false">ROUND(_xlfn.PERCENTRANK.INC($E$7:$E$4378,E3049)*9,0)</f>
        <v>2</v>
      </c>
      <c r="I3049" s="1" t="str">
        <f aca="false">CONCATENATE(F3049,G3049,H3049)</f>
        <v>102</v>
      </c>
      <c r="J3049" s="1" t="str">
        <f aca="false">_xlfn.IFS(AND(F3049&gt;=8,G3049&gt;=8,H3049&gt;=8),"CHAMPION",AND(F3049&gt;=6,G3049&gt;=7,H3049&gt;=6),"LOYAL CUSTOMER",AND(F3049&gt;=6,G3049&gt;=5,H3049&gt;=5),"POTENTIAL LOYALIST",AND(F3049&gt;=8,G3049&lt;=2,H3049&gt;=5),"NEW CUSTOMERS",AND(F3049&gt;=6,G3049&lt;=2,H3049&gt;=3),"PROMISING",AND(F3049&gt;=3,G3049&gt;=3,H3049&gt;=3),"NEED ATTENTION",AND(F3049&lt;=4,G3049&gt;=6,H3049&gt;=6),"AT RISK",AND(F3049&lt;=2,G3049&gt;=8,H3049&gt;=8),"CAN'T LOSE THEM",AND(F3049&lt;=2,G3049&lt;=2,H3049&lt;=2),"HIBERNATING",TRUE(),"Other")</f>
        <v>HIBERNATING</v>
      </c>
      <c r="K3049" s="1" t="n">
        <f aca="false">RANK(E3049,$E$7:$E$4378)+COUNTIF($E$7:E3049,E3049)-1</f>
        <v>3619</v>
      </c>
    </row>
    <row r="3050" customFormat="false" ht="14.25" hidden="false" customHeight="true" outlineLevel="0" collapsed="false">
      <c r="A3050" s="51" t="n">
        <v>16458</v>
      </c>
      <c r="B3050" s="53" t="n">
        <v>40884.3986111111</v>
      </c>
      <c r="C3050" s="57" t="n">
        <f aca="false">INT($C$2)-INT(Table3[[#This Row],[Last Purchase Date]])</f>
        <v>3</v>
      </c>
      <c r="D3050" s="1" t="n">
        <v>18</v>
      </c>
      <c r="E3050" s="1" t="n">
        <v>3482.74</v>
      </c>
      <c r="F3050" s="1" t="n">
        <f aca="false">ROUND((1-_xlfn.PERCENTRANK.INC($C$7:$C$4378,C3050))*9,0)</f>
        <v>9</v>
      </c>
      <c r="G3050" s="1" t="n">
        <f aca="false">ROUND(_xlfn.PERCENTRANK.INC($D$7:$D$4378,D3050)*9,0)</f>
        <v>9</v>
      </c>
      <c r="H3050" s="1" t="n">
        <f aca="false">ROUND(_xlfn.PERCENTRANK.INC($E$7:$E$4378,E3050)*9,0)</f>
        <v>8</v>
      </c>
      <c r="I3050" s="1" t="str">
        <f aca="false">CONCATENATE(F3050,G3050,H3050)</f>
        <v>998</v>
      </c>
      <c r="J3050" s="1" t="str">
        <f aca="false">_xlfn.IFS(AND(F3050&gt;=8,G3050&gt;=8,H3050&gt;=8),"CHAMPION",AND(F3050&gt;=6,G3050&gt;=7,H3050&gt;=6),"LOYAL CUSTOMER",AND(F3050&gt;=6,G3050&gt;=5,H3050&gt;=5),"POTENTIAL LOYALIST",AND(F3050&gt;=8,G3050&lt;=2,H3050&gt;=5),"NEW CUSTOMERS",AND(F3050&gt;=6,G3050&lt;=2,H3050&gt;=3),"PROMISING",AND(F3050&gt;=3,G3050&gt;=3,H3050&gt;=3),"NEED ATTENTION",AND(F3050&lt;=4,G3050&gt;=6,H3050&gt;=6),"AT RISK",AND(F3050&lt;=2,G3050&gt;=8,H3050&gt;=8),"CAN'T LOSE THEM",AND(F3050&lt;=2,G3050&lt;=2,H3050&lt;=2),"HIBERNATING",TRUE(),"Other")</f>
        <v>CHAMPION</v>
      </c>
      <c r="K3050" s="1" t="n">
        <f aca="false">RANK(E3050,$E$7:$E$4378)+COUNTIF($E$7:E3050,E3050)-1</f>
        <v>441</v>
      </c>
    </row>
    <row r="3051" customFormat="false" ht="14.25" hidden="false" customHeight="true" outlineLevel="0" collapsed="false">
      <c r="A3051" s="51" t="n">
        <v>16460</v>
      </c>
      <c r="B3051" s="53" t="n">
        <v>40858.5736111111</v>
      </c>
      <c r="C3051" s="57" t="n">
        <f aca="false">INT($C$2)-INT(Table3[[#This Row],[Last Purchase Date]])</f>
        <v>29</v>
      </c>
      <c r="D3051" s="1" t="n">
        <v>3</v>
      </c>
      <c r="E3051" s="1" t="n">
        <v>814.72</v>
      </c>
      <c r="F3051" s="1" t="n">
        <f aca="false">ROUND((1-_xlfn.PERCENTRANK.INC($C$7:$C$4378,C3051))*9,0)</f>
        <v>6</v>
      </c>
      <c r="G3051" s="1" t="n">
        <f aca="false">ROUND(_xlfn.PERCENTRANK.INC($D$7:$D$4378,D3051)*9,0)</f>
        <v>4</v>
      </c>
      <c r="H3051" s="1" t="n">
        <f aca="false">ROUND(_xlfn.PERCENTRANK.INC($E$7:$E$4378,E3051)*9,0)</f>
        <v>5</v>
      </c>
      <c r="I3051" s="1" t="str">
        <f aca="false">CONCATENATE(F3051,G3051,H3051)</f>
        <v>645</v>
      </c>
      <c r="J3051" s="1" t="str">
        <f aca="false">_xlfn.IFS(AND(F3051&gt;=8,G3051&gt;=8,H3051&gt;=8),"CHAMPION",AND(F3051&gt;=6,G3051&gt;=7,H3051&gt;=6),"LOYAL CUSTOMER",AND(F3051&gt;=6,G3051&gt;=5,H3051&gt;=5),"POTENTIAL LOYALIST",AND(F3051&gt;=8,G3051&lt;=2,H3051&gt;=5),"NEW CUSTOMERS",AND(F3051&gt;=6,G3051&lt;=2,H3051&gt;=3),"PROMISING",AND(F3051&gt;=3,G3051&gt;=3,H3051&gt;=3),"NEED ATTENTION",AND(F3051&lt;=4,G3051&gt;=6,H3051&gt;=6),"AT RISK",AND(F3051&lt;=2,G3051&gt;=8,H3051&gt;=8),"CAN'T LOSE THEM",AND(F3051&lt;=2,G3051&lt;=2,H3051&lt;=2),"HIBERNATING",TRUE(),"Other")</f>
        <v>NEED ATTENTION</v>
      </c>
      <c r="K3051" s="1" t="n">
        <f aca="false">RANK(E3051,$E$7:$E$4378)+COUNTIF($E$7:E3051,E3051)-1</f>
        <v>1873</v>
      </c>
    </row>
    <row r="3052" customFormat="false" ht="14.25" hidden="false" customHeight="true" outlineLevel="0" collapsed="false">
      <c r="A3052" s="51" t="n">
        <v>16461</v>
      </c>
      <c r="B3052" s="53" t="n">
        <v>40709.5048611111</v>
      </c>
      <c r="C3052" s="57" t="n">
        <f aca="false">INT($C$2)-INT(Table3[[#This Row],[Last Purchase Date]])</f>
        <v>178</v>
      </c>
      <c r="D3052" s="1" t="n">
        <v>1</v>
      </c>
      <c r="E3052" s="1" t="n">
        <v>151.42</v>
      </c>
      <c r="F3052" s="1" t="n">
        <f aca="false">ROUND((1-_xlfn.PERCENTRANK.INC($C$7:$C$4378,C3052))*9,0)</f>
        <v>2</v>
      </c>
      <c r="G3052" s="1" t="n">
        <f aca="false">ROUND(_xlfn.PERCENTRANK.INC($D$7:$D$4378,D3052)*9,0)</f>
        <v>0</v>
      </c>
      <c r="H3052" s="1" t="n">
        <f aca="false">ROUND(_xlfn.PERCENTRANK.INC($E$7:$E$4378,E3052)*9,0)</f>
        <v>1</v>
      </c>
      <c r="I3052" s="1" t="str">
        <f aca="false">CONCATENATE(F3052,G3052,H3052)</f>
        <v>201</v>
      </c>
      <c r="J3052" s="1" t="str">
        <f aca="false">_xlfn.IFS(AND(F3052&gt;=8,G3052&gt;=8,H3052&gt;=8),"CHAMPION",AND(F3052&gt;=6,G3052&gt;=7,H3052&gt;=6),"LOYAL CUSTOMER",AND(F3052&gt;=6,G3052&gt;=5,H3052&gt;=5),"POTENTIAL LOYALIST",AND(F3052&gt;=8,G3052&lt;=2,H3052&gt;=5),"NEW CUSTOMERS",AND(F3052&gt;=6,G3052&lt;=2,H3052&gt;=3),"PROMISING",AND(F3052&gt;=3,G3052&gt;=3,H3052&gt;=3),"NEED ATTENTION",AND(F3052&lt;=4,G3052&gt;=6,H3052&gt;=6),"AT RISK",AND(F3052&lt;=2,G3052&gt;=8,H3052&gt;=8),"CAN'T LOSE THEM",AND(F3052&lt;=2,G3052&lt;=2,H3052&lt;=2),"HIBERNATING",TRUE(),"Other")</f>
        <v>HIBERNATING</v>
      </c>
      <c r="K3052" s="1" t="n">
        <f aca="false">RANK(E3052,$E$7:$E$4378)+COUNTIF($E$7:E3052,E3052)-1</f>
        <v>3913</v>
      </c>
    </row>
    <row r="3053" customFormat="false" ht="14.25" hidden="false" customHeight="true" outlineLevel="0" collapsed="false">
      <c r="A3053" s="51" t="n">
        <v>16462</v>
      </c>
      <c r="B3053" s="53" t="n">
        <v>40822.7611111111</v>
      </c>
      <c r="C3053" s="57" t="n">
        <f aca="false">INT($C$2)-INT(Table3[[#This Row],[Last Purchase Date]])</f>
        <v>65</v>
      </c>
      <c r="D3053" s="1" t="n">
        <v>4</v>
      </c>
      <c r="E3053" s="1" t="n">
        <v>102</v>
      </c>
      <c r="F3053" s="1" t="n">
        <f aca="false">ROUND((1-_xlfn.PERCENTRANK.INC($C$7:$C$4378,C3053))*9,0)</f>
        <v>4</v>
      </c>
      <c r="G3053" s="1" t="n">
        <f aca="false">ROUND(_xlfn.PERCENTRANK.INC($D$7:$D$4378,D3053)*9,0)</f>
        <v>5</v>
      </c>
      <c r="H3053" s="1" t="n">
        <f aca="false">ROUND(_xlfn.PERCENTRANK.INC($E$7:$E$4378,E3053)*9,0)</f>
        <v>0</v>
      </c>
      <c r="I3053" s="1" t="str">
        <f aca="false">CONCATENATE(F3053,G3053,H3053)</f>
        <v>450</v>
      </c>
      <c r="J3053" s="1" t="str">
        <f aca="false">_xlfn.IFS(AND(F3053&gt;=8,G3053&gt;=8,H3053&gt;=8),"CHAMPION",AND(F3053&gt;=6,G3053&gt;=7,H3053&gt;=6),"LOYAL CUSTOMER",AND(F3053&gt;=6,G3053&gt;=5,H3053&gt;=5),"POTENTIAL LOYALIST",AND(F3053&gt;=8,G3053&lt;=2,H3053&gt;=5),"NEW CUSTOMERS",AND(F3053&gt;=6,G3053&lt;=2,H3053&gt;=3),"PROMISING",AND(F3053&gt;=3,G3053&gt;=3,H3053&gt;=3),"NEED ATTENTION",AND(F3053&lt;=4,G3053&gt;=6,H3053&gt;=6),"AT RISK",AND(F3053&lt;=2,G3053&gt;=8,H3053&gt;=8),"CAN'T LOSE THEM",AND(F3053&lt;=2,G3053&lt;=2,H3053&lt;=2),"HIBERNATING",TRUE(),"Other")</f>
        <v>Other</v>
      </c>
      <c r="K3053" s="1" t="n">
        <f aca="false">RANK(E3053,$E$7:$E$4378)+COUNTIF($E$7:E3053,E3053)-1</f>
        <v>4146</v>
      </c>
    </row>
    <row r="3054" customFormat="false" ht="14.25" hidden="false" customHeight="true" outlineLevel="0" collapsed="false">
      <c r="A3054" s="51" t="n">
        <v>16463</v>
      </c>
      <c r="B3054" s="53" t="n">
        <v>40865.5840277778</v>
      </c>
      <c r="C3054" s="57" t="n">
        <f aca="false">INT($C$2)-INT(Table3[[#This Row],[Last Purchase Date]])</f>
        <v>22</v>
      </c>
      <c r="D3054" s="1" t="n">
        <v>7</v>
      </c>
      <c r="E3054" s="1" t="n">
        <v>1383.7</v>
      </c>
      <c r="F3054" s="1" t="n">
        <f aca="false">ROUND((1-_xlfn.PERCENTRANK.INC($C$7:$C$4378,C3054))*9,0)</f>
        <v>6</v>
      </c>
      <c r="G3054" s="1" t="n">
        <f aca="false">ROUND(_xlfn.PERCENTRANK.INC($D$7:$D$4378,D3054)*9,0)</f>
        <v>7</v>
      </c>
      <c r="H3054" s="1" t="n">
        <f aca="false">ROUND(_xlfn.PERCENTRANK.INC($E$7:$E$4378,E3054)*9,0)</f>
        <v>6</v>
      </c>
      <c r="I3054" s="1" t="str">
        <f aca="false">CONCATENATE(F3054,G3054,H3054)</f>
        <v>676</v>
      </c>
      <c r="J3054" s="1" t="str">
        <f aca="false">_xlfn.IFS(AND(F3054&gt;=8,G3054&gt;=8,H3054&gt;=8),"CHAMPION",AND(F3054&gt;=6,G3054&gt;=7,H3054&gt;=6),"LOYAL CUSTOMER",AND(F3054&gt;=6,G3054&gt;=5,H3054&gt;=5),"POTENTIAL LOYALIST",AND(F3054&gt;=8,G3054&lt;=2,H3054&gt;=5),"NEW CUSTOMERS",AND(F3054&gt;=6,G3054&lt;=2,H3054&gt;=3),"PROMISING",AND(F3054&gt;=3,G3054&gt;=3,H3054&gt;=3),"NEED ATTENTION",AND(F3054&lt;=4,G3054&gt;=6,H3054&gt;=6),"AT RISK",AND(F3054&lt;=2,G3054&gt;=8,H3054&gt;=8),"CAN'T LOSE THEM",AND(F3054&lt;=2,G3054&lt;=2,H3054&lt;=2),"HIBERNATING",TRUE(),"Other")</f>
        <v>LOYAL CUSTOMER</v>
      </c>
      <c r="K3054" s="1" t="n">
        <f aca="false">RANK(E3054,$E$7:$E$4378)+COUNTIF($E$7:E3054,E3054)-1</f>
        <v>1250</v>
      </c>
    </row>
    <row r="3055" customFormat="false" ht="14.25" hidden="false" customHeight="true" outlineLevel="0" collapsed="false">
      <c r="A3055" s="51" t="n">
        <v>16464</v>
      </c>
      <c r="B3055" s="53" t="n">
        <v>40867.5076388889</v>
      </c>
      <c r="C3055" s="57" t="n">
        <f aca="false">INT($C$2)-INT(Table3[[#This Row],[Last Purchase Date]])</f>
        <v>20</v>
      </c>
      <c r="D3055" s="1" t="n">
        <v>3</v>
      </c>
      <c r="E3055" s="1" t="n">
        <v>1314.68</v>
      </c>
      <c r="F3055" s="1" t="n">
        <f aca="false">ROUND((1-_xlfn.PERCENTRANK.INC($C$7:$C$4378,C3055))*9,0)</f>
        <v>6</v>
      </c>
      <c r="G3055" s="1" t="n">
        <f aca="false">ROUND(_xlfn.PERCENTRANK.INC($D$7:$D$4378,D3055)*9,0)</f>
        <v>4</v>
      </c>
      <c r="H3055" s="1" t="n">
        <f aca="false">ROUND(_xlfn.PERCENTRANK.INC($E$7:$E$4378,E3055)*9,0)</f>
        <v>6</v>
      </c>
      <c r="I3055" s="1" t="str">
        <f aca="false">CONCATENATE(F3055,G3055,H3055)</f>
        <v>646</v>
      </c>
      <c r="J3055" s="1" t="str">
        <f aca="false">_xlfn.IFS(AND(F3055&gt;=8,G3055&gt;=8,H3055&gt;=8),"CHAMPION",AND(F3055&gt;=6,G3055&gt;=7,H3055&gt;=6),"LOYAL CUSTOMER",AND(F3055&gt;=6,G3055&gt;=5,H3055&gt;=5),"POTENTIAL LOYALIST",AND(F3055&gt;=8,G3055&lt;=2,H3055&gt;=5),"NEW CUSTOMERS",AND(F3055&gt;=6,G3055&lt;=2,H3055&gt;=3),"PROMISING",AND(F3055&gt;=3,G3055&gt;=3,H3055&gt;=3),"NEED ATTENTION",AND(F3055&lt;=4,G3055&gt;=6,H3055&gt;=6),"AT RISK",AND(F3055&lt;=2,G3055&gt;=8,H3055&gt;=8),"CAN'T LOSE THEM",AND(F3055&lt;=2,G3055&lt;=2,H3055&lt;=2),"HIBERNATING",TRUE(),"Other")</f>
        <v>NEED ATTENTION</v>
      </c>
      <c r="K3055" s="1" t="n">
        <f aca="false">RANK(E3055,$E$7:$E$4378)+COUNTIF($E$7:E3055,E3055)-1</f>
        <v>1306</v>
      </c>
    </row>
    <row r="3056" customFormat="false" ht="14.25" hidden="false" customHeight="true" outlineLevel="0" collapsed="false">
      <c r="A3056" s="51" t="n">
        <v>16466</v>
      </c>
      <c r="B3056" s="53" t="n">
        <v>40853.4826388889</v>
      </c>
      <c r="C3056" s="57" t="n">
        <f aca="false">INT($C$2)-INT(Table3[[#This Row],[Last Purchase Date]])</f>
        <v>34</v>
      </c>
      <c r="D3056" s="1" t="n">
        <v>7</v>
      </c>
      <c r="E3056" s="1" t="n">
        <v>1603.46</v>
      </c>
      <c r="F3056" s="1" t="n">
        <f aca="false">ROUND((1-_xlfn.PERCENTRANK.INC($C$7:$C$4378,C3056))*9,0)</f>
        <v>5</v>
      </c>
      <c r="G3056" s="1" t="n">
        <f aca="false">ROUND(_xlfn.PERCENTRANK.INC($D$7:$D$4378,D3056)*9,0)</f>
        <v>7</v>
      </c>
      <c r="H3056" s="1" t="n">
        <f aca="false">ROUND(_xlfn.PERCENTRANK.INC($E$7:$E$4378,E3056)*9,0)</f>
        <v>7</v>
      </c>
      <c r="I3056" s="1" t="str">
        <f aca="false">CONCATENATE(F3056,G3056,H3056)</f>
        <v>577</v>
      </c>
      <c r="J3056" s="1" t="str">
        <f aca="false">_xlfn.IFS(AND(F3056&gt;=8,G3056&gt;=8,H3056&gt;=8),"CHAMPION",AND(F3056&gt;=6,G3056&gt;=7,H3056&gt;=6),"LOYAL CUSTOMER",AND(F3056&gt;=6,G3056&gt;=5,H3056&gt;=5),"POTENTIAL LOYALIST",AND(F3056&gt;=8,G3056&lt;=2,H3056&gt;=5),"NEW CUSTOMERS",AND(F3056&gt;=6,G3056&lt;=2,H3056&gt;=3),"PROMISING",AND(F3056&gt;=3,G3056&gt;=3,H3056&gt;=3),"NEED ATTENTION",AND(F3056&lt;=4,G3056&gt;=6,H3056&gt;=6),"AT RISK",AND(F3056&lt;=2,G3056&gt;=8,H3056&gt;=8),"CAN'T LOSE THEM",AND(F3056&lt;=2,G3056&lt;=2,H3056&lt;=2),"HIBERNATING",TRUE(),"Other")</f>
        <v>NEED ATTENTION</v>
      </c>
      <c r="K3056" s="1" t="n">
        <f aca="false">RANK(E3056,$E$7:$E$4378)+COUNTIF($E$7:E3056,E3056)-1</f>
        <v>1102</v>
      </c>
    </row>
    <row r="3057" customFormat="false" ht="14.25" hidden="false" customHeight="true" outlineLevel="0" collapsed="false">
      <c r="A3057" s="51" t="n">
        <v>16468</v>
      </c>
      <c r="B3057" s="53" t="n">
        <v>40812.5923611111</v>
      </c>
      <c r="C3057" s="57" t="n">
        <f aca="false">INT($C$2)-INT(Table3[[#This Row],[Last Purchase Date]])</f>
        <v>75</v>
      </c>
      <c r="D3057" s="1" t="n">
        <v>1</v>
      </c>
      <c r="E3057" s="1" t="n">
        <v>74.9</v>
      </c>
      <c r="F3057" s="1" t="n">
        <f aca="false">ROUND((1-_xlfn.PERCENTRANK.INC($C$7:$C$4378,C3057))*9,0)</f>
        <v>3</v>
      </c>
      <c r="G3057" s="1" t="n">
        <f aca="false">ROUND(_xlfn.PERCENTRANK.INC($D$7:$D$4378,D3057)*9,0)</f>
        <v>0</v>
      </c>
      <c r="H3057" s="1" t="n">
        <f aca="false">ROUND(_xlfn.PERCENTRANK.INC($E$7:$E$4378,E3057)*9,0)</f>
        <v>0</v>
      </c>
      <c r="I3057" s="1" t="str">
        <f aca="false">CONCATENATE(F3057,G3057,H3057)</f>
        <v>300</v>
      </c>
      <c r="J3057" s="1" t="str">
        <f aca="false">_xlfn.IFS(AND(F3057&gt;=8,G3057&gt;=8,H3057&gt;=8),"CHAMPION",AND(F3057&gt;=6,G3057&gt;=7,H3057&gt;=6),"LOYAL CUSTOMER",AND(F3057&gt;=6,G3057&gt;=5,H3057&gt;=5),"POTENTIAL LOYALIST",AND(F3057&gt;=8,G3057&lt;=2,H3057&gt;=5),"NEW CUSTOMERS",AND(F3057&gt;=6,G3057&lt;=2,H3057&gt;=3),"PROMISING",AND(F3057&gt;=3,G3057&gt;=3,H3057&gt;=3),"NEED ATTENTION",AND(F3057&lt;=4,G3057&gt;=6,H3057&gt;=6),"AT RISK",AND(F3057&lt;=2,G3057&gt;=8,H3057&gt;=8),"CAN'T LOSE THEM",AND(F3057&lt;=2,G3057&lt;=2,H3057&lt;=2),"HIBERNATING",TRUE(),"Other")</f>
        <v>Other</v>
      </c>
      <c r="K3057" s="1" t="n">
        <f aca="false">RANK(E3057,$E$7:$E$4378)+COUNTIF($E$7:E3057,E3057)-1</f>
        <v>4236</v>
      </c>
    </row>
    <row r="3058" customFormat="false" ht="14.25" hidden="false" customHeight="true" outlineLevel="0" collapsed="false">
      <c r="A3058" s="51" t="n">
        <v>16469</v>
      </c>
      <c r="B3058" s="53" t="n">
        <v>40863.5173611111</v>
      </c>
      <c r="C3058" s="57" t="n">
        <f aca="false">INT($C$2)-INT(Table3[[#This Row],[Last Purchase Date]])</f>
        <v>24</v>
      </c>
      <c r="D3058" s="1" t="n">
        <v>4</v>
      </c>
      <c r="E3058" s="1" t="n">
        <v>650.43</v>
      </c>
      <c r="F3058" s="1" t="n">
        <f aca="false">ROUND((1-_xlfn.PERCENTRANK.INC($C$7:$C$4378,C3058))*9,0)</f>
        <v>6</v>
      </c>
      <c r="G3058" s="1" t="n">
        <f aca="false">ROUND(_xlfn.PERCENTRANK.INC($D$7:$D$4378,D3058)*9,0)</f>
        <v>5</v>
      </c>
      <c r="H3058" s="1" t="n">
        <f aca="false">ROUND(_xlfn.PERCENTRANK.INC($E$7:$E$4378,E3058)*9,0)</f>
        <v>5</v>
      </c>
      <c r="I3058" s="1" t="str">
        <f aca="false">CONCATENATE(F3058,G3058,H3058)</f>
        <v>655</v>
      </c>
      <c r="J3058" s="1" t="str">
        <f aca="false">_xlfn.IFS(AND(F3058&gt;=8,G3058&gt;=8,H3058&gt;=8),"CHAMPION",AND(F3058&gt;=6,G3058&gt;=7,H3058&gt;=6),"LOYAL CUSTOMER",AND(F3058&gt;=6,G3058&gt;=5,H3058&gt;=5),"POTENTIAL LOYALIST",AND(F3058&gt;=8,G3058&lt;=2,H3058&gt;=5),"NEW CUSTOMERS",AND(F3058&gt;=6,G3058&lt;=2,H3058&gt;=3),"PROMISING",AND(F3058&gt;=3,G3058&gt;=3,H3058&gt;=3),"NEED ATTENTION",AND(F3058&lt;=4,G3058&gt;=6,H3058&gt;=6),"AT RISK",AND(F3058&lt;=2,G3058&gt;=8,H3058&gt;=8),"CAN'T LOSE THEM",AND(F3058&lt;=2,G3058&lt;=2,H3058&lt;=2),"HIBERNATING",TRUE(),"Other")</f>
        <v>POTENTIAL LOYALIST</v>
      </c>
      <c r="K3058" s="1" t="n">
        <f aca="false">RANK(E3058,$E$7:$E$4378)+COUNTIF($E$7:E3058,E3058)-1</f>
        <v>2181</v>
      </c>
    </row>
    <row r="3059" customFormat="false" ht="14.25" hidden="false" customHeight="true" outlineLevel="0" collapsed="false">
      <c r="A3059" s="51" t="n">
        <v>16470</v>
      </c>
      <c r="B3059" s="53" t="n">
        <v>40835.5076388889</v>
      </c>
      <c r="C3059" s="57" t="n">
        <f aca="false">INT($C$2)-INT(Table3[[#This Row],[Last Purchase Date]])</f>
        <v>52</v>
      </c>
      <c r="D3059" s="1" t="n">
        <v>5</v>
      </c>
      <c r="E3059" s="1" t="n">
        <v>757.44</v>
      </c>
      <c r="F3059" s="1" t="n">
        <f aca="false">ROUND((1-_xlfn.PERCENTRANK.INC($C$7:$C$4378,C3059))*9,0)</f>
        <v>4</v>
      </c>
      <c r="G3059" s="1" t="n">
        <f aca="false">ROUND(_xlfn.PERCENTRANK.INC($D$7:$D$4378,D3059)*9,0)</f>
        <v>6</v>
      </c>
      <c r="H3059" s="1" t="n">
        <f aca="false">ROUND(_xlfn.PERCENTRANK.INC($E$7:$E$4378,E3059)*9,0)</f>
        <v>5</v>
      </c>
      <c r="I3059" s="1" t="str">
        <f aca="false">CONCATENATE(F3059,G3059,H3059)</f>
        <v>465</v>
      </c>
      <c r="J3059" s="1" t="str">
        <f aca="false">_xlfn.IFS(AND(F3059&gt;=8,G3059&gt;=8,H3059&gt;=8),"CHAMPION",AND(F3059&gt;=6,G3059&gt;=7,H3059&gt;=6),"LOYAL CUSTOMER",AND(F3059&gt;=6,G3059&gt;=5,H3059&gt;=5),"POTENTIAL LOYALIST",AND(F3059&gt;=8,G3059&lt;=2,H3059&gt;=5),"NEW CUSTOMERS",AND(F3059&gt;=6,G3059&lt;=2,H3059&gt;=3),"PROMISING",AND(F3059&gt;=3,G3059&gt;=3,H3059&gt;=3),"NEED ATTENTION",AND(F3059&lt;=4,G3059&gt;=6,H3059&gt;=6),"AT RISK",AND(F3059&lt;=2,G3059&gt;=8,H3059&gt;=8),"CAN'T LOSE THEM",AND(F3059&lt;=2,G3059&lt;=2,H3059&lt;=2),"HIBERNATING",TRUE(),"Other")</f>
        <v>NEED ATTENTION</v>
      </c>
      <c r="K3059" s="1" t="n">
        <f aca="false">RANK(E3059,$E$7:$E$4378)+COUNTIF($E$7:E3059,E3059)-1</f>
        <v>1970</v>
      </c>
    </row>
    <row r="3060" customFormat="false" ht="14.25" hidden="false" customHeight="true" outlineLevel="0" collapsed="false">
      <c r="A3060" s="51" t="n">
        <v>16471</v>
      </c>
      <c r="B3060" s="53" t="n">
        <v>40612.4034722222</v>
      </c>
      <c r="C3060" s="57" t="n">
        <f aca="false">INT($C$2)-INT(Table3[[#This Row],[Last Purchase Date]])</f>
        <v>275</v>
      </c>
      <c r="D3060" s="1" t="n">
        <v>1</v>
      </c>
      <c r="E3060" s="1" t="n">
        <v>223.95</v>
      </c>
      <c r="F3060" s="1" t="n">
        <f aca="false">ROUND((1-_xlfn.PERCENTRANK.INC($C$7:$C$4378,C3060))*9,0)</f>
        <v>1</v>
      </c>
      <c r="G3060" s="1" t="n">
        <f aca="false">ROUND(_xlfn.PERCENTRANK.INC($D$7:$D$4378,D3060)*9,0)</f>
        <v>0</v>
      </c>
      <c r="H3060" s="1" t="n">
        <f aca="false">ROUND(_xlfn.PERCENTRANK.INC($E$7:$E$4378,E3060)*9,0)</f>
        <v>2</v>
      </c>
      <c r="I3060" s="1" t="str">
        <f aca="false">CONCATENATE(F3060,G3060,H3060)</f>
        <v>102</v>
      </c>
      <c r="J3060" s="1" t="str">
        <f aca="false">_xlfn.IFS(AND(F3060&gt;=8,G3060&gt;=8,H3060&gt;=8),"CHAMPION",AND(F3060&gt;=6,G3060&gt;=7,H3060&gt;=6),"LOYAL CUSTOMER",AND(F3060&gt;=6,G3060&gt;=5,H3060&gt;=5),"POTENTIAL LOYALIST",AND(F3060&gt;=8,G3060&lt;=2,H3060&gt;=5),"NEW CUSTOMERS",AND(F3060&gt;=6,G3060&lt;=2,H3060&gt;=3),"PROMISING",AND(F3060&gt;=3,G3060&gt;=3,H3060&gt;=3),"NEED ATTENTION",AND(F3060&lt;=4,G3060&gt;=6,H3060&gt;=6),"AT RISK",AND(F3060&lt;=2,G3060&gt;=8,H3060&gt;=8),"CAN'T LOSE THEM",AND(F3060&lt;=2,G3060&lt;=2,H3060&lt;=2),"HIBERNATING",TRUE(),"Other")</f>
        <v>HIBERNATING</v>
      </c>
      <c r="K3060" s="1" t="n">
        <f aca="false">RANK(E3060,$E$7:$E$4378)+COUNTIF($E$7:E3060,E3060)-1</f>
        <v>3543</v>
      </c>
    </row>
    <row r="3061" customFormat="false" ht="14.25" hidden="false" customHeight="true" outlineLevel="0" collapsed="false">
      <c r="A3061" s="51" t="n">
        <v>16473</v>
      </c>
      <c r="B3061" s="53" t="n">
        <v>40722.3819444445</v>
      </c>
      <c r="C3061" s="57" t="n">
        <f aca="false">INT($C$2)-INT(Table3[[#This Row],[Last Purchase Date]])</f>
        <v>165</v>
      </c>
      <c r="D3061" s="1" t="n">
        <v>4</v>
      </c>
      <c r="E3061" s="1" t="n">
        <v>314.86</v>
      </c>
      <c r="F3061" s="1" t="n">
        <f aca="false">ROUND((1-_xlfn.PERCENTRANK.INC($C$7:$C$4378,C3061))*9,0)</f>
        <v>2</v>
      </c>
      <c r="G3061" s="1" t="n">
        <f aca="false">ROUND(_xlfn.PERCENTRANK.INC($D$7:$D$4378,D3061)*9,0)</f>
        <v>5</v>
      </c>
      <c r="H3061" s="1" t="n">
        <f aca="false">ROUND(_xlfn.PERCENTRANK.INC($E$7:$E$4378,E3061)*9,0)</f>
        <v>2</v>
      </c>
      <c r="I3061" s="1" t="str">
        <f aca="false">CONCATENATE(F3061,G3061,H3061)</f>
        <v>252</v>
      </c>
      <c r="J3061" s="1" t="str">
        <f aca="false">_xlfn.IFS(AND(F3061&gt;=8,G3061&gt;=8,H3061&gt;=8),"CHAMPION",AND(F3061&gt;=6,G3061&gt;=7,H3061&gt;=6),"LOYAL CUSTOMER",AND(F3061&gt;=6,G3061&gt;=5,H3061&gt;=5),"POTENTIAL LOYALIST",AND(F3061&gt;=8,G3061&lt;=2,H3061&gt;=5),"NEW CUSTOMERS",AND(F3061&gt;=6,G3061&lt;=2,H3061&gt;=3),"PROMISING",AND(F3061&gt;=3,G3061&gt;=3,H3061&gt;=3),"NEED ATTENTION",AND(F3061&lt;=4,G3061&gt;=6,H3061&gt;=6),"AT RISK",AND(F3061&lt;=2,G3061&gt;=8,H3061&gt;=8),"CAN'T LOSE THEM",AND(F3061&lt;=2,G3061&lt;=2,H3061&lt;=2),"HIBERNATING",TRUE(),"Other")</f>
        <v>Other</v>
      </c>
      <c r="K3061" s="1" t="n">
        <f aca="false">RANK(E3061,$E$7:$E$4378)+COUNTIF($E$7:E3061,E3061)-1</f>
        <v>3164</v>
      </c>
    </row>
    <row r="3062" customFormat="false" ht="14.25" hidden="false" customHeight="true" outlineLevel="0" collapsed="false">
      <c r="A3062" s="51" t="n">
        <v>16474</v>
      </c>
      <c r="B3062" s="53" t="n">
        <v>40879.5430555556</v>
      </c>
      <c r="C3062" s="57" t="n">
        <f aca="false">INT($C$2)-INT(Table3[[#This Row],[Last Purchase Date]])</f>
        <v>8</v>
      </c>
      <c r="D3062" s="1" t="n">
        <v>11</v>
      </c>
      <c r="E3062" s="1" t="n">
        <v>1811.47</v>
      </c>
      <c r="F3062" s="1" t="n">
        <f aca="false">ROUND((1-_xlfn.PERCENTRANK.INC($C$7:$C$4378,C3062))*9,0)</f>
        <v>8</v>
      </c>
      <c r="G3062" s="1" t="n">
        <f aca="false">ROUND(_xlfn.PERCENTRANK.INC($D$7:$D$4378,D3062)*9,0)</f>
        <v>8</v>
      </c>
      <c r="H3062" s="1" t="n">
        <f aca="false">ROUND(_xlfn.PERCENTRANK.INC($E$7:$E$4378,E3062)*9,0)</f>
        <v>7</v>
      </c>
      <c r="I3062" s="1" t="str">
        <f aca="false">CONCATENATE(F3062,G3062,H3062)</f>
        <v>887</v>
      </c>
      <c r="J3062" s="1" t="str">
        <f aca="false">_xlfn.IFS(AND(F3062&gt;=8,G3062&gt;=8,H3062&gt;=8),"CHAMPION",AND(F3062&gt;=6,G3062&gt;=7,H3062&gt;=6),"LOYAL CUSTOMER",AND(F3062&gt;=6,G3062&gt;=5,H3062&gt;=5),"POTENTIAL LOYALIST",AND(F3062&gt;=8,G3062&lt;=2,H3062&gt;=5),"NEW CUSTOMERS",AND(F3062&gt;=6,G3062&lt;=2,H3062&gt;=3),"PROMISING",AND(F3062&gt;=3,G3062&gt;=3,H3062&gt;=3),"NEED ATTENTION",AND(F3062&lt;=4,G3062&gt;=6,H3062&gt;=6),"AT RISK",AND(F3062&lt;=2,G3062&gt;=8,H3062&gt;=8),"CAN'T LOSE THEM",AND(F3062&lt;=2,G3062&lt;=2,H3062&lt;=2),"HIBERNATING",TRUE(),"Other")</f>
        <v>LOYAL CUSTOMER</v>
      </c>
      <c r="K3062" s="1" t="n">
        <f aca="false">RANK(E3062,$E$7:$E$4378)+COUNTIF($E$7:E3062,E3062)-1</f>
        <v>967</v>
      </c>
    </row>
    <row r="3063" customFormat="false" ht="14.25" hidden="false" customHeight="true" outlineLevel="0" collapsed="false">
      <c r="A3063" s="51" t="n">
        <v>16475</v>
      </c>
      <c r="B3063" s="53" t="n">
        <v>40798.6090277778</v>
      </c>
      <c r="C3063" s="57" t="n">
        <f aca="false">INT($C$2)-INT(Table3[[#This Row],[Last Purchase Date]])</f>
        <v>89</v>
      </c>
      <c r="D3063" s="1" t="n">
        <v>4</v>
      </c>
      <c r="E3063" s="1" t="n">
        <v>544.3</v>
      </c>
      <c r="F3063" s="1" t="n">
        <f aca="false">ROUND((1-_xlfn.PERCENTRANK.INC($C$7:$C$4378,C3063))*9,0)</f>
        <v>3</v>
      </c>
      <c r="G3063" s="1" t="n">
        <f aca="false">ROUND(_xlfn.PERCENTRANK.INC($D$7:$D$4378,D3063)*9,0)</f>
        <v>5</v>
      </c>
      <c r="H3063" s="1" t="n">
        <f aca="false">ROUND(_xlfn.PERCENTRANK.INC($E$7:$E$4378,E3063)*9,0)</f>
        <v>4</v>
      </c>
      <c r="I3063" s="1" t="str">
        <f aca="false">CONCATENATE(F3063,G3063,H3063)</f>
        <v>354</v>
      </c>
      <c r="J3063" s="1" t="str">
        <f aca="false">_xlfn.IFS(AND(F3063&gt;=8,G3063&gt;=8,H3063&gt;=8),"CHAMPION",AND(F3063&gt;=6,G3063&gt;=7,H3063&gt;=6),"LOYAL CUSTOMER",AND(F3063&gt;=6,G3063&gt;=5,H3063&gt;=5),"POTENTIAL LOYALIST",AND(F3063&gt;=8,G3063&lt;=2,H3063&gt;=5),"NEW CUSTOMERS",AND(F3063&gt;=6,G3063&lt;=2,H3063&gt;=3),"PROMISING",AND(F3063&gt;=3,G3063&gt;=3,H3063&gt;=3),"NEED ATTENTION",AND(F3063&lt;=4,G3063&gt;=6,H3063&gt;=6),"AT RISK",AND(F3063&lt;=2,G3063&gt;=8,H3063&gt;=8),"CAN'T LOSE THEM",AND(F3063&lt;=2,G3063&lt;=2,H3063&lt;=2),"HIBERNATING",TRUE(),"Other")</f>
        <v>NEED ATTENTION</v>
      </c>
      <c r="K3063" s="1" t="n">
        <f aca="false">RANK(E3063,$E$7:$E$4378)+COUNTIF($E$7:E3063,E3063)-1</f>
        <v>2442</v>
      </c>
    </row>
    <row r="3064" customFormat="false" ht="14.25" hidden="false" customHeight="true" outlineLevel="0" collapsed="false">
      <c r="A3064" s="51" t="n">
        <v>16477</v>
      </c>
      <c r="B3064" s="53" t="n">
        <v>40823.4055555556</v>
      </c>
      <c r="C3064" s="57" t="n">
        <f aca="false">INT($C$2)-INT(Table3[[#This Row],[Last Purchase Date]])</f>
        <v>64</v>
      </c>
      <c r="D3064" s="1" t="n">
        <v>7</v>
      </c>
      <c r="E3064" s="1" t="n">
        <v>2494.46</v>
      </c>
      <c r="F3064" s="1" t="n">
        <f aca="false">ROUND((1-_xlfn.PERCENTRANK.INC($C$7:$C$4378,C3064))*9,0)</f>
        <v>4</v>
      </c>
      <c r="G3064" s="1" t="n">
        <f aca="false">ROUND(_xlfn.PERCENTRANK.INC($D$7:$D$4378,D3064)*9,0)</f>
        <v>7</v>
      </c>
      <c r="H3064" s="1" t="n">
        <f aca="false">ROUND(_xlfn.PERCENTRANK.INC($E$7:$E$4378,E3064)*9,0)</f>
        <v>8</v>
      </c>
      <c r="I3064" s="1" t="str">
        <f aca="false">CONCATENATE(F3064,G3064,H3064)</f>
        <v>478</v>
      </c>
      <c r="J3064" s="1" t="str">
        <f aca="false">_xlfn.IFS(AND(F3064&gt;=8,G3064&gt;=8,H3064&gt;=8),"CHAMPION",AND(F3064&gt;=6,G3064&gt;=7,H3064&gt;=6),"LOYAL CUSTOMER",AND(F3064&gt;=6,G3064&gt;=5,H3064&gt;=5),"POTENTIAL LOYALIST",AND(F3064&gt;=8,G3064&lt;=2,H3064&gt;=5),"NEW CUSTOMERS",AND(F3064&gt;=6,G3064&lt;=2,H3064&gt;=3),"PROMISING",AND(F3064&gt;=3,G3064&gt;=3,H3064&gt;=3),"NEED ATTENTION",AND(F3064&lt;=4,G3064&gt;=6,H3064&gt;=6),"AT RISK",AND(F3064&lt;=2,G3064&gt;=8,H3064&gt;=8),"CAN'T LOSE THEM",AND(F3064&lt;=2,G3064&lt;=2,H3064&lt;=2),"HIBERNATING",TRUE(),"Other")</f>
        <v>NEED ATTENTION</v>
      </c>
      <c r="K3064" s="1" t="n">
        <f aca="false">RANK(E3064,$E$7:$E$4378)+COUNTIF($E$7:E3064,E3064)-1</f>
        <v>683</v>
      </c>
    </row>
    <row r="3065" customFormat="false" ht="14.25" hidden="false" customHeight="true" outlineLevel="0" collapsed="false">
      <c r="A3065" s="51" t="n">
        <v>16478</v>
      </c>
      <c r="B3065" s="53" t="n">
        <v>40861.6604166667</v>
      </c>
      <c r="C3065" s="57" t="n">
        <f aca="false">INT($C$2)-INT(Table3[[#This Row],[Last Purchase Date]])</f>
        <v>26</v>
      </c>
      <c r="D3065" s="1" t="n">
        <v>3</v>
      </c>
      <c r="E3065" s="1" t="n">
        <v>331</v>
      </c>
      <c r="F3065" s="1" t="n">
        <f aca="false">ROUND((1-_xlfn.PERCENTRANK.INC($C$7:$C$4378,C3065))*9,0)</f>
        <v>6</v>
      </c>
      <c r="G3065" s="1" t="n">
        <f aca="false">ROUND(_xlfn.PERCENTRANK.INC($D$7:$D$4378,D3065)*9,0)</f>
        <v>4</v>
      </c>
      <c r="H3065" s="1" t="n">
        <f aca="false">ROUND(_xlfn.PERCENTRANK.INC($E$7:$E$4378,E3065)*9,0)</f>
        <v>3</v>
      </c>
      <c r="I3065" s="1" t="str">
        <f aca="false">CONCATENATE(F3065,G3065,H3065)</f>
        <v>643</v>
      </c>
      <c r="J3065" s="1" t="str">
        <f aca="false">_xlfn.IFS(AND(F3065&gt;=8,G3065&gt;=8,H3065&gt;=8),"CHAMPION",AND(F3065&gt;=6,G3065&gt;=7,H3065&gt;=6),"LOYAL CUSTOMER",AND(F3065&gt;=6,G3065&gt;=5,H3065&gt;=5),"POTENTIAL LOYALIST",AND(F3065&gt;=8,G3065&lt;=2,H3065&gt;=5),"NEW CUSTOMERS",AND(F3065&gt;=6,G3065&lt;=2,H3065&gt;=3),"PROMISING",AND(F3065&gt;=3,G3065&gt;=3,H3065&gt;=3),"NEED ATTENTION",AND(F3065&lt;=4,G3065&gt;=6,H3065&gt;=6),"AT RISK",AND(F3065&lt;=2,G3065&gt;=8,H3065&gt;=8),"CAN'T LOSE THEM",AND(F3065&lt;=2,G3065&lt;=2,H3065&lt;=2),"HIBERNATING",TRUE(),"Other")</f>
        <v>NEED ATTENTION</v>
      </c>
      <c r="K3065" s="1" t="n">
        <f aca="false">RANK(E3065,$E$7:$E$4378)+COUNTIF($E$7:E3065,E3065)-1</f>
        <v>3089</v>
      </c>
    </row>
    <row r="3066" customFormat="false" ht="14.25" hidden="false" customHeight="true" outlineLevel="0" collapsed="false">
      <c r="A3066" s="51" t="n">
        <v>16479</v>
      </c>
      <c r="B3066" s="53" t="n">
        <v>40876.5694444445</v>
      </c>
      <c r="C3066" s="57" t="n">
        <f aca="false">INT($C$2)-INT(Table3[[#This Row],[Last Purchase Date]])</f>
        <v>11</v>
      </c>
      <c r="D3066" s="1" t="n">
        <v>2</v>
      </c>
      <c r="E3066" s="1" t="n">
        <v>300.83</v>
      </c>
      <c r="F3066" s="1" t="n">
        <f aca="false">ROUND((1-_xlfn.PERCENTRANK.INC($C$7:$C$4378,C3066))*9,0)</f>
        <v>7</v>
      </c>
      <c r="G3066" s="1" t="n">
        <f aca="false">ROUND(_xlfn.PERCENTRANK.INC($D$7:$D$4378,D3066)*9,0)</f>
        <v>3</v>
      </c>
      <c r="H3066" s="1" t="n">
        <f aca="false">ROUND(_xlfn.PERCENTRANK.INC($E$7:$E$4378,E3066)*9,0)</f>
        <v>2</v>
      </c>
      <c r="I3066" s="1" t="str">
        <f aca="false">CONCATENATE(F3066,G3066,H3066)</f>
        <v>732</v>
      </c>
      <c r="J3066" s="1" t="str">
        <f aca="false">_xlfn.IFS(AND(F3066&gt;=8,G3066&gt;=8,H3066&gt;=8),"CHAMPION",AND(F3066&gt;=6,G3066&gt;=7,H3066&gt;=6),"LOYAL CUSTOMER",AND(F3066&gt;=6,G3066&gt;=5,H3066&gt;=5),"POTENTIAL LOYALIST",AND(F3066&gt;=8,G3066&lt;=2,H3066&gt;=5),"NEW CUSTOMERS",AND(F3066&gt;=6,G3066&lt;=2,H3066&gt;=3),"PROMISING",AND(F3066&gt;=3,G3066&gt;=3,H3066&gt;=3),"NEED ATTENTION",AND(F3066&lt;=4,G3066&gt;=6,H3066&gt;=6),"AT RISK",AND(F3066&lt;=2,G3066&gt;=8,H3066&gt;=8),"CAN'T LOSE THEM",AND(F3066&lt;=2,G3066&lt;=2,H3066&lt;=2),"HIBERNATING",TRUE(),"Other")</f>
        <v>Other</v>
      </c>
      <c r="K3066" s="1" t="n">
        <f aca="false">RANK(E3066,$E$7:$E$4378)+COUNTIF($E$7:E3066,E3066)-1</f>
        <v>3250</v>
      </c>
    </row>
    <row r="3067" customFormat="false" ht="14.25" hidden="false" customHeight="true" outlineLevel="0" collapsed="false">
      <c r="A3067" s="51" t="n">
        <v>16480</v>
      </c>
      <c r="B3067" s="53" t="n">
        <v>40811.4861111111</v>
      </c>
      <c r="C3067" s="57" t="n">
        <f aca="false">INT($C$2)-INT(Table3[[#This Row],[Last Purchase Date]])</f>
        <v>76</v>
      </c>
      <c r="D3067" s="1" t="n">
        <v>1</v>
      </c>
      <c r="E3067" s="1" t="n">
        <v>769.29</v>
      </c>
      <c r="F3067" s="1" t="n">
        <f aca="false">ROUND((1-_xlfn.PERCENTRANK.INC($C$7:$C$4378,C3067))*9,0)</f>
        <v>3</v>
      </c>
      <c r="G3067" s="1" t="n">
        <f aca="false">ROUND(_xlfn.PERCENTRANK.INC($D$7:$D$4378,D3067)*9,0)</f>
        <v>0</v>
      </c>
      <c r="H3067" s="1" t="n">
        <f aca="false">ROUND(_xlfn.PERCENTRANK.INC($E$7:$E$4378,E3067)*9,0)</f>
        <v>5</v>
      </c>
      <c r="I3067" s="1" t="str">
        <f aca="false">CONCATENATE(F3067,G3067,H3067)</f>
        <v>305</v>
      </c>
      <c r="J3067" s="1" t="str">
        <f aca="false">_xlfn.IFS(AND(F3067&gt;=8,G3067&gt;=8,H3067&gt;=8),"CHAMPION",AND(F3067&gt;=6,G3067&gt;=7,H3067&gt;=6),"LOYAL CUSTOMER",AND(F3067&gt;=6,G3067&gt;=5,H3067&gt;=5),"POTENTIAL LOYALIST",AND(F3067&gt;=8,G3067&lt;=2,H3067&gt;=5),"NEW CUSTOMERS",AND(F3067&gt;=6,G3067&lt;=2,H3067&gt;=3),"PROMISING",AND(F3067&gt;=3,G3067&gt;=3,H3067&gt;=3),"NEED ATTENTION",AND(F3067&lt;=4,G3067&gt;=6,H3067&gt;=6),"AT RISK",AND(F3067&lt;=2,G3067&gt;=8,H3067&gt;=8),"CAN'T LOSE THEM",AND(F3067&lt;=2,G3067&lt;=2,H3067&lt;=2),"HIBERNATING",TRUE(),"Other")</f>
        <v>Other</v>
      </c>
      <c r="K3067" s="1" t="n">
        <f aca="false">RANK(E3067,$E$7:$E$4378)+COUNTIF($E$7:E3067,E3067)-1</f>
        <v>1947</v>
      </c>
    </row>
    <row r="3068" customFormat="false" ht="14.25" hidden="false" customHeight="true" outlineLevel="0" collapsed="false">
      <c r="A3068" s="51" t="n">
        <v>16482</v>
      </c>
      <c r="B3068" s="53" t="n">
        <v>40871.5229166667</v>
      </c>
      <c r="C3068" s="57" t="n">
        <f aca="false">INT($C$2)-INT(Table3[[#This Row],[Last Purchase Date]])</f>
        <v>16</v>
      </c>
      <c r="D3068" s="1" t="n">
        <v>1</v>
      </c>
      <c r="E3068" s="1" t="n">
        <v>220.62</v>
      </c>
      <c r="F3068" s="1" t="n">
        <f aca="false">ROUND((1-_xlfn.PERCENTRANK.INC($C$7:$C$4378,C3068))*9,0)</f>
        <v>7</v>
      </c>
      <c r="G3068" s="1" t="n">
        <f aca="false">ROUND(_xlfn.PERCENTRANK.INC($D$7:$D$4378,D3068)*9,0)</f>
        <v>0</v>
      </c>
      <c r="H3068" s="1" t="n">
        <f aca="false">ROUND(_xlfn.PERCENTRANK.INC($E$7:$E$4378,E3068)*9,0)</f>
        <v>2</v>
      </c>
      <c r="I3068" s="1" t="str">
        <f aca="false">CONCATENATE(F3068,G3068,H3068)</f>
        <v>702</v>
      </c>
      <c r="J3068" s="1" t="str">
        <f aca="false">_xlfn.IFS(AND(F3068&gt;=8,G3068&gt;=8,H3068&gt;=8),"CHAMPION",AND(F3068&gt;=6,G3068&gt;=7,H3068&gt;=6),"LOYAL CUSTOMER",AND(F3068&gt;=6,G3068&gt;=5,H3068&gt;=5),"POTENTIAL LOYALIST",AND(F3068&gt;=8,G3068&lt;=2,H3068&gt;=5),"NEW CUSTOMERS",AND(F3068&gt;=6,G3068&lt;=2,H3068&gt;=3),"PROMISING",AND(F3068&gt;=3,G3068&gt;=3,H3068&gt;=3),"NEED ATTENTION",AND(F3068&lt;=4,G3068&gt;=6,H3068&gt;=6),"AT RISK",AND(F3068&lt;=2,G3068&gt;=8,H3068&gt;=8),"CAN'T LOSE THEM",AND(F3068&lt;=2,G3068&lt;=2,H3068&lt;=2),"HIBERNATING",TRUE(),"Other")</f>
        <v>Other</v>
      </c>
      <c r="K3068" s="1" t="n">
        <f aca="false">RANK(E3068,$E$7:$E$4378)+COUNTIF($E$7:E3068,E3068)-1</f>
        <v>3558</v>
      </c>
    </row>
    <row r="3069" customFormat="false" ht="14.25" hidden="false" customHeight="true" outlineLevel="0" collapsed="false">
      <c r="A3069" s="51" t="n">
        <v>16483</v>
      </c>
      <c r="B3069" s="53" t="n">
        <v>40694.5472222222</v>
      </c>
      <c r="C3069" s="57" t="n">
        <f aca="false">INT($C$2)-INT(Table3[[#This Row],[Last Purchase Date]])</f>
        <v>193</v>
      </c>
      <c r="D3069" s="1" t="n">
        <v>1</v>
      </c>
      <c r="E3069" s="1" t="n">
        <v>139.35</v>
      </c>
      <c r="F3069" s="1" t="n">
        <f aca="false">ROUND((1-_xlfn.PERCENTRANK.INC($C$7:$C$4378,C3069))*9,0)</f>
        <v>2</v>
      </c>
      <c r="G3069" s="1" t="n">
        <f aca="false">ROUND(_xlfn.PERCENTRANK.INC($D$7:$D$4378,D3069)*9,0)</f>
        <v>0</v>
      </c>
      <c r="H3069" s="1" t="n">
        <f aca="false">ROUND(_xlfn.PERCENTRANK.INC($E$7:$E$4378,E3069)*9,0)</f>
        <v>1</v>
      </c>
      <c r="I3069" s="1" t="str">
        <f aca="false">CONCATENATE(F3069,G3069,H3069)</f>
        <v>201</v>
      </c>
      <c r="J3069" s="1" t="str">
        <f aca="false">_xlfn.IFS(AND(F3069&gt;=8,G3069&gt;=8,H3069&gt;=8),"CHAMPION",AND(F3069&gt;=6,G3069&gt;=7,H3069&gt;=6),"LOYAL CUSTOMER",AND(F3069&gt;=6,G3069&gt;=5,H3069&gt;=5),"POTENTIAL LOYALIST",AND(F3069&gt;=8,G3069&lt;=2,H3069&gt;=5),"NEW CUSTOMERS",AND(F3069&gt;=6,G3069&lt;=2,H3069&gt;=3),"PROMISING",AND(F3069&gt;=3,G3069&gt;=3,H3069&gt;=3),"NEED ATTENTION",AND(F3069&lt;=4,G3069&gt;=6,H3069&gt;=6),"AT RISK",AND(F3069&lt;=2,G3069&gt;=8,H3069&gt;=8),"CAN'T LOSE THEM",AND(F3069&lt;=2,G3069&lt;=2,H3069&lt;=2),"HIBERNATING",TRUE(),"Other")</f>
        <v>HIBERNATING</v>
      </c>
      <c r="K3069" s="1" t="n">
        <f aca="false">RANK(E3069,$E$7:$E$4378)+COUNTIF($E$7:E3069,E3069)-1</f>
        <v>3960</v>
      </c>
    </row>
    <row r="3070" customFormat="false" ht="14.25" hidden="false" customHeight="true" outlineLevel="0" collapsed="false">
      <c r="A3070" s="51" t="n">
        <v>16484</v>
      </c>
      <c r="B3070" s="53" t="n">
        <v>40713.5041666667</v>
      </c>
      <c r="C3070" s="57" t="n">
        <f aca="false">INT($C$2)-INT(Table3[[#This Row],[Last Purchase Date]])</f>
        <v>174</v>
      </c>
      <c r="D3070" s="1" t="n">
        <v>3</v>
      </c>
      <c r="E3070" s="1" t="n">
        <v>379.4</v>
      </c>
      <c r="F3070" s="1" t="n">
        <f aca="false">ROUND((1-_xlfn.PERCENTRANK.INC($C$7:$C$4378,C3070))*9,0)</f>
        <v>2</v>
      </c>
      <c r="G3070" s="1" t="n">
        <f aca="false">ROUND(_xlfn.PERCENTRANK.INC($D$7:$D$4378,D3070)*9,0)</f>
        <v>4</v>
      </c>
      <c r="H3070" s="1" t="n">
        <f aca="false">ROUND(_xlfn.PERCENTRANK.INC($E$7:$E$4378,E3070)*9,0)</f>
        <v>3</v>
      </c>
      <c r="I3070" s="1" t="str">
        <f aca="false">CONCATENATE(F3070,G3070,H3070)</f>
        <v>243</v>
      </c>
      <c r="J3070" s="1" t="str">
        <f aca="false">_xlfn.IFS(AND(F3070&gt;=8,G3070&gt;=8,H3070&gt;=8),"CHAMPION",AND(F3070&gt;=6,G3070&gt;=7,H3070&gt;=6),"LOYAL CUSTOMER",AND(F3070&gt;=6,G3070&gt;=5,H3070&gt;=5),"POTENTIAL LOYALIST",AND(F3070&gt;=8,G3070&lt;=2,H3070&gt;=5),"NEW CUSTOMERS",AND(F3070&gt;=6,G3070&lt;=2,H3070&gt;=3),"PROMISING",AND(F3070&gt;=3,G3070&gt;=3,H3070&gt;=3),"NEED ATTENTION",AND(F3070&lt;=4,G3070&gt;=6,H3070&gt;=6),"AT RISK",AND(F3070&lt;=2,G3070&gt;=8,H3070&gt;=8),"CAN'T LOSE THEM",AND(F3070&lt;=2,G3070&lt;=2,H3070&lt;=2),"HIBERNATING",TRUE(),"Other")</f>
        <v>Other</v>
      </c>
      <c r="K3070" s="1" t="n">
        <f aca="false">RANK(E3070,$E$7:$E$4378)+COUNTIF($E$7:E3070,E3070)-1</f>
        <v>2900</v>
      </c>
    </row>
    <row r="3071" customFormat="false" ht="14.25" hidden="false" customHeight="true" outlineLevel="0" collapsed="false">
      <c r="A3071" s="51" t="n">
        <v>16485</v>
      </c>
      <c r="B3071" s="53" t="n">
        <v>40809.6597222222</v>
      </c>
      <c r="C3071" s="57" t="n">
        <f aca="false">INT($C$2)-INT(Table3[[#This Row],[Last Purchase Date]])</f>
        <v>78</v>
      </c>
      <c r="D3071" s="1" t="n">
        <v>1</v>
      </c>
      <c r="E3071" s="1" t="n">
        <v>363.65</v>
      </c>
      <c r="F3071" s="1" t="n">
        <f aca="false">ROUND((1-_xlfn.PERCENTRANK.INC($C$7:$C$4378,C3071))*9,0)</f>
        <v>3</v>
      </c>
      <c r="G3071" s="1" t="n">
        <f aca="false">ROUND(_xlfn.PERCENTRANK.INC($D$7:$D$4378,D3071)*9,0)</f>
        <v>0</v>
      </c>
      <c r="H3071" s="1" t="n">
        <f aca="false">ROUND(_xlfn.PERCENTRANK.INC($E$7:$E$4378,E3071)*9,0)</f>
        <v>3</v>
      </c>
      <c r="I3071" s="1" t="str">
        <f aca="false">CONCATENATE(F3071,G3071,H3071)</f>
        <v>303</v>
      </c>
      <c r="J3071" s="1" t="str">
        <f aca="false">_xlfn.IFS(AND(F3071&gt;=8,G3071&gt;=8,H3071&gt;=8),"CHAMPION",AND(F3071&gt;=6,G3071&gt;=7,H3071&gt;=6),"LOYAL CUSTOMER",AND(F3071&gt;=6,G3071&gt;=5,H3071&gt;=5),"POTENTIAL LOYALIST",AND(F3071&gt;=8,G3071&lt;=2,H3071&gt;=5),"NEW CUSTOMERS",AND(F3071&gt;=6,G3071&lt;=2,H3071&gt;=3),"PROMISING",AND(F3071&gt;=3,G3071&gt;=3,H3071&gt;=3),"NEED ATTENTION",AND(F3071&lt;=4,G3071&gt;=6,H3071&gt;=6),"AT RISK",AND(F3071&lt;=2,G3071&gt;=8,H3071&gt;=8),"CAN'T LOSE THEM",AND(F3071&lt;=2,G3071&lt;=2,H3071&lt;=2),"HIBERNATING",TRUE(),"Other")</f>
        <v>Other</v>
      </c>
      <c r="K3071" s="1" t="n">
        <f aca="false">RANK(E3071,$E$7:$E$4378)+COUNTIF($E$7:E3071,E3071)-1</f>
        <v>2951</v>
      </c>
    </row>
    <row r="3072" customFormat="false" ht="14.25" hidden="false" customHeight="true" outlineLevel="0" collapsed="false">
      <c r="A3072" s="51" t="n">
        <v>16488</v>
      </c>
      <c r="B3072" s="53" t="n">
        <v>40853.5708333333</v>
      </c>
      <c r="C3072" s="57" t="n">
        <f aca="false">INT($C$2)-INT(Table3[[#This Row],[Last Purchase Date]])</f>
        <v>34</v>
      </c>
      <c r="D3072" s="1" t="n">
        <v>4</v>
      </c>
      <c r="E3072" s="1" t="n">
        <v>492.2</v>
      </c>
      <c r="F3072" s="1" t="n">
        <f aca="false">ROUND((1-_xlfn.PERCENTRANK.INC($C$7:$C$4378,C3072))*9,0)</f>
        <v>5</v>
      </c>
      <c r="G3072" s="1" t="n">
        <f aca="false">ROUND(_xlfn.PERCENTRANK.INC($D$7:$D$4378,D3072)*9,0)</f>
        <v>5</v>
      </c>
      <c r="H3072" s="1" t="n">
        <f aca="false">ROUND(_xlfn.PERCENTRANK.INC($E$7:$E$4378,E3072)*9,0)</f>
        <v>4</v>
      </c>
      <c r="I3072" s="1" t="str">
        <f aca="false">CONCATENATE(F3072,G3072,H3072)</f>
        <v>554</v>
      </c>
      <c r="J3072" s="1" t="str">
        <f aca="false">_xlfn.IFS(AND(F3072&gt;=8,G3072&gt;=8,H3072&gt;=8),"CHAMPION",AND(F3072&gt;=6,G3072&gt;=7,H3072&gt;=6),"LOYAL CUSTOMER",AND(F3072&gt;=6,G3072&gt;=5,H3072&gt;=5),"POTENTIAL LOYALIST",AND(F3072&gt;=8,G3072&lt;=2,H3072&gt;=5),"NEW CUSTOMERS",AND(F3072&gt;=6,G3072&lt;=2,H3072&gt;=3),"PROMISING",AND(F3072&gt;=3,G3072&gt;=3,H3072&gt;=3),"NEED ATTENTION",AND(F3072&lt;=4,G3072&gt;=6,H3072&gt;=6),"AT RISK",AND(F3072&lt;=2,G3072&gt;=8,H3072&gt;=8),"CAN'T LOSE THEM",AND(F3072&lt;=2,G3072&lt;=2,H3072&lt;=2),"HIBERNATING",TRUE(),"Other")</f>
        <v>NEED ATTENTION</v>
      </c>
      <c r="K3072" s="1" t="n">
        <f aca="false">RANK(E3072,$E$7:$E$4378)+COUNTIF($E$7:E3072,E3072)-1</f>
        <v>2564</v>
      </c>
    </row>
    <row r="3073" customFormat="false" ht="14.25" hidden="false" customHeight="true" outlineLevel="0" collapsed="false">
      <c r="A3073" s="51" t="n">
        <v>16491</v>
      </c>
      <c r="B3073" s="53" t="n">
        <v>40840.4291666667</v>
      </c>
      <c r="C3073" s="57" t="n">
        <f aca="false">INT($C$2)-INT(Table3[[#This Row],[Last Purchase Date]])</f>
        <v>47</v>
      </c>
      <c r="D3073" s="1" t="n">
        <v>1</v>
      </c>
      <c r="E3073" s="1" t="n">
        <v>731.5</v>
      </c>
      <c r="F3073" s="1" t="n">
        <f aca="false">ROUND((1-_xlfn.PERCENTRANK.INC($C$7:$C$4378,C3073))*9,0)</f>
        <v>5</v>
      </c>
      <c r="G3073" s="1" t="n">
        <f aca="false">ROUND(_xlfn.PERCENTRANK.INC($D$7:$D$4378,D3073)*9,0)</f>
        <v>0</v>
      </c>
      <c r="H3073" s="1" t="n">
        <f aca="false">ROUND(_xlfn.PERCENTRANK.INC($E$7:$E$4378,E3073)*9,0)</f>
        <v>5</v>
      </c>
      <c r="I3073" s="1" t="str">
        <f aca="false">CONCATENATE(F3073,G3073,H3073)</f>
        <v>505</v>
      </c>
      <c r="J3073" s="1" t="str">
        <f aca="false">_xlfn.IFS(AND(F3073&gt;=8,G3073&gt;=8,H3073&gt;=8),"CHAMPION",AND(F3073&gt;=6,G3073&gt;=7,H3073&gt;=6),"LOYAL CUSTOMER",AND(F3073&gt;=6,G3073&gt;=5,H3073&gt;=5),"POTENTIAL LOYALIST",AND(F3073&gt;=8,G3073&lt;=2,H3073&gt;=5),"NEW CUSTOMERS",AND(F3073&gt;=6,G3073&lt;=2,H3073&gt;=3),"PROMISING",AND(F3073&gt;=3,G3073&gt;=3,H3073&gt;=3),"NEED ATTENTION",AND(F3073&lt;=4,G3073&gt;=6,H3073&gt;=6),"AT RISK",AND(F3073&lt;=2,G3073&gt;=8,H3073&gt;=8),"CAN'T LOSE THEM",AND(F3073&lt;=2,G3073&lt;=2,H3073&lt;=2),"HIBERNATING",TRUE(),"Other")</f>
        <v>Other</v>
      </c>
      <c r="K3073" s="1" t="n">
        <f aca="false">RANK(E3073,$E$7:$E$4378)+COUNTIF($E$7:E3073,E3073)-1</f>
        <v>2008</v>
      </c>
    </row>
    <row r="3074" customFormat="false" ht="14.25" hidden="false" customHeight="true" outlineLevel="0" collapsed="false">
      <c r="A3074" s="51" t="n">
        <v>16493</v>
      </c>
      <c r="B3074" s="53" t="n">
        <v>40814.4673611111</v>
      </c>
      <c r="C3074" s="57" t="n">
        <f aca="false">INT($C$2)-INT(Table3[[#This Row],[Last Purchase Date]])</f>
        <v>73</v>
      </c>
      <c r="D3074" s="1" t="n">
        <v>6</v>
      </c>
      <c r="E3074" s="1" t="n">
        <v>1329.66</v>
      </c>
      <c r="F3074" s="1" t="n">
        <f aca="false">ROUND((1-_xlfn.PERCENTRANK.INC($C$7:$C$4378,C3074))*9,0)</f>
        <v>4</v>
      </c>
      <c r="G3074" s="1" t="n">
        <f aca="false">ROUND(_xlfn.PERCENTRANK.INC($D$7:$D$4378,D3074)*9,0)</f>
        <v>7</v>
      </c>
      <c r="H3074" s="1" t="n">
        <f aca="false">ROUND(_xlfn.PERCENTRANK.INC($E$7:$E$4378,E3074)*9,0)</f>
        <v>6</v>
      </c>
      <c r="I3074" s="1" t="str">
        <f aca="false">CONCATENATE(F3074,G3074,H3074)</f>
        <v>476</v>
      </c>
      <c r="J3074" s="1" t="str">
        <f aca="false">_xlfn.IFS(AND(F3074&gt;=8,G3074&gt;=8,H3074&gt;=8),"CHAMPION",AND(F3074&gt;=6,G3074&gt;=7,H3074&gt;=6),"LOYAL CUSTOMER",AND(F3074&gt;=6,G3074&gt;=5,H3074&gt;=5),"POTENTIAL LOYALIST",AND(F3074&gt;=8,G3074&lt;=2,H3074&gt;=5),"NEW CUSTOMERS",AND(F3074&gt;=6,G3074&lt;=2,H3074&gt;=3),"PROMISING",AND(F3074&gt;=3,G3074&gt;=3,H3074&gt;=3),"NEED ATTENTION",AND(F3074&lt;=4,G3074&gt;=6,H3074&gt;=6),"AT RISK",AND(F3074&lt;=2,G3074&gt;=8,H3074&gt;=8),"CAN'T LOSE THEM",AND(F3074&lt;=2,G3074&lt;=2,H3074&lt;=2),"HIBERNATING",TRUE(),"Other")</f>
        <v>NEED ATTENTION</v>
      </c>
      <c r="K3074" s="1" t="n">
        <f aca="false">RANK(E3074,$E$7:$E$4378)+COUNTIF($E$7:E3074,E3074)-1</f>
        <v>1296</v>
      </c>
    </row>
    <row r="3075" customFormat="false" ht="14.25" hidden="false" customHeight="true" outlineLevel="0" collapsed="false">
      <c r="A3075" s="51" t="n">
        <v>16494</v>
      </c>
      <c r="B3075" s="53" t="n">
        <v>40590.5340277778</v>
      </c>
      <c r="C3075" s="57" t="n">
        <f aca="false">INT($C$2)-INT(Table3[[#This Row],[Last Purchase Date]])</f>
        <v>297</v>
      </c>
      <c r="D3075" s="1" t="n">
        <v>1</v>
      </c>
      <c r="E3075" s="1" t="n">
        <v>826.53</v>
      </c>
      <c r="F3075" s="1" t="n">
        <f aca="false">ROUND((1-_xlfn.PERCENTRANK.INC($C$7:$C$4378,C3075))*9,0)</f>
        <v>1</v>
      </c>
      <c r="G3075" s="1" t="n">
        <f aca="false">ROUND(_xlfn.PERCENTRANK.INC($D$7:$D$4378,D3075)*9,0)</f>
        <v>0</v>
      </c>
      <c r="H3075" s="1" t="n">
        <f aca="false">ROUND(_xlfn.PERCENTRANK.INC($E$7:$E$4378,E3075)*9,0)</f>
        <v>5</v>
      </c>
      <c r="I3075" s="1" t="str">
        <f aca="false">CONCATENATE(F3075,G3075,H3075)</f>
        <v>105</v>
      </c>
      <c r="J3075" s="1" t="str">
        <f aca="false">_xlfn.IFS(AND(F3075&gt;=8,G3075&gt;=8,H3075&gt;=8),"CHAMPION",AND(F3075&gt;=6,G3075&gt;=7,H3075&gt;=6),"LOYAL CUSTOMER",AND(F3075&gt;=6,G3075&gt;=5,H3075&gt;=5),"POTENTIAL LOYALIST",AND(F3075&gt;=8,G3075&lt;=2,H3075&gt;=5),"NEW CUSTOMERS",AND(F3075&gt;=6,G3075&lt;=2,H3075&gt;=3),"PROMISING",AND(F3075&gt;=3,G3075&gt;=3,H3075&gt;=3),"NEED ATTENTION",AND(F3075&lt;=4,G3075&gt;=6,H3075&gt;=6),"AT RISK",AND(F3075&lt;=2,G3075&gt;=8,H3075&gt;=8),"CAN'T LOSE THEM",AND(F3075&lt;=2,G3075&lt;=2,H3075&lt;=2),"HIBERNATING",TRUE(),"Other")</f>
        <v>Other</v>
      </c>
      <c r="K3075" s="1" t="n">
        <f aca="false">RANK(E3075,$E$7:$E$4378)+COUNTIF($E$7:E3075,E3075)-1</f>
        <v>1858</v>
      </c>
    </row>
    <row r="3076" customFormat="false" ht="14.25" hidden="false" customHeight="true" outlineLevel="0" collapsed="false">
      <c r="A3076" s="51" t="n">
        <v>16495</v>
      </c>
      <c r="B3076" s="53" t="n">
        <v>40883.5555555556</v>
      </c>
      <c r="C3076" s="57" t="n">
        <f aca="false">INT($C$2)-INT(Table3[[#This Row],[Last Purchase Date]])</f>
        <v>4</v>
      </c>
      <c r="D3076" s="1" t="n">
        <v>3</v>
      </c>
      <c r="E3076" s="1" t="n">
        <v>684.41</v>
      </c>
      <c r="F3076" s="1" t="n">
        <f aca="false">ROUND((1-_xlfn.PERCENTRANK.INC($C$7:$C$4378,C3076))*9,0)</f>
        <v>8</v>
      </c>
      <c r="G3076" s="1" t="n">
        <f aca="false">ROUND(_xlfn.PERCENTRANK.INC($D$7:$D$4378,D3076)*9,0)</f>
        <v>4</v>
      </c>
      <c r="H3076" s="1" t="n">
        <f aca="false">ROUND(_xlfn.PERCENTRANK.INC($E$7:$E$4378,E3076)*9,0)</f>
        <v>5</v>
      </c>
      <c r="I3076" s="1" t="str">
        <f aca="false">CONCATENATE(F3076,G3076,H3076)</f>
        <v>845</v>
      </c>
      <c r="J3076" s="1" t="str">
        <f aca="false">_xlfn.IFS(AND(F3076&gt;=8,G3076&gt;=8,H3076&gt;=8),"CHAMPION",AND(F3076&gt;=6,G3076&gt;=7,H3076&gt;=6),"LOYAL CUSTOMER",AND(F3076&gt;=6,G3076&gt;=5,H3076&gt;=5),"POTENTIAL LOYALIST",AND(F3076&gt;=8,G3076&lt;=2,H3076&gt;=5),"NEW CUSTOMERS",AND(F3076&gt;=6,G3076&lt;=2,H3076&gt;=3),"PROMISING",AND(F3076&gt;=3,G3076&gt;=3,H3076&gt;=3),"NEED ATTENTION",AND(F3076&lt;=4,G3076&gt;=6,H3076&gt;=6),"AT RISK",AND(F3076&lt;=2,G3076&gt;=8,H3076&gt;=8),"CAN'T LOSE THEM",AND(F3076&lt;=2,G3076&lt;=2,H3076&lt;=2),"HIBERNATING",TRUE(),"Other")</f>
        <v>NEED ATTENTION</v>
      </c>
      <c r="K3076" s="1" t="n">
        <f aca="false">RANK(E3076,$E$7:$E$4378)+COUNTIF($E$7:E3076,E3076)-1</f>
        <v>2093</v>
      </c>
    </row>
    <row r="3077" customFormat="false" ht="14.25" hidden="false" customHeight="true" outlineLevel="0" collapsed="false">
      <c r="A3077" s="51" t="n">
        <v>16496</v>
      </c>
      <c r="B3077" s="53" t="n">
        <v>40878.4381944445</v>
      </c>
      <c r="C3077" s="57" t="n">
        <f aca="false">INT($C$2)-INT(Table3[[#This Row],[Last Purchase Date]])</f>
        <v>9</v>
      </c>
      <c r="D3077" s="1" t="n">
        <v>4</v>
      </c>
      <c r="E3077" s="1" t="n">
        <v>1562.22</v>
      </c>
      <c r="F3077" s="1" t="n">
        <f aca="false">ROUND((1-_xlfn.PERCENTRANK.INC($C$7:$C$4378,C3077))*9,0)</f>
        <v>8</v>
      </c>
      <c r="G3077" s="1" t="n">
        <f aca="false">ROUND(_xlfn.PERCENTRANK.INC($D$7:$D$4378,D3077)*9,0)</f>
        <v>5</v>
      </c>
      <c r="H3077" s="1" t="n">
        <f aca="false">ROUND(_xlfn.PERCENTRANK.INC($E$7:$E$4378,E3077)*9,0)</f>
        <v>7</v>
      </c>
      <c r="I3077" s="1" t="str">
        <f aca="false">CONCATENATE(F3077,G3077,H3077)</f>
        <v>857</v>
      </c>
      <c r="J3077" s="1" t="str">
        <f aca="false">_xlfn.IFS(AND(F3077&gt;=8,G3077&gt;=8,H3077&gt;=8),"CHAMPION",AND(F3077&gt;=6,G3077&gt;=7,H3077&gt;=6),"LOYAL CUSTOMER",AND(F3077&gt;=6,G3077&gt;=5,H3077&gt;=5),"POTENTIAL LOYALIST",AND(F3077&gt;=8,G3077&lt;=2,H3077&gt;=5),"NEW CUSTOMERS",AND(F3077&gt;=6,G3077&lt;=2,H3077&gt;=3),"PROMISING",AND(F3077&gt;=3,G3077&gt;=3,H3077&gt;=3),"NEED ATTENTION",AND(F3077&lt;=4,G3077&gt;=6,H3077&gt;=6),"AT RISK",AND(F3077&lt;=2,G3077&gt;=8,H3077&gt;=8),"CAN'T LOSE THEM",AND(F3077&lt;=2,G3077&lt;=2,H3077&lt;=2),"HIBERNATING",TRUE(),"Other")</f>
        <v>POTENTIAL LOYALIST</v>
      </c>
      <c r="K3077" s="1" t="n">
        <f aca="false">RANK(E3077,$E$7:$E$4378)+COUNTIF($E$7:E3077,E3077)-1</f>
        <v>1116</v>
      </c>
    </row>
    <row r="3078" customFormat="false" ht="14.25" hidden="false" customHeight="true" outlineLevel="0" collapsed="false">
      <c r="A3078" s="51" t="n">
        <v>16497</v>
      </c>
      <c r="B3078" s="53" t="n">
        <v>40837.4548611111</v>
      </c>
      <c r="C3078" s="57" t="n">
        <f aca="false">INT($C$2)-INT(Table3[[#This Row],[Last Purchase Date]])</f>
        <v>50</v>
      </c>
      <c r="D3078" s="1" t="n">
        <v>6</v>
      </c>
      <c r="E3078" s="1" t="n">
        <v>2965.69</v>
      </c>
      <c r="F3078" s="1" t="n">
        <f aca="false">ROUND((1-_xlfn.PERCENTRANK.INC($C$7:$C$4378,C3078))*9,0)</f>
        <v>5</v>
      </c>
      <c r="G3078" s="1" t="n">
        <f aca="false">ROUND(_xlfn.PERCENTRANK.INC($D$7:$D$4378,D3078)*9,0)</f>
        <v>7</v>
      </c>
      <c r="H3078" s="1" t="n">
        <f aca="false">ROUND(_xlfn.PERCENTRANK.INC($E$7:$E$4378,E3078)*9,0)</f>
        <v>8</v>
      </c>
      <c r="I3078" s="1" t="str">
        <f aca="false">CONCATENATE(F3078,G3078,H3078)</f>
        <v>578</v>
      </c>
      <c r="J3078" s="1" t="str">
        <f aca="false">_xlfn.IFS(AND(F3078&gt;=8,G3078&gt;=8,H3078&gt;=8),"CHAMPION",AND(F3078&gt;=6,G3078&gt;=7,H3078&gt;=6),"LOYAL CUSTOMER",AND(F3078&gt;=6,G3078&gt;=5,H3078&gt;=5),"POTENTIAL LOYALIST",AND(F3078&gt;=8,G3078&lt;=2,H3078&gt;=5),"NEW CUSTOMERS",AND(F3078&gt;=6,G3078&lt;=2,H3078&gt;=3),"PROMISING",AND(F3078&gt;=3,G3078&gt;=3,H3078&gt;=3),"NEED ATTENTION",AND(F3078&lt;=4,G3078&gt;=6,H3078&gt;=6),"AT RISK",AND(F3078&lt;=2,G3078&gt;=8,H3078&gt;=8),"CAN'T LOSE THEM",AND(F3078&lt;=2,G3078&lt;=2,H3078&lt;=2),"HIBERNATING",TRUE(),"Other")</f>
        <v>NEED ATTENTION</v>
      </c>
      <c r="K3078" s="1" t="n">
        <f aca="false">RANK(E3078,$E$7:$E$4378)+COUNTIF($E$7:E3078,E3078)-1</f>
        <v>546</v>
      </c>
    </row>
    <row r="3079" customFormat="false" ht="14.25" hidden="false" customHeight="true" outlineLevel="0" collapsed="false">
      <c r="A3079" s="51" t="n">
        <v>16498</v>
      </c>
      <c r="B3079" s="53" t="n">
        <v>40725.6298611111</v>
      </c>
      <c r="C3079" s="57" t="n">
        <f aca="false">INT($C$2)-INT(Table3[[#This Row],[Last Purchase Date]])</f>
        <v>162</v>
      </c>
      <c r="D3079" s="1" t="n">
        <v>3</v>
      </c>
      <c r="E3079" s="1" t="n">
        <v>86.12</v>
      </c>
      <c r="F3079" s="1" t="n">
        <f aca="false">ROUND((1-_xlfn.PERCENTRANK.INC($C$7:$C$4378,C3079))*9,0)</f>
        <v>2</v>
      </c>
      <c r="G3079" s="1" t="n">
        <f aca="false">ROUND(_xlfn.PERCENTRANK.INC($D$7:$D$4378,D3079)*9,0)</f>
        <v>4</v>
      </c>
      <c r="H3079" s="1" t="n">
        <f aca="false">ROUND(_xlfn.PERCENTRANK.INC($E$7:$E$4378,E3079)*9,0)</f>
        <v>0</v>
      </c>
      <c r="I3079" s="1" t="str">
        <f aca="false">CONCATENATE(F3079,G3079,H3079)</f>
        <v>240</v>
      </c>
      <c r="J3079" s="1" t="str">
        <f aca="false">_xlfn.IFS(AND(F3079&gt;=8,G3079&gt;=8,H3079&gt;=8),"CHAMPION",AND(F3079&gt;=6,G3079&gt;=7,H3079&gt;=6),"LOYAL CUSTOMER",AND(F3079&gt;=6,G3079&gt;=5,H3079&gt;=5),"POTENTIAL LOYALIST",AND(F3079&gt;=8,G3079&lt;=2,H3079&gt;=5),"NEW CUSTOMERS",AND(F3079&gt;=6,G3079&lt;=2,H3079&gt;=3),"PROMISING",AND(F3079&gt;=3,G3079&gt;=3,H3079&gt;=3),"NEED ATTENTION",AND(F3079&lt;=4,G3079&gt;=6,H3079&gt;=6),"AT RISK",AND(F3079&lt;=2,G3079&gt;=8,H3079&gt;=8),"CAN'T LOSE THEM",AND(F3079&lt;=2,G3079&lt;=2,H3079&lt;=2),"HIBERNATING",TRUE(),"Other")</f>
        <v>Other</v>
      </c>
      <c r="K3079" s="1" t="n">
        <f aca="false">RANK(E3079,$E$7:$E$4378)+COUNTIF($E$7:E3079,E3079)-1</f>
        <v>4205</v>
      </c>
    </row>
    <row r="3080" customFormat="false" ht="14.25" hidden="false" customHeight="true" outlineLevel="0" collapsed="false">
      <c r="A3080" s="51" t="n">
        <v>16499</v>
      </c>
      <c r="B3080" s="53" t="n">
        <v>40526.6388888889</v>
      </c>
      <c r="C3080" s="57" t="n">
        <f aca="false">INT($C$2)-INT(Table3[[#This Row],[Last Purchase Date]])</f>
        <v>361</v>
      </c>
      <c r="D3080" s="1" t="n">
        <v>5</v>
      </c>
      <c r="E3080" s="1" t="n">
        <v>319.1</v>
      </c>
      <c r="F3080" s="1" t="n">
        <f aca="false">ROUND((1-_xlfn.PERCENTRANK.INC($C$7:$C$4378,C3080))*9,0)</f>
        <v>0</v>
      </c>
      <c r="G3080" s="1" t="n">
        <f aca="false">ROUND(_xlfn.PERCENTRANK.INC($D$7:$D$4378,D3080)*9,0)</f>
        <v>6</v>
      </c>
      <c r="H3080" s="1" t="n">
        <f aca="false">ROUND(_xlfn.PERCENTRANK.INC($E$7:$E$4378,E3080)*9,0)</f>
        <v>3</v>
      </c>
      <c r="I3080" s="1" t="str">
        <f aca="false">CONCATENATE(F3080,G3080,H3080)</f>
        <v>063</v>
      </c>
      <c r="J3080" s="1" t="str">
        <f aca="false">_xlfn.IFS(AND(F3080&gt;=8,G3080&gt;=8,H3080&gt;=8),"CHAMPION",AND(F3080&gt;=6,G3080&gt;=7,H3080&gt;=6),"LOYAL CUSTOMER",AND(F3080&gt;=6,G3080&gt;=5,H3080&gt;=5),"POTENTIAL LOYALIST",AND(F3080&gt;=8,G3080&lt;=2,H3080&gt;=5),"NEW CUSTOMERS",AND(F3080&gt;=6,G3080&lt;=2,H3080&gt;=3),"PROMISING",AND(F3080&gt;=3,G3080&gt;=3,H3080&gt;=3),"NEED ATTENTION",AND(F3080&lt;=4,G3080&gt;=6,H3080&gt;=6),"AT RISK",AND(F3080&lt;=2,G3080&gt;=8,H3080&gt;=8),"CAN'T LOSE THEM",AND(F3080&lt;=2,G3080&lt;=2,H3080&lt;=2),"HIBERNATING",TRUE(),"Other")</f>
        <v>Other</v>
      </c>
      <c r="K3080" s="1" t="n">
        <f aca="false">RANK(E3080,$E$7:$E$4378)+COUNTIF($E$7:E3080,E3080)-1</f>
        <v>3143</v>
      </c>
    </row>
    <row r="3081" customFormat="false" ht="14.25" hidden="false" customHeight="true" outlineLevel="0" collapsed="false">
      <c r="A3081" s="51" t="n">
        <v>16500</v>
      </c>
      <c r="B3081" s="53" t="n">
        <v>40882.5027777778</v>
      </c>
      <c r="C3081" s="57" t="n">
        <f aca="false">INT($C$2)-INT(Table3[[#This Row],[Last Purchase Date]])</f>
        <v>5</v>
      </c>
      <c r="D3081" s="1" t="n">
        <v>6</v>
      </c>
      <c r="E3081" s="1" t="n">
        <v>400.86</v>
      </c>
      <c r="F3081" s="1" t="n">
        <f aca="false">ROUND((1-_xlfn.PERCENTRANK.INC($C$7:$C$4378,C3081))*9,0)</f>
        <v>8</v>
      </c>
      <c r="G3081" s="1" t="n">
        <f aca="false">ROUND(_xlfn.PERCENTRANK.INC($D$7:$D$4378,D3081)*9,0)</f>
        <v>7</v>
      </c>
      <c r="H3081" s="1" t="n">
        <f aca="false">ROUND(_xlfn.PERCENTRANK.INC($E$7:$E$4378,E3081)*9,0)</f>
        <v>3</v>
      </c>
      <c r="I3081" s="1" t="str">
        <f aca="false">CONCATENATE(F3081,G3081,H3081)</f>
        <v>873</v>
      </c>
      <c r="J3081" s="1" t="str">
        <f aca="false">_xlfn.IFS(AND(F3081&gt;=8,G3081&gt;=8,H3081&gt;=8),"CHAMPION",AND(F3081&gt;=6,G3081&gt;=7,H3081&gt;=6),"LOYAL CUSTOMER",AND(F3081&gt;=6,G3081&gt;=5,H3081&gt;=5),"POTENTIAL LOYALIST",AND(F3081&gt;=8,G3081&lt;=2,H3081&gt;=5),"NEW CUSTOMERS",AND(F3081&gt;=6,G3081&lt;=2,H3081&gt;=3),"PROMISING",AND(F3081&gt;=3,G3081&gt;=3,H3081&gt;=3),"NEED ATTENTION",AND(F3081&lt;=4,G3081&gt;=6,H3081&gt;=6),"AT RISK",AND(F3081&lt;=2,G3081&gt;=8,H3081&gt;=8),"CAN'T LOSE THEM",AND(F3081&lt;=2,G3081&lt;=2,H3081&lt;=2),"HIBERNATING",TRUE(),"Other")</f>
        <v>NEED ATTENTION</v>
      </c>
      <c r="K3081" s="1" t="n">
        <f aca="false">RANK(E3081,$E$7:$E$4378)+COUNTIF($E$7:E3081,E3081)-1</f>
        <v>2815</v>
      </c>
    </row>
    <row r="3082" customFormat="false" ht="14.25" hidden="false" customHeight="true" outlineLevel="0" collapsed="false">
      <c r="A3082" s="51" t="n">
        <v>16503</v>
      </c>
      <c r="B3082" s="53" t="n">
        <v>40780.4902777778</v>
      </c>
      <c r="C3082" s="57" t="n">
        <f aca="false">INT($C$2)-INT(Table3[[#This Row],[Last Purchase Date]])</f>
        <v>107</v>
      </c>
      <c r="D3082" s="1" t="n">
        <v>5</v>
      </c>
      <c r="E3082" s="1" t="n">
        <v>1421.43</v>
      </c>
      <c r="F3082" s="1" t="n">
        <f aca="false">ROUND((1-_xlfn.PERCENTRANK.INC($C$7:$C$4378,C3082))*9,0)</f>
        <v>3</v>
      </c>
      <c r="G3082" s="1" t="n">
        <f aca="false">ROUND(_xlfn.PERCENTRANK.INC($D$7:$D$4378,D3082)*9,0)</f>
        <v>6</v>
      </c>
      <c r="H3082" s="1" t="n">
        <f aca="false">ROUND(_xlfn.PERCENTRANK.INC($E$7:$E$4378,E3082)*9,0)</f>
        <v>6</v>
      </c>
      <c r="I3082" s="1" t="str">
        <f aca="false">CONCATENATE(F3082,G3082,H3082)</f>
        <v>366</v>
      </c>
      <c r="J3082" s="1" t="str">
        <f aca="false">_xlfn.IFS(AND(F3082&gt;=8,G3082&gt;=8,H3082&gt;=8),"CHAMPION",AND(F3082&gt;=6,G3082&gt;=7,H3082&gt;=6),"LOYAL CUSTOMER",AND(F3082&gt;=6,G3082&gt;=5,H3082&gt;=5),"POTENTIAL LOYALIST",AND(F3082&gt;=8,G3082&lt;=2,H3082&gt;=5),"NEW CUSTOMERS",AND(F3082&gt;=6,G3082&lt;=2,H3082&gt;=3),"PROMISING",AND(F3082&gt;=3,G3082&gt;=3,H3082&gt;=3),"NEED ATTENTION",AND(F3082&lt;=4,G3082&gt;=6,H3082&gt;=6),"AT RISK",AND(F3082&lt;=2,G3082&gt;=8,H3082&gt;=8),"CAN'T LOSE THEM",AND(F3082&lt;=2,G3082&lt;=2,H3082&lt;=2),"HIBERNATING",TRUE(),"Other")</f>
        <v>NEED ATTENTION</v>
      </c>
      <c r="K3082" s="1" t="n">
        <f aca="false">RANK(E3082,$E$7:$E$4378)+COUNTIF($E$7:E3082,E3082)-1</f>
        <v>1220</v>
      </c>
    </row>
    <row r="3083" customFormat="false" ht="14.25" hidden="false" customHeight="true" outlineLevel="0" collapsed="false">
      <c r="A3083" s="51" t="n">
        <v>16504</v>
      </c>
      <c r="B3083" s="53" t="n">
        <v>40861.6375</v>
      </c>
      <c r="C3083" s="57" t="n">
        <f aca="false">INT($C$2)-INT(Table3[[#This Row],[Last Purchase Date]])</f>
        <v>26</v>
      </c>
      <c r="D3083" s="1" t="n">
        <v>1</v>
      </c>
      <c r="E3083" s="1" t="n">
        <v>484.38</v>
      </c>
      <c r="F3083" s="1" t="n">
        <f aca="false">ROUND((1-_xlfn.PERCENTRANK.INC($C$7:$C$4378,C3083))*9,0)</f>
        <v>6</v>
      </c>
      <c r="G3083" s="1" t="n">
        <f aca="false">ROUND(_xlfn.PERCENTRANK.INC($D$7:$D$4378,D3083)*9,0)</f>
        <v>0</v>
      </c>
      <c r="H3083" s="1" t="n">
        <f aca="false">ROUND(_xlfn.PERCENTRANK.INC($E$7:$E$4378,E3083)*9,0)</f>
        <v>4</v>
      </c>
      <c r="I3083" s="1" t="str">
        <f aca="false">CONCATENATE(F3083,G3083,H3083)</f>
        <v>604</v>
      </c>
      <c r="J3083" s="1" t="str">
        <f aca="false">_xlfn.IFS(AND(F3083&gt;=8,G3083&gt;=8,H3083&gt;=8),"CHAMPION",AND(F3083&gt;=6,G3083&gt;=7,H3083&gt;=6),"LOYAL CUSTOMER",AND(F3083&gt;=6,G3083&gt;=5,H3083&gt;=5),"POTENTIAL LOYALIST",AND(F3083&gt;=8,G3083&lt;=2,H3083&gt;=5),"NEW CUSTOMERS",AND(F3083&gt;=6,G3083&lt;=2,H3083&gt;=3),"PROMISING",AND(F3083&gt;=3,G3083&gt;=3,H3083&gt;=3),"NEED ATTENTION",AND(F3083&lt;=4,G3083&gt;=6,H3083&gt;=6),"AT RISK",AND(F3083&lt;=2,G3083&gt;=8,H3083&gt;=8),"CAN'T LOSE THEM",AND(F3083&lt;=2,G3083&lt;=2,H3083&lt;=2),"HIBERNATING",TRUE(),"Other")</f>
        <v>PROMISING</v>
      </c>
      <c r="K3083" s="1" t="n">
        <f aca="false">RANK(E3083,$E$7:$E$4378)+COUNTIF($E$7:E3083,E3083)-1</f>
        <v>2584</v>
      </c>
    </row>
    <row r="3084" customFormat="false" ht="14.25" hidden="false" customHeight="true" outlineLevel="0" collapsed="false">
      <c r="A3084" s="51" t="n">
        <v>16505</v>
      </c>
      <c r="B3084" s="53" t="n">
        <v>40855.5097222222</v>
      </c>
      <c r="C3084" s="57" t="n">
        <f aca="false">INT($C$2)-INT(Table3[[#This Row],[Last Purchase Date]])</f>
        <v>32</v>
      </c>
      <c r="D3084" s="1" t="n">
        <v>1</v>
      </c>
      <c r="E3084" s="1" t="n">
        <v>777.6</v>
      </c>
      <c r="F3084" s="1" t="n">
        <f aca="false">ROUND((1-_xlfn.PERCENTRANK.INC($C$7:$C$4378,C3084))*9,0)</f>
        <v>5</v>
      </c>
      <c r="G3084" s="1" t="n">
        <f aca="false">ROUND(_xlfn.PERCENTRANK.INC($D$7:$D$4378,D3084)*9,0)</f>
        <v>0</v>
      </c>
      <c r="H3084" s="1" t="n">
        <f aca="false">ROUND(_xlfn.PERCENTRANK.INC($E$7:$E$4378,E3084)*9,0)</f>
        <v>5</v>
      </c>
      <c r="I3084" s="1" t="str">
        <f aca="false">CONCATENATE(F3084,G3084,H3084)</f>
        <v>505</v>
      </c>
      <c r="J3084" s="1" t="str">
        <f aca="false">_xlfn.IFS(AND(F3084&gt;=8,G3084&gt;=8,H3084&gt;=8),"CHAMPION",AND(F3084&gt;=6,G3084&gt;=7,H3084&gt;=6),"LOYAL CUSTOMER",AND(F3084&gt;=6,G3084&gt;=5,H3084&gt;=5),"POTENTIAL LOYALIST",AND(F3084&gt;=8,G3084&lt;=2,H3084&gt;=5),"NEW CUSTOMERS",AND(F3084&gt;=6,G3084&lt;=2,H3084&gt;=3),"PROMISING",AND(F3084&gt;=3,G3084&gt;=3,H3084&gt;=3),"NEED ATTENTION",AND(F3084&lt;=4,G3084&gt;=6,H3084&gt;=6),"AT RISK",AND(F3084&lt;=2,G3084&gt;=8,H3084&gt;=8),"CAN'T LOSE THEM",AND(F3084&lt;=2,G3084&lt;=2,H3084&lt;=2),"HIBERNATING",TRUE(),"Other")</f>
        <v>Other</v>
      </c>
      <c r="K3084" s="1" t="n">
        <f aca="false">RANK(E3084,$E$7:$E$4378)+COUNTIF($E$7:E3084,E3084)-1</f>
        <v>1930</v>
      </c>
    </row>
    <row r="3085" customFormat="false" ht="14.25" hidden="false" customHeight="true" outlineLevel="0" collapsed="false">
      <c r="A3085" s="51" t="n">
        <v>16506</v>
      </c>
      <c r="B3085" s="53" t="n">
        <v>40867.5118055556</v>
      </c>
      <c r="C3085" s="57" t="n">
        <f aca="false">INT($C$2)-INT(Table3[[#This Row],[Last Purchase Date]])</f>
        <v>20</v>
      </c>
      <c r="D3085" s="1" t="n">
        <v>2</v>
      </c>
      <c r="E3085" s="1" t="n">
        <v>90.3</v>
      </c>
      <c r="F3085" s="1" t="n">
        <f aca="false">ROUND((1-_xlfn.PERCENTRANK.INC($C$7:$C$4378,C3085))*9,0)</f>
        <v>6</v>
      </c>
      <c r="G3085" s="1" t="n">
        <f aca="false">ROUND(_xlfn.PERCENTRANK.INC($D$7:$D$4378,D3085)*9,0)</f>
        <v>3</v>
      </c>
      <c r="H3085" s="1" t="n">
        <f aca="false">ROUND(_xlfn.PERCENTRANK.INC($E$7:$E$4378,E3085)*9,0)</f>
        <v>0</v>
      </c>
      <c r="I3085" s="1" t="str">
        <f aca="false">CONCATENATE(F3085,G3085,H3085)</f>
        <v>630</v>
      </c>
      <c r="J3085" s="1" t="str">
        <f aca="false">_xlfn.IFS(AND(F3085&gt;=8,G3085&gt;=8,H3085&gt;=8),"CHAMPION",AND(F3085&gt;=6,G3085&gt;=7,H3085&gt;=6),"LOYAL CUSTOMER",AND(F3085&gt;=6,G3085&gt;=5,H3085&gt;=5),"POTENTIAL LOYALIST",AND(F3085&gt;=8,G3085&lt;=2,H3085&gt;=5),"NEW CUSTOMERS",AND(F3085&gt;=6,G3085&lt;=2,H3085&gt;=3),"PROMISING",AND(F3085&gt;=3,G3085&gt;=3,H3085&gt;=3),"NEED ATTENTION",AND(F3085&lt;=4,G3085&gt;=6,H3085&gt;=6),"AT RISK",AND(F3085&lt;=2,G3085&gt;=8,H3085&gt;=8),"CAN'T LOSE THEM",AND(F3085&lt;=2,G3085&lt;=2,H3085&lt;=2),"HIBERNATING",TRUE(),"Other")</f>
        <v>Other</v>
      </c>
      <c r="K3085" s="1" t="n">
        <f aca="false">RANK(E3085,$E$7:$E$4378)+COUNTIF($E$7:E3085,E3085)-1</f>
        <v>4192</v>
      </c>
    </row>
    <row r="3086" customFormat="false" ht="14.25" hidden="false" customHeight="true" outlineLevel="0" collapsed="false">
      <c r="A3086" s="51" t="n">
        <v>16509</v>
      </c>
      <c r="B3086" s="53" t="n">
        <v>40590.3923611111</v>
      </c>
      <c r="C3086" s="57" t="n">
        <f aca="false">INT($C$2)-INT(Table3[[#This Row],[Last Purchase Date]])</f>
        <v>297</v>
      </c>
      <c r="D3086" s="1" t="n">
        <v>1</v>
      </c>
      <c r="E3086" s="1" t="n">
        <v>363.7</v>
      </c>
      <c r="F3086" s="1" t="n">
        <f aca="false">ROUND((1-_xlfn.PERCENTRANK.INC($C$7:$C$4378,C3086))*9,0)</f>
        <v>1</v>
      </c>
      <c r="G3086" s="1" t="n">
        <f aca="false">ROUND(_xlfn.PERCENTRANK.INC($D$7:$D$4378,D3086)*9,0)</f>
        <v>0</v>
      </c>
      <c r="H3086" s="1" t="n">
        <f aca="false">ROUND(_xlfn.PERCENTRANK.INC($E$7:$E$4378,E3086)*9,0)</f>
        <v>3</v>
      </c>
      <c r="I3086" s="1" t="str">
        <f aca="false">CONCATENATE(F3086,G3086,H3086)</f>
        <v>103</v>
      </c>
      <c r="J3086" s="1" t="str">
        <f aca="false">_xlfn.IFS(AND(F3086&gt;=8,G3086&gt;=8,H3086&gt;=8),"CHAMPION",AND(F3086&gt;=6,G3086&gt;=7,H3086&gt;=6),"LOYAL CUSTOMER",AND(F3086&gt;=6,G3086&gt;=5,H3086&gt;=5),"POTENTIAL LOYALIST",AND(F3086&gt;=8,G3086&lt;=2,H3086&gt;=5),"NEW CUSTOMERS",AND(F3086&gt;=6,G3086&lt;=2,H3086&gt;=3),"PROMISING",AND(F3086&gt;=3,G3086&gt;=3,H3086&gt;=3),"NEED ATTENTION",AND(F3086&lt;=4,G3086&gt;=6,H3086&gt;=6),"AT RISK",AND(F3086&lt;=2,G3086&gt;=8,H3086&gt;=8),"CAN'T LOSE THEM",AND(F3086&lt;=2,G3086&lt;=2,H3086&lt;=2),"HIBERNATING",TRUE(),"Other")</f>
        <v>Other</v>
      </c>
      <c r="K3086" s="1" t="n">
        <f aca="false">RANK(E3086,$E$7:$E$4378)+COUNTIF($E$7:E3086,E3086)-1</f>
        <v>2949</v>
      </c>
    </row>
    <row r="3087" customFormat="false" ht="14.25" hidden="false" customHeight="true" outlineLevel="0" collapsed="false">
      <c r="A3087" s="51" t="n">
        <v>16510</v>
      </c>
      <c r="B3087" s="53" t="n">
        <v>40514.56875</v>
      </c>
      <c r="C3087" s="57" t="n">
        <f aca="false">INT($C$2)-INT(Table3[[#This Row],[Last Purchase Date]])</f>
        <v>373</v>
      </c>
      <c r="D3087" s="1" t="n">
        <v>1</v>
      </c>
      <c r="E3087" s="1" t="n">
        <v>248.1</v>
      </c>
      <c r="F3087" s="1" t="n">
        <f aca="false">ROUND((1-_xlfn.PERCENTRANK.INC($C$7:$C$4378,C3087))*9,0)</f>
        <v>0</v>
      </c>
      <c r="G3087" s="1" t="n">
        <f aca="false">ROUND(_xlfn.PERCENTRANK.INC($D$7:$D$4378,D3087)*9,0)</f>
        <v>0</v>
      </c>
      <c r="H3087" s="1" t="n">
        <f aca="false">ROUND(_xlfn.PERCENTRANK.INC($E$7:$E$4378,E3087)*9,0)</f>
        <v>2</v>
      </c>
      <c r="I3087" s="1" t="str">
        <f aca="false">CONCATENATE(F3087,G3087,H3087)</f>
        <v>002</v>
      </c>
      <c r="J3087" s="1" t="str">
        <f aca="false">_xlfn.IFS(AND(F3087&gt;=8,G3087&gt;=8,H3087&gt;=8),"CHAMPION",AND(F3087&gt;=6,G3087&gt;=7,H3087&gt;=6),"LOYAL CUSTOMER",AND(F3087&gt;=6,G3087&gt;=5,H3087&gt;=5),"POTENTIAL LOYALIST",AND(F3087&gt;=8,G3087&lt;=2,H3087&gt;=5),"NEW CUSTOMERS",AND(F3087&gt;=6,G3087&lt;=2,H3087&gt;=3),"PROMISING",AND(F3087&gt;=3,G3087&gt;=3,H3087&gt;=3),"NEED ATTENTION",AND(F3087&lt;=4,G3087&gt;=6,H3087&gt;=6),"AT RISK",AND(F3087&lt;=2,G3087&gt;=8,H3087&gt;=8),"CAN'T LOSE THEM",AND(F3087&lt;=2,G3087&lt;=2,H3087&lt;=2),"HIBERNATING",TRUE(),"Other")</f>
        <v>HIBERNATING</v>
      </c>
      <c r="K3087" s="1" t="n">
        <f aca="false">RANK(E3087,$E$7:$E$4378)+COUNTIF($E$7:E3087,E3087)-1</f>
        <v>3446</v>
      </c>
    </row>
    <row r="3088" customFormat="false" ht="14.25" hidden="false" customHeight="true" outlineLevel="0" collapsed="false">
      <c r="A3088" s="51" t="n">
        <v>16511</v>
      </c>
      <c r="B3088" s="53" t="n">
        <v>40865.4451388889</v>
      </c>
      <c r="C3088" s="57" t="n">
        <f aca="false">INT($C$2)-INT(Table3[[#This Row],[Last Purchase Date]])</f>
        <v>22</v>
      </c>
      <c r="D3088" s="1" t="n">
        <v>3</v>
      </c>
      <c r="E3088" s="1" t="n">
        <v>950.26</v>
      </c>
      <c r="F3088" s="1" t="n">
        <f aca="false">ROUND((1-_xlfn.PERCENTRANK.INC($C$7:$C$4378,C3088))*9,0)</f>
        <v>6</v>
      </c>
      <c r="G3088" s="1" t="n">
        <f aca="false">ROUND(_xlfn.PERCENTRANK.INC($D$7:$D$4378,D3088)*9,0)</f>
        <v>4</v>
      </c>
      <c r="H3088" s="1" t="n">
        <f aca="false">ROUND(_xlfn.PERCENTRANK.INC($E$7:$E$4378,E3088)*9,0)</f>
        <v>6</v>
      </c>
      <c r="I3088" s="1" t="str">
        <f aca="false">CONCATENATE(F3088,G3088,H3088)</f>
        <v>646</v>
      </c>
      <c r="J3088" s="1" t="str">
        <f aca="false">_xlfn.IFS(AND(F3088&gt;=8,G3088&gt;=8,H3088&gt;=8),"CHAMPION",AND(F3088&gt;=6,G3088&gt;=7,H3088&gt;=6),"LOYAL CUSTOMER",AND(F3088&gt;=6,G3088&gt;=5,H3088&gt;=5),"POTENTIAL LOYALIST",AND(F3088&gt;=8,G3088&lt;=2,H3088&gt;=5),"NEW CUSTOMERS",AND(F3088&gt;=6,G3088&lt;=2,H3088&gt;=3),"PROMISING",AND(F3088&gt;=3,G3088&gt;=3,H3088&gt;=3),"NEED ATTENTION",AND(F3088&lt;=4,G3088&gt;=6,H3088&gt;=6),"AT RISK",AND(F3088&lt;=2,G3088&gt;=8,H3088&gt;=8),"CAN'T LOSE THEM",AND(F3088&lt;=2,G3088&lt;=2,H3088&lt;=2),"HIBERNATING",TRUE(),"Other")</f>
        <v>NEED ATTENTION</v>
      </c>
      <c r="K3088" s="1" t="n">
        <f aca="false">RANK(E3088,$E$7:$E$4378)+COUNTIF($E$7:E3088,E3088)-1</f>
        <v>1696</v>
      </c>
    </row>
    <row r="3089" customFormat="false" ht="14.25" hidden="false" customHeight="true" outlineLevel="0" collapsed="false">
      <c r="A3089" s="51" t="n">
        <v>16513</v>
      </c>
      <c r="B3089" s="53" t="n">
        <v>40882.4291666667</v>
      </c>
      <c r="C3089" s="57" t="n">
        <f aca="false">INT($C$2)-INT(Table3[[#This Row],[Last Purchase Date]])</f>
        <v>5</v>
      </c>
      <c r="D3089" s="1" t="n">
        <v>4</v>
      </c>
      <c r="E3089" s="1" t="n">
        <v>874.59</v>
      </c>
      <c r="F3089" s="1" t="n">
        <f aca="false">ROUND((1-_xlfn.PERCENTRANK.INC($C$7:$C$4378,C3089))*9,0)</f>
        <v>8</v>
      </c>
      <c r="G3089" s="1" t="n">
        <f aca="false">ROUND(_xlfn.PERCENTRANK.INC($D$7:$D$4378,D3089)*9,0)</f>
        <v>5</v>
      </c>
      <c r="H3089" s="1" t="n">
        <f aca="false">ROUND(_xlfn.PERCENTRANK.INC($E$7:$E$4378,E3089)*9,0)</f>
        <v>5</v>
      </c>
      <c r="I3089" s="1" t="str">
        <f aca="false">CONCATENATE(F3089,G3089,H3089)</f>
        <v>855</v>
      </c>
      <c r="J3089" s="1" t="str">
        <f aca="false">_xlfn.IFS(AND(F3089&gt;=8,G3089&gt;=8,H3089&gt;=8),"CHAMPION",AND(F3089&gt;=6,G3089&gt;=7,H3089&gt;=6),"LOYAL CUSTOMER",AND(F3089&gt;=6,G3089&gt;=5,H3089&gt;=5),"POTENTIAL LOYALIST",AND(F3089&gt;=8,G3089&lt;=2,H3089&gt;=5),"NEW CUSTOMERS",AND(F3089&gt;=6,G3089&lt;=2,H3089&gt;=3),"PROMISING",AND(F3089&gt;=3,G3089&gt;=3,H3089&gt;=3),"NEED ATTENTION",AND(F3089&lt;=4,G3089&gt;=6,H3089&gt;=6),"AT RISK",AND(F3089&lt;=2,G3089&gt;=8,H3089&gt;=8),"CAN'T LOSE THEM",AND(F3089&lt;=2,G3089&lt;=2,H3089&lt;=2),"HIBERNATING",TRUE(),"Other")</f>
        <v>POTENTIAL LOYALIST</v>
      </c>
      <c r="K3089" s="1" t="n">
        <f aca="false">RANK(E3089,$E$7:$E$4378)+COUNTIF($E$7:E3089,E3089)-1</f>
        <v>1796</v>
      </c>
    </row>
    <row r="3090" customFormat="false" ht="14.25" hidden="false" customHeight="true" outlineLevel="0" collapsed="false">
      <c r="A3090" s="51" t="n">
        <v>16515</v>
      </c>
      <c r="B3090" s="53" t="n">
        <v>40834.5486111111</v>
      </c>
      <c r="C3090" s="57" t="n">
        <f aca="false">INT($C$2)-INT(Table3[[#This Row],[Last Purchase Date]])</f>
        <v>53</v>
      </c>
      <c r="D3090" s="1" t="n">
        <v>5</v>
      </c>
      <c r="E3090" s="1" t="n">
        <v>1627.13</v>
      </c>
      <c r="F3090" s="1" t="n">
        <f aca="false">ROUND((1-_xlfn.PERCENTRANK.INC($C$7:$C$4378,C3090))*9,0)</f>
        <v>4</v>
      </c>
      <c r="G3090" s="1" t="n">
        <f aca="false">ROUND(_xlfn.PERCENTRANK.INC($D$7:$D$4378,D3090)*9,0)</f>
        <v>6</v>
      </c>
      <c r="H3090" s="1" t="n">
        <f aca="false">ROUND(_xlfn.PERCENTRANK.INC($E$7:$E$4378,E3090)*9,0)</f>
        <v>7</v>
      </c>
      <c r="I3090" s="1" t="str">
        <f aca="false">CONCATENATE(F3090,G3090,H3090)</f>
        <v>467</v>
      </c>
      <c r="J3090" s="1" t="str">
        <f aca="false">_xlfn.IFS(AND(F3090&gt;=8,G3090&gt;=8,H3090&gt;=8),"CHAMPION",AND(F3090&gt;=6,G3090&gt;=7,H3090&gt;=6),"LOYAL CUSTOMER",AND(F3090&gt;=6,G3090&gt;=5,H3090&gt;=5),"POTENTIAL LOYALIST",AND(F3090&gt;=8,G3090&lt;=2,H3090&gt;=5),"NEW CUSTOMERS",AND(F3090&gt;=6,G3090&lt;=2,H3090&gt;=3),"PROMISING",AND(F3090&gt;=3,G3090&gt;=3,H3090&gt;=3),"NEED ATTENTION",AND(F3090&lt;=4,G3090&gt;=6,H3090&gt;=6),"AT RISK",AND(F3090&lt;=2,G3090&gt;=8,H3090&gt;=8),"CAN'T LOSE THEM",AND(F3090&lt;=2,G3090&lt;=2,H3090&lt;=2),"HIBERNATING",TRUE(),"Other")</f>
        <v>NEED ATTENTION</v>
      </c>
      <c r="K3090" s="1" t="n">
        <f aca="false">RANK(E3090,$E$7:$E$4378)+COUNTIF($E$7:E3090,E3090)-1</f>
        <v>1080</v>
      </c>
    </row>
    <row r="3091" customFormat="false" ht="14.25" hidden="false" customHeight="true" outlineLevel="0" collapsed="false">
      <c r="A3091" s="51" t="n">
        <v>16516</v>
      </c>
      <c r="B3091" s="53" t="n">
        <v>40856.6243055556</v>
      </c>
      <c r="C3091" s="57" t="n">
        <f aca="false">INT($C$2)-INT(Table3[[#This Row],[Last Purchase Date]])</f>
        <v>31</v>
      </c>
      <c r="D3091" s="1" t="n">
        <v>1</v>
      </c>
      <c r="E3091" s="1" t="n">
        <v>101.7</v>
      </c>
      <c r="F3091" s="1" t="n">
        <f aca="false">ROUND((1-_xlfn.PERCENTRANK.INC($C$7:$C$4378,C3091))*9,0)</f>
        <v>6</v>
      </c>
      <c r="G3091" s="1" t="n">
        <f aca="false">ROUND(_xlfn.PERCENTRANK.INC($D$7:$D$4378,D3091)*9,0)</f>
        <v>0</v>
      </c>
      <c r="H3091" s="1" t="n">
        <f aca="false">ROUND(_xlfn.PERCENTRANK.INC($E$7:$E$4378,E3091)*9,0)</f>
        <v>0</v>
      </c>
      <c r="I3091" s="1" t="str">
        <f aca="false">CONCATENATE(F3091,G3091,H3091)</f>
        <v>600</v>
      </c>
      <c r="J3091" s="1" t="str">
        <f aca="false">_xlfn.IFS(AND(F3091&gt;=8,G3091&gt;=8,H3091&gt;=8),"CHAMPION",AND(F3091&gt;=6,G3091&gt;=7,H3091&gt;=6),"LOYAL CUSTOMER",AND(F3091&gt;=6,G3091&gt;=5,H3091&gt;=5),"POTENTIAL LOYALIST",AND(F3091&gt;=8,G3091&lt;=2,H3091&gt;=5),"NEW CUSTOMERS",AND(F3091&gt;=6,G3091&lt;=2,H3091&gt;=3),"PROMISING",AND(F3091&gt;=3,G3091&gt;=3,H3091&gt;=3),"NEED ATTENTION",AND(F3091&lt;=4,G3091&gt;=6,H3091&gt;=6),"AT RISK",AND(F3091&lt;=2,G3091&gt;=8,H3091&gt;=8),"CAN'T LOSE THEM",AND(F3091&lt;=2,G3091&lt;=2,H3091&lt;=2),"HIBERNATING",TRUE(),"Other")</f>
        <v>Other</v>
      </c>
      <c r="K3091" s="1" t="n">
        <f aca="false">RANK(E3091,$E$7:$E$4378)+COUNTIF($E$7:E3091,E3091)-1</f>
        <v>4147</v>
      </c>
    </row>
    <row r="3092" customFormat="false" ht="14.25" hidden="false" customHeight="true" outlineLevel="0" collapsed="false">
      <c r="A3092" s="51" t="n">
        <v>16517</v>
      </c>
      <c r="B3092" s="53" t="n">
        <v>40609.5763888889</v>
      </c>
      <c r="C3092" s="57" t="n">
        <f aca="false">INT($C$2)-INT(Table3[[#This Row],[Last Purchase Date]])</f>
        <v>278</v>
      </c>
      <c r="D3092" s="1" t="n">
        <v>1</v>
      </c>
      <c r="E3092" s="1" t="n">
        <v>162.7</v>
      </c>
      <c r="F3092" s="1" t="n">
        <f aca="false">ROUND((1-_xlfn.PERCENTRANK.INC($C$7:$C$4378,C3092))*9,0)</f>
        <v>1</v>
      </c>
      <c r="G3092" s="1" t="n">
        <f aca="false">ROUND(_xlfn.PERCENTRANK.INC($D$7:$D$4378,D3092)*9,0)</f>
        <v>0</v>
      </c>
      <c r="H3092" s="1" t="n">
        <f aca="false">ROUND(_xlfn.PERCENTRANK.INC($E$7:$E$4378,E3092)*9,0)</f>
        <v>1</v>
      </c>
      <c r="I3092" s="1" t="str">
        <f aca="false">CONCATENATE(F3092,G3092,H3092)</f>
        <v>101</v>
      </c>
      <c r="J3092" s="1" t="str">
        <f aca="false">_xlfn.IFS(AND(F3092&gt;=8,G3092&gt;=8,H3092&gt;=8),"CHAMPION",AND(F3092&gt;=6,G3092&gt;=7,H3092&gt;=6),"LOYAL CUSTOMER",AND(F3092&gt;=6,G3092&gt;=5,H3092&gt;=5),"POTENTIAL LOYALIST",AND(F3092&gt;=8,G3092&lt;=2,H3092&gt;=5),"NEW CUSTOMERS",AND(F3092&gt;=6,G3092&lt;=2,H3092&gt;=3),"PROMISING",AND(F3092&gt;=3,G3092&gt;=3,H3092&gt;=3),"NEED ATTENTION",AND(F3092&lt;=4,G3092&gt;=6,H3092&gt;=6),"AT RISK",AND(F3092&lt;=2,G3092&gt;=8,H3092&gt;=8),"CAN'T LOSE THEM",AND(F3092&lt;=2,G3092&lt;=2,H3092&lt;=2),"HIBERNATING",TRUE(),"Other")</f>
        <v>HIBERNATING</v>
      </c>
      <c r="K3092" s="1" t="n">
        <f aca="false">RANK(E3092,$E$7:$E$4378)+COUNTIF($E$7:E3092,E3092)-1</f>
        <v>3843</v>
      </c>
    </row>
    <row r="3093" customFormat="false" ht="14.25" hidden="false" customHeight="true" outlineLevel="0" collapsed="false">
      <c r="A3093" s="51" t="n">
        <v>16518</v>
      </c>
      <c r="B3093" s="53" t="n">
        <v>40825.6277777778</v>
      </c>
      <c r="C3093" s="57" t="n">
        <f aca="false">INT($C$2)-INT(Table3[[#This Row],[Last Purchase Date]])</f>
        <v>62</v>
      </c>
      <c r="D3093" s="1" t="n">
        <v>3</v>
      </c>
      <c r="E3093" s="1" t="n">
        <v>480.92</v>
      </c>
      <c r="F3093" s="1" t="n">
        <f aca="false">ROUND((1-_xlfn.PERCENTRANK.INC($C$7:$C$4378,C3093))*9,0)</f>
        <v>4</v>
      </c>
      <c r="G3093" s="1" t="n">
        <f aca="false">ROUND(_xlfn.PERCENTRANK.INC($D$7:$D$4378,D3093)*9,0)</f>
        <v>4</v>
      </c>
      <c r="H3093" s="1" t="n">
        <f aca="false">ROUND(_xlfn.PERCENTRANK.INC($E$7:$E$4378,E3093)*9,0)</f>
        <v>4</v>
      </c>
      <c r="I3093" s="1" t="str">
        <f aca="false">CONCATENATE(F3093,G3093,H3093)</f>
        <v>444</v>
      </c>
      <c r="J3093" s="1" t="str">
        <f aca="false">_xlfn.IFS(AND(F3093&gt;=8,G3093&gt;=8,H3093&gt;=8),"CHAMPION",AND(F3093&gt;=6,G3093&gt;=7,H3093&gt;=6),"LOYAL CUSTOMER",AND(F3093&gt;=6,G3093&gt;=5,H3093&gt;=5),"POTENTIAL LOYALIST",AND(F3093&gt;=8,G3093&lt;=2,H3093&gt;=5),"NEW CUSTOMERS",AND(F3093&gt;=6,G3093&lt;=2,H3093&gt;=3),"PROMISING",AND(F3093&gt;=3,G3093&gt;=3,H3093&gt;=3),"NEED ATTENTION",AND(F3093&lt;=4,G3093&gt;=6,H3093&gt;=6),"AT RISK",AND(F3093&lt;=2,G3093&gt;=8,H3093&gt;=8),"CAN'T LOSE THEM",AND(F3093&lt;=2,G3093&lt;=2,H3093&lt;=2),"HIBERNATING",TRUE(),"Other")</f>
        <v>NEED ATTENTION</v>
      </c>
      <c r="K3093" s="1" t="n">
        <f aca="false">RANK(E3093,$E$7:$E$4378)+COUNTIF($E$7:E3093,E3093)-1</f>
        <v>2595</v>
      </c>
    </row>
    <row r="3094" customFormat="false" ht="14.25" hidden="false" customHeight="true" outlineLevel="0" collapsed="false">
      <c r="A3094" s="51" t="n">
        <v>16519</v>
      </c>
      <c r="B3094" s="53" t="n">
        <v>40861.6534722222</v>
      </c>
      <c r="C3094" s="57" t="n">
        <f aca="false">INT($C$2)-INT(Table3[[#This Row],[Last Purchase Date]])</f>
        <v>26</v>
      </c>
      <c r="D3094" s="1" t="n">
        <v>2</v>
      </c>
      <c r="E3094" s="1" t="n">
        <v>215.08</v>
      </c>
      <c r="F3094" s="1" t="n">
        <f aca="false">ROUND((1-_xlfn.PERCENTRANK.INC($C$7:$C$4378,C3094))*9,0)</f>
        <v>6</v>
      </c>
      <c r="G3094" s="1" t="n">
        <f aca="false">ROUND(_xlfn.PERCENTRANK.INC($D$7:$D$4378,D3094)*9,0)</f>
        <v>3</v>
      </c>
      <c r="H3094" s="1" t="n">
        <f aca="false">ROUND(_xlfn.PERCENTRANK.INC($E$7:$E$4378,E3094)*9,0)</f>
        <v>2</v>
      </c>
      <c r="I3094" s="1" t="str">
        <f aca="false">CONCATENATE(F3094,G3094,H3094)</f>
        <v>632</v>
      </c>
      <c r="J3094" s="1" t="str">
        <f aca="false">_xlfn.IFS(AND(F3094&gt;=8,G3094&gt;=8,H3094&gt;=8),"CHAMPION",AND(F3094&gt;=6,G3094&gt;=7,H3094&gt;=6),"LOYAL CUSTOMER",AND(F3094&gt;=6,G3094&gt;=5,H3094&gt;=5),"POTENTIAL LOYALIST",AND(F3094&gt;=8,G3094&lt;=2,H3094&gt;=5),"NEW CUSTOMERS",AND(F3094&gt;=6,G3094&lt;=2,H3094&gt;=3),"PROMISING",AND(F3094&gt;=3,G3094&gt;=3,H3094&gt;=3),"NEED ATTENTION",AND(F3094&lt;=4,G3094&gt;=6,H3094&gt;=6),"AT RISK",AND(F3094&lt;=2,G3094&gt;=8,H3094&gt;=8),"CAN'T LOSE THEM",AND(F3094&lt;=2,G3094&lt;=2,H3094&lt;=2),"HIBERNATING",TRUE(),"Other")</f>
        <v>Other</v>
      </c>
      <c r="K3094" s="1" t="n">
        <f aca="false">RANK(E3094,$E$7:$E$4378)+COUNTIF($E$7:E3094,E3094)-1</f>
        <v>3587</v>
      </c>
    </row>
    <row r="3095" customFormat="false" ht="14.25" hidden="false" customHeight="true" outlineLevel="0" collapsed="false">
      <c r="A3095" s="51" t="n">
        <v>16520</v>
      </c>
      <c r="B3095" s="53" t="n">
        <v>40700.5583333333</v>
      </c>
      <c r="C3095" s="57" t="n">
        <f aca="false">INT($C$2)-INT(Table3[[#This Row],[Last Purchase Date]])</f>
        <v>187</v>
      </c>
      <c r="D3095" s="1" t="n">
        <v>4</v>
      </c>
      <c r="E3095" s="1" t="n">
        <v>1036.62</v>
      </c>
      <c r="F3095" s="1" t="n">
        <f aca="false">ROUND((1-_xlfn.PERCENTRANK.INC($C$7:$C$4378,C3095))*9,0)</f>
        <v>2</v>
      </c>
      <c r="G3095" s="1" t="n">
        <f aca="false">ROUND(_xlfn.PERCENTRANK.INC($D$7:$D$4378,D3095)*9,0)</f>
        <v>5</v>
      </c>
      <c r="H3095" s="1" t="n">
        <f aca="false">ROUND(_xlfn.PERCENTRANK.INC($E$7:$E$4378,E3095)*9,0)</f>
        <v>6</v>
      </c>
      <c r="I3095" s="1" t="str">
        <f aca="false">CONCATENATE(F3095,G3095,H3095)</f>
        <v>256</v>
      </c>
      <c r="J3095" s="1" t="str">
        <f aca="false">_xlfn.IFS(AND(F3095&gt;=8,G3095&gt;=8,H3095&gt;=8),"CHAMPION",AND(F3095&gt;=6,G3095&gt;=7,H3095&gt;=6),"LOYAL CUSTOMER",AND(F3095&gt;=6,G3095&gt;=5,H3095&gt;=5),"POTENTIAL LOYALIST",AND(F3095&gt;=8,G3095&lt;=2,H3095&gt;=5),"NEW CUSTOMERS",AND(F3095&gt;=6,G3095&lt;=2,H3095&gt;=3),"PROMISING",AND(F3095&gt;=3,G3095&gt;=3,H3095&gt;=3),"NEED ATTENTION",AND(F3095&lt;=4,G3095&gt;=6,H3095&gt;=6),"AT RISK",AND(F3095&lt;=2,G3095&gt;=8,H3095&gt;=8),"CAN'T LOSE THEM",AND(F3095&lt;=2,G3095&lt;=2,H3095&lt;=2),"HIBERNATING",TRUE(),"Other")</f>
        <v>Other</v>
      </c>
      <c r="K3095" s="1" t="n">
        <f aca="false">RANK(E3095,$E$7:$E$4378)+COUNTIF($E$7:E3095,E3095)-1</f>
        <v>1585</v>
      </c>
    </row>
    <row r="3096" customFormat="false" ht="14.25" hidden="false" customHeight="true" outlineLevel="0" collapsed="false">
      <c r="A3096" s="51" t="n">
        <v>16523</v>
      </c>
      <c r="B3096" s="53" t="n">
        <v>40885.3791666667</v>
      </c>
      <c r="C3096" s="57" t="n">
        <f aca="false">INT($C$2)-INT(Table3[[#This Row],[Last Purchase Date]])</f>
        <v>2</v>
      </c>
      <c r="D3096" s="1" t="n">
        <v>28</v>
      </c>
      <c r="E3096" s="1" t="n">
        <v>9295.67000000001</v>
      </c>
      <c r="F3096" s="1" t="n">
        <f aca="false">ROUND((1-_xlfn.PERCENTRANK.INC($C$7:$C$4378,C3096))*9,0)</f>
        <v>9</v>
      </c>
      <c r="G3096" s="1" t="n">
        <f aca="false">ROUND(_xlfn.PERCENTRANK.INC($D$7:$D$4378,D3096)*9,0)</f>
        <v>9</v>
      </c>
      <c r="H3096" s="1" t="n">
        <f aca="false">ROUND(_xlfn.PERCENTRANK.INC($E$7:$E$4378,E3096)*9,0)</f>
        <v>9</v>
      </c>
      <c r="I3096" s="1" t="str">
        <f aca="false">CONCATENATE(F3096,G3096,H3096)</f>
        <v>999</v>
      </c>
      <c r="J3096" s="1" t="str">
        <f aca="false">_xlfn.IFS(AND(F3096&gt;=8,G3096&gt;=8,H3096&gt;=8),"CHAMPION",AND(F3096&gt;=6,G3096&gt;=7,H3096&gt;=6),"LOYAL CUSTOMER",AND(F3096&gt;=6,G3096&gt;=5,H3096&gt;=5),"POTENTIAL LOYALIST",AND(F3096&gt;=8,G3096&lt;=2,H3096&gt;=5),"NEW CUSTOMERS",AND(F3096&gt;=6,G3096&lt;=2,H3096&gt;=3),"PROMISING",AND(F3096&gt;=3,G3096&gt;=3,H3096&gt;=3),"NEED ATTENTION",AND(F3096&lt;=4,G3096&gt;=6,H3096&gt;=6),"AT RISK",AND(F3096&lt;=2,G3096&gt;=8,H3096&gt;=8),"CAN'T LOSE THEM",AND(F3096&lt;=2,G3096&lt;=2,H3096&lt;=2),"HIBERNATING",TRUE(),"Other")</f>
        <v>CHAMPION</v>
      </c>
      <c r="K3096" s="1" t="n">
        <f aca="false">RANK(E3096,$E$7:$E$4378)+COUNTIF($E$7:E3096,E3096)-1</f>
        <v>104</v>
      </c>
    </row>
    <row r="3097" customFormat="false" ht="14.25" hidden="false" customHeight="true" outlineLevel="0" collapsed="false">
      <c r="A3097" s="51" t="n">
        <v>16525</v>
      </c>
      <c r="B3097" s="53" t="n">
        <v>40884.6298611111</v>
      </c>
      <c r="C3097" s="57" t="n">
        <f aca="false">INT($C$2)-INT(Table3[[#This Row],[Last Purchase Date]])</f>
        <v>3</v>
      </c>
      <c r="D3097" s="1" t="n">
        <v>29</v>
      </c>
      <c r="E3097" s="1" t="n">
        <v>11895.57</v>
      </c>
      <c r="F3097" s="1" t="n">
        <f aca="false">ROUND((1-_xlfn.PERCENTRANK.INC($C$7:$C$4378,C3097))*9,0)</f>
        <v>9</v>
      </c>
      <c r="G3097" s="1" t="n">
        <f aca="false">ROUND(_xlfn.PERCENTRANK.INC($D$7:$D$4378,D3097)*9,0)</f>
        <v>9</v>
      </c>
      <c r="H3097" s="1" t="n">
        <f aca="false">ROUND(_xlfn.PERCENTRANK.INC($E$7:$E$4378,E3097)*9,0)</f>
        <v>9</v>
      </c>
      <c r="I3097" s="1" t="str">
        <f aca="false">CONCATENATE(F3097,G3097,H3097)</f>
        <v>999</v>
      </c>
      <c r="J3097" s="1" t="str">
        <f aca="false">_xlfn.IFS(AND(F3097&gt;=8,G3097&gt;=8,H3097&gt;=8),"CHAMPION",AND(F3097&gt;=6,G3097&gt;=7,H3097&gt;=6),"LOYAL CUSTOMER",AND(F3097&gt;=6,G3097&gt;=5,H3097&gt;=5),"POTENTIAL LOYALIST",AND(F3097&gt;=8,G3097&lt;=2,H3097&gt;=5),"NEW CUSTOMERS",AND(F3097&gt;=6,G3097&lt;=2,H3097&gt;=3),"PROMISING",AND(F3097&gt;=3,G3097&gt;=3,H3097&gt;=3),"NEED ATTENTION",AND(F3097&lt;=4,G3097&gt;=6,H3097&gt;=6),"AT RISK",AND(F3097&lt;=2,G3097&gt;=8,H3097&gt;=8),"CAN'T LOSE THEM",AND(F3097&lt;=2,G3097&lt;=2,H3097&lt;=2),"HIBERNATING",TRUE(),"Other")</f>
        <v>CHAMPION</v>
      </c>
      <c r="K3097" s="1" t="n">
        <f aca="false">RANK(E3097,$E$7:$E$4378)+COUNTIF($E$7:E3097,E3097)-1</f>
        <v>73</v>
      </c>
    </row>
    <row r="3098" customFormat="false" ht="14.25" hidden="false" customHeight="true" outlineLevel="0" collapsed="false">
      <c r="A3098" s="51" t="n">
        <v>16526</v>
      </c>
      <c r="B3098" s="53" t="n">
        <v>40715.5013888889</v>
      </c>
      <c r="C3098" s="57" t="n">
        <f aca="false">INT($C$2)-INT(Table3[[#This Row],[Last Purchase Date]])</f>
        <v>172</v>
      </c>
      <c r="D3098" s="1" t="n">
        <v>1</v>
      </c>
      <c r="E3098" s="1" t="n">
        <v>290.36</v>
      </c>
      <c r="F3098" s="1" t="n">
        <f aca="false">ROUND((1-_xlfn.PERCENTRANK.INC($C$7:$C$4378,C3098))*9,0)</f>
        <v>2</v>
      </c>
      <c r="G3098" s="1" t="n">
        <f aca="false">ROUND(_xlfn.PERCENTRANK.INC($D$7:$D$4378,D3098)*9,0)</f>
        <v>0</v>
      </c>
      <c r="H3098" s="1" t="n">
        <f aca="false">ROUND(_xlfn.PERCENTRANK.INC($E$7:$E$4378,E3098)*9,0)</f>
        <v>2</v>
      </c>
      <c r="I3098" s="1" t="str">
        <f aca="false">CONCATENATE(F3098,G3098,H3098)</f>
        <v>202</v>
      </c>
      <c r="J3098" s="1" t="str">
        <f aca="false">_xlfn.IFS(AND(F3098&gt;=8,G3098&gt;=8,H3098&gt;=8),"CHAMPION",AND(F3098&gt;=6,G3098&gt;=7,H3098&gt;=6),"LOYAL CUSTOMER",AND(F3098&gt;=6,G3098&gt;=5,H3098&gt;=5),"POTENTIAL LOYALIST",AND(F3098&gt;=8,G3098&lt;=2,H3098&gt;=5),"NEW CUSTOMERS",AND(F3098&gt;=6,G3098&lt;=2,H3098&gt;=3),"PROMISING",AND(F3098&gt;=3,G3098&gt;=3,H3098&gt;=3),"NEED ATTENTION",AND(F3098&lt;=4,G3098&gt;=6,H3098&gt;=6),"AT RISK",AND(F3098&lt;=2,G3098&gt;=8,H3098&gt;=8),"CAN'T LOSE THEM",AND(F3098&lt;=2,G3098&lt;=2,H3098&lt;=2),"HIBERNATING",TRUE(),"Other")</f>
        <v>HIBERNATING</v>
      </c>
      <c r="K3098" s="1" t="n">
        <f aca="false">RANK(E3098,$E$7:$E$4378)+COUNTIF($E$7:E3098,E3098)-1</f>
        <v>3293</v>
      </c>
    </row>
    <row r="3099" customFormat="false" ht="14.25" hidden="false" customHeight="true" outlineLevel="0" collapsed="false">
      <c r="A3099" s="51" t="n">
        <v>16527</v>
      </c>
      <c r="B3099" s="53" t="n">
        <v>40805.68125</v>
      </c>
      <c r="C3099" s="57" t="n">
        <f aca="false">INT($C$2)-INT(Table3[[#This Row],[Last Purchase Date]])</f>
        <v>82</v>
      </c>
      <c r="D3099" s="1" t="n">
        <v>1</v>
      </c>
      <c r="E3099" s="1" t="n">
        <v>228.06</v>
      </c>
      <c r="F3099" s="1" t="n">
        <f aca="false">ROUND((1-_xlfn.PERCENTRANK.INC($C$7:$C$4378,C3099))*9,0)</f>
        <v>3</v>
      </c>
      <c r="G3099" s="1" t="n">
        <f aca="false">ROUND(_xlfn.PERCENTRANK.INC($D$7:$D$4378,D3099)*9,0)</f>
        <v>0</v>
      </c>
      <c r="H3099" s="1" t="n">
        <f aca="false">ROUND(_xlfn.PERCENTRANK.INC($E$7:$E$4378,E3099)*9,0)</f>
        <v>2</v>
      </c>
      <c r="I3099" s="1" t="str">
        <f aca="false">CONCATENATE(F3099,G3099,H3099)</f>
        <v>302</v>
      </c>
      <c r="J3099" s="1" t="str">
        <f aca="false">_xlfn.IFS(AND(F3099&gt;=8,G3099&gt;=8,H3099&gt;=8),"CHAMPION",AND(F3099&gt;=6,G3099&gt;=7,H3099&gt;=6),"LOYAL CUSTOMER",AND(F3099&gt;=6,G3099&gt;=5,H3099&gt;=5),"POTENTIAL LOYALIST",AND(F3099&gt;=8,G3099&lt;=2,H3099&gt;=5),"NEW CUSTOMERS",AND(F3099&gt;=6,G3099&lt;=2,H3099&gt;=3),"PROMISING",AND(F3099&gt;=3,G3099&gt;=3,H3099&gt;=3),"NEED ATTENTION",AND(F3099&lt;=4,G3099&gt;=6,H3099&gt;=6),"AT RISK",AND(F3099&lt;=2,G3099&gt;=8,H3099&gt;=8),"CAN'T LOSE THEM",AND(F3099&lt;=2,G3099&lt;=2,H3099&lt;=2),"HIBERNATING",TRUE(),"Other")</f>
        <v>Other</v>
      </c>
      <c r="K3099" s="1" t="n">
        <f aca="false">RANK(E3099,$E$7:$E$4378)+COUNTIF($E$7:E3099,E3099)-1</f>
        <v>3528</v>
      </c>
    </row>
    <row r="3100" customFormat="false" ht="14.25" hidden="false" customHeight="true" outlineLevel="0" collapsed="false">
      <c r="A3100" s="51" t="n">
        <v>16528</v>
      </c>
      <c r="B3100" s="53" t="n">
        <v>40883.53125</v>
      </c>
      <c r="C3100" s="57" t="n">
        <f aca="false">INT($C$2)-INT(Table3[[#This Row],[Last Purchase Date]])</f>
        <v>4</v>
      </c>
      <c r="D3100" s="1" t="n">
        <v>1</v>
      </c>
      <c r="E3100" s="1" t="n">
        <v>244.41</v>
      </c>
      <c r="F3100" s="1" t="n">
        <f aca="false">ROUND((1-_xlfn.PERCENTRANK.INC($C$7:$C$4378,C3100))*9,0)</f>
        <v>8</v>
      </c>
      <c r="G3100" s="1" t="n">
        <f aca="false">ROUND(_xlfn.PERCENTRANK.INC($D$7:$D$4378,D3100)*9,0)</f>
        <v>0</v>
      </c>
      <c r="H3100" s="1" t="n">
        <f aca="false">ROUND(_xlfn.PERCENTRANK.INC($E$7:$E$4378,E3100)*9,0)</f>
        <v>2</v>
      </c>
      <c r="I3100" s="1" t="str">
        <f aca="false">CONCATENATE(F3100,G3100,H3100)</f>
        <v>802</v>
      </c>
      <c r="J3100" s="1" t="str">
        <f aca="false">_xlfn.IFS(AND(F3100&gt;=8,G3100&gt;=8,H3100&gt;=8),"CHAMPION",AND(F3100&gt;=6,G3100&gt;=7,H3100&gt;=6),"LOYAL CUSTOMER",AND(F3100&gt;=6,G3100&gt;=5,H3100&gt;=5),"POTENTIAL LOYALIST",AND(F3100&gt;=8,G3100&lt;=2,H3100&gt;=5),"NEW CUSTOMERS",AND(F3100&gt;=6,G3100&lt;=2,H3100&gt;=3),"PROMISING",AND(F3100&gt;=3,G3100&gt;=3,H3100&gt;=3),"NEED ATTENTION",AND(F3100&lt;=4,G3100&gt;=6,H3100&gt;=6),"AT RISK",AND(F3100&lt;=2,G3100&gt;=8,H3100&gt;=8),"CAN'T LOSE THEM",AND(F3100&lt;=2,G3100&lt;=2,H3100&lt;=2),"HIBERNATING",TRUE(),"Other")</f>
        <v>Other</v>
      </c>
      <c r="K3100" s="1" t="n">
        <f aca="false">RANK(E3100,$E$7:$E$4378)+COUNTIF($E$7:E3100,E3100)-1</f>
        <v>3461</v>
      </c>
    </row>
    <row r="3101" customFormat="false" ht="14.25" hidden="false" customHeight="true" outlineLevel="0" collapsed="false">
      <c r="A3101" s="51" t="n">
        <v>16529</v>
      </c>
      <c r="B3101" s="53" t="n">
        <v>40696.7243055556</v>
      </c>
      <c r="C3101" s="57" t="n">
        <f aca="false">INT($C$2)-INT(Table3[[#This Row],[Last Purchase Date]])</f>
        <v>191</v>
      </c>
      <c r="D3101" s="1" t="n">
        <v>1</v>
      </c>
      <c r="E3101" s="1" t="n">
        <v>455.25</v>
      </c>
      <c r="F3101" s="1" t="n">
        <f aca="false">ROUND((1-_xlfn.PERCENTRANK.INC($C$7:$C$4378,C3101))*9,0)</f>
        <v>2</v>
      </c>
      <c r="G3101" s="1" t="n">
        <f aca="false">ROUND(_xlfn.PERCENTRANK.INC($D$7:$D$4378,D3101)*9,0)</f>
        <v>0</v>
      </c>
      <c r="H3101" s="1" t="n">
        <f aca="false">ROUND(_xlfn.PERCENTRANK.INC($E$7:$E$4378,E3101)*9,0)</f>
        <v>4</v>
      </c>
      <c r="I3101" s="1" t="str">
        <f aca="false">CONCATENATE(F3101,G3101,H3101)</f>
        <v>204</v>
      </c>
      <c r="J3101" s="1" t="str">
        <f aca="false">_xlfn.IFS(AND(F3101&gt;=8,G3101&gt;=8,H3101&gt;=8),"CHAMPION",AND(F3101&gt;=6,G3101&gt;=7,H3101&gt;=6),"LOYAL CUSTOMER",AND(F3101&gt;=6,G3101&gt;=5,H3101&gt;=5),"POTENTIAL LOYALIST",AND(F3101&gt;=8,G3101&lt;=2,H3101&gt;=5),"NEW CUSTOMERS",AND(F3101&gt;=6,G3101&lt;=2,H3101&gt;=3),"PROMISING",AND(F3101&gt;=3,G3101&gt;=3,H3101&gt;=3),"NEED ATTENTION",AND(F3101&lt;=4,G3101&gt;=6,H3101&gt;=6),"AT RISK",AND(F3101&lt;=2,G3101&gt;=8,H3101&gt;=8),"CAN'T LOSE THEM",AND(F3101&lt;=2,G3101&lt;=2,H3101&lt;=2),"HIBERNATING",TRUE(),"Other")</f>
        <v>Other</v>
      </c>
      <c r="K3101" s="1" t="n">
        <f aca="false">RANK(E3101,$E$7:$E$4378)+COUNTIF($E$7:E3101,E3101)-1</f>
        <v>2658</v>
      </c>
    </row>
    <row r="3102" customFormat="false" ht="14.25" hidden="false" customHeight="true" outlineLevel="0" collapsed="false">
      <c r="A3102" s="51" t="n">
        <v>16531</v>
      </c>
      <c r="B3102" s="53" t="n">
        <v>40864.6868055556</v>
      </c>
      <c r="C3102" s="57" t="n">
        <f aca="false">INT($C$2)-INT(Table3[[#This Row],[Last Purchase Date]])</f>
        <v>23</v>
      </c>
      <c r="D3102" s="1" t="n">
        <v>7</v>
      </c>
      <c r="E3102" s="1" t="n">
        <v>1244.59</v>
      </c>
      <c r="F3102" s="1" t="n">
        <f aca="false">ROUND((1-_xlfn.PERCENTRANK.INC($C$7:$C$4378,C3102))*9,0)</f>
        <v>6</v>
      </c>
      <c r="G3102" s="1" t="n">
        <f aca="false">ROUND(_xlfn.PERCENTRANK.INC($D$7:$D$4378,D3102)*9,0)</f>
        <v>7</v>
      </c>
      <c r="H3102" s="1" t="n">
        <f aca="false">ROUND(_xlfn.PERCENTRANK.INC($E$7:$E$4378,E3102)*9,0)</f>
        <v>6</v>
      </c>
      <c r="I3102" s="1" t="str">
        <f aca="false">CONCATENATE(F3102,G3102,H3102)</f>
        <v>676</v>
      </c>
      <c r="J3102" s="1" t="str">
        <f aca="false">_xlfn.IFS(AND(F3102&gt;=8,G3102&gt;=8,H3102&gt;=8),"CHAMPION",AND(F3102&gt;=6,G3102&gt;=7,H3102&gt;=6),"LOYAL CUSTOMER",AND(F3102&gt;=6,G3102&gt;=5,H3102&gt;=5),"POTENTIAL LOYALIST",AND(F3102&gt;=8,G3102&lt;=2,H3102&gt;=5),"NEW CUSTOMERS",AND(F3102&gt;=6,G3102&lt;=2,H3102&gt;=3),"PROMISING",AND(F3102&gt;=3,G3102&gt;=3,H3102&gt;=3),"NEED ATTENTION",AND(F3102&lt;=4,G3102&gt;=6,H3102&gt;=6),"AT RISK",AND(F3102&lt;=2,G3102&gt;=8,H3102&gt;=8),"CAN'T LOSE THEM",AND(F3102&lt;=2,G3102&lt;=2,H3102&lt;=2),"HIBERNATING",TRUE(),"Other")</f>
        <v>LOYAL CUSTOMER</v>
      </c>
      <c r="K3102" s="1" t="n">
        <f aca="false">RANK(E3102,$E$7:$E$4378)+COUNTIF($E$7:E3102,E3102)-1</f>
        <v>1382</v>
      </c>
    </row>
    <row r="3103" customFormat="false" ht="14.25" hidden="false" customHeight="true" outlineLevel="0" collapsed="false">
      <c r="A3103" s="51" t="n">
        <v>16532</v>
      </c>
      <c r="B3103" s="53" t="n">
        <v>40869.4638888889</v>
      </c>
      <c r="C3103" s="57" t="n">
        <f aca="false">INT($C$2)-INT(Table3[[#This Row],[Last Purchase Date]])</f>
        <v>18</v>
      </c>
      <c r="D3103" s="1" t="n">
        <v>3</v>
      </c>
      <c r="E3103" s="1" t="n">
        <v>6748.8</v>
      </c>
      <c r="F3103" s="1" t="n">
        <f aca="false">ROUND((1-_xlfn.PERCENTRANK.INC($C$7:$C$4378,C3103))*9,0)</f>
        <v>7</v>
      </c>
      <c r="G3103" s="1" t="n">
        <f aca="false">ROUND(_xlfn.PERCENTRANK.INC($D$7:$D$4378,D3103)*9,0)</f>
        <v>4</v>
      </c>
      <c r="H3103" s="1" t="n">
        <f aca="false">ROUND(_xlfn.PERCENTRANK.INC($E$7:$E$4378,E3103)*9,0)</f>
        <v>9</v>
      </c>
      <c r="I3103" s="1" t="str">
        <f aca="false">CONCATENATE(F3103,G3103,H3103)</f>
        <v>749</v>
      </c>
      <c r="J3103" s="1" t="str">
        <f aca="false">_xlfn.IFS(AND(F3103&gt;=8,G3103&gt;=8,H3103&gt;=8),"CHAMPION",AND(F3103&gt;=6,G3103&gt;=7,H3103&gt;=6),"LOYAL CUSTOMER",AND(F3103&gt;=6,G3103&gt;=5,H3103&gt;=5),"POTENTIAL LOYALIST",AND(F3103&gt;=8,G3103&lt;=2,H3103&gt;=5),"NEW CUSTOMERS",AND(F3103&gt;=6,G3103&lt;=2,H3103&gt;=3),"PROMISING",AND(F3103&gt;=3,G3103&gt;=3,H3103&gt;=3),"NEED ATTENTION",AND(F3103&lt;=4,G3103&gt;=6,H3103&gt;=6),"AT RISK",AND(F3103&lt;=2,G3103&gt;=8,H3103&gt;=8),"CAN'T LOSE THEM",AND(F3103&lt;=2,G3103&lt;=2,H3103&lt;=2),"HIBERNATING",TRUE(),"Other")</f>
        <v>NEED ATTENTION</v>
      </c>
      <c r="K3103" s="1" t="n">
        <f aca="false">RANK(E3103,$E$7:$E$4378)+COUNTIF($E$7:E3103,E3103)-1</f>
        <v>166</v>
      </c>
    </row>
    <row r="3104" customFormat="false" ht="14.25" hidden="false" customHeight="true" outlineLevel="0" collapsed="false">
      <c r="A3104" s="51" t="n">
        <v>16533</v>
      </c>
      <c r="B3104" s="53" t="n">
        <v>40867.5472222222</v>
      </c>
      <c r="C3104" s="57" t="n">
        <f aca="false">INT($C$2)-INT(Table3[[#This Row],[Last Purchase Date]])</f>
        <v>20</v>
      </c>
      <c r="D3104" s="1" t="n">
        <v>5</v>
      </c>
      <c r="E3104" s="1" t="n">
        <v>1026.94</v>
      </c>
      <c r="F3104" s="1" t="n">
        <f aca="false">ROUND((1-_xlfn.PERCENTRANK.INC($C$7:$C$4378,C3104))*9,0)</f>
        <v>6</v>
      </c>
      <c r="G3104" s="1" t="n">
        <f aca="false">ROUND(_xlfn.PERCENTRANK.INC($D$7:$D$4378,D3104)*9,0)</f>
        <v>6</v>
      </c>
      <c r="H3104" s="1" t="n">
        <f aca="false">ROUND(_xlfn.PERCENTRANK.INC($E$7:$E$4378,E3104)*9,0)</f>
        <v>6</v>
      </c>
      <c r="I3104" s="1" t="str">
        <f aca="false">CONCATENATE(F3104,G3104,H3104)</f>
        <v>666</v>
      </c>
      <c r="J3104" s="1" t="str">
        <f aca="false">_xlfn.IFS(AND(F3104&gt;=8,G3104&gt;=8,H3104&gt;=8),"CHAMPION",AND(F3104&gt;=6,G3104&gt;=7,H3104&gt;=6),"LOYAL CUSTOMER",AND(F3104&gt;=6,G3104&gt;=5,H3104&gt;=5),"POTENTIAL LOYALIST",AND(F3104&gt;=8,G3104&lt;=2,H3104&gt;=5),"NEW CUSTOMERS",AND(F3104&gt;=6,G3104&lt;=2,H3104&gt;=3),"PROMISING",AND(F3104&gt;=3,G3104&gt;=3,H3104&gt;=3),"NEED ATTENTION",AND(F3104&lt;=4,G3104&gt;=6,H3104&gt;=6),"AT RISK",AND(F3104&lt;=2,G3104&gt;=8,H3104&gt;=8),"CAN'T LOSE THEM",AND(F3104&lt;=2,G3104&lt;=2,H3104&lt;=2),"HIBERNATING",TRUE(),"Other")</f>
        <v>POTENTIAL LOYALIST</v>
      </c>
      <c r="K3104" s="1" t="n">
        <f aca="false">RANK(E3104,$E$7:$E$4378)+COUNTIF($E$7:E3104,E3104)-1</f>
        <v>1599</v>
      </c>
    </row>
    <row r="3105" customFormat="false" ht="14.25" hidden="false" customHeight="true" outlineLevel="0" collapsed="false">
      <c r="A3105" s="51" t="n">
        <v>16535</v>
      </c>
      <c r="B3105" s="53" t="n">
        <v>40881.6375</v>
      </c>
      <c r="C3105" s="57" t="n">
        <f aca="false">INT($C$2)-INT(Table3[[#This Row],[Last Purchase Date]])</f>
        <v>6</v>
      </c>
      <c r="D3105" s="1" t="n">
        <v>1</v>
      </c>
      <c r="E3105" s="1" t="n">
        <v>593.75</v>
      </c>
      <c r="F3105" s="1" t="n">
        <f aca="false">ROUND((1-_xlfn.PERCENTRANK.INC($C$7:$C$4378,C3105))*9,0)</f>
        <v>8</v>
      </c>
      <c r="G3105" s="1" t="n">
        <f aca="false">ROUND(_xlfn.PERCENTRANK.INC($D$7:$D$4378,D3105)*9,0)</f>
        <v>0</v>
      </c>
      <c r="H3105" s="1" t="n">
        <f aca="false">ROUND(_xlfn.PERCENTRANK.INC($E$7:$E$4378,E3105)*9,0)</f>
        <v>4</v>
      </c>
      <c r="I3105" s="1" t="str">
        <f aca="false">CONCATENATE(F3105,G3105,H3105)</f>
        <v>804</v>
      </c>
      <c r="J3105" s="1" t="str">
        <f aca="false">_xlfn.IFS(AND(F3105&gt;=8,G3105&gt;=8,H3105&gt;=8),"CHAMPION",AND(F3105&gt;=6,G3105&gt;=7,H3105&gt;=6),"LOYAL CUSTOMER",AND(F3105&gt;=6,G3105&gt;=5,H3105&gt;=5),"POTENTIAL LOYALIST",AND(F3105&gt;=8,G3105&lt;=2,H3105&gt;=5),"NEW CUSTOMERS",AND(F3105&gt;=6,G3105&lt;=2,H3105&gt;=3),"PROMISING",AND(F3105&gt;=3,G3105&gt;=3,H3105&gt;=3),"NEED ATTENTION",AND(F3105&lt;=4,G3105&gt;=6,H3105&gt;=6),"AT RISK",AND(F3105&lt;=2,G3105&gt;=8,H3105&gt;=8),"CAN'T LOSE THEM",AND(F3105&lt;=2,G3105&lt;=2,H3105&lt;=2),"HIBERNATING",TRUE(),"Other")</f>
        <v>PROMISING</v>
      </c>
      <c r="K3105" s="1" t="n">
        <f aca="false">RANK(E3105,$E$7:$E$4378)+COUNTIF($E$7:E3105,E3105)-1</f>
        <v>2340</v>
      </c>
    </row>
    <row r="3106" customFormat="false" ht="14.25" hidden="false" customHeight="true" outlineLevel="0" collapsed="false">
      <c r="A3106" s="51" t="n">
        <v>16536</v>
      </c>
      <c r="B3106" s="53" t="n">
        <v>40779.5555555556</v>
      </c>
      <c r="C3106" s="57" t="n">
        <f aca="false">INT($C$2)-INT(Table3[[#This Row],[Last Purchase Date]])</f>
        <v>108</v>
      </c>
      <c r="D3106" s="1" t="n">
        <v>2</v>
      </c>
      <c r="E3106" s="1" t="n">
        <v>539.02</v>
      </c>
      <c r="F3106" s="1" t="n">
        <f aca="false">ROUND((1-_xlfn.PERCENTRANK.INC($C$7:$C$4378,C3106))*9,0)</f>
        <v>3</v>
      </c>
      <c r="G3106" s="1" t="n">
        <f aca="false">ROUND(_xlfn.PERCENTRANK.INC($D$7:$D$4378,D3106)*9,0)</f>
        <v>3</v>
      </c>
      <c r="H3106" s="1" t="n">
        <f aca="false">ROUND(_xlfn.PERCENTRANK.INC($E$7:$E$4378,E3106)*9,0)</f>
        <v>4</v>
      </c>
      <c r="I3106" s="1" t="str">
        <f aca="false">CONCATENATE(F3106,G3106,H3106)</f>
        <v>334</v>
      </c>
      <c r="J3106" s="1" t="str">
        <f aca="false">_xlfn.IFS(AND(F3106&gt;=8,G3106&gt;=8,H3106&gt;=8),"CHAMPION",AND(F3106&gt;=6,G3106&gt;=7,H3106&gt;=6),"LOYAL CUSTOMER",AND(F3106&gt;=6,G3106&gt;=5,H3106&gt;=5),"POTENTIAL LOYALIST",AND(F3106&gt;=8,G3106&lt;=2,H3106&gt;=5),"NEW CUSTOMERS",AND(F3106&gt;=6,G3106&lt;=2,H3106&gt;=3),"PROMISING",AND(F3106&gt;=3,G3106&gt;=3,H3106&gt;=3),"NEED ATTENTION",AND(F3106&lt;=4,G3106&gt;=6,H3106&gt;=6),"AT RISK",AND(F3106&lt;=2,G3106&gt;=8,H3106&gt;=8),"CAN'T LOSE THEM",AND(F3106&lt;=2,G3106&lt;=2,H3106&lt;=2),"HIBERNATING",TRUE(),"Other")</f>
        <v>NEED ATTENTION</v>
      </c>
      <c r="K3106" s="1" t="n">
        <f aca="false">RANK(E3106,$E$7:$E$4378)+COUNTIF($E$7:E3106,E3106)-1</f>
        <v>2454</v>
      </c>
    </row>
    <row r="3107" customFormat="false" ht="14.25" hidden="false" customHeight="true" outlineLevel="0" collapsed="false">
      <c r="A3107" s="51" t="n">
        <v>16539</v>
      </c>
      <c r="B3107" s="53" t="n">
        <v>40884.3618055556</v>
      </c>
      <c r="C3107" s="57" t="n">
        <f aca="false">INT($C$2)-INT(Table3[[#This Row],[Last Purchase Date]])</f>
        <v>3</v>
      </c>
      <c r="D3107" s="1" t="n">
        <v>4</v>
      </c>
      <c r="E3107" s="1" t="n">
        <v>1388.81</v>
      </c>
      <c r="F3107" s="1" t="n">
        <f aca="false">ROUND((1-_xlfn.PERCENTRANK.INC($C$7:$C$4378,C3107))*9,0)</f>
        <v>9</v>
      </c>
      <c r="G3107" s="1" t="n">
        <f aca="false">ROUND(_xlfn.PERCENTRANK.INC($D$7:$D$4378,D3107)*9,0)</f>
        <v>5</v>
      </c>
      <c r="H3107" s="1" t="n">
        <f aca="false">ROUND(_xlfn.PERCENTRANK.INC($E$7:$E$4378,E3107)*9,0)</f>
        <v>6</v>
      </c>
      <c r="I3107" s="1" t="str">
        <f aca="false">CONCATENATE(F3107,G3107,H3107)</f>
        <v>956</v>
      </c>
      <c r="J3107" s="1" t="str">
        <f aca="false">_xlfn.IFS(AND(F3107&gt;=8,G3107&gt;=8,H3107&gt;=8),"CHAMPION",AND(F3107&gt;=6,G3107&gt;=7,H3107&gt;=6),"LOYAL CUSTOMER",AND(F3107&gt;=6,G3107&gt;=5,H3107&gt;=5),"POTENTIAL LOYALIST",AND(F3107&gt;=8,G3107&lt;=2,H3107&gt;=5),"NEW CUSTOMERS",AND(F3107&gt;=6,G3107&lt;=2,H3107&gt;=3),"PROMISING",AND(F3107&gt;=3,G3107&gt;=3,H3107&gt;=3),"NEED ATTENTION",AND(F3107&lt;=4,G3107&gt;=6,H3107&gt;=6),"AT RISK",AND(F3107&lt;=2,G3107&gt;=8,H3107&gt;=8),"CAN'T LOSE THEM",AND(F3107&lt;=2,G3107&lt;=2,H3107&lt;=2),"HIBERNATING",TRUE(),"Other")</f>
        <v>POTENTIAL LOYALIST</v>
      </c>
      <c r="K3107" s="1" t="n">
        <f aca="false">RANK(E3107,$E$7:$E$4378)+COUNTIF($E$7:E3107,E3107)-1</f>
        <v>1244</v>
      </c>
    </row>
    <row r="3108" customFormat="false" ht="14.25" hidden="false" customHeight="true" outlineLevel="0" collapsed="false">
      <c r="A3108" s="51" t="n">
        <v>16542</v>
      </c>
      <c r="B3108" s="53" t="n">
        <v>40833.4493055556</v>
      </c>
      <c r="C3108" s="57" t="n">
        <f aca="false">INT($C$2)-INT(Table3[[#This Row],[Last Purchase Date]])</f>
        <v>54</v>
      </c>
      <c r="D3108" s="1" t="n">
        <v>1</v>
      </c>
      <c r="E3108" s="1" t="n">
        <v>119.62</v>
      </c>
      <c r="F3108" s="1" t="n">
        <f aca="false">ROUND((1-_xlfn.PERCENTRANK.INC($C$7:$C$4378,C3108))*9,0)</f>
        <v>4</v>
      </c>
      <c r="G3108" s="1" t="n">
        <f aca="false">ROUND(_xlfn.PERCENTRANK.INC($D$7:$D$4378,D3108)*9,0)</f>
        <v>0</v>
      </c>
      <c r="H3108" s="1" t="n">
        <f aca="false">ROUND(_xlfn.PERCENTRANK.INC($E$7:$E$4378,E3108)*9,0)</f>
        <v>1</v>
      </c>
      <c r="I3108" s="1" t="str">
        <f aca="false">CONCATENATE(F3108,G3108,H3108)</f>
        <v>401</v>
      </c>
      <c r="J3108" s="1" t="str">
        <f aca="false">_xlfn.IFS(AND(F3108&gt;=8,G3108&gt;=8,H3108&gt;=8),"CHAMPION",AND(F3108&gt;=6,G3108&gt;=7,H3108&gt;=6),"LOYAL CUSTOMER",AND(F3108&gt;=6,G3108&gt;=5,H3108&gt;=5),"POTENTIAL LOYALIST",AND(F3108&gt;=8,G3108&lt;=2,H3108&gt;=5),"NEW CUSTOMERS",AND(F3108&gt;=6,G3108&lt;=2,H3108&gt;=3),"PROMISING",AND(F3108&gt;=3,G3108&gt;=3,H3108&gt;=3),"NEED ATTENTION",AND(F3108&lt;=4,G3108&gt;=6,H3108&gt;=6),"AT RISK",AND(F3108&lt;=2,G3108&gt;=8,H3108&gt;=8),"CAN'T LOSE THEM",AND(F3108&lt;=2,G3108&lt;=2,H3108&lt;=2),"HIBERNATING",TRUE(),"Other")</f>
        <v>Other</v>
      </c>
      <c r="K3108" s="1" t="n">
        <f aca="false">RANK(E3108,$E$7:$E$4378)+COUNTIF($E$7:E3108,E3108)-1</f>
        <v>4053</v>
      </c>
    </row>
    <row r="3109" customFormat="false" ht="14.25" hidden="false" customHeight="true" outlineLevel="0" collapsed="false">
      <c r="A3109" s="51" t="n">
        <v>16545</v>
      </c>
      <c r="B3109" s="53" t="n">
        <v>40722.4423611111</v>
      </c>
      <c r="C3109" s="57" t="n">
        <f aca="false">INT($C$2)-INT(Table3[[#This Row],[Last Purchase Date]])</f>
        <v>165</v>
      </c>
      <c r="D3109" s="1" t="n">
        <v>1</v>
      </c>
      <c r="E3109" s="1" t="n">
        <v>339.3</v>
      </c>
      <c r="F3109" s="1" t="n">
        <f aca="false">ROUND((1-_xlfn.PERCENTRANK.INC($C$7:$C$4378,C3109))*9,0)</f>
        <v>2</v>
      </c>
      <c r="G3109" s="1" t="n">
        <f aca="false">ROUND(_xlfn.PERCENTRANK.INC($D$7:$D$4378,D3109)*9,0)</f>
        <v>0</v>
      </c>
      <c r="H3109" s="1" t="n">
        <f aca="false">ROUND(_xlfn.PERCENTRANK.INC($E$7:$E$4378,E3109)*9,0)</f>
        <v>3</v>
      </c>
      <c r="I3109" s="1" t="str">
        <f aca="false">CONCATENATE(F3109,G3109,H3109)</f>
        <v>203</v>
      </c>
      <c r="J3109" s="1" t="str">
        <f aca="false">_xlfn.IFS(AND(F3109&gt;=8,G3109&gt;=8,H3109&gt;=8),"CHAMPION",AND(F3109&gt;=6,G3109&gt;=7,H3109&gt;=6),"LOYAL CUSTOMER",AND(F3109&gt;=6,G3109&gt;=5,H3109&gt;=5),"POTENTIAL LOYALIST",AND(F3109&gt;=8,G3109&lt;=2,H3109&gt;=5),"NEW CUSTOMERS",AND(F3109&gt;=6,G3109&lt;=2,H3109&gt;=3),"PROMISING",AND(F3109&gt;=3,G3109&gt;=3,H3109&gt;=3),"NEED ATTENTION",AND(F3109&lt;=4,G3109&gt;=6,H3109&gt;=6),"AT RISK",AND(F3109&lt;=2,G3109&gt;=8,H3109&gt;=8),"CAN'T LOSE THEM",AND(F3109&lt;=2,G3109&lt;=2,H3109&lt;=2),"HIBERNATING",TRUE(),"Other")</f>
        <v>Other</v>
      </c>
      <c r="K3109" s="1" t="n">
        <f aca="false">RANK(E3109,$E$7:$E$4378)+COUNTIF($E$7:E3109,E3109)-1</f>
        <v>3054</v>
      </c>
    </row>
    <row r="3110" customFormat="false" ht="14.25" hidden="false" customHeight="true" outlineLevel="0" collapsed="false">
      <c r="A3110" s="51" t="n">
        <v>16546</v>
      </c>
      <c r="B3110" s="53" t="n">
        <v>40596.4722222222</v>
      </c>
      <c r="C3110" s="57" t="n">
        <f aca="false">INT($C$2)-INT(Table3[[#This Row],[Last Purchase Date]])</f>
        <v>291</v>
      </c>
      <c r="D3110" s="1" t="n">
        <v>3</v>
      </c>
      <c r="E3110" s="1" t="n">
        <v>-95.9299999999998</v>
      </c>
      <c r="F3110" s="1" t="n">
        <f aca="false">ROUND((1-_xlfn.PERCENTRANK.INC($C$7:$C$4378,C3110))*9,0)</f>
        <v>1</v>
      </c>
      <c r="G3110" s="1" t="n">
        <f aca="false">ROUND(_xlfn.PERCENTRANK.INC($D$7:$D$4378,D3110)*9,0)</f>
        <v>4</v>
      </c>
      <c r="H3110" s="1" t="n">
        <f aca="false">ROUND(_xlfn.PERCENTRANK.INC($E$7:$E$4378,E3110)*9,0)</f>
        <v>0</v>
      </c>
      <c r="I3110" s="1" t="str">
        <f aca="false">CONCATENATE(F3110,G3110,H3110)</f>
        <v>140</v>
      </c>
      <c r="J3110" s="1" t="str">
        <f aca="false">_xlfn.IFS(AND(F3110&gt;=8,G3110&gt;=8,H3110&gt;=8),"CHAMPION",AND(F3110&gt;=6,G3110&gt;=7,H3110&gt;=6),"LOYAL CUSTOMER",AND(F3110&gt;=6,G3110&gt;=5,H3110&gt;=5),"POTENTIAL LOYALIST",AND(F3110&gt;=8,G3110&lt;=2,H3110&gt;=5),"NEW CUSTOMERS",AND(F3110&gt;=6,G3110&lt;=2,H3110&gt;=3),"PROMISING",AND(F3110&gt;=3,G3110&gt;=3,H3110&gt;=3),"NEED ATTENTION",AND(F3110&lt;=4,G3110&gt;=6,H3110&gt;=6),"AT RISK",AND(F3110&lt;=2,G3110&gt;=8,H3110&gt;=8),"CAN'T LOSE THEM",AND(F3110&lt;=2,G3110&lt;=2,H3110&lt;=2),"HIBERNATING",TRUE(),"Other")</f>
        <v>Other</v>
      </c>
      <c r="K3110" s="1" t="n">
        <f aca="false">RANK(E3110,$E$7:$E$4378)+COUNTIF($E$7:E3110,E3110)-1</f>
        <v>4356</v>
      </c>
    </row>
    <row r="3111" customFormat="false" ht="14.25" hidden="false" customHeight="true" outlineLevel="0" collapsed="false">
      <c r="A3111" s="51" t="n">
        <v>16549</v>
      </c>
      <c r="B3111" s="53" t="n">
        <v>40876.6291666667</v>
      </c>
      <c r="C3111" s="57" t="n">
        <f aca="false">INT($C$2)-INT(Table3[[#This Row],[Last Purchase Date]])</f>
        <v>11</v>
      </c>
      <c r="D3111" s="1" t="n">
        <v>10</v>
      </c>
      <c r="E3111" s="1" t="n">
        <v>4154.64</v>
      </c>
      <c r="F3111" s="1" t="n">
        <f aca="false">ROUND((1-_xlfn.PERCENTRANK.INC($C$7:$C$4378,C3111))*9,0)</f>
        <v>7</v>
      </c>
      <c r="G3111" s="1" t="n">
        <f aca="false">ROUND(_xlfn.PERCENTRANK.INC($D$7:$D$4378,D3111)*9,0)</f>
        <v>8</v>
      </c>
      <c r="H3111" s="1" t="n">
        <f aca="false">ROUND(_xlfn.PERCENTRANK.INC($E$7:$E$4378,E3111)*9,0)</f>
        <v>8</v>
      </c>
      <c r="I3111" s="1" t="str">
        <f aca="false">CONCATENATE(F3111,G3111,H3111)</f>
        <v>788</v>
      </c>
      <c r="J3111" s="1" t="str">
        <f aca="false">_xlfn.IFS(AND(F3111&gt;=8,G3111&gt;=8,H3111&gt;=8),"CHAMPION",AND(F3111&gt;=6,G3111&gt;=7,H3111&gt;=6),"LOYAL CUSTOMER",AND(F3111&gt;=6,G3111&gt;=5,H3111&gt;=5),"POTENTIAL LOYALIST",AND(F3111&gt;=8,G3111&lt;=2,H3111&gt;=5),"NEW CUSTOMERS",AND(F3111&gt;=6,G3111&lt;=2,H3111&gt;=3),"PROMISING",AND(F3111&gt;=3,G3111&gt;=3,H3111&gt;=3),"NEED ATTENTION",AND(F3111&lt;=4,G3111&gt;=6,H3111&gt;=6),"AT RISK",AND(F3111&lt;=2,G3111&gt;=8,H3111&gt;=8),"CAN'T LOSE THEM",AND(F3111&lt;=2,G3111&lt;=2,H3111&lt;=2),"HIBERNATING",TRUE(),"Other")</f>
        <v>LOYAL CUSTOMER</v>
      </c>
      <c r="K3111" s="1" t="n">
        <f aca="false">RANK(E3111,$E$7:$E$4378)+COUNTIF($E$7:E3111,E3111)-1</f>
        <v>334</v>
      </c>
    </row>
    <row r="3112" customFormat="false" ht="14.25" hidden="false" customHeight="true" outlineLevel="0" collapsed="false">
      <c r="A3112" s="51" t="n">
        <v>16550</v>
      </c>
      <c r="B3112" s="53" t="n">
        <v>40778.4666666667</v>
      </c>
      <c r="C3112" s="57" t="n">
        <f aca="false">INT($C$2)-INT(Table3[[#This Row],[Last Purchase Date]])</f>
        <v>109</v>
      </c>
      <c r="D3112" s="1" t="n">
        <v>9</v>
      </c>
      <c r="E3112" s="1" t="n">
        <v>2266.25</v>
      </c>
      <c r="F3112" s="1" t="n">
        <f aca="false">ROUND((1-_xlfn.PERCENTRANK.INC($C$7:$C$4378,C3112))*9,0)</f>
        <v>3</v>
      </c>
      <c r="G3112" s="1" t="n">
        <f aca="false">ROUND(_xlfn.PERCENTRANK.INC($D$7:$D$4378,D3112)*9,0)</f>
        <v>8</v>
      </c>
      <c r="H3112" s="1" t="n">
        <f aca="false">ROUND(_xlfn.PERCENTRANK.INC($E$7:$E$4378,E3112)*9,0)</f>
        <v>7</v>
      </c>
      <c r="I3112" s="1" t="str">
        <f aca="false">CONCATENATE(F3112,G3112,H3112)</f>
        <v>387</v>
      </c>
      <c r="J3112" s="1" t="str">
        <f aca="false">_xlfn.IFS(AND(F3112&gt;=8,G3112&gt;=8,H3112&gt;=8),"CHAMPION",AND(F3112&gt;=6,G3112&gt;=7,H3112&gt;=6),"LOYAL CUSTOMER",AND(F3112&gt;=6,G3112&gt;=5,H3112&gt;=5),"POTENTIAL LOYALIST",AND(F3112&gt;=8,G3112&lt;=2,H3112&gt;=5),"NEW CUSTOMERS",AND(F3112&gt;=6,G3112&lt;=2,H3112&gt;=3),"PROMISING",AND(F3112&gt;=3,G3112&gt;=3,H3112&gt;=3),"NEED ATTENTION",AND(F3112&lt;=4,G3112&gt;=6,H3112&gt;=6),"AT RISK",AND(F3112&lt;=2,G3112&gt;=8,H3112&gt;=8),"CAN'T LOSE THEM",AND(F3112&lt;=2,G3112&lt;=2,H3112&lt;=2),"HIBERNATING",TRUE(),"Other")</f>
        <v>NEED ATTENTION</v>
      </c>
      <c r="K3112" s="1" t="n">
        <f aca="false">RANK(E3112,$E$7:$E$4378)+COUNTIF($E$7:E3112,E3112)-1</f>
        <v>756</v>
      </c>
    </row>
    <row r="3113" customFormat="false" ht="14.25" hidden="false" customHeight="true" outlineLevel="0" collapsed="false">
      <c r="A3113" s="51" t="n">
        <v>16551</v>
      </c>
      <c r="B3113" s="53" t="n">
        <v>40791.4013888889</v>
      </c>
      <c r="C3113" s="57" t="n">
        <f aca="false">INT($C$2)-INT(Table3[[#This Row],[Last Purchase Date]])</f>
        <v>96</v>
      </c>
      <c r="D3113" s="1" t="n">
        <v>3</v>
      </c>
      <c r="E3113" s="1" t="n">
        <v>922.12</v>
      </c>
      <c r="F3113" s="1" t="n">
        <f aca="false">ROUND((1-_xlfn.PERCENTRANK.INC($C$7:$C$4378,C3113))*9,0)</f>
        <v>3</v>
      </c>
      <c r="G3113" s="1" t="n">
        <f aca="false">ROUND(_xlfn.PERCENTRANK.INC($D$7:$D$4378,D3113)*9,0)</f>
        <v>4</v>
      </c>
      <c r="H3113" s="1" t="n">
        <f aca="false">ROUND(_xlfn.PERCENTRANK.INC($E$7:$E$4378,E3113)*9,0)</f>
        <v>5</v>
      </c>
      <c r="I3113" s="1" t="str">
        <f aca="false">CONCATENATE(F3113,G3113,H3113)</f>
        <v>345</v>
      </c>
      <c r="J3113" s="1" t="str">
        <f aca="false">_xlfn.IFS(AND(F3113&gt;=8,G3113&gt;=8,H3113&gt;=8),"CHAMPION",AND(F3113&gt;=6,G3113&gt;=7,H3113&gt;=6),"LOYAL CUSTOMER",AND(F3113&gt;=6,G3113&gt;=5,H3113&gt;=5),"POTENTIAL LOYALIST",AND(F3113&gt;=8,G3113&lt;=2,H3113&gt;=5),"NEW CUSTOMERS",AND(F3113&gt;=6,G3113&lt;=2,H3113&gt;=3),"PROMISING",AND(F3113&gt;=3,G3113&gt;=3,H3113&gt;=3),"NEED ATTENTION",AND(F3113&lt;=4,G3113&gt;=6,H3113&gt;=6),"AT RISK",AND(F3113&lt;=2,G3113&gt;=8,H3113&gt;=8),"CAN'T LOSE THEM",AND(F3113&lt;=2,G3113&lt;=2,H3113&lt;=2),"HIBERNATING",TRUE(),"Other")</f>
        <v>NEED ATTENTION</v>
      </c>
      <c r="K3113" s="1" t="n">
        <f aca="false">RANK(E3113,$E$7:$E$4378)+COUNTIF($E$7:E3113,E3113)-1</f>
        <v>1724</v>
      </c>
    </row>
    <row r="3114" customFormat="false" ht="14.25" hidden="false" customHeight="true" outlineLevel="0" collapsed="false">
      <c r="A3114" s="51" t="n">
        <v>16552</v>
      </c>
      <c r="B3114" s="53" t="n">
        <v>40644.4194444444</v>
      </c>
      <c r="C3114" s="57" t="n">
        <f aca="false">INT($C$2)-INT(Table3[[#This Row],[Last Purchase Date]])</f>
        <v>243</v>
      </c>
      <c r="D3114" s="1" t="n">
        <v>2</v>
      </c>
      <c r="E3114" s="1" t="n">
        <v>379.73</v>
      </c>
      <c r="F3114" s="1" t="n">
        <f aca="false">ROUND((1-_xlfn.PERCENTRANK.INC($C$7:$C$4378,C3114))*9,0)</f>
        <v>1</v>
      </c>
      <c r="G3114" s="1" t="n">
        <f aca="false">ROUND(_xlfn.PERCENTRANK.INC($D$7:$D$4378,D3114)*9,0)</f>
        <v>3</v>
      </c>
      <c r="H3114" s="1" t="n">
        <f aca="false">ROUND(_xlfn.PERCENTRANK.INC($E$7:$E$4378,E3114)*9,0)</f>
        <v>3</v>
      </c>
      <c r="I3114" s="1" t="str">
        <f aca="false">CONCATENATE(F3114,G3114,H3114)</f>
        <v>133</v>
      </c>
      <c r="J3114" s="1" t="str">
        <f aca="false">_xlfn.IFS(AND(F3114&gt;=8,G3114&gt;=8,H3114&gt;=8),"CHAMPION",AND(F3114&gt;=6,G3114&gt;=7,H3114&gt;=6),"LOYAL CUSTOMER",AND(F3114&gt;=6,G3114&gt;=5,H3114&gt;=5),"POTENTIAL LOYALIST",AND(F3114&gt;=8,G3114&lt;=2,H3114&gt;=5),"NEW CUSTOMERS",AND(F3114&gt;=6,G3114&lt;=2,H3114&gt;=3),"PROMISING",AND(F3114&gt;=3,G3114&gt;=3,H3114&gt;=3),"NEED ATTENTION",AND(F3114&lt;=4,G3114&gt;=6,H3114&gt;=6),"AT RISK",AND(F3114&lt;=2,G3114&gt;=8,H3114&gt;=8),"CAN'T LOSE THEM",AND(F3114&lt;=2,G3114&lt;=2,H3114&lt;=2),"HIBERNATING",TRUE(),"Other")</f>
        <v>Other</v>
      </c>
      <c r="K3114" s="1" t="n">
        <f aca="false">RANK(E3114,$E$7:$E$4378)+COUNTIF($E$7:E3114,E3114)-1</f>
        <v>2895</v>
      </c>
    </row>
    <row r="3115" customFormat="false" ht="14.25" hidden="false" customHeight="true" outlineLevel="0" collapsed="false">
      <c r="A3115" s="51" t="n">
        <v>16553</v>
      </c>
      <c r="B3115" s="53" t="n">
        <v>40723.6541666667</v>
      </c>
      <c r="C3115" s="57" t="n">
        <f aca="false">INT($C$2)-INT(Table3[[#This Row],[Last Purchase Date]])</f>
        <v>164</v>
      </c>
      <c r="D3115" s="1" t="n">
        <v>14</v>
      </c>
      <c r="E3115" s="1" t="n">
        <v>5664.57</v>
      </c>
      <c r="F3115" s="1" t="n">
        <f aca="false">ROUND((1-_xlfn.PERCENTRANK.INC($C$7:$C$4378,C3115))*9,0)</f>
        <v>2</v>
      </c>
      <c r="G3115" s="1" t="n">
        <f aca="false">ROUND(_xlfn.PERCENTRANK.INC($D$7:$D$4378,D3115)*9,0)</f>
        <v>8</v>
      </c>
      <c r="H3115" s="1" t="n">
        <f aca="false">ROUND(_xlfn.PERCENTRANK.INC($E$7:$E$4378,E3115)*9,0)</f>
        <v>9</v>
      </c>
      <c r="I3115" s="1" t="str">
        <f aca="false">CONCATENATE(F3115,G3115,H3115)</f>
        <v>289</v>
      </c>
      <c r="J3115" s="1" t="str">
        <f aca="false">_xlfn.IFS(AND(F3115&gt;=8,G3115&gt;=8,H3115&gt;=8),"CHAMPION",AND(F3115&gt;=6,G3115&gt;=7,H3115&gt;=6),"LOYAL CUSTOMER",AND(F3115&gt;=6,G3115&gt;=5,H3115&gt;=5),"POTENTIAL LOYALIST",AND(F3115&gt;=8,G3115&lt;=2,H3115&gt;=5),"NEW CUSTOMERS",AND(F3115&gt;=6,G3115&lt;=2,H3115&gt;=3),"PROMISING",AND(F3115&gt;=3,G3115&gt;=3,H3115&gt;=3),"NEED ATTENTION",AND(F3115&lt;=4,G3115&gt;=6,H3115&gt;=6),"AT RISK",AND(F3115&lt;=2,G3115&gt;=8,H3115&gt;=8),"CAN'T LOSE THEM",AND(F3115&lt;=2,G3115&lt;=2,H3115&lt;=2),"HIBERNATING",TRUE(),"Other")</f>
        <v>AT RISK</v>
      </c>
      <c r="K3115" s="1" t="n">
        <f aca="false">RANK(E3115,$E$7:$E$4378)+COUNTIF($E$7:E3115,E3115)-1</f>
        <v>217</v>
      </c>
    </row>
    <row r="3116" customFormat="false" ht="14.25" hidden="false" customHeight="true" outlineLevel="0" collapsed="false">
      <c r="A3116" s="51" t="n">
        <v>16554</v>
      </c>
      <c r="B3116" s="53" t="n">
        <v>40883.6194444444</v>
      </c>
      <c r="C3116" s="57" t="n">
        <f aca="false">INT($C$2)-INT(Table3[[#This Row],[Last Purchase Date]])</f>
        <v>4</v>
      </c>
      <c r="D3116" s="1" t="n">
        <v>7</v>
      </c>
      <c r="E3116" s="1" t="n">
        <v>641.55</v>
      </c>
      <c r="F3116" s="1" t="n">
        <f aca="false">ROUND((1-_xlfn.PERCENTRANK.INC($C$7:$C$4378,C3116))*9,0)</f>
        <v>8</v>
      </c>
      <c r="G3116" s="1" t="n">
        <f aca="false">ROUND(_xlfn.PERCENTRANK.INC($D$7:$D$4378,D3116)*9,0)</f>
        <v>7</v>
      </c>
      <c r="H3116" s="1" t="n">
        <f aca="false">ROUND(_xlfn.PERCENTRANK.INC($E$7:$E$4378,E3116)*9,0)</f>
        <v>4</v>
      </c>
      <c r="I3116" s="1" t="str">
        <f aca="false">CONCATENATE(F3116,G3116,H3116)</f>
        <v>874</v>
      </c>
      <c r="J3116" s="1" t="str">
        <f aca="false">_xlfn.IFS(AND(F3116&gt;=8,G3116&gt;=8,H3116&gt;=8),"CHAMPION",AND(F3116&gt;=6,G3116&gt;=7,H3116&gt;=6),"LOYAL CUSTOMER",AND(F3116&gt;=6,G3116&gt;=5,H3116&gt;=5),"POTENTIAL LOYALIST",AND(F3116&gt;=8,G3116&lt;=2,H3116&gt;=5),"NEW CUSTOMERS",AND(F3116&gt;=6,G3116&lt;=2,H3116&gt;=3),"PROMISING",AND(F3116&gt;=3,G3116&gt;=3,H3116&gt;=3),"NEED ATTENTION",AND(F3116&lt;=4,G3116&gt;=6,H3116&gt;=6),"AT RISK",AND(F3116&lt;=2,G3116&gt;=8,H3116&gt;=8),"CAN'T LOSE THEM",AND(F3116&lt;=2,G3116&lt;=2,H3116&lt;=2),"HIBERNATING",TRUE(),"Other")</f>
        <v>NEED ATTENTION</v>
      </c>
      <c r="K3116" s="1" t="n">
        <f aca="false">RANK(E3116,$E$7:$E$4378)+COUNTIF($E$7:E3116,E3116)-1</f>
        <v>2204</v>
      </c>
    </row>
    <row r="3117" customFormat="false" ht="14.25" hidden="false" customHeight="true" outlineLevel="0" collapsed="false">
      <c r="A3117" s="51" t="n">
        <v>16555</v>
      </c>
      <c r="B3117" s="53" t="n">
        <v>40851.6048611111</v>
      </c>
      <c r="C3117" s="57" t="n">
        <f aca="false">INT($C$2)-INT(Table3[[#This Row],[Last Purchase Date]])</f>
        <v>36</v>
      </c>
      <c r="D3117" s="1" t="n">
        <v>2</v>
      </c>
      <c r="E3117" s="1" t="n">
        <v>285.89</v>
      </c>
      <c r="F3117" s="1" t="n">
        <f aca="false">ROUND((1-_xlfn.PERCENTRANK.INC($C$7:$C$4378,C3117))*9,0)</f>
        <v>5</v>
      </c>
      <c r="G3117" s="1" t="n">
        <f aca="false">ROUND(_xlfn.PERCENTRANK.INC($D$7:$D$4378,D3117)*9,0)</f>
        <v>3</v>
      </c>
      <c r="H3117" s="1" t="n">
        <f aca="false">ROUND(_xlfn.PERCENTRANK.INC($E$7:$E$4378,E3117)*9,0)</f>
        <v>2</v>
      </c>
      <c r="I3117" s="1" t="str">
        <f aca="false">CONCATENATE(F3117,G3117,H3117)</f>
        <v>532</v>
      </c>
      <c r="J3117" s="1" t="str">
        <f aca="false">_xlfn.IFS(AND(F3117&gt;=8,G3117&gt;=8,H3117&gt;=8),"CHAMPION",AND(F3117&gt;=6,G3117&gt;=7,H3117&gt;=6),"LOYAL CUSTOMER",AND(F3117&gt;=6,G3117&gt;=5,H3117&gt;=5),"POTENTIAL LOYALIST",AND(F3117&gt;=8,G3117&lt;=2,H3117&gt;=5),"NEW CUSTOMERS",AND(F3117&gt;=6,G3117&lt;=2,H3117&gt;=3),"PROMISING",AND(F3117&gt;=3,G3117&gt;=3,H3117&gt;=3),"NEED ATTENTION",AND(F3117&lt;=4,G3117&gt;=6,H3117&gt;=6),"AT RISK",AND(F3117&lt;=2,G3117&gt;=8,H3117&gt;=8),"CAN'T LOSE THEM",AND(F3117&lt;=2,G3117&lt;=2,H3117&lt;=2),"HIBERNATING",TRUE(),"Other")</f>
        <v>Other</v>
      </c>
      <c r="K3117" s="1" t="n">
        <f aca="false">RANK(E3117,$E$7:$E$4378)+COUNTIF($E$7:E3117,E3117)-1</f>
        <v>3310</v>
      </c>
    </row>
    <row r="3118" customFormat="false" ht="14.25" hidden="false" customHeight="true" outlineLevel="0" collapsed="false">
      <c r="A3118" s="51" t="n">
        <v>16556</v>
      </c>
      <c r="B3118" s="53" t="n">
        <v>40820.4833333333</v>
      </c>
      <c r="C3118" s="57" t="n">
        <f aca="false">INT($C$2)-INT(Table3[[#This Row],[Last Purchase Date]])</f>
        <v>67</v>
      </c>
      <c r="D3118" s="1" t="n">
        <v>7</v>
      </c>
      <c r="E3118" s="1" t="n">
        <v>3313.79</v>
      </c>
      <c r="F3118" s="1" t="n">
        <f aca="false">ROUND((1-_xlfn.PERCENTRANK.INC($C$7:$C$4378,C3118))*9,0)</f>
        <v>4</v>
      </c>
      <c r="G3118" s="1" t="n">
        <f aca="false">ROUND(_xlfn.PERCENTRANK.INC($D$7:$D$4378,D3118)*9,0)</f>
        <v>7</v>
      </c>
      <c r="H3118" s="1" t="n">
        <f aca="false">ROUND(_xlfn.PERCENTRANK.INC($E$7:$E$4378,E3118)*9,0)</f>
        <v>8</v>
      </c>
      <c r="I3118" s="1" t="str">
        <f aca="false">CONCATENATE(F3118,G3118,H3118)</f>
        <v>478</v>
      </c>
      <c r="J3118" s="1" t="str">
        <f aca="false">_xlfn.IFS(AND(F3118&gt;=8,G3118&gt;=8,H3118&gt;=8),"CHAMPION",AND(F3118&gt;=6,G3118&gt;=7,H3118&gt;=6),"LOYAL CUSTOMER",AND(F3118&gt;=6,G3118&gt;=5,H3118&gt;=5),"POTENTIAL LOYALIST",AND(F3118&gt;=8,G3118&lt;=2,H3118&gt;=5),"NEW CUSTOMERS",AND(F3118&gt;=6,G3118&lt;=2,H3118&gt;=3),"PROMISING",AND(F3118&gt;=3,G3118&gt;=3,H3118&gt;=3),"NEED ATTENTION",AND(F3118&lt;=4,G3118&gt;=6,H3118&gt;=6),"AT RISK",AND(F3118&lt;=2,G3118&gt;=8,H3118&gt;=8),"CAN'T LOSE THEM",AND(F3118&lt;=2,G3118&lt;=2,H3118&lt;=2),"HIBERNATING",TRUE(),"Other")</f>
        <v>NEED ATTENTION</v>
      </c>
      <c r="K3118" s="1" t="n">
        <f aca="false">RANK(E3118,$E$7:$E$4378)+COUNTIF($E$7:E3118,E3118)-1</f>
        <v>475</v>
      </c>
    </row>
    <row r="3119" customFormat="false" ht="14.25" hidden="false" customHeight="true" outlineLevel="0" collapsed="false">
      <c r="A3119" s="51" t="n">
        <v>16557</v>
      </c>
      <c r="B3119" s="53" t="n">
        <v>40862.5861111111</v>
      </c>
      <c r="C3119" s="57" t="n">
        <f aca="false">INT($C$2)-INT(Table3[[#This Row],[Last Purchase Date]])</f>
        <v>25</v>
      </c>
      <c r="D3119" s="1" t="n">
        <v>2</v>
      </c>
      <c r="E3119" s="1" t="n">
        <v>281.85</v>
      </c>
      <c r="F3119" s="1" t="n">
        <f aca="false">ROUND((1-_xlfn.PERCENTRANK.INC($C$7:$C$4378,C3119))*9,0)</f>
        <v>6</v>
      </c>
      <c r="G3119" s="1" t="n">
        <f aca="false">ROUND(_xlfn.PERCENTRANK.INC($D$7:$D$4378,D3119)*9,0)</f>
        <v>3</v>
      </c>
      <c r="H3119" s="1" t="n">
        <f aca="false">ROUND(_xlfn.PERCENTRANK.INC($E$7:$E$4378,E3119)*9,0)</f>
        <v>2</v>
      </c>
      <c r="I3119" s="1" t="str">
        <f aca="false">CONCATENATE(F3119,G3119,H3119)</f>
        <v>632</v>
      </c>
      <c r="J3119" s="1" t="str">
        <f aca="false">_xlfn.IFS(AND(F3119&gt;=8,G3119&gt;=8,H3119&gt;=8),"CHAMPION",AND(F3119&gt;=6,G3119&gt;=7,H3119&gt;=6),"LOYAL CUSTOMER",AND(F3119&gt;=6,G3119&gt;=5,H3119&gt;=5),"POTENTIAL LOYALIST",AND(F3119&gt;=8,G3119&lt;=2,H3119&gt;=5),"NEW CUSTOMERS",AND(F3119&gt;=6,G3119&lt;=2,H3119&gt;=3),"PROMISING",AND(F3119&gt;=3,G3119&gt;=3,H3119&gt;=3),"NEED ATTENTION",AND(F3119&lt;=4,G3119&gt;=6,H3119&gt;=6),"AT RISK",AND(F3119&lt;=2,G3119&gt;=8,H3119&gt;=8),"CAN'T LOSE THEM",AND(F3119&lt;=2,G3119&lt;=2,H3119&lt;=2),"HIBERNATING",TRUE(),"Other")</f>
        <v>Other</v>
      </c>
      <c r="K3119" s="1" t="n">
        <f aca="false">RANK(E3119,$E$7:$E$4378)+COUNTIF($E$7:E3119,E3119)-1</f>
        <v>3321</v>
      </c>
    </row>
    <row r="3120" customFormat="false" ht="14.25" hidden="false" customHeight="true" outlineLevel="0" collapsed="false">
      <c r="A3120" s="51" t="n">
        <v>16558</v>
      </c>
      <c r="B3120" s="53" t="n">
        <v>40886.4305555556</v>
      </c>
      <c r="C3120" s="57" t="n">
        <f aca="false">INT($C$2)-INT(Table3[[#This Row],[Last Purchase Date]])</f>
        <v>1</v>
      </c>
      <c r="D3120" s="1" t="n">
        <v>24</v>
      </c>
      <c r="E3120" s="1" t="n">
        <v>8257.04000000001</v>
      </c>
      <c r="F3120" s="1" t="n">
        <f aca="false">ROUND((1-_xlfn.PERCENTRANK.INC($C$7:$C$4378,C3120))*9,0)</f>
        <v>9</v>
      </c>
      <c r="G3120" s="1" t="n">
        <f aca="false">ROUND(_xlfn.PERCENTRANK.INC($D$7:$D$4378,D3120)*9,0)</f>
        <v>9</v>
      </c>
      <c r="H3120" s="1" t="n">
        <f aca="false">ROUND(_xlfn.PERCENTRANK.INC($E$7:$E$4378,E3120)*9,0)</f>
        <v>9</v>
      </c>
      <c r="I3120" s="1" t="str">
        <f aca="false">CONCATENATE(F3120,G3120,H3120)</f>
        <v>999</v>
      </c>
      <c r="J3120" s="1" t="str">
        <f aca="false">_xlfn.IFS(AND(F3120&gt;=8,G3120&gt;=8,H3120&gt;=8),"CHAMPION",AND(F3120&gt;=6,G3120&gt;=7,H3120&gt;=6),"LOYAL CUSTOMER",AND(F3120&gt;=6,G3120&gt;=5,H3120&gt;=5),"POTENTIAL LOYALIST",AND(F3120&gt;=8,G3120&lt;=2,H3120&gt;=5),"NEW CUSTOMERS",AND(F3120&gt;=6,G3120&lt;=2,H3120&gt;=3),"PROMISING",AND(F3120&gt;=3,G3120&gt;=3,H3120&gt;=3),"NEED ATTENTION",AND(F3120&lt;=4,G3120&gt;=6,H3120&gt;=6),"AT RISK",AND(F3120&lt;=2,G3120&gt;=8,H3120&gt;=8),"CAN'T LOSE THEM",AND(F3120&lt;=2,G3120&lt;=2,H3120&lt;=2),"HIBERNATING",TRUE(),"Other")</f>
        <v>CHAMPION</v>
      </c>
      <c r="K3120" s="1" t="n">
        <f aca="false">RANK(E3120,$E$7:$E$4378)+COUNTIF($E$7:E3120,E3120)-1</f>
        <v>121</v>
      </c>
    </row>
    <row r="3121" customFormat="false" ht="14.25" hidden="false" customHeight="true" outlineLevel="0" collapsed="false">
      <c r="A3121" s="51" t="n">
        <v>16560</v>
      </c>
      <c r="B3121" s="53" t="n">
        <v>40865.7118055556</v>
      </c>
      <c r="C3121" s="57" t="n">
        <f aca="false">INT($C$2)-INT(Table3[[#This Row],[Last Purchase Date]])</f>
        <v>22</v>
      </c>
      <c r="D3121" s="1" t="n">
        <v>3</v>
      </c>
      <c r="E3121" s="1" t="n">
        <v>816.51</v>
      </c>
      <c r="F3121" s="1" t="n">
        <f aca="false">ROUND((1-_xlfn.PERCENTRANK.INC($C$7:$C$4378,C3121))*9,0)</f>
        <v>6</v>
      </c>
      <c r="G3121" s="1" t="n">
        <f aca="false">ROUND(_xlfn.PERCENTRANK.INC($D$7:$D$4378,D3121)*9,0)</f>
        <v>4</v>
      </c>
      <c r="H3121" s="1" t="n">
        <f aca="false">ROUND(_xlfn.PERCENTRANK.INC($E$7:$E$4378,E3121)*9,0)</f>
        <v>5</v>
      </c>
      <c r="I3121" s="1" t="str">
        <f aca="false">CONCATENATE(F3121,G3121,H3121)</f>
        <v>645</v>
      </c>
      <c r="J3121" s="1" t="str">
        <f aca="false">_xlfn.IFS(AND(F3121&gt;=8,G3121&gt;=8,H3121&gt;=8),"CHAMPION",AND(F3121&gt;=6,G3121&gt;=7,H3121&gt;=6),"LOYAL CUSTOMER",AND(F3121&gt;=6,G3121&gt;=5,H3121&gt;=5),"POTENTIAL LOYALIST",AND(F3121&gt;=8,G3121&lt;=2,H3121&gt;=5),"NEW CUSTOMERS",AND(F3121&gt;=6,G3121&lt;=2,H3121&gt;=3),"PROMISING",AND(F3121&gt;=3,G3121&gt;=3,H3121&gt;=3),"NEED ATTENTION",AND(F3121&lt;=4,G3121&gt;=6,H3121&gt;=6),"AT RISK",AND(F3121&lt;=2,G3121&gt;=8,H3121&gt;=8),"CAN'T LOSE THEM",AND(F3121&lt;=2,G3121&lt;=2,H3121&lt;=2),"HIBERNATING",TRUE(),"Other")</f>
        <v>NEED ATTENTION</v>
      </c>
      <c r="K3121" s="1" t="n">
        <f aca="false">RANK(E3121,$E$7:$E$4378)+COUNTIF($E$7:E3121,E3121)-1</f>
        <v>1867</v>
      </c>
    </row>
    <row r="3122" customFormat="false" ht="14.25" hidden="false" customHeight="true" outlineLevel="0" collapsed="false">
      <c r="A3122" s="51" t="n">
        <v>16561</v>
      </c>
      <c r="B3122" s="53" t="n">
        <v>40881.4930555556</v>
      </c>
      <c r="C3122" s="57" t="n">
        <f aca="false">INT($C$2)-INT(Table3[[#This Row],[Last Purchase Date]])</f>
        <v>6</v>
      </c>
      <c r="D3122" s="1" t="n">
        <v>2</v>
      </c>
      <c r="E3122" s="1" t="n">
        <v>511.12</v>
      </c>
      <c r="F3122" s="1" t="n">
        <f aca="false">ROUND((1-_xlfn.PERCENTRANK.INC($C$7:$C$4378,C3122))*9,0)</f>
        <v>8</v>
      </c>
      <c r="G3122" s="1" t="n">
        <f aca="false">ROUND(_xlfn.PERCENTRANK.INC($D$7:$D$4378,D3122)*9,0)</f>
        <v>3</v>
      </c>
      <c r="H3122" s="1" t="n">
        <f aca="false">ROUND(_xlfn.PERCENTRANK.INC($E$7:$E$4378,E3122)*9,0)</f>
        <v>4</v>
      </c>
      <c r="I3122" s="1" t="str">
        <f aca="false">CONCATENATE(F3122,G3122,H3122)</f>
        <v>834</v>
      </c>
      <c r="J3122" s="1" t="str">
        <f aca="false">_xlfn.IFS(AND(F3122&gt;=8,G3122&gt;=8,H3122&gt;=8),"CHAMPION",AND(F3122&gt;=6,G3122&gt;=7,H3122&gt;=6),"LOYAL CUSTOMER",AND(F3122&gt;=6,G3122&gt;=5,H3122&gt;=5),"POTENTIAL LOYALIST",AND(F3122&gt;=8,G3122&lt;=2,H3122&gt;=5),"NEW CUSTOMERS",AND(F3122&gt;=6,G3122&lt;=2,H3122&gt;=3),"PROMISING",AND(F3122&gt;=3,G3122&gt;=3,H3122&gt;=3),"NEED ATTENTION",AND(F3122&lt;=4,G3122&gt;=6,H3122&gt;=6),"AT RISK",AND(F3122&lt;=2,G3122&gt;=8,H3122&gt;=8),"CAN'T LOSE THEM",AND(F3122&lt;=2,G3122&lt;=2,H3122&lt;=2),"HIBERNATING",TRUE(),"Other")</f>
        <v>NEED ATTENTION</v>
      </c>
      <c r="K3122" s="1" t="n">
        <f aca="false">RANK(E3122,$E$7:$E$4378)+COUNTIF($E$7:E3122,E3122)-1</f>
        <v>2515</v>
      </c>
    </row>
    <row r="3123" customFormat="false" ht="14.25" hidden="false" customHeight="true" outlineLevel="0" collapsed="false">
      <c r="A3123" s="51" t="n">
        <v>16563</v>
      </c>
      <c r="B3123" s="53" t="n">
        <v>40833.49375</v>
      </c>
      <c r="C3123" s="57" t="n">
        <f aca="false">INT($C$2)-INT(Table3[[#This Row],[Last Purchase Date]])</f>
        <v>54</v>
      </c>
      <c r="D3123" s="1" t="n">
        <v>1</v>
      </c>
      <c r="E3123" s="1" t="n">
        <v>1077.74</v>
      </c>
      <c r="F3123" s="1" t="n">
        <f aca="false">ROUND((1-_xlfn.PERCENTRANK.INC($C$7:$C$4378,C3123))*9,0)</f>
        <v>4</v>
      </c>
      <c r="G3123" s="1" t="n">
        <f aca="false">ROUND(_xlfn.PERCENTRANK.INC($D$7:$D$4378,D3123)*9,0)</f>
        <v>0</v>
      </c>
      <c r="H3123" s="1" t="n">
        <f aca="false">ROUND(_xlfn.PERCENTRANK.INC($E$7:$E$4378,E3123)*9,0)</f>
        <v>6</v>
      </c>
      <c r="I3123" s="1" t="str">
        <f aca="false">CONCATENATE(F3123,G3123,H3123)</f>
        <v>406</v>
      </c>
      <c r="J3123" s="1" t="str">
        <f aca="false">_xlfn.IFS(AND(F3123&gt;=8,G3123&gt;=8,H3123&gt;=8),"CHAMPION",AND(F3123&gt;=6,G3123&gt;=7,H3123&gt;=6),"LOYAL CUSTOMER",AND(F3123&gt;=6,G3123&gt;=5,H3123&gt;=5),"POTENTIAL LOYALIST",AND(F3123&gt;=8,G3123&lt;=2,H3123&gt;=5),"NEW CUSTOMERS",AND(F3123&gt;=6,G3123&lt;=2,H3123&gt;=3),"PROMISING",AND(F3123&gt;=3,G3123&gt;=3,H3123&gt;=3),"NEED ATTENTION",AND(F3123&lt;=4,G3123&gt;=6,H3123&gt;=6),"AT RISK",AND(F3123&lt;=2,G3123&gt;=8,H3123&gt;=8),"CAN'T LOSE THEM",AND(F3123&lt;=2,G3123&lt;=2,H3123&lt;=2),"HIBERNATING",TRUE(),"Other")</f>
        <v>Other</v>
      </c>
      <c r="K3123" s="1" t="n">
        <f aca="false">RANK(E3123,$E$7:$E$4378)+COUNTIF($E$7:E3123,E3123)-1</f>
        <v>1533</v>
      </c>
    </row>
    <row r="3124" customFormat="false" ht="14.25" hidden="false" customHeight="true" outlineLevel="0" collapsed="false">
      <c r="A3124" s="51" t="n">
        <v>16565</v>
      </c>
      <c r="B3124" s="53" t="n">
        <v>40522.6395833333</v>
      </c>
      <c r="C3124" s="57" t="n">
        <f aca="false">INT($C$2)-INT(Table3[[#This Row],[Last Purchase Date]])</f>
        <v>365</v>
      </c>
      <c r="D3124" s="1" t="n">
        <v>1</v>
      </c>
      <c r="E3124" s="1" t="n">
        <v>173.7</v>
      </c>
      <c r="F3124" s="1" t="n">
        <f aca="false">ROUND((1-_xlfn.PERCENTRANK.INC($C$7:$C$4378,C3124))*9,0)</f>
        <v>0</v>
      </c>
      <c r="G3124" s="1" t="n">
        <f aca="false">ROUND(_xlfn.PERCENTRANK.INC($D$7:$D$4378,D3124)*9,0)</f>
        <v>0</v>
      </c>
      <c r="H3124" s="1" t="n">
        <f aca="false">ROUND(_xlfn.PERCENTRANK.INC($E$7:$E$4378,E3124)*9,0)</f>
        <v>1</v>
      </c>
      <c r="I3124" s="1" t="str">
        <f aca="false">CONCATENATE(F3124,G3124,H3124)</f>
        <v>001</v>
      </c>
      <c r="J3124" s="1" t="str">
        <f aca="false">_xlfn.IFS(AND(F3124&gt;=8,G3124&gt;=8,H3124&gt;=8),"CHAMPION",AND(F3124&gt;=6,G3124&gt;=7,H3124&gt;=6),"LOYAL CUSTOMER",AND(F3124&gt;=6,G3124&gt;=5,H3124&gt;=5),"POTENTIAL LOYALIST",AND(F3124&gt;=8,G3124&lt;=2,H3124&gt;=5),"NEW CUSTOMERS",AND(F3124&gt;=6,G3124&lt;=2,H3124&gt;=3),"PROMISING",AND(F3124&gt;=3,G3124&gt;=3,H3124&gt;=3),"NEED ATTENTION",AND(F3124&lt;=4,G3124&gt;=6,H3124&gt;=6),"AT RISK",AND(F3124&lt;=2,G3124&gt;=8,H3124&gt;=8),"CAN'T LOSE THEM",AND(F3124&lt;=2,G3124&lt;=2,H3124&lt;=2),"HIBERNATING",TRUE(),"Other")</f>
        <v>HIBERNATING</v>
      </c>
      <c r="K3124" s="1" t="n">
        <f aca="false">RANK(E3124,$E$7:$E$4378)+COUNTIF($E$7:E3124,E3124)-1</f>
        <v>3788</v>
      </c>
    </row>
    <row r="3125" customFormat="false" ht="14.25" hidden="false" customHeight="true" outlineLevel="0" collapsed="false">
      <c r="A3125" s="51" t="n">
        <v>16566</v>
      </c>
      <c r="B3125" s="53" t="n">
        <v>40871.6902777778</v>
      </c>
      <c r="C3125" s="57" t="n">
        <f aca="false">INT($C$2)-INT(Table3[[#This Row],[Last Purchase Date]])</f>
        <v>16</v>
      </c>
      <c r="D3125" s="1" t="n">
        <v>6</v>
      </c>
      <c r="E3125" s="1" t="n">
        <v>614.01</v>
      </c>
      <c r="F3125" s="1" t="n">
        <f aca="false">ROUND((1-_xlfn.PERCENTRANK.INC($C$7:$C$4378,C3125))*9,0)</f>
        <v>7</v>
      </c>
      <c r="G3125" s="1" t="n">
        <f aca="false">ROUND(_xlfn.PERCENTRANK.INC($D$7:$D$4378,D3125)*9,0)</f>
        <v>7</v>
      </c>
      <c r="H3125" s="1" t="n">
        <f aca="false">ROUND(_xlfn.PERCENTRANK.INC($E$7:$E$4378,E3125)*9,0)</f>
        <v>4</v>
      </c>
      <c r="I3125" s="1" t="str">
        <f aca="false">CONCATENATE(F3125,G3125,H3125)</f>
        <v>774</v>
      </c>
      <c r="J3125" s="1" t="str">
        <f aca="false">_xlfn.IFS(AND(F3125&gt;=8,G3125&gt;=8,H3125&gt;=8),"CHAMPION",AND(F3125&gt;=6,G3125&gt;=7,H3125&gt;=6),"LOYAL CUSTOMER",AND(F3125&gt;=6,G3125&gt;=5,H3125&gt;=5),"POTENTIAL LOYALIST",AND(F3125&gt;=8,G3125&lt;=2,H3125&gt;=5),"NEW CUSTOMERS",AND(F3125&gt;=6,G3125&lt;=2,H3125&gt;=3),"PROMISING",AND(F3125&gt;=3,G3125&gt;=3,H3125&gt;=3),"NEED ATTENTION",AND(F3125&lt;=4,G3125&gt;=6,H3125&gt;=6),"AT RISK",AND(F3125&lt;=2,G3125&gt;=8,H3125&gt;=8),"CAN'T LOSE THEM",AND(F3125&lt;=2,G3125&lt;=2,H3125&lt;=2),"HIBERNATING",TRUE(),"Other")</f>
        <v>NEED ATTENTION</v>
      </c>
      <c r="K3125" s="1" t="n">
        <f aca="false">RANK(E3125,$E$7:$E$4378)+COUNTIF($E$7:E3125,E3125)-1</f>
        <v>2272</v>
      </c>
    </row>
    <row r="3126" customFormat="false" ht="14.25" hidden="false" customHeight="true" outlineLevel="0" collapsed="false">
      <c r="A3126" s="51" t="n">
        <v>16567</v>
      </c>
      <c r="B3126" s="53" t="n">
        <v>40692.58125</v>
      </c>
      <c r="C3126" s="57" t="n">
        <f aca="false">INT($C$2)-INT(Table3[[#This Row],[Last Purchase Date]])</f>
        <v>195</v>
      </c>
      <c r="D3126" s="1" t="n">
        <v>2</v>
      </c>
      <c r="E3126" s="1" t="n">
        <v>865.6</v>
      </c>
      <c r="F3126" s="1" t="n">
        <f aca="false">ROUND((1-_xlfn.PERCENTRANK.INC($C$7:$C$4378,C3126))*9,0)</f>
        <v>2</v>
      </c>
      <c r="G3126" s="1" t="n">
        <f aca="false">ROUND(_xlfn.PERCENTRANK.INC($D$7:$D$4378,D3126)*9,0)</f>
        <v>3</v>
      </c>
      <c r="H3126" s="1" t="n">
        <f aca="false">ROUND(_xlfn.PERCENTRANK.INC($E$7:$E$4378,E3126)*9,0)</f>
        <v>5</v>
      </c>
      <c r="I3126" s="1" t="str">
        <f aca="false">CONCATENATE(F3126,G3126,H3126)</f>
        <v>235</v>
      </c>
      <c r="J3126" s="1" t="str">
        <f aca="false">_xlfn.IFS(AND(F3126&gt;=8,G3126&gt;=8,H3126&gt;=8),"CHAMPION",AND(F3126&gt;=6,G3126&gt;=7,H3126&gt;=6),"LOYAL CUSTOMER",AND(F3126&gt;=6,G3126&gt;=5,H3126&gt;=5),"POTENTIAL LOYALIST",AND(F3126&gt;=8,G3126&lt;=2,H3126&gt;=5),"NEW CUSTOMERS",AND(F3126&gt;=6,G3126&lt;=2,H3126&gt;=3),"PROMISING",AND(F3126&gt;=3,G3126&gt;=3,H3126&gt;=3),"NEED ATTENTION",AND(F3126&lt;=4,G3126&gt;=6,H3126&gt;=6),"AT RISK",AND(F3126&lt;=2,G3126&gt;=8,H3126&gt;=8),"CAN'T LOSE THEM",AND(F3126&lt;=2,G3126&lt;=2,H3126&lt;=2),"HIBERNATING",TRUE(),"Other")</f>
        <v>Other</v>
      </c>
      <c r="K3126" s="1" t="n">
        <f aca="false">RANK(E3126,$E$7:$E$4378)+COUNTIF($E$7:E3126,E3126)-1</f>
        <v>1810</v>
      </c>
    </row>
    <row r="3127" customFormat="false" ht="14.25" hidden="false" customHeight="true" outlineLevel="0" collapsed="false">
      <c r="A3127" s="51" t="n">
        <v>16569</v>
      </c>
      <c r="B3127" s="53" t="n">
        <v>40883.6472222222</v>
      </c>
      <c r="C3127" s="57" t="n">
        <f aca="false">INT($C$2)-INT(Table3[[#This Row],[Last Purchase Date]])</f>
        <v>4</v>
      </c>
      <c r="D3127" s="1" t="n">
        <v>1</v>
      </c>
      <c r="E3127" s="1" t="n">
        <v>124.2</v>
      </c>
      <c r="F3127" s="1" t="n">
        <f aca="false">ROUND((1-_xlfn.PERCENTRANK.INC($C$7:$C$4378,C3127))*9,0)</f>
        <v>8</v>
      </c>
      <c r="G3127" s="1" t="n">
        <f aca="false">ROUND(_xlfn.PERCENTRANK.INC($D$7:$D$4378,D3127)*9,0)</f>
        <v>0</v>
      </c>
      <c r="H3127" s="1" t="n">
        <f aca="false">ROUND(_xlfn.PERCENTRANK.INC($E$7:$E$4378,E3127)*9,0)</f>
        <v>1</v>
      </c>
      <c r="I3127" s="1" t="str">
        <f aca="false">CONCATENATE(F3127,G3127,H3127)</f>
        <v>801</v>
      </c>
      <c r="J3127" s="1" t="str">
        <f aca="false">_xlfn.IFS(AND(F3127&gt;=8,G3127&gt;=8,H3127&gt;=8),"CHAMPION",AND(F3127&gt;=6,G3127&gt;=7,H3127&gt;=6),"LOYAL CUSTOMER",AND(F3127&gt;=6,G3127&gt;=5,H3127&gt;=5),"POTENTIAL LOYALIST",AND(F3127&gt;=8,G3127&lt;=2,H3127&gt;=5),"NEW CUSTOMERS",AND(F3127&gt;=6,G3127&lt;=2,H3127&gt;=3),"PROMISING",AND(F3127&gt;=3,G3127&gt;=3,H3127&gt;=3),"NEED ATTENTION",AND(F3127&lt;=4,G3127&gt;=6,H3127&gt;=6),"AT RISK",AND(F3127&lt;=2,G3127&gt;=8,H3127&gt;=8),"CAN'T LOSE THEM",AND(F3127&lt;=2,G3127&lt;=2,H3127&lt;=2),"HIBERNATING",TRUE(),"Other")</f>
        <v>Other</v>
      </c>
      <c r="K3127" s="1" t="n">
        <f aca="false">RANK(E3127,$E$7:$E$4378)+COUNTIF($E$7:E3127,E3127)-1</f>
        <v>4031</v>
      </c>
    </row>
    <row r="3128" customFormat="false" ht="14.25" hidden="false" customHeight="true" outlineLevel="0" collapsed="false">
      <c r="A3128" s="51" t="n">
        <v>16570</v>
      </c>
      <c r="B3128" s="53" t="n">
        <v>40878.3722222222</v>
      </c>
      <c r="C3128" s="57" t="n">
        <f aca="false">INT($C$2)-INT(Table3[[#This Row],[Last Purchase Date]])</f>
        <v>9</v>
      </c>
      <c r="D3128" s="1" t="n">
        <v>15</v>
      </c>
      <c r="E3128" s="1" t="n">
        <v>3622.95</v>
      </c>
      <c r="F3128" s="1" t="n">
        <f aca="false">ROUND((1-_xlfn.PERCENTRANK.INC($C$7:$C$4378,C3128))*9,0)</f>
        <v>8</v>
      </c>
      <c r="G3128" s="1" t="n">
        <f aca="false">ROUND(_xlfn.PERCENTRANK.INC($D$7:$D$4378,D3128)*9,0)</f>
        <v>8</v>
      </c>
      <c r="H3128" s="1" t="n">
        <f aca="false">ROUND(_xlfn.PERCENTRANK.INC($E$7:$E$4378,E3128)*9,0)</f>
        <v>8</v>
      </c>
      <c r="I3128" s="1" t="str">
        <f aca="false">CONCATENATE(F3128,G3128,H3128)</f>
        <v>888</v>
      </c>
      <c r="J3128" s="1" t="str">
        <f aca="false">_xlfn.IFS(AND(F3128&gt;=8,G3128&gt;=8,H3128&gt;=8),"CHAMPION",AND(F3128&gt;=6,G3128&gt;=7,H3128&gt;=6),"LOYAL CUSTOMER",AND(F3128&gt;=6,G3128&gt;=5,H3128&gt;=5),"POTENTIAL LOYALIST",AND(F3128&gt;=8,G3128&lt;=2,H3128&gt;=5),"NEW CUSTOMERS",AND(F3128&gt;=6,G3128&lt;=2,H3128&gt;=3),"PROMISING",AND(F3128&gt;=3,G3128&gt;=3,H3128&gt;=3),"NEED ATTENTION",AND(F3128&lt;=4,G3128&gt;=6,H3128&gt;=6),"AT RISK",AND(F3128&lt;=2,G3128&gt;=8,H3128&gt;=8),"CAN'T LOSE THEM",AND(F3128&lt;=2,G3128&lt;=2,H3128&lt;=2),"HIBERNATING",TRUE(),"Other")</f>
        <v>CHAMPION</v>
      </c>
      <c r="K3128" s="1" t="n">
        <f aca="false">RANK(E3128,$E$7:$E$4378)+COUNTIF($E$7:E3128,E3128)-1</f>
        <v>417</v>
      </c>
    </row>
    <row r="3129" customFormat="false" ht="14.25" hidden="false" customHeight="true" outlineLevel="0" collapsed="false">
      <c r="A3129" s="51" t="n">
        <v>16571</v>
      </c>
      <c r="B3129" s="53" t="n">
        <v>40883.5881944444</v>
      </c>
      <c r="C3129" s="57" t="n">
        <f aca="false">INT($C$2)-INT(Table3[[#This Row],[Last Purchase Date]])</f>
        <v>4</v>
      </c>
      <c r="D3129" s="1" t="n">
        <v>5</v>
      </c>
      <c r="E3129" s="1" t="n">
        <v>1285.22</v>
      </c>
      <c r="F3129" s="1" t="n">
        <f aca="false">ROUND((1-_xlfn.PERCENTRANK.INC($C$7:$C$4378,C3129))*9,0)</f>
        <v>8</v>
      </c>
      <c r="G3129" s="1" t="n">
        <f aca="false">ROUND(_xlfn.PERCENTRANK.INC($D$7:$D$4378,D3129)*9,0)</f>
        <v>6</v>
      </c>
      <c r="H3129" s="1" t="n">
        <f aca="false">ROUND(_xlfn.PERCENTRANK.INC($E$7:$E$4378,E3129)*9,0)</f>
        <v>6</v>
      </c>
      <c r="I3129" s="1" t="str">
        <f aca="false">CONCATENATE(F3129,G3129,H3129)</f>
        <v>866</v>
      </c>
      <c r="J3129" s="1" t="str">
        <f aca="false">_xlfn.IFS(AND(F3129&gt;=8,G3129&gt;=8,H3129&gt;=8),"CHAMPION",AND(F3129&gt;=6,G3129&gt;=7,H3129&gt;=6),"LOYAL CUSTOMER",AND(F3129&gt;=6,G3129&gt;=5,H3129&gt;=5),"POTENTIAL LOYALIST",AND(F3129&gt;=8,G3129&lt;=2,H3129&gt;=5),"NEW CUSTOMERS",AND(F3129&gt;=6,G3129&lt;=2,H3129&gt;=3),"PROMISING",AND(F3129&gt;=3,G3129&gt;=3,H3129&gt;=3),"NEED ATTENTION",AND(F3129&lt;=4,G3129&gt;=6,H3129&gt;=6),"AT RISK",AND(F3129&lt;=2,G3129&gt;=8,H3129&gt;=8),"CAN'T LOSE THEM",AND(F3129&lt;=2,G3129&lt;=2,H3129&lt;=2),"HIBERNATING",TRUE(),"Other")</f>
        <v>POTENTIAL LOYALIST</v>
      </c>
      <c r="K3129" s="1" t="n">
        <f aca="false">RANK(E3129,$E$7:$E$4378)+COUNTIF($E$7:E3129,E3129)-1</f>
        <v>1338</v>
      </c>
    </row>
    <row r="3130" customFormat="false" ht="14.25" hidden="false" customHeight="true" outlineLevel="0" collapsed="false">
      <c r="A3130" s="51" t="n">
        <v>16572</v>
      </c>
      <c r="B3130" s="53" t="n">
        <v>40759.6902777778</v>
      </c>
      <c r="C3130" s="57" t="n">
        <f aca="false">INT($C$2)-INT(Table3[[#This Row],[Last Purchase Date]])</f>
        <v>128</v>
      </c>
      <c r="D3130" s="1" t="n">
        <v>4</v>
      </c>
      <c r="E3130" s="1" t="n">
        <v>999.7</v>
      </c>
      <c r="F3130" s="1" t="n">
        <f aca="false">ROUND((1-_xlfn.PERCENTRANK.INC($C$7:$C$4378,C3130))*9,0)</f>
        <v>2</v>
      </c>
      <c r="G3130" s="1" t="n">
        <f aca="false">ROUND(_xlfn.PERCENTRANK.INC($D$7:$D$4378,D3130)*9,0)</f>
        <v>5</v>
      </c>
      <c r="H3130" s="1" t="n">
        <f aca="false">ROUND(_xlfn.PERCENTRANK.INC($E$7:$E$4378,E3130)*9,0)</f>
        <v>6</v>
      </c>
      <c r="I3130" s="1" t="str">
        <f aca="false">CONCATENATE(F3130,G3130,H3130)</f>
        <v>256</v>
      </c>
      <c r="J3130" s="1" t="str">
        <f aca="false">_xlfn.IFS(AND(F3130&gt;=8,G3130&gt;=8,H3130&gt;=8),"CHAMPION",AND(F3130&gt;=6,G3130&gt;=7,H3130&gt;=6),"LOYAL CUSTOMER",AND(F3130&gt;=6,G3130&gt;=5,H3130&gt;=5),"POTENTIAL LOYALIST",AND(F3130&gt;=8,G3130&lt;=2,H3130&gt;=5),"NEW CUSTOMERS",AND(F3130&gt;=6,G3130&lt;=2,H3130&gt;=3),"PROMISING",AND(F3130&gt;=3,G3130&gt;=3,H3130&gt;=3),"NEED ATTENTION",AND(F3130&lt;=4,G3130&gt;=6,H3130&gt;=6),"AT RISK",AND(F3130&lt;=2,G3130&gt;=8,H3130&gt;=8),"CAN'T LOSE THEM",AND(F3130&lt;=2,G3130&lt;=2,H3130&lt;=2),"HIBERNATING",TRUE(),"Other")</f>
        <v>Other</v>
      </c>
      <c r="K3130" s="1" t="n">
        <f aca="false">RANK(E3130,$E$7:$E$4378)+COUNTIF($E$7:E3130,E3130)-1</f>
        <v>1635</v>
      </c>
    </row>
    <row r="3131" customFormat="false" ht="14.25" hidden="false" customHeight="true" outlineLevel="0" collapsed="false">
      <c r="A3131" s="51" t="n">
        <v>16573</v>
      </c>
      <c r="B3131" s="53" t="n">
        <v>40813.4701388889</v>
      </c>
      <c r="C3131" s="57" t="n">
        <f aca="false">INT($C$2)-INT(Table3[[#This Row],[Last Purchase Date]])</f>
        <v>74</v>
      </c>
      <c r="D3131" s="1" t="n">
        <v>4</v>
      </c>
      <c r="E3131" s="1" t="n">
        <v>648.41</v>
      </c>
      <c r="F3131" s="1" t="n">
        <f aca="false">ROUND((1-_xlfn.PERCENTRANK.INC($C$7:$C$4378,C3131))*9,0)</f>
        <v>3</v>
      </c>
      <c r="G3131" s="1" t="n">
        <f aca="false">ROUND(_xlfn.PERCENTRANK.INC($D$7:$D$4378,D3131)*9,0)</f>
        <v>5</v>
      </c>
      <c r="H3131" s="1" t="n">
        <f aca="false">ROUND(_xlfn.PERCENTRANK.INC($E$7:$E$4378,E3131)*9,0)</f>
        <v>5</v>
      </c>
      <c r="I3131" s="1" t="str">
        <f aca="false">CONCATENATE(F3131,G3131,H3131)</f>
        <v>355</v>
      </c>
      <c r="J3131" s="1" t="str">
        <f aca="false">_xlfn.IFS(AND(F3131&gt;=8,G3131&gt;=8,H3131&gt;=8),"CHAMPION",AND(F3131&gt;=6,G3131&gt;=7,H3131&gt;=6),"LOYAL CUSTOMER",AND(F3131&gt;=6,G3131&gt;=5,H3131&gt;=5),"POTENTIAL LOYALIST",AND(F3131&gt;=8,G3131&lt;=2,H3131&gt;=5),"NEW CUSTOMERS",AND(F3131&gt;=6,G3131&lt;=2,H3131&gt;=3),"PROMISING",AND(F3131&gt;=3,G3131&gt;=3,H3131&gt;=3),"NEED ATTENTION",AND(F3131&lt;=4,G3131&gt;=6,H3131&gt;=6),"AT RISK",AND(F3131&lt;=2,G3131&gt;=8,H3131&gt;=8),"CAN'T LOSE THEM",AND(F3131&lt;=2,G3131&lt;=2,H3131&lt;=2),"HIBERNATING",TRUE(),"Other")</f>
        <v>NEED ATTENTION</v>
      </c>
      <c r="K3131" s="1" t="n">
        <f aca="false">RANK(E3131,$E$7:$E$4378)+COUNTIF($E$7:E3131,E3131)-1</f>
        <v>2186</v>
      </c>
    </row>
    <row r="3132" customFormat="false" ht="14.25" hidden="false" customHeight="true" outlineLevel="0" collapsed="false">
      <c r="A3132" s="51" t="n">
        <v>16574</v>
      </c>
      <c r="B3132" s="53" t="n">
        <v>40815.56875</v>
      </c>
      <c r="C3132" s="57" t="n">
        <f aca="false">INT($C$2)-INT(Table3[[#This Row],[Last Purchase Date]])</f>
        <v>72</v>
      </c>
      <c r="D3132" s="1" t="n">
        <v>1</v>
      </c>
      <c r="E3132" s="1" t="n">
        <v>451.44</v>
      </c>
      <c r="F3132" s="1" t="n">
        <f aca="false">ROUND((1-_xlfn.PERCENTRANK.INC($C$7:$C$4378,C3132))*9,0)</f>
        <v>4</v>
      </c>
      <c r="G3132" s="1" t="n">
        <f aca="false">ROUND(_xlfn.PERCENTRANK.INC($D$7:$D$4378,D3132)*9,0)</f>
        <v>0</v>
      </c>
      <c r="H3132" s="1" t="n">
        <f aca="false">ROUND(_xlfn.PERCENTRANK.INC($E$7:$E$4378,E3132)*9,0)</f>
        <v>4</v>
      </c>
      <c r="I3132" s="1" t="str">
        <f aca="false">CONCATENATE(F3132,G3132,H3132)</f>
        <v>404</v>
      </c>
      <c r="J3132" s="1" t="str">
        <f aca="false">_xlfn.IFS(AND(F3132&gt;=8,G3132&gt;=8,H3132&gt;=8),"CHAMPION",AND(F3132&gt;=6,G3132&gt;=7,H3132&gt;=6),"LOYAL CUSTOMER",AND(F3132&gt;=6,G3132&gt;=5,H3132&gt;=5),"POTENTIAL LOYALIST",AND(F3132&gt;=8,G3132&lt;=2,H3132&gt;=5),"NEW CUSTOMERS",AND(F3132&gt;=6,G3132&lt;=2,H3132&gt;=3),"PROMISING",AND(F3132&gt;=3,G3132&gt;=3,H3132&gt;=3),"NEED ATTENTION",AND(F3132&lt;=4,G3132&gt;=6,H3132&gt;=6),"AT RISK",AND(F3132&lt;=2,G3132&gt;=8,H3132&gt;=8),"CAN'T LOSE THEM",AND(F3132&lt;=2,G3132&lt;=2,H3132&lt;=2),"HIBERNATING",TRUE(),"Other")</f>
        <v>Other</v>
      </c>
      <c r="K3132" s="1" t="n">
        <f aca="false">RANK(E3132,$E$7:$E$4378)+COUNTIF($E$7:E3132,E3132)-1</f>
        <v>2672</v>
      </c>
    </row>
    <row r="3133" customFormat="false" ht="14.25" hidden="false" customHeight="true" outlineLevel="0" collapsed="false">
      <c r="A3133" s="51" t="n">
        <v>16579</v>
      </c>
      <c r="B3133" s="53" t="n">
        <v>40521.625</v>
      </c>
      <c r="C3133" s="57" t="n">
        <f aca="false">INT($C$2)-INT(Table3[[#This Row],[Last Purchase Date]])</f>
        <v>366</v>
      </c>
      <c r="D3133" s="1" t="n">
        <v>1</v>
      </c>
      <c r="E3133" s="1" t="n">
        <v>-30.6</v>
      </c>
      <c r="F3133" s="1" t="n">
        <f aca="false">ROUND((1-_xlfn.PERCENTRANK.INC($C$7:$C$4378,C3133))*9,0)</f>
        <v>0</v>
      </c>
      <c r="G3133" s="1" t="n">
        <f aca="false">ROUND(_xlfn.PERCENTRANK.INC($D$7:$D$4378,D3133)*9,0)</f>
        <v>0</v>
      </c>
      <c r="H3133" s="1" t="n">
        <f aca="false">ROUND(_xlfn.PERCENTRANK.INC($E$7:$E$4378,E3133)*9,0)</f>
        <v>0</v>
      </c>
      <c r="I3133" s="1" t="str">
        <f aca="false">CONCATENATE(F3133,G3133,H3133)</f>
        <v>000</v>
      </c>
      <c r="J3133" s="1" t="str">
        <f aca="false">_xlfn.IFS(AND(F3133&gt;=8,G3133&gt;=8,H3133&gt;=8),"CHAMPION",AND(F3133&gt;=6,G3133&gt;=7,H3133&gt;=6),"LOYAL CUSTOMER",AND(F3133&gt;=6,G3133&gt;=5,H3133&gt;=5),"POTENTIAL LOYALIST",AND(F3133&gt;=8,G3133&lt;=2,H3133&gt;=5),"NEW CUSTOMERS",AND(F3133&gt;=6,G3133&lt;=2,H3133&gt;=3),"PROMISING",AND(F3133&gt;=3,G3133&gt;=3,H3133&gt;=3),"NEED ATTENTION",AND(F3133&lt;=4,G3133&gt;=6,H3133&gt;=6),"AT RISK",AND(F3133&lt;=2,G3133&gt;=8,H3133&gt;=8),"CAN'T LOSE THEM",AND(F3133&lt;=2,G3133&lt;=2,H3133&lt;=2),"HIBERNATING",TRUE(),"Other")</f>
        <v>HIBERNATING</v>
      </c>
      <c r="K3133" s="1" t="n">
        <f aca="false">RANK(E3133,$E$7:$E$4378)+COUNTIF($E$7:E3133,E3133)-1</f>
        <v>4348</v>
      </c>
    </row>
    <row r="3134" customFormat="false" ht="14.25" hidden="false" customHeight="true" outlineLevel="0" collapsed="false">
      <c r="A3134" s="51" t="n">
        <v>16581</v>
      </c>
      <c r="B3134" s="53" t="n">
        <v>40731.6597222222</v>
      </c>
      <c r="C3134" s="57" t="n">
        <f aca="false">INT($C$2)-INT(Table3[[#This Row],[Last Purchase Date]])</f>
        <v>156</v>
      </c>
      <c r="D3134" s="1" t="n">
        <v>2</v>
      </c>
      <c r="E3134" s="1" t="n">
        <v>70.44</v>
      </c>
      <c r="F3134" s="1" t="n">
        <f aca="false">ROUND((1-_xlfn.PERCENTRANK.INC($C$7:$C$4378,C3134))*9,0)</f>
        <v>2</v>
      </c>
      <c r="G3134" s="1" t="n">
        <f aca="false">ROUND(_xlfn.PERCENTRANK.INC($D$7:$D$4378,D3134)*9,0)</f>
        <v>3</v>
      </c>
      <c r="H3134" s="1" t="n">
        <f aca="false">ROUND(_xlfn.PERCENTRANK.INC($E$7:$E$4378,E3134)*9,0)</f>
        <v>0</v>
      </c>
      <c r="I3134" s="1" t="str">
        <f aca="false">CONCATENATE(F3134,G3134,H3134)</f>
        <v>230</v>
      </c>
      <c r="J3134" s="1" t="str">
        <f aca="false">_xlfn.IFS(AND(F3134&gt;=8,G3134&gt;=8,H3134&gt;=8),"CHAMPION",AND(F3134&gt;=6,G3134&gt;=7,H3134&gt;=6),"LOYAL CUSTOMER",AND(F3134&gt;=6,G3134&gt;=5,H3134&gt;=5),"POTENTIAL LOYALIST",AND(F3134&gt;=8,G3134&lt;=2,H3134&gt;=5),"NEW CUSTOMERS",AND(F3134&gt;=6,G3134&lt;=2,H3134&gt;=3),"PROMISING",AND(F3134&gt;=3,G3134&gt;=3,H3134&gt;=3),"NEED ATTENTION",AND(F3134&lt;=4,G3134&gt;=6,H3134&gt;=6),"AT RISK",AND(F3134&lt;=2,G3134&gt;=8,H3134&gt;=8),"CAN'T LOSE THEM",AND(F3134&lt;=2,G3134&lt;=2,H3134&lt;=2),"HIBERNATING",TRUE(),"Other")</f>
        <v>Other</v>
      </c>
      <c r="K3134" s="1" t="n">
        <f aca="false">RANK(E3134,$E$7:$E$4378)+COUNTIF($E$7:E3134,E3134)-1</f>
        <v>4248</v>
      </c>
    </row>
    <row r="3135" customFormat="false" ht="14.25" hidden="false" customHeight="true" outlineLevel="0" collapsed="false">
      <c r="A3135" s="51" t="n">
        <v>16582</v>
      </c>
      <c r="B3135" s="53" t="n">
        <v>40773.7097222222</v>
      </c>
      <c r="C3135" s="57" t="n">
        <f aca="false">INT($C$2)-INT(Table3[[#This Row],[Last Purchase Date]])</f>
        <v>114</v>
      </c>
      <c r="D3135" s="1" t="n">
        <v>1</v>
      </c>
      <c r="E3135" s="1" t="n">
        <v>313.62</v>
      </c>
      <c r="F3135" s="1" t="n">
        <f aca="false">ROUND((1-_xlfn.PERCENTRANK.INC($C$7:$C$4378,C3135))*9,0)</f>
        <v>3</v>
      </c>
      <c r="G3135" s="1" t="n">
        <f aca="false">ROUND(_xlfn.PERCENTRANK.INC($D$7:$D$4378,D3135)*9,0)</f>
        <v>0</v>
      </c>
      <c r="H3135" s="1" t="n">
        <f aca="false">ROUND(_xlfn.PERCENTRANK.INC($E$7:$E$4378,E3135)*9,0)</f>
        <v>2</v>
      </c>
      <c r="I3135" s="1" t="str">
        <f aca="false">CONCATENATE(F3135,G3135,H3135)</f>
        <v>302</v>
      </c>
      <c r="J3135" s="1" t="str">
        <f aca="false">_xlfn.IFS(AND(F3135&gt;=8,G3135&gt;=8,H3135&gt;=8),"CHAMPION",AND(F3135&gt;=6,G3135&gt;=7,H3135&gt;=6),"LOYAL CUSTOMER",AND(F3135&gt;=6,G3135&gt;=5,H3135&gt;=5),"POTENTIAL LOYALIST",AND(F3135&gt;=8,G3135&lt;=2,H3135&gt;=5),"NEW CUSTOMERS",AND(F3135&gt;=6,G3135&lt;=2,H3135&gt;=3),"PROMISING",AND(F3135&gt;=3,G3135&gt;=3,H3135&gt;=3),"NEED ATTENTION",AND(F3135&lt;=4,G3135&gt;=6,H3135&gt;=6),"AT RISK",AND(F3135&lt;=2,G3135&gt;=8,H3135&gt;=8),"CAN'T LOSE THEM",AND(F3135&lt;=2,G3135&lt;=2,H3135&lt;=2),"HIBERNATING",TRUE(),"Other")</f>
        <v>Other</v>
      </c>
      <c r="K3135" s="1" t="n">
        <f aca="false">RANK(E3135,$E$7:$E$4378)+COUNTIF($E$7:E3135,E3135)-1</f>
        <v>3172</v>
      </c>
    </row>
    <row r="3136" customFormat="false" ht="14.25" hidden="false" customHeight="true" outlineLevel="0" collapsed="false">
      <c r="A3136" s="51" t="n">
        <v>16583</v>
      </c>
      <c r="B3136" s="53" t="n">
        <v>40513.5020833333</v>
      </c>
      <c r="C3136" s="57" t="n">
        <f aca="false">INT($C$2)-INT(Table3[[#This Row],[Last Purchase Date]])</f>
        <v>374</v>
      </c>
      <c r="D3136" s="1" t="n">
        <v>1</v>
      </c>
      <c r="E3136" s="1" t="n">
        <v>233.45</v>
      </c>
      <c r="F3136" s="1" t="n">
        <f aca="false">ROUND((1-_xlfn.PERCENTRANK.INC($C$7:$C$4378,C3136))*9,0)</f>
        <v>0</v>
      </c>
      <c r="G3136" s="1" t="n">
        <f aca="false">ROUND(_xlfn.PERCENTRANK.INC($D$7:$D$4378,D3136)*9,0)</f>
        <v>0</v>
      </c>
      <c r="H3136" s="1" t="n">
        <f aca="false">ROUND(_xlfn.PERCENTRANK.INC($E$7:$E$4378,E3136)*9,0)</f>
        <v>2</v>
      </c>
      <c r="I3136" s="1" t="str">
        <f aca="false">CONCATENATE(F3136,G3136,H3136)</f>
        <v>002</v>
      </c>
      <c r="J3136" s="1" t="str">
        <f aca="false">_xlfn.IFS(AND(F3136&gt;=8,G3136&gt;=8,H3136&gt;=8),"CHAMPION",AND(F3136&gt;=6,G3136&gt;=7,H3136&gt;=6),"LOYAL CUSTOMER",AND(F3136&gt;=6,G3136&gt;=5,H3136&gt;=5),"POTENTIAL LOYALIST",AND(F3136&gt;=8,G3136&lt;=2,H3136&gt;=5),"NEW CUSTOMERS",AND(F3136&gt;=6,G3136&lt;=2,H3136&gt;=3),"PROMISING",AND(F3136&gt;=3,G3136&gt;=3,H3136&gt;=3),"NEED ATTENTION",AND(F3136&lt;=4,G3136&gt;=6,H3136&gt;=6),"AT RISK",AND(F3136&lt;=2,G3136&gt;=8,H3136&gt;=8),"CAN'T LOSE THEM",AND(F3136&lt;=2,G3136&lt;=2,H3136&lt;=2),"HIBERNATING",TRUE(),"Other")</f>
        <v>HIBERNATING</v>
      </c>
      <c r="K3136" s="1" t="n">
        <f aca="false">RANK(E3136,$E$7:$E$4378)+COUNTIF($E$7:E3136,E3136)-1</f>
        <v>3504</v>
      </c>
    </row>
    <row r="3137" customFormat="false" ht="14.25" hidden="false" customHeight="true" outlineLevel="0" collapsed="false">
      <c r="A3137" s="51" t="n">
        <v>16584</v>
      </c>
      <c r="B3137" s="53" t="n">
        <v>40806.5729166667</v>
      </c>
      <c r="C3137" s="57" t="n">
        <f aca="false">INT($C$2)-INT(Table3[[#This Row],[Last Purchase Date]])</f>
        <v>81</v>
      </c>
      <c r="D3137" s="1" t="n">
        <v>3</v>
      </c>
      <c r="E3137" s="1" t="n">
        <v>908.03</v>
      </c>
      <c r="F3137" s="1" t="n">
        <f aca="false">ROUND((1-_xlfn.PERCENTRANK.INC($C$7:$C$4378,C3137))*9,0)</f>
        <v>3</v>
      </c>
      <c r="G3137" s="1" t="n">
        <f aca="false">ROUND(_xlfn.PERCENTRANK.INC($D$7:$D$4378,D3137)*9,0)</f>
        <v>4</v>
      </c>
      <c r="H3137" s="1" t="n">
        <f aca="false">ROUND(_xlfn.PERCENTRANK.INC($E$7:$E$4378,E3137)*9,0)</f>
        <v>5</v>
      </c>
      <c r="I3137" s="1" t="str">
        <f aca="false">CONCATENATE(F3137,G3137,H3137)</f>
        <v>345</v>
      </c>
      <c r="J3137" s="1" t="str">
        <f aca="false">_xlfn.IFS(AND(F3137&gt;=8,G3137&gt;=8,H3137&gt;=8),"CHAMPION",AND(F3137&gt;=6,G3137&gt;=7,H3137&gt;=6),"LOYAL CUSTOMER",AND(F3137&gt;=6,G3137&gt;=5,H3137&gt;=5),"POTENTIAL LOYALIST",AND(F3137&gt;=8,G3137&lt;=2,H3137&gt;=5),"NEW CUSTOMERS",AND(F3137&gt;=6,G3137&lt;=2,H3137&gt;=3),"PROMISING",AND(F3137&gt;=3,G3137&gt;=3,H3137&gt;=3),"NEED ATTENTION",AND(F3137&lt;=4,G3137&gt;=6,H3137&gt;=6),"AT RISK",AND(F3137&lt;=2,G3137&gt;=8,H3137&gt;=8),"CAN'T LOSE THEM",AND(F3137&lt;=2,G3137&lt;=2,H3137&lt;=2),"HIBERNATING",TRUE(),"Other")</f>
        <v>NEED ATTENTION</v>
      </c>
      <c r="K3137" s="1" t="n">
        <f aca="false">RANK(E3137,$E$7:$E$4378)+COUNTIF($E$7:E3137,E3137)-1</f>
        <v>1752</v>
      </c>
    </row>
    <row r="3138" customFormat="false" ht="14.25" hidden="false" customHeight="true" outlineLevel="0" collapsed="false">
      <c r="A3138" s="51" t="n">
        <v>16586</v>
      </c>
      <c r="B3138" s="53" t="n">
        <v>40638.3972222222</v>
      </c>
      <c r="C3138" s="57" t="n">
        <f aca="false">INT($C$2)-INT(Table3[[#This Row],[Last Purchase Date]])</f>
        <v>249</v>
      </c>
      <c r="D3138" s="1" t="n">
        <v>1</v>
      </c>
      <c r="E3138" s="1" t="n">
        <v>463.95</v>
      </c>
      <c r="F3138" s="1" t="n">
        <f aca="false">ROUND((1-_xlfn.PERCENTRANK.INC($C$7:$C$4378,C3138))*9,0)</f>
        <v>1</v>
      </c>
      <c r="G3138" s="1" t="n">
        <f aca="false">ROUND(_xlfn.PERCENTRANK.INC($D$7:$D$4378,D3138)*9,0)</f>
        <v>0</v>
      </c>
      <c r="H3138" s="1" t="n">
        <f aca="false">ROUND(_xlfn.PERCENTRANK.INC($E$7:$E$4378,E3138)*9,0)</f>
        <v>4</v>
      </c>
      <c r="I3138" s="1" t="str">
        <f aca="false">CONCATENATE(F3138,G3138,H3138)</f>
        <v>104</v>
      </c>
      <c r="J3138" s="1" t="str">
        <f aca="false">_xlfn.IFS(AND(F3138&gt;=8,G3138&gt;=8,H3138&gt;=8),"CHAMPION",AND(F3138&gt;=6,G3138&gt;=7,H3138&gt;=6),"LOYAL CUSTOMER",AND(F3138&gt;=6,G3138&gt;=5,H3138&gt;=5),"POTENTIAL LOYALIST",AND(F3138&gt;=8,G3138&lt;=2,H3138&gt;=5),"NEW CUSTOMERS",AND(F3138&gt;=6,G3138&lt;=2,H3138&gt;=3),"PROMISING",AND(F3138&gt;=3,G3138&gt;=3,H3138&gt;=3),"NEED ATTENTION",AND(F3138&lt;=4,G3138&gt;=6,H3138&gt;=6),"AT RISK",AND(F3138&lt;=2,G3138&gt;=8,H3138&gt;=8),"CAN'T LOSE THEM",AND(F3138&lt;=2,G3138&lt;=2,H3138&lt;=2),"HIBERNATING",TRUE(),"Other")</f>
        <v>Other</v>
      </c>
      <c r="K3138" s="1" t="n">
        <f aca="false">RANK(E3138,$E$7:$E$4378)+COUNTIF($E$7:E3138,E3138)-1</f>
        <v>2626</v>
      </c>
    </row>
    <row r="3139" customFormat="false" ht="14.25" hidden="false" customHeight="true" outlineLevel="0" collapsed="false">
      <c r="A3139" s="51" t="n">
        <v>16587</v>
      </c>
      <c r="B3139" s="53" t="n">
        <v>40654.6604166667</v>
      </c>
      <c r="C3139" s="57" t="n">
        <f aca="false">INT($C$2)-INT(Table3[[#This Row],[Last Purchase Date]])</f>
        <v>233</v>
      </c>
      <c r="D3139" s="1" t="n">
        <v>1</v>
      </c>
      <c r="E3139" s="1" t="n">
        <v>225.15</v>
      </c>
      <c r="F3139" s="1" t="n">
        <f aca="false">ROUND((1-_xlfn.PERCENTRANK.INC($C$7:$C$4378,C3139))*9,0)</f>
        <v>1</v>
      </c>
      <c r="G3139" s="1" t="n">
        <f aca="false">ROUND(_xlfn.PERCENTRANK.INC($D$7:$D$4378,D3139)*9,0)</f>
        <v>0</v>
      </c>
      <c r="H3139" s="1" t="n">
        <f aca="false">ROUND(_xlfn.PERCENTRANK.INC($E$7:$E$4378,E3139)*9,0)</f>
        <v>2</v>
      </c>
      <c r="I3139" s="1" t="str">
        <f aca="false">CONCATENATE(F3139,G3139,H3139)</f>
        <v>102</v>
      </c>
      <c r="J3139" s="1" t="str">
        <f aca="false">_xlfn.IFS(AND(F3139&gt;=8,G3139&gt;=8,H3139&gt;=8),"CHAMPION",AND(F3139&gt;=6,G3139&gt;=7,H3139&gt;=6),"LOYAL CUSTOMER",AND(F3139&gt;=6,G3139&gt;=5,H3139&gt;=5),"POTENTIAL LOYALIST",AND(F3139&gt;=8,G3139&lt;=2,H3139&gt;=5),"NEW CUSTOMERS",AND(F3139&gt;=6,G3139&lt;=2,H3139&gt;=3),"PROMISING",AND(F3139&gt;=3,G3139&gt;=3,H3139&gt;=3),"NEED ATTENTION",AND(F3139&lt;=4,G3139&gt;=6,H3139&gt;=6),"AT RISK",AND(F3139&lt;=2,G3139&gt;=8,H3139&gt;=8),"CAN'T LOSE THEM",AND(F3139&lt;=2,G3139&lt;=2,H3139&lt;=2),"HIBERNATING",TRUE(),"Other")</f>
        <v>HIBERNATING</v>
      </c>
      <c r="K3139" s="1" t="n">
        <f aca="false">RANK(E3139,$E$7:$E$4378)+COUNTIF($E$7:E3139,E3139)-1</f>
        <v>3540</v>
      </c>
    </row>
    <row r="3140" customFormat="false" ht="14.25" hidden="false" customHeight="true" outlineLevel="0" collapsed="false">
      <c r="A3140" s="51" t="n">
        <v>16589</v>
      </c>
      <c r="B3140" s="53" t="n">
        <v>40815.6180555556</v>
      </c>
      <c r="C3140" s="57" t="n">
        <f aca="false">INT($C$2)-INT(Table3[[#This Row],[Last Purchase Date]])</f>
        <v>72</v>
      </c>
      <c r="D3140" s="1" t="n">
        <v>3</v>
      </c>
      <c r="E3140" s="1" t="n">
        <v>459.24</v>
      </c>
      <c r="F3140" s="1" t="n">
        <f aca="false">ROUND((1-_xlfn.PERCENTRANK.INC($C$7:$C$4378,C3140))*9,0)</f>
        <v>4</v>
      </c>
      <c r="G3140" s="1" t="n">
        <f aca="false">ROUND(_xlfn.PERCENTRANK.INC($D$7:$D$4378,D3140)*9,0)</f>
        <v>4</v>
      </c>
      <c r="H3140" s="1" t="n">
        <f aca="false">ROUND(_xlfn.PERCENTRANK.INC($E$7:$E$4378,E3140)*9,0)</f>
        <v>4</v>
      </c>
      <c r="I3140" s="1" t="str">
        <f aca="false">CONCATENATE(F3140,G3140,H3140)</f>
        <v>444</v>
      </c>
      <c r="J3140" s="1" t="str">
        <f aca="false">_xlfn.IFS(AND(F3140&gt;=8,G3140&gt;=8,H3140&gt;=8),"CHAMPION",AND(F3140&gt;=6,G3140&gt;=7,H3140&gt;=6),"LOYAL CUSTOMER",AND(F3140&gt;=6,G3140&gt;=5,H3140&gt;=5),"POTENTIAL LOYALIST",AND(F3140&gt;=8,G3140&lt;=2,H3140&gt;=5),"NEW CUSTOMERS",AND(F3140&gt;=6,G3140&lt;=2,H3140&gt;=3),"PROMISING",AND(F3140&gt;=3,G3140&gt;=3,H3140&gt;=3),"NEED ATTENTION",AND(F3140&lt;=4,G3140&gt;=6,H3140&gt;=6),"AT RISK",AND(F3140&lt;=2,G3140&gt;=8,H3140&gt;=8),"CAN'T LOSE THEM",AND(F3140&lt;=2,G3140&lt;=2,H3140&lt;=2),"HIBERNATING",TRUE(),"Other")</f>
        <v>NEED ATTENTION</v>
      </c>
      <c r="K3140" s="1" t="n">
        <f aca="false">RANK(E3140,$E$7:$E$4378)+COUNTIF($E$7:E3140,E3140)-1</f>
        <v>2643</v>
      </c>
    </row>
    <row r="3141" customFormat="false" ht="14.25" hidden="false" customHeight="true" outlineLevel="0" collapsed="false">
      <c r="A3141" s="51" t="n">
        <v>16591</v>
      </c>
      <c r="B3141" s="53" t="n">
        <v>40818.4465277778</v>
      </c>
      <c r="C3141" s="57" t="n">
        <f aca="false">INT($C$2)-INT(Table3[[#This Row],[Last Purchase Date]])</f>
        <v>69</v>
      </c>
      <c r="D3141" s="1" t="n">
        <v>1</v>
      </c>
      <c r="E3141" s="1" t="n">
        <v>213.5</v>
      </c>
      <c r="F3141" s="1" t="n">
        <f aca="false">ROUND((1-_xlfn.PERCENTRANK.INC($C$7:$C$4378,C3141))*9,0)</f>
        <v>4</v>
      </c>
      <c r="G3141" s="1" t="n">
        <f aca="false">ROUND(_xlfn.PERCENTRANK.INC($D$7:$D$4378,D3141)*9,0)</f>
        <v>0</v>
      </c>
      <c r="H3141" s="1" t="n">
        <f aca="false">ROUND(_xlfn.PERCENTRANK.INC($E$7:$E$4378,E3141)*9,0)</f>
        <v>2</v>
      </c>
      <c r="I3141" s="1" t="str">
        <f aca="false">CONCATENATE(F3141,G3141,H3141)</f>
        <v>402</v>
      </c>
      <c r="J3141" s="1" t="str">
        <f aca="false">_xlfn.IFS(AND(F3141&gt;=8,G3141&gt;=8,H3141&gt;=8),"CHAMPION",AND(F3141&gt;=6,G3141&gt;=7,H3141&gt;=6),"LOYAL CUSTOMER",AND(F3141&gt;=6,G3141&gt;=5,H3141&gt;=5),"POTENTIAL LOYALIST",AND(F3141&gt;=8,G3141&lt;=2,H3141&gt;=5),"NEW CUSTOMERS",AND(F3141&gt;=6,G3141&lt;=2,H3141&gt;=3),"PROMISING",AND(F3141&gt;=3,G3141&gt;=3,H3141&gt;=3),"NEED ATTENTION",AND(F3141&lt;=4,G3141&gt;=6,H3141&gt;=6),"AT RISK",AND(F3141&lt;=2,G3141&gt;=8,H3141&gt;=8),"CAN'T LOSE THEM",AND(F3141&lt;=2,G3141&lt;=2,H3141&lt;=2),"HIBERNATING",TRUE(),"Other")</f>
        <v>Other</v>
      </c>
      <c r="K3141" s="1" t="n">
        <f aca="false">RANK(E3141,$E$7:$E$4378)+COUNTIF($E$7:E3141,E3141)-1</f>
        <v>3600</v>
      </c>
    </row>
    <row r="3142" customFormat="false" ht="14.25" hidden="false" customHeight="true" outlineLevel="0" collapsed="false">
      <c r="A3142" s="51" t="n">
        <v>16592</v>
      </c>
      <c r="B3142" s="53" t="n">
        <v>40882.5756944444</v>
      </c>
      <c r="C3142" s="57" t="n">
        <f aca="false">INT($C$2)-INT(Table3[[#This Row],[Last Purchase Date]])</f>
        <v>5</v>
      </c>
      <c r="D3142" s="1" t="n">
        <v>19</v>
      </c>
      <c r="E3142" s="1" t="n">
        <v>4073.28</v>
      </c>
      <c r="F3142" s="1" t="n">
        <f aca="false">ROUND((1-_xlfn.PERCENTRANK.INC($C$7:$C$4378,C3142))*9,0)</f>
        <v>8</v>
      </c>
      <c r="G3142" s="1" t="n">
        <f aca="false">ROUND(_xlfn.PERCENTRANK.INC($D$7:$D$4378,D3142)*9,0)</f>
        <v>9</v>
      </c>
      <c r="H3142" s="1" t="n">
        <f aca="false">ROUND(_xlfn.PERCENTRANK.INC($E$7:$E$4378,E3142)*9,0)</f>
        <v>8</v>
      </c>
      <c r="I3142" s="1" t="str">
        <f aca="false">CONCATENATE(F3142,G3142,H3142)</f>
        <v>898</v>
      </c>
      <c r="J3142" s="1" t="str">
        <f aca="false">_xlfn.IFS(AND(F3142&gt;=8,G3142&gt;=8,H3142&gt;=8),"CHAMPION",AND(F3142&gt;=6,G3142&gt;=7,H3142&gt;=6),"LOYAL CUSTOMER",AND(F3142&gt;=6,G3142&gt;=5,H3142&gt;=5),"POTENTIAL LOYALIST",AND(F3142&gt;=8,G3142&lt;=2,H3142&gt;=5),"NEW CUSTOMERS",AND(F3142&gt;=6,G3142&lt;=2,H3142&gt;=3),"PROMISING",AND(F3142&gt;=3,G3142&gt;=3,H3142&gt;=3),"NEED ATTENTION",AND(F3142&lt;=4,G3142&gt;=6,H3142&gt;=6),"AT RISK",AND(F3142&lt;=2,G3142&gt;=8,H3142&gt;=8),"CAN'T LOSE THEM",AND(F3142&lt;=2,G3142&lt;=2,H3142&lt;=2),"HIBERNATING",TRUE(),"Other")</f>
        <v>CHAMPION</v>
      </c>
      <c r="K3142" s="1" t="n">
        <f aca="false">RANK(E3142,$E$7:$E$4378)+COUNTIF($E$7:E3142,E3142)-1</f>
        <v>342</v>
      </c>
    </row>
    <row r="3143" customFormat="false" ht="14.25" hidden="false" customHeight="true" outlineLevel="0" collapsed="false">
      <c r="A3143" s="51" t="n">
        <v>16593</v>
      </c>
      <c r="B3143" s="53" t="n">
        <v>40836.5284722222</v>
      </c>
      <c r="C3143" s="57" t="n">
        <f aca="false">INT($C$2)-INT(Table3[[#This Row],[Last Purchase Date]])</f>
        <v>51</v>
      </c>
      <c r="D3143" s="1" t="n">
        <v>3</v>
      </c>
      <c r="E3143" s="1" t="n">
        <v>330.03</v>
      </c>
      <c r="F3143" s="1" t="n">
        <f aca="false">ROUND((1-_xlfn.PERCENTRANK.INC($C$7:$C$4378,C3143))*9,0)</f>
        <v>5</v>
      </c>
      <c r="G3143" s="1" t="n">
        <f aca="false">ROUND(_xlfn.PERCENTRANK.INC($D$7:$D$4378,D3143)*9,0)</f>
        <v>4</v>
      </c>
      <c r="H3143" s="1" t="n">
        <f aca="false">ROUND(_xlfn.PERCENTRANK.INC($E$7:$E$4378,E3143)*9,0)</f>
        <v>3</v>
      </c>
      <c r="I3143" s="1" t="str">
        <f aca="false">CONCATENATE(F3143,G3143,H3143)</f>
        <v>543</v>
      </c>
      <c r="J3143" s="1" t="str">
        <f aca="false">_xlfn.IFS(AND(F3143&gt;=8,G3143&gt;=8,H3143&gt;=8),"CHAMPION",AND(F3143&gt;=6,G3143&gt;=7,H3143&gt;=6),"LOYAL CUSTOMER",AND(F3143&gt;=6,G3143&gt;=5,H3143&gt;=5),"POTENTIAL LOYALIST",AND(F3143&gt;=8,G3143&lt;=2,H3143&gt;=5),"NEW CUSTOMERS",AND(F3143&gt;=6,G3143&lt;=2,H3143&gt;=3),"PROMISING",AND(F3143&gt;=3,G3143&gt;=3,H3143&gt;=3),"NEED ATTENTION",AND(F3143&lt;=4,G3143&gt;=6,H3143&gt;=6),"AT RISK",AND(F3143&lt;=2,G3143&gt;=8,H3143&gt;=8),"CAN'T LOSE THEM",AND(F3143&lt;=2,G3143&lt;=2,H3143&lt;=2),"HIBERNATING",TRUE(),"Other")</f>
        <v>NEED ATTENTION</v>
      </c>
      <c r="K3143" s="1" t="n">
        <f aca="false">RANK(E3143,$E$7:$E$4378)+COUNTIF($E$7:E3143,E3143)-1</f>
        <v>3095</v>
      </c>
    </row>
    <row r="3144" customFormat="false" ht="14.25" hidden="false" customHeight="true" outlineLevel="0" collapsed="false">
      <c r="A3144" s="51" t="n">
        <v>16594</v>
      </c>
      <c r="B3144" s="53" t="n">
        <v>40811.5888888889</v>
      </c>
      <c r="C3144" s="57" t="n">
        <f aca="false">INT($C$2)-INT(Table3[[#This Row],[Last Purchase Date]])</f>
        <v>76</v>
      </c>
      <c r="D3144" s="1" t="n">
        <v>1</v>
      </c>
      <c r="E3144" s="1" t="n">
        <v>181.09</v>
      </c>
      <c r="F3144" s="1" t="n">
        <f aca="false">ROUND((1-_xlfn.PERCENTRANK.INC($C$7:$C$4378,C3144))*9,0)</f>
        <v>3</v>
      </c>
      <c r="G3144" s="1" t="n">
        <f aca="false">ROUND(_xlfn.PERCENTRANK.INC($D$7:$D$4378,D3144)*9,0)</f>
        <v>0</v>
      </c>
      <c r="H3144" s="1" t="n">
        <f aca="false">ROUND(_xlfn.PERCENTRANK.INC($E$7:$E$4378,E3144)*9,0)</f>
        <v>1</v>
      </c>
      <c r="I3144" s="1" t="str">
        <f aca="false">CONCATENATE(F3144,G3144,H3144)</f>
        <v>301</v>
      </c>
      <c r="J3144" s="1" t="str">
        <f aca="false">_xlfn.IFS(AND(F3144&gt;=8,G3144&gt;=8,H3144&gt;=8),"CHAMPION",AND(F3144&gt;=6,G3144&gt;=7,H3144&gt;=6),"LOYAL CUSTOMER",AND(F3144&gt;=6,G3144&gt;=5,H3144&gt;=5),"POTENTIAL LOYALIST",AND(F3144&gt;=8,G3144&lt;=2,H3144&gt;=5),"NEW CUSTOMERS",AND(F3144&gt;=6,G3144&lt;=2,H3144&gt;=3),"PROMISING",AND(F3144&gt;=3,G3144&gt;=3,H3144&gt;=3),"NEED ATTENTION",AND(F3144&lt;=4,G3144&gt;=6,H3144&gt;=6),"AT RISK",AND(F3144&lt;=2,G3144&gt;=8,H3144&gt;=8),"CAN'T LOSE THEM",AND(F3144&lt;=2,G3144&lt;=2,H3144&lt;=2),"HIBERNATING",TRUE(),"Other")</f>
        <v>Other</v>
      </c>
      <c r="K3144" s="1" t="n">
        <f aca="false">RANK(E3144,$E$7:$E$4378)+COUNTIF($E$7:E3144,E3144)-1</f>
        <v>3744</v>
      </c>
    </row>
    <row r="3145" customFormat="false" ht="14.25" hidden="false" customHeight="true" outlineLevel="0" collapsed="false">
      <c r="A3145" s="51" t="n">
        <v>16595</v>
      </c>
      <c r="B3145" s="53" t="n">
        <v>40825.5520833333</v>
      </c>
      <c r="C3145" s="57" t="n">
        <f aca="false">INT($C$2)-INT(Table3[[#This Row],[Last Purchase Date]])</f>
        <v>62</v>
      </c>
      <c r="D3145" s="1" t="n">
        <v>1</v>
      </c>
      <c r="E3145" s="1" t="n">
        <v>360.16</v>
      </c>
      <c r="F3145" s="1" t="n">
        <f aca="false">ROUND((1-_xlfn.PERCENTRANK.INC($C$7:$C$4378,C3145))*9,0)</f>
        <v>4</v>
      </c>
      <c r="G3145" s="1" t="n">
        <f aca="false">ROUND(_xlfn.PERCENTRANK.INC($D$7:$D$4378,D3145)*9,0)</f>
        <v>0</v>
      </c>
      <c r="H3145" s="1" t="n">
        <f aca="false">ROUND(_xlfn.PERCENTRANK.INC($E$7:$E$4378,E3145)*9,0)</f>
        <v>3</v>
      </c>
      <c r="I3145" s="1" t="str">
        <f aca="false">CONCATENATE(F3145,G3145,H3145)</f>
        <v>403</v>
      </c>
      <c r="J3145" s="1" t="str">
        <f aca="false">_xlfn.IFS(AND(F3145&gt;=8,G3145&gt;=8,H3145&gt;=8),"CHAMPION",AND(F3145&gt;=6,G3145&gt;=7,H3145&gt;=6),"LOYAL CUSTOMER",AND(F3145&gt;=6,G3145&gt;=5,H3145&gt;=5),"POTENTIAL LOYALIST",AND(F3145&gt;=8,G3145&lt;=2,H3145&gt;=5),"NEW CUSTOMERS",AND(F3145&gt;=6,G3145&lt;=2,H3145&gt;=3),"PROMISING",AND(F3145&gt;=3,G3145&gt;=3,H3145&gt;=3),"NEED ATTENTION",AND(F3145&lt;=4,G3145&gt;=6,H3145&gt;=6),"AT RISK",AND(F3145&lt;=2,G3145&gt;=8,H3145&gt;=8),"CAN'T LOSE THEM",AND(F3145&lt;=2,G3145&lt;=2,H3145&lt;=2),"HIBERNATING",TRUE(),"Other")</f>
        <v>Other</v>
      </c>
      <c r="K3145" s="1" t="n">
        <f aca="false">RANK(E3145,$E$7:$E$4378)+COUNTIF($E$7:E3145,E3145)-1</f>
        <v>2966</v>
      </c>
    </row>
    <row r="3146" customFormat="false" ht="14.25" hidden="false" customHeight="true" outlineLevel="0" collapsed="false">
      <c r="A3146" s="51" t="n">
        <v>16596</v>
      </c>
      <c r="B3146" s="53" t="n">
        <v>40871.4180555556</v>
      </c>
      <c r="C3146" s="57" t="n">
        <f aca="false">INT($C$2)-INT(Table3[[#This Row],[Last Purchase Date]])</f>
        <v>16</v>
      </c>
      <c r="D3146" s="1" t="n">
        <v>2</v>
      </c>
      <c r="E3146" s="1" t="n">
        <v>250.15</v>
      </c>
      <c r="F3146" s="1" t="n">
        <f aca="false">ROUND((1-_xlfn.PERCENTRANK.INC($C$7:$C$4378,C3146))*9,0)</f>
        <v>7</v>
      </c>
      <c r="G3146" s="1" t="n">
        <f aca="false">ROUND(_xlfn.PERCENTRANK.INC($D$7:$D$4378,D3146)*9,0)</f>
        <v>3</v>
      </c>
      <c r="H3146" s="1" t="n">
        <f aca="false">ROUND(_xlfn.PERCENTRANK.INC($E$7:$E$4378,E3146)*9,0)</f>
        <v>2</v>
      </c>
      <c r="I3146" s="1" t="str">
        <f aca="false">CONCATENATE(F3146,G3146,H3146)</f>
        <v>732</v>
      </c>
      <c r="J3146" s="1" t="str">
        <f aca="false">_xlfn.IFS(AND(F3146&gt;=8,G3146&gt;=8,H3146&gt;=8),"CHAMPION",AND(F3146&gt;=6,G3146&gt;=7,H3146&gt;=6),"LOYAL CUSTOMER",AND(F3146&gt;=6,G3146&gt;=5,H3146&gt;=5),"POTENTIAL LOYALIST",AND(F3146&gt;=8,G3146&lt;=2,H3146&gt;=5),"NEW CUSTOMERS",AND(F3146&gt;=6,G3146&lt;=2,H3146&gt;=3),"PROMISING",AND(F3146&gt;=3,G3146&gt;=3,H3146&gt;=3),"NEED ATTENTION",AND(F3146&lt;=4,G3146&gt;=6,H3146&gt;=6),"AT RISK",AND(F3146&lt;=2,G3146&gt;=8,H3146&gt;=8),"CAN'T LOSE THEM",AND(F3146&lt;=2,G3146&lt;=2,H3146&lt;=2),"HIBERNATING",TRUE(),"Other")</f>
        <v>Other</v>
      </c>
      <c r="K3146" s="1" t="n">
        <f aca="false">RANK(E3146,$E$7:$E$4378)+COUNTIF($E$7:E3146,E3146)-1</f>
        <v>3437</v>
      </c>
    </row>
    <row r="3147" customFormat="false" ht="14.25" hidden="false" customHeight="true" outlineLevel="0" collapsed="false">
      <c r="A3147" s="51" t="n">
        <v>16597</v>
      </c>
      <c r="B3147" s="53" t="n">
        <v>40882.6555555556</v>
      </c>
      <c r="C3147" s="57" t="n">
        <f aca="false">INT($C$2)-INT(Table3[[#This Row],[Last Purchase Date]])</f>
        <v>5</v>
      </c>
      <c r="D3147" s="1" t="n">
        <v>1</v>
      </c>
      <c r="E3147" s="1" t="n">
        <v>90.04</v>
      </c>
      <c r="F3147" s="1" t="n">
        <f aca="false">ROUND((1-_xlfn.PERCENTRANK.INC($C$7:$C$4378,C3147))*9,0)</f>
        <v>8</v>
      </c>
      <c r="G3147" s="1" t="n">
        <f aca="false">ROUND(_xlfn.PERCENTRANK.INC($D$7:$D$4378,D3147)*9,0)</f>
        <v>0</v>
      </c>
      <c r="H3147" s="1" t="n">
        <f aca="false">ROUND(_xlfn.PERCENTRANK.INC($E$7:$E$4378,E3147)*9,0)</f>
        <v>0</v>
      </c>
      <c r="I3147" s="1" t="str">
        <f aca="false">CONCATENATE(F3147,G3147,H3147)</f>
        <v>800</v>
      </c>
      <c r="J3147" s="1" t="str">
        <f aca="false">_xlfn.IFS(AND(F3147&gt;=8,G3147&gt;=8,H3147&gt;=8),"CHAMPION",AND(F3147&gt;=6,G3147&gt;=7,H3147&gt;=6),"LOYAL CUSTOMER",AND(F3147&gt;=6,G3147&gt;=5,H3147&gt;=5),"POTENTIAL LOYALIST",AND(F3147&gt;=8,G3147&lt;=2,H3147&gt;=5),"NEW CUSTOMERS",AND(F3147&gt;=6,G3147&lt;=2,H3147&gt;=3),"PROMISING",AND(F3147&gt;=3,G3147&gt;=3,H3147&gt;=3),"NEED ATTENTION",AND(F3147&lt;=4,G3147&gt;=6,H3147&gt;=6),"AT RISK",AND(F3147&lt;=2,G3147&gt;=8,H3147&gt;=8),"CAN'T LOSE THEM",AND(F3147&lt;=2,G3147&lt;=2,H3147&lt;=2),"HIBERNATING",TRUE(),"Other")</f>
        <v>Other</v>
      </c>
      <c r="K3147" s="1" t="n">
        <f aca="false">RANK(E3147,$E$7:$E$4378)+COUNTIF($E$7:E3147,E3147)-1</f>
        <v>4194</v>
      </c>
    </row>
    <row r="3148" customFormat="false" ht="14.25" hidden="false" customHeight="true" outlineLevel="0" collapsed="false">
      <c r="A3148" s="51" t="n">
        <v>16598</v>
      </c>
      <c r="B3148" s="53" t="n">
        <v>40609.5708333333</v>
      </c>
      <c r="C3148" s="57" t="n">
        <f aca="false">INT($C$2)-INT(Table3[[#This Row],[Last Purchase Date]])</f>
        <v>278</v>
      </c>
      <c r="D3148" s="1" t="n">
        <v>2</v>
      </c>
      <c r="E3148" s="1" t="n">
        <v>140.7</v>
      </c>
      <c r="F3148" s="1" t="n">
        <f aca="false">ROUND((1-_xlfn.PERCENTRANK.INC($C$7:$C$4378,C3148))*9,0)</f>
        <v>1</v>
      </c>
      <c r="G3148" s="1" t="n">
        <f aca="false">ROUND(_xlfn.PERCENTRANK.INC($D$7:$D$4378,D3148)*9,0)</f>
        <v>3</v>
      </c>
      <c r="H3148" s="1" t="n">
        <f aca="false">ROUND(_xlfn.PERCENTRANK.INC($E$7:$E$4378,E3148)*9,0)</f>
        <v>1</v>
      </c>
      <c r="I3148" s="1" t="str">
        <f aca="false">CONCATENATE(F3148,G3148,H3148)</f>
        <v>131</v>
      </c>
      <c r="J3148" s="1" t="str">
        <f aca="false">_xlfn.IFS(AND(F3148&gt;=8,G3148&gt;=8,H3148&gt;=8),"CHAMPION",AND(F3148&gt;=6,G3148&gt;=7,H3148&gt;=6),"LOYAL CUSTOMER",AND(F3148&gt;=6,G3148&gt;=5,H3148&gt;=5),"POTENTIAL LOYALIST",AND(F3148&gt;=8,G3148&lt;=2,H3148&gt;=5),"NEW CUSTOMERS",AND(F3148&gt;=6,G3148&lt;=2,H3148&gt;=3),"PROMISING",AND(F3148&gt;=3,G3148&gt;=3,H3148&gt;=3),"NEED ATTENTION",AND(F3148&lt;=4,G3148&gt;=6,H3148&gt;=6),"AT RISK",AND(F3148&lt;=2,G3148&gt;=8,H3148&gt;=8),"CAN'T LOSE THEM",AND(F3148&lt;=2,G3148&lt;=2,H3148&lt;=2),"HIBERNATING",TRUE(),"Other")</f>
        <v>Other</v>
      </c>
      <c r="K3148" s="1" t="n">
        <f aca="false">RANK(E3148,$E$7:$E$4378)+COUNTIF($E$7:E3148,E3148)-1</f>
        <v>3953</v>
      </c>
    </row>
    <row r="3149" customFormat="false" ht="14.25" hidden="false" customHeight="true" outlineLevel="0" collapsed="false">
      <c r="A3149" s="51" t="n">
        <v>16600</v>
      </c>
      <c r="B3149" s="53" t="n">
        <v>40882.6666666667</v>
      </c>
      <c r="C3149" s="57" t="n">
        <f aca="false">INT($C$2)-INT(Table3[[#This Row],[Last Purchase Date]])</f>
        <v>5</v>
      </c>
      <c r="D3149" s="1" t="n">
        <v>6</v>
      </c>
      <c r="E3149" s="1" t="n">
        <v>813.52</v>
      </c>
      <c r="F3149" s="1" t="n">
        <f aca="false">ROUND((1-_xlfn.PERCENTRANK.INC($C$7:$C$4378,C3149))*9,0)</f>
        <v>8</v>
      </c>
      <c r="G3149" s="1" t="n">
        <f aca="false">ROUND(_xlfn.PERCENTRANK.INC($D$7:$D$4378,D3149)*9,0)</f>
        <v>7</v>
      </c>
      <c r="H3149" s="1" t="n">
        <f aca="false">ROUND(_xlfn.PERCENTRANK.INC($E$7:$E$4378,E3149)*9,0)</f>
        <v>5</v>
      </c>
      <c r="I3149" s="1" t="str">
        <f aca="false">CONCATENATE(F3149,G3149,H3149)</f>
        <v>875</v>
      </c>
      <c r="J3149" s="1" t="str">
        <f aca="false">_xlfn.IFS(AND(F3149&gt;=8,G3149&gt;=8,H3149&gt;=8),"CHAMPION",AND(F3149&gt;=6,G3149&gt;=7,H3149&gt;=6),"LOYAL CUSTOMER",AND(F3149&gt;=6,G3149&gt;=5,H3149&gt;=5),"POTENTIAL LOYALIST",AND(F3149&gt;=8,G3149&lt;=2,H3149&gt;=5),"NEW CUSTOMERS",AND(F3149&gt;=6,G3149&lt;=2,H3149&gt;=3),"PROMISING",AND(F3149&gt;=3,G3149&gt;=3,H3149&gt;=3),"NEED ATTENTION",AND(F3149&lt;=4,G3149&gt;=6,H3149&gt;=6),"AT RISK",AND(F3149&lt;=2,G3149&gt;=8,H3149&gt;=8),"CAN'T LOSE THEM",AND(F3149&lt;=2,G3149&lt;=2,H3149&lt;=2),"HIBERNATING",TRUE(),"Other")</f>
        <v>POTENTIAL LOYALIST</v>
      </c>
      <c r="K3149" s="1" t="n">
        <f aca="false">RANK(E3149,$E$7:$E$4378)+COUNTIF($E$7:E3149,E3149)-1</f>
        <v>1876</v>
      </c>
    </row>
    <row r="3150" customFormat="false" ht="14.25" hidden="false" customHeight="true" outlineLevel="0" collapsed="false">
      <c r="A3150" s="51" t="n">
        <v>16601</v>
      </c>
      <c r="B3150" s="53" t="n">
        <v>40846.4645833333</v>
      </c>
      <c r="C3150" s="57" t="n">
        <f aca="false">INT($C$2)-INT(Table3[[#This Row],[Last Purchase Date]])</f>
        <v>41</v>
      </c>
      <c r="D3150" s="1" t="n">
        <v>1</v>
      </c>
      <c r="E3150" s="1" t="n">
        <v>244.8</v>
      </c>
      <c r="F3150" s="1" t="n">
        <f aca="false">ROUND((1-_xlfn.PERCENTRANK.INC($C$7:$C$4378,C3150))*9,0)</f>
        <v>5</v>
      </c>
      <c r="G3150" s="1" t="n">
        <f aca="false">ROUND(_xlfn.PERCENTRANK.INC($D$7:$D$4378,D3150)*9,0)</f>
        <v>0</v>
      </c>
      <c r="H3150" s="1" t="n">
        <f aca="false">ROUND(_xlfn.PERCENTRANK.INC($E$7:$E$4378,E3150)*9,0)</f>
        <v>2</v>
      </c>
      <c r="I3150" s="1" t="str">
        <f aca="false">CONCATENATE(F3150,G3150,H3150)</f>
        <v>502</v>
      </c>
      <c r="J3150" s="1" t="str">
        <f aca="false">_xlfn.IFS(AND(F3150&gt;=8,G3150&gt;=8,H3150&gt;=8),"CHAMPION",AND(F3150&gt;=6,G3150&gt;=7,H3150&gt;=6),"LOYAL CUSTOMER",AND(F3150&gt;=6,G3150&gt;=5,H3150&gt;=5),"POTENTIAL LOYALIST",AND(F3150&gt;=8,G3150&lt;=2,H3150&gt;=5),"NEW CUSTOMERS",AND(F3150&gt;=6,G3150&lt;=2,H3150&gt;=3),"PROMISING",AND(F3150&gt;=3,G3150&gt;=3,H3150&gt;=3),"NEED ATTENTION",AND(F3150&lt;=4,G3150&gt;=6,H3150&gt;=6),"AT RISK",AND(F3150&lt;=2,G3150&gt;=8,H3150&gt;=8),"CAN'T LOSE THEM",AND(F3150&lt;=2,G3150&lt;=2,H3150&lt;=2),"HIBERNATING",TRUE(),"Other")</f>
        <v>Other</v>
      </c>
      <c r="K3150" s="1" t="n">
        <f aca="false">RANK(E3150,$E$7:$E$4378)+COUNTIF($E$7:E3150,E3150)-1</f>
        <v>3460</v>
      </c>
    </row>
    <row r="3151" customFormat="false" ht="14.25" hidden="false" customHeight="true" outlineLevel="0" collapsed="false">
      <c r="A3151" s="51" t="n">
        <v>16602</v>
      </c>
      <c r="B3151" s="53" t="n">
        <v>40855.6791666667</v>
      </c>
      <c r="C3151" s="57" t="n">
        <f aca="false">INT($C$2)-INT(Table3[[#This Row],[Last Purchase Date]])</f>
        <v>32</v>
      </c>
      <c r="D3151" s="1" t="n">
        <v>2</v>
      </c>
      <c r="E3151" s="1" t="n">
        <v>494.73</v>
      </c>
      <c r="F3151" s="1" t="n">
        <f aca="false">ROUND((1-_xlfn.PERCENTRANK.INC($C$7:$C$4378,C3151))*9,0)</f>
        <v>5</v>
      </c>
      <c r="G3151" s="1" t="n">
        <f aca="false">ROUND(_xlfn.PERCENTRANK.INC($D$7:$D$4378,D3151)*9,0)</f>
        <v>3</v>
      </c>
      <c r="H3151" s="1" t="n">
        <f aca="false">ROUND(_xlfn.PERCENTRANK.INC($E$7:$E$4378,E3151)*9,0)</f>
        <v>4</v>
      </c>
      <c r="I3151" s="1" t="str">
        <f aca="false">CONCATENATE(F3151,G3151,H3151)</f>
        <v>534</v>
      </c>
      <c r="J3151" s="1" t="str">
        <f aca="false">_xlfn.IFS(AND(F3151&gt;=8,G3151&gt;=8,H3151&gt;=8),"CHAMPION",AND(F3151&gt;=6,G3151&gt;=7,H3151&gt;=6),"LOYAL CUSTOMER",AND(F3151&gt;=6,G3151&gt;=5,H3151&gt;=5),"POTENTIAL LOYALIST",AND(F3151&gt;=8,G3151&lt;=2,H3151&gt;=5),"NEW CUSTOMERS",AND(F3151&gt;=6,G3151&lt;=2,H3151&gt;=3),"PROMISING",AND(F3151&gt;=3,G3151&gt;=3,H3151&gt;=3),"NEED ATTENTION",AND(F3151&lt;=4,G3151&gt;=6,H3151&gt;=6),"AT RISK",AND(F3151&lt;=2,G3151&gt;=8,H3151&gt;=8),"CAN'T LOSE THEM",AND(F3151&lt;=2,G3151&lt;=2,H3151&lt;=2),"HIBERNATING",TRUE(),"Other")</f>
        <v>NEED ATTENTION</v>
      </c>
      <c r="K3151" s="1" t="n">
        <f aca="false">RANK(E3151,$E$7:$E$4378)+COUNTIF($E$7:E3151,E3151)-1</f>
        <v>2555</v>
      </c>
    </row>
    <row r="3152" customFormat="false" ht="14.25" hidden="false" customHeight="true" outlineLevel="0" collapsed="false">
      <c r="A3152" s="51" t="n">
        <v>16603</v>
      </c>
      <c r="B3152" s="53" t="n">
        <v>40812.4208333333</v>
      </c>
      <c r="C3152" s="57" t="n">
        <f aca="false">INT($C$2)-INT(Table3[[#This Row],[Last Purchase Date]])</f>
        <v>75</v>
      </c>
      <c r="D3152" s="1" t="n">
        <v>2</v>
      </c>
      <c r="E3152" s="1" t="n">
        <v>482.47</v>
      </c>
      <c r="F3152" s="1" t="n">
        <f aca="false">ROUND((1-_xlfn.PERCENTRANK.INC($C$7:$C$4378,C3152))*9,0)</f>
        <v>3</v>
      </c>
      <c r="G3152" s="1" t="n">
        <f aca="false">ROUND(_xlfn.PERCENTRANK.INC($D$7:$D$4378,D3152)*9,0)</f>
        <v>3</v>
      </c>
      <c r="H3152" s="1" t="n">
        <f aca="false">ROUND(_xlfn.PERCENTRANK.INC($E$7:$E$4378,E3152)*9,0)</f>
        <v>4</v>
      </c>
      <c r="I3152" s="1" t="str">
        <f aca="false">CONCATENATE(F3152,G3152,H3152)</f>
        <v>334</v>
      </c>
      <c r="J3152" s="1" t="str">
        <f aca="false">_xlfn.IFS(AND(F3152&gt;=8,G3152&gt;=8,H3152&gt;=8),"CHAMPION",AND(F3152&gt;=6,G3152&gt;=7,H3152&gt;=6),"LOYAL CUSTOMER",AND(F3152&gt;=6,G3152&gt;=5,H3152&gt;=5),"POTENTIAL LOYALIST",AND(F3152&gt;=8,G3152&lt;=2,H3152&gt;=5),"NEW CUSTOMERS",AND(F3152&gt;=6,G3152&lt;=2,H3152&gt;=3),"PROMISING",AND(F3152&gt;=3,G3152&gt;=3,H3152&gt;=3),"NEED ATTENTION",AND(F3152&lt;=4,G3152&gt;=6,H3152&gt;=6),"AT RISK",AND(F3152&lt;=2,G3152&gt;=8,H3152&gt;=8),"CAN'T LOSE THEM",AND(F3152&lt;=2,G3152&lt;=2,H3152&lt;=2),"HIBERNATING",TRUE(),"Other")</f>
        <v>NEED ATTENTION</v>
      </c>
      <c r="K3152" s="1" t="n">
        <f aca="false">RANK(E3152,$E$7:$E$4378)+COUNTIF($E$7:E3152,E3152)-1</f>
        <v>2591</v>
      </c>
    </row>
    <row r="3153" customFormat="false" ht="14.25" hidden="false" customHeight="true" outlineLevel="0" collapsed="false">
      <c r="A3153" s="51" t="n">
        <v>16607</v>
      </c>
      <c r="B3153" s="53" t="n">
        <v>40869.4333333333</v>
      </c>
      <c r="C3153" s="57" t="n">
        <f aca="false">INT($C$2)-INT(Table3[[#This Row],[Last Purchase Date]])</f>
        <v>18</v>
      </c>
      <c r="D3153" s="1" t="n">
        <v>16</v>
      </c>
      <c r="E3153" s="1" t="n">
        <v>3038.67</v>
      </c>
      <c r="F3153" s="1" t="n">
        <f aca="false">ROUND((1-_xlfn.PERCENTRANK.INC($C$7:$C$4378,C3153))*9,0)</f>
        <v>7</v>
      </c>
      <c r="G3153" s="1" t="n">
        <f aca="false">ROUND(_xlfn.PERCENTRANK.INC($D$7:$D$4378,D3153)*9,0)</f>
        <v>9</v>
      </c>
      <c r="H3153" s="1" t="n">
        <f aca="false">ROUND(_xlfn.PERCENTRANK.INC($E$7:$E$4378,E3153)*9,0)</f>
        <v>8</v>
      </c>
      <c r="I3153" s="1" t="str">
        <f aca="false">CONCATENATE(F3153,G3153,H3153)</f>
        <v>798</v>
      </c>
      <c r="J3153" s="1" t="str">
        <f aca="false">_xlfn.IFS(AND(F3153&gt;=8,G3153&gt;=8,H3153&gt;=8),"CHAMPION",AND(F3153&gt;=6,G3153&gt;=7,H3153&gt;=6),"LOYAL CUSTOMER",AND(F3153&gt;=6,G3153&gt;=5,H3153&gt;=5),"POTENTIAL LOYALIST",AND(F3153&gt;=8,G3153&lt;=2,H3153&gt;=5),"NEW CUSTOMERS",AND(F3153&gt;=6,G3153&lt;=2,H3153&gt;=3),"PROMISING",AND(F3153&gt;=3,G3153&gt;=3,H3153&gt;=3),"NEED ATTENTION",AND(F3153&lt;=4,G3153&gt;=6,H3153&gt;=6),"AT RISK",AND(F3153&lt;=2,G3153&gt;=8,H3153&gt;=8),"CAN'T LOSE THEM",AND(F3153&lt;=2,G3153&lt;=2,H3153&lt;=2),"HIBERNATING",TRUE(),"Other")</f>
        <v>LOYAL CUSTOMER</v>
      </c>
      <c r="K3153" s="1" t="n">
        <f aca="false">RANK(E3153,$E$7:$E$4378)+COUNTIF($E$7:E3153,E3153)-1</f>
        <v>531</v>
      </c>
    </row>
    <row r="3154" customFormat="false" ht="14.25" hidden="false" customHeight="true" outlineLevel="0" collapsed="false">
      <c r="A3154" s="51" t="n">
        <v>16609</v>
      </c>
      <c r="B3154" s="53" t="n">
        <v>40871.5638888889</v>
      </c>
      <c r="C3154" s="57" t="n">
        <f aca="false">INT($C$2)-INT(Table3[[#This Row],[Last Purchase Date]])</f>
        <v>16</v>
      </c>
      <c r="D3154" s="1" t="n">
        <v>9</v>
      </c>
      <c r="E3154" s="1" t="n">
        <v>5450.96000000001</v>
      </c>
      <c r="F3154" s="1" t="n">
        <f aca="false">ROUND((1-_xlfn.PERCENTRANK.INC($C$7:$C$4378,C3154))*9,0)</f>
        <v>7</v>
      </c>
      <c r="G3154" s="1" t="n">
        <f aca="false">ROUND(_xlfn.PERCENTRANK.INC($D$7:$D$4378,D3154)*9,0)</f>
        <v>8</v>
      </c>
      <c r="H3154" s="1" t="n">
        <f aca="false">ROUND(_xlfn.PERCENTRANK.INC($E$7:$E$4378,E3154)*9,0)</f>
        <v>9</v>
      </c>
      <c r="I3154" s="1" t="str">
        <f aca="false">CONCATENATE(F3154,G3154,H3154)</f>
        <v>789</v>
      </c>
      <c r="J3154" s="1" t="str">
        <f aca="false">_xlfn.IFS(AND(F3154&gt;=8,G3154&gt;=8,H3154&gt;=8),"CHAMPION",AND(F3154&gt;=6,G3154&gt;=7,H3154&gt;=6),"LOYAL CUSTOMER",AND(F3154&gt;=6,G3154&gt;=5,H3154&gt;=5),"POTENTIAL LOYALIST",AND(F3154&gt;=8,G3154&lt;=2,H3154&gt;=5),"NEW CUSTOMERS",AND(F3154&gt;=6,G3154&lt;=2,H3154&gt;=3),"PROMISING",AND(F3154&gt;=3,G3154&gt;=3,H3154&gt;=3),"NEED ATTENTION",AND(F3154&lt;=4,G3154&gt;=6,H3154&gt;=6),"AT RISK",AND(F3154&lt;=2,G3154&gt;=8,H3154&gt;=8),"CAN'T LOSE THEM",AND(F3154&lt;=2,G3154&lt;=2,H3154&lt;=2),"HIBERNATING",TRUE(),"Other")</f>
        <v>LOYAL CUSTOMER</v>
      </c>
      <c r="K3154" s="1" t="n">
        <f aca="false">RANK(E3154,$E$7:$E$4378)+COUNTIF($E$7:E3154,E3154)-1</f>
        <v>232</v>
      </c>
    </row>
    <row r="3155" customFormat="false" ht="14.25" hidden="false" customHeight="true" outlineLevel="0" collapsed="false">
      <c r="A3155" s="51" t="n">
        <v>16610</v>
      </c>
      <c r="B3155" s="53" t="n">
        <v>40667.5506944444</v>
      </c>
      <c r="C3155" s="57" t="n">
        <f aca="false">INT($C$2)-INT(Table3[[#This Row],[Last Purchase Date]])</f>
        <v>220</v>
      </c>
      <c r="D3155" s="1" t="n">
        <v>1</v>
      </c>
      <c r="E3155" s="1" t="n">
        <v>75.66</v>
      </c>
      <c r="F3155" s="1" t="n">
        <f aca="false">ROUND((1-_xlfn.PERCENTRANK.INC($C$7:$C$4378,C3155))*9,0)</f>
        <v>1</v>
      </c>
      <c r="G3155" s="1" t="n">
        <f aca="false">ROUND(_xlfn.PERCENTRANK.INC($D$7:$D$4378,D3155)*9,0)</f>
        <v>0</v>
      </c>
      <c r="H3155" s="1" t="n">
        <f aca="false">ROUND(_xlfn.PERCENTRANK.INC($E$7:$E$4378,E3155)*9,0)</f>
        <v>0</v>
      </c>
      <c r="I3155" s="1" t="str">
        <f aca="false">CONCATENATE(F3155,G3155,H3155)</f>
        <v>100</v>
      </c>
      <c r="J3155" s="1" t="str">
        <f aca="false">_xlfn.IFS(AND(F3155&gt;=8,G3155&gt;=8,H3155&gt;=8),"CHAMPION",AND(F3155&gt;=6,G3155&gt;=7,H3155&gt;=6),"LOYAL CUSTOMER",AND(F3155&gt;=6,G3155&gt;=5,H3155&gt;=5),"POTENTIAL LOYALIST",AND(F3155&gt;=8,G3155&lt;=2,H3155&gt;=5),"NEW CUSTOMERS",AND(F3155&gt;=6,G3155&lt;=2,H3155&gt;=3),"PROMISING",AND(F3155&gt;=3,G3155&gt;=3,H3155&gt;=3),"NEED ATTENTION",AND(F3155&lt;=4,G3155&gt;=6,H3155&gt;=6),"AT RISK",AND(F3155&lt;=2,G3155&gt;=8,H3155&gt;=8),"CAN'T LOSE THEM",AND(F3155&lt;=2,G3155&lt;=2,H3155&lt;=2),"HIBERNATING",TRUE(),"Other")</f>
        <v>HIBERNATING</v>
      </c>
      <c r="K3155" s="1" t="n">
        <f aca="false">RANK(E3155,$E$7:$E$4378)+COUNTIF($E$7:E3155,E3155)-1</f>
        <v>4234</v>
      </c>
    </row>
    <row r="3156" customFormat="false" ht="14.25" hidden="false" customHeight="true" outlineLevel="0" collapsed="false">
      <c r="A3156" s="51" t="n">
        <v>16611</v>
      </c>
      <c r="B3156" s="53" t="n">
        <v>40700.6569444445</v>
      </c>
      <c r="C3156" s="57" t="n">
        <f aca="false">INT($C$2)-INT(Table3[[#This Row],[Last Purchase Date]])</f>
        <v>187</v>
      </c>
      <c r="D3156" s="1" t="n">
        <v>2</v>
      </c>
      <c r="E3156" s="1" t="n">
        <v>120.99</v>
      </c>
      <c r="F3156" s="1" t="n">
        <f aca="false">ROUND((1-_xlfn.PERCENTRANK.INC($C$7:$C$4378,C3156))*9,0)</f>
        <v>2</v>
      </c>
      <c r="G3156" s="1" t="n">
        <f aca="false">ROUND(_xlfn.PERCENTRANK.INC($D$7:$D$4378,D3156)*9,0)</f>
        <v>3</v>
      </c>
      <c r="H3156" s="1" t="n">
        <f aca="false">ROUND(_xlfn.PERCENTRANK.INC($E$7:$E$4378,E3156)*9,0)</f>
        <v>1</v>
      </c>
      <c r="I3156" s="1" t="str">
        <f aca="false">CONCATENATE(F3156,G3156,H3156)</f>
        <v>231</v>
      </c>
      <c r="J3156" s="1" t="str">
        <f aca="false">_xlfn.IFS(AND(F3156&gt;=8,G3156&gt;=8,H3156&gt;=8),"CHAMPION",AND(F3156&gt;=6,G3156&gt;=7,H3156&gt;=6),"LOYAL CUSTOMER",AND(F3156&gt;=6,G3156&gt;=5,H3156&gt;=5),"POTENTIAL LOYALIST",AND(F3156&gt;=8,G3156&lt;=2,H3156&gt;=5),"NEW CUSTOMERS",AND(F3156&gt;=6,G3156&lt;=2,H3156&gt;=3),"PROMISING",AND(F3156&gt;=3,G3156&gt;=3,H3156&gt;=3),"NEED ATTENTION",AND(F3156&lt;=4,G3156&gt;=6,H3156&gt;=6),"AT RISK",AND(F3156&lt;=2,G3156&gt;=8,H3156&gt;=8),"CAN'T LOSE THEM",AND(F3156&lt;=2,G3156&lt;=2,H3156&lt;=2),"HIBERNATING",TRUE(),"Other")</f>
        <v>Other</v>
      </c>
      <c r="K3156" s="1" t="n">
        <f aca="false">RANK(E3156,$E$7:$E$4378)+COUNTIF($E$7:E3156,E3156)-1</f>
        <v>4046</v>
      </c>
    </row>
    <row r="3157" customFormat="false" ht="14.25" hidden="false" customHeight="true" outlineLevel="0" collapsed="false">
      <c r="A3157" s="51" t="n">
        <v>16612</v>
      </c>
      <c r="B3157" s="53" t="n">
        <v>40854.3180555556</v>
      </c>
      <c r="C3157" s="57" t="n">
        <f aca="false">INT($C$2)-INT(Table3[[#This Row],[Last Purchase Date]])</f>
        <v>33</v>
      </c>
      <c r="D3157" s="1" t="n">
        <v>4</v>
      </c>
      <c r="E3157" s="1" t="n">
        <v>1187.66</v>
      </c>
      <c r="F3157" s="1" t="n">
        <f aca="false">ROUND((1-_xlfn.PERCENTRANK.INC($C$7:$C$4378,C3157))*9,0)</f>
        <v>5</v>
      </c>
      <c r="G3157" s="1" t="n">
        <f aca="false">ROUND(_xlfn.PERCENTRANK.INC($D$7:$D$4378,D3157)*9,0)</f>
        <v>5</v>
      </c>
      <c r="H3157" s="1" t="n">
        <f aca="false">ROUND(_xlfn.PERCENTRANK.INC($E$7:$E$4378,E3157)*9,0)</f>
        <v>6</v>
      </c>
      <c r="I3157" s="1" t="str">
        <f aca="false">CONCATENATE(F3157,G3157,H3157)</f>
        <v>556</v>
      </c>
      <c r="J3157" s="1" t="str">
        <f aca="false">_xlfn.IFS(AND(F3157&gt;=8,G3157&gt;=8,H3157&gt;=8),"CHAMPION",AND(F3157&gt;=6,G3157&gt;=7,H3157&gt;=6),"LOYAL CUSTOMER",AND(F3157&gt;=6,G3157&gt;=5,H3157&gt;=5),"POTENTIAL LOYALIST",AND(F3157&gt;=8,G3157&lt;=2,H3157&gt;=5),"NEW CUSTOMERS",AND(F3157&gt;=6,G3157&lt;=2,H3157&gt;=3),"PROMISING",AND(F3157&gt;=3,G3157&gt;=3,H3157&gt;=3),"NEED ATTENTION",AND(F3157&lt;=4,G3157&gt;=6,H3157&gt;=6),"AT RISK",AND(F3157&lt;=2,G3157&gt;=8,H3157&gt;=8),"CAN'T LOSE THEM",AND(F3157&lt;=2,G3157&lt;=2,H3157&lt;=2),"HIBERNATING",TRUE(),"Other")</f>
        <v>NEED ATTENTION</v>
      </c>
      <c r="K3157" s="1" t="n">
        <f aca="false">RANK(E3157,$E$7:$E$4378)+COUNTIF($E$7:E3157,E3157)-1</f>
        <v>1422</v>
      </c>
    </row>
    <row r="3158" customFormat="false" ht="14.25" hidden="false" customHeight="true" outlineLevel="0" collapsed="false">
      <c r="A3158" s="51" t="n">
        <v>16613</v>
      </c>
      <c r="B3158" s="53" t="n">
        <v>40816.6611111111</v>
      </c>
      <c r="C3158" s="57" t="n">
        <f aca="false">INT($C$2)-INT(Table3[[#This Row],[Last Purchase Date]])</f>
        <v>71</v>
      </c>
      <c r="D3158" s="1" t="n">
        <v>1</v>
      </c>
      <c r="E3158" s="1" t="n">
        <v>618.59</v>
      </c>
      <c r="F3158" s="1" t="n">
        <f aca="false">ROUND((1-_xlfn.PERCENTRANK.INC($C$7:$C$4378,C3158))*9,0)</f>
        <v>4</v>
      </c>
      <c r="G3158" s="1" t="n">
        <f aca="false">ROUND(_xlfn.PERCENTRANK.INC($D$7:$D$4378,D3158)*9,0)</f>
        <v>0</v>
      </c>
      <c r="H3158" s="1" t="n">
        <f aca="false">ROUND(_xlfn.PERCENTRANK.INC($E$7:$E$4378,E3158)*9,0)</f>
        <v>4</v>
      </c>
      <c r="I3158" s="1" t="str">
        <f aca="false">CONCATENATE(F3158,G3158,H3158)</f>
        <v>404</v>
      </c>
      <c r="J3158" s="1" t="str">
        <f aca="false">_xlfn.IFS(AND(F3158&gt;=8,G3158&gt;=8,H3158&gt;=8),"CHAMPION",AND(F3158&gt;=6,G3158&gt;=7,H3158&gt;=6),"LOYAL CUSTOMER",AND(F3158&gt;=6,G3158&gt;=5,H3158&gt;=5),"POTENTIAL LOYALIST",AND(F3158&gt;=8,G3158&lt;=2,H3158&gt;=5),"NEW CUSTOMERS",AND(F3158&gt;=6,G3158&lt;=2,H3158&gt;=3),"PROMISING",AND(F3158&gt;=3,G3158&gt;=3,H3158&gt;=3),"NEED ATTENTION",AND(F3158&lt;=4,G3158&gt;=6,H3158&gt;=6),"AT RISK",AND(F3158&lt;=2,G3158&gt;=8,H3158&gt;=8),"CAN'T LOSE THEM",AND(F3158&lt;=2,G3158&lt;=2,H3158&lt;=2),"HIBERNATING",TRUE(),"Other")</f>
        <v>Other</v>
      </c>
      <c r="K3158" s="1" t="n">
        <f aca="false">RANK(E3158,$E$7:$E$4378)+COUNTIF($E$7:E3158,E3158)-1</f>
        <v>2260</v>
      </c>
    </row>
    <row r="3159" customFormat="false" ht="14.25" hidden="false" customHeight="true" outlineLevel="0" collapsed="false">
      <c r="A3159" s="51" t="n">
        <v>16614</v>
      </c>
      <c r="B3159" s="53" t="n">
        <v>40704.4833333333</v>
      </c>
      <c r="C3159" s="57" t="n">
        <f aca="false">INT($C$2)-INT(Table3[[#This Row],[Last Purchase Date]])</f>
        <v>183</v>
      </c>
      <c r="D3159" s="1" t="n">
        <v>1</v>
      </c>
      <c r="E3159" s="1" t="n">
        <v>506.19</v>
      </c>
      <c r="F3159" s="1" t="n">
        <f aca="false">ROUND((1-_xlfn.PERCENTRANK.INC($C$7:$C$4378,C3159))*9,0)</f>
        <v>2</v>
      </c>
      <c r="G3159" s="1" t="n">
        <f aca="false">ROUND(_xlfn.PERCENTRANK.INC($D$7:$D$4378,D3159)*9,0)</f>
        <v>0</v>
      </c>
      <c r="H3159" s="1" t="n">
        <f aca="false">ROUND(_xlfn.PERCENTRANK.INC($E$7:$E$4378,E3159)*9,0)</f>
        <v>4</v>
      </c>
      <c r="I3159" s="1" t="str">
        <f aca="false">CONCATENATE(F3159,G3159,H3159)</f>
        <v>204</v>
      </c>
      <c r="J3159" s="1" t="str">
        <f aca="false">_xlfn.IFS(AND(F3159&gt;=8,G3159&gt;=8,H3159&gt;=8),"CHAMPION",AND(F3159&gt;=6,G3159&gt;=7,H3159&gt;=6),"LOYAL CUSTOMER",AND(F3159&gt;=6,G3159&gt;=5,H3159&gt;=5),"POTENTIAL LOYALIST",AND(F3159&gt;=8,G3159&lt;=2,H3159&gt;=5),"NEW CUSTOMERS",AND(F3159&gt;=6,G3159&lt;=2,H3159&gt;=3),"PROMISING",AND(F3159&gt;=3,G3159&gt;=3,H3159&gt;=3),"NEED ATTENTION",AND(F3159&lt;=4,G3159&gt;=6,H3159&gt;=6),"AT RISK",AND(F3159&lt;=2,G3159&gt;=8,H3159&gt;=8),"CAN'T LOSE THEM",AND(F3159&lt;=2,G3159&lt;=2,H3159&lt;=2),"HIBERNATING",TRUE(),"Other")</f>
        <v>Other</v>
      </c>
      <c r="K3159" s="1" t="n">
        <f aca="false">RANK(E3159,$E$7:$E$4378)+COUNTIF($E$7:E3159,E3159)-1</f>
        <v>2530</v>
      </c>
    </row>
    <row r="3160" customFormat="false" ht="14.25" hidden="false" customHeight="true" outlineLevel="0" collapsed="false">
      <c r="A3160" s="51" t="n">
        <v>16616</v>
      </c>
      <c r="B3160" s="53" t="n">
        <v>40871.6881944445</v>
      </c>
      <c r="C3160" s="57" t="n">
        <f aca="false">INT($C$2)-INT(Table3[[#This Row],[Last Purchase Date]])</f>
        <v>16</v>
      </c>
      <c r="D3160" s="1" t="n">
        <v>2</v>
      </c>
      <c r="E3160" s="1" t="n">
        <v>500.42</v>
      </c>
      <c r="F3160" s="1" t="n">
        <f aca="false">ROUND((1-_xlfn.PERCENTRANK.INC($C$7:$C$4378,C3160))*9,0)</f>
        <v>7</v>
      </c>
      <c r="G3160" s="1" t="n">
        <f aca="false">ROUND(_xlfn.PERCENTRANK.INC($D$7:$D$4378,D3160)*9,0)</f>
        <v>3</v>
      </c>
      <c r="H3160" s="1" t="n">
        <f aca="false">ROUND(_xlfn.PERCENTRANK.INC($E$7:$E$4378,E3160)*9,0)</f>
        <v>4</v>
      </c>
      <c r="I3160" s="1" t="str">
        <f aca="false">CONCATENATE(F3160,G3160,H3160)</f>
        <v>734</v>
      </c>
      <c r="J3160" s="1" t="str">
        <f aca="false">_xlfn.IFS(AND(F3160&gt;=8,G3160&gt;=8,H3160&gt;=8),"CHAMPION",AND(F3160&gt;=6,G3160&gt;=7,H3160&gt;=6),"LOYAL CUSTOMER",AND(F3160&gt;=6,G3160&gt;=5,H3160&gt;=5),"POTENTIAL LOYALIST",AND(F3160&gt;=8,G3160&lt;=2,H3160&gt;=5),"NEW CUSTOMERS",AND(F3160&gt;=6,G3160&lt;=2,H3160&gt;=3),"PROMISING",AND(F3160&gt;=3,G3160&gt;=3,H3160&gt;=3),"NEED ATTENTION",AND(F3160&lt;=4,G3160&gt;=6,H3160&gt;=6),"AT RISK",AND(F3160&lt;=2,G3160&gt;=8,H3160&gt;=8),"CAN'T LOSE THEM",AND(F3160&lt;=2,G3160&lt;=2,H3160&lt;=2),"HIBERNATING",TRUE(),"Other")</f>
        <v>NEED ATTENTION</v>
      </c>
      <c r="K3160" s="1" t="n">
        <f aca="false">RANK(E3160,$E$7:$E$4378)+COUNTIF($E$7:E3160,E3160)-1</f>
        <v>2539</v>
      </c>
    </row>
    <row r="3161" customFormat="false" ht="14.25" hidden="false" customHeight="true" outlineLevel="0" collapsed="false">
      <c r="A3161" s="51" t="n">
        <v>16617</v>
      </c>
      <c r="B3161" s="53" t="n">
        <v>40651.4409722222</v>
      </c>
      <c r="C3161" s="57" t="n">
        <f aca="false">INT($C$2)-INT(Table3[[#This Row],[Last Purchase Date]])</f>
        <v>236</v>
      </c>
      <c r="D3161" s="1" t="n">
        <v>1</v>
      </c>
      <c r="E3161" s="1" t="n">
        <v>151.85</v>
      </c>
      <c r="F3161" s="1" t="n">
        <f aca="false">ROUND((1-_xlfn.PERCENTRANK.INC($C$7:$C$4378,C3161))*9,0)</f>
        <v>1</v>
      </c>
      <c r="G3161" s="1" t="n">
        <f aca="false">ROUND(_xlfn.PERCENTRANK.INC($D$7:$D$4378,D3161)*9,0)</f>
        <v>0</v>
      </c>
      <c r="H3161" s="1" t="n">
        <f aca="false">ROUND(_xlfn.PERCENTRANK.INC($E$7:$E$4378,E3161)*9,0)</f>
        <v>1</v>
      </c>
      <c r="I3161" s="1" t="str">
        <f aca="false">CONCATENATE(F3161,G3161,H3161)</f>
        <v>101</v>
      </c>
      <c r="J3161" s="1" t="str">
        <f aca="false">_xlfn.IFS(AND(F3161&gt;=8,G3161&gt;=8,H3161&gt;=8),"CHAMPION",AND(F3161&gt;=6,G3161&gt;=7,H3161&gt;=6),"LOYAL CUSTOMER",AND(F3161&gt;=6,G3161&gt;=5,H3161&gt;=5),"POTENTIAL LOYALIST",AND(F3161&gt;=8,G3161&lt;=2,H3161&gt;=5),"NEW CUSTOMERS",AND(F3161&gt;=6,G3161&lt;=2,H3161&gt;=3),"PROMISING",AND(F3161&gt;=3,G3161&gt;=3,H3161&gt;=3),"NEED ATTENTION",AND(F3161&lt;=4,G3161&gt;=6,H3161&gt;=6),"AT RISK",AND(F3161&lt;=2,G3161&gt;=8,H3161&gt;=8),"CAN'T LOSE THEM",AND(F3161&lt;=2,G3161&lt;=2,H3161&lt;=2),"HIBERNATING",TRUE(),"Other")</f>
        <v>HIBERNATING</v>
      </c>
      <c r="K3161" s="1" t="n">
        <f aca="false">RANK(E3161,$E$7:$E$4378)+COUNTIF($E$7:E3161,E3161)-1</f>
        <v>3909</v>
      </c>
    </row>
    <row r="3162" customFormat="false" ht="14.25" hidden="false" customHeight="true" outlineLevel="0" collapsed="false">
      <c r="A3162" s="51" t="n">
        <v>16618</v>
      </c>
      <c r="B3162" s="53" t="n">
        <v>40855.5777777778</v>
      </c>
      <c r="C3162" s="57" t="n">
        <f aca="false">INT($C$2)-INT(Table3[[#This Row],[Last Purchase Date]])</f>
        <v>32</v>
      </c>
      <c r="D3162" s="1" t="n">
        <v>6</v>
      </c>
      <c r="E3162" s="1" t="n">
        <v>2630.64</v>
      </c>
      <c r="F3162" s="1" t="n">
        <f aca="false">ROUND((1-_xlfn.PERCENTRANK.INC($C$7:$C$4378,C3162))*9,0)</f>
        <v>5</v>
      </c>
      <c r="G3162" s="1" t="n">
        <f aca="false">ROUND(_xlfn.PERCENTRANK.INC($D$7:$D$4378,D3162)*9,0)</f>
        <v>7</v>
      </c>
      <c r="H3162" s="1" t="n">
        <f aca="false">ROUND(_xlfn.PERCENTRANK.INC($E$7:$E$4378,E3162)*9,0)</f>
        <v>8</v>
      </c>
      <c r="I3162" s="1" t="str">
        <f aca="false">CONCATENATE(F3162,G3162,H3162)</f>
        <v>578</v>
      </c>
      <c r="J3162" s="1" t="str">
        <f aca="false">_xlfn.IFS(AND(F3162&gt;=8,G3162&gt;=8,H3162&gt;=8),"CHAMPION",AND(F3162&gt;=6,G3162&gt;=7,H3162&gt;=6),"LOYAL CUSTOMER",AND(F3162&gt;=6,G3162&gt;=5,H3162&gt;=5),"POTENTIAL LOYALIST",AND(F3162&gt;=8,G3162&lt;=2,H3162&gt;=5),"NEW CUSTOMERS",AND(F3162&gt;=6,G3162&lt;=2,H3162&gt;=3),"PROMISING",AND(F3162&gt;=3,G3162&gt;=3,H3162&gt;=3),"NEED ATTENTION",AND(F3162&lt;=4,G3162&gt;=6,H3162&gt;=6),"AT RISK",AND(F3162&lt;=2,G3162&gt;=8,H3162&gt;=8),"CAN'T LOSE THEM",AND(F3162&lt;=2,G3162&lt;=2,H3162&lt;=2),"HIBERNATING",TRUE(),"Other")</f>
        <v>NEED ATTENTION</v>
      </c>
      <c r="K3162" s="1" t="n">
        <f aca="false">RANK(E3162,$E$7:$E$4378)+COUNTIF($E$7:E3162,E3162)-1</f>
        <v>633</v>
      </c>
    </row>
    <row r="3163" customFormat="false" ht="14.25" hidden="false" customHeight="true" outlineLevel="0" collapsed="false">
      <c r="A3163" s="51" t="n">
        <v>16619</v>
      </c>
      <c r="B3163" s="53" t="n">
        <v>40633.5138888889</v>
      </c>
      <c r="C3163" s="57" t="n">
        <f aca="false">INT($C$2)-INT(Table3[[#This Row],[Last Purchase Date]])</f>
        <v>254</v>
      </c>
      <c r="D3163" s="1" t="n">
        <v>2</v>
      </c>
      <c r="E3163" s="1" t="n">
        <v>204.41</v>
      </c>
      <c r="F3163" s="1" t="n">
        <f aca="false">ROUND((1-_xlfn.PERCENTRANK.INC($C$7:$C$4378,C3163))*9,0)</f>
        <v>1</v>
      </c>
      <c r="G3163" s="1" t="n">
        <f aca="false">ROUND(_xlfn.PERCENTRANK.INC($D$7:$D$4378,D3163)*9,0)</f>
        <v>3</v>
      </c>
      <c r="H3163" s="1" t="n">
        <f aca="false">ROUND(_xlfn.PERCENTRANK.INC($E$7:$E$4378,E3163)*9,0)</f>
        <v>2</v>
      </c>
      <c r="I3163" s="1" t="str">
        <f aca="false">CONCATENATE(F3163,G3163,H3163)</f>
        <v>132</v>
      </c>
      <c r="J3163" s="1" t="str">
        <f aca="false">_xlfn.IFS(AND(F3163&gt;=8,G3163&gt;=8,H3163&gt;=8),"CHAMPION",AND(F3163&gt;=6,G3163&gt;=7,H3163&gt;=6),"LOYAL CUSTOMER",AND(F3163&gt;=6,G3163&gt;=5,H3163&gt;=5),"POTENTIAL LOYALIST",AND(F3163&gt;=8,G3163&lt;=2,H3163&gt;=5),"NEW CUSTOMERS",AND(F3163&gt;=6,G3163&lt;=2,H3163&gt;=3),"PROMISING",AND(F3163&gt;=3,G3163&gt;=3,H3163&gt;=3),"NEED ATTENTION",AND(F3163&lt;=4,G3163&gt;=6,H3163&gt;=6),"AT RISK",AND(F3163&lt;=2,G3163&gt;=8,H3163&gt;=8),"CAN'T LOSE THEM",AND(F3163&lt;=2,G3163&lt;=2,H3163&lt;=2),"HIBERNATING",TRUE(),"Other")</f>
        <v>Other</v>
      </c>
      <c r="K3163" s="1" t="n">
        <f aca="false">RANK(E3163,$E$7:$E$4378)+COUNTIF($E$7:E3163,E3163)-1</f>
        <v>3639</v>
      </c>
    </row>
    <row r="3164" customFormat="false" ht="14.25" hidden="false" customHeight="true" outlineLevel="0" collapsed="false">
      <c r="A3164" s="51" t="n">
        <v>16620</v>
      </c>
      <c r="B3164" s="53" t="n">
        <v>40883.5131944444</v>
      </c>
      <c r="C3164" s="57" t="n">
        <f aca="false">INT($C$2)-INT(Table3[[#This Row],[Last Purchase Date]])</f>
        <v>4</v>
      </c>
      <c r="D3164" s="1" t="n">
        <v>2</v>
      </c>
      <c r="E3164" s="1" t="n">
        <v>178.96</v>
      </c>
      <c r="F3164" s="1" t="n">
        <f aca="false">ROUND((1-_xlfn.PERCENTRANK.INC($C$7:$C$4378,C3164))*9,0)</f>
        <v>8</v>
      </c>
      <c r="G3164" s="1" t="n">
        <f aca="false">ROUND(_xlfn.PERCENTRANK.INC($D$7:$D$4378,D3164)*9,0)</f>
        <v>3</v>
      </c>
      <c r="H3164" s="1" t="n">
        <f aca="false">ROUND(_xlfn.PERCENTRANK.INC($E$7:$E$4378,E3164)*9,0)</f>
        <v>1</v>
      </c>
      <c r="I3164" s="1" t="str">
        <f aca="false">CONCATENATE(F3164,G3164,H3164)</f>
        <v>831</v>
      </c>
      <c r="J3164" s="1" t="str">
        <f aca="false">_xlfn.IFS(AND(F3164&gt;=8,G3164&gt;=8,H3164&gt;=8),"CHAMPION",AND(F3164&gt;=6,G3164&gt;=7,H3164&gt;=6),"LOYAL CUSTOMER",AND(F3164&gt;=6,G3164&gt;=5,H3164&gt;=5),"POTENTIAL LOYALIST",AND(F3164&gt;=8,G3164&lt;=2,H3164&gt;=5),"NEW CUSTOMERS",AND(F3164&gt;=6,G3164&lt;=2,H3164&gt;=3),"PROMISING",AND(F3164&gt;=3,G3164&gt;=3,H3164&gt;=3),"NEED ATTENTION",AND(F3164&lt;=4,G3164&gt;=6,H3164&gt;=6),"AT RISK",AND(F3164&lt;=2,G3164&gt;=8,H3164&gt;=8),"CAN'T LOSE THEM",AND(F3164&lt;=2,G3164&lt;=2,H3164&lt;=2),"HIBERNATING",TRUE(),"Other")</f>
        <v>Other</v>
      </c>
      <c r="K3164" s="1" t="n">
        <f aca="false">RANK(E3164,$E$7:$E$4378)+COUNTIF($E$7:E3164,E3164)-1</f>
        <v>3759</v>
      </c>
    </row>
    <row r="3165" customFormat="false" ht="14.25" hidden="false" customHeight="true" outlineLevel="0" collapsed="false">
      <c r="A3165" s="51" t="n">
        <v>16621</v>
      </c>
      <c r="B3165" s="53" t="n">
        <v>40835.4847222222</v>
      </c>
      <c r="C3165" s="57" t="n">
        <f aca="false">INT($C$2)-INT(Table3[[#This Row],[Last Purchase Date]])</f>
        <v>52</v>
      </c>
      <c r="D3165" s="1" t="n">
        <v>4</v>
      </c>
      <c r="E3165" s="1" t="n">
        <v>813.48</v>
      </c>
      <c r="F3165" s="1" t="n">
        <f aca="false">ROUND((1-_xlfn.PERCENTRANK.INC($C$7:$C$4378,C3165))*9,0)</f>
        <v>4</v>
      </c>
      <c r="G3165" s="1" t="n">
        <f aca="false">ROUND(_xlfn.PERCENTRANK.INC($D$7:$D$4378,D3165)*9,0)</f>
        <v>5</v>
      </c>
      <c r="H3165" s="1" t="n">
        <f aca="false">ROUND(_xlfn.PERCENTRANK.INC($E$7:$E$4378,E3165)*9,0)</f>
        <v>5</v>
      </c>
      <c r="I3165" s="1" t="str">
        <f aca="false">CONCATENATE(F3165,G3165,H3165)</f>
        <v>455</v>
      </c>
      <c r="J3165" s="1" t="str">
        <f aca="false">_xlfn.IFS(AND(F3165&gt;=8,G3165&gt;=8,H3165&gt;=8),"CHAMPION",AND(F3165&gt;=6,G3165&gt;=7,H3165&gt;=6),"LOYAL CUSTOMER",AND(F3165&gt;=6,G3165&gt;=5,H3165&gt;=5),"POTENTIAL LOYALIST",AND(F3165&gt;=8,G3165&lt;=2,H3165&gt;=5),"NEW CUSTOMERS",AND(F3165&gt;=6,G3165&lt;=2,H3165&gt;=3),"PROMISING",AND(F3165&gt;=3,G3165&gt;=3,H3165&gt;=3),"NEED ATTENTION",AND(F3165&lt;=4,G3165&gt;=6,H3165&gt;=6),"AT RISK",AND(F3165&lt;=2,G3165&gt;=8,H3165&gt;=8),"CAN'T LOSE THEM",AND(F3165&lt;=2,G3165&lt;=2,H3165&lt;=2),"HIBERNATING",TRUE(),"Other")</f>
        <v>NEED ATTENTION</v>
      </c>
      <c r="K3165" s="1" t="n">
        <f aca="false">RANK(E3165,$E$7:$E$4378)+COUNTIF($E$7:E3165,E3165)-1</f>
        <v>1877</v>
      </c>
    </row>
    <row r="3166" customFormat="false" ht="14.25" hidden="false" customHeight="true" outlineLevel="0" collapsed="false">
      <c r="A3166" s="51" t="n">
        <v>16623</v>
      </c>
      <c r="B3166" s="53" t="n">
        <v>40641.4229166667</v>
      </c>
      <c r="C3166" s="57" t="n">
        <f aca="false">INT($C$2)-INT(Table3[[#This Row],[Last Purchase Date]])</f>
        <v>246</v>
      </c>
      <c r="D3166" s="1" t="n">
        <v>1</v>
      </c>
      <c r="E3166" s="1" t="n">
        <v>129.45</v>
      </c>
      <c r="F3166" s="1" t="n">
        <f aca="false">ROUND((1-_xlfn.PERCENTRANK.INC($C$7:$C$4378,C3166))*9,0)</f>
        <v>1</v>
      </c>
      <c r="G3166" s="1" t="n">
        <f aca="false">ROUND(_xlfn.PERCENTRANK.INC($D$7:$D$4378,D3166)*9,0)</f>
        <v>0</v>
      </c>
      <c r="H3166" s="1" t="n">
        <f aca="false">ROUND(_xlfn.PERCENTRANK.INC($E$7:$E$4378,E3166)*9,0)</f>
        <v>1</v>
      </c>
      <c r="I3166" s="1" t="str">
        <f aca="false">CONCATENATE(F3166,G3166,H3166)</f>
        <v>101</v>
      </c>
      <c r="J3166" s="1" t="str">
        <f aca="false">_xlfn.IFS(AND(F3166&gt;=8,G3166&gt;=8,H3166&gt;=8),"CHAMPION",AND(F3166&gt;=6,G3166&gt;=7,H3166&gt;=6),"LOYAL CUSTOMER",AND(F3166&gt;=6,G3166&gt;=5,H3166&gt;=5),"POTENTIAL LOYALIST",AND(F3166&gt;=8,G3166&lt;=2,H3166&gt;=5),"NEW CUSTOMERS",AND(F3166&gt;=6,G3166&lt;=2,H3166&gt;=3),"PROMISING",AND(F3166&gt;=3,G3166&gt;=3,H3166&gt;=3),"NEED ATTENTION",AND(F3166&lt;=4,G3166&gt;=6,H3166&gt;=6),"AT RISK",AND(F3166&lt;=2,G3166&gt;=8,H3166&gt;=8),"CAN'T LOSE THEM",AND(F3166&lt;=2,G3166&lt;=2,H3166&lt;=2),"HIBERNATING",TRUE(),"Other")</f>
        <v>HIBERNATING</v>
      </c>
      <c r="K3166" s="1" t="n">
        <f aca="false">RANK(E3166,$E$7:$E$4378)+COUNTIF($E$7:E3166,E3166)-1</f>
        <v>4008</v>
      </c>
    </row>
    <row r="3167" customFormat="false" ht="14.25" hidden="false" customHeight="true" outlineLevel="0" collapsed="false">
      <c r="A3167" s="51" t="n">
        <v>16624</v>
      </c>
      <c r="B3167" s="53" t="n">
        <v>40806.5270833333</v>
      </c>
      <c r="C3167" s="57" t="n">
        <f aca="false">INT($C$2)-INT(Table3[[#This Row],[Last Purchase Date]])</f>
        <v>81</v>
      </c>
      <c r="D3167" s="1" t="n">
        <v>2</v>
      </c>
      <c r="E3167" s="1" t="n">
        <v>810.57</v>
      </c>
      <c r="F3167" s="1" t="n">
        <f aca="false">ROUND((1-_xlfn.PERCENTRANK.INC($C$7:$C$4378,C3167))*9,0)</f>
        <v>3</v>
      </c>
      <c r="G3167" s="1" t="n">
        <f aca="false">ROUND(_xlfn.PERCENTRANK.INC($D$7:$D$4378,D3167)*9,0)</f>
        <v>3</v>
      </c>
      <c r="H3167" s="1" t="n">
        <f aca="false">ROUND(_xlfn.PERCENTRANK.INC($E$7:$E$4378,E3167)*9,0)</f>
        <v>5</v>
      </c>
      <c r="I3167" s="1" t="str">
        <f aca="false">CONCATENATE(F3167,G3167,H3167)</f>
        <v>335</v>
      </c>
      <c r="J3167" s="1" t="str">
        <f aca="false">_xlfn.IFS(AND(F3167&gt;=8,G3167&gt;=8,H3167&gt;=8),"CHAMPION",AND(F3167&gt;=6,G3167&gt;=7,H3167&gt;=6),"LOYAL CUSTOMER",AND(F3167&gt;=6,G3167&gt;=5,H3167&gt;=5),"POTENTIAL LOYALIST",AND(F3167&gt;=8,G3167&lt;=2,H3167&gt;=5),"NEW CUSTOMERS",AND(F3167&gt;=6,G3167&lt;=2,H3167&gt;=3),"PROMISING",AND(F3167&gt;=3,G3167&gt;=3,H3167&gt;=3),"NEED ATTENTION",AND(F3167&lt;=4,G3167&gt;=6,H3167&gt;=6),"AT RISK",AND(F3167&lt;=2,G3167&gt;=8,H3167&gt;=8),"CAN'T LOSE THEM",AND(F3167&lt;=2,G3167&lt;=2,H3167&lt;=2),"HIBERNATING",TRUE(),"Other")</f>
        <v>NEED ATTENTION</v>
      </c>
      <c r="K3167" s="1" t="n">
        <f aca="false">RANK(E3167,$E$7:$E$4378)+COUNTIF($E$7:E3167,E3167)-1</f>
        <v>1883</v>
      </c>
    </row>
    <row r="3168" customFormat="false" ht="14.25" hidden="false" customHeight="true" outlineLevel="0" collapsed="false">
      <c r="A3168" s="51" t="n">
        <v>16625</v>
      </c>
      <c r="B3168" s="53" t="n">
        <v>40612.5347222222</v>
      </c>
      <c r="C3168" s="57" t="n">
        <f aca="false">INT($C$2)-INT(Table3[[#This Row],[Last Purchase Date]])</f>
        <v>275</v>
      </c>
      <c r="D3168" s="1" t="n">
        <v>1</v>
      </c>
      <c r="E3168" s="1" t="n">
        <v>333.08</v>
      </c>
      <c r="F3168" s="1" t="n">
        <f aca="false">ROUND((1-_xlfn.PERCENTRANK.INC($C$7:$C$4378,C3168))*9,0)</f>
        <v>1</v>
      </c>
      <c r="G3168" s="1" t="n">
        <f aca="false">ROUND(_xlfn.PERCENTRANK.INC($D$7:$D$4378,D3168)*9,0)</f>
        <v>0</v>
      </c>
      <c r="H3168" s="1" t="n">
        <f aca="false">ROUND(_xlfn.PERCENTRANK.INC($E$7:$E$4378,E3168)*9,0)</f>
        <v>3</v>
      </c>
      <c r="I3168" s="1" t="str">
        <f aca="false">CONCATENATE(F3168,G3168,H3168)</f>
        <v>103</v>
      </c>
      <c r="J3168" s="1" t="str">
        <f aca="false">_xlfn.IFS(AND(F3168&gt;=8,G3168&gt;=8,H3168&gt;=8),"CHAMPION",AND(F3168&gt;=6,G3168&gt;=7,H3168&gt;=6),"LOYAL CUSTOMER",AND(F3168&gt;=6,G3168&gt;=5,H3168&gt;=5),"POTENTIAL LOYALIST",AND(F3168&gt;=8,G3168&lt;=2,H3168&gt;=5),"NEW CUSTOMERS",AND(F3168&gt;=6,G3168&lt;=2,H3168&gt;=3),"PROMISING",AND(F3168&gt;=3,G3168&gt;=3,H3168&gt;=3),"NEED ATTENTION",AND(F3168&lt;=4,G3168&gt;=6,H3168&gt;=6),"AT RISK",AND(F3168&lt;=2,G3168&gt;=8,H3168&gt;=8),"CAN'T LOSE THEM",AND(F3168&lt;=2,G3168&lt;=2,H3168&lt;=2),"HIBERNATING",TRUE(),"Other")</f>
        <v>Other</v>
      </c>
      <c r="K3168" s="1" t="n">
        <f aca="false">RANK(E3168,$E$7:$E$4378)+COUNTIF($E$7:E3168,E3168)-1</f>
        <v>3081</v>
      </c>
    </row>
    <row r="3169" customFormat="false" ht="14.25" hidden="false" customHeight="true" outlineLevel="0" collapsed="false">
      <c r="A3169" s="51" t="n">
        <v>16626</v>
      </c>
      <c r="B3169" s="53" t="n">
        <v>40886.4972222222</v>
      </c>
      <c r="C3169" s="57" t="n">
        <f aca="false">INT($C$2)-INT(Table3[[#This Row],[Last Purchase Date]])</f>
        <v>1</v>
      </c>
      <c r="D3169" s="1" t="n">
        <v>20</v>
      </c>
      <c r="E3169" s="1" t="n">
        <v>4379.65</v>
      </c>
      <c r="F3169" s="1" t="n">
        <f aca="false">ROUND((1-_xlfn.PERCENTRANK.INC($C$7:$C$4378,C3169))*9,0)</f>
        <v>9</v>
      </c>
      <c r="G3169" s="1" t="n">
        <f aca="false">ROUND(_xlfn.PERCENTRANK.INC($D$7:$D$4378,D3169)*9,0)</f>
        <v>9</v>
      </c>
      <c r="H3169" s="1" t="n">
        <f aca="false">ROUND(_xlfn.PERCENTRANK.INC($E$7:$E$4378,E3169)*9,0)</f>
        <v>8</v>
      </c>
      <c r="I3169" s="1" t="str">
        <f aca="false">CONCATENATE(F3169,G3169,H3169)</f>
        <v>998</v>
      </c>
      <c r="J3169" s="1" t="str">
        <f aca="false">_xlfn.IFS(AND(F3169&gt;=8,G3169&gt;=8,H3169&gt;=8),"CHAMPION",AND(F3169&gt;=6,G3169&gt;=7,H3169&gt;=6),"LOYAL CUSTOMER",AND(F3169&gt;=6,G3169&gt;=5,H3169&gt;=5),"POTENTIAL LOYALIST",AND(F3169&gt;=8,G3169&lt;=2,H3169&gt;=5),"NEW CUSTOMERS",AND(F3169&gt;=6,G3169&lt;=2,H3169&gt;=3),"PROMISING",AND(F3169&gt;=3,G3169&gt;=3,H3169&gt;=3),"NEED ATTENTION",AND(F3169&lt;=4,G3169&gt;=6,H3169&gt;=6),"AT RISK",AND(F3169&lt;=2,G3169&gt;=8,H3169&gt;=8),"CAN'T LOSE THEM",AND(F3169&lt;=2,G3169&lt;=2,H3169&lt;=2),"HIBERNATING",TRUE(),"Other")</f>
        <v>CHAMPION</v>
      </c>
      <c r="K3169" s="1" t="n">
        <f aca="false">RANK(E3169,$E$7:$E$4378)+COUNTIF($E$7:E3169,E3169)-1</f>
        <v>313</v>
      </c>
    </row>
    <row r="3170" customFormat="false" ht="14.25" hidden="false" customHeight="true" outlineLevel="0" collapsed="false">
      <c r="A3170" s="51" t="n">
        <v>16627</v>
      </c>
      <c r="B3170" s="53" t="n">
        <v>40807.6097222222</v>
      </c>
      <c r="C3170" s="57" t="n">
        <f aca="false">INT($C$2)-INT(Table3[[#This Row],[Last Purchase Date]])</f>
        <v>80</v>
      </c>
      <c r="D3170" s="1" t="n">
        <v>1</v>
      </c>
      <c r="E3170" s="1" t="n">
        <v>322.8</v>
      </c>
      <c r="F3170" s="1" t="n">
        <f aca="false">ROUND((1-_xlfn.PERCENTRANK.INC($C$7:$C$4378,C3170))*9,0)</f>
        <v>3</v>
      </c>
      <c r="G3170" s="1" t="n">
        <f aca="false">ROUND(_xlfn.PERCENTRANK.INC($D$7:$D$4378,D3170)*9,0)</f>
        <v>0</v>
      </c>
      <c r="H3170" s="1" t="n">
        <f aca="false">ROUND(_xlfn.PERCENTRANK.INC($E$7:$E$4378,E3170)*9,0)</f>
        <v>3</v>
      </c>
      <c r="I3170" s="1" t="str">
        <f aca="false">CONCATENATE(F3170,G3170,H3170)</f>
        <v>303</v>
      </c>
      <c r="J3170" s="1" t="str">
        <f aca="false">_xlfn.IFS(AND(F3170&gt;=8,G3170&gt;=8,H3170&gt;=8),"CHAMPION",AND(F3170&gt;=6,G3170&gt;=7,H3170&gt;=6),"LOYAL CUSTOMER",AND(F3170&gt;=6,G3170&gt;=5,H3170&gt;=5),"POTENTIAL LOYALIST",AND(F3170&gt;=8,G3170&lt;=2,H3170&gt;=5),"NEW CUSTOMERS",AND(F3170&gt;=6,G3170&lt;=2,H3170&gt;=3),"PROMISING",AND(F3170&gt;=3,G3170&gt;=3,H3170&gt;=3),"NEED ATTENTION",AND(F3170&lt;=4,G3170&gt;=6,H3170&gt;=6),"AT RISK",AND(F3170&lt;=2,G3170&gt;=8,H3170&gt;=8),"CAN'T LOSE THEM",AND(F3170&lt;=2,G3170&lt;=2,H3170&lt;=2),"HIBERNATING",TRUE(),"Other")</f>
        <v>Other</v>
      </c>
      <c r="K3170" s="1" t="n">
        <f aca="false">RANK(E3170,$E$7:$E$4378)+COUNTIF($E$7:E3170,E3170)-1</f>
        <v>3127</v>
      </c>
    </row>
    <row r="3171" customFormat="false" ht="14.25" hidden="false" customHeight="true" outlineLevel="0" collapsed="false">
      <c r="A3171" s="51" t="n">
        <v>16628</v>
      </c>
      <c r="B3171" s="53" t="n">
        <v>40857.53125</v>
      </c>
      <c r="C3171" s="57" t="n">
        <f aca="false">INT($C$2)-INT(Table3[[#This Row],[Last Purchase Date]])</f>
        <v>30</v>
      </c>
      <c r="D3171" s="1" t="n">
        <v>6</v>
      </c>
      <c r="E3171" s="1" t="n">
        <v>2183.04</v>
      </c>
      <c r="F3171" s="1" t="n">
        <f aca="false">ROUND((1-_xlfn.PERCENTRANK.INC($C$7:$C$4378,C3171))*9,0)</f>
        <v>6</v>
      </c>
      <c r="G3171" s="1" t="n">
        <f aca="false">ROUND(_xlfn.PERCENTRANK.INC($D$7:$D$4378,D3171)*9,0)</f>
        <v>7</v>
      </c>
      <c r="H3171" s="1" t="n">
        <f aca="false">ROUND(_xlfn.PERCENTRANK.INC($E$7:$E$4378,E3171)*9,0)</f>
        <v>7</v>
      </c>
      <c r="I3171" s="1" t="str">
        <f aca="false">CONCATENATE(F3171,G3171,H3171)</f>
        <v>677</v>
      </c>
      <c r="J3171" s="1" t="str">
        <f aca="false">_xlfn.IFS(AND(F3171&gt;=8,G3171&gt;=8,H3171&gt;=8),"CHAMPION",AND(F3171&gt;=6,G3171&gt;=7,H3171&gt;=6),"LOYAL CUSTOMER",AND(F3171&gt;=6,G3171&gt;=5,H3171&gt;=5),"POTENTIAL LOYALIST",AND(F3171&gt;=8,G3171&lt;=2,H3171&gt;=5),"NEW CUSTOMERS",AND(F3171&gt;=6,G3171&lt;=2,H3171&gt;=3),"PROMISING",AND(F3171&gt;=3,G3171&gt;=3,H3171&gt;=3),"NEED ATTENTION",AND(F3171&lt;=4,G3171&gt;=6,H3171&gt;=6),"AT RISK",AND(F3171&lt;=2,G3171&gt;=8,H3171&gt;=8),"CAN'T LOSE THEM",AND(F3171&lt;=2,G3171&lt;=2,H3171&lt;=2),"HIBERNATING",TRUE(),"Other")</f>
        <v>LOYAL CUSTOMER</v>
      </c>
      <c r="K3171" s="1" t="n">
        <f aca="false">RANK(E3171,$E$7:$E$4378)+COUNTIF($E$7:E3171,E3171)-1</f>
        <v>792</v>
      </c>
    </row>
    <row r="3172" customFormat="false" ht="14.25" hidden="false" customHeight="true" outlineLevel="0" collapsed="false">
      <c r="A3172" s="51" t="n">
        <v>16629</v>
      </c>
      <c r="B3172" s="53" t="n">
        <v>40813.4402777778</v>
      </c>
      <c r="C3172" s="57" t="n">
        <f aca="false">INT($C$2)-INT(Table3[[#This Row],[Last Purchase Date]])</f>
        <v>74</v>
      </c>
      <c r="D3172" s="1" t="n">
        <v>2</v>
      </c>
      <c r="E3172" s="1" t="n">
        <v>417.73</v>
      </c>
      <c r="F3172" s="1" t="n">
        <f aca="false">ROUND((1-_xlfn.PERCENTRANK.INC($C$7:$C$4378,C3172))*9,0)</f>
        <v>3</v>
      </c>
      <c r="G3172" s="1" t="n">
        <f aca="false">ROUND(_xlfn.PERCENTRANK.INC($D$7:$D$4378,D3172)*9,0)</f>
        <v>3</v>
      </c>
      <c r="H3172" s="1" t="n">
        <f aca="false">ROUND(_xlfn.PERCENTRANK.INC($E$7:$E$4378,E3172)*9,0)</f>
        <v>3</v>
      </c>
      <c r="I3172" s="1" t="str">
        <f aca="false">CONCATENATE(F3172,G3172,H3172)</f>
        <v>333</v>
      </c>
      <c r="J3172" s="1" t="str">
        <f aca="false">_xlfn.IFS(AND(F3172&gt;=8,G3172&gt;=8,H3172&gt;=8),"CHAMPION",AND(F3172&gt;=6,G3172&gt;=7,H3172&gt;=6),"LOYAL CUSTOMER",AND(F3172&gt;=6,G3172&gt;=5,H3172&gt;=5),"POTENTIAL LOYALIST",AND(F3172&gt;=8,G3172&lt;=2,H3172&gt;=5),"NEW CUSTOMERS",AND(F3172&gt;=6,G3172&lt;=2,H3172&gt;=3),"PROMISING",AND(F3172&gt;=3,G3172&gt;=3,H3172&gt;=3),"NEED ATTENTION",AND(F3172&lt;=4,G3172&gt;=6,H3172&gt;=6),"AT RISK",AND(F3172&lt;=2,G3172&gt;=8,H3172&gt;=8),"CAN'T LOSE THEM",AND(F3172&lt;=2,G3172&lt;=2,H3172&lt;=2),"HIBERNATING",TRUE(),"Other")</f>
        <v>NEED ATTENTION</v>
      </c>
      <c r="K3172" s="1" t="n">
        <f aca="false">RANK(E3172,$E$7:$E$4378)+COUNTIF($E$7:E3172,E3172)-1</f>
        <v>2758</v>
      </c>
    </row>
    <row r="3173" customFormat="false" ht="14.25" hidden="false" customHeight="true" outlineLevel="0" collapsed="false">
      <c r="A3173" s="51" t="n">
        <v>16633</v>
      </c>
      <c r="B3173" s="53" t="n">
        <v>40869.5701388889</v>
      </c>
      <c r="C3173" s="57" t="n">
        <f aca="false">INT($C$2)-INT(Table3[[#This Row],[Last Purchase Date]])</f>
        <v>18</v>
      </c>
      <c r="D3173" s="1" t="n">
        <v>7</v>
      </c>
      <c r="E3173" s="1" t="n">
        <v>2878.15</v>
      </c>
      <c r="F3173" s="1" t="n">
        <f aca="false">ROUND((1-_xlfn.PERCENTRANK.INC($C$7:$C$4378,C3173))*9,0)</f>
        <v>7</v>
      </c>
      <c r="G3173" s="1" t="n">
        <f aca="false">ROUND(_xlfn.PERCENTRANK.INC($D$7:$D$4378,D3173)*9,0)</f>
        <v>7</v>
      </c>
      <c r="H3173" s="1" t="n">
        <f aca="false">ROUND(_xlfn.PERCENTRANK.INC($E$7:$E$4378,E3173)*9,0)</f>
        <v>8</v>
      </c>
      <c r="I3173" s="1" t="str">
        <f aca="false">CONCATENATE(F3173,G3173,H3173)</f>
        <v>778</v>
      </c>
      <c r="J3173" s="1" t="str">
        <f aca="false">_xlfn.IFS(AND(F3173&gt;=8,G3173&gt;=8,H3173&gt;=8),"CHAMPION",AND(F3173&gt;=6,G3173&gt;=7,H3173&gt;=6),"LOYAL CUSTOMER",AND(F3173&gt;=6,G3173&gt;=5,H3173&gt;=5),"POTENTIAL LOYALIST",AND(F3173&gt;=8,G3173&lt;=2,H3173&gt;=5),"NEW CUSTOMERS",AND(F3173&gt;=6,G3173&lt;=2,H3173&gt;=3),"PROMISING",AND(F3173&gt;=3,G3173&gt;=3,H3173&gt;=3),"NEED ATTENTION",AND(F3173&lt;=4,G3173&gt;=6,H3173&gt;=6),"AT RISK",AND(F3173&lt;=2,G3173&gt;=8,H3173&gt;=8),"CAN'T LOSE THEM",AND(F3173&lt;=2,G3173&lt;=2,H3173&lt;=2),"HIBERNATING",TRUE(),"Other")</f>
        <v>LOYAL CUSTOMER</v>
      </c>
      <c r="K3173" s="1" t="n">
        <f aca="false">RANK(E3173,$E$7:$E$4378)+COUNTIF($E$7:E3173,E3173)-1</f>
        <v>567</v>
      </c>
    </row>
    <row r="3174" customFormat="false" ht="14.25" hidden="false" customHeight="true" outlineLevel="0" collapsed="false">
      <c r="A3174" s="51" t="n">
        <v>16634</v>
      </c>
      <c r="B3174" s="53" t="n">
        <v>40664.50625</v>
      </c>
      <c r="C3174" s="57" t="n">
        <f aca="false">INT($C$2)-INT(Table3[[#This Row],[Last Purchase Date]])</f>
        <v>223</v>
      </c>
      <c r="D3174" s="1" t="n">
        <v>2</v>
      </c>
      <c r="E3174" s="1" t="n">
        <v>217.9</v>
      </c>
      <c r="F3174" s="1" t="n">
        <f aca="false">ROUND((1-_xlfn.PERCENTRANK.INC($C$7:$C$4378,C3174))*9,0)</f>
        <v>1</v>
      </c>
      <c r="G3174" s="1" t="n">
        <f aca="false">ROUND(_xlfn.PERCENTRANK.INC($D$7:$D$4378,D3174)*9,0)</f>
        <v>3</v>
      </c>
      <c r="H3174" s="1" t="n">
        <f aca="false">ROUND(_xlfn.PERCENTRANK.INC($E$7:$E$4378,E3174)*9,0)</f>
        <v>2</v>
      </c>
      <c r="I3174" s="1" t="str">
        <f aca="false">CONCATENATE(F3174,G3174,H3174)</f>
        <v>132</v>
      </c>
      <c r="J3174" s="1" t="str">
        <f aca="false">_xlfn.IFS(AND(F3174&gt;=8,G3174&gt;=8,H3174&gt;=8),"CHAMPION",AND(F3174&gt;=6,G3174&gt;=7,H3174&gt;=6),"LOYAL CUSTOMER",AND(F3174&gt;=6,G3174&gt;=5,H3174&gt;=5),"POTENTIAL LOYALIST",AND(F3174&gt;=8,G3174&lt;=2,H3174&gt;=5),"NEW CUSTOMERS",AND(F3174&gt;=6,G3174&lt;=2,H3174&gt;=3),"PROMISING",AND(F3174&gt;=3,G3174&gt;=3,H3174&gt;=3),"NEED ATTENTION",AND(F3174&lt;=4,G3174&gt;=6,H3174&gt;=6),"AT RISK",AND(F3174&lt;=2,G3174&gt;=8,H3174&gt;=8),"CAN'T LOSE THEM",AND(F3174&lt;=2,G3174&lt;=2,H3174&lt;=2),"HIBERNATING",TRUE(),"Other")</f>
        <v>Other</v>
      </c>
      <c r="K3174" s="1" t="n">
        <f aca="false">RANK(E3174,$E$7:$E$4378)+COUNTIF($E$7:E3174,E3174)-1</f>
        <v>3571</v>
      </c>
    </row>
    <row r="3175" customFormat="false" ht="14.25" hidden="false" customHeight="true" outlineLevel="0" collapsed="false">
      <c r="A3175" s="51" t="n">
        <v>16637</v>
      </c>
      <c r="B3175" s="53" t="n">
        <v>40854.5534722222</v>
      </c>
      <c r="C3175" s="57" t="n">
        <f aca="false">INT($C$2)-INT(Table3[[#This Row],[Last Purchase Date]])</f>
        <v>33</v>
      </c>
      <c r="D3175" s="1" t="n">
        <v>5</v>
      </c>
      <c r="E3175" s="1" t="n">
        <v>1124.59</v>
      </c>
      <c r="F3175" s="1" t="n">
        <f aca="false">ROUND((1-_xlfn.PERCENTRANK.INC($C$7:$C$4378,C3175))*9,0)</f>
        <v>5</v>
      </c>
      <c r="G3175" s="1" t="n">
        <f aca="false">ROUND(_xlfn.PERCENTRANK.INC($D$7:$D$4378,D3175)*9,0)</f>
        <v>6</v>
      </c>
      <c r="H3175" s="1" t="n">
        <f aca="false">ROUND(_xlfn.PERCENTRANK.INC($E$7:$E$4378,E3175)*9,0)</f>
        <v>6</v>
      </c>
      <c r="I3175" s="1" t="str">
        <f aca="false">CONCATENATE(F3175,G3175,H3175)</f>
        <v>566</v>
      </c>
      <c r="J3175" s="1" t="str">
        <f aca="false">_xlfn.IFS(AND(F3175&gt;=8,G3175&gt;=8,H3175&gt;=8),"CHAMPION",AND(F3175&gt;=6,G3175&gt;=7,H3175&gt;=6),"LOYAL CUSTOMER",AND(F3175&gt;=6,G3175&gt;=5,H3175&gt;=5),"POTENTIAL LOYALIST",AND(F3175&gt;=8,G3175&lt;=2,H3175&gt;=5),"NEW CUSTOMERS",AND(F3175&gt;=6,G3175&lt;=2,H3175&gt;=3),"PROMISING",AND(F3175&gt;=3,G3175&gt;=3,H3175&gt;=3),"NEED ATTENTION",AND(F3175&lt;=4,G3175&gt;=6,H3175&gt;=6),"AT RISK",AND(F3175&lt;=2,G3175&gt;=8,H3175&gt;=8),"CAN'T LOSE THEM",AND(F3175&lt;=2,G3175&lt;=2,H3175&lt;=2),"HIBERNATING",TRUE(),"Other")</f>
        <v>NEED ATTENTION</v>
      </c>
      <c r="K3175" s="1" t="n">
        <f aca="false">RANK(E3175,$E$7:$E$4378)+COUNTIF($E$7:E3175,E3175)-1</f>
        <v>1479</v>
      </c>
    </row>
    <row r="3176" customFormat="false" ht="14.25" hidden="false" customHeight="true" outlineLevel="0" collapsed="false">
      <c r="A3176" s="51" t="n">
        <v>16638</v>
      </c>
      <c r="B3176" s="53" t="n">
        <v>40864.4645833333</v>
      </c>
      <c r="C3176" s="57" t="n">
        <f aca="false">INT($C$2)-INT(Table3[[#This Row],[Last Purchase Date]])</f>
        <v>23</v>
      </c>
      <c r="D3176" s="1" t="n">
        <v>11</v>
      </c>
      <c r="E3176" s="1" t="n">
        <v>1676.47</v>
      </c>
      <c r="F3176" s="1" t="n">
        <f aca="false">ROUND((1-_xlfn.PERCENTRANK.INC($C$7:$C$4378,C3176))*9,0)</f>
        <v>6</v>
      </c>
      <c r="G3176" s="1" t="n">
        <f aca="false">ROUND(_xlfn.PERCENTRANK.INC($D$7:$D$4378,D3176)*9,0)</f>
        <v>8</v>
      </c>
      <c r="H3176" s="1" t="n">
        <f aca="false">ROUND(_xlfn.PERCENTRANK.INC($E$7:$E$4378,E3176)*9,0)</f>
        <v>7</v>
      </c>
      <c r="I3176" s="1" t="str">
        <f aca="false">CONCATENATE(F3176,G3176,H3176)</f>
        <v>687</v>
      </c>
      <c r="J3176" s="1" t="str">
        <f aca="false">_xlfn.IFS(AND(F3176&gt;=8,G3176&gt;=8,H3176&gt;=8),"CHAMPION",AND(F3176&gt;=6,G3176&gt;=7,H3176&gt;=6),"LOYAL CUSTOMER",AND(F3176&gt;=6,G3176&gt;=5,H3176&gt;=5),"POTENTIAL LOYALIST",AND(F3176&gt;=8,G3176&lt;=2,H3176&gt;=5),"NEW CUSTOMERS",AND(F3176&gt;=6,G3176&lt;=2,H3176&gt;=3),"PROMISING",AND(F3176&gt;=3,G3176&gt;=3,H3176&gt;=3),"NEED ATTENTION",AND(F3176&lt;=4,G3176&gt;=6,H3176&gt;=6),"AT RISK",AND(F3176&lt;=2,G3176&gt;=8,H3176&gt;=8),"CAN'T LOSE THEM",AND(F3176&lt;=2,G3176&lt;=2,H3176&lt;=2),"HIBERNATING",TRUE(),"Other")</f>
        <v>LOYAL CUSTOMER</v>
      </c>
      <c r="K3176" s="1" t="n">
        <f aca="false">RANK(E3176,$E$7:$E$4378)+COUNTIF($E$7:E3176,E3176)-1</f>
        <v>1052</v>
      </c>
    </row>
    <row r="3177" customFormat="false" ht="14.25" hidden="false" customHeight="true" outlineLevel="0" collapsed="false">
      <c r="A3177" s="51" t="n">
        <v>16639</v>
      </c>
      <c r="B3177" s="53" t="n">
        <v>40861.5743055556</v>
      </c>
      <c r="C3177" s="57" t="n">
        <f aca="false">INT($C$2)-INT(Table3[[#This Row],[Last Purchase Date]])</f>
        <v>26</v>
      </c>
      <c r="D3177" s="1" t="n">
        <v>4</v>
      </c>
      <c r="E3177" s="1" t="n">
        <v>1169.38</v>
      </c>
      <c r="F3177" s="1" t="n">
        <f aca="false">ROUND((1-_xlfn.PERCENTRANK.INC($C$7:$C$4378,C3177))*9,0)</f>
        <v>6</v>
      </c>
      <c r="G3177" s="1" t="n">
        <f aca="false">ROUND(_xlfn.PERCENTRANK.INC($D$7:$D$4378,D3177)*9,0)</f>
        <v>5</v>
      </c>
      <c r="H3177" s="1" t="n">
        <f aca="false">ROUND(_xlfn.PERCENTRANK.INC($E$7:$E$4378,E3177)*9,0)</f>
        <v>6</v>
      </c>
      <c r="I3177" s="1" t="str">
        <f aca="false">CONCATENATE(F3177,G3177,H3177)</f>
        <v>656</v>
      </c>
      <c r="J3177" s="1" t="str">
        <f aca="false">_xlfn.IFS(AND(F3177&gt;=8,G3177&gt;=8,H3177&gt;=8),"CHAMPION",AND(F3177&gt;=6,G3177&gt;=7,H3177&gt;=6),"LOYAL CUSTOMER",AND(F3177&gt;=6,G3177&gt;=5,H3177&gt;=5),"POTENTIAL LOYALIST",AND(F3177&gt;=8,G3177&lt;=2,H3177&gt;=5),"NEW CUSTOMERS",AND(F3177&gt;=6,G3177&lt;=2,H3177&gt;=3),"PROMISING",AND(F3177&gt;=3,G3177&gt;=3,H3177&gt;=3),"NEED ATTENTION",AND(F3177&lt;=4,G3177&gt;=6,H3177&gt;=6),"AT RISK",AND(F3177&lt;=2,G3177&gt;=8,H3177&gt;=8),"CAN'T LOSE THEM",AND(F3177&lt;=2,G3177&lt;=2,H3177&lt;=2),"HIBERNATING",TRUE(),"Other")</f>
        <v>POTENTIAL LOYALIST</v>
      </c>
      <c r="K3177" s="1" t="n">
        <f aca="false">RANK(E3177,$E$7:$E$4378)+COUNTIF($E$7:E3177,E3177)-1</f>
        <v>1431</v>
      </c>
    </row>
    <row r="3178" customFormat="false" ht="14.25" hidden="false" customHeight="true" outlineLevel="0" collapsed="false">
      <c r="A3178" s="51" t="n">
        <v>16641</v>
      </c>
      <c r="B3178" s="53" t="n">
        <v>40781.5340277778</v>
      </c>
      <c r="C3178" s="57" t="n">
        <f aca="false">INT($C$2)-INT(Table3[[#This Row],[Last Purchase Date]])</f>
        <v>106</v>
      </c>
      <c r="D3178" s="1" t="n">
        <v>1</v>
      </c>
      <c r="E3178" s="1" t="n">
        <v>231.1</v>
      </c>
      <c r="F3178" s="1" t="n">
        <f aca="false">ROUND((1-_xlfn.PERCENTRANK.INC($C$7:$C$4378,C3178))*9,0)</f>
        <v>3</v>
      </c>
      <c r="G3178" s="1" t="n">
        <f aca="false">ROUND(_xlfn.PERCENTRANK.INC($D$7:$D$4378,D3178)*9,0)</f>
        <v>0</v>
      </c>
      <c r="H3178" s="1" t="n">
        <f aca="false">ROUND(_xlfn.PERCENTRANK.INC($E$7:$E$4378,E3178)*9,0)</f>
        <v>2</v>
      </c>
      <c r="I3178" s="1" t="str">
        <f aca="false">CONCATENATE(F3178,G3178,H3178)</f>
        <v>302</v>
      </c>
      <c r="J3178" s="1" t="str">
        <f aca="false">_xlfn.IFS(AND(F3178&gt;=8,G3178&gt;=8,H3178&gt;=8),"CHAMPION",AND(F3178&gt;=6,G3178&gt;=7,H3178&gt;=6),"LOYAL CUSTOMER",AND(F3178&gt;=6,G3178&gt;=5,H3178&gt;=5),"POTENTIAL LOYALIST",AND(F3178&gt;=8,G3178&lt;=2,H3178&gt;=5),"NEW CUSTOMERS",AND(F3178&gt;=6,G3178&lt;=2,H3178&gt;=3),"PROMISING",AND(F3178&gt;=3,G3178&gt;=3,H3178&gt;=3),"NEED ATTENTION",AND(F3178&lt;=4,G3178&gt;=6,H3178&gt;=6),"AT RISK",AND(F3178&lt;=2,G3178&gt;=8,H3178&gt;=8),"CAN'T LOSE THEM",AND(F3178&lt;=2,G3178&lt;=2,H3178&lt;=2),"HIBERNATING",TRUE(),"Other")</f>
        <v>Other</v>
      </c>
      <c r="K3178" s="1" t="n">
        <f aca="false">RANK(E3178,$E$7:$E$4378)+COUNTIF($E$7:E3178,E3178)-1</f>
        <v>3512</v>
      </c>
    </row>
    <row r="3179" customFormat="false" ht="14.25" hidden="false" customHeight="true" outlineLevel="0" collapsed="false">
      <c r="A3179" s="51" t="n">
        <v>16642</v>
      </c>
      <c r="B3179" s="53" t="n">
        <v>40882.4798611111</v>
      </c>
      <c r="C3179" s="57" t="n">
        <f aca="false">INT($C$2)-INT(Table3[[#This Row],[Last Purchase Date]])</f>
        <v>5</v>
      </c>
      <c r="D3179" s="1" t="n">
        <v>3</v>
      </c>
      <c r="E3179" s="1" t="n">
        <v>679.83</v>
      </c>
      <c r="F3179" s="1" t="n">
        <f aca="false">ROUND((1-_xlfn.PERCENTRANK.INC($C$7:$C$4378,C3179))*9,0)</f>
        <v>8</v>
      </c>
      <c r="G3179" s="1" t="n">
        <f aca="false">ROUND(_xlfn.PERCENTRANK.INC($D$7:$D$4378,D3179)*9,0)</f>
        <v>4</v>
      </c>
      <c r="H3179" s="1" t="n">
        <f aca="false">ROUND(_xlfn.PERCENTRANK.INC($E$7:$E$4378,E3179)*9,0)</f>
        <v>5</v>
      </c>
      <c r="I3179" s="1" t="str">
        <f aca="false">CONCATENATE(F3179,G3179,H3179)</f>
        <v>845</v>
      </c>
      <c r="J3179" s="1" t="str">
        <f aca="false">_xlfn.IFS(AND(F3179&gt;=8,G3179&gt;=8,H3179&gt;=8),"CHAMPION",AND(F3179&gt;=6,G3179&gt;=7,H3179&gt;=6),"LOYAL CUSTOMER",AND(F3179&gt;=6,G3179&gt;=5,H3179&gt;=5),"POTENTIAL LOYALIST",AND(F3179&gt;=8,G3179&lt;=2,H3179&gt;=5),"NEW CUSTOMERS",AND(F3179&gt;=6,G3179&lt;=2,H3179&gt;=3),"PROMISING",AND(F3179&gt;=3,G3179&gt;=3,H3179&gt;=3),"NEED ATTENTION",AND(F3179&lt;=4,G3179&gt;=6,H3179&gt;=6),"AT RISK",AND(F3179&lt;=2,G3179&gt;=8,H3179&gt;=8),"CAN'T LOSE THEM",AND(F3179&lt;=2,G3179&lt;=2,H3179&lt;=2),"HIBERNATING",TRUE(),"Other")</f>
        <v>NEED ATTENTION</v>
      </c>
      <c r="K3179" s="1" t="n">
        <f aca="false">RANK(E3179,$E$7:$E$4378)+COUNTIF($E$7:E3179,E3179)-1</f>
        <v>2108</v>
      </c>
    </row>
    <row r="3180" customFormat="false" ht="14.25" hidden="false" customHeight="true" outlineLevel="0" collapsed="false">
      <c r="A3180" s="51" t="n">
        <v>16643</v>
      </c>
      <c r="B3180" s="53" t="n">
        <v>40641.35</v>
      </c>
      <c r="C3180" s="57" t="n">
        <f aca="false">INT($C$2)-INT(Table3[[#This Row],[Last Purchase Date]])</f>
        <v>246</v>
      </c>
      <c r="D3180" s="1" t="n">
        <v>1</v>
      </c>
      <c r="E3180" s="1" t="n">
        <v>487.51</v>
      </c>
      <c r="F3180" s="1" t="n">
        <f aca="false">ROUND((1-_xlfn.PERCENTRANK.INC($C$7:$C$4378,C3180))*9,0)</f>
        <v>1</v>
      </c>
      <c r="G3180" s="1" t="n">
        <f aca="false">ROUND(_xlfn.PERCENTRANK.INC($D$7:$D$4378,D3180)*9,0)</f>
        <v>0</v>
      </c>
      <c r="H3180" s="1" t="n">
        <f aca="false">ROUND(_xlfn.PERCENTRANK.INC($E$7:$E$4378,E3180)*9,0)</f>
        <v>4</v>
      </c>
      <c r="I3180" s="1" t="str">
        <f aca="false">CONCATENATE(F3180,G3180,H3180)</f>
        <v>104</v>
      </c>
      <c r="J3180" s="1" t="str">
        <f aca="false">_xlfn.IFS(AND(F3180&gt;=8,G3180&gt;=8,H3180&gt;=8),"CHAMPION",AND(F3180&gt;=6,G3180&gt;=7,H3180&gt;=6),"LOYAL CUSTOMER",AND(F3180&gt;=6,G3180&gt;=5,H3180&gt;=5),"POTENTIAL LOYALIST",AND(F3180&gt;=8,G3180&lt;=2,H3180&gt;=5),"NEW CUSTOMERS",AND(F3180&gt;=6,G3180&lt;=2,H3180&gt;=3),"PROMISING",AND(F3180&gt;=3,G3180&gt;=3,H3180&gt;=3),"NEED ATTENTION",AND(F3180&lt;=4,G3180&gt;=6,H3180&gt;=6),"AT RISK",AND(F3180&lt;=2,G3180&gt;=8,H3180&gt;=8),"CAN'T LOSE THEM",AND(F3180&lt;=2,G3180&lt;=2,H3180&lt;=2),"HIBERNATING",TRUE(),"Other")</f>
        <v>Other</v>
      </c>
      <c r="K3180" s="1" t="n">
        <f aca="false">RANK(E3180,$E$7:$E$4378)+COUNTIF($E$7:E3180,E3180)-1</f>
        <v>2574</v>
      </c>
    </row>
    <row r="3181" customFormat="false" ht="14.25" hidden="false" customHeight="true" outlineLevel="0" collapsed="false">
      <c r="A3181" s="51" t="n">
        <v>16644</v>
      </c>
      <c r="B3181" s="53" t="n">
        <v>40709.5270833333</v>
      </c>
      <c r="C3181" s="57" t="n">
        <f aca="false">INT($C$2)-INT(Table3[[#This Row],[Last Purchase Date]])</f>
        <v>178</v>
      </c>
      <c r="D3181" s="1" t="n">
        <v>2</v>
      </c>
      <c r="E3181" s="1" t="n">
        <v>833.78</v>
      </c>
      <c r="F3181" s="1" t="n">
        <f aca="false">ROUND((1-_xlfn.PERCENTRANK.INC($C$7:$C$4378,C3181))*9,0)</f>
        <v>2</v>
      </c>
      <c r="G3181" s="1" t="n">
        <f aca="false">ROUND(_xlfn.PERCENTRANK.INC($D$7:$D$4378,D3181)*9,0)</f>
        <v>3</v>
      </c>
      <c r="H3181" s="1" t="n">
        <f aca="false">ROUND(_xlfn.PERCENTRANK.INC($E$7:$E$4378,E3181)*9,0)</f>
        <v>5</v>
      </c>
      <c r="I3181" s="1" t="str">
        <f aca="false">CONCATENATE(F3181,G3181,H3181)</f>
        <v>235</v>
      </c>
      <c r="J3181" s="1" t="str">
        <f aca="false">_xlfn.IFS(AND(F3181&gt;=8,G3181&gt;=8,H3181&gt;=8),"CHAMPION",AND(F3181&gt;=6,G3181&gt;=7,H3181&gt;=6),"LOYAL CUSTOMER",AND(F3181&gt;=6,G3181&gt;=5,H3181&gt;=5),"POTENTIAL LOYALIST",AND(F3181&gt;=8,G3181&lt;=2,H3181&gt;=5),"NEW CUSTOMERS",AND(F3181&gt;=6,G3181&lt;=2,H3181&gt;=3),"PROMISING",AND(F3181&gt;=3,G3181&gt;=3,H3181&gt;=3),"NEED ATTENTION",AND(F3181&lt;=4,G3181&gt;=6,H3181&gt;=6),"AT RISK",AND(F3181&lt;=2,G3181&gt;=8,H3181&gt;=8),"CAN'T LOSE THEM",AND(F3181&lt;=2,G3181&lt;=2,H3181&lt;=2),"HIBERNATING",TRUE(),"Other")</f>
        <v>Other</v>
      </c>
      <c r="K3181" s="1" t="n">
        <f aca="false">RANK(E3181,$E$7:$E$4378)+COUNTIF($E$7:E3181,E3181)-1</f>
        <v>1852</v>
      </c>
    </row>
    <row r="3182" customFormat="false" ht="14.25" hidden="false" customHeight="true" outlineLevel="0" collapsed="false">
      <c r="A3182" s="51" t="n">
        <v>16647</v>
      </c>
      <c r="B3182" s="53" t="n">
        <v>40717.4909722222</v>
      </c>
      <c r="C3182" s="57" t="n">
        <f aca="false">INT($C$2)-INT(Table3[[#This Row],[Last Purchase Date]])</f>
        <v>170</v>
      </c>
      <c r="D3182" s="1" t="n">
        <v>2</v>
      </c>
      <c r="E3182" s="1" t="n">
        <v>214.06</v>
      </c>
      <c r="F3182" s="1" t="n">
        <f aca="false">ROUND((1-_xlfn.PERCENTRANK.INC($C$7:$C$4378,C3182))*9,0)</f>
        <v>2</v>
      </c>
      <c r="G3182" s="1" t="n">
        <f aca="false">ROUND(_xlfn.PERCENTRANK.INC($D$7:$D$4378,D3182)*9,0)</f>
        <v>3</v>
      </c>
      <c r="H3182" s="1" t="n">
        <f aca="false">ROUND(_xlfn.PERCENTRANK.INC($E$7:$E$4378,E3182)*9,0)</f>
        <v>2</v>
      </c>
      <c r="I3182" s="1" t="str">
        <f aca="false">CONCATENATE(F3182,G3182,H3182)</f>
        <v>232</v>
      </c>
      <c r="J3182" s="1" t="str">
        <f aca="false">_xlfn.IFS(AND(F3182&gt;=8,G3182&gt;=8,H3182&gt;=8),"CHAMPION",AND(F3182&gt;=6,G3182&gt;=7,H3182&gt;=6),"LOYAL CUSTOMER",AND(F3182&gt;=6,G3182&gt;=5,H3182&gt;=5),"POTENTIAL LOYALIST",AND(F3182&gt;=8,G3182&lt;=2,H3182&gt;=5),"NEW CUSTOMERS",AND(F3182&gt;=6,G3182&lt;=2,H3182&gt;=3),"PROMISING",AND(F3182&gt;=3,G3182&gt;=3,H3182&gt;=3),"NEED ATTENTION",AND(F3182&lt;=4,G3182&gt;=6,H3182&gt;=6),"AT RISK",AND(F3182&lt;=2,G3182&gt;=8,H3182&gt;=8),"CAN'T LOSE THEM",AND(F3182&lt;=2,G3182&lt;=2,H3182&lt;=2),"HIBERNATING",TRUE(),"Other")</f>
        <v>Other</v>
      </c>
      <c r="K3182" s="1" t="n">
        <f aca="false">RANK(E3182,$E$7:$E$4378)+COUNTIF($E$7:E3182,E3182)-1</f>
        <v>3594</v>
      </c>
    </row>
    <row r="3183" customFormat="false" ht="14.25" hidden="false" customHeight="true" outlineLevel="0" collapsed="false">
      <c r="A3183" s="51" t="n">
        <v>16648</v>
      </c>
      <c r="B3183" s="53" t="n">
        <v>40848.4111111111</v>
      </c>
      <c r="C3183" s="57" t="n">
        <f aca="false">INT($C$2)-INT(Table3[[#This Row],[Last Purchase Date]])</f>
        <v>39</v>
      </c>
      <c r="D3183" s="1" t="n">
        <v>2</v>
      </c>
      <c r="E3183" s="1" t="n">
        <v>270.86</v>
      </c>
      <c r="F3183" s="1" t="n">
        <f aca="false">ROUND((1-_xlfn.PERCENTRANK.INC($C$7:$C$4378,C3183))*9,0)</f>
        <v>5</v>
      </c>
      <c r="G3183" s="1" t="n">
        <f aca="false">ROUND(_xlfn.PERCENTRANK.INC($D$7:$D$4378,D3183)*9,0)</f>
        <v>3</v>
      </c>
      <c r="H3183" s="1" t="n">
        <f aca="false">ROUND(_xlfn.PERCENTRANK.INC($E$7:$E$4378,E3183)*9,0)</f>
        <v>2</v>
      </c>
      <c r="I3183" s="1" t="str">
        <f aca="false">CONCATENATE(F3183,G3183,H3183)</f>
        <v>532</v>
      </c>
      <c r="J3183" s="1" t="str">
        <f aca="false">_xlfn.IFS(AND(F3183&gt;=8,G3183&gt;=8,H3183&gt;=8),"CHAMPION",AND(F3183&gt;=6,G3183&gt;=7,H3183&gt;=6),"LOYAL CUSTOMER",AND(F3183&gt;=6,G3183&gt;=5,H3183&gt;=5),"POTENTIAL LOYALIST",AND(F3183&gt;=8,G3183&lt;=2,H3183&gt;=5),"NEW CUSTOMERS",AND(F3183&gt;=6,G3183&lt;=2,H3183&gt;=3),"PROMISING",AND(F3183&gt;=3,G3183&gt;=3,H3183&gt;=3),"NEED ATTENTION",AND(F3183&lt;=4,G3183&gt;=6,H3183&gt;=6),"AT RISK",AND(F3183&lt;=2,G3183&gt;=8,H3183&gt;=8),"CAN'T LOSE THEM",AND(F3183&lt;=2,G3183&lt;=2,H3183&lt;=2),"HIBERNATING",TRUE(),"Other")</f>
        <v>Other</v>
      </c>
      <c r="K3183" s="1" t="n">
        <f aca="false">RANK(E3183,$E$7:$E$4378)+COUNTIF($E$7:E3183,E3183)-1</f>
        <v>3360</v>
      </c>
    </row>
    <row r="3184" customFormat="false" ht="14.25" hidden="false" customHeight="true" outlineLevel="0" collapsed="false">
      <c r="A3184" s="51" t="n">
        <v>16650</v>
      </c>
      <c r="B3184" s="53" t="n">
        <v>40815.4104166667</v>
      </c>
      <c r="C3184" s="57" t="n">
        <f aca="false">INT($C$2)-INT(Table3[[#This Row],[Last Purchase Date]])</f>
        <v>72</v>
      </c>
      <c r="D3184" s="1" t="n">
        <v>1</v>
      </c>
      <c r="E3184" s="1" t="n">
        <v>518.42</v>
      </c>
      <c r="F3184" s="1" t="n">
        <f aca="false">ROUND((1-_xlfn.PERCENTRANK.INC($C$7:$C$4378,C3184))*9,0)</f>
        <v>4</v>
      </c>
      <c r="G3184" s="1" t="n">
        <f aca="false">ROUND(_xlfn.PERCENTRANK.INC($D$7:$D$4378,D3184)*9,0)</f>
        <v>0</v>
      </c>
      <c r="H3184" s="1" t="n">
        <f aca="false">ROUND(_xlfn.PERCENTRANK.INC($E$7:$E$4378,E3184)*9,0)</f>
        <v>4</v>
      </c>
      <c r="I3184" s="1" t="str">
        <f aca="false">CONCATENATE(F3184,G3184,H3184)</f>
        <v>404</v>
      </c>
      <c r="J3184" s="1" t="str">
        <f aca="false">_xlfn.IFS(AND(F3184&gt;=8,G3184&gt;=8,H3184&gt;=8),"CHAMPION",AND(F3184&gt;=6,G3184&gt;=7,H3184&gt;=6),"LOYAL CUSTOMER",AND(F3184&gt;=6,G3184&gt;=5,H3184&gt;=5),"POTENTIAL LOYALIST",AND(F3184&gt;=8,G3184&lt;=2,H3184&gt;=5),"NEW CUSTOMERS",AND(F3184&gt;=6,G3184&lt;=2,H3184&gt;=3),"PROMISING",AND(F3184&gt;=3,G3184&gt;=3,H3184&gt;=3),"NEED ATTENTION",AND(F3184&lt;=4,G3184&gt;=6,H3184&gt;=6),"AT RISK",AND(F3184&lt;=2,G3184&gt;=8,H3184&gt;=8),"CAN'T LOSE THEM",AND(F3184&lt;=2,G3184&lt;=2,H3184&lt;=2),"HIBERNATING",TRUE(),"Other")</f>
        <v>Other</v>
      </c>
      <c r="K3184" s="1" t="n">
        <f aca="false">RANK(E3184,$E$7:$E$4378)+COUNTIF($E$7:E3184,E3184)-1</f>
        <v>2500</v>
      </c>
    </row>
    <row r="3185" customFormat="false" ht="14.25" hidden="false" customHeight="true" outlineLevel="0" collapsed="false">
      <c r="A3185" s="51" t="n">
        <v>16652</v>
      </c>
      <c r="B3185" s="53" t="n">
        <v>40833.4881944444</v>
      </c>
      <c r="C3185" s="57" t="n">
        <f aca="false">INT($C$2)-INT(Table3[[#This Row],[Last Purchase Date]])</f>
        <v>54</v>
      </c>
      <c r="D3185" s="1" t="n">
        <v>11</v>
      </c>
      <c r="E3185" s="1" t="n">
        <v>6654.26</v>
      </c>
      <c r="F3185" s="1" t="n">
        <f aca="false">ROUND((1-_xlfn.PERCENTRANK.INC($C$7:$C$4378,C3185))*9,0)</f>
        <v>4</v>
      </c>
      <c r="G3185" s="1" t="n">
        <f aca="false">ROUND(_xlfn.PERCENTRANK.INC($D$7:$D$4378,D3185)*9,0)</f>
        <v>8</v>
      </c>
      <c r="H3185" s="1" t="n">
        <f aca="false">ROUND(_xlfn.PERCENTRANK.INC($E$7:$E$4378,E3185)*9,0)</f>
        <v>9</v>
      </c>
      <c r="I3185" s="1" t="str">
        <f aca="false">CONCATENATE(F3185,G3185,H3185)</f>
        <v>489</v>
      </c>
      <c r="J3185" s="1" t="str">
        <f aca="false">_xlfn.IFS(AND(F3185&gt;=8,G3185&gt;=8,H3185&gt;=8),"CHAMPION",AND(F3185&gt;=6,G3185&gt;=7,H3185&gt;=6),"LOYAL CUSTOMER",AND(F3185&gt;=6,G3185&gt;=5,H3185&gt;=5),"POTENTIAL LOYALIST",AND(F3185&gt;=8,G3185&lt;=2,H3185&gt;=5),"NEW CUSTOMERS",AND(F3185&gt;=6,G3185&lt;=2,H3185&gt;=3),"PROMISING",AND(F3185&gt;=3,G3185&gt;=3,H3185&gt;=3),"NEED ATTENTION",AND(F3185&lt;=4,G3185&gt;=6,H3185&gt;=6),"AT RISK",AND(F3185&lt;=2,G3185&gt;=8,H3185&gt;=8),"CAN'T LOSE THEM",AND(F3185&lt;=2,G3185&lt;=2,H3185&lt;=2),"HIBERNATING",TRUE(),"Other")</f>
        <v>NEED ATTENTION</v>
      </c>
      <c r="K3185" s="1" t="n">
        <f aca="false">RANK(E3185,$E$7:$E$4378)+COUNTIF($E$7:E3185,E3185)-1</f>
        <v>174</v>
      </c>
    </row>
    <row r="3186" customFormat="false" ht="14.25" hidden="false" customHeight="true" outlineLevel="0" collapsed="false">
      <c r="A3186" s="51" t="n">
        <v>16653</v>
      </c>
      <c r="B3186" s="53" t="n">
        <v>40870.61875</v>
      </c>
      <c r="C3186" s="57" t="n">
        <f aca="false">INT($C$2)-INT(Table3[[#This Row],[Last Purchase Date]])</f>
        <v>17</v>
      </c>
      <c r="D3186" s="1" t="n">
        <v>3</v>
      </c>
      <c r="E3186" s="1" t="n">
        <v>1166.92</v>
      </c>
      <c r="F3186" s="1" t="n">
        <f aca="false">ROUND((1-_xlfn.PERCENTRANK.INC($C$7:$C$4378,C3186))*9,0)</f>
        <v>7</v>
      </c>
      <c r="G3186" s="1" t="n">
        <f aca="false">ROUND(_xlfn.PERCENTRANK.INC($D$7:$D$4378,D3186)*9,0)</f>
        <v>4</v>
      </c>
      <c r="H3186" s="1" t="n">
        <f aca="false">ROUND(_xlfn.PERCENTRANK.INC($E$7:$E$4378,E3186)*9,0)</f>
        <v>6</v>
      </c>
      <c r="I3186" s="1" t="str">
        <f aca="false">CONCATENATE(F3186,G3186,H3186)</f>
        <v>746</v>
      </c>
      <c r="J3186" s="1" t="str">
        <f aca="false">_xlfn.IFS(AND(F3186&gt;=8,G3186&gt;=8,H3186&gt;=8),"CHAMPION",AND(F3186&gt;=6,G3186&gt;=7,H3186&gt;=6),"LOYAL CUSTOMER",AND(F3186&gt;=6,G3186&gt;=5,H3186&gt;=5),"POTENTIAL LOYALIST",AND(F3186&gt;=8,G3186&lt;=2,H3186&gt;=5),"NEW CUSTOMERS",AND(F3186&gt;=6,G3186&lt;=2,H3186&gt;=3),"PROMISING",AND(F3186&gt;=3,G3186&gt;=3,H3186&gt;=3),"NEED ATTENTION",AND(F3186&lt;=4,G3186&gt;=6,H3186&gt;=6),"AT RISK",AND(F3186&lt;=2,G3186&gt;=8,H3186&gt;=8),"CAN'T LOSE THEM",AND(F3186&lt;=2,G3186&lt;=2,H3186&lt;=2),"HIBERNATING",TRUE(),"Other")</f>
        <v>NEED ATTENTION</v>
      </c>
      <c r="K3186" s="1" t="n">
        <f aca="false">RANK(E3186,$E$7:$E$4378)+COUNTIF($E$7:E3186,E3186)-1</f>
        <v>1434</v>
      </c>
    </row>
    <row r="3187" customFormat="false" ht="14.25" hidden="false" customHeight="true" outlineLevel="0" collapsed="false">
      <c r="A3187" s="51" t="n">
        <v>16654</v>
      </c>
      <c r="B3187" s="53" t="n">
        <v>40745.6409722222</v>
      </c>
      <c r="C3187" s="57" t="n">
        <f aca="false">INT($C$2)-INT(Table3[[#This Row],[Last Purchase Date]])</f>
        <v>142</v>
      </c>
      <c r="D3187" s="1" t="n">
        <v>5</v>
      </c>
      <c r="E3187" s="1" t="n">
        <v>594.97</v>
      </c>
      <c r="F3187" s="1" t="n">
        <f aca="false">ROUND((1-_xlfn.PERCENTRANK.INC($C$7:$C$4378,C3187))*9,0)</f>
        <v>2</v>
      </c>
      <c r="G3187" s="1" t="n">
        <f aca="false">ROUND(_xlfn.PERCENTRANK.INC($D$7:$D$4378,D3187)*9,0)</f>
        <v>6</v>
      </c>
      <c r="H3187" s="1" t="n">
        <f aca="false">ROUND(_xlfn.PERCENTRANK.INC($E$7:$E$4378,E3187)*9,0)</f>
        <v>4</v>
      </c>
      <c r="I3187" s="1" t="str">
        <f aca="false">CONCATENATE(F3187,G3187,H3187)</f>
        <v>264</v>
      </c>
      <c r="J3187" s="1" t="str">
        <f aca="false">_xlfn.IFS(AND(F3187&gt;=8,G3187&gt;=8,H3187&gt;=8),"CHAMPION",AND(F3187&gt;=6,G3187&gt;=7,H3187&gt;=6),"LOYAL CUSTOMER",AND(F3187&gt;=6,G3187&gt;=5,H3187&gt;=5),"POTENTIAL LOYALIST",AND(F3187&gt;=8,G3187&lt;=2,H3187&gt;=5),"NEW CUSTOMERS",AND(F3187&gt;=6,G3187&lt;=2,H3187&gt;=3),"PROMISING",AND(F3187&gt;=3,G3187&gt;=3,H3187&gt;=3),"NEED ATTENTION",AND(F3187&lt;=4,G3187&gt;=6,H3187&gt;=6),"AT RISK",AND(F3187&lt;=2,G3187&gt;=8,H3187&gt;=8),"CAN'T LOSE THEM",AND(F3187&lt;=2,G3187&lt;=2,H3187&lt;=2),"HIBERNATING",TRUE(),"Other")</f>
        <v>Other</v>
      </c>
      <c r="K3187" s="1" t="n">
        <f aca="false">RANK(E3187,$E$7:$E$4378)+COUNTIF($E$7:E3187,E3187)-1</f>
        <v>2335</v>
      </c>
    </row>
    <row r="3188" customFormat="false" ht="14.25" hidden="false" customHeight="true" outlineLevel="0" collapsed="false">
      <c r="A3188" s="51" t="n">
        <v>16655</v>
      </c>
      <c r="B3188" s="53" t="n">
        <v>40869.4756944445</v>
      </c>
      <c r="C3188" s="57" t="n">
        <f aca="false">INT($C$2)-INT(Table3[[#This Row],[Last Purchase Date]])</f>
        <v>18</v>
      </c>
      <c r="D3188" s="1" t="n">
        <v>6</v>
      </c>
      <c r="E3188" s="1" t="n">
        <v>3794.52</v>
      </c>
      <c r="F3188" s="1" t="n">
        <f aca="false">ROUND((1-_xlfn.PERCENTRANK.INC($C$7:$C$4378,C3188))*9,0)</f>
        <v>7</v>
      </c>
      <c r="G3188" s="1" t="n">
        <f aca="false">ROUND(_xlfn.PERCENTRANK.INC($D$7:$D$4378,D3188)*9,0)</f>
        <v>7</v>
      </c>
      <c r="H3188" s="1" t="n">
        <f aca="false">ROUND(_xlfn.PERCENTRANK.INC($E$7:$E$4378,E3188)*9,0)</f>
        <v>8</v>
      </c>
      <c r="I3188" s="1" t="str">
        <f aca="false">CONCATENATE(F3188,G3188,H3188)</f>
        <v>778</v>
      </c>
      <c r="J3188" s="1" t="str">
        <f aca="false">_xlfn.IFS(AND(F3188&gt;=8,G3188&gt;=8,H3188&gt;=8),"CHAMPION",AND(F3188&gt;=6,G3188&gt;=7,H3188&gt;=6),"LOYAL CUSTOMER",AND(F3188&gt;=6,G3188&gt;=5,H3188&gt;=5),"POTENTIAL LOYALIST",AND(F3188&gt;=8,G3188&lt;=2,H3188&gt;=5),"NEW CUSTOMERS",AND(F3188&gt;=6,G3188&lt;=2,H3188&gt;=3),"PROMISING",AND(F3188&gt;=3,G3188&gt;=3,H3188&gt;=3),"NEED ATTENTION",AND(F3188&lt;=4,G3188&gt;=6,H3188&gt;=6),"AT RISK",AND(F3188&lt;=2,G3188&gt;=8,H3188&gt;=8),"CAN'T LOSE THEM",AND(F3188&lt;=2,G3188&lt;=2,H3188&lt;=2),"HIBERNATING",TRUE(),"Other")</f>
        <v>LOYAL CUSTOMER</v>
      </c>
      <c r="K3188" s="1" t="n">
        <f aca="false">RANK(E3188,$E$7:$E$4378)+COUNTIF($E$7:E3188,E3188)-1</f>
        <v>385</v>
      </c>
    </row>
    <row r="3189" customFormat="false" ht="14.25" hidden="false" customHeight="true" outlineLevel="0" collapsed="false">
      <c r="A3189" s="51" t="n">
        <v>16656</v>
      </c>
      <c r="B3189" s="53" t="n">
        <v>40864.6131944444</v>
      </c>
      <c r="C3189" s="57" t="n">
        <f aca="false">INT($C$2)-INT(Table3[[#This Row],[Last Purchase Date]])</f>
        <v>23</v>
      </c>
      <c r="D3189" s="1" t="n">
        <v>21</v>
      </c>
      <c r="E3189" s="1" t="n">
        <v>8568.24</v>
      </c>
      <c r="F3189" s="1" t="n">
        <f aca="false">ROUND((1-_xlfn.PERCENTRANK.INC($C$7:$C$4378,C3189))*9,0)</f>
        <v>6</v>
      </c>
      <c r="G3189" s="1" t="n">
        <f aca="false">ROUND(_xlfn.PERCENTRANK.INC($D$7:$D$4378,D3189)*9,0)</f>
        <v>9</v>
      </c>
      <c r="H3189" s="1" t="n">
        <f aca="false">ROUND(_xlfn.PERCENTRANK.INC($E$7:$E$4378,E3189)*9,0)</f>
        <v>9</v>
      </c>
      <c r="I3189" s="1" t="str">
        <f aca="false">CONCATENATE(F3189,G3189,H3189)</f>
        <v>699</v>
      </c>
      <c r="J3189" s="1" t="str">
        <f aca="false">_xlfn.IFS(AND(F3189&gt;=8,G3189&gt;=8,H3189&gt;=8),"CHAMPION",AND(F3189&gt;=6,G3189&gt;=7,H3189&gt;=6),"LOYAL CUSTOMER",AND(F3189&gt;=6,G3189&gt;=5,H3189&gt;=5),"POTENTIAL LOYALIST",AND(F3189&gt;=8,G3189&lt;=2,H3189&gt;=5),"NEW CUSTOMERS",AND(F3189&gt;=6,G3189&lt;=2,H3189&gt;=3),"PROMISING",AND(F3189&gt;=3,G3189&gt;=3,H3189&gt;=3),"NEED ATTENTION",AND(F3189&lt;=4,G3189&gt;=6,H3189&gt;=6),"AT RISK",AND(F3189&lt;=2,G3189&gt;=8,H3189&gt;=8),"CAN'T LOSE THEM",AND(F3189&lt;=2,G3189&lt;=2,H3189&lt;=2),"HIBERNATING",TRUE(),"Other")</f>
        <v>LOYAL CUSTOMER</v>
      </c>
      <c r="K3189" s="1" t="n">
        <f aca="false">RANK(E3189,$E$7:$E$4378)+COUNTIF($E$7:E3189,E3189)-1</f>
        <v>119</v>
      </c>
    </row>
    <row r="3190" customFormat="false" ht="14.25" hidden="false" customHeight="true" outlineLevel="0" collapsed="false">
      <c r="A3190" s="51" t="n">
        <v>16657</v>
      </c>
      <c r="B3190" s="53" t="n">
        <v>40877.4916666667</v>
      </c>
      <c r="C3190" s="57" t="n">
        <f aca="false">INT($C$2)-INT(Table3[[#This Row],[Last Purchase Date]])</f>
        <v>10</v>
      </c>
      <c r="D3190" s="1" t="n">
        <v>4</v>
      </c>
      <c r="E3190" s="1" t="n">
        <v>933.62</v>
      </c>
      <c r="F3190" s="1" t="n">
        <f aca="false">ROUND((1-_xlfn.PERCENTRANK.INC($C$7:$C$4378,C3190))*9,0)</f>
        <v>8</v>
      </c>
      <c r="G3190" s="1" t="n">
        <f aca="false">ROUND(_xlfn.PERCENTRANK.INC($D$7:$D$4378,D3190)*9,0)</f>
        <v>5</v>
      </c>
      <c r="H3190" s="1" t="n">
        <f aca="false">ROUND(_xlfn.PERCENTRANK.INC($E$7:$E$4378,E3190)*9,0)</f>
        <v>5</v>
      </c>
      <c r="I3190" s="1" t="str">
        <f aca="false">CONCATENATE(F3190,G3190,H3190)</f>
        <v>855</v>
      </c>
      <c r="J3190" s="1" t="str">
        <f aca="false">_xlfn.IFS(AND(F3190&gt;=8,G3190&gt;=8,H3190&gt;=8),"CHAMPION",AND(F3190&gt;=6,G3190&gt;=7,H3190&gt;=6),"LOYAL CUSTOMER",AND(F3190&gt;=6,G3190&gt;=5,H3190&gt;=5),"POTENTIAL LOYALIST",AND(F3190&gt;=8,G3190&lt;=2,H3190&gt;=5),"NEW CUSTOMERS",AND(F3190&gt;=6,G3190&lt;=2,H3190&gt;=3),"PROMISING",AND(F3190&gt;=3,G3190&gt;=3,H3190&gt;=3),"NEED ATTENTION",AND(F3190&lt;=4,G3190&gt;=6,H3190&gt;=6),"AT RISK",AND(F3190&lt;=2,G3190&gt;=8,H3190&gt;=8),"CAN'T LOSE THEM",AND(F3190&lt;=2,G3190&lt;=2,H3190&lt;=2),"HIBERNATING",TRUE(),"Other")</f>
        <v>POTENTIAL LOYALIST</v>
      </c>
      <c r="K3190" s="1" t="n">
        <f aca="false">RANK(E3190,$E$7:$E$4378)+COUNTIF($E$7:E3190,E3190)-1</f>
        <v>1716</v>
      </c>
    </row>
    <row r="3191" customFormat="false" ht="14.25" hidden="false" customHeight="true" outlineLevel="0" collapsed="false">
      <c r="A3191" s="51" t="n">
        <v>16658</v>
      </c>
      <c r="B3191" s="53" t="n">
        <v>40518.5743055556</v>
      </c>
      <c r="C3191" s="57" t="n">
        <f aca="false">INT($C$2)-INT(Table3[[#This Row],[Last Purchase Date]])</f>
        <v>369</v>
      </c>
      <c r="D3191" s="1" t="n">
        <v>1</v>
      </c>
      <c r="E3191" s="1" t="n">
        <v>123.24</v>
      </c>
      <c r="F3191" s="1" t="n">
        <f aca="false">ROUND((1-_xlfn.PERCENTRANK.INC($C$7:$C$4378,C3191))*9,0)</f>
        <v>0</v>
      </c>
      <c r="G3191" s="1" t="n">
        <f aca="false">ROUND(_xlfn.PERCENTRANK.INC($D$7:$D$4378,D3191)*9,0)</f>
        <v>0</v>
      </c>
      <c r="H3191" s="1" t="n">
        <f aca="false">ROUND(_xlfn.PERCENTRANK.INC($E$7:$E$4378,E3191)*9,0)</f>
        <v>1</v>
      </c>
      <c r="I3191" s="1" t="str">
        <f aca="false">CONCATENATE(F3191,G3191,H3191)</f>
        <v>001</v>
      </c>
      <c r="J3191" s="1" t="str">
        <f aca="false">_xlfn.IFS(AND(F3191&gt;=8,G3191&gt;=8,H3191&gt;=8),"CHAMPION",AND(F3191&gt;=6,G3191&gt;=7,H3191&gt;=6),"LOYAL CUSTOMER",AND(F3191&gt;=6,G3191&gt;=5,H3191&gt;=5),"POTENTIAL LOYALIST",AND(F3191&gt;=8,G3191&lt;=2,H3191&gt;=5),"NEW CUSTOMERS",AND(F3191&gt;=6,G3191&lt;=2,H3191&gt;=3),"PROMISING",AND(F3191&gt;=3,G3191&gt;=3,H3191&gt;=3),"NEED ATTENTION",AND(F3191&lt;=4,G3191&gt;=6,H3191&gt;=6),"AT RISK",AND(F3191&lt;=2,G3191&gt;=8,H3191&gt;=8),"CAN'T LOSE THEM",AND(F3191&lt;=2,G3191&lt;=2,H3191&lt;=2),"HIBERNATING",TRUE(),"Other")</f>
        <v>HIBERNATING</v>
      </c>
      <c r="K3191" s="1" t="n">
        <f aca="false">RANK(E3191,$E$7:$E$4378)+COUNTIF($E$7:E3191,E3191)-1</f>
        <v>4033</v>
      </c>
    </row>
    <row r="3192" customFormat="false" ht="14.25" hidden="false" customHeight="true" outlineLevel="0" collapsed="false">
      <c r="A3192" s="51" t="n">
        <v>16659</v>
      </c>
      <c r="B3192" s="53" t="n">
        <v>40697.6270833333</v>
      </c>
      <c r="C3192" s="57" t="n">
        <f aca="false">INT($C$2)-INT(Table3[[#This Row],[Last Purchase Date]])</f>
        <v>190</v>
      </c>
      <c r="D3192" s="1" t="n">
        <v>1</v>
      </c>
      <c r="E3192" s="1" t="n">
        <v>39.12</v>
      </c>
      <c r="F3192" s="1" t="n">
        <f aca="false">ROUND((1-_xlfn.PERCENTRANK.INC($C$7:$C$4378,C3192))*9,0)</f>
        <v>2</v>
      </c>
      <c r="G3192" s="1" t="n">
        <f aca="false">ROUND(_xlfn.PERCENTRANK.INC($D$7:$D$4378,D3192)*9,0)</f>
        <v>0</v>
      </c>
      <c r="H3192" s="1" t="n">
        <f aca="false">ROUND(_xlfn.PERCENTRANK.INC($E$7:$E$4378,E3192)*9,0)</f>
        <v>0</v>
      </c>
      <c r="I3192" s="1" t="str">
        <f aca="false">CONCATENATE(F3192,G3192,H3192)</f>
        <v>200</v>
      </c>
      <c r="J3192" s="1" t="str">
        <f aca="false">_xlfn.IFS(AND(F3192&gt;=8,G3192&gt;=8,H3192&gt;=8),"CHAMPION",AND(F3192&gt;=6,G3192&gt;=7,H3192&gt;=6),"LOYAL CUSTOMER",AND(F3192&gt;=6,G3192&gt;=5,H3192&gt;=5),"POTENTIAL LOYALIST",AND(F3192&gt;=8,G3192&lt;=2,H3192&gt;=5),"NEW CUSTOMERS",AND(F3192&gt;=6,G3192&lt;=2,H3192&gt;=3),"PROMISING",AND(F3192&gt;=3,G3192&gt;=3,H3192&gt;=3),"NEED ATTENTION",AND(F3192&lt;=4,G3192&gt;=6,H3192&gt;=6),"AT RISK",AND(F3192&lt;=2,G3192&gt;=8,H3192&gt;=8),"CAN'T LOSE THEM",AND(F3192&lt;=2,G3192&lt;=2,H3192&lt;=2),"HIBERNATING",TRUE(),"Other")</f>
        <v>HIBERNATING</v>
      </c>
      <c r="K3192" s="1" t="n">
        <f aca="false">RANK(E3192,$E$7:$E$4378)+COUNTIF($E$7:E3192,E3192)-1</f>
        <v>4294</v>
      </c>
    </row>
    <row r="3193" customFormat="false" ht="14.25" hidden="false" customHeight="true" outlineLevel="0" collapsed="false">
      <c r="A3193" s="51" t="n">
        <v>16660</v>
      </c>
      <c r="B3193" s="53" t="n">
        <v>40870.6201388889</v>
      </c>
      <c r="C3193" s="57" t="n">
        <f aca="false">INT($C$2)-INT(Table3[[#This Row],[Last Purchase Date]])</f>
        <v>17</v>
      </c>
      <c r="D3193" s="1" t="n">
        <v>5</v>
      </c>
      <c r="E3193" s="1" t="n">
        <v>810.45</v>
      </c>
      <c r="F3193" s="1" t="n">
        <f aca="false">ROUND((1-_xlfn.PERCENTRANK.INC($C$7:$C$4378,C3193))*9,0)</f>
        <v>7</v>
      </c>
      <c r="G3193" s="1" t="n">
        <f aca="false">ROUND(_xlfn.PERCENTRANK.INC($D$7:$D$4378,D3193)*9,0)</f>
        <v>6</v>
      </c>
      <c r="H3193" s="1" t="n">
        <f aca="false">ROUND(_xlfn.PERCENTRANK.INC($E$7:$E$4378,E3193)*9,0)</f>
        <v>5</v>
      </c>
      <c r="I3193" s="1" t="str">
        <f aca="false">CONCATENATE(F3193,G3193,H3193)</f>
        <v>765</v>
      </c>
      <c r="J3193" s="1" t="str">
        <f aca="false">_xlfn.IFS(AND(F3193&gt;=8,G3193&gt;=8,H3193&gt;=8),"CHAMPION",AND(F3193&gt;=6,G3193&gt;=7,H3193&gt;=6),"LOYAL CUSTOMER",AND(F3193&gt;=6,G3193&gt;=5,H3193&gt;=5),"POTENTIAL LOYALIST",AND(F3193&gt;=8,G3193&lt;=2,H3193&gt;=5),"NEW CUSTOMERS",AND(F3193&gt;=6,G3193&lt;=2,H3193&gt;=3),"PROMISING",AND(F3193&gt;=3,G3193&gt;=3,H3193&gt;=3),"NEED ATTENTION",AND(F3193&lt;=4,G3193&gt;=6,H3193&gt;=6),"AT RISK",AND(F3193&lt;=2,G3193&gt;=8,H3193&gt;=8),"CAN'T LOSE THEM",AND(F3193&lt;=2,G3193&lt;=2,H3193&lt;=2),"HIBERNATING",TRUE(),"Other")</f>
        <v>POTENTIAL LOYALIST</v>
      </c>
      <c r="K3193" s="1" t="n">
        <f aca="false">RANK(E3193,$E$7:$E$4378)+COUNTIF($E$7:E3193,E3193)-1</f>
        <v>1885</v>
      </c>
    </row>
    <row r="3194" customFormat="false" ht="14.25" hidden="false" customHeight="true" outlineLevel="0" collapsed="false">
      <c r="A3194" s="51" t="n">
        <v>16665</v>
      </c>
      <c r="B3194" s="53" t="n">
        <v>40524.5854166667</v>
      </c>
      <c r="C3194" s="57" t="n">
        <f aca="false">INT($C$2)-INT(Table3[[#This Row],[Last Purchase Date]])</f>
        <v>363</v>
      </c>
      <c r="D3194" s="1" t="n">
        <v>1</v>
      </c>
      <c r="E3194" s="1" t="n">
        <v>135.4</v>
      </c>
      <c r="F3194" s="1" t="n">
        <f aca="false">ROUND((1-_xlfn.PERCENTRANK.INC($C$7:$C$4378,C3194))*9,0)</f>
        <v>0</v>
      </c>
      <c r="G3194" s="1" t="n">
        <f aca="false">ROUND(_xlfn.PERCENTRANK.INC($D$7:$D$4378,D3194)*9,0)</f>
        <v>0</v>
      </c>
      <c r="H3194" s="1" t="n">
        <f aca="false">ROUND(_xlfn.PERCENTRANK.INC($E$7:$E$4378,E3194)*9,0)</f>
        <v>1</v>
      </c>
      <c r="I3194" s="1" t="str">
        <f aca="false">CONCATENATE(F3194,G3194,H3194)</f>
        <v>001</v>
      </c>
      <c r="J3194" s="1" t="str">
        <f aca="false">_xlfn.IFS(AND(F3194&gt;=8,G3194&gt;=8,H3194&gt;=8),"CHAMPION",AND(F3194&gt;=6,G3194&gt;=7,H3194&gt;=6),"LOYAL CUSTOMER",AND(F3194&gt;=6,G3194&gt;=5,H3194&gt;=5),"POTENTIAL LOYALIST",AND(F3194&gt;=8,G3194&lt;=2,H3194&gt;=5),"NEW CUSTOMERS",AND(F3194&gt;=6,G3194&lt;=2,H3194&gt;=3),"PROMISING",AND(F3194&gt;=3,G3194&gt;=3,H3194&gt;=3),"NEED ATTENTION",AND(F3194&lt;=4,G3194&gt;=6,H3194&gt;=6),"AT RISK",AND(F3194&lt;=2,G3194&gt;=8,H3194&gt;=8),"CAN'T LOSE THEM",AND(F3194&lt;=2,G3194&lt;=2,H3194&lt;=2),"HIBERNATING",TRUE(),"Other")</f>
        <v>HIBERNATING</v>
      </c>
      <c r="K3194" s="1" t="n">
        <f aca="false">RANK(E3194,$E$7:$E$4378)+COUNTIF($E$7:E3194,E3194)-1</f>
        <v>3984</v>
      </c>
    </row>
    <row r="3195" customFormat="false" ht="14.25" hidden="false" customHeight="true" outlineLevel="0" collapsed="false">
      <c r="A3195" s="51" t="n">
        <v>16666</v>
      </c>
      <c r="B3195" s="53" t="n">
        <v>40867.5840277778</v>
      </c>
      <c r="C3195" s="57" t="n">
        <f aca="false">INT($C$2)-INT(Table3[[#This Row],[Last Purchase Date]])</f>
        <v>20</v>
      </c>
      <c r="D3195" s="1" t="n">
        <v>1</v>
      </c>
      <c r="E3195" s="1" t="n">
        <v>118.98</v>
      </c>
      <c r="F3195" s="1" t="n">
        <f aca="false">ROUND((1-_xlfn.PERCENTRANK.INC($C$7:$C$4378,C3195))*9,0)</f>
        <v>6</v>
      </c>
      <c r="G3195" s="1" t="n">
        <f aca="false">ROUND(_xlfn.PERCENTRANK.INC($D$7:$D$4378,D3195)*9,0)</f>
        <v>0</v>
      </c>
      <c r="H3195" s="1" t="n">
        <f aca="false">ROUND(_xlfn.PERCENTRANK.INC($E$7:$E$4378,E3195)*9,0)</f>
        <v>1</v>
      </c>
      <c r="I3195" s="1" t="str">
        <f aca="false">CONCATENATE(F3195,G3195,H3195)</f>
        <v>601</v>
      </c>
      <c r="J3195" s="1" t="str">
        <f aca="false">_xlfn.IFS(AND(F3195&gt;=8,G3195&gt;=8,H3195&gt;=8),"CHAMPION",AND(F3195&gt;=6,G3195&gt;=7,H3195&gt;=6),"LOYAL CUSTOMER",AND(F3195&gt;=6,G3195&gt;=5,H3195&gt;=5),"POTENTIAL LOYALIST",AND(F3195&gt;=8,G3195&lt;=2,H3195&gt;=5),"NEW CUSTOMERS",AND(F3195&gt;=6,G3195&lt;=2,H3195&gt;=3),"PROMISING",AND(F3195&gt;=3,G3195&gt;=3,H3195&gt;=3),"NEED ATTENTION",AND(F3195&lt;=4,G3195&gt;=6,H3195&gt;=6),"AT RISK",AND(F3195&lt;=2,G3195&gt;=8,H3195&gt;=8),"CAN'T LOSE THEM",AND(F3195&lt;=2,G3195&lt;=2,H3195&lt;=2),"HIBERNATING",TRUE(),"Other")</f>
        <v>Other</v>
      </c>
      <c r="K3195" s="1" t="n">
        <f aca="false">RANK(E3195,$E$7:$E$4378)+COUNTIF($E$7:E3195,E3195)-1</f>
        <v>4055</v>
      </c>
    </row>
    <row r="3196" customFormat="false" ht="14.25" hidden="false" customHeight="true" outlineLevel="0" collapsed="false">
      <c r="A3196" s="51" t="n">
        <v>16667</v>
      </c>
      <c r="B3196" s="53" t="n">
        <v>40818.6430555556</v>
      </c>
      <c r="C3196" s="57" t="n">
        <f aca="false">INT($C$2)-INT(Table3[[#This Row],[Last Purchase Date]])</f>
        <v>69</v>
      </c>
      <c r="D3196" s="1" t="n">
        <v>2</v>
      </c>
      <c r="E3196" s="1" t="n">
        <v>570.13</v>
      </c>
      <c r="F3196" s="1" t="n">
        <f aca="false">ROUND((1-_xlfn.PERCENTRANK.INC($C$7:$C$4378,C3196))*9,0)</f>
        <v>4</v>
      </c>
      <c r="G3196" s="1" t="n">
        <f aca="false">ROUND(_xlfn.PERCENTRANK.INC($D$7:$D$4378,D3196)*9,0)</f>
        <v>3</v>
      </c>
      <c r="H3196" s="1" t="n">
        <f aca="false">ROUND(_xlfn.PERCENTRANK.INC($E$7:$E$4378,E3196)*9,0)</f>
        <v>4</v>
      </c>
      <c r="I3196" s="1" t="str">
        <f aca="false">CONCATENATE(F3196,G3196,H3196)</f>
        <v>434</v>
      </c>
      <c r="J3196" s="1" t="str">
        <f aca="false">_xlfn.IFS(AND(F3196&gt;=8,G3196&gt;=8,H3196&gt;=8),"CHAMPION",AND(F3196&gt;=6,G3196&gt;=7,H3196&gt;=6),"LOYAL CUSTOMER",AND(F3196&gt;=6,G3196&gt;=5,H3196&gt;=5),"POTENTIAL LOYALIST",AND(F3196&gt;=8,G3196&lt;=2,H3196&gt;=5),"NEW CUSTOMERS",AND(F3196&gt;=6,G3196&lt;=2,H3196&gt;=3),"PROMISING",AND(F3196&gt;=3,G3196&gt;=3,H3196&gt;=3),"NEED ATTENTION",AND(F3196&lt;=4,G3196&gt;=6,H3196&gt;=6),"AT RISK",AND(F3196&lt;=2,G3196&gt;=8,H3196&gt;=8),"CAN'T LOSE THEM",AND(F3196&lt;=2,G3196&lt;=2,H3196&lt;=2),"HIBERNATING",TRUE(),"Other")</f>
        <v>NEED ATTENTION</v>
      </c>
      <c r="K3196" s="1" t="n">
        <f aca="false">RANK(E3196,$E$7:$E$4378)+COUNTIF($E$7:E3196,E3196)-1</f>
        <v>2395</v>
      </c>
    </row>
    <row r="3197" customFormat="false" ht="14.25" hidden="false" customHeight="true" outlineLevel="0" collapsed="false">
      <c r="A3197" s="51" t="n">
        <v>16668</v>
      </c>
      <c r="B3197" s="53" t="n">
        <v>40871.7381944444</v>
      </c>
      <c r="C3197" s="57" t="n">
        <f aca="false">INT($C$2)-INT(Table3[[#This Row],[Last Purchase Date]])</f>
        <v>16</v>
      </c>
      <c r="D3197" s="1" t="n">
        <v>6</v>
      </c>
      <c r="E3197" s="1" t="n">
        <v>306.72</v>
      </c>
      <c r="F3197" s="1" t="n">
        <f aca="false">ROUND((1-_xlfn.PERCENTRANK.INC($C$7:$C$4378,C3197))*9,0)</f>
        <v>7</v>
      </c>
      <c r="G3197" s="1" t="n">
        <f aca="false">ROUND(_xlfn.PERCENTRANK.INC($D$7:$D$4378,D3197)*9,0)</f>
        <v>7</v>
      </c>
      <c r="H3197" s="1" t="n">
        <f aca="false">ROUND(_xlfn.PERCENTRANK.INC($E$7:$E$4378,E3197)*9,0)</f>
        <v>2</v>
      </c>
      <c r="I3197" s="1" t="str">
        <f aca="false">CONCATENATE(F3197,G3197,H3197)</f>
        <v>772</v>
      </c>
      <c r="J3197" s="1" t="str">
        <f aca="false">_xlfn.IFS(AND(F3197&gt;=8,G3197&gt;=8,H3197&gt;=8),"CHAMPION",AND(F3197&gt;=6,G3197&gt;=7,H3197&gt;=6),"LOYAL CUSTOMER",AND(F3197&gt;=6,G3197&gt;=5,H3197&gt;=5),"POTENTIAL LOYALIST",AND(F3197&gt;=8,G3197&lt;=2,H3197&gt;=5),"NEW CUSTOMERS",AND(F3197&gt;=6,G3197&lt;=2,H3197&gt;=3),"PROMISING",AND(F3197&gt;=3,G3197&gt;=3,H3197&gt;=3),"NEED ATTENTION",AND(F3197&lt;=4,G3197&gt;=6,H3197&gt;=6),"AT RISK",AND(F3197&lt;=2,G3197&gt;=8,H3197&gt;=8),"CAN'T LOSE THEM",AND(F3197&lt;=2,G3197&lt;=2,H3197&lt;=2),"HIBERNATING",TRUE(),"Other")</f>
        <v>Other</v>
      </c>
      <c r="K3197" s="1" t="n">
        <f aca="false">RANK(E3197,$E$7:$E$4378)+COUNTIF($E$7:E3197,E3197)-1</f>
        <v>3215</v>
      </c>
    </row>
    <row r="3198" customFormat="false" ht="14.25" hidden="false" customHeight="true" outlineLevel="0" collapsed="false">
      <c r="A3198" s="51" t="n">
        <v>16669</v>
      </c>
      <c r="B3198" s="53" t="n">
        <v>40863.5180555556</v>
      </c>
      <c r="C3198" s="57" t="n">
        <f aca="false">INT($C$2)-INT(Table3[[#This Row],[Last Purchase Date]])</f>
        <v>24</v>
      </c>
      <c r="D3198" s="1" t="n">
        <v>4</v>
      </c>
      <c r="E3198" s="1" t="n">
        <v>1370.87</v>
      </c>
      <c r="F3198" s="1" t="n">
        <f aca="false">ROUND((1-_xlfn.PERCENTRANK.INC($C$7:$C$4378,C3198))*9,0)</f>
        <v>6</v>
      </c>
      <c r="G3198" s="1" t="n">
        <f aca="false">ROUND(_xlfn.PERCENTRANK.INC($D$7:$D$4378,D3198)*9,0)</f>
        <v>5</v>
      </c>
      <c r="H3198" s="1" t="n">
        <f aca="false">ROUND(_xlfn.PERCENTRANK.INC($E$7:$E$4378,E3198)*9,0)</f>
        <v>6</v>
      </c>
      <c r="I3198" s="1" t="str">
        <f aca="false">CONCATENATE(F3198,G3198,H3198)</f>
        <v>656</v>
      </c>
      <c r="J3198" s="1" t="str">
        <f aca="false">_xlfn.IFS(AND(F3198&gt;=8,G3198&gt;=8,H3198&gt;=8),"CHAMPION",AND(F3198&gt;=6,G3198&gt;=7,H3198&gt;=6),"LOYAL CUSTOMER",AND(F3198&gt;=6,G3198&gt;=5,H3198&gt;=5),"POTENTIAL LOYALIST",AND(F3198&gt;=8,G3198&lt;=2,H3198&gt;=5),"NEW CUSTOMERS",AND(F3198&gt;=6,G3198&lt;=2,H3198&gt;=3),"PROMISING",AND(F3198&gt;=3,G3198&gt;=3,H3198&gt;=3),"NEED ATTENTION",AND(F3198&lt;=4,G3198&gt;=6,H3198&gt;=6),"AT RISK",AND(F3198&lt;=2,G3198&gt;=8,H3198&gt;=8),"CAN'T LOSE THEM",AND(F3198&lt;=2,G3198&lt;=2,H3198&lt;=2),"HIBERNATING",TRUE(),"Other")</f>
        <v>POTENTIAL LOYALIST</v>
      </c>
      <c r="K3198" s="1" t="n">
        <f aca="false">RANK(E3198,$E$7:$E$4378)+COUNTIF($E$7:E3198,E3198)-1</f>
        <v>1260</v>
      </c>
    </row>
    <row r="3199" customFormat="false" ht="14.25" hidden="false" customHeight="true" outlineLevel="0" collapsed="false">
      <c r="A3199" s="51" t="n">
        <v>16670</v>
      </c>
      <c r="B3199" s="53" t="n">
        <v>40870.3986111111</v>
      </c>
      <c r="C3199" s="57" t="n">
        <f aca="false">INT($C$2)-INT(Table3[[#This Row],[Last Purchase Date]])</f>
        <v>17</v>
      </c>
      <c r="D3199" s="1" t="n">
        <v>17</v>
      </c>
      <c r="E3199" s="1" t="n">
        <v>4022.46</v>
      </c>
      <c r="F3199" s="1" t="n">
        <f aca="false">ROUND((1-_xlfn.PERCENTRANK.INC($C$7:$C$4378,C3199))*9,0)</f>
        <v>7</v>
      </c>
      <c r="G3199" s="1" t="n">
        <f aca="false">ROUND(_xlfn.PERCENTRANK.INC($D$7:$D$4378,D3199)*9,0)</f>
        <v>9</v>
      </c>
      <c r="H3199" s="1" t="n">
        <f aca="false">ROUND(_xlfn.PERCENTRANK.INC($E$7:$E$4378,E3199)*9,0)</f>
        <v>8</v>
      </c>
      <c r="I3199" s="1" t="str">
        <f aca="false">CONCATENATE(F3199,G3199,H3199)</f>
        <v>798</v>
      </c>
      <c r="J3199" s="1" t="str">
        <f aca="false">_xlfn.IFS(AND(F3199&gt;=8,G3199&gt;=8,H3199&gt;=8),"CHAMPION",AND(F3199&gt;=6,G3199&gt;=7,H3199&gt;=6),"LOYAL CUSTOMER",AND(F3199&gt;=6,G3199&gt;=5,H3199&gt;=5),"POTENTIAL LOYALIST",AND(F3199&gt;=8,G3199&lt;=2,H3199&gt;=5),"NEW CUSTOMERS",AND(F3199&gt;=6,G3199&lt;=2,H3199&gt;=3),"PROMISING",AND(F3199&gt;=3,G3199&gt;=3,H3199&gt;=3),"NEED ATTENTION",AND(F3199&lt;=4,G3199&gt;=6,H3199&gt;=6),"AT RISK",AND(F3199&lt;=2,G3199&gt;=8,H3199&gt;=8),"CAN'T LOSE THEM",AND(F3199&lt;=2,G3199&lt;=2,H3199&lt;=2),"HIBERNATING",TRUE(),"Other")</f>
        <v>LOYAL CUSTOMER</v>
      </c>
      <c r="K3199" s="1" t="n">
        <f aca="false">RANK(E3199,$E$7:$E$4378)+COUNTIF($E$7:E3199,E3199)-1</f>
        <v>348</v>
      </c>
    </row>
    <row r="3200" customFormat="false" ht="14.25" hidden="false" customHeight="true" outlineLevel="0" collapsed="false">
      <c r="A3200" s="51" t="n">
        <v>16671</v>
      </c>
      <c r="B3200" s="53" t="n">
        <v>40858.5694444445</v>
      </c>
      <c r="C3200" s="57" t="n">
        <f aca="false">INT($C$2)-INT(Table3[[#This Row],[Last Purchase Date]])</f>
        <v>29</v>
      </c>
      <c r="D3200" s="1" t="n">
        <v>3</v>
      </c>
      <c r="E3200" s="1" t="n">
        <v>1692.27</v>
      </c>
      <c r="F3200" s="1" t="n">
        <f aca="false">ROUND((1-_xlfn.PERCENTRANK.INC($C$7:$C$4378,C3200))*9,0)</f>
        <v>6</v>
      </c>
      <c r="G3200" s="1" t="n">
        <f aca="false">ROUND(_xlfn.PERCENTRANK.INC($D$7:$D$4378,D3200)*9,0)</f>
        <v>4</v>
      </c>
      <c r="H3200" s="1" t="n">
        <f aca="false">ROUND(_xlfn.PERCENTRANK.INC($E$7:$E$4378,E3200)*9,0)</f>
        <v>7</v>
      </c>
      <c r="I3200" s="1" t="str">
        <f aca="false">CONCATENATE(F3200,G3200,H3200)</f>
        <v>647</v>
      </c>
      <c r="J3200" s="1" t="str">
        <f aca="false">_xlfn.IFS(AND(F3200&gt;=8,G3200&gt;=8,H3200&gt;=8),"CHAMPION",AND(F3200&gt;=6,G3200&gt;=7,H3200&gt;=6),"LOYAL CUSTOMER",AND(F3200&gt;=6,G3200&gt;=5,H3200&gt;=5),"POTENTIAL LOYALIST",AND(F3200&gt;=8,G3200&lt;=2,H3200&gt;=5),"NEW CUSTOMERS",AND(F3200&gt;=6,G3200&lt;=2,H3200&gt;=3),"PROMISING",AND(F3200&gt;=3,G3200&gt;=3,H3200&gt;=3),"NEED ATTENTION",AND(F3200&lt;=4,G3200&gt;=6,H3200&gt;=6),"AT RISK",AND(F3200&lt;=2,G3200&gt;=8,H3200&gt;=8),"CAN'T LOSE THEM",AND(F3200&lt;=2,G3200&lt;=2,H3200&lt;=2),"HIBERNATING",TRUE(),"Other")</f>
        <v>NEED ATTENTION</v>
      </c>
      <c r="K3200" s="1" t="n">
        <f aca="false">RANK(E3200,$E$7:$E$4378)+COUNTIF($E$7:E3200,E3200)-1</f>
        <v>1043</v>
      </c>
    </row>
    <row r="3201" customFormat="false" ht="14.25" hidden="false" customHeight="true" outlineLevel="0" collapsed="false">
      <c r="A3201" s="51" t="n">
        <v>16672</v>
      </c>
      <c r="B3201" s="53" t="n">
        <v>40884.6868055556</v>
      </c>
      <c r="C3201" s="57" t="n">
        <f aca="false">INT($C$2)-INT(Table3[[#This Row],[Last Purchase Date]])</f>
        <v>3</v>
      </c>
      <c r="D3201" s="1" t="n">
        <v>23</v>
      </c>
      <c r="E3201" s="1" t="n">
        <v>8093.59</v>
      </c>
      <c r="F3201" s="1" t="n">
        <f aca="false">ROUND((1-_xlfn.PERCENTRANK.INC($C$7:$C$4378,C3201))*9,0)</f>
        <v>9</v>
      </c>
      <c r="G3201" s="1" t="n">
        <f aca="false">ROUND(_xlfn.PERCENTRANK.INC($D$7:$D$4378,D3201)*9,0)</f>
        <v>9</v>
      </c>
      <c r="H3201" s="1" t="n">
        <f aca="false">ROUND(_xlfn.PERCENTRANK.INC($E$7:$E$4378,E3201)*9,0)</f>
        <v>9</v>
      </c>
      <c r="I3201" s="1" t="str">
        <f aca="false">CONCATENATE(F3201,G3201,H3201)</f>
        <v>999</v>
      </c>
      <c r="J3201" s="1" t="str">
        <f aca="false">_xlfn.IFS(AND(F3201&gt;=8,G3201&gt;=8,H3201&gt;=8),"CHAMPION",AND(F3201&gt;=6,G3201&gt;=7,H3201&gt;=6),"LOYAL CUSTOMER",AND(F3201&gt;=6,G3201&gt;=5,H3201&gt;=5),"POTENTIAL LOYALIST",AND(F3201&gt;=8,G3201&lt;=2,H3201&gt;=5),"NEW CUSTOMERS",AND(F3201&gt;=6,G3201&lt;=2,H3201&gt;=3),"PROMISING",AND(F3201&gt;=3,G3201&gt;=3,H3201&gt;=3),"NEED ATTENTION",AND(F3201&lt;=4,G3201&gt;=6,H3201&gt;=6),"AT RISK",AND(F3201&lt;=2,G3201&gt;=8,H3201&gt;=8),"CAN'T LOSE THEM",AND(F3201&lt;=2,G3201&lt;=2,H3201&lt;=2),"HIBERNATING",TRUE(),"Other")</f>
        <v>CHAMPION</v>
      </c>
      <c r="K3201" s="1" t="n">
        <f aca="false">RANK(E3201,$E$7:$E$4378)+COUNTIF($E$7:E3201,E3201)-1</f>
        <v>126</v>
      </c>
    </row>
    <row r="3202" customFormat="false" ht="14.25" hidden="false" customHeight="true" outlineLevel="0" collapsed="false">
      <c r="A3202" s="51" t="n">
        <v>16674</v>
      </c>
      <c r="B3202" s="53" t="n">
        <v>40832.4798611111</v>
      </c>
      <c r="C3202" s="57" t="n">
        <f aca="false">INT($C$2)-INT(Table3[[#This Row],[Last Purchase Date]])</f>
        <v>55</v>
      </c>
      <c r="D3202" s="1" t="n">
        <v>2</v>
      </c>
      <c r="E3202" s="1" t="n">
        <v>319.61</v>
      </c>
      <c r="F3202" s="1" t="n">
        <f aca="false">ROUND((1-_xlfn.PERCENTRANK.INC($C$7:$C$4378,C3202))*9,0)</f>
        <v>4</v>
      </c>
      <c r="G3202" s="1" t="n">
        <f aca="false">ROUND(_xlfn.PERCENTRANK.INC($D$7:$D$4378,D3202)*9,0)</f>
        <v>3</v>
      </c>
      <c r="H3202" s="1" t="n">
        <f aca="false">ROUND(_xlfn.PERCENTRANK.INC($E$7:$E$4378,E3202)*9,0)</f>
        <v>3</v>
      </c>
      <c r="I3202" s="1" t="str">
        <f aca="false">CONCATENATE(F3202,G3202,H3202)</f>
        <v>433</v>
      </c>
      <c r="J3202" s="1" t="str">
        <f aca="false">_xlfn.IFS(AND(F3202&gt;=8,G3202&gt;=8,H3202&gt;=8),"CHAMPION",AND(F3202&gt;=6,G3202&gt;=7,H3202&gt;=6),"LOYAL CUSTOMER",AND(F3202&gt;=6,G3202&gt;=5,H3202&gt;=5),"POTENTIAL LOYALIST",AND(F3202&gt;=8,G3202&lt;=2,H3202&gt;=5),"NEW CUSTOMERS",AND(F3202&gt;=6,G3202&lt;=2,H3202&gt;=3),"PROMISING",AND(F3202&gt;=3,G3202&gt;=3,H3202&gt;=3),"NEED ATTENTION",AND(F3202&lt;=4,G3202&gt;=6,H3202&gt;=6),"AT RISK",AND(F3202&lt;=2,G3202&gt;=8,H3202&gt;=8),"CAN'T LOSE THEM",AND(F3202&lt;=2,G3202&lt;=2,H3202&lt;=2),"HIBERNATING",TRUE(),"Other")</f>
        <v>NEED ATTENTION</v>
      </c>
      <c r="K3202" s="1" t="n">
        <f aca="false">RANK(E3202,$E$7:$E$4378)+COUNTIF($E$7:E3202,E3202)-1</f>
        <v>3141</v>
      </c>
    </row>
    <row r="3203" customFormat="false" ht="14.25" hidden="false" customHeight="true" outlineLevel="0" collapsed="false">
      <c r="A3203" s="51" t="n">
        <v>16676</v>
      </c>
      <c r="B3203" s="53" t="n">
        <v>40853.5006944445</v>
      </c>
      <c r="C3203" s="57" t="n">
        <f aca="false">INT($C$2)-INT(Table3[[#This Row],[Last Purchase Date]])</f>
        <v>34</v>
      </c>
      <c r="D3203" s="1" t="n">
        <v>5</v>
      </c>
      <c r="E3203" s="1" t="n">
        <v>1558.72</v>
      </c>
      <c r="F3203" s="1" t="n">
        <f aca="false">ROUND((1-_xlfn.PERCENTRANK.INC($C$7:$C$4378,C3203))*9,0)</f>
        <v>5</v>
      </c>
      <c r="G3203" s="1" t="n">
        <f aca="false">ROUND(_xlfn.PERCENTRANK.INC($D$7:$D$4378,D3203)*9,0)</f>
        <v>6</v>
      </c>
      <c r="H3203" s="1" t="n">
        <f aca="false">ROUND(_xlfn.PERCENTRANK.INC($E$7:$E$4378,E3203)*9,0)</f>
        <v>7</v>
      </c>
      <c r="I3203" s="1" t="str">
        <f aca="false">CONCATENATE(F3203,G3203,H3203)</f>
        <v>567</v>
      </c>
      <c r="J3203" s="1" t="str">
        <f aca="false">_xlfn.IFS(AND(F3203&gt;=8,G3203&gt;=8,H3203&gt;=8),"CHAMPION",AND(F3203&gt;=6,G3203&gt;=7,H3203&gt;=6),"LOYAL CUSTOMER",AND(F3203&gt;=6,G3203&gt;=5,H3203&gt;=5),"POTENTIAL LOYALIST",AND(F3203&gt;=8,G3203&lt;=2,H3203&gt;=5),"NEW CUSTOMERS",AND(F3203&gt;=6,G3203&lt;=2,H3203&gt;=3),"PROMISING",AND(F3203&gt;=3,G3203&gt;=3,H3203&gt;=3),"NEED ATTENTION",AND(F3203&lt;=4,G3203&gt;=6,H3203&gt;=6),"AT RISK",AND(F3203&lt;=2,G3203&gt;=8,H3203&gt;=8),"CAN'T LOSE THEM",AND(F3203&lt;=2,G3203&lt;=2,H3203&lt;=2),"HIBERNATING",TRUE(),"Other")</f>
        <v>NEED ATTENTION</v>
      </c>
      <c r="K3203" s="1" t="n">
        <f aca="false">RANK(E3203,$E$7:$E$4378)+COUNTIF($E$7:E3203,E3203)-1</f>
        <v>1120</v>
      </c>
    </row>
    <row r="3204" customFormat="false" ht="14.25" hidden="false" customHeight="true" outlineLevel="0" collapsed="false">
      <c r="A3204" s="51" t="n">
        <v>16678</v>
      </c>
      <c r="B3204" s="53" t="n">
        <v>40884.5118055556</v>
      </c>
      <c r="C3204" s="57" t="n">
        <f aca="false">INT($C$2)-INT(Table3[[#This Row],[Last Purchase Date]])</f>
        <v>3</v>
      </c>
      <c r="D3204" s="1" t="n">
        <v>17</v>
      </c>
      <c r="E3204" s="1" t="n">
        <v>3013.83</v>
      </c>
      <c r="F3204" s="1" t="n">
        <f aca="false">ROUND((1-_xlfn.PERCENTRANK.INC($C$7:$C$4378,C3204))*9,0)</f>
        <v>9</v>
      </c>
      <c r="G3204" s="1" t="n">
        <f aca="false">ROUND(_xlfn.PERCENTRANK.INC($D$7:$D$4378,D3204)*9,0)</f>
        <v>9</v>
      </c>
      <c r="H3204" s="1" t="n">
        <f aca="false">ROUND(_xlfn.PERCENTRANK.INC($E$7:$E$4378,E3204)*9,0)</f>
        <v>8</v>
      </c>
      <c r="I3204" s="1" t="str">
        <f aca="false">CONCATENATE(F3204,G3204,H3204)</f>
        <v>998</v>
      </c>
      <c r="J3204" s="1" t="str">
        <f aca="false">_xlfn.IFS(AND(F3204&gt;=8,G3204&gt;=8,H3204&gt;=8),"CHAMPION",AND(F3204&gt;=6,G3204&gt;=7,H3204&gt;=6),"LOYAL CUSTOMER",AND(F3204&gt;=6,G3204&gt;=5,H3204&gt;=5),"POTENTIAL LOYALIST",AND(F3204&gt;=8,G3204&lt;=2,H3204&gt;=5),"NEW CUSTOMERS",AND(F3204&gt;=6,G3204&lt;=2,H3204&gt;=3),"PROMISING",AND(F3204&gt;=3,G3204&gt;=3,H3204&gt;=3),"NEED ATTENTION",AND(F3204&lt;=4,G3204&gt;=6,H3204&gt;=6),"AT RISK",AND(F3204&lt;=2,G3204&gt;=8,H3204&gt;=8),"CAN'T LOSE THEM",AND(F3204&lt;=2,G3204&lt;=2,H3204&lt;=2),"HIBERNATING",TRUE(),"Other")</f>
        <v>CHAMPION</v>
      </c>
      <c r="K3204" s="1" t="n">
        <f aca="false">RANK(E3204,$E$7:$E$4378)+COUNTIF($E$7:E3204,E3204)-1</f>
        <v>537</v>
      </c>
    </row>
    <row r="3205" customFormat="false" ht="14.25" hidden="false" customHeight="true" outlineLevel="0" collapsed="false">
      <c r="A3205" s="51" t="n">
        <v>16679</v>
      </c>
      <c r="B3205" s="53" t="n">
        <v>40520.5770833333</v>
      </c>
      <c r="C3205" s="57" t="n">
        <f aca="false">INT($C$2)-INT(Table3[[#This Row],[Last Purchase Date]])</f>
        <v>367</v>
      </c>
      <c r="D3205" s="1" t="n">
        <v>1</v>
      </c>
      <c r="E3205" s="1" t="n">
        <v>129.75</v>
      </c>
      <c r="F3205" s="1" t="n">
        <f aca="false">ROUND((1-_xlfn.PERCENTRANK.INC($C$7:$C$4378,C3205))*9,0)</f>
        <v>0</v>
      </c>
      <c r="G3205" s="1" t="n">
        <f aca="false">ROUND(_xlfn.PERCENTRANK.INC($D$7:$D$4378,D3205)*9,0)</f>
        <v>0</v>
      </c>
      <c r="H3205" s="1" t="n">
        <f aca="false">ROUND(_xlfn.PERCENTRANK.INC($E$7:$E$4378,E3205)*9,0)</f>
        <v>1</v>
      </c>
      <c r="I3205" s="1" t="str">
        <f aca="false">CONCATENATE(F3205,G3205,H3205)</f>
        <v>001</v>
      </c>
      <c r="J3205" s="1" t="str">
        <f aca="false">_xlfn.IFS(AND(F3205&gt;=8,G3205&gt;=8,H3205&gt;=8),"CHAMPION",AND(F3205&gt;=6,G3205&gt;=7,H3205&gt;=6),"LOYAL CUSTOMER",AND(F3205&gt;=6,G3205&gt;=5,H3205&gt;=5),"POTENTIAL LOYALIST",AND(F3205&gt;=8,G3205&lt;=2,H3205&gt;=5),"NEW CUSTOMERS",AND(F3205&gt;=6,G3205&lt;=2,H3205&gt;=3),"PROMISING",AND(F3205&gt;=3,G3205&gt;=3,H3205&gt;=3),"NEED ATTENTION",AND(F3205&lt;=4,G3205&gt;=6,H3205&gt;=6),"AT RISK",AND(F3205&lt;=2,G3205&gt;=8,H3205&gt;=8),"CAN'T LOSE THEM",AND(F3205&lt;=2,G3205&lt;=2,H3205&lt;=2),"HIBERNATING",TRUE(),"Other")</f>
        <v>HIBERNATING</v>
      </c>
      <c r="K3205" s="1" t="n">
        <f aca="false">RANK(E3205,$E$7:$E$4378)+COUNTIF($E$7:E3205,E3205)-1</f>
        <v>4007</v>
      </c>
    </row>
    <row r="3206" customFormat="false" ht="14.25" hidden="false" customHeight="true" outlineLevel="0" collapsed="false">
      <c r="A3206" s="51" t="n">
        <v>16680</v>
      </c>
      <c r="B3206" s="53" t="n">
        <v>40843.7326388889</v>
      </c>
      <c r="C3206" s="57" t="n">
        <f aca="false">INT($C$2)-INT(Table3[[#This Row],[Last Purchase Date]])</f>
        <v>44</v>
      </c>
      <c r="D3206" s="1" t="n">
        <v>1</v>
      </c>
      <c r="E3206" s="1" t="n">
        <v>183.7</v>
      </c>
      <c r="F3206" s="1" t="n">
        <f aca="false">ROUND((1-_xlfn.PERCENTRANK.INC($C$7:$C$4378,C3206))*9,0)</f>
        <v>5</v>
      </c>
      <c r="G3206" s="1" t="n">
        <f aca="false">ROUND(_xlfn.PERCENTRANK.INC($D$7:$D$4378,D3206)*9,0)</f>
        <v>0</v>
      </c>
      <c r="H3206" s="1" t="n">
        <f aca="false">ROUND(_xlfn.PERCENTRANK.INC($E$7:$E$4378,E3206)*9,0)</f>
        <v>1</v>
      </c>
      <c r="I3206" s="1" t="str">
        <f aca="false">CONCATENATE(F3206,G3206,H3206)</f>
        <v>501</v>
      </c>
      <c r="J3206" s="1" t="str">
        <f aca="false">_xlfn.IFS(AND(F3206&gt;=8,G3206&gt;=8,H3206&gt;=8),"CHAMPION",AND(F3206&gt;=6,G3206&gt;=7,H3206&gt;=6),"LOYAL CUSTOMER",AND(F3206&gt;=6,G3206&gt;=5,H3206&gt;=5),"POTENTIAL LOYALIST",AND(F3206&gt;=8,G3206&lt;=2,H3206&gt;=5),"NEW CUSTOMERS",AND(F3206&gt;=6,G3206&lt;=2,H3206&gt;=3),"PROMISING",AND(F3206&gt;=3,G3206&gt;=3,H3206&gt;=3),"NEED ATTENTION",AND(F3206&lt;=4,G3206&gt;=6,H3206&gt;=6),"AT RISK",AND(F3206&lt;=2,G3206&gt;=8,H3206&gt;=8),"CAN'T LOSE THEM",AND(F3206&lt;=2,G3206&lt;=2,H3206&lt;=2),"HIBERNATING",TRUE(),"Other")</f>
        <v>Other</v>
      </c>
      <c r="K3206" s="1" t="n">
        <f aca="false">RANK(E3206,$E$7:$E$4378)+COUNTIF($E$7:E3206,E3206)-1</f>
        <v>3734</v>
      </c>
    </row>
    <row r="3207" customFormat="false" ht="14.25" hidden="false" customHeight="true" outlineLevel="0" collapsed="false">
      <c r="A3207" s="51" t="n">
        <v>16681</v>
      </c>
      <c r="B3207" s="53" t="n">
        <v>40814.4659722222</v>
      </c>
      <c r="C3207" s="57" t="n">
        <f aca="false">INT($C$2)-INT(Table3[[#This Row],[Last Purchase Date]])</f>
        <v>73</v>
      </c>
      <c r="D3207" s="1" t="n">
        <v>6</v>
      </c>
      <c r="E3207" s="1" t="n">
        <v>1770.34</v>
      </c>
      <c r="F3207" s="1" t="n">
        <f aca="false">ROUND((1-_xlfn.PERCENTRANK.INC($C$7:$C$4378,C3207))*9,0)</f>
        <v>4</v>
      </c>
      <c r="G3207" s="1" t="n">
        <f aca="false">ROUND(_xlfn.PERCENTRANK.INC($D$7:$D$4378,D3207)*9,0)</f>
        <v>7</v>
      </c>
      <c r="H3207" s="1" t="n">
        <f aca="false">ROUND(_xlfn.PERCENTRANK.INC($E$7:$E$4378,E3207)*9,0)</f>
        <v>7</v>
      </c>
      <c r="I3207" s="1" t="str">
        <f aca="false">CONCATENATE(F3207,G3207,H3207)</f>
        <v>477</v>
      </c>
      <c r="J3207" s="1" t="str">
        <f aca="false">_xlfn.IFS(AND(F3207&gt;=8,G3207&gt;=8,H3207&gt;=8),"CHAMPION",AND(F3207&gt;=6,G3207&gt;=7,H3207&gt;=6),"LOYAL CUSTOMER",AND(F3207&gt;=6,G3207&gt;=5,H3207&gt;=5),"POTENTIAL LOYALIST",AND(F3207&gt;=8,G3207&lt;=2,H3207&gt;=5),"NEW CUSTOMERS",AND(F3207&gt;=6,G3207&lt;=2,H3207&gt;=3),"PROMISING",AND(F3207&gt;=3,G3207&gt;=3,H3207&gt;=3),"NEED ATTENTION",AND(F3207&lt;=4,G3207&gt;=6,H3207&gt;=6),"AT RISK",AND(F3207&lt;=2,G3207&gt;=8,H3207&gt;=8),"CAN'T LOSE THEM",AND(F3207&lt;=2,G3207&lt;=2,H3207&lt;=2),"HIBERNATING",TRUE(),"Other")</f>
        <v>NEED ATTENTION</v>
      </c>
      <c r="K3207" s="1" t="n">
        <f aca="false">RANK(E3207,$E$7:$E$4378)+COUNTIF($E$7:E3207,E3207)-1</f>
        <v>998</v>
      </c>
    </row>
    <row r="3208" customFormat="false" ht="14.25" hidden="false" customHeight="true" outlineLevel="0" collapsed="false">
      <c r="A3208" s="51" t="n">
        <v>16682</v>
      </c>
      <c r="B3208" s="53" t="n">
        <v>40882.5090277778</v>
      </c>
      <c r="C3208" s="57" t="n">
        <f aca="false">INT($C$2)-INT(Table3[[#This Row],[Last Purchase Date]])</f>
        <v>5</v>
      </c>
      <c r="D3208" s="1" t="n">
        <v>5</v>
      </c>
      <c r="E3208" s="1" t="n">
        <v>1028</v>
      </c>
      <c r="F3208" s="1" t="n">
        <f aca="false">ROUND((1-_xlfn.PERCENTRANK.INC($C$7:$C$4378,C3208))*9,0)</f>
        <v>8</v>
      </c>
      <c r="G3208" s="1" t="n">
        <f aca="false">ROUND(_xlfn.PERCENTRANK.INC($D$7:$D$4378,D3208)*9,0)</f>
        <v>6</v>
      </c>
      <c r="H3208" s="1" t="n">
        <f aca="false">ROUND(_xlfn.PERCENTRANK.INC($E$7:$E$4378,E3208)*9,0)</f>
        <v>6</v>
      </c>
      <c r="I3208" s="1" t="str">
        <f aca="false">CONCATENATE(F3208,G3208,H3208)</f>
        <v>866</v>
      </c>
      <c r="J3208" s="1" t="str">
        <f aca="false">_xlfn.IFS(AND(F3208&gt;=8,G3208&gt;=8,H3208&gt;=8),"CHAMPION",AND(F3208&gt;=6,G3208&gt;=7,H3208&gt;=6),"LOYAL CUSTOMER",AND(F3208&gt;=6,G3208&gt;=5,H3208&gt;=5),"POTENTIAL LOYALIST",AND(F3208&gt;=8,G3208&lt;=2,H3208&gt;=5),"NEW CUSTOMERS",AND(F3208&gt;=6,G3208&lt;=2,H3208&gt;=3),"PROMISING",AND(F3208&gt;=3,G3208&gt;=3,H3208&gt;=3),"NEED ATTENTION",AND(F3208&lt;=4,G3208&gt;=6,H3208&gt;=6),"AT RISK",AND(F3208&lt;=2,G3208&gt;=8,H3208&gt;=8),"CAN'T LOSE THEM",AND(F3208&lt;=2,G3208&lt;=2,H3208&lt;=2),"HIBERNATING",TRUE(),"Other")</f>
        <v>POTENTIAL LOYALIST</v>
      </c>
      <c r="K3208" s="1" t="n">
        <f aca="false">RANK(E3208,$E$7:$E$4378)+COUNTIF($E$7:E3208,E3208)-1</f>
        <v>1597</v>
      </c>
    </row>
    <row r="3209" customFormat="false" ht="14.25" hidden="false" customHeight="true" outlineLevel="0" collapsed="false">
      <c r="A3209" s="51" t="n">
        <v>16684</v>
      </c>
      <c r="B3209" s="53" t="n">
        <v>40882.5875</v>
      </c>
      <c r="C3209" s="57" t="n">
        <f aca="false">INT($C$2)-INT(Table3[[#This Row],[Last Purchase Date]])</f>
        <v>5</v>
      </c>
      <c r="D3209" s="1" t="n">
        <v>31</v>
      </c>
      <c r="E3209" s="1" t="n">
        <v>65892.08</v>
      </c>
      <c r="F3209" s="1" t="n">
        <f aca="false">ROUND((1-_xlfn.PERCENTRANK.INC($C$7:$C$4378,C3209))*9,0)</f>
        <v>8</v>
      </c>
      <c r="G3209" s="1" t="n">
        <f aca="false">ROUND(_xlfn.PERCENTRANK.INC($D$7:$D$4378,D3209)*9,0)</f>
        <v>9</v>
      </c>
      <c r="H3209" s="1" t="n">
        <f aca="false">ROUND(_xlfn.PERCENTRANK.INC($E$7:$E$4378,E3209)*9,0)</f>
        <v>9</v>
      </c>
      <c r="I3209" s="1" t="str">
        <f aca="false">CONCATENATE(F3209,G3209,H3209)</f>
        <v>899</v>
      </c>
      <c r="J3209" s="1" t="str">
        <f aca="false">_xlfn.IFS(AND(F3209&gt;=8,G3209&gt;=8,H3209&gt;=8),"CHAMPION",AND(F3209&gt;=6,G3209&gt;=7,H3209&gt;=6),"LOYAL CUSTOMER",AND(F3209&gt;=6,G3209&gt;=5,H3209&gt;=5),"POTENTIAL LOYALIST",AND(F3209&gt;=8,G3209&lt;=2,H3209&gt;=5),"NEW CUSTOMERS",AND(F3209&gt;=6,G3209&lt;=2,H3209&gt;=3),"PROMISING",AND(F3209&gt;=3,G3209&gt;=3,H3209&gt;=3),"NEED ATTENTION",AND(F3209&lt;=4,G3209&gt;=6,H3209&gt;=6),"AT RISK",AND(F3209&lt;=2,G3209&gt;=8,H3209&gt;=8),"CAN'T LOSE THEM",AND(F3209&lt;=2,G3209&lt;=2,H3209&lt;=2),"HIBERNATING",TRUE(),"Other")</f>
        <v>CHAMPION</v>
      </c>
      <c r="K3209" s="1" t="n">
        <f aca="false">RANK(E3209,$E$7:$E$4378)+COUNTIF($E$7:E3209,E3209)-1</f>
        <v>8</v>
      </c>
    </row>
    <row r="3210" customFormat="false" ht="14.25" hidden="false" customHeight="true" outlineLevel="0" collapsed="false">
      <c r="A3210" s="51" t="n">
        <v>16685</v>
      </c>
      <c r="B3210" s="53" t="n">
        <v>40825.5819444444</v>
      </c>
      <c r="C3210" s="57" t="n">
        <f aca="false">INT($C$2)-INT(Table3[[#This Row],[Last Purchase Date]])</f>
        <v>62</v>
      </c>
      <c r="D3210" s="1" t="n">
        <v>2</v>
      </c>
      <c r="E3210" s="1" t="n">
        <v>324.24</v>
      </c>
      <c r="F3210" s="1" t="n">
        <f aca="false">ROUND((1-_xlfn.PERCENTRANK.INC($C$7:$C$4378,C3210))*9,0)</f>
        <v>4</v>
      </c>
      <c r="G3210" s="1" t="n">
        <f aca="false">ROUND(_xlfn.PERCENTRANK.INC($D$7:$D$4378,D3210)*9,0)</f>
        <v>3</v>
      </c>
      <c r="H3210" s="1" t="n">
        <f aca="false">ROUND(_xlfn.PERCENTRANK.INC($E$7:$E$4378,E3210)*9,0)</f>
        <v>3</v>
      </c>
      <c r="I3210" s="1" t="str">
        <f aca="false">CONCATENATE(F3210,G3210,H3210)</f>
        <v>433</v>
      </c>
      <c r="J3210" s="1" t="str">
        <f aca="false">_xlfn.IFS(AND(F3210&gt;=8,G3210&gt;=8,H3210&gt;=8),"CHAMPION",AND(F3210&gt;=6,G3210&gt;=7,H3210&gt;=6),"LOYAL CUSTOMER",AND(F3210&gt;=6,G3210&gt;=5,H3210&gt;=5),"POTENTIAL LOYALIST",AND(F3210&gt;=8,G3210&lt;=2,H3210&gt;=5),"NEW CUSTOMERS",AND(F3210&gt;=6,G3210&lt;=2,H3210&gt;=3),"PROMISING",AND(F3210&gt;=3,G3210&gt;=3,H3210&gt;=3),"NEED ATTENTION",AND(F3210&lt;=4,G3210&gt;=6,H3210&gt;=6),"AT RISK",AND(F3210&lt;=2,G3210&gt;=8,H3210&gt;=8),"CAN'T LOSE THEM",AND(F3210&lt;=2,G3210&lt;=2,H3210&lt;=2),"HIBERNATING",TRUE(),"Other")</f>
        <v>NEED ATTENTION</v>
      </c>
      <c r="K3210" s="1" t="n">
        <f aca="false">RANK(E3210,$E$7:$E$4378)+COUNTIF($E$7:E3210,E3210)-1</f>
        <v>3120</v>
      </c>
    </row>
    <row r="3211" customFormat="false" ht="14.25" hidden="false" customHeight="true" outlineLevel="0" collapsed="false">
      <c r="A3211" s="51" t="n">
        <v>16686</v>
      </c>
      <c r="B3211" s="53" t="n">
        <v>40839.5756944444</v>
      </c>
      <c r="C3211" s="57" t="n">
        <f aca="false">INT($C$2)-INT(Table3[[#This Row],[Last Purchase Date]])</f>
        <v>48</v>
      </c>
      <c r="D3211" s="1" t="n">
        <v>9</v>
      </c>
      <c r="E3211" s="1" t="n">
        <v>3043.48</v>
      </c>
      <c r="F3211" s="1" t="n">
        <f aca="false">ROUND((1-_xlfn.PERCENTRANK.INC($C$7:$C$4378,C3211))*9,0)</f>
        <v>5</v>
      </c>
      <c r="G3211" s="1" t="n">
        <f aca="false">ROUND(_xlfn.PERCENTRANK.INC($D$7:$D$4378,D3211)*9,0)</f>
        <v>8</v>
      </c>
      <c r="H3211" s="1" t="n">
        <f aca="false">ROUND(_xlfn.PERCENTRANK.INC($E$7:$E$4378,E3211)*9,0)</f>
        <v>8</v>
      </c>
      <c r="I3211" s="1" t="str">
        <f aca="false">CONCATENATE(F3211,G3211,H3211)</f>
        <v>588</v>
      </c>
      <c r="J3211" s="1" t="str">
        <f aca="false">_xlfn.IFS(AND(F3211&gt;=8,G3211&gt;=8,H3211&gt;=8),"CHAMPION",AND(F3211&gt;=6,G3211&gt;=7,H3211&gt;=6),"LOYAL CUSTOMER",AND(F3211&gt;=6,G3211&gt;=5,H3211&gt;=5),"POTENTIAL LOYALIST",AND(F3211&gt;=8,G3211&lt;=2,H3211&gt;=5),"NEW CUSTOMERS",AND(F3211&gt;=6,G3211&lt;=2,H3211&gt;=3),"PROMISING",AND(F3211&gt;=3,G3211&gt;=3,H3211&gt;=3),"NEED ATTENTION",AND(F3211&lt;=4,G3211&gt;=6,H3211&gt;=6),"AT RISK",AND(F3211&lt;=2,G3211&gt;=8,H3211&gt;=8),"CAN'T LOSE THEM",AND(F3211&lt;=2,G3211&lt;=2,H3211&lt;=2),"HIBERNATING",TRUE(),"Other")</f>
        <v>NEED ATTENTION</v>
      </c>
      <c r="K3211" s="1" t="n">
        <f aca="false">RANK(E3211,$E$7:$E$4378)+COUNTIF($E$7:E3211,E3211)-1</f>
        <v>530</v>
      </c>
    </row>
    <row r="3212" customFormat="false" ht="14.25" hidden="false" customHeight="true" outlineLevel="0" collapsed="false">
      <c r="A3212" s="51" t="n">
        <v>16688</v>
      </c>
      <c r="B3212" s="53" t="n">
        <v>40885.6416666667</v>
      </c>
      <c r="C3212" s="57" t="n">
        <f aca="false">INT($C$2)-INT(Table3[[#This Row],[Last Purchase Date]])</f>
        <v>2</v>
      </c>
      <c r="D3212" s="1" t="n">
        <v>4</v>
      </c>
      <c r="E3212" s="1" t="n">
        <v>1260.86</v>
      </c>
      <c r="F3212" s="1" t="n">
        <f aca="false">ROUND((1-_xlfn.PERCENTRANK.INC($C$7:$C$4378,C3212))*9,0)</f>
        <v>9</v>
      </c>
      <c r="G3212" s="1" t="n">
        <f aca="false">ROUND(_xlfn.PERCENTRANK.INC($D$7:$D$4378,D3212)*9,0)</f>
        <v>5</v>
      </c>
      <c r="H3212" s="1" t="n">
        <f aca="false">ROUND(_xlfn.PERCENTRANK.INC($E$7:$E$4378,E3212)*9,0)</f>
        <v>6</v>
      </c>
      <c r="I3212" s="1" t="str">
        <f aca="false">CONCATENATE(F3212,G3212,H3212)</f>
        <v>956</v>
      </c>
      <c r="J3212" s="1" t="str">
        <f aca="false">_xlfn.IFS(AND(F3212&gt;=8,G3212&gt;=8,H3212&gt;=8),"CHAMPION",AND(F3212&gt;=6,G3212&gt;=7,H3212&gt;=6),"LOYAL CUSTOMER",AND(F3212&gt;=6,G3212&gt;=5,H3212&gt;=5),"POTENTIAL LOYALIST",AND(F3212&gt;=8,G3212&lt;=2,H3212&gt;=5),"NEW CUSTOMERS",AND(F3212&gt;=6,G3212&lt;=2,H3212&gt;=3),"PROMISING",AND(F3212&gt;=3,G3212&gt;=3,H3212&gt;=3),"NEED ATTENTION",AND(F3212&lt;=4,G3212&gt;=6,H3212&gt;=6),"AT RISK",AND(F3212&lt;=2,G3212&gt;=8,H3212&gt;=8),"CAN'T LOSE THEM",AND(F3212&lt;=2,G3212&lt;=2,H3212&lt;=2),"HIBERNATING",TRUE(),"Other")</f>
        <v>POTENTIAL LOYALIST</v>
      </c>
      <c r="K3212" s="1" t="n">
        <f aca="false">RANK(E3212,$E$7:$E$4378)+COUNTIF($E$7:E3212,E3212)-1</f>
        <v>1361</v>
      </c>
    </row>
    <row r="3213" customFormat="false" ht="14.25" hidden="false" customHeight="true" outlineLevel="0" collapsed="false">
      <c r="A3213" s="51" t="n">
        <v>16689</v>
      </c>
      <c r="B3213" s="53" t="n">
        <v>40811.4854166667</v>
      </c>
      <c r="C3213" s="57" t="n">
        <f aca="false">INT($C$2)-INT(Table3[[#This Row],[Last Purchase Date]])</f>
        <v>76</v>
      </c>
      <c r="D3213" s="1" t="n">
        <v>3</v>
      </c>
      <c r="E3213" s="1" t="n">
        <v>303.26</v>
      </c>
      <c r="F3213" s="1" t="n">
        <f aca="false">ROUND((1-_xlfn.PERCENTRANK.INC($C$7:$C$4378,C3213))*9,0)</f>
        <v>3</v>
      </c>
      <c r="G3213" s="1" t="n">
        <f aca="false">ROUND(_xlfn.PERCENTRANK.INC($D$7:$D$4378,D3213)*9,0)</f>
        <v>4</v>
      </c>
      <c r="H3213" s="1" t="n">
        <f aca="false">ROUND(_xlfn.PERCENTRANK.INC($E$7:$E$4378,E3213)*9,0)</f>
        <v>2</v>
      </c>
      <c r="I3213" s="1" t="str">
        <f aca="false">CONCATENATE(F3213,G3213,H3213)</f>
        <v>342</v>
      </c>
      <c r="J3213" s="1" t="str">
        <f aca="false">_xlfn.IFS(AND(F3213&gt;=8,G3213&gt;=8,H3213&gt;=8),"CHAMPION",AND(F3213&gt;=6,G3213&gt;=7,H3213&gt;=6),"LOYAL CUSTOMER",AND(F3213&gt;=6,G3213&gt;=5,H3213&gt;=5),"POTENTIAL LOYALIST",AND(F3213&gt;=8,G3213&lt;=2,H3213&gt;=5),"NEW CUSTOMERS",AND(F3213&gt;=6,G3213&lt;=2,H3213&gt;=3),"PROMISING",AND(F3213&gt;=3,G3213&gt;=3,H3213&gt;=3),"NEED ATTENTION",AND(F3213&lt;=4,G3213&gt;=6,H3213&gt;=6),"AT RISK",AND(F3213&lt;=2,G3213&gt;=8,H3213&gt;=8),"CAN'T LOSE THEM",AND(F3213&lt;=2,G3213&lt;=2,H3213&lt;=2),"HIBERNATING",TRUE(),"Other")</f>
        <v>Other</v>
      </c>
      <c r="K3213" s="1" t="n">
        <f aca="false">RANK(E3213,$E$7:$E$4378)+COUNTIF($E$7:E3213,E3213)-1</f>
        <v>3235</v>
      </c>
    </row>
    <row r="3214" customFormat="false" ht="14.25" hidden="false" customHeight="true" outlineLevel="0" collapsed="false">
      <c r="A3214" s="51" t="n">
        <v>16690</v>
      </c>
      <c r="B3214" s="53" t="n">
        <v>40843.4569444444</v>
      </c>
      <c r="C3214" s="57" t="n">
        <f aca="false">INT($C$2)-INT(Table3[[#This Row],[Last Purchase Date]])</f>
        <v>44</v>
      </c>
      <c r="D3214" s="1" t="n">
        <v>3</v>
      </c>
      <c r="E3214" s="1" t="n">
        <v>208.63</v>
      </c>
      <c r="F3214" s="1" t="n">
        <f aca="false">ROUND((1-_xlfn.PERCENTRANK.INC($C$7:$C$4378,C3214))*9,0)</f>
        <v>5</v>
      </c>
      <c r="G3214" s="1" t="n">
        <f aca="false">ROUND(_xlfn.PERCENTRANK.INC($D$7:$D$4378,D3214)*9,0)</f>
        <v>4</v>
      </c>
      <c r="H3214" s="1" t="n">
        <f aca="false">ROUND(_xlfn.PERCENTRANK.INC($E$7:$E$4378,E3214)*9,0)</f>
        <v>2</v>
      </c>
      <c r="I3214" s="1" t="str">
        <f aca="false">CONCATENATE(F3214,G3214,H3214)</f>
        <v>542</v>
      </c>
      <c r="J3214" s="1" t="str">
        <f aca="false">_xlfn.IFS(AND(F3214&gt;=8,G3214&gt;=8,H3214&gt;=8),"CHAMPION",AND(F3214&gt;=6,G3214&gt;=7,H3214&gt;=6),"LOYAL CUSTOMER",AND(F3214&gt;=6,G3214&gt;=5,H3214&gt;=5),"POTENTIAL LOYALIST",AND(F3214&gt;=8,G3214&lt;=2,H3214&gt;=5),"NEW CUSTOMERS",AND(F3214&gt;=6,G3214&lt;=2,H3214&gt;=3),"PROMISING",AND(F3214&gt;=3,G3214&gt;=3,H3214&gt;=3),"NEED ATTENTION",AND(F3214&lt;=4,G3214&gt;=6,H3214&gt;=6),"AT RISK",AND(F3214&lt;=2,G3214&gt;=8,H3214&gt;=8),"CAN'T LOSE THEM",AND(F3214&lt;=2,G3214&lt;=2,H3214&lt;=2),"HIBERNATING",TRUE(),"Other")</f>
        <v>Other</v>
      </c>
      <c r="K3214" s="1" t="n">
        <f aca="false">RANK(E3214,$E$7:$E$4378)+COUNTIF($E$7:E3214,E3214)-1</f>
        <v>3617</v>
      </c>
    </row>
    <row r="3215" customFormat="false" ht="14.25" hidden="false" customHeight="true" outlineLevel="0" collapsed="false">
      <c r="A3215" s="51" t="n">
        <v>16692</v>
      </c>
      <c r="B3215" s="53" t="n">
        <v>40630.6152777778</v>
      </c>
      <c r="C3215" s="57" t="n">
        <f aca="false">INT($C$2)-INT(Table3[[#This Row],[Last Purchase Date]])</f>
        <v>257</v>
      </c>
      <c r="D3215" s="1" t="n">
        <v>2</v>
      </c>
      <c r="E3215" s="1" t="n">
        <v>1276</v>
      </c>
      <c r="F3215" s="1" t="n">
        <f aca="false">ROUND((1-_xlfn.PERCENTRANK.INC($C$7:$C$4378,C3215))*9,0)</f>
        <v>1</v>
      </c>
      <c r="G3215" s="1" t="n">
        <f aca="false">ROUND(_xlfn.PERCENTRANK.INC($D$7:$D$4378,D3215)*9,0)</f>
        <v>3</v>
      </c>
      <c r="H3215" s="1" t="n">
        <f aca="false">ROUND(_xlfn.PERCENTRANK.INC($E$7:$E$4378,E3215)*9,0)</f>
        <v>6</v>
      </c>
      <c r="I3215" s="1" t="str">
        <f aca="false">CONCATENATE(F3215,G3215,H3215)</f>
        <v>136</v>
      </c>
      <c r="J3215" s="1" t="str">
        <f aca="false">_xlfn.IFS(AND(F3215&gt;=8,G3215&gt;=8,H3215&gt;=8),"CHAMPION",AND(F3215&gt;=6,G3215&gt;=7,H3215&gt;=6),"LOYAL CUSTOMER",AND(F3215&gt;=6,G3215&gt;=5,H3215&gt;=5),"POTENTIAL LOYALIST",AND(F3215&gt;=8,G3215&lt;=2,H3215&gt;=5),"NEW CUSTOMERS",AND(F3215&gt;=6,G3215&lt;=2,H3215&gt;=3),"PROMISING",AND(F3215&gt;=3,G3215&gt;=3,H3215&gt;=3),"NEED ATTENTION",AND(F3215&lt;=4,G3215&gt;=6,H3215&gt;=6),"AT RISK",AND(F3215&lt;=2,G3215&gt;=8,H3215&gt;=8),"CAN'T LOSE THEM",AND(F3215&lt;=2,G3215&lt;=2,H3215&lt;=2),"HIBERNATING",TRUE(),"Other")</f>
        <v>Other</v>
      </c>
      <c r="K3215" s="1" t="n">
        <f aca="false">RANK(E3215,$E$7:$E$4378)+COUNTIF($E$7:E3215,E3215)-1</f>
        <v>1346</v>
      </c>
    </row>
    <row r="3216" customFormat="false" ht="14.25" hidden="false" customHeight="true" outlineLevel="0" collapsed="false">
      <c r="A3216" s="51" t="n">
        <v>16693</v>
      </c>
      <c r="B3216" s="53" t="n">
        <v>40818.4652777778</v>
      </c>
      <c r="C3216" s="57" t="n">
        <f aca="false">INT($C$2)-INT(Table3[[#This Row],[Last Purchase Date]])</f>
        <v>69</v>
      </c>
      <c r="D3216" s="1" t="n">
        <v>2</v>
      </c>
      <c r="E3216" s="1" t="n">
        <v>482.01</v>
      </c>
      <c r="F3216" s="1" t="n">
        <f aca="false">ROUND((1-_xlfn.PERCENTRANK.INC($C$7:$C$4378,C3216))*9,0)</f>
        <v>4</v>
      </c>
      <c r="G3216" s="1" t="n">
        <f aca="false">ROUND(_xlfn.PERCENTRANK.INC($D$7:$D$4378,D3216)*9,0)</f>
        <v>3</v>
      </c>
      <c r="H3216" s="1" t="n">
        <f aca="false">ROUND(_xlfn.PERCENTRANK.INC($E$7:$E$4378,E3216)*9,0)</f>
        <v>4</v>
      </c>
      <c r="I3216" s="1" t="str">
        <f aca="false">CONCATENATE(F3216,G3216,H3216)</f>
        <v>434</v>
      </c>
      <c r="J3216" s="1" t="str">
        <f aca="false">_xlfn.IFS(AND(F3216&gt;=8,G3216&gt;=8,H3216&gt;=8),"CHAMPION",AND(F3216&gt;=6,G3216&gt;=7,H3216&gt;=6),"LOYAL CUSTOMER",AND(F3216&gt;=6,G3216&gt;=5,H3216&gt;=5),"POTENTIAL LOYALIST",AND(F3216&gt;=8,G3216&lt;=2,H3216&gt;=5),"NEW CUSTOMERS",AND(F3216&gt;=6,G3216&lt;=2,H3216&gt;=3),"PROMISING",AND(F3216&gt;=3,G3216&gt;=3,H3216&gt;=3),"NEED ATTENTION",AND(F3216&lt;=4,G3216&gt;=6,H3216&gt;=6),"AT RISK",AND(F3216&lt;=2,G3216&gt;=8,H3216&gt;=8),"CAN'T LOSE THEM",AND(F3216&lt;=2,G3216&lt;=2,H3216&lt;=2),"HIBERNATING",TRUE(),"Other")</f>
        <v>NEED ATTENTION</v>
      </c>
      <c r="K3216" s="1" t="n">
        <f aca="false">RANK(E3216,$E$7:$E$4378)+COUNTIF($E$7:E3216,E3216)-1</f>
        <v>2592</v>
      </c>
    </row>
    <row r="3217" customFormat="false" ht="14.25" hidden="false" customHeight="true" outlineLevel="0" collapsed="false">
      <c r="A3217" s="51" t="n">
        <v>16696</v>
      </c>
      <c r="B3217" s="53" t="n">
        <v>40751.5993055556</v>
      </c>
      <c r="C3217" s="57" t="n">
        <f aca="false">INT($C$2)-INT(Table3[[#This Row],[Last Purchase Date]])</f>
        <v>136</v>
      </c>
      <c r="D3217" s="1" t="n">
        <v>4</v>
      </c>
      <c r="E3217" s="1" t="n">
        <v>657.9</v>
      </c>
      <c r="F3217" s="1" t="n">
        <f aca="false">ROUND((1-_xlfn.PERCENTRANK.INC($C$7:$C$4378,C3217))*9,0)</f>
        <v>2</v>
      </c>
      <c r="G3217" s="1" t="n">
        <f aca="false">ROUND(_xlfn.PERCENTRANK.INC($D$7:$D$4378,D3217)*9,0)</f>
        <v>5</v>
      </c>
      <c r="H3217" s="1" t="n">
        <f aca="false">ROUND(_xlfn.PERCENTRANK.INC($E$7:$E$4378,E3217)*9,0)</f>
        <v>5</v>
      </c>
      <c r="I3217" s="1" t="str">
        <f aca="false">CONCATENATE(F3217,G3217,H3217)</f>
        <v>255</v>
      </c>
      <c r="J3217" s="1" t="str">
        <f aca="false">_xlfn.IFS(AND(F3217&gt;=8,G3217&gt;=8,H3217&gt;=8),"CHAMPION",AND(F3217&gt;=6,G3217&gt;=7,H3217&gt;=6),"LOYAL CUSTOMER",AND(F3217&gt;=6,G3217&gt;=5,H3217&gt;=5),"POTENTIAL LOYALIST",AND(F3217&gt;=8,G3217&lt;=2,H3217&gt;=5),"NEW CUSTOMERS",AND(F3217&gt;=6,G3217&lt;=2,H3217&gt;=3),"PROMISING",AND(F3217&gt;=3,G3217&gt;=3,H3217&gt;=3),"NEED ATTENTION",AND(F3217&lt;=4,G3217&gt;=6,H3217&gt;=6),"AT RISK",AND(F3217&lt;=2,G3217&gt;=8,H3217&gt;=8),"CAN'T LOSE THEM",AND(F3217&lt;=2,G3217&lt;=2,H3217&lt;=2),"HIBERNATING",TRUE(),"Other")</f>
        <v>Other</v>
      </c>
      <c r="K3217" s="1" t="n">
        <f aca="false">RANK(E3217,$E$7:$E$4378)+COUNTIF($E$7:E3217,E3217)-1</f>
        <v>2160</v>
      </c>
    </row>
    <row r="3218" customFormat="false" ht="14.25" hidden="false" customHeight="true" outlineLevel="0" collapsed="false">
      <c r="A3218" s="51" t="n">
        <v>16697</v>
      </c>
      <c r="B3218" s="53" t="n">
        <v>40645.7166666667</v>
      </c>
      <c r="C3218" s="57" t="n">
        <f aca="false">INT($C$2)-INT(Table3[[#This Row],[Last Purchase Date]])</f>
        <v>242</v>
      </c>
      <c r="D3218" s="1" t="n">
        <v>1</v>
      </c>
      <c r="E3218" s="1" t="n">
        <v>112.75</v>
      </c>
      <c r="F3218" s="1" t="n">
        <f aca="false">ROUND((1-_xlfn.PERCENTRANK.INC($C$7:$C$4378,C3218))*9,0)</f>
        <v>1</v>
      </c>
      <c r="G3218" s="1" t="n">
        <f aca="false">ROUND(_xlfn.PERCENTRANK.INC($D$7:$D$4378,D3218)*9,0)</f>
        <v>0</v>
      </c>
      <c r="H3218" s="1" t="n">
        <f aca="false">ROUND(_xlfn.PERCENTRANK.INC($E$7:$E$4378,E3218)*9,0)</f>
        <v>1</v>
      </c>
      <c r="I3218" s="1" t="str">
        <f aca="false">CONCATENATE(F3218,G3218,H3218)</f>
        <v>101</v>
      </c>
      <c r="J3218" s="1" t="str">
        <f aca="false">_xlfn.IFS(AND(F3218&gt;=8,G3218&gt;=8,H3218&gt;=8),"CHAMPION",AND(F3218&gt;=6,G3218&gt;=7,H3218&gt;=6),"LOYAL CUSTOMER",AND(F3218&gt;=6,G3218&gt;=5,H3218&gt;=5),"POTENTIAL LOYALIST",AND(F3218&gt;=8,G3218&lt;=2,H3218&gt;=5),"NEW CUSTOMERS",AND(F3218&gt;=6,G3218&lt;=2,H3218&gt;=3),"PROMISING",AND(F3218&gt;=3,G3218&gt;=3,H3218&gt;=3),"NEED ATTENTION",AND(F3218&lt;=4,G3218&gt;=6,H3218&gt;=6),"AT RISK",AND(F3218&lt;=2,G3218&gt;=8,H3218&gt;=8),"CAN'T LOSE THEM",AND(F3218&lt;=2,G3218&lt;=2,H3218&lt;=2),"HIBERNATING",TRUE(),"Other")</f>
        <v>HIBERNATING</v>
      </c>
      <c r="K3218" s="1" t="n">
        <f aca="false">RANK(E3218,$E$7:$E$4378)+COUNTIF($E$7:E3218,E3218)-1</f>
        <v>4093</v>
      </c>
    </row>
    <row r="3219" customFormat="false" ht="14.25" hidden="false" customHeight="true" outlineLevel="0" collapsed="false">
      <c r="A3219" s="51" t="n">
        <v>16698</v>
      </c>
      <c r="B3219" s="53" t="n">
        <v>40660.4527777778</v>
      </c>
      <c r="C3219" s="57" t="n">
        <f aca="false">INT($C$2)-INT(Table3[[#This Row],[Last Purchase Date]])</f>
        <v>227</v>
      </c>
      <c r="D3219" s="1" t="n">
        <v>2</v>
      </c>
      <c r="E3219" s="1" t="n">
        <v>1998</v>
      </c>
      <c r="F3219" s="1" t="n">
        <f aca="false">ROUND((1-_xlfn.PERCENTRANK.INC($C$7:$C$4378,C3219))*9,0)</f>
        <v>1</v>
      </c>
      <c r="G3219" s="1" t="n">
        <f aca="false">ROUND(_xlfn.PERCENTRANK.INC($D$7:$D$4378,D3219)*9,0)</f>
        <v>3</v>
      </c>
      <c r="H3219" s="1" t="n">
        <f aca="false">ROUND(_xlfn.PERCENTRANK.INC($E$7:$E$4378,E3219)*9,0)</f>
        <v>7</v>
      </c>
      <c r="I3219" s="1" t="str">
        <f aca="false">CONCATENATE(F3219,G3219,H3219)</f>
        <v>137</v>
      </c>
      <c r="J3219" s="1" t="str">
        <f aca="false">_xlfn.IFS(AND(F3219&gt;=8,G3219&gt;=8,H3219&gt;=8),"CHAMPION",AND(F3219&gt;=6,G3219&gt;=7,H3219&gt;=6),"LOYAL CUSTOMER",AND(F3219&gt;=6,G3219&gt;=5,H3219&gt;=5),"POTENTIAL LOYALIST",AND(F3219&gt;=8,G3219&lt;=2,H3219&gt;=5),"NEW CUSTOMERS",AND(F3219&gt;=6,G3219&lt;=2,H3219&gt;=3),"PROMISING",AND(F3219&gt;=3,G3219&gt;=3,H3219&gt;=3),"NEED ATTENTION",AND(F3219&lt;=4,G3219&gt;=6,H3219&gt;=6),"AT RISK",AND(F3219&lt;=2,G3219&gt;=8,H3219&gt;=8),"CAN'T LOSE THEM",AND(F3219&lt;=2,G3219&lt;=2,H3219&lt;=2),"HIBERNATING",TRUE(),"Other")</f>
        <v>Other</v>
      </c>
      <c r="K3219" s="1" t="n">
        <f aca="false">RANK(E3219,$E$7:$E$4378)+COUNTIF($E$7:E3219,E3219)-1</f>
        <v>878</v>
      </c>
    </row>
    <row r="3220" customFormat="false" ht="14.25" hidden="false" customHeight="true" outlineLevel="0" collapsed="false">
      <c r="A3220" s="51" t="n">
        <v>16700</v>
      </c>
      <c r="B3220" s="53" t="n">
        <v>40878.4583333333</v>
      </c>
      <c r="C3220" s="57" t="n">
        <f aca="false">INT($C$2)-INT(Table3[[#This Row],[Last Purchase Date]])</f>
        <v>9</v>
      </c>
      <c r="D3220" s="1" t="n">
        <v>17</v>
      </c>
      <c r="E3220" s="1" t="n">
        <v>5040</v>
      </c>
      <c r="F3220" s="1" t="n">
        <f aca="false">ROUND((1-_xlfn.PERCENTRANK.INC($C$7:$C$4378,C3220))*9,0)</f>
        <v>8</v>
      </c>
      <c r="G3220" s="1" t="n">
        <f aca="false">ROUND(_xlfn.PERCENTRANK.INC($D$7:$D$4378,D3220)*9,0)</f>
        <v>9</v>
      </c>
      <c r="H3220" s="1" t="n">
        <f aca="false">ROUND(_xlfn.PERCENTRANK.INC($E$7:$E$4378,E3220)*9,0)</f>
        <v>8</v>
      </c>
      <c r="I3220" s="1" t="str">
        <f aca="false">CONCATENATE(F3220,G3220,H3220)</f>
        <v>898</v>
      </c>
      <c r="J3220" s="1" t="str">
        <f aca="false">_xlfn.IFS(AND(F3220&gt;=8,G3220&gt;=8,H3220&gt;=8),"CHAMPION",AND(F3220&gt;=6,G3220&gt;=7,H3220&gt;=6),"LOYAL CUSTOMER",AND(F3220&gt;=6,G3220&gt;=5,H3220&gt;=5),"POTENTIAL LOYALIST",AND(F3220&gt;=8,G3220&lt;=2,H3220&gt;=5),"NEW CUSTOMERS",AND(F3220&gt;=6,G3220&lt;=2,H3220&gt;=3),"PROMISING",AND(F3220&gt;=3,G3220&gt;=3,H3220&gt;=3),"NEED ATTENTION",AND(F3220&lt;=4,G3220&gt;=6,H3220&gt;=6),"AT RISK",AND(F3220&lt;=2,G3220&gt;=8,H3220&gt;=8),"CAN'T LOSE THEM",AND(F3220&lt;=2,G3220&lt;=2,H3220&lt;=2),"HIBERNATING",TRUE(),"Other")</f>
        <v>CHAMPION</v>
      </c>
      <c r="K3220" s="1" t="n">
        <f aca="false">RANK(E3220,$E$7:$E$4378)+COUNTIF($E$7:E3220,E3220)-1</f>
        <v>259</v>
      </c>
    </row>
    <row r="3221" customFormat="false" ht="14.25" hidden="false" customHeight="true" outlineLevel="0" collapsed="false">
      <c r="A3221" s="51" t="n">
        <v>16701</v>
      </c>
      <c r="B3221" s="53" t="n">
        <v>40878.4652777778</v>
      </c>
      <c r="C3221" s="57" t="n">
        <f aca="false">INT($C$2)-INT(Table3[[#This Row],[Last Purchase Date]])</f>
        <v>9</v>
      </c>
      <c r="D3221" s="1" t="n">
        <v>18</v>
      </c>
      <c r="E3221" s="1" t="n">
        <v>5150.27</v>
      </c>
      <c r="F3221" s="1" t="n">
        <f aca="false">ROUND((1-_xlfn.PERCENTRANK.INC($C$7:$C$4378,C3221))*9,0)</f>
        <v>8</v>
      </c>
      <c r="G3221" s="1" t="n">
        <f aca="false">ROUND(_xlfn.PERCENTRANK.INC($D$7:$D$4378,D3221)*9,0)</f>
        <v>9</v>
      </c>
      <c r="H3221" s="1" t="n">
        <f aca="false">ROUND(_xlfn.PERCENTRANK.INC($E$7:$E$4378,E3221)*9,0)</f>
        <v>8</v>
      </c>
      <c r="I3221" s="1" t="str">
        <f aca="false">CONCATENATE(F3221,G3221,H3221)</f>
        <v>898</v>
      </c>
      <c r="J3221" s="1" t="str">
        <f aca="false">_xlfn.IFS(AND(F3221&gt;=8,G3221&gt;=8,H3221&gt;=8),"CHAMPION",AND(F3221&gt;=6,G3221&gt;=7,H3221&gt;=6),"LOYAL CUSTOMER",AND(F3221&gt;=6,G3221&gt;=5,H3221&gt;=5),"POTENTIAL LOYALIST",AND(F3221&gt;=8,G3221&lt;=2,H3221&gt;=5),"NEW CUSTOMERS",AND(F3221&gt;=6,G3221&lt;=2,H3221&gt;=3),"PROMISING",AND(F3221&gt;=3,G3221&gt;=3,H3221&gt;=3),"NEED ATTENTION",AND(F3221&lt;=4,G3221&gt;=6,H3221&gt;=6),"AT RISK",AND(F3221&lt;=2,G3221&gt;=8,H3221&gt;=8),"CAN'T LOSE THEM",AND(F3221&lt;=2,G3221&lt;=2,H3221&lt;=2),"HIBERNATING",TRUE(),"Other")</f>
        <v>CHAMPION</v>
      </c>
      <c r="K3221" s="1" t="n">
        <f aca="false">RANK(E3221,$E$7:$E$4378)+COUNTIF($E$7:E3221,E3221)-1</f>
        <v>248</v>
      </c>
    </row>
    <row r="3222" customFormat="false" ht="14.25" hidden="false" customHeight="true" outlineLevel="0" collapsed="false">
      <c r="A3222" s="51" t="n">
        <v>16705</v>
      </c>
      <c r="B3222" s="53" t="n">
        <v>40886.5055555556</v>
      </c>
      <c r="C3222" s="57" t="n">
        <f aca="false">INT($C$2)-INT(Table3[[#This Row],[Last Purchase Date]])</f>
        <v>1</v>
      </c>
      <c r="D3222" s="1" t="n">
        <v>29</v>
      </c>
      <c r="E3222" s="1" t="n">
        <v>13946.13</v>
      </c>
      <c r="F3222" s="1" t="n">
        <f aca="false">ROUND((1-_xlfn.PERCENTRANK.INC($C$7:$C$4378,C3222))*9,0)</f>
        <v>9</v>
      </c>
      <c r="G3222" s="1" t="n">
        <f aca="false">ROUND(_xlfn.PERCENTRANK.INC($D$7:$D$4378,D3222)*9,0)</f>
        <v>9</v>
      </c>
      <c r="H3222" s="1" t="n">
        <f aca="false">ROUND(_xlfn.PERCENTRANK.INC($E$7:$E$4378,E3222)*9,0)</f>
        <v>9</v>
      </c>
      <c r="I3222" s="1" t="str">
        <f aca="false">CONCATENATE(F3222,G3222,H3222)</f>
        <v>999</v>
      </c>
      <c r="J3222" s="1" t="str">
        <f aca="false">_xlfn.IFS(AND(F3222&gt;=8,G3222&gt;=8,H3222&gt;=8),"CHAMPION",AND(F3222&gt;=6,G3222&gt;=7,H3222&gt;=6),"LOYAL CUSTOMER",AND(F3222&gt;=6,G3222&gt;=5,H3222&gt;=5),"POTENTIAL LOYALIST",AND(F3222&gt;=8,G3222&lt;=2,H3222&gt;=5),"NEW CUSTOMERS",AND(F3222&gt;=6,G3222&lt;=2,H3222&gt;=3),"PROMISING",AND(F3222&gt;=3,G3222&gt;=3,H3222&gt;=3),"NEED ATTENTION",AND(F3222&lt;=4,G3222&gt;=6,H3222&gt;=6),"AT RISK",AND(F3222&lt;=2,G3222&gt;=8,H3222&gt;=8),"CAN'T LOSE THEM",AND(F3222&lt;=2,G3222&lt;=2,H3222&lt;=2),"HIBERNATING",TRUE(),"Other")</f>
        <v>CHAMPION</v>
      </c>
      <c r="K3222" s="1" t="n">
        <f aca="false">RANK(E3222,$E$7:$E$4378)+COUNTIF($E$7:E3222,E3222)-1</f>
        <v>59</v>
      </c>
    </row>
    <row r="3223" customFormat="false" ht="14.25" hidden="false" customHeight="true" outlineLevel="0" collapsed="false">
      <c r="A3223" s="51" t="n">
        <v>16706</v>
      </c>
      <c r="B3223" s="53" t="n">
        <v>40849.5763888889</v>
      </c>
      <c r="C3223" s="57" t="n">
        <f aca="false">INT($C$2)-INT(Table3[[#This Row],[Last Purchase Date]])</f>
        <v>38</v>
      </c>
      <c r="D3223" s="1" t="n">
        <v>3</v>
      </c>
      <c r="E3223" s="1" t="n">
        <v>531.35</v>
      </c>
      <c r="F3223" s="1" t="n">
        <f aca="false">ROUND((1-_xlfn.PERCENTRANK.INC($C$7:$C$4378,C3223))*9,0)</f>
        <v>5</v>
      </c>
      <c r="G3223" s="1" t="n">
        <f aca="false">ROUND(_xlfn.PERCENTRANK.INC($D$7:$D$4378,D3223)*9,0)</f>
        <v>4</v>
      </c>
      <c r="H3223" s="1" t="n">
        <f aca="false">ROUND(_xlfn.PERCENTRANK.INC($E$7:$E$4378,E3223)*9,0)</f>
        <v>4</v>
      </c>
      <c r="I3223" s="1" t="str">
        <f aca="false">CONCATENATE(F3223,G3223,H3223)</f>
        <v>544</v>
      </c>
      <c r="J3223" s="1" t="str">
        <f aca="false">_xlfn.IFS(AND(F3223&gt;=8,G3223&gt;=8,H3223&gt;=8),"CHAMPION",AND(F3223&gt;=6,G3223&gt;=7,H3223&gt;=6),"LOYAL CUSTOMER",AND(F3223&gt;=6,G3223&gt;=5,H3223&gt;=5),"POTENTIAL LOYALIST",AND(F3223&gt;=8,G3223&lt;=2,H3223&gt;=5),"NEW CUSTOMERS",AND(F3223&gt;=6,G3223&lt;=2,H3223&gt;=3),"PROMISING",AND(F3223&gt;=3,G3223&gt;=3,H3223&gt;=3),"NEED ATTENTION",AND(F3223&lt;=4,G3223&gt;=6,H3223&gt;=6),"AT RISK",AND(F3223&lt;=2,G3223&gt;=8,H3223&gt;=8),"CAN'T LOSE THEM",AND(F3223&lt;=2,G3223&lt;=2,H3223&lt;=2),"HIBERNATING",TRUE(),"Other")</f>
        <v>NEED ATTENTION</v>
      </c>
      <c r="K3223" s="1" t="n">
        <f aca="false">RANK(E3223,$E$7:$E$4378)+COUNTIF($E$7:E3223,E3223)-1</f>
        <v>2478</v>
      </c>
    </row>
    <row r="3224" customFormat="false" ht="14.25" hidden="false" customHeight="true" outlineLevel="0" collapsed="false">
      <c r="A3224" s="51" t="n">
        <v>16708</v>
      </c>
      <c r="B3224" s="53" t="n">
        <v>40841.5138888889</v>
      </c>
      <c r="C3224" s="57" t="n">
        <f aca="false">INT($C$2)-INT(Table3[[#This Row],[Last Purchase Date]])</f>
        <v>46</v>
      </c>
      <c r="D3224" s="1" t="n">
        <v>1</v>
      </c>
      <c r="E3224" s="1" t="n">
        <v>656.63</v>
      </c>
      <c r="F3224" s="1" t="n">
        <f aca="false">ROUND((1-_xlfn.PERCENTRANK.INC($C$7:$C$4378,C3224))*9,0)</f>
        <v>5</v>
      </c>
      <c r="G3224" s="1" t="n">
        <f aca="false">ROUND(_xlfn.PERCENTRANK.INC($D$7:$D$4378,D3224)*9,0)</f>
        <v>0</v>
      </c>
      <c r="H3224" s="1" t="n">
        <f aca="false">ROUND(_xlfn.PERCENTRANK.INC($E$7:$E$4378,E3224)*9,0)</f>
        <v>5</v>
      </c>
      <c r="I3224" s="1" t="str">
        <f aca="false">CONCATENATE(F3224,G3224,H3224)</f>
        <v>505</v>
      </c>
      <c r="J3224" s="1" t="str">
        <f aca="false">_xlfn.IFS(AND(F3224&gt;=8,G3224&gt;=8,H3224&gt;=8),"CHAMPION",AND(F3224&gt;=6,G3224&gt;=7,H3224&gt;=6),"LOYAL CUSTOMER",AND(F3224&gt;=6,G3224&gt;=5,H3224&gt;=5),"POTENTIAL LOYALIST",AND(F3224&gt;=8,G3224&lt;=2,H3224&gt;=5),"NEW CUSTOMERS",AND(F3224&gt;=6,G3224&lt;=2,H3224&gt;=3),"PROMISING",AND(F3224&gt;=3,G3224&gt;=3,H3224&gt;=3),"NEED ATTENTION",AND(F3224&lt;=4,G3224&gt;=6,H3224&gt;=6),"AT RISK",AND(F3224&lt;=2,G3224&gt;=8,H3224&gt;=8),"CAN'T LOSE THEM",AND(F3224&lt;=2,G3224&lt;=2,H3224&lt;=2),"HIBERNATING",TRUE(),"Other")</f>
        <v>Other</v>
      </c>
      <c r="K3224" s="1" t="n">
        <f aca="false">RANK(E3224,$E$7:$E$4378)+COUNTIF($E$7:E3224,E3224)-1</f>
        <v>2166</v>
      </c>
    </row>
    <row r="3225" customFormat="false" ht="14.25" hidden="false" customHeight="true" outlineLevel="0" collapsed="false">
      <c r="A3225" s="51" t="n">
        <v>16709</v>
      </c>
      <c r="B3225" s="53" t="n">
        <v>40802.4555555556</v>
      </c>
      <c r="C3225" s="57" t="n">
        <f aca="false">INT($C$2)-INT(Table3[[#This Row],[Last Purchase Date]])</f>
        <v>85</v>
      </c>
      <c r="D3225" s="1" t="n">
        <v>5</v>
      </c>
      <c r="E3225" s="1" t="n">
        <v>3029.87</v>
      </c>
      <c r="F3225" s="1" t="n">
        <f aca="false">ROUND((1-_xlfn.PERCENTRANK.INC($C$7:$C$4378,C3225))*9,0)</f>
        <v>3</v>
      </c>
      <c r="G3225" s="1" t="n">
        <f aca="false">ROUND(_xlfn.PERCENTRANK.INC($D$7:$D$4378,D3225)*9,0)</f>
        <v>6</v>
      </c>
      <c r="H3225" s="1" t="n">
        <f aca="false">ROUND(_xlfn.PERCENTRANK.INC($E$7:$E$4378,E3225)*9,0)</f>
        <v>8</v>
      </c>
      <c r="I3225" s="1" t="str">
        <f aca="false">CONCATENATE(F3225,G3225,H3225)</f>
        <v>368</v>
      </c>
      <c r="J3225" s="1" t="str">
        <f aca="false">_xlfn.IFS(AND(F3225&gt;=8,G3225&gt;=8,H3225&gt;=8),"CHAMPION",AND(F3225&gt;=6,G3225&gt;=7,H3225&gt;=6),"LOYAL CUSTOMER",AND(F3225&gt;=6,G3225&gt;=5,H3225&gt;=5),"POTENTIAL LOYALIST",AND(F3225&gt;=8,G3225&lt;=2,H3225&gt;=5),"NEW CUSTOMERS",AND(F3225&gt;=6,G3225&lt;=2,H3225&gt;=3),"PROMISING",AND(F3225&gt;=3,G3225&gt;=3,H3225&gt;=3),"NEED ATTENTION",AND(F3225&lt;=4,G3225&gt;=6,H3225&gt;=6),"AT RISK",AND(F3225&lt;=2,G3225&gt;=8,H3225&gt;=8),"CAN'T LOSE THEM",AND(F3225&lt;=2,G3225&lt;=2,H3225&lt;=2),"HIBERNATING",TRUE(),"Other")</f>
        <v>NEED ATTENTION</v>
      </c>
      <c r="K3225" s="1" t="n">
        <f aca="false">RANK(E3225,$E$7:$E$4378)+COUNTIF($E$7:E3225,E3225)-1</f>
        <v>532</v>
      </c>
    </row>
    <row r="3226" customFormat="false" ht="14.25" hidden="false" customHeight="true" outlineLevel="0" collapsed="false">
      <c r="A3226" s="51" t="n">
        <v>16710</v>
      </c>
      <c r="B3226" s="53" t="n">
        <v>40867.6180555556</v>
      </c>
      <c r="C3226" s="57" t="n">
        <f aca="false">INT($C$2)-INT(Table3[[#This Row],[Last Purchase Date]])</f>
        <v>20</v>
      </c>
      <c r="D3226" s="1" t="n">
        <v>10</v>
      </c>
      <c r="E3226" s="1" t="n">
        <v>2483.04</v>
      </c>
      <c r="F3226" s="1" t="n">
        <f aca="false">ROUND((1-_xlfn.PERCENTRANK.INC($C$7:$C$4378,C3226))*9,0)</f>
        <v>6</v>
      </c>
      <c r="G3226" s="1" t="n">
        <f aca="false">ROUND(_xlfn.PERCENTRANK.INC($D$7:$D$4378,D3226)*9,0)</f>
        <v>8</v>
      </c>
      <c r="H3226" s="1" t="n">
        <f aca="false">ROUND(_xlfn.PERCENTRANK.INC($E$7:$E$4378,E3226)*9,0)</f>
        <v>8</v>
      </c>
      <c r="I3226" s="1" t="str">
        <f aca="false">CONCATENATE(F3226,G3226,H3226)</f>
        <v>688</v>
      </c>
      <c r="J3226" s="1" t="str">
        <f aca="false">_xlfn.IFS(AND(F3226&gt;=8,G3226&gt;=8,H3226&gt;=8),"CHAMPION",AND(F3226&gt;=6,G3226&gt;=7,H3226&gt;=6),"LOYAL CUSTOMER",AND(F3226&gt;=6,G3226&gt;=5,H3226&gt;=5),"POTENTIAL LOYALIST",AND(F3226&gt;=8,G3226&lt;=2,H3226&gt;=5),"NEW CUSTOMERS",AND(F3226&gt;=6,G3226&lt;=2,H3226&gt;=3),"PROMISING",AND(F3226&gt;=3,G3226&gt;=3,H3226&gt;=3),"NEED ATTENTION",AND(F3226&lt;=4,G3226&gt;=6,H3226&gt;=6),"AT RISK",AND(F3226&lt;=2,G3226&gt;=8,H3226&gt;=8),"CAN'T LOSE THEM",AND(F3226&lt;=2,G3226&lt;=2,H3226&lt;=2),"HIBERNATING",TRUE(),"Other")</f>
        <v>LOYAL CUSTOMER</v>
      </c>
      <c r="K3226" s="1" t="n">
        <f aca="false">RANK(E3226,$E$7:$E$4378)+COUNTIF($E$7:E3226,E3226)-1</f>
        <v>688</v>
      </c>
    </row>
    <row r="3227" customFormat="false" ht="14.25" hidden="false" customHeight="true" outlineLevel="0" collapsed="false">
      <c r="A3227" s="51" t="n">
        <v>16711</v>
      </c>
      <c r="B3227" s="53" t="n">
        <v>40883.6888888889</v>
      </c>
      <c r="C3227" s="57" t="n">
        <f aca="false">INT($C$2)-INT(Table3[[#This Row],[Last Purchase Date]])</f>
        <v>4</v>
      </c>
      <c r="D3227" s="1" t="n">
        <v>5</v>
      </c>
      <c r="E3227" s="1" t="n">
        <v>1651.03</v>
      </c>
      <c r="F3227" s="1" t="n">
        <f aca="false">ROUND((1-_xlfn.PERCENTRANK.INC($C$7:$C$4378,C3227))*9,0)</f>
        <v>8</v>
      </c>
      <c r="G3227" s="1" t="n">
        <f aca="false">ROUND(_xlfn.PERCENTRANK.INC($D$7:$D$4378,D3227)*9,0)</f>
        <v>6</v>
      </c>
      <c r="H3227" s="1" t="n">
        <f aca="false">ROUND(_xlfn.PERCENTRANK.INC($E$7:$E$4378,E3227)*9,0)</f>
        <v>7</v>
      </c>
      <c r="I3227" s="1" t="str">
        <f aca="false">CONCATENATE(F3227,G3227,H3227)</f>
        <v>867</v>
      </c>
      <c r="J3227" s="1" t="str">
        <f aca="false">_xlfn.IFS(AND(F3227&gt;=8,G3227&gt;=8,H3227&gt;=8),"CHAMPION",AND(F3227&gt;=6,G3227&gt;=7,H3227&gt;=6),"LOYAL CUSTOMER",AND(F3227&gt;=6,G3227&gt;=5,H3227&gt;=5),"POTENTIAL LOYALIST",AND(F3227&gt;=8,G3227&lt;=2,H3227&gt;=5),"NEW CUSTOMERS",AND(F3227&gt;=6,G3227&lt;=2,H3227&gt;=3),"PROMISING",AND(F3227&gt;=3,G3227&gt;=3,H3227&gt;=3),"NEED ATTENTION",AND(F3227&lt;=4,G3227&gt;=6,H3227&gt;=6),"AT RISK",AND(F3227&lt;=2,G3227&gt;=8,H3227&gt;=8),"CAN'T LOSE THEM",AND(F3227&lt;=2,G3227&lt;=2,H3227&lt;=2),"HIBERNATING",TRUE(),"Other")</f>
        <v>POTENTIAL LOYALIST</v>
      </c>
      <c r="K3227" s="1" t="n">
        <f aca="false">RANK(E3227,$E$7:$E$4378)+COUNTIF($E$7:E3227,E3227)-1</f>
        <v>1065</v>
      </c>
    </row>
    <row r="3228" customFormat="false" ht="14.25" hidden="false" customHeight="true" outlineLevel="0" collapsed="false">
      <c r="A3228" s="51" t="n">
        <v>16712</v>
      </c>
      <c r="B3228" s="53" t="n">
        <v>40877.575</v>
      </c>
      <c r="C3228" s="57" t="n">
        <f aca="false">INT($C$2)-INT(Table3[[#This Row],[Last Purchase Date]])</f>
        <v>10</v>
      </c>
      <c r="D3228" s="1" t="n">
        <v>11</v>
      </c>
      <c r="E3228" s="1" t="n">
        <v>3645.43</v>
      </c>
      <c r="F3228" s="1" t="n">
        <f aca="false">ROUND((1-_xlfn.PERCENTRANK.INC($C$7:$C$4378,C3228))*9,0)</f>
        <v>8</v>
      </c>
      <c r="G3228" s="1" t="n">
        <f aca="false">ROUND(_xlfn.PERCENTRANK.INC($D$7:$D$4378,D3228)*9,0)</f>
        <v>8</v>
      </c>
      <c r="H3228" s="1" t="n">
        <f aca="false">ROUND(_xlfn.PERCENTRANK.INC($E$7:$E$4378,E3228)*9,0)</f>
        <v>8</v>
      </c>
      <c r="I3228" s="1" t="str">
        <f aca="false">CONCATENATE(F3228,G3228,H3228)</f>
        <v>888</v>
      </c>
      <c r="J3228" s="1" t="str">
        <f aca="false">_xlfn.IFS(AND(F3228&gt;=8,G3228&gt;=8,H3228&gt;=8),"CHAMPION",AND(F3228&gt;=6,G3228&gt;=7,H3228&gt;=6),"LOYAL CUSTOMER",AND(F3228&gt;=6,G3228&gt;=5,H3228&gt;=5),"POTENTIAL LOYALIST",AND(F3228&gt;=8,G3228&lt;=2,H3228&gt;=5),"NEW CUSTOMERS",AND(F3228&gt;=6,G3228&lt;=2,H3228&gt;=3),"PROMISING",AND(F3228&gt;=3,G3228&gt;=3,H3228&gt;=3),"NEED ATTENTION",AND(F3228&lt;=4,G3228&gt;=6,H3228&gt;=6),"AT RISK",AND(F3228&lt;=2,G3228&gt;=8,H3228&gt;=8),"CAN'T LOSE THEM",AND(F3228&lt;=2,G3228&lt;=2,H3228&lt;=2),"HIBERNATING",TRUE(),"Other")</f>
        <v>CHAMPION</v>
      </c>
      <c r="K3228" s="1" t="n">
        <f aca="false">RANK(E3228,$E$7:$E$4378)+COUNTIF($E$7:E3228,E3228)-1</f>
        <v>413</v>
      </c>
    </row>
    <row r="3229" customFormat="false" ht="14.25" hidden="false" customHeight="true" outlineLevel="0" collapsed="false">
      <c r="A3229" s="51" t="n">
        <v>16713</v>
      </c>
      <c r="B3229" s="53" t="n">
        <v>40868.525</v>
      </c>
      <c r="C3229" s="57" t="n">
        <f aca="false">INT($C$2)-INT(Table3[[#This Row],[Last Purchase Date]])</f>
        <v>19</v>
      </c>
      <c r="D3229" s="1" t="n">
        <v>21</v>
      </c>
      <c r="E3229" s="1" t="n">
        <v>6840.23</v>
      </c>
      <c r="F3229" s="1" t="n">
        <f aca="false">ROUND((1-_xlfn.PERCENTRANK.INC($C$7:$C$4378,C3229))*9,0)</f>
        <v>7</v>
      </c>
      <c r="G3229" s="1" t="n">
        <f aca="false">ROUND(_xlfn.PERCENTRANK.INC($D$7:$D$4378,D3229)*9,0)</f>
        <v>9</v>
      </c>
      <c r="H3229" s="1" t="n">
        <f aca="false">ROUND(_xlfn.PERCENTRANK.INC($E$7:$E$4378,E3229)*9,0)</f>
        <v>9</v>
      </c>
      <c r="I3229" s="1" t="str">
        <f aca="false">CONCATENATE(F3229,G3229,H3229)</f>
        <v>799</v>
      </c>
      <c r="J3229" s="1" t="str">
        <f aca="false">_xlfn.IFS(AND(F3229&gt;=8,G3229&gt;=8,H3229&gt;=8),"CHAMPION",AND(F3229&gt;=6,G3229&gt;=7,H3229&gt;=6),"LOYAL CUSTOMER",AND(F3229&gt;=6,G3229&gt;=5,H3229&gt;=5),"POTENTIAL LOYALIST",AND(F3229&gt;=8,G3229&lt;=2,H3229&gt;=5),"NEW CUSTOMERS",AND(F3229&gt;=6,G3229&lt;=2,H3229&gt;=3),"PROMISING",AND(F3229&gt;=3,G3229&gt;=3,H3229&gt;=3),"NEED ATTENTION",AND(F3229&lt;=4,G3229&gt;=6,H3229&gt;=6),"AT RISK",AND(F3229&lt;=2,G3229&gt;=8,H3229&gt;=8),"CAN'T LOSE THEM",AND(F3229&lt;=2,G3229&lt;=2,H3229&lt;=2),"HIBERNATING",TRUE(),"Other")</f>
        <v>LOYAL CUSTOMER</v>
      </c>
      <c r="K3229" s="1" t="n">
        <f aca="false">RANK(E3229,$E$7:$E$4378)+COUNTIF($E$7:E3229,E3229)-1</f>
        <v>161</v>
      </c>
    </row>
    <row r="3230" customFormat="false" ht="14.25" hidden="false" customHeight="true" outlineLevel="0" collapsed="false">
      <c r="A3230" s="51" t="n">
        <v>16714</v>
      </c>
      <c r="B3230" s="53" t="n">
        <v>40668.4645833333</v>
      </c>
      <c r="C3230" s="57" t="n">
        <f aca="false">INT($C$2)-INT(Table3[[#This Row],[Last Purchase Date]])</f>
        <v>219</v>
      </c>
      <c r="D3230" s="1" t="n">
        <v>4</v>
      </c>
      <c r="E3230" s="1" t="n">
        <v>911.529999999999</v>
      </c>
      <c r="F3230" s="1" t="n">
        <f aca="false">ROUND((1-_xlfn.PERCENTRANK.INC($C$7:$C$4378,C3230))*9,0)</f>
        <v>1</v>
      </c>
      <c r="G3230" s="1" t="n">
        <f aca="false">ROUND(_xlfn.PERCENTRANK.INC($D$7:$D$4378,D3230)*9,0)</f>
        <v>5</v>
      </c>
      <c r="H3230" s="1" t="n">
        <f aca="false">ROUND(_xlfn.PERCENTRANK.INC($E$7:$E$4378,E3230)*9,0)</f>
        <v>5</v>
      </c>
      <c r="I3230" s="1" t="str">
        <f aca="false">CONCATENATE(F3230,G3230,H3230)</f>
        <v>155</v>
      </c>
      <c r="J3230" s="1" t="str">
        <f aca="false">_xlfn.IFS(AND(F3230&gt;=8,G3230&gt;=8,H3230&gt;=8),"CHAMPION",AND(F3230&gt;=6,G3230&gt;=7,H3230&gt;=6),"LOYAL CUSTOMER",AND(F3230&gt;=6,G3230&gt;=5,H3230&gt;=5),"POTENTIAL LOYALIST",AND(F3230&gt;=8,G3230&lt;=2,H3230&gt;=5),"NEW CUSTOMERS",AND(F3230&gt;=6,G3230&lt;=2,H3230&gt;=3),"PROMISING",AND(F3230&gt;=3,G3230&gt;=3,H3230&gt;=3),"NEED ATTENTION",AND(F3230&lt;=4,G3230&gt;=6,H3230&gt;=6),"AT RISK",AND(F3230&lt;=2,G3230&gt;=8,H3230&gt;=8),"CAN'T LOSE THEM",AND(F3230&lt;=2,G3230&lt;=2,H3230&lt;=2),"HIBERNATING",TRUE(),"Other")</f>
        <v>Other</v>
      </c>
      <c r="K3230" s="1" t="n">
        <f aca="false">RANK(E3230,$E$7:$E$4378)+COUNTIF($E$7:E3230,E3230)-1</f>
        <v>1743</v>
      </c>
    </row>
    <row r="3231" customFormat="false" ht="14.25" hidden="false" customHeight="true" outlineLevel="0" collapsed="false">
      <c r="A3231" s="51" t="n">
        <v>16715</v>
      </c>
      <c r="B3231" s="53" t="n">
        <v>40808.7604166667</v>
      </c>
      <c r="C3231" s="57" t="n">
        <f aca="false">INT($C$2)-INT(Table3[[#This Row],[Last Purchase Date]])</f>
        <v>79</v>
      </c>
      <c r="D3231" s="1" t="n">
        <v>1</v>
      </c>
      <c r="E3231" s="1" t="n">
        <v>301.72</v>
      </c>
      <c r="F3231" s="1" t="n">
        <f aca="false">ROUND((1-_xlfn.PERCENTRANK.INC($C$7:$C$4378,C3231))*9,0)</f>
        <v>3</v>
      </c>
      <c r="G3231" s="1" t="n">
        <f aca="false">ROUND(_xlfn.PERCENTRANK.INC($D$7:$D$4378,D3231)*9,0)</f>
        <v>0</v>
      </c>
      <c r="H3231" s="1" t="n">
        <f aca="false">ROUND(_xlfn.PERCENTRANK.INC($E$7:$E$4378,E3231)*9,0)</f>
        <v>2</v>
      </c>
      <c r="I3231" s="1" t="str">
        <f aca="false">CONCATENATE(F3231,G3231,H3231)</f>
        <v>302</v>
      </c>
      <c r="J3231" s="1" t="str">
        <f aca="false">_xlfn.IFS(AND(F3231&gt;=8,G3231&gt;=8,H3231&gt;=8),"CHAMPION",AND(F3231&gt;=6,G3231&gt;=7,H3231&gt;=6),"LOYAL CUSTOMER",AND(F3231&gt;=6,G3231&gt;=5,H3231&gt;=5),"POTENTIAL LOYALIST",AND(F3231&gt;=8,G3231&lt;=2,H3231&gt;=5),"NEW CUSTOMERS",AND(F3231&gt;=6,G3231&lt;=2,H3231&gt;=3),"PROMISING",AND(F3231&gt;=3,G3231&gt;=3,H3231&gt;=3),"NEED ATTENTION",AND(F3231&lt;=4,G3231&gt;=6,H3231&gt;=6),"AT RISK",AND(F3231&lt;=2,G3231&gt;=8,H3231&gt;=8),"CAN'T LOSE THEM",AND(F3231&lt;=2,G3231&lt;=2,H3231&lt;=2),"HIBERNATING",TRUE(),"Other")</f>
        <v>Other</v>
      </c>
      <c r="K3231" s="1" t="n">
        <f aca="false">RANK(E3231,$E$7:$E$4378)+COUNTIF($E$7:E3231,E3231)-1</f>
        <v>3244</v>
      </c>
    </row>
    <row r="3232" customFormat="false" ht="14.25" hidden="false" customHeight="true" outlineLevel="0" collapsed="false">
      <c r="A3232" s="51" t="n">
        <v>16716</v>
      </c>
      <c r="B3232" s="53" t="n">
        <v>40620.41875</v>
      </c>
      <c r="C3232" s="57" t="n">
        <f aca="false">INT($C$2)-INT(Table3[[#This Row],[Last Purchase Date]])</f>
        <v>267</v>
      </c>
      <c r="D3232" s="1" t="n">
        <v>3</v>
      </c>
      <c r="E3232" s="1" t="n">
        <v>319.8</v>
      </c>
      <c r="F3232" s="1" t="n">
        <f aca="false">ROUND((1-_xlfn.PERCENTRANK.INC($C$7:$C$4378,C3232))*9,0)</f>
        <v>1</v>
      </c>
      <c r="G3232" s="1" t="n">
        <f aca="false">ROUND(_xlfn.PERCENTRANK.INC($D$7:$D$4378,D3232)*9,0)</f>
        <v>4</v>
      </c>
      <c r="H3232" s="1" t="n">
        <f aca="false">ROUND(_xlfn.PERCENTRANK.INC($E$7:$E$4378,E3232)*9,0)</f>
        <v>3</v>
      </c>
      <c r="I3232" s="1" t="str">
        <f aca="false">CONCATENATE(F3232,G3232,H3232)</f>
        <v>143</v>
      </c>
      <c r="J3232" s="1" t="str">
        <f aca="false">_xlfn.IFS(AND(F3232&gt;=8,G3232&gt;=8,H3232&gt;=8),"CHAMPION",AND(F3232&gt;=6,G3232&gt;=7,H3232&gt;=6),"LOYAL CUSTOMER",AND(F3232&gt;=6,G3232&gt;=5,H3232&gt;=5),"POTENTIAL LOYALIST",AND(F3232&gt;=8,G3232&lt;=2,H3232&gt;=5),"NEW CUSTOMERS",AND(F3232&gt;=6,G3232&lt;=2,H3232&gt;=3),"PROMISING",AND(F3232&gt;=3,G3232&gt;=3,H3232&gt;=3),"NEED ATTENTION",AND(F3232&lt;=4,G3232&gt;=6,H3232&gt;=6),"AT RISK",AND(F3232&lt;=2,G3232&gt;=8,H3232&gt;=8),"CAN'T LOSE THEM",AND(F3232&lt;=2,G3232&lt;=2,H3232&lt;=2),"HIBERNATING",TRUE(),"Other")</f>
        <v>Other</v>
      </c>
      <c r="K3232" s="1" t="n">
        <f aca="false">RANK(E3232,$E$7:$E$4378)+COUNTIF($E$7:E3232,E3232)-1</f>
        <v>3140</v>
      </c>
    </row>
    <row r="3233" customFormat="false" ht="14.25" hidden="false" customHeight="true" outlineLevel="0" collapsed="false">
      <c r="A3233" s="51" t="n">
        <v>16717</v>
      </c>
      <c r="B3233" s="53" t="n">
        <v>40877.7375</v>
      </c>
      <c r="C3233" s="57" t="n">
        <f aca="false">INT($C$2)-INT(Table3[[#This Row],[Last Purchase Date]])</f>
        <v>10</v>
      </c>
      <c r="D3233" s="1" t="n">
        <v>9</v>
      </c>
      <c r="E3233" s="1" t="n">
        <v>3278.36</v>
      </c>
      <c r="F3233" s="1" t="n">
        <f aca="false">ROUND((1-_xlfn.PERCENTRANK.INC($C$7:$C$4378,C3233))*9,0)</f>
        <v>8</v>
      </c>
      <c r="G3233" s="1" t="n">
        <f aca="false">ROUND(_xlfn.PERCENTRANK.INC($D$7:$D$4378,D3233)*9,0)</f>
        <v>8</v>
      </c>
      <c r="H3233" s="1" t="n">
        <f aca="false">ROUND(_xlfn.PERCENTRANK.INC($E$7:$E$4378,E3233)*9,0)</f>
        <v>8</v>
      </c>
      <c r="I3233" s="1" t="str">
        <f aca="false">CONCATENATE(F3233,G3233,H3233)</f>
        <v>888</v>
      </c>
      <c r="J3233" s="1" t="str">
        <f aca="false">_xlfn.IFS(AND(F3233&gt;=8,G3233&gt;=8,H3233&gt;=8),"CHAMPION",AND(F3233&gt;=6,G3233&gt;=7,H3233&gt;=6),"LOYAL CUSTOMER",AND(F3233&gt;=6,G3233&gt;=5,H3233&gt;=5),"POTENTIAL LOYALIST",AND(F3233&gt;=8,G3233&lt;=2,H3233&gt;=5),"NEW CUSTOMERS",AND(F3233&gt;=6,G3233&lt;=2,H3233&gt;=3),"PROMISING",AND(F3233&gt;=3,G3233&gt;=3,H3233&gt;=3),"NEED ATTENTION",AND(F3233&lt;=4,G3233&gt;=6,H3233&gt;=6),"AT RISK",AND(F3233&lt;=2,G3233&gt;=8,H3233&gt;=8),"CAN'T LOSE THEM",AND(F3233&lt;=2,G3233&lt;=2,H3233&lt;=2),"HIBERNATING",TRUE(),"Other")</f>
        <v>CHAMPION</v>
      </c>
      <c r="K3233" s="1" t="n">
        <f aca="false">RANK(E3233,$E$7:$E$4378)+COUNTIF($E$7:E3233,E3233)-1</f>
        <v>481</v>
      </c>
    </row>
    <row r="3234" customFormat="false" ht="14.25" hidden="false" customHeight="true" outlineLevel="0" collapsed="false">
      <c r="A3234" s="51" t="n">
        <v>16718</v>
      </c>
      <c r="B3234" s="53" t="n">
        <v>40517.54375</v>
      </c>
      <c r="C3234" s="57" t="n">
        <f aca="false">INT($C$2)-INT(Table3[[#This Row],[Last Purchase Date]])</f>
        <v>370</v>
      </c>
      <c r="D3234" s="1" t="n">
        <v>1</v>
      </c>
      <c r="E3234" s="1" t="n">
        <v>623.75</v>
      </c>
      <c r="F3234" s="1" t="n">
        <f aca="false">ROUND((1-_xlfn.PERCENTRANK.INC($C$7:$C$4378,C3234))*9,0)</f>
        <v>0</v>
      </c>
      <c r="G3234" s="1" t="n">
        <f aca="false">ROUND(_xlfn.PERCENTRANK.INC($D$7:$D$4378,D3234)*9,0)</f>
        <v>0</v>
      </c>
      <c r="H3234" s="1" t="n">
        <f aca="false">ROUND(_xlfn.PERCENTRANK.INC($E$7:$E$4378,E3234)*9,0)</f>
        <v>4</v>
      </c>
      <c r="I3234" s="1" t="str">
        <f aca="false">CONCATENATE(F3234,G3234,H3234)</f>
        <v>004</v>
      </c>
      <c r="J3234" s="1" t="str">
        <f aca="false">_xlfn.IFS(AND(F3234&gt;=8,G3234&gt;=8,H3234&gt;=8),"CHAMPION",AND(F3234&gt;=6,G3234&gt;=7,H3234&gt;=6),"LOYAL CUSTOMER",AND(F3234&gt;=6,G3234&gt;=5,H3234&gt;=5),"POTENTIAL LOYALIST",AND(F3234&gt;=8,G3234&lt;=2,H3234&gt;=5),"NEW CUSTOMERS",AND(F3234&gt;=6,G3234&lt;=2,H3234&gt;=3),"PROMISING",AND(F3234&gt;=3,G3234&gt;=3,H3234&gt;=3),"NEED ATTENTION",AND(F3234&lt;=4,G3234&gt;=6,H3234&gt;=6),"AT RISK",AND(F3234&lt;=2,G3234&gt;=8,H3234&gt;=8),"CAN'T LOSE THEM",AND(F3234&lt;=2,G3234&lt;=2,H3234&lt;=2),"HIBERNATING",TRUE(),"Other")</f>
        <v>Other</v>
      </c>
      <c r="K3234" s="1" t="n">
        <f aca="false">RANK(E3234,$E$7:$E$4378)+COUNTIF($E$7:E3234,E3234)-1</f>
        <v>2246</v>
      </c>
    </row>
    <row r="3235" customFormat="false" ht="14.25" hidden="false" customHeight="true" outlineLevel="0" collapsed="false">
      <c r="A3235" s="51" t="n">
        <v>16719</v>
      </c>
      <c r="B3235" s="53" t="n">
        <v>40872.39375</v>
      </c>
      <c r="C3235" s="57" t="n">
        <f aca="false">INT($C$2)-INT(Table3[[#This Row],[Last Purchase Date]])</f>
        <v>15</v>
      </c>
      <c r="D3235" s="1" t="n">
        <v>8</v>
      </c>
      <c r="E3235" s="1" t="n">
        <v>1773.92</v>
      </c>
      <c r="F3235" s="1" t="n">
        <f aca="false">ROUND((1-_xlfn.PERCENTRANK.INC($C$7:$C$4378,C3235))*9,0)</f>
        <v>7</v>
      </c>
      <c r="G3235" s="1" t="n">
        <f aca="false">ROUND(_xlfn.PERCENTRANK.INC($D$7:$D$4378,D3235)*9,0)</f>
        <v>7</v>
      </c>
      <c r="H3235" s="1" t="n">
        <f aca="false">ROUND(_xlfn.PERCENTRANK.INC($E$7:$E$4378,E3235)*9,0)</f>
        <v>7</v>
      </c>
      <c r="I3235" s="1" t="str">
        <f aca="false">CONCATENATE(F3235,G3235,H3235)</f>
        <v>777</v>
      </c>
      <c r="J3235" s="1" t="str">
        <f aca="false">_xlfn.IFS(AND(F3235&gt;=8,G3235&gt;=8,H3235&gt;=8),"CHAMPION",AND(F3235&gt;=6,G3235&gt;=7,H3235&gt;=6),"LOYAL CUSTOMER",AND(F3235&gt;=6,G3235&gt;=5,H3235&gt;=5),"POTENTIAL LOYALIST",AND(F3235&gt;=8,G3235&lt;=2,H3235&gt;=5),"NEW CUSTOMERS",AND(F3235&gt;=6,G3235&lt;=2,H3235&gt;=3),"PROMISING",AND(F3235&gt;=3,G3235&gt;=3,H3235&gt;=3),"NEED ATTENTION",AND(F3235&lt;=4,G3235&gt;=6,H3235&gt;=6),"AT RISK",AND(F3235&lt;=2,G3235&gt;=8,H3235&gt;=8),"CAN'T LOSE THEM",AND(F3235&lt;=2,G3235&lt;=2,H3235&lt;=2),"HIBERNATING",TRUE(),"Other")</f>
        <v>LOYAL CUSTOMER</v>
      </c>
      <c r="K3235" s="1" t="n">
        <f aca="false">RANK(E3235,$E$7:$E$4378)+COUNTIF($E$7:E3235,E3235)-1</f>
        <v>996</v>
      </c>
    </row>
    <row r="3236" customFormat="false" ht="14.25" hidden="false" customHeight="true" outlineLevel="0" collapsed="false">
      <c r="A3236" s="51" t="n">
        <v>16720</v>
      </c>
      <c r="B3236" s="53" t="n">
        <v>40860.6819444444</v>
      </c>
      <c r="C3236" s="57" t="n">
        <f aca="false">INT($C$2)-INT(Table3[[#This Row],[Last Purchase Date]])</f>
        <v>27</v>
      </c>
      <c r="D3236" s="1" t="n">
        <v>1</v>
      </c>
      <c r="E3236" s="1" t="n">
        <v>155.24</v>
      </c>
      <c r="F3236" s="1" t="n">
        <f aca="false">ROUND((1-_xlfn.PERCENTRANK.INC($C$7:$C$4378,C3236))*9,0)</f>
        <v>6</v>
      </c>
      <c r="G3236" s="1" t="n">
        <f aca="false">ROUND(_xlfn.PERCENTRANK.INC($D$7:$D$4378,D3236)*9,0)</f>
        <v>0</v>
      </c>
      <c r="H3236" s="1" t="n">
        <f aca="false">ROUND(_xlfn.PERCENTRANK.INC($E$7:$E$4378,E3236)*9,0)</f>
        <v>1</v>
      </c>
      <c r="I3236" s="1" t="str">
        <f aca="false">CONCATENATE(F3236,G3236,H3236)</f>
        <v>601</v>
      </c>
      <c r="J3236" s="1" t="str">
        <f aca="false">_xlfn.IFS(AND(F3236&gt;=8,G3236&gt;=8,H3236&gt;=8),"CHAMPION",AND(F3236&gt;=6,G3236&gt;=7,H3236&gt;=6),"LOYAL CUSTOMER",AND(F3236&gt;=6,G3236&gt;=5,H3236&gt;=5),"POTENTIAL LOYALIST",AND(F3236&gt;=8,G3236&lt;=2,H3236&gt;=5),"NEW CUSTOMERS",AND(F3236&gt;=6,G3236&lt;=2,H3236&gt;=3),"PROMISING",AND(F3236&gt;=3,G3236&gt;=3,H3236&gt;=3),"NEED ATTENTION",AND(F3236&lt;=4,G3236&gt;=6,H3236&gt;=6),"AT RISK",AND(F3236&lt;=2,G3236&gt;=8,H3236&gt;=8),"CAN'T LOSE THEM",AND(F3236&lt;=2,G3236&lt;=2,H3236&lt;=2),"HIBERNATING",TRUE(),"Other")</f>
        <v>Other</v>
      </c>
      <c r="K3236" s="1" t="n">
        <f aca="false">RANK(E3236,$E$7:$E$4378)+COUNTIF($E$7:E3236,E3236)-1</f>
        <v>3886</v>
      </c>
    </row>
    <row r="3237" customFormat="false" ht="14.25" hidden="false" customHeight="true" outlineLevel="0" collapsed="false">
      <c r="A3237" s="51" t="n">
        <v>16721</v>
      </c>
      <c r="B3237" s="53" t="n">
        <v>40624.6722222222</v>
      </c>
      <c r="C3237" s="57" t="n">
        <f aca="false">INT($C$2)-INT(Table3[[#This Row],[Last Purchase Date]])</f>
        <v>263</v>
      </c>
      <c r="D3237" s="1" t="n">
        <v>1</v>
      </c>
      <c r="E3237" s="1" t="n">
        <v>292.47</v>
      </c>
      <c r="F3237" s="1" t="n">
        <f aca="false">ROUND((1-_xlfn.PERCENTRANK.INC($C$7:$C$4378,C3237))*9,0)</f>
        <v>1</v>
      </c>
      <c r="G3237" s="1" t="n">
        <f aca="false">ROUND(_xlfn.PERCENTRANK.INC($D$7:$D$4378,D3237)*9,0)</f>
        <v>0</v>
      </c>
      <c r="H3237" s="1" t="n">
        <f aca="false">ROUND(_xlfn.PERCENTRANK.INC($E$7:$E$4378,E3237)*9,0)</f>
        <v>2</v>
      </c>
      <c r="I3237" s="1" t="str">
        <f aca="false">CONCATENATE(F3237,G3237,H3237)</f>
        <v>102</v>
      </c>
      <c r="J3237" s="1" t="str">
        <f aca="false">_xlfn.IFS(AND(F3237&gt;=8,G3237&gt;=8,H3237&gt;=8),"CHAMPION",AND(F3237&gt;=6,G3237&gt;=7,H3237&gt;=6),"LOYAL CUSTOMER",AND(F3237&gt;=6,G3237&gt;=5,H3237&gt;=5),"POTENTIAL LOYALIST",AND(F3237&gt;=8,G3237&lt;=2,H3237&gt;=5),"NEW CUSTOMERS",AND(F3237&gt;=6,G3237&lt;=2,H3237&gt;=3),"PROMISING",AND(F3237&gt;=3,G3237&gt;=3,H3237&gt;=3),"NEED ATTENTION",AND(F3237&lt;=4,G3237&gt;=6,H3237&gt;=6),"AT RISK",AND(F3237&lt;=2,G3237&gt;=8,H3237&gt;=8),"CAN'T LOSE THEM",AND(F3237&lt;=2,G3237&lt;=2,H3237&lt;=2),"HIBERNATING",TRUE(),"Other")</f>
        <v>HIBERNATING</v>
      </c>
      <c r="K3237" s="1" t="n">
        <f aca="false">RANK(E3237,$E$7:$E$4378)+COUNTIF($E$7:E3237,E3237)-1</f>
        <v>3282</v>
      </c>
    </row>
    <row r="3238" customFormat="false" ht="14.25" hidden="false" customHeight="true" outlineLevel="0" collapsed="false">
      <c r="A3238" s="51" t="n">
        <v>16722</v>
      </c>
      <c r="B3238" s="53" t="n">
        <v>40869.5611111111</v>
      </c>
      <c r="C3238" s="57" t="n">
        <f aca="false">INT($C$2)-INT(Table3[[#This Row],[Last Purchase Date]])</f>
        <v>18</v>
      </c>
      <c r="D3238" s="1" t="n">
        <v>16</v>
      </c>
      <c r="E3238" s="1" t="n">
        <v>4711.21</v>
      </c>
      <c r="F3238" s="1" t="n">
        <f aca="false">ROUND((1-_xlfn.PERCENTRANK.INC($C$7:$C$4378,C3238))*9,0)</f>
        <v>7</v>
      </c>
      <c r="G3238" s="1" t="n">
        <f aca="false">ROUND(_xlfn.PERCENTRANK.INC($D$7:$D$4378,D3238)*9,0)</f>
        <v>9</v>
      </c>
      <c r="H3238" s="1" t="n">
        <f aca="false">ROUND(_xlfn.PERCENTRANK.INC($E$7:$E$4378,E3238)*9,0)</f>
        <v>8</v>
      </c>
      <c r="I3238" s="1" t="str">
        <f aca="false">CONCATENATE(F3238,G3238,H3238)</f>
        <v>798</v>
      </c>
      <c r="J3238" s="1" t="str">
        <f aca="false">_xlfn.IFS(AND(F3238&gt;=8,G3238&gt;=8,H3238&gt;=8),"CHAMPION",AND(F3238&gt;=6,G3238&gt;=7,H3238&gt;=6),"LOYAL CUSTOMER",AND(F3238&gt;=6,G3238&gt;=5,H3238&gt;=5),"POTENTIAL LOYALIST",AND(F3238&gt;=8,G3238&lt;=2,H3238&gt;=5),"NEW CUSTOMERS",AND(F3238&gt;=6,G3238&lt;=2,H3238&gt;=3),"PROMISING",AND(F3238&gt;=3,G3238&gt;=3,H3238&gt;=3),"NEED ATTENTION",AND(F3238&lt;=4,G3238&gt;=6,H3238&gt;=6),"AT RISK",AND(F3238&lt;=2,G3238&gt;=8,H3238&gt;=8),"CAN'T LOSE THEM",AND(F3238&lt;=2,G3238&lt;=2,H3238&lt;=2),"HIBERNATING",TRUE(),"Other")</f>
        <v>LOYAL CUSTOMER</v>
      </c>
      <c r="K3238" s="1" t="n">
        <f aca="false">RANK(E3238,$E$7:$E$4378)+COUNTIF($E$7:E3238,E3238)-1</f>
        <v>284</v>
      </c>
    </row>
    <row r="3239" customFormat="false" ht="14.25" hidden="false" customHeight="true" outlineLevel="0" collapsed="false">
      <c r="A3239" s="51" t="n">
        <v>16723</v>
      </c>
      <c r="B3239" s="53" t="n">
        <v>40795.5423611111</v>
      </c>
      <c r="C3239" s="57" t="n">
        <f aca="false">INT($C$2)-INT(Table3[[#This Row],[Last Purchase Date]])</f>
        <v>92</v>
      </c>
      <c r="D3239" s="1" t="n">
        <v>2</v>
      </c>
      <c r="E3239" s="1" t="n">
        <v>589.15</v>
      </c>
      <c r="F3239" s="1" t="n">
        <f aca="false">ROUND((1-_xlfn.PERCENTRANK.INC($C$7:$C$4378,C3239))*9,0)</f>
        <v>3</v>
      </c>
      <c r="G3239" s="1" t="n">
        <f aca="false">ROUND(_xlfn.PERCENTRANK.INC($D$7:$D$4378,D3239)*9,0)</f>
        <v>3</v>
      </c>
      <c r="H3239" s="1" t="n">
        <f aca="false">ROUND(_xlfn.PERCENTRANK.INC($E$7:$E$4378,E3239)*9,0)</f>
        <v>4</v>
      </c>
      <c r="I3239" s="1" t="str">
        <f aca="false">CONCATENATE(F3239,G3239,H3239)</f>
        <v>334</v>
      </c>
      <c r="J3239" s="1" t="str">
        <f aca="false">_xlfn.IFS(AND(F3239&gt;=8,G3239&gt;=8,H3239&gt;=8),"CHAMPION",AND(F3239&gt;=6,G3239&gt;=7,H3239&gt;=6),"LOYAL CUSTOMER",AND(F3239&gt;=6,G3239&gt;=5,H3239&gt;=5),"POTENTIAL LOYALIST",AND(F3239&gt;=8,G3239&lt;=2,H3239&gt;=5),"NEW CUSTOMERS",AND(F3239&gt;=6,G3239&lt;=2,H3239&gt;=3),"PROMISING",AND(F3239&gt;=3,G3239&gt;=3,H3239&gt;=3),"NEED ATTENTION",AND(F3239&lt;=4,G3239&gt;=6,H3239&gt;=6),"AT RISK",AND(F3239&lt;=2,G3239&gt;=8,H3239&gt;=8),"CAN'T LOSE THEM",AND(F3239&lt;=2,G3239&lt;=2,H3239&lt;=2),"HIBERNATING",TRUE(),"Other")</f>
        <v>NEED ATTENTION</v>
      </c>
      <c r="K3239" s="1" t="n">
        <f aca="false">RANK(E3239,$E$7:$E$4378)+COUNTIF($E$7:E3239,E3239)-1</f>
        <v>2351</v>
      </c>
    </row>
    <row r="3240" customFormat="false" ht="14.25" hidden="false" customHeight="true" outlineLevel="0" collapsed="false">
      <c r="A3240" s="51" t="n">
        <v>16725</v>
      </c>
      <c r="B3240" s="53" t="n">
        <v>40584.7027777778</v>
      </c>
      <c r="C3240" s="57" t="n">
        <f aca="false">INT($C$2)-INT(Table3[[#This Row],[Last Purchase Date]])</f>
        <v>303</v>
      </c>
      <c r="D3240" s="1" t="n">
        <v>8</v>
      </c>
      <c r="E3240" s="1" t="n">
        <v>775.07</v>
      </c>
      <c r="F3240" s="1" t="n">
        <f aca="false">ROUND((1-_xlfn.PERCENTRANK.INC($C$7:$C$4378,C3240))*9,0)</f>
        <v>1</v>
      </c>
      <c r="G3240" s="1" t="n">
        <f aca="false">ROUND(_xlfn.PERCENTRANK.INC($D$7:$D$4378,D3240)*9,0)</f>
        <v>7</v>
      </c>
      <c r="H3240" s="1" t="n">
        <f aca="false">ROUND(_xlfn.PERCENTRANK.INC($E$7:$E$4378,E3240)*9,0)</f>
        <v>5</v>
      </c>
      <c r="I3240" s="1" t="str">
        <f aca="false">CONCATENATE(F3240,G3240,H3240)</f>
        <v>175</v>
      </c>
      <c r="J3240" s="1" t="str">
        <f aca="false">_xlfn.IFS(AND(F3240&gt;=8,G3240&gt;=8,H3240&gt;=8),"CHAMPION",AND(F3240&gt;=6,G3240&gt;=7,H3240&gt;=6),"LOYAL CUSTOMER",AND(F3240&gt;=6,G3240&gt;=5,H3240&gt;=5),"POTENTIAL LOYALIST",AND(F3240&gt;=8,G3240&lt;=2,H3240&gt;=5),"NEW CUSTOMERS",AND(F3240&gt;=6,G3240&lt;=2,H3240&gt;=3),"PROMISING",AND(F3240&gt;=3,G3240&gt;=3,H3240&gt;=3),"NEED ATTENTION",AND(F3240&lt;=4,G3240&gt;=6,H3240&gt;=6),"AT RISK",AND(F3240&lt;=2,G3240&gt;=8,H3240&gt;=8),"CAN'T LOSE THEM",AND(F3240&lt;=2,G3240&lt;=2,H3240&lt;=2),"HIBERNATING",TRUE(),"Other")</f>
        <v>Other</v>
      </c>
      <c r="K3240" s="1" t="n">
        <f aca="false">RANK(E3240,$E$7:$E$4378)+COUNTIF($E$7:E3240,E3240)-1</f>
        <v>1937</v>
      </c>
    </row>
    <row r="3241" customFormat="false" ht="14.25" hidden="false" customHeight="true" outlineLevel="0" collapsed="false">
      <c r="A3241" s="51" t="n">
        <v>16726</v>
      </c>
      <c r="B3241" s="53" t="n">
        <v>40860.6201388889</v>
      </c>
      <c r="C3241" s="57" t="n">
        <f aca="false">INT($C$2)-INT(Table3[[#This Row],[Last Purchase Date]])</f>
        <v>27</v>
      </c>
      <c r="D3241" s="1" t="n">
        <v>5</v>
      </c>
      <c r="E3241" s="1" t="n">
        <v>1382.02</v>
      </c>
      <c r="F3241" s="1" t="n">
        <f aca="false">ROUND((1-_xlfn.PERCENTRANK.INC($C$7:$C$4378,C3241))*9,0)</f>
        <v>6</v>
      </c>
      <c r="G3241" s="1" t="n">
        <f aca="false">ROUND(_xlfn.PERCENTRANK.INC($D$7:$D$4378,D3241)*9,0)</f>
        <v>6</v>
      </c>
      <c r="H3241" s="1" t="n">
        <f aca="false">ROUND(_xlfn.PERCENTRANK.INC($E$7:$E$4378,E3241)*9,0)</f>
        <v>6</v>
      </c>
      <c r="I3241" s="1" t="str">
        <f aca="false">CONCATENATE(F3241,G3241,H3241)</f>
        <v>666</v>
      </c>
      <c r="J3241" s="1" t="str">
        <f aca="false">_xlfn.IFS(AND(F3241&gt;=8,G3241&gt;=8,H3241&gt;=8),"CHAMPION",AND(F3241&gt;=6,G3241&gt;=7,H3241&gt;=6),"LOYAL CUSTOMER",AND(F3241&gt;=6,G3241&gt;=5,H3241&gt;=5),"POTENTIAL LOYALIST",AND(F3241&gt;=8,G3241&lt;=2,H3241&gt;=5),"NEW CUSTOMERS",AND(F3241&gt;=6,G3241&lt;=2,H3241&gt;=3),"PROMISING",AND(F3241&gt;=3,G3241&gt;=3,H3241&gt;=3),"NEED ATTENTION",AND(F3241&lt;=4,G3241&gt;=6,H3241&gt;=6),"AT RISK",AND(F3241&lt;=2,G3241&gt;=8,H3241&gt;=8),"CAN'T LOSE THEM",AND(F3241&lt;=2,G3241&lt;=2,H3241&lt;=2),"HIBERNATING",TRUE(),"Other")</f>
        <v>POTENTIAL LOYALIST</v>
      </c>
      <c r="K3241" s="1" t="n">
        <f aca="false">RANK(E3241,$E$7:$E$4378)+COUNTIF($E$7:E3241,E3241)-1</f>
        <v>1255</v>
      </c>
    </row>
    <row r="3242" customFormat="false" ht="14.25" hidden="false" customHeight="true" outlineLevel="0" collapsed="false">
      <c r="A3242" s="51" t="n">
        <v>16727</v>
      </c>
      <c r="B3242" s="53" t="n">
        <v>40522.575</v>
      </c>
      <c r="C3242" s="57" t="n">
        <f aca="false">INT($C$2)-INT(Table3[[#This Row],[Last Purchase Date]])</f>
        <v>365</v>
      </c>
      <c r="D3242" s="1" t="n">
        <v>1</v>
      </c>
      <c r="E3242" s="1" t="n">
        <v>272.82</v>
      </c>
      <c r="F3242" s="1" t="n">
        <f aca="false">ROUND((1-_xlfn.PERCENTRANK.INC($C$7:$C$4378,C3242))*9,0)</f>
        <v>0</v>
      </c>
      <c r="G3242" s="1" t="n">
        <f aca="false">ROUND(_xlfn.PERCENTRANK.INC($D$7:$D$4378,D3242)*9,0)</f>
        <v>0</v>
      </c>
      <c r="H3242" s="1" t="n">
        <f aca="false">ROUND(_xlfn.PERCENTRANK.INC($E$7:$E$4378,E3242)*9,0)</f>
        <v>2</v>
      </c>
      <c r="I3242" s="1" t="str">
        <f aca="false">CONCATENATE(F3242,G3242,H3242)</f>
        <v>002</v>
      </c>
      <c r="J3242" s="1" t="str">
        <f aca="false">_xlfn.IFS(AND(F3242&gt;=8,G3242&gt;=8,H3242&gt;=8),"CHAMPION",AND(F3242&gt;=6,G3242&gt;=7,H3242&gt;=6),"LOYAL CUSTOMER",AND(F3242&gt;=6,G3242&gt;=5,H3242&gt;=5),"POTENTIAL LOYALIST",AND(F3242&gt;=8,G3242&lt;=2,H3242&gt;=5),"NEW CUSTOMERS",AND(F3242&gt;=6,G3242&lt;=2,H3242&gt;=3),"PROMISING",AND(F3242&gt;=3,G3242&gt;=3,H3242&gt;=3),"NEED ATTENTION",AND(F3242&lt;=4,G3242&gt;=6,H3242&gt;=6),"AT RISK",AND(F3242&lt;=2,G3242&gt;=8,H3242&gt;=8),"CAN'T LOSE THEM",AND(F3242&lt;=2,G3242&lt;=2,H3242&lt;=2),"HIBERNATING",TRUE(),"Other")</f>
        <v>HIBERNATING</v>
      </c>
      <c r="K3242" s="1" t="n">
        <f aca="false">RANK(E3242,$E$7:$E$4378)+COUNTIF($E$7:E3242,E3242)-1</f>
        <v>3348</v>
      </c>
    </row>
    <row r="3243" customFormat="false" ht="14.25" hidden="false" customHeight="true" outlineLevel="0" collapsed="false">
      <c r="A3243" s="51" t="n">
        <v>16728</v>
      </c>
      <c r="B3243" s="53" t="n">
        <v>40840.6083333333</v>
      </c>
      <c r="C3243" s="57" t="n">
        <f aca="false">INT($C$2)-INT(Table3[[#This Row],[Last Purchase Date]])</f>
        <v>47</v>
      </c>
      <c r="D3243" s="1" t="n">
        <v>4</v>
      </c>
      <c r="E3243" s="1" t="n">
        <v>1054.67</v>
      </c>
      <c r="F3243" s="1" t="n">
        <f aca="false">ROUND((1-_xlfn.PERCENTRANK.INC($C$7:$C$4378,C3243))*9,0)</f>
        <v>5</v>
      </c>
      <c r="G3243" s="1" t="n">
        <f aca="false">ROUND(_xlfn.PERCENTRANK.INC($D$7:$D$4378,D3243)*9,0)</f>
        <v>5</v>
      </c>
      <c r="H3243" s="1" t="n">
        <f aca="false">ROUND(_xlfn.PERCENTRANK.INC($E$7:$E$4378,E3243)*9,0)</f>
        <v>6</v>
      </c>
      <c r="I3243" s="1" t="str">
        <f aca="false">CONCATENATE(F3243,G3243,H3243)</f>
        <v>556</v>
      </c>
      <c r="J3243" s="1" t="str">
        <f aca="false">_xlfn.IFS(AND(F3243&gt;=8,G3243&gt;=8,H3243&gt;=8),"CHAMPION",AND(F3243&gt;=6,G3243&gt;=7,H3243&gt;=6),"LOYAL CUSTOMER",AND(F3243&gt;=6,G3243&gt;=5,H3243&gt;=5),"POTENTIAL LOYALIST",AND(F3243&gt;=8,G3243&lt;=2,H3243&gt;=5),"NEW CUSTOMERS",AND(F3243&gt;=6,G3243&lt;=2,H3243&gt;=3),"PROMISING",AND(F3243&gt;=3,G3243&gt;=3,H3243&gt;=3),"NEED ATTENTION",AND(F3243&lt;=4,G3243&gt;=6,H3243&gt;=6),"AT RISK",AND(F3243&lt;=2,G3243&gt;=8,H3243&gt;=8),"CAN'T LOSE THEM",AND(F3243&lt;=2,G3243&lt;=2,H3243&lt;=2),"HIBERNATING",TRUE(),"Other")</f>
        <v>NEED ATTENTION</v>
      </c>
      <c r="K3243" s="1" t="n">
        <f aca="false">RANK(E3243,$E$7:$E$4378)+COUNTIF($E$7:E3243,E3243)-1</f>
        <v>1555</v>
      </c>
    </row>
    <row r="3244" customFormat="false" ht="14.25" hidden="false" customHeight="true" outlineLevel="0" collapsed="false">
      <c r="A3244" s="51" t="n">
        <v>16729</v>
      </c>
      <c r="B3244" s="53" t="n">
        <v>40850.7993055556</v>
      </c>
      <c r="C3244" s="57" t="n">
        <f aca="false">INT($C$2)-INT(Table3[[#This Row],[Last Purchase Date]])</f>
        <v>37</v>
      </c>
      <c r="D3244" s="1" t="n">
        <v>26</v>
      </c>
      <c r="E3244" s="1" t="n">
        <v>7076.27999999999</v>
      </c>
      <c r="F3244" s="1" t="n">
        <f aca="false">ROUND((1-_xlfn.PERCENTRANK.INC($C$7:$C$4378,C3244))*9,0)</f>
        <v>5</v>
      </c>
      <c r="G3244" s="1" t="n">
        <f aca="false">ROUND(_xlfn.PERCENTRANK.INC($D$7:$D$4378,D3244)*9,0)</f>
        <v>9</v>
      </c>
      <c r="H3244" s="1" t="n">
        <f aca="false">ROUND(_xlfn.PERCENTRANK.INC($E$7:$E$4378,E3244)*9,0)</f>
        <v>9</v>
      </c>
      <c r="I3244" s="1" t="str">
        <f aca="false">CONCATENATE(F3244,G3244,H3244)</f>
        <v>599</v>
      </c>
      <c r="J3244" s="1" t="str">
        <f aca="false">_xlfn.IFS(AND(F3244&gt;=8,G3244&gt;=8,H3244&gt;=8),"CHAMPION",AND(F3244&gt;=6,G3244&gt;=7,H3244&gt;=6),"LOYAL CUSTOMER",AND(F3244&gt;=6,G3244&gt;=5,H3244&gt;=5),"POTENTIAL LOYALIST",AND(F3244&gt;=8,G3244&lt;=2,H3244&gt;=5),"NEW CUSTOMERS",AND(F3244&gt;=6,G3244&lt;=2,H3244&gt;=3),"PROMISING",AND(F3244&gt;=3,G3244&gt;=3,H3244&gt;=3),"NEED ATTENTION",AND(F3244&lt;=4,G3244&gt;=6,H3244&gt;=6),"AT RISK",AND(F3244&lt;=2,G3244&gt;=8,H3244&gt;=8),"CAN'T LOSE THEM",AND(F3244&lt;=2,G3244&lt;=2,H3244&lt;=2),"HIBERNATING",TRUE(),"Other")</f>
        <v>NEED ATTENTION</v>
      </c>
      <c r="K3244" s="1" t="n">
        <f aca="false">RANK(E3244,$E$7:$E$4378)+COUNTIF($E$7:E3244,E3244)-1</f>
        <v>150</v>
      </c>
    </row>
    <row r="3245" customFormat="false" ht="14.25" hidden="false" customHeight="true" outlineLevel="0" collapsed="false">
      <c r="A3245" s="51" t="n">
        <v>16730</v>
      </c>
      <c r="B3245" s="53" t="n">
        <v>40834.5909722222</v>
      </c>
      <c r="C3245" s="57" t="n">
        <f aca="false">INT($C$2)-INT(Table3[[#This Row],[Last Purchase Date]])</f>
        <v>53</v>
      </c>
      <c r="D3245" s="1" t="n">
        <v>4</v>
      </c>
      <c r="E3245" s="1" t="n">
        <v>702.79</v>
      </c>
      <c r="F3245" s="1" t="n">
        <f aca="false">ROUND((1-_xlfn.PERCENTRANK.INC($C$7:$C$4378,C3245))*9,0)</f>
        <v>4</v>
      </c>
      <c r="G3245" s="1" t="n">
        <f aca="false">ROUND(_xlfn.PERCENTRANK.INC($D$7:$D$4378,D3245)*9,0)</f>
        <v>5</v>
      </c>
      <c r="H3245" s="1" t="n">
        <f aca="false">ROUND(_xlfn.PERCENTRANK.INC($E$7:$E$4378,E3245)*9,0)</f>
        <v>5</v>
      </c>
      <c r="I3245" s="1" t="str">
        <f aca="false">CONCATENATE(F3245,G3245,H3245)</f>
        <v>455</v>
      </c>
      <c r="J3245" s="1" t="str">
        <f aca="false">_xlfn.IFS(AND(F3245&gt;=8,G3245&gt;=8,H3245&gt;=8),"CHAMPION",AND(F3245&gt;=6,G3245&gt;=7,H3245&gt;=6),"LOYAL CUSTOMER",AND(F3245&gt;=6,G3245&gt;=5,H3245&gt;=5),"POTENTIAL LOYALIST",AND(F3245&gt;=8,G3245&lt;=2,H3245&gt;=5),"NEW CUSTOMERS",AND(F3245&gt;=6,G3245&lt;=2,H3245&gt;=3),"PROMISING",AND(F3245&gt;=3,G3245&gt;=3,H3245&gt;=3),"NEED ATTENTION",AND(F3245&lt;=4,G3245&gt;=6,H3245&gt;=6),"AT RISK",AND(F3245&lt;=2,G3245&gt;=8,H3245&gt;=8),"CAN'T LOSE THEM",AND(F3245&lt;=2,G3245&lt;=2,H3245&lt;=2),"HIBERNATING",TRUE(),"Other")</f>
        <v>NEED ATTENTION</v>
      </c>
      <c r="K3245" s="1" t="n">
        <f aca="false">RANK(E3245,$E$7:$E$4378)+COUNTIF($E$7:E3245,E3245)-1</f>
        <v>2062</v>
      </c>
    </row>
    <row r="3246" customFormat="false" ht="14.25" hidden="false" customHeight="true" outlineLevel="0" collapsed="false">
      <c r="A3246" s="51" t="n">
        <v>16732</v>
      </c>
      <c r="B3246" s="53" t="n">
        <v>40855.4125</v>
      </c>
      <c r="C3246" s="57" t="n">
        <f aca="false">INT($C$2)-INT(Table3[[#This Row],[Last Purchase Date]])</f>
        <v>32</v>
      </c>
      <c r="D3246" s="1" t="n">
        <v>1</v>
      </c>
      <c r="E3246" s="1" t="n">
        <v>603.75</v>
      </c>
      <c r="F3246" s="1" t="n">
        <f aca="false">ROUND((1-_xlfn.PERCENTRANK.INC($C$7:$C$4378,C3246))*9,0)</f>
        <v>5</v>
      </c>
      <c r="G3246" s="1" t="n">
        <f aca="false">ROUND(_xlfn.PERCENTRANK.INC($D$7:$D$4378,D3246)*9,0)</f>
        <v>0</v>
      </c>
      <c r="H3246" s="1" t="n">
        <f aca="false">ROUND(_xlfn.PERCENTRANK.INC($E$7:$E$4378,E3246)*9,0)</f>
        <v>4</v>
      </c>
      <c r="I3246" s="1" t="str">
        <f aca="false">CONCATENATE(F3246,G3246,H3246)</f>
        <v>504</v>
      </c>
      <c r="J3246" s="1" t="str">
        <f aca="false">_xlfn.IFS(AND(F3246&gt;=8,G3246&gt;=8,H3246&gt;=8),"CHAMPION",AND(F3246&gt;=6,G3246&gt;=7,H3246&gt;=6),"LOYAL CUSTOMER",AND(F3246&gt;=6,G3246&gt;=5,H3246&gt;=5),"POTENTIAL LOYALIST",AND(F3246&gt;=8,G3246&lt;=2,H3246&gt;=5),"NEW CUSTOMERS",AND(F3246&gt;=6,G3246&lt;=2,H3246&gt;=3),"PROMISING",AND(F3246&gt;=3,G3246&gt;=3,H3246&gt;=3),"NEED ATTENTION",AND(F3246&lt;=4,G3246&gt;=6,H3246&gt;=6),"AT RISK",AND(F3246&lt;=2,G3246&gt;=8,H3246&gt;=8),"CAN'T LOSE THEM",AND(F3246&lt;=2,G3246&lt;=2,H3246&lt;=2),"HIBERNATING",TRUE(),"Other")</f>
        <v>Other</v>
      </c>
      <c r="K3246" s="1" t="n">
        <f aca="false">RANK(E3246,$E$7:$E$4378)+COUNTIF($E$7:E3246,E3246)-1</f>
        <v>2302</v>
      </c>
    </row>
    <row r="3247" customFormat="false" ht="14.25" hidden="false" customHeight="true" outlineLevel="0" collapsed="false">
      <c r="A3247" s="51" t="n">
        <v>16734</v>
      </c>
      <c r="B3247" s="53" t="n">
        <v>40834.5722222222</v>
      </c>
      <c r="C3247" s="57" t="n">
        <f aca="false">INT($C$2)-INT(Table3[[#This Row],[Last Purchase Date]])</f>
        <v>53</v>
      </c>
      <c r="D3247" s="1" t="n">
        <v>3</v>
      </c>
      <c r="E3247" s="1" t="n">
        <v>650.51</v>
      </c>
      <c r="F3247" s="1" t="n">
        <f aca="false">ROUND((1-_xlfn.PERCENTRANK.INC($C$7:$C$4378,C3247))*9,0)</f>
        <v>4</v>
      </c>
      <c r="G3247" s="1" t="n">
        <f aca="false">ROUND(_xlfn.PERCENTRANK.INC($D$7:$D$4378,D3247)*9,0)</f>
        <v>4</v>
      </c>
      <c r="H3247" s="1" t="n">
        <f aca="false">ROUND(_xlfn.PERCENTRANK.INC($E$7:$E$4378,E3247)*9,0)</f>
        <v>5</v>
      </c>
      <c r="I3247" s="1" t="str">
        <f aca="false">CONCATENATE(F3247,G3247,H3247)</f>
        <v>445</v>
      </c>
      <c r="J3247" s="1" t="str">
        <f aca="false">_xlfn.IFS(AND(F3247&gt;=8,G3247&gt;=8,H3247&gt;=8),"CHAMPION",AND(F3247&gt;=6,G3247&gt;=7,H3247&gt;=6),"LOYAL CUSTOMER",AND(F3247&gt;=6,G3247&gt;=5,H3247&gt;=5),"POTENTIAL LOYALIST",AND(F3247&gt;=8,G3247&lt;=2,H3247&gt;=5),"NEW CUSTOMERS",AND(F3247&gt;=6,G3247&lt;=2,H3247&gt;=3),"PROMISING",AND(F3247&gt;=3,G3247&gt;=3,H3247&gt;=3),"NEED ATTENTION",AND(F3247&lt;=4,G3247&gt;=6,H3247&gt;=6),"AT RISK",AND(F3247&lt;=2,G3247&gt;=8,H3247&gt;=8),"CAN'T LOSE THEM",AND(F3247&lt;=2,G3247&lt;=2,H3247&lt;=2),"HIBERNATING",TRUE(),"Other")</f>
        <v>NEED ATTENTION</v>
      </c>
      <c r="K3247" s="1" t="n">
        <f aca="false">RANK(E3247,$E$7:$E$4378)+COUNTIF($E$7:E3247,E3247)-1</f>
        <v>2179</v>
      </c>
    </row>
    <row r="3248" customFormat="false" ht="14.25" hidden="false" customHeight="true" outlineLevel="0" collapsed="false">
      <c r="A3248" s="51" t="n">
        <v>16735</v>
      </c>
      <c r="B3248" s="53" t="n">
        <v>40808.4923611111</v>
      </c>
      <c r="C3248" s="57" t="n">
        <f aca="false">INT($C$2)-INT(Table3[[#This Row],[Last Purchase Date]])</f>
        <v>79</v>
      </c>
      <c r="D3248" s="1" t="n">
        <v>7</v>
      </c>
      <c r="E3248" s="1" t="n">
        <v>2269.21</v>
      </c>
      <c r="F3248" s="1" t="n">
        <f aca="false">ROUND((1-_xlfn.PERCENTRANK.INC($C$7:$C$4378,C3248))*9,0)</f>
        <v>3</v>
      </c>
      <c r="G3248" s="1" t="n">
        <f aca="false">ROUND(_xlfn.PERCENTRANK.INC($D$7:$D$4378,D3248)*9,0)</f>
        <v>7</v>
      </c>
      <c r="H3248" s="1" t="n">
        <f aca="false">ROUND(_xlfn.PERCENTRANK.INC($E$7:$E$4378,E3248)*9,0)</f>
        <v>7</v>
      </c>
      <c r="I3248" s="1" t="str">
        <f aca="false">CONCATENATE(F3248,G3248,H3248)</f>
        <v>377</v>
      </c>
      <c r="J3248" s="1" t="str">
        <f aca="false">_xlfn.IFS(AND(F3248&gt;=8,G3248&gt;=8,H3248&gt;=8),"CHAMPION",AND(F3248&gt;=6,G3248&gt;=7,H3248&gt;=6),"LOYAL CUSTOMER",AND(F3248&gt;=6,G3248&gt;=5,H3248&gt;=5),"POTENTIAL LOYALIST",AND(F3248&gt;=8,G3248&lt;=2,H3248&gt;=5),"NEW CUSTOMERS",AND(F3248&gt;=6,G3248&lt;=2,H3248&gt;=3),"PROMISING",AND(F3248&gt;=3,G3248&gt;=3,H3248&gt;=3),"NEED ATTENTION",AND(F3248&lt;=4,G3248&gt;=6,H3248&gt;=6),"AT RISK",AND(F3248&lt;=2,G3248&gt;=8,H3248&gt;=8),"CAN'T LOSE THEM",AND(F3248&lt;=2,G3248&lt;=2,H3248&lt;=2),"HIBERNATING",TRUE(),"Other")</f>
        <v>NEED ATTENTION</v>
      </c>
      <c r="K3248" s="1" t="n">
        <f aca="false">RANK(E3248,$E$7:$E$4378)+COUNTIF($E$7:E3248,E3248)-1</f>
        <v>755</v>
      </c>
    </row>
    <row r="3249" customFormat="false" ht="14.25" hidden="false" customHeight="true" outlineLevel="0" collapsed="false">
      <c r="A3249" s="51" t="n">
        <v>16737</v>
      </c>
      <c r="B3249" s="53" t="n">
        <v>40833.54375</v>
      </c>
      <c r="C3249" s="57" t="n">
        <f aca="false">INT($C$2)-INT(Table3[[#This Row],[Last Purchase Date]])</f>
        <v>54</v>
      </c>
      <c r="D3249" s="1" t="n">
        <v>1</v>
      </c>
      <c r="E3249" s="1" t="n">
        <v>417.6</v>
      </c>
      <c r="F3249" s="1" t="n">
        <f aca="false">ROUND((1-_xlfn.PERCENTRANK.INC($C$7:$C$4378,C3249))*9,0)</f>
        <v>4</v>
      </c>
      <c r="G3249" s="1" t="n">
        <f aca="false">ROUND(_xlfn.PERCENTRANK.INC($D$7:$D$4378,D3249)*9,0)</f>
        <v>0</v>
      </c>
      <c r="H3249" s="1" t="n">
        <f aca="false">ROUND(_xlfn.PERCENTRANK.INC($E$7:$E$4378,E3249)*9,0)</f>
        <v>3</v>
      </c>
      <c r="I3249" s="1" t="str">
        <f aca="false">CONCATENATE(F3249,G3249,H3249)</f>
        <v>403</v>
      </c>
      <c r="J3249" s="1" t="str">
        <f aca="false">_xlfn.IFS(AND(F3249&gt;=8,G3249&gt;=8,H3249&gt;=8),"CHAMPION",AND(F3249&gt;=6,G3249&gt;=7,H3249&gt;=6),"LOYAL CUSTOMER",AND(F3249&gt;=6,G3249&gt;=5,H3249&gt;=5),"POTENTIAL LOYALIST",AND(F3249&gt;=8,G3249&lt;=2,H3249&gt;=5),"NEW CUSTOMERS",AND(F3249&gt;=6,G3249&lt;=2,H3249&gt;=3),"PROMISING",AND(F3249&gt;=3,G3249&gt;=3,H3249&gt;=3),"NEED ATTENTION",AND(F3249&lt;=4,G3249&gt;=6,H3249&gt;=6),"AT RISK",AND(F3249&lt;=2,G3249&gt;=8,H3249&gt;=8),"CAN'T LOSE THEM",AND(F3249&lt;=2,G3249&lt;=2,H3249&lt;=2),"HIBERNATING",TRUE(),"Other")</f>
        <v>Other</v>
      </c>
      <c r="K3249" s="1" t="n">
        <f aca="false">RANK(E3249,$E$7:$E$4378)+COUNTIF($E$7:E3249,E3249)-1</f>
        <v>2759</v>
      </c>
    </row>
    <row r="3250" customFormat="false" ht="14.25" hidden="false" customHeight="true" outlineLevel="0" collapsed="false">
      <c r="A3250" s="51" t="n">
        <v>16738</v>
      </c>
      <c r="B3250" s="53" t="n">
        <v>40589.4069444445</v>
      </c>
      <c r="C3250" s="57" t="n">
        <f aca="false">INT($C$2)-INT(Table3[[#This Row],[Last Purchase Date]])</f>
        <v>298</v>
      </c>
      <c r="D3250" s="1" t="n">
        <v>1</v>
      </c>
      <c r="E3250" s="1" t="n">
        <v>3.75</v>
      </c>
      <c r="F3250" s="1" t="n">
        <f aca="false">ROUND((1-_xlfn.PERCENTRANK.INC($C$7:$C$4378,C3250))*9,0)</f>
        <v>1</v>
      </c>
      <c r="G3250" s="1" t="n">
        <f aca="false">ROUND(_xlfn.PERCENTRANK.INC($D$7:$D$4378,D3250)*9,0)</f>
        <v>0</v>
      </c>
      <c r="H3250" s="1" t="n">
        <f aca="false">ROUND(_xlfn.PERCENTRANK.INC($E$7:$E$4378,E3250)*9,0)</f>
        <v>0</v>
      </c>
      <c r="I3250" s="1" t="str">
        <f aca="false">CONCATENATE(F3250,G3250,H3250)</f>
        <v>100</v>
      </c>
      <c r="J3250" s="1" t="str">
        <f aca="false">_xlfn.IFS(AND(F3250&gt;=8,G3250&gt;=8,H3250&gt;=8),"CHAMPION",AND(F3250&gt;=6,G3250&gt;=7,H3250&gt;=6),"LOYAL CUSTOMER",AND(F3250&gt;=6,G3250&gt;=5,H3250&gt;=5),"POTENTIAL LOYALIST",AND(F3250&gt;=8,G3250&lt;=2,H3250&gt;=5),"NEW CUSTOMERS",AND(F3250&gt;=6,G3250&lt;=2,H3250&gt;=3),"PROMISING",AND(F3250&gt;=3,G3250&gt;=3,H3250&gt;=3),"NEED ATTENTION",AND(F3250&lt;=4,G3250&gt;=6,H3250&gt;=6),"AT RISK",AND(F3250&lt;=2,G3250&gt;=8,H3250&gt;=8),"CAN'T LOSE THEM",AND(F3250&lt;=2,G3250&lt;=2,H3250&lt;=2),"HIBERNATING",TRUE(),"Other")</f>
        <v>HIBERNATING</v>
      </c>
      <c r="K3250" s="1" t="n">
        <f aca="false">RANK(E3250,$E$7:$E$4378)+COUNTIF($E$7:E3250,E3250)-1</f>
        <v>4316</v>
      </c>
    </row>
    <row r="3251" customFormat="false" ht="14.25" hidden="false" customHeight="true" outlineLevel="0" collapsed="false">
      <c r="A3251" s="51" t="n">
        <v>16739</v>
      </c>
      <c r="B3251" s="53" t="n">
        <v>40714.71875</v>
      </c>
      <c r="C3251" s="57" t="n">
        <f aca="false">INT($C$2)-INT(Table3[[#This Row],[Last Purchase Date]])</f>
        <v>173</v>
      </c>
      <c r="D3251" s="1" t="n">
        <v>2</v>
      </c>
      <c r="E3251" s="1" t="n">
        <v>312.55</v>
      </c>
      <c r="F3251" s="1" t="n">
        <f aca="false">ROUND((1-_xlfn.PERCENTRANK.INC($C$7:$C$4378,C3251))*9,0)</f>
        <v>2</v>
      </c>
      <c r="G3251" s="1" t="n">
        <f aca="false">ROUND(_xlfn.PERCENTRANK.INC($D$7:$D$4378,D3251)*9,0)</f>
        <v>3</v>
      </c>
      <c r="H3251" s="1" t="n">
        <f aca="false">ROUND(_xlfn.PERCENTRANK.INC($E$7:$E$4378,E3251)*9,0)</f>
        <v>2</v>
      </c>
      <c r="I3251" s="1" t="str">
        <f aca="false">CONCATENATE(F3251,G3251,H3251)</f>
        <v>232</v>
      </c>
      <c r="J3251" s="1" t="str">
        <f aca="false">_xlfn.IFS(AND(F3251&gt;=8,G3251&gt;=8,H3251&gt;=8),"CHAMPION",AND(F3251&gt;=6,G3251&gt;=7,H3251&gt;=6),"LOYAL CUSTOMER",AND(F3251&gt;=6,G3251&gt;=5,H3251&gt;=5),"POTENTIAL LOYALIST",AND(F3251&gt;=8,G3251&lt;=2,H3251&gt;=5),"NEW CUSTOMERS",AND(F3251&gt;=6,G3251&lt;=2,H3251&gt;=3),"PROMISING",AND(F3251&gt;=3,G3251&gt;=3,H3251&gt;=3),"NEED ATTENTION",AND(F3251&lt;=4,G3251&gt;=6,H3251&gt;=6),"AT RISK",AND(F3251&lt;=2,G3251&gt;=8,H3251&gt;=8),"CAN'T LOSE THEM",AND(F3251&lt;=2,G3251&lt;=2,H3251&lt;=2),"HIBERNATING",TRUE(),"Other")</f>
        <v>Other</v>
      </c>
      <c r="K3251" s="1" t="n">
        <f aca="false">RANK(E3251,$E$7:$E$4378)+COUNTIF($E$7:E3251,E3251)-1</f>
        <v>3178</v>
      </c>
    </row>
    <row r="3252" customFormat="false" ht="14.25" hidden="false" customHeight="true" outlineLevel="0" collapsed="false">
      <c r="A3252" s="51" t="n">
        <v>16742</v>
      </c>
      <c r="B3252" s="53" t="n">
        <v>40840.5013888889</v>
      </c>
      <c r="C3252" s="57" t="n">
        <f aca="false">INT($C$2)-INT(Table3[[#This Row],[Last Purchase Date]])</f>
        <v>47</v>
      </c>
      <c r="D3252" s="1" t="n">
        <v>2</v>
      </c>
      <c r="E3252" s="1" t="n">
        <v>0</v>
      </c>
      <c r="F3252" s="1" t="n">
        <f aca="false">ROUND((1-_xlfn.PERCENTRANK.INC($C$7:$C$4378,C3252))*9,0)</f>
        <v>5</v>
      </c>
      <c r="G3252" s="1" t="n">
        <f aca="false">ROUND(_xlfn.PERCENTRANK.INC($D$7:$D$4378,D3252)*9,0)</f>
        <v>3</v>
      </c>
      <c r="H3252" s="1" t="n">
        <f aca="false">ROUND(_xlfn.PERCENTRANK.INC($E$7:$E$4378,E3252)*9,0)</f>
        <v>0</v>
      </c>
      <c r="I3252" s="1" t="str">
        <f aca="false">CONCATENATE(F3252,G3252,H3252)</f>
        <v>530</v>
      </c>
      <c r="J3252" s="1" t="str">
        <f aca="false">_xlfn.IFS(AND(F3252&gt;=8,G3252&gt;=8,H3252&gt;=8),"CHAMPION",AND(F3252&gt;=6,G3252&gt;=7,H3252&gt;=6),"LOYAL CUSTOMER",AND(F3252&gt;=6,G3252&gt;=5,H3252&gt;=5),"POTENTIAL LOYALIST",AND(F3252&gt;=8,G3252&lt;=2,H3252&gt;=5),"NEW CUSTOMERS",AND(F3252&gt;=6,G3252&lt;=2,H3252&gt;=3),"PROMISING",AND(F3252&gt;=3,G3252&gt;=3,H3252&gt;=3),"NEED ATTENTION",AND(F3252&lt;=4,G3252&gt;=6,H3252&gt;=6),"AT RISK",AND(F3252&lt;=2,G3252&gt;=8,H3252&gt;=8),"CAN'T LOSE THEM",AND(F3252&lt;=2,G3252&lt;=2,H3252&lt;=2),"HIBERNATING",TRUE(),"Other")</f>
        <v>Other</v>
      </c>
      <c r="K3252" s="1" t="n">
        <f aca="false">RANK(E3252,$E$7:$E$4378)+COUNTIF($E$7:E3252,E3252)-1</f>
        <v>4326</v>
      </c>
    </row>
    <row r="3253" customFormat="false" ht="14.25" hidden="false" customHeight="true" outlineLevel="0" collapsed="false">
      <c r="A3253" s="51" t="n">
        <v>16743</v>
      </c>
      <c r="B3253" s="53" t="n">
        <v>40857.5506944444</v>
      </c>
      <c r="C3253" s="57" t="n">
        <f aca="false">INT($C$2)-INT(Table3[[#This Row],[Last Purchase Date]])</f>
        <v>30</v>
      </c>
      <c r="D3253" s="1" t="n">
        <v>8</v>
      </c>
      <c r="E3253" s="1" t="n">
        <v>2191.84</v>
      </c>
      <c r="F3253" s="1" t="n">
        <f aca="false">ROUND((1-_xlfn.PERCENTRANK.INC($C$7:$C$4378,C3253))*9,0)</f>
        <v>6</v>
      </c>
      <c r="G3253" s="1" t="n">
        <f aca="false">ROUND(_xlfn.PERCENTRANK.INC($D$7:$D$4378,D3253)*9,0)</f>
        <v>7</v>
      </c>
      <c r="H3253" s="1" t="n">
        <f aca="false">ROUND(_xlfn.PERCENTRANK.INC($E$7:$E$4378,E3253)*9,0)</f>
        <v>7</v>
      </c>
      <c r="I3253" s="1" t="str">
        <f aca="false">CONCATENATE(F3253,G3253,H3253)</f>
        <v>677</v>
      </c>
      <c r="J3253" s="1" t="str">
        <f aca="false">_xlfn.IFS(AND(F3253&gt;=8,G3253&gt;=8,H3253&gt;=8),"CHAMPION",AND(F3253&gt;=6,G3253&gt;=7,H3253&gt;=6),"LOYAL CUSTOMER",AND(F3253&gt;=6,G3253&gt;=5,H3253&gt;=5),"POTENTIAL LOYALIST",AND(F3253&gt;=8,G3253&lt;=2,H3253&gt;=5),"NEW CUSTOMERS",AND(F3253&gt;=6,G3253&lt;=2,H3253&gt;=3),"PROMISING",AND(F3253&gt;=3,G3253&gt;=3,H3253&gt;=3),"NEED ATTENTION",AND(F3253&lt;=4,G3253&gt;=6,H3253&gt;=6),"AT RISK",AND(F3253&lt;=2,G3253&gt;=8,H3253&gt;=8),"CAN'T LOSE THEM",AND(F3253&lt;=2,G3253&lt;=2,H3253&lt;=2),"HIBERNATING",TRUE(),"Other")</f>
        <v>LOYAL CUSTOMER</v>
      </c>
      <c r="K3253" s="1" t="n">
        <f aca="false">RANK(E3253,$E$7:$E$4378)+COUNTIF($E$7:E3253,E3253)-1</f>
        <v>787</v>
      </c>
    </row>
    <row r="3254" customFormat="false" ht="14.25" hidden="false" customHeight="true" outlineLevel="0" collapsed="false">
      <c r="A3254" s="51" t="n">
        <v>16744</v>
      </c>
      <c r="B3254" s="53" t="n">
        <v>40875.5458333333</v>
      </c>
      <c r="C3254" s="57" t="n">
        <f aca="false">INT($C$2)-INT(Table3[[#This Row],[Last Purchase Date]])</f>
        <v>12</v>
      </c>
      <c r="D3254" s="1" t="n">
        <v>7</v>
      </c>
      <c r="E3254" s="1" t="n">
        <v>1304.76</v>
      </c>
      <c r="F3254" s="1" t="n">
        <f aca="false">ROUND((1-_xlfn.PERCENTRANK.INC($C$7:$C$4378,C3254))*9,0)</f>
        <v>7</v>
      </c>
      <c r="G3254" s="1" t="n">
        <f aca="false">ROUND(_xlfn.PERCENTRANK.INC($D$7:$D$4378,D3254)*9,0)</f>
        <v>7</v>
      </c>
      <c r="H3254" s="1" t="n">
        <f aca="false">ROUND(_xlfn.PERCENTRANK.INC($E$7:$E$4378,E3254)*9,0)</f>
        <v>6</v>
      </c>
      <c r="I3254" s="1" t="str">
        <f aca="false">CONCATENATE(F3254,G3254,H3254)</f>
        <v>776</v>
      </c>
      <c r="J3254" s="1" t="str">
        <f aca="false">_xlfn.IFS(AND(F3254&gt;=8,G3254&gt;=8,H3254&gt;=8),"CHAMPION",AND(F3254&gt;=6,G3254&gt;=7,H3254&gt;=6),"LOYAL CUSTOMER",AND(F3254&gt;=6,G3254&gt;=5,H3254&gt;=5),"POTENTIAL LOYALIST",AND(F3254&gt;=8,G3254&lt;=2,H3254&gt;=5),"NEW CUSTOMERS",AND(F3254&gt;=6,G3254&lt;=2,H3254&gt;=3),"PROMISING",AND(F3254&gt;=3,G3254&gt;=3,H3254&gt;=3),"NEED ATTENTION",AND(F3254&lt;=4,G3254&gt;=6,H3254&gt;=6),"AT RISK",AND(F3254&lt;=2,G3254&gt;=8,H3254&gt;=8),"CAN'T LOSE THEM",AND(F3254&lt;=2,G3254&lt;=2,H3254&lt;=2),"HIBERNATING",TRUE(),"Other")</f>
        <v>LOYAL CUSTOMER</v>
      </c>
      <c r="K3254" s="1" t="n">
        <f aca="false">RANK(E3254,$E$7:$E$4378)+COUNTIF($E$7:E3254,E3254)-1</f>
        <v>1322</v>
      </c>
    </row>
    <row r="3255" customFormat="false" ht="14.25" hidden="false" customHeight="true" outlineLevel="0" collapsed="false">
      <c r="A3255" s="51" t="n">
        <v>16745</v>
      </c>
      <c r="B3255" s="53" t="n">
        <v>40800.4986111111</v>
      </c>
      <c r="C3255" s="57" t="n">
        <f aca="false">INT($C$2)-INT(Table3[[#This Row],[Last Purchase Date]])</f>
        <v>87</v>
      </c>
      <c r="D3255" s="1" t="n">
        <v>18</v>
      </c>
      <c r="E3255" s="1" t="n">
        <v>7170.70000000001</v>
      </c>
      <c r="F3255" s="1" t="n">
        <f aca="false">ROUND((1-_xlfn.PERCENTRANK.INC($C$7:$C$4378,C3255))*9,0)</f>
        <v>3</v>
      </c>
      <c r="G3255" s="1" t="n">
        <f aca="false">ROUND(_xlfn.PERCENTRANK.INC($D$7:$D$4378,D3255)*9,0)</f>
        <v>9</v>
      </c>
      <c r="H3255" s="1" t="n">
        <f aca="false">ROUND(_xlfn.PERCENTRANK.INC($E$7:$E$4378,E3255)*9,0)</f>
        <v>9</v>
      </c>
      <c r="I3255" s="1" t="str">
        <f aca="false">CONCATENATE(F3255,G3255,H3255)</f>
        <v>399</v>
      </c>
      <c r="J3255" s="1" t="str">
        <f aca="false">_xlfn.IFS(AND(F3255&gt;=8,G3255&gt;=8,H3255&gt;=8),"CHAMPION",AND(F3255&gt;=6,G3255&gt;=7,H3255&gt;=6),"LOYAL CUSTOMER",AND(F3255&gt;=6,G3255&gt;=5,H3255&gt;=5),"POTENTIAL LOYALIST",AND(F3255&gt;=8,G3255&lt;=2,H3255&gt;=5),"NEW CUSTOMERS",AND(F3255&gt;=6,G3255&lt;=2,H3255&gt;=3),"PROMISING",AND(F3255&gt;=3,G3255&gt;=3,H3255&gt;=3),"NEED ATTENTION",AND(F3255&lt;=4,G3255&gt;=6,H3255&gt;=6),"AT RISK",AND(F3255&lt;=2,G3255&gt;=8,H3255&gt;=8),"CAN'T LOSE THEM",AND(F3255&lt;=2,G3255&lt;=2,H3255&lt;=2),"HIBERNATING",TRUE(),"Other")</f>
        <v>NEED ATTENTION</v>
      </c>
      <c r="K3255" s="1" t="n">
        <f aca="false">RANK(E3255,$E$7:$E$4378)+COUNTIF($E$7:E3255,E3255)-1</f>
        <v>147</v>
      </c>
    </row>
    <row r="3256" customFormat="false" ht="14.25" hidden="false" customHeight="true" outlineLevel="0" collapsed="false">
      <c r="A3256" s="51" t="n">
        <v>16746</v>
      </c>
      <c r="B3256" s="53" t="n">
        <v>40882.5229166667</v>
      </c>
      <c r="C3256" s="57" t="n">
        <f aca="false">INT($C$2)-INT(Table3[[#This Row],[Last Purchase Date]])</f>
        <v>5</v>
      </c>
      <c r="D3256" s="1" t="n">
        <v>19</v>
      </c>
      <c r="E3256" s="1" t="n">
        <v>6694.31000000001</v>
      </c>
      <c r="F3256" s="1" t="n">
        <f aca="false">ROUND((1-_xlfn.PERCENTRANK.INC($C$7:$C$4378,C3256))*9,0)</f>
        <v>8</v>
      </c>
      <c r="G3256" s="1" t="n">
        <f aca="false">ROUND(_xlfn.PERCENTRANK.INC($D$7:$D$4378,D3256)*9,0)</f>
        <v>9</v>
      </c>
      <c r="H3256" s="1" t="n">
        <f aca="false">ROUND(_xlfn.PERCENTRANK.INC($E$7:$E$4378,E3256)*9,0)</f>
        <v>9</v>
      </c>
      <c r="I3256" s="1" t="str">
        <f aca="false">CONCATENATE(F3256,G3256,H3256)</f>
        <v>899</v>
      </c>
      <c r="J3256" s="1" t="str">
        <f aca="false">_xlfn.IFS(AND(F3256&gt;=8,G3256&gt;=8,H3256&gt;=8),"CHAMPION",AND(F3256&gt;=6,G3256&gt;=7,H3256&gt;=6),"LOYAL CUSTOMER",AND(F3256&gt;=6,G3256&gt;=5,H3256&gt;=5),"POTENTIAL LOYALIST",AND(F3256&gt;=8,G3256&lt;=2,H3256&gt;=5),"NEW CUSTOMERS",AND(F3256&gt;=6,G3256&lt;=2,H3256&gt;=3),"PROMISING",AND(F3256&gt;=3,G3256&gt;=3,H3256&gt;=3),"NEED ATTENTION",AND(F3256&lt;=4,G3256&gt;=6,H3256&gt;=6),"AT RISK",AND(F3256&lt;=2,G3256&gt;=8,H3256&gt;=8),"CAN'T LOSE THEM",AND(F3256&lt;=2,G3256&lt;=2,H3256&lt;=2),"HIBERNATING",TRUE(),"Other")</f>
        <v>CHAMPION</v>
      </c>
      <c r="K3256" s="1" t="n">
        <f aca="false">RANK(E3256,$E$7:$E$4378)+COUNTIF($E$7:E3256,E3256)-1</f>
        <v>170</v>
      </c>
    </row>
    <row r="3257" customFormat="false" ht="14.25" hidden="false" customHeight="true" outlineLevel="0" collapsed="false">
      <c r="A3257" s="51" t="n">
        <v>16747</v>
      </c>
      <c r="B3257" s="53" t="n">
        <v>40861.5673611111</v>
      </c>
      <c r="C3257" s="57" t="n">
        <f aca="false">INT($C$2)-INT(Table3[[#This Row],[Last Purchase Date]])</f>
        <v>26</v>
      </c>
      <c r="D3257" s="1" t="n">
        <v>4</v>
      </c>
      <c r="E3257" s="1" t="n">
        <v>826.96</v>
      </c>
      <c r="F3257" s="1" t="n">
        <f aca="false">ROUND((1-_xlfn.PERCENTRANK.INC($C$7:$C$4378,C3257))*9,0)</f>
        <v>6</v>
      </c>
      <c r="G3257" s="1" t="n">
        <f aca="false">ROUND(_xlfn.PERCENTRANK.INC($D$7:$D$4378,D3257)*9,0)</f>
        <v>5</v>
      </c>
      <c r="H3257" s="1" t="n">
        <f aca="false">ROUND(_xlfn.PERCENTRANK.INC($E$7:$E$4378,E3257)*9,0)</f>
        <v>5</v>
      </c>
      <c r="I3257" s="1" t="str">
        <f aca="false">CONCATENATE(F3257,G3257,H3257)</f>
        <v>655</v>
      </c>
      <c r="J3257" s="1" t="str">
        <f aca="false">_xlfn.IFS(AND(F3257&gt;=8,G3257&gt;=8,H3257&gt;=8),"CHAMPION",AND(F3257&gt;=6,G3257&gt;=7,H3257&gt;=6),"LOYAL CUSTOMER",AND(F3257&gt;=6,G3257&gt;=5,H3257&gt;=5),"POTENTIAL LOYALIST",AND(F3257&gt;=8,G3257&lt;=2,H3257&gt;=5),"NEW CUSTOMERS",AND(F3257&gt;=6,G3257&lt;=2,H3257&gt;=3),"PROMISING",AND(F3257&gt;=3,G3257&gt;=3,H3257&gt;=3),"NEED ATTENTION",AND(F3257&lt;=4,G3257&gt;=6,H3257&gt;=6),"AT RISK",AND(F3257&lt;=2,G3257&gt;=8,H3257&gt;=8),"CAN'T LOSE THEM",AND(F3257&lt;=2,G3257&lt;=2,H3257&lt;=2),"HIBERNATING",TRUE(),"Other")</f>
        <v>POTENTIAL LOYALIST</v>
      </c>
      <c r="K3257" s="1" t="n">
        <f aca="false">RANK(E3257,$E$7:$E$4378)+COUNTIF($E$7:E3257,E3257)-1</f>
        <v>1856</v>
      </c>
    </row>
    <row r="3258" customFormat="false" ht="14.25" hidden="false" customHeight="true" outlineLevel="0" collapsed="false">
      <c r="A3258" s="51" t="n">
        <v>16748</v>
      </c>
      <c r="B3258" s="53" t="n">
        <v>40869.4284722222</v>
      </c>
      <c r="C3258" s="57" t="n">
        <f aca="false">INT($C$2)-INT(Table3[[#This Row],[Last Purchase Date]])</f>
        <v>18</v>
      </c>
      <c r="D3258" s="1" t="n">
        <v>5</v>
      </c>
      <c r="E3258" s="1" t="n">
        <v>1515.9</v>
      </c>
      <c r="F3258" s="1" t="n">
        <f aca="false">ROUND((1-_xlfn.PERCENTRANK.INC($C$7:$C$4378,C3258))*9,0)</f>
        <v>7</v>
      </c>
      <c r="G3258" s="1" t="n">
        <f aca="false">ROUND(_xlfn.PERCENTRANK.INC($D$7:$D$4378,D3258)*9,0)</f>
        <v>6</v>
      </c>
      <c r="H3258" s="1" t="n">
        <f aca="false">ROUND(_xlfn.PERCENTRANK.INC($E$7:$E$4378,E3258)*9,0)</f>
        <v>7</v>
      </c>
      <c r="I3258" s="1" t="str">
        <f aca="false">CONCATENATE(F3258,G3258,H3258)</f>
        <v>767</v>
      </c>
      <c r="J3258" s="1" t="str">
        <f aca="false">_xlfn.IFS(AND(F3258&gt;=8,G3258&gt;=8,H3258&gt;=8),"CHAMPION",AND(F3258&gt;=6,G3258&gt;=7,H3258&gt;=6),"LOYAL CUSTOMER",AND(F3258&gt;=6,G3258&gt;=5,H3258&gt;=5),"POTENTIAL LOYALIST",AND(F3258&gt;=8,G3258&lt;=2,H3258&gt;=5),"NEW CUSTOMERS",AND(F3258&gt;=6,G3258&lt;=2,H3258&gt;=3),"PROMISING",AND(F3258&gt;=3,G3258&gt;=3,H3258&gt;=3),"NEED ATTENTION",AND(F3258&lt;=4,G3258&gt;=6,H3258&gt;=6),"AT RISK",AND(F3258&lt;=2,G3258&gt;=8,H3258&gt;=8),"CAN'T LOSE THEM",AND(F3258&lt;=2,G3258&lt;=2,H3258&lt;=2),"HIBERNATING",TRUE(),"Other")</f>
        <v>POTENTIAL LOYALIST</v>
      </c>
      <c r="K3258" s="1" t="n">
        <f aca="false">RANK(E3258,$E$7:$E$4378)+COUNTIF($E$7:E3258,E3258)-1</f>
        <v>1156</v>
      </c>
    </row>
    <row r="3259" customFormat="false" ht="14.25" hidden="false" customHeight="true" outlineLevel="0" collapsed="false">
      <c r="A3259" s="51" t="n">
        <v>16750</v>
      </c>
      <c r="B3259" s="53" t="n">
        <v>40842.5333333333</v>
      </c>
      <c r="C3259" s="57" t="n">
        <f aca="false">INT($C$2)-INT(Table3[[#This Row],[Last Purchase Date]])</f>
        <v>45</v>
      </c>
      <c r="D3259" s="1" t="n">
        <v>5</v>
      </c>
      <c r="E3259" s="1" t="n">
        <v>623.93</v>
      </c>
      <c r="F3259" s="1" t="n">
        <f aca="false">ROUND((1-_xlfn.PERCENTRANK.INC($C$7:$C$4378,C3259))*9,0)</f>
        <v>5</v>
      </c>
      <c r="G3259" s="1" t="n">
        <f aca="false">ROUND(_xlfn.PERCENTRANK.INC($D$7:$D$4378,D3259)*9,0)</f>
        <v>6</v>
      </c>
      <c r="H3259" s="1" t="n">
        <f aca="false">ROUND(_xlfn.PERCENTRANK.INC($E$7:$E$4378,E3259)*9,0)</f>
        <v>4</v>
      </c>
      <c r="I3259" s="1" t="str">
        <f aca="false">CONCATENATE(F3259,G3259,H3259)</f>
        <v>564</v>
      </c>
      <c r="J3259" s="1" t="str">
        <f aca="false">_xlfn.IFS(AND(F3259&gt;=8,G3259&gt;=8,H3259&gt;=8),"CHAMPION",AND(F3259&gt;=6,G3259&gt;=7,H3259&gt;=6),"LOYAL CUSTOMER",AND(F3259&gt;=6,G3259&gt;=5,H3259&gt;=5),"POTENTIAL LOYALIST",AND(F3259&gt;=8,G3259&lt;=2,H3259&gt;=5),"NEW CUSTOMERS",AND(F3259&gt;=6,G3259&lt;=2,H3259&gt;=3),"PROMISING",AND(F3259&gt;=3,G3259&gt;=3,H3259&gt;=3),"NEED ATTENTION",AND(F3259&lt;=4,G3259&gt;=6,H3259&gt;=6),"AT RISK",AND(F3259&lt;=2,G3259&gt;=8,H3259&gt;=8),"CAN'T LOSE THEM",AND(F3259&lt;=2,G3259&lt;=2,H3259&lt;=2),"HIBERNATING",TRUE(),"Other")</f>
        <v>NEED ATTENTION</v>
      </c>
      <c r="K3259" s="1" t="n">
        <f aca="false">RANK(E3259,$E$7:$E$4378)+COUNTIF($E$7:E3259,E3259)-1</f>
        <v>2245</v>
      </c>
    </row>
    <row r="3260" customFormat="false" ht="14.25" hidden="false" customHeight="true" outlineLevel="0" collapsed="false">
      <c r="A3260" s="51" t="n">
        <v>16751</v>
      </c>
      <c r="B3260" s="53" t="n">
        <v>40856.45</v>
      </c>
      <c r="C3260" s="57" t="n">
        <f aca="false">INT($C$2)-INT(Table3[[#This Row],[Last Purchase Date]])</f>
        <v>31</v>
      </c>
      <c r="D3260" s="1" t="n">
        <v>1</v>
      </c>
      <c r="E3260" s="1" t="n">
        <v>1764.72</v>
      </c>
      <c r="F3260" s="1" t="n">
        <f aca="false">ROUND((1-_xlfn.PERCENTRANK.INC($C$7:$C$4378,C3260))*9,0)</f>
        <v>6</v>
      </c>
      <c r="G3260" s="1" t="n">
        <f aca="false">ROUND(_xlfn.PERCENTRANK.INC($D$7:$D$4378,D3260)*9,0)</f>
        <v>0</v>
      </c>
      <c r="H3260" s="1" t="n">
        <f aca="false">ROUND(_xlfn.PERCENTRANK.INC($E$7:$E$4378,E3260)*9,0)</f>
        <v>7</v>
      </c>
      <c r="I3260" s="1" t="str">
        <f aca="false">CONCATENATE(F3260,G3260,H3260)</f>
        <v>607</v>
      </c>
      <c r="J3260" s="1" t="str">
        <f aca="false">_xlfn.IFS(AND(F3260&gt;=8,G3260&gt;=8,H3260&gt;=8),"CHAMPION",AND(F3260&gt;=6,G3260&gt;=7,H3260&gt;=6),"LOYAL CUSTOMER",AND(F3260&gt;=6,G3260&gt;=5,H3260&gt;=5),"POTENTIAL LOYALIST",AND(F3260&gt;=8,G3260&lt;=2,H3260&gt;=5),"NEW CUSTOMERS",AND(F3260&gt;=6,G3260&lt;=2,H3260&gt;=3),"PROMISING",AND(F3260&gt;=3,G3260&gt;=3,H3260&gt;=3),"NEED ATTENTION",AND(F3260&lt;=4,G3260&gt;=6,H3260&gt;=6),"AT RISK",AND(F3260&lt;=2,G3260&gt;=8,H3260&gt;=8),"CAN'T LOSE THEM",AND(F3260&lt;=2,G3260&lt;=2,H3260&lt;=2),"HIBERNATING",TRUE(),"Other")</f>
        <v>PROMISING</v>
      </c>
      <c r="K3260" s="1" t="n">
        <f aca="false">RANK(E3260,$E$7:$E$4378)+COUNTIF($E$7:E3260,E3260)-1</f>
        <v>1002</v>
      </c>
    </row>
    <row r="3261" customFormat="false" ht="14.25" hidden="false" customHeight="true" outlineLevel="0" collapsed="false">
      <c r="A3261" s="51" t="n">
        <v>16752</v>
      </c>
      <c r="B3261" s="53" t="n">
        <v>40514.5125</v>
      </c>
      <c r="C3261" s="57" t="n">
        <f aca="false">INT($C$2)-INT(Table3[[#This Row],[Last Purchase Date]])</f>
        <v>373</v>
      </c>
      <c r="D3261" s="1" t="n">
        <v>1</v>
      </c>
      <c r="E3261" s="1" t="n">
        <v>207.5</v>
      </c>
      <c r="F3261" s="1" t="n">
        <f aca="false">ROUND((1-_xlfn.PERCENTRANK.INC($C$7:$C$4378,C3261))*9,0)</f>
        <v>0</v>
      </c>
      <c r="G3261" s="1" t="n">
        <f aca="false">ROUND(_xlfn.PERCENTRANK.INC($D$7:$D$4378,D3261)*9,0)</f>
        <v>0</v>
      </c>
      <c r="H3261" s="1" t="n">
        <f aca="false">ROUND(_xlfn.PERCENTRANK.INC($E$7:$E$4378,E3261)*9,0)</f>
        <v>2</v>
      </c>
      <c r="I3261" s="1" t="str">
        <f aca="false">CONCATENATE(F3261,G3261,H3261)</f>
        <v>002</v>
      </c>
      <c r="J3261" s="1" t="str">
        <f aca="false">_xlfn.IFS(AND(F3261&gt;=8,G3261&gt;=8,H3261&gt;=8),"CHAMPION",AND(F3261&gt;=6,G3261&gt;=7,H3261&gt;=6),"LOYAL CUSTOMER",AND(F3261&gt;=6,G3261&gt;=5,H3261&gt;=5),"POTENTIAL LOYALIST",AND(F3261&gt;=8,G3261&lt;=2,H3261&gt;=5),"NEW CUSTOMERS",AND(F3261&gt;=6,G3261&lt;=2,H3261&gt;=3),"PROMISING",AND(F3261&gt;=3,G3261&gt;=3,H3261&gt;=3),"NEED ATTENTION",AND(F3261&lt;=4,G3261&gt;=6,H3261&gt;=6),"AT RISK",AND(F3261&lt;=2,G3261&gt;=8,H3261&gt;=8),"CAN'T LOSE THEM",AND(F3261&lt;=2,G3261&lt;=2,H3261&lt;=2),"HIBERNATING",TRUE(),"Other")</f>
        <v>HIBERNATING</v>
      </c>
      <c r="K3261" s="1" t="n">
        <f aca="false">RANK(E3261,$E$7:$E$4378)+COUNTIF($E$7:E3261,E3261)-1</f>
        <v>3624</v>
      </c>
    </row>
    <row r="3262" customFormat="false" ht="14.25" hidden="false" customHeight="true" outlineLevel="0" collapsed="false">
      <c r="A3262" s="51" t="n">
        <v>16753</v>
      </c>
      <c r="B3262" s="53" t="n">
        <v>40828.5513888889</v>
      </c>
      <c r="C3262" s="57" t="n">
        <f aca="false">INT($C$2)-INT(Table3[[#This Row],[Last Purchase Date]])</f>
        <v>59</v>
      </c>
      <c r="D3262" s="1" t="n">
        <v>1</v>
      </c>
      <c r="E3262" s="1" t="n">
        <v>223.92</v>
      </c>
      <c r="F3262" s="1" t="n">
        <f aca="false">ROUND((1-_xlfn.PERCENTRANK.INC($C$7:$C$4378,C3262))*9,0)</f>
        <v>4</v>
      </c>
      <c r="G3262" s="1" t="n">
        <f aca="false">ROUND(_xlfn.PERCENTRANK.INC($D$7:$D$4378,D3262)*9,0)</f>
        <v>0</v>
      </c>
      <c r="H3262" s="1" t="n">
        <f aca="false">ROUND(_xlfn.PERCENTRANK.INC($E$7:$E$4378,E3262)*9,0)</f>
        <v>2</v>
      </c>
      <c r="I3262" s="1" t="str">
        <f aca="false">CONCATENATE(F3262,G3262,H3262)</f>
        <v>402</v>
      </c>
      <c r="J3262" s="1" t="str">
        <f aca="false">_xlfn.IFS(AND(F3262&gt;=8,G3262&gt;=8,H3262&gt;=8),"CHAMPION",AND(F3262&gt;=6,G3262&gt;=7,H3262&gt;=6),"LOYAL CUSTOMER",AND(F3262&gt;=6,G3262&gt;=5,H3262&gt;=5),"POTENTIAL LOYALIST",AND(F3262&gt;=8,G3262&lt;=2,H3262&gt;=5),"NEW CUSTOMERS",AND(F3262&gt;=6,G3262&lt;=2,H3262&gt;=3),"PROMISING",AND(F3262&gt;=3,G3262&gt;=3,H3262&gt;=3),"NEED ATTENTION",AND(F3262&lt;=4,G3262&gt;=6,H3262&gt;=6),"AT RISK",AND(F3262&lt;=2,G3262&gt;=8,H3262&gt;=8),"CAN'T LOSE THEM",AND(F3262&lt;=2,G3262&lt;=2,H3262&lt;=2),"HIBERNATING",TRUE(),"Other")</f>
        <v>Other</v>
      </c>
      <c r="K3262" s="1" t="n">
        <f aca="false">RANK(E3262,$E$7:$E$4378)+COUNTIF($E$7:E3262,E3262)-1</f>
        <v>3544</v>
      </c>
    </row>
    <row r="3263" customFormat="false" ht="14.25" hidden="false" customHeight="true" outlineLevel="0" collapsed="false">
      <c r="A3263" s="51" t="n">
        <v>16754</v>
      </c>
      <c r="B3263" s="53" t="n">
        <v>40514.7347222222</v>
      </c>
      <c r="C3263" s="57" t="n">
        <f aca="false">INT($C$2)-INT(Table3[[#This Row],[Last Purchase Date]])</f>
        <v>373</v>
      </c>
      <c r="D3263" s="1" t="n">
        <v>1</v>
      </c>
      <c r="E3263" s="1" t="n">
        <v>2002.4</v>
      </c>
      <c r="F3263" s="1" t="n">
        <f aca="false">ROUND((1-_xlfn.PERCENTRANK.INC($C$7:$C$4378,C3263))*9,0)</f>
        <v>0</v>
      </c>
      <c r="G3263" s="1" t="n">
        <f aca="false">ROUND(_xlfn.PERCENTRANK.INC($D$7:$D$4378,D3263)*9,0)</f>
        <v>0</v>
      </c>
      <c r="H3263" s="1" t="n">
        <f aca="false">ROUND(_xlfn.PERCENTRANK.INC($E$7:$E$4378,E3263)*9,0)</f>
        <v>7</v>
      </c>
      <c r="I3263" s="1" t="str">
        <f aca="false">CONCATENATE(F3263,G3263,H3263)</f>
        <v>007</v>
      </c>
      <c r="J3263" s="1" t="str">
        <f aca="false">_xlfn.IFS(AND(F3263&gt;=8,G3263&gt;=8,H3263&gt;=8),"CHAMPION",AND(F3263&gt;=6,G3263&gt;=7,H3263&gt;=6),"LOYAL CUSTOMER",AND(F3263&gt;=6,G3263&gt;=5,H3263&gt;=5),"POTENTIAL LOYALIST",AND(F3263&gt;=8,G3263&lt;=2,H3263&gt;=5),"NEW CUSTOMERS",AND(F3263&gt;=6,G3263&lt;=2,H3263&gt;=3),"PROMISING",AND(F3263&gt;=3,G3263&gt;=3,H3263&gt;=3),"NEED ATTENTION",AND(F3263&lt;=4,G3263&gt;=6,H3263&gt;=6),"AT RISK",AND(F3263&lt;=2,G3263&gt;=8,H3263&gt;=8),"CAN'T LOSE THEM",AND(F3263&lt;=2,G3263&lt;=2,H3263&lt;=2),"HIBERNATING",TRUE(),"Other")</f>
        <v>Other</v>
      </c>
      <c r="K3263" s="1" t="n">
        <f aca="false">RANK(E3263,$E$7:$E$4378)+COUNTIF($E$7:E3263,E3263)-1</f>
        <v>875</v>
      </c>
    </row>
    <row r="3264" customFormat="false" ht="14.25" hidden="false" customHeight="true" outlineLevel="0" collapsed="false">
      <c r="A3264" s="51" t="n">
        <v>16755</v>
      </c>
      <c r="B3264" s="53" t="n">
        <v>40772.55625</v>
      </c>
      <c r="C3264" s="57" t="n">
        <f aca="false">INT($C$2)-INT(Table3[[#This Row],[Last Purchase Date]])</f>
        <v>115</v>
      </c>
      <c r="D3264" s="1" t="n">
        <v>5</v>
      </c>
      <c r="E3264" s="1" t="n">
        <v>1484.63</v>
      </c>
      <c r="F3264" s="1" t="n">
        <f aca="false">ROUND((1-_xlfn.PERCENTRANK.INC($C$7:$C$4378,C3264))*9,0)</f>
        <v>3</v>
      </c>
      <c r="G3264" s="1" t="n">
        <f aca="false">ROUND(_xlfn.PERCENTRANK.INC($D$7:$D$4378,D3264)*9,0)</f>
        <v>6</v>
      </c>
      <c r="H3264" s="1" t="n">
        <f aca="false">ROUND(_xlfn.PERCENTRANK.INC($E$7:$E$4378,E3264)*9,0)</f>
        <v>7</v>
      </c>
      <c r="I3264" s="1" t="str">
        <f aca="false">CONCATENATE(F3264,G3264,H3264)</f>
        <v>367</v>
      </c>
      <c r="J3264" s="1" t="str">
        <f aca="false">_xlfn.IFS(AND(F3264&gt;=8,G3264&gt;=8,H3264&gt;=8),"CHAMPION",AND(F3264&gt;=6,G3264&gt;=7,H3264&gt;=6),"LOYAL CUSTOMER",AND(F3264&gt;=6,G3264&gt;=5,H3264&gt;=5),"POTENTIAL LOYALIST",AND(F3264&gt;=8,G3264&lt;=2,H3264&gt;=5),"NEW CUSTOMERS",AND(F3264&gt;=6,G3264&lt;=2,H3264&gt;=3),"PROMISING",AND(F3264&gt;=3,G3264&gt;=3,H3264&gt;=3),"NEED ATTENTION",AND(F3264&lt;=4,G3264&gt;=6,H3264&gt;=6),"AT RISK",AND(F3264&lt;=2,G3264&gt;=8,H3264&gt;=8),"CAN'T LOSE THEM",AND(F3264&lt;=2,G3264&lt;=2,H3264&lt;=2),"HIBERNATING",TRUE(),"Other")</f>
        <v>NEED ATTENTION</v>
      </c>
      <c r="K3264" s="1" t="n">
        <f aca="false">RANK(E3264,$E$7:$E$4378)+COUNTIF($E$7:E3264,E3264)-1</f>
        <v>1178</v>
      </c>
    </row>
    <row r="3265" customFormat="false" ht="14.25" hidden="false" customHeight="true" outlineLevel="0" collapsed="false">
      <c r="A3265" s="51" t="n">
        <v>16756</v>
      </c>
      <c r="B3265" s="53" t="n">
        <v>40672.3979166667</v>
      </c>
      <c r="C3265" s="57" t="n">
        <f aca="false">INT($C$2)-INT(Table3[[#This Row],[Last Purchase Date]])</f>
        <v>215</v>
      </c>
      <c r="D3265" s="1" t="n">
        <v>1</v>
      </c>
      <c r="E3265" s="1" t="n">
        <v>239.4</v>
      </c>
      <c r="F3265" s="1" t="n">
        <f aca="false">ROUND((1-_xlfn.PERCENTRANK.INC($C$7:$C$4378,C3265))*9,0)</f>
        <v>1</v>
      </c>
      <c r="G3265" s="1" t="n">
        <f aca="false">ROUND(_xlfn.PERCENTRANK.INC($D$7:$D$4378,D3265)*9,0)</f>
        <v>0</v>
      </c>
      <c r="H3265" s="1" t="n">
        <f aca="false">ROUND(_xlfn.PERCENTRANK.INC($E$7:$E$4378,E3265)*9,0)</f>
        <v>2</v>
      </c>
      <c r="I3265" s="1" t="str">
        <f aca="false">CONCATENATE(F3265,G3265,H3265)</f>
        <v>102</v>
      </c>
      <c r="J3265" s="1" t="str">
        <f aca="false">_xlfn.IFS(AND(F3265&gt;=8,G3265&gt;=8,H3265&gt;=8),"CHAMPION",AND(F3265&gt;=6,G3265&gt;=7,H3265&gt;=6),"LOYAL CUSTOMER",AND(F3265&gt;=6,G3265&gt;=5,H3265&gt;=5),"POTENTIAL LOYALIST",AND(F3265&gt;=8,G3265&lt;=2,H3265&gt;=5),"NEW CUSTOMERS",AND(F3265&gt;=6,G3265&lt;=2,H3265&gt;=3),"PROMISING",AND(F3265&gt;=3,G3265&gt;=3,H3265&gt;=3),"NEED ATTENTION",AND(F3265&lt;=4,G3265&gt;=6,H3265&gt;=6),"AT RISK",AND(F3265&lt;=2,G3265&gt;=8,H3265&gt;=8),"CAN'T LOSE THEM",AND(F3265&lt;=2,G3265&lt;=2,H3265&lt;=2),"HIBERNATING",TRUE(),"Other")</f>
        <v>HIBERNATING</v>
      </c>
      <c r="K3265" s="1" t="n">
        <f aca="false">RANK(E3265,$E$7:$E$4378)+COUNTIF($E$7:E3265,E3265)-1</f>
        <v>3485</v>
      </c>
    </row>
    <row r="3266" customFormat="false" ht="14.25" hidden="false" customHeight="true" outlineLevel="0" collapsed="false">
      <c r="A3266" s="51" t="n">
        <v>16757</v>
      </c>
      <c r="B3266" s="53" t="n">
        <v>40568.4993055556</v>
      </c>
      <c r="C3266" s="57" t="n">
        <f aca="false">INT($C$2)-INT(Table3[[#This Row],[Last Purchase Date]])</f>
        <v>319</v>
      </c>
      <c r="D3266" s="1" t="n">
        <v>1</v>
      </c>
      <c r="E3266" s="1" t="n">
        <v>106.83</v>
      </c>
      <c r="F3266" s="1" t="n">
        <f aca="false">ROUND((1-_xlfn.PERCENTRANK.INC($C$7:$C$4378,C3266))*9,0)</f>
        <v>0</v>
      </c>
      <c r="G3266" s="1" t="n">
        <f aca="false">ROUND(_xlfn.PERCENTRANK.INC($D$7:$D$4378,D3266)*9,0)</f>
        <v>0</v>
      </c>
      <c r="H3266" s="1" t="n">
        <f aca="false">ROUND(_xlfn.PERCENTRANK.INC($E$7:$E$4378,E3266)*9,0)</f>
        <v>1</v>
      </c>
      <c r="I3266" s="1" t="str">
        <f aca="false">CONCATENATE(F3266,G3266,H3266)</f>
        <v>001</v>
      </c>
      <c r="J3266" s="1" t="str">
        <f aca="false">_xlfn.IFS(AND(F3266&gt;=8,G3266&gt;=8,H3266&gt;=8),"CHAMPION",AND(F3266&gt;=6,G3266&gt;=7,H3266&gt;=6),"LOYAL CUSTOMER",AND(F3266&gt;=6,G3266&gt;=5,H3266&gt;=5),"POTENTIAL LOYALIST",AND(F3266&gt;=8,G3266&lt;=2,H3266&gt;=5),"NEW CUSTOMERS",AND(F3266&gt;=6,G3266&lt;=2,H3266&gt;=3),"PROMISING",AND(F3266&gt;=3,G3266&gt;=3,H3266&gt;=3),"NEED ATTENTION",AND(F3266&lt;=4,G3266&gt;=6,H3266&gt;=6),"AT RISK",AND(F3266&lt;=2,G3266&gt;=8,H3266&gt;=8),"CAN'T LOSE THEM",AND(F3266&lt;=2,G3266&lt;=2,H3266&lt;=2),"HIBERNATING",TRUE(),"Other")</f>
        <v>HIBERNATING</v>
      </c>
      <c r="K3266" s="1" t="n">
        <f aca="false">RANK(E3266,$E$7:$E$4378)+COUNTIF($E$7:E3266,E3266)-1</f>
        <v>4129</v>
      </c>
    </row>
    <row r="3267" customFormat="false" ht="14.25" hidden="false" customHeight="true" outlineLevel="0" collapsed="false">
      <c r="A3267" s="51" t="n">
        <v>16758</v>
      </c>
      <c r="B3267" s="53" t="n">
        <v>40821.6159722222</v>
      </c>
      <c r="C3267" s="57" t="n">
        <f aca="false">INT($C$2)-INT(Table3[[#This Row],[Last Purchase Date]])</f>
        <v>66</v>
      </c>
      <c r="D3267" s="1" t="n">
        <v>1</v>
      </c>
      <c r="E3267" s="1" t="n">
        <v>369.34</v>
      </c>
      <c r="F3267" s="1" t="n">
        <f aca="false">ROUND((1-_xlfn.PERCENTRANK.INC($C$7:$C$4378,C3267))*9,0)</f>
        <v>4</v>
      </c>
      <c r="G3267" s="1" t="n">
        <f aca="false">ROUND(_xlfn.PERCENTRANK.INC($D$7:$D$4378,D3267)*9,0)</f>
        <v>0</v>
      </c>
      <c r="H3267" s="1" t="n">
        <f aca="false">ROUND(_xlfn.PERCENTRANK.INC($E$7:$E$4378,E3267)*9,0)</f>
        <v>3</v>
      </c>
      <c r="I3267" s="1" t="str">
        <f aca="false">CONCATENATE(F3267,G3267,H3267)</f>
        <v>403</v>
      </c>
      <c r="J3267" s="1" t="str">
        <f aca="false">_xlfn.IFS(AND(F3267&gt;=8,G3267&gt;=8,H3267&gt;=8),"CHAMPION",AND(F3267&gt;=6,G3267&gt;=7,H3267&gt;=6),"LOYAL CUSTOMER",AND(F3267&gt;=6,G3267&gt;=5,H3267&gt;=5),"POTENTIAL LOYALIST",AND(F3267&gt;=8,G3267&lt;=2,H3267&gt;=5),"NEW CUSTOMERS",AND(F3267&gt;=6,G3267&lt;=2,H3267&gt;=3),"PROMISING",AND(F3267&gt;=3,G3267&gt;=3,H3267&gt;=3),"NEED ATTENTION",AND(F3267&lt;=4,G3267&gt;=6,H3267&gt;=6),"AT RISK",AND(F3267&lt;=2,G3267&gt;=8,H3267&gt;=8),"CAN'T LOSE THEM",AND(F3267&lt;=2,G3267&lt;=2,H3267&lt;=2),"HIBERNATING",TRUE(),"Other")</f>
        <v>Other</v>
      </c>
      <c r="K3267" s="1" t="n">
        <f aca="false">RANK(E3267,$E$7:$E$4378)+COUNTIF($E$7:E3267,E3267)-1</f>
        <v>2929</v>
      </c>
    </row>
    <row r="3268" customFormat="false" ht="14.25" hidden="false" customHeight="true" outlineLevel="0" collapsed="false">
      <c r="A3268" s="51" t="n">
        <v>16759</v>
      </c>
      <c r="B3268" s="53" t="n">
        <v>40879.5291666667</v>
      </c>
      <c r="C3268" s="57" t="n">
        <f aca="false">INT($C$2)-INT(Table3[[#This Row],[Last Purchase Date]])</f>
        <v>8</v>
      </c>
      <c r="D3268" s="1" t="n">
        <v>4</v>
      </c>
      <c r="E3268" s="1" t="n">
        <v>772.84</v>
      </c>
      <c r="F3268" s="1" t="n">
        <f aca="false">ROUND((1-_xlfn.PERCENTRANK.INC($C$7:$C$4378,C3268))*9,0)</f>
        <v>8</v>
      </c>
      <c r="G3268" s="1" t="n">
        <f aca="false">ROUND(_xlfn.PERCENTRANK.INC($D$7:$D$4378,D3268)*9,0)</f>
        <v>5</v>
      </c>
      <c r="H3268" s="1" t="n">
        <f aca="false">ROUND(_xlfn.PERCENTRANK.INC($E$7:$E$4378,E3268)*9,0)</f>
        <v>5</v>
      </c>
      <c r="I3268" s="1" t="str">
        <f aca="false">CONCATENATE(F3268,G3268,H3268)</f>
        <v>855</v>
      </c>
      <c r="J3268" s="1" t="str">
        <f aca="false">_xlfn.IFS(AND(F3268&gt;=8,G3268&gt;=8,H3268&gt;=8),"CHAMPION",AND(F3268&gt;=6,G3268&gt;=7,H3268&gt;=6),"LOYAL CUSTOMER",AND(F3268&gt;=6,G3268&gt;=5,H3268&gt;=5),"POTENTIAL LOYALIST",AND(F3268&gt;=8,G3268&lt;=2,H3268&gt;=5),"NEW CUSTOMERS",AND(F3268&gt;=6,G3268&lt;=2,H3268&gt;=3),"PROMISING",AND(F3268&gt;=3,G3268&gt;=3,H3268&gt;=3),"NEED ATTENTION",AND(F3268&lt;=4,G3268&gt;=6,H3268&gt;=6),"AT RISK",AND(F3268&lt;=2,G3268&gt;=8,H3268&gt;=8),"CAN'T LOSE THEM",AND(F3268&lt;=2,G3268&lt;=2,H3268&lt;=2),"HIBERNATING",TRUE(),"Other")</f>
        <v>POTENTIAL LOYALIST</v>
      </c>
      <c r="K3268" s="1" t="n">
        <f aca="false">RANK(E3268,$E$7:$E$4378)+COUNTIF($E$7:E3268,E3268)-1</f>
        <v>1942</v>
      </c>
    </row>
    <row r="3269" customFormat="false" ht="14.25" hidden="false" customHeight="true" outlineLevel="0" collapsed="false">
      <c r="A3269" s="51" t="n">
        <v>16761</v>
      </c>
      <c r="B3269" s="53" t="n">
        <v>40790.46875</v>
      </c>
      <c r="C3269" s="57" t="n">
        <f aca="false">INT($C$2)-INT(Table3[[#This Row],[Last Purchase Date]])</f>
        <v>97</v>
      </c>
      <c r="D3269" s="1" t="n">
        <v>1</v>
      </c>
      <c r="E3269" s="1" t="n">
        <v>316.62</v>
      </c>
      <c r="F3269" s="1" t="n">
        <f aca="false">ROUND((1-_xlfn.PERCENTRANK.INC($C$7:$C$4378,C3269))*9,0)</f>
        <v>3</v>
      </c>
      <c r="G3269" s="1" t="n">
        <f aca="false">ROUND(_xlfn.PERCENTRANK.INC($D$7:$D$4378,D3269)*9,0)</f>
        <v>0</v>
      </c>
      <c r="H3269" s="1" t="n">
        <f aca="false">ROUND(_xlfn.PERCENTRANK.INC($E$7:$E$4378,E3269)*9,0)</f>
        <v>3</v>
      </c>
      <c r="I3269" s="1" t="str">
        <f aca="false">CONCATENATE(F3269,G3269,H3269)</f>
        <v>303</v>
      </c>
      <c r="J3269" s="1" t="str">
        <f aca="false">_xlfn.IFS(AND(F3269&gt;=8,G3269&gt;=8,H3269&gt;=8),"CHAMPION",AND(F3269&gt;=6,G3269&gt;=7,H3269&gt;=6),"LOYAL CUSTOMER",AND(F3269&gt;=6,G3269&gt;=5,H3269&gt;=5),"POTENTIAL LOYALIST",AND(F3269&gt;=8,G3269&lt;=2,H3269&gt;=5),"NEW CUSTOMERS",AND(F3269&gt;=6,G3269&lt;=2,H3269&gt;=3),"PROMISING",AND(F3269&gt;=3,G3269&gt;=3,H3269&gt;=3),"NEED ATTENTION",AND(F3269&lt;=4,G3269&gt;=6,H3269&gt;=6),"AT RISK",AND(F3269&lt;=2,G3269&gt;=8,H3269&gt;=8),"CAN'T LOSE THEM",AND(F3269&lt;=2,G3269&lt;=2,H3269&lt;=2),"HIBERNATING",TRUE(),"Other")</f>
        <v>Other</v>
      </c>
      <c r="K3269" s="1" t="n">
        <f aca="false">RANK(E3269,$E$7:$E$4378)+COUNTIF($E$7:E3269,E3269)-1</f>
        <v>3155</v>
      </c>
    </row>
    <row r="3270" customFormat="false" ht="14.25" hidden="false" customHeight="true" outlineLevel="0" collapsed="false">
      <c r="A3270" s="51" t="n">
        <v>16762</v>
      </c>
      <c r="B3270" s="53" t="n">
        <v>40867.4881944444</v>
      </c>
      <c r="C3270" s="57" t="n">
        <f aca="false">INT($C$2)-INT(Table3[[#This Row],[Last Purchase Date]])</f>
        <v>20</v>
      </c>
      <c r="D3270" s="1" t="n">
        <v>3</v>
      </c>
      <c r="E3270" s="1" t="n">
        <v>1501.38</v>
      </c>
      <c r="F3270" s="1" t="n">
        <f aca="false">ROUND((1-_xlfn.PERCENTRANK.INC($C$7:$C$4378,C3270))*9,0)</f>
        <v>6</v>
      </c>
      <c r="G3270" s="1" t="n">
        <f aca="false">ROUND(_xlfn.PERCENTRANK.INC($D$7:$D$4378,D3270)*9,0)</f>
        <v>4</v>
      </c>
      <c r="H3270" s="1" t="n">
        <f aca="false">ROUND(_xlfn.PERCENTRANK.INC($E$7:$E$4378,E3270)*9,0)</f>
        <v>7</v>
      </c>
      <c r="I3270" s="1" t="str">
        <f aca="false">CONCATENATE(F3270,G3270,H3270)</f>
        <v>647</v>
      </c>
      <c r="J3270" s="1" t="str">
        <f aca="false">_xlfn.IFS(AND(F3270&gt;=8,G3270&gt;=8,H3270&gt;=8),"CHAMPION",AND(F3270&gt;=6,G3270&gt;=7,H3270&gt;=6),"LOYAL CUSTOMER",AND(F3270&gt;=6,G3270&gt;=5,H3270&gt;=5),"POTENTIAL LOYALIST",AND(F3270&gt;=8,G3270&lt;=2,H3270&gt;=5),"NEW CUSTOMERS",AND(F3270&gt;=6,G3270&lt;=2,H3270&gt;=3),"PROMISING",AND(F3270&gt;=3,G3270&gt;=3,H3270&gt;=3),"NEED ATTENTION",AND(F3270&lt;=4,G3270&gt;=6,H3270&gt;=6),"AT RISK",AND(F3270&lt;=2,G3270&gt;=8,H3270&gt;=8),"CAN'T LOSE THEM",AND(F3270&lt;=2,G3270&lt;=2,H3270&lt;=2),"HIBERNATING",TRUE(),"Other")</f>
        <v>NEED ATTENTION</v>
      </c>
      <c r="K3270" s="1" t="n">
        <f aca="false">RANK(E3270,$E$7:$E$4378)+COUNTIF($E$7:E3270,E3270)-1</f>
        <v>1166</v>
      </c>
    </row>
    <row r="3271" customFormat="false" ht="14.25" hidden="false" customHeight="true" outlineLevel="0" collapsed="false">
      <c r="A3271" s="51" t="n">
        <v>16763</v>
      </c>
      <c r="B3271" s="53" t="n">
        <v>40701.6</v>
      </c>
      <c r="C3271" s="57" t="n">
        <f aca="false">INT($C$2)-INT(Table3[[#This Row],[Last Purchase Date]])</f>
        <v>186</v>
      </c>
      <c r="D3271" s="1" t="n">
        <v>2</v>
      </c>
      <c r="E3271" s="1" t="n">
        <v>594.9</v>
      </c>
      <c r="F3271" s="1" t="n">
        <f aca="false">ROUND((1-_xlfn.PERCENTRANK.INC($C$7:$C$4378,C3271))*9,0)</f>
        <v>2</v>
      </c>
      <c r="G3271" s="1" t="n">
        <f aca="false">ROUND(_xlfn.PERCENTRANK.INC($D$7:$D$4378,D3271)*9,0)</f>
        <v>3</v>
      </c>
      <c r="H3271" s="1" t="n">
        <f aca="false">ROUND(_xlfn.PERCENTRANK.INC($E$7:$E$4378,E3271)*9,0)</f>
        <v>4</v>
      </c>
      <c r="I3271" s="1" t="str">
        <f aca="false">CONCATENATE(F3271,G3271,H3271)</f>
        <v>234</v>
      </c>
      <c r="J3271" s="1" t="str">
        <f aca="false">_xlfn.IFS(AND(F3271&gt;=8,G3271&gt;=8,H3271&gt;=8),"CHAMPION",AND(F3271&gt;=6,G3271&gt;=7,H3271&gt;=6),"LOYAL CUSTOMER",AND(F3271&gt;=6,G3271&gt;=5,H3271&gt;=5),"POTENTIAL LOYALIST",AND(F3271&gt;=8,G3271&lt;=2,H3271&gt;=5),"NEW CUSTOMERS",AND(F3271&gt;=6,G3271&lt;=2,H3271&gt;=3),"PROMISING",AND(F3271&gt;=3,G3271&gt;=3,H3271&gt;=3),"NEED ATTENTION",AND(F3271&lt;=4,G3271&gt;=6,H3271&gt;=6),"AT RISK",AND(F3271&lt;=2,G3271&gt;=8,H3271&gt;=8),"CAN'T LOSE THEM",AND(F3271&lt;=2,G3271&lt;=2,H3271&lt;=2),"HIBERNATING",TRUE(),"Other")</f>
        <v>Other</v>
      </c>
      <c r="K3271" s="1" t="n">
        <f aca="false">RANK(E3271,$E$7:$E$4378)+COUNTIF($E$7:E3271,E3271)-1</f>
        <v>2336</v>
      </c>
    </row>
    <row r="3272" customFormat="false" ht="14.25" hidden="false" customHeight="true" outlineLevel="0" collapsed="false">
      <c r="A3272" s="51" t="n">
        <v>16764</v>
      </c>
      <c r="B3272" s="53" t="n">
        <v>40883.4868055556</v>
      </c>
      <c r="C3272" s="57" t="n">
        <f aca="false">INT($C$2)-INT(Table3[[#This Row],[Last Purchase Date]])</f>
        <v>4</v>
      </c>
      <c r="D3272" s="1" t="n">
        <v>18</v>
      </c>
      <c r="E3272" s="1" t="n">
        <v>2758.25</v>
      </c>
      <c r="F3272" s="1" t="n">
        <f aca="false">ROUND((1-_xlfn.PERCENTRANK.INC($C$7:$C$4378,C3272))*9,0)</f>
        <v>8</v>
      </c>
      <c r="G3272" s="1" t="n">
        <f aca="false">ROUND(_xlfn.PERCENTRANK.INC($D$7:$D$4378,D3272)*9,0)</f>
        <v>9</v>
      </c>
      <c r="H3272" s="1" t="n">
        <f aca="false">ROUND(_xlfn.PERCENTRANK.INC($E$7:$E$4378,E3272)*9,0)</f>
        <v>8</v>
      </c>
      <c r="I3272" s="1" t="str">
        <f aca="false">CONCATENATE(F3272,G3272,H3272)</f>
        <v>898</v>
      </c>
      <c r="J3272" s="1" t="str">
        <f aca="false">_xlfn.IFS(AND(F3272&gt;=8,G3272&gt;=8,H3272&gt;=8),"CHAMPION",AND(F3272&gt;=6,G3272&gt;=7,H3272&gt;=6),"LOYAL CUSTOMER",AND(F3272&gt;=6,G3272&gt;=5,H3272&gt;=5),"POTENTIAL LOYALIST",AND(F3272&gt;=8,G3272&lt;=2,H3272&gt;=5),"NEW CUSTOMERS",AND(F3272&gt;=6,G3272&lt;=2,H3272&gt;=3),"PROMISING",AND(F3272&gt;=3,G3272&gt;=3,H3272&gt;=3),"NEED ATTENTION",AND(F3272&lt;=4,G3272&gt;=6,H3272&gt;=6),"AT RISK",AND(F3272&lt;=2,G3272&gt;=8,H3272&gt;=8),"CAN'T LOSE THEM",AND(F3272&lt;=2,G3272&lt;=2,H3272&lt;=2),"HIBERNATING",TRUE(),"Other")</f>
        <v>CHAMPION</v>
      </c>
      <c r="K3272" s="1" t="n">
        <f aca="false">RANK(E3272,$E$7:$E$4378)+COUNTIF($E$7:E3272,E3272)-1</f>
        <v>597</v>
      </c>
    </row>
    <row r="3273" customFormat="false" ht="14.25" hidden="false" customHeight="true" outlineLevel="0" collapsed="false">
      <c r="A3273" s="51" t="n">
        <v>16765</v>
      </c>
      <c r="B3273" s="53" t="n">
        <v>40592.6534722222</v>
      </c>
      <c r="C3273" s="57" t="n">
        <f aca="false">INT($C$2)-INT(Table3[[#This Row],[Last Purchase Date]])</f>
        <v>295</v>
      </c>
      <c r="D3273" s="1" t="n">
        <v>1</v>
      </c>
      <c r="E3273" s="1" t="n">
        <v>34</v>
      </c>
      <c r="F3273" s="1" t="n">
        <f aca="false">ROUND((1-_xlfn.PERCENTRANK.INC($C$7:$C$4378,C3273))*9,0)</f>
        <v>1</v>
      </c>
      <c r="G3273" s="1" t="n">
        <f aca="false">ROUND(_xlfn.PERCENTRANK.INC($D$7:$D$4378,D3273)*9,0)</f>
        <v>0</v>
      </c>
      <c r="H3273" s="1" t="n">
        <f aca="false">ROUND(_xlfn.PERCENTRANK.INC($E$7:$E$4378,E3273)*9,0)</f>
        <v>0</v>
      </c>
      <c r="I3273" s="1" t="str">
        <f aca="false">CONCATENATE(F3273,G3273,H3273)</f>
        <v>100</v>
      </c>
      <c r="J3273" s="1" t="str">
        <f aca="false">_xlfn.IFS(AND(F3273&gt;=8,G3273&gt;=8,H3273&gt;=8),"CHAMPION",AND(F3273&gt;=6,G3273&gt;=7,H3273&gt;=6),"LOYAL CUSTOMER",AND(F3273&gt;=6,G3273&gt;=5,H3273&gt;=5),"POTENTIAL LOYALIST",AND(F3273&gt;=8,G3273&lt;=2,H3273&gt;=5),"NEW CUSTOMERS",AND(F3273&gt;=6,G3273&lt;=2,H3273&gt;=3),"PROMISING",AND(F3273&gt;=3,G3273&gt;=3,H3273&gt;=3),"NEED ATTENTION",AND(F3273&lt;=4,G3273&gt;=6,H3273&gt;=6),"AT RISK",AND(F3273&lt;=2,G3273&gt;=8,H3273&gt;=8),"CAN'T LOSE THEM",AND(F3273&lt;=2,G3273&lt;=2,H3273&lt;=2),"HIBERNATING",TRUE(),"Other")</f>
        <v>HIBERNATING</v>
      </c>
      <c r="K3273" s="1" t="n">
        <f aca="false">RANK(E3273,$E$7:$E$4378)+COUNTIF($E$7:E3273,E3273)-1</f>
        <v>4303</v>
      </c>
    </row>
    <row r="3274" customFormat="false" ht="14.25" hidden="false" customHeight="true" outlineLevel="0" collapsed="false">
      <c r="A3274" s="51" t="n">
        <v>16766</v>
      </c>
      <c r="B3274" s="53" t="n">
        <v>40613.6402777778</v>
      </c>
      <c r="C3274" s="57" t="n">
        <f aca="false">INT($C$2)-INT(Table3[[#This Row],[Last Purchase Date]])</f>
        <v>274</v>
      </c>
      <c r="D3274" s="1" t="n">
        <v>2</v>
      </c>
      <c r="E3274" s="1" t="n">
        <v>1145.6</v>
      </c>
      <c r="F3274" s="1" t="n">
        <f aca="false">ROUND((1-_xlfn.PERCENTRANK.INC($C$7:$C$4378,C3274))*9,0)</f>
        <v>1</v>
      </c>
      <c r="G3274" s="1" t="n">
        <f aca="false">ROUND(_xlfn.PERCENTRANK.INC($D$7:$D$4378,D3274)*9,0)</f>
        <v>3</v>
      </c>
      <c r="H3274" s="1" t="n">
        <f aca="false">ROUND(_xlfn.PERCENTRANK.INC($E$7:$E$4378,E3274)*9,0)</f>
        <v>6</v>
      </c>
      <c r="I3274" s="1" t="str">
        <f aca="false">CONCATENATE(F3274,G3274,H3274)</f>
        <v>136</v>
      </c>
      <c r="J3274" s="1" t="str">
        <f aca="false">_xlfn.IFS(AND(F3274&gt;=8,G3274&gt;=8,H3274&gt;=8),"CHAMPION",AND(F3274&gt;=6,G3274&gt;=7,H3274&gt;=6),"LOYAL CUSTOMER",AND(F3274&gt;=6,G3274&gt;=5,H3274&gt;=5),"POTENTIAL LOYALIST",AND(F3274&gt;=8,G3274&lt;=2,H3274&gt;=5),"NEW CUSTOMERS",AND(F3274&gt;=6,G3274&lt;=2,H3274&gt;=3),"PROMISING",AND(F3274&gt;=3,G3274&gt;=3,H3274&gt;=3),"NEED ATTENTION",AND(F3274&lt;=4,G3274&gt;=6,H3274&gt;=6),"AT RISK",AND(F3274&lt;=2,G3274&gt;=8,H3274&gt;=8),"CAN'T LOSE THEM",AND(F3274&lt;=2,G3274&lt;=2,H3274&lt;=2),"HIBERNATING",TRUE(),"Other")</f>
        <v>Other</v>
      </c>
      <c r="K3274" s="1" t="n">
        <f aca="false">RANK(E3274,$E$7:$E$4378)+COUNTIF($E$7:E3274,E3274)-1</f>
        <v>1452</v>
      </c>
    </row>
    <row r="3275" customFormat="false" ht="14.25" hidden="false" customHeight="true" outlineLevel="0" collapsed="false">
      <c r="A3275" s="51" t="n">
        <v>16767</v>
      </c>
      <c r="B3275" s="53" t="n">
        <v>40856.4041666667</v>
      </c>
      <c r="C3275" s="57" t="n">
        <f aca="false">INT($C$2)-INT(Table3[[#This Row],[Last Purchase Date]])</f>
        <v>31</v>
      </c>
      <c r="D3275" s="1" t="n">
        <v>11</v>
      </c>
      <c r="E3275" s="1" t="n">
        <v>5580.6</v>
      </c>
      <c r="F3275" s="1" t="n">
        <f aca="false">ROUND((1-_xlfn.PERCENTRANK.INC($C$7:$C$4378,C3275))*9,0)</f>
        <v>6</v>
      </c>
      <c r="G3275" s="1" t="n">
        <f aca="false">ROUND(_xlfn.PERCENTRANK.INC($D$7:$D$4378,D3275)*9,0)</f>
        <v>8</v>
      </c>
      <c r="H3275" s="1" t="n">
        <f aca="false">ROUND(_xlfn.PERCENTRANK.INC($E$7:$E$4378,E3275)*9,0)</f>
        <v>9</v>
      </c>
      <c r="I3275" s="1" t="str">
        <f aca="false">CONCATENATE(F3275,G3275,H3275)</f>
        <v>689</v>
      </c>
      <c r="J3275" s="1" t="str">
        <f aca="false">_xlfn.IFS(AND(F3275&gt;=8,G3275&gt;=8,H3275&gt;=8),"CHAMPION",AND(F3275&gt;=6,G3275&gt;=7,H3275&gt;=6),"LOYAL CUSTOMER",AND(F3275&gt;=6,G3275&gt;=5,H3275&gt;=5),"POTENTIAL LOYALIST",AND(F3275&gt;=8,G3275&lt;=2,H3275&gt;=5),"NEW CUSTOMERS",AND(F3275&gt;=6,G3275&lt;=2,H3275&gt;=3),"PROMISING",AND(F3275&gt;=3,G3275&gt;=3,H3275&gt;=3),"NEED ATTENTION",AND(F3275&lt;=4,G3275&gt;=6,H3275&gt;=6),"AT RISK",AND(F3275&lt;=2,G3275&gt;=8,H3275&gt;=8),"CAN'T LOSE THEM",AND(F3275&lt;=2,G3275&lt;=2,H3275&lt;=2),"HIBERNATING",TRUE(),"Other")</f>
        <v>LOYAL CUSTOMER</v>
      </c>
      <c r="K3275" s="1" t="n">
        <f aca="false">RANK(E3275,$E$7:$E$4378)+COUNTIF($E$7:E3275,E3275)-1</f>
        <v>227</v>
      </c>
    </row>
    <row r="3276" customFormat="false" ht="14.25" hidden="false" customHeight="true" outlineLevel="0" collapsed="false">
      <c r="A3276" s="51" t="n">
        <v>16768</v>
      </c>
      <c r="B3276" s="53" t="n">
        <v>40839.4430555556</v>
      </c>
      <c r="C3276" s="57" t="n">
        <f aca="false">INT($C$2)-INT(Table3[[#This Row],[Last Purchase Date]])</f>
        <v>48</v>
      </c>
      <c r="D3276" s="1" t="n">
        <v>5</v>
      </c>
      <c r="E3276" s="1" t="n">
        <v>458.04</v>
      </c>
      <c r="F3276" s="1" t="n">
        <f aca="false">ROUND((1-_xlfn.PERCENTRANK.INC($C$7:$C$4378,C3276))*9,0)</f>
        <v>5</v>
      </c>
      <c r="G3276" s="1" t="n">
        <f aca="false">ROUND(_xlfn.PERCENTRANK.INC($D$7:$D$4378,D3276)*9,0)</f>
        <v>6</v>
      </c>
      <c r="H3276" s="1" t="n">
        <f aca="false">ROUND(_xlfn.PERCENTRANK.INC($E$7:$E$4378,E3276)*9,0)</f>
        <v>4</v>
      </c>
      <c r="I3276" s="1" t="str">
        <f aca="false">CONCATENATE(F3276,G3276,H3276)</f>
        <v>564</v>
      </c>
      <c r="J3276" s="1" t="str">
        <f aca="false">_xlfn.IFS(AND(F3276&gt;=8,G3276&gt;=8,H3276&gt;=8),"CHAMPION",AND(F3276&gt;=6,G3276&gt;=7,H3276&gt;=6),"LOYAL CUSTOMER",AND(F3276&gt;=6,G3276&gt;=5,H3276&gt;=5),"POTENTIAL LOYALIST",AND(F3276&gt;=8,G3276&lt;=2,H3276&gt;=5),"NEW CUSTOMERS",AND(F3276&gt;=6,G3276&lt;=2,H3276&gt;=3),"PROMISING",AND(F3276&gt;=3,G3276&gt;=3,H3276&gt;=3),"NEED ATTENTION",AND(F3276&lt;=4,G3276&gt;=6,H3276&gt;=6),"AT RISK",AND(F3276&lt;=2,G3276&gt;=8,H3276&gt;=8),"CAN'T LOSE THEM",AND(F3276&lt;=2,G3276&lt;=2,H3276&lt;=2),"HIBERNATING",TRUE(),"Other")</f>
        <v>NEED ATTENTION</v>
      </c>
      <c r="K3276" s="1" t="n">
        <f aca="false">RANK(E3276,$E$7:$E$4378)+COUNTIF($E$7:E3276,E3276)-1</f>
        <v>2645</v>
      </c>
    </row>
    <row r="3277" customFormat="false" ht="14.25" hidden="false" customHeight="true" outlineLevel="0" collapsed="false">
      <c r="A3277" s="51" t="n">
        <v>16769</v>
      </c>
      <c r="B3277" s="53" t="n">
        <v>40626.5701388889</v>
      </c>
      <c r="C3277" s="57" t="n">
        <f aca="false">INT($C$2)-INT(Table3[[#This Row],[Last Purchase Date]])</f>
        <v>261</v>
      </c>
      <c r="D3277" s="1" t="n">
        <v>1</v>
      </c>
      <c r="E3277" s="1" t="n">
        <v>380.39</v>
      </c>
      <c r="F3277" s="1" t="n">
        <f aca="false">ROUND((1-_xlfn.PERCENTRANK.INC($C$7:$C$4378,C3277))*9,0)</f>
        <v>1</v>
      </c>
      <c r="G3277" s="1" t="n">
        <f aca="false">ROUND(_xlfn.PERCENTRANK.INC($D$7:$D$4378,D3277)*9,0)</f>
        <v>0</v>
      </c>
      <c r="H3277" s="1" t="n">
        <f aca="false">ROUND(_xlfn.PERCENTRANK.INC($E$7:$E$4378,E3277)*9,0)</f>
        <v>3</v>
      </c>
      <c r="I3277" s="1" t="str">
        <f aca="false">CONCATENATE(F3277,G3277,H3277)</f>
        <v>103</v>
      </c>
      <c r="J3277" s="1" t="str">
        <f aca="false">_xlfn.IFS(AND(F3277&gt;=8,G3277&gt;=8,H3277&gt;=8),"CHAMPION",AND(F3277&gt;=6,G3277&gt;=7,H3277&gt;=6),"LOYAL CUSTOMER",AND(F3277&gt;=6,G3277&gt;=5,H3277&gt;=5),"POTENTIAL LOYALIST",AND(F3277&gt;=8,G3277&lt;=2,H3277&gt;=5),"NEW CUSTOMERS",AND(F3277&gt;=6,G3277&lt;=2,H3277&gt;=3),"PROMISING",AND(F3277&gt;=3,G3277&gt;=3,H3277&gt;=3),"NEED ATTENTION",AND(F3277&lt;=4,G3277&gt;=6,H3277&gt;=6),"AT RISK",AND(F3277&lt;=2,G3277&gt;=8,H3277&gt;=8),"CAN'T LOSE THEM",AND(F3277&lt;=2,G3277&lt;=2,H3277&lt;=2),"HIBERNATING",TRUE(),"Other")</f>
        <v>Other</v>
      </c>
      <c r="K3277" s="1" t="n">
        <f aca="false">RANK(E3277,$E$7:$E$4378)+COUNTIF($E$7:E3277,E3277)-1</f>
        <v>2890</v>
      </c>
    </row>
    <row r="3278" customFormat="false" ht="14.25" hidden="false" customHeight="true" outlineLevel="0" collapsed="false">
      <c r="A3278" s="51" t="n">
        <v>16770</v>
      </c>
      <c r="B3278" s="53" t="n">
        <v>40829.5145833333</v>
      </c>
      <c r="C3278" s="57" t="n">
        <f aca="false">INT($C$2)-INT(Table3[[#This Row],[Last Purchase Date]])</f>
        <v>58</v>
      </c>
      <c r="D3278" s="1" t="n">
        <v>6</v>
      </c>
      <c r="E3278" s="1" t="n">
        <v>744.9</v>
      </c>
      <c r="F3278" s="1" t="n">
        <f aca="false">ROUND((1-_xlfn.PERCENTRANK.INC($C$7:$C$4378,C3278))*9,0)</f>
        <v>4</v>
      </c>
      <c r="G3278" s="1" t="n">
        <f aca="false">ROUND(_xlfn.PERCENTRANK.INC($D$7:$D$4378,D3278)*9,0)</f>
        <v>7</v>
      </c>
      <c r="H3278" s="1" t="n">
        <f aca="false">ROUND(_xlfn.PERCENTRANK.INC($E$7:$E$4378,E3278)*9,0)</f>
        <v>5</v>
      </c>
      <c r="I3278" s="1" t="str">
        <f aca="false">CONCATENATE(F3278,G3278,H3278)</f>
        <v>475</v>
      </c>
      <c r="J3278" s="1" t="str">
        <f aca="false">_xlfn.IFS(AND(F3278&gt;=8,G3278&gt;=8,H3278&gt;=8),"CHAMPION",AND(F3278&gt;=6,G3278&gt;=7,H3278&gt;=6),"LOYAL CUSTOMER",AND(F3278&gt;=6,G3278&gt;=5,H3278&gt;=5),"POTENTIAL LOYALIST",AND(F3278&gt;=8,G3278&lt;=2,H3278&gt;=5),"NEW CUSTOMERS",AND(F3278&gt;=6,G3278&lt;=2,H3278&gt;=3),"PROMISING",AND(F3278&gt;=3,G3278&gt;=3,H3278&gt;=3),"NEED ATTENTION",AND(F3278&lt;=4,G3278&gt;=6,H3278&gt;=6),"AT RISK",AND(F3278&lt;=2,G3278&gt;=8,H3278&gt;=8),"CAN'T LOSE THEM",AND(F3278&lt;=2,G3278&lt;=2,H3278&lt;=2),"HIBERNATING",TRUE(),"Other")</f>
        <v>NEED ATTENTION</v>
      </c>
      <c r="K3278" s="1" t="n">
        <f aca="false">RANK(E3278,$E$7:$E$4378)+COUNTIF($E$7:E3278,E3278)-1</f>
        <v>1986</v>
      </c>
    </row>
    <row r="3279" customFormat="false" ht="14.25" hidden="false" customHeight="true" outlineLevel="0" collapsed="false">
      <c r="A3279" s="51" t="n">
        <v>16771</v>
      </c>
      <c r="B3279" s="53" t="n">
        <v>40853.5611111111</v>
      </c>
      <c r="C3279" s="57" t="n">
        <f aca="false">INT($C$2)-INT(Table3[[#This Row],[Last Purchase Date]])</f>
        <v>34</v>
      </c>
      <c r="D3279" s="1" t="n">
        <v>5</v>
      </c>
      <c r="E3279" s="1" t="n">
        <v>2246.81</v>
      </c>
      <c r="F3279" s="1" t="n">
        <f aca="false">ROUND((1-_xlfn.PERCENTRANK.INC($C$7:$C$4378,C3279))*9,0)</f>
        <v>5</v>
      </c>
      <c r="G3279" s="1" t="n">
        <f aca="false">ROUND(_xlfn.PERCENTRANK.INC($D$7:$D$4378,D3279)*9,0)</f>
        <v>6</v>
      </c>
      <c r="H3279" s="1" t="n">
        <f aca="false">ROUND(_xlfn.PERCENTRANK.INC($E$7:$E$4378,E3279)*9,0)</f>
        <v>7</v>
      </c>
      <c r="I3279" s="1" t="str">
        <f aca="false">CONCATENATE(F3279,G3279,H3279)</f>
        <v>567</v>
      </c>
      <c r="J3279" s="1" t="str">
        <f aca="false">_xlfn.IFS(AND(F3279&gt;=8,G3279&gt;=8,H3279&gt;=8),"CHAMPION",AND(F3279&gt;=6,G3279&gt;=7,H3279&gt;=6),"LOYAL CUSTOMER",AND(F3279&gt;=6,G3279&gt;=5,H3279&gt;=5),"POTENTIAL LOYALIST",AND(F3279&gt;=8,G3279&lt;=2,H3279&gt;=5),"NEW CUSTOMERS",AND(F3279&gt;=6,G3279&lt;=2,H3279&gt;=3),"PROMISING",AND(F3279&gt;=3,G3279&gt;=3,H3279&gt;=3),"NEED ATTENTION",AND(F3279&lt;=4,G3279&gt;=6,H3279&gt;=6),"AT RISK",AND(F3279&lt;=2,G3279&gt;=8,H3279&gt;=8),"CAN'T LOSE THEM",AND(F3279&lt;=2,G3279&lt;=2,H3279&lt;=2),"HIBERNATING",TRUE(),"Other")</f>
        <v>NEED ATTENTION</v>
      </c>
      <c r="K3279" s="1" t="n">
        <f aca="false">RANK(E3279,$E$7:$E$4378)+COUNTIF($E$7:E3279,E3279)-1</f>
        <v>763</v>
      </c>
    </row>
    <row r="3280" customFormat="false" ht="14.25" hidden="false" customHeight="true" outlineLevel="0" collapsed="false">
      <c r="A3280" s="51" t="n">
        <v>16773</v>
      </c>
      <c r="B3280" s="53" t="n">
        <v>40829.6090277778</v>
      </c>
      <c r="C3280" s="57" t="n">
        <f aca="false">INT($C$2)-INT(Table3[[#This Row],[Last Purchase Date]])</f>
        <v>58</v>
      </c>
      <c r="D3280" s="1" t="n">
        <v>1</v>
      </c>
      <c r="E3280" s="1" t="n">
        <v>171.59</v>
      </c>
      <c r="F3280" s="1" t="n">
        <f aca="false">ROUND((1-_xlfn.PERCENTRANK.INC($C$7:$C$4378,C3280))*9,0)</f>
        <v>4</v>
      </c>
      <c r="G3280" s="1" t="n">
        <f aca="false">ROUND(_xlfn.PERCENTRANK.INC($D$7:$D$4378,D3280)*9,0)</f>
        <v>0</v>
      </c>
      <c r="H3280" s="1" t="n">
        <f aca="false">ROUND(_xlfn.PERCENTRANK.INC($E$7:$E$4378,E3280)*9,0)</f>
        <v>1</v>
      </c>
      <c r="I3280" s="1" t="str">
        <f aca="false">CONCATENATE(F3280,G3280,H3280)</f>
        <v>401</v>
      </c>
      <c r="J3280" s="1" t="str">
        <f aca="false">_xlfn.IFS(AND(F3280&gt;=8,G3280&gt;=8,H3280&gt;=8),"CHAMPION",AND(F3280&gt;=6,G3280&gt;=7,H3280&gt;=6),"LOYAL CUSTOMER",AND(F3280&gt;=6,G3280&gt;=5,H3280&gt;=5),"POTENTIAL LOYALIST",AND(F3280&gt;=8,G3280&lt;=2,H3280&gt;=5),"NEW CUSTOMERS",AND(F3280&gt;=6,G3280&lt;=2,H3280&gt;=3),"PROMISING",AND(F3280&gt;=3,G3280&gt;=3,H3280&gt;=3),"NEED ATTENTION",AND(F3280&lt;=4,G3280&gt;=6,H3280&gt;=6),"AT RISK",AND(F3280&lt;=2,G3280&gt;=8,H3280&gt;=8),"CAN'T LOSE THEM",AND(F3280&lt;=2,G3280&lt;=2,H3280&lt;=2),"HIBERNATING",TRUE(),"Other")</f>
        <v>Other</v>
      </c>
      <c r="K3280" s="1" t="n">
        <f aca="false">RANK(E3280,$E$7:$E$4378)+COUNTIF($E$7:E3280,E3280)-1</f>
        <v>3798</v>
      </c>
    </row>
    <row r="3281" customFormat="false" ht="14.25" hidden="false" customHeight="true" outlineLevel="0" collapsed="false">
      <c r="A3281" s="51" t="n">
        <v>16774</v>
      </c>
      <c r="B3281" s="53" t="n">
        <v>40819.5284722222</v>
      </c>
      <c r="C3281" s="57" t="n">
        <f aca="false">INT($C$2)-INT(Table3[[#This Row],[Last Purchase Date]])</f>
        <v>68</v>
      </c>
      <c r="D3281" s="1" t="n">
        <v>5</v>
      </c>
      <c r="E3281" s="1" t="n">
        <v>654.92</v>
      </c>
      <c r="F3281" s="1" t="n">
        <f aca="false">ROUND((1-_xlfn.PERCENTRANK.INC($C$7:$C$4378,C3281))*9,0)</f>
        <v>4</v>
      </c>
      <c r="G3281" s="1" t="n">
        <f aca="false">ROUND(_xlfn.PERCENTRANK.INC($D$7:$D$4378,D3281)*9,0)</f>
        <v>6</v>
      </c>
      <c r="H3281" s="1" t="n">
        <f aca="false">ROUND(_xlfn.PERCENTRANK.INC($E$7:$E$4378,E3281)*9,0)</f>
        <v>5</v>
      </c>
      <c r="I3281" s="1" t="str">
        <f aca="false">CONCATENATE(F3281,G3281,H3281)</f>
        <v>465</v>
      </c>
      <c r="J3281" s="1" t="str">
        <f aca="false">_xlfn.IFS(AND(F3281&gt;=8,G3281&gt;=8,H3281&gt;=8),"CHAMPION",AND(F3281&gt;=6,G3281&gt;=7,H3281&gt;=6),"LOYAL CUSTOMER",AND(F3281&gt;=6,G3281&gt;=5,H3281&gt;=5),"POTENTIAL LOYALIST",AND(F3281&gt;=8,G3281&lt;=2,H3281&gt;=5),"NEW CUSTOMERS",AND(F3281&gt;=6,G3281&lt;=2,H3281&gt;=3),"PROMISING",AND(F3281&gt;=3,G3281&gt;=3,H3281&gt;=3),"NEED ATTENTION",AND(F3281&lt;=4,G3281&gt;=6,H3281&gt;=6),"AT RISK",AND(F3281&lt;=2,G3281&gt;=8,H3281&gt;=8),"CAN'T LOSE THEM",AND(F3281&lt;=2,G3281&lt;=2,H3281&lt;=2),"HIBERNATING",TRUE(),"Other")</f>
        <v>NEED ATTENTION</v>
      </c>
      <c r="K3281" s="1" t="n">
        <f aca="false">RANK(E3281,$E$7:$E$4378)+COUNTIF($E$7:E3281,E3281)-1</f>
        <v>2170</v>
      </c>
    </row>
    <row r="3282" customFormat="false" ht="14.25" hidden="false" customHeight="true" outlineLevel="0" collapsed="false">
      <c r="A3282" s="51" t="n">
        <v>16775</v>
      </c>
      <c r="B3282" s="53" t="n">
        <v>40876.6402777778</v>
      </c>
      <c r="C3282" s="57" t="n">
        <f aca="false">INT($C$2)-INT(Table3[[#This Row],[Last Purchase Date]])</f>
        <v>11</v>
      </c>
      <c r="D3282" s="1" t="n">
        <v>11</v>
      </c>
      <c r="E3282" s="1" t="n">
        <v>1695.66</v>
      </c>
      <c r="F3282" s="1" t="n">
        <f aca="false">ROUND((1-_xlfn.PERCENTRANK.INC($C$7:$C$4378,C3282))*9,0)</f>
        <v>7</v>
      </c>
      <c r="G3282" s="1" t="n">
        <f aca="false">ROUND(_xlfn.PERCENTRANK.INC($D$7:$D$4378,D3282)*9,0)</f>
        <v>8</v>
      </c>
      <c r="H3282" s="1" t="n">
        <f aca="false">ROUND(_xlfn.PERCENTRANK.INC($E$7:$E$4378,E3282)*9,0)</f>
        <v>7</v>
      </c>
      <c r="I3282" s="1" t="str">
        <f aca="false">CONCATENATE(F3282,G3282,H3282)</f>
        <v>787</v>
      </c>
      <c r="J3282" s="1" t="str">
        <f aca="false">_xlfn.IFS(AND(F3282&gt;=8,G3282&gt;=8,H3282&gt;=8),"CHAMPION",AND(F3282&gt;=6,G3282&gt;=7,H3282&gt;=6),"LOYAL CUSTOMER",AND(F3282&gt;=6,G3282&gt;=5,H3282&gt;=5),"POTENTIAL LOYALIST",AND(F3282&gt;=8,G3282&lt;=2,H3282&gt;=5),"NEW CUSTOMERS",AND(F3282&gt;=6,G3282&lt;=2,H3282&gt;=3),"PROMISING",AND(F3282&gt;=3,G3282&gt;=3,H3282&gt;=3),"NEED ATTENTION",AND(F3282&lt;=4,G3282&gt;=6,H3282&gt;=6),"AT RISK",AND(F3282&lt;=2,G3282&gt;=8,H3282&gt;=8),"CAN'T LOSE THEM",AND(F3282&lt;=2,G3282&lt;=2,H3282&lt;=2),"HIBERNATING",TRUE(),"Other")</f>
        <v>LOYAL CUSTOMER</v>
      </c>
      <c r="K3282" s="1" t="n">
        <f aca="false">RANK(E3282,$E$7:$E$4378)+COUNTIF($E$7:E3282,E3282)-1</f>
        <v>1040</v>
      </c>
    </row>
    <row r="3283" customFormat="false" ht="14.25" hidden="false" customHeight="true" outlineLevel="0" collapsed="false">
      <c r="A3283" s="51" t="n">
        <v>16776</v>
      </c>
      <c r="B3283" s="53" t="n">
        <v>40826.5444444444</v>
      </c>
      <c r="C3283" s="57" t="n">
        <f aca="false">INT($C$2)-INT(Table3[[#This Row],[Last Purchase Date]])</f>
        <v>61</v>
      </c>
      <c r="D3283" s="1" t="n">
        <v>1</v>
      </c>
      <c r="E3283" s="1" t="n">
        <v>388.28</v>
      </c>
      <c r="F3283" s="1" t="n">
        <f aca="false">ROUND((1-_xlfn.PERCENTRANK.INC($C$7:$C$4378,C3283))*9,0)</f>
        <v>4</v>
      </c>
      <c r="G3283" s="1" t="n">
        <f aca="false">ROUND(_xlfn.PERCENTRANK.INC($D$7:$D$4378,D3283)*9,0)</f>
        <v>0</v>
      </c>
      <c r="H3283" s="1" t="n">
        <f aca="false">ROUND(_xlfn.PERCENTRANK.INC($E$7:$E$4378,E3283)*9,0)</f>
        <v>3</v>
      </c>
      <c r="I3283" s="1" t="str">
        <f aca="false">CONCATENATE(F3283,G3283,H3283)</f>
        <v>403</v>
      </c>
      <c r="J3283" s="1" t="str">
        <f aca="false">_xlfn.IFS(AND(F3283&gt;=8,G3283&gt;=8,H3283&gt;=8),"CHAMPION",AND(F3283&gt;=6,G3283&gt;=7,H3283&gt;=6),"LOYAL CUSTOMER",AND(F3283&gt;=6,G3283&gt;=5,H3283&gt;=5),"POTENTIAL LOYALIST",AND(F3283&gt;=8,G3283&lt;=2,H3283&gt;=5),"NEW CUSTOMERS",AND(F3283&gt;=6,G3283&lt;=2,H3283&gt;=3),"PROMISING",AND(F3283&gt;=3,G3283&gt;=3,H3283&gt;=3),"NEED ATTENTION",AND(F3283&lt;=4,G3283&gt;=6,H3283&gt;=6),"AT RISK",AND(F3283&lt;=2,G3283&gt;=8,H3283&gt;=8),"CAN'T LOSE THEM",AND(F3283&lt;=2,G3283&lt;=2,H3283&lt;=2),"HIBERNATING",TRUE(),"Other")</f>
        <v>Other</v>
      </c>
      <c r="K3283" s="1" t="n">
        <f aca="false">RANK(E3283,$E$7:$E$4378)+COUNTIF($E$7:E3283,E3283)-1</f>
        <v>2857</v>
      </c>
    </row>
    <row r="3284" customFormat="false" ht="14.25" hidden="false" customHeight="true" outlineLevel="0" collapsed="false">
      <c r="A3284" s="51" t="n">
        <v>16777</v>
      </c>
      <c r="B3284" s="53" t="n">
        <v>40806.5701388889</v>
      </c>
      <c r="C3284" s="57" t="n">
        <f aca="false">INT($C$2)-INT(Table3[[#This Row],[Last Purchase Date]])</f>
        <v>81</v>
      </c>
      <c r="D3284" s="1" t="n">
        <v>2</v>
      </c>
      <c r="E3284" s="1" t="n">
        <v>226.35</v>
      </c>
      <c r="F3284" s="1" t="n">
        <f aca="false">ROUND((1-_xlfn.PERCENTRANK.INC($C$7:$C$4378,C3284))*9,0)</f>
        <v>3</v>
      </c>
      <c r="G3284" s="1" t="n">
        <f aca="false">ROUND(_xlfn.PERCENTRANK.INC($D$7:$D$4378,D3284)*9,0)</f>
        <v>3</v>
      </c>
      <c r="H3284" s="1" t="n">
        <f aca="false">ROUND(_xlfn.PERCENTRANK.INC($E$7:$E$4378,E3284)*9,0)</f>
        <v>2</v>
      </c>
      <c r="I3284" s="1" t="str">
        <f aca="false">CONCATENATE(F3284,G3284,H3284)</f>
        <v>332</v>
      </c>
      <c r="J3284" s="1" t="str">
        <f aca="false">_xlfn.IFS(AND(F3284&gt;=8,G3284&gt;=8,H3284&gt;=8),"CHAMPION",AND(F3284&gt;=6,G3284&gt;=7,H3284&gt;=6),"LOYAL CUSTOMER",AND(F3284&gt;=6,G3284&gt;=5,H3284&gt;=5),"POTENTIAL LOYALIST",AND(F3284&gt;=8,G3284&lt;=2,H3284&gt;=5),"NEW CUSTOMERS",AND(F3284&gt;=6,G3284&lt;=2,H3284&gt;=3),"PROMISING",AND(F3284&gt;=3,G3284&gt;=3,H3284&gt;=3),"NEED ATTENTION",AND(F3284&lt;=4,G3284&gt;=6,H3284&gt;=6),"AT RISK",AND(F3284&lt;=2,G3284&gt;=8,H3284&gt;=8),"CAN'T LOSE THEM",AND(F3284&lt;=2,G3284&lt;=2,H3284&lt;=2),"HIBERNATING",TRUE(),"Other")</f>
        <v>Other</v>
      </c>
      <c r="K3284" s="1" t="n">
        <f aca="false">RANK(E3284,$E$7:$E$4378)+COUNTIF($E$7:E3284,E3284)-1</f>
        <v>3533</v>
      </c>
    </row>
    <row r="3285" customFormat="false" ht="14.25" hidden="false" customHeight="true" outlineLevel="0" collapsed="false">
      <c r="A3285" s="51" t="n">
        <v>16778</v>
      </c>
      <c r="B3285" s="53" t="n">
        <v>40812.575</v>
      </c>
      <c r="C3285" s="57" t="n">
        <f aca="false">INT($C$2)-INT(Table3[[#This Row],[Last Purchase Date]])</f>
        <v>75</v>
      </c>
      <c r="D3285" s="1" t="n">
        <v>2</v>
      </c>
      <c r="E3285" s="1" t="n">
        <v>245.94</v>
      </c>
      <c r="F3285" s="1" t="n">
        <f aca="false">ROUND((1-_xlfn.PERCENTRANK.INC($C$7:$C$4378,C3285))*9,0)</f>
        <v>3</v>
      </c>
      <c r="G3285" s="1" t="n">
        <f aca="false">ROUND(_xlfn.PERCENTRANK.INC($D$7:$D$4378,D3285)*9,0)</f>
        <v>3</v>
      </c>
      <c r="H3285" s="1" t="n">
        <f aca="false">ROUND(_xlfn.PERCENTRANK.INC($E$7:$E$4378,E3285)*9,0)</f>
        <v>2</v>
      </c>
      <c r="I3285" s="1" t="str">
        <f aca="false">CONCATENATE(F3285,G3285,H3285)</f>
        <v>332</v>
      </c>
      <c r="J3285" s="1" t="str">
        <f aca="false">_xlfn.IFS(AND(F3285&gt;=8,G3285&gt;=8,H3285&gt;=8),"CHAMPION",AND(F3285&gt;=6,G3285&gt;=7,H3285&gt;=6),"LOYAL CUSTOMER",AND(F3285&gt;=6,G3285&gt;=5,H3285&gt;=5),"POTENTIAL LOYALIST",AND(F3285&gt;=8,G3285&lt;=2,H3285&gt;=5),"NEW CUSTOMERS",AND(F3285&gt;=6,G3285&lt;=2,H3285&gt;=3),"PROMISING",AND(F3285&gt;=3,G3285&gt;=3,H3285&gt;=3),"NEED ATTENTION",AND(F3285&lt;=4,G3285&gt;=6,H3285&gt;=6),"AT RISK",AND(F3285&lt;=2,G3285&gt;=8,H3285&gt;=8),"CAN'T LOSE THEM",AND(F3285&lt;=2,G3285&lt;=2,H3285&lt;=2),"HIBERNATING",TRUE(),"Other")</f>
        <v>Other</v>
      </c>
      <c r="K3285" s="1" t="n">
        <f aca="false">RANK(E3285,$E$7:$E$4378)+COUNTIF($E$7:E3285,E3285)-1</f>
        <v>3456</v>
      </c>
    </row>
    <row r="3286" customFormat="false" ht="14.25" hidden="false" customHeight="true" outlineLevel="0" collapsed="false">
      <c r="A3286" s="51" t="n">
        <v>16779</v>
      </c>
      <c r="B3286" s="53" t="n">
        <v>40884.6208333333</v>
      </c>
      <c r="C3286" s="57" t="n">
        <f aca="false">INT($C$2)-INT(Table3[[#This Row],[Last Purchase Date]])</f>
        <v>3</v>
      </c>
      <c r="D3286" s="1" t="n">
        <v>28</v>
      </c>
      <c r="E3286" s="1" t="n">
        <v>10454.05</v>
      </c>
      <c r="F3286" s="1" t="n">
        <f aca="false">ROUND((1-_xlfn.PERCENTRANK.INC($C$7:$C$4378,C3286))*9,0)</f>
        <v>9</v>
      </c>
      <c r="G3286" s="1" t="n">
        <f aca="false">ROUND(_xlfn.PERCENTRANK.INC($D$7:$D$4378,D3286)*9,0)</f>
        <v>9</v>
      </c>
      <c r="H3286" s="1" t="n">
        <f aca="false">ROUND(_xlfn.PERCENTRANK.INC($E$7:$E$4378,E3286)*9,0)</f>
        <v>9</v>
      </c>
      <c r="I3286" s="1" t="str">
        <f aca="false">CONCATENATE(F3286,G3286,H3286)</f>
        <v>999</v>
      </c>
      <c r="J3286" s="1" t="str">
        <f aca="false">_xlfn.IFS(AND(F3286&gt;=8,G3286&gt;=8,H3286&gt;=8),"CHAMPION",AND(F3286&gt;=6,G3286&gt;=7,H3286&gt;=6),"LOYAL CUSTOMER",AND(F3286&gt;=6,G3286&gt;=5,H3286&gt;=5),"POTENTIAL LOYALIST",AND(F3286&gt;=8,G3286&lt;=2,H3286&gt;=5),"NEW CUSTOMERS",AND(F3286&gt;=6,G3286&lt;=2,H3286&gt;=3),"PROMISING",AND(F3286&gt;=3,G3286&gt;=3,H3286&gt;=3),"NEED ATTENTION",AND(F3286&lt;=4,G3286&gt;=6,H3286&gt;=6),"AT RISK",AND(F3286&lt;=2,G3286&gt;=8,H3286&gt;=8),"CAN'T LOSE THEM",AND(F3286&lt;=2,G3286&lt;=2,H3286&lt;=2),"HIBERNATING",TRUE(),"Other")</f>
        <v>CHAMPION</v>
      </c>
      <c r="K3286" s="1" t="n">
        <f aca="false">RANK(E3286,$E$7:$E$4378)+COUNTIF($E$7:E3286,E3286)-1</f>
        <v>90</v>
      </c>
    </row>
    <row r="3287" customFormat="false" ht="14.25" hidden="false" customHeight="true" outlineLevel="0" collapsed="false">
      <c r="A3287" s="51" t="n">
        <v>16780</v>
      </c>
      <c r="B3287" s="53" t="n">
        <v>40786.6729166667</v>
      </c>
      <c r="C3287" s="57" t="n">
        <f aca="false">INT($C$2)-INT(Table3[[#This Row],[Last Purchase Date]])</f>
        <v>101</v>
      </c>
      <c r="D3287" s="1" t="n">
        <v>2</v>
      </c>
      <c r="E3287" s="1" t="n">
        <v>425.19</v>
      </c>
      <c r="F3287" s="1" t="n">
        <f aca="false">ROUND((1-_xlfn.PERCENTRANK.INC($C$7:$C$4378,C3287))*9,0)</f>
        <v>3</v>
      </c>
      <c r="G3287" s="1" t="n">
        <f aca="false">ROUND(_xlfn.PERCENTRANK.INC($D$7:$D$4378,D3287)*9,0)</f>
        <v>3</v>
      </c>
      <c r="H3287" s="1" t="n">
        <f aca="false">ROUND(_xlfn.PERCENTRANK.INC($E$7:$E$4378,E3287)*9,0)</f>
        <v>3</v>
      </c>
      <c r="I3287" s="1" t="str">
        <f aca="false">CONCATENATE(F3287,G3287,H3287)</f>
        <v>333</v>
      </c>
      <c r="J3287" s="1" t="str">
        <f aca="false">_xlfn.IFS(AND(F3287&gt;=8,G3287&gt;=8,H3287&gt;=8),"CHAMPION",AND(F3287&gt;=6,G3287&gt;=7,H3287&gt;=6),"LOYAL CUSTOMER",AND(F3287&gt;=6,G3287&gt;=5,H3287&gt;=5),"POTENTIAL LOYALIST",AND(F3287&gt;=8,G3287&lt;=2,H3287&gt;=5),"NEW CUSTOMERS",AND(F3287&gt;=6,G3287&lt;=2,H3287&gt;=3),"PROMISING",AND(F3287&gt;=3,G3287&gt;=3,H3287&gt;=3),"NEED ATTENTION",AND(F3287&lt;=4,G3287&gt;=6,H3287&gt;=6),"AT RISK",AND(F3287&lt;=2,G3287&gt;=8,H3287&gt;=8),"CAN'T LOSE THEM",AND(F3287&lt;=2,G3287&lt;=2,H3287&lt;=2),"HIBERNATING",TRUE(),"Other")</f>
        <v>NEED ATTENTION</v>
      </c>
      <c r="K3287" s="1" t="n">
        <f aca="false">RANK(E3287,$E$7:$E$4378)+COUNTIF($E$7:E3287,E3287)-1</f>
        <v>2738</v>
      </c>
    </row>
    <row r="3288" customFormat="false" ht="14.25" hidden="false" customHeight="true" outlineLevel="0" collapsed="false">
      <c r="A3288" s="51" t="n">
        <v>16781</v>
      </c>
      <c r="B3288" s="53" t="n">
        <v>40521.6375</v>
      </c>
      <c r="C3288" s="57" t="n">
        <f aca="false">INT($C$2)-INT(Table3[[#This Row],[Last Purchase Date]])</f>
        <v>366</v>
      </c>
      <c r="D3288" s="1" t="n">
        <v>2</v>
      </c>
      <c r="E3288" s="1" t="n">
        <v>294.65</v>
      </c>
      <c r="F3288" s="1" t="n">
        <f aca="false">ROUND((1-_xlfn.PERCENTRANK.INC($C$7:$C$4378,C3288))*9,0)</f>
        <v>0</v>
      </c>
      <c r="G3288" s="1" t="n">
        <f aca="false">ROUND(_xlfn.PERCENTRANK.INC($D$7:$D$4378,D3288)*9,0)</f>
        <v>3</v>
      </c>
      <c r="H3288" s="1" t="n">
        <f aca="false">ROUND(_xlfn.PERCENTRANK.INC($E$7:$E$4378,E3288)*9,0)</f>
        <v>2</v>
      </c>
      <c r="I3288" s="1" t="str">
        <f aca="false">CONCATENATE(F3288,G3288,H3288)</f>
        <v>032</v>
      </c>
      <c r="J3288" s="1" t="str">
        <f aca="false">_xlfn.IFS(AND(F3288&gt;=8,G3288&gt;=8,H3288&gt;=8),"CHAMPION",AND(F3288&gt;=6,G3288&gt;=7,H3288&gt;=6),"LOYAL CUSTOMER",AND(F3288&gt;=6,G3288&gt;=5,H3288&gt;=5),"POTENTIAL LOYALIST",AND(F3288&gt;=8,G3288&lt;=2,H3288&gt;=5),"NEW CUSTOMERS",AND(F3288&gt;=6,G3288&lt;=2,H3288&gt;=3),"PROMISING",AND(F3288&gt;=3,G3288&gt;=3,H3288&gt;=3),"NEED ATTENTION",AND(F3288&lt;=4,G3288&gt;=6,H3288&gt;=6),"AT RISK",AND(F3288&lt;=2,G3288&gt;=8,H3288&gt;=8),"CAN'T LOSE THEM",AND(F3288&lt;=2,G3288&lt;=2,H3288&lt;=2),"HIBERNATING",TRUE(),"Other")</f>
        <v>Other</v>
      </c>
      <c r="K3288" s="1" t="n">
        <f aca="false">RANK(E3288,$E$7:$E$4378)+COUNTIF($E$7:E3288,E3288)-1</f>
        <v>3274</v>
      </c>
    </row>
    <row r="3289" customFormat="false" ht="14.25" hidden="false" customHeight="true" outlineLevel="0" collapsed="false">
      <c r="A3289" s="51" t="n">
        <v>16782</v>
      </c>
      <c r="B3289" s="53" t="n">
        <v>40876.5555555556</v>
      </c>
      <c r="C3289" s="57" t="n">
        <f aca="false">INT($C$2)-INT(Table3[[#This Row],[Last Purchase Date]])</f>
        <v>11</v>
      </c>
      <c r="D3289" s="1" t="n">
        <v>19</v>
      </c>
      <c r="E3289" s="1" t="n">
        <v>2242.25</v>
      </c>
      <c r="F3289" s="1" t="n">
        <f aca="false">ROUND((1-_xlfn.PERCENTRANK.INC($C$7:$C$4378,C3289))*9,0)</f>
        <v>7</v>
      </c>
      <c r="G3289" s="1" t="n">
        <f aca="false">ROUND(_xlfn.PERCENTRANK.INC($D$7:$D$4378,D3289)*9,0)</f>
        <v>9</v>
      </c>
      <c r="H3289" s="1" t="n">
        <f aca="false">ROUND(_xlfn.PERCENTRANK.INC($E$7:$E$4378,E3289)*9,0)</f>
        <v>7</v>
      </c>
      <c r="I3289" s="1" t="str">
        <f aca="false">CONCATENATE(F3289,G3289,H3289)</f>
        <v>797</v>
      </c>
      <c r="J3289" s="1" t="str">
        <f aca="false">_xlfn.IFS(AND(F3289&gt;=8,G3289&gt;=8,H3289&gt;=8),"CHAMPION",AND(F3289&gt;=6,G3289&gt;=7,H3289&gt;=6),"LOYAL CUSTOMER",AND(F3289&gt;=6,G3289&gt;=5,H3289&gt;=5),"POTENTIAL LOYALIST",AND(F3289&gt;=8,G3289&lt;=2,H3289&gt;=5),"NEW CUSTOMERS",AND(F3289&gt;=6,G3289&lt;=2,H3289&gt;=3),"PROMISING",AND(F3289&gt;=3,G3289&gt;=3,H3289&gt;=3),"NEED ATTENTION",AND(F3289&lt;=4,G3289&gt;=6,H3289&gt;=6),"AT RISK",AND(F3289&lt;=2,G3289&gt;=8,H3289&gt;=8),"CAN'T LOSE THEM",AND(F3289&lt;=2,G3289&lt;=2,H3289&lt;=2),"HIBERNATING",TRUE(),"Other")</f>
        <v>LOYAL CUSTOMER</v>
      </c>
      <c r="K3289" s="1" t="n">
        <f aca="false">RANK(E3289,$E$7:$E$4378)+COUNTIF($E$7:E3289,E3289)-1</f>
        <v>764</v>
      </c>
    </row>
    <row r="3290" customFormat="false" ht="14.25" hidden="false" customHeight="true" outlineLevel="0" collapsed="false">
      <c r="A3290" s="51" t="n">
        <v>16784</v>
      </c>
      <c r="B3290" s="53" t="n">
        <v>40867.5138888889</v>
      </c>
      <c r="C3290" s="57" t="n">
        <f aca="false">INT($C$2)-INT(Table3[[#This Row],[Last Purchase Date]])</f>
        <v>20</v>
      </c>
      <c r="D3290" s="1" t="n">
        <v>1</v>
      </c>
      <c r="E3290" s="1" t="n">
        <v>107.6</v>
      </c>
      <c r="F3290" s="1" t="n">
        <f aca="false">ROUND((1-_xlfn.PERCENTRANK.INC($C$7:$C$4378,C3290))*9,0)</f>
        <v>6</v>
      </c>
      <c r="G3290" s="1" t="n">
        <f aca="false">ROUND(_xlfn.PERCENTRANK.INC($D$7:$D$4378,D3290)*9,0)</f>
        <v>0</v>
      </c>
      <c r="H3290" s="1" t="n">
        <f aca="false">ROUND(_xlfn.PERCENTRANK.INC($E$7:$E$4378,E3290)*9,0)</f>
        <v>1</v>
      </c>
      <c r="I3290" s="1" t="str">
        <f aca="false">CONCATENATE(F3290,G3290,H3290)</f>
        <v>601</v>
      </c>
      <c r="J3290" s="1" t="str">
        <f aca="false">_xlfn.IFS(AND(F3290&gt;=8,G3290&gt;=8,H3290&gt;=8),"CHAMPION",AND(F3290&gt;=6,G3290&gt;=7,H3290&gt;=6),"LOYAL CUSTOMER",AND(F3290&gt;=6,G3290&gt;=5,H3290&gt;=5),"POTENTIAL LOYALIST",AND(F3290&gt;=8,G3290&lt;=2,H3290&gt;=5),"NEW CUSTOMERS",AND(F3290&gt;=6,G3290&lt;=2,H3290&gt;=3),"PROMISING",AND(F3290&gt;=3,G3290&gt;=3,H3290&gt;=3),"NEED ATTENTION",AND(F3290&lt;=4,G3290&gt;=6,H3290&gt;=6),"AT RISK",AND(F3290&lt;=2,G3290&gt;=8,H3290&gt;=8),"CAN'T LOSE THEM",AND(F3290&lt;=2,G3290&lt;=2,H3290&lt;=2),"HIBERNATING",TRUE(),"Other")</f>
        <v>Other</v>
      </c>
      <c r="K3290" s="1" t="n">
        <f aca="false">RANK(E3290,$E$7:$E$4378)+COUNTIF($E$7:E3290,E3290)-1</f>
        <v>4127</v>
      </c>
    </row>
    <row r="3291" customFormat="false" ht="14.25" hidden="false" customHeight="true" outlineLevel="0" collapsed="false">
      <c r="A3291" s="51" t="n">
        <v>16788</v>
      </c>
      <c r="B3291" s="53" t="n">
        <v>40763.6201388889</v>
      </c>
      <c r="C3291" s="57" t="n">
        <f aca="false">INT($C$2)-INT(Table3[[#This Row],[Last Purchase Date]])</f>
        <v>124</v>
      </c>
      <c r="D3291" s="1" t="n">
        <v>2</v>
      </c>
      <c r="E3291" s="1" t="n">
        <v>597.48</v>
      </c>
      <c r="F3291" s="1" t="n">
        <f aca="false">ROUND((1-_xlfn.PERCENTRANK.INC($C$7:$C$4378,C3291))*9,0)</f>
        <v>2</v>
      </c>
      <c r="G3291" s="1" t="n">
        <f aca="false">ROUND(_xlfn.PERCENTRANK.INC($D$7:$D$4378,D3291)*9,0)</f>
        <v>3</v>
      </c>
      <c r="H3291" s="1" t="n">
        <f aca="false">ROUND(_xlfn.PERCENTRANK.INC($E$7:$E$4378,E3291)*9,0)</f>
        <v>4</v>
      </c>
      <c r="I3291" s="1" t="str">
        <f aca="false">CONCATENATE(F3291,G3291,H3291)</f>
        <v>234</v>
      </c>
      <c r="J3291" s="1" t="str">
        <f aca="false">_xlfn.IFS(AND(F3291&gt;=8,G3291&gt;=8,H3291&gt;=8),"CHAMPION",AND(F3291&gt;=6,G3291&gt;=7,H3291&gt;=6),"LOYAL CUSTOMER",AND(F3291&gt;=6,G3291&gt;=5,H3291&gt;=5),"POTENTIAL LOYALIST",AND(F3291&gt;=8,G3291&lt;=2,H3291&gt;=5),"NEW CUSTOMERS",AND(F3291&gt;=6,G3291&lt;=2,H3291&gt;=3),"PROMISING",AND(F3291&gt;=3,G3291&gt;=3,H3291&gt;=3),"NEED ATTENTION",AND(F3291&lt;=4,G3291&gt;=6,H3291&gt;=6),"AT RISK",AND(F3291&lt;=2,G3291&gt;=8,H3291&gt;=8),"CAN'T LOSE THEM",AND(F3291&lt;=2,G3291&lt;=2,H3291&lt;=2),"HIBERNATING",TRUE(),"Other")</f>
        <v>Other</v>
      </c>
      <c r="K3291" s="1" t="n">
        <f aca="false">RANK(E3291,$E$7:$E$4378)+COUNTIF($E$7:E3291,E3291)-1</f>
        <v>2330</v>
      </c>
    </row>
    <row r="3292" customFormat="false" ht="14.25" hidden="false" customHeight="true" outlineLevel="0" collapsed="false">
      <c r="A3292" s="51" t="n">
        <v>16789</v>
      </c>
      <c r="B3292" s="53" t="n">
        <v>40878.6333333333</v>
      </c>
      <c r="C3292" s="57" t="n">
        <f aca="false">INT($C$2)-INT(Table3[[#This Row],[Last Purchase Date]])</f>
        <v>9</v>
      </c>
      <c r="D3292" s="1" t="n">
        <v>1</v>
      </c>
      <c r="E3292" s="1" t="n">
        <v>80.8</v>
      </c>
      <c r="F3292" s="1" t="n">
        <f aca="false">ROUND((1-_xlfn.PERCENTRANK.INC($C$7:$C$4378,C3292))*9,0)</f>
        <v>8</v>
      </c>
      <c r="G3292" s="1" t="n">
        <f aca="false">ROUND(_xlfn.PERCENTRANK.INC($D$7:$D$4378,D3292)*9,0)</f>
        <v>0</v>
      </c>
      <c r="H3292" s="1" t="n">
        <f aca="false">ROUND(_xlfn.PERCENTRANK.INC($E$7:$E$4378,E3292)*9,0)</f>
        <v>0</v>
      </c>
      <c r="I3292" s="1" t="str">
        <f aca="false">CONCATENATE(F3292,G3292,H3292)</f>
        <v>800</v>
      </c>
      <c r="J3292" s="1" t="str">
        <f aca="false">_xlfn.IFS(AND(F3292&gt;=8,G3292&gt;=8,H3292&gt;=8),"CHAMPION",AND(F3292&gt;=6,G3292&gt;=7,H3292&gt;=6),"LOYAL CUSTOMER",AND(F3292&gt;=6,G3292&gt;=5,H3292&gt;=5),"POTENTIAL LOYALIST",AND(F3292&gt;=8,G3292&lt;=2,H3292&gt;=5),"NEW CUSTOMERS",AND(F3292&gt;=6,G3292&lt;=2,H3292&gt;=3),"PROMISING",AND(F3292&gt;=3,G3292&gt;=3,H3292&gt;=3),"NEED ATTENTION",AND(F3292&lt;=4,G3292&gt;=6,H3292&gt;=6),"AT RISK",AND(F3292&lt;=2,G3292&gt;=8,H3292&gt;=8),"CAN'T LOSE THEM",AND(F3292&lt;=2,G3292&lt;=2,H3292&lt;=2),"HIBERNATING",TRUE(),"Other")</f>
        <v>Other</v>
      </c>
      <c r="K3292" s="1" t="n">
        <f aca="false">RANK(E3292,$E$7:$E$4378)+COUNTIF($E$7:E3292,E3292)-1</f>
        <v>4215</v>
      </c>
    </row>
    <row r="3293" customFormat="false" ht="14.25" hidden="false" customHeight="true" outlineLevel="0" collapsed="false">
      <c r="A3293" s="51" t="n">
        <v>16790</v>
      </c>
      <c r="B3293" s="53" t="n">
        <v>40883.4951388889</v>
      </c>
      <c r="C3293" s="57" t="n">
        <f aca="false">INT($C$2)-INT(Table3[[#This Row],[Last Purchase Date]])</f>
        <v>4</v>
      </c>
      <c r="D3293" s="1" t="n">
        <v>8</v>
      </c>
      <c r="E3293" s="1" t="n">
        <v>1520.12</v>
      </c>
      <c r="F3293" s="1" t="n">
        <f aca="false">ROUND((1-_xlfn.PERCENTRANK.INC($C$7:$C$4378,C3293))*9,0)</f>
        <v>8</v>
      </c>
      <c r="G3293" s="1" t="n">
        <f aca="false">ROUND(_xlfn.PERCENTRANK.INC($D$7:$D$4378,D3293)*9,0)</f>
        <v>7</v>
      </c>
      <c r="H3293" s="1" t="n">
        <f aca="false">ROUND(_xlfn.PERCENTRANK.INC($E$7:$E$4378,E3293)*9,0)</f>
        <v>7</v>
      </c>
      <c r="I3293" s="1" t="str">
        <f aca="false">CONCATENATE(F3293,G3293,H3293)</f>
        <v>877</v>
      </c>
      <c r="J3293" s="1" t="str">
        <f aca="false">_xlfn.IFS(AND(F3293&gt;=8,G3293&gt;=8,H3293&gt;=8),"CHAMPION",AND(F3293&gt;=6,G3293&gt;=7,H3293&gt;=6),"LOYAL CUSTOMER",AND(F3293&gt;=6,G3293&gt;=5,H3293&gt;=5),"POTENTIAL LOYALIST",AND(F3293&gt;=8,G3293&lt;=2,H3293&gt;=5),"NEW CUSTOMERS",AND(F3293&gt;=6,G3293&lt;=2,H3293&gt;=3),"PROMISING",AND(F3293&gt;=3,G3293&gt;=3,H3293&gt;=3),"NEED ATTENTION",AND(F3293&lt;=4,G3293&gt;=6,H3293&gt;=6),"AT RISK",AND(F3293&lt;=2,G3293&gt;=8,H3293&gt;=8),"CAN'T LOSE THEM",AND(F3293&lt;=2,G3293&lt;=2,H3293&lt;=2),"HIBERNATING",TRUE(),"Other")</f>
        <v>LOYAL CUSTOMER</v>
      </c>
      <c r="K3293" s="1" t="n">
        <f aca="false">RANK(E3293,$E$7:$E$4378)+COUNTIF($E$7:E3293,E3293)-1</f>
        <v>1151</v>
      </c>
    </row>
    <row r="3294" customFormat="false" ht="14.25" hidden="false" customHeight="true" outlineLevel="0" collapsed="false">
      <c r="A3294" s="51" t="n">
        <v>16791</v>
      </c>
      <c r="B3294" s="53" t="n">
        <v>40857.8</v>
      </c>
      <c r="C3294" s="57" t="n">
        <f aca="false">INT($C$2)-INT(Table3[[#This Row],[Last Purchase Date]])</f>
        <v>30</v>
      </c>
      <c r="D3294" s="1" t="n">
        <v>8</v>
      </c>
      <c r="E3294" s="1" t="n">
        <v>1706.28</v>
      </c>
      <c r="F3294" s="1" t="n">
        <f aca="false">ROUND((1-_xlfn.PERCENTRANK.INC($C$7:$C$4378,C3294))*9,0)</f>
        <v>6</v>
      </c>
      <c r="G3294" s="1" t="n">
        <f aca="false">ROUND(_xlfn.PERCENTRANK.INC($D$7:$D$4378,D3294)*9,0)</f>
        <v>7</v>
      </c>
      <c r="H3294" s="1" t="n">
        <f aca="false">ROUND(_xlfn.PERCENTRANK.INC($E$7:$E$4378,E3294)*9,0)</f>
        <v>7</v>
      </c>
      <c r="I3294" s="1" t="str">
        <f aca="false">CONCATENATE(F3294,G3294,H3294)</f>
        <v>677</v>
      </c>
      <c r="J3294" s="1" t="str">
        <f aca="false">_xlfn.IFS(AND(F3294&gt;=8,G3294&gt;=8,H3294&gt;=8),"CHAMPION",AND(F3294&gt;=6,G3294&gt;=7,H3294&gt;=6),"LOYAL CUSTOMER",AND(F3294&gt;=6,G3294&gt;=5,H3294&gt;=5),"POTENTIAL LOYALIST",AND(F3294&gt;=8,G3294&lt;=2,H3294&gt;=5),"NEW CUSTOMERS",AND(F3294&gt;=6,G3294&lt;=2,H3294&gt;=3),"PROMISING",AND(F3294&gt;=3,G3294&gt;=3,H3294&gt;=3),"NEED ATTENTION",AND(F3294&lt;=4,G3294&gt;=6,H3294&gt;=6),"AT RISK",AND(F3294&lt;=2,G3294&gt;=8,H3294&gt;=8),"CAN'T LOSE THEM",AND(F3294&lt;=2,G3294&lt;=2,H3294&lt;=2),"HIBERNATING",TRUE(),"Other")</f>
        <v>LOYAL CUSTOMER</v>
      </c>
      <c r="K3294" s="1" t="n">
        <f aca="false">RANK(E3294,$E$7:$E$4378)+COUNTIF($E$7:E3294,E3294)-1</f>
        <v>1034</v>
      </c>
    </row>
    <row r="3295" customFormat="false" ht="14.25" hidden="false" customHeight="true" outlineLevel="0" collapsed="false">
      <c r="A3295" s="51" t="n">
        <v>16792</v>
      </c>
      <c r="B3295" s="53" t="n">
        <v>40604.6118055556</v>
      </c>
      <c r="C3295" s="57" t="n">
        <f aca="false">INT($C$2)-INT(Table3[[#This Row],[Last Purchase Date]])</f>
        <v>283</v>
      </c>
      <c r="D3295" s="1" t="n">
        <v>2</v>
      </c>
      <c r="E3295" s="1" t="n">
        <v>110.38</v>
      </c>
      <c r="F3295" s="1" t="n">
        <f aca="false">ROUND((1-_xlfn.PERCENTRANK.INC($C$7:$C$4378,C3295))*9,0)</f>
        <v>1</v>
      </c>
      <c r="G3295" s="1" t="n">
        <f aca="false">ROUND(_xlfn.PERCENTRANK.INC($D$7:$D$4378,D3295)*9,0)</f>
        <v>3</v>
      </c>
      <c r="H3295" s="1" t="n">
        <f aca="false">ROUND(_xlfn.PERCENTRANK.INC($E$7:$E$4378,E3295)*9,0)</f>
        <v>1</v>
      </c>
      <c r="I3295" s="1" t="str">
        <f aca="false">CONCATENATE(F3295,G3295,H3295)</f>
        <v>131</v>
      </c>
      <c r="J3295" s="1" t="str">
        <f aca="false">_xlfn.IFS(AND(F3295&gt;=8,G3295&gt;=8,H3295&gt;=8),"CHAMPION",AND(F3295&gt;=6,G3295&gt;=7,H3295&gt;=6),"LOYAL CUSTOMER",AND(F3295&gt;=6,G3295&gt;=5,H3295&gt;=5),"POTENTIAL LOYALIST",AND(F3295&gt;=8,G3295&lt;=2,H3295&gt;=5),"NEW CUSTOMERS",AND(F3295&gt;=6,G3295&lt;=2,H3295&gt;=3),"PROMISING",AND(F3295&gt;=3,G3295&gt;=3,H3295&gt;=3),"NEED ATTENTION",AND(F3295&lt;=4,G3295&gt;=6,H3295&gt;=6),"AT RISK",AND(F3295&lt;=2,G3295&gt;=8,H3295&gt;=8),"CAN'T LOSE THEM",AND(F3295&lt;=2,G3295&lt;=2,H3295&lt;=2),"HIBERNATING",TRUE(),"Other")</f>
        <v>Other</v>
      </c>
      <c r="K3295" s="1" t="n">
        <f aca="false">RANK(E3295,$E$7:$E$4378)+COUNTIF($E$7:E3295,E3295)-1</f>
        <v>4114</v>
      </c>
    </row>
    <row r="3296" customFormat="false" ht="14.25" hidden="false" customHeight="true" outlineLevel="0" collapsed="false">
      <c r="A3296" s="51" t="n">
        <v>16793</v>
      </c>
      <c r="B3296" s="53" t="n">
        <v>40829.6305555556</v>
      </c>
      <c r="C3296" s="57" t="n">
        <f aca="false">INT($C$2)-INT(Table3[[#This Row],[Last Purchase Date]])</f>
        <v>58</v>
      </c>
      <c r="D3296" s="1" t="n">
        <v>1</v>
      </c>
      <c r="E3296" s="1" t="n">
        <v>243.84</v>
      </c>
      <c r="F3296" s="1" t="n">
        <f aca="false">ROUND((1-_xlfn.PERCENTRANK.INC($C$7:$C$4378,C3296))*9,0)</f>
        <v>4</v>
      </c>
      <c r="G3296" s="1" t="n">
        <f aca="false">ROUND(_xlfn.PERCENTRANK.INC($D$7:$D$4378,D3296)*9,0)</f>
        <v>0</v>
      </c>
      <c r="H3296" s="1" t="n">
        <f aca="false">ROUND(_xlfn.PERCENTRANK.INC($E$7:$E$4378,E3296)*9,0)</f>
        <v>2</v>
      </c>
      <c r="I3296" s="1" t="str">
        <f aca="false">CONCATENATE(F3296,G3296,H3296)</f>
        <v>402</v>
      </c>
      <c r="J3296" s="1" t="str">
        <f aca="false">_xlfn.IFS(AND(F3296&gt;=8,G3296&gt;=8,H3296&gt;=8),"CHAMPION",AND(F3296&gt;=6,G3296&gt;=7,H3296&gt;=6),"LOYAL CUSTOMER",AND(F3296&gt;=6,G3296&gt;=5,H3296&gt;=5),"POTENTIAL LOYALIST",AND(F3296&gt;=8,G3296&lt;=2,H3296&gt;=5),"NEW CUSTOMERS",AND(F3296&gt;=6,G3296&lt;=2,H3296&gt;=3),"PROMISING",AND(F3296&gt;=3,G3296&gt;=3,H3296&gt;=3),"NEED ATTENTION",AND(F3296&lt;=4,G3296&gt;=6,H3296&gt;=6),"AT RISK",AND(F3296&lt;=2,G3296&gt;=8,H3296&gt;=8),"CAN'T LOSE THEM",AND(F3296&lt;=2,G3296&lt;=2,H3296&lt;=2),"HIBERNATING",TRUE(),"Other")</f>
        <v>Other</v>
      </c>
      <c r="K3296" s="1" t="n">
        <f aca="false">RANK(E3296,$E$7:$E$4378)+COUNTIF($E$7:E3296,E3296)-1</f>
        <v>3465</v>
      </c>
    </row>
    <row r="3297" customFormat="false" ht="14.25" hidden="false" customHeight="true" outlineLevel="0" collapsed="false">
      <c r="A3297" s="51" t="n">
        <v>16794</v>
      </c>
      <c r="B3297" s="53" t="n">
        <v>40885.7458333333</v>
      </c>
      <c r="C3297" s="57" t="n">
        <f aca="false">INT($C$2)-INT(Table3[[#This Row],[Last Purchase Date]])</f>
        <v>2</v>
      </c>
      <c r="D3297" s="1" t="n">
        <v>12</v>
      </c>
      <c r="E3297" s="1" t="n">
        <v>1201.51</v>
      </c>
      <c r="F3297" s="1" t="n">
        <f aca="false">ROUND((1-_xlfn.PERCENTRANK.INC($C$7:$C$4378,C3297))*9,0)</f>
        <v>9</v>
      </c>
      <c r="G3297" s="1" t="n">
        <f aca="false">ROUND(_xlfn.PERCENTRANK.INC($D$7:$D$4378,D3297)*9,0)</f>
        <v>8</v>
      </c>
      <c r="H3297" s="1" t="n">
        <f aca="false">ROUND(_xlfn.PERCENTRANK.INC($E$7:$E$4378,E3297)*9,0)</f>
        <v>6</v>
      </c>
      <c r="I3297" s="1" t="str">
        <f aca="false">CONCATENATE(F3297,G3297,H3297)</f>
        <v>986</v>
      </c>
      <c r="J3297" s="1" t="str">
        <f aca="false">_xlfn.IFS(AND(F3297&gt;=8,G3297&gt;=8,H3297&gt;=8),"CHAMPION",AND(F3297&gt;=6,G3297&gt;=7,H3297&gt;=6),"LOYAL CUSTOMER",AND(F3297&gt;=6,G3297&gt;=5,H3297&gt;=5),"POTENTIAL LOYALIST",AND(F3297&gt;=8,G3297&lt;=2,H3297&gt;=5),"NEW CUSTOMERS",AND(F3297&gt;=6,G3297&lt;=2,H3297&gt;=3),"PROMISING",AND(F3297&gt;=3,G3297&gt;=3,H3297&gt;=3),"NEED ATTENTION",AND(F3297&lt;=4,G3297&gt;=6,H3297&gt;=6),"AT RISK",AND(F3297&lt;=2,G3297&gt;=8,H3297&gt;=8),"CAN'T LOSE THEM",AND(F3297&lt;=2,G3297&lt;=2,H3297&lt;=2),"HIBERNATING",TRUE(),"Other")</f>
        <v>LOYAL CUSTOMER</v>
      </c>
      <c r="K3297" s="1" t="n">
        <f aca="false">RANK(E3297,$E$7:$E$4378)+COUNTIF($E$7:E3297,E3297)-1</f>
        <v>1409</v>
      </c>
    </row>
    <row r="3298" customFormat="false" ht="14.25" hidden="false" customHeight="true" outlineLevel="0" collapsed="false">
      <c r="A3298" s="51" t="n">
        <v>16795</v>
      </c>
      <c r="B3298" s="53" t="n">
        <v>40521.5888888889</v>
      </c>
      <c r="C3298" s="57" t="n">
        <f aca="false">INT($C$2)-INT(Table3[[#This Row],[Last Purchase Date]])</f>
        <v>366</v>
      </c>
      <c r="D3298" s="1" t="n">
        <v>1</v>
      </c>
      <c r="E3298" s="1" t="n">
        <v>414.88</v>
      </c>
      <c r="F3298" s="1" t="n">
        <f aca="false">ROUND((1-_xlfn.PERCENTRANK.INC($C$7:$C$4378,C3298))*9,0)</f>
        <v>0</v>
      </c>
      <c r="G3298" s="1" t="n">
        <f aca="false">ROUND(_xlfn.PERCENTRANK.INC($D$7:$D$4378,D3298)*9,0)</f>
        <v>0</v>
      </c>
      <c r="H3298" s="1" t="n">
        <f aca="false">ROUND(_xlfn.PERCENTRANK.INC($E$7:$E$4378,E3298)*9,0)</f>
        <v>3</v>
      </c>
      <c r="I3298" s="1" t="str">
        <f aca="false">CONCATENATE(F3298,G3298,H3298)</f>
        <v>003</v>
      </c>
      <c r="J3298" s="1" t="str">
        <f aca="false">_xlfn.IFS(AND(F3298&gt;=8,G3298&gt;=8,H3298&gt;=8),"CHAMPION",AND(F3298&gt;=6,G3298&gt;=7,H3298&gt;=6),"LOYAL CUSTOMER",AND(F3298&gt;=6,G3298&gt;=5,H3298&gt;=5),"POTENTIAL LOYALIST",AND(F3298&gt;=8,G3298&lt;=2,H3298&gt;=5),"NEW CUSTOMERS",AND(F3298&gt;=6,G3298&lt;=2,H3298&gt;=3),"PROMISING",AND(F3298&gt;=3,G3298&gt;=3,H3298&gt;=3),"NEED ATTENTION",AND(F3298&lt;=4,G3298&gt;=6,H3298&gt;=6),"AT RISK",AND(F3298&lt;=2,G3298&gt;=8,H3298&gt;=8),"CAN'T LOSE THEM",AND(F3298&lt;=2,G3298&lt;=2,H3298&lt;=2),"HIBERNATING",TRUE(),"Other")</f>
        <v>Other</v>
      </c>
      <c r="K3298" s="1" t="n">
        <f aca="false">RANK(E3298,$E$7:$E$4378)+COUNTIF($E$7:E3298,E3298)-1</f>
        <v>2772</v>
      </c>
    </row>
    <row r="3299" customFormat="false" ht="14.25" hidden="false" customHeight="true" outlineLevel="0" collapsed="false">
      <c r="A3299" s="51" t="n">
        <v>16796</v>
      </c>
      <c r="B3299" s="53" t="n">
        <v>40797.5840277778</v>
      </c>
      <c r="C3299" s="57" t="n">
        <f aca="false">INT($C$2)-INT(Table3[[#This Row],[Last Purchase Date]])</f>
        <v>90</v>
      </c>
      <c r="D3299" s="1" t="n">
        <v>1</v>
      </c>
      <c r="E3299" s="1" t="n">
        <v>305.62</v>
      </c>
      <c r="F3299" s="1" t="n">
        <f aca="false">ROUND((1-_xlfn.PERCENTRANK.INC($C$7:$C$4378,C3299))*9,0)</f>
        <v>3</v>
      </c>
      <c r="G3299" s="1" t="n">
        <f aca="false">ROUND(_xlfn.PERCENTRANK.INC($D$7:$D$4378,D3299)*9,0)</f>
        <v>0</v>
      </c>
      <c r="H3299" s="1" t="n">
        <f aca="false">ROUND(_xlfn.PERCENTRANK.INC($E$7:$E$4378,E3299)*9,0)</f>
        <v>2</v>
      </c>
      <c r="I3299" s="1" t="str">
        <f aca="false">CONCATENATE(F3299,G3299,H3299)</f>
        <v>302</v>
      </c>
      <c r="J3299" s="1" t="str">
        <f aca="false">_xlfn.IFS(AND(F3299&gt;=8,G3299&gt;=8,H3299&gt;=8),"CHAMPION",AND(F3299&gt;=6,G3299&gt;=7,H3299&gt;=6),"LOYAL CUSTOMER",AND(F3299&gt;=6,G3299&gt;=5,H3299&gt;=5),"POTENTIAL LOYALIST",AND(F3299&gt;=8,G3299&lt;=2,H3299&gt;=5),"NEW CUSTOMERS",AND(F3299&gt;=6,G3299&lt;=2,H3299&gt;=3),"PROMISING",AND(F3299&gt;=3,G3299&gt;=3,H3299&gt;=3),"NEED ATTENTION",AND(F3299&lt;=4,G3299&gt;=6,H3299&gt;=6),"AT RISK",AND(F3299&lt;=2,G3299&gt;=8,H3299&gt;=8),"CAN'T LOSE THEM",AND(F3299&lt;=2,G3299&lt;=2,H3299&lt;=2),"HIBERNATING",TRUE(),"Other")</f>
        <v>Other</v>
      </c>
      <c r="K3299" s="1" t="n">
        <f aca="false">RANK(E3299,$E$7:$E$4378)+COUNTIF($E$7:E3299,E3299)-1</f>
        <v>3223</v>
      </c>
    </row>
    <row r="3300" customFormat="false" ht="14.25" hidden="false" customHeight="true" outlineLevel="0" collapsed="false">
      <c r="A3300" s="51" t="n">
        <v>16800</v>
      </c>
      <c r="B3300" s="53" t="n">
        <v>40875.5875</v>
      </c>
      <c r="C3300" s="57" t="n">
        <f aca="false">INT($C$2)-INT(Table3[[#This Row],[Last Purchase Date]])</f>
        <v>12</v>
      </c>
      <c r="D3300" s="1" t="n">
        <v>1</v>
      </c>
      <c r="E3300" s="1" t="n">
        <v>1201.49</v>
      </c>
      <c r="F3300" s="1" t="n">
        <f aca="false">ROUND((1-_xlfn.PERCENTRANK.INC($C$7:$C$4378,C3300))*9,0)</f>
        <v>7</v>
      </c>
      <c r="G3300" s="1" t="n">
        <f aca="false">ROUND(_xlfn.PERCENTRANK.INC($D$7:$D$4378,D3300)*9,0)</f>
        <v>0</v>
      </c>
      <c r="H3300" s="1" t="n">
        <f aca="false">ROUND(_xlfn.PERCENTRANK.INC($E$7:$E$4378,E3300)*9,0)</f>
        <v>6</v>
      </c>
      <c r="I3300" s="1" t="str">
        <f aca="false">CONCATENATE(F3300,G3300,H3300)</f>
        <v>706</v>
      </c>
      <c r="J3300" s="1" t="str">
        <f aca="false">_xlfn.IFS(AND(F3300&gt;=8,G3300&gt;=8,H3300&gt;=8),"CHAMPION",AND(F3300&gt;=6,G3300&gt;=7,H3300&gt;=6),"LOYAL CUSTOMER",AND(F3300&gt;=6,G3300&gt;=5,H3300&gt;=5),"POTENTIAL LOYALIST",AND(F3300&gt;=8,G3300&lt;=2,H3300&gt;=5),"NEW CUSTOMERS",AND(F3300&gt;=6,G3300&lt;=2,H3300&gt;=3),"PROMISING",AND(F3300&gt;=3,G3300&gt;=3,H3300&gt;=3),"NEED ATTENTION",AND(F3300&lt;=4,G3300&gt;=6,H3300&gt;=6),"AT RISK",AND(F3300&lt;=2,G3300&gt;=8,H3300&gt;=8),"CAN'T LOSE THEM",AND(F3300&lt;=2,G3300&lt;=2,H3300&lt;=2),"HIBERNATING",TRUE(),"Other")</f>
        <v>PROMISING</v>
      </c>
      <c r="K3300" s="1" t="n">
        <f aca="false">RANK(E3300,$E$7:$E$4378)+COUNTIF($E$7:E3300,E3300)-1</f>
        <v>1410</v>
      </c>
    </row>
    <row r="3301" customFormat="false" ht="14.25" hidden="false" customHeight="true" outlineLevel="0" collapsed="false">
      <c r="A3301" s="51" t="n">
        <v>16801</v>
      </c>
      <c r="B3301" s="53" t="n">
        <v>40723.6479166667</v>
      </c>
      <c r="C3301" s="57" t="n">
        <f aca="false">INT($C$2)-INT(Table3[[#This Row],[Last Purchase Date]])</f>
        <v>164</v>
      </c>
      <c r="D3301" s="1" t="n">
        <v>5</v>
      </c>
      <c r="E3301" s="1" t="n">
        <v>867.83</v>
      </c>
      <c r="F3301" s="1" t="n">
        <f aca="false">ROUND((1-_xlfn.PERCENTRANK.INC($C$7:$C$4378,C3301))*9,0)</f>
        <v>2</v>
      </c>
      <c r="G3301" s="1" t="n">
        <f aca="false">ROUND(_xlfn.PERCENTRANK.INC($D$7:$D$4378,D3301)*9,0)</f>
        <v>6</v>
      </c>
      <c r="H3301" s="1" t="n">
        <f aca="false">ROUND(_xlfn.PERCENTRANK.INC($E$7:$E$4378,E3301)*9,0)</f>
        <v>5</v>
      </c>
      <c r="I3301" s="1" t="str">
        <f aca="false">CONCATENATE(F3301,G3301,H3301)</f>
        <v>265</v>
      </c>
      <c r="J3301" s="1" t="str">
        <f aca="false">_xlfn.IFS(AND(F3301&gt;=8,G3301&gt;=8,H3301&gt;=8),"CHAMPION",AND(F3301&gt;=6,G3301&gt;=7,H3301&gt;=6),"LOYAL CUSTOMER",AND(F3301&gt;=6,G3301&gt;=5,H3301&gt;=5),"POTENTIAL LOYALIST",AND(F3301&gt;=8,G3301&lt;=2,H3301&gt;=5),"NEW CUSTOMERS",AND(F3301&gt;=6,G3301&lt;=2,H3301&gt;=3),"PROMISING",AND(F3301&gt;=3,G3301&gt;=3,H3301&gt;=3),"NEED ATTENTION",AND(F3301&lt;=4,G3301&gt;=6,H3301&gt;=6),"AT RISK",AND(F3301&lt;=2,G3301&gt;=8,H3301&gt;=8),"CAN'T LOSE THEM",AND(F3301&lt;=2,G3301&lt;=2,H3301&lt;=2),"HIBERNATING",TRUE(),"Other")</f>
        <v>Other</v>
      </c>
      <c r="K3301" s="1" t="n">
        <f aca="false">RANK(E3301,$E$7:$E$4378)+COUNTIF($E$7:E3301,E3301)-1</f>
        <v>1805</v>
      </c>
    </row>
    <row r="3302" customFormat="false" ht="14.25" hidden="false" customHeight="true" outlineLevel="0" collapsed="false">
      <c r="A3302" s="51" t="n">
        <v>16803</v>
      </c>
      <c r="B3302" s="53" t="n">
        <v>40821.6027777778</v>
      </c>
      <c r="C3302" s="57" t="n">
        <f aca="false">INT($C$2)-INT(Table3[[#This Row],[Last Purchase Date]])</f>
        <v>66</v>
      </c>
      <c r="D3302" s="1" t="n">
        <v>1</v>
      </c>
      <c r="E3302" s="1" t="n">
        <v>332.3</v>
      </c>
      <c r="F3302" s="1" t="n">
        <f aca="false">ROUND((1-_xlfn.PERCENTRANK.INC($C$7:$C$4378,C3302))*9,0)</f>
        <v>4</v>
      </c>
      <c r="G3302" s="1" t="n">
        <f aca="false">ROUND(_xlfn.PERCENTRANK.INC($D$7:$D$4378,D3302)*9,0)</f>
        <v>0</v>
      </c>
      <c r="H3302" s="1" t="n">
        <f aca="false">ROUND(_xlfn.PERCENTRANK.INC($E$7:$E$4378,E3302)*9,0)</f>
        <v>3</v>
      </c>
      <c r="I3302" s="1" t="str">
        <f aca="false">CONCATENATE(F3302,G3302,H3302)</f>
        <v>403</v>
      </c>
      <c r="J3302" s="1" t="str">
        <f aca="false">_xlfn.IFS(AND(F3302&gt;=8,G3302&gt;=8,H3302&gt;=8),"CHAMPION",AND(F3302&gt;=6,G3302&gt;=7,H3302&gt;=6),"LOYAL CUSTOMER",AND(F3302&gt;=6,G3302&gt;=5,H3302&gt;=5),"POTENTIAL LOYALIST",AND(F3302&gt;=8,G3302&lt;=2,H3302&gt;=5),"NEW CUSTOMERS",AND(F3302&gt;=6,G3302&lt;=2,H3302&gt;=3),"PROMISING",AND(F3302&gt;=3,G3302&gt;=3,H3302&gt;=3),"NEED ATTENTION",AND(F3302&lt;=4,G3302&gt;=6,H3302&gt;=6),"AT RISK",AND(F3302&lt;=2,G3302&gt;=8,H3302&gt;=8),"CAN'T LOSE THEM",AND(F3302&lt;=2,G3302&lt;=2,H3302&lt;=2),"HIBERNATING",TRUE(),"Other")</f>
        <v>Other</v>
      </c>
      <c r="K3302" s="1" t="n">
        <f aca="false">RANK(E3302,$E$7:$E$4378)+COUNTIF($E$7:E3302,E3302)-1</f>
        <v>3084</v>
      </c>
    </row>
    <row r="3303" customFormat="false" ht="14.25" hidden="false" customHeight="true" outlineLevel="0" collapsed="false">
      <c r="A3303" s="51" t="n">
        <v>16804</v>
      </c>
      <c r="B3303" s="53" t="n">
        <v>40863.6965277778</v>
      </c>
      <c r="C3303" s="57" t="n">
        <f aca="false">INT($C$2)-INT(Table3[[#This Row],[Last Purchase Date]])</f>
        <v>24</v>
      </c>
      <c r="D3303" s="1" t="n">
        <v>3</v>
      </c>
      <c r="E3303" s="1" t="n">
        <v>536.99</v>
      </c>
      <c r="F3303" s="1" t="n">
        <f aca="false">ROUND((1-_xlfn.PERCENTRANK.INC($C$7:$C$4378,C3303))*9,0)</f>
        <v>6</v>
      </c>
      <c r="G3303" s="1" t="n">
        <f aca="false">ROUND(_xlfn.PERCENTRANK.INC($D$7:$D$4378,D3303)*9,0)</f>
        <v>4</v>
      </c>
      <c r="H3303" s="1" t="n">
        <f aca="false">ROUND(_xlfn.PERCENTRANK.INC($E$7:$E$4378,E3303)*9,0)</f>
        <v>4</v>
      </c>
      <c r="I3303" s="1" t="str">
        <f aca="false">CONCATENATE(F3303,G3303,H3303)</f>
        <v>644</v>
      </c>
      <c r="J3303" s="1" t="str">
        <f aca="false">_xlfn.IFS(AND(F3303&gt;=8,G3303&gt;=8,H3303&gt;=8),"CHAMPION",AND(F3303&gt;=6,G3303&gt;=7,H3303&gt;=6),"LOYAL CUSTOMER",AND(F3303&gt;=6,G3303&gt;=5,H3303&gt;=5),"POTENTIAL LOYALIST",AND(F3303&gt;=8,G3303&lt;=2,H3303&gt;=5),"NEW CUSTOMERS",AND(F3303&gt;=6,G3303&lt;=2,H3303&gt;=3),"PROMISING",AND(F3303&gt;=3,G3303&gt;=3,H3303&gt;=3),"NEED ATTENTION",AND(F3303&lt;=4,G3303&gt;=6,H3303&gt;=6),"AT RISK",AND(F3303&lt;=2,G3303&gt;=8,H3303&gt;=8),"CAN'T LOSE THEM",AND(F3303&lt;=2,G3303&lt;=2,H3303&lt;=2),"HIBERNATING",TRUE(),"Other")</f>
        <v>NEED ATTENTION</v>
      </c>
      <c r="K3303" s="1" t="n">
        <f aca="false">RANK(E3303,$E$7:$E$4378)+COUNTIF($E$7:E3303,E3303)-1</f>
        <v>2466</v>
      </c>
    </row>
    <row r="3304" customFormat="false" ht="14.25" hidden="false" customHeight="true" outlineLevel="0" collapsed="false">
      <c r="A3304" s="51" t="n">
        <v>16805</v>
      </c>
      <c r="B3304" s="53" t="n">
        <v>40713.4743055556</v>
      </c>
      <c r="C3304" s="57" t="n">
        <f aca="false">INT($C$2)-INT(Table3[[#This Row],[Last Purchase Date]])</f>
        <v>174</v>
      </c>
      <c r="D3304" s="1" t="n">
        <v>2</v>
      </c>
      <c r="E3304" s="1" t="n">
        <v>460.59</v>
      </c>
      <c r="F3304" s="1" t="n">
        <f aca="false">ROUND((1-_xlfn.PERCENTRANK.INC($C$7:$C$4378,C3304))*9,0)</f>
        <v>2</v>
      </c>
      <c r="G3304" s="1" t="n">
        <f aca="false">ROUND(_xlfn.PERCENTRANK.INC($D$7:$D$4378,D3304)*9,0)</f>
        <v>3</v>
      </c>
      <c r="H3304" s="1" t="n">
        <f aca="false">ROUND(_xlfn.PERCENTRANK.INC($E$7:$E$4378,E3304)*9,0)</f>
        <v>4</v>
      </c>
      <c r="I3304" s="1" t="str">
        <f aca="false">CONCATENATE(F3304,G3304,H3304)</f>
        <v>234</v>
      </c>
      <c r="J3304" s="1" t="str">
        <f aca="false">_xlfn.IFS(AND(F3304&gt;=8,G3304&gt;=8,H3304&gt;=8),"CHAMPION",AND(F3304&gt;=6,G3304&gt;=7,H3304&gt;=6),"LOYAL CUSTOMER",AND(F3304&gt;=6,G3304&gt;=5,H3304&gt;=5),"POTENTIAL LOYALIST",AND(F3304&gt;=8,G3304&lt;=2,H3304&gt;=5),"NEW CUSTOMERS",AND(F3304&gt;=6,G3304&lt;=2,H3304&gt;=3),"PROMISING",AND(F3304&gt;=3,G3304&gt;=3,H3304&gt;=3),"NEED ATTENTION",AND(F3304&lt;=4,G3304&gt;=6,H3304&gt;=6),"AT RISK",AND(F3304&lt;=2,G3304&gt;=8,H3304&gt;=8),"CAN'T LOSE THEM",AND(F3304&lt;=2,G3304&lt;=2,H3304&lt;=2),"HIBERNATING",TRUE(),"Other")</f>
        <v>Other</v>
      </c>
      <c r="K3304" s="1" t="n">
        <f aca="false">RANK(E3304,$E$7:$E$4378)+COUNTIF($E$7:E3304,E3304)-1</f>
        <v>2638</v>
      </c>
    </row>
    <row r="3305" customFormat="false" ht="14.25" hidden="false" customHeight="true" outlineLevel="0" collapsed="false">
      <c r="A3305" s="51" t="n">
        <v>16806</v>
      </c>
      <c r="B3305" s="53" t="n">
        <v>40783.64375</v>
      </c>
      <c r="C3305" s="57" t="n">
        <f aca="false">INT($C$2)-INT(Table3[[#This Row],[Last Purchase Date]])</f>
        <v>104</v>
      </c>
      <c r="D3305" s="1" t="n">
        <v>4</v>
      </c>
      <c r="E3305" s="1" t="n">
        <v>801.49</v>
      </c>
      <c r="F3305" s="1" t="n">
        <f aca="false">ROUND((1-_xlfn.PERCENTRANK.INC($C$7:$C$4378,C3305))*9,0)</f>
        <v>3</v>
      </c>
      <c r="G3305" s="1" t="n">
        <f aca="false">ROUND(_xlfn.PERCENTRANK.INC($D$7:$D$4378,D3305)*9,0)</f>
        <v>5</v>
      </c>
      <c r="H3305" s="1" t="n">
        <f aca="false">ROUND(_xlfn.PERCENTRANK.INC($E$7:$E$4378,E3305)*9,0)</f>
        <v>5</v>
      </c>
      <c r="I3305" s="1" t="str">
        <f aca="false">CONCATENATE(F3305,G3305,H3305)</f>
        <v>355</v>
      </c>
      <c r="J3305" s="1" t="str">
        <f aca="false">_xlfn.IFS(AND(F3305&gt;=8,G3305&gt;=8,H3305&gt;=8),"CHAMPION",AND(F3305&gt;=6,G3305&gt;=7,H3305&gt;=6),"LOYAL CUSTOMER",AND(F3305&gt;=6,G3305&gt;=5,H3305&gt;=5),"POTENTIAL LOYALIST",AND(F3305&gt;=8,G3305&lt;=2,H3305&gt;=5),"NEW CUSTOMERS",AND(F3305&gt;=6,G3305&lt;=2,H3305&gt;=3),"PROMISING",AND(F3305&gt;=3,G3305&gt;=3,H3305&gt;=3),"NEED ATTENTION",AND(F3305&lt;=4,G3305&gt;=6,H3305&gt;=6),"AT RISK",AND(F3305&lt;=2,G3305&gt;=8,H3305&gt;=8),"CAN'T LOSE THEM",AND(F3305&lt;=2,G3305&lt;=2,H3305&lt;=2),"HIBERNATING",TRUE(),"Other")</f>
        <v>NEED ATTENTION</v>
      </c>
      <c r="K3305" s="1" t="n">
        <f aca="false">RANK(E3305,$E$7:$E$4378)+COUNTIF($E$7:E3305,E3305)-1</f>
        <v>1898</v>
      </c>
    </row>
    <row r="3306" customFormat="false" ht="14.25" hidden="false" customHeight="true" outlineLevel="0" collapsed="false">
      <c r="A3306" s="51" t="n">
        <v>16807</v>
      </c>
      <c r="B3306" s="53" t="n">
        <v>40744.5</v>
      </c>
      <c r="C3306" s="57" t="n">
        <f aca="false">INT($C$2)-INT(Table3[[#This Row],[Last Purchase Date]])</f>
        <v>143</v>
      </c>
      <c r="D3306" s="1" t="n">
        <v>3</v>
      </c>
      <c r="E3306" s="1" t="n">
        <v>1121.59</v>
      </c>
      <c r="F3306" s="1" t="n">
        <f aca="false">ROUND((1-_xlfn.PERCENTRANK.INC($C$7:$C$4378,C3306))*9,0)</f>
        <v>2</v>
      </c>
      <c r="G3306" s="1" t="n">
        <f aca="false">ROUND(_xlfn.PERCENTRANK.INC($D$7:$D$4378,D3306)*9,0)</f>
        <v>4</v>
      </c>
      <c r="H3306" s="1" t="n">
        <f aca="false">ROUND(_xlfn.PERCENTRANK.INC($E$7:$E$4378,E3306)*9,0)</f>
        <v>6</v>
      </c>
      <c r="I3306" s="1" t="str">
        <f aca="false">CONCATENATE(F3306,G3306,H3306)</f>
        <v>246</v>
      </c>
      <c r="J3306" s="1" t="str">
        <f aca="false">_xlfn.IFS(AND(F3306&gt;=8,G3306&gt;=8,H3306&gt;=8),"CHAMPION",AND(F3306&gt;=6,G3306&gt;=7,H3306&gt;=6),"LOYAL CUSTOMER",AND(F3306&gt;=6,G3306&gt;=5,H3306&gt;=5),"POTENTIAL LOYALIST",AND(F3306&gt;=8,G3306&lt;=2,H3306&gt;=5),"NEW CUSTOMERS",AND(F3306&gt;=6,G3306&lt;=2,H3306&gt;=3),"PROMISING",AND(F3306&gt;=3,G3306&gt;=3,H3306&gt;=3),"NEED ATTENTION",AND(F3306&lt;=4,G3306&gt;=6,H3306&gt;=6),"AT RISK",AND(F3306&lt;=2,G3306&gt;=8,H3306&gt;=8),"CAN'T LOSE THEM",AND(F3306&lt;=2,G3306&lt;=2,H3306&lt;=2),"HIBERNATING",TRUE(),"Other")</f>
        <v>Other</v>
      </c>
      <c r="K3306" s="1" t="n">
        <f aca="false">RANK(E3306,$E$7:$E$4378)+COUNTIF($E$7:E3306,E3306)-1</f>
        <v>1484</v>
      </c>
    </row>
    <row r="3307" customFormat="false" ht="14.25" hidden="false" customHeight="true" outlineLevel="0" collapsed="false">
      <c r="A3307" s="51" t="n">
        <v>16808</v>
      </c>
      <c r="B3307" s="53" t="n">
        <v>40787.8152777778</v>
      </c>
      <c r="C3307" s="57" t="n">
        <f aca="false">INT($C$2)-INT(Table3[[#This Row],[Last Purchase Date]])</f>
        <v>100</v>
      </c>
      <c r="D3307" s="1" t="n">
        <v>2</v>
      </c>
      <c r="E3307" s="1" t="n">
        <v>288.42</v>
      </c>
      <c r="F3307" s="1" t="n">
        <f aca="false">ROUND((1-_xlfn.PERCENTRANK.INC($C$7:$C$4378,C3307))*9,0)</f>
        <v>3</v>
      </c>
      <c r="G3307" s="1" t="n">
        <f aca="false">ROUND(_xlfn.PERCENTRANK.INC($D$7:$D$4378,D3307)*9,0)</f>
        <v>3</v>
      </c>
      <c r="H3307" s="1" t="n">
        <f aca="false">ROUND(_xlfn.PERCENTRANK.INC($E$7:$E$4378,E3307)*9,0)</f>
        <v>2</v>
      </c>
      <c r="I3307" s="1" t="str">
        <f aca="false">CONCATENATE(F3307,G3307,H3307)</f>
        <v>332</v>
      </c>
      <c r="J3307" s="1" t="str">
        <f aca="false">_xlfn.IFS(AND(F3307&gt;=8,G3307&gt;=8,H3307&gt;=8),"CHAMPION",AND(F3307&gt;=6,G3307&gt;=7,H3307&gt;=6),"LOYAL CUSTOMER",AND(F3307&gt;=6,G3307&gt;=5,H3307&gt;=5),"POTENTIAL LOYALIST",AND(F3307&gt;=8,G3307&lt;=2,H3307&gt;=5),"NEW CUSTOMERS",AND(F3307&gt;=6,G3307&lt;=2,H3307&gt;=3),"PROMISING",AND(F3307&gt;=3,G3307&gt;=3,H3307&gt;=3),"NEED ATTENTION",AND(F3307&lt;=4,G3307&gt;=6,H3307&gt;=6),"AT RISK",AND(F3307&lt;=2,G3307&gt;=8,H3307&gt;=8),"CAN'T LOSE THEM",AND(F3307&lt;=2,G3307&lt;=2,H3307&lt;=2),"HIBERNATING",TRUE(),"Other")</f>
        <v>Other</v>
      </c>
      <c r="K3307" s="1" t="n">
        <f aca="false">RANK(E3307,$E$7:$E$4378)+COUNTIF($E$7:E3307,E3307)-1</f>
        <v>3303</v>
      </c>
    </row>
    <row r="3308" customFormat="false" ht="14.25" hidden="false" customHeight="true" outlineLevel="0" collapsed="false">
      <c r="A3308" s="51" t="n">
        <v>16809</v>
      </c>
      <c r="B3308" s="53" t="n">
        <v>40863.65625</v>
      </c>
      <c r="C3308" s="57" t="n">
        <f aca="false">INT($C$2)-INT(Table3[[#This Row],[Last Purchase Date]])</f>
        <v>24</v>
      </c>
      <c r="D3308" s="1" t="n">
        <v>6</v>
      </c>
      <c r="E3308" s="1" t="n">
        <v>912.74</v>
      </c>
      <c r="F3308" s="1" t="n">
        <f aca="false">ROUND((1-_xlfn.PERCENTRANK.INC($C$7:$C$4378,C3308))*9,0)</f>
        <v>6</v>
      </c>
      <c r="G3308" s="1" t="n">
        <f aca="false">ROUND(_xlfn.PERCENTRANK.INC($D$7:$D$4378,D3308)*9,0)</f>
        <v>7</v>
      </c>
      <c r="H3308" s="1" t="n">
        <f aca="false">ROUND(_xlfn.PERCENTRANK.INC($E$7:$E$4378,E3308)*9,0)</f>
        <v>5</v>
      </c>
      <c r="I3308" s="1" t="str">
        <f aca="false">CONCATENATE(F3308,G3308,H3308)</f>
        <v>675</v>
      </c>
      <c r="J3308" s="1" t="str">
        <f aca="false">_xlfn.IFS(AND(F3308&gt;=8,G3308&gt;=8,H3308&gt;=8),"CHAMPION",AND(F3308&gt;=6,G3308&gt;=7,H3308&gt;=6),"LOYAL CUSTOMER",AND(F3308&gt;=6,G3308&gt;=5,H3308&gt;=5),"POTENTIAL LOYALIST",AND(F3308&gt;=8,G3308&lt;=2,H3308&gt;=5),"NEW CUSTOMERS",AND(F3308&gt;=6,G3308&lt;=2,H3308&gt;=3),"PROMISING",AND(F3308&gt;=3,G3308&gt;=3,H3308&gt;=3),"NEED ATTENTION",AND(F3308&lt;=4,G3308&gt;=6,H3308&gt;=6),"AT RISK",AND(F3308&lt;=2,G3308&gt;=8,H3308&gt;=8),"CAN'T LOSE THEM",AND(F3308&lt;=2,G3308&lt;=2,H3308&lt;=2),"HIBERNATING",TRUE(),"Other")</f>
        <v>POTENTIAL LOYALIST</v>
      </c>
      <c r="K3308" s="1" t="n">
        <f aca="false">RANK(E3308,$E$7:$E$4378)+COUNTIF($E$7:E3308,E3308)-1</f>
        <v>1740</v>
      </c>
    </row>
    <row r="3309" customFormat="false" ht="14.25" hidden="false" customHeight="true" outlineLevel="0" collapsed="false">
      <c r="A3309" s="51" t="n">
        <v>16810</v>
      </c>
      <c r="B3309" s="53" t="n">
        <v>40694.6472222222</v>
      </c>
      <c r="C3309" s="57" t="n">
        <f aca="false">INT($C$2)-INT(Table3[[#This Row],[Last Purchase Date]])</f>
        <v>193</v>
      </c>
      <c r="D3309" s="1" t="n">
        <v>2</v>
      </c>
      <c r="E3309" s="1" t="n">
        <v>275.64</v>
      </c>
      <c r="F3309" s="1" t="n">
        <f aca="false">ROUND((1-_xlfn.PERCENTRANK.INC($C$7:$C$4378,C3309))*9,0)</f>
        <v>2</v>
      </c>
      <c r="G3309" s="1" t="n">
        <f aca="false">ROUND(_xlfn.PERCENTRANK.INC($D$7:$D$4378,D3309)*9,0)</f>
        <v>3</v>
      </c>
      <c r="H3309" s="1" t="n">
        <f aca="false">ROUND(_xlfn.PERCENTRANK.INC($E$7:$E$4378,E3309)*9,0)</f>
        <v>2</v>
      </c>
      <c r="I3309" s="1" t="str">
        <f aca="false">CONCATENATE(F3309,G3309,H3309)</f>
        <v>232</v>
      </c>
      <c r="J3309" s="1" t="str">
        <f aca="false">_xlfn.IFS(AND(F3309&gt;=8,G3309&gt;=8,H3309&gt;=8),"CHAMPION",AND(F3309&gt;=6,G3309&gt;=7,H3309&gt;=6),"LOYAL CUSTOMER",AND(F3309&gt;=6,G3309&gt;=5,H3309&gt;=5),"POTENTIAL LOYALIST",AND(F3309&gt;=8,G3309&lt;=2,H3309&gt;=5),"NEW CUSTOMERS",AND(F3309&gt;=6,G3309&lt;=2,H3309&gt;=3),"PROMISING",AND(F3309&gt;=3,G3309&gt;=3,H3309&gt;=3),"NEED ATTENTION",AND(F3309&lt;=4,G3309&gt;=6,H3309&gt;=6),"AT RISK",AND(F3309&lt;=2,G3309&gt;=8,H3309&gt;=8),"CAN'T LOSE THEM",AND(F3309&lt;=2,G3309&lt;=2,H3309&lt;=2),"HIBERNATING",TRUE(),"Other")</f>
        <v>Other</v>
      </c>
      <c r="K3309" s="1" t="n">
        <f aca="false">RANK(E3309,$E$7:$E$4378)+COUNTIF($E$7:E3309,E3309)-1</f>
        <v>3342</v>
      </c>
    </row>
    <row r="3310" customFormat="false" ht="14.25" hidden="false" customHeight="true" outlineLevel="0" collapsed="false">
      <c r="A3310" s="51" t="n">
        <v>16811</v>
      </c>
      <c r="B3310" s="53" t="n">
        <v>40882.4854166667</v>
      </c>
      <c r="C3310" s="57" t="n">
        <f aca="false">INT($C$2)-INT(Table3[[#This Row],[Last Purchase Date]])</f>
        <v>5</v>
      </c>
      <c r="D3310" s="1" t="n">
        <v>2</v>
      </c>
      <c r="E3310" s="1" t="n">
        <v>547.07</v>
      </c>
      <c r="F3310" s="1" t="n">
        <f aca="false">ROUND((1-_xlfn.PERCENTRANK.INC($C$7:$C$4378,C3310))*9,0)</f>
        <v>8</v>
      </c>
      <c r="G3310" s="1" t="n">
        <f aca="false">ROUND(_xlfn.PERCENTRANK.INC($D$7:$D$4378,D3310)*9,0)</f>
        <v>3</v>
      </c>
      <c r="H3310" s="1" t="n">
        <f aca="false">ROUND(_xlfn.PERCENTRANK.INC($E$7:$E$4378,E3310)*9,0)</f>
        <v>4</v>
      </c>
      <c r="I3310" s="1" t="str">
        <f aca="false">CONCATENATE(F3310,G3310,H3310)</f>
        <v>834</v>
      </c>
      <c r="J3310" s="1" t="str">
        <f aca="false">_xlfn.IFS(AND(F3310&gt;=8,G3310&gt;=8,H3310&gt;=8),"CHAMPION",AND(F3310&gt;=6,G3310&gt;=7,H3310&gt;=6),"LOYAL CUSTOMER",AND(F3310&gt;=6,G3310&gt;=5,H3310&gt;=5),"POTENTIAL LOYALIST",AND(F3310&gt;=8,G3310&lt;=2,H3310&gt;=5),"NEW CUSTOMERS",AND(F3310&gt;=6,G3310&lt;=2,H3310&gt;=3),"PROMISING",AND(F3310&gt;=3,G3310&gt;=3,H3310&gt;=3),"NEED ATTENTION",AND(F3310&lt;=4,G3310&gt;=6,H3310&gt;=6),"AT RISK",AND(F3310&lt;=2,G3310&gt;=8,H3310&gt;=8),"CAN'T LOSE THEM",AND(F3310&lt;=2,G3310&lt;=2,H3310&lt;=2),"HIBERNATING",TRUE(),"Other")</f>
        <v>NEED ATTENTION</v>
      </c>
      <c r="K3310" s="1" t="n">
        <f aca="false">RANK(E3310,$E$7:$E$4378)+COUNTIF($E$7:E3310,E3310)-1</f>
        <v>2435</v>
      </c>
    </row>
    <row r="3311" customFormat="false" ht="14.25" hidden="false" customHeight="true" outlineLevel="0" collapsed="false">
      <c r="A3311" s="51" t="n">
        <v>16812</v>
      </c>
      <c r="B3311" s="53" t="n">
        <v>40526.5243055556</v>
      </c>
      <c r="C3311" s="57" t="n">
        <f aca="false">INT($C$2)-INT(Table3[[#This Row],[Last Purchase Date]])</f>
        <v>361</v>
      </c>
      <c r="D3311" s="1" t="n">
        <v>1</v>
      </c>
      <c r="E3311" s="1" t="n">
        <v>479.35</v>
      </c>
      <c r="F3311" s="1" t="n">
        <f aca="false">ROUND((1-_xlfn.PERCENTRANK.INC($C$7:$C$4378,C3311))*9,0)</f>
        <v>0</v>
      </c>
      <c r="G3311" s="1" t="n">
        <f aca="false">ROUND(_xlfn.PERCENTRANK.INC($D$7:$D$4378,D3311)*9,0)</f>
        <v>0</v>
      </c>
      <c r="H3311" s="1" t="n">
        <f aca="false">ROUND(_xlfn.PERCENTRANK.INC($E$7:$E$4378,E3311)*9,0)</f>
        <v>4</v>
      </c>
      <c r="I3311" s="1" t="str">
        <f aca="false">CONCATENATE(F3311,G3311,H3311)</f>
        <v>004</v>
      </c>
      <c r="J3311" s="1" t="str">
        <f aca="false">_xlfn.IFS(AND(F3311&gt;=8,G3311&gt;=8,H3311&gt;=8),"CHAMPION",AND(F3311&gt;=6,G3311&gt;=7,H3311&gt;=6),"LOYAL CUSTOMER",AND(F3311&gt;=6,G3311&gt;=5,H3311&gt;=5),"POTENTIAL LOYALIST",AND(F3311&gt;=8,G3311&lt;=2,H3311&gt;=5),"NEW CUSTOMERS",AND(F3311&gt;=6,G3311&lt;=2,H3311&gt;=3),"PROMISING",AND(F3311&gt;=3,G3311&gt;=3,H3311&gt;=3),"NEED ATTENTION",AND(F3311&lt;=4,G3311&gt;=6,H3311&gt;=6),"AT RISK",AND(F3311&lt;=2,G3311&gt;=8,H3311&gt;=8),"CAN'T LOSE THEM",AND(F3311&lt;=2,G3311&lt;=2,H3311&lt;=2),"HIBERNATING",TRUE(),"Other")</f>
        <v>Other</v>
      </c>
      <c r="K3311" s="1" t="n">
        <f aca="false">RANK(E3311,$E$7:$E$4378)+COUNTIF($E$7:E3311,E3311)-1</f>
        <v>2596</v>
      </c>
    </row>
    <row r="3312" customFormat="false" ht="14.25" hidden="false" customHeight="true" outlineLevel="0" collapsed="false">
      <c r="A3312" s="51" t="n">
        <v>16813</v>
      </c>
      <c r="B3312" s="53" t="n">
        <v>40878.5854166667</v>
      </c>
      <c r="C3312" s="57" t="n">
        <f aca="false">INT($C$2)-INT(Table3[[#This Row],[Last Purchase Date]])</f>
        <v>9</v>
      </c>
      <c r="D3312" s="1" t="n">
        <v>10</v>
      </c>
      <c r="E3312" s="1" t="n">
        <v>1692.98</v>
      </c>
      <c r="F3312" s="1" t="n">
        <f aca="false">ROUND((1-_xlfn.PERCENTRANK.INC($C$7:$C$4378,C3312))*9,0)</f>
        <v>8</v>
      </c>
      <c r="G3312" s="1" t="n">
        <f aca="false">ROUND(_xlfn.PERCENTRANK.INC($D$7:$D$4378,D3312)*9,0)</f>
        <v>8</v>
      </c>
      <c r="H3312" s="1" t="n">
        <f aca="false">ROUND(_xlfn.PERCENTRANK.INC($E$7:$E$4378,E3312)*9,0)</f>
        <v>7</v>
      </c>
      <c r="I3312" s="1" t="str">
        <f aca="false">CONCATENATE(F3312,G3312,H3312)</f>
        <v>887</v>
      </c>
      <c r="J3312" s="1" t="str">
        <f aca="false">_xlfn.IFS(AND(F3312&gt;=8,G3312&gt;=8,H3312&gt;=8),"CHAMPION",AND(F3312&gt;=6,G3312&gt;=7,H3312&gt;=6),"LOYAL CUSTOMER",AND(F3312&gt;=6,G3312&gt;=5,H3312&gt;=5),"POTENTIAL LOYALIST",AND(F3312&gt;=8,G3312&lt;=2,H3312&gt;=5),"NEW CUSTOMERS",AND(F3312&gt;=6,G3312&lt;=2,H3312&gt;=3),"PROMISING",AND(F3312&gt;=3,G3312&gt;=3,H3312&gt;=3),"NEED ATTENTION",AND(F3312&lt;=4,G3312&gt;=6,H3312&gt;=6),"AT RISK",AND(F3312&lt;=2,G3312&gt;=8,H3312&gt;=8),"CAN'T LOSE THEM",AND(F3312&lt;=2,G3312&lt;=2,H3312&lt;=2),"HIBERNATING",TRUE(),"Other")</f>
        <v>LOYAL CUSTOMER</v>
      </c>
      <c r="K3312" s="1" t="n">
        <f aca="false">RANK(E3312,$E$7:$E$4378)+COUNTIF($E$7:E3312,E3312)-1</f>
        <v>1042</v>
      </c>
    </row>
    <row r="3313" customFormat="false" ht="14.25" hidden="false" customHeight="true" outlineLevel="0" collapsed="false">
      <c r="A3313" s="51" t="n">
        <v>16814</v>
      </c>
      <c r="B3313" s="53" t="n">
        <v>40872.5604166667</v>
      </c>
      <c r="C3313" s="57" t="n">
        <f aca="false">INT($C$2)-INT(Table3[[#This Row],[Last Purchase Date]])</f>
        <v>15</v>
      </c>
      <c r="D3313" s="1" t="n">
        <v>22</v>
      </c>
      <c r="E3313" s="1" t="n">
        <v>6500.6</v>
      </c>
      <c r="F3313" s="1" t="n">
        <f aca="false">ROUND((1-_xlfn.PERCENTRANK.INC($C$7:$C$4378,C3313))*9,0)</f>
        <v>7</v>
      </c>
      <c r="G3313" s="1" t="n">
        <f aca="false">ROUND(_xlfn.PERCENTRANK.INC($D$7:$D$4378,D3313)*9,0)</f>
        <v>9</v>
      </c>
      <c r="H3313" s="1" t="n">
        <f aca="false">ROUND(_xlfn.PERCENTRANK.INC($E$7:$E$4378,E3313)*9,0)</f>
        <v>9</v>
      </c>
      <c r="I3313" s="1" t="str">
        <f aca="false">CONCATENATE(F3313,G3313,H3313)</f>
        <v>799</v>
      </c>
      <c r="J3313" s="1" t="str">
        <f aca="false">_xlfn.IFS(AND(F3313&gt;=8,G3313&gt;=8,H3313&gt;=8),"CHAMPION",AND(F3313&gt;=6,G3313&gt;=7,H3313&gt;=6),"LOYAL CUSTOMER",AND(F3313&gt;=6,G3313&gt;=5,H3313&gt;=5),"POTENTIAL LOYALIST",AND(F3313&gt;=8,G3313&lt;=2,H3313&gt;=5),"NEW CUSTOMERS",AND(F3313&gt;=6,G3313&lt;=2,H3313&gt;=3),"PROMISING",AND(F3313&gt;=3,G3313&gt;=3,H3313&gt;=3),"NEED ATTENTION",AND(F3313&lt;=4,G3313&gt;=6,H3313&gt;=6),"AT RISK",AND(F3313&lt;=2,G3313&gt;=8,H3313&gt;=8),"CAN'T LOSE THEM",AND(F3313&lt;=2,G3313&lt;=2,H3313&lt;=2),"HIBERNATING",TRUE(),"Other")</f>
        <v>LOYAL CUSTOMER</v>
      </c>
      <c r="K3313" s="1" t="n">
        <f aca="false">RANK(E3313,$E$7:$E$4378)+COUNTIF($E$7:E3313,E3313)-1</f>
        <v>180</v>
      </c>
    </row>
    <row r="3314" customFormat="false" ht="14.25" hidden="false" customHeight="true" outlineLevel="0" collapsed="false">
      <c r="A3314" s="51" t="n">
        <v>16816</v>
      </c>
      <c r="B3314" s="53" t="n">
        <v>40783.5944444445</v>
      </c>
      <c r="C3314" s="57" t="n">
        <f aca="false">INT($C$2)-INT(Table3[[#This Row],[Last Purchase Date]])</f>
        <v>104</v>
      </c>
      <c r="D3314" s="1" t="n">
        <v>4</v>
      </c>
      <c r="E3314" s="1" t="n">
        <v>417.06</v>
      </c>
      <c r="F3314" s="1" t="n">
        <f aca="false">ROUND((1-_xlfn.PERCENTRANK.INC($C$7:$C$4378,C3314))*9,0)</f>
        <v>3</v>
      </c>
      <c r="G3314" s="1" t="n">
        <f aca="false">ROUND(_xlfn.PERCENTRANK.INC($D$7:$D$4378,D3314)*9,0)</f>
        <v>5</v>
      </c>
      <c r="H3314" s="1" t="n">
        <f aca="false">ROUND(_xlfn.PERCENTRANK.INC($E$7:$E$4378,E3314)*9,0)</f>
        <v>3</v>
      </c>
      <c r="I3314" s="1" t="str">
        <f aca="false">CONCATENATE(F3314,G3314,H3314)</f>
        <v>353</v>
      </c>
      <c r="J3314" s="1" t="str">
        <f aca="false">_xlfn.IFS(AND(F3314&gt;=8,G3314&gt;=8,H3314&gt;=8),"CHAMPION",AND(F3314&gt;=6,G3314&gt;=7,H3314&gt;=6),"LOYAL CUSTOMER",AND(F3314&gt;=6,G3314&gt;=5,H3314&gt;=5),"POTENTIAL LOYALIST",AND(F3314&gt;=8,G3314&lt;=2,H3314&gt;=5),"NEW CUSTOMERS",AND(F3314&gt;=6,G3314&lt;=2,H3314&gt;=3),"PROMISING",AND(F3314&gt;=3,G3314&gt;=3,H3314&gt;=3),"NEED ATTENTION",AND(F3314&lt;=4,G3314&gt;=6,H3314&gt;=6),"AT RISK",AND(F3314&lt;=2,G3314&gt;=8,H3314&gt;=8),"CAN'T LOSE THEM",AND(F3314&lt;=2,G3314&lt;=2,H3314&lt;=2),"HIBERNATING",TRUE(),"Other")</f>
        <v>NEED ATTENTION</v>
      </c>
      <c r="K3314" s="1" t="n">
        <f aca="false">RANK(E3314,$E$7:$E$4378)+COUNTIF($E$7:E3314,E3314)-1</f>
        <v>2763</v>
      </c>
    </row>
    <row r="3315" customFormat="false" ht="14.25" hidden="false" customHeight="true" outlineLevel="0" collapsed="false">
      <c r="A3315" s="51" t="n">
        <v>16817</v>
      </c>
      <c r="B3315" s="53" t="n">
        <v>40884.4604166667</v>
      </c>
      <c r="C3315" s="57" t="n">
        <f aca="false">INT($C$2)-INT(Table3[[#This Row],[Last Purchase Date]])</f>
        <v>3</v>
      </c>
      <c r="D3315" s="1" t="n">
        <v>13</v>
      </c>
      <c r="E3315" s="1" t="n">
        <v>1446.95</v>
      </c>
      <c r="F3315" s="1" t="n">
        <f aca="false">ROUND((1-_xlfn.PERCENTRANK.INC($C$7:$C$4378,C3315))*9,0)</f>
        <v>9</v>
      </c>
      <c r="G3315" s="1" t="n">
        <f aca="false">ROUND(_xlfn.PERCENTRANK.INC($D$7:$D$4378,D3315)*9,0)</f>
        <v>8</v>
      </c>
      <c r="H3315" s="1" t="n">
        <f aca="false">ROUND(_xlfn.PERCENTRANK.INC($E$7:$E$4378,E3315)*9,0)</f>
        <v>7</v>
      </c>
      <c r="I3315" s="1" t="str">
        <f aca="false">CONCATENATE(F3315,G3315,H3315)</f>
        <v>987</v>
      </c>
      <c r="J3315" s="1" t="str">
        <f aca="false">_xlfn.IFS(AND(F3315&gt;=8,G3315&gt;=8,H3315&gt;=8),"CHAMPION",AND(F3315&gt;=6,G3315&gt;=7,H3315&gt;=6),"LOYAL CUSTOMER",AND(F3315&gt;=6,G3315&gt;=5,H3315&gt;=5),"POTENTIAL LOYALIST",AND(F3315&gt;=8,G3315&lt;=2,H3315&gt;=5),"NEW CUSTOMERS",AND(F3315&gt;=6,G3315&lt;=2,H3315&gt;=3),"PROMISING",AND(F3315&gt;=3,G3315&gt;=3,H3315&gt;=3),"NEED ATTENTION",AND(F3315&lt;=4,G3315&gt;=6,H3315&gt;=6),"AT RISK",AND(F3315&lt;=2,G3315&gt;=8,H3315&gt;=8),"CAN'T LOSE THEM",AND(F3315&lt;=2,G3315&lt;=2,H3315&lt;=2),"HIBERNATING",TRUE(),"Other")</f>
        <v>LOYAL CUSTOMER</v>
      </c>
      <c r="K3315" s="1" t="n">
        <f aca="false">RANK(E3315,$E$7:$E$4378)+COUNTIF($E$7:E3315,E3315)-1</f>
        <v>1201</v>
      </c>
    </row>
    <row r="3316" customFormat="false" ht="14.25" hidden="false" customHeight="true" outlineLevel="0" collapsed="false">
      <c r="A3316" s="51" t="n">
        <v>16818</v>
      </c>
      <c r="B3316" s="53" t="n">
        <v>40876.4451388889</v>
      </c>
      <c r="C3316" s="57" t="n">
        <f aca="false">INT($C$2)-INT(Table3[[#This Row],[Last Purchase Date]])</f>
        <v>11</v>
      </c>
      <c r="D3316" s="1" t="n">
        <v>13</v>
      </c>
      <c r="E3316" s="1" t="n">
        <v>3317.97</v>
      </c>
      <c r="F3316" s="1" t="n">
        <f aca="false">ROUND((1-_xlfn.PERCENTRANK.INC($C$7:$C$4378,C3316))*9,0)</f>
        <v>7</v>
      </c>
      <c r="G3316" s="1" t="n">
        <f aca="false">ROUND(_xlfn.PERCENTRANK.INC($D$7:$D$4378,D3316)*9,0)</f>
        <v>8</v>
      </c>
      <c r="H3316" s="1" t="n">
        <f aca="false">ROUND(_xlfn.PERCENTRANK.INC($E$7:$E$4378,E3316)*9,0)</f>
        <v>8</v>
      </c>
      <c r="I3316" s="1" t="str">
        <f aca="false">CONCATENATE(F3316,G3316,H3316)</f>
        <v>788</v>
      </c>
      <c r="J3316" s="1" t="str">
        <f aca="false">_xlfn.IFS(AND(F3316&gt;=8,G3316&gt;=8,H3316&gt;=8),"CHAMPION",AND(F3316&gt;=6,G3316&gt;=7,H3316&gt;=6),"LOYAL CUSTOMER",AND(F3316&gt;=6,G3316&gt;=5,H3316&gt;=5),"POTENTIAL LOYALIST",AND(F3316&gt;=8,G3316&lt;=2,H3316&gt;=5),"NEW CUSTOMERS",AND(F3316&gt;=6,G3316&lt;=2,H3316&gt;=3),"PROMISING",AND(F3316&gt;=3,G3316&gt;=3,H3316&gt;=3),"NEED ATTENTION",AND(F3316&lt;=4,G3316&gt;=6,H3316&gt;=6),"AT RISK",AND(F3316&lt;=2,G3316&gt;=8,H3316&gt;=8),"CAN'T LOSE THEM",AND(F3316&lt;=2,G3316&lt;=2,H3316&lt;=2),"HIBERNATING",TRUE(),"Other")</f>
        <v>LOYAL CUSTOMER</v>
      </c>
      <c r="K3316" s="1" t="n">
        <f aca="false">RANK(E3316,$E$7:$E$4378)+COUNTIF($E$7:E3316,E3316)-1</f>
        <v>473</v>
      </c>
    </row>
    <row r="3317" customFormat="false" ht="14.25" hidden="false" customHeight="true" outlineLevel="0" collapsed="false">
      <c r="A3317" s="51" t="n">
        <v>16820</v>
      </c>
      <c r="B3317" s="53" t="n">
        <v>40791.5041666667</v>
      </c>
      <c r="C3317" s="57" t="n">
        <f aca="false">INT($C$2)-INT(Table3[[#This Row],[Last Purchase Date]])</f>
        <v>96</v>
      </c>
      <c r="D3317" s="1" t="n">
        <v>1</v>
      </c>
      <c r="E3317" s="1" t="n">
        <v>497.61</v>
      </c>
      <c r="F3317" s="1" t="n">
        <f aca="false">ROUND((1-_xlfn.PERCENTRANK.INC($C$7:$C$4378,C3317))*9,0)</f>
        <v>3</v>
      </c>
      <c r="G3317" s="1" t="n">
        <f aca="false">ROUND(_xlfn.PERCENTRANK.INC($D$7:$D$4378,D3317)*9,0)</f>
        <v>0</v>
      </c>
      <c r="H3317" s="1" t="n">
        <f aca="false">ROUND(_xlfn.PERCENTRANK.INC($E$7:$E$4378,E3317)*9,0)</f>
        <v>4</v>
      </c>
      <c r="I3317" s="1" t="str">
        <f aca="false">CONCATENATE(F3317,G3317,H3317)</f>
        <v>304</v>
      </c>
      <c r="J3317" s="1" t="str">
        <f aca="false">_xlfn.IFS(AND(F3317&gt;=8,G3317&gt;=8,H3317&gt;=8),"CHAMPION",AND(F3317&gt;=6,G3317&gt;=7,H3317&gt;=6),"LOYAL CUSTOMER",AND(F3317&gt;=6,G3317&gt;=5,H3317&gt;=5),"POTENTIAL LOYALIST",AND(F3317&gt;=8,G3317&lt;=2,H3317&gt;=5),"NEW CUSTOMERS",AND(F3317&gt;=6,G3317&lt;=2,H3317&gt;=3),"PROMISING",AND(F3317&gt;=3,G3317&gt;=3,H3317&gt;=3),"NEED ATTENTION",AND(F3317&lt;=4,G3317&gt;=6,H3317&gt;=6),"AT RISK",AND(F3317&lt;=2,G3317&gt;=8,H3317&gt;=8),"CAN'T LOSE THEM",AND(F3317&lt;=2,G3317&lt;=2,H3317&lt;=2),"HIBERNATING",TRUE(),"Other")</f>
        <v>Other</v>
      </c>
      <c r="K3317" s="1" t="n">
        <f aca="false">RANK(E3317,$E$7:$E$4378)+COUNTIF($E$7:E3317,E3317)-1</f>
        <v>2547</v>
      </c>
    </row>
    <row r="3318" customFormat="false" ht="14.25" hidden="false" customHeight="true" outlineLevel="0" collapsed="false">
      <c r="A3318" s="51" t="n">
        <v>16823</v>
      </c>
      <c r="B3318" s="53" t="n">
        <v>40659.625</v>
      </c>
      <c r="C3318" s="57" t="n">
        <f aca="false">INT($C$2)-INT(Table3[[#This Row],[Last Purchase Date]])</f>
        <v>228</v>
      </c>
      <c r="D3318" s="1" t="n">
        <v>1</v>
      </c>
      <c r="E3318" s="1" t="n">
        <v>358.38</v>
      </c>
      <c r="F3318" s="1" t="n">
        <f aca="false">ROUND((1-_xlfn.PERCENTRANK.INC($C$7:$C$4378,C3318))*9,0)</f>
        <v>1</v>
      </c>
      <c r="G3318" s="1" t="n">
        <f aca="false">ROUND(_xlfn.PERCENTRANK.INC($D$7:$D$4378,D3318)*9,0)</f>
        <v>0</v>
      </c>
      <c r="H3318" s="1" t="n">
        <f aca="false">ROUND(_xlfn.PERCENTRANK.INC($E$7:$E$4378,E3318)*9,0)</f>
        <v>3</v>
      </c>
      <c r="I3318" s="1" t="str">
        <f aca="false">CONCATENATE(F3318,G3318,H3318)</f>
        <v>103</v>
      </c>
      <c r="J3318" s="1" t="str">
        <f aca="false">_xlfn.IFS(AND(F3318&gt;=8,G3318&gt;=8,H3318&gt;=8),"CHAMPION",AND(F3318&gt;=6,G3318&gt;=7,H3318&gt;=6),"LOYAL CUSTOMER",AND(F3318&gt;=6,G3318&gt;=5,H3318&gt;=5),"POTENTIAL LOYALIST",AND(F3318&gt;=8,G3318&lt;=2,H3318&gt;=5),"NEW CUSTOMERS",AND(F3318&gt;=6,G3318&lt;=2,H3318&gt;=3),"PROMISING",AND(F3318&gt;=3,G3318&gt;=3,H3318&gt;=3),"NEED ATTENTION",AND(F3318&lt;=4,G3318&gt;=6,H3318&gt;=6),"AT RISK",AND(F3318&lt;=2,G3318&gt;=8,H3318&gt;=8),"CAN'T LOSE THEM",AND(F3318&lt;=2,G3318&lt;=2,H3318&lt;=2),"HIBERNATING",TRUE(),"Other")</f>
        <v>Other</v>
      </c>
      <c r="K3318" s="1" t="n">
        <f aca="false">RANK(E3318,$E$7:$E$4378)+COUNTIF($E$7:E3318,E3318)-1</f>
        <v>2972</v>
      </c>
    </row>
    <row r="3319" customFormat="false" ht="14.25" hidden="false" customHeight="true" outlineLevel="0" collapsed="false">
      <c r="A3319" s="51" t="n">
        <v>16824</v>
      </c>
      <c r="B3319" s="53" t="n">
        <v>40871.5263888889</v>
      </c>
      <c r="C3319" s="57" t="n">
        <f aca="false">INT($C$2)-INT(Table3[[#This Row],[Last Purchase Date]])</f>
        <v>16</v>
      </c>
      <c r="D3319" s="1" t="n">
        <v>2</v>
      </c>
      <c r="E3319" s="1" t="n">
        <v>460.64</v>
      </c>
      <c r="F3319" s="1" t="n">
        <f aca="false">ROUND((1-_xlfn.PERCENTRANK.INC($C$7:$C$4378,C3319))*9,0)</f>
        <v>7</v>
      </c>
      <c r="G3319" s="1" t="n">
        <f aca="false">ROUND(_xlfn.PERCENTRANK.INC($D$7:$D$4378,D3319)*9,0)</f>
        <v>3</v>
      </c>
      <c r="H3319" s="1" t="n">
        <f aca="false">ROUND(_xlfn.PERCENTRANK.INC($E$7:$E$4378,E3319)*9,0)</f>
        <v>4</v>
      </c>
      <c r="I3319" s="1" t="str">
        <f aca="false">CONCATENATE(F3319,G3319,H3319)</f>
        <v>734</v>
      </c>
      <c r="J3319" s="1" t="str">
        <f aca="false">_xlfn.IFS(AND(F3319&gt;=8,G3319&gt;=8,H3319&gt;=8),"CHAMPION",AND(F3319&gt;=6,G3319&gt;=7,H3319&gt;=6),"LOYAL CUSTOMER",AND(F3319&gt;=6,G3319&gt;=5,H3319&gt;=5),"POTENTIAL LOYALIST",AND(F3319&gt;=8,G3319&lt;=2,H3319&gt;=5),"NEW CUSTOMERS",AND(F3319&gt;=6,G3319&lt;=2,H3319&gt;=3),"PROMISING",AND(F3319&gt;=3,G3319&gt;=3,H3319&gt;=3),"NEED ATTENTION",AND(F3319&lt;=4,G3319&gt;=6,H3319&gt;=6),"AT RISK",AND(F3319&lt;=2,G3319&gt;=8,H3319&gt;=8),"CAN'T LOSE THEM",AND(F3319&lt;=2,G3319&lt;=2,H3319&lt;=2),"HIBERNATING",TRUE(),"Other")</f>
        <v>NEED ATTENTION</v>
      </c>
      <c r="K3319" s="1" t="n">
        <f aca="false">RANK(E3319,$E$7:$E$4378)+COUNTIF($E$7:E3319,E3319)-1</f>
        <v>2637</v>
      </c>
    </row>
    <row r="3320" customFormat="false" ht="14.25" hidden="false" customHeight="true" outlineLevel="0" collapsed="false">
      <c r="A3320" s="51" t="n">
        <v>16825</v>
      </c>
      <c r="B3320" s="53" t="n">
        <v>40848.49375</v>
      </c>
      <c r="C3320" s="57" t="n">
        <f aca="false">INT($C$2)-INT(Table3[[#This Row],[Last Purchase Date]])</f>
        <v>39</v>
      </c>
      <c r="D3320" s="1" t="n">
        <v>2</v>
      </c>
      <c r="E3320" s="1" t="n">
        <v>775.18</v>
      </c>
      <c r="F3320" s="1" t="n">
        <f aca="false">ROUND((1-_xlfn.PERCENTRANK.INC($C$7:$C$4378,C3320))*9,0)</f>
        <v>5</v>
      </c>
      <c r="G3320" s="1" t="n">
        <f aca="false">ROUND(_xlfn.PERCENTRANK.INC($D$7:$D$4378,D3320)*9,0)</f>
        <v>3</v>
      </c>
      <c r="H3320" s="1" t="n">
        <f aca="false">ROUND(_xlfn.PERCENTRANK.INC($E$7:$E$4378,E3320)*9,0)</f>
        <v>5</v>
      </c>
      <c r="I3320" s="1" t="str">
        <f aca="false">CONCATENATE(F3320,G3320,H3320)</f>
        <v>535</v>
      </c>
      <c r="J3320" s="1" t="str">
        <f aca="false">_xlfn.IFS(AND(F3320&gt;=8,G3320&gt;=8,H3320&gt;=8),"CHAMPION",AND(F3320&gt;=6,G3320&gt;=7,H3320&gt;=6),"LOYAL CUSTOMER",AND(F3320&gt;=6,G3320&gt;=5,H3320&gt;=5),"POTENTIAL LOYALIST",AND(F3320&gt;=8,G3320&lt;=2,H3320&gt;=5),"NEW CUSTOMERS",AND(F3320&gt;=6,G3320&lt;=2,H3320&gt;=3),"PROMISING",AND(F3320&gt;=3,G3320&gt;=3,H3320&gt;=3),"NEED ATTENTION",AND(F3320&lt;=4,G3320&gt;=6,H3320&gt;=6),"AT RISK",AND(F3320&lt;=2,G3320&gt;=8,H3320&gt;=8),"CAN'T LOSE THEM",AND(F3320&lt;=2,G3320&lt;=2,H3320&lt;=2),"HIBERNATING",TRUE(),"Other")</f>
        <v>NEED ATTENTION</v>
      </c>
      <c r="K3320" s="1" t="n">
        <f aca="false">RANK(E3320,$E$7:$E$4378)+COUNTIF($E$7:E3320,E3320)-1</f>
        <v>1936</v>
      </c>
    </row>
    <row r="3321" customFormat="false" ht="14.25" hidden="false" customHeight="true" outlineLevel="0" collapsed="false">
      <c r="A3321" s="51" t="n">
        <v>16826</v>
      </c>
      <c r="B3321" s="53" t="n">
        <v>40835.5868055556</v>
      </c>
      <c r="C3321" s="57" t="n">
        <f aca="false">INT($C$2)-INT(Table3[[#This Row],[Last Purchase Date]])</f>
        <v>52</v>
      </c>
      <c r="D3321" s="1" t="n">
        <v>1</v>
      </c>
      <c r="E3321" s="1" t="n">
        <v>341.7</v>
      </c>
      <c r="F3321" s="1" t="n">
        <f aca="false">ROUND((1-_xlfn.PERCENTRANK.INC($C$7:$C$4378,C3321))*9,0)</f>
        <v>4</v>
      </c>
      <c r="G3321" s="1" t="n">
        <f aca="false">ROUND(_xlfn.PERCENTRANK.INC($D$7:$D$4378,D3321)*9,0)</f>
        <v>0</v>
      </c>
      <c r="H3321" s="1" t="n">
        <f aca="false">ROUND(_xlfn.PERCENTRANK.INC($E$7:$E$4378,E3321)*9,0)</f>
        <v>3</v>
      </c>
      <c r="I3321" s="1" t="str">
        <f aca="false">CONCATENATE(F3321,G3321,H3321)</f>
        <v>403</v>
      </c>
      <c r="J3321" s="1" t="str">
        <f aca="false">_xlfn.IFS(AND(F3321&gt;=8,G3321&gt;=8,H3321&gt;=8),"CHAMPION",AND(F3321&gt;=6,G3321&gt;=7,H3321&gt;=6),"LOYAL CUSTOMER",AND(F3321&gt;=6,G3321&gt;=5,H3321&gt;=5),"POTENTIAL LOYALIST",AND(F3321&gt;=8,G3321&lt;=2,H3321&gt;=5),"NEW CUSTOMERS",AND(F3321&gt;=6,G3321&lt;=2,H3321&gt;=3),"PROMISING",AND(F3321&gt;=3,G3321&gt;=3,H3321&gt;=3),"NEED ATTENTION",AND(F3321&lt;=4,G3321&gt;=6,H3321&gt;=6),"AT RISK",AND(F3321&lt;=2,G3321&gt;=8,H3321&gt;=8),"CAN'T LOSE THEM",AND(F3321&lt;=2,G3321&lt;=2,H3321&lt;=2),"HIBERNATING",TRUE(),"Other")</f>
        <v>Other</v>
      </c>
      <c r="K3321" s="1" t="n">
        <f aca="false">RANK(E3321,$E$7:$E$4378)+COUNTIF($E$7:E3321,E3321)-1</f>
        <v>3046</v>
      </c>
    </row>
    <row r="3322" customFormat="false" ht="14.25" hidden="false" customHeight="true" outlineLevel="0" collapsed="false">
      <c r="A3322" s="51" t="n">
        <v>16828</v>
      </c>
      <c r="B3322" s="53" t="n">
        <v>40793.6319444445</v>
      </c>
      <c r="C3322" s="57" t="n">
        <f aca="false">INT($C$2)-INT(Table3[[#This Row],[Last Purchase Date]])</f>
        <v>94</v>
      </c>
      <c r="D3322" s="1" t="n">
        <v>2</v>
      </c>
      <c r="E3322" s="1" t="n">
        <v>128.5</v>
      </c>
      <c r="F3322" s="1" t="n">
        <f aca="false">ROUND((1-_xlfn.PERCENTRANK.INC($C$7:$C$4378,C3322))*9,0)</f>
        <v>3</v>
      </c>
      <c r="G3322" s="1" t="n">
        <f aca="false">ROUND(_xlfn.PERCENTRANK.INC($D$7:$D$4378,D3322)*9,0)</f>
        <v>3</v>
      </c>
      <c r="H3322" s="1" t="n">
        <f aca="false">ROUND(_xlfn.PERCENTRANK.INC($E$7:$E$4378,E3322)*9,0)</f>
        <v>1</v>
      </c>
      <c r="I3322" s="1" t="str">
        <f aca="false">CONCATENATE(F3322,G3322,H3322)</f>
        <v>331</v>
      </c>
      <c r="J3322" s="1" t="str">
        <f aca="false">_xlfn.IFS(AND(F3322&gt;=8,G3322&gt;=8,H3322&gt;=8),"CHAMPION",AND(F3322&gt;=6,G3322&gt;=7,H3322&gt;=6),"LOYAL CUSTOMER",AND(F3322&gt;=6,G3322&gt;=5,H3322&gt;=5),"POTENTIAL LOYALIST",AND(F3322&gt;=8,G3322&lt;=2,H3322&gt;=5),"NEW CUSTOMERS",AND(F3322&gt;=6,G3322&lt;=2,H3322&gt;=3),"PROMISING",AND(F3322&gt;=3,G3322&gt;=3,H3322&gt;=3),"NEED ATTENTION",AND(F3322&lt;=4,G3322&gt;=6,H3322&gt;=6),"AT RISK",AND(F3322&lt;=2,G3322&gt;=8,H3322&gt;=8),"CAN'T LOSE THEM",AND(F3322&lt;=2,G3322&lt;=2,H3322&lt;=2),"HIBERNATING",TRUE(),"Other")</f>
        <v>Other</v>
      </c>
      <c r="K3322" s="1" t="n">
        <f aca="false">RANK(E3322,$E$7:$E$4378)+COUNTIF($E$7:E3322,E3322)-1</f>
        <v>4010</v>
      </c>
    </row>
    <row r="3323" customFormat="false" ht="14.25" hidden="false" customHeight="true" outlineLevel="0" collapsed="false">
      <c r="A3323" s="51" t="n">
        <v>16829</v>
      </c>
      <c r="B3323" s="53" t="n">
        <v>40730.45</v>
      </c>
      <c r="C3323" s="57" t="n">
        <f aca="false">INT($C$2)-INT(Table3[[#This Row],[Last Purchase Date]])</f>
        <v>157</v>
      </c>
      <c r="D3323" s="1" t="n">
        <v>1</v>
      </c>
      <c r="E3323" s="1" t="n">
        <v>197.22</v>
      </c>
      <c r="F3323" s="1" t="n">
        <f aca="false">ROUND((1-_xlfn.PERCENTRANK.INC($C$7:$C$4378,C3323))*9,0)</f>
        <v>2</v>
      </c>
      <c r="G3323" s="1" t="n">
        <f aca="false">ROUND(_xlfn.PERCENTRANK.INC($D$7:$D$4378,D3323)*9,0)</f>
        <v>0</v>
      </c>
      <c r="H3323" s="1" t="n">
        <f aca="false">ROUND(_xlfn.PERCENTRANK.INC($E$7:$E$4378,E3323)*9,0)</f>
        <v>1</v>
      </c>
      <c r="I3323" s="1" t="str">
        <f aca="false">CONCATENATE(F3323,G3323,H3323)</f>
        <v>201</v>
      </c>
      <c r="J3323" s="1" t="str">
        <f aca="false">_xlfn.IFS(AND(F3323&gt;=8,G3323&gt;=8,H3323&gt;=8),"CHAMPION",AND(F3323&gt;=6,G3323&gt;=7,H3323&gt;=6),"LOYAL CUSTOMER",AND(F3323&gt;=6,G3323&gt;=5,H3323&gt;=5),"POTENTIAL LOYALIST",AND(F3323&gt;=8,G3323&lt;=2,H3323&gt;=5),"NEW CUSTOMERS",AND(F3323&gt;=6,G3323&lt;=2,H3323&gt;=3),"PROMISING",AND(F3323&gt;=3,G3323&gt;=3,H3323&gt;=3),"NEED ATTENTION",AND(F3323&lt;=4,G3323&gt;=6,H3323&gt;=6),"AT RISK",AND(F3323&lt;=2,G3323&gt;=8,H3323&gt;=8),"CAN'T LOSE THEM",AND(F3323&lt;=2,G3323&lt;=2,H3323&lt;=2),"HIBERNATING",TRUE(),"Other")</f>
        <v>HIBERNATING</v>
      </c>
      <c r="K3323" s="1" t="n">
        <f aca="false">RANK(E3323,$E$7:$E$4378)+COUNTIF($E$7:E3323,E3323)-1</f>
        <v>3673</v>
      </c>
    </row>
    <row r="3324" customFormat="false" ht="14.25" hidden="false" customHeight="true" outlineLevel="0" collapsed="false">
      <c r="A3324" s="51" t="n">
        <v>16830</v>
      </c>
      <c r="B3324" s="53" t="n">
        <v>40848.4826388889</v>
      </c>
      <c r="C3324" s="57" t="n">
        <f aca="false">INT($C$2)-INT(Table3[[#This Row],[Last Purchase Date]])</f>
        <v>39</v>
      </c>
      <c r="D3324" s="1" t="n">
        <v>1</v>
      </c>
      <c r="E3324" s="1" t="n">
        <v>325.91</v>
      </c>
      <c r="F3324" s="1" t="n">
        <f aca="false">ROUND((1-_xlfn.PERCENTRANK.INC($C$7:$C$4378,C3324))*9,0)</f>
        <v>5</v>
      </c>
      <c r="G3324" s="1" t="n">
        <f aca="false">ROUND(_xlfn.PERCENTRANK.INC($D$7:$D$4378,D3324)*9,0)</f>
        <v>0</v>
      </c>
      <c r="H3324" s="1" t="n">
        <f aca="false">ROUND(_xlfn.PERCENTRANK.INC($E$7:$E$4378,E3324)*9,0)</f>
        <v>3</v>
      </c>
      <c r="I3324" s="1" t="str">
        <f aca="false">CONCATENATE(F3324,G3324,H3324)</f>
        <v>503</v>
      </c>
      <c r="J3324" s="1" t="str">
        <f aca="false">_xlfn.IFS(AND(F3324&gt;=8,G3324&gt;=8,H3324&gt;=8),"CHAMPION",AND(F3324&gt;=6,G3324&gt;=7,H3324&gt;=6),"LOYAL CUSTOMER",AND(F3324&gt;=6,G3324&gt;=5,H3324&gt;=5),"POTENTIAL LOYALIST",AND(F3324&gt;=8,G3324&lt;=2,H3324&gt;=5),"NEW CUSTOMERS",AND(F3324&gt;=6,G3324&lt;=2,H3324&gt;=3),"PROMISING",AND(F3324&gt;=3,G3324&gt;=3,H3324&gt;=3),"NEED ATTENTION",AND(F3324&lt;=4,G3324&gt;=6,H3324&gt;=6),"AT RISK",AND(F3324&lt;=2,G3324&gt;=8,H3324&gt;=8),"CAN'T LOSE THEM",AND(F3324&lt;=2,G3324&lt;=2,H3324&lt;=2),"HIBERNATING",TRUE(),"Other")</f>
        <v>Other</v>
      </c>
      <c r="K3324" s="1" t="n">
        <f aca="false">RANK(E3324,$E$7:$E$4378)+COUNTIF($E$7:E3324,E3324)-1</f>
        <v>3114</v>
      </c>
    </row>
    <row r="3325" customFormat="false" ht="14.25" hidden="false" customHeight="true" outlineLevel="0" collapsed="false">
      <c r="A3325" s="51" t="n">
        <v>16832</v>
      </c>
      <c r="B3325" s="53" t="n">
        <v>40702.65</v>
      </c>
      <c r="C3325" s="57" t="n">
        <f aca="false">INT($C$2)-INT(Table3[[#This Row],[Last Purchase Date]])</f>
        <v>185</v>
      </c>
      <c r="D3325" s="1" t="n">
        <v>3</v>
      </c>
      <c r="E3325" s="1" t="n">
        <v>199.15</v>
      </c>
      <c r="F3325" s="1" t="n">
        <f aca="false">ROUND((1-_xlfn.PERCENTRANK.INC($C$7:$C$4378,C3325))*9,0)</f>
        <v>2</v>
      </c>
      <c r="G3325" s="1" t="n">
        <f aca="false">ROUND(_xlfn.PERCENTRANK.INC($D$7:$D$4378,D3325)*9,0)</f>
        <v>4</v>
      </c>
      <c r="H3325" s="1" t="n">
        <f aca="false">ROUND(_xlfn.PERCENTRANK.INC($E$7:$E$4378,E3325)*9,0)</f>
        <v>1</v>
      </c>
      <c r="I3325" s="1" t="str">
        <f aca="false">CONCATENATE(F3325,G3325,H3325)</f>
        <v>241</v>
      </c>
      <c r="J3325" s="1" t="str">
        <f aca="false">_xlfn.IFS(AND(F3325&gt;=8,G3325&gt;=8,H3325&gt;=8),"CHAMPION",AND(F3325&gt;=6,G3325&gt;=7,H3325&gt;=6),"LOYAL CUSTOMER",AND(F3325&gt;=6,G3325&gt;=5,H3325&gt;=5),"POTENTIAL LOYALIST",AND(F3325&gt;=8,G3325&lt;=2,H3325&gt;=5),"NEW CUSTOMERS",AND(F3325&gt;=6,G3325&lt;=2,H3325&gt;=3),"PROMISING",AND(F3325&gt;=3,G3325&gt;=3,H3325&gt;=3),"NEED ATTENTION",AND(F3325&lt;=4,G3325&gt;=6,H3325&gt;=6),"AT RISK",AND(F3325&lt;=2,G3325&gt;=8,H3325&gt;=8),"CAN'T LOSE THEM",AND(F3325&lt;=2,G3325&lt;=2,H3325&lt;=2),"HIBERNATING",TRUE(),"Other")</f>
        <v>Other</v>
      </c>
      <c r="K3325" s="1" t="n">
        <f aca="false">RANK(E3325,$E$7:$E$4378)+COUNTIF($E$7:E3325,E3325)-1</f>
        <v>3664</v>
      </c>
    </row>
    <row r="3326" customFormat="false" ht="14.25" hidden="false" customHeight="true" outlineLevel="0" collapsed="false">
      <c r="A3326" s="51" t="n">
        <v>16833</v>
      </c>
      <c r="B3326" s="53" t="n">
        <v>40885.6104166667</v>
      </c>
      <c r="C3326" s="57" t="n">
        <f aca="false">INT($C$2)-INT(Table3[[#This Row],[Last Purchase Date]])</f>
        <v>2</v>
      </c>
      <c r="D3326" s="1" t="n">
        <v>4</v>
      </c>
      <c r="E3326" s="1" t="n">
        <v>1106.53</v>
      </c>
      <c r="F3326" s="1" t="n">
        <f aca="false">ROUND((1-_xlfn.PERCENTRANK.INC($C$7:$C$4378,C3326))*9,0)</f>
        <v>9</v>
      </c>
      <c r="G3326" s="1" t="n">
        <f aca="false">ROUND(_xlfn.PERCENTRANK.INC($D$7:$D$4378,D3326)*9,0)</f>
        <v>5</v>
      </c>
      <c r="H3326" s="1" t="n">
        <f aca="false">ROUND(_xlfn.PERCENTRANK.INC($E$7:$E$4378,E3326)*9,0)</f>
        <v>6</v>
      </c>
      <c r="I3326" s="1" t="str">
        <f aca="false">CONCATENATE(F3326,G3326,H3326)</f>
        <v>956</v>
      </c>
      <c r="J3326" s="1" t="str">
        <f aca="false">_xlfn.IFS(AND(F3326&gt;=8,G3326&gt;=8,H3326&gt;=8),"CHAMPION",AND(F3326&gt;=6,G3326&gt;=7,H3326&gt;=6),"LOYAL CUSTOMER",AND(F3326&gt;=6,G3326&gt;=5,H3326&gt;=5),"POTENTIAL LOYALIST",AND(F3326&gt;=8,G3326&lt;=2,H3326&gt;=5),"NEW CUSTOMERS",AND(F3326&gt;=6,G3326&lt;=2,H3326&gt;=3),"PROMISING",AND(F3326&gt;=3,G3326&gt;=3,H3326&gt;=3),"NEED ATTENTION",AND(F3326&lt;=4,G3326&gt;=6,H3326&gt;=6),"AT RISK",AND(F3326&lt;=2,G3326&gt;=8,H3326&gt;=8),"CAN'T LOSE THEM",AND(F3326&lt;=2,G3326&lt;=2,H3326&lt;=2),"HIBERNATING",TRUE(),"Other")</f>
        <v>POTENTIAL LOYALIST</v>
      </c>
      <c r="K3326" s="1" t="n">
        <f aca="false">RANK(E3326,$E$7:$E$4378)+COUNTIF($E$7:E3326,E3326)-1</f>
        <v>1504</v>
      </c>
    </row>
    <row r="3327" customFormat="false" ht="14.25" hidden="false" customHeight="true" outlineLevel="0" collapsed="false">
      <c r="A3327" s="51" t="n">
        <v>16834</v>
      </c>
      <c r="B3327" s="53" t="n">
        <v>40659.4006944444</v>
      </c>
      <c r="C3327" s="57" t="n">
        <f aca="false">INT($C$2)-INT(Table3[[#This Row],[Last Purchase Date]])</f>
        <v>228</v>
      </c>
      <c r="D3327" s="1" t="n">
        <v>1</v>
      </c>
      <c r="E3327" s="1" t="n">
        <v>413.46</v>
      </c>
      <c r="F3327" s="1" t="n">
        <f aca="false">ROUND((1-_xlfn.PERCENTRANK.INC($C$7:$C$4378,C3327))*9,0)</f>
        <v>1</v>
      </c>
      <c r="G3327" s="1" t="n">
        <f aca="false">ROUND(_xlfn.PERCENTRANK.INC($D$7:$D$4378,D3327)*9,0)</f>
        <v>0</v>
      </c>
      <c r="H3327" s="1" t="n">
        <f aca="false">ROUND(_xlfn.PERCENTRANK.INC($E$7:$E$4378,E3327)*9,0)</f>
        <v>3</v>
      </c>
      <c r="I3327" s="1" t="str">
        <f aca="false">CONCATENATE(F3327,G3327,H3327)</f>
        <v>103</v>
      </c>
      <c r="J3327" s="1" t="str">
        <f aca="false">_xlfn.IFS(AND(F3327&gt;=8,G3327&gt;=8,H3327&gt;=8),"CHAMPION",AND(F3327&gt;=6,G3327&gt;=7,H3327&gt;=6),"LOYAL CUSTOMER",AND(F3327&gt;=6,G3327&gt;=5,H3327&gt;=5),"POTENTIAL LOYALIST",AND(F3327&gt;=8,G3327&lt;=2,H3327&gt;=5),"NEW CUSTOMERS",AND(F3327&gt;=6,G3327&lt;=2,H3327&gt;=3),"PROMISING",AND(F3327&gt;=3,G3327&gt;=3,H3327&gt;=3),"NEED ATTENTION",AND(F3327&lt;=4,G3327&gt;=6,H3327&gt;=6),"AT RISK",AND(F3327&lt;=2,G3327&gt;=8,H3327&gt;=8),"CAN'T LOSE THEM",AND(F3327&lt;=2,G3327&lt;=2,H3327&lt;=2),"HIBERNATING",TRUE(),"Other")</f>
        <v>Other</v>
      </c>
      <c r="K3327" s="1" t="n">
        <f aca="false">RANK(E3327,$E$7:$E$4378)+COUNTIF($E$7:E3327,E3327)-1</f>
        <v>2779</v>
      </c>
    </row>
    <row r="3328" customFormat="false" ht="14.25" hidden="false" customHeight="true" outlineLevel="0" collapsed="false">
      <c r="A3328" s="51" t="n">
        <v>16835</v>
      </c>
      <c r="B3328" s="53" t="n">
        <v>40758.5763888889</v>
      </c>
      <c r="C3328" s="57" t="n">
        <f aca="false">INT($C$2)-INT(Table3[[#This Row],[Last Purchase Date]])</f>
        <v>129</v>
      </c>
      <c r="D3328" s="1" t="n">
        <v>2</v>
      </c>
      <c r="E3328" s="1" t="n">
        <v>180.85</v>
      </c>
      <c r="F3328" s="1" t="n">
        <f aca="false">ROUND((1-_xlfn.PERCENTRANK.INC($C$7:$C$4378,C3328))*9,0)</f>
        <v>2</v>
      </c>
      <c r="G3328" s="1" t="n">
        <f aca="false">ROUND(_xlfn.PERCENTRANK.INC($D$7:$D$4378,D3328)*9,0)</f>
        <v>3</v>
      </c>
      <c r="H3328" s="1" t="n">
        <f aca="false">ROUND(_xlfn.PERCENTRANK.INC($E$7:$E$4378,E3328)*9,0)</f>
        <v>1</v>
      </c>
      <c r="I3328" s="1" t="str">
        <f aca="false">CONCATENATE(F3328,G3328,H3328)</f>
        <v>231</v>
      </c>
      <c r="J3328" s="1" t="str">
        <f aca="false">_xlfn.IFS(AND(F3328&gt;=8,G3328&gt;=8,H3328&gt;=8),"CHAMPION",AND(F3328&gt;=6,G3328&gt;=7,H3328&gt;=6),"LOYAL CUSTOMER",AND(F3328&gt;=6,G3328&gt;=5,H3328&gt;=5),"POTENTIAL LOYALIST",AND(F3328&gt;=8,G3328&lt;=2,H3328&gt;=5),"NEW CUSTOMERS",AND(F3328&gt;=6,G3328&lt;=2,H3328&gt;=3),"PROMISING",AND(F3328&gt;=3,G3328&gt;=3,H3328&gt;=3),"NEED ATTENTION",AND(F3328&lt;=4,G3328&gt;=6,H3328&gt;=6),"AT RISK",AND(F3328&lt;=2,G3328&gt;=8,H3328&gt;=8),"CAN'T LOSE THEM",AND(F3328&lt;=2,G3328&lt;=2,H3328&lt;=2),"HIBERNATING",TRUE(),"Other")</f>
        <v>Other</v>
      </c>
      <c r="K3328" s="1" t="n">
        <f aca="false">RANK(E3328,$E$7:$E$4378)+COUNTIF($E$7:E3328,E3328)-1</f>
        <v>3747</v>
      </c>
    </row>
    <row r="3329" customFormat="false" ht="14.25" hidden="false" customHeight="true" outlineLevel="0" collapsed="false">
      <c r="A3329" s="51" t="n">
        <v>16836</v>
      </c>
      <c r="B3329" s="53" t="n">
        <v>40847.4201388889</v>
      </c>
      <c r="C3329" s="57" t="n">
        <f aca="false">INT($C$2)-INT(Table3[[#This Row],[Last Purchase Date]])</f>
        <v>40</v>
      </c>
      <c r="D3329" s="1" t="n">
        <v>2</v>
      </c>
      <c r="E3329" s="1" t="n">
        <v>251.87</v>
      </c>
      <c r="F3329" s="1" t="n">
        <f aca="false">ROUND((1-_xlfn.PERCENTRANK.INC($C$7:$C$4378,C3329))*9,0)</f>
        <v>5</v>
      </c>
      <c r="G3329" s="1" t="n">
        <f aca="false">ROUND(_xlfn.PERCENTRANK.INC($D$7:$D$4378,D3329)*9,0)</f>
        <v>3</v>
      </c>
      <c r="H3329" s="1" t="n">
        <f aca="false">ROUND(_xlfn.PERCENTRANK.INC($E$7:$E$4378,E3329)*9,0)</f>
        <v>2</v>
      </c>
      <c r="I3329" s="1" t="str">
        <f aca="false">CONCATENATE(F3329,G3329,H3329)</f>
        <v>532</v>
      </c>
      <c r="J3329" s="1" t="str">
        <f aca="false">_xlfn.IFS(AND(F3329&gt;=8,G3329&gt;=8,H3329&gt;=8),"CHAMPION",AND(F3329&gt;=6,G3329&gt;=7,H3329&gt;=6),"LOYAL CUSTOMER",AND(F3329&gt;=6,G3329&gt;=5,H3329&gt;=5),"POTENTIAL LOYALIST",AND(F3329&gt;=8,G3329&lt;=2,H3329&gt;=5),"NEW CUSTOMERS",AND(F3329&gt;=6,G3329&lt;=2,H3329&gt;=3),"PROMISING",AND(F3329&gt;=3,G3329&gt;=3,H3329&gt;=3),"NEED ATTENTION",AND(F3329&lt;=4,G3329&gt;=6,H3329&gt;=6),"AT RISK",AND(F3329&lt;=2,G3329&gt;=8,H3329&gt;=8),"CAN'T LOSE THEM",AND(F3329&lt;=2,G3329&lt;=2,H3329&lt;=2),"HIBERNATING",TRUE(),"Other")</f>
        <v>Other</v>
      </c>
      <c r="K3329" s="1" t="n">
        <f aca="false">RANK(E3329,$E$7:$E$4378)+COUNTIF($E$7:E3329,E3329)-1</f>
        <v>3430</v>
      </c>
    </row>
    <row r="3330" customFormat="false" ht="14.25" hidden="false" customHeight="true" outlineLevel="0" collapsed="false">
      <c r="A3330" s="51" t="n">
        <v>16837</v>
      </c>
      <c r="B3330" s="53" t="n">
        <v>40855.6020833333</v>
      </c>
      <c r="C3330" s="57" t="n">
        <f aca="false">INT($C$2)-INT(Table3[[#This Row],[Last Purchase Date]])</f>
        <v>32</v>
      </c>
      <c r="D3330" s="1" t="n">
        <v>12</v>
      </c>
      <c r="E3330" s="1" t="n">
        <v>3167.73</v>
      </c>
      <c r="F3330" s="1" t="n">
        <f aca="false">ROUND((1-_xlfn.PERCENTRANK.INC($C$7:$C$4378,C3330))*9,0)</f>
        <v>5</v>
      </c>
      <c r="G3330" s="1" t="n">
        <f aca="false">ROUND(_xlfn.PERCENTRANK.INC($D$7:$D$4378,D3330)*9,0)</f>
        <v>8</v>
      </c>
      <c r="H3330" s="1" t="n">
        <f aca="false">ROUND(_xlfn.PERCENTRANK.INC($E$7:$E$4378,E3330)*9,0)</f>
        <v>8</v>
      </c>
      <c r="I3330" s="1" t="str">
        <f aca="false">CONCATENATE(F3330,G3330,H3330)</f>
        <v>588</v>
      </c>
      <c r="J3330" s="1" t="str">
        <f aca="false">_xlfn.IFS(AND(F3330&gt;=8,G3330&gt;=8,H3330&gt;=8),"CHAMPION",AND(F3330&gt;=6,G3330&gt;=7,H3330&gt;=6),"LOYAL CUSTOMER",AND(F3330&gt;=6,G3330&gt;=5,H3330&gt;=5),"POTENTIAL LOYALIST",AND(F3330&gt;=8,G3330&lt;=2,H3330&gt;=5),"NEW CUSTOMERS",AND(F3330&gt;=6,G3330&lt;=2,H3330&gt;=3),"PROMISING",AND(F3330&gt;=3,G3330&gt;=3,H3330&gt;=3),"NEED ATTENTION",AND(F3330&lt;=4,G3330&gt;=6,H3330&gt;=6),"AT RISK",AND(F3330&lt;=2,G3330&gt;=8,H3330&gt;=8),"CAN'T LOSE THEM",AND(F3330&lt;=2,G3330&lt;=2,H3330&lt;=2),"HIBERNATING",TRUE(),"Other")</f>
        <v>NEED ATTENTION</v>
      </c>
      <c r="K3330" s="1" t="n">
        <f aca="false">RANK(E3330,$E$7:$E$4378)+COUNTIF($E$7:E3330,E3330)-1</f>
        <v>499</v>
      </c>
    </row>
    <row r="3331" customFormat="false" ht="14.25" hidden="false" customHeight="true" outlineLevel="0" collapsed="false">
      <c r="A3331" s="51" t="n">
        <v>16838</v>
      </c>
      <c r="B3331" s="53" t="n">
        <v>40689.5506944444</v>
      </c>
      <c r="C3331" s="57" t="n">
        <f aca="false">INT($C$2)-INT(Table3[[#This Row],[Last Purchase Date]])</f>
        <v>198</v>
      </c>
      <c r="D3331" s="1" t="n">
        <v>3</v>
      </c>
      <c r="E3331" s="1" t="n">
        <v>582.9</v>
      </c>
      <c r="F3331" s="1" t="n">
        <f aca="false">ROUND((1-_xlfn.PERCENTRANK.INC($C$7:$C$4378,C3331))*9,0)</f>
        <v>2</v>
      </c>
      <c r="G3331" s="1" t="n">
        <f aca="false">ROUND(_xlfn.PERCENTRANK.INC($D$7:$D$4378,D3331)*9,0)</f>
        <v>4</v>
      </c>
      <c r="H3331" s="1" t="n">
        <f aca="false">ROUND(_xlfn.PERCENTRANK.INC($E$7:$E$4378,E3331)*9,0)</f>
        <v>4</v>
      </c>
      <c r="I3331" s="1" t="str">
        <f aca="false">CONCATENATE(F3331,G3331,H3331)</f>
        <v>244</v>
      </c>
      <c r="J3331" s="1" t="str">
        <f aca="false">_xlfn.IFS(AND(F3331&gt;=8,G3331&gt;=8,H3331&gt;=8),"CHAMPION",AND(F3331&gt;=6,G3331&gt;=7,H3331&gt;=6),"LOYAL CUSTOMER",AND(F3331&gt;=6,G3331&gt;=5,H3331&gt;=5),"POTENTIAL LOYALIST",AND(F3331&gt;=8,G3331&lt;=2,H3331&gt;=5),"NEW CUSTOMERS",AND(F3331&gt;=6,G3331&lt;=2,H3331&gt;=3),"PROMISING",AND(F3331&gt;=3,G3331&gt;=3,H3331&gt;=3),"NEED ATTENTION",AND(F3331&lt;=4,G3331&gt;=6,H3331&gt;=6),"AT RISK",AND(F3331&lt;=2,G3331&gt;=8,H3331&gt;=8),"CAN'T LOSE THEM",AND(F3331&lt;=2,G3331&lt;=2,H3331&lt;=2),"HIBERNATING",TRUE(),"Other")</f>
        <v>Other</v>
      </c>
      <c r="K3331" s="1" t="n">
        <f aca="false">RANK(E3331,$E$7:$E$4378)+COUNTIF($E$7:E3331,E3331)-1</f>
        <v>2363</v>
      </c>
    </row>
    <row r="3332" customFormat="false" ht="14.25" hidden="false" customHeight="true" outlineLevel="0" collapsed="false">
      <c r="A3332" s="51" t="n">
        <v>16839</v>
      </c>
      <c r="B3332" s="53" t="n">
        <v>40878.3770833333</v>
      </c>
      <c r="C3332" s="57" t="n">
        <f aca="false">INT($C$2)-INT(Table3[[#This Row],[Last Purchase Date]])</f>
        <v>9</v>
      </c>
      <c r="D3332" s="1" t="n">
        <v>39</v>
      </c>
      <c r="E3332" s="1" t="n">
        <v>15357.78</v>
      </c>
      <c r="F3332" s="1" t="n">
        <f aca="false">ROUND((1-_xlfn.PERCENTRANK.INC($C$7:$C$4378,C3332))*9,0)</f>
        <v>8</v>
      </c>
      <c r="G3332" s="1" t="n">
        <f aca="false">ROUND(_xlfn.PERCENTRANK.INC($D$7:$D$4378,D3332)*9,0)</f>
        <v>9</v>
      </c>
      <c r="H3332" s="1" t="n">
        <f aca="false">ROUND(_xlfn.PERCENTRANK.INC($E$7:$E$4378,E3332)*9,0)</f>
        <v>9</v>
      </c>
      <c r="I3332" s="1" t="str">
        <f aca="false">CONCATENATE(F3332,G3332,H3332)</f>
        <v>899</v>
      </c>
      <c r="J3332" s="1" t="str">
        <f aca="false">_xlfn.IFS(AND(F3332&gt;=8,G3332&gt;=8,H3332&gt;=8),"CHAMPION",AND(F3332&gt;=6,G3332&gt;=7,H3332&gt;=6),"LOYAL CUSTOMER",AND(F3332&gt;=6,G3332&gt;=5,H3332&gt;=5),"POTENTIAL LOYALIST",AND(F3332&gt;=8,G3332&lt;=2,H3332&gt;=5),"NEW CUSTOMERS",AND(F3332&gt;=6,G3332&lt;=2,H3332&gt;=3),"PROMISING",AND(F3332&gt;=3,G3332&gt;=3,H3332&gt;=3),"NEED ATTENTION",AND(F3332&lt;=4,G3332&gt;=6,H3332&gt;=6),"AT RISK",AND(F3332&lt;=2,G3332&gt;=8,H3332&gt;=8),"CAN'T LOSE THEM",AND(F3332&lt;=2,G3332&lt;=2,H3332&lt;=2),"HIBERNATING",TRUE(),"Other")</f>
        <v>CHAMPION</v>
      </c>
      <c r="K3332" s="1" t="n">
        <f aca="false">RANK(E3332,$E$7:$E$4378)+COUNTIF($E$7:E3332,E3332)-1</f>
        <v>54</v>
      </c>
    </row>
    <row r="3333" customFormat="false" ht="14.25" hidden="false" customHeight="true" outlineLevel="0" collapsed="false">
      <c r="A3333" s="51" t="n">
        <v>16841</v>
      </c>
      <c r="B3333" s="53" t="n">
        <v>40850.49375</v>
      </c>
      <c r="C3333" s="57" t="n">
        <f aca="false">INT($C$2)-INT(Table3[[#This Row],[Last Purchase Date]])</f>
        <v>37</v>
      </c>
      <c r="D3333" s="1" t="n">
        <v>7</v>
      </c>
      <c r="E3333" s="1" t="n">
        <v>1774.62</v>
      </c>
      <c r="F3333" s="1" t="n">
        <f aca="false">ROUND((1-_xlfn.PERCENTRANK.INC($C$7:$C$4378,C3333))*9,0)</f>
        <v>5</v>
      </c>
      <c r="G3333" s="1" t="n">
        <f aca="false">ROUND(_xlfn.PERCENTRANK.INC($D$7:$D$4378,D3333)*9,0)</f>
        <v>7</v>
      </c>
      <c r="H3333" s="1" t="n">
        <f aca="false">ROUND(_xlfn.PERCENTRANK.INC($E$7:$E$4378,E3333)*9,0)</f>
        <v>7</v>
      </c>
      <c r="I3333" s="1" t="str">
        <f aca="false">CONCATENATE(F3333,G3333,H3333)</f>
        <v>577</v>
      </c>
      <c r="J3333" s="1" t="str">
        <f aca="false">_xlfn.IFS(AND(F3333&gt;=8,G3333&gt;=8,H3333&gt;=8),"CHAMPION",AND(F3333&gt;=6,G3333&gt;=7,H3333&gt;=6),"LOYAL CUSTOMER",AND(F3333&gt;=6,G3333&gt;=5,H3333&gt;=5),"POTENTIAL LOYALIST",AND(F3333&gt;=8,G3333&lt;=2,H3333&gt;=5),"NEW CUSTOMERS",AND(F3333&gt;=6,G3333&lt;=2,H3333&gt;=3),"PROMISING",AND(F3333&gt;=3,G3333&gt;=3,H3333&gt;=3),"NEED ATTENTION",AND(F3333&lt;=4,G3333&gt;=6,H3333&gt;=6),"AT RISK",AND(F3333&lt;=2,G3333&gt;=8,H3333&gt;=8),"CAN'T LOSE THEM",AND(F3333&lt;=2,G3333&lt;=2,H3333&lt;=2),"HIBERNATING",TRUE(),"Other")</f>
        <v>NEED ATTENTION</v>
      </c>
      <c r="K3333" s="1" t="n">
        <f aca="false">RANK(E3333,$E$7:$E$4378)+COUNTIF($E$7:E3333,E3333)-1</f>
        <v>995</v>
      </c>
    </row>
    <row r="3334" customFormat="false" ht="14.25" hidden="false" customHeight="true" outlineLevel="0" collapsed="false">
      <c r="A3334" s="51" t="n">
        <v>16842</v>
      </c>
      <c r="B3334" s="53" t="n">
        <v>40822.7347222222</v>
      </c>
      <c r="C3334" s="57" t="n">
        <f aca="false">INT($C$2)-INT(Table3[[#This Row],[Last Purchase Date]])</f>
        <v>65</v>
      </c>
      <c r="D3334" s="1" t="n">
        <v>4</v>
      </c>
      <c r="E3334" s="1" t="n">
        <v>1260.44</v>
      </c>
      <c r="F3334" s="1" t="n">
        <f aca="false">ROUND((1-_xlfn.PERCENTRANK.INC($C$7:$C$4378,C3334))*9,0)</f>
        <v>4</v>
      </c>
      <c r="G3334" s="1" t="n">
        <f aca="false">ROUND(_xlfn.PERCENTRANK.INC($D$7:$D$4378,D3334)*9,0)</f>
        <v>5</v>
      </c>
      <c r="H3334" s="1" t="n">
        <f aca="false">ROUND(_xlfn.PERCENTRANK.INC($E$7:$E$4378,E3334)*9,0)</f>
        <v>6</v>
      </c>
      <c r="I3334" s="1" t="str">
        <f aca="false">CONCATENATE(F3334,G3334,H3334)</f>
        <v>456</v>
      </c>
      <c r="J3334" s="1" t="str">
        <f aca="false">_xlfn.IFS(AND(F3334&gt;=8,G3334&gt;=8,H3334&gt;=8),"CHAMPION",AND(F3334&gt;=6,G3334&gt;=7,H3334&gt;=6),"LOYAL CUSTOMER",AND(F3334&gt;=6,G3334&gt;=5,H3334&gt;=5),"POTENTIAL LOYALIST",AND(F3334&gt;=8,G3334&lt;=2,H3334&gt;=5),"NEW CUSTOMERS",AND(F3334&gt;=6,G3334&lt;=2,H3334&gt;=3),"PROMISING",AND(F3334&gt;=3,G3334&gt;=3,H3334&gt;=3),"NEED ATTENTION",AND(F3334&lt;=4,G3334&gt;=6,H3334&gt;=6),"AT RISK",AND(F3334&lt;=2,G3334&gt;=8,H3334&gt;=8),"CAN'T LOSE THEM",AND(F3334&lt;=2,G3334&lt;=2,H3334&lt;=2),"HIBERNATING",TRUE(),"Other")</f>
        <v>NEED ATTENTION</v>
      </c>
      <c r="K3334" s="1" t="n">
        <f aca="false">RANK(E3334,$E$7:$E$4378)+COUNTIF($E$7:E3334,E3334)-1</f>
        <v>1362</v>
      </c>
    </row>
    <row r="3335" customFormat="false" ht="14.25" hidden="false" customHeight="true" outlineLevel="0" collapsed="false">
      <c r="A3335" s="51" t="n">
        <v>16843</v>
      </c>
      <c r="B3335" s="53" t="n">
        <v>40844.3791666667</v>
      </c>
      <c r="C3335" s="57" t="n">
        <f aca="false">INT($C$2)-INT(Table3[[#This Row],[Last Purchase Date]])</f>
        <v>43</v>
      </c>
      <c r="D3335" s="1" t="n">
        <v>17</v>
      </c>
      <c r="E3335" s="1" t="n">
        <v>10183.82</v>
      </c>
      <c r="F3335" s="1" t="n">
        <f aca="false">ROUND((1-_xlfn.PERCENTRANK.INC($C$7:$C$4378,C3335))*9,0)</f>
        <v>5</v>
      </c>
      <c r="G3335" s="1" t="n">
        <f aca="false">ROUND(_xlfn.PERCENTRANK.INC($D$7:$D$4378,D3335)*9,0)</f>
        <v>9</v>
      </c>
      <c r="H3335" s="1" t="n">
        <f aca="false">ROUND(_xlfn.PERCENTRANK.INC($E$7:$E$4378,E3335)*9,0)</f>
        <v>9</v>
      </c>
      <c r="I3335" s="1" t="str">
        <f aca="false">CONCATENATE(F3335,G3335,H3335)</f>
        <v>599</v>
      </c>
      <c r="J3335" s="1" t="str">
        <f aca="false">_xlfn.IFS(AND(F3335&gt;=8,G3335&gt;=8,H3335&gt;=8),"CHAMPION",AND(F3335&gt;=6,G3335&gt;=7,H3335&gt;=6),"LOYAL CUSTOMER",AND(F3335&gt;=6,G3335&gt;=5,H3335&gt;=5),"POTENTIAL LOYALIST",AND(F3335&gt;=8,G3335&lt;=2,H3335&gt;=5),"NEW CUSTOMERS",AND(F3335&gt;=6,G3335&lt;=2,H3335&gt;=3),"PROMISING",AND(F3335&gt;=3,G3335&gt;=3,H3335&gt;=3),"NEED ATTENTION",AND(F3335&lt;=4,G3335&gt;=6,H3335&gt;=6),"AT RISK",AND(F3335&lt;=2,G3335&gt;=8,H3335&gt;=8),"CAN'T LOSE THEM",AND(F3335&lt;=2,G3335&lt;=2,H3335&lt;=2),"HIBERNATING",TRUE(),"Other")</f>
        <v>NEED ATTENTION</v>
      </c>
      <c r="K3335" s="1" t="n">
        <f aca="false">RANK(E3335,$E$7:$E$4378)+COUNTIF($E$7:E3335,E3335)-1</f>
        <v>95</v>
      </c>
    </row>
    <row r="3336" customFormat="false" ht="14.25" hidden="false" customHeight="true" outlineLevel="0" collapsed="false">
      <c r="A3336" s="51" t="n">
        <v>16846</v>
      </c>
      <c r="B3336" s="53" t="n">
        <v>40836.5798611111</v>
      </c>
      <c r="C3336" s="57" t="n">
        <f aca="false">INT($C$2)-INT(Table3[[#This Row],[Last Purchase Date]])</f>
        <v>51</v>
      </c>
      <c r="D3336" s="1" t="n">
        <v>1</v>
      </c>
      <c r="E3336" s="1" t="n">
        <v>214.32</v>
      </c>
      <c r="F3336" s="1" t="n">
        <f aca="false">ROUND((1-_xlfn.PERCENTRANK.INC($C$7:$C$4378,C3336))*9,0)</f>
        <v>5</v>
      </c>
      <c r="G3336" s="1" t="n">
        <f aca="false">ROUND(_xlfn.PERCENTRANK.INC($D$7:$D$4378,D3336)*9,0)</f>
        <v>0</v>
      </c>
      <c r="H3336" s="1" t="n">
        <f aca="false">ROUND(_xlfn.PERCENTRANK.INC($E$7:$E$4378,E3336)*9,0)</f>
        <v>2</v>
      </c>
      <c r="I3336" s="1" t="str">
        <f aca="false">CONCATENATE(F3336,G3336,H3336)</f>
        <v>502</v>
      </c>
      <c r="J3336" s="1" t="str">
        <f aca="false">_xlfn.IFS(AND(F3336&gt;=8,G3336&gt;=8,H3336&gt;=8),"CHAMPION",AND(F3336&gt;=6,G3336&gt;=7,H3336&gt;=6),"LOYAL CUSTOMER",AND(F3336&gt;=6,G3336&gt;=5,H3336&gt;=5),"POTENTIAL LOYALIST",AND(F3336&gt;=8,G3336&lt;=2,H3336&gt;=5),"NEW CUSTOMERS",AND(F3336&gt;=6,G3336&lt;=2,H3336&gt;=3),"PROMISING",AND(F3336&gt;=3,G3336&gt;=3,H3336&gt;=3),"NEED ATTENTION",AND(F3336&lt;=4,G3336&gt;=6,H3336&gt;=6),"AT RISK",AND(F3336&lt;=2,G3336&gt;=8,H3336&gt;=8),"CAN'T LOSE THEM",AND(F3336&lt;=2,G3336&lt;=2,H3336&lt;=2),"HIBERNATING",TRUE(),"Other")</f>
        <v>Other</v>
      </c>
      <c r="K3336" s="1" t="n">
        <f aca="false">RANK(E3336,$E$7:$E$4378)+COUNTIF($E$7:E3336,E3336)-1</f>
        <v>3592</v>
      </c>
    </row>
    <row r="3337" customFormat="false" ht="14.25" hidden="false" customHeight="true" outlineLevel="0" collapsed="false">
      <c r="A3337" s="51" t="n">
        <v>16847</v>
      </c>
      <c r="B3337" s="53" t="n">
        <v>40843.5618055556</v>
      </c>
      <c r="C3337" s="57" t="n">
        <f aca="false">INT($C$2)-INT(Table3[[#This Row],[Last Purchase Date]])</f>
        <v>44</v>
      </c>
      <c r="D3337" s="1" t="n">
        <v>1</v>
      </c>
      <c r="E3337" s="1" t="n">
        <v>193.44</v>
      </c>
      <c r="F3337" s="1" t="n">
        <f aca="false">ROUND((1-_xlfn.PERCENTRANK.INC($C$7:$C$4378,C3337))*9,0)</f>
        <v>5</v>
      </c>
      <c r="G3337" s="1" t="n">
        <f aca="false">ROUND(_xlfn.PERCENTRANK.INC($D$7:$D$4378,D3337)*9,0)</f>
        <v>0</v>
      </c>
      <c r="H3337" s="1" t="n">
        <f aca="false">ROUND(_xlfn.PERCENTRANK.INC($E$7:$E$4378,E3337)*9,0)</f>
        <v>1</v>
      </c>
      <c r="I3337" s="1" t="str">
        <f aca="false">CONCATENATE(F3337,G3337,H3337)</f>
        <v>501</v>
      </c>
      <c r="J3337" s="1" t="str">
        <f aca="false">_xlfn.IFS(AND(F3337&gt;=8,G3337&gt;=8,H3337&gt;=8),"CHAMPION",AND(F3337&gt;=6,G3337&gt;=7,H3337&gt;=6),"LOYAL CUSTOMER",AND(F3337&gt;=6,G3337&gt;=5,H3337&gt;=5),"POTENTIAL LOYALIST",AND(F3337&gt;=8,G3337&lt;=2,H3337&gt;=5),"NEW CUSTOMERS",AND(F3337&gt;=6,G3337&lt;=2,H3337&gt;=3),"PROMISING",AND(F3337&gt;=3,G3337&gt;=3,H3337&gt;=3),"NEED ATTENTION",AND(F3337&lt;=4,G3337&gt;=6,H3337&gt;=6),"AT RISK",AND(F3337&lt;=2,G3337&gt;=8,H3337&gt;=8),"CAN'T LOSE THEM",AND(F3337&lt;=2,G3337&lt;=2,H3337&lt;=2),"HIBERNATING",TRUE(),"Other")</f>
        <v>Other</v>
      </c>
      <c r="K3337" s="1" t="n">
        <f aca="false">RANK(E3337,$E$7:$E$4378)+COUNTIF($E$7:E3337,E3337)-1</f>
        <v>3692</v>
      </c>
    </row>
    <row r="3338" customFormat="false" ht="14.25" hidden="false" customHeight="true" outlineLevel="0" collapsed="false">
      <c r="A3338" s="51" t="n">
        <v>16848</v>
      </c>
      <c r="B3338" s="53" t="n">
        <v>40834.3625</v>
      </c>
      <c r="C3338" s="57" t="n">
        <f aca="false">INT($C$2)-INT(Table3[[#This Row],[Last Purchase Date]])</f>
        <v>53</v>
      </c>
      <c r="D3338" s="1" t="n">
        <v>1</v>
      </c>
      <c r="E3338" s="1" t="n">
        <v>281.42</v>
      </c>
      <c r="F3338" s="1" t="n">
        <f aca="false">ROUND((1-_xlfn.PERCENTRANK.INC($C$7:$C$4378,C3338))*9,0)</f>
        <v>4</v>
      </c>
      <c r="G3338" s="1" t="n">
        <f aca="false">ROUND(_xlfn.PERCENTRANK.INC($D$7:$D$4378,D3338)*9,0)</f>
        <v>0</v>
      </c>
      <c r="H3338" s="1" t="n">
        <f aca="false">ROUND(_xlfn.PERCENTRANK.INC($E$7:$E$4378,E3338)*9,0)</f>
        <v>2</v>
      </c>
      <c r="I3338" s="1" t="str">
        <f aca="false">CONCATENATE(F3338,G3338,H3338)</f>
        <v>402</v>
      </c>
      <c r="J3338" s="1" t="str">
        <f aca="false">_xlfn.IFS(AND(F3338&gt;=8,G3338&gt;=8,H3338&gt;=8),"CHAMPION",AND(F3338&gt;=6,G3338&gt;=7,H3338&gt;=6),"LOYAL CUSTOMER",AND(F3338&gt;=6,G3338&gt;=5,H3338&gt;=5),"POTENTIAL LOYALIST",AND(F3338&gt;=8,G3338&lt;=2,H3338&gt;=5),"NEW CUSTOMERS",AND(F3338&gt;=6,G3338&lt;=2,H3338&gt;=3),"PROMISING",AND(F3338&gt;=3,G3338&gt;=3,H3338&gt;=3),"NEED ATTENTION",AND(F3338&lt;=4,G3338&gt;=6,H3338&gt;=6),"AT RISK",AND(F3338&lt;=2,G3338&gt;=8,H3338&gt;=8),"CAN'T LOSE THEM",AND(F3338&lt;=2,G3338&lt;=2,H3338&lt;=2),"HIBERNATING",TRUE(),"Other")</f>
        <v>Other</v>
      </c>
      <c r="K3338" s="1" t="n">
        <f aca="false">RANK(E3338,$E$7:$E$4378)+COUNTIF($E$7:E3338,E3338)-1</f>
        <v>3323</v>
      </c>
    </row>
    <row r="3339" customFormat="false" ht="14.25" hidden="false" customHeight="true" outlineLevel="0" collapsed="false">
      <c r="A3339" s="51" t="n">
        <v>16849</v>
      </c>
      <c r="B3339" s="53" t="n">
        <v>40700.3861111111</v>
      </c>
      <c r="C3339" s="57" t="n">
        <f aca="false">INT($C$2)-INT(Table3[[#This Row],[Last Purchase Date]])</f>
        <v>187</v>
      </c>
      <c r="D3339" s="1" t="n">
        <v>1</v>
      </c>
      <c r="E3339" s="1" t="n">
        <v>124.57</v>
      </c>
      <c r="F3339" s="1" t="n">
        <f aca="false">ROUND((1-_xlfn.PERCENTRANK.INC($C$7:$C$4378,C3339))*9,0)</f>
        <v>2</v>
      </c>
      <c r="G3339" s="1" t="n">
        <f aca="false">ROUND(_xlfn.PERCENTRANK.INC($D$7:$D$4378,D3339)*9,0)</f>
        <v>0</v>
      </c>
      <c r="H3339" s="1" t="n">
        <f aca="false">ROUND(_xlfn.PERCENTRANK.INC($E$7:$E$4378,E3339)*9,0)</f>
        <v>1</v>
      </c>
      <c r="I3339" s="1" t="str">
        <f aca="false">CONCATENATE(F3339,G3339,H3339)</f>
        <v>201</v>
      </c>
      <c r="J3339" s="1" t="str">
        <f aca="false">_xlfn.IFS(AND(F3339&gt;=8,G3339&gt;=8,H3339&gt;=8),"CHAMPION",AND(F3339&gt;=6,G3339&gt;=7,H3339&gt;=6),"LOYAL CUSTOMER",AND(F3339&gt;=6,G3339&gt;=5,H3339&gt;=5),"POTENTIAL LOYALIST",AND(F3339&gt;=8,G3339&lt;=2,H3339&gt;=5),"NEW CUSTOMERS",AND(F3339&gt;=6,G3339&lt;=2,H3339&gt;=3),"PROMISING",AND(F3339&gt;=3,G3339&gt;=3,H3339&gt;=3),"NEED ATTENTION",AND(F3339&lt;=4,G3339&gt;=6,H3339&gt;=6),"AT RISK",AND(F3339&lt;=2,G3339&gt;=8,H3339&gt;=8),"CAN'T LOSE THEM",AND(F3339&lt;=2,G3339&lt;=2,H3339&lt;=2),"HIBERNATING",TRUE(),"Other")</f>
        <v>HIBERNATING</v>
      </c>
      <c r="K3339" s="1" t="n">
        <f aca="false">RANK(E3339,$E$7:$E$4378)+COUNTIF($E$7:E3339,E3339)-1</f>
        <v>4030</v>
      </c>
    </row>
    <row r="3340" customFormat="false" ht="14.25" hidden="false" customHeight="true" outlineLevel="0" collapsed="false">
      <c r="A3340" s="51" t="n">
        <v>16850</v>
      </c>
      <c r="B3340" s="53" t="n">
        <v>40553.4645833333</v>
      </c>
      <c r="C3340" s="57" t="n">
        <f aca="false">INT($C$2)-INT(Table3[[#This Row],[Last Purchase Date]])</f>
        <v>334</v>
      </c>
      <c r="D3340" s="1" t="n">
        <v>1</v>
      </c>
      <c r="E3340" s="1" t="n">
        <v>332.41</v>
      </c>
      <c r="F3340" s="1" t="n">
        <f aca="false">ROUND((1-_xlfn.PERCENTRANK.INC($C$7:$C$4378,C3340))*9,0)</f>
        <v>0</v>
      </c>
      <c r="G3340" s="1" t="n">
        <f aca="false">ROUND(_xlfn.PERCENTRANK.INC($D$7:$D$4378,D3340)*9,0)</f>
        <v>0</v>
      </c>
      <c r="H3340" s="1" t="n">
        <f aca="false">ROUND(_xlfn.PERCENTRANK.INC($E$7:$E$4378,E3340)*9,0)</f>
        <v>3</v>
      </c>
      <c r="I3340" s="1" t="str">
        <f aca="false">CONCATENATE(F3340,G3340,H3340)</f>
        <v>003</v>
      </c>
      <c r="J3340" s="1" t="str">
        <f aca="false">_xlfn.IFS(AND(F3340&gt;=8,G3340&gt;=8,H3340&gt;=8),"CHAMPION",AND(F3340&gt;=6,G3340&gt;=7,H3340&gt;=6),"LOYAL CUSTOMER",AND(F3340&gt;=6,G3340&gt;=5,H3340&gt;=5),"POTENTIAL LOYALIST",AND(F3340&gt;=8,G3340&lt;=2,H3340&gt;=5),"NEW CUSTOMERS",AND(F3340&gt;=6,G3340&lt;=2,H3340&gt;=3),"PROMISING",AND(F3340&gt;=3,G3340&gt;=3,H3340&gt;=3),"NEED ATTENTION",AND(F3340&lt;=4,G3340&gt;=6,H3340&gt;=6),"AT RISK",AND(F3340&lt;=2,G3340&gt;=8,H3340&gt;=8),"CAN'T LOSE THEM",AND(F3340&lt;=2,G3340&lt;=2,H3340&lt;=2),"HIBERNATING",TRUE(),"Other")</f>
        <v>Other</v>
      </c>
      <c r="K3340" s="1" t="n">
        <f aca="false">RANK(E3340,$E$7:$E$4378)+COUNTIF($E$7:E3340,E3340)-1</f>
        <v>3083</v>
      </c>
    </row>
    <row r="3341" customFormat="false" ht="14.25" hidden="false" customHeight="true" outlineLevel="0" collapsed="false">
      <c r="A3341" s="51" t="n">
        <v>16851</v>
      </c>
      <c r="B3341" s="53" t="n">
        <v>40882.5638888889</v>
      </c>
      <c r="C3341" s="57" t="n">
        <f aca="false">INT($C$2)-INT(Table3[[#This Row],[Last Purchase Date]])</f>
        <v>5</v>
      </c>
      <c r="D3341" s="1" t="n">
        <v>3</v>
      </c>
      <c r="E3341" s="1" t="n">
        <v>342.45</v>
      </c>
      <c r="F3341" s="1" t="n">
        <f aca="false">ROUND((1-_xlfn.PERCENTRANK.INC($C$7:$C$4378,C3341))*9,0)</f>
        <v>8</v>
      </c>
      <c r="G3341" s="1" t="n">
        <f aca="false">ROUND(_xlfn.PERCENTRANK.INC($D$7:$D$4378,D3341)*9,0)</f>
        <v>4</v>
      </c>
      <c r="H3341" s="1" t="n">
        <f aca="false">ROUND(_xlfn.PERCENTRANK.INC($E$7:$E$4378,E3341)*9,0)</f>
        <v>3</v>
      </c>
      <c r="I3341" s="1" t="str">
        <f aca="false">CONCATENATE(F3341,G3341,H3341)</f>
        <v>843</v>
      </c>
      <c r="J3341" s="1" t="str">
        <f aca="false">_xlfn.IFS(AND(F3341&gt;=8,G3341&gt;=8,H3341&gt;=8),"CHAMPION",AND(F3341&gt;=6,G3341&gt;=7,H3341&gt;=6),"LOYAL CUSTOMER",AND(F3341&gt;=6,G3341&gt;=5,H3341&gt;=5),"POTENTIAL LOYALIST",AND(F3341&gt;=8,G3341&lt;=2,H3341&gt;=5),"NEW CUSTOMERS",AND(F3341&gt;=6,G3341&lt;=2,H3341&gt;=3),"PROMISING",AND(F3341&gt;=3,G3341&gt;=3,H3341&gt;=3),"NEED ATTENTION",AND(F3341&lt;=4,G3341&gt;=6,H3341&gt;=6),"AT RISK",AND(F3341&lt;=2,G3341&gt;=8,H3341&gt;=8),"CAN'T LOSE THEM",AND(F3341&lt;=2,G3341&lt;=2,H3341&lt;=2),"HIBERNATING",TRUE(),"Other")</f>
        <v>NEED ATTENTION</v>
      </c>
      <c r="K3341" s="1" t="n">
        <f aca="false">RANK(E3341,$E$7:$E$4378)+COUNTIF($E$7:E3341,E3341)-1</f>
        <v>3045</v>
      </c>
    </row>
    <row r="3342" customFormat="false" ht="14.25" hidden="false" customHeight="true" outlineLevel="0" collapsed="false">
      <c r="A3342" s="51" t="n">
        <v>16852</v>
      </c>
      <c r="B3342" s="53" t="n">
        <v>40876.5569444444</v>
      </c>
      <c r="C3342" s="57" t="n">
        <f aca="false">INT($C$2)-INT(Table3[[#This Row],[Last Purchase Date]])</f>
        <v>11</v>
      </c>
      <c r="D3342" s="1" t="n">
        <v>2</v>
      </c>
      <c r="E3342" s="1" t="n">
        <v>144.91</v>
      </c>
      <c r="F3342" s="1" t="n">
        <f aca="false">ROUND((1-_xlfn.PERCENTRANK.INC($C$7:$C$4378,C3342))*9,0)</f>
        <v>7</v>
      </c>
      <c r="G3342" s="1" t="n">
        <f aca="false">ROUND(_xlfn.PERCENTRANK.INC($D$7:$D$4378,D3342)*9,0)</f>
        <v>3</v>
      </c>
      <c r="H3342" s="1" t="n">
        <f aca="false">ROUND(_xlfn.PERCENTRANK.INC($E$7:$E$4378,E3342)*9,0)</f>
        <v>1</v>
      </c>
      <c r="I3342" s="1" t="str">
        <f aca="false">CONCATENATE(F3342,G3342,H3342)</f>
        <v>731</v>
      </c>
      <c r="J3342" s="1" t="str">
        <f aca="false">_xlfn.IFS(AND(F3342&gt;=8,G3342&gt;=8,H3342&gt;=8),"CHAMPION",AND(F3342&gt;=6,G3342&gt;=7,H3342&gt;=6),"LOYAL CUSTOMER",AND(F3342&gt;=6,G3342&gt;=5,H3342&gt;=5),"POTENTIAL LOYALIST",AND(F3342&gt;=8,G3342&lt;=2,H3342&gt;=5),"NEW CUSTOMERS",AND(F3342&gt;=6,G3342&lt;=2,H3342&gt;=3),"PROMISING",AND(F3342&gt;=3,G3342&gt;=3,H3342&gt;=3),"NEED ATTENTION",AND(F3342&lt;=4,G3342&gt;=6,H3342&gt;=6),"AT RISK",AND(F3342&lt;=2,G3342&gt;=8,H3342&gt;=8),"CAN'T LOSE THEM",AND(F3342&lt;=2,G3342&lt;=2,H3342&lt;=2),"HIBERNATING",TRUE(),"Other")</f>
        <v>Other</v>
      </c>
      <c r="K3342" s="1" t="n">
        <f aca="false">RANK(E3342,$E$7:$E$4378)+COUNTIF($E$7:E3342,E3342)-1</f>
        <v>3940</v>
      </c>
    </row>
    <row r="3343" customFormat="false" ht="14.25" hidden="false" customHeight="true" outlineLevel="0" collapsed="false">
      <c r="A3343" s="51" t="n">
        <v>16855</v>
      </c>
      <c r="B3343" s="53" t="n">
        <v>40863.5020833333</v>
      </c>
      <c r="C3343" s="57" t="n">
        <f aca="false">INT($C$2)-INT(Table3[[#This Row],[Last Purchase Date]])</f>
        <v>24</v>
      </c>
      <c r="D3343" s="1" t="n">
        <v>2</v>
      </c>
      <c r="E3343" s="1" t="n">
        <v>328.4</v>
      </c>
      <c r="F3343" s="1" t="n">
        <f aca="false">ROUND((1-_xlfn.PERCENTRANK.INC($C$7:$C$4378,C3343))*9,0)</f>
        <v>6</v>
      </c>
      <c r="G3343" s="1" t="n">
        <f aca="false">ROUND(_xlfn.PERCENTRANK.INC($D$7:$D$4378,D3343)*9,0)</f>
        <v>3</v>
      </c>
      <c r="H3343" s="1" t="n">
        <f aca="false">ROUND(_xlfn.PERCENTRANK.INC($E$7:$E$4378,E3343)*9,0)</f>
        <v>3</v>
      </c>
      <c r="I3343" s="1" t="str">
        <f aca="false">CONCATENATE(F3343,G3343,H3343)</f>
        <v>633</v>
      </c>
      <c r="J3343" s="1" t="str">
        <f aca="false">_xlfn.IFS(AND(F3343&gt;=8,G3343&gt;=8,H3343&gt;=8),"CHAMPION",AND(F3343&gt;=6,G3343&gt;=7,H3343&gt;=6),"LOYAL CUSTOMER",AND(F3343&gt;=6,G3343&gt;=5,H3343&gt;=5),"POTENTIAL LOYALIST",AND(F3343&gt;=8,G3343&lt;=2,H3343&gt;=5),"NEW CUSTOMERS",AND(F3343&gt;=6,G3343&lt;=2,H3343&gt;=3),"PROMISING",AND(F3343&gt;=3,G3343&gt;=3,H3343&gt;=3),"NEED ATTENTION",AND(F3343&lt;=4,G3343&gt;=6,H3343&gt;=6),"AT RISK",AND(F3343&lt;=2,G3343&gt;=8,H3343&gt;=8),"CAN'T LOSE THEM",AND(F3343&lt;=2,G3343&lt;=2,H3343&lt;=2),"HIBERNATING",TRUE(),"Other")</f>
        <v>NEED ATTENTION</v>
      </c>
      <c r="K3343" s="1" t="n">
        <f aca="false">RANK(E3343,$E$7:$E$4378)+COUNTIF($E$7:E3343,E3343)-1</f>
        <v>3103</v>
      </c>
    </row>
    <row r="3344" customFormat="false" ht="14.25" hidden="false" customHeight="true" outlineLevel="0" collapsed="false">
      <c r="A3344" s="51" t="n">
        <v>16856</v>
      </c>
      <c r="B3344" s="53" t="n">
        <v>40872.3743055556</v>
      </c>
      <c r="C3344" s="57" t="n">
        <f aca="false">INT($C$2)-INT(Table3[[#This Row],[Last Purchase Date]])</f>
        <v>15</v>
      </c>
      <c r="D3344" s="1" t="n">
        <v>1</v>
      </c>
      <c r="E3344" s="1" t="n">
        <v>35.4</v>
      </c>
      <c r="F3344" s="1" t="n">
        <f aca="false">ROUND((1-_xlfn.PERCENTRANK.INC($C$7:$C$4378,C3344))*9,0)</f>
        <v>7</v>
      </c>
      <c r="G3344" s="1" t="n">
        <f aca="false">ROUND(_xlfn.PERCENTRANK.INC($D$7:$D$4378,D3344)*9,0)</f>
        <v>0</v>
      </c>
      <c r="H3344" s="1" t="n">
        <f aca="false">ROUND(_xlfn.PERCENTRANK.INC($E$7:$E$4378,E3344)*9,0)</f>
        <v>0</v>
      </c>
      <c r="I3344" s="1" t="str">
        <f aca="false">CONCATENATE(F3344,G3344,H3344)</f>
        <v>700</v>
      </c>
      <c r="J3344" s="1" t="str">
        <f aca="false">_xlfn.IFS(AND(F3344&gt;=8,G3344&gt;=8,H3344&gt;=8),"CHAMPION",AND(F3344&gt;=6,G3344&gt;=7,H3344&gt;=6),"LOYAL CUSTOMER",AND(F3344&gt;=6,G3344&gt;=5,H3344&gt;=5),"POTENTIAL LOYALIST",AND(F3344&gt;=8,G3344&lt;=2,H3344&gt;=5),"NEW CUSTOMERS",AND(F3344&gt;=6,G3344&lt;=2,H3344&gt;=3),"PROMISING",AND(F3344&gt;=3,G3344&gt;=3,H3344&gt;=3),"NEED ATTENTION",AND(F3344&lt;=4,G3344&gt;=6,H3344&gt;=6),"AT RISK",AND(F3344&lt;=2,G3344&gt;=8,H3344&gt;=8),"CAN'T LOSE THEM",AND(F3344&lt;=2,G3344&lt;=2,H3344&lt;=2),"HIBERNATING",TRUE(),"Other")</f>
        <v>Other</v>
      </c>
      <c r="K3344" s="1" t="n">
        <f aca="false">RANK(E3344,$E$7:$E$4378)+COUNTIF($E$7:E3344,E3344)-1</f>
        <v>4300</v>
      </c>
    </row>
    <row r="3345" customFormat="false" ht="14.25" hidden="false" customHeight="true" outlineLevel="0" collapsed="false">
      <c r="A3345" s="51" t="n">
        <v>16858</v>
      </c>
      <c r="B3345" s="53" t="n">
        <v>40520.6194444444</v>
      </c>
      <c r="C3345" s="57" t="n">
        <f aca="false">INT($C$2)-INT(Table3[[#This Row],[Last Purchase Date]])</f>
        <v>367</v>
      </c>
      <c r="D3345" s="1" t="n">
        <v>2</v>
      </c>
      <c r="E3345" s="1" t="n">
        <v>345.89</v>
      </c>
      <c r="F3345" s="1" t="n">
        <f aca="false">ROUND((1-_xlfn.PERCENTRANK.INC($C$7:$C$4378,C3345))*9,0)</f>
        <v>0</v>
      </c>
      <c r="G3345" s="1" t="n">
        <f aca="false">ROUND(_xlfn.PERCENTRANK.INC($D$7:$D$4378,D3345)*9,0)</f>
        <v>3</v>
      </c>
      <c r="H3345" s="1" t="n">
        <f aca="false">ROUND(_xlfn.PERCENTRANK.INC($E$7:$E$4378,E3345)*9,0)</f>
        <v>3</v>
      </c>
      <c r="I3345" s="1" t="str">
        <f aca="false">CONCATENATE(F3345,G3345,H3345)</f>
        <v>033</v>
      </c>
      <c r="J3345" s="1" t="str">
        <f aca="false">_xlfn.IFS(AND(F3345&gt;=8,G3345&gt;=8,H3345&gt;=8),"CHAMPION",AND(F3345&gt;=6,G3345&gt;=7,H3345&gt;=6),"LOYAL CUSTOMER",AND(F3345&gt;=6,G3345&gt;=5,H3345&gt;=5),"POTENTIAL LOYALIST",AND(F3345&gt;=8,G3345&lt;=2,H3345&gt;=5),"NEW CUSTOMERS",AND(F3345&gt;=6,G3345&lt;=2,H3345&gt;=3),"PROMISING",AND(F3345&gt;=3,G3345&gt;=3,H3345&gt;=3),"NEED ATTENTION",AND(F3345&lt;=4,G3345&gt;=6,H3345&gt;=6),"AT RISK",AND(F3345&lt;=2,G3345&gt;=8,H3345&gt;=8),"CAN'T LOSE THEM",AND(F3345&lt;=2,G3345&lt;=2,H3345&lt;=2),"HIBERNATING",TRUE(),"Other")</f>
        <v>Other</v>
      </c>
      <c r="K3345" s="1" t="n">
        <f aca="false">RANK(E3345,$E$7:$E$4378)+COUNTIF($E$7:E3345,E3345)-1</f>
        <v>3029</v>
      </c>
    </row>
    <row r="3346" customFormat="false" ht="14.25" hidden="false" customHeight="true" outlineLevel="0" collapsed="false">
      <c r="A3346" s="51" t="n">
        <v>16859</v>
      </c>
      <c r="B3346" s="53" t="n">
        <v>40780.5916666667</v>
      </c>
      <c r="C3346" s="57" t="n">
        <f aca="false">INT($C$2)-INT(Table3[[#This Row],[Last Purchase Date]])</f>
        <v>107</v>
      </c>
      <c r="D3346" s="1" t="n">
        <v>5</v>
      </c>
      <c r="E3346" s="1" t="n">
        <v>473.14</v>
      </c>
      <c r="F3346" s="1" t="n">
        <f aca="false">ROUND((1-_xlfn.PERCENTRANK.INC($C$7:$C$4378,C3346))*9,0)</f>
        <v>3</v>
      </c>
      <c r="G3346" s="1" t="n">
        <f aca="false">ROUND(_xlfn.PERCENTRANK.INC($D$7:$D$4378,D3346)*9,0)</f>
        <v>6</v>
      </c>
      <c r="H3346" s="1" t="n">
        <f aca="false">ROUND(_xlfn.PERCENTRANK.INC($E$7:$E$4378,E3346)*9,0)</f>
        <v>4</v>
      </c>
      <c r="I3346" s="1" t="str">
        <f aca="false">CONCATENATE(F3346,G3346,H3346)</f>
        <v>364</v>
      </c>
      <c r="J3346" s="1" t="str">
        <f aca="false">_xlfn.IFS(AND(F3346&gt;=8,G3346&gt;=8,H3346&gt;=8),"CHAMPION",AND(F3346&gt;=6,G3346&gt;=7,H3346&gt;=6),"LOYAL CUSTOMER",AND(F3346&gt;=6,G3346&gt;=5,H3346&gt;=5),"POTENTIAL LOYALIST",AND(F3346&gt;=8,G3346&lt;=2,H3346&gt;=5),"NEW CUSTOMERS",AND(F3346&gt;=6,G3346&lt;=2,H3346&gt;=3),"PROMISING",AND(F3346&gt;=3,G3346&gt;=3,H3346&gt;=3),"NEED ATTENTION",AND(F3346&lt;=4,G3346&gt;=6,H3346&gt;=6),"AT RISK",AND(F3346&lt;=2,G3346&gt;=8,H3346&gt;=8),"CAN'T LOSE THEM",AND(F3346&lt;=2,G3346&lt;=2,H3346&lt;=2),"HIBERNATING",TRUE(),"Other")</f>
        <v>NEED ATTENTION</v>
      </c>
      <c r="K3346" s="1" t="n">
        <f aca="false">RANK(E3346,$E$7:$E$4378)+COUNTIF($E$7:E3346,E3346)-1</f>
        <v>2606</v>
      </c>
    </row>
    <row r="3347" customFormat="false" ht="14.25" hidden="false" customHeight="true" outlineLevel="0" collapsed="false">
      <c r="A3347" s="51" t="n">
        <v>16861</v>
      </c>
      <c r="B3347" s="53" t="n">
        <v>40827.3784722222</v>
      </c>
      <c r="C3347" s="57" t="n">
        <f aca="false">INT($C$2)-INT(Table3[[#This Row],[Last Purchase Date]])</f>
        <v>60</v>
      </c>
      <c r="D3347" s="1" t="n">
        <v>3</v>
      </c>
      <c r="E3347" s="1" t="n">
        <v>151.65</v>
      </c>
      <c r="F3347" s="1" t="n">
        <f aca="false">ROUND((1-_xlfn.PERCENTRANK.INC($C$7:$C$4378,C3347))*9,0)</f>
        <v>4</v>
      </c>
      <c r="G3347" s="1" t="n">
        <f aca="false">ROUND(_xlfn.PERCENTRANK.INC($D$7:$D$4378,D3347)*9,0)</f>
        <v>4</v>
      </c>
      <c r="H3347" s="1" t="n">
        <f aca="false">ROUND(_xlfn.PERCENTRANK.INC($E$7:$E$4378,E3347)*9,0)</f>
        <v>1</v>
      </c>
      <c r="I3347" s="1" t="str">
        <f aca="false">CONCATENATE(F3347,G3347,H3347)</f>
        <v>441</v>
      </c>
      <c r="J3347" s="1" t="str">
        <f aca="false">_xlfn.IFS(AND(F3347&gt;=8,G3347&gt;=8,H3347&gt;=8),"CHAMPION",AND(F3347&gt;=6,G3347&gt;=7,H3347&gt;=6),"LOYAL CUSTOMER",AND(F3347&gt;=6,G3347&gt;=5,H3347&gt;=5),"POTENTIAL LOYALIST",AND(F3347&gt;=8,G3347&lt;=2,H3347&gt;=5),"NEW CUSTOMERS",AND(F3347&gt;=6,G3347&lt;=2,H3347&gt;=3),"PROMISING",AND(F3347&gt;=3,G3347&gt;=3,H3347&gt;=3),"NEED ATTENTION",AND(F3347&lt;=4,G3347&gt;=6,H3347&gt;=6),"AT RISK",AND(F3347&lt;=2,G3347&gt;=8,H3347&gt;=8),"CAN'T LOSE THEM",AND(F3347&lt;=2,G3347&lt;=2,H3347&lt;=2),"HIBERNATING",TRUE(),"Other")</f>
        <v>Other</v>
      </c>
      <c r="K3347" s="1" t="n">
        <f aca="false">RANK(E3347,$E$7:$E$4378)+COUNTIF($E$7:E3347,E3347)-1</f>
        <v>3912</v>
      </c>
    </row>
    <row r="3348" customFormat="false" ht="14.25" hidden="false" customHeight="true" outlineLevel="0" collapsed="false">
      <c r="A3348" s="51" t="n">
        <v>16863</v>
      </c>
      <c r="B3348" s="53" t="n">
        <v>40857.6409722222</v>
      </c>
      <c r="C3348" s="57" t="n">
        <f aca="false">INT($C$2)-INT(Table3[[#This Row],[Last Purchase Date]])</f>
        <v>30</v>
      </c>
      <c r="D3348" s="1" t="n">
        <v>4</v>
      </c>
      <c r="E3348" s="1" t="n">
        <v>481.35</v>
      </c>
      <c r="F3348" s="1" t="n">
        <f aca="false">ROUND((1-_xlfn.PERCENTRANK.INC($C$7:$C$4378,C3348))*9,0)</f>
        <v>6</v>
      </c>
      <c r="G3348" s="1" t="n">
        <f aca="false">ROUND(_xlfn.PERCENTRANK.INC($D$7:$D$4378,D3348)*9,0)</f>
        <v>5</v>
      </c>
      <c r="H3348" s="1" t="n">
        <f aca="false">ROUND(_xlfn.PERCENTRANK.INC($E$7:$E$4378,E3348)*9,0)</f>
        <v>4</v>
      </c>
      <c r="I3348" s="1" t="str">
        <f aca="false">CONCATENATE(F3348,G3348,H3348)</f>
        <v>654</v>
      </c>
      <c r="J3348" s="1" t="str">
        <f aca="false">_xlfn.IFS(AND(F3348&gt;=8,G3348&gt;=8,H3348&gt;=8),"CHAMPION",AND(F3348&gt;=6,G3348&gt;=7,H3348&gt;=6),"LOYAL CUSTOMER",AND(F3348&gt;=6,G3348&gt;=5,H3348&gt;=5),"POTENTIAL LOYALIST",AND(F3348&gt;=8,G3348&lt;=2,H3348&gt;=5),"NEW CUSTOMERS",AND(F3348&gt;=6,G3348&lt;=2,H3348&gt;=3),"PROMISING",AND(F3348&gt;=3,G3348&gt;=3,H3348&gt;=3),"NEED ATTENTION",AND(F3348&lt;=4,G3348&gt;=6,H3348&gt;=6),"AT RISK",AND(F3348&lt;=2,G3348&gt;=8,H3348&gt;=8),"CAN'T LOSE THEM",AND(F3348&lt;=2,G3348&lt;=2,H3348&lt;=2),"HIBERNATING",TRUE(),"Other")</f>
        <v>NEED ATTENTION</v>
      </c>
      <c r="K3348" s="1" t="n">
        <f aca="false">RANK(E3348,$E$7:$E$4378)+COUNTIF($E$7:E3348,E3348)-1</f>
        <v>2594</v>
      </c>
    </row>
    <row r="3349" customFormat="false" ht="14.25" hidden="false" customHeight="true" outlineLevel="0" collapsed="false">
      <c r="A3349" s="51" t="n">
        <v>16866</v>
      </c>
      <c r="B3349" s="53" t="n">
        <v>40746.4208333333</v>
      </c>
      <c r="C3349" s="57" t="n">
        <f aca="false">INT($C$2)-INT(Table3[[#This Row],[Last Purchase Date]])</f>
        <v>141</v>
      </c>
      <c r="D3349" s="1" t="n">
        <v>3</v>
      </c>
      <c r="E3349" s="1" t="n">
        <v>207.74</v>
      </c>
      <c r="F3349" s="1" t="n">
        <f aca="false">ROUND((1-_xlfn.PERCENTRANK.INC($C$7:$C$4378,C3349))*9,0)</f>
        <v>2</v>
      </c>
      <c r="G3349" s="1" t="n">
        <f aca="false">ROUND(_xlfn.PERCENTRANK.INC($D$7:$D$4378,D3349)*9,0)</f>
        <v>4</v>
      </c>
      <c r="H3349" s="1" t="n">
        <f aca="false">ROUND(_xlfn.PERCENTRANK.INC($E$7:$E$4378,E3349)*9,0)</f>
        <v>2</v>
      </c>
      <c r="I3349" s="1" t="str">
        <f aca="false">CONCATENATE(F3349,G3349,H3349)</f>
        <v>242</v>
      </c>
      <c r="J3349" s="1" t="str">
        <f aca="false">_xlfn.IFS(AND(F3349&gt;=8,G3349&gt;=8,H3349&gt;=8),"CHAMPION",AND(F3349&gt;=6,G3349&gt;=7,H3349&gt;=6),"LOYAL CUSTOMER",AND(F3349&gt;=6,G3349&gt;=5,H3349&gt;=5),"POTENTIAL LOYALIST",AND(F3349&gt;=8,G3349&lt;=2,H3349&gt;=5),"NEW CUSTOMERS",AND(F3349&gt;=6,G3349&lt;=2,H3349&gt;=3),"PROMISING",AND(F3349&gt;=3,G3349&gt;=3,H3349&gt;=3),"NEED ATTENTION",AND(F3349&lt;=4,G3349&gt;=6,H3349&gt;=6),"AT RISK",AND(F3349&lt;=2,G3349&gt;=8,H3349&gt;=8),"CAN'T LOSE THEM",AND(F3349&lt;=2,G3349&lt;=2,H3349&lt;=2),"HIBERNATING",TRUE(),"Other")</f>
        <v>Other</v>
      </c>
      <c r="K3349" s="1" t="n">
        <f aca="false">RANK(E3349,$E$7:$E$4378)+COUNTIF($E$7:E3349,E3349)-1</f>
        <v>3622</v>
      </c>
    </row>
    <row r="3350" customFormat="false" ht="14.25" hidden="false" customHeight="true" outlineLevel="0" collapsed="false">
      <c r="A3350" s="51" t="n">
        <v>16869</v>
      </c>
      <c r="B3350" s="53" t="n">
        <v>40864.5013888889</v>
      </c>
      <c r="C3350" s="57" t="n">
        <f aca="false">INT($C$2)-INT(Table3[[#This Row],[Last Purchase Date]])</f>
        <v>23</v>
      </c>
      <c r="D3350" s="1" t="n">
        <v>5</v>
      </c>
      <c r="E3350" s="1" t="n">
        <v>805.62</v>
      </c>
      <c r="F3350" s="1" t="n">
        <f aca="false">ROUND((1-_xlfn.PERCENTRANK.INC($C$7:$C$4378,C3350))*9,0)</f>
        <v>6</v>
      </c>
      <c r="G3350" s="1" t="n">
        <f aca="false">ROUND(_xlfn.PERCENTRANK.INC($D$7:$D$4378,D3350)*9,0)</f>
        <v>6</v>
      </c>
      <c r="H3350" s="1" t="n">
        <f aca="false">ROUND(_xlfn.PERCENTRANK.INC($E$7:$E$4378,E3350)*9,0)</f>
        <v>5</v>
      </c>
      <c r="I3350" s="1" t="str">
        <f aca="false">CONCATENATE(F3350,G3350,H3350)</f>
        <v>665</v>
      </c>
      <c r="J3350" s="1" t="str">
        <f aca="false">_xlfn.IFS(AND(F3350&gt;=8,G3350&gt;=8,H3350&gt;=8),"CHAMPION",AND(F3350&gt;=6,G3350&gt;=7,H3350&gt;=6),"LOYAL CUSTOMER",AND(F3350&gt;=6,G3350&gt;=5,H3350&gt;=5),"POTENTIAL LOYALIST",AND(F3350&gt;=8,G3350&lt;=2,H3350&gt;=5),"NEW CUSTOMERS",AND(F3350&gt;=6,G3350&lt;=2,H3350&gt;=3),"PROMISING",AND(F3350&gt;=3,G3350&gt;=3,H3350&gt;=3),"NEED ATTENTION",AND(F3350&lt;=4,G3350&gt;=6,H3350&gt;=6),"AT RISK",AND(F3350&lt;=2,G3350&gt;=8,H3350&gt;=8),"CAN'T LOSE THEM",AND(F3350&lt;=2,G3350&lt;=2,H3350&lt;=2),"HIBERNATING",TRUE(),"Other")</f>
        <v>POTENTIAL LOYALIST</v>
      </c>
      <c r="K3350" s="1" t="n">
        <f aca="false">RANK(E3350,$E$7:$E$4378)+COUNTIF($E$7:E3350,E3350)-1</f>
        <v>1891</v>
      </c>
    </row>
    <row r="3351" customFormat="false" ht="14.25" hidden="false" customHeight="true" outlineLevel="0" collapsed="false">
      <c r="A3351" s="51" t="n">
        <v>16871</v>
      </c>
      <c r="B3351" s="53" t="n">
        <v>40864.8104166667</v>
      </c>
      <c r="C3351" s="57" t="n">
        <f aca="false">INT($C$2)-INT(Table3[[#This Row],[Last Purchase Date]])</f>
        <v>23</v>
      </c>
      <c r="D3351" s="1" t="n">
        <v>7</v>
      </c>
      <c r="E3351" s="1" t="n">
        <v>2761.49</v>
      </c>
      <c r="F3351" s="1" t="n">
        <f aca="false">ROUND((1-_xlfn.PERCENTRANK.INC($C$7:$C$4378,C3351))*9,0)</f>
        <v>6</v>
      </c>
      <c r="G3351" s="1" t="n">
        <f aca="false">ROUND(_xlfn.PERCENTRANK.INC($D$7:$D$4378,D3351)*9,0)</f>
        <v>7</v>
      </c>
      <c r="H3351" s="1" t="n">
        <f aca="false">ROUND(_xlfn.PERCENTRANK.INC($E$7:$E$4378,E3351)*9,0)</f>
        <v>8</v>
      </c>
      <c r="I3351" s="1" t="str">
        <f aca="false">CONCATENATE(F3351,G3351,H3351)</f>
        <v>678</v>
      </c>
      <c r="J3351" s="1" t="str">
        <f aca="false">_xlfn.IFS(AND(F3351&gt;=8,G3351&gt;=8,H3351&gt;=8),"CHAMPION",AND(F3351&gt;=6,G3351&gt;=7,H3351&gt;=6),"LOYAL CUSTOMER",AND(F3351&gt;=6,G3351&gt;=5,H3351&gt;=5),"POTENTIAL LOYALIST",AND(F3351&gt;=8,G3351&lt;=2,H3351&gt;=5),"NEW CUSTOMERS",AND(F3351&gt;=6,G3351&lt;=2,H3351&gt;=3),"PROMISING",AND(F3351&gt;=3,G3351&gt;=3,H3351&gt;=3),"NEED ATTENTION",AND(F3351&lt;=4,G3351&gt;=6,H3351&gt;=6),"AT RISK",AND(F3351&lt;=2,G3351&gt;=8,H3351&gt;=8),"CAN'T LOSE THEM",AND(F3351&lt;=2,G3351&lt;=2,H3351&lt;=2),"HIBERNATING",TRUE(),"Other")</f>
        <v>LOYAL CUSTOMER</v>
      </c>
      <c r="K3351" s="1" t="n">
        <f aca="false">RANK(E3351,$E$7:$E$4378)+COUNTIF($E$7:E3351,E3351)-1</f>
        <v>595</v>
      </c>
    </row>
    <row r="3352" customFormat="false" ht="14.25" hidden="false" customHeight="true" outlineLevel="0" collapsed="false">
      <c r="A3352" s="51" t="n">
        <v>16872</v>
      </c>
      <c r="B3352" s="53" t="n">
        <v>40809.6701388889</v>
      </c>
      <c r="C3352" s="57" t="n">
        <f aca="false">INT($C$2)-INT(Table3[[#This Row],[Last Purchase Date]])</f>
        <v>78</v>
      </c>
      <c r="D3352" s="1" t="n">
        <v>3</v>
      </c>
      <c r="E3352" s="1" t="n">
        <v>680.02</v>
      </c>
      <c r="F3352" s="1" t="n">
        <f aca="false">ROUND((1-_xlfn.PERCENTRANK.INC($C$7:$C$4378,C3352))*9,0)</f>
        <v>3</v>
      </c>
      <c r="G3352" s="1" t="n">
        <f aca="false">ROUND(_xlfn.PERCENTRANK.INC($D$7:$D$4378,D3352)*9,0)</f>
        <v>4</v>
      </c>
      <c r="H3352" s="1" t="n">
        <f aca="false">ROUND(_xlfn.PERCENTRANK.INC($E$7:$E$4378,E3352)*9,0)</f>
        <v>5</v>
      </c>
      <c r="I3352" s="1" t="str">
        <f aca="false">CONCATENATE(F3352,G3352,H3352)</f>
        <v>345</v>
      </c>
      <c r="J3352" s="1" t="str">
        <f aca="false">_xlfn.IFS(AND(F3352&gt;=8,G3352&gt;=8,H3352&gt;=8),"CHAMPION",AND(F3352&gt;=6,G3352&gt;=7,H3352&gt;=6),"LOYAL CUSTOMER",AND(F3352&gt;=6,G3352&gt;=5,H3352&gt;=5),"POTENTIAL LOYALIST",AND(F3352&gt;=8,G3352&lt;=2,H3352&gt;=5),"NEW CUSTOMERS",AND(F3352&gt;=6,G3352&lt;=2,H3352&gt;=3),"PROMISING",AND(F3352&gt;=3,G3352&gt;=3,H3352&gt;=3),"NEED ATTENTION",AND(F3352&lt;=4,G3352&gt;=6,H3352&gt;=6),"AT RISK",AND(F3352&lt;=2,G3352&gt;=8,H3352&gt;=8),"CAN'T LOSE THEM",AND(F3352&lt;=2,G3352&lt;=2,H3352&lt;=2),"HIBERNATING",TRUE(),"Other")</f>
        <v>NEED ATTENTION</v>
      </c>
      <c r="K3352" s="1" t="n">
        <f aca="false">RANK(E3352,$E$7:$E$4378)+COUNTIF($E$7:E3352,E3352)-1</f>
        <v>2107</v>
      </c>
    </row>
    <row r="3353" customFormat="false" ht="14.25" hidden="false" customHeight="true" outlineLevel="0" collapsed="false">
      <c r="A3353" s="51" t="n">
        <v>16873</v>
      </c>
      <c r="B3353" s="53" t="n">
        <v>40882.5034722222</v>
      </c>
      <c r="C3353" s="57" t="n">
        <f aca="false">INT($C$2)-INT(Table3[[#This Row],[Last Purchase Date]])</f>
        <v>5</v>
      </c>
      <c r="D3353" s="1" t="n">
        <v>10</v>
      </c>
      <c r="E3353" s="1" t="n">
        <v>7066.31</v>
      </c>
      <c r="F3353" s="1" t="n">
        <f aca="false">ROUND((1-_xlfn.PERCENTRANK.INC($C$7:$C$4378,C3353))*9,0)</f>
        <v>8</v>
      </c>
      <c r="G3353" s="1" t="n">
        <f aca="false">ROUND(_xlfn.PERCENTRANK.INC($D$7:$D$4378,D3353)*9,0)</f>
        <v>8</v>
      </c>
      <c r="H3353" s="1" t="n">
        <f aca="false">ROUND(_xlfn.PERCENTRANK.INC($E$7:$E$4378,E3353)*9,0)</f>
        <v>9</v>
      </c>
      <c r="I3353" s="1" t="str">
        <f aca="false">CONCATENATE(F3353,G3353,H3353)</f>
        <v>889</v>
      </c>
      <c r="J3353" s="1" t="str">
        <f aca="false">_xlfn.IFS(AND(F3353&gt;=8,G3353&gt;=8,H3353&gt;=8),"CHAMPION",AND(F3353&gt;=6,G3353&gt;=7,H3353&gt;=6),"LOYAL CUSTOMER",AND(F3353&gt;=6,G3353&gt;=5,H3353&gt;=5),"POTENTIAL LOYALIST",AND(F3353&gt;=8,G3353&lt;=2,H3353&gt;=5),"NEW CUSTOMERS",AND(F3353&gt;=6,G3353&lt;=2,H3353&gt;=3),"PROMISING",AND(F3353&gt;=3,G3353&gt;=3,H3353&gt;=3),"NEED ATTENTION",AND(F3353&lt;=4,G3353&gt;=6,H3353&gt;=6),"AT RISK",AND(F3353&lt;=2,G3353&gt;=8,H3353&gt;=8),"CAN'T LOSE THEM",AND(F3353&lt;=2,G3353&lt;=2,H3353&lt;=2),"HIBERNATING",TRUE(),"Other")</f>
        <v>CHAMPION</v>
      </c>
      <c r="K3353" s="1" t="n">
        <f aca="false">RANK(E3353,$E$7:$E$4378)+COUNTIF($E$7:E3353,E3353)-1</f>
        <v>152</v>
      </c>
    </row>
    <row r="3354" customFormat="false" ht="14.25" hidden="false" customHeight="true" outlineLevel="0" collapsed="false">
      <c r="A3354" s="51" t="n">
        <v>16875</v>
      </c>
      <c r="B3354" s="53" t="n">
        <v>40822.8055555556</v>
      </c>
      <c r="C3354" s="57" t="n">
        <f aca="false">INT($C$2)-INT(Table3[[#This Row],[Last Purchase Date]])</f>
        <v>65</v>
      </c>
      <c r="D3354" s="1" t="n">
        <v>9</v>
      </c>
      <c r="E3354" s="1" t="n">
        <v>2023.47</v>
      </c>
      <c r="F3354" s="1" t="n">
        <f aca="false">ROUND((1-_xlfn.PERCENTRANK.INC($C$7:$C$4378,C3354))*9,0)</f>
        <v>4</v>
      </c>
      <c r="G3354" s="1" t="n">
        <f aca="false">ROUND(_xlfn.PERCENTRANK.INC($D$7:$D$4378,D3354)*9,0)</f>
        <v>8</v>
      </c>
      <c r="H3354" s="1" t="n">
        <f aca="false">ROUND(_xlfn.PERCENTRANK.INC($E$7:$E$4378,E3354)*9,0)</f>
        <v>7</v>
      </c>
      <c r="I3354" s="1" t="str">
        <f aca="false">CONCATENATE(F3354,G3354,H3354)</f>
        <v>487</v>
      </c>
      <c r="J3354" s="1" t="str">
        <f aca="false">_xlfn.IFS(AND(F3354&gt;=8,G3354&gt;=8,H3354&gt;=8),"CHAMPION",AND(F3354&gt;=6,G3354&gt;=7,H3354&gt;=6),"LOYAL CUSTOMER",AND(F3354&gt;=6,G3354&gt;=5,H3354&gt;=5),"POTENTIAL LOYALIST",AND(F3354&gt;=8,G3354&lt;=2,H3354&gt;=5),"NEW CUSTOMERS",AND(F3354&gt;=6,G3354&lt;=2,H3354&gt;=3),"PROMISING",AND(F3354&gt;=3,G3354&gt;=3,H3354&gt;=3),"NEED ATTENTION",AND(F3354&lt;=4,G3354&gt;=6,H3354&gt;=6),"AT RISK",AND(F3354&lt;=2,G3354&gt;=8,H3354&gt;=8),"CAN'T LOSE THEM",AND(F3354&lt;=2,G3354&lt;=2,H3354&lt;=2),"HIBERNATING",TRUE(),"Other")</f>
        <v>NEED ATTENTION</v>
      </c>
      <c r="K3354" s="1" t="n">
        <f aca="false">RANK(E3354,$E$7:$E$4378)+COUNTIF($E$7:E3354,E3354)-1</f>
        <v>864</v>
      </c>
    </row>
    <row r="3355" customFormat="false" ht="14.25" hidden="false" customHeight="true" outlineLevel="0" collapsed="false">
      <c r="A3355" s="51" t="n">
        <v>16877</v>
      </c>
      <c r="B3355" s="53" t="n">
        <v>40874.5743055556</v>
      </c>
      <c r="C3355" s="57" t="n">
        <f aca="false">INT($C$2)-INT(Table3[[#This Row],[Last Purchase Date]])</f>
        <v>13</v>
      </c>
      <c r="D3355" s="1" t="n">
        <v>6</v>
      </c>
      <c r="E3355" s="1" t="n">
        <v>853.72</v>
      </c>
      <c r="F3355" s="1" t="n">
        <f aca="false">ROUND((1-_xlfn.PERCENTRANK.INC($C$7:$C$4378,C3355))*9,0)</f>
        <v>7</v>
      </c>
      <c r="G3355" s="1" t="n">
        <f aca="false">ROUND(_xlfn.PERCENTRANK.INC($D$7:$D$4378,D3355)*9,0)</f>
        <v>7</v>
      </c>
      <c r="H3355" s="1" t="n">
        <f aca="false">ROUND(_xlfn.PERCENTRANK.INC($E$7:$E$4378,E3355)*9,0)</f>
        <v>5</v>
      </c>
      <c r="I3355" s="1" t="str">
        <f aca="false">CONCATENATE(F3355,G3355,H3355)</f>
        <v>775</v>
      </c>
      <c r="J3355" s="1" t="str">
        <f aca="false">_xlfn.IFS(AND(F3355&gt;=8,G3355&gt;=8,H3355&gt;=8),"CHAMPION",AND(F3355&gt;=6,G3355&gt;=7,H3355&gt;=6),"LOYAL CUSTOMER",AND(F3355&gt;=6,G3355&gt;=5,H3355&gt;=5),"POTENTIAL LOYALIST",AND(F3355&gt;=8,G3355&lt;=2,H3355&gt;=5),"NEW CUSTOMERS",AND(F3355&gt;=6,G3355&lt;=2,H3355&gt;=3),"PROMISING",AND(F3355&gt;=3,G3355&gt;=3,H3355&gt;=3),"NEED ATTENTION",AND(F3355&lt;=4,G3355&gt;=6,H3355&gt;=6),"AT RISK",AND(F3355&lt;=2,G3355&gt;=8,H3355&gt;=8),"CAN'T LOSE THEM",AND(F3355&lt;=2,G3355&lt;=2,H3355&lt;=2),"HIBERNATING",TRUE(),"Other")</f>
        <v>POTENTIAL LOYALIST</v>
      </c>
      <c r="K3355" s="1" t="n">
        <f aca="false">RANK(E3355,$E$7:$E$4378)+COUNTIF($E$7:E3355,E3355)-1</f>
        <v>1824</v>
      </c>
    </row>
    <row r="3356" customFormat="false" ht="14.25" hidden="false" customHeight="true" outlineLevel="0" collapsed="false">
      <c r="A3356" s="51" t="n">
        <v>16878</v>
      </c>
      <c r="B3356" s="53" t="n">
        <v>40862.3694444444</v>
      </c>
      <c r="C3356" s="57" t="n">
        <f aca="false">INT($C$2)-INT(Table3[[#This Row],[Last Purchase Date]])</f>
        <v>25</v>
      </c>
      <c r="D3356" s="1" t="n">
        <v>2</v>
      </c>
      <c r="E3356" s="1" t="n">
        <v>0</v>
      </c>
      <c r="F3356" s="1" t="n">
        <f aca="false">ROUND((1-_xlfn.PERCENTRANK.INC($C$7:$C$4378,C3356))*9,0)</f>
        <v>6</v>
      </c>
      <c r="G3356" s="1" t="n">
        <f aca="false">ROUND(_xlfn.PERCENTRANK.INC($D$7:$D$4378,D3356)*9,0)</f>
        <v>3</v>
      </c>
      <c r="H3356" s="1" t="n">
        <f aca="false">ROUND(_xlfn.PERCENTRANK.INC($E$7:$E$4378,E3356)*9,0)</f>
        <v>0</v>
      </c>
      <c r="I3356" s="1" t="str">
        <f aca="false">CONCATENATE(F3356,G3356,H3356)</f>
        <v>630</v>
      </c>
      <c r="J3356" s="1" t="str">
        <f aca="false">_xlfn.IFS(AND(F3356&gt;=8,G3356&gt;=8,H3356&gt;=8),"CHAMPION",AND(F3356&gt;=6,G3356&gt;=7,H3356&gt;=6),"LOYAL CUSTOMER",AND(F3356&gt;=6,G3356&gt;=5,H3356&gt;=5),"POTENTIAL LOYALIST",AND(F3356&gt;=8,G3356&lt;=2,H3356&gt;=5),"NEW CUSTOMERS",AND(F3356&gt;=6,G3356&lt;=2,H3356&gt;=3),"PROMISING",AND(F3356&gt;=3,G3356&gt;=3,H3356&gt;=3),"NEED ATTENTION",AND(F3356&lt;=4,G3356&gt;=6,H3356&gt;=6),"AT RISK",AND(F3356&lt;=2,G3356&gt;=8,H3356&gt;=8),"CAN'T LOSE THEM",AND(F3356&lt;=2,G3356&lt;=2,H3356&lt;=2),"HIBERNATING",TRUE(),"Other")</f>
        <v>Other</v>
      </c>
      <c r="K3356" s="1" t="n">
        <f aca="false">RANK(E3356,$E$7:$E$4378)+COUNTIF($E$7:E3356,E3356)-1</f>
        <v>4327</v>
      </c>
    </row>
    <row r="3357" customFormat="false" ht="14.25" hidden="false" customHeight="true" outlineLevel="0" collapsed="false">
      <c r="A3357" s="51" t="n">
        <v>16880</v>
      </c>
      <c r="B3357" s="53" t="n">
        <v>40856.48125</v>
      </c>
      <c r="C3357" s="57" t="n">
        <f aca="false">INT($C$2)-INT(Table3[[#This Row],[Last Purchase Date]])</f>
        <v>31</v>
      </c>
      <c r="D3357" s="1" t="n">
        <v>7</v>
      </c>
      <c r="E3357" s="1" t="n">
        <v>1519.08</v>
      </c>
      <c r="F3357" s="1" t="n">
        <f aca="false">ROUND((1-_xlfn.PERCENTRANK.INC($C$7:$C$4378,C3357))*9,0)</f>
        <v>6</v>
      </c>
      <c r="G3357" s="1" t="n">
        <f aca="false">ROUND(_xlfn.PERCENTRANK.INC($D$7:$D$4378,D3357)*9,0)</f>
        <v>7</v>
      </c>
      <c r="H3357" s="1" t="n">
        <f aca="false">ROUND(_xlfn.PERCENTRANK.INC($E$7:$E$4378,E3357)*9,0)</f>
        <v>7</v>
      </c>
      <c r="I3357" s="1" t="str">
        <f aca="false">CONCATENATE(F3357,G3357,H3357)</f>
        <v>677</v>
      </c>
      <c r="J3357" s="1" t="str">
        <f aca="false">_xlfn.IFS(AND(F3357&gt;=8,G3357&gt;=8,H3357&gt;=8),"CHAMPION",AND(F3357&gt;=6,G3357&gt;=7,H3357&gt;=6),"LOYAL CUSTOMER",AND(F3357&gt;=6,G3357&gt;=5,H3357&gt;=5),"POTENTIAL LOYALIST",AND(F3357&gt;=8,G3357&lt;=2,H3357&gt;=5),"NEW CUSTOMERS",AND(F3357&gt;=6,G3357&lt;=2,H3357&gt;=3),"PROMISING",AND(F3357&gt;=3,G3357&gt;=3,H3357&gt;=3),"NEED ATTENTION",AND(F3357&lt;=4,G3357&gt;=6,H3357&gt;=6),"AT RISK",AND(F3357&lt;=2,G3357&gt;=8,H3357&gt;=8),"CAN'T LOSE THEM",AND(F3357&lt;=2,G3357&lt;=2,H3357&lt;=2),"HIBERNATING",TRUE(),"Other")</f>
        <v>LOYAL CUSTOMER</v>
      </c>
      <c r="K3357" s="1" t="n">
        <f aca="false">RANK(E3357,$E$7:$E$4378)+COUNTIF($E$7:E3357,E3357)-1</f>
        <v>1152</v>
      </c>
    </row>
    <row r="3358" customFormat="false" ht="14.25" hidden="false" customHeight="true" outlineLevel="0" collapsed="false">
      <c r="A3358" s="51" t="n">
        <v>16881</v>
      </c>
      <c r="B3358" s="53" t="n">
        <v>40820.4395833333</v>
      </c>
      <c r="C3358" s="57" t="n">
        <f aca="false">INT($C$2)-INT(Table3[[#This Row],[Last Purchase Date]])</f>
        <v>67</v>
      </c>
      <c r="D3358" s="1" t="n">
        <v>1</v>
      </c>
      <c r="E3358" s="1" t="n">
        <v>432</v>
      </c>
      <c r="F3358" s="1" t="n">
        <f aca="false">ROUND((1-_xlfn.PERCENTRANK.INC($C$7:$C$4378,C3358))*9,0)</f>
        <v>4</v>
      </c>
      <c r="G3358" s="1" t="n">
        <f aca="false">ROUND(_xlfn.PERCENTRANK.INC($D$7:$D$4378,D3358)*9,0)</f>
        <v>0</v>
      </c>
      <c r="H3358" s="1" t="n">
        <f aca="false">ROUND(_xlfn.PERCENTRANK.INC($E$7:$E$4378,E3358)*9,0)</f>
        <v>3</v>
      </c>
      <c r="I3358" s="1" t="str">
        <f aca="false">CONCATENATE(F3358,G3358,H3358)</f>
        <v>403</v>
      </c>
      <c r="J3358" s="1" t="str">
        <f aca="false">_xlfn.IFS(AND(F3358&gt;=8,G3358&gt;=8,H3358&gt;=8),"CHAMPION",AND(F3358&gt;=6,G3358&gt;=7,H3358&gt;=6),"LOYAL CUSTOMER",AND(F3358&gt;=6,G3358&gt;=5,H3358&gt;=5),"POTENTIAL LOYALIST",AND(F3358&gt;=8,G3358&lt;=2,H3358&gt;=5),"NEW CUSTOMERS",AND(F3358&gt;=6,G3358&lt;=2,H3358&gt;=3),"PROMISING",AND(F3358&gt;=3,G3358&gt;=3,H3358&gt;=3),"NEED ATTENTION",AND(F3358&lt;=4,G3358&gt;=6,H3358&gt;=6),"AT RISK",AND(F3358&lt;=2,G3358&gt;=8,H3358&gt;=8),"CAN'T LOSE THEM",AND(F3358&lt;=2,G3358&lt;=2,H3358&lt;=2),"HIBERNATING",TRUE(),"Other")</f>
        <v>Other</v>
      </c>
      <c r="K3358" s="1" t="n">
        <f aca="false">RANK(E3358,$E$7:$E$4378)+COUNTIF($E$7:E3358,E3358)-1</f>
        <v>2711</v>
      </c>
    </row>
    <row r="3359" customFormat="false" ht="14.25" hidden="false" customHeight="true" outlineLevel="0" collapsed="false">
      <c r="A3359" s="51" t="n">
        <v>16882</v>
      </c>
      <c r="B3359" s="53" t="n">
        <v>40820.4458333333</v>
      </c>
      <c r="C3359" s="57" t="n">
        <f aca="false">INT($C$2)-INT(Table3[[#This Row],[Last Purchase Date]])</f>
        <v>67</v>
      </c>
      <c r="D3359" s="1" t="n">
        <v>3</v>
      </c>
      <c r="E3359" s="1" t="n">
        <v>705.12</v>
      </c>
      <c r="F3359" s="1" t="n">
        <f aca="false">ROUND((1-_xlfn.PERCENTRANK.INC($C$7:$C$4378,C3359))*9,0)</f>
        <v>4</v>
      </c>
      <c r="G3359" s="1" t="n">
        <f aca="false">ROUND(_xlfn.PERCENTRANK.INC($D$7:$D$4378,D3359)*9,0)</f>
        <v>4</v>
      </c>
      <c r="H3359" s="1" t="n">
        <f aca="false">ROUND(_xlfn.PERCENTRANK.INC($E$7:$E$4378,E3359)*9,0)</f>
        <v>5</v>
      </c>
      <c r="I3359" s="1" t="str">
        <f aca="false">CONCATENATE(F3359,G3359,H3359)</f>
        <v>445</v>
      </c>
      <c r="J3359" s="1" t="str">
        <f aca="false">_xlfn.IFS(AND(F3359&gt;=8,G3359&gt;=8,H3359&gt;=8),"CHAMPION",AND(F3359&gt;=6,G3359&gt;=7,H3359&gt;=6),"LOYAL CUSTOMER",AND(F3359&gt;=6,G3359&gt;=5,H3359&gt;=5),"POTENTIAL LOYALIST",AND(F3359&gt;=8,G3359&lt;=2,H3359&gt;=5),"NEW CUSTOMERS",AND(F3359&gt;=6,G3359&lt;=2,H3359&gt;=3),"PROMISING",AND(F3359&gt;=3,G3359&gt;=3,H3359&gt;=3),"NEED ATTENTION",AND(F3359&lt;=4,G3359&gt;=6,H3359&gt;=6),"AT RISK",AND(F3359&lt;=2,G3359&gt;=8,H3359&gt;=8),"CAN'T LOSE THEM",AND(F3359&lt;=2,G3359&lt;=2,H3359&lt;=2),"HIBERNATING",TRUE(),"Other")</f>
        <v>NEED ATTENTION</v>
      </c>
      <c r="K3359" s="1" t="n">
        <f aca="false">RANK(E3359,$E$7:$E$4378)+COUNTIF($E$7:E3359,E3359)-1</f>
        <v>2056</v>
      </c>
    </row>
    <row r="3360" customFormat="false" ht="14.25" hidden="false" customHeight="true" outlineLevel="0" collapsed="false">
      <c r="A3360" s="51" t="n">
        <v>16883</v>
      </c>
      <c r="B3360" s="53" t="n">
        <v>40699.5354166667</v>
      </c>
      <c r="C3360" s="57" t="n">
        <f aca="false">INT($C$2)-INT(Table3[[#This Row],[Last Purchase Date]])</f>
        <v>188</v>
      </c>
      <c r="D3360" s="1" t="n">
        <v>2</v>
      </c>
      <c r="E3360" s="1" t="n">
        <v>276.73</v>
      </c>
      <c r="F3360" s="1" t="n">
        <f aca="false">ROUND((1-_xlfn.PERCENTRANK.INC($C$7:$C$4378,C3360))*9,0)</f>
        <v>2</v>
      </c>
      <c r="G3360" s="1" t="n">
        <f aca="false">ROUND(_xlfn.PERCENTRANK.INC($D$7:$D$4378,D3360)*9,0)</f>
        <v>3</v>
      </c>
      <c r="H3360" s="1" t="n">
        <f aca="false">ROUND(_xlfn.PERCENTRANK.INC($E$7:$E$4378,E3360)*9,0)</f>
        <v>2</v>
      </c>
      <c r="I3360" s="1" t="str">
        <f aca="false">CONCATENATE(F3360,G3360,H3360)</f>
        <v>232</v>
      </c>
      <c r="J3360" s="1" t="str">
        <f aca="false">_xlfn.IFS(AND(F3360&gt;=8,G3360&gt;=8,H3360&gt;=8),"CHAMPION",AND(F3360&gt;=6,G3360&gt;=7,H3360&gt;=6),"LOYAL CUSTOMER",AND(F3360&gt;=6,G3360&gt;=5,H3360&gt;=5),"POTENTIAL LOYALIST",AND(F3360&gt;=8,G3360&lt;=2,H3360&gt;=5),"NEW CUSTOMERS",AND(F3360&gt;=6,G3360&lt;=2,H3360&gt;=3),"PROMISING",AND(F3360&gt;=3,G3360&gt;=3,H3360&gt;=3),"NEED ATTENTION",AND(F3360&lt;=4,G3360&gt;=6,H3360&gt;=6),"AT RISK",AND(F3360&lt;=2,G3360&gt;=8,H3360&gt;=8),"CAN'T LOSE THEM",AND(F3360&lt;=2,G3360&lt;=2,H3360&lt;=2),"HIBERNATING",TRUE(),"Other")</f>
        <v>Other</v>
      </c>
      <c r="K3360" s="1" t="n">
        <f aca="false">RANK(E3360,$E$7:$E$4378)+COUNTIF($E$7:E3360,E3360)-1</f>
        <v>3338</v>
      </c>
    </row>
    <row r="3361" customFormat="false" ht="14.25" hidden="false" customHeight="true" outlineLevel="0" collapsed="false">
      <c r="A3361" s="51" t="n">
        <v>16884</v>
      </c>
      <c r="B3361" s="53" t="n">
        <v>40849.4944444444</v>
      </c>
      <c r="C3361" s="57" t="n">
        <f aca="false">INT($C$2)-INT(Table3[[#This Row],[Last Purchase Date]])</f>
        <v>38</v>
      </c>
      <c r="D3361" s="1" t="n">
        <v>2</v>
      </c>
      <c r="E3361" s="1" t="n">
        <v>429.84</v>
      </c>
      <c r="F3361" s="1" t="n">
        <f aca="false">ROUND((1-_xlfn.PERCENTRANK.INC($C$7:$C$4378,C3361))*9,0)</f>
        <v>5</v>
      </c>
      <c r="G3361" s="1" t="n">
        <f aca="false">ROUND(_xlfn.PERCENTRANK.INC($D$7:$D$4378,D3361)*9,0)</f>
        <v>3</v>
      </c>
      <c r="H3361" s="1" t="n">
        <f aca="false">ROUND(_xlfn.PERCENTRANK.INC($E$7:$E$4378,E3361)*9,0)</f>
        <v>3</v>
      </c>
      <c r="I3361" s="1" t="str">
        <f aca="false">CONCATENATE(F3361,G3361,H3361)</f>
        <v>533</v>
      </c>
      <c r="J3361" s="1" t="str">
        <f aca="false">_xlfn.IFS(AND(F3361&gt;=8,G3361&gt;=8,H3361&gt;=8),"CHAMPION",AND(F3361&gt;=6,G3361&gt;=7,H3361&gt;=6),"LOYAL CUSTOMER",AND(F3361&gt;=6,G3361&gt;=5,H3361&gt;=5),"POTENTIAL LOYALIST",AND(F3361&gt;=8,G3361&lt;=2,H3361&gt;=5),"NEW CUSTOMERS",AND(F3361&gt;=6,G3361&lt;=2,H3361&gt;=3),"PROMISING",AND(F3361&gt;=3,G3361&gt;=3,H3361&gt;=3),"NEED ATTENTION",AND(F3361&lt;=4,G3361&gt;=6,H3361&gt;=6),"AT RISK",AND(F3361&lt;=2,G3361&gt;=8,H3361&gt;=8),"CAN'T LOSE THEM",AND(F3361&lt;=2,G3361&lt;=2,H3361&lt;=2),"HIBERNATING",TRUE(),"Other")</f>
        <v>NEED ATTENTION</v>
      </c>
      <c r="K3361" s="1" t="n">
        <f aca="false">RANK(E3361,$E$7:$E$4378)+COUNTIF($E$7:E3361,E3361)-1</f>
        <v>2722</v>
      </c>
    </row>
    <row r="3362" customFormat="false" ht="14.25" hidden="false" customHeight="true" outlineLevel="0" collapsed="false">
      <c r="A3362" s="51" t="n">
        <v>16885</v>
      </c>
      <c r="B3362" s="53" t="n">
        <v>40871.5694444445</v>
      </c>
      <c r="C3362" s="57" t="n">
        <f aca="false">INT($C$2)-INT(Table3[[#This Row],[Last Purchase Date]])</f>
        <v>16</v>
      </c>
      <c r="D3362" s="1" t="n">
        <v>3</v>
      </c>
      <c r="E3362" s="1" t="n">
        <v>471.51</v>
      </c>
      <c r="F3362" s="1" t="n">
        <f aca="false">ROUND((1-_xlfn.PERCENTRANK.INC($C$7:$C$4378,C3362))*9,0)</f>
        <v>7</v>
      </c>
      <c r="G3362" s="1" t="n">
        <f aca="false">ROUND(_xlfn.PERCENTRANK.INC($D$7:$D$4378,D3362)*9,0)</f>
        <v>4</v>
      </c>
      <c r="H3362" s="1" t="n">
        <f aca="false">ROUND(_xlfn.PERCENTRANK.INC($E$7:$E$4378,E3362)*9,0)</f>
        <v>4</v>
      </c>
      <c r="I3362" s="1" t="str">
        <f aca="false">CONCATENATE(F3362,G3362,H3362)</f>
        <v>744</v>
      </c>
      <c r="J3362" s="1" t="str">
        <f aca="false">_xlfn.IFS(AND(F3362&gt;=8,G3362&gt;=8,H3362&gt;=8),"CHAMPION",AND(F3362&gt;=6,G3362&gt;=7,H3362&gt;=6),"LOYAL CUSTOMER",AND(F3362&gt;=6,G3362&gt;=5,H3362&gt;=5),"POTENTIAL LOYALIST",AND(F3362&gt;=8,G3362&lt;=2,H3362&gt;=5),"NEW CUSTOMERS",AND(F3362&gt;=6,G3362&lt;=2,H3362&gt;=3),"PROMISING",AND(F3362&gt;=3,G3362&gt;=3,H3362&gt;=3),"NEED ATTENTION",AND(F3362&lt;=4,G3362&gt;=6,H3362&gt;=6),"AT RISK",AND(F3362&lt;=2,G3362&gt;=8,H3362&gt;=8),"CAN'T LOSE THEM",AND(F3362&lt;=2,G3362&lt;=2,H3362&lt;=2),"HIBERNATING",TRUE(),"Other")</f>
        <v>NEED ATTENTION</v>
      </c>
      <c r="K3362" s="1" t="n">
        <f aca="false">RANK(E3362,$E$7:$E$4378)+COUNTIF($E$7:E3362,E3362)-1</f>
        <v>2612</v>
      </c>
    </row>
    <row r="3363" customFormat="false" ht="14.25" hidden="false" customHeight="true" outlineLevel="0" collapsed="false">
      <c r="A3363" s="51" t="n">
        <v>16887</v>
      </c>
      <c r="B3363" s="53" t="n">
        <v>40851.5881944444</v>
      </c>
      <c r="C3363" s="57" t="n">
        <f aca="false">INT($C$2)-INT(Table3[[#This Row],[Last Purchase Date]])</f>
        <v>36</v>
      </c>
      <c r="D3363" s="1" t="n">
        <v>1</v>
      </c>
      <c r="E3363" s="1" t="n">
        <v>194.88</v>
      </c>
      <c r="F3363" s="1" t="n">
        <f aca="false">ROUND((1-_xlfn.PERCENTRANK.INC($C$7:$C$4378,C3363))*9,0)</f>
        <v>5</v>
      </c>
      <c r="G3363" s="1" t="n">
        <f aca="false">ROUND(_xlfn.PERCENTRANK.INC($D$7:$D$4378,D3363)*9,0)</f>
        <v>0</v>
      </c>
      <c r="H3363" s="1" t="n">
        <f aca="false">ROUND(_xlfn.PERCENTRANK.INC($E$7:$E$4378,E3363)*9,0)</f>
        <v>1</v>
      </c>
      <c r="I3363" s="1" t="str">
        <f aca="false">CONCATENATE(F3363,G3363,H3363)</f>
        <v>501</v>
      </c>
      <c r="J3363" s="1" t="str">
        <f aca="false">_xlfn.IFS(AND(F3363&gt;=8,G3363&gt;=8,H3363&gt;=8),"CHAMPION",AND(F3363&gt;=6,G3363&gt;=7,H3363&gt;=6),"LOYAL CUSTOMER",AND(F3363&gt;=6,G3363&gt;=5,H3363&gt;=5),"POTENTIAL LOYALIST",AND(F3363&gt;=8,G3363&lt;=2,H3363&gt;=5),"NEW CUSTOMERS",AND(F3363&gt;=6,G3363&lt;=2,H3363&gt;=3),"PROMISING",AND(F3363&gt;=3,G3363&gt;=3,H3363&gt;=3),"NEED ATTENTION",AND(F3363&lt;=4,G3363&gt;=6,H3363&gt;=6),"AT RISK",AND(F3363&lt;=2,G3363&gt;=8,H3363&gt;=8),"CAN'T LOSE THEM",AND(F3363&lt;=2,G3363&lt;=2,H3363&lt;=2),"HIBERNATING",TRUE(),"Other")</f>
        <v>Other</v>
      </c>
      <c r="K3363" s="1" t="n">
        <f aca="false">RANK(E3363,$E$7:$E$4378)+COUNTIF($E$7:E3363,E3363)-1</f>
        <v>3686</v>
      </c>
    </row>
    <row r="3364" customFormat="false" ht="14.25" hidden="false" customHeight="true" outlineLevel="0" collapsed="false">
      <c r="A3364" s="51" t="n">
        <v>16889</v>
      </c>
      <c r="B3364" s="53" t="n">
        <v>40692.4618055556</v>
      </c>
      <c r="C3364" s="57" t="n">
        <f aca="false">INT($C$2)-INT(Table3[[#This Row],[Last Purchase Date]])</f>
        <v>195</v>
      </c>
      <c r="D3364" s="1" t="n">
        <v>3</v>
      </c>
      <c r="E3364" s="1" t="n">
        <v>1578.67</v>
      </c>
      <c r="F3364" s="1" t="n">
        <f aca="false">ROUND((1-_xlfn.PERCENTRANK.INC($C$7:$C$4378,C3364))*9,0)</f>
        <v>2</v>
      </c>
      <c r="G3364" s="1" t="n">
        <f aca="false">ROUND(_xlfn.PERCENTRANK.INC($D$7:$D$4378,D3364)*9,0)</f>
        <v>4</v>
      </c>
      <c r="H3364" s="1" t="n">
        <f aca="false">ROUND(_xlfn.PERCENTRANK.INC($E$7:$E$4378,E3364)*9,0)</f>
        <v>7</v>
      </c>
      <c r="I3364" s="1" t="str">
        <f aca="false">CONCATENATE(F3364,G3364,H3364)</f>
        <v>247</v>
      </c>
      <c r="J3364" s="1" t="str">
        <f aca="false">_xlfn.IFS(AND(F3364&gt;=8,G3364&gt;=8,H3364&gt;=8),"CHAMPION",AND(F3364&gt;=6,G3364&gt;=7,H3364&gt;=6),"LOYAL CUSTOMER",AND(F3364&gt;=6,G3364&gt;=5,H3364&gt;=5),"POTENTIAL LOYALIST",AND(F3364&gt;=8,G3364&lt;=2,H3364&gt;=5),"NEW CUSTOMERS",AND(F3364&gt;=6,G3364&lt;=2,H3364&gt;=3),"PROMISING",AND(F3364&gt;=3,G3364&gt;=3,H3364&gt;=3),"NEED ATTENTION",AND(F3364&lt;=4,G3364&gt;=6,H3364&gt;=6),"AT RISK",AND(F3364&lt;=2,G3364&gt;=8,H3364&gt;=8),"CAN'T LOSE THEM",AND(F3364&lt;=2,G3364&lt;=2,H3364&lt;=2),"HIBERNATING",TRUE(),"Other")</f>
        <v>Other</v>
      </c>
      <c r="K3364" s="1" t="n">
        <f aca="false">RANK(E3364,$E$7:$E$4378)+COUNTIF($E$7:E3364,E3364)-1</f>
        <v>1111</v>
      </c>
    </row>
    <row r="3365" customFormat="false" ht="14.25" hidden="false" customHeight="true" outlineLevel="0" collapsed="false">
      <c r="A3365" s="51" t="n">
        <v>16891</v>
      </c>
      <c r="B3365" s="53" t="n">
        <v>40885.46875</v>
      </c>
      <c r="C3365" s="57" t="n">
        <f aca="false">INT($C$2)-INT(Table3[[#This Row],[Last Purchase Date]])</f>
        <v>2</v>
      </c>
      <c r="D3365" s="1" t="n">
        <v>5</v>
      </c>
      <c r="E3365" s="1" t="n">
        <v>809.7</v>
      </c>
      <c r="F3365" s="1" t="n">
        <f aca="false">ROUND((1-_xlfn.PERCENTRANK.INC($C$7:$C$4378,C3365))*9,0)</f>
        <v>9</v>
      </c>
      <c r="G3365" s="1" t="n">
        <f aca="false">ROUND(_xlfn.PERCENTRANK.INC($D$7:$D$4378,D3365)*9,0)</f>
        <v>6</v>
      </c>
      <c r="H3365" s="1" t="n">
        <f aca="false">ROUND(_xlfn.PERCENTRANK.INC($E$7:$E$4378,E3365)*9,0)</f>
        <v>5</v>
      </c>
      <c r="I3365" s="1" t="str">
        <f aca="false">CONCATENATE(F3365,G3365,H3365)</f>
        <v>965</v>
      </c>
      <c r="J3365" s="1" t="str">
        <f aca="false">_xlfn.IFS(AND(F3365&gt;=8,G3365&gt;=8,H3365&gt;=8),"CHAMPION",AND(F3365&gt;=6,G3365&gt;=7,H3365&gt;=6),"LOYAL CUSTOMER",AND(F3365&gt;=6,G3365&gt;=5,H3365&gt;=5),"POTENTIAL LOYALIST",AND(F3365&gt;=8,G3365&lt;=2,H3365&gt;=5),"NEW CUSTOMERS",AND(F3365&gt;=6,G3365&lt;=2,H3365&gt;=3),"PROMISING",AND(F3365&gt;=3,G3365&gt;=3,H3365&gt;=3),"NEED ATTENTION",AND(F3365&lt;=4,G3365&gt;=6,H3365&gt;=6),"AT RISK",AND(F3365&lt;=2,G3365&gt;=8,H3365&gt;=8),"CAN'T LOSE THEM",AND(F3365&lt;=2,G3365&lt;=2,H3365&lt;=2),"HIBERNATING",TRUE(),"Other")</f>
        <v>POTENTIAL LOYALIST</v>
      </c>
      <c r="K3365" s="1" t="n">
        <f aca="false">RANK(E3365,$E$7:$E$4378)+COUNTIF($E$7:E3365,E3365)-1</f>
        <v>1886</v>
      </c>
    </row>
    <row r="3366" customFormat="false" ht="14.25" hidden="false" customHeight="true" outlineLevel="0" collapsed="false">
      <c r="A3366" s="51" t="n">
        <v>16892</v>
      </c>
      <c r="B3366" s="53" t="n">
        <v>40885.5541666667</v>
      </c>
      <c r="C3366" s="57" t="n">
        <f aca="false">INT($C$2)-INT(Table3[[#This Row],[Last Purchase Date]])</f>
        <v>2</v>
      </c>
      <c r="D3366" s="1" t="n">
        <v>7</v>
      </c>
      <c r="E3366" s="1" t="n">
        <v>496.84</v>
      </c>
      <c r="F3366" s="1" t="n">
        <f aca="false">ROUND((1-_xlfn.PERCENTRANK.INC($C$7:$C$4378,C3366))*9,0)</f>
        <v>9</v>
      </c>
      <c r="G3366" s="1" t="n">
        <f aca="false">ROUND(_xlfn.PERCENTRANK.INC($D$7:$D$4378,D3366)*9,0)</f>
        <v>7</v>
      </c>
      <c r="H3366" s="1" t="n">
        <f aca="false">ROUND(_xlfn.PERCENTRANK.INC($E$7:$E$4378,E3366)*9,0)</f>
        <v>4</v>
      </c>
      <c r="I3366" s="1" t="str">
        <f aca="false">CONCATENATE(F3366,G3366,H3366)</f>
        <v>974</v>
      </c>
      <c r="J3366" s="1" t="str">
        <f aca="false">_xlfn.IFS(AND(F3366&gt;=8,G3366&gt;=8,H3366&gt;=8),"CHAMPION",AND(F3366&gt;=6,G3366&gt;=7,H3366&gt;=6),"LOYAL CUSTOMER",AND(F3366&gt;=6,G3366&gt;=5,H3366&gt;=5),"POTENTIAL LOYALIST",AND(F3366&gt;=8,G3366&lt;=2,H3366&gt;=5),"NEW CUSTOMERS",AND(F3366&gt;=6,G3366&lt;=2,H3366&gt;=3),"PROMISING",AND(F3366&gt;=3,G3366&gt;=3,H3366&gt;=3),"NEED ATTENTION",AND(F3366&lt;=4,G3366&gt;=6,H3366&gt;=6),"AT RISK",AND(F3366&lt;=2,G3366&gt;=8,H3366&gt;=8),"CAN'T LOSE THEM",AND(F3366&lt;=2,G3366&lt;=2,H3366&lt;=2),"HIBERNATING",TRUE(),"Other")</f>
        <v>NEED ATTENTION</v>
      </c>
      <c r="K3366" s="1" t="n">
        <f aca="false">RANK(E3366,$E$7:$E$4378)+COUNTIF($E$7:E3366,E3366)-1</f>
        <v>2550</v>
      </c>
    </row>
    <row r="3367" customFormat="false" ht="14.25" hidden="false" customHeight="true" outlineLevel="0" collapsed="false">
      <c r="A3367" s="51" t="n">
        <v>16893</v>
      </c>
      <c r="B3367" s="53" t="n">
        <v>40520.5041666667</v>
      </c>
      <c r="C3367" s="57" t="n">
        <f aca="false">INT($C$2)-INT(Table3[[#This Row],[Last Purchase Date]])</f>
        <v>367</v>
      </c>
      <c r="D3367" s="1" t="n">
        <v>1</v>
      </c>
      <c r="E3367" s="1" t="n">
        <v>145.93</v>
      </c>
      <c r="F3367" s="1" t="n">
        <f aca="false">ROUND((1-_xlfn.PERCENTRANK.INC($C$7:$C$4378,C3367))*9,0)</f>
        <v>0</v>
      </c>
      <c r="G3367" s="1" t="n">
        <f aca="false">ROUND(_xlfn.PERCENTRANK.INC($D$7:$D$4378,D3367)*9,0)</f>
        <v>0</v>
      </c>
      <c r="H3367" s="1" t="n">
        <f aca="false">ROUND(_xlfn.PERCENTRANK.INC($E$7:$E$4378,E3367)*9,0)</f>
        <v>1</v>
      </c>
      <c r="I3367" s="1" t="str">
        <f aca="false">CONCATENATE(F3367,G3367,H3367)</f>
        <v>001</v>
      </c>
      <c r="J3367" s="1" t="str">
        <f aca="false">_xlfn.IFS(AND(F3367&gt;=8,G3367&gt;=8,H3367&gt;=8),"CHAMPION",AND(F3367&gt;=6,G3367&gt;=7,H3367&gt;=6),"LOYAL CUSTOMER",AND(F3367&gt;=6,G3367&gt;=5,H3367&gt;=5),"POTENTIAL LOYALIST",AND(F3367&gt;=8,G3367&lt;=2,H3367&gt;=5),"NEW CUSTOMERS",AND(F3367&gt;=6,G3367&lt;=2,H3367&gt;=3),"PROMISING",AND(F3367&gt;=3,G3367&gt;=3,H3367&gt;=3),"NEED ATTENTION",AND(F3367&lt;=4,G3367&gt;=6,H3367&gt;=6),"AT RISK",AND(F3367&lt;=2,G3367&gt;=8,H3367&gt;=8),"CAN'T LOSE THEM",AND(F3367&lt;=2,G3367&lt;=2,H3367&lt;=2),"HIBERNATING",TRUE(),"Other")</f>
        <v>HIBERNATING</v>
      </c>
      <c r="K3367" s="1" t="n">
        <f aca="false">RANK(E3367,$E$7:$E$4378)+COUNTIF($E$7:E3367,E3367)-1</f>
        <v>3935</v>
      </c>
    </row>
    <row r="3368" customFormat="false" ht="14.25" hidden="false" customHeight="true" outlineLevel="0" collapsed="false">
      <c r="A3368" s="51" t="n">
        <v>16895</v>
      </c>
      <c r="B3368" s="53" t="n">
        <v>40822.5104166667</v>
      </c>
      <c r="C3368" s="57" t="n">
        <f aca="false">INT($C$2)-INT(Table3[[#This Row],[Last Purchase Date]])</f>
        <v>65</v>
      </c>
      <c r="D3368" s="1" t="n">
        <v>1</v>
      </c>
      <c r="E3368" s="1" t="n">
        <v>219.14</v>
      </c>
      <c r="F3368" s="1" t="n">
        <f aca="false">ROUND((1-_xlfn.PERCENTRANK.INC($C$7:$C$4378,C3368))*9,0)</f>
        <v>4</v>
      </c>
      <c r="G3368" s="1" t="n">
        <f aca="false">ROUND(_xlfn.PERCENTRANK.INC($D$7:$D$4378,D3368)*9,0)</f>
        <v>0</v>
      </c>
      <c r="H3368" s="1" t="n">
        <f aca="false">ROUND(_xlfn.PERCENTRANK.INC($E$7:$E$4378,E3368)*9,0)</f>
        <v>2</v>
      </c>
      <c r="I3368" s="1" t="str">
        <f aca="false">CONCATENATE(F3368,G3368,H3368)</f>
        <v>402</v>
      </c>
      <c r="J3368" s="1" t="str">
        <f aca="false">_xlfn.IFS(AND(F3368&gt;=8,G3368&gt;=8,H3368&gt;=8),"CHAMPION",AND(F3368&gt;=6,G3368&gt;=7,H3368&gt;=6),"LOYAL CUSTOMER",AND(F3368&gt;=6,G3368&gt;=5,H3368&gt;=5),"POTENTIAL LOYALIST",AND(F3368&gt;=8,G3368&lt;=2,H3368&gt;=5),"NEW CUSTOMERS",AND(F3368&gt;=6,G3368&lt;=2,H3368&gt;=3),"PROMISING",AND(F3368&gt;=3,G3368&gt;=3,H3368&gt;=3),"NEED ATTENTION",AND(F3368&lt;=4,G3368&gt;=6,H3368&gt;=6),"AT RISK",AND(F3368&lt;=2,G3368&gt;=8,H3368&gt;=8),"CAN'T LOSE THEM",AND(F3368&lt;=2,G3368&lt;=2,H3368&lt;=2),"HIBERNATING",TRUE(),"Other")</f>
        <v>Other</v>
      </c>
      <c r="K3368" s="1" t="n">
        <f aca="false">RANK(E3368,$E$7:$E$4378)+COUNTIF($E$7:E3368,E3368)-1</f>
        <v>3563</v>
      </c>
    </row>
    <row r="3369" customFormat="false" ht="14.25" hidden="false" customHeight="true" outlineLevel="0" collapsed="false">
      <c r="A3369" s="51" t="n">
        <v>16897</v>
      </c>
      <c r="B3369" s="53" t="n">
        <v>40587.65625</v>
      </c>
      <c r="C3369" s="57" t="n">
        <f aca="false">INT($C$2)-INT(Table3[[#This Row],[Last Purchase Date]])</f>
        <v>300</v>
      </c>
      <c r="D3369" s="1" t="n">
        <v>3</v>
      </c>
      <c r="E3369" s="1" t="n">
        <v>213.03</v>
      </c>
      <c r="F3369" s="1" t="n">
        <f aca="false">ROUND((1-_xlfn.PERCENTRANK.INC($C$7:$C$4378,C3369))*9,0)</f>
        <v>1</v>
      </c>
      <c r="G3369" s="1" t="n">
        <f aca="false">ROUND(_xlfn.PERCENTRANK.INC($D$7:$D$4378,D3369)*9,0)</f>
        <v>4</v>
      </c>
      <c r="H3369" s="1" t="n">
        <f aca="false">ROUND(_xlfn.PERCENTRANK.INC($E$7:$E$4378,E3369)*9,0)</f>
        <v>2</v>
      </c>
      <c r="I3369" s="1" t="str">
        <f aca="false">CONCATENATE(F3369,G3369,H3369)</f>
        <v>142</v>
      </c>
      <c r="J3369" s="1" t="str">
        <f aca="false">_xlfn.IFS(AND(F3369&gt;=8,G3369&gt;=8,H3369&gt;=8),"CHAMPION",AND(F3369&gt;=6,G3369&gt;=7,H3369&gt;=6),"LOYAL CUSTOMER",AND(F3369&gt;=6,G3369&gt;=5,H3369&gt;=5),"POTENTIAL LOYALIST",AND(F3369&gt;=8,G3369&lt;=2,H3369&gt;=5),"NEW CUSTOMERS",AND(F3369&gt;=6,G3369&lt;=2,H3369&gt;=3),"PROMISING",AND(F3369&gt;=3,G3369&gt;=3,H3369&gt;=3),"NEED ATTENTION",AND(F3369&lt;=4,G3369&gt;=6,H3369&gt;=6),"AT RISK",AND(F3369&lt;=2,G3369&gt;=8,H3369&gt;=8),"CAN'T LOSE THEM",AND(F3369&lt;=2,G3369&lt;=2,H3369&lt;=2),"HIBERNATING",TRUE(),"Other")</f>
        <v>Other</v>
      </c>
      <c r="K3369" s="1" t="n">
        <f aca="false">RANK(E3369,$E$7:$E$4378)+COUNTIF($E$7:E3369,E3369)-1</f>
        <v>3603</v>
      </c>
    </row>
    <row r="3370" customFormat="false" ht="14.25" hidden="false" customHeight="true" outlineLevel="0" collapsed="false">
      <c r="A3370" s="51" t="n">
        <v>16898</v>
      </c>
      <c r="B3370" s="53" t="n">
        <v>40860.6555555556</v>
      </c>
      <c r="C3370" s="57" t="n">
        <f aca="false">INT($C$2)-INT(Table3[[#This Row],[Last Purchase Date]])</f>
        <v>27</v>
      </c>
      <c r="D3370" s="1" t="n">
        <v>4</v>
      </c>
      <c r="E3370" s="1" t="n">
        <v>444.46</v>
      </c>
      <c r="F3370" s="1" t="n">
        <f aca="false">ROUND((1-_xlfn.PERCENTRANK.INC($C$7:$C$4378,C3370))*9,0)</f>
        <v>6</v>
      </c>
      <c r="G3370" s="1" t="n">
        <f aca="false">ROUND(_xlfn.PERCENTRANK.INC($D$7:$D$4378,D3370)*9,0)</f>
        <v>5</v>
      </c>
      <c r="H3370" s="1" t="n">
        <f aca="false">ROUND(_xlfn.PERCENTRANK.INC($E$7:$E$4378,E3370)*9,0)</f>
        <v>3</v>
      </c>
      <c r="I3370" s="1" t="str">
        <f aca="false">CONCATENATE(F3370,G3370,H3370)</f>
        <v>653</v>
      </c>
      <c r="J3370" s="1" t="str">
        <f aca="false">_xlfn.IFS(AND(F3370&gt;=8,G3370&gt;=8,H3370&gt;=8),"CHAMPION",AND(F3370&gt;=6,G3370&gt;=7,H3370&gt;=6),"LOYAL CUSTOMER",AND(F3370&gt;=6,G3370&gt;=5,H3370&gt;=5),"POTENTIAL LOYALIST",AND(F3370&gt;=8,G3370&lt;=2,H3370&gt;=5),"NEW CUSTOMERS",AND(F3370&gt;=6,G3370&lt;=2,H3370&gt;=3),"PROMISING",AND(F3370&gt;=3,G3370&gt;=3,H3370&gt;=3),"NEED ATTENTION",AND(F3370&lt;=4,G3370&gt;=6,H3370&gt;=6),"AT RISK",AND(F3370&lt;=2,G3370&gt;=8,H3370&gt;=8),"CAN'T LOSE THEM",AND(F3370&lt;=2,G3370&lt;=2,H3370&lt;=2),"HIBERNATING",TRUE(),"Other")</f>
        <v>NEED ATTENTION</v>
      </c>
      <c r="K3370" s="1" t="n">
        <f aca="false">RANK(E3370,$E$7:$E$4378)+COUNTIF($E$7:E3370,E3370)-1</f>
        <v>2685</v>
      </c>
    </row>
    <row r="3371" customFormat="false" ht="14.25" hidden="false" customHeight="true" outlineLevel="0" collapsed="false">
      <c r="A3371" s="51" t="n">
        <v>16899</v>
      </c>
      <c r="B3371" s="53" t="n">
        <v>40879.5020833333</v>
      </c>
      <c r="C3371" s="57" t="n">
        <f aca="false">INT($C$2)-INT(Table3[[#This Row],[Last Purchase Date]])</f>
        <v>8</v>
      </c>
      <c r="D3371" s="1" t="n">
        <v>6</v>
      </c>
      <c r="E3371" s="1" t="n">
        <v>1281.56</v>
      </c>
      <c r="F3371" s="1" t="n">
        <f aca="false">ROUND((1-_xlfn.PERCENTRANK.INC($C$7:$C$4378,C3371))*9,0)</f>
        <v>8</v>
      </c>
      <c r="G3371" s="1" t="n">
        <f aca="false">ROUND(_xlfn.PERCENTRANK.INC($D$7:$D$4378,D3371)*9,0)</f>
        <v>7</v>
      </c>
      <c r="H3371" s="1" t="n">
        <f aca="false">ROUND(_xlfn.PERCENTRANK.INC($E$7:$E$4378,E3371)*9,0)</f>
        <v>6</v>
      </c>
      <c r="I3371" s="1" t="str">
        <f aca="false">CONCATENATE(F3371,G3371,H3371)</f>
        <v>876</v>
      </c>
      <c r="J3371" s="1" t="str">
        <f aca="false">_xlfn.IFS(AND(F3371&gt;=8,G3371&gt;=8,H3371&gt;=8),"CHAMPION",AND(F3371&gt;=6,G3371&gt;=7,H3371&gt;=6),"LOYAL CUSTOMER",AND(F3371&gt;=6,G3371&gt;=5,H3371&gt;=5),"POTENTIAL LOYALIST",AND(F3371&gt;=8,G3371&lt;=2,H3371&gt;=5),"NEW CUSTOMERS",AND(F3371&gt;=6,G3371&lt;=2,H3371&gt;=3),"PROMISING",AND(F3371&gt;=3,G3371&gt;=3,H3371&gt;=3),"NEED ATTENTION",AND(F3371&lt;=4,G3371&gt;=6,H3371&gt;=6),"AT RISK",AND(F3371&lt;=2,G3371&gt;=8,H3371&gt;=8),"CAN'T LOSE THEM",AND(F3371&lt;=2,G3371&lt;=2,H3371&lt;=2),"HIBERNATING",TRUE(),"Other")</f>
        <v>LOYAL CUSTOMER</v>
      </c>
      <c r="K3371" s="1" t="n">
        <f aca="false">RANK(E3371,$E$7:$E$4378)+COUNTIF($E$7:E3371,E3371)-1</f>
        <v>1342</v>
      </c>
    </row>
    <row r="3372" customFormat="false" ht="14.25" hidden="false" customHeight="true" outlineLevel="0" collapsed="false">
      <c r="A3372" s="51" t="n">
        <v>16900</v>
      </c>
      <c r="B3372" s="53" t="n">
        <v>40875.4513888889</v>
      </c>
      <c r="C3372" s="57" t="n">
        <f aca="false">INT($C$2)-INT(Table3[[#This Row],[Last Purchase Date]])</f>
        <v>12</v>
      </c>
      <c r="D3372" s="1" t="n">
        <v>5</v>
      </c>
      <c r="E3372" s="1" t="n">
        <v>187.69</v>
      </c>
      <c r="F3372" s="1" t="n">
        <f aca="false">ROUND((1-_xlfn.PERCENTRANK.INC($C$7:$C$4378,C3372))*9,0)</f>
        <v>7</v>
      </c>
      <c r="G3372" s="1" t="n">
        <f aca="false">ROUND(_xlfn.PERCENTRANK.INC($D$7:$D$4378,D3372)*9,0)</f>
        <v>6</v>
      </c>
      <c r="H3372" s="1" t="n">
        <f aca="false">ROUND(_xlfn.PERCENTRANK.INC($E$7:$E$4378,E3372)*9,0)</f>
        <v>1</v>
      </c>
      <c r="I3372" s="1" t="str">
        <f aca="false">CONCATENATE(F3372,G3372,H3372)</f>
        <v>761</v>
      </c>
      <c r="J3372" s="1" t="str">
        <f aca="false">_xlfn.IFS(AND(F3372&gt;=8,G3372&gt;=8,H3372&gt;=8),"CHAMPION",AND(F3372&gt;=6,G3372&gt;=7,H3372&gt;=6),"LOYAL CUSTOMER",AND(F3372&gt;=6,G3372&gt;=5,H3372&gt;=5),"POTENTIAL LOYALIST",AND(F3372&gt;=8,G3372&lt;=2,H3372&gt;=5),"NEW CUSTOMERS",AND(F3372&gt;=6,G3372&lt;=2,H3372&gt;=3),"PROMISING",AND(F3372&gt;=3,G3372&gt;=3,H3372&gt;=3),"NEED ATTENTION",AND(F3372&lt;=4,G3372&gt;=6,H3372&gt;=6),"AT RISK",AND(F3372&lt;=2,G3372&gt;=8,H3372&gt;=8),"CAN'T LOSE THEM",AND(F3372&lt;=2,G3372&lt;=2,H3372&lt;=2),"HIBERNATING",TRUE(),"Other")</f>
        <v>Other</v>
      </c>
      <c r="K3372" s="1" t="n">
        <f aca="false">RANK(E3372,$E$7:$E$4378)+COUNTIF($E$7:E3372,E3372)-1</f>
        <v>3719</v>
      </c>
    </row>
    <row r="3373" customFormat="false" ht="14.25" hidden="false" customHeight="true" outlineLevel="0" collapsed="false">
      <c r="A3373" s="51" t="n">
        <v>16902</v>
      </c>
      <c r="B3373" s="53" t="n">
        <v>40770.5951388889</v>
      </c>
      <c r="C3373" s="57" t="n">
        <f aca="false">INT($C$2)-INT(Table3[[#This Row],[Last Purchase Date]])</f>
        <v>117</v>
      </c>
      <c r="D3373" s="1" t="n">
        <v>1</v>
      </c>
      <c r="E3373" s="1" t="n">
        <v>1706.88</v>
      </c>
      <c r="F3373" s="1" t="n">
        <f aca="false">ROUND((1-_xlfn.PERCENTRANK.INC($C$7:$C$4378,C3373))*9,0)</f>
        <v>3</v>
      </c>
      <c r="G3373" s="1" t="n">
        <f aca="false">ROUND(_xlfn.PERCENTRANK.INC($D$7:$D$4378,D3373)*9,0)</f>
        <v>0</v>
      </c>
      <c r="H3373" s="1" t="n">
        <f aca="false">ROUND(_xlfn.PERCENTRANK.INC($E$7:$E$4378,E3373)*9,0)</f>
        <v>7</v>
      </c>
      <c r="I3373" s="1" t="str">
        <f aca="false">CONCATENATE(F3373,G3373,H3373)</f>
        <v>307</v>
      </c>
      <c r="J3373" s="1" t="str">
        <f aca="false">_xlfn.IFS(AND(F3373&gt;=8,G3373&gt;=8,H3373&gt;=8),"CHAMPION",AND(F3373&gt;=6,G3373&gt;=7,H3373&gt;=6),"LOYAL CUSTOMER",AND(F3373&gt;=6,G3373&gt;=5,H3373&gt;=5),"POTENTIAL LOYALIST",AND(F3373&gt;=8,G3373&lt;=2,H3373&gt;=5),"NEW CUSTOMERS",AND(F3373&gt;=6,G3373&lt;=2,H3373&gt;=3),"PROMISING",AND(F3373&gt;=3,G3373&gt;=3,H3373&gt;=3),"NEED ATTENTION",AND(F3373&lt;=4,G3373&gt;=6,H3373&gt;=6),"AT RISK",AND(F3373&lt;=2,G3373&gt;=8,H3373&gt;=8),"CAN'T LOSE THEM",AND(F3373&lt;=2,G3373&lt;=2,H3373&lt;=2),"HIBERNATING",TRUE(),"Other")</f>
        <v>Other</v>
      </c>
      <c r="K3373" s="1" t="n">
        <f aca="false">RANK(E3373,$E$7:$E$4378)+COUNTIF($E$7:E3373,E3373)-1</f>
        <v>1033</v>
      </c>
    </row>
    <row r="3374" customFormat="false" ht="14.25" hidden="false" customHeight="true" outlineLevel="0" collapsed="false">
      <c r="A3374" s="51" t="n">
        <v>16903</v>
      </c>
      <c r="B3374" s="53" t="n">
        <v>40857.6472222222</v>
      </c>
      <c r="C3374" s="57" t="n">
        <f aca="false">INT($C$2)-INT(Table3[[#This Row],[Last Purchase Date]])</f>
        <v>30</v>
      </c>
      <c r="D3374" s="1" t="n">
        <v>1</v>
      </c>
      <c r="E3374" s="1" t="n">
        <v>373.24</v>
      </c>
      <c r="F3374" s="1" t="n">
        <f aca="false">ROUND((1-_xlfn.PERCENTRANK.INC($C$7:$C$4378,C3374))*9,0)</f>
        <v>6</v>
      </c>
      <c r="G3374" s="1" t="n">
        <f aca="false">ROUND(_xlfn.PERCENTRANK.INC($D$7:$D$4378,D3374)*9,0)</f>
        <v>0</v>
      </c>
      <c r="H3374" s="1" t="n">
        <f aca="false">ROUND(_xlfn.PERCENTRANK.INC($E$7:$E$4378,E3374)*9,0)</f>
        <v>3</v>
      </c>
      <c r="I3374" s="1" t="str">
        <f aca="false">CONCATENATE(F3374,G3374,H3374)</f>
        <v>603</v>
      </c>
      <c r="J3374" s="1" t="str">
        <f aca="false">_xlfn.IFS(AND(F3374&gt;=8,G3374&gt;=8,H3374&gt;=8),"CHAMPION",AND(F3374&gt;=6,G3374&gt;=7,H3374&gt;=6),"LOYAL CUSTOMER",AND(F3374&gt;=6,G3374&gt;=5,H3374&gt;=5),"POTENTIAL LOYALIST",AND(F3374&gt;=8,G3374&lt;=2,H3374&gt;=5),"NEW CUSTOMERS",AND(F3374&gt;=6,G3374&lt;=2,H3374&gt;=3),"PROMISING",AND(F3374&gt;=3,G3374&gt;=3,H3374&gt;=3),"NEED ATTENTION",AND(F3374&lt;=4,G3374&gt;=6,H3374&gt;=6),"AT RISK",AND(F3374&lt;=2,G3374&gt;=8,H3374&gt;=8),"CAN'T LOSE THEM",AND(F3374&lt;=2,G3374&lt;=2,H3374&lt;=2),"HIBERNATING",TRUE(),"Other")</f>
        <v>PROMISING</v>
      </c>
      <c r="K3374" s="1" t="n">
        <f aca="false">RANK(E3374,$E$7:$E$4378)+COUNTIF($E$7:E3374,E3374)-1</f>
        <v>2919</v>
      </c>
    </row>
    <row r="3375" customFormat="false" ht="14.25" hidden="false" customHeight="true" outlineLevel="0" collapsed="false">
      <c r="A3375" s="51" t="n">
        <v>16904</v>
      </c>
      <c r="B3375" s="53" t="n">
        <v>40882.5486111111</v>
      </c>
      <c r="C3375" s="57" t="n">
        <f aca="false">INT($C$2)-INT(Table3[[#This Row],[Last Purchase Date]])</f>
        <v>5</v>
      </c>
      <c r="D3375" s="1" t="n">
        <v>16</v>
      </c>
      <c r="E3375" s="1" t="n">
        <v>3754.27</v>
      </c>
      <c r="F3375" s="1" t="n">
        <f aca="false">ROUND((1-_xlfn.PERCENTRANK.INC($C$7:$C$4378,C3375))*9,0)</f>
        <v>8</v>
      </c>
      <c r="G3375" s="1" t="n">
        <f aca="false">ROUND(_xlfn.PERCENTRANK.INC($D$7:$D$4378,D3375)*9,0)</f>
        <v>9</v>
      </c>
      <c r="H3375" s="1" t="n">
        <f aca="false">ROUND(_xlfn.PERCENTRANK.INC($E$7:$E$4378,E3375)*9,0)</f>
        <v>8</v>
      </c>
      <c r="I3375" s="1" t="str">
        <f aca="false">CONCATENATE(F3375,G3375,H3375)</f>
        <v>898</v>
      </c>
      <c r="J3375" s="1" t="str">
        <f aca="false">_xlfn.IFS(AND(F3375&gt;=8,G3375&gt;=8,H3375&gt;=8),"CHAMPION",AND(F3375&gt;=6,G3375&gt;=7,H3375&gt;=6),"LOYAL CUSTOMER",AND(F3375&gt;=6,G3375&gt;=5,H3375&gt;=5),"POTENTIAL LOYALIST",AND(F3375&gt;=8,G3375&lt;=2,H3375&gt;=5),"NEW CUSTOMERS",AND(F3375&gt;=6,G3375&lt;=2,H3375&gt;=3),"PROMISING",AND(F3375&gt;=3,G3375&gt;=3,H3375&gt;=3),"NEED ATTENTION",AND(F3375&lt;=4,G3375&gt;=6,H3375&gt;=6),"AT RISK",AND(F3375&lt;=2,G3375&gt;=8,H3375&gt;=8),"CAN'T LOSE THEM",AND(F3375&lt;=2,G3375&lt;=2,H3375&lt;=2),"HIBERNATING",TRUE(),"Other")</f>
        <v>CHAMPION</v>
      </c>
      <c r="K3375" s="1" t="n">
        <f aca="false">RANK(E3375,$E$7:$E$4378)+COUNTIF($E$7:E3375,E3375)-1</f>
        <v>394</v>
      </c>
    </row>
    <row r="3376" customFormat="false" ht="14.25" hidden="false" customHeight="true" outlineLevel="0" collapsed="false">
      <c r="A3376" s="51" t="n">
        <v>16905</v>
      </c>
      <c r="B3376" s="53" t="n">
        <v>40881.5840277778</v>
      </c>
      <c r="C3376" s="57" t="n">
        <f aca="false">INT($C$2)-INT(Table3[[#This Row],[Last Purchase Date]])</f>
        <v>6</v>
      </c>
      <c r="D3376" s="1" t="n">
        <v>8</v>
      </c>
      <c r="E3376" s="1" t="n">
        <v>3085.48</v>
      </c>
      <c r="F3376" s="1" t="n">
        <f aca="false">ROUND((1-_xlfn.PERCENTRANK.INC($C$7:$C$4378,C3376))*9,0)</f>
        <v>8</v>
      </c>
      <c r="G3376" s="1" t="n">
        <f aca="false">ROUND(_xlfn.PERCENTRANK.INC($D$7:$D$4378,D3376)*9,0)</f>
        <v>7</v>
      </c>
      <c r="H3376" s="1" t="n">
        <f aca="false">ROUND(_xlfn.PERCENTRANK.INC($E$7:$E$4378,E3376)*9,0)</f>
        <v>8</v>
      </c>
      <c r="I3376" s="1" t="str">
        <f aca="false">CONCATENATE(F3376,G3376,H3376)</f>
        <v>878</v>
      </c>
      <c r="J3376" s="1" t="str">
        <f aca="false">_xlfn.IFS(AND(F3376&gt;=8,G3376&gt;=8,H3376&gt;=8),"CHAMPION",AND(F3376&gt;=6,G3376&gt;=7,H3376&gt;=6),"LOYAL CUSTOMER",AND(F3376&gt;=6,G3376&gt;=5,H3376&gt;=5),"POTENTIAL LOYALIST",AND(F3376&gt;=8,G3376&lt;=2,H3376&gt;=5),"NEW CUSTOMERS",AND(F3376&gt;=6,G3376&lt;=2,H3376&gt;=3),"PROMISING",AND(F3376&gt;=3,G3376&gt;=3,H3376&gt;=3),"NEED ATTENTION",AND(F3376&lt;=4,G3376&gt;=6,H3376&gt;=6),"AT RISK",AND(F3376&lt;=2,G3376&gt;=8,H3376&gt;=8),"CAN'T LOSE THEM",AND(F3376&lt;=2,G3376&lt;=2,H3376&lt;=2),"HIBERNATING",TRUE(),"Other")</f>
        <v>LOYAL CUSTOMER</v>
      </c>
      <c r="K3376" s="1" t="n">
        <f aca="false">RANK(E3376,$E$7:$E$4378)+COUNTIF($E$7:E3376,E3376)-1</f>
        <v>521</v>
      </c>
    </row>
    <row r="3377" customFormat="false" ht="14.25" hidden="false" customHeight="true" outlineLevel="0" collapsed="false">
      <c r="A3377" s="51" t="n">
        <v>16906</v>
      </c>
      <c r="B3377" s="53" t="n">
        <v>40805.4923611111</v>
      </c>
      <c r="C3377" s="57" t="n">
        <f aca="false">INT($C$2)-INT(Table3[[#This Row],[Last Purchase Date]])</f>
        <v>82</v>
      </c>
      <c r="D3377" s="1" t="n">
        <v>4</v>
      </c>
      <c r="E3377" s="1" t="n">
        <v>579.77</v>
      </c>
      <c r="F3377" s="1" t="n">
        <f aca="false">ROUND((1-_xlfn.PERCENTRANK.INC($C$7:$C$4378,C3377))*9,0)</f>
        <v>3</v>
      </c>
      <c r="G3377" s="1" t="n">
        <f aca="false">ROUND(_xlfn.PERCENTRANK.INC($D$7:$D$4378,D3377)*9,0)</f>
        <v>5</v>
      </c>
      <c r="H3377" s="1" t="n">
        <f aca="false">ROUND(_xlfn.PERCENTRANK.INC($E$7:$E$4378,E3377)*9,0)</f>
        <v>4</v>
      </c>
      <c r="I3377" s="1" t="str">
        <f aca="false">CONCATENATE(F3377,G3377,H3377)</f>
        <v>354</v>
      </c>
      <c r="J3377" s="1" t="str">
        <f aca="false">_xlfn.IFS(AND(F3377&gt;=8,G3377&gt;=8,H3377&gt;=8),"CHAMPION",AND(F3377&gt;=6,G3377&gt;=7,H3377&gt;=6),"LOYAL CUSTOMER",AND(F3377&gt;=6,G3377&gt;=5,H3377&gt;=5),"POTENTIAL LOYALIST",AND(F3377&gt;=8,G3377&lt;=2,H3377&gt;=5),"NEW CUSTOMERS",AND(F3377&gt;=6,G3377&lt;=2,H3377&gt;=3),"PROMISING",AND(F3377&gt;=3,G3377&gt;=3,H3377&gt;=3),"NEED ATTENTION",AND(F3377&lt;=4,G3377&gt;=6,H3377&gt;=6),"AT RISK",AND(F3377&lt;=2,G3377&gt;=8,H3377&gt;=8),"CAN'T LOSE THEM",AND(F3377&lt;=2,G3377&lt;=2,H3377&lt;=2),"HIBERNATING",TRUE(),"Other")</f>
        <v>NEED ATTENTION</v>
      </c>
      <c r="K3377" s="1" t="n">
        <f aca="false">RANK(E3377,$E$7:$E$4378)+COUNTIF($E$7:E3377,E3377)-1</f>
        <v>2372</v>
      </c>
    </row>
    <row r="3378" customFormat="false" ht="14.25" hidden="false" customHeight="true" outlineLevel="0" collapsed="false">
      <c r="A3378" s="51" t="n">
        <v>16907</v>
      </c>
      <c r="B3378" s="53" t="n">
        <v>40857.7527777778</v>
      </c>
      <c r="C3378" s="57" t="n">
        <f aca="false">INT($C$2)-INT(Table3[[#This Row],[Last Purchase Date]])</f>
        <v>30</v>
      </c>
      <c r="D3378" s="1" t="n">
        <v>5</v>
      </c>
      <c r="E3378" s="1" t="n">
        <v>981.65</v>
      </c>
      <c r="F3378" s="1" t="n">
        <f aca="false">ROUND((1-_xlfn.PERCENTRANK.INC($C$7:$C$4378,C3378))*9,0)</f>
        <v>6</v>
      </c>
      <c r="G3378" s="1" t="n">
        <f aca="false">ROUND(_xlfn.PERCENTRANK.INC($D$7:$D$4378,D3378)*9,0)</f>
        <v>6</v>
      </c>
      <c r="H3378" s="1" t="n">
        <f aca="false">ROUND(_xlfn.PERCENTRANK.INC($E$7:$E$4378,E3378)*9,0)</f>
        <v>6</v>
      </c>
      <c r="I3378" s="1" t="str">
        <f aca="false">CONCATENATE(F3378,G3378,H3378)</f>
        <v>666</v>
      </c>
      <c r="J3378" s="1" t="str">
        <f aca="false">_xlfn.IFS(AND(F3378&gt;=8,G3378&gt;=8,H3378&gt;=8),"CHAMPION",AND(F3378&gt;=6,G3378&gt;=7,H3378&gt;=6),"LOYAL CUSTOMER",AND(F3378&gt;=6,G3378&gt;=5,H3378&gt;=5),"POTENTIAL LOYALIST",AND(F3378&gt;=8,G3378&lt;=2,H3378&gt;=5),"NEW CUSTOMERS",AND(F3378&gt;=6,G3378&lt;=2,H3378&gt;=3),"PROMISING",AND(F3378&gt;=3,G3378&gt;=3,H3378&gt;=3),"NEED ATTENTION",AND(F3378&lt;=4,G3378&gt;=6,H3378&gt;=6),"AT RISK",AND(F3378&lt;=2,G3378&gt;=8,H3378&gt;=8),"CAN'T LOSE THEM",AND(F3378&lt;=2,G3378&lt;=2,H3378&lt;=2),"HIBERNATING",TRUE(),"Other")</f>
        <v>POTENTIAL LOYALIST</v>
      </c>
      <c r="K3378" s="1" t="n">
        <f aca="false">RANK(E3378,$E$7:$E$4378)+COUNTIF($E$7:E3378,E3378)-1</f>
        <v>1660</v>
      </c>
    </row>
    <row r="3379" customFormat="false" ht="14.25" hidden="false" customHeight="true" outlineLevel="0" collapsed="false">
      <c r="A3379" s="51" t="n">
        <v>16909</v>
      </c>
      <c r="B3379" s="53" t="n">
        <v>40822.7541666667</v>
      </c>
      <c r="C3379" s="57" t="n">
        <f aca="false">INT($C$2)-INT(Table3[[#This Row],[Last Purchase Date]])</f>
        <v>65</v>
      </c>
      <c r="D3379" s="1" t="n">
        <v>2</v>
      </c>
      <c r="E3379" s="1" t="n">
        <v>364.14</v>
      </c>
      <c r="F3379" s="1" t="n">
        <f aca="false">ROUND((1-_xlfn.PERCENTRANK.INC($C$7:$C$4378,C3379))*9,0)</f>
        <v>4</v>
      </c>
      <c r="G3379" s="1" t="n">
        <f aca="false">ROUND(_xlfn.PERCENTRANK.INC($D$7:$D$4378,D3379)*9,0)</f>
        <v>3</v>
      </c>
      <c r="H3379" s="1" t="n">
        <f aca="false">ROUND(_xlfn.PERCENTRANK.INC($E$7:$E$4378,E3379)*9,0)</f>
        <v>3</v>
      </c>
      <c r="I3379" s="1" t="str">
        <f aca="false">CONCATENATE(F3379,G3379,H3379)</f>
        <v>433</v>
      </c>
      <c r="J3379" s="1" t="str">
        <f aca="false">_xlfn.IFS(AND(F3379&gt;=8,G3379&gt;=8,H3379&gt;=8),"CHAMPION",AND(F3379&gt;=6,G3379&gt;=7,H3379&gt;=6),"LOYAL CUSTOMER",AND(F3379&gt;=6,G3379&gt;=5,H3379&gt;=5),"POTENTIAL LOYALIST",AND(F3379&gt;=8,G3379&lt;=2,H3379&gt;=5),"NEW CUSTOMERS",AND(F3379&gt;=6,G3379&lt;=2,H3379&gt;=3),"PROMISING",AND(F3379&gt;=3,G3379&gt;=3,H3379&gt;=3),"NEED ATTENTION",AND(F3379&lt;=4,G3379&gt;=6,H3379&gt;=6),"AT RISK",AND(F3379&lt;=2,G3379&gt;=8,H3379&gt;=8),"CAN'T LOSE THEM",AND(F3379&lt;=2,G3379&lt;=2,H3379&lt;=2),"HIBERNATING",TRUE(),"Other")</f>
        <v>NEED ATTENTION</v>
      </c>
      <c r="K3379" s="1" t="n">
        <f aca="false">RANK(E3379,$E$7:$E$4378)+COUNTIF($E$7:E3379,E3379)-1</f>
        <v>2944</v>
      </c>
    </row>
    <row r="3380" customFormat="false" ht="14.25" hidden="false" customHeight="true" outlineLevel="0" collapsed="false">
      <c r="A3380" s="51" t="n">
        <v>16910</v>
      </c>
      <c r="B3380" s="53" t="n">
        <v>40882.5354166667</v>
      </c>
      <c r="C3380" s="57" t="n">
        <f aca="false">INT($C$2)-INT(Table3[[#This Row],[Last Purchase Date]])</f>
        <v>5</v>
      </c>
      <c r="D3380" s="1" t="n">
        <v>8</v>
      </c>
      <c r="E3380" s="1" t="n">
        <v>1510.06</v>
      </c>
      <c r="F3380" s="1" t="n">
        <f aca="false">ROUND((1-_xlfn.PERCENTRANK.INC($C$7:$C$4378,C3380))*9,0)</f>
        <v>8</v>
      </c>
      <c r="G3380" s="1" t="n">
        <f aca="false">ROUND(_xlfn.PERCENTRANK.INC($D$7:$D$4378,D3380)*9,0)</f>
        <v>7</v>
      </c>
      <c r="H3380" s="1" t="n">
        <f aca="false">ROUND(_xlfn.PERCENTRANK.INC($E$7:$E$4378,E3380)*9,0)</f>
        <v>7</v>
      </c>
      <c r="I3380" s="1" t="str">
        <f aca="false">CONCATENATE(F3380,G3380,H3380)</f>
        <v>877</v>
      </c>
      <c r="J3380" s="1" t="str">
        <f aca="false">_xlfn.IFS(AND(F3380&gt;=8,G3380&gt;=8,H3380&gt;=8),"CHAMPION",AND(F3380&gt;=6,G3380&gt;=7,H3380&gt;=6),"LOYAL CUSTOMER",AND(F3380&gt;=6,G3380&gt;=5,H3380&gt;=5),"POTENTIAL LOYALIST",AND(F3380&gt;=8,G3380&lt;=2,H3380&gt;=5),"NEW CUSTOMERS",AND(F3380&gt;=6,G3380&lt;=2,H3380&gt;=3),"PROMISING",AND(F3380&gt;=3,G3380&gt;=3,H3380&gt;=3),"NEED ATTENTION",AND(F3380&lt;=4,G3380&gt;=6,H3380&gt;=6),"AT RISK",AND(F3380&lt;=2,G3380&gt;=8,H3380&gt;=8),"CAN'T LOSE THEM",AND(F3380&lt;=2,G3380&lt;=2,H3380&lt;=2),"HIBERNATING",TRUE(),"Other")</f>
        <v>LOYAL CUSTOMER</v>
      </c>
      <c r="K3380" s="1" t="n">
        <f aca="false">RANK(E3380,$E$7:$E$4378)+COUNTIF($E$7:E3380,E3380)-1</f>
        <v>1160</v>
      </c>
    </row>
    <row r="3381" customFormat="false" ht="14.25" hidden="false" customHeight="true" outlineLevel="0" collapsed="false">
      <c r="A3381" s="51" t="n">
        <v>16912</v>
      </c>
      <c r="B3381" s="53" t="n">
        <v>40863.6604166667</v>
      </c>
      <c r="C3381" s="57" t="n">
        <f aca="false">INT($C$2)-INT(Table3[[#This Row],[Last Purchase Date]])</f>
        <v>24</v>
      </c>
      <c r="D3381" s="1" t="n">
        <v>14</v>
      </c>
      <c r="E3381" s="1" t="n">
        <v>2528.67</v>
      </c>
      <c r="F3381" s="1" t="n">
        <f aca="false">ROUND((1-_xlfn.PERCENTRANK.INC($C$7:$C$4378,C3381))*9,0)</f>
        <v>6</v>
      </c>
      <c r="G3381" s="1" t="n">
        <f aca="false">ROUND(_xlfn.PERCENTRANK.INC($D$7:$D$4378,D3381)*9,0)</f>
        <v>8</v>
      </c>
      <c r="H3381" s="1" t="n">
        <f aca="false">ROUND(_xlfn.PERCENTRANK.INC($E$7:$E$4378,E3381)*9,0)</f>
        <v>8</v>
      </c>
      <c r="I3381" s="1" t="str">
        <f aca="false">CONCATENATE(F3381,G3381,H3381)</f>
        <v>688</v>
      </c>
      <c r="J3381" s="1" t="str">
        <f aca="false">_xlfn.IFS(AND(F3381&gt;=8,G3381&gt;=8,H3381&gt;=8),"CHAMPION",AND(F3381&gt;=6,G3381&gt;=7,H3381&gt;=6),"LOYAL CUSTOMER",AND(F3381&gt;=6,G3381&gt;=5,H3381&gt;=5),"POTENTIAL LOYALIST",AND(F3381&gt;=8,G3381&lt;=2,H3381&gt;=5),"NEW CUSTOMERS",AND(F3381&gt;=6,G3381&lt;=2,H3381&gt;=3),"PROMISING",AND(F3381&gt;=3,G3381&gt;=3,H3381&gt;=3),"NEED ATTENTION",AND(F3381&lt;=4,G3381&gt;=6,H3381&gt;=6),"AT RISK",AND(F3381&lt;=2,G3381&gt;=8,H3381&gt;=8),"CAN'T LOSE THEM",AND(F3381&lt;=2,G3381&lt;=2,H3381&lt;=2),"HIBERNATING",TRUE(),"Other")</f>
        <v>LOYAL CUSTOMER</v>
      </c>
      <c r="K3381" s="1" t="n">
        <f aca="false">RANK(E3381,$E$7:$E$4378)+COUNTIF($E$7:E3381,E3381)-1</f>
        <v>673</v>
      </c>
    </row>
    <row r="3382" customFormat="false" ht="14.25" hidden="false" customHeight="true" outlineLevel="0" collapsed="false">
      <c r="A3382" s="51" t="n">
        <v>16913</v>
      </c>
      <c r="B3382" s="53" t="n">
        <v>40596.5388888889</v>
      </c>
      <c r="C3382" s="57" t="n">
        <f aca="false">INT($C$2)-INT(Table3[[#This Row],[Last Purchase Date]])</f>
        <v>291</v>
      </c>
      <c r="D3382" s="1" t="n">
        <v>1</v>
      </c>
      <c r="E3382" s="1" t="n">
        <v>113.44</v>
      </c>
      <c r="F3382" s="1" t="n">
        <f aca="false">ROUND((1-_xlfn.PERCENTRANK.INC($C$7:$C$4378,C3382))*9,0)</f>
        <v>1</v>
      </c>
      <c r="G3382" s="1" t="n">
        <f aca="false">ROUND(_xlfn.PERCENTRANK.INC($D$7:$D$4378,D3382)*9,0)</f>
        <v>0</v>
      </c>
      <c r="H3382" s="1" t="n">
        <f aca="false">ROUND(_xlfn.PERCENTRANK.INC($E$7:$E$4378,E3382)*9,0)</f>
        <v>1</v>
      </c>
      <c r="I3382" s="1" t="str">
        <f aca="false">CONCATENATE(F3382,G3382,H3382)</f>
        <v>101</v>
      </c>
      <c r="J3382" s="1" t="str">
        <f aca="false">_xlfn.IFS(AND(F3382&gt;=8,G3382&gt;=8,H3382&gt;=8),"CHAMPION",AND(F3382&gt;=6,G3382&gt;=7,H3382&gt;=6),"LOYAL CUSTOMER",AND(F3382&gt;=6,G3382&gt;=5,H3382&gt;=5),"POTENTIAL LOYALIST",AND(F3382&gt;=8,G3382&lt;=2,H3382&gt;=5),"NEW CUSTOMERS",AND(F3382&gt;=6,G3382&lt;=2,H3382&gt;=3),"PROMISING",AND(F3382&gt;=3,G3382&gt;=3,H3382&gt;=3),"NEED ATTENTION",AND(F3382&lt;=4,G3382&gt;=6,H3382&gt;=6),"AT RISK",AND(F3382&lt;=2,G3382&gt;=8,H3382&gt;=8),"CAN'T LOSE THEM",AND(F3382&lt;=2,G3382&lt;=2,H3382&lt;=2),"HIBERNATING",TRUE(),"Other")</f>
        <v>HIBERNATING</v>
      </c>
      <c r="K3382" s="1" t="n">
        <f aca="false">RANK(E3382,$E$7:$E$4378)+COUNTIF($E$7:E3382,E3382)-1</f>
        <v>4089</v>
      </c>
    </row>
    <row r="3383" customFormat="false" ht="14.25" hidden="false" customHeight="true" outlineLevel="0" collapsed="false">
      <c r="A3383" s="51" t="n">
        <v>16914</v>
      </c>
      <c r="B3383" s="53" t="n">
        <v>40850.64375</v>
      </c>
      <c r="C3383" s="57" t="n">
        <f aca="false">INT($C$2)-INT(Table3[[#This Row],[Last Purchase Date]])</f>
        <v>37</v>
      </c>
      <c r="D3383" s="1" t="n">
        <v>1</v>
      </c>
      <c r="E3383" s="1" t="n">
        <v>208.46</v>
      </c>
      <c r="F3383" s="1" t="n">
        <f aca="false">ROUND((1-_xlfn.PERCENTRANK.INC($C$7:$C$4378,C3383))*9,0)</f>
        <v>5</v>
      </c>
      <c r="G3383" s="1" t="n">
        <f aca="false">ROUND(_xlfn.PERCENTRANK.INC($D$7:$D$4378,D3383)*9,0)</f>
        <v>0</v>
      </c>
      <c r="H3383" s="1" t="n">
        <f aca="false">ROUND(_xlfn.PERCENTRANK.INC($E$7:$E$4378,E3383)*9,0)</f>
        <v>2</v>
      </c>
      <c r="I3383" s="1" t="str">
        <f aca="false">CONCATENATE(F3383,G3383,H3383)</f>
        <v>502</v>
      </c>
      <c r="J3383" s="1" t="str">
        <f aca="false">_xlfn.IFS(AND(F3383&gt;=8,G3383&gt;=8,H3383&gt;=8),"CHAMPION",AND(F3383&gt;=6,G3383&gt;=7,H3383&gt;=6),"LOYAL CUSTOMER",AND(F3383&gt;=6,G3383&gt;=5,H3383&gt;=5),"POTENTIAL LOYALIST",AND(F3383&gt;=8,G3383&lt;=2,H3383&gt;=5),"NEW CUSTOMERS",AND(F3383&gt;=6,G3383&lt;=2,H3383&gt;=3),"PROMISING",AND(F3383&gt;=3,G3383&gt;=3,H3383&gt;=3),"NEED ATTENTION",AND(F3383&lt;=4,G3383&gt;=6,H3383&gt;=6),"AT RISK",AND(F3383&lt;=2,G3383&gt;=8,H3383&gt;=8),"CAN'T LOSE THEM",AND(F3383&lt;=2,G3383&lt;=2,H3383&lt;=2),"HIBERNATING",TRUE(),"Other")</f>
        <v>Other</v>
      </c>
      <c r="K3383" s="1" t="n">
        <f aca="false">RANK(E3383,$E$7:$E$4378)+COUNTIF($E$7:E3383,E3383)-1</f>
        <v>3618</v>
      </c>
    </row>
    <row r="3384" customFormat="false" ht="14.25" hidden="false" customHeight="true" outlineLevel="0" collapsed="false">
      <c r="A3384" s="51" t="n">
        <v>16915</v>
      </c>
      <c r="B3384" s="53" t="n">
        <v>40877.69375</v>
      </c>
      <c r="C3384" s="57" t="n">
        <f aca="false">INT($C$2)-INT(Table3[[#This Row],[Last Purchase Date]])</f>
        <v>10</v>
      </c>
      <c r="D3384" s="1" t="n">
        <v>6</v>
      </c>
      <c r="E3384" s="1" t="n">
        <v>621.68</v>
      </c>
      <c r="F3384" s="1" t="n">
        <f aca="false">ROUND((1-_xlfn.PERCENTRANK.INC($C$7:$C$4378,C3384))*9,0)</f>
        <v>8</v>
      </c>
      <c r="G3384" s="1" t="n">
        <f aca="false">ROUND(_xlfn.PERCENTRANK.INC($D$7:$D$4378,D3384)*9,0)</f>
        <v>7</v>
      </c>
      <c r="H3384" s="1" t="n">
        <f aca="false">ROUND(_xlfn.PERCENTRANK.INC($E$7:$E$4378,E3384)*9,0)</f>
        <v>4</v>
      </c>
      <c r="I3384" s="1" t="str">
        <f aca="false">CONCATENATE(F3384,G3384,H3384)</f>
        <v>874</v>
      </c>
      <c r="J3384" s="1" t="str">
        <f aca="false">_xlfn.IFS(AND(F3384&gt;=8,G3384&gt;=8,H3384&gt;=8),"CHAMPION",AND(F3384&gt;=6,G3384&gt;=7,H3384&gt;=6),"LOYAL CUSTOMER",AND(F3384&gt;=6,G3384&gt;=5,H3384&gt;=5),"POTENTIAL LOYALIST",AND(F3384&gt;=8,G3384&lt;=2,H3384&gt;=5),"NEW CUSTOMERS",AND(F3384&gt;=6,G3384&lt;=2,H3384&gt;=3),"PROMISING",AND(F3384&gt;=3,G3384&gt;=3,H3384&gt;=3),"NEED ATTENTION",AND(F3384&lt;=4,G3384&gt;=6,H3384&gt;=6),"AT RISK",AND(F3384&lt;=2,G3384&gt;=8,H3384&gt;=8),"CAN'T LOSE THEM",AND(F3384&lt;=2,G3384&lt;=2,H3384&lt;=2),"HIBERNATING",TRUE(),"Other")</f>
        <v>NEED ATTENTION</v>
      </c>
      <c r="K3384" s="1" t="n">
        <f aca="false">RANK(E3384,$E$7:$E$4378)+COUNTIF($E$7:E3384,E3384)-1</f>
        <v>2253</v>
      </c>
    </row>
    <row r="3385" customFormat="false" ht="14.25" hidden="false" customHeight="true" outlineLevel="0" collapsed="false">
      <c r="A3385" s="51" t="n">
        <v>16916</v>
      </c>
      <c r="B3385" s="53" t="n">
        <v>40863.5055555556</v>
      </c>
      <c r="C3385" s="57" t="n">
        <f aca="false">INT($C$2)-INT(Table3[[#This Row],[Last Purchase Date]])</f>
        <v>24</v>
      </c>
      <c r="D3385" s="1" t="n">
        <v>2</v>
      </c>
      <c r="E3385" s="1" t="n">
        <v>576.26</v>
      </c>
      <c r="F3385" s="1" t="n">
        <f aca="false">ROUND((1-_xlfn.PERCENTRANK.INC($C$7:$C$4378,C3385))*9,0)</f>
        <v>6</v>
      </c>
      <c r="G3385" s="1" t="n">
        <f aca="false">ROUND(_xlfn.PERCENTRANK.INC($D$7:$D$4378,D3385)*9,0)</f>
        <v>3</v>
      </c>
      <c r="H3385" s="1" t="n">
        <f aca="false">ROUND(_xlfn.PERCENTRANK.INC($E$7:$E$4378,E3385)*9,0)</f>
        <v>4</v>
      </c>
      <c r="I3385" s="1" t="str">
        <f aca="false">CONCATENATE(F3385,G3385,H3385)</f>
        <v>634</v>
      </c>
      <c r="J3385" s="1" t="str">
        <f aca="false">_xlfn.IFS(AND(F3385&gt;=8,G3385&gt;=8,H3385&gt;=8),"CHAMPION",AND(F3385&gt;=6,G3385&gt;=7,H3385&gt;=6),"LOYAL CUSTOMER",AND(F3385&gt;=6,G3385&gt;=5,H3385&gt;=5),"POTENTIAL LOYALIST",AND(F3385&gt;=8,G3385&lt;=2,H3385&gt;=5),"NEW CUSTOMERS",AND(F3385&gt;=6,G3385&lt;=2,H3385&gt;=3),"PROMISING",AND(F3385&gt;=3,G3385&gt;=3,H3385&gt;=3),"NEED ATTENTION",AND(F3385&lt;=4,G3385&gt;=6,H3385&gt;=6),"AT RISK",AND(F3385&lt;=2,G3385&gt;=8,H3385&gt;=8),"CAN'T LOSE THEM",AND(F3385&lt;=2,G3385&lt;=2,H3385&lt;=2),"HIBERNATING",TRUE(),"Other")</f>
        <v>NEED ATTENTION</v>
      </c>
      <c r="K3385" s="1" t="n">
        <f aca="false">RANK(E3385,$E$7:$E$4378)+COUNTIF($E$7:E3385,E3385)-1</f>
        <v>2378</v>
      </c>
    </row>
    <row r="3386" customFormat="false" ht="14.25" hidden="false" customHeight="true" outlineLevel="0" collapsed="false">
      <c r="A3386" s="51" t="n">
        <v>16917</v>
      </c>
      <c r="B3386" s="53" t="n">
        <v>40610.4965277778</v>
      </c>
      <c r="C3386" s="57" t="n">
        <f aca="false">INT($C$2)-INT(Table3[[#This Row],[Last Purchase Date]])</f>
        <v>277</v>
      </c>
      <c r="D3386" s="1" t="n">
        <v>1</v>
      </c>
      <c r="E3386" s="1" t="n">
        <v>391.52</v>
      </c>
      <c r="F3386" s="1" t="n">
        <f aca="false">ROUND((1-_xlfn.PERCENTRANK.INC($C$7:$C$4378,C3386))*9,0)</f>
        <v>1</v>
      </c>
      <c r="G3386" s="1" t="n">
        <f aca="false">ROUND(_xlfn.PERCENTRANK.INC($D$7:$D$4378,D3386)*9,0)</f>
        <v>0</v>
      </c>
      <c r="H3386" s="1" t="n">
        <f aca="false">ROUND(_xlfn.PERCENTRANK.INC($E$7:$E$4378,E3386)*9,0)</f>
        <v>3</v>
      </c>
      <c r="I3386" s="1" t="str">
        <f aca="false">CONCATENATE(F3386,G3386,H3386)</f>
        <v>103</v>
      </c>
      <c r="J3386" s="1" t="str">
        <f aca="false">_xlfn.IFS(AND(F3386&gt;=8,G3386&gt;=8,H3386&gt;=8),"CHAMPION",AND(F3386&gt;=6,G3386&gt;=7,H3386&gt;=6),"LOYAL CUSTOMER",AND(F3386&gt;=6,G3386&gt;=5,H3386&gt;=5),"POTENTIAL LOYALIST",AND(F3386&gt;=8,G3386&lt;=2,H3386&gt;=5),"NEW CUSTOMERS",AND(F3386&gt;=6,G3386&lt;=2,H3386&gt;=3),"PROMISING",AND(F3386&gt;=3,G3386&gt;=3,H3386&gt;=3),"NEED ATTENTION",AND(F3386&lt;=4,G3386&gt;=6,H3386&gt;=6),"AT RISK",AND(F3386&lt;=2,G3386&gt;=8,H3386&gt;=8),"CAN'T LOSE THEM",AND(F3386&lt;=2,G3386&lt;=2,H3386&lt;=2),"HIBERNATING",TRUE(),"Other")</f>
        <v>Other</v>
      </c>
      <c r="K3386" s="1" t="n">
        <f aca="false">RANK(E3386,$E$7:$E$4378)+COUNTIF($E$7:E3386,E3386)-1</f>
        <v>2843</v>
      </c>
    </row>
    <row r="3387" customFormat="false" ht="14.25" hidden="false" customHeight="true" outlineLevel="0" collapsed="false">
      <c r="A3387" s="51" t="n">
        <v>16918</v>
      </c>
      <c r="B3387" s="53" t="n">
        <v>40837.5347222222</v>
      </c>
      <c r="C3387" s="57" t="n">
        <f aca="false">INT($C$2)-INT(Table3[[#This Row],[Last Purchase Date]])</f>
        <v>50</v>
      </c>
      <c r="D3387" s="1" t="n">
        <v>7</v>
      </c>
      <c r="E3387" s="1" t="n">
        <v>1043.34</v>
      </c>
      <c r="F3387" s="1" t="n">
        <f aca="false">ROUND((1-_xlfn.PERCENTRANK.INC($C$7:$C$4378,C3387))*9,0)</f>
        <v>5</v>
      </c>
      <c r="G3387" s="1" t="n">
        <f aca="false">ROUND(_xlfn.PERCENTRANK.INC($D$7:$D$4378,D3387)*9,0)</f>
        <v>7</v>
      </c>
      <c r="H3387" s="1" t="n">
        <f aca="false">ROUND(_xlfn.PERCENTRANK.INC($E$7:$E$4378,E3387)*9,0)</f>
        <v>6</v>
      </c>
      <c r="I3387" s="1" t="str">
        <f aca="false">CONCATENATE(F3387,G3387,H3387)</f>
        <v>576</v>
      </c>
      <c r="J3387" s="1" t="str">
        <f aca="false">_xlfn.IFS(AND(F3387&gt;=8,G3387&gt;=8,H3387&gt;=8),"CHAMPION",AND(F3387&gt;=6,G3387&gt;=7,H3387&gt;=6),"LOYAL CUSTOMER",AND(F3387&gt;=6,G3387&gt;=5,H3387&gt;=5),"POTENTIAL LOYALIST",AND(F3387&gt;=8,G3387&lt;=2,H3387&gt;=5),"NEW CUSTOMERS",AND(F3387&gt;=6,G3387&lt;=2,H3387&gt;=3),"PROMISING",AND(F3387&gt;=3,G3387&gt;=3,H3387&gt;=3),"NEED ATTENTION",AND(F3387&lt;=4,G3387&gt;=6,H3387&gt;=6),"AT RISK",AND(F3387&lt;=2,G3387&gt;=8,H3387&gt;=8),"CAN'T LOSE THEM",AND(F3387&lt;=2,G3387&lt;=2,H3387&lt;=2),"HIBERNATING",TRUE(),"Other")</f>
        <v>NEED ATTENTION</v>
      </c>
      <c r="K3387" s="1" t="n">
        <f aca="false">RANK(E3387,$E$7:$E$4378)+COUNTIF($E$7:E3387,E3387)-1</f>
        <v>1573</v>
      </c>
    </row>
    <row r="3388" customFormat="false" ht="14.25" hidden="false" customHeight="true" outlineLevel="0" collapsed="false">
      <c r="A3388" s="51" t="n">
        <v>16919</v>
      </c>
      <c r="B3388" s="53" t="n">
        <v>40730.5659722222</v>
      </c>
      <c r="C3388" s="57" t="n">
        <f aca="false">INT($C$2)-INT(Table3[[#This Row],[Last Purchase Date]])</f>
        <v>157</v>
      </c>
      <c r="D3388" s="1" t="n">
        <v>11</v>
      </c>
      <c r="E3388" s="1" t="n">
        <v>2596.45</v>
      </c>
      <c r="F3388" s="1" t="n">
        <f aca="false">ROUND((1-_xlfn.PERCENTRANK.INC($C$7:$C$4378,C3388))*9,0)</f>
        <v>2</v>
      </c>
      <c r="G3388" s="1" t="n">
        <f aca="false">ROUND(_xlfn.PERCENTRANK.INC($D$7:$D$4378,D3388)*9,0)</f>
        <v>8</v>
      </c>
      <c r="H3388" s="1" t="n">
        <f aca="false">ROUND(_xlfn.PERCENTRANK.INC($E$7:$E$4378,E3388)*9,0)</f>
        <v>8</v>
      </c>
      <c r="I3388" s="1" t="str">
        <f aca="false">CONCATENATE(F3388,G3388,H3388)</f>
        <v>288</v>
      </c>
      <c r="J3388" s="1" t="str">
        <f aca="false">_xlfn.IFS(AND(F3388&gt;=8,G3388&gt;=8,H3388&gt;=8),"CHAMPION",AND(F3388&gt;=6,G3388&gt;=7,H3388&gt;=6),"LOYAL CUSTOMER",AND(F3388&gt;=6,G3388&gt;=5,H3388&gt;=5),"POTENTIAL LOYALIST",AND(F3388&gt;=8,G3388&lt;=2,H3388&gt;=5),"NEW CUSTOMERS",AND(F3388&gt;=6,G3388&lt;=2,H3388&gt;=3),"PROMISING",AND(F3388&gt;=3,G3388&gt;=3,H3388&gt;=3),"NEED ATTENTION",AND(F3388&lt;=4,G3388&gt;=6,H3388&gt;=6),"AT RISK",AND(F3388&lt;=2,G3388&gt;=8,H3388&gt;=8),"CAN'T LOSE THEM",AND(F3388&lt;=2,G3388&lt;=2,H3388&lt;=2),"HIBERNATING",TRUE(),"Other")</f>
        <v>AT RISK</v>
      </c>
      <c r="K3388" s="1" t="n">
        <f aca="false">RANK(E3388,$E$7:$E$4378)+COUNTIF($E$7:E3388,E3388)-1</f>
        <v>649</v>
      </c>
    </row>
    <row r="3389" customFormat="false" ht="14.25" hidden="false" customHeight="true" outlineLevel="0" collapsed="false">
      <c r="A3389" s="51" t="n">
        <v>16921</v>
      </c>
      <c r="B3389" s="53" t="n">
        <v>40825.6819444444</v>
      </c>
      <c r="C3389" s="57" t="n">
        <f aca="false">INT($C$2)-INT(Table3[[#This Row],[Last Purchase Date]])</f>
        <v>62</v>
      </c>
      <c r="D3389" s="1" t="n">
        <v>1</v>
      </c>
      <c r="E3389" s="1" t="n">
        <v>169.79</v>
      </c>
      <c r="F3389" s="1" t="n">
        <f aca="false">ROUND((1-_xlfn.PERCENTRANK.INC($C$7:$C$4378,C3389))*9,0)</f>
        <v>4</v>
      </c>
      <c r="G3389" s="1" t="n">
        <f aca="false">ROUND(_xlfn.PERCENTRANK.INC($D$7:$D$4378,D3389)*9,0)</f>
        <v>0</v>
      </c>
      <c r="H3389" s="1" t="n">
        <f aca="false">ROUND(_xlfn.PERCENTRANK.INC($E$7:$E$4378,E3389)*9,0)</f>
        <v>1</v>
      </c>
      <c r="I3389" s="1" t="str">
        <f aca="false">CONCATENATE(F3389,G3389,H3389)</f>
        <v>401</v>
      </c>
      <c r="J3389" s="1" t="str">
        <f aca="false">_xlfn.IFS(AND(F3389&gt;=8,G3389&gt;=8,H3389&gt;=8),"CHAMPION",AND(F3389&gt;=6,G3389&gt;=7,H3389&gt;=6),"LOYAL CUSTOMER",AND(F3389&gt;=6,G3389&gt;=5,H3389&gt;=5),"POTENTIAL LOYALIST",AND(F3389&gt;=8,G3389&lt;=2,H3389&gt;=5),"NEW CUSTOMERS",AND(F3389&gt;=6,G3389&lt;=2,H3389&gt;=3),"PROMISING",AND(F3389&gt;=3,G3389&gt;=3,H3389&gt;=3),"NEED ATTENTION",AND(F3389&lt;=4,G3389&gt;=6,H3389&gt;=6),"AT RISK",AND(F3389&lt;=2,G3389&gt;=8,H3389&gt;=8),"CAN'T LOSE THEM",AND(F3389&lt;=2,G3389&lt;=2,H3389&lt;=2),"HIBERNATING",TRUE(),"Other")</f>
        <v>Other</v>
      </c>
      <c r="K3389" s="1" t="n">
        <f aca="false">RANK(E3389,$E$7:$E$4378)+COUNTIF($E$7:E3389,E3389)-1</f>
        <v>3804</v>
      </c>
    </row>
    <row r="3390" customFormat="false" ht="14.25" hidden="false" customHeight="true" outlineLevel="0" collapsed="false">
      <c r="A3390" s="51" t="n">
        <v>16923</v>
      </c>
      <c r="B3390" s="53" t="n">
        <v>40874.5416666667</v>
      </c>
      <c r="C3390" s="57" t="n">
        <f aca="false">INT($C$2)-INT(Table3[[#This Row],[Last Purchase Date]])</f>
        <v>13</v>
      </c>
      <c r="D3390" s="1" t="n">
        <v>26</v>
      </c>
      <c r="E3390" s="1" t="n">
        <v>6666.83</v>
      </c>
      <c r="F3390" s="1" t="n">
        <f aca="false">ROUND((1-_xlfn.PERCENTRANK.INC($C$7:$C$4378,C3390))*9,0)</f>
        <v>7</v>
      </c>
      <c r="G3390" s="1" t="n">
        <f aca="false">ROUND(_xlfn.PERCENTRANK.INC($D$7:$D$4378,D3390)*9,0)</f>
        <v>9</v>
      </c>
      <c r="H3390" s="1" t="n">
        <f aca="false">ROUND(_xlfn.PERCENTRANK.INC($E$7:$E$4378,E3390)*9,0)</f>
        <v>9</v>
      </c>
      <c r="I3390" s="1" t="str">
        <f aca="false">CONCATENATE(F3390,G3390,H3390)</f>
        <v>799</v>
      </c>
      <c r="J3390" s="1" t="str">
        <f aca="false">_xlfn.IFS(AND(F3390&gt;=8,G3390&gt;=8,H3390&gt;=8),"CHAMPION",AND(F3390&gt;=6,G3390&gt;=7,H3390&gt;=6),"LOYAL CUSTOMER",AND(F3390&gt;=6,G3390&gt;=5,H3390&gt;=5),"POTENTIAL LOYALIST",AND(F3390&gt;=8,G3390&lt;=2,H3390&gt;=5),"NEW CUSTOMERS",AND(F3390&gt;=6,G3390&lt;=2,H3390&gt;=3),"PROMISING",AND(F3390&gt;=3,G3390&gt;=3,H3390&gt;=3),"NEED ATTENTION",AND(F3390&lt;=4,G3390&gt;=6,H3390&gt;=6),"AT RISK",AND(F3390&lt;=2,G3390&gt;=8,H3390&gt;=8),"CAN'T LOSE THEM",AND(F3390&lt;=2,G3390&lt;=2,H3390&lt;=2),"HIBERNATING",TRUE(),"Other")</f>
        <v>LOYAL CUSTOMER</v>
      </c>
      <c r="K3390" s="1" t="n">
        <f aca="false">RANK(E3390,$E$7:$E$4378)+COUNTIF($E$7:E3390,E3390)-1</f>
        <v>172</v>
      </c>
    </row>
    <row r="3391" customFormat="false" ht="14.25" hidden="false" customHeight="true" outlineLevel="0" collapsed="false">
      <c r="A3391" s="51" t="n">
        <v>16924</v>
      </c>
      <c r="B3391" s="53" t="n">
        <v>40865.5368055556</v>
      </c>
      <c r="C3391" s="57" t="n">
        <f aca="false">INT($C$2)-INT(Table3[[#This Row],[Last Purchase Date]])</f>
        <v>22</v>
      </c>
      <c r="D3391" s="1" t="n">
        <v>4</v>
      </c>
      <c r="E3391" s="1" t="n">
        <v>739.5</v>
      </c>
      <c r="F3391" s="1" t="n">
        <f aca="false">ROUND((1-_xlfn.PERCENTRANK.INC($C$7:$C$4378,C3391))*9,0)</f>
        <v>6</v>
      </c>
      <c r="G3391" s="1" t="n">
        <f aca="false">ROUND(_xlfn.PERCENTRANK.INC($D$7:$D$4378,D3391)*9,0)</f>
        <v>5</v>
      </c>
      <c r="H3391" s="1" t="n">
        <f aca="false">ROUND(_xlfn.PERCENTRANK.INC($E$7:$E$4378,E3391)*9,0)</f>
        <v>5</v>
      </c>
      <c r="I3391" s="1" t="str">
        <f aca="false">CONCATENATE(F3391,G3391,H3391)</f>
        <v>655</v>
      </c>
      <c r="J3391" s="1" t="str">
        <f aca="false">_xlfn.IFS(AND(F3391&gt;=8,G3391&gt;=8,H3391&gt;=8),"CHAMPION",AND(F3391&gt;=6,G3391&gt;=7,H3391&gt;=6),"LOYAL CUSTOMER",AND(F3391&gt;=6,G3391&gt;=5,H3391&gt;=5),"POTENTIAL LOYALIST",AND(F3391&gt;=8,G3391&lt;=2,H3391&gt;=5),"NEW CUSTOMERS",AND(F3391&gt;=6,G3391&lt;=2,H3391&gt;=3),"PROMISING",AND(F3391&gt;=3,G3391&gt;=3,H3391&gt;=3),"NEED ATTENTION",AND(F3391&lt;=4,G3391&gt;=6,H3391&gt;=6),"AT RISK",AND(F3391&lt;=2,G3391&gt;=8,H3391&gt;=8),"CAN'T LOSE THEM",AND(F3391&lt;=2,G3391&lt;=2,H3391&lt;=2),"HIBERNATING",TRUE(),"Other")</f>
        <v>POTENTIAL LOYALIST</v>
      </c>
      <c r="K3391" s="1" t="n">
        <f aca="false">RANK(E3391,$E$7:$E$4378)+COUNTIF($E$7:E3391,E3391)-1</f>
        <v>1994</v>
      </c>
    </row>
    <row r="3392" customFormat="false" ht="14.25" hidden="false" customHeight="true" outlineLevel="0" collapsed="false">
      <c r="A3392" s="51" t="n">
        <v>16926</v>
      </c>
      <c r="B3392" s="53" t="n">
        <v>40515.5708333333</v>
      </c>
      <c r="C3392" s="57" t="n">
        <f aca="false">INT($C$2)-INT(Table3[[#This Row],[Last Purchase Date]])</f>
        <v>372</v>
      </c>
      <c r="D3392" s="1" t="n">
        <v>1</v>
      </c>
      <c r="E3392" s="1" t="n">
        <v>230.25</v>
      </c>
      <c r="F3392" s="1" t="n">
        <f aca="false">ROUND((1-_xlfn.PERCENTRANK.INC($C$7:$C$4378,C3392))*9,0)</f>
        <v>0</v>
      </c>
      <c r="G3392" s="1" t="n">
        <f aca="false">ROUND(_xlfn.PERCENTRANK.INC($D$7:$D$4378,D3392)*9,0)</f>
        <v>0</v>
      </c>
      <c r="H3392" s="1" t="n">
        <f aca="false">ROUND(_xlfn.PERCENTRANK.INC($E$7:$E$4378,E3392)*9,0)</f>
        <v>2</v>
      </c>
      <c r="I3392" s="1" t="str">
        <f aca="false">CONCATENATE(F3392,G3392,H3392)</f>
        <v>002</v>
      </c>
      <c r="J3392" s="1" t="str">
        <f aca="false">_xlfn.IFS(AND(F3392&gt;=8,G3392&gt;=8,H3392&gt;=8),"CHAMPION",AND(F3392&gt;=6,G3392&gt;=7,H3392&gt;=6),"LOYAL CUSTOMER",AND(F3392&gt;=6,G3392&gt;=5,H3392&gt;=5),"POTENTIAL LOYALIST",AND(F3392&gt;=8,G3392&lt;=2,H3392&gt;=5),"NEW CUSTOMERS",AND(F3392&gt;=6,G3392&lt;=2,H3392&gt;=3),"PROMISING",AND(F3392&gt;=3,G3392&gt;=3,H3392&gt;=3),"NEED ATTENTION",AND(F3392&lt;=4,G3392&gt;=6,H3392&gt;=6),"AT RISK",AND(F3392&lt;=2,G3392&gt;=8,H3392&gt;=8),"CAN'T LOSE THEM",AND(F3392&lt;=2,G3392&lt;=2,H3392&lt;=2),"HIBERNATING",TRUE(),"Other")</f>
        <v>HIBERNATING</v>
      </c>
      <c r="K3392" s="1" t="n">
        <f aca="false">RANK(E3392,$E$7:$E$4378)+COUNTIF($E$7:E3392,E3392)-1</f>
        <v>3517</v>
      </c>
    </row>
    <row r="3393" customFormat="false" ht="14.25" hidden="false" customHeight="true" outlineLevel="0" collapsed="false">
      <c r="A3393" s="51" t="n">
        <v>16927</v>
      </c>
      <c r="B3393" s="53" t="n">
        <v>40771.4652777778</v>
      </c>
      <c r="C3393" s="57" t="n">
        <f aca="false">INT($C$2)-INT(Table3[[#This Row],[Last Purchase Date]])</f>
        <v>116</v>
      </c>
      <c r="D3393" s="1" t="n">
        <v>3</v>
      </c>
      <c r="E3393" s="1" t="n">
        <v>543.05</v>
      </c>
      <c r="F3393" s="1" t="n">
        <f aca="false">ROUND((1-_xlfn.PERCENTRANK.INC($C$7:$C$4378,C3393))*9,0)</f>
        <v>3</v>
      </c>
      <c r="G3393" s="1" t="n">
        <f aca="false">ROUND(_xlfn.PERCENTRANK.INC($D$7:$D$4378,D3393)*9,0)</f>
        <v>4</v>
      </c>
      <c r="H3393" s="1" t="n">
        <f aca="false">ROUND(_xlfn.PERCENTRANK.INC($E$7:$E$4378,E3393)*9,0)</f>
        <v>4</v>
      </c>
      <c r="I3393" s="1" t="str">
        <f aca="false">CONCATENATE(F3393,G3393,H3393)</f>
        <v>344</v>
      </c>
      <c r="J3393" s="1" t="str">
        <f aca="false">_xlfn.IFS(AND(F3393&gt;=8,G3393&gt;=8,H3393&gt;=8),"CHAMPION",AND(F3393&gt;=6,G3393&gt;=7,H3393&gt;=6),"LOYAL CUSTOMER",AND(F3393&gt;=6,G3393&gt;=5,H3393&gt;=5),"POTENTIAL LOYALIST",AND(F3393&gt;=8,G3393&lt;=2,H3393&gt;=5),"NEW CUSTOMERS",AND(F3393&gt;=6,G3393&lt;=2,H3393&gt;=3),"PROMISING",AND(F3393&gt;=3,G3393&gt;=3,H3393&gt;=3),"NEED ATTENTION",AND(F3393&lt;=4,G3393&gt;=6,H3393&gt;=6),"AT RISK",AND(F3393&lt;=2,G3393&gt;=8,H3393&gt;=8),"CAN'T LOSE THEM",AND(F3393&lt;=2,G3393&lt;=2,H3393&lt;=2),"HIBERNATING",TRUE(),"Other")</f>
        <v>NEED ATTENTION</v>
      </c>
      <c r="K3393" s="1" t="n">
        <f aca="false">RANK(E3393,$E$7:$E$4378)+COUNTIF($E$7:E3393,E3393)-1</f>
        <v>2445</v>
      </c>
    </row>
    <row r="3394" customFormat="false" ht="14.25" hidden="false" customHeight="true" outlineLevel="0" collapsed="false">
      <c r="A3394" s="51" t="n">
        <v>16928</v>
      </c>
      <c r="B3394" s="53" t="n">
        <v>40806.6319444445</v>
      </c>
      <c r="C3394" s="57" t="n">
        <f aca="false">INT($C$2)-INT(Table3[[#This Row],[Last Purchase Date]])</f>
        <v>81</v>
      </c>
      <c r="D3394" s="1" t="n">
        <v>19</v>
      </c>
      <c r="E3394" s="1" t="n">
        <v>2781.5</v>
      </c>
      <c r="F3394" s="1" t="n">
        <f aca="false">ROUND((1-_xlfn.PERCENTRANK.INC($C$7:$C$4378,C3394))*9,0)</f>
        <v>3</v>
      </c>
      <c r="G3394" s="1" t="n">
        <f aca="false">ROUND(_xlfn.PERCENTRANK.INC($D$7:$D$4378,D3394)*9,0)</f>
        <v>9</v>
      </c>
      <c r="H3394" s="1" t="n">
        <f aca="false">ROUND(_xlfn.PERCENTRANK.INC($E$7:$E$4378,E3394)*9,0)</f>
        <v>8</v>
      </c>
      <c r="I3394" s="1" t="str">
        <f aca="false">CONCATENATE(F3394,G3394,H3394)</f>
        <v>398</v>
      </c>
      <c r="J3394" s="1" t="str">
        <f aca="false">_xlfn.IFS(AND(F3394&gt;=8,G3394&gt;=8,H3394&gt;=8),"CHAMPION",AND(F3394&gt;=6,G3394&gt;=7,H3394&gt;=6),"LOYAL CUSTOMER",AND(F3394&gt;=6,G3394&gt;=5,H3394&gt;=5),"POTENTIAL LOYALIST",AND(F3394&gt;=8,G3394&lt;=2,H3394&gt;=5),"NEW CUSTOMERS",AND(F3394&gt;=6,G3394&lt;=2,H3394&gt;=3),"PROMISING",AND(F3394&gt;=3,G3394&gt;=3,H3394&gt;=3),"NEED ATTENTION",AND(F3394&lt;=4,G3394&gt;=6,H3394&gt;=6),"AT RISK",AND(F3394&lt;=2,G3394&gt;=8,H3394&gt;=8),"CAN'T LOSE THEM",AND(F3394&lt;=2,G3394&lt;=2,H3394&lt;=2),"HIBERNATING",TRUE(),"Other")</f>
        <v>NEED ATTENTION</v>
      </c>
      <c r="K3394" s="1" t="n">
        <f aca="false">RANK(E3394,$E$7:$E$4378)+COUNTIF($E$7:E3394,E3394)-1</f>
        <v>587</v>
      </c>
    </row>
    <row r="3395" customFormat="false" ht="14.25" hidden="false" customHeight="true" outlineLevel="0" collapsed="false">
      <c r="A3395" s="51" t="n">
        <v>16929</v>
      </c>
      <c r="B3395" s="53" t="n">
        <v>40883.3590277778</v>
      </c>
      <c r="C3395" s="57" t="n">
        <f aca="false">INT($C$2)-INT(Table3[[#This Row],[Last Purchase Date]])</f>
        <v>4</v>
      </c>
      <c r="D3395" s="1" t="n">
        <v>7</v>
      </c>
      <c r="E3395" s="1" t="n">
        <v>1295.39</v>
      </c>
      <c r="F3395" s="1" t="n">
        <f aca="false">ROUND((1-_xlfn.PERCENTRANK.INC($C$7:$C$4378,C3395))*9,0)</f>
        <v>8</v>
      </c>
      <c r="G3395" s="1" t="n">
        <f aca="false">ROUND(_xlfn.PERCENTRANK.INC($D$7:$D$4378,D3395)*9,0)</f>
        <v>7</v>
      </c>
      <c r="H3395" s="1" t="n">
        <f aca="false">ROUND(_xlfn.PERCENTRANK.INC($E$7:$E$4378,E3395)*9,0)</f>
        <v>6</v>
      </c>
      <c r="I3395" s="1" t="str">
        <f aca="false">CONCATENATE(F3395,G3395,H3395)</f>
        <v>876</v>
      </c>
      <c r="J3395" s="1" t="str">
        <f aca="false">_xlfn.IFS(AND(F3395&gt;=8,G3395&gt;=8,H3395&gt;=8),"CHAMPION",AND(F3395&gt;=6,G3395&gt;=7,H3395&gt;=6),"LOYAL CUSTOMER",AND(F3395&gt;=6,G3395&gt;=5,H3395&gt;=5),"POTENTIAL LOYALIST",AND(F3395&gt;=8,G3395&lt;=2,H3395&gt;=5),"NEW CUSTOMERS",AND(F3395&gt;=6,G3395&lt;=2,H3395&gt;=3),"PROMISING",AND(F3395&gt;=3,G3395&gt;=3,H3395&gt;=3),"NEED ATTENTION",AND(F3395&lt;=4,G3395&gt;=6,H3395&gt;=6),"AT RISK",AND(F3395&lt;=2,G3395&gt;=8,H3395&gt;=8),"CAN'T LOSE THEM",AND(F3395&lt;=2,G3395&lt;=2,H3395&lt;=2),"HIBERNATING",TRUE(),"Other")</f>
        <v>LOYAL CUSTOMER</v>
      </c>
      <c r="K3395" s="1" t="n">
        <f aca="false">RANK(E3395,$E$7:$E$4378)+COUNTIF($E$7:E3395,E3395)-1</f>
        <v>1331</v>
      </c>
    </row>
    <row r="3396" customFormat="false" ht="14.25" hidden="false" customHeight="true" outlineLevel="0" collapsed="false">
      <c r="A3396" s="51" t="n">
        <v>16930</v>
      </c>
      <c r="B3396" s="53" t="n">
        <v>40860.6756944444</v>
      </c>
      <c r="C3396" s="57" t="n">
        <f aca="false">INT($C$2)-INT(Table3[[#This Row],[Last Purchase Date]])</f>
        <v>27</v>
      </c>
      <c r="D3396" s="1" t="n">
        <v>3</v>
      </c>
      <c r="E3396" s="1" t="n">
        <v>380.55</v>
      </c>
      <c r="F3396" s="1" t="n">
        <f aca="false">ROUND((1-_xlfn.PERCENTRANK.INC($C$7:$C$4378,C3396))*9,0)</f>
        <v>6</v>
      </c>
      <c r="G3396" s="1" t="n">
        <f aca="false">ROUND(_xlfn.PERCENTRANK.INC($D$7:$D$4378,D3396)*9,0)</f>
        <v>4</v>
      </c>
      <c r="H3396" s="1" t="n">
        <f aca="false">ROUND(_xlfn.PERCENTRANK.INC($E$7:$E$4378,E3396)*9,0)</f>
        <v>3</v>
      </c>
      <c r="I3396" s="1" t="str">
        <f aca="false">CONCATENATE(F3396,G3396,H3396)</f>
        <v>643</v>
      </c>
      <c r="J3396" s="1" t="str">
        <f aca="false">_xlfn.IFS(AND(F3396&gt;=8,G3396&gt;=8,H3396&gt;=8),"CHAMPION",AND(F3396&gt;=6,G3396&gt;=7,H3396&gt;=6),"LOYAL CUSTOMER",AND(F3396&gt;=6,G3396&gt;=5,H3396&gt;=5),"POTENTIAL LOYALIST",AND(F3396&gt;=8,G3396&lt;=2,H3396&gt;=5),"NEW CUSTOMERS",AND(F3396&gt;=6,G3396&lt;=2,H3396&gt;=3),"PROMISING",AND(F3396&gt;=3,G3396&gt;=3,H3396&gt;=3),"NEED ATTENTION",AND(F3396&lt;=4,G3396&gt;=6,H3396&gt;=6),"AT RISK",AND(F3396&lt;=2,G3396&gt;=8,H3396&gt;=8),"CAN'T LOSE THEM",AND(F3396&lt;=2,G3396&lt;=2,H3396&lt;=2),"HIBERNATING",TRUE(),"Other")</f>
        <v>NEED ATTENTION</v>
      </c>
      <c r="K3396" s="1" t="n">
        <f aca="false">RANK(E3396,$E$7:$E$4378)+COUNTIF($E$7:E3396,E3396)-1</f>
        <v>2887</v>
      </c>
    </row>
    <row r="3397" customFormat="false" ht="14.25" hidden="false" customHeight="true" outlineLevel="0" collapsed="false">
      <c r="A3397" s="51" t="n">
        <v>16931</v>
      </c>
      <c r="B3397" s="53" t="n">
        <v>40881.5520833333</v>
      </c>
      <c r="C3397" s="57" t="n">
        <f aca="false">INT($C$2)-INT(Table3[[#This Row],[Last Purchase Date]])</f>
        <v>6</v>
      </c>
      <c r="D3397" s="1" t="n">
        <v>21</v>
      </c>
      <c r="E3397" s="1" t="n">
        <v>4604.21999999999</v>
      </c>
      <c r="F3397" s="1" t="n">
        <f aca="false">ROUND((1-_xlfn.PERCENTRANK.INC($C$7:$C$4378,C3397))*9,0)</f>
        <v>8</v>
      </c>
      <c r="G3397" s="1" t="n">
        <f aca="false">ROUND(_xlfn.PERCENTRANK.INC($D$7:$D$4378,D3397)*9,0)</f>
        <v>9</v>
      </c>
      <c r="H3397" s="1" t="n">
        <f aca="false">ROUND(_xlfn.PERCENTRANK.INC($E$7:$E$4378,E3397)*9,0)</f>
        <v>8</v>
      </c>
      <c r="I3397" s="1" t="str">
        <f aca="false">CONCATENATE(F3397,G3397,H3397)</f>
        <v>898</v>
      </c>
      <c r="J3397" s="1" t="str">
        <f aca="false">_xlfn.IFS(AND(F3397&gt;=8,G3397&gt;=8,H3397&gt;=8),"CHAMPION",AND(F3397&gt;=6,G3397&gt;=7,H3397&gt;=6),"LOYAL CUSTOMER",AND(F3397&gt;=6,G3397&gt;=5,H3397&gt;=5),"POTENTIAL LOYALIST",AND(F3397&gt;=8,G3397&lt;=2,H3397&gt;=5),"NEW CUSTOMERS",AND(F3397&gt;=6,G3397&lt;=2,H3397&gt;=3),"PROMISING",AND(F3397&gt;=3,G3397&gt;=3,H3397&gt;=3),"NEED ATTENTION",AND(F3397&lt;=4,G3397&gt;=6,H3397&gt;=6),"AT RISK",AND(F3397&lt;=2,G3397&gt;=8,H3397&gt;=8),"CAN'T LOSE THEM",AND(F3397&lt;=2,G3397&lt;=2,H3397&lt;=2),"HIBERNATING",TRUE(),"Other")</f>
        <v>CHAMPION</v>
      </c>
      <c r="K3397" s="1" t="n">
        <f aca="false">RANK(E3397,$E$7:$E$4378)+COUNTIF($E$7:E3397,E3397)-1</f>
        <v>295</v>
      </c>
    </row>
    <row r="3398" customFormat="false" ht="14.25" hidden="false" customHeight="true" outlineLevel="0" collapsed="false">
      <c r="A3398" s="51" t="n">
        <v>16932</v>
      </c>
      <c r="B3398" s="53" t="n">
        <v>40833.5916666667</v>
      </c>
      <c r="C3398" s="57" t="n">
        <f aca="false">INT($C$2)-INT(Table3[[#This Row],[Last Purchase Date]])</f>
        <v>54</v>
      </c>
      <c r="D3398" s="1" t="n">
        <v>1</v>
      </c>
      <c r="E3398" s="1" t="n">
        <v>161.94</v>
      </c>
      <c r="F3398" s="1" t="n">
        <f aca="false">ROUND((1-_xlfn.PERCENTRANK.INC($C$7:$C$4378,C3398))*9,0)</f>
        <v>4</v>
      </c>
      <c r="G3398" s="1" t="n">
        <f aca="false">ROUND(_xlfn.PERCENTRANK.INC($D$7:$D$4378,D3398)*9,0)</f>
        <v>0</v>
      </c>
      <c r="H3398" s="1" t="n">
        <f aca="false">ROUND(_xlfn.PERCENTRANK.INC($E$7:$E$4378,E3398)*9,0)</f>
        <v>1</v>
      </c>
      <c r="I3398" s="1" t="str">
        <f aca="false">CONCATENATE(F3398,G3398,H3398)</f>
        <v>401</v>
      </c>
      <c r="J3398" s="1" t="str">
        <f aca="false">_xlfn.IFS(AND(F3398&gt;=8,G3398&gt;=8,H3398&gt;=8),"CHAMPION",AND(F3398&gt;=6,G3398&gt;=7,H3398&gt;=6),"LOYAL CUSTOMER",AND(F3398&gt;=6,G3398&gt;=5,H3398&gt;=5),"POTENTIAL LOYALIST",AND(F3398&gt;=8,G3398&lt;=2,H3398&gt;=5),"NEW CUSTOMERS",AND(F3398&gt;=6,G3398&lt;=2,H3398&gt;=3),"PROMISING",AND(F3398&gt;=3,G3398&gt;=3,H3398&gt;=3),"NEED ATTENTION",AND(F3398&lt;=4,G3398&gt;=6,H3398&gt;=6),"AT RISK",AND(F3398&lt;=2,G3398&gt;=8,H3398&gt;=8),"CAN'T LOSE THEM",AND(F3398&lt;=2,G3398&lt;=2,H3398&lt;=2),"HIBERNATING",TRUE(),"Other")</f>
        <v>Other</v>
      </c>
      <c r="K3398" s="1" t="n">
        <f aca="false">RANK(E3398,$E$7:$E$4378)+COUNTIF($E$7:E3398,E3398)-1</f>
        <v>3846</v>
      </c>
    </row>
    <row r="3399" customFormat="false" ht="14.25" hidden="false" customHeight="true" outlineLevel="0" collapsed="false">
      <c r="A3399" s="51" t="n">
        <v>16933</v>
      </c>
      <c r="B3399" s="53" t="n">
        <v>40885.5375</v>
      </c>
      <c r="C3399" s="57" t="n">
        <f aca="false">INT($C$2)-INT(Table3[[#This Row],[Last Purchase Date]])</f>
        <v>2</v>
      </c>
      <c r="D3399" s="1" t="n">
        <v>5</v>
      </c>
      <c r="E3399" s="1" t="n">
        <v>530.08</v>
      </c>
      <c r="F3399" s="1" t="n">
        <f aca="false">ROUND((1-_xlfn.PERCENTRANK.INC($C$7:$C$4378,C3399))*9,0)</f>
        <v>9</v>
      </c>
      <c r="G3399" s="1" t="n">
        <f aca="false">ROUND(_xlfn.PERCENTRANK.INC($D$7:$D$4378,D3399)*9,0)</f>
        <v>6</v>
      </c>
      <c r="H3399" s="1" t="n">
        <f aca="false">ROUND(_xlfn.PERCENTRANK.INC($E$7:$E$4378,E3399)*9,0)</f>
        <v>4</v>
      </c>
      <c r="I3399" s="1" t="str">
        <f aca="false">CONCATENATE(F3399,G3399,H3399)</f>
        <v>964</v>
      </c>
      <c r="J3399" s="1" t="str">
        <f aca="false">_xlfn.IFS(AND(F3399&gt;=8,G3399&gt;=8,H3399&gt;=8),"CHAMPION",AND(F3399&gt;=6,G3399&gt;=7,H3399&gt;=6),"LOYAL CUSTOMER",AND(F3399&gt;=6,G3399&gt;=5,H3399&gt;=5),"POTENTIAL LOYALIST",AND(F3399&gt;=8,G3399&lt;=2,H3399&gt;=5),"NEW CUSTOMERS",AND(F3399&gt;=6,G3399&lt;=2,H3399&gt;=3),"PROMISING",AND(F3399&gt;=3,G3399&gt;=3,H3399&gt;=3),"NEED ATTENTION",AND(F3399&lt;=4,G3399&gt;=6,H3399&gt;=6),"AT RISK",AND(F3399&lt;=2,G3399&gt;=8,H3399&gt;=8),"CAN'T LOSE THEM",AND(F3399&lt;=2,G3399&lt;=2,H3399&lt;=2),"HIBERNATING",TRUE(),"Other")</f>
        <v>NEED ATTENTION</v>
      </c>
      <c r="K3399" s="1" t="n">
        <f aca="false">RANK(E3399,$E$7:$E$4378)+COUNTIF($E$7:E3399,E3399)-1</f>
        <v>2481</v>
      </c>
    </row>
    <row r="3400" customFormat="false" ht="14.25" hidden="false" customHeight="true" outlineLevel="0" collapsed="false">
      <c r="A3400" s="51" t="n">
        <v>16934</v>
      </c>
      <c r="B3400" s="53" t="n">
        <v>40832.5277777778</v>
      </c>
      <c r="C3400" s="57" t="n">
        <f aca="false">INT($C$2)-INT(Table3[[#This Row],[Last Purchase Date]])</f>
        <v>55</v>
      </c>
      <c r="D3400" s="1" t="n">
        <v>2</v>
      </c>
      <c r="E3400" s="1" t="n">
        <v>950.93</v>
      </c>
      <c r="F3400" s="1" t="n">
        <f aca="false">ROUND((1-_xlfn.PERCENTRANK.INC($C$7:$C$4378,C3400))*9,0)</f>
        <v>4</v>
      </c>
      <c r="G3400" s="1" t="n">
        <f aca="false">ROUND(_xlfn.PERCENTRANK.INC($D$7:$D$4378,D3400)*9,0)</f>
        <v>3</v>
      </c>
      <c r="H3400" s="1" t="n">
        <f aca="false">ROUND(_xlfn.PERCENTRANK.INC($E$7:$E$4378,E3400)*9,0)</f>
        <v>6</v>
      </c>
      <c r="I3400" s="1" t="str">
        <f aca="false">CONCATENATE(F3400,G3400,H3400)</f>
        <v>436</v>
      </c>
      <c r="J3400" s="1" t="str">
        <f aca="false">_xlfn.IFS(AND(F3400&gt;=8,G3400&gt;=8,H3400&gt;=8),"CHAMPION",AND(F3400&gt;=6,G3400&gt;=7,H3400&gt;=6),"LOYAL CUSTOMER",AND(F3400&gt;=6,G3400&gt;=5,H3400&gt;=5),"POTENTIAL LOYALIST",AND(F3400&gt;=8,G3400&lt;=2,H3400&gt;=5),"NEW CUSTOMERS",AND(F3400&gt;=6,G3400&lt;=2,H3400&gt;=3),"PROMISING",AND(F3400&gt;=3,G3400&gt;=3,H3400&gt;=3),"NEED ATTENTION",AND(F3400&lt;=4,G3400&gt;=6,H3400&gt;=6),"AT RISK",AND(F3400&lt;=2,G3400&gt;=8,H3400&gt;=8),"CAN'T LOSE THEM",AND(F3400&lt;=2,G3400&lt;=2,H3400&lt;=2),"HIBERNATING",TRUE(),"Other")</f>
        <v>NEED ATTENTION</v>
      </c>
      <c r="K3400" s="1" t="n">
        <f aca="false">RANK(E3400,$E$7:$E$4378)+COUNTIF($E$7:E3400,E3400)-1</f>
        <v>1694</v>
      </c>
    </row>
    <row r="3401" customFormat="false" ht="14.25" hidden="false" customHeight="true" outlineLevel="0" collapsed="false">
      <c r="A3401" s="51" t="n">
        <v>16936</v>
      </c>
      <c r="B3401" s="53" t="n">
        <v>40861.4611111111</v>
      </c>
      <c r="C3401" s="57" t="n">
        <f aca="false">INT($C$2)-INT(Table3[[#This Row],[Last Purchase Date]])</f>
        <v>26</v>
      </c>
      <c r="D3401" s="1" t="n">
        <v>1</v>
      </c>
      <c r="E3401" s="1" t="n">
        <v>262.68</v>
      </c>
      <c r="F3401" s="1" t="n">
        <f aca="false">ROUND((1-_xlfn.PERCENTRANK.INC($C$7:$C$4378,C3401))*9,0)</f>
        <v>6</v>
      </c>
      <c r="G3401" s="1" t="n">
        <f aca="false">ROUND(_xlfn.PERCENTRANK.INC($D$7:$D$4378,D3401)*9,0)</f>
        <v>0</v>
      </c>
      <c r="H3401" s="1" t="n">
        <f aca="false">ROUND(_xlfn.PERCENTRANK.INC($E$7:$E$4378,E3401)*9,0)</f>
        <v>2</v>
      </c>
      <c r="I3401" s="1" t="str">
        <f aca="false">CONCATENATE(F3401,G3401,H3401)</f>
        <v>602</v>
      </c>
      <c r="J3401" s="1" t="str">
        <f aca="false">_xlfn.IFS(AND(F3401&gt;=8,G3401&gt;=8,H3401&gt;=8),"CHAMPION",AND(F3401&gt;=6,G3401&gt;=7,H3401&gt;=6),"LOYAL CUSTOMER",AND(F3401&gt;=6,G3401&gt;=5,H3401&gt;=5),"POTENTIAL LOYALIST",AND(F3401&gt;=8,G3401&lt;=2,H3401&gt;=5),"NEW CUSTOMERS",AND(F3401&gt;=6,G3401&lt;=2,H3401&gt;=3),"PROMISING",AND(F3401&gt;=3,G3401&gt;=3,H3401&gt;=3),"NEED ATTENTION",AND(F3401&lt;=4,G3401&gt;=6,H3401&gt;=6),"AT RISK",AND(F3401&lt;=2,G3401&gt;=8,H3401&gt;=8),"CAN'T LOSE THEM",AND(F3401&lt;=2,G3401&lt;=2,H3401&lt;=2),"HIBERNATING",TRUE(),"Other")</f>
        <v>Other</v>
      </c>
      <c r="K3401" s="1" t="n">
        <f aca="false">RANK(E3401,$E$7:$E$4378)+COUNTIF($E$7:E3401,E3401)-1</f>
        <v>3389</v>
      </c>
    </row>
    <row r="3402" customFormat="false" ht="14.25" hidden="false" customHeight="true" outlineLevel="0" collapsed="false">
      <c r="A3402" s="51" t="n">
        <v>16938</v>
      </c>
      <c r="B3402" s="53" t="n">
        <v>40878.4305555556</v>
      </c>
      <c r="C3402" s="57" t="n">
        <f aca="false">INT($C$2)-INT(Table3[[#This Row],[Last Purchase Date]])</f>
        <v>9</v>
      </c>
      <c r="D3402" s="1" t="n">
        <v>5</v>
      </c>
      <c r="E3402" s="1" t="n">
        <v>1903.13</v>
      </c>
      <c r="F3402" s="1" t="n">
        <f aca="false">ROUND((1-_xlfn.PERCENTRANK.INC($C$7:$C$4378,C3402))*9,0)</f>
        <v>8</v>
      </c>
      <c r="G3402" s="1" t="n">
        <f aca="false">ROUND(_xlfn.PERCENTRANK.INC($D$7:$D$4378,D3402)*9,0)</f>
        <v>6</v>
      </c>
      <c r="H3402" s="1" t="n">
        <f aca="false">ROUND(_xlfn.PERCENTRANK.INC($E$7:$E$4378,E3402)*9,0)</f>
        <v>7</v>
      </c>
      <c r="I3402" s="1" t="str">
        <f aca="false">CONCATENATE(F3402,G3402,H3402)</f>
        <v>867</v>
      </c>
      <c r="J3402" s="1" t="str">
        <f aca="false">_xlfn.IFS(AND(F3402&gt;=8,G3402&gt;=8,H3402&gt;=8),"CHAMPION",AND(F3402&gt;=6,G3402&gt;=7,H3402&gt;=6),"LOYAL CUSTOMER",AND(F3402&gt;=6,G3402&gt;=5,H3402&gt;=5),"POTENTIAL LOYALIST",AND(F3402&gt;=8,G3402&lt;=2,H3402&gt;=5),"NEW CUSTOMERS",AND(F3402&gt;=6,G3402&lt;=2,H3402&gt;=3),"PROMISING",AND(F3402&gt;=3,G3402&gt;=3,H3402&gt;=3),"NEED ATTENTION",AND(F3402&lt;=4,G3402&gt;=6,H3402&gt;=6),"AT RISK",AND(F3402&lt;=2,G3402&gt;=8,H3402&gt;=8),"CAN'T LOSE THEM",AND(F3402&lt;=2,G3402&lt;=2,H3402&lt;=2),"HIBERNATING",TRUE(),"Other")</f>
        <v>POTENTIAL LOYALIST</v>
      </c>
      <c r="K3402" s="1" t="n">
        <f aca="false">RANK(E3402,$E$7:$E$4378)+COUNTIF($E$7:E3402,E3402)-1</f>
        <v>919</v>
      </c>
    </row>
    <row r="3403" customFormat="false" ht="14.25" hidden="false" customHeight="true" outlineLevel="0" collapsed="false">
      <c r="A3403" s="51" t="n">
        <v>16940</v>
      </c>
      <c r="B3403" s="53" t="n">
        <v>40834.5520833333</v>
      </c>
      <c r="C3403" s="57" t="n">
        <f aca="false">INT($C$2)-INT(Table3[[#This Row],[Last Purchase Date]])</f>
        <v>53</v>
      </c>
      <c r="D3403" s="1" t="n">
        <v>3</v>
      </c>
      <c r="E3403" s="1" t="n">
        <v>3049.88</v>
      </c>
      <c r="F3403" s="1" t="n">
        <f aca="false">ROUND((1-_xlfn.PERCENTRANK.INC($C$7:$C$4378,C3403))*9,0)</f>
        <v>4</v>
      </c>
      <c r="G3403" s="1" t="n">
        <f aca="false">ROUND(_xlfn.PERCENTRANK.INC($D$7:$D$4378,D3403)*9,0)</f>
        <v>4</v>
      </c>
      <c r="H3403" s="1" t="n">
        <f aca="false">ROUND(_xlfn.PERCENTRANK.INC($E$7:$E$4378,E3403)*9,0)</f>
        <v>8</v>
      </c>
      <c r="I3403" s="1" t="str">
        <f aca="false">CONCATENATE(F3403,G3403,H3403)</f>
        <v>448</v>
      </c>
      <c r="J3403" s="1" t="str">
        <f aca="false">_xlfn.IFS(AND(F3403&gt;=8,G3403&gt;=8,H3403&gt;=8),"CHAMPION",AND(F3403&gt;=6,G3403&gt;=7,H3403&gt;=6),"LOYAL CUSTOMER",AND(F3403&gt;=6,G3403&gt;=5,H3403&gt;=5),"POTENTIAL LOYALIST",AND(F3403&gt;=8,G3403&lt;=2,H3403&gt;=5),"NEW CUSTOMERS",AND(F3403&gt;=6,G3403&lt;=2,H3403&gt;=3),"PROMISING",AND(F3403&gt;=3,G3403&gt;=3,H3403&gt;=3),"NEED ATTENTION",AND(F3403&lt;=4,G3403&gt;=6,H3403&gt;=6),"AT RISK",AND(F3403&lt;=2,G3403&gt;=8,H3403&gt;=8),"CAN'T LOSE THEM",AND(F3403&lt;=2,G3403&lt;=2,H3403&lt;=2),"HIBERNATING",TRUE(),"Other")</f>
        <v>NEED ATTENTION</v>
      </c>
      <c r="K3403" s="1" t="n">
        <f aca="false">RANK(E3403,$E$7:$E$4378)+COUNTIF($E$7:E3403,E3403)-1</f>
        <v>528</v>
      </c>
    </row>
    <row r="3404" customFormat="false" ht="14.25" hidden="false" customHeight="true" outlineLevel="0" collapsed="false">
      <c r="A3404" s="51" t="n">
        <v>16942</v>
      </c>
      <c r="B3404" s="53" t="n">
        <v>40874.5277777778</v>
      </c>
      <c r="C3404" s="57" t="n">
        <f aca="false">INT($C$2)-INT(Table3[[#This Row],[Last Purchase Date]])</f>
        <v>13</v>
      </c>
      <c r="D3404" s="1" t="n">
        <v>10</v>
      </c>
      <c r="E3404" s="1" t="n">
        <v>1894.11</v>
      </c>
      <c r="F3404" s="1" t="n">
        <f aca="false">ROUND((1-_xlfn.PERCENTRANK.INC($C$7:$C$4378,C3404))*9,0)</f>
        <v>7</v>
      </c>
      <c r="G3404" s="1" t="n">
        <f aca="false">ROUND(_xlfn.PERCENTRANK.INC($D$7:$D$4378,D3404)*9,0)</f>
        <v>8</v>
      </c>
      <c r="H3404" s="1" t="n">
        <f aca="false">ROUND(_xlfn.PERCENTRANK.INC($E$7:$E$4378,E3404)*9,0)</f>
        <v>7</v>
      </c>
      <c r="I3404" s="1" t="str">
        <f aca="false">CONCATENATE(F3404,G3404,H3404)</f>
        <v>787</v>
      </c>
      <c r="J3404" s="1" t="str">
        <f aca="false">_xlfn.IFS(AND(F3404&gt;=8,G3404&gt;=8,H3404&gt;=8),"CHAMPION",AND(F3404&gt;=6,G3404&gt;=7,H3404&gt;=6),"LOYAL CUSTOMER",AND(F3404&gt;=6,G3404&gt;=5,H3404&gt;=5),"POTENTIAL LOYALIST",AND(F3404&gt;=8,G3404&lt;=2,H3404&gt;=5),"NEW CUSTOMERS",AND(F3404&gt;=6,G3404&lt;=2,H3404&gt;=3),"PROMISING",AND(F3404&gt;=3,G3404&gt;=3,H3404&gt;=3),"NEED ATTENTION",AND(F3404&lt;=4,G3404&gt;=6,H3404&gt;=6),"AT RISK",AND(F3404&lt;=2,G3404&gt;=8,H3404&gt;=8),"CAN'T LOSE THEM",AND(F3404&lt;=2,G3404&lt;=2,H3404&lt;=2),"HIBERNATING",TRUE(),"Other")</f>
        <v>LOYAL CUSTOMER</v>
      </c>
      <c r="K3404" s="1" t="n">
        <f aca="false">RANK(E3404,$E$7:$E$4378)+COUNTIF($E$7:E3404,E3404)-1</f>
        <v>922</v>
      </c>
    </row>
    <row r="3405" customFormat="false" ht="14.25" hidden="false" customHeight="true" outlineLevel="0" collapsed="false">
      <c r="A3405" s="51" t="n">
        <v>16943</v>
      </c>
      <c r="B3405" s="53" t="n">
        <v>40675.4979166667</v>
      </c>
      <c r="C3405" s="57" t="n">
        <f aca="false">INT($C$2)-INT(Table3[[#This Row],[Last Purchase Date]])</f>
        <v>212</v>
      </c>
      <c r="D3405" s="1" t="n">
        <v>3</v>
      </c>
      <c r="E3405" s="1" t="n">
        <v>816.73</v>
      </c>
      <c r="F3405" s="1" t="n">
        <f aca="false">ROUND((1-_xlfn.PERCENTRANK.INC($C$7:$C$4378,C3405))*9,0)</f>
        <v>1</v>
      </c>
      <c r="G3405" s="1" t="n">
        <f aca="false">ROUND(_xlfn.PERCENTRANK.INC($D$7:$D$4378,D3405)*9,0)</f>
        <v>4</v>
      </c>
      <c r="H3405" s="1" t="n">
        <f aca="false">ROUND(_xlfn.PERCENTRANK.INC($E$7:$E$4378,E3405)*9,0)</f>
        <v>5</v>
      </c>
      <c r="I3405" s="1" t="str">
        <f aca="false">CONCATENATE(F3405,G3405,H3405)</f>
        <v>145</v>
      </c>
      <c r="J3405" s="1" t="str">
        <f aca="false">_xlfn.IFS(AND(F3405&gt;=8,G3405&gt;=8,H3405&gt;=8),"CHAMPION",AND(F3405&gt;=6,G3405&gt;=7,H3405&gt;=6),"LOYAL CUSTOMER",AND(F3405&gt;=6,G3405&gt;=5,H3405&gt;=5),"POTENTIAL LOYALIST",AND(F3405&gt;=8,G3405&lt;=2,H3405&gt;=5),"NEW CUSTOMERS",AND(F3405&gt;=6,G3405&lt;=2,H3405&gt;=3),"PROMISING",AND(F3405&gt;=3,G3405&gt;=3,H3405&gt;=3),"NEED ATTENTION",AND(F3405&lt;=4,G3405&gt;=6,H3405&gt;=6),"AT RISK",AND(F3405&lt;=2,G3405&gt;=8,H3405&gt;=8),"CAN'T LOSE THEM",AND(F3405&lt;=2,G3405&lt;=2,H3405&lt;=2),"HIBERNATING",TRUE(),"Other")</f>
        <v>Other</v>
      </c>
      <c r="K3405" s="1" t="n">
        <f aca="false">RANK(E3405,$E$7:$E$4378)+COUNTIF($E$7:E3405,E3405)-1</f>
        <v>1866</v>
      </c>
    </row>
    <row r="3406" customFormat="false" ht="14.25" hidden="false" customHeight="true" outlineLevel="0" collapsed="false">
      <c r="A3406" s="51" t="n">
        <v>16945</v>
      </c>
      <c r="B3406" s="53" t="n">
        <v>40865.4854166667</v>
      </c>
      <c r="C3406" s="57" t="n">
        <f aca="false">INT($C$2)-INT(Table3[[#This Row],[Last Purchase Date]])</f>
        <v>22</v>
      </c>
      <c r="D3406" s="1" t="n">
        <v>19</v>
      </c>
      <c r="E3406" s="1" t="n">
        <v>4345.50000000001</v>
      </c>
      <c r="F3406" s="1" t="n">
        <f aca="false">ROUND((1-_xlfn.PERCENTRANK.INC($C$7:$C$4378,C3406))*9,0)</f>
        <v>6</v>
      </c>
      <c r="G3406" s="1" t="n">
        <f aca="false">ROUND(_xlfn.PERCENTRANK.INC($D$7:$D$4378,D3406)*9,0)</f>
        <v>9</v>
      </c>
      <c r="H3406" s="1" t="n">
        <f aca="false">ROUND(_xlfn.PERCENTRANK.INC($E$7:$E$4378,E3406)*9,0)</f>
        <v>8</v>
      </c>
      <c r="I3406" s="1" t="str">
        <f aca="false">CONCATENATE(F3406,G3406,H3406)</f>
        <v>698</v>
      </c>
      <c r="J3406" s="1" t="str">
        <f aca="false">_xlfn.IFS(AND(F3406&gt;=8,G3406&gt;=8,H3406&gt;=8),"CHAMPION",AND(F3406&gt;=6,G3406&gt;=7,H3406&gt;=6),"LOYAL CUSTOMER",AND(F3406&gt;=6,G3406&gt;=5,H3406&gt;=5),"POTENTIAL LOYALIST",AND(F3406&gt;=8,G3406&lt;=2,H3406&gt;=5),"NEW CUSTOMERS",AND(F3406&gt;=6,G3406&lt;=2,H3406&gt;=3),"PROMISING",AND(F3406&gt;=3,G3406&gt;=3,H3406&gt;=3),"NEED ATTENTION",AND(F3406&lt;=4,G3406&gt;=6,H3406&gt;=6),"AT RISK",AND(F3406&lt;=2,G3406&gt;=8,H3406&gt;=8),"CAN'T LOSE THEM",AND(F3406&lt;=2,G3406&lt;=2,H3406&lt;=2),"HIBERNATING",TRUE(),"Other")</f>
        <v>LOYAL CUSTOMER</v>
      </c>
      <c r="K3406" s="1" t="n">
        <f aca="false">RANK(E3406,$E$7:$E$4378)+COUNTIF($E$7:E3406,E3406)-1</f>
        <v>315</v>
      </c>
    </row>
    <row r="3407" customFormat="false" ht="14.25" hidden="false" customHeight="true" outlineLevel="0" collapsed="false">
      <c r="A3407" s="51" t="n">
        <v>16947</v>
      </c>
      <c r="B3407" s="53" t="n">
        <v>40651.4013888889</v>
      </c>
      <c r="C3407" s="57" t="n">
        <f aca="false">INT($C$2)-INT(Table3[[#This Row],[Last Purchase Date]])</f>
        <v>236</v>
      </c>
      <c r="D3407" s="1" t="n">
        <v>1</v>
      </c>
      <c r="E3407" s="1" t="n">
        <v>406.48</v>
      </c>
      <c r="F3407" s="1" t="n">
        <f aca="false">ROUND((1-_xlfn.PERCENTRANK.INC($C$7:$C$4378,C3407))*9,0)</f>
        <v>1</v>
      </c>
      <c r="G3407" s="1" t="n">
        <f aca="false">ROUND(_xlfn.PERCENTRANK.INC($D$7:$D$4378,D3407)*9,0)</f>
        <v>0</v>
      </c>
      <c r="H3407" s="1" t="n">
        <f aca="false">ROUND(_xlfn.PERCENTRANK.INC($E$7:$E$4378,E3407)*9,0)</f>
        <v>3</v>
      </c>
      <c r="I3407" s="1" t="str">
        <f aca="false">CONCATENATE(F3407,G3407,H3407)</f>
        <v>103</v>
      </c>
      <c r="J3407" s="1" t="str">
        <f aca="false">_xlfn.IFS(AND(F3407&gt;=8,G3407&gt;=8,H3407&gt;=8),"CHAMPION",AND(F3407&gt;=6,G3407&gt;=7,H3407&gt;=6),"LOYAL CUSTOMER",AND(F3407&gt;=6,G3407&gt;=5,H3407&gt;=5),"POTENTIAL LOYALIST",AND(F3407&gt;=8,G3407&lt;=2,H3407&gt;=5),"NEW CUSTOMERS",AND(F3407&gt;=6,G3407&lt;=2,H3407&gt;=3),"PROMISING",AND(F3407&gt;=3,G3407&gt;=3,H3407&gt;=3),"NEED ATTENTION",AND(F3407&lt;=4,G3407&gt;=6,H3407&gt;=6),"AT RISK",AND(F3407&lt;=2,G3407&gt;=8,H3407&gt;=8),"CAN'T LOSE THEM",AND(F3407&lt;=2,G3407&lt;=2,H3407&lt;=2),"HIBERNATING",TRUE(),"Other")</f>
        <v>Other</v>
      </c>
      <c r="K3407" s="1" t="n">
        <f aca="false">RANK(E3407,$E$7:$E$4378)+COUNTIF($E$7:E3407,E3407)-1</f>
        <v>2803</v>
      </c>
    </row>
    <row r="3408" customFormat="false" ht="14.25" hidden="false" customHeight="true" outlineLevel="0" collapsed="false">
      <c r="A3408" s="51" t="n">
        <v>16948</v>
      </c>
      <c r="B3408" s="53" t="n">
        <v>40748.5319444445</v>
      </c>
      <c r="C3408" s="57" t="n">
        <f aca="false">INT($C$2)-INT(Table3[[#This Row],[Last Purchase Date]])</f>
        <v>139</v>
      </c>
      <c r="D3408" s="1" t="n">
        <v>3</v>
      </c>
      <c r="E3408" s="1" t="n">
        <v>435.02</v>
      </c>
      <c r="F3408" s="1" t="n">
        <f aca="false">ROUND((1-_xlfn.PERCENTRANK.INC($C$7:$C$4378,C3408))*9,0)</f>
        <v>2</v>
      </c>
      <c r="G3408" s="1" t="n">
        <f aca="false">ROUND(_xlfn.PERCENTRANK.INC($D$7:$D$4378,D3408)*9,0)</f>
        <v>4</v>
      </c>
      <c r="H3408" s="1" t="n">
        <f aca="false">ROUND(_xlfn.PERCENTRANK.INC($E$7:$E$4378,E3408)*9,0)</f>
        <v>3</v>
      </c>
      <c r="I3408" s="1" t="str">
        <f aca="false">CONCATENATE(F3408,G3408,H3408)</f>
        <v>243</v>
      </c>
      <c r="J3408" s="1" t="str">
        <f aca="false">_xlfn.IFS(AND(F3408&gt;=8,G3408&gt;=8,H3408&gt;=8),"CHAMPION",AND(F3408&gt;=6,G3408&gt;=7,H3408&gt;=6),"LOYAL CUSTOMER",AND(F3408&gt;=6,G3408&gt;=5,H3408&gt;=5),"POTENTIAL LOYALIST",AND(F3408&gt;=8,G3408&lt;=2,H3408&gt;=5),"NEW CUSTOMERS",AND(F3408&gt;=6,G3408&lt;=2,H3408&gt;=3),"PROMISING",AND(F3408&gt;=3,G3408&gt;=3,H3408&gt;=3),"NEED ATTENTION",AND(F3408&lt;=4,G3408&gt;=6,H3408&gt;=6),"AT RISK",AND(F3408&lt;=2,G3408&gt;=8,H3408&gt;=8),"CAN'T LOSE THEM",AND(F3408&lt;=2,G3408&lt;=2,H3408&lt;=2),"HIBERNATING",TRUE(),"Other")</f>
        <v>Other</v>
      </c>
      <c r="K3408" s="1" t="n">
        <f aca="false">RANK(E3408,$E$7:$E$4378)+COUNTIF($E$7:E3408,E3408)-1</f>
        <v>2709</v>
      </c>
    </row>
    <row r="3409" customFormat="false" ht="14.25" hidden="false" customHeight="true" outlineLevel="0" collapsed="false">
      <c r="A3409" s="51" t="n">
        <v>16949</v>
      </c>
      <c r="B3409" s="53" t="n">
        <v>40883.4631944444</v>
      </c>
      <c r="C3409" s="57" t="n">
        <f aca="false">INT($C$2)-INT(Table3[[#This Row],[Last Purchase Date]])</f>
        <v>4</v>
      </c>
      <c r="D3409" s="1" t="n">
        <v>7</v>
      </c>
      <c r="E3409" s="1" t="n">
        <v>1161.27</v>
      </c>
      <c r="F3409" s="1" t="n">
        <f aca="false">ROUND((1-_xlfn.PERCENTRANK.INC($C$7:$C$4378,C3409))*9,0)</f>
        <v>8</v>
      </c>
      <c r="G3409" s="1" t="n">
        <f aca="false">ROUND(_xlfn.PERCENTRANK.INC($D$7:$D$4378,D3409)*9,0)</f>
        <v>7</v>
      </c>
      <c r="H3409" s="1" t="n">
        <f aca="false">ROUND(_xlfn.PERCENTRANK.INC($E$7:$E$4378,E3409)*9,0)</f>
        <v>6</v>
      </c>
      <c r="I3409" s="1" t="str">
        <f aca="false">CONCATENATE(F3409,G3409,H3409)</f>
        <v>876</v>
      </c>
      <c r="J3409" s="1" t="str">
        <f aca="false">_xlfn.IFS(AND(F3409&gt;=8,G3409&gt;=8,H3409&gt;=8),"CHAMPION",AND(F3409&gt;=6,G3409&gt;=7,H3409&gt;=6),"LOYAL CUSTOMER",AND(F3409&gt;=6,G3409&gt;=5,H3409&gt;=5),"POTENTIAL LOYALIST",AND(F3409&gt;=8,G3409&lt;=2,H3409&gt;=5),"NEW CUSTOMERS",AND(F3409&gt;=6,G3409&lt;=2,H3409&gt;=3),"PROMISING",AND(F3409&gt;=3,G3409&gt;=3,H3409&gt;=3),"NEED ATTENTION",AND(F3409&lt;=4,G3409&gt;=6,H3409&gt;=6),"AT RISK",AND(F3409&lt;=2,G3409&gt;=8,H3409&gt;=8),"CAN'T LOSE THEM",AND(F3409&lt;=2,G3409&lt;=2,H3409&lt;=2),"HIBERNATING",TRUE(),"Other")</f>
        <v>LOYAL CUSTOMER</v>
      </c>
      <c r="K3409" s="1" t="n">
        <f aca="false">RANK(E3409,$E$7:$E$4378)+COUNTIF($E$7:E3409,E3409)-1</f>
        <v>1439</v>
      </c>
    </row>
    <row r="3410" customFormat="false" ht="14.25" hidden="false" customHeight="true" outlineLevel="0" collapsed="false">
      <c r="A3410" s="51" t="n">
        <v>16950</v>
      </c>
      <c r="B3410" s="53" t="n">
        <v>40830.3791666667</v>
      </c>
      <c r="C3410" s="57" t="n">
        <f aca="false">INT($C$2)-INT(Table3[[#This Row],[Last Purchase Date]])</f>
        <v>57</v>
      </c>
      <c r="D3410" s="1" t="n">
        <v>3</v>
      </c>
      <c r="E3410" s="1" t="n">
        <v>1178.56</v>
      </c>
      <c r="F3410" s="1" t="n">
        <f aca="false">ROUND((1-_xlfn.PERCENTRANK.INC($C$7:$C$4378,C3410))*9,0)</f>
        <v>4</v>
      </c>
      <c r="G3410" s="1" t="n">
        <f aca="false">ROUND(_xlfn.PERCENTRANK.INC($D$7:$D$4378,D3410)*9,0)</f>
        <v>4</v>
      </c>
      <c r="H3410" s="1" t="n">
        <f aca="false">ROUND(_xlfn.PERCENTRANK.INC($E$7:$E$4378,E3410)*9,0)</f>
        <v>6</v>
      </c>
      <c r="I3410" s="1" t="str">
        <f aca="false">CONCATENATE(F3410,G3410,H3410)</f>
        <v>446</v>
      </c>
      <c r="J3410" s="1" t="str">
        <f aca="false">_xlfn.IFS(AND(F3410&gt;=8,G3410&gt;=8,H3410&gt;=8),"CHAMPION",AND(F3410&gt;=6,G3410&gt;=7,H3410&gt;=6),"LOYAL CUSTOMER",AND(F3410&gt;=6,G3410&gt;=5,H3410&gt;=5),"POTENTIAL LOYALIST",AND(F3410&gt;=8,G3410&lt;=2,H3410&gt;=5),"NEW CUSTOMERS",AND(F3410&gt;=6,G3410&lt;=2,H3410&gt;=3),"PROMISING",AND(F3410&gt;=3,G3410&gt;=3,H3410&gt;=3),"NEED ATTENTION",AND(F3410&lt;=4,G3410&gt;=6,H3410&gt;=6),"AT RISK",AND(F3410&lt;=2,G3410&gt;=8,H3410&gt;=8),"CAN'T LOSE THEM",AND(F3410&lt;=2,G3410&lt;=2,H3410&lt;=2),"HIBERNATING",TRUE(),"Other")</f>
        <v>NEED ATTENTION</v>
      </c>
      <c r="K3410" s="1" t="n">
        <f aca="false">RANK(E3410,$E$7:$E$4378)+COUNTIF($E$7:E3410,E3410)-1</f>
        <v>1427</v>
      </c>
    </row>
    <row r="3411" customFormat="false" ht="14.25" hidden="false" customHeight="true" outlineLevel="0" collapsed="false">
      <c r="A3411" s="51" t="n">
        <v>16951</v>
      </c>
      <c r="B3411" s="53" t="n">
        <v>40763.5590277778</v>
      </c>
      <c r="C3411" s="57" t="n">
        <f aca="false">INT($C$2)-INT(Table3[[#This Row],[Last Purchase Date]])</f>
        <v>124</v>
      </c>
      <c r="D3411" s="1" t="n">
        <v>4</v>
      </c>
      <c r="E3411" s="1" t="n">
        <v>1262.75</v>
      </c>
      <c r="F3411" s="1" t="n">
        <f aca="false">ROUND((1-_xlfn.PERCENTRANK.INC($C$7:$C$4378,C3411))*9,0)</f>
        <v>2</v>
      </c>
      <c r="G3411" s="1" t="n">
        <f aca="false">ROUND(_xlfn.PERCENTRANK.INC($D$7:$D$4378,D3411)*9,0)</f>
        <v>5</v>
      </c>
      <c r="H3411" s="1" t="n">
        <f aca="false">ROUND(_xlfn.PERCENTRANK.INC($E$7:$E$4378,E3411)*9,0)</f>
        <v>6</v>
      </c>
      <c r="I3411" s="1" t="str">
        <f aca="false">CONCATENATE(F3411,G3411,H3411)</f>
        <v>256</v>
      </c>
      <c r="J3411" s="1" t="str">
        <f aca="false">_xlfn.IFS(AND(F3411&gt;=8,G3411&gt;=8,H3411&gt;=8),"CHAMPION",AND(F3411&gt;=6,G3411&gt;=7,H3411&gt;=6),"LOYAL CUSTOMER",AND(F3411&gt;=6,G3411&gt;=5,H3411&gt;=5),"POTENTIAL LOYALIST",AND(F3411&gt;=8,G3411&lt;=2,H3411&gt;=5),"NEW CUSTOMERS",AND(F3411&gt;=6,G3411&lt;=2,H3411&gt;=3),"PROMISING",AND(F3411&gt;=3,G3411&gt;=3,H3411&gt;=3),"NEED ATTENTION",AND(F3411&lt;=4,G3411&gt;=6,H3411&gt;=6),"AT RISK",AND(F3411&lt;=2,G3411&gt;=8,H3411&gt;=8),"CAN'T LOSE THEM",AND(F3411&lt;=2,G3411&lt;=2,H3411&lt;=2),"HIBERNATING",TRUE(),"Other")</f>
        <v>Other</v>
      </c>
      <c r="K3411" s="1" t="n">
        <f aca="false">RANK(E3411,$E$7:$E$4378)+COUNTIF($E$7:E3411,E3411)-1</f>
        <v>1359</v>
      </c>
    </row>
    <row r="3412" customFormat="false" ht="14.25" hidden="false" customHeight="true" outlineLevel="0" collapsed="false">
      <c r="A3412" s="51" t="n">
        <v>16952</v>
      </c>
      <c r="B3412" s="53" t="n">
        <v>40777.54375</v>
      </c>
      <c r="C3412" s="57" t="n">
        <f aca="false">INT($C$2)-INT(Table3[[#This Row],[Last Purchase Date]])</f>
        <v>110</v>
      </c>
      <c r="D3412" s="1" t="n">
        <v>2</v>
      </c>
      <c r="E3412" s="1" t="n">
        <v>167.61</v>
      </c>
      <c r="F3412" s="1" t="n">
        <f aca="false">ROUND((1-_xlfn.PERCENTRANK.INC($C$7:$C$4378,C3412))*9,0)</f>
        <v>3</v>
      </c>
      <c r="G3412" s="1" t="n">
        <f aca="false">ROUND(_xlfn.PERCENTRANK.INC($D$7:$D$4378,D3412)*9,0)</f>
        <v>3</v>
      </c>
      <c r="H3412" s="1" t="n">
        <f aca="false">ROUND(_xlfn.PERCENTRANK.INC($E$7:$E$4378,E3412)*9,0)</f>
        <v>1</v>
      </c>
      <c r="I3412" s="1" t="str">
        <f aca="false">CONCATENATE(F3412,G3412,H3412)</f>
        <v>331</v>
      </c>
      <c r="J3412" s="1" t="str">
        <f aca="false">_xlfn.IFS(AND(F3412&gt;=8,G3412&gt;=8,H3412&gt;=8),"CHAMPION",AND(F3412&gt;=6,G3412&gt;=7,H3412&gt;=6),"LOYAL CUSTOMER",AND(F3412&gt;=6,G3412&gt;=5,H3412&gt;=5),"POTENTIAL LOYALIST",AND(F3412&gt;=8,G3412&lt;=2,H3412&gt;=5),"NEW CUSTOMERS",AND(F3412&gt;=6,G3412&lt;=2,H3412&gt;=3),"PROMISING",AND(F3412&gt;=3,G3412&gt;=3,H3412&gt;=3),"NEED ATTENTION",AND(F3412&lt;=4,G3412&gt;=6,H3412&gt;=6),"AT RISK",AND(F3412&lt;=2,G3412&gt;=8,H3412&gt;=8),"CAN'T LOSE THEM",AND(F3412&lt;=2,G3412&lt;=2,H3412&lt;=2),"HIBERNATING",TRUE(),"Other")</f>
        <v>Other</v>
      </c>
      <c r="K3412" s="1" t="n">
        <f aca="false">RANK(E3412,$E$7:$E$4378)+COUNTIF($E$7:E3412,E3412)-1</f>
        <v>3820</v>
      </c>
    </row>
    <row r="3413" customFormat="false" ht="14.25" hidden="false" customHeight="true" outlineLevel="0" collapsed="false">
      <c r="A3413" s="51" t="n">
        <v>16953</v>
      </c>
      <c r="B3413" s="53" t="n">
        <v>40856.6625</v>
      </c>
      <c r="C3413" s="57" t="n">
        <f aca="false">INT($C$2)-INT(Table3[[#This Row],[Last Purchase Date]])</f>
        <v>31</v>
      </c>
      <c r="D3413" s="1" t="n">
        <v>1</v>
      </c>
      <c r="E3413" s="1" t="n">
        <v>20.8</v>
      </c>
      <c r="F3413" s="1" t="n">
        <f aca="false">ROUND((1-_xlfn.PERCENTRANK.INC($C$7:$C$4378,C3413))*9,0)</f>
        <v>6</v>
      </c>
      <c r="G3413" s="1" t="n">
        <f aca="false">ROUND(_xlfn.PERCENTRANK.INC($D$7:$D$4378,D3413)*9,0)</f>
        <v>0</v>
      </c>
      <c r="H3413" s="1" t="n">
        <f aca="false">ROUND(_xlfn.PERCENTRANK.INC($E$7:$E$4378,E3413)*9,0)</f>
        <v>0</v>
      </c>
      <c r="I3413" s="1" t="str">
        <f aca="false">CONCATENATE(F3413,G3413,H3413)</f>
        <v>600</v>
      </c>
      <c r="J3413" s="1" t="str">
        <f aca="false">_xlfn.IFS(AND(F3413&gt;=8,G3413&gt;=8,H3413&gt;=8),"CHAMPION",AND(F3413&gt;=6,G3413&gt;=7,H3413&gt;=6),"LOYAL CUSTOMER",AND(F3413&gt;=6,G3413&gt;=5,H3413&gt;=5),"POTENTIAL LOYALIST",AND(F3413&gt;=8,G3413&lt;=2,H3413&gt;=5),"NEW CUSTOMERS",AND(F3413&gt;=6,G3413&lt;=2,H3413&gt;=3),"PROMISING",AND(F3413&gt;=3,G3413&gt;=3,H3413&gt;=3),"NEED ATTENTION",AND(F3413&lt;=4,G3413&gt;=6,H3413&gt;=6),"AT RISK",AND(F3413&lt;=2,G3413&gt;=8,H3413&gt;=8),"CAN'T LOSE THEM",AND(F3413&lt;=2,G3413&lt;=2,H3413&lt;=2),"HIBERNATING",TRUE(),"Other")</f>
        <v>Other</v>
      </c>
      <c r="K3413" s="1" t="n">
        <f aca="false">RANK(E3413,$E$7:$E$4378)+COUNTIF($E$7:E3413,E3413)-1</f>
        <v>4309</v>
      </c>
    </row>
    <row r="3414" customFormat="false" ht="14.25" hidden="false" customHeight="true" outlineLevel="0" collapsed="false">
      <c r="A3414" s="51" t="n">
        <v>16954</v>
      </c>
      <c r="B3414" s="53" t="n">
        <v>40886.4069444445</v>
      </c>
      <c r="C3414" s="57" t="n">
        <f aca="false">INT($C$2)-INT(Table3[[#This Row],[Last Purchase Date]])</f>
        <v>1</v>
      </c>
      <c r="D3414" s="1" t="n">
        <v>9</v>
      </c>
      <c r="E3414" s="1" t="n">
        <v>2085.08</v>
      </c>
      <c r="F3414" s="1" t="n">
        <f aca="false">ROUND((1-_xlfn.PERCENTRANK.INC($C$7:$C$4378,C3414))*9,0)</f>
        <v>9</v>
      </c>
      <c r="G3414" s="1" t="n">
        <f aca="false">ROUND(_xlfn.PERCENTRANK.INC($D$7:$D$4378,D3414)*9,0)</f>
        <v>8</v>
      </c>
      <c r="H3414" s="1" t="n">
        <f aca="false">ROUND(_xlfn.PERCENTRANK.INC($E$7:$E$4378,E3414)*9,0)</f>
        <v>7</v>
      </c>
      <c r="I3414" s="1" t="str">
        <f aca="false">CONCATENATE(F3414,G3414,H3414)</f>
        <v>987</v>
      </c>
      <c r="J3414" s="1" t="str">
        <f aca="false">_xlfn.IFS(AND(F3414&gt;=8,G3414&gt;=8,H3414&gt;=8),"CHAMPION",AND(F3414&gt;=6,G3414&gt;=7,H3414&gt;=6),"LOYAL CUSTOMER",AND(F3414&gt;=6,G3414&gt;=5,H3414&gt;=5),"POTENTIAL LOYALIST",AND(F3414&gt;=8,G3414&lt;=2,H3414&gt;=5),"NEW CUSTOMERS",AND(F3414&gt;=6,G3414&lt;=2,H3414&gt;=3),"PROMISING",AND(F3414&gt;=3,G3414&gt;=3,H3414&gt;=3),"NEED ATTENTION",AND(F3414&lt;=4,G3414&gt;=6,H3414&gt;=6),"AT RISK",AND(F3414&lt;=2,G3414&gt;=8,H3414&gt;=8),"CAN'T LOSE THEM",AND(F3414&lt;=2,G3414&lt;=2,H3414&lt;=2),"HIBERNATING",TRUE(),"Other")</f>
        <v>LOYAL CUSTOMER</v>
      </c>
      <c r="K3414" s="1" t="n">
        <f aca="false">RANK(E3414,$E$7:$E$4378)+COUNTIF($E$7:E3414,E3414)-1</f>
        <v>835</v>
      </c>
    </row>
    <row r="3415" customFormat="false" ht="14.25" hidden="false" customHeight="true" outlineLevel="0" collapsed="false">
      <c r="A3415" s="51" t="n">
        <v>16955</v>
      </c>
      <c r="B3415" s="53" t="n">
        <v>40702.4416666667</v>
      </c>
      <c r="C3415" s="57" t="n">
        <f aca="false">INT($C$2)-INT(Table3[[#This Row],[Last Purchase Date]])</f>
        <v>185</v>
      </c>
      <c r="D3415" s="1" t="n">
        <v>5</v>
      </c>
      <c r="E3415" s="1" t="n">
        <v>493.67</v>
      </c>
      <c r="F3415" s="1" t="n">
        <f aca="false">ROUND((1-_xlfn.PERCENTRANK.INC($C$7:$C$4378,C3415))*9,0)</f>
        <v>2</v>
      </c>
      <c r="G3415" s="1" t="n">
        <f aca="false">ROUND(_xlfn.PERCENTRANK.INC($D$7:$D$4378,D3415)*9,0)</f>
        <v>6</v>
      </c>
      <c r="H3415" s="1" t="n">
        <f aca="false">ROUND(_xlfn.PERCENTRANK.INC($E$7:$E$4378,E3415)*9,0)</f>
        <v>4</v>
      </c>
      <c r="I3415" s="1" t="str">
        <f aca="false">CONCATENATE(F3415,G3415,H3415)</f>
        <v>264</v>
      </c>
      <c r="J3415" s="1" t="str">
        <f aca="false">_xlfn.IFS(AND(F3415&gt;=8,G3415&gt;=8,H3415&gt;=8),"CHAMPION",AND(F3415&gt;=6,G3415&gt;=7,H3415&gt;=6),"LOYAL CUSTOMER",AND(F3415&gt;=6,G3415&gt;=5,H3415&gt;=5),"POTENTIAL LOYALIST",AND(F3415&gt;=8,G3415&lt;=2,H3415&gt;=5),"NEW CUSTOMERS",AND(F3415&gt;=6,G3415&lt;=2,H3415&gt;=3),"PROMISING",AND(F3415&gt;=3,G3415&gt;=3,H3415&gt;=3),"NEED ATTENTION",AND(F3415&lt;=4,G3415&gt;=6,H3415&gt;=6),"AT RISK",AND(F3415&lt;=2,G3415&gt;=8,H3415&gt;=8),"CAN'T LOSE THEM",AND(F3415&lt;=2,G3415&lt;=2,H3415&lt;=2),"HIBERNATING",TRUE(),"Other")</f>
        <v>Other</v>
      </c>
      <c r="K3415" s="1" t="n">
        <f aca="false">RANK(E3415,$E$7:$E$4378)+COUNTIF($E$7:E3415,E3415)-1</f>
        <v>2560</v>
      </c>
    </row>
    <row r="3416" customFormat="false" ht="14.25" hidden="false" customHeight="true" outlineLevel="0" collapsed="false">
      <c r="A3416" s="51" t="n">
        <v>16956</v>
      </c>
      <c r="B3416" s="53" t="n">
        <v>40877.6027777778</v>
      </c>
      <c r="C3416" s="57" t="n">
        <f aca="false">INT($C$2)-INT(Table3[[#This Row],[Last Purchase Date]])</f>
        <v>10</v>
      </c>
      <c r="D3416" s="1" t="n">
        <v>2</v>
      </c>
      <c r="E3416" s="1" t="n">
        <v>292.34</v>
      </c>
      <c r="F3416" s="1" t="n">
        <f aca="false">ROUND((1-_xlfn.PERCENTRANK.INC($C$7:$C$4378,C3416))*9,0)</f>
        <v>8</v>
      </c>
      <c r="G3416" s="1" t="n">
        <f aca="false">ROUND(_xlfn.PERCENTRANK.INC($D$7:$D$4378,D3416)*9,0)</f>
        <v>3</v>
      </c>
      <c r="H3416" s="1" t="n">
        <f aca="false">ROUND(_xlfn.PERCENTRANK.INC($E$7:$E$4378,E3416)*9,0)</f>
        <v>2</v>
      </c>
      <c r="I3416" s="1" t="str">
        <f aca="false">CONCATENATE(F3416,G3416,H3416)</f>
        <v>832</v>
      </c>
      <c r="J3416" s="1" t="str">
        <f aca="false">_xlfn.IFS(AND(F3416&gt;=8,G3416&gt;=8,H3416&gt;=8),"CHAMPION",AND(F3416&gt;=6,G3416&gt;=7,H3416&gt;=6),"LOYAL CUSTOMER",AND(F3416&gt;=6,G3416&gt;=5,H3416&gt;=5),"POTENTIAL LOYALIST",AND(F3416&gt;=8,G3416&lt;=2,H3416&gt;=5),"NEW CUSTOMERS",AND(F3416&gt;=6,G3416&lt;=2,H3416&gt;=3),"PROMISING",AND(F3416&gt;=3,G3416&gt;=3,H3416&gt;=3),"NEED ATTENTION",AND(F3416&lt;=4,G3416&gt;=6,H3416&gt;=6),"AT RISK",AND(F3416&lt;=2,G3416&gt;=8,H3416&gt;=8),"CAN'T LOSE THEM",AND(F3416&lt;=2,G3416&lt;=2,H3416&lt;=2),"HIBERNATING",TRUE(),"Other")</f>
        <v>Other</v>
      </c>
      <c r="K3416" s="1" t="n">
        <f aca="false">RANK(E3416,$E$7:$E$4378)+COUNTIF($E$7:E3416,E3416)-1</f>
        <v>3283</v>
      </c>
    </row>
    <row r="3417" customFormat="false" ht="14.25" hidden="false" customHeight="true" outlineLevel="0" collapsed="false">
      <c r="A3417" s="51" t="n">
        <v>16957</v>
      </c>
      <c r="B3417" s="53" t="n">
        <v>40647.5805555556</v>
      </c>
      <c r="C3417" s="57" t="n">
        <f aca="false">INT($C$2)-INT(Table3[[#This Row],[Last Purchase Date]])</f>
        <v>240</v>
      </c>
      <c r="D3417" s="1" t="n">
        <v>2</v>
      </c>
      <c r="E3417" s="1" t="n">
        <v>416.64</v>
      </c>
      <c r="F3417" s="1" t="n">
        <f aca="false">ROUND((1-_xlfn.PERCENTRANK.INC($C$7:$C$4378,C3417))*9,0)</f>
        <v>1</v>
      </c>
      <c r="G3417" s="1" t="n">
        <f aca="false">ROUND(_xlfn.PERCENTRANK.INC($D$7:$D$4378,D3417)*9,0)</f>
        <v>3</v>
      </c>
      <c r="H3417" s="1" t="n">
        <f aca="false">ROUND(_xlfn.PERCENTRANK.INC($E$7:$E$4378,E3417)*9,0)</f>
        <v>3</v>
      </c>
      <c r="I3417" s="1" t="str">
        <f aca="false">CONCATENATE(F3417,G3417,H3417)</f>
        <v>133</v>
      </c>
      <c r="J3417" s="1" t="str">
        <f aca="false">_xlfn.IFS(AND(F3417&gt;=8,G3417&gt;=8,H3417&gt;=8),"CHAMPION",AND(F3417&gt;=6,G3417&gt;=7,H3417&gt;=6),"LOYAL CUSTOMER",AND(F3417&gt;=6,G3417&gt;=5,H3417&gt;=5),"POTENTIAL LOYALIST",AND(F3417&gt;=8,G3417&lt;=2,H3417&gt;=5),"NEW CUSTOMERS",AND(F3417&gt;=6,G3417&lt;=2,H3417&gt;=3),"PROMISING",AND(F3417&gt;=3,G3417&gt;=3,H3417&gt;=3),"NEED ATTENTION",AND(F3417&lt;=4,G3417&gt;=6,H3417&gt;=6),"AT RISK",AND(F3417&lt;=2,G3417&gt;=8,H3417&gt;=8),"CAN'T LOSE THEM",AND(F3417&lt;=2,G3417&lt;=2,H3417&lt;=2),"HIBERNATING",TRUE(),"Other")</f>
        <v>Other</v>
      </c>
      <c r="K3417" s="1" t="n">
        <f aca="false">RANK(E3417,$E$7:$E$4378)+COUNTIF($E$7:E3417,E3417)-1</f>
        <v>2767</v>
      </c>
    </row>
    <row r="3418" customFormat="false" ht="14.25" hidden="false" customHeight="true" outlineLevel="0" collapsed="false">
      <c r="A3418" s="51" t="n">
        <v>16959</v>
      </c>
      <c r="B3418" s="53" t="n">
        <v>40799.6270833333</v>
      </c>
      <c r="C3418" s="57" t="n">
        <f aca="false">INT($C$2)-INT(Table3[[#This Row],[Last Purchase Date]])</f>
        <v>88</v>
      </c>
      <c r="D3418" s="1" t="n">
        <v>1</v>
      </c>
      <c r="E3418" s="1" t="n">
        <v>117.35</v>
      </c>
      <c r="F3418" s="1" t="n">
        <f aca="false">ROUND((1-_xlfn.PERCENTRANK.INC($C$7:$C$4378,C3418))*9,0)</f>
        <v>3</v>
      </c>
      <c r="G3418" s="1" t="n">
        <f aca="false">ROUND(_xlfn.PERCENTRANK.INC($D$7:$D$4378,D3418)*9,0)</f>
        <v>0</v>
      </c>
      <c r="H3418" s="1" t="n">
        <f aca="false">ROUND(_xlfn.PERCENTRANK.INC($E$7:$E$4378,E3418)*9,0)</f>
        <v>1</v>
      </c>
      <c r="I3418" s="1" t="str">
        <f aca="false">CONCATENATE(F3418,G3418,H3418)</f>
        <v>301</v>
      </c>
      <c r="J3418" s="1" t="str">
        <f aca="false">_xlfn.IFS(AND(F3418&gt;=8,G3418&gt;=8,H3418&gt;=8),"CHAMPION",AND(F3418&gt;=6,G3418&gt;=7,H3418&gt;=6),"LOYAL CUSTOMER",AND(F3418&gt;=6,G3418&gt;=5,H3418&gt;=5),"POTENTIAL LOYALIST",AND(F3418&gt;=8,G3418&lt;=2,H3418&gt;=5),"NEW CUSTOMERS",AND(F3418&gt;=6,G3418&lt;=2,H3418&gt;=3),"PROMISING",AND(F3418&gt;=3,G3418&gt;=3,H3418&gt;=3),"NEED ATTENTION",AND(F3418&lt;=4,G3418&gt;=6,H3418&gt;=6),"AT RISK",AND(F3418&lt;=2,G3418&gt;=8,H3418&gt;=8),"CAN'T LOSE THEM",AND(F3418&lt;=2,G3418&lt;=2,H3418&lt;=2),"HIBERNATING",TRUE(),"Other")</f>
        <v>Other</v>
      </c>
      <c r="K3418" s="1" t="n">
        <f aca="false">RANK(E3418,$E$7:$E$4378)+COUNTIF($E$7:E3418,E3418)-1</f>
        <v>4063</v>
      </c>
    </row>
    <row r="3419" customFormat="false" ht="14.25" hidden="false" customHeight="true" outlineLevel="0" collapsed="false">
      <c r="A3419" s="51" t="n">
        <v>16960</v>
      </c>
      <c r="B3419" s="53" t="n">
        <v>40848.4826388889</v>
      </c>
      <c r="C3419" s="57" t="n">
        <f aca="false">INT($C$2)-INT(Table3[[#This Row],[Last Purchase Date]])</f>
        <v>39</v>
      </c>
      <c r="D3419" s="1" t="n">
        <v>3</v>
      </c>
      <c r="E3419" s="1" t="n">
        <v>507.05</v>
      </c>
      <c r="F3419" s="1" t="n">
        <f aca="false">ROUND((1-_xlfn.PERCENTRANK.INC($C$7:$C$4378,C3419))*9,0)</f>
        <v>5</v>
      </c>
      <c r="G3419" s="1" t="n">
        <f aca="false">ROUND(_xlfn.PERCENTRANK.INC($D$7:$D$4378,D3419)*9,0)</f>
        <v>4</v>
      </c>
      <c r="H3419" s="1" t="n">
        <f aca="false">ROUND(_xlfn.PERCENTRANK.INC($E$7:$E$4378,E3419)*9,0)</f>
        <v>4</v>
      </c>
      <c r="I3419" s="1" t="str">
        <f aca="false">CONCATENATE(F3419,G3419,H3419)</f>
        <v>544</v>
      </c>
      <c r="J3419" s="1" t="str">
        <f aca="false">_xlfn.IFS(AND(F3419&gt;=8,G3419&gt;=8,H3419&gt;=8),"CHAMPION",AND(F3419&gt;=6,G3419&gt;=7,H3419&gt;=6),"LOYAL CUSTOMER",AND(F3419&gt;=6,G3419&gt;=5,H3419&gt;=5),"POTENTIAL LOYALIST",AND(F3419&gt;=8,G3419&lt;=2,H3419&gt;=5),"NEW CUSTOMERS",AND(F3419&gt;=6,G3419&lt;=2,H3419&gt;=3),"PROMISING",AND(F3419&gt;=3,G3419&gt;=3,H3419&gt;=3),"NEED ATTENTION",AND(F3419&lt;=4,G3419&gt;=6,H3419&gt;=6),"AT RISK",AND(F3419&lt;=2,G3419&gt;=8,H3419&gt;=8),"CAN'T LOSE THEM",AND(F3419&lt;=2,G3419&lt;=2,H3419&lt;=2),"HIBERNATING",TRUE(),"Other")</f>
        <v>NEED ATTENTION</v>
      </c>
      <c r="K3419" s="1" t="n">
        <f aca="false">RANK(E3419,$E$7:$E$4378)+COUNTIF($E$7:E3419,E3419)-1</f>
        <v>2527</v>
      </c>
    </row>
    <row r="3420" customFormat="false" ht="14.25" hidden="false" customHeight="true" outlineLevel="0" collapsed="false">
      <c r="A3420" s="51" t="n">
        <v>16961</v>
      </c>
      <c r="B3420" s="53" t="n">
        <v>40770.5736111111</v>
      </c>
      <c r="C3420" s="57" t="n">
        <f aca="false">INT($C$2)-INT(Table3[[#This Row],[Last Purchase Date]])</f>
        <v>117</v>
      </c>
      <c r="D3420" s="1" t="n">
        <v>1</v>
      </c>
      <c r="E3420" s="1" t="n">
        <v>234.17</v>
      </c>
      <c r="F3420" s="1" t="n">
        <f aca="false">ROUND((1-_xlfn.PERCENTRANK.INC($C$7:$C$4378,C3420))*9,0)</f>
        <v>3</v>
      </c>
      <c r="G3420" s="1" t="n">
        <f aca="false">ROUND(_xlfn.PERCENTRANK.INC($D$7:$D$4378,D3420)*9,0)</f>
        <v>0</v>
      </c>
      <c r="H3420" s="1" t="n">
        <f aca="false">ROUND(_xlfn.PERCENTRANK.INC($E$7:$E$4378,E3420)*9,0)</f>
        <v>2</v>
      </c>
      <c r="I3420" s="1" t="str">
        <f aca="false">CONCATENATE(F3420,G3420,H3420)</f>
        <v>302</v>
      </c>
      <c r="J3420" s="1" t="str">
        <f aca="false">_xlfn.IFS(AND(F3420&gt;=8,G3420&gt;=8,H3420&gt;=8),"CHAMPION",AND(F3420&gt;=6,G3420&gt;=7,H3420&gt;=6),"LOYAL CUSTOMER",AND(F3420&gt;=6,G3420&gt;=5,H3420&gt;=5),"POTENTIAL LOYALIST",AND(F3420&gt;=8,G3420&lt;=2,H3420&gt;=5),"NEW CUSTOMERS",AND(F3420&gt;=6,G3420&lt;=2,H3420&gt;=3),"PROMISING",AND(F3420&gt;=3,G3420&gt;=3,H3420&gt;=3),"NEED ATTENTION",AND(F3420&lt;=4,G3420&gt;=6,H3420&gt;=6),"AT RISK",AND(F3420&lt;=2,G3420&gt;=8,H3420&gt;=8),"CAN'T LOSE THEM",AND(F3420&lt;=2,G3420&lt;=2,H3420&lt;=2),"HIBERNATING",TRUE(),"Other")</f>
        <v>Other</v>
      </c>
      <c r="K3420" s="1" t="n">
        <f aca="false">RANK(E3420,$E$7:$E$4378)+COUNTIF($E$7:E3420,E3420)-1</f>
        <v>3500</v>
      </c>
    </row>
    <row r="3421" customFormat="false" ht="14.25" hidden="false" customHeight="true" outlineLevel="0" collapsed="false">
      <c r="A3421" s="51" t="n">
        <v>16963</v>
      </c>
      <c r="B3421" s="53" t="n">
        <v>40699.575</v>
      </c>
      <c r="C3421" s="57" t="n">
        <f aca="false">INT($C$2)-INT(Table3[[#This Row],[Last Purchase Date]])</f>
        <v>188</v>
      </c>
      <c r="D3421" s="1" t="n">
        <v>1</v>
      </c>
      <c r="E3421" s="1" t="n">
        <v>110.55</v>
      </c>
      <c r="F3421" s="1" t="n">
        <f aca="false">ROUND((1-_xlfn.PERCENTRANK.INC($C$7:$C$4378,C3421))*9,0)</f>
        <v>2</v>
      </c>
      <c r="G3421" s="1" t="n">
        <f aca="false">ROUND(_xlfn.PERCENTRANK.INC($D$7:$D$4378,D3421)*9,0)</f>
        <v>0</v>
      </c>
      <c r="H3421" s="1" t="n">
        <f aca="false">ROUND(_xlfn.PERCENTRANK.INC($E$7:$E$4378,E3421)*9,0)</f>
        <v>1</v>
      </c>
      <c r="I3421" s="1" t="str">
        <f aca="false">CONCATENATE(F3421,G3421,H3421)</f>
        <v>201</v>
      </c>
      <c r="J3421" s="1" t="str">
        <f aca="false">_xlfn.IFS(AND(F3421&gt;=8,G3421&gt;=8,H3421&gt;=8),"CHAMPION",AND(F3421&gt;=6,G3421&gt;=7,H3421&gt;=6),"LOYAL CUSTOMER",AND(F3421&gt;=6,G3421&gt;=5,H3421&gt;=5),"POTENTIAL LOYALIST",AND(F3421&gt;=8,G3421&lt;=2,H3421&gt;=5),"NEW CUSTOMERS",AND(F3421&gt;=6,G3421&lt;=2,H3421&gt;=3),"PROMISING",AND(F3421&gt;=3,G3421&gt;=3,H3421&gt;=3),"NEED ATTENTION",AND(F3421&lt;=4,G3421&gt;=6,H3421&gt;=6),"AT RISK",AND(F3421&lt;=2,G3421&gt;=8,H3421&gt;=8),"CAN'T LOSE THEM",AND(F3421&lt;=2,G3421&lt;=2,H3421&lt;=2),"HIBERNATING",TRUE(),"Other")</f>
        <v>HIBERNATING</v>
      </c>
      <c r="K3421" s="1" t="n">
        <f aca="false">RANK(E3421,$E$7:$E$4378)+COUNTIF($E$7:E3421,E3421)-1</f>
        <v>4111</v>
      </c>
    </row>
    <row r="3422" customFormat="false" ht="14.25" hidden="false" customHeight="true" outlineLevel="0" collapsed="false">
      <c r="A3422" s="51" t="n">
        <v>16965</v>
      </c>
      <c r="B3422" s="53" t="n">
        <v>40660.5055555556</v>
      </c>
      <c r="C3422" s="57" t="n">
        <f aca="false">INT($C$2)-INT(Table3[[#This Row],[Last Purchase Date]])</f>
        <v>227</v>
      </c>
      <c r="D3422" s="1" t="n">
        <v>1</v>
      </c>
      <c r="E3422" s="1" t="n">
        <v>201.19</v>
      </c>
      <c r="F3422" s="1" t="n">
        <f aca="false">ROUND((1-_xlfn.PERCENTRANK.INC($C$7:$C$4378,C3422))*9,0)</f>
        <v>1</v>
      </c>
      <c r="G3422" s="1" t="n">
        <f aca="false">ROUND(_xlfn.PERCENTRANK.INC($D$7:$D$4378,D3422)*9,0)</f>
        <v>0</v>
      </c>
      <c r="H3422" s="1" t="n">
        <f aca="false">ROUND(_xlfn.PERCENTRANK.INC($E$7:$E$4378,E3422)*9,0)</f>
        <v>1</v>
      </c>
      <c r="I3422" s="1" t="str">
        <f aca="false">CONCATENATE(F3422,G3422,H3422)</f>
        <v>101</v>
      </c>
      <c r="J3422" s="1" t="str">
        <f aca="false">_xlfn.IFS(AND(F3422&gt;=8,G3422&gt;=8,H3422&gt;=8),"CHAMPION",AND(F3422&gt;=6,G3422&gt;=7,H3422&gt;=6),"LOYAL CUSTOMER",AND(F3422&gt;=6,G3422&gt;=5,H3422&gt;=5),"POTENTIAL LOYALIST",AND(F3422&gt;=8,G3422&lt;=2,H3422&gt;=5),"NEW CUSTOMERS",AND(F3422&gt;=6,G3422&lt;=2,H3422&gt;=3),"PROMISING",AND(F3422&gt;=3,G3422&gt;=3,H3422&gt;=3),"NEED ATTENTION",AND(F3422&lt;=4,G3422&gt;=6,H3422&gt;=6),"AT RISK",AND(F3422&lt;=2,G3422&gt;=8,H3422&gt;=8),"CAN'T LOSE THEM",AND(F3422&lt;=2,G3422&lt;=2,H3422&lt;=2),"HIBERNATING",TRUE(),"Other")</f>
        <v>HIBERNATING</v>
      </c>
      <c r="K3422" s="1" t="n">
        <f aca="false">RANK(E3422,$E$7:$E$4378)+COUNTIF($E$7:E3422,E3422)-1</f>
        <v>3653</v>
      </c>
    </row>
    <row r="3423" customFormat="false" ht="14.25" hidden="false" customHeight="true" outlineLevel="0" collapsed="false">
      <c r="A3423" s="51" t="n">
        <v>16966</v>
      </c>
      <c r="B3423" s="53" t="n">
        <v>40878.5694444445</v>
      </c>
      <c r="C3423" s="57" t="n">
        <f aca="false">INT($C$2)-INT(Table3[[#This Row],[Last Purchase Date]])</f>
        <v>9</v>
      </c>
      <c r="D3423" s="1" t="n">
        <v>10</v>
      </c>
      <c r="E3423" s="1" t="n">
        <v>2148.47</v>
      </c>
      <c r="F3423" s="1" t="n">
        <f aca="false">ROUND((1-_xlfn.PERCENTRANK.INC($C$7:$C$4378,C3423))*9,0)</f>
        <v>8</v>
      </c>
      <c r="G3423" s="1" t="n">
        <f aca="false">ROUND(_xlfn.PERCENTRANK.INC($D$7:$D$4378,D3423)*9,0)</f>
        <v>8</v>
      </c>
      <c r="H3423" s="1" t="n">
        <f aca="false">ROUND(_xlfn.PERCENTRANK.INC($E$7:$E$4378,E3423)*9,0)</f>
        <v>7</v>
      </c>
      <c r="I3423" s="1" t="str">
        <f aca="false">CONCATENATE(F3423,G3423,H3423)</f>
        <v>887</v>
      </c>
      <c r="J3423" s="1" t="str">
        <f aca="false">_xlfn.IFS(AND(F3423&gt;=8,G3423&gt;=8,H3423&gt;=8),"CHAMPION",AND(F3423&gt;=6,G3423&gt;=7,H3423&gt;=6),"LOYAL CUSTOMER",AND(F3423&gt;=6,G3423&gt;=5,H3423&gt;=5),"POTENTIAL LOYALIST",AND(F3423&gt;=8,G3423&lt;=2,H3423&gt;=5),"NEW CUSTOMERS",AND(F3423&gt;=6,G3423&lt;=2,H3423&gt;=3),"PROMISING",AND(F3423&gt;=3,G3423&gt;=3,H3423&gt;=3),"NEED ATTENTION",AND(F3423&lt;=4,G3423&gt;=6,H3423&gt;=6),"AT RISK",AND(F3423&lt;=2,G3423&gt;=8,H3423&gt;=8),"CAN'T LOSE THEM",AND(F3423&lt;=2,G3423&lt;=2,H3423&lt;=2),"HIBERNATING",TRUE(),"Other")</f>
        <v>LOYAL CUSTOMER</v>
      </c>
      <c r="K3423" s="1" t="n">
        <f aca="false">RANK(E3423,$E$7:$E$4378)+COUNTIF($E$7:E3423,E3423)-1</f>
        <v>804</v>
      </c>
    </row>
    <row r="3424" customFormat="false" ht="14.25" hidden="false" customHeight="true" outlineLevel="0" collapsed="false">
      <c r="A3424" s="51" t="n">
        <v>16967</v>
      </c>
      <c r="B3424" s="53" t="n">
        <v>40697.6</v>
      </c>
      <c r="C3424" s="57" t="n">
        <f aca="false">INT($C$2)-INT(Table3[[#This Row],[Last Purchase Date]])</f>
        <v>190</v>
      </c>
      <c r="D3424" s="1" t="n">
        <v>1</v>
      </c>
      <c r="E3424" s="1" t="n">
        <v>319.02</v>
      </c>
      <c r="F3424" s="1" t="n">
        <f aca="false">ROUND((1-_xlfn.PERCENTRANK.INC($C$7:$C$4378,C3424))*9,0)</f>
        <v>2</v>
      </c>
      <c r="G3424" s="1" t="n">
        <f aca="false">ROUND(_xlfn.PERCENTRANK.INC($D$7:$D$4378,D3424)*9,0)</f>
        <v>0</v>
      </c>
      <c r="H3424" s="1" t="n">
        <f aca="false">ROUND(_xlfn.PERCENTRANK.INC($E$7:$E$4378,E3424)*9,0)</f>
        <v>3</v>
      </c>
      <c r="I3424" s="1" t="str">
        <f aca="false">CONCATENATE(F3424,G3424,H3424)</f>
        <v>203</v>
      </c>
      <c r="J3424" s="1" t="str">
        <f aca="false">_xlfn.IFS(AND(F3424&gt;=8,G3424&gt;=8,H3424&gt;=8),"CHAMPION",AND(F3424&gt;=6,G3424&gt;=7,H3424&gt;=6),"LOYAL CUSTOMER",AND(F3424&gt;=6,G3424&gt;=5,H3424&gt;=5),"POTENTIAL LOYALIST",AND(F3424&gt;=8,G3424&lt;=2,H3424&gt;=5),"NEW CUSTOMERS",AND(F3424&gt;=6,G3424&lt;=2,H3424&gt;=3),"PROMISING",AND(F3424&gt;=3,G3424&gt;=3,H3424&gt;=3),"NEED ATTENTION",AND(F3424&lt;=4,G3424&gt;=6,H3424&gt;=6),"AT RISK",AND(F3424&lt;=2,G3424&gt;=8,H3424&gt;=8),"CAN'T LOSE THEM",AND(F3424&lt;=2,G3424&lt;=2,H3424&lt;=2),"HIBERNATING",TRUE(),"Other")</f>
        <v>Other</v>
      </c>
      <c r="K3424" s="1" t="n">
        <f aca="false">RANK(E3424,$E$7:$E$4378)+COUNTIF($E$7:E3424,E3424)-1</f>
        <v>3144</v>
      </c>
    </row>
    <row r="3425" customFormat="false" ht="14.25" hidden="false" customHeight="true" outlineLevel="0" collapsed="false">
      <c r="A3425" s="51" t="n">
        <v>16968</v>
      </c>
      <c r="B3425" s="53" t="n">
        <v>40882.6263888889</v>
      </c>
      <c r="C3425" s="57" t="n">
        <f aca="false">INT($C$2)-INT(Table3[[#This Row],[Last Purchase Date]])</f>
        <v>5</v>
      </c>
      <c r="D3425" s="1" t="n">
        <v>2</v>
      </c>
      <c r="E3425" s="1" t="n">
        <v>439.43</v>
      </c>
      <c r="F3425" s="1" t="n">
        <f aca="false">ROUND((1-_xlfn.PERCENTRANK.INC($C$7:$C$4378,C3425))*9,0)</f>
        <v>8</v>
      </c>
      <c r="G3425" s="1" t="n">
        <f aca="false">ROUND(_xlfn.PERCENTRANK.INC($D$7:$D$4378,D3425)*9,0)</f>
        <v>3</v>
      </c>
      <c r="H3425" s="1" t="n">
        <f aca="false">ROUND(_xlfn.PERCENTRANK.INC($E$7:$E$4378,E3425)*9,0)</f>
        <v>3</v>
      </c>
      <c r="I3425" s="1" t="str">
        <f aca="false">CONCATENATE(F3425,G3425,H3425)</f>
        <v>833</v>
      </c>
      <c r="J3425" s="1" t="str">
        <f aca="false">_xlfn.IFS(AND(F3425&gt;=8,G3425&gt;=8,H3425&gt;=8),"CHAMPION",AND(F3425&gt;=6,G3425&gt;=7,H3425&gt;=6),"LOYAL CUSTOMER",AND(F3425&gt;=6,G3425&gt;=5,H3425&gt;=5),"POTENTIAL LOYALIST",AND(F3425&gt;=8,G3425&lt;=2,H3425&gt;=5),"NEW CUSTOMERS",AND(F3425&gt;=6,G3425&lt;=2,H3425&gt;=3),"PROMISING",AND(F3425&gt;=3,G3425&gt;=3,H3425&gt;=3),"NEED ATTENTION",AND(F3425&lt;=4,G3425&gt;=6,H3425&gt;=6),"AT RISK",AND(F3425&lt;=2,G3425&gt;=8,H3425&gt;=8),"CAN'T LOSE THEM",AND(F3425&lt;=2,G3425&lt;=2,H3425&lt;=2),"HIBERNATING",TRUE(),"Other")</f>
        <v>NEED ATTENTION</v>
      </c>
      <c r="K3425" s="1" t="n">
        <f aca="false">RANK(E3425,$E$7:$E$4378)+COUNTIF($E$7:E3425,E3425)-1</f>
        <v>2697</v>
      </c>
    </row>
    <row r="3426" customFormat="false" ht="14.25" hidden="false" customHeight="true" outlineLevel="0" collapsed="false">
      <c r="A3426" s="51" t="n">
        <v>16969</v>
      </c>
      <c r="B3426" s="53" t="n">
        <v>40847.55</v>
      </c>
      <c r="C3426" s="57" t="n">
        <f aca="false">INT($C$2)-INT(Table3[[#This Row],[Last Purchase Date]])</f>
        <v>40</v>
      </c>
      <c r="D3426" s="1" t="n">
        <v>3</v>
      </c>
      <c r="E3426" s="1" t="n">
        <v>650.41</v>
      </c>
      <c r="F3426" s="1" t="n">
        <f aca="false">ROUND((1-_xlfn.PERCENTRANK.INC($C$7:$C$4378,C3426))*9,0)</f>
        <v>5</v>
      </c>
      <c r="G3426" s="1" t="n">
        <f aca="false">ROUND(_xlfn.PERCENTRANK.INC($D$7:$D$4378,D3426)*9,0)</f>
        <v>4</v>
      </c>
      <c r="H3426" s="1" t="n">
        <f aca="false">ROUND(_xlfn.PERCENTRANK.INC($E$7:$E$4378,E3426)*9,0)</f>
        <v>5</v>
      </c>
      <c r="I3426" s="1" t="str">
        <f aca="false">CONCATENATE(F3426,G3426,H3426)</f>
        <v>545</v>
      </c>
      <c r="J3426" s="1" t="str">
        <f aca="false">_xlfn.IFS(AND(F3426&gt;=8,G3426&gt;=8,H3426&gt;=8),"CHAMPION",AND(F3426&gt;=6,G3426&gt;=7,H3426&gt;=6),"LOYAL CUSTOMER",AND(F3426&gt;=6,G3426&gt;=5,H3426&gt;=5),"POTENTIAL LOYALIST",AND(F3426&gt;=8,G3426&lt;=2,H3426&gt;=5),"NEW CUSTOMERS",AND(F3426&gt;=6,G3426&lt;=2,H3426&gt;=3),"PROMISING",AND(F3426&gt;=3,G3426&gt;=3,H3426&gt;=3),"NEED ATTENTION",AND(F3426&lt;=4,G3426&gt;=6,H3426&gt;=6),"AT RISK",AND(F3426&lt;=2,G3426&gt;=8,H3426&gt;=8),"CAN'T LOSE THEM",AND(F3426&lt;=2,G3426&lt;=2,H3426&lt;=2),"HIBERNATING",TRUE(),"Other")</f>
        <v>NEED ATTENTION</v>
      </c>
      <c r="K3426" s="1" t="n">
        <f aca="false">RANK(E3426,$E$7:$E$4378)+COUNTIF($E$7:E3426,E3426)-1</f>
        <v>2182</v>
      </c>
    </row>
    <row r="3427" customFormat="false" ht="14.25" hidden="false" customHeight="true" outlineLevel="0" collapsed="false">
      <c r="A3427" s="51" t="n">
        <v>16971</v>
      </c>
      <c r="B3427" s="53" t="n">
        <v>40884.3854166667</v>
      </c>
      <c r="C3427" s="57" t="n">
        <f aca="false">INT($C$2)-INT(Table3[[#This Row],[Last Purchase Date]])</f>
        <v>3</v>
      </c>
      <c r="D3427" s="1" t="n">
        <v>2</v>
      </c>
      <c r="E3427" s="1" t="n">
        <v>232.21</v>
      </c>
      <c r="F3427" s="1" t="n">
        <f aca="false">ROUND((1-_xlfn.PERCENTRANK.INC($C$7:$C$4378,C3427))*9,0)</f>
        <v>9</v>
      </c>
      <c r="G3427" s="1" t="n">
        <f aca="false">ROUND(_xlfn.PERCENTRANK.INC($D$7:$D$4378,D3427)*9,0)</f>
        <v>3</v>
      </c>
      <c r="H3427" s="1" t="n">
        <f aca="false">ROUND(_xlfn.PERCENTRANK.INC($E$7:$E$4378,E3427)*9,0)</f>
        <v>2</v>
      </c>
      <c r="I3427" s="1" t="str">
        <f aca="false">CONCATENATE(F3427,G3427,H3427)</f>
        <v>932</v>
      </c>
      <c r="J3427" s="1" t="str">
        <f aca="false">_xlfn.IFS(AND(F3427&gt;=8,G3427&gt;=8,H3427&gt;=8),"CHAMPION",AND(F3427&gt;=6,G3427&gt;=7,H3427&gt;=6),"LOYAL CUSTOMER",AND(F3427&gt;=6,G3427&gt;=5,H3427&gt;=5),"POTENTIAL LOYALIST",AND(F3427&gt;=8,G3427&lt;=2,H3427&gt;=5),"NEW CUSTOMERS",AND(F3427&gt;=6,G3427&lt;=2,H3427&gt;=3),"PROMISING",AND(F3427&gt;=3,G3427&gt;=3,H3427&gt;=3),"NEED ATTENTION",AND(F3427&lt;=4,G3427&gt;=6,H3427&gt;=6),"AT RISK",AND(F3427&lt;=2,G3427&gt;=8,H3427&gt;=8),"CAN'T LOSE THEM",AND(F3427&lt;=2,G3427&lt;=2,H3427&lt;=2),"HIBERNATING",TRUE(),"Other")</f>
        <v>Other</v>
      </c>
      <c r="K3427" s="1" t="n">
        <f aca="false">RANK(E3427,$E$7:$E$4378)+COUNTIF($E$7:E3427,E3427)-1</f>
        <v>3509</v>
      </c>
    </row>
    <row r="3428" customFormat="false" ht="14.25" hidden="false" customHeight="true" outlineLevel="0" collapsed="false">
      <c r="A3428" s="51" t="n">
        <v>16976</v>
      </c>
      <c r="B3428" s="53" t="n">
        <v>40619.6895833333</v>
      </c>
      <c r="C3428" s="57" t="n">
        <f aca="false">INT($C$2)-INT(Table3[[#This Row],[Last Purchase Date]])</f>
        <v>268</v>
      </c>
      <c r="D3428" s="1" t="n">
        <v>1</v>
      </c>
      <c r="E3428" s="1" t="n">
        <v>251.52</v>
      </c>
      <c r="F3428" s="1" t="n">
        <f aca="false">ROUND((1-_xlfn.PERCENTRANK.INC($C$7:$C$4378,C3428))*9,0)</f>
        <v>1</v>
      </c>
      <c r="G3428" s="1" t="n">
        <f aca="false">ROUND(_xlfn.PERCENTRANK.INC($D$7:$D$4378,D3428)*9,0)</f>
        <v>0</v>
      </c>
      <c r="H3428" s="1" t="n">
        <f aca="false">ROUND(_xlfn.PERCENTRANK.INC($E$7:$E$4378,E3428)*9,0)</f>
        <v>2</v>
      </c>
      <c r="I3428" s="1" t="str">
        <f aca="false">CONCATENATE(F3428,G3428,H3428)</f>
        <v>102</v>
      </c>
      <c r="J3428" s="1" t="str">
        <f aca="false">_xlfn.IFS(AND(F3428&gt;=8,G3428&gt;=8,H3428&gt;=8),"CHAMPION",AND(F3428&gt;=6,G3428&gt;=7,H3428&gt;=6),"LOYAL CUSTOMER",AND(F3428&gt;=6,G3428&gt;=5,H3428&gt;=5),"POTENTIAL LOYALIST",AND(F3428&gt;=8,G3428&lt;=2,H3428&gt;=5),"NEW CUSTOMERS",AND(F3428&gt;=6,G3428&lt;=2,H3428&gt;=3),"PROMISING",AND(F3428&gt;=3,G3428&gt;=3,H3428&gt;=3),"NEED ATTENTION",AND(F3428&lt;=4,G3428&gt;=6,H3428&gt;=6),"AT RISK",AND(F3428&lt;=2,G3428&gt;=8,H3428&gt;=8),"CAN'T LOSE THEM",AND(F3428&lt;=2,G3428&lt;=2,H3428&lt;=2),"HIBERNATING",TRUE(),"Other")</f>
        <v>HIBERNATING</v>
      </c>
      <c r="K3428" s="1" t="n">
        <f aca="false">RANK(E3428,$E$7:$E$4378)+COUNTIF($E$7:E3428,E3428)-1</f>
        <v>3432</v>
      </c>
    </row>
    <row r="3429" customFormat="false" ht="14.25" hidden="false" customHeight="true" outlineLevel="0" collapsed="false">
      <c r="A3429" s="51" t="n">
        <v>16978</v>
      </c>
      <c r="B3429" s="53" t="n">
        <v>40809.5347222222</v>
      </c>
      <c r="C3429" s="57" t="n">
        <f aca="false">INT($C$2)-INT(Table3[[#This Row],[Last Purchase Date]])</f>
        <v>78</v>
      </c>
      <c r="D3429" s="1" t="n">
        <v>1</v>
      </c>
      <c r="E3429" s="1" t="n">
        <v>344.33</v>
      </c>
      <c r="F3429" s="1" t="n">
        <f aca="false">ROUND((1-_xlfn.PERCENTRANK.INC($C$7:$C$4378,C3429))*9,0)</f>
        <v>3</v>
      </c>
      <c r="G3429" s="1" t="n">
        <f aca="false">ROUND(_xlfn.PERCENTRANK.INC($D$7:$D$4378,D3429)*9,0)</f>
        <v>0</v>
      </c>
      <c r="H3429" s="1" t="n">
        <f aca="false">ROUND(_xlfn.PERCENTRANK.INC($E$7:$E$4378,E3429)*9,0)</f>
        <v>3</v>
      </c>
      <c r="I3429" s="1" t="str">
        <f aca="false">CONCATENATE(F3429,G3429,H3429)</f>
        <v>303</v>
      </c>
      <c r="J3429" s="1" t="str">
        <f aca="false">_xlfn.IFS(AND(F3429&gt;=8,G3429&gt;=8,H3429&gt;=8),"CHAMPION",AND(F3429&gt;=6,G3429&gt;=7,H3429&gt;=6),"LOYAL CUSTOMER",AND(F3429&gt;=6,G3429&gt;=5,H3429&gt;=5),"POTENTIAL LOYALIST",AND(F3429&gt;=8,G3429&lt;=2,H3429&gt;=5),"NEW CUSTOMERS",AND(F3429&gt;=6,G3429&lt;=2,H3429&gt;=3),"PROMISING",AND(F3429&gt;=3,G3429&gt;=3,H3429&gt;=3),"NEED ATTENTION",AND(F3429&lt;=4,G3429&gt;=6,H3429&gt;=6),"AT RISK",AND(F3429&lt;=2,G3429&gt;=8,H3429&gt;=8),"CAN'T LOSE THEM",AND(F3429&lt;=2,G3429&lt;=2,H3429&lt;=2),"HIBERNATING",TRUE(),"Other")</f>
        <v>Other</v>
      </c>
      <c r="K3429" s="1" t="n">
        <f aca="false">RANK(E3429,$E$7:$E$4378)+COUNTIF($E$7:E3429,E3429)-1</f>
        <v>3034</v>
      </c>
    </row>
    <row r="3430" customFormat="false" ht="14.25" hidden="false" customHeight="true" outlineLevel="0" collapsed="false">
      <c r="A3430" s="51" t="n">
        <v>16979</v>
      </c>
      <c r="B3430" s="53" t="n">
        <v>40883.5145833333</v>
      </c>
      <c r="C3430" s="57" t="n">
        <f aca="false">INT($C$2)-INT(Table3[[#This Row],[Last Purchase Date]])</f>
        <v>4</v>
      </c>
      <c r="D3430" s="1" t="n">
        <v>8</v>
      </c>
      <c r="E3430" s="1" t="n">
        <v>1809.05</v>
      </c>
      <c r="F3430" s="1" t="n">
        <f aca="false">ROUND((1-_xlfn.PERCENTRANK.INC($C$7:$C$4378,C3430))*9,0)</f>
        <v>8</v>
      </c>
      <c r="G3430" s="1" t="n">
        <f aca="false">ROUND(_xlfn.PERCENTRANK.INC($D$7:$D$4378,D3430)*9,0)</f>
        <v>7</v>
      </c>
      <c r="H3430" s="1" t="n">
        <f aca="false">ROUND(_xlfn.PERCENTRANK.INC($E$7:$E$4378,E3430)*9,0)</f>
        <v>7</v>
      </c>
      <c r="I3430" s="1" t="str">
        <f aca="false">CONCATENATE(F3430,G3430,H3430)</f>
        <v>877</v>
      </c>
      <c r="J3430" s="1" t="str">
        <f aca="false">_xlfn.IFS(AND(F3430&gt;=8,G3430&gt;=8,H3430&gt;=8),"CHAMPION",AND(F3430&gt;=6,G3430&gt;=7,H3430&gt;=6),"LOYAL CUSTOMER",AND(F3430&gt;=6,G3430&gt;=5,H3430&gt;=5),"POTENTIAL LOYALIST",AND(F3430&gt;=8,G3430&lt;=2,H3430&gt;=5),"NEW CUSTOMERS",AND(F3430&gt;=6,G3430&lt;=2,H3430&gt;=3),"PROMISING",AND(F3430&gt;=3,G3430&gt;=3,H3430&gt;=3),"NEED ATTENTION",AND(F3430&lt;=4,G3430&gt;=6,H3430&gt;=6),"AT RISK",AND(F3430&lt;=2,G3430&gt;=8,H3430&gt;=8),"CAN'T LOSE THEM",AND(F3430&lt;=2,G3430&lt;=2,H3430&lt;=2),"HIBERNATING",TRUE(),"Other")</f>
        <v>LOYAL CUSTOMER</v>
      </c>
      <c r="K3430" s="1" t="n">
        <f aca="false">RANK(E3430,$E$7:$E$4378)+COUNTIF($E$7:E3430,E3430)-1</f>
        <v>970</v>
      </c>
    </row>
    <row r="3431" customFormat="false" ht="14.25" hidden="false" customHeight="true" outlineLevel="0" collapsed="false">
      <c r="A3431" s="51" t="n">
        <v>16980</v>
      </c>
      <c r="B3431" s="53" t="n">
        <v>40631.6916666667</v>
      </c>
      <c r="C3431" s="57" t="n">
        <f aca="false">INT($C$2)-INT(Table3[[#This Row],[Last Purchase Date]])</f>
        <v>256</v>
      </c>
      <c r="D3431" s="1" t="n">
        <v>2</v>
      </c>
      <c r="E3431" s="1" t="n">
        <v>1078.96</v>
      </c>
      <c r="F3431" s="1" t="n">
        <f aca="false">ROUND((1-_xlfn.PERCENTRANK.INC($C$7:$C$4378,C3431))*9,0)</f>
        <v>1</v>
      </c>
      <c r="G3431" s="1" t="n">
        <f aca="false">ROUND(_xlfn.PERCENTRANK.INC($D$7:$D$4378,D3431)*9,0)</f>
        <v>3</v>
      </c>
      <c r="H3431" s="1" t="n">
        <f aca="false">ROUND(_xlfn.PERCENTRANK.INC($E$7:$E$4378,E3431)*9,0)</f>
        <v>6</v>
      </c>
      <c r="I3431" s="1" t="str">
        <f aca="false">CONCATENATE(F3431,G3431,H3431)</f>
        <v>136</v>
      </c>
      <c r="J3431" s="1" t="str">
        <f aca="false">_xlfn.IFS(AND(F3431&gt;=8,G3431&gt;=8,H3431&gt;=8),"CHAMPION",AND(F3431&gt;=6,G3431&gt;=7,H3431&gt;=6),"LOYAL CUSTOMER",AND(F3431&gt;=6,G3431&gt;=5,H3431&gt;=5),"POTENTIAL LOYALIST",AND(F3431&gt;=8,G3431&lt;=2,H3431&gt;=5),"NEW CUSTOMERS",AND(F3431&gt;=6,G3431&lt;=2,H3431&gt;=3),"PROMISING",AND(F3431&gt;=3,G3431&gt;=3,H3431&gt;=3),"NEED ATTENTION",AND(F3431&lt;=4,G3431&gt;=6,H3431&gt;=6),"AT RISK",AND(F3431&lt;=2,G3431&gt;=8,H3431&gt;=8),"CAN'T LOSE THEM",AND(F3431&lt;=2,G3431&lt;=2,H3431&lt;=2),"HIBERNATING",TRUE(),"Other")</f>
        <v>Other</v>
      </c>
      <c r="K3431" s="1" t="n">
        <f aca="false">RANK(E3431,$E$7:$E$4378)+COUNTIF($E$7:E3431,E3431)-1</f>
        <v>1532</v>
      </c>
    </row>
    <row r="3432" customFormat="false" ht="14.25" hidden="false" customHeight="true" outlineLevel="0" collapsed="false">
      <c r="A3432" s="51" t="n">
        <v>16982</v>
      </c>
      <c r="B3432" s="53" t="n">
        <v>40826.5194444444</v>
      </c>
      <c r="C3432" s="57" t="n">
        <f aca="false">INT($C$2)-INT(Table3[[#This Row],[Last Purchase Date]])</f>
        <v>61</v>
      </c>
      <c r="D3432" s="1" t="n">
        <v>1</v>
      </c>
      <c r="E3432" s="1" t="n">
        <v>384.06</v>
      </c>
      <c r="F3432" s="1" t="n">
        <f aca="false">ROUND((1-_xlfn.PERCENTRANK.INC($C$7:$C$4378,C3432))*9,0)</f>
        <v>4</v>
      </c>
      <c r="G3432" s="1" t="n">
        <f aca="false">ROUND(_xlfn.PERCENTRANK.INC($D$7:$D$4378,D3432)*9,0)</f>
        <v>0</v>
      </c>
      <c r="H3432" s="1" t="n">
        <f aca="false">ROUND(_xlfn.PERCENTRANK.INC($E$7:$E$4378,E3432)*9,0)</f>
        <v>3</v>
      </c>
      <c r="I3432" s="1" t="str">
        <f aca="false">CONCATENATE(F3432,G3432,H3432)</f>
        <v>403</v>
      </c>
      <c r="J3432" s="1" t="str">
        <f aca="false">_xlfn.IFS(AND(F3432&gt;=8,G3432&gt;=8,H3432&gt;=8),"CHAMPION",AND(F3432&gt;=6,G3432&gt;=7,H3432&gt;=6),"LOYAL CUSTOMER",AND(F3432&gt;=6,G3432&gt;=5,H3432&gt;=5),"POTENTIAL LOYALIST",AND(F3432&gt;=8,G3432&lt;=2,H3432&gt;=5),"NEW CUSTOMERS",AND(F3432&gt;=6,G3432&lt;=2,H3432&gt;=3),"PROMISING",AND(F3432&gt;=3,G3432&gt;=3,H3432&gt;=3),"NEED ATTENTION",AND(F3432&lt;=4,G3432&gt;=6,H3432&gt;=6),"AT RISK",AND(F3432&lt;=2,G3432&gt;=8,H3432&gt;=8),"CAN'T LOSE THEM",AND(F3432&lt;=2,G3432&lt;=2,H3432&lt;=2),"HIBERNATING",TRUE(),"Other")</f>
        <v>Other</v>
      </c>
      <c r="K3432" s="1" t="n">
        <f aca="false">RANK(E3432,$E$7:$E$4378)+COUNTIF($E$7:E3432,E3432)-1</f>
        <v>2871</v>
      </c>
    </row>
    <row r="3433" customFormat="false" ht="14.25" hidden="false" customHeight="true" outlineLevel="0" collapsed="false">
      <c r="A3433" s="51" t="n">
        <v>16983</v>
      </c>
      <c r="B3433" s="53" t="n">
        <v>40874.5069444445</v>
      </c>
      <c r="C3433" s="57" t="n">
        <f aca="false">INT($C$2)-INT(Table3[[#This Row],[Last Purchase Date]])</f>
        <v>13</v>
      </c>
      <c r="D3433" s="1" t="n">
        <v>8</v>
      </c>
      <c r="E3433" s="1" t="n">
        <v>1920.2</v>
      </c>
      <c r="F3433" s="1" t="n">
        <f aca="false">ROUND((1-_xlfn.PERCENTRANK.INC($C$7:$C$4378,C3433))*9,0)</f>
        <v>7</v>
      </c>
      <c r="G3433" s="1" t="n">
        <f aca="false">ROUND(_xlfn.PERCENTRANK.INC($D$7:$D$4378,D3433)*9,0)</f>
        <v>7</v>
      </c>
      <c r="H3433" s="1" t="n">
        <f aca="false">ROUND(_xlfn.PERCENTRANK.INC($E$7:$E$4378,E3433)*9,0)</f>
        <v>7</v>
      </c>
      <c r="I3433" s="1" t="str">
        <f aca="false">CONCATENATE(F3433,G3433,H3433)</f>
        <v>777</v>
      </c>
      <c r="J3433" s="1" t="str">
        <f aca="false">_xlfn.IFS(AND(F3433&gt;=8,G3433&gt;=8,H3433&gt;=8),"CHAMPION",AND(F3433&gt;=6,G3433&gt;=7,H3433&gt;=6),"LOYAL CUSTOMER",AND(F3433&gt;=6,G3433&gt;=5,H3433&gt;=5),"POTENTIAL LOYALIST",AND(F3433&gt;=8,G3433&lt;=2,H3433&gt;=5),"NEW CUSTOMERS",AND(F3433&gt;=6,G3433&lt;=2,H3433&gt;=3),"PROMISING",AND(F3433&gt;=3,G3433&gt;=3,H3433&gt;=3),"NEED ATTENTION",AND(F3433&lt;=4,G3433&gt;=6,H3433&gt;=6),"AT RISK",AND(F3433&lt;=2,G3433&gt;=8,H3433&gt;=8),"CAN'T LOSE THEM",AND(F3433&lt;=2,G3433&lt;=2,H3433&lt;=2),"HIBERNATING",TRUE(),"Other")</f>
        <v>LOYAL CUSTOMER</v>
      </c>
      <c r="K3433" s="1" t="n">
        <f aca="false">RANK(E3433,$E$7:$E$4378)+COUNTIF($E$7:E3433,E3433)-1</f>
        <v>908</v>
      </c>
    </row>
    <row r="3434" customFormat="false" ht="14.25" hidden="false" customHeight="true" outlineLevel="0" collapsed="false">
      <c r="A3434" s="51" t="n">
        <v>16984</v>
      </c>
      <c r="B3434" s="53" t="n">
        <v>40808.7645833333</v>
      </c>
      <c r="C3434" s="57" t="n">
        <f aca="false">INT($C$2)-INT(Table3[[#This Row],[Last Purchase Date]])</f>
        <v>79</v>
      </c>
      <c r="D3434" s="1" t="n">
        <v>5</v>
      </c>
      <c r="E3434" s="1" t="n">
        <v>4392.42</v>
      </c>
      <c r="F3434" s="1" t="n">
        <f aca="false">ROUND((1-_xlfn.PERCENTRANK.INC($C$7:$C$4378,C3434))*9,0)</f>
        <v>3</v>
      </c>
      <c r="G3434" s="1" t="n">
        <f aca="false">ROUND(_xlfn.PERCENTRANK.INC($D$7:$D$4378,D3434)*9,0)</f>
        <v>6</v>
      </c>
      <c r="H3434" s="1" t="n">
        <f aca="false">ROUND(_xlfn.PERCENTRANK.INC($E$7:$E$4378,E3434)*9,0)</f>
        <v>8</v>
      </c>
      <c r="I3434" s="1" t="str">
        <f aca="false">CONCATENATE(F3434,G3434,H3434)</f>
        <v>368</v>
      </c>
      <c r="J3434" s="1" t="str">
        <f aca="false">_xlfn.IFS(AND(F3434&gt;=8,G3434&gt;=8,H3434&gt;=8),"CHAMPION",AND(F3434&gt;=6,G3434&gt;=7,H3434&gt;=6),"LOYAL CUSTOMER",AND(F3434&gt;=6,G3434&gt;=5,H3434&gt;=5),"POTENTIAL LOYALIST",AND(F3434&gt;=8,G3434&lt;=2,H3434&gt;=5),"NEW CUSTOMERS",AND(F3434&gt;=6,G3434&lt;=2,H3434&gt;=3),"PROMISING",AND(F3434&gt;=3,G3434&gt;=3,H3434&gt;=3),"NEED ATTENTION",AND(F3434&lt;=4,G3434&gt;=6,H3434&gt;=6),"AT RISK",AND(F3434&lt;=2,G3434&gt;=8,H3434&gt;=8),"CAN'T LOSE THEM",AND(F3434&lt;=2,G3434&lt;=2,H3434&lt;=2),"HIBERNATING",TRUE(),"Other")</f>
        <v>NEED ATTENTION</v>
      </c>
      <c r="K3434" s="1" t="n">
        <f aca="false">RANK(E3434,$E$7:$E$4378)+COUNTIF($E$7:E3434,E3434)-1</f>
        <v>311</v>
      </c>
    </row>
    <row r="3435" customFormat="false" ht="14.25" hidden="false" customHeight="true" outlineLevel="0" collapsed="false">
      <c r="A3435" s="51" t="n">
        <v>16985</v>
      </c>
      <c r="B3435" s="53" t="n">
        <v>40869.5645833333</v>
      </c>
      <c r="C3435" s="57" t="n">
        <f aca="false">INT($C$2)-INT(Table3[[#This Row],[Last Purchase Date]])</f>
        <v>18</v>
      </c>
      <c r="D3435" s="1" t="n">
        <v>11</v>
      </c>
      <c r="E3435" s="1" t="n">
        <v>5461.62</v>
      </c>
      <c r="F3435" s="1" t="n">
        <f aca="false">ROUND((1-_xlfn.PERCENTRANK.INC($C$7:$C$4378,C3435))*9,0)</f>
        <v>7</v>
      </c>
      <c r="G3435" s="1" t="n">
        <f aca="false">ROUND(_xlfn.PERCENTRANK.INC($D$7:$D$4378,D3435)*9,0)</f>
        <v>8</v>
      </c>
      <c r="H3435" s="1" t="n">
        <f aca="false">ROUND(_xlfn.PERCENTRANK.INC($E$7:$E$4378,E3435)*9,0)</f>
        <v>9</v>
      </c>
      <c r="I3435" s="1" t="str">
        <f aca="false">CONCATENATE(F3435,G3435,H3435)</f>
        <v>789</v>
      </c>
      <c r="J3435" s="1" t="str">
        <f aca="false">_xlfn.IFS(AND(F3435&gt;=8,G3435&gt;=8,H3435&gt;=8),"CHAMPION",AND(F3435&gt;=6,G3435&gt;=7,H3435&gt;=6),"LOYAL CUSTOMER",AND(F3435&gt;=6,G3435&gt;=5,H3435&gt;=5),"POTENTIAL LOYALIST",AND(F3435&gt;=8,G3435&lt;=2,H3435&gt;=5),"NEW CUSTOMERS",AND(F3435&gt;=6,G3435&lt;=2,H3435&gt;=3),"PROMISING",AND(F3435&gt;=3,G3435&gt;=3,H3435&gt;=3),"NEED ATTENTION",AND(F3435&lt;=4,G3435&gt;=6,H3435&gt;=6),"AT RISK",AND(F3435&lt;=2,G3435&gt;=8,H3435&gt;=8),"CAN'T LOSE THEM",AND(F3435&lt;=2,G3435&lt;=2,H3435&lt;=2),"HIBERNATING",TRUE(),"Other")</f>
        <v>LOYAL CUSTOMER</v>
      </c>
      <c r="K3435" s="1" t="n">
        <f aca="false">RANK(E3435,$E$7:$E$4378)+COUNTIF($E$7:E3435,E3435)-1</f>
        <v>230</v>
      </c>
    </row>
    <row r="3436" customFormat="false" ht="14.25" hidden="false" customHeight="true" outlineLevel="0" collapsed="false">
      <c r="A3436" s="51" t="n">
        <v>16986</v>
      </c>
      <c r="B3436" s="53" t="n">
        <v>40857.4965277778</v>
      </c>
      <c r="C3436" s="57" t="n">
        <f aca="false">INT($C$2)-INT(Table3[[#This Row],[Last Purchase Date]])</f>
        <v>30</v>
      </c>
      <c r="D3436" s="1" t="n">
        <v>2</v>
      </c>
      <c r="E3436" s="1" t="n">
        <v>1873.2</v>
      </c>
      <c r="F3436" s="1" t="n">
        <f aca="false">ROUND((1-_xlfn.PERCENTRANK.INC($C$7:$C$4378,C3436))*9,0)</f>
        <v>6</v>
      </c>
      <c r="G3436" s="1" t="n">
        <f aca="false">ROUND(_xlfn.PERCENTRANK.INC($D$7:$D$4378,D3436)*9,0)</f>
        <v>3</v>
      </c>
      <c r="H3436" s="1" t="n">
        <f aca="false">ROUND(_xlfn.PERCENTRANK.INC($E$7:$E$4378,E3436)*9,0)</f>
        <v>7</v>
      </c>
      <c r="I3436" s="1" t="str">
        <f aca="false">CONCATENATE(F3436,G3436,H3436)</f>
        <v>637</v>
      </c>
      <c r="J3436" s="1" t="str">
        <f aca="false">_xlfn.IFS(AND(F3436&gt;=8,G3436&gt;=8,H3436&gt;=8),"CHAMPION",AND(F3436&gt;=6,G3436&gt;=7,H3436&gt;=6),"LOYAL CUSTOMER",AND(F3436&gt;=6,G3436&gt;=5,H3436&gt;=5),"POTENTIAL LOYALIST",AND(F3436&gt;=8,G3436&lt;=2,H3436&gt;=5),"NEW CUSTOMERS",AND(F3436&gt;=6,G3436&lt;=2,H3436&gt;=3),"PROMISING",AND(F3436&gt;=3,G3436&gt;=3,H3436&gt;=3),"NEED ATTENTION",AND(F3436&lt;=4,G3436&gt;=6,H3436&gt;=6),"AT RISK",AND(F3436&lt;=2,G3436&gt;=8,H3436&gt;=8),"CAN'T LOSE THEM",AND(F3436&lt;=2,G3436&lt;=2,H3436&lt;=2),"HIBERNATING",TRUE(),"Other")</f>
        <v>NEED ATTENTION</v>
      </c>
      <c r="K3436" s="1" t="n">
        <f aca="false">RANK(E3436,$E$7:$E$4378)+COUNTIF($E$7:E3436,E3436)-1</f>
        <v>933</v>
      </c>
    </row>
    <row r="3437" customFormat="false" ht="14.25" hidden="false" customHeight="true" outlineLevel="0" collapsed="false">
      <c r="A3437" s="51" t="n">
        <v>16987</v>
      </c>
      <c r="B3437" s="53" t="n">
        <v>40883.7263888889</v>
      </c>
      <c r="C3437" s="57" t="n">
        <f aca="false">INT($C$2)-INT(Table3[[#This Row],[Last Purchase Date]])</f>
        <v>4</v>
      </c>
      <c r="D3437" s="1" t="n">
        <v>7</v>
      </c>
      <c r="E3437" s="1" t="n">
        <v>1625.05</v>
      </c>
      <c r="F3437" s="1" t="n">
        <f aca="false">ROUND((1-_xlfn.PERCENTRANK.INC($C$7:$C$4378,C3437))*9,0)</f>
        <v>8</v>
      </c>
      <c r="G3437" s="1" t="n">
        <f aca="false">ROUND(_xlfn.PERCENTRANK.INC($D$7:$D$4378,D3437)*9,0)</f>
        <v>7</v>
      </c>
      <c r="H3437" s="1" t="n">
        <f aca="false">ROUND(_xlfn.PERCENTRANK.INC($E$7:$E$4378,E3437)*9,0)</f>
        <v>7</v>
      </c>
      <c r="I3437" s="1" t="str">
        <f aca="false">CONCATENATE(F3437,G3437,H3437)</f>
        <v>877</v>
      </c>
      <c r="J3437" s="1" t="str">
        <f aca="false">_xlfn.IFS(AND(F3437&gt;=8,G3437&gt;=8,H3437&gt;=8),"CHAMPION",AND(F3437&gt;=6,G3437&gt;=7,H3437&gt;=6),"LOYAL CUSTOMER",AND(F3437&gt;=6,G3437&gt;=5,H3437&gt;=5),"POTENTIAL LOYALIST",AND(F3437&gt;=8,G3437&lt;=2,H3437&gt;=5),"NEW CUSTOMERS",AND(F3437&gt;=6,G3437&lt;=2,H3437&gt;=3),"PROMISING",AND(F3437&gt;=3,G3437&gt;=3,H3437&gt;=3),"NEED ATTENTION",AND(F3437&lt;=4,G3437&gt;=6,H3437&gt;=6),"AT RISK",AND(F3437&lt;=2,G3437&gt;=8,H3437&gt;=8),"CAN'T LOSE THEM",AND(F3437&lt;=2,G3437&lt;=2,H3437&lt;=2),"HIBERNATING",TRUE(),"Other")</f>
        <v>LOYAL CUSTOMER</v>
      </c>
      <c r="K3437" s="1" t="n">
        <f aca="false">RANK(E3437,$E$7:$E$4378)+COUNTIF($E$7:E3437,E3437)-1</f>
        <v>1082</v>
      </c>
    </row>
    <row r="3438" customFormat="false" ht="14.25" hidden="false" customHeight="true" outlineLevel="0" collapsed="false">
      <c r="A3438" s="51" t="n">
        <v>16988</v>
      </c>
      <c r="B3438" s="53" t="n">
        <v>40881.6680555556</v>
      </c>
      <c r="C3438" s="57" t="n">
        <f aca="false">INT($C$2)-INT(Table3[[#This Row],[Last Purchase Date]])</f>
        <v>6</v>
      </c>
      <c r="D3438" s="1" t="n">
        <v>1</v>
      </c>
      <c r="E3438" s="1" t="n">
        <v>126.12</v>
      </c>
      <c r="F3438" s="1" t="n">
        <f aca="false">ROUND((1-_xlfn.PERCENTRANK.INC($C$7:$C$4378,C3438))*9,0)</f>
        <v>8</v>
      </c>
      <c r="G3438" s="1" t="n">
        <f aca="false">ROUND(_xlfn.PERCENTRANK.INC($D$7:$D$4378,D3438)*9,0)</f>
        <v>0</v>
      </c>
      <c r="H3438" s="1" t="n">
        <f aca="false">ROUND(_xlfn.PERCENTRANK.INC($E$7:$E$4378,E3438)*9,0)</f>
        <v>1</v>
      </c>
      <c r="I3438" s="1" t="str">
        <f aca="false">CONCATENATE(F3438,G3438,H3438)</f>
        <v>801</v>
      </c>
      <c r="J3438" s="1" t="str">
        <f aca="false">_xlfn.IFS(AND(F3438&gt;=8,G3438&gt;=8,H3438&gt;=8),"CHAMPION",AND(F3438&gt;=6,G3438&gt;=7,H3438&gt;=6),"LOYAL CUSTOMER",AND(F3438&gt;=6,G3438&gt;=5,H3438&gt;=5),"POTENTIAL LOYALIST",AND(F3438&gt;=8,G3438&lt;=2,H3438&gt;=5),"NEW CUSTOMERS",AND(F3438&gt;=6,G3438&lt;=2,H3438&gt;=3),"PROMISING",AND(F3438&gt;=3,G3438&gt;=3,H3438&gt;=3),"NEED ATTENTION",AND(F3438&lt;=4,G3438&gt;=6,H3438&gt;=6),"AT RISK",AND(F3438&lt;=2,G3438&gt;=8,H3438&gt;=8),"CAN'T LOSE THEM",AND(F3438&lt;=2,G3438&lt;=2,H3438&lt;=2),"HIBERNATING",TRUE(),"Other")</f>
        <v>Other</v>
      </c>
      <c r="K3438" s="1" t="n">
        <f aca="false">RANK(E3438,$E$7:$E$4378)+COUNTIF($E$7:E3438,E3438)-1</f>
        <v>4021</v>
      </c>
    </row>
    <row r="3439" customFormat="false" ht="14.25" hidden="false" customHeight="true" outlineLevel="0" collapsed="false">
      <c r="A3439" s="51" t="n">
        <v>16989</v>
      </c>
      <c r="B3439" s="53" t="n">
        <v>40879.69375</v>
      </c>
      <c r="C3439" s="57" t="n">
        <f aca="false">INT($C$2)-INT(Table3[[#This Row],[Last Purchase Date]])</f>
        <v>8</v>
      </c>
      <c r="D3439" s="1" t="n">
        <v>6</v>
      </c>
      <c r="E3439" s="1" t="n">
        <v>1133.25</v>
      </c>
      <c r="F3439" s="1" t="n">
        <f aca="false">ROUND((1-_xlfn.PERCENTRANK.INC($C$7:$C$4378,C3439))*9,0)</f>
        <v>8</v>
      </c>
      <c r="G3439" s="1" t="n">
        <f aca="false">ROUND(_xlfn.PERCENTRANK.INC($D$7:$D$4378,D3439)*9,0)</f>
        <v>7</v>
      </c>
      <c r="H3439" s="1" t="n">
        <f aca="false">ROUND(_xlfn.PERCENTRANK.INC($E$7:$E$4378,E3439)*9,0)</f>
        <v>6</v>
      </c>
      <c r="I3439" s="1" t="str">
        <f aca="false">CONCATENATE(F3439,G3439,H3439)</f>
        <v>876</v>
      </c>
      <c r="J3439" s="1" t="str">
        <f aca="false">_xlfn.IFS(AND(F3439&gt;=8,G3439&gt;=8,H3439&gt;=8),"CHAMPION",AND(F3439&gt;=6,G3439&gt;=7,H3439&gt;=6),"LOYAL CUSTOMER",AND(F3439&gt;=6,G3439&gt;=5,H3439&gt;=5),"POTENTIAL LOYALIST",AND(F3439&gt;=8,G3439&lt;=2,H3439&gt;=5),"NEW CUSTOMERS",AND(F3439&gt;=6,G3439&lt;=2,H3439&gt;=3),"PROMISING",AND(F3439&gt;=3,G3439&gt;=3,H3439&gt;=3),"NEED ATTENTION",AND(F3439&lt;=4,G3439&gt;=6,H3439&gt;=6),"AT RISK",AND(F3439&lt;=2,G3439&gt;=8,H3439&gt;=8),"CAN'T LOSE THEM",AND(F3439&lt;=2,G3439&lt;=2,H3439&lt;=2),"HIBERNATING",TRUE(),"Other")</f>
        <v>LOYAL CUSTOMER</v>
      </c>
      <c r="K3439" s="1" t="n">
        <f aca="false">RANK(E3439,$E$7:$E$4378)+COUNTIF($E$7:E3439,E3439)-1</f>
        <v>1469</v>
      </c>
    </row>
    <row r="3440" customFormat="false" ht="14.25" hidden="false" customHeight="true" outlineLevel="0" collapsed="false">
      <c r="A3440" s="51" t="n">
        <v>16990</v>
      </c>
      <c r="B3440" s="53" t="n">
        <v>40668.3541666667</v>
      </c>
      <c r="C3440" s="57" t="n">
        <f aca="false">INT($C$2)-INT(Table3[[#This Row],[Last Purchase Date]])</f>
        <v>219</v>
      </c>
      <c r="D3440" s="1" t="n">
        <v>1</v>
      </c>
      <c r="E3440" s="1" t="n">
        <v>179</v>
      </c>
      <c r="F3440" s="1" t="n">
        <f aca="false">ROUND((1-_xlfn.PERCENTRANK.INC($C$7:$C$4378,C3440))*9,0)</f>
        <v>1</v>
      </c>
      <c r="G3440" s="1" t="n">
        <f aca="false">ROUND(_xlfn.PERCENTRANK.INC($D$7:$D$4378,D3440)*9,0)</f>
        <v>0</v>
      </c>
      <c r="H3440" s="1" t="n">
        <f aca="false">ROUND(_xlfn.PERCENTRANK.INC($E$7:$E$4378,E3440)*9,0)</f>
        <v>1</v>
      </c>
      <c r="I3440" s="1" t="str">
        <f aca="false">CONCATENATE(F3440,G3440,H3440)</f>
        <v>101</v>
      </c>
      <c r="J3440" s="1" t="str">
        <f aca="false">_xlfn.IFS(AND(F3440&gt;=8,G3440&gt;=8,H3440&gt;=8),"CHAMPION",AND(F3440&gt;=6,G3440&gt;=7,H3440&gt;=6),"LOYAL CUSTOMER",AND(F3440&gt;=6,G3440&gt;=5,H3440&gt;=5),"POTENTIAL LOYALIST",AND(F3440&gt;=8,G3440&lt;=2,H3440&gt;=5),"NEW CUSTOMERS",AND(F3440&gt;=6,G3440&lt;=2,H3440&gt;=3),"PROMISING",AND(F3440&gt;=3,G3440&gt;=3,H3440&gt;=3),"NEED ATTENTION",AND(F3440&lt;=4,G3440&gt;=6,H3440&gt;=6),"AT RISK",AND(F3440&lt;=2,G3440&gt;=8,H3440&gt;=8),"CAN'T LOSE THEM",AND(F3440&lt;=2,G3440&lt;=2,H3440&lt;=2),"HIBERNATING",TRUE(),"Other")</f>
        <v>HIBERNATING</v>
      </c>
      <c r="K3440" s="1" t="n">
        <f aca="false">RANK(E3440,$E$7:$E$4378)+COUNTIF($E$7:E3440,E3440)-1</f>
        <v>3757</v>
      </c>
    </row>
    <row r="3441" customFormat="false" ht="14.25" hidden="false" customHeight="true" outlineLevel="0" collapsed="false">
      <c r="A3441" s="51" t="n">
        <v>16992</v>
      </c>
      <c r="B3441" s="53" t="n">
        <v>40876.4930555556</v>
      </c>
      <c r="C3441" s="57" t="n">
        <f aca="false">INT($C$2)-INT(Table3[[#This Row],[Last Purchase Date]])</f>
        <v>11</v>
      </c>
      <c r="D3441" s="1" t="n">
        <v>6</v>
      </c>
      <c r="E3441" s="1" t="n">
        <v>1601.86</v>
      </c>
      <c r="F3441" s="1" t="n">
        <f aca="false">ROUND((1-_xlfn.PERCENTRANK.INC($C$7:$C$4378,C3441))*9,0)</f>
        <v>7</v>
      </c>
      <c r="G3441" s="1" t="n">
        <f aca="false">ROUND(_xlfn.PERCENTRANK.INC($D$7:$D$4378,D3441)*9,0)</f>
        <v>7</v>
      </c>
      <c r="H3441" s="1" t="n">
        <f aca="false">ROUND(_xlfn.PERCENTRANK.INC($E$7:$E$4378,E3441)*9,0)</f>
        <v>7</v>
      </c>
      <c r="I3441" s="1" t="str">
        <f aca="false">CONCATENATE(F3441,G3441,H3441)</f>
        <v>777</v>
      </c>
      <c r="J3441" s="1" t="str">
        <f aca="false">_xlfn.IFS(AND(F3441&gt;=8,G3441&gt;=8,H3441&gt;=8),"CHAMPION",AND(F3441&gt;=6,G3441&gt;=7,H3441&gt;=6),"LOYAL CUSTOMER",AND(F3441&gt;=6,G3441&gt;=5,H3441&gt;=5),"POTENTIAL LOYALIST",AND(F3441&gt;=8,G3441&lt;=2,H3441&gt;=5),"NEW CUSTOMERS",AND(F3441&gt;=6,G3441&lt;=2,H3441&gt;=3),"PROMISING",AND(F3441&gt;=3,G3441&gt;=3,H3441&gt;=3),"NEED ATTENTION",AND(F3441&lt;=4,G3441&gt;=6,H3441&gt;=6),"AT RISK",AND(F3441&lt;=2,G3441&gt;=8,H3441&gt;=8),"CAN'T LOSE THEM",AND(F3441&lt;=2,G3441&lt;=2,H3441&lt;=2),"HIBERNATING",TRUE(),"Other")</f>
        <v>LOYAL CUSTOMER</v>
      </c>
      <c r="K3441" s="1" t="n">
        <f aca="false">RANK(E3441,$E$7:$E$4378)+COUNTIF($E$7:E3441,E3441)-1</f>
        <v>1103</v>
      </c>
    </row>
    <row r="3442" customFormat="false" ht="14.25" hidden="false" customHeight="true" outlineLevel="0" collapsed="false">
      <c r="A3442" s="51" t="n">
        <v>16995</v>
      </c>
      <c r="B3442" s="53" t="n">
        <v>40514.7145833333</v>
      </c>
      <c r="C3442" s="57" t="n">
        <f aca="false">INT($C$2)-INT(Table3[[#This Row],[Last Purchase Date]])</f>
        <v>373</v>
      </c>
      <c r="D3442" s="1" t="n">
        <v>1</v>
      </c>
      <c r="E3442" s="1" t="n">
        <v>-1.25</v>
      </c>
      <c r="F3442" s="1" t="n">
        <f aca="false">ROUND((1-_xlfn.PERCENTRANK.INC($C$7:$C$4378,C3442))*9,0)</f>
        <v>0</v>
      </c>
      <c r="G3442" s="1" t="n">
        <f aca="false">ROUND(_xlfn.PERCENTRANK.INC($D$7:$D$4378,D3442)*9,0)</f>
        <v>0</v>
      </c>
      <c r="H3442" s="1" t="n">
        <f aca="false">ROUND(_xlfn.PERCENTRANK.INC($E$7:$E$4378,E3442)*9,0)</f>
        <v>0</v>
      </c>
      <c r="I3442" s="1" t="str">
        <f aca="false">CONCATENATE(F3442,G3442,H3442)</f>
        <v>000</v>
      </c>
      <c r="J3442" s="1" t="str">
        <f aca="false">_xlfn.IFS(AND(F3442&gt;=8,G3442&gt;=8,H3442&gt;=8),"CHAMPION",AND(F3442&gt;=6,G3442&gt;=7,H3442&gt;=6),"LOYAL CUSTOMER",AND(F3442&gt;=6,G3442&gt;=5,H3442&gt;=5),"POTENTIAL LOYALIST",AND(F3442&gt;=8,G3442&lt;=2,H3442&gt;=5),"NEW CUSTOMERS",AND(F3442&gt;=6,G3442&lt;=2,H3442&gt;=3),"PROMISING",AND(F3442&gt;=3,G3442&gt;=3,H3442&gt;=3),"NEED ATTENTION",AND(F3442&lt;=4,G3442&gt;=6,H3442&gt;=6),"AT RISK",AND(F3442&lt;=2,G3442&gt;=8,H3442&gt;=8),"CAN'T LOSE THEM",AND(F3442&lt;=2,G3442&lt;=2,H3442&lt;=2),"HIBERNATING",TRUE(),"Other")</f>
        <v>HIBERNATING</v>
      </c>
      <c r="K3442" s="1" t="n">
        <f aca="false">RANK(E3442,$E$7:$E$4378)+COUNTIF($E$7:E3442,E3442)-1</f>
        <v>4332</v>
      </c>
    </row>
    <row r="3443" customFormat="false" ht="14.25" hidden="false" customHeight="true" outlineLevel="0" collapsed="false">
      <c r="A3443" s="51" t="n">
        <v>16996</v>
      </c>
      <c r="B3443" s="53" t="n">
        <v>40856.6965277778</v>
      </c>
      <c r="C3443" s="57" t="n">
        <f aca="false">INT($C$2)-INT(Table3[[#This Row],[Last Purchase Date]])</f>
        <v>31</v>
      </c>
      <c r="D3443" s="1" t="n">
        <v>9</v>
      </c>
      <c r="E3443" s="1" t="n">
        <v>1427.46</v>
      </c>
      <c r="F3443" s="1" t="n">
        <f aca="false">ROUND((1-_xlfn.PERCENTRANK.INC($C$7:$C$4378,C3443))*9,0)</f>
        <v>6</v>
      </c>
      <c r="G3443" s="1" t="n">
        <f aca="false">ROUND(_xlfn.PERCENTRANK.INC($D$7:$D$4378,D3443)*9,0)</f>
        <v>8</v>
      </c>
      <c r="H3443" s="1" t="n">
        <f aca="false">ROUND(_xlfn.PERCENTRANK.INC($E$7:$E$4378,E3443)*9,0)</f>
        <v>6</v>
      </c>
      <c r="I3443" s="1" t="str">
        <f aca="false">CONCATENATE(F3443,G3443,H3443)</f>
        <v>686</v>
      </c>
      <c r="J3443" s="1" t="str">
        <f aca="false">_xlfn.IFS(AND(F3443&gt;=8,G3443&gt;=8,H3443&gt;=8),"CHAMPION",AND(F3443&gt;=6,G3443&gt;=7,H3443&gt;=6),"LOYAL CUSTOMER",AND(F3443&gt;=6,G3443&gt;=5,H3443&gt;=5),"POTENTIAL LOYALIST",AND(F3443&gt;=8,G3443&lt;=2,H3443&gt;=5),"NEW CUSTOMERS",AND(F3443&gt;=6,G3443&lt;=2,H3443&gt;=3),"PROMISING",AND(F3443&gt;=3,G3443&gt;=3,H3443&gt;=3),"NEED ATTENTION",AND(F3443&lt;=4,G3443&gt;=6,H3443&gt;=6),"AT RISK",AND(F3443&lt;=2,G3443&gt;=8,H3443&gt;=8),"CAN'T LOSE THEM",AND(F3443&lt;=2,G3443&lt;=2,H3443&lt;=2),"HIBERNATING",TRUE(),"Other")</f>
        <v>LOYAL CUSTOMER</v>
      </c>
      <c r="K3443" s="1" t="n">
        <f aca="false">RANK(E3443,$E$7:$E$4378)+COUNTIF($E$7:E3443,E3443)-1</f>
        <v>1215</v>
      </c>
    </row>
    <row r="3444" customFormat="false" ht="14.25" hidden="false" customHeight="true" outlineLevel="0" collapsed="false">
      <c r="A3444" s="51" t="n">
        <v>16997</v>
      </c>
      <c r="B3444" s="53" t="n">
        <v>40598.7277777778</v>
      </c>
      <c r="C3444" s="57" t="n">
        <f aca="false">INT($C$2)-INT(Table3[[#This Row],[Last Purchase Date]])</f>
        <v>289</v>
      </c>
      <c r="D3444" s="1" t="n">
        <v>3</v>
      </c>
      <c r="E3444" s="1" t="n">
        <v>702</v>
      </c>
      <c r="F3444" s="1" t="n">
        <f aca="false">ROUND((1-_xlfn.PERCENTRANK.INC($C$7:$C$4378,C3444))*9,0)</f>
        <v>1</v>
      </c>
      <c r="G3444" s="1" t="n">
        <f aca="false">ROUND(_xlfn.PERCENTRANK.INC($D$7:$D$4378,D3444)*9,0)</f>
        <v>4</v>
      </c>
      <c r="H3444" s="1" t="n">
        <f aca="false">ROUND(_xlfn.PERCENTRANK.INC($E$7:$E$4378,E3444)*9,0)</f>
        <v>5</v>
      </c>
      <c r="I3444" s="1" t="str">
        <f aca="false">CONCATENATE(F3444,G3444,H3444)</f>
        <v>145</v>
      </c>
      <c r="J3444" s="1" t="str">
        <f aca="false">_xlfn.IFS(AND(F3444&gt;=8,G3444&gt;=8,H3444&gt;=8),"CHAMPION",AND(F3444&gt;=6,G3444&gt;=7,H3444&gt;=6),"LOYAL CUSTOMER",AND(F3444&gt;=6,G3444&gt;=5,H3444&gt;=5),"POTENTIAL LOYALIST",AND(F3444&gt;=8,G3444&lt;=2,H3444&gt;=5),"NEW CUSTOMERS",AND(F3444&gt;=6,G3444&lt;=2,H3444&gt;=3),"PROMISING",AND(F3444&gt;=3,G3444&gt;=3,H3444&gt;=3),"NEED ATTENTION",AND(F3444&lt;=4,G3444&gt;=6,H3444&gt;=6),"AT RISK",AND(F3444&lt;=2,G3444&gt;=8,H3444&gt;=8),"CAN'T LOSE THEM",AND(F3444&lt;=2,G3444&lt;=2,H3444&lt;=2),"HIBERNATING",TRUE(),"Other")</f>
        <v>Other</v>
      </c>
      <c r="K3444" s="1" t="n">
        <f aca="false">RANK(E3444,$E$7:$E$4378)+COUNTIF($E$7:E3444,E3444)-1</f>
        <v>2064</v>
      </c>
    </row>
    <row r="3445" customFormat="false" ht="14.25" hidden="false" customHeight="true" outlineLevel="0" collapsed="false">
      <c r="A3445" s="51" t="n">
        <v>16998</v>
      </c>
      <c r="B3445" s="53" t="n">
        <v>40737.4090277778</v>
      </c>
      <c r="C3445" s="57" t="n">
        <f aca="false">INT($C$2)-INT(Table3[[#This Row],[Last Purchase Date]])</f>
        <v>150</v>
      </c>
      <c r="D3445" s="1" t="n">
        <v>6</v>
      </c>
      <c r="E3445" s="1" t="n">
        <v>287.02</v>
      </c>
      <c r="F3445" s="1" t="n">
        <f aca="false">ROUND((1-_xlfn.PERCENTRANK.INC($C$7:$C$4378,C3445))*9,0)</f>
        <v>2</v>
      </c>
      <c r="G3445" s="1" t="n">
        <f aca="false">ROUND(_xlfn.PERCENTRANK.INC($D$7:$D$4378,D3445)*9,0)</f>
        <v>7</v>
      </c>
      <c r="H3445" s="1" t="n">
        <f aca="false">ROUND(_xlfn.PERCENTRANK.INC($E$7:$E$4378,E3445)*9,0)</f>
        <v>2</v>
      </c>
      <c r="I3445" s="1" t="str">
        <f aca="false">CONCATENATE(F3445,G3445,H3445)</f>
        <v>272</v>
      </c>
      <c r="J3445" s="1" t="str">
        <f aca="false">_xlfn.IFS(AND(F3445&gt;=8,G3445&gt;=8,H3445&gt;=8),"CHAMPION",AND(F3445&gt;=6,G3445&gt;=7,H3445&gt;=6),"LOYAL CUSTOMER",AND(F3445&gt;=6,G3445&gt;=5,H3445&gt;=5),"POTENTIAL LOYALIST",AND(F3445&gt;=8,G3445&lt;=2,H3445&gt;=5),"NEW CUSTOMERS",AND(F3445&gt;=6,G3445&lt;=2,H3445&gt;=3),"PROMISING",AND(F3445&gt;=3,G3445&gt;=3,H3445&gt;=3),"NEED ATTENTION",AND(F3445&lt;=4,G3445&gt;=6,H3445&gt;=6),"AT RISK",AND(F3445&lt;=2,G3445&gt;=8,H3445&gt;=8),"CAN'T LOSE THEM",AND(F3445&lt;=2,G3445&lt;=2,H3445&lt;=2),"HIBERNATING",TRUE(),"Other")</f>
        <v>Other</v>
      </c>
      <c r="K3445" s="1" t="n">
        <f aca="false">RANK(E3445,$E$7:$E$4378)+COUNTIF($E$7:E3445,E3445)-1</f>
        <v>3308</v>
      </c>
    </row>
    <row r="3446" customFormat="false" ht="14.25" hidden="false" customHeight="true" outlineLevel="0" collapsed="false">
      <c r="A3446" s="51" t="n">
        <v>16999</v>
      </c>
      <c r="B3446" s="53" t="n">
        <v>40863.5784722222</v>
      </c>
      <c r="C3446" s="57" t="n">
        <f aca="false">INT($C$2)-INT(Table3[[#This Row],[Last Purchase Date]])</f>
        <v>24</v>
      </c>
      <c r="D3446" s="1" t="n">
        <v>2</v>
      </c>
      <c r="E3446" s="1" t="n">
        <v>484.82</v>
      </c>
      <c r="F3446" s="1" t="n">
        <f aca="false">ROUND((1-_xlfn.PERCENTRANK.INC($C$7:$C$4378,C3446))*9,0)</f>
        <v>6</v>
      </c>
      <c r="G3446" s="1" t="n">
        <f aca="false">ROUND(_xlfn.PERCENTRANK.INC($D$7:$D$4378,D3446)*9,0)</f>
        <v>3</v>
      </c>
      <c r="H3446" s="1" t="n">
        <f aca="false">ROUND(_xlfn.PERCENTRANK.INC($E$7:$E$4378,E3446)*9,0)</f>
        <v>4</v>
      </c>
      <c r="I3446" s="1" t="str">
        <f aca="false">CONCATENATE(F3446,G3446,H3446)</f>
        <v>634</v>
      </c>
      <c r="J3446" s="1" t="str">
        <f aca="false">_xlfn.IFS(AND(F3446&gt;=8,G3446&gt;=8,H3446&gt;=8),"CHAMPION",AND(F3446&gt;=6,G3446&gt;=7,H3446&gt;=6),"LOYAL CUSTOMER",AND(F3446&gt;=6,G3446&gt;=5,H3446&gt;=5),"POTENTIAL LOYALIST",AND(F3446&gt;=8,G3446&lt;=2,H3446&gt;=5),"NEW CUSTOMERS",AND(F3446&gt;=6,G3446&lt;=2,H3446&gt;=3),"PROMISING",AND(F3446&gt;=3,G3446&gt;=3,H3446&gt;=3),"NEED ATTENTION",AND(F3446&lt;=4,G3446&gt;=6,H3446&gt;=6),"AT RISK",AND(F3446&lt;=2,G3446&gt;=8,H3446&gt;=8),"CAN'T LOSE THEM",AND(F3446&lt;=2,G3446&lt;=2,H3446&lt;=2),"HIBERNATING",TRUE(),"Other")</f>
        <v>NEED ATTENTION</v>
      </c>
      <c r="K3446" s="1" t="n">
        <f aca="false">RANK(E3446,$E$7:$E$4378)+COUNTIF($E$7:E3446,E3446)-1</f>
        <v>2583</v>
      </c>
    </row>
    <row r="3447" customFormat="false" ht="14.25" hidden="false" customHeight="true" outlineLevel="0" collapsed="false">
      <c r="A3447" s="51" t="n">
        <v>17001</v>
      </c>
      <c r="B3447" s="53" t="n">
        <v>40886.4013888889</v>
      </c>
      <c r="C3447" s="57" t="n">
        <f aca="false">INT($C$2)-INT(Table3[[#This Row],[Last Purchase Date]])</f>
        <v>1</v>
      </c>
      <c r="D3447" s="1" t="n">
        <v>11</v>
      </c>
      <c r="E3447" s="1" t="n">
        <v>3989.57</v>
      </c>
      <c r="F3447" s="1" t="n">
        <f aca="false">ROUND((1-_xlfn.PERCENTRANK.INC($C$7:$C$4378,C3447))*9,0)</f>
        <v>9</v>
      </c>
      <c r="G3447" s="1" t="n">
        <f aca="false">ROUND(_xlfn.PERCENTRANK.INC($D$7:$D$4378,D3447)*9,0)</f>
        <v>8</v>
      </c>
      <c r="H3447" s="1" t="n">
        <f aca="false">ROUND(_xlfn.PERCENTRANK.INC($E$7:$E$4378,E3447)*9,0)</f>
        <v>8</v>
      </c>
      <c r="I3447" s="1" t="str">
        <f aca="false">CONCATENATE(F3447,G3447,H3447)</f>
        <v>988</v>
      </c>
      <c r="J3447" s="1" t="str">
        <f aca="false">_xlfn.IFS(AND(F3447&gt;=8,G3447&gt;=8,H3447&gt;=8),"CHAMPION",AND(F3447&gt;=6,G3447&gt;=7,H3447&gt;=6),"LOYAL CUSTOMER",AND(F3447&gt;=6,G3447&gt;=5,H3447&gt;=5),"POTENTIAL LOYALIST",AND(F3447&gt;=8,G3447&lt;=2,H3447&gt;=5),"NEW CUSTOMERS",AND(F3447&gt;=6,G3447&lt;=2,H3447&gt;=3),"PROMISING",AND(F3447&gt;=3,G3447&gt;=3,H3447&gt;=3),"NEED ATTENTION",AND(F3447&lt;=4,G3447&gt;=6,H3447&gt;=6),"AT RISK",AND(F3447&lt;=2,G3447&gt;=8,H3447&gt;=8),"CAN'T LOSE THEM",AND(F3447&lt;=2,G3447&lt;=2,H3447&lt;=2),"HIBERNATING",TRUE(),"Other")</f>
        <v>CHAMPION</v>
      </c>
      <c r="K3447" s="1" t="n">
        <f aca="false">RANK(E3447,$E$7:$E$4378)+COUNTIF($E$7:E3447,E3447)-1</f>
        <v>353</v>
      </c>
    </row>
    <row r="3448" customFormat="false" ht="14.25" hidden="false" customHeight="true" outlineLevel="0" collapsed="false">
      <c r="A3448" s="51" t="n">
        <v>17002</v>
      </c>
      <c r="B3448" s="53" t="n">
        <v>40813.7</v>
      </c>
      <c r="C3448" s="57" t="n">
        <f aca="false">INT($C$2)-INT(Table3[[#This Row],[Last Purchase Date]])</f>
        <v>74</v>
      </c>
      <c r="D3448" s="1" t="n">
        <v>4</v>
      </c>
      <c r="E3448" s="1" t="n">
        <v>1487.78</v>
      </c>
      <c r="F3448" s="1" t="n">
        <f aca="false">ROUND((1-_xlfn.PERCENTRANK.INC($C$7:$C$4378,C3448))*9,0)</f>
        <v>3</v>
      </c>
      <c r="G3448" s="1" t="n">
        <f aca="false">ROUND(_xlfn.PERCENTRANK.INC($D$7:$D$4378,D3448)*9,0)</f>
        <v>5</v>
      </c>
      <c r="H3448" s="1" t="n">
        <f aca="false">ROUND(_xlfn.PERCENTRANK.INC($E$7:$E$4378,E3448)*9,0)</f>
        <v>7</v>
      </c>
      <c r="I3448" s="1" t="str">
        <f aca="false">CONCATENATE(F3448,G3448,H3448)</f>
        <v>357</v>
      </c>
      <c r="J3448" s="1" t="str">
        <f aca="false">_xlfn.IFS(AND(F3448&gt;=8,G3448&gt;=8,H3448&gt;=8),"CHAMPION",AND(F3448&gt;=6,G3448&gt;=7,H3448&gt;=6),"LOYAL CUSTOMER",AND(F3448&gt;=6,G3448&gt;=5,H3448&gt;=5),"POTENTIAL LOYALIST",AND(F3448&gt;=8,G3448&lt;=2,H3448&gt;=5),"NEW CUSTOMERS",AND(F3448&gt;=6,G3448&lt;=2,H3448&gt;=3),"PROMISING",AND(F3448&gt;=3,G3448&gt;=3,H3448&gt;=3),"NEED ATTENTION",AND(F3448&lt;=4,G3448&gt;=6,H3448&gt;=6),"AT RISK",AND(F3448&lt;=2,G3448&gt;=8,H3448&gt;=8),"CAN'T LOSE THEM",AND(F3448&lt;=2,G3448&lt;=2,H3448&lt;=2),"HIBERNATING",TRUE(),"Other")</f>
        <v>NEED ATTENTION</v>
      </c>
      <c r="K3448" s="1" t="n">
        <f aca="false">RANK(E3448,$E$7:$E$4378)+COUNTIF($E$7:E3448,E3448)-1</f>
        <v>1173</v>
      </c>
    </row>
    <row r="3449" customFormat="false" ht="14.25" hidden="false" customHeight="true" outlineLevel="0" collapsed="false">
      <c r="A3449" s="51" t="n">
        <v>17004</v>
      </c>
      <c r="B3449" s="53" t="n">
        <v>40840.6006944445</v>
      </c>
      <c r="C3449" s="57" t="n">
        <f aca="false">INT($C$2)-INT(Table3[[#This Row],[Last Purchase Date]])</f>
        <v>47</v>
      </c>
      <c r="D3449" s="1" t="n">
        <v>2</v>
      </c>
      <c r="E3449" s="1" t="n">
        <v>1412.94</v>
      </c>
      <c r="F3449" s="1" t="n">
        <f aca="false">ROUND((1-_xlfn.PERCENTRANK.INC($C$7:$C$4378,C3449))*9,0)</f>
        <v>5</v>
      </c>
      <c r="G3449" s="1" t="n">
        <f aca="false">ROUND(_xlfn.PERCENTRANK.INC($D$7:$D$4378,D3449)*9,0)</f>
        <v>3</v>
      </c>
      <c r="H3449" s="1" t="n">
        <f aca="false">ROUND(_xlfn.PERCENTRANK.INC($E$7:$E$4378,E3449)*9,0)</f>
        <v>6</v>
      </c>
      <c r="I3449" s="1" t="str">
        <f aca="false">CONCATENATE(F3449,G3449,H3449)</f>
        <v>536</v>
      </c>
      <c r="J3449" s="1" t="str">
        <f aca="false">_xlfn.IFS(AND(F3449&gt;=8,G3449&gt;=8,H3449&gt;=8),"CHAMPION",AND(F3449&gt;=6,G3449&gt;=7,H3449&gt;=6),"LOYAL CUSTOMER",AND(F3449&gt;=6,G3449&gt;=5,H3449&gt;=5),"POTENTIAL LOYALIST",AND(F3449&gt;=8,G3449&lt;=2,H3449&gt;=5),"NEW CUSTOMERS",AND(F3449&gt;=6,G3449&lt;=2,H3449&gt;=3),"PROMISING",AND(F3449&gt;=3,G3449&gt;=3,H3449&gt;=3),"NEED ATTENTION",AND(F3449&lt;=4,G3449&gt;=6,H3449&gt;=6),"AT RISK",AND(F3449&lt;=2,G3449&gt;=8,H3449&gt;=8),"CAN'T LOSE THEM",AND(F3449&lt;=2,G3449&lt;=2,H3449&lt;=2),"HIBERNATING",TRUE(),"Other")</f>
        <v>NEED ATTENTION</v>
      </c>
      <c r="K3449" s="1" t="n">
        <f aca="false">RANK(E3449,$E$7:$E$4378)+COUNTIF($E$7:E3449,E3449)-1</f>
        <v>1228</v>
      </c>
    </row>
    <row r="3450" customFormat="false" ht="14.25" hidden="false" customHeight="true" outlineLevel="0" collapsed="false">
      <c r="A3450" s="51" t="n">
        <v>17006</v>
      </c>
      <c r="B3450" s="53" t="n">
        <v>40882.50625</v>
      </c>
      <c r="C3450" s="57" t="n">
        <f aca="false">INT($C$2)-INT(Table3[[#This Row],[Last Purchase Date]])</f>
        <v>5</v>
      </c>
      <c r="D3450" s="1" t="n">
        <v>4</v>
      </c>
      <c r="E3450" s="1" t="n">
        <v>781.78</v>
      </c>
      <c r="F3450" s="1" t="n">
        <f aca="false">ROUND((1-_xlfn.PERCENTRANK.INC($C$7:$C$4378,C3450))*9,0)</f>
        <v>8</v>
      </c>
      <c r="G3450" s="1" t="n">
        <f aca="false">ROUND(_xlfn.PERCENTRANK.INC($D$7:$D$4378,D3450)*9,0)</f>
        <v>5</v>
      </c>
      <c r="H3450" s="1" t="n">
        <f aca="false">ROUND(_xlfn.PERCENTRANK.INC($E$7:$E$4378,E3450)*9,0)</f>
        <v>5</v>
      </c>
      <c r="I3450" s="1" t="str">
        <f aca="false">CONCATENATE(F3450,G3450,H3450)</f>
        <v>855</v>
      </c>
      <c r="J3450" s="1" t="str">
        <f aca="false">_xlfn.IFS(AND(F3450&gt;=8,G3450&gt;=8,H3450&gt;=8),"CHAMPION",AND(F3450&gt;=6,G3450&gt;=7,H3450&gt;=6),"LOYAL CUSTOMER",AND(F3450&gt;=6,G3450&gt;=5,H3450&gt;=5),"POTENTIAL LOYALIST",AND(F3450&gt;=8,G3450&lt;=2,H3450&gt;=5),"NEW CUSTOMERS",AND(F3450&gt;=6,G3450&lt;=2,H3450&gt;=3),"PROMISING",AND(F3450&gt;=3,G3450&gt;=3,H3450&gt;=3),"NEED ATTENTION",AND(F3450&lt;=4,G3450&gt;=6,H3450&gt;=6),"AT RISK",AND(F3450&lt;=2,G3450&gt;=8,H3450&gt;=8),"CAN'T LOSE THEM",AND(F3450&lt;=2,G3450&lt;=2,H3450&lt;=2),"HIBERNATING",TRUE(),"Other")</f>
        <v>POTENTIAL LOYALIST</v>
      </c>
      <c r="K3450" s="1" t="n">
        <f aca="false">RANK(E3450,$E$7:$E$4378)+COUNTIF($E$7:E3450,E3450)-1</f>
        <v>1917</v>
      </c>
    </row>
    <row r="3451" customFormat="false" ht="14.25" hidden="false" customHeight="true" outlineLevel="0" collapsed="false">
      <c r="A3451" s="51" t="n">
        <v>17007</v>
      </c>
      <c r="B3451" s="53" t="n">
        <v>40836.4493055556</v>
      </c>
      <c r="C3451" s="57" t="n">
        <f aca="false">INT($C$2)-INT(Table3[[#This Row],[Last Purchase Date]])</f>
        <v>51</v>
      </c>
      <c r="D3451" s="1" t="n">
        <v>7</v>
      </c>
      <c r="E3451" s="1" t="n">
        <v>877.43</v>
      </c>
      <c r="F3451" s="1" t="n">
        <f aca="false">ROUND((1-_xlfn.PERCENTRANK.INC($C$7:$C$4378,C3451))*9,0)</f>
        <v>5</v>
      </c>
      <c r="G3451" s="1" t="n">
        <f aca="false">ROUND(_xlfn.PERCENTRANK.INC($D$7:$D$4378,D3451)*9,0)</f>
        <v>7</v>
      </c>
      <c r="H3451" s="1" t="n">
        <f aca="false">ROUND(_xlfn.PERCENTRANK.INC($E$7:$E$4378,E3451)*9,0)</f>
        <v>5</v>
      </c>
      <c r="I3451" s="1" t="str">
        <f aca="false">CONCATENATE(F3451,G3451,H3451)</f>
        <v>575</v>
      </c>
      <c r="J3451" s="1" t="str">
        <f aca="false">_xlfn.IFS(AND(F3451&gt;=8,G3451&gt;=8,H3451&gt;=8),"CHAMPION",AND(F3451&gt;=6,G3451&gt;=7,H3451&gt;=6),"LOYAL CUSTOMER",AND(F3451&gt;=6,G3451&gt;=5,H3451&gt;=5),"POTENTIAL LOYALIST",AND(F3451&gt;=8,G3451&lt;=2,H3451&gt;=5),"NEW CUSTOMERS",AND(F3451&gt;=6,G3451&lt;=2,H3451&gt;=3),"PROMISING",AND(F3451&gt;=3,G3451&gt;=3,H3451&gt;=3),"NEED ATTENTION",AND(F3451&lt;=4,G3451&gt;=6,H3451&gt;=6),"AT RISK",AND(F3451&lt;=2,G3451&gt;=8,H3451&gt;=8),"CAN'T LOSE THEM",AND(F3451&lt;=2,G3451&lt;=2,H3451&lt;=2),"HIBERNATING",TRUE(),"Other")</f>
        <v>NEED ATTENTION</v>
      </c>
      <c r="K3451" s="1" t="n">
        <f aca="false">RANK(E3451,$E$7:$E$4378)+COUNTIF($E$7:E3451,E3451)-1</f>
        <v>1792</v>
      </c>
    </row>
    <row r="3452" customFormat="false" ht="14.25" hidden="false" customHeight="true" outlineLevel="0" collapsed="false">
      <c r="A3452" s="51" t="n">
        <v>17010</v>
      </c>
      <c r="B3452" s="53" t="n">
        <v>40870.4611111111</v>
      </c>
      <c r="C3452" s="57" t="n">
        <f aca="false">INT($C$2)-INT(Table3[[#This Row],[Last Purchase Date]])</f>
        <v>17</v>
      </c>
      <c r="D3452" s="1" t="n">
        <v>2</v>
      </c>
      <c r="E3452" s="1" t="n">
        <v>185.46</v>
      </c>
      <c r="F3452" s="1" t="n">
        <f aca="false">ROUND((1-_xlfn.PERCENTRANK.INC($C$7:$C$4378,C3452))*9,0)</f>
        <v>7</v>
      </c>
      <c r="G3452" s="1" t="n">
        <f aca="false">ROUND(_xlfn.PERCENTRANK.INC($D$7:$D$4378,D3452)*9,0)</f>
        <v>3</v>
      </c>
      <c r="H3452" s="1" t="n">
        <f aca="false">ROUND(_xlfn.PERCENTRANK.INC($E$7:$E$4378,E3452)*9,0)</f>
        <v>1</v>
      </c>
      <c r="I3452" s="1" t="str">
        <f aca="false">CONCATENATE(F3452,G3452,H3452)</f>
        <v>731</v>
      </c>
      <c r="J3452" s="1" t="str">
        <f aca="false">_xlfn.IFS(AND(F3452&gt;=8,G3452&gt;=8,H3452&gt;=8),"CHAMPION",AND(F3452&gt;=6,G3452&gt;=7,H3452&gt;=6),"LOYAL CUSTOMER",AND(F3452&gt;=6,G3452&gt;=5,H3452&gt;=5),"POTENTIAL LOYALIST",AND(F3452&gt;=8,G3452&lt;=2,H3452&gt;=5),"NEW CUSTOMERS",AND(F3452&gt;=6,G3452&lt;=2,H3452&gt;=3),"PROMISING",AND(F3452&gt;=3,G3452&gt;=3,H3452&gt;=3),"NEED ATTENTION",AND(F3452&lt;=4,G3452&gt;=6,H3452&gt;=6),"AT RISK",AND(F3452&lt;=2,G3452&gt;=8,H3452&gt;=8),"CAN'T LOSE THEM",AND(F3452&lt;=2,G3452&lt;=2,H3452&lt;=2),"HIBERNATING",TRUE(),"Other")</f>
        <v>Other</v>
      </c>
      <c r="K3452" s="1" t="n">
        <f aca="false">RANK(E3452,$E$7:$E$4378)+COUNTIF($E$7:E3452,E3452)-1</f>
        <v>3727</v>
      </c>
    </row>
    <row r="3453" customFormat="false" ht="14.25" hidden="false" customHeight="true" outlineLevel="0" collapsed="false">
      <c r="A3453" s="51" t="n">
        <v>17011</v>
      </c>
      <c r="B3453" s="53" t="n">
        <v>40856.5625</v>
      </c>
      <c r="C3453" s="57" t="n">
        <f aca="false">INT($C$2)-INT(Table3[[#This Row],[Last Purchase Date]])</f>
        <v>31</v>
      </c>
      <c r="D3453" s="1" t="n">
        <v>1</v>
      </c>
      <c r="E3453" s="1" t="n">
        <v>270.9</v>
      </c>
      <c r="F3453" s="1" t="n">
        <f aca="false">ROUND((1-_xlfn.PERCENTRANK.INC($C$7:$C$4378,C3453))*9,0)</f>
        <v>6</v>
      </c>
      <c r="G3453" s="1" t="n">
        <f aca="false">ROUND(_xlfn.PERCENTRANK.INC($D$7:$D$4378,D3453)*9,0)</f>
        <v>0</v>
      </c>
      <c r="H3453" s="1" t="n">
        <f aca="false">ROUND(_xlfn.PERCENTRANK.INC($E$7:$E$4378,E3453)*9,0)</f>
        <v>2</v>
      </c>
      <c r="I3453" s="1" t="str">
        <f aca="false">CONCATENATE(F3453,G3453,H3453)</f>
        <v>602</v>
      </c>
      <c r="J3453" s="1" t="str">
        <f aca="false">_xlfn.IFS(AND(F3453&gt;=8,G3453&gt;=8,H3453&gt;=8),"CHAMPION",AND(F3453&gt;=6,G3453&gt;=7,H3453&gt;=6),"LOYAL CUSTOMER",AND(F3453&gt;=6,G3453&gt;=5,H3453&gt;=5),"POTENTIAL LOYALIST",AND(F3453&gt;=8,G3453&lt;=2,H3453&gt;=5),"NEW CUSTOMERS",AND(F3453&gt;=6,G3453&lt;=2,H3453&gt;=3),"PROMISING",AND(F3453&gt;=3,G3453&gt;=3,H3453&gt;=3),"NEED ATTENTION",AND(F3453&lt;=4,G3453&gt;=6,H3453&gt;=6),"AT RISK",AND(F3453&lt;=2,G3453&gt;=8,H3453&gt;=8),"CAN'T LOSE THEM",AND(F3453&lt;=2,G3453&lt;=2,H3453&lt;=2),"HIBERNATING",TRUE(),"Other")</f>
        <v>Other</v>
      </c>
      <c r="K3453" s="1" t="n">
        <f aca="false">RANK(E3453,$E$7:$E$4378)+COUNTIF($E$7:E3453,E3453)-1</f>
        <v>3359</v>
      </c>
    </row>
    <row r="3454" customFormat="false" ht="14.25" hidden="false" customHeight="true" outlineLevel="0" collapsed="false">
      <c r="A3454" s="51" t="n">
        <v>17014</v>
      </c>
      <c r="B3454" s="53" t="n">
        <v>40878.5895833333</v>
      </c>
      <c r="C3454" s="57" t="n">
        <f aca="false">INT($C$2)-INT(Table3[[#This Row],[Last Purchase Date]])</f>
        <v>9</v>
      </c>
      <c r="D3454" s="1" t="n">
        <v>4</v>
      </c>
      <c r="E3454" s="1" t="n">
        <v>565.58</v>
      </c>
      <c r="F3454" s="1" t="n">
        <f aca="false">ROUND((1-_xlfn.PERCENTRANK.INC($C$7:$C$4378,C3454))*9,0)</f>
        <v>8</v>
      </c>
      <c r="G3454" s="1" t="n">
        <f aca="false">ROUND(_xlfn.PERCENTRANK.INC($D$7:$D$4378,D3454)*9,0)</f>
        <v>5</v>
      </c>
      <c r="H3454" s="1" t="n">
        <f aca="false">ROUND(_xlfn.PERCENTRANK.INC($E$7:$E$4378,E3454)*9,0)</f>
        <v>4</v>
      </c>
      <c r="I3454" s="1" t="str">
        <f aca="false">CONCATENATE(F3454,G3454,H3454)</f>
        <v>854</v>
      </c>
      <c r="J3454" s="1" t="str">
        <f aca="false">_xlfn.IFS(AND(F3454&gt;=8,G3454&gt;=8,H3454&gt;=8),"CHAMPION",AND(F3454&gt;=6,G3454&gt;=7,H3454&gt;=6),"LOYAL CUSTOMER",AND(F3454&gt;=6,G3454&gt;=5,H3454&gt;=5),"POTENTIAL LOYALIST",AND(F3454&gt;=8,G3454&lt;=2,H3454&gt;=5),"NEW CUSTOMERS",AND(F3454&gt;=6,G3454&lt;=2,H3454&gt;=3),"PROMISING",AND(F3454&gt;=3,G3454&gt;=3,H3454&gt;=3),"NEED ATTENTION",AND(F3454&lt;=4,G3454&gt;=6,H3454&gt;=6),"AT RISK",AND(F3454&lt;=2,G3454&gt;=8,H3454&gt;=8),"CAN'T LOSE THEM",AND(F3454&lt;=2,G3454&lt;=2,H3454&lt;=2),"HIBERNATING",TRUE(),"Other")</f>
        <v>NEED ATTENTION</v>
      </c>
      <c r="K3454" s="1" t="n">
        <f aca="false">RANK(E3454,$E$7:$E$4378)+COUNTIF($E$7:E3454,E3454)-1</f>
        <v>2400</v>
      </c>
    </row>
    <row r="3455" customFormat="false" ht="14.25" hidden="false" customHeight="true" outlineLevel="0" collapsed="false">
      <c r="A3455" s="51" t="n">
        <v>17015</v>
      </c>
      <c r="B3455" s="53" t="n">
        <v>40858.4479166667</v>
      </c>
      <c r="C3455" s="57" t="n">
        <f aca="false">INT($C$2)-INT(Table3[[#This Row],[Last Purchase Date]])</f>
        <v>29</v>
      </c>
      <c r="D3455" s="1" t="n">
        <v>3</v>
      </c>
      <c r="E3455" s="1" t="n">
        <v>1842.56</v>
      </c>
      <c r="F3455" s="1" t="n">
        <f aca="false">ROUND((1-_xlfn.PERCENTRANK.INC($C$7:$C$4378,C3455))*9,0)</f>
        <v>6</v>
      </c>
      <c r="G3455" s="1" t="n">
        <f aca="false">ROUND(_xlfn.PERCENTRANK.INC($D$7:$D$4378,D3455)*9,0)</f>
        <v>4</v>
      </c>
      <c r="H3455" s="1" t="n">
        <f aca="false">ROUND(_xlfn.PERCENTRANK.INC($E$7:$E$4378,E3455)*9,0)</f>
        <v>7</v>
      </c>
      <c r="I3455" s="1" t="str">
        <f aca="false">CONCATENATE(F3455,G3455,H3455)</f>
        <v>647</v>
      </c>
      <c r="J3455" s="1" t="str">
        <f aca="false">_xlfn.IFS(AND(F3455&gt;=8,G3455&gt;=8,H3455&gt;=8),"CHAMPION",AND(F3455&gt;=6,G3455&gt;=7,H3455&gt;=6),"LOYAL CUSTOMER",AND(F3455&gt;=6,G3455&gt;=5,H3455&gt;=5),"POTENTIAL LOYALIST",AND(F3455&gt;=8,G3455&lt;=2,H3455&gt;=5),"NEW CUSTOMERS",AND(F3455&gt;=6,G3455&lt;=2,H3455&gt;=3),"PROMISING",AND(F3455&gt;=3,G3455&gt;=3,H3455&gt;=3),"NEED ATTENTION",AND(F3455&lt;=4,G3455&gt;=6,H3455&gt;=6),"AT RISK",AND(F3455&lt;=2,G3455&gt;=8,H3455&gt;=8),"CAN'T LOSE THEM",AND(F3455&lt;=2,G3455&lt;=2,H3455&lt;=2),"HIBERNATING",TRUE(),"Other")</f>
        <v>NEED ATTENTION</v>
      </c>
      <c r="K3455" s="1" t="n">
        <f aca="false">RANK(E3455,$E$7:$E$4378)+COUNTIF($E$7:E3455,E3455)-1</f>
        <v>951</v>
      </c>
    </row>
    <row r="3456" customFormat="false" ht="14.25" hidden="false" customHeight="true" outlineLevel="0" collapsed="false">
      <c r="A3456" s="51" t="n">
        <v>17017</v>
      </c>
      <c r="B3456" s="53" t="n">
        <v>40884.3972222222</v>
      </c>
      <c r="C3456" s="57" t="n">
        <f aca="false">INT($C$2)-INT(Table3[[#This Row],[Last Purchase Date]])</f>
        <v>3</v>
      </c>
      <c r="D3456" s="1" t="n">
        <v>27</v>
      </c>
      <c r="E3456" s="1" t="n">
        <v>8574.11</v>
      </c>
      <c r="F3456" s="1" t="n">
        <f aca="false">ROUND((1-_xlfn.PERCENTRANK.INC($C$7:$C$4378,C3456))*9,0)</f>
        <v>9</v>
      </c>
      <c r="G3456" s="1" t="n">
        <f aca="false">ROUND(_xlfn.PERCENTRANK.INC($D$7:$D$4378,D3456)*9,0)</f>
        <v>9</v>
      </c>
      <c r="H3456" s="1" t="n">
        <f aca="false">ROUND(_xlfn.PERCENTRANK.INC($E$7:$E$4378,E3456)*9,0)</f>
        <v>9</v>
      </c>
      <c r="I3456" s="1" t="str">
        <f aca="false">CONCATENATE(F3456,G3456,H3456)</f>
        <v>999</v>
      </c>
      <c r="J3456" s="1" t="str">
        <f aca="false">_xlfn.IFS(AND(F3456&gt;=8,G3456&gt;=8,H3456&gt;=8),"CHAMPION",AND(F3456&gt;=6,G3456&gt;=7,H3456&gt;=6),"LOYAL CUSTOMER",AND(F3456&gt;=6,G3456&gt;=5,H3456&gt;=5),"POTENTIAL LOYALIST",AND(F3456&gt;=8,G3456&lt;=2,H3456&gt;=5),"NEW CUSTOMERS",AND(F3456&gt;=6,G3456&lt;=2,H3456&gt;=3),"PROMISING",AND(F3456&gt;=3,G3456&gt;=3,H3456&gt;=3),"NEED ATTENTION",AND(F3456&lt;=4,G3456&gt;=6,H3456&gt;=6),"AT RISK",AND(F3456&lt;=2,G3456&gt;=8,H3456&gt;=8),"CAN'T LOSE THEM",AND(F3456&lt;=2,G3456&lt;=2,H3456&lt;=2),"HIBERNATING",TRUE(),"Other")</f>
        <v>CHAMPION</v>
      </c>
      <c r="K3456" s="1" t="n">
        <f aca="false">RANK(E3456,$E$7:$E$4378)+COUNTIF($E$7:E3456,E3456)-1</f>
        <v>118</v>
      </c>
    </row>
    <row r="3457" customFormat="false" ht="14.25" hidden="false" customHeight="true" outlineLevel="0" collapsed="false">
      <c r="A3457" s="51" t="n">
        <v>17018</v>
      </c>
      <c r="B3457" s="53" t="n">
        <v>40846.4875</v>
      </c>
      <c r="C3457" s="57" t="n">
        <f aca="false">INT($C$2)-INT(Table3[[#This Row],[Last Purchase Date]])</f>
        <v>41</v>
      </c>
      <c r="D3457" s="1" t="n">
        <v>2</v>
      </c>
      <c r="E3457" s="1" t="n">
        <v>920.1</v>
      </c>
      <c r="F3457" s="1" t="n">
        <f aca="false">ROUND((1-_xlfn.PERCENTRANK.INC($C$7:$C$4378,C3457))*9,0)</f>
        <v>5</v>
      </c>
      <c r="G3457" s="1" t="n">
        <f aca="false">ROUND(_xlfn.PERCENTRANK.INC($D$7:$D$4378,D3457)*9,0)</f>
        <v>3</v>
      </c>
      <c r="H3457" s="1" t="n">
        <f aca="false">ROUND(_xlfn.PERCENTRANK.INC($E$7:$E$4378,E3457)*9,0)</f>
        <v>5</v>
      </c>
      <c r="I3457" s="1" t="str">
        <f aca="false">CONCATENATE(F3457,G3457,H3457)</f>
        <v>535</v>
      </c>
      <c r="J3457" s="1" t="str">
        <f aca="false">_xlfn.IFS(AND(F3457&gt;=8,G3457&gt;=8,H3457&gt;=8),"CHAMPION",AND(F3457&gt;=6,G3457&gt;=7,H3457&gt;=6),"LOYAL CUSTOMER",AND(F3457&gt;=6,G3457&gt;=5,H3457&gt;=5),"POTENTIAL LOYALIST",AND(F3457&gt;=8,G3457&lt;=2,H3457&gt;=5),"NEW CUSTOMERS",AND(F3457&gt;=6,G3457&lt;=2,H3457&gt;=3),"PROMISING",AND(F3457&gt;=3,G3457&gt;=3,H3457&gt;=3),"NEED ATTENTION",AND(F3457&lt;=4,G3457&gt;=6,H3457&gt;=6),"AT RISK",AND(F3457&lt;=2,G3457&gt;=8,H3457&gt;=8),"CAN'T LOSE THEM",AND(F3457&lt;=2,G3457&lt;=2,H3457&lt;=2),"HIBERNATING",TRUE(),"Other")</f>
        <v>NEED ATTENTION</v>
      </c>
      <c r="K3457" s="1" t="n">
        <f aca="false">RANK(E3457,$E$7:$E$4378)+COUNTIF($E$7:E3457,E3457)-1</f>
        <v>1727</v>
      </c>
    </row>
    <row r="3458" customFormat="false" ht="14.25" hidden="false" customHeight="true" outlineLevel="0" collapsed="false">
      <c r="A3458" s="51" t="n">
        <v>17019</v>
      </c>
      <c r="B3458" s="53" t="n">
        <v>40875.5458333333</v>
      </c>
      <c r="C3458" s="57" t="n">
        <f aca="false">INT($C$2)-INT(Table3[[#This Row],[Last Purchase Date]])</f>
        <v>12</v>
      </c>
      <c r="D3458" s="1" t="n">
        <v>4</v>
      </c>
      <c r="E3458" s="1" t="n">
        <v>1272.61</v>
      </c>
      <c r="F3458" s="1" t="n">
        <f aca="false">ROUND((1-_xlfn.PERCENTRANK.INC($C$7:$C$4378,C3458))*9,0)</f>
        <v>7</v>
      </c>
      <c r="G3458" s="1" t="n">
        <f aca="false">ROUND(_xlfn.PERCENTRANK.INC($D$7:$D$4378,D3458)*9,0)</f>
        <v>5</v>
      </c>
      <c r="H3458" s="1" t="n">
        <f aca="false">ROUND(_xlfn.PERCENTRANK.INC($E$7:$E$4378,E3458)*9,0)</f>
        <v>6</v>
      </c>
      <c r="I3458" s="1" t="str">
        <f aca="false">CONCATENATE(F3458,G3458,H3458)</f>
        <v>756</v>
      </c>
      <c r="J3458" s="1" t="str">
        <f aca="false">_xlfn.IFS(AND(F3458&gt;=8,G3458&gt;=8,H3458&gt;=8),"CHAMPION",AND(F3458&gt;=6,G3458&gt;=7,H3458&gt;=6),"LOYAL CUSTOMER",AND(F3458&gt;=6,G3458&gt;=5,H3458&gt;=5),"POTENTIAL LOYALIST",AND(F3458&gt;=8,G3458&lt;=2,H3458&gt;=5),"NEW CUSTOMERS",AND(F3458&gt;=6,G3458&lt;=2,H3458&gt;=3),"PROMISING",AND(F3458&gt;=3,G3458&gt;=3,H3458&gt;=3),"NEED ATTENTION",AND(F3458&lt;=4,G3458&gt;=6,H3458&gt;=6),"AT RISK",AND(F3458&lt;=2,G3458&gt;=8,H3458&gt;=8),"CAN'T LOSE THEM",AND(F3458&lt;=2,G3458&lt;=2,H3458&lt;=2),"HIBERNATING",TRUE(),"Other")</f>
        <v>POTENTIAL LOYALIST</v>
      </c>
      <c r="K3458" s="1" t="n">
        <f aca="false">RANK(E3458,$E$7:$E$4378)+COUNTIF($E$7:E3458,E3458)-1</f>
        <v>1347</v>
      </c>
    </row>
    <row r="3459" customFormat="false" ht="14.25" hidden="false" customHeight="true" outlineLevel="0" collapsed="false">
      <c r="A3459" s="51" t="n">
        <v>17022</v>
      </c>
      <c r="B3459" s="53" t="n">
        <v>40855.7145833333</v>
      </c>
      <c r="C3459" s="57" t="n">
        <f aca="false">INT($C$2)-INT(Table3[[#This Row],[Last Purchase Date]])</f>
        <v>32</v>
      </c>
      <c r="D3459" s="1" t="n">
        <v>1</v>
      </c>
      <c r="E3459" s="1" t="n">
        <v>71</v>
      </c>
      <c r="F3459" s="1" t="n">
        <f aca="false">ROUND((1-_xlfn.PERCENTRANK.INC($C$7:$C$4378,C3459))*9,0)</f>
        <v>5</v>
      </c>
      <c r="G3459" s="1" t="n">
        <f aca="false">ROUND(_xlfn.PERCENTRANK.INC($D$7:$D$4378,D3459)*9,0)</f>
        <v>0</v>
      </c>
      <c r="H3459" s="1" t="n">
        <f aca="false">ROUND(_xlfn.PERCENTRANK.INC($E$7:$E$4378,E3459)*9,0)</f>
        <v>0</v>
      </c>
      <c r="I3459" s="1" t="str">
        <f aca="false">CONCATENATE(F3459,G3459,H3459)</f>
        <v>500</v>
      </c>
      <c r="J3459" s="1" t="str">
        <f aca="false">_xlfn.IFS(AND(F3459&gt;=8,G3459&gt;=8,H3459&gt;=8),"CHAMPION",AND(F3459&gt;=6,G3459&gt;=7,H3459&gt;=6),"LOYAL CUSTOMER",AND(F3459&gt;=6,G3459&gt;=5,H3459&gt;=5),"POTENTIAL LOYALIST",AND(F3459&gt;=8,G3459&lt;=2,H3459&gt;=5),"NEW CUSTOMERS",AND(F3459&gt;=6,G3459&lt;=2,H3459&gt;=3),"PROMISING",AND(F3459&gt;=3,G3459&gt;=3,H3459&gt;=3),"NEED ATTENTION",AND(F3459&lt;=4,G3459&gt;=6,H3459&gt;=6),"AT RISK",AND(F3459&lt;=2,G3459&gt;=8,H3459&gt;=8),"CAN'T LOSE THEM",AND(F3459&lt;=2,G3459&lt;=2,H3459&lt;=2),"HIBERNATING",TRUE(),"Other")</f>
        <v>Other</v>
      </c>
      <c r="K3459" s="1" t="n">
        <f aca="false">RANK(E3459,$E$7:$E$4378)+COUNTIF($E$7:E3459,E3459)-1</f>
        <v>4247</v>
      </c>
    </row>
    <row r="3460" customFormat="false" ht="14.25" hidden="false" customHeight="true" outlineLevel="0" collapsed="false">
      <c r="A3460" s="51" t="n">
        <v>17024</v>
      </c>
      <c r="B3460" s="53" t="n">
        <v>40841.5743055556</v>
      </c>
      <c r="C3460" s="57" t="n">
        <f aca="false">INT($C$2)-INT(Table3[[#This Row],[Last Purchase Date]])</f>
        <v>46</v>
      </c>
      <c r="D3460" s="1" t="n">
        <v>3</v>
      </c>
      <c r="E3460" s="1" t="n">
        <v>95.85</v>
      </c>
      <c r="F3460" s="1" t="n">
        <f aca="false">ROUND((1-_xlfn.PERCENTRANK.INC($C$7:$C$4378,C3460))*9,0)</f>
        <v>5</v>
      </c>
      <c r="G3460" s="1" t="n">
        <f aca="false">ROUND(_xlfn.PERCENTRANK.INC($D$7:$D$4378,D3460)*9,0)</f>
        <v>4</v>
      </c>
      <c r="H3460" s="1" t="n">
        <f aca="false">ROUND(_xlfn.PERCENTRANK.INC($E$7:$E$4378,E3460)*9,0)</f>
        <v>0</v>
      </c>
      <c r="I3460" s="1" t="str">
        <f aca="false">CONCATENATE(F3460,G3460,H3460)</f>
        <v>540</v>
      </c>
      <c r="J3460" s="1" t="str">
        <f aca="false">_xlfn.IFS(AND(F3460&gt;=8,G3460&gt;=8,H3460&gt;=8),"CHAMPION",AND(F3460&gt;=6,G3460&gt;=7,H3460&gt;=6),"LOYAL CUSTOMER",AND(F3460&gt;=6,G3460&gt;=5,H3460&gt;=5),"POTENTIAL LOYALIST",AND(F3460&gt;=8,G3460&lt;=2,H3460&gt;=5),"NEW CUSTOMERS",AND(F3460&gt;=6,G3460&lt;=2,H3460&gt;=3),"PROMISING",AND(F3460&gt;=3,G3460&gt;=3,H3460&gt;=3),"NEED ATTENTION",AND(F3460&lt;=4,G3460&gt;=6,H3460&gt;=6),"AT RISK",AND(F3460&lt;=2,G3460&gt;=8,H3460&gt;=8),"CAN'T LOSE THEM",AND(F3460&lt;=2,G3460&lt;=2,H3460&lt;=2),"HIBERNATING",TRUE(),"Other")</f>
        <v>Other</v>
      </c>
      <c r="K3460" s="1" t="n">
        <f aca="false">RANK(E3460,$E$7:$E$4378)+COUNTIF($E$7:E3460,E3460)-1</f>
        <v>4172</v>
      </c>
    </row>
    <row r="3461" customFormat="false" ht="14.25" hidden="false" customHeight="true" outlineLevel="0" collapsed="false">
      <c r="A3461" s="51" t="n">
        <v>17025</v>
      </c>
      <c r="B3461" s="53" t="n">
        <v>40826.3791666667</v>
      </c>
      <c r="C3461" s="57" t="n">
        <f aca="false">INT($C$2)-INT(Table3[[#This Row],[Last Purchase Date]])</f>
        <v>61</v>
      </c>
      <c r="D3461" s="1" t="n">
        <v>3</v>
      </c>
      <c r="E3461" s="1" t="n">
        <v>357.77</v>
      </c>
      <c r="F3461" s="1" t="n">
        <f aca="false">ROUND((1-_xlfn.PERCENTRANK.INC($C$7:$C$4378,C3461))*9,0)</f>
        <v>4</v>
      </c>
      <c r="G3461" s="1" t="n">
        <f aca="false">ROUND(_xlfn.PERCENTRANK.INC($D$7:$D$4378,D3461)*9,0)</f>
        <v>4</v>
      </c>
      <c r="H3461" s="1" t="n">
        <f aca="false">ROUND(_xlfn.PERCENTRANK.INC($E$7:$E$4378,E3461)*9,0)</f>
        <v>3</v>
      </c>
      <c r="I3461" s="1" t="str">
        <f aca="false">CONCATENATE(F3461,G3461,H3461)</f>
        <v>443</v>
      </c>
      <c r="J3461" s="1" t="str">
        <f aca="false">_xlfn.IFS(AND(F3461&gt;=8,G3461&gt;=8,H3461&gt;=8),"CHAMPION",AND(F3461&gt;=6,G3461&gt;=7,H3461&gt;=6),"LOYAL CUSTOMER",AND(F3461&gt;=6,G3461&gt;=5,H3461&gt;=5),"POTENTIAL LOYALIST",AND(F3461&gt;=8,G3461&lt;=2,H3461&gt;=5),"NEW CUSTOMERS",AND(F3461&gt;=6,G3461&lt;=2,H3461&gt;=3),"PROMISING",AND(F3461&gt;=3,G3461&gt;=3,H3461&gt;=3),"NEED ATTENTION",AND(F3461&lt;=4,G3461&gt;=6,H3461&gt;=6),"AT RISK",AND(F3461&lt;=2,G3461&gt;=8,H3461&gt;=8),"CAN'T LOSE THEM",AND(F3461&lt;=2,G3461&lt;=2,H3461&lt;=2),"HIBERNATING",TRUE(),"Other")</f>
        <v>NEED ATTENTION</v>
      </c>
      <c r="K3461" s="1" t="n">
        <f aca="false">RANK(E3461,$E$7:$E$4378)+COUNTIF($E$7:E3461,E3461)-1</f>
        <v>2976</v>
      </c>
    </row>
    <row r="3462" customFormat="false" ht="14.25" hidden="false" customHeight="true" outlineLevel="0" collapsed="false">
      <c r="A3462" s="51" t="n">
        <v>17026</v>
      </c>
      <c r="B3462" s="53" t="n">
        <v>40701.6027777778</v>
      </c>
      <c r="C3462" s="57" t="n">
        <f aca="false">INT($C$2)-INT(Table3[[#This Row],[Last Purchase Date]])</f>
        <v>186</v>
      </c>
      <c r="D3462" s="1" t="n">
        <v>2</v>
      </c>
      <c r="E3462" s="1" t="n">
        <v>154.83</v>
      </c>
      <c r="F3462" s="1" t="n">
        <f aca="false">ROUND((1-_xlfn.PERCENTRANK.INC($C$7:$C$4378,C3462))*9,0)</f>
        <v>2</v>
      </c>
      <c r="G3462" s="1" t="n">
        <f aca="false">ROUND(_xlfn.PERCENTRANK.INC($D$7:$D$4378,D3462)*9,0)</f>
        <v>3</v>
      </c>
      <c r="H3462" s="1" t="n">
        <f aca="false">ROUND(_xlfn.PERCENTRANK.INC($E$7:$E$4378,E3462)*9,0)</f>
        <v>1</v>
      </c>
      <c r="I3462" s="1" t="str">
        <f aca="false">CONCATENATE(F3462,G3462,H3462)</f>
        <v>231</v>
      </c>
      <c r="J3462" s="1" t="str">
        <f aca="false">_xlfn.IFS(AND(F3462&gt;=8,G3462&gt;=8,H3462&gt;=8),"CHAMPION",AND(F3462&gt;=6,G3462&gt;=7,H3462&gt;=6),"LOYAL CUSTOMER",AND(F3462&gt;=6,G3462&gt;=5,H3462&gt;=5),"POTENTIAL LOYALIST",AND(F3462&gt;=8,G3462&lt;=2,H3462&gt;=5),"NEW CUSTOMERS",AND(F3462&gt;=6,G3462&lt;=2,H3462&gt;=3),"PROMISING",AND(F3462&gt;=3,G3462&gt;=3,H3462&gt;=3),"NEED ATTENTION",AND(F3462&lt;=4,G3462&gt;=6,H3462&gt;=6),"AT RISK",AND(F3462&lt;=2,G3462&gt;=8,H3462&gt;=8),"CAN'T LOSE THEM",AND(F3462&lt;=2,G3462&lt;=2,H3462&lt;=2),"HIBERNATING",TRUE(),"Other")</f>
        <v>Other</v>
      </c>
      <c r="K3462" s="1" t="n">
        <f aca="false">RANK(E3462,$E$7:$E$4378)+COUNTIF($E$7:E3462,E3462)-1</f>
        <v>3893</v>
      </c>
    </row>
    <row r="3463" customFormat="false" ht="14.25" hidden="false" customHeight="true" outlineLevel="0" collapsed="false">
      <c r="A3463" s="51" t="n">
        <v>17027</v>
      </c>
      <c r="B3463" s="53" t="n">
        <v>40808.5166666667</v>
      </c>
      <c r="C3463" s="57" t="n">
        <f aca="false">INT($C$2)-INT(Table3[[#This Row],[Last Purchase Date]])</f>
        <v>79</v>
      </c>
      <c r="D3463" s="1" t="n">
        <v>7</v>
      </c>
      <c r="E3463" s="1" t="n">
        <v>848.59</v>
      </c>
      <c r="F3463" s="1" t="n">
        <f aca="false">ROUND((1-_xlfn.PERCENTRANK.INC($C$7:$C$4378,C3463))*9,0)</f>
        <v>3</v>
      </c>
      <c r="G3463" s="1" t="n">
        <f aca="false">ROUND(_xlfn.PERCENTRANK.INC($D$7:$D$4378,D3463)*9,0)</f>
        <v>7</v>
      </c>
      <c r="H3463" s="1" t="n">
        <f aca="false">ROUND(_xlfn.PERCENTRANK.INC($E$7:$E$4378,E3463)*9,0)</f>
        <v>5</v>
      </c>
      <c r="I3463" s="1" t="str">
        <f aca="false">CONCATENATE(F3463,G3463,H3463)</f>
        <v>375</v>
      </c>
      <c r="J3463" s="1" t="str">
        <f aca="false">_xlfn.IFS(AND(F3463&gt;=8,G3463&gt;=8,H3463&gt;=8),"CHAMPION",AND(F3463&gt;=6,G3463&gt;=7,H3463&gt;=6),"LOYAL CUSTOMER",AND(F3463&gt;=6,G3463&gt;=5,H3463&gt;=5),"POTENTIAL LOYALIST",AND(F3463&gt;=8,G3463&lt;=2,H3463&gt;=5),"NEW CUSTOMERS",AND(F3463&gt;=6,G3463&lt;=2,H3463&gt;=3),"PROMISING",AND(F3463&gt;=3,G3463&gt;=3,H3463&gt;=3),"NEED ATTENTION",AND(F3463&lt;=4,G3463&gt;=6,H3463&gt;=6),"AT RISK",AND(F3463&lt;=2,G3463&gt;=8,H3463&gt;=8),"CAN'T LOSE THEM",AND(F3463&lt;=2,G3463&lt;=2,H3463&lt;=2),"HIBERNATING",TRUE(),"Other")</f>
        <v>NEED ATTENTION</v>
      </c>
      <c r="K3463" s="1" t="n">
        <f aca="false">RANK(E3463,$E$7:$E$4378)+COUNTIF($E$7:E3463,E3463)-1</f>
        <v>1831</v>
      </c>
    </row>
    <row r="3464" customFormat="false" ht="14.25" hidden="false" customHeight="true" outlineLevel="0" collapsed="false">
      <c r="A3464" s="51" t="n">
        <v>17029</v>
      </c>
      <c r="B3464" s="53" t="n">
        <v>40776.4625</v>
      </c>
      <c r="C3464" s="57" t="n">
        <f aca="false">INT($C$2)-INT(Table3[[#This Row],[Last Purchase Date]])</f>
        <v>111</v>
      </c>
      <c r="D3464" s="1" t="n">
        <v>2</v>
      </c>
      <c r="E3464" s="1" t="n">
        <v>716</v>
      </c>
      <c r="F3464" s="1" t="n">
        <f aca="false">ROUND((1-_xlfn.PERCENTRANK.INC($C$7:$C$4378,C3464))*9,0)</f>
        <v>3</v>
      </c>
      <c r="G3464" s="1" t="n">
        <f aca="false">ROUND(_xlfn.PERCENTRANK.INC($D$7:$D$4378,D3464)*9,0)</f>
        <v>3</v>
      </c>
      <c r="H3464" s="1" t="n">
        <f aca="false">ROUND(_xlfn.PERCENTRANK.INC($E$7:$E$4378,E3464)*9,0)</f>
        <v>5</v>
      </c>
      <c r="I3464" s="1" t="str">
        <f aca="false">CONCATENATE(F3464,G3464,H3464)</f>
        <v>335</v>
      </c>
      <c r="J3464" s="1" t="str">
        <f aca="false">_xlfn.IFS(AND(F3464&gt;=8,G3464&gt;=8,H3464&gt;=8),"CHAMPION",AND(F3464&gt;=6,G3464&gt;=7,H3464&gt;=6),"LOYAL CUSTOMER",AND(F3464&gt;=6,G3464&gt;=5,H3464&gt;=5),"POTENTIAL LOYALIST",AND(F3464&gt;=8,G3464&lt;=2,H3464&gt;=5),"NEW CUSTOMERS",AND(F3464&gt;=6,G3464&lt;=2,H3464&gt;=3),"PROMISING",AND(F3464&gt;=3,G3464&gt;=3,H3464&gt;=3),"NEED ATTENTION",AND(F3464&lt;=4,G3464&gt;=6,H3464&gt;=6),"AT RISK",AND(F3464&lt;=2,G3464&gt;=8,H3464&gt;=8),"CAN'T LOSE THEM",AND(F3464&lt;=2,G3464&lt;=2,H3464&lt;=2),"HIBERNATING",TRUE(),"Other")</f>
        <v>NEED ATTENTION</v>
      </c>
      <c r="K3464" s="1" t="n">
        <f aca="false">RANK(E3464,$E$7:$E$4378)+COUNTIF($E$7:E3464,E3464)-1</f>
        <v>2034</v>
      </c>
    </row>
    <row r="3465" customFormat="false" ht="14.25" hidden="false" customHeight="true" outlineLevel="0" collapsed="false">
      <c r="A3465" s="51" t="n">
        <v>17030</v>
      </c>
      <c r="B3465" s="53" t="n">
        <v>40823.3673611111</v>
      </c>
      <c r="C3465" s="57" t="n">
        <f aca="false">INT($C$2)-INT(Table3[[#This Row],[Last Purchase Date]])</f>
        <v>64</v>
      </c>
      <c r="D3465" s="1" t="n">
        <v>1</v>
      </c>
      <c r="E3465" s="1" t="n">
        <v>146.87</v>
      </c>
      <c r="F3465" s="1" t="n">
        <f aca="false">ROUND((1-_xlfn.PERCENTRANK.INC($C$7:$C$4378,C3465))*9,0)</f>
        <v>4</v>
      </c>
      <c r="G3465" s="1" t="n">
        <f aca="false">ROUND(_xlfn.PERCENTRANK.INC($D$7:$D$4378,D3465)*9,0)</f>
        <v>0</v>
      </c>
      <c r="H3465" s="1" t="n">
        <f aca="false">ROUND(_xlfn.PERCENTRANK.INC($E$7:$E$4378,E3465)*9,0)</f>
        <v>1</v>
      </c>
      <c r="I3465" s="1" t="str">
        <f aca="false">CONCATENATE(F3465,G3465,H3465)</f>
        <v>401</v>
      </c>
      <c r="J3465" s="1" t="str">
        <f aca="false">_xlfn.IFS(AND(F3465&gt;=8,G3465&gt;=8,H3465&gt;=8),"CHAMPION",AND(F3465&gt;=6,G3465&gt;=7,H3465&gt;=6),"LOYAL CUSTOMER",AND(F3465&gt;=6,G3465&gt;=5,H3465&gt;=5),"POTENTIAL LOYALIST",AND(F3465&gt;=8,G3465&lt;=2,H3465&gt;=5),"NEW CUSTOMERS",AND(F3465&gt;=6,G3465&lt;=2,H3465&gt;=3),"PROMISING",AND(F3465&gt;=3,G3465&gt;=3,H3465&gt;=3),"NEED ATTENTION",AND(F3465&lt;=4,G3465&gt;=6,H3465&gt;=6),"AT RISK",AND(F3465&lt;=2,G3465&gt;=8,H3465&gt;=8),"CAN'T LOSE THEM",AND(F3465&lt;=2,G3465&lt;=2,H3465&lt;=2),"HIBERNATING",TRUE(),"Other")</f>
        <v>Other</v>
      </c>
      <c r="K3465" s="1" t="n">
        <f aca="false">RANK(E3465,$E$7:$E$4378)+COUNTIF($E$7:E3465,E3465)-1</f>
        <v>3933</v>
      </c>
    </row>
    <row r="3466" customFormat="false" ht="14.25" hidden="false" customHeight="true" outlineLevel="0" collapsed="false">
      <c r="A3466" s="51" t="n">
        <v>17031</v>
      </c>
      <c r="B3466" s="53" t="n">
        <v>40875.4326388889</v>
      </c>
      <c r="C3466" s="57" t="n">
        <f aca="false">INT($C$2)-INT(Table3[[#This Row],[Last Purchase Date]])</f>
        <v>12</v>
      </c>
      <c r="D3466" s="1" t="n">
        <v>2</v>
      </c>
      <c r="E3466" s="1" t="n">
        <v>380.35</v>
      </c>
      <c r="F3466" s="1" t="n">
        <f aca="false">ROUND((1-_xlfn.PERCENTRANK.INC($C$7:$C$4378,C3466))*9,0)</f>
        <v>7</v>
      </c>
      <c r="G3466" s="1" t="n">
        <f aca="false">ROUND(_xlfn.PERCENTRANK.INC($D$7:$D$4378,D3466)*9,0)</f>
        <v>3</v>
      </c>
      <c r="H3466" s="1" t="n">
        <f aca="false">ROUND(_xlfn.PERCENTRANK.INC($E$7:$E$4378,E3466)*9,0)</f>
        <v>3</v>
      </c>
      <c r="I3466" s="1" t="str">
        <f aca="false">CONCATENATE(F3466,G3466,H3466)</f>
        <v>733</v>
      </c>
      <c r="J3466" s="1" t="str">
        <f aca="false">_xlfn.IFS(AND(F3466&gt;=8,G3466&gt;=8,H3466&gt;=8),"CHAMPION",AND(F3466&gt;=6,G3466&gt;=7,H3466&gt;=6),"LOYAL CUSTOMER",AND(F3466&gt;=6,G3466&gt;=5,H3466&gt;=5),"POTENTIAL LOYALIST",AND(F3466&gt;=8,G3466&lt;=2,H3466&gt;=5),"NEW CUSTOMERS",AND(F3466&gt;=6,G3466&lt;=2,H3466&gt;=3),"PROMISING",AND(F3466&gt;=3,G3466&gt;=3,H3466&gt;=3),"NEED ATTENTION",AND(F3466&lt;=4,G3466&gt;=6,H3466&gt;=6),"AT RISK",AND(F3466&lt;=2,G3466&gt;=8,H3466&gt;=8),"CAN'T LOSE THEM",AND(F3466&lt;=2,G3466&lt;=2,H3466&lt;=2),"HIBERNATING",TRUE(),"Other")</f>
        <v>NEED ATTENTION</v>
      </c>
      <c r="K3466" s="1" t="n">
        <f aca="false">RANK(E3466,$E$7:$E$4378)+COUNTIF($E$7:E3466,E3466)-1</f>
        <v>2891</v>
      </c>
    </row>
    <row r="3467" customFormat="false" ht="14.25" hidden="false" customHeight="true" outlineLevel="0" collapsed="false">
      <c r="A3467" s="51" t="n">
        <v>17033</v>
      </c>
      <c r="B3467" s="53" t="n">
        <v>40800.6069444444</v>
      </c>
      <c r="C3467" s="57" t="n">
        <f aca="false">INT($C$2)-INT(Table3[[#This Row],[Last Purchase Date]])</f>
        <v>87</v>
      </c>
      <c r="D3467" s="1" t="n">
        <v>3</v>
      </c>
      <c r="E3467" s="1" t="n">
        <v>1030.14</v>
      </c>
      <c r="F3467" s="1" t="n">
        <f aca="false">ROUND((1-_xlfn.PERCENTRANK.INC($C$7:$C$4378,C3467))*9,0)</f>
        <v>3</v>
      </c>
      <c r="G3467" s="1" t="n">
        <f aca="false">ROUND(_xlfn.PERCENTRANK.INC($D$7:$D$4378,D3467)*9,0)</f>
        <v>4</v>
      </c>
      <c r="H3467" s="1" t="n">
        <f aca="false">ROUND(_xlfn.PERCENTRANK.INC($E$7:$E$4378,E3467)*9,0)</f>
        <v>6</v>
      </c>
      <c r="I3467" s="1" t="str">
        <f aca="false">CONCATENATE(F3467,G3467,H3467)</f>
        <v>346</v>
      </c>
      <c r="J3467" s="1" t="str">
        <f aca="false">_xlfn.IFS(AND(F3467&gt;=8,G3467&gt;=8,H3467&gt;=8),"CHAMPION",AND(F3467&gt;=6,G3467&gt;=7,H3467&gt;=6),"LOYAL CUSTOMER",AND(F3467&gt;=6,G3467&gt;=5,H3467&gt;=5),"POTENTIAL LOYALIST",AND(F3467&gt;=8,G3467&lt;=2,H3467&gt;=5),"NEW CUSTOMERS",AND(F3467&gt;=6,G3467&lt;=2,H3467&gt;=3),"PROMISING",AND(F3467&gt;=3,G3467&gt;=3,H3467&gt;=3),"NEED ATTENTION",AND(F3467&lt;=4,G3467&gt;=6,H3467&gt;=6),"AT RISK",AND(F3467&lt;=2,G3467&gt;=8,H3467&gt;=8),"CAN'T LOSE THEM",AND(F3467&lt;=2,G3467&lt;=2,H3467&lt;=2),"HIBERNATING",TRUE(),"Other")</f>
        <v>NEED ATTENTION</v>
      </c>
      <c r="K3467" s="1" t="n">
        <f aca="false">RANK(E3467,$E$7:$E$4378)+COUNTIF($E$7:E3467,E3467)-1</f>
        <v>1594</v>
      </c>
    </row>
    <row r="3468" customFormat="false" ht="14.25" hidden="false" customHeight="true" outlineLevel="0" collapsed="false">
      <c r="A3468" s="51" t="n">
        <v>17034</v>
      </c>
      <c r="B3468" s="53" t="n">
        <v>40870.6347222222</v>
      </c>
      <c r="C3468" s="57" t="n">
        <f aca="false">INT($C$2)-INT(Table3[[#This Row],[Last Purchase Date]])</f>
        <v>17</v>
      </c>
      <c r="D3468" s="1" t="n">
        <v>4</v>
      </c>
      <c r="E3468" s="1" t="n">
        <v>734.57</v>
      </c>
      <c r="F3468" s="1" t="n">
        <f aca="false">ROUND((1-_xlfn.PERCENTRANK.INC($C$7:$C$4378,C3468))*9,0)</f>
        <v>7</v>
      </c>
      <c r="G3468" s="1" t="n">
        <f aca="false">ROUND(_xlfn.PERCENTRANK.INC($D$7:$D$4378,D3468)*9,0)</f>
        <v>5</v>
      </c>
      <c r="H3468" s="1" t="n">
        <f aca="false">ROUND(_xlfn.PERCENTRANK.INC($E$7:$E$4378,E3468)*9,0)</f>
        <v>5</v>
      </c>
      <c r="I3468" s="1" t="str">
        <f aca="false">CONCATENATE(F3468,G3468,H3468)</f>
        <v>755</v>
      </c>
      <c r="J3468" s="1" t="str">
        <f aca="false">_xlfn.IFS(AND(F3468&gt;=8,G3468&gt;=8,H3468&gt;=8),"CHAMPION",AND(F3468&gt;=6,G3468&gt;=7,H3468&gt;=6),"LOYAL CUSTOMER",AND(F3468&gt;=6,G3468&gt;=5,H3468&gt;=5),"POTENTIAL LOYALIST",AND(F3468&gt;=8,G3468&lt;=2,H3468&gt;=5),"NEW CUSTOMERS",AND(F3468&gt;=6,G3468&lt;=2,H3468&gt;=3),"PROMISING",AND(F3468&gt;=3,G3468&gt;=3,H3468&gt;=3),"NEED ATTENTION",AND(F3468&lt;=4,G3468&gt;=6,H3468&gt;=6),"AT RISK",AND(F3468&lt;=2,G3468&gt;=8,H3468&gt;=8),"CAN'T LOSE THEM",AND(F3468&lt;=2,G3468&lt;=2,H3468&lt;=2),"HIBERNATING",TRUE(),"Other")</f>
        <v>POTENTIAL LOYALIST</v>
      </c>
      <c r="K3468" s="1" t="n">
        <f aca="false">RANK(E3468,$E$7:$E$4378)+COUNTIF($E$7:E3468,E3468)-1</f>
        <v>2000</v>
      </c>
    </row>
    <row r="3469" customFormat="false" ht="14.25" hidden="false" customHeight="true" outlineLevel="0" collapsed="false">
      <c r="A3469" s="51" t="n">
        <v>17035</v>
      </c>
      <c r="B3469" s="53" t="n">
        <v>40641.4743055556</v>
      </c>
      <c r="C3469" s="57" t="n">
        <f aca="false">INT($C$2)-INT(Table3[[#This Row],[Last Purchase Date]])</f>
        <v>246</v>
      </c>
      <c r="D3469" s="1" t="n">
        <v>3</v>
      </c>
      <c r="E3469" s="1" t="n">
        <v>388.33</v>
      </c>
      <c r="F3469" s="1" t="n">
        <f aca="false">ROUND((1-_xlfn.PERCENTRANK.INC($C$7:$C$4378,C3469))*9,0)</f>
        <v>1</v>
      </c>
      <c r="G3469" s="1" t="n">
        <f aca="false">ROUND(_xlfn.PERCENTRANK.INC($D$7:$D$4378,D3469)*9,0)</f>
        <v>4</v>
      </c>
      <c r="H3469" s="1" t="n">
        <f aca="false">ROUND(_xlfn.PERCENTRANK.INC($E$7:$E$4378,E3469)*9,0)</f>
        <v>3</v>
      </c>
      <c r="I3469" s="1" t="str">
        <f aca="false">CONCATENATE(F3469,G3469,H3469)</f>
        <v>143</v>
      </c>
      <c r="J3469" s="1" t="str">
        <f aca="false">_xlfn.IFS(AND(F3469&gt;=8,G3469&gt;=8,H3469&gt;=8),"CHAMPION",AND(F3469&gt;=6,G3469&gt;=7,H3469&gt;=6),"LOYAL CUSTOMER",AND(F3469&gt;=6,G3469&gt;=5,H3469&gt;=5),"POTENTIAL LOYALIST",AND(F3469&gt;=8,G3469&lt;=2,H3469&gt;=5),"NEW CUSTOMERS",AND(F3469&gt;=6,G3469&lt;=2,H3469&gt;=3),"PROMISING",AND(F3469&gt;=3,G3469&gt;=3,H3469&gt;=3),"NEED ATTENTION",AND(F3469&lt;=4,G3469&gt;=6,H3469&gt;=6),"AT RISK",AND(F3469&lt;=2,G3469&gt;=8,H3469&gt;=8),"CAN'T LOSE THEM",AND(F3469&lt;=2,G3469&lt;=2,H3469&lt;=2),"HIBERNATING",TRUE(),"Other")</f>
        <v>Other</v>
      </c>
      <c r="K3469" s="1" t="n">
        <f aca="false">RANK(E3469,$E$7:$E$4378)+COUNTIF($E$7:E3469,E3469)-1</f>
        <v>2856</v>
      </c>
    </row>
    <row r="3470" customFormat="false" ht="14.25" hidden="false" customHeight="true" outlineLevel="0" collapsed="false">
      <c r="A3470" s="51" t="n">
        <v>17037</v>
      </c>
      <c r="B3470" s="53" t="n">
        <v>40808.7222222222</v>
      </c>
      <c r="C3470" s="57" t="n">
        <f aca="false">INT($C$2)-INT(Table3[[#This Row],[Last Purchase Date]])</f>
        <v>79</v>
      </c>
      <c r="D3470" s="1" t="n">
        <v>2</v>
      </c>
      <c r="E3470" s="1" t="n">
        <v>1253.22</v>
      </c>
      <c r="F3470" s="1" t="n">
        <f aca="false">ROUND((1-_xlfn.PERCENTRANK.INC($C$7:$C$4378,C3470))*9,0)</f>
        <v>3</v>
      </c>
      <c r="G3470" s="1" t="n">
        <f aca="false">ROUND(_xlfn.PERCENTRANK.INC($D$7:$D$4378,D3470)*9,0)</f>
        <v>3</v>
      </c>
      <c r="H3470" s="1" t="n">
        <f aca="false">ROUND(_xlfn.PERCENTRANK.INC($E$7:$E$4378,E3470)*9,0)</f>
        <v>6</v>
      </c>
      <c r="I3470" s="1" t="str">
        <f aca="false">CONCATENATE(F3470,G3470,H3470)</f>
        <v>336</v>
      </c>
      <c r="J3470" s="1" t="str">
        <f aca="false">_xlfn.IFS(AND(F3470&gt;=8,G3470&gt;=8,H3470&gt;=8),"CHAMPION",AND(F3470&gt;=6,G3470&gt;=7,H3470&gt;=6),"LOYAL CUSTOMER",AND(F3470&gt;=6,G3470&gt;=5,H3470&gt;=5),"POTENTIAL LOYALIST",AND(F3470&gt;=8,G3470&lt;=2,H3470&gt;=5),"NEW CUSTOMERS",AND(F3470&gt;=6,G3470&lt;=2,H3470&gt;=3),"PROMISING",AND(F3470&gt;=3,G3470&gt;=3,H3470&gt;=3),"NEED ATTENTION",AND(F3470&lt;=4,G3470&gt;=6,H3470&gt;=6),"AT RISK",AND(F3470&lt;=2,G3470&gt;=8,H3470&gt;=8),"CAN'T LOSE THEM",AND(F3470&lt;=2,G3470&lt;=2,H3470&lt;=2),"HIBERNATING",TRUE(),"Other")</f>
        <v>NEED ATTENTION</v>
      </c>
      <c r="K3470" s="1" t="n">
        <f aca="false">RANK(E3470,$E$7:$E$4378)+COUNTIF($E$7:E3470,E3470)-1</f>
        <v>1372</v>
      </c>
    </row>
    <row r="3471" customFormat="false" ht="14.25" hidden="false" customHeight="true" outlineLevel="0" collapsed="false">
      <c r="A3471" s="51" t="n">
        <v>17038</v>
      </c>
      <c r="B3471" s="53" t="n">
        <v>40856.5763888889</v>
      </c>
      <c r="C3471" s="57" t="n">
        <f aca="false">INT($C$2)-INT(Table3[[#This Row],[Last Purchase Date]])</f>
        <v>31</v>
      </c>
      <c r="D3471" s="1" t="n">
        <v>1</v>
      </c>
      <c r="E3471" s="1" t="n">
        <v>112.4</v>
      </c>
      <c r="F3471" s="1" t="n">
        <f aca="false">ROUND((1-_xlfn.PERCENTRANK.INC($C$7:$C$4378,C3471))*9,0)</f>
        <v>6</v>
      </c>
      <c r="G3471" s="1" t="n">
        <f aca="false">ROUND(_xlfn.PERCENTRANK.INC($D$7:$D$4378,D3471)*9,0)</f>
        <v>0</v>
      </c>
      <c r="H3471" s="1" t="n">
        <f aca="false">ROUND(_xlfn.PERCENTRANK.INC($E$7:$E$4378,E3471)*9,0)</f>
        <v>1</v>
      </c>
      <c r="I3471" s="1" t="str">
        <f aca="false">CONCATENATE(F3471,G3471,H3471)</f>
        <v>601</v>
      </c>
      <c r="J3471" s="1" t="str">
        <f aca="false">_xlfn.IFS(AND(F3471&gt;=8,G3471&gt;=8,H3471&gt;=8),"CHAMPION",AND(F3471&gt;=6,G3471&gt;=7,H3471&gt;=6),"LOYAL CUSTOMER",AND(F3471&gt;=6,G3471&gt;=5,H3471&gt;=5),"POTENTIAL LOYALIST",AND(F3471&gt;=8,G3471&lt;=2,H3471&gt;=5),"NEW CUSTOMERS",AND(F3471&gt;=6,G3471&lt;=2,H3471&gt;=3),"PROMISING",AND(F3471&gt;=3,G3471&gt;=3,H3471&gt;=3),"NEED ATTENTION",AND(F3471&lt;=4,G3471&gt;=6,H3471&gt;=6),"AT RISK",AND(F3471&lt;=2,G3471&gt;=8,H3471&gt;=8),"CAN'T LOSE THEM",AND(F3471&lt;=2,G3471&lt;=2,H3471&lt;=2),"HIBERNATING",TRUE(),"Other")</f>
        <v>Other</v>
      </c>
      <c r="K3471" s="1" t="n">
        <f aca="false">RANK(E3471,$E$7:$E$4378)+COUNTIF($E$7:E3471,E3471)-1</f>
        <v>4097</v>
      </c>
    </row>
    <row r="3472" customFormat="false" ht="14.25" hidden="false" customHeight="true" outlineLevel="0" collapsed="false">
      <c r="A3472" s="51" t="n">
        <v>17040</v>
      </c>
      <c r="B3472" s="53" t="n">
        <v>40749.4298611111</v>
      </c>
      <c r="C3472" s="57" t="n">
        <f aca="false">INT($C$2)-INT(Table3[[#This Row],[Last Purchase Date]])</f>
        <v>138</v>
      </c>
      <c r="D3472" s="1" t="n">
        <v>1</v>
      </c>
      <c r="E3472" s="1" t="n">
        <v>449.73</v>
      </c>
      <c r="F3472" s="1" t="n">
        <f aca="false">ROUND((1-_xlfn.PERCENTRANK.INC($C$7:$C$4378,C3472))*9,0)</f>
        <v>2</v>
      </c>
      <c r="G3472" s="1" t="n">
        <f aca="false">ROUND(_xlfn.PERCENTRANK.INC($D$7:$D$4378,D3472)*9,0)</f>
        <v>0</v>
      </c>
      <c r="H3472" s="1" t="n">
        <f aca="false">ROUND(_xlfn.PERCENTRANK.INC($E$7:$E$4378,E3472)*9,0)</f>
        <v>3</v>
      </c>
      <c r="I3472" s="1" t="str">
        <f aca="false">CONCATENATE(F3472,G3472,H3472)</f>
        <v>203</v>
      </c>
      <c r="J3472" s="1" t="str">
        <f aca="false">_xlfn.IFS(AND(F3472&gt;=8,G3472&gt;=8,H3472&gt;=8),"CHAMPION",AND(F3472&gt;=6,G3472&gt;=7,H3472&gt;=6),"LOYAL CUSTOMER",AND(F3472&gt;=6,G3472&gt;=5,H3472&gt;=5),"POTENTIAL LOYALIST",AND(F3472&gt;=8,G3472&lt;=2,H3472&gt;=5),"NEW CUSTOMERS",AND(F3472&gt;=6,G3472&lt;=2,H3472&gt;=3),"PROMISING",AND(F3472&gt;=3,G3472&gt;=3,H3472&gt;=3),"NEED ATTENTION",AND(F3472&lt;=4,G3472&gt;=6,H3472&gt;=6),"AT RISK",AND(F3472&lt;=2,G3472&gt;=8,H3472&gt;=8),"CAN'T LOSE THEM",AND(F3472&lt;=2,G3472&lt;=2,H3472&lt;=2),"HIBERNATING",TRUE(),"Other")</f>
        <v>Other</v>
      </c>
      <c r="K3472" s="1" t="n">
        <f aca="false">RANK(E3472,$E$7:$E$4378)+COUNTIF($E$7:E3472,E3472)-1</f>
        <v>2674</v>
      </c>
    </row>
    <row r="3473" customFormat="false" ht="14.25" hidden="false" customHeight="true" outlineLevel="0" collapsed="false">
      <c r="A3473" s="51" t="n">
        <v>17041</v>
      </c>
      <c r="B3473" s="53" t="n">
        <v>40860.4729166667</v>
      </c>
      <c r="C3473" s="57" t="n">
        <f aca="false">INT($C$2)-INT(Table3[[#This Row],[Last Purchase Date]])</f>
        <v>27</v>
      </c>
      <c r="D3473" s="1" t="n">
        <v>4</v>
      </c>
      <c r="E3473" s="1" t="n">
        <v>1065.77</v>
      </c>
      <c r="F3473" s="1" t="n">
        <f aca="false">ROUND((1-_xlfn.PERCENTRANK.INC($C$7:$C$4378,C3473))*9,0)</f>
        <v>6</v>
      </c>
      <c r="G3473" s="1" t="n">
        <f aca="false">ROUND(_xlfn.PERCENTRANK.INC($D$7:$D$4378,D3473)*9,0)</f>
        <v>5</v>
      </c>
      <c r="H3473" s="1" t="n">
        <f aca="false">ROUND(_xlfn.PERCENTRANK.INC($E$7:$E$4378,E3473)*9,0)</f>
        <v>6</v>
      </c>
      <c r="I3473" s="1" t="str">
        <f aca="false">CONCATENATE(F3473,G3473,H3473)</f>
        <v>656</v>
      </c>
      <c r="J3473" s="1" t="str">
        <f aca="false">_xlfn.IFS(AND(F3473&gt;=8,G3473&gt;=8,H3473&gt;=8),"CHAMPION",AND(F3473&gt;=6,G3473&gt;=7,H3473&gt;=6),"LOYAL CUSTOMER",AND(F3473&gt;=6,G3473&gt;=5,H3473&gt;=5),"POTENTIAL LOYALIST",AND(F3473&gt;=8,G3473&lt;=2,H3473&gt;=5),"NEW CUSTOMERS",AND(F3473&gt;=6,G3473&lt;=2,H3473&gt;=3),"PROMISING",AND(F3473&gt;=3,G3473&gt;=3,H3473&gt;=3),"NEED ATTENTION",AND(F3473&lt;=4,G3473&gt;=6,H3473&gt;=6),"AT RISK",AND(F3473&lt;=2,G3473&gt;=8,H3473&gt;=8),"CAN'T LOSE THEM",AND(F3473&lt;=2,G3473&lt;=2,H3473&lt;=2),"HIBERNATING",TRUE(),"Other")</f>
        <v>POTENTIAL LOYALIST</v>
      </c>
      <c r="K3473" s="1" t="n">
        <f aca="false">RANK(E3473,$E$7:$E$4378)+COUNTIF($E$7:E3473,E3473)-1</f>
        <v>1541</v>
      </c>
    </row>
    <row r="3474" customFormat="false" ht="14.25" hidden="false" customHeight="true" outlineLevel="0" collapsed="false">
      <c r="A3474" s="51" t="n">
        <v>17042</v>
      </c>
      <c r="B3474" s="53" t="n">
        <v>40884.5180555556</v>
      </c>
      <c r="C3474" s="57" t="n">
        <f aca="false">INT($C$2)-INT(Table3[[#This Row],[Last Purchase Date]])</f>
        <v>3</v>
      </c>
      <c r="D3474" s="1" t="n">
        <v>5</v>
      </c>
      <c r="E3474" s="1" t="n">
        <v>1044.38</v>
      </c>
      <c r="F3474" s="1" t="n">
        <f aca="false">ROUND((1-_xlfn.PERCENTRANK.INC($C$7:$C$4378,C3474))*9,0)</f>
        <v>9</v>
      </c>
      <c r="G3474" s="1" t="n">
        <f aca="false">ROUND(_xlfn.PERCENTRANK.INC($D$7:$D$4378,D3474)*9,0)</f>
        <v>6</v>
      </c>
      <c r="H3474" s="1" t="n">
        <f aca="false">ROUND(_xlfn.PERCENTRANK.INC($E$7:$E$4378,E3474)*9,0)</f>
        <v>6</v>
      </c>
      <c r="I3474" s="1" t="str">
        <f aca="false">CONCATENATE(F3474,G3474,H3474)</f>
        <v>966</v>
      </c>
      <c r="J3474" s="1" t="str">
        <f aca="false">_xlfn.IFS(AND(F3474&gt;=8,G3474&gt;=8,H3474&gt;=8),"CHAMPION",AND(F3474&gt;=6,G3474&gt;=7,H3474&gt;=6),"LOYAL CUSTOMER",AND(F3474&gt;=6,G3474&gt;=5,H3474&gt;=5),"POTENTIAL LOYALIST",AND(F3474&gt;=8,G3474&lt;=2,H3474&gt;=5),"NEW CUSTOMERS",AND(F3474&gt;=6,G3474&lt;=2,H3474&gt;=3),"PROMISING",AND(F3474&gt;=3,G3474&gt;=3,H3474&gt;=3),"NEED ATTENTION",AND(F3474&lt;=4,G3474&gt;=6,H3474&gt;=6),"AT RISK",AND(F3474&lt;=2,G3474&gt;=8,H3474&gt;=8),"CAN'T LOSE THEM",AND(F3474&lt;=2,G3474&lt;=2,H3474&lt;=2),"HIBERNATING",TRUE(),"Other")</f>
        <v>POTENTIAL LOYALIST</v>
      </c>
      <c r="K3474" s="1" t="n">
        <f aca="false">RANK(E3474,$E$7:$E$4378)+COUNTIF($E$7:E3474,E3474)-1</f>
        <v>1571</v>
      </c>
    </row>
    <row r="3475" customFormat="false" ht="14.25" hidden="false" customHeight="true" outlineLevel="0" collapsed="false">
      <c r="A3475" s="51" t="n">
        <v>17043</v>
      </c>
      <c r="B3475" s="53" t="n">
        <v>40854.6479166667</v>
      </c>
      <c r="C3475" s="57" t="n">
        <f aca="false">INT($C$2)-INT(Table3[[#This Row],[Last Purchase Date]])</f>
        <v>33</v>
      </c>
      <c r="D3475" s="1" t="n">
        <v>4</v>
      </c>
      <c r="E3475" s="1" t="n">
        <v>1735.18</v>
      </c>
      <c r="F3475" s="1" t="n">
        <f aca="false">ROUND((1-_xlfn.PERCENTRANK.INC($C$7:$C$4378,C3475))*9,0)</f>
        <v>5</v>
      </c>
      <c r="G3475" s="1" t="n">
        <f aca="false">ROUND(_xlfn.PERCENTRANK.INC($D$7:$D$4378,D3475)*9,0)</f>
        <v>5</v>
      </c>
      <c r="H3475" s="1" t="n">
        <f aca="false">ROUND(_xlfn.PERCENTRANK.INC($E$7:$E$4378,E3475)*9,0)</f>
        <v>7</v>
      </c>
      <c r="I3475" s="1" t="str">
        <f aca="false">CONCATENATE(F3475,G3475,H3475)</f>
        <v>557</v>
      </c>
      <c r="J3475" s="1" t="str">
        <f aca="false">_xlfn.IFS(AND(F3475&gt;=8,G3475&gt;=8,H3475&gt;=8),"CHAMPION",AND(F3475&gt;=6,G3475&gt;=7,H3475&gt;=6),"LOYAL CUSTOMER",AND(F3475&gt;=6,G3475&gt;=5,H3475&gt;=5),"POTENTIAL LOYALIST",AND(F3475&gt;=8,G3475&lt;=2,H3475&gt;=5),"NEW CUSTOMERS",AND(F3475&gt;=6,G3475&lt;=2,H3475&gt;=3),"PROMISING",AND(F3475&gt;=3,G3475&gt;=3,H3475&gt;=3),"NEED ATTENTION",AND(F3475&lt;=4,G3475&gt;=6,H3475&gt;=6),"AT RISK",AND(F3475&lt;=2,G3475&gt;=8,H3475&gt;=8),"CAN'T LOSE THEM",AND(F3475&lt;=2,G3475&lt;=2,H3475&lt;=2),"HIBERNATING",TRUE(),"Other")</f>
        <v>NEED ATTENTION</v>
      </c>
      <c r="K3475" s="1" t="n">
        <f aca="false">RANK(E3475,$E$7:$E$4378)+COUNTIF($E$7:E3475,E3475)-1</f>
        <v>1022</v>
      </c>
    </row>
    <row r="3476" customFormat="false" ht="14.25" hidden="false" customHeight="true" outlineLevel="0" collapsed="false">
      <c r="A3476" s="51" t="n">
        <v>17044</v>
      </c>
      <c r="B3476" s="53" t="n">
        <v>40878.3708333333</v>
      </c>
      <c r="C3476" s="57" t="n">
        <f aca="false">INT($C$2)-INT(Table3[[#This Row],[Last Purchase Date]])</f>
        <v>9</v>
      </c>
      <c r="D3476" s="1" t="n">
        <v>3</v>
      </c>
      <c r="E3476" s="1" t="n">
        <v>897.43</v>
      </c>
      <c r="F3476" s="1" t="n">
        <f aca="false">ROUND((1-_xlfn.PERCENTRANK.INC($C$7:$C$4378,C3476))*9,0)</f>
        <v>8</v>
      </c>
      <c r="G3476" s="1" t="n">
        <f aca="false">ROUND(_xlfn.PERCENTRANK.INC($D$7:$D$4378,D3476)*9,0)</f>
        <v>4</v>
      </c>
      <c r="H3476" s="1" t="n">
        <f aca="false">ROUND(_xlfn.PERCENTRANK.INC($E$7:$E$4378,E3476)*9,0)</f>
        <v>5</v>
      </c>
      <c r="I3476" s="1" t="str">
        <f aca="false">CONCATENATE(F3476,G3476,H3476)</f>
        <v>845</v>
      </c>
      <c r="J3476" s="1" t="str">
        <f aca="false">_xlfn.IFS(AND(F3476&gt;=8,G3476&gt;=8,H3476&gt;=8),"CHAMPION",AND(F3476&gt;=6,G3476&gt;=7,H3476&gt;=6),"LOYAL CUSTOMER",AND(F3476&gt;=6,G3476&gt;=5,H3476&gt;=5),"POTENTIAL LOYALIST",AND(F3476&gt;=8,G3476&lt;=2,H3476&gt;=5),"NEW CUSTOMERS",AND(F3476&gt;=6,G3476&lt;=2,H3476&gt;=3),"PROMISING",AND(F3476&gt;=3,G3476&gt;=3,H3476&gt;=3),"NEED ATTENTION",AND(F3476&lt;=4,G3476&gt;=6,H3476&gt;=6),"AT RISK",AND(F3476&lt;=2,G3476&gt;=8,H3476&gt;=8),"CAN'T LOSE THEM",AND(F3476&lt;=2,G3476&lt;=2,H3476&lt;=2),"HIBERNATING",TRUE(),"Other")</f>
        <v>NEED ATTENTION</v>
      </c>
      <c r="K3476" s="1" t="n">
        <f aca="false">RANK(E3476,$E$7:$E$4378)+COUNTIF($E$7:E3476,E3476)-1</f>
        <v>1765</v>
      </c>
    </row>
    <row r="3477" customFormat="false" ht="14.25" hidden="false" customHeight="true" outlineLevel="0" collapsed="false">
      <c r="A3477" s="51" t="n">
        <v>17045</v>
      </c>
      <c r="B3477" s="53" t="n">
        <v>40773.7145833333</v>
      </c>
      <c r="C3477" s="57" t="n">
        <f aca="false">INT($C$2)-INT(Table3[[#This Row],[Last Purchase Date]])</f>
        <v>114</v>
      </c>
      <c r="D3477" s="1" t="n">
        <v>3</v>
      </c>
      <c r="E3477" s="1" t="n">
        <v>339.44</v>
      </c>
      <c r="F3477" s="1" t="n">
        <f aca="false">ROUND((1-_xlfn.PERCENTRANK.INC($C$7:$C$4378,C3477))*9,0)</f>
        <v>3</v>
      </c>
      <c r="G3477" s="1" t="n">
        <f aca="false">ROUND(_xlfn.PERCENTRANK.INC($D$7:$D$4378,D3477)*9,0)</f>
        <v>4</v>
      </c>
      <c r="H3477" s="1" t="n">
        <f aca="false">ROUND(_xlfn.PERCENTRANK.INC($E$7:$E$4378,E3477)*9,0)</f>
        <v>3</v>
      </c>
      <c r="I3477" s="1" t="str">
        <f aca="false">CONCATENATE(F3477,G3477,H3477)</f>
        <v>343</v>
      </c>
      <c r="J3477" s="1" t="str">
        <f aca="false">_xlfn.IFS(AND(F3477&gt;=8,G3477&gt;=8,H3477&gt;=8),"CHAMPION",AND(F3477&gt;=6,G3477&gt;=7,H3477&gt;=6),"LOYAL CUSTOMER",AND(F3477&gt;=6,G3477&gt;=5,H3477&gt;=5),"POTENTIAL LOYALIST",AND(F3477&gt;=8,G3477&lt;=2,H3477&gt;=5),"NEW CUSTOMERS",AND(F3477&gt;=6,G3477&lt;=2,H3477&gt;=3),"PROMISING",AND(F3477&gt;=3,G3477&gt;=3,H3477&gt;=3),"NEED ATTENTION",AND(F3477&lt;=4,G3477&gt;=6,H3477&gt;=6),"AT RISK",AND(F3477&lt;=2,G3477&gt;=8,H3477&gt;=8),"CAN'T LOSE THEM",AND(F3477&lt;=2,G3477&lt;=2,H3477&lt;=2),"HIBERNATING",TRUE(),"Other")</f>
        <v>NEED ATTENTION</v>
      </c>
      <c r="K3477" s="1" t="n">
        <f aca="false">RANK(E3477,$E$7:$E$4378)+COUNTIF($E$7:E3477,E3477)-1</f>
        <v>3053</v>
      </c>
    </row>
    <row r="3478" customFormat="false" ht="14.25" hidden="false" customHeight="true" outlineLevel="0" collapsed="false">
      <c r="A3478" s="51" t="n">
        <v>17046</v>
      </c>
      <c r="B3478" s="53" t="n">
        <v>40729.6</v>
      </c>
      <c r="C3478" s="57" t="n">
        <f aca="false">INT($C$2)-INT(Table3[[#This Row],[Last Purchase Date]])</f>
        <v>158</v>
      </c>
      <c r="D3478" s="1" t="n">
        <v>1</v>
      </c>
      <c r="E3478" s="1" t="n">
        <v>642.02</v>
      </c>
      <c r="F3478" s="1" t="n">
        <f aca="false">ROUND((1-_xlfn.PERCENTRANK.INC($C$7:$C$4378,C3478))*9,0)</f>
        <v>2</v>
      </c>
      <c r="G3478" s="1" t="n">
        <f aca="false">ROUND(_xlfn.PERCENTRANK.INC($D$7:$D$4378,D3478)*9,0)</f>
        <v>0</v>
      </c>
      <c r="H3478" s="1" t="n">
        <f aca="false">ROUND(_xlfn.PERCENTRANK.INC($E$7:$E$4378,E3478)*9,0)</f>
        <v>4</v>
      </c>
      <c r="I3478" s="1" t="str">
        <f aca="false">CONCATENATE(F3478,G3478,H3478)</f>
        <v>204</v>
      </c>
      <c r="J3478" s="1" t="str">
        <f aca="false">_xlfn.IFS(AND(F3478&gt;=8,G3478&gt;=8,H3478&gt;=8),"CHAMPION",AND(F3478&gt;=6,G3478&gt;=7,H3478&gt;=6),"LOYAL CUSTOMER",AND(F3478&gt;=6,G3478&gt;=5,H3478&gt;=5),"POTENTIAL LOYALIST",AND(F3478&gt;=8,G3478&lt;=2,H3478&gt;=5),"NEW CUSTOMERS",AND(F3478&gt;=6,G3478&lt;=2,H3478&gt;=3),"PROMISING",AND(F3478&gt;=3,G3478&gt;=3,H3478&gt;=3),"NEED ATTENTION",AND(F3478&lt;=4,G3478&gt;=6,H3478&gt;=6),"AT RISK",AND(F3478&lt;=2,G3478&gt;=8,H3478&gt;=8),"CAN'T LOSE THEM",AND(F3478&lt;=2,G3478&lt;=2,H3478&lt;=2),"HIBERNATING",TRUE(),"Other")</f>
        <v>Other</v>
      </c>
      <c r="K3478" s="1" t="n">
        <f aca="false">RANK(E3478,$E$7:$E$4378)+COUNTIF($E$7:E3478,E3478)-1</f>
        <v>2203</v>
      </c>
    </row>
    <row r="3479" customFormat="false" ht="14.25" hidden="false" customHeight="true" outlineLevel="0" collapsed="false">
      <c r="A3479" s="51" t="n">
        <v>17047</v>
      </c>
      <c r="B3479" s="53" t="n">
        <v>40801.5604166667</v>
      </c>
      <c r="C3479" s="57" t="n">
        <f aca="false">INT($C$2)-INT(Table3[[#This Row],[Last Purchase Date]])</f>
        <v>86</v>
      </c>
      <c r="D3479" s="1" t="n">
        <v>3</v>
      </c>
      <c r="E3479" s="1" t="n">
        <v>1100.9</v>
      </c>
      <c r="F3479" s="1" t="n">
        <f aca="false">ROUND((1-_xlfn.PERCENTRANK.INC($C$7:$C$4378,C3479))*9,0)</f>
        <v>3</v>
      </c>
      <c r="G3479" s="1" t="n">
        <f aca="false">ROUND(_xlfn.PERCENTRANK.INC($D$7:$D$4378,D3479)*9,0)</f>
        <v>4</v>
      </c>
      <c r="H3479" s="1" t="n">
        <f aca="false">ROUND(_xlfn.PERCENTRANK.INC($E$7:$E$4378,E3479)*9,0)</f>
        <v>6</v>
      </c>
      <c r="I3479" s="1" t="str">
        <f aca="false">CONCATENATE(F3479,G3479,H3479)</f>
        <v>346</v>
      </c>
      <c r="J3479" s="1" t="str">
        <f aca="false">_xlfn.IFS(AND(F3479&gt;=8,G3479&gt;=8,H3479&gt;=8),"CHAMPION",AND(F3479&gt;=6,G3479&gt;=7,H3479&gt;=6),"LOYAL CUSTOMER",AND(F3479&gt;=6,G3479&gt;=5,H3479&gt;=5),"POTENTIAL LOYALIST",AND(F3479&gt;=8,G3479&lt;=2,H3479&gt;=5),"NEW CUSTOMERS",AND(F3479&gt;=6,G3479&lt;=2,H3479&gt;=3),"PROMISING",AND(F3479&gt;=3,G3479&gt;=3,H3479&gt;=3),"NEED ATTENTION",AND(F3479&lt;=4,G3479&gt;=6,H3479&gt;=6),"AT RISK",AND(F3479&lt;=2,G3479&gt;=8,H3479&gt;=8),"CAN'T LOSE THEM",AND(F3479&lt;=2,G3479&lt;=2,H3479&lt;=2),"HIBERNATING",TRUE(),"Other")</f>
        <v>NEED ATTENTION</v>
      </c>
      <c r="K3479" s="1" t="n">
        <f aca="false">RANK(E3479,$E$7:$E$4378)+COUNTIF($E$7:E3479,E3479)-1</f>
        <v>1508</v>
      </c>
    </row>
    <row r="3480" customFormat="false" ht="14.25" hidden="false" customHeight="true" outlineLevel="0" collapsed="false">
      <c r="A3480" s="51" t="n">
        <v>17048</v>
      </c>
      <c r="B3480" s="53" t="n">
        <v>40771.61875</v>
      </c>
      <c r="C3480" s="57" t="n">
        <f aca="false">INT($C$2)-INT(Table3[[#This Row],[Last Purchase Date]])</f>
        <v>116</v>
      </c>
      <c r="D3480" s="1" t="n">
        <v>6</v>
      </c>
      <c r="E3480" s="1" t="n">
        <v>864.32</v>
      </c>
      <c r="F3480" s="1" t="n">
        <f aca="false">ROUND((1-_xlfn.PERCENTRANK.INC($C$7:$C$4378,C3480))*9,0)</f>
        <v>3</v>
      </c>
      <c r="G3480" s="1" t="n">
        <f aca="false">ROUND(_xlfn.PERCENTRANK.INC($D$7:$D$4378,D3480)*9,0)</f>
        <v>7</v>
      </c>
      <c r="H3480" s="1" t="n">
        <f aca="false">ROUND(_xlfn.PERCENTRANK.INC($E$7:$E$4378,E3480)*9,0)</f>
        <v>5</v>
      </c>
      <c r="I3480" s="1" t="str">
        <f aca="false">CONCATENATE(F3480,G3480,H3480)</f>
        <v>375</v>
      </c>
      <c r="J3480" s="1" t="str">
        <f aca="false">_xlfn.IFS(AND(F3480&gt;=8,G3480&gt;=8,H3480&gt;=8),"CHAMPION",AND(F3480&gt;=6,G3480&gt;=7,H3480&gt;=6),"LOYAL CUSTOMER",AND(F3480&gt;=6,G3480&gt;=5,H3480&gt;=5),"POTENTIAL LOYALIST",AND(F3480&gt;=8,G3480&lt;=2,H3480&gt;=5),"NEW CUSTOMERS",AND(F3480&gt;=6,G3480&lt;=2,H3480&gt;=3),"PROMISING",AND(F3480&gt;=3,G3480&gt;=3,H3480&gt;=3),"NEED ATTENTION",AND(F3480&lt;=4,G3480&gt;=6,H3480&gt;=6),"AT RISK",AND(F3480&lt;=2,G3480&gt;=8,H3480&gt;=8),"CAN'T LOSE THEM",AND(F3480&lt;=2,G3480&lt;=2,H3480&lt;=2),"HIBERNATING",TRUE(),"Other")</f>
        <v>NEED ATTENTION</v>
      </c>
      <c r="K3480" s="1" t="n">
        <f aca="false">RANK(E3480,$E$7:$E$4378)+COUNTIF($E$7:E3480,E3480)-1</f>
        <v>1812</v>
      </c>
    </row>
    <row r="3481" customFormat="false" ht="14.25" hidden="false" customHeight="true" outlineLevel="0" collapsed="false">
      <c r="A3481" s="51" t="n">
        <v>17049</v>
      </c>
      <c r="B3481" s="53" t="n">
        <v>40884.45</v>
      </c>
      <c r="C3481" s="57" t="n">
        <f aca="false">INT($C$2)-INT(Table3[[#This Row],[Last Purchase Date]])</f>
        <v>3</v>
      </c>
      <c r="D3481" s="1" t="n">
        <v>11</v>
      </c>
      <c r="E3481" s="1" t="n">
        <v>5594.78000000001</v>
      </c>
      <c r="F3481" s="1" t="n">
        <f aca="false">ROUND((1-_xlfn.PERCENTRANK.INC($C$7:$C$4378,C3481))*9,0)</f>
        <v>9</v>
      </c>
      <c r="G3481" s="1" t="n">
        <f aca="false">ROUND(_xlfn.PERCENTRANK.INC($D$7:$D$4378,D3481)*9,0)</f>
        <v>8</v>
      </c>
      <c r="H3481" s="1" t="n">
        <f aca="false">ROUND(_xlfn.PERCENTRANK.INC($E$7:$E$4378,E3481)*9,0)</f>
        <v>9</v>
      </c>
      <c r="I3481" s="1" t="str">
        <f aca="false">CONCATENATE(F3481,G3481,H3481)</f>
        <v>989</v>
      </c>
      <c r="J3481" s="1" t="str">
        <f aca="false">_xlfn.IFS(AND(F3481&gt;=8,G3481&gt;=8,H3481&gt;=8),"CHAMPION",AND(F3481&gt;=6,G3481&gt;=7,H3481&gt;=6),"LOYAL CUSTOMER",AND(F3481&gt;=6,G3481&gt;=5,H3481&gt;=5),"POTENTIAL LOYALIST",AND(F3481&gt;=8,G3481&lt;=2,H3481&gt;=5),"NEW CUSTOMERS",AND(F3481&gt;=6,G3481&lt;=2,H3481&gt;=3),"PROMISING",AND(F3481&gt;=3,G3481&gt;=3,H3481&gt;=3),"NEED ATTENTION",AND(F3481&lt;=4,G3481&gt;=6,H3481&gt;=6),"AT RISK",AND(F3481&lt;=2,G3481&gt;=8,H3481&gt;=8),"CAN'T LOSE THEM",AND(F3481&lt;=2,G3481&lt;=2,H3481&lt;=2),"HIBERNATING",TRUE(),"Other")</f>
        <v>CHAMPION</v>
      </c>
      <c r="K3481" s="1" t="n">
        <f aca="false">RANK(E3481,$E$7:$E$4378)+COUNTIF($E$7:E3481,E3481)-1</f>
        <v>223</v>
      </c>
    </row>
    <row r="3482" customFormat="false" ht="14.25" hidden="false" customHeight="true" outlineLevel="0" collapsed="false">
      <c r="A3482" s="51" t="n">
        <v>17050</v>
      </c>
      <c r="B3482" s="53" t="n">
        <v>40790.575</v>
      </c>
      <c r="C3482" s="57" t="n">
        <f aca="false">INT($C$2)-INT(Table3[[#This Row],[Last Purchase Date]])</f>
        <v>97</v>
      </c>
      <c r="D3482" s="1" t="n">
        <v>6</v>
      </c>
      <c r="E3482" s="1" t="n">
        <v>3228.84</v>
      </c>
      <c r="F3482" s="1" t="n">
        <f aca="false">ROUND((1-_xlfn.PERCENTRANK.INC($C$7:$C$4378,C3482))*9,0)</f>
        <v>3</v>
      </c>
      <c r="G3482" s="1" t="n">
        <f aca="false">ROUND(_xlfn.PERCENTRANK.INC($D$7:$D$4378,D3482)*9,0)</f>
        <v>7</v>
      </c>
      <c r="H3482" s="1" t="n">
        <f aca="false">ROUND(_xlfn.PERCENTRANK.INC($E$7:$E$4378,E3482)*9,0)</f>
        <v>8</v>
      </c>
      <c r="I3482" s="1" t="str">
        <f aca="false">CONCATENATE(F3482,G3482,H3482)</f>
        <v>378</v>
      </c>
      <c r="J3482" s="1" t="str">
        <f aca="false">_xlfn.IFS(AND(F3482&gt;=8,G3482&gt;=8,H3482&gt;=8),"CHAMPION",AND(F3482&gt;=6,G3482&gt;=7,H3482&gt;=6),"LOYAL CUSTOMER",AND(F3482&gt;=6,G3482&gt;=5,H3482&gt;=5),"POTENTIAL LOYALIST",AND(F3482&gt;=8,G3482&lt;=2,H3482&gt;=5),"NEW CUSTOMERS",AND(F3482&gt;=6,G3482&lt;=2,H3482&gt;=3),"PROMISING",AND(F3482&gt;=3,G3482&gt;=3,H3482&gt;=3),"NEED ATTENTION",AND(F3482&lt;=4,G3482&gt;=6,H3482&gt;=6),"AT RISK",AND(F3482&lt;=2,G3482&gt;=8,H3482&gt;=8),"CAN'T LOSE THEM",AND(F3482&lt;=2,G3482&lt;=2,H3482&lt;=2),"HIBERNATING",TRUE(),"Other")</f>
        <v>NEED ATTENTION</v>
      </c>
      <c r="K3482" s="1" t="n">
        <f aca="false">RANK(E3482,$E$7:$E$4378)+COUNTIF($E$7:E3482,E3482)-1</f>
        <v>486</v>
      </c>
    </row>
    <row r="3483" customFormat="false" ht="14.25" hidden="false" customHeight="true" outlineLevel="0" collapsed="false">
      <c r="A3483" s="51" t="n">
        <v>17051</v>
      </c>
      <c r="B3483" s="53" t="n">
        <v>40692.5923611111</v>
      </c>
      <c r="C3483" s="57" t="n">
        <f aca="false">INT($C$2)-INT(Table3[[#This Row],[Last Purchase Date]])</f>
        <v>195</v>
      </c>
      <c r="D3483" s="1" t="n">
        <v>1</v>
      </c>
      <c r="E3483" s="1" t="n">
        <v>247.14</v>
      </c>
      <c r="F3483" s="1" t="n">
        <f aca="false">ROUND((1-_xlfn.PERCENTRANK.INC($C$7:$C$4378,C3483))*9,0)</f>
        <v>2</v>
      </c>
      <c r="G3483" s="1" t="n">
        <f aca="false">ROUND(_xlfn.PERCENTRANK.INC($D$7:$D$4378,D3483)*9,0)</f>
        <v>0</v>
      </c>
      <c r="H3483" s="1" t="n">
        <f aca="false">ROUND(_xlfn.PERCENTRANK.INC($E$7:$E$4378,E3483)*9,0)</f>
        <v>2</v>
      </c>
      <c r="I3483" s="1" t="str">
        <f aca="false">CONCATENATE(F3483,G3483,H3483)</f>
        <v>202</v>
      </c>
      <c r="J3483" s="1" t="str">
        <f aca="false">_xlfn.IFS(AND(F3483&gt;=8,G3483&gt;=8,H3483&gt;=8),"CHAMPION",AND(F3483&gt;=6,G3483&gt;=7,H3483&gt;=6),"LOYAL CUSTOMER",AND(F3483&gt;=6,G3483&gt;=5,H3483&gt;=5),"POTENTIAL LOYALIST",AND(F3483&gt;=8,G3483&lt;=2,H3483&gt;=5),"NEW CUSTOMERS",AND(F3483&gt;=6,G3483&lt;=2,H3483&gt;=3),"PROMISING",AND(F3483&gt;=3,G3483&gt;=3,H3483&gt;=3),"NEED ATTENTION",AND(F3483&lt;=4,G3483&gt;=6,H3483&gt;=6),"AT RISK",AND(F3483&lt;=2,G3483&gt;=8,H3483&gt;=8),"CAN'T LOSE THEM",AND(F3483&lt;=2,G3483&lt;=2,H3483&lt;=2),"HIBERNATING",TRUE(),"Other")</f>
        <v>HIBERNATING</v>
      </c>
      <c r="K3483" s="1" t="n">
        <f aca="false">RANK(E3483,$E$7:$E$4378)+COUNTIF($E$7:E3483,E3483)-1</f>
        <v>3452</v>
      </c>
    </row>
    <row r="3484" customFormat="false" ht="14.25" hidden="false" customHeight="true" outlineLevel="0" collapsed="false">
      <c r="A3484" s="51" t="n">
        <v>17052</v>
      </c>
      <c r="B3484" s="53" t="n">
        <v>40858.6180555556</v>
      </c>
      <c r="C3484" s="57" t="n">
        <f aca="false">INT($C$2)-INT(Table3[[#This Row],[Last Purchase Date]])</f>
        <v>29</v>
      </c>
      <c r="D3484" s="1" t="n">
        <v>1</v>
      </c>
      <c r="E3484" s="1" t="n">
        <v>413.75</v>
      </c>
      <c r="F3484" s="1" t="n">
        <f aca="false">ROUND((1-_xlfn.PERCENTRANK.INC($C$7:$C$4378,C3484))*9,0)</f>
        <v>6</v>
      </c>
      <c r="G3484" s="1" t="n">
        <f aca="false">ROUND(_xlfn.PERCENTRANK.INC($D$7:$D$4378,D3484)*9,0)</f>
        <v>0</v>
      </c>
      <c r="H3484" s="1" t="n">
        <f aca="false">ROUND(_xlfn.PERCENTRANK.INC($E$7:$E$4378,E3484)*9,0)</f>
        <v>3</v>
      </c>
      <c r="I3484" s="1" t="str">
        <f aca="false">CONCATENATE(F3484,G3484,H3484)</f>
        <v>603</v>
      </c>
      <c r="J3484" s="1" t="str">
        <f aca="false">_xlfn.IFS(AND(F3484&gt;=8,G3484&gt;=8,H3484&gt;=8),"CHAMPION",AND(F3484&gt;=6,G3484&gt;=7,H3484&gt;=6),"LOYAL CUSTOMER",AND(F3484&gt;=6,G3484&gt;=5,H3484&gt;=5),"POTENTIAL LOYALIST",AND(F3484&gt;=8,G3484&lt;=2,H3484&gt;=5),"NEW CUSTOMERS",AND(F3484&gt;=6,G3484&lt;=2,H3484&gt;=3),"PROMISING",AND(F3484&gt;=3,G3484&gt;=3,H3484&gt;=3),"NEED ATTENTION",AND(F3484&lt;=4,G3484&gt;=6,H3484&gt;=6),"AT RISK",AND(F3484&lt;=2,G3484&gt;=8,H3484&gt;=8),"CAN'T LOSE THEM",AND(F3484&lt;=2,G3484&lt;=2,H3484&lt;=2),"HIBERNATING",TRUE(),"Other")</f>
        <v>PROMISING</v>
      </c>
      <c r="K3484" s="1" t="n">
        <f aca="false">RANK(E3484,$E$7:$E$4378)+COUNTIF($E$7:E3484,E3484)-1</f>
        <v>2777</v>
      </c>
    </row>
    <row r="3485" customFormat="false" ht="14.25" hidden="false" customHeight="true" outlineLevel="0" collapsed="false">
      <c r="A3485" s="51" t="n">
        <v>17053</v>
      </c>
      <c r="B3485" s="53" t="n">
        <v>40758.4548611111</v>
      </c>
      <c r="C3485" s="57" t="n">
        <f aca="false">INT($C$2)-INT(Table3[[#This Row],[Last Purchase Date]])</f>
        <v>129</v>
      </c>
      <c r="D3485" s="1" t="n">
        <v>2</v>
      </c>
      <c r="E3485" s="1" t="n">
        <v>496.38</v>
      </c>
      <c r="F3485" s="1" t="n">
        <f aca="false">ROUND((1-_xlfn.PERCENTRANK.INC($C$7:$C$4378,C3485))*9,0)</f>
        <v>2</v>
      </c>
      <c r="G3485" s="1" t="n">
        <f aca="false">ROUND(_xlfn.PERCENTRANK.INC($D$7:$D$4378,D3485)*9,0)</f>
        <v>3</v>
      </c>
      <c r="H3485" s="1" t="n">
        <f aca="false">ROUND(_xlfn.PERCENTRANK.INC($E$7:$E$4378,E3485)*9,0)</f>
        <v>4</v>
      </c>
      <c r="I3485" s="1" t="str">
        <f aca="false">CONCATENATE(F3485,G3485,H3485)</f>
        <v>234</v>
      </c>
      <c r="J3485" s="1" t="str">
        <f aca="false">_xlfn.IFS(AND(F3485&gt;=8,G3485&gt;=8,H3485&gt;=8),"CHAMPION",AND(F3485&gt;=6,G3485&gt;=7,H3485&gt;=6),"LOYAL CUSTOMER",AND(F3485&gt;=6,G3485&gt;=5,H3485&gt;=5),"POTENTIAL LOYALIST",AND(F3485&gt;=8,G3485&lt;=2,H3485&gt;=5),"NEW CUSTOMERS",AND(F3485&gt;=6,G3485&lt;=2,H3485&gt;=3),"PROMISING",AND(F3485&gt;=3,G3485&gt;=3,H3485&gt;=3),"NEED ATTENTION",AND(F3485&lt;=4,G3485&gt;=6,H3485&gt;=6),"AT RISK",AND(F3485&lt;=2,G3485&gt;=8,H3485&gt;=8),"CAN'T LOSE THEM",AND(F3485&lt;=2,G3485&lt;=2,H3485&lt;=2),"HIBERNATING",TRUE(),"Other")</f>
        <v>Other</v>
      </c>
      <c r="K3485" s="1" t="n">
        <f aca="false">RANK(E3485,$E$7:$E$4378)+COUNTIF($E$7:E3485,E3485)-1</f>
        <v>2552</v>
      </c>
    </row>
    <row r="3486" customFormat="false" ht="14.25" hidden="false" customHeight="true" outlineLevel="0" collapsed="false">
      <c r="A3486" s="51" t="n">
        <v>17054</v>
      </c>
      <c r="B3486" s="53" t="n">
        <v>40858.5388888889</v>
      </c>
      <c r="C3486" s="57" t="n">
        <f aca="false">INT($C$2)-INT(Table3[[#This Row],[Last Purchase Date]])</f>
        <v>29</v>
      </c>
      <c r="D3486" s="1" t="n">
        <v>6</v>
      </c>
      <c r="E3486" s="1" t="n">
        <v>1353.83</v>
      </c>
      <c r="F3486" s="1" t="n">
        <f aca="false">ROUND((1-_xlfn.PERCENTRANK.INC($C$7:$C$4378,C3486))*9,0)</f>
        <v>6</v>
      </c>
      <c r="G3486" s="1" t="n">
        <f aca="false">ROUND(_xlfn.PERCENTRANK.INC($D$7:$D$4378,D3486)*9,0)</f>
        <v>7</v>
      </c>
      <c r="H3486" s="1" t="n">
        <f aca="false">ROUND(_xlfn.PERCENTRANK.INC($E$7:$E$4378,E3486)*9,0)</f>
        <v>6</v>
      </c>
      <c r="I3486" s="1" t="str">
        <f aca="false">CONCATENATE(F3486,G3486,H3486)</f>
        <v>676</v>
      </c>
      <c r="J3486" s="1" t="str">
        <f aca="false">_xlfn.IFS(AND(F3486&gt;=8,G3486&gt;=8,H3486&gt;=8),"CHAMPION",AND(F3486&gt;=6,G3486&gt;=7,H3486&gt;=6),"LOYAL CUSTOMER",AND(F3486&gt;=6,G3486&gt;=5,H3486&gt;=5),"POTENTIAL LOYALIST",AND(F3486&gt;=8,G3486&lt;=2,H3486&gt;=5),"NEW CUSTOMERS",AND(F3486&gt;=6,G3486&lt;=2,H3486&gt;=3),"PROMISING",AND(F3486&gt;=3,G3486&gt;=3,H3486&gt;=3),"NEED ATTENTION",AND(F3486&lt;=4,G3486&gt;=6,H3486&gt;=6),"AT RISK",AND(F3486&lt;=2,G3486&gt;=8,H3486&gt;=8),"CAN'T LOSE THEM",AND(F3486&lt;=2,G3486&lt;=2,H3486&lt;=2),"HIBERNATING",TRUE(),"Other")</f>
        <v>LOYAL CUSTOMER</v>
      </c>
      <c r="K3486" s="1" t="n">
        <f aca="false">RANK(E3486,$E$7:$E$4378)+COUNTIF($E$7:E3486,E3486)-1</f>
        <v>1268</v>
      </c>
    </row>
    <row r="3487" customFormat="false" ht="14.25" hidden="false" customHeight="true" outlineLevel="0" collapsed="false">
      <c r="A3487" s="51" t="n">
        <v>17058</v>
      </c>
      <c r="B3487" s="53" t="n">
        <v>40805.4256944444</v>
      </c>
      <c r="C3487" s="57" t="n">
        <f aca="false">INT($C$2)-INT(Table3[[#This Row],[Last Purchase Date]])</f>
        <v>82</v>
      </c>
      <c r="D3487" s="1" t="n">
        <v>3</v>
      </c>
      <c r="E3487" s="1" t="n">
        <v>1179.89</v>
      </c>
      <c r="F3487" s="1" t="n">
        <f aca="false">ROUND((1-_xlfn.PERCENTRANK.INC($C$7:$C$4378,C3487))*9,0)</f>
        <v>3</v>
      </c>
      <c r="G3487" s="1" t="n">
        <f aca="false">ROUND(_xlfn.PERCENTRANK.INC($D$7:$D$4378,D3487)*9,0)</f>
        <v>4</v>
      </c>
      <c r="H3487" s="1" t="n">
        <f aca="false">ROUND(_xlfn.PERCENTRANK.INC($E$7:$E$4378,E3487)*9,0)</f>
        <v>6</v>
      </c>
      <c r="I3487" s="1" t="str">
        <f aca="false">CONCATENATE(F3487,G3487,H3487)</f>
        <v>346</v>
      </c>
      <c r="J3487" s="1" t="str">
        <f aca="false">_xlfn.IFS(AND(F3487&gt;=8,G3487&gt;=8,H3487&gt;=8),"CHAMPION",AND(F3487&gt;=6,G3487&gt;=7,H3487&gt;=6),"LOYAL CUSTOMER",AND(F3487&gt;=6,G3487&gt;=5,H3487&gt;=5),"POTENTIAL LOYALIST",AND(F3487&gt;=8,G3487&lt;=2,H3487&gt;=5),"NEW CUSTOMERS",AND(F3487&gt;=6,G3487&lt;=2,H3487&gt;=3),"PROMISING",AND(F3487&gt;=3,G3487&gt;=3,H3487&gt;=3),"NEED ATTENTION",AND(F3487&lt;=4,G3487&gt;=6,H3487&gt;=6),"AT RISK",AND(F3487&lt;=2,G3487&gt;=8,H3487&gt;=8),"CAN'T LOSE THEM",AND(F3487&lt;=2,G3487&lt;=2,H3487&lt;=2),"HIBERNATING",TRUE(),"Other")</f>
        <v>NEED ATTENTION</v>
      </c>
      <c r="K3487" s="1" t="n">
        <f aca="false">RANK(E3487,$E$7:$E$4378)+COUNTIF($E$7:E3487,E3487)-1</f>
        <v>1426</v>
      </c>
    </row>
    <row r="3488" customFormat="false" ht="14.25" hidden="false" customHeight="true" outlineLevel="0" collapsed="false">
      <c r="A3488" s="51" t="n">
        <v>17059</v>
      </c>
      <c r="B3488" s="53" t="n">
        <v>40857.51875</v>
      </c>
      <c r="C3488" s="57" t="n">
        <f aca="false">INT($C$2)-INT(Table3[[#This Row],[Last Purchase Date]])</f>
        <v>30</v>
      </c>
      <c r="D3488" s="1" t="n">
        <v>5</v>
      </c>
      <c r="E3488" s="1" t="n">
        <v>3095.04</v>
      </c>
      <c r="F3488" s="1" t="n">
        <f aca="false">ROUND((1-_xlfn.PERCENTRANK.INC($C$7:$C$4378,C3488))*9,0)</f>
        <v>6</v>
      </c>
      <c r="G3488" s="1" t="n">
        <f aca="false">ROUND(_xlfn.PERCENTRANK.INC($D$7:$D$4378,D3488)*9,0)</f>
        <v>6</v>
      </c>
      <c r="H3488" s="1" t="n">
        <f aca="false">ROUND(_xlfn.PERCENTRANK.INC($E$7:$E$4378,E3488)*9,0)</f>
        <v>8</v>
      </c>
      <c r="I3488" s="1" t="str">
        <f aca="false">CONCATENATE(F3488,G3488,H3488)</f>
        <v>668</v>
      </c>
      <c r="J3488" s="1" t="str">
        <f aca="false">_xlfn.IFS(AND(F3488&gt;=8,G3488&gt;=8,H3488&gt;=8),"CHAMPION",AND(F3488&gt;=6,G3488&gt;=7,H3488&gt;=6),"LOYAL CUSTOMER",AND(F3488&gt;=6,G3488&gt;=5,H3488&gt;=5),"POTENTIAL LOYALIST",AND(F3488&gt;=8,G3488&lt;=2,H3488&gt;=5),"NEW CUSTOMERS",AND(F3488&gt;=6,G3488&lt;=2,H3488&gt;=3),"PROMISING",AND(F3488&gt;=3,G3488&gt;=3,H3488&gt;=3),"NEED ATTENTION",AND(F3488&lt;=4,G3488&gt;=6,H3488&gt;=6),"AT RISK",AND(F3488&lt;=2,G3488&gt;=8,H3488&gt;=8),"CAN'T LOSE THEM",AND(F3488&lt;=2,G3488&lt;=2,H3488&lt;=2),"HIBERNATING",TRUE(),"Other")</f>
        <v>POTENTIAL LOYALIST</v>
      </c>
      <c r="K3488" s="1" t="n">
        <f aca="false">RANK(E3488,$E$7:$E$4378)+COUNTIF($E$7:E3488,E3488)-1</f>
        <v>514</v>
      </c>
    </row>
    <row r="3489" customFormat="false" ht="14.25" hidden="false" customHeight="true" outlineLevel="0" collapsed="false">
      <c r="A3489" s="51" t="n">
        <v>17060</v>
      </c>
      <c r="B3489" s="53" t="n">
        <v>40620.5604166667</v>
      </c>
      <c r="C3489" s="57" t="n">
        <f aca="false">INT($C$2)-INT(Table3[[#This Row],[Last Purchase Date]])</f>
        <v>267</v>
      </c>
      <c r="D3489" s="1" t="n">
        <v>1</v>
      </c>
      <c r="E3489" s="1" t="n">
        <v>234.24</v>
      </c>
      <c r="F3489" s="1" t="n">
        <f aca="false">ROUND((1-_xlfn.PERCENTRANK.INC($C$7:$C$4378,C3489))*9,0)</f>
        <v>1</v>
      </c>
      <c r="G3489" s="1" t="n">
        <f aca="false">ROUND(_xlfn.PERCENTRANK.INC($D$7:$D$4378,D3489)*9,0)</f>
        <v>0</v>
      </c>
      <c r="H3489" s="1" t="n">
        <f aca="false">ROUND(_xlfn.PERCENTRANK.INC($E$7:$E$4378,E3489)*9,0)</f>
        <v>2</v>
      </c>
      <c r="I3489" s="1" t="str">
        <f aca="false">CONCATENATE(F3489,G3489,H3489)</f>
        <v>102</v>
      </c>
      <c r="J3489" s="1" t="str">
        <f aca="false">_xlfn.IFS(AND(F3489&gt;=8,G3489&gt;=8,H3489&gt;=8),"CHAMPION",AND(F3489&gt;=6,G3489&gt;=7,H3489&gt;=6),"LOYAL CUSTOMER",AND(F3489&gt;=6,G3489&gt;=5,H3489&gt;=5),"POTENTIAL LOYALIST",AND(F3489&gt;=8,G3489&lt;=2,H3489&gt;=5),"NEW CUSTOMERS",AND(F3489&gt;=6,G3489&lt;=2,H3489&gt;=3),"PROMISING",AND(F3489&gt;=3,G3489&gt;=3,H3489&gt;=3),"NEED ATTENTION",AND(F3489&lt;=4,G3489&gt;=6,H3489&gt;=6),"AT RISK",AND(F3489&lt;=2,G3489&gt;=8,H3489&gt;=8),"CAN'T LOSE THEM",AND(F3489&lt;=2,G3489&lt;=2,H3489&lt;=2),"HIBERNATING",TRUE(),"Other")</f>
        <v>HIBERNATING</v>
      </c>
      <c r="K3489" s="1" t="n">
        <f aca="false">RANK(E3489,$E$7:$E$4378)+COUNTIF($E$7:E3489,E3489)-1</f>
        <v>3499</v>
      </c>
    </row>
    <row r="3490" customFormat="false" ht="14.25" hidden="false" customHeight="true" outlineLevel="0" collapsed="false">
      <c r="A3490" s="51" t="n">
        <v>17061</v>
      </c>
      <c r="B3490" s="53" t="n">
        <v>40813.475</v>
      </c>
      <c r="C3490" s="57" t="n">
        <f aca="false">INT($C$2)-INT(Table3[[#This Row],[Last Purchase Date]])</f>
        <v>74</v>
      </c>
      <c r="D3490" s="1" t="n">
        <v>12</v>
      </c>
      <c r="E3490" s="1" t="n">
        <v>5116.13</v>
      </c>
      <c r="F3490" s="1" t="n">
        <f aca="false">ROUND((1-_xlfn.PERCENTRANK.INC($C$7:$C$4378,C3490))*9,0)</f>
        <v>3</v>
      </c>
      <c r="G3490" s="1" t="n">
        <f aca="false">ROUND(_xlfn.PERCENTRANK.INC($D$7:$D$4378,D3490)*9,0)</f>
        <v>8</v>
      </c>
      <c r="H3490" s="1" t="n">
        <f aca="false">ROUND(_xlfn.PERCENTRANK.INC($E$7:$E$4378,E3490)*9,0)</f>
        <v>8</v>
      </c>
      <c r="I3490" s="1" t="str">
        <f aca="false">CONCATENATE(F3490,G3490,H3490)</f>
        <v>388</v>
      </c>
      <c r="J3490" s="1" t="str">
        <f aca="false">_xlfn.IFS(AND(F3490&gt;=8,G3490&gt;=8,H3490&gt;=8),"CHAMPION",AND(F3490&gt;=6,G3490&gt;=7,H3490&gt;=6),"LOYAL CUSTOMER",AND(F3490&gt;=6,G3490&gt;=5,H3490&gt;=5),"POTENTIAL LOYALIST",AND(F3490&gt;=8,G3490&lt;=2,H3490&gt;=5),"NEW CUSTOMERS",AND(F3490&gt;=6,G3490&lt;=2,H3490&gt;=3),"PROMISING",AND(F3490&gt;=3,G3490&gt;=3,H3490&gt;=3),"NEED ATTENTION",AND(F3490&lt;=4,G3490&gt;=6,H3490&gt;=6),"AT RISK",AND(F3490&lt;=2,G3490&gt;=8,H3490&gt;=8),"CAN'T LOSE THEM",AND(F3490&lt;=2,G3490&lt;=2,H3490&lt;=2),"HIBERNATING",TRUE(),"Other")</f>
        <v>NEED ATTENTION</v>
      </c>
      <c r="K3490" s="1" t="n">
        <f aca="false">RANK(E3490,$E$7:$E$4378)+COUNTIF($E$7:E3490,E3490)-1</f>
        <v>251</v>
      </c>
    </row>
    <row r="3491" customFormat="false" ht="14.25" hidden="false" customHeight="true" outlineLevel="0" collapsed="false">
      <c r="A3491" s="51" t="n">
        <v>17062</v>
      </c>
      <c r="B3491" s="53" t="n">
        <v>40573.4590277778</v>
      </c>
      <c r="C3491" s="57" t="n">
        <f aca="false">INT($C$2)-INT(Table3[[#This Row],[Last Purchase Date]])</f>
        <v>314</v>
      </c>
      <c r="D3491" s="1" t="n">
        <v>5</v>
      </c>
      <c r="E3491" s="1" t="n">
        <v>534.47</v>
      </c>
      <c r="F3491" s="1" t="n">
        <f aca="false">ROUND((1-_xlfn.PERCENTRANK.INC($C$7:$C$4378,C3491))*9,0)</f>
        <v>0</v>
      </c>
      <c r="G3491" s="1" t="n">
        <f aca="false">ROUND(_xlfn.PERCENTRANK.INC($D$7:$D$4378,D3491)*9,0)</f>
        <v>6</v>
      </c>
      <c r="H3491" s="1" t="n">
        <f aca="false">ROUND(_xlfn.PERCENTRANK.INC($E$7:$E$4378,E3491)*9,0)</f>
        <v>4</v>
      </c>
      <c r="I3491" s="1" t="str">
        <f aca="false">CONCATENATE(F3491,G3491,H3491)</f>
        <v>064</v>
      </c>
      <c r="J3491" s="1" t="str">
        <f aca="false">_xlfn.IFS(AND(F3491&gt;=8,G3491&gt;=8,H3491&gt;=8),"CHAMPION",AND(F3491&gt;=6,G3491&gt;=7,H3491&gt;=6),"LOYAL CUSTOMER",AND(F3491&gt;=6,G3491&gt;=5,H3491&gt;=5),"POTENTIAL LOYALIST",AND(F3491&gt;=8,G3491&lt;=2,H3491&gt;=5),"NEW CUSTOMERS",AND(F3491&gt;=6,G3491&lt;=2,H3491&gt;=3),"PROMISING",AND(F3491&gt;=3,G3491&gt;=3,H3491&gt;=3),"NEED ATTENTION",AND(F3491&lt;=4,G3491&gt;=6,H3491&gt;=6),"AT RISK",AND(F3491&lt;=2,G3491&gt;=8,H3491&gt;=8),"CAN'T LOSE THEM",AND(F3491&lt;=2,G3491&lt;=2,H3491&lt;=2),"HIBERNATING",TRUE(),"Other")</f>
        <v>Other</v>
      </c>
      <c r="K3491" s="1" t="n">
        <f aca="false">RANK(E3491,$E$7:$E$4378)+COUNTIF($E$7:E3491,E3491)-1</f>
        <v>2473</v>
      </c>
    </row>
    <row r="3492" customFormat="false" ht="14.25" hidden="false" customHeight="true" outlineLevel="0" collapsed="false">
      <c r="A3492" s="51" t="n">
        <v>17063</v>
      </c>
      <c r="B3492" s="53" t="n">
        <v>40878.3652777778</v>
      </c>
      <c r="C3492" s="57" t="n">
        <f aca="false">INT($C$2)-INT(Table3[[#This Row],[Last Purchase Date]])</f>
        <v>9</v>
      </c>
      <c r="D3492" s="1" t="n">
        <v>11</v>
      </c>
      <c r="E3492" s="1" t="n">
        <v>1421.59</v>
      </c>
      <c r="F3492" s="1" t="n">
        <f aca="false">ROUND((1-_xlfn.PERCENTRANK.INC($C$7:$C$4378,C3492))*9,0)</f>
        <v>8</v>
      </c>
      <c r="G3492" s="1" t="n">
        <f aca="false">ROUND(_xlfn.PERCENTRANK.INC($D$7:$D$4378,D3492)*9,0)</f>
        <v>8</v>
      </c>
      <c r="H3492" s="1" t="n">
        <f aca="false">ROUND(_xlfn.PERCENTRANK.INC($E$7:$E$4378,E3492)*9,0)</f>
        <v>6</v>
      </c>
      <c r="I3492" s="1" t="str">
        <f aca="false">CONCATENATE(F3492,G3492,H3492)</f>
        <v>886</v>
      </c>
      <c r="J3492" s="1" t="str">
        <f aca="false">_xlfn.IFS(AND(F3492&gt;=8,G3492&gt;=8,H3492&gt;=8),"CHAMPION",AND(F3492&gt;=6,G3492&gt;=7,H3492&gt;=6),"LOYAL CUSTOMER",AND(F3492&gt;=6,G3492&gt;=5,H3492&gt;=5),"POTENTIAL LOYALIST",AND(F3492&gt;=8,G3492&lt;=2,H3492&gt;=5),"NEW CUSTOMERS",AND(F3492&gt;=6,G3492&lt;=2,H3492&gt;=3),"PROMISING",AND(F3492&gt;=3,G3492&gt;=3,H3492&gt;=3),"NEED ATTENTION",AND(F3492&lt;=4,G3492&gt;=6,H3492&gt;=6),"AT RISK",AND(F3492&lt;=2,G3492&gt;=8,H3492&gt;=8),"CAN'T LOSE THEM",AND(F3492&lt;=2,G3492&lt;=2,H3492&lt;=2),"HIBERNATING",TRUE(),"Other")</f>
        <v>LOYAL CUSTOMER</v>
      </c>
      <c r="K3492" s="1" t="n">
        <f aca="false">RANK(E3492,$E$7:$E$4378)+COUNTIF($E$7:E3492,E3492)-1</f>
        <v>1219</v>
      </c>
    </row>
    <row r="3493" customFormat="false" ht="14.25" hidden="false" customHeight="true" outlineLevel="0" collapsed="false">
      <c r="A3493" s="51" t="n">
        <v>17064</v>
      </c>
      <c r="B3493" s="53" t="n">
        <v>40828.4291666667</v>
      </c>
      <c r="C3493" s="57" t="n">
        <f aca="false">INT($C$2)-INT(Table3[[#This Row],[Last Purchase Date]])</f>
        <v>59</v>
      </c>
      <c r="D3493" s="1" t="n">
        <v>3</v>
      </c>
      <c r="E3493" s="1" t="n">
        <v>859.35</v>
      </c>
      <c r="F3493" s="1" t="n">
        <f aca="false">ROUND((1-_xlfn.PERCENTRANK.INC($C$7:$C$4378,C3493))*9,0)</f>
        <v>4</v>
      </c>
      <c r="G3493" s="1" t="n">
        <f aca="false">ROUND(_xlfn.PERCENTRANK.INC($D$7:$D$4378,D3493)*9,0)</f>
        <v>4</v>
      </c>
      <c r="H3493" s="1" t="n">
        <f aca="false">ROUND(_xlfn.PERCENTRANK.INC($E$7:$E$4378,E3493)*9,0)</f>
        <v>5</v>
      </c>
      <c r="I3493" s="1" t="str">
        <f aca="false">CONCATENATE(F3493,G3493,H3493)</f>
        <v>445</v>
      </c>
      <c r="J3493" s="1" t="str">
        <f aca="false">_xlfn.IFS(AND(F3493&gt;=8,G3493&gt;=8,H3493&gt;=8),"CHAMPION",AND(F3493&gt;=6,G3493&gt;=7,H3493&gt;=6),"LOYAL CUSTOMER",AND(F3493&gt;=6,G3493&gt;=5,H3493&gt;=5),"POTENTIAL LOYALIST",AND(F3493&gt;=8,G3493&lt;=2,H3493&gt;=5),"NEW CUSTOMERS",AND(F3493&gt;=6,G3493&lt;=2,H3493&gt;=3),"PROMISING",AND(F3493&gt;=3,G3493&gt;=3,H3493&gt;=3),"NEED ATTENTION",AND(F3493&lt;=4,G3493&gt;=6,H3493&gt;=6),"AT RISK",AND(F3493&lt;=2,G3493&gt;=8,H3493&gt;=8),"CAN'T LOSE THEM",AND(F3493&lt;=2,G3493&lt;=2,H3493&lt;=2),"HIBERNATING",TRUE(),"Other")</f>
        <v>NEED ATTENTION</v>
      </c>
      <c r="K3493" s="1" t="n">
        <f aca="false">RANK(E3493,$E$7:$E$4378)+COUNTIF($E$7:E3493,E3493)-1</f>
        <v>1819</v>
      </c>
    </row>
    <row r="3494" customFormat="false" ht="14.25" hidden="false" customHeight="true" outlineLevel="0" collapsed="false">
      <c r="A3494" s="51" t="n">
        <v>17065</v>
      </c>
      <c r="B3494" s="53" t="n">
        <v>40743.6145833333</v>
      </c>
      <c r="C3494" s="57" t="n">
        <f aca="false">INT($C$2)-INT(Table3[[#This Row],[Last Purchase Date]])</f>
        <v>144</v>
      </c>
      <c r="D3494" s="1" t="n">
        <v>1</v>
      </c>
      <c r="E3494" s="1" t="n">
        <v>-112.35</v>
      </c>
      <c r="F3494" s="1" t="n">
        <f aca="false">ROUND((1-_xlfn.PERCENTRANK.INC($C$7:$C$4378,C3494))*9,0)</f>
        <v>2</v>
      </c>
      <c r="G3494" s="1" t="n">
        <f aca="false">ROUND(_xlfn.PERCENTRANK.INC($D$7:$D$4378,D3494)*9,0)</f>
        <v>0</v>
      </c>
      <c r="H3494" s="1" t="n">
        <f aca="false">ROUND(_xlfn.PERCENTRANK.INC($E$7:$E$4378,E3494)*9,0)</f>
        <v>0</v>
      </c>
      <c r="I3494" s="1" t="str">
        <f aca="false">CONCATENATE(F3494,G3494,H3494)</f>
        <v>200</v>
      </c>
      <c r="J3494" s="1" t="str">
        <f aca="false">_xlfn.IFS(AND(F3494&gt;=8,G3494&gt;=8,H3494&gt;=8),"CHAMPION",AND(F3494&gt;=6,G3494&gt;=7,H3494&gt;=6),"LOYAL CUSTOMER",AND(F3494&gt;=6,G3494&gt;=5,H3494&gt;=5),"POTENTIAL LOYALIST",AND(F3494&gt;=8,G3494&lt;=2,H3494&gt;=5),"NEW CUSTOMERS",AND(F3494&gt;=6,G3494&lt;=2,H3494&gt;=3),"PROMISING",AND(F3494&gt;=3,G3494&gt;=3,H3494&gt;=3),"NEED ATTENTION",AND(F3494&lt;=4,G3494&gt;=6,H3494&gt;=6),"AT RISK",AND(F3494&lt;=2,G3494&gt;=8,H3494&gt;=8),"CAN'T LOSE THEM",AND(F3494&lt;=2,G3494&lt;=2,H3494&lt;=2),"HIBERNATING",TRUE(),"Other")</f>
        <v>HIBERNATING</v>
      </c>
      <c r="K3494" s="1" t="n">
        <f aca="false">RANK(E3494,$E$7:$E$4378)+COUNTIF($E$7:E3494,E3494)-1</f>
        <v>4359</v>
      </c>
    </row>
    <row r="3495" customFormat="false" ht="14.25" hidden="false" customHeight="true" outlineLevel="0" collapsed="false">
      <c r="A3495" s="51" t="n">
        <v>17068</v>
      </c>
      <c r="B3495" s="53" t="n">
        <v>40874.5513888889</v>
      </c>
      <c r="C3495" s="57" t="n">
        <f aca="false">INT($C$2)-INT(Table3[[#This Row],[Last Purchase Date]])</f>
        <v>13</v>
      </c>
      <c r="D3495" s="1" t="n">
        <v>22</v>
      </c>
      <c r="E3495" s="1" t="n">
        <v>4531.34</v>
      </c>
      <c r="F3495" s="1" t="n">
        <f aca="false">ROUND((1-_xlfn.PERCENTRANK.INC($C$7:$C$4378,C3495))*9,0)</f>
        <v>7</v>
      </c>
      <c r="G3495" s="1" t="n">
        <f aca="false">ROUND(_xlfn.PERCENTRANK.INC($D$7:$D$4378,D3495)*9,0)</f>
        <v>9</v>
      </c>
      <c r="H3495" s="1" t="n">
        <f aca="false">ROUND(_xlfn.PERCENTRANK.INC($E$7:$E$4378,E3495)*9,0)</f>
        <v>8</v>
      </c>
      <c r="I3495" s="1" t="str">
        <f aca="false">CONCATENATE(F3495,G3495,H3495)</f>
        <v>798</v>
      </c>
      <c r="J3495" s="1" t="str">
        <f aca="false">_xlfn.IFS(AND(F3495&gt;=8,G3495&gt;=8,H3495&gt;=8),"CHAMPION",AND(F3495&gt;=6,G3495&gt;=7,H3495&gt;=6),"LOYAL CUSTOMER",AND(F3495&gt;=6,G3495&gt;=5,H3495&gt;=5),"POTENTIAL LOYALIST",AND(F3495&gt;=8,G3495&lt;=2,H3495&gt;=5),"NEW CUSTOMERS",AND(F3495&gt;=6,G3495&lt;=2,H3495&gt;=3),"PROMISING",AND(F3495&gt;=3,G3495&gt;=3,H3495&gt;=3),"NEED ATTENTION",AND(F3495&lt;=4,G3495&gt;=6,H3495&gt;=6),"AT RISK",AND(F3495&lt;=2,G3495&gt;=8,H3495&gt;=8),"CAN'T LOSE THEM",AND(F3495&lt;=2,G3495&lt;=2,H3495&lt;=2),"HIBERNATING",TRUE(),"Other")</f>
        <v>LOYAL CUSTOMER</v>
      </c>
      <c r="K3495" s="1" t="n">
        <f aca="false">RANK(E3495,$E$7:$E$4378)+COUNTIF($E$7:E3495,E3495)-1</f>
        <v>300</v>
      </c>
    </row>
    <row r="3496" customFormat="false" ht="14.25" hidden="false" customHeight="true" outlineLevel="0" collapsed="false">
      <c r="A3496" s="51" t="n">
        <v>17069</v>
      </c>
      <c r="B3496" s="53" t="n">
        <v>40858.7173611111</v>
      </c>
      <c r="C3496" s="57" t="n">
        <f aca="false">INT($C$2)-INT(Table3[[#This Row],[Last Purchase Date]])</f>
        <v>29</v>
      </c>
      <c r="D3496" s="1" t="n">
        <v>13</v>
      </c>
      <c r="E3496" s="1" t="n">
        <v>2655.22</v>
      </c>
      <c r="F3496" s="1" t="n">
        <f aca="false">ROUND((1-_xlfn.PERCENTRANK.INC($C$7:$C$4378,C3496))*9,0)</f>
        <v>6</v>
      </c>
      <c r="G3496" s="1" t="n">
        <f aca="false">ROUND(_xlfn.PERCENTRANK.INC($D$7:$D$4378,D3496)*9,0)</f>
        <v>8</v>
      </c>
      <c r="H3496" s="1" t="n">
        <f aca="false">ROUND(_xlfn.PERCENTRANK.INC($E$7:$E$4378,E3496)*9,0)</f>
        <v>8</v>
      </c>
      <c r="I3496" s="1" t="str">
        <f aca="false">CONCATENATE(F3496,G3496,H3496)</f>
        <v>688</v>
      </c>
      <c r="J3496" s="1" t="str">
        <f aca="false">_xlfn.IFS(AND(F3496&gt;=8,G3496&gt;=8,H3496&gt;=8),"CHAMPION",AND(F3496&gt;=6,G3496&gt;=7,H3496&gt;=6),"LOYAL CUSTOMER",AND(F3496&gt;=6,G3496&gt;=5,H3496&gt;=5),"POTENTIAL LOYALIST",AND(F3496&gt;=8,G3496&lt;=2,H3496&gt;=5),"NEW CUSTOMERS",AND(F3496&gt;=6,G3496&lt;=2,H3496&gt;=3),"PROMISING",AND(F3496&gt;=3,G3496&gt;=3,H3496&gt;=3),"NEED ATTENTION",AND(F3496&lt;=4,G3496&gt;=6,H3496&gt;=6),"AT RISK",AND(F3496&lt;=2,G3496&gt;=8,H3496&gt;=8),"CAN'T LOSE THEM",AND(F3496&lt;=2,G3496&lt;=2,H3496&lt;=2),"HIBERNATING",TRUE(),"Other")</f>
        <v>LOYAL CUSTOMER</v>
      </c>
      <c r="K3496" s="1" t="n">
        <f aca="false">RANK(E3496,$E$7:$E$4378)+COUNTIF($E$7:E3496,E3496)-1</f>
        <v>624</v>
      </c>
    </row>
    <row r="3497" customFormat="false" ht="14.25" hidden="false" customHeight="true" outlineLevel="0" collapsed="false">
      <c r="A3497" s="51" t="n">
        <v>17070</v>
      </c>
      <c r="B3497" s="53" t="n">
        <v>40772.7090277778</v>
      </c>
      <c r="C3497" s="57" t="n">
        <f aca="false">INT($C$2)-INT(Table3[[#This Row],[Last Purchase Date]])</f>
        <v>115</v>
      </c>
      <c r="D3497" s="1" t="n">
        <v>1</v>
      </c>
      <c r="E3497" s="1" t="n">
        <v>312.14</v>
      </c>
      <c r="F3497" s="1" t="n">
        <f aca="false">ROUND((1-_xlfn.PERCENTRANK.INC($C$7:$C$4378,C3497))*9,0)</f>
        <v>3</v>
      </c>
      <c r="G3497" s="1" t="n">
        <f aca="false">ROUND(_xlfn.PERCENTRANK.INC($D$7:$D$4378,D3497)*9,0)</f>
        <v>0</v>
      </c>
      <c r="H3497" s="1" t="n">
        <f aca="false">ROUND(_xlfn.PERCENTRANK.INC($E$7:$E$4378,E3497)*9,0)</f>
        <v>2</v>
      </c>
      <c r="I3497" s="1" t="str">
        <f aca="false">CONCATENATE(F3497,G3497,H3497)</f>
        <v>302</v>
      </c>
      <c r="J3497" s="1" t="str">
        <f aca="false">_xlfn.IFS(AND(F3497&gt;=8,G3497&gt;=8,H3497&gt;=8),"CHAMPION",AND(F3497&gt;=6,G3497&gt;=7,H3497&gt;=6),"LOYAL CUSTOMER",AND(F3497&gt;=6,G3497&gt;=5,H3497&gt;=5),"POTENTIAL LOYALIST",AND(F3497&gt;=8,G3497&lt;=2,H3497&gt;=5),"NEW CUSTOMERS",AND(F3497&gt;=6,G3497&lt;=2,H3497&gt;=3),"PROMISING",AND(F3497&gt;=3,G3497&gt;=3,H3497&gt;=3),"NEED ATTENTION",AND(F3497&lt;=4,G3497&gt;=6,H3497&gt;=6),"AT RISK",AND(F3497&lt;=2,G3497&gt;=8,H3497&gt;=8),"CAN'T LOSE THEM",AND(F3497&lt;=2,G3497&lt;=2,H3497&lt;=2),"HIBERNATING",TRUE(),"Other")</f>
        <v>Other</v>
      </c>
      <c r="K3497" s="1" t="n">
        <f aca="false">RANK(E3497,$E$7:$E$4378)+COUNTIF($E$7:E3497,E3497)-1</f>
        <v>3181</v>
      </c>
    </row>
    <row r="3498" customFormat="false" ht="14.25" hidden="false" customHeight="true" outlineLevel="0" collapsed="false">
      <c r="A3498" s="51" t="n">
        <v>17071</v>
      </c>
      <c r="B3498" s="53" t="n">
        <v>40878.3791666667</v>
      </c>
      <c r="C3498" s="57" t="n">
        <f aca="false">INT($C$2)-INT(Table3[[#This Row],[Last Purchase Date]])</f>
        <v>9</v>
      </c>
      <c r="D3498" s="1" t="n">
        <v>14</v>
      </c>
      <c r="E3498" s="1" t="n">
        <v>2385.48</v>
      </c>
      <c r="F3498" s="1" t="n">
        <f aca="false">ROUND((1-_xlfn.PERCENTRANK.INC($C$7:$C$4378,C3498))*9,0)</f>
        <v>8</v>
      </c>
      <c r="G3498" s="1" t="n">
        <f aca="false">ROUND(_xlfn.PERCENTRANK.INC($D$7:$D$4378,D3498)*9,0)</f>
        <v>8</v>
      </c>
      <c r="H3498" s="1" t="n">
        <f aca="false">ROUND(_xlfn.PERCENTRANK.INC($E$7:$E$4378,E3498)*9,0)</f>
        <v>8</v>
      </c>
      <c r="I3498" s="1" t="str">
        <f aca="false">CONCATENATE(F3498,G3498,H3498)</f>
        <v>888</v>
      </c>
      <c r="J3498" s="1" t="str">
        <f aca="false">_xlfn.IFS(AND(F3498&gt;=8,G3498&gt;=8,H3498&gt;=8),"CHAMPION",AND(F3498&gt;=6,G3498&gt;=7,H3498&gt;=6),"LOYAL CUSTOMER",AND(F3498&gt;=6,G3498&gt;=5,H3498&gt;=5),"POTENTIAL LOYALIST",AND(F3498&gt;=8,G3498&lt;=2,H3498&gt;=5),"NEW CUSTOMERS",AND(F3498&gt;=6,G3498&lt;=2,H3498&gt;=3),"PROMISING",AND(F3498&gt;=3,G3498&gt;=3,H3498&gt;=3),"NEED ATTENTION",AND(F3498&lt;=4,G3498&gt;=6,H3498&gt;=6),"AT RISK",AND(F3498&lt;=2,G3498&gt;=8,H3498&gt;=8),"CAN'T LOSE THEM",AND(F3498&lt;=2,G3498&lt;=2,H3498&lt;=2),"HIBERNATING",TRUE(),"Other")</f>
        <v>CHAMPION</v>
      </c>
      <c r="K3498" s="1" t="n">
        <f aca="false">RANK(E3498,$E$7:$E$4378)+COUNTIF($E$7:E3498,E3498)-1</f>
        <v>713</v>
      </c>
    </row>
    <row r="3499" customFormat="false" ht="14.25" hidden="false" customHeight="true" outlineLevel="0" collapsed="false">
      <c r="A3499" s="51" t="n">
        <v>17073</v>
      </c>
      <c r="B3499" s="53" t="n">
        <v>40869.4909722222</v>
      </c>
      <c r="C3499" s="57" t="n">
        <f aca="false">INT($C$2)-INT(Table3[[#This Row],[Last Purchase Date]])</f>
        <v>18</v>
      </c>
      <c r="D3499" s="1" t="n">
        <v>4</v>
      </c>
      <c r="E3499" s="1" t="n">
        <v>1446.09</v>
      </c>
      <c r="F3499" s="1" t="n">
        <f aca="false">ROUND((1-_xlfn.PERCENTRANK.INC($C$7:$C$4378,C3499))*9,0)</f>
        <v>7</v>
      </c>
      <c r="G3499" s="1" t="n">
        <f aca="false">ROUND(_xlfn.PERCENTRANK.INC($D$7:$D$4378,D3499)*9,0)</f>
        <v>5</v>
      </c>
      <c r="H3499" s="1" t="n">
        <f aca="false">ROUND(_xlfn.PERCENTRANK.INC($E$7:$E$4378,E3499)*9,0)</f>
        <v>7</v>
      </c>
      <c r="I3499" s="1" t="str">
        <f aca="false">CONCATENATE(F3499,G3499,H3499)</f>
        <v>757</v>
      </c>
      <c r="J3499" s="1" t="str">
        <f aca="false">_xlfn.IFS(AND(F3499&gt;=8,G3499&gt;=8,H3499&gt;=8),"CHAMPION",AND(F3499&gt;=6,G3499&gt;=7,H3499&gt;=6),"LOYAL CUSTOMER",AND(F3499&gt;=6,G3499&gt;=5,H3499&gt;=5),"POTENTIAL LOYALIST",AND(F3499&gt;=8,G3499&lt;=2,H3499&gt;=5),"NEW CUSTOMERS",AND(F3499&gt;=6,G3499&lt;=2,H3499&gt;=3),"PROMISING",AND(F3499&gt;=3,G3499&gt;=3,H3499&gt;=3),"NEED ATTENTION",AND(F3499&lt;=4,G3499&gt;=6,H3499&gt;=6),"AT RISK",AND(F3499&lt;=2,G3499&gt;=8,H3499&gt;=8),"CAN'T LOSE THEM",AND(F3499&lt;=2,G3499&lt;=2,H3499&lt;=2),"HIBERNATING",TRUE(),"Other")</f>
        <v>POTENTIAL LOYALIST</v>
      </c>
      <c r="K3499" s="1" t="n">
        <f aca="false">RANK(E3499,$E$7:$E$4378)+COUNTIF($E$7:E3499,E3499)-1</f>
        <v>1202</v>
      </c>
    </row>
    <row r="3500" customFormat="false" ht="14.25" hidden="false" customHeight="true" outlineLevel="0" collapsed="false">
      <c r="A3500" s="51" t="n">
        <v>17075</v>
      </c>
      <c r="B3500" s="53" t="n">
        <v>40869.4986111111</v>
      </c>
      <c r="C3500" s="57" t="n">
        <f aca="false">INT($C$2)-INT(Table3[[#This Row],[Last Purchase Date]])</f>
        <v>18</v>
      </c>
      <c r="D3500" s="1" t="n">
        <v>5</v>
      </c>
      <c r="E3500" s="1" t="n">
        <v>813.77</v>
      </c>
      <c r="F3500" s="1" t="n">
        <f aca="false">ROUND((1-_xlfn.PERCENTRANK.INC($C$7:$C$4378,C3500))*9,0)</f>
        <v>7</v>
      </c>
      <c r="G3500" s="1" t="n">
        <f aca="false">ROUND(_xlfn.PERCENTRANK.INC($D$7:$D$4378,D3500)*9,0)</f>
        <v>6</v>
      </c>
      <c r="H3500" s="1" t="n">
        <f aca="false">ROUND(_xlfn.PERCENTRANK.INC($E$7:$E$4378,E3500)*9,0)</f>
        <v>5</v>
      </c>
      <c r="I3500" s="1" t="str">
        <f aca="false">CONCATENATE(F3500,G3500,H3500)</f>
        <v>765</v>
      </c>
      <c r="J3500" s="1" t="str">
        <f aca="false">_xlfn.IFS(AND(F3500&gt;=8,G3500&gt;=8,H3500&gt;=8),"CHAMPION",AND(F3500&gt;=6,G3500&gt;=7,H3500&gt;=6),"LOYAL CUSTOMER",AND(F3500&gt;=6,G3500&gt;=5,H3500&gt;=5),"POTENTIAL LOYALIST",AND(F3500&gt;=8,G3500&lt;=2,H3500&gt;=5),"NEW CUSTOMERS",AND(F3500&gt;=6,G3500&lt;=2,H3500&gt;=3),"PROMISING",AND(F3500&gt;=3,G3500&gt;=3,H3500&gt;=3),"NEED ATTENTION",AND(F3500&lt;=4,G3500&gt;=6,H3500&gt;=6),"AT RISK",AND(F3500&lt;=2,G3500&gt;=8,H3500&gt;=8),"CAN'T LOSE THEM",AND(F3500&lt;=2,G3500&lt;=2,H3500&lt;=2),"HIBERNATING",TRUE(),"Other")</f>
        <v>POTENTIAL LOYALIST</v>
      </c>
      <c r="K3500" s="1" t="n">
        <f aca="false">RANK(E3500,$E$7:$E$4378)+COUNTIF($E$7:E3500,E3500)-1</f>
        <v>1875</v>
      </c>
    </row>
    <row r="3501" customFormat="false" ht="14.25" hidden="false" customHeight="true" outlineLevel="0" collapsed="false">
      <c r="A3501" s="51" t="n">
        <v>17076</v>
      </c>
      <c r="B3501" s="53" t="n">
        <v>40850.7451388889</v>
      </c>
      <c r="C3501" s="57" t="n">
        <f aca="false">INT($C$2)-INT(Table3[[#This Row],[Last Purchase Date]])</f>
        <v>37</v>
      </c>
      <c r="D3501" s="1" t="n">
        <v>3</v>
      </c>
      <c r="E3501" s="1" t="n">
        <v>841.08</v>
      </c>
      <c r="F3501" s="1" t="n">
        <f aca="false">ROUND((1-_xlfn.PERCENTRANK.INC($C$7:$C$4378,C3501))*9,0)</f>
        <v>5</v>
      </c>
      <c r="G3501" s="1" t="n">
        <f aca="false">ROUND(_xlfn.PERCENTRANK.INC($D$7:$D$4378,D3501)*9,0)</f>
        <v>4</v>
      </c>
      <c r="H3501" s="1" t="n">
        <f aca="false">ROUND(_xlfn.PERCENTRANK.INC($E$7:$E$4378,E3501)*9,0)</f>
        <v>5</v>
      </c>
      <c r="I3501" s="1" t="str">
        <f aca="false">CONCATENATE(F3501,G3501,H3501)</f>
        <v>545</v>
      </c>
      <c r="J3501" s="1" t="str">
        <f aca="false">_xlfn.IFS(AND(F3501&gt;=8,G3501&gt;=8,H3501&gt;=8),"CHAMPION",AND(F3501&gt;=6,G3501&gt;=7,H3501&gt;=6),"LOYAL CUSTOMER",AND(F3501&gt;=6,G3501&gt;=5,H3501&gt;=5),"POTENTIAL LOYALIST",AND(F3501&gt;=8,G3501&lt;=2,H3501&gt;=5),"NEW CUSTOMERS",AND(F3501&gt;=6,G3501&lt;=2,H3501&gt;=3),"PROMISING",AND(F3501&gt;=3,G3501&gt;=3,H3501&gt;=3),"NEED ATTENTION",AND(F3501&lt;=4,G3501&gt;=6,H3501&gt;=6),"AT RISK",AND(F3501&lt;=2,G3501&gt;=8,H3501&gt;=8),"CAN'T LOSE THEM",AND(F3501&lt;=2,G3501&lt;=2,H3501&lt;=2),"HIBERNATING",TRUE(),"Other")</f>
        <v>NEED ATTENTION</v>
      </c>
      <c r="K3501" s="1" t="n">
        <f aca="false">RANK(E3501,$E$7:$E$4378)+COUNTIF($E$7:E3501,E3501)-1</f>
        <v>1844</v>
      </c>
    </row>
    <row r="3502" customFormat="false" ht="14.25" hidden="false" customHeight="true" outlineLevel="0" collapsed="false">
      <c r="A3502" s="51" t="n">
        <v>17078</v>
      </c>
      <c r="B3502" s="53" t="n">
        <v>40850.8034722222</v>
      </c>
      <c r="C3502" s="57" t="n">
        <f aca="false">INT($C$2)-INT(Table3[[#This Row],[Last Purchase Date]])</f>
        <v>37</v>
      </c>
      <c r="D3502" s="1" t="n">
        <v>2</v>
      </c>
      <c r="E3502" s="1" t="n">
        <v>378.2</v>
      </c>
      <c r="F3502" s="1" t="n">
        <f aca="false">ROUND((1-_xlfn.PERCENTRANK.INC($C$7:$C$4378,C3502))*9,0)</f>
        <v>5</v>
      </c>
      <c r="G3502" s="1" t="n">
        <f aca="false">ROUND(_xlfn.PERCENTRANK.INC($D$7:$D$4378,D3502)*9,0)</f>
        <v>3</v>
      </c>
      <c r="H3502" s="1" t="n">
        <f aca="false">ROUND(_xlfn.PERCENTRANK.INC($E$7:$E$4378,E3502)*9,0)</f>
        <v>3</v>
      </c>
      <c r="I3502" s="1" t="str">
        <f aca="false">CONCATENATE(F3502,G3502,H3502)</f>
        <v>533</v>
      </c>
      <c r="J3502" s="1" t="str">
        <f aca="false">_xlfn.IFS(AND(F3502&gt;=8,G3502&gt;=8,H3502&gt;=8),"CHAMPION",AND(F3502&gt;=6,G3502&gt;=7,H3502&gt;=6),"LOYAL CUSTOMER",AND(F3502&gt;=6,G3502&gt;=5,H3502&gt;=5),"POTENTIAL LOYALIST",AND(F3502&gt;=8,G3502&lt;=2,H3502&gt;=5),"NEW CUSTOMERS",AND(F3502&gt;=6,G3502&lt;=2,H3502&gt;=3),"PROMISING",AND(F3502&gt;=3,G3502&gt;=3,H3502&gt;=3),"NEED ATTENTION",AND(F3502&lt;=4,G3502&gt;=6,H3502&gt;=6),"AT RISK",AND(F3502&lt;=2,G3502&gt;=8,H3502&gt;=8),"CAN'T LOSE THEM",AND(F3502&lt;=2,G3502&lt;=2,H3502&lt;=2),"HIBERNATING",TRUE(),"Other")</f>
        <v>NEED ATTENTION</v>
      </c>
      <c r="K3502" s="1" t="n">
        <f aca="false">RANK(E3502,$E$7:$E$4378)+COUNTIF($E$7:E3502,E3502)-1</f>
        <v>2905</v>
      </c>
    </row>
    <row r="3503" customFormat="false" ht="14.25" hidden="false" customHeight="true" outlineLevel="0" collapsed="false">
      <c r="A3503" s="51" t="n">
        <v>17079</v>
      </c>
      <c r="B3503" s="53" t="n">
        <v>40808.6486111111</v>
      </c>
      <c r="C3503" s="57" t="n">
        <f aca="false">INT($C$2)-INT(Table3[[#This Row],[Last Purchase Date]])</f>
        <v>79</v>
      </c>
      <c r="D3503" s="1" t="n">
        <v>1</v>
      </c>
      <c r="E3503" s="1" t="n">
        <v>118.8</v>
      </c>
      <c r="F3503" s="1" t="n">
        <f aca="false">ROUND((1-_xlfn.PERCENTRANK.INC($C$7:$C$4378,C3503))*9,0)</f>
        <v>3</v>
      </c>
      <c r="G3503" s="1" t="n">
        <f aca="false">ROUND(_xlfn.PERCENTRANK.INC($D$7:$D$4378,D3503)*9,0)</f>
        <v>0</v>
      </c>
      <c r="H3503" s="1" t="n">
        <f aca="false">ROUND(_xlfn.PERCENTRANK.INC($E$7:$E$4378,E3503)*9,0)</f>
        <v>1</v>
      </c>
      <c r="I3503" s="1" t="str">
        <f aca="false">CONCATENATE(F3503,G3503,H3503)</f>
        <v>301</v>
      </c>
      <c r="J3503" s="1" t="str">
        <f aca="false">_xlfn.IFS(AND(F3503&gt;=8,G3503&gt;=8,H3503&gt;=8),"CHAMPION",AND(F3503&gt;=6,G3503&gt;=7,H3503&gt;=6),"LOYAL CUSTOMER",AND(F3503&gt;=6,G3503&gt;=5,H3503&gt;=5),"POTENTIAL LOYALIST",AND(F3503&gt;=8,G3503&lt;=2,H3503&gt;=5),"NEW CUSTOMERS",AND(F3503&gt;=6,G3503&lt;=2,H3503&gt;=3),"PROMISING",AND(F3503&gt;=3,G3503&gt;=3,H3503&gt;=3),"NEED ATTENTION",AND(F3503&lt;=4,G3503&gt;=6,H3503&gt;=6),"AT RISK",AND(F3503&lt;=2,G3503&gt;=8,H3503&gt;=8),"CAN'T LOSE THEM",AND(F3503&lt;=2,G3503&lt;=2,H3503&lt;=2),"HIBERNATING",TRUE(),"Other")</f>
        <v>Other</v>
      </c>
      <c r="K3503" s="1" t="n">
        <f aca="false">RANK(E3503,$E$7:$E$4378)+COUNTIF($E$7:E3503,E3503)-1</f>
        <v>4057</v>
      </c>
    </row>
    <row r="3504" customFormat="false" ht="14.25" hidden="false" customHeight="true" outlineLevel="0" collapsed="false">
      <c r="A3504" s="51" t="n">
        <v>17080</v>
      </c>
      <c r="B3504" s="53" t="n">
        <v>40864.5409722222</v>
      </c>
      <c r="C3504" s="57" t="n">
        <f aca="false">INT($C$2)-INT(Table3[[#This Row],[Last Purchase Date]])</f>
        <v>23</v>
      </c>
      <c r="D3504" s="1" t="n">
        <v>3</v>
      </c>
      <c r="E3504" s="1" t="n">
        <v>285.5</v>
      </c>
      <c r="F3504" s="1" t="n">
        <f aca="false">ROUND((1-_xlfn.PERCENTRANK.INC($C$7:$C$4378,C3504))*9,0)</f>
        <v>6</v>
      </c>
      <c r="G3504" s="1" t="n">
        <f aca="false">ROUND(_xlfn.PERCENTRANK.INC($D$7:$D$4378,D3504)*9,0)</f>
        <v>4</v>
      </c>
      <c r="H3504" s="1" t="n">
        <f aca="false">ROUND(_xlfn.PERCENTRANK.INC($E$7:$E$4378,E3504)*9,0)</f>
        <v>2</v>
      </c>
      <c r="I3504" s="1" t="str">
        <f aca="false">CONCATENATE(F3504,G3504,H3504)</f>
        <v>642</v>
      </c>
      <c r="J3504" s="1" t="str">
        <f aca="false">_xlfn.IFS(AND(F3504&gt;=8,G3504&gt;=8,H3504&gt;=8),"CHAMPION",AND(F3504&gt;=6,G3504&gt;=7,H3504&gt;=6),"LOYAL CUSTOMER",AND(F3504&gt;=6,G3504&gt;=5,H3504&gt;=5),"POTENTIAL LOYALIST",AND(F3504&gt;=8,G3504&lt;=2,H3504&gt;=5),"NEW CUSTOMERS",AND(F3504&gt;=6,G3504&lt;=2,H3504&gt;=3),"PROMISING",AND(F3504&gt;=3,G3504&gt;=3,H3504&gt;=3),"NEED ATTENTION",AND(F3504&lt;=4,G3504&gt;=6,H3504&gt;=6),"AT RISK",AND(F3504&lt;=2,G3504&gt;=8,H3504&gt;=8),"CAN'T LOSE THEM",AND(F3504&lt;=2,G3504&lt;=2,H3504&lt;=2),"HIBERNATING",TRUE(),"Other")</f>
        <v>Other</v>
      </c>
      <c r="K3504" s="1" t="n">
        <f aca="false">RANK(E3504,$E$7:$E$4378)+COUNTIF($E$7:E3504,E3504)-1</f>
        <v>3312</v>
      </c>
    </row>
    <row r="3505" customFormat="false" ht="14.25" hidden="false" customHeight="true" outlineLevel="0" collapsed="false">
      <c r="A3505" s="51" t="n">
        <v>17081</v>
      </c>
      <c r="B3505" s="53" t="n">
        <v>40861.5388888889</v>
      </c>
      <c r="C3505" s="57" t="n">
        <f aca="false">INT($C$2)-INT(Table3[[#This Row],[Last Purchase Date]])</f>
        <v>26</v>
      </c>
      <c r="D3505" s="1" t="n">
        <v>2</v>
      </c>
      <c r="E3505" s="1" t="n">
        <v>290.16</v>
      </c>
      <c r="F3505" s="1" t="n">
        <f aca="false">ROUND((1-_xlfn.PERCENTRANK.INC($C$7:$C$4378,C3505))*9,0)</f>
        <v>6</v>
      </c>
      <c r="G3505" s="1" t="n">
        <f aca="false">ROUND(_xlfn.PERCENTRANK.INC($D$7:$D$4378,D3505)*9,0)</f>
        <v>3</v>
      </c>
      <c r="H3505" s="1" t="n">
        <f aca="false">ROUND(_xlfn.PERCENTRANK.INC($E$7:$E$4378,E3505)*9,0)</f>
        <v>2</v>
      </c>
      <c r="I3505" s="1" t="str">
        <f aca="false">CONCATENATE(F3505,G3505,H3505)</f>
        <v>632</v>
      </c>
      <c r="J3505" s="1" t="str">
        <f aca="false">_xlfn.IFS(AND(F3505&gt;=8,G3505&gt;=8,H3505&gt;=8),"CHAMPION",AND(F3505&gt;=6,G3505&gt;=7,H3505&gt;=6),"LOYAL CUSTOMER",AND(F3505&gt;=6,G3505&gt;=5,H3505&gt;=5),"POTENTIAL LOYALIST",AND(F3505&gt;=8,G3505&lt;=2,H3505&gt;=5),"NEW CUSTOMERS",AND(F3505&gt;=6,G3505&lt;=2,H3505&gt;=3),"PROMISING",AND(F3505&gt;=3,G3505&gt;=3,H3505&gt;=3),"NEED ATTENTION",AND(F3505&lt;=4,G3505&gt;=6,H3505&gt;=6),"AT RISK",AND(F3505&lt;=2,G3505&gt;=8,H3505&gt;=8),"CAN'T LOSE THEM",AND(F3505&lt;=2,G3505&lt;=2,H3505&lt;=2),"HIBERNATING",TRUE(),"Other")</f>
        <v>Other</v>
      </c>
      <c r="K3505" s="1" t="n">
        <f aca="false">RANK(E3505,$E$7:$E$4378)+COUNTIF($E$7:E3505,E3505)-1</f>
        <v>3294</v>
      </c>
    </row>
    <row r="3506" customFormat="false" ht="14.25" hidden="false" customHeight="true" outlineLevel="0" collapsed="false">
      <c r="A3506" s="51" t="n">
        <v>17082</v>
      </c>
      <c r="B3506" s="53" t="n">
        <v>40853.6368055556</v>
      </c>
      <c r="C3506" s="57" t="n">
        <f aca="false">INT($C$2)-INT(Table3[[#This Row],[Last Purchase Date]])</f>
        <v>34</v>
      </c>
      <c r="D3506" s="1" t="n">
        <v>2</v>
      </c>
      <c r="E3506" s="1" t="n">
        <v>2003.85</v>
      </c>
      <c r="F3506" s="1" t="n">
        <f aca="false">ROUND((1-_xlfn.PERCENTRANK.INC($C$7:$C$4378,C3506))*9,0)</f>
        <v>5</v>
      </c>
      <c r="G3506" s="1" t="n">
        <f aca="false">ROUND(_xlfn.PERCENTRANK.INC($D$7:$D$4378,D3506)*9,0)</f>
        <v>3</v>
      </c>
      <c r="H3506" s="1" t="n">
        <f aca="false">ROUND(_xlfn.PERCENTRANK.INC($E$7:$E$4378,E3506)*9,0)</f>
        <v>7</v>
      </c>
      <c r="I3506" s="1" t="str">
        <f aca="false">CONCATENATE(F3506,G3506,H3506)</f>
        <v>537</v>
      </c>
      <c r="J3506" s="1" t="str">
        <f aca="false">_xlfn.IFS(AND(F3506&gt;=8,G3506&gt;=8,H3506&gt;=8),"CHAMPION",AND(F3506&gt;=6,G3506&gt;=7,H3506&gt;=6),"LOYAL CUSTOMER",AND(F3506&gt;=6,G3506&gt;=5,H3506&gt;=5),"POTENTIAL LOYALIST",AND(F3506&gt;=8,G3506&lt;=2,H3506&gt;=5),"NEW CUSTOMERS",AND(F3506&gt;=6,G3506&lt;=2,H3506&gt;=3),"PROMISING",AND(F3506&gt;=3,G3506&gt;=3,H3506&gt;=3),"NEED ATTENTION",AND(F3506&lt;=4,G3506&gt;=6,H3506&gt;=6),"AT RISK",AND(F3506&lt;=2,G3506&gt;=8,H3506&gt;=8),"CAN'T LOSE THEM",AND(F3506&lt;=2,G3506&lt;=2,H3506&lt;=2),"HIBERNATING",TRUE(),"Other")</f>
        <v>NEED ATTENTION</v>
      </c>
      <c r="K3506" s="1" t="n">
        <f aca="false">RANK(E3506,$E$7:$E$4378)+COUNTIF($E$7:E3506,E3506)-1</f>
        <v>874</v>
      </c>
    </row>
    <row r="3507" customFormat="false" ht="14.25" hidden="false" customHeight="true" outlineLevel="0" collapsed="false">
      <c r="A3507" s="51" t="n">
        <v>17083</v>
      </c>
      <c r="B3507" s="53" t="n">
        <v>40777.6548611111</v>
      </c>
      <c r="C3507" s="57" t="n">
        <f aca="false">INT($C$2)-INT(Table3[[#This Row],[Last Purchase Date]])</f>
        <v>110</v>
      </c>
      <c r="D3507" s="1" t="n">
        <v>3</v>
      </c>
      <c r="E3507" s="1" t="n">
        <v>1405.78</v>
      </c>
      <c r="F3507" s="1" t="n">
        <f aca="false">ROUND((1-_xlfn.PERCENTRANK.INC($C$7:$C$4378,C3507))*9,0)</f>
        <v>3</v>
      </c>
      <c r="G3507" s="1" t="n">
        <f aca="false">ROUND(_xlfn.PERCENTRANK.INC($D$7:$D$4378,D3507)*9,0)</f>
        <v>4</v>
      </c>
      <c r="H3507" s="1" t="n">
        <f aca="false">ROUND(_xlfn.PERCENTRANK.INC($E$7:$E$4378,E3507)*9,0)</f>
        <v>6</v>
      </c>
      <c r="I3507" s="1" t="str">
        <f aca="false">CONCATENATE(F3507,G3507,H3507)</f>
        <v>346</v>
      </c>
      <c r="J3507" s="1" t="str">
        <f aca="false">_xlfn.IFS(AND(F3507&gt;=8,G3507&gt;=8,H3507&gt;=8),"CHAMPION",AND(F3507&gt;=6,G3507&gt;=7,H3507&gt;=6),"LOYAL CUSTOMER",AND(F3507&gt;=6,G3507&gt;=5,H3507&gt;=5),"POTENTIAL LOYALIST",AND(F3507&gt;=8,G3507&lt;=2,H3507&gt;=5),"NEW CUSTOMERS",AND(F3507&gt;=6,G3507&lt;=2,H3507&gt;=3),"PROMISING",AND(F3507&gt;=3,G3507&gt;=3,H3507&gt;=3),"NEED ATTENTION",AND(F3507&lt;=4,G3507&gt;=6,H3507&gt;=6),"AT RISK",AND(F3507&lt;=2,G3507&gt;=8,H3507&gt;=8),"CAN'T LOSE THEM",AND(F3507&lt;=2,G3507&lt;=2,H3507&lt;=2),"HIBERNATING",TRUE(),"Other")</f>
        <v>NEED ATTENTION</v>
      </c>
      <c r="K3507" s="1" t="n">
        <f aca="false">RANK(E3507,$E$7:$E$4378)+COUNTIF($E$7:E3507,E3507)-1</f>
        <v>1234</v>
      </c>
    </row>
    <row r="3508" customFormat="false" ht="14.25" hidden="false" customHeight="true" outlineLevel="0" collapsed="false">
      <c r="A3508" s="51" t="n">
        <v>17084</v>
      </c>
      <c r="B3508" s="53" t="n">
        <v>40851.6208333333</v>
      </c>
      <c r="C3508" s="57" t="n">
        <f aca="false">INT($C$2)-INT(Table3[[#This Row],[Last Purchase Date]])</f>
        <v>36</v>
      </c>
      <c r="D3508" s="1" t="n">
        <v>2</v>
      </c>
      <c r="E3508" s="1" t="n">
        <v>2949.75</v>
      </c>
      <c r="F3508" s="1" t="n">
        <f aca="false">ROUND((1-_xlfn.PERCENTRANK.INC($C$7:$C$4378,C3508))*9,0)</f>
        <v>5</v>
      </c>
      <c r="G3508" s="1" t="n">
        <f aca="false">ROUND(_xlfn.PERCENTRANK.INC($D$7:$D$4378,D3508)*9,0)</f>
        <v>3</v>
      </c>
      <c r="H3508" s="1" t="n">
        <f aca="false">ROUND(_xlfn.PERCENTRANK.INC($E$7:$E$4378,E3508)*9,0)</f>
        <v>8</v>
      </c>
      <c r="I3508" s="1" t="str">
        <f aca="false">CONCATENATE(F3508,G3508,H3508)</f>
        <v>538</v>
      </c>
      <c r="J3508" s="1" t="str">
        <f aca="false">_xlfn.IFS(AND(F3508&gt;=8,G3508&gt;=8,H3508&gt;=8),"CHAMPION",AND(F3508&gt;=6,G3508&gt;=7,H3508&gt;=6),"LOYAL CUSTOMER",AND(F3508&gt;=6,G3508&gt;=5,H3508&gt;=5),"POTENTIAL LOYALIST",AND(F3508&gt;=8,G3508&lt;=2,H3508&gt;=5),"NEW CUSTOMERS",AND(F3508&gt;=6,G3508&lt;=2,H3508&gt;=3),"PROMISING",AND(F3508&gt;=3,G3508&gt;=3,H3508&gt;=3),"NEED ATTENTION",AND(F3508&lt;=4,G3508&gt;=6,H3508&gt;=6),"AT RISK",AND(F3508&lt;=2,G3508&gt;=8,H3508&gt;=8),"CAN'T LOSE THEM",AND(F3508&lt;=2,G3508&lt;=2,H3508&lt;=2),"HIBERNATING",TRUE(),"Other")</f>
        <v>NEED ATTENTION</v>
      </c>
      <c r="K3508" s="1" t="n">
        <f aca="false">RANK(E3508,$E$7:$E$4378)+COUNTIF($E$7:E3508,E3508)-1</f>
        <v>550</v>
      </c>
    </row>
    <row r="3509" customFormat="false" ht="14.25" hidden="false" customHeight="true" outlineLevel="0" collapsed="false">
      <c r="A3509" s="51" t="n">
        <v>17085</v>
      </c>
      <c r="B3509" s="53" t="n">
        <v>40763.59375</v>
      </c>
      <c r="C3509" s="57" t="n">
        <f aca="false">INT($C$2)-INT(Table3[[#This Row],[Last Purchase Date]])</f>
        <v>124</v>
      </c>
      <c r="D3509" s="1" t="n">
        <v>6</v>
      </c>
      <c r="E3509" s="1" t="n">
        <v>1555.05</v>
      </c>
      <c r="F3509" s="1" t="n">
        <f aca="false">ROUND((1-_xlfn.PERCENTRANK.INC($C$7:$C$4378,C3509))*9,0)</f>
        <v>2</v>
      </c>
      <c r="G3509" s="1" t="n">
        <f aca="false">ROUND(_xlfn.PERCENTRANK.INC($D$7:$D$4378,D3509)*9,0)</f>
        <v>7</v>
      </c>
      <c r="H3509" s="1" t="n">
        <f aca="false">ROUND(_xlfn.PERCENTRANK.INC($E$7:$E$4378,E3509)*9,0)</f>
        <v>7</v>
      </c>
      <c r="I3509" s="1" t="str">
        <f aca="false">CONCATENATE(F3509,G3509,H3509)</f>
        <v>277</v>
      </c>
      <c r="J3509" s="1" t="str">
        <f aca="false">_xlfn.IFS(AND(F3509&gt;=8,G3509&gt;=8,H3509&gt;=8),"CHAMPION",AND(F3509&gt;=6,G3509&gt;=7,H3509&gt;=6),"LOYAL CUSTOMER",AND(F3509&gt;=6,G3509&gt;=5,H3509&gt;=5),"POTENTIAL LOYALIST",AND(F3509&gt;=8,G3509&lt;=2,H3509&gt;=5),"NEW CUSTOMERS",AND(F3509&gt;=6,G3509&lt;=2,H3509&gt;=3),"PROMISING",AND(F3509&gt;=3,G3509&gt;=3,H3509&gt;=3),"NEED ATTENTION",AND(F3509&lt;=4,G3509&gt;=6,H3509&gt;=6),"AT RISK",AND(F3509&lt;=2,G3509&gt;=8,H3509&gt;=8),"CAN'T LOSE THEM",AND(F3509&lt;=2,G3509&lt;=2,H3509&lt;=2),"HIBERNATING",TRUE(),"Other")</f>
        <v>AT RISK</v>
      </c>
      <c r="K3509" s="1" t="n">
        <f aca="false">RANK(E3509,$E$7:$E$4378)+COUNTIF($E$7:E3509,E3509)-1</f>
        <v>1122</v>
      </c>
    </row>
    <row r="3510" customFormat="false" ht="14.25" hidden="false" customHeight="true" outlineLevel="0" collapsed="false">
      <c r="A3510" s="51" t="n">
        <v>17086</v>
      </c>
      <c r="B3510" s="53" t="n">
        <v>40879.5791666667</v>
      </c>
      <c r="C3510" s="57" t="n">
        <f aca="false">INT($C$2)-INT(Table3[[#This Row],[Last Purchase Date]])</f>
        <v>8</v>
      </c>
      <c r="D3510" s="1" t="n">
        <v>6</v>
      </c>
      <c r="E3510" s="1" t="n">
        <v>2050.08</v>
      </c>
      <c r="F3510" s="1" t="n">
        <f aca="false">ROUND((1-_xlfn.PERCENTRANK.INC($C$7:$C$4378,C3510))*9,0)</f>
        <v>8</v>
      </c>
      <c r="G3510" s="1" t="n">
        <f aca="false">ROUND(_xlfn.PERCENTRANK.INC($D$7:$D$4378,D3510)*9,0)</f>
        <v>7</v>
      </c>
      <c r="H3510" s="1" t="n">
        <f aca="false">ROUND(_xlfn.PERCENTRANK.INC($E$7:$E$4378,E3510)*9,0)</f>
        <v>7</v>
      </c>
      <c r="I3510" s="1" t="str">
        <f aca="false">CONCATENATE(F3510,G3510,H3510)</f>
        <v>877</v>
      </c>
      <c r="J3510" s="1" t="str">
        <f aca="false">_xlfn.IFS(AND(F3510&gt;=8,G3510&gt;=8,H3510&gt;=8),"CHAMPION",AND(F3510&gt;=6,G3510&gt;=7,H3510&gt;=6),"LOYAL CUSTOMER",AND(F3510&gt;=6,G3510&gt;=5,H3510&gt;=5),"POTENTIAL LOYALIST",AND(F3510&gt;=8,G3510&lt;=2,H3510&gt;=5),"NEW CUSTOMERS",AND(F3510&gt;=6,G3510&lt;=2,H3510&gt;=3),"PROMISING",AND(F3510&gt;=3,G3510&gt;=3,H3510&gt;=3),"NEED ATTENTION",AND(F3510&lt;=4,G3510&gt;=6,H3510&gt;=6),"AT RISK",AND(F3510&lt;=2,G3510&gt;=8,H3510&gt;=8),"CAN'T LOSE THEM",AND(F3510&lt;=2,G3510&lt;=2,H3510&lt;=2),"HIBERNATING",TRUE(),"Other")</f>
        <v>LOYAL CUSTOMER</v>
      </c>
      <c r="K3510" s="1" t="n">
        <f aca="false">RANK(E3510,$E$7:$E$4378)+COUNTIF($E$7:E3510,E3510)-1</f>
        <v>852</v>
      </c>
    </row>
    <row r="3511" customFormat="false" ht="14.25" hidden="false" customHeight="true" outlineLevel="0" collapsed="false">
      <c r="A3511" s="51" t="n">
        <v>17088</v>
      </c>
      <c r="B3511" s="53" t="n">
        <v>40858.5993055556</v>
      </c>
      <c r="C3511" s="57" t="n">
        <f aca="false">INT($C$2)-INT(Table3[[#This Row],[Last Purchase Date]])</f>
        <v>29</v>
      </c>
      <c r="D3511" s="1" t="n">
        <v>4</v>
      </c>
      <c r="E3511" s="1" t="n">
        <v>1991.01</v>
      </c>
      <c r="F3511" s="1" t="n">
        <f aca="false">ROUND((1-_xlfn.PERCENTRANK.INC($C$7:$C$4378,C3511))*9,0)</f>
        <v>6</v>
      </c>
      <c r="G3511" s="1" t="n">
        <f aca="false">ROUND(_xlfn.PERCENTRANK.INC($D$7:$D$4378,D3511)*9,0)</f>
        <v>5</v>
      </c>
      <c r="H3511" s="1" t="n">
        <f aca="false">ROUND(_xlfn.PERCENTRANK.INC($E$7:$E$4378,E3511)*9,0)</f>
        <v>7</v>
      </c>
      <c r="I3511" s="1" t="str">
        <f aca="false">CONCATENATE(F3511,G3511,H3511)</f>
        <v>657</v>
      </c>
      <c r="J3511" s="1" t="str">
        <f aca="false">_xlfn.IFS(AND(F3511&gt;=8,G3511&gt;=8,H3511&gt;=8),"CHAMPION",AND(F3511&gt;=6,G3511&gt;=7,H3511&gt;=6),"LOYAL CUSTOMER",AND(F3511&gt;=6,G3511&gt;=5,H3511&gt;=5),"POTENTIAL LOYALIST",AND(F3511&gt;=8,G3511&lt;=2,H3511&gt;=5),"NEW CUSTOMERS",AND(F3511&gt;=6,G3511&lt;=2,H3511&gt;=3),"PROMISING",AND(F3511&gt;=3,G3511&gt;=3,H3511&gt;=3),"NEED ATTENTION",AND(F3511&lt;=4,G3511&gt;=6,H3511&gt;=6),"AT RISK",AND(F3511&lt;=2,G3511&gt;=8,H3511&gt;=8),"CAN'T LOSE THEM",AND(F3511&lt;=2,G3511&lt;=2,H3511&lt;=2),"HIBERNATING",TRUE(),"Other")</f>
        <v>POTENTIAL LOYALIST</v>
      </c>
      <c r="K3511" s="1" t="n">
        <f aca="false">RANK(E3511,$E$7:$E$4378)+COUNTIF($E$7:E3511,E3511)-1</f>
        <v>883</v>
      </c>
    </row>
    <row r="3512" customFormat="false" ht="14.25" hidden="false" customHeight="true" outlineLevel="0" collapsed="false">
      <c r="A3512" s="51" t="n">
        <v>17090</v>
      </c>
      <c r="B3512" s="53" t="n">
        <v>40882.5722222222</v>
      </c>
      <c r="C3512" s="57" t="n">
        <f aca="false">INT($C$2)-INT(Table3[[#This Row],[Last Purchase Date]])</f>
        <v>5</v>
      </c>
      <c r="D3512" s="1" t="n">
        <v>8</v>
      </c>
      <c r="E3512" s="1" t="n">
        <v>2041.85</v>
      </c>
      <c r="F3512" s="1" t="n">
        <f aca="false">ROUND((1-_xlfn.PERCENTRANK.INC($C$7:$C$4378,C3512))*9,0)</f>
        <v>8</v>
      </c>
      <c r="G3512" s="1" t="n">
        <f aca="false">ROUND(_xlfn.PERCENTRANK.INC($D$7:$D$4378,D3512)*9,0)</f>
        <v>7</v>
      </c>
      <c r="H3512" s="1" t="n">
        <f aca="false">ROUND(_xlfn.PERCENTRANK.INC($E$7:$E$4378,E3512)*9,0)</f>
        <v>7</v>
      </c>
      <c r="I3512" s="1" t="str">
        <f aca="false">CONCATENATE(F3512,G3512,H3512)</f>
        <v>877</v>
      </c>
      <c r="J3512" s="1" t="str">
        <f aca="false">_xlfn.IFS(AND(F3512&gt;=8,G3512&gt;=8,H3512&gt;=8),"CHAMPION",AND(F3512&gt;=6,G3512&gt;=7,H3512&gt;=6),"LOYAL CUSTOMER",AND(F3512&gt;=6,G3512&gt;=5,H3512&gt;=5),"POTENTIAL LOYALIST",AND(F3512&gt;=8,G3512&lt;=2,H3512&gt;=5),"NEW CUSTOMERS",AND(F3512&gt;=6,G3512&lt;=2,H3512&gt;=3),"PROMISING",AND(F3512&gt;=3,G3512&gt;=3,H3512&gt;=3),"NEED ATTENTION",AND(F3512&lt;=4,G3512&gt;=6,H3512&gt;=6),"AT RISK",AND(F3512&lt;=2,G3512&gt;=8,H3512&gt;=8),"CAN'T LOSE THEM",AND(F3512&lt;=2,G3512&lt;=2,H3512&lt;=2),"HIBERNATING",TRUE(),"Other")</f>
        <v>LOYAL CUSTOMER</v>
      </c>
      <c r="K3512" s="1" t="n">
        <f aca="false">RANK(E3512,$E$7:$E$4378)+COUNTIF($E$7:E3512,E3512)-1</f>
        <v>858</v>
      </c>
    </row>
    <row r="3513" customFormat="false" ht="14.25" hidden="false" customHeight="true" outlineLevel="0" collapsed="false">
      <c r="A3513" s="51" t="n">
        <v>17091</v>
      </c>
      <c r="B3513" s="53" t="n">
        <v>40884.4465277778</v>
      </c>
      <c r="C3513" s="57" t="n">
        <f aca="false">INT($C$2)-INT(Table3[[#This Row],[Last Purchase Date]])</f>
        <v>3</v>
      </c>
      <c r="D3513" s="1" t="n">
        <v>10</v>
      </c>
      <c r="E3513" s="1" t="n">
        <v>3802.81</v>
      </c>
      <c r="F3513" s="1" t="n">
        <f aca="false">ROUND((1-_xlfn.PERCENTRANK.INC($C$7:$C$4378,C3513))*9,0)</f>
        <v>9</v>
      </c>
      <c r="G3513" s="1" t="n">
        <f aca="false">ROUND(_xlfn.PERCENTRANK.INC($D$7:$D$4378,D3513)*9,0)</f>
        <v>8</v>
      </c>
      <c r="H3513" s="1" t="n">
        <f aca="false">ROUND(_xlfn.PERCENTRANK.INC($E$7:$E$4378,E3513)*9,0)</f>
        <v>8</v>
      </c>
      <c r="I3513" s="1" t="str">
        <f aca="false">CONCATENATE(F3513,G3513,H3513)</f>
        <v>988</v>
      </c>
      <c r="J3513" s="1" t="str">
        <f aca="false">_xlfn.IFS(AND(F3513&gt;=8,G3513&gt;=8,H3513&gt;=8),"CHAMPION",AND(F3513&gt;=6,G3513&gt;=7,H3513&gt;=6),"LOYAL CUSTOMER",AND(F3513&gt;=6,G3513&gt;=5,H3513&gt;=5),"POTENTIAL LOYALIST",AND(F3513&gt;=8,G3513&lt;=2,H3513&gt;=5),"NEW CUSTOMERS",AND(F3513&gt;=6,G3513&lt;=2,H3513&gt;=3),"PROMISING",AND(F3513&gt;=3,G3513&gt;=3,H3513&gt;=3),"NEED ATTENTION",AND(F3513&lt;=4,G3513&gt;=6,H3513&gt;=6),"AT RISK",AND(F3513&lt;=2,G3513&gt;=8,H3513&gt;=8),"CAN'T LOSE THEM",AND(F3513&lt;=2,G3513&lt;=2,H3513&lt;=2),"HIBERNATING",TRUE(),"Other")</f>
        <v>CHAMPION</v>
      </c>
      <c r="K3513" s="1" t="n">
        <f aca="false">RANK(E3513,$E$7:$E$4378)+COUNTIF($E$7:E3513,E3513)-1</f>
        <v>383</v>
      </c>
    </row>
    <row r="3514" customFormat="false" ht="14.25" hidden="false" customHeight="true" outlineLevel="0" collapsed="false">
      <c r="A3514" s="51" t="n">
        <v>17092</v>
      </c>
      <c r="B3514" s="53" t="n">
        <v>40836.8270833333</v>
      </c>
      <c r="C3514" s="57" t="n">
        <f aca="false">INT($C$2)-INT(Table3[[#This Row],[Last Purchase Date]])</f>
        <v>51</v>
      </c>
      <c r="D3514" s="1" t="n">
        <v>4</v>
      </c>
      <c r="E3514" s="1" t="n">
        <v>1777.78</v>
      </c>
      <c r="F3514" s="1" t="n">
        <f aca="false">ROUND((1-_xlfn.PERCENTRANK.INC($C$7:$C$4378,C3514))*9,0)</f>
        <v>5</v>
      </c>
      <c r="G3514" s="1" t="n">
        <f aca="false">ROUND(_xlfn.PERCENTRANK.INC($D$7:$D$4378,D3514)*9,0)</f>
        <v>5</v>
      </c>
      <c r="H3514" s="1" t="n">
        <f aca="false">ROUND(_xlfn.PERCENTRANK.INC($E$7:$E$4378,E3514)*9,0)</f>
        <v>7</v>
      </c>
      <c r="I3514" s="1" t="str">
        <f aca="false">CONCATENATE(F3514,G3514,H3514)</f>
        <v>557</v>
      </c>
      <c r="J3514" s="1" t="str">
        <f aca="false">_xlfn.IFS(AND(F3514&gt;=8,G3514&gt;=8,H3514&gt;=8),"CHAMPION",AND(F3514&gt;=6,G3514&gt;=7,H3514&gt;=6),"LOYAL CUSTOMER",AND(F3514&gt;=6,G3514&gt;=5,H3514&gt;=5),"POTENTIAL LOYALIST",AND(F3514&gt;=8,G3514&lt;=2,H3514&gt;=5),"NEW CUSTOMERS",AND(F3514&gt;=6,G3514&lt;=2,H3514&gt;=3),"PROMISING",AND(F3514&gt;=3,G3514&gt;=3,H3514&gt;=3),"NEED ATTENTION",AND(F3514&lt;=4,G3514&gt;=6,H3514&gt;=6),"AT RISK",AND(F3514&lt;=2,G3514&gt;=8,H3514&gt;=8),"CAN'T LOSE THEM",AND(F3514&lt;=2,G3514&lt;=2,H3514&lt;=2),"HIBERNATING",TRUE(),"Other")</f>
        <v>NEED ATTENTION</v>
      </c>
      <c r="K3514" s="1" t="n">
        <f aca="false">RANK(E3514,$E$7:$E$4378)+COUNTIF($E$7:E3514,E3514)-1</f>
        <v>993</v>
      </c>
    </row>
    <row r="3515" customFormat="false" ht="14.25" hidden="false" customHeight="true" outlineLevel="0" collapsed="false">
      <c r="A3515" s="51" t="n">
        <v>17094</v>
      </c>
      <c r="B3515" s="53" t="n">
        <v>40568.725</v>
      </c>
      <c r="C3515" s="57" t="n">
        <f aca="false">INT($C$2)-INT(Table3[[#This Row],[Last Purchase Date]])</f>
        <v>319</v>
      </c>
      <c r="D3515" s="1" t="n">
        <v>2</v>
      </c>
      <c r="E3515" s="1" t="n">
        <v>270.2</v>
      </c>
      <c r="F3515" s="1" t="n">
        <f aca="false">ROUND((1-_xlfn.PERCENTRANK.INC($C$7:$C$4378,C3515))*9,0)</f>
        <v>0</v>
      </c>
      <c r="G3515" s="1" t="n">
        <f aca="false">ROUND(_xlfn.PERCENTRANK.INC($D$7:$D$4378,D3515)*9,0)</f>
        <v>3</v>
      </c>
      <c r="H3515" s="1" t="n">
        <f aca="false">ROUND(_xlfn.PERCENTRANK.INC($E$7:$E$4378,E3515)*9,0)</f>
        <v>2</v>
      </c>
      <c r="I3515" s="1" t="str">
        <f aca="false">CONCATENATE(F3515,G3515,H3515)</f>
        <v>032</v>
      </c>
      <c r="J3515" s="1" t="str">
        <f aca="false">_xlfn.IFS(AND(F3515&gt;=8,G3515&gt;=8,H3515&gt;=8),"CHAMPION",AND(F3515&gt;=6,G3515&gt;=7,H3515&gt;=6),"LOYAL CUSTOMER",AND(F3515&gt;=6,G3515&gt;=5,H3515&gt;=5),"POTENTIAL LOYALIST",AND(F3515&gt;=8,G3515&lt;=2,H3515&gt;=5),"NEW CUSTOMERS",AND(F3515&gt;=6,G3515&lt;=2,H3515&gt;=3),"PROMISING",AND(F3515&gt;=3,G3515&gt;=3,H3515&gt;=3),"NEED ATTENTION",AND(F3515&lt;=4,G3515&gt;=6,H3515&gt;=6),"AT RISK",AND(F3515&lt;=2,G3515&gt;=8,H3515&gt;=8),"CAN'T LOSE THEM",AND(F3515&lt;=2,G3515&lt;=2,H3515&lt;=2),"HIBERNATING",TRUE(),"Other")</f>
        <v>Other</v>
      </c>
      <c r="K3515" s="1" t="n">
        <f aca="false">RANK(E3515,$E$7:$E$4378)+COUNTIF($E$7:E3515,E3515)-1</f>
        <v>3365</v>
      </c>
    </row>
    <row r="3516" customFormat="false" ht="14.25" hidden="false" customHeight="true" outlineLevel="0" collapsed="false">
      <c r="A3516" s="51" t="n">
        <v>17095</v>
      </c>
      <c r="B3516" s="53" t="n">
        <v>40864.6944444445</v>
      </c>
      <c r="C3516" s="57" t="n">
        <f aca="false">INT($C$2)-INT(Table3[[#This Row],[Last Purchase Date]])</f>
        <v>23</v>
      </c>
      <c r="D3516" s="1" t="n">
        <v>6</v>
      </c>
      <c r="E3516" s="1" t="n">
        <v>1088.2</v>
      </c>
      <c r="F3516" s="1" t="n">
        <f aca="false">ROUND((1-_xlfn.PERCENTRANK.INC($C$7:$C$4378,C3516))*9,0)</f>
        <v>6</v>
      </c>
      <c r="G3516" s="1" t="n">
        <f aca="false">ROUND(_xlfn.PERCENTRANK.INC($D$7:$D$4378,D3516)*9,0)</f>
        <v>7</v>
      </c>
      <c r="H3516" s="1" t="n">
        <f aca="false">ROUND(_xlfn.PERCENTRANK.INC($E$7:$E$4378,E3516)*9,0)</f>
        <v>6</v>
      </c>
      <c r="I3516" s="1" t="str">
        <f aca="false">CONCATENATE(F3516,G3516,H3516)</f>
        <v>676</v>
      </c>
      <c r="J3516" s="1" t="str">
        <f aca="false">_xlfn.IFS(AND(F3516&gt;=8,G3516&gt;=8,H3516&gt;=8),"CHAMPION",AND(F3516&gt;=6,G3516&gt;=7,H3516&gt;=6),"LOYAL CUSTOMER",AND(F3516&gt;=6,G3516&gt;=5,H3516&gt;=5),"POTENTIAL LOYALIST",AND(F3516&gt;=8,G3516&lt;=2,H3516&gt;=5),"NEW CUSTOMERS",AND(F3516&gt;=6,G3516&lt;=2,H3516&gt;=3),"PROMISING",AND(F3516&gt;=3,G3516&gt;=3,H3516&gt;=3),"NEED ATTENTION",AND(F3516&lt;=4,G3516&gt;=6,H3516&gt;=6),"AT RISK",AND(F3516&lt;=2,G3516&gt;=8,H3516&gt;=8),"CAN'T LOSE THEM",AND(F3516&lt;=2,G3516&lt;=2,H3516&lt;=2),"HIBERNATING",TRUE(),"Other")</f>
        <v>LOYAL CUSTOMER</v>
      </c>
      <c r="K3516" s="1" t="n">
        <f aca="false">RANK(E3516,$E$7:$E$4378)+COUNTIF($E$7:E3516,E3516)-1</f>
        <v>1522</v>
      </c>
    </row>
    <row r="3517" customFormat="false" ht="14.25" hidden="false" customHeight="true" outlineLevel="0" collapsed="false">
      <c r="A3517" s="51" t="n">
        <v>17096</v>
      </c>
      <c r="B3517" s="53" t="n">
        <v>40877.6284722222</v>
      </c>
      <c r="C3517" s="57" t="n">
        <f aca="false">INT($C$2)-INT(Table3[[#This Row],[Last Purchase Date]])</f>
        <v>10</v>
      </c>
      <c r="D3517" s="1" t="n">
        <v>7</v>
      </c>
      <c r="E3517" s="1" t="n">
        <v>992.68</v>
      </c>
      <c r="F3517" s="1" t="n">
        <f aca="false">ROUND((1-_xlfn.PERCENTRANK.INC($C$7:$C$4378,C3517))*9,0)</f>
        <v>8</v>
      </c>
      <c r="G3517" s="1" t="n">
        <f aca="false">ROUND(_xlfn.PERCENTRANK.INC($D$7:$D$4378,D3517)*9,0)</f>
        <v>7</v>
      </c>
      <c r="H3517" s="1" t="n">
        <f aca="false">ROUND(_xlfn.PERCENTRANK.INC($E$7:$E$4378,E3517)*9,0)</f>
        <v>6</v>
      </c>
      <c r="I3517" s="1" t="str">
        <f aca="false">CONCATENATE(F3517,G3517,H3517)</f>
        <v>876</v>
      </c>
      <c r="J3517" s="1" t="str">
        <f aca="false">_xlfn.IFS(AND(F3517&gt;=8,G3517&gt;=8,H3517&gt;=8),"CHAMPION",AND(F3517&gt;=6,G3517&gt;=7,H3517&gt;=6),"LOYAL CUSTOMER",AND(F3517&gt;=6,G3517&gt;=5,H3517&gt;=5),"POTENTIAL LOYALIST",AND(F3517&gt;=8,G3517&lt;=2,H3517&gt;=5),"NEW CUSTOMERS",AND(F3517&gt;=6,G3517&lt;=2,H3517&gt;=3),"PROMISING",AND(F3517&gt;=3,G3517&gt;=3,H3517&gt;=3),"NEED ATTENTION",AND(F3517&lt;=4,G3517&gt;=6,H3517&gt;=6),"AT RISK",AND(F3517&lt;=2,G3517&gt;=8,H3517&gt;=8),"CAN'T LOSE THEM",AND(F3517&lt;=2,G3517&lt;=2,H3517&lt;=2),"HIBERNATING",TRUE(),"Other")</f>
        <v>LOYAL CUSTOMER</v>
      </c>
      <c r="K3517" s="1" t="n">
        <f aca="false">RANK(E3517,$E$7:$E$4378)+COUNTIF($E$7:E3517,E3517)-1</f>
        <v>1643</v>
      </c>
    </row>
    <row r="3518" customFormat="false" ht="14.25" hidden="false" customHeight="true" outlineLevel="0" collapsed="false">
      <c r="A3518" s="51" t="n">
        <v>17097</v>
      </c>
      <c r="B3518" s="53" t="n">
        <v>40884.7118055556</v>
      </c>
      <c r="C3518" s="57" t="n">
        <f aca="false">INT($C$2)-INT(Table3[[#This Row],[Last Purchase Date]])</f>
        <v>3</v>
      </c>
      <c r="D3518" s="1" t="n">
        <v>9</v>
      </c>
      <c r="E3518" s="1" t="n">
        <v>937.92</v>
      </c>
      <c r="F3518" s="1" t="n">
        <f aca="false">ROUND((1-_xlfn.PERCENTRANK.INC($C$7:$C$4378,C3518))*9,0)</f>
        <v>9</v>
      </c>
      <c r="G3518" s="1" t="n">
        <f aca="false">ROUND(_xlfn.PERCENTRANK.INC($D$7:$D$4378,D3518)*9,0)</f>
        <v>8</v>
      </c>
      <c r="H3518" s="1" t="n">
        <f aca="false">ROUND(_xlfn.PERCENTRANK.INC($E$7:$E$4378,E3518)*9,0)</f>
        <v>5</v>
      </c>
      <c r="I3518" s="1" t="str">
        <f aca="false">CONCATENATE(F3518,G3518,H3518)</f>
        <v>985</v>
      </c>
      <c r="J3518" s="1" t="str">
        <f aca="false">_xlfn.IFS(AND(F3518&gt;=8,G3518&gt;=8,H3518&gt;=8),"CHAMPION",AND(F3518&gt;=6,G3518&gt;=7,H3518&gt;=6),"LOYAL CUSTOMER",AND(F3518&gt;=6,G3518&gt;=5,H3518&gt;=5),"POTENTIAL LOYALIST",AND(F3518&gt;=8,G3518&lt;=2,H3518&gt;=5),"NEW CUSTOMERS",AND(F3518&gt;=6,G3518&lt;=2,H3518&gt;=3),"PROMISING",AND(F3518&gt;=3,G3518&gt;=3,H3518&gt;=3),"NEED ATTENTION",AND(F3518&lt;=4,G3518&gt;=6,H3518&gt;=6),"AT RISK",AND(F3518&lt;=2,G3518&gt;=8,H3518&gt;=8),"CAN'T LOSE THEM",AND(F3518&lt;=2,G3518&lt;=2,H3518&lt;=2),"HIBERNATING",TRUE(),"Other")</f>
        <v>POTENTIAL LOYALIST</v>
      </c>
      <c r="K3518" s="1" t="n">
        <f aca="false">RANK(E3518,$E$7:$E$4378)+COUNTIF($E$7:E3518,E3518)-1</f>
        <v>1711</v>
      </c>
    </row>
    <row r="3519" customFormat="false" ht="14.25" hidden="false" customHeight="true" outlineLevel="0" collapsed="false">
      <c r="A3519" s="51" t="n">
        <v>17100</v>
      </c>
      <c r="B3519" s="53" t="n">
        <v>40868.6916666667</v>
      </c>
      <c r="C3519" s="57" t="n">
        <f aca="false">INT($C$2)-INT(Table3[[#This Row],[Last Purchase Date]])</f>
        <v>19</v>
      </c>
      <c r="D3519" s="1" t="n">
        <v>2</v>
      </c>
      <c r="E3519" s="1" t="n">
        <v>971.74</v>
      </c>
      <c r="F3519" s="1" t="n">
        <f aca="false">ROUND((1-_xlfn.PERCENTRANK.INC($C$7:$C$4378,C3519))*9,0)</f>
        <v>7</v>
      </c>
      <c r="G3519" s="1" t="n">
        <f aca="false">ROUND(_xlfn.PERCENTRANK.INC($D$7:$D$4378,D3519)*9,0)</f>
        <v>3</v>
      </c>
      <c r="H3519" s="1" t="n">
        <f aca="false">ROUND(_xlfn.PERCENTRANK.INC($E$7:$E$4378,E3519)*9,0)</f>
        <v>6</v>
      </c>
      <c r="I3519" s="1" t="str">
        <f aca="false">CONCATENATE(F3519,G3519,H3519)</f>
        <v>736</v>
      </c>
      <c r="J3519" s="1" t="str">
        <f aca="false">_xlfn.IFS(AND(F3519&gt;=8,G3519&gt;=8,H3519&gt;=8),"CHAMPION",AND(F3519&gt;=6,G3519&gt;=7,H3519&gt;=6),"LOYAL CUSTOMER",AND(F3519&gt;=6,G3519&gt;=5,H3519&gt;=5),"POTENTIAL LOYALIST",AND(F3519&gt;=8,G3519&lt;=2,H3519&gt;=5),"NEW CUSTOMERS",AND(F3519&gt;=6,G3519&lt;=2,H3519&gt;=3),"PROMISING",AND(F3519&gt;=3,G3519&gt;=3,H3519&gt;=3),"NEED ATTENTION",AND(F3519&lt;=4,G3519&gt;=6,H3519&gt;=6),"AT RISK",AND(F3519&lt;=2,G3519&gt;=8,H3519&gt;=8),"CAN'T LOSE THEM",AND(F3519&lt;=2,G3519&lt;=2,H3519&lt;=2),"HIBERNATING",TRUE(),"Other")</f>
        <v>NEED ATTENTION</v>
      </c>
      <c r="K3519" s="1" t="n">
        <f aca="false">RANK(E3519,$E$7:$E$4378)+COUNTIF($E$7:E3519,E3519)-1</f>
        <v>1675</v>
      </c>
    </row>
    <row r="3520" customFormat="false" ht="14.25" hidden="false" customHeight="true" outlineLevel="0" collapsed="false">
      <c r="A3520" s="51" t="n">
        <v>17101</v>
      </c>
      <c r="B3520" s="53" t="n">
        <v>40876.58125</v>
      </c>
      <c r="C3520" s="57" t="n">
        <f aca="false">INT($C$2)-INT(Table3[[#This Row],[Last Purchase Date]])</f>
        <v>11</v>
      </c>
      <c r="D3520" s="1" t="n">
        <v>4</v>
      </c>
      <c r="E3520" s="1" t="n">
        <v>1621.73</v>
      </c>
      <c r="F3520" s="1" t="n">
        <f aca="false">ROUND((1-_xlfn.PERCENTRANK.INC($C$7:$C$4378,C3520))*9,0)</f>
        <v>7</v>
      </c>
      <c r="G3520" s="1" t="n">
        <f aca="false">ROUND(_xlfn.PERCENTRANK.INC($D$7:$D$4378,D3520)*9,0)</f>
        <v>5</v>
      </c>
      <c r="H3520" s="1" t="n">
        <f aca="false">ROUND(_xlfn.PERCENTRANK.INC($E$7:$E$4378,E3520)*9,0)</f>
        <v>7</v>
      </c>
      <c r="I3520" s="1" t="str">
        <f aca="false">CONCATENATE(F3520,G3520,H3520)</f>
        <v>757</v>
      </c>
      <c r="J3520" s="1" t="str">
        <f aca="false">_xlfn.IFS(AND(F3520&gt;=8,G3520&gt;=8,H3520&gt;=8),"CHAMPION",AND(F3520&gt;=6,G3520&gt;=7,H3520&gt;=6),"LOYAL CUSTOMER",AND(F3520&gt;=6,G3520&gt;=5,H3520&gt;=5),"POTENTIAL LOYALIST",AND(F3520&gt;=8,G3520&lt;=2,H3520&gt;=5),"NEW CUSTOMERS",AND(F3520&gt;=6,G3520&lt;=2,H3520&gt;=3),"PROMISING",AND(F3520&gt;=3,G3520&gt;=3,H3520&gt;=3),"NEED ATTENTION",AND(F3520&lt;=4,G3520&gt;=6,H3520&gt;=6),"AT RISK",AND(F3520&lt;=2,G3520&gt;=8,H3520&gt;=8),"CAN'T LOSE THEM",AND(F3520&lt;=2,G3520&lt;=2,H3520&lt;=2),"HIBERNATING",TRUE(),"Other")</f>
        <v>POTENTIAL LOYALIST</v>
      </c>
      <c r="K3520" s="1" t="n">
        <f aca="false">RANK(E3520,$E$7:$E$4378)+COUNTIF($E$7:E3520,E3520)-1</f>
        <v>1088</v>
      </c>
    </row>
    <row r="3521" customFormat="false" ht="14.25" hidden="false" customHeight="true" outlineLevel="0" collapsed="false">
      <c r="A3521" s="51" t="n">
        <v>17102</v>
      </c>
      <c r="B3521" s="53" t="n">
        <v>40625.4222222222</v>
      </c>
      <c r="C3521" s="57" t="n">
        <f aca="false">INT($C$2)-INT(Table3[[#This Row],[Last Purchase Date]])</f>
        <v>262</v>
      </c>
      <c r="D3521" s="1" t="n">
        <v>1</v>
      </c>
      <c r="E3521" s="1" t="n">
        <v>25.5</v>
      </c>
      <c r="F3521" s="1" t="n">
        <f aca="false">ROUND((1-_xlfn.PERCENTRANK.INC($C$7:$C$4378,C3521))*9,0)</f>
        <v>1</v>
      </c>
      <c r="G3521" s="1" t="n">
        <f aca="false">ROUND(_xlfn.PERCENTRANK.INC($D$7:$D$4378,D3521)*9,0)</f>
        <v>0</v>
      </c>
      <c r="H3521" s="1" t="n">
        <f aca="false">ROUND(_xlfn.PERCENTRANK.INC($E$7:$E$4378,E3521)*9,0)</f>
        <v>0</v>
      </c>
      <c r="I3521" s="1" t="str">
        <f aca="false">CONCATENATE(F3521,G3521,H3521)</f>
        <v>100</v>
      </c>
      <c r="J3521" s="1" t="str">
        <f aca="false">_xlfn.IFS(AND(F3521&gt;=8,G3521&gt;=8,H3521&gt;=8),"CHAMPION",AND(F3521&gt;=6,G3521&gt;=7,H3521&gt;=6),"LOYAL CUSTOMER",AND(F3521&gt;=6,G3521&gt;=5,H3521&gt;=5),"POTENTIAL LOYALIST",AND(F3521&gt;=8,G3521&lt;=2,H3521&gt;=5),"NEW CUSTOMERS",AND(F3521&gt;=6,G3521&lt;=2,H3521&gt;=3),"PROMISING",AND(F3521&gt;=3,G3521&gt;=3,H3521&gt;=3),"NEED ATTENTION",AND(F3521&lt;=4,G3521&gt;=6,H3521&gt;=6),"AT RISK",AND(F3521&lt;=2,G3521&gt;=8,H3521&gt;=8),"CAN'T LOSE THEM",AND(F3521&lt;=2,G3521&lt;=2,H3521&lt;=2),"HIBERNATING",TRUE(),"Other")</f>
        <v>HIBERNATING</v>
      </c>
      <c r="K3521" s="1" t="n">
        <f aca="false">RANK(E3521,$E$7:$E$4378)+COUNTIF($E$7:E3521,E3521)-1</f>
        <v>4308</v>
      </c>
    </row>
    <row r="3522" customFormat="false" ht="14.25" hidden="false" customHeight="true" outlineLevel="0" collapsed="false">
      <c r="A3522" s="51" t="n">
        <v>17105</v>
      </c>
      <c r="B3522" s="53" t="n">
        <v>40727.6618055556</v>
      </c>
      <c r="C3522" s="57" t="n">
        <f aca="false">INT($C$2)-INT(Table3[[#This Row],[Last Purchase Date]])</f>
        <v>160</v>
      </c>
      <c r="D3522" s="1" t="n">
        <v>2</v>
      </c>
      <c r="E3522" s="1" t="n">
        <v>665.78</v>
      </c>
      <c r="F3522" s="1" t="n">
        <f aca="false">ROUND((1-_xlfn.PERCENTRANK.INC($C$7:$C$4378,C3522))*9,0)</f>
        <v>2</v>
      </c>
      <c r="G3522" s="1" t="n">
        <f aca="false">ROUND(_xlfn.PERCENTRANK.INC($D$7:$D$4378,D3522)*9,0)</f>
        <v>3</v>
      </c>
      <c r="H3522" s="1" t="n">
        <f aca="false">ROUND(_xlfn.PERCENTRANK.INC($E$7:$E$4378,E3522)*9,0)</f>
        <v>5</v>
      </c>
      <c r="I3522" s="1" t="str">
        <f aca="false">CONCATENATE(F3522,G3522,H3522)</f>
        <v>235</v>
      </c>
      <c r="J3522" s="1" t="str">
        <f aca="false">_xlfn.IFS(AND(F3522&gt;=8,G3522&gt;=8,H3522&gt;=8),"CHAMPION",AND(F3522&gt;=6,G3522&gt;=7,H3522&gt;=6),"LOYAL CUSTOMER",AND(F3522&gt;=6,G3522&gt;=5,H3522&gt;=5),"POTENTIAL LOYALIST",AND(F3522&gt;=8,G3522&lt;=2,H3522&gt;=5),"NEW CUSTOMERS",AND(F3522&gt;=6,G3522&lt;=2,H3522&gt;=3),"PROMISING",AND(F3522&gt;=3,G3522&gt;=3,H3522&gt;=3),"NEED ATTENTION",AND(F3522&lt;=4,G3522&gt;=6,H3522&gt;=6),"AT RISK",AND(F3522&lt;=2,G3522&gt;=8,H3522&gt;=8),"CAN'T LOSE THEM",AND(F3522&lt;=2,G3522&lt;=2,H3522&lt;=2),"HIBERNATING",TRUE(),"Other")</f>
        <v>Other</v>
      </c>
      <c r="K3522" s="1" t="n">
        <f aca="false">RANK(E3522,$E$7:$E$4378)+COUNTIF($E$7:E3522,E3522)-1</f>
        <v>2140</v>
      </c>
    </row>
    <row r="3523" customFormat="false" ht="14.25" hidden="false" customHeight="true" outlineLevel="0" collapsed="false">
      <c r="A3523" s="51" t="n">
        <v>17107</v>
      </c>
      <c r="B3523" s="53" t="n">
        <v>40854.3618055556</v>
      </c>
      <c r="C3523" s="57" t="n">
        <f aca="false">INT($C$2)-INT(Table3[[#This Row],[Last Purchase Date]])</f>
        <v>33</v>
      </c>
      <c r="D3523" s="1" t="n">
        <v>7</v>
      </c>
      <c r="E3523" s="1" t="n">
        <v>10380.43</v>
      </c>
      <c r="F3523" s="1" t="n">
        <f aca="false">ROUND((1-_xlfn.PERCENTRANK.INC($C$7:$C$4378,C3523))*9,0)</f>
        <v>5</v>
      </c>
      <c r="G3523" s="1" t="n">
        <f aca="false">ROUND(_xlfn.PERCENTRANK.INC($D$7:$D$4378,D3523)*9,0)</f>
        <v>7</v>
      </c>
      <c r="H3523" s="1" t="n">
        <f aca="false">ROUND(_xlfn.PERCENTRANK.INC($E$7:$E$4378,E3523)*9,0)</f>
        <v>9</v>
      </c>
      <c r="I3523" s="1" t="str">
        <f aca="false">CONCATENATE(F3523,G3523,H3523)</f>
        <v>579</v>
      </c>
      <c r="J3523" s="1" t="str">
        <f aca="false">_xlfn.IFS(AND(F3523&gt;=8,G3523&gt;=8,H3523&gt;=8),"CHAMPION",AND(F3523&gt;=6,G3523&gt;=7,H3523&gt;=6),"LOYAL CUSTOMER",AND(F3523&gt;=6,G3523&gt;=5,H3523&gt;=5),"POTENTIAL LOYALIST",AND(F3523&gt;=8,G3523&lt;=2,H3523&gt;=5),"NEW CUSTOMERS",AND(F3523&gt;=6,G3523&lt;=2,H3523&gt;=3),"PROMISING",AND(F3523&gt;=3,G3523&gt;=3,H3523&gt;=3),"NEED ATTENTION",AND(F3523&lt;=4,G3523&gt;=6,H3523&gt;=6),"AT RISK",AND(F3523&lt;=2,G3523&gt;=8,H3523&gt;=8),"CAN'T LOSE THEM",AND(F3523&lt;=2,G3523&lt;=2,H3523&lt;=2),"HIBERNATING",TRUE(),"Other")</f>
        <v>NEED ATTENTION</v>
      </c>
      <c r="K3523" s="1" t="n">
        <f aca="false">RANK(E3523,$E$7:$E$4378)+COUNTIF($E$7:E3523,E3523)-1</f>
        <v>91</v>
      </c>
    </row>
    <row r="3524" customFormat="false" ht="14.25" hidden="false" customHeight="true" outlineLevel="0" collapsed="false">
      <c r="A3524" s="51" t="n">
        <v>17109</v>
      </c>
      <c r="B3524" s="53" t="n">
        <v>40857.7076388889</v>
      </c>
      <c r="C3524" s="57" t="n">
        <f aca="false">INT($C$2)-INT(Table3[[#This Row],[Last Purchase Date]])</f>
        <v>30</v>
      </c>
      <c r="D3524" s="1" t="n">
        <v>8</v>
      </c>
      <c r="E3524" s="1" t="n">
        <v>869.68</v>
      </c>
      <c r="F3524" s="1" t="n">
        <f aca="false">ROUND((1-_xlfn.PERCENTRANK.INC($C$7:$C$4378,C3524))*9,0)</f>
        <v>6</v>
      </c>
      <c r="G3524" s="1" t="n">
        <f aca="false">ROUND(_xlfn.PERCENTRANK.INC($D$7:$D$4378,D3524)*9,0)</f>
        <v>7</v>
      </c>
      <c r="H3524" s="1" t="n">
        <f aca="false">ROUND(_xlfn.PERCENTRANK.INC($E$7:$E$4378,E3524)*9,0)</f>
        <v>5</v>
      </c>
      <c r="I3524" s="1" t="str">
        <f aca="false">CONCATENATE(F3524,G3524,H3524)</f>
        <v>675</v>
      </c>
      <c r="J3524" s="1" t="str">
        <f aca="false">_xlfn.IFS(AND(F3524&gt;=8,G3524&gt;=8,H3524&gt;=8),"CHAMPION",AND(F3524&gt;=6,G3524&gt;=7,H3524&gt;=6),"LOYAL CUSTOMER",AND(F3524&gt;=6,G3524&gt;=5,H3524&gt;=5),"POTENTIAL LOYALIST",AND(F3524&gt;=8,G3524&lt;=2,H3524&gt;=5),"NEW CUSTOMERS",AND(F3524&gt;=6,G3524&lt;=2,H3524&gt;=3),"PROMISING",AND(F3524&gt;=3,G3524&gt;=3,H3524&gt;=3),"NEED ATTENTION",AND(F3524&lt;=4,G3524&gt;=6,H3524&gt;=6),"AT RISK",AND(F3524&lt;=2,G3524&gt;=8,H3524&gt;=8),"CAN'T LOSE THEM",AND(F3524&lt;=2,G3524&lt;=2,H3524&lt;=2),"HIBERNATING",TRUE(),"Other")</f>
        <v>POTENTIAL LOYALIST</v>
      </c>
      <c r="K3524" s="1" t="n">
        <f aca="false">RANK(E3524,$E$7:$E$4378)+COUNTIF($E$7:E3524,E3524)-1</f>
        <v>1801</v>
      </c>
    </row>
    <row r="3525" customFormat="false" ht="14.25" hidden="false" customHeight="true" outlineLevel="0" collapsed="false">
      <c r="A3525" s="51" t="n">
        <v>17110</v>
      </c>
      <c r="B3525" s="53" t="n">
        <v>40721.5402777778</v>
      </c>
      <c r="C3525" s="57" t="n">
        <f aca="false">INT($C$2)-INT(Table3[[#This Row],[Last Purchase Date]])</f>
        <v>166</v>
      </c>
      <c r="D3525" s="1" t="n">
        <v>1</v>
      </c>
      <c r="E3525" s="1" t="n">
        <v>163.3</v>
      </c>
      <c r="F3525" s="1" t="n">
        <f aca="false">ROUND((1-_xlfn.PERCENTRANK.INC($C$7:$C$4378,C3525))*9,0)</f>
        <v>2</v>
      </c>
      <c r="G3525" s="1" t="n">
        <f aca="false">ROUND(_xlfn.PERCENTRANK.INC($D$7:$D$4378,D3525)*9,0)</f>
        <v>0</v>
      </c>
      <c r="H3525" s="1" t="n">
        <f aca="false">ROUND(_xlfn.PERCENTRANK.INC($E$7:$E$4378,E3525)*9,0)</f>
        <v>1</v>
      </c>
      <c r="I3525" s="1" t="str">
        <f aca="false">CONCATENATE(F3525,G3525,H3525)</f>
        <v>201</v>
      </c>
      <c r="J3525" s="1" t="str">
        <f aca="false">_xlfn.IFS(AND(F3525&gt;=8,G3525&gt;=8,H3525&gt;=8),"CHAMPION",AND(F3525&gt;=6,G3525&gt;=7,H3525&gt;=6),"LOYAL CUSTOMER",AND(F3525&gt;=6,G3525&gt;=5,H3525&gt;=5),"POTENTIAL LOYALIST",AND(F3525&gt;=8,G3525&lt;=2,H3525&gt;=5),"NEW CUSTOMERS",AND(F3525&gt;=6,G3525&lt;=2,H3525&gt;=3),"PROMISING",AND(F3525&gt;=3,G3525&gt;=3,H3525&gt;=3),"NEED ATTENTION",AND(F3525&lt;=4,G3525&gt;=6,H3525&gt;=6),"AT RISK",AND(F3525&lt;=2,G3525&gt;=8,H3525&gt;=8),"CAN'T LOSE THEM",AND(F3525&lt;=2,G3525&lt;=2,H3525&lt;=2),"HIBERNATING",TRUE(),"Other")</f>
        <v>HIBERNATING</v>
      </c>
      <c r="K3525" s="1" t="n">
        <f aca="false">RANK(E3525,$E$7:$E$4378)+COUNTIF($E$7:E3525,E3525)-1</f>
        <v>3839</v>
      </c>
    </row>
    <row r="3526" customFormat="false" ht="14.25" hidden="false" customHeight="true" outlineLevel="0" collapsed="false">
      <c r="A3526" s="51" t="n">
        <v>17111</v>
      </c>
      <c r="B3526" s="53" t="n">
        <v>40839.6659722222</v>
      </c>
      <c r="C3526" s="57" t="n">
        <f aca="false">INT($C$2)-INT(Table3[[#This Row],[Last Purchase Date]])</f>
        <v>48</v>
      </c>
      <c r="D3526" s="1" t="n">
        <v>1</v>
      </c>
      <c r="E3526" s="1" t="n">
        <v>248.61</v>
      </c>
      <c r="F3526" s="1" t="n">
        <f aca="false">ROUND((1-_xlfn.PERCENTRANK.INC($C$7:$C$4378,C3526))*9,0)</f>
        <v>5</v>
      </c>
      <c r="G3526" s="1" t="n">
        <f aca="false">ROUND(_xlfn.PERCENTRANK.INC($D$7:$D$4378,D3526)*9,0)</f>
        <v>0</v>
      </c>
      <c r="H3526" s="1" t="n">
        <f aca="false">ROUND(_xlfn.PERCENTRANK.INC($E$7:$E$4378,E3526)*9,0)</f>
        <v>2</v>
      </c>
      <c r="I3526" s="1" t="str">
        <f aca="false">CONCATENATE(F3526,G3526,H3526)</f>
        <v>502</v>
      </c>
      <c r="J3526" s="1" t="str">
        <f aca="false">_xlfn.IFS(AND(F3526&gt;=8,G3526&gt;=8,H3526&gt;=8),"CHAMPION",AND(F3526&gt;=6,G3526&gt;=7,H3526&gt;=6),"LOYAL CUSTOMER",AND(F3526&gt;=6,G3526&gt;=5,H3526&gt;=5),"POTENTIAL LOYALIST",AND(F3526&gt;=8,G3526&lt;=2,H3526&gt;=5),"NEW CUSTOMERS",AND(F3526&gt;=6,G3526&lt;=2,H3526&gt;=3),"PROMISING",AND(F3526&gt;=3,G3526&gt;=3,H3526&gt;=3),"NEED ATTENTION",AND(F3526&lt;=4,G3526&gt;=6,H3526&gt;=6),"AT RISK",AND(F3526&lt;=2,G3526&gt;=8,H3526&gt;=8),"CAN'T LOSE THEM",AND(F3526&lt;=2,G3526&lt;=2,H3526&lt;=2),"HIBERNATING",TRUE(),"Other")</f>
        <v>Other</v>
      </c>
      <c r="K3526" s="1" t="n">
        <f aca="false">RANK(E3526,$E$7:$E$4378)+COUNTIF($E$7:E3526,E3526)-1</f>
        <v>3444</v>
      </c>
    </row>
    <row r="3527" customFormat="false" ht="14.25" hidden="false" customHeight="true" outlineLevel="0" collapsed="false">
      <c r="A3527" s="51" t="n">
        <v>17114</v>
      </c>
      <c r="B3527" s="53" t="n">
        <v>40881.5118055556</v>
      </c>
      <c r="C3527" s="57" t="n">
        <f aca="false">INT($C$2)-INT(Table3[[#This Row],[Last Purchase Date]])</f>
        <v>6</v>
      </c>
      <c r="D3527" s="1" t="n">
        <v>10</v>
      </c>
      <c r="E3527" s="1" t="n">
        <v>747.22</v>
      </c>
      <c r="F3527" s="1" t="n">
        <f aca="false">ROUND((1-_xlfn.PERCENTRANK.INC($C$7:$C$4378,C3527))*9,0)</f>
        <v>8</v>
      </c>
      <c r="G3527" s="1" t="n">
        <f aca="false">ROUND(_xlfn.PERCENTRANK.INC($D$7:$D$4378,D3527)*9,0)</f>
        <v>8</v>
      </c>
      <c r="H3527" s="1" t="n">
        <f aca="false">ROUND(_xlfn.PERCENTRANK.INC($E$7:$E$4378,E3527)*9,0)</f>
        <v>5</v>
      </c>
      <c r="I3527" s="1" t="str">
        <f aca="false">CONCATENATE(F3527,G3527,H3527)</f>
        <v>885</v>
      </c>
      <c r="J3527" s="1" t="str">
        <f aca="false">_xlfn.IFS(AND(F3527&gt;=8,G3527&gt;=8,H3527&gt;=8),"CHAMPION",AND(F3527&gt;=6,G3527&gt;=7,H3527&gt;=6),"LOYAL CUSTOMER",AND(F3527&gt;=6,G3527&gt;=5,H3527&gt;=5),"POTENTIAL LOYALIST",AND(F3527&gt;=8,G3527&lt;=2,H3527&gt;=5),"NEW CUSTOMERS",AND(F3527&gt;=6,G3527&lt;=2,H3527&gt;=3),"PROMISING",AND(F3527&gt;=3,G3527&gt;=3,H3527&gt;=3),"NEED ATTENTION",AND(F3527&lt;=4,G3527&gt;=6,H3527&gt;=6),"AT RISK",AND(F3527&lt;=2,G3527&gt;=8,H3527&gt;=8),"CAN'T LOSE THEM",AND(F3527&lt;=2,G3527&lt;=2,H3527&lt;=2),"HIBERNATING",TRUE(),"Other")</f>
        <v>POTENTIAL LOYALIST</v>
      </c>
      <c r="K3527" s="1" t="n">
        <f aca="false">RANK(E3527,$E$7:$E$4378)+COUNTIF($E$7:E3527,E3527)-1</f>
        <v>1980</v>
      </c>
    </row>
    <row r="3528" customFormat="false" ht="14.25" hidden="false" customHeight="true" outlineLevel="0" collapsed="false">
      <c r="A3528" s="51" t="n">
        <v>17115</v>
      </c>
      <c r="B3528" s="53" t="n">
        <v>40878.6041666667</v>
      </c>
      <c r="C3528" s="57" t="n">
        <f aca="false">INT($C$2)-INT(Table3[[#This Row],[Last Purchase Date]])</f>
        <v>9</v>
      </c>
      <c r="D3528" s="1" t="n">
        <v>5</v>
      </c>
      <c r="E3528" s="1" t="n">
        <v>806.9</v>
      </c>
      <c r="F3528" s="1" t="n">
        <f aca="false">ROUND((1-_xlfn.PERCENTRANK.INC($C$7:$C$4378,C3528))*9,0)</f>
        <v>8</v>
      </c>
      <c r="G3528" s="1" t="n">
        <f aca="false">ROUND(_xlfn.PERCENTRANK.INC($D$7:$D$4378,D3528)*9,0)</f>
        <v>6</v>
      </c>
      <c r="H3528" s="1" t="n">
        <f aca="false">ROUND(_xlfn.PERCENTRANK.INC($E$7:$E$4378,E3528)*9,0)</f>
        <v>5</v>
      </c>
      <c r="I3528" s="1" t="str">
        <f aca="false">CONCATENATE(F3528,G3528,H3528)</f>
        <v>865</v>
      </c>
      <c r="J3528" s="1" t="str">
        <f aca="false">_xlfn.IFS(AND(F3528&gt;=8,G3528&gt;=8,H3528&gt;=8),"CHAMPION",AND(F3528&gt;=6,G3528&gt;=7,H3528&gt;=6),"LOYAL CUSTOMER",AND(F3528&gt;=6,G3528&gt;=5,H3528&gt;=5),"POTENTIAL LOYALIST",AND(F3528&gt;=8,G3528&lt;=2,H3528&gt;=5),"NEW CUSTOMERS",AND(F3528&gt;=6,G3528&lt;=2,H3528&gt;=3),"PROMISING",AND(F3528&gt;=3,G3528&gt;=3,H3528&gt;=3),"NEED ATTENTION",AND(F3528&lt;=4,G3528&gt;=6,H3528&gt;=6),"AT RISK",AND(F3528&lt;=2,G3528&gt;=8,H3528&gt;=8),"CAN'T LOSE THEM",AND(F3528&lt;=2,G3528&lt;=2,H3528&lt;=2),"HIBERNATING",TRUE(),"Other")</f>
        <v>POTENTIAL LOYALIST</v>
      </c>
      <c r="K3528" s="1" t="n">
        <f aca="false">RANK(E3528,$E$7:$E$4378)+COUNTIF($E$7:E3528,E3528)-1</f>
        <v>1887</v>
      </c>
    </row>
    <row r="3529" customFormat="false" ht="14.25" hidden="false" customHeight="true" outlineLevel="0" collapsed="false">
      <c r="A3529" s="51" t="n">
        <v>17117</v>
      </c>
      <c r="B3529" s="53" t="n">
        <v>40598.5791666667</v>
      </c>
      <c r="C3529" s="57" t="n">
        <f aca="false">INT($C$2)-INT(Table3[[#This Row],[Last Purchase Date]])</f>
        <v>289</v>
      </c>
      <c r="D3529" s="1" t="n">
        <v>1</v>
      </c>
      <c r="E3529" s="1" t="n">
        <v>116.2</v>
      </c>
      <c r="F3529" s="1" t="n">
        <f aca="false">ROUND((1-_xlfn.PERCENTRANK.INC($C$7:$C$4378,C3529))*9,0)</f>
        <v>1</v>
      </c>
      <c r="G3529" s="1" t="n">
        <f aca="false">ROUND(_xlfn.PERCENTRANK.INC($D$7:$D$4378,D3529)*9,0)</f>
        <v>0</v>
      </c>
      <c r="H3529" s="1" t="n">
        <f aca="false">ROUND(_xlfn.PERCENTRANK.INC($E$7:$E$4378,E3529)*9,0)</f>
        <v>1</v>
      </c>
      <c r="I3529" s="1" t="str">
        <f aca="false">CONCATENATE(F3529,G3529,H3529)</f>
        <v>101</v>
      </c>
      <c r="J3529" s="1" t="str">
        <f aca="false">_xlfn.IFS(AND(F3529&gt;=8,G3529&gt;=8,H3529&gt;=8),"CHAMPION",AND(F3529&gt;=6,G3529&gt;=7,H3529&gt;=6),"LOYAL CUSTOMER",AND(F3529&gt;=6,G3529&gt;=5,H3529&gt;=5),"POTENTIAL LOYALIST",AND(F3529&gt;=8,G3529&lt;=2,H3529&gt;=5),"NEW CUSTOMERS",AND(F3529&gt;=6,G3529&lt;=2,H3529&gt;=3),"PROMISING",AND(F3529&gt;=3,G3529&gt;=3,H3529&gt;=3),"NEED ATTENTION",AND(F3529&lt;=4,G3529&gt;=6,H3529&gt;=6),"AT RISK",AND(F3529&lt;=2,G3529&gt;=8,H3529&gt;=8),"CAN'T LOSE THEM",AND(F3529&lt;=2,G3529&lt;=2,H3529&lt;=2),"HIBERNATING",TRUE(),"Other")</f>
        <v>HIBERNATING</v>
      </c>
      <c r="K3529" s="1" t="n">
        <f aca="false">RANK(E3529,$E$7:$E$4378)+COUNTIF($E$7:E3529,E3529)-1</f>
        <v>4065</v>
      </c>
    </row>
    <row r="3530" customFormat="false" ht="14.25" hidden="false" customHeight="true" outlineLevel="0" collapsed="false">
      <c r="A3530" s="51" t="n">
        <v>17118</v>
      </c>
      <c r="B3530" s="53" t="n">
        <v>40569.5131944444</v>
      </c>
      <c r="C3530" s="57" t="n">
        <f aca="false">INT($C$2)-INT(Table3[[#This Row],[Last Purchase Date]])</f>
        <v>318</v>
      </c>
      <c r="D3530" s="1" t="n">
        <v>1</v>
      </c>
      <c r="E3530" s="1" t="n">
        <v>157.02</v>
      </c>
      <c r="F3530" s="1" t="n">
        <f aca="false">ROUND((1-_xlfn.PERCENTRANK.INC($C$7:$C$4378,C3530))*9,0)</f>
        <v>0</v>
      </c>
      <c r="G3530" s="1" t="n">
        <f aca="false">ROUND(_xlfn.PERCENTRANK.INC($D$7:$D$4378,D3530)*9,0)</f>
        <v>0</v>
      </c>
      <c r="H3530" s="1" t="n">
        <f aca="false">ROUND(_xlfn.PERCENTRANK.INC($E$7:$E$4378,E3530)*9,0)</f>
        <v>1</v>
      </c>
      <c r="I3530" s="1" t="str">
        <f aca="false">CONCATENATE(F3530,G3530,H3530)</f>
        <v>001</v>
      </c>
      <c r="J3530" s="1" t="str">
        <f aca="false">_xlfn.IFS(AND(F3530&gt;=8,G3530&gt;=8,H3530&gt;=8),"CHAMPION",AND(F3530&gt;=6,G3530&gt;=7,H3530&gt;=6),"LOYAL CUSTOMER",AND(F3530&gt;=6,G3530&gt;=5,H3530&gt;=5),"POTENTIAL LOYALIST",AND(F3530&gt;=8,G3530&lt;=2,H3530&gt;=5),"NEW CUSTOMERS",AND(F3530&gt;=6,G3530&lt;=2,H3530&gt;=3),"PROMISING",AND(F3530&gt;=3,G3530&gt;=3,H3530&gt;=3),"NEED ATTENTION",AND(F3530&lt;=4,G3530&gt;=6,H3530&gt;=6),"AT RISK",AND(F3530&lt;=2,G3530&gt;=8,H3530&gt;=8),"CAN'T LOSE THEM",AND(F3530&lt;=2,G3530&lt;=2,H3530&lt;=2),"HIBERNATING",TRUE(),"Other")</f>
        <v>HIBERNATING</v>
      </c>
      <c r="K3530" s="1" t="n">
        <f aca="false">RANK(E3530,$E$7:$E$4378)+COUNTIF($E$7:E3530,E3530)-1</f>
        <v>3875</v>
      </c>
    </row>
    <row r="3531" customFormat="false" ht="14.25" hidden="false" customHeight="true" outlineLevel="0" collapsed="false">
      <c r="A3531" s="51" t="n">
        <v>17119</v>
      </c>
      <c r="B3531" s="53" t="n">
        <v>40883.6111111111</v>
      </c>
      <c r="C3531" s="57" t="n">
        <f aca="false">INT($C$2)-INT(Table3[[#This Row],[Last Purchase Date]])</f>
        <v>4</v>
      </c>
      <c r="D3531" s="1" t="n">
        <v>3</v>
      </c>
      <c r="E3531" s="1" t="n">
        <v>593.61</v>
      </c>
      <c r="F3531" s="1" t="n">
        <f aca="false">ROUND((1-_xlfn.PERCENTRANK.INC($C$7:$C$4378,C3531))*9,0)</f>
        <v>8</v>
      </c>
      <c r="G3531" s="1" t="n">
        <f aca="false">ROUND(_xlfn.PERCENTRANK.INC($D$7:$D$4378,D3531)*9,0)</f>
        <v>4</v>
      </c>
      <c r="H3531" s="1" t="n">
        <f aca="false">ROUND(_xlfn.PERCENTRANK.INC($E$7:$E$4378,E3531)*9,0)</f>
        <v>4</v>
      </c>
      <c r="I3531" s="1" t="str">
        <f aca="false">CONCATENATE(F3531,G3531,H3531)</f>
        <v>844</v>
      </c>
      <c r="J3531" s="1" t="str">
        <f aca="false">_xlfn.IFS(AND(F3531&gt;=8,G3531&gt;=8,H3531&gt;=8),"CHAMPION",AND(F3531&gt;=6,G3531&gt;=7,H3531&gt;=6),"LOYAL CUSTOMER",AND(F3531&gt;=6,G3531&gt;=5,H3531&gt;=5),"POTENTIAL LOYALIST",AND(F3531&gt;=8,G3531&lt;=2,H3531&gt;=5),"NEW CUSTOMERS",AND(F3531&gt;=6,G3531&lt;=2,H3531&gt;=3),"PROMISING",AND(F3531&gt;=3,G3531&gt;=3,H3531&gt;=3),"NEED ATTENTION",AND(F3531&lt;=4,G3531&gt;=6,H3531&gt;=6),"AT RISK",AND(F3531&lt;=2,G3531&gt;=8,H3531&gt;=8),"CAN'T LOSE THEM",AND(F3531&lt;=2,G3531&lt;=2,H3531&lt;=2),"HIBERNATING",TRUE(),"Other")</f>
        <v>NEED ATTENTION</v>
      </c>
      <c r="K3531" s="1" t="n">
        <f aca="false">RANK(E3531,$E$7:$E$4378)+COUNTIF($E$7:E3531,E3531)-1</f>
        <v>2341</v>
      </c>
    </row>
    <row r="3532" customFormat="false" ht="14.25" hidden="false" customHeight="true" outlineLevel="0" collapsed="false">
      <c r="A3532" s="51" t="n">
        <v>17120</v>
      </c>
      <c r="B3532" s="53" t="n">
        <v>40653.6395833333</v>
      </c>
      <c r="C3532" s="57" t="n">
        <f aca="false">INT($C$2)-INT(Table3[[#This Row],[Last Purchase Date]])</f>
        <v>234</v>
      </c>
      <c r="D3532" s="1" t="n">
        <v>1</v>
      </c>
      <c r="E3532" s="1" t="n">
        <v>307.46</v>
      </c>
      <c r="F3532" s="1" t="n">
        <f aca="false">ROUND((1-_xlfn.PERCENTRANK.INC($C$7:$C$4378,C3532))*9,0)</f>
        <v>1</v>
      </c>
      <c r="G3532" s="1" t="n">
        <f aca="false">ROUND(_xlfn.PERCENTRANK.INC($D$7:$D$4378,D3532)*9,0)</f>
        <v>0</v>
      </c>
      <c r="H3532" s="1" t="n">
        <f aca="false">ROUND(_xlfn.PERCENTRANK.INC($E$7:$E$4378,E3532)*9,0)</f>
        <v>2</v>
      </c>
      <c r="I3532" s="1" t="str">
        <f aca="false">CONCATENATE(F3532,G3532,H3532)</f>
        <v>102</v>
      </c>
      <c r="J3532" s="1" t="str">
        <f aca="false">_xlfn.IFS(AND(F3532&gt;=8,G3532&gt;=8,H3532&gt;=8),"CHAMPION",AND(F3532&gt;=6,G3532&gt;=7,H3532&gt;=6),"LOYAL CUSTOMER",AND(F3532&gt;=6,G3532&gt;=5,H3532&gt;=5),"POTENTIAL LOYALIST",AND(F3532&gt;=8,G3532&lt;=2,H3532&gt;=5),"NEW CUSTOMERS",AND(F3532&gt;=6,G3532&lt;=2,H3532&gt;=3),"PROMISING",AND(F3532&gt;=3,G3532&gt;=3,H3532&gt;=3),"NEED ATTENTION",AND(F3532&lt;=4,G3532&gt;=6,H3532&gt;=6),"AT RISK",AND(F3532&lt;=2,G3532&gt;=8,H3532&gt;=8),"CAN'T LOSE THEM",AND(F3532&lt;=2,G3532&lt;=2,H3532&lt;=2),"HIBERNATING",TRUE(),"Other")</f>
        <v>HIBERNATING</v>
      </c>
      <c r="K3532" s="1" t="n">
        <f aca="false">RANK(E3532,$E$7:$E$4378)+COUNTIF($E$7:E3532,E3532)-1</f>
        <v>3210</v>
      </c>
    </row>
    <row r="3533" customFormat="false" ht="14.25" hidden="false" customHeight="true" outlineLevel="0" collapsed="false">
      <c r="A3533" s="51" t="n">
        <v>17122</v>
      </c>
      <c r="B3533" s="53" t="n">
        <v>40767.60625</v>
      </c>
      <c r="C3533" s="57" t="n">
        <f aca="false">INT($C$2)-INT(Table3[[#This Row],[Last Purchase Date]])</f>
        <v>120</v>
      </c>
      <c r="D3533" s="1" t="n">
        <v>1</v>
      </c>
      <c r="E3533" s="1" t="n">
        <v>138.32</v>
      </c>
      <c r="F3533" s="1" t="n">
        <f aca="false">ROUND((1-_xlfn.PERCENTRANK.INC($C$7:$C$4378,C3533))*9,0)</f>
        <v>3</v>
      </c>
      <c r="G3533" s="1" t="n">
        <f aca="false">ROUND(_xlfn.PERCENTRANK.INC($D$7:$D$4378,D3533)*9,0)</f>
        <v>0</v>
      </c>
      <c r="H3533" s="1" t="n">
        <f aca="false">ROUND(_xlfn.PERCENTRANK.INC($E$7:$E$4378,E3533)*9,0)</f>
        <v>1</v>
      </c>
      <c r="I3533" s="1" t="str">
        <f aca="false">CONCATENATE(F3533,G3533,H3533)</f>
        <v>301</v>
      </c>
      <c r="J3533" s="1" t="str">
        <f aca="false">_xlfn.IFS(AND(F3533&gt;=8,G3533&gt;=8,H3533&gt;=8),"CHAMPION",AND(F3533&gt;=6,G3533&gt;=7,H3533&gt;=6),"LOYAL CUSTOMER",AND(F3533&gt;=6,G3533&gt;=5,H3533&gt;=5),"POTENTIAL LOYALIST",AND(F3533&gt;=8,G3533&lt;=2,H3533&gt;=5),"NEW CUSTOMERS",AND(F3533&gt;=6,G3533&lt;=2,H3533&gt;=3),"PROMISING",AND(F3533&gt;=3,G3533&gt;=3,H3533&gt;=3),"NEED ATTENTION",AND(F3533&lt;=4,G3533&gt;=6,H3533&gt;=6),"AT RISK",AND(F3533&lt;=2,G3533&gt;=8,H3533&gt;=8),"CAN'T LOSE THEM",AND(F3533&lt;=2,G3533&lt;=2,H3533&lt;=2),"HIBERNATING",TRUE(),"Other")</f>
        <v>Other</v>
      </c>
      <c r="K3533" s="1" t="n">
        <f aca="false">RANK(E3533,$E$7:$E$4378)+COUNTIF($E$7:E3533,E3533)-1</f>
        <v>3968</v>
      </c>
    </row>
    <row r="3534" customFormat="false" ht="14.25" hidden="false" customHeight="true" outlineLevel="0" collapsed="false">
      <c r="A3534" s="51" t="n">
        <v>17123</v>
      </c>
      <c r="B3534" s="53" t="n">
        <v>40725.4493055556</v>
      </c>
      <c r="C3534" s="57" t="n">
        <f aca="false">INT($C$2)-INT(Table3[[#This Row],[Last Purchase Date]])</f>
        <v>162</v>
      </c>
      <c r="D3534" s="1" t="n">
        <v>1</v>
      </c>
      <c r="E3534" s="1" t="n">
        <v>345.3</v>
      </c>
      <c r="F3534" s="1" t="n">
        <f aca="false">ROUND((1-_xlfn.PERCENTRANK.INC($C$7:$C$4378,C3534))*9,0)</f>
        <v>2</v>
      </c>
      <c r="G3534" s="1" t="n">
        <f aca="false">ROUND(_xlfn.PERCENTRANK.INC($D$7:$D$4378,D3534)*9,0)</f>
        <v>0</v>
      </c>
      <c r="H3534" s="1" t="n">
        <f aca="false">ROUND(_xlfn.PERCENTRANK.INC($E$7:$E$4378,E3534)*9,0)</f>
        <v>3</v>
      </c>
      <c r="I3534" s="1" t="str">
        <f aca="false">CONCATENATE(F3534,G3534,H3534)</f>
        <v>203</v>
      </c>
      <c r="J3534" s="1" t="str">
        <f aca="false">_xlfn.IFS(AND(F3534&gt;=8,G3534&gt;=8,H3534&gt;=8),"CHAMPION",AND(F3534&gt;=6,G3534&gt;=7,H3534&gt;=6),"LOYAL CUSTOMER",AND(F3534&gt;=6,G3534&gt;=5,H3534&gt;=5),"POTENTIAL LOYALIST",AND(F3534&gt;=8,G3534&lt;=2,H3534&gt;=5),"NEW CUSTOMERS",AND(F3534&gt;=6,G3534&lt;=2,H3534&gt;=3),"PROMISING",AND(F3534&gt;=3,G3534&gt;=3,H3534&gt;=3),"NEED ATTENTION",AND(F3534&lt;=4,G3534&gt;=6,H3534&gt;=6),"AT RISK",AND(F3534&lt;=2,G3534&gt;=8,H3534&gt;=8),"CAN'T LOSE THEM",AND(F3534&lt;=2,G3534&lt;=2,H3534&lt;=2),"HIBERNATING",TRUE(),"Other")</f>
        <v>Other</v>
      </c>
      <c r="K3534" s="1" t="n">
        <f aca="false">RANK(E3534,$E$7:$E$4378)+COUNTIF($E$7:E3534,E3534)-1</f>
        <v>3031</v>
      </c>
    </row>
    <row r="3535" customFormat="false" ht="14.25" hidden="false" customHeight="true" outlineLevel="0" collapsed="false">
      <c r="A3535" s="51" t="n">
        <v>17124</v>
      </c>
      <c r="B3535" s="53" t="n">
        <v>40701.5847222222</v>
      </c>
      <c r="C3535" s="57" t="n">
        <f aca="false">INT($C$2)-INT(Table3[[#This Row],[Last Purchase Date]])</f>
        <v>186</v>
      </c>
      <c r="D3535" s="1" t="n">
        <v>1</v>
      </c>
      <c r="E3535" s="1" t="n">
        <v>298.89</v>
      </c>
      <c r="F3535" s="1" t="n">
        <f aca="false">ROUND((1-_xlfn.PERCENTRANK.INC($C$7:$C$4378,C3535))*9,0)</f>
        <v>2</v>
      </c>
      <c r="G3535" s="1" t="n">
        <f aca="false">ROUND(_xlfn.PERCENTRANK.INC($D$7:$D$4378,D3535)*9,0)</f>
        <v>0</v>
      </c>
      <c r="H3535" s="1" t="n">
        <f aca="false">ROUND(_xlfn.PERCENTRANK.INC($E$7:$E$4378,E3535)*9,0)</f>
        <v>2</v>
      </c>
      <c r="I3535" s="1" t="str">
        <f aca="false">CONCATENATE(F3535,G3535,H3535)</f>
        <v>202</v>
      </c>
      <c r="J3535" s="1" t="str">
        <f aca="false">_xlfn.IFS(AND(F3535&gt;=8,G3535&gt;=8,H3535&gt;=8),"CHAMPION",AND(F3535&gt;=6,G3535&gt;=7,H3535&gt;=6),"LOYAL CUSTOMER",AND(F3535&gt;=6,G3535&gt;=5,H3535&gt;=5),"POTENTIAL LOYALIST",AND(F3535&gt;=8,G3535&lt;=2,H3535&gt;=5),"NEW CUSTOMERS",AND(F3535&gt;=6,G3535&lt;=2,H3535&gt;=3),"PROMISING",AND(F3535&gt;=3,G3535&gt;=3,H3535&gt;=3),"NEED ATTENTION",AND(F3535&lt;=4,G3535&gt;=6,H3535&gt;=6),"AT RISK",AND(F3535&lt;=2,G3535&gt;=8,H3535&gt;=8),"CAN'T LOSE THEM",AND(F3535&lt;=2,G3535&lt;=2,H3535&lt;=2),"HIBERNATING",TRUE(),"Other")</f>
        <v>HIBERNATING</v>
      </c>
      <c r="K3535" s="1" t="n">
        <f aca="false">RANK(E3535,$E$7:$E$4378)+COUNTIF($E$7:E3535,E3535)-1</f>
        <v>3258</v>
      </c>
    </row>
    <row r="3536" customFormat="false" ht="14.25" hidden="false" customHeight="true" outlineLevel="0" collapsed="false">
      <c r="A3536" s="51" t="n">
        <v>17125</v>
      </c>
      <c r="B3536" s="53" t="n">
        <v>40836.6118055556</v>
      </c>
      <c r="C3536" s="57" t="n">
        <f aca="false">INT($C$2)-INT(Table3[[#This Row],[Last Purchase Date]])</f>
        <v>51</v>
      </c>
      <c r="D3536" s="1" t="n">
        <v>1</v>
      </c>
      <c r="E3536" s="1" t="n">
        <v>259.35</v>
      </c>
      <c r="F3536" s="1" t="n">
        <f aca="false">ROUND((1-_xlfn.PERCENTRANK.INC($C$7:$C$4378,C3536))*9,0)</f>
        <v>5</v>
      </c>
      <c r="G3536" s="1" t="n">
        <f aca="false">ROUND(_xlfn.PERCENTRANK.INC($D$7:$D$4378,D3536)*9,0)</f>
        <v>0</v>
      </c>
      <c r="H3536" s="1" t="n">
        <f aca="false">ROUND(_xlfn.PERCENTRANK.INC($E$7:$E$4378,E3536)*9,0)</f>
        <v>2</v>
      </c>
      <c r="I3536" s="1" t="str">
        <f aca="false">CONCATENATE(F3536,G3536,H3536)</f>
        <v>502</v>
      </c>
      <c r="J3536" s="1" t="str">
        <f aca="false">_xlfn.IFS(AND(F3536&gt;=8,G3536&gt;=8,H3536&gt;=8),"CHAMPION",AND(F3536&gt;=6,G3536&gt;=7,H3536&gt;=6),"LOYAL CUSTOMER",AND(F3536&gt;=6,G3536&gt;=5,H3536&gt;=5),"POTENTIAL LOYALIST",AND(F3536&gt;=8,G3536&lt;=2,H3536&gt;=5),"NEW CUSTOMERS",AND(F3536&gt;=6,G3536&lt;=2,H3536&gt;=3),"PROMISING",AND(F3536&gt;=3,G3536&gt;=3,H3536&gt;=3),"NEED ATTENTION",AND(F3536&lt;=4,G3536&gt;=6,H3536&gt;=6),"AT RISK",AND(F3536&lt;=2,G3536&gt;=8,H3536&gt;=8),"CAN'T LOSE THEM",AND(F3536&lt;=2,G3536&lt;=2,H3536&lt;=2),"HIBERNATING",TRUE(),"Other")</f>
        <v>Other</v>
      </c>
      <c r="K3536" s="1" t="n">
        <f aca="false">RANK(E3536,$E$7:$E$4378)+COUNTIF($E$7:E3536,E3536)-1</f>
        <v>3399</v>
      </c>
    </row>
    <row r="3537" customFormat="false" ht="14.25" hidden="false" customHeight="true" outlineLevel="0" collapsed="false">
      <c r="A3537" s="51" t="n">
        <v>17126</v>
      </c>
      <c r="B3537" s="53" t="n">
        <v>40734.5777777778</v>
      </c>
      <c r="C3537" s="57" t="n">
        <f aca="false">INT($C$2)-INT(Table3[[#This Row],[Last Purchase Date]])</f>
        <v>153</v>
      </c>
      <c r="D3537" s="1" t="n">
        <v>7</v>
      </c>
      <c r="E3537" s="1" t="n">
        <v>991.85</v>
      </c>
      <c r="F3537" s="1" t="n">
        <f aca="false">ROUND((1-_xlfn.PERCENTRANK.INC($C$7:$C$4378,C3537))*9,0)</f>
        <v>2</v>
      </c>
      <c r="G3537" s="1" t="n">
        <f aca="false">ROUND(_xlfn.PERCENTRANK.INC($D$7:$D$4378,D3537)*9,0)</f>
        <v>7</v>
      </c>
      <c r="H3537" s="1" t="n">
        <f aca="false">ROUND(_xlfn.PERCENTRANK.INC($E$7:$E$4378,E3537)*9,0)</f>
        <v>6</v>
      </c>
      <c r="I3537" s="1" t="str">
        <f aca="false">CONCATENATE(F3537,G3537,H3537)</f>
        <v>276</v>
      </c>
      <c r="J3537" s="1" t="str">
        <f aca="false">_xlfn.IFS(AND(F3537&gt;=8,G3537&gt;=8,H3537&gt;=8),"CHAMPION",AND(F3537&gt;=6,G3537&gt;=7,H3537&gt;=6),"LOYAL CUSTOMER",AND(F3537&gt;=6,G3537&gt;=5,H3537&gt;=5),"POTENTIAL LOYALIST",AND(F3537&gt;=8,G3537&lt;=2,H3537&gt;=5),"NEW CUSTOMERS",AND(F3537&gt;=6,G3537&lt;=2,H3537&gt;=3),"PROMISING",AND(F3537&gt;=3,G3537&gt;=3,H3537&gt;=3),"NEED ATTENTION",AND(F3537&lt;=4,G3537&gt;=6,H3537&gt;=6),"AT RISK",AND(F3537&lt;=2,G3537&gt;=8,H3537&gt;=8),"CAN'T LOSE THEM",AND(F3537&lt;=2,G3537&lt;=2,H3537&lt;=2),"HIBERNATING",TRUE(),"Other")</f>
        <v>AT RISK</v>
      </c>
      <c r="K3537" s="1" t="n">
        <f aca="false">RANK(E3537,$E$7:$E$4378)+COUNTIF($E$7:E3537,E3537)-1</f>
        <v>1645</v>
      </c>
    </row>
    <row r="3538" customFormat="false" ht="14.25" hidden="false" customHeight="true" outlineLevel="0" collapsed="false">
      <c r="A3538" s="51" t="n">
        <v>17128</v>
      </c>
      <c r="B3538" s="53" t="n">
        <v>40552.5013888889</v>
      </c>
      <c r="C3538" s="57" t="n">
        <f aca="false">INT($C$2)-INT(Table3[[#This Row],[Last Purchase Date]])</f>
        <v>335</v>
      </c>
      <c r="D3538" s="1" t="n">
        <v>1</v>
      </c>
      <c r="E3538" s="1" t="n">
        <v>157.09</v>
      </c>
      <c r="F3538" s="1" t="n">
        <f aca="false">ROUND((1-_xlfn.PERCENTRANK.INC($C$7:$C$4378,C3538))*9,0)</f>
        <v>0</v>
      </c>
      <c r="G3538" s="1" t="n">
        <f aca="false">ROUND(_xlfn.PERCENTRANK.INC($D$7:$D$4378,D3538)*9,0)</f>
        <v>0</v>
      </c>
      <c r="H3538" s="1" t="n">
        <f aca="false">ROUND(_xlfn.PERCENTRANK.INC($E$7:$E$4378,E3538)*9,0)</f>
        <v>1</v>
      </c>
      <c r="I3538" s="1" t="str">
        <f aca="false">CONCATENATE(F3538,G3538,H3538)</f>
        <v>001</v>
      </c>
      <c r="J3538" s="1" t="str">
        <f aca="false">_xlfn.IFS(AND(F3538&gt;=8,G3538&gt;=8,H3538&gt;=8),"CHAMPION",AND(F3538&gt;=6,G3538&gt;=7,H3538&gt;=6),"LOYAL CUSTOMER",AND(F3538&gt;=6,G3538&gt;=5,H3538&gt;=5),"POTENTIAL LOYALIST",AND(F3538&gt;=8,G3538&lt;=2,H3538&gt;=5),"NEW CUSTOMERS",AND(F3538&gt;=6,G3538&lt;=2,H3538&gt;=3),"PROMISING",AND(F3538&gt;=3,G3538&gt;=3,H3538&gt;=3),"NEED ATTENTION",AND(F3538&lt;=4,G3538&gt;=6,H3538&gt;=6),"AT RISK",AND(F3538&lt;=2,G3538&gt;=8,H3538&gt;=8),"CAN'T LOSE THEM",AND(F3538&lt;=2,G3538&lt;=2,H3538&lt;=2),"HIBERNATING",TRUE(),"Other")</f>
        <v>HIBERNATING</v>
      </c>
      <c r="K3538" s="1" t="n">
        <f aca="false">RANK(E3538,$E$7:$E$4378)+COUNTIF($E$7:E3538,E3538)-1</f>
        <v>3873</v>
      </c>
    </row>
    <row r="3539" customFormat="false" ht="14.25" hidden="false" customHeight="true" outlineLevel="0" collapsed="false">
      <c r="A3539" s="51" t="n">
        <v>17131</v>
      </c>
      <c r="B3539" s="53" t="n">
        <v>40881.5361111111</v>
      </c>
      <c r="C3539" s="57" t="n">
        <f aca="false">INT($C$2)-INT(Table3[[#This Row],[Last Purchase Date]])</f>
        <v>6</v>
      </c>
      <c r="D3539" s="1" t="n">
        <v>5</v>
      </c>
      <c r="E3539" s="1" t="n">
        <v>2463.17</v>
      </c>
      <c r="F3539" s="1" t="n">
        <f aca="false">ROUND((1-_xlfn.PERCENTRANK.INC($C$7:$C$4378,C3539))*9,0)</f>
        <v>8</v>
      </c>
      <c r="G3539" s="1" t="n">
        <f aca="false">ROUND(_xlfn.PERCENTRANK.INC($D$7:$D$4378,D3539)*9,0)</f>
        <v>6</v>
      </c>
      <c r="H3539" s="1" t="n">
        <f aca="false">ROUND(_xlfn.PERCENTRANK.INC($E$7:$E$4378,E3539)*9,0)</f>
        <v>8</v>
      </c>
      <c r="I3539" s="1" t="str">
        <f aca="false">CONCATENATE(F3539,G3539,H3539)</f>
        <v>868</v>
      </c>
      <c r="J3539" s="1" t="str">
        <f aca="false">_xlfn.IFS(AND(F3539&gt;=8,G3539&gt;=8,H3539&gt;=8),"CHAMPION",AND(F3539&gt;=6,G3539&gt;=7,H3539&gt;=6),"LOYAL CUSTOMER",AND(F3539&gt;=6,G3539&gt;=5,H3539&gt;=5),"POTENTIAL LOYALIST",AND(F3539&gt;=8,G3539&lt;=2,H3539&gt;=5),"NEW CUSTOMERS",AND(F3539&gt;=6,G3539&lt;=2,H3539&gt;=3),"PROMISING",AND(F3539&gt;=3,G3539&gt;=3,H3539&gt;=3),"NEED ATTENTION",AND(F3539&lt;=4,G3539&gt;=6,H3539&gt;=6),"AT RISK",AND(F3539&lt;=2,G3539&gt;=8,H3539&gt;=8),"CAN'T LOSE THEM",AND(F3539&lt;=2,G3539&lt;=2,H3539&lt;=2),"HIBERNATING",TRUE(),"Other")</f>
        <v>POTENTIAL LOYALIST</v>
      </c>
      <c r="K3539" s="1" t="n">
        <f aca="false">RANK(E3539,$E$7:$E$4378)+COUNTIF($E$7:E3539,E3539)-1</f>
        <v>693</v>
      </c>
    </row>
    <row r="3540" customFormat="false" ht="14.25" hidden="false" customHeight="true" outlineLevel="0" collapsed="false">
      <c r="A3540" s="51" t="n">
        <v>17133</v>
      </c>
      <c r="B3540" s="53" t="n">
        <v>40871.51875</v>
      </c>
      <c r="C3540" s="57" t="n">
        <f aca="false">INT($C$2)-INT(Table3[[#This Row],[Last Purchase Date]])</f>
        <v>16</v>
      </c>
      <c r="D3540" s="1" t="n">
        <v>7</v>
      </c>
      <c r="E3540" s="1" t="n">
        <v>4892.24</v>
      </c>
      <c r="F3540" s="1" t="n">
        <f aca="false">ROUND((1-_xlfn.PERCENTRANK.INC($C$7:$C$4378,C3540))*9,0)</f>
        <v>7</v>
      </c>
      <c r="G3540" s="1" t="n">
        <f aca="false">ROUND(_xlfn.PERCENTRANK.INC($D$7:$D$4378,D3540)*9,0)</f>
        <v>7</v>
      </c>
      <c r="H3540" s="1" t="n">
        <f aca="false">ROUND(_xlfn.PERCENTRANK.INC($E$7:$E$4378,E3540)*9,0)</f>
        <v>8</v>
      </c>
      <c r="I3540" s="1" t="str">
        <f aca="false">CONCATENATE(F3540,G3540,H3540)</f>
        <v>778</v>
      </c>
      <c r="J3540" s="1" t="str">
        <f aca="false">_xlfn.IFS(AND(F3540&gt;=8,G3540&gt;=8,H3540&gt;=8),"CHAMPION",AND(F3540&gt;=6,G3540&gt;=7,H3540&gt;=6),"LOYAL CUSTOMER",AND(F3540&gt;=6,G3540&gt;=5,H3540&gt;=5),"POTENTIAL LOYALIST",AND(F3540&gt;=8,G3540&lt;=2,H3540&gt;=5),"NEW CUSTOMERS",AND(F3540&gt;=6,G3540&lt;=2,H3540&gt;=3),"PROMISING",AND(F3540&gt;=3,G3540&gt;=3,H3540&gt;=3),"NEED ATTENTION",AND(F3540&lt;=4,G3540&gt;=6,H3540&gt;=6),"AT RISK",AND(F3540&lt;=2,G3540&gt;=8,H3540&gt;=8),"CAN'T LOSE THEM",AND(F3540&lt;=2,G3540&lt;=2,H3540&lt;=2),"HIBERNATING",TRUE(),"Other")</f>
        <v>LOYAL CUSTOMER</v>
      </c>
      <c r="K3540" s="1" t="n">
        <f aca="false">RANK(E3540,$E$7:$E$4378)+COUNTIF($E$7:E3540,E3540)-1</f>
        <v>271</v>
      </c>
    </row>
    <row r="3541" customFormat="false" ht="14.25" hidden="false" customHeight="true" outlineLevel="0" collapsed="false">
      <c r="A3541" s="51" t="n">
        <v>17134</v>
      </c>
      <c r="B3541" s="53" t="n">
        <v>40780.4118055556</v>
      </c>
      <c r="C3541" s="57" t="n">
        <f aca="false">INT($C$2)-INT(Table3[[#This Row],[Last Purchase Date]])</f>
        <v>107</v>
      </c>
      <c r="D3541" s="1" t="n">
        <v>2</v>
      </c>
      <c r="E3541" s="1" t="n">
        <v>425</v>
      </c>
      <c r="F3541" s="1" t="n">
        <f aca="false">ROUND((1-_xlfn.PERCENTRANK.INC($C$7:$C$4378,C3541))*9,0)</f>
        <v>3</v>
      </c>
      <c r="G3541" s="1" t="n">
        <f aca="false">ROUND(_xlfn.PERCENTRANK.INC($D$7:$D$4378,D3541)*9,0)</f>
        <v>3</v>
      </c>
      <c r="H3541" s="1" t="n">
        <f aca="false">ROUND(_xlfn.PERCENTRANK.INC($E$7:$E$4378,E3541)*9,0)</f>
        <v>3</v>
      </c>
      <c r="I3541" s="1" t="str">
        <f aca="false">CONCATENATE(F3541,G3541,H3541)</f>
        <v>333</v>
      </c>
      <c r="J3541" s="1" t="str">
        <f aca="false">_xlfn.IFS(AND(F3541&gt;=8,G3541&gt;=8,H3541&gt;=8),"CHAMPION",AND(F3541&gt;=6,G3541&gt;=7,H3541&gt;=6),"LOYAL CUSTOMER",AND(F3541&gt;=6,G3541&gt;=5,H3541&gt;=5),"POTENTIAL LOYALIST",AND(F3541&gt;=8,G3541&lt;=2,H3541&gt;=5),"NEW CUSTOMERS",AND(F3541&gt;=6,G3541&lt;=2,H3541&gt;=3),"PROMISING",AND(F3541&gt;=3,G3541&gt;=3,H3541&gt;=3),"NEED ATTENTION",AND(F3541&lt;=4,G3541&gt;=6,H3541&gt;=6),"AT RISK",AND(F3541&lt;=2,G3541&gt;=8,H3541&gt;=8),"CAN'T LOSE THEM",AND(F3541&lt;=2,G3541&lt;=2,H3541&lt;=2),"HIBERNATING",TRUE(),"Other")</f>
        <v>NEED ATTENTION</v>
      </c>
      <c r="K3541" s="1" t="n">
        <f aca="false">RANK(E3541,$E$7:$E$4378)+COUNTIF($E$7:E3541,E3541)-1</f>
        <v>2740</v>
      </c>
    </row>
    <row r="3542" customFormat="false" ht="14.25" hidden="false" customHeight="true" outlineLevel="0" collapsed="false">
      <c r="A3542" s="51" t="n">
        <v>17135</v>
      </c>
      <c r="B3542" s="53" t="n">
        <v>40870.7</v>
      </c>
      <c r="C3542" s="57" t="n">
        <f aca="false">INT($C$2)-INT(Table3[[#This Row],[Last Purchase Date]])</f>
        <v>17</v>
      </c>
      <c r="D3542" s="1" t="n">
        <v>7</v>
      </c>
      <c r="E3542" s="1" t="n">
        <v>1139.73</v>
      </c>
      <c r="F3542" s="1" t="n">
        <f aca="false">ROUND((1-_xlfn.PERCENTRANK.INC($C$7:$C$4378,C3542))*9,0)</f>
        <v>7</v>
      </c>
      <c r="G3542" s="1" t="n">
        <f aca="false">ROUND(_xlfn.PERCENTRANK.INC($D$7:$D$4378,D3542)*9,0)</f>
        <v>7</v>
      </c>
      <c r="H3542" s="1" t="n">
        <f aca="false">ROUND(_xlfn.PERCENTRANK.INC($E$7:$E$4378,E3542)*9,0)</f>
        <v>6</v>
      </c>
      <c r="I3542" s="1" t="str">
        <f aca="false">CONCATENATE(F3542,G3542,H3542)</f>
        <v>776</v>
      </c>
      <c r="J3542" s="1" t="str">
        <f aca="false">_xlfn.IFS(AND(F3542&gt;=8,G3542&gt;=8,H3542&gt;=8),"CHAMPION",AND(F3542&gt;=6,G3542&gt;=7,H3542&gt;=6),"LOYAL CUSTOMER",AND(F3542&gt;=6,G3542&gt;=5,H3542&gt;=5),"POTENTIAL LOYALIST",AND(F3542&gt;=8,G3542&lt;=2,H3542&gt;=5),"NEW CUSTOMERS",AND(F3542&gt;=6,G3542&lt;=2,H3542&gt;=3),"PROMISING",AND(F3542&gt;=3,G3542&gt;=3,H3542&gt;=3),"NEED ATTENTION",AND(F3542&lt;=4,G3542&gt;=6,H3542&gt;=6),"AT RISK",AND(F3542&lt;=2,G3542&gt;=8,H3542&gt;=8),"CAN'T LOSE THEM",AND(F3542&lt;=2,G3542&lt;=2,H3542&lt;=2),"HIBERNATING",TRUE(),"Other")</f>
        <v>LOYAL CUSTOMER</v>
      </c>
      <c r="K3542" s="1" t="n">
        <f aca="false">RANK(E3542,$E$7:$E$4378)+COUNTIF($E$7:E3542,E3542)-1</f>
        <v>1463</v>
      </c>
    </row>
    <row r="3543" customFormat="false" ht="14.25" hidden="false" customHeight="true" outlineLevel="0" collapsed="false">
      <c r="A3543" s="51" t="n">
        <v>17138</v>
      </c>
      <c r="B3543" s="53" t="n">
        <v>40611.4958333333</v>
      </c>
      <c r="C3543" s="57" t="n">
        <f aca="false">INT($C$2)-INT(Table3[[#This Row],[Last Purchase Date]])</f>
        <v>276</v>
      </c>
      <c r="D3543" s="1" t="n">
        <v>1</v>
      </c>
      <c r="E3543" s="1" t="n">
        <v>380.5</v>
      </c>
      <c r="F3543" s="1" t="n">
        <f aca="false">ROUND((1-_xlfn.PERCENTRANK.INC($C$7:$C$4378,C3543))*9,0)</f>
        <v>1</v>
      </c>
      <c r="G3543" s="1" t="n">
        <f aca="false">ROUND(_xlfn.PERCENTRANK.INC($D$7:$D$4378,D3543)*9,0)</f>
        <v>0</v>
      </c>
      <c r="H3543" s="1" t="n">
        <f aca="false">ROUND(_xlfn.PERCENTRANK.INC($E$7:$E$4378,E3543)*9,0)</f>
        <v>3</v>
      </c>
      <c r="I3543" s="1" t="str">
        <f aca="false">CONCATENATE(F3543,G3543,H3543)</f>
        <v>103</v>
      </c>
      <c r="J3543" s="1" t="str">
        <f aca="false">_xlfn.IFS(AND(F3543&gt;=8,G3543&gt;=8,H3543&gt;=8),"CHAMPION",AND(F3543&gt;=6,G3543&gt;=7,H3543&gt;=6),"LOYAL CUSTOMER",AND(F3543&gt;=6,G3543&gt;=5,H3543&gt;=5),"POTENTIAL LOYALIST",AND(F3543&gt;=8,G3543&lt;=2,H3543&gt;=5),"NEW CUSTOMERS",AND(F3543&gt;=6,G3543&lt;=2,H3543&gt;=3),"PROMISING",AND(F3543&gt;=3,G3543&gt;=3,H3543&gt;=3),"NEED ATTENTION",AND(F3543&lt;=4,G3543&gt;=6,H3543&gt;=6),"AT RISK",AND(F3543&lt;=2,G3543&gt;=8,H3543&gt;=8),"CAN'T LOSE THEM",AND(F3543&lt;=2,G3543&lt;=2,H3543&lt;=2),"HIBERNATING",TRUE(),"Other")</f>
        <v>Other</v>
      </c>
      <c r="K3543" s="1" t="n">
        <f aca="false">RANK(E3543,$E$7:$E$4378)+COUNTIF($E$7:E3543,E3543)-1</f>
        <v>2888</v>
      </c>
    </row>
    <row r="3544" customFormat="false" ht="14.25" hidden="false" customHeight="true" outlineLevel="0" collapsed="false">
      <c r="A3544" s="51" t="n">
        <v>17139</v>
      </c>
      <c r="B3544" s="53" t="n">
        <v>40871.425</v>
      </c>
      <c r="C3544" s="57" t="n">
        <f aca="false">INT($C$2)-INT(Table3[[#This Row],[Last Purchase Date]])</f>
        <v>16</v>
      </c>
      <c r="D3544" s="1" t="n">
        <v>15</v>
      </c>
      <c r="E3544" s="1" t="n">
        <v>10585.57</v>
      </c>
      <c r="F3544" s="1" t="n">
        <f aca="false">ROUND((1-_xlfn.PERCENTRANK.INC($C$7:$C$4378,C3544))*9,0)</f>
        <v>7</v>
      </c>
      <c r="G3544" s="1" t="n">
        <f aca="false">ROUND(_xlfn.PERCENTRANK.INC($D$7:$D$4378,D3544)*9,0)</f>
        <v>8</v>
      </c>
      <c r="H3544" s="1" t="n">
        <f aca="false">ROUND(_xlfn.PERCENTRANK.INC($E$7:$E$4378,E3544)*9,0)</f>
        <v>9</v>
      </c>
      <c r="I3544" s="1" t="str">
        <f aca="false">CONCATENATE(F3544,G3544,H3544)</f>
        <v>789</v>
      </c>
      <c r="J3544" s="1" t="str">
        <f aca="false">_xlfn.IFS(AND(F3544&gt;=8,G3544&gt;=8,H3544&gt;=8),"CHAMPION",AND(F3544&gt;=6,G3544&gt;=7,H3544&gt;=6),"LOYAL CUSTOMER",AND(F3544&gt;=6,G3544&gt;=5,H3544&gt;=5),"POTENTIAL LOYALIST",AND(F3544&gt;=8,G3544&lt;=2,H3544&gt;=5),"NEW CUSTOMERS",AND(F3544&gt;=6,G3544&lt;=2,H3544&gt;=3),"PROMISING",AND(F3544&gt;=3,G3544&gt;=3,H3544&gt;=3),"NEED ATTENTION",AND(F3544&lt;=4,G3544&gt;=6,H3544&gt;=6),"AT RISK",AND(F3544&lt;=2,G3544&gt;=8,H3544&gt;=8),"CAN'T LOSE THEM",AND(F3544&lt;=2,G3544&lt;=2,H3544&lt;=2),"HIBERNATING",TRUE(),"Other")</f>
        <v>LOYAL CUSTOMER</v>
      </c>
      <c r="K3544" s="1" t="n">
        <f aca="false">RANK(E3544,$E$7:$E$4378)+COUNTIF($E$7:E3544,E3544)-1</f>
        <v>87</v>
      </c>
    </row>
    <row r="3545" customFormat="false" ht="14.25" hidden="false" customHeight="true" outlineLevel="0" collapsed="false">
      <c r="A3545" s="51" t="n">
        <v>17140</v>
      </c>
      <c r="B3545" s="53" t="n">
        <v>40639.5645833333</v>
      </c>
      <c r="C3545" s="57" t="n">
        <f aca="false">INT($C$2)-INT(Table3[[#This Row],[Last Purchase Date]])</f>
        <v>248</v>
      </c>
      <c r="D3545" s="1" t="n">
        <v>1</v>
      </c>
      <c r="E3545" s="1" t="n">
        <v>465.32</v>
      </c>
      <c r="F3545" s="1" t="n">
        <f aca="false">ROUND((1-_xlfn.PERCENTRANK.INC($C$7:$C$4378,C3545))*9,0)</f>
        <v>1</v>
      </c>
      <c r="G3545" s="1" t="n">
        <f aca="false">ROUND(_xlfn.PERCENTRANK.INC($D$7:$D$4378,D3545)*9,0)</f>
        <v>0</v>
      </c>
      <c r="H3545" s="1" t="n">
        <f aca="false">ROUND(_xlfn.PERCENTRANK.INC($E$7:$E$4378,E3545)*9,0)</f>
        <v>4</v>
      </c>
      <c r="I3545" s="1" t="str">
        <f aca="false">CONCATENATE(F3545,G3545,H3545)</f>
        <v>104</v>
      </c>
      <c r="J3545" s="1" t="str">
        <f aca="false">_xlfn.IFS(AND(F3545&gt;=8,G3545&gt;=8,H3545&gt;=8),"CHAMPION",AND(F3545&gt;=6,G3545&gt;=7,H3545&gt;=6),"LOYAL CUSTOMER",AND(F3545&gt;=6,G3545&gt;=5,H3545&gt;=5),"POTENTIAL LOYALIST",AND(F3545&gt;=8,G3545&lt;=2,H3545&gt;=5),"NEW CUSTOMERS",AND(F3545&gt;=6,G3545&lt;=2,H3545&gt;=3),"PROMISING",AND(F3545&gt;=3,G3545&gt;=3,H3545&gt;=3),"NEED ATTENTION",AND(F3545&lt;=4,G3545&gt;=6,H3545&gt;=6),"AT RISK",AND(F3545&lt;=2,G3545&gt;=8,H3545&gt;=8),"CAN'T LOSE THEM",AND(F3545&lt;=2,G3545&lt;=2,H3545&lt;=2),"HIBERNATING",TRUE(),"Other")</f>
        <v>Other</v>
      </c>
      <c r="K3545" s="1" t="n">
        <f aca="false">RANK(E3545,$E$7:$E$4378)+COUNTIF($E$7:E3545,E3545)-1</f>
        <v>2624</v>
      </c>
    </row>
    <row r="3546" customFormat="false" ht="14.25" hidden="false" customHeight="true" outlineLevel="0" collapsed="false">
      <c r="A3546" s="51" t="n">
        <v>17142</v>
      </c>
      <c r="B3546" s="53" t="n">
        <v>40647.7652777778</v>
      </c>
      <c r="C3546" s="57" t="n">
        <f aca="false">INT($C$2)-INT(Table3[[#This Row],[Last Purchase Date]])</f>
        <v>240</v>
      </c>
      <c r="D3546" s="1" t="n">
        <v>1</v>
      </c>
      <c r="E3546" s="1" t="n">
        <v>579</v>
      </c>
      <c r="F3546" s="1" t="n">
        <f aca="false">ROUND((1-_xlfn.PERCENTRANK.INC($C$7:$C$4378,C3546))*9,0)</f>
        <v>1</v>
      </c>
      <c r="G3546" s="1" t="n">
        <f aca="false">ROUND(_xlfn.PERCENTRANK.INC($D$7:$D$4378,D3546)*9,0)</f>
        <v>0</v>
      </c>
      <c r="H3546" s="1" t="n">
        <f aca="false">ROUND(_xlfn.PERCENTRANK.INC($E$7:$E$4378,E3546)*9,0)</f>
        <v>4</v>
      </c>
      <c r="I3546" s="1" t="str">
        <f aca="false">CONCATENATE(F3546,G3546,H3546)</f>
        <v>104</v>
      </c>
      <c r="J3546" s="1" t="str">
        <f aca="false">_xlfn.IFS(AND(F3546&gt;=8,G3546&gt;=8,H3546&gt;=8),"CHAMPION",AND(F3546&gt;=6,G3546&gt;=7,H3546&gt;=6),"LOYAL CUSTOMER",AND(F3546&gt;=6,G3546&gt;=5,H3546&gt;=5),"POTENTIAL LOYALIST",AND(F3546&gt;=8,G3546&lt;=2,H3546&gt;=5),"NEW CUSTOMERS",AND(F3546&gt;=6,G3546&lt;=2,H3546&gt;=3),"PROMISING",AND(F3546&gt;=3,G3546&gt;=3,H3546&gt;=3),"NEED ATTENTION",AND(F3546&lt;=4,G3546&gt;=6,H3546&gt;=6),"AT RISK",AND(F3546&lt;=2,G3546&gt;=8,H3546&gt;=8),"CAN'T LOSE THEM",AND(F3546&lt;=2,G3546&lt;=2,H3546&lt;=2),"HIBERNATING",TRUE(),"Other")</f>
        <v>Other</v>
      </c>
      <c r="K3546" s="1" t="n">
        <f aca="false">RANK(E3546,$E$7:$E$4378)+COUNTIF($E$7:E3546,E3546)-1</f>
        <v>2373</v>
      </c>
    </row>
    <row r="3547" customFormat="false" ht="14.25" hidden="false" customHeight="true" outlineLevel="0" collapsed="false">
      <c r="A3547" s="51" t="n">
        <v>17144</v>
      </c>
      <c r="B3547" s="53" t="n">
        <v>40885.7479166667</v>
      </c>
      <c r="C3547" s="57" t="n">
        <f aca="false">INT($C$2)-INT(Table3[[#This Row],[Last Purchase Date]])</f>
        <v>2</v>
      </c>
      <c r="D3547" s="1" t="n">
        <v>2</v>
      </c>
      <c r="E3547" s="1" t="n">
        <v>984.57</v>
      </c>
      <c r="F3547" s="1" t="n">
        <f aca="false">ROUND((1-_xlfn.PERCENTRANK.INC($C$7:$C$4378,C3547))*9,0)</f>
        <v>9</v>
      </c>
      <c r="G3547" s="1" t="n">
        <f aca="false">ROUND(_xlfn.PERCENTRANK.INC($D$7:$D$4378,D3547)*9,0)</f>
        <v>3</v>
      </c>
      <c r="H3547" s="1" t="n">
        <f aca="false">ROUND(_xlfn.PERCENTRANK.INC($E$7:$E$4378,E3547)*9,0)</f>
        <v>6</v>
      </c>
      <c r="I3547" s="1" t="str">
        <f aca="false">CONCATENATE(F3547,G3547,H3547)</f>
        <v>936</v>
      </c>
      <c r="J3547" s="1" t="str">
        <f aca="false">_xlfn.IFS(AND(F3547&gt;=8,G3547&gt;=8,H3547&gt;=8),"CHAMPION",AND(F3547&gt;=6,G3547&gt;=7,H3547&gt;=6),"LOYAL CUSTOMER",AND(F3547&gt;=6,G3547&gt;=5,H3547&gt;=5),"POTENTIAL LOYALIST",AND(F3547&gt;=8,G3547&lt;=2,H3547&gt;=5),"NEW CUSTOMERS",AND(F3547&gt;=6,G3547&lt;=2,H3547&gt;=3),"PROMISING",AND(F3547&gt;=3,G3547&gt;=3,H3547&gt;=3),"NEED ATTENTION",AND(F3547&lt;=4,G3547&gt;=6,H3547&gt;=6),"AT RISK",AND(F3547&lt;=2,G3547&gt;=8,H3547&gt;=8),"CAN'T LOSE THEM",AND(F3547&lt;=2,G3547&lt;=2,H3547&lt;=2),"HIBERNATING",TRUE(),"Other")</f>
        <v>NEED ATTENTION</v>
      </c>
      <c r="K3547" s="1" t="n">
        <f aca="false">RANK(E3547,$E$7:$E$4378)+COUNTIF($E$7:E3547,E3547)-1</f>
        <v>1652</v>
      </c>
    </row>
    <row r="3548" customFormat="false" ht="14.25" hidden="false" customHeight="true" outlineLevel="0" collapsed="false">
      <c r="A3548" s="51" t="n">
        <v>17146</v>
      </c>
      <c r="B3548" s="53" t="n">
        <v>40781.5305555556</v>
      </c>
      <c r="C3548" s="57" t="n">
        <f aca="false">INT($C$2)-INT(Table3[[#This Row],[Last Purchase Date]])</f>
        <v>106</v>
      </c>
      <c r="D3548" s="1" t="n">
        <v>3</v>
      </c>
      <c r="E3548" s="1" t="n">
        <v>749.78</v>
      </c>
      <c r="F3548" s="1" t="n">
        <f aca="false">ROUND((1-_xlfn.PERCENTRANK.INC($C$7:$C$4378,C3548))*9,0)</f>
        <v>3</v>
      </c>
      <c r="G3548" s="1" t="n">
        <f aca="false">ROUND(_xlfn.PERCENTRANK.INC($D$7:$D$4378,D3548)*9,0)</f>
        <v>4</v>
      </c>
      <c r="H3548" s="1" t="n">
        <f aca="false">ROUND(_xlfn.PERCENTRANK.INC($E$7:$E$4378,E3548)*9,0)</f>
        <v>5</v>
      </c>
      <c r="I3548" s="1" t="str">
        <f aca="false">CONCATENATE(F3548,G3548,H3548)</f>
        <v>345</v>
      </c>
      <c r="J3548" s="1" t="str">
        <f aca="false">_xlfn.IFS(AND(F3548&gt;=8,G3548&gt;=8,H3548&gt;=8),"CHAMPION",AND(F3548&gt;=6,G3548&gt;=7,H3548&gt;=6),"LOYAL CUSTOMER",AND(F3548&gt;=6,G3548&gt;=5,H3548&gt;=5),"POTENTIAL LOYALIST",AND(F3548&gt;=8,G3548&lt;=2,H3548&gt;=5),"NEW CUSTOMERS",AND(F3548&gt;=6,G3548&lt;=2,H3548&gt;=3),"PROMISING",AND(F3548&gt;=3,G3548&gt;=3,H3548&gt;=3),"NEED ATTENTION",AND(F3548&lt;=4,G3548&gt;=6,H3548&gt;=6),"AT RISK",AND(F3548&lt;=2,G3548&gt;=8,H3548&gt;=8),"CAN'T LOSE THEM",AND(F3548&lt;=2,G3548&lt;=2,H3548&lt;=2),"HIBERNATING",TRUE(),"Other")</f>
        <v>NEED ATTENTION</v>
      </c>
      <c r="K3548" s="1" t="n">
        <f aca="false">RANK(E3548,$E$7:$E$4378)+COUNTIF($E$7:E3548,E3548)-1</f>
        <v>1974</v>
      </c>
    </row>
    <row r="3549" customFormat="false" ht="14.25" hidden="false" customHeight="true" outlineLevel="0" collapsed="false">
      <c r="A3549" s="51" t="n">
        <v>17147</v>
      </c>
      <c r="B3549" s="53" t="n">
        <v>40864.5222222222</v>
      </c>
      <c r="C3549" s="57" t="n">
        <f aca="false">INT($C$2)-INT(Table3[[#This Row],[Last Purchase Date]])</f>
        <v>23</v>
      </c>
      <c r="D3549" s="1" t="n">
        <v>6</v>
      </c>
      <c r="E3549" s="1" t="n">
        <v>1679.64</v>
      </c>
      <c r="F3549" s="1" t="n">
        <f aca="false">ROUND((1-_xlfn.PERCENTRANK.INC($C$7:$C$4378,C3549))*9,0)</f>
        <v>6</v>
      </c>
      <c r="G3549" s="1" t="n">
        <f aca="false">ROUND(_xlfn.PERCENTRANK.INC($D$7:$D$4378,D3549)*9,0)</f>
        <v>7</v>
      </c>
      <c r="H3549" s="1" t="n">
        <f aca="false">ROUND(_xlfn.PERCENTRANK.INC($E$7:$E$4378,E3549)*9,0)</f>
        <v>7</v>
      </c>
      <c r="I3549" s="1" t="str">
        <f aca="false">CONCATENATE(F3549,G3549,H3549)</f>
        <v>677</v>
      </c>
      <c r="J3549" s="1" t="str">
        <f aca="false">_xlfn.IFS(AND(F3549&gt;=8,G3549&gt;=8,H3549&gt;=8),"CHAMPION",AND(F3549&gt;=6,G3549&gt;=7,H3549&gt;=6),"LOYAL CUSTOMER",AND(F3549&gt;=6,G3549&gt;=5,H3549&gt;=5),"POTENTIAL LOYALIST",AND(F3549&gt;=8,G3549&lt;=2,H3549&gt;=5),"NEW CUSTOMERS",AND(F3549&gt;=6,G3549&lt;=2,H3549&gt;=3),"PROMISING",AND(F3549&gt;=3,G3549&gt;=3,H3549&gt;=3),"NEED ATTENTION",AND(F3549&lt;=4,G3549&gt;=6,H3549&gt;=6),"AT RISK",AND(F3549&lt;=2,G3549&gt;=8,H3549&gt;=8),"CAN'T LOSE THEM",AND(F3549&lt;=2,G3549&lt;=2,H3549&lt;=2),"HIBERNATING",TRUE(),"Other")</f>
        <v>LOYAL CUSTOMER</v>
      </c>
      <c r="K3549" s="1" t="n">
        <f aca="false">RANK(E3549,$E$7:$E$4378)+COUNTIF($E$7:E3549,E3549)-1</f>
        <v>1050</v>
      </c>
    </row>
    <row r="3550" customFormat="false" ht="14.25" hidden="false" customHeight="true" outlineLevel="0" collapsed="false">
      <c r="A3550" s="51" t="n">
        <v>17148</v>
      </c>
      <c r="B3550" s="53" t="n">
        <v>40835.4159722222</v>
      </c>
      <c r="C3550" s="57" t="n">
        <f aca="false">INT($C$2)-INT(Table3[[#This Row],[Last Purchase Date]])</f>
        <v>52</v>
      </c>
      <c r="D3550" s="1" t="n">
        <v>1</v>
      </c>
      <c r="E3550" s="1" t="n">
        <v>124.88</v>
      </c>
      <c r="F3550" s="1" t="n">
        <f aca="false">ROUND((1-_xlfn.PERCENTRANK.INC($C$7:$C$4378,C3550))*9,0)</f>
        <v>4</v>
      </c>
      <c r="G3550" s="1" t="n">
        <f aca="false">ROUND(_xlfn.PERCENTRANK.INC($D$7:$D$4378,D3550)*9,0)</f>
        <v>0</v>
      </c>
      <c r="H3550" s="1" t="n">
        <f aca="false">ROUND(_xlfn.PERCENTRANK.INC($E$7:$E$4378,E3550)*9,0)</f>
        <v>1</v>
      </c>
      <c r="I3550" s="1" t="str">
        <f aca="false">CONCATENATE(F3550,G3550,H3550)</f>
        <v>401</v>
      </c>
      <c r="J3550" s="1" t="str">
        <f aca="false">_xlfn.IFS(AND(F3550&gt;=8,G3550&gt;=8,H3550&gt;=8),"CHAMPION",AND(F3550&gt;=6,G3550&gt;=7,H3550&gt;=6),"LOYAL CUSTOMER",AND(F3550&gt;=6,G3550&gt;=5,H3550&gt;=5),"POTENTIAL LOYALIST",AND(F3550&gt;=8,G3550&lt;=2,H3550&gt;=5),"NEW CUSTOMERS",AND(F3550&gt;=6,G3550&lt;=2,H3550&gt;=3),"PROMISING",AND(F3550&gt;=3,G3550&gt;=3,H3550&gt;=3),"NEED ATTENTION",AND(F3550&lt;=4,G3550&gt;=6,H3550&gt;=6),"AT RISK",AND(F3550&lt;=2,G3550&gt;=8,H3550&gt;=8),"CAN'T LOSE THEM",AND(F3550&lt;=2,G3550&lt;=2,H3550&lt;=2),"HIBERNATING",TRUE(),"Other")</f>
        <v>Other</v>
      </c>
      <c r="K3550" s="1" t="n">
        <f aca="false">RANK(E3550,$E$7:$E$4378)+COUNTIF($E$7:E3550,E3550)-1</f>
        <v>4028</v>
      </c>
    </row>
    <row r="3551" customFormat="false" ht="14.25" hidden="false" customHeight="true" outlineLevel="0" collapsed="false">
      <c r="A3551" s="51" t="n">
        <v>17152</v>
      </c>
      <c r="B3551" s="53" t="n">
        <v>40692.5131944444</v>
      </c>
      <c r="C3551" s="57" t="n">
        <f aca="false">INT($C$2)-INT(Table3[[#This Row],[Last Purchase Date]])</f>
        <v>195</v>
      </c>
      <c r="D3551" s="1" t="n">
        <v>4</v>
      </c>
      <c r="E3551" s="1" t="n">
        <v>1503.5</v>
      </c>
      <c r="F3551" s="1" t="n">
        <f aca="false">ROUND((1-_xlfn.PERCENTRANK.INC($C$7:$C$4378,C3551))*9,0)</f>
        <v>2</v>
      </c>
      <c r="G3551" s="1" t="n">
        <f aca="false">ROUND(_xlfn.PERCENTRANK.INC($D$7:$D$4378,D3551)*9,0)</f>
        <v>5</v>
      </c>
      <c r="H3551" s="1" t="n">
        <f aca="false">ROUND(_xlfn.PERCENTRANK.INC($E$7:$E$4378,E3551)*9,0)</f>
        <v>7</v>
      </c>
      <c r="I3551" s="1" t="str">
        <f aca="false">CONCATENATE(F3551,G3551,H3551)</f>
        <v>257</v>
      </c>
      <c r="J3551" s="1" t="str">
        <f aca="false">_xlfn.IFS(AND(F3551&gt;=8,G3551&gt;=8,H3551&gt;=8),"CHAMPION",AND(F3551&gt;=6,G3551&gt;=7,H3551&gt;=6),"LOYAL CUSTOMER",AND(F3551&gt;=6,G3551&gt;=5,H3551&gt;=5),"POTENTIAL LOYALIST",AND(F3551&gt;=8,G3551&lt;=2,H3551&gt;=5),"NEW CUSTOMERS",AND(F3551&gt;=6,G3551&lt;=2,H3551&gt;=3),"PROMISING",AND(F3551&gt;=3,G3551&gt;=3,H3551&gt;=3),"NEED ATTENTION",AND(F3551&lt;=4,G3551&gt;=6,H3551&gt;=6),"AT RISK",AND(F3551&lt;=2,G3551&gt;=8,H3551&gt;=8),"CAN'T LOSE THEM",AND(F3551&lt;=2,G3551&lt;=2,H3551&lt;=2),"HIBERNATING",TRUE(),"Other")</f>
        <v>Other</v>
      </c>
      <c r="K3551" s="1" t="n">
        <f aca="false">RANK(E3551,$E$7:$E$4378)+COUNTIF($E$7:E3551,E3551)-1</f>
        <v>1164</v>
      </c>
    </row>
    <row r="3552" customFormat="false" ht="14.25" hidden="false" customHeight="true" outlineLevel="0" collapsed="false">
      <c r="A3552" s="51" t="n">
        <v>17153</v>
      </c>
      <c r="B3552" s="53" t="n">
        <v>40862.5708333333</v>
      </c>
      <c r="C3552" s="57" t="n">
        <f aca="false">INT($C$2)-INT(Table3[[#This Row],[Last Purchase Date]])</f>
        <v>25</v>
      </c>
      <c r="D3552" s="1" t="n">
        <v>1</v>
      </c>
      <c r="E3552" s="1" t="n">
        <v>213.78</v>
      </c>
      <c r="F3552" s="1" t="n">
        <f aca="false">ROUND((1-_xlfn.PERCENTRANK.INC($C$7:$C$4378,C3552))*9,0)</f>
        <v>6</v>
      </c>
      <c r="G3552" s="1" t="n">
        <f aca="false">ROUND(_xlfn.PERCENTRANK.INC($D$7:$D$4378,D3552)*9,0)</f>
        <v>0</v>
      </c>
      <c r="H3552" s="1" t="n">
        <f aca="false">ROUND(_xlfn.PERCENTRANK.INC($E$7:$E$4378,E3552)*9,0)</f>
        <v>2</v>
      </c>
      <c r="I3552" s="1" t="str">
        <f aca="false">CONCATENATE(F3552,G3552,H3552)</f>
        <v>602</v>
      </c>
      <c r="J3552" s="1" t="str">
        <f aca="false">_xlfn.IFS(AND(F3552&gt;=8,G3552&gt;=8,H3552&gt;=8),"CHAMPION",AND(F3552&gt;=6,G3552&gt;=7,H3552&gt;=6),"LOYAL CUSTOMER",AND(F3552&gt;=6,G3552&gt;=5,H3552&gt;=5),"POTENTIAL LOYALIST",AND(F3552&gt;=8,G3552&lt;=2,H3552&gt;=5),"NEW CUSTOMERS",AND(F3552&gt;=6,G3552&lt;=2,H3552&gt;=3),"PROMISING",AND(F3552&gt;=3,G3552&gt;=3,H3552&gt;=3),"NEED ATTENTION",AND(F3552&lt;=4,G3552&gt;=6,H3552&gt;=6),"AT RISK",AND(F3552&lt;=2,G3552&gt;=8,H3552&gt;=8),"CAN'T LOSE THEM",AND(F3552&lt;=2,G3552&lt;=2,H3552&lt;=2),"HIBERNATING",TRUE(),"Other")</f>
        <v>Other</v>
      </c>
      <c r="K3552" s="1" t="n">
        <f aca="false">RANK(E3552,$E$7:$E$4378)+COUNTIF($E$7:E3552,E3552)-1</f>
        <v>3597</v>
      </c>
    </row>
    <row r="3553" customFormat="false" ht="14.25" hidden="false" customHeight="true" outlineLevel="0" collapsed="false">
      <c r="A3553" s="51" t="n">
        <v>17154</v>
      </c>
      <c r="B3553" s="53" t="n">
        <v>40811.5708333333</v>
      </c>
      <c r="C3553" s="57" t="n">
        <f aca="false">INT($C$2)-INT(Table3[[#This Row],[Last Purchase Date]])</f>
        <v>76</v>
      </c>
      <c r="D3553" s="1" t="n">
        <v>1</v>
      </c>
      <c r="E3553" s="1" t="n">
        <v>329.34</v>
      </c>
      <c r="F3553" s="1" t="n">
        <f aca="false">ROUND((1-_xlfn.PERCENTRANK.INC($C$7:$C$4378,C3553))*9,0)</f>
        <v>3</v>
      </c>
      <c r="G3553" s="1" t="n">
        <f aca="false">ROUND(_xlfn.PERCENTRANK.INC($D$7:$D$4378,D3553)*9,0)</f>
        <v>0</v>
      </c>
      <c r="H3553" s="1" t="n">
        <f aca="false">ROUND(_xlfn.PERCENTRANK.INC($E$7:$E$4378,E3553)*9,0)</f>
        <v>3</v>
      </c>
      <c r="I3553" s="1" t="str">
        <f aca="false">CONCATENATE(F3553,G3553,H3553)</f>
        <v>303</v>
      </c>
      <c r="J3553" s="1" t="str">
        <f aca="false">_xlfn.IFS(AND(F3553&gt;=8,G3553&gt;=8,H3553&gt;=8),"CHAMPION",AND(F3553&gt;=6,G3553&gt;=7,H3553&gt;=6),"LOYAL CUSTOMER",AND(F3553&gt;=6,G3553&gt;=5,H3553&gt;=5),"POTENTIAL LOYALIST",AND(F3553&gt;=8,G3553&lt;=2,H3553&gt;=5),"NEW CUSTOMERS",AND(F3553&gt;=6,G3553&lt;=2,H3553&gt;=3),"PROMISING",AND(F3553&gt;=3,G3553&gt;=3,H3553&gt;=3),"NEED ATTENTION",AND(F3553&lt;=4,G3553&gt;=6,H3553&gt;=6),"AT RISK",AND(F3553&lt;=2,G3553&gt;=8,H3553&gt;=8),"CAN'T LOSE THEM",AND(F3553&lt;=2,G3553&lt;=2,H3553&lt;=2),"HIBERNATING",TRUE(),"Other")</f>
        <v>Other</v>
      </c>
      <c r="K3553" s="1" t="n">
        <f aca="false">RANK(E3553,$E$7:$E$4378)+COUNTIF($E$7:E3553,E3553)-1</f>
        <v>3100</v>
      </c>
    </row>
    <row r="3554" customFormat="false" ht="14.25" hidden="false" customHeight="true" outlineLevel="0" collapsed="false">
      <c r="A3554" s="51" t="n">
        <v>17155</v>
      </c>
      <c r="B3554" s="53" t="n">
        <v>40869.5263888889</v>
      </c>
      <c r="C3554" s="57" t="n">
        <f aca="false">INT($C$2)-INT(Table3[[#This Row],[Last Purchase Date]])</f>
        <v>18</v>
      </c>
      <c r="D3554" s="1" t="n">
        <v>2</v>
      </c>
      <c r="E3554" s="1" t="n">
        <v>251.7</v>
      </c>
      <c r="F3554" s="1" t="n">
        <f aca="false">ROUND((1-_xlfn.PERCENTRANK.INC($C$7:$C$4378,C3554))*9,0)</f>
        <v>7</v>
      </c>
      <c r="G3554" s="1" t="n">
        <f aca="false">ROUND(_xlfn.PERCENTRANK.INC($D$7:$D$4378,D3554)*9,0)</f>
        <v>3</v>
      </c>
      <c r="H3554" s="1" t="n">
        <f aca="false">ROUND(_xlfn.PERCENTRANK.INC($E$7:$E$4378,E3554)*9,0)</f>
        <v>2</v>
      </c>
      <c r="I3554" s="1" t="str">
        <f aca="false">CONCATENATE(F3554,G3554,H3554)</f>
        <v>732</v>
      </c>
      <c r="J3554" s="1" t="str">
        <f aca="false">_xlfn.IFS(AND(F3554&gt;=8,G3554&gt;=8,H3554&gt;=8),"CHAMPION",AND(F3554&gt;=6,G3554&gt;=7,H3554&gt;=6),"LOYAL CUSTOMER",AND(F3554&gt;=6,G3554&gt;=5,H3554&gt;=5),"POTENTIAL LOYALIST",AND(F3554&gt;=8,G3554&lt;=2,H3554&gt;=5),"NEW CUSTOMERS",AND(F3554&gt;=6,G3554&lt;=2,H3554&gt;=3),"PROMISING",AND(F3554&gt;=3,G3554&gt;=3,H3554&gt;=3),"NEED ATTENTION",AND(F3554&lt;=4,G3554&gt;=6,H3554&gt;=6),"AT RISK",AND(F3554&lt;=2,G3554&gt;=8,H3554&gt;=8),"CAN'T LOSE THEM",AND(F3554&lt;=2,G3554&lt;=2,H3554&lt;=2),"HIBERNATING",TRUE(),"Other")</f>
        <v>Other</v>
      </c>
      <c r="K3554" s="1" t="n">
        <f aca="false">RANK(E3554,$E$7:$E$4378)+COUNTIF($E$7:E3554,E3554)-1</f>
        <v>3431</v>
      </c>
    </row>
    <row r="3555" customFormat="false" ht="14.25" hidden="false" customHeight="true" outlineLevel="0" collapsed="false">
      <c r="A3555" s="51" t="n">
        <v>17157</v>
      </c>
      <c r="B3555" s="53" t="n">
        <v>40879.3819444445</v>
      </c>
      <c r="C3555" s="57" t="n">
        <f aca="false">INT($C$2)-INT(Table3[[#This Row],[Last Purchase Date]])</f>
        <v>8</v>
      </c>
      <c r="D3555" s="1" t="n">
        <v>3</v>
      </c>
      <c r="E3555" s="1" t="n">
        <v>306.55</v>
      </c>
      <c r="F3555" s="1" t="n">
        <f aca="false">ROUND((1-_xlfn.PERCENTRANK.INC($C$7:$C$4378,C3555))*9,0)</f>
        <v>8</v>
      </c>
      <c r="G3555" s="1" t="n">
        <f aca="false">ROUND(_xlfn.PERCENTRANK.INC($D$7:$D$4378,D3555)*9,0)</f>
        <v>4</v>
      </c>
      <c r="H3555" s="1" t="n">
        <f aca="false">ROUND(_xlfn.PERCENTRANK.INC($E$7:$E$4378,E3555)*9,0)</f>
        <v>2</v>
      </c>
      <c r="I3555" s="1" t="str">
        <f aca="false">CONCATENATE(F3555,G3555,H3555)</f>
        <v>842</v>
      </c>
      <c r="J3555" s="1" t="str">
        <f aca="false">_xlfn.IFS(AND(F3555&gt;=8,G3555&gt;=8,H3555&gt;=8),"CHAMPION",AND(F3555&gt;=6,G3555&gt;=7,H3555&gt;=6),"LOYAL CUSTOMER",AND(F3555&gt;=6,G3555&gt;=5,H3555&gt;=5),"POTENTIAL LOYALIST",AND(F3555&gt;=8,G3555&lt;=2,H3555&gt;=5),"NEW CUSTOMERS",AND(F3555&gt;=6,G3555&lt;=2,H3555&gt;=3),"PROMISING",AND(F3555&gt;=3,G3555&gt;=3,H3555&gt;=3),"NEED ATTENTION",AND(F3555&lt;=4,G3555&gt;=6,H3555&gt;=6),"AT RISK",AND(F3555&lt;=2,G3555&gt;=8,H3555&gt;=8),"CAN'T LOSE THEM",AND(F3555&lt;=2,G3555&lt;=2,H3555&lt;=2),"HIBERNATING",TRUE(),"Other")</f>
        <v>Other</v>
      </c>
      <c r="K3555" s="1" t="n">
        <f aca="false">RANK(E3555,$E$7:$E$4378)+COUNTIF($E$7:E3555,E3555)-1</f>
        <v>3218</v>
      </c>
    </row>
    <row r="3556" customFormat="false" ht="14.25" hidden="false" customHeight="true" outlineLevel="0" collapsed="false">
      <c r="A3556" s="51" t="n">
        <v>17158</v>
      </c>
      <c r="B3556" s="53" t="n">
        <v>40854.6354166667</v>
      </c>
      <c r="C3556" s="57" t="n">
        <f aca="false">INT($C$2)-INT(Table3[[#This Row],[Last Purchase Date]])</f>
        <v>33</v>
      </c>
      <c r="D3556" s="1" t="n">
        <v>3</v>
      </c>
      <c r="E3556" s="1" t="n">
        <v>1266.97</v>
      </c>
      <c r="F3556" s="1" t="n">
        <f aca="false">ROUND((1-_xlfn.PERCENTRANK.INC($C$7:$C$4378,C3556))*9,0)</f>
        <v>5</v>
      </c>
      <c r="G3556" s="1" t="n">
        <f aca="false">ROUND(_xlfn.PERCENTRANK.INC($D$7:$D$4378,D3556)*9,0)</f>
        <v>4</v>
      </c>
      <c r="H3556" s="1" t="n">
        <f aca="false">ROUND(_xlfn.PERCENTRANK.INC($E$7:$E$4378,E3556)*9,0)</f>
        <v>6</v>
      </c>
      <c r="I3556" s="1" t="str">
        <f aca="false">CONCATENATE(F3556,G3556,H3556)</f>
        <v>546</v>
      </c>
      <c r="J3556" s="1" t="str">
        <f aca="false">_xlfn.IFS(AND(F3556&gt;=8,G3556&gt;=8,H3556&gt;=8),"CHAMPION",AND(F3556&gt;=6,G3556&gt;=7,H3556&gt;=6),"LOYAL CUSTOMER",AND(F3556&gt;=6,G3556&gt;=5,H3556&gt;=5),"POTENTIAL LOYALIST",AND(F3556&gt;=8,G3556&lt;=2,H3556&gt;=5),"NEW CUSTOMERS",AND(F3556&gt;=6,G3556&lt;=2,H3556&gt;=3),"PROMISING",AND(F3556&gt;=3,G3556&gt;=3,H3556&gt;=3),"NEED ATTENTION",AND(F3556&lt;=4,G3556&gt;=6,H3556&gt;=6),"AT RISK",AND(F3556&lt;=2,G3556&gt;=8,H3556&gt;=8),"CAN'T LOSE THEM",AND(F3556&lt;=2,G3556&lt;=2,H3556&lt;=2),"HIBERNATING",TRUE(),"Other")</f>
        <v>NEED ATTENTION</v>
      </c>
      <c r="K3556" s="1" t="n">
        <f aca="false">RANK(E3556,$E$7:$E$4378)+COUNTIF($E$7:E3556,E3556)-1</f>
        <v>1356</v>
      </c>
    </row>
    <row r="3557" customFormat="false" ht="14.25" hidden="false" customHeight="true" outlineLevel="0" collapsed="false">
      <c r="A3557" s="51" t="n">
        <v>17159</v>
      </c>
      <c r="B3557" s="53" t="n">
        <v>40865.4527777778</v>
      </c>
      <c r="C3557" s="57" t="n">
        <f aca="false">INT($C$2)-INT(Table3[[#This Row],[Last Purchase Date]])</f>
        <v>22</v>
      </c>
      <c r="D3557" s="1" t="n">
        <v>4</v>
      </c>
      <c r="E3557" s="1" t="n">
        <v>1534.73</v>
      </c>
      <c r="F3557" s="1" t="n">
        <f aca="false">ROUND((1-_xlfn.PERCENTRANK.INC($C$7:$C$4378,C3557))*9,0)</f>
        <v>6</v>
      </c>
      <c r="G3557" s="1" t="n">
        <f aca="false">ROUND(_xlfn.PERCENTRANK.INC($D$7:$D$4378,D3557)*9,0)</f>
        <v>5</v>
      </c>
      <c r="H3557" s="1" t="n">
        <f aca="false">ROUND(_xlfn.PERCENTRANK.INC($E$7:$E$4378,E3557)*9,0)</f>
        <v>7</v>
      </c>
      <c r="I3557" s="1" t="str">
        <f aca="false">CONCATENATE(F3557,G3557,H3557)</f>
        <v>657</v>
      </c>
      <c r="J3557" s="1" t="str">
        <f aca="false">_xlfn.IFS(AND(F3557&gt;=8,G3557&gt;=8,H3557&gt;=8),"CHAMPION",AND(F3557&gt;=6,G3557&gt;=7,H3557&gt;=6),"LOYAL CUSTOMER",AND(F3557&gt;=6,G3557&gt;=5,H3557&gt;=5),"POTENTIAL LOYALIST",AND(F3557&gt;=8,G3557&lt;=2,H3557&gt;=5),"NEW CUSTOMERS",AND(F3557&gt;=6,G3557&lt;=2,H3557&gt;=3),"PROMISING",AND(F3557&gt;=3,G3557&gt;=3,H3557&gt;=3),"NEED ATTENTION",AND(F3557&lt;=4,G3557&gt;=6,H3557&gt;=6),"AT RISK",AND(F3557&lt;=2,G3557&gt;=8,H3557&gt;=8),"CAN'T LOSE THEM",AND(F3557&lt;=2,G3557&lt;=2,H3557&lt;=2),"HIBERNATING",TRUE(),"Other")</f>
        <v>POTENTIAL LOYALIST</v>
      </c>
      <c r="K3557" s="1" t="n">
        <f aca="false">RANK(E3557,$E$7:$E$4378)+COUNTIF($E$7:E3557,E3557)-1</f>
        <v>1139</v>
      </c>
    </row>
    <row r="3558" customFormat="false" ht="14.25" hidden="false" customHeight="true" outlineLevel="0" collapsed="false">
      <c r="A3558" s="51" t="n">
        <v>17160</v>
      </c>
      <c r="B3558" s="53" t="n">
        <v>40855.5868055556</v>
      </c>
      <c r="C3558" s="57" t="n">
        <f aca="false">INT($C$2)-INT(Table3[[#This Row],[Last Purchase Date]])</f>
        <v>32</v>
      </c>
      <c r="D3558" s="1" t="n">
        <v>6</v>
      </c>
      <c r="E3558" s="1" t="n">
        <v>3518.03</v>
      </c>
      <c r="F3558" s="1" t="n">
        <f aca="false">ROUND((1-_xlfn.PERCENTRANK.INC($C$7:$C$4378,C3558))*9,0)</f>
        <v>5</v>
      </c>
      <c r="G3558" s="1" t="n">
        <f aca="false">ROUND(_xlfn.PERCENTRANK.INC($D$7:$D$4378,D3558)*9,0)</f>
        <v>7</v>
      </c>
      <c r="H3558" s="1" t="n">
        <f aca="false">ROUND(_xlfn.PERCENTRANK.INC($E$7:$E$4378,E3558)*9,0)</f>
        <v>8</v>
      </c>
      <c r="I3558" s="1" t="str">
        <f aca="false">CONCATENATE(F3558,G3558,H3558)</f>
        <v>578</v>
      </c>
      <c r="J3558" s="1" t="str">
        <f aca="false">_xlfn.IFS(AND(F3558&gt;=8,G3558&gt;=8,H3558&gt;=8),"CHAMPION",AND(F3558&gt;=6,G3558&gt;=7,H3558&gt;=6),"LOYAL CUSTOMER",AND(F3558&gt;=6,G3558&gt;=5,H3558&gt;=5),"POTENTIAL LOYALIST",AND(F3558&gt;=8,G3558&lt;=2,H3558&gt;=5),"NEW CUSTOMERS",AND(F3558&gt;=6,G3558&lt;=2,H3558&gt;=3),"PROMISING",AND(F3558&gt;=3,G3558&gt;=3,H3558&gt;=3),"NEED ATTENTION",AND(F3558&lt;=4,G3558&gt;=6,H3558&gt;=6),"AT RISK",AND(F3558&lt;=2,G3558&gt;=8,H3558&gt;=8),"CAN'T LOSE THEM",AND(F3558&lt;=2,G3558&lt;=2,H3558&lt;=2),"HIBERNATING",TRUE(),"Other")</f>
        <v>NEED ATTENTION</v>
      </c>
      <c r="K3558" s="1" t="n">
        <f aca="false">RANK(E3558,$E$7:$E$4378)+COUNTIF($E$7:E3558,E3558)-1</f>
        <v>436</v>
      </c>
    </row>
    <row r="3559" customFormat="false" ht="14.25" hidden="false" customHeight="true" outlineLevel="0" collapsed="false">
      <c r="A3559" s="51" t="n">
        <v>17162</v>
      </c>
      <c r="B3559" s="53" t="n">
        <v>40858.4819444444</v>
      </c>
      <c r="C3559" s="57" t="n">
        <f aca="false">INT($C$2)-INT(Table3[[#This Row],[Last Purchase Date]])</f>
        <v>29</v>
      </c>
      <c r="D3559" s="1" t="n">
        <v>11</v>
      </c>
      <c r="E3559" s="1" t="n">
        <v>1707.21</v>
      </c>
      <c r="F3559" s="1" t="n">
        <f aca="false">ROUND((1-_xlfn.PERCENTRANK.INC($C$7:$C$4378,C3559))*9,0)</f>
        <v>6</v>
      </c>
      <c r="G3559" s="1" t="n">
        <f aca="false">ROUND(_xlfn.PERCENTRANK.INC($D$7:$D$4378,D3559)*9,0)</f>
        <v>8</v>
      </c>
      <c r="H3559" s="1" t="n">
        <f aca="false">ROUND(_xlfn.PERCENTRANK.INC($E$7:$E$4378,E3559)*9,0)</f>
        <v>7</v>
      </c>
      <c r="I3559" s="1" t="str">
        <f aca="false">CONCATENATE(F3559,G3559,H3559)</f>
        <v>687</v>
      </c>
      <c r="J3559" s="1" t="str">
        <f aca="false">_xlfn.IFS(AND(F3559&gt;=8,G3559&gt;=8,H3559&gt;=8),"CHAMPION",AND(F3559&gt;=6,G3559&gt;=7,H3559&gt;=6),"LOYAL CUSTOMER",AND(F3559&gt;=6,G3559&gt;=5,H3559&gt;=5),"POTENTIAL LOYALIST",AND(F3559&gt;=8,G3559&lt;=2,H3559&gt;=5),"NEW CUSTOMERS",AND(F3559&gt;=6,G3559&lt;=2,H3559&gt;=3),"PROMISING",AND(F3559&gt;=3,G3559&gt;=3,H3559&gt;=3),"NEED ATTENTION",AND(F3559&lt;=4,G3559&gt;=6,H3559&gt;=6),"AT RISK",AND(F3559&lt;=2,G3559&gt;=8,H3559&gt;=8),"CAN'T LOSE THEM",AND(F3559&lt;=2,G3559&lt;=2,H3559&lt;=2),"HIBERNATING",TRUE(),"Other")</f>
        <v>LOYAL CUSTOMER</v>
      </c>
      <c r="K3559" s="1" t="n">
        <f aca="false">RANK(E3559,$E$7:$E$4378)+COUNTIF($E$7:E3559,E3559)-1</f>
        <v>1032</v>
      </c>
    </row>
    <row r="3560" customFormat="false" ht="14.25" hidden="false" customHeight="true" outlineLevel="0" collapsed="false">
      <c r="A3560" s="51" t="n">
        <v>17163</v>
      </c>
      <c r="B3560" s="53" t="n">
        <v>40865.3729166667</v>
      </c>
      <c r="C3560" s="57" t="n">
        <f aca="false">INT($C$2)-INT(Table3[[#This Row],[Last Purchase Date]])</f>
        <v>22</v>
      </c>
      <c r="D3560" s="1" t="n">
        <v>2</v>
      </c>
      <c r="E3560" s="1" t="n">
        <v>293.1</v>
      </c>
      <c r="F3560" s="1" t="n">
        <f aca="false">ROUND((1-_xlfn.PERCENTRANK.INC($C$7:$C$4378,C3560))*9,0)</f>
        <v>6</v>
      </c>
      <c r="G3560" s="1" t="n">
        <f aca="false">ROUND(_xlfn.PERCENTRANK.INC($D$7:$D$4378,D3560)*9,0)</f>
        <v>3</v>
      </c>
      <c r="H3560" s="1" t="n">
        <f aca="false">ROUND(_xlfn.PERCENTRANK.INC($E$7:$E$4378,E3560)*9,0)</f>
        <v>2</v>
      </c>
      <c r="I3560" s="1" t="str">
        <f aca="false">CONCATENATE(F3560,G3560,H3560)</f>
        <v>632</v>
      </c>
      <c r="J3560" s="1" t="str">
        <f aca="false">_xlfn.IFS(AND(F3560&gt;=8,G3560&gt;=8,H3560&gt;=8),"CHAMPION",AND(F3560&gt;=6,G3560&gt;=7,H3560&gt;=6),"LOYAL CUSTOMER",AND(F3560&gt;=6,G3560&gt;=5,H3560&gt;=5),"POTENTIAL LOYALIST",AND(F3560&gt;=8,G3560&lt;=2,H3560&gt;=5),"NEW CUSTOMERS",AND(F3560&gt;=6,G3560&lt;=2,H3560&gt;=3),"PROMISING",AND(F3560&gt;=3,G3560&gt;=3,H3560&gt;=3),"NEED ATTENTION",AND(F3560&lt;=4,G3560&gt;=6,H3560&gt;=6),"AT RISK",AND(F3560&lt;=2,G3560&gt;=8,H3560&gt;=8),"CAN'T LOSE THEM",AND(F3560&lt;=2,G3560&lt;=2,H3560&lt;=2),"HIBERNATING",TRUE(),"Other")</f>
        <v>Other</v>
      </c>
      <c r="K3560" s="1" t="n">
        <f aca="false">RANK(E3560,$E$7:$E$4378)+COUNTIF($E$7:E3560,E3560)-1</f>
        <v>3280</v>
      </c>
    </row>
    <row r="3561" customFormat="false" ht="14.25" hidden="false" customHeight="true" outlineLevel="0" collapsed="false">
      <c r="A3561" s="51" t="n">
        <v>17164</v>
      </c>
      <c r="B3561" s="53" t="n">
        <v>40854.3847222222</v>
      </c>
      <c r="C3561" s="57" t="n">
        <f aca="false">INT($C$2)-INT(Table3[[#This Row],[Last Purchase Date]])</f>
        <v>33</v>
      </c>
      <c r="D3561" s="1" t="n">
        <v>8</v>
      </c>
      <c r="E3561" s="1" t="n">
        <v>2466.4</v>
      </c>
      <c r="F3561" s="1" t="n">
        <f aca="false">ROUND((1-_xlfn.PERCENTRANK.INC($C$7:$C$4378,C3561))*9,0)</f>
        <v>5</v>
      </c>
      <c r="G3561" s="1" t="n">
        <f aca="false">ROUND(_xlfn.PERCENTRANK.INC($D$7:$D$4378,D3561)*9,0)</f>
        <v>7</v>
      </c>
      <c r="H3561" s="1" t="n">
        <f aca="false">ROUND(_xlfn.PERCENTRANK.INC($E$7:$E$4378,E3561)*9,0)</f>
        <v>8</v>
      </c>
      <c r="I3561" s="1" t="str">
        <f aca="false">CONCATENATE(F3561,G3561,H3561)</f>
        <v>578</v>
      </c>
      <c r="J3561" s="1" t="str">
        <f aca="false">_xlfn.IFS(AND(F3561&gt;=8,G3561&gt;=8,H3561&gt;=8),"CHAMPION",AND(F3561&gt;=6,G3561&gt;=7,H3561&gt;=6),"LOYAL CUSTOMER",AND(F3561&gt;=6,G3561&gt;=5,H3561&gt;=5),"POTENTIAL LOYALIST",AND(F3561&gt;=8,G3561&lt;=2,H3561&gt;=5),"NEW CUSTOMERS",AND(F3561&gt;=6,G3561&lt;=2,H3561&gt;=3),"PROMISING",AND(F3561&gt;=3,G3561&gt;=3,H3561&gt;=3),"NEED ATTENTION",AND(F3561&lt;=4,G3561&gt;=6,H3561&gt;=6),"AT RISK",AND(F3561&lt;=2,G3561&gt;=8,H3561&gt;=8),"CAN'T LOSE THEM",AND(F3561&lt;=2,G3561&lt;=2,H3561&lt;=2),"HIBERNATING",TRUE(),"Other")</f>
        <v>NEED ATTENTION</v>
      </c>
      <c r="K3561" s="1" t="n">
        <f aca="false">RANK(E3561,$E$7:$E$4378)+COUNTIF($E$7:E3561,E3561)-1</f>
        <v>691</v>
      </c>
    </row>
    <row r="3562" customFormat="false" ht="14.25" hidden="false" customHeight="true" outlineLevel="0" collapsed="false">
      <c r="A3562" s="51" t="n">
        <v>17165</v>
      </c>
      <c r="B3562" s="53" t="n">
        <v>40602.69375</v>
      </c>
      <c r="C3562" s="57" t="n">
        <f aca="false">INT($C$2)-INT(Table3[[#This Row],[Last Purchase Date]])</f>
        <v>285</v>
      </c>
      <c r="D3562" s="1" t="n">
        <v>1</v>
      </c>
      <c r="E3562" s="1" t="n">
        <v>158.68</v>
      </c>
      <c r="F3562" s="1" t="n">
        <f aca="false">ROUND((1-_xlfn.PERCENTRANK.INC($C$7:$C$4378,C3562))*9,0)</f>
        <v>1</v>
      </c>
      <c r="G3562" s="1" t="n">
        <f aca="false">ROUND(_xlfn.PERCENTRANK.INC($D$7:$D$4378,D3562)*9,0)</f>
        <v>0</v>
      </c>
      <c r="H3562" s="1" t="n">
        <f aca="false">ROUND(_xlfn.PERCENTRANK.INC($E$7:$E$4378,E3562)*9,0)</f>
        <v>1</v>
      </c>
      <c r="I3562" s="1" t="str">
        <f aca="false">CONCATENATE(F3562,G3562,H3562)</f>
        <v>101</v>
      </c>
      <c r="J3562" s="1" t="str">
        <f aca="false">_xlfn.IFS(AND(F3562&gt;=8,G3562&gt;=8,H3562&gt;=8),"CHAMPION",AND(F3562&gt;=6,G3562&gt;=7,H3562&gt;=6),"LOYAL CUSTOMER",AND(F3562&gt;=6,G3562&gt;=5,H3562&gt;=5),"POTENTIAL LOYALIST",AND(F3562&gt;=8,G3562&lt;=2,H3562&gt;=5),"NEW CUSTOMERS",AND(F3562&gt;=6,G3562&lt;=2,H3562&gt;=3),"PROMISING",AND(F3562&gt;=3,G3562&gt;=3,H3562&gt;=3),"NEED ATTENTION",AND(F3562&lt;=4,G3562&gt;=6,H3562&gt;=6),"AT RISK",AND(F3562&lt;=2,G3562&gt;=8,H3562&gt;=8),"CAN'T LOSE THEM",AND(F3562&lt;=2,G3562&lt;=2,H3562&lt;=2),"HIBERNATING",TRUE(),"Other")</f>
        <v>HIBERNATING</v>
      </c>
      <c r="K3562" s="1" t="n">
        <f aca="false">RANK(E3562,$E$7:$E$4378)+COUNTIF($E$7:E3562,E3562)-1</f>
        <v>3866</v>
      </c>
    </row>
    <row r="3563" customFormat="false" ht="14.25" hidden="false" customHeight="true" outlineLevel="0" collapsed="false">
      <c r="A3563" s="51" t="n">
        <v>17166</v>
      </c>
      <c r="B3563" s="53" t="n">
        <v>40848.4069444445</v>
      </c>
      <c r="C3563" s="57" t="n">
        <f aca="false">INT($C$2)-INT(Table3[[#This Row],[Last Purchase Date]])</f>
        <v>39</v>
      </c>
      <c r="D3563" s="1" t="n">
        <v>3</v>
      </c>
      <c r="E3563" s="1" t="n">
        <v>189.49</v>
      </c>
      <c r="F3563" s="1" t="n">
        <f aca="false">ROUND((1-_xlfn.PERCENTRANK.INC($C$7:$C$4378,C3563))*9,0)</f>
        <v>5</v>
      </c>
      <c r="G3563" s="1" t="n">
        <f aca="false">ROUND(_xlfn.PERCENTRANK.INC($D$7:$D$4378,D3563)*9,0)</f>
        <v>4</v>
      </c>
      <c r="H3563" s="1" t="n">
        <f aca="false">ROUND(_xlfn.PERCENTRANK.INC($E$7:$E$4378,E3563)*9,0)</f>
        <v>1</v>
      </c>
      <c r="I3563" s="1" t="str">
        <f aca="false">CONCATENATE(F3563,G3563,H3563)</f>
        <v>541</v>
      </c>
      <c r="J3563" s="1" t="str">
        <f aca="false">_xlfn.IFS(AND(F3563&gt;=8,G3563&gt;=8,H3563&gt;=8),"CHAMPION",AND(F3563&gt;=6,G3563&gt;=7,H3563&gt;=6),"LOYAL CUSTOMER",AND(F3563&gt;=6,G3563&gt;=5,H3563&gt;=5),"POTENTIAL LOYALIST",AND(F3563&gt;=8,G3563&lt;=2,H3563&gt;=5),"NEW CUSTOMERS",AND(F3563&gt;=6,G3563&lt;=2,H3563&gt;=3),"PROMISING",AND(F3563&gt;=3,G3563&gt;=3,H3563&gt;=3),"NEED ATTENTION",AND(F3563&lt;=4,G3563&gt;=6,H3563&gt;=6),"AT RISK",AND(F3563&lt;=2,G3563&gt;=8,H3563&gt;=8),"CAN'T LOSE THEM",AND(F3563&lt;=2,G3563&lt;=2,H3563&lt;=2),"HIBERNATING",TRUE(),"Other")</f>
        <v>Other</v>
      </c>
      <c r="K3563" s="1" t="n">
        <f aca="false">RANK(E3563,$E$7:$E$4378)+COUNTIF($E$7:E3563,E3563)-1</f>
        <v>3710</v>
      </c>
    </row>
    <row r="3564" customFormat="false" ht="14.25" hidden="false" customHeight="true" outlineLevel="0" collapsed="false">
      <c r="A3564" s="51" t="n">
        <v>17169</v>
      </c>
      <c r="B3564" s="53" t="n">
        <v>40836.8020833333</v>
      </c>
      <c r="C3564" s="57" t="n">
        <f aca="false">INT($C$2)-INT(Table3[[#This Row],[Last Purchase Date]])</f>
        <v>51</v>
      </c>
      <c r="D3564" s="1" t="n">
        <v>4</v>
      </c>
      <c r="E3564" s="1" t="n">
        <v>816.880000000001</v>
      </c>
      <c r="F3564" s="1" t="n">
        <f aca="false">ROUND((1-_xlfn.PERCENTRANK.INC($C$7:$C$4378,C3564))*9,0)</f>
        <v>5</v>
      </c>
      <c r="G3564" s="1" t="n">
        <f aca="false">ROUND(_xlfn.PERCENTRANK.INC($D$7:$D$4378,D3564)*9,0)</f>
        <v>5</v>
      </c>
      <c r="H3564" s="1" t="n">
        <f aca="false">ROUND(_xlfn.PERCENTRANK.INC($E$7:$E$4378,E3564)*9,0)</f>
        <v>5</v>
      </c>
      <c r="I3564" s="1" t="str">
        <f aca="false">CONCATENATE(F3564,G3564,H3564)</f>
        <v>555</v>
      </c>
      <c r="J3564" s="1" t="str">
        <f aca="false">_xlfn.IFS(AND(F3564&gt;=8,G3564&gt;=8,H3564&gt;=8),"CHAMPION",AND(F3564&gt;=6,G3564&gt;=7,H3564&gt;=6),"LOYAL CUSTOMER",AND(F3564&gt;=6,G3564&gt;=5,H3564&gt;=5),"POTENTIAL LOYALIST",AND(F3564&gt;=8,G3564&lt;=2,H3564&gt;=5),"NEW CUSTOMERS",AND(F3564&gt;=6,G3564&lt;=2,H3564&gt;=3),"PROMISING",AND(F3564&gt;=3,G3564&gt;=3,H3564&gt;=3),"NEED ATTENTION",AND(F3564&lt;=4,G3564&gt;=6,H3564&gt;=6),"AT RISK",AND(F3564&lt;=2,G3564&gt;=8,H3564&gt;=8),"CAN'T LOSE THEM",AND(F3564&lt;=2,G3564&lt;=2,H3564&lt;=2),"HIBERNATING",TRUE(),"Other")</f>
        <v>NEED ATTENTION</v>
      </c>
      <c r="K3564" s="1" t="n">
        <f aca="false">RANK(E3564,$E$7:$E$4378)+COUNTIF($E$7:E3564,E3564)-1</f>
        <v>1865</v>
      </c>
    </row>
    <row r="3565" customFormat="false" ht="14.25" hidden="false" customHeight="true" outlineLevel="0" collapsed="false">
      <c r="A3565" s="51" t="n">
        <v>17171</v>
      </c>
      <c r="B3565" s="53" t="n">
        <v>40597.6923611111</v>
      </c>
      <c r="C3565" s="57" t="n">
        <f aca="false">INT($C$2)-INT(Table3[[#This Row],[Last Purchase Date]])</f>
        <v>290</v>
      </c>
      <c r="D3565" s="1" t="n">
        <v>1</v>
      </c>
      <c r="E3565" s="1" t="n">
        <v>224.91</v>
      </c>
      <c r="F3565" s="1" t="n">
        <f aca="false">ROUND((1-_xlfn.PERCENTRANK.INC($C$7:$C$4378,C3565))*9,0)</f>
        <v>1</v>
      </c>
      <c r="G3565" s="1" t="n">
        <f aca="false">ROUND(_xlfn.PERCENTRANK.INC($D$7:$D$4378,D3565)*9,0)</f>
        <v>0</v>
      </c>
      <c r="H3565" s="1" t="n">
        <f aca="false">ROUND(_xlfn.PERCENTRANK.INC($E$7:$E$4378,E3565)*9,0)</f>
        <v>2</v>
      </c>
      <c r="I3565" s="1" t="str">
        <f aca="false">CONCATENATE(F3565,G3565,H3565)</f>
        <v>102</v>
      </c>
      <c r="J3565" s="1" t="str">
        <f aca="false">_xlfn.IFS(AND(F3565&gt;=8,G3565&gt;=8,H3565&gt;=8),"CHAMPION",AND(F3565&gt;=6,G3565&gt;=7,H3565&gt;=6),"LOYAL CUSTOMER",AND(F3565&gt;=6,G3565&gt;=5,H3565&gt;=5),"POTENTIAL LOYALIST",AND(F3565&gt;=8,G3565&lt;=2,H3565&gt;=5),"NEW CUSTOMERS",AND(F3565&gt;=6,G3565&lt;=2,H3565&gt;=3),"PROMISING",AND(F3565&gt;=3,G3565&gt;=3,H3565&gt;=3),"NEED ATTENTION",AND(F3565&lt;=4,G3565&gt;=6,H3565&gt;=6),"AT RISK",AND(F3565&lt;=2,G3565&gt;=8,H3565&gt;=8),"CAN'T LOSE THEM",AND(F3565&lt;=2,G3565&lt;=2,H3565&lt;=2),"HIBERNATING",TRUE(),"Other")</f>
        <v>HIBERNATING</v>
      </c>
      <c r="K3565" s="1" t="n">
        <f aca="false">RANK(E3565,$E$7:$E$4378)+COUNTIF($E$7:E3565,E3565)-1</f>
        <v>3541</v>
      </c>
    </row>
    <row r="3566" customFormat="false" ht="14.25" hidden="false" customHeight="true" outlineLevel="0" collapsed="false">
      <c r="A3566" s="51" t="n">
        <v>17172</v>
      </c>
      <c r="B3566" s="53" t="n">
        <v>40812.5027777778</v>
      </c>
      <c r="C3566" s="57" t="n">
        <f aca="false">INT($C$2)-INT(Table3[[#This Row],[Last Purchase Date]])</f>
        <v>75</v>
      </c>
      <c r="D3566" s="1" t="n">
        <v>2</v>
      </c>
      <c r="E3566" s="1" t="n">
        <v>313.26</v>
      </c>
      <c r="F3566" s="1" t="n">
        <f aca="false">ROUND((1-_xlfn.PERCENTRANK.INC($C$7:$C$4378,C3566))*9,0)</f>
        <v>3</v>
      </c>
      <c r="G3566" s="1" t="n">
        <f aca="false">ROUND(_xlfn.PERCENTRANK.INC($D$7:$D$4378,D3566)*9,0)</f>
        <v>3</v>
      </c>
      <c r="H3566" s="1" t="n">
        <f aca="false">ROUND(_xlfn.PERCENTRANK.INC($E$7:$E$4378,E3566)*9,0)</f>
        <v>2</v>
      </c>
      <c r="I3566" s="1" t="str">
        <f aca="false">CONCATENATE(F3566,G3566,H3566)</f>
        <v>332</v>
      </c>
      <c r="J3566" s="1" t="str">
        <f aca="false">_xlfn.IFS(AND(F3566&gt;=8,G3566&gt;=8,H3566&gt;=8),"CHAMPION",AND(F3566&gt;=6,G3566&gt;=7,H3566&gt;=6),"LOYAL CUSTOMER",AND(F3566&gt;=6,G3566&gt;=5,H3566&gt;=5),"POTENTIAL LOYALIST",AND(F3566&gt;=8,G3566&lt;=2,H3566&gt;=5),"NEW CUSTOMERS",AND(F3566&gt;=6,G3566&lt;=2,H3566&gt;=3),"PROMISING",AND(F3566&gt;=3,G3566&gt;=3,H3566&gt;=3),"NEED ATTENTION",AND(F3566&lt;=4,G3566&gt;=6,H3566&gt;=6),"AT RISK",AND(F3566&lt;=2,G3566&gt;=8,H3566&gt;=8),"CAN'T LOSE THEM",AND(F3566&lt;=2,G3566&lt;=2,H3566&lt;=2),"HIBERNATING",TRUE(),"Other")</f>
        <v>Other</v>
      </c>
      <c r="K3566" s="1" t="n">
        <f aca="false">RANK(E3566,$E$7:$E$4378)+COUNTIF($E$7:E3566,E3566)-1</f>
        <v>3175</v>
      </c>
    </row>
    <row r="3567" customFormat="false" ht="14.25" hidden="false" customHeight="true" outlineLevel="0" collapsed="false">
      <c r="A3567" s="51" t="n">
        <v>17173</v>
      </c>
      <c r="B3567" s="53" t="n">
        <v>40881.6111111111</v>
      </c>
      <c r="C3567" s="57" t="n">
        <f aca="false">INT($C$2)-INT(Table3[[#This Row],[Last Purchase Date]])</f>
        <v>6</v>
      </c>
      <c r="D3567" s="1" t="n">
        <v>9</v>
      </c>
      <c r="E3567" s="1" t="n">
        <v>3755.65</v>
      </c>
      <c r="F3567" s="1" t="n">
        <f aca="false">ROUND((1-_xlfn.PERCENTRANK.INC($C$7:$C$4378,C3567))*9,0)</f>
        <v>8</v>
      </c>
      <c r="G3567" s="1" t="n">
        <f aca="false">ROUND(_xlfn.PERCENTRANK.INC($D$7:$D$4378,D3567)*9,0)</f>
        <v>8</v>
      </c>
      <c r="H3567" s="1" t="n">
        <f aca="false">ROUND(_xlfn.PERCENTRANK.INC($E$7:$E$4378,E3567)*9,0)</f>
        <v>8</v>
      </c>
      <c r="I3567" s="1" t="str">
        <f aca="false">CONCATENATE(F3567,G3567,H3567)</f>
        <v>888</v>
      </c>
      <c r="J3567" s="1" t="str">
        <f aca="false">_xlfn.IFS(AND(F3567&gt;=8,G3567&gt;=8,H3567&gt;=8),"CHAMPION",AND(F3567&gt;=6,G3567&gt;=7,H3567&gt;=6),"LOYAL CUSTOMER",AND(F3567&gt;=6,G3567&gt;=5,H3567&gt;=5),"POTENTIAL LOYALIST",AND(F3567&gt;=8,G3567&lt;=2,H3567&gt;=5),"NEW CUSTOMERS",AND(F3567&gt;=6,G3567&lt;=2,H3567&gt;=3),"PROMISING",AND(F3567&gt;=3,G3567&gt;=3,H3567&gt;=3),"NEED ATTENTION",AND(F3567&lt;=4,G3567&gt;=6,H3567&gt;=6),"AT RISK",AND(F3567&lt;=2,G3567&gt;=8,H3567&gt;=8),"CAN'T LOSE THEM",AND(F3567&lt;=2,G3567&lt;=2,H3567&lt;=2),"HIBERNATING",TRUE(),"Other")</f>
        <v>CHAMPION</v>
      </c>
      <c r="K3567" s="1" t="n">
        <f aca="false">RANK(E3567,$E$7:$E$4378)+COUNTIF($E$7:E3567,E3567)-1</f>
        <v>392</v>
      </c>
    </row>
    <row r="3568" customFormat="false" ht="14.25" hidden="false" customHeight="true" outlineLevel="0" collapsed="false">
      <c r="A3568" s="51" t="n">
        <v>17174</v>
      </c>
      <c r="B3568" s="53" t="n">
        <v>40669.4909722222</v>
      </c>
      <c r="C3568" s="57" t="n">
        <f aca="false">INT($C$2)-INT(Table3[[#This Row],[Last Purchase Date]])</f>
        <v>218</v>
      </c>
      <c r="D3568" s="1" t="n">
        <v>1</v>
      </c>
      <c r="E3568" s="1" t="n">
        <v>59.9</v>
      </c>
      <c r="F3568" s="1" t="n">
        <f aca="false">ROUND((1-_xlfn.PERCENTRANK.INC($C$7:$C$4378,C3568))*9,0)</f>
        <v>1</v>
      </c>
      <c r="G3568" s="1" t="n">
        <f aca="false">ROUND(_xlfn.PERCENTRANK.INC($D$7:$D$4378,D3568)*9,0)</f>
        <v>0</v>
      </c>
      <c r="H3568" s="1" t="n">
        <f aca="false">ROUND(_xlfn.PERCENTRANK.INC($E$7:$E$4378,E3568)*9,0)</f>
        <v>0</v>
      </c>
      <c r="I3568" s="1" t="str">
        <f aca="false">CONCATENATE(F3568,G3568,H3568)</f>
        <v>100</v>
      </c>
      <c r="J3568" s="1" t="str">
        <f aca="false">_xlfn.IFS(AND(F3568&gt;=8,G3568&gt;=8,H3568&gt;=8),"CHAMPION",AND(F3568&gt;=6,G3568&gt;=7,H3568&gt;=6),"LOYAL CUSTOMER",AND(F3568&gt;=6,G3568&gt;=5,H3568&gt;=5),"POTENTIAL LOYALIST",AND(F3568&gt;=8,G3568&lt;=2,H3568&gt;=5),"NEW CUSTOMERS",AND(F3568&gt;=6,G3568&lt;=2,H3568&gt;=3),"PROMISING",AND(F3568&gt;=3,G3568&gt;=3,H3568&gt;=3),"NEED ATTENTION",AND(F3568&lt;=4,G3568&gt;=6,H3568&gt;=6),"AT RISK",AND(F3568&lt;=2,G3568&gt;=8,H3568&gt;=8),"CAN'T LOSE THEM",AND(F3568&lt;=2,G3568&lt;=2,H3568&lt;=2),"HIBERNATING",TRUE(),"Other")</f>
        <v>HIBERNATING</v>
      </c>
      <c r="K3568" s="1" t="n">
        <f aca="false">RANK(E3568,$E$7:$E$4378)+COUNTIF($E$7:E3568,E3568)-1</f>
        <v>4264</v>
      </c>
    </row>
    <row r="3569" customFormat="false" ht="14.25" hidden="false" customHeight="true" outlineLevel="0" collapsed="false">
      <c r="A3569" s="51" t="n">
        <v>17175</v>
      </c>
      <c r="B3569" s="53" t="n">
        <v>40842.6465277778</v>
      </c>
      <c r="C3569" s="57" t="n">
        <f aca="false">INT($C$2)-INT(Table3[[#This Row],[Last Purchase Date]])</f>
        <v>45</v>
      </c>
      <c r="D3569" s="1" t="n">
        <v>5</v>
      </c>
      <c r="E3569" s="1" t="n">
        <v>1430.94</v>
      </c>
      <c r="F3569" s="1" t="n">
        <f aca="false">ROUND((1-_xlfn.PERCENTRANK.INC($C$7:$C$4378,C3569))*9,0)</f>
        <v>5</v>
      </c>
      <c r="G3569" s="1" t="n">
        <f aca="false">ROUND(_xlfn.PERCENTRANK.INC($D$7:$D$4378,D3569)*9,0)</f>
        <v>6</v>
      </c>
      <c r="H3569" s="1" t="n">
        <f aca="false">ROUND(_xlfn.PERCENTRANK.INC($E$7:$E$4378,E3569)*9,0)</f>
        <v>7</v>
      </c>
      <c r="I3569" s="1" t="str">
        <f aca="false">CONCATENATE(F3569,G3569,H3569)</f>
        <v>567</v>
      </c>
      <c r="J3569" s="1" t="str">
        <f aca="false">_xlfn.IFS(AND(F3569&gt;=8,G3569&gt;=8,H3569&gt;=8),"CHAMPION",AND(F3569&gt;=6,G3569&gt;=7,H3569&gt;=6),"LOYAL CUSTOMER",AND(F3569&gt;=6,G3569&gt;=5,H3569&gt;=5),"POTENTIAL LOYALIST",AND(F3569&gt;=8,G3569&lt;=2,H3569&gt;=5),"NEW CUSTOMERS",AND(F3569&gt;=6,G3569&lt;=2,H3569&gt;=3),"PROMISING",AND(F3569&gt;=3,G3569&gt;=3,H3569&gt;=3),"NEED ATTENTION",AND(F3569&lt;=4,G3569&gt;=6,H3569&gt;=6),"AT RISK",AND(F3569&lt;=2,G3569&gt;=8,H3569&gt;=8),"CAN'T LOSE THEM",AND(F3569&lt;=2,G3569&lt;=2,H3569&lt;=2),"HIBERNATING",TRUE(),"Other")</f>
        <v>NEED ATTENTION</v>
      </c>
      <c r="K3569" s="1" t="n">
        <f aca="false">RANK(E3569,$E$7:$E$4378)+COUNTIF($E$7:E3569,E3569)-1</f>
        <v>1211</v>
      </c>
    </row>
    <row r="3570" customFormat="false" ht="14.25" hidden="false" customHeight="true" outlineLevel="0" collapsed="false">
      <c r="A3570" s="51" t="n">
        <v>17176</v>
      </c>
      <c r="B3570" s="53" t="n">
        <v>40685.5284722222</v>
      </c>
      <c r="C3570" s="57" t="n">
        <f aca="false">INT($C$2)-INT(Table3[[#This Row],[Last Purchase Date]])</f>
        <v>202</v>
      </c>
      <c r="D3570" s="1" t="n">
        <v>1</v>
      </c>
      <c r="E3570" s="1" t="n">
        <v>306.13</v>
      </c>
      <c r="F3570" s="1" t="n">
        <f aca="false">ROUND((1-_xlfn.PERCENTRANK.INC($C$7:$C$4378,C3570))*9,0)</f>
        <v>2</v>
      </c>
      <c r="G3570" s="1" t="n">
        <f aca="false">ROUND(_xlfn.PERCENTRANK.INC($D$7:$D$4378,D3570)*9,0)</f>
        <v>0</v>
      </c>
      <c r="H3570" s="1" t="n">
        <f aca="false">ROUND(_xlfn.PERCENTRANK.INC($E$7:$E$4378,E3570)*9,0)</f>
        <v>2</v>
      </c>
      <c r="I3570" s="1" t="str">
        <f aca="false">CONCATENATE(F3570,G3570,H3570)</f>
        <v>202</v>
      </c>
      <c r="J3570" s="1" t="str">
        <f aca="false">_xlfn.IFS(AND(F3570&gt;=8,G3570&gt;=8,H3570&gt;=8),"CHAMPION",AND(F3570&gt;=6,G3570&gt;=7,H3570&gt;=6),"LOYAL CUSTOMER",AND(F3570&gt;=6,G3570&gt;=5,H3570&gt;=5),"POTENTIAL LOYALIST",AND(F3570&gt;=8,G3570&lt;=2,H3570&gt;=5),"NEW CUSTOMERS",AND(F3570&gt;=6,G3570&lt;=2,H3570&gt;=3),"PROMISING",AND(F3570&gt;=3,G3570&gt;=3,H3570&gt;=3),"NEED ATTENTION",AND(F3570&lt;=4,G3570&gt;=6,H3570&gt;=6),"AT RISK",AND(F3570&lt;=2,G3570&gt;=8,H3570&gt;=8),"CAN'T LOSE THEM",AND(F3570&lt;=2,G3570&lt;=2,H3570&lt;=2),"HIBERNATING",TRUE(),"Other")</f>
        <v>HIBERNATING</v>
      </c>
      <c r="K3570" s="1" t="n">
        <f aca="false">RANK(E3570,$E$7:$E$4378)+COUNTIF($E$7:E3570,E3570)-1</f>
        <v>3220</v>
      </c>
    </row>
    <row r="3571" customFormat="false" ht="14.25" hidden="false" customHeight="true" outlineLevel="0" collapsed="false">
      <c r="A3571" s="51" t="n">
        <v>17179</v>
      </c>
      <c r="B3571" s="53" t="n">
        <v>40708.7</v>
      </c>
      <c r="C3571" s="57" t="n">
        <f aca="false">INT($C$2)-INT(Table3[[#This Row],[Last Purchase Date]])</f>
        <v>179</v>
      </c>
      <c r="D3571" s="1" t="n">
        <v>3</v>
      </c>
      <c r="E3571" s="1" t="n">
        <v>711.79</v>
      </c>
      <c r="F3571" s="1" t="n">
        <f aca="false">ROUND((1-_xlfn.PERCENTRANK.INC($C$7:$C$4378,C3571))*9,0)</f>
        <v>2</v>
      </c>
      <c r="G3571" s="1" t="n">
        <f aca="false">ROUND(_xlfn.PERCENTRANK.INC($D$7:$D$4378,D3571)*9,0)</f>
        <v>4</v>
      </c>
      <c r="H3571" s="1" t="n">
        <f aca="false">ROUND(_xlfn.PERCENTRANK.INC($E$7:$E$4378,E3571)*9,0)</f>
        <v>5</v>
      </c>
      <c r="I3571" s="1" t="str">
        <f aca="false">CONCATENATE(F3571,G3571,H3571)</f>
        <v>245</v>
      </c>
      <c r="J3571" s="1" t="str">
        <f aca="false">_xlfn.IFS(AND(F3571&gt;=8,G3571&gt;=8,H3571&gt;=8),"CHAMPION",AND(F3571&gt;=6,G3571&gt;=7,H3571&gt;=6),"LOYAL CUSTOMER",AND(F3571&gt;=6,G3571&gt;=5,H3571&gt;=5),"POTENTIAL LOYALIST",AND(F3571&gt;=8,G3571&lt;=2,H3571&gt;=5),"NEW CUSTOMERS",AND(F3571&gt;=6,G3571&lt;=2,H3571&gt;=3),"PROMISING",AND(F3571&gt;=3,G3571&gt;=3,H3571&gt;=3),"NEED ATTENTION",AND(F3571&lt;=4,G3571&gt;=6,H3571&gt;=6),"AT RISK",AND(F3571&lt;=2,G3571&gt;=8,H3571&gt;=8),"CAN'T LOSE THEM",AND(F3571&lt;=2,G3571&lt;=2,H3571&lt;=2),"HIBERNATING",TRUE(),"Other")</f>
        <v>Other</v>
      </c>
      <c r="K3571" s="1" t="n">
        <f aca="false">RANK(E3571,$E$7:$E$4378)+COUNTIF($E$7:E3571,E3571)-1</f>
        <v>2045</v>
      </c>
    </row>
    <row r="3572" customFormat="false" ht="14.25" hidden="false" customHeight="true" outlineLevel="0" collapsed="false">
      <c r="A3572" s="51" t="n">
        <v>17180</v>
      </c>
      <c r="B3572" s="53" t="n">
        <v>40830.6569444445</v>
      </c>
      <c r="C3572" s="57" t="n">
        <f aca="false">INT($C$2)-INT(Table3[[#This Row],[Last Purchase Date]])</f>
        <v>57</v>
      </c>
      <c r="D3572" s="1" t="n">
        <v>6</v>
      </c>
      <c r="E3572" s="1" t="n">
        <v>780.38</v>
      </c>
      <c r="F3572" s="1" t="n">
        <f aca="false">ROUND((1-_xlfn.PERCENTRANK.INC($C$7:$C$4378,C3572))*9,0)</f>
        <v>4</v>
      </c>
      <c r="G3572" s="1" t="n">
        <f aca="false">ROUND(_xlfn.PERCENTRANK.INC($D$7:$D$4378,D3572)*9,0)</f>
        <v>7</v>
      </c>
      <c r="H3572" s="1" t="n">
        <f aca="false">ROUND(_xlfn.PERCENTRANK.INC($E$7:$E$4378,E3572)*9,0)</f>
        <v>5</v>
      </c>
      <c r="I3572" s="1" t="str">
        <f aca="false">CONCATENATE(F3572,G3572,H3572)</f>
        <v>475</v>
      </c>
      <c r="J3572" s="1" t="str">
        <f aca="false">_xlfn.IFS(AND(F3572&gt;=8,G3572&gt;=8,H3572&gt;=8),"CHAMPION",AND(F3572&gt;=6,G3572&gt;=7,H3572&gt;=6),"LOYAL CUSTOMER",AND(F3572&gt;=6,G3572&gt;=5,H3572&gt;=5),"POTENTIAL LOYALIST",AND(F3572&gt;=8,G3572&lt;=2,H3572&gt;=5),"NEW CUSTOMERS",AND(F3572&gt;=6,G3572&lt;=2,H3572&gt;=3),"PROMISING",AND(F3572&gt;=3,G3572&gt;=3,H3572&gt;=3),"NEED ATTENTION",AND(F3572&lt;=4,G3572&gt;=6,H3572&gt;=6),"AT RISK",AND(F3572&lt;=2,G3572&gt;=8,H3572&gt;=8),"CAN'T LOSE THEM",AND(F3572&lt;=2,G3572&lt;=2,H3572&lt;=2),"HIBERNATING",TRUE(),"Other")</f>
        <v>NEED ATTENTION</v>
      </c>
      <c r="K3572" s="1" t="n">
        <f aca="false">RANK(E3572,$E$7:$E$4378)+COUNTIF($E$7:E3572,E3572)-1</f>
        <v>1925</v>
      </c>
    </row>
    <row r="3573" customFormat="false" ht="14.25" hidden="false" customHeight="true" outlineLevel="0" collapsed="false">
      <c r="A3573" s="51" t="n">
        <v>17181</v>
      </c>
      <c r="B3573" s="53" t="n">
        <v>40829.6166666667</v>
      </c>
      <c r="C3573" s="57" t="n">
        <f aca="false">INT($C$2)-INT(Table3[[#This Row],[Last Purchase Date]])</f>
        <v>58</v>
      </c>
      <c r="D3573" s="1" t="n">
        <v>2</v>
      </c>
      <c r="E3573" s="1" t="n">
        <v>239.92</v>
      </c>
      <c r="F3573" s="1" t="n">
        <f aca="false">ROUND((1-_xlfn.PERCENTRANK.INC($C$7:$C$4378,C3573))*9,0)</f>
        <v>4</v>
      </c>
      <c r="G3573" s="1" t="n">
        <f aca="false">ROUND(_xlfn.PERCENTRANK.INC($D$7:$D$4378,D3573)*9,0)</f>
        <v>3</v>
      </c>
      <c r="H3573" s="1" t="n">
        <f aca="false">ROUND(_xlfn.PERCENTRANK.INC($E$7:$E$4378,E3573)*9,0)</f>
        <v>2</v>
      </c>
      <c r="I3573" s="1" t="str">
        <f aca="false">CONCATENATE(F3573,G3573,H3573)</f>
        <v>432</v>
      </c>
      <c r="J3573" s="1" t="str">
        <f aca="false">_xlfn.IFS(AND(F3573&gt;=8,G3573&gt;=8,H3573&gt;=8),"CHAMPION",AND(F3573&gt;=6,G3573&gt;=7,H3573&gt;=6),"LOYAL CUSTOMER",AND(F3573&gt;=6,G3573&gt;=5,H3573&gt;=5),"POTENTIAL LOYALIST",AND(F3573&gt;=8,G3573&lt;=2,H3573&gt;=5),"NEW CUSTOMERS",AND(F3573&gt;=6,G3573&lt;=2,H3573&gt;=3),"PROMISING",AND(F3573&gt;=3,G3573&gt;=3,H3573&gt;=3),"NEED ATTENTION",AND(F3573&lt;=4,G3573&gt;=6,H3573&gt;=6),"AT RISK",AND(F3573&lt;=2,G3573&gt;=8,H3573&gt;=8),"CAN'T LOSE THEM",AND(F3573&lt;=2,G3573&lt;=2,H3573&lt;=2),"HIBERNATING",TRUE(),"Other")</f>
        <v>Other</v>
      </c>
      <c r="K3573" s="1" t="n">
        <f aca="false">RANK(E3573,$E$7:$E$4378)+COUNTIF($E$7:E3573,E3573)-1</f>
        <v>3481</v>
      </c>
    </row>
    <row r="3574" customFormat="false" ht="14.25" hidden="false" customHeight="true" outlineLevel="0" collapsed="false">
      <c r="A3574" s="51" t="n">
        <v>17183</v>
      </c>
      <c r="B3574" s="53" t="n">
        <v>40879.4215277778</v>
      </c>
      <c r="C3574" s="57" t="n">
        <f aca="false">INT($C$2)-INT(Table3[[#This Row],[Last Purchase Date]])</f>
        <v>8</v>
      </c>
      <c r="D3574" s="1" t="n">
        <v>8</v>
      </c>
      <c r="E3574" s="1" t="n">
        <v>3286.91</v>
      </c>
      <c r="F3574" s="1" t="n">
        <f aca="false">ROUND((1-_xlfn.PERCENTRANK.INC($C$7:$C$4378,C3574))*9,0)</f>
        <v>8</v>
      </c>
      <c r="G3574" s="1" t="n">
        <f aca="false">ROUND(_xlfn.PERCENTRANK.INC($D$7:$D$4378,D3574)*9,0)</f>
        <v>7</v>
      </c>
      <c r="H3574" s="1" t="n">
        <f aca="false">ROUND(_xlfn.PERCENTRANK.INC($E$7:$E$4378,E3574)*9,0)</f>
        <v>8</v>
      </c>
      <c r="I3574" s="1" t="str">
        <f aca="false">CONCATENATE(F3574,G3574,H3574)</f>
        <v>878</v>
      </c>
      <c r="J3574" s="1" t="str">
        <f aca="false">_xlfn.IFS(AND(F3574&gt;=8,G3574&gt;=8,H3574&gt;=8),"CHAMPION",AND(F3574&gt;=6,G3574&gt;=7,H3574&gt;=6),"LOYAL CUSTOMER",AND(F3574&gt;=6,G3574&gt;=5,H3574&gt;=5),"POTENTIAL LOYALIST",AND(F3574&gt;=8,G3574&lt;=2,H3574&gt;=5),"NEW CUSTOMERS",AND(F3574&gt;=6,G3574&lt;=2,H3574&gt;=3),"PROMISING",AND(F3574&gt;=3,G3574&gt;=3,H3574&gt;=3),"NEED ATTENTION",AND(F3574&lt;=4,G3574&gt;=6,H3574&gt;=6),"AT RISK",AND(F3574&lt;=2,G3574&gt;=8,H3574&gt;=8),"CAN'T LOSE THEM",AND(F3574&lt;=2,G3574&lt;=2,H3574&lt;=2),"HIBERNATING",TRUE(),"Other")</f>
        <v>LOYAL CUSTOMER</v>
      </c>
      <c r="K3574" s="1" t="n">
        <f aca="false">RANK(E3574,$E$7:$E$4378)+COUNTIF($E$7:E3574,E3574)-1</f>
        <v>478</v>
      </c>
    </row>
    <row r="3575" customFormat="false" ht="14.25" hidden="false" customHeight="true" outlineLevel="0" collapsed="false">
      <c r="A3575" s="51" t="n">
        <v>17186</v>
      </c>
      <c r="B3575" s="53" t="n">
        <v>40840.4305555556</v>
      </c>
      <c r="C3575" s="57" t="n">
        <f aca="false">INT($C$2)-INT(Table3[[#This Row],[Last Purchase Date]])</f>
        <v>47</v>
      </c>
      <c r="D3575" s="1" t="n">
        <v>2</v>
      </c>
      <c r="E3575" s="1" t="n">
        <v>144</v>
      </c>
      <c r="F3575" s="1" t="n">
        <f aca="false">ROUND((1-_xlfn.PERCENTRANK.INC($C$7:$C$4378,C3575))*9,0)</f>
        <v>5</v>
      </c>
      <c r="G3575" s="1" t="n">
        <f aca="false">ROUND(_xlfn.PERCENTRANK.INC($D$7:$D$4378,D3575)*9,0)</f>
        <v>3</v>
      </c>
      <c r="H3575" s="1" t="n">
        <f aca="false">ROUND(_xlfn.PERCENTRANK.INC($E$7:$E$4378,E3575)*9,0)</f>
        <v>1</v>
      </c>
      <c r="I3575" s="1" t="str">
        <f aca="false">CONCATENATE(F3575,G3575,H3575)</f>
        <v>531</v>
      </c>
      <c r="J3575" s="1" t="str">
        <f aca="false">_xlfn.IFS(AND(F3575&gt;=8,G3575&gt;=8,H3575&gt;=8),"CHAMPION",AND(F3575&gt;=6,G3575&gt;=7,H3575&gt;=6),"LOYAL CUSTOMER",AND(F3575&gt;=6,G3575&gt;=5,H3575&gt;=5),"POTENTIAL LOYALIST",AND(F3575&gt;=8,G3575&lt;=2,H3575&gt;=5),"NEW CUSTOMERS",AND(F3575&gt;=6,G3575&lt;=2,H3575&gt;=3),"PROMISING",AND(F3575&gt;=3,G3575&gt;=3,H3575&gt;=3),"NEED ATTENTION",AND(F3575&lt;=4,G3575&gt;=6,H3575&gt;=6),"AT RISK",AND(F3575&lt;=2,G3575&gt;=8,H3575&gt;=8),"CAN'T LOSE THEM",AND(F3575&lt;=2,G3575&lt;=2,H3575&lt;=2),"HIBERNATING",TRUE(),"Other")</f>
        <v>Other</v>
      </c>
      <c r="K3575" s="1" t="n">
        <f aca="false">RANK(E3575,$E$7:$E$4378)+COUNTIF($E$7:E3575,E3575)-1</f>
        <v>3943</v>
      </c>
    </row>
    <row r="3576" customFormat="false" ht="14.25" hidden="false" customHeight="true" outlineLevel="0" collapsed="false">
      <c r="A3576" s="51" t="n">
        <v>17187</v>
      </c>
      <c r="B3576" s="53" t="n">
        <v>40660.5270833333</v>
      </c>
      <c r="C3576" s="57" t="n">
        <f aca="false">INT($C$2)-INT(Table3[[#This Row],[Last Purchase Date]])</f>
        <v>227</v>
      </c>
      <c r="D3576" s="1" t="n">
        <v>1</v>
      </c>
      <c r="E3576" s="1" t="n">
        <v>203.95</v>
      </c>
      <c r="F3576" s="1" t="n">
        <f aca="false">ROUND((1-_xlfn.PERCENTRANK.INC($C$7:$C$4378,C3576))*9,0)</f>
        <v>1</v>
      </c>
      <c r="G3576" s="1" t="n">
        <f aca="false">ROUND(_xlfn.PERCENTRANK.INC($D$7:$D$4378,D3576)*9,0)</f>
        <v>0</v>
      </c>
      <c r="H3576" s="1" t="n">
        <f aca="false">ROUND(_xlfn.PERCENTRANK.INC($E$7:$E$4378,E3576)*9,0)</f>
        <v>2</v>
      </c>
      <c r="I3576" s="1" t="str">
        <f aca="false">CONCATENATE(F3576,G3576,H3576)</f>
        <v>102</v>
      </c>
      <c r="J3576" s="1" t="str">
        <f aca="false">_xlfn.IFS(AND(F3576&gt;=8,G3576&gt;=8,H3576&gt;=8),"CHAMPION",AND(F3576&gt;=6,G3576&gt;=7,H3576&gt;=6),"LOYAL CUSTOMER",AND(F3576&gt;=6,G3576&gt;=5,H3576&gt;=5),"POTENTIAL LOYALIST",AND(F3576&gt;=8,G3576&lt;=2,H3576&gt;=5),"NEW CUSTOMERS",AND(F3576&gt;=6,G3576&lt;=2,H3576&gt;=3),"PROMISING",AND(F3576&gt;=3,G3576&gt;=3,H3576&gt;=3),"NEED ATTENTION",AND(F3576&lt;=4,G3576&gt;=6,H3576&gt;=6),"AT RISK",AND(F3576&lt;=2,G3576&gt;=8,H3576&gt;=8),"CAN'T LOSE THEM",AND(F3576&lt;=2,G3576&lt;=2,H3576&lt;=2),"HIBERNATING",TRUE(),"Other")</f>
        <v>HIBERNATING</v>
      </c>
      <c r="K3576" s="1" t="n">
        <f aca="false">RANK(E3576,$E$7:$E$4378)+COUNTIF($E$7:E3576,E3576)-1</f>
        <v>3643</v>
      </c>
    </row>
    <row r="3577" customFormat="false" ht="14.25" hidden="false" customHeight="true" outlineLevel="0" collapsed="false">
      <c r="A3577" s="51" t="n">
        <v>17188</v>
      </c>
      <c r="B3577" s="53" t="n">
        <v>40875.5784722222</v>
      </c>
      <c r="C3577" s="57" t="n">
        <f aca="false">INT($C$2)-INT(Table3[[#This Row],[Last Purchase Date]])</f>
        <v>12</v>
      </c>
      <c r="D3577" s="1" t="n">
        <v>9</v>
      </c>
      <c r="E3577" s="1" t="n">
        <v>2275.58</v>
      </c>
      <c r="F3577" s="1" t="n">
        <f aca="false">ROUND((1-_xlfn.PERCENTRANK.INC($C$7:$C$4378,C3577))*9,0)</f>
        <v>7</v>
      </c>
      <c r="G3577" s="1" t="n">
        <f aca="false">ROUND(_xlfn.PERCENTRANK.INC($D$7:$D$4378,D3577)*9,0)</f>
        <v>8</v>
      </c>
      <c r="H3577" s="1" t="n">
        <f aca="false">ROUND(_xlfn.PERCENTRANK.INC($E$7:$E$4378,E3577)*9,0)</f>
        <v>7</v>
      </c>
      <c r="I3577" s="1" t="str">
        <f aca="false">CONCATENATE(F3577,G3577,H3577)</f>
        <v>787</v>
      </c>
      <c r="J3577" s="1" t="str">
        <f aca="false">_xlfn.IFS(AND(F3577&gt;=8,G3577&gt;=8,H3577&gt;=8),"CHAMPION",AND(F3577&gt;=6,G3577&gt;=7,H3577&gt;=6),"LOYAL CUSTOMER",AND(F3577&gt;=6,G3577&gt;=5,H3577&gt;=5),"POTENTIAL LOYALIST",AND(F3577&gt;=8,G3577&lt;=2,H3577&gt;=5),"NEW CUSTOMERS",AND(F3577&gt;=6,G3577&lt;=2,H3577&gt;=3),"PROMISING",AND(F3577&gt;=3,G3577&gt;=3,H3577&gt;=3),"NEED ATTENTION",AND(F3577&lt;=4,G3577&gt;=6,H3577&gt;=6),"AT RISK",AND(F3577&lt;=2,G3577&gt;=8,H3577&gt;=8),"CAN'T LOSE THEM",AND(F3577&lt;=2,G3577&lt;=2,H3577&lt;=2),"HIBERNATING",TRUE(),"Other")</f>
        <v>LOYAL CUSTOMER</v>
      </c>
      <c r="K3577" s="1" t="n">
        <f aca="false">RANK(E3577,$E$7:$E$4378)+COUNTIF($E$7:E3577,E3577)-1</f>
        <v>751</v>
      </c>
    </row>
    <row r="3578" customFormat="false" ht="14.25" hidden="false" customHeight="true" outlineLevel="0" collapsed="false">
      <c r="A3578" s="51" t="n">
        <v>17189</v>
      </c>
      <c r="B3578" s="53" t="n">
        <v>40780.81875</v>
      </c>
      <c r="C3578" s="57" t="n">
        <f aca="false">INT($C$2)-INT(Table3[[#This Row],[Last Purchase Date]])</f>
        <v>107</v>
      </c>
      <c r="D3578" s="1" t="n">
        <v>2</v>
      </c>
      <c r="E3578" s="1" t="n">
        <v>384.4</v>
      </c>
      <c r="F3578" s="1" t="n">
        <f aca="false">ROUND((1-_xlfn.PERCENTRANK.INC($C$7:$C$4378,C3578))*9,0)</f>
        <v>3</v>
      </c>
      <c r="G3578" s="1" t="n">
        <f aca="false">ROUND(_xlfn.PERCENTRANK.INC($D$7:$D$4378,D3578)*9,0)</f>
        <v>3</v>
      </c>
      <c r="H3578" s="1" t="n">
        <f aca="false">ROUND(_xlfn.PERCENTRANK.INC($E$7:$E$4378,E3578)*9,0)</f>
        <v>3</v>
      </c>
      <c r="I3578" s="1" t="str">
        <f aca="false">CONCATENATE(F3578,G3578,H3578)</f>
        <v>333</v>
      </c>
      <c r="J3578" s="1" t="str">
        <f aca="false">_xlfn.IFS(AND(F3578&gt;=8,G3578&gt;=8,H3578&gt;=8),"CHAMPION",AND(F3578&gt;=6,G3578&gt;=7,H3578&gt;=6),"LOYAL CUSTOMER",AND(F3578&gt;=6,G3578&gt;=5,H3578&gt;=5),"POTENTIAL LOYALIST",AND(F3578&gt;=8,G3578&lt;=2,H3578&gt;=5),"NEW CUSTOMERS",AND(F3578&gt;=6,G3578&lt;=2,H3578&gt;=3),"PROMISING",AND(F3578&gt;=3,G3578&gt;=3,H3578&gt;=3),"NEED ATTENTION",AND(F3578&lt;=4,G3578&gt;=6,H3578&gt;=6),"AT RISK",AND(F3578&lt;=2,G3578&gt;=8,H3578&gt;=8),"CAN'T LOSE THEM",AND(F3578&lt;=2,G3578&lt;=2,H3578&lt;=2),"HIBERNATING",TRUE(),"Other")</f>
        <v>NEED ATTENTION</v>
      </c>
      <c r="K3578" s="1" t="n">
        <f aca="false">RANK(E3578,$E$7:$E$4378)+COUNTIF($E$7:E3578,E3578)-1</f>
        <v>2869</v>
      </c>
    </row>
    <row r="3579" customFormat="false" ht="14.25" hidden="false" customHeight="true" outlineLevel="0" collapsed="false">
      <c r="A3579" s="51" t="n">
        <v>17190</v>
      </c>
      <c r="B3579" s="53" t="n">
        <v>40828.48125</v>
      </c>
      <c r="C3579" s="57" t="n">
        <f aca="false">INT($C$2)-INT(Table3[[#This Row],[Last Purchase Date]])</f>
        <v>59</v>
      </c>
      <c r="D3579" s="1" t="n">
        <v>3</v>
      </c>
      <c r="E3579" s="1" t="n">
        <v>249.74</v>
      </c>
      <c r="F3579" s="1" t="n">
        <f aca="false">ROUND((1-_xlfn.PERCENTRANK.INC($C$7:$C$4378,C3579))*9,0)</f>
        <v>4</v>
      </c>
      <c r="G3579" s="1" t="n">
        <f aca="false">ROUND(_xlfn.PERCENTRANK.INC($D$7:$D$4378,D3579)*9,0)</f>
        <v>4</v>
      </c>
      <c r="H3579" s="1" t="n">
        <f aca="false">ROUND(_xlfn.PERCENTRANK.INC($E$7:$E$4378,E3579)*9,0)</f>
        <v>2</v>
      </c>
      <c r="I3579" s="1" t="str">
        <f aca="false">CONCATENATE(F3579,G3579,H3579)</f>
        <v>442</v>
      </c>
      <c r="J3579" s="1" t="str">
        <f aca="false">_xlfn.IFS(AND(F3579&gt;=8,G3579&gt;=8,H3579&gt;=8),"CHAMPION",AND(F3579&gt;=6,G3579&gt;=7,H3579&gt;=6),"LOYAL CUSTOMER",AND(F3579&gt;=6,G3579&gt;=5,H3579&gt;=5),"POTENTIAL LOYALIST",AND(F3579&gt;=8,G3579&lt;=2,H3579&gt;=5),"NEW CUSTOMERS",AND(F3579&gt;=6,G3579&lt;=2,H3579&gt;=3),"PROMISING",AND(F3579&gt;=3,G3579&gt;=3,H3579&gt;=3),"NEED ATTENTION",AND(F3579&lt;=4,G3579&gt;=6,H3579&gt;=6),"AT RISK",AND(F3579&lt;=2,G3579&gt;=8,H3579&gt;=8),"CAN'T LOSE THEM",AND(F3579&lt;=2,G3579&lt;=2,H3579&lt;=2),"HIBERNATING",TRUE(),"Other")</f>
        <v>Other</v>
      </c>
      <c r="K3579" s="1" t="n">
        <f aca="false">RANK(E3579,$E$7:$E$4378)+COUNTIF($E$7:E3579,E3579)-1</f>
        <v>3441</v>
      </c>
    </row>
    <row r="3580" customFormat="false" ht="14.25" hidden="false" customHeight="true" outlineLevel="0" collapsed="false">
      <c r="A3580" s="51" t="n">
        <v>17191</v>
      </c>
      <c r="B3580" s="53" t="n">
        <v>40858.7069444444</v>
      </c>
      <c r="C3580" s="57" t="n">
        <f aca="false">INT($C$2)-INT(Table3[[#This Row],[Last Purchase Date]])</f>
        <v>29</v>
      </c>
      <c r="D3580" s="1" t="n">
        <v>7</v>
      </c>
      <c r="E3580" s="1" t="n">
        <v>2095.13</v>
      </c>
      <c r="F3580" s="1" t="n">
        <f aca="false">ROUND((1-_xlfn.PERCENTRANK.INC($C$7:$C$4378,C3580))*9,0)</f>
        <v>6</v>
      </c>
      <c r="G3580" s="1" t="n">
        <f aca="false">ROUND(_xlfn.PERCENTRANK.INC($D$7:$D$4378,D3580)*9,0)</f>
        <v>7</v>
      </c>
      <c r="H3580" s="1" t="n">
        <f aca="false">ROUND(_xlfn.PERCENTRANK.INC($E$7:$E$4378,E3580)*9,0)</f>
        <v>7</v>
      </c>
      <c r="I3580" s="1" t="str">
        <f aca="false">CONCATENATE(F3580,G3580,H3580)</f>
        <v>677</v>
      </c>
      <c r="J3580" s="1" t="str">
        <f aca="false">_xlfn.IFS(AND(F3580&gt;=8,G3580&gt;=8,H3580&gt;=8),"CHAMPION",AND(F3580&gt;=6,G3580&gt;=7,H3580&gt;=6),"LOYAL CUSTOMER",AND(F3580&gt;=6,G3580&gt;=5,H3580&gt;=5),"POTENTIAL LOYALIST",AND(F3580&gt;=8,G3580&lt;=2,H3580&gt;=5),"NEW CUSTOMERS",AND(F3580&gt;=6,G3580&lt;=2,H3580&gt;=3),"PROMISING",AND(F3580&gt;=3,G3580&gt;=3,H3580&gt;=3),"NEED ATTENTION",AND(F3580&lt;=4,G3580&gt;=6,H3580&gt;=6),"AT RISK",AND(F3580&lt;=2,G3580&gt;=8,H3580&gt;=8),"CAN'T LOSE THEM",AND(F3580&lt;=2,G3580&lt;=2,H3580&lt;=2),"HIBERNATING",TRUE(),"Other")</f>
        <v>LOYAL CUSTOMER</v>
      </c>
      <c r="K3580" s="1" t="n">
        <f aca="false">RANK(E3580,$E$7:$E$4378)+COUNTIF($E$7:E3580,E3580)-1</f>
        <v>828</v>
      </c>
    </row>
    <row r="3581" customFormat="false" ht="14.25" hidden="false" customHeight="true" outlineLevel="0" collapsed="false">
      <c r="A3581" s="51" t="n">
        <v>17193</v>
      </c>
      <c r="B3581" s="53" t="n">
        <v>40851.5326388889</v>
      </c>
      <c r="C3581" s="57" t="n">
        <f aca="false">INT($C$2)-INT(Table3[[#This Row],[Last Purchase Date]])</f>
        <v>36</v>
      </c>
      <c r="D3581" s="1" t="n">
        <v>9</v>
      </c>
      <c r="E3581" s="1" t="n">
        <v>1674.46</v>
      </c>
      <c r="F3581" s="1" t="n">
        <f aca="false">ROUND((1-_xlfn.PERCENTRANK.INC($C$7:$C$4378,C3581))*9,0)</f>
        <v>5</v>
      </c>
      <c r="G3581" s="1" t="n">
        <f aca="false">ROUND(_xlfn.PERCENTRANK.INC($D$7:$D$4378,D3581)*9,0)</f>
        <v>8</v>
      </c>
      <c r="H3581" s="1" t="n">
        <f aca="false">ROUND(_xlfn.PERCENTRANK.INC($E$7:$E$4378,E3581)*9,0)</f>
        <v>7</v>
      </c>
      <c r="I3581" s="1" t="str">
        <f aca="false">CONCATENATE(F3581,G3581,H3581)</f>
        <v>587</v>
      </c>
      <c r="J3581" s="1" t="str">
        <f aca="false">_xlfn.IFS(AND(F3581&gt;=8,G3581&gt;=8,H3581&gt;=8),"CHAMPION",AND(F3581&gt;=6,G3581&gt;=7,H3581&gt;=6),"LOYAL CUSTOMER",AND(F3581&gt;=6,G3581&gt;=5,H3581&gt;=5),"POTENTIAL LOYALIST",AND(F3581&gt;=8,G3581&lt;=2,H3581&gt;=5),"NEW CUSTOMERS",AND(F3581&gt;=6,G3581&lt;=2,H3581&gt;=3),"PROMISING",AND(F3581&gt;=3,G3581&gt;=3,H3581&gt;=3),"NEED ATTENTION",AND(F3581&lt;=4,G3581&gt;=6,H3581&gt;=6),"AT RISK",AND(F3581&lt;=2,G3581&gt;=8,H3581&gt;=8),"CAN'T LOSE THEM",AND(F3581&lt;=2,G3581&lt;=2,H3581&lt;=2),"HIBERNATING",TRUE(),"Other")</f>
        <v>NEED ATTENTION</v>
      </c>
      <c r="K3581" s="1" t="n">
        <f aca="false">RANK(E3581,$E$7:$E$4378)+COUNTIF($E$7:E3581,E3581)-1</f>
        <v>1055</v>
      </c>
    </row>
    <row r="3582" customFormat="false" ht="14.25" hidden="false" customHeight="true" outlineLevel="0" collapsed="false">
      <c r="A3582" s="51" t="n">
        <v>17194</v>
      </c>
      <c r="B3582" s="53" t="n">
        <v>40613.5034722222</v>
      </c>
      <c r="C3582" s="57" t="n">
        <f aca="false">INT($C$2)-INT(Table3[[#This Row],[Last Purchase Date]])</f>
        <v>274</v>
      </c>
      <c r="D3582" s="1" t="n">
        <v>2</v>
      </c>
      <c r="E3582" s="1" t="n">
        <v>262.62</v>
      </c>
      <c r="F3582" s="1" t="n">
        <f aca="false">ROUND((1-_xlfn.PERCENTRANK.INC($C$7:$C$4378,C3582))*9,0)</f>
        <v>1</v>
      </c>
      <c r="G3582" s="1" t="n">
        <f aca="false">ROUND(_xlfn.PERCENTRANK.INC($D$7:$D$4378,D3582)*9,0)</f>
        <v>3</v>
      </c>
      <c r="H3582" s="1" t="n">
        <f aca="false">ROUND(_xlfn.PERCENTRANK.INC($E$7:$E$4378,E3582)*9,0)</f>
        <v>2</v>
      </c>
      <c r="I3582" s="1" t="str">
        <f aca="false">CONCATENATE(F3582,G3582,H3582)</f>
        <v>132</v>
      </c>
      <c r="J3582" s="1" t="str">
        <f aca="false">_xlfn.IFS(AND(F3582&gt;=8,G3582&gt;=8,H3582&gt;=8),"CHAMPION",AND(F3582&gt;=6,G3582&gt;=7,H3582&gt;=6),"LOYAL CUSTOMER",AND(F3582&gt;=6,G3582&gt;=5,H3582&gt;=5),"POTENTIAL LOYALIST",AND(F3582&gt;=8,G3582&lt;=2,H3582&gt;=5),"NEW CUSTOMERS",AND(F3582&gt;=6,G3582&lt;=2,H3582&gt;=3),"PROMISING",AND(F3582&gt;=3,G3582&gt;=3,H3582&gt;=3),"NEED ATTENTION",AND(F3582&lt;=4,G3582&gt;=6,H3582&gt;=6),"AT RISK",AND(F3582&lt;=2,G3582&gt;=8,H3582&gt;=8),"CAN'T LOSE THEM",AND(F3582&lt;=2,G3582&lt;=2,H3582&lt;=2),"HIBERNATING",TRUE(),"Other")</f>
        <v>Other</v>
      </c>
      <c r="K3582" s="1" t="n">
        <f aca="false">RANK(E3582,$E$7:$E$4378)+COUNTIF($E$7:E3582,E3582)-1</f>
        <v>3390</v>
      </c>
    </row>
    <row r="3583" customFormat="false" ht="14.25" hidden="false" customHeight="true" outlineLevel="0" collapsed="false">
      <c r="A3583" s="51" t="n">
        <v>17197</v>
      </c>
      <c r="B3583" s="53" t="n">
        <v>40857.4388888889</v>
      </c>
      <c r="C3583" s="57" t="n">
        <f aca="false">INT($C$2)-INT(Table3[[#This Row],[Last Purchase Date]])</f>
        <v>30</v>
      </c>
      <c r="D3583" s="1" t="n">
        <v>1</v>
      </c>
      <c r="E3583" s="1" t="n">
        <v>1013.01</v>
      </c>
      <c r="F3583" s="1" t="n">
        <f aca="false">ROUND((1-_xlfn.PERCENTRANK.INC($C$7:$C$4378,C3583))*9,0)</f>
        <v>6</v>
      </c>
      <c r="G3583" s="1" t="n">
        <f aca="false">ROUND(_xlfn.PERCENTRANK.INC($D$7:$D$4378,D3583)*9,0)</f>
        <v>0</v>
      </c>
      <c r="H3583" s="1" t="n">
        <f aca="false">ROUND(_xlfn.PERCENTRANK.INC($E$7:$E$4378,E3583)*9,0)</f>
        <v>6</v>
      </c>
      <c r="I3583" s="1" t="str">
        <f aca="false">CONCATENATE(F3583,G3583,H3583)</f>
        <v>606</v>
      </c>
      <c r="J3583" s="1" t="str">
        <f aca="false">_xlfn.IFS(AND(F3583&gt;=8,G3583&gt;=8,H3583&gt;=8),"CHAMPION",AND(F3583&gt;=6,G3583&gt;=7,H3583&gt;=6),"LOYAL CUSTOMER",AND(F3583&gt;=6,G3583&gt;=5,H3583&gt;=5),"POTENTIAL LOYALIST",AND(F3583&gt;=8,G3583&lt;=2,H3583&gt;=5),"NEW CUSTOMERS",AND(F3583&gt;=6,G3583&lt;=2,H3583&gt;=3),"PROMISING",AND(F3583&gt;=3,G3583&gt;=3,H3583&gt;=3),"NEED ATTENTION",AND(F3583&lt;=4,G3583&gt;=6,H3583&gt;=6),"AT RISK",AND(F3583&lt;=2,G3583&gt;=8,H3583&gt;=8),"CAN'T LOSE THEM",AND(F3583&lt;=2,G3583&lt;=2,H3583&lt;=2),"HIBERNATING",TRUE(),"Other")</f>
        <v>PROMISING</v>
      </c>
      <c r="K3583" s="1" t="n">
        <f aca="false">RANK(E3583,$E$7:$E$4378)+COUNTIF($E$7:E3583,E3583)-1</f>
        <v>1616</v>
      </c>
    </row>
    <row r="3584" customFormat="false" ht="14.25" hidden="false" customHeight="true" outlineLevel="0" collapsed="false">
      <c r="A3584" s="51" t="n">
        <v>17198</v>
      </c>
      <c r="B3584" s="53" t="n">
        <v>40863.44375</v>
      </c>
      <c r="C3584" s="57" t="n">
        <f aca="false">INT($C$2)-INT(Table3[[#This Row],[Last Purchase Date]])</f>
        <v>24</v>
      </c>
      <c r="D3584" s="1" t="n">
        <v>3</v>
      </c>
      <c r="E3584" s="1" t="n">
        <v>692.22</v>
      </c>
      <c r="F3584" s="1" t="n">
        <f aca="false">ROUND((1-_xlfn.PERCENTRANK.INC($C$7:$C$4378,C3584))*9,0)</f>
        <v>6</v>
      </c>
      <c r="G3584" s="1" t="n">
        <f aca="false">ROUND(_xlfn.PERCENTRANK.INC($D$7:$D$4378,D3584)*9,0)</f>
        <v>4</v>
      </c>
      <c r="H3584" s="1" t="n">
        <f aca="false">ROUND(_xlfn.PERCENTRANK.INC($E$7:$E$4378,E3584)*9,0)</f>
        <v>5</v>
      </c>
      <c r="I3584" s="1" t="str">
        <f aca="false">CONCATENATE(F3584,G3584,H3584)</f>
        <v>645</v>
      </c>
      <c r="J3584" s="1" t="str">
        <f aca="false">_xlfn.IFS(AND(F3584&gt;=8,G3584&gt;=8,H3584&gt;=8),"CHAMPION",AND(F3584&gt;=6,G3584&gt;=7,H3584&gt;=6),"LOYAL CUSTOMER",AND(F3584&gt;=6,G3584&gt;=5,H3584&gt;=5),"POTENTIAL LOYALIST",AND(F3584&gt;=8,G3584&lt;=2,H3584&gt;=5),"NEW CUSTOMERS",AND(F3584&gt;=6,G3584&lt;=2,H3584&gt;=3),"PROMISING",AND(F3584&gt;=3,G3584&gt;=3,H3584&gt;=3),"NEED ATTENTION",AND(F3584&lt;=4,G3584&gt;=6,H3584&gt;=6),"AT RISK",AND(F3584&lt;=2,G3584&gt;=8,H3584&gt;=8),"CAN'T LOSE THEM",AND(F3584&lt;=2,G3584&lt;=2,H3584&lt;=2),"HIBERNATING",TRUE(),"Other")</f>
        <v>NEED ATTENTION</v>
      </c>
      <c r="K3584" s="1" t="n">
        <f aca="false">RANK(E3584,$E$7:$E$4378)+COUNTIF($E$7:E3584,E3584)-1</f>
        <v>2077</v>
      </c>
    </row>
    <row r="3585" customFormat="false" ht="14.25" hidden="false" customHeight="true" outlineLevel="0" collapsed="false">
      <c r="A3585" s="51" t="n">
        <v>17201</v>
      </c>
      <c r="B3585" s="53" t="n">
        <v>40833.4965277778</v>
      </c>
      <c r="C3585" s="57" t="n">
        <f aca="false">INT($C$2)-INT(Table3[[#This Row],[Last Purchase Date]])</f>
        <v>54</v>
      </c>
      <c r="D3585" s="1" t="n">
        <v>1</v>
      </c>
      <c r="E3585" s="1" t="n">
        <v>342.63</v>
      </c>
      <c r="F3585" s="1" t="n">
        <f aca="false">ROUND((1-_xlfn.PERCENTRANK.INC($C$7:$C$4378,C3585))*9,0)</f>
        <v>4</v>
      </c>
      <c r="G3585" s="1" t="n">
        <f aca="false">ROUND(_xlfn.PERCENTRANK.INC($D$7:$D$4378,D3585)*9,0)</f>
        <v>0</v>
      </c>
      <c r="H3585" s="1" t="n">
        <f aca="false">ROUND(_xlfn.PERCENTRANK.INC($E$7:$E$4378,E3585)*9,0)</f>
        <v>3</v>
      </c>
      <c r="I3585" s="1" t="str">
        <f aca="false">CONCATENATE(F3585,G3585,H3585)</f>
        <v>403</v>
      </c>
      <c r="J3585" s="1" t="str">
        <f aca="false">_xlfn.IFS(AND(F3585&gt;=8,G3585&gt;=8,H3585&gt;=8),"CHAMPION",AND(F3585&gt;=6,G3585&gt;=7,H3585&gt;=6),"LOYAL CUSTOMER",AND(F3585&gt;=6,G3585&gt;=5,H3585&gt;=5),"POTENTIAL LOYALIST",AND(F3585&gt;=8,G3585&lt;=2,H3585&gt;=5),"NEW CUSTOMERS",AND(F3585&gt;=6,G3585&lt;=2,H3585&gt;=3),"PROMISING",AND(F3585&gt;=3,G3585&gt;=3,H3585&gt;=3),"NEED ATTENTION",AND(F3585&lt;=4,G3585&gt;=6,H3585&gt;=6),"AT RISK",AND(F3585&lt;=2,G3585&gt;=8,H3585&gt;=8),"CAN'T LOSE THEM",AND(F3585&lt;=2,G3585&lt;=2,H3585&lt;=2),"HIBERNATING",TRUE(),"Other")</f>
        <v>Other</v>
      </c>
      <c r="K3585" s="1" t="n">
        <f aca="false">RANK(E3585,$E$7:$E$4378)+COUNTIF($E$7:E3585,E3585)-1</f>
        <v>3044</v>
      </c>
    </row>
    <row r="3586" customFormat="false" ht="14.25" hidden="false" customHeight="true" outlineLevel="0" collapsed="false">
      <c r="A3586" s="51" t="n">
        <v>17203</v>
      </c>
      <c r="B3586" s="53" t="n">
        <v>40851.51875</v>
      </c>
      <c r="C3586" s="57" t="n">
        <f aca="false">INT($C$2)-INT(Table3[[#This Row],[Last Purchase Date]])</f>
        <v>36</v>
      </c>
      <c r="D3586" s="1" t="n">
        <v>6</v>
      </c>
      <c r="E3586" s="1" t="n">
        <v>3563.85</v>
      </c>
      <c r="F3586" s="1" t="n">
        <f aca="false">ROUND((1-_xlfn.PERCENTRANK.INC($C$7:$C$4378,C3586))*9,0)</f>
        <v>5</v>
      </c>
      <c r="G3586" s="1" t="n">
        <f aca="false">ROUND(_xlfn.PERCENTRANK.INC($D$7:$D$4378,D3586)*9,0)</f>
        <v>7</v>
      </c>
      <c r="H3586" s="1" t="n">
        <f aca="false">ROUND(_xlfn.PERCENTRANK.INC($E$7:$E$4378,E3586)*9,0)</f>
        <v>8</v>
      </c>
      <c r="I3586" s="1" t="str">
        <f aca="false">CONCATENATE(F3586,G3586,H3586)</f>
        <v>578</v>
      </c>
      <c r="J3586" s="1" t="str">
        <f aca="false">_xlfn.IFS(AND(F3586&gt;=8,G3586&gt;=8,H3586&gt;=8),"CHAMPION",AND(F3586&gt;=6,G3586&gt;=7,H3586&gt;=6),"LOYAL CUSTOMER",AND(F3586&gt;=6,G3586&gt;=5,H3586&gt;=5),"POTENTIAL LOYALIST",AND(F3586&gt;=8,G3586&lt;=2,H3586&gt;=5),"NEW CUSTOMERS",AND(F3586&gt;=6,G3586&lt;=2,H3586&gt;=3),"PROMISING",AND(F3586&gt;=3,G3586&gt;=3,H3586&gt;=3),"NEED ATTENTION",AND(F3586&lt;=4,G3586&gt;=6,H3586&gt;=6),"AT RISK",AND(F3586&lt;=2,G3586&gt;=8,H3586&gt;=8),"CAN'T LOSE THEM",AND(F3586&lt;=2,G3586&lt;=2,H3586&lt;=2),"HIBERNATING",TRUE(),"Other")</f>
        <v>NEED ATTENTION</v>
      </c>
      <c r="K3586" s="1" t="n">
        <f aca="false">RANK(E3586,$E$7:$E$4378)+COUNTIF($E$7:E3586,E3586)-1</f>
        <v>425</v>
      </c>
    </row>
    <row r="3587" customFormat="false" ht="14.25" hidden="false" customHeight="true" outlineLevel="0" collapsed="false">
      <c r="A3587" s="51" t="n">
        <v>17204</v>
      </c>
      <c r="B3587" s="53" t="n">
        <v>40717.5791666667</v>
      </c>
      <c r="C3587" s="57" t="n">
        <f aca="false">INT($C$2)-INT(Table3[[#This Row],[Last Purchase Date]])</f>
        <v>170</v>
      </c>
      <c r="D3587" s="1" t="n">
        <v>9</v>
      </c>
      <c r="E3587" s="1" t="n">
        <v>1352.91</v>
      </c>
      <c r="F3587" s="1" t="n">
        <f aca="false">ROUND((1-_xlfn.PERCENTRANK.INC($C$7:$C$4378,C3587))*9,0)</f>
        <v>2</v>
      </c>
      <c r="G3587" s="1" t="n">
        <f aca="false">ROUND(_xlfn.PERCENTRANK.INC($D$7:$D$4378,D3587)*9,0)</f>
        <v>8</v>
      </c>
      <c r="H3587" s="1" t="n">
        <f aca="false">ROUND(_xlfn.PERCENTRANK.INC($E$7:$E$4378,E3587)*9,0)</f>
        <v>6</v>
      </c>
      <c r="I3587" s="1" t="str">
        <f aca="false">CONCATENATE(F3587,G3587,H3587)</f>
        <v>286</v>
      </c>
      <c r="J3587" s="1" t="str">
        <f aca="false">_xlfn.IFS(AND(F3587&gt;=8,G3587&gt;=8,H3587&gt;=8),"CHAMPION",AND(F3587&gt;=6,G3587&gt;=7,H3587&gt;=6),"LOYAL CUSTOMER",AND(F3587&gt;=6,G3587&gt;=5,H3587&gt;=5),"POTENTIAL LOYALIST",AND(F3587&gt;=8,G3587&lt;=2,H3587&gt;=5),"NEW CUSTOMERS",AND(F3587&gt;=6,G3587&lt;=2,H3587&gt;=3),"PROMISING",AND(F3587&gt;=3,G3587&gt;=3,H3587&gt;=3),"NEED ATTENTION",AND(F3587&lt;=4,G3587&gt;=6,H3587&gt;=6),"AT RISK",AND(F3587&lt;=2,G3587&gt;=8,H3587&gt;=8),"CAN'T LOSE THEM",AND(F3587&lt;=2,G3587&lt;=2,H3587&lt;=2),"HIBERNATING",TRUE(),"Other")</f>
        <v>AT RISK</v>
      </c>
      <c r="K3587" s="1" t="n">
        <f aca="false">RANK(E3587,$E$7:$E$4378)+COUNTIF($E$7:E3587,E3587)-1</f>
        <v>1270</v>
      </c>
    </row>
    <row r="3588" customFormat="false" ht="14.25" hidden="false" customHeight="true" outlineLevel="0" collapsed="false">
      <c r="A3588" s="51" t="n">
        <v>17205</v>
      </c>
      <c r="B3588" s="53" t="n">
        <v>40833.5319444445</v>
      </c>
      <c r="C3588" s="57" t="n">
        <f aca="false">INT($C$2)-INT(Table3[[#This Row],[Last Purchase Date]])</f>
        <v>54</v>
      </c>
      <c r="D3588" s="1" t="n">
        <v>1</v>
      </c>
      <c r="E3588" s="1" t="n">
        <v>384.08</v>
      </c>
      <c r="F3588" s="1" t="n">
        <f aca="false">ROUND((1-_xlfn.PERCENTRANK.INC($C$7:$C$4378,C3588))*9,0)</f>
        <v>4</v>
      </c>
      <c r="G3588" s="1" t="n">
        <f aca="false">ROUND(_xlfn.PERCENTRANK.INC($D$7:$D$4378,D3588)*9,0)</f>
        <v>0</v>
      </c>
      <c r="H3588" s="1" t="n">
        <f aca="false">ROUND(_xlfn.PERCENTRANK.INC($E$7:$E$4378,E3588)*9,0)</f>
        <v>3</v>
      </c>
      <c r="I3588" s="1" t="str">
        <f aca="false">CONCATENATE(F3588,G3588,H3588)</f>
        <v>403</v>
      </c>
      <c r="J3588" s="1" t="str">
        <f aca="false">_xlfn.IFS(AND(F3588&gt;=8,G3588&gt;=8,H3588&gt;=8),"CHAMPION",AND(F3588&gt;=6,G3588&gt;=7,H3588&gt;=6),"LOYAL CUSTOMER",AND(F3588&gt;=6,G3588&gt;=5,H3588&gt;=5),"POTENTIAL LOYALIST",AND(F3588&gt;=8,G3588&lt;=2,H3588&gt;=5),"NEW CUSTOMERS",AND(F3588&gt;=6,G3588&lt;=2,H3588&gt;=3),"PROMISING",AND(F3588&gt;=3,G3588&gt;=3,H3588&gt;=3),"NEED ATTENTION",AND(F3588&lt;=4,G3588&gt;=6,H3588&gt;=6),"AT RISK",AND(F3588&lt;=2,G3588&gt;=8,H3588&gt;=8),"CAN'T LOSE THEM",AND(F3588&lt;=2,G3588&lt;=2,H3588&lt;=2),"HIBERNATING",TRUE(),"Other")</f>
        <v>Other</v>
      </c>
      <c r="K3588" s="1" t="n">
        <f aca="false">RANK(E3588,$E$7:$E$4378)+COUNTIF($E$7:E3588,E3588)-1</f>
        <v>2870</v>
      </c>
    </row>
    <row r="3589" customFormat="false" ht="14.25" hidden="false" customHeight="true" outlineLevel="0" collapsed="false">
      <c r="A3589" s="51" t="n">
        <v>17206</v>
      </c>
      <c r="B3589" s="53" t="n">
        <v>40833.5590277778</v>
      </c>
      <c r="C3589" s="57" t="n">
        <f aca="false">INT($C$2)-INT(Table3[[#This Row],[Last Purchase Date]])</f>
        <v>54</v>
      </c>
      <c r="D3589" s="1" t="n">
        <v>1</v>
      </c>
      <c r="E3589" s="1" t="n">
        <v>204.24</v>
      </c>
      <c r="F3589" s="1" t="n">
        <f aca="false">ROUND((1-_xlfn.PERCENTRANK.INC($C$7:$C$4378,C3589))*9,0)</f>
        <v>4</v>
      </c>
      <c r="G3589" s="1" t="n">
        <f aca="false">ROUND(_xlfn.PERCENTRANK.INC($D$7:$D$4378,D3589)*9,0)</f>
        <v>0</v>
      </c>
      <c r="H3589" s="1" t="n">
        <f aca="false">ROUND(_xlfn.PERCENTRANK.INC($E$7:$E$4378,E3589)*9,0)</f>
        <v>2</v>
      </c>
      <c r="I3589" s="1" t="str">
        <f aca="false">CONCATENATE(F3589,G3589,H3589)</f>
        <v>402</v>
      </c>
      <c r="J3589" s="1" t="str">
        <f aca="false">_xlfn.IFS(AND(F3589&gt;=8,G3589&gt;=8,H3589&gt;=8),"CHAMPION",AND(F3589&gt;=6,G3589&gt;=7,H3589&gt;=6),"LOYAL CUSTOMER",AND(F3589&gt;=6,G3589&gt;=5,H3589&gt;=5),"POTENTIAL LOYALIST",AND(F3589&gt;=8,G3589&lt;=2,H3589&gt;=5),"NEW CUSTOMERS",AND(F3589&gt;=6,G3589&lt;=2,H3589&gt;=3),"PROMISING",AND(F3589&gt;=3,G3589&gt;=3,H3589&gt;=3),"NEED ATTENTION",AND(F3589&lt;=4,G3589&gt;=6,H3589&gt;=6),"AT RISK",AND(F3589&lt;=2,G3589&gt;=8,H3589&gt;=8),"CAN'T LOSE THEM",AND(F3589&lt;=2,G3589&lt;=2,H3589&lt;=2),"HIBERNATING",TRUE(),"Other")</f>
        <v>Other</v>
      </c>
      <c r="K3589" s="1" t="n">
        <f aca="false">RANK(E3589,$E$7:$E$4378)+COUNTIF($E$7:E3589,E3589)-1</f>
        <v>3640</v>
      </c>
    </row>
    <row r="3590" customFormat="false" ht="14.25" hidden="false" customHeight="true" outlineLevel="0" collapsed="false">
      <c r="A3590" s="51" t="n">
        <v>17211</v>
      </c>
      <c r="B3590" s="53" t="n">
        <v>40860.5020833333</v>
      </c>
      <c r="C3590" s="57" t="n">
        <f aca="false">INT($C$2)-INT(Table3[[#This Row],[Last Purchase Date]])</f>
        <v>27</v>
      </c>
      <c r="D3590" s="1" t="n">
        <v>9</v>
      </c>
      <c r="E3590" s="1" t="n">
        <v>2299.67</v>
      </c>
      <c r="F3590" s="1" t="n">
        <f aca="false">ROUND((1-_xlfn.PERCENTRANK.INC($C$7:$C$4378,C3590))*9,0)</f>
        <v>6</v>
      </c>
      <c r="G3590" s="1" t="n">
        <f aca="false">ROUND(_xlfn.PERCENTRANK.INC($D$7:$D$4378,D3590)*9,0)</f>
        <v>8</v>
      </c>
      <c r="H3590" s="1" t="n">
        <f aca="false">ROUND(_xlfn.PERCENTRANK.INC($E$7:$E$4378,E3590)*9,0)</f>
        <v>7</v>
      </c>
      <c r="I3590" s="1" t="str">
        <f aca="false">CONCATENATE(F3590,G3590,H3590)</f>
        <v>687</v>
      </c>
      <c r="J3590" s="1" t="str">
        <f aca="false">_xlfn.IFS(AND(F3590&gt;=8,G3590&gt;=8,H3590&gt;=8),"CHAMPION",AND(F3590&gt;=6,G3590&gt;=7,H3590&gt;=6),"LOYAL CUSTOMER",AND(F3590&gt;=6,G3590&gt;=5,H3590&gt;=5),"POTENTIAL LOYALIST",AND(F3590&gt;=8,G3590&lt;=2,H3590&gt;=5),"NEW CUSTOMERS",AND(F3590&gt;=6,G3590&lt;=2,H3590&gt;=3),"PROMISING",AND(F3590&gt;=3,G3590&gt;=3,H3590&gt;=3),"NEED ATTENTION",AND(F3590&lt;=4,G3590&gt;=6,H3590&gt;=6),"AT RISK",AND(F3590&lt;=2,G3590&gt;=8,H3590&gt;=8),"CAN'T LOSE THEM",AND(F3590&lt;=2,G3590&lt;=2,H3590&lt;=2),"HIBERNATING",TRUE(),"Other")</f>
        <v>LOYAL CUSTOMER</v>
      </c>
      <c r="K3590" s="1" t="n">
        <f aca="false">RANK(E3590,$E$7:$E$4378)+COUNTIF($E$7:E3590,E3590)-1</f>
        <v>741</v>
      </c>
    </row>
    <row r="3591" customFormat="false" ht="14.25" hidden="false" customHeight="true" outlineLevel="0" collapsed="false">
      <c r="A3591" s="51" t="n">
        <v>17212</v>
      </c>
      <c r="B3591" s="53" t="n">
        <v>40633.8208333333</v>
      </c>
      <c r="C3591" s="57" t="n">
        <f aca="false">INT($C$2)-INT(Table3[[#This Row],[Last Purchase Date]])</f>
        <v>254</v>
      </c>
      <c r="D3591" s="1" t="n">
        <v>1</v>
      </c>
      <c r="E3591" s="1" t="n">
        <v>226.85</v>
      </c>
      <c r="F3591" s="1" t="n">
        <f aca="false">ROUND((1-_xlfn.PERCENTRANK.INC($C$7:$C$4378,C3591))*9,0)</f>
        <v>1</v>
      </c>
      <c r="G3591" s="1" t="n">
        <f aca="false">ROUND(_xlfn.PERCENTRANK.INC($D$7:$D$4378,D3591)*9,0)</f>
        <v>0</v>
      </c>
      <c r="H3591" s="1" t="n">
        <f aca="false">ROUND(_xlfn.PERCENTRANK.INC($E$7:$E$4378,E3591)*9,0)</f>
        <v>2</v>
      </c>
      <c r="I3591" s="1" t="str">
        <f aca="false">CONCATENATE(F3591,G3591,H3591)</f>
        <v>102</v>
      </c>
      <c r="J3591" s="1" t="str">
        <f aca="false">_xlfn.IFS(AND(F3591&gt;=8,G3591&gt;=8,H3591&gt;=8),"CHAMPION",AND(F3591&gt;=6,G3591&gt;=7,H3591&gt;=6),"LOYAL CUSTOMER",AND(F3591&gt;=6,G3591&gt;=5,H3591&gt;=5),"POTENTIAL LOYALIST",AND(F3591&gt;=8,G3591&lt;=2,H3591&gt;=5),"NEW CUSTOMERS",AND(F3591&gt;=6,G3591&lt;=2,H3591&gt;=3),"PROMISING",AND(F3591&gt;=3,G3591&gt;=3,H3591&gt;=3),"NEED ATTENTION",AND(F3591&lt;=4,G3591&gt;=6,H3591&gt;=6),"AT RISK",AND(F3591&lt;=2,G3591&gt;=8,H3591&gt;=8),"CAN'T LOSE THEM",AND(F3591&lt;=2,G3591&lt;=2,H3591&lt;=2),"HIBERNATING",TRUE(),"Other")</f>
        <v>HIBERNATING</v>
      </c>
      <c r="K3591" s="1" t="n">
        <f aca="false">RANK(E3591,$E$7:$E$4378)+COUNTIF($E$7:E3591,E3591)-1</f>
        <v>3530</v>
      </c>
    </row>
    <row r="3592" customFormat="false" ht="14.25" hidden="false" customHeight="true" outlineLevel="0" collapsed="false">
      <c r="A3592" s="51" t="n">
        <v>17213</v>
      </c>
      <c r="B3592" s="53" t="n">
        <v>40846.6201388889</v>
      </c>
      <c r="C3592" s="57" t="n">
        <f aca="false">INT($C$2)-INT(Table3[[#This Row],[Last Purchase Date]])</f>
        <v>41</v>
      </c>
      <c r="D3592" s="1" t="n">
        <v>11</v>
      </c>
      <c r="E3592" s="1" t="n">
        <v>2741.08</v>
      </c>
      <c r="F3592" s="1" t="n">
        <f aca="false">ROUND((1-_xlfn.PERCENTRANK.INC($C$7:$C$4378,C3592))*9,0)</f>
        <v>5</v>
      </c>
      <c r="G3592" s="1" t="n">
        <f aca="false">ROUND(_xlfn.PERCENTRANK.INC($D$7:$D$4378,D3592)*9,0)</f>
        <v>8</v>
      </c>
      <c r="H3592" s="1" t="n">
        <f aca="false">ROUND(_xlfn.PERCENTRANK.INC($E$7:$E$4378,E3592)*9,0)</f>
        <v>8</v>
      </c>
      <c r="I3592" s="1" t="str">
        <f aca="false">CONCATENATE(F3592,G3592,H3592)</f>
        <v>588</v>
      </c>
      <c r="J3592" s="1" t="str">
        <f aca="false">_xlfn.IFS(AND(F3592&gt;=8,G3592&gt;=8,H3592&gt;=8),"CHAMPION",AND(F3592&gt;=6,G3592&gt;=7,H3592&gt;=6),"LOYAL CUSTOMER",AND(F3592&gt;=6,G3592&gt;=5,H3592&gt;=5),"POTENTIAL LOYALIST",AND(F3592&gt;=8,G3592&lt;=2,H3592&gt;=5),"NEW CUSTOMERS",AND(F3592&gt;=6,G3592&lt;=2,H3592&gt;=3),"PROMISING",AND(F3592&gt;=3,G3592&gt;=3,H3592&gt;=3),"NEED ATTENTION",AND(F3592&lt;=4,G3592&gt;=6,H3592&gt;=6),"AT RISK",AND(F3592&lt;=2,G3592&gt;=8,H3592&gt;=8),"CAN'T LOSE THEM",AND(F3592&lt;=2,G3592&lt;=2,H3592&lt;=2),"HIBERNATING",TRUE(),"Other")</f>
        <v>NEED ATTENTION</v>
      </c>
      <c r="K3592" s="1" t="n">
        <f aca="false">RANK(E3592,$E$7:$E$4378)+COUNTIF($E$7:E3592,E3592)-1</f>
        <v>606</v>
      </c>
    </row>
    <row r="3593" customFormat="false" ht="14.25" hidden="false" customHeight="true" outlineLevel="0" collapsed="false">
      <c r="A3593" s="51" t="n">
        <v>17214</v>
      </c>
      <c r="B3593" s="53" t="n">
        <v>40826.5534722222</v>
      </c>
      <c r="C3593" s="57" t="n">
        <f aca="false">INT($C$2)-INT(Table3[[#This Row],[Last Purchase Date]])</f>
        <v>61</v>
      </c>
      <c r="D3593" s="1" t="n">
        <v>7</v>
      </c>
      <c r="E3593" s="1" t="n">
        <v>984.12</v>
      </c>
      <c r="F3593" s="1" t="n">
        <f aca="false">ROUND((1-_xlfn.PERCENTRANK.INC($C$7:$C$4378,C3593))*9,0)</f>
        <v>4</v>
      </c>
      <c r="G3593" s="1" t="n">
        <f aca="false">ROUND(_xlfn.PERCENTRANK.INC($D$7:$D$4378,D3593)*9,0)</f>
        <v>7</v>
      </c>
      <c r="H3593" s="1" t="n">
        <f aca="false">ROUND(_xlfn.PERCENTRANK.INC($E$7:$E$4378,E3593)*9,0)</f>
        <v>6</v>
      </c>
      <c r="I3593" s="1" t="str">
        <f aca="false">CONCATENATE(F3593,G3593,H3593)</f>
        <v>476</v>
      </c>
      <c r="J3593" s="1" t="str">
        <f aca="false">_xlfn.IFS(AND(F3593&gt;=8,G3593&gt;=8,H3593&gt;=8),"CHAMPION",AND(F3593&gt;=6,G3593&gt;=7,H3593&gt;=6),"LOYAL CUSTOMER",AND(F3593&gt;=6,G3593&gt;=5,H3593&gt;=5),"POTENTIAL LOYALIST",AND(F3593&gt;=8,G3593&lt;=2,H3593&gt;=5),"NEW CUSTOMERS",AND(F3593&gt;=6,G3593&lt;=2,H3593&gt;=3),"PROMISING",AND(F3593&gt;=3,G3593&gt;=3,H3593&gt;=3),"NEED ATTENTION",AND(F3593&lt;=4,G3593&gt;=6,H3593&gt;=6),"AT RISK",AND(F3593&lt;=2,G3593&gt;=8,H3593&gt;=8),"CAN'T LOSE THEM",AND(F3593&lt;=2,G3593&lt;=2,H3593&lt;=2),"HIBERNATING",TRUE(),"Other")</f>
        <v>NEED ATTENTION</v>
      </c>
      <c r="K3593" s="1" t="n">
        <f aca="false">RANK(E3593,$E$7:$E$4378)+COUNTIF($E$7:E3593,E3593)-1</f>
        <v>1653</v>
      </c>
    </row>
    <row r="3594" customFormat="false" ht="14.25" hidden="false" customHeight="true" outlineLevel="0" collapsed="false">
      <c r="A3594" s="51" t="n">
        <v>17217</v>
      </c>
      <c r="B3594" s="53" t="n">
        <v>40652.7215277778</v>
      </c>
      <c r="C3594" s="57" t="n">
        <f aca="false">INT($C$2)-INT(Table3[[#This Row],[Last Purchase Date]])</f>
        <v>235</v>
      </c>
      <c r="D3594" s="1" t="n">
        <v>1</v>
      </c>
      <c r="E3594" s="1" t="n">
        <v>113.5</v>
      </c>
      <c r="F3594" s="1" t="n">
        <f aca="false">ROUND((1-_xlfn.PERCENTRANK.INC($C$7:$C$4378,C3594))*9,0)</f>
        <v>1</v>
      </c>
      <c r="G3594" s="1" t="n">
        <f aca="false">ROUND(_xlfn.PERCENTRANK.INC($D$7:$D$4378,D3594)*9,0)</f>
        <v>0</v>
      </c>
      <c r="H3594" s="1" t="n">
        <f aca="false">ROUND(_xlfn.PERCENTRANK.INC($E$7:$E$4378,E3594)*9,0)</f>
        <v>1</v>
      </c>
      <c r="I3594" s="1" t="str">
        <f aca="false">CONCATENATE(F3594,G3594,H3594)</f>
        <v>101</v>
      </c>
      <c r="J3594" s="1" t="str">
        <f aca="false">_xlfn.IFS(AND(F3594&gt;=8,G3594&gt;=8,H3594&gt;=8),"CHAMPION",AND(F3594&gt;=6,G3594&gt;=7,H3594&gt;=6),"LOYAL CUSTOMER",AND(F3594&gt;=6,G3594&gt;=5,H3594&gt;=5),"POTENTIAL LOYALIST",AND(F3594&gt;=8,G3594&lt;=2,H3594&gt;=5),"NEW CUSTOMERS",AND(F3594&gt;=6,G3594&lt;=2,H3594&gt;=3),"PROMISING",AND(F3594&gt;=3,G3594&gt;=3,H3594&gt;=3),"NEED ATTENTION",AND(F3594&lt;=4,G3594&gt;=6,H3594&gt;=6),"AT RISK",AND(F3594&lt;=2,G3594&gt;=8,H3594&gt;=8),"CAN'T LOSE THEM",AND(F3594&lt;=2,G3594&lt;=2,H3594&lt;=2),"HIBERNATING",TRUE(),"Other")</f>
        <v>HIBERNATING</v>
      </c>
      <c r="K3594" s="1" t="n">
        <f aca="false">RANK(E3594,$E$7:$E$4378)+COUNTIF($E$7:E3594,E3594)-1</f>
        <v>4087</v>
      </c>
    </row>
    <row r="3595" customFormat="false" ht="14.25" hidden="false" customHeight="true" outlineLevel="0" collapsed="false">
      <c r="A3595" s="51" t="n">
        <v>17218</v>
      </c>
      <c r="B3595" s="53" t="n">
        <v>40882.5777777778</v>
      </c>
      <c r="C3595" s="57" t="n">
        <f aca="false">INT($C$2)-INT(Table3[[#This Row],[Last Purchase Date]])</f>
        <v>5</v>
      </c>
      <c r="D3595" s="1" t="n">
        <v>10</v>
      </c>
      <c r="E3595" s="1" t="n">
        <v>1960.72</v>
      </c>
      <c r="F3595" s="1" t="n">
        <f aca="false">ROUND((1-_xlfn.PERCENTRANK.INC($C$7:$C$4378,C3595))*9,0)</f>
        <v>8</v>
      </c>
      <c r="G3595" s="1" t="n">
        <f aca="false">ROUND(_xlfn.PERCENTRANK.INC($D$7:$D$4378,D3595)*9,0)</f>
        <v>8</v>
      </c>
      <c r="H3595" s="1" t="n">
        <f aca="false">ROUND(_xlfn.PERCENTRANK.INC($E$7:$E$4378,E3595)*9,0)</f>
        <v>7</v>
      </c>
      <c r="I3595" s="1" t="str">
        <f aca="false">CONCATENATE(F3595,G3595,H3595)</f>
        <v>887</v>
      </c>
      <c r="J3595" s="1" t="str">
        <f aca="false">_xlfn.IFS(AND(F3595&gt;=8,G3595&gt;=8,H3595&gt;=8),"CHAMPION",AND(F3595&gt;=6,G3595&gt;=7,H3595&gt;=6),"LOYAL CUSTOMER",AND(F3595&gt;=6,G3595&gt;=5,H3595&gt;=5),"POTENTIAL LOYALIST",AND(F3595&gt;=8,G3595&lt;=2,H3595&gt;=5),"NEW CUSTOMERS",AND(F3595&gt;=6,G3595&lt;=2,H3595&gt;=3),"PROMISING",AND(F3595&gt;=3,G3595&gt;=3,H3595&gt;=3),"NEED ATTENTION",AND(F3595&lt;=4,G3595&gt;=6,H3595&gt;=6),"AT RISK",AND(F3595&lt;=2,G3595&gt;=8,H3595&gt;=8),"CAN'T LOSE THEM",AND(F3595&lt;=2,G3595&lt;=2,H3595&lt;=2),"HIBERNATING",TRUE(),"Other")</f>
        <v>LOYAL CUSTOMER</v>
      </c>
      <c r="K3595" s="1" t="n">
        <f aca="false">RANK(E3595,$E$7:$E$4378)+COUNTIF($E$7:E3595,E3595)-1</f>
        <v>893</v>
      </c>
    </row>
    <row r="3596" customFormat="false" ht="14.25" hidden="false" customHeight="true" outlineLevel="0" collapsed="false">
      <c r="A3596" s="51" t="n">
        <v>17219</v>
      </c>
      <c r="B3596" s="53" t="n">
        <v>40855.4756944445</v>
      </c>
      <c r="C3596" s="57" t="n">
        <f aca="false">INT($C$2)-INT(Table3[[#This Row],[Last Purchase Date]])</f>
        <v>32</v>
      </c>
      <c r="D3596" s="1" t="n">
        <v>1</v>
      </c>
      <c r="E3596" s="1" t="n">
        <v>114.23</v>
      </c>
      <c r="F3596" s="1" t="n">
        <f aca="false">ROUND((1-_xlfn.PERCENTRANK.INC($C$7:$C$4378,C3596))*9,0)</f>
        <v>5</v>
      </c>
      <c r="G3596" s="1" t="n">
        <f aca="false">ROUND(_xlfn.PERCENTRANK.INC($D$7:$D$4378,D3596)*9,0)</f>
        <v>0</v>
      </c>
      <c r="H3596" s="1" t="n">
        <f aca="false">ROUND(_xlfn.PERCENTRANK.INC($E$7:$E$4378,E3596)*9,0)</f>
        <v>1</v>
      </c>
      <c r="I3596" s="1" t="str">
        <f aca="false">CONCATENATE(F3596,G3596,H3596)</f>
        <v>501</v>
      </c>
      <c r="J3596" s="1" t="str">
        <f aca="false">_xlfn.IFS(AND(F3596&gt;=8,G3596&gt;=8,H3596&gt;=8),"CHAMPION",AND(F3596&gt;=6,G3596&gt;=7,H3596&gt;=6),"LOYAL CUSTOMER",AND(F3596&gt;=6,G3596&gt;=5,H3596&gt;=5),"POTENTIAL LOYALIST",AND(F3596&gt;=8,G3596&lt;=2,H3596&gt;=5),"NEW CUSTOMERS",AND(F3596&gt;=6,G3596&lt;=2,H3596&gt;=3),"PROMISING",AND(F3596&gt;=3,G3596&gt;=3,H3596&gt;=3),"NEED ATTENTION",AND(F3596&lt;=4,G3596&gt;=6,H3596&gt;=6),"AT RISK",AND(F3596&lt;=2,G3596&gt;=8,H3596&gt;=8),"CAN'T LOSE THEM",AND(F3596&lt;=2,G3596&lt;=2,H3596&lt;=2),"HIBERNATING",TRUE(),"Other")</f>
        <v>Other</v>
      </c>
      <c r="K3596" s="1" t="n">
        <f aca="false">RANK(E3596,$E$7:$E$4378)+COUNTIF($E$7:E3596,E3596)-1</f>
        <v>4078</v>
      </c>
    </row>
    <row r="3597" customFormat="false" ht="14.25" hidden="false" customHeight="true" outlineLevel="0" collapsed="false">
      <c r="A3597" s="51" t="n">
        <v>17220</v>
      </c>
      <c r="B3597" s="53" t="n">
        <v>40862.5743055556</v>
      </c>
      <c r="C3597" s="57" t="n">
        <f aca="false">INT($C$2)-INT(Table3[[#This Row],[Last Purchase Date]])</f>
        <v>25</v>
      </c>
      <c r="D3597" s="1" t="n">
        <v>14</v>
      </c>
      <c r="E3597" s="1" t="n">
        <v>3198.25</v>
      </c>
      <c r="F3597" s="1" t="n">
        <f aca="false">ROUND((1-_xlfn.PERCENTRANK.INC($C$7:$C$4378,C3597))*9,0)</f>
        <v>6</v>
      </c>
      <c r="G3597" s="1" t="n">
        <f aca="false">ROUND(_xlfn.PERCENTRANK.INC($D$7:$D$4378,D3597)*9,0)</f>
        <v>8</v>
      </c>
      <c r="H3597" s="1" t="n">
        <f aca="false">ROUND(_xlfn.PERCENTRANK.INC($E$7:$E$4378,E3597)*9,0)</f>
        <v>8</v>
      </c>
      <c r="I3597" s="1" t="str">
        <f aca="false">CONCATENATE(F3597,G3597,H3597)</f>
        <v>688</v>
      </c>
      <c r="J3597" s="1" t="str">
        <f aca="false">_xlfn.IFS(AND(F3597&gt;=8,G3597&gt;=8,H3597&gt;=8),"CHAMPION",AND(F3597&gt;=6,G3597&gt;=7,H3597&gt;=6),"LOYAL CUSTOMER",AND(F3597&gt;=6,G3597&gt;=5,H3597&gt;=5),"POTENTIAL LOYALIST",AND(F3597&gt;=8,G3597&lt;=2,H3597&gt;=5),"NEW CUSTOMERS",AND(F3597&gt;=6,G3597&lt;=2,H3597&gt;=3),"PROMISING",AND(F3597&gt;=3,G3597&gt;=3,H3597&gt;=3),"NEED ATTENTION",AND(F3597&lt;=4,G3597&gt;=6,H3597&gt;=6),"AT RISK",AND(F3597&lt;=2,G3597&gt;=8,H3597&gt;=8),"CAN'T LOSE THEM",AND(F3597&lt;=2,G3597&lt;=2,H3597&lt;=2),"HIBERNATING",TRUE(),"Other")</f>
        <v>LOYAL CUSTOMER</v>
      </c>
      <c r="K3597" s="1" t="n">
        <f aca="false">RANK(E3597,$E$7:$E$4378)+COUNTIF($E$7:E3597,E3597)-1</f>
        <v>493</v>
      </c>
    </row>
    <row r="3598" customFormat="false" ht="14.25" hidden="false" customHeight="true" outlineLevel="0" collapsed="false">
      <c r="A3598" s="51" t="n">
        <v>17221</v>
      </c>
      <c r="B3598" s="53" t="n">
        <v>40879.5659722222</v>
      </c>
      <c r="C3598" s="57" t="n">
        <f aca="false">INT($C$2)-INT(Table3[[#This Row],[Last Purchase Date]])</f>
        <v>8</v>
      </c>
      <c r="D3598" s="1" t="n">
        <v>2</v>
      </c>
      <c r="E3598" s="1" t="n">
        <v>335.13</v>
      </c>
      <c r="F3598" s="1" t="n">
        <f aca="false">ROUND((1-_xlfn.PERCENTRANK.INC($C$7:$C$4378,C3598))*9,0)</f>
        <v>8</v>
      </c>
      <c r="G3598" s="1" t="n">
        <f aca="false">ROUND(_xlfn.PERCENTRANK.INC($D$7:$D$4378,D3598)*9,0)</f>
        <v>3</v>
      </c>
      <c r="H3598" s="1" t="n">
        <f aca="false">ROUND(_xlfn.PERCENTRANK.INC($E$7:$E$4378,E3598)*9,0)</f>
        <v>3</v>
      </c>
      <c r="I3598" s="1" t="str">
        <f aca="false">CONCATENATE(F3598,G3598,H3598)</f>
        <v>833</v>
      </c>
      <c r="J3598" s="1" t="str">
        <f aca="false">_xlfn.IFS(AND(F3598&gt;=8,G3598&gt;=8,H3598&gt;=8),"CHAMPION",AND(F3598&gt;=6,G3598&gt;=7,H3598&gt;=6),"LOYAL CUSTOMER",AND(F3598&gt;=6,G3598&gt;=5,H3598&gt;=5),"POTENTIAL LOYALIST",AND(F3598&gt;=8,G3598&lt;=2,H3598&gt;=5),"NEW CUSTOMERS",AND(F3598&gt;=6,G3598&lt;=2,H3598&gt;=3),"PROMISING",AND(F3598&gt;=3,G3598&gt;=3,H3598&gt;=3),"NEED ATTENTION",AND(F3598&lt;=4,G3598&gt;=6,H3598&gt;=6),"AT RISK",AND(F3598&lt;=2,G3598&gt;=8,H3598&gt;=8),"CAN'T LOSE THEM",AND(F3598&lt;=2,G3598&lt;=2,H3598&lt;=2),"HIBERNATING",TRUE(),"Other")</f>
        <v>NEED ATTENTION</v>
      </c>
      <c r="K3598" s="1" t="n">
        <f aca="false">RANK(E3598,$E$7:$E$4378)+COUNTIF($E$7:E3598,E3598)-1</f>
        <v>3072</v>
      </c>
    </row>
    <row r="3599" customFormat="false" ht="14.25" hidden="false" customHeight="true" outlineLevel="0" collapsed="false">
      <c r="A3599" s="51" t="n">
        <v>17222</v>
      </c>
      <c r="B3599" s="53" t="n">
        <v>40821.5819444444</v>
      </c>
      <c r="C3599" s="57" t="n">
        <f aca="false">INT($C$2)-INT(Table3[[#This Row],[Last Purchase Date]])</f>
        <v>66</v>
      </c>
      <c r="D3599" s="1" t="n">
        <v>1</v>
      </c>
      <c r="E3599" s="1" t="n">
        <v>354.15</v>
      </c>
      <c r="F3599" s="1" t="n">
        <f aca="false">ROUND((1-_xlfn.PERCENTRANK.INC($C$7:$C$4378,C3599))*9,0)</f>
        <v>4</v>
      </c>
      <c r="G3599" s="1" t="n">
        <f aca="false">ROUND(_xlfn.PERCENTRANK.INC($D$7:$D$4378,D3599)*9,0)</f>
        <v>0</v>
      </c>
      <c r="H3599" s="1" t="n">
        <f aca="false">ROUND(_xlfn.PERCENTRANK.INC($E$7:$E$4378,E3599)*9,0)</f>
        <v>3</v>
      </c>
      <c r="I3599" s="1" t="str">
        <f aca="false">CONCATENATE(F3599,G3599,H3599)</f>
        <v>403</v>
      </c>
      <c r="J3599" s="1" t="str">
        <f aca="false">_xlfn.IFS(AND(F3599&gt;=8,G3599&gt;=8,H3599&gt;=8),"CHAMPION",AND(F3599&gt;=6,G3599&gt;=7,H3599&gt;=6),"LOYAL CUSTOMER",AND(F3599&gt;=6,G3599&gt;=5,H3599&gt;=5),"POTENTIAL LOYALIST",AND(F3599&gt;=8,G3599&lt;=2,H3599&gt;=5),"NEW CUSTOMERS",AND(F3599&gt;=6,G3599&lt;=2,H3599&gt;=3),"PROMISING",AND(F3599&gt;=3,G3599&gt;=3,H3599&gt;=3),"NEED ATTENTION",AND(F3599&lt;=4,G3599&gt;=6,H3599&gt;=6),"AT RISK",AND(F3599&lt;=2,G3599&gt;=8,H3599&gt;=8),"CAN'T LOSE THEM",AND(F3599&lt;=2,G3599&lt;=2,H3599&lt;=2),"HIBERNATING",TRUE(),"Other")</f>
        <v>Other</v>
      </c>
      <c r="K3599" s="1" t="n">
        <f aca="false">RANK(E3599,$E$7:$E$4378)+COUNTIF($E$7:E3599,E3599)-1</f>
        <v>2986</v>
      </c>
    </row>
    <row r="3600" customFormat="false" ht="14.25" hidden="false" customHeight="true" outlineLevel="0" collapsed="false">
      <c r="A3600" s="51" t="n">
        <v>17223</v>
      </c>
      <c r="B3600" s="53" t="n">
        <v>40576.6645833333</v>
      </c>
      <c r="C3600" s="57" t="n">
        <f aca="false">INT($C$2)-INT(Table3[[#This Row],[Last Purchase Date]])</f>
        <v>311</v>
      </c>
      <c r="D3600" s="1" t="n">
        <v>2</v>
      </c>
      <c r="E3600" s="1" t="n">
        <v>426.79</v>
      </c>
      <c r="F3600" s="1" t="n">
        <f aca="false">ROUND((1-_xlfn.PERCENTRANK.INC($C$7:$C$4378,C3600))*9,0)</f>
        <v>0</v>
      </c>
      <c r="G3600" s="1" t="n">
        <f aca="false">ROUND(_xlfn.PERCENTRANK.INC($D$7:$D$4378,D3600)*9,0)</f>
        <v>3</v>
      </c>
      <c r="H3600" s="1" t="n">
        <f aca="false">ROUND(_xlfn.PERCENTRANK.INC($E$7:$E$4378,E3600)*9,0)</f>
        <v>3</v>
      </c>
      <c r="I3600" s="1" t="str">
        <f aca="false">CONCATENATE(F3600,G3600,H3600)</f>
        <v>033</v>
      </c>
      <c r="J3600" s="1" t="str">
        <f aca="false">_xlfn.IFS(AND(F3600&gt;=8,G3600&gt;=8,H3600&gt;=8),"CHAMPION",AND(F3600&gt;=6,G3600&gt;=7,H3600&gt;=6),"LOYAL CUSTOMER",AND(F3600&gt;=6,G3600&gt;=5,H3600&gt;=5),"POTENTIAL LOYALIST",AND(F3600&gt;=8,G3600&lt;=2,H3600&gt;=5),"NEW CUSTOMERS",AND(F3600&gt;=6,G3600&lt;=2,H3600&gt;=3),"PROMISING",AND(F3600&gt;=3,G3600&gt;=3,H3600&gt;=3),"NEED ATTENTION",AND(F3600&lt;=4,G3600&gt;=6,H3600&gt;=6),"AT RISK",AND(F3600&lt;=2,G3600&gt;=8,H3600&gt;=8),"CAN'T LOSE THEM",AND(F3600&lt;=2,G3600&lt;=2,H3600&lt;=2),"HIBERNATING",TRUE(),"Other")</f>
        <v>Other</v>
      </c>
      <c r="K3600" s="1" t="n">
        <f aca="false">RANK(E3600,$E$7:$E$4378)+COUNTIF($E$7:E3600,E3600)-1</f>
        <v>2734</v>
      </c>
    </row>
    <row r="3601" customFormat="false" ht="14.25" hidden="false" customHeight="true" outlineLevel="0" collapsed="false">
      <c r="A3601" s="51" t="n">
        <v>17226</v>
      </c>
      <c r="B3601" s="53" t="n">
        <v>40578.4944444444</v>
      </c>
      <c r="C3601" s="57" t="n">
        <f aca="false">INT($C$2)-INT(Table3[[#This Row],[Last Purchase Date]])</f>
        <v>309</v>
      </c>
      <c r="D3601" s="1" t="n">
        <v>1</v>
      </c>
      <c r="E3601" s="1" t="n">
        <v>393.49</v>
      </c>
      <c r="F3601" s="1" t="n">
        <f aca="false">ROUND((1-_xlfn.PERCENTRANK.INC($C$7:$C$4378,C3601))*9,0)</f>
        <v>1</v>
      </c>
      <c r="G3601" s="1" t="n">
        <f aca="false">ROUND(_xlfn.PERCENTRANK.INC($D$7:$D$4378,D3601)*9,0)</f>
        <v>0</v>
      </c>
      <c r="H3601" s="1" t="n">
        <f aca="false">ROUND(_xlfn.PERCENTRANK.INC($E$7:$E$4378,E3601)*9,0)</f>
        <v>3</v>
      </c>
      <c r="I3601" s="1" t="str">
        <f aca="false">CONCATENATE(F3601,G3601,H3601)</f>
        <v>103</v>
      </c>
      <c r="J3601" s="1" t="str">
        <f aca="false">_xlfn.IFS(AND(F3601&gt;=8,G3601&gt;=8,H3601&gt;=8),"CHAMPION",AND(F3601&gt;=6,G3601&gt;=7,H3601&gt;=6),"LOYAL CUSTOMER",AND(F3601&gt;=6,G3601&gt;=5,H3601&gt;=5),"POTENTIAL LOYALIST",AND(F3601&gt;=8,G3601&lt;=2,H3601&gt;=5),"NEW CUSTOMERS",AND(F3601&gt;=6,G3601&lt;=2,H3601&gt;=3),"PROMISING",AND(F3601&gt;=3,G3601&gt;=3,H3601&gt;=3),"NEED ATTENTION",AND(F3601&lt;=4,G3601&gt;=6,H3601&gt;=6),"AT RISK",AND(F3601&lt;=2,G3601&gt;=8,H3601&gt;=8),"CAN'T LOSE THEM",AND(F3601&lt;=2,G3601&lt;=2,H3601&lt;=2),"HIBERNATING",TRUE(),"Other")</f>
        <v>Other</v>
      </c>
      <c r="K3601" s="1" t="n">
        <f aca="false">RANK(E3601,$E$7:$E$4378)+COUNTIF($E$7:E3601,E3601)-1</f>
        <v>2838</v>
      </c>
    </row>
    <row r="3602" customFormat="false" ht="14.25" hidden="false" customHeight="true" outlineLevel="0" collapsed="false">
      <c r="A3602" s="51" t="n">
        <v>17227</v>
      </c>
      <c r="B3602" s="53" t="n">
        <v>40868.4520833333</v>
      </c>
      <c r="C3602" s="57" t="n">
        <f aca="false">INT($C$2)-INT(Table3[[#This Row],[Last Purchase Date]])</f>
        <v>19</v>
      </c>
      <c r="D3602" s="1" t="n">
        <v>6</v>
      </c>
      <c r="E3602" s="1" t="n">
        <v>939.32</v>
      </c>
      <c r="F3602" s="1" t="n">
        <f aca="false">ROUND((1-_xlfn.PERCENTRANK.INC($C$7:$C$4378,C3602))*9,0)</f>
        <v>7</v>
      </c>
      <c r="G3602" s="1" t="n">
        <f aca="false">ROUND(_xlfn.PERCENTRANK.INC($D$7:$D$4378,D3602)*9,0)</f>
        <v>7</v>
      </c>
      <c r="H3602" s="1" t="n">
        <f aca="false">ROUND(_xlfn.PERCENTRANK.INC($E$7:$E$4378,E3602)*9,0)</f>
        <v>5</v>
      </c>
      <c r="I3602" s="1" t="str">
        <f aca="false">CONCATENATE(F3602,G3602,H3602)</f>
        <v>775</v>
      </c>
      <c r="J3602" s="1" t="str">
        <f aca="false">_xlfn.IFS(AND(F3602&gt;=8,G3602&gt;=8,H3602&gt;=8),"CHAMPION",AND(F3602&gt;=6,G3602&gt;=7,H3602&gt;=6),"LOYAL CUSTOMER",AND(F3602&gt;=6,G3602&gt;=5,H3602&gt;=5),"POTENTIAL LOYALIST",AND(F3602&gt;=8,G3602&lt;=2,H3602&gt;=5),"NEW CUSTOMERS",AND(F3602&gt;=6,G3602&lt;=2,H3602&gt;=3),"PROMISING",AND(F3602&gt;=3,G3602&gt;=3,H3602&gt;=3),"NEED ATTENTION",AND(F3602&lt;=4,G3602&gt;=6,H3602&gt;=6),"AT RISK",AND(F3602&lt;=2,G3602&gt;=8,H3602&gt;=8),"CAN'T LOSE THEM",AND(F3602&lt;=2,G3602&lt;=2,H3602&lt;=2),"HIBERNATING",TRUE(),"Other")</f>
        <v>POTENTIAL LOYALIST</v>
      </c>
      <c r="K3602" s="1" t="n">
        <f aca="false">RANK(E3602,$E$7:$E$4378)+COUNTIF($E$7:E3602,E3602)-1</f>
        <v>1708</v>
      </c>
    </row>
    <row r="3603" customFormat="false" ht="14.25" hidden="false" customHeight="true" outlineLevel="0" collapsed="false">
      <c r="A3603" s="51" t="n">
        <v>17228</v>
      </c>
      <c r="B3603" s="53" t="n">
        <v>40871.4333333333</v>
      </c>
      <c r="C3603" s="57" t="n">
        <f aca="false">INT($C$2)-INT(Table3[[#This Row],[Last Purchase Date]])</f>
        <v>16</v>
      </c>
      <c r="D3603" s="1" t="n">
        <v>8</v>
      </c>
      <c r="E3603" s="1" t="n">
        <v>1906.09</v>
      </c>
      <c r="F3603" s="1" t="n">
        <f aca="false">ROUND((1-_xlfn.PERCENTRANK.INC($C$7:$C$4378,C3603))*9,0)</f>
        <v>7</v>
      </c>
      <c r="G3603" s="1" t="n">
        <f aca="false">ROUND(_xlfn.PERCENTRANK.INC($D$7:$D$4378,D3603)*9,0)</f>
        <v>7</v>
      </c>
      <c r="H3603" s="1" t="n">
        <f aca="false">ROUND(_xlfn.PERCENTRANK.INC($E$7:$E$4378,E3603)*9,0)</f>
        <v>7</v>
      </c>
      <c r="I3603" s="1" t="str">
        <f aca="false">CONCATENATE(F3603,G3603,H3603)</f>
        <v>777</v>
      </c>
      <c r="J3603" s="1" t="str">
        <f aca="false">_xlfn.IFS(AND(F3603&gt;=8,G3603&gt;=8,H3603&gt;=8),"CHAMPION",AND(F3603&gt;=6,G3603&gt;=7,H3603&gt;=6),"LOYAL CUSTOMER",AND(F3603&gt;=6,G3603&gt;=5,H3603&gt;=5),"POTENTIAL LOYALIST",AND(F3603&gt;=8,G3603&lt;=2,H3603&gt;=5),"NEW CUSTOMERS",AND(F3603&gt;=6,G3603&lt;=2,H3603&gt;=3),"PROMISING",AND(F3603&gt;=3,G3603&gt;=3,H3603&gt;=3),"NEED ATTENTION",AND(F3603&lt;=4,G3603&gt;=6,H3603&gt;=6),"AT RISK",AND(F3603&lt;=2,G3603&gt;=8,H3603&gt;=8),"CAN'T LOSE THEM",AND(F3603&lt;=2,G3603&lt;=2,H3603&lt;=2),"HIBERNATING",TRUE(),"Other")</f>
        <v>LOYAL CUSTOMER</v>
      </c>
      <c r="K3603" s="1" t="n">
        <f aca="false">RANK(E3603,$E$7:$E$4378)+COUNTIF($E$7:E3603,E3603)-1</f>
        <v>915</v>
      </c>
    </row>
    <row r="3604" customFormat="false" ht="14.25" hidden="false" customHeight="true" outlineLevel="0" collapsed="false">
      <c r="A3604" s="51" t="n">
        <v>17229</v>
      </c>
      <c r="B3604" s="53" t="n">
        <v>40790.5805555556</v>
      </c>
      <c r="C3604" s="57" t="n">
        <f aca="false">INT($C$2)-INT(Table3[[#This Row],[Last Purchase Date]])</f>
        <v>97</v>
      </c>
      <c r="D3604" s="1" t="n">
        <v>2</v>
      </c>
      <c r="E3604" s="1" t="n">
        <v>318.76</v>
      </c>
      <c r="F3604" s="1" t="n">
        <f aca="false">ROUND((1-_xlfn.PERCENTRANK.INC($C$7:$C$4378,C3604))*9,0)</f>
        <v>3</v>
      </c>
      <c r="G3604" s="1" t="n">
        <f aca="false">ROUND(_xlfn.PERCENTRANK.INC($D$7:$D$4378,D3604)*9,0)</f>
        <v>3</v>
      </c>
      <c r="H3604" s="1" t="n">
        <f aca="false">ROUND(_xlfn.PERCENTRANK.INC($E$7:$E$4378,E3604)*9,0)</f>
        <v>3</v>
      </c>
      <c r="I3604" s="1" t="str">
        <f aca="false">CONCATENATE(F3604,G3604,H3604)</f>
        <v>333</v>
      </c>
      <c r="J3604" s="1" t="str">
        <f aca="false">_xlfn.IFS(AND(F3604&gt;=8,G3604&gt;=8,H3604&gt;=8),"CHAMPION",AND(F3604&gt;=6,G3604&gt;=7,H3604&gt;=6),"LOYAL CUSTOMER",AND(F3604&gt;=6,G3604&gt;=5,H3604&gt;=5),"POTENTIAL LOYALIST",AND(F3604&gt;=8,G3604&lt;=2,H3604&gt;=5),"NEW CUSTOMERS",AND(F3604&gt;=6,G3604&lt;=2,H3604&gt;=3),"PROMISING",AND(F3604&gt;=3,G3604&gt;=3,H3604&gt;=3),"NEED ATTENTION",AND(F3604&lt;=4,G3604&gt;=6,H3604&gt;=6),"AT RISK",AND(F3604&lt;=2,G3604&gt;=8,H3604&gt;=8),"CAN'T LOSE THEM",AND(F3604&lt;=2,G3604&lt;=2,H3604&lt;=2),"HIBERNATING",TRUE(),"Other")</f>
        <v>NEED ATTENTION</v>
      </c>
      <c r="K3604" s="1" t="n">
        <f aca="false">RANK(E3604,$E$7:$E$4378)+COUNTIF($E$7:E3604,E3604)-1</f>
        <v>3145</v>
      </c>
    </row>
    <row r="3605" customFormat="false" ht="14.25" hidden="false" customHeight="true" outlineLevel="0" collapsed="false">
      <c r="A3605" s="51" t="n">
        <v>17230</v>
      </c>
      <c r="B3605" s="53" t="n">
        <v>40622.675</v>
      </c>
      <c r="C3605" s="57" t="n">
        <f aca="false">INT($C$2)-INT(Table3[[#This Row],[Last Purchase Date]])</f>
        <v>265</v>
      </c>
      <c r="D3605" s="1" t="n">
        <v>11</v>
      </c>
      <c r="E3605" s="1" t="n">
        <v>3466.67</v>
      </c>
      <c r="F3605" s="1" t="n">
        <f aca="false">ROUND((1-_xlfn.PERCENTRANK.INC($C$7:$C$4378,C3605))*9,0)</f>
        <v>1</v>
      </c>
      <c r="G3605" s="1" t="n">
        <f aca="false">ROUND(_xlfn.PERCENTRANK.INC($D$7:$D$4378,D3605)*9,0)</f>
        <v>8</v>
      </c>
      <c r="H3605" s="1" t="n">
        <f aca="false">ROUND(_xlfn.PERCENTRANK.INC($E$7:$E$4378,E3605)*9,0)</f>
        <v>8</v>
      </c>
      <c r="I3605" s="1" t="str">
        <f aca="false">CONCATENATE(F3605,G3605,H3605)</f>
        <v>188</v>
      </c>
      <c r="J3605" s="1" t="str">
        <f aca="false">_xlfn.IFS(AND(F3605&gt;=8,G3605&gt;=8,H3605&gt;=8),"CHAMPION",AND(F3605&gt;=6,G3605&gt;=7,H3605&gt;=6),"LOYAL CUSTOMER",AND(F3605&gt;=6,G3605&gt;=5,H3605&gt;=5),"POTENTIAL LOYALIST",AND(F3605&gt;=8,G3605&lt;=2,H3605&gt;=5),"NEW CUSTOMERS",AND(F3605&gt;=6,G3605&lt;=2,H3605&gt;=3),"PROMISING",AND(F3605&gt;=3,G3605&gt;=3,H3605&gt;=3),"NEED ATTENTION",AND(F3605&lt;=4,G3605&gt;=6,H3605&gt;=6),"AT RISK",AND(F3605&lt;=2,G3605&gt;=8,H3605&gt;=8),"CAN'T LOSE THEM",AND(F3605&lt;=2,G3605&lt;=2,H3605&lt;=2),"HIBERNATING",TRUE(),"Other")</f>
        <v>AT RISK</v>
      </c>
      <c r="K3605" s="1" t="n">
        <f aca="false">RANK(E3605,$E$7:$E$4378)+COUNTIF($E$7:E3605,E3605)-1</f>
        <v>444</v>
      </c>
    </row>
    <row r="3606" customFormat="false" ht="14.25" hidden="false" customHeight="true" outlineLevel="0" collapsed="false">
      <c r="A3606" s="51" t="n">
        <v>17231</v>
      </c>
      <c r="B3606" s="53" t="n">
        <v>40874.6375</v>
      </c>
      <c r="C3606" s="57" t="n">
        <f aca="false">INT($C$2)-INT(Table3[[#This Row],[Last Purchase Date]])</f>
        <v>13</v>
      </c>
      <c r="D3606" s="1" t="n">
        <v>14</v>
      </c>
      <c r="E3606" s="1" t="n">
        <v>3127.82</v>
      </c>
      <c r="F3606" s="1" t="n">
        <f aca="false">ROUND((1-_xlfn.PERCENTRANK.INC($C$7:$C$4378,C3606))*9,0)</f>
        <v>7</v>
      </c>
      <c r="G3606" s="1" t="n">
        <f aca="false">ROUND(_xlfn.PERCENTRANK.INC($D$7:$D$4378,D3606)*9,0)</f>
        <v>8</v>
      </c>
      <c r="H3606" s="1" t="n">
        <f aca="false">ROUND(_xlfn.PERCENTRANK.INC($E$7:$E$4378,E3606)*9,0)</f>
        <v>8</v>
      </c>
      <c r="I3606" s="1" t="str">
        <f aca="false">CONCATENATE(F3606,G3606,H3606)</f>
        <v>788</v>
      </c>
      <c r="J3606" s="1" t="str">
        <f aca="false">_xlfn.IFS(AND(F3606&gt;=8,G3606&gt;=8,H3606&gt;=8),"CHAMPION",AND(F3606&gt;=6,G3606&gt;=7,H3606&gt;=6),"LOYAL CUSTOMER",AND(F3606&gt;=6,G3606&gt;=5,H3606&gt;=5),"POTENTIAL LOYALIST",AND(F3606&gt;=8,G3606&lt;=2,H3606&gt;=5),"NEW CUSTOMERS",AND(F3606&gt;=6,G3606&lt;=2,H3606&gt;=3),"PROMISING",AND(F3606&gt;=3,G3606&gt;=3,H3606&gt;=3),"NEED ATTENTION",AND(F3606&lt;=4,G3606&gt;=6,H3606&gt;=6),"AT RISK",AND(F3606&lt;=2,G3606&gt;=8,H3606&gt;=8),"CAN'T LOSE THEM",AND(F3606&lt;=2,G3606&lt;=2,H3606&lt;=2),"HIBERNATING",TRUE(),"Other")</f>
        <v>LOYAL CUSTOMER</v>
      </c>
      <c r="K3606" s="1" t="n">
        <f aca="false">RANK(E3606,$E$7:$E$4378)+COUNTIF($E$7:E3606,E3606)-1</f>
        <v>507</v>
      </c>
    </row>
    <row r="3607" customFormat="false" ht="14.25" hidden="false" customHeight="true" outlineLevel="0" collapsed="false">
      <c r="A3607" s="51" t="n">
        <v>17232</v>
      </c>
      <c r="B3607" s="53" t="n">
        <v>40884.5145833333</v>
      </c>
      <c r="C3607" s="57" t="n">
        <f aca="false">INT($C$2)-INT(Table3[[#This Row],[Last Purchase Date]])</f>
        <v>3</v>
      </c>
      <c r="D3607" s="1" t="n">
        <v>2</v>
      </c>
      <c r="E3607" s="1" t="n">
        <v>421.52</v>
      </c>
      <c r="F3607" s="1" t="n">
        <f aca="false">ROUND((1-_xlfn.PERCENTRANK.INC($C$7:$C$4378,C3607))*9,0)</f>
        <v>9</v>
      </c>
      <c r="G3607" s="1" t="n">
        <f aca="false">ROUND(_xlfn.PERCENTRANK.INC($D$7:$D$4378,D3607)*9,0)</f>
        <v>3</v>
      </c>
      <c r="H3607" s="1" t="n">
        <f aca="false">ROUND(_xlfn.PERCENTRANK.INC($E$7:$E$4378,E3607)*9,0)</f>
        <v>3</v>
      </c>
      <c r="I3607" s="1" t="str">
        <f aca="false">CONCATENATE(F3607,G3607,H3607)</f>
        <v>933</v>
      </c>
      <c r="J3607" s="1" t="str">
        <f aca="false">_xlfn.IFS(AND(F3607&gt;=8,G3607&gt;=8,H3607&gt;=8),"CHAMPION",AND(F3607&gt;=6,G3607&gt;=7,H3607&gt;=6),"LOYAL CUSTOMER",AND(F3607&gt;=6,G3607&gt;=5,H3607&gt;=5),"POTENTIAL LOYALIST",AND(F3607&gt;=8,G3607&lt;=2,H3607&gt;=5),"NEW CUSTOMERS",AND(F3607&gt;=6,G3607&lt;=2,H3607&gt;=3),"PROMISING",AND(F3607&gt;=3,G3607&gt;=3,H3607&gt;=3),"NEED ATTENTION",AND(F3607&lt;=4,G3607&gt;=6,H3607&gt;=6),"AT RISK",AND(F3607&lt;=2,G3607&gt;=8,H3607&gt;=8),"CAN'T LOSE THEM",AND(F3607&lt;=2,G3607&lt;=2,H3607&lt;=2),"HIBERNATING",TRUE(),"Other")</f>
        <v>NEED ATTENTION</v>
      </c>
      <c r="K3607" s="1" t="n">
        <f aca="false">RANK(E3607,$E$7:$E$4378)+COUNTIF($E$7:E3607,E3607)-1</f>
        <v>2749</v>
      </c>
    </row>
    <row r="3608" customFormat="false" ht="14.25" hidden="false" customHeight="true" outlineLevel="0" collapsed="false">
      <c r="A3608" s="51" t="n">
        <v>17233</v>
      </c>
      <c r="B3608" s="53" t="n">
        <v>40851.5875</v>
      </c>
      <c r="C3608" s="57" t="n">
        <f aca="false">INT($C$2)-INT(Table3[[#This Row],[Last Purchase Date]])</f>
        <v>36</v>
      </c>
      <c r="D3608" s="1" t="n">
        <v>1</v>
      </c>
      <c r="E3608" s="1" t="n">
        <v>190.88</v>
      </c>
      <c r="F3608" s="1" t="n">
        <f aca="false">ROUND((1-_xlfn.PERCENTRANK.INC($C$7:$C$4378,C3608))*9,0)</f>
        <v>5</v>
      </c>
      <c r="G3608" s="1" t="n">
        <f aca="false">ROUND(_xlfn.PERCENTRANK.INC($D$7:$D$4378,D3608)*9,0)</f>
        <v>0</v>
      </c>
      <c r="H3608" s="1" t="n">
        <f aca="false">ROUND(_xlfn.PERCENTRANK.INC($E$7:$E$4378,E3608)*9,0)</f>
        <v>1</v>
      </c>
      <c r="I3608" s="1" t="str">
        <f aca="false">CONCATENATE(F3608,G3608,H3608)</f>
        <v>501</v>
      </c>
      <c r="J3608" s="1" t="str">
        <f aca="false">_xlfn.IFS(AND(F3608&gt;=8,G3608&gt;=8,H3608&gt;=8),"CHAMPION",AND(F3608&gt;=6,G3608&gt;=7,H3608&gt;=6),"LOYAL CUSTOMER",AND(F3608&gt;=6,G3608&gt;=5,H3608&gt;=5),"POTENTIAL LOYALIST",AND(F3608&gt;=8,G3608&lt;=2,H3608&gt;=5),"NEW CUSTOMERS",AND(F3608&gt;=6,G3608&lt;=2,H3608&gt;=3),"PROMISING",AND(F3608&gt;=3,G3608&gt;=3,H3608&gt;=3),"NEED ATTENTION",AND(F3608&lt;=4,G3608&gt;=6,H3608&gt;=6),"AT RISK",AND(F3608&lt;=2,G3608&gt;=8,H3608&gt;=8),"CAN'T LOSE THEM",AND(F3608&lt;=2,G3608&lt;=2,H3608&lt;=2),"HIBERNATING",TRUE(),"Other")</f>
        <v>Other</v>
      </c>
      <c r="K3608" s="1" t="n">
        <f aca="false">RANK(E3608,$E$7:$E$4378)+COUNTIF($E$7:E3608,E3608)-1</f>
        <v>3703</v>
      </c>
    </row>
    <row r="3609" customFormat="false" ht="14.25" hidden="false" customHeight="true" outlineLevel="0" collapsed="false">
      <c r="A3609" s="51" t="n">
        <v>17234</v>
      </c>
      <c r="B3609" s="53" t="n">
        <v>40704.4722222222</v>
      </c>
      <c r="C3609" s="57" t="n">
        <f aca="false">INT($C$2)-INT(Table3[[#This Row],[Last Purchase Date]])</f>
        <v>183</v>
      </c>
      <c r="D3609" s="1" t="n">
        <v>1</v>
      </c>
      <c r="E3609" s="1" t="n">
        <v>149.89</v>
      </c>
      <c r="F3609" s="1" t="n">
        <f aca="false">ROUND((1-_xlfn.PERCENTRANK.INC($C$7:$C$4378,C3609))*9,0)</f>
        <v>2</v>
      </c>
      <c r="G3609" s="1" t="n">
        <f aca="false">ROUND(_xlfn.PERCENTRANK.INC($D$7:$D$4378,D3609)*9,0)</f>
        <v>0</v>
      </c>
      <c r="H3609" s="1" t="n">
        <f aca="false">ROUND(_xlfn.PERCENTRANK.INC($E$7:$E$4378,E3609)*9,0)</f>
        <v>1</v>
      </c>
      <c r="I3609" s="1" t="str">
        <f aca="false">CONCATENATE(F3609,G3609,H3609)</f>
        <v>201</v>
      </c>
      <c r="J3609" s="1" t="str">
        <f aca="false">_xlfn.IFS(AND(F3609&gt;=8,G3609&gt;=8,H3609&gt;=8),"CHAMPION",AND(F3609&gt;=6,G3609&gt;=7,H3609&gt;=6),"LOYAL CUSTOMER",AND(F3609&gt;=6,G3609&gt;=5,H3609&gt;=5),"POTENTIAL LOYALIST",AND(F3609&gt;=8,G3609&lt;=2,H3609&gt;=5),"NEW CUSTOMERS",AND(F3609&gt;=6,G3609&lt;=2,H3609&gt;=3),"PROMISING",AND(F3609&gt;=3,G3609&gt;=3,H3609&gt;=3),"NEED ATTENTION",AND(F3609&lt;=4,G3609&gt;=6,H3609&gt;=6),"AT RISK",AND(F3609&lt;=2,G3609&gt;=8,H3609&gt;=8),"CAN'T LOSE THEM",AND(F3609&lt;=2,G3609&lt;=2,H3609&lt;=2),"HIBERNATING",TRUE(),"Other")</f>
        <v>HIBERNATING</v>
      </c>
      <c r="K3609" s="1" t="n">
        <f aca="false">RANK(E3609,$E$7:$E$4378)+COUNTIF($E$7:E3609,E3609)-1</f>
        <v>3918</v>
      </c>
    </row>
    <row r="3610" customFormat="false" ht="14.25" hidden="false" customHeight="true" outlineLevel="0" collapsed="false">
      <c r="A3610" s="51" t="n">
        <v>17235</v>
      </c>
      <c r="B3610" s="53" t="n">
        <v>40861.6604166667</v>
      </c>
      <c r="C3610" s="57" t="n">
        <f aca="false">INT($C$2)-INT(Table3[[#This Row],[Last Purchase Date]])</f>
        <v>26</v>
      </c>
      <c r="D3610" s="1" t="n">
        <v>2</v>
      </c>
      <c r="E3610" s="1" t="n">
        <v>550.06</v>
      </c>
      <c r="F3610" s="1" t="n">
        <f aca="false">ROUND((1-_xlfn.PERCENTRANK.INC($C$7:$C$4378,C3610))*9,0)</f>
        <v>6</v>
      </c>
      <c r="G3610" s="1" t="n">
        <f aca="false">ROUND(_xlfn.PERCENTRANK.INC($D$7:$D$4378,D3610)*9,0)</f>
        <v>3</v>
      </c>
      <c r="H3610" s="1" t="n">
        <f aca="false">ROUND(_xlfn.PERCENTRANK.INC($E$7:$E$4378,E3610)*9,0)</f>
        <v>4</v>
      </c>
      <c r="I3610" s="1" t="str">
        <f aca="false">CONCATENATE(F3610,G3610,H3610)</f>
        <v>634</v>
      </c>
      <c r="J3610" s="1" t="str">
        <f aca="false">_xlfn.IFS(AND(F3610&gt;=8,G3610&gt;=8,H3610&gt;=8),"CHAMPION",AND(F3610&gt;=6,G3610&gt;=7,H3610&gt;=6),"LOYAL CUSTOMER",AND(F3610&gt;=6,G3610&gt;=5,H3610&gt;=5),"POTENTIAL LOYALIST",AND(F3610&gt;=8,G3610&lt;=2,H3610&gt;=5),"NEW CUSTOMERS",AND(F3610&gt;=6,G3610&lt;=2,H3610&gt;=3),"PROMISING",AND(F3610&gt;=3,G3610&gt;=3,H3610&gt;=3),"NEED ATTENTION",AND(F3610&lt;=4,G3610&gt;=6,H3610&gt;=6),"AT RISK",AND(F3610&lt;=2,G3610&gt;=8,H3610&gt;=8),"CAN'T LOSE THEM",AND(F3610&lt;=2,G3610&lt;=2,H3610&lt;=2),"HIBERNATING",TRUE(),"Other")</f>
        <v>NEED ATTENTION</v>
      </c>
      <c r="K3610" s="1" t="n">
        <f aca="false">RANK(E3610,$E$7:$E$4378)+COUNTIF($E$7:E3610,E3610)-1</f>
        <v>2430</v>
      </c>
    </row>
    <row r="3611" customFormat="false" ht="14.25" hidden="false" customHeight="true" outlineLevel="0" collapsed="false">
      <c r="A3611" s="51" t="n">
        <v>17236</v>
      </c>
      <c r="B3611" s="53" t="n">
        <v>40874.5</v>
      </c>
      <c r="C3611" s="57" t="n">
        <f aca="false">INT($C$2)-INT(Table3[[#This Row],[Last Purchase Date]])</f>
        <v>13</v>
      </c>
      <c r="D3611" s="1" t="n">
        <v>6</v>
      </c>
      <c r="E3611" s="1" t="n">
        <v>916.13</v>
      </c>
      <c r="F3611" s="1" t="n">
        <f aca="false">ROUND((1-_xlfn.PERCENTRANK.INC($C$7:$C$4378,C3611))*9,0)</f>
        <v>7</v>
      </c>
      <c r="G3611" s="1" t="n">
        <f aca="false">ROUND(_xlfn.PERCENTRANK.INC($D$7:$D$4378,D3611)*9,0)</f>
        <v>7</v>
      </c>
      <c r="H3611" s="1" t="n">
        <f aca="false">ROUND(_xlfn.PERCENTRANK.INC($E$7:$E$4378,E3611)*9,0)</f>
        <v>5</v>
      </c>
      <c r="I3611" s="1" t="str">
        <f aca="false">CONCATENATE(F3611,G3611,H3611)</f>
        <v>775</v>
      </c>
      <c r="J3611" s="1" t="str">
        <f aca="false">_xlfn.IFS(AND(F3611&gt;=8,G3611&gt;=8,H3611&gt;=8),"CHAMPION",AND(F3611&gt;=6,G3611&gt;=7,H3611&gt;=6),"LOYAL CUSTOMER",AND(F3611&gt;=6,G3611&gt;=5,H3611&gt;=5),"POTENTIAL LOYALIST",AND(F3611&gt;=8,G3611&lt;=2,H3611&gt;=5),"NEW CUSTOMERS",AND(F3611&gt;=6,G3611&lt;=2,H3611&gt;=3),"PROMISING",AND(F3611&gt;=3,G3611&gt;=3,H3611&gt;=3),"NEED ATTENTION",AND(F3611&lt;=4,G3611&gt;=6,H3611&gt;=6),"AT RISK",AND(F3611&lt;=2,G3611&gt;=8,H3611&gt;=8),"CAN'T LOSE THEM",AND(F3611&lt;=2,G3611&lt;=2,H3611&lt;=2),"HIBERNATING",TRUE(),"Other")</f>
        <v>POTENTIAL LOYALIST</v>
      </c>
      <c r="K3611" s="1" t="n">
        <f aca="false">RANK(E3611,$E$7:$E$4378)+COUNTIF($E$7:E3611,E3611)-1</f>
        <v>1733</v>
      </c>
    </row>
    <row r="3612" customFormat="false" ht="14.25" hidden="false" customHeight="true" outlineLevel="0" collapsed="false">
      <c r="A3612" s="51" t="n">
        <v>17237</v>
      </c>
      <c r="B3612" s="53" t="n">
        <v>40875.6263888889</v>
      </c>
      <c r="C3612" s="57" t="n">
        <f aca="false">INT($C$2)-INT(Table3[[#This Row],[Last Purchase Date]])</f>
        <v>12</v>
      </c>
      <c r="D3612" s="1" t="n">
        <v>2</v>
      </c>
      <c r="E3612" s="1" t="n">
        <v>314.69</v>
      </c>
      <c r="F3612" s="1" t="n">
        <f aca="false">ROUND((1-_xlfn.PERCENTRANK.INC($C$7:$C$4378,C3612))*9,0)</f>
        <v>7</v>
      </c>
      <c r="G3612" s="1" t="n">
        <f aca="false">ROUND(_xlfn.PERCENTRANK.INC($D$7:$D$4378,D3612)*9,0)</f>
        <v>3</v>
      </c>
      <c r="H3612" s="1" t="n">
        <f aca="false">ROUND(_xlfn.PERCENTRANK.INC($E$7:$E$4378,E3612)*9,0)</f>
        <v>2</v>
      </c>
      <c r="I3612" s="1" t="str">
        <f aca="false">CONCATENATE(F3612,G3612,H3612)</f>
        <v>732</v>
      </c>
      <c r="J3612" s="1" t="str">
        <f aca="false">_xlfn.IFS(AND(F3612&gt;=8,G3612&gt;=8,H3612&gt;=8),"CHAMPION",AND(F3612&gt;=6,G3612&gt;=7,H3612&gt;=6),"LOYAL CUSTOMER",AND(F3612&gt;=6,G3612&gt;=5,H3612&gt;=5),"POTENTIAL LOYALIST",AND(F3612&gt;=8,G3612&lt;=2,H3612&gt;=5),"NEW CUSTOMERS",AND(F3612&gt;=6,G3612&lt;=2,H3612&gt;=3),"PROMISING",AND(F3612&gt;=3,G3612&gt;=3,H3612&gt;=3),"NEED ATTENTION",AND(F3612&lt;=4,G3612&gt;=6,H3612&gt;=6),"AT RISK",AND(F3612&lt;=2,G3612&gt;=8,H3612&gt;=8),"CAN'T LOSE THEM",AND(F3612&lt;=2,G3612&lt;=2,H3612&lt;=2),"HIBERNATING",TRUE(),"Other")</f>
        <v>Other</v>
      </c>
      <c r="K3612" s="1" t="n">
        <f aca="false">RANK(E3612,$E$7:$E$4378)+COUNTIF($E$7:E3612,E3612)-1</f>
        <v>3165</v>
      </c>
    </row>
    <row r="3613" customFormat="false" ht="14.25" hidden="false" customHeight="true" outlineLevel="0" collapsed="false">
      <c r="A3613" s="51" t="n">
        <v>17238</v>
      </c>
      <c r="B3613" s="53" t="n">
        <v>40884.4826388889</v>
      </c>
      <c r="C3613" s="57" t="n">
        <f aca="false">INT($C$2)-INT(Table3[[#This Row],[Last Purchase Date]])</f>
        <v>3</v>
      </c>
      <c r="D3613" s="1" t="n">
        <v>17</v>
      </c>
      <c r="E3613" s="1" t="n">
        <v>3744.65</v>
      </c>
      <c r="F3613" s="1" t="n">
        <f aca="false">ROUND((1-_xlfn.PERCENTRANK.INC($C$7:$C$4378,C3613))*9,0)</f>
        <v>9</v>
      </c>
      <c r="G3613" s="1" t="n">
        <f aca="false">ROUND(_xlfn.PERCENTRANK.INC($D$7:$D$4378,D3613)*9,0)</f>
        <v>9</v>
      </c>
      <c r="H3613" s="1" t="n">
        <f aca="false">ROUND(_xlfn.PERCENTRANK.INC($E$7:$E$4378,E3613)*9,0)</f>
        <v>8</v>
      </c>
      <c r="I3613" s="1" t="str">
        <f aca="false">CONCATENATE(F3613,G3613,H3613)</f>
        <v>998</v>
      </c>
      <c r="J3613" s="1" t="str">
        <f aca="false">_xlfn.IFS(AND(F3613&gt;=8,G3613&gt;=8,H3613&gt;=8),"CHAMPION",AND(F3613&gt;=6,G3613&gt;=7,H3613&gt;=6),"LOYAL CUSTOMER",AND(F3613&gt;=6,G3613&gt;=5,H3613&gt;=5),"POTENTIAL LOYALIST",AND(F3613&gt;=8,G3613&lt;=2,H3613&gt;=5),"NEW CUSTOMERS",AND(F3613&gt;=6,G3613&lt;=2,H3613&gt;=3),"PROMISING",AND(F3613&gt;=3,G3613&gt;=3,H3613&gt;=3),"NEED ATTENTION",AND(F3613&lt;=4,G3613&gt;=6,H3613&gt;=6),"AT RISK",AND(F3613&lt;=2,G3613&gt;=8,H3613&gt;=8),"CAN'T LOSE THEM",AND(F3613&lt;=2,G3613&lt;=2,H3613&lt;=2),"HIBERNATING",TRUE(),"Other")</f>
        <v>CHAMPION</v>
      </c>
      <c r="K3613" s="1" t="n">
        <f aca="false">RANK(E3613,$E$7:$E$4378)+COUNTIF($E$7:E3613,E3613)-1</f>
        <v>396</v>
      </c>
    </row>
    <row r="3614" customFormat="false" ht="14.25" hidden="false" customHeight="true" outlineLevel="0" collapsed="false">
      <c r="A3614" s="51" t="n">
        <v>17239</v>
      </c>
      <c r="B3614" s="53" t="n">
        <v>40574.4034722222</v>
      </c>
      <c r="C3614" s="57" t="n">
        <f aca="false">INT($C$2)-INT(Table3[[#This Row],[Last Purchase Date]])</f>
        <v>313</v>
      </c>
      <c r="D3614" s="1" t="n">
        <v>2</v>
      </c>
      <c r="E3614" s="1" t="n">
        <v>379.95</v>
      </c>
      <c r="F3614" s="1" t="n">
        <f aca="false">ROUND((1-_xlfn.PERCENTRANK.INC($C$7:$C$4378,C3614))*9,0)</f>
        <v>0</v>
      </c>
      <c r="G3614" s="1" t="n">
        <f aca="false">ROUND(_xlfn.PERCENTRANK.INC($D$7:$D$4378,D3614)*9,0)</f>
        <v>3</v>
      </c>
      <c r="H3614" s="1" t="n">
        <f aca="false">ROUND(_xlfn.PERCENTRANK.INC($E$7:$E$4378,E3614)*9,0)</f>
        <v>3</v>
      </c>
      <c r="I3614" s="1" t="str">
        <f aca="false">CONCATENATE(F3614,G3614,H3614)</f>
        <v>033</v>
      </c>
      <c r="J3614" s="1" t="str">
        <f aca="false">_xlfn.IFS(AND(F3614&gt;=8,G3614&gt;=8,H3614&gt;=8),"CHAMPION",AND(F3614&gt;=6,G3614&gt;=7,H3614&gt;=6),"LOYAL CUSTOMER",AND(F3614&gt;=6,G3614&gt;=5,H3614&gt;=5),"POTENTIAL LOYALIST",AND(F3614&gt;=8,G3614&lt;=2,H3614&gt;=5),"NEW CUSTOMERS",AND(F3614&gt;=6,G3614&lt;=2,H3614&gt;=3),"PROMISING",AND(F3614&gt;=3,G3614&gt;=3,H3614&gt;=3),"NEED ATTENTION",AND(F3614&lt;=4,G3614&gt;=6,H3614&gt;=6),"AT RISK",AND(F3614&lt;=2,G3614&gt;=8,H3614&gt;=8),"CAN'T LOSE THEM",AND(F3614&lt;=2,G3614&lt;=2,H3614&lt;=2),"HIBERNATING",TRUE(),"Other")</f>
        <v>Other</v>
      </c>
      <c r="K3614" s="1" t="n">
        <f aca="false">RANK(E3614,$E$7:$E$4378)+COUNTIF($E$7:E3614,E3614)-1</f>
        <v>2893</v>
      </c>
    </row>
    <row r="3615" customFormat="false" ht="14.25" hidden="false" customHeight="true" outlineLevel="0" collapsed="false">
      <c r="A3615" s="51" t="n">
        <v>17242</v>
      </c>
      <c r="B3615" s="53" t="n">
        <v>40778.6215277778</v>
      </c>
      <c r="C3615" s="57" t="n">
        <f aca="false">INT($C$2)-INT(Table3[[#This Row],[Last Purchase Date]])</f>
        <v>109</v>
      </c>
      <c r="D3615" s="1" t="n">
        <v>2</v>
      </c>
      <c r="E3615" s="1" t="n">
        <v>1135.04</v>
      </c>
      <c r="F3615" s="1" t="n">
        <f aca="false">ROUND((1-_xlfn.PERCENTRANK.INC($C$7:$C$4378,C3615))*9,0)</f>
        <v>3</v>
      </c>
      <c r="G3615" s="1" t="n">
        <f aca="false">ROUND(_xlfn.PERCENTRANK.INC($D$7:$D$4378,D3615)*9,0)</f>
        <v>3</v>
      </c>
      <c r="H3615" s="1" t="n">
        <f aca="false">ROUND(_xlfn.PERCENTRANK.INC($E$7:$E$4378,E3615)*9,0)</f>
        <v>6</v>
      </c>
      <c r="I3615" s="1" t="str">
        <f aca="false">CONCATENATE(F3615,G3615,H3615)</f>
        <v>336</v>
      </c>
      <c r="J3615" s="1" t="str">
        <f aca="false">_xlfn.IFS(AND(F3615&gt;=8,G3615&gt;=8,H3615&gt;=8),"CHAMPION",AND(F3615&gt;=6,G3615&gt;=7,H3615&gt;=6),"LOYAL CUSTOMER",AND(F3615&gt;=6,G3615&gt;=5,H3615&gt;=5),"POTENTIAL LOYALIST",AND(F3615&gt;=8,G3615&lt;=2,H3615&gt;=5),"NEW CUSTOMERS",AND(F3615&gt;=6,G3615&lt;=2,H3615&gt;=3),"PROMISING",AND(F3615&gt;=3,G3615&gt;=3,H3615&gt;=3),"NEED ATTENTION",AND(F3615&lt;=4,G3615&gt;=6,H3615&gt;=6),"AT RISK",AND(F3615&lt;=2,G3615&gt;=8,H3615&gt;=8),"CAN'T LOSE THEM",AND(F3615&lt;=2,G3615&lt;=2,H3615&lt;=2),"HIBERNATING",TRUE(),"Other")</f>
        <v>NEED ATTENTION</v>
      </c>
      <c r="K3615" s="1" t="n">
        <f aca="false">RANK(E3615,$E$7:$E$4378)+COUNTIF($E$7:E3615,E3615)-1</f>
        <v>1467</v>
      </c>
    </row>
    <row r="3616" customFormat="false" ht="14.25" hidden="false" customHeight="true" outlineLevel="0" collapsed="false">
      <c r="A3616" s="51" t="n">
        <v>17243</v>
      </c>
      <c r="B3616" s="53" t="n">
        <v>40885.5597222222</v>
      </c>
      <c r="C3616" s="57" t="n">
        <f aca="false">INT($C$2)-INT(Table3[[#This Row],[Last Purchase Date]])</f>
        <v>2</v>
      </c>
      <c r="D3616" s="1" t="n">
        <v>30</v>
      </c>
      <c r="E3616" s="1" t="n">
        <v>8628.55</v>
      </c>
      <c r="F3616" s="1" t="n">
        <f aca="false">ROUND((1-_xlfn.PERCENTRANK.INC($C$7:$C$4378,C3616))*9,0)</f>
        <v>9</v>
      </c>
      <c r="G3616" s="1" t="n">
        <f aca="false">ROUND(_xlfn.PERCENTRANK.INC($D$7:$D$4378,D3616)*9,0)</f>
        <v>9</v>
      </c>
      <c r="H3616" s="1" t="n">
        <f aca="false">ROUND(_xlfn.PERCENTRANK.INC($E$7:$E$4378,E3616)*9,0)</f>
        <v>9</v>
      </c>
      <c r="I3616" s="1" t="str">
        <f aca="false">CONCATENATE(F3616,G3616,H3616)</f>
        <v>999</v>
      </c>
      <c r="J3616" s="1" t="str">
        <f aca="false">_xlfn.IFS(AND(F3616&gt;=8,G3616&gt;=8,H3616&gt;=8),"CHAMPION",AND(F3616&gt;=6,G3616&gt;=7,H3616&gt;=6),"LOYAL CUSTOMER",AND(F3616&gt;=6,G3616&gt;=5,H3616&gt;=5),"POTENTIAL LOYALIST",AND(F3616&gt;=8,G3616&lt;=2,H3616&gt;=5),"NEW CUSTOMERS",AND(F3616&gt;=6,G3616&lt;=2,H3616&gt;=3),"PROMISING",AND(F3616&gt;=3,G3616&gt;=3,H3616&gt;=3),"NEED ATTENTION",AND(F3616&lt;=4,G3616&gt;=6,H3616&gt;=6),"AT RISK",AND(F3616&lt;=2,G3616&gt;=8,H3616&gt;=8),"CAN'T LOSE THEM",AND(F3616&lt;=2,G3616&lt;=2,H3616&lt;=2),"HIBERNATING",TRUE(),"Other")</f>
        <v>CHAMPION</v>
      </c>
      <c r="K3616" s="1" t="n">
        <f aca="false">RANK(E3616,$E$7:$E$4378)+COUNTIF($E$7:E3616,E3616)-1</f>
        <v>116</v>
      </c>
    </row>
    <row r="3617" customFormat="false" ht="14.25" hidden="false" customHeight="true" outlineLevel="0" collapsed="false">
      <c r="A3617" s="51" t="n">
        <v>17244</v>
      </c>
      <c r="B3617" s="53" t="n">
        <v>40833.6381944444</v>
      </c>
      <c r="C3617" s="57" t="n">
        <f aca="false">INT($C$2)-INT(Table3[[#This Row],[Last Purchase Date]])</f>
        <v>54</v>
      </c>
      <c r="D3617" s="1" t="n">
        <v>1</v>
      </c>
      <c r="E3617" s="1" t="n">
        <v>954.9</v>
      </c>
      <c r="F3617" s="1" t="n">
        <f aca="false">ROUND((1-_xlfn.PERCENTRANK.INC($C$7:$C$4378,C3617))*9,0)</f>
        <v>4</v>
      </c>
      <c r="G3617" s="1" t="n">
        <f aca="false">ROUND(_xlfn.PERCENTRANK.INC($D$7:$D$4378,D3617)*9,0)</f>
        <v>0</v>
      </c>
      <c r="H3617" s="1" t="n">
        <f aca="false">ROUND(_xlfn.PERCENTRANK.INC($E$7:$E$4378,E3617)*9,0)</f>
        <v>6</v>
      </c>
      <c r="I3617" s="1" t="str">
        <f aca="false">CONCATENATE(F3617,G3617,H3617)</f>
        <v>406</v>
      </c>
      <c r="J3617" s="1" t="str">
        <f aca="false">_xlfn.IFS(AND(F3617&gt;=8,G3617&gt;=8,H3617&gt;=8),"CHAMPION",AND(F3617&gt;=6,G3617&gt;=7,H3617&gt;=6),"LOYAL CUSTOMER",AND(F3617&gt;=6,G3617&gt;=5,H3617&gt;=5),"POTENTIAL LOYALIST",AND(F3617&gt;=8,G3617&lt;=2,H3617&gt;=5),"NEW CUSTOMERS",AND(F3617&gt;=6,G3617&lt;=2,H3617&gt;=3),"PROMISING",AND(F3617&gt;=3,G3617&gt;=3,H3617&gt;=3),"NEED ATTENTION",AND(F3617&lt;=4,G3617&gt;=6,H3617&gt;=6),"AT RISK",AND(F3617&lt;=2,G3617&gt;=8,H3617&gt;=8),"CAN'T LOSE THEM",AND(F3617&lt;=2,G3617&lt;=2,H3617&lt;=2),"HIBERNATING",TRUE(),"Other")</f>
        <v>Other</v>
      </c>
      <c r="K3617" s="1" t="n">
        <f aca="false">RANK(E3617,$E$7:$E$4378)+COUNTIF($E$7:E3617,E3617)-1</f>
        <v>1692</v>
      </c>
    </row>
    <row r="3618" customFormat="false" ht="14.25" hidden="false" customHeight="true" outlineLevel="0" collapsed="false">
      <c r="A3618" s="51" t="n">
        <v>17245</v>
      </c>
      <c r="B3618" s="53" t="n">
        <v>40682.4465277778</v>
      </c>
      <c r="C3618" s="57" t="n">
        <f aca="false">INT($C$2)-INT(Table3[[#This Row],[Last Purchase Date]])</f>
        <v>205</v>
      </c>
      <c r="D3618" s="1" t="n">
        <v>1</v>
      </c>
      <c r="E3618" s="1" t="n">
        <v>171.45</v>
      </c>
      <c r="F3618" s="1" t="n">
        <f aca="false">ROUND((1-_xlfn.PERCENTRANK.INC($C$7:$C$4378,C3618))*9,0)</f>
        <v>2</v>
      </c>
      <c r="G3618" s="1" t="n">
        <f aca="false">ROUND(_xlfn.PERCENTRANK.INC($D$7:$D$4378,D3618)*9,0)</f>
        <v>0</v>
      </c>
      <c r="H3618" s="1" t="n">
        <f aca="false">ROUND(_xlfn.PERCENTRANK.INC($E$7:$E$4378,E3618)*9,0)</f>
        <v>1</v>
      </c>
      <c r="I3618" s="1" t="str">
        <f aca="false">CONCATENATE(F3618,G3618,H3618)</f>
        <v>201</v>
      </c>
      <c r="J3618" s="1" t="str">
        <f aca="false">_xlfn.IFS(AND(F3618&gt;=8,G3618&gt;=8,H3618&gt;=8),"CHAMPION",AND(F3618&gt;=6,G3618&gt;=7,H3618&gt;=6),"LOYAL CUSTOMER",AND(F3618&gt;=6,G3618&gt;=5,H3618&gt;=5),"POTENTIAL LOYALIST",AND(F3618&gt;=8,G3618&lt;=2,H3618&gt;=5),"NEW CUSTOMERS",AND(F3618&gt;=6,G3618&lt;=2,H3618&gt;=3),"PROMISING",AND(F3618&gt;=3,G3618&gt;=3,H3618&gt;=3),"NEED ATTENTION",AND(F3618&lt;=4,G3618&gt;=6,H3618&gt;=6),"AT RISK",AND(F3618&lt;=2,G3618&gt;=8,H3618&gt;=8),"CAN'T LOSE THEM",AND(F3618&lt;=2,G3618&lt;=2,H3618&lt;=2),"HIBERNATING",TRUE(),"Other")</f>
        <v>HIBERNATING</v>
      </c>
      <c r="K3618" s="1" t="n">
        <f aca="false">RANK(E3618,$E$7:$E$4378)+COUNTIF($E$7:E3618,E3618)-1</f>
        <v>3799</v>
      </c>
    </row>
    <row r="3619" customFormat="false" ht="14.25" hidden="false" customHeight="true" outlineLevel="0" collapsed="false">
      <c r="A3619" s="51" t="n">
        <v>17247</v>
      </c>
      <c r="B3619" s="53" t="n">
        <v>40871.6395833333</v>
      </c>
      <c r="C3619" s="57" t="n">
        <f aca="false">INT($C$2)-INT(Table3[[#This Row],[Last Purchase Date]])</f>
        <v>16</v>
      </c>
      <c r="D3619" s="1" t="n">
        <v>1</v>
      </c>
      <c r="E3619" s="1" t="n">
        <v>282.19</v>
      </c>
      <c r="F3619" s="1" t="n">
        <f aca="false">ROUND((1-_xlfn.PERCENTRANK.INC($C$7:$C$4378,C3619))*9,0)</f>
        <v>7</v>
      </c>
      <c r="G3619" s="1" t="n">
        <f aca="false">ROUND(_xlfn.PERCENTRANK.INC($D$7:$D$4378,D3619)*9,0)</f>
        <v>0</v>
      </c>
      <c r="H3619" s="1" t="n">
        <f aca="false">ROUND(_xlfn.PERCENTRANK.INC($E$7:$E$4378,E3619)*9,0)</f>
        <v>2</v>
      </c>
      <c r="I3619" s="1" t="str">
        <f aca="false">CONCATENATE(F3619,G3619,H3619)</f>
        <v>702</v>
      </c>
      <c r="J3619" s="1" t="str">
        <f aca="false">_xlfn.IFS(AND(F3619&gt;=8,G3619&gt;=8,H3619&gt;=8),"CHAMPION",AND(F3619&gt;=6,G3619&gt;=7,H3619&gt;=6),"LOYAL CUSTOMER",AND(F3619&gt;=6,G3619&gt;=5,H3619&gt;=5),"POTENTIAL LOYALIST",AND(F3619&gt;=8,G3619&lt;=2,H3619&gt;=5),"NEW CUSTOMERS",AND(F3619&gt;=6,G3619&lt;=2,H3619&gt;=3),"PROMISING",AND(F3619&gt;=3,G3619&gt;=3,H3619&gt;=3),"NEED ATTENTION",AND(F3619&lt;=4,G3619&gt;=6,H3619&gt;=6),"AT RISK",AND(F3619&lt;=2,G3619&gt;=8,H3619&gt;=8),"CAN'T LOSE THEM",AND(F3619&lt;=2,G3619&lt;=2,H3619&lt;=2),"HIBERNATING",TRUE(),"Other")</f>
        <v>Other</v>
      </c>
      <c r="K3619" s="1" t="n">
        <f aca="false">RANK(E3619,$E$7:$E$4378)+COUNTIF($E$7:E3619,E3619)-1</f>
        <v>3320</v>
      </c>
    </row>
    <row r="3620" customFormat="false" ht="14.25" hidden="false" customHeight="true" outlineLevel="0" collapsed="false">
      <c r="A3620" s="51" t="n">
        <v>17248</v>
      </c>
      <c r="B3620" s="53" t="n">
        <v>40766.5652777778</v>
      </c>
      <c r="C3620" s="57" t="n">
        <f aca="false">INT($C$2)-INT(Table3[[#This Row],[Last Purchase Date]])</f>
        <v>121</v>
      </c>
      <c r="D3620" s="1" t="n">
        <v>1</v>
      </c>
      <c r="E3620" s="1" t="n">
        <v>318.65</v>
      </c>
      <c r="F3620" s="1" t="n">
        <f aca="false">ROUND((1-_xlfn.PERCENTRANK.INC($C$7:$C$4378,C3620))*9,0)</f>
        <v>3</v>
      </c>
      <c r="G3620" s="1" t="n">
        <f aca="false">ROUND(_xlfn.PERCENTRANK.INC($D$7:$D$4378,D3620)*9,0)</f>
        <v>0</v>
      </c>
      <c r="H3620" s="1" t="n">
        <f aca="false">ROUND(_xlfn.PERCENTRANK.INC($E$7:$E$4378,E3620)*9,0)</f>
        <v>3</v>
      </c>
      <c r="I3620" s="1" t="str">
        <f aca="false">CONCATENATE(F3620,G3620,H3620)</f>
        <v>303</v>
      </c>
      <c r="J3620" s="1" t="str">
        <f aca="false">_xlfn.IFS(AND(F3620&gt;=8,G3620&gt;=8,H3620&gt;=8),"CHAMPION",AND(F3620&gt;=6,G3620&gt;=7,H3620&gt;=6),"LOYAL CUSTOMER",AND(F3620&gt;=6,G3620&gt;=5,H3620&gt;=5),"POTENTIAL LOYALIST",AND(F3620&gt;=8,G3620&lt;=2,H3620&gt;=5),"NEW CUSTOMERS",AND(F3620&gt;=6,G3620&lt;=2,H3620&gt;=3),"PROMISING",AND(F3620&gt;=3,G3620&gt;=3,H3620&gt;=3),"NEED ATTENTION",AND(F3620&lt;=4,G3620&gt;=6,H3620&gt;=6),"AT RISK",AND(F3620&lt;=2,G3620&gt;=8,H3620&gt;=8),"CAN'T LOSE THEM",AND(F3620&lt;=2,G3620&lt;=2,H3620&lt;=2),"HIBERNATING",TRUE(),"Other")</f>
        <v>Other</v>
      </c>
      <c r="K3620" s="1" t="n">
        <f aca="false">RANK(E3620,$E$7:$E$4378)+COUNTIF($E$7:E3620,E3620)-1</f>
        <v>3146</v>
      </c>
    </row>
    <row r="3621" customFormat="false" ht="14.25" hidden="false" customHeight="true" outlineLevel="0" collapsed="false">
      <c r="A3621" s="51" t="n">
        <v>17250</v>
      </c>
      <c r="B3621" s="53" t="n">
        <v>40883.5104166667</v>
      </c>
      <c r="C3621" s="57" t="n">
        <f aca="false">INT($C$2)-INT(Table3[[#This Row],[Last Purchase Date]])</f>
        <v>4</v>
      </c>
      <c r="D3621" s="1" t="n">
        <v>2</v>
      </c>
      <c r="E3621" s="1" t="n">
        <v>384.52</v>
      </c>
      <c r="F3621" s="1" t="n">
        <f aca="false">ROUND((1-_xlfn.PERCENTRANK.INC($C$7:$C$4378,C3621))*9,0)</f>
        <v>8</v>
      </c>
      <c r="G3621" s="1" t="n">
        <f aca="false">ROUND(_xlfn.PERCENTRANK.INC($D$7:$D$4378,D3621)*9,0)</f>
        <v>3</v>
      </c>
      <c r="H3621" s="1" t="n">
        <f aca="false">ROUND(_xlfn.PERCENTRANK.INC($E$7:$E$4378,E3621)*9,0)</f>
        <v>3</v>
      </c>
      <c r="I3621" s="1" t="str">
        <f aca="false">CONCATENATE(F3621,G3621,H3621)</f>
        <v>833</v>
      </c>
      <c r="J3621" s="1" t="str">
        <f aca="false">_xlfn.IFS(AND(F3621&gt;=8,G3621&gt;=8,H3621&gt;=8),"CHAMPION",AND(F3621&gt;=6,G3621&gt;=7,H3621&gt;=6),"LOYAL CUSTOMER",AND(F3621&gt;=6,G3621&gt;=5,H3621&gt;=5),"POTENTIAL LOYALIST",AND(F3621&gt;=8,G3621&lt;=2,H3621&gt;=5),"NEW CUSTOMERS",AND(F3621&gt;=6,G3621&lt;=2,H3621&gt;=3),"PROMISING",AND(F3621&gt;=3,G3621&gt;=3,H3621&gt;=3),"NEED ATTENTION",AND(F3621&lt;=4,G3621&gt;=6,H3621&gt;=6),"AT RISK",AND(F3621&lt;=2,G3621&gt;=8,H3621&gt;=8),"CAN'T LOSE THEM",AND(F3621&lt;=2,G3621&lt;=2,H3621&lt;=2),"HIBERNATING",TRUE(),"Other")</f>
        <v>NEED ATTENTION</v>
      </c>
      <c r="K3621" s="1" t="n">
        <f aca="false">RANK(E3621,$E$7:$E$4378)+COUNTIF($E$7:E3621,E3621)-1</f>
        <v>2868</v>
      </c>
    </row>
    <row r="3622" customFormat="false" ht="14.25" hidden="false" customHeight="true" outlineLevel="0" collapsed="false">
      <c r="A3622" s="51" t="n">
        <v>17251</v>
      </c>
      <c r="B3622" s="53" t="n">
        <v>40524.4625</v>
      </c>
      <c r="C3622" s="57" t="n">
        <f aca="false">INT($C$2)-INT(Table3[[#This Row],[Last Purchase Date]])</f>
        <v>363</v>
      </c>
      <c r="D3622" s="1" t="n">
        <v>1</v>
      </c>
      <c r="E3622" s="1" t="n">
        <v>283.28</v>
      </c>
      <c r="F3622" s="1" t="n">
        <f aca="false">ROUND((1-_xlfn.PERCENTRANK.INC($C$7:$C$4378,C3622))*9,0)</f>
        <v>0</v>
      </c>
      <c r="G3622" s="1" t="n">
        <f aca="false">ROUND(_xlfn.PERCENTRANK.INC($D$7:$D$4378,D3622)*9,0)</f>
        <v>0</v>
      </c>
      <c r="H3622" s="1" t="n">
        <f aca="false">ROUND(_xlfn.PERCENTRANK.INC($E$7:$E$4378,E3622)*9,0)</f>
        <v>2</v>
      </c>
      <c r="I3622" s="1" t="str">
        <f aca="false">CONCATENATE(F3622,G3622,H3622)</f>
        <v>002</v>
      </c>
      <c r="J3622" s="1" t="str">
        <f aca="false">_xlfn.IFS(AND(F3622&gt;=8,G3622&gt;=8,H3622&gt;=8),"CHAMPION",AND(F3622&gt;=6,G3622&gt;=7,H3622&gt;=6),"LOYAL CUSTOMER",AND(F3622&gt;=6,G3622&gt;=5,H3622&gt;=5),"POTENTIAL LOYALIST",AND(F3622&gt;=8,G3622&lt;=2,H3622&gt;=5),"NEW CUSTOMERS",AND(F3622&gt;=6,G3622&lt;=2,H3622&gt;=3),"PROMISING",AND(F3622&gt;=3,G3622&gt;=3,H3622&gt;=3),"NEED ATTENTION",AND(F3622&lt;=4,G3622&gt;=6,H3622&gt;=6),"AT RISK",AND(F3622&lt;=2,G3622&gt;=8,H3622&gt;=8),"CAN'T LOSE THEM",AND(F3622&lt;=2,G3622&lt;=2,H3622&lt;=2),"HIBERNATING",TRUE(),"Other")</f>
        <v>HIBERNATING</v>
      </c>
      <c r="K3622" s="1" t="n">
        <f aca="false">RANK(E3622,$E$7:$E$4378)+COUNTIF($E$7:E3622,E3622)-1</f>
        <v>3316</v>
      </c>
    </row>
    <row r="3623" customFormat="false" ht="14.25" hidden="false" customHeight="true" outlineLevel="0" collapsed="false">
      <c r="A3623" s="51" t="n">
        <v>17252</v>
      </c>
      <c r="B3623" s="53" t="n">
        <v>40770.40625</v>
      </c>
      <c r="C3623" s="57" t="n">
        <f aca="false">INT($C$2)-INT(Table3[[#This Row],[Last Purchase Date]])</f>
        <v>117</v>
      </c>
      <c r="D3623" s="1" t="n">
        <v>2</v>
      </c>
      <c r="E3623" s="1" t="n">
        <v>353.86</v>
      </c>
      <c r="F3623" s="1" t="n">
        <f aca="false">ROUND((1-_xlfn.PERCENTRANK.INC($C$7:$C$4378,C3623))*9,0)</f>
        <v>3</v>
      </c>
      <c r="G3623" s="1" t="n">
        <f aca="false">ROUND(_xlfn.PERCENTRANK.INC($D$7:$D$4378,D3623)*9,0)</f>
        <v>3</v>
      </c>
      <c r="H3623" s="1" t="n">
        <f aca="false">ROUND(_xlfn.PERCENTRANK.INC($E$7:$E$4378,E3623)*9,0)</f>
        <v>3</v>
      </c>
      <c r="I3623" s="1" t="str">
        <f aca="false">CONCATENATE(F3623,G3623,H3623)</f>
        <v>333</v>
      </c>
      <c r="J3623" s="1" t="str">
        <f aca="false">_xlfn.IFS(AND(F3623&gt;=8,G3623&gt;=8,H3623&gt;=8),"CHAMPION",AND(F3623&gt;=6,G3623&gt;=7,H3623&gt;=6),"LOYAL CUSTOMER",AND(F3623&gt;=6,G3623&gt;=5,H3623&gt;=5),"POTENTIAL LOYALIST",AND(F3623&gt;=8,G3623&lt;=2,H3623&gt;=5),"NEW CUSTOMERS",AND(F3623&gt;=6,G3623&lt;=2,H3623&gt;=3),"PROMISING",AND(F3623&gt;=3,G3623&gt;=3,H3623&gt;=3),"NEED ATTENTION",AND(F3623&lt;=4,G3623&gt;=6,H3623&gt;=6),"AT RISK",AND(F3623&lt;=2,G3623&gt;=8,H3623&gt;=8),"CAN'T LOSE THEM",AND(F3623&lt;=2,G3623&lt;=2,H3623&lt;=2),"HIBERNATING",TRUE(),"Other")</f>
        <v>NEED ATTENTION</v>
      </c>
      <c r="K3623" s="1" t="n">
        <f aca="false">RANK(E3623,$E$7:$E$4378)+COUNTIF($E$7:E3623,E3623)-1</f>
        <v>2990</v>
      </c>
    </row>
    <row r="3624" customFormat="false" ht="14.25" hidden="false" customHeight="true" outlineLevel="0" collapsed="false">
      <c r="A3624" s="51" t="n">
        <v>17253</v>
      </c>
      <c r="B3624" s="53" t="n">
        <v>40868.5409722222</v>
      </c>
      <c r="C3624" s="57" t="n">
        <f aca="false">INT($C$2)-INT(Table3[[#This Row],[Last Purchase Date]])</f>
        <v>19</v>
      </c>
      <c r="D3624" s="1" t="n">
        <v>1</v>
      </c>
      <c r="E3624" s="1" t="n">
        <v>178.26</v>
      </c>
      <c r="F3624" s="1" t="n">
        <f aca="false">ROUND((1-_xlfn.PERCENTRANK.INC($C$7:$C$4378,C3624))*9,0)</f>
        <v>7</v>
      </c>
      <c r="G3624" s="1" t="n">
        <f aca="false">ROUND(_xlfn.PERCENTRANK.INC($D$7:$D$4378,D3624)*9,0)</f>
        <v>0</v>
      </c>
      <c r="H3624" s="1" t="n">
        <f aca="false">ROUND(_xlfn.PERCENTRANK.INC($E$7:$E$4378,E3624)*9,0)</f>
        <v>1</v>
      </c>
      <c r="I3624" s="1" t="str">
        <f aca="false">CONCATENATE(F3624,G3624,H3624)</f>
        <v>701</v>
      </c>
      <c r="J3624" s="1" t="str">
        <f aca="false">_xlfn.IFS(AND(F3624&gt;=8,G3624&gt;=8,H3624&gt;=8),"CHAMPION",AND(F3624&gt;=6,G3624&gt;=7,H3624&gt;=6),"LOYAL CUSTOMER",AND(F3624&gt;=6,G3624&gt;=5,H3624&gt;=5),"POTENTIAL LOYALIST",AND(F3624&gt;=8,G3624&lt;=2,H3624&gt;=5),"NEW CUSTOMERS",AND(F3624&gt;=6,G3624&lt;=2,H3624&gt;=3),"PROMISING",AND(F3624&gt;=3,G3624&gt;=3,H3624&gt;=3),"NEED ATTENTION",AND(F3624&lt;=4,G3624&gt;=6,H3624&gt;=6),"AT RISK",AND(F3624&lt;=2,G3624&gt;=8,H3624&gt;=8),"CAN'T LOSE THEM",AND(F3624&lt;=2,G3624&lt;=2,H3624&lt;=2),"HIBERNATING",TRUE(),"Other")</f>
        <v>Other</v>
      </c>
      <c r="K3624" s="1" t="n">
        <f aca="false">RANK(E3624,$E$7:$E$4378)+COUNTIF($E$7:E3624,E3624)-1</f>
        <v>3766</v>
      </c>
    </row>
    <row r="3625" customFormat="false" ht="14.25" hidden="false" customHeight="true" outlineLevel="0" collapsed="false">
      <c r="A3625" s="51" t="n">
        <v>17254</v>
      </c>
      <c r="B3625" s="53" t="n">
        <v>40882.5319444445</v>
      </c>
      <c r="C3625" s="57" t="n">
        <f aca="false">INT($C$2)-INT(Table3[[#This Row],[Last Purchase Date]])</f>
        <v>5</v>
      </c>
      <c r="D3625" s="1" t="n">
        <v>2</v>
      </c>
      <c r="E3625" s="1" t="n">
        <v>272.44</v>
      </c>
      <c r="F3625" s="1" t="n">
        <f aca="false">ROUND((1-_xlfn.PERCENTRANK.INC($C$7:$C$4378,C3625))*9,0)</f>
        <v>8</v>
      </c>
      <c r="G3625" s="1" t="n">
        <f aca="false">ROUND(_xlfn.PERCENTRANK.INC($D$7:$D$4378,D3625)*9,0)</f>
        <v>3</v>
      </c>
      <c r="H3625" s="1" t="n">
        <f aca="false">ROUND(_xlfn.PERCENTRANK.INC($E$7:$E$4378,E3625)*9,0)</f>
        <v>2</v>
      </c>
      <c r="I3625" s="1" t="str">
        <f aca="false">CONCATENATE(F3625,G3625,H3625)</f>
        <v>832</v>
      </c>
      <c r="J3625" s="1" t="str">
        <f aca="false">_xlfn.IFS(AND(F3625&gt;=8,G3625&gt;=8,H3625&gt;=8),"CHAMPION",AND(F3625&gt;=6,G3625&gt;=7,H3625&gt;=6),"LOYAL CUSTOMER",AND(F3625&gt;=6,G3625&gt;=5,H3625&gt;=5),"POTENTIAL LOYALIST",AND(F3625&gt;=8,G3625&lt;=2,H3625&gt;=5),"NEW CUSTOMERS",AND(F3625&gt;=6,G3625&lt;=2,H3625&gt;=3),"PROMISING",AND(F3625&gt;=3,G3625&gt;=3,H3625&gt;=3),"NEED ATTENTION",AND(F3625&lt;=4,G3625&gt;=6,H3625&gt;=6),"AT RISK",AND(F3625&lt;=2,G3625&gt;=8,H3625&gt;=8),"CAN'T LOSE THEM",AND(F3625&lt;=2,G3625&lt;=2,H3625&lt;=2),"HIBERNATING",TRUE(),"Other")</f>
        <v>Other</v>
      </c>
      <c r="K3625" s="1" t="n">
        <f aca="false">RANK(E3625,$E$7:$E$4378)+COUNTIF($E$7:E3625,E3625)-1</f>
        <v>3349</v>
      </c>
    </row>
    <row r="3626" customFormat="false" ht="14.25" hidden="false" customHeight="true" outlineLevel="0" collapsed="false">
      <c r="A3626" s="51" t="n">
        <v>17255</v>
      </c>
      <c r="B3626" s="53" t="n">
        <v>40846.5125</v>
      </c>
      <c r="C3626" s="57" t="n">
        <f aca="false">INT($C$2)-INT(Table3[[#This Row],[Last Purchase Date]])</f>
        <v>41</v>
      </c>
      <c r="D3626" s="1" t="n">
        <v>2</v>
      </c>
      <c r="E3626" s="1" t="n">
        <v>298.41</v>
      </c>
      <c r="F3626" s="1" t="n">
        <f aca="false">ROUND((1-_xlfn.PERCENTRANK.INC($C$7:$C$4378,C3626))*9,0)</f>
        <v>5</v>
      </c>
      <c r="G3626" s="1" t="n">
        <f aca="false">ROUND(_xlfn.PERCENTRANK.INC($D$7:$D$4378,D3626)*9,0)</f>
        <v>3</v>
      </c>
      <c r="H3626" s="1" t="n">
        <f aca="false">ROUND(_xlfn.PERCENTRANK.INC($E$7:$E$4378,E3626)*9,0)</f>
        <v>2</v>
      </c>
      <c r="I3626" s="1" t="str">
        <f aca="false">CONCATENATE(F3626,G3626,H3626)</f>
        <v>532</v>
      </c>
      <c r="J3626" s="1" t="str">
        <f aca="false">_xlfn.IFS(AND(F3626&gt;=8,G3626&gt;=8,H3626&gt;=8),"CHAMPION",AND(F3626&gt;=6,G3626&gt;=7,H3626&gt;=6),"LOYAL CUSTOMER",AND(F3626&gt;=6,G3626&gt;=5,H3626&gt;=5),"POTENTIAL LOYALIST",AND(F3626&gt;=8,G3626&lt;=2,H3626&gt;=5),"NEW CUSTOMERS",AND(F3626&gt;=6,G3626&lt;=2,H3626&gt;=3),"PROMISING",AND(F3626&gt;=3,G3626&gt;=3,H3626&gt;=3),"NEED ATTENTION",AND(F3626&lt;=4,G3626&gt;=6,H3626&gt;=6),"AT RISK",AND(F3626&lt;=2,G3626&gt;=8,H3626&gt;=8),"CAN'T LOSE THEM",AND(F3626&lt;=2,G3626&lt;=2,H3626&lt;=2),"HIBERNATING",TRUE(),"Other")</f>
        <v>Other</v>
      </c>
      <c r="K3626" s="1" t="n">
        <f aca="false">RANK(E3626,$E$7:$E$4378)+COUNTIF($E$7:E3626,E3626)-1</f>
        <v>3259</v>
      </c>
    </row>
    <row r="3627" customFormat="false" ht="14.25" hidden="false" customHeight="true" outlineLevel="0" collapsed="false">
      <c r="A3627" s="51" t="n">
        <v>17256</v>
      </c>
      <c r="B3627" s="53" t="n">
        <v>40779.5625</v>
      </c>
      <c r="C3627" s="57" t="n">
        <f aca="false">INT($C$2)-INT(Table3[[#This Row],[Last Purchase Date]])</f>
        <v>108</v>
      </c>
      <c r="D3627" s="1" t="n">
        <v>2</v>
      </c>
      <c r="E3627" s="1" t="n">
        <v>240</v>
      </c>
      <c r="F3627" s="1" t="n">
        <f aca="false">ROUND((1-_xlfn.PERCENTRANK.INC($C$7:$C$4378,C3627))*9,0)</f>
        <v>3</v>
      </c>
      <c r="G3627" s="1" t="n">
        <f aca="false">ROUND(_xlfn.PERCENTRANK.INC($D$7:$D$4378,D3627)*9,0)</f>
        <v>3</v>
      </c>
      <c r="H3627" s="1" t="n">
        <f aca="false">ROUND(_xlfn.PERCENTRANK.INC($E$7:$E$4378,E3627)*9,0)</f>
        <v>2</v>
      </c>
      <c r="I3627" s="1" t="str">
        <f aca="false">CONCATENATE(F3627,G3627,H3627)</f>
        <v>332</v>
      </c>
      <c r="J3627" s="1" t="str">
        <f aca="false">_xlfn.IFS(AND(F3627&gt;=8,G3627&gt;=8,H3627&gt;=8),"CHAMPION",AND(F3627&gt;=6,G3627&gt;=7,H3627&gt;=6),"LOYAL CUSTOMER",AND(F3627&gt;=6,G3627&gt;=5,H3627&gt;=5),"POTENTIAL LOYALIST",AND(F3627&gt;=8,G3627&lt;=2,H3627&gt;=5),"NEW CUSTOMERS",AND(F3627&gt;=6,G3627&lt;=2,H3627&gt;=3),"PROMISING",AND(F3627&gt;=3,G3627&gt;=3,H3627&gt;=3),"NEED ATTENTION",AND(F3627&lt;=4,G3627&gt;=6,H3627&gt;=6),"AT RISK",AND(F3627&lt;=2,G3627&gt;=8,H3627&gt;=8),"CAN'T LOSE THEM",AND(F3627&lt;=2,G3627&lt;=2,H3627&lt;=2),"HIBERNATING",TRUE(),"Other")</f>
        <v>Other</v>
      </c>
      <c r="K3627" s="1" t="n">
        <f aca="false">RANK(E3627,$E$7:$E$4378)+COUNTIF($E$7:E3627,E3627)-1</f>
        <v>3480</v>
      </c>
    </row>
    <row r="3628" customFormat="false" ht="14.25" hidden="false" customHeight="true" outlineLevel="0" collapsed="false">
      <c r="A3628" s="51" t="n">
        <v>17259</v>
      </c>
      <c r="B3628" s="53" t="n">
        <v>40738.6256944445</v>
      </c>
      <c r="C3628" s="57" t="n">
        <f aca="false">INT($C$2)-INT(Table3[[#This Row],[Last Purchase Date]])</f>
        <v>149</v>
      </c>
      <c r="D3628" s="1" t="n">
        <v>2</v>
      </c>
      <c r="E3628" s="1" t="n">
        <v>603.37</v>
      </c>
      <c r="F3628" s="1" t="n">
        <f aca="false">ROUND((1-_xlfn.PERCENTRANK.INC($C$7:$C$4378,C3628))*9,0)</f>
        <v>2</v>
      </c>
      <c r="G3628" s="1" t="n">
        <f aca="false">ROUND(_xlfn.PERCENTRANK.INC($D$7:$D$4378,D3628)*9,0)</f>
        <v>3</v>
      </c>
      <c r="H3628" s="1" t="n">
        <f aca="false">ROUND(_xlfn.PERCENTRANK.INC($E$7:$E$4378,E3628)*9,0)</f>
        <v>4</v>
      </c>
      <c r="I3628" s="1" t="str">
        <f aca="false">CONCATENATE(F3628,G3628,H3628)</f>
        <v>234</v>
      </c>
      <c r="J3628" s="1" t="str">
        <f aca="false">_xlfn.IFS(AND(F3628&gt;=8,G3628&gt;=8,H3628&gt;=8),"CHAMPION",AND(F3628&gt;=6,G3628&gt;=7,H3628&gt;=6),"LOYAL CUSTOMER",AND(F3628&gt;=6,G3628&gt;=5,H3628&gt;=5),"POTENTIAL LOYALIST",AND(F3628&gt;=8,G3628&lt;=2,H3628&gt;=5),"NEW CUSTOMERS",AND(F3628&gt;=6,G3628&lt;=2,H3628&gt;=3),"PROMISING",AND(F3628&gt;=3,G3628&gt;=3,H3628&gt;=3),"NEED ATTENTION",AND(F3628&lt;=4,G3628&gt;=6,H3628&gt;=6),"AT RISK",AND(F3628&lt;=2,G3628&gt;=8,H3628&gt;=8),"CAN'T LOSE THEM",AND(F3628&lt;=2,G3628&lt;=2,H3628&lt;=2),"HIBERNATING",TRUE(),"Other")</f>
        <v>Other</v>
      </c>
      <c r="K3628" s="1" t="n">
        <f aca="false">RANK(E3628,$E$7:$E$4378)+COUNTIF($E$7:E3628,E3628)-1</f>
        <v>2307</v>
      </c>
    </row>
    <row r="3629" customFormat="false" ht="14.25" hidden="false" customHeight="true" outlineLevel="0" collapsed="false">
      <c r="A3629" s="51" t="n">
        <v>17262</v>
      </c>
      <c r="B3629" s="53" t="n">
        <v>40834.5388888889</v>
      </c>
      <c r="C3629" s="57" t="n">
        <f aca="false">INT($C$2)-INT(Table3[[#This Row],[Last Purchase Date]])</f>
        <v>53</v>
      </c>
      <c r="D3629" s="1" t="n">
        <v>5</v>
      </c>
      <c r="E3629" s="1" t="n">
        <v>1253.36</v>
      </c>
      <c r="F3629" s="1" t="n">
        <f aca="false">ROUND((1-_xlfn.PERCENTRANK.INC($C$7:$C$4378,C3629))*9,0)</f>
        <v>4</v>
      </c>
      <c r="G3629" s="1" t="n">
        <f aca="false">ROUND(_xlfn.PERCENTRANK.INC($D$7:$D$4378,D3629)*9,0)</f>
        <v>6</v>
      </c>
      <c r="H3629" s="1" t="n">
        <f aca="false">ROUND(_xlfn.PERCENTRANK.INC($E$7:$E$4378,E3629)*9,0)</f>
        <v>6</v>
      </c>
      <c r="I3629" s="1" t="str">
        <f aca="false">CONCATENATE(F3629,G3629,H3629)</f>
        <v>466</v>
      </c>
      <c r="J3629" s="1" t="str">
        <f aca="false">_xlfn.IFS(AND(F3629&gt;=8,G3629&gt;=8,H3629&gt;=8),"CHAMPION",AND(F3629&gt;=6,G3629&gt;=7,H3629&gt;=6),"LOYAL CUSTOMER",AND(F3629&gt;=6,G3629&gt;=5,H3629&gt;=5),"POTENTIAL LOYALIST",AND(F3629&gt;=8,G3629&lt;=2,H3629&gt;=5),"NEW CUSTOMERS",AND(F3629&gt;=6,G3629&lt;=2,H3629&gt;=3),"PROMISING",AND(F3629&gt;=3,G3629&gt;=3,H3629&gt;=3),"NEED ATTENTION",AND(F3629&lt;=4,G3629&gt;=6,H3629&gt;=6),"AT RISK",AND(F3629&lt;=2,G3629&gt;=8,H3629&gt;=8),"CAN'T LOSE THEM",AND(F3629&lt;=2,G3629&lt;=2,H3629&lt;=2),"HIBERNATING",TRUE(),"Other")</f>
        <v>NEED ATTENTION</v>
      </c>
      <c r="K3629" s="1" t="n">
        <f aca="false">RANK(E3629,$E$7:$E$4378)+COUNTIF($E$7:E3629,E3629)-1</f>
        <v>1371</v>
      </c>
    </row>
    <row r="3630" customFormat="false" ht="14.25" hidden="false" customHeight="true" outlineLevel="0" collapsed="false">
      <c r="A3630" s="51" t="n">
        <v>17263</v>
      </c>
      <c r="B3630" s="53" t="n">
        <v>40678.6055555556</v>
      </c>
      <c r="C3630" s="57" t="n">
        <f aca="false">INT($C$2)-INT(Table3[[#This Row],[Last Purchase Date]])</f>
        <v>209</v>
      </c>
      <c r="D3630" s="1" t="n">
        <v>1</v>
      </c>
      <c r="E3630" s="1" t="n">
        <v>63.44</v>
      </c>
      <c r="F3630" s="1" t="n">
        <f aca="false">ROUND((1-_xlfn.PERCENTRANK.INC($C$7:$C$4378,C3630))*9,0)</f>
        <v>1</v>
      </c>
      <c r="G3630" s="1" t="n">
        <f aca="false">ROUND(_xlfn.PERCENTRANK.INC($D$7:$D$4378,D3630)*9,0)</f>
        <v>0</v>
      </c>
      <c r="H3630" s="1" t="n">
        <f aca="false">ROUND(_xlfn.PERCENTRANK.INC($E$7:$E$4378,E3630)*9,0)</f>
        <v>0</v>
      </c>
      <c r="I3630" s="1" t="str">
        <f aca="false">CONCATENATE(F3630,G3630,H3630)</f>
        <v>100</v>
      </c>
      <c r="J3630" s="1" t="str">
        <f aca="false">_xlfn.IFS(AND(F3630&gt;=8,G3630&gt;=8,H3630&gt;=8),"CHAMPION",AND(F3630&gt;=6,G3630&gt;=7,H3630&gt;=6),"LOYAL CUSTOMER",AND(F3630&gt;=6,G3630&gt;=5,H3630&gt;=5),"POTENTIAL LOYALIST",AND(F3630&gt;=8,G3630&lt;=2,H3630&gt;=5),"NEW CUSTOMERS",AND(F3630&gt;=6,G3630&lt;=2,H3630&gt;=3),"PROMISING",AND(F3630&gt;=3,G3630&gt;=3,H3630&gt;=3),"NEED ATTENTION",AND(F3630&lt;=4,G3630&gt;=6,H3630&gt;=6),"AT RISK",AND(F3630&lt;=2,G3630&gt;=8,H3630&gt;=8),"CAN'T LOSE THEM",AND(F3630&lt;=2,G3630&lt;=2,H3630&lt;=2),"HIBERNATING",TRUE(),"Other")</f>
        <v>HIBERNATING</v>
      </c>
      <c r="K3630" s="1" t="n">
        <f aca="false">RANK(E3630,$E$7:$E$4378)+COUNTIF($E$7:E3630,E3630)-1</f>
        <v>4257</v>
      </c>
    </row>
    <row r="3631" customFormat="false" ht="14.25" hidden="false" customHeight="true" outlineLevel="0" collapsed="false">
      <c r="A3631" s="51" t="n">
        <v>17265</v>
      </c>
      <c r="B3631" s="53" t="n">
        <v>40748.4506944444</v>
      </c>
      <c r="C3631" s="57" t="n">
        <f aca="false">INT($C$2)-INT(Table3[[#This Row],[Last Purchase Date]])</f>
        <v>139</v>
      </c>
      <c r="D3631" s="1" t="n">
        <v>2</v>
      </c>
      <c r="E3631" s="1" t="n">
        <v>562.9</v>
      </c>
      <c r="F3631" s="1" t="n">
        <f aca="false">ROUND((1-_xlfn.PERCENTRANK.INC($C$7:$C$4378,C3631))*9,0)</f>
        <v>2</v>
      </c>
      <c r="G3631" s="1" t="n">
        <f aca="false">ROUND(_xlfn.PERCENTRANK.INC($D$7:$D$4378,D3631)*9,0)</f>
        <v>3</v>
      </c>
      <c r="H3631" s="1" t="n">
        <f aca="false">ROUND(_xlfn.PERCENTRANK.INC($E$7:$E$4378,E3631)*9,0)</f>
        <v>4</v>
      </c>
      <c r="I3631" s="1" t="str">
        <f aca="false">CONCATENATE(F3631,G3631,H3631)</f>
        <v>234</v>
      </c>
      <c r="J3631" s="1" t="str">
        <f aca="false">_xlfn.IFS(AND(F3631&gt;=8,G3631&gt;=8,H3631&gt;=8),"CHAMPION",AND(F3631&gt;=6,G3631&gt;=7,H3631&gt;=6),"LOYAL CUSTOMER",AND(F3631&gt;=6,G3631&gt;=5,H3631&gt;=5),"POTENTIAL LOYALIST",AND(F3631&gt;=8,G3631&lt;=2,H3631&gt;=5),"NEW CUSTOMERS",AND(F3631&gt;=6,G3631&lt;=2,H3631&gt;=3),"PROMISING",AND(F3631&gt;=3,G3631&gt;=3,H3631&gt;=3),"NEED ATTENTION",AND(F3631&lt;=4,G3631&gt;=6,H3631&gt;=6),"AT RISK",AND(F3631&lt;=2,G3631&gt;=8,H3631&gt;=8),"CAN'T LOSE THEM",AND(F3631&lt;=2,G3631&lt;=2,H3631&lt;=2),"HIBERNATING",TRUE(),"Other")</f>
        <v>Other</v>
      </c>
      <c r="K3631" s="1" t="n">
        <f aca="false">RANK(E3631,$E$7:$E$4378)+COUNTIF($E$7:E3631,E3631)-1</f>
        <v>2402</v>
      </c>
    </row>
    <row r="3632" customFormat="false" ht="14.25" hidden="false" customHeight="true" outlineLevel="0" collapsed="false">
      <c r="A3632" s="51" t="n">
        <v>17266</v>
      </c>
      <c r="B3632" s="53" t="n">
        <v>40884.5916666667</v>
      </c>
      <c r="C3632" s="57" t="n">
        <f aca="false">INT($C$2)-INT(Table3[[#This Row],[Last Purchase Date]])</f>
        <v>3</v>
      </c>
      <c r="D3632" s="1" t="n">
        <v>3</v>
      </c>
      <c r="E3632" s="1" t="n">
        <v>310.64</v>
      </c>
      <c r="F3632" s="1" t="n">
        <f aca="false">ROUND((1-_xlfn.PERCENTRANK.INC($C$7:$C$4378,C3632))*9,0)</f>
        <v>9</v>
      </c>
      <c r="G3632" s="1" t="n">
        <f aca="false">ROUND(_xlfn.PERCENTRANK.INC($D$7:$D$4378,D3632)*9,0)</f>
        <v>4</v>
      </c>
      <c r="H3632" s="1" t="n">
        <f aca="false">ROUND(_xlfn.PERCENTRANK.INC($E$7:$E$4378,E3632)*9,0)</f>
        <v>2</v>
      </c>
      <c r="I3632" s="1" t="str">
        <f aca="false">CONCATENATE(F3632,G3632,H3632)</f>
        <v>942</v>
      </c>
      <c r="J3632" s="1" t="str">
        <f aca="false">_xlfn.IFS(AND(F3632&gt;=8,G3632&gt;=8,H3632&gt;=8),"CHAMPION",AND(F3632&gt;=6,G3632&gt;=7,H3632&gt;=6),"LOYAL CUSTOMER",AND(F3632&gt;=6,G3632&gt;=5,H3632&gt;=5),"POTENTIAL LOYALIST",AND(F3632&gt;=8,G3632&lt;=2,H3632&gt;=5),"NEW CUSTOMERS",AND(F3632&gt;=6,G3632&lt;=2,H3632&gt;=3),"PROMISING",AND(F3632&gt;=3,G3632&gt;=3,H3632&gt;=3),"NEED ATTENTION",AND(F3632&lt;=4,G3632&gt;=6,H3632&gt;=6),"AT RISK",AND(F3632&lt;=2,G3632&gt;=8,H3632&gt;=8),"CAN'T LOSE THEM",AND(F3632&lt;=2,G3632&lt;=2,H3632&lt;=2),"HIBERNATING",TRUE(),"Other")</f>
        <v>Other</v>
      </c>
      <c r="K3632" s="1" t="n">
        <f aca="false">RANK(E3632,$E$7:$E$4378)+COUNTIF($E$7:E3632,E3632)-1</f>
        <v>3190</v>
      </c>
    </row>
    <row r="3633" customFormat="false" ht="14.25" hidden="false" customHeight="true" outlineLevel="0" collapsed="false">
      <c r="A3633" s="51" t="n">
        <v>17267</v>
      </c>
      <c r="B3633" s="53" t="n">
        <v>40759.7236111111</v>
      </c>
      <c r="C3633" s="57" t="n">
        <f aca="false">INT($C$2)-INT(Table3[[#This Row],[Last Purchase Date]])</f>
        <v>128</v>
      </c>
      <c r="D3633" s="1" t="n">
        <v>2</v>
      </c>
      <c r="E3633" s="1" t="n">
        <v>317.62</v>
      </c>
      <c r="F3633" s="1" t="n">
        <f aca="false">ROUND((1-_xlfn.PERCENTRANK.INC($C$7:$C$4378,C3633))*9,0)</f>
        <v>2</v>
      </c>
      <c r="G3633" s="1" t="n">
        <f aca="false">ROUND(_xlfn.PERCENTRANK.INC($D$7:$D$4378,D3633)*9,0)</f>
        <v>3</v>
      </c>
      <c r="H3633" s="1" t="n">
        <f aca="false">ROUND(_xlfn.PERCENTRANK.INC($E$7:$E$4378,E3633)*9,0)</f>
        <v>3</v>
      </c>
      <c r="I3633" s="1" t="str">
        <f aca="false">CONCATENATE(F3633,G3633,H3633)</f>
        <v>233</v>
      </c>
      <c r="J3633" s="1" t="str">
        <f aca="false">_xlfn.IFS(AND(F3633&gt;=8,G3633&gt;=8,H3633&gt;=8),"CHAMPION",AND(F3633&gt;=6,G3633&gt;=7,H3633&gt;=6),"LOYAL CUSTOMER",AND(F3633&gt;=6,G3633&gt;=5,H3633&gt;=5),"POTENTIAL LOYALIST",AND(F3633&gt;=8,G3633&lt;=2,H3633&gt;=5),"NEW CUSTOMERS",AND(F3633&gt;=6,G3633&lt;=2,H3633&gt;=3),"PROMISING",AND(F3633&gt;=3,G3633&gt;=3,H3633&gt;=3),"NEED ATTENTION",AND(F3633&lt;=4,G3633&gt;=6,H3633&gt;=6),"AT RISK",AND(F3633&lt;=2,G3633&gt;=8,H3633&gt;=8),"CAN'T LOSE THEM",AND(F3633&lt;=2,G3633&lt;=2,H3633&lt;=2),"HIBERNATING",TRUE(),"Other")</f>
        <v>Other</v>
      </c>
      <c r="K3633" s="1" t="n">
        <f aca="false">RANK(E3633,$E$7:$E$4378)+COUNTIF($E$7:E3633,E3633)-1</f>
        <v>3151</v>
      </c>
    </row>
    <row r="3634" customFormat="false" ht="14.25" hidden="false" customHeight="true" outlineLevel="0" collapsed="false">
      <c r="A3634" s="51" t="n">
        <v>17268</v>
      </c>
      <c r="B3634" s="53" t="n">
        <v>40779.4208333333</v>
      </c>
      <c r="C3634" s="57" t="n">
        <f aca="false">INT($C$2)-INT(Table3[[#This Row],[Last Purchase Date]])</f>
        <v>108</v>
      </c>
      <c r="D3634" s="1" t="n">
        <v>4</v>
      </c>
      <c r="E3634" s="1" t="n">
        <v>763.64</v>
      </c>
      <c r="F3634" s="1" t="n">
        <f aca="false">ROUND((1-_xlfn.PERCENTRANK.INC($C$7:$C$4378,C3634))*9,0)</f>
        <v>3</v>
      </c>
      <c r="G3634" s="1" t="n">
        <f aca="false">ROUND(_xlfn.PERCENTRANK.INC($D$7:$D$4378,D3634)*9,0)</f>
        <v>5</v>
      </c>
      <c r="H3634" s="1" t="n">
        <f aca="false">ROUND(_xlfn.PERCENTRANK.INC($E$7:$E$4378,E3634)*9,0)</f>
        <v>5</v>
      </c>
      <c r="I3634" s="1" t="str">
        <f aca="false">CONCATENATE(F3634,G3634,H3634)</f>
        <v>355</v>
      </c>
      <c r="J3634" s="1" t="str">
        <f aca="false">_xlfn.IFS(AND(F3634&gt;=8,G3634&gt;=8,H3634&gt;=8),"CHAMPION",AND(F3634&gt;=6,G3634&gt;=7,H3634&gt;=6),"LOYAL CUSTOMER",AND(F3634&gt;=6,G3634&gt;=5,H3634&gt;=5),"POTENTIAL LOYALIST",AND(F3634&gt;=8,G3634&lt;=2,H3634&gt;=5),"NEW CUSTOMERS",AND(F3634&gt;=6,G3634&lt;=2,H3634&gt;=3),"PROMISING",AND(F3634&gt;=3,G3634&gt;=3,H3634&gt;=3),"NEED ATTENTION",AND(F3634&lt;=4,G3634&gt;=6,H3634&gt;=6),"AT RISK",AND(F3634&lt;=2,G3634&gt;=8,H3634&gt;=8),"CAN'T LOSE THEM",AND(F3634&lt;=2,G3634&lt;=2,H3634&lt;=2),"HIBERNATING",TRUE(),"Other")</f>
        <v>NEED ATTENTION</v>
      </c>
      <c r="K3634" s="1" t="n">
        <f aca="false">RANK(E3634,$E$7:$E$4378)+COUNTIF($E$7:E3634,E3634)-1</f>
        <v>1959</v>
      </c>
    </row>
    <row r="3635" customFormat="false" ht="14.25" hidden="false" customHeight="true" outlineLevel="0" collapsed="false">
      <c r="A3635" s="51" t="n">
        <v>17272</v>
      </c>
      <c r="B3635" s="53" t="n">
        <v>40844.6923611111</v>
      </c>
      <c r="C3635" s="57" t="n">
        <f aca="false">INT($C$2)-INT(Table3[[#This Row],[Last Purchase Date]])</f>
        <v>43</v>
      </c>
      <c r="D3635" s="1" t="n">
        <v>5</v>
      </c>
      <c r="E3635" s="1" t="n">
        <v>2144.53</v>
      </c>
      <c r="F3635" s="1" t="n">
        <f aca="false">ROUND((1-_xlfn.PERCENTRANK.INC($C$7:$C$4378,C3635))*9,0)</f>
        <v>5</v>
      </c>
      <c r="G3635" s="1" t="n">
        <f aca="false">ROUND(_xlfn.PERCENTRANK.INC($D$7:$D$4378,D3635)*9,0)</f>
        <v>6</v>
      </c>
      <c r="H3635" s="1" t="n">
        <f aca="false">ROUND(_xlfn.PERCENTRANK.INC($E$7:$E$4378,E3635)*9,0)</f>
        <v>7</v>
      </c>
      <c r="I3635" s="1" t="str">
        <f aca="false">CONCATENATE(F3635,G3635,H3635)</f>
        <v>567</v>
      </c>
      <c r="J3635" s="1" t="str">
        <f aca="false">_xlfn.IFS(AND(F3635&gt;=8,G3635&gt;=8,H3635&gt;=8),"CHAMPION",AND(F3635&gt;=6,G3635&gt;=7,H3635&gt;=6),"LOYAL CUSTOMER",AND(F3635&gt;=6,G3635&gt;=5,H3635&gt;=5),"POTENTIAL LOYALIST",AND(F3635&gt;=8,G3635&lt;=2,H3635&gt;=5),"NEW CUSTOMERS",AND(F3635&gt;=6,G3635&lt;=2,H3635&gt;=3),"PROMISING",AND(F3635&gt;=3,G3635&gt;=3,H3635&gt;=3),"NEED ATTENTION",AND(F3635&lt;=4,G3635&gt;=6,H3635&gt;=6),"AT RISK",AND(F3635&lt;=2,G3635&gt;=8,H3635&gt;=8),"CAN'T LOSE THEM",AND(F3635&lt;=2,G3635&lt;=2,H3635&lt;=2),"HIBERNATING",TRUE(),"Other")</f>
        <v>NEED ATTENTION</v>
      </c>
      <c r="K3635" s="1" t="n">
        <f aca="false">RANK(E3635,$E$7:$E$4378)+COUNTIF($E$7:E3635,E3635)-1</f>
        <v>805</v>
      </c>
    </row>
    <row r="3636" customFormat="false" ht="14.25" hidden="false" customHeight="true" outlineLevel="0" collapsed="false">
      <c r="A3636" s="51" t="n">
        <v>17274</v>
      </c>
      <c r="B3636" s="53" t="n">
        <v>40851.5527777778</v>
      </c>
      <c r="C3636" s="57" t="n">
        <f aca="false">INT($C$2)-INT(Table3[[#This Row],[Last Purchase Date]])</f>
        <v>36</v>
      </c>
      <c r="D3636" s="1" t="n">
        <v>1</v>
      </c>
      <c r="E3636" s="1" t="n">
        <v>111.98</v>
      </c>
      <c r="F3636" s="1" t="n">
        <f aca="false">ROUND((1-_xlfn.PERCENTRANK.INC($C$7:$C$4378,C3636))*9,0)</f>
        <v>5</v>
      </c>
      <c r="G3636" s="1" t="n">
        <f aca="false">ROUND(_xlfn.PERCENTRANK.INC($D$7:$D$4378,D3636)*9,0)</f>
        <v>0</v>
      </c>
      <c r="H3636" s="1" t="n">
        <f aca="false">ROUND(_xlfn.PERCENTRANK.INC($E$7:$E$4378,E3636)*9,0)</f>
        <v>1</v>
      </c>
      <c r="I3636" s="1" t="str">
        <f aca="false">CONCATENATE(F3636,G3636,H3636)</f>
        <v>501</v>
      </c>
      <c r="J3636" s="1" t="str">
        <f aca="false">_xlfn.IFS(AND(F3636&gt;=8,G3636&gt;=8,H3636&gt;=8),"CHAMPION",AND(F3636&gt;=6,G3636&gt;=7,H3636&gt;=6),"LOYAL CUSTOMER",AND(F3636&gt;=6,G3636&gt;=5,H3636&gt;=5),"POTENTIAL LOYALIST",AND(F3636&gt;=8,G3636&lt;=2,H3636&gt;=5),"NEW CUSTOMERS",AND(F3636&gt;=6,G3636&lt;=2,H3636&gt;=3),"PROMISING",AND(F3636&gt;=3,G3636&gt;=3,H3636&gt;=3),"NEED ATTENTION",AND(F3636&lt;=4,G3636&gt;=6,H3636&gt;=6),"AT RISK",AND(F3636&lt;=2,G3636&gt;=8,H3636&gt;=8),"CAN'T LOSE THEM",AND(F3636&lt;=2,G3636&lt;=2,H3636&lt;=2),"HIBERNATING",TRUE(),"Other")</f>
        <v>Other</v>
      </c>
      <c r="K3636" s="1" t="n">
        <f aca="false">RANK(E3636,$E$7:$E$4378)+COUNTIF($E$7:E3636,E3636)-1</f>
        <v>4101</v>
      </c>
    </row>
    <row r="3637" customFormat="false" ht="14.25" hidden="false" customHeight="true" outlineLevel="0" collapsed="false">
      <c r="A3637" s="51" t="n">
        <v>17277</v>
      </c>
      <c r="B3637" s="53" t="n">
        <v>40659.5326388889</v>
      </c>
      <c r="C3637" s="57" t="n">
        <f aca="false">INT($C$2)-INT(Table3[[#This Row],[Last Purchase Date]])</f>
        <v>228</v>
      </c>
      <c r="D3637" s="1" t="n">
        <v>2</v>
      </c>
      <c r="E3637" s="1" t="n">
        <v>1065.35</v>
      </c>
      <c r="F3637" s="1" t="n">
        <f aca="false">ROUND((1-_xlfn.PERCENTRANK.INC($C$7:$C$4378,C3637))*9,0)</f>
        <v>1</v>
      </c>
      <c r="G3637" s="1" t="n">
        <f aca="false">ROUND(_xlfn.PERCENTRANK.INC($D$7:$D$4378,D3637)*9,0)</f>
        <v>3</v>
      </c>
      <c r="H3637" s="1" t="n">
        <f aca="false">ROUND(_xlfn.PERCENTRANK.INC($E$7:$E$4378,E3637)*9,0)</f>
        <v>6</v>
      </c>
      <c r="I3637" s="1" t="str">
        <f aca="false">CONCATENATE(F3637,G3637,H3637)</f>
        <v>136</v>
      </c>
      <c r="J3637" s="1" t="str">
        <f aca="false">_xlfn.IFS(AND(F3637&gt;=8,G3637&gt;=8,H3637&gt;=8),"CHAMPION",AND(F3637&gt;=6,G3637&gt;=7,H3637&gt;=6),"LOYAL CUSTOMER",AND(F3637&gt;=6,G3637&gt;=5,H3637&gt;=5),"POTENTIAL LOYALIST",AND(F3637&gt;=8,G3637&lt;=2,H3637&gt;=5),"NEW CUSTOMERS",AND(F3637&gt;=6,G3637&lt;=2,H3637&gt;=3),"PROMISING",AND(F3637&gt;=3,G3637&gt;=3,H3637&gt;=3),"NEED ATTENTION",AND(F3637&lt;=4,G3637&gt;=6,H3637&gt;=6),"AT RISK",AND(F3637&lt;=2,G3637&gt;=8,H3637&gt;=8),"CAN'T LOSE THEM",AND(F3637&lt;=2,G3637&lt;=2,H3637&lt;=2),"HIBERNATING",TRUE(),"Other")</f>
        <v>Other</v>
      </c>
      <c r="K3637" s="1" t="n">
        <f aca="false">RANK(E3637,$E$7:$E$4378)+COUNTIF($E$7:E3637,E3637)-1</f>
        <v>1542</v>
      </c>
    </row>
    <row r="3638" customFormat="false" ht="14.25" hidden="false" customHeight="true" outlineLevel="0" collapsed="false">
      <c r="A3638" s="51" t="n">
        <v>17278</v>
      </c>
      <c r="B3638" s="53" t="n">
        <v>40645.5486111111</v>
      </c>
      <c r="C3638" s="57" t="n">
        <f aca="false">INT($C$2)-INT(Table3[[#This Row],[Last Purchase Date]])</f>
        <v>242</v>
      </c>
      <c r="D3638" s="1" t="n">
        <v>1</v>
      </c>
      <c r="E3638" s="1" t="n">
        <v>246.04</v>
      </c>
      <c r="F3638" s="1" t="n">
        <f aca="false">ROUND((1-_xlfn.PERCENTRANK.INC($C$7:$C$4378,C3638))*9,0)</f>
        <v>1</v>
      </c>
      <c r="G3638" s="1" t="n">
        <f aca="false">ROUND(_xlfn.PERCENTRANK.INC($D$7:$D$4378,D3638)*9,0)</f>
        <v>0</v>
      </c>
      <c r="H3638" s="1" t="n">
        <f aca="false">ROUND(_xlfn.PERCENTRANK.INC($E$7:$E$4378,E3638)*9,0)</f>
        <v>2</v>
      </c>
      <c r="I3638" s="1" t="str">
        <f aca="false">CONCATENATE(F3638,G3638,H3638)</f>
        <v>102</v>
      </c>
      <c r="J3638" s="1" t="str">
        <f aca="false">_xlfn.IFS(AND(F3638&gt;=8,G3638&gt;=8,H3638&gt;=8),"CHAMPION",AND(F3638&gt;=6,G3638&gt;=7,H3638&gt;=6),"LOYAL CUSTOMER",AND(F3638&gt;=6,G3638&gt;=5,H3638&gt;=5),"POTENTIAL LOYALIST",AND(F3638&gt;=8,G3638&lt;=2,H3638&gt;=5),"NEW CUSTOMERS",AND(F3638&gt;=6,G3638&lt;=2,H3638&gt;=3),"PROMISING",AND(F3638&gt;=3,G3638&gt;=3,H3638&gt;=3),"NEED ATTENTION",AND(F3638&lt;=4,G3638&gt;=6,H3638&gt;=6),"AT RISK",AND(F3638&lt;=2,G3638&gt;=8,H3638&gt;=8),"CAN'T LOSE THEM",AND(F3638&lt;=2,G3638&lt;=2,H3638&lt;=2),"HIBERNATING",TRUE(),"Other")</f>
        <v>HIBERNATING</v>
      </c>
      <c r="K3638" s="1" t="n">
        <f aca="false">RANK(E3638,$E$7:$E$4378)+COUNTIF($E$7:E3638,E3638)-1</f>
        <v>3454</v>
      </c>
    </row>
    <row r="3639" customFormat="false" ht="14.25" hidden="false" customHeight="true" outlineLevel="0" collapsed="false">
      <c r="A3639" s="51" t="n">
        <v>17279</v>
      </c>
      <c r="B3639" s="53" t="n">
        <v>40829.4986111111</v>
      </c>
      <c r="C3639" s="57" t="n">
        <f aca="false">INT($C$2)-INT(Table3[[#This Row],[Last Purchase Date]])</f>
        <v>58</v>
      </c>
      <c r="D3639" s="1" t="n">
        <v>1</v>
      </c>
      <c r="E3639" s="1" t="n">
        <v>187.83</v>
      </c>
      <c r="F3639" s="1" t="n">
        <f aca="false">ROUND((1-_xlfn.PERCENTRANK.INC($C$7:$C$4378,C3639))*9,0)</f>
        <v>4</v>
      </c>
      <c r="G3639" s="1" t="n">
        <f aca="false">ROUND(_xlfn.PERCENTRANK.INC($D$7:$D$4378,D3639)*9,0)</f>
        <v>0</v>
      </c>
      <c r="H3639" s="1" t="n">
        <f aca="false">ROUND(_xlfn.PERCENTRANK.INC($E$7:$E$4378,E3639)*9,0)</f>
        <v>1</v>
      </c>
      <c r="I3639" s="1" t="str">
        <f aca="false">CONCATENATE(F3639,G3639,H3639)</f>
        <v>401</v>
      </c>
      <c r="J3639" s="1" t="str">
        <f aca="false">_xlfn.IFS(AND(F3639&gt;=8,G3639&gt;=8,H3639&gt;=8),"CHAMPION",AND(F3639&gt;=6,G3639&gt;=7,H3639&gt;=6),"LOYAL CUSTOMER",AND(F3639&gt;=6,G3639&gt;=5,H3639&gt;=5),"POTENTIAL LOYALIST",AND(F3639&gt;=8,G3639&lt;=2,H3639&gt;=5),"NEW CUSTOMERS",AND(F3639&gt;=6,G3639&lt;=2,H3639&gt;=3),"PROMISING",AND(F3639&gt;=3,G3639&gt;=3,H3639&gt;=3),"NEED ATTENTION",AND(F3639&lt;=4,G3639&gt;=6,H3639&gt;=6),"AT RISK",AND(F3639&lt;=2,G3639&gt;=8,H3639&gt;=8),"CAN'T LOSE THEM",AND(F3639&lt;=2,G3639&lt;=2,H3639&lt;=2),"HIBERNATING",TRUE(),"Other")</f>
        <v>Other</v>
      </c>
      <c r="K3639" s="1" t="n">
        <f aca="false">RANK(E3639,$E$7:$E$4378)+COUNTIF($E$7:E3639,E3639)-1</f>
        <v>3718</v>
      </c>
    </row>
    <row r="3640" customFormat="false" ht="14.25" hidden="false" customHeight="true" outlineLevel="0" collapsed="false">
      <c r="A3640" s="51" t="n">
        <v>17282</v>
      </c>
      <c r="B3640" s="53" t="n">
        <v>40756.6034722222</v>
      </c>
      <c r="C3640" s="57" t="n">
        <f aca="false">INT($C$2)-INT(Table3[[#This Row],[Last Purchase Date]])</f>
        <v>131</v>
      </c>
      <c r="D3640" s="1" t="n">
        <v>3</v>
      </c>
      <c r="E3640" s="1" t="n">
        <v>1703.41</v>
      </c>
      <c r="F3640" s="1" t="n">
        <f aca="false">ROUND((1-_xlfn.PERCENTRANK.INC($C$7:$C$4378,C3640))*9,0)</f>
        <v>2</v>
      </c>
      <c r="G3640" s="1" t="n">
        <f aca="false">ROUND(_xlfn.PERCENTRANK.INC($D$7:$D$4378,D3640)*9,0)</f>
        <v>4</v>
      </c>
      <c r="H3640" s="1" t="n">
        <f aca="false">ROUND(_xlfn.PERCENTRANK.INC($E$7:$E$4378,E3640)*9,0)</f>
        <v>7</v>
      </c>
      <c r="I3640" s="1" t="str">
        <f aca="false">CONCATENATE(F3640,G3640,H3640)</f>
        <v>247</v>
      </c>
      <c r="J3640" s="1" t="str">
        <f aca="false">_xlfn.IFS(AND(F3640&gt;=8,G3640&gt;=8,H3640&gt;=8),"CHAMPION",AND(F3640&gt;=6,G3640&gt;=7,H3640&gt;=6),"LOYAL CUSTOMER",AND(F3640&gt;=6,G3640&gt;=5,H3640&gt;=5),"POTENTIAL LOYALIST",AND(F3640&gt;=8,G3640&lt;=2,H3640&gt;=5),"NEW CUSTOMERS",AND(F3640&gt;=6,G3640&lt;=2,H3640&gt;=3),"PROMISING",AND(F3640&gt;=3,G3640&gt;=3,H3640&gt;=3),"NEED ATTENTION",AND(F3640&lt;=4,G3640&gt;=6,H3640&gt;=6),"AT RISK",AND(F3640&lt;=2,G3640&gt;=8,H3640&gt;=8),"CAN'T LOSE THEM",AND(F3640&lt;=2,G3640&lt;=2,H3640&lt;=2),"HIBERNATING",TRUE(),"Other")</f>
        <v>Other</v>
      </c>
      <c r="K3640" s="1" t="n">
        <f aca="false">RANK(E3640,$E$7:$E$4378)+COUNTIF($E$7:E3640,E3640)-1</f>
        <v>1036</v>
      </c>
    </row>
    <row r="3641" customFormat="false" ht="14.25" hidden="false" customHeight="true" outlineLevel="0" collapsed="false">
      <c r="A3641" s="51" t="n">
        <v>17284</v>
      </c>
      <c r="B3641" s="53" t="n">
        <v>40826.6097222222</v>
      </c>
      <c r="C3641" s="57" t="n">
        <f aca="false">INT($C$2)-INT(Table3[[#This Row],[Last Purchase Date]])</f>
        <v>61</v>
      </c>
      <c r="D3641" s="1" t="n">
        <v>7</v>
      </c>
      <c r="E3641" s="1" t="n">
        <v>1641.68</v>
      </c>
      <c r="F3641" s="1" t="n">
        <f aca="false">ROUND((1-_xlfn.PERCENTRANK.INC($C$7:$C$4378,C3641))*9,0)</f>
        <v>4</v>
      </c>
      <c r="G3641" s="1" t="n">
        <f aca="false">ROUND(_xlfn.PERCENTRANK.INC($D$7:$D$4378,D3641)*9,0)</f>
        <v>7</v>
      </c>
      <c r="H3641" s="1" t="n">
        <f aca="false">ROUND(_xlfn.PERCENTRANK.INC($E$7:$E$4378,E3641)*9,0)</f>
        <v>7</v>
      </c>
      <c r="I3641" s="1" t="str">
        <f aca="false">CONCATENATE(F3641,G3641,H3641)</f>
        <v>477</v>
      </c>
      <c r="J3641" s="1" t="str">
        <f aca="false">_xlfn.IFS(AND(F3641&gt;=8,G3641&gt;=8,H3641&gt;=8),"CHAMPION",AND(F3641&gt;=6,G3641&gt;=7,H3641&gt;=6),"LOYAL CUSTOMER",AND(F3641&gt;=6,G3641&gt;=5,H3641&gt;=5),"POTENTIAL LOYALIST",AND(F3641&gt;=8,G3641&lt;=2,H3641&gt;=5),"NEW CUSTOMERS",AND(F3641&gt;=6,G3641&lt;=2,H3641&gt;=3),"PROMISING",AND(F3641&gt;=3,G3641&gt;=3,H3641&gt;=3),"NEED ATTENTION",AND(F3641&lt;=4,G3641&gt;=6,H3641&gt;=6),"AT RISK",AND(F3641&lt;=2,G3641&gt;=8,H3641&gt;=8),"CAN'T LOSE THEM",AND(F3641&lt;=2,G3641&lt;=2,H3641&lt;=2),"HIBERNATING",TRUE(),"Other")</f>
        <v>NEED ATTENTION</v>
      </c>
      <c r="K3641" s="1" t="n">
        <f aca="false">RANK(E3641,$E$7:$E$4378)+COUNTIF($E$7:E3641,E3641)-1</f>
        <v>1072</v>
      </c>
    </row>
    <row r="3642" customFormat="false" ht="14.25" hidden="false" customHeight="true" outlineLevel="0" collapsed="false">
      <c r="A3642" s="51" t="n">
        <v>17286</v>
      </c>
      <c r="B3642" s="53" t="n">
        <v>40865.5326388889</v>
      </c>
      <c r="C3642" s="57" t="n">
        <f aca="false">INT($C$2)-INT(Table3[[#This Row],[Last Purchase Date]])</f>
        <v>22</v>
      </c>
      <c r="D3642" s="1" t="n">
        <v>1</v>
      </c>
      <c r="E3642" s="1" t="n">
        <v>153.92</v>
      </c>
      <c r="F3642" s="1" t="n">
        <f aca="false">ROUND((1-_xlfn.PERCENTRANK.INC($C$7:$C$4378,C3642))*9,0)</f>
        <v>6</v>
      </c>
      <c r="G3642" s="1" t="n">
        <f aca="false">ROUND(_xlfn.PERCENTRANK.INC($D$7:$D$4378,D3642)*9,0)</f>
        <v>0</v>
      </c>
      <c r="H3642" s="1" t="n">
        <f aca="false">ROUND(_xlfn.PERCENTRANK.INC($E$7:$E$4378,E3642)*9,0)</f>
        <v>1</v>
      </c>
      <c r="I3642" s="1" t="str">
        <f aca="false">CONCATENATE(F3642,G3642,H3642)</f>
        <v>601</v>
      </c>
      <c r="J3642" s="1" t="str">
        <f aca="false">_xlfn.IFS(AND(F3642&gt;=8,G3642&gt;=8,H3642&gt;=8),"CHAMPION",AND(F3642&gt;=6,G3642&gt;=7,H3642&gt;=6),"LOYAL CUSTOMER",AND(F3642&gt;=6,G3642&gt;=5,H3642&gt;=5),"POTENTIAL LOYALIST",AND(F3642&gt;=8,G3642&lt;=2,H3642&gt;=5),"NEW CUSTOMERS",AND(F3642&gt;=6,G3642&lt;=2,H3642&gt;=3),"PROMISING",AND(F3642&gt;=3,G3642&gt;=3,H3642&gt;=3),"NEED ATTENTION",AND(F3642&lt;=4,G3642&gt;=6,H3642&gt;=6),"AT RISK",AND(F3642&lt;=2,G3642&gt;=8,H3642&gt;=8),"CAN'T LOSE THEM",AND(F3642&lt;=2,G3642&lt;=2,H3642&lt;=2),"HIBERNATING",TRUE(),"Other")</f>
        <v>Other</v>
      </c>
      <c r="K3642" s="1" t="n">
        <f aca="false">RANK(E3642,$E$7:$E$4378)+COUNTIF($E$7:E3642,E3642)-1</f>
        <v>3897</v>
      </c>
    </row>
    <row r="3643" customFormat="false" ht="14.25" hidden="false" customHeight="true" outlineLevel="0" collapsed="false">
      <c r="A3643" s="51" t="n">
        <v>17287</v>
      </c>
      <c r="B3643" s="53" t="n">
        <v>40860.5604166667</v>
      </c>
      <c r="C3643" s="57" t="n">
        <f aca="false">INT($C$2)-INT(Table3[[#This Row],[Last Purchase Date]])</f>
        <v>27</v>
      </c>
      <c r="D3643" s="1" t="n">
        <v>7</v>
      </c>
      <c r="E3643" s="1" t="n">
        <v>1064.11</v>
      </c>
      <c r="F3643" s="1" t="n">
        <f aca="false">ROUND((1-_xlfn.PERCENTRANK.INC($C$7:$C$4378,C3643))*9,0)</f>
        <v>6</v>
      </c>
      <c r="G3643" s="1" t="n">
        <f aca="false">ROUND(_xlfn.PERCENTRANK.INC($D$7:$D$4378,D3643)*9,0)</f>
        <v>7</v>
      </c>
      <c r="H3643" s="1" t="n">
        <f aca="false">ROUND(_xlfn.PERCENTRANK.INC($E$7:$E$4378,E3643)*9,0)</f>
        <v>6</v>
      </c>
      <c r="I3643" s="1" t="str">
        <f aca="false">CONCATENATE(F3643,G3643,H3643)</f>
        <v>676</v>
      </c>
      <c r="J3643" s="1" t="str">
        <f aca="false">_xlfn.IFS(AND(F3643&gt;=8,G3643&gt;=8,H3643&gt;=8),"CHAMPION",AND(F3643&gt;=6,G3643&gt;=7,H3643&gt;=6),"LOYAL CUSTOMER",AND(F3643&gt;=6,G3643&gt;=5,H3643&gt;=5),"POTENTIAL LOYALIST",AND(F3643&gt;=8,G3643&lt;=2,H3643&gt;=5),"NEW CUSTOMERS",AND(F3643&gt;=6,G3643&lt;=2,H3643&gt;=3),"PROMISING",AND(F3643&gt;=3,G3643&gt;=3,H3643&gt;=3),"NEED ATTENTION",AND(F3643&lt;=4,G3643&gt;=6,H3643&gt;=6),"AT RISK",AND(F3643&lt;=2,G3643&gt;=8,H3643&gt;=8),"CAN'T LOSE THEM",AND(F3643&lt;=2,G3643&lt;=2,H3643&lt;=2),"HIBERNATING",TRUE(),"Other")</f>
        <v>LOYAL CUSTOMER</v>
      </c>
      <c r="K3643" s="1" t="n">
        <f aca="false">RANK(E3643,$E$7:$E$4378)+COUNTIF($E$7:E3643,E3643)-1</f>
        <v>1543</v>
      </c>
    </row>
    <row r="3644" customFormat="false" ht="14.25" hidden="false" customHeight="true" outlineLevel="0" collapsed="false">
      <c r="A3644" s="51" t="n">
        <v>17288</v>
      </c>
      <c r="B3644" s="53" t="n">
        <v>40877.6729166667</v>
      </c>
      <c r="C3644" s="57" t="n">
        <f aca="false">INT($C$2)-INT(Table3[[#This Row],[Last Purchase Date]])</f>
        <v>10</v>
      </c>
      <c r="D3644" s="1" t="n">
        <v>7</v>
      </c>
      <c r="E3644" s="1" t="n">
        <v>1419.73</v>
      </c>
      <c r="F3644" s="1" t="n">
        <f aca="false">ROUND((1-_xlfn.PERCENTRANK.INC($C$7:$C$4378,C3644))*9,0)</f>
        <v>8</v>
      </c>
      <c r="G3644" s="1" t="n">
        <f aca="false">ROUND(_xlfn.PERCENTRANK.INC($D$7:$D$4378,D3644)*9,0)</f>
        <v>7</v>
      </c>
      <c r="H3644" s="1" t="n">
        <f aca="false">ROUND(_xlfn.PERCENTRANK.INC($E$7:$E$4378,E3644)*9,0)</f>
        <v>6</v>
      </c>
      <c r="I3644" s="1" t="str">
        <f aca="false">CONCATENATE(F3644,G3644,H3644)</f>
        <v>876</v>
      </c>
      <c r="J3644" s="1" t="str">
        <f aca="false">_xlfn.IFS(AND(F3644&gt;=8,G3644&gt;=8,H3644&gt;=8),"CHAMPION",AND(F3644&gt;=6,G3644&gt;=7,H3644&gt;=6),"LOYAL CUSTOMER",AND(F3644&gt;=6,G3644&gt;=5,H3644&gt;=5),"POTENTIAL LOYALIST",AND(F3644&gt;=8,G3644&lt;=2,H3644&gt;=5),"NEW CUSTOMERS",AND(F3644&gt;=6,G3644&lt;=2,H3644&gt;=3),"PROMISING",AND(F3644&gt;=3,G3644&gt;=3,H3644&gt;=3),"NEED ATTENTION",AND(F3644&lt;=4,G3644&gt;=6,H3644&gt;=6),"AT RISK",AND(F3644&lt;=2,G3644&gt;=8,H3644&gt;=8),"CAN'T LOSE THEM",AND(F3644&lt;=2,G3644&lt;=2,H3644&lt;=2),"HIBERNATING",TRUE(),"Other")</f>
        <v>LOYAL CUSTOMER</v>
      </c>
      <c r="K3644" s="1" t="n">
        <f aca="false">RANK(E3644,$E$7:$E$4378)+COUNTIF($E$7:E3644,E3644)-1</f>
        <v>1221</v>
      </c>
    </row>
    <row r="3645" customFormat="false" ht="14.25" hidden="false" customHeight="true" outlineLevel="0" collapsed="false">
      <c r="A3645" s="51" t="n">
        <v>17289</v>
      </c>
      <c r="B3645" s="53" t="n">
        <v>40855.5006944445</v>
      </c>
      <c r="C3645" s="57" t="n">
        <f aca="false">INT($C$2)-INT(Table3[[#This Row],[Last Purchase Date]])</f>
        <v>32</v>
      </c>
      <c r="D3645" s="1" t="n">
        <v>4</v>
      </c>
      <c r="E3645" s="1" t="n">
        <v>936.16</v>
      </c>
      <c r="F3645" s="1" t="n">
        <f aca="false">ROUND((1-_xlfn.PERCENTRANK.INC($C$7:$C$4378,C3645))*9,0)</f>
        <v>5</v>
      </c>
      <c r="G3645" s="1" t="n">
        <f aca="false">ROUND(_xlfn.PERCENTRANK.INC($D$7:$D$4378,D3645)*9,0)</f>
        <v>5</v>
      </c>
      <c r="H3645" s="1" t="n">
        <f aca="false">ROUND(_xlfn.PERCENTRANK.INC($E$7:$E$4378,E3645)*9,0)</f>
        <v>5</v>
      </c>
      <c r="I3645" s="1" t="str">
        <f aca="false">CONCATENATE(F3645,G3645,H3645)</f>
        <v>555</v>
      </c>
      <c r="J3645" s="1" t="str">
        <f aca="false">_xlfn.IFS(AND(F3645&gt;=8,G3645&gt;=8,H3645&gt;=8),"CHAMPION",AND(F3645&gt;=6,G3645&gt;=7,H3645&gt;=6),"LOYAL CUSTOMER",AND(F3645&gt;=6,G3645&gt;=5,H3645&gt;=5),"POTENTIAL LOYALIST",AND(F3645&gt;=8,G3645&lt;=2,H3645&gt;=5),"NEW CUSTOMERS",AND(F3645&gt;=6,G3645&lt;=2,H3645&gt;=3),"PROMISING",AND(F3645&gt;=3,G3645&gt;=3,H3645&gt;=3),"NEED ATTENTION",AND(F3645&lt;=4,G3645&gt;=6,H3645&gt;=6),"AT RISK",AND(F3645&lt;=2,G3645&gt;=8,H3645&gt;=8),"CAN'T LOSE THEM",AND(F3645&lt;=2,G3645&lt;=2,H3645&lt;=2),"HIBERNATING",TRUE(),"Other")</f>
        <v>NEED ATTENTION</v>
      </c>
      <c r="K3645" s="1" t="n">
        <f aca="false">RANK(E3645,$E$7:$E$4378)+COUNTIF($E$7:E3645,E3645)-1</f>
        <v>1712</v>
      </c>
    </row>
    <row r="3646" customFormat="false" ht="14.25" hidden="false" customHeight="true" outlineLevel="0" collapsed="false">
      <c r="A3646" s="51" t="n">
        <v>17290</v>
      </c>
      <c r="B3646" s="53" t="n">
        <v>40883.5263888889</v>
      </c>
      <c r="C3646" s="57" t="n">
        <f aca="false">INT($C$2)-INT(Table3[[#This Row],[Last Purchase Date]])</f>
        <v>4</v>
      </c>
      <c r="D3646" s="1" t="n">
        <v>2</v>
      </c>
      <c r="E3646" s="1" t="n">
        <v>525.24</v>
      </c>
      <c r="F3646" s="1" t="n">
        <f aca="false">ROUND((1-_xlfn.PERCENTRANK.INC($C$7:$C$4378,C3646))*9,0)</f>
        <v>8</v>
      </c>
      <c r="G3646" s="1" t="n">
        <f aca="false">ROUND(_xlfn.PERCENTRANK.INC($D$7:$D$4378,D3646)*9,0)</f>
        <v>3</v>
      </c>
      <c r="H3646" s="1" t="n">
        <f aca="false">ROUND(_xlfn.PERCENTRANK.INC($E$7:$E$4378,E3646)*9,0)</f>
        <v>4</v>
      </c>
      <c r="I3646" s="1" t="str">
        <f aca="false">CONCATENATE(F3646,G3646,H3646)</f>
        <v>834</v>
      </c>
      <c r="J3646" s="1" t="str">
        <f aca="false">_xlfn.IFS(AND(F3646&gt;=8,G3646&gt;=8,H3646&gt;=8),"CHAMPION",AND(F3646&gt;=6,G3646&gt;=7,H3646&gt;=6),"LOYAL CUSTOMER",AND(F3646&gt;=6,G3646&gt;=5,H3646&gt;=5),"POTENTIAL LOYALIST",AND(F3646&gt;=8,G3646&lt;=2,H3646&gt;=5),"NEW CUSTOMERS",AND(F3646&gt;=6,G3646&lt;=2,H3646&gt;=3),"PROMISING",AND(F3646&gt;=3,G3646&gt;=3,H3646&gt;=3),"NEED ATTENTION",AND(F3646&lt;=4,G3646&gt;=6,H3646&gt;=6),"AT RISK",AND(F3646&lt;=2,G3646&gt;=8,H3646&gt;=8),"CAN'T LOSE THEM",AND(F3646&lt;=2,G3646&lt;=2,H3646&lt;=2),"HIBERNATING",TRUE(),"Other")</f>
        <v>NEED ATTENTION</v>
      </c>
      <c r="K3646" s="1" t="n">
        <f aca="false">RANK(E3646,$E$7:$E$4378)+COUNTIF($E$7:E3646,E3646)-1</f>
        <v>2489</v>
      </c>
    </row>
    <row r="3647" customFormat="false" ht="14.25" hidden="false" customHeight="true" outlineLevel="0" collapsed="false">
      <c r="A3647" s="51" t="n">
        <v>17291</v>
      </c>
      <c r="B3647" s="53" t="n">
        <v>40578.5444444444</v>
      </c>
      <c r="C3647" s="57" t="n">
        <f aca="false">INT($C$2)-INT(Table3[[#This Row],[Last Purchase Date]])</f>
        <v>309</v>
      </c>
      <c r="D3647" s="1" t="n">
        <v>1</v>
      </c>
      <c r="E3647" s="1" t="n">
        <v>550.8</v>
      </c>
      <c r="F3647" s="1" t="n">
        <f aca="false">ROUND((1-_xlfn.PERCENTRANK.INC($C$7:$C$4378,C3647))*9,0)</f>
        <v>1</v>
      </c>
      <c r="G3647" s="1" t="n">
        <f aca="false">ROUND(_xlfn.PERCENTRANK.INC($D$7:$D$4378,D3647)*9,0)</f>
        <v>0</v>
      </c>
      <c r="H3647" s="1" t="n">
        <f aca="false">ROUND(_xlfn.PERCENTRANK.INC($E$7:$E$4378,E3647)*9,0)</f>
        <v>4</v>
      </c>
      <c r="I3647" s="1" t="str">
        <f aca="false">CONCATENATE(F3647,G3647,H3647)</f>
        <v>104</v>
      </c>
      <c r="J3647" s="1" t="str">
        <f aca="false">_xlfn.IFS(AND(F3647&gt;=8,G3647&gt;=8,H3647&gt;=8),"CHAMPION",AND(F3647&gt;=6,G3647&gt;=7,H3647&gt;=6),"LOYAL CUSTOMER",AND(F3647&gt;=6,G3647&gt;=5,H3647&gt;=5),"POTENTIAL LOYALIST",AND(F3647&gt;=8,G3647&lt;=2,H3647&gt;=5),"NEW CUSTOMERS",AND(F3647&gt;=6,G3647&lt;=2,H3647&gt;=3),"PROMISING",AND(F3647&gt;=3,G3647&gt;=3,H3647&gt;=3),"NEED ATTENTION",AND(F3647&lt;=4,G3647&gt;=6,H3647&gt;=6),"AT RISK",AND(F3647&lt;=2,G3647&gt;=8,H3647&gt;=8),"CAN'T LOSE THEM",AND(F3647&lt;=2,G3647&lt;=2,H3647&lt;=2),"HIBERNATING",TRUE(),"Other")</f>
        <v>Other</v>
      </c>
      <c r="K3647" s="1" t="n">
        <f aca="false">RANK(E3647,$E$7:$E$4378)+COUNTIF($E$7:E3647,E3647)-1</f>
        <v>2429</v>
      </c>
    </row>
    <row r="3648" customFormat="false" ht="14.25" hidden="false" customHeight="true" outlineLevel="0" collapsed="false">
      <c r="A3648" s="51" t="n">
        <v>17293</v>
      </c>
      <c r="B3648" s="53" t="n">
        <v>40878.6090277778</v>
      </c>
      <c r="C3648" s="57" t="n">
        <f aca="false">INT($C$2)-INT(Table3[[#This Row],[Last Purchase Date]])</f>
        <v>9</v>
      </c>
      <c r="D3648" s="1" t="n">
        <v>9</v>
      </c>
      <c r="E3648" s="1" t="n">
        <v>1875.11</v>
      </c>
      <c r="F3648" s="1" t="n">
        <f aca="false">ROUND((1-_xlfn.PERCENTRANK.INC($C$7:$C$4378,C3648))*9,0)</f>
        <v>8</v>
      </c>
      <c r="G3648" s="1" t="n">
        <f aca="false">ROUND(_xlfn.PERCENTRANK.INC($D$7:$D$4378,D3648)*9,0)</f>
        <v>8</v>
      </c>
      <c r="H3648" s="1" t="n">
        <f aca="false">ROUND(_xlfn.PERCENTRANK.INC($E$7:$E$4378,E3648)*9,0)</f>
        <v>7</v>
      </c>
      <c r="I3648" s="1" t="str">
        <f aca="false">CONCATENATE(F3648,G3648,H3648)</f>
        <v>887</v>
      </c>
      <c r="J3648" s="1" t="str">
        <f aca="false">_xlfn.IFS(AND(F3648&gt;=8,G3648&gt;=8,H3648&gt;=8),"CHAMPION",AND(F3648&gt;=6,G3648&gt;=7,H3648&gt;=6),"LOYAL CUSTOMER",AND(F3648&gt;=6,G3648&gt;=5,H3648&gt;=5),"POTENTIAL LOYALIST",AND(F3648&gt;=8,G3648&lt;=2,H3648&gt;=5),"NEW CUSTOMERS",AND(F3648&gt;=6,G3648&lt;=2,H3648&gt;=3),"PROMISING",AND(F3648&gt;=3,G3648&gt;=3,H3648&gt;=3),"NEED ATTENTION",AND(F3648&lt;=4,G3648&gt;=6,H3648&gt;=6),"AT RISK",AND(F3648&lt;=2,G3648&gt;=8,H3648&gt;=8),"CAN'T LOSE THEM",AND(F3648&lt;=2,G3648&lt;=2,H3648&lt;=2),"HIBERNATING",TRUE(),"Other")</f>
        <v>LOYAL CUSTOMER</v>
      </c>
      <c r="K3648" s="1" t="n">
        <f aca="false">RANK(E3648,$E$7:$E$4378)+COUNTIF($E$7:E3648,E3648)-1</f>
        <v>932</v>
      </c>
    </row>
    <row r="3649" customFormat="false" ht="14.25" hidden="false" customHeight="true" outlineLevel="0" collapsed="false">
      <c r="A3649" s="51" t="n">
        <v>17295</v>
      </c>
      <c r="B3649" s="53" t="n">
        <v>40858.4506944444</v>
      </c>
      <c r="C3649" s="57" t="n">
        <f aca="false">INT($C$2)-INT(Table3[[#This Row],[Last Purchase Date]])</f>
        <v>29</v>
      </c>
      <c r="D3649" s="1" t="n">
        <v>3</v>
      </c>
      <c r="E3649" s="1" t="n">
        <v>556.95</v>
      </c>
      <c r="F3649" s="1" t="n">
        <f aca="false">ROUND((1-_xlfn.PERCENTRANK.INC($C$7:$C$4378,C3649))*9,0)</f>
        <v>6</v>
      </c>
      <c r="G3649" s="1" t="n">
        <f aca="false">ROUND(_xlfn.PERCENTRANK.INC($D$7:$D$4378,D3649)*9,0)</f>
        <v>4</v>
      </c>
      <c r="H3649" s="1" t="n">
        <f aca="false">ROUND(_xlfn.PERCENTRANK.INC($E$7:$E$4378,E3649)*9,0)</f>
        <v>4</v>
      </c>
      <c r="I3649" s="1" t="str">
        <f aca="false">CONCATENATE(F3649,G3649,H3649)</f>
        <v>644</v>
      </c>
      <c r="J3649" s="1" t="str">
        <f aca="false">_xlfn.IFS(AND(F3649&gt;=8,G3649&gt;=8,H3649&gt;=8),"CHAMPION",AND(F3649&gt;=6,G3649&gt;=7,H3649&gt;=6),"LOYAL CUSTOMER",AND(F3649&gt;=6,G3649&gt;=5,H3649&gt;=5),"POTENTIAL LOYALIST",AND(F3649&gt;=8,G3649&lt;=2,H3649&gt;=5),"NEW CUSTOMERS",AND(F3649&gt;=6,G3649&lt;=2,H3649&gt;=3),"PROMISING",AND(F3649&gt;=3,G3649&gt;=3,H3649&gt;=3),"NEED ATTENTION",AND(F3649&lt;=4,G3649&gt;=6,H3649&gt;=6),"AT RISK",AND(F3649&lt;=2,G3649&gt;=8,H3649&gt;=8),"CAN'T LOSE THEM",AND(F3649&lt;=2,G3649&lt;=2,H3649&lt;=2),"HIBERNATING",TRUE(),"Other")</f>
        <v>NEED ATTENTION</v>
      </c>
      <c r="K3649" s="1" t="n">
        <f aca="false">RANK(E3649,$E$7:$E$4378)+COUNTIF($E$7:E3649,E3649)-1</f>
        <v>2416</v>
      </c>
    </row>
    <row r="3650" customFormat="false" ht="14.25" hidden="false" customHeight="true" outlineLevel="0" collapsed="false">
      <c r="A3650" s="51" t="n">
        <v>17297</v>
      </c>
      <c r="B3650" s="53" t="n">
        <v>40869.6131944444</v>
      </c>
      <c r="C3650" s="57" t="n">
        <f aca="false">INT($C$2)-INT(Table3[[#This Row],[Last Purchase Date]])</f>
        <v>18</v>
      </c>
      <c r="D3650" s="1" t="n">
        <v>1</v>
      </c>
      <c r="E3650" s="1" t="n">
        <v>131.78</v>
      </c>
      <c r="F3650" s="1" t="n">
        <f aca="false">ROUND((1-_xlfn.PERCENTRANK.INC($C$7:$C$4378,C3650))*9,0)</f>
        <v>7</v>
      </c>
      <c r="G3650" s="1" t="n">
        <f aca="false">ROUND(_xlfn.PERCENTRANK.INC($D$7:$D$4378,D3650)*9,0)</f>
        <v>0</v>
      </c>
      <c r="H3650" s="1" t="n">
        <f aca="false">ROUND(_xlfn.PERCENTRANK.INC($E$7:$E$4378,E3650)*9,0)</f>
        <v>1</v>
      </c>
      <c r="I3650" s="1" t="str">
        <f aca="false">CONCATENATE(F3650,G3650,H3650)</f>
        <v>701</v>
      </c>
      <c r="J3650" s="1" t="str">
        <f aca="false">_xlfn.IFS(AND(F3650&gt;=8,G3650&gt;=8,H3650&gt;=8),"CHAMPION",AND(F3650&gt;=6,G3650&gt;=7,H3650&gt;=6),"LOYAL CUSTOMER",AND(F3650&gt;=6,G3650&gt;=5,H3650&gt;=5),"POTENTIAL LOYALIST",AND(F3650&gt;=8,G3650&lt;=2,H3650&gt;=5),"NEW CUSTOMERS",AND(F3650&gt;=6,G3650&lt;=2,H3650&gt;=3),"PROMISING",AND(F3650&gt;=3,G3650&gt;=3,H3650&gt;=3),"NEED ATTENTION",AND(F3650&lt;=4,G3650&gt;=6,H3650&gt;=6),"AT RISK",AND(F3650&lt;=2,G3650&gt;=8,H3650&gt;=8),"CAN'T LOSE THEM",AND(F3650&lt;=2,G3650&lt;=2,H3650&lt;=2),"HIBERNATING",TRUE(),"Other")</f>
        <v>Other</v>
      </c>
      <c r="K3650" s="1" t="n">
        <f aca="false">RANK(E3650,$E$7:$E$4378)+COUNTIF($E$7:E3650,E3650)-1</f>
        <v>4002</v>
      </c>
    </row>
    <row r="3651" customFormat="false" ht="14.25" hidden="false" customHeight="true" outlineLevel="0" collapsed="false">
      <c r="A3651" s="51" t="n">
        <v>17298</v>
      </c>
      <c r="B3651" s="53" t="n">
        <v>40785.6965277778</v>
      </c>
      <c r="C3651" s="57" t="n">
        <f aca="false">INT($C$2)-INT(Table3[[#This Row],[Last Purchase Date]])</f>
        <v>102</v>
      </c>
      <c r="D3651" s="1" t="n">
        <v>2</v>
      </c>
      <c r="E3651" s="1" t="n">
        <v>498.42</v>
      </c>
      <c r="F3651" s="1" t="n">
        <f aca="false">ROUND((1-_xlfn.PERCENTRANK.INC($C$7:$C$4378,C3651))*9,0)</f>
        <v>3</v>
      </c>
      <c r="G3651" s="1" t="n">
        <f aca="false">ROUND(_xlfn.PERCENTRANK.INC($D$7:$D$4378,D3651)*9,0)</f>
        <v>3</v>
      </c>
      <c r="H3651" s="1" t="n">
        <f aca="false">ROUND(_xlfn.PERCENTRANK.INC($E$7:$E$4378,E3651)*9,0)</f>
        <v>4</v>
      </c>
      <c r="I3651" s="1" t="str">
        <f aca="false">CONCATENATE(F3651,G3651,H3651)</f>
        <v>334</v>
      </c>
      <c r="J3651" s="1" t="str">
        <f aca="false">_xlfn.IFS(AND(F3651&gt;=8,G3651&gt;=8,H3651&gt;=8),"CHAMPION",AND(F3651&gt;=6,G3651&gt;=7,H3651&gt;=6),"LOYAL CUSTOMER",AND(F3651&gt;=6,G3651&gt;=5,H3651&gt;=5),"POTENTIAL LOYALIST",AND(F3651&gt;=8,G3651&lt;=2,H3651&gt;=5),"NEW CUSTOMERS",AND(F3651&gt;=6,G3651&lt;=2,H3651&gt;=3),"PROMISING",AND(F3651&gt;=3,G3651&gt;=3,H3651&gt;=3),"NEED ATTENTION",AND(F3651&lt;=4,G3651&gt;=6,H3651&gt;=6),"AT RISK",AND(F3651&lt;=2,G3651&gt;=8,H3651&gt;=8),"CAN'T LOSE THEM",AND(F3651&lt;=2,G3651&lt;=2,H3651&lt;=2),"HIBERNATING",TRUE(),"Other")</f>
        <v>NEED ATTENTION</v>
      </c>
      <c r="K3651" s="1" t="n">
        <f aca="false">RANK(E3651,$E$7:$E$4378)+COUNTIF($E$7:E3651,E3651)-1</f>
        <v>2546</v>
      </c>
    </row>
    <row r="3652" customFormat="false" ht="14.25" hidden="false" customHeight="true" outlineLevel="0" collapsed="false">
      <c r="A3652" s="51" t="n">
        <v>17299</v>
      </c>
      <c r="B3652" s="53" t="n">
        <v>40875.5006944445</v>
      </c>
      <c r="C3652" s="57" t="n">
        <f aca="false">INT($C$2)-INT(Table3[[#This Row],[Last Purchase Date]])</f>
        <v>12</v>
      </c>
      <c r="D3652" s="1" t="n">
        <v>4</v>
      </c>
      <c r="E3652" s="1" t="n">
        <v>669.11</v>
      </c>
      <c r="F3652" s="1" t="n">
        <f aca="false">ROUND((1-_xlfn.PERCENTRANK.INC($C$7:$C$4378,C3652))*9,0)</f>
        <v>7</v>
      </c>
      <c r="G3652" s="1" t="n">
        <f aca="false">ROUND(_xlfn.PERCENTRANK.INC($D$7:$D$4378,D3652)*9,0)</f>
        <v>5</v>
      </c>
      <c r="H3652" s="1" t="n">
        <f aca="false">ROUND(_xlfn.PERCENTRANK.INC($E$7:$E$4378,E3652)*9,0)</f>
        <v>5</v>
      </c>
      <c r="I3652" s="1" t="str">
        <f aca="false">CONCATENATE(F3652,G3652,H3652)</f>
        <v>755</v>
      </c>
      <c r="J3652" s="1" t="str">
        <f aca="false">_xlfn.IFS(AND(F3652&gt;=8,G3652&gt;=8,H3652&gt;=8),"CHAMPION",AND(F3652&gt;=6,G3652&gt;=7,H3652&gt;=6),"LOYAL CUSTOMER",AND(F3652&gt;=6,G3652&gt;=5,H3652&gt;=5),"POTENTIAL LOYALIST",AND(F3652&gt;=8,G3652&lt;=2,H3652&gt;=5),"NEW CUSTOMERS",AND(F3652&gt;=6,G3652&lt;=2,H3652&gt;=3),"PROMISING",AND(F3652&gt;=3,G3652&gt;=3,H3652&gt;=3),"NEED ATTENTION",AND(F3652&lt;=4,G3652&gt;=6,H3652&gt;=6),"AT RISK",AND(F3652&lt;=2,G3652&gt;=8,H3652&gt;=8),"CAN'T LOSE THEM",AND(F3652&lt;=2,G3652&lt;=2,H3652&lt;=2),"HIBERNATING",TRUE(),"Other")</f>
        <v>POTENTIAL LOYALIST</v>
      </c>
      <c r="K3652" s="1" t="n">
        <f aca="false">RANK(E3652,$E$7:$E$4378)+COUNTIF($E$7:E3652,E3652)-1</f>
        <v>2129</v>
      </c>
    </row>
    <row r="3653" customFormat="false" ht="14.25" hidden="false" customHeight="true" outlineLevel="0" collapsed="false">
      <c r="A3653" s="51" t="n">
        <v>17301</v>
      </c>
      <c r="B3653" s="53" t="n">
        <v>40865.5715277778</v>
      </c>
      <c r="C3653" s="57" t="n">
        <f aca="false">INT($C$2)-INT(Table3[[#This Row],[Last Purchase Date]])</f>
        <v>22</v>
      </c>
      <c r="D3653" s="1" t="n">
        <v>1</v>
      </c>
      <c r="E3653" s="1" t="n">
        <v>197.63</v>
      </c>
      <c r="F3653" s="1" t="n">
        <f aca="false">ROUND((1-_xlfn.PERCENTRANK.INC($C$7:$C$4378,C3653))*9,0)</f>
        <v>6</v>
      </c>
      <c r="G3653" s="1" t="n">
        <f aca="false">ROUND(_xlfn.PERCENTRANK.INC($D$7:$D$4378,D3653)*9,0)</f>
        <v>0</v>
      </c>
      <c r="H3653" s="1" t="n">
        <f aca="false">ROUND(_xlfn.PERCENTRANK.INC($E$7:$E$4378,E3653)*9,0)</f>
        <v>1</v>
      </c>
      <c r="I3653" s="1" t="str">
        <f aca="false">CONCATENATE(F3653,G3653,H3653)</f>
        <v>601</v>
      </c>
      <c r="J3653" s="1" t="str">
        <f aca="false">_xlfn.IFS(AND(F3653&gt;=8,G3653&gt;=8,H3653&gt;=8),"CHAMPION",AND(F3653&gt;=6,G3653&gt;=7,H3653&gt;=6),"LOYAL CUSTOMER",AND(F3653&gt;=6,G3653&gt;=5,H3653&gt;=5),"POTENTIAL LOYALIST",AND(F3653&gt;=8,G3653&lt;=2,H3653&gt;=5),"NEW CUSTOMERS",AND(F3653&gt;=6,G3653&lt;=2,H3653&gt;=3),"PROMISING",AND(F3653&gt;=3,G3653&gt;=3,H3653&gt;=3),"NEED ATTENTION",AND(F3653&lt;=4,G3653&gt;=6,H3653&gt;=6),"AT RISK",AND(F3653&lt;=2,G3653&gt;=8,H3653&gt;=8),"CAN'T LOSE THEM",AND(F3653&lt;=2,G3653&lt;=2,H3653&lt;=2),"HIBERNATING",TRUE(),"Other")</f>
        <v>Other</v>
      </c>
      <c r="K3653" s="1" t="n">
        <f aca="false">RANK(E3653,$E$7:$E$4378)+COUNTIF($E$7:E3653,E3653)-1</f>
        <v>3672</v>
      </c>
    </row>
    <row r="3654" customFormat="false" ht="14.25" hidden="false" customHeight="true" outlineLevel="0" collapsed="false">
      <c r="A3654" s="51" t="n">
        <v>17302</v>
      </c>
      <c r="B3654" s="53" t="n">
        <v>40872.4</v>
      </c>
      <c r="C3654" s="57" t="n">
        <f aca="false">INT($C$2)-INT(Table3[[#This Row],[Last Purchase Date]])</f>
        <v>15</v>
      </c>
      <c r="D3654" s="1" t="n">
        <v>6</v>
      </c>
      <c r="E3654" s="1" t="n">
        <v>1119.93</v>
      </c>
      <c r="F3654" s="1" t="n">
        <f aca="false">ROUND((1-_xlfn.PERCENTRANK.INC($C$7:$C$4378,C3654))*9,0)</f>
        <v>7</v>
      </c>
      <c r="G3654" s="1" t="n">
        <f aca="false">ROUND(_xlfn.PERCENTRANK.INC($D$7:$D$4378,D3654)*9,0)</f>
        <v>7</v>
      </c>
      <c r="H3654" s="1" t="n">
        <f aca="false">ROUND(_xlfn.PERCENTRANK.INC($E$7:$E$4378,E3654)*9,0)</f>
        <v>6</v>
      </c>
      <c r="I3654" s="1" t="str">
        <f aca="false">CONCATENATE(F3654,G3654,H3654)</f>
        <v>776</v>
      </c>
      <c r="J3654" s="1" t="str">
        <f aca="false">_xlfn.IFS(AND(F3654&gt;=8,G3654&gt;=8,H3654&gt;=8),"CHAMPION",AND(F3654&gt;=6,G3654&gt;=7,H3654&gt;=6),"LOYAL CUSTOMER",AND(F3654&gt;=6,G3654&gt;=5,H3654&gt;=5),"POTENTIAL LOYALIST",AND(F3654&gt;=8,G3654&lt;=2,H3654&gt;=5),"NEW CUSTOMERS",AND(F3654&gt;=6,G3654&lt;=2,H3654&gt;=3),"PROMISING",AND(F3654&gt;=3,G3654&gt;=3,H3654&gt;=3),"NEED ATTENTION",AND(F3654&lt;=4,G3654&gt;=6,H3654&gt;=6),"AT RISK",AND(F3654&lt;=2,G3654&gt;=8,H3654&gt;=8),"CAN'T LOSE THEM",AND(F3654&lt;=2,G3654&lt;=2,H3654&lt;=2),"HIBERNATING",TRUE(),"Other")</f>
        <v>LOYAL CUSTOMER</v>
      </c>
      <c r="K3654" s="1" t="n">
        <f aca="false">RANK(E3654,$E$7:$E$4378)+COUNTIF($E$7:E3654,E3654)-1</f>
        <v>1486</v>
      </c>
    </row>
    <row r="3655" customFormat="false" ht="14.25" hidden="false" customHeight="true" outlineLevel="0" collapsed="false">
      <c r="A3655" s="51" t="n">
        <v>17303</v>
      </c>
      <c r="B3655" s="53" t="n">
        <v>40525.5638888889</v>
      </c>
      <c r="C3655" s="57" t="n">
        <f aca="false">INT($C$2)-INT(Table3[[#This Row],[Last Purchase Date]])</f>
        <v>362</v>
      </c>
      <c r="D3655" s="1" t="n">
        <v>1</v>
      </c>
      <c r="E3655" s="1" t="n">
        <v>250.04</v>
      </c>
      <c r="F3655" s="1" t="n">
        <f aca="false">ROUND((1-_xlfn.PERCENTRANK.INC($C$7:$C$4378,C3655))*9,0)</f>
        <v>0</v>
      </c>
      <c r="G3655" s="1" t="n">
        <f aca="false">ROUND(_xlfn.PERCENTRANK.INC($D$7:$D$4378,D3655)*9,0)</f>
        <v>0</v>
      </c>
      <c r="H3655" s="1" t="n">
        <f aca="false">ROUND(_xlfn.PERCENTRANK.INC($E$7:$E$4378,E3655)*9,0)</f>
        <v>2</v>
      </c>
      <c r="I3655" s="1" t="str">
        <f aca="false">CONCATENATE(F3655,G3655,H3655)</f>
        <v>002</v>
      </c>
      <c r="J3655" s="1" t="str">
        <f aca="false">_xlfn.IFS(AND(F3655&gt;=8,G3655&gt;=8,H3655&gt;=8),"CHAMPION",AND(F3655&gt;=6,G3655&gt;=7,H3655&gt;=6),"LOYAL CUSTOMER",AND(F3655&gt;=6,G3655&gt;=5,H3655&gt;=5),"POTENTIAL LOYALIST",AND(F3655&gt;=8,G3655&lt;=2,H3655&gt;=5),"NEW CUSTOMERS",AND(F3655&gt;=6,G3655&lt;=2,H3655&gt;=3),"PROMISING",AND(F3655&gt;=3,G3655&gt;=3,H3655&gt;=3),"NEED ATTENTION",AND(F3655&lt;=4,G3655&gt;=6,H3655&gt;=6),"AT RISK",AND(F3655&lt;=2,G3655&gt;=8,H3655&gt;=8),"CAN'T LOSE THEM",AND(F3655&lt;=2,G3655&lt;=2,H3655&lt;=2),"HIBERNATING",TRUE(),"Other")</f>
        <v>HIBERNATING</v>
      </c>
      <c r="K3655" s="1" t="n">
        <f aca="false">RANK(E3655,$E$7:$E$4378)+COUNTIF($E$7:E3655,E3655)-1</f>
        <v>3438</v>
      </c>
    </row>
    <row r="3656" customFormat="false" ht="14.25" hidden="false" customHeight="true" outlineLevel="0" collapsed="false">
      <c r="A3656" s="51" t="n">
        <v>17306</v>
      </c>
      <c r="B3656" s="53" t="n">
        <v>40876.5097222222</v>
      </c>
      <c r="C3656" s="57" t="n">
        <f aca="false">INT($C$2)-INT(Table3[[#This Row],[Last Purchase Date]])</f>
        <v>11</v>
      </c>
      <c r="D3656" s="1" t="n">
        <v>21</v>
      </c>
      <c r="E3656" s="1" t="n">
        <v>8600.73000000001</v>
      </c>
      <c r="F3656" s="1" t="n">
        <f aca="false">ROUND((1-_xlfn.PERCENTRANK.INC($C$7:$C$4378,C3656))*9,0)</f>
        <v>7</v>
      </c>
      <c r="G3656" s="1" t="n">
        <f aca="false">ROUND(_xlfn.PERCENTRANK.INC($D$7:$D$4378,D3656)*9,0)</f>
        <v>9</v>
      </c>
      <c r="H3656" s="1" t="n">
        <f aca="false">ROUND(_xlfn.PERCENTRANK.INC($E$7:$E$4378,E3656)*9,0)</f>
        <v>9</v>
      </c>
      <c r="I3656" s="1" t="str">
        <f aca="false">CONCATENATE(F3656,G3656,H3656)</f>
        <v>799</v>
      </c>
      <c r="J3656" s="1" t="str">
        <f aca="false">_xlfn.IFS(AND(F3656&gt;=8,G3656&gt;=8,H3656&gt;=8),"CHAMPION",AND(F3656&gt;=6,G3656&gt;=7,H3656&gt;=6),"LOYAL CUSTOMER",AND(F3656&gt;=6,G3656&gt;=5,H3656&gt;=5),"POTENTIAL LOYALIST",AND(F3656&gt;=8,G3656&lt;=2,H3656&gt;=5),"NEW CUSTOMERS",AND(F3656&gt;=6,G3656&lt;=2,H3656&gt;=3),"PROMISING",AND(F3656&gt;=3,G3656&gt;=3,H3656&gt;=3),"NEED ATTENTION",AND(F3656&lt;=4,G3656&gt;=6,H3656&gt;=6),"AT RISK",AND(F3656&lt;=2,G3656&gt;=8,H3656&gt;=8),"CAN'T LOSE THEM",AND(F3656&lt;=2,G3656&lt;=2,H3656&lt;=2),"HIBERNATING",TRUE(),"Other")</f>
        <v>LOYAL CUSTOMER</v>
      </c>
      <c r="K3656" s="1" t="n">
        <f aca="false">RANK(E3656,$E$7:$E$4378)+COUNTIF($E$7:E3656,E3656)-1</f>
        <v>117</v>
      </c>
    </row>
    <row r="3657" customFormat="false" ht="14.25" hidden="false" customHeight="true" outlineLevel="0" collapsed="false">
      <c r="A3657" s="51" t="n">
        <v>17307</v>
      </c>
      <c r="B3657" s="53" t="n">
        <v>40521.6416666667</v>
      </c>
      <c r="C3657" s="57" t="n">
        <f aca="false">INT($C$2)-INT(Table3[[#This Row],[Last Purchase Date]])</f>
        <v>366</v>
      </c>
      <c r="D3657" s="1" t="n">
        <v>1</v>
      </c>
      <c r="E3657" s="1" t="n">
        <v>-152.64</v>
      </c>
      <c r="F3657" s="1" t="n">
        <f aca="false">ROUND((1-_xlfn.PERCENTRANK.INC($C$7:$C$4378,C3657))*9,0)</f>
        <v>0</v>
      </c>
      <c r="G3657" s="1" t="n">
        <f aca="false">ROUND(_xlfn.PERCENTRANK.INC($D$7:$D$4378,D3657)*9,0)</f>
        <v>0</v>
      </c>
      <c r="H3657" s="1" t="n">
        <f aca="false">ROUND(_xlfn.PERCENTRANK.INC($E$7:$E$4378,E3657)*9,0)</f>
        <v>0</v>
      </c>
      <c r="I3657" s="1" t="str">
        <f aca="false">CONCATENATE(F3657,G3657,H3657)</f>
        <v>000</v>
      </c>
      <c r="J3657" s="1" t="str">
        <f aca="false">_xlfn.IFS(AND(F3657&gt;=8,G3657&gt;=8,H3657&gt;=8),"CHAMPION",AND(F3657&gt;=6,G3657&gt;=7,H3657&gt;=6),"LOYAL CUSTOMER",AND(F3657&gt;=6,G3657&gt;=5,H3657&gt;=5),"POTENTIAL LOYALIST",AND(F3657&gt;=8,G3657&lt;=2,H3657&gt;=5),"NEW CUSTOMERS",AND(F3657&gt;=6,G3657&lt;=2,H3657&gt;=3),"PROMISING",AND(F3657&gt;=3,G3657&gt;=3,H3657&gt;=3),"NEED ATTENTION",AND(F3657&lt;=4,G3657&gt;=6,H3657&gt;=6),"AT RISK",AND(F3657&lt;=2,G3657&gt;=8,H3657&gt;=8),"CAN'T LOSE THEM",AND(F3657&lt;=2,G3657&lt;=2,H3657&lt;=2),"HIBERNATING",TRUE(),"Other")</f>
        <v>HIBERNATING</v>
      </c>
      <c r="K3657" s="1" t="n">
        <f aca="false">RANK(E3657,$E$7:$E$4378)+COUNTIF($E$7:E3657,E3657)-1</f>
        <v>4362</v>
      </c>
    </row>
    <row r="3658" customFormat="false" ht="14.25" hidden="false" customHeight="true" outlineLevel="0" collapsed="false">
      <c r="A3658" s="51" t="n">
        <v>17309</v>
      </c>
      <c r="B3658" s="53" t="n">
        <v>40791.6388888889</v>
      </c>
      <c r="C3658" s="57" t="n">
        <f aca="false">INT($C$2)-INT(Table3[[#This Row],[Last Purchase Date]])</f>
        <v>96</v>
      </c>
      <c r="D3658" s="1" t="n">
        <v>1</v>
      </c>
      <c r="E3658" s="1" t="n">
        <v>82.75</v>
      </c>
      <c r="F3658" s="1" t="n">
        <f aca="false">ROUND((1-_xlfn.PERCENTRANK.INC($C$7:$C$4378,C3658))*9,0)</f>
        <v>3</v>
      </c>
      <c r="G3658" s="1" t="n">
        <f aca="false">ROUND(_xlfn.PERCENTRANK.INC($D$7:$D$4378,D3658)*9,0)</f>
        <v>0</v>
      </c>
      <c r="H3658" s="1" t="n">
        <f aca="false">ROUND(_xlfn.PERCENTRANK.INC($E$7:$E$4378,E3658)*9,0)</f>
        <v>0</v>
      </c>
      <c r="I3658" s="1" t="str">
        <f aca="false">CONCATENATE(F3658,G3658,H3658)</f>
        <v>300</v>
      </c>
      <c r="J3658" s="1" t="str">
        <f aca="false">_xlfn.IFS(AND(F3658&gt;=8,G3658&gt;=8,H3658&gt;=8),"CHAMPION",AND(F3658&gt;=6,G3658&gt;=7,H3658&gt;=6),"LOYAL CUSTOMER",AND(F3658&gt;=6,G3658&gt;=5,H3658&gt;=5),"POTENTIAL LOYALIST",AND(F3658&gt;=8,G3658&lt;=2,H3658&gt;=5),"NEW CUSTOMERS",AND(F3658&gt;=6,G3658&lt;=2,H3658&gt;=3),"PROMISING",AND(F3658&gt;=3,G3658&gt;=3,H3658&gt;=3),"NEED ATTENTION",AND(F3658&lt;=4,G3658&gt;=6,H3658&gt;=6),"AT RISK",AND(F3658&lt;=2,G3658&gt;=8,H3658&gt;=8),"CAN'T LOSE THEM",AND(F3658&lt;=2,G3658&lt;=2,H3658&lt;=2),"HIBERNATING",TRUE(),"Other")</f>
        <v>Other</v>
      </c>
      <c r="K3658" s="1" t="n">
        <f aca="false">RANK(E3658,$E$7:$E$4378)+COUNTIF($E$7:E3658,E3658)-1</f>
        <v>4210</v>
      </c>
    </row>
    <row r="3659" customFormat="false" ht="14.25" hidden="false" customHeight="true" outlineLevel="0" collapsed="false">
      <c r="A3659" s="51" t="n">
        <v>17311</v>
      </c>
      <c r="B3659" s="53" t="n">
        <v>40808.5909722222</v>
      </c>
      <c r="C3659" s="57" t="n">
        <f aca="false">INT($C$2)-INT(Table3[[#This Row],[Last Purchase Date]])</f>
        <v>79</v>
      </c>
      <c r="D3659" s="1" t="n">
        <v>2</v>
      </c>
      <c r="E3659" s="1" t="n">
        <v>1384.85</v>
      </c>
      <c r="F3659" s="1" t="n">
        <f aca="false">ROUND((1-_xlfn.PERCENTRANK.INC($C$7:$C$4378,C3659))*9,0)</f>
        <v>3</v>
      </c>
      <c r="G3659" s="1" t="n">
        <f aca="false">ROUND(_xlfn.PERCENTRANK.INC($D$7:$D$4378,D3659)*9,0)</f>
        <v>3</v>
      </c>
      <c r="H3659" s="1" t="n">
        <f aca="false">ROUND(_xlfn.PERCENTRANK.INC($E$7:$E$4378,E3659)*9,0)</f>
        <v>6</v>
      </c>
      <c r="I3659" s="1" t="str">
        <f aca="false">CONCATENATE(F3659,G3659,H3659)</f>
        <v>336</v>
      </c>
      <c r="J3659" s="1" t="str">
        <f aca="false">_xlfn.IFS(AND(F3659&gt;=8,G3659&gt;=8,H3659&gt;=8),"CHAMPION",AND(F3659&gt;=6,G3659&gt;=7,H3659&gt;=6),"LOYAL CUSTOMER",AND(F3659&gt;=6,G3659&gt;=5,H3659&gt;=5),"POTENTIAL LOYALIST",AND(F3659&gt;=8,G3659&lt;=2,H3659&gt;=5),"NEW CUSTOMERS",AND(F3659&gt;=6,G3659&lt;=2,H3659&gt;=3),"PROMISING",AND(F3659&gt;=3,G3659&gt;=3,H3659&gt;=3),"NEED ATTENTION",AND(F3659&lt;=4,G3659&gt;=6,H3659&gt;=6),"AT RISK",AND(F3659&lt;=2,G3659&gt;=8,H3659&gt;=8),"CAN'T LOSE THEM",AND(F3659&lt;=2,G3659&lt;=2,H3659&lt;=2),"HIBERNATING",TRUE(),"Other")</f>
        <v>NEED ATTENTION</v>
      </c>
      <c r="K3659" s="1" t="n">
        <f aca="false">RANK(E3659,$E$7:$E$4378)+COUNTIF($E$7:E3659,E3659)-1</f>
        <v>1247</v>
      </c>
    </row>
    <row r="3660" customFormat="false" ht="14.25" hidden="false" customHeight="true" outlineLevel="0" collapsed="false">
      <c r="A3660" s="51" t="n">
        <v>17312</v>
      </c>
      <c r="B3660" s="53" t="n">
        <v>40748.4944444444</v>
      </c>
      <c r="C3660" s="57" t="n">
        <f aca="false">INT($C$2)-INT(Table3[[#This Row],[Last Purchase Date]])</f>
        <v>139</v>
      </c>
      <c r="D3660" s="1" t="n">
        <v>3</v>
      </c>
      <c r="E3660" s="1" t="n">
        <v>644.3</v>
      </c>
      <c r="F3660" s="1" t="n">
        <f aca="false">ROUND((1-_xlfn.PERCENTRANK.INC($C$7:$C$4378,C3660))*9,0)</f>
        <v>2</v>
      </c>
      <c r="G3660" s="1" t="n">
        <f aca="false">ROUND(_xlfn.PERCENTRANK.INC($D$7:$D$4378,D3660)*9,0)</f>
        <v>4</v>
      </c>
      <c r="H3660" s="1" t="n">
        <f aca="false">ROUND(_xlfn.PERCENTRANK.INC($E$7:$E$4378,E3660)*9,0)</f>
        <v>4</v>
      </c>
      <c r="I3660" s="1" t="str">
        <f aca="false">CONCATENATE(F3660,G3660,H3660)</f>
        <v>244</v>
      </c>
      <c r="J3660" s="1" t="str">
        <f aca="false">_xlfn.IFS(AND(F3660&gt;=8,G3660&gt;=8,H3660&gt;=8),"CHAMPION",AND(F3660&gt;=6,G3660&gt;=7,H3660&gt;=6),"LOYAL CUSTOMER",AND(F3660&gt;=6,G3660&gt;=5,H3660&gt;=5),"POTENTIAL LOYALIST",AND(F3660&gt;=8,G3660&lt;=2,H3660&gt;=5),"NEW CUSTOMERS",AND(F3660&gt;=6,G3660&lt;=2,H3660&gt;=3),"PROMISING",AND(F3660&gt;=3,G3660&gt;=3,H3660&gt;=3),"NEED ATTENTION",AND(F3660&lt;=4,G3660&gt;=6,H3660&gt;=6),"AT RISK",AND(F3660&lt;=2,G3660&gt;=8,H3660&gt;=8),"CAN'T LOSE THEM",AND(F3660&lt;=2,G3660&lt;=2,H3660&lt;=2),"HIBERNATING",TRUE(),"Other")</f>
        <v>Other</v>
      </c>
      <c r="K3660" s="1" t="n">
        <f aca="false">RANK(E3660,$E$7:$E$4378)+COUNTIF($E$7:E3660,E3660)-1</f>
        <v>2195</v>
      </c>
    </row>
    <row r="3661" customFormat="false" ht="14.25" hidden="false" customHeight="true" outlineLevel="0" collapsed="false">
      <c r="A3661" s="51" t="n">
        <v>17313</v>
      </c>
      <c r="B3661" s="53" t="n">
        <v>40869.3909722222</v>
      </c>
      <c r="C3661" s="57" t="n">
        <f aca="false">INT($C$2)-INT(Table3[[#This Row],[Last Purchase Date]])</f>
        <v>18</v>
      </c>
      <c r="D3661" s="1" t="n">
        <v>2</v>
      </c>
      <c r="E3661" s="1" t="n">
        <v>2288.13</v>
      </c>
      <c r="F3661" s="1" t="n">
        <f aca="false">ROUND((1-_xlfn.PERCENTRANK.INC($C$7:$C$4378,C3661))*9,0)</f>
        <v>7</v>
      </c>
      <c r="G3661" s="1" t="n">
        <f aca="false">ROUND(_xlfn.PERCENTRANK.INC($D$7:$D$4378,D3661)*9,0)</f>
        <v>3</v>
      </c>
      <c r="H3661" s="1" t="n">
        <f aca="false">ROUND(_xlfn.PERCENTRANK.INC($E$7:$E$4378,E3661)*9,0)</f>
        <v>7</v>
      </c>
      <c r="I3661" s="1" t="str">
        <f aca="false">CONCATENATE(F3661,G3661,H3661)</f>
        <v>737</v>
      </c>
      <c r="J3661" s="1" t="str">
        <f aca="false">_xlfn.IFS(AND(F3661&gt;=8,G3661&gt;=8,H3661&gt;=8),"CHAMPION",AND(F3661&gt;=6,G3661&gt;=7,H3661&gt;=6),"LOYAL CUSTOMER",AND(F3661&gt;=6,G3661&gt;=5,H3661&gt;=5),"POTENTIAL LOYALIST",AND(F3661&gt;=8,G3661&lt;=2,H3661&gt;=5),"NEW CUSTOMERS",AND(F3661&gt;=6,G3661&lt;=2,H3661&gt;=3),"PROMISING",AND(F3661&gt;=3,G3661&gt;=3,H3661&gt;=3),"NEED ATTENTION",AND(F3661&lt;=4,G3661&gt;=6,H3661&gt;=6),"AT RISK",AND(F3661&lt;=2,G3661&gt;=8,H3661&gt;=8),"CAN'T LOSE THEM",AND(F3661&lt;=2,G3661&lt;=2,H3661&lt;=2),"HIBERNATING",TRUE(),"Other")</f>
        <v>NEED ATTENTION</v>
      </c>
      <c r="K3661" s="1" t="n">
        <f aca="false">RANK(E3661,$E$7:$E$4378)+COUNTIF($E$7:E3661,E3661)-1</f>
        <v>749</v>
      </c>
    </row>
    <row r="3662" customFormat="false" ht="14.25" hidden="false" customHeight="true" outlineLevel="0" collapsed="false">
      <c r="A3662" s="51" t="n">
        <v>17314</v>
      </c>
      <c r="B3662" s="53" t="n">
        <v>40862.4034722222</v>
      </c>
      <c r="C3662" s="57" t="n">
        <f aca="false">INT($C$2)-INT(Table3[[#This Row],[Last Purchase Date]])</f>
        <v>25</v>
      </c>
      <c r="D3662" s="1" t="n">
        <v>11</v>
      </c>
      <c r="E3662" s="1" t="n">
        <v>2514.76</v>
      </c>
      <c r="F3662" s="1" t="n">
        <f aca="false">ROUND((1-_xlfn.PERCENTRANK.INC($C$7:$C$4378,C3662))*9,0)</f>
        <v>6</v>
      </c>
      <c r="G3662" s="1" t="n">
        <f aca="false">ROUND(_xlfn.PERCENTRANK.INC($D$7:$D$4378,D3662)*9,0)</f>
        <v>8</v>
      </c>
      <c r="H3662" s="1" t="n">
        <f aca="false">ROUND(_xlfn.PERCENTRANK.INC($E$7:$E$4378,E3662)*9,0)</f>
        <v>8</v>
      </c>
      <c r="I3662" s="1" t="str">
        <f aca="false">CONCATENATE(F3662,G3662,H3662)</f>
        <v>688</v>
      </c>
      <c r="J3662" s="1" t="str">
        <f aca="false">_xlfn.IFS(AND(F3662&gt;=8,G3662&gt;=8,H3662&gt;=8),"CHAMPION",AND(F3662&gt;=6,G3662&gt;=7,H3662&gt;=6),"LOYAL CUSTOMER",AND(F3662&gt;=6,G3662&gt;=5,H3662&gt;=5),"POTENTIAL LOYALIST",AND(F3662&gt;=8,G3662&lt;=2,H3662&gt;=5),"NEW CUSTOMERS",AND(F3662&gt;=6,G3662&lt;=2,H3662&gt;=3),"PROMISING",AND(F3662&gt;=3,G3662&gt;=3,H3662&gt;=3),"NEED ATTENTION",AND(F3662&lt;=4,G3662&gt;=6,H3662&gt;=6),"AT RISK",AND(F3662&lt;=2,G3662&gt;=8,H3662&gt;=8),"CAN'T LOSE THEM",AND(F3662&lt;=2,G3662&lt;=2,H3662&lt;=2),"HIBERNATING",TRUE(),"Other")</f>
        <v>LOYAL CUSTOMER</v>
      </c>
      <c r="K3662" s="1" t="n">
        <f aca="false">RANK(E3662,$E$7:$E$4378)+COUNTIF($E$7:E3662,E3662)-1</f>
        <v>677</v>
      </c>
    </row>
    <row r="3663" customFormat="false" ht="14.25" hidden="false" customHeight="true" outlineLevel="0" collapsed="false">
      <c r="A3663" s="51" t="n">
        <v>17315</v>
      </c>
      <c r="B3663" s="53" t="n">
        <v>40886.4986111111</v>
      </c>
      <c r="C3663" s="57" t="n">
        <f aca="false">INT($C$2)-INT(Table3[[#This Row],[Last Purchase Date]])</f>
        <v>1</v>
      </c>
      <c r="D3663" s="1" t="n">
        <v>43</v>
      </c>
      <c r="E3663" s="1" t="n">
        <v>6204.46</v>
      </c>
      <c r="F3663" s="1" t="n">
        <f aca="false">ROUND((1-_xlfn.PERCENTRANK.INC($C$7:$C$4378,C3663))*9,0)</f>
        <v>9</v>
      </c>
      <c r="G3663" s="1" t="n">
        <f aca="false">ROUND(_xlfn.PERCENTRANK.INC($D$7:$D$4378,D3663)*9,0)</f>
        <v>9</v>
      </c>
      <c r="H3663" s="1" t="n">
        <f aca="false">ROUND(_xlfn.PERCENTRANK.INC($E$7:$E$4378,E3663)*9,0)</f>
        <v>9</v>
      </c>
      <c r="I3663" s="1" t="str">
        <f aca="false">CONCATENATE(F3663,G3663,H3663)</f>
        <v>999</v>
      </c>
      <c r="J3663" s="1" t="str">
        <f aca="false">_xlfn.IFS(AND(F3663&gt;=8,G3663&gt;=8,H3663&gt;=8),"CHAMPION",AND(F3663&gt;=6,G3663&gt;=7,H3663&gt;=6),"LOYAL CUSTOMER",AND(F3663&gt;=6,G3663&gt;=5,H3663&gt;=5),"POTENTIAL LOYALIST",AND(F3663&gt;=8,G3663&lt;=2,H3663&gt;=5),"NEW CUSTOMERS",AND(F3663&gt;=6,G3663&lt;=2,H3663&gt;=3),"PROMISING",AND(F3663&gt;=3,G3663&gt;=3,H3663&gt;=3),"NEED ATTENTION",AND(F3663&lt;=4,G3663&gt;=6,H3663&gt;=6),"AT RISK",AND(F3663&lt;=2,G3663&gt;=8,H3663&gt;=8),"CAN'T LOSE THEM",AND(F3663&lt;=2,G3663&lt;=2,H3663&lt;=2),"HIBERNATING",TRUE(),"Other")</f>
        <v>CHAMPION</v>
      </c>
      <c r="K3663" s="1" t="n">
        <f aca="false">RANK(E3663,$E$7:$E$4378)+COUNTIF($E$7:E3663,E3663)-1</f>
        <v>193</v>
      </c>
    </row>
    <row r="3664" customFormat="false" ht="14.25" hidden="false" customHeight="true" outlineLevel="0" collapsed="false">
      <c r="A3664" s="51" t="n">
        <v>17317</v>
      </c>
      <c r="B3664" s="53" t="n">
        <v>40840.7263888889</v>
      </c>
      <c r="C3664" s="57" t="n">
        <f aca="false">INT($C$2)-INT(Table3[[#This Row],[Last Purchase Date]])</f>
        <v>47</v>
      </c>
      <c r="D3664" s="1" t="n">
        <v>5</v>
      </c>
      <c r="E3664" s="1" t="n">
        <v>2524.02</v>
      </c>
      <c r="F3664" s="1" t="n">
        <f aca="false">ROUND((1-_xlfn.PERCENTRANK.INC($C$7:$C$4378,C3664))*9,0)</f>
        <v>5</v>
      </c>
      <c r="G3664" s="1" t="n">
        <f aca="false">ROUND(_xlfn.PERCENTRANK.INC($D$7:$D$4378,D3664)*9,0)</f>
        <v>6</v>
      </c>
      <c r="H3664" s="1" t="n">
        <f aca="false">ROUND(_xlfn.PERCENTRANK.INC($E$7:$E$4378,E3664)*9,0)</f>
        <v>8</v>
      </c>
      <c r="I3664" s="1" t="str">
        <f aca="false">CONCATENATE(F3664,G3664,H3664)</f>
        <v>568</v>
      </c>
      <c r="J3664" s="1" t="str">
        <f aca="false">_xlfn.IFS(AND(F3664&gt;=8,G3664&gt;=8,H3664&gt;=8),"CHAMPION",AND(F3664&gt;=6,G3664&gt;=7,H3664&gt;=6),"LOYAL CUSTOMER",AND(F3664&gt;=6,G3664&gt;=5,H3664&gt;=5),"POTENTIAL LOYALIST",AND(F3664&gt;=8,G3664&lt;=2,H3664&gt;=5),"NEW CUSTOMERS",AND(F3664&gt;=6,G3664&lt;=2,H3664&gt;=3),"PROMISING",AND(F3664&gt;=3,G3664&gt;=3,H3664&gt;=3),"NEED ATTENTION",AND(F3664&lt;=4,G3664&gt;=6,H3664&gt;=6),"AT RISK",AND(F3664&lt;=2,G3664&gt;=8,H3664&gt;=8),"CAN'T LOSE THEM",AND(F3664&lt;=2,G3664&lt;=2,H3664&lt;=2),"HIBERNATING",TRUE(),"Other")</f>
        <v>NEED ATTENTION</v>
      </c>
      <c r="K3664" s="1" t="n">
        <f aca="false">RANK(E3664,$E$7:$E$4378)+COUNTIF($E$7:E3664,E3664)-1</f>
        <v>674</v>
      </c>
    </row>
    <row r="3665" customFormat="false" ht="14.25" hidden="false" customHeight="true" outlineLevel="0" collapsed="false">
      <c r="A3665" s="51" t="n">
        <v>17320</v>
      </c>
      <c r="B3665" s="53" t="n">
        <v>40786.5631944445</v>
      </c>
      <c r="C3665" s="57" t="n">
        <f aca="false">INT($C$2)-INT(Table3[[#This Row],[Last Purchase Date]])</f>
        <v>101</v>
      </c>
      <c r="D3665" s="1" t="n">
        <v>3</v>
      </c>
      <c r="E3665" s="1" t="n">
        <v>1200.62</v>
      </c>
      <c r="F3665" s="1" t="n">
        <f aca="false">ROUND((1-_xlfn.PERCENTRANK.INC($C$7:$C$4378,C3665))*9,0)</f>
        <v>3</v>
      </c>
      <c r="G3665" s="1" t="n">
        <f aca="false">ROUND(_xlfn.PERCENTRANK.INC($D$7:$D$4378,D3665)*9,0)</f>
        <v>4</v>
      </c>
      <c r="H3665" s="1" t="n">
        <f aca="false">ROUND(_xlfn.PERCENTRANK.INC($E$7:$E$4378,E3665)*9,0)</f>
        <v>6</v>
      </c>
      <c r="I3665" s="1" t="str">
        <f aca="false">CONCATENATE(F3665,G3665,H3665)</f>
        <v>346</v>
      </c>
      <c r="J3665" s="1" t="str">
        <f aca="false">_xlfn.IFS(AND(F3665&gt;=8,G3665&gt;=8,H3665&gt;=8),"CHAMPION",AND(F3665&gt;=6,G3665&gt;=7,H3665&gt;=6),"LOYAL CUSTOMER",AND(F3665&gt;=6,G3665&gt;=5,H3665&gt;=5),"POTENTIAL LOYALIST",AND(F3665&gt;=8,G3665&lt;=2,H3665&gt;=5),"NEW CUSTOMERS",AND(F3665&gt;=6,G3665&lt;=2,H3665&gt;=3),"PROMISING",AND(F3665&gt;=3,G3665&gt;=3,H3665&gt;=3),"NEED ATTENTION",AND(F3665&lt;=4,G3665&gt;=6,H3665&gt;=6),"AT RISK",AND(F3665&lt;=2,G3665&gt;=8,H3665&gt;=8),"CAN'T LOSE THEM",AND(F3665&lt;=2,G3665&lt;=2,H3665&lt;=2),"HIBERNATING",TRUE(),"Other")</f>
        <v>NEED ATTENTION</v>
      </c>
      <c r="K3665" s="1" t="n">
        <f aca="false">RANK(E3665,$E$7:$E$4378)+COUNTIF($E$7:E3665,E3665)-1</f>
        <v>1412</v>
      </c>
    </row>
    <row r="3666" customFormat="false" ht="14.25" hidden="false" customHeight="true" outlineLevel="0" collapsed="false">
      <c r="A3666" s="51" t="n">
        <v>17321</v>
      </c>
      <c r="B3666" s="53" t="n">
        <v>40878.5701388889</v>
      </c>
      <c r="C3666" s="57" t="n">
        <f aca="false">INT($C$2)-INT(Table3[[#This Row],[Last Purchase Date]])</f>
        <v>9</v>
      </c>
      <c r="D3666" s="1" t="n">
        <v>2</v>
      </c>
      <c r="E3666" s="1" t="n">
        <v>700.86</v>
      </c>
      <c r="F3666" s="1" t="n">
        <f aca="false">ROUND((1-_xlfn.PERCENTRANK.INC($C$7:$C$4378,C3666))*9,0)</f>
        <v>8</v>
      </c>
      <c r="G3666" s="1" t="n">
        <f aca="false">ROUND(_xlfn.PERCENTRANK.INC($D$7:$D$4378,D3666)*9,0)</f>
        <v>3</v>
      </c>
      <c r="H3666" s="1" t="n">
        <f aca="false">ROUND(_xlfn.PERCENTRANK.INC($E$7:$E$4378,E3666)*9,0)</f>
        <v>5</v>
      </c>
      <c r="I3666" s="1" t="str">
        <f aca="false">CONCATENATE(F3666,G3666,H3666)</f>
        <v>835</v>
      </c>
      <c r="J3666" s="1" t="str">
        <f aca="false">_xlfn.IFS(AND(F3666&gt;=8,G3666&gt;=8,H3666&gt;=8),"CHAMPION",AND(F3666&gt;=6,G3666&gt;=7,H3666&gt;=6),"LOYAL CUSTOMER",AND(F3666&gt;=6,G3666&gt;=5,H3666&gt;=5),"POTENTIAL LOYALIST",AND(F3666&gt;=8,G3666&lt;=2,H3666&gt;=5),"NEW CUSTOMERS",AND(F3666&gt;=6,G3666&lt;=2,H3666&gt;=3),"PROMISING",AND(F3666&gt;=3,G3666&gt;=3,H3666&gt;=3),"NEED ATTENTION",AND(F3666&lt;=4,G3666&gt;=6,H3666&gt;=6),"AT RISK",AND(F3666&lt;=2,G3666&gt;=8,H3666&gt;=8),"CAN'T LOSE THEM",AND(F3666&lt;=2,G3666&lt;=2,H3666&lt;=2),"HIBERNATING",TRUE(),"Other")</f>
        <v>NEED ATTENTION</v>
      </c>
      <c r="K3666" s="1" t="n">
        <f aca="false">RANK(E3666,$E$7:$E$4378)+COUNTIF($E$7:E3666,E3666)-1</f>
        <v>2066</v>
      </c>
    </row>
    <row r="3667" customFormat="false" ht="14.25" hidden="false" customHeight="true" outlineLevel="0" collapsed="false">
      <c r="A3667" s="51" t="n">
        <v>17323</v>
      </c>
      <c r="B3667" s="53" t="n">
        <v>40871.7284722222</v>
      </c>
      <c r="C3667" s="57" t="n">
        <f aca="false">INT($C$2)-INT(Table3[[#This Row],[Last Purchase Date]])</f>
        <v>16</v>
      </c>
      <c r="D3667" s="1" t="n">
        <v>9</v>
      </c>
      <c r="E3667" s="1" t="n">
        <v>908.990000000001</v>
      </c>
      <c r="F3667" s="1" t="n">
        <f aca="false">ROUND((1-_xlfn.PERCENTRANK.INC($C$7:$C$4378,C3667))*9,0)</f>
        <v>7</v>
      </c>
      <c r="G3667" s="1" t="n">
        <f aca="false">ROUND(_xlfn.PERCENTRANK.INC($D$7:$D$4378,D3667)*9,0)</f>
        <v>8</v>
      </c>
      <c r="H3667" s="1" t="n">
        <f aca="false">ROUND(_xlfn.PERCENTRANK.INC($E$7:$E$4378,E3667)*9,0)</f>
        <v>5</v>
      </c>
      <c r="I3667" s="1" t="str">
        <f aca="false">CONCATENATE(F3667,G3667,H3667)</f>
        <v>785</v>
      </c>
      <c r="J3667" s="1" t="str">
        <f aca="false">_xlfn.IFS(AND(F3667&gt;=8,G3667&gt;=8,H3667&gt;=8),"CHAMPION",AND(F3667&gt;=6,G3667&gt;=7,H3667&gt;=6),"LOYAL CUSTOMER",AND(F3667&gt;=6,G3667&gt;=5,H3667&gt;=5),"POTENTIAL LOYALIST",AND(F3667&gt;=8,G3667&lt;=2,H3667&gt;=5),"NEW CUSTOMERS",AND(F3667&gt;=6,G3667&lt;=2,H3667&gt;=3),"PROMISING",AND(F3667&gt;=3,G3667&gt;=3,H3667&gt;=3),"NEED ATTENTION",AND(F3667&lt;=4,G3667&gt;=6,H3667&gt;=6),"AT RISK",AND(F3667&lt;=2,G3667&gt;=8,H3667&gt;=8),"CAN'T LOSE THEM",AND(F3667&lt;=2,G3667&lt;=2,H3667&lt;=2),"HIBERNATING",TRUE(),"Other")</f>
        <v>POTENTIAL LOYALIST</v>
      </c>
      <c r="K3667" s="1" t="n">
        <f aca="false">RANK(E3667,$E$7:$E$4378)+COUNTIF($E$7:E3667,E3667)-1</f>
        <v>1750</v>
      </c>
    </row>
    <row r="3668" customFormat="false" ht="14.25" hidden="false" customHeight="true" outlineLevel="0" collapsed="false">
      <c r="A3668" s="51" t="n">
        <v>17324</v>
      </c>
      <c r="B3668" s="53" t="n">
        <v>40869.4402777778</v>
      </c>
      <c r="C3668" s="57" t="n">
        <f aca="false">INT($C$2)-INT(Table3[[#This Row],[Last Purchase Date]])</f>
        <v>18</v>
      </c>
      <c r="D3668" s="1" t="n">
        <v>4</v>
      </c>
      <c r="E3668" s="1" t="n">
        <v>990.23</v>
      </c>
      <c r="F3668" s="1" t="n">
        <f aca="false">ROUND((1-_xlfn.PERCENTRANK.INC($C$7:$C$4378,C3668))*9,0)</f>
        <v>7</v>
      </c>
      <c r="G3668" s="1" t="n">
        <f aca="false">ROUND(_xlfn.PERCENTRANK.INC($D$7:$D$4378,D3668)*9,0)</f>
        <v>5</v>
      </c>
      <c r="H3668" s="1" t="n">
        <f aca="false">ROUND(_xlfn.PERCENTRANK.INC($E$7:$E$4378,E3668)*9,0)</f>
        <v>6</v>
      </c>
      <c r="I3668" s="1" t="str">
        <f aca="false">CONCATENATE(F3668,G3668,H3668)</f>
        <v>756</v>
      </c>
      <c r="J3668" s="1" t="str">
        <f aca="false">_xlfn.IFS(AND(F3668&gt;=8,G3668&gt;=8,H3668&gt;=8),"CHAMPION",AND(F3668&gt;=6,G3668&gt;=7,H3668&gt;=6),"LOYAL CUSTOMER",AND(F3668&gt;=6,G3668&gt;=5,H3668&gt;=5),"POTENTIAL LOYALIST",AND(F3668&gt;=8,G3668&lt;=2,H3668&gt;=5),"NEW CUSTOMERS",AND(F3668&gt;=6,G3668&lt;=2,H3668&gt;=3),"PROMISING",AND(F3668&gt;=3,G3668&gt;=3,H3668&gt;=3),"NEED ATTENTION",AND(F3668&lt;=4,G3668&gt;=6,H3668&gt;=6),"AT RISK",AND(F3668&lt;=2,G3668&gt;=8,H3668&gt;=8),"CAN'T LOSE THEM",AND(F3668&lt;=2,G3668&lt;=2,H3668&lt;=2),"HIBERNATING",TRUE(),"Other")</f>
        <v>POTENTIAL LOYALIST</v>
      </c>
      <c r="K3668" s="1" t="n">
        <f aca="false">RANK(E3668,$E$7:$E$4378)+COUNTIF($E$7:E3668,E3668)-1</f>
        <v>1647</v>
      </c>
    </row>
    <row r="3669" customFormat="false" ht="14.25" hidden="false" customHeight="true" outlineLevel="0" collapsed="false">
      <c r="A3669" s="51" t="n">
        <v>17325</v>
      </c>
      <c r="B3669" s="53" t="n">
        <v>40606.5479166667</v>
      </c>
      <c r="C3669" s="57" t="n">
        <f aca="false">INT($C$2)-INT(Table3[[#This Row],[Last Purchase Date]])</f>
        <v>281</v>
      </c>
      <c r="D3669" s="1" t="n">
        <v>1</v>
      </c>
      <c r="E3669" s="1" t="n">
        <v>96.8</v>
      </c>
      <c r="F3669" s="1" t="n">
        <f aca="false">ROUND((1-_xlfn.PERCENTRANK.INC($C$7:$C$4378,C3669))*9,0)</f>
        <v>1</v>
      </c>
      <c r="G3669" s="1" t="n">
        <f aca="false">ROUND(_xlfn.PERCENTRANK.INC($D$7:$D$4378,D3669)*9,0)</f>
        <v>0</v>
      </c>
      <c r="H3669" s="1" t="n">
        <f aca="false">ROUND(_xlfn.PERCENTRANK.INC($E$7:$E$4378,E3669)*9,0)</f>
        <v>0</v>
      </c>
      <c r="I3669" s="1" t="str">
        <f aca="false">CONCATENATE(F3669,G3669,H3669)</f>
        <v>100</v>
      </c>
      <c r="J3669" s="1" t="str">
        <f aca="false">_xlfn.IFS(AND(F3669&gt;=8,G3669&gt;=8,H3669&gt;=8),"CHAMPION",AND(F3669&gt;=6,G3669&gt;=7,H3669&gt;=6),"LOYAL CUSTOMER",AND(F3669&gt;=6,G3669&gt;=5,H3669&gt;=5),"POTENTIAL LOYALIST",AND(F3669&gt;=8,G3669&lt;=2,H3669&gt;=5),"NEW CUSTOMERS",AND(F3669&gt;=6,G3669&lt;=2,H3669&gt;=3),"PROMISING",AND(F3669&gt;=3,G3669&gt;=3,H3669&gt;=3),"NEED ATTENTION",AND(F3669&lt;=4,G3669&gt;=6,H3669&gt;=6),"AT RISK",AND(F3669&lt;=2,G3669&gt;=8,H3669&gt;=8),"CAN'T LOSE THEM",AND(F3669&lt;=2,G3669&lt;=2,H3669&lt;=2),"HIBERNATING",TRUE(),"Other")</f>
        <v>HIBERNATING</v>
      </c>
      <c r="K3669" s="1" t="n">
        <f aca="false">RANK(E3669,$E$7:$E$4378)+COUNTIF($E$7:E3669,E3669)-1</f>
        <v>4169</v>
      </c>
    </row>
    <row r="3670" customFormat="false" ht="14.25" hidden="false" customHeight="true" outlineLevel="0" collapsed="false">
      <c r="A3670" s="51" t="n">
        <v>17329</v>
      </c>
      <c r="B3670" s="53" t="n">
        <v>40872.6</v>
      </c>
      <c r="C3670" s="57" t="n">
        <f aca="false">INT($C$2)-INT(Table3[[#This Row],[Last Purchase Date]])</f>
        <v>15</v>
      </c>
      <c r="D3670" s="1" t="n">
        <v>2</v>
      </c>
      <c r="E3670" s="1" t="n">
        <v>523.11</v>
      </c>
      <c r="F3670" s="1" t="n">
        <f aca="false">ROUND((1-_xlfn.PERCENTRANK.INC($C$7:$C$4378,C3670))*9,0)</f>
        <v>7</v>
      </c>
      <c r="G3670" s="1" t="n">
        <f aca="false">ROUND(_xlfn.PERCENTRANK.INC($D$7:$D$4378,D3670)*9,0)</f>
        <v>3</v>
      </c>
      <c r="H3670" s="1" t="n">
        <f aca="false">ROUND(_xlfn.PERCENTRANK.INC($E$7:$E$4378,E3670)*9,0)</f>
        <v>4</v>
      </c>
      <c r="I3670" s="1" t="str">
        <f aca="false">CONCATENATE(F3670,G3670,H3670)</f>
        <v>734</v>
      </c>
      <c r="J3670" s="1" t="str">
        <f aca="false">_xlfn.IFS(AND(F3670&gt;=8,G3670&gt;=8,H3670&gt;=8),"CHAMPION",AND(F3670&gt;=6,G3670&gt;=7,H3670&gt;=6),"LOYAL CUSTOMER",AND(F3670&gt;=6,G3670&gt;=5,H3670&gt;=5),"POTENTIAL LOYALIST",AND(F3670&gt;=8,G3670&lt;=2,H3670&gt;=5),"NEW CUSTOMERS",AND(F3670&gt;=6,G3670&lt;=2,H3670&gt;=3),"PROMISING",AND(F3670&gt;=3,G3670&gt;=3,H3670&gt;=3),"NEED ATTENTION",AND(F3670&lt;=4,G3670&gt;=6,H3670&gt;=6),"AT RISK",AND(F3670&lt;=2,G3670&gt;=8,H3670&gt;=8),"CAN'T LOSE THEM",AND(F3670&lt;=2,G3670&lt;=2,H3670&lt;=2),"HIBERNATING",TRUE(),"Other")</f>
        <v>NEED ATTENTION</v>
      </c>
      <c r="K3670" s="1" t="n">
        <f aca="false">RANK(E3670,$E$7:$E$4378)+COUNTIF($E$7:E3670,E3670)-1</f>
        <v>2492</v>
      </c>
    </row>
    <row r="3671" customFormat="false" ht="14.25" hidden="false" customHeight="true" outlineLevel="0" collapsed="false">
      <c r="A3671" s="51" t="n">
        <v>17330</v>
      </c>
      <c r="B3671" s="53" t="n">
        <v>40864.3722222222</v>
      </c>
      <c r="C3671" s="57" t="n">
        <f aca="false">INT($C$2)-INT(Table3[[#This Row],[Last Purchase Date]])</f>
        <v>23</v>
      </c>
      <c r="D3671" s="1" t="n">
        <v>2</v>
      </c>
      <c r="E3671" s="1" t="n">
        <v>363.9</v>
      </c>
      <c r="F3671" s="1" t="n">
        <f aca="false">ROUND((1-_xlfn.PERCENTRANK.INC($C$7:$C$4378,C3671))*9,0)</f>
        <v>6</v>
      </c>
      <c r="G3671" s="1" t="n">
        <f aca="false">ROUND(_xlfn.PERCENTRANK.INC($D$7:$D$4378,D3671)*9,0)</f>
        <v>3</v>
      </c>
      <c r="H3671" s="1" t="n">
        <f aca="false">ROUND(_xlfn.PERCENTRANK.INC($E$7:$E$4378,E3671)*9,0)</f>
        <v>3</v>
      </c>
      <c r="I3671" s="1" t="str">
        <f aca="false">CONCATENATE(F3671,G3671,H3671)</f>
        <v>633</v>
      </c>
      <c r="J3671" s="1" t="str">
        <f aca="false">_xlfn.IFS(AND(F3671&gt;=8,G3671&gt;=8,H3671&gt;=8),"CHAMPION",AND(F3671&gt;=6,G3671&gt;=7,H3671&gt;=6),"LOYAL CUSTOMER",AND(F3671&gt;=6,G3671&gt;=5,H3671&gt;=5),"POTENTIAL LOYALIST",AND(F3671&gt;=8,G3671&lt;=2,H3671&gt;=5),"NEW CUSTOMERS",AND(F3671&gt;=6,G3671&lt;=2,H3671&gt;=3),"PROMISING",AND(F3671&gt;=3,G3671&gt;=3,H3671&gt;=3),"NEED ATTENTION",AND(F3671&lt;=4,G3671&gt;=6,H3671&gt;=6),"AT RISK",AND(F3671&lt;=2,G3671&gt;=8,H3671&gt;=8),"CAN'T LOSE THEM",AND(F3671&lt;=2,G3671&lt;=2,H3671&lt;=2),"HIBERNATING",TRUE(),"Other")</f>
        <v>NEED ATTENTION</v>
      </c>
      <c r="K3671" s="1" t="n">
        <f aca="false">RANK(E3671,$E$7:$E$4378)+COUNTIF($E$7:E3671,E3671)-1</f>
        <v>2946</v>
      </c>
    </row>
    <row r="3672" customFormat="false" ht="14.25" hidden="false" customHeight="true" outlineLevel="0" collapsed="false">
      <c r="A3672" s="51" t="n">
        <v>17331</v>
      </c>
      <c r="B3672" s="53" t="n">
        <v>40763.4965277778</v>
      </c>
      <c r="C3672" s="57" t="n">
        <f aca="false">INT($C$2)-INT(Table3[[#This Row],[Last Purchase Date]])</f>
        <v>124</v>
      </c>
      <c r="D3672" s="1" t="n">
        <v>1</v>
      </c>
      <c r="E3672" s="1" t="n">
        <v>175.2</v>
      </c>
      <c r="F3672" s="1" t="n">
        <f aca="false">ROUND((1-_xlfn.PERCENTRANK.INC($C$7:$C$4378,C3672))*9,0)</f>
        <v>2</v>
      </c>
      <c r="G3672" s="1" t="n">
        <f aca="false">ROUND(_xlfn.PERCENTRANK.INC($D$7:$D$4378,D3672)*9,0)</f>
        <v>0</v>
      </c>
      <c r="H3672" s="1" t="n">
        <f aca="false">ROUND(_xlfn.PERCENTRANK.INC($E$7:$E$4378,E3672)*9,0)</f>
        <v>1</v>
      </c>
      <c r="I3672" s="1" t="str">
        <f aca="false">CONCATENATE(F3672,G3672,H3672)</f>
        <v>201</v>
      </c>
      <c r="J3672" s="1" t="str">
        <f aca="false">_xlfn.IFS(AND(F3672&gt;=8,G3672&gt;=8,H3672&gt;=8),"CHAMPION",AND(F3672&gt;=6,G3672&gt;=7,H3672&gt;=6),"LOYAL CUSTOMER",AND(F3672&gt;=6,G3672&gt;=5,H3672&gt;=5),"POTENTIAL LOYALIST",AND(F3672&gt;=8,G3672&lt;=2,H3672&gt;=5),"NEW CUSTOMERS",AND(F3672&gt;=6,G3672&lt;=2,H3672&gt;=3),"PROMISING",AND(F3672&gt;=3,G3672&gt;=3,H3672&gt;=3),"NEED ATTENTION",AND(F3672&lt;=4,G3672&gt;=6,H3672&gt;=6),"AT RISK",AND(F3672&lt;=2,G3672&gt;=8,H3672&gt;=8),"CAN'T LOSE THEM",AND(F3672&lt;=2,G3672&lt;=2,H3672&lt;=2),"HIBERNATING",TRUE(),"Other")</f>
        <v>HIBERNATING</v>
      </c>
      <c r="K3672" s="1" t="n">
        <f aca="false">RANK(E3672,$E$7:$E$4378)+COUNTIF($E$7:E3672,E3672)-1</f>
        <v>3779</v>
      </c>
    </row>
    <row r="3673" customFormat="false" ht="14.25" hidden="false" customHeight="true" outlineLevel="0" collapsed="false">
      <c r="A3673" s="51" t="n">
        <v>17333</v>
      </c>
      <c r="B3673" s="53" t="n">
        <v>40801.4243055556</v>
      </c>
      <c r="C3673" s="57" t="n">
        <f aca="false">INT($C$2)-INT(Table3[[#This Row],[Last Purchase Date]])</f>
        <v>86</v>
      </c>
      <c r="D3673" s="1" t="n">
        <v>1</v>
      </c>
      <c r="E3673" s="1" t="n">
        <v>494.25</v>
      </c>
      <c r="F3673" s="1" t="n">
        <f aca="false">ROUND((1-_xlfn.PERCENTRANK.INC($C$7:$C$4378,C3673))*9,0)</f>
        <v>3</v>
      </c>
      <c r="G3673" s="1" t="n">
        <f aca="false">ROUND(_xlfn.PERCENTRANK.INC($D$7:$D$4378,D3673)*9,0)</f>
        <v>0</v>
      </c>
      <c r="H3673" s="1" t="n">
        <f aca="false">ROUND(_xlfn.PERCENTRANK.INC($E$7:$E$4378,E3673)*9,0)</f>
        <v>4</v>
      </c>
      <c r="I3673" s="1" t="str">
        <f aca="false">CONCATENATE(F3673,G3673,H3673)</f>
        <v>304</v>
      </c>
      <c r="J3673" s="1" t="str">
        <f aca="false">_xlfn.IFS(AND(F3673&gt;=8,G3673&gt;=8,H3673&gt;=8),"CHAMPION",AND(F3673&gt;=6,G3673&gt;=7,H3673&gt;=6),"LOYAL CUSTOMER",AND(F3673&gt;=6,G3673&gt;=5,H3673&gt;=5),"POTENTIAL LOYALIST",AND(F3673&gt;=8,G3673&lt;=2,H3673&gt;=5),"NEW CUSTOMERS",AND(F3673&gt;=6,G3673&lt;=2,H3673&gt;=3),"PROMISING",AND(F3673&gt;=3,G3673&gt;=3,H3673&gt;=3),"NEED ATTENTION",AND(F3673&lt;=4,G3673&gt;=6,H3673&gt;=6),"AT RISK",AND(F3673&lt;=2,G3673&gt;=8,H3673&gt;=8),"CAN'T LOSE THEM",AND(F3673&lt;=2,G3673&lt;=2,H3673&lt;=2),"HIBERNATING",TRUE(),"Other")</f>
        <v>Other</v>
      </c>
      <c r="K3673" s="1" t="n">
        <f aca="false">RANK(E3673,$E$7:$E$4378)+COUNTIF($E$7:E3673,E3673)-1</f>
        <v>2558</v>
      </c>
    </row>
    <row r="3674" customFormat="false" ht="14.25" hidden="false" customHeight="true" outlineLevel="0" collapsed="false">
      <c r="A3674" s="51" t="n">
        <v>17334</v>
      </c>
      <c r="B3674" s="53" t="n">
        <v>40585.6902777778</v>
      </c>
      <c r="C3674" s="57" t="n">
        <f aca="false">INT($C$2)-INT(Table3[[#This Row],[Last Purchase Date]])</f>
        <v>302</v>
      </c>
      <c r="D3674" s="1" t="n">
        <v>3</v>
      </c>
      <c r="E3674" s="1" t="n">
        <v>306.6</v>
      </c>
      <c r="F3674" s="1" t="n">
        <f aca="false">ROUND((1-_xlfn.PERCENTRANK.INC($C$7:$C$4378,C3674))*9,0)</f>
        <v>1</v>
      </c>
      <c r="G3674" s="1" t="n">
        <f aca="false">ROUND(_xlfn.PERCENTRANK.INC($D$7:$D$4378,D3674)*9,0)</f>
        <v>4</v>
      </c>
      <c r="H3674" s="1" t="n">
        <f aca="false">ROUND(_xlfn.PERCENTRANK.INC($E$7:$E$4378,E3674)*9,0)</f>
        <v>2</v>
      </c>
      <c r="I3674" s="1" t="str">
        <f aca="false">CONCATENATE(F3674,G3674,H3674)</f>
        <v>142</v>
      </c>
      <c r="J3674" s="1" t="str">
        <f aca="false">_xlfn.IFS(AND(F3674&gt;=8,G3674&gt;=8,H3674&gt;=8),"CHAMPION",AND(F3674&gt;=6,G3674&gt;=7,H3674&gt;=6),"LOYAL CUSTOMER",AND(F3674&gt;=6,G3674&gt;=5,H3674&gt;=5),"POTENTIAL LOYALIST",AND(F3674&gt;=8,G3674&lt;=2,H3674&gt;=5),"NEW CUSTOMERS",AND(F3674&gt;=6,G3674&lt;=2,H3674&gt;=3),"PROMISING",AND(F3674&gt;=3,G3674&gt;=3,H3674&gt;=3),"NEED ATTENTION",AND(F3674&lt;=4,G3674&gt;=6,H3674&gt;=6),"AT RISK",AND(F3674&lt;=2,G3674&gt;=8,H3674&gt;=8),"CAN'T LOSE THEM",AND(F3674&lt;=2,G3674&lt;=2,H3674&lt;=2),"HIBERNATING",TRUE(),"Other")</f>
        <v>Other</v>
      </c>
      <c r="K3674" s="1" t="n">
        <f aca="false">RANK(E3674,$E$7:$E$4378)+COUNTIF($E$7:E3674,E3674)-1</f>
        <v>3216</v>
      </c>
    </row>
    <row r="3675" customFormat="false" ht="14.25" hidden="false" customHeight="true" outlineLevel="0" collapsed="false">
      <c r="A3675" s="51" t="n">
        <v>17337</v>
      </c>
      <c r="B3675" s="53" t="n">
        <v>40735.6222222222</v>
      </c>
      <c r="C3675" s="57" t="n">
        <f aca="false">INT($C$2)-INT(Table3[[#This Row],[Last Purchase Date]])</f>
        <v>152</v>
      </c>
      <c r="D3675" s="1" t="n">
        <v>7</v>
      </c>
      <c r="E3675" s="1" t="n">
        <v>1944.32</v>
      </c>
      <c r="F3675" s="1" t="n">
        <f aca="false">ROUND((1-_xlfn.PERCENTRANK.INC($C$7:$C$4378,C3675))*9,0)</f>
        <v>2</v>
      </c>
      <c r="G3675" s="1" t="n">
        <f aca="false">ROUND(_xlfn.PERCENTRANK.INC($D$7:$D$4378,D3675)*9,0)</f>
        <v>7</v>
      </c>
      <c r="H3675" s="1" t="n">
        <f aca="false">ROUND(_xlfn.PERCENTRANK.INC($E$7:$E$4378,E3675)*9,0)</f>
        <v>7</v>
      </c>
      <c r="I3675" s="1" t="str">
        <f aca="false">CONCATENATE(F3675,G3675,H3675)</f>
        <v>277</v>
      </c>
      <c r="J3675" s="1" t="str">
        <f aca="false">_xlfn.IFS(AND(F3675&gt;=8,G3675&gt;=8,H3675&gt;=8),"CHAMPION",AND(F3675&gt;=6,G3675&gt;=7,H3675&gt;=6),"LOYAL CUSTOMER",AND(F3675&gt;=6,G3675&gt;=5,H3675&gt;=5),"POTENTIAL LOYALIST",AND(F3675&gt;=8,G3675&lt;=2,H3675&gt;=5),"NEW CUSTOMERS",AND(F3675&gt;=6,G3675&lt;=2,H3675&gt;=3),"PROMISING",AND(F3675&gt;=3,G3675&gt;=3,H3675&gt;=3),"NEED ATTENTION",AND(F3675&lt;=4,G3675&gt;=6,H3675&gt;=6),"AT RISK",AND(F3675&lt;=2,G3675&gt;=8,H3675&gt;=8),"CAN'T LOSE THEM",AND(F3675&lt;=2,G3675&lt;=2,H3675&lt;=2),"HIBERNATING",TRUE(),"Other")</f>
        <v>AT RISK</v>
      </c>
      <c r="K3675" s="1" t="n">
        <f aca="false">RANK(E3675,$E$7:$E$4378)+COUNTIF($E$7:E3675,E3675)-1</f>
        <v>898</v>
      </c>
    </row>
    <row r="3676" customFormat="false" ht="14.25" hidden="false" customHeight="true" outlineLevel="0" collapsed="false">
      <c r="A3676" s="51" t="n">
        <v>17338</v>
      </c>
      <c r="B3676" s="53" t="n">
        <v>40869.5993055556</v>
      </c>
      <c r="C3676" s="57" t="n">
        <f aca="false">INT($C$2)-INT(Table3[[#This Row],[Last Purchase Date]])</f>
        <v>18</v>
      </c>
      <c r="D3676" s="1" t="n">
        <v>10</v>
      </c>
      <c r="E3676" s="1" t="n">
        <v>6612.18</v>
      </c>
      <c r="F3676" s="1" t="n">
        <f aca="false">ROUND((1-_xlfn.PERCENTRANK.INC($C$7:$C$4378,C3676))*9,0)</f>
        <v>7</v>
      </c>
      <c r="G3676" s="1" t="n">
        <f aca="false">ROUND(_xlfn.PERCENTRANK.INC($D$7:$D$4378,D3676)*9,0)</f>
        <v>8</v>
      </c>
      <c r="H3676" s="1" t="n">
        <f aca="false">ROUND(_xlfn.PERCENTRANK.INC($E$7:$E$4378,E3676)*9,0)</f>
        <v>9</v>
      </c>
      <c r="I3676" s="1" t="str">
        <f aca="false">CONCATENATE(F3676,G3676,H3676)</f>
        <v>789</v>
      </c>
      <c r="J3676" s="1" t="str">
        <f aca="false">_xlfn.IFS(AND(F3676&gt;=8,G3676&gt;=8,H3676&gt;=8),"CHAMPION",AND(F3676&gt;=6,G3676&gt;=7,H3676&gt;=6),"LOYAL CUSTOMER",AND(F3676&gt;=6,G3676&gt;=5,H3676&gt;=5),"POTENTIAL LOYALIST",AND(F3676&gt;=8,G3676&lt;=2,H3676&gt;=5),"NEW CUSTOMERS",AND(F3676&gt;=6,G3676&lt;=2,H3676&gt;=3),"PROMISING",AND(F3676&gt;=3,G3676&gt;=3,H3676&gt;=3),"NEED ATTENTION",AND(F3676&lt;=4,G3676&gt;=6,H3676&gt;=6),"AT RISK",AND(F3676&lt;=2,G3676&gt;=8,H3676&gt;=8),"CAN'T LOSE THEM",AND(F3676&lt;=2,G3676&lt;=2,H3676&lt;=2),"HIBERNATING",TRUE(),"Other")</f>
        <v>LOYAL CUSTOMER</v>
      </c>
      <c r="K3676" s="1" t="n">
        <f aca="false">RANK(E3676,$E$7:$E$4378)+COUNTIF($E$7:E3676,E3676)-1</f>
        <v>176</v>
      </c>
    </row>
    <row r="3677" customFormat="false" ht="14.25" hidden="false" customHeight="true" outlineLevel="0" collapsed="false">
      <c r="A3677" s="51" t="n">
        <v>17339</v>
      </c>
      <c r="B3677" s="53" t="n">
        <v>40792.5618055556</v>
      </c>
      <c r="C3677" s="57" t="n">
        <f aca="false">INT($C$2)-INT(Table3[[#This Row],[Last Purchase Date]])</f>
        <v>95</v>
      </c>
      <c r="D3677" s="1" t="n">
        <v>2</v>
      </c>
      <c r="E3677" s="1" t="n">
        <v>243.36</v>
      </c>
      <c r="F3677" s="1" t="n">
        <f aca="false">ROUND((1-_xlfn.PERCENTRANK.INC($C$7:$C$4378,C3677))*9,0)</f>
        <v>3</v>
      </c>
      <c r="G3677" s="1" t="n">
        <f aca="false">ROUND(_xlfn.PERCENTRANK.INC($D$7:$D$4378,D3677)*9,0)</f>
        <v>3</v>
      </c>
      <c r="H3677" s="1" t="n">
        <f aca="false">ROUND(_xlfn.PERCENTRANK.INC($E$7:$E$4378,E3677)*9,0)</f>
        <v>2</v>
      </c>
      <c r="I3677" s="1" t="str">
        <f aca="false">CONCATENATE(F3677,G3677,H3677)</f>
        <v>332</v>
      </c>
      <c r="J3677" s="1" t="str">
        <f aca="false">_xlfn.IFS(AND(F3677&gt;=8,G3677&gt;=8,H3677&gt;=8),"CHAMPION",AND(F3677&gt;=6,G3677&gt;=7,H3677&gt;=6),"LOYAL CUSTOMER",AND(F3677&gt;=6,G3677&gt;=5,H3677&gt;=5),"POTENTIAL LOYALIST",AND(F3677&gt;=8,G3677&lt;=2,H3677&gt;=5),"NEW CUSTOMERS",AND(F3677&gt;=6,G3677&lt;=2,H3677&gt;=3),"PROMISING",AND(F3677&gt;=3,G3677&gt;=3,H3677&gt;=3),"NEED ATTENTION",AND(F3677&lt;=4,G3677&gt;=6,H3677&gt;=6),"AT RISK",AND(F3677&lt;=2,G3677&gt;=8,H3677&gt;=8),"CAN'T LOSE THEM",AND(F3677&lt;=2,G3677&lt;=2,H3677&lt;=2),"HIBERNATING",TRUE(),"Other")</f>
        <v>Other</v>
      </c>
      <c r="K3677" s="1" t="n">
        <f aca="false">RANK(E3677,$E$7:$E$4378)+COUNTIF($E$7:E3677,E3677)-1</f>
        <v>3469</v>
      </c>
    </row>
    <row r="3678" customFormat="false" ht="14.25" hidden="false" customHeight="true" outlineLevel="0" collapsed="false">
      <c r="A3678" s="51" t="n">
        <v>17340</v>
      </c>
      <c r="B3678" s="53" t="n">
        <v>40877.7166666667</v>
      </c>
      <c r="C3678" s="57" t="n">
        <f aca="false">INT($C$2)-INT(Table3[[#This Row],[Last Purchase Date]])</f>
        <v>10</v>
      </c>
      <c r="D3678" s="1" t="n">
        <v>16</v>
      </c>
      <c r="E3678" s="1" t="n">
        <v>11891.18</v>
      </c>
      <c r="F3678" s="1" t="n">
        <f aca="false">ROUND((1-_xlfn.PERCENTRANK.INC($C$7:$C$4378,C3678))*9,0)</f>
        <v>8</v>
      </c>
      <c r="G3678" s="1" t="n">
        <f aca="false">ROUND(_xlfn.PERCENTRANK.INC($D$7:$D$4378,D3678)*9,0)</f>
        <v>9</v>
      </c>
      <c r="H3678" s="1" t="n">
        <f aca="false">ROUND(_xlfn.PERCENTRANK.INC($E$7:$E$4378,E3678)*9,0)</f>
        <v>9</v>
      </c>
      <c r="I3678" s="1" t="str">
        <f aca="false">CONCATENATE(F3678,G3678,H3678)</f>
        <v>899</v>
      </c>
      <c r="J3678" s="1" t="str">
        <f aca="false">_xlfn.IFS(AND(F3678&gt;=8,G3678&gt;=8,H3678&gt;=8),"CHAMPION",AND(F3678&gt;=6,G3678&gt;=7,H3678&gt;=6),"LOYAL CUSTOMER",AND(F3678&gt;=6,G3678&gt;=5,H3678&gt;=5),"POTENTIAL LOYALIST",AND(F3678&gt;=8,G3678&lt;=2,H3678&gt;=5),"NEW CUSTOMERS",AND(F3678&gt;=6,G3678&lt;=2,H3678&gt;=3),"PROMISING",AND(F3678&gt;=3,G3678&gt;=3,H3678&gt;=3),"NEED ATTENTION",AND(F3678&lt;=4,G3678&gt;=6,H3678&gt;=6),"AT RISK",AND(F3678&lt;=2,G3678&gt;=8,H3678&gt;=8),"CAN'T LOSE THEM",AND(F3678&lt;=2,G3678&lt;=2,H3678&lt;=2),"HIBERNATING",TRUE(),"Other")</f>
        <v>CHAMPION</v>
      </c>
      <c r="K3678" s="1" t="n">
        <f aca="false">RANK(E3678,$E$7:$E$4378)+COUNTIF($E$7:E3678,E3678)-1</f>
        <v>74</v>
      </c>
    </row>
    <row r="3679" customFormat="false" ht="14.25" hidden="false" customHeight="true" outlineLevel="0" collapsed="false">
      <c r="A3679" s="51" t="n">
        <v>17341</v>
      </c>
      <c r="B3679" s="53" t="n">
        <v>40730.5229166667</v>
      </c>
      <c r="C3679" s="57" t="n">
        <f aca="false">INT($C$2)-INT(Table3[[#This Row],[Last Purchase Date]])</f>
        <v>157</v>
      </c>
      <c r="D3679" s="1" t="n">
        <v>3</v>
      </c>
      <c r="E3679" s="1" t="n">
        <v>781.36</v>
      </c>
      <c r="F3679" s="1" t="n">
        <f aca="false">ROUND((1-_xlfn.PERCENTRANK.INC($C$7:$C$4378,C3679))*9,0)</f>
        <v>2</v>
      </c>
      <c r="G3679" s="1" t="n">
        <f aca="false">ROUND(_xlfn.PERCENTRANK.INC($D$7:$D$4378,D3679)*9,0)</f>
        <v>4</v>
      </c>
      <c r="H3679" s="1" t="n">
        <f aca="false">ROUND(_xlfn.PERCENTRANK.INC($E$7:$E$4378,E3679)*9,0)</f>
        <v>5</v>
      </c>
      <c r="I3679" s="1" t="str">
        <f aca="false">CONCATENATE(F3679,G3679,H3679)</f>
        <v>245</v>
      </c>
      <c r="J3679" s="1" t="str">
        <f aca="false">_xlfn.IFS(AND(F3679&gt;=8,G3679&gt;=8,H3679&gt;=8),"CHAMPION",AND(F3679&gt;=6,G3679&gt;=7,H3679&gt;=6),"LOYAL CUSTOMER",AND(F3679&gt;=6,G3679&gt;=5,H3679&gt;=5),"POTENTIAL LOYALIST",AND(F3679&gt;=8,G3679&lt;=2,H3679&gt;=5),"NEW CUSTOMERS",AND(F3679&gt;=6,G3679&lt;=2,H3679&gt;=3),"PROMISING",AND(F3679&gt;=3,G3679&gt;=3,H3679&gt;=3),"NEED ATTENTION",AND(F3679&lt;=4,G3679&gt;=6,H3679&gt;=6),"AT RISK",AND(F3679&lt;=2,G3679&gt;=8,H3679&gt;=8),"CAN'T LOSE THEM",AND(F3679&lt;=2,G3679&lt;=2,H3679&lt;=2),"HIBERNATING",TRUE(),"Other")</f>
        <v>Other</v>
      </c>
      <c r="K3679" s="1" t="n">
        <f aca="false">RANK(E3679,$E$7:$E$4378)+COUNTIF($E$7:E3679,E3679)-1</f>
        <v>1918</v>
      </c>
    </row>
    <row r="3680" customFormat="false" ht="14.25" hidden="false" customHeight="true" outlineLevel="0" collapsed="false">
      <c r="A3680" s="51" t="n">
        <v>17343</v>
      </c>
      <c r="B3680" s="53" t="n">
        <v>40531.6298611111</v>
      </c>
      <c r="C3680" s="57" t="n">
        <f aca="false">INT($C$2)-INT(Table3[[#This Row],[Last Purchase Date]])</f>
        <v>356</v>
      </c>
      <c r="D3680" s="1" t="n">
        <v>1</v>
      </c>
      <c r="E3680" s="1" t="n">
        <v>193.64</v>
      </c>
      <c r="F3680" s="1" t="n">
        <f aca="false">ROUND((1-_xlfn.PERCENTRANK.INC($C$7:$C$4378,C3680))*9,0)</f>
        <v>0</v>
      </c>
      <c r="G3680" s="1" t="n">
        <f aca="false">ROUND(_xlfn.PERCENTRANK.INC($D$7:$D$4378,D3680)*9,0)</f>
        <v>0</v>
      </c>
      <c r="H3680" s="1" t="n">
        <f aca="false">ROUND(_xlfn.PERCENTRANK.INC($E$7:$E$4378,E3680)*9,0)</f>
        <v>1</v>
      </c>
      <c r="I3680" s="1" t="str">
        <f aca="false">CONCATENATE(F3680,G3680,H3680)</f>
        <v>001</v>
      </c>
      <c r="J3680" s="1" t="str">
        <f aca="false">_xlfn.IFS(AND(F3680&gt;=8,G3680&gt;=8,H3680&gt;=8),"CHAMPION",AND(F3680&gt;=6,G3680&gt;=7,H3680&gt;=6),"LOYAL CUSTOMER",AND(F3680&gt;=6,G3680&gt;=5,H3680&gt;=5),"POTENTIAL LOYALIST",AND(F3680&gt;=8,G3680&lt;=2,H3680&gt;=5),"NEW CUSTOMERS",AND(F3680&gt;=6,G3680&lt;=2,H3680&gt;=3),"PROMISING",AND(F3680&gt;=3,G3680&gt;=3,H3680&gt;=3),"NEED ATTENTION",AND(F3680&lt;=4,G3680&gt;=6,H3680&gt;=6),"AT RISK",AND(F3680&lt;=2,G3680&gt;=8,H3680&gt;=8),"CAN'T LOSE THEM",AND(F3680&lt;=2,G3680&lt;=2,H3680&lt;=2),"HIBERNATING",TRUE(),"Other")</f>
        <v>HIBERNATING</v>
      </c>
      <c r="K3680" s="1" t="n">
        <f aca="false">RANK(E3680,$E$7:$E$4378)+COUNTIF($E$7:E3680,E3680)-1</f>
        <v>3691</v>
      </c>
    </row>
    <row r="3681" customFormat="false" ht="14.25" hidden="false" customHeight="true" outlineLevel="0" collapsed="false">
      <c r="A3681" s="51" t="n">
        <v>17344</v>
      </c>
      <c r="B3681" s="53" t="n">
        <v>40840.5388888889</v>
      </c>
      <c r="C3681" s="57" t="n">
        <f aca="false">INT($C$2)-INT(Table3[[#This Row],[Last Purchase Date]])</f>
        <v>47</v>
      </c>
      <c r="D3681" s="1" t="n">
        <v>1</v>
      </c>
      <c r="E3681" s="1" t="n">
        <v>160.57</v>
      </c>
      <c r="F3681" s="1" t="n">
        <f aca="false">ROUND((1-_xlfn.PERCENTRANK.INC($C$7:$C$4378,C3681))*9,0)</f>
        <v>5</v>
      </c>
      <c r="G3681" s="1" t="n">
        <f aca="false">ROUND(_xlfn.PERCENTRANK.INC($D$7:$D$4378,D3681)*9,0)</f>
        <v>0</v>
      </c>
      <c r="H3681" s="1" t="n">
        <f aca="false">ROUND(_xlfn.PERCENTRANK.INC($E$7:$E$4378,E3681)*9,0)</f>
        <v>1</v>
      </c>
      <c r="I3681" s="1" t="str">
        <f aca="false">CONCATENATE(F3681,G3681,H3681)</f>
        <v>501</v>
      </c>
      <c r="J3681" s="1" t="str">
        <f aca="false">_xlfn.IFS(AND(F3681&gt;=8,G3681&gt;=8,H3681&gt;=8),"CHAMPION",AND(F3681&gt;=6,G3681&gt;=7,H3681&gt;=6),"LOYAL CUSTOMER",AND(F3681&gt;=6,G3681&gt;=5,H3681&gt;=5),"POTENTIAL LOYALIST",AND(F3681&gt;=8,G3681&lt;=2,H3681&gt;=5),"NEW CUSTOMERS",AND(F3681&gt;=6,G3681&lt;=2,H3681&gt;=3),"PROMISING",AND(F3681&gt;=3,G3681&gt;=3,H3681&gt;=3),"NEED ATTENTION",AND(F3681&lt;=4,G3681&gt;=6,H3681&gt;=6),"AT RISK",AND(F3681&lt;=2,G3681&gt;=8,H3681&gt;=8),"CAN'T LOSE THEM",AND(F3681&lt;=2,G3681&lt;=2,H3681&lt;=2),"HIBERNATING",TRUE(),"Other")</f>
        <v>Other</v>
      </c>
      <c r="K3681" s="1" t="n">
        <f aca="false">RANK(E3681,$E$7:$E$4378)+COUNTIF($E$7:E3681,E3681)-1</f>
        <v>3857</v>
      </c>
    </row>
    <row r="3682" customFormat="false" ht="14.25" hidden="false" customHeight="true" outlineLevel="0" collapsed="false">
      <c r="A3682" s="51" t="n">
        <v>17345</v>
      </c>
      <c r="B3682" s="53" t="n">
        <v>40871.6270833333</v>
      </c>
      <c r="C3682" s="57" t="n">
        <f aca="false">INT($C$2)-INT(Table3[[#This Row],[Last Purchase Date]])</f>
        <v>16</v>
      </c>
      <c r="D3682" s="1" t="n">
        <v>4</v>
      </c>
      <c r="E3682" s="1" t="n">
        <v>537.74</v>
      </c>
      <c r="F3682" s="1" t="n">
        <f aca="false">ROUND((1-_xlfn.PERCENTRANK.INC($C$7:$C$4378,C3682))*9,0)</f>
        <v>7</v>
      </c>
      <c r="G3682" s="1" t="n">
        <f aca="false">ROUND(_xlfn.PERCENTRANK.INC($D$7:$D$4378,D3682)*9,0)</f>
        <v>5</v>
      </c>
      <c r="H3682" s="1" t="n">
        <f aca="false">ROUND(_xlfn.PERCENTRANK.INC($E$7:$E$4378,E3682)*9,0)</f>
        <v>4</v>
      </c>
      <c r="I3682" s="1" t="str">
        <f aca="false">CONCATENATE(F3682,G3682,H3682)</f>
        <v>754</v>
      </c>
      <c r="J3682" s="1" t="str">
        <f aca="false">_xlfn.IFS(AND(F3682&gt;=8,G3682&gt;=8,H3682&gt;=8),"CHAMPION",AND(F3682&gt;=6,G3682&gt;=7,H3682&gt;=6),"LOYAL CUSTOMER",AND(F3682&gt;=6,G3682&gt;=5,H3682&gt;=5),"POTENTIAL LOYALIST",AND(F3682&gt;=8,G3682&lt;=2,H3682&gt;=5),"NEW CUSTOMERS",AND(F3682&gt;=6,G3682&lt;=2,H3682&gt;=3),"PROMISING",AND(F3682&gt;=3,G3682&gt;=3,H3682&gt;=3),"NEED ATTENTION",AND(F3682&lt;=4,G3682&gt;=6,H3682&gt;=6),"AT RISK",AND(F3682&lt;=2,G3682&gt;=8,H3682&gt;=8),"CAN'T LOSE THEM",AND(F3682&lt;=2,G3682&lt;=2,H3682&lt;=2),"HIBERNATING",TRUE(),"Other")</f>
        <v>NEED ATTENTION</v>
      </c>
      <c r="K3682" s="1" t="n">
        <f aca="false">RANK(E3682,$E$7:$E$4378)+COUNTIF($E$7:E3682,E3682)-1</f>
        <v>2461</v>
      </c>
    </row>
    <row r="3683" customFormat="false" ht="14.25" hidden="false" customHeight="true" outlineLevel="0" collapsed="false">
      <c r="A3683" s="51" t="n">
        <v>17346</v>
      </c>
      <c r="B3683" s="53" t="n">
        <v>40883.5125</v>
      </c>
      <c r="C3683" s="57" t="n">
        <f aca="false">INT($C$2)-INT(Table3[[#This Row],[Last Purchase Date]])</f>
        <v>4</v>
      </c>
      <c r="D3683" s="1" t="n">
        <v>16</v>
      </c>
      <c r="E3683" s="1" t="n">
        <v>2611.58</v>
      </c>
      <c r="F3683" s="1" t="n">
        <f aca="false">ROUND((1-_xlfn.PERCENTRANK.INC($C$7:$C$4378,C3683))*9,0)</f>
        <v>8</v>
      </c>
      <c r="G3683" s="1" t="n">
        <f aca="false">ROUND(_xlfn.PERCENTRANK.INC($D$7:$D$4378,D3683)*9,0)</f>
        <v>9</v>
      </c>
      <c r="H3683" s="1" t="n">
        <f aca="false">ROUND(_xlfn.PERCENTRANK.INC($E$7:$E$4378,E3683)*9,0)</f>
        <v>8</v>
      </c>
      <c r="I3683" s="1" t="str">
        <f aca="false">CONCATENATE(F3683,G3683,H3683)</f>
        <v>898</v>
      </c>
      <c r="J3683" s="1" t="str">
        <f aca="false">_xlfn.IFS(AND(F3683&gt;=8,G3683&gt;=8,H3683&gt;=8),"CHAMPION",AND(F3683&gt;=6,G3683&gt;=7,H3683&gt;=6),"LOYAL CUSTOMER",AND(F3683&gt;=6,G3683&gt;=5,H3683&gt;=5),"POTENTIAL LOYALIST",AND(F3683&gt;=8,G3683&lt;=2,H3683&gt;=5),"NEW CUSTOMERS",AND(F3683&gt;=6,G3683&lt;=2,H3683&gt;=3),"PROMISING",AND(F3683&gt;=3,G3683&gt;=3,H3683&gt;=3),"NEED ATTENTION",AND(F3683&lt;=4,G3683&gt;=6,H3683&gt;=6),"AT RISK",AND(F3683&lt;=2,G3683&gt;=8,H3683&gt;=8),"CAN'T LOSE THEM",AND(F3683&lt;=2,G3683&lt;=2,H3683&lt;=2),"HIBERNATING",TRUE(),"Other")</f>
        <v>CHAMPION</v>
      </c>
      <c r="K3683" s="1" t="n">
        <f aca="false">RANK(E3683,$E$7:$E$4378)+COUNTIF($E$7:E3683,E3683)-1</f>
        <v>642</v>
      </c>
    </row>
    <row r="3684" customFormat="false" ht="14.25" hidden="false" customHeight="true" outlineLevel="0" collapsed="false">
      <c r="A3684" s="51" t="n">
        <v>17347</v>
      </c>
      <c r="B3684" s="53" t="n">
        <v>40800.55</v>
      </c>
      <c r="C3684" s="57" t="n">
        <f aca="false">INT($C$2)-INT(Table3[[#This Row],[Last Purchase Date]])</f>
        <v>87</v>
      </c>
      <c r="D3684" s="1" t="n">
        <v>1</v>
      </c>
      <c r="E3684" s="1" t="n">
        <v>228.96</v>
      </c>
      <c r="F3684" s="1" t="n">
        <f aca="false">ROUND((1-_xlfn.PERCENTRANK.INC($C$7:$C$4378,C3684))*9,0)</f>
        <v>3</v>
      </c>
      <c r="G3684" s="1" t="n">
        <f aca="false">ROUND(_xlfn.PERCENTRANK.INC($D$7:$D$4378,D3684)*9,0)</f>
        <v>0</v>
      </c>
      <c r="H3684" s="1" t="n">
        <f aca="false">ROUND(_xlfn.PERCENTRANK.INC($E$7:$E$4378,E3684)*9,0)</f>
        <v>2</v>
      </c>
      <c r="I3684" s="1" t="str">
        <f aca="false">CONCATENATE(F3684,G3684,H3684)</f>
        <v>302</v>
      </c>
      <c r="J3684" s="1" t="str">
        <f aca="false">_xlfn.IFS(AND(F3684&gt;=8,G3684&gt;=8,H3684&gt;=8),"CHAMPION",AND(F3684&gt;=6,G3684&gt;=7,H3684&gt;=6),"LOYAL CUSTOMER",AND(F3684&gt;=6,G3684&gt;=5,H3684&gt;=5),"POTENTIAL LOYALIST",AND(F3684&gt;=8,G3684&lt;=2,H3684&gt;=5),"NEW CUSTOMERS",AND(F3684&gt;=6,G3684&lt;=2,H3684&gt;=3),"PROMISING",AND(F3684&gt;=3,G3684&gt;=3,H3684&gt;=3),"NEED ATTENTION",AND(F3684&lt;=4,G3684&gt;=6,H3684&gt;=6),"AT RISK",AND(F3684&lt;=2,G3684&gt;=8,H3684&gt;=8),"CAN'T LOSE THEM",AND(F3684&lt;=2,G3684&lt;=2,H3684&lt;=2),"HIBERNATING",TRUE(),"Other")</f>
        <v>Other</v>
      </c>
      <c r="K3684" s="1" t="n">
        <f aca="false">RANK(E3684,$E$7:$E$4378)+COUNTIF($E$7:E3684,E3684)-1</f>
        <v>3523</v>
      </c>
    </row>
    <row r="3685" customFormat="false" ht="14.25" hidden="false" customHeight="true" outlineLevel="0" collapsed="false">
      <c r="A3685" s="51" t="n">
        <v>17348</v>
      </c>
      <c r="B3685" s="53" t="n">
        <v>40872.4756944445</v>
      </c>
      <c r="C3685" s="57" t="n">
        <f aca="false">INT($C$2)-INT(Table3[[#This Row],[Last Purchase Date]])</f>
        <v>15</v>
      </c>
      <c r="D3685" s="1" t="n">
        <v>5</v>
      </c>
      <c r="E3685" s="1" t="n">
        <v>1159.52</v>
      </c>
      <c r="F3685" s="1" t="n">
        <f aca="false">ROUND((1-_xlfn.PERCENTRANK.INC($C$7:$C$4378,C3685))*9,0)</f>
        <v>7</v>
      </c>
      <c r="G3685" s="1" t="n">
        <f aca="false">ROUND(_xlfn.PERCENTRANK.INC($D$7:$D$4378,D3685)*9,0)</f>
        <v>6</v>
      </c>
      <c r="H3685" s="1" t="n">
        <f aca="false">ROUND(_xlfn.PERCENTRANK.INC($E$7:$E$4378,E3685)*9,0)</f>
        <v>6</v>
      </c>
      <c r="I3685" s="1" t="str">
        <f aca="false">CONCATENATE(F3685,G3685,H3685)</f>
        <v>766</v>
      </c>
      <c r="J3685" s="1" t="str">
        <f aca="false">_xlfn.IFS(AND(F3685&gt;=8,G3685&gt;=8,H3685&gt;=8),"CHAMPION",AND(F3685&gt;=6,G3685&gt;=7,H3685&gt;=6),"LOYAL CUSTOMER",AND(F3685&gt;=6,G3685&gt;=5,H3685&gt;=5),"POTENTIAL LOYALIST",AND(F3685&gt;=8,G3685&lt;=2,H3685&gt;=5),"NEW CUSTOMERS",AND(F3685&gt;=6,G3685&lt;=2,H3685&gt;=3),"PROMISING",AND(F3685&gt;=3,G3685&gt;=3,H3685&gt;=3),"NEED ATTENTION",AND(F3685&lt;=4,G3685&gt;=6,H3685&gt;=6),"AT RISK",AND(F3685&lt;=2,G3685&gt;=8,H3685&gt;=8),"CAN'T LOSE THEM",AND(F3685&lt;=2,G3685&lt;=2,H3685&lt;=2),"HIBERNATING",TRUE(),"Other")</f>
        <v>POTENTIAL LOYALIST</v>
      </c>
      <c r="K3685" s="1" t="n">
        <f aca="false">RANK(E3685,$E$7:$E$4378)+COUNTIF($E$7:E3685,E3685)-1</f>
        <v>1440</v>
      </c>
    </row>
    <row r="3686" customFormat="false" ht="14.25" hidden="false" customHeight="true" outlineLevel="0" collapsed="false">
      <c r="A3686" s="51" t="n">
        <v>17349</v>
      </c>
      <c r="B3686" s="53" t="n">
        <v>40707.6034722222</v>
      </c>
      <c r="C3686" s="57" t="n">
        <f aca="false">INT($C$2)-INT(Table3[[#This Row],[Last Purchase Date]])</f>
        <v>180</v>
      </c>
      <c r="D3686" s="1" t="n">
        <v>1</v>
      </c>
      <c r="E3686" s="1" t="n">
        <v>110.75</v>
      </c>
      <c r="F3686" s="1" t="n">
        <f aca="false">ROUND((1-_xlfn.PERCENTRANK.INC($C$7:$C$4378,C3686))*9,0)</f>
        <v>2</v>
      </c>
      <c r="G3686" s="1" t="n">
        <f aca="false">ROUND(_xlfn.PERCENTRANK.INC($D$7:$D$4378,D3686)*9,0)</f>
        <v>0</v>
      </c>
      <c r="H3686" s="1" t="n">
        <f aca="false">ROUND(_xlfn.PERCENTRANK.INC($E$7:$E$4378,E3686)*9,0)</f>
        <v>1</v>
      </c>
      <c r="I3686" s="1" t="str">
        <f aca="false">CONCATENATE(F3686,G3686,H3686)</f>
        <v>201</v>
      </c>
      <c r="J3686" s="1" t="str">
        <f aca="false">_xlfn.IFS(AND(F3686&gt;=8,G3686&gt;=8,H3686&gt;=8),"CHAMPION",AND(F3686&gt;=6,G3686&gt;=7,H3686&gt;=6),"LOYAL CUSTOMER",AND(F3686&gt;=6,G3686&gt;=5,H3686&gt;=5),"POTENTIAL LOYALIST",AND(F3686&gt;=8,G3686&lt;=2,H3686&gt;=5),"NEW CUSTOMERS",AND(F3686&gt;=6,G3686&lt;=2,H3686&gt;=3),"PROMISING",AND(F3686&gt;=3,G3686&gt;=3,H3686&gt;=3),"NEED ATTENTION",AND(F3686&lt;=4,G3686&gt;=6,H3686&gt;=6),"AT RISK",AND(F3686&lt;=2,G3686&gt;=8,H3686&gt;=8),"CAN'T LOSE THEM",AND(F3686&lt;=2,G3686&lt;=2,H3686&lt;=2),"HIBERNATING",TRUE(),"Other")</f>
        <v>HIBERNATING</v>
      </c>
      <c r="K3686" s="1" t="n">
        <f aca="false">RANK(E3686,$E$7:$E$4378)+COUNTIF($E$7:E3686,E3686)-1</f>
        <v>4110</v>
      </c>
    </row>
    <row r="3687" customFormat="false" ht="14.25" hidden="false" customHeight="true" outlineLevel="0" collapsed="false">
      <c r="A3687" s="51" t="n">
        <v>17350</v>
      </c>
      <c r="B3687" s="53" t="n">
        <v>40878.6576388889</v>
      </c>
      <c r="C3687" s="57" t="n">
        <f aca="false">INT($C$2)-INT(Table3[[#This Row],[Last Purchase Date]])</f>
        <v>9</v>
      </c>
      <c r="D3687" s="1" t="n">
        <v>5</v>
      </c>
      <c r="E3687" s="1" t="n">
        <v>1256.19</v>
      </c>
      <c r="F3687" s="1" t="n">
        <f aca="false">ROUND((1-_xlfn.PERCENTRANK.INC($C$7:$C$4378,C3687))*9,0)</f>
        <v>8</v>
      </c>
      <c r="G3687" s="1" t="n">
        <f aca="false">ROUND(_xlfn.PERCENTRANK.INC($D$7:$D$4378,D3687)*9,0)</f>
        <v>6</v>
      </c>
      <c r="H3687" s="1" t="n">
        <f aca="false">ROUND(_xlfn.PERCENTRANK.INC($E$7:$E$4378,E3687)*9,0)</f>
        <v>6</v>
      </c>
      <c r="I3687" s="1" t="str">
        <f aca="false">CONCATENATE(F3687,G3687,H3687)</f>
        <v>866</v>
      </c>
      <c r="J3687" s="1" t="str">
        <f aca="false">_xlfn.IFS(AND(F3687&gt;=8,G3687&gt;=8,H3687&gt;=8),"CHAMPION",AND(F3687&gt;=6,G3687&gt;=7,H3687&gt;=6),"LOYAL CUSTOMER",AND(F3687&gt;=6,G3687&gt;=5,H3687&gt;=5),"POTENTIAL LOYALIST",AND(F3687&gt;=8,G3687&lt;=2,H3687&gt;=5),"NEW CUSTOMERS",AND(F3687&gt;=6,G3687&lt;=2,H3687&gt;=3),"PROMISING",AND(F3687&gt;=3,G3687&gt;=3,H3687&gt;=3),"NEED ATTENTION",AND(F3687&lt;=4,G3687&gt;=6,H3687&gt;=6),"AT RISK",AND(F3687&lt;=2,G3687&gt;=8,H3687&gt;=8),"CAN'T LOSE THEM",AND(F3687&lt;=2,G3687&lt;=2,H3687&lt;=2),"HIBERNATING",TRUE(),"Other")</f>
        <v>POTENTIAL LOYALIST</v>
      </c>
      <c r="K3687" s="1" t="n">
        <f aca="false">RANK(E3687,$E$7:$E$4378)+COUNTIF($E$7:E3687,E3687)-1</f>
        <v>1369</v>
      </c>
    </row>
    <row r="3688" customFormat="false" ht="14.25" hidden="false" customHeight="true" outlineLevel="0" collapsed="false">
      <c r="A3688" s="51" t="n">
        <v>17351</v>
      </c>
      <c r="B3688" s="53" t="n">
        <v>40850.78125</v>
      </c>
      <c r="C3688" s="57" t="n">
        <f aca="false">INT($C$2)-INT(Table3[[#This Row],[Last Purchase Date]])</f>
        <v>37</v>
      </c>
      <c r="D3688" s="1" t="n">
        <v>3</v>
      </c>
      <c r="E3688" s="1" t="n">
        <v>587.15</v>
      </c>
      <c r="F3688" s="1" t="n">
        <f aca="false">ROUND((1-_xlfn.PERCENTRANK.INC($C$7:$C$4378,C3688))*9,0)</f>
        <v>5</v>
      </c>
      <c r="G3688" s="1" t="n">
        <f aca="false">ROUND(_xlfn.PERCENTRANK.INC($D$7:$D$4378,D3688)*9,0)</f>
        <v>4</v>
      </c>
      <c r="H3688" s="1" t="n">
        <f aca="false">ROUND(_xlfn.PERCENTRANK.INC($E$7:$E$4378,E3688)*9,0)</f>
        <v>4</v>
      </c>
      <c r="I3688" s="1" t="str">
        <f aca="false">CONCATENATE(F3688,G3688,H3688)</f>
        <v>544</v>
      </c>
      <c r="J3688" s="1" t="str">
        <f aca="false">_xlfn.IFS(AND(F3688&gt;=8,G3688&gt;=8,H3688&gt;=8),"CHAMPION",AND(F3688&gt;=6,G3688&gt;=7,H3688&gt;=6),"LOYAL CUSTOMER",AND(F3688&gt;=6,G3688&gt;=5,H3688&gt;=5),"POTENTIAL LOYALIST",AND(F3688&gt;=8,G3688&lt;=2,H3688&gt;=5),"NEW CUSTOMERS",AND(F3688&gt;=6,G3688&lt;=2,H3688&gt;=3),"PROMISING",AND(F3688&gt;=3,G3688&gt;=3,H3688&gt;=3),"NEED ATTENTION",AND(F3688&lt;=4,G3688&gt;=6,H3688&gt;=6),"AT RISK",AND(F3688&lt;=2,G3688&gt;=8,H3688&gt;=8),"CAN'T LOSE THEM",AND(F3688&lt;=2,G3688&lt;=2,H3688&lt;=2),"HIBERNATING",TRUE(),"Other")</f>
        <v>NEED ATTENTION</v>
      </c>
      <c r="K3688" s="1" t="n">
        <f aca="false">RANK(E3688,$E$7:$E$4378)+COUNTIF($E$7:E3688,E3688)-1</f>
        <v>2353</v>
      </c>
    </row>
    <row r="3689" customFormat="false" ht="14.25" hidden="false" customHeight="true" outlineLevel="0" collapsed="false">
      <c r="A3689" s="51" t="n">
        <v>17353</v>
      </c>
      <c r="B3689" s="53" t="n">
        <v>40757.7215277778</v>
      </c>
      <c r="C3689" s="57" t="n">
        <f aca="false">INT($C$2)-INT(Table3[[#This Row],[Last Purchase Date]])</f>
        <v>130</v>
      </c>
      <c r="D3689" s="1" t="n">
        <v>2</v>
      </c>
      <c r="E3689" s="1" t="n">
        <v>1740</v>
      </c>
      <c r="F3689" s="1" t="n">
        <f aca="false">ROUND((1-_xlfn.PERCENTRANK.INC($C$7:$C$4378,C3689))*9,0)</f>
        <v>2</v>
      </c>
      <c r="G3689" s="1" t="n">
        <f aca="false">ROUND(_xlfn.PERCENTRANK.INC($D$7:$D$4378,D3689)*9,0)</f>
        <v>3</v>
      </c>
      <c r="H3689" s="1" t="n">
        <f aca="false">ROUND(_xlfn.PERCENTRANK.INC($E$7:$E$4378,E3689)*9,0)</f>
        <v>7</v>
      </c>
      <c r="I3689" s="1" t="str">
        <f aca="false">CONCATENATE(F3689,G3689,H3689)</f>
        <v>237</v>
      </c>
      <c r="J3689" s="1" t="str">
        <f aca="false">_xlfn.IFS(AND(F3689&gt;=8,G3689&gt;=8,H3689&gt;=8),"CHAMPION",AND(F3689&gt;=6,G3689&gt;=7,H3689&gt;=6),"LOYAL CUSTOMER",AND(F3689&gt;=6,G3689&gt;=5,H3689&gt;=5),"POTENTIAL LOYALIST",AND(F3689&gt;=8,G3689&lt;=2,H3689&gt;=5),"NEW CUSTOMERS",AND(F3689&gt;=6,G3689&lt;=2,H3689&gt;=3),"PROMISING",AND(F3689&gt;=3,G3689&gt;=3,H3689&gt;=3),"NEED ATTENTION",AND(F3689&lt;=4,G3689&gt;=6,H3689&gt;=6),"AT RISK",AND(F3689&lt;=2,G3689&gt;=8,H3689&gt;=8),"CAN'T LOSE THEM",AND(F3689&lt;=2,G3689&lt;=2,H3689&lt;=2),"HIBERNATING",TRUE(),"Other")</f>
        <v>Other</v>
      </c>
      <c r="K3689" s="1" t="n">
        <f aca="false">RANK(E3689,$E$7:$E$4378)+COUNTIF($E$7:E3689,E3689)-1</f>
        <v>1016</v>
      </c>
    </row>
    <row r="3690" customFormat="false" ht="14.25" hidden="false" customHeight="true" outlineLevel="0" collapsed="false">
      <c r="A3690" s="51" t="n">
        <v>17354</v>
      </c>
      <c r="B3690" s="53" t="n">
        <v>40836.4402777778</v>
      </c>
      <c r="C3690" s="57" t="n">
        <f aca="false">INT($C$2)-INT(Table3[[#This Row],[Last Purchase Date]])</f>
        <v>51</v>
      </c>
      <c r="D3690" s="1" t="n">
        <v>1</v>
      </c>
      <c r="E3690" s="1" t="n">
        <v>1393.06</v>
      </c>
      <c r="F3690" s="1" t="n">
        <f aca="false">ROUND((1-_xlfn.PERCENTRANK.INC($C$7:$C$4378,C3690))*9,0)</f>
        <v>5</v>
      </c>
      <c r="G3690" s="1" t="n">
        <f aca="false">ROUND(_xlfn.PERCENTRANK.INC($D$7:$D$4378,D3690)*9,0)</f>
        <v>0</v>
      </c>
      <c r="H3690" s="1" t="n">
        <f aca="false">ROUND(_xlfn.PERCENTRANK.INC($E$7:$E$4378,E3690)*9,0)</f>
        <v>6</v>
      </c>
      <c r="I3690" s="1" t="str">
        <f aca="false">CONCATENATE(F3690,G3690,H3690)</f>
        <v>506</v>
      </c>
      <c r="J3690" s="1" t="str">
        <f aca="false">_xlfn.IFS(AND(F3690&gt;=8,G3690&gt;=8,H3690&gt;=8),"CHAMPION",AND(F3690&gt;=6,G3690&gt;=7,H3690&gt;=6),"LOYAL CUSTOMER",AND(F3690&gt;=6,G3690&gt;=5,H3690&gt;=5),"POTENTIAL LOYALIST",AND(F3690&gt;=8,G3690&lt;=2,H3690&gt;=5),"NEW CUSTOMERS",AND(F3690&gt;=6,G3690&lt;=2,H3690&gt;=3),"PROMISING",AND(F3690&gt;=3,G3690&gt;=3,H3690&gt;=3),"NEED ATTENTION",AND(F3690&lt;=4,G3690&gt;=6,H3690&gt;=6),"AT RISK",AND(F3690&lt;=2,G3690&gt;=8,H3690&gt;=8),"CAN'T LOSE THEM",AND(F3690&lt;=2,G3690&lt;=2,H3690&lt;=2),"HIBERNATING",TRUE(),"Other")</f>
        <v>Other</v>
      </c>
      <c r="K3690" s="1" t="n">
        <f aca="false">RANK(E3690,$E$7:$E$4378)+COUNTIF($E$7:E3690,E3690)-1</f>
        <v>1240</v>
      </c>
    </row>
    <row r="3691" customFormat="false" ht="14.25" hidden="false" customHeight="true" outlineLevel="0" collapsed="false">
      <c r="A3691" s="51" t="n">
        <v>17356</v>
      </c>
      <c r="B3691" s="53" t="n">
        <v>40575.4631944444</v>
      </c>
      <c r="C3691" s="57" t="n">
        <f aca="false">INT($C$2)-INT(Table3[[#This Row],[Last Purchase Date]])</f>
        <v>312</v>
      </c>
      <c r="D3691" s="1" t="n">
        <v>1</v>
      </c>
      <c r="E3691" s="1" t="n">
        <v>178.22</v>
      </c>
      <c r="F3691" s="1" t="n">
        <f aca="false">ROUND((1-_xlfn.PERCENTRANK.INC($C$7:$C$4378,C3691))*9,0)</f>
        <v>0</v>
      </c>
      <c r="G3691" s="1" t="n">
        <f aca="false">ROUND(_xlfn.PERCENTRANK.INC($D$7:$D$4378,D3691)*9,0)</f>
        <v>0</v>
      </c>
      <c r="H3691" s="1" t="n">
        <f aca="false">ROUND(_xlfn.PERCENTRANK.INC($E$7:$E$4378,E3691)*9,0)</f>
        <v>1</v>
      </c>
      <c r="I3691" s="1" t="str">
        <f aca="false">CONCATENATE(F3691,G3691,H3691)</f>
        <v>001</v>
      </c>
      <c r="J3691" s="1" t="str">
        <f aca="false">_xlfn.IFS(AND(F3691&gt;=8,G3691&gt;=8,H3691&gt;=8),"CHAMPION",AND(F3691&gt;=6,G3691&gt;=7,H3691&gt;=6),"LOYAL CUSTOMER",AND(F3691&gt;=6,G3691&gt;=5,H3691&gt;=5),"POTENTIAL LOYALIST",AND(F3691&gt;=8,G3691&lt;=2,H3691&gt;=5),"NEW CUSTOMERS",AND(F3691&gt;=6,G3691&lt;=2,H3691&gt;=3),"PROMISING",AND(F3691&gt;=3,G3691&gt;=3,H3691&gt;=3),"NEED ATTENTION",AND(F3691&lt;=4,G3691&gt;=6,H3691&gt;=6),"AT RISK",AND(F3691&lt;=2,G3691&gt;=8,H3691&gt;=8),"CAN'T LOSE THEM",AND(F3691&lt;=2,G3691&lt;=2,H3691&lt;=2),"HIBERNATING",TRUE(),"Other")</f>
        <v>HIBERNATING</v>
      </c>
      <c r="K3691" s="1" t="n">
        <f aca="false">RANK(E3691,$E$7:$E$4378)+COUNTIF($E$7:E3691,E3691)-1</f>
        <v>3767</v>
      </c>
    </row>
    <row r="3692" customFormat="false" ht="14.25" hidden="false" customHeight="true" outlineLevel="0" collapsed="false">
      <c r="A3692" s="51" t="n">
        <v>17357</v>
      </c>
      <c r="B3692" s="53" t="n">
        <v>40862.6875</v>
      </c>
      <c r="C3692" s="57" t="n">
        <f aca="false">INT($C$2)-INT(Table3[[#This Row],[Last Purchase Date]])</f>
        <v>25</v>
      </c>
      <c r="D3692" s="1" t="n">
        <v>2</v>
      </c>
      <c r="E3692" s="1" t="n">
        <v>388.14</v>
      </c>
      <c r="F3692" s="1" t="n">
        <f aca="false">ROUND((1-_xlfn.PERCENTRANK.INC($C$7:$C$4378,C3692))*9,0)</f>
        <v>6</v>
      </c>
      <c r="G3692" s="1" t="n">
        <f aca="false">ROUND(_xlfn.PERCENTRANK.INC($D$7:$D$4378,D3692)*9,0)</f>
        <v>3</v>
      </c>
      <c r="H3692" s="1" t="n">
        <f aca="false">ROUND(_xlfn.PERCENTRANK.INC($E$7:$E$4378,E3692)*9,0)</f>
        <v>3</v>
      </c>
      <c r="I3692" s="1" t="str">
        <f aca="false">CONCATENATE(F3692,G3692,H3692)</f>
        <v>633</v>
      </c>
      <c r="J3692" s="1" t="str">
        <f aca="false">_xlfn.IFS(AND(F3692&gt;=8,G3692&gt;=8,H3692&gt;=8),"CHAMPION",AND(F3692&gt;=6,G3692&gt;=7,H3692&gt;=6),"LOYAL CUSTOMER",AND(F3692&gt;=6,G3692&gt;=5,H3692&gt;=5),"POTENTIAL LOYALIST",AND(F3692&gt;=8,G3692&lt;=2,H3692&gt;=5),"NEW CUSTOMERS",AND(F3692&gt;=6,G3692&lt;=2,H3692&gt;=3),"PROMISING",AND(F3692&gt;=3,G3692&gt;=3,H3692&gt;=3),"NEED ATTENTION",AND(F3692&lt;=4,G3692&gt;=6,H3692&gt;=6),"AT RISK",AND(F3692&lt;=2,G3692&gt;=8,H3692&gt;=8),"CAN'T LOSE THEM",AND(F3692&lt;=2,G3692&lt;=2,H3692&lt;=2),"HIBERNATING",TRUE(),"Other")</f>
        <v>NEED ATTENTION</v>
      </c>
      <c r="K3692" s="1" t="n">
        <f aca="false">RANK(E3692,$E$7:$E$4378)+COUNTIF($E$7:E3692,E3692)-1</f>
        <v>2859</v>
      </c>
    </row>
    <row r="3693" customFormat="false" ht="14.25" hidden="false" customHeight="true" outlineLevel="0" collapsed="false">
      <c r="A3693" s="51" t="n">
        <v>17358</v>
      </c>
      <c r="B3693" s="53" t="n">
        <v>40583.70625</v>
      </c>
      <c r="C3693" s="57" t="n">
        <f aca="false">INT($C$2)-INT(Table3[[#This Row],[Last Purchase Date]])</f>
        <v>304</v>
      </c>
      <c r="D3693" s="1" t="n">
        <v>2</v>
      </c>
      <c r="E3693" s="1" t="n">
        <v>365.85</v>
      </c>
      <c r="F3693" s="1" t="n">
        <f aca="false">ROUND((1-_xlfn.PERCENTRANK.INC($C$7:$C$4378,C3693))*9,0)</f>
        <v>1</v>
      </c>
      <c r="G3693" s="1" t="n">
        <f aca="false">ROUND(_xlfn.PERCENTRANK.INC($D$7:$D$4378,D3693)*9,0)</f>
        <v>3</v>
      </c>
      <c r="H3693" s="1" t="n">
        <f aca="false">ROUND(_xlfn.PERCENTRANK.INC($E$7:$E$4378,E3693)*9,0)</f>
        <v>3</v>
      </c>
      <c r="I3693" s="1" t="str">
        <f aca="false">CONCATENATE(F3693,G3693,H3693)</f>
        <v>133</v>
      </c>
      <c r="J3693" s="1" t="str">
        <f aca="false">_xlfn.IFS(AND(F3693&gt;=8,G3693&gt;=8,H3693&gt;=8),"CHAMPION",AND(F3693&gt;=6,G3693&gt;=7,H3693&gt;=6),"LOYAL CUSTOMER",AND(F3693&gt;=6,G3693&gt;=5,H3693&gt;=5),"POTENTIAL LOYALIST",AND(F3693&gt;=8,G3693&lt;=2,H3693&gt;=5),"NEW CUSTOMERS",AND(F3693&gt;=6,G3693&lt;=2,H3693&gt;=3),"PROMISING",AND(F3693&gt;=3,G3693&gt;=3,H3693&gt;=3),"NEED ATTENTION",AND(F3693&lt;=4,G3693&gt;=6,H3693&gt;=6),"AT RISK",AND(F3693&lt;=2,G3693&gt;=8,H3693&gt;=8),"CAN'T LOSE THEM",AND(F3693&lt;=2,G3693&lt;=2,H3693&lt;=2),"HIBERNATING",TRUE(),"Other")</f>
        <v>Other</v>
      </c>
      <c r="K3693" s="1" t="n">
        <f aca="false">RANK(E3693,$E$7:$E$4378)+COUNTIF($E$7:E3693,E3693)-1</f>
        <v>2934</v>
      </c>
    </row>
    <row r="3694" customFormat="false" ht="14.25" hidden="false" customHeight="true" outlineLevel="0" collapsed="false">
      <c r="A3694" s="51" t="n">
        <v>17359</v>
      </c>
      <c r="B3694" s="53" t="n">
        <v>40875.6090277778</v>
      </c>
      <c r="C3694" s="57" t="n">
        <f aca="false">INT($C$2)-INT(Table3[[#This Row],[Last Purchase Date]])</f>
        <v>12</v>
      </c>
      <c r="D3694" s="1" t="n">
        <v>1</v>
      </c>
      <c r="E3694" s="1" t="n">
        <v>127.86</v>
      </c>
      <c r="F3694" s="1" t="n">
        <f aca="false">ROUND((1-_xlfn.PERCENTRANK.INC($C$7:$C$4378,C3694))*9,0)</f>
        <v>7</v>
      </c>
      <c r="G3694" s="1" t="n">
        <f aca="false">ROUND(_xlfn.PERCENTRANK.INC($D$7:$D$4378,D3694)*9,0)</f>
        <v>0</v>
      </c>
      <c r="H3694" s="1" t="n">
        <f aca="false">ROUND(_xlfn.PERCENTRANK.INC($E$7:$E$4378,E3694)*9,0)</f>
        <v>1</v>
      </c>
      <c r="I3694" s="1" t="str">
        <f aca="false">CONCATENATE(F3694,G3694,H3694)</f>
        <v>701</v>
      </c>
      <c r="J3694" s="1" t="str">
        <f aca="false">_xlfn.IFS(AND(F3694&gt;=8,G3694&gt;=8,H3694&gt;=8),"CHAMPION",AND(F3694&gt;=6,G3694&gt;=7,H3694&gt;=6),"LOYAL CUSTOMER",AND(F3694&gt;=6,G3694&gt;=5,H3694&gt;=5),"POTENTIAL LOYALIST",AND(F3694&gt;=8,G3694&lt;=2,H3694&gt;=5),"NEW CUSTOMERS",AND(F3694&gt;=6,G3694&lt;=2,H3694&gt;=3),"PROMISING",AND(F3694&gt;=3,G3694&gt;=3,H3694&gt;=3),"NEED ATTENTION",AND(F3694&lt;=4,G3694&gt;=6,H3694&gt;=6),"AT RISK",AND(F3694&lt;=2,G3694&gt;=8,H3694&gt;=8),"CAN'T LOSE THEM",AND(F3694&lt;=2,G3694&lt;=2,H3694&lt;=2),"HIBERNATING",TRUE(),"Other")</f>
        <v>Other</v>
      </c>
      <c r="K3694" s="1" t="n">
        <f aca="false">RANK(E3694,$E$7:$E$4378)+COUNTIF($E$7:E3694,E3694)-1</f>
        <v>4012</v>
      </c>
    </row>
    <row r="3695" customFormat="false" ht="14.25" hidden="false" customHeight="true" outlineLevel="0" collapsed="false">
      <c r="A3695" s="51" t="n">
        <v>17360</v>
      </c>
      <c r="B3695" s="53" t="n">
        <v>40869.5493055556</v>
      </c>
      <c r="C3695" s="57" t="n">
        <f aca="false">INT($C$2)-INT(Table3[[#This Row],[Last Purchase Date]])</f>
        <v>18</v>
      </c>
      <c r="D3695" s="1" t="n">
        <v>3</v>
      </c>
      <c r="E3695" s="1" t="n">
        <v>585.79</v>
      </c>
      <c r="F3695" s="1" t="n">
        <f aca="false">ROUND((1-_xlfn.PERCENTRANK.INC($C$7:$C$4378,C3695))*9,0)</f>
        <v>7</v>
      </c>
      <c r="G3695" s="1" t="n">
        <f aca="false">ROUND(_xlfn.PERCENTRANK.INC($D$7:$D$4378,D3695)*9,0)</f>
        <v>4</v>
      </c>
      <c r="H3695" s="1" t="n">
        <f aca="false">ROUND(_xlfn.PERCENTRANK.INC($E$7:$E$4378,E3695)*9,0)</f>
        <v>4</v>
      </c>
      <c r="I3695" s="1" t="str">
        <f aca="false">CONCATENATE(F3695,G3695,H3695)</f>
        <v>744</v>
      </c>
      <c r="J3695" s="1" t="str">
        <f aca="false">_xlfn.IFS(AND(F3695&gt;=8,G3695&gt;=8,H3695&gt;=8),"CHAMPION",AND(F3695&gt;=6,G3695&gt;=7,H3695&gt;=6),"LOYAL CUSTOMER",AND(F3695&gt;=6,G3695&gt;=5,H3695&gt;=5),"POTENTIAL LOYALIST",AND(F3695&gt;=8,G3695&lt;=2,H3695&gt;=5),"NEW CUSTOMERS",AND(F3695&gt;=6,G3695&lt;=2,H3695&gt;=3),"PROMISING",AND(F3695&gt;=3,G3695&gt;=3,H3695&gt;=3),"NEED ATTENTION",AND(F3695&lt;=4,G3695&gt;=6,H3695&gt;=6),"AT RISK",AND(F3695&lt;=2,G3695&gt;=8,H3695&gt;=8),"CAN'T LOSE THEM",AND(F3695&lt;=2,G3695&lt;=2,H3695&lt;=2),"HIBERNATING",TRUE(),"Other")</f>
        <v>NEED ATTENTION</v>
      </c>
      <c r="K3695" s="1" t="n">
        <f aca="false">RANK(E3695,$E$7:$E$4378)+COUNTIF($E$7:E3695,E3695)-1</f>
        <v>2355</v>
      </c>
    </row>
    <row r="3696" customFormat="false" ht="14.25" hidden="false" customHeight="true" outlineLevel="0" collapsed="false">
      <c r="A3696" s="51" t="n">
        <v>17361</v>
      </c>
      <c r="B3696" s="53" t="n">
        <v>40837.6548611111</v>
      </c>
      <c r="C3696" s="57" t="n">
        <f aca="false">INT($C$2)-INT(Table3[[#This Row],[Last Purchase Date]])</f>
        <v>50</v>
      </c>
      <c r="D3696" s="1" t="n">
        <v>3</v>
      </c>
      <c r="E3696" s="1" t="n">
        <v>488.2</v>
      </c>
      <c r="F3696" s="1" t="n">
        <f aca="false">ROUND((1-_xlfn.PERCENTRANK.INC($C$7:$C$4378,C3696))*9,0)</f>
        <v>5</v>
      </c>
      <c r="G3696" s="1" t="n">
        <f aca="false">ROUND(_xlfn.PERCENTRANK.INC($D$7:$D$4378,D3696)*9,0)</f>
        <v>4</v>
      </c>
      <c r="H3696" s="1" t="n">
        <f aca="false">ROUND(_xlfn.PERCENTRANK.INC($E$7:$E$4378,E3696)*9,0)</f>
        <v>4</v>
      </c>
      <c r="I3696" s="1" t="str">
        <f aca="false">CONCATENATE(F3696,G3696,H3696)</f>
        <v>544</v>
      </c>
      <c r="J3696" s="1" t="str">
        <f aca="false">_xlfn.IFS(AND(F3696&gt;=8,G3696&gt;=8,H3696&gt;=8),"CHAMPION",AND(F3696&gt;=6,G3696&gt;=7,H3696&gt;=6),"LOYAL CUSTOMER",AND(F3696&gt;=6,G3696&gt;=5,H3696&gt;=5),"POTENTIAL LOYALIST",AND(F3696&gt;=8,G3696&lt;=2,H3696&gt;=5),"NEW CUSTOMERS",AND(F3696&gt;=6,G3696&lt;=2,H3696&gt;=3),"PROMISING",AND(F3696&gt;=3,G3696&gt;=3,H3696&gt;=3),"NEED ATTENTION",AND(F3696&lt;=4,G3696&gt;=6,H3696&gt;=6),"AT RISK",AND(F3696&lt;=2,G3696&gt;=8,H3696&gt;=8),"CAN'T LOSE THEM",AND(F3696&lt;=2,G3696&lt;=2,H3696&lt;=2),"HIBERNATING",TRUE(),"Other")</f>
        <v>NEED ATTENTION</v>
      </c>
      <c r="K3696" s="1" t="n">
        <f aca="false">RANK(E3696,$E$7:$E$4378)+COUNTIF($E$7:E3696,E3696)-1</f>
        <v>2570</v>
      </c>
    </row>
    <row r="3697" customFormat="false" ht="14.25" hidden="false" customHeight="true" outlineLevel="0" collapsed="false">
      <c r="A3697" s="51" t="n">
        <v>17362</v>
      </c>
      <c r="B3697" s="53" t="n">
        <v>40647.6131944444</v>
      </c>
      <c r="C3697" s="57" t="n">
        <f aca="false">INT($C$2)-INT(Table3[[#This Row],[Last Purchase Date]])</f>
        <v>240</v>
      </c>
      <c r="D3697" s="1" t="n">
        <v>2</v>
      </c>
      <c r="E3697" s="1" t="n">
        <v>312.23</v>
      </c>
      <c r="F3697" s="1" t="n">
        <f aca="false">ROUND((1-_xlfn.PERCENTRANK.INC($C$7:$C$4378,C3697))*9,0)</f>
        <v>1</v>
      </c>
      <c r="G3697" s="1" t="n">
        <f aca="false">ROUND(_xlfn.PERCENTRANK.INC($D$7:$D$4378,D3697)*9,0)</f>
        <v>3</v>
      </c>
      <c r="H3697" s="1" t="n">
        <f aca="false">ROUND(_xlfn.PERCENTRANK.INC($E$7:$E$4378,E3697)*9,0)</f>
        <v>2</v>
      </c>
      <c r="I3697" s="1" t="str">
        <f aca="false">CONCATENATE(F3697,G3697,H3697)</f>
        <v>132</v>
      </c>
      <c r="J3697" s="1" t="str">
        <f aca="false">_xlfn.IFS(AND(F3697&gt;=8,G3697&gt;=8,H3697&gt;=8),"CHAMPION",AND(F3697&gt;=6,G3697&gt;=7,H3697&gt;=6),"LOYAL CUSTOMER",AND(F3697&gt;=6,G3697&gt;=5,H3697&gt;=5),"POTENTIAL LOYALIST",AND(F3697&gt;=8,G3697&lt;=2,H3697&gt;=5),"NEW CUSTOMERS",AND(F3697&gt;=6,G3697&lt;=2,H3697&gt;=3),"PROMISING",AND(F3697&gt;=3,G3697&gt;=3,H3697&gt;=3),"NEED ATTENTION",AND(F3697&lt;=4,G3697&gt;=6,H3697&gt;=6),"AT RISK",AND(F3697&lt;=2,G3697&gt;=8,H3697&gt;=8),"CAN'T LOSE THEM",AND(F3697&lt;=2,G3697&lt;=2,H3697&lt;=2),"HIBERNATING",TRUE(),"Other")</f>
        <v>Other</v>
      </c>
      <c r="K3697" s="1" t="n">
        <f aca="false">RANK(E3697,$E$7:$E$4378)+COUNTIF($E$7:E3697,E3697)-1</f>
        <v>3180</v>
      </c>
    </row>
    <row r="3698" customFormat="false" ht="14.25" hidden="false" customHeight="true" outlineLevel="0" collapsed="false">
      <c r="A3698" s="51" t="n">
        <v>17364</v>
      </c>
      <c r="B3698" s="53" t="n">
        <v>40886.375</v>
      </c>
      <c r="C3698" s="57" t="n">
        <f aca="false">INT($C$2)-INT(Table3[[#This Row],[Last Purchase Date]])</f>
        <v>1</v>
      </c>
      <c r="D3698" s="1" t="n">
        <v>12</v>
      </c>
      <c r="E3698" s="1" t="n">
        <v>4455.73</v>
      </c>
      <c r="F3698" s="1" t="n">
        <f aca="false">ROUND((1-_xlfn.PERCENTRANK.INC($C$7:$C$4378,C3698))*9,0)</f>
        <v>9</v>
      </c>
      <c r="G3698" s="1" t="n">
        <f aca="false">ROUND(_xlfn.PERCENTRANK.INC($D$7:$D$4378,D3698)*9,0)</f>
        <v>8</v>
      </c>
      <c r="H3698" s="1" t="n">
        <f aca="false">ROUND(_xlfn.PERCENTRANK.INC($E$7:$E$4378,E3698)*9,0)</f>
        <v>8</v>
      </c>
      <c r="I3698" s="1" t="str">
        <f aca="false">CONCATENATE(F3698,G3698,H3698)</f>
        <v>988</v>
      </c>
      <c r="J3698" s="1" t="str">
        <f aca="false">_xlfn.IFS(AND(F3698&gt;=8,G3698&gt;=8,H3698&gt;=8),"CHAMPION",AND(F3698&gt;=6,G3698&gt;=7,H3698&gt;=6),"LOYAL CUSTOMER",AND(F3698&gt;=6,G3698&gt;=5,H3698&gt;=5),"POTENTIAL LOYALIST",AND(F3698&gt;=8,G3698&lt;=2,H3698&gt;=5),"NEW CUSTOMERS",AND(F3698&gt;=6,G3698&lt;=2,H3698&gt;=3),"PROMISING",AND(F3698&gt;=3,G3698&gt;=3,H3698&gt;=3),"NEED ATTENTION",AND(F3698&lt;=4,G3698&gt;=6,H3698&gt;=6),"AT RISK",AND(F3698&lt;=2,G3698&gt;=8,H3698&gt;=8),"CAN'T LOSE THEM",AND(F3698&lt;=2,G3698&lt;=2,H3698&lt;=2),"HIBERNATING",TRUE(),"Other")</f>
        <v>CHAMPION</v>
      </c>
      <c r="K3698" s="1" t="n">
        <f aca="false">RANK(E3698,$E$7:$E$4378)+COUNTIF($E$7:E3698,E3698)-1</f>
        <v>306</v>
      </c>
    </row>
    <row r="3699" customFormat="false" ht="14.25" hidden="false" customHeight="true" outlineLevel="0" collapsed="false">
      <c r="A3699" s="51" t="n">
        <v>17365</v>
      </c>
      <c r="B3699" s="53" t="n">
        <v>40874.5090277778</v>
      </c>
      <c r="C3699" s="57" t="n">
        <f aca="false">INT($C$2)-INT(Table3[[#This Row],[Last Purchase Date]])</f>
        <v>13</v>
      </c>
      <c r="D3699" s="1" t="n">
        <v>8</v>
      </c>
      <c r="E3699" s="1" t="n">
        <v>4801.56</v>
      </c>
      <c r="F3699" s="1" t="n">
        <f aca="false">ROUND((1-_xlfn.PERCENTRANK.INC($C$7:$C$4378,C3699))*9,0)</f>
        <v>7</v>
      </c>
      <c r="G3699" s="1" t="n">
        <f aca="false">ROUND(_xlfn.PERCENTRANK.INC($D$7:$D$4378,D3699)*9,0)</f>
        <v>7</v>
      </c>
      <c r="H3699" s="1" t="n">
        <f aca="false">ROUND(_xlfn.PERCENTRANK.INC($E$7:$E$4378,E3699)*9,0)</f>
        <v>8</v>
      </c>
      <c r="I3699" s="1" t="str">
        <f aca="false">CONCATENATE(F3699,G3699,H3699)</f>
        <v>778</v>
      </c>
      <c r="J3699" s="1" t="str">
        <f aca="false">_xlfn.IFS(AND(F3699&gt;=8,G3699&gt;=8,H3699&gt;=8),"CHAMPION",AND(F3699&gt;=6,G3699&gt;=7,H3699&gt;=6),"LOYAL CUSTOMER",AND(F3699&gt;=6,G3699&gt;=5,H3699&gt;=5),"POTENTIAL LOYALIST",AND(F3699&gt;=8,G3699&lt;=2,H3699&gt;=5),"NEW CUSTOMERS",AND(F3699&gt;=6,G3699&lt;=2,H3699&gt;=3),"PROMISING",AND(F3699&gt;=3,G3699&gt;=3,H3699&gt;=3),"NEED ATTENTION",AND(F3699&lt;=4,G3699&gt;=6,H3699&gt;=6),"AT RISK",AND(F3699&lt;=2,G3699&gt;=8,H3699&gt;=8),"CAN'T LOSE THEM",AND(F3699&lt;=2,G3699&lt;=2,H3699&lt;=2),"HIBERNATING",TRUE(),"Other")</f>
        <v>LOYAL CUSTOMER</v>
      </c>
      <c r="K3699" s="1" t="n">
        <f aca="false">RANK(E3699,$E$7:$E$4378)+COUNTIF($E$7:E3699,E3699)-1</f>
        <v>277</v>
      </c>
    </row>
    <row r="3700" customFormat="false" ht="14.25" hidden="false" customHeight="true" outlineLevel="0" collapsed="false">
      <c r="A3700" s="51" t="n">
        <v>17367</v>
      </c>
      <c r="B3700" s="53" t="n">
        <v>40648.5979166667</v>
      </c>
      <c r="C3700" s="57" t="n">
        <f aca="false">INT($C$2)-INT(Table3[[#This Row],[Last Purchase Date]])</f>
        <v>239</v>
      </c>
      <c r="D3700" s="1" t="n">
        <v>1</v>
      </c>
      <c r="E3700" s="1" t="n">
        <v>168.4</v>
      </c>
      <c r="F3700" s="1" t="n">
        <f aca="false">ROUND((1-_xlfn.PERCENTRANK.INC($C$7:$C$4378,C3700))*9,0)</f>
        <v>1</v>
      </c>
      <c r="G3700" s="1" t="n">
        <f aca="false">ROUND(_xlfn.PERCENTRANK.INC($D$7:$D$4378,D3700)*9,0)</f>
        <v>0</v>
      </c>
      <c r="H3700" s="1" t="n">
        <f aca="false">ROUND(_xlfn.PERCENTRANK.INC($E$7:$E$4378,E3700)*9,0)</f>
        <v>1</v>
      </c>
      <c r="I3700" s="1" t="str">
        <f aca="false">CONCATENATE(F3700,G3700,H3700)</f>
        <v>101</v>
      </c>
      <c r="J3700" s="1" t="str">
        <f aca="false">_xlfn.IFS(AND(F3700&gt;=8,G3700&gt;=8,H3700&gt;=8),"CHAMPION",AND(F3700&gt;=6,G3700&gt;=7,H3700&gt;=6),"LOYAL CUSTOMER",AND(F3700&gt;=6,G3700&gt;=5,H3700&gt;=5),"POTENTIAL LOYALIST",AND(F3700&gt;=8,G3700&lt;=2,H3700&gt;=5),"NEW CUSTOMERS",AND(F3700&gt;=6,G3700&lt;=2,H3700&gt;=3),"PROMISING",AND(F3700&gt;=3,G3700&gt;=3,H3700&gt;=3),"NEED ATTENTION",AND(F3700&lt;=4,G3700&gt;=6,H3700&gt;=6),"AT RISK",AND(F3700&lt;=2,G3700&gt;=8,H3700&gt;=8),"CAN'T LOSE THEM",AND(F3700&lt;=2,G3700&lt;=2,H3700&lt;=2),"HIBERNATING",TRUE(),"Other")</f>
        <v>HIBERNATING</v>
      </c>
      <c r="K3700" s="1" t="n">
        <f aca="false">RANK(E3700,$E$7:$E$4378)+COUNTIF($E$7:E3700,E3700)-1</f>
        <v>3811</v>
      </c>
    </row>
    <row r="3701" customFormat="false" ht="14.25" hidden="false" customHeight="true" outlineLevel="0" collapsed="false">
      <c r="A3701" s="51" t="n">
        <v>17368</v>
      </c>
      <c r="B3701" s="53" t="n">
        <v>40863.6430555556</v>
      </c>
      <c r="C3701" s="57" t="n">
        <f aca="false">INT($C$2)-INT(Table3[[#This Row],[Last Purchase Date]])</f>
        <v>24</v>
      </c>
      <c r="D3701" s="1" t="n">
        <v>9</v>
      </c>
      <c r="E3701" s="1" t="n">
        <v>1349.52</v>
      </c>
      <c r="F3701" s="1" t="n">
        <f aca="false">ROUND((1-_xlfn.PERCENTRANK.INC($C$7:$C$4378,C3701))*9,0)</f>
        <v>6</v>
      </c>
      <c r="G3701" s="1" t="n">
        <f aca="false">ROUND(_xlfn.PERCENTRANK.INC($D$7:$D$4378,D3701)*9,0)</f>
        <v>8</v>
      </c>
      <c r="H3701" s="1" t="n">
        <f aca="false">ROUND(_xlfn.PERCENTRANK.INC($E$7:$E$4378,E3701)*9,0)</f>
        <v>6</v>
      </c>
      <c r="I3701" s="1" t="str">
        <f aca="false">CONCATENATE(F3701,G3701,H3701)</f>
        <v>686</v>
      </c>
      <c r="J3701" s="1" t="str">
        <f aca="false">_xlfn.IFS(AND(F3701&gt;=8,G3701&gt;=8,H3701&gt;=8),"CHAMPION",AND(F3701&gt;=6,G3701&gt;=7,H3701&gt;=6),"LOYAL CUSTOMER",AND(F3701&gt;=6,G3701&gt;=5,H3701&gt;=5),"POTENTIAL LOYALIST",AND(F3701&gt;=8,G3701&lt;=2,H3701&gt;=5),"NEW CUSTOMERS",AND(F3701&gt;=6,G3701&lt;=2,H3701&gt;=3),"PROMISING",AND(F3701&gt;=3,G3701&gt;=3,H3701&gt;=3),"NEED ATTENTION",AND(F3701&lt;=4,G3701&gt;=6,H3701&gt;=6),"AT RISK",AND(F3701&lt;=2,G3701&gt;=8,H3701&gt;=8),"CAN'T LOSE THEM",AND(F3701&lt;=2,G3701&lt;=2,H3701&lt;=2),"HIBERNATING",TRUE(),"Other")</f>
        <v>LOYAL CUSTOMER</v>
      </c>
      <c r="K3701" s="1" t="n">
        <f aca="false">RANK(E3701,$E$7:$E$4378)+COUNTIF($E$7:E3701,E3701)-1</f>
        <v>1278</v>
      </c>
    </row>
    <row r="3702" customFormat="false" ht="14.25" hidden="false" customHeight="true" outlineLevel="0" collapsed="false">
      <c r="A3702" s="51" t="n">
        <v>17370</v>
      </c>
      <c r="B3702" s="53" t="n">
        <v>40814.4263888889</v>
      </c>
      <c r="C3702" s="57" t="n">
        <f aca="false">INT($C$2)-INT(Table3[[#This Row],[Last Purchase Date]])</f>
        <v>73</v>
      </c>
      <c r="D3702" s="1" t="n">
        <v>4</v>
      </c>
      <c r="E3702" s="1" t="n">
        <v>446.18</v>
      </c>
      <c r="F3702" s="1" t="n">
        <f aca="false">ROUND((1-_xlfn.PERCENTRANK.INC($C$7:$C$4378,C3702))*9,0)</f>
        <v>4</v>
      </c>
      <c r="G3702" s="1" t="n">
        <f aca="false">ROUND(_xlfn.PERCENTRANK.INC($D$7:$D$4378,D3702)*9,0)</f>
        <v>5</v>
      </c>
      <c r="H3702" s="1" t="n">
        <f aca="false">ROUND(_xlfn.PERCENTRANK.INC($E$7:$E$4378,E3702)*9,0)</f>
        <v>3</v>
      </c>
      <c r="I3702" s="1" t="str">
        <f aca="false">CONCATENATE(F3702,G3702,H3702)</f>
        <v>453</v>
      </c>
      <c r="J3702" s="1" t="str">
        <f aca="false">_xlfn.IFS(AND(F3702&gt;=8,G3702&gt;=8,H3702&gt;=8),"CHAMPION",AND(F3702&gt;=6,G3702&gt;=7,H3702&gt;=6),"LOYAL CUSTOMER",AND(F3702&gt;=6,G3702&gt;=5,H3702&gt;=5),"POTENTIAL LOYALIST",AND(F3702&gt;=8,G3702&lt;=2,H3702&gt;=5),"NEW CUSTOMERS",AND(F3702&gt;=6,G3702&lt;=2,H3702&gt;=3),"PROMISING",AND(F3702&gt;=3,G3702&gt;=3,H3702&gt;=3),"NEED ATTENTION",AND(F3702&lt;=4,G3702&gt;=6,H3702&gt;=6),"AT RISK",AND(F3702&lt;=2,G3702&gt;=8,H3702&gt;=8),"CAN'T LOSE THEM",AND(F3702&lt;=2,G3702&lt;=2,H3702&lt;=2),"HIBERNATING",TRUE(),"Other")</f>
        <v>NEED ATTENTION</v>
      </c>
      <c r="K3702" s="1" t="n">
        <f aca="false">RANK(E3702,$E$7:$E$4378)+COUNTIF($E$7:E3702,E3702)-1</f>
        <v>2683</v>
      </c>
    </row>
    <row r="3703" customFormat="false" ht="14.25" hidden="false" customHeight="true" outlineLevel="0" collapsed="false">
      <c r="A3703" s="51" t="n">
        <v>17371</v>
      </c>
      <c r="B3703" s="53" t="n">
        <v>40869.5625</v>
      </c>
      <c r="C3703" s="57" t="n">
        <f aca="false">INT($C$2)-INT(Table3[[#This Row],[Last Purchase Date]])</f>
        <v>18</v>
      </c>
      <c r="D3703" s="1" t="n">
        <v>3</v>
      </c>
      <c r="E3703" s="1" t="n">
        <v>423.89</v>
      </c>
      <c r="F3703" s="1" t="n">
        <f aca="false">ROUND((1-_xlfn.PERCENTRANK.INC($C$7:$C$4378,C3703))*9,0)</f>
        <v>7</v>
      </c>
      <c r="G3703" s="1" t="n">
        <f aca="false">ROUND(_xlfn.PERCENTRANK.INC($D$7:$D$4378,D3703)*9,0)</f>
        <v>4</v>
      </c>
      <c r="H3703" s="1" t="n">
        <f aca="false">ROUND(_xlfn.PERCENTRANK.INC($E$7:$E$4378,E3703)*9,0)</f>
        <v>3</v>
      </c>
      <c r="I3703" s="1" t="str">
        <f aca="false">CONCATENATE(F3703,G3703,H3703)</f>
        <v>743</v>
      </c>
      <c r="J3703" s="1" t="str">
        <f aca="false">_xlfn.IFS(AND(F3703&gt;=8,G3703&gt;=8,H3703&gt;=8),"CHAMPION",AND(F3703&gt;=6,G3703&gt;=7,H3703&gt;=6),"LOYAL CUSTOMER",AND(F3703&gt;=6,G3703&gt;=5,H3703&gt;=5),"POTENTIAL LOYALIST",AND(F3703&gt;=8,G3703&lt;=2,H3703&gt;=5),"NEW CUSTOMERS",AND(F3703&gt;=6,G3703&lt;=2,H3703&gt;=3),"PROMISING",AND(F3703&gt;=3,G3703&gt;=3,H3703&gt;=3),"NEED ATTENTION",AND(F3703&lt;=4,G3703&gt;=6,H3703&gt;=6),"AT RISK",AND(F3703&lt;=2,G3703&gt;=8,H3703&gt;=8),"CAN'T LOSE THEM",AND(F3703&lt;=2,G3703&lt;=2,H3703&lt;=2),"HIBERNATING",TRUE(),"Other")</f>
        <v>NEED ATTENTION</v>
      </c>
      <c r="K3703" s="1" t="n">
        <f aca="false">RANK(E3703,$E$7:$E$4378)+COUNTIF($E$7:E3703,E3703)-1</f>
        <v>2741</v>
      </c>
    </row>
    <row r="3704" customFormat="false" ht="14.25" hidden="false" customHeight="true" outlineLevel="0" collapsed="false">
      <c r="A3704" s="51" t="n">
        <v>17372</v>
      </c>
      <c r="B3704" s="53" t="n">
        <v>40846.4840277778</v>
      </c>
      <c r="C3704" s="57" t="n">
        <f aca="false">INT($C$2)-INT(Table3[[#This Row],[Last Purchase Date]])</f>
        <v>41</v>
      </c>
      <c r="D3704" s="1" t="n">
        <v>8</v>
      </c>
      <c r="E3704" s="1" t="n">
        <v>1342.68</v>
      </c>
      <c r="F3704" s="1" t="n">
        <f aca="false">ROUND((1-_xlfn.PERCENTRANK.INC($C$7:$C$4378,C3704))*9,0)</f>
        <v>5</v>
      </c>
      <c r="G3704" s="1" t="n">
        <f aca="false">ROUND(_xlfn.PERCENTRANK.INC($D$7:$D$4378,D3704)*9,0)</f>
        <v>7</v>
      </c>
      <c r="H3704" s="1" t="n">
        <f aca="false">ROUND(_xlfn.PERCENTRANK.INC($E$7:$E$4378,E3704)*9,0)</f>
        <v>6</v>
      </c>
      <c r="I3704" s="1" t="str">
        <f aca="false">CONCATENATE(F3704,G3704,H3704)</f>
        <v>576</v>
      </c>
      <c r="J3704" s="1" t="str">
        <f aca="false">_xlfn.IFS(AND(F3704&gt;=8,G3704&gt;=8,H3704&gt;=8),"CHAMPION",AND(F3704&gt;=6,G3704&gt;=7,H3704&gt;=6),"LOYAL CUSTOMER",AND(F3704&gt;=6,G3704&gt;=5,H3704&gt;=5),"POTENTIAL LOYALIST",AND(F3704&gt;=8,G3704&lt;=2,H3704&gt;=5),"NEW CUSTOMERS",AND(F3704&gt;=6,G3704&lt;=2,H3704&gt;=3),"PROMISING",AND(F3704&gt;=3,G3704&gt;=3,H3704&gt;=3),"NEED ATTENTION",AND(F3704&lt;=4,G3704&gt;=6,H3704&gt;=6),"AT RISK",AND(F3704&lt;=2,G3704&gt;=8,H3704&gt;=8),"CAN'T LOSE THEM",AND(F3704&lt;=2,G3704&lt;=2,H3704&lt;=2),"HIBERNATING",TRUE(),"Other")</f>
        <v>NEED ATTENTION</v>
      </c>
      <c r="K3704" s="1" t="n">
        <f aca="false">RANK(E3704,$E$7:$E$4378)+COUNTIF($E$7:E3704,E3704)-1</f>
        <v>1283</v>
      </c>
    </row>
    <row r="3705" customFormat="false" ht="14.25" hidden="false" customHeight="true" outlineLevel="0" collapsed="false">
      <c r="A3705" s="51" t="n">
        <v>17373</v>
      </c>
      <c r="B3705" s="53" t="n">
        <v>40846.6444444444</v>
      </c>
      <c r="C3705" s="57" t="n">
        <f aca="false">INT($C$2)-INT(Table3[[#This Row],[Last Purchase Date]])</f>
        <v>41</v>
      </c>
      <c r="D3705" s="1" t="n">
        <v>4</v>
      </c>
      <c r="E3705" s="1" t="n">
        <v>646.92</v>
      </c>
      <c r="F3705" s="1" t="n">
        <f aca="false">ROUND((1-_xlfn.PERCENTRANK.INC($C$7:$C$4378,C3705))*9,0)</f>
        <v>5</v>
      </c>
      <c r="G3705" s="1" t="n">
        <f aca="false">ROUND(_xlfn.PERCENTRANK.INC($D$7:$D$4378,D3705)*9,0)</f>
        <v>5</v>
      </c>
      <c r="H3705" s="1" t="n">
        <f aca="false">ROUND(_xlfn.PERCENTRANK.INC($E$7:$E$4378,E3705)*9,0)</f>
        <v>4</v>
      </c>
      <c r="I3705" s="1" t="str">
        <f aca="false">CONCATENATE(F3705,G3705,H3705)</f>
        <v>554</v>
      </c>
      <c r="J3705" s="1" t="str">
        <f aca="false">_xlfn.IFS(AND(F3705&gt;=8,G3705&gt;=8,H3705&gt;=8),"CHAMPION",AND(F3705&gt;=6,G3705&gt;=7,H3705&gt;=6),"LOYAL CUSTOMER",AND(F3705&gt;=6,G3705&gt;=5,H3705&gt;=5),"POTENTIAL LOYALIST",AND(F3705&gt;=8,G3705&lt;=2,H3705&gt;=5),"NEW CUSTOMERS",AND(F3705&gt;=6,G3705&lt;=2,H3705&gt;=3),"PROMISING",AND(F3705&gt;=3,G3705&gt;=3,H3705&gt;=3),"NEED ATTENTION",AND(F3705&lt;=4,G3705&gt;=6,H3705&gt;=6),"AT RISK",AND(F3705&lt;=2,G3705&gt;=8,H3705&gt;=8),"CAN'T LOSE THEM",AND(F3705&lt;=2,G3705&lt;=2,H3705&lt;=2),"HIBERNATING",TRUE(),"Other")</f>
        <v>NEED ATTENTION</v>
      </c>
      <c r="K3705" s="1" t="n">
        <f aca="false">RANK(E3705,$E$7:$E$4378)+COUNTIF($E$7:E3705,E3705)-1</f>
        <v>2189</v>
      </c>
    </row>
    <row r="3706" customFormat="false" ht="14.25" hidden="false" customHeight="true" outlineLevel="0" collapsed="false">
      <c r="A3706" s="51" t="n">
        <v>17374</v>
      </c>
      <c r="B3706" s="53" t="n">
        <v>40668.3784722222</v>
      </c>
      <c r="C3706" s="57" t="n">
        <f aca="false">INT($C$2)-INT(Table3[[#This Row],[Last Purchase Date]])</f>
        <v>219</v>
      </c>
      <c r="D3706" s="1" t="n">
        <v>2</v>
      </c>
      <c r="E3706" s="1" t="n">
        <v>495.77</v>
      </c>
      <c r="F3706" s="1" t="n">
        <f aca="false">ROUND((1-_xlfn.PERCENTRANK.INC($C$7:$C$4378,C3706))*9,0)</f>
        <v>1</v>
      </c>
      <c r="G3706" s="1" t="n">
        <f aca="false">ROUND(_xlfn.PERCENTRANK.INC($D$7:$D$4378,D3706)*9,0)</f>
        <v>3</v>
      </c>
      <c r="H3706" s="1" t="n">
        <f aca="false">ROUND(_xlfn.PERCENTRANK.INC($E$7:$E$4378,E3706)*9,0)</f>
        <v>4</v>
      </c>
      <c r="I3706" s="1" t="str">
        <f aca="false">CONCATENATE(F3706,G3706,H3706)</f>
        <v>134</v>
      </c>
      <c r="J3706" s="1" t="str">
        <f aca="false">_xlfn.IFS(AND(F3706&gt;=8,G3706&gt;=8,H3706&gt;=8),"CHAMPION",AND(F3706&gt;=6,G3706&gt;=7,H3706&gt;=6),"LOYAL CUSTOMER",AND(F3706&gt;=6,G3706&gt;=5,H3706&gt;=5),"POTENTIAL LOYALIST",AND(F3706&gt;=8,G3706&lt;=2,H3706&gt;=5),"NEW CUSTOMERS",AND(F3706&gt;=6,G3706&lt;=2,H3706&gt;=3),"PROMISING",AND(F3706&gt;=3,G3706&gt;=3,H3706&gt;=3),"NEED ATTENTION",AND(F3706&lt;=4,G3706&gt;=6,H3706&gt;=6),"AT RISK",AND(F3706&lt;=2,G3706&gt;=8,H3706&gt;=8),"CAN'T LOSE THEM",AND(F3706&lt;=2,G3706&lt;=2,H3706&lt;=2),"HIBERNATING",TRUE(),"Other")</f>
        <v>Other</v>
      </c>
      <c r="K3706" s="1" t="n">
        <f aca="false">RANK(E3706,$E$7:$E$4378)+COUNTIF($E$7:E3706,E3706)-1</f>
        <v>2553</v>
      </c>
    </row>
    <row r="3707" customFormat="false" ht="14.25" hidden="false" customHeight="true" outlineLevel="0" collapsed="false">
      <c r="A3707" s="51" t="n">
        <v>17375</v>
      </c>
      <c r="B3707" s="53" t="n">
        <v>40696.7291666667</v>
      </c>
      <c r="C3707" s="57" t="n">
        <f aca="false">INT($C$2)-INT(Table3[[#This Row],[Last Purchase Date]])</f>
        <v>191</v>
      </c>
      <c r="D3707" s="1" t="n">
        <v>4</v>
      </c>
      <c r="E3707" s="1" t="n">
        <v>372.5</v>
      </c>
      <c r="F3707" s="1" t="n">
        <f aca="false">ROUND((1-_xlfn.PERCENTRANK.INC($C$7:$C$4378,C3707))*9,0)</f>
        <v>2</v>
      </c>
      <c r="G3707" s="1" t="n">
        <f aca="false">ROUND(_xlfn.PERCENTRANK.INC($D$7:$D$4378,D3707)*9,0)</f>
        <v>5</v>
      </c>
      <c r="H3707" s="1" t="n">
        <f aca="false">ROUND(_xlfn.PERCENTRANK.INC($E$7:$E$4378,E3707)*9,0)</f>
        <v>3</v>
      </c>
      <c r="I3707" s="1" t="str">
        <f aca="false">CONCATENATE(F3707,G3707,H3707)</f>
        <v>253</v>
      </c>
      <c r="J3707" s="1" t="str">
        <f aca="false">_xlfn.IFS(AND(F3707&gt;=8,G3707&gt;=8,H3707&gt;=8),"CHAMPION",AND(F3707&gt;=6,G3707&gt;=7,H3707&gt;=6),"LOYAL CUSTOMER",AND(F3707&gt;=6,G3707&gt;=5,H3707&gt;=5),"POTENTIAL LOYALIST",AND(F3707&gt;=8,G3707&lt;=2,H3707&gt;=5),"NEW CUSTOMERS",AND(F3707&gt;=6,G3707&lt;=2,H3707&gt;=3),"PROMISING",AND(F3707&gt;=3,G3707&gt;=3,H3707&gt;=3),"NEED ATTENTION",AND(F3707&lt;=4,G3707&gt;=6,H3707&gt;=6),"AT RISK",AND(F3707&lt;=2,G3707&gt;=8,H3707&gt;=8),"CAN'T LOSE THEM",AND(F3707&lt;=2,G3707&lt;=2,H3707&lt;=2),"HIBERNATING",TRUE(),"Other")</f>
        <v>Other</v>
      </c>
      <c r="K3707" s="1" t="n">
        <f aca="false">RANK(E3707,$E$7:$E$4378)+COUNTIF($E$7:E3707,E3707)-1</f>
        <v>2921</v>
      </c>
    </row>
    <row r="3708" customFormat="false" ht="14.25" hidden="false" customHeight="true" outlineLevel="0" collapsed="false">
      <c r="A3708" s="51" t="n">
        <v>17376</v>
      </c>
      <c r="B3708" s="53" t="n">
        <v>40816.525</v>
      </c>
      <c r="C3708" s="57" t="n">
        <f aca="false">INT($C$2)-INT(Table3[[#This Row],[Last Purchase Date]])</f>
        <v>71</v>
      </c>
      <c r="D3708" s="1" t="n">
        <v>2</v>
      </c>
      <c r="E3708" s="1" t="n">
        <v>203.2</v>
      </c>
      <c r="F3708" s="1" t="n">
        <f aca="false">ROUND((1-_xlfn.PERCENTRANK.INC($C$7:$C$4378,C3708))*9,0)</f>
        <v>4</v>
      </c>
      <c r="G3708" s="1" t="n">
        <f aca="false">ROUND(_xlfn.PERCENTRANK.INC($D$7:$D$4378,D3708)*9,0)</f>
        <v>3</v>
      </c>
      <c r="H3708" s="1" t="n">
        <f aca="false">ROUND(_xlfn.PERCENTRANK.INC($E$7:$E$4378,E3708)*9,0)</f>
        <v>1</v>
      </c>
      <c r="I3708" s="1" t="str">
        <f aca="false">CONCATENATE(F3708,G3708,H3708)</f>
        <v>431</v>
      </c>
      <c r="J3708" s="1" t="str">
        <f aca="false">_xlfn.IFS(AND(F3708&gt;=8,G3708&gt;=8,H3708&gt;=8),"CHAMPION",AND(F3708&gt;=6,G3708&gt;=7,H3708&gt;=6),"LOYAL CUSTOMER",AND(F3708&gt;=6,G3708&gt;=5,H3708&gt;=5),"POTENTIAL LOYALIST",AND(F3708&gt;=8,G3708&lt;=2,H3708&gt;=5),"NEW CUSTOMERS",AND(F3708&gt;=6,G3708&lt;=2,H3708&gt;=3),"PROMISING",AND(F3708&gt;=3,G3708&gt;=3,H3708&gt;=3),"NEED ATTENTION",AND(F3708&lt;=4,G3708&gt;=6,H3708&gt;=6),"AT RISK",AND(F3708&lt;=2,G3708&gt;=8,H3708&gt;=8),"CAN'T LOSE THEM",AND(F3708&lt;=2,G3708&lt;=2,H3708&lt;=2),"HIBERNATING",TRUE(),"Other")</f>
        <v>Other</v>
      </c>
      <c r="K3708" s="1" t="n">
        <f aca="false">RANK(E3708,$E$7:$E$4378)+COUNTIF($E$7:E3708,E3708)-1</f>
        <v>3647</v>
      </c>
    </row>
    <row r="3709" customFormat="false" ht="14.25" hidden="false" customHeight="true" outlineLevel="0" collapsed="false">
      <c r="A3709" s="51" t="n">
        <v>17377</v>
      </c>
      <c r="B3709" s="53" t="n">
        <v>40863.4701388889</v>
      </c>
      <c r="C3709" s="57" t="n">
        <f aca="false">INT($C$2)-INT(Table3[[#This Row],[Last Purchase Date]])</f>
        <v>24</v>
      </c>
      <c r="D3709" s="1" t="n">
        <v>21</v>
      </c>
      <c r="E3709" s="1" t="n">
        <v>3925.92</v>
      </c>
      <c r="F3709" s="1" t="n">
        <f aca="false">ROUND((1-_xlfn.PERCENTRANK.INC($C$7:$C$4378,C3709))*9,0)</f>
        <v>6</v>
      </c>
      <c r="G3709" s="1" t="n">
        <f aca="false">ROUND(_xlfn.PERCENTRANK.INC($D$7:$D$4378,D3709)*9,0)</f>
        <v>9</v>
      </c>
      <c r="H3709" s="1" t="n">
        <f aca="false">ROUND(_xlfn.PERCENTRANK.INC($E$7:$E$4378,E3709)*9,0)</f>
        <v>8</v>
      </c>
      <c r="I3709" s="1" t="str">
        <f aca="false">CONCATENATE(F3709,G3709,H3709)</f>
        <v>698</v>
      </c>
      <c r="J3709" s="1" t="str">
        <f aca="false">_xlfn.IFS(AND(F3709&gt;=8,G3709&gt;=8,H3709&gt;=8),"CHAMPION",AND(F3709&gt;=6,G3709&gt;=7,H3709&gt;=6),"LOYAL CUSTOMER",AND(F3709&gt;=6,G3709&gt;=5,H3709&gt;=5),"POTENTIAL LOYALIST",AND(F3709&gt;=8,G3709&lt;=2,H3709&gt;=5),"NEW CUSTOMERS",AND(F3709&gt;=6,G3709&lt;=2,H3709&gt;=3),"PROMISING",AND(F3709&gt;=3,G3709&gt;=3,H3709&gt;=3),"NEED ATTENTION",AND(F3709&lt;=4,G3709&gt;=6,H3709&gt;=6),"AT RISK",AND(F3709&lt;=2,G3709&gt;=8,H3709&gt;=8),"CAN'T LOSE THEM",AND(F3709&lt;=2,G3709&lt;=2,H3709&lt;=2),"HIBERNATING",TRUE(),"Other")</f>
        <v>LOYAL CUSTOMER</v>
      </c>
      <c r="K3709" s="1" t="n">
        <f aca="false">RANK(E3709,$E$7:$E$4378)+COUNTIF($E$7:E3709,E3709)-1</f>
        <v>365</v>
      </c>
    </row>
    <row r="3710" customFormat="false" ht="14.25" hidden="false" customHeight="true" outlineLevel="0" collapsed="false">
      <c r="A3710" s="51" t="n">
        <v>17379</v>
      </c>
      <c r="B3710" s="53" t="n">
        <v>40875.5805555556</v>
      </c>
      <c r="C3710" s="57" t="n">
        <f aca="false">INT($C$2)-INT(Table3[[#This Row],[Last Purchase Date]])</f>
        <v>12</v>
      </c>
      <c r="D3710" s="1" t="n">
        <v>1</v>
      </c>
      <c r="E3710" s="1" t="n">
        <v>404.66</v>
      </c>
      <c r="F3710" s="1" t="n">
        <f aca="false">ROUND((1-_xlfn.PERCENTRANK.INC($C$7:$C$4378,C3710))*9,0)</f>
        <v>7</v>
      </c>
      <c r="G3710" s="1" t="n">
        <f aca="false">ROUND(_xlfn.PERCENTRANK.INC($D$7:$D$4378,D3710)*9,0)</f>
        <v>0</v>
      </c>
      <c r="H3710" s="1" t="n">
        <f aca="false">ROUND(_xlfn.PERCENTRANK.INC($E$7:$E$4378,E3710)*9,0)</f>
        <v>3</v>
      </c>
      <c r="I3710" s="1" t="str">
        <f aca="false">CONCATENATE(F3710,G3710,H3710)</f>
        <v>703</v>
      </c>
      <c r="J3710" s="1" t="str">
        <f aca="false">_xlfn.IFS(AND(F3710&gt;=8,G3710&gt;=8,H3710&gt;=8),"CHAMPION",AND(F3710&gt;=6,G3710&gt;=7,H3710&gt;=6),"LOYAL CUSTOMER",AND(F3710&gt;=6,G3710&gt;=5,H3710&gt;=5),"POTENTIAL LOYALIST",AND(F3710&gt;=8,G3710&lt;=2,H3710&gt;=5),"NEW CUSTOMERS",AND(F3710&gt;=6,G3710&lt;=2,H3710&gt;=3),"PROMISING",AND(F3710&gt;=3,G3710&gt;=3,H3710&gt;=3),"NEED ATTENTION",AND(F3710&lt;=4,G3710&gt;=6,H3710&gt;=6),"AT RISK",AND(F3710&lt;=2,G3710&gt;=8,H3710&gt;=8),"CAN'T LOSE THEM",AND(F3710&lt;=2,G3710&lt;=2,H3710&lt;=2),"HIBERNATING",TRUE(),"Other")</f>
        <v>PROMISING</v>
      </c>
      <c r="K3710" s="1" t="n">
        <f aca="false">RANK(E3710,$E$7:$E$4378)+COUNTIF($E$7:E3710,E3710)-1</f>
        <v>2808</v>
      </c>
    </row>
    <row r="3711" customFormat="false" ht="14.25" hidden="false" customHeight="true" outlineLevel="0" collapsed="false">
      <c r="A3711" s="51" t="n">
        <v>17381</v>
      </c>
      <c r="B3711" s="53" t="n">
        <v>40878.4993055556</v>
      </c>
      <c r="C3711" s="57" t="n">
        <f aca="false">INT($C$2)-INT(Table3[[#This Row],[Last Purchase Date]])</f>
        <v>9</v>
      </c>
      <c r="D3711" s="1" t="n">
        <v>30</v>
      </c>
      <c r="E3711" s="1" t="n">
        <v>20272.43</v>
      </c>
      <c r="F3711" s="1" t="n">
        <f aca="false">ROUND((1-_xlfn.PERCENTRANK.INC($C$7:$C$4378,C3711))*9,0)</f>
        <v>8</v>
      </c>
      <c r="G3711" s="1" t="n">
        <f aca="false">ROUND(_xlfn.PERCENTRANK.INC($D$7:$D$4378,D3711)*9,0)</f>
        <v>9</v>
      </c>
      <c r="H3711" s="1" t="n">
        <f aca="false">ROUND(_xlfn.PERCENTRANK.INC($E$7:$E$4378,E3711)*9,0)</f>
        <v>9</v>
      </c>
      <c r="I3711" s="1" t="str">
        <f aca="false">CONCATENATE(F3711,G3711,H3711)</f>
        <v>899</v>
      </c>
      <c r="J3711" s="1" t="str">
        <f aca="false">_xlfn.IFS(AND(F3711&gt;=8,G3711&gt;=8,H3711&gt;=8),"CHAMPION",AND(F3711&gt;=6,G3711&gt;=7,H3711&gt;=6),"LOYAL CUSTOMER",AND(F3711&gt;=6,G3711&gt;=5,H3711&gt;=5),"POTENTIAL LOYALIST",AND(F3711&gt;=8,G3711&lt;=2,H3711&gt;=5),"NEW CUSTOMERS",AND(F3711&gt;=6,G3711&lt;=2,H3711&gt;=3),"PROMISING",AND(F3711&gt;=3,G3711&gt;=3,H3711&gt;=3),"NEED ATTENTION",AND(F3711&lt;=4,G3711&gt;=6,H3711&gt;=6),"AT RISK",AND(F3711&lt;=2,G3711&gt;=8,H3711&gt;=8),"CAN'T LOSE THEM",AND(F3711&lt;=2,G3711&lt;=2,H3711&lt;=2),"HIBERNATING",TRUE(),"Other")</f>
        <v>CHAMPION</v>
      </c>
      <c r="K3711" s="1" t="n">
        <f aca="false">RANK(E3711,$E$7:$E$4378)+COUNTIF($E$7:E3711,E3711)-1</f>
        <v>38</v>
      </c>
    </row>
    <row r="3712" customFormat="false" ht="14.25" hidden="false" customHeight="true" outlineLevel="0" collapsed="false">
      <c r="A3712" s="51" t="n">
        <v>17382</v>
      </c>
      <c r="B3712" s="53" t="n">
        <v>40821.5451388889</v>
      </c>
      <c r="C3712" s="57" t="n">
        <f aca="false">INT($C$2)-INT(Table3[[#This Row],[Last Purchase Date]])</f>
        <v>66</v>
      </c>
      <c r="D3712" s="1" t="n">
        <v>1</v>
      </c>
      <c r="E3712" s="1" t="n">
        <v>65.4</v>
      </c>
      <c r="F3712" s="1" t="n">
        <f aca="false">ROUND((1-_xlfn.PERCENTRANK.INC($C$7:$C$4378,C3712))*9,0)</f>
        <v>4</v>
      </c>
      <c r="G3712" s="1" t="n">
        <f aca="false">ROUND(_xlfn.PERCENTRANK.INC($D$7:$D$4378,D3712)*9,0)</f>
        <v>0</v>
      </c>
      <c r="H3712" s="1" t="n">
        <f aca="false">ROUND(_xlfn.PERCENTRANK.INC($E$7:$E$4378,E3712)*9,0)</f>
        <v>0</v>
      </c>
      <c r="I3712" s="1" t="str">
        <f aca="false">CONCATENATE(F3712,G3712,H3712)</f>
        <v>400</v>
      </c>
      <c r="J3712" s="1" t="str">
        <f aca="false">_xlfn.IFS(AND(F3712&gt;=8,G3712&gt;=8,H3712&gt;=8),"CHAMPION",AND(F3712&gt;=6,G3712&gt;=7,H3712&gt;=6),"LOYAL CUSTOMER",AND(F3712&gt;=6,G3712&gt;=5,H3712&gt;=5),"POTENTIAL LOYALIST",AND(F3712&gt;=8,G3712&lt;=2,H3712&gt;=5),"NEW CUSTOMERS",AND(F3712&gt;=6,G3712&lt;=2,H3712&gt;=3),"PROMISING",AND(F3712&gt;=3,G3712&gt;=3,H3712&gt;=3),"NEED ATTENTION",AND(F3712&lt;=4,G3712&gt;=6,H3712&gt;=6),"AT RISK",AND(F3712&lt;=2,G3712&gt;=8,H3712&gt;=8),"CAN'T LOSE THEM",AND(F3712&lt;=2,G3712&lt;=2,H3712&lt;=2),"HIBERNATING",TRUE(),"Other")</f>
        <v>Other</v>
      </c>
      <c r="K3712" s="1" t="n">
        <f aca="false">RANK(E3712,$E$7:$E$4378)+COUNTIF($E$7:E3712,E3712)-1</f>
        <v>4252</v>
      </c>
    </row>
    <row r="3713" customFormat="false" ht="14.25" hidden="false" customHeight="true" outlineLevel="0" collapsed="false">
      <c r="A3713" s="51" t="n">
        <v>17383</v>
      </c>
      <c r="B3713" s="53" t="n">
        <v>40882.7333333333</v>
      </c>
      <c r="C3713" s="57" t="n">
        <f aca="false">INT($C$2)-INT(Table3[[#This Row],[Last Purchase Date]])</f>
        <v>5</v>
      </c>
      <c r="D3713" s="1" t="n">
        <v>1</v>
      </c>
      <c r="E3713" s="1" t="n">
        <v>199.29</v>
      </c>
      <c r="F3713" s="1" t="n">
        <f aca="false">ROUND((1-_xlfn.PERCENTRANK.INC($C$7:$C$4378,C3713))*9,0)</f>
        <v>8</v>
      </c>
      <c r="G3713" s="1" t="n">
        <f aca="false">ROUND(_xlfn.PERCENTRANK.INC($D$7:$D$4378,D3713)*9,0)</f>
        <v>0</v>
      </c>
      <c r="H3713" s="1" t="n">
        <f aca="false">ROUND(_xlfn.PERCENTRANK.INC($E$7:$E$4378,E3713)*9,0)</f>
        <v>1</v>
      </c>
      <c r="I3713" s="1" t="str">
        <f aca="false">CONCATENATE(F3713,G3713,H3713)</f>
        <v>801</v>
      </c>
      <c r="J3713" s="1" t="str">
        <f aca="false">_xlfn.IFS(AND(F3713&gt;=8,G3713&gt;=8,H3713&gt;=8),"CHAMPION",AND(F3713&gt;=6,G3713&gt;=7,H3713&gt;=6),"LOYAL CUSTOMER",AND(F3713&gt;=6,G3713&gt;=5,H3713&gt;=5),"POTENTIAL LOYALIST",AND(F3713&gt;=8,G3713&lt;=2,H3713&gt;=5),"NEW CUSTOMERS",AND(F3713&gt;=6,G3713&lt;=2,H3713&gt;=3),"PROMISING",AND(F3713&gt;=3,G3713&gt;=3,H3713&gt;=3),"NEED ATTENTION",AND(F3713&lt;=4,G3713&gt;=6,H3713&gt;=6),"AT RISK",AND(F3713&lt;=2,G3713&gt;=8,H3713&gt;=8),"CAN'T LOSE THEM",AND(F3713&lt;=2,G3713&lt;=2,H3713&lt;=2),"HIBERNATING",TRUE(),"Other")</f>
        <v>Other</v>
      </c>
      <c r="K3713" s="1" t="n">
        <f aca="false">RANK(E3713,$E$7:$E$4378)+COUNTIF($E$7:E3713,E3713)-1</f>
        <v>3663</v>
      </c>
    </row>
    <row r="3714" customFormat="false" ht="14.25" hidden="false" customHeight="true" outlineLevel="0" collapsed="false">
      <c r="A3714" s="51" t="n">
        <v>17384</v>
      </c>
      <c r="B3714" s="53" t="n">
        <v>40867.6583333333</v>
      </c>
      <c r="C3714" s="57" t="n">
        <f aca="false">INT($C$2)-INT(Table3[[#This Row],[Last Purchase Date]])</f>
        <v>20</v>
      </c>
      <c r="D3714" s="1" t="n">
        <v>2</v>
      </c>
      <c r="E3714" s="1" t="n">
        <v>336.4</v>
      </c>
      <c r="F3714" s="1" t="n">
        <f aca="false">ROUND((1-_xlfn.PERCENTRANK.INC($C$7:$C$4378,C3714))*9,0)</f>
        <v>6</v>
      </c>
      <c r="G3714" s="1" t="n">
        <f aca="false">ROUND(_xlfn.PERCENTRANK.INC($D$7:$D$4378,D3714)*9,0)</f>
        <v>3</v>
      </c>
      <c r="H3714" s="1" t="n">
        <f aca="false">ROUND(_xlfn.PERCENTRANK.INC($E$7:$E$4378,E3714)*9,0)</f>
        <v>3</v>
      </c>
      <c r="I3714" s="1" t="str">
        <f aca="false">CONCATENATE(F3714,G3714,H3714)</f>
        <v>633</v>
      </c>
      <c r="J3714" s="1" t="str">
        <f aca="false">_xlfn.IFS(AND(F3714&gt;=8,G3714&gt;=8,H3714&gt;=8),"CHAMPION",AND(F3714&gt;=6,G3714&gt;=7,H3714&gt;=6),"LOYAL CUSTOMER",AND(F3714&gt;=6,G3714&gt;=5,H3714&gt;=5),"POTENTIAL LOYALIST",AND(F3714&gt;=8,G3714&lt;=2,H3714&gt;=5),"NEW CUSTOMERS",AND(F3714&gt;=6,G3714&lt;=2,H3714&gt;=3),"PROMISING",AND(F3714&gt;=3,G3714&gt;=3,H3714&gt;=3),"NEED ATTENTION",AND(F3714&lt;=4,G3714&gt;=6,H3714&gt;=6),"AT RISK",AND(F3714&lt;=2,G3714&gt;=8,H3714&gt;=8),"CAN'T LOSE THEM",AND(F3714&lt;=2,G3714&lt;=2,H3714&lt;=2),"HIBERNATING",TRUE(),"Other")</f>
        <v>NEED ATTENTION</v>
      </c>
      <c r="K3714" s="1" t="n">
        <f aca="false">RANK(E3714,$E$7:$E$4378)+COUNTIF($E$7:E3714,E3714)-1</f>
        <v>3066</v>
      </c>
    </row>
    <row r="3715" customFormat="false" ht="14.25" hidden="false" customHeight="true" outlineLevel="0" collapsed="false">
      <c r="A3715" s="51" t="n">
        <v>17385</v>
      </c>
      <c r="B3715" s="53" t="n">
        <v>40872.4597222222</v>
      </c>
      <c r="C3715" s="57" t="n">
        <f aca="false">INT($C$2)-INT(Table3[[#This Row],[Last Purchase Date]])</f>
        <v>15</v>
      </c>
      <c r="D3715" s="1" t="n">
        <v>1</v>
      </c>
      <c r="E3715" s="1" t="n">
        <v>261.11</v>
      </c>
      <c r="F3715" s="1" t="n">
        <f aca="false">ROUND((1-_xlfn.PERCENTRANK.INC($C$7:$C$4378,C3715))*9,0)</f>
        <v>7</v>
      </c>
      <c r="G3715" s="1" t="n">
        <f aca="false">ROUND(_xlfn.PERCENTRANK.INC($D$7:$D$4378,D3715)*9,0)</f>
        <v>0</v>
      </c>
      <c r="H3715" s="1" t="n">
        <f aca="false">ROUND(_xlfn.PERCENTRANK.INC($E$7:$E$4378,E3715)*9,0)</f>
        <v>2</v>
      </c>
      <c r="I3715" s="1" t="str">
        <f aca="false">CONCATENATE(F3715,G3715,H3715)</f>
        <v>702</v>
      </c>
      <c r="J3715" s="1" t="str">
        <f aca="false">_xlfn.IFS(AND(F3715&gt;=8,G3715&gt;=8,H3715&gt;=8),"CHAMPION",AND(F3715&gt;=6,G3715&gt;=7,H3715&gt;=6),"LOYAL CUSTOMER",AND(F3715&gt;=6,G3715&gt;=5,H3715&gt;=5),"POTENTIAL LOYALIST",AND(F3715&gt;=8,G3715&lt;=2,H3715&gt;=5),"NEW CUSTOMERS",AND(F3715&gt;=6,G3715&lt;=2,H3715&gt;=3),"PROMISING",AND(F3715&gt;=3,G3715&gt;=3,H3715&gt;=3),"NEED ATTENTION",AND(F3715&lt;=4,G3715&gt;=6,H3715&gt;=6),"AT RISK",AND(F3715&lt;=2,G3715&gt;=8,H3715&gt;=8),"CAN'T LOSE THEM",AND(F3715&lt;=2,G3715&lt;=2,H3715&lt;=2),"HIBERNATING",TRUE(),"Other")</f>
        <v>Other</v>
      </c>
      <c r="K3715" s="1" t="n">
        <f aca="false">RANK(E3715,$E$7:$E$4378)+COUNTIF($E$7:E3715,E3715)-1</f>
        <v>3392</v>
      </c>
    </row>
    <row r="3716" customFormat="false" ht="14.25" hidden="false" customHeight="true" outlineLevel="0" collapsed="false">
      <c r="A3716" s="51" t="n">
        <v>17386</v>
      </c>
      <c r="B3716" s="53" t="n">
        <v>40879.4777777778</v>
      </c>
      <c r="C3716" s="57" t="n">
        <f aca="false">INT($C$2)-INT(Table3[[#This Row],[Last Purchase Date]])</f>
        <v>8</v>
      </c>
      <c r="D3716" s="1" t="n">
        <v>6</v>
      </c>
      <c r="E3716" s="1" t="n">
        <v>2686.42</v>
      </c>
      <c r="F3716" s="1" t="n">
        <f aca="false">ROUND((1-_xlfn.PERCENTRANK.INC($C$7:$C$4378,C3716))*9,0)</f>
        <v>8</v>
      </c>
      <c r="G3716" s="1" t="n">
        <f aca="false">ROUND(_xlfn.PERCENTRANK.INC($D$7:$D$4378,D3716)*9,0)</f>
        <v>7</v>
      </c>
      <c r="H3716" s="1" t="n">
        <f aca="false">ROUND(_xlfn.PERCENTRANK.INC($E$7:$E$4378,E3716)*9,0)</f>
        <v>8</v>
      </c>
      <c r="I3716" s="1" t="str">
        <f aca="false">CONCATENATE(F3716,G3716,H3716)</f>
        <v>878</v>
      </c>
      <c r="J3716" s="1" t="str">
        <f aca="false">_xlfn.IFS(AND(F3716&gt;=8,G3716&gt;=8,H3716&gt;=8),"CHAMPION",AND(F3716&gt;=6,G3716&gt;=7,H3716&gt;=6),"LOYAL CUSTOMER",AND(F3716&gt;=6,G3716&gt;=5,H3716&gt;=5),"POTENTIAL LOYALIST",AND(F3716&gt;=8,G3716&lt;=2,H3716&gt;=5),"NEW CUSTOMERS",AND(F3716&gt;=6,G3716&lt;=2,H3716&gt;=3),"PROMISING",AND(F3716&gt;=3,G3716&gt;=3,H3716&gt;=3),"NEED ATTENTION",AND(F3716&lt;=4,G3716&gt;=6,H3716&gt;=6),"AT RISK",AND(F3716&lt;=2,G3716&gt;=8,H3716&gt;=8),"CAN'T LOSE THEM",AND(F3716&lt;=2,G3716&lt;=2,H3716&lt;=2),"HIBERNATING",TRUE(),"Other")</f>
        <v>LOYAL CUSTOMER</v>
      </c>
      <c r="K3716" s="1" t="n">
        <f aca="false">RANK(E3716,$E$7:$E$4378)+COUNTIF($E$7:E3716,E3716)-1</f>
        <v>618</v>
      </c>
    </row>
    <row r="3717" customFormat="false" ht="14.25" hidden="false" customHeight="true" outlineLevel="0" collapsed="false">
      <c r="A3717" s="51" t="n">
        <v>17387</v>
      </c>
      <c r="B3717" s="53" t="n">
        <v>40867.4583333333</v>
      </c>
      <c r="C3717" s="57" t="n">
        <f aca="false">INT($C$2)-INT(Table3[[#This Row],[Last Purchase Date]])</f>
        <v>20</v>
      </c>
      <c r="D3717" s="1" t="n">
        <v>2</v>
      </c>
      <c r="E3717" s="1" t="n">
        <v>784.11</v>
      </c>
      <c r="F3717" s="1" t="n">
        <f aca="false">ROUND((1-_xlfn.PERCENTRANK.INC($C$7:$C$4378,C3717))*9,0)</f>
        <v>6</v>
      </c>
      <c r="G3717" s="1" t="n">
        <f aca="false">ROUND(_xlfn.PERCENTRANK.INC($D$7:$D$4378,D3717)*9,0)</f>
        <v>3</v>
      </c>
      <c r="H3717" s="1" t="n">
        <f aca="false">ROUND(_xlfn.PERCENTRANK.INC($E$7:$E$4378,E3717)*9,0)</f>
        <v>5</v>
      </c>
      <c r="I3717" s="1" t="str">
        <f aca="false">CONCATENATE(F3717,G3717,H3717)</f>
        <v>635</v>
      </c>
      <c r="J3717" s="1" t="str">
        <f aca="false">_xlfn.IFS(AND(F3717&gt;=8,G3717&gt;=8,H3717&gt;=8),"CHAMPION",AND(F3717&gt;=6,G3717&gt;=7,H3717&gt;=6),"LOYAL CUSTOMER",AND(F3717&gt;=6,G3717&gt;=5,H3717&gt;=5),"POTENTIAL LOYALIST",AND(F3717&gt;=8,G3717&lt;=2,H3717&gt;=5),"NEW CUSTOMERS",AND(F3717&gt;=6,G3717&lt;=2,H3717&gt;=3),"PROMISING",AND(F3717&gt;=3,G3717&gt;=3,H3717&gt;=3),"NEED ATTENTION",AND(F3717&lt;=4,G3717&gt;=6,H3717&gt;=6),"AT RISK",AND(F3717&lt;=2,G3717&gt;=8,H3717&gt;=8),"CAN'T LOSE THEM",AND(F3717&lt;=2,G3717&lt;=2,H3717&lt;=2),"HIBERNATING",TRUE(),"Other")</f>
        <v>NEED ATTENTION</v>
      </c>
      <c r="K3717" s="1" t="n">
        <f aca="false">RANK(E3717,$E$7:$E$4378)+COUNTIF($E$7:E3717,E3717)-1</f>
        <v>1914</v>
      </c>
    </row>
    <row r="3718" customFormat="false" ht="14.25" hidden="false" customHeight="true" outlineLevel="0" collapsed="false">
      <c r="A3718" s="51" t="n">
        <v>17388</v>
      </c>
      <c r="B3718" s="53" t="n">
        <v>40809.4381944445</v>
      </c>
      <c r="C3718" s="57" t="n">
        <f aca="false">INT($C$2)-INT(Table3[[#This Row],[Last Purchase Date]])</f>
        <v>78</v>
      </c>
      <c r="D3718" s="1" t="n">
        <v>4</v>
      </c>
      <c r="E3718" s="1" t="n">
        <v>1259.56</v>
      </c>
      <c r="F3718" s="1" t="n">
        <f aca="false">ROUND((1-_xlfn.PERCENTRANK.INC($C$7:$C$4378,C3718))*9,0)</f>
        <v>3</v>
      </c>
      <c r="G3718" s="1" t="n">
        <f aca="false">ROUND(_xlfn.PERCENTRANK.INC($D$7:$D$4378,D3718)*9,0)</f>
        <v>5</v>
      </c>
      <c r="H3718" s="1" t="n">
        <f aca="false">ROUND(_xlfn.PERCENTRANK.INC($E$7:$E$4378,E3718)*9,0)</f>
        <v>6</v>
      </c>
      <c r="I3718" s="1" t="str">
        <f aca="false">CONCATENATE(F3718,G3718,H3718)</f>
        <v>356</v>
      </c>
      <c r="J3718" s="1" t="str">
        <f aca="false">_xlfn.IFS(AND(F3718&gt;=8,G3718&gt;=8,H3718&gt;=8),"CHAMPION",AND(F3718&gt;=6,G3718&gt;=7,H3718&gt;=6),"LOYAL CUSTOMER",AND(F3718&gt;=6,G3718&gt;=5,H3718&gt;=5),"POTENTIAL LOYALIST",AND(F3718&gt;=8,G3718&lt;=2,H3718&gt;=5),"NEW CUSTOMERS",AND(F3718&gt;=6,G3718&lt;=2,H3718&gt;=3),"PROMISING",AND(F3718&gt;=3,G3718&gt;=3,H3718&gt;=3),"NEED ATTENTION",AND(F3718&lt;=4,G3718&gt;=6,H3718&gt;=6),"AT RISK",AND(F3718&lt;=2,G3718&gt;=8,H3718&gt;=8),"CAN'T LOSE THEM",AND(F3718&lt;=2,G3718&lt;=2,H3718&lt;=2),"HIBERNATING",TRUE(),"Other")</f>
        <v>NEED ATTENTION</v>
      </c>
      <c r="K3718" s="1" t="n">
        <f aca="false">RANK(E3718,$E$7:$E$4378)+COUNTIF($E$7:E3718,E3718)-1</f>
        <v>1365</v>
      </c>
    </row>
    <row r="3719" customFormat="false" ht="14.25" hidden="false" customHeight="true" outlineLevel="0" collapsed="false">
      <c r="A3719" s="51" t="n">
        <v>17389</v>
      </c>
      <c r="B3719" s="53" t="n">
        <v>40886.4013888889</v>
      </c>
      <c r="C3719" s="57" t="n">
        <f aca="false">INT($C$2)-INT(Table3[[#This Row],[Last Purchase Date]])</f>
        <v>1</v>
      </c>
      <c r="D3719" s="1" t="n">
        <v>43</v>
      </c>
      <c r="E3719" s="1" t="n">
        <v>31300.08</v>
      </c>
      <c r="F3719" s="1" t="n">
        <f aca="false">ROUND((1-_xlfn.PERCENTRANK.INC($C$7:$C$4378,C3719))*9,0)</f>
        <v>9</v>
      </c>
      <c r="G3719" s="1" t="n">
        <f aca="false">ROUND(_xlfn.PERCENTRANK.INC($D$7:$D$4378,D3719)*9,0)</f>
        <v>9</v>
      </c>
      <c r="H3719" s="1" t="n">
        <f aca="false">ROUND(_xlfn.PERCENTRANK.INC($E$7:$E$4378,E3719)*9,0)</f>
        <v>9</v>
      </c>
      <c r="I3719" s="1" t="str">
        <f aca="false">CONCATENATE(F3719,G3719,H3719)</f>
        <v>999</v>
      </c>
      <c r="J3719" s="1" t="str">
        <f aca="false">_xlfn.IFS(AND(F3719&gt;=8,G3719&gt;=8,H3719&gt;=8),"CHAMPION",AND(F3719&gt;=6,G3719&gt;=7,H3719&gt;=6),"LOYAL CUSTOMER",AND(F3719&gt;=6,G3719&gt;=5,H3719&gt;=5),"POTENTIAL LOYALIST",AND(F3719&gt;=8,G3719&lt;=2,H3719&gt;=5),"NEW CUSTOMERS",AND(F3719&gt;=6,G3719&lt;=2,H3719&gt;=3),"PROMISING",AND(F3719&gt;=3,G3719&gt;=3,H3719&gt;=3),"NEED ATTENTION",AND(F3719&lt;=4,G3719&gt;=6,H3719&gt;=6),"AT RISK",AND(F3719&lt;=2,G3719&gt;=8,H3719&gt;=8),"CAN'T LOSE THEM",AND(F3719&lt;=2,G3719&lt;=2,H3719&lt;=2),"HIBERNATING",TRUE(),"Other")</f>
        <v>CHAMPION</v>
      </c>
      <c r="K3719" s="1" t="n">
        <f aca="false">RANK(E3719,$E$7:$E$4378)+COUNTIF($E$7:E3719,E3719)-1</f>
        <v>25</v>
      </c>
    </row>
    <row r="3720" customFormat="false" ht="14.25" hidden="false" customHeight="true" outlineLevel="0" collapsed="false">
      <c r="A3720" s="51" t="n">
        <v>17391</v>
      </c>
      <c r="B3720" s="53" t="n">
        <v>40723.4152777778</v>
      </c>
      <c r="C3720" s="57" t="n">
        <f aca="false">INT($C$2)-INT(Table3[[#This Row],[Last Purchase Date]])</f>
        <v>164</v>
      </c>
      <c r="D3720" s="1" t="n">
        <v>2</v>
      </c>
      <c r="E3720" s="1" t="n">
        <v>508.8</v>
      </c>
      <c r="F3720" s="1" t="n">
        <f aca="false">ROUND((1-_xlfn.PERCENTRANK.INC($C$7:$C$4378,C3720))*9,0)</f>
        <v>2</v>
      </c>
      <c r="G3720" s="1" t="n">
        <f aca="false">ROUND(_xlfn.PERCENTRANK.INC($D$7:$D$4378,D3720)*9,0)</f>
        <v>3</v>
      </c>
      <c r="H3720" s="1" t="n">
        <f aca="false">ROUND(_xlfn.PERCENTRANK.INC($E$7:$E$4378,E3720)*9,0)</f>
        <v>4</v>
      </c>
      <c r="I3720" s="1" t="str">
        <f aca="false">CONCATENATE(F3720,G3720,H3720)</f>
        <v>234</v>
      </c>
      <c r="J3720" s="1" t="str">
        <f aca="false">_xlfn.IFS(AND(F3720&gt;=8,G3720&gt;=8,H3720&gt;=8),"CHAMPION",AND(F3720&gt;=6,G3720&gt;=7,H3720&gt;=6),"LOYAL CUSTOMER",AND(F3720&gt;=6,G3720&gt;=5,H3720&gt;=5),"POTENTIAL LOYALIST",AND(F3720&gt;=8,G3720&lt;=2,H3720&gt;=5),"NEW CUSTOMERS",AND(F3720&gt;=6,G3720&lt;=2,H3720&gt;=3),"PROMISING",AND(F3720&gt;=3,G3720&gt;=3,H3720&gt;=3),"NEED ATTENTION",AND(F3720&lt;=4,G3720&gt;=6,H3720&gt;=6),"AT RISK",AND(F3720&lt;=2,G3720&gt;=8,H3720&gt;=8),"CAN'T LOSE THEM",AND(F3720&lt;=2,G3720&lt;=2,H3720&lt;=2),"HIBERNATING",TRUE(),"Other")</f>
        <v>Other</v>
      </c>
      <c r="K3720" s="1" t="n">
        <f aca="false">RANK(E3720,$E$7:$E$4378)+COUNTIF($E$7:E3720,E3720)-1</f>
        <v>2520</v>
      </c>
    </row>
    <row r="3721" customFormat="false" ht="14.25" hidden="false" customHeight="true" outlineLevel="0" collapsed="false">
      <c r="A3721" s="51" t="n">
        <v>17392</v>
      </c>
      <c r="B3721" s="53" t="n">
        <v>40580.5333333333</v>
      </c>
      <c r="C3721" s="57" t="n">
        <f aca="false">INT($C$2)-INT(Table3[[#This Row],[Last Purchase Date]])</f>
        <v>307</v>
      </c>
      <c r="D3721" s="1" t="n">
        <v>2</v>
      </c>
      <c r="E3721" s="1" t="n">
        <v>457.91</v>
      </c>
      <c r="F3721" s="1" t="n">
        <f aca="false">ROUND((1-_xlfn.PERCENTRANK.INC($C$7:$C$4378,C3721))*9,0)</f>
        <v>1</v>
      </c>
      <c r="G3721" s="1" t="n">
        <f aca="false">ROUND(_xlfn.PERCENTRANK.INC($D$7:$D$4378,D3721)*9,0)</f>
        <v>3</v>
      </c>
      <c r="H3721" s="1" t="n">
        <f aca="false">ROUND(_xlfn.PERCENTRANK.INC($E$7:$E$4378,E3721)*9,0)</f>
        <v>4</v>
      </c>
      <c r="I3721" s="1" t="str">
        <f aca="false">CONCATENATE(F3721,G3721,H3721)</f>
        <v>134</v>
      </c>
      <c r="J3721" s="1" t="str">
        <f aca="false">_xlfn.IFS(AND(F3721&gt;=8,G3721&gt;=8,H3721&gt;=8),"CHAMPION",AND(F3721&gt;=6,G3721&gt;=7,H3721&gt;=6),"LOYAL CUSTOMER",AND(F3721&gt;=6,G3721&gt;=5,H3721&gt;=5),"POTENTIAL LOYALIST",AND(F3721&gt;=8,G3721&lt;=2,H3721&gt;=5),"NEW CUSTOMERS",AND(F3721&gt;=6,G3721&lt;=2,H3721&gt;=3),"PROMISING",AND(F3721&gt;=3,G3721&gt;=3,H3721&gt;=3),"NEED ATTENTION",AND(F3721&lt;=4,G3721&gt;=6,H3721&gt;=6),"AT RISK",AND(F3721&lt;=2,G3721&gt;=8,H3721&gt;=8),"CAN'T LOSE THEM",AND(F3721&lt;=2,G3721&lt;=2,H3721&lt;=2),"HIBERNATING",TRUE(),"Other")</f>
        <v>Other</v>
      </c>
      <c r="K3721" s="1" t="n">
        <f aca="false">RANK(E3721,$E$7:$E$4378)+COUNTIF($E$7:E3721,E3721)-1</f>
        <v>2646</v>
      </c>
    </row>
    <row r="3722" customFormat="false" ht="14.25" hidden="false" customHeight="true" outlineLevel="0" collapsed="false">
      <c r="A3722" s="51" t="n">
        <v>17394</v>
      </c>
      <c r="B3722" s="53" t="n">
        <v>40667.5569444444</v>
      </c>
      <c r="C3722" s="57" t="n">
        <f aca="false">INT($C$2)-INT(Table3[[#This Row],[Last Purchase Date]])</f>
        <v>220</v>
      </c>
      <c r="D3722" s="1" t="n">
        <v>1</v>
      </c>
      <c r="E3722" s="1" t="n">
        <v>203.87</v>
      </c>
      <c r="F3722" s="1" t="n">
        <f aca="false">ROUND((1-_xlfn.PERCENTRANK.INC($C$7:$C$4378,C3722))*9,0)</f>
        <v>1</v>
      </c>
      <c r="G3722" s="1" t="n">
        <f aca="false">ROUND(_xlfn.PERCENTRANK.INC($D$7:$D$4378,D3722)*9,0)</f>
        <v>0</v>
      </c>
      <c r="H3722" s="1" t="n">
        <f aca="false">ROUND(_xlfn.PERCENTRANK.INC($E$7:$E$4378,E3722)*9,0)</f>
        <v>1</v>
      </c>
      <c r="I3722" s="1" t="str">
        <f aca="false">CONCATENATE(F3722,G3722,H3722)</f>
        <v>101</v>
      </c>
      <c r="J3722" s="1" t="str">
        <f aca="false">_xlfn.IFS(AND(F3722&gt;=8,G3722&gt;=8,H3722&gt;=8),"CHAMPION",AND(F3722&gt;=6,G3722&gt;=7,H3722&gt;=6),"LOYAL CUSTOMER",AND(F3722&gt;=6,G3722&gt;=5,H3722&gt;=5),"POTENTIAL LOYALIST",AND(F3722&gt;=8,G3722&lt;=2,H3722&gt;=5),"NEW CUSTOMERS",AND(F3722&gt;=6,G3722&lt;=2,H3722&gt;=3),"PROMISING",AND(F3722&gt;=3,G3722&gt;=3,H3722&gt;=3),"NEED ATTENTION",AND(F3722&lt;=4,G3722&gt;=6,H3722&gt;=6),"AT RISK",AND(F3722&lt;=2,G3722&gt;=8,H3722&gt;=8),"CAN'T LOSE THEM",AND(F3722&lt;=2,G3722&lt;=2,H3722&lt;=2),"HIBERNATING",TRUE(),"Other")</f>
        <v>HIBERNATING</v>
      </c>
      <c r="K3722" s="1" t="n">
        <f aca="false">RANK(E3722,$E$7:$E$4378)+COUNTIF($E$7:E3722,E3722)-1</f>
        <v>3644</v>
      </c>
    </row>
    <row r="3723" customFormat="false" ht="14.25" hidden="false" customHeight="true" outlineLevel="0" collapsed="false">
      <c r="A3723" s="51" t="n">
        <v>17396</v>
      </c>
      <c r="B3723" s="53" t="n">
        <v>40847.5916666667</v>
      </c>
      <c r="C3723" s="57" t="n">
        <f aca="false">INT($C$2)-INT(Table3[[#This Row],[Last Purchase Date]])</f>
        <v>40</v>
      </c>
      <c r="D3723" s="1" t="n">
        <v>8</v>
      </c>
      <c r="E3723" s="1" t="n">
        <v>7330.8</v>
      </c>
      <c r="F3723" s="1" t="n">
        <f aca="false">ROUND((1-_xlfn.PERCENTRANK.INC($C$7:$C$4378,C3723))*9,0)</f>
        <v>5</v>
      </c>
      <c r="G3723" s="1" t="n">
        <f aca="false">ROUND(_xlfn.PERCENTRANK.INC($D$7:$D$4378,D3723)*9,0)</f>
        <v>7</v>
      </c>
      <c r="H3723" s="1" t="n">
        <f aca="false">ROUND(_xlfn.PERCENTRANK.INC($E$7:$E$4378,E3723)*9,0)</f>
        <v>9</v>
      </c>
      <c r="I3723" s="1" t="str">
        <f aca="false">CONCATENATE(F3723,G3723,H3723)</f>
        <v>579</v>
      </c>
      <c r="J3723" s="1" t="str">
        <f aca="false">_xlfn.IFS(AND(F3723&gt;=8,G3723&gt;=8,H3723&gt;=8),"CHAMPION",AND(F3723&gt;=6,G3723&gt;=7,H3723&gt;=6),"LOYAL CUSTOMER",AND(F3723&gt;=6,G3723&gt;=5,H3723&gt;=5),"POTENTIAL LOYALIST",AND(F3723&gt;=8,G3723&lt;=2,H3723&gt;=5),"NEW CUSTOMERS",AND(F3723&gt;=6,G3723&lt;=2,H3723&gt;=3),"PROMISING",AND(F3723&gt;=3,G3723&gt;=3,H3723&gt;=3),"NEED ATTENTION",AND(F3723&lt;=4,G3723&gt;=6,H3723&gt;=6),"AT RISK",AND(F3723&lt;=2,G3723&gt;=8,H3723&gt;=8),"CAN'T LOSE THEM",AND(F3723&lt;=2,G3723&lt;=2,H3723&lt;=2),"HIBERNATING",TRUE(),"Other")</f>
        <v>NEED ATTENTION</v>
      </c>
      <c r="K3723" s="1" t="n">
        <f aca="false">RANK(E3723,$E$7:$E$4378)+COUNTIF($E$7:E3723,E3723)-1</f>
        <v>143</v>
      </c>
    </row>
    <row r="3724" customFormat="false" ht="14.25" hidden="false" customHeight="true" outlineLevel="0" collapsed="false">
      <c r="A3724" s="51" t="n">
        <v>17397</v>
      </c>
      <c r="B3724" s="53" t="n">
        <v>40864.5888888889</v>
      </c>
      <c r="C3724" s="57" t="n">
        <f aca="false">INT($C$2)-INT(Table3[[#This Row],[Last Purchase Date]])</f>
        <v>23</v>
      </c>
      <c r="D3724" s="1" t="n">
        <v>2</v>
      </c>
      <c r="E3724" s="1" t="n">
        <v>696.41</v>
      </c>
      <c r="F3724" s="1" t="n">
        <f aca="false">ROUND((1-_xlfn.PERCENTRANK.INC($C$7:$C$4378,C3724))*9,0)</f>
        <v>6</v>
      </c>
      <c r="G3724" s="1" t="n">
        <f aca="false">ROUND(_xlfn.PERCENTRANK.INC($D$7:$D$4378,D3724)*9,0)</f>
        <v>3</v>
      </c>
      <c r="H3724" s="1" t="n">
        <f aca="false">ROUND(_xlfn.PERCENTRANK.INC($E$7:$E$4378,E3724)*9,0)</f>
        <v>5</v>
      </c>
      <c r="I3724" s="1" t="str">
        <f aca="false">CONCATENATE(F3724,G3724,H3724)</f>
        <v>635</v>
      </c>
      <c r="J3724" s="1" t="str">
        <f aca="false">_xlfn.IFS(AND(F3724&gt;=8,G3724&gt;=8,H3724&gt;=8),"CHAMPION",AND(F3724&gt;=6,G3724&gt;=7,H3724&gt;=6),"LOYAL CUSTOMER",AND(F3724&gt;=6,G3724&gt;=5,H3724&gt;=5),"POTENTIAL LOYALIST",AND(F3724&gt;=8,G3724&lt;=2,H3724&gt;=5),"NEW CUSTOMERS",AND(F3724&gt;=6,G3724&lt;=2,H3724&gt;=3),"PROMISING",AND(F3724&gt;=3,G3724&gt;=3,H3724&gt;=3),"NEED ATTENTION",AND(F3724&lt;=4,G3724&gt;=6,H3724&gt;=6),"AT RISK",AND(F3724&lt;=2,G3724&gt;=8,H3724&gt;=8),"CAN'T LOSE THEM",AND(F3724&lt;=2,G3724&lt;=2,H3724&lt;=2),"HIBERNATING",TRUE(),"Other")</f>
        <v>NEED ATTENTION</v>
      </c>
      <c r="K3724" s="1" t="n">
        <f aca="false">RANK(E3724,$E$7:$E$4378)+COUNTIF($E$7:E3724,E3724)-1</f>
        <v>2073</v>
      </c>
    </row>
    <row r="3725" customFormat="false" ht="14.25" hidden="false" customHeight="true" outlineLevel="0" collapsed="false">
      <c r="A3725" s="51" t="n">
        <v>17398</v>
      </c>
      <c r="B3725" s="53" t="n">
        <v>40772.4083333333</v>
      </c>
      <c r="C3725" s="57" t="n">
        <f aca="false">INT($C$2)-INT(Table3[[#This Row],[Last Purchase Date]])</f>
        <v>115</v>
      </c>
      <c r="D3725" s="1" t="n">
        <v>3</v>
      </c>
      <c r="E3725" s="1" t="n">
        <v>653.38</v>
      </c>
      <c r="F3725" s="1" t="n">
        <f aca="false">ROUND((1-_xlfn.PERCENTRANK.INC($C$7:$C$4378,C3725))*9,0)</f>
        <v>3</v>
      </c>
      <c r="G3725" s="1" t="n">
        <f aca="false">ROUND(_xlfn.PERCENTRANK.INC($D$7:$D$4378,D3725)*9,0)</f>
        <v>4</v>
      </c>
      <c r="H3725" s="1" t="n">
        <f aca="false">ROUND(_xlfn.PERCENTRANK.INC($E$7:$E$4378,E3725)*9,0)</f>
        <v>5</v>
      </c>
      <c r="I3725" s="1" t="str">
        <f aca="false">CONCATENATE(F3725,G3725,H3725)</f>
        <v>345</v>
      </c>
      <c r="J3725" s="1" t="str">
        <f aca="false">_xlfn.IFS(AND(F3725&gt;=8,G3725&gt;=8,H3725&gt;=8),"CHAMPION",AND(F3725&gt;=6,G3725&gt;=7,H3725&gt;=6),"LOYAL CUSTOMER",AND(F3725&gt;=6,G3725&gt;=5,H3725&gt;=5),"POTENTIAL LOYALIST",AND(F3725&gt;=8,G3725&lt;=2,H3725&gt;=5),"NEW CUSTOMERS",AND(F3725&gt;=6,G3725&lt;=2,H3725&gt;=3),"PROMISING",AND(F3725&gt;=3,G3725&gt;=3,H3725&gt;=3),"NEED ATTENTION",AND(F3725&lt;=4,G3725&gt;=6,H3725&gt;=6),"AT RISK",AND(F3725&lt;=2,G3725&gt;=8,H3725&gt;=8),"CAN'T LOSE THEM",AND(F3725&lt;=2,G3725&lt;=2,H3725&lt;=2),"HIBERNATING",TRUE(),"Other")</f>
        <v>NEED ATTENTION</v>
      </c>
      <c r="K3725" s="1" t="n">
        <f aca="false">RANK(E3725,$E$7:$E$4378)+COUNTIF($E$7:E3725,E3725)-1</f>
        <v>2172</v>
      </c>
    </row>
    <row r="3726" customFormat="false" ht="14.25" hidden="false" customHeight="true" outlineLevel="0" collapsed="false">
      <c r="A3726" s="51" t="n">
        <v>17400</v>
      </c>
      <c r="B3726" s="53" t="n">
        <v>40760.6513888889</v>
      </c>
      <c r="C3726" s="57" t="n">
        <f aca="false">INT($C$2)-INT(Table3[[#This Row],[Last Purchase Date]])</f>
        <v>127</v>
      </c>
      <c r="D3726" s="1" t="n">
        <v>5</v>
      </c>
      <c r="E3726" s="1" t="n">
        <v>2129.96</v>
      </c>
      <c r="F3726" s="1" t="n">
        <f aca="false">ROUND((1-_xlfn.PERCENTRANK.INC($C$7:$C$4378,C3726))*9,0)</f>
        <v>2</v>
      </c>
      <c r="G3726" s="1" t="n">
        <f aca="false">ROUND(_xlfn.PERCENTRANK.INC($D$7:$D$4378,D3726)*9,0)</f>
        <v>6</v>
      </c>
      <c r="H3726" s="1" t="n">
        <f aca="false">ROUND(_xlfn.PERCENTRANK.INC($E$7:$E$4378,E3726)*9,0)</f>
        <v>7</v>
      </c>
      <c r="I3726" s="1" t="str">
        <f aca="false">CONCATENATE(F3726,G3726,H3726)</f>
        <v>267</v>
      </c>
      <c r="J3726" s="1" t="str">
        <f aca="false">_xlfn.IFS(AND(F3726&gt;=8,G3726&gt;=8,H3726&gt;=8),"CHAMPION",AND(F3726&gt;=6,G3726&gt;=7,H3726&gt;=6),"LOYAL CUSTOMER",AND(F3726&gt;=6,G3726&gt;=5,H3726&gt;=5),"POTENTIAL LOYALIST",AND(F3726&gt;=8,G3726&lt;=2,H3726&gt;=5),"NEW CUSTOMERS",AND(F3726&gt;=6,G3726&lt;=2,H3726&gt;=3),"PROMISING",AND(F3726&gt;=3,G3726&gt;=3,H3726&gt;=3),"NEED ATTENTION",AND(F3726&lt;=4,G3726&gt;=6,H3726&gt;=6),"AT RISK",AND(F3726&lt;=2,G3726&gt;=8,H3726&gt;=8),"CAN'T LOSE THEM",AND(F3726&lt;=2,G3726&lt;=2,H3726&lt;=2),"HIBERNATING",TRUE(),"Other")</f>
        <v>AT RISK</v>
      </c>
      <c r="K3726" s="1" t="n">
        <f aca="false">RANK(E3726,$E$7:$E$4378)+COUNTIF($E$7:E3726,E3726)-1</f>
        <v>811</v>
      </c>
    </row>
    <row r="3727" customFormat="false" ht="14.25" hidden="false" customHeight="true" outlineLevel="0" collapsed="false">
      <c r="A3727" s="51" t="n">
        <v>17402</v>
      </c>
      <c r="B3727" s="53" t="n">
        <v>40882.4270833333</v>
      </c>
      <c r="C3727" s="57" t="n">
        <f aca="false">INT($C$2)-INT(Table3[[#This Row],[Last Purchase Date]])</f>
        <v>5</v>
      </c>
      <c r="D3727" s="1" t="n">
        <v>13</v>
      </c>
      <c r="E3727" s="1" t="n">
        <v>2633.85</v>
      </c>
      <c r="F3727" s="1" t="n">
        <f aca="false">ROUND((1-_xlfn.PERCENTRANK.INC($C$7:$C$4378,C3727))*9,0)</f>
        <v>8</v>
      </c>
      <c r="G3727" s="1" t="n">
        <f aca="false">ROUND(_xlfn.PERCENTRANK.INC($D$7:$D$4378,D3727)*9,0)</f>
        <v>8</v>
      </c>
      <c r="H3727" s="1" t="n">
        <f aca="false">ROUND(_xlfn.PERCENTRANK.INC($E$7:$E$4378,E3727)*9,0)</f>
        <v>8</v>
      </c>
      <c r="I3727" s="1" t="str">
        <f aca="false">CONCATENATE(F3727,G3727,H3727)</f>
        <v>888</v>
      </c>
      <c r="J3727" s="1" t="str">
        <f aca="false">_xlfn.IFS(AND(F3727&gt;=8,G3727&gt;=8,H3727&gt;=8),"CHAMPION",AND(F3727&gt;=6,G3727&gt;=7,H3727&gt;=6),"LOYAL CUSTOMER",AND(F3727&gt;=6,G3727&gt;=5,H3727&gt;=5),"POTENTIAL LOYALIST",AND(F3727&gt;=8,G3727&lt;=2,H3727&gt;=5),"NEW CUSTOMERS",AND(F3727&gt;=6,G3727&lt;=2,H3727&gt;=3),"PROMISING",AND(F3727&gt;=3,G3727&gt;=3,H3727&gt;=3),"NEED ATTENTION",AND(F3727&lt;=4,G3727&gt;=6,H3727&gt;=6),"AT RISK",AND(F3727&lt;=2,G3727&gt;=8,H3727&gt;=8),"CAN'T LOSE THEM",AND(F3727&lt;=2,G3727&lt;=2,H3727&lt;=2),"HIBERNATING",TRUE(),"Other")</f>
        <v>CHAMPION</v>
      </c>
      <c r="K3727" s="1" t="n">
        <f aca="false">RANK(E3727,$E$7:$E$4378)+COUNTIF($E$7:E3727,E3727)-1</f>
        <v>630</v>
      </c>
    </row>
    <row r="3728" customFormat="false" ht="14.25" hidden="false" customHeight="true" outlineLevel="0" collapsed="false">
      <c r="A3728" s="51" t="n">
        <v>17403</v>
      </c>
      <c r="B3728" s="53" t="n">
        <v>40850.6375</v>
      </c>
      <c r="C3728" s="57" t="n">
        <f aca="false">INT($C$2)-INT(Table3[[#This Row],[Last Purchase Date]])</f>
        <v>37</v>
      </c>
      <c r="D3728" s="1" t="n">
        <v>1</v>
      </c>
      <c r="E3728" s="1" t="n">
        <v>281.62</v>
      </c>
      <c r="F3728" s="1" t="n">
        <f aca="false">ROUND((1-_xlfn.PERCENTRANK.INC($C$7:$C$4378,C3728))*9,0)</f>
        <v>5</v>
      </c>
      <c r="G3728" s="1" t="n">
        <f aca="false">ROUND(_xlfn.PERCENTRANK.INC($D$7:$D$4378,D3728)*9,0)</f>
        <v>0</v>
      </c>
      <c r="H3728" s="1" t="n">
        <f aca="false">ROUND(_xlfn.PERCENTRANK.INC($E$7:$E$4378,E3728)*9,0)</f>
        <v>2</v>
      </c>
      <c r="I3728" s="1" t="str">
        <f aca="false">CONCATENATE(F3728,G3728,H3728)</f>
        <v>502</v>
      </c>
      <c r="J3728" s="1" t="str">
        <f aca="false">_xlfn.IFS(AND(F3728&gt;=8,G3728&gt;=8,H3728&gt;=8),"CHAMPION",AND(F3728&gt;=6,G3728&gt;=7,H3728&gt;=6),"LOYAL CUSTOMER",AND(F3728&gt;=6,G3728&gt;=5,H3728&gt;=5),"POTENTIAL LOYALIST",AND(F3728&gt;=8,G3728&lt;=2,H3728&gt;=5),"NEW CUSTOMERS",AND(F3728&gt;=6,G3728&lt;=2,H3728&gt;=3),"PROMISING",AND(F3728&gt;=3,G3728&gt;=3,H3728&gt;=3),"NEED ATTENTION",AND(F3728&lt;=4,G3728&gt;=6,H3728&gt;=6),"AT RISK",AND(F3728&lt;=2,G3728&gt;=8,H3728&gt;=8),"CAN'T LOSE THEM",AND(F3728&lt;=2,G3728&lt;=2,H3728&lt;=2),"HIBERNATING",TRUE(),"Other")</f>
        <v>Other</v>
      </c>
      <c r="K3728" s="1" t="n">
        <f aca="false">RANK(E3728,$E$7:$E$4378)+COUNTIF($E$7:E3728,E3728)-1</f>
        <v>3322</v>
      </c>
    </row>
    <row r="3729" customFormat="false" ht="14.25" hidden="false" customHeight="true" outlineLevel="0" collapsed="false">
      <c r="A3729" s="51" t="n">
        <v>17404</v>
      </c>
      <c r="B3729" s="53" t="n">
        <v>40882.6847222222</v>
      </c>
      <c r="C3729" s="57" t="n">
        <f aca="false">INT($C$2)-INT(Table3[[#This Row],[Last Purchase Date]])</f>
        <v>5</v>
      </c>
      <c r="D3729" s="1" t="n">
        <v>18</v>
      </c>
      <c r="E3729" s="1" t="n">
        <v>30300.82</v>
      </c>
      <c r="F3729" s="1" t="n">
        <f aca="false">ROUND((1-_xlfn.PERCENTRANK.INC($C$7:$C$4378,C3729))*9,0)</f>
        <v>8</v>
      </c>
      <c r="G3729" s="1" t="n">
        <f aca="false">ROUND(_xlfn.PERCENTRANK.INC($D$7:$D$4378,D3729)*9,0)</f>
        <v>9</v>
      </c>
      <c r="H3729" s="1" t="n">
        <f aca="false">ROUND(_xlfn.PERCENTRANK.INC($E$7:$E$4378,E3729)*9,0)</f>
        <v>9</v>
      </c>
      <c r="I3729" s="1" t="str">
        <f aca="false">CONCATENATE(F3729,G3729,H3729)</f>
        <v>899</v>
      </c>
      <c r="J3729" s="1" t="str">
        <f aca="false">_xlfn.IFS(AND(F3729&gt;=8,G3729&gt;=8,H3729&gt;=8),"CHAMPION",AND(F3729&gt;=6,G3729&gt;=7,H3729&gt;=6),"LOYAL CUSTOMER",AND(F3729&gt;=6,G3729&gt;=5,H3729&gt;=5),"POTENTIAL LOYALIST",AND(F3729&gt;=8,G3729&lt;=2,H3729&gt;=5),"NEW CUSTOMERS",AND(F3729&gt;=6,G3729&lt;=2,H3729&gt;=3),"PROMISING",AND(F3729&gt;=3,G3729&gt;=3,H3729&gt;=3),"NEED ATTENTION",AND(F3729&lt;=4,G3729&gt;=6,H3729&gt;=6),"AT RISK",AND(F3729&lt;=2,G3729&gt;=8,H3729&gt;=8),"CAN'T LOSE THEM",AND(F3729&lt;=2,G3729&lt;=2,H3729&lt;=2),"HIBERNATING",TRUE(),"Other")</f>
        <v>CHAMPION</v>
      </c>
      <c r="K3729" s="1" t="n">
        <f aca="false">RANK(E3729,$E$7:$E$4378)+COUNTIF($E$7:E3729,E3729)-1</f>
        <v>26</v>
      </c>
    </row>
    <row r="3730" customFormat="false" ht="14.25" hidden="false" customHeight="true" outlineLevel="0" collapsed="false">
      <c r="A3730" s="51" t="n">
        <v>17405</v>
      </c>
      <c r="B3730" s="53" t="n">
        <v>40885.7166666667</v>
      </c>
      <c r="C3730" s="57" t="n">
        <f aca="false">INT($C$2)-INT(Table3[[#This Row],[Last Purchase Date]])</f>
        <v>2</v>
      </c>
      <c r="D3730" s="1" t="n">
        <v>5</v>
      </c>
      <c r="E3730" s="1" t="n">
        <v>967.22</v>
      </c>
      <c r="F3730" s="1" t="n">
        <f aca="false">ROUND((1-_xlfn.PERCENTRANK.INC($C$7:$C$4378,C3730))*9,0)</f>
        <v>9</v>
      </c>
      <c r="G3730" s="1" t="n">
        <f aca="false">ROUND(_xlfn.PERCENTRANK.INC($D$7:$D$4378,D3730)*9,0)</f>
        <v>6</v>
      </c>
      <c r="H3730" s="1" t="n">
        <f aca="false">ROUND(_xlfn.PERCENTRANK.INC($E$7:$E$4378,E3730)*9,0)</f>
        <v>6</v>
      </c>
      <c r="I3730" s="1" t="str">
        <f aca="false">CONCATENATE(F3730,G3730,H3730)</f>
        <v>966</v>
      </c>
      <c r="J3730" s="1" t="str">
        <f aca="false">_xlfn.IFS(AND(F3730&gt;=8,G3730&gt;=8,H3730&gt;=8),"CHAMPION",AND(F3730&gt;=6,G3730&gt;=7,H3730&gt;=6),"LOYAL CUSTOMER",AND(F3730&gt;=6,G3730&gt;=5,H3730&gt;=5),"POTENTIAL LOYALIST",AND(F3730&gt;=8,G3730&lt;=2,H3730&gt;=5),"NEW CUSTOMERS",AND(F3730&gt;=6,G3730&lt;=2,H3730&gt;=3),"PROMISING",AND(F3730&gt;=3,G3730&gt;=3,H3730&gt;=3),"NEED ATTENTION",AND(F3730&lt;=4,G3730&gt;=6,H3730&gt;=6),"AT RISK",AND(F3730&lt;=2,G3730&gt;=8,H3730&gt;=8),"CAN'T LOSE THEM",AND(F3730&lt;=2,G3730&lt;=2,H3730&lt;=2),"HIBERNATING",TRUE(),"Other")</f>
        <v>POTENTIAL LOYALIST</v>
      </c>
      <c r="K3730" s="1" t="n">
        <f aca="false">RANK(E3730,$E$7:$E$4378)+COUNTIF($E$7:E3730,E3730)-1</f>
        <v>1680</v>
      </c>
    </row>
    <row r="3731" customFormat="false" ht="14.25" hidden="false" customHeight="true" outlineLevel="0" collapsed="false">
      <c r="A3731" s="51" t="n">
        <v>17406</v>
      </c>
      <c r="B3731" s="53" t="n">
        <v>40556.5361111111</v>
      </c>
      <c r="C3731" s="57" t="n">
        <f aca="false">INT($C$2)-INT(Table3[[#This Row],[Last Purchase Date]])</f>
        <v>331</v>
      </c>
      <c r="D3731" s="1" t="n">
        <v>5</v>
      </c>
      <c r="E3731" s="1" t="n">
        <v>1928.72</v>
      </c>
      <c r="F3731" s="1" t="n">
        <f aca="false">ROUND((1-_xlfn.PERCENTRANK.INC($C$7:$C$4378,C3731))*9,0)</f>
        <v>0</v>
      </c>
      <c r="G3731" s="1" t="n">
        <f aca="false">ROUND(_xlfn.PERCENTRANK.INC($D$7:$D$4378,D3731)*9,0)</f>
        <v>6</v>
      </c>
      <c r="H3731" s="1" t="n">
        <f aca="false">ROUND(_xlfn.PERCENTRANK.INC($E$7:$E$4378,E3731)*9,0)</f>
        <v>7</v>
      </c>
      <c r="I3731" s="1" t="str">
        <f aca="false">CONCATENATE(F3731,G3731,H3731)</f>
        <v>067</v>
      </c>
      <c r="J3731" s="1" t="str">
        <f aca="false">_xlfn.IFS(AND(F3731&gt;=8,G3731&gt;=8,H3731&gt;=8),"CHAMPION",AND(F3731&gt;=6,G3731&gt;=7,H3731&gt;=6),"LOYAL CUSTOMER",AND(F3731&gt;=6,G3731&gt;=5,H3731&gt;=5),"POTENTIAL LOYALIST",AND(F3731&gt;=8,G3731&lt;=2,H3731&gt;=5),"NEW CUSTOMERS",AND(F3731&gt;=6,G3731&lt;=2,H3731&gt;=3),"PROMISING",AND(F3731&gt;=3,G3731&gt;=3,H3731&gt;=3),"NEED ATTENTION",AND(F3731&lt;=4,G3731&gt;=6,H3731&gt;=6),"AT RISK",AND(F3731&lt;=2,G3731&gt;=8,H3731&gt;=8),"CAN'T LOSE THEM",AND(F3731&lt;=2,G3731&lt;=2,H3731&lt;=2),"HIBERNATING",TRUE(),"Other")</f>
        <v>AT RISK</v>
      </c>
      <c r="K3731" s="1" t="n">
        <f aca="false">RANK(E3731,$E$7:$E$4378)+COUNTIF($E$7:E3731,E3731)-1</f>
        <v>903</v>
      </c>
    </row>
    <row r="3732" customFormat="false" ht="14.25" hidden="false" customHeight="true" outlineLevel="0" collapsed="false">
      <c r="A3732" s="51" t="n">
        <v>17408</v>
      </c>
      <c r="B3732" s="53" t="n">
        <v>40723.5368055556</v>
      </c>
      <c r="C3732" s="57" t="n">
        <f aca="false">INT($C$2)-INT(Table3[[#This Row],[Last Purchase Date]])</f>
        <v>164</v>
      </c>
      <c r="D3732" s="1" t="n">
        <v>1</v>
      </c>
      <c r="E3732" s="1" t="n">
        <v>32.65</v>
      </c>
      <c r="F3732" s="1" t="n">
        <f aca="false">ROUND((1-_xlfn.PERCENTRANK.INC($C$7:$C$4378,C3732))*9,0)</f>
        <v>2</v>
      </c>
      <c r="G3732" s="1" t="n">
        <f aca="false">ROUND(_xlfn.PERCENTRANK.INC($D$7:$D$4378,D3732)*9,0)</f>
        <v>0</v>
      </c>
      <c r="H3732" s="1" t="n">
        <f aca="false">ROUND(_xlfn.PERCENTRANK.INC($E$7:$E$4378,E3732)*9,0)</f>
        <v>0</v>
      </c>
      <c r="I3732" s="1" t="str">
        <f aca="false">CONCATENATE(F3732,G3732,H3732)</f>
        <v>200</v>
      </c>
      <c r="J3732" s="1" t="str">
        <f aca="false">_xlfn.IFS(AND(F3732&gt;=8,G3732&gt;=8,H3732&gt;=8),"CHAMPION",AND(F3732&gt;=6,G3732&gt;=7,H3732&gt;=6),"LOYAL CUSTOMER",AND(F3732&gt;=6,G3732&gt;=5,H3732&gt;=5),"POTENTIAL LOYALIST",AND(F3732&gt;=8,G3732&lt;=2,H3732&gt;=5),"NEW CUSTOMERS",AND(F3732&gt;=6,G3732&lt;=2,H3732&gt;=3),"PROMISING",AND(F3732&gt;=3,G3732&gt;=3,H3732&gt;=3),"NEED ATTENTION",AND(F3732&lt;=4,G3732&gt;=6,H3732&gt;=6),"AT RISK",AND(F3732&lt;=2,G3732&gt;=8,H3732&gt;=8),"CAN'T LOSE THEM",AND(F3732&lt;=2,G3732&lt;=2,H3732&lt;=2),"HIBERNATING",TRUE(),"Other")</f>
        <v>HIBERNATING</v>
      </c>
      <c r="K3732" s="1" t="n">
        <f aca="false">RANK(E3732,$E$7:$E$4378)+COUNTIF($E$7:E3732,E3732)-1</f>
        <v>4304</v>
      </c>
    </row>
    <row r="3733" customFormat="false" ht="14.25" hidden="false" customHeight="true" outlineLevel="0" collapsed="false">
      <c r="A3733" s="51" t="n">
        <v>17409</v>
      </c>
      <c r="B3733" s="53" t="n">
        <v>40702.4416666667</v>
      </c>
      <c r="C3733" s="57" t="n">
        <f aca="false">INT($C$2)-INT(Table3[[#This Row],[Last Purchase Date]])</f>
        <v>185</v>
      </c>
      <c r="D3733" s="1" t="n">
        <v>2</v>
      </c>
      <c r="E3733" s="1" t="n">
        <v>771.85</v>
      </c>
      <c r="F3733" s="1" t="n">
        <f aca="false">ROUND((1-_xlfn.PERCENTRANK.INC($C$7:$C$4378,C3733))*9,0)</f>
        <v>2</v>
      </c>
      <c r="G3733" s="1" t="n">
        <f aca="false">ROUND(_xlfn.PERCENTRANK.INC($D$7:$D$4378,D3733)*9,0)</f>
        <v>3</v>
      </c>
      <c r="H3733" s="1" t="n">
        <f aca="false">ROUND(_xlfn.PERCENTRANK.INC($E$7:$E$4378,E3733)*9,0)</f>
        <v>5</v>
      </c>
      <c r="I3733" s="1" t="str">
        <f aca="false">CONCATENATE(F3733,G3733,H3733)</f>
        <v>235</v>
      </c>
      <c r="J3733" s="1" t="str">
        <f aca="false">_xlfn.IFS(AND(F3733&gt;=8,G3733&gt;=8,H3733&gt;=8),"CHAMPION",AND(F3733&gt;=6,G3733&gt;=7,H3733&gt;=6),"LOYAL CUSTOMER",AND(F3733&gt;=6,G3733&gt;=5,H3733&gt;=5),"POTENTIAL LOYALIST",AND(F3733&gt;=8,G3733&lt;=2,H3733&gt;=5),"NEW CUSTOMERS",AND(F3733&gt;=6,G3733&lt;=2,H3733&gt;=3),"PROMISING",AND(F3733&gt;=3,G3733&gt;=3,H3733&gt;=3),"NEED ATTENTION",AND(F3733&lt;=4,G3733&gt;=6,H3733&gt;=6),"AT RISK",AND(F3733&lt;=2,G3733&gt;=8,H3733&gt;=8),"CAN'T LOSE THEM",AND(F3733&lt;=2,G3733&lt;=2,H3733&lt;=2),"HIBERNATING",TRUE(),"Other")</f>
        <v>Other</v>
      </c>
      <c r="K3733" s="1" t="n">
        <f aca="false">RANK(E3733,$E$7:$E$4378)+COUNTIF($E$7:E3733,E3733)-1</f>
        <v>1944</v>
      </c>
    </row>
    <row r="3734" customFormat="false" ht="14.25" hidden="false" customHeight="true" outlineLevel="0" collapsed="false">
      <c r="A3734" s="51" t="n">
        <v>17410</v>
      </c>
      <c r="B3734" s="53" t="n">
        <v>40870.6569444445</v>
      </c>
      <c r="C3734" s="57" t="n">
        <f aca="false">INT($C$2)-INT(Table3[[#This Row],[Last Purchase Date]])</f>
        <v>17</v>
      </c>
      <c r="D3734" s="1" t="n">
        <v>5</v>
      </c>
      <c r="E3734" s="1" t="n">
        <v>1214.72</v>
      </c>
      <c r="F3734" s="1" t="n">
        <f aca="false">ROUND((1-_xlfn.PERCENTRANK.INC($C$7:$C$4378,C3734))*9,0)</f>
        <v>7</v>
      </c>
      <c r="G3734" s="1" t="n">
        <f aca="false">ROUND(_xlfn.PERCENTRANK.INC($D$7:$D$4378,D3734)*9,0)</f>
        <v>6</v>
      </c>
      <c r="H3734" s="1" t="n">
        <f aca="false">ROUND(_xlfn.PERCENTRANK.INC($E$7:$E$4378,E3734)*9,0)</f>
        <v>6</v>
      </c>
      <c r="I3734" s="1" t="str">
        <f aca="false">CONCATENATE(F3734,G3734,H3734)</f>
        <v>766</v>
      </c>
      <c r="J3734" s="1" t="str">
        <f aca="false">_xlfn.IFS(AND(F3734&gt;=8,G3734&gt;=8,H3734&gt;=8),"CHAMPION",AND(F3734&gt;=6,G3734&gt;=7,H3734&gt;=6),"LOYAL CUSTOMER",AND(F3734&gt;=6,G3734&gt;=5,H3734&gt;=5),"POTENTIAL LOYALIST",AND(F3734&gt;=8,G3734&lt;=2,H3734&gt;=5),"NEW CUSTOMERS",AND(F3734&gt;=6,G3734&lt;=2,H3734&gt;=3),"PROMISING",AND(F3734&gt;=3,G3734&gt;=3,H3734&gt;=3),"NEED ATTENTION",AND(F3734&lt;=4,G3734&gt;=6,H3734&gt;=6),"AT RISK",AND(F3734&lt;=2,G3734&gt;=8,H3734&gt;=8),"CAN'T LOSE THEM",AND(F3734&lt;=2,G3734&lt;=2,H3734&lt;=2),"HIBERNATING",TRUE(),"Other")</f>
        <v>POTENTIAL LOYALIST</v>
      </c>
      <c r="K3734" s="1" t="n">
        <f aca="false">RANK(E3734,$E$7:$E$4378)+COUNTIF($E$7:E3734,E3734)-1</f>
        <v>1401</v>
      </c>
    </row>
    <row r="3735" customFormat="false" ht="14.25" hidden="false" customHeight="true" outlineLevel="0" collapsed="false">
      <c r="A3735" s="51" t="n">
        <v>17411</v>
      </c>
      <c r="B3735" s="53" t="n">
        <v>40874.6006944445</v>
      </c>
      <c r="C3735" s="57" t="n">
        <f aca="false">INT($C$2)-INT(Table3[[#This Row],[Last Purchase Date]])</f>
        <v>13</v>
      </c>
      <c r="D3735" s="1" t="n">
        <v>4</v>
      </c>
      <c r="E3735" s="1" t="n">
        <v>748.94</v>
      </c>
      <c r="F3735" s="1" t="n">
        <f aca="false">ROUND((1-_xlfn.PERCENTRANK.INC($C$7:$C$4378,C3735))*9,0)</f>
        <v>7</v>
      </c>
      <c r="G3735" s="1" t="n">
        <f aca="false">ROUND(_xlfn.PERCENTRANK.INC($D$7:$D$4378,D3735)*9,0)</f>
        <v>5</v>
      </c>
      <c r="H3735" s="1" t="n">
        <f aca="false">ROUND(_xlfn.PERCENTRANK.INC($E$7:$E$4378,E3735)*9,0)</f>
        <v>5</v>
      </c>
      <c r="I3735" s="1" t="str">
        <f aca="false">CONCATENATE(F3735,G3735,H3735)</f>
        <v>755</v>
      </c>
      <c r="J3735" s="1" t="str">
        <f aca="false">_xlfn.IFS(AND(F3735&gt;=8,G3735&gt;=8,H3735&gt;=8),"CHAMPION",AND(F3735&gt;=6,G3735&gt;=7,H3735&gt;=6),"LOYAL CUSTOMER",AND(F3735&gt;=6,G3735&gt;=5,H3735&gt;=5),"POTENTIAL LOYALIST",AND(F3735&gt;=8,G3735&lt;=2,H3735&gt;=5),"NEW CUSTOMERS",AND(F3735&gt;=6,G3735&lt;=2,H3735&gt;=3),"PROMISING",AND(F3735&gt;=3,G3735&gt;=3,H3735&gt;=3),"NEED ATTENTION",AND(F3735&lt;=4,G3735&gt;=6,H3735&gt;=6),"AT RISK",AND(F3735&lt;=2,G3735&gt;=8,H3735&gt;=8),"CAN'T LOSE THEM",AND(F3735&lt;=2,G3735&lt;=2,H3735&lt;=2),"HIBERNATING",TRUE(),"Other")</f>
        <v>POTENTIAL LOYALIST</v>
      </c>
      <c r="K3735" s="1" t="n">
        <f aca="false">RANK(E3735,$E$7:$E$4378)+COUNTIF($E$7:E3735,E3735)-1</f>
        <v>1976</v>
      </c>
    </row>
    <row r="3736" customFormat="false" ht="14.25" hidden="false" customHeight="true" outlineLevel="0" collapsed="false">
      <c r="A3736" s="51" t="n">
        <v>17412</v>
      </c>
      <c r="B3736" s="53" t="n">
        <v>40884.4833333333</v>
      </c>
      <c r="C3736" s="57" t="n">
        <f aca="false">INT($C$2)-INT(Table3[[#This Row],[Last Purchase Date]])</f>
        <v>3</v>
      </c>
      <c r="D3736" s="1" t="n">
        <v>7</v>
      </c>
      <c r="E3736" s="1" t="n">
        <v>1258.06</v>
      </c>
      <c r="F3736" s="1" t="n">
        <f aca="false">ROUND((1-_xlfn.PERCENTRANK.INC($C$7:$C$4378,C3736))*9,0)</f>
        <v>9</v>
      </c>
      <c r="G3736" s="1" t="n">
        <f aca="false">ROUND(_xlfn.PERCENTRANK.INC($D$7:$D$4378,D3736)*9,0)</f>
        <v>7</v>
      </c>
      <c r="H3736" s="1" t="n">
        <f aca="false">ROUND(_xlfn.PERCENTRANK.INC($E$7:$E$4378,E3736)*9,0)</f>
        <v>6</v>
      </c>
      <c r="I3736" s="1" t="str">
        <f aca="false">CONCATENATE(F3736,G3736,H3736)</f>
        <v>976</v>
      </c>
      <c r="J3736" s="1" t="str">
        <f aca="false">_xlfn.IFS(AND(F3736&gt;=8,G3736&gt;=8,H3736&gt;=8),"CHAMPION",AND(F3736&gt;=6,G3736&gt;=7,H3736&gt;=6),"LOYAL CUSTOMER",AND(F3736&gt;=6,G3736&gt;=5,H3736&gt;=5),"POTENTIAL LOYALIST",AND(F3736&gt;=8,G3736&lt;=2,H3736&gt;=5),"NEW CUSTOMERS",AND(F3736&gt;=6,G3736&lt;=2,H3736&gt;=3),"PROMISING",AND(F3736&gt;=3,G3736&gt;=3,H3736&gt;=3),"NEED ATTENTION",AND(F3736&lt;=4,G3736&gt;=6,H3736&gt;=6),"AT RISK",AND(F3736&lt;=2,G3736&gt;=8,H3736&gt;=8),"CAN'T LOSE THEM",AND(F3736&lt;=2,G3736&lt;=2,H3736&lt;=2),"HIBERNATING",TRUE(),"Other")</f>
        <v>LOYAL CUSTOMER</v>
      </c>
      <c r="K3736" s="1" t="n">
        <f aca="false">RANK(E3736,$E$7:$E$4378)+COUNTIF($E$7:E3736,E3736)-1</f>
        <v>1368</v>
      </c>
    </row>
    <row r="3737" customFormat="false" ht="14.25" hidden="false" customHeight="true" outlineLevel="0" collapsed="false">
      <c r="A3737" s="51" t="n">
        <v>17414</v>
      </c>
      <c r="B3737" s="53" t="n">
        <v>40843.5090277778</v>
      </c>
      <c r="C3737" s="57" t="n">
        <f aca="false">INT($C$2)-INT(Table3[[#This Row],[Last Purchase Date]])</f>
        <v>44</v>
      </c>
      <c r="D3737" s="1" t="n">
        <v>2</v>
      </c>
      <c r="E3737" s="1" t="n">
        <v>778</v>
      </c>
      <c r="F3737" s="1" t="n">
        <f aca="false">ROUND((1-_xlfn.PERCENTRANK.INC($C$7:$C$4378,C3737))*9,0)</f>
        <v>5</v>
      </c>
      <c r="G3737" s="1" t="n">
        <f aca="false">ROUND(_xlfn.PERCENTRANK.INC($D$7:$D$4378,D3737)*9,0)</f>
        <v>3</v>
      </c>
      <c r="H3737" s="1" t="n">
        <f aca="false">ROUND(_xlfn.PERCENTRANK.INC($E$7:$E$4378,E3737)*9,0)</f>
        <v>5</v>
      </c>
      <c r="I3737" s="1" t="str">
        <f aca="false">CONCATENATE(F3737,G3737,H3737)</f>
        <v>535</v>
      </c>
      <c r="J3737" s="1" t="str">
        <f aca="false">_xlfn.IFS(AND(F3737&gt;=8,G3737&gt;=8,H3737&gt;=8),"CHAMPION",AND(F3737&gt;=6,G3737&gt;=7,H3737&gt;=6),"LOYAL CUSTOMER",AND(F3737&gt;=6,G3737&gt;=5,H3737&gt;=5),"POTENTIAL LOYALIST",AND(F3737&gt;=8,G3737&lt;=2,H3737&gt;=5),"NEW CUSTOMERS",AND(F3737&gt;=6,G3737&lt;=2,H3737&gt;=3),"PROMISING",AND(F3737&gt;=3,G3737&gt;=3,H3737&gt;=3),"NEED ATTENTION",AND(F3737&lt;=4,G3737&gt;=6,H3737&gt;=6),"AT RISK",AND(F3737&lt;=2,G3737&gt;=8,H3737&gt;=8),"CAN'T LOSE THEM",AND(F3737&lt;=2,G3737&lt;=2,H3737&lt;=2),"HIBERNATING",TRUE(),"Other")</f>
        <v>NEED ATTENTION</v>
      </c>
      <c r="K3737" s="1" t="n">
        <f aca="false">RANK(E3737,$E$7:$E$4378)+COUNTIF($E$7:E3737,E3737)-1</f>
        <v>1929</v>
      </c>
    </row>
    <row r="3738" customFormat="false" ht="14.25" hidden="false" customHeight="true" outlineLevel="0" collapsed="false">
      <c r="A3738" s="51" t="n">
        <v>17415</v>
      </c>
      <c r="B3738" s="53" t="n">
        <v>40807.5347222222</v>
      </c>
      <c r="C3738" s="57" t="n">
        <f aca="false">INT($C$2)-INT(Table3[[#This Row],[Last Purchase Date]])</f>
        <v>80</v>
      </c>
      <c r="D3738" s="1" t="n">
        <v>1</v>
      </c>
      <c r="E3738" s="1" t="n">
        <v>507.84</v>
      </c>
      <c r="F3738" s="1" t="n">
        <f aca="false">ROUND((1-_xlfn.PERCENTRANK.INC($C$7:$C$4378,C3738))*9,0)</f>
        <v>3</v>
      </c>
      <c r="G3738" s="1" t="n">
        <f aca="false">ROUND(_xlfn.PERCENTRANK.INC($D$7:$D$4378,D3738)*9,0)</f>
        <v>0</v>
      </c>
      <c r="H3738" s="1" t="n">
        <f aca="false">ROUND(_xlfn.PERCENTRANK.INC($E$7:$E$4378,E3738)*9,0)</f>
        <v>4</v>
      </c>
      <c r="I3738" s="1" t="str">
        <f aca="false">CONCATENATE(F3738,G3738,H3738)</f>
        <v>304</v>
      </c>
      <c r="J3738" s="1" t="str">
        <f aca="false">_xlfn.IFS(AND(F3738&gt;=8,G3738&gt;=8,H3738&gt;=8),"CHAMPION",AND(F3738&gt;=6,G3738&gt;=7,H3738&gt;=6),"LOYAL CUSTOMER",AND(F3738&gt;=6,G3738&gt;=5,H3738&gt;=5),"POTENTIAL LOYALIST",AND(F3738&gt;=8,G3738&lt;=2,H3738&gt;=5),"NEW CUSTOMERS",AND(F3738&gt;=6,G3738&lt;=2,H3738&gt;=3),"PROMISING",AND(F3738&gt;=3,G3738&gt;=3,H3738&gt;=3),"NEED ATTENTION",AND(F3738&lt;=4,G3738&gt;=6,H3738&gt;=6),"AT RISK",AND(F3738&lt;=2,G3738&gt;=8,H3738&gt;=8),"CAN'T LOSE THEM",AND(F3738&lt;=2,G3738&lt;=2,H3738&lt;=2),"HIBERNATING",TRUE(),"Other")</f>
        <v>Other</v>
      </c>
      <c r="K3738" s="1" t="n">
        <f aca="false">RANK(E3738,$E$7:$E$4378)+COUNTIF($E$7:E3738,E3738)-1</f>
        <v>2523</v>
      </c>
    </row>
    <row r="3739" customFormat="false" ht="14.25" hidden="false" customHeight="true" outlineLevel="0" collapsed="false">
      <c r="A3739" s="51" t="n">
        <v>17416</v>
      </c>
      <c r="B3739" s="53" t="n">
        <v>40857.5326388889</v>
      </c>
      <c r="C3739" s="57" t="n">
        <f aca="false">INT($C$2)-INT(Table3[[#This Row],[Last Purchase Date]])</f>
        <v>30</v>
      </c>
      <c r="D3739" s="1" t="n">
        <v>9</v>
      </c>
      <c r="E3739" s="1" t="n">
        <v>6838.34</v>
      </c>
      <c r="F3739" s="1" t="n">
        <f aca="false">ROUND((1-_xlfn.PERCENTRANK.INC($C$7:$C$4378,C3739))*9,0)</f>
        <v>6</v>
      </c>
      <c r="G3739" s="1" t="n">
        <f aca="false">ROUND(_xlfn.PERCENTRANK.INC($D$7:$D$4378,D3739)*9,0)</f>
        <v>8</v>
      </c>
      <c r="H3739" s="1" t="n">
        <f aca="false">ROUND(_xlfn.PERCENTRANK.INC($E$7:$E$4378,E3739)*9,0)</f>
        <v>9</v>
      </c>
      <c r="I3739" s="1" t="str">
        <f aca="false">CONCATENATE(F3739,G3739,H3739)</f>
        <v>689</v>
      </c>
      <c r="J3739" s="1" t="str">
        <f aca="false">_xlfn.IFS(AND(F3739&gt;=8,G3739&gt;=8,H3739&gt;=8),"CHAMPION",AND(F3739&gt;=6,G3739&gt;=7,H3739&gt;=6),"LOYAL CUSTOMER",AND(F3739&gt;=6,G3739&gt;=5,H3739&gt;=5),"POTENTIAL LOYALIST",AND(F3739&gt;=8,G3739&lt;=2,H3739&gt;=5),"NEW CUSTOMERS",AND(F3739&gt;=6,G3739&lt;=2,H3739&gt;=3),"PROMISING",AND(F3739&gt;=3,G3739&gt;=3,H3739&gt;=3),"NEED ATTENTION",AND(F3739&lt;=4,G3739&gt;=6,H3739&gt;=6),"AT RISK",AND(F3739&lt;=2,G3739&gt;=8,H3739&gt;=8),"CAN'T LOSE THEM",AND(F3739&lt;=2,G3739&lt;=2,H3739&lt;=2),"HIBERNATING",TRUE(),"Other")</f>
        <v>LOYAL CUSTOMER</v>
      </c>
      <c r="K3739" s="1" t="n">
        <f aca="false">RANK(E3739,$E$7:$E$4378)+COUNTIF($E$7:E3739,E3739)-1</f>
        <v>162</v>
      </c>
    </row>
    <row r="3740" customFormat="false" ht="14.25" hidden="false" customHeight="true" outlineLevel="0" collapsed="false">
      <c r="A3740" s="51" t="n">
        <v>17418</v>
      </c>
      <c r="B3740" s="53" t="n">
        <v>40844.5416666667</v>
      </c>
      <c r="C3740" s="57" t="n">
        <f aca="false">INT($C$2)-INT(Table3[[#This Row],[Last Purchase Date]])</f>
        <v>43</v>
      </c>
      <c r="D3740" s="1" t="n">
        <v>2</v>
      </c>
      <c r="E3740" s="1" t="n">
        <v>463.46</v>
      </c>
      <c r="F3740" s="1" t="n">
        <f aca="false">ROUND((1-_xlfn.PERCENTRANK.INC($C$7:$C$4378,C3740))*9,0)</f>
        <v>5</v>
      </c>
      <c r="G3740" s="1" t="n">
        <f aca="false">ROUND(_xlfn.PERCENTRANK.INC($D$7:$D$4378,D3740)*9,0)</f>
        <v>3</v>
      </c>
      <c r="H3740" s="1" t="n">
        <f aca="false">ROUND(_xlfn.PERCENTRANK.INC($E$7:$E$4378,E3740)*9,0)</f>
        <v>4</v>
      </c>
      <c r="I3740" s="1" t="str">
        <f aca="false">CONCATENATE(F3740,G3740,H3740)</f>
        <v>534</v>
      </c>
      <c r="J3740" s="1" t="str">
        <f aca="false">_xlfn.IFS(AND(F3740&gt;=8,G3740&gt;=8,H3740&gt;=8),"CHAMPION",AND(F3740&gt;=6,G3740&gt;=7,H3740&gt;=6),"LOYAL CUSTOMER",AND(F3740&gt;=6,G3740&gt;=5,H3740&gt;=5),"POTENTIAL LOYALIST",AND(F3740&gt;=8,G3740&lt;=2,H3740&gt;=5),"NEW CUSTOMERS",AND(F3740&gt;=6,G3740&lt;=2,H3740&gt;=3),"PROMISING",AND(F3740&gt;=3,G3740&gt;=3,H3740&gt;=3),"NEED ATTENTION",AND(F3740&lt;=4,G3740&gt;=6,H3740&gt;=6),"AT RISK",AND(F3740&lt;=2,G3740&gt;=8,H3740&gt;=8),"CAN'T LOSE THEM",AND(F3740&lt;=2,G3740&lt;=2,H3740&lt;=2),"HIBERNATING",TRUE(),"Other")</f>
        <v>NEED ATTENTION</v>
      </c>
      <c r="K3740" s="1" t="n">
        <f aca="false">RANK(E3740,$E$7:$E$4378)+COUNTIF($E$7:E3740,E3740)-1</f>
        <v>2630</v>
      </c>
    </row>
    <row r="3741" customFormat="false" ht="14.25" hidden="false" customHeight="true" outlineLevel="0" collapsed="false">
      <c r="A3741" s="51" t="n">
        <v>17419</v>
      </c>
      <c r="B3741" s="53" t="n">
        <v>40875.5743055556</v>
      </c>
      <c r="C3741" s="57" t="n">
        <f aca="false">INT($C$2)-INT(Table3[[#This Row],[Last Purchase Date]])</f>
        <v>12</v>
      </c>
      <c r="D3741" s="1" t="n">
        <v>14</v>
      </c>
      <c r="E3741" s="1" t="n">
        <v>4200.97</v>
      </c>
      <c r="F3741" s="1" t="n">
        <f aca="false">ROUND((1-_xlfn.PERCENTRANK.INC($C$7:$C$4378,C3741))*9,0)</f>
        <v>7</v>
      </c>
      <c r="G3741" s="1" t="n">
        <f aca="false">ROUND(_xlfn.PERCENTRANK.INC($D$7:$D$4378,D3741)*9,0)</f>
        <v>8</v>
      </c>
      <c r="H3741" s="1" t="n">
        <f aca="false">ROUND(_xlfn.PERCENTRANK.INC($E$7:$E$4378,E3741)*9,0)</f>
        <v>8</v>
      </c>
      <c r="I3741" s="1" t="str">
        <f aca="false">CONCATENATE(F3741,G3741,H3741)</f>
        <v>788</v>
      </c>
      <c r="J3741" s="1" t="str">
        <f aca="false">_xlfn.IFS(AND(F3741&gt;=8,G3741&gt;=8,H3741&gt;=8),"CHAMPION",AND(F3741&gt;=6,G3741&gt;=7,H3741&gt;=6),"LOYAL CUSTOMER",AND(F3741&gt;=6,G3741&gt;=5,H3741&gt;=5),"POTENTIAL LOYALIST",AND(F3741&gt;=8,G3741&lt;=2,H3741&gt;=5),"NEW CUSTOMERS",AND(F3741&gt;=6,G3741&lt;=2,H3741&gt;=3),"PROMISING",AND(F3741&gt;=3,G3741&gt;=3,H3741&gt;=3),"NEED ATTENTION",AND(F3741&lt;=4,G3741&gt;=6,H3741&gt;=6),"AT RISK",AND(F3741&lt;=2,G3741&gt;=8,H3741&gt;=8),"CAN'T LOSE THEM",AND(F3741&lt;=2,G3741&lt;=2,H3741&lt;=2),"HIBERNATING",TRUE(),"Other")</f>
        <v>LOYAL CUSTOMER</v>
      </c>
      <c r="K3741" s="1" t="n">
        <f aca="false">RANK(E3741,$E$7:$E$4378)+COUNTIF($E$7:E3741,E3741)-1</f>
        <v>330</v>
      </c>
    </row>
    <row r="3742" customFormat="false" ht="14.25" hidden="false" customHeight="true" outlineLevel="0" collapsed="false">
      <c r="A3742" s="51" t="n">
        <v>17420</v>
      </c>
      <c r="B3742" s="53" t="n">
        <v>40836.6194444444</v>
      </c>
      <c r="C3742" s="57" t="n">
        <f aca="false">INT($C$2)-INT(Table3[[#This Row],[Last Purchase Date]])</f>
        <v>51</v>
      </c>
      <c r="D3742" s="1" t="n">
        <v>3</v>
      </c>
      <c r="E3742" s="1" t="n">
        <v>598.83</v>
      </c>
      <c r="F3742" s="1" t="n">
        <f aca="false">ROUND((1-_xlfn.PERCENTRANK.INC($C$7:$C$4378,C3742))*9,0)</f>
        <v>5</v>
      </c>
      <c r="G3742" s="1" t="n">
        <f aca="false">ROUND(_xlfn.PERCENTRANK.INC($D$7:$D$4378,D3742)*9,0)</f>
        <v>4</v>
      </c>
      <c r="H3742" s="1" t="n">
        <f aca="false">ROUND(_xlfn.PERCENTRANK.INC($E$7:$E$4378,E3742)*9,0)</f>
        <v>4</v>
      </c>
      <c r="I3742" s="1" t="str">
        <f aca="false">CONCATENATE(F3742,G3742,H3742)</f>
        <v>544</v>
      </c>
      <c r="J3742" s="1" t="str">
        <f aca="false">_xlfn.IFS(AND(F3742&gt;=8,G3742&gt;=8,H3742&gt;=8),"CHAMPION",AND(F3742&gt;=6,G3742&gt;=7,H3742&gt;=6),"LOYAL CUSTOMER",AND(F3742&gt;=6,G3742&gt;=5,H3742&gt;=5),"POTENTIAL LOYALIST",AND(F3742&gt;=8,G3742&lt;=2,H3742&gt;=5),"NEW CUSTOMERS",AND(F3742&gt;=6,G3742&lt;=2,H3742&gt;=3),"PROMISING",AND(F3742&gt;=3,G3742&gt;=3,H3742&gt;=3),"NEED ATTENTION",AND(F3742&lt;=4,G3742&gt;=6,H3742&gt;=6),"AT RISK",AND(F3742&lt;=2,G3742&gt;=8,H3742&gt;=8),"CAN'T LOSE THEM",AND(F3742&lt;=2,G3742&lt;=2,H3742&lt;=2),"HIBERNATING",TRUE(),"Other")</f>
        <v>NEED ATTENTION</v>
      </c>
      <c r="K3742" s="1" t="n">
        <f aca="false">RANK(E3742,$E$7:$E$4378)+COUNTIF($E$7:E3742,E3742)-1</f>
        <v>2323</v>
      </c>
    </row>
    <row r="3743" customFormat="false" ht="14.25" hidden="false" customHeight="true" outlineLevel="0" collapsed="false">
      <c r="A3743" s="51" t="n">
        <v>17422</v>
      </c>
      <c r="B3743" s="53" t="n">
        <v>40870.5604166667</v>
      </c>
      <c r="C3743" s="57" t="n">
        <f aca="false">INT($C$2)-INT(Table3[[#This Row],[Last Purchase Date]])</f>
        <v>17</v>
      </c>
      <c r="D3743" s="1" t="n">
        <v>10</v>
      </c>
      <c r="E3743" s="1" t="n">
        <v>1853.13</v>
      </c>
      <c r="F3743" s="1" t="n">
        <f aca="false">ROUND((1-_xlfn.PERCENTRANK.INC($C$7:$C$4378,C3743))*9,0)</f>
        <v>7</v>
      </c>
      <c r="G3743" s="1" t="n">
        <f aca="false">ROUND(_xlfn.PERCENTRANK.INC($D$7:$D$4378,D3743)*9,0)</f>
        <v>8</v>
      </c>
      <c r="H3743" s="1" t="n">
        <f aca="false">ROUND(_xlfn.PERCENTRANK.INC($E$7:$E$4378,E3743)*9,0)</f>
        <v>7</v>
      </c>
      <c r="I3743" s="1" t="str">
        <f aca="false">CONCATENATE(F3743,G3743,H3743)</f>
        <v>787</v>
      </c>
      <c r="J3743" s="1" t="str">
        <f aca="false">_xlfn.IFS(AND(F3743&gt;=8,G3743&gt;=8,H3743&gt;=8),"CHAMPION",AND(F3743&gt;=6,G3743&gt;=7,H3743&gt;=6),"LOYAL CUSTOMER",AND(F3743&gt;=6,G3743&gt;=5,H3743&gt;=5),"POTENTIAL LOYALIST",AND(F3743&gt;=8,G3743&lt;=2,H3743&gt;=5),"NEW CUSTOMERS",AND(F3743&gt;=6,G3743&lt;=2,H3743&gt;=3),"PROMISING",AND(F3743&gt;=3,G3743&gt;=3,H3743&gt;=3),"NEED ATTENTION",AND(F3743&lt;=4,G3743&gt;=6,H3743&gt;=6),"AT RISK",AND(F3743&lt;=2,G3743&gt;=8,H3743&gt;=8),"CAN'T LOSE THEM",AND(F3743&lt;=2,G3743&lt;=2,H3743&lt;=2),"HIBERNATING",TRUE(),"Other")</f>
        <v>LOYAL CUSTOMER</v>
      </c>
      <c r="K3743" s="1" t="n">
        <f aca="false">RANK(E3743,$E$7:$E$4378)+COUNTIF($E$7:E3743,E3743)-1</f>
        <v>944</v>
      </c>
    </row>
    <row r="3744" customFormat="false" ht="14.25" hidden="false" customHeight="true" outlineLevel="0" collapsed="false">
      <c r="A3744" s="51" t="n">
        <v>17423</v>
      </c>
      <c r="B3744" s="53" t="n">
        <v>40841.7006944444</v>
      </c>
      <c r="C3744" s="57" t="n">
        <f aca="false">INT($C$2)-INT(Table3[[#This Row],[Last Purchase Date]])</f>
        <v>46</v>
      </c>
      <c r="D3744" s="1" t="n">
        <v>4</v>
      </c>
      <c r="E3744" s="1" t="n">
        <v>663.63</v>
      </c>
      <c r="F3744" s="1" t="n">
        <f aca="false">ROUND((1-_xlfn.PERCENTRANK.INC($C$7:$C$4378,C3744))*9,0)</f>
        <v>5</v>
      </c>
      <c r="G3744" s="1" t="n">
        <f aca="false">ROUND(_xlfn.PERCENTRANK.INC($D$7:$D$4378,D3744)*9,0)</f>
        <v>5</v>
      </c>
      <c r="H3744" s="1" t="n">
        <f aca="false">ROUND(_xlfn.PERCENTRANK.INC($E$7:$E$4378,E3744)*9,0)</f>
        <v>5</v>
      </c>
      <c r="I3744" s="1" t="str">
        <f aca="false">CONCATENATE(F3744,G3744,H3744)</f>
        <v>555</v>
      </c>
      <c r="J3744" s="1" t="str">
        <f aca="false">_xlfn.IFS(AND(F3744&gt;=8,G3744&gt;=8,H3744&gt;=8),"CHAMPION",AND(F3744&gt;=6,G3744&gt;=7,H3744&gt;=6),"LOYAL CUSTOMER",AND(F3744&gt;=6,G3744&gt;=5,H3744&gt;=5),"POTENTIAL LOYALIST",AND(F3744&gt;=8,G3744&lt;=2,H3744&gt;=5),"NEW CUSTOMERS",AND(F3744&gt;=6,G3744&lt;=2,H3744&gt;=3),"PROMISING",AND(F3744&gt;=3,G3744&gt;=3,H3744&gt;=3),"NEED ATTENTION",AND(F3744&lt;=4,G3744&gt;=6,H3744&gt;=6),"AT RISK",AND(F3744&lt;=2,G3744&gt;=8,H3744&gt;=8),"CAN'T LOSE THEM",AND(F3744&lt;=2,G3744&lt;=2,H3744&lt;=2),"HIBERNATING",TRUE(),"Other")</f>
        <v>NEED ATTENTION</v>
      </c>
      <c r="K3744" s="1" t="n">
        <f aca="false">RANK(E3744,$E$7:$E$4378)+COUNTIF($E$7:E3744,E3744)-1</f>
        <v>2148</v>
      </c>
    </row>
    <row r="3745" customFormat="false" ht="14.25" hidden="false" customHeight="true" outlineLevel="0" collapsed="false">
      <c r="A3745" s="51" t="n">
        <v>17425</v>
      </c>
      <c r="B3745" s="53" t="n">
        <v>40867.6458333333</v>
      </c>
      <c r="C3745" s="57" t="n">
        <f aca="false">INT($C$2)-INT(Table3[[#This Row],[Last Purchase Date]])</f>
        <v>20</v>
      </c>
      <c r="D3745" s="1" t="n">
        <v>2</v>
      </c>
      <c r="E3745" s="1" t="n">
        <v>759.17</v>
      </c>
      <c r="F3745" s="1" t="n">
        <f aca="false">ROUND((1-_xlfn.PERCENTRANK.INC($C$7:$C$4378,C3745))*9,0)</f>
        <v>6</v>
      </c>
      <c r="G3745" s="1" t="n">
        <f aca="false">ROUND(_xlfn.PERCENTRANK.INC($D$7:$D$4378,D3745)*9,0)</f>
        <v>3</v>
      </c>
      <c r="H3745" s="1" t="n">
        <f aca="false">ROUND(_xlfn.PERCENTRANK.INC($E$7:$E$4378,E3745)*9,0)</f>
        <v>5</v>
      </c>
      <c r="I3745" s="1" t="str">
        <f aca="false">CONCATENATE(F3745,G3745,H3745)</f>
        <v>635</v>
      </c>
      <c r="J3745" s="1" t="str">
        <f aca="false">_xlfn.IFS(AND(F3745&gt;=8,G3745&gt;=8,H3745&gt;=8),"CHAMPION",AND(F3745&gt;=6,G3745&gt;=7,H3745&gt;=6),"LOYAL CUSTOMER",AND(F3745&gt;=6,G3745&gt;=5,H3745&gt;=5),"POTENTIAL LOYALIST",AND(F3745&gt;=8,G3745&lt;=2,H3745&gt;=5),"NEW CUSTOMERS",AND(F3745&gt;=6,G3745&lt;=2,H3745&gt;=3),"PROMISING",AND(F3745&gt;=3,G3745&gt;=3,H3745&gt;=3),"NEED ATTENTION",AND(F3745&lt;=4,G3745&gt;=6,H3745&gt;=6),"AT RISK",AND(F3745&lt;=2,G3745&gt;=8,H3745&gt;=8),"CAN'T LOSE THEM",AND(F3745&lt;=2,G3745&lt;=2,H3745&lt;=2),"HIBERNATING",TRUE(),"Other")</f>
        <v>NEED ATTENTION</v>
      </c>
      <c r="K3745" s="1" t="n">
        <f aca="false">RANK(E3745,$E$7:$E$4378)+COUNTIF($E$7:E3745,E3745)-1</f>
        <v>1966</v>
      </c>
    </row>
    <row r="3746" customFormat="false" ht="14.25" hidden="false" customHeight="true" outlineLevel="0" collapsed="false">
      <c r="A3746" s="51" t="n">
        <v>17426</v>
      </c>
      <c r="B3746" s="53" t="n">
        <v>40882.675</v>
      </c>
      <c r="C3746" s="57" t="n">
        <f aca="false">INT($C$2)-INT(Table3[[#This Row],[Last Purchase Date]])</f>
        <v>5</v>
      </c>
      <c r="D3746" s="1" t="n">
        <v>7</v>
      </c>
      <c r="E3746" s="1" t="n">
        <v>5022.26</v>
      </c>
      <c r="F3746" s="1" t="n">
        <f aca="false">ROUND((1-_xlfn.PERCENTRANK.INC($C$7:$C$4378,C3746))*9,0)</f>
        <v>8</v>
      </c>
      <c r="G3746" s="1" t="n">
        <f aca="false">ROUND(_xlfn.PERCENTRANK.INC($D$7:$D$4378,D3746)*9,0)</f>
        <v>7</v>
      </c>
      <c r="H3746" s="1" t="n">
        <f aca="false">ROUND(_xlfn.PERCENTRANK.INC($E$7:$E$4378,E3746)*9,0)</f>
        <v>8</v>
      </c>
      <c r="I3746" s="1" t="str">
        <f aca="false">CONCATENATE(F3746,G3746,H3746)</f>
        <v>878</v>
      </c>
      <c r="J3746" s="1" t="str">
        <f aca="false">_xlfn.IFS(AND(F3746&gt;=8,G3746&gt;=8,H3746&gt;=8),"CHAMPION",AND(F3746&gt;=6,G3746&gt;=7,H3746&gt;=6),"LOYAL CUSTOMER",AND(F3746&gt;=6,G3746&gt;=5,H3746&gt;=5),"POTENTIAL LOYALIST",AND(F3746&gt;=8,G3746&lt;=2,H3746&gt;=5),"NEW CUSTOMERS",AND(F3746&gt;=6,G3746&lt;=2,H3746&gt;=3),"PROMISING",AND(F3746&gt;=3,G3746&gt;=3,H3746&gt;=3),"NEED ATTENTION",AND(F3746&lt;=4,G3746&gt;=6,H3746&gt;=6),"AT RISK",AND(F3746&lt;=2,G3746&gt;=8,H3746&gt;=8),"CAN'T LOSE THEM",AND(F3746&lt;=2,G3746&lt;=2,H3746&lt;=2),"HIBERNATING",TRUE(),"Other")</f>
        <v>LOYAL CUSTOMER</v>
      </c>
      <c r="K3746" s="1" t="n">
        <f aca="false">RANK(E3746,$E$7:$E$4378)+COUNTIF($E$7:E3746,E3746)-1</f>
        <v>262</v>
      </c>
    </row>
    <row r="3747" customFormat="false" ht="14.25" hidden="false" customHeight="true" outlineLevel="0" collapsed="false">
      <c r="A3747" s="51" t="n">
        <v>17427</v>
      </c>
      <c r="B3747" s="53" t="n">
        <v>40815.4784722222</v>
      </c>
      <c r="C3747" s="57" t="n">
        <f aca="false">INT($C$2)-INT(Table3[[#This Row],[Last Purchase Date]])</f>
        <v>72</v>
      </c>
      <c r="D3747" s="1" t="n">
        <v>1</v>
      </c>
      <c r="E3747" s="1" t="n">
        <v>100.8</v>
      </c>
      <c r="F3747" s="1" t="n">
        <f aca="false">ROUND((1-_xlfn.PERCENTRANK.INC($C$7:$C$4378,C3747))*9,0)</f>
        <v>4</v>
      </c>
      <c r="G3747" s="1" t="n">
        <f aca="false">ROUND(_xlfn.PERCENTRANK.INC($D$7:$D$4378,D3747)*9,0)</f>
        <v>0</v>
      </c>
      <c r="H3747" s="1" t="n">
        <f aca="false">ROUND(_xlfn.PERCENTRANK.INC($E$7:$E$4378,E3747)*9,0)</f>
        <v>0</v>
      </c>
      <c r="I3747" s="1" t="str">
        <f aca="false">CONCATENATE(F3747,G3747,H3747)</f>
        <v>400</v>
      </c>
      <c r="J3747" s="1" t="str">
        <f aca="false">_xlfn.IFS(AND(F3747&gt;=8,G3747&gt;=8,H3747&gt;=8),"CHAMPION",AND(F3747&gt;=6,G3747&gt;=7,H3747&gt;=6),"LOYAL CUSTOMER",AND(F3747&gt;=6,G3747&gt;=5,H3747&gt;=5),"POTENTIAL LOYALIST",AND(F3747&gt;=8,G3747&lt;=2,H3747&gt;=5),"NEW CUSTOMERS",AND(F3747&gt;=6,G3747&lt;=2,H3747&gt;=3),"PROMISING",AND(F3747&gt;=3,G3747&gt;=3,H3747&gt;=3),"NEED ATTENTION",AND(F3747&lt;=4,G3747&gt;=6,H3747&gt;=6),"AT RISK",AND(F3747&lt;=2,G3747&gt;=8,H3747&gt;=8),"CAN'T LOSE THEM",AND(F3747&lt;=2,G3747&lt;=2,H3747&lt;=2),"HIBERNATING",TRUE(),"Other")</f>
        <v>Other</v>
      </c>
      <c r="K3747" s="1" t="n">
        <f aca="false">RANK(E3747,$E$7:$E$4378)+COUNTIF($E$7:E3747,E3747)-1</f>
        <v>4156</v>
      </c>
    </row>
    <row r="3748" customFormat="false" ht="14.25" hidden="false" customHeight="true" outlineLevel="0" collapsed="false">
      <c r="A3748" s="51" t="n">
        <v>17428</v>
      </c>
      <c r="B3748" s="53" t="n">
        <v>40886.40625</v>
      </c>
      <c r="C3748" s="57" t="n">
        <f aca="false">INT($C$2)-INT(Table3[[#This Row],[Last Purchase Date]])</f>
        <v>1</v>
      </c>
      <c r="D3748" s="1" t="n">
        <v>33</v>
      </c>
      <c r="E3748" s="1" t="n">
        <v>17078.45</v>
      </c>
      <c r="F3748" s="1" t="n">
        <f aca="false">ROUND((1-_xlfn.PERCENTRANK.INC($C$7:$C$4378,C3748))*9,0)</f>
        <v>9</v>
      </c>
      <c r="G3748" s="1" t="n">
        <f aca="false">ROUND(_xlfn.PERCENTRANK.INC($D$7:$D$4378,D3748)*9,0)</f>
        <v>9</v>
      </c>
      <c r="H3748" s="1" t="n">
        <f aca="false">ROUND(_xlfn.PERCENTRANK.INC($E$7:$E$4378,E3748)*9,0)</f>
        <v>9</v>
      </c>
      <c r="I3748" s="1" t="str">
        <f aca="false">CONCATENATE(F3748,G3748,H3748)</f>
        <v>999</v>
      </c>
      <c r="J3748" s="1" t="str">
        <f aca="false">_xlfn.IFS(AND(F3748&gt;=8,G3748&gt;=8,H3748&gt;=8),"CHAMPION",AND(F3748&gt;=6,G3748&gt;=7,H3748&gt;=6),"LOYAL CUSTOMER",AND(F3748&gt;=6,G3748&gt;=5,H3748&gt;=5),"POTENTIAL LOYALIST",AND(F3748&gt;=8,G3748&lt;=2,H3748&gt;=5),"NEW CUSTOMERS",AND(F3748&gt;=6,G3748&lt;=2,H3748&gt;=3),"PROMISING",AND(F3748&gt;=3,G3748&gt;=3,H3748&gt;=3),"NEED ATTENTION",AND(F3748&lt;=4,G3748&gt;=6,H3748&gt;=6),"AT RISK",AND(F3748&lt;=2,G3748&gt;=8,H3748&gt;=8),"CAN'T LOSE THEM",AND(F3748&lt;=2,G3748&lt;=2,H3748&lt;=2),"HIBERNATING",TRUE(),"Other")</f>
        <v>CHAMPION</v>
      </c>
      <c r="K3748" s="1" t="n">
        <f aca="false">RANK(E3748,$E$7:$E$4378)+COUNTIF($E$7:E3748,E3748)-1</f>
        <v>45</v>
      </c>
    </row>
    <row r="3749" customFormat="false" ht="14.25" hidden="false" customHeight="true" outlineLevel="0" collapsed="false">
      <c r="A3749" s="51" t="n">
        <v>17429</v>
      </c>
      <c r="B3749" s="53" t="n">
        <v>40766.4256944444</v>
      </c>
      <c r="C3749" s="57" t="n">
        <f aca="false">INT($C$2)-INT(Table3[[#This Row],[Last Purchase Date]])</f>
        <v>121</v>
      </c>
      <c r="D3749" s="1" t="n">
        <v>4</v>
      </c>
      <c r="E3749" s="1" t="n">
        <v>512.12</v>
      </c>
      <c r="F3749" s="1" t="n">
        <f aca="false">ROUND((1-_xlfn.PERCENTRANK.INC($C$7:$C$4378,C3749))*9,0)</f>
        <v>3</v>
      </c>
      <c r="G3749" s="1" t="n">
        <f aca="false">ROUND(_xlfn.PERCENTRANK.INC($D$7:$D$4378,D3749)*9,0)</f>
        <v>5</v>
      </c>
      <c r="H3749" s="1" t="n">
        <f aca="false">ROUND(_xlfn.PERCENTRANK.INC($E$7:$E$4378,E3749)*9,0)</f>
        <v>4</v>
      </c>
      <c r="I3749" s="1" t="str">
        <f aca="false">CONCATENATE(F3749,G3749,H3749)</f>
        <v>354</v>
      </c>
      <c r="J3749" s="1" t="str">
        <f aca="false">_xlfn.IFS(AND(F3749&gt;=8,G3749&gt;=8,H3749&gt;=8),"CHAMPION",AND(F3749&gt;=6,G3749&gt;=7,H3749&gt;=6),"LOYAL CUSTOMER",AND(F3749&gt;=6,G3749&gt;=5,H3749&gt;=5),"POTENTIAL LOYALIST",AND(F3749&gt;=8,G3749&lt;=2,H3749&gt;=5),"NEW CUSTOMERS",AND(F3749&gt;=6,G3749&lt;=2,H3749&gt;=3),"PROMISING",AND(F3749&gt;=3,G3749&gt;=3,H3749&gt;=3),"NEED ATTENTION",AND(F3749&lt;=4,G3749&gt;=6,H3749&gt;=6),"AT RISK",AND(F3749&lt;=2,G3749&gt;=8,H3749&gt;=8),"CAN'T LOSE THEM",AND(F3749&lt;=2,G3749&lt;=2,H3749&lt;=2),"HIBERNATING",TRUE(),"Other")</f>
        <v>NEED ATTENTION</v>
      </c>
      <c r="K3749" s="1" t="n">
        <f aca="false">RANK(E3749,$E$7:$E$4378)+COUNTIF($E$7:E3749,E3749)-1</f>
        <v>2509</v>
      </c>
    </row>
    <row r="3750" customFormat="false" ht="14.25" hidden="false" customHeight="true" outlineLevel="0" collapsed="false">
      <c r="A3750" s="51" t="n">
        <v>17430</v>
      </c>
      <c r="B3750" s="53" t="n">
        <v>40854.3916666667</v>
      </c>
      <c r="C3750" s="57" t="n">
        <f aca="false">INT($C$2)-INT(Table3[[#This Row],[Last Purchase Date]])</f>
        <v>33</v>
      </c>
      <c r="D3750" s="1" t="n">
        <v>2</v>
      </c>
      <c r="E3750" s="1" t="n">
        <v>265.76</v>
      </c>
      <c r="F3750" s="1" t="n">
        <f aca="false">ROUND((1-_xlfn.PERCENTRANK.INC($C$7:$C$4378,C3750))*9,0)</f>
        <v>5</v>
      </c>
      <c r="G3750" s="1" t="n">
        <f aca="false">ROUND(_xlfn.PERCENTRANK.INC($D$7:$D$4378,D3750)*9,0)</f>
        <v>3</v>
      </c>
      <c r="H3750" s="1" t="n">
        <f aca="false">ROUND(_xlfn.PERCENTRANK.INC($E$7:$E$4378,E3750)*9,0)</f>
        <v>2</v>
      </c>
      <c r="I3750" s="1" t="str">
        <f aca="false">CONCATENATE(F3750,G3750,H3750)</f>
        <v>532</v>
      </c>
      <c r="J3750" s="1" t="str">
        <f aca="false">_xlfn.IFS(AND(F3750&gt;=8,G3750&gt;=8,H3750&gt;=8),"CHAMPION",AND(F3750&gt;=6,G3750&gt;=7,H3750&gt;=6),"LOYAL CUSTOMER",AND(F3750&gt;=6,G3750&gt;=5,H3750&gt;=5),"POTENTIAL LOYALIST",AND(F3750&gt;=8,G3750&lt;=2,H3750&gt;=5),"NEW CUSTOMERS",AND(F3750&gt;=6,G3750&lt;=2,H3750&gt;=3),"PROMISING",AND(F3750&gt;=3,G3750&gt;=3,H3750&gt;=3),"NEED ATTENTION",AND(F3750&lt;=4,G3750&gt;=6,H3750&gt;=6),"AT RISK",AND(F3750&lt;=2,G3750&gt;=8,H3750&gt;=8),"CAN'T LOSE THEM",AND(F3750&lt;=2,G3750&lt;=2,H3750&lt;=2),"HIBERNATING",TRUE(),"Other")</f>
        <v>Other</v>
      </c>
      <c r="K3750" s="1" t="n">
        <f aca="false">RANK(E3750,$E$7:$E$4378)+COUNTIF($E$7:E3750,E3750)-1</f>
        <v>3380</v>
      </c>
    </row>
    <row r="3751" customFormat="false" ht="14.25" hidden="false" customHeight="true" outlineLevel="0" collapsed="false">
      <c r="A3751" s="51" t="n">
        <v>17431</v>
      </c>
      <c r="B3751" s="53" t="n">
        <v>40573.6083333333</v>
      </c>
      <c r="C3751" s="57" t="n">
        <f aca="false">INT($C$2)-INT(Table3[[#This Row],[Last Purchase Date]])</f>
        <v>314</v>
      </c>
      <c r="D3751" s="1" t="n">
        <v>1</v>
      </c>
      <c r="E3751" s="1" t="n">
        <v>403.3</v>
      </c>
      <c r="F3751" s="1" t="n">
        <f aca="false">ROUND((1-_xlfn.PERCENTRANK.INC($C$7:$C$4378,C3751))*9,0)</f>
        <v>0</v>
      </c>
      <c r="G3751" s="1" t="n">
        <f aca="false">ROUND(_xlfn.PERCENTRANK.INC($D$7:$D$4378,D3751)*9,0)</f>
        <v>0</v>
      </c>
      <c r="H3751" s="1" t="n">
        <f aca="false">ROUND(_xlfn.PERCENTRANK.INC($E$7:$E$4378,E3751)*9,0)</f>
        <v>3</v>
      </c>
      <c r="I3751" s="1" t="str">
        <f aca="false">CONCATENATE(F3751,G3751,H3751)</f>
        <v>003</v>
      </c>
      <c r="J3751" s="1" t="str">
        <f aca="false">_xlfn.IFS(AND(F3751&gt;=8,G3751&gt;=8,H3751&gt;=8),"CHAMPION",AND(F3751&gt;=6,G3751&gt;=7,H3751&gt;=6),"LOYAL CUSTOMER",AND(F3751&gt;=6,G3751&gt;=5,H3751&gt;=5),"POTENTIAL LOYALIST",AND(F3751&gt;=8,G3751&lt;=2,H3751&gt;=5),"NEW CUSTOMERS",AND(F3751&gt;=6,G3751&lt;=2,H3751&gt;=3),"PROMISING",AND(F3751&gt;=3,G3751&gt;=3,H3751&gt;=3),"NEED ATTENTION",AND(F3751&lt;=4,G3751&gt;=6,H3751&gt;=6),"AT RISK",AND(F3751&lt;=2,G3751&gt;=8,H3751&gt;=8),"CAN'T LOSE THEM",AND(F3751&lt;=2,G3751&lt;=2,H3751&lt;=2),"HIBERNATING",TRUE(),"Other")</f>
        <v>Other</v>
      </c>
      <c r="K3751" s="1" t="n">
        <f aca="false">RANK(E3751,$E$7:$E$4378)+COUNTIF($E$7:E3751,E3751)-1</f>
        <v>2812</v>
      </c>
    </row>
    <row r="3752" customFormat="false" ht="14.25" hidden="false" customHeight="true" outlineLevel="0" collapsed="false">
      <c r="A3752" s="51" t="n">
        <v>17432</v>
      </c>
      <c r="B3752" s="53" t="n">
        <v>40868.73125</v>
      </c>
      <c r="C3752" s="57" t="n">
        <f aca="false">INT($C$2)-INT(Table3[[#This Row],[Last Purchase Date]])</f>
        <v>19</v>
      </c>
      <c r="D3752" s="1" t="n">
        <v>2</v>
      </c>
      <c r="E3752" s="1" t="n">
        <v>365.76</v>
      </c>
      <c r="F3752" s="1" t="n">
        <f aca="false">ROUND((1-_xlfn.PERCENTRANK.INC($C$7:$C$4378,C3752))*9,0)</f>
        <v>7</v>
      </c>
      <c r="G3752" s="1" t="n">
        <f aca="false">ROUND(_xlfn.PERCENTRANK.INC($D$7:$D$4378,D3752)*9,0)</f>
        <v>3</v>
      </c>
      <c r="H3752" s="1" t="n">
        <f aca="false">ROUND(_xlfn.PERCENTRANK.INC($E$7:$E$4378,E3752)*9,0)</f>
        <v>3</v>
      </c>
      <c r="I3752" s="1" t="str">
        <f aca="false">CONCATENATE(F3752,G3752,H3752)</f>
        <v>733</v>
      </c>
      <c r="J3752" s="1" t="str">
        <f aca="false">_xlfn.IFS(AND(F3752&gt;=8,G3752&gt;=8,H3752&gt;=8),"CHAMPION",AND(F3752&gt;=6,G3752&gt;=7,H3752&gt;=6),"LOYAL CUSTOMER",AND(F3752&gt;=6,G3752&gt;=5,H3752&gt;=5),"POTENTIAL LOYALIST",AND(F3752&gt;=8,G3752&lt;=2,H3752&gt;=5),"NEW CUSTOMERS",AND(F3752&gt;=6,G3752&lt;=2,H3752&gt;=3),"PROMISING",AND(F3752&gt;=3,G3752&gt;=3,H3752&gt;=3),"NEED ATTENTION",AND(F3752&lt;=4,G3752&gt;=6,H3752&gt;=6),"AT RISK",AND(F3752&lt;=2,G3752&gt;=8,H3752&gt;=8),"CAN'T LOSE THEM",AND(F3752&lt;=2,G3752&lt;=2,H3752&lt;=2),"HIBERNATING",TRUE(),"Other")</f>
        <v>NEED ATTENTION</v>
      </c>
      <c r="K3752" s="1" t="n">
        <f aca="false">RANK(E3752,$E$7:$E$4378)+COUNTIF($E$7:E3752,E3752)-1</f>
        <v>2935</v>
      </c>
    </row>
    <row r="3753" customFormat="false" ht="14.25" hidden="false" customHeight="true" outlineLevel="0" collapsed="false">
      <c r="A3753" s="51" t="n">
        <v>17433</v>
      </c>
      <c r="B3753" s="53" t="n">
        <v>40798.6</v>
      </c>
      <c r="C3753" s="57" t="n">
        <f aca="false">INT($C$2)-INT(Table3[[#This Row],[Last Purchase Date]])</f>
        <v>89</v>
      </c>
      <c r="D3753" s="1" t="n">
        <v>1</v>
      </c>
      <c r="E3753" s="1" t="n">
        <v>303.16</v>
      </c>
      <c r="F3753" s="1" t="n">
        <f aca="false">ROUND((1-_xlfn.PERCENTRANK.INC($C$7:$C$4378,C3753))*9,0)</f>
        <v>3</v>
      </c>
      <c r="G3753" s="1" t="n">
        <f aca="false">ROUND(_xlfn.PERCENTRANK.INC($D$7:$D$4378,D3753)*9,0)</f>
        <v>0</v>
      </c>
      <c r="H3753" s="1" t="n">
        <f aca="false">ROUND(_xlfn.PERCENTRANK.INC($E$7:$E$4378,E3753)*9,0)</f>
        <v>2</v>
      </c>
      <c r="I3753" s="1" t="str">
        <f aca="false">CONCATENATE(F3753,G3753,H3753)</f>
        <v>302</v>
      </c>
      <c r="J3753" s="1" t="str">
        <f aca="false">_xlfn.IFS(AND(F3753&gt;=8,G3753&gt;=8,H3753&gt;=8),"CHAMPION",AND(F3753&gt;=6,G3753&gt;=7,H3753&gt;=6),"LOYAL CUSTOMER",AND(F3753&gt;=6,G3753&gt;=5,H3753&gt;=5),"POTENTIAL LOYALIST",AND(F3753&gt;=8,G3753&lt;=2,H3753&gt;=5),"NEW CUSTOMERS",AND(F3753&gt;=6,G3753&lt;=2,H3753&gt;=3),"PROMISING",AND(F3753&gt;=3,G3753&gt;=3,H3753&gt;=3),"NEED ATTENTION",AND(F3753&lt;=4,G3753&gt;=6,H3753&gt;=6),"AT RISK",AND(F3753&lt;=2,G3753&gt;=8,H3753&gt;=8),"CAN'T LOSE THEM",AND(F3753&lt;=2,G3753&lt;=2,H3753&lt;=2),"HIBERNATING",TRUE(),"Other")</f>
        <v>Other</v>
      </c>
      <c r="K3753" s="1" t="n">
        <f aca="false">RANK(E3753,$E$7:$E$4378)+COUNTIF($E$7:E3753,E3753)-1</f>
        <v>3236</v>
      </c>
    </row>
    <row r="3754" customFormat="false" ht="14.25" hidden="false" customHeight="true" outlineLevel="0" collapsed="false">
      <c r="A3754" s="51" t="n">
        <v>17434</v>
      </c>
      <c r="B3754" s="53" t="n">
        <v>40884.5527777778</v>
      </c>
      <c r="C3754" s="57" t="n">
        <f aca="false">INT($C$2)-INT(Table3[[#This Row],[Last Purchase Date]])</f>
        <v>3</v>
      </c>
      <c r="D3754" s="1" t="n">
        <v>9</v>
      </c>
      <c r="E3754" s="1" t="n">
        <v>2333.42</v>
      </c>
      <c r="F3754" s="1" t="n">
        <f aca="false">ROUND((1-_xlfn.PERCENTRANK.INC($C$7:$C$4378,C3754))*9,0)</f>
        <v>9</v>
      </c>
      <c r="G3754" s="1" t="n">
        <f aca="false">ROUND(_xlfn.PERCENTRANK.INC($D$7:$D$4378,D3754)*9,0)</f>
        <v>8</v>
      </c>
      <c r="H3754" s="1" t="n">
        <f aca="false">ROUND(_xlfn.PERCENTRANK.INC($E$7:$E$4378,E3754)*9,0)</f>
        <v>7</v>
      </c>
      <c r="I3754" s="1" t="str">
        <f aca="false">CONCATENATE(F3754,G3754,H3754)</f>
        <v>987</v>
      </c>
      <c r="J3754" s="1" t="str">
        <f aca="false">_xlfn.IFS(AND(F3754&gt;=8,G3754&gt;=8,H3754&gt;=8),"CHAMPION",AND(F3754&gt;=6,G3754&gt;=7,H3754&gt;=6),"LOYAL CUSTOMER",AND(F3754&gt;=6,G3754&gt;=5,H3754&gt;=5),"POTENTIAL LOYALIST",AND(F3754&gt;=8,G3754&lt;=2,H3754&gt;=5),"NEW CUSTOMERS",AND(F3754&gt;=6,G3754&lt;=2,H3754&gt;=3),"PROMISING",AND(F3754&gt;=3,G3754&gt;=3,H3754&gt;=3),"NEED ATTENTION",AND(F3754&lt;=4,G3754&gt;=6,H3754&gt;=6),"AT RISK",AND(F3754&lt;=2,G3754&gt;=8,H3754&gt;=8),"CAN'T LOSE THEM",AND(F3754&lt;=2,G3754&lt;=2,H3754&lt;=2),"HIBERNATING",TRUE(),"Other")</f>
        <v>LOYAL CUSTOMER</v>
      </c>
      <c r="K3754" s="1" t="n">
        <f aca="false">RANK(E3754,$E$7:$E$4378)+COUNTIF($E$7:E3754,E3754)-1</f>
        <v>730</v>
      </c>
    </row>
    <row r="3755" customFormat="false" ht="14.25" hidden="false" customHeight="true" outlineLevel="0" collapsed="false">
      <c r="A3755" s="51" t="n">
        <v>17436</v>
      </c>
      <c r="B3755" s="53" t="n">
        <v>40885.5208333333</v>
      </c>
      <c r="C3755" s="57" t="n">
        <f aca="false">INT($C$2)-INT(Table3[[#This Row],[Last Purchase Date]])</f>
        <v>2</v>
      </c>
      <c r="D3755" s="1" t="n">
        <v>2</v>
      </c>
      <c r="E3755" s="1" t="n">
        <v>216.3</v>
      </c>
      <c r="F3755" s="1" t="n">
        <f aca="false">ROUND((1-_xlfn.PERCENTRANK.INC($C$7:$C$4378,C3755))*9,0)</f>
        <v>9</v>
      </c>
      <c r="G3755" s="1" t="n">
        <f aca="false">ROUND(_xlfn.PERCENTRANK.INC($D$7:$D$4378,D3755)*9,0)</f>
        <v>3</v>
      </c>
      <c r="H3755" s="1" t="n">
        <f aca="false">ROUND(_xlfn.PERCENTRANK.INC($E$7:$E$4378,E3755)*9,0)</f>
        <v>2</v>
      </c>
      <c r="I3755" s="1" t="str">
        <f aca="false">CONCATENATE(F3755,G3755,H3755)</f>
        <v>932</v>
      </c>
      <c r="J3755" s="1" t="str">
        <f aca="false">_xlfn.IFS(AND(F3755&gt;=8,G3755&gt;=8,H3755&gt;=8),"CHAMPION",AND(F3755&gt;=6,G3755&gt;=7,H3755&gt;=6),"LOYAL CUSTOMER",AND(F3755&gt;=6,G3755&gt;=5,H3755&gt;=5),"POTENTIAL LOYALIST",AND(F3755&gt;=8,G3755&lt;=2,H3755&gt;=5),"NEW CUSTOMERS",AND(F3755&gt;=6,G3755&lt;=2,H3755&gt;=3),"PROMISING",AND(F3755&gt;=3,G3755&gt;=3,H3755&gt;=3),"NEED ATTENTION",AND(F3755&lt;=4,G3755&gt;=6,H3755&gt;=6),"AT RISK",AND(F3755&lt;=2,G3755&gt;=8,H3755&gt;=8),"CAN'T LOSE THEM",AND(F3755&lt;=2,G3755&lt;=2,H3755&lt;=2),"HIBERNATING",TRUE(),"Other")</f>
        <v>Other</v>
      </c>
      <c r="K3755" s="1" t="n">
        <f aca="false">RANK(E3755,$E$7:$E$4378)+COUNTIF($E$7:E3755,E3755)-1</f>
        <v>3578</v>
      </c>
    </row>
    <row r="3756" customFormat="false" ht="14.25" hidden="false" customHeight="true" outlineLevel="0" collapsed="false">
      <c r="A3756" s="51" t="n">
        <v>17438</v>
      </c>
      <c r="B3756" s="53" t="n">
        <v>40639.7194444445</v>
      </c>
      <c r="C3756" s="57" t="n">
        <f aca="false">INT($C$2)-INT(Table3[[#This Row],[Last Purchase Date]])</f>
        <v>248</v>
      </c>
      <c r="D3756" s="1" t="n">
        <v>2</v>
      </c>
      <c r="E3756" s="1" t="n">
        <v>378.3</v>
      </c>
      <c r="F3756" s="1" t="n">
        <f aca="false">ROUND((1-_xlfn.PERCENTRANK.INC($C$7:$C$4378,C3756))*9,0)</f>
        <v>1</v>
      </c>
      <c r="G3756" s="1" t="n">
        <f aca="false">ROUND(_xlfn.PERCENTRANK.INC($D$7:$D$4378,D3756)*9,0)</f>
        <v>3</v>
      </c>
      <c r="H3756" s="1" t="n">
        <f aca="false">ROUND(_xlfn.PERCENTRANK.INC($E$7:$E$4378,E3756)*9,0)</f>
        <v>3</v>
      </c>
      <c r="I3756" s="1" t="str">
        <f aca="false">CONCATENATE(F3756,G3756,H3756)</f>
        <v>133</v>
      </c>
      <c r="J3756" s="1" t="str">
        <f aca="false">_xlfn.IFS(AND(F3756&gt;=8,G3756&gt;=8,H3756&gt;=8),"CHAMPION",AND(F3756&gt;=6,G3756&gt;=7,H3756&gt;=6),"LOYAL CUSTOMER",AND(F3756&gt;=6,G3756&gt;=5,H3756&gt;=5),"POTENTIAL LOYALIST",AND(F3756&gt;=8,G3756&lt;=2,H3756&gt;=5),"NEW CUSTOMERS",AND(F3756&gt;=6,G3756&lt;=2,H3756&gt;=3),"PROMISING",AND(F3756&gt;=3,G3756&gt;=3,H3756&gt;=3),"NEED ATTENTION",AND(F3756&lt;=4,G3756&gt;=6,H3756&gt;=6),"AT RISK",AND(F3756&lt;=2,G3756&gt;=8,H3756&gt;=8),"CAN'T LOSE THEM",AND(F3756&lt;=2,G3756&lt;=2,H3756&lt;=2),"HIBERNATING",TRUE(),"Other")</f>
        <v>Other</v>
      </c>
      <c r="K3756" s="1" t="n">
        <f aca="false">RANK(E3756,$E$7:$E$4378)+COUNTIF($E$7:E3756,E3756)-1</f>
        <v>2904</v>
      </c>
    </row>
    <row r="3757" customFormat="false" ht="14.25" hidden="false" customHeight="true" outlineLevel="0" collapsed="false">
      <c r="A3757" s="51" t="n">
        <v>17440</v>
      </c>
      <c r="B3757" s="53" t="n">
        <v>40739.4416666667</v>
      </c>
      <c r="C3757" s="57" t="n">
        <f aca="false">INT($C$2)-INT(Table3[[#This Row],[Last Purchase Date]])</f>
        <v>148</v>
      </c>
      <c r="D3757" s="1" t="n">
        <v>5</v>
      </c>
      <c r="E3757" s="1" t="n">
        <v>177.1</v>
      </c>
      <c r="F3757" s="1" t="n">
        <f aca="false">ROUND((1-_xlfn.PERCENTRANK.INC($C$7:$C$4378,C3757))*9,0)</f>
        <v>2</v>
      </c>
      <c r="G3757" s="1" t="n">
        <f aca="false">ROUND(_xlfn.PERCENTRANK.INC($D$7:$D$4378,D3757)*9,0)</f>
        <v>6</v>
      </c>
      <c r="H3757" s="1" t="n">
        <f aca="false">ROUND(_xlfn.PERCENTRANK.INC($E$7:$E$4378,E3757)*9,0)</f>
        <v>1</v>
      </c>
      <c r="I3757" s="1" t="str">
        <f aca="false">CONCATENATE(F3757,G3757,H3757)</f>
        <v>261</v>
      </c>
      <c r="J3757" s="1" t="str">
        <f aca="false">_xlfn.IFS(AND(F3757&gt;=8,G3757&gt;=8,H3757&gt;=8),"CHAMPION",AND(F3757&gt;=6,G3757&gt;=7,H3757&gt;=6),"LOYAL CUSTOMER",AND(F3757&gt;=6,G3757&gt;=5,H3757&gt;=5),"POTENTIAL LOYALIST",AND(F3757&gt;=8,G3757&lt;=2,H3757&gt;=5),"NEW CUSTOMERS",AND(F3757&gt;=6,G3757&lt;=2,H3757&gt;=3),"PROMISING",AND(F3757&gt;=3,G3757&gt;=3,H3757&gt;=3),"NEED ATTENTION",AND(F3757&lt;=4,G3757&gt;=6,H3757&gt;=6),"AT RISK",AND(F3757&lt;=2,G3757&gt;=8,H3757&gt;=8),"CAN'T LOSE THEM",AND(F3757&lt;=2,G3757&lt;=2,H3757&lt;=2),"HIBERNATING",TRUE(),"Other")</f>
        <v>Other</v>
      </c>
      <c r="K3757" s="1" t="n">
        <f aca="false">RANK(E3757,$E$7:$E$4378)+COUNTIF($E$7:E3757,E3757)-1</f>
        <v>3771</v>
      </c>
    </row>
    <row r="3758" customFormat="false" ht="14.25" hidden="false" customHeight="true" outlineLevel="0" collapsed="false">
      <c r="A3758" s="51" t="n">
        <v>17442</v>
      </c>
      <c r="B3758" s="53" t="n">
        <v>40857.6208333333</v>
      </c>
      <c r="C3758" s="57" t="n">
        <f aca="false">INT($C$2)-INT(Table3[[#This Row],[Last Purchase Date]])</f>
        <v>30</v>
      </c>
      <c r="D3758" s="1" t="n">
        <v>10</v>
      </c>
      <c r="E3758" s="1" t="n">
        <v>2210.26</v>
      </c>
      <c r="F3758" s="1" t="n">
        <f aca="false">ROUND((1-_xlfn.PERCENTRANK.INC($C$7:$C$4378,C3758))*9,0)</f>
        <v>6</v>
      </c>
      <c r="G3758" s="1" t="n">
        <f aca="false">ROUND(_xlfn.PERCENTRANK.INC($D$7:$D$4378,D3758)*9,0)</f>
        <v>8</v>
      </c>
      <c r="H3758" s="1" t="n">
        <f aca="false">ROUND(_xlfn.PERCENTRANK.INC($E$7:$E$4378,E3758)*9,0)</f>
        <v>7</v>
      </c>
      <c r="I3758" s="1" t="str">
        <f aca="false">CONCATENATE(F3758,G3758,H3758)</f>
        <v>687</v>
      </c>
      <c r="J3758" s="1" t="str">
        <f aca="false">_xlfn.IFS(AND(F3758&gt;=8,G3758&gt;=8,H3758&gt;=8),"CHAMPION",AND(F3758&gt;=6,G3758&gt;=7,H3758&gt;=6),"LOYAL CUSTOMER",AND(F3758&gt;=6,G3758&gt;=5,H3758&gt;=5),"POTENTIAL LOYALIST",AND(F3758&gt;=8,G3758&lt;=2,H3758&gt;=5),"NEW CUSTOMERS",AND(F3758&gt;=6,G3758&lt;=2,H3758&gt;=3),"PROMISING",AND(F3758&gt;=3,G3758&gt;=3,H3758&gt;=3),"NEED ATTENTION",AND(F3758&lt;=4,G3758&gt;=6,H3758&gt;=6),"AT RISK",AND(F3758&lt;=2,G3758&gt;=8,H3758&gt;=8),"CAN'T LOSE THEM",AND(F3758&lt;=2,G3758&lt;=2,H3758&lt;=2),"HIBERNATING",TRUE(),"Other")</f>
        <v>LOYAL CUSTOMER</v>
      </c>
      <c r="K3758" s="1" t="n">
        <f aca="false">RANK(E3758,$E$7:$E$4378)+COUNTIF($E$7:E3758,E3758)-1</f>
        <v>775</v>
      </c>
    </row>
    <row r="3759" customFormat="false" ht="14.25" hidden="false" customHeight="true" outlineLevel="0" collapsed="false">
      <c r="A3759" s="51" t="n">
        <v>17443</v>
      </c>
      <c r="B3759" s="53" t="n">
        <v>40667.4493055556</v>
      </c>
      <c r="C3759" s="57" t="n">
        <f aca="false">INT($C$2)-INT(Table3[[#This Row],[Last Purchase Date]])</f>
        <v>220</v>
      </c>
      <c r="D3759" s="1" t="n">
        <v>1</v>
      </c>
      <c r="E3759" s="1" t="n">
        <v>534.24</v>
      </c>
      <c r="F3759" s="1" t="n">
        <f aca="false">ROUND((1-_xlfn.PERCENTRANK.INC($C$7:$C$4378,C3759))*9,0)</f>
        <v>1</v>
      </c>
      <c r="G3759" s="1" t="n">
        <f aca="false">ROUND(_xlfn.PERCENTRANK.INC($D$7:$D$4378,D3759)*9,0)</f>
        <v>0</v>
      </c>
      <c r="H3759" s="1" t="n">
        <f aca="false">ROUND(_xlfn.PERCENTRANK.INC($E$7:$E$4378,E3759)*9,0)</f>
        <v>4</v>
      </c>
      <c r="I3759" s="1" t="str">
        <f aca="false">CONCATENATE(F3759,G3759,H3759)</f>
        <v>104</v>
      </c>
      <c r="J3759" s="1" t="str">
        <f aca="false">_xlfn.IFS(AND(F3759&gt;=8,G3759&gt;=8,H3759&gt;=8),"CHAMPION",AND(F3759&gt;=6,G3759&gt;=7,H3759&gt;=6),"LOYAL CUSTOMER",AND(F3759&gt;=6,G3759&gt;=5,H3759&gt;=5),"POTENTIAL LOYALIST",AND(F3759&gt;=8,G3759&lt;=2,H3759&gt;=5),"NEW CUSTOMERS",AND(F3759&gt;=6,G3759&lt;=2,H3759&gt;=3),"PROMISING",AND(F3759&gt;=3,G3759&gt;=3,H3759&gt;=3),"NEED ATTENTION",AND(F3759&lt;=4,G3759&gt;=6,H3759&gt;=6),"AT RISK",AND(F3759&lt;=2,G3759&gt;=8,H3759&gt;=8),"CAN'T LOSE THEM",AND(F3759&lt;=2,G3759&lt;=2,H3759&lt;=2),"HIBERNATING",TRUE(),"Other")</f>
        <v>Other</v>
      </c>
      <c r="K3759" s="1" t="n">
        <f aca="false">RANK(E3759,$E$7:$E$4378)+COUNTIF($E$7:E3759,E3759)-1</f>
        <v>2475</v>
      </c>
    </row>
    <row r="3760" customFormat="false" ht="14.25" hidden="false" customHeight="true" outlineLevel="0" collapsed="false">
      <c r="A3760" s="51" t="n">
        <v>17444</v>
      </c>
      <c r="B3760" s="53" t="n">
        <v>40739.5034722222</v>
      </c>
      <c r="C3760" s="57" t="n">
        <f aca="false">INT($C$2)-INT(Table3[[#This Row],[Last Purchase Date]])</f>
        <v>148</v>
      </c>
      <c r="D3760" s="1" t="n">
        <v>3</v>
      </c>
      <c r="E3760" s="1" t="n">
        <v>2940.04</v>
      </c>
      <c r="F3760" s="1" t="n">
        <f aca="false">ROUND((1-_xlfn.PERCENTRANK.INC($C$7:$C$4378,C3760))*9,0)</f>
        <v>2</v>
      </c>
      <c r="G3760" s="1" t="n">
        <f aca="false">ROUND(_xlfn.PERCENTRANK.INC($D$7:$D$4378,D3760)*9,0)</f>
        <v>4</v>
      </c>
      <c r="H3760" s="1" t="n">
        <f aca="false">ROUND(_xlfn.PERCENTRANK.INC($E$7:$E$4378,E3760)*9,0)</f>
        <v>8</v>
      </c>
      <c r="I3760" s="1" t="str">
        <f aca="false">CONCATENATE(F3760,G3760,H3760)</f>
        <v>248</v>
      </c>
      <c r="J3760" s="1" t="str">
        <f aca="false">_xlfn.IFS(AND(F3760&gt;=8,G3760&gt;=8,H3760&gt;=8),"CHAMPION",AND(F3760&gt;=6,G3760&gt;=7,H3760&gt;=6),"LOYAL CUSTOMER",AND(F3760&gt;=6,G3760&gt;=5,H3760&gt;=5),"POTENTIAL LOYALIST",AND(F3760&gt;=8,G3760&lt;=2,H3760&gt;=5),"NEW CUSTOMERS",AND(F3760&gt;=6,G3760&lt;=2,H3760&gt;=3),"PROMISING",AND(F3760&gt;=3,G3760&gt;=3,H3760&gt;=3),"NEED ATTENTION",AND(F3760&lt;=4,G3760&gt;=6,H3760&gt;=6),"AT RISK",AND(F3760&lt;=2,G3760&gt;=8,H3760&gt;=8),"CAN'T LOSE THEM",AND(F3760&lt;=2,G3760&lt;=2,H3760&lt;=2),"HIBERNATING",TRUE(),"Other")</f>
        <v>Other</v>
      </c>
      <c r="K3760" s="1" t="n">
        <f aca="false">RANK(E3760,$E$7:$E$4378)+COUNTIF($E$7:E3760,E3760)-1</f>
        <v>554</v>
      </c>
    </row>
    <row r="3761" customFormat="false" ht="14.25" hidden="false" customHeight="true" outlineLevel="0" collapsed="false">
      <c r="A3761" s="51" t="n">
        <v>17446</v>
      </c>
      <c r="B3761" s="53" t="n">
        <v>40710.4458333333</v>
      </c>
      <c r="C3761" s="57" t="n">
        <f aca="false">INT($C$2)-INT(Table3[[#This Row],[Last Purchase Date]])</f>
        <v>177</v>
      </c>
      <c r="D3761" s="1" t="n">
        <v>2</v>
      </c>
      <c r="E3761" s="1" t="n">
        <v>120.9</v>
      </c>
      <c r="F3761" s="1" t="n">
        <f aca="false">ROUND((1-_xlfn.PERCENTRANK.INC($C$7:$C$4378,C3761))*9,0)</f>
        <v>2</v>
      </c>
      <c r="G3761" s="1" t="n">
        <f aca="false">ROUND(_xlfn.PERCENTRANK.INC($D$7:$D$4378,D3761)*9,0)</f>
        <v>3</v>
      </c>
      <c r="H3761" s="1" t="n">
        <f aca="false">ROUND(_xlfn.PERCENTRANK.INC($E$7:$E$4378,E3761)*9,0)</f>
        <v>1</v>
      </c>
      <c r="I3761" s="1" t="str">
        <f aca="false">CONCATENATE(F3761,G3761,H3761)</f>
        <v>231</v>
      </c>
      <c r="J3761" s="1" t="str">
        <f aca="false">_xlfn.IFS(AND(F3761&gt;=8,G3761&gt;=8,H3761&gt;=8),"CHAMPION",AND(F3761&gt;=6,G3761&gt;=7,H3761&gt;=6),"LOYAL CUSTOMER",AND(F3761&gt;=6,G3761&gt;=5,H3761&gt;=5),"POTENTIAL LOYALIST",AND(F3761&gt;=8,G3761&lt;=2,H3761&gt;=5),"NEW CUSTOMERS",AND(F3761&gt;=6,G3761&lt;=2,H3761&gt;=3),"PROMISING",AND(F3761&gt;=3,G3761&gt;=3,H3761&gt;=3),"NEED ATTENTION",AND(F3761&lt;=4,G3761&gt;=6,H3761&gt;=6),"AT RISK",AND(F3761&lt;=2,G3761&gt;=8,H3761&gt;=8),"CAN'T LOSE THEM",AND(F3761&lt;=2,G3761&lt;=2,H3761&lt;=2),"HIBERNATING",TRUE(),"Other")</f>
        <v>Other</v>
      </c>
      <c r="K3761" s="1" t="n">
        <f aca="false">RANK(E3761,$E$7:$E$4378)+COUNTIF($E$7:E3761,E3761)-1</f>
        <v>4048</v>
      </c>
    </row>
    <row r="3762" customFormat="false" ht="14.25" hidden="false" customHeight="true" outlineLevel="0" collapsed="false">
      <c r="A3762" s="51" t="n">
        <v>17447</v>
      </c>
      <c r="B3762" s="53" t="n">
        <v>40846.5958333333</v>
      </c>
      <c r="C3762" s="57" t="n">
        <f aca="false">INT($C$2)-INT(Table3[[#This Row],[Last Purchase Date]])</f>
        <v>41</v>
      </c>
      <c r="D3762" s="1" t="n">
        <v>2</v>
      </c>
      <c r="E3762" s="1" t="n">
        <v>541.53</v>
      </c>
      <c r="F3762" s="1" t="n">
        <f aca="false">ROUND((1-_xlfn.PERCENTRANK.INC($C$7:$C$4378,C3762))*9,0)</f>
        <v>5</v>
      </c>
      <c r="G3762" s="1" t="n">
        <f aca="false">ROUND(_xlfn.PERCENTRANK.INC($D$7:$D$4378,D3762)*9,0)</f>
        <v>3</v>
      </c>
      <c r="H3762" s="1" t="n">
        <f aca="false">ROUND(_xlfn.PERCENTRANK.INC($E$7:$E$4378,E3762)*9,0)</f>
        <v>4</v>
      </c>
      <c r="I3762" s="1" t="str">
        <f aca="false">CONCATENATE(F3762,G3762,H3762)</f>
        <v>534</v>
      </c>
      <c r="J3762" s="1" t="str">
        <f aca="false">_xlfn.IFS(AND(F3762&gt;=8,G3762&gt;=8,H3762&gt;=8),"CHAMPION",AND(F3762&gt;=6,G3762&gt;=7,H3762&gt;=6),"LOYAL CUSTOMER",AND(F3762&gt;=6,G3762&gt;=5,H3762&gt;=5),"POTENTIAL LOYALIST",AND(F3762&gt;=8,G3762&lt;=2,H3762&gt;=5),"NEW CUSTOMERS",AND(F3762&gt;=6,G3762&lt;=2,H3762&gt;=3),"PROMISING",AND(F3762&gt;=3,G3762&gt;=3,H3762&gt;=3),"NEED ATTENTION",AND(F3762&lt;=4,G3762&gt;=6,H3762&gt;=6),"AT RISK",AND(F3762&lt;=2,G3762&gt;=8,H3762&gt;=8),"CAN'T LOSE THEM",AND(F3762&lt;=2,G3762&lt;=2,H3762&lt;=2),"HIBERNATING",TRUE(),"Other")</f>
        <v>NEED ATTENTION</v>
      </c>
      <c r="K3762" s="1" t="n">
        <f aca="false">RANK(E3762,$E$7:$E$4378)+COUNTIF($E$7:E3762,E3762)-1</f>
        <v>2449</v>
      </c>
    </row>
    <row r="3763" customFormat="false" ht="14.25" hidden="false" customHeight="true" outlineLevel="0" collapsed="false">
      <c r="A3763" s="51" t="n">
        <v>17448</v>
      </c>
      <c r="B3763" s="53" t="n">
        <v>40742.5180555556</v>
      </c>
      <c r="C3763" s="57" t="n">
        <f aca="false">INT($C$2)-INT(Table3[[#This Row],[Last Purchase Date]])</f>
        <v>145</v>
      </c>
      <c r="D3763" s="1" t="n">
        <v>1</v>
      </c>
      <c r="E3763" s="1" t="n">
        <v>-4287.63</v>
      </c>
      <c r="F3763" s="1" t="n">
        <f aca="false">ROUND((1-_xlfn.PERCENTRANK.INC($C$7:$C$4378,C3763))*9,0)</f>
        <v>2</v>
      </c>
      <c r="G3763" s="1" t="n">
        <f aca="false">ROUND(_xlfn.PERCENTRANK.INC($D$7:$D$4378,D3763)*9,0)</f>
        <v>0</v>
      </c>
      <c r="H3763" s="1" t="n">
        <f aca="false">ROUND(_xlfn.PERCENTRANK.INC($E$7:$E$4378,E3763)*9,0)</f>
        <v>0</v>
      </c>
      <c r="I3763" s="1" t="str">
        <f aca="false">CONCATENATE(F3763,G3763,H3763)</f>
        <v>200</v>
      </c>
      <c r="J3763" s="1" t="str">
        <f aca="false">_xlfn.IFS(AND(F3763&gt;=8,G3763&gt;=8,H3763&gt;=8),"CHAMPION",AND(F3763&gt;=6,G3763&gt;=7,H3763&gt;=6),"LOYAL CUSTOMER",AND(F3763&gt;=6,G3763&gt;=5,H3763&gt;=5),"POTENTIAL LOYALIST",AND(F3763&gt;=8,G3763&lt;=2,H3763&gt;=5),"NEW CUSTOMERS",AND(F3763&gt;=6,G3763&lt;=2,H3763&gt;=3),"PROMISING",AND(F3763&gt;=3,G3763&gt;=3,H3763&gt;=3),"NEED ATTENTION",AND(F3763&lt;=4,G3763&gt;=6,H3763&gt;=6),"AT RISK",AND(F3763&lt;=2,G3763&gt;=8,H3763&gt;=8),"CAN'T LOSE THEM",AND(F3763&lt;=2,G3763&lt;=2,H3763&lt;=2),"HIBERNATING",TRUE(),"Other")</f>
        <v>HIBERNATING</v>
      </c>
      <c r="K3763" s="1" t="n">
        <f aca="false">RANK(E3763,$E$7:$E$4378)+COUNTIF($E$7:E3763,E3763)-1</f>
        <v>4372</v>
      </c>
    </row>
    <row r="3764" customFormat="false" ht="14.25" hidden="false" customHeight="true" outlineLevel="0" collapsed="false">
      <c r="A3764" s="51" t="n">
        <v>17449</v>
      </c>
      <c r="B3764" s="53" t="n">
        <v>40884.7055555556</v>
      </c>
      <c r="C3764" s="57" t="n">
        <f aca="false">INT($C$2)-INT(Table3[[#This Row],[Last Purchase Date]])</f>
        <v>3</v>
      </c>
      <c r="D3764" s="1" t="n">
        <v>8</v>
      </c>
      <c r="E3764" s="1" t="n">
        <v>2504.86</v>
      </c>
      <c r="F3764" s="1" t="n">
        <f aca="false">ROUND((1-_xlfn.PERCENTRANK.INC($C$7:$C$4378,C3764))*9,0)</f>
        <v>9</v>
      </c>
      <c r="G3764" s="1" t="n">
        <f aca="false">ROUND(_xlfn.PERCENTRANK.INC($D$7:$D$4378,D3764)*9,0)</f>
        <v>7</v>
      </c>
      <c r="H3764" s="1" t="n">
        <f aca="false">ROUND(_xlfn.PERCENTRANK.INC($E$7:$E$4378,E3764)*9,0)</f>
        <v>8</v>
      </c>
      <c r="I3764" s="1" t="str">
        <f aca="false">CONCATENATE(F3764,G3764,H3764)</f>
        <v>978</v>
      </c>
      <c r="J3764" s="1" t="str">
        <f aca="false">_xlfn.IFS(AND(F3764&gt;=8,G3764&gt;=8,H3764&gt;=8),"CHAMPION",AND(F3764&gt;=6,G3764&gt;=7,H3764&gt;=6),"LOYAL CUSTOMER",AND(F3764&gt;=6,G3764&gt;=5,H3764&gt;=5),"POTENTIAL LOYALIST",AND(F3764&gt;=8,G3764&lt;=2,H3764&gt;=5),"NEW CUSTOMERS",AND(F3764&gt;=6,G3764&lt;=2,H3764&gt;=3),"PROMISING",AND(F3764&gt;=3,G3764&gt;=3,H3764&gt;=3),"NEED ATTENTION",AND(F3764&lt;=4,G3764&gt;=6,H3764&gt;=6),"AT RISK",AND(F3764&lt;=2,G3764&gt;=8,H3764&gt;=8),"CAN'T LOSE THEM",AND(F3764&lt;=2,G3764&lt;=2,H3764&lt;=2),"HIBERNATING",TRUE(),"Other")</f>
        <v>LOYAL CUSTOMER</v>
      </c>
      <c r="K3764" s="1" t="n">
        <f aca="false">RANK(E3764,$E$7:$E$4378)+COUNTIF($E$7:E3764,E3764)-1</f>
        <v>680</v>
      </c>
    </row>
    <row r="3765" customFormat="false" ht="14.25" hidden="false" customHeight="true" outlineLevel="0" collapsed="false">
      <c r="A3765" s="51" t="n">
        <v>17450</v>
      </c>
      <c r="B3765" s="53" t="n">
        <v>40878.5618055556</v>
      </c>
      <c r="C3765" s="57" t="n">
        <f aca="false">INT($C$2)-INT(Table3[[#This Row],[Last Purchase Date]])</f>
        <v>9</v>
      </c>
      <c r="D3765" s="1" t="n">
        <v>55</v>
      </c>
      <c r="E3765" s="1" t="n">
        <v>187482.17</v>
      </c>
      <c r="F3765" s="1" t="n">
        <f aca="false">ROUND((1-_xlfn.PERCENTRANK.INC($C$7:$C$4378,C3765))*9,0)</f>
        <v>8</v>
      </c>
      <c r="G3765" s="1" t="n">
        <f aca="false">ROUND(_xlfn.PERCENTRANK.INC($D$7:$D$4378,D3765)*9,0)</f>
        <v>9</v>
      </c>
      <c r="H3765" s="1" t="n">
        <f aca="false">ROUND(_xlfn.PERCENTRANK.INC($E$7:$E$4378,E3765)*9,0)</f>
        <v>9</v>
      </c>
      <c r="I3765" s="1" t="str">
        <f aca="false">CONCATENATE(F3765,G3765,H3765)</f>
        <v>899</v>
      </c>
      <c r="J3765" s="1" t="str">
        <f aca="false">_xlfn.IFS(AND(F3765&gt;=8,G3765&gt;=8,H3765&gt;=8),"CHAMPION",AND(F3765&gt;=6,G3765&gt;=7,H3765&gt;=6),"LOYAL CUSTOMER",AND(F3765&gt;=6,G3765&gt;=5,H3765&gt;=5),"POTENTIAL LOYALIST",AND(F3765&gt;=8,G3765&lt;=2,H3765&gt;=5),"NEW CUSTOMERS",AND(F3765&gt;=6,G3765&lt;=2,H3765&gt;=3),"PROMISING",AND(F3765&gt;=3,G3765&gt;=3,H3765&gt;=3),"NEED ATTENTION",AND(F3765&lt;=4,G3765&gt;=6,H3765&gt;=6),"AT RISK",AND(F3765&lt;=2,G3765&gt;=8,H3765&gt;=8),"CAN'T LOSE THEM",AND(F3765&lt;=2,G3765&lt;=2,H3765&lt;=2),"HIBERNATING",TRUE(),"Other")</f>
        <v>CHAMPION</v>
      </c>
      <c r="K3765" s="1" t="n">
        <f aca="false">RANK(E3765,$E$7:$E$4378)+COUNTIF($E$7:E3765,E3765)-1</f>
        <v>3</v>
      </c>
    </row>
    <row r="3766" customFormat="false" ht="14.25" hidden="false" customHeight="true" outlineLevel="0" collapsed="false">
      <c r="A3766" s="51" t="n">
        <v>17451</v>
      </c>
      <c r="B3766" s="53" t="n">
        <v>40885.6263888889</v>
      </c>
      <c r="C3766" s="57" t="n">
        <f aca="false">INT($C$2)-INT(Table3[[#This Row],[Last Purchase Date]])</f>
        <v>2</v>
      </c>
      <c r="D3766" s="1" t="n">
        <v>10</v>
      </c>
      <c r="E3766" s="1" t="n">
        <v>1648.95</v>
      </c>
      <c r="F3766" s="1" t="n">
        <f aca="false">ROUND((1-_xlfn.PERCENTRANK.INC($C$7:$C$4378,C3766))*9,0)</f>
        <v>9</v>
      </c>
      <c r="G3766" s="1" t="n">
        <f aca="false">ROUND(_xlfn.PERCENTRANK.INC($D$7:$D$4378,D3766)*9,0)</f>
        <v>8</v>
      </c>
      <c r="H3766" s="1" t="n">
        <f aca="false">ROUND(_xlfn.PERCENTRANK.INC($E$7:$E$4378,E3766)*9,0)</f>
        <v>7</v>
      </c>
      <c r="I3766" s="1" t="str">
        <f aca="false">CONCATENATE(F3766,G3766,H3766)</f>
        <v>987</v>
      </c>
      <c r="J3766" s="1" t="str">
        <f aca="false">_xlfn.IFS(AND(F3766&gt;=8,G3766&gt;=8,H3766&gt;=8),"CHAMPION",AND(F3766&gt;=6,G3766&gt;=7,H3766&gt;=6),"LOYAL CUSTOMER",AND(F3766&gt;=6,G3766&gt;=5,H3766&gt;=5),"POTENTIAL LOYALIST",AND(F3766&gt;=8,G3766&lt;=2,H3766&gt;=5),"NEW CUSTOMERS",AND(F3766&gt;=6,G3766&lt;=2,H3766&gt;=3),"PROMISING",AND(F3766&gt;=3,G3766&gt;=3,H3766&gt;=3),"NEED ATTENTION",AND(F3766&lt;=4,G3766&gt;=6,H3766&gt;=6),"AT RISK",AND(F3766&lt;=2,G3766&gt;=8,H3766&gt;=8),"CAN'T LOSE THEM",AND(F3766&lt;=2,G3766&lt;=2,H3766&lt;=2),"HIBERNATING",TRUE(),"Other")</f>
        <v>LOYAL CUSTOMER</v>
      </c>
      <c r="K3766" s="1" t="n">
        <f aca="false">RANK(E3766,$E$7:$E$4378)+COUNTIF($E$7:E3766,E3766)-1</f>
        <v>1067</v>
      </c>
    </row>
    <row r="3767" customFormat="false" ht="14.25" hidden="false" customHeight="true" outlineLevel="0" collapsed="false">
      <c r="A3767" s="51" t="n">
        <v>17453</v>
      </c>
      <c r="B3767" s="53" t="n">
        <v>40869.4041666667</v>
      </c>
      <c r="C3767" s="57" t="n">
        <f aca="false">INT($C$2)-INT(Table3[[#This Row],[Last Purchase Date]])</f>
        <v>18</v>
      </c>
      <c r="D3767" s="1" t="n">
        <v>2</v>
      </c>
      <c r="E3767" s="1" t="n">
        <v>486.72</v>
      </c>
      <c r="F3767" s="1" t="n">
        <f aca="false">ROUND((1-_xlfn.PERCENTRANK.INC($C$7:$C$4378,C3767))*9,0)</f>
        <v>7</v>
      </c>
      <c r="G3767" s="1" t="n">
        <f aca="false">ROUND(_xlfn.PERCENTRANK.INC($D$7:$D$4378,D3767)*9,0)</f>
        <v>3</v>
      </c>
      <c r="H3767" s="1" t="n">
        <f aca="false">ROUND(_xlfn.PERCENTRANK.INC($E$7:$E$4378,E3767)*9,0)</f>
        <v>4</v>
      </c>
      <c r="I3767" s="1" t="str">
        <f aca="false">CONCATENATE(F3767,G3767,H3767)</f>
        <v>734</v>
      </c>
      <c r="J3767" s="1" t="str">
        <f aca="false">_xlfn.IFS(AND(F3767&gt;=8,G3767&gt;=8,H3767&gt;=8),"CHAMPION",AND(F3767&gt;=6,G3767&gt;=7,H3767&gt;=6),"LOYAL CUSTOMER",AND(F3767&gt;=6,G3767&gt;=5,H3767&gt;=5),"POTENTIAL LOYALIST",AND(F3767&gt;=8,G3767&lt;=2,H3767&gt;=5),"NEW CUSTOMERS",AND(F3767&gt;=6,G3767&lt;=2,H3767&gt;=3),"PROMISING",AND(F3767&gt;=3,G3767&gt;=3,H3767&gt;=3),"NEED ATTENTION",AND(F3767&lt;=4,G3767&gt;=6,H3767&gt;=6),"AT RISK",AND(F3767&lt;=2,G3767&gt;=8,H3767&gt;=8),"CAN'T LOSE THEM",AND(F3767&lt;=2,G3767&lt;=2,H3767&lt;=2),"HIBERNATING",TRUE(),"Other")</f>
        <v>NEED ATTENTION</v>
      </c>
      <c r="K3767" s="1" t="n">
        <f aca="false">RANK(E3767,$E$7:$E$4378)+COUNTIF($E$7:E3767,E3767)-1</f>
        <v>2577</v>
      </c>
    </row>
    <row r="3768" customFormat="false" ht="14.25" hidden="false" customHeight="true" outlineLevel="0" collapsed="false">
      <c r="A3768" s="51" t="n">
        <v>17454</v>
      </c>
      <c r="B3768" s="53" t="n">
        <v>40694.5819444444</v>
      </c>
      <c r="C3768" s="57" t="n">
        <f aca="false">INT($C$2)-INT(Table3[[#This Row],[Last Purchase Date]])</f>
        <v>193</v>
      </c>
      <c r="D3768" s="1" t="n">
        <v>4</v>
      </c>
      <c r="E3768" s="1" t="n">
        <v>517.53</v>
      </c>
      <c r="F3768" s="1" t="n">
        <f aca="false">ROUND((1-_xlfn.PERCENTRANK.INC($C$7:$C$4378,C3768))*9,0)</f>
        <v>2</v>
      </c>
      <c r="G3768" s="1" t="n">
        <f aca="false">ROUND(_xlfn.PERCENTRANK.INC($D$7:$D$4378,D3768)*9,0)</f>
        <v>5</v>
      </c>
      <c r="H3768" s="1" t="n">
        <f aca="false">ROUND(_xlfn.PERCENTRANK.INC($E$7:$E$4378,E3768)*9,0)</f>
        <v>4</v>
      </c>
      <c r="I3768" s="1" t="str">
        <f aca="false">CONCATENATE(F3768,G3768,H3768)</f>
        <v>254</v>
      </c>
      <c r="J3768" s="1" t="str">
        <f aca="false">_xlfn.IFS(AND(F3768&gt;=8,G3768&gt;=8,H3768&gt;=8),"CHAMPION",AND(F3768&gt;=6,G3768&gt;=7,H3768&gt;=6),"LOYAL CUSTOMER",AND(F3768&gt;=6,G3768&gt;=5,H3768&gt;=5),"POTENTIAL LOYALIST",AND(F3768&gt;=8,G3768&lt;=2,H3768&gt;=5),"NEW CUSTOMERS",AND(F3768&gt;=6,G3768&lt;=2,H3768&gt;=3),"PROMISING",AND(F3768&gt;=3,G3768&gt;=3,H3768&gt;=3),"NEED ATTENTION",AND(F3768&lt;=4,G3768&gt;=6,H3768&gt;=6),"AT RISK",AND(F3768&lt;=2,G3768&gt;=8,H3768&gt;=8),"CAN'T LOSE THEM",AND(F3768&lt;=2,G3768&lt;=2,H3768&lt;=2),"HIBERNATING",TRUE(),"Other")</f>
        <v>Other</v>
      </c>
      <c r="K3768" s="1" t="n">
        <f aca="false">RANK(E3768,$E$7:$E$4378)+COUNTIF($E$7:E3768,E3768)-1</f>
        <v>2503</v>
      </c>
    </row>
    <row r="3769" customFormat="false" ht="14.25" hidden="false" customHeight="true" outlineLevel="0" collapsed="false">
      <c r="A3769" s="51" t="n">
        <v>17455</v>
      </c>
      <c r="B3769" s="53" t="n">
        <v>40683.5215277778</v>
      </c>
      <c r="C3769" s="57" t="n">
        <f aca="false">INT($C$2)-INT(Table3[[#This Row],[Last Purchase Date]])</f>
        <v>204</v>
      </c>
      <c r="D3769" s="1" t="n">
        <v>1</v>
      </c>
      <c r="E3769" s="1" t="n">
        <v>131.7</v>
      </c>
      <c r="F3769" s="1" t="n">
        <f aca="false">ROUND((1-_xlfn.PERCENTRANK.INC($C$7:$C$4378,C3769))*9,0)</f>
        <v>2</v>
      </c>
      <c r="G3769" s="1" t="n">
        <f aca="false">ROUND(_xlfn.PERCENTRANK.INC($D$7:$D$4378,D3769)*9,0)</f>
        <v>0</v>
      </c>
      <c r="H3769" s="1" t="n">
        <f aca="false">ROUND(_xlfn.PERCENTRANK.INC($E$7:$E$4378,E3769)*9,0)</f>
        <v>1</v>
      </c>
      <c r="I3769" s="1" t="str">
        <f aca="false">CONCATENATE(F3769,G3769,H3769)</f>
        <v>201</v>
      </c>
      <c r="J3769" s="1" t="str">
        <f aca="false">_xlfn.IFS(AND(F3769&gt;=8,G3769&gt;=8,H3769&gt;=8),"CHAMPION",AND(F3769&gt;=6,G3769&gt;=7,H3769&gt;=6),"LOYAL CUSTOMER",AND(F3769&gt;=6,G3769&gt;=5,H3769&gt;=5),"POTENTIAL LOYALIST",AND(F3769&gt;=8,G3769&lt;=2,H3769&gt;=5),"NEW CUSTOMERS",AND(F3769&gt;=6,G3769&lt;=2,H3769&gt;=3),"PROMISING",AND(F3769&gt;=3,G3769&gt;=3,H3769&gt;=3),"NEED ATTENTION",AND(F3769&lt;=4,G3769&gt;=6,H3769&gt;=6),"AT RISK",AND(F3769&lt;=2,G3769&gt;=8,H3769&gt;=8),"CAN'T LOSE THEM",AND(F3769&lt;=2,G3769&lt;=2,H3769&lt;=2),"HIBERNATING",TRUE(),"Other")</f>
        <v>HIBERNATING</v>
      </c>
      <c r="K3769" s="1" t="n">
        <f aca="false">RANK(E3769,$E$7:$E$4378)+COUNTIF($E$7:E3769,E3769)-1</f>
        <v>4003</v>
      </c>
    </row>
    <row r="3770" customFormat="false" ht="14.25" hidden="false" customHeight="true" outlineLevel="0" collapsed="false">
      <c r="A3770" s="51" t="n">
        <v>17456</v>
      </c>
      <c r="B3770" s="53" t="n">
        <v>40521.6409722222</v>
      </c>
      <c r="C3770" s="57" t="n">
        <f aca="false">INT($C$2)-INT(Table3[[#This Row],[Last Purchase Date]])</f>
        <v>366</v>
      </c>
      <c r="D3770" s="1" t="n">
        <v>1</v>
      </c>
      <c r="E3770" s="1" t="n">
        <v>249.86</v>
      </c>
      <c r="F3770" s="1" t="n">
        <f aca="false">ROUND((1-_xlfn.PERCENTRANK.INC($C$7:$C$4378,C3770))*9,0)</f>
        <v>0</v>
      </c>
      <c r="G3770" s="1" t="n">
        <f aca="false">ROUND(_xlfn.PERCENTRANK.INC($D$7:$D$4378,D3770)*9,0)</f>
        <v>0</v>
      </c>
      <c r="H3770" s="1" t="n">
        <f aca="false">ROUND(_xlfn.PERCENTRANK.INC($E$7:$E$4378,E3770)*9,0)</f>
        <v>2</v>
      </c>
      <c r="I3770" s="1" t="str">
        <f aca="false">CONCATENATE(F3770,G3770,H3770)</f>
        <v>002</v>
      </c>
      <c r="J3770" s="1" t="str">
        <f aca="false">_xlfn.IFS(AND(F3770&gt;=8,G3770&gt;=8,H3770&gt;=8),"CHAMPION",AND(F3770&gt;=6,G3770&gt;=7,H3770&gt;=6),"LOYAL CUSTOMER",AND(F3770&gt;=6,G3770&gt;=5,H3770&gt;=5),"POTENTIAL LOYALIST",AND(F3770&gt;=8,G3770&lt;=2,H3770&gt;=5),"NEW CUSTOMERS",AND(F3770&gt;=6,G3770&lt;=2,H3770&gt;=3),"PROMISING",AND(F3770&gt;=3,G3770&gt;=3,H3770&gt;=3),"NEED ATTENTION",AND(F3770&lt;=4,G3770&gt;=6,H3770&gt;=6),"AT RISK",AND(F3770&lt;=2,G3770&gt;=8,H3770&gt;=8),"CAN'T LOSE THEM",AND(F3770&lt;=2,G3770&lt;=2,H3770&lt;=2),"HIBERNATING",TRUE(),"Other")</f>
        <v>HIBERNATING</v>
      </c>
      <c r="K3770" s="1" t="n">
        <f aca="false">RANK(E3770,$E$7:$E$4378)+COUNTIF($E$7:E3770,E3770)-1</f>
        <v>3440</v>
      </c>
    </row>
    <row r="3771" customFormat="false" ht="14.25" hidden="false" customHeight="true" outlineLevel="0" collapsed="false">
      <c r="A3771" s="51" t="n">
        <v>17457</v>
      </c>
      <c r="B3771" s="53" t="n">
        <v>40760.5333333333</v>
      </c>
      <c r="C3771" s="57" t="n">
        <f aca="false">INT($C$2)-INT(Table3[[#This Row],[Last Purchase Date]])</f>
        <v>127</v>
      </c>
      <c r="D3771" s="1" t="n">
        <v>5</v>
      </c>
      <c r="E3771" s="1" t="n">
        <v>1737.7</v>
      </c>
      <c r="F3771" s="1" t="n">
        <f aca="false">ROUND((1-_xlfn.PERCENTRANK.INC($C$7:$C$4378,C3771))*9,0)</f>
        <v>2</v>
      </c>
      <c r="G3771" s="1" t="n">
        <f aca="false">ROUND(_xlfn.PERCENTRANK.INC($D$7:$D$4378,D3771)*9,0)</f>
        <v>6</v>
      </c>
      <c r="H3771" s="1" t="n">
        <f aca="false">ROUND(_xlfn.PERCENTRANK.INC($E$7:$E$4378,E3771)*9,0)</f>
        <v>7</v>
      </c>
      <c r="I3771" s="1" t="str">
        <f aca="false">CONCATENATE(F3771,G3771,H3771)</f>
        <v>267</v>
      </c>
      <c r="J3771" s="1" t="str">
        <f aca="false">_xlfn.IFS(AND(F3771&gt;=8,G3771&gt;=8,H3771&gt;=8),"CHAMPION",AND(F3771&gt;=6,G3771&gt;=7,H3771&gt;=6),"LOYAL CUSTOMER",AND(F3771&gt;=6,G3771&gt;=5,H3771&gt;=5),"POTENTIAL LOYALIST",AND(F3771&gt;=8,G3771&lt;=2,H3771&gt;=5),"NEW CUSTOMERS",AND(F3771&gt;=6,G3771&lt;=2,H3771&gt;=3),"PROMISING",AND(F3771&gt;=3,G3771&gt;=3,H3771&gt;=3),"NEED ATTENTION",AND(F3771&lt;=4,G3771&gt;=6,H3771&gt;=6),"AT RISK",AND(F3771&lt;=2,G3771&gt;=8,H3771&gt;=8),"CAN'T LOSE THEM",AND(F3771&lt;=2,G3771&lt;=2,H3771&lt;=2),"HIBERNATING",TRUE(),"Other")</f>
        <v>AT RISK</v>
      </c>
      <c r="K3771" s="1" t="n">
        <f aca="false">RANK(E3771,$E$7:$E$4378)+COUNTIF($E$7:E3771,E3771)-1</f>
        <v>1020</v>
      </c>
    </row>
    <row r="3772" customFormat="false" ht="14.25" hidden="false" customHeight="true" outlineLevel="0" collapsed="false">
      <c r="A3772" s="51" t="n">
        <v>17458</v>
      </c>
      <c r="B3772" s="53" t="n">
        <v>40871.5423611111</v>
      </c>
      <c r="C3772" s="57" t="n">
        <f aca="false">INT($C$2)-INT(Table3[[#This Row],[Last Purchase Date]])</f>
        <v>16</v>
      </c>
      <c r="D3772" s="1" t="n">
        <v>1</v>
      </c>
      <c r="E3772" s="1" t="n">
        <v>316.5</v>
      </c>
      <c r="F3772" s="1" t="n">
        <f aca="false">ROUND((1-_xlfn.PERCENTRANK.INC($C$7:$C$4378,C3772))*9,0)</f>
        <v>7</v>
      </c>
      <c r="G3772" s="1" t="n">
        <f aca="false">ROUND(_xlfn.PERCENTRANK.INC($D$7:$D$4378,D3772)*9,0)</f>
        <v>0</v>
      </c>
      <c r="H3772" s="1" t="n">
        <f aca="false">ROUND(_xlfn.PERCENTRANK.INC($E$7:$E$4378,E3772)*9,0)</f>
        <v>3</v>
      </c>
      <c r="I3772" s="1" t="str">
        <f aca="false">CONCATENATE(F3772,G3772,H3772)</f>
        <v>703</v>
      </c>
      <c r="J3772" s="1" t="str">
        <f aca="false">_xlfn.IFS(AND(F3772&gt;=8,G3772&gt;=8,H3772&gt;=8),"CHAMPION",AND(F3772&gt;=6,G3772&gt;=7,H3772&gt;=6),"LOYAL CUSTOMER",AND(F3772&gt;=6,G3772&gt;=5,H3772&gt;=5),"POTENTIAL LOYALIST",AND(F3772&gt;=8,G3772&lt;=2,H3772&gt;=5),"NEW CUSTOMERS",AND(F3772&gt;=6,G3772&lt;=2,H3772&gt;=3),"PROMISING",AND(F3772&gt;=3,G3772&gt;=3,H3772&gt;=3),"NEED ATTENTION",AND(F3772&lt;=4,G3772&gt;=6,H3772&gt;=6),"AT RISK",AND(F3772&lt;=2,G3772&gt;=8,H3772&gt;=8),"CAN'T LOSE THEM",AND(F3772&lt;=2,G3772&lt;=2,H3772&lt;=2),"HIBERNATING",TRUE(),"Other")</f>
        <v>PROMISING</v>
      </c>
      <c r="K3772" s="1" t="n">
        <f aca="false">RANK(E3772,$E$7:$E$4378)+COUNTIF($E$7:E3772,E3772)-1</f>
        <v>3157</v>
      </c>
    </row>
    <row r="3773" customFormat="false" ht="14.25" hidden="false" customHeight="true" outlineLevel="0" collapsed="false">
      <c r="A3773" s="51" t="n">
        <v>17459</v>
      </c>
      <c r="B3773" s="53" t="n">
        <v>40843.5590277778</v>
      </c>
      <c r="C3773" s="57" t="n">
        <f aca="false">INT($C$2)-INT(Table3[[#This Row],[Last Purchase Date]])</f>
        <v>44</v>
      </c>
      <c r="D3773" s="1" t="n">
        <v>2</v>
      </c>
      <c r="E3773" s="1" t="n">
        <v>657.3</v>
      </c>
      <c r="F3773" s="1" t="n">
        <f aca="false">ROUND((1-_xlfn.PERCENTRANK.INC($C$7:$C$4378,C3773))*9,0)</f>
        <v>5</v>
      </c>
      <c r="G3773" s="1" t="n">
        <f aca="false">ROUND(_xlfn.PERCENTRANK.INC($D$7:$D$4378,D3773)*9,0)</f>
        <v>3</v>
      </c>
      <c r="H3773" s="1" t="n">
        <f aca="false">ROUND(_xlfn.PERCENTRANK.INC($E$7:$E$4378,E3773)*9,0)</f>
        <v>5</v>
      </c>
      <c r="I3773" s="1" t="str">
        <f aca="false">CONCATENATE(F3773,G3773,H3773)</f>
        <v>535</v>
      </c>
      <c r="J3773" s="1" t="str">
        <f aca="false">_xlfn.IFS(AND(F3773&gt;=8,G3773&gt;=8,H3773&gt;=8),"CHAMPION",AND(F3773&gt;=6,G3773&gt;=7,H3773&gt;=6),"LOYAL CUSTOMER",AND(F3773&gt;=6,G3773&gt;=5,H3773&gt;=5),"POTENTIAL LOYALIST",AND(F3773&gt;=8,G3773&lt;=2,H3773&gt;=5),"NEW CUSTOMERS",AND(F3773&gt;=6,G3773&lt;=2,H3773&gt;=3),"PROMISING",AND(F3773&gt;=3,G3773&gt;=3,H3773&gt;=3),"NEED ATTENTION",AND(F3773&lt;=4,G3773&gt;=6,H3773&gt;=6),"AT RISK",AND(F3773&lt;=2,G3773&gt;=8,H3773&gt;=8),"CAN'T LOSE THEM",AND(F3773&lt;=2,G3773&lt;=2,H3773&lt;=2),"HIBERNATING",TRUE(),"Other")</f>
        <v>NEED ATTENTION</v>
      </c>
      <c r="K3773" s="1" t="n">
        <f aca="false">RANK(E3773,$E$7:$E$4378)+COUNTIF($E$7:E3773,E3773)-1</f>
        <v>2162</v>
      </c>
    </row>
    <row r="3774" customFormat="false" ht="14.25" hidden="false" customHeight="true" outlineLevel="0" collapsed="false">
      <c r="A3774" s="51" t="n">
        <v>17460</v>
      </c>
      <c r="B3774" s="53" t="n">
        <v>40808.4569444444</v>
      </c>
      <c r="C3774" s="57" t="n">
        <f aca="false">INT($C$2)-INT(Table3[[#This Row],[Last Purchase Date]])</f>
        <v>79</v>
      </c>
      <c r="D3774" s="1" t="n">
        <v>8</v>
      </c>
      <c r="E3774" s="1" t="n">
        <v>452.63</v>
      </c>
      <c r="F3774" s="1" t="n">
        <f aca="false">ROUND((1-_xlfn.PERCENTRANK.INC($C$7:$C$4378,C3774))*9,0)</f>
        <v>3</v>
      </c>
      <c r="G3774" s="1" t="n">
        <f aca="false">ROUND(_xlfn.PERCENTRANK.INC($D$7:$D$4378,D3774)*9,0)</f>
        <v>7</v>
      </c>
      <c r="H3774" s="1" t="n">
        <f aca="false">ROUND(_xlfn.PERCENTRANK.INC($E$7:$E$4378,E3774)*9,0)</f>
        <v>4</v>
      </c>
      <c r="I3774" s="1" t="str">
        <f aca="false">CONCATENATE(F3774,G3774,H3774)</f>
        <v>374</v>
      </c>
      <c r="J3774" s="1" t="str">
        <f aca="false">_xlfn.IFS(AND(F3774&gt;=8,G3774&gt;=8,H3774&gt;=8),"CHAMPION",AND(F3774&gt;=6,G3774&gt;=7,H3774&gt;=6),"LOYAL CUSTOMER",AND(F3774&gt;=6,G3774&gt;=5,H3774&gt;=5),"POTENTIAL LOYALIST",AND(F3774&gt;=8,G3774&lt;=2,H3774&gt;=5),"NEW CUSTOMERS",AND(F3774&gt;=6,G3774&lt;=2,H3774&gt;=3),"PROMISING",AND(F3774&gt;=3,G3774&gt;=3,H3774&gt;=3),"NEED ATTENTION",AND(F3774&lt;=4,G3774&gt;=6,H3774&gt;=6),"AT RISK",AND(F3774&lt;=2,G3774&gt;=8,H3774&gt;=8),"CAN'T LOSE THEM",AND(F3774&lt;=2,G3774&lt;=2,H3774&lt;=2),"HIBERNATING",TRUE(),"Other")</f>
        <v>NEED ATTENTION</v>
      </c>
      <c r="K3774" s="1" t="n">
        <f aca="false">RANK(E3774,$E$7:$E$4378)+COUNTIF($E$7:E3774,E3774)-1</f>
        <v>2669</v>
      </c>
    </row>
    <row r="3775" customFormat="false" ht="14.25" hidden="false" customHeight="true" outlineLevel="0" collapsed="false">
      <c r="A3775" s="51" t="n">
        <v>17461</v>
      </c>
      <c r="B3775" s="53" t="n">
        <v>40864.43125</v>
      </c>
      <c r="C3775" s="57" t="n">
        <f aca="false">INT($C$2)-INT(Table3[[#This Row],[Last Purchase Date]])</f>
        <v>23</v>
      </c>
      <c r="D3775" s="1" t="n">
        <v>3</v>
      </c>
      <c r="E3775" s="1" t="n">
        <v>757.46</v>
      </c>
      <c r="F3775" s="1" t="n">
        <f aca="false">ROUND((1-_xlfn.PERCENTRANK.INC($C$7:$C$4378,C3775))*9,0)</f>
        <v>6</v>
      </c>
      <c r="G3775" s="1" t="n">
        <f aca="false">ROUND(_xlfn.PERCENTRANK.INC($D$7:$D$4378,D3775)*9,0)</f>
        <v>4</v>
      </c>
      <c r="H3775" s="1" t="n">
        <f aca="false">ROUND(_xlfn.PERCENTRANK.INC($E$7:$E$4378,E3775)*9,0)</f>
        <v>5</v>
      </c>
      <c r="I3775" s="1" t="str">
        <f aca="false">CONCATENATE(F3775,G3775,H3775)</f>
        <v>645</v>
      </c>
      <c r="J3775" s="1" t="str">
        <f aca="false">_xlfn.IFS(AND(F3775&gt;=8,G3775&gt;=8,H3775&gt;=8),"CHAMPION",AND(F3775&gt;=6,G3775&gt;=7,H3775&gt;=6),"LOYAL CUSTOMER",AND(F3775&gt;=6,G3775&gt;=5,H3775&gt;=5),"POTENTIAL LOYALIST",AND(F3775&gt;=8,G3775&lt;=2,H3775&gt;=5),"NEW CUSTOMERS",AND(F3775&gt;=6,G3775&lt;=2,H3775&gt;=3),"PROMISING",AND(F3775&gt;=3,G3775&gt;=3,H3775&gt;=3),"NEED ATTENTION",AND(F3775&lt;=4,G3775&gt;=6,H3775&gt;=6),"AT RISK",AND(F3775&lt;=2,G3775&gt;=8,H3775&gt;=8),"CAN'T LOSE THEM",AND(F3775&lt;=2,G3775&lt;=2,H3775&lt;=2),"HIBERNATING",TRUE(),"Other")</f>
        <v>NEED ATTENTION</v>
      </c>
      <c r="K3775" s="1" t="n">
        <f aca="false">RANK(E3775,$E$7:$E$4378)+COUNTIF($E$7:E3775,E3775)-1</f>
        <v>1969</v>
      </c>
    </row>
    <row r="3776" customFormat="false" ht="14.25" hidden="false" customHeight="true" outlineLevel="0" collapsed="false">
      <c r="A3776" s="51" t="n">
        <v>17462</v>
      </c>
      <c r="B3776" s="53" t="n">
        <v>40835.5666666667</v>
      </c>
      <c r="C3776" s="57" t="n">
        <f aca="false">INT($C$2)-INT(Table3[[#This Row],[Last Purchase Date]])</f>
        <v>52</v>
      </c>
      <c r="D3776" s="1" t="n">
        <v>3</v>
      </c>
      <c r="E3776" s="1" t="n">
        <v>662.94</v>
      </c>
      <c r="F3776" s="1" t="n">
        <f aca="false">ROUND((1-_xlfn.PERCENTRANK.INC($C$7:$C$4378,C3776))*9,0)</f>
        <v>4</v>
      </c>
      <c r="G3776" s="1" t="n">
        <f aca="false">ROUND(_xlfn.PERCENTRANK.INC($D$7:$D$4378,D3776)*9,0)</f>
        <v>4</v>
      </c>
      <c r="H3776" s="1" t="n">
        <f aca="false">ROUND(_xlfn.PERCENTRANK.INC($E$7:$E$4378,E3776)*9,0)</f>
        <v>5</v>
      </c>
      <c r="I3776" s="1" t="str">
        <f aca="false">CONCATENATE(F3776,G3776,H3776)</f>
        <v>445</v>
      </c>
      <c r="J3776" s="1" t="str">
        <f aca="false">_xlfn.IFS(AND(F3776&gt;=8,G3776&gt;=8,H3776&gt;=8),"CHAMPION",AND(F3776&gt;=6,G3776&gt;=7,H3776&gt;=6),"LOYAL CUSTOMER",AND(F3776&gt;=6,G3776&gt;=5,H3776&gt;=5),"POTENTIAL LOYALIST",AND(F3776&gt;=8,G3776&lt;=2,H3776&gt;=5),"NEW CUSTOMERS",AND(F3776&gt;=6,G3776&lt;=2,H3776&gt;=3),"PROMISING",AND(F3776&gt;=3,G3776&gt;=3,H3776&gt;=3),"NEED ATTENTION",AND(F3776&lt;=4,G3776&gt;=6,H3776&gt;=6),"AT RISK",AND(F3776&lt;=2,G3776&gt;=8,H3776&gt;=8),"CAN'T LOSE THEM",AND(F3776&lt;=2,G3776&lt;=2,H3776&lt;=2),"HIBERNATING",TRUE(),"Other")</f>
        <v>NEED ATTENTION</v>
      </c>
      <c r="K3776" s="1" t="n">
        <f aca="false">RANK(E3776,$E$7:$E$4378)+COUNTIF($E$7:E3776,E3776)-1</f>
        <v>2150</v>
      </c>
    </row>
    <row r="3777" customFormat="false" ht="14.25" hidden="false" customHeight="true" outlineLevel="0" collapsed="false">
      <c r="A3777" s="51" t="n">
        <v>17463</v>
      </c>
      <c r="B3777" s="53" t="n">
        <v>40870.5694444445</v>
      </c>
      <c r="C3777" s="57" t="n">
        <f aca="false">INT($C$2)-INT(Table3[[#This Row],[Last Purchase Date]])</f>
        <v>17</v>
      </c>
      <c r="D3777" s="1" t="n">
        <v>6</v>
      </c>
      <c r="E3777" s="1" t="n">
        <v>1881.36</v>
      </c>
      <c r="F3777" s="1" t="n">
        <f aca="false">ROUND((1-_xlfn.PERCENTRANK.INC($C$7:$C$4378,C3777))*9,0)</f>
        <v>7</v>
      </c>
      <c r="G3777" s="1" t="n">
        <f aca="false">ROUND(_xlfn.PERCENTRANK.INC($D$7:$D$4378,D3777)*9,0)</f>
        <v>7</v>
      </c>
      <c r="H3777" s="1" t="n">
        <f aca="false">ROUND(_xlfn.PERCENTRANK.INC($E$7:$E$4378,E3777)*9,0)</f>
        <v>7</v>
      </c>
      <c r="I3777" s="1" t="str">
        <f aca="false">CONCATENATE(F3777,G3777,H3777)</f>
        <v>777</v>
      </c>
      <c r="J3777" s="1" t="str">
        <f aca="false">_xlfn.IFS(AND(F3777&gt;=8,G3777&gt;=8,H3777&gt;=8),"CHAMPION",AND(F3777&gt;=6,G3777&gt;=7,H3777&gt;=6),"LOYAL CUSTOMER",AND(F3777&gt;=6,G3777&gt;=5,H3777&gt;=5),"POTENTIAL LOYALIST",AND(F3777&gt;=8,G3777&lt;=2,H3777&gt;=5),"NEW CUSTOMERS",AND(F3777&gt;=6,G3777&lt;=2,H3777&gt;=3),"PROMISING",AND(F3777&gt;=3,G3777&gt;=3,H3777&gt;=3),"NEED ATTENTION",AND(F3777&lt;=4,G3777&gt;=6,H3777&gt;=6),"AT RISK",AND(F3777&lt;=2,G3777&gt;=8,H3777&gt;=8),"CAN'T LOSE THEM",AND(F3777&lt;=2,G3777&lt;=2,H3777&lt;=2),"HIBERNATING",TRUE(),"Other")</f>
        <v>LOYAL CUSTOMER</v>
      </c>
      <c r="K3777" s="1" t="n">
        <f aca="false">RANK(E3777,$E$7:$E$4378)+COUNTIF($E$7:E3777,E3777)-1</f>
        <v>929</v>
      </c>
    </row>
    <row r="3778" customFormat="false" ht="14.25" hidden="false" customHeight="true" outlineLevel="0" collapsed="false">
      <c r="A3778" s="51" t="n">
        <v>17464</v>
      </c>
      <c r="B3778" s="53" t="n">
        <v>40728.5548611111</v>
      </c>
      <c r="C3778" s="57" t="n">
        <f aca="false">INT($C$2)-INT(Table3[[#This Row],[Last Purchase Date]])</f>
        <v>159</v>
      </c>
      <c r="D3778" s="1" t="n">
        <v>1</v>
      </c>
      <c r="E3778" s="1" t="n">
        <v>289.96</v>
      </c>
      <c r="F3778" s="1" t="n">
        <f aca="false">ROUND((1-_xlfn.PERCENTRANK.INC($C$7:$C$4378,C3778))*9,0)</f>
        <v>2</v>
      </c>
      <c r="G3778" s="1" t="n">
        <f aca="false">ROUND(_xlfn.PERCENTRANK.INC($D$7:$D$4378,D3778)*9,0)</f>
        <v>0</v>
      </c>
      <c r="H3778" s="1" t="n">
        <f aca="false">ROUND(_xlfn.PERCENTRANK.INC($E$7:$E$4378,E3778)*9,0)</f>
        <v>2</v>
      </c>
      <c r="I3778" s="1" t="str">
        <f aca="false">CONCATENATE(F3778,G3778,H3778)</f>
        <v>202</v>
      </c>
      <c r="J3778" s="1" t="str">
        <f aca="false">_xlfn.IFS(AND(F3778&gt;=8,G3778&gt;=8,H3778&gt;=8),"CHAMPION",AND(F3778&gt;=6,G3778&gt;=7,H3778&gt;=6),"LOYAL CUSTOMER",AND(F3778&gt;=6,G3778&gt;=5,H3778&gt;=5),"POTENTIAL LOYALIST",AND(F3778&gt;=8,G3778&lt;=2,H3778&gt;=5),"NEW CUSTOMERS",AND(F3778&gt;=6,G3778&lt;=2,H3778&gt;=3),"PROMISING",AND(F3778&gt;=3,G3778&gt;=3,H3778&gt;=3),"NEED ATTENTION",AND(F3778&lt;=4,G3778&gt;=6,H3778&gt;=6),"AT RISK",AND(F3778&lt;=2,G3778&gt;=8,H3778&gt;=8),"CAN'T LOSE THEM",AND(F3778&lt;=2,G3778&lt;=2,H3778&lt;=2),"HIBERNATING",TRUE(),"Other")</f>
        <v>HIBERNATING</v>
      </c>
      <c r="K3778" s="1" t="n">
        <f aca="false">RANK(E3778,$E$7:$E$4378)+COUNTIF($E$7:E3778,E3778)-1</f>
        <v>3296</v>
      </c>
    </row>
    <row r="3779" customFormat="false" ht="14.25" hidden="false" customHeight="true" outlineLevel="0" collapsed="false">
      <c r="A3779" s="51" t="n">
        <v>17466</v>
      </c>
      <c r="B3779" s="53" t="n">
        <v>40876.5520833333</v>
      </c>
      <c r="C3779" s="57" t="n">
        <f aca="false">INT($C$2)-INT(Table3[[#This Row],[Last Purchase Date]])</f>
        <v>11</v>
      </c>
      <c r="D3779" s="1" t="n">
        <v>2</v>
      </c>
      <c r="E3779" s="1" t="n">
        <v>763.28</v>
      </c>
      <c r="F3779" s="1" t="n">
        <f aca="false">ROUND((1-_xlfn.PERCENTRANK.INC($C$7:$C$4378,C3779))*9,0)</f>
        <v>7</v>
      </c>
      <c r="G3779" s="1" t="n">
        <f aca="false">ROUND(_xlfn.PERCENTRANK.INC($D$7:$D$4378,D3779)*9,0)</f>
        <v>3</v>
      </c>
      <c r="H3779" s="1" t="n">
        <f aca="false">ROUND(_xlfn.PERCENTRANK.INC($E$7:$E$4378,E3779)*9,0)</f>
        <v>5</v>
      </c>
      <c r="I3779" s="1" t="str">
        <f aca="false">CONCATENATE(F3779,G3779,H3779)</f>
        <v>735</v>
      </c>
      <c r="J3779" s="1" t="str">
        <f aca="false">_xlfn.IFS(AND(F3779&gt;=8,G3779&gt;=8,H3779&gt;=8),"CHAMPION",AND(F3779&gt;=6,G3779&gt;=7,H3779&gt;=6),"LOYAL CUSTOMER",AND(F3779&gt;=6,G3779&gt;=5,H3779&gt;=5),"POTENTIAL LOYALIST",AND(F3779&gt;=8,G3779&lt;=2,H3779&gt;=5),"NEW CUSTOMERS",AND(F3779&gt;=6,G3779&lt;=2,H3779&gt;=3),"PROMISING",AND(F3779&gt;=3,G3779&gt;=3,H3779&gt;=3),"NEED ATTENTION",AND(F3779&lt;=4,G3779&gt;=6,H3779&gt;=6),"AT RISK",AND(F3779&lt;=2,G3779&gt;=8,H3779&gt;=8),"CAN'T LOSE THEM",AND(F3779&lt;=2,G3779&lt;=2,H3779&lt;=2),"HIBERNATING",TRUE(),"Other")</f>
        <v>NEED ATTENTION</v>
      </c>
      <c r="K3779" s="1" t="n">
        <f aca="false">RANK(E3779,$E$7:$E$4378)+COUNTIF($E$7:E3779,E3779)-1</f>
        <v>1960</v>
      </c>
    </row>
    <row r="3780" customFormat="false" ht="14.25" hidden="false" customHeight="true" outlineLevel="0" collapsed="false">
      <c r="A3780" s="51" t="n">
        <v>17468</v>
      </c>
      <c r="B3780" s="53" t="n">
        <v>40876.6479166667</v>
      </c>
      <c r="C3780" s="57" t="n">
        <f aca="false">INT($C$2)-INT(Table3[[#This Row],[Last Purchase Date]])</f>
        <v>11</v>
      </c>
      <c r="D3780" s="1" t="n">
        <v>2</v>
      </c>
      <c r="E3780" s="1" t="n">
        <v>137</v>
      </c>
      <c r="F3780" s="1" t="n">
        <f aca="false">ROUND((1-_xlfn.PERCENTRANK.INC($C$7:$C$4378,C3780))*9,0)</f>
        <v>7</v>
      </c>
      <c r="G3780" s="1" t="n">
        <f aca="false">ROUND(_xlfn.PERCENTRANK.INC($D$7:$D$4378,D3780)*9,0)</f>
        <v>3</v>
      </c>
      <c r="H3780" s="1" t="n">
        <f aca="false">ROUND(_xlfn.PERCENTRANK.INC($E$7:$E$4378,E3780)*9,0)</f>
        <v>1</v>
      </c>
      <c r="I3780" s="1" t="str">
        <f aca="false">CONCATENATE(F3780,G3780,H3780)</f>
        <v>731</v>
      </c>
      <c r="J3780" s="1" t="str">
        <f aca="false">_xlfn.IFS(AND(F3780&gt;=8,G3780&gt;=8,H3780&gt;=8),"CHAMPION",AND(F3780&gt;=6,G3780&gt;=7,H3780&gt;=6),"LOYAL CUSTOMER",AND(F3780&gt;=6,G3780&gt;=5,H3780&gt;=5),"POTENTIAL LOYALIST",AND(F3780&gt;=8,G3780&lt;=2,H3780&gt;=5),"NEW CUSTOMERS",AND(F3780&gt;=6,G3780&lt;=2,H3780&gt;=3),"PROMISING",AND(F3780&gt;=3,G3780&gt;=3,H3780&gt;=3),"NEED ATTENTION",AND(F3780&lt;=4,G3780&gt;=6,H3780&gt;=6),"AT RISK",AND(F3780&lt;=2,G3780&gt;=8,H3780&gt;=8),"CAN'T LOSE THEM",AND(F3780&lt;=2,G3780&lt;=2,H3780&lt;=2),"HIBERNATING",TRUE(),"Other")</f>
        <v>Other</v>
      </c>
      <c r="K3780" s="1" t="n">
        <f aca="false">RANK(E3780,$E$7:$E$4378)+COUNTIF($E$7:E3780,E3780)-1</f>
        <v>3974</v>
      </c>
    </row>
    <row r="3781" customFormat="false" ht="14.25" hidden="false" customHeight="true" outlineLevel="0" collapsed="false">
      <c r="A3781" s="51" t="n">
        <v>17469</v>
      </c>
      <c r="B3781" s="53" t="n">
        <v>40870.5520833333</v>
      </c>
      <c r="C3781" s="57" t="n">
        <f aca="false">INT($C$2)-INT(Table3[[#This Row],[Last Purchase Date]])</f>
        <v>17</v>
      </c>
      <c r="D3781" s="1" t="n">
        <v>6</v>
      </c>
      <c r="E3781" s="1" t="n">
        <v>1843.06</v>
      </c>
      <c r="F3781" s="1" t="n">
        <f aca="false">ROUND((1-_xlfn.PERCENTRANK.INC($C$7:$C$4378,C3781))*9,0)</f>
        <v>7</v>
      </c>
      <c r="G3781" s="1" t="n">
        <f aca="false">ROUND(_xlfn.PERCENTRANK.INC($D$7:$D$4378,D3781)*9,0)</f>
        <v>7</v>
      </c>
      <c r="H3781" s="1" t="n">
        <f aca="false">ROUND(_xlfn.PERCENTRANK.INC($E$7:$E$4378,E3781)*9,0)</f>
        <v>7</v>
      </c>
      <c r="I3781" s="1" t="str">
        <f aca="false">CONCATENATE(F3781,G3781,H3781)</f>
        <v>777</v>
      </c>
      <c r="J3781" s="1" t="str">
        <f aca="false">_xlfn.IFS(AND(F3781&gt;=8,G3781&gt;=8,H3781&gt;=8),"CHAMPION",AND(F3781&gt;=6,G3781&gt;=7,H3781&gt;=6),"LOYAL CUSTOMER",AND(F3781&gt;=6,G3781&gt;=5,H3781&gt;=5),"POTENTIAL LOYALIST",AND(F3781&gt;=8,G3781&lt;=2,H3781&gt;=5),"NEW CUSTOMERS",AND(F3781&gt;=6,G3781&lt;=2,H3781&gt;=3),"PROMISING",AND(F3781&gt;=3,G3781&gt;=3,H3781&gt;=3),"NEED ATTENTION",AND(F3781&lt;=4,G3781&gt;=6,H3781&gt;=6),"AT RISK",AND(F3781&lt;=2,G3781&gt;=8,H3781&gt;=8),"CAN'T LOSE THEM",AND(F3781&lt;=2,G3781&lt;=2,H3781&lt;=2),"HIBERNATING",TRUE(),"Other")</f>
        <v>LOYAL CUSTOMER</v>
      </c>
      <c r="K3781" s="1" t="n">
        <f aca="false">RANK(E3781,$E$7:$E$4378)+COUNTIF($E$7:E3781,E3781)-1</f>
        <v>948</v>
      </c>
    </row>
    <row r="3782" customFormat="false" ht="14.25" hidden="false" customHeight="true" outlineLevel="0" collapsed="false">
      <c r="A3782" s="51" t="n">
        <v>17470</v>
      </c>
      <c r="B3782" s="53" t="n">
        <v>40842.5291666667</v>
      </c>
      <c r="C3782" s="57" t="n">
        <f aca="false">INT($C$2)-INT(Table3[[#This Row],[Last Purchase Date]])</f>
        <v>45</v>
      </c>
      <c r="D3782" s="1" t="n">
        <v>5</v>
      </c>
      <c r="E3782" s="1" t="n">
        <v>1125.07</v>
      </c>
      <c r="F3782" s="1" t="n">
        <f aca="false">ROUND((1-_xlfn.PERCENTRANK.INC($C$7:$C$4378,C3782))*9,0)</f>
        <v>5</v>
      </c>
      <c r="G3782" s="1" t="n">
        <f aca="false">ROUND(_xlfn.PERCENTRANK.INC($D$7:$D$4378,D3782)*9,0)</f>
        <v>6</v>
      </c>
      <c r="H3782" s="1" t="n">
        <f aca="false">ROUND(_xlfn.PERCENTRANK.INC($E$7:$E$4378,E3782)*9,0)</f>
        <v>6</v>
      </c>
      <c r="I3782" s="1" t="str">
        <f aca="false">CONCATENATE(F3782,G3782,H3782)</f>
        <v>566</v>
      </c>
      <c r="J3782" s="1" t="str">
        <f aca="false">_xlfn.IFS(AND(F3782&gt;=8,G3782&gt;=8,H3782&gt;=8),"CHAMPION",AND(F3782&gt;=6,G3782&gt;=7,H3782&gt;=6),"LOYAL CUSTOMER",AND(F3782&gt;=6,G3782&gt;=5,H3782&gt;=5),"POTENTIAL LOYALIST",AND(F3782&gt;=8,G3782&lt;=2,H3782&gt;=5),"NEW CUSTOMERS",AND(F3782&gt;=6,G3782&lt;=2,H3782&gt;=3),"PROMISING",AND(F3782&gt;=3,G3782&gt;=3,H3782&gt;=3),"NEED ATTENTION",AND(F3782&lt;=4,G3782&gt;=6,H3782&gt;=6),"AT RISK",AND(F3782&lt;=2,G3782&gt;=8,H3782&gt;=8),"CAN'T LOSE THEM",AND(F3782&lt;=2,G3782&lt;=2,H3782&lt;=2),"HIBERNATING",TRUE(),"Other")</f>
        <v>NEED ATTENTION</v>
      </c>
      <c r="K3782" s="1" t="n">
        <f aca="false">RANK(E3782,$E$7:$E$4378)+COUNTIF($E$7:E3782,E3782)-1</f>
        <v>1477</v>
      </c>
    </row>
    <row r="3783" customFormat="false" ht="14.25" hidden="false" customHeight="true" outlineLevel="0" collapsed="false">
      <c r="A3783" s="51" t="n">
        <v>17472</v>
      </c>
      <c r="B3783" s="53" t="n">
        <v>40695.6229166667</v>
      </c>
      <c r="C3783" s="57" t="n">
        <f aca="false">INT($C$2)-INT(Table3[[#This Row],[Last Purchase Date]])</f>
        <v>192</v>
      </c>
      <c r="D3783" s="1" t="n">
        <v>3</v>
      </c>
      <c r="E3783" s="1" t="n">
        <v>710.29</v>
      </c>
      <c r="F3783" s="1" t="n">
        <f aca="false">ROUND((1-_xlfn.PERCENTRANK.INC($C$7:$C$4378,C3783))*9,0)</f>
        <v>2</v>
      </c>
      <c r="G3783" s="1" t="n">
        <f aca="false">ROUND(_xlfn.PERCENTRANK.INC($D$7:$D$4378,D3783)*9,0)</f>
        <v>4</v>
      </c>
      <c r="H3783" s="1" t="n">
        <f aca="false">ROUND(_xlfn.PERCENTRANK.INC($E$7:$E$4378,E3783)*9,0)</f>
        <v>5</v>
      </c>
      <c r="I3783" s="1" t="str">
        <f aca="false">CONCATENATE(F3783,G3783,H3783)</f>
        <v>245</v>
      </c>
      <c r="J3783" s="1" t="str">
        <f aca="false">_xlfn.IFS(AND(F3783&gt;=8,G3783&gt;=8,H3783&gt;=8),"CHAMPION",AND(F3783&gt;=6,G3783&gt;=7,H3783&gt;=6),"LOYAL CUSTOMER",AND(F3783&gt;=6,G3783&gt;=5,H3783&gt;=5),"POTENTIAL LOYALIST",AND(F3783&gt;=8,G3783&lt;=2,H3783&gt;=5),"NEW CUSTOMERS",AND(F3783&gt;=6,G3783&lt;=2,H3783&gt;=3),"PROMISING",AND(F3783&gt;=3,G3783&gt;=3,H3783&gt;=3),"NEED ATTENTION",AND(F3783&lt;=4,G3783&gt;=6,H3783&gt;=6),"AT RISK",AND(F3783&lt;=2,G3783&gt;=8,H3783&gt;=8),"CAN'T LOSE THEM",AND(F3783&lt;=2,G3783&lt;=2,H3783&lt;=2),"HIBERNATING",TRUE(),"Other")</f>
        <v>Other</v>
      </c>
      <c r="K3783" s="1" t="n">
        <f aca="false">RANK(E3783,$E$7:$E$4378)+COUNTIF($E$7:E3783,E3783)-1</f>
        <v>2047</v>
      </c>
    </row>
    <row r="3784" customFormat="false" ht="14.25" hidden="false" customHeight="true" outlineLevel="0" collapsed="false">
      <c r="A3784" s="51" t="n">
        <v>17475</v>
      </c>
      <c r="B3784" s="53" t="n">
        <v>40807.6215277778</v>
      </c>
      <c r="C3784" s="57" t="n">
        <f aca="false">INT($C$2)-INT(Table3[[#This Row],[Last Purchase Date]])</f>
        <v>80</v>
      </c>
      <c r="D3784" s="1" t="n">
        <v>1</v>
      </c>
      <c r="E3784" s="1" t="n">
        <v>194.37</v>
      </c>
      <c r="F3784" s="1" t="n">
        <f aca="false">ROUND((1-_xlfn.PERCENTRANK.INC($C$7:$C$4378,C3784))*9,0)</f>
        <v>3</v>
      </c>
      <c r="G3784" s="1" t="n">
        <f aca="false">ROUND(_xlfn.PERCENTRANK.INC($D$7:$D$4378,D3784)*9,0)</f>
        <v>0</v>
      </c>
      <c r="H3784" s="1" t="n">
        <f aca="false">ROUND(_xlfn.PERCENTRANK.INC($E$7:$E$4378,E3784)*9,0)</f>
        <v>1</v>
      </c>
      <c r="I3784" s="1" t="str">
        <f aca="false">CONCATENATE(F3784,G3784,H3784)</f>
        <v>301</v>
      </c>
      <c r="J3784" s="1" t="str">
        <f aca="false">_xlfn.IFS(AND(F3784&gt;=8,G3784&gt;=8,H3784&gt;=8),"CHAMPION",AND(F3784&gt;=6,G3784&gt;=7,H3784&gt;=6),"LOYAL CUSTOMER",AND(F3784&gt;=6,G3784&gt;=5,H3784&gt;=5),"POTENTIAL LOYALIST",AND(F3784&gt;=8,G3784&lt;=2,H3784&gt;=5),"NEW CUSTOMERS",AND(F3784&gt;=6,G3784&lt;=2,H3784&gt;=3),"PROMISING",AND(F3784&gt;=3,G3784&gt;=3,H3784&gt;=3),"NEED ATTENTION",AND(F3784&lt;=4,G3784&gt;=6,H3784&gt;=6),"AT RISK",AND(F3784&lt;=2,G3784&gt;=8,H3784&gt;=8),"CAN'T LOSE THEM",AND(F3784&lt;=2,G3784&lt;=2,H3784&lt;=2),"HIBERNATING",TRUE(),"Other")</f>
        <v>Other</v>
      </c>
      <c r="K3784" s="1" t="n">
        <f aca="false">RANK(E3784,$E$7:$E$4378)+COUNTIF($E$7:E3784,E3784)-1</f>
        <v>3687</v>
      </c>
    </row>
    <row r="3785" customFormat="false" ht="14.25" hidden="false" customHeight="true" outlineLevel="0" collapsed="false">
      <c r="A3785" s="51" t="n">
        <v>17480</v>
      </c>
      <c r="B3785" s="53" t="n">
        <v>40813.43125</v>
      </c>
      <c r="C3785" s="57" t="n">
        <f aca="false">INT($C$2)-INT(Table3[[#This Row],[Last Purchase Date]])</f>
        <v>74</v>
      </c>
      <c r="D3785" s="1" t="n">
        <v>2</v>
      </c>
      <c r="E3785" s="1" t="n">
        <v>506.51</v>
      </c>
      <c r="F3785" s="1" t="n">
        <f aca="false">ROUND((1-_xlfn.PERCENTRANK.INC($C$7:$C$4378,C3785))*9,0)</f>
        <v>3</v>
      </c>
      <c r="G3785" s="1" t="n">
        <f aca="false">ROUND(_xlfn.PERCENTRANK.INC($D$7:$D$4378,D3785)*9,0)</f>
        <v>3</v>
      </c>
      <c r="H3785" s="1" t="n">
        <f aca="false">ROUND(_xlfn.PERCENTRANK.INC($E$7:$E$4378,E3785)*9,0)</f>
        <v>4</v>
      </c>
      <c r="I3785" s="1" t="str">
        <f aca="false">CONCATENATE(F3785,G3785,H3785)</f>
        <v>334</v>
      </c>
      <c r="J3785" s="1" t="str">
        <f aca="false">_xlfn.IFS(AND(F3785&gt;=8,G3785&gt;=8,H3785&gt;=8),"CHAMPION",AND(F3785&gt;=6,G3785&gt;=7,H3785&gt;=6),"LOYAL CUSTOMER",AND(F3785&gt;=6,G3785&gt;=5,H3785&gt;=5),"POTENTIAL LOYALIST",AND(F3785&gt;=8,G3785&lt;=2,H3785&gt;=5),"NEW CUSTOMERS",AND(F3785&gt;=6,G3785&lt;=2,H3785&gt;=3),"PROMISING",AND(F3785&gt;=3,G3785&gt;=3,H3785&gt;=3),"NEED ATTENTION",AND(F3785&lt;=4,G3785&gt;=6,H3785&gt;=6),"AT RISK",AND(F3785&lt;=2,G3785&gt;=8,H3785&gt;=8),"CAN'T LOSE THEM",AND(F3785&lt;=2,G3785&lt;=2,H3785&lt;=2),"HIBERNATING",TRUE(),"Other")</f>
        <v>NEED ATTENTION</v>
      </c>
      <c r="K3785" s="1" t="n">
        <f aca="false">RANK(E3785,$E$7:$E$4378)+COUNTIF($E$7:E3785,E3785)-1</f>
        <v>2529</v>
      </c>
    </row>
    <row r="3786" customFormat="false" ht="14.25" hidden="false" customHeight="true" outlineLevel="0" collapsed="false">
      <c r="A3786" s="51" t="n">
        <v>17481</v>
      </c>
      <c r="B3786" s="53" t="n">
        <v>40883.5194444444</v>
      </c>
      <c r="C3786" s="57" t="n">
        <f aca="false">INT($C$2)-INT(Table3[[#This Row],[Last Purchase Date]])</f>
        <v>4</v>
      </c>
      <c r="D3786" s="1" t="n">
        <v>5</v>
      </c>
      <c r="E3786" s="1" t="n">
        <v>1249.34</v>
      </c>
      <c r="F3786" s="1" t="n">
        <f aca="false">ROUND((1-_xlfn.PERCENTRANK.INC($C$7:$C$4378,C3786))*9,0)</f>
        <v>8</v>
      </c>
      <c r="G3786" s="1" t="n">
        <f aca="false">ROUND(_xlfn.PERCENTRANK.INC($D$7:$D$4378,D3786)*9,0)</f>
        <v>6</v>
      </c>
      <c r="H3786" s="1" t="n">
        <f aca="false">ROUND(_xlfn.PERCENTRANK.INC($E$7:$E$4378,E3786)*9,0)</f>
        <v>6</v>
      </c>
      <c r="I3786" s="1" t="str">
        <f aca="false">CONCATENATE(F3786,G3786,H3786)</f>
        <v>866</v>
      </c>
      <c r="J3786" s="1" t="str">
        <f aca="false">_xlfn.IFS(AND(F3786&gt;=8,G3786&gt;=8,H3786&gt;=8),"CHAMPION",AND(F3786&gt;=6,G3786&gt;=7,H3786&gt;=6),"LOYAL CUSTOMER",AND(F3786&gt;=6,G3786&gt;=5,H3786&gt;=5),"POTENTIAL LOYALIST",AND(F3786&gt;=8,G3786&lt;=2,H3786&gt;=5),"NEW CUSTOMERS",AND(F3786&gt;=6,G3786&lt;=2,H3786&gt;=3),"PROMISING",AND(F3786&gt;=3,G3786&gt;=3,H3786&gt;=3),"NEED ATTENTION",AND(F3786&lt;=4,G3786&gt;=6,H3786&gt;=6),"AT RISK",AND(F3786&lt;=2,G3786&gt;=8,H3786&gt;=8),"CAN'T LOSE THEM",AND(F3786&lt;=2,G3786&lt;=2,H3786&lt;=2),"HIBERNATING",TRUE(),"Other")</f>
        <v>POTENTIAL LOYALIST</v>
      </c>
      <c r="K3786" s="1" t="n">
        <f aca="false">RANK(E3786,$E$7:$E$4378)+COUNTIF($E$7:E3786,E3786)-1</f>
        <v>1376</v>
      </c>
    </row>
    <row r="3787" customFormat="false" ht="14.25" hidden="false" customHeight="true" outlineLevel="0" collapsed="false">
      <c r="A3787" s="51" t="n">
        <v>17483</v>
      </c>
      <c r="B3787" s="53" t="n">
        <v>40821.5486111111</v>
      </c>
      <c r="C3787" s="57" t="n">
        <f aca="false">INT($C$2)-INT(Table3[[#This Row],[Last Purchase Date]])</f>
        <v>66</v>
      </c>
      <c r="D3787" s="1" t="n">
        <v>3</v>
      </c>
      <c r="E3787" s="1" t="n">
        <v>414.04</v>
      </c>
      <c r="F3787" s="1" t="n">
        <f aca="false">ROUND((1-_xlfn.PERCENTRANK.INC($C$7:$C$4378,C3787))*9,0)</f>
        <v>4</v>
      </c>
      <c r="G3787" s="1" t="n">
        <f aca="false">ROUND(_xlfn.PERCENTRANK.INC($D$7:$D$4378,D3787)*9,0)</f>
        <v>4</v>
      </c>
      <c r="H3787" s="1" t="n">
        <f aca="false">ROUND(_xlfn.PERCENTRANK.INC($E$7:$E$4378,E3787)*9,0)</f>
        <v>3</v>
      </c>
      <c r="I3787" s="1" t="str">
        <f aca="false">CONCATENATE(F3787,G3787,H3787)</f>
        <v>443</v>
      </c>
      <c r="J3787" s="1" t="str">
        <f aca="false">_xlfn.IFS(AND(F3787&gt;=8,G3787&gt;=8,H3787&gt;=8),"CHAMPION",AND(F3787&gt;=6,G3787&gt;=7,H3787&gt;=6),"LOYAL CUSTOMER",AND(F3787&gt;=6,G3787&gt;=5,H3787&gt;=5),"POTENTIAL LOYALIST",AND(F3787&gt;=8,G3787&lt;=2,H3787&gt;=5),"NEW CUSTOMERS",AND(F3787&gt;=6,G3787&lt;=2,H3787&gt;=3),"PROMISING",AND(F3787&gt;=3,G3787&gt;=3,H3787&gt;=3),"NEED ATTENTION",AND(F3787&lt;=4,G3787&gt;=6,H3787&gt;=6),"AT RISK",AND(F3787&lt;=2,G3787&gt;=8,H3787&gt;=8),"CAN'T LOSE THEM",AND(F3787&lt;=2,G3787&lt;=2,H3787&lt;=2),"HIBERNATING",TRUE(),"Other")</f>
        <v>NEED ATTENTION</v>
      </c>
      <c r="K3787" s="1" t="n">
        <f aca="false">RANK(E3787,$E$7:$E$4378)+COUNTIF($E$7:E3787,E3787)-1</f>
        <v>2775</v>
      </c>
    </row>
    <row r="3788" customFormat="false" ht="14.25" hidden="false" customHeight="true" outlineLevel="0" collapsed="false">
      <c r="A3788" s="51" t="n">
        <v>17486</v>
      </c>
      <c r="B3788" s="53" t="n">
        <v>40625.5833333333</v>
      </c>
      <c r="C3788" s="57" t="n">
        <f aca="false">INT($C$2)-INT(Table3[[#This Row],[Last Purchase Date]])</f>
        <v>262</v>
      </c>
      <c r="D3788" s="1" t="n">
        <v>1</v>
      </c>
      <c r="E3788" s="1" t="n">
        <v>396.87</v>
      </c>
      <c r="F3788" s="1" t="n">
        <f aca="false">ROUND((1-_xlfn.PERCENTRANK.INC($C$7:$C$4378,C3788))*9,0)</f>
        <v>1</v>
      </c>
      <c r="G3788" s="1" t="n">
        <f aca="false">ROUND(_xlfn.PERCENTRANK.INC($D$7:$D$4378,D3788)*9,0)</f>
        <v>0</v>
      </c>
      <c r="H3788" s="1" t="n">
        <f aca="false">ROUND(_xlfn.PERCENTRANK.INC($E$7:$E$4378,E3788)*9,0)</f>
        <v>3</v>
      </c>
      <c r="I3788" s="1" t="str">
        <f aca="false">CONCATENATE(F3788,G3788,H3788)</f>
        <v>103</v>
      </c>
      <c r="J3788" s="1" t="str">
        <f aca="false">_xlfn.IFS(AND(F3788&gt;=8,G3788&gt;=8,H3788&gt;=8),"CHAMPION",AND(F3788&gt;=6,G3788&gt;=7,H3788&gt;=6),"LOYAL CUSTOMER",AND(F3788&gt;=6,G3788&gt;=5,H3788&gt;=5),"POTENTIAL LOYALIST",AND(F3788&gt;=8,G3788&lt;=2,H3788&gt;=5),"NEW CUSTOMERS",AND(F3788&gt;=6,G3788&lt;=2,H3788&gt;=3),"PROMISING",AND(F3788&gt;=3,G3788&gt;=3,H3788&gt;=3),"NEED ATTENTION",AND(F3788&lt;=4,G3788&gt;=6,H3788&gt;=6),"AT RISK",AND(F3788&lt;=2,G3788&gt;=8,H3788&gt;=8),"CAN'T LOSE THEM",AND(F3788&lt;=2,G3788&lt;=2,H3788&lt;=2),"HIBERNATING",TRUE(),"Other")</f>
        <v>Other</v>
      </c>
      <c r="K3788" s="1" t="n">
        <f aca="false">RANK(E3788,$E$7:$E$4378)+COUNTIF($E$7:E3788,E3788)-1</f>
        <v>2830</v>
      </c>
    </row>
    <row r="3789" customFormat="false" ht="14.25" hidden="false" customHeight="true" outlineLevel="0" collapsed="false">
      <c r="A3789" s="51" t="n">
        <v>17489</v>
      </c>
      <c r="B3789" s="53" t="n">
        <v>40828.3722222222</v>
      </c>
      <c r="C3789" s="57" t="n">
        <f aca="false">INT($C$2)-INT(Table3[[#This Row],[Last Purchase Date]])</f>
        <v>59</v>
      </c>
      <c r="D3789" s="1" t="n">
        <v>2</v>
      </c>
      <c r="E3789" s="1" t="n">
        <v>376.64</v>
      </c>
      <c r="F3789" s="1" t="n">
        <f aca="false">ROUND((1-_xlfn.PERCENTRANK.INC($C$7:$C$4378,C3789))*9,0)</f>
        <v>4</v>
      </c>
      <c r="G3789" s="1" t="n">
        <f aca="false">ROUND(_xlfn.PERCENTRANK.INC($D$7:$D$4378,D3789)*9,0)</f>
        <v>3</v>
      </c>
      <c r="H3789" s="1" t="n">
        <f aca="false">ROUND(_xlfn.PERCENTRANK.INC($E$7:$E$4378,E3789)*9,0)</f>
        <v>3</v>
      </c>
      <c r="I3789" s="1" t="str">
        <f aca="false">CONCATENATE(F3789,G3789,H3789)</f>
        <v>433</v>
      </c>
      <c r="J3789" s="1" t="str">
        <f aca="false">_xlfn.IFS(AND(F3789&gt;=8,G3789&gt;=8,H3789&gt;=8),"CHAMPION",AND(F3789&gt;=6,G3789&gt;=7,H3789&gt;=6),"LOYAL CUSTOMER",AND(F3789&gt;=6,G3789&gt;=5,H3789&gt;=5),"POTENTIAL LOYALIST",AND(F3789&gt;=8,G3789&lt;=2,H3789&gt;=5),"NEW CUSTOMERS",AND(F3789&gt;=6,G3789&lt;=2,H3789&gt;=3),"PROMISING",AND(F3789&gt;=3,G3789&gt;=3,H3789&gt;=3),"NEED ATTENTION",AND(F3789&lt;=4,G3789&gt;=6,H3789&gt;=6),"AT RISK",AND(F3789&lt;=2,G3789&gt;=8,H3789&gt;=8),"CAN'T LOSE THEM",AND(F3789&lt;=2,G3789&lt;=2,H3789&lt;=2),"HIBERNATING",TRUE(),"Other")</f>
        <v>NEED ATTENTION</v>
      </c>
      <c r="K3789" s="1" t="n">
        <f aca="false">RANK(E3789,$E$7:$E$4378)+COUNTIF($E$7:E3789,E3789)-1</f>
        <v>2909</v>
      </c>
    </row>
    <row r="3790" customFormat="false" ht="14.25" hidden="false" customHeight="true" outlineLevel="0" collapsed="false">
      <c r="A3790" s="51" t="n">
        <v>17490</v>
      </c>
      <c r="B3790" s="53" t="n">
        <v>40886.3805555556</v>
      </c>
      <c r="C3790" s="57" t="n">
        <f aca="false">INT($C$2)-INT(Table3[[#This Row],[Last Purchase Date]])</f>
        <v>1</v>
      </c>
      <c r="D3790" s="1" t="n">
        <v>11</v>
      </c>
      <c r="E3790" s="1" t="n">
        <v>1926.88</v>
      </c>
      <c r="F3790" s="1" t="n">
        <f aca="false">ROUND((1-_xlfn.PERCENTRANK.INC($C$7:$C$4378,C3790))*9,0)</f>
        <v>9</v>
      </c>
      <c r="G3790" s="1" t="n">
        <f aca="false">ROUND(_xlfn.PERCENTRANK.INC($D$7:$D$4378,D3790)*9,0)</f>
        <v>8</v>
      </c>
      <c r="H3790" s="1" t="n">
        <f aca="false">ROUND(_xlfn.PERCENTRANK.INC($E$7:$E$4378,E3790)*9,0)</f>
        <v>7</v>
      </c>
      <c r="I3790" s="1" t="str">
        <f aca="false">CONCATENATE(F3790,G3790,H3790)</f>
        <v>987</v>
      </c>
      <c r="J3790" s="1" t="str">
        <f aca="false">_xlfn.IFS(AND(F3790&gt;=8,G3790&gt;=8,H3790&gt;=8),"CHAMPION",AND(F3790&gt;=6,G3790&gt;=7,H3790&gt;=6),"LOYAL CUSTOMER",AND(F3790&gt;=6,G3790&gt;=5,H3790&gt;=5),"POTENTIAL LOYALIST",AND(F3790&gt;=8,G3790&lt;=2,H3790&gt;=5),"NEW CUSTOMERS",AND(F3790&gt;=6,G3790&lt;=2,H3790&gt;=3),"PROMISING",AND(F3790&gt;=3,G3790&gt;=3,H3790&gt;=3),"NEED ATTENTION",AND(F3790&lt;=4,G3790&gt;=6,H3790&gt;=6),"AT RISK",AND(F3790&lt;=2,G3790&gt;=8,H3790&gt;=8),"CAN'T LOSE THEM",AND(F3790&lt;=2,G3790&lt;=2,H3790&lt;=2),"HIBERNATING",TRUE(),"Other")</f>
        <v>LOYAL CUSTOMER</v>
      </c>
      <c r="K3790" s="1" t="n">
        <f aca="false">RANK(E3790,$E$7:$E$4378)+COUNTIF($E$7:E3790,E3790)-1</f>
        <v>904</v>
      </c>
    </row>
    <row r="3791" customFormat="false" ht="14.25" hidden="false" customHeight="true" outlineLevel="0" collapsed="false">
      <c r="A3791" s="51" t="n">
        <v>17491</v>
      </c>
      <c r="B3791" s="53" t="n">
        <v>40885.6791666667</v>
      </c>
      <c r="C3791" s="57" t="n">
        <f aca="false">INT($C$2)-INT(Table3[[#This Row],[Last Purchase Date]])</f>
        <v>2</v>
      </c>
      <c r="D3791" s="1" t="n">
        <v>11</v>
      </c>
      <c r="E3791" s="1" t="n">
        <v>3541.92</v>
      </c>
      <c r="F3791" s="1" t="n">
        <f aca="false">ROUND((1-_xlfn.PERCENTRANK.INC($C$7:$C$4378,C3791))*9,0)</f>
        <v>9</v>
      </c>
      <c r="G3791" s="1" t="n">
        <f aca="false">ROUND(_xlfn.PERCENTRANK.INC($D$7:$D$4378,D3791)*9,0)</f>
        <v>8</v>
      </c>
      <c r="H3791" s="1" t="n">
        <f aca="false">ROUND(_xlfn.PERCENTRANK.INC($E$7:$E$4378,E3791)*9,0)</f>
        <v>8</v>
      </c>
      <c r="I3791" s="1" t="str">
        <f aca="false">CONCATENATE(F3791,G3791,H3791)</f>
        <v>988</v>
      </c>
      <c r="J3791" s="1" t="str">
        <f aca="false">_xlfn.IFS(AND(F3791&gt;=8,G3791&gt;=8,H3791&gt;=8),"CHAMPION",AND(F3791&gt;=6,G3791&gt;=7,H3791&gt;=6),"LOYAL CUSTOMER",AND(F3791&gt;=6,G3791&gt;=5,H3791&gt;=5),"POTENTIAL LOYALIST",AND(F3791&gt;=8,G3791&lt;=2,H3791&gt;=5),"NEW CUSTOMERS",AND(F3791&gt;=6,G3791&lt;=2,H3791&gt;=3),"PROMISING",AND(F3791&gt;=3,G3791&gt;=3,H3791&gt;=3),"NEED ATTENTION",AND(F3791&lt;=4,G3791&gt;=6,H3791&gt;=6),"AT RISK",AND(F3791&lt;=2,G3791&gt;=8,H3791&gt;=8),"CAN'T LOSE THEM",AND(F3791&lt;=2,G3791&lt;=2,H3791&lt;=2),"HIBERNATING",TRUE(),"Other")</f>
        <v>CHAMPION</v>
      </c>
      <c r="K3791" s="1" t="n">
        <f aca="false">RANK(E3791,$E$7:$E$4378)+COUNTIF($E$7:E3791,E3791)-1</f>
        <v>432</v>
      </c>
    </row>
    <row r="3792" customFormat="false" ht="14.25" hidden="false" customHeight="true" outlineLevel="0" collapsed="false">
      <c r="A3792" s="51" t="n">
        <v>17492</v>
      </c>
      <c r="B3792" s="53" t="n">
        <v>40638.6395833333</v>
      </c>
      <c r="C3792" s="57" t="n">
        <f aca="false">INT($C$2)-INT(Table3[[#This Row],[Last Purchase Date]])</f>
        <v>249</v>
      </c>
      <c r="D3792" s="1" t="n">
        <v>1</v>
      </c>
      <c r="E3792" s="1" t="n">
        <v>374.57</v>
      </c>
      <c r="F3792" s="1" t="n">
        <f aca="false">ROUND((1-_xlfn.PERCENTRANK.INC($C$7:$C$4378,C3792))*9,0)</f>
        <v>1</v>
      </c>
      <c r="G3792" s="1" t="n">
        <f aca="false">ROUND(_xlfn.PERCENTRANK.INC($D$7:$D$4378,D3792)*9,0)</f>
        <v>0</v>
      </c>
      <c r="H3792" s="1" t="n">
        <f aca="false">ROUND(_xlfn.PERCENTRANK.INC($E$7:$E$4378,E3792)*9,0)</f>
        <v>3</v>
      </c>
      <c r="I3792" s="1" t="str">
        <f aca="false">CONCATENATE(F3792,G3792,H3792)</f>
        <v>103</v>
      </c>
      <c r="J3792" s="1" t="str">
        <f aca="false">_xlfn.IFS(AND(F3792&gt;=8,G3792&gt;=8,H3792&gt;=8),"CHAMPION",AND(F3792&gt;=6,G3792&gt;=7,H3792&gt;=6),"LOYAL CUSTOMER",AND(F3792&gt;=6,G3792&gt;=5,H3792&gt;=5),"POTENTIAL LOYALIST",AND(F3792&gt;=8,G3792&lt;=2,H3792&gt;=5),"NEW CUSTOMERS",AND(F3792&gt;=6,G3792&lt;=2,H3792&gt;=3),"PROMISING",AND(F3792&gt;=3,G3792&gt;=3,H3792&gt;=3),"NEED ATTENTION",AND(F3792&lt;=4,G3792&gt;=6,H3792&gt;=6),"AT RISK",AND(F3792&lt;=2,G3792&gt;=8,H3792&gt;=8),"CAN'T LOSE THEM",AND(F3792&lt;=2,G3792&lt;=2,H3792&lt;=2),"HIBERNATING",TRUE(),"Other")</f>
        <v>Other</v>
      </c>
      <c r="K3792" s="1" t="n">
        <f aca="false">RANK(E3792,$E$7:$E$4378)+COUNTIF($E$7:E3792,E3792)-1</f>
        <v>2915</v>
      </c>
    </row>
    <row r="3793" customFormat="false" ht="14.25" hidden="false" customHeight="true" outlineLevel="0" collapsed="false">
      <c r="A3793" s="51" t="n">
        <v>17495</v>
      </c>
      <c r="B3793" s="53" t="n">
        <v>40879.5055555556</v>
      </c>
      <c r="C3793" s="57" t="n">
        <f aca="false">INT($C$2)-INT(Table3[[#This Row],[Last Purchase Date]])</f>
        <v>8</v>
      </c>
      <c r="D3793" s="1" t="n">
        <v>2</v>
      </c>
      <c r="E3793" s="1" t="n">
        <v>497.56</v>
      </c>
      <c r="F3793" s="1" t="n">
        <f aca="false">ROUND((1-_xlfn.PERCENTRANK.INC($C$7:$C$4378,C3793))*9,0)</f>
        <v>8</v>
      </c>
      <c r="G3793" s="1" t="n">
        <f aca="false">ROUND(_xlfn.PERCENTRANK.INC($D$7:$D$4378,D3793)*9,0)</f>
        <v>3</v>
      </c>
      <c r="H3793" s="1" t="n">
        <f aca="false">ROUND(_xlfn.PERCENTRANK.INC($E$7:$E$4378,E3793)*9,0)</f>
        <v>4</v>
      </c>
      <c r="I3793" s="1" t="str">
        <f aca="false">CONCATENATE(F3793,G3793,H3793)</f>
        <v>834</v>
      </c>
      <c r="J3793" s="1" t="str">
        <f aca="false">_xlfn.IFS(AND(F3793&gt;=8,G3793&gt;=8,H3793&gt;=8),"CHAMPION",AND(F3793&gt;=6,G3793&gt;=7,H3793&gt;=6),"LOYAL CUSTOMER",AND(F3793&gt;=6,G3793&gt;=5,H3793&gt;=5),"POTENTIAL LOYALIST",AND(F3793&gt;=8,G3793&lt;=2,H3793&gt;=5),"NEW CUSTOMERS",AND(F3793&gt;=6,G3793&lt;=2,H3793&gt;=3),"PROMISING",AND(F3793&gt;=3,G3793&gt;=3,H3793&gt;=3),"NEED ATTENTION",AND(F3793&lt;=4,G3793&gt;=6,H3793&gt;=6),"AT RISK",AND(F3793&lt;=2,G3793&gt;=8,H3793&gt;=8),"CAN'T LOSE THEM",AND(F3793&lt;=2,G3793&lt;=2,H3793&lt;=2),"HIBERNATING",TRUE(),"Other")</f>
        <v>NEED ATTENTION</v>
      </c>
      <c r="K3793" s="1" t="n">
        <f aca="false">RANK(E3793,$E$7:$E$4378)+COUNTIF($E$7:E3793,E3793)-1</f>
        <v>2548</v>
      </c>
    </row>
    <row r="3794" customFormat="false" ht="14.25" hidden="false" customHeight="true" outlineLevel="0" collapsed="false">
      <c r="A3794" s="51" t="n">
        <v>17496</v>
      </c>
      <c r="B3794" s="53" t="n">
        <v>40528.3604166667</v>
      </c>
      <c r="C3794" s="57" t="n">
        <f aca="false">INT($C$2)-INT(Table3[[#This Row],[Last Purchase Date]])</f>
        <v>359</v>
      </c>
      <c r="D3794" s="1" t="n">
        <v>1</v>
      </c>
      <c r="E3794" s="1" t="n">
        <v>271.05</v>
      </c>
      <c r="F3794" s="1" t="n">
        <f aca="false">ROUND((1-_xlfn.PERCENTRANK.INC($C$7:$C$4378,C3794))*9,0)</f>
        <v>0</v>
      </c>
      <c r="G3794" s="1" t="n">
        <f aca="false">ROUND(_xlfn.PERCENTRANK.INC($D$7:$D$4378,D3794)*9,0)</f>
        <v>0</v>
      </c>
      <c r="H3794" s="1" t="n">
        <f aca="false">ROUND(_xlfn.PERCENTRANK.INC($E$7:$E$4378,E3794)*9,0)</f>
        <v>2</v>
      </c>
      <c r="I3794" s="1" t="str">
        <f aca="false">CONCATENATE(F3794,G3794,H3794)</f>
        <v>002</v>
      </c>
      <c r="J3794" s="1" t="str">
        <f aca="false">_xlfn.IFS(AND(F3794&gt;=8,G3794&gt;=8,H3794&gt;=8),"CHAMPION",AND(F3794&gt;=6,G3794&gt;=7,H3794&gt;=6),"LOYAL CUSTOMER",AND(F3794&gt;=6,G3794&gt;=5,H3794&gt;=5),"POTENTIAL LOYALIST",AND(F3794&gt;=8,G3794&lt;=2,H3794&gt;=5),"NEW CUSTOMERS",AND(F3794&gt;=6,G3794&lt;=2,H3794&gt;=3),"PROMISING",AND(F3794&gt;=3,G3794&gt;=3,H3794&gt;=3),"NEED ATTENTION",AND(F3794&lt;=4,G3794&gt;=6,H3794&gt;=6),"AT RISK",AND(F3794&lt;=2,G3794&gt;=8,H3794&gt;=8),"CAN'T LOSE THEM",AND(F3794&lt;=2,G3794&lt;=2,H3794&lt;=2),"HIBERNATING",TRUE(),"Other")</f>
        <v>HIBERNATING</v>
      </c>
      <c r="K3794" s="1" t="n">
        <f aca="false">RANK(E3794,$E$7:$E$4378)+COUNTIF($E$7:E3794,E3794)-1</f>
        <v>3358</v>
      </c>
    </row>
    <row r="3795" customFormat="false" ht="14.25" hidden="false" customHeight="true" outlineLevel="0" collapsed="false">
      <c r="A3795" s="51" t="n">
        <v>17498</v>
      </c>
      <c r="B3795" s="53" t="n">
        <v>40811.5173611111</v>
      </c>
      <c r="C3795" s="57" t="n">
        <f aca="false">INT($C$2)-INT(Table3[[#This Row],[Last Purchase Date]])</f>
        <v>76</v>
      </c>
      <c r="D3795" s="1" t="n">
        <v>1</v>
      </c>
      <c r="E3795" s="1" t="n">
        <v>272.22</v>
      </c>
      <c r="F3795" s="1" t="n">
        <f aca="false">ROUND((1-_xlfn.PERCENTRANK.INC($C$7:$C$4378,C3795))*9,0)</f>
        <v>3</v>
      </c>
      <c r="G3795" s="1" t="n">
        <f aca="false">ROUND(_xlfn.PERCENTRANK.INC($D$7:$D$4378,D3795)*9,0)</f>
        <v>0</v>
      </c>
      <c r="H3795" s="1" t="n">
        <f aca="false">ROUND(_xlfn.PERCENTRANK.INC($E$7:$E$4378,E3795)*9,0)</f>
        <v>2</v>
      </c>
      <c r="I3795" s="1" t="str">
        <f aca="false">CONCATENATE(F3795,G3795,H3795)</f>
        <v>302</v>
      </c>
      <c r="J3795" s="1" t="str">
        <f aca="false">_xlfn.IFS(AND(F3795&gt;=8,G3795&gt;=8,H3795&gt;=8),"CHAMPION",AND(F3795&gt;=6,G3795&gt;=7,H3795&gt;=6),"LOYAL CUSTOMER",AND(F3795&gt;=6,G3795&gt;=5,H3795&gt;=5),"POTENTIAL LOYALIST",AND(F3795&gt;=8,G3795&lt;=2,H3795&gt;=5),"NEW CUSTOMERS",AND(F3795&gt;=6,G3795&lt;=2,H3795&gt;=3),"PROMISING",AND(F3795&gt;=3,G3795&gt;=3,H3795&gt;=3),"NEED ATTENTION",AND(F3795&lt;=4,G3795&gt;=6,H3795&gt;=6),"AT RISK",AND(F3795&lt;=2,G3795&gt;=8,H3795&gt;=8),"CAN'T LOSE THEM",AND(F3795&lt;=2,G3795&lt;=2,H3795&lt;=2),"HIBERNATING",TRUE(),"Other")</f>
        <v>Other</v>
      </c>
      <c r="K3795" s="1" t="n">
        <f aca="false">RANK(E3795,$E$7:$E$4378)+COUNTIF($E$7:E3795,E3795)-1</f>
        <v>3351</v>
      </c>
    </row>
    <row r="3796" customFormat="false" ht="14.25" hidden="false" customHeight="true" outlineLevel="0" collapsed="false">
      <c r="A3796" s="51" t="n">
        <v>17499</v>
      </c>
      <c r="B3796" s="53" t="n">
        <v>40597.3847222222</v>
      </c>
      <c r="C3796" s="57" t="n">
        <f aca="false">INT($C$2)-INT(Table3[[#This Row],[Last Purchase Date]])</f>
        <v>290</v>
      </c>
      <c r="D3796" s="1" t="n">
        <v>1</v>
      </c>
      <c r="E3796" s="1" t="n">
        <v>622.88</v>
      </c>
      <c r="F3796" s="1" t="n">
        <f aca="false">ROUND((1-_xlfn.PERCENTRANK.INC($C$7:$C$4378,C3796))*9,0)</f>
        <v>1</v>
      </c>
      <c r="G3796" s="1" t="n">
        <f aca="false">ROUND(_xlfn.PERCENTRANK.INC($D$7:$D$4378,D3796)*9,0)</f>
        <v>0</v>
      </c>
      <c r="H3796" s="1" t="n">
        <f aca="false">ROUND(_xlfn.PERCENTRANK.INC($E$7:$E$4378,E3796)*9,0)</f>
        <v>4</v>
      </c>
      <c r="I3796" s="1" t="str">
        <f aca="false">CONCATENATE(F3796,G3796,H3796)</f>
        <v>104</v>
      </c>
      <c r="J3796" s="1" t="str">
        <f aca="false">_xlfn.IFS(AND(F3796&gt;=8,G3796&gt;=8,H3796&gt;=8),"CHAMPION",AND(F3796&gt;=6,G3796&gt;=7,H3796&gt;=6),"LOYAL CUSTOMER",AND(F3796&gt;=6,G3796&gt;=5,H3796&gt;=5),"POTENTIAL LOYALIST",AND(F3796&gt;=8,G3796&lt;=2,H3796&gt;=5),"NEW CUSTOMERS",AND(F3796&gt;=6,G3796&lt;=2,H3796&gt;=3),"PROMISING",AND(F3796&gt;=3,G3796&gt;=3,H3796&gt;=3),"NEED ATTENTION",AND(F3796&lt;=4,G3796&gt;=6,H3796&gt;=6),"AT RISK",AND(F3796&lt;=2,G3796&gt;=8,H3796&gt;=8),"CAN'T LOSE THEM",AND(F3796&lt;=2,G3796&lt;=2,H3796&lt;=2),"HIBERNATING",TRUE(),"Other")</f>
        <v>Other</v>
      </c>
      <c r="K3796" s="1" t="n">
        <f aca="false">RANK(E3796,$E$7:$E$4378)+COUNTIF($E$7:E3796,E3796)-1</f>
        <v>2249</v>
      </c>
    </row>
    <row r="3797" customFormat="false" ht="14.25" hidden="false" customHeight="true" outlineLevel="0" collapsed="false">
      <c r="A3797" s="51" t="n">
        <v>17500</v>
      </c>
      <c r="B3797" s="53" t="n">
        <v>40869.6006944445</v>
      </c>
      <c r="C3797" s="57" t="n">
        <f aca="false">INT($C$2)-INT(Table3[[#This Row],[Last Purchase Date]])</f>
        <v>18</v>
      </c>
      <c r="D3797" s="1" t="n">
        <v>3</v>
      </c>
      <c r="E3797" s="1" t="n">
        <v>1138</v>
      </c>
      <c r="F3797" s="1" t="n">
        <f aca="false">ROUND((1-_xlfn.PERCENTRANK.INC($C$7:$C$4378,C3797))*9,0)</f>
        <v>7</v>
      </c>
      <c r="G3797" s="1" t="n">
        <f aca="false">ROUND(_xlfn.PERCENTRANK.INC($D$7:$D$4378,D3797)*9,0)</f>
        <v>4</v>
      </c>
      <c r="H3797" s="1" t="n">
        <f aca="false">ROUND(_xlfn.PERCENTRANK.INC($E$7:$E$4378,E3797)*9,0)</f>
        <v>6</v>
      </c>
      <c r="I3797" s="1" t="str">
        <f aca="false">CONCATENATE(F3797,G3797,H3797)</f>
        <v>746</v>
      </c>
      <c r="J3797" s="1" t="str">
        <f aca="false">_xlfn.IFS(AND(F3797&gt;=8,G3797&gt;=8,H3797&gt;=8),"CHAMPION",AND(F3797&gt;=6,G3797&gt;=7,H3797&gt;=6),"LOYAL CUSTOMER",AND(F3797&gt;=6,G3797&gt;=5,H3797&gt;=5),"POTENTIAL LOYALIST",AND(F3797&gt;=8,G3797&lt;=2,H3797&gt;=5),"NEW CUSTOMERS",AND(F3797&gt;=6,G3797&lt;=2,H3797&gt;=3),"PROMISING",AND(F3797&gt;=3,G3797&gt;=3,H3797&gt;=3),"NEED ATTENTION",AND(F3797&lt;=4,G3797&gt;=6,H3797&gt;=6),"AT RISK",AND(F3797&lt;=2,G3797&gt;=8,H3797&gt;=8),"CAN'T LOSE THEM",AND(F3797&lt;=2,G3797&lt;=2,H3797&lt;=2),"HIBERNATING",TRUE(),"Other")</f>
        <v>NEED ATTENTION</v>
      </c>
      <c r="K3797" s="1" t="n">
        <f aca="false">RANK(E3797,$E$7:$E$4378)+COUNTIF($E$7:E3797,E3797)-1</f>
        <v>1465</v>
      </c>
    </row>
    <row r="3798" customFormat="false" ht="14.25" hidden="false" customHeight="true" outlineLevel="0" collapsed="false">
      <c r="A3798" s="51" t="n">
        <v>17501</v>
      </c>
      <c r="B3798" s="53" t="n">
        <v>40666.4076388889</v>
      </c>
      <c r="C3798" s="57" t="n">
        <f aca="false">INT($C$2)-INT(Table3[[#This Row],[Last Purchase Date]])</f>
        <v>221</v>
      </c>
      <c r="D3798" s="1" t="n">
        <v>2</v>
      </c>
      <c r="E3798" s="1" t="n">
        <v>288.6</v>
      </c>
      <c r="F3798" s="1" t="n">
        <f aca="false">ROUND((1-_xlfn.PERCENTRANK.INC($C$7:$C$4378,C3798))*9,0)</f>
        <v>1</v>
      </c>
      <c r="G3798" s="1" t="n">
        <f aca="false">ROUND(_xlfn.PERCENTRANK.INC($D$7:$D$4378,D3798)*9,0)</f>
        <v>3</v>
      </c>
      <c r="H3798" s="1" t="n">
        <f aca="false">ROUND(_xlfn.PERCENTRANK.INC($E$7:$E$4378,E3798)*9,0)</f>
        <v>2</v>
      </c>
      <c r="I3798" s="1" t="str">
        <f aca="false">CONCATENATE(F3798,G3798,H3798)</f>
        <v>132</v>
      </c>
      <c r="J3798" s="1" t="str">
        <f aca="false">_xlfn.IFS(AND(F3798&gt;=8,G3798&gt;=8,H3798&gt;=8),"CHAMPION",AND(F3798&gt;=6,G3798&gt;=7,H3798&gt;=6),"LOYAL CUSTOMER",AND(F3798&gt;=6,G3798&gt;=5,H3798&gt;=5),"POTENTIAL LOYALIST",AND(F3798&gt;=8,G3798&lt;=2,H3798&gt;=5),"NEW CUSTOMERS",AND(F3798&gt;=6,G3798&lt;=2,H3798&gt;=3),"PROMISING",AND(F3798&gt;=3,G3798&gt;=3,H3798&gt;=3),"NEED ATTENTION",AND(F3798&lt;=4,G3798&gt;=6,H3798&gt;=6),"AT RISK",AND(F3798&lt;=2,G3798&gt;=8,H3798&gt;=8),"CAN'T LOSE THEM",AND(F3798&lt;=2,G3798&lt;=2,H3798&lt;=2),"HIBERNATING",TRUE(),"Other")</f>
        <v>Other</v>
      </c>
      <c r="K3798" s="1" t="n">
        <f aca="false">RANK(E3798,$E$7:$E$4378)+COUNTIF($E$7:E3798,E3798)-1</f>
        <v>3302</v>
      </c>
    </row>
    <row r="3799" customFormat="false" ht="14.25" hidden="false" customHeight="true" outlineLevel="0" collapsed="false">
      <c r="A3799" s="51" t="n">
        <v>17502</v>
      </c>
      <c r="B3799" s="53" t="n">
        <v>40877.5506944444</v>
      </c>
      <c r="C3799" s="57" t="n">
        <f aca="false">INT($C$2)-INT(Table3[[#This Row],[Last Purchase Date]])</f>
        <v>10</v>
      </c>
      <c r="D3799" s="1" t="n">
        <v>4</v>
      </c>
      <c r="E3799" s="1" t="n">
        <v>689.1</v>
      </c>
      <c r="F3799" s="1" t="n">
        <f aca="false">ROUND((1-_xlfn.PERCENTRANK.INC($C$7:$C$4378,C3799))*9,0)</f>
        <v>8</v>
      </c>
      <c r="G3799" s="1" t="n">
        <f aca="false">ROUND(_xlfn.PERCENTRANK.INC($D$7:$D$4378,D3799)*9,0)</f>
        <v>5</v>
      </c>
      <c r="H3799" s="1" t="n">
        <f aca="false">ROUND(_xlfn.PERCENTRANK.INC($E$7:$E$4378,E3799)*9,0)</f>
        <v>5</v>
      </c>
      <c r="I3799" s="1" t="str">
        <f aca="false">CONCATENATE(F3799,G3799,H3799)</f>
        <v>855</v>
      </c>
      <c r="J3799" s="1" t="str">
        <f aca="false">_xlfn.IFS(AND(F3799&gt;=8,G3799&gt;=8,H3799&gt;=8),"CHAMPION",AND(F3799&gt;=6,G3799&gt;=7,H3799&gt;=6),"LOYAL CUSTOMER",AND(F3799&gt;=6,G3799&gt;=5,H3799&gt;=5),"POTENTIAL LOYALIST",AND(F3799&gt;=8,G3799&lt;=2,H3799&gt;=5),"NEW CUSTOMERS",AND(F3799&gt;=6,G3799&lt;=2,H3799&gt;=3),"PROMISING",AND(F3799&gt;=3,G3799&gt;=3,H3799&gt;=3),"NEED ATTENTION",AND(F3799&lt;=4,G3799&gt;=6,H3799&gt;=6),"AT RISK",AND(F3799&lt;=2,G3799&gt;=8,H3799&gt;=8),"CAN'T LOSE THEM",AND(F3799&lt;=2,G3799&lt;=2,H3799&lt;=2),"HIBERNATING",TRUE(),"Other")</f>
        <v>POTENTIAL LOYALIST</v>
      </c>
      <c r="K3799" s="1" t="n">
        <f aca="false">RANK(E3799,$E$7:$E$4378)+COUNTIF($E$7:E3799,E3799)-1</f>
        <v>2084</v>
      </c>
    </row>
    <row r="3800" customFormat="false" ht="14.25" hidden="false" customHeight="true" outlineLevel="0" collapsed="false">
      <c r="A3800" s="51" t="n">
        <v>17503</v>
      </c>
      <c r="B3800" s="53" t="n">
        <v>40884.3875</v>
      </c>
      <c r="C3800" s="57" t="n">
        <f aca="false">INT($C$2)-INT(Table3[[#This Row],[Last Purchase Date]])</f>
        <v>3</v>
      </c>
      <c r="D3800" s="1" t="n">
        <v>2</v>
      </c>
      <c r="E3800" s="1" t="n">
        <v>558.96</v>
      </c>
      <c r="F3800" s="1" t="n">
        <f aca="false">ROUND((1-_xlfn.PERCENTRANK.INC($C$7:$C$4378,C3800))*9,0)</f>
        <v>9</v>
      </c>
      <c r="G3800" s="1" t="n">
        <f aca="false">ROUND(_xlfn.PERCENTRANK.INC($D$7:$D$4378,D3800)*9,0)</f>
        <v>3</v>
      </c>
      <c r="H3800" s="1" t="n">
        <f aca="false">ROUND(_xlfn.PERCENTRANK.INC($E$7:$E$4378,E3800)*9,0)</f>
        <v>4</v>
      </c>
      <c r="I3800" s="1" t="str">
        <f aca="false">CONCATENATE(F3800,G3800,H3800)</f>
        <v>934</v>
      </c>
      <c r="J3800" s="1" t="str">
        <f aca="false">_xlfn.IFS(AND(F3800&gt;=8,G3800&gt;=8,H3800&gt;=8),"CHAMPION",AND(F3800&gt;=6,G3800&gt;=7,H3800&gt;=6),"LOYAL CUSTOMER",AND(F3800&gt;=6,G3800&gt;=5,H3800&gt;=5),"POTENTIAL LOYALIST",AND(F3800&gt;=8,G3800&lt;=2,H3800&gt;=5),"NEW CUSTOMERS",AND(F3800&gt;=6,G3800&lt;=2,H3800&gt;=3),"PROMISING",AND(F3800&gt;=3,G3800&gt;=3,H3800&gt;=3),"NEED ATTENTION",AND(F3800&lt;=4,G3800&gt;=6,H3800&gt;=6),"AT RISK",AND(F3800&lt;=2,G3800&gt;=8,H3800&gt;=8),"CAN'T LOSE THEM",AND(F3800&lt;=2,G3800&lt;=2,H3800&lt;=2),"HIBERNATING",TRUE(),"Other")</f>
        <v>NEED ATTENTION</v>
      </c>
      <c r="K3800" s="1" t="n">
        <f aca="false">RANK(E3800,$E$7:$E$4378)+COUNTIF($E$7:E3800,E3800)-1</f>
        <v>2411</v>
      </c>
    </row>
    <row r="3801" customFormat="false" ht="14.25" hidden="false" customHeight="true" outlineLevel="0" collapsed="false">
      <c r="A3801" s="51" t="n">
        <v>17504</v>
      </c>
      <c r="B3801" s="53" t="n">
        <v>40680.5409722222</v>
      </c>
      <c r="C3801" s="57" t="n">
        <f aca="false">INT($C$2)-INT(Table3[[#This Row],[Last Purchase Date]])</f>
        <v>207</v>
      </c>
      <c r="D3801" s="1" t="n">
        <v>10</v>
      </c>
      <c r="E3801" s="1" t="n">
        <v>2745.28</v>
      </c>
      <c r="F3801" s="1" t="n">
        <f aca="false">ROUND((1-_xlfn.PERCENTRANK.INC($C$7:$C$4378,C3801))*9,0)</f>
        <v>1</v>
      </c>
      <c r="G3801" s="1" t="n">
        <f aca="false">ROUND(_xlfn.PERCENTRANK.INC($D$7:$D$4378,D3801)*9,0)</f>
        <v>8</v>
      </c>
      <c r="H3801" s="1" t="n">
        <f aca="false">ROUND(_xlfn.PERCENTRANK.INC($E$7:$E$4378,E3801)*9,0)</f>
        <v>8</v>
      </c>
      <c r="I3801" s="1" t="str">
        <f aca="false">CONCATENATE(F3801,G3801,H3801)</f>
        <v>188</v>
      </c>
      <c r="J3801" s="1" t="str">
        <f aca="false">_xlfn.IFS(AND(F3801&gt;=8,G3801&gt;=8,H3801&gt;=8),"CHAMPION",AND(F3801&gt;=6,G3801&gt;=7,H3801&gt;=6),"LOYAL CUSTOMER",AND(F3801&gt;=6,G3801&gt;=5,H3801&gt;=5),"POTENTIAL LOYALIST",AND(F3801&gt;=8,G3801&lt;=2,H3801&gt;=5),"NEW CUSTOMERS",AND(F3801&gt;=6,G3801&lt;=2,H3801&gt;=3),"PROMISING",AND(F3801&gt;=3,G3801&gt;=3,H3801&gt;=3),"NEED ATTENTION",AND(F3801&lt;=4,G3801&gt;=6,H3801&gt;=6),"AT RISK",AND(F3801&lt;=2,G3801&gt;=8,H3801&gt;=8),"CAN'T LOSE THEM",AND(F3801&lt;=2,G3801&lt;=2,H3801&lt;=2),"HIBERNATING",TRUE(),"Other")</f>
        <v>AT RISK</v>
      </c>
      <c r="K3801" s="1" t="n">
        <f aca="false">RANK(E3801,$E$7:$E$4378)+COUNTIF($E$7:E3801,E3801)-1</f>
        <v>604</v>
      </c>
    </row>
    <row r="3802" customFormat="false" ht="14.25" hidden="false" customHeight="true" outlineLevel="0" collapsed="false">
      <c r="A3802" s="51" t="n">
        <v>17505</v>
      </c>
      <c r="B3802" s="53" t="n">
        <v>40725.5347222222</v>
      </c>
      <c r="C3802" s="57" t="n">
        <f aca="false">INT($C$2)-INT(Table3[[#This Row],[Last Purchase Date]])</f>
        <v>162</v>
      </c>
      <c r="D3802" s="1" t="n">
        <v>2</v>
      </c>
      <c r="E3802" s="1" t="n">
        <v>1145.84</v>
      </c>
      <c r="F3802" s="1" t="n">
        <f aca="false">ROUND((1-_xlfn.PERCENTRANK.INC($C$7:$C$4378,C3802))*9,0)</f>
        <v>2</v>
      </c>
      <c r="G3802" s="1" t="n">
        <f aca="false">ROUND(_xlfn.PERCENTRANK.INC($D$7:$D$4378,D3802)*9,0)</f>
        <v>3</v>
      </c>
      <c r="H3802" s="1" t="n">
        <f aca="false">ROUND(_xlfn.PERCENTRANK.INC($E$7:$E$4378,E3802)*9,0)</f>
        <v>6</v>
      </c>
      <c r="I3802" s="1" t="str">
        <f aca="false">CONCATENATE(F3802,G3802,H3802)</f>
        <v>236</v>
      </c>
      <c r="J3802" s="1" t="str">
        <f aca="false">_xlfn.IFS(AND(F3802&gt;=8,G3802&gt;=8,H3802&gt;=8),"CHAMPION",AND(F3802&gt;=6,G3802&gt;=7,H3802&gt;=6),"LOYAL CUSTOMER",AND(F3802&gt;=6,G3802&gt;=5,H3802&gt;=5),"POTENTIAL LOYALIST",AND(F3802&gt;=8,G3802&lt;=2,H3802&gt;=5),"NEW CUSTOMERS",AND(F3802&gt;=6,G3802&lt;=2,H3802&gt;=3),"PROMISING",AND(F3802&gt;=3,G3802&gt;=3,H3802&gt;=3),"NEED ATTENTION",AND(F3802&lt;=4,G3802&gt;=6,H3802&gt;=6),"AT RISK",AND(F3802&lt;=2,G3802&gt;=8,H3802&gt;=8),"CAN'T LOSE THEM",AND(F3802&lt;=2,G3802&lt;=2,H3802&lt;=2),"HIBERNATING",TRUE(),"Other")</f>
        <v>Other</v>
      </c>
      <c r="K3802" s="1" t="n">
        <f aca="false">RANK(E3802,$E$7:$E$4378)+COUNTIF($E$7:E3802,E3802)-1</f>
        <v>1451</v>
      </c>
    </row>
    <row r="3803" customFormat="false" ht="14.25" hidden="false" customHeight="true" outlineLevel="0" collapsed="false">
      <c r="A3803" s="51" t="n">
        <v>17506</v>
      </c>
      <c r="B3803" s="53" t="n">
        <v>40816.5375</v>
      </c>
      <c r="C3803" s="57" t="n">
        <f aca="false">INT($C$2)-INT(Table3[[#This Row],[Last Purchase Date]])</f>
        <v>71</v>
      </c>
      <c r="D3803" s="1" t="n">
        <v>2</v>
      </c>
      <c r="E3803" s="1" t="n">
        <v>294.29</v>
      </c>
      <c r="F3803" s="1" t="n">
        <f aca="false">ROUND((1-_xlfn.PERCENTRANK.INC($C$7:$C$4378,C3803))*9,0)</f>
        <v>4</v>
      </c>
      <c r="G3803" s="1" t="n">
        <f aca="false">ROUND(_xlfn.PERCENTRANK.INC($D$7:$D$4378,D3803)*9,0)</f>
        <v>3</v>
      </c>
      <c r="H3803" s="1" t="n">
        <f aca="false">ROUND(_xlfn.PERCENTRANK.INC($E$7:$E$4378,E3803)*9,0)</f>
        <v>2</v>
      </c>
      <c r="I3803" s="1" t="str">
        <f aca="false">CONCATENATE(F3803,G3803,H3803)</f>
        <v>432</v>
      </c>
      <c r="J3803" s="1" t="str">
        <f aca="false">_xlfn.IFS(AND(F3803&gt;=8,G3803&gt;=8,H3803&gt;=8),"CHAMPION",AND(F3803&gt;=6,G3803&gt;=7,H3803&gt;=6),"LOYAL CUSTOMER",AND(F3803&gt;=6,G3803&gt;=5,H3803&gt;=5),"POTENTIAL LOYALIST",AND(F3803&gt;=8,G3803&lt;=2,H3803&gt;=5),"NEW CUSTOMERS",AND(F3803&gt;=6,G3803&lt;=2,H3803&gt;=3),"PROMISING",AND(F3803&gt;=3,G3803&gt;=3,H3803&gt;=3),"NEED ATTENTION",AND(F3803&lt;=4,G3803&gt;=6,H3803&gt;=6),"AT RISK",AND(F3803&lt;=2,G3803&gt;=8,H3803&gt;=8),"CAN'T LOSE THEM",AND(F3803&lt;=2,G3803&lt;=2,H3803&lt;=2),"HIBERNATING",TRUE(),"Other")</f>
        <v>Other</v>
      </c>
      <c r="K3803" s="1" t="n">
        <f aca="false">RANK(E3803,$E$7:$E$4378)+COUNTIF($E$7:E3803,E3803)-1</f>
        <v>3277</v>
      </c>
    </row>
    <row r="3804" customFormat="false" ht="14.25" hidden="false" customHeight="true" outlineLevel="0" collapsed="false">
      <c r="A3804" s="51" t="n">
        <v>17507</v>
      </c>
      <c r="B3804" s="53" t="n">
        <v>40625.4916666667</v>
      </c>
      <c r="C3804" s="57" t="n">
        <f aca="false">INT($C$2)-INT(Table3[[#This Row],[Last Purchase Date]])</f>
        <v>262</v>
      </c>
      <c r="D3804" s="1" t="n">
        <v>2</v>
      </c>
      <c r="E3804" s="1" t="n">
        <v>605.58</v>
      </c>
      <c r="F3804" s="1" t="n">
        <f aca="false">ROUND((1-_xlfn.PERCENTRANK.INC($C$7:$C$4378,C3804))*9,0)</f>
        <v>1</v>
      </c>
      <c r="G3804" s="1" t="n">
        <f aca="false">ROUND(_xlfn.PERCENTRANK.INC($D$7:$D$4378,D3804)*9,0)</f>
        <v>3</v>
      </c>
      <c r="H3804" s="1" t="n">
        <f aca="false">ROUND(_xlfn.PERCENTRANK.INC($E$7:$E$4378,E3804)*9,0)</f>
        <v>4</v>
      </c>
      <c r="I3804" s="1" t="str">
        <f aca="false">CONCATENATE(F3804,G3804,H3804)</f>
        <v>134</v>
      </c>
      <c r="J3804" s="1" t="str">
        <f aca="false">_xlfn.IFS(AND(F3804&gt;=8,G3804&gt;=8,H3804&gt;=8),"CHAMPION",AND(F3804&gt;=6,G3804&gt;=7,H3804&gt;=6),"LOYAL CUSTOMER",AND(F3804&gt;=6,G3804&gt;=5,H3804&gt;=5),"POTENTIAL LOYALIST",AND(F3804&gt;=8,G3804&lt;=2,H3804&gt;=5),"NEW CUSTOMERS",AND(F3804&gt;=6,G3804&lt;=2,H3804&gt;=3),"PROMISING",AND(F3804&gt;=3,G3804&gt;=3,H3804&gt;=3),"NEED ATTENTION",AND(F3804&lt;=4,G3804&gt;=6,H3804&gt;=6),"AT RISK",AND(F3804&lt;=2,G3804&gt;=8,H3804&gt;=8),"CAN'T LOSE THEM",AND(F3804&lt;=2,G3804&lt;=2,H3804&lt;=2),"HIBERNATING",TRUE(),"Other")</f>
        <v>Other</v>
      </c>
      <c r="K3804" s="1" t="n">
        <f aca="false">RANK(E3804,$E$7:$E$4378)+COUNTIF($E$7:E3804,E3804)-1</f>
        <v>2296</v>
      </c>
    </row>
    <row r="3805" customFormat="false" ht="14.25" hidden="false" customHeight="true" outlineLevel="0" collapsed="false">
      <c r="A3805" s="51" t="n">
        <v>17508</v>
      </c>
      <c r="B3805" s="53" t="n">
        <v>40606.3402777778</v>
      </c>
      <c r="C3805" s="57" t="n">
        <f aca="false">INT($C$2)-INT(Table3[[#This Row],[Last Purchase Date]])</f>
        <v>281</v>
      </c>
      <c r="D3805" s="1" t="n">
        <v>1</v>
      </c>
      <c r="E3805" s="1" t="n">
        <v>387.31</v>
      </c>
      <c r="F3805" s="1" t="n">
        <f aca="false">ROUND((1-_xlfn.PERCENTRANK.INC($C$7:$C$4378,C3805))*9,0)</f>
        <v>1</v>
      </c>
      <c r="G3805" s="1" t="n">
        <f aca="false">ROUND(_xlfn.PERCENTRANK.INC($D$7:$D$4378,D3805)*9,0)</f>
        <v>0</v>
      </c>
      <c r="H3805" s="1" t="n">
        <f aca="false">ROUND(_xlfn.PERCENTRANK.INC($E$7:$E$4378,E3805)*9,0)</f>
        <v>3</v>
      </c>
      <c r="I3805" s="1" t="str">
        <f aca="false">CONCATENATE(F3805,G3805,H3805)</f>
        <v>103</v>
      </c>
      <c r="J3805" s="1" t="str">
        <f aca="false">_xlfn.IFS(AND(F3805&gt;=8,G3805&gt;=8,H3805&gt;=8),"CHAMPION",AND(F3805&gt;=6,G3805&gt;=7,H3805&gt;=6),"LOYAL CUSTOMER",AND(F3805&gt;=6,G3805&gt;=5,H3805&gt;=5),"POTENTIAL LOYALIST",AND(F3805&gt;=8,G3805&lt;=2,H3805&gt;=5),"NEW CUSTOMERS",AND(F3805&gt;=6,G3805&lt;=2,H3805&gt;=3),"PROMISING",AND(F3805&gt;=3,G3805&gt;=3,H3805&gt;=3),"NEED ATTENTION",AND(F3805&lt;=4,G3805&gt;=6,H3805&gt;=6),"AT RISK",AND(F3805&lt;=2,G3805&gt;=8,H3805&gt;=8),"CAN'T LOSE THEM",AND(F3805&lt;=2,G3805&lt;=2,H3805&lt;=2),"HIBERNATING",TRUE(),"Other")</f>
        <v>Other</v>
      </c>
      <c r="K3805" s="1" t="n">
        <f aca="false">RANK(E3805,$E$7:$E$4378)+COUNTIF($E$7:E3805,E3805)-1</f>
        <v>2861</v>
      </c>
    </row>
    <row r="3806" customFormat="false" ht="14.25" hidden="false" customHeight="true" outlineLevel="0" collapsed="false">
      <c r="A3806" s="51" t="n">
        <v>17509</v>
      </c>
      <c r="B3806" s="53" t="n">
        <v>40829.5111111111</v>
      </c>
      <c r="C3806" s="57" t="n">
        <f aca="false">INT($C$2)-INT(Table3[[#This Row],[Last Purchase Date]])</f>
        <v>58</v>
      </c>
      <c r="D3806" s="1" t="n">
        <v>11</v>
      </c>
      <c r="E3806" s="1" t="n">
        <v>6100.74</v>
      </c>
      <c r="F3806" s="1" t="n">
        <f aca="false">ROUND((1-_xlfn.PERCENTRANK.INC($C$7:$C$4378,C3806))*9,0)</f>
        <v>4</v>
      </c>
      <c r="G3806" s="1" t="n">
        <f aca="false">ROUND(_xlfn.PERCENTRANK.INC($D$7:$D$4378,D3806)*9,0)</f>
        <v>8</v>
      </c>
      <c r="H3806" s="1" t="n">
        <f aca="false">ROUND(_xlfn.PERCENTRANK.INC($E$7:$E$4378,E3806)*9,0)</f>
        <v>9</v>
      </c>
      <c r="I3806" s="1" t="str">
        <f aca="false">CONCATENATE(F3806,G3806,H3806)</f>
        <v>489</v>
      </c>
      <c r="J3806" s="1" t="str">
        <f aca="false">_xlfn.IFS(AND(F3806&gt;=8,G3806&gt;=8,H3806&gt;=8),"CHAMPION",AND(F3806&gt;=6,G3806&gt;=7,H3806&gt;=6),"LOYAL CUSTOMER",AND(F3806&gt;=6,G3806&gt;=5,H3806&gt;=5),"POTENTIAL LOYALIST",AND(F3806&gt;=8,G3806&lt;=2,H3806&gt;=5),"NEW CUSTOMERS",AND(F3806&gt;=6,G3806&lt;=2,H3806&gt;=3),"PROMISING",AND(F3806&gt;=3,G3806&gt;=3,H3806&gt;=3),"NEED ATTENTION",AND(F3806&lt;=4,G3806&gt;=6,H3806&gt;=6),"AT RISK",AND(F3806&lt;=2,G3806&gt;=8,H3806&gt;=8),"CAN'T LOSE THEM",AND(F3806&lt;=2,G3806&lt;=2,H3806&lt;=2),"HIBERNATING",TRUE(),"Other")</f>
        <v>NEED ATTENTION</v>
      </c>
      <c r="K3806" s="1" t="n">
        <f aca="false">RANK(E3806,$E$7:$E$4378)+COUNTIF($E$7:E3806,E3806)-1</f>
        <v>198</v>
      </c>
    </row>
    <row r="3807" customFormat="false" ht="14.25" hidden="false" customHeight="true" outlineLevel="0" collapsed="false">
      <c r="A3807" s="51" t="n">
        <v>17510</v>
      </c>
      <c r="B3807" s="53" t="n">
        <v>40862.4166666667</v>
      </c>
      <c r="C3807" s="57" t="n">
        <f aca="false">INT($C$2)-INT(Table3[[#This Row],[Last Purchase Date]])</f>
        <v>25</v>
      </c>
      <c r="D3807" s="1" t="n">
        <v>1</v>
      </c>
      <c r="E3807" s="1" t="n">
        <v>308.48</v>
      </c>
      <c r="F3807" s="1" t="n">
        <f aca="false">ROUND((1-_xlfn.PERCENTRANK.INC($C$7:$C$4378,C3807))*9,0)</f>
        <v>6</v>
      </c>
      <c r="G3807" s="1" t="n">
        <f aca="false">ROUND(_xlfn.PERCENTRANK.INC($D$7:$D$4378,D3807)*9,0)</f>
        <v>0</v>
      </c>
      <c r="H3807" s="1" t="n">
        <f aca="false">ROUND(_xlfn.PERCENTRANK.INC($E$7:$E$4378,E3807)*9,0)</f>
        <v>2</v>
      </c>
      <c r="I3807" s="1" t="str">
        <f aca="false">CONCATENATE(F3807,G3807,H3807)</f>
        <v>602</v>
      </c>
      <c r="J3807" s="1" t="str">
        <f aca="false">_xlfn.IFS(AND(F3807&gt;=8,G3807&gt;=8,H3807&gt;=8),"CHAMPION",AND(F3807&gt;=6,G3807&gt;=7,H3807&gt;=6),"LOYAL CUSTOMER",AND(F3807&gt;=6,G3807&gt;=5,H3807&gt;=5),"POTENTIAL LOYALIST",AND(F3807&gt;=8,G3807&lt;=2,H3807&gt;=5),"NEW CUSTOMERS",AND(F3807&gt;=6,G3807&lt;=2,H3807&gt;=3),"PROMISING",AND(F3807&gt;=3,G3807&gt;=3,H3807&gt;=3),"NEED ATTENTION",AND(F3807&lt;=4,G3807&gt;=6,H3807&gt;=6),"AT RISK",AND(F3807&lt;=2,G3807&gt;=8,H3807&gt;=8),"CAN'T LOSE THEM",AND(F3807&lt;=2,G3807&lt;=2,H3807&lt;=2),"HIBERNATING",TRUE(),"Other")</f>
        <v>Other</v>
      </c>
      <c r="K3807" s="1" t="n">
        <f aca="false">RANK(E3807,$E$7:$E$4378)+COUNTIF($E$7:E3807,E3807)-1</f>
        <v>3203</v>
      </c>
    </row>
    <row r="3808" customFormat="false" ht="14.25" hidden="false" customHeight="true" outlineLevel="0" collapsed="false">
      <c r="A3808" s="51" t="n">
        <v>17511</v>
      </c>
      <c r="B3808" s="53" t="n">
        <v>40884.425</v>
      </c>
      <c r="C3808" s="57" t="n">
        <f aca="false">INT($C$2)-INT(Table3[[#This Row],[Last Purchase Date]])</f>
        <v>3</v>
      </c>
      <c r="D3808" s="1" t="n">
        <v>46</v>
      </c>
      <c r="E3808" s="1" t="n">
        <v>88125.38</v>
      </c>
      <c r="F3808" s="1" t="n">
        <f aca="false">ROUND((1-_xlfn.PERCENTRANK.INC($C$7:$C$4378,C3808))*9,0)</f>
        <v>9</v>
      </c>
      <c r="G3808" s="1" t="n">
        <f aca="false">ROUND(_xlfn.PERCENTRANK.INC($D$7:$D$4378,D3808)*9,0)</f>
        <v>9</v>
      </c>
      <c r="H3808" s="1" t="n">
        <f aca="false">ROUND(_xlfn.PERCENTRANK.INC($E$7:$E$4378,E3808)*9,0)</f>
        <v>9</v>
      </c>
      <c r="I3808" s="1" t="str">
        <f aca="false">CONCATENATE(F3808,G3808,H3808)</f>
        <v>999</v>
      </c>
      <c r="J3808" s="1" t="str">
        <f aca="false">_xlfn.IFS(AND(F3808&gt;=8,G3808&gt;=8,H3808&gt;=8),"CHAMPION",AND(F3808&gt;=6,G3808&gt;=7,H3808&gt;=6),"LOYAL CUSTOMER",AND(F3808&gt;=6,G3808&gt;=5,H3808&gt;=5),"POTENTIAL LOYALIST",AND(F3808&gt;=8,G3808&lt;=2,H3808&gt;=5),"NEW CUSTOMERS",AND(F3808&gt;=6,G3808&lt;=2,H3808&gt;=3),"PROMISING",AND(F3808&gt;=3,G3808&gt;=3,H3808&gt;=3),"NEED ATTENTION",AND(F3808&lt;=4,G3808&gt;=6,H3808&gt;=6),"AT RISK",AND(F3808&lt;=2,G3808&gt;=8,H3808&gt;=8),"CAN'T LOSE THEM",AND(F3808&lt;=2,G3808&lt;=2,H3808&lt;=2),"HIBERNATING",TRUE(),"Other")</f>
        <v>CHAMPION</v>
      </c>
      <c r="K3808" s="1" t="n">
        <f aca="false">RANK(E3808,$E$7:$E$4378)+COUNTIF($E$7:E3808,E3808)-1</f>
        <v>7</v>
      </c>
    </row>
    <row r="3809" customFormat="false" ht="14.25" hidden="false" customHeight="true" outlineLevel="0" collapsed="false">
      <c r="A3809" s="51" t="n">
        <v>17512</v>
      </c>
      <c r="B3809" s="53" t="n">
        <v>40858.5076388889</v>
      </c>
      <c r="C3809" s="57" t="n">
        <f aca="false">INT($C$2)-INT(Table3[[#This Row],[Last Purchase Date]])</f>
        <v>29</v>
      </c>
      <c r="D3809" s="1" t="n">
        <v>11</v>
      </c>
      <c r="E3809" s="1" t="n">
        <v>2920.04</v>
      </c>
      <c r="F3809" s="1" t="n">
        <f aca="false">ROUND((1-_xlfn.PERCENTRANK.INC($C$7:$C$4378,C3809))*9,0)</f>
        <v>6</v>
      </c>
      <c r="G3809" s="1" t="n">
        <f aca="false">ROUND(_xlfn.PERCENTRANK.INC($D$7:$D$4378,D3809)*9,0)</f>
        <v>8</v>
      </c>
      <c r="H3809" s="1" t="n">
        <f aca="false">ROUND(_xlfn.PERCENTRANK.INC($E$7:$E$4378,E3809)*9,0)</f>
        <v>8</v>
      </c>
      <c r="I3809" s="1" t="str">
        <f aca="false">CONCATENATE(F3809,G3809,H3809)</f>
        <v>688</v>
      </c>
      <c r="J3809" s="1" t="str">
        <f aca="false">_xlfn.IFS(AND(F3809&gt;=8,G3809&gt;=8,H3809&gt;=8),"CHAMPION",AND(F3809&gt;=6,G3809&gt;=7,H3809&gt;=6),"LOYAL CUSTOMER",AND(F3809&gt;=6,G3809&gt;=5,H3809&gt;=5),"POTENTIAL LOYALIST",AND(F3809&gt;=8,G3809&lt;=2,H3809&gt;=5),"NEW CUSTOMERS",AND(F3809&gt;=6,G3809&lt;=2,H3809&gt;=3),"PROMISING",AND(F3809&gt;=3,G3809&gt;=3,H3809&gt;=3),"NEED ATTENTION",AND(F3809&lt;=4,G3809&gt;=6,H3809&gt;=6),"AT RISK",AND(F3809&lt;=2,G3809&gt;=8,H3809&gt;=8),"CAN'T LOSE THEM",AND(F3809&lt;=2,G3809&lt;=2,H3809&lt;=2),"HIBERNATING",TRUE(),"Other")</f>
        <v>LOYAL CUSTOMER</v>
      </c>
      <c r="K3809" s="1" t="n">
        <f aca="false">RANK(E3809,$E$7:$E$4378)+COUNTIF($E$7:E3809,E3809)-1</f>
        <v>558</v>
      </c>
    </row>
    <row r="3810" customFormat="false" ht="14.25" hidden="false" customHeight="true" outlineLevel="0" collapsed="false">
      <c r="A3810" s="51" t="n">
        <v>17513</v>
      </c>
      <c r="B3810" s="53" t="n">
        <v>40814.6958333333</v>
      </c>
      <c r="C3810" s="57" t="n">
        <f aca="false">INT($C$2)-INT(Table3[[#This Row],[Last Purchase Date]])</f>
        <v>73</v>
      </c>
      <c r="D3810" s="1" t="n">
        <v>1</v>
      </c>
      <c r="E3810" s="1" t="n">
        <v>513.2</v>
      </c>
      <c r="F3810" s="1" t="n">
        <f aca="false">ROUND((1-_xlfn.PERCENTRANK.INC($C$7:$C$4378,C3810))*9,0)</f>
        <v>4</v>
      </c>
      <c r="G3810" s="1" t="n">
        <f aca="false">ROUND(_xlfn.PERCENTRANK.INC($D$7:$D$4378,D3810)*9,0)</f>
        <v>0</v>
      </c>
      <c r="H3810" s="1" t="n">
        <f aca="false">ROUND(_xlfn.PERCENTRANK.INC($E$7:$E$4378,E3810)*9,0)</f>
        <v>4</v>
      </c>
      <c r="I3810" s="1" t="str">
        <f aca="false">CONCATENATE(F3810,G3810,H3810)</f>
        <v>404</v>
      </c>
      <c r="J3810" s="1" t="str">
        <f aca="false">_xlfn.IFS(AND(F3810&gt;=8,G3810&gt;=8,H3810&gt;=8),"CHAMPION",AND(F3810&gt;=6,G3810&gt;=7,H3810&gt;=6),"LOYAL CUSTOMER",AND(F3810&gt;=6,G3810&gt;=5,H3810&gt;=5),"POTENTIAL LOYALIST",AND(F3810&gt;=8,G3810&lt;=2,H3810&gt;=5),"NEW CUSTOMERS",AND(F3810&gt;=6,G3810&lt;=2,H3810&gt;=3),"PROMISING",AND(F3810&gt;=3,G3810&gt;=3,H3810&gt;=3),"NEED ATTENTION",AND(F3810&lt;=4,G3810&gt;=6,H3810&gt;=6),"AT RISK",AND(F3810&lt;=2,G3810&gt;=8,H3810&gt;=8),"CAN'T LOSE THEM",AND(F3810&lt;=2,G3810&lt;=2,H3810&lt;=2),"HIBERNATING",TRUE(),"Other")</f>
        <v>Other</v>
      </c>
      <c r="K3810" s="1" t="n">
        <f aca="false">RANK(E3810,$E$7:$E$4378)+COUNTIF($E$7:E3810,E3810)-1</f>
        <v>2507</v>
      </c>
    </row>
    <row r="3811" customFormat="false" ht="14.25" hidden="false" customHeight="true" outlineLevel="0" collapsed="false">
      <c r="A3811" s="51" t="n">
        <v>17514</v>
      </c>
      <c r="B3811" s="53" t="n">
        <v>40758.65625</v>
      </c>
      <c r="C3811" s="57" t="n">
        <f aca="false">INT($C$2)-INT(Table3[[#This Row],[Last Purchase Date]])</f>
        <v>129</v>
      </c>
      <c r="D3811" s="1" t="n">
        <v>1</v>
      </c>
      <c r="E3811" s="1" t="n">
        <v>208.65</v>
      </c>
      <c r="F3811" s="1" t="n">
        <f aca="false">ROUND((1-_xlfn.PERCENTRANK.INC($C$7:$C$4378,C3811))*9,0)</f>
        <v>2</v>
      </c>
      <c r="G3811" s="1" t="n">
        <f aca="false">ROUND(_xlfn.PERCENTRANK.INC($D$7:$D$4378,D3811)*9,0)</f>
        <v>0</v>
      </c>
      <c r="H3811" s="1" t="n">
        <f aca="false">ROUND(_xlfn.PERCENTRANK.INC($E$7:$E$4378,E3811)*9,0)</f>
        <v>2</v>
      </c>
      <c r="I3811" s="1" t="str">
        <f aca="false">CONCATENATE(F3811,G3811,H3811)</f>
        <v>202</v>
      </c>
      <c r="J3811" s="1" t="str">
        <f aca="false">_xlfn.IFS(AND(F3811&gt;=8,G3811&gt;=8,H3811&gt;=8),"CHAMPION",AND(F3811&gt;=6,G3811&gt;=7,H3811&gt;=6),"LOYAL CUSTOMER",AND(F3811&gt;=6,G3811&gt;=5,H3811&gt;=5),"POTENTIAL LOYALIST",AND(F3811&gt;=8,G3811&lt;=2,H3811&gt;=5),"NEW CUSTOMERS",AND(F3811&gt;=6,G3811&lt;=2,H3811&gt;=3),"PROMISING",AND(F3811&gt;=3,G3811&gt;=3,H3811&gt;=3),"NEED ATTENTION",AND(F3811&lt;=4,G3811&gt;=6,H3811&gt;=6),"AT RISK",AND(F3811&lt;=2,G3811&gt;=8,H3811&gt;=8),"CAN'T LOSE THEM",AND(F3811&lt;=2,G3811&lt;=2,H3811&lt;=2),"HIBERNATING",TRUE(),"Other")</f>
        <v>HIBERNATING</v>
      </c>
      <c r="K3811" s="1" t="n">
        <f aca="false">RANK(E3811,$E$7:$E$4378)+COUNTIF($E$7:E3811,E3811)-1</f>
        <v>3616</v>
      </c>
    </row>
    <row r="3812" customFormat="false" ht="14.25" hidden="false" customHeight="true" outlineLevel="0" collapsed="false">
      <c r="A3812" s="51" t="n">
        <v>17515</v>
      </c>
      <c r="B3812" s="53" t="n">
        <v>40855.5861111111</v>
      </c>
      <c r="C3812" s="57" t="n">
        <f aca="false">INT($C$2)-INT(Table3[[#This Row],[Last Purchase Date]])</f>
        <v>32</v>
      </c>
      <c r="D3812" s="1" t="n">
        <v>4</v>
      </c>
      <c r="E3812" s="1" t="n">
        <v>639.02</v>
      </c>
      <c r="F3812" s="1" t="n">
        <f aca="false">ROUND((1-_xlfn.PERCENTRANK.INC($C$7:$C$4378,C3812))*9,0)</f>
        <v>5</v>
      </c>
      <c r="G3812" s="1" t="n">
        <f aca="false">ROUND(_xlfn.PERCENTRANK.INC($D$7:$D$4378,D3812)*9,0)</f>
        <v>5</v>
      </c>
      <c r="H3812" s="1" t="n">
        <f aca="false">ROUND(_xlfn.PERCENTRANK.INC($E$7:$E$4378,E3812)*9,0)</f>
        <v>4</v>
      </c>
      <c r="I3812" s="1" t="str">
        <f aca="false">CONCATENATE(F3812,G3812,H3812)</f>
        <v>554</v>
      </c>
      <c r="J3812" s="1" t="str">
        <f aca="false">_xlfn.IFS(AND(F3812&gt;=8,G3812&gt;=8,H3812&gt;=8),"CHAMPION",AND(F3812&gt;=6,G3812&gt;=7,H3812&gt;=6),"LOYAL CUSTOMER",AND(F3812&gt;=6,G3812&gt;=5,H3812&gt;=5),"POTENTIAL LOYALIST",AND(F3812&gt;=8,G3812&lt;=2,H3812&gt;=5),"NEW CUSTOMERS",AND(F3812&gt;=6,G3812&lt;=2,H3812&gt;=3),"PROMISING",AND(F3812&gt;=3,G3812&gt;=3,H3812&gt;=3),"NEED ATTENTION",AND(F3812&lt;=4,G3812&gt;=6,H3812&gt;=6),"AT RISK",AND(F3812&lt;=2,G3812&gt;=8,H3812&gt;=8),"CAN'T LOSE THEM",AND(F3812&lt;=2,G3812&lt;=2,H3812&lt;=2),"HIBERNATING",TRUE(),"Other")</f>
        <v>NEED ATTENTION</v>
      </c>
      <c r="K3812" s="1" t="n">
        <f aca="false">RANK(E3812,$E$7:$E$4378)+COUNTIF($E$7:E3812,E3812)-1</f>
        <v>2210</v>
      </c>
    </row>
    <row r="3813" customFormat="false" ht="14.25" hidden="false" customHeight="true" outlineLevel="0" collapsed="false">
      <c r="A3813" s="51" t="n">
        <v>17516</v>
      </c>
      <c r="B3813" s="53" t="n">
        <v>40871.7020833333</v>
      </c>
      <c r="C3813" s="57" t="n">
        <f aca="false">INT($C$2)-INT(Table3[[#This Row],[Last Purchase Date]])</f>
        <v>16</v>
      </c>
      <c r="D3813" s="1" t="n">
        <v>5</v>
      </c>
      <c r="E3813" s="1" t="n">
        <v>768.08</v>
      </c>
      <c r="F3813" s="1" t="n">
        <f aca="false">ROUND((1-_xlfn.PERCENTRANK.INC($C$7:$C$4378,C3813))*9,0)</f>
        <v>7</v>
      </c>
      <c r="G3813" s="1" t="n">
        <f aca="false">ROUND(_xlfn.PERCENTRANK.INC($D$7:$D$4378,D3813)*9,0)</f>
        <v>6</v>
      </c>
      <c r="H3813" s="1" t="n">
        <f aca="false">ROUND(_xlfn.PERCENTRANK.INC($E$7:$E$4378,E3813)*9,0)</f>
        <v>5</v>
      </c>
      <c r="I3813" s="1" t="str">
        <f aca="false">CONCATENATE(F3813,G3813,H3813)</f>
        <v>765</v>
      </c>
      <c r="J3813" s="1" t="str">
        <f aca="false">_xlfn.IFS(AND(F3813&gt;=8,G3813&gt;=8,H3813&gt;=8),"CHAMPION",AND(F3813&gt;=6,G3813&gt;=7,H3813&gt;=6),"LOYAL CUSTOMER",AND(F3813&gt;=6,G3813&gt;=5,H3813&gt;=5),"POTENTIAL LOYALIST",AND(F3813&gt;=8,G3813&lt;=2,H3813&gt;=5),"NEW CUSTOMERS",AND(F3813&gt;=6,G3813&lt;=2,H3813&gt;=3),"PROMISING",AND(F3813&gt;=3,G3813&gt;=3,H3813&gt;=3),"NEED ATTENTION",AND(F3813&lt;=4,G3813&gt;=6,H3813&gt;=6),"AT RISK",AND(F3813&lt;=2,G3813&gt;=8,H3813&gt;=8),"CAN'T LOSE THEM",AND(F3813&lt;=2,G3813&lt;=2,H3813&lt;=2),"HIBERNATING",TRUE(),"Other")</f>
        <v>POTENTIAL LOYALIST</v>
      </c>
      <c r="K3813" s="1" t="n">
        <f aca="false">RANK(E3813,$E$7:$E$4378)+COUNTIF($E$7:E3813,E3813)-1</f>
        <v>1950</v>
      </c>
    </row>
    <row r="3814" customFormat="false" ht="14.25" hidden="false" customHeight="true" outlineLevel="0" collapsed="false">
      <c r="A3814" s="51" t="n">
        <v>17517</v>
      </c>
      <c r="B3814" s="53" t="n">
        <v>40578.4916666667</v>
      </c>
      <c r="C3814" s="57" t="n">
        <f aca="false">INT($C$2)-INT(Table3[[#This Row],[Last Purchase Date]])</f>
        <v>309</v>
      </c>
      <c r="D3814" s="1" t="n">
        <v>1</v>
      </c>
      <c r="E3814" s="1" t="n">
        <v>153.94</v>
      </c>
      <c r="F3814" s="1" t="n">
        <f aca="false">ROUND((1-_xlfn.PERCENTRANK.INC($C$7:$C$4378,C3814))*9,0)</f>
        <v>1</v>
      </c>
      <c r="G3814" s="1" t="n">
        <f aca="false">ROUND(_xlfn.PERCENTRANK.INC($D$7:$D$4378,D3814)*9,0)</f>
        <v>0</v>
      </c>
      <c r="H3814" s="1" t="n">
        <f aca="false">ROUND(_xlfn.PERCENTRANK.INC($E$7:$E$4378,E3814)*9,0)</f>
        <v>1</v>
      </c>
      <c r="I3814" s="1" t="str">
        <f aca="false">CONCATENATE(F3814,G3814,H3814)</f>
        <v>101</v>
      </c>
      <c r="J3814" s="1" t="str">
        <f aca="false">_xlfn.IFS(AND(F3814&gt;=8,G3814&gt;=8,H3814&gt;=8),"CHAMPION",AND(F3814&gt;=6,G3814&gt;=7,H3814&gt;=6),"LOYAL CUSTOMER",AND(F3814&gt;=6,G3814&gt;=5,H3814&gt;=5),"POTENTIAL LOYALIST",AND(F3814&gt;=8,G3814&lt;=2,H3814&gt;=5),"NEW CUSTOMERS",AND(F3814&gt;=6,G3814&lt;=2,H3814&gt;=3),"PROMISING",AND(F3814&gt;=3,G3814&gt;=3,H3814&gt;=3),"NEED ATTENTION",AND(F3814&lt;=4,G3814&gt;=6,H3814&gt;=6),"AT RISK",AND(F3814&lt;=2,G3814&gt;=8,H3814&gt;=8),"CAN'T LOSE THEM",AND(F3814&lt;=2,G3814&lt;=2,H3814&lt;=2),"HIBERNATING",TRUE(),"Other")</f>
        <v>HIBERNATING</v>
      </c>
      <c r="K3814" s="1" t="n">
        <f aca="false">RANK(E3814,$E$7:$E$4378)+COUNTIF($E$7:E3814,E3814)-1</f>
        <v>3896</v>
      </c>
    </row>
    <row r="3815" customFormat="false" ht="14.25" hidden="false" customHeight="true" outlineLevel="0" collapsed="false">
      <c r="A3815" s="51" t="n">
        <v>17519</v>
      </c>
      <c r="B3815" s="53" t="n">
        <v>40869.6965277778</v>
      </c>
      <c r="C3815" s="57" t="n">
        <f aca="false">INT($C$2)-INT(Table3[[#This Row],[Last Purchase Date]])</f>
        <v>18</v>
      </c>
      <c r="D3815" s="1" t="n">
        <v>7</v>
      </c>
      <c r="E3815" s="1" t="n">
        <v>1839.07</v>
      </c>
      <c r="F3815" s="1" t="n">
        <f aca="false">ROUND((1-_xlfn.PERCENTRANK.INC($C$7:$C$4378,C3815))*9,0)</f>
        <v>7</v>
      </c>
      <c r="G3815" s="1" t="n">
        <f aca="false">ROUND(_xlfn.PERCENTRANK.INC($D$7:$D$4378,D3815)*9,0)</f>
        <v>7</v>
      </c>
      <c r="H3815" s="1" t="n">
        <f aca="false">ROUND(_xlfn.PERCENTRANK.INC($E$7:$E$4378,E3815)*9,0)</f>
        <v>7</v>
      </c>
      <c r="I3815" s="1" t="str">
        <f aca="false">CONCATENATE(F3815,G3815,H3815)</f>
        <v>777</v>
      </c>
      <c r="J3815" s="1" t="str">
        <f aca="false">_xlfn.IFS(AND(F3815&gt;=8,G3815&gt;=8,H3815&gt;=8),"CHAMPION",AND(F3815&gt;=6,G3815&gt;=7,H3815&gt;=6),"LOYAL CUSTOMER",AND(F3815&gt;=6,G3815&gt;=5,H3815&gt;=5),"POTENTIAL LOYALIST",AND(F3815&gt;=8,G3815&lt;=2,H3815&gt;=5),"NEW CUSTOMERS",AND(F3815&gt;=6,G3815&lt;=2,H3815&gt;=3),"PROMISING",AND(F3815&gt;=3,G3815&gt;=3,H3815&gt;=3),"NEED ATTENTION",AND(F3815&lt;=4,G3815&gt;=6,H3815&gt;=6),"AT RISK",AND(F3815&lt;=2,G3815&gt;=8,H3815&gt;=8),"CAN'T LOSE THEM",AND(F3815&lt;=2,G3815&lt;=2,H3815&lt;=2),"HIBERNATING",TRUE(),"Other")</f>
        <v>LOYAL CUSTOMER</v>
      </c>
      <c r="K3815" s="1" t="n">
        <f aca="false">RANK(E3815,$E$7:$E$4378)+COUNTIF($E$7:E3815,E3815)-1</f>
        <v>957</v>
      </c>
    </row>
    <row r="3816" customFormat="false" ht="14.25" hidden="false" customHeight="true" outlineLevel="0" collapsed="false">
      <c r="A3816" s="51" t="n">
        <v>17520</v>
      </c>
      <c r="B3816" s="53" t="n">
        <v>40833.5027777778</v>
      </c>
      <c r="C3816" s="57" t="n">
        <f aca="false">INT($C$2)-INT(Table3[[#This Row],[Last Purchase Date]])</f>
        <v>54</v>
      </c>
      <c r="D3816" s="1" t="n">
        <v>1</v>
      </c>
      <c r="E3816" s="1" t="n">
        <v>546.81</v>
      </c>
      <c r="F3816" s="1" t="n">
        <f aca="false">ROUND((1-_xlfn.PERCENTRANK.INC($C$7:$C$4378,C3816))*9,0)</f>
        <v>4</v>
      </c>
      <c r="G3816" s="1" t="n">
        <f aca="false">ROUND(_xlfn.PERCENTRANK.INC($D$7:$D$4378,D3816)*9,0)</f>
        <v>0</v>
      </c>
      <c r="H3816" s="1" t="n">
        <f aca="false">ROUND(_xlfn.PERCENTRANK.INC($E$7:$E$4378,E3816)*9,0)</f>
        <v>4</v>
      </c>
      <c r="I3816" s="1" t="str">
        <f aca="false">CONCATENATE(F3816,G3816,H3816)</f>
        <v>404</v>
      </c>
      <c r="J3816" s="1" t="str">
        <f aca="false">_xlfn.IFS(AND(F3816&gt;=8,G3816&gt;=8,H3816&gt;=8),"CHAMPION",AND(F3816&gt;=6,G3816&gt;=7,H3816&gt;=6),"LOYAL CUSTOMER",AND(F3816&gt;=6,G3816&gt;=5,H3816&gt;=5),"POTENTIAL LOYALIST",AND(F3816&gt;=8,G3816&lt;=2,H3816&gt;=5),"NEW CUSTOMERS",AND(F3816&gt;=6,G3816&lt;=2,H3816&gt;=3),"PROMISING",AND(F3816&gt;=3,G3816&gt;=3,H3816&gt;=3),"NEED ATTENTION",AND(F3816&lt;=4,G3816&gt;=6,H3816&gt;=6),"AT RISK",AND(F3816&lt;=2,G3816&gt;=8,H3816&gt;=8),"CAN'T LOSE THEM",AND(F3816&lt;=2,G3816&lt;=2,H3816&lt;=2),"HIBERNATING",TRUE(),"Other")</f>
        <v>Other</v>
      </c>
      <c r="K3816" s="1" t="n">
        <f aca="false">RANK(E3816,$E$7:$E$4378)+COUNTIF($E$7:E3816,E3816)-1</f>
        <v>2437</v>
      </c>
    </row>
    <row r="3817" customFormat="false" ht="14.25" hidden="false" customHeight="true" outlineLevel="0" collapsed="false">
      <c r="A3817" s="51" t="n">
        <v>17521</v>
      </c>
      <c r="B3817" s="53" t="n">
        <v>40862.5833333333</v>
      </c>
      <c r="C3817" s="57" t="n">
        <f aca="false">INT($C$2)-INT(Table3[[#This Row],[Last Purchase Date]])</f>
        <v>25</v>
      </c>
      <c r="D3817" s="1" t="n">
        <v>4</v>
      </c>
      <c r="E3817" s="1" t="n">
        <v>721.96</v>
      </c>
      <c r="F3817" s="1" t="n">
        <f aca="false">ROUND((1-_xlfn.PERCENTRANK.INC($C$7:$C$4378,C3817))*9,0)</f>
        <v>6</v>
      </c>
      <c r="G3817" s="1" t="n">
        <f aca="false">ROUND(_xlfn.PERCENTRANK.INC($D$7:$D$4378,D3817)*9,0)</f>
        <v>5</v>
      </c>
      <c r="H3817" s="1" t="n">
        <f aca="false">ROUND(_xlfn.PERCENTRANK.INC($E$7:$E$4378,E3817)*9,0)</f>
        <v>5</v>
      </c>
      <c r="I3817" s="1" t="str">
        <f aca="false">CONCATENATE(F3817,G3817,H3817)</f>
        <v>655</v>
      </c>
      <c r="J3817" s="1" t="str">
        <f aca="false">_xlfn.IFS(AND(F3817&gt;=8,G3817&gt;=8,H3817&gt;=8),"CHAMPION",AND(F3817&gt;=6,G3817&gt;=7,H3817&gt;=6),"LOYAL CUSTOMER",AND(F3817&gt;=6,G3817&gt;=5,H3817&gt;=5),"POTENTIAL LOYALIST",AND(F3817&gt;=8,G3817&lt;=2,H3817&gt;=5),"NEW CUSTOMERS",AND(F3817&gt;=6,G3817&lt;=2,H3817&gt;=3),"PROMISING",AND(F3817&gt;=3,G3817&gt;=3,H3817&gt;=3),"NEED ATTENTION",AND(F3817&lt;=4,G3817&gt;=6,H3817&gt;=6),"AT RISK",AND(F3817&lt;=2,G3817&gt;=8,H3817&gt;=8),"CAN'T LOSE THEM",AND(F3817&lt;=2,G3817&lt;=2,H3817&lt;=2),"HIBERNATING",TRUE(),"Other")</f>
        <v>POTENTIAL LOYALIST</v>
      </c>
      <c r="K3817" s="1" t="n">
        <f aca="false">RANK(E3817,$E$7:$E$4378)+COUNTIF($E$7:E3817,E3817)-1</f>
        <v>2023</v>
      </c>
    </row>
    <row r="3818" customFormat="false" ht="14.25" hidden="false" customHeight="true" outlineLevel="0" collapsed="false">
      <c r="A3818" s="51" t="n">
        <v>17522</v>
      </c>
      <c r="B3818" s="53" t="n">
        <v>40885.5215277778</v>
      </c>
      <c r="C3818" s="57" t="n">
        <f aca="false">INT($C$2)-INT(Table3[[#This Row],[Last Purchase Date]])</f>
        <v>2</v>
      </c>
      <c r="D3818" s="1" t="n">
        <v>5</v>
      </c>
      <c r="E3818" s="1" t="n">
        <v>1070.71</v>
      </c>
      <c r="F3818" s="1" t="n">
        <f aca="false">ROUND((1-_xlfn.PERCENTRANK.INC($C$7:$C$4378,C3818))*9,0)</f>
        <v>9</v>
      </c>
      <c r="G3818" s="1" t="n">
        <f aca="false">ROUND(_xlfn.PERCENTRANK.INC($D$7:$D$4378,D3818)*9,0)</f>
        <v>6</v>
      </c>
      <c r="H3818" s="1" t="n">
        <f aca="false">ROUND(_xlfn.PERCENTRANK.INC($E$7:$E$4378,E3818)*9,0)</f>
        <v>6</v>
      </c>
      <c r="I3818" s="1" t="str">
        <f aca="false">CONCATENATE(F3818,G3818,H3818)</f>
        <v>966</v>
      </c>
      <c r="J3818" s="1" t="str">
        <f aca="false">_xlfn.IFS(AND(F3818&gt;=8,G3818&gt;=8,H3818&gt;=8),"CHAMPION",AND(F3818&gt;=6,G3818&gt;=7,H3818&gt;=6),"LOYAL CUSTOMER",AND(F3818&gt;=6,G3818&gt;=5,H3818&gt;=5),"POTENTIAL LOYALIST",AND(F3818&gt;=8,G3818&lt;=2,H3818&gt;=5),"NEW CUSTOMERS",AND(F3818&gt;=6,G3818&lt;=2,H3818&gt;=3),"PROMISING",AND(F3818&gt;=3,G3818&gt;=3,H3818&gt;=3),"NEED ATTENTION",AND(F3818&lt;=4,G3818&gt;=6,H3818&gt;=6),"AT RISK",AND(F3818&lt;=2,G3818&gt;=8,H3818&gt;=8),"CAN'T LOSE THEM",AND(F3818&lt;=2,G3818&lt;=2,H3818&lt;=2),"HIBERNATING",TRUE(),"Other")</f>
        <v>POTENTIAL LOYALIST</v>
      </c>
      <c r="K3818" s="1" t="n">
        <f aca="false">RANK(E3818,$E$7:$E$4378)+COUNTIF($E$7:E3818,E3818)-1</f>
        <v>1537</v>
      </c>
    </row>
    <row r="3819" customFormat="false" ht="14.25" hidden="false" customHeight="true" outlineLevel="0" collapsed="false">
      <c r="A3819" s="51" t="n">
        <v>17523</v>
      </c>
      <c r="B3819" s="53" t="n">
        <v>40875.5555555556</v>
      </c>
      <c r="C3819" s="57" t="n">
        <f aca="false">INT($C$2)-INT(Table3[[#This Row],[Last Purchase Date]])</f>
        <v>12</v>
      </c>
      <c r="D3819" s="1" t="n">
        <v>4</v>
      </c>
      <c r="E3819" s="1" t="n">
        <v>652.74</v>
      </c>
      <c r="F3819" s="1" t="n">
        <f aca="false">ROUND((1-_xlfn.PERCENTRANK.INC($C$7:$C$4378,C3819))*9,0)</f>
        <v>7</v>
      </c>
      <c r="G3819" s="1" t="n">
        <f aca="false">ROUND(_xlfn.PERCENTRANK.INC($D$7:$D$4378,D3819)*9,0)</f>
        <v>5</v>
      </c>
      <c r="H3819" s="1" t="n">
        <f aca="false">ROUND(_xlfn.PERCENTRANK.INC($E$7:$E$4378,E3819)*9,0)</f>
        <v>5</v>
      </c>
      <c r="I3819" s="1" t="str">
        <f aca="false">CONCATENATE(F3819,G3819,H3819)</f>
        <v>755</v>
      </c>
      <c r="J3819" s="1" t="str">
        <f aca="false">_xlfn.IFS(AND(F3819&gt;=8,G3819&gt;=8,H3819&gt;=8),"CHAMPION",AND(F3819&gt;=6,G3819&gt;=7,H3819&gt;=6),"LOYAL CUSTOMER",AND(F3819&gt;=6,G3819&gt;=5,H3819&gt;=5),"POTENTIAL LOYALIST",AND(F3819&gt;=8,G3819&lt;=2,H3819&gt;=5),"NEW CUSTOMERS",AND(F3819&gt;=6,G3819&lt;=2,H3819&gt;=3),"PROMISING",AND(F3819&gt;=3,G3819&gt;=3,H3819&gt;=3),"NEED ATTENTION",AND(F3819&lt;=4,G3819&gt;=6,H3819&gt;=6),"AT RISK",AND(F3819&lt;=2,G3819&gt;=8,H3819&gt;=8),"CAN'T LOSE THEM",AND(F3819&lt;=2,G3819&lt;=2,H3819&lt;=2),"HIBERNATING",TRUE(),"Other")</f>
        <v>POTENTIAL LOYALIST</v>
      </c>
      <c r="K3819" s="1" t="n">
        <f aca="false">RANK(E3819,$E$7:$E$4378)+COUNTIF($E$7:E3819,E3819)-1</f>
        <v>2177</v>
      </c>
    </row>
    <row r="3820" customFormat="false" ht="14.25" hidden="false" customHeight="true" outlineLevel="0" collapsed="false">
      <c r="A3820" s="51" t="n">
        <v>17524</v>
      </c>
      <c r="B3820" s="53" t="n">
        <v>40525.6055555556</v>
      </c>
      <c r="C3820" s="57" t="n">
        <f aca="false">INT($C$2)-INT(Table3[[#This Row],[Last Purchase Date]])</f>
        <v>362</v>
      </c>
      <c r="D3820" s="1" t="n">
        <v>1</v>
      </c>
      <c r="E3820" s="1" t="n">
        <v>145</v>
      </c>
      <c r="F3820" s="1" t="n">
        <f aca="false">ROUND((1-_xlfn.PERCENTRANK.INC($C$7:$C$4378,C3820))*9,0)</f>
        <v>0</v>
      </c>
      <c r="G3820" s="1" t="n">
        <f aca="false">ROUND(_xlfn.PERCENTRANK.INC($D$7:$D$4378,D3820)*9,0)</f>
        <v>0</v>
      </c>
      <c r="H3820" s="1" t="n">
        <f aca="false">ROUND(_xlfn.PERCENTRANK.INC($E$7:$E$4378,E3820)*9,0)</f>
        <v>1</v>
      </c>
      <c r="I3820" s="1" t="str">
        <f aca="false">CONCATENATE(F3820,G3820,H3820)</f>
        <v>001</v>
      </c>
      <c r="J3820" s="1" t="str">
        <f aca="false">_xlfn.IFS(AND(F3820&gt;=8,G3820&gt;=8,H3820&gt;=8),"CHAMPION",AND(F3820&gt;=6,G3820&gt;=7,H3820&gt;=6),"LOYAL CUSTOMER",AND(F3820&gt;=6,G3820&gt;=5,H3820&gt;=5),"POTENTIAL LOYALIST",AND(F3820&gt;=8,G3820&lt;=2,H3820&gt;=5),"NEW CUSTOMERS",AND(F3820&gt;=6,G3820&lt;=2,H3820&gt;=3),"PROMISING",AND(F3820&gt;=3,G3820&gt;=3,H3820&gt;=3),"NEED ATTENTION",AND(F3820&lt;=4,G3820&gt;=6,H3820&gt;=6),"AT RISK",AND(F3820&lt;=2,G3820&gt;=8,H3820&gt;=8),"CAN'T LOSE THEM",AND(F3820&lt;=2,G3820&lt;=2,H3820&lt;=2),"HIBERNATING",TRUE(),"Other")</f>
        <v>HIBERNATING</v>
      </c>
      <c r="K3820" s="1" t="n">
        <f aca="false">RANK(E3820,$E$7:$E$4378)+COUNTIF($E$7:E3820,E3820)-1</f>
        <v>3939</v>
      </c>
    </row>
    <row r="3821" customFormat="false" ht="14.25" hidden="false" customHeight="true" outlineLevel="0" collapsed="false">
      <c r="A3821" s="51" t="n">
        <v>17525</v>
      </c>
      <c r="B3821" s="53" t="n">
        <v>40527.5034722222</v>
      </c>
      <c r="C3821" s="57" t="n">
        <f aca="false">INT($C$2)-INT(Table3[[#This Row],[Last Purchase Date]])</f>
        <v>360</v>
      </c>
      <c r="D3821" s="1" t="n">
        <v>1</v>
      </c>
      <c r="E3821" s="1" t="n">
        <v>422.7</v>
      </c>
      <c r="F3821" s="1" t="n">
        <f aca="false">ROUND((1-_xlfn.PERCENTRANK.INC($C$7:$C$4378,C3821))*9,0)</f>
        <v>0</v>
      </c>
      <c r="G3821" s="1" t="n">
        <f aca="false">ROUND(_xlfn.PERCENTRANK.INC($D$7:$D$4378,D3821)*9,0)</f>
        <v>0</v>
      </c>
      <c r="H3821" s="1" t="n">
        <f aca="false">ROUND(_xlfn.PERCENTRANK.INC($E$7:$E$4378,E3821)*9,0)</f>
        <v>3</v>
      </c>
      <c r="I3821" s="1" t="str">
        <f aca="false">CONCATENATE(F3821,G3821,H3821)</f>
        <v>003</v>
      </c>
      <c r="J3821" s="1" t="str">
        <f aca="false">_xlfn.IFS(AND(F3821&gt;=8,G3821&gt;=8,H3821&gt;=8),"CHAMPION",AND(F3821&gt;=6,G3821&gt;=7,H3821&gt;=6),"LOYAL CUSTOMER",AND(F3821&gt;=6,G3821&gt;=5,H3821&gt;=5),"POTENTIAL LOYALIST",AND(F3821&gt;=8,G3821&lt;=2,H3821&gt;=5),"NEW CUSTOMERS",AND(F3821&gt;=6,G3821&lt;=2,H3821&gt;=3),"PROMISING",AND(F3821&gt;=3,G3821&gt;=3,H3821&gt;=3),"NEED ATTENTION",AND(F3821&lt;=4,G3821&gt;=6,H3821&gt;=6),"AT RISK",AND(F3821&lt;=2,G3821&gt;=8,H3821&gt;=8),"CAN'T LOSE THEM",AND(F3821&lt;=2,G3821&lt;=2,H3821&lt;=2),"HIBERNATING",TRUE(),"Other")</f>
        <v>Other</v>
      </c>
      <c r="K3821" s="1" t="n">
        <f aca="false">RANK(E3821,$E$7:$E$4378)+COUNTIF($E$7:E3821,E3821)-1</f>
        <v>2746</v>
      </c>
    </row>
    <row r="3822" customFormat="false" ht="14.25" hidden="false" customHeight="true" outlineLevel="0" collapsed="false">
      <c r="A3822" s="51" t="n">
        <v>17526</v>
      </c>
      <c r="B3822" s="53" t="n">
        <v>40885.7888888889</v>
      </c>
      <c r="C3822" s="57" t="n">
        <f aca="false">INT($C$2)-INT(Table3[[#This Row],[Last Purchase Date]])</f>
        <v>2</v>
      </c>
      <c r="D3822" s="1" t="n">
        <v>8</v>
      </c>
      <c r="E3822" s="1" t="n">
        <v>706.7</v>
      </c>
      <c r="F3822" s="1" t="n">
        <f aca="false">ROUND((1-_xlfn.PERCENTRANK.INC($C$7:$C$4378,C3822))*9,0)</f>
        <v>9</v>
      </c>
      <c r="G3822" s="1" t="n">
        <f aca="false">ROUND(_xlfn.PERCENTRANK.INC($D$7:$D$4378,D3822)*9,0)</f>
        <v>7</v>
      </c>
      <c r="H3822" s="1" t="n">
        <f aca="false">ROUND(_xlfn.PERCENTRANK.INC($E$7:$E$4378,E3822)*9,0)</f>
        <v>5</v>
      </c>
      <c r="I3822" s="1" t="str">
        <f aca="false">CONCATENATE(F3822,G3822,H3822)</f>
        <v>975</v>
      </c>
      <c r="J3822" s="1" t="str">
        <f aca="false">_xlfn.IFS(AND(F3822&gt;=8,G3822&gt;=8,H3822&gt;=8),"CHAMPION",AND(F3822&gt;=6,G3822&gt;=7,H3822&gt;=6),"LOYAL CUSTOMER",AND(F3822&gt;=6,G3822&gt;=5,H3822&gt;=5),"POTENTIAL LOYALIST",AND(F3822&gt;=8,G3822&lt;=2,H3822&gt;=5),"NEW CUSTOMERS",AND(F3822&gt;=6,G3822&lt;=2,H3822&gt;=3),"PROMISING",AND(F3822&gt;=3,G3822&gt;=3,H3822&gt;=3),"NEED ATTENTION",AND(F3822&lt;=4,G3822&gt;=6,H3822&gt;=6),"AT RISK",AND(F3822&lt;=2,G3822&gt;=8,H3822&gt;=8),"CAN'T LOSE THEM",AND(F3822&lt;=2,G3822&lt;=2,H3822&lt;=2),"HIBERNATING",TRUE(),"Other")</f>
        <v>POTENTIAL LOYALIST</v>
      </c>
      <c r="K3822" s="1" t="n">
        <f aca="false">RANK(E3822,$E$7:$E$4378)+COUNTIF($E$7:E3822,E3822)-1</f>
        <v>2054</v>
      </c>
    </row>
    <row r="3823" customFormat="false" ht="14.25" hidden="false" customHeight="true" outlineLevel="0" collapsed="false">
      <c r="A3823" s="51" t="n">
        <v>17527</v>
      </c>
      <c r="B3823" s="53" t="n">
        <v>40833.5222222222</v>
      </c>
      <c r="C3823" s="57" t="n">
        <f aca="false">INT($C$2)-INT(Table3[[#This Row],[Last Purchase Date]])</f>
        <v>54</v>
      </c>
      <c r="D3823" s="1" t="n">
        <v>6</v>
      </c>
      <c r="E3823" s="1" t="n">
        <v>888.86</v>
      </c>
      <c r="F3823" s="1" t="n">
        <f aca="false">ROUND((1-_xlfn.PERCENTRANK.INC($C$7:$C$4378,C3823))*9,0)</f>
        <v>4</v>
      </c>
      <c r="G3823" s="1" t="n">
        <f aca="false">ROUND(_xlfn.PERCENTRANK.INC($D$7:$D$4378,D3823)*9,0)</f>
        <v>7</v>
      </c>
      <c r="H3823" s="1" t="n">
        <f aca="false">ROUND(_xlfn.PERCENTRANK.INC($E$7:$E$4378,E3823)*9,0)</f>
        <v>5</v>
      </c>
      <c r="I3823" s="1" t="str">
        <f aca="false">CONCATENATE(F3823,G3823,H3823)</f>
        <v>475</v>
      </c>
      <c r="J3823" s="1" t="str">
        <f aca="false">_xlfn.IFS(AND(F3823&gt;=8,G3823&gt;=8,H3823&gt;=8),"CHAMPION",AND(F3823&gt;=6,G3823&gt;=7,H3823&gt;=6),"LOYAL CUSTOMER",AND(F3823&gt;=6,G3823&gt;=5,H3823&gt;=5),"POTENTIAL LOYALIST",AND(F3823&gt;=8,G3823&lt;=2,H3823&gt;=5),"NEW CUSTOMERS",AND(F3823&gt;=6,G3823&lt;=2,H3823&gt;=3),"PROMISING",AND(F3823&gt;=3,G3823&gt;=3,H3823&gt;=3),"NEED ATTENTION",AND(F3823&lt;=4,G3823&gt;=6,H3823&gt;=6),"AT RISK",AND(F3823&lt;=2,G3823&gt;=8,H3823&gt;=8),"CAN'T LOSE THEM",AND(F3823&lt;=2,G3823&lt;=2,H3823&lt;=2),"HIBERNATING",TRUE(),"Other")</f>
        <v>NEED ATTENTION</v>
      </c>
      <c r="K3823" s="1" t="n">
        <f aca="false">RANK(E3823,$E$7:$E$4378)+COUNTIF($E$7:E3823,E3823)-1</f>
        <v>1777</v>
      </c>
    </row>
    <row r="3824" customFormat="false" ht="14.25" hidden="false" customHeight="true" outlineLevel="0" collapsed="false">
      <c r="A3824" s="51" t="n">
        <v>17528</v>
      </c>
      <c r="B3824" s="53" t="n">
        <v>40885.5604166667</v>
      </c>
      <c r="C3824" s="57" t="n">
        <f aca="false">INT($C$2)-INT(Table3[[#This Row],[Last Purchase Date]])</f>
        <v>2</v>
      </c>
      <c r="D3824" s="1" t="n">
        <v>11</v>
      </c>
      <c r="E3824" s="1" t="n">
        <v>3540.1</v>
      </c>
      <c r="F3824" s="1" t="n">
        <f aca="false">ROUND((1-_xlfn.PERCENTRANK.INC($C$7:$C$4378,C3824))*9,0)</f>
        <v>9</v>
      </c>
      <c r="G3824" s="1" t="n">
        <f aca="false">ROUND(_xlfn.PERCENTRANK.INC($D$7:$D$4378,D3824)*9,0)</f>
        <v>8</v>
      </c>
      <c r="H3824" s="1" t="n">
        <f aca="false">ROUND(_xlfn.PERCENTRANK.INC($E$7:$E$4378,E3824)*9,0)</f>
        <v>8</v>
      </c>
      <c r="I3824" s="1" t="str">
        <f aca="false">CONCATENATE(F3824,G3824,H3824)</f>
        <v>988</v>
      </c>
      <c r="J3824" s="1" t="str">
        <f aca="false">_xlfn.IFS(AND(F3824&gt;=8,G3824&gt;=8,H3824&gt;=8),"CHAMPION",AND(F3824&gt;=6,G3824&gt;=7,H3824&gt;=6),"LOYAL CUSTOMER",AND(F3824&gt;=6,G3824&gt;=5,H3824&gt;=5),"POTENTIAL LOYALIST",AND(F3824&gt;=8,G3824&lt;=2,H3824&gt;=5),"NEW CUSTOMERS",AND(F3824&gt;=6,G3824&lt;=2,H3824&gt;=3),"PROMISING",AND(F3824&gt;=3,G3824&gt;=3,H3824&gt;=3),"NEED ATTENTION",AND(F3824&lt;=4,G3824&gt;=6,H3824&gt;=6),"AT RISK",AND(F3824&lt;=2,G3824&gt;=8,H3824&gt;=8),"CAN'T LOSE THEM",AND(F3824&lt;=2,G3824&lt;=2,H3824&lt;=2),"HIBERNATING",TRUE(),"Other")</f>
        <v>CHAMPION</v>
      </c>
      <c r="K3824" s="1" t="n">
        <f aca="false">RANK(E3824,$E$7:$E$4378)+COUNTIF($E$7:E3824,E3824)-1</f>
        <v>433</v>
      </c>
    </row>
    <row r="3825" customFormat="false" ht="14.25" hidden="false" customHeight="true" outlineLevel="0" collapsed="false">
      <c r="A3825" s="51" t="n">
        <v>17530</v>
      </c>
      <c r="B3825" s="53" t="n">
        <v>40885.7791666667</v>
      </c>
      <c r="C3825" s="57" t="n">
        <f aca="false">INT($C$2)-INT(Table3[[#This Row],[Last Purchase Date]])</f>
        <v>2</v>
      </c>
      <c r="D3825" s="1" t="n">
        <v>10</v>
      </c>
      <c r="E3825" s="1" t="n">
        <v>2385</v>
      </c>
      <c r="F3825" s="1" t="n">
        <f aca="false">ROUND((1-_xlfn.PERCENTRANK.INC($C$7:$C$4378,C3825))*9,0)</f>
        <v>9</v>
      </c>
      <c r="G3825" s="1" t="n">
        <f aca="false">ROUND(_xlfn.PERCENTRANK.INC($D$7:$D$4378,D3825)*9,0)</f>
        <v>8</v>
      </c>
      <c r="H3825" s="1" t="n">
        <f aca="false">ROUND(_xlfn.PERCENTRANK.INC($E$7:$E$4378,E3825)*9,0)</f>
        <v>8</v>
      </c>
      <c r="I3825" s="1" t="str">
        <f aca="false">CONCATENATE(F3825,G3825,H3825)</f>
        <v>988</v>
      </c>
      <c r="J3825" s="1" t="str">
        <f aca="false">_xlfn.IFS(AND(F3825&gt;=8,G3825&gt;=8,H3825&gt;=8),"CHAMPION",AND(F3825&gt;=6,G3825&gt;=7,H3825&gt;=6),"LOYAL CUSTOMER",AND(F3825&gt;=6,G3825&gt;=5,H3825&gt;=5),"POTENTIAL LOYALIST",AND(F3825&gt;=8,G3825&lt;=2,H3825&gt;=5),"NEW CUSTOMERS",AND(F3825&gt;=6,G3825&lt;=2,H3825&gt;=3),"PROMISING",AND(F3825&gt;=3,G3825&gt;=3,H3825&gt;=3),"NEED ATTENTION",AND(F3825&lt;=4,G3825&gt;=6,H3825&gt;=6),"AT RISK",AND(F3825&lt;=2,G3825&gt;=8,H3825&gt;=8),"CAN'T LOSE THEM",AND(F3825&lt;=2,G3825&lt;=2,H3825&lt;=2),"HIBERNATING",TRUE(),"Other")</f>
        <v>CHAMPION</v>
      </c>
      <c r="K3825" s="1" t="n">
        <f aca="false">RANK(E3825,$E$7:$E$4378)+COUNTIF($E$7:E3825,E3825)-1</f>
        <v>714</v>
      </c>
    </row>
    <row r="3826" customFormat="false" ht="14.25" hidden="false" customHeight="true" outlineLevel="0" collapsed="false">
      <c r="A3826" s="51" t="n">
        <v>17531</v>
      </c>
      <c r="B3826" s="53" t="n">
        <v>40766.4298611111</v>
      </c>
      <c r="C3826" s="57" t="n">
        <f aca="false">INT($C$2)-INT(Table3[[#This Row],[Last Purchase Date]])</f>
        <v>121</v>
      </c>
      <c r="D3826" s="1" t="n">
        <v>2</v>
      </c>
      <c r="E3826" s="1" t="n">
        <v>293.45</v>
      </c>
      <c r="F3826" s="1" t="n">
        <f aca="false">ROUND((1-_xlfn.PERCENTRANK.INC($C$7:$C$4378,C3826))*9,0)</f>
        <v>3</v>
      </c>
      <c r="G3826" s="1" t="n">
        <f aca="false">ROUND(_xlfn.PERCENTRANK.INC($D$7:$D$4378,D3826)*9,0)</f>
        <v>3</v>
      </c>
      <c r="H3826" s="1" t="n">
        <f aca="false">ROUND(_xlfn.PERCENTRANK.INC($E$7:$E$4378,E3826)*9,0)</f>
        <v>2</v>
      </c>
      <c r="I3826" s="1" t="str">
        <f aca="false">CONCATENATE(F3826,G3826,H3826)</f>
        <v>332</v>
      </c>
      <c r="J3826" s="1" t="str">
        <f aca="false">_xlfn.IFS(AND(F3826&gt;=8,G3826&gt;=8,H3826&gt;=8),"CHAMPION",AND(F3826&gt;=6,G3826&gt;=7,H3826&gt;=6),"LOYAL CUSTOMER",AND(F3826&gt;=6,G3826&gt;=5,H3826&gt;=5),"POTENTIAL LOYALIST",AND(F3826&gt;=8,G3826&lt;=2,H3826&gt;=5),"NEW CUSTOMERS",AND(F3826&gt;=6,G3826&lt;=2,H3826&gt;=3),"PROMISING",AND(F3826&gt;=3,G3826&gt;=3,H3826&gt;=3),"NEED ATTENTION",AND(F3826&lt;=4,G3826&gt;=6,H3826&gt;=6),"AT RISK",AND(F3826&lt;=2,G3826&gt;=8,H3826&gt;=8),"CAN'T LOSE THEM",AND(F3826&lt;=2,G3826&lt;=2,H3826&lt;=2),"HIBERNATING",TRUE(),"Other")</f>
        <v>Other</v>
      </c>
      <c r="K3826" s="1" t="n">
        <f aca="false">RANK(E3826,$E$7:$E$4378)+COUNTIF($E$7:E3826,E3826)-1</f>
        <v>3279</v>
      </c>
    </row>
    <row r="3827" customFormat="false" ht="14.25" hidden="false" customHeight="true" outlineLevel="0" collapsed="false">
      <c r="A3827" s="51" t="n">
        <v>17534</v>
      </c>
      <c r="B3827" s="53" t="n">
        <v>40833.5326388889</v>
      </c>
      <c r="C3827" s="57" t="n">
        <f aca="false">INT($C$2)-INT(Table3[[#This Row],[Last Purchase Date]])</f>
        <v>54</v>
      </c>
      <c r="D3827" s="1" t="n">
        <v>1</v>
      </c>
      <c r="E3827" s="1" t="n">
        <v>223.36</v>
      </c>
      <c r="F3827" s="1" t="n">
        <f aca="false">ROUND((1-_xlfn.PERCENTRANK.INC($C$7:$C$4378,C3827))*9,0)</f>
        <v>4</v>
      </c>
      <c r="G3827" s="1" t="n">
        <f aca="false">ROUND(_xlfn.PERCENTRANK.INC($D$7:$D$4378,D3827)*9,0)</f>
        <v>0</v>
      </c>
      <c r="H3827" s="1" t="n">
        <f aca="false">ROUND(_xlfn.PERCENTRANK.INC($E$7:$E$4378,E3827)*9,0)</f>
        <v>2</v>
      </c>
      <c r="I3827" s="1" t="str">
        <f aca="false">CONCATENATE(F3827,G3827,H3827)</f>
        <v>402</v>
      </c>
      <c r="J3827" s="1" t="str">
        <f aca="false">_xlfn.IFS(AND(F3827&gt;=8,G3827&gt;=8,H3827&gt;=8),"CHAMPION",AND(F3827&gt;=6,G3827&gt;=7,H3827&gt;=6),"LOYAL CUSTOMER",AND(F3827&gt;=6,G3827&gt;=5,H3827&gt;=5),"POTENTIAL LOYALIST",AND(F3827&gt;=8,G3827&lt;=2,H3827&gt;=5),"NEW CUSTOMERS",AND(F3827&gt;=6,G3827&lt;=2,H3827&gt;=3),"PROMISING",AND(F3827&gt;=3,G3827&gt;=3,H3827&gt;=3),"NEED ATTENTION",AND(F3827&lt;=4,G3827&gt;=6,H3827&gt;=6),"AT RISK",AND(F3827&lt;=2,G3827&gt;=8,H3827&gt;=8),"CAN'T LOSE THEM",AND(F3827&lt;=2,G3827&lt;=2,H3827&lt;=2),"HIBERNATING",TRUE(),"Other")</f>
        <v>Other</v>
      </c>
      <c r="K3827" s="1" t="n">
        <f aca="false">RANK(E3827,$E$7:$E$4378)+COUNTIF($E$7:E3827,E3827)-1</f>
        <v>3549</v>
      </c>
    </row>
    <row r="3828" customFormat="false" ht="14.25" hidden="false" customHeight="true" outlineLevel="0" collapsed="false">
      <c r="A3828" s="51" t="n">
        <v>17535</v>
      </c>
      <c r="B3828" s="53" t="n">
        <v>40606.6388888889</v>
      </c>
      <c r="C3828" s="57" t="n">
        <f aca="false">INT($C$2)-INT(Table3[[#This Row],[Last Purchase Date]])</f>
        <v>281</v>
      </c>
      <c r="D3828" s="1" t="n">
        <v>1</v>
      </c>
      <c r="E3828" s="1" t="n">
        <v>164.4</v>
      </c>
      <c r="F3828" s="1" t="n">
        <f aca="false">ROUND((1-_xlfn.PERCENTRANK.INC($C$7:$C$4378,C3828))*9,0)</f>
        <v>1</v>
      </c>
      <c r="G3828" s="1" t="n">
        <f aca="false">ROUND(_xlfn.PERCENTRANK.INC($D$7:$D$4378,D3828)*9,0)</f>
        <v>0</v>
      </c>
      <c r="H3828" s="1" t="n">
        <f aca="false">ROUND(_xlfn.PERCENTRANK.INC($E$7:$E$4378,E3828)*9,0)</f>
        <v>1</v>
      </c>
      <c r="I3828" s="1" t="str">
        <f aca="false">CONCATENATE(F3828,G3828,H3828)</f>
        <v>101</v>
      </c>
      <c r="J3828" s="1" t="str">
        <f aca="false">_xlfn.IFS(AND(F3828&gt;=8,G3828&gt;=8,H3828&gt;=8),"CHAMPION",AND(F3828&gt;=6,G3828&gt;=7,H3828&gt;=6),"LOYAL CUSTOMER",AND(F3828&gt;=6,G3828&gt;=5,H3828&gt;=5),"POTENTIAL LOYALIST",AND(F3828&gt;=8,G3828&lt;=2,H3828&gt;=5),"NEW CUSTOMERS",AND(F3828&gt;=6,G3828&lt;=2,H3828&gt;=3),"PROMISING",AND(F3828&gt;=3,G3828&gt;=3,H3828&gt;=3),"NEED ATTENTION",AND(F3828&lt;=4,G3828&gt;=6,H3828&gt;=6),"AT RISK",AND(F3828&lt;=2,G3828&gt;=8,H3828&gt;=8),"CAN'T LOSE THEM",AND(F3828&lt;=2,G3828&lt;=2,H3828&lt;=2),"HIBERNATING",TRUE(),"Other")</f>
        <v>HIBERNATING</v>
      </c>
      <c r="K3828" s="1" t="n">
        <f aca="false">RANK(E3828,$E$7:$E$4378)+COUNTIF($E$7:E3828,E3828)-1</f>
        <v>3834</v>
      </c>
    </row>
    <row r="3829" customFormat="false" ht="14.25" hidden="false" customHeight="true" outlineLevel="0" collapsed="false">
      <c r="A3829" s="51" t="n">
        <v>17536</v>
      </c>
      <c r="B3829" s="53" t="n">
        <v>40709.5576388889</v>
      </c>
      <c r="C3829" s="57" t="n">
        <f aca="false">INT($C$2)-INT(Table3[[#This Row],[Last Purchase Date]])</f>
        <v>178</v>
      </c>
      <c r="D3829" s="1" t="n">
        <v>1</v>
      </c>
      <c r="E3829" s="1" t="n">
        <v>76.5</v>
      </c>
      <c r="F3829" s="1" t="n">
        <f aca="false">ROUND((1-_xlfn.PERCENTRANK.INC($C$7:$C$4378,C3829))*9,0)</f>
        <v>2</v>
      </c>
      <c r="G3829" s="1" t="n">
        <f aca="false">ROUND(_xlfn.PERCENTRANK.INC($D$7:$D$4378,D3829)*9,0)</f>
        <v>0</v>
      </c>
      <c r="H3829" s="1" t="n">
        <f aca="false">ROUND(_xlfn.PERCENTRANK.INC($E$7:$E$4378,E3829)*9,0)</f>
        <v>0</v>
      </c>
      <c r="I3829" s="1" t="str">
        <f aca="false">CONCATENATE(F3829,G3829,H3829)</f>
        <v>200</v>
      </c>
      <c r="J3829" s="1" t="str">
        <f aca="false">_xlfn.IFS(AND(F3829&gt;=8,G3829&gt;=8,H3829&gt;=8),"CHAMPION",AND(F3829&gt;=6,G3829&gt;=7,H3829&gt;=6),"LOYAL CUSTOMER",AND(F3829&gt;=6,G3829&gt;=5,H3829&gt;=5),"POTENTIAL LOYALIST",AND(F3829&gt;=8,G3829&lt;=2,H3829&gt;=5),"NEW CUSTOMERS",AND(F3829&gt;=6,G3829&lt;=2,H3829&gt;=3),"PROMISING",AND(F3829&gt;=3,G3829&gt;=3,H3829&gt;=3),"NEED ATTENTION",AND(F3829&lt;=4,G3829&gt;=6,H3829&gt;=6),"AT RISK",AND(F3829&lt;=2,G3829&gt;=8,H3829&gt;=8),"CAN'T LOSE THEM",AND(F3829&lt;=2,G3829&lt;=2,H3829&lt;=2),"HIBERNATING",TRUE(),"Other")</f>
        <v>HIBERNATING</v>
      </c>
      <c r="K3829" s="1" t="n">
        <f aca="false">RANK(E3829,$E$7:$E$4378)+COUNTIF($E$7:E3829,E3829)-1</f>
        <v>4227</v>
      </c>
    </row>
    <row r="3830" customFormat="false" ht="14.25" hidden="false" customHeight="true" outlineLevel="0" collapsed="false">
      <c r="A3830" s="51" t="n">
        <v>17537</v>
      </c>
      <c r="B3830" s="53" t="n">
        <v>40857.4555555556</v>
      </c>
      <c r="C3830" s="57" t="n">
        <f aca="false">INT($C$2)-INT(Table3[[#This Row],[Last Purchase Date]])</f>
        <v>30</v>
      </c>
      <c r="D3830" s="1" t="n">
        <v>2</v>
      </c>
      <c r="E3830" s="1" t="n">
        <v>897.62</v>
      </c>
      <c r="F3830" s="1" t="n">
        <f aca="false">ROUND((1-_xlfn.PERCENTRANK.INC($C$7:$C$4378,C3830))*9,0)</f>
        <v>6</v>
      </c>
      <c r="G3830" s="1" t="n">
        <f aca="false">ROUND(_xlfn.PERCENTRANK.INC($D$7:$D$4378,D3830)*9,0)</f>
        <v>3</v>
      </c>
      <c r="H3830" s="1" t="n">
        <f aca="false">ROUND(_xlfn.PERCENTRANK.INC($E$7:$E$4378,E3830)*9,0)</f>
        <v>5</v>
      </c>
      <c r="I3830" s="1" t="str">
        <f aca="false">CONCATENATE(F3830,G3830,H3830)</f>
        <v>635</v>
      </c>
      <c r="J3830" s="1" t="str">
        <f aca="false">_xlfn.IFS(AND(F3830&gt;=8,G3830&gt;=8,H3830&gt;=8),"CHAMPION",AND(F3830&gt;=6,G3830&gt;=7,H3830&gt;=6),"LOYAL CUSTOMER",AND(F3830&gt;=6,G3830&gt;=5,H3830&gt;=5),"POTENTIAL LOYALIST",AND(F3830&gt;=8,G3830&lt;=2,H3830&gt;=5),"NEW CUSTOMERS",AND(F3830&gt;=6,G3830&lt;=2,H3830&gt;=3),"PROMISING",AND(F3830&gt;=3,G3830&gt;=3,H3830&gt;=3),"NEED ATTENTION",AND(F3830&lt;=4,G3830&gt;=6,H3830&gt;=6),"AT RISK",AND(F3830&lt;=2,G3830&gt;=8,H3830&gt;=8),"CAN'T LOSE THEM",AND(F3830&lt;=2,G3830&lt;=2,H3830&lt;=2),"HIBERNATING",TRUE(),"Other")</f>
        <v>NEED ATTENTION</v>
      </c>
      <c r="K3830" s="1" t="n">
        <f aca="false">RANK(E3830,$E$7:$E$4378)+COUNTIF($E$7:E3830,E3830)-1</f>
        <v>1764</v>
      </c>
    </row>
    <row r="3831" customFormat="false" ht="14.25" hidden="false" customHeight="true" outlineLevel="0" collapsed="false">
      <c r="A3831" s="51" t="n">
        <v>17538</v>
      </c>
      <c r="B3831" s="53" t="n">
        <v>40861.5083333333</v>
      </c>
      <c r="C3831" s="57" t="n">
        <f aca="false">INT($C$2)-INT(Table3[[#This Row],[Last Purchase Date]])</f>
        <v>26</v>
      </c>
      <c r="D3831" s="1" t="n">
        <v>1</v>
      </c>
      <c r="E3831" s="1" t="n">
        <v>98.42</v>
      </c>
      <c r="F3831" s="1" t="n">
        <f aca="false">ROUND((1-_xlfn.PERCENTRANK.INC($C$7:$C$4378,C3831))*9,0)</f>
        <v>6</v>
      </c>
      <c r="G3831" s="1" t="n">
        <f aca="false">ROUND(_xlfn.PERCENTRANK.INC($D$7:$D$4378,D3831)*9,0)</f>
        <v>0</v>
      </c>
      <c r="H3831" s="1" t="n">
        <f aca="false">ROUND(_xlfn.PERCENTRANK.INC($E$7:$E$4378,E3831)*9,0)</f>
        <v>0</v>
      </c>
      <c r="I3831" s="1" t="str">
        <f aca="false">CONCATENATE(F3831,G3831,H3831)</f>
        <v>600</v>
      </c>
      <c r="J3831" s="1" t="str">
        <f aca="false">_xlfn.IFS(AND(F3831&gt;=8,G3831&gt;=8,H3831&gt;=8),"CHAMPION",AND(F3831&gt;=6,G3831&gt;=7,H3831&gt;=6),"LOYAL CUSTOMER",AND(F3831&gt;=6,G3831&gt;=5,H3831&gt;=5),"POTENTIAL LOYALIST",AND(F3831&gt;=8,G3831&lt;=2,H3831&gt;=5),"NEW CUSTOMERS",AND(F3831&gt;=6,G3831&lt;=2,H3831&gt;=3),"PROMISING",AND(F3831&gt;=3,G3831&gt;=3,H3831&gt;=3),"NEED ATTENTION",AND(F3831&lt;=4,G3831&gt;=6,H3831&gt;=6),"AT RISK",AND(F3831&lt;=2,G3831&gt;=8,H3831&gt;=8),"CAN'T LOSE THEM",AND(F3831&lt;=2,G3831&lt;=2,H3831&lt;=2),"HIBERNATING",TRUE(),"Other")</f>
        <v>Other</v>
      </c>
      <c r="K3831" s="1" t="n">
        <f aca="false">RANK(E3831,$E$7:$E$4378)+COUNTIF($E$7:E3831,E3831)-1</f>
        <v>4163</v>
      </c>
    </row>
    <row r="3832" customFormat="false" ht="14.25" hidden="false" customHeight="true" outlineLevel="0" collapsed="false">
      <c r="A3832" s="51" t="n">
        <v>17540</v>
      </c>
      <c r="B3832" s="53" t="n">
        <v>40878.375</v>
      </c>
      <c r="C3832" s="57" t="n">
        <f aca="false">INT($C$2)-INT(Table3[[#This Row],[Last Purchase Date]])</f>
        <v>9</v>
      </c>
      <c r="D3832" s="1" t="n">
        <v>3</v>
      </c>
      <c r="E3832" s="1" t="n">
        <v>570.4</v>
      </c>
      <c r="F3832" s="1" t="n">
        <f aca="false">ROUND((1-_xlfn.PERCENTRANK.INC($C$7:$C$4378,C3832))*9,0)</f>
        <v>8</v>
      </c>
      <c r="G3832" s="1" t="n">
        <f aca="false">ROUND(_xlfn.PERCENTRANK.INC($D$7:$D$4378,D3832)*9,0)</f>
        <v>4</v>
      </c>
      <c r="H3832" s="1" t="n">
        <f aca="false">ROUND(_xlfn.PERCENTRANK.INC($E$7:$E$4378,E3832)*9,0)</f>
        <v>4</v>
      </c>
      <c r="I3832" s="1" t="str">
        <f aca="false">CONCATENATE(F3832,G3832,H3832)</f>
        <v>844</v>
      </c>
      <c r="J3832" s="1" t="str">
        <f aca="false">_xlfn.IFS(AND(F3832&gt;=8,G3832&gt;=8,H3832&gt;=8),"CHAMPION",AND(F3832&gt;=6,G3832&gt;=7,H3832&gt;=6),"LOYAL CUSTOMER",AND(F3832&gt;=6,G3832&gt;=5,H3832&gt;=5),"POTENTIAL LOYALIST",AND(F3832&gt;=8,G3832&lt;=2,H3832&gt;=5),"NEW CUSTOMERS",AND(F3832&gt;=6,G3832&lt;=2,H3832&gt;=3),"PROMISING",AND(F3832&gt;=3,G3832&gt;=3,H3832&gt;=3),"NEED ATTENTION",AND(F3832&lt;=4,G3832&gt;=6,H3832&gt;=6),"AT RISK",AND(F3832&lt;=2,G3832&gt;=8,H3832&gt;=8),"CAN'T LOSE THEM",AND(F3832&lt;=2,G3832&lt;=2,H3832&lt;=2),"HIBERNATING",TRUE(),"Other")</f>
        <v>NEED ATTENTION</v>
      </c>
      <c r="K3832" s="1" t="n">
        <f aca="false">RANK(E3832,$E$7:$E$4378)+COUNTIF($E$7:E3832,E3832)-1</f>
        <v>2394</v>
      </c>
    </row>
    <row r="3833" customFormat="false" ht="14.25" hidden="false" customHeight="true" outlineLevel="0" collapsed="false">
      <c r="A3833" s="51" t="n">
        <v>17542</v>
      </c>
      <c r="B3833" s="53" t="n">
        <v>40617.4895833333</v>
      </c>
      <c r="C3833" s="57" t="n">
        <f aca="false">INT($C$2)-INT(Table3[[#This Row],[Last Purchase Date]])</f>
        <v>270</v>
      </c>
      <c r="D3833" s="1" t="n">
        <v>1</v>
      </c>
      <c r="E3833" s="1" t="n">
        <v>170.75</v>
      </c>
      <c r="F3833" s="1" t="n">
        <f aca="false">ROUND((1-_xlfn.PERCENTRANK.INC($C$7:$C$4378,C3833))*9,0)</f>
        <v>1</v>
      </c>
      <c r="G3833" s="1" t="n">
        <f aca="false">ROUND(_xlfn.PERCENTRANK.INC($D$7:$D$4378,D3833)*9,0)</f>
        <v>0</v>
      </c>
      <c r="H3833" s="1" t="n">
        <f aca="false">ROUND(_xlfn.PERCENTRANK.INC($E$7:$E$4378,E3833)*9,0)</f>
        <v>1</v>
      </c>
      <c r="I3833" s="1" t="str">
        <f aca="false">CONCATENATE(F3833,G3833,H3833)</f>
        <v>101</v>
      </c>
      <c r="J3833" s="1" t="str">
        <f aca="false">_xlfn.IFS(AND(F3833&gt;=8,G3833&gt;=8,H3833&gt;=8),"CHAMPION",AND(F3833&gt;=6,G3833&gt;=7,H3833&gt;=6),"LOYAL CUSTOMER",AND(F3833&gt;=6,G3833&gt;=5,H3833&gt;=5),"POTENTIAL LOYALIST",AND(F3833&gt;=8,G3833&lt;=2,H3833&gt;=5),"NEW CUSTOMERS",AND(F3833&gt;=6,G3833&lt;=2,H3833&gt;=3),"PROMISING",AND(F3833&gt;=3,G3833&gt;=3,H3833&gt;=3),"NEED ATTENTION",AND(F3833&lt;=4,G3833&gt;=6,H3833&gt;=6),"AT RISK",AND(F3833&lt;=2,G3833&gt;=8,H3833&gt;=8),"CAN'T LOSE THEM",AND(F3833&lt;=2,G3833&lt;=2,H3833&lt;=2),"HIBERNATING",TRUE(),"Other")</f>
        <v>HIBERNATING</v>
      </c>
      <c r="K3833" s="1" t="n">
        <f aca="false">RANK(E3833,$E$7:$E$4378)+COUNTIF($E$7:E3833,E3833)-1</f>
        <v>3801</v>
      </c>
    </row>
    <row r="3834" customFormat="false" ht="14.25" hidden="false" customHeight="true" outlineLevel="0" collapsed="false">
      <c r="A3834" s="51" t="n">
        <v>17545</v>
      </c>
      <c r="B3834" s="53" t="n">
        <v>40843.5861111111</v>
      </c>
      <c r="C3834" s="57" t="n">
        <f aca="false">INT($C$2)-INT(Table3[[#This Row],[Last Purchase Date]])</f>
        <v>44</v>
      </c>
      <c r="D3834" s="1" t="n">
        <v>3</v>
      </c>
      <c r="E3834" s="1" t="n">
        <v>645.96</v>
      </c>
      <c r="F3834" s="1" t="n">
        <f aca="false">ROUND((1-_xlfn.PERCENTRANK.INC($C$7:$C$4378,C3834))*9,0)</f>
        <v>5</v>
      </c>
      <c r="G3834" s="1" t="n">
        <f aca="false">ROUND(_xlfn.PERCENTRANK.INC($D$7:$D$4378,D3834)*9,0)</f>
        <v>4</v>
      </c>
      <c r="H3834" s="1" t="n">
        <f aca="false">ROUND(_xlfn.PERCENTRANK.INC($E$7:$E$4378,E3834)*9,0)</f>
        <v>4</v>
      </c>
      <c r="I3834" s="1" t="str">
        <f aca="false">CONCATENATE(F3834,G3834,H3834)</f>
        <v>544</v>
      </c>
      <c r="J3834" s="1" t="str">
        <f aca="false">_xlfn.IFS(AND(F3834&gt;=8,G3834&gt;=8,H3834&gt;=8),"CHAMPION",AND(F3834&gt;=6,G3834&gt;=7,H3834&gt;=6),"LOYAL CUSTOMER",AND(F3834&gt;=6,G3834&gt;=5,H3834&gt;=5),"POTENTIAL LOYALIST",AND(F3834&gt;=8,G3834&lt;=2,H3834&gt;=5),"NEW CUSTOMERS",AND(F3834&gt;=6,G3834&lt;=2,H3834&gt;=3),"PROMISING",AND(F3834&gt;=3,G3834&gt;=3,H3834&gt;=3),"NEED ATTENTION",AND(F3834&lt;=4,G3834&gt;=6,H3834&gt;=6),"AT RISK",AND(F3834&lt;=2,G3834&gt;=8,H3834&gt;=8),"CAN'T LOSE THEM",AND(F3834&lt;=2,G3834&lt;=2,H3834&lt;=2),"HIBERNATING",TRUE(),"Other")</f>
        <v>NEED ATTENTION</v>
      </c>
      <c r="K3834" s="1" t="n">
        <f aca="false">RANK(E3834,$E$7:$E$4378)+COUNTIF($E$7:E3834,E3834)-1</f>
        <v>2192</v>
      </c>
    </row>
    <row r="3835" customFormat="false" ht="14.25" hidden="false" customHeight="true" outlineLevel="0" collapsed="false">
      <c r="A3835" s="51" t="n">
        <v>17547</v>
      </c>
      <c r="B3835" s="53" t="n">
        <v>40514.6034722222</v>
      </c>
      <c r="C3835" s="57" t="n">
        <f aca="false">INT($C$2)-INT(Table3[[#This Row],[Last Purchase Date]])</f>
        <v>373</v>
      </c>
      <c r="D3835" s="1" t="n">
        <v>1</v>
      </c>
      <c r="E3835" s="1" t="n">
        <v>-11.8</v>
      </c>
      <c r="F3835" s="1" t="n">
        <f aca="false">ROUND((1-_xlfn.PERCENTRANK.INC($C$7:$C$4378,C3835))*9,0)</f>
        <v>0</v>
      </c>
      <c r="G3835" s="1" t="n">
        <f aca="false">ROUND(_xlfn.PERCENTRANK.INC($D$7:$D$4378,D3835)*9,0)</f>
        <v>0</v>
      </c>
      <c r="H3835" s="1" t="n">
        <f aca="false">ROUND(_xlfn.PERCENTRANK.INC($E$7:$E$4378,E3835)*9,0)</f>
        <v>0</v>
      </c>
      <c r="I3835" s="1" t="str">
        <f aca="false">CONCATENATE(F3835,G3835,H3835)</f>
        <v>000</v>
      </c>
      <c r="J3835" s="1" t="str">
        <f aca="false">_xlfn.IFS(AND(F3835&gt;=8,G3835&gt;=8,H3835&gt;=8),"CHAMPION",AND(F3835&gt;=6,G3835&gt;=7,H3835&gt;=6),"LOYAL CUSTOMER",AND(F3835&gt;=6,G3835&gt;=5,H3835&gt;=5),"POTENTIAL LOYALIST",AND(F3835&gt;=8,G3835&lt;=2,H3835&gt;=5),"NEW CUSTOMERS",AND(F3835&gt;=6,G3835&lt;=2,H3835&gt;=3),"PROMISING",AND(F3835&gt;=3,G3835&gt;=3,H3835&gt;=3),"NEED ATTENTION",AND(F3835&lt;=4,G3835&gt;=6,H3835&gt;=6),"AT RISK",AND(F3835&lt;=2,G3835&gt;=8,H3835&gt;=8),"CAN'T LOSE THEM",AND(F3835&lt;=2,G3835&lt;=2,H3835&lt;=2),"HIBERNATING",TRUE(),"Other")</f>
        <v>HIBERNATING</v>
      </c>
      <c r="K3835" s="1" t="n">
        <f aca="false">RANK(E3835,$E$7:$E$4378)+COUNTIF($E$7:E3835,E3835)-1</f>
        <v>4340</v>
      </c>
    </row>
    <row r="3836" customFormat="false" ht="14.25" hidden="false" customHeight="true" outlineLevel="0" collapsed="false">
      <c r="A3836" s="51" t="n">
        <v>17548</v>
      </c>
      <c r="B3836" s="53" t="n">
        <v>40669.4166666667</v>
      </c>
      <c r="C3836" s="57" t="n">
        <f aca="false">INT($C$2)-INT(Table3[[#This Row],[Last Purchase Date]])</f>
        <v>218</v>
      </c>
      <c r="D3836" s="1" t="n">
        <v>3</v>
      </c>
      <c r="E3836" s="1" t="n">
        <v>-141.48</v>
      </c>
      <c r="F3836" s="1" t="n">
        <f aca="false">ROUND((1-_xlfn.PERCENTRANK.INC($C$7:$C$4378,C3836))*9,0)</f>
        <v>1</v>
      </c>
      <c r="G3836" s="1" t="n">
        <f aca="false">ROUND(_xlfn.PERCENTRANK.INC($D$7:$D$4378,D3836)*9,0)</f>
        <v>4</v>
      </c>
      <c r="H3836" s="1" t="n">
        <f aca="false">ROUND(_xlfn.PERCENTRANK.INC($E$7:$E$4378,E3836)*9,0)</f>
        <v>0</v>
      </c>
      <c r="I3836" s="1" t="str">
        <f aca="false">CONCATENATE(F3836,G3836,H3836)</f>
        <v>140</v>
      </c>
      <c r="J3836" s="1" t="str">
        <f aca="false">_xlfn.IFS(AND(F3836&gt;=8,G3836&gt;=8,H3836&gt;=8),"CHAMPION",AND(F3836&gt;=6,G3836&gt;=7,H3836&gt;=6),"LOYAL CUSTOMER",AND(F3836&gt;=6,G3836&gt;=5,H3836&gt;=5),"POTENTIAL LOYALIST",AND(F3836&gt;=8,G3836&lt;=2,H3836&gt;=5),"NEW CUSTOMERS",AND(F3836&gt;=6,G3836&lt;=2,H3836&gt;=3),"PROMISING",AND(F3836&gt;=3,G3836&gt;=3,H3836&gt;=3),"NEED ATTENTION",AND(F3836&lt;=4,G3836&gt;=6,H3836&gt;=6),"AT RISK",AND(F3836&lt;=2,G3836&gt;=8,H3836&gt;=8),"CAN'T LOSE THEM",AND(F3836&lt;=2,G3836&lt;=2,H3836&lt;=2),"HIBERNATING",TRUE(),"Other")</f>
        <v>Other</v>
      </c>
      <c r="K3836" s="1" t="n">
        <f aca="false">RANK(E3836,$E$7:$E$4378)+COUNTIF($E$7:E3836,E3836)-1</f>
        <v>4361</v>
      </c>
    </row>
    <row r="3837" customFormat="false" ht="14.25" hidden="false" customHeight="true" outlineLevel="0" collapsed="false">
      <c r="A3837" s="51" t="n">
        <v>17549</v>
      </c>
      <c r="B3837" s="53" t="n">
        <v>40863.4159722222</v>
      </c>
      <c r="C3837" s="57" t="n">
        <f aca="false">INT($C$2)-INT(Table3[[#This Row],[Last Purchase Date]])</f>
        <v>24</v>
      </c>
      <c r="D3837" s="1" t="n">
        <v>2</v>
      </c>
      <c r="E3837" s="1" t="n">
        <v>148.86</v>
      </c>
      <c r="F3837" s="1" t="n">
        <f aca="false">ROUND((1-_xlfn.PERCENTRANK.INC($C$7:$C$4378,C3837))*9,0)</f>
        <v>6</v>
      </c>
      <c r="G3837" s="1" t="n">
        <f aca="false">ROUND(_xlfn.PERCENTRANK.INC($D$7:$D$4378,D3837)*9,0)</f>
        <v>3</v>
      </c>
      <c r="H3837" s="1" t="n">
        <f aca="false">ROUND(_xlfn.PERCENTRANK.INC($E$7:$E$4378,E3837)*9,0)</f>
        <v>1</v>
      </c>
      <c r="I3837" s="1" t="str">
        <f aca="false">CONCATENATE(F3837,G3837,H3837)</f>
        <v>631</v>
      </c>
      <c r="J3837" s="1" t="str">
        <f aca="false">_xlfn.IFS(AND(F3837&gt;=8,G3837&gt;=8,H3837&gt;=8),"CHAMPION",AND(F3837&gt;=6,G3837&gt;=7,H3837&gt;=6),"LOYAL CUSTOMER",AND(F3837&gt;=6,G3837&gt;=5,H3837&gt;=5),"POTENTIAL LOYALIST",AND(F3837&gt;=8,G3837&lt;=2,H3837&gt;=5),"NEW CUSTOMERS",AND(F3837&gt;=6,G3837&lt;=2,H3837&gt;=3),"PROMISING",AND(F3837&gt;=3,G3837&gt;=3,H3837&gt;=3),"NEED ATTENTION",AND(F3837&lt;=4,G3837&gt;=6,H3837&gt;=6),"AT RISK",AND(F3837&lt;=2,G3837&gt;=8,H3837&gt;=8),"CAN'T LOSE THEM",AND(F3837&lt;=2,G3837&lt;=2,H3837&lt;=2),"HIBERNATING",TRUE(),"Other")</f>
        <v>Other</v>
      </c>
      <c r="K3837" s="1" t="n">
        <f aca="false">RANK(E3837,$E$7:$E$4378)+COUNTIF($E$7:E3837,E3837)-1</f>
        <v>3925</v>
      </c>
    </row>
    <row r="3838" customFormat="false" ht="14.25" hidden="false" customHeight="true" outlineLevel="0" collapsed="false">
      <c r="A3838" s="51" t="n">
        <v>17550</v>
      </c>
      <c r="B3838" s="53" t="n">
        <v>40689.5895833333</v>
      </c>
      <c r="C3838" s="57" t="n">
        <f aca="false">INT($C$2)-INT(Table3[[#This Row],[Last Purchase Date]])</f>
        <v>198</v>
      </c>
      <c r="D3838" s="1" t="n">
        <v>3</v>
      </c>
      <c r="E3838" s="1" t="n">
        <v>267.16</v>
      </c>
      <c r="F3838" s="1" t="n">
        <f aca="false">ROUND((1-_xlfn.PERCENTRANK.INC($C$7:$C$4378,C3838))*9,0)</f>
        <v>2</v>
      </c>
      <c r="G3838" s="1" t="n">
        <f aca="false">ROUND(_xlfn.PERCENTRANK.INC($D$7:$D$4378,D3838)*9,0)</f>
        <v>4</v>
      </c>
      <c r="H3838" s="1" t="n">
        <f aca="false">ROUND(_xlfn.PERCENTRANK.INC($E$7:$E$4378,E3838)*9,0)</f>
        <v>2</v>
      </c>
      <c r="I3838" s="1" t="str">
        <f aca="false">CONCATENATE(F3838,G3838,H3838)</f>
        <v>242</v>
      </c>
      <c r="J3838" s="1" t="str">
        <f aca="false">_xlfn.IFS(AND(F3838&gt;=8,G3838&gt;=8,H3838&gt;=8),"CHAMPION",AND(F3838&gt;=6,G3838&gt;=7,H3838&gt;=6),"LOYAL CUSTOMER",AND(F3838&gt;=6,G3838&gt;=5,H3838&gt;=5),"POTENTIAL LOYALIST",AND(F3838&gt;=8,G3838&lt;=2,H3838&gt;=5),"NEW CUSTOMERS",AND(F3838&gt;=6,G3838&lt;=2,H3838&gt;=3),"PROMISING",AND(F3838&gt;=3,G3838&gt;=3,H3838&gt;=3),"NEED ATTENTION",AND(F3838&lt;=4,G3838&gt;=6,H3838&gt;=6),"AT RISK",AND(F3838&lt;=2,G3838&gt;=8,H3838&gt;=8),"CAN'T LOSE THEM",AND(F3838&lt;=2,G3838&lt;=2,H3838&lt;=2),"HIBERNATING",TRUE(),"Other")</f>
        <v>Other</v>
      </c>
      <c r="K3838" s="1" t="n">
        <f aca="false">RANK(E3838,$E$7:$E$4378)+COUNTIF($E$7:E3838,E3838)-1</f>
        <v>3369</v>
      </c>
    </row>
    <row r="3839" customFormat="false" ht="14.25" hidden="false" customHeight="true" outlineLevel="0" collapsed="false">
      <c r="A3839" s="51" t="n">
        <v>17551</v>
      </c>
      <c r="B3839" s="53" t="n">
        <v>40527.5916666667</v>
      </c>
      <c r="C3839" s="57" t="n">
        <f aca="false">INT($C$2)-INT(Table3[[#This Row],[Last Purchase Date]])</f>
        <v>360</v>
      </c>
      <c r="D3839" s="1" t="n">
        <v>1</v>
      </c>
      <c r="E3839" s="1" t="n">
        <v>306.84</v>
      </c>
      <c r="F3839" s="1" t="n">
        <f aca="false">ROUND((1-_xlfn.PERCENTRANK.INC($C$7:$C$4378,C3839))*9,0)</f>
        <v>0</v>
      </c>
      <c r="G3839" s="1" t="n">
        <f aca="false">ROUND(_xlfn.PERCENTRANK.INC($D$7:$D$4378,D3839)*9,0)</f>
        <v>0</v>
      </c>
      <c r="H3839" s="1" t="n">
        <f aca="false">ROUND(_xlfn.PERCENTRANK.INC($E$7:$E$4378,E3839)*9,0)</f>
        <v>2</v>
      </c>
      <c r="I3839" s="1" t="str">
        <f aca="false">CONCATENATE(F3839,G3839,H3839)</f>
        <v>002</v>
      </c>
      <c r="J3839" s="1" t="str">
        <f aca="false">_xlfn.IFS(AND(F3839&gt;=8,G3839&gt;=8,H3839&gt;=8),"CHAMPION",AND(F3839&gt;=6,G3839&gt;=7,H3839&gt;=6),"LOYAL CUSTOMER",AND(F3839&gt;=6,G3839&gt;=5,H3839&gt;=5),"POTENTIAL LOYALIST",AND(F3839&gt;=8,G3839&lt;=2,H3839&gt;=5),"NEW CUSTOMERS",AND(F3839&gt;=6,G3839&lt;=2,H3839&gt;=3),"PROMISING",AND(F3839&gt;=3,G3839&gt;=3,H3839&gt;=3),"NEED ATTENTION",AND(F3839&lt;=4,G3839&gt;=6,H3839&gt;=6),"AT RISK",AND(F3839&lt;=2,G3839&gt;=8,H3839&gt;=8),"CAN'T LOSE THEM",AND(F3839&lt;=2,G3839&lt;=2,H3839&lt;=2),"HIBERNATING",TRUE(),"Other")</f>
        <v>HIBERNATING</v>
      </c>
      <c r="K3839" s="1" t="n">
        <f aca="false">RANK(E3839,$E$7:$E$4378)+COUNTIF($E$7:E3839,E3839)-1</f>
        <v>3214</v>
      </c>
    </row>
    <row r="3840" customFormat="false" ht="14.25" hidden="false" customHeight="true" outlineLevel="0" collapsed="false">
      <c r="A3840" s="51" t="n">
        <v>17552</v>
      </c>
      <c r="B3840" s="53" t="n">
        <v>40844.5097222222</v>
      </c>
      <c r="C3840" s="57" t="n">
        <f aca="false">INT($C$2)-INT(Table3[[#This Row],[Last Purchase Date]])</f>
        <v>43</v>
      </c>
      <c r="D3840" s="1" t="n">
        <v>6</v>
      </c>
      <c r="E3840" s="1" t="n">
        <v>909.96</v>
      </c>
      <c r="F3840" s="1" t="n">
        <f aca="false">ROUND((1-_xlfn.PERCENTRANK.INC($C$7:$C$4378,C3840))*9,0)</f>
        <v>5</v>
      </c>
      <c r="G3840" s="1" t="n">
        <f aca="false">ROUND(_xlfn.PERCENTRANK.INC($D$7:$D$4378,D3840)*9,0)</f>
        <v>7</v>
      </c>
      <c r="H3840" s="1" t="n">
        <f aca="false">ROUND(_xlfn.PERCENTRANK.INC($E$7:$E$4378,E3840)*9,0)</f>
        <v>5</v>
      </c>
      <c r="I3840" s="1" t="str">
        <f aca="false">CONCATENATE(F3840,G3840,H3840)</f>
        <v>575</v>
      </c>
      <c r="J3840" s="1" t="str">
        <f aca="false">_xlfn.IFS(AND(F3840&gt;=8,G3840&gt;=8,H3840&gt;=8),"CHAMPION",AND(F3840&gt;=6,G3840&gt;=7,H3840&gt;=6),"LOYAL CUSTOMER",AND(F3840&gt;=6,G3840&gt;=5,H3840&gt;=5),"POTENTIAL LOYALIST",AND(F3840&gt;=8,G3840&lt;=2,H3840&gt;=5),"NEW CUSTOMERS",AND(F3840&gt;=6,G3840&lt;=2,H3840&gt;=3),"PROMISING",AND(F3840&gt;=3,G3840&gt;=3,H3840&gt;=3),"NEED ATTENTION",AND(F3840&lt;=4,G3840&gt;=6,H3840&gt;=6),"AT RISK",AND(F3840&lt;=2,G3840&gt;=8,H3840&gt;=8),"CAN'T LOSE THEM",AND(F3840&lt;=2,G3840&lt;=2,H3840&lt;=2),"HIBERNATING",TRUE(),"Other")</f>
        <v>NEED ATTENTION</v>
      </c>
      <c r="K3840" s="1" t="n">
        <f aca="false">RANK(E3840,$E$7:$E$4378)+COUNTIF($E$7:E3840,E3840)-1</f>
        <v>1748</v>
      </c>
    </row>
    <row r="3841" customFormat="false" ht="14.25" hidden="false" customHeight="true" outlineLevel="0" collapsed="false">
      <c r="A3841" s="51" t="n">
        <v>17553</v>
      </c>
      <c r="B3841" s="53" t="n">
        <v>40757.4166666667</v>
      </c>
      <c r="C3841" s="57" t="n">
        <f aca="false">INT($C$2)-INT(Table3[[#This Row],[Last Purchase Date]])</f>
        <v>130</v>
      </c>
      <c r="D3841" s="1" t="n">
        <v>1</v>
      </c>
      <c r="E3841" s="1" t="n">
        <v>1487.6</v>
      </c>
      <c r="F3841" s="1" t="n">
        <f aca="false">ROUND((1-_xlfn.PERCENTRANK.INC($C$7:$C$4378,C3841))*9,0)</f>
        <v>2</v>
      </c>
      <c r="G3841" s="1" t="n">
        <f aca="false">ROUND(_xlfn.PERCENTRANK.INC($D$7:$D$4378,D3841)*9,0)</f>
        <v>0</v>
      </c>
      <c r="H3841" s="1" t="n">
        <f aca="false">ROUND(_xlfn.PERCENTRANK.INC($E$7:$E$4378,E3841)*9,0)</f>
        <v>7</v>
      </c>
      <c r="I3841" s="1" t="str">
        <f aca="false">CONCATENATE(F3841,G3841,H3841)</f>
        <v>207</v>
      </c>
      <c r="J3841" s="1" t="str">
        <f aca="false">_xlfn.IFS(AND(F3841&gt;=8,G3841&gt;=8,H3841&gt;=8),"CHAMPION",AND(F3841&gt;=6,G3841&gt;=7,H3841&gt;=6),"LOYAL CUSTOMER",AND(F3841&gt;=6,G3841&gt;=5,H3841&gt;=5),"POTENTIAL LOYALIST",AND(F3841&gt;=8,G3841&lt;=2,H3841&gt;=5),"NEW CUSTOMERS",AND(F3841&gt;=6,G3841&lt;=2,H3841&gt;=3),"PROMISING",AND(F3841&gt;=3,G3841&gt;=3,H3841&gt;=3),"NEED ATTENTION",AND(F3841&lt;=4,G3841&gt;=6,H3841&gt;=6),"AT RISK",AND(F3841&lt;=2,G3841&gt;=8,H3841&gt;=8),"CAN'T LOSE THEM",AND(F3841&lt;=2,G3841&lt;=2,H3841&lt;=2),"HIBERNATING",TRUE(),"Other")</f>
        <v>Other</v>
      </c>
      <c r="K3841" s="1" t="n">
        <f aca="false">RANK(E3841,$E$7:$E$4378)+COUNTIF($E$7:E3841,E3841)-1</f>
        <v>1174</v>
      </c>
    </row>
    <row r="3842" customFormat="false" ht="14.25" hidden="false" customHeight="true" outlineLevel="0" collapsed="false">
      <c r="A3842" s="51" t="n">
        <v>17554</v>
      </c>
      <c r="B3842" s="53" t="n">
        <v>40885.59375</v>
      </c>
      <c r="C3842" s="57" t="n">
        <f aca="false">INT($C$2)-INT(Table3[[#This Row],[Last Purchase Date]])</f>
        <v>2</v>
      </c>
      <c r="D3842" s="1" t="n">
        <v>5</v>
      </c>
      <c r="E3842" s="1" t="n">
        <v>1952.45</v>
      </c>
      <c r="F3842" s="1" t="n">
        <f aca="false">ROUND((1-_xlfn.PERCENTRANK.INC($C$7:$C$4378,C3842))*9,0)</f>
        <v>9</v>
      </c>
      <c r="G3842" s="1" t="n">
        <f aca="false">ROUND(_xlfn.PERCENTRANK.INC($D$7:$D$4378,D3842)*9,0)</f>
        <v>6</v>
      </c>
      <c r="H3842" s="1" t="n">
        <f aca="false">ROUND(_xlfn.PERCENTRANK.INC($E$7:$E$4378,E3842)*9,0)</f>
        <v>7</v>
      </c>
      <c r="I3842" s="1" t="str">
        <f aca="false">CONCATENATE(F3842,G3842,H3842)</f>
        <v>967</v>
      </c>
      <c r="J3842" s="1" t="str">
        <f aca="false">_xlfn.IFS(AND(F3842&gt;=8,G3842&gt;=8,H3842&gt;=8),"CHAMPION",AND(F3842&gt;=6,G3842&gt;=7,H3842&gt;=6),"LOYAL CUSTOMER",AND(F3842&gt;=6,G3842&gt;=5,H3842&gt;=5),"POTENTIAL LOYALIST",AND(F3842&gt;=8,G3842&lt;=2,H3842&gt;=5),"NEW CUSTOMERS",AND(F3842&gt;=6,G3842&lt;=2,H3842&gt;=3),"PROMISING",AND(F3842&gt;=3,G3842&gt;=3,H3842&gt;=3),"NEED ATTENTION",AND(F3842&lt;=4,G3842&gt;=6,H3842&gt;=6),"AT RISK",AND(F3842&lt;=2,G3842&gt;=8,H3842&gt;=8),"CAN'T LOSE THEM",AND(F3842&lt;=2,G3842&lt;=2,H3842&lt;=2),"HIBERNATING",TRUE(),"Other")</f>
        <v>POTENTIAL LOYALIST</v>
      </c>
      <c r="K3842" s="1" t="n">
        <f aca="false">RANK(E3842,$E$7:$E$4378)+COUNTIF($E$7:E3842,E3842)-1</f>
        <v>896</v>
      </c>
    </row>
    <row r="3843" customFormat="false" ht="14.25" hidden="false" customHeight="true" outlineLevel="0" collapsed="false">
      <c r="A3843" s="51" t="n">
        <v>17555</v>
      </c>
      <c r="B3843" s="53" t="n">
        <v>40867.5152777778</v>
      </c>
      <c r="C3843" s="57" t="n">
        <f aca="false">INT($C$2)-INT(Table3[[#This Row],[Last Purchase Date]])</f>
        <v>20</v>
      </c>
      <c r="D3843" s="1" t="n">
        <v>2</v>
      </c>
      <c r="E3843" s="1" t="n">
        <v>483.26</v>
      </c>
      <c r="F3843" s="1" t="n">
        <f aca="false">ROUND((1-_xlfn.PERCENTRANK.INC($C$7:$C$4378,C3843))*9,0)</f>
        <v>6</v>
      </c>
      <c r="G3843" s="1" t="n">
        <f aca="false">ROUND(_xlfn.PERCENTRANK.INC($D$7:$D$4378,D3843)*9,0)</f>
        <v>3</v>
      </c>
      <c r="H3843" s="1" t="n">
        <f aca="false">ROUND(_xlfn.PERCENTRANK.INC($E$7:$E$4378,E3843)*9,0)</f>
        <v>4</v>
      </c>
      <c r="I3843" s="1" t="str">
        <f aca="false">CONCATENATE(F3843,G3843,H3843)</f>
        <v>634</v>
      </c>
      <c r="J3843" s="1" t="str">
        <f aca="false">_xlfn.IFS(AND(F3843&gt;=8,G3843&gt;=8,H3843&gt;=8),"CHAMPION",AND(F3843&gt;=6,G3843&gt;=7,H3843&gt;=6),"LOYAL CUSTOMER",AND(F3843&gt;=6,G3843&gt;=5,H3843&gt;=5),"POTENTIAL LOYALIST",AND(F3843&gt;=8,G3843&lt;=2,H3843&gt;=5),"NEW CUSTOMERS",AND(F3843&gt;=6,G3843&lt;=2,H3843&gt;=3),"PROMISING",AND(F3843&gt;=3,G3843&gt;=3,H3843&gt;=3),"NEED ATTENTION",AND(F3843&lt;=4,G3843&gt;=6,H3843&gt;=6),"AT RISK",AND(F3843&lt;=2,G3843&gt;=8,H3843&gt;=8),"CAN'T LOSE THEM",AND(F3843&lt;=2,G3843&lt;=2,H3843&lt;=2),"HIBERNATING",TRUE(),"Other")</f>
        <v>NEED ATTENTION</v>
      </c>
      <c r="K3843" s="1" t="n">
        <f aca="false">RANK(E3843,$E$7:$E$4378)+COUNTIF($E$7:E3843,E3843)-1</f>
        <v>2589</v>
      </c>
    </row>
    <row r="3844" customFormat="false" ht="14.25" hidden="false" customHeight="true" outlineLevel="0" collapsed="false">
      <c r="A3844" s="51" t="n">
        <v>17556</v>
      </c>
      <c r="B3844" s="53" t="n">
        <v>40681.45</v>
      </c>
      <c r="C3844" s="57" t="n">
        <f aca="false">INT($C$2)-INT(Table3[[#This Row],[Last Purchase Date]])</f>
        <v>206</v>
      </c>
      <c r="D3844" s="1" t="n">
        <v>1</v>
      </c>
      <c r="E3844" s="1" t="n">
        <v>157.9</v>
      </c>
      <c r="F3844" s="1" t="n">
        <f aca="false">ROUND((1-_xlfn.PERCENTRANK.INC($C$7:$C$4378,C3844))*9,0)</f>
        <v>1</v>
      </c>
      <c r="G3844" s="1" t="n">
        <f aca="false">ROUND(_xlfn.PERCENTRANK.INC($D$7:$D$4378,D3844)*9,0)</f>
        <v>0</v>
      </c>
      <c r="H3844" s="1" t="n">
        <f aca="false">ROUND(_xlfn.PERCENTRANK.INC($E$7:$E$4378,E3844)*9,0)</f>
        <v>1</v>
      </c>
      <c r="I3844" s="1" t="str">
        <f aca="false">CONCATENATE(F3844,G3844,H3844)</f>
        <v>101</v>
      </c>
      <c r="J3844" s="1" t="str">
        <f aca="false">_xlfn.IFS(AND(F3844&gt;=8,G3844&gt;=8,H3844&gt;=8),"CHAMPION",AND(F3844&gt;=6,G3844&gt;=7,H3844&gt;=6),"LOYAL CUSTOMER",AND(F3844&gt;=6,G3844&gt;=5,H3844&gt;=5),"POTENTIAL LOYALIST",AND(F3844&gt;=8,G3844&lt;=2,H3844&gt;=5),"NEW CUSTOMERS",AND(F3844&gt;=6,G3844&lt;=2,H3844&gt;=3),"PROMISING",AND(F3844&gt;=3,G3844&gt;=3,H3844&gt;=3),"NEED ATTENTION",AND(F3844&lt;=4,G3844&gt;=6,H3844&gt;=6),"AT RISK",AND(F3844&lt;=2,G3844&gt;=8,H3844&gt;=8),"CAN'T LOSE THEM",AND(F3844&lt;=2,G3844&lt;=2,H3844&lt;=2),"HIBERNATING",TRUE(),"Other")</f>
        <v>HIBERNATING</v>
      </c>
      <c r="K3844" s="1" t="n">
        <f aca="false">RANK(E3844,$E$7:$E$4378)+COUNTIF($E$7:E3844,E3844)-1</f>
        <v>3870</v>
      </c>
    </row>
    <row r="3845" customFormat="false" ht="14.25" hidden="false" customHeight="true" outlineLevel="0" collapsed="false">
      <c r="A3845" s="51" t="n">
        <v>17557</v>
      </c>
      <c r="B3845" s="53" t="n">
        <v>40872.5395833333</v>
      </c>
      <c r="C3845" s="57" t="n">
        <f aca="false">INT($C$2)-INT(Table3[[#This Row],[Last Purchase Date]])</f>
        <v>15</v>
      </c>
      <c r="D3845" s="1" t="n">
        <v>3</v>
      </c>
      <c r="E3845" s="1" t="n">
        <v>541.46</v>
      </c>
      <c r="F3845" s="1" t="n">
        <f aca="false">ROUND((1-_xlfn.PERCENTRANK.INC($C$7:$C$4378,C3845))*9,0)</f>
        <v>7</v>
      </c>
      <c r="G3845" s="1" t="n">
        <f aca="false">ROUND(_xlfn.PERCENTRANK.INC($D$7:$D$4378,D3845)*9,0)</f>
        <v>4</v>
      </c>
      <c r="H3845" s="1" t="n">
        <f aca="false">ROUND(_xlfn.PERCENTRANK.INC($E$7:$E$4378,E3845)*9,0)</f>
        <v>4</v>
      </c>
      <c r="I3845" s="1" t="str">
        <f aca="false">CONCATENATE(F3845,G3845,H3845)</f>
        <v>744</v>
      </c>
      <c r="J3845" s="1" t="str">
        <f aca="false">_xlfn.IFS(AND(F3845&gt;=8,G3845&gt;=8,H3845&gt;=8),"CHAMPION",AND(F3845&gt;=6,G3845&gt;=7,H3845&gt;=6),"LOYAL CUSTOMER",AND(F3845&gt;=6,G3845&gt;=5,H3845&gt;=5),"POTENTIAL LOYALIST",AND(F3845&gt;=8,G3845&lt;=2,H3845&gt;=5),"NEW CUSTOMERS",AND(F3845&gt;=6,G3845&lt;=2,H3845&gt;=3),"PROMISING",AND(F3845&gt;=3,G3845&gt;=3,H3845&gt;=3),"NEED ATTENTION",AND(F3845&lt;=4,G3845&gt;=6,H3845&gt;=6),"AT RISK",AND(F3845&lt;=2,G3845&gt;=8,H3845&gt;=8),"CAN'T LOSE THEM",AND(F3845&lt;=2,G3845&lt;=2,H3845&lt;=2),"HIBERNATING",TRUE(),"Other")</f>
        <v>NEED ATTENTION</v>
      </c>
      <c r="K3845" s="1" t="n">
        <f aca="false">RANK(E3845,$E$7:$E$4378)+COUNTIF($E$7:E3845,E3845)-1</f>
        <v>2450</v>
      </c>
    </row>
    <row r="3846" customFormat="false" ht="14.25" hidden="false" customHeight="true" outlineLevel="0" collapsed="false">
      <c r="A3846" s="51" t="n">
        <v>17560</v>
      </c>
      <c r="B3846" s="53" t="n">
        <v>40792.3875</v>
      </c>
      <c r="C3846" s="57" t="n">
        <f aca="false">INT($C$2)-INT(Table3[[#This Row],[Last Purchase Date]])</f>
        <v>95</v>
      </c>
      <c r="D3846" s="1" t="n">
        <v>5</v>
      </c>
      <c r="E3846" s="1" t="n">
        <v>854.95</v>
      </c>
      <c r="F3846" s="1" t="n">
        <f aca="false">ROUND((1-_xlfn.PERCENTRANK.INC($C$7:$C$4378,C3846))*9,0)</f>
        <v>3</v>
      </c>
      <c r="G3846" s="1" t="n">
        <f aca="false">ROUND(_xlfn.PERCENTRANK.INC($D$7:$D$4378,D3846)*9,0)</f>
        <v>6</v>
      </c>
      <c r="H3846" s="1" t="n">
        <f aca="false">ROUND(_xlfn.PERCENTRANK.INC($E$7:$E$4378,E3846)*9,0)</f>
        <v>5</v>
      </c>
      <c r="I3846" s="1" t="str">
        <f aca="false">CONCATENATE(F3846,G3846,H3846)</f>
        <v>365</v>
      </c>
      <c r="J3846" s="1" t="str">
        <f aca="false">_xlfn.IFS(AND(F3846&gt;=8,G3846&gt;=8,H3846&gt;=8),"CHAMPION",AND(F3846&gt;=6,G3846&gt;=7,H3846&gt;=6),"LOYAL CUSTOMER",AND(F3846&gt;=6,G3846&gt;=5,H3846&gt;=5),"POTENTIAL LOYALIST",AND(F3846&gt;=8,G3846&lt;=2,H3846&gt;=5),"NEW CUSTOMERS",AND(F3846&gt;=6,G3846&lt;=2,H3846&gt;=3),"PROMISING",AND(F3846&gt;=3,G3846&gt;=3,H3846&gt;=3),"NEED ATTENTION",AND(F3846&lt;=4,G3846&gt;=6,H3846&gt;=6),"AT RISK",AND(F3846&lt;=2,G3846&gt;=8,H3846&gt;=8),"CAN'T LOSE THEM",AND(F3846&lt;=2,G3846&lt;=2,H3846&lt;=2),"HIBERNATING",TRUE(),"Other")</f>
        <v>NEED ATTENTION</v>
      </c>
      <c r="K3846" s="1" t="n">
        <f aca="false">RANK(E3846,$E$7:$E$4378)+COUNTIF($E$7:E3846,E3846)-1</f>
        <v>1823</v>
      </c>
    </row>
    <row r="3847" customFormat="false" ht="14.25" hidden="false" customHeight="true" outlineLevel="0" collapsed="false">
      <c r="A3847" s="51" t="n">
        <v>17561</v>
      </c>
      <c r="B3847" s="53" t="n">
        <v>40867.5368055556</v>
      </c>
      <c r="C3847" s="57" t="n">
        <f aca="false">INT($C$2)-INT(Table3[[#This Row],[Last Purchase Date]])</f>
        <v>20</v>
      </c>
      <c r="D3847" s="1" t="n">
        <v>1</v>
      </c>
      <c r="E3847" s="1" t="n">
        <v>167.62</v>
      </c>
      <c r="F3847" s="1" t="n">
        <f aca="false">ROUND((1-_xlfn.PERCENTRANK.INC($C$7:$C$4378,C3847))*9,0)</f>
        <v>6</v>
      </c>
      <c r="G3847" s="1" t="n">
        <f aca="false">ROUND(_xlfn.PERCENTRANK.INC($D$7:$D$4378,D3847)*9,0)</f>
        <v>0</v>
      </c>
      <c r="H3847" s="1" t="n">
        <f aca="false">ROUND(_xlfn.PERCENTRANK.INC($E$7:$E$4378,E3847)*9,0)</f>
        <v>1</v>
      </c>
      <c r="I3847" s="1" t="str">
        <f aca="false">CONCATENATE(F3847,G3847,H3847)</f>
        <v>601</v>
      </c>
      <c r="J3847" s="1" t="str">
        <f aca="false">_xlfn.IFS(AND(F3847&gt;=8,G3847&gt;=8,H3847&gt;=8),"CHAMPION",AND(F3847&gt;=6,G3847&gt;=7,H3847&gt;=6),"LOYAL CUSTOMER",AND(F3847&gt;=6,G3847&gt;=5,H3847&gt;=5),"POTENTIAL LOYALIST",AND(F3847&gt;=8,G3847&lt;=2,H3847&gt;=5),"NEW CUSTOMERS",AND(F3847&gt;=6,G3847&lt;=2,H3847&gt;=3),"PROMISING",AND(F3847&gt;=3,G3847&gt;=3,H3847&gt;=3),"NEED ATTENTION",AND(F3847&lt;=4,G3847&gt;=6,H3847&gt;=6),"AT RISK",AND(F3847&lt;=2,G3847&gt;=8,H3847&gt;=8),"CAN'T LOSE THEM",AND(F3847&lt;=2,G3847&lt;=2,H3847&lt;=2),"HIBERNATING",TRUE(),"Other")</f>
        <v>Other</v>
      </c>
      <c r="K3847" s="1" t="n">
        <f aca="false">RANK(E3847,$E$7:$E$4378)+COUNTIF($E$7:E3847,E3847)-1</f>
        <v>3819</v>
      </c>
    </row>
    <row r="3848" customFormat="false" ht="14.25" hidden="false" customHeight="true" outlineLevel="0" collapsed="false">
      <c r="A3848" s="51" t="n">
        <v>17562</v>
      </c>
      <c r="B3848" s="53" t="n">
        <v>40872.5979166667</v>
      </c>
      <c r="C3848" s="57" t="n">
        <f aca="false">INT($C$2)-INT(Table3[[#This Row],[Last Purchase Date]])</f>
        <v>15</v>
      </c>
      <c r="D3848" s="1" t="n">
        <v>8</v>
      </c>
      <c r="E3848" s="1" t="n">
        <v>1107.38</v>
      </c>
      <c r="F3848" s="1" t="n">
        <f aca="false">ROUND((1-_xlfn.PERCENTRANK.INC($C$7:$C$4378,C3848))*9,0)</f>
        <v>7</v>
      </c>
      <c r="G3848" s="1" t="n">
        <f aca="false">ROUND(_xlfn.PERCENTRANK.INC($D$7:$D$4378,D3848)*9,0)</f>
        <v>7</v>
      </c>
      <c r="H3848" s="1" t="n">
        <f aca="false">ROUND(_xlfn.PERCENTRANK.INC($E$7:$E$4378,E3848)*9,0)</f>
        <v>6</v>
      </c>
      <c r="I3848" s="1" t="str">
        <f aca="false">CONCATENATE(F3848,G3848,H3848)</f>
        <v>776</v>
      </c>
      <c r="J3848" s="1" t="str">
        <f aca="false">_xlfn.IFS(AND(F3848&gt;=8,G3848&gt;=8,H3848&gt;=8),"CHAMPION",AND(F3848&gt;=6,G3848&gt;=7,H3848&gt;=6),"LOYAL CUSTOMER",AND(F3848&gt;=6,G3848&gt;=5,H3848&gt;=5),"POTENTIAL LOYALIST",AND(F3848&gt;=8,G3848&lt;=2,H3848&gt;=5),"NEW CUSTOMERS",AND(F3848&gt;=6,G3848&lt;=2,H3848&gt;=3),"PROMISING",AND(F3848&gt;=3,G3848&gt;=3,H3848&gt;=3),"NEED ATTENTION",AND(F3848&lt;=4,G3848&gt;=6,H3848&gt;=6),"AT RISK",AND(F3848&lt;=2,G3848&gt;=8,H3848&gt;=8),"CAN'T LOSE THEM",AND(F3848&lt;=2,G3848&lt;=2,H3848&lt;=2),"HIBERNATING",TRUE(),"Other")</f>
        <v>LOYAL CUSTOMER</v>
      </c>
      <c r="K3848" s="1" t="n">
        <f aca="false">RANK(E3848,$E$7:$E$4378)+COUNTIF($E$7:E3848,E3848)-1</f>
        <v>1503</v>
      </c>
    </row>
    <row r="3849" customFormat="false" ht="14.25" hidden="false" customHeight="true" outlineLevel="0" collapsed="false">
      <c r="A3849" s="51" t="n">
        <v>17564</v>
      </c>
      <c r="B3849" s="53" t="n">
        <v>40862.5604166667</v>
      </c>
      <c r="C3849" s="57" t="n">
        <f aca="false">INT($C$2)-INT(Table3[[#This Row],[Last Purchase Date]])</f>
        <v>25</v>
      </c>
      <c r="D3849" s="1" t="n">
        <v>3</v>
      </c>
      <c r="E3849" s="1" t="n">
        <v>454.01</v>
      </c>
      <c r="F3849" s="1" t="n">
        <f aca="false">ROUND((1-_xlfn.PERCENTRANK.INC($C$7:$C$4378,C3849))*9,0)</f>
        <v>6</v>
      </c>
      <c r="G3849" s="1" t="n">
        <f aca="false">ROUND(_xlfn.PERCENTRANK.INC($D$7:$D$4378,D3849)*9,0)</f>
        <v>4</v>
      </c>
      <c r="H3849" s="1" t="n">
        <f aca="false">ROUND(_xlfn.PERCENTRANK.INC($E$7:$E$4378,E3849)*9,0)</f>
        <v>4</v>
      </c>
      <c r="I3849" s="1" t="str">
        <f aca="false">CONCATENATE(F3849,G3849,H3849)</f>
        <v>644</v>
      </c>
      <c r="J3849" s="1" t="str">
        <f aca="false">_xlfn.IFS(AND(F3849&gt;=8,G3849&gt;=8,H3849&gt;=8),"CHAMPION",AND(F3849&gt;=6,G3849&gt;=7,H3849&gt;=6),"LOYAL CUSTOMER",AND(F3849&gt;=6,G3849&gt;=5,H3849&gt;=5),"POTENTIAL LOYALIST",AND(F3849&gt;=8,G3849&lt;=2,H3849&gt;=5),"NEW CUSTOMERS",AND(F3849&gt;=6,G3849&lt;=2,H3849&gt;=3),"PROMISING",AND(F3849&gt;=3,G3849&gt;=3,H3849&gt;=3),"NEED ATTENTION",AND(F3849&lt;=4,G3849&gt;=6,H3849&gt;=6),"AT RISK",AND(F3849&lt;=2,G3849&gt;=8,H3849&gt;=8),"CAN'T LOSE THEM",AND(F3849&lt;=2,G3849&lt;=2,H3849&lt;=2),"HIBERNATING",TRUE(),"Other")</f>
        <v>NEED ATTENTION</v>
      </c>
      <c r="K3849" s="1" t="n">
        <f aca="false">RANK(E3849,$E$7:$E$4378)+COUNTIF($E$7:E3849,E3849)-1</f>
        <v>2663</v>
      </c>
    </row>
    <row r="3850" customFormat="false" ht="14.25" hidden="false" customHeight="true" outlineLevel="0" collapsed="false">
      <c r="A3850" s="51" t="n">
        <v>17566</v>
      </c>
      <c r="B3850" s="53" t="n">
        <v>40878.8291666667</v>
      </c>
      <c r="C3850" s="57" t="n">
        <f aca="false">INT($C$2)-INT(Table3[[#This Row],[Last Purchase Date]])</f>
        <v>9</v>
      </c>
      <c r="D3850" s="1" t="n">
        <v>2</v>
      </c>
      <c r="E3850" s="1" t="n">
        <v>901.21</v>
      </c>
      <c r="F3850" s="1" t="n">
        <f aca="false">ROUND((1-_xlfn.PERCENTRANK.INC($C$7:$C$4378,C3850))*9,0)</f>
        <v>8</v>
      </c>
      <c r="G3850" s="1" t="n">
        <f aca="false">ROUND(_xlfn.PERCENTRANK.INC($D$7:$D$4378,D3850)*9,0)</f>
        <v>3</v>
      </c>
      <c r="H3850" s="1" t="n">
        <f aca="false">ROUND(_xlfn.PERCENTRANK.INC($E$7:$E$4378,E3850)*9,0)</f>
        <v>5</v>
      </c>
      <c r="I3850" s="1" t="str">
        <f aca="false">CONCATENATE(F3850,G3850,H3850)</f>
        <v>835</v>
      </c>
      <c r="J3850" s="1" t="str">
        <f aca="false">_xlfn.IFS(AND(F3850&gt;=8,G3850&gt;=8,H3850&gt;=8),"CHAMPION",AND(F3850&gt;=6,G3850&gt;=7,H3850&gt;=6),"LOYAL CUSTOMER",AND(F3850&gt;=6,G3850&gt;=5,H3850&gt;=5),"POTENTIAL LOYALIST",AND(F3850&gt;=8,G3850&lt;=2,H3850&gt;=5),"NEW CUSTOMERS",AND(F3850&gt;=6,G3850&lt;=2,H3850&gt;=3),"PROMISING",AND(F3850&gt;=3,G3850&gt;=3,H3850&gt;=3),"NEED ATTENTION",AND(F3850&lt;=4,G3850&gt;=6,H3850&gt;=6),"AT RISK",AND(F3850&lt;=2,G3850&gt;=8,H3850&gt;=8),"CAN'T LOSE THEM",AND(F3850&lt;=2,G3850&lt;=2,H3850&lt;=2),"HIBERNATING",TRUE(),"Other")</f>
        <v>NEED ATTENTION</v>
      </c>
      <c r="K3850" s="1" t="n">
        <f aca="false">RANK(E3850,$E$7:$E$4378)+COUNTIF($E$7:E3850,E3850)-1</f>
        <v>1760</v>
      </c>
    </row>
    <row r="3851" customFormat="false" ht="14.25" hidden="false" customHeight="true" outlineLevel="0" collapsed="false">
      <c r="A3851" s="51" t="n">
        <v>17567</v>
      </c>
      <c r="B3851" s="53" t="n">
        <v>40879.6583333333</v>
      </c>
      <c r="C3851" s="57" t="n">
        <f aca="false">INT($C$2)-INT(Table3[[#This Row],[Last Purchase Date]])</f>
        <v>8</v>
      </c>
      <c r="D3851" s="1" t="n">
        <v>10</v>
      </c>
      <c r="E3851" s="1" t="n">
        <v>4012.56</v>
      </c>
      <c r="F3851" s="1" t="n">
        <f aca="false">ROUND((1-_xlfn.PERCENTRANK.INC($C$7:$C$4378,C3851))*9,0)</f>
        <v>8</v>
      </c>
      <c r="G3851" s="1" t="n">
        <f aca="false">ROUND(_xlfn.PERCENTRANK.INC($D$7:$D$4378,D3851)*9,0)</f>
        <v>8</v>
      </c>
      <c r="H3851" s="1" t="n">
        <f aca="false">ROUND(_xlfn.PERCENTRANK.INC($E$7:$E$4378,E3851)*9,0)</f>
        <v>8</v>
      </c>
      <c r="I3851" s="1" t="str">
        <f aca="false">CONCATENATE(F3851,G3851,H3851)</f>
        <v>888</v>
      </c>
      <c r="J3851" s="1" t="str">
        <f aca="false">_xlfn.IFS(AND(F3851&gt;=8,G3851&gt;=8,H3851&gt;=8),"CHAMPION",AND(F3851&gt;=6,G3851&gt;=7,H3851&gt;=6),"LOYAL CUSTOMER",AND(F3851&gt;=6,G3851&gt;=5,H3851&gt;=5),"POTENTIAL LOYALIST",AND(F3851&gt;=8,G3851&lt;=2,H3851&gt;=5),"NEW CUSTOMERS",AND(F3851&gt;=6,G3851&lt;=2,H3851&gt;=3),"PROMISING",AND(F3851&gt;=3,G3851&gt;=3,H3851&gt;=3),"NEED ATTENTION",AND(F3851&lt;=4,G3851&gt;=6,H3851&gt;=6),"AT RISK",AND(F3851&lt;=2,G3851&gt;=8,H3851&gt;=8),"CAN'T LOSE THEM",AND(F3851&lt;=2,G3851&lt;=2,H3851&lt;=2),"HIBERNATING",TRUE(),"Other")</f>
        <v>CHAMPION</v>
      </c>
      <c r="K3851" s="1" t="n">
        <f aca="false">RANK(E3851,$E$7:$E$4378)+COUNTIF($E$7:E3851,E3851)-1</f>
        <v>350</v>
      </c>
    </row>
    <row r="3852" customFormat="false" ht="14.25" hidden="false" customHeight="true" outlineLevel="0" collapsed="false">
      <c r="A3852" s="51" t="n">
        <v>17569</v>
      </c>
      <c r="B3852" s="53" t="n">
        <v>40554.59375</v>
      </c>
      <c r="C3852" s="57" t="n">
        <f aca="false">INT($C$2)-INT(Table3[[#This Row],[Last Purchase Date]])</f>
        <v>333</v>
      </c>
      <c r="D3852" s="1" t="n">
        <v>1</v>
      </c>
      <c r="E3852" s="1" t="n">
        <v>344.14</v>
      </c>
      <c r="F3852" s="1" t="n">
        <f aca="false">ROUND((1-_xlfn.PERCENTRANK.INC($C$7:$C$4378,C3852))*9,0)</f>
        <v>0</v>
      </c>
      <c r="G3852" s="1" t="n">
        <f aca="false">ROUND(_xlfn.PERCENTRANK.INC($D$7:$D$4378,D3852)*9,0)</f>
        <v>0</v>
      </c>
      <c r="H3852" s="1" t="n">
        <f aca="false">ROUND(_xlfn.PERCENTRANK.INC($E$7:$E$4378,E3852)*9,0)</f>
        <v>3</v>
      </c>
      <c r="I3852" s="1" t="str">
        <f aca="false">CONCATENATE(F3852,G3852,H3852)</f>
        <v>003</v>
      </c>
      <c r="J3852" s="1" t="str">
        <f aca="false">_xlfn.IFS(AND(F3852&gt;=8,G3852&gt;=8,H3852&gt;=8),"CHAMPION",AND(F3852&gt;=6,G3852&gt;=7,H3852&gt;=6),"LOYAL CUSTOMER",AND(F3852&gt;=6,G3852&gt;=5,H3852&gt;=5),"POTENTIAL LOYALIST",AND(F3852&gt;=8,G3852&lt;=2,H3852&gt;=5),"NEW CUSTOMERS",AND(F3852&gt;=6,G3852&lt;=2,H3852&gt;=3),"PROMISING",AND(F3852&gt;=3,G3852&gt;=3,H3852&gt;=3),"NEED ATTENTION",AND(F3852&lt;=4,G3852&gt;=6,H3852&gt;=6),"AT RISK",AND(F3852&lt;=2,G3852&gt;=8,H3852&gt;=8),"CAN'T LOSE THEM",AND(F3852&lt;=2,G3852&lt;=2,H3852&lt;=2),"HIBERNATING",TRUE(),"Other")</f>
        <v>Other</v>
      </c>
      <c r="K3852" s="1" t="n">
        <f aca="false">RANK(E3852,$E$7:$E$4378)+COUNTIF($E$7:E3852,E3852)-1</f>
        <v>3035</v>
      </c>
    </row>
    <row r="3853" customFormat="false" ht="14.25" hidden="false" customHeight="true" outlineLevel="0" collapsed="false">
      <c r="A3853" s="51" t="n">
        <v>17571</v>
      </c>
      <c r="B3853" s="53" t="n">
        <v>40836.6645833333</v>
      </c>
      <c r="C3853" s="57" t="n">
        <f aca="false">INT($C$2)-INT(Table3[[#This Row],[Last Purchase Date]])</f>
        <v>51</v>
      </c>
      <c r="D3853" s="1" t="n">
        <v>4</v>
      </c>
      <c r="E3853" s="1" t="n">
        <v>1498.51</v>
      </c>
      <c r="F3853" s="1" t="n">
        <f aca="false">ROUND((1-_xlfn.PERCENTRANK.INC($C$7:$C$4378,C3853))*9,0)</f>
        <v>5</v>
      </c>
      <c r="G3853" s="1" t="n">
        <f aca="false">ROUND(_xlfn.PERCENTRANK.INC($D$7:$D$4378,D3853)*9,0)</f>
        <v>5</v>
      </c>
      <c r="H3853" s="1" t="n">
        <f aca="false">ROUND(_xlfn.PERCENTRANK.INC($E$7:$E$4378,E3853)*9,0)</f>
        <v>7</v>
      </c>
      <c r="I3853" s="1" t="str">
        <f aca="false">CONCATENATE(F3853,G3853,H3853)</f>
        <v>557</v>
      </c>
      <c r="J3853" s="1" t="str">
        <f aca="false">_xlfn.IFS(AND(F3853&gt;=8,G3853&gt;=8,H3853&gt;=8),"CHAMPION",AND(F3853&gt;=6,G3853&gt;=7,H3853&gt;=6),"LOYAL CUSTOMER",AND(F3853&gt;=6,G3853&gt;=5,H3853&gt;=5),"POTENTIAL LOYALIST",AND(F3853&gt;=8,G3853&lt;=2,H3853&gt;=5),"NEW CUSTOMERS",AND(F3853&gt;=6,G3853&lt;=2,H3853&gt;=3),"PROMISING",AND(F3853&gt;=3,G3853&gt;=3,H3853&gt;=3),"NEED ATTENTION",AND(F3853&lt;=4,G3853&gt;=6,H3853&gt;=6),"AT RISK",AND(F3853&lt;=2,G3853&gt;=8,H3853&gt;=8),"CAN'T LOSE THEM",AND(F3853&lt;=2,G3853&lt;=2,H3853&lt;=2),"HIBERNATING",TRUE(),"Other")</f>
        <v>NEED ATTENTION</v>
      </c>
      <c r="K3853" s="1" t="n">
        <f aca="false">RANK(E3853,$E$7:$E$4378)+COUNTIF($E$7:E3853,E3853)-1</f>
        <v>1167</v>
      </c>
    </row>
    <row r="3854" customFormat="false" ht="14.25" hidden="false" customHeight="true" outlineLevel="0" collapsed="false">
      <c r="A3854" s="51" t="n">
        <v>17572</v>
      </c>
      <c r="B3854" s="53" t="n">
        <v>40815.7451388889</v>
      </c>
      <c r="C3854" s="57" t="n">
        <f aca="false">INT($C$2)-INT(Table3[[#This Row],[Last Purchase Date]])</f>
        <v>72</v>
      </c>
      <c r="D3854" s="1" t="n">
        <v>4</v>
      </c>
      <c r="E3854" s="1" t="n">
        <v>226.75</v>
      </c>
      <c r="F3854" s="1" t="n">
        <f aca="false">ROUND((1-_xlfn.PERCENTRANK.INC($C$7:$C$4378,C3854))*9,0)</f>
        <v>4</v>
      </c>
      <c r="G3854" s="1" t="n">
        <f aca="false">ROUND(_xlfn.PERCENTRANK.INC($D$7:$D$4378,D3854)*9,0)</f>
        <v>5</v>
      </c>
      <c r="H3854" s="1" t="n">
        <f aca="false">ROUND(_xlfn.PERCENTRANK.INC($E$7:$E$4378,E3854)*9,0)</f>
        <v>2</v>
      </c>
      <c r="I3854" s="1" t="str">
        <f aca="false">CONCATENATE(F3854,G3854,H3854)</f>
        <v>452</v>
      </c>
      <c r="J3854" s="1" t="str">
        <f aca="false">_xlfn.IFS(AND(F3854&gt;=8,G3854&gt;=8,H3854&gt;=8),"CHAMPION",AND(F3854&gt;=6,G3854&gt;=7,H3854&gt;=6),"LOYAL CUSTOMER",AND(F3854&gt;=6,G3854&gt;=5,H3854&gt;=5),"POTENTIAL LOYALIST",AND(F3854&gt;=8,G3854&lt;=2,H3854&gt;=5),"NEW CUSTOMERS",AND(F3854&gt;=6,G3854&lt;=2,H3854&gt;=3),"PROMISING",AND(F3854&gt;=3,G3854&gt;=3,H3854&gt;=3),"NEED ATTENTION",AND(F3854&lt;=4,G3854&gt;=6,H3854&gt;=6),"AT RISK",AND(F3854&lt;=2,G3854&gt;=8,H3854&gt;=8),"CAN'T LOSE THEM",AND(F3854&lt;=2,G3854&lt;=2,H3854&lt;=2),"HIBERNATING",TRUE(),"Other")</f>
        <v>Other</v>
      </c>
      <c r="K3854" s="1" t="n">
        <f aca="false">RANK(E3854,$E$7:$E$4378)+COUNTIF($E$7:E3854,E3854)-1</f>
        <v>3531</v>
      </c>
    </row>
    <row r="3855" customFormat="false" ht="14.25" hidden="false" customHeight="true" outlineLevel="0" collapsed="false">
      <c r="A3855" s="51" t="n">
        <v>17573</v>
      </c>
      <c r="B3855" s="53" t="n">
        <v>40857.5423611111</v>
      </c>
      <c r="C3855" s="57" t="n">
        <f aca="false">INT($C$2)-INT(Table3[[#This Row],[Last Purchase Date]])</f>
        <v>30</v>
      </c>
      <c r="D3855" s="1" t="n">
        <v>4</v>
      </c>
      <c r="E3855" s="1" t="n">
        <v>362.9</v>
      </c>
      <c r="F3855" s="1" t="n">
        <f aca="false">ROUND((1-_xlfn.PERCENTRANK.INC($C$7:$C$4378,C3855))*9,0)</f>
        <v>6</v>
      </c>
      <c r="G3855" s="1" t="n">
        <f aca="false">ROUND(_xlfn.PERCENTRANK.INC($D$7:$D$4378,D3855)*9,0)</f>
        <v>5</v>
      </c>
      <c r="H3855" s="1" t="n">
        <f aca="false">ROUND(_xlfn.PERCENTRANK.INC($E$7:$E$4378,E3855)*9,0)</f>
        <v>3</v>
      </c>
      <c r="I3855" s="1" t="str">
        <f aca="false">CONCATENATE(F3855,G3855,H3855)</f>
        <v>653</v>
      </c>
      <c r="J3855" s="1" t="str">
        <f aca="false">_xlfn.IFS(AND(F3855&gt;=8,G3855&gt;=8,H3855&gt;=8),"CHAMPION",AND(F3855&gt;=6,G3855&gt;=7,H3855&gt;=6),"LOYAL CUSTOMER",AND(F3855&gt;=6,G3855&gt;=5,H3855&gt;=5),"POTENTIAL LOYALIST",AND(F3855&gt;=8,G3855&lt;=2,H3855&gt;=5),"NEW CUSTOMERS",AND(F3855&gt;=6,G3855&lt;=2,H3855&gt;=3),"PROMISING",AND(F3855&gt;=3,G3855&gt;=3,H3855&gt;=3),"NEED ATTENTION",AND(F3855&lt;=4,G3855&gt;=6,H3855&gt;=6),"AT RISK",AND(F3855&lt;=2,G3855&gt;=8,H3855&gt;=8),"CAN'T LOSE THEM",AND(F3855&lt;=2,G3855&lt;=2,H3855&lt;=2),"HIBERNATING",TRUE(),"Other")</f>
        <v>NEED ATTENTION</v>
      </c>
      <c r="K3855" s="1" t="n">
        <f aca="false">RANK(E3855,$E$7:$E$4378)+COUNTIF($E$7:E3855,E3855)-1</f>
        <v>2958</v>
      </c>
    </row>
    <row r="3856" customFormat="false" ht="14.25" hidden="false" customHeight="true" outlineLevel="0" collapsed="false">
      <c r="A3856" s="51" t="n">
        <v>17574</v>
      </c>
      <c r="B3856" s="53" t="n">
        <v>40644.4076388889</v>
      </c>
      <c r="C3856" s="57" t="n">
        <f aca="false">INT($C$2)-INT(Table3[[#This Row],[Last Purchase Date]])</f>
        <v>243</v>
      </c>
      <c r="D3856" s="1" t="n">
        <v>1</v>
      </c>
      <c r="E3856" s="1" t="n">
        <v>185.65</v>
      </c>
      <c r="F3856" s="1" t="n">
        <f aca="false">ROUND((1-_xlfn.PERCENTRANK.INC($C$7:$C$4378,C3856))*9,0)</f>
        <v>1</v>
      </c>
      <c r="G3856" s="1" t="n">
        <f aca="false">ROUND(_xlfn.PERCENTRANK.INC($D$7:$D$4378,D3856)*9,0)</f>
        <v>0</v>
      </c>
      <c r="H3856" s="1" t="n">
        <f aca="false">ROUND(_xlfn.PERCENTRANK.INC($E$7:$E$4378,E3856)*9,0)</f>
        <v>1</v>
      </c>
      <c r="I3856" s="1" t="str">
        <f aca="false">CONCATENATE(F3856,G3856,H3856)</f>
        <v>101</v>
      </c>
      <c r="J3856" s="1" t="str">
        <f aca="false">_xlfn.IFS(AND(F3856&gt;=8,G3856&gt;=8,H3856&gt;=8),"CHAMPION",AND(F3856&gt;=6,G3856&gt;=7,H3856&gt;=6),"LOYAL CUSTOMER",AND(F3856&gt;=6,G3856&gt;=5,H3856&gt;=5),"POTENTIAL LOYALIST",AND(F3856&gt;=8,G3856&lt;=2,H3856&gt;=5),"NEW CUSTOMERS",AND(F3856&gt;=6,G3856&lt;=2,H3856&gt;=3),"PROMISING",AND(F3856&gt;=3,G3856&gt;=3,H3856&gt;=3),"NEED ATTENTION",AND(F3856&lt;=4,G3856&gt;=6,H3856&gt;=6),"AT RISK",AND(F3856&lt;=2,G3856&gt;=8,H3856&gt;=8),"CAN'T LOSE THEM",AND(F3856&lt;=2,G3856&lt;=2,H3856&lt;=2),"HIBERNATING",TRUE(),"Other")</f>
        <v>HIBERNATING</v>
      </c>
      <c r="K3856" s="1" t="n">
        <f aca="false">RANK(E3856,$E$7:$E$4378)+COUNTIF($E$7:E3856,E3856)-1</f>
        <v>3726</v>
      </c>
    </row>
    <row r="3857" customFormat="false" ht="14.25" hidden="false" customHeight="true" outlineLevel="0" collapsed="false">
      <c r="A3857" s="51" t="n">
        <v>17576</v>
      </c>
      <c r="B3857" s="53" t="n">
        <v>40878.7583333333</v>
      </c>
      <c r="C3857" s="57" t="n">
        <f aca="false">INT($C$2)-INT(Table3[[#This Row],[Last Purchase Date]])</f>
        <v>9</v>
      </c>
      <c r="D3857" s="1" t="n">
        <v>22</v>
      </c>
      <c r="E3857" s="1" t="n">
        <v>3457.78</v>
      </c>
      <c r="F3857" s="1" t="n">
        <f aca="false">ROUND((1-_xlfn.PERCENTRANK.INC($C$7:$C$4378,C3857))*9,0)</f>
        <v>8</v>
      </c>
      <c r="G3857" s="1" t="n">
        <f aca="false">ROUND(_xlfn.PERCENTRANK.INC($D$7:$D$4378,D3857)*9,0)</f>
        <v>9</v>
      </c>
      <c r="H3857" s="1" t="n">
        <f aca="false">ROUND(_xlfn.PERCENTRANK.INC($E$7:$E$4378,E3857)*9,0)</f>
        <v>8</v>
      </c>
      <c r="I3857" s="1" t="str">
        <f aca="false">CONCATENATE(F3857,G3857,H3857)</f>
        <v>898</v>
      </c>
      <c r="J3857" s="1" t="str">
        <f aca="false">_xlfn.IFS(AND(F3857&gt;=8,G3857&gt;=8,H3857&gt;=8),"CHAMPION",AND(F3857&gt;=6,G3857&gt;=7,H3857&gt;=6),"LOYAL CUSTOMER",AND(F3857&gt;=6,G3857&gt;=5,H3857&gt;=5),"POTENTIAL LOYALIST",AND(F3857&gt;=8,G3857&lt;=2,H3857&gt;=5),"NEW CUSTOMERS",AND(F3857&gt;=6,G3857&lt;=2,H3857&gt;=3),"PROMISING",AND(F3857&gt;=3,G3857&gt;=3,H3857&gt;=3),"NEED ATTENTION",AND(F3857&lt;=4,G3857&gt;=6,H3857&gt;=6),"AT RISK",AND(F3857&lt;=2,G3857&gt;=8,H3857&gt;=8),"CAN'T LOSE THEM",AND(F3857&lt;=2,G3857&lt;=2,H3857&lt;=2),"HIBERNATING",TRUE(),"Other")</f>
        <v>CHAMPION</v>
      </c>
      <c r="K3857" s="1" t="n">
        <f aca="false">RANK(E3857,$E$7:$E$4378)+COUNTIF($E$7:E3857,E3857)-1</f>
        <v>446</v>
      </c>
    </row>
    <row r="3858" customFormat="false" ht="14.25" hidden="false" customHeight="true" outlineLevel="0" collapsed="false">
      <c r="A3858" s="51" t="n">
        <v>17578</v>
      </c>
      <c r="B3858" s="53" t="n">
        <v>40696.4875</v>
      </c>
      <c r="C3858" s="57" t="n">
        <f aca="false">INT($C$2)-INT(Table3[[#This Row],[Last Purchase Date]])</f>
        <v>191</v>
      </c>
      <c r="D3858" s="1" t="n">
        <v>2</v>
      </c>
      <c r="E3858" s="1" t="n">
        <v>124.74</v>
      </c>
      <c r="F3858" s="1" t="n">
        <f aca="false">ROUND((1-_xlfn.PERCENTRANK.INC($C$7:$C$4378,C3858))*9,0)</f>
        <v>2</v>
      </c>
      <c r="G3858" s="1" t="n">
        <f aca="false">ROUND(_xlfn.PERCENTRANK.INC($D$7:$D$4378,D3858)*9,0)</f>
        <v>3</v>
      </c>
      <c r="H3858" s="1" t="n">
        <f aca="false">ROUND(_xlfn.PERCENTRANK.INC($E$7:$E$4378,E3858)*9,0)</f>
        <v>1</v>
      </c>
      <c r="I3858" s="1" t="str">
        <f aca="false">CONCATENATE(F3858,G3858,H3858)</f>
        <v>231</v>
      </c>
      <c r="J3858" s="1" t="str">
        <f aca="false">_xlfn.IFS(AND(F3858&gt;=8,G3858&gt;=8,H3858&gt;=8),"CHAMPION",AND(F3858&gt;=6,G3858&gt;=7,H3858&gt;=6),"LOYAL CUSTOMER",AND(F3858&gt;=6,G3858&gt;=5,H3858&gt;=5),"POTENTIAL LOYALIST",AND(F3858&gt;=8,G3858&lt;=2,H3858&gt;=5),"NEW CUSTOMERS",AND(F3858&gt;=6,G3858&lt;=2,H3858&gt;=3),"PROMISING",AND(F3858&gt;=3,G3858&gt;=3,H3858&gt;=3),"NEED ATTENTION",AND(F3858&lt;=4,G3858&gt;=6,H3858&gt;=6),"AT RISK",AND(F3858&lt;=2,G3858&gt;=8,H3858&gt;=8),"CAN'T LOSE THEM",AND(F3858&lt;=2,G3858&lt;=2,H3858&lt;=2),"HIBERNATING",TRUE(),"Other")</f>
        <v>Other</v>
      </c>
      <c r="K3858" s="1" t="n">
        <f aca="false">RANK(E3858,$E$7:$E$4378)+COUNTIF($E$7:E3858,E3858)-1</f>
        <v>4029</v>
      </c>
    </row>
    <row r="3859" customFormat="false" ht="14.25" hidden="false" customHeight="true" outlineLevel="0" collapsed="false">
      <c r="A3859" s="51" t="n">
        <v>17579</v>
      </c>
      <c r="B3859" s="53" t="n">
        <v>40882.5194444444</v>
      </c>
      <c r="C3859" s="57" t="n">
        <f aca="false">INT($C$2)-INT(Table3[[#This Row],[Last Purchase Date]])</f>
        <v>5</v>
      </c>
      <c r="D3859" s="1" t="n">
        <v>4</v>
      </c>
      <c r="E3859" s="1" t="n">
        <v>440.2</v>
      </c>
      <c r="F3859" s="1" t="n">
        <f aca="false">ROUND((1-_xlfn.PERCENTRANK.INC($C$7:$C$4378,C3859))*9,0)</f>
        <v>8</v>
      </c>
      <c r="G3859" s="1" t="n">
        <f aca="false">ROUND(_xlfn.PERCENTRANK.INC($D$7:$D$4378,D3859)*9,0)</f>
        <v>5</v>
      </c>
      <c r="H3859" s="1" t="n">
        <f aca="false">ROUND(_xlfn.PERCENTRANK.INC($E$7:$E$4378,E3859)*9,0)</f>
        <v>3</v>
      </c>
      <c r="I3859" s="1" t="str">
        <f aca="false">CONCATENATE(F3859,G3859,H3859)</f>
        <v>853</v>
      </c>
      <c r="J3859" s="1" t="str">
        <f aca="false">_xlfn.IFS(AND(F3859&gt;=8,G3859&gt;=8,H3859&gt;=8),"CHAMPION",AND(F3859&gt;=6,G3859&gt;=7,H3859&gt;=6),"LOYAL CUSTOMER",AND(F3859&gt;=6,G3859&gt;=5,H3859&gt;=5),"POTENTIAL LOYALIST",AND(F3859&gt;=8,G3859&lt;=2,H3859&gt;=5),"NEW CUSTOMERS",AND(F3859&gt;=6,G3859&lt;=2,H3859&gt;=3),"PROMISING",AND(F3859&gt;=3,G3859&gt;=3,H3859&gt;=3),"NEED ATTENTION",AND(F3859&lt;=4,G3859&gt;=6,H3859&gt;=6),"AT RISK",AND(F3859&lt;=2,G3859&gt;=8,H3859&gt;=8),"CAN'T LOSE THEM",AND(F3859&lt;=2,G3859&lt;=2,H3859&lt;=2),"HIBERNATING",TRUE(),"Other")</f>
        <v>NEED ATTENTION</v>
      </c>
      <c r="K3859" s="1" t="n">
        <f aca="false">RANK(E3859,$E$7:$E$4378)+COUNTIF($E$7:E3859,E3859)-1</f>
        <v>2692</v>
      </c>
    </row>
    <row r="3860" customFormat="false" ht="14.25" hidden="false" customHeight="true" outlineLevel="0" collapsed="false">
      <c r="A3860" s="51" t="n">
        <v>17580</v>
      </c>
      <c r="B3860" s="53" t="n">
        <v>40634.5284722222</v>
      </c>
      <c r="C3860" s="57" t="n">
        <f aca="false">INT($C$2)-INT(Table3[[#This Row],[Last Purchase Date]])</f>
        <v>253</v>
      </c>
      <c r="D3860" s="1" t="n">
        <v>3</v>
      </c>
      <c r="E3860" s="1" t="n">
        <v>215.72</v>
      </c>
      <c r="F3860" s="1" t="n">
        <f aca="false">ROUND((1-_xlfn.PERCENTRANK.INC($C$7:$C$4378,C3860))*9,0)</f>
        <v>1</v>
      </c>
      <c r="G3860" s="1" t="n">
        <f aca="false">ROUND(_xlfn.PERCENTRANK.INC($D$7:$D$4378,D3860)*9,0)</f>
        <v>4</v>
      </c>
      <c r="H3860" s="1" t="n">
        <f aca="false">ROUND(_xlfn.PERCENTRANK.INC($E$7:$E$4378,E3860)*9,0)</f>
        <v>2</v>
      </c>
      <c r="I3860" s="1" t="str">
        <f aca="false">CONCATENATE(F3860,G3860,H3860)</f>
        <v>142</v>
      </c>
      <c r="J3860" s="1" t="str">
        <f aca="false">_xlfn.IFS(AND(F3860&gt;=8,G3860&gt;=8,H3860&gt;=8),"CHAMPION",AND(F3860&gt;=6,G3860&gt;=7,H3860&gt;=6),"LOYAL CUSTOMER",AND(F3860&gt;=6,G3860&gt;=5,H3860&gt;=5),"POTENTIAL LOYALIST",AND(F3860&gt;=8,G3860&lt;=2,H3860&gt;=5),"NEW CUSTOMERS",AND(F3860&gt;=6,G3860&lt;=2,H3860&gt;=3),"PROMISING",AND(F3860&gt;=3,G3860&gt;=3,H3860&gt;=3),"NEED ATTENTION",AND(F3860&lt;=4,G3860&gt;=6,H3860&gt;=6),"AT RISK",AND(F3860&lt;=2,G3860&gt;=8,H3860&gt;=8),"CAN'T LOSE THEM",AND(F3860&lt;=2,G3860&lt;=2,H3860&lt;=2),"HIBERNATING",TRUE(),"Other")</f>
        <v>Other</v>
      </c>
      <c r="K3860" s="1" t="n">
        <f aca="false">RANK(E3860,$E$7:$E$4378)+COUNTIF($E$7:E3860,E3860)-1</f>
        <v>3583</v>
      </c>
    </row>
    <row r="3861" customFormat="false" ht="14.25" hidden="false" customHeight="true" outlineLevel="0" collapsed="false">
      <c r="A3861" s="51" t="n">
        <v>17581</v>
      </c>
      <c r="B3861" s="53" t="n">
        <v>40886.5145833333</v>
      </c>
      <c r="C3861" s="57" t="n">
        <f aca="false">INT($C$2)-INT(Table3[[#This Row],[Last Purchase Date]])</f>
        <v>1</v>
      </c>
      <c r="D3861" s="1" t="n">
        <v>31</v>
      </c>
      <c r="E3861" s="1" t="n">
        <v>10736.11</v>
      </c>
      <c r="F3861" s="1" t="n">
        <f aca="false">ROUND((1-_xlfn.PERCENTRANK.INC($C$7:$C$4378,C3861))*9,0)</f>
        <v>9</v>
      </c>
      <c r="G3861" s="1" t="n">
        <f aca="false">ROUND(_xlfn.PERCENTRANK.INC($D$7:$D$4378,D3861)*9,0)</f>
        <v>9</v>
      </c>
      <c r="H3861" s="1" t="n">
        <f aca="false">ROUND(_xlfn.PERCENTRANK.INC($E$7:$E$4378,E3861)*9,0)</f>
        <v>9</v>
      </c>
      <c r="I3861" s="1" t="str">
        <f aca="false">CONCATENATE(F3861,G3861,H3861)</f>
        <v>999</v>
      </c>
      <c r="J3861" s="1" t="str">
        <f aca="false">_xlfn.IFS(AND(F3861&gt;=8,G3861&gt;=8,H3861&gt;=8),"CHAMPION",AND(F3861&gt;=6,G3861&gt;=7,H3861&gt;=6),"LOYAL CUSTOMER",AND(F3861&gt;=6,G3861&gt;=5,H3861&gt;=5),"POTENTIAL LOYALIST",AND(F3861&gt;=8,G3861&lt;=2,H3861&gt;=5),"NEW CUSTOMERS",AND(F3861&gt;=6,G3861&lt;=2,H3861&gt;=3),"PROMISING",AND(F3861&gt;=3,G3861&gt;=3,H3861&gt;=3),"NEED ATTENTION",AND(F3861&lt;=4,G3861&gt;=6,H3861&gt;=6),"AT RISK",AND(F3861&lt;=2,G3861&gt;=8,H3861&gt;=8),"CAN'T LOSE THEM",AND(F3861&lt;=2,G3861&lt;=2,H3861&lt;=2),"HIBERNATING",TRUE(),"Other")</f>
        <v>CHAMPION</v>
      </c>
      <c r="K3861" s="1" t="n">
        <f aca="false">RANK(E3861,$E$7:$E$4378)+COUNTIF($E$7:E3861,E3861)-1</f>
        <v>84</v>
      </c>
    </row>
    <row r="3862" customFormat="false" ht="14.25" hidden="false" customHeight="true" outlineLevel="0" collapsed="false">
      <c r="A3862" s="51" t="n">
        <v>17582</v>
      </c>
      <c r="B3862" s="53" t="n">
        <v>40650.5541666667</v>
      </c>
      <c r="C3862" s="57" t="n">
        <f aca="false">INT($C$2)-INT(Table3[[#This Row],[Last Purchase Date]])</f>
        <v>237</v>
      </c>
      <c r="D3862" s="1" t="n">
        <v>1</v>
      </c>
      <c r="E3862" s="1" t="n">
        <v>175.27</v>
      </c>
      <c r="F3862" s="1" t="n">
        <f aca="false">ROUND((1-_xlfn.PERCENTRANK.INC($C$7:$C$4378,C3862))*9,0)</f>
        <v>1</v>
      </c>
      <c r="G3862" s="1" t="n">
        <f aca="false">ROUND(_xlfn.PERCENTRANK.INC($D$7:$D$4378,D3862)*9,0)</f>
        <v>0</v>
      </c>
      <c r="H3862" s="1" t="n">
        <f aca="false">ROUND(_xlfn.PERCENTRANK.INC($E$7:$E$4378,E3862)*9,0)</f>
        <v>1</v>
      </c>
      <c r="I3862" s="1" t="str">
        <f aca="false">CONCATENATE(F3862,G3862,H3862)</f>
        <v>101</v>
      </c>
      <c r="J3862" s="1" t="str">
        <f aca="false">_xlfn.IFS(AND(F3862&gt;=8,G3862&gt;=8,H3862&gt;=8),"CHAMPION",AND(F3862&gt;=6,G3862&gt;=7,H3862&gt;=6),"LOYAL CUSTOMER",AND(F3862&gt;=6,G3862&gt;=5,H3862&gt;=5),"POTENTIAL LOYALIST",AND(F3862&gt;=8,G3862&lt;=2,H3862&gt;=5),"NEW CUSTOMERS",AND(F3862&gt;=6,G3862&lt;=2,H3862&gt;=3),"PROMISING",AND(F3862&gt;=3,G3862&gt;=3,H3862&gt;=3),"NEED ATTENTION",AND(F3862&lt;=4,G3862&gt;=6,H3862&gt;=6),"AT RISK",AND(F3862&lt;=2,G3862&gt;=8,H3862&gt;=8),"CAN'T LOSE THEM",AND(F3862&lt;=2,G3862&lt;=2,H3862&lt;=2),"HIBERNATING",TRUE(),"Other")</f>
        <v>HIBERNATING</v>
      </c>
      <c r="K3862" s="1" t="n">
        <f aca="false">RANK(E3862,$E$7:$E$4378)+COUNTIF($E$7:E3862,E3862)-1</f>
        <v>3777</v>
      </c>
    </row>
    <row r="3863" customFormat="false" ht="14.25" hidden="false" customHeight="true" outlineLevel="0" collapsed="false">
      <c r="A3863" s="51" t="n">
        <v>17584</v>
      </c>
      <c r="B3863" s="53" t="n">
        <v>40879.7166666667</v>
      </c>
      <c r="C3863" s="57" t="n">
        <f aca="false">INT($C$2)-INT(Table3[[#This Row],[Last Purchase Date]])</f>
        <v>8</v>
      </c>
      <c r="D3863" s="1" t="n">
        <v>3</v>
      </c>
      <c r="E3863" s="1" t="n">
        <v>1227.3</v>
      </c>
      <c r="F3863" s="1" t="n">
        <f aca="false">ROUND((1-_xlfn.PERCENTRANK.INC($C$7:$C$4378,C3863))*9,0)</f>
        <v>8</v>
      </c>
      <c r="G3863" s="1" t="n">
        <f aca="false">ROUND(_xlfn.PERCENTRANK.INC($D$7:$D$4378,D3863)*9,0)</f>
        <v>4</v>
      </c>
      <c r="H3863" s="1" t="n">
        <f aca="false">ROUND(_xlfn.PERCENTRANK.INC($E$7:$E$4378,E3863)*9,0)</f>
        <v>6</v>
      </c>
      <c r="I3863" s="1" t="str">
        <f aca="false">CONCATENATE(F3863,G3863,H3863)</f>
        <v>846</v>
      </c>
      <c r="J3863" s="1" t="str">
        <f aca="false">_xlfn.IFS(AND(F3863&gt;=8,G3863&gt;=8,H3863&gt;=8),"CHAMPION",AND(F3863&gt;=6,G3863&gt;=7,H3863&gt;=6),"LOYAL CUSTOMER",AND(F3863&gt;=6,G3863&gt;=5,H3863&gt;=5),"POTENTIAL LOYALIST",AND(F3863&gt;=8,G3863&lt;=2,H3863&gt;=5),"NEW CUSTOMERS",AND(F3863&gt;=6,G3863&lt;=2,H3863&gt;=3),"PROMISING",AND(F3863&gt;=3,G3863&gt;=3,H3863&gt;=3),"NEED ATTENTION",AND(F3863&lt;=4,G3863&gt;=6,H3863&gt;=6),"AT RISK",AND(F3863&lt;=2,G3863&gt;=8,H3863&gt;=8),"CAN'T LOSE THEM",AND(F3863&lt;=2,G3863&lt;=2,H3863&lt;=2),"HIBERNATING",TRUE(),"Other")</f>
        <v>NEED ATTENTION</v>
      </c>
      <c r="K3863" s="1" t="n">
        <f aca="false">RANK(E3863,$E$7:$E$4378)+COUNTIF($E$7:E3863,E3863)-1</f>
        <v>1395</v>
      </c>
    </row>
    <row r="3864" customFormat="false" ht="14.25" hidden="false" customHeight="true" outlineLevel="0" collapsed="false">
      <c r="A3864" s="51" t="n">
        <v>17585</v>
      </c>
      <c r="B3864" s="53" t="n">
        <v>40777.5625</v>
      </c>
      <c r="C3864" s="57" t="n">
        <f aca="false">INT($C$2)-INT(Table3[[#This Row],[Last Purchase Date]])</f>
        <v>110</v>
      </c>
      <c r="D3864" s="1" t="n">
        <v>4</v>
      </c>
      <c r="E3864" s="1" t="n">
        <v>1133.07</v>
      </c>
      <c r="F3864" s="1" t="n">
        <f aca="false">ROUND((1-_xlfn.PERCENTRANK.INC($C$7:$C$4378,C3864))*9,0)</f>
        <v>3</v>
      </c>
      <c r="G3864" s="1" t="n">
        <f aca="false">ROUND(_xlfn.PERCENTRANK.INC($D$7:$D$4378,D3864)*9,0)</f>
        <v>5</v>
      </c>
      <c r="H3864" s="1" t="n">
        <f aca="false">ROUND(_xlfn.PERCENTRANK.INC($E$7:$E$4378,E3864)*9,0)</f>
        <v>6</v>
      </c>
      <c r="I3864" s="1" t="str">
        <f aca="false">CONCATENATE(F3864,G3864,H3864)</f>
        <v>356</v>
      </c>
      <c r="J3864" s="1" t="str">
        <f aca="false">_xlfn.IFS(AND(F3864&gt;=8,G3864&gt;=8,H3864&gt;=8),"CHAMPION",AND(F3864&gt;=6,G3864&gt;=7,H3864&gt;=6),"LOYAL CUSTOMER",AND(F3864&gt;=6,G3864&gt;=5,H3864&gt;=5),"POTENTIAL LOYALIST",AND(F3864&gt;=8,G3864&lt;=2,H3864&gt;=5),"NEW CUSTOMERS",AND(F3864&gt;=6,G3864&lt;=2,H3864&gt;=3),"PROMISING",AND(F3864&gt;=3,G3864&gt;=3,H3864&gt;=3),"NEED ATTENTION",AND(F3864&lt;=4,G3864&gt;=6,H3864&gt;=6),"AT RISK",AND(F3864&lt;=2,G3864&gt;=8,H3864&gt;=8),"CAN'T LOSE THEM",AND(F3864&lt;=2,G3864&lt;=2,H3864&lt;=2),"HIBERNATING",TRUE(),"Other")</f>
        <v>NEED ATTENTION</v>
      </c>
      <c r="K3864" s="1" t="n">
        <f aca="false">RANK(E3864,$E$7:$E$4378)+COUNTIF($E$7:E3864,E3864)-1</f>
        <v>1470</v>
      </c>
    </row>
    <row r="3865" customFormat="false" ht="14.25" hidden="false" customHeight="true" outlineLevel="0" collapsed="false">
      <c r="A3865" s="51" t="n">
        <v>17588</v>
      </c>
      <c r="B3865" s="53" t="n">
        <v>40786.5673611111</v>
      </c>
      <c r="C3865" s="57" t="n">
        <f aca="false">INT($C$2)-INT(Table3[[#This Row],[Last Purchase Date]])</f>
        <v>101</v>
      </c>
      <c r="D3865" s="1" t="n">
        <v>3</v>
      </c>
      <c r="E3865" s="1" t="n">
        <v>1240.2</v>
      </c>
      <c r="F3865" s="1" t="n">
        <f aca="false">ROUND((1-_xlfn.PERCENTRANK.INC($C$7:$C$4378,C3865))*9,0)</f>
        <v>3</v>
      </c>
      <c r="G3865" s="1" t="n">
        <f aca="false">ROUND(_xlfn.PERCENTRANK.INC($D$7:$D$4378,D3865)*9,0)</f>
        <v>4</v>
      </c>
      <c r="H3865" s="1" t="n">
        <f aca="false">ROUND(_xlfn.PERCENTRANK.INC($E$7:$E$4378,E3865)*9,0)</f>
        <v>6</v>
      </c>
      <c r="I3865" s="1" t="str">
        <f aca="false">CONCATENATE(F3865,G3865,H3865)</f>
        <v>346</v>
      </c>
      <c r="J3865" s="1" t="str">
        <f aca="false">_xlfn.IFS(AND(F3865&gt;=8,G3865&gt;=8,H3865&gt;=8),"CHAMPION",AND(F3865&gt;=6,G3865&gt;=7,H3865&gt;=6),"LOYAL CUSTOMER",AND(F3865&gt;=6,G3865&gt;=5,H3865&gt;=5),"POTENTIAL LOYALIST",AND(F3865&gt;=8,G3865&lt;=2,H3865&gt;=5),"NEW CUSTOMERS",AND(F3865&gt;=6,G3865&lt;=2,H3865&gt;=3),"PROMISING",AND(F3865&gt;=3,G3865&gt;=3,H3865&gt;=3),"NEED ATTENTION",AND(F3865&lt;=4,G3865&gt;=6,H3865&gt;=6),"AT RISK",AND(F3865&lt;=2,G3865&gt;=8,H3865&gt;=8),"CAN'T LOSE THEM",AND(F3865&lt;=2,G3865&lt;=2,H3865&lt;=2),"HIBERNATING",TRUE(),"Other")</f>
        <v>NEED ATTENTION</v>
      </c>
      <c r="K3865" s="1" t="n">
        <f aca="false">RANK(E3865,$E$7:$E$4378)+COUNTIF($E$7:E3865,E3865)-1</f>
        <v>1384</v>
      </c>
    </row>
    <row r="3866" customFormat="false" ht="14.25" hidden="false" customHeight="true" outlineLevel="0" collapsed="false">
      <c r="A3866" s="51" t="n">
        <v>17589</v>
      </c>
      <c r="B3866" s="53" t="n">
        <v>40826.7069444444</v>
      </c>
      <c r="C3866" s="57" t="n">
        <f aca="false">INT($C$2)-INT(Table3[[#This Row],[Last Purchase Date]])</f>
        <v>61</v>
      </c>
      <c r="D3866" s="1" t="n">
        <v>4</v>
      </c>
      <c r="E3866" s="1" t="n">
        <v>2404.17</v>
      </c>
      <c r="F3866" s="1" t="n">
        <f aca="false">ROUND((1-_xlfn.PERCENTRANK.INC($C$7:$C$4378,C3866))*9,0)</f>
        <v>4</v>
      </c>
      <c r="G3866" s="1" t="n">
        <f aca="false">ROUND(_xlfn.PERCENTRANK.INC($D$7:$D$4378,D3866)*9,0)</f>
        <v>5</v>
      </c>
      <c r="H3866" s="1" t="n">
        <f aca="false">ROUND(_xlfn.PERCENTRANK.INC($E$7:$E$4378,E3866)*9,0)</f>
        <v>8</v>
      </c>
      <c r="I3866" s="1" t="str">
        <f aca="false">CONCATENATE(F3866,G3866,H3866)</f>
        <v>458</v>
      </c>
      <c r="J3866" s="1" t="str">
        <f aca="false">_xlfn.IFS(AND(F3866&gt;=8,G3866&gt;=8,H3866&gt;=8),"CHAMPION",AND(F3866&gt;=6,G3866&gt;=7,H3866&gt;=6),"LOYAL CUSTOMER",AND(F3866&gt;=6,G3866&gt;=5,H3866&gt;=5),"POTENTIAL LOYALIST",AND(F3866&gt;=8,G3866&lt;=2,H3866&gt;=5),"NEW CUSTOMERS",AND(F3866&gt;=6,G3866&lt;=2,H3866&gt;=3),"PROMISING",AND(F3866&gt;=3,G3866&gt;=3,H3866&gt;=3),"NEED ATTENTION",AND(F3866&lt;=4,G3866&gt;=6,H3866&gt;=6),"AT RISK",AND(F3866&lt;=2,G3866&gt;=8,H3866&gt;=8),"CAN'T LOSE THEM",AND(F3866&lt;=2,G3866&lt;=2,H3866&lt;=2),"HIBERNATING",TRUE(),"Other")</f>
        <v>NEED ATTENTION</v>
      </c>
      <c r="K3866" s="1" t="n">
        <f aca="false">RANK(E3866,$E$7:$E$4378)+COUNTIF($E$7:E3866,E3866)-1</f>
        <v>710</v>
      </c>
    </row>
    <row r="3867" customFormat="false" ht="14.25" hidden="false" customHeight="true" outlineLevel="0" collapsed="false">
      <c r="A3867" s="51" t="n">
        <v>17590</v>
      </c>
      <c r="B3867" s="53" t="n">
        <v>40884.5381944445</v>
      </c>
      <c r="C3867" s="57" t="n">
        <f aca="false">INT($C$2)-INT(Table3[[#This Row],[Last Purchase Date]])</f>
        <v>3</v>
      </c>
      <c r="D3867" s="1" t="n">
        <v>3</v>
      </c>
      <c r="E3867" s="1" t="n">
        <v>1479.22</v>
      </c>
      <c r="F3867" s="1" t="n">
        <f aca="false">ROUND((1-_xlfn.PERCENTRANK.INC($C$7:$C$4378,C3867))*9,0)</f>
        <v>9</v>
      </c>
      <c r="G3867" s="1" t="n">
        <f aca="false">ROUND(_xlfn.PERCENTRANK.INC($D$7:$D$4378,D3867)*9,0)</f>
        <v>4</v>
      </c>
      <c r="H3867" s="1" t="n">
        <f aca="false">ROUND(_xlfn.PERCENTRANK.INC($E$7:$E$4378,E3867)*9,0)</f>
        <v>7</v>
      </c>
      <c r="I3867" s="1" t="str">
        <f aca="false">CONCATENATE(F3867,G3867,H3867)</f>
        <v>947</v>
      </c>
      <c r="J3867" s="1" t="str">
        <f aca="false">_xlfn.IFS(AND(F3867&gt;=8,G3867&gt;=8,H3867&gt;=8),"CHAMPION",AND(F3867&gt;=6,G3867&gt;=7,H3867&gt;=6),"LOYAL CUSTOMER",AND(F3867&gt;=6,G3867&gt;=5,H3867&gt;=5),"POTENTIAL LOYALIST",AND(F3867&gt;=8,G3867&lt;=2,H3867&gt;=5),"NEW CUSTOMERS",AND(F3867&gt;=6,G3867&lt;=2,H3867&gt;=3),"PROMISING",AND(F3867&gt;=3,G3867&gt;=3,H3867&gt;=3),"NEED ATTENTION",AND(F3867&lt;=4,G3867&gt;=6,H3867&gt;=6),"AT RISK",AND(F3867&lt;=2,G3867&gt;=8,H3867&gt;=8),"CAN'T LOSE THEM",AND(F3867&lt;=2,G3867&lt;=2,H3867&lt;=2),"HIBERNATING",TRUE(),"Other")</f>
        <v>NEED ATTENTION</v>
      </c>
      <c r="K3867" s="1" t="n">
        <f aca="false">RANK(E3867,$E$7:$E$4378)+COUNTIF($E$7:E3867,E3867)-1</f>
        <v>1183</v>
      </c>
    </row>
    <row r="3868" customFormat="false" ht="14.25" hidden="false" customHeight="true" outlineLevel="0" collapsed="false">
      <c r="A3868" s="51" t="n">
        <v>17591</v>
      </c>
      <c r="B3868" s="53" t="n">
        <v>40813.5708333333</v>
      </c>
      <c r="C3868" s="57" t="n">
        <f aca="false">INT($C$2)-INT(Table3[[#This Row],[Last Purchase Date]])</f>
        <v>74</v>
      </c>
      <c r="D3868" s="1" t="n">
        <v>8</v>
      </c>
      <c r="E3868" s="1" t="n">
        <v>2215.02</v>
      </c>
      <c r="F3868" s="1" t="n">
        <f aca="false">ROUND((1-_xlfn.PERCENTRANK.INC($C$7:$C$4378,C3868))*9,0)</f>
        <v>3</v>
      </c>
      <c r="G3868" s="1" t="n">
        <f aca="false">ROUND(_xlfn.PERCENTRANK.INC($D$7:$D$4378,D3868)*9,0)</f>
        <v>7</v>
      </c>
      <c r="H3868" s="1" t="n">
        <f aca="false">ROUND(_xlfn.PERCENTRANK.INC($E$7:$E$4378,E3868)*9,0)</f>
        <v>7</v>
      </c>
      <c r="I3868" s="1" t="str">
        <f aca="false">CONCATENATE(F3868,G3868,H3868)</f>
        <v>377</v>
      </c>
      <c r="J3868" s="1" t="str">
        <f aca="false">_xlfn.IFS(AND(F3868&gt;=8,G3868&gt;=8,H3868&gt;=8),"CHAMPION",AND(F3868&gt;=6,G3868&gt;=7,H3868&gt;=6),"LOYAL CUSTOMER",AND(F3868&gt;=6,G3868&gt;=5,H3868&gt;=5),"POTENTIAL LOYALIST",AND(F3868&gt;=8,G3868&lt;=2,H3868&gt;=5),"NEW CUSTOMERS",AND(F3868&gt;=6,G3868&lt;=2,H3868&gt;=3),"PROMISING",AND(F3868&gt;=3,G3868&gt;=3,H3868&gt;=3),"NEED ATTENTION",AND(F3868&lt;=4,G3868&gt;=6,H3868&gt;=6),"AT RISK",AND(F3868&lt;=2,G3868&gt;=8,H3868&gt;=8),"CAN'T LOSE THEM",AND(F3868&lt;=2,G3868&lt;=2,H3868&lt;=2),"HIBERNATING",TRUE(),"Other")</f>
        <v>NEED ATTENTION</v>
      </c>
      <c r="K3868" s="1" t="n">
        <f aca="false">RANK(E3868,$E$7:$E$4378)+COUNTIF($E$7:E3868,E3868)-1</f>
        <v>773</v>
      </c>
    </row>
    <row r="3869" customFormat="false" ht="14.25" hidden="false" customHeight="true" outlineLevel="0" collapsed="false">
      <c r="A3869" s="51" t="n">
        <v>17593</v>
      </c>
      <c r="B3869" s="53" t="n">
        <v>40883.4375</v>
      </c>
      <c r="C3869" s="57" t="n">
        <f aca="false">INT($C$2)-INT(Table3[[#This Row],[Last Purchase Date]])</f>
        <v>4</v>
      </c>
      <c r="D3869" s="1" t="n">
        <v>6</v>
      </c>
      <c r="E3869" s="1" t="n">
        <v>3911.56</v>
      </c>
      <c r="F3869" s="1" t="n">
        <f aca="false">ROUND((1-_xlfn.PERCENTRANK.INC($C$7:$C$4378,C3869))*9,0)</f>
        <v>8</v>
      </c>
      <c r="G3869" s="1" t="n">
        <f aca="false">ROUND(_xlfn.PERCENTRANK.INC($D$7:$D$4378,D3869)*9,0)</f>
        <v>7</v>
      </c>
      <c r="H3869" s="1" t="n">
        <f aca="false">ROUND(_xlfn.PERCENTRANK.INC($E$7:$E$4378,E3869)*9,0)</f>
        <v>8</v>
      </c>
      <c r="I3869" s="1" t="str">
        <f aca="false">CONCATENATE(F3869,G3869,H3869)</f>
        <v>878</v>
      </c>
      <c r="J3869" s="1" t="str">
        <f aca="false">_xlfn.IFS(AND(F3869&gt;=8,G3869&gt;=8,H3869&gt;=8),"CHAMPION",AND(F3869&gt;=6,G3869&gt;=7,H3869&gt;=6),"LOYAL CUSTOMER",AND(F3869&gt;=6,G3869&gt;=5,H3869&gt;=5),"POTENTIAL LOYALIST",AND(F3869&gt;=8,G3869&lt;=2,H3869&gt;=5),"NEW CUSTOMERS",AND(F3869&gt;=6,G3869&lt;=2,H3869&gt;=3),"PROMISING",AND(F3869&gt;=3,G3869&gt;=3,H3869&gt;=3),"NEED ATTENTION",AND(F3869&lt;=4,G3869&gt;=6,H3869&gt;=6),"AT RISK",AND(F3869&lt;=2,G3869&gt;=8,H3869&gt;=8),"CAN'T LOSE THEM",AND(F3869&lt;=2,G3869&lt;=2,H3869&lt;=2),"HIBERNATING",TRUE(),"Other")</f>
        <v>LOYAL CUSTOMER</v>
      </c>
      <c r="K3869" s="1" t="n">
        <f aca="false">RANK(E3869,$E$7:$E$4378)+COUNTIF($E$7:E3869,E3869)-1</f>
        <v>367</v>
      </c>
    </row>
    <row r="3870" customFormat="false" ht="14.25" hidden="false" customHeight="true" outlineLevel="0" collapsed="false">
      <c r="A3870" s="51" t="n">
        <v>17594</v>
      </c>
      <c r="B3870" s="53" t="n">
        <v>40801.6902777778</v>
      </c>
      <c r="C3870" s="57" t="n">
        <f aca="false">INT($C$2)-INT(Table3[[#This Row],[Last Purchase Date]])</f>
        <v>86</v>
      </c>
      <c r="D3870" s="1" t="n">
        <v>2</v>
      </c>
      <c r="E3870" s="1" t="n">
        <v>993.18</v>
      </c>
      <c r="F3870" s="1" t="n">
        <f aca="false">ROUND((1-_xlfn.PERCENTRANK.INC($C$7:$C$4378,C3870))*9,0)</f>
        <v>3</v>
      </c>
      <c r="G3870" s="1" t="n">
        <f aca="false">ROUND(_xlfn.PERCENTRANK.INC($D$7:$D$4378,D3870)*9,0)</f>
        <v>3</v>
      </c>
      <c r="H3870" s="1" t="n">
        <f aca="false">ROUND(_xlfn.PERCENTRANK.INC($E$7:$E$4378,E3870)*9,0)</f>
        <v>6</v>
      </c>
      <c r="I3870" s="1" t="str">
        <f aca="false">CONCATENATE(F3870,G3870,H3870)</f>
        <v>336</v>
      </c>
      <c r="J3870" s="1" t="str">
        <f aca="false">_xlfn.IFS(AND(F3870&gt;=8,G3870&gt;=8,H3870&gt;=8),"CHAMPION",AND(F3870&gt;=6,G3870&gt;=7,H3870&gt;=6),"LOYAL CUSTOMER",AND(F3870&gt;=6,G3870&gt;=5,H3870&gt;=5),"POTENTIAL LOYALIST",AND(F3870&gt;=8,G3870&lt;=2,H3870&gt;=5),"NEW CUSTOMERS",AND(F3870&gt;=6,G3870&lt;=2,H3870&gt;=3),"PROMISING",AND(F3870&gt;=3,G3870&gt;=3,H3870&gt;=3),"NEED ATTENTION",AND(F3870&lt;=4,G3870&gt;=6,H3870&gt;=6),"AT RISK",AND(F3870&lt;=2,G3870&gt;=8,H3870&gt;=8),"CAN'T LOSE THEM",AND(F3870&lt;=2,G3870&lt;=2,H3870&lt;=2),"HIBERNATING",TRUE(),"Other")</f>
        <v>NEED ATTENTION</v>
      </c>
      <c r="K3870" s="1" t="n">
        <f aca="false">RANK(E3870,$E$7:$E$4378)+COUNTIF($E$7:E3870,E3870)-1</f>
        <v>1641</v>
      </c>
    </row>
    <row r="3871" customFormat="false" ht="14.25" hidden="false" customHeight="true" outlineLevel="0" collapsed="false">
      <c r="A3871" s="51" t="n">
        <v>17595</v>
      </c>
      <c r="B3871" s="53" t="n">
        <v>40874.6722222222</v>
      </c>
      <c r="C3871" s="57" t="n">
        <f aca="false">INT($C$2)-INT(Table3[[#This Row],[Last Purchase Date]])</f>
        <v>13</v>
      </c>
      <c r="D3871" s="1" t="n">
        <v>2</v>
      </c>
      <c r="E3871" s="1" t="n">
        <v>388.79</v>
      </c>
      <c r="F3871" s="1" t="n">
        <f aca="false">ROUND((1-_xlfn.PERCENTRANK.INC($C$7:$C$4378,C3871))*9,0)</f>
        <v>7</v>
      </c>
      <c r="G3871" s="1" t="n">
        <f aca="false">ROUND(_xlfn.PERCENTRANK.INC($D$7:$D$4378,D3871)*9,0)</f>
        <v>3</v>
      </c>
      <c r="H3871" s="1" t="n">
        <f aca="false">ROUND(_xlfn.PERCENTRANK.INC($E$7:$E$4378,E3871)*9,0)</f>
        <v>3</v>
      </c>
      <c r="I3871" s="1" t="str">
        <f aca="false">CONCATENATE(F3871,G3871,H3871)</f>
        <v>733</v>
      </c>
      <c r="J3871" s="1" t="str">
        <f aca="false">_xlfn.IFS(AND(F3871&gt;=8,G3871&gt;=8,H3871&gt;=8),"CHAMPION",AND(F3871&gt;=6,G3871&gt;=7,H3871&gt;=6),"LOYAL CUSTOMER",AND(F3871&gt;=6,G3871&gt;=5,H3871&gt;=5),"POTENTIAL LOYALIST",AND(F3871&gt;=8,G3871&lt;=2,H3871&gt;=5),"NEW CUSTOMERS",AND(F3871&gt;=6,G3871&lt;=2,H3871&gt;=3),"PROMISING",AND(F3871&gt;=3,G3871&gt;=3,H3871&gt;=3),"NEED ATTENTION",AND(F3871&lt;=4,G3871&gt;=6,H3871&gt;=6),"AT RISK",AND(F3871&lt;=2,G3871&gt;=8,H3871&gt;=8),"CAN'T LOSE THEM",AND(F3871&lt;=2,G3871&lt;=2,H3871&lt;=2),"HIBERNATING",TRUE(),"Other")</f>
        <v>NEED ATTENTION</v>
      </c>
      <c r="K3871" s="1" t="n">
        <f aca="false">RANK(E3871,$E$7:$E$4378)+COUNTIF($E$7:E3871,E3871)-1</f>
        <v>2853</v>
      </c>
    </row>
    <row r="3872" customFormat="false" ht="14.25" hidden="false" customHeight="true" outlineLevel="0" collapsed="false">
      <c r="A3872" s="51" t="n">
        <v>17596</v>
      </c>
      <c r="B3872" s="53" t="n">
        <v>40863.5909722222</v>
      </c>
      <c r="C3872" s="57" t="n">
        <f aca="false">INT($C$2)-INT(Table3[[#This Row],[Last Purchase Date]])</f>
        <v>24</v>
      </c>
      <c r="D3872" s="1" t="n">
        <v>7</v>
      </c>
      <c r="E3872" s="1" t="n">
        <v>2827.93</v>
      </c>
      <c r="F3872" s="1" t="n">
        <f aca="false">ROUND((1-_xlfn.PERCENTRANK.INC($C$7:$C$4378,C3872))*9,0)</f>
        <v>6</v>
      </c>
      <c r="G3872" s="1" t="n">
        <f aca="false">ROUND(_xlfn.PERCENTRANK.INC($D$7:$D$4378,D3872)*9,0)</f>
        <v>7</v>
      </c>
      <c r="H3872" s="1" t="n">
        <f aca="false">ROUND(_xlfn.PERCENTRANK.INC($E$7:$E$4378,E3872)*9,0)</f>
        <v>8</v>
      </c>
      <c r="I3872" s="1" t="str">
        <f aca="false">CONCATENATE(F3872,G3872,H3872)</f>
        <v>678</v>
      </c>
      <c r="J3872" s="1" t="str">
        <f aca="false">_xlfn.IFS(AND(F3872&gt;=8,G3872&gt;=8,H3872&gt;=8),"CHAMPION",AND(F3872&gt;=6,G3872&gt;=7,H3872&gt;=6),"LOYAL CUSTOMER",AND(F3872&gt;=6,G3872&gt;=5,H3872&gt;=5),"POTENTIAL LOYALIST",AND(F3872&gt;=8,G3872&lt;=2,H3872&gt;=5),"NEW CUSTOMERS",AND(F3872&gt;=6,G3872&lt;=2,H3872&gt;=3),"PROMISING",AND(F3872&gt;=3,G3872&gt;=3,H3872&gt;=3),"NEED ATTENTION",AND(F3872&lt;=4,G3872&gt;=6,H3872&gt;=6),"AT RISK",AND(F3872&lt;=2,G3872&gt;=8,H3872&gt;=8),"CAN'T LOSE THEM",AND(F3872&lt;=2,G3872&lt;=2,H3872&lt;=2),"HIBERNATING",TRUE(),"Other")</f>
        <v>LOYAL CUSTOMER</v>
      </c>
      <c r="K3872" s="1" t="n">
        <f aca="false">RANK(E3872,$E$7:$E$4378)+COUNTIF($E$7:E3872,E3872)-1</f>
        <v>579</v>
      </c>
    </row>
    <row r="3873" customFormat="false" ht="14.25" hidden="false" customHeight="true" outlineLevel="0" collapsed="false">
      <c r="A3873" s="51" t="n">
        <v>17597</v>
      </c>
      <c r="B3873" s="53" t="n">
        <v>40673.4958333333</v>
      </c>
      <c r="C3873" s="57" t="n">
        <f aca="false">INT($C$2)-INT(Table3[[#This Row],[Last Purchase Date]])</f>
        <v>214</v>
      </c>
      <c r="D3873" s="1" t="n">
        <v>1</v>
      </c>
      <c r="E3873" s="1" t="n">
        <v>2044.37</v>
      </c>
      <c r="F3873" s="1" t="n">
        <f aca="false">ROUND((1-_xlfn.PERCENTRANK.INC($C$7:$C$4378,C3873))*9,0)</f>
        <v>1</v>
      </c>
      <c r="G3873" s="1" t="n">
        <f aca="false">ROUND(_xlfn.PERCENTRANK.INC($D$7:$D$4378,D3873)*9,0)</f>
        <v>0</v>
      </c>
      <c r="H3873" s="1" t="n">
        <f aca="false">ROUND(_xlfn.PERCENTRANK.INC($E$7:$E$4378,E3873)*9,0)</f>
        <v>7</v>
      </c>
      <c r="I3873" s="1" t="str">
        <f aca="false">CONCATENATE(F3873,G3873,H3873)</f>
        <v>107</v>
      </c>
      <c r="J3873" s="1" t="str">
        <f aca="false">_xlfn.IFS(AND(F3873&gt;=8,G3873&gt;=8,H3873&gt;=8),"CHAMPION",AND(F3873&gt;=6,G3873&gt;=7,H3873&gt;=6),"LOYAL CUSTOMER",AND(F3873&gt;=6,G3873&gt;=5,H3873&gt;=5),"POTENTIAL LOYALIST",AND(F3873&gt;=8,G3873&lt;=2,H3873&gt;=5),"NEW CUSTOMERS",AND(F3873&gt;=6,G3873&lt;=2,H3873&gt;=3),"PROMISING",AND(F3873&gt;=3,G3873&gt;=3,H3873&gt;=3),"NEED ATTENTION",AND(F3873&lt;=4,G3873&gt;=6,H3873&gt;=6),"AT RISK",AND(F3873&lt;=2,G3873&gt;=8,H3873&gt;=8),"CAN'T LOSE THEM",AND(F3873&lt;=2,G3873&lt;=2,H3873&lt;=2),"HIBERNATING",TRUE(),"Other")</f>
        <v>Other</v>
      </c>
      <c r="K3873" s="1" t="n">
        <f aca="false">RANK(E3873,$E$7:$E$4378)+COUNTIF($E$7:E3873,E3873)-1</f>
        <v>854</v>
      </c>
    </row>
    <row r="3874" customFormat="false" ht="14.25" hidden="false" customHeight="true" outlineLevel="0" collapsed="false">
      <c r="A3874" s="51" t="n">
        <v>17600</v>
      </c>
      <c r="B3874" s="53" t="n">
        <v>40869.4048611111</v>
      </c>
      <c r="C3874" s="57" t="n">
        <f aca="false">INT($C$2)-INT(Table3[[#This Row],[Last Purchase Date]])</f>
        <v>18</v>
      </c>
      <c r="D3874" s="1" t="n">
        <v>1</v>
      </c>
      <c r="E3874" s="1" t="n">
        <v>161.67</v>
      </c>
      <c r="F3874" s="1" t="n">
        <f aca="false">ROUND((1-_xlfn.PERCENTRANK.INC($C$7:$C$4378,C3874))*9,0)</f>
        <v>7</v>
      </c>
      <c r="G3874" s="1" t="n">
        <f aca="false">ROUND(_xlfn.PERCENTRANK.INC($D$7:$D$4378,D3874)*9,0)</f>
        <v>0</v>
      </c>
      <c r="H3874" s="1" t="n">
        <f aca="false">ROUND(_xlfn.PERCENTRANK.INC($E$7:$E$4378,E3874)*9,0)</f>
        <v>1</v>
      </c>
      <c r="I3874" s="1" t="str">
        <f aca="false">CONCATENATE(F3874,G3874,H3874)</f>
        <v>701</v>
      </c>
      <c r="J3874" s="1" t="str">
        <f aca="false">_xlfn.IFS(AND(F3874&gt;=8,G3874&gt;=8,H3874&gt;=8),"CHAMPION",AND(F3874&gt;=6,G3874&gt;=7,H3874&gt;=6),"LOYAL CUSTOMER",AND(F3874&gt;=6,G3874&gt;=5,H3874&gt;=5),"POTENTIAL LOYALIST",AND(F3874&gt;=8,G3874&lt;=2,H3874&gt;=5),"NEW CUSTOMERS",AND(F3874&gt;=6,G3874&lt;=2,H3874&gt;=3),"PROMISING",AND(F3874&gt;=3,G3874&gt;=3,H3874&gt;=3),"NEED ATTENTION",AND(F3874&lt;=4,G3874&gt;=6,H3874&gt;=6),"AT RISK",AND(F3874&lt;=2,G3874&gt;=8,H3874&gt;=8),"CAN'T LOSE THEM",AND(F3874&lt;=2,G3874&lt;=2,H3874&lt;=2),"HIBERNATING",TRUE(),"Other")</f>
        <v>Other</v>
      </c>
      <c r="K3874" s="1" t="n">
        <f aca="false">RANK(E3874,$E$7:$E$4378)+COUNTIF($E$7:E3874,E3874)-1</f>
        <v>3847</v>
      </c>
    </row>
    <row r="3875" customFormat="false" ht="14.25" hidden="false" customHeight="true" outlineLevel="0" collapsed="false">
      <c r="A3875" s="51" t="n">
        <v>17601</v>
      </c>
      <c r="B3875" s="53" t="n">
        <v>40647.7513888889</v>
      </c>
      <c r="C3875" s="57" t="n">
        <f aca="false">INT($C$2)-INT(Table3[[#This Row],[Last Purchase Date]])</f>
        <v>240</v>
      </c>
      <c r="D3875" s="1" t="n">
        <v>1</v>
      </c>
      <c r="E3875" s="1" t="n">
        <v>116.01</v>
      </c>
      <c r="F3875" s="1" t="n">
        <f aca="false">ROUND((1-_xlfn.PERCENTRANK.INC($C$7:$C$4378,C3875))*9,0)</f>
        <v>1</v>
      </c>
      <c r="G3875" s="1" t="n">
        <f aca="false">ROUND(_xlfn.PERCENTRANK.INC($D$7:$D$4378,D3875)*9,0)</f>
        <v>0</v>
      </c>
      <c r="H3875" s="1" t="n">
        <f aca="false">ROUND(_xlfn.PERCENTRANK.INC($E$7:$E$4378,E3875)*9,0)</f>
        <v>1</v>
      </c>
      <c r="I3875" s="1" t="str">
        <f aca="false">CONCATENATE(F3875,G3875,H3875)</f>
        <v>101</v>
      </c>
      <c r="J3875" s="1" t="str">
        <f aca="false">_xlfn.IFS(AND(F3875&gt;=8,G3875&gt;=8,H3875&gt;=8),"CHAMPION",AND(F3875&gt;=6,G3875&gt;=7,H3875&gt;=6),"LOYAL CUSTOMER",AND(F3875&gt;=6,G3875&gt;=5,H3875&gt;=5),"POTENTIAL LOYALIST",AND(F3875&gt;=8,G3875&lt;=2,H3875&gt;=5),"NEW CUSTOMERS",AND(F3875&gt;=6,G3875&lt;=2,H3875&gt;=3),"PROMISING",AND(F3875&gt;=3,G3875&gt;=3,H3875&gt;=3),"NEED ATTENTION",AND(F3875&lt;=4,G3875&gt;=6,H3875&gt;=6),"AT RISK",AND(F3875&lt;=2,G3875&gt;=8,H3875&gt;=8),"CAN'T LOSE THEM",AND(F3875&lt;=2,G3875&lt;=2,H3875&lt;=2),"HIBERNATING",TRUE(),"Other")</f>
        <v>HIBERNATING</v>
      </c>
      <c r="K3875" s="1" t="n">
        <f aca="false">RANK(E3875,$E$7:$E$4378)+COUNTIF($E$7:E3875,E3875)-1</f>
        <v>4067</v>
      </c>
    </row>
    <row r="3876" customFormat="false" ht="14.25" hidden="false" customHeight="true" outlineLevel="0" collapsed="false">
      <c r="A3876" s="51" t="n">
        <v>17602</v>
      </c>
      <c r="B3876" s="53" t="n">
        <v>40884.5784722222</v>
      </c>
      <c r="C3876" s="57" t="n">
        <f aca="false">INT($C$2)-INT(Table3[[#This Row],[Last Purchase Date]])</f>
        <v>3</v>
      </c>
      <c r="D3876" s="1" t="n">
        <v>8</v>
      </c>
      <c r="E3876" s="1" t="n">
        <v>5050.77</v>
      </c>
      <c r="F3876" s="1" t="n">
        <f aca="false">ROUND((1-_xlfn.PERCENTRANK.INC($C$7:$C$4378,C3876))*9,0)</f>
        <v>9</v>
      </c>
      <c r="G3876" s="1" t="n">
        <f aca="false">ROUND(_xlfn.PERCENTRANK.INC($D$7:$D$4378,D3876)*9,0)</f>
        <v>7</v>
      </c>
      <c r="H3876" s="1" t="n">
        <f aca="false">ROUND(_xlfn.PERCENTRANK.INC($E$7:$E$4378,E3876)*9,0)</f>
        <v>8</v>
      </c>
      <c r="I3876" s="1" t="str">
        <f aca="false">CONCATENATE(F3876,G3876,H3876)</f>
        <v>978</v>
      </c>
      <c r="J3876" s="1" t="str">
        <f aca="false">_xlfn.IFS(AND(F3876&gt;=8,G3876&gt;=8,H3876&gt;=8),"CHAMPION",AND(F3876&gt;=6,G3876&gt;=7,H3876&gt;=6),"LOYAL CUSTOMER",AND(F3876&gt;=6,G3876&gt;=5,H3876&gt;=5),"POTENTIAL LOYALIST",AND(F3876&gt;=8,G3876&lt;=2,H3876&gt;=5),"NEW CUSTOMERS",AND(F3876&gt;=6,G3876&lt;=2,H3876&gt;=3),"PROMISING",AND(F3876&gt;=3,G3876&gt;=3,H3876&gt;=3),"NEED ATTENTION",AND(F3876&lt;=4,G3876&gt;=6,H3876&gt;=6),"AT RISK",AND(F3876&lt;=2,G3876&gt;=8,H3876&gt;=8),"CAN'T LOSE THEM",AND(F3876&lt;=2,G3876&lt;=2,H3876&lt;=2),"HIBERNATING",TRUE(),"Other")</f>
        <v>LOYAL CUSTOMER</v>
      </c>
      <c r="K3876" s="1" t="n">
        <f aca="false">RANK(E3876,$E$7:$E$4378)+COUNTIF($E$7:E3876,E3876)-1</f>
        <v>257</v>
      </c>
    </row>
    <row r="3877" customFormat="false" ht="14.25" hidden="false" customHeight="true" outlineLevel="0" collapsed="false">
      <c r="A3877" s="51" t="n">
        <v>17603</v>
      </c>
      <c r="B3877" s="53" t="n">
        <v>40836.8048611111</v>
      </c>
      <c r="C3877" s="57" t="n">
        <f aca="false">INT($C$2)-INT(Table3[[#This Row],[Last Purchase Date]])</f>
        <v>51</v>
      </c>
      <c r="D3877" s="1" t="n">
        <v>5</v>
      </c>
      <c r="E3877" s="1" t="n">
        <v>-1165.3</v>
      </c>
      <c r="F3877" s="1" t="n">
        <f aca="false">ROUND((1-_xlfn.PERCENTRANK.INC($C$7:$C$4378,C3877))*9,0)</f>
        <v>5</v>
      </c>
      <c r="G3877" s="1" t="n">
        <f aca="false">ROUND(_xlfn.PERCENTRANK.INC($D$7:$D$4378,D3877)*9,0)</f>
        <v>6</v>
      </c>
      <c r="H3877" s="1" t="n">
        <f aca="false">ROUND(_xlfn.PERCENTRANK.INC($E$7:$E$4378,E3877)*9,0)</f>
        <v>0</v>
      </c>
      <c r="I3877" s="1" t="str">
        <f aca="false">CONCATENATE(F3877,G3877,H3877)</f>
        <v>560</v>
      </c>
      <c r="J3877" s="1" t="str">
        <f aca="false">_xlfn.IFS(AND(F3877&gt;=8,G3877&gt;=8,H3877&gt;=8),"CHAMPION",AND(F3877&gt;=6,G3877&gt;=7,H3877&gt;=6),"LOYAL CUSTOMER",AND(F3877&gt;=6,G3877&gt;=5,H3877&gt;=5),"POTENTIAL LOYALIST",AND(F3877&gt;=8,G3877&lt;=2,H3877&gt;=5),"NEW CUSTOMERS",AND(F3877&gt;=6,G3877&lt;=2,H3877&gt;=3),"PROMISING",AND(F3877&gt;=3,G3877&gt;=3,H3877&gt;=3),"NEED ATTENTION",AND(F3877&lt;=4,G3877&gt;=6,H3877&gt;=6),"AT RISK",AND(F3877&lt;=2,G3877&gt;=8,H3877&gt;=8),"CAN'T LOSE THEM",AND(F3877&lt;=2,G3877&lt;=2,H3877&lt;=2),"HIBERNATING",TRUE(),"Other")</f>
        <v>Other</v>
      </c>
      <c r="K3877" s="1" t="n">
        <f aca="false">RANK(E3877,$E$7:$E$4378)+COUNTIF($E$7:E3877,E3877)-1</f>
        <v>4369</v>
      </c>
    </row>
    <row r="3878" customFormat="false" ht="14.25" hidden="false" customHeight="true" outlineLevel="0" collapsed="false">
      <c r="A3878" s="51" t="n">
        <v>17604</v>
      </c>
      <c r="B3878" s="53" t="n">
        <v>40669.5715277778</v>
      </c>
      <c r="C3878" s="57" t="n">
        <f aca="false">INT($C$2)-INT(Table3[[#This Row],[Last Purchase Date]])</f>
        <v>218</v>
      </c>
      <c r="D3878" s="1" t="n">
        <v>2</v>
      </c>
      <c r="E3878" s="1" t="n">
        <v>309.36</v>
      </c>
      <c r="F3878" s="1" t="n">
        <f aca="false">ROUND((1-_xlfn.PERCENTRANK.INC($C$7:$C$4378,C3878))*9,0)</f>
        <v>1</v>
      </c>
      <c r="G3878" s="1" t="n">
        <f aca="false">ROUND(_xlfn.PERCENTRANK.INC($D$7:$D$4378,D3878)*9,0)</f>
        <v>3</v>
      </c>
      <c r="H3878" s="1" t="n">
        <f aca="false">ROUND(_xlfn.PERCENTRANK.INC($E$7:$E$4378,E3878)*9,0)</f>
        <v>2</v>
      </c>
      <c r="I3878" s="1" t="str">
        <f aca="false">CONCATENATE(F3878,G3878,H3878)</f>
        <v>132</v>
      </c>
      <c r="J3878" s="1" t="str">
        <f aca="false">_xlfn.IFS(AND(F3878&gt;=8,G3878&gt;=8,H3878&gt;=8),"CHAMPION",AND(F3878&gt;=6,G3878&gt;=7,H3878&gt;=6),"LOYAL CUSTOMER",AND(F3878&gt;=6,G3878&gt;=5,H3878&gt;=5),"POTENTIAL LOYALIST",AND(F3878&gt;=8,G3878&lt;=2,H3878&gt;=5),"NEW CUSTOMERS",AND(F3878&gt;=6,G3878&lt;=2,H3878&gt;=3),"PROMISING",AND(F3878&gt;=3,G3878&gt;=3,H3878&gt;=3),"NEED ATTENTION",AND(F3878&lt;=4,G3878&gt;=6,H3878&gt;=6),"AT RISK",AND(F3878&lt;=2,G3878&gt;=8,H3878&gt;=8),"CAN'T LOSE THEM",AND(F3878&lt;=2,G3878&lt;=2,H3878&lt;=2),"HIBERNATING",TRUE(),"Other")</f>
        <v>Other</v>
      </c>
      <c r="K3878" s="1" t="n">
        <f aca="false">RANK(E3878,$E$7:$E$4378)+COUNTIF($E$7:E3878,E3878)-1</f>
        <v>3198</v>
      </c>
    </row>
    <row r="3879" customFormat="false" ht="14.25" hidden="false" customHeight="true" outlineLevel="0" collapsed="false">
      <c r="A3879" s="51" t="n">
        <v>17608</v>
      </c>
      <c r="B3879" s="53" t="n">
        <v>40853.5458333333</v>
      </c>
      <c r="C3879" s="57" t="n">
        <f aca="false">INT($C$2)-INT(Table3[[#This Row],[Last Purchase Date]])</f>
        <v>34</v>
      </c>
      <c r="D3879" s="1" t="n">
        <v>2</v>
      </c>
      <c r="E3879" s="1" t="n">
        <v>193.42</v>
      </c>
      <c r="F3879" s="1" t="n">
        <f aca="false">ROUND((1-_xlfn.PERCENTRANK.INC($C$7:$C$4378,C3879))*9,0)</f>
        <v>5</v>
      </c>
      <c r="G3879" s="1" t="n">
        <f aca="false">ROUND(_xlfn.PERCENTRANK.INC($D$7:$D$4378,D3879)*9,0)</f>
        <v>3</v>
      </c>
      <c r="H3879" s="1" t="n">
        <f aca="false">ROUND(_xlfn.PERCENTRANK.INC($E$7:$E$4378,E3879)*9,0)</f>
        <v>1</v>
      </c>
      <c r="I3879" s="1" t="str">
        <f aca="false">CONCATENATE(F3879,G3879,H3879)</f>
        <v>531</v>
      </c>
      <c r="J3879" s="1" t="str">
        <f aca="false">_xlfn.IFS(AND(F3879&gt;=8,G3879&gt;=8,H3879&gt;=8),"CHAMPION",AND(F3879&gt;=6,G3879&gt;=7,H3879&gt;=6),"LOYAL CUSTOMER",AND(F3879&gt;=6,G3879&gt;=5,H3879&gt;=5),"POTENTIAL LOYALIST",AND(F3879&gt;=8,G3879&lt;=2,H3879&gt;=5),"NEW CUSTOMERS",AND(F3879&gt;=6,G3879&lt;=2,H3879&gt;=3),"PROMISING",AND(F3879&gt;=3,G3879&gt;=3,H3879&gt;=3),"NEED ATTENTION",AND(F3879&lt;=4,G3879&gt;=6,H3879&gt;=6),"AT RISK",AND(F3879&lt;=2,G3879&gt;=8,H3879&gt;=8),"CAN'T LOSE THEM",AND(F3879&lt;=2,G3879&lt;=2,H3879&lt;=2),"HIBERNATING",TRUE(),"Other")</f>
        <v>Other</v>
      </c>
      <c r="K3879" s="1" t="n">
        <f aca="false">RANK(E3879,$E$7:$E$4378)+COUNTIF($E$7:E3879,E3879)-1</f>
        <v>3693</v>
      </c>
    </row>
    <row r="3880" customFormat="false" ht="14.25" hidden="false" customHeight="true" outlineLevel="0" collapsed="false">
      <c r="A3880" s="51" t="n">
        <v>17609</v>
      </c>
      <c r="B3880" s="53" t="n">
        <v>40846.5194444444</v>
      </c>
      <c r="C3880" s="57" t="n">
        <f aca="false">INT($C$2)-INT(Table3[[#This Row],[Last Purchase Date]])</f>
        <v>41</v>
      </c>
      <c r="D3880" s="1" t="n">
        <v>6</v>
      </c>
      <c r="E3880" s="1" t="n">
        <v>1103.92</v>
      </c>
      <c r="F3880" s="1" t="n">
        <f aca="false">ROUND((1-_xlfn.PERCENTRANK.INC($C$7:$C$4378,C3880))*9,0)</f>
        <v>5</v>
      </c>
      <c r="G3880" s="1" t="n">
        <f aca="false">ROUND(_xlfn.PERCENTRANK.INC($D$7:$D$4378,D3880)*9,0)</f>
        <v>7</v>
      </c>
      <c r="H3880" s="1" t="n">
        <f aca="false">ROUND(_xlfn.PERCENTRANK.INC($E$7:$E$4378,E3880)*9,0)</f>
        <v>6</v>
      </c>
      <c r="I3880" s="1" t="str">
        <f aca="false">CONCATENATE(F3880,G3880,H3880)</f>
        <v>576</v>
      </c>
      <c r="J3880" s="1" t="str">
        <f aca="false">_xlfn.IFS(AND(F3880&gt;=8,G3880&gt;=8,H3880&gt;=8),"CHAMPION",AND(F3880&gt;=6,G3880&gt;=7,H3880&gt;=6),"LOYAL CUSTOMER",AND(F3880&gt;=6,G3880&gt;=5,H3880&gt;=5),"POTENTIAL LOYALIST",AND(F3880&gt;=8,G3880&lt;=2,H3880&gt;=5),"NEW CUSTOMERS",AND(F3880&gt;=6,G3880&lt;=2,H3880&gt;=3),"PROMISING",AND(F3880&gt;=3,G3880&gt;=3,H3880&gt;=3),"NEED ATTENTION",AND(F3880&lt;=4,G3880&gt;=6,H3880&gt;=6),"AT RISK",AND(F3880&lt;=2,G3880&gt;=8,H3880&gt;=8),"CAN'T LOSE THEM",AND(F3880&lt;=2,G3880&lt;=2,H3880&lt;=2),"HIBERNATING",TRUE(),"Other")</f>
        <v>NEED ATTENTION</v>
      </c>
      <c r="K3880" s="1" t="n">
        <f aca="false">RANK(E3880,$E$7:$E$4378)+COUNTIF($E$7:E3880,E3880)-1</f>
        <v>1507</v>
      </c>
    </row>
    <row r="3881" customFormat="false" ht="14.25" hidden="false" customHeight="true" outlineLevel="0" collapsed="false">
      <c r="A3881" s="51" t="n">
        <v>17611</v>
      </c>
      <c r="B3881" s="53" t="n">
        <v>40883.4069444445</v>
      </c>
      <c r="C3881" s="57" t="n">
        <f aca="false">INT($C$2)-INT(Table3[[#This Row],[Last Purchase Date]])</f>
        <v>4</v>
      </c>
      <c r="D3881" s="1" t="n">
        <v>19</v>
      </c>
      <c r="E3881" s="1" t="n">
        <v>3947.87</v>
      </c>
      <c r="F3881" s="1" t="n">
        <f aca="false">ROUND((1-_xlfn.PERCENTRANK.INC($C$7:$C$4378,C3881))*9,0)</f>
        <v>8</v>
      </c>
      <c r="G3881" s="1" t="n">
        <f aca="false">ROUND(_xlfn.PERCENTRANK.INC($D$7:$D$4378,D3881)*9,0)</f>
        <v>9</v>
      </c>
      <c r="H3881" s="1" t="n">
        <f aca="false">ROUND(_xlfn.PERCENTRANK.INC($E$7:$E$4378,E3881)*9,0)</f>
        <v>8</v>
      </c>
      <c r="I3881" s="1" t="str">
        <f aca="false">CONCATENATE(F3881,G3881,H3881)</f>
        <v>898</v>
      </c>
      <c r="J3881" s="1" t="str">
        <f aca="false">_xlfn.IFS(AND(F3881&gt;=8,G3881&gt;=8,H3881&gt;=8),"CHAMPION",AND(F3881&gt;=6,G3881&gt;=7,H3881&gt;=6),"LOYAL CUSTOMER",AND(F3881&gt;=6,G3881&gt;=5,H3881&gt;=5),"POTENTIAL LOYALIST",AND(F3881&gt;=8,G3881&lt;=2,H3881&gt;=5),"NEW CUSTOMERS",AND(F3881&gt;=6,G3881&lt;=2,H3881&gt;=3),"PROMISING",AND(F3881&gt;=3,G3881&gt;=3,H3881&gt;=3),"NEED ATTENTION",AND(F3881&lt;=4,G3881&gt;=6,H3881&gt;=6),"AT RISK",AND(F3881&lt;=2,G3881&gt;=8,H3881&gt;=8),"CAN'T LOSE THEM",AND(F3881&lt;=2,G3881&lt;=2,H3881&lt;=2),"HIBERNATING",TRUE(),"Other")</f>
        <v>CHAMPION</v>
      </c>
      <c r="K3881" s="1" t="n">
        <f aca="false">RANK(E3881,$E$7:$E$4378)+COUNTIF($E$7:E3881,E3881)-1</f>
        <v>363</v>
      </c>
    </row>
    <row r="3882" customFormat="false" ht="14.25" hidden="false" customHeight="true" outlineLevel="0" collapsed="false">
      <c r="A3882" s="51" t="n">
        <v>17612</v>
      </c>
      <c r="B3882" s="53" t="n">
        <v>40833.6243055556</v>
      </c>
      <c r="C3882" s="57" t="n">
        <f aca="false">INT($C$2)-INT(Table3[[#This Row],[Last Purchase Date]])</f>
        <v>54</v>
      </c>
      <c r="D3882" s="1" t="n">
        <v>10</v>
      </c>
      <c r="E3882" s="1" t="n">
        <v>1992.76</v>
      </c>
      <c r="F3882" s="1" t="n">
        <f aca="false">ROUND((1-_xlfn.PERCENTRANK.INC($C$7:$C$4378,C3882))*9,0)</f>
        <v>4</v>
      </c>
      <c r="G3882" s="1" t="n">
        <f aca="false">ROUND(_xlfn.PERCENTRANK.INC($D$7:$D$4378,D3882)*9,0)</f>
        <v>8</v>
      </c>
      <c r="H3882" s="1" t="n">
        <f aca="false">ROUND(_xlfn.PERCENTRANK.INC($E$7:$E$4378,E3882)*9,0)</f>
        <v>7</v>
      </c>
      <c r="I3882" s="1" t="str">
        <f aca="false">CONCATENATE(F3882,G3882,H3882)</f>
        <v>487</v>
      </c>
      <c r="J3882" s="1" t="str">
        <f aca="false">_xlfn.IFS(AND(F3882&gt;=8,G3882&gt;=8,H3882&gt;=8),"CHAMPION",AND(F3882&gt;=6,G3882&gt;=7,H3882&gt;=6),"LOYAL CUSTOMER",AND(F3882&gt;=6,G3882&gt;=5,H3882&gt;=5),"POTENTIAL LOYALIST",AND(F3882&gt;=8,G3882&lt;=2,H3882&gt;=5),"NEW CUSTOMERS",AND(F3882&gt;=6,G3882&lt;=2,H3882&gt;=3),"PROMISING",AND(F3882&gt;=3,G3882&gt;=3,H3882&gt;=3),"NEED ATTENTION",AND(F3882&lt;=4,G3882&gt;=6,H3882&gt;=6),"AT RISK",AND(F3882&lt;=2,G3882&gt;=8,H3882&gt;=8),"CAN'T LOSE THEM",AND(F3882&lt;=2,G3882&lt;=2,H3882&lt;=2),"HIBERNATING",TRUE(),"Other")</f>
        <v>NEED ATTENTION</v>
      </c>
      <c r="K3882" s="1" t="n">
        <f aca="false">RANK(E3882,$E$7:$E$4378)+COUNTIF($E$7:E3882,E3882)-1</f>
        <v>881</v>
      </c>
    </row>
    <row r="3883" customFormat="false" ht="14.25" hidden="false" customHeight="true" outlineLevel="0" collapsed="false">
      <c r="A3883" s="51" t="n">
        <v>17613</v>
      </c>
      <c r="B3883" s="53" t="n">
        <v>40864.4520833333</v>
      </c>
      <c r="C3883" s="57" t="n">
        <f aca="false">INT($C$2)-INT(Table3[[#This Row],[Last Purchase Date]])</f>
        <v>23</v>
      </c>
      <c r="D3883" s="1" t="n">
        <v>17</v>
      </c>
      <c r="E3883" s="1" t="n">
        <v>4509.37</v>
      </c>
      <c r="F3883" s="1" t="n">
        <f aca="false">ROUND((1-_xlfn.PERCENTRANK.INC($C$7:$C$4378,C3883))*9,0)</f>
        <v>6</v>
      </c>
      <c r="G3883" s="1" t="n">
        <f aca="false">ROUND(_xlfn.PERCENTRANK.INC($D$7:$D$4378,D3883)*9,0)</f>
        <v>9</v>
      </c>
      <c r="H3883" s="1" t="n">
        <f aca="false">ROUND(_xlfn.PERCENTRANK.INC($E$7:$E$4378,E3883)*9,0)</f>
        <v>8</v>
      </c>
      <c r="I3883" s="1" t="str">
        <f aca="false">CONCATENATE(F3883,G3883,H3883)</f>
        <v>698</v>
      </c>
      <c r="J3883" s="1" t="str">
        <f aca="false">_xlfn.IFS(AND(F3883&gt;=8,G3883&gt;=8,H3883&gt;=8),"CHAMPION",AND(F3883&gt;=6,G3883&gt;=7,H3883&gt;=6),"LOYAL CUSTOMER",AND(F3883&gt;=6,G3883&gt;=5,H3883&gt;=5),"POTENTIAL LOYALIST",AND(F3883&gt;=8,G3883&lt;=2,H3883&gt;=5),"NEW CUSTOMERS",AND(F3883&gt;=6,G3883&lt;=2,H3883&gt;=3),"PROMISING",AND(F3883&gt;=3,G3883&gt;=3,H3883&gt;=3),"NEED ATTENTION",AND(F3883&lt;=4,G3883&gt;=6,H3883&gt;=6),"AT RISK",AND(F3883&lt;=2,G3883&gt;=8,H3883&gt;=8),"CAN'T LOSE THEM",AND(F3883&lt;=2,G3883&lt;=2,H3883&lt;=2),"HIBERNATING",TRUE(),"Other")</f>
        <v>LOYAL CUSTOMER</v>
      </c>
      <c r="K3883" s="1" t="n">
        <f aca="false">RANK(E3883,$E$7:$E$4378)+COUNTIF($E$7:E3883,E3883)-1</f>
        <v>301</v>
      </c>
    </row>
    <row r="3884" customFormat="false" ht="14.25" hidden="false" customHeight="true" outlineLevel="0" collapsed="false">
      <c r="A3884" s="51" t="n">
        <v>17614</v>
      </c>
      <c r="B3884" s="53" t="n">
        <v>40829.6673611111</v>
      </c>
      <c r="C3884" s="57" t="n">
        <f aca="false">INT($C$2)-INT(Table3[[#This Row],[Last Purchase Date]])</f>
        <v>58</v>
      </c>
      <c r="D3884" s="1" t="n">
        <v>1</v>
      </c>
      <c r="E3884" s="1" t="n">
        <v>390.07</v>
      </c>
      <c r="F3884" s="1" t="n">
        <f aca="false">ROUND((1-_xlfn.PERCENTRANK.INC($C$7:$C$4378,C3884))*9,0)</f>
        <v>4</v>
      </c>
      <c r="G3884" s="1" t="n">
        <f aca="false">ROUND(_xlfn.PERCENTRANK.INC($D$7:$D$4378,D3884)*9,0)</f>
        <v>0</v>
      </c>
      <c r="H3884" s="1" t="n">
        <f aca="false">ROUND(_xlfn.PERCENTRANK.INC($E$7:$E$4378,E3884)*9,0)</f>
        <v>3</v>
      </c>
      <c r="I3884" s="1" t="str">
        <f aca="false">CONCATENATE(F3884,G3884,H3884)</f>
        <v>403</v>
      </c>
      <c r="J3884" s="1" t="str">
        <f aca="false">_xlfn.IFS(AND(F3884&gt;=8,G3884&gt;=8,H3884&gt;=8),"CHAMPION",AND(F3884&gt;=6,G3884&gt;=7,H3884&gt;=6),"LOYAL CUSTOMER",AND(F3884&gt;=6,G3884&gt;=5,H3884&gt;=5),"POTENTIAL LOYALIST",AND(F3884&gt;=8,G3884&lt;=2,H3884&gt;=5),"NEW CUSTOMERS",AND(F3884&gt;=6,G3884&lt;=2,H3884&gt;=3),"PROMISING",AND(F3884&gt;=3,G3884&gt;=3,H3884&gt;=3),"NEED ATTENTION",AND(F3884&lt;=4,G3884&gt;=6,H3884&gt;=6),"AT RISK",AND(F3884&lt;=2,G3884&gt;=8,H3884&gt;=8),"CAN'T LOSE THEM",AND(F3884&lt;=2,G3884&lt;=2,H3884&lt;=2),"HIBERNATING",TRUE(),"Other")</f>
        <v>Other</v>
      </c>
      <c r="K3884" s="1" t="n">
        <f aca="false">RANK(E3884,$E$7:$E$4378)+COUNTIF($E$7:E3884,E3884)-1</f>
        <v>2845</v>
      </c>
    </row>
    <row r="3885" customFormat="false" ht="14.25" hidden="false" customHeight="true" outlineLevel="0" collapsed="false">
      <c r="A3885" s="51" t="n">
        <v>17615</v>
      </c>
      <c r="B3885" s="53" t="n">
        <v>40756.5875</v>
      </c>
      <c r="C3885" s="57" t="n">
        <f aca="false">INT($C$2)-INT(Table3[[#This Row],[Last Purchase Date]])</f>
        <v>131</v>
      </c>
      <c r="D3885" s="1" t="n">
        <v>3</v>
      </c>
      <c r="E3885" s="1" t="n">
        <v>329.6</v>
      </c>
      <c r="F3885" s="1" t="n">
        <f aca="false">ROUND((1-_xlfn.PERCENTRANK.INC($C$7:$C$4378,C3885))*9,0)</f>
        <v>2</v>
      </c>
      <c r="G3885" s="1" t="n">
        <f aca="false">ROUND(_xlfn.PERCENTRANK.INC($D$7:$D$4378,D3885)*9,0)</f>
        <v>4</v>
      </c>
      <c r="H3885" s="1" t="n">
        <f aca="false">ROUND(_xlfn.PERCENTRANK.INC($E$7:$E$4378,E3885)*9,0)</f>
        <v>3</v>
      </c>
      <c r="I3885" s="1" t="str">
        <f aca="false">CONCATENATE(F3885,G3885,H3885)</f>
        <v>243</v>
      </c>
      <c r="J3885" s="1" t="str">
        <f aca="false">_xlfn.IFS(AND(F3885&gt;=8,G3885&gt;=8,H3885&gt;=8),"CHAMPION",AND(F3885&gt;=6,G3885&gt;=7,H3885&gt;=6),"LOYAL CUSTOMER",AND(F3885&gt;=6,G3885&gt;=5,H3885&gt;=5),"POTENTIAL LOYALIST",AND(F3885&gt;=8,G3885&lt;=2,H3885&gt;=5),"NEW CUSTOMERS",AND(F3885&gt;=6,G3885&lt;=2,H3885&gt;=3),"PROMISING",AND(F3885&gt;=3,G3885&gt;=3,H3885&gt;=3),"NEED ATTENTION",AND(F3885&lt;=4,G3885&gt;=6,H3885&gt;=6),"AT RISK",AND(F3885&lt;=2,G3885&gt;=8,H3885&gt;=8),"CAN'T LOSE THEM",AND(F3885&lt;=2,G3885&lt;=2,H3885&lt;=2),"HIBERNATING",TRUE(),"Other")</f>
        <v>Other</v>
      </c>
      <c r="K3885" s="1" t="n">
        <f aca="false">RANK(E3885,$E$7:$E$4378)+COUNTIF($E$7:E3885,E3885)-1</f>
        <v>3098</v>
      </c>
    </row>
    <row r="3886" customFormat="false" ht="14.25" hidden="false" customHeight="true" outlineLevel="0" collapsed="false">
      <c r="A3886" s="51" t="n">
        <v>17616</v>
      </c>
      <c r="B3886" s="53" t="n">
        <v>40713.4243055556</v>
      </c>
      <c r="C3886" s="57" t="n">
        <f aca="false">INT($C$2)-INT(Table3[[#This Row],[Last Purchase Date]])</f>
        <v>174</v>
      </c>
      <c r="D3886" s="1" t="n">
        <v>3</v>
      </c>
      <c r="E3886" s="1" t="n">
        <v>571.2</v>
      </c>
      <c r="F3886" s="1" t="n">
        <f aca="false">ROUND((1-_xlfn.PERCENTRANK.INC($C$7:$C$4378,C3886))*9,0)</f>
        <v>2</v>
      </c>
      <c r="G3886" s="1" t="n">
        <f aca="false">ROUND(_xlfn.PERCENTRANK.INC($D$7:$D$4378,D3886)*9,0)</f>
        <v>4</v>
      </c>
      <c r="H3886" s="1" t="n">
        <f aca="false">ROUND(_xlfn.PERCENTRANK.INC($E$7:$E$4378,E3886)*9,0)</f>
        <v>4</v>
      </c>
      <c r="I3886" s="1" t="str">
        <f aca="false">CONCATENATE(F3886,G3886,H3886)</f>
        <v>244</v>
      </c>
      <c r="J3886" s="1" t="str">
        <f aca="false">_xlfn.IFS(AND(F3886&gt;=8,G3886&gt;=8,H3886&gt;=8),"CHAMPION",AND(F3886&gt;=6,G3886&gt;=7,H3886&gt;=6),"LOYAL CUSTOMER",AND(F3886&gt;=6,G3886&gt;=5,H3886&gt;=5),"POTENTIAL LOYALIST",AND(F3886&gt;=8,G3886&lt;=2,H3886&gt;=5),"NEW CUSTOMERS",AND(F3886&gt;=6,G3886&lt;=2,H3886&gt;=3),"PROMISING",AND(F3886&gt;=3,G3886&gt;=3,H3886&gt;=3),"NEED ATTENTION",AND(F3886&lt;=4,G3886&gt;=6,H3886&gt;=6),"AT RISK",AND(F3886&lt;=2,G3886&gt;=8,H3886&gt;=8),"CAN'T LOSE THEM",AND(F3886&lt;=2,G3886&lt;=2,H3886&lt;=2),"HIBERNATING",TRUE(),"Other")</f>
        <v>Other</v>
      </c>
      <c r="K3886" s="1" t="n">
        <f aca="false">RANK(E3886,$E$7:$E$4378)+COUNTIF($E$7:E3886,E3886)-1</f>
        <v>2391</v>
      </c>
    </row>
    <row r="3887" customFormat="false" ht="14.25" hidden="false" customHeight="true" outlineLevel="0" collapsed="false">
      <c r="A3887" s="51" t="n">
        <v>17618</v>
      </c>
      <c r="B3887" s="53" t="n">
        <v>40881.4930555556</v>
      </c>
      <c r="C3887" s="57" t="n">
        <f aca="false">INT($C$2)-INT(Table3[[#This Row],[Last Purchase Date]])</f>
        <v>6</v>
      </c>
      <c r="D3887" s="1" t="n">
        <v>3</v>
      </c>
      <c r="E3887" s="1" t="n">
        <v>971.58</v>
      </c>
      <c r="F3887" s="1" t="n">
        <f aca="false">ROUND((1-_xlfn.PERCENTRANK.INC($C$7:$C$4378,C3887))*9,0)</f>
        <v>8</v>
      </c>
      <c r="G3887" s="1" t="n">
        <f aca="false">ROUND(_xlfn.PERCENTRANK.INC($D$7:$D$4378,D3887)*9,0)</f>
        <v>4</v>
      </c>
      <c r="H3887" s="1" t="n">
        <f aca="false">ROUND(_xlfn.PERCENTRANK.INC($E$7:$E$4378,E3887)*9,0)</f>
        <v>6</v>
      </c>
      <c r="I3887" s="1" t="str">
        <f aca="false">CONCATENATE(F3887,G3887,H3887)</f>
        <v>846</v>
      </c>
      <c r="J3887" s="1" t="str">
        <f aca="false">_xlfn.IFS(AND(F3887&gt;=8,G3887&gt;=8,H3887&gt;=8),"CHAMPION",AND(F3887&gt;=6,G3887&gt;=7,H3887&gt;=6),"LOYAL CUSTOMER",AND(F3887&gt;=6,G3887&gt;=5,H3887&gt;=5),"POTENTIAL LOYALIST",AND(F3887&gt;=8,G3887&lt;=2,H3887&gt;=5),"NEW CUSTOMERS",AND(F3887&gt;=6,G3887&lt;=2,H3887&gt;=3),"PROMISING",AND(F3887&gt;=3,G3887&gt;=3,H3887&gt;=3),"NEED ATTENTION",AND(F3887&lt;=4,G3887&gt;=6,H3887&gt;=6),"AT RISK",AND(F3887&lt;=2,G3887&gt;=8,H3887&gt;=8),"CAN'T LOSE THEM",AND(F3887&lt;=2,G3887&lt;=2,H3887&lt;=2),"HIBERNATING",TRUE(),"Other")</f>
        <v>NEED ATTENTION</v>
      </c>
      <c r="K3887" s="1" t="n">
        <f aca="false">RANK(E3887,$E$7:$E$4378)+COUNTIF($E$7:E3887,E3887)-1</f>
        <v>1676</v>
      </c>
    </row>
    <row r="3888" customFormat="false" ht="14.25" hidden="false" customHeight="true" outlineLevel="0" collapsed="false">
      <c r="A3888" s="51" t="n">
        <v>17619</v>
      </c>
      <c r="B3888" s="53" t="n">
        <v>40574.5958333333</v>
      </c>
      <c r="C3888" s="57" t="n">
        <f aca="false">INT($C$2)-INT(Table3[[#This Row],[Last Purchase Date]])</f>
        <v>313</v>
      </c>
      <c r="D3888" s="1" t="n">
        <v>1</v>
      </c>
      <c r="E3888" s="1" t="n">
        <v>218.52</v>
      </c>
      <c r="F3888" s="1" t="n">
        <f aca="false">ROUND((1-_xlfn.PERCENTRANK.INC($C$7:$C$4378,C3888))*9,0)</f>
        <v>0</v>
      </c>
      <c r="G3888" s="1" t="n">
        <f aca="false">ROUND(_xlfn.PERCENTRANK.INC($D$7:$D$4378,D3888)*9,0)</f>
        <v>0</v>
      </c>
      <c r="H3888" s="1" t="n">
        <f aca="false">ROUND(_xlfn.PERCENTRANK.INC($E$7:$E$4378,E3888)*9,0)</f>
        <v>2</v>
      </c>
      <c r="I3888" s="1" t="str">
        <f aca="false">CONCATENATE(F3888,G3888,H3888)</f>
        <v>002</v>
      </c>
      <c r="J3888" s="1" t="str">
        <f aca="false">_xlfn.IFS(AND(F3888&gt;=8,G3888&gt;=8,H3888&gt;=8),"CHAMPION",AND(F3888&gt;=6,G3888&gt;=7,H3888&gt;=6),"LOYAL CUSTOMER",AND(F3888&gt;=6,G3888&gt;=5,H3888&gt;=5),"POTENTIAL LOYALIST",AND(F3888&gt;=8,G3888&lt;=2,H3888&gt;=5),"NEW CUSTOMERS",AND(F3888&gt;=6,G3888&lt;=2,H3888&gt;=3),"PROMISING",AND(F3888&gt;=3,G3888&gt;=3,H3888&gt;=3),"NEED ATTENTION",AND(F3888&lt;=4,G3888&gt;=6,H3888&gt;=6),"AT RISK",AND(F3888&lt;=2,G3888&gt;=8,H3888&gt;=8),"CAN'T LOSE THEM",AND(F3888&lt;=2,G3888&lt;=2,H3888&lt;=2),"HIBERNATING",TRUE(),"Other")</f>
        <v>HIBERNATING</v>
      </c>
      <c r="K3888" s="1" t="n">
        <f aca="false">RANK(E3888,$E$7:$E$4378)+COUNTIF($E$7:E3888,E3888)-1</f>
        <v>3567</v>
      </c>
    </row>
    <row r="3889" customFormat="false" ht="14.25" hidden="false" customHeight="true" outlineLevel="0" collapsed="false">
      <c r="A3889" s="51" t="n">
        <v>17620</v>
      </c>
      <c r="B3889" s="53" t="n">
        <v>40827.5055555556</v>
      </c>
      <c r="C3889" s="57" t="n">
        <f aca="false">INT($C$2)-INT(Table3[[#This Row],[Last Purchase Date]])</f>
        <v>60</v>
      </c>
      <c r="D3889" s="1" t="n">
        <v>1</v>
      </c>
      <c r="E3889" s="1" t="n">
        <v>81.44</v>
      </c>
      <c r="F3889" s="1" t="n">
        <f aca="false">ROUND((1-_xlfn.PERCENTRANK.INC($C$7:$C$4378,C3889))*9,0)</f>
        <v>4</v>
      </c>
      <c r="G3889" s="1" t="n">
        <f aca="false">ROUND(_xlfn.PERCENTRANK.INC($D$7:$D$4378,D3889)*9,0)</f>
        <v>0</v>
      </c>
      <c r="H3889" s="1" t="n">
        <f aca="false">ROUND(_xlfn.PERCENTRANK.INC($E$7:$E$4378,E3889)*9,0)</f>
        <v>0</v>
      </c>
      <c r="I3889" s="1" t="str">
        <f aca="false">CONCATENATE(F3889,G3889,H3889)</f>
        <v>400</v>
      </c>
      <c r="J3889" s="1" t="str">
        <f aca="false">_xlfn.IFS(AND(F3889&gt;=8,G3889&gt;=8,H3889&gt;=8),"CHAMPION",AND(F3889&gt;=6,G3889&gt;=7,H3889&gt;=6),"LOYAL CUSTOMER",AND(F3889&gt;=6,G3889&gt;=5,H3889&gt;=5),"POTENTIAL LOYALIST",AND(F3889&gt;=8,G3889&lt;=2,H3889&gt;=5),"NEW CUSTOMERS",AND(F3889&gt;=6,G3889&lt;=2,H3889&gt;=3),"PROMISING",AND(F3889&gt;=3,G3889&gt;=3,H3889&gt;=3),"NEED ATTENTION",AND(F3889&lt;=4,G3889&gt;=6,H3889&gt;=6),"AT RISK",AND(F3889&lt;=2,G3889&gt;=8,H3889&gt;=8),"CAN'T LOSE THEM",AND(F3889&lt;=2,G3889&lt;=2,H3889&lt;=2),"HIBERNATING",TRUE(),"Other")</f>
        <v>Other</v>
      </c>
      <c r="K3889" s="1" t="n">
        <f aca="false">RANK(E3889,$E$7:$E$4378)+COUNTIF($E$7:E3889,E3889)-1</f>
        <v>4213</v>
      </c>
    </row>
    <row r="3890" customFormat="false" ht="14.25" hidden="false" customHeight="true" outlineLevel="0" collapsed="false">
      <c r="A3890" s="51" t="n">
        <v>17621</v>
      </c>
      <c r="B3890" s="53" t="n">
        <v>40865.7159722222</v>
      </c>
      <c r="C3890" s="57" t="n">
        <f aca="false">INT($C$2)-INT(Table3[[#This Row],[Last Purchase Date]])</f>
        <v>22</v>
      </c>
      <c r="D3890" s="1" t="n">
        <v>4</v>
      </c>
      <c r="E3890" s="1" t="n">
        <v>1336.1</v>
      </c>
      <c r="F3890" s="1" t="n">
        <f aca="false">ROUND((1-_xlfn.PERCENTRANK.INC($C$7:$C$4378,C3890))*9,0)</f>
        <v>6</v>
      </c>
      <c r="G3890" s="1" t="n">
        <f aca="false">ROUND(_xlfn.PERCENTRANK.INC($D$7:$D$4378,D3890)*9,0)</f>
        <v>5</v>
      </c>
      <c r="H3890" s="1" t="n">
        <f aca="false">ROUND(_xlfn.PERCENTRANK.INC($E$7:$E$4378,E3890)*9,0)</f>
        <v>6</v>
      </c>
      <c r="I3890" s="1" t="str">
        <f aca="false">CONCATENATE(F3890,G3890,H3890)</f>
        <v>656</v>
      </c>
      <c r="J3890" s="1" t="str">
        <f aca="false">_xlfn.IFS(AND(F3890&gt;=8,G3890&gt;=8,H3890&gt;=8),"CHAMPION",AND(F3890&gt;=6,G3890&gt;=7,H3890&gt;=6),"LOYAL CUSTOMER",AND(F3890&gt;=6,G3890&gt;=5,H3890&gt;=5),"POTENTIAL LOYALIST",AND(F3890&gt;=8,G3890&lt;=2,H3890&gt;=5),"NEW CUSTOMERS",AND(F3890&gt;=6,G3890&lt;=2,H3890&gt;=3),"PROMISING",AND(F3890&gt;=3,G3890&gt;=3,H3890&gt;=3),"NEED ATTENTION",AND(F3890&lt;=4,G3890&gt;=6,H3890&gt;=6),"AT RISK",AND(F3890&lt;=2,G3890&gt;=8,H3890&gt;=8),"CAN'T LOSE THEM",AND(F3890&lt;=2,G3890&lt;=2,H3890&lt;=2),"HIBERNATING",TRUE(),"Other")</f>
        <v>POTENTIAL LOYALIST</v>
      </c>
      <c r="K3890" s="1" t="n">
        <f aca="false">RANK(E3890,$E$7:$E$4378)+COUNTIF($E$7:E3890,E3890)-1</f>
        <v>1291</v>
      </c>
    </row>
    <row r="3891" customFormat="false" ht="14.25" hidden="false" customHeight="true" outlineLevel="0" collapsed="false">
      <c r="A3891" s="51" t="n">
        <v>17623</v>
      </c>
      <c r="B3891" s="53" t="n">
        <v>40854.4805555556</v>
      </c>
      <c r="C3891" s="57" t="n">
        <f aca="false">INT($C$2)-INT(Table3[[#This Row],[Last Purchase Date]])</f>
        <v>33</v>
      </c>
      <c r="D3891" s="1" t="n">
        <v>1</v>
      </c>
      <c r="E3891" s="1" t="n">
        <v>527.05</v>
      </c>
      <c r="F3891" s="1" t="n">
        <f aca="false">ROUND((1-_xlfn.PERCENTRANK.INC($C$7:$C$4378,C3891))*9,0)</f>
        <v>5</v>
      </c>
      <c r="G3891" s="1" t="n">
        <f aca="false">ROUND(_xlfn.PERCENTRANK.INC($D$7:$D$4378,D3891)*9,0)</f>
        <v>0</v>
      </c>
      <c r="H3891" s="1" t="n">
        <f aca="false">ROUND(_xlfn.PERCENTRANK.INC($E$7:$E$4378,E3891)*9,0)</f>
        <v>4</v>
      </c>
      <c r="I3891" s="1" t="str">
        <f aca="false">CONCATENATE(F3891,G3891,H3891)</f>
        <v>504</v>
      </c>
      <c r="J3891" s="1" t="str">
        <f aca="false">_xlfn.IFS(AND(F3891&gt;=8,G3891&gt;=8,H3891&gt;=8),"CHAMPION",AND(F3891&gt;=6,G3891&gt;=7,H3891&gt;=6),"LOYAL CUSTOMER",AND(F3891&gt;=6,G3891&gt;=5,H3891&gt;=5),"POTENTIAL LOYALIST",AND(F3891&gt;=8,G3891&lt;=2,H3891&gt;=5),"NEW CUSTOMERS",AND(F3891&gt;=6,G3891&lt;=2,H3891&gt;=3),"PROMISING",AND(F3891&gt;=3,G3891&gt;=3,H3891&gt;=3),"NEED ATTENTION",AND(F3891&lt;=4,G3891&gt;=6,H3891&gt;=6),"AT RISK",AND(F3891&lt;=2,G3891&gt;=8,H3891&gt;=8),"CAN'T LOSE THEM",AND(F3891&lt;=2,G3891&lt;=2,H3891&lt;=2),"HIBERNATING",TRUE(),"Other")</f>
        <v>Other</v>
      </c>
      <c r="K3891" s="1" t="n">
        <f aca="false">RANK(E3891,$E$7:$E$4378)+COUNTIF($E$7:E3891,E3891)-1</f>
        <v>2486</v>
      </c>
    </row>
    <row r="3892" customFormat="false" ht="14.25" hidden="false" customHeight="true" outlineLevel="0" collapsed="false">
      <c r="A3892" s="51" t="n">
        <v>17624</v>
      </c>
      <c r="B3892" s="53" t="n">
        <v>40872.4527777778</v>
      </c>
      <c r="C3892" s="57" t="n">
        <f aca="false">INT($C$2)-INT(Table3[[#This Row],[Last Purchase Date]])</f>
        <v>15</v>
      </c>
      <c r="D3892" s="1" t="n">
        <v>2</v>
      </c>
      <c r="E3892" s="1" t="n">
        <v>843.48</v>
      </c>
      <c r="F3892" s="1" t="n">
        <f aca="false">ROUND((1-_xlfn.PERCENTRANK.INC($C$7:$C$4378,C3892))*9,0)</f>
        <v>7</v>
      </c>
      <c r="G3892" s="1" t="n">
        <f aca="false">ROUND(_xlfn.PERCENTRANK.INC($D$7:$D$4378,D3892)*9,0)</f>
        <v>3</v>
      </c>
      <c r="H3892" s="1" t="n">
        <f aca="false">ROUND(_xlfn.PERCENTRANK.INC($E$7:$E$4378,E3892)*9,0)</f>
        <v>5</v>
      </c>
      <c r="I3892" s="1" t="str">
        <f aca="false">CONCATENATE(F3892,G3892,H3892)</f>
        <v>735</v>
      </c>
      <c r="J3892" s="1" t="str">
        <f aca="false">_xlfn.IFS(AND(F3892&gt;=8,G3892&gt;=8,H3892&gt;=8),"CHAMPION",AND(F3892&gt;=6,G3892&gt;=7,H3892&gt;=6),"LOYAL CUSTOMER",AND(F3892&gt;=6,G3892&gt;=5,H3892&gt;=5),"POTENTIAL LOYALIST",AND(F3892&gt;=8,G3892&lt;=2,H3892&gt;=5),"NEW CUSTOMERS",AND(F3892&gt;=6,G3892&lt;=2,H3892&gt;=3),"PROMISING",AND(F3892&gt;=3,G3892&gt;=3,H3892&gt;=3),"NEED ATTENTION",AND(F3892&lt;=4,G3892&gt;=6,H3892&gt;=6),"AT RISK",AND(F3892&lt;=2,G3892&gt;=8,H3892&gt;=8),"CAN'T LOSE THEM",AND(F3892&lt;=2,G3892&lt;=2,H3892&lt;=2),"HIBERNATING",TRUE(),"Other")</f>
        <v>NEED ATTENTION</v>
      </c>
      <c r="K3892" s="1" t="n">
        <f aca="false">RANK(E3892,$E$7:$E$4378)+COUNTIF($E$7:E3892,E3892)-1</f>
        <v>1839</v>
      </c>
    </row>
    <row r="3893" customFormat="false" ht="14.25" hidden="false" customHeight="true" outlineLevel="0" collapsed="false">
      <c r="A3893" s="51" t="n">
        <v>17625</v>
      </c>
      <c r="B3893" s="53" t="n">
        <v>40868.5666666667</v>
      </c>
      <c r="C3893" s="57" t="n">
        <f aca="false">INT($C$2)-INT(Table3[[#This Row],[Last Purchase Date]])</f>
        <v>19</v>
      </c>
      <c r="D3893" s="1" t="n">
        <v>4</v>
      </c>
      <c r="E3893" s="1" t="n">
        <v>2047</v>
      </c>
      <c r="F3893" s="1" t="n">
        <f aca="false">ROUND((1-_xlfn.PERCENTRANK.INC($C$7:$C$4378,C3893))*9,0)</f>
        <v>7</v>
      </c>
      <c r="G3893" s="1" t="n">
        <f aca="false">ROUND(_xlfn.PERCENTRANK.INC($D$7:$D$4378,D3893)*9,0)</f>
        <v>5</v>
      </c>
      <c r="H3893" s="1" t="n">
        <f aca="false">ROUND(_xlfn.PERCENTRANK.INC($E$7:$E$4378,E3893)*9,0)</f>
        <v>7</v>
      </c>
      <c r="I3893" s="1" t="str">
        <f aca="false">CONCATENATE(F3893,G3893,H3893)</f>
        <v>757</v>
      </c>
      <c r="J3893" s="1" t="str">
        <f aca="false">_xlfn.IFS(AND(F3893&gt;=8,G3893&gt;=8,H3893&gt;=8),"CHAMPION",AND(F3893&gt;=6,G3893&gt;=7,H3893&gt;=6),"LOYAL CUSTOMER",AND(F3893&gt;=6,G3893&gt;=5,H3893&gt;=5),"POTENTIAL LOYALIST",AND(F3893&gt;=8,G3893&lt;=2,H3893&gt;=5),"NEW CUSTOMERS",AND(F3893&gt;=6,G3893&lt;=2,H3893&gt;=3),"PROMISING",AND(F3893&gt;=3,G3893&gt;=3,H3893&gt;=3),"NEED ATTENTION",AND(F3893&lt;=4,G3893&gt;=6,H3893&gt;=6),"AT RISK",AND(F3893&lt;=2,G3893&gt;=8,H3893&gt;=8),"CAN'T LOSE THEM",AND(F3893&lt;=2,G3893&lt;=2,H3893&lt;=2),"HIBERNATING",TRUE(),"Other")</f>
        <v>POTENTIAL LOYALIST</v>
      </c>
      <c r="K3893" s="1" t="n">
        <f aca="false">RANK(E3893,$E$7:$E$4378)+COUNTIF($E$7:E3893,E3893)-1</f>
        <v>853</v>
      </c>
    </row>
    <row r="3894" customFormat="false" ht="14.25" hidden="false" customHeight="true" outlineLevel="0" collapsed="false">
      <c r="A3894" s="51" t="n">
        <v>17628</v>
      </c>
      <c r="B3894" s="53" t="n">
        <v>40805.6395833333</v>
      </c>
      <c r="C3894" s="57" t="n">
        <f aca="false">INT($C$2)-INT(Table3[[#This Row],[Last Purchase Date]])</f>
        <v>82</v>
      </c>
      <c r="D3894" s="1" t="n">
        <v>1</v>
      </c>
      <c r="E3894" s="1" t="n">
        <v>75.75</v>
      </c>
      <c r="F3894" s="1" t="n">
        <f aca="false">ROUND((1-_xlfn.PERCENTRANK.INC($C$7:$C$4378,C3894))*9,0)</f>
        <v>3</v>
      </c>
      <c r="G3894" s="1" t="n">
        <f aca="false">ROUND(_xlfn.PERCENTRANK.INC($D$7:$D$4378,D3894)*9,0)</f>
        <v>0</v>
      </c>
      <c r="H3894" s="1" t="n">
        <f aca="false">ROUND(_xlfn.PERCENTRANK.INC($E$7:$E$4378,E3894)*9,0)</f>
        <v>0</v>
      </c>
      <c r="I3894" s="1" t="str">
        <f aca="false">CONCATENATE(F3894,G3894,H3894)</f>
        <v>300</v>
      </c>
      <c r="J3894" s="1" t="str">
        <f aca="false">_xlfn.IFS(AND(F3894&gt;=8,G3894&gt;=8,H3894&gt;=8),"CHAMPION",AND(F3894&gt;=6,G3894&gt;=7,H3894&gt;=6),"LOYAL CUSTOMER",AND(F3894&gt;=6,G3894&gt;=5,H3894&gt;=5),"POTENTIAL LOYALIST",AND(F3894&gt;=8,G3894&lt;=2,H3894&gt;=5),"NEW CUSTOMERS",AND(F3894&gt;=6,G3894&lt;=2,H3894&gt;=3),"PROMISING",AND(F3894&gt;=3,G3894&gt;=3,H3894&gt;=3),"NEED ATTENTION",AND(F3894&lt;=4,G3894&gt;=6,H3894&gt;=6),"AT RISK",AND(F3894&lt;=2,G3894&gt;=8,H3894&gt;=8),"CAN'T LOSE THEM",AND(F3894&lt;=2,G3894&lt;=2,H3894&lt;=2),"HIBERNATING",TRUE(),"Other")</f>
        <v>Other</v>
      </c>
      <c r="K3894" s="1" t="n">
        <f aca="false">RANK(E3894,$E$7:$E$4378)+COUNTIF($E$7:E3894,E3894)-1</f>
        <v>4233</v>
      </c>
    </row>
    <row r="3895" customFormat="false" ht="14.25" hidden="false" customHeight="true" outlineLevel="0" collapsed="false">
      <c r="A3895" s="51" t="n">
        <v>17629</v>
      </c>
      <c r="B3895" s="53" t="n">
        <v>40881.4555555556</v>
      </c>
      <c r="C3895" s="57" t="n">
        <f aca="false">INT($C$2)-INT(Table3[[#This Row],[Last Purchase Date]])</f>
        <v>6</v>
      </c>
      <c r="D3895" s="1" t="n">
        <v>9</v>
      </c>
      <c r="E3895" s="1" t="n">
        <v>1784.12</v>
      </c>
      <c r="F3895" s="1" t="n">
        <f aca="false">ROUND((1-_xlfn.PERCENTRANK.INC($C$7:$C$4378,C3895))*9,0)</f>
        <v>8</v>
      </c>
      <c r="G3895" s="1" t="n">
        <f aca="false">ROUND(_xlfn.PERCENTRANK.INC($D$7:$D$4378,D3895)*9,0)</f>
        <v>8</v>
      </c>
      <c r="H3895" s="1" t="n">
        <f aca="false">ROUND(_xlfn.PERCENTRANK.INC($E$7:$E$4378,E3895)*9,0)</f>
        <v>7</v>
      </c>
      <c r="I3895" s="1" t="str">
        <f aca="false">CONCATENATE(F3895,G3895,H3895)</f>
        <v>887</v>
      </c>
      <c r="J3895" s="1" t="str">
        <f aca="false">_xlfn.IFS(AND(F3895&gt;=8,G3895&gt;=8,H3895&gt;=8),"CHAMPION",AND(F3895&gt;=6,G3895&gt;=7,H3895&gt;=6),"LOYAL CUSTOMER",AND(F3895&gt;=6,G3895&gt;=5,H3895&gt;=5),"POTENTIAL LOYALIST",AND(F3895&gt;=8,G3895&lt;=2,H3895&gt;=5),"NEW CUSTOMERS",AND(F3895&gt;=6,G3895&lt;=2,H3895&gt;=3),"PROMISING",AND(F3895&gt;=3,G3895&gt;=3,H3895&gt;=3),"NEED ATTENTION",AND(F3895&lt;=4,G3895&gt;=6,H3895&gt;=6),"AT RISK",AND(F3895&lt;=2,G3895&gt;=8,H3895&gt;=8),"CAN'T LOSE THEM",AND(F3895&lt;=2,G3895&lt;=2,H3895&lt;=2),"HIBERNATING",TRUE(),"Other")</f>
        <v>LOYAL CUSTOMER</v>
      </c>
      <c r="K3895" s="1" t="n">
        <f aca="false">RANK(E3895,$E$7:$E$4378)+COUNTIF($E$7:E3895,E3895)-1</f>
        <v>988</v>
      </c>
    </row>
    <row r="3896" customFormat="false" ht="14.25" hidden="false" customHeight="true" outlineLevel="0" collapsed="false">
      <c r="A3896" s="51" t="n">
        <v>17630</v>
      </c>
      <c r="B3896" s="53" t="n">
        <v>40717.4986111111</v>
      </c>
      <c r="C3896" s="57" t="n">
        <f aca="false">INT($C$2)-INT(Table3[[#This Row],[Last Purchase Date]])</f>
        <v>170</v>
      </c>
      <c r="D3896" s="1" t="n">
        <v>2</v>
      </c>
      <c r="E3896" s="1" t="n">
        <v>503.6</v>
      </c>
      <c r="F3896" s="1" t="n">
        <f aca="false">ROUND((1-_xlfn.PERCENTRANK.INC($C$7:$C$4378,C3896))*9,0)</f>
        <v>2</v>
      </c>
      <c r="G3896" s="1" t="n">
        <f aca="false">ROUND(_xlfn.PERCENTRANK.INC($D$7:$D$4378,D3896)*9,0)</f>
        <v>3</v>
      </c>
      <c r="H3896" s="1" t="n">
        <f aca="false">ROUND(_xlfn.PERCENTRANK.INC($E$7:$E$4378,E3896)*9,0)</f>
        <v>4</v>
      </c>
      <c r="I3896" s="1" t="str">
        <f aca="false">CONCATENATE(F3896,G3896,H3896)</f>
        <v>234</v>
      </c>
      <c r="J3896" s="1" t="str">
        <f aca="false">_xlfn.IFS(AND(F3896&gt;=8,G3896&gt;=8,H3896&gt;=8),"CHAMPION",AND(F3896&gt;=6,G3896&gt;=7,H3896&gt;=6),"LOYAL CUSTOMER",AND(F3896&gt;=6,G3896&gt;=5,H3896&gt;=5),"POTENTIAL LOYALIST",AND(F3896&gt;=8,G3896&lt;=2,H3896&gt;=5),"NEW CUSTOMERS",AND(F3896&gt;=6,G3896&lt;=2,H3896&gt;=3),"PROMISING",AND(F3896&gt;=3,G3896&gt;=3,H3896&gt;=3),"NEED ATTENTION",AND(F3896&lt;=4,G3896&gt;=6,H3896&gt;=6),"AT RISK",AND(F3896&lt;=2,G3896&gt;=8,H3896&gt;=8),"CAN'T LOSE THEM",AND(F3896&lt;=2,G3896&lt;=2,H3896&lt;=2),"HIBERNATING",TRUE(),"Other")</f>
        <v>Other</v>
      </c>
      <c r="K3896" s="1" t="n">
        <f aca="false">RANK(E3896,$E$7:$E$4378)+COUNTIF($E$7:E3896,E3896)-1</f>
        <v>2535</v>
      </c>
    </row>
    <row r="3897" customFormat="false" ht="14.25" hidden="false" customHeight="true" outlineLevel="0" collapsed="false">
      <c r="A3897" s="51" t="n">
        <v>17631</v>
      </c>
      <c r="B3897" s="53" t="n">
        <v>40885.4076388889</v>
      </c>
      <c r="C3897" s="57" t="n">
        <f aca="false">INT($C$2)-INT(Table3[[#This Row],[Last Purchase Date]])</f>
        <v>2</v>
      </c>
      <c r="D3897" s="1" t="n">
        <v>3</v>
      </c>
      <c r="E3897" s="1" t="n">
        <v>528.33</v>
      </c>
      <c r="F3897" s="1" t="n">
        <f aca="false">ROUND((1-_xlfn.PERCENTRANK.INC($C$7:$C$4378,C3897))*9,0)</f>
        <v>9</v>
      </c>
      <c r="G3897" s="1" t="n">
        <f aca="false">ROUND(_xlfn.PERCENTRANK.INC($D$7:$D$4378,D3897)*9,0)</f>
        <v>4</v>
      </c>
      <c r="H3897" s="1" t="n">
        <f aca="false">ROUND(_xlfn.PERCENTRANK.INC($E$7:$E$4378,E3897)*9,0)</f>
        <v>4</v>
      </c>
      <c r="I3897" s="1" t="str">
        <f aca="false">CONCATENATE(F3897,G3897,H3897)</f>
        <v>944</v>
      </c>
      <c r="J3897" s="1" t="str">
        <f aca="false">_xlfn.IFS(AND(F3897&gt;=8,G3897&gt;=8,H3897&gt;=8),"CHAMPION",AND(F3897&gt;=6,G3897&gt;=7,H3897&gt;=6),"LOYAL CUSTOMER",AND(F3897&gt;=6,G3897&gt;=5,H3897&gt;=5),"POTENTIAL LOYALIST",AND(F3897&gt;=8,G3897&lt;=2,H3897&gt;=5),"NEW CUSTOMERS",AND(F3897&gt;=6,G3897&lt;=2,H3897&gt;=3),"PROMISING",AND(F3897&gt;=3,G3897&gt;=3,H3897&gt;=3),"NEED ATTENTION",AND(F3897&lt;=4,G3897&gt;=6,H3897&gt;=6),"AT RISK",AND(F3897&lt;=2,G3897&gt;=8,H3897&gt;=8),"CAN'T LOSE THEM",AND(F3897&lt;=2,G3897&lt;=2,H3897&lt;=2),"HIBERNATING",TRUE(),"Other")</f>
        <v>NEED ATTENTION</v>
      </c>
      <c r="K3897" s="1" t="n">
        <f aca="false">RANK(E3897,$E$7:$E$4378)+COUNTIF($E$7:E3897,E3897)-1</f>
        <v>2485</v>
      </c>
    </row>
    <row r="3898" customFormat="false" ht="14.25" hidden="false" customHeight="true" outlineLevel="0" collapsed="false">
      <c r="A3898" s="51" t="n">
        <v>17633</v>
      </c>
      <c r="B3898" s="53" t="n">
        <v>40855.5590277778</v>
      </c>
      <c r="C3898" s="57" t="n">
        <f aca="false">INT($C$2)-INT(Table3[[#This Row],[Last Purchase Date]])</f>
        <v>32</v>
      </c>
      <c r="D3898" s="1" t="n">
        <v>6</v>
      </c>
      <c r="E3898" s="1" t="n">
        <v>1242.34</v>
      </c>
      <c r="F3898" s="1" t="n">
        <f aca="false">ROUND((1-_xlfn.PERCENTRANK.INC($C$7:$C$4378,C3898))*9,0)</f>
        <v>5</v>
      </c>
      <c r="G3898" s="1" t="n">
        <f aca="false">ROUND(_xlfn.PERCENTRANK.INC($D$7:$D$4378,D3898)*9,0)</f>
        <v>7</v>
      </c>
      <c r="H3898" s="1" t="n">
        <f aca="false">ROUND(_xlfn.PERCENTRANK.INC($E$7:$E$4378,E3898)*9,0)</f>
        <v>6</v>
      </c>
      <c r="I3898" s="1" t="str">
        <f aca="false">CONCATENATE(F3898,G3898,H3898)</f>
        <v>576</v>
      </c>
      <c r="J3898" s="1" t="str">
        <f aca="false">_xlfn.IFS(AND(F3898&gt;=8,G3898&gt;=8,H3898&gt;=8),"CHAMPION",AND(F3898&gt;=6,G3898&gt;=7,H3898&gt;=6),"LOYAL CUSTOMER",AND(F3898&gt;=6,G3898&gt;=5,H3898&gt;=5),"POTENTIAL LOYALIST",AND(F3898&gt;=8,G3898&lt;=2,H3898&gt;=5),"NEW CUSTOMERS",AND(F3898&gt;=6,G3898&lt;=2,H3898&gt;=3),"PROMISING",AND(F3898&gt;=3,G3898&gt;=3,H3898&gt;=3),"NEED ATTENTION",AND(F3898&lt;=4,G3898&gt;=6,H3898&gt;=6),"AT RISK",AND(F3898&lt;=2,G3898&gt;=8,H3898&gt;=8),"CAN'T LOSE THEM",AND(F3898&lt;=2,G3898&lt;=2,H3898&lt;=2),"HIBERNATING",TRUE(),"Other")</f>
        <v>NEED ATTENTION</v>
      </c>
      <c r="K3898" s="1" t="n">
        <f aca="false">RANK(E3898,$E$7:$E$4378)+COUNTIF($E$7:E3898,E3898)-1</f>
        <v>1383</v>
      </c>
    </row>
    <row r="3899" customFormat="false" ht="14.25" hidden="false" customHeight="true" outlineLevel="0" collapsed="false">
      <c r="A3899" s="51" t="n">
        <v>17634</v>
      </c>
      <c r="B3899" s="53" t="n">
        <v>40850.5479166667</v>
      </c>
      <c r="C3899" s="57" t="n">
        <f aca="false">INT($C$2)-INT(Table3[[#This Row],[Last Purchase Date]])</f>
        <v>37</v>
      </c>
      <c r="D3899" s="1" t="n">
        <v>9</v>
      </c>
      <c r="E3899" s="1" t="n">
        <v>2361.97</v>
      </c>
      <c r="F3899" s="1" t="n">
        <f aca="false">ROUND((1-_xlfn.PERCENTRANK.INC($C$7:$C$4378,C3899))*9,0)</f>
        <v>5</v>
      </c>
      <c r="G3899" s="1" t="n">
        <f aca="false">ROUND(_xlfn.PERCENTRANK.INC($D$7:$D$4378,D3899)*9,0)</f>
        <v>8</v>
      </c>
      <c r="H3899" s="1" t="n">
        <f aca="false">ROUND(_xlfn.PERCENTRANK.INC($E$7:$E$4378,E3899)*9,0)</f>
        <v>8</v>
      </c>
      <c r="I3899" s="1" t="str">
        <f aca="false">CONCATENATE(F3899,G3899,H3899)</f>
        <v>588</v>
      </c>
      <c r="J3899" s="1" t="str">
        <f aca="false">_xlfn.IFS(AND(F3899&gt;=8,G3899&gt;=8,H3899&gt;=8),"CHAMPION",AND(F3899&gt;=6,G3899&gt;=7,H3899&gt;=6),"LOYAL CUSTOMER",AND(F3899&gt;=6,G3899&gt;=5,H3899&gt;=5),"POTENTIAL LOYALIST",AND(F3899&gt;=8,G3899&lt;=2,H3899&gt;=5),"NEW CUSTOMERS",AND(F3899&gt;=6,G3899&lt;=2,H3899&gt;=3),"PROMISING",AND(F3899&gt;=3,G3899&gt;=3,H3899&gt;=3),"NEED ATTENTION",AND(F3899&lt;=4,G3899&gt;=6,H3899&gt;=6),"AT RISK",AND(F3899&lt;=2,G3899&gt;=8,H3899&gt;=8),"CAN'T LOSE THEM",AND(F3899&lt;=2,G3899&lt;=2,H3899&lt;=2),"HIBERNATING",TRUE(),"Other")</f>
        <v>NEED ATTENTION</v>
      </c>
      <c r="K3899" s="1" t="n">
        <f aca="false">RANK(E3899,$E$7:$E$4378)+COUNTIF($E$7:E3899,E3899)-1</f>
        <v>721</v>
      </c>
    </row>
    <row r="3900" customFormat="false" ht="14.25" hidden="false" customHeight="true" outlineLevel="0" collapsed="false">
      <c r="A3900" s="51" t="n">
        <v>17636</v>
      </c>
      <c r="B3900" s="53" t="n">
        <v>40878.3534722222</v>
      </c>
      <c r="C3900" s="57" t="n">
        <f aca="false">INT($C$2)-INT(Table3[[#This Row],[Last Purchase Date]])</f>
        <v>9</v>
      </c>
      <c r="D3900" s="1" t="n">
        <v>2</v>
      </c>
      <c r="E3900" s="1" t="n">
        <v>265.93</v>
      </c>
      <c r="F3900" s="1" t="n">
        <f aca="false">ROUND((1-_xlfn.PERCENTRANK.INC($C$7:$C$4378,C3900))*9,0)</f>
        <v>8</v>
      </c>
      <c r="G3900" s="1" t="n">
        <f aca="false">ROUND(_xlfn.PERCENTRANK.INC($D$7:$D$4378,D3900)*9,0)</f>
        <v>3</v>
      </c>
      <c r="H3900" s="1" t="n">
        <f aca="false">ROUND(_xlfn.PERCENTRANK.INC($E$7:$E$4378,E3900)*9,0)</f>
        <v>2</v>
      </c>
      <c r="I3900" s="1" t="str">
        <f aca="false">CONCATENATE(F3900,G3900,H3900)</f>
        <v>832</v>
      </c>
      <c r="J3900" s="1" t="str">
        <f aca="false">_xlfn.IFS(AND(F3900&gt;=8,G3900&gt;=8,H3900&gt;=8),"CHAMPION",AND(F3900&gt;=6,G3900&gt;=7,H3900&gt;=6),"LOYAL CUSTOMER",AND(F3900&gt;=6,G3900&gt;=5,H3900&gt;=5),"POTENTIAL LOYALIST",AND(F3900&gt;=8,G3900&lt;=2,H3900&gt;=5),"NEW CUSTOMERS",AND(F3900&gt;=6,G3900&lt;=2,H3900&gt;=3),"PROMISING",AND(F3900&gt;=3,G3900&gt;=3,H3900&gt;=3),"NEED ATTENTION",AND(F3900&lt;=4,G3900&gt;=6,H3900&gt;=6),"AT RISK",AND(F3900&lt;=2,G3900&gt;=8,H3900&gt;=8),"CAN'T LOSE THEM",AND(F3900&lt;=2,G3900&lt;=2,H3900&lt;=2),"HIBERNATING",TRUE(),"Other")</f>
        <v>Other</v>
      </c>
      <c r="K3900" s="1" t="n">
        <f aca="false">RANK(E3900,$E$7:$E$4378)+COUNTIF($E$7:E3900,E3900)-1</f>
        <v>3378</v>
      </c>
    </row>
    <row r="3901" customFormat="false" ht="14.25" hidden="false" customHeight="true" outlineLevel="0" collapsed="false">
      <c r="A3901" s="51" t="n">
        <v>17637</v>
      </c>
      <c r="B3901" s="53" t="n">
        <v>40855.5354166667</v>
      </c>
      <c r="C3901" s="57" t="n">
        <f aca="false">INT($C$2)-INT(Table3[[#This Row],[Last Purchase Date]])</f>
        <v>32</v>
      </c>
      <c r="D3901" s="1" t="n">
        <v>2</v>
      </c>
      <c r="E3901" s="1" t="n">
        <v>547.06</v>
      </c>
      <c r="F3901" s="1" t="n">
        <f aca="false">ROUND((1-_xlfn.PERCENTRANK.INC($C$7:$C$4378,C3901))*9,0)</f>
        <v>5</v>
      </c>
      <c r="G3901" s="1" t="n">
        <f aca="false">ROUND(_xlfn.PERCENTRANK.INC($D$7:$D$4378,D3901)*9,0)</f>
        <v>3</v>
      </c>
      <c r="H3901" s="1" t="n">
        <f aca="false">ROUND(_xlfn.PERCENTRANK.INC($E$7:$E$4378,E3901)*9,0)</f>
        <v>4</v>
      </c>
      <c r="I3901" s="1" t="str">
        <f aca="false">CONCATENATE(F3901,G3901,H3901)</f>
        <v>534</v>
      </c>
      <c r="J3901" s="1" t="str">
        <f aca="false">_xlfn.IFS(AND(F3901&gt;=8,G3901&gt;=8,H3901&gt;=8),"CHAMPION",AND(F3901&gt;=6,G3901&gt;=7,H3901&gt;=6),"LOYAL CUSTOMER",AND(F3901&gt;=6,G3901&gt;=5,H3901&gt;=5),"POTENTIAL LOYALIST",AND(F3901&gt;=8,G3901&lt;=2,H3901&gt;=5),"NEW CUSTOMERS",AND(F3901&gt;=6,G3901&lt;=2,H3901&gt;=3),"PROMISING",AND(F3901&gt;=3,G3901&gt;=3,H3901&gt;=3),"NEED ATTENTION",AND(F3901&lt;=4,G3901&gt;=6,H3901&gt;=6),"AT RISK",AND(F3901&lt;=2,G3901&gt;=8,H3901&gt;=8),"CAN'T LOSE THEM",AND(F3901&lt;=2,G3901&lt;=2,H3901&lt;=2),"HIBERNATING",TRUE(),"Other")</f>
        <v>NEED ATTENTION</v>
      </c>
      <c r="K3901" s="1" t="n">
        <f aca="false">RANK(E3901,$E$7:$E$4378)+COUNTIF($E$7:E3901,E3901)-1</f>
        <v>2436</v>
      </c>
    </row>
    <row r="3902" customFormat="false" ht="14.25" hidden="false" customHeight="true" outlineLevel="0" collapsed="false">
      <c r="A3902" s="51" t="n">
        <v>17639</v>
      </c>
      <c r="B3902" s="53" t="n">
        <v>40610.6402777778</v>
      </c>
      <c r="C3902" s="57" t="n">
        <f aca="false">INT($C$2)-INT(Table3[[#This Row],[Last Purchase Date]])</f>
        <v>277</v>
      </c>
      <c r="D3902" s="1" t="n">
        <v>1</v>
      </c>
      <c r="E3902" s="1" t="n">
        <v>108.5</v>
      </c>
      <c r="F3902" s="1" t="n">
        <f aca="false">ROUND((1-_xlfn.PERCENTRANK.INC($C$7:$C$4378,C3902))*9,0)</f>
        <v>1</v>
      </c>
      <c r="G3902" s="1" t="n">
        <f aca="false">ROUND(_xlfn.PERCENTRANK.INC($D$7:$D$4378,D3902)*9,0)</f>
        <v>0</v>
      </c>
      <c r="H3902" s="1" t="n">
        <f aca="false">ROUND(_xlfn.PERCENTRANK.INC($E$7:$E$4378,E3902)*9,0)</f>
        <v>1</v>
      </c>
      <c r="I3902" s="1" t="str">
        <f aca="false">CONCATENATE(F3902,G3902,H3902)</f>
        <v>101</v>
      </c>
      <c r="J3902" s="1" t="str">
        <f aca="false">_xlfn.IFS(AND(F3902&gt;=8,G3902&gt;=8,H3902&gt;=8),"CHAMPION",AND(F3902&gt;=6,G3902&gt;=7,H3902&gt;=6),"LOYAL CUSTOMER",AND(F3902&gt;=6,G3902&gt;=5,H3902&gt;=5),"POTENTIAL LOYALIST",AND(F3902&gt;=8,G3902&lt;=2,H3902&gt;=5),"NEW CUSTOMERS",AND(F3902&gt;=6,G3902&lt;=2,H3902&gt;=3),"PROMISING",AND(F3902&gt;=3,G3902&gt;=3,H3902&gt;=3),"NEED ATTENTION",AND(F3902&lt;=4,G3902&gt;=6,H3902&gt;=6),"AT RISK",AND(F3902&lt;=2,G3902&gt;=8,H3902&gt;=8),"CAN'T LOSE THEM",AND(F3902&lt;=2,G3902&lt;=2,H3902&lt;=2),"HIBERNATING",TRUE(),"Other")</f>
        <v>HIBERNATING</v>
      </c>
      <c r="K3902" s="1" t="n">
        <f aca="false">RANK(E3902,$E$7:$E$4378)+COUNTIF($E$7:E3902,E3902)-1</f>
        <v>4122</v>
      </c>
    </row>
    <row r="3903" customFormat="false" ht="14.25" hidden="false" customHeight="true" outlineLevel="0" collapsed="false">
      <c r="A3903" s="51" t="n">
        <v>17640</v>
      </c>
      <c r="B3903" s="53" t="n">
        <v>40800.3840277778</v>
      </c>
      <c r="C3903" s="57" t="n">
        <f aca="false">INT($C$2)-INT(Table3[[#This Row],[Last Purchase Date]])</f>
        <v>87</v>
      </c>
      <c r="D3903" s="1" t="n">
        <v>1</v>
      </c>
      <c r="E3903" s="1" t="n">
        <v>621.66</v>
      </c>
      <c r="F3903" s="1" t="n">
        <f aca="false">ROUND((1-_xlfn.PERCENTRANK.INC($C$7:$C$4378,C3903))*9,0)</f>
        <v>3</v>
      </c>
      <c r="G3903" s="1" t="n">
        <f aca="false">ROUND(_xlfn.PERCENTRANK.INC($D$7:$D$4378,D3903)*9,0)</f>
        <v>0</v>
      </c>
      <c r="H3903" s="1" t="n">
        <f aca="false">ROUND(_xlfn.PERCENTRANK.INC($E$7:$E$4378,E3903)*9,0)</f>
        <v>4</v>
      </c>
      <c r="I3903" s="1" t="str">
        <f aca="false">CONCATENATE(F3903,G3903,H3903)</f>
        <v>304</v>
      </c>
      <c r="J3903" s="1" t="str">
        <f aca="false">_xlfn.IFS(AND(F3903&gt;=8,G3903&gt;=8,H3903&gt;=8),"CHAMPION",AND(F3903&gt;=6,G3903&gt;=7,H3903&gt;=6),"LOYAL CUSTOMER",AND(F3903&gt;=6,G3903&gt;=5,H3903&gt;=5),"POTENTIAL LOYALIST",AND(F3903&gt;=8,G3903&lt;=2,H3903&gt;=5),"NEW CUSTOMERS",AND(F3903&gt;=6,G3903&lt;=2,H3903&gt;=3),"PROMISING",AND(F3903&gt;=3,G3903&gt;=3,H3903&gt;=3),"NEED ATTENTION",AND(F3903&lt;=4,G3903&gt;=6,H3903&gt;=6),"AT RISK",AND(F3903&lt;=2,G3903&gt;=8,H3903&gt;=8),"CAN'T LOSE THEM",AND(F3903&lt;=2,G3903&lt;=2,H3903&lt;=2),"HIBERNATING",TRUE(),"Other")</f>
        <v>Other</v>
      </c>
      <c r="K3903" s="1" t="n">
        <f aca="false">RANK(E3903,$E$7:$E$4378)+COUNTIF($E$7:E3903,E3903)-1</f>
        <v>2254</v>
      </c>
    </row>
    <row r="3904" customFormat="false" ht="14.25" hidden="false" customHeight="true" outlineLevel="0" collapsed="false">
      <c r="A3904" s="51" t="n">
        <v>17642</v>
      </c>
      <c r="B3904" s="53" t="n">
        <v>40767.3826388889</v>
      </c>
      <c r="C3904" s="57" t="n">
        <f aca="false">INT($C$2)-INT(Table3[[#This Row],[Last Purchase Date]])</f>
        <v>120</v>
      </c>
      <c r="D3904" s="1" t="n">
        <v>2</v>
      </c>
      <c r="E3904" s="1" t="n">
        <v>712.29</v>
      </c>
      <c r="F3904" s="1" t="n">
        <f aca="false">ROUND((1-_xlfn.PERCENTRANK.INC($C$7:$C$4378,C3904))*9,0)</f>
        <v>3</v>
      </c>
      <c r="G3904" s="1" t="n">
        <f aca="false">ROUND(_xlfn.PERCENTRANK.INC($D$7:$D$4378,D3904)*9,0)</f>
        <v>3</v>
      </c>
      <c r="H3904" s="1" t="n">
        <f aca="false">ROUND(_xlfn.PERCENTRANK.INC($E$7:$E$4378,E3904)*9,0)</f>
        <v>5</v>
      </c>
      <c r="I3904" s="1" t="str">
        <f aca="false">CONCATENATE(F3904,G3904,H3904)</f>
        <v>335</v>
      </c>
      <c r="J3904" s="1" t="str">
        <f aca="false">_xlfn.IFS(AND(F3904&gt;=8,G3904&gt;=8,H3904&gt;=8),"CHAMPION",AND(F3904&gt;=6,G3904&gt;=7,H3904&gt;=6),"LOYAL CUSTOMER",AND(F3904&gt;=6,G3904&gt;=5,H3904&gt;=5),"POTENTIAL LOYALIST",AND(F3904&gt;=8,G3904&lt;=2,H3904&gt;=5),"NEW CUSTOMERS",AND(F3904&gt;=6,G3904&lt;=2,H3904&gt;=3),"PROMISING",AND(F3904&gt;=3,G3904&gt;=3,H3904&gt;=3),"NEED ATTENTION",AND(F3904&lt;=4,G3904&gt;=6,H3904&gt;=6),"AT RISK",AND(F3904&lt;=2,G3904&gt;=8,H3904&gt;=8),"CAN'T LOSE THEM",AND(F3904&lt;=2,G3904&lt;=2,H3904&lt;=2),"HIBERNATING",TRUE(),"Other")</f>
        <v>NEED ATTENTION</v>
      </c>
      <c r="K3904" s="1" t="n">
        <f aca="false">RANK(E3904,$E$7:$E$4378)+COUNTIF($E$7:E3904,E3904)-1</f>
        <v>2042</v>
      </c>
    </row>
    <row r="3905" customFormat="false" ht="14.25" hidden="false" customHeight="true" outlineLevel="0" collapsed="false">
      <c r="A3905" s="51" t="n">
        <v>17643</v>
      </c>
      <c r="B3905" s="53" t="n">
        <v>40513.6097222222</v>
      </c>
      <c r="C3905" s="57" t="n">
        <f aca="false">INT($C$2)-INT(Table3[[#This Row],[Last Purchase Date]])</f>
        <v>374</v>
      </c>
      <c r="D3905" s="1" t="n">
        <v>1</v>
      </c>
      <c r="E3905" s="1" t="n">
        <v>101.55</v>
      </c>
      <c r="F3905" s="1" t="n">
        <f aca="false">ROUND((1-_xlfn.PERCENTRANK.INC($C$7:$C$4378,C3905))*9,0)</f>
        <v>0</v>
      </c>
      <c r="G3905" s="1" t="n">
        <f aca="false">ROUND(_xlfn.PERCENTRANK.INC($D$7:$D$4378,D3905)*9,0)</f>
        <v>0</v>
      </c>
      <c r="H3905" s="1" t="n">
        <f aca="false">ROUND(_xlfn.PERCENTRANK.INC($E$7:$E$4378,E3905)*9,0)</f>
        <v>0</v>
      </c>
      <c r="I3905" s="1" t="str">
        <f aca="false">CONCATENATE(F3905,G3905,H3905)</f>
        <v>000</v>
      </c>
      <c r="J3905" s="1" t="str">
        <f aca="false">_xlfn.IFS(AND(F3905&gt;=8,G3905&gt;=8,H3905&gt;=8),"CHAMPION",AND(F3905&gt;=6,G3905&gt;=7,H3905&gt;=6),"LOYAL CUSTOMER",AND(F3905&gt;=6,G3905&gt;=5,H3905&gt;=5),"POTENTIAL LOYALIST",AND(F3905&gt;=8,G3905&lt;=2,H3905&gt;=5),"NEW CUSTOMERS",AND(F3905&gt;=6,G3905&lt;=2,H3905&gt;=3),"PROMISING",AND(F3905&gt;=3,G3905&gt;=3,H3905&gt;=3),"NEED ATTENTION",AND(F3905&lt;=4,G3905&gt;=6,H3905&gt;=6),"AT RISK",AND(F3905&lt;=2,G3905&gt;=8,H3905&gt;=8),"CAN'T LOSE THEM",AND(F3905&lt;=2,G3905&lt;=2,H3905&lt;=2),"HIBERNATING",TRUE(),"Other")</f>
        <v>HIBERNATING</v>
      </c>
      <c r="K3905" s="1" t="n">
        <f aca="false">RANK(E3905,$E$7:$E$4378)+COUNTIF($E$7:E3905,E3905)-1</f>
        <v>4149</v>
      </c>
    </row>
    <row r="3906" customFormat="false" ht="14.25" hidden="false" customHeight="true" outlineLevel="0" collapsed="false">
      <c r="A3906" s="51" t="n">
        <v>17644</v>
      </c>
      <c r="B3906" s="53" t="n">
        <v>40885.5715277778</v>
      </c>
      <c r="C3906" s="57" t="n">
        <f aca="false">INT($C$2)-INT(Table3[[#This Row],[Last Purchase Date]])</f>
        <v>2</v>
      </c>
      <c r="D3906" s="1" t="n">
        <v>17</v>
      </c>
      <c r="E3906" s="1" t="n">
        <v>2768.98</v>
      </c>
      <c r="F3906" s="1" t="n">
        <f aca="false">ROUND((1-_xlfn.PERCENTRANK.INC($C$7:$C$4378,C3906))*9,0)</f>
        <v>9</v>
      </c>
      <c r="G3906" s="1" t="n">
        <f aca="false">ROUND(_xlfn.PERCENTRANK.INC($D$7:$D$4378,D3906)*9,0)</f>
        <v>9</v>
      </c>
      <c r="H3906" s="1" t="n">
        <f aca="false">ROUND(_xlfn.PERCENTRANK.INC($E$7:$E$4378,E3906)*9,0)</f>
        <v>8</v>
      </c>
      <c r="I3906" s="1" t="str">
        <f aca="false">CONCATENATE(F3906,G3906,H3906)</f>
        <v>998</v>
      </c>
      <c r="J3906" s="1" t="str">
        <f aca="false">_xlfn.IFS(AND(F3906&gt;=8,G3906&gt;=8,H3906&gt;=8),"CHAMPION",AND(F3906&gt;=6,G3906&gt;=7,H3906&gt;=6),"LOYAL CUSTOMER",AND(F3906&gt;=6,G3906&gt;=5,H3906&gt;=5),"POTENTIAL LOYALIST",AND(F3906&gt;=8,G3906&lt;=2,H3906&gt;=5),"NEW CUSTOMERS",AND(F3906&gt;=6,G3906&lt;=2,H3906&gt;=3),"PROMISING",AND(F3906&gt;=3,G3906&gt;=3,H3906&gt;=3),"NEED ATTENTION",AND(F3906&lt;=4,G3906&gt;=6,H3906&gt;=6),"AT RISK",AND(F3906&lt;=2,G3906&gt;=8,H3906&gt;=8),"CAN'T LOSE THEM",AND(F3906&lt;=2,G3906&lt;=2,H3906&lt;=2),"HIBERNATING",TRUE(),"Other")</f>
        <v>CHAMPION</v>
      </c>
      <c r="K3906" s="1" t="n">
        <f aca="false">RANK(E3906,$E$7:$E$4378)+COUNTIF($E$7:E3906,E3906)-1</f>
        <v>591</v>
      </c>
    </row>
    <row r="3907" customFormat="false" ht="14.25" hidden="false" customHeight="true" outlineLevel="0" collapsed="false">
      <c r="A3907" s="51" t="n">
        <v>17646</v>
      </c>
      <c r="B3907" s="53" t="n">
        <v>40667.5534722222</v>
      </c>
      <c r="C3907" s="57" t="n">
        <f aca="false">INT($C$2)-INT(Table3[[#This Row],[Last Purchase Date]])</f>
        <v>220</v>
      </c>
      <c r="D3907" s="1" t="n">
        <v>4</v>
      </c>
      <c r="E3907" s="1" t="n">
        <v>995.66</v>
      </c>
      <c r="F3907" s="1" t="n">
        <f aca="false">ROUND((1-_xlfn.PERCENTRANK.INC($C$7:$C$4378,C3907))*9,0)</f>
        <v>1</v>
      </c>
      <c r="G3907" s="1" t="n">
        <f aca="false">ROUND(_xlfn.PERCENTRANK.INC($D$7:$D$4378,D3907)*9,0)</f>
        <v>5</v>
      </c>
      <c r="H3907" s="1" t="n">
        <f aca="false">ROUND(_xlfn.PERCENTRANK.INC($E$7:$E$4378,E3907)*9,0)</f>
        <v>6</v>
      </c>
      <c r="I3907" s="1" t="str">
        <f aca="false">CONCATENATE(F3907,G3907,H3907)</f>
        <v>156</v>
      </c>
      <c r="J3907" s="1" t="str">
        <f aca="false">_xlfn.IFS(AND(F3907&gt;=8,G3907&gt;=8,H3907&gt;=8),"CHAMPION",AND(F3907&gt;=6,G3907&gt;=7,H3907&gt;=6),"LOYAL CUSTOMER",AND(F3907&gt;=6,G3907&gt;=5,H3907&gt;=5),"POTENTIAL LOYALIST",AND(F3907&gt;=8,G3907&lt;=2,H3907&gt;=5),"NEW CUSTOMERS",AND(F3907&gt;=6,G3907&lt;=2,H3907&gt;=3),"PROMISING",AND(F3907&gt;=3,G3907&gt;=3,H3907&gt;=3),"NEED ATTENTION",AND(F3907&lt;=4,G3907&gt;=6,H3907&gt;=6),"AT RISK",AND(F3907&lt;=2,G3907&gt;=8,H3907&gt;=8),"CAN'T LOSE THEM",AND(F3907&lt;=2,G3907&lt;=2,H3907&lt;=2),"HIBERNATING",TRUE(),"Other")</f>
        <v>Other</v>
      </c>
      <c r="K3907" s="1" t="n">
        <f aca="false">RANK(E3907,$E$7:$E$4378)+COUNTIF($E$7:E3907,E3907)-1</f>
        <v>1639</v>
      </c>
    </row>
    <row r="3908" customFormat="false" ht="14.25" hidden="false" customHeight="true" outlineLevel="0" collapsed="false">
      <c r="A3908" s="51" t="n">
        <v>17647</v>
      </c>
      <c r="B3908" s="53" t="n">
        <v>40821.6513888889</v>
      </c>
      <c r="C3908" s="57" t="n">
        <f aca="false">INT($C$2)-INT(Table3[[#This Row],[Last Purchase Date]])</f>
        <v>66</v>
      </c>
      <c r="D3908" s="1" t="n">
        <v>1</v>
      </c>
      <c r="E3908" s="1" t="n">
        <v>133.06</v>
      </c>
      <c r="F3908" s="1" t="n">
        <f aca="false">ROUND((1-_xlfn.PERCENTRANK.INC($C$7:$C$4378,C3908))*9,0)</f>
        <v>4</v>
      </c>
      <c r="G3908" s="1" t="n">
        <f aca="false">ROUND(_xlfn.PERCENTRANK.INC($D$7:$D$4378,D3908)*9,0)</f>
        <v>0</v>
      </c>
      <c r="H3908" s="1" t="n">
        <f aca="false">ROUND(_xlfn.PERCENTRANK.INC($E$7:$E$4378,E3908)*9,0)</f>
        <v>1</v>
      </c>
      <c r="I3908" s="1" t="str">
        <f aca="false">CONCATENATE(F3908,G3908,H3908)</f>
        <v>401</v>
      </c>
      <c r="J3908" s="1" t="str">
        <f aca="false">_xlfn.IFS(AND(F3908&gt;=8,G3908&gt;=8,H3908&gt;=8),"CHAMPION",AND(F3908&gt;=6,G3908&gt;=7,H3908&gt;=6),"LOYAL CUSTOMER",AND(F3908&gt;=6,G3908&gt;=5,H3908&gt;=5),"POTENTIAL LOYALIST",AND(F3908&gt;=8,G3908&lt;=2,H3908&gt;=5),"NEW CUSTOMERS",AND(F3908&gt;=6,G3908&lt;=2,H3908&gt;=3),"PROMISING",AND(F3908&gt;=3,G3908&gt;=3,H3908&gt;=3),"NEED ATTENTION",AND(F3908&lt;=4,G3908&gt;=6,H3908&gt;=6),"AT RISK",AND(F3908&lt;=2,G3908&gt;=8,H3908&gt;=8),"CAN'T LOSE THEM",AND(F3908&lt;=2,G3908&lt;=2,H3908&lt;=2),"HIBERNATING",TRUE(),"Other")</f>
        <v>Other</v>
      </c>
      <c r="K3908" s="1" t="n">
        <f aca="false">RANK(E3908,$E$7:$E$4378)+COUNTIF($E$7:E3908,E3908)-1</f>
        <v>3999</v>
      </c>
    </row>
    <row r="3909" customFormat="false" ht="14.25" hidden="false" customHeight="true" outlineLevel="0" collapsed="false">
      <c r="A3909" s="51" t="n">
        <v>17648</v>
      </c>
      <c r="B3909" s="53" t="n">
        <v>40826.4034722222</v>
      </c>
      <c r="C3909" s="57" t="n">
        <f aca="false">INT($C$2)-INT(Table3[[#This Row],[Last Purchase Date]])</f>
        <v>61</v>
      </c>
      <c r="D3909" s="1" t="n">
        <v>5</v>
      </c>
      <c r="E3909" s="1" t="n">
        <v>1789.55</v>
      </c>
      <c r="F3909" s="1" t="n">
        <f aca="false">ROUND((1-_xlfn.PERCENTRANK.INC($C$7:$C$4378,C3909))*9,0)</f>
        <v>4</v>
      </c>
      <c r="G3909" s="1" t="n">
        <f aca="false">ROUND(_xlfn.PERCENTRANK.INC($D$7:$D$4378,D3909)*9,0)</f>
        <v>6</v>
      </c>
      <c r="H3909" s="1" t="n">
        <f aca="false">ROUND(_xlfn.PERCENTRANK.INC($E$7:$E$4378,E3909)*9,0)</f>
        <v>7</v>
      </c>
      <c r="I3909" s="1" t="str">
        <f aca="false">CONCATENATE(F3909,G3909,H3909)</f>
        <v>467</v>
      </c>
      <c r="J3909" s="1" t="str">
        <f aca="false">_xlfn.IFS(AND(F3909&gt;=8,G3909&gt;=8,H3909&gt;=8),"CHAMPION",AND(F3909&gt;=6,G3909&gt;=7,H3909&gt;=6),"LOYAL CUSTOMER",AND(F3909&gt;=6,G3909&gt;=5,H3909&gt;=5),"POTENTIAL LOYALIST",AND(F3909&gt;=8,G3909&lt;=2,H3909&gt;=5),"NEW CUSTOMERS",AND(F3909&gt;=6,G3909&lt;=2,H3909&gt;=3),"PROMISING",AND(F3909&gt;=3,G3909&gt;=3,H3909&gt;=3),"NEED ATTENTION",AND(F3909&lt;=4,G3909&gt;=6,H3909&gt;=6),"AT RISK",AND(F3909&lt;=2,G3909&gt;=8,H3909&gt;=8),"CAN'T LOSE THEM",AND(F3909&lt;=2,G3909&lt;=2,H3909&lt;=2),"HIBERNATING",TRUE(),"Other")</f>
        <v>NEED ATTENTION</v>
      </c>
      <c r="K3909" s="1" t="n">
        <f aca="false">RANK(E3909,$E$7:$E$4378)+COUNTIF($E$7:E3909,E3909)-1</f>
        <v>982</v>
      </c>
    </row>
    <row r="3910" customFormat="false" ht="14.25" hidden="false" customHeight="true" outlineLevel="0" collapsed="false">
      <c r="A3910" s="51" t="n">
        <v>17649</v>
      </c>
      <c r="B3910" s="53" t="n">
        <v>40752.4513888889</v>
      </c>
      <c r="C3910" s="57" t="n">
        <f aca="false">INT($C$2)-INT(Table3[[#This Row],[Last Purchase Date]])</f>
        <v>135</v>
      </c>
      <c r="D3910" s="1" t="n">
        <v>2</v>
      </c>
      <c r="E3910" s="1" t="n">
        <v>861.74</v>
      </c>
      <c r="F3910" s="1" t="n">
        <f aca="false">ROUND((1-_xlfn.PERCENTRANK.INC($C$7:$C$4378,C3910))*9,0)</f>
        <v>2</v>
      </c>
      <c r="G3910" s="1" t="n">
        <f aca="false">ROUND(_xlfn.PERCENTRANK.INC($D$7:$D$4378,D3910)*9,0)</f>
        <v>3</v>
      </c>
      <c r="H3910" s="1" t="n">
        <f aca="false">ROUND(_xlfn.PERCENTRANK.INC($E$7:$E$4378,E3910)*9,0)</f>
        <v>5</v>
      </c>
      <c r="I3910" s="1" t="str">
        <f aca="false">CONCATENATE(F3910,G3910,H3910)</f>
        <v>235</v>
      </c>
      <c r="J3910" s="1" t="str">
        <f aca="false">_xlfn.IFS(AND(F3910&gt;=8,G3910&gt;=8,H3910&gt;=8),"CHAMPION",AND(F3910&gt;=6,G3910&gt;=7,H3910&gt;=6),"LOYAL CUSTOMER",AND(F3910&gt;=6,G3910&gt;=5,H3910&gt;=5),"POTENTIAL LOYALIST",AND(F3910&gt;=8,G3910&lt;=2,H3910&gt;=5),"NEW CUSTOMERS",AND(F3910&gt;=6,G3910&lt;=2,H3910&gt;=3),"PROMISING",AND(F3910&gt;=3,G3910&gt;=3,H3910&gt;=3),"NEED ATTENTION",AND(F3910&lt;=4,G3910&gt;=6,H3910&gt;=6),"AT RISK",AND(F3910&lt;=2,G3910&gt;=8,H3910&gt;=8),"CAN'T LOSE THEM",AND(F3910&lt;=2,G3910&lt;=2,H3910&lt;=2),"HIBERNATING",TRUE(),"Other")</f>
        <v>Other</v>
      </c>
      <c r="K3910" s="1" t="n">
        <f aca="false">RANK(E3910,$E$7:$E$4378)+COUNTIF($E$7:E3910,E3910)-1</f>
        <v>1815</v>
      </c>
    </row>
    <row r="3911" customFormat="false" ht="14.25" hidden="false" customHeight="true" outlineLevel="0" collapsed="false">
      <c r="A3911" s="51" t="n">
        <v>17650</v>
      </c>
      <c r="B3911" s="53" t="n">
        <v>40865.6194444444</v>
      </c>
      <c r="C3911" s="57" t="n">
        <f aca="false">INT($C$2)-INT(Table3[[#This Row],[Last Purchase Date]])</f>
        <v>22</v>
      </c>
      <c r="D3911" s="1" t="n">
        <v>1</v>
      </c>
      <c r="E3911" s="1" t="n">
        <v>166.08</v>
      </c>
      <c r="F3911" s="1" t="n">
        <f aca="false">ROUND((1-_xlfn.PERCENTRANK.INC($C$7:$C$4378,C3911))*9,0)</f>
        <v>6</v>
      </c>
      <c r="G3911" s="1" t="n">
        <f aca="false">ROUND(_xlfn.PERCENTRANK.INC($D$7:$D$4378,D3911)*9,0)</f>
        <v>0</v>
      </c>
      <c r="H3911" s="1" t="n">
        <f aca="false">ROUND(_xlfn.PERCENTRANK.INC($E$7:$E$4378,E3911)*9,0)</f>
        <v>1</v>
      </c>
      <c r="I3911" s="1" t="str">
        <f aca="false">CONCATENATE(F3911,G3911,H3911)</f>
        <v>601</v>
      </c>
      <c r="J3911" s="1" t="str">
        <f aca="false">_xlfn.IFS(AND(F3911&gt;=8,G3911&gt;=8,H3911&gt;=8),"CHAMPION",AND(F3911&gt;=6,G3911&gt;=7,H3911&gt;=6),"LOYAL CUSTOMER",AND(F3911&gt;=6,G3911&gt;=5,H3911&gt;=5),"POTENTIAL LOYALIST",AND(F3911&gt;=8,G3911&lt;=2,H3911&gt;=5),"NEW CUSTOMERS",AND(F3911&gt;=6,G3911&lt;=2,H3911&gt;=3),"PROMISING",AND(F3911&gt;=3,G3911&gt;=3,H3911&gt;=3),"NEED ATTENTION",AND(F3911&lt;=4,G3911&gt;=6,H3911&gt;=6),"AT RISK",AND(F3911&lt;=2,G3911&gt;=8,H3911&gt;=8),"CAN'T LOSE THEM",AND(F3911&lt;=2,G3911&lt;=2,H3911&lt;=2),"HIBERNATING",TRUE(),"Other")</f>
        <v>Other</v>
      </c>
      <c r="K3911" s="1" t="n">
        <f aca="false">RANK(E3911,$E$7:$E$4378)+COUNTIF($E$7:E3911,E3911)-1</f>
        <v>3826</v>
      </c>
    </row>
    <row r="3912" customFormat="false" ht="14.25" hidden="false" customHeight="true" outlineLevel="0" collapsed="false">
      <c r="A3912" s="51" t="n">
        <v>17651</v>
      </c>
      <c r="B3912" s="53" t="n">
        <v>40875.4368055556</v>
      </c>
      <c r="C3912" s="57" t="n">
        <f aca="false">INT($C$2)-INT(Table3[[#This Row],[Last Purchase Date]])</f>
        <v>12</v>
      </c>
      <c r="D3912" s="1" t="n">
        <v>14</v>
      </c>
      <c r="E3912" s="1" t="n">
        <v>3886.67</v>
      </c>
      <c r="F3912" s="1" t="n">
        <f aca="false">ROUND((1-_xlfn.PERCENTRANK.INC($C$7:$C$4378,C3912))*9,0)</f>
        <v>7</v>
      </c>
      <c r="G3912" s="1" t="n">
        <f aca="false">ROUND(_xlfn.PERCENTRANK.INC($D$7:$D$4378,D3912)*9,0)</f>
        <v>8</v>
      </c>
      <c r="H3912" s="1" t="n">
        <f aca="false">ROUND(_xlfn.PERCENTRANK.INC($E$7:$E$4378,E3912)*9,0)</f>
        <v>8</v>
      </c>
      <c r="I3912" s="1" t="str">
        <f aca="false">CONCATENATE(F3912,G3912,H3912)</f>
        <v>788</v>
      </c>
      <c r="J3912" s="1" t="str">
        <f aca="false">_xlfn.IFS(AND(F3912&gt;=8,G3912&gt;=8,H3912&gt;=8),"CHAMPION",AND(F3912&gt;=6,G3912&gt;=7,H3912&gt;=6),"LOYAL CUSTOMER",AND(F3912&gt;=6,G3912&gt;=5,H3912&gt;=5),"POTENTIAL LOYALIST",AND(F3912&gt;=8,G3912&lt;=2,H3912&gt;=5),"NEW CUSTOMERS",AND(F3912&gt;=6,G3912&lt;=2,H3912&gt;=3),"PROMISING",AND(F3912&gt;=3,G3912&gt;=3,H3912&gt;=3),"NEED ATTENTION",AND(F3912&lt;=4,G3912&gt;=6,H3912&gt;=6),"AT RISK",AND(F3912&lt;=2,G3912&gt;=8,H3912&gt;=8),"CAN'T LOSE THEM",AND(F3912&lt;=2,G3912&lt;=2,H3912&lt;=2),"HIBERNATING",TRUE(),"Other")</f>
        <v>LOYAL CUSTOMER</v>
      </c>
      <c r="K3912" s="1" t="n">
        <f aca="false">RANK(E3912,$E$7:$E$4378)+COUNTIF($E$7:E3912,E3912)-1</f>
        <v>370</v>
      </c>
    </row>
    <row r="3913" customFormat="false" ht="14.25" hidden="false" customHeight="true" outlineLevel="0" collapsed="false">
      <c r="A3913" s="51" t="n">
        <v>17652</v>
      </c>
      <c r="B3913" s="53" t="n">
        <v>40861.5381944445</v>
      </c>
      <c r="C3913" s="57" t="n">
        <f aca="false">INT($C$2)-INT(Table3[[#This Row],[Last Purchase Date]])</f>
        <v>26</v>
      </c>
      <c r="D3913" s="1" t="n">
        <v>18</v>
      </c>
      <c r="E3913" s="1" t="n">
        <v>4737.13</v>
      </c>
      <c r="F3913" s="1" t="n">
        <f aca="false">ROUND((1-_xlfn.PERCENTRANK.INC($C$7:$C$4378,C3913))*9,0)</f>
        <v>6</v>
      </c>
      <c r="G3913" s="1" t="n">
        <f aca="false">ROUND(_xlfn.PERCENTRANK.INC($D$7:$D$4378,D3913)*9,0)</f>
        <v>9</v>
      </c>
      <c r="H3913" s="1" t="n">
        <f aca="false">ROUND(_xlfn.PERCENTRANK.INC($E$7:$E$4378,E3913)*9,0)</f>
        <v>8</v>
      </c>
      <c r="I3913" s="1" t="str">
        <f aca="false">CONCATENATE(F3913,G3913,H3913)</f>
        <v>698</v>
      </c>
      <c r="J3913" s="1" t="str">
        <f aca="false">_xlfn.IFS(AND(F3913&gt;=8,G3913&gt;=8,H3913&gt;=8),"CHAMPION",AND(F3913&gt;=6,G3913&gt;=7,H3913&gt;=6),"LOYAL CUSTOMER",AND(F3913&gt;=6,G3913&gt;=5,H3913&gt;=5),"POTENTIAL LOYALIST",AND(F3913&gt;=8,G3913&lt;=2,H3913&gt;=5),"NEW CUSTOMERS",AND(F3913&gt;=6,G3913&lt;=2,H3913&gt;=3),"PROMISING",AND(F3913&gt;=3,G3913&gt;=3,H3913&gt;=3),"NEED ATTENTION",AND(F3913&lt;=4,G3913&gt;=6,H3913&gt;=6),"AT RISK",AND(F3913&lt;=2,G3913&gt;=8,H3913&gt;=8),"CAN'T LOSE THEM",AND(F3913&lt;=2,G3913&lt;=2,H3913&lt;=2),"HIBERNATING",TRUE(),"Other")</f>
        <v>LOYAL CUSTOMER</v>
      </c>
      <c r="K3913" s="1" t="n">
        <f aca="false">RANK(E3913,$E$7:$E$4378)+COUNTIF($E$7:E3913,E3913)-1</f>
        <v>282</v>
      </c>
    </row>
    <row r="3914" customFormat="false" ht="14.25" hidden="false" customHeight="true" outlineLevel="0" collapsed="false">
      <c r="A3914" s="51" t="n">
        <v>17653</v>
      </c>
      <c r="B3914" s="53" t="n">
        <v>40857.6013888889</v>
      </c>
      <c r="C3914" s="57" t="n">
        <f aca="false">INT($C$2)-INT(Table3[[#This Row],[Last Purchase Date]])</f>
        <v>30</v>
      </c>
      <c r="D3914" s="1" t="n">
        <v>5</v>
      </c>
      <c r="E3914" s="1" t="n">
        <v>1175.88</v>
      </c>
      <c r="F3914" s="1" t="n">
        <f aca="false">ROUND((1-_xlfn.PERCENTRANK.INC($C$7:$C$4378,C3914))*9,0)</f>
        <v>6</v>
      </c>
      <c r="G3914" s="1" t="n">
        <f aca="false">ROUND(_xlfn.PERCENTRANK.INC($D$7:$D$4378,D3914)*9,0)</f>
        <v>6</v>
      </c>
      <c r="H3914" s="1" t="n">
        <f aca="false">ROUND(_xlfn.PERCENTRANK.INC($E$7:$E$4378,E3914)*9,0)</f>
        <v>6</v>
      </c>
      <c r="I3914" s="1" t="str">
        <f aca="false">CONCATENATE(F3914,G3914,H3914)</f>
        <v>666</v>
      </c>
      <c r="J3914" s="1" t="str">
        <f aca="false">_xlfn.IFS(AND(F3914&gt;=8,G3914&gt;=8,H3914&gt;=8),"CHAMPION",AND(F3914&gt;=6,G3914&gt;=7,H3914&gt;=6),"LOYAL CUSTOMER",AND(F3914&gt;=6,G3914&gt;=5,H3914&gt;=5),"POTENTIAL LOYALIST",AND(F3914&gt;=8,G3914&lt;=2,H3914&gt;=5),"NEW CUSTOMERS",AND(F3914&gt;=6,G3914&lt;=2,H3914&gt;=3),"PROMISING",AND(F3914&gt;=3,G3914&gt;=3,H3914&gt;=3),"NEED ATTENTION",AND(F3914&lt;=4,G3914&gt;=6,H3914&gt;=6),"AT RISK",AND(F3914&lt;=2,G3914&gt;=8,H3914&gt;=8),"CAN'T LOSE THEM",AND(F3914&lt;=2,G3914&lt;=2,H3914&lt;=2),"HIBERNATING",TRUE(),"Other")</f>
        <v>POTENTIAL LOYALIST</v>
      </c>
      <c r="K3914" s="1" t="n">
        <f aca="false">RANK(E3914,$E$7:$E$4378)+COUNTIF($E$7:E3914,E3914)-1</f>
        <v>1428</v>
      </c>
    </row>
    <row r="3915" customFormat="false" ht="14.25" hidden="false" customHeight="true" outlineLevel="0" collapsed="false">
      <c r="A3915" s="51" t="n">
        <v>17654</v>
      </c>
      <c r="B3915" s="53" t="n">
        <v>40609.5534722222</v>
      </c>
      <c r="C3915" s="57" t="n">
        <f aca="false">INT($C$2)-INT(Table3[[#This Row],[Last Purchase Date]])</f>
        <v>278</v>
      </c>
      <c r="D3915" s="1" t="n">
        <v>1</v>
      </c>
      <c r="E3915" s="1" t="n">
        <v>117.55</v>
      </c>
      <c r="F3915" s="1" t="n">
        <f aca="false">ROUND((1-_xlfn.PERCENTRANK.INC($C$7:$C$4378,C3915))*9,0)</f>
        <v>1</v>
      </c>
      <c r="G3915" s="1" t="n">
        <f aca="false">ROUND(_xlfn.PERCENTRANK.INC($D$7:$D$4378,D3915)*9,0)</f>
        <v>0</v>
      </c>
      <c r="H3915" s="1" t="n">
        <f aca="false">ROUND(_xlfn.PERCENTRANK.INC($E$7:$E$4378,E3915)*9,0)</f>
        <v>1</v>
      </c>
      <c r="I3915" s="1" t="str">
        <f aca="false">CONCATENATE(F3915,G3915,H3915)</f>
        <v>101</v>
      </c>
      <c r="J3915" s="1" t="str">
        <f aca="false">_xlfn.IFS(AND(F3915&gt;=8,G3915&gt;=8,H3915&gt;=8),"CHAMPION",AND(F3915&gt;=6,G3915&gt;=7,H3915&gt;=6),"LOYAL CUSTOMER",AND(F3915&gt;=6,G3915&gt;=5,H3915&gt;=5),"POTENTIAL LOYALIST",AND(F3915&gt;=8,G3915&lt;=2,H3915&gt;=5),"NEW CUSTOMERS",AND(F3915&gt;=6,G3915&lt;=2,H3915&gt;=3),"PROMISING",AND(F3915&gt;=3,G3915&gt;=3,H3915&gt;=3),"NEED ATTENTION",AND(F3915&lt;=4,G3915&gt;=6,H3915&gt;=6),"AT RISK",AND(F3915&lt;=2,G3915&gt;=8,H3915&gt;=8),"CAN'T LOSE THEM",AND(F3915&lt;=2,G3915&lt;=2,H3915&lt;=2),"HIBERNATING",TRUE(),"Other")</f>
        <v>HIBERNATING</v>
      </c>
      <c r="K3915" s="1" t="n">
        <f aca="false">RANK(E3915,$E$7:$E$4378)+COUNTIF($E$7:E3915,E3915)-1</f>
        <v>4061</v>
      </c>
    </row>
    <row r="3916" customFormat="false" ht="14.25" hidden="false" customHeight="true" outlineLevel="0" collapsed="false">
      <c r="A3916" s="51" t="n">
        <v>17655</v>
      </c>
      <c r="B3916" s="53" t="n">
        <v>40876.4819444444</v>
      </c>
      <c r="C3916" s="57" t="n">
        <f aca="false">INT($C$2)-INT(Table3[[#This Row],[Last Purchase Date]])</f>
        <v>11</v>
      </c>
      <c r="D3916" s="1" t="n">
        <v>8</v>
      </c>
      <c r="E3916" s="1" t="n">
        <v>2571.74</v>
      </c>
      <c r="F3916" s="1" t="n">
        <f aca="false">ROUND((1-_xlfn.PERCENTRANK.INC($C$7:$C$4378,C3916))*9,0)</f>
        <v>7</v>
      </c>
      <c r="G3916" s="1" t="n">
        <f aca="false">ROUND(_xlfn.PERCENTRANK.INC($D$7:$D$4378,D3916)*9,0)</f>
        <v>7</v>
      </c>
      <c r="H3916" s="1" t="n">
        <f aca="false">ROUND(_xlfn.PERCENTRANK.INC($E$7:$E$4378,E3916)*9,0)</f>
        <v>8</v>
      </c>
      <c r="I3916" s="1" t="str">
        <f aca="false">CONCATENATE(F3916,G3916,H3916)</f>
        <v>778</v>
      </c>
      <c r="J3916" s="1" t="str">
        <f aca="false">_xlfn.IFS(AND(F3916&gt;=8,G3916&gt;=8,H3916&gt;=8),"CHAMPION",AND(F3916&gt;=6,G3916&gt;=7,H3916&gt;=6),"LOYAL CUSTOMER",AND(F3916&gt;=6,G3916&gt;=5,H3916&gt;=5),"POTENTIAL LOYALIST",AND(F3916&gt;=8,G3916&lt;=2,H3916&gt;=5),"NEW CUSTOMERS",AND(F3916&gt;=6,G3916&lt;=2,H3916&gt;=3),"PROMISING",AND(F3916&gt;=3,G3916&gt;=3,H3916&gt;=3),"NEED ATTENTION",AND(F3916&lt;=4,G3916&gt;=6,H3916&gt;=6),"AT RISK",AND(F3916&lt;=2,G3916&gt;=8,H3916&gt;=8),"CAN'T LOSE THEM",AND(F3916&lt;=2,G3916&lt;=2,H3916&lt;=2),"HIBERNATING",TRUE(),"Other")</f>
        <v>LOYAL CUSTOMER</v>
      </c>
      <c r="K3916" s="1" t="n">
        <f aca="false">RANK(E3916,$E$7:$E$4378)+COUNTIF($E$7:E3916,E3916)-1</f>
        <v>660</v>
      </c>
    </row>
    <row r="3917" customFormat="false" ht="14.25" hidden="false" customHeight="true" outlineLevel="0" collapsed="false">
      <c r="A3917" s="51" t="n">
        <v>17656</v>
      </c>
      <c r="B3917" s="53" t="n">
        <v>40813.5444444444</v>
      </c>
      <c r="C3917" s="57" t="n">
        <f aca="false">INT($C$2)-INT(Table3[[#This Row],[Last Purchase Date]])</f>
        <v>74</v>
      </c>
      <c r="D3917" s="1" t="n">
        <v>5</v>
      </c>
      <c r="E3917" s="1" t="n">
        <v>1674.69</v>
      </c>
      <c r="F3917" s="1" t="n">
        <f aca="false">ROUND((1-_xlfn.PERCENTRANK.INC($C$7:$C$4378,C3917))*9,0)</f>
        <v>3</v>
      </c>
      <c r="G3917" s="1" t="n">
        <f aca="false">ROUND(_xlfn.PERCENTRANK.INC($D$7:$D$4378,D3917)*9,0)</f>
        <v>6</v>
      </c>
      <c r="H3917" s="1" t="n">
        <f aca="false">ROUND(_xlfn.PERCENTRANK.INC($E$7:$E$4378,E3917)*9,0)</f>
        <v>7</v>
      </c>
      <c r="I3917" s="1" t="str">
        <f aca="false">CONCATENATE(F3917,G3917,H3917)</f>
        <v>367</v>
      </c>
      <c r="J3917" s="1" t="str">
        <f aca="false">_xlfn.IFS(AND(F3917&gt;=8,G3917&gt;=8,H3917&gt;=8),"CHAMPION",AND(F3917&gt;=6,G3917&gt;=7,H3917&gt;=6),"LOYAL CUSTOMER",AND(F3917&gt;=6,G3917&gt;=5,H3917&gt;=5),"POTENTIAL LOYALIST",AND(F3917&gt;=8,G3917&lt;=2,H3917&gt;=5),"NEW CUSTOMERS",AND(F3917&gt;=6,G3917&lt;=2,H3917&gt;=3),"PROMISING",AND(F3917&gt;=3,G3917&gt;=3,H3917&gt;=3),"NEED ATTENTION",AND(F3917&lt;=4,G3917&gt;=6,H3917&gt;=6),"AT RISK",AND(F3917&lt;=2,G3917&gt;=8,H3917&gt;=8),"CAN'T LOSE THEM",AND(F3917&lt;=2,G3917&lt;=2,H3917&lt;=2),"HIBERNATING",TRUE(),"Other")</f>
        <v>NEED ATTENTION</v>
      </c>
      <c r="K3917" s="1" t="n">
        <f aca="false">RANK(E3917,$E$7:$E$4378)+COUNTIF($E$7:E3917,E3917)-1</f>
        <v>1054</v>
      </c>
    </row>
    <row r="3918" customFormat="false" ht="14.25" hidden="false" customHeight="true" outlineLevel="0" collapsed="false">
      <c r="A3918" s="51" t="n">
        <v>17658</v>
      </c>
      <c r="B3918" s="53" t="n">
        <v>40876.4909722222</v>
      </c>
      <c r="C3918" s="57" t="n">
        <f aca="false">INT($C$2)-INT(Table3[[#This Row],[Last Purchase Date]])</f>
        <v>11</v>
      </c>
      <c r="D3918" s="1" t="n">
        <v>3</v>
      </c>
      <c r="E3918" s="1" t="n">
        <v>485.88</v>
      </c>
      <c r="F3918" s="1" t="n">
        <f aca="false">ROUND((1-_xlfn.PERCENTRANK.INC($C$7:$C$4378,C3918))*9,0)</f>
        <v>7</v>
      </c>
      <c r="G3918" s="1" t="n">
        <f aca="false">ROUND(_xlfn.PERCENTRANK.INC($D$7:$D$4378,D3918)*9,0)</f>
        <v>4</v>
      </c>
      <c r="H3918" s="1" t="n">
        <f aca="false">ROUND(_xlfn.PERCENTRANK.INC($E$7:$E$4378,E3918)*9,0)</f>
        <v>4</v>
      </c>
      <c r="I3918" s="1" t="str">
        <f aca="false">CONCATENATE(F3918,G3918,H3918)</f>
        <v>744</v>
      </c>
      <c r="J3918" s="1" t="str">
        <f aca="false">_xlfn.IFS(AND(F3918&gt;=8,G3918&gt;=8,H3918&gt;=8),"CHAMPION",AND(F3918&gt;=6,G3918&gt;=7,H3918&gt;=6),"LOYAL CUSTOMER",AND(F3918&gt;=6,G3918&gt;=5,H3918&gt;=5),"POTENTIAL LOYALIST",AND(F3918&gt;=8,G3918&lt;=2,H3918&gt;=5),"NEW CUSTOMERS",AND(F3918&gt;=6,G3918&lt;=2,H3918&gt;=3),"PROMISING",AND(F3918&gt;=3,G3918&gt;=3,H3918&gt;=3),"NEED ATTENTION",AND(F3918&lt;=4,G3918&gt;=6,H3918&gt;=6),"AT RISK",AND(F3918&lt;=2,G3918&gt;=8,H3918&gt;=8),"CAN'T LOSE THEM",AND(F3918&lt;=2,G3918&lt;=2,H3918&lt;=2),"HIBERNATING",TRUE(),"Other")</f>
        <v>NEED ATTENTION</v>
      </c>
      <c r="K3918" s="1" t="n">
        <f aca="false">RANK(E3918,$E$7:$E$4378)+COUNTIF($E$7:E3918,E3918)-1</f>
        <v>2580</v>
      </c>
    </row>
    <row r="3919" customFormat="false" ht="14.25" hidden="false" customHeight="true" outlineLevel="0" collapsed="false">
      <c r="A3919" s="51" t="n">
        <v>17659</v>
      </c>
      <c r="B3919" s="53" t="n">
        <v>40883.3951388889</v>
      </c>
      <c r="C3919" s="57" t="n">
        <f aca="false">INT($C$2)-INT(Table3[[#This Row],[Last Purchase Date]])</f>
        <v>4</v>
      </c>
      <c r="D3919" s="1" t="n">
        <v>14</v>
      </c>
      <c r="E3919" s="1" t="n">
        <v>2954.75</v>
      </c>
      <c r="F3919" s="1" t="n">
        <f aca="false">ROUND((1-_xlfn.PERCENTRANK.INC($C$7:$C$4378,C3919))*9,0)</f>
        <v>8</v>
      </c>
      <c r="G3919" s="1" t="n">
        <f aca="false">ROUND(_xlfn.PERCENTRANK.INC($D$7:$D$4378,D3919)*9,0)</f>
        <v>8</v>
      </c>
      <c r="H3919" s="1" t="n">
        <f aca="false">ROUND(_xlfn.PERCENTRANK.INC($E$7:$E$4378,E3919)*9,0)</f>
        <v>8</v>
      </c>
      <c r="I3919" s="1" t="str">
        <f aca="false">CONCATENATE(F3919,G3919,H3919)</f>
        <v>888</v>
      </c>
      <c r="J3919" s="1" t="str">
        <f aca="false">_xlfn.IFS(AND(F3919&gt;=8,G3919&gt;=8,H3919&gt;=8),"CHAMPION",AND(F3919&gt;=6,G3919&gt;=7,H3919&gt;=6),"LOYAL CUSTOMER",AND(F3919&gt;=6,G3919&gt;=5,H3919&gt;=5),"POTENTIAL LOYALIST",AND(F3919&gt;=8,G3919&lt;=2,H3919&gt;=5),"NEW CUSTOMERS",AND(F3919&gt;=6,G3919&lt;=2,H3919&gt;=3),"PROMISING",AND(F3919&gt;=3,G3919&gt;=3,H3919&gt;=3),"NEED ATTENTION",AND(F3919&lt;=4,G3919&gt;=6,H3919&gt;=6),"AT RISK",AND(F3919&lt;=2,G3919&gt;=8,H3919&gt;=8),"CAN'T LOSE THEM",AND(F3919&lt;=2,G3919&lt;=2,H3919&lt;=2),"HIBERNATING",TRUE(),"Other")</f>
        <v>CHAMPION</v>
      </c>
      <c r="K3919" s="1" t="n">
        <f aca="false">RANK(E3919,$E$7:$E$4378)+COUNTIF($E$7:E3919,E3919)-1</f>
        <v>548</v>
      </c>
    </row>
    <row r="3920" customFormat="false" ht="14.25" hidden="false" customHeight="true" outlineLevel="0" collapsed="false">
      <c r="A3920" s="51" t="n">
        <v>17660</v>
      </c>
      <c r="B3920" s="53" t="n">
        <v>40745.5673611111</v>
      </c>
      <c r="C3920" s="57" t="n">
        <f aca="false">INT($C$2)-INT(Table3[[#This Row],[Last Purchase Date]])</f>
        <v>142</v>
      </c>
      <c r="D3920" s="1" t="n">
        <v>1</v>
      </c>
      <c r="E3920" s="1" t="n">
        <v>196</v>
      </c>
      <c r="F3920" s="1" t="n">
        <f aca="false">ROUND((1-_xlfn.PERCENTRANK.INC($C$7:$C$4378,C3920))*9,0)</f>
        <v>2</v>
      </c>
      <c r="G3920" s="1" t="n">
        <f aca="false">ROUND(_xlfn.PERCENTRANK.INC($D$7:$D$4378,D3920)*9,0)</f>
        <v>0</v>
      </c>
      <c r="H3920" s="1" t="n">
        <f aca="false">ROUND(_xlfn.PERCENTRANK.INC($E$7:$E$4378,E3920)*9,0)</f>
        <v>1</v>
      </c>
      <c r="I3920" s="1" t="str">
        <f aca="false">CONCATENATE(F3920,G3920,H3920)</f>
        <v>201</v>
      </c>
      <c r="J3920" s="1" t="str">
        <f aca="false">_xlfn.IFS(AND(F3920&gt;=8,G3920&gt;=8,H3920&gt;=8),"CHAMPION",AND(F3920&gt;=6,G3920&gt;=7,H3920&gt;=6),"LOYAL CUSTOMER",AND(F3920&gt;=6,G3920&gt;=5,H3920&gt;=5),"POTENTIAL LOYALIST",AND(F3920&gt;=8,G3920&lt;=2,H3920&gt;=5),"NEW CUSTOMERS",AND(F3920&gt;=6,G3920&lt;=2,H3920&gt;=3),"PROMISING",AND(F3920&gt;=3,G3920&gt;=3,H3920&gt;=3),"NEED ATTENTION",AND(F3920&lt;=4,G3920&gt;=6,H3920&gt;=6),"AT RISK",AND(F3920&lt;=2,G3920&gt;=8,H3920&gt;=8),"CAN'T LOSE THEM",AND(F3920&lt;=2,G3920&lt;=2,H3920&lt;=2),"HIBERNATING",TRUE(),"Other")</f>
        <v>HIBERNATING</v>
      </c>
      <c r="K3920" s="1" t="n">
        <f aca="false">RANK(E3920,$E$7:$E$4378)+COUNTIF($E$7:E3920,E3920)-1</f>
        <v>3680</v>
      </c>
    </row>
    <row r="3921" customFormat="false" ht="14.25" hidden="false" customHeight="true" outlineLevel="0" collapsed="false">
      <c r="A3921" s="51" t="n">
        <v>17663</v>
      </c>
      <c r="B3921" s="53" t="n">
        <v>40861.3722222222</v>
      </c>
      <c r="C3921" s="57" t="n">
        <f aca="false">INT($C$2)-INT(Table3[[#This Row],[Last Purchase Date]])</f>
        <v>26</v>
      </c>
      <c r="D3921" s="1" t="n">
        <v>9</v>
      </c>
      <c r="E3921" s="1" t="n">
        <v>1788.27</v>
      </c>
      <c r="F3921" s="1" t="n">
        <f aca="false">ROUND((1-_xlfn.PERCENTRANK.INC($C$7:$C$4378,C3921))*9,0)</f>
        <v>6</v>
      </c>
      <c r="G3921" s="1" t="n">
        <f aca="false">ROUND(_xlfn.PERCENTRANK.INC($D$7:$D$4378,D3921)*9,0)</f>
        <v>8</v>
      </c>
      <c r="H3921" s="1" t="n">
        <f aca="false">ROUND(_xlfn.PERCENTRANK.INC($E$7:$E$4378,E3921)*9,0)</f>
        <v>7</v>
      </c>
      <c r="I3921" s="1" t="str">
        <f aca="false">CONCATENATE(F3921,G3921,H3921)</f>
        <v>687</v>
      </c>
      <c r="J3921" s="1" t="str">
        <f aca="false">_xlfn.IFS(AND(F3921&gt;=8,G3921&gt;=8,H3921&gt;=8),"CHAMPION",AND(F3921&gt;=6,G3921&gt;=7,H3921&gt;=6),"LOYAL CUSTOMER",AND(F3921&gt;=6,G3921&gt;=5,H3921&gt;=5),"POTENTIAL LOYALIST",AND(F3921&gt;=8,G3921&lt;=2,H3921&gt;=5),"NEW CUSTOMERS",AND(F3921&gt;=6,G3921&lt;=2,H3921&gt;=3),"PROMISING",AND(F3921&gt;=3,G3921&gt;=3,H3921&gt;=3),"NEED ATTENTION",AND(F3921&lt;=4,G3921&gt;=6,H3921&gt;=6),"AT RISK",AND(F3921&lt;=2,G3921&gt;=8,H3921&gt;=8),"CAN'T LOSE THEM",AND(F3921&lt;=2,G3921&lt;=2,H3921&lt;=2),"HIBERNATING",TRUE(),"Other")</f>
        <v>LOYAL CUSTOMER</v>
      </c>
      <c r="K3921" s="1" t="n">
        <f aca="false">RANK(E3921,$E$7:$E$4378)+COUNTIF($E$7:E3921,E3921)-1</f>
        <v>983</v>
      </c>
    </row>
    <row r="3922" customFormat="false" ht="14.25" hidden="false" customHeight="true" outlineLevel="0" collapsed="false">
      <c r="A3922" s="51" t="n">
        <v>17664</v>
      </c>
      <c r="B3922" s="53" t="n">
        <v>40868.4784722222</v>
      </c>
      <c r="C3922" s="57" t="n">
        <f aca="false">INT($C$2)-INT(Table3[[#This Row],[Last Purchase Date]])</f>
        <v>19</v>
      </c>
      <c r="D3922" s="1" t="n">
        <v>2</v>
      </c>
      <c r="E3922" s="1" t="n">
        <v>604.64</v>
      </c>
      <c r="F3922" s="1" t="n">
        <f aca="false">ROUND((1-_xlfn.PERCENTRANK.INC($C$7:$C$4378,C3922))*9,0)</f>
        <v>7</v>
      </c>
      <c r="G3922" s="1" t="n">
        <f aca="false">ROUND(_xlfn.PERCENTRANK.INC($D$7:$D$4378,D3922)*9,0)</f>
        <v>3</v>
      </c>
      <c r="H3922" s="1" t="n">
        <f aca="false">ROUND(_xlfn.PERCENTRANK.INC($E$7:$E$4378,E3922)*9,0)</f>
        <v>4</v>
      </c>
      <c r="I3922" s="1" t="str">
        <f aca="false">CONCATENATE(F3922,G3922,H3922)</f>
        <v>734</v>
      </c>
      <c r="J3922" s="1" t="str">
        <f aca="false">_xlfn.IFS(AND(F3922&gt;=8,G3922&gt;=8,H3922&gt;=8),"CHAMPION",AND(F3922&gt;=6,G3922&gt;=7,H3922&gt;=6),"LOYAL CUSTOMER",AND(F3922&gt;=6,G3922&gt;=5,H3922&gt;=5),"POTENTIAL LOYALIST",AND(F3922&gt;=8,G3922&lt;=2,H3922&gt;=5),"NEW CUSTOMERS",AND(F3922&gt;=6,G3922&lt;=2,H3922&gt;=3),"PROMISING",AND(F3922&gt;=3,G3922&gt;=3,H3922&gt;=3),"NEED ATTENTION",AND(F3922&lt;=4,G3922&gt;=6,H3922&gt;=6),"AT RISK",AND(F3922&lt;=2,G3922&gt;=8,H3922&gt;=8),"CAN'T LOSE THEM",AND(F3922&lt;=2,G3922&lt;=2,H3922&lt;=2),"HIBERNATING",TRUE(),"Other")</f>
        <v>NEED ATTENTION</v>
      </c>
      <c r="K3922" s="1" t="n">
        <f aca="false">RANK(E3922,$E$7:$E$4378)+COUNTIF($E$7:E3922,E3922)-1</f>
        <v>2300</v>
      </c>
    </row>
    <row r="3923" customFormat="false" ht="14.25" hidden="false" customHeight="true" outlineLevel="0" collapsed="false">
      <c r="A3923" s="51" t="n">
        <v>17666</v>
      </c>
      <c r="B3923" s="53" t="n">
        <v>40883.3791666667</v>
      </c>
      <c r="C3923" s="57" t="n">
        <f aca="false">INT($C$2)-INT(Table3[[#This Row],[Last Purchase Date]])</f>
        <v>4</v>
      </c>
      <c r="D3923" s="1" t="n">
        <v>2</v>
      </c>
      <c r="E3923" s="1" t="n">
        <v>728.16</v>
      </c>
      <c r="F3923" s="1" t="n">
        <f aca="false">ROUND((1-_xlfn.PERCENTRANK.INC($C$7:$C$4378,C3923))*9,0)</f>
        <v>8</v>
      </c>
      <c r="G3923" s="1" t="n">
        <f aca="false">ROUND(_xlfn.PERCENTRANK.INC($D$7:$D$4378,D3923)*9,0)</f>
        <v>3</v>
      </c>
      <c r="H3923" s="1" t="n">
        <f aca="false">ROUND(_xlfn.PERCENTRANK.INC($E$7:$E$4378,E3923)*9,0)</f>
        <v>5</v>
      </c>
      <c r="I3923" s="1" t="str">
        <f aca="false">CONCATENATE(F3923,G3923,H3923)</f>
        <v>835</v>
      </c>
      <c r="J3923" s="1" t="str">
        <f aca="false">_xlfn.IFS(AND(F3923&gt;=8,G3923&gt;=8,H3923&gt;=8),"CHAMPION",AND(F3923&gt;=6,G3923&gt;=7,H3923&gt;=6),"LOYAL CUSTOMER",AND(F3923&gt;=6,G3923&gt;=5,H3923&gt;=5),"POTENTIAL LOYALIST",AND(F3923&gt;=8,G3923&lt;=2,H3923&gt;=5),"NEW CUSTOMERS",AND(F3923&gt;=6,G3923&lt;=2,H3923&gt;=3),"PROMISING",AND(F3923&gt;=3,G3923&gt;=3,H3923&gt;=3),"NEED ATTENTION",AND(F3923&lt;=4,G3923&gt;=6,H3923&gt;=6),"AT RISK",AND(F3923&lt;=2,G3923&gt;=8,H3923&gt;=8),"CAN'T LOSE THEM",AND(F3923&lt;=2,G3923&lt;=2,H3923&lt;=2),"HIBERNATING",TRUE(),"Other")</f>
        <v>NEED ATTENTION</v>
      </c>
      <c r="K3923" s="1" t="n">
        <f aca="false">RANK(E3923,$E$7:$E$4378)+COUNTIF($E$7:E3923,E3923)-1</f>
        <v>2013</v>
      </c>
    </row>
    <row r="3924" customFormat="false" ht="14.25" hidden="false" customHeight="true" outlineLevel="0" collapsed="false">
      <c r="A3924" s="51" t="n">
        <v>17667</v>
      </c>
      <c r="B3924" s="53" t="n">
        <v>40820.6055555556</v>
      </c>
      <c r="C3924" s="57" t="n">
        <f aca="false">INT($C$2)-INT(Table3[[#This Row],[Last Purchase Date]])</f>
        <v>67</v>
      </c>
      <c r="D3924" s="1" t="n">
        <v>5</v>
      </c>
      <c r="E3924" s="1" t="n">
        <v>2055.51</v>
      </c>
      <c r="F3924" s="1" t="n">
        <f aca="false">ROUND((1-_xlfn.PERCENTRANK.INC($C$7:$C$4378,C3924))*9,0)</f>
        <v>4</v>
      </c>
      <c r="G3924" s="1" t="n">
        <f aca="false">ROUND(_xlfn.PERCENTRANK.INC($D$7:$D$4378,D3924)*9,0)</f>
        <v>6</v>
      </c>
      <c r="H3924" s="1" t="n">
        <f aca="false">ROUND(_xlfn.PERCENTRANK.INC($E$7:$E$4378,E3924)*9,0)</f>
        <v>7</v>
      </c>
      <c r="I3924" s="1" t="str">
        <f aca="false">CONCATENATE(F3924,G3924,H3924)</f>
        <v>467</v>
      </c>
      <c r="J3924" s="1" t="str">
        <f aca="false">_xlfn.IFS(AND(F3924&gt;=8,G3924&gt;=8,H3924&gt;=8),"CHAMPION",AND(F3924&gt;=6,G3924&gt;=7,H3924&gt;=6),"LOYAL CUSTOMER",AND(F3924&gt;=6,G3924&gt;=5,H3924&gt;=5),"POTENTIAL LOYALIST",AND(F3924&gt;=8,G3924&lt;=2,H3924&gt;=5),"NEW CUSTOMERS",AND(F3924&gt;=6,G3924&lt;=2,H3924&gt;=3),"PROMISING",AND(F3924&gt;=3,G3924&gt;=3,H3924&gt;=3),"NEED ATTENTION",AND(F3924&lt;=4,G3924&gt;=6,H3924&gt;=6),"AT RISK",AND(F3924&lt;=2,G3924&gt;=8,H3924&gt;=8),"CAN'T LOSE THEM",AND(F3924&lt;=2,G3924&lt;=2,H3924&lt;=2),"HIBERNATING",TRUE(),"Other")</f>
        <v>NEED ATTENTION</v>
      </c>
      <c r="K3924" s="1" t="n">
        <f aca="false">RANK(E3924,$E$7:$E$4378)+COUNTIF($E$7:E3924,E3924)-1</f>
        <v>850</v>
      </c>
    </row>
    <row r="3925" customFormat="false" ht="14.25" hidden="false" customHeight="true" outlineLevel="0" collapsed="false">
      <c r="A3925" s="51" t="n">
        <v>17668</v>
      </c>
      <c r="B3925" s="53" t="n">
        <v>40885.5590277778</v>
      </c>
      <c r="C3925" s="57" t="n">
        <f aca="false">INT($C$2)-INT(Table3[[#This Row],[Last Purchase Date]])</f>
        <v>2</v>
      </c>
      <c r="D3925" s="1" t="n">
        <v>2</v>
      </c>
      <c r="E3925" s="1" t="n">
        <v>347.75</v>
      </c>
      <c r="F3925" s="1" t="n">
        <f aca="false">ROUND((1-_xlfn.PERCENTRANK.INC($C$7:$C$4378,C3925))*9,0)</f>
        <v>9</v>
      </c>
      <c r="G3925" s="1" t="n">
        <f aca="false">ROUND(_xlfn.PERCENTRANK.INC($D$7:$D$4378,D3925)*9,0)</f>
        <v>3</v>
      </c>
      <c r="H3925" s="1" t="n">
        <f aca="false">ROUND(_xlfn.PERCENTRANK.INC($E$7:$E$4378,E3925)*9,0)</f>
        <v>3</v>
      </c>
      <c r="I3925" s="1" t="str">
        <f aca="false">CONCATENATE(F3925,G3925,H3925)</f>
        <v>933</v>
      </c>
      <c r="J3925" s="1" t="str">
        <f aca="false">_xlfn.IFS(AND(F3925&gt;=8,G3925&gt;=8,H3925&gt;=8),"CHAMPION",AND(F3925&gt;=6,G3925&gt;=7,H3925&gt;=6),"LOYAL CUSTOMER",AND(F3925&gt;=6,G3925&gt;=5,H3925&gt;=5),"POTENTIAL LOYALIST",AND(F3925&gt;=8,G3925&lt;=2,H3925&gt;=5),"NEW CUSTOMERS",AND(F3925&gt;=6,G3925&lt;=2,H3925&gt;=3),"PROMISING",AND(F3925&gt;=3,G3925&gt;=3,H3925&gt;=3),"NEED ATTENTION",AND(F3925&lt;=4,G3925&gt;=6,H3925&gt;=6),"AT RISK",AND(F3925&lt;=2,G3925&gt;=8,H3925&gt;=8),"CAN'T LOSE THEM",AND(F3925&lt;=2,G3925&lt;=2,H3925&lt;=2),"HIBERNATING",TRUE(),"Other")</f>
        <v>NEED ATTENTION</v>
      </c>
      <c r="K3925" s="1" t="n">
        <f aca="false">RANK(E3925,$E$7:$E$4378)+COUNTIF($E$7:E3925,E3925)-1</f>
        <v>3021</v>
      </c>
    </row>
    <row r="3926" customFormat="false" ht="14.25" hidden="false" customHeight="true" outlineLevel="0" collapsed="false">
      <c r="A3926" s="51" t="n">
        <v>17669</v>
      </c>
      <c r="B3926" s="53" t="n">
        <v>40844.3701388889</v>
      </c>
      <c r="C3926" s="57" t="n">
        <f aca="false">INT($C$2)-INT(Table3[[#This Row],[Last Purchase Date]])</f>
        <v>43</v>
      </c>
      <c r="D3926" s="1" t="n">
        <v>7</v>
      </c>
      <c r="E3926" s="1" t="n">
        <v>3406.72</v>
      </c>
      <c r="F3926" s="1" t="n">
        <f aca="false">ROUND((1-_xlfn.PERCENTRANK.INC($C$7:$C$4378,C3926))*9,0)</f>
        <v>5</v>
      </c>
      <c r="G3926" s="1" t="n">
        <f aca="false">ROUND(_xlfn.PERCENTRANK.INC($D$7:$D$4378,D3926)*9,0)</f>
        <v>7</v>
      </c>
      <c r="H3926" s="1" t="n">
        <f aca="false">ROUND(_xlfn.PERCENTRANK.INC($E$7:$E$4378,E3926)*9,0)</f>
        <v>8</v>
      </c>
      <c r="I3926" s="1" t="str">
        <f aca="false">CONCATENATE(F3926,G3926,H3926)</f>
        <v>578</v>
      </c>
      <c r="J3926" s="1" t="str">
        <f aca="false">_xlfn.IFS(AND(F3926&gt;=8,G3926&gt;=8,H3926&gt;=8),"CHAMPION",AND(F3926&gt;=6,G3926&gt;=7,H3926&gt;=6),"LOYAL CUSTOMER",AND(F3926&gt;=6,G3926&gt;=5,H3926&gt;=5),"POTENTIAL LOYALIST",AND(F3926&gt;=8,G3926&lt;=2,H3926&gt;=5),"NEW CUSTOMERS",AND(F3926&gt;=6,G3926&lt;=2,H3926&gt;=3),"PROMISING",AND(F3926&gt;=3,G3926&gt;=3,H3926&gt;=3),"NEED ATTENTION",AND(F3926&lt;=4,G3926&gt;=6,H3926&gt;=6),"AT RISK",AND(F3926&lt;=2,G3926&gt;=8,H3926&gt;=8),"CAN'T LOSE THEM",AND(F3926&lt;=2,G3926&lt;=2,H3926&lt;=2),"HIBERNATING",TRUE(),"Other")</f>
        <v>NEED ATTENTION</v>
      </c>
      <c r="K3926" s="1" t="n">
        <f aca="false">RANK(E3926,$E$7:$E$4378)+COUNTIF($E$7:E3926,E3926)-1</f>
        <v>460</v>
      </c>
    </row>
    <row r="3927" customFormat="false" ht="14.25" hidden="false" customHeight="true" outlineLevel="0" collapsed="false">
      <c r="A3927" s="51" t="n">
        <v>17670</v>
      </c>
      <c r="B3927" s="53" t="n">
        <v>40659.3833333333</v>
      </c>
      <c r="C3927" s="57" t="n">
        <f aca="false">INT($C$2)-INT(Table3[[#This Row],[Last Purchase Date]])</f>
        <v>228</v>
      </c>
      <c r="D3927" s="1" t="n">
        <v>1</v>
      </c>
      <c r="E3927" s="1" t="n">
        <v>205.7</v>
      </c>
      <c r="F3927" s="1" t="n">
        <f aca="false">ROUND((1-_xlfn.PERCENTRANK.INC($C$7:$C$4378,C3927))*9,0)</f>
        <v>1</v>
      </c>
      <c r="G3927" s="1" t="n">
        <f aca="false">ROUND(_xlfn.PERCENTRANK.INC($D$7:$D$4378,D3927)*9,0)</f>
        <v>0</v>
      </c>
      <c r="H3927" s="1" t="n">
        <f aca="false">ROUND(_xlfn.PERCENTRANK.INC($E$7:$E$4378,E3927)*9,0)</f>
        <v>2</v>
      </c>
      <c r="I3927" s="1" t="str">
        <f aca="false">CONCATENATE(F3927,G3927,H3927)</f>
        <v>102</v>
      </c>
      <c r="J3927" s="1" t="str">
        <f aca="false">_xlfn.IFS(AND(F3927&gt;=8,G3927&gt;=8,H3927&gt;=8),"CHAMPION",AND(F3927&gt;=6,G3927&gt;=7,H3927&gt;=6),"LOYAL CUSTOMER",AND(F3927&gt;=6,G3927&gt;=5,H3927&gt;=5),"POTENTIAL LOYALIST",AND(F3927&gt;=8,G3927&lt;=2,H3927&gt;=5),"NEW CUSTOMERS",AND(F3927&gt;=6,G3927&lt;=2,H3927&gt;=3),"PROMISING",AND(F3927&gt;=3,G3927&gt;=3,H3927&gt;=3),"NEED ATTENTION",AND(F3927&lt;=4,G3927&gt;=6,H3927&gt;=6),"AT RISK",AND(F3927&lt;=2,G3927&gt;=8,H3927&gt;=8),"CAN'T LOSE THEM",AND(F3927&lt;=2,G3927&lt;=2,H3927&lt;=2),"HIBERNATING",TRUE(),"Other")</f>
        <v>HIBERNATING</v>
      </c>
      <c r="K3927" s="1" t="n">
        <f aca="false">RANK(E3927,$E$7:$E$4378)+COUNTIF($E$7:E3927,E3927)-1</f>
        <v>3633</v>
      </c>
    </row>
    <row r="3928" customFormat="false" ht="14.25" hidden="false" customHeight="true" outlineLevel="0" collapsed="false">
      <c r="A3928" s="51" t="n">
        <v>17671</v>
      </c>
      <c r="B3928" s="53" t="n">
        <v>40871.5145833333</v>
      </c>
      <c r="C3928" s="57" t="n">
        <f aca="false">INT($C$2)-INT(Table3[[#This Row],[Last Purchase Date]])</f>
        <v>16</v>
      </c>
      <c r="D3928" s="1" t="n">
        <v>6</v>
      </c>
      <c r="E3928" s="1" t="n">
        <v>1284.08</v>
      </c>
      <c r="F3928" s="1" t="n">
        <f aca="false">ROUND((1-_xlfn.PERCENTRANK.INC($C$7:$C$4378,C3928))*9,0)</f>
        <v>7</v>
      </c>
      <c r="G3928" s="1" t="n">
        <f aca="false">ROUND(_xlfn.PERCENTRANK.INC($D$7:$D$4378,D3928)*9,0)</f>
        <v>7</v>
      </c>
      <c r="H3928" s="1" t="n">
        <f aca="false">ROUND(_xlfn.PERCENTRANK.INC($E$7:$E$4378,E3928)*9,0)</f>
        <v>6</v>
      </c>
      <c r="I3928" s="1" t="str">
        <f aca="false">CONCATENATE(F3928,G3928,H3928)</f>
        <v>776</v>
      </c>
      <c r="J3928" s="1" t="str">
        <f aca="false">_xlfn.IFS(AND(F3928&gt;=8,G3928&gt;=8,H3928&gt;=8),"CHAMPION",AND(F3928&gt;=6,G3928&gt;=7,H3928&gt;=6),"LOYAL CUSTOMER",AND(F3928&gt;=6,G3928&gt;=5,H3928&gt;=5),"POTENTIAL LOYALIST",AND(F3928&gt;=8,G3928&lt;=2,H3928&gt;=5),"NEW CUSTOMERS",AND(F3928&gt;=6,G3928&lt;=2,H3928&gt;=3),"PROMISING",AND(F3928&gt;=3,G3928&gt;=3,H3928&gt;=3),"NEED ATTENTION",AND(F3928&lt;=4,G3928&gt;=6,H3928&gt;=6),"AT RISK",AND(F3928&lt;=2,G3928&gt;=8,H3928&gt;=8),"CAN'T LOSE THEM",AND(F3928&lt;=2,G3928&lt;=2,H3928&lt;=2),"HIBERNATING",TRUE(),"Other")</f>
        <v>LOYAL CUSTOMER</v>
      </c>
      <c r="K3928" s="1" t="n">
        <f aca="false">RANK(E3928,$E$7:$E$4378)+COUNTIF($E$7:E3928,E3928)-1</f>
        <v>1339</v>
      </c>
    </row>
    <row r="3929" customFormat="false" ht="14.25" hidden="false" customHeight="true" outlineLevel="0" collapsed="false">
      <c r="A3929" s="51" t="n">
        <v>17672</v>
      </c>
      <c r="B3929" s="53" t="n">
        <v>40843.4555555556</v>
      </c>
      <c r="C3929" s="57" t="n">
        <f aca="false">INT($C$2)-INT(Table3[[#This Row],[Last Purchase Date]])</f>
        <v>44</v>
      </c>
      <c r="D3929" s="1" t="n">
        <v>4</v>
      </c>
      <c r="E3929" s="1" t="n">
        <v>3106.62</v>
      </c>
      <c r="F3929" s="1" t="n">
        <f aca="false">ROUND((1-_xlfn.PERCENTRANK.INC($C$7:$C$4378,C3929))*9,0)</f>
        <v>5</v>
      </c>
      <c r="G3929" s="1" t="n">
        <f aca="false">ROUND(_xlfn.PERCENTRANK.INC($D$7:$D$4378,D3929)*9,0)</f>
        <v>5</v>
      </c>
      <c r="H3929" s="1" t="n">
        <f aca="false">ROUND(_xlfn.PERCENTRANK.INC($E$7:$E$4378,E3929)*9,0)</f>
        <v>8</v>
      </c>
      <c r="I3929" s="1" t="str">
        <f aca="false">CONCATENATE(F3929,G3929,H3929)</f>
        <v>558</v>
      </c>
      <c r="J3929" s="1" t="str">
        <f aca="false">_xlfn.IFS(AND(F3929&gt;=8,G3929&gt;=8,H3929&gt;=8),"CHAMPION",AND(F3929&gt;=6,G3929&gt;=7,H3929&gt;=6),"LOYAL CUSTOMER",AND(F3929&gt;=6,G3929&gt;=5,H3929&gt;=5),"POTENTIAL LOYALIST",AND(F3929&gt;=8,G3929&lt;=2,H3929&gt;=5),"NEW CUSTOMERS",AND(F3929&gt;=6,G3929&lt;=2,H3929&gt;=3),"PROMISING",AND(F3929&gt;=3,G3929&gt;=3,H3929&gt;=3),"NEED ATTENTION",AND(F3929&lt;=4,G3929&gt;=6,H3929&gt;=6),"AT RISK",AND(F3929&lt;=2,G3929&gt;=8,H3929&gt;=8),"CAN'T LOSE THEM",AND(F3929&lt;=2,G3929&lt;=2,H3929&lt;=2),"HIBERNATING",TRUE(),"Other")</f>
        <v>NEED ATTENTION</v>
      </c>
      <c r="K3929" s="1" t="n">
        <f aca="false">RANK(E3929,$E$7:$E$4378)+COUNTIF($E$7:E3929,E3929)-1</f>
        <v>510</v>
      </c>
    </row>
    <row r="3930" customFormat="false" ht="14.25" hidden="false" customHeight="true" outlineLevel="0" collapsed="false">
      <c r="A3930" s="51" t="n">
        <v>17673</v>
      </c>
      <c r="B3930" s="53" t="n">
        <v>40885.5458333333</v>
      </c>
      <c r="C3930" s="57" t="n">
        <f aca="false">INT($C$2)-INT(Table3[[#This Row],[Last Purchase Date]])</f>
        <v>2</v>
      </c>
      <c r="D3930" s="1" t="n">
        <v>7</v>
      </c>
      <c r="E3930" s="1" t="n">
        <v>1622.22</v>
      </c>
      <c r="F3930" s="1" t="n">
        <f aca="false">ROUND((1-_xlfn.PERCENTRANK.INC($C$7:$C$4378,C3930))*9,0)</f>
        <v>9</v>
      </c>
      <c r="G3930" s="1" t="n">
        <f aca="false">ROUND(_xlfn.PERCENTRANK.INC($D$7:$D$4378,D3930)*9,0)</f>
        <v>7</v>
      </c>
      <c r="H3930" s="1" t="n">
        <f aca="false">ROUND(_xlfn.PERCENTRANK.INC($E$7:$E$4378,E3930)*9,0)</f>
        <v>7</v>
      </c>
      <c r="I3930" s="1" t="str">
        <f aca="false">CONCATENATE(F3930,G3930,H3930)</f>
        <v>977</v>
      </c>
      <c r="J3930" s="1" t="str">
        <f aca="false">_xlfn.IFS(AND(F3930&gt;=8,G3930&gt;=8,H3930&gt;=8),"CHAMPION",AND(F3930&gt;=6,G3930&gt;=7,H3930&gt;=6),"LOYAL CUSTOMER",AND(F3930&gt;=6,G3930&gt;=5,H3930&gt;=5),"POTENTIAL LOYALIST",AND(F3930&gt;=8,G3930&lt;=2,H3930&gt;=5),"NEW CUSTOMERS",AND(F3930&gt;=6,G3930&lt;=2,H3930&gt;=3),"PROMISING",AND(F3930&gt;=3,G3930&gt;=3,H3930&gt;=3),"NEED ATTENTION",AND(F3930&lt;=4,G3930&gt;=6,H3930&gt;=6),"AT RISK",AND(F3930&lt;=2,G3930&gt;=8,H3930&gt;=8),"CAN'T LOSE THEM",AND(F3930&lt;=2,G3930&lt;=2,H3930&lt;=2),"HIBERNATING",TRUE(),"Other")</f>
        <v>LOYAL CUSTOMER</v>
      </c>
      <c r="K3930" s="1" t="n">
        <f aca="false">RANK(E3930,$E$7:$E$4378)+COUNTIF($E$7:E3930,E3930)-1</f>
        <v>1087</v>
      </c>
    </row>
    <row r="3931" customFormat="false" ht="14.25" hidden="false" customHeight="true" outlineLevel="0" collapsed="false">
      <c r="A3931" s="51" t="n">
        <v>17674</v>
      </c>
      <c r="B3931" s="53" t="n">
        <v>40812.5659722222</v>
      </c>
      <c r="C3931" s="57" t="n">
        <f aca="false">INT($C$2)-INT(Table3[[#This Row],[Last Purchase Date]])</f>
        <v>75</v>
      </c>
      <c r="D3931" s="1" t="n">
        <v>2</v>
      </c>
      <c r="E3931" s="1" t="n">
        <v>551.04</v>
      </c>
      <c r="F3931" s="1" t="n">
        <f aca="false">ROUND((1-_xlfn.PERCENTRANK.INC($C$7:$C$4378,C3931))*9,0)</f>
        <v>3</v>
      </c>
      <c r="G3931" s="1" t="n">
        <f aca="false">ROUND(_xlfn.PERCENTRANK.INC($D$7:$D$4378,D3931)*9,0)</f>
        <v>3</v>
      </c>
      <c r="H3931" s="1" t="n">
        <f aca="false">ROUND(_xlfn.PERCENTRANK.INC($E$7:$E$4378,E3931)*9,0)</f>
        <v>4</v>
      </c>
      <c r="I3931" s="1" t="str">
        <f aca="false">CONCATENATE(F3931,G3931,H3931)</f>
        <v>334</v>
      </c>
      <c r="J3931" s="1" t="str">
        <f aca="false">_xlfn.IFS(AND(F3931&gt;=8,G3931&gt;=8,H3931&gt;=8),"CHAMPION",AND(F3931&gt;=6,G3931&gt;=7,H3931&gt;=6),"LOYAL CUSTOMER",AND(F3931&gt;=6,G3931&gt;=5,H3931&gt;=5),"POTENTIAL LOYALIST",AND(F3931&gt;=8,G3931&lt;=2,H3931&gt;=5),"NEW CUSTOMERS",AND(F3931&gt;=6,G3931&lt;=2,H3931&gt;=3),"PROMISING",AND(F3931&gt;=3,G3931&gt;=3,H3931&gt;=3),"NEED ATTENTION",AND(F3931&lt;=4,G3931&gt;=6,H3931&gt;=6),"AT RISK",AND(F3931&lt;=2,G3931&gt;=8,H3931&gt;=8),"CAN'T LOSE THEM",AND(F3931&lt;=2,G3931&lt;=2,H3931&lt;=2),"HIBERNATING",TRUE(),"Other")</f>
        <v>NEED ATTENTION</v>
      </c>
      <c r="K3931" s="1" t="n">
        <f aca="false">RANK(E3931,$E$7:$E$4378)+COUNTIF($E$7:E3931,E3931)-1</f>
        <v>2428</v>
      </c>
    </row>
    <row r="3932" customFormat="false" ht="14.25" hidden="false" customHeight="true" outlineLevel="0" collapsed="false">
      <c r="A3932" s="51" t="n">
        <v>17675</v>
      </c>
      <c r="B3932" s="53" t="n">
        <v>40885.7520833333</v>
      </c>
      <c r="C3932" s="57" t="n">
        <f aca="false">INT($C$2)-INT(Table3[[#This Row],[Last Purchase Date]])</f>
        <v>2</v>
      </c>
      <c r="D3932" s="1" t="n">
        <v>41</v>
      </c>
      <c r="E3932" s="1" t="n">
        <v>20098.1</v>
      </c>
      <c r="F3932" s="1" t="n">
        <f aca="false">ROUND((1-_xlfn.PERCENTRANK.INC($C$7:$C$4378,C3932))*9,0)</f>
        <v>9</v>
      </c>
      <c r="G3932" s="1" t="n">
        <f aca="false">ROUND(_xlfn.PERCENTRANK.INC($D$7:$D$4378,D3932)*9,0)</f>
        <v>9</v>
      </c>
      <c r="H3932" s="1" t="n">
        <f aca="false">ROUND(_xlfn.PERCENTRANK.INC($E$7:$E$4378,E3932)*9,0)</f>
        <v>9</v>
      </c>
      <c r="I3932" s="1" t="str">
        <f aca="false">CONCATENATE(F3932,G3932,H3932)</f>
        <v>999</v>
      </c>
      <c r="J3932" s="1" t="str">
        <f aca="false">_xlfn.IFS(AND(F3932&gt;=8,G3932&gt;=8,H3932&gt;=8),"CHAMPION",AND(F3932&gt;=6,G3932&gt;=7,H3932&gt;=6),"LOYAL CUSTOMER",AND(F3932&gt;=6,G3932&gt;=5,H3932&gt;=5),"POTENTIAL LOYALIST",AND(F3932&gt;=8,G3932&lt;=2,H3932&gt;=5),"NEW CUSTOMERS",AND(F3932&gt;=6,G3932&lt;=2,H3932&gt;=3),"PROMISING",AND(F3932&gt;=3,G3932&gt;=3,H3932&gt;=3),"NEED ATTENTION",AND(F3932&lt;=4,G3932&gt;=6,H3932&gt;=6),"AT RISK",AND(F3932&lt;=2,G3932&gt;=8,H3932&gt;=8),"CAN'T LOSE THEM",AND(F3932&lt;=2,G3932&lt;=2,H3932&lt;=2),"HIBERNATING",TRUE(),"Other")</f>
        <v>CHAMPION</v>
      </c>
      <c r="K3932" s="1" t="n">
        <f aca="false">RANK(E3932,$E$7:$E$4378)+COUNTIF($E$7:E3932,E3932)-1</f>
        <v>39</v>
      </c>
    </row>
    <row r="3933" customFormat="false" ht="14.25" hidden="false" customHeight="true" outlineLevel="0" collapsed="false">
      <c r="A3933" s="51" t="n">
        <v>17676</v>
      </c>
      <c r="B3933" s="53" t="n">
        <v>40882.6361111111</v>
      </c>
      <c r="C3933" s="57" t="n">
        <f aca="false">INT($C$2)-INT(Table3[[#This Row],[Last Purchase Date]])</f>
        <v>5</v>
      </c>
      <c r="D3933" s="1" t="n">
        <v>7</v>
      </c>
      <c r="E3933" s="1" t="n">
        <v>1383.27</v>
      </c>
      <c r="F3933" s="1" t="n">
        <f aca="false">ROUND((1-_xlfn.PERCENTRANK.INC($C$7:$C$4378,C3933))*9,0)</f>
        <v>8</v>
      </c>
      <c r="G3933" s="1" t="n">
        <f aca="false">ROUND(_xlfn.PERCENTRANK.INC($D$7:$D$4378,D3933)*9,0)</f>
        <v>7</v>
      </c>
      <c r="H3933" s="1" t="n">
        <f aca="false">ROUND(_xlfn.PERCENTRANK.INC($E$7:$E$4378,E3933)*9,0)</f>
        <v>6</v>
      </c>
      <c r="I3933" s="1" t="str">
        <f aca="false">CONCATENATE(F3933,G3933,H3933)</f>
        <v>876</v>
      </c>
      <c r="J3933" s="1" t="str">
        <f aca="false">_xlfn.IFS(AND(F3933&gt;=8,G3933&gt;=8,H3933&gt;=8),"CHAMPION",AND(F3933&gt;=6,G3933&gt;=7,H3933&gt;=6),"LOYAL CUSTOMER",AND(F3933&gt;=6,G3933&gt;=5,H3933&gt;=5),"POTENTIAL LOYALIST",AND(F3933&gt;=8,G3933&lt;=2,H3933&gt;=5),"NEW CUSTOMERS",AND(F3933&gt;=6,G3933&lt;=2,H3933&gt;=3),"PROMISING",AND(F3933&gt;=3,G3933&gt;=3,H3933&gt;=3),"NEED ATTENTION",AND(F3933&lt;=4,G3933&gt;=6,H3933&gt;=6),"AT RISK",AND(F3933&lt;=2,G3933&gt;=8,H3933&gt;=8),"CAN'T LOSE THEM",AND(F3933&lt;=2,G3933&lt;=2,H3933&lt;=2),"HIBERNATING",TRUE(),"Other")</f>
        <v>LOYAL CUSTOMER</v>
      </c>
      <c r="K3933" s="1" t="n">
        <f aca="false">RANK(E3933,$E$7:$E$4378)+COUNTIF($E$7:E3933,E3933)-1</f>
        <v>1252</v>
      </c>
    </row>
    <row r="3934" customFormat="false" ht="14.25" hidden="false" customHeight="true" outlineLevel="0" collapsed="false">
      <c r="A3934" s="51" t="n">
        <v>17677</v>
      </c>
      <c r="B3934" s="53" t="n">
        <v>40885.4138888889</v>
      </c>
      <c r="C3934" s="57" t="n">
        <f aca="false">INT($C$2)-INT(Table3[[#This Row],[Last Purchase Date]])</f>
        <v>2</v>
      </c>
      <c r="D3934" s="1" t="n">
        <v>43</v>
      </c>
      <c r="E3934" s="1" t="n">
        <v>16219.22</v>
      </c>
      <c r="F3934" s="1" t="n">
        <f aca="false">ROUND((1-_xlfn.PERCENTRANK.INC($C$7:$C$4378,C3934))*9,0)</f>
        <v>9</v>
      </c>
      <c r="G3934" s="1" t="n">
        <f aca="false">ROUND(_xlfn.PERCENTRANK.INC($D$7:$D$4378,D3934)*9,0)</f>
        <v>9</v>
      </c>
      <c r="H3934" s="1" t="n">
        <f aca="false">ROUND(_xlfn.PERCENTRANK.INC($E$7:$E$4378,E3934)*9,0)</f>
        <v>9</v>
      </c>
      <c r="I3934" s="1" t="str">
        <f aca="false">CONCATENATE(F3934,G3934,H3934)</f>
        <v>999</v>
      </c>
      <c r="J3934" s="1" t="str">
        <f aca="false">_xlfn.IFS(AND(F3934&gt;=8,G3934&gt;=8,H3934&gt;=8),"CHAMPION",AND(F3934&gt;=6,G3934&gt;=7,H3934&gt;=6),"LOYAL CUSTOMER",AND(F3934&gt;=6,G3934&gt;=5,H3934&gt;=5),"POTENTIAL LOYALIST",AND(F3934&gt;=8,G3934&lt;=2,H3934&gt;=5),"NEW CUSTOMERS",AND(F3934&gt;=6,G3934&lt;=2,H3934&gt;=3),"PROMISING",AND(F3934&gt;=3,G3934&gt;=3,H3934&gt;=3),"NEED ATTENTION",AND(F3934&lt;=4,G3934&gt;=6,H3934&gt;=6),"AT RISK",AND(F3934&lt;=2,G3934&gt;=8,H3934&gt;=8),"CAN'T LOSE THEM",AND(F3934&lt;=2,G3934&lt;=2,H3934&lt;=2),"HIBERNATING",TRUE(),"Other")</f>
        <v>CHAMPION</v>
      </c>
      <c r="K3934" s="1" t="n">
        <f aca="false">RANK(E3934,$E$7:$E$4378)+COUNTIF($E$7:E3934,E3934)-1</f>
        <v>50</v>
      </c>
    </row>
    <row r="3935" customFormat="false" ht="14.25" hidden="false" customHeight="true" outlineLevel="0" collapsed="false">
      <c r="A3935" s="51" t="n">
        <v>17678</v>
      </c>
      <c r="B3935" s="53" t="n">
        <v>40623.4944444444</v>
      </c>
      <c r="C3935" s="57" t="n">
        <f aca="false">INT($C$2)-INT(Table3[[#This Row],[Last Purchase Date]])</f>
        <v>264</v>
      </c>
      <c r="D3935" s="1" t="n">
        <v>1</v>
      </c>
      <c r="E3935" s="1" t="n">
        <v>298.11</v>
      </c>
      <c r="F3935" s="1" t="n">
        <f aca="false">ROUND((1-_xlfn.PERCENTRANK.INC($C$7:$C$4378,C3935))*9,0)</f>
        <v>1</v>
      </c>
      <c r="G3935" s="1" t="n">
        <f aca="false">ROUND(_xlfn.PERCENTRANK.INC($D$7:$D$4378,D3935)*9,0)</f>
        <v>0</v>
      </c>
      <c r="H3935" s="1" t="n">
        <f aca="false">ROUND(_xlfn.PERCENTRANK.INC($E$7:$E$4378,E3935)*9,0)</f>
        <v>2</v>
      </c>
      <c r="I3935" s="1" t="str">
        <f aca="false">CONCATENATE(F3935,G3935,H3935)</f>
        <v>102</v>
      </c>
      <c r="J3935" s="1" t="str">
        <f aca="false">_xlfn.IFS(AND(F3935&gt;=8,G3935&gt;=8,H3935&gt;=8),"CHAMPION",AND(F3935&gt;=6,G3935&gt;=7,H3935&gt;=6),"LOYAL CUSTOMER",AND(F3935&gt;=6,G3935&gt;=5,H3935&gt;=5),"POTENTIAL LOYALIST",AND(F3935&gt;=8,G3935&lt;=2,H3935&gt;=5),"NEW CUSTOMERS",AND(F3935&gt;=6,G3935&lt;=2,H3935&gt;=3),"PROMISING",AND(F3935&gt;=3,G3935&gt;=3,H3935&gt;=3),"NEED ATTENTION",AND(F3935&lt;=4,G3935&gt;=6,H3935&gt;=6),"AT RISK",AND(F3935&lt;=2,G3935&gt;=8,H3935&gt;=8),"CAN'T LOSE THEM",AND(F3935&lt;=2,G3935&lt;=2,H3935&lt;=2),"HIBERNATING",TRUE(),"Other")</f>
        <v>HIBERNATING</v>
      </c>
      <c r="K3935" s="1" t="n">
        <f aca="false">RANK(E3935,$E$7:$E$4378)+COUNTIF($E$7:E3935,E3935)-1</f>
        <v>3261</v>
      </c>
    </row>
    <row r="3936" customFormat="false" ht="14.25" hidden="false" customHeight="true" outlineLevel="0" collapsed="false">
      <c r="A3936" s="51" t="n">
        <v>17679</v>
      </c>
      <c r="B3936" s="53" t="n">
        <v>40834.3215277778</v>
      </c>
      <c r="C3936" s="57" t="n">
        <f aca="false">INT($C$2)-INT(Table3[[#This Row],[Last Purchase Date]])</f>
        <v>53</v>
      </c>
      <c r="D3936" s="1" t="n">
        <v>2</v>
      </c>
      <c r="E3936" s="1" t="n">
        <v>1992.11</v>
      </c>
      <c r="F3936" s="1" t="n">
        <f aca="false">ROUND((1-_xlfn.PERCENTRANK.INC($C$7:$C$4378,C3936))*9,0)</f>
        <v>4</v>
      </c>
      <c r="G3936" s="1" t="n">
        <f aca="false">ROUND(_xlfn.PERCENTRANK.INC($D$7:$D$4378,D3936)*9,0)</f>
        <v>3</v>
      </c>
      <c r="H3936" s="1" t="n">
        <f aca="false">ROUND(_xlfn.PERCENTRANK.INC($E$7:$E$4378,E3936)*9,0)</f>
        <v>7</v>
      </c>
      <c r="I3936" s="1" t="str">
        <f aca="false">CONCATENATE(F3936,G3936,H3936)</f>
        <v>437</v>
      </c>
      <c r="J3936" s="1" t="str">
        <f aca="false">_xlfn.IFS(AND(F3936&gt;=8,G3936&gt;=8,H3936&gt;=8),"CHAMPION",AND(F3936&gt;=6,G3936&gt;=7,H3936&gt;=6),"LOYAL CUSTOMER",AND(F3936&gt;=6,G3936&gt;=5,H3936&gt;=5),"POTENTIAL LOYALIST",AND(F3936&gt;=8,G3936&lt;=2,H3936&gt;=5),"NEW CUSTOMERS",AND(F3936&gt;=6,G3936&lt;=2,H3936&gt;=3),"PROMISING",AND(F3936&gt;=3,G3936&gt;=3,H3936&gt;=3),"NEED ATTENTION",AND(F3936&lt;=4,G3936&gt;=6,H3936&gt;=6),"AT RISK",AND(F3936&lt;=2,G3936&gt;=8,H3936&gt;=8),"CAN'T LOSE THEM",AND(F3936&lt;=2,G3936&lt;=2,H3936&lt;=2),"HIBERNATING",TRUE(),"Other")</f>
        <v>NEED ATTENTION</v>
      </c>
      <c r="K3936" s="1" t="n">
        <f aca="false">RANK(E3936,$E$7:$E$4378)+COUNTIF($E$7:E3936,E3936)-1</f>
        <v>882</v>
      </c>
    </row>
    <row r="3937" customFormat="false" ht="14.25" hidden="false" customHeight="true" outlineLevel="0" collapsed="false">
      <c r="A3937" s="51" t="n">
        <v>17680</v>
      </c>
      <c r="B3937" s="53" t="n">
        <v>40863.5291666667</v>
      </c>
      <c r="C3937" s="57" t="n">
        <f aca="false">INT($C$2)-INT(Table3[[#This Row],[Last Purchase Date]])</f>
        <v>24</v>
      </c>
      <c r="D3937" s="1" t="n">
        <v>1</v>
      </c>
      <c r="E3937" s="1" t="n">
        <v>184.4</v>
      </c>
      <c r="F3937" s="1" t="n">
        <f aca="false">ROUND((1-_xlfn.PERCENTRANK.INC($C$7:$C$4378,C3937))*9,0)</f>
        <v>6</v>
      </c>
      <c r="G3937" s="1" t="n">
        <f aca="false">ROUND(_xlfn.PERCENTRANK.INC($D$7:$D$4378,D3937)*9,0)</f>
        <v>0</v>
      </c>
      <c r="H3937" s="1" t="n">
        <f aca="false">ROUND(_xlfn.PERCENTRANK.INC($E$7:$E$4378,E3937)*9,0)</f>
        <v>1</v>
      </c>
      <c r="I3937" s="1" t="str">
        <f aca="false">CONCATENATE(F3937,G3937,H3937)</f>
        <v>601</v>
      </c>
      <c r="J3937" s="1" t="str">
        <f aca="false">_xlfn.IFS(AND(F3937&gt;=8,G3937&gt;=8,H3937&gt;=8),"CHAMPION",AND(F3937&gt;=6,G3937&gt;=7,H3937&gt;=6),"LOYAL CUSTOMER",AND(F3937&gt;=6,G3937&gt;=5,H3937&gt;=5),"POTENTIAL LOYALIST",AND(F3937&gt;=8,G3937&lt;=2,H3937&gt;=5),"NEW CUSTOMERS",AND(F3937&gt;=6,G3937&lt;=2,H3937&gt;=3),"PROMISING",AND(F3937&gt;=3,G3937&gt;=3,H3937&gt;=3),"NEED ATTENTION",AND(F3937&lt;=4,G3937&gt;=6,H3937&gt;=6),"AT RISK",AND(F3937&lt;=2,G3937&gt;=8,H3937&gt;=8),"CAN'T LOSE THEM",AND(F3937&lt;=2,G3937&lt;=2,H3937&lt;=2),"HIBERNATING",TRUE(),"Other")</f>
        <v>Other</v>
      </c>
      <c r="K3937" s="1" t="n">
        <f aca="false">RANK(E3937,$E$7:$E$4378)+COUNTIF($E$7:E3937,E3937)-1</f>
        <v>3731</v>
      </c>
    </row>
    <row r="3938" customFormat="false" ht="14.25" hidden="false" customHeight="true" outlineLevel="0" collapsed="false">
      <c r="A3938" s="51" t="n">
        <v>17682</v>
      </c>
      <c r="B3938" s="53" t="n">
        <v>40876.6659722222</v>
      </c>
      <c r="C3938" s="57" t="n">
        <f aca="false">INT($C$2)-INT(Table3[[#This Row],[Last Purchase Date]])</f>
        <v>11</v>
      </c>
      <c r="D3938" s="1" t="n">
        <v>7</v>
      </c>
      <c r="E3938" s="1" t="n">
        <v>2459.33</v>
      </c>
      <c r="F3938" s="1" t="n">
        <f aca="false">ROUND((1-_xlfn.PERCENTRANK.INC($C$7:$C$4378,C3938))*9,0)</f>
        <v>7</v>
      </c>
      <c r="G3938" s="1" t="n">
        <f aca="false">ROUND(_xlfn.PERCENTRANK.INC($D$7:$D$4378,D3938)*9,0)</f>
        <v>7</v>
      </c>
      <c r="H3938" s="1" t="n">
        <f aca="false">ROUND(_xlfn.PERCENTRANK.INC($E$7:$E$4378,E3938)*9,0)</f>
        <v>8</v>
      </c>
      <c r="I3938" s="1" t="str">
        <f aca="false">CONCATENATE(F3938,G3938,H3938)</f>
        <v>778</v>
      </c>
      <c r="J3938" s="1" t="str">
        <f aca="false">_xlfn.IFS(AND(F3938&gt;=8,G3938&gt;=8,H3938&gt;=8),"CHAMPION",AND(F3938&gt;=6,G3938&gt;=7,H3938&gt;=6),"LOYAL CUSTOMER",AND(F3938&gt;=6,G3938&gt;=5,H3938&gt;=5),"POTENTIAL LOYALIST",AND(F3938&gt;=8,G3938&lt;=2,H3938&gt;=5),"NEW CUSTOMERS",AND(F3938&gt;=6,G3938&lt;=2,H3938&gt;=3),"PROMISING",AND(F3938&gt;=3,G3938&gt;=3,H3938&gt;=3),"NEED ATTENTION",AND(F3938&lt;=4,G3938&gt;=6,H3938&gt;=6),"AT RISK",AND(F3938&lt;=2,G3938&gt;=8,H3938&gt;=8),"CAN'T LOSE THEM",AND(F3938&lt;=2,G3938&lt;=2,H3938&lt;=2),"HIBERNATING",TRUE(),"Other")</f>
        <v>LOYAL CUSTOMER</v>
      </c>
      <c r="K3938" s="1" t="n">
        <f aca="false">RANK(E3938,$E$7:$E$4378)+COUNTIF($E$7:E3938,E3938)-1</f>
        <v>696</v>
      </c>
    </row>
    <row r="3939" customFormat="false" ht="14.25" hidden="false" customHeight="true" outlineLevel="0" collapsed="false">
      <c r="A3939" s="51" t="n">
        <v>17684</v>
      </c>
      <c r="B3939" s="53" t="n">
        <v>40843.4652777778</v>
      </c>
      <c r="C3939" s="57" t="n">
        <f aca="false">INT($C$2)-INT(Table3[[#This Row],[Last Purchase Date]])</f>
        <v>44</v>
      </c>
      <c r="D3939" s="1" t="n">
        <v>1</v>
      </c>
      <c r="E3939" s="1" t="n">
        <v>239.41</v>
      </c>
      <c r="F3939" s="1" t="n">
        <f aca="false">ROUND((1-_xlfn.PERCENTRANK.INC($C$7:$C$4378,C3939))*9,0)</f>
        <v>5</v>
      </c>
      <c r="G3939" s="1" t="n">
        <f aca="false">ROUND(_xlfn.PERCENTRANK.INC($D$7:$D$4378,D3939)*9,0)</f>
        <v>0</v>
      </c>
      <c r="H3939" s="1" t="n">
        <f aca="false">ROUND(_xlfn.PERCENTRANK.INC($E$7:$E$4378,E3939)*9,0)</f>
        <v>2</v>
      </c>
      <c r="I3939" s="1" t="str">
        <f aca="false">CONCATENATE(F3939,G3939,H3939)</f>
        <v>502</v>
      </c>
      <c r="J3939" s="1" t="str">
        <f aca="false">_xlfn.IFS(AND(F3939&gt;=8,G3939&gt;=8,H3939&gt;=8),"CHAMPION",AND(F3939&gt;=6,G3939&gt;=7,H3939&gt;=6),"LOYAL CUSTOMER",AND(F3939&gt;=6,G3939&gt;=5,H3939&gt;=5),"POTENTIAL LOYALIST",AND(F3939&gt;=8,G3939&lt;=2,H3939&gt;=5),"NEW CUSTOMERS",AND(F3939&gt;=6,G3939&lt;=2,H3939&gt;=3),"PROMISING",AND(F3939&gt;=3,G3939&gt;=3,H3939&gt;=3),"NEED ATTENTION",AND(F3939&lt;=4,G3939&gt;=6,H3939&gt;=6),"AT RISK",AND(F3939&lt;=2,G3939&gt;=8,H3939&gt;=8),"CAN'T LOSE THEM",AND(F3939&lt;=2,G3939&lt;=2,H3939&lt;=2),"HIBERNATING",TRUE(),"Other")</f>
        <v>Other</v>
      </c>
      <c r="K3939" s="1" t="n">
        <f aca="false">RANK(E3939,$E$7:$E$4378)+COUNTIF($E$7:E3939,E3939)-1</f>
        <v>3484</v>
      </c>
    </row>
    <row r="3940" customFormat="false" ht="14.25" hidden="false" customHeight="true" outlineLevel="0" collapsed="false">
      <c r="A3940" s="51" t="n">
        <v>17685</v>
      </c>
      <c r="B3940" s="53" t="n">
        <v>40870.4833333333</v>
      </c>
      <c r="C3940" s="57" t="n">
        <f aca="false">INT($C$2)-INT(Table3[[#This Row],[Last Purchase Date]])</f>
        <v>17</v>
      </c>
      <c r="D3940" s="1" t="n">
        <v>7</v>
      </c>
      <c r="E3940" s="1" t="n">
        <v>3191.53</v>
      </c>
      <c r="F3940" s="1" t="n">
        <f aca="false">ROUND((1-_xlfn.PERCENTRANK.INC($C$7:$C$4378,C3940))*9,0)</f>
        <v>7</v>
      </c>
      <c r="G3940" s="1" t="n">
        <f aca="false">ROUND(_xlfn.PERCENTRANK.INC($D$7:$D$4378,D3940)*9,0)</f>
        <v>7</v>
      </c>
      <c r="H3940" s="1" t="n">
        <f aca="false">ROUND(_xlfn.PERCENTRANK.INC($E$7:$E$4378,E3940)*9,0)</f>
        <v>8</v>
      </c>
      <c r="I3940" s="1" t="str">
        <f aca="false">CONCATENATE(F3940,G3940,H3940)</f>
        <v>778</v>
      </c>
      <c r="J3940" s="1" t="str">
        <f aca="false">_xlfn.IFS(AND(F3940&gt;=8,G3940&gt;=8,H3940&gt;=8),"CHAMPION",AND(F3940&gt;=6,G3940&gt;=7,H3940&gt;=6),"LOYAL CUSTOMER",AND(F3940&gt;=6,G3940&gt;=5,H3940&gt;=5),"POTENTIAL LOYALIST",AND(F3940&gt;=8,G3940&lt;=2,H3940&gt;=5),"NEW CUSTOMERS",AND(F3940&gt;=6,G3940&lt;=2,H3940&gt;=3),"PROMISING",AND(F3940&gt;=3,G3940&gt;=3,H3940&gt;=3),"NEED ATTENTION",AND(F3940&lt;=4,G3940&gt;=6,H3940&gt;=6),"AT RISK",AND(F3940&lt;=2,G3940&gt;=8,H3940&gt;=8),"CAN'T LOSE THEM",AND(F3940&lt;=2,G3940&lt;=2,H3940&lt;=2),"HIBERNATING",TRUE(),"Other")</f>
        <v>LOYAL CUSTOMER</v>
      </c>
      <c r="K3940" s="1" t="n">
        <f aca="false">RANK(E3940,$E$7:$E$4378)+COUNTIF($E$7:E3940,E3940)-1</f>
        <v>495</v>
      </c>
    </row>
    <row r="3941" customFormat="false" ht="14.25" hidden="false" customHeight="true" outlineLevel="0" collapsed="false">
      <c r="A3941" s="51" t="n">
        <v>17686</v>
      </c>
      <c r="B3941" s="53" t="n">
        <v>40879.6520833333</v>
      </c>
      <c r="C3941" s="57" t="n">
        <f aca="false">INT($C$2)-INT(Table3[[#This Row],[Last Purchase Date]])</f>
        <v>8</v>
      </c>
      <c r="D3941" s="1" t="n">
        <v>7</v>
      </c>
      <c r="E3941" s="1" t="n">
        <v>5739.46000000001</v>
      </c>
      <c r="F3941" s="1" t="n">
        <f aca="false">ROUND((1-_xlfn.PERCENTRANK.INC($C$7:$C$4378,C3941))*9,0)</f>
        <v>8</v>
      </c>
      <c r="G3941" s="1" t="n">
        <f aca="false">ROUND(_xlfn.PERCENTRANK.INC($D$7:$D$4378,D3941)*9,0)</f>
        <v>7</v>
      </c>
      <c r="H3941" s="1" t="n">
        <f aca="false">ROUND(_xlfn.PERCENTRANK.INC($E$7:$E$4378,E3941)*9,0)</f>
        <v>9</v>
      </c>
      <c r="I3941" s="1" t="str">
        <f aca="false">CONCATENATE(F3941,G3941,H3941)</f>
        <v>879</v>
      </c>
      <c r="J3941" s="1" t="str">
        <f aca="false">_xlfn.IFS(AND(F3941&gt;=8,G3941&gt;=8,H3941&gt;=8),"CHAMPION",AND(F3941&gt;=6,G3941&gt;=7,H3941&gt;=6),"LOYAL CUSTOMER",AND(F3941&gt;=6,G3941&gt;=5,H3941&gt;=5),"POTENTIAL LOYALIST",AND(F3941&gt;=8,G3941&lt;=2,H3941&gt;=5),"NEW CUSTOMERS",AND(F3941&gt;=6,G3941&lt;=2,H3941&gt;=3),"PROMISING",AND(F3941&gt;=3,G3941&gt;=3,H3941&gt;=3),"NEED ATTENTION",AND(F3941&lt;=4,G3941&gt;=6,H3941&gt;=6),"AT RISK",AND(F3941&lt;=2,G3941&gt;=8,H3941&gt;=8),"CAN'T LOSE THEM",AND(F3941&lt;=2,G3941&lt;=2,H3941&lt;=2),"HIBERNATING",TRUE(),"Other")</f>
        <v>LOYAL CUSTOMER</v>
      </c>
      <c r="K3941" s="1" t="n">
        <f aca="false">RANK(E3941,$E$7:$E$4378)+COUNTIF($E$7:E3941,E3941)-1</f>
        <v>212</v>
      </c>
    </row>
    <row r="3942" customFormat="false" ht="14.25" hidden="false" customHeight="true" outlineLevel="0" collapsed="false">
      <c r="A3942" s="51" t="n">
        <v>17690</v>
      </c>
      <c r="B3942" s="53" t="n">
        <v>40856.6368055556</v>
      </c>
      <c r="C3942" s="57" t="n">
        <f aca="false">INT($C$2)-INT(Table3[[#This Row],[Last Purchase Date]])</f>
        <v>31</v>
      </c>
      <c r="D3942" s="1" t="n">
        <v>16</v>
      </c>
      <c r="E3942" s="1" t="n">
        <v>4748.45</v>
      </c>
      <c r="F3942" s="1" t="n">
        <f aca="false">ROUND((1-_xlfn.PERCENTRANK.INC($C$7:$C$4378,C3942))*9,0)</f>
        <v>6</v>
      </c>
      <c r="G3942" s="1" t="n">
        <f aca="false">ROUND(_xlfn.PERCENTRANK.INC($D$7:$D$4378,D3942)*9,0)</f>
        <v>9</v>
      </c>
      <c r="H3942" s="1" t="n">
        <f aca="false">ROUND(_xlfn.PERCENTRANK.INC($E$7:$E$4378,E3942)*9,0)</f>
        <v>8</v>
      </c>
      <c r="I3942" s="1" t="str">
        <f aca="false">CONCATENATE(F3942,G3942,H3942)</f>
        <v>698</v>
      </c>
      <c r="J3942" s="1" t="str">
        <f aca="false">_xlfn.IFS(AND(F3942&gt;=8,G3942&gt;=8,H3942&gt;=8),"CHAMPION",AND(F3942&gt;=6,G3942&gt;=7,H3942&gt;=6),"LOYAL CUSTOMER",AND(F3942&gt;=6,G3942&gt;=5,H3942&gt;=5),"POTENTIAL LOYALIST",AND(F3942&gt;=8,G3942&lt;=2,H3942&gt;=5),"NEW CUSTOMERS",AND(F3942&gt;=6,G3942&lt;=2,H3942&gt;=3),"PROMISING",AND(F3942&gt;=3,G3942&gt;=3,H3942&gt;=3),"NEED ATTENTION",AND(F3942&lt;=4,G3942&gt;=6,H3942&gt;=6),"AT RISK",AND(F3942&lt;=2,G3942&gt;=8,H3942&gt;=8),"CAN'T LOSE THEM",AND(F3942&lt;=2,G3942&lt;=2,H3942&lt;=2),"HIBERNATING",TRUE(),"Other")</f>
        <v>LOYAL CUSTOMER</v>
      </c>
      <c r="K3942" s="1" t="n">
        <f aca="false">RANK(E3942,$E$7:$E$4378)+COUNTIF($E$7:E3942,E3942)-1</f>
        <v>281</v>
      </c>
    </row>
    <row r="3943" customFormat="false" ht="14.25" hidden="false" customHeight="true" outlineLevel="0" collapsed="false">
      <c r="A3943" s="51" t="n">
        <v>17691</v>
      </c>
      <c r="B3943" s="53" t="n">
        <v>40528.7222222222</v>
      </c>
      <c r="C3943" s="57" t="n">
        <f aca="false">INT($C$2)-INT(Table3[[#This Row],[Last Purchase Date]])</f>
        <v>359</v>
      </c>
      <c r="D3943" s="1" t="n">
        <v>2</v>
      </c>
      <c r="E3943" s="1" t="n">
        <v>290.4</v>
      </c>
      <c r="F3943" s="1" t="n">
        <f aca="false">ROUND((1-_xlfn.PERCENTRANK.INC($C$7:$C$4378,C3943))*9,0)</f>
        <v>0</v>
      </c>
      <c r="G3943" s="1" t="n">
        <f aca="false">ROUND(_xlfn.PERCENTRANK.INC($D$7:$D$4378,D3943)*9,0)</f>
        <v>3</v>
      </c>
      <c r="H3943" s="1" t="n">
        <f aca="false">ROUND(_xlfn.PERCENTRANK.INC($E$7:$E$4378,E3943)*9,0)</f>
        <v>2</v>
      </c>
      <c r="I3943" s="1" t="str">
        <f aca="false">CONCATENATE(F3943,G3943,H3943)</f>
        <v>032</v>
      </c>
      <c r="J3943" s="1" t="str">
        <f aca="false">_xlfn.IFS(AND(F3943&gt;=8,G3943&gt;=8,H3943&gt;=8),"CHAMPION",AND(F3943&gt;=6,G3943&gt;=7,H3943&gt;=6),"LOYAL CUSTOMER",AND(F3943&gt;=6,G3943&gt;=5,H3943&gt;=5),"POTENTIAL LOYALIST",AND(F3943&gt;=8,G3943&lt;=2,H3943&gt;=5),"NEW CUSTOMERS",AND(F3943&gt;=6,G3943&lt;=2,H3943&gt;=3),"PROMISING",AND(F3943&gt;=3,G3943&gt;=3,H3943&gt;=3),"NEED ATTENTION",AND(F3943&lt;=4,G3943&gt;=6,H3943&gt;=6),"AT RISK",AND(F3943&lt;=2,G3943&gt;=8,H3943&gt;=8),"CAN'T LOSE THEM",AND(F3943&lt;=2,G3943&lt;=2,H3943&lt;=2),"HIBERNATING",TRUE(),"Other")</f>
        <v>Other</v>
      </c>
      <c r="K3943" s="1" t="n">
        <f aca="false">RANK(E3943,$E$7:$E$4378)+COUNTIF($E$7:E3943,E3943)-1</f>
        <v>3292</v>
      </c>
    </row>
    <row r="3944" customFormat="false" ht="14.25" hidden="false" customHeight="true" outlineLevel="0" collapsed="false">
      <c r="A3944" s="51" t="n">
        <v>17692</v>
      </c>
      <c r="B3944" s="53" t="n">
        <v>40759.5840277778</v>
      </c>
      <c r="C3944" s="57" t="n">
        <f aca="false">INT($C$2)-INT(Table3[[#This Row],[Last Purchase Date]])</f>
        <v>128</v>
      </c>
      <c r="D3944" s="1" t="n">
        <v>5</v>
      </c>
      <c r="E3944" s="1" t="n">
        <v>733.44</v>
      </c>
      <c r="F3944" s="1" t="n">
        <f aca="false">ROUND((1-_xlfn.PERCENTRANK.INC($C$7:$C$4378,C3944))*9,0)</f>
        <v>2</v>
      </c>
      <c r="G3944" s="1" t="n">
        <f aca="false">ROUND(_xlfn.PERCENTRANK.INC($D$7:$D$4378,D3944)*9,0)</f>
        <v>6</v>
      </c>
      <c r="H3944" s="1" t="n">
        <f aca="false">ROUND(_xlfn.PERCENTRANK.INC($E$7:$E$4378,E3944)*9,0)</f>
        <v>5</v>
      </c>
      <c r="I3944" s="1" t="str">
        <f aca="false">CONCATENATE(F3944,G3944,H3944)</f>
        <v>265</v>
      </c>
      <c r="J3944" s="1" t="str">
        <f aca="false">_xlfn.IFS(AND(F3944&gt;=8,G3944&gt;=8,H3944&gt;=8),"CHAMPION",AND(F3944&gt;=6,G3944&gt;=7,H3944&gt;=6),"LOYAL CUSTOMER",AND(F3944&gt;=6,G3944&gt;=5,H3944&gt;=5),"POTENTIAL LOYALIST",AND(F3944&gt;=8,G3944&lt;=2,H3944&gt;=5),"NEW CUSTOMERS",AND(F3944&gt;=6,G3944&lt;=2,H3944&gt;=3),"PROMISING",AND(F3944&gt;=3,G3944&gt;=3,H3944&gt;=3),"NEED ATTENTION",AND(F3944&lt;=4,G3944&gt;=6,H3944&gt;=6),"AT RISK",AND(F3944&lt;=2,G3944&gt;=8,H3944&gt;=8),"CAN'T LOSE THEM",AND(F3944&lt;=2,G3944&lt;=2,H3944&lt;=2),"HIBERNATING",TRUE(),"Other")</f>
        <v>Other</v>
      </c>
      <c r="K3944" s="1" t="n">
        <f aca="false">RANK(E3944,$E$7:$E$4378)+COUNTIF($E$7:E3944,E3944)-1</f>
        <v>2003</v>
      </c>
    </row>
    <row r="3945" customFormat="false" ht="14.25" hidden="false" customHeight="true" outlineLevel="0" collapsed="false">
      <c r="A3945" s="51" t="n">
        <v>17693</v>
      </c>
      <c r="B3945" s="53" t="n">
        <v>40750.7166666667</v>
      </c>
      <c r="C3945" s="57" t="n">
        <f aca="false">INT($C$2)-INT(Table3[[#This Row],[Last Purchase Date]])</f>
        <v>137</v>
      </c>
      <c r="D3945" s="1" t="n">
        <v>3</v>
      </c>
      <c r="E3945" s="1" t="n">
        <v>187.02</v>
      </c>
      <c r="F3945" s="1" t="n">
        <f aca="false">ROUND((1-_xlfn.PERCENTRANK.INC($C$7:$C$4378,C3945))*9,0)</f>
        <v>2</v>
      </c>
      <c r="G3945" s="1" t="n">
        <f aca="false">ROUND(_xlfn.PERCENTRANK.INC($D$7:$D$4378,D3945)*9,0)</f>
        <v>4</v>
      </c>
      <c r="H3945" s="1" t="n">
        <f aca="false">ROUND(_xlfn.PERCENTRANK.INC($E$7:$E$4378,E3945)*9,0)</f>
        <v>1</v>
      </c>
      <c r="I3945" s="1" t="str">
        <f aca="false">CONCATENATE(F3945,G3945,H3945)</f>
        <v>241</v>
      </c>
      <c r="J3945" s="1" t="str">
        <f aca="false">_xlfn.IFS(AND(F3945&gt;=8,G3945&gt;=8,H3945&gt;=8),"CHAMPION",AND(F3945&gt;=6,G3945&gt;=7,H3945&gt;=6),"LOYAL CUSTOMER",AND(F3945&gt;=6,G3945&gt;=5,H3945&gt;=5),"POTENTIAL LOYALIST",AND(F3945&gt;=8,G3945&lt;=2,H3945&gt;=5),"NEW CUSTOMERS",AND(F3945&gt;=6,G3945&lt;=2,H3945&gt;=3),"PROMISING",AND(F3945&gt;=3,G3945&gt;=3,H3945&gt;=3),"NEED ATTENTION",AND(F3945&lt;=4,G3945&gt;=6,H3945&gt;=6),"AT RISK",AND(F3945&lt;=2,G3945&gt;=8,H3945&gt;=8),"CAN'T LOSE THEM",AND(F3945&lt;=2,G3945&lt;=2,H3945&lt;=2),"HIBERNATING",TRUE(),"Other")</f>
        <v>Other</v>
      </c>
      <c r="K3945" s="1" t="n">
        <f aca="false">RANK(E3945,$E$7:$E$4378)+COUNTIF($E$7:E3945,E3945)-1</f>
        <v>3722</v>
      </c>
    </row>
    <row r="3946" customFormat="false" ht="14.25" hidden="false" customHeight="true" outlineLevel="0" collapsed="false">
      <c r="A3946" s="51" t="n">
        <v>17694</v>
      </c>
      <c r="B3946" s="53" t="n">
        <v>40745.5</v>
      </c>
      <c r="C3946" s="57" t="n">
        <f aca="false">INT($C$2)-INT(Table3[[#This Row],[Last Purchase Date]])</f>
        <v>142</v>
      </c>
      <c r="D3946" s="1" t="n">
        <v>1</v>
      </c>
      <c r="E3946" s="1" t="n">
        <v>283.12</v>
      </c>
      <c r="F3946" s="1" t="n">
        <f aca="false">ROUND((1-_xlfn.PERCENTRANK.INC($C$7:$C$4378,C3946))*9,0)</f>
        <v>2</v>
      </c>
      <c r="G3946" s="1" t="n">
        <f aca="false">ROUND(_xlfn.PERCENTRANK.INC($D$7:$D$4378,D3946)*9,0)</f>
        <v>0</v>
      </c>
      <c r="H3946" s="1" t="n">
        <f aca="false">ROUND(_xlfn.PERCENTRANK.INC($E$7:$E$4378,E3946)*9,0)</f>
        <v>2</v>
      </c>
      <c r="I3946" s="1" t="str">
        <f aca="false">CONCATENATE(F3946,G3946,H3946)</f>
        <v>202</v>
      </c>
      <c r="J3946" s="1" t="str">
        <f aca="false">_xlfn.IFS(AND(F3946&gt;=8,G3946&gt;=8,H3946&gt;=8),"CHAMPION",AND(F3946&gt;=6,G3946&gt;=7,H3946&gt;=6),"LOYAL CUSTOMER",AND(F3946&gt;=6,G3946&gt;=5,H3946&gt;=5),"POTENTIAL LOYALIST",AND(F3946&gt;=8,G3946&lt;=2,H3946&gt;=5),"NEW CUSTOMERS",AND(F3946&gt;=6,G3946&lt;=2,H3946&gt;=3),"PROMISING",AND(F3946&gt;=3,G3946&gt;=3,H3946&gt;=3),"NEED ATTENTION",AND(F3946&lt;=4,G3946&gt;=6,H3946&gt;=6),"AT RISK",AND(F3946&lt;=2,G3946&gt;=8,H3946&gt;=8),"CAN'T LOSE THEM",AND(F3946&lt;=2,G3946&lt;=2,H3946&lt;=2),"HIBERNATING",TRUE(),"Other")</f>
        <v>HIBERNATING</v>
      </c>
      <c r="K3946" s="1" t="n">
        <f aca="false">RANK(E3946,$E$7:$E$4378)+COUNTIF($E$7:E3946,E3946)-1</f>
        <v>3317</v>
      </c>
    </row>
    <row r="3947" customFormat="false" ht="14.25" hidden="false" customHeight="true" outlineLevel="0" collapsed="false">
      <c r="A3947" s="51" t="n">
        <v>17695</v>
      </c>
      <c r="B3947" s="53" t="n">
        <v>40755.4444444445</v>
      </c>
      <c r="C3947" s="57" t="n">
        <f aca="false">INT($C$2)-INT(Table3[[#This Row],[Last Purchase Date]])</f>
        <v>132</v>
      </c>
      <c r="D3947" s="1" t="n">
        <v>2</v>
      </c>
      <c r="E3947" s="1" t="n">
        <v>765.34</v>
      </c>
      <c r="F3947" s="1" t="n">
        <f aca="false">ROUND((1-_xlfn.PERCENTRANK.INC($C$7:$C$4378,C3947))*9,0)</f>
        <v>2</v>
      </c>
      <c r="G3947" s="1" t="n">
        <f aca="false">ROUND(_xlfn.PERCENTRANK.INC($D$7:$D$4378,D3947)*9,0)</f>
        <v>3</v>
      </c>
      <c r="H3947" s="1" t="n">
        <f aca="false">ROUND(_xlfn.PERCENTRANK.INC($E$7:$E$4378,E3947)*9,0)</f>
        <v>5</v>
      </c>
      <c r="I3947" s="1" t="str">
        <f aca="false">CONCATENATE(F3947,G3947,H3947)</f>
        <v>235</v>
      </c>
      <c r="J3947" s="1" t="str">
        <f aca="false">_xlfn.IFS(AND(F3947&gt;=8,G3947&gt;=8,H3947&gt;=8),"CHAMPION",AND(F3947&gt;=6,G3947&gt;=7,H3947&gt;=6),"LOYAL CUSTOMER",AND(F3947&gt;=6,G3947&gt;=5,H3947&gt;=5),"POTENTIAL LOYALIST",AND(F3947&gt;=8,G3947&lt;=2,H3947&gt;=5),"NEW CUSTOMERS",AND(F3947&gt;=6,G3947&lt;=2,H3947&gt;=3),"PROMISING",AND(F3947&gt;=3,G3947&gt;=3,H3947&gt;=3),"NEED ATTENTION",AND(F3947&lt;=4,G3947&gt;=6,H3947&gt;=6),"AT RISK",AND(F3947&lt;=2,G3947&gt;=8,H3947&gt;=8),"CAN'T LOSE THEM",AND(F3947&lt;=2,G3947&lt;=2,H3947&lt;=2),"HIBERNATING",TRUE(),"Other")</f>
        <v>Other</v>
      </c>
      <c r="K3947" s="1" t="n">
        <f aca="false">RANK(E3947,$E$7:$E$4378)+COUNTIF($E$7:E3947,E3947)-1</f>
        <v>1955</v>
      </c>
    </row>
    <row r="3948" customFormat="false" ht="14.25" hidden="false" customHeight="true" outlineLevel="0" collapsed="false">
      <c r="A3948" s="51" t="n">
        <v>17696</v>
      </c>
      <c r="B3948" s="53" t="n">
        <v>40848.5715277778</v>
      </c>
      <c r="C3948" s="57" t="n">
        <f aca="false">INT($C$2)-INT(Table3[[#This Row],[Last Purchase Date]])</f>
        <v>39</v>
      </c>
      <c r="D3948" s="1" t="n">
        <v>14</v>
      </c>
      <c r="E3948" s="1" t="n">
        <v>2201.05</v>
      </c>
      <c r="F3948" s="1" t="n">
        <f aca="false">ROUND((1-_xlfn.PERCENTRANK.INC($C$7:$C$4378,C3948))*9,0)</f>
        <v>5</v>
      </c>
      <c r="G3948" s="1" t="n">
        <f aca="false">ROUND(_xlfn.PERCENTRANK.INC($D$7:$D$4378,D3948)*9,0)</f>
        <v>8</v>
      </c>
      <c r="H3948" s="1" t="n">
        <f aca="false">ROUND(_xlfn.PERCENTRANK.INC($E$7:$E$4378,E3948)*9,0)</f>
        <v>7</v>
      </c>
      <c r="I3948" s="1" t="str">
        <f aca="false">CONCATENATE(F3948,G3948,H3948)</f>
        <v>587</v>
      </c>
      <c r="J3948" s="1" t="str">
        <f aca="false">_xlfn.IFS(AND(F3948&gt;=8,G3948&gt;=8,H3948&gt;=8),"CHAMPION",AND(F3948&gt;=6,G3948&gt;=7,H3948&gt;=6),"LOYAL CUSTOMER",AND(F3948&gt;=6,G3948&gt;=5,H3948&gt;=5),"POTENTIAL LOYALIST",AND(F3948&gt;=8,G3948&lt;=2,H3948&gt;=5),"NEW CUSTOMERS",AND(F3948&gt;=6,G3948&lt;=2,H3948&gt;=3),"PROMISING",AND(F3948&gt;=3,G3948&gt;=3,H3948&gt;=3),"NEED ATTENTION",AND(F3948&lt;=4,G3948&gt;=6,H3948&gt;=6),"AT RISK",AND(F3948&lt;=2,G3948&gt;=8,H3948&gt;=8),"CAN'T LOSE THEM",AND(F3948&lt;=2,G3948&lt;=2,H3948&lt;=2),"HIBERNATING",TRUE(),"Other")</f>
        <v>NEED ATTENTION</v>
      </c>
      <c r="K3948" s="1" t="n">
        <f aca="false">RANK(E3948,$E$7:$E$4378)+COUNTIF($E$7:E3948,E3948)-1</f>
        <v>784</v>
      </c>
    </row>
    <row r="3949" customFormat="false" ht="14.25" hidden="false" customHeight="true" outlineLevel="0" collapsed="false">
      <c r="A3949" s="51" t="n">
        <v>17697</v>
      </c>
      <c r="B3949" s="53" t="n">
        <v>40650.6527777778</v>
      </c>
      <c r="C3949" s="57" t="n">
        <f aca="false">INT($C$2)-INT(Table3[[#This Row],[Last Purchase Date]])</f>
        <v>237</v>
      </c>
      <c r="D3949" s="1" t="n">
        <v>1</v>
      </c>
      <c r="E3949" s="1" t="n">
        <v>338.95</v>
      </c>
      <c r="F3949" s="1" t="n">
        <f aca="false">ROUND((1-_xlfn.PERCENTRANK.INC($C$7:$C$4378,C3949))*9,0)</f>
        <v>1</v>
      </c>
      <c r="G3949" s="1" t="n">
        <f aca="false">ROUND(_xlfn.PERCENTRANK.INC($D$7:$D$4378,D3949)*9,0)</f>
        <v>0</v>
      </c>
      <c r="H3949" s="1" t="n">
        <f aca="false">ROUND(_xlfn.PERCENTRANK.INC($E$7:$E$4378,E3949)*9,0)</f>
        <v>3</v>
      </c>
      <c r="I3949" s="1" t="str">
        <f aca="false">CONCATENATE(F3949,G3949,H3949)</f>
        <v>103</v>
      </c>
      <c r="J3949" s="1" t="str">
        <f aca="false">_xlfn.IFS(AND(F3949&gt;=8,G3949&gt;=8,H3949&gt;=8),"CHAMPION",AND(F3949&gt;=6,G3949&gt;=7,H3949&gt;=6),"LOYAL CUSTOMER",AND(F3949&gt;=6,G3949&gt;=5,H3949&gt;=5),"POTENTIAL LOYALIST",AND(F3949&gt;=8,G3949&lt;=2,H3949&gt;=5),"NEW CUSTOMERS",AND(F3949&gt;=6,G3949&lt;=2,H3949&gt;=3),"PROMISING",AND(F3949&gt;=3,G3949&gt;=3,H3949&gt;=3),"NEED ATTENTION",AND(F3949&lt;=4,G3949&gt;=6,H3949&gt;=6),"AT RISK",AND(F3949&lt;=2,G3949&gt;=8,H3949&gt;=8),"CAN'T LOSE THEM",AND(F3949&lt;=2,G3949&lt;=2,H3949&lt;=2),"HIBERNATING",TRUE(),"Other")</f>
        <v>Other</v>
      </c>
      <c r="K3949" s="1" t="n">
        <f aca="false">RANK(E3949,$E$7:$E$4378)+COUNTIF($E$7:E3949,E3949)-1</f>
        <v>3055</v>
      </c>
    </row>
    <row r="3950" customFormat="false" ht="14.25" hidden="false" customHeight="true" outlineLevel="0" collapsed="false">
      <c r="A3950" s="51" t="n">
        <v>17698</v>
      </c>
      <c r="B3950" s="53" t="n">
        <v>40626.4819444444</v>
      </c>
      <c r="C3950" s="57" t="n">
        <f aca="false">INT($C$2)-INT(Table3[[#This Row],[Last Purchase Date]])</f>
        <v>261</v>
      </c>
      <c r="D3950" s="1" t="n">
        <v>1</v>
      </c>
      <c r="E3950" s="1" t="n">
        <v>154.95</v>
      </c>
      <c r="F3950" s="1" t="n">
        <f aca="false">ROUND((1-_xlfn.PERCENTRANK.INC($C$7:$C$4378,C3950))*9,0)</f>
        <v>1</v>
      </c>
      <c r="G3950" s="1" t="n">
        <f aca="false">ROUND(_xlfn.PERCENTRANK.INC($D$7:$D$4378,D3950)*9,0)</f>
        <v>0</v>
      </c>
      <c r="H3950" s="1" t="n">
        <f aca="false">ROUND(_xlfn.PERCENTRANK.INC($E$7:$E$4378,E3950)*9,0)</f>
        <v>1</v>
      </c>
      <c r="I3950" s="1" t="str">
        <f aca="false">CONCATENATE(F3950,G3950,H3950)</f>
        <v>101</v>
      </c>
      <c r="J3950" s="1" t="str">
        <f aca="false">_xlfn.IFS(AND(F3950&gt;=8,G3950&gt;=8,H3950&gt;=8),"CHAMPION",AND(F3950&gt;=6,G3950&gt;=7,H3950&gt;=6),"LOYAL CUSTOMER",AND(F3950&gt;=6,G3950&gt;=5,H3950&gt;=5),"POTENTIAL LOYALIST",AND(F3950&gt;=8,G3950&lt;=2,H3950&gt;=5),"NEW CUSTOMERS",AND(F3950&gt;=6,G3950&lt;=2,H3950&gt;=3),"PROMISING",AND(F3950&gt;=3,G3950&gt;=3,H3950&gt;=3),"NEED ATTENTION",AND(F3950&lt;=4,G3950&gt;=6,H3950&gt;=6),"AT RISK",AND(F3950&lt;=2,G3950&gt;=8,H3950&gt;=8),"CAN'T LOSE THEM",AND(F3950&lt;=2,G3950&lt;=2,H3950&lt;=2),"HIBERNATING",TRUE(),"Other")</f>
        <v>HIBERNATING</v>
      </c>
      <c r="K3950" s="1" t="n">
        <f aca="false">RANK(E3950,$E$7:$E$4378)+COUNTIF($E$7:E3950,E3950)-1</f>
        <v>3891</v>
      </c>
    </row>
    <row r="3951" customFormat="false" ht="14.25" hidden="false" customHeight="true" outlineLevel="0" collapsed="false">
      <c r="A3951" s="51" t="n">
        <v>17700</v>
      </c>
      <c r="B3951" s="53" t="n">
        <v>40870.49375</v>
      </c>
      <c r="C3951" s="57" t="n">
        <f aca="false">INT($C$2)-INT(Table3[[#This Row],[Last Purchase Date]])</f>
        <v>17</v>
      </c>
      <c r="D3951" s="1" t="n">
        <v>6</v>
      </c>
      <c r="E3951" s="1" t="n">
        <v>2508.89</v>
      </c>
      <c r="F3951" s="1" t="n">
        <f aca="false">ROUND((1-_xlfn.PERCENTRANK.INC($C$7:$C$4378,C3951))*9,0)</f>
        <v>7</v>
      </c>
      <c r="G3951" s="1" t="n">
        <f aca="false">ROUND(_xlfn.PERCENTRANK.INC($D$7:$D$4378,D3951)*9,0)</f>
        <v>7</v>
      </c>
      <c r="H3951" s="1" t="n">
        <f aca="false">ROUND(_xlfn.PERCENTRANK.INC($E$7:$E$4378,E3951)*9,0)</f>
        <v>8</v>
      </c>
      <c r="I3951" s="1" t="str">
        <f aca="false">CONCATENATE(F3951,G3951,H3951)</f>
        <v>778</v>
      </c>
      <c r="J3951" s="1" t="str">
        <f aca="false">_xlfn.IFS(AND(F3951&gt;=8,G3951&gt;=8,H3951&gt;=8),"CHAMPION",AND(F3951&gt;=6,G3951&gt;=7,H3951&gt;=6),"LOYAL CUSTOMER",AND(F3951&gt;=6,G3951&gt;=5,H3951&gt;=5),"POTENTIAL LOYALIST",AND(F3951&gt;=8,G3951&lt;=2,H3951&gt;=5),"NEW CUSTOMERS",AND(F3951&gt;=6,G3951&lt;=2,H3951&gt;=3),"PROMISING",AND(F3951&gt;=3,G3951&gt;=3,H3951&gt;=3),"NEED ATTENTION",AND(F3951&lt;=4,G3951&gt;=6,H3951&gt;=6),"AT RISK",AND(F3951&lt;=2,G3951&gt;=8,H3951&gt;=8),"CAN'T LOSE THEM",AND(F3951&lt;=2,G3951&lt;=2,H3951&lt;=2),"HIBERNATING",TRUE(),"Other")</f>
        <v>LOYAL CUSTOMER</v>
      </c>
      <c r="K3951" s="1" t="n">
        <f aca="false">RANK(E3951,$E$7:$E$4378)+COUNTIF($E$7:E3951,E3951)-1</f>
        <v>678</v>
      </c>
    </row>
    <row r="3952" customFormat="false" ht="14.25" hidden="false" customHeight="true" outlineLevel="0" collapsed="false">
      <c r="A3952" s="51" t="n">
        <v>17701</v>
      </c>
      <c r="B3952" s="53" t="n">
        <v>40634.5173611111</v>
      </c>
      <c r="C3952" s="57" t="n">
        <f aca="false">INT($C$2)-INT(Table3[[#This Row],[Last Purchase Date]])</f>
        <v>253</v>
      </c>
      <c r="D3952" s="1" t="n">
        <v>1</v>
      </c>
      <c r="E3952" s="1" t="n">
        <v>417.95</v>
      </c>
      <c r="F3952" s="1" t="n">
        <f aca="false">ROUND((1-_xlfn.PERCENTRANK.INC($C$7:$C$4378,C3952))*9,0)</f>
        <v>1</v>
      </c>
      <c r="G3952" s="1" t="n">
        <f aca="false">ROUND(_xlfn.PERCENTRANK.INC($D$7:$D$4378,D3952)*9,0)</f>
        <v>0</v>
      </c>
      <c r="H3952" s="1" t="n">
        <f aca="false">ROUND(_xlfn.PERCENTRANK.INC($E$7:$E$4378,E3952)*9,0)</f>
        <v>3</v>
      </c>
      <c r="I3952" s="1" t="str">
        <f aca="false">CONCATENATE(F3952,G3952,H3952)</f>
        <v>103</v>
      </c>
      <c r="J3952" s="1" t="str">
        <f aca="false">_xlfn.IFS(AND(F3952&gt;=8,G3952&gt;=8,H3952&gt;=8),"CHAMPION",AND(F3952&gt;=6,G3952&gt;=7,H3952&gt;=6),"LOYAL CUSTOMER",AND(F3952&gt;=6,G3952&gt;=5,H3952&gt;=5),"POTENTIAL LOYALIST",AND(F3952&gt;=8,G3952&lt;=2,H3952&gt;=5),"NEW CUSTOMERS",AND(F3952&gt;=6,G3952&lt;=2,H3952&gt;=3),"PROMISING",AND(F3952&gt;=3,G3952&gt;=3,H3952&gt;=3),"NEED ATTENTION",AND(F3952&lt;=4,G3952&gt;=6,H3952&gt;=6),"AT RISK",AND(F3952&lt;=2,G3952&gt;=8,H3952&gt;=8),"CAN'T LOSE THEM",AND(F3952&lt;=2,G3952&lt;=2,H3952&lt;=2),"HIBERNATING",TRUE(),"Other")</f>
        <v>Other</v>
      </c>
      <c r="K3952" s="1" t="n">
        <f aca="false">RANK(E3952,$E$7:$E$4378)+COUNTIF($E$7:E3952,E3952)-1</f>
        <v>2756</v>
      </c>
    </row>
    <row r="3953" customFormat="false" ht="14.25" hidden="false" customHeight="true" outlineLevel="0" collapsed="false">
      <c r="A3953" s="51" t="n">
        <v>17702</v>
      </c>
      <c r="B3953" s="53" t="n">
        <v>40856.66875</v>
      </c>
      <c r="C3953" s="57" t="n">
        <f aca="false">INT($C$2)-INT(Table3[[#This Row],[Last Purchase Date]])</f>
        <v>31</v>
      </c>
      <c r="D3953" s="1" t="n">
        <v>6</v>
      </c>
      <c r="E3953" s="1" t="n">
        <v>1719.72</v>
      </c>
      <c r="F3953" s="1" t="n">
        <f aca="false">ROUND((1-_xlfn.PERCENTRANK.INC($C$7:$C$4378,C3953))*9,0)</f>
        <v>6</v>
      </c>
      <c r="G3953" s="1" t="n">
        <f aca="false">ROUND(_xlfn.PERCENTRANK.INC($D$7:$D$4378,D3953)*9,0)</f>
        <v>7</v>
      </c>
      <c r="H3953" s="1" t="n">
        <f aca="false">ROUND(_xlfn.PERCENTRANK.INC($E$7:$E$4378,E3953)*9,0)</f>
        <v>7</v>
      </c>
      <c r="I3953" s="1" t="str">
        <f aca="false">CONCATENATE(F3953,G3953,H3953)</f>
        <v>677</v>
      </c>
      <c r="J3953" s="1" t="str">
        <f aca="false">_xlfn.IFS(AND(F3953&gt;=8,G3953&gt;=8,H3953&gt;=8),"CHAMPION",AND(F3953&gt;=6,G3953&gt;=7,H3953&gt;=6),"LOYAL CUSTOMER",AND(F3953&gt;=6,G3953&gt;=5,H3953&gt;=5),"POTENTIAL LOYALIST",AND(F3953&gt;=8,G3953&lt;=2,H3953&gt;=5),"NEW CUSTOMERS",AND(F3953&gt;=6,G3953&lt;=2,H3953&gt;=3),"PROMISING",AND(F3953&gt;=3,G3953&gt;=3,H3953&gt;=3),"NEED ATTENTION",AND(F3953&lt;=4,G3953&gt;=6,H3953&gt;=6),"AT RISK",AND(F3953&lt;=2,G3953&gt;=8,H3953&gt;=8),"CAN'T LOSE THEM",AND(F3953&lt;=2,G3953&lt;=2,H3953&lt;=2),"HIBERNATING",TRUE(),"Other")</f>
        <v>LOYAL CUSTOMER</v>
      </c>
      <c r="K3953" s="1" t="n">
        <f aca="false">RANK(E3953,$E$7:$E$4378)+COUNTIF($E$7:E3953,E3953)-1</f>
        <v>1025</v>
      </c>
    </row>
    <row r="3954" customFormat="false" ht="14.25" hidden="false" customHeight="true" outlineLevel="0" collapsed="false">
      <c r="A3954" s="51" t="n">
        <v>17703</v>
      </c>
      <c r="B3954" s="53" t="n">
        <v>40851.6604166667</v>
      </c>
      <c r="C3954" s="57" t="n">
        <f aca="false">INT($C$2)-INT(Table3[[#This Row],[Last Purchase Date]])</f>
        <v>36</v>
      </c>
      <c r="D3954" s="1" t="n">
        <v>3</v>
      </c>
      <c r="E3954" s="1" t="n">
        <v>798.74</v>
      </c>
      <c r="F3954" s="1" t="n">
        <f aca="false">ROUND((1-_xlfn.PERCENTRANK.INC($C$7:$C$4378,C3954))*9,0)</f>
        <v>5</v>
      </c>
      <c r="G3954" s="1" t="n">
        <f aca="false">ROUND(_xlfn.PERCENTRANK.INC($D$7:$D$4378,D3954)*9,0)</f>
        <v>4</v>
      </c>
      <c r="H3954" s="1" t="n">
        <f aca="false">ROUND(_xlfn.PERCENTRANK.INC($E$7:$E$4378,E3954)*9,0)</f>
        <v>5</v>
      </c>
      <c r="I3954" s="1" t="str">
        <f aca="false">CONCATENATE(F3954,G3954,H3954)</f>
        <v>545</v>
      </c>
      <c r="J3954" s="1" t="str">
        <f aca="false">_xlfn.IFS(AND(F3954&gt;=8,G3954&gt;=8,H3954&gt;=8),"CHAMPION",AND(F3954&gt;=6,G3954&gt;=7,H3954&gt;=6),"LOYAL CUSTOMER",AND(F3954&gt;=6,G3954&gt;=5,H3954&gt;=5),"POTENTIAL LOYALIST",AND(F3954&gt;=8,G3954&lt;=2,H3954&gt;=5),"NEW CUSTOMERS",AND(F3954&gt;=6,G3954&lt;=2,H3954&gt;=3),"PROMISING",AND(F3954&gt;=3,G3954&gt;=3,H3954&gt;=3),"NEED ATTENTION",AND(F3954&lt;=4,G3954&gt;=6,H3954&gt;=6),"AT RISK",AND(F3954&lt;=2,G3954&gt;=8,H3954&gt;=8),"CAN'T LOSE THEM",AND(F3954&lt;=2,G3954&lt;=2,H3954&lt;=2),"HIBERNATING",TRUE(),"Other")</f>
        <v>NEED ATTENTION</v>
      </c>
      <c r="K3954" s="1" t="n">
        <f aca="false">RANK(E3954,$E$7:$E$4378)+COUNTIF($E$7:E3954,E3954)-1</f>
        <v>1903</v>
      </c>
    </row>
    <row r="3955" customFormat="false" ht="14.25" hidden="false" customHeight="true" outlineLevel="0" collapsed="false">
      <c r="A3955" s="51" t="n">
        <v>17704</v>
      </c>
      <c r="B3955" s="53" t="n">
        <v>40718.4027777778</v>
      </c>
      <c r="C3955" s="57" t="n">
        <f aca="false">INT($C$2)-INT(Table3[[#This Row],[Last Purchase Date]])</f>
        <v>169</v>
      </c>
      <c r="D3955" s="1" t="n">
        <v>2</v>
      </c>
      <c r="E3955" s="1" t="n">
        <v>885.19</v>
      </c>
      <c r="F3955" s="1" t="n">
        <f aca="false">ROUND((1-_xlfn.PERCENTRANK.INC($C$7:$C$4378,C3955))*9,0)</f>
        <v>2</v>
      </c>
      <c r="G3955" s="1" t="n">
        <f aca="false">ROUND(_xlfn.PERCENTRANK.INC($D$7:$D$4378,D3955)*9,0)</f>
        <v>3</v>
      </c>
      <c r="H3955" s="1" t="n">
        <f aca="false">ROUND(_xlfn.PERCENTRANK.INC($E$7:$E$4378,E3955)*9,0)</f>
        <v>5</v>
      </c>
      <c r="I3955" s="1" t="str">
        <f aca="false">CONCATENATE(F3955,G3955,H3955)</f>
        <v>235</v>
      </c>
      <c r="J3955" s="1" t="str">
        <f aca="false">_xlfn.IFS(AND(F3955&gt;=8,G3955&gt;=8,H3955&gt;=8),"CHAMPION",AND(F3955&gt;=6,G3955&gt;=7,H3955&gt;=6),"LOYAL CUSTOMER",AND(F3955&gt;=6,G3955&gt;=5,H3955&gt;=5),"POTENTIAL LOYALIST",AND(F3955&gt;=8,G3955&lt;=2,H3955&gt;=5),"NEW CUSTOMERS",AND(F3955&gt;=6,G3955&lt;=2,H3955&gt;=3),"PROMISING",AND(F3955&gt;=3,G3955&gt;=3,H3955&gt;=3),"NEED ATTENTION",AND(F3955&lt;=4,G3955&gt;=6,H3955&gt;=6),"AT RISK",AND(F3955&lt;=2,G3955&gt;=8,H3955&gt;=8),"CAN'T LOSE THEM",AND(F3955&lt;=2,G3955&lt;=2,H3955&lt;=2),"HIBERNATING",TRUE(),"Other")</f>
        <v>Other</v>
      </c>
      <c r="K3955" s="1" t="n">
        <f aca="false">RANK(E3955,$E$7:$E$4378)+COUNTIF($E$7:E3955,E3955)-1</f>
        <v>1781</v>
      </c>
    </row>
    <row r="3956" customFormat="false" ht="14.25" hidden="false" customHeight="true" outlineLevel="0" collapsed="false">
      <c r="A3956" s="51" t="n">
        <v>17705</v>
      </c>
      <c r="B3956" s="53" t="n">
        <v>40883.5729166667</v>
      </c>
      <c r="C3956" s="57" t="n">
        <f aca="false">INT($C$2)-INT(Table3[[#This Row],[Last Purchase Date]])</f>
        <v>4</v>
      </c>
      <c r="D3956" s="1" t="n">
        <v>10</v>
      </c>
      <c r="E3956" s="1" t="n">
        <v>1781.12</v>
      </c>
      <c r="F3956" s="1" t="n">
        <f aca="false">ROUND((1-_xlfn.PERCENTRANK.INC($C$7:$C$4378,C3956))*9,0)</f>
        <v>8</v>
      </c>
      <c r="G3956" s="1" t="n">
        <f aca="false">ROUND(_xlfn.PERCENTRANK.INC($D$7:$D$4378,D3956)*9,0)</f>
        <v>8</v>
      </c>
      <c r="H3956" s="1" t="n">
        <f aca="false">ROUND(_xlfn.PERCENTRANK.INC($E$7:$E$4378,E3956)*9,0)</f>
        <v>7</v>
      </c>
      <c r="I3956" s="1" t="str">
        <f aca="false">CONCATENATE(F3956,G3956,H3956)</f>
        <v>887</v>
      </c>
      <c r="J3956" s="1" t="str">
        <f aca="false">_xlfn.IFS(AND(F3956&gt;=8,G3956&gt;=8,H3956&gt;=8),"CHAMPION",AND(F3956&gt;=6,G3956&gt;=7,H3956&gt;=6),"LOYAL CUSTOMER",AND(F3956&gt;=6,G3956&gt;=5,H3956&gt;=5),"POTENTIAL LOYALIST",AND(F3956&gt;=8,G3956&lt;=2,H3956&gt;=5),"NEW CUSTOMERS",AND(F3956&gt;=6,G3956&lt;=2,H3956&gt;=3),"PROMISING",AND(F3956&gt;=3,G3956&gt;=3,H3956&gt;=3),"NEED ATTENTION",AND(F3956&lt;=4,G3956&gt;=6,H3956&gt;=6),"AT RISK",AND(F3956&lt;=2,G3956&gt;=8,H3956&gt;=8),"CAN'T LOSE THEM",AND(F3956&lt;=2,G3956&lt;=2,H3956&lt;=2),"HIBERNATING",TRUE(),"Other")</f>
        <v>LOYAL CUSTOMER</v>
      </c>
      <c r="K3956" s="1" t="n">
        <f aca="false">RANK(E3956,$E$7:$E$4378)+COUNTIF($E$7:E3956,E3956)-1</f>
        <v>989</v>
      </c>
    </row>
    <row r="3957" customFormat="false" ht="14.25" hidden="false" customHeight="true" outlineLevel="0" collapsed="false">
      <c r="A3957" s="51" t="n">
        <v>17706</v>
      </c>
      <c r="B3957" s="53" t="n">
        <v>40882.5652777778</v>
      </c>
      <c r="C3957" s="57" t="n">
        <f aca="false">INT($C$2)-INT(Table3[[#This Row],[Last Purchase Date]])</f>
        <v>5</v>
      </c>
      <c r="D3957" s="1" t="n">
        <v>22</v>
      </c>
      <c r="E3957" s="1" t="n">
        <v>10097.37</v>
      </c>
      <c r="F3957" s="1" t="n">
        <f aca="false">ROUND((1-_xlfn.PERCENTRANK.INC($C$7:$C$4378,C3957))*9,0)</f>
        <v>8</v>
      </c>
      <c r="G3957" s="1" t="n">
        <f aca="false">ROUND(_xlfn.PERCENTRANK.INC($D$7:$D$4378,D3957)*9,0)</f>
        <v>9</v>
      </c>
      <c r="H3957" s="1" t="n">
        <f aca="false">ROUND(_xlfn.PERCENTRANK.INC($E$7:$E$4378,E3957)*9,0)</f>
        <v>9</v>
      </c>
      <c r="I3957" s="1" t="str">
        <f aca="false">CONCATENATE(F3957,G3957,H3957)</f>
        <v>899</v>
      </c>
      <c r="J3957" s="1" t="str">
        <f aca="false">_xlfn.IFS(AND(F3957&gt;=8,G3957&gt;=8,H3957&gt;=8),"CHAMPION",AND(F3957&gt;=6,G3957&gt;=7,H3957&gt;=6),"LOYAL CUSTOMER",AND(F3957&gt;=6,G3957&gt;=5,H3957&gt;=5),"POTENTIAL LOYALIST",AND(F3957&gt;=8,G3957&lt;=2,H3957&gt;=5),"NEW CUSTOMERS",AND(F3957&gt;=6,G3957&lt;=2,H3957&gt;=3),"PROMISING",AND(F3957&gt;=3,G3957&gt;=3,H3957&gt;=3),"NEED ATTENTION",AND(F3957&lt;=4,G3957&gt;=6,H3957&gt;=6),"AT RISK",AND(F3957&lt;=2,G3957&gt;=8,H3957&gt;=8),"CAN'T LOSE THEM",AND(F3957&lt;=2,G3957&lt;=2,H3957&lt;=2),"HIBERNATING",TRUE(),"Other")</f>
        <v>CHAMPION</v>
      </c>
      <c r="K3957" s="1" t="n">
        <f aca="false">RANK(E3957,$E$7:$E$4378)+COUNTIF($E$7:E3957,E3957)-1</f>
        <v>97</v>
      </c>
    </row>
    <row r="3958" customFormat="false" ht="14.25" hidden="false" customHeight="true" outlineLevel="0" collapsed="false">
      <c r="A3958" s="51" t="n">
        <v>17707</v>
      </c>
      <c r="B3958" s="53" t="n">
        <v>40701.6270833333</v>
      </c>
      <c r="C3958" s="57" t="n">
        <f aca="false">INT($C$2)-INT(Table3[[#This Row],[Last Purchase Date]])</f>
        <v>186</v>
      </c>
      <c r="D3958" s="1" t="n">
        <v>2</v>
      </c>
      <c r="E3958" s="1" t="n">
        <v>152.4</v>
      </c>
      <c r="F3958" s="1" t="n">
        <f aca="false">ROUND((1-_xlfn.PERCENTRANK.INC($C$7:$C$4378,C3958))*9,0)</f>
        <v>2</v>
      </c>
      <c r="G3958" s="1" t="n">
        <f aca="false">ROUND(_xlfn.PERCENTRANK.INC($D$7:$D$4378,D3958)*9,0)</f>
        <v>3</v>
      </c>
      <c r="H3958" s="1" t="n">
        <f aca="false">ROUND(_xlfn.PERCENTRANK.INC($E$7:$E$4378,E3958)*9,0)</f>
        <v>1</v>
      </c>
      <c r="I3958" s="1" t="str">
        <f aca="false">CONCATENATE(F3958,G3958,H3958)</f>
        <v>231</v>
      </c>
      <c r="J3958" s="1" t="str">
        <f aca="false">_xlfn.IFS(AND(F3958&gt;=8,G3958&gt;=8,H3958&gt;=8),"CHAMPION",AND(F3958&gt;=6,G3958&gt;=7,H3958&gt;=6),"LOYAL CUSTOMER",AND(F3958&gt;=6,G3958&gt;=5,H3958&gt;=5),"POTENTIAL LOYALIST",AND(F3958&gt;=8,G3958&lt;=2,H3958&gt;=5),"NEW CUSTOMERS",AND(F3958&gt;=6,G3958&lt;=2,H3958&gt;=3),"PROMISING",AND(F3958&gt;=3,G3958&gt;=3,H3958&gt;=3),"NEED ATTENTION",AND(F3958&lt;=4,G3958&gt;=6,H3958&gt;=6),"AT RISK",AND(F3958&lt;=2,G3958&gt;=8,H3958&gt;=8),"CAN'T LOSE THEM",AND(F3958&lt;=2,G3958&lt;=2,H3958&lt;=2),"HIBERNATING",TRUE(),"Other")</f>
        <v>Other</v>
      </c>
      <c r="K3958" s="1" t="n">
        <f aca="false">RANK(E3958,$E$7:$E$4378)+COUNTIF($E$7:E3958,E3958)-1</f>
        <v>3905</v>
      </c>
    </row>
    <row r="3959" customFormat="false" ht="14.25" hidden="false" customHeight="true" outlineLevel="0" collapsed="false">
      <c r="A3959" s="51" t="n">
        <v>17708</v>
      </c>
      <c r="B3959" s="53" t="n">
        <v>40699.425</v>
      </c>
      <c r="C3959" s="57" t="n">
        <f aca="false">INT($C$2)-INT(Table3[[#This Row],[Last Purchase Date]])</f>
        <v>188</v>
      </c>
      <c r="D3959" s="1" t="n">
        <v>2</v>
      </c>
      <c r="E3959" s="1" t="n">
        <v>267.08</v>
      </c>
      <c r="F3959" s="1" t="n">
        <f aca="false">ROUND((1-_xlfn.PERCENTRANK.INC($C$7:$C$4378,C3959))*9,0)</f>
        <v>2</v>
      </c>
      <c r="G3959" s="1" t="n">
        <f aca="false">ROUND(_xlfn.PERCENTRANK.INC($D$7:$D$4378,D3959)*9,0)</f>
        <v>3</v>
      </c>
      <c r="H3959" s="1" t="n">
        <f aca="false">ROUND(_xlfn.PERCENTRANK.INC($E$7:$E$4378,E3959)*9,0)</f>
        <v>2</v>
      </c>
      <c r="I3959" s="1" t="str">
        <f aca="false">CONCATENATE(F3959,G3959,H3959)</f>
        <v>232</v>
      </c>
      <c r="J3959" s="1" t="str">
        <f aca="false">_xlfn.IFS(AND(F3959&gt;=8,G3959&gt;=8,H3959&gt;=8),"CHAMPION",AND(F3959&gt;=6,G3959&gt;=7,H3959&gt;=6),"LOYAL CUSTOMER",AND(F3959&gt;=6,G3959&gt;=5,H3959&gt;=5),"POTENTIAL LOYALIST",AND(F3959&gt;=8,G3959&lt;=2,H3959&gt;=5),"NEW CUSTOMERS",AND(F3959&gt;=6,G3959&lt;=2,H3959&gt;=3),"PROMISING",AND(F3959&gt;=3,G3959&gt;=3,H3959&gt;=3),"NEED ATTENTION",AND(F3959&lt;=4,G3959&gt;=6,H3959&gt;=6),"AT RISK",AND(F3959&lt;=2,G3959&gt;=8,H3959&gt;=8),"CAN'T LOSE THEM",AND(F3959&lt;=2,G3959&lt;=2,H3959&lt;=2),"HIBERNATING",TRUE(),"Other")</f>
        <v>Other</v>
      </c>
      <c r="K3959" s="1" t="n">
        <f aca="false">RANK(E3959,$E$7:$E$4378)+COUNTIF($E$7:E3959,E3959)-1</f>
        <v>3371</v>
      </c>
    </row>
    <row r="3960" customFormat="false" ht="14.25" hidden="false" customHeight="true" outlineLevel="0" collapsed="false">
      <c r="A3960" s="51" t="n">
        <v>17709</v>
      </c>
      <c r="B3960" s="53" t="n">
        <v>40717.4965277778</v>
      </c>
      <c r="C3960" s="57" t="n">
        <f aca="false">INT($C$2)-INT(Table3[[#This Row],[Last Purchase Date]])</f>
        <v>170</v>
      </c>
      <c r="D3960" s="1" t="n">
        <v>1</v>
      </c>
      <c r="E3960" s="1" t="n">
        <v>137.45</v>
      </c>
      <c r="F3960" s="1" t="n">
        <f aca="false">ROUND((1-_xlfn.PERCENTRANK.INC($C$7:$C$4378,C3960))*9,0)</f>
        <v>2</v>
      </c>
      <c r="G3960" s="1" t="n">
        <f aca="false">ROUND(_xlfn.PERCENTRANK.INC($D$7:$D$4378,D3960)*9,0)</f>
        <v>0</v>
      </c>
      <c r="H3960" s="1" t="n">
        <f aca="false">ROUND(_xlfn.PERCENTRANK.INC($E$7:$E$4378,E3960)*9,0)</f>
        <v>1</v>
      </c>
      <c r="I3960" s="1" t="str">
        <f aca="false">CONCATENATE(F3960,G3960,H3960)</f>
        <v>201</v>
      </c>
      <c r="J3960" s="1" t="str">
        <f aca="false">_xlfn.IFS(AND(F3960&gt;=8,G3960&gt;=8,H3960&gt;=8),"CHAMPION",AND(F3960&gt;=6,G3960&gt;=7,H3960&gt;=6),"LOYAL CUSTOMER",AND(F3960&gt;=6,G3960&gt;=5,H3960&gt;=5),"POTENTIAL LOYALIST",AND(F3960&gt;=8,G3960&lt;=2,H3960&gt;=5),"NEW CUSTOMERS",AND(F3960&gt;=6,G3960&lt;=2,H3960&gt;=3),"PROMISING",AND(F3960&gt;=3,G3960&gt;=3,H3960&gt;=3),"NEED ATTENTION",AND(F3960&lt;=4,G3960&gt;=6,H3960&gt;=6),"AT RISK",AND(F3960&lt;=2,G3960&gt;=8,H3960&gt;=8),"CAN'T LOSE THEM",AND(F3960&lt;=2,G3960&lt;=2,H3960&lt;=2),"HIBERNATING",TRUE(),"Other")</f>
        <v>HIBERNATING</v>
      </c>
      <c r="K3960" s="1" t="n">
        <f aca="false">RANK(E3960,$E$7:$E$4378)+COUNTIF($E$7:E3960,E3960)-1</f>
        <v>3973</v>
      </c>
    </row>
    <row r="3961" customFormat="false" ht="14.25" hidden="false" customHeight="true" outlineLevel="0" collapsed="false">
      <c r="A3961" s="51" t="n">
        <v>17711</v>
      </c>
      <c r="B3961" s="53" t="n">
        <v>40876.4861111111</v>
      </c>
      <c r="C3961" s="57" t="n">
        <f aca="false">INT($C$2)-INT(Table3[[#This Row],[Last Purchase Date]])</f>
        <v>11</v>
      </c>
      <c r="D3961" s="1" t="n">
        <v>2</v>
      </c>
      <c r="E3961" s="1" t="n">
        <v>385.1</v>
      </c>
      <c r="F3961" s="1" t="n">
        <f aca="false">ROUND((1-_xlfn.PERCENTRANK.INC($C$7:$C$4378,C3961))*9,0)</f>
        <v>7</v>
      </c>
      <c r="G3961" s="1" t="n">
        <f aca="false">ROUND(_xlfn.PERCENTRANK.INC($D$7:$D$4378,D3961)*9,0)</f>
        <v>3</v>
      </c>
      <c r="H3961" s="1" t="n">
        <f aca="false">ROUND(_xlfn.PERCENTRANK.INC($E$7:$E$4378,E3961)*9,0)</f>
        <v>3</v>
      </c>
      <c r="I3961" s="1" t="str">
        <f aca="false">CONCATENATE(F3961,G3961,H3961)</f>
        <v>733</v>
      </c>
      <c r="J3961" s="1" t="str">
        <f aca="false">_xlfn.IFS(AND(F3961&gt;=8,G3961&gt;=8,H3961&gt;=8),"CHAMPION",AND(F3961&gt;=6,G3961&gt;=7,H3961&gt;=6),"LOYAL CUSTOMER",AND(F3961&gt;=6,G3961&gt;=5,H3961&gt;=5),"POTENTIAL LOYALIST",AND(F3961&gt;=8,G3961&lt;=2,H3961&gt;=5),"NEW CUSTOMERS",AND(F3961&gt;=6,G3961&lt;=2,H3961&gt;=3),"PROMISING",AND(F3961&gt;=3,G3961&gt;=3,H3961&gt;=3),"NEED ATTENTION",AND(F3961&lt;=4,G3961&gt;=6,H3961&gt;=6),"AT RISK",AND(F3961&lt;=2,G3961&gt;=8,H3961&gt;=8),"CAN'T LOSE THEM",AND(F3961&lt;=2,G3961&lt;=2,H3961&lt;=2),"HIBERNATING",TRUE(),"Other")</f>
        <v>NEED ATTENTION</v>
      </c>
      <c r="K3961" s="1" t="n">
        <f aca="false">RANK(E3961,$E$7:$E$4378)+COUNTIF($E$7:E3961,E3961)-1</f>
        <v>2866</v>
      </c>
    </row>
    <row r="3962" customFormat="false" ht="14.25" hidden="false" customHeight="true" outlineLevel="0" collapsed="false">
      <c r="A3962" s="51" t="n">
        <v>17712</v>
      </c>
      <c r="B3962" s="53" t="n">
        <v>40842.5194444444</v>
      </c>
      <c r="C3962" s="57" t="n">
        <f aca="false">INT($C$2)-INT(Table3[[#This Row],[Last Purchase Date]])</f>
        <v>45</v>
      </c>
      <c r="D3962" s="1" t="n">
        <v>1</v>
      </c>
      <c r="E3962" s="1" t="n">
        <v>522.91</v>
      </c>
      <c r="F3962" s="1" t="n">
        <f aca="false">ROUND((1-_xlfn.PERCENTRANK.INC($C$7:$C$4378,C3962))*9,0)</f>
        <v>5</v>
      </c>
      <c r="G3962" s="1" t="n">
        <f aca="false">ROUND(_xlfn.PERCENTRANK.INC($D$7:$D$4378,D3962)*9,0)</f>
        <v>0</v>
      </c>
      <c r="H3962" s="1" t="n">
        <f aca="false">ROUND(_xlfn.PERCENTRANK.INC($E$7:$E$4378,E3962)*9,0)</f>
        <v>4</v>
      </c>
      <c r="I3962" s="1" t="str">
        <f aca="false">CONCATENATE(F3962,G3962,H3962)</f>
        <v>504</v>
      </c>
      <c r="J3962" s="1" t="str">
        <f aca="false">_xlfn.IFS(AND(F3962&gt;=8,G3962&gt;=8,H3962&gt;=8),"CHAMPION",AND(F3962&gt;=6,G3962&gt;=7,H3962&gt;=6),"LOYAL CUSTOMER",AND(F3962&gt;=6,G3962&gt;=5,H3962&gt;=5),"POTENTIAL LOYALIST",AND(F3962&gt;=8,G3962&lt;=2,H3962&gt;=5),"NEW CUSTOMERS",AND(F3962&gt;=6,G3962&lt;=2,H3962&gt;=3),"PROMISING",AND(F3962&gt;=3,G3962&gt;=3,H3962&gt;=3),"NEED ATTENTION",AND(F3962&lt;=4,G3962&gt;=6,H3962&gt;=6),"AT RISK",AND(F3962&lt;=2,G3962&gt;=8,H3962&gt;=8),"CAN'T LOSE THEM",AND(F3962&lt;=2,G3962&lt;=2,H3962&lt;=2),"HIBERNATING",TRUE(),"Other")</f>
        <v>Other</v>
      </c>
      <c r="K3962" s="1" t="n">
        <f aca="false">RANK(E3962,$E$7:$E$4378)+COUNTIF($E$7:E3962,E3962)-1</f>
        <v>2494</v>
      </c>
    </row>
    <row r="3963" customFormat="false" ht="14.25" hidden="false" customHeight="true" outlineLevel="0" collapsed="false">
      <c r="A3963" s="51" t="n">
        <v>17714</v>
      </c>
      <c r="B3963" s="53" t="n">
        <v>40566.4388888889</v>
      </c>
      <c r="C3963" s="57" t="n">
        <f aca="false">INT($C$2)-INT(Table3[[#This Row],[Last Purchase Date]])</f>
        <v>321</v>
      </c>
      <c r="D3963" s="1" t="n">
        <v>1</v>
      </c>
      <c r="E3963" s="1" t="n">
        <v>153</v>
      </c>
      <c r="F3963" s="1" t="n">
        <f aca="false">ROUND((1-_xlfn.PERCENTRANK.INC($C$7:$C$4378,C3963))*9,0)</f>
        <v>0</v>
      </c>
      <c r="G3963" s="1" t="n">
        <f aca="false">ROUND(_xlfn.PERCENTRANK.INC($D$7:$D$4378,D3963)*9,0)</f>
        <v>0</v>
      </c>
      <c r="H3963" s="1" t="n">
        <f aca="false">ROUND(_xlfn.PERCENTRANK.INC($E$7:$E$4378,E3963)*9,0)</f>
        <v>1</v>
      </c>
      <c r="I3963" s="1" t="str">
        <f aca="false">CONCATENATE(F3963,G3963,H3963)</f>
        <v>001</v>
      </c>
      <c r="J3963" s="1" t="str">
        <f aca="false">_xlfn.IFS(AND(F3963&gt;=8,G3963&gt;=8,H3963&gt;=8),"CHAMPION",AND(F3963&gt;=6,G3963&gt;=7,H3963&gt;=6),"LOYAL CUSTOMER",AND(F3963&gt;=6,G3963&gt;=5,H3963&gt;=5),"POTENTIAL LOYALIST",AND(F3963&gt;=8,G3963&lt;=2,H3963&gt;=5),"NEW CUSTOMERS",AND(F3963&gt;=6,G3963&lt;=2,H3963&gt;=3),"PROMISING",AND(F3963&gt;=3,G3963&gt;=3,H3963&gt;=3),"NEED ATTENTION",AND(F3963&lt;=4,G3963&gt;=6,H3963&gt;=6),"AT RISK",AND(F3963&lt;=2,G3963&gt;=8,H3963&gt;=8),"CAN'T LOSE THEM",AND(F3963&lt;=2,G3963&lt;=2,H3963&lt;=2),"HIBERNATING",TRUE(),"Other")</f>
        <v>HIBERNATING</v>
      </c>
      <c r="K3963" s="1" t="n">
        <f aca="false">RANK(E3963,$E$7:$E$4378)+COUNTIF($E$7:E3963,E3963)-1</f>
        <v>3900</v>
      </c>
    </row>
    <row r="3964" customFormat="false" ht="14.25" hidden="false" customHeight="true" outlineLevel="0" collapsed="false">
      <c r="A3964" s="51" t="n">
        <v>17715</v>
      </c>
      <c r="B3964" s="53" t="n">
        <v>40686.5222222222</v>
      </c>
      <c r="C3964" s="57" t="n">
        <f aca="false">INT($C$2)-INT(Table3[[#This Row],[Last Purchase Date]])</f>
        <v>201</v>
      </c>
      <c r="D3964" s="1" t="n">
        <v>1</v>
      </c>
      <c r="E3964" s="1" t="n">
        <v>326.4</v>
      </c>
      <c r="F3964" s="1" t="n">
        <f aca="false">ROUND((1-_xlfn.PERCENTRANK.INC($C$7:$C$4378,C3964))*9,0)</f>
        <v>2</v>
      </c>
      <c r="G3964" s="1" t="n">
        <f aca="false">ROUND(_xlfn.PERCENTRANK.INC($D$7:$D$4378,D3964)*9,0)</f>
        <v>0</v>
      </c>
      <c r="H3964" s="1" t="n">
        <f aca="false">ROUND(_xlfn.PERCENTRANK.INC($E$7:$E$4378,E3964)*9,0)</f>
        <v>3</v>
      </c>
      <c r="I3964" s="1" t="str">
        <f aca="false">CONCATENATE(F3964,G3964,H3964)</f>
        <v>203</v>
      </c>
      <c r="J3964" s="1" t="str">
        <f aca="false">_xlfn.IFS(AND(F3964&gt;=8,G3964&gt;=8,H3964&gt;=8),"CHAMPION",AND(F3964&gt;=6,G3964&gt;=7,H3964&gt;=6),"LOYAL CUSTOMER",AND(F3964&gt;=6,G3964&gt;=5,H3964&gt;=5),"POTENTIAL LOYALIST",AND(F3964&gt;=8,G3964&lt;=2,H3964&gt;=5),"NEW CUSTOMERS",AND(F3964&gt;=6,G3964&lt;=2,H3964&gt;=3),"PROMISING",AND(F3964&gt;=3,G3964&gt;=3,H3964&gt;=3),"NEED ATTENTION",AND(F3964&lt;=4,G3964&gt;=6,H3964&gt;=6),"AT RISK",AND(F3964&lt;=2,G3964&gt;=8,H3964&gt;=8),"CAN'T LOSE THEM",AND(F3964&lt;=2,G3964&lt;=2,H3964&lt;=2),"HIBERNATING",TRUE(),"Other")</f>
        <v>Other</v>
      </c>
      <c r="K3964" s="1" t="n">
        <f aca="false">RANK(E3964,$E$7:$E$4378)+COUNTIF($E$7:E3964,E3964)-1</f>
        <v>3111</v>
      </c>
    </row>
    <row r="3965" customFormat="false" ht="14.25" hidden="false" customHeight="true" outlineLevel="0" collapsed="false">
      <c r="A3965" s="51" t="n">
        <v>17716</v>
      </c>
      <c r="B3965" s="53" t="n">
        <v>40864.5</v>
      </c>
      <c r="C3965" s="57" t="n">
        <f aca="false">INT($C$2)-INT(Table3[[#This Row],[Last Purchase Date]])</f>
        <v>23</v>
      </c>
      <c r="D3965" s="1" t="n">
        <v>12</v>
      </c>
      <c r="E3965" s="1" t="n">
        <v>5505.79</v>
      </c>
      <c r="F3965" s="1" t="n">
        <f aca="false">ROUND((1-_xlfn.PERCENTRANK.INC($C$7:$C$4378,C3965))*9,0)</f>
        <v>6</v>
      </c>
      <c r="G3965" s="1" t="n">
        <f aca="false">ROUND(_xlfn.PERCENTRANK.INC($D$7:$D$4378,D3965)*9,0)</f>
        <v>8</v>
      </c>
      <c r="H3965" s="1" t="n">
        <f aca="false">ROUND(_xlfn.PERCENTRANK.INC($E$7:$E$4378,E3965)*9,0)</f>
        <v>9</v>
      </c>
      <c r="I3965" s="1" t="str">
        <f aca="false">CONCATENATE(F3965,G3965,H3965)</f>
        <v>689</v>
      </c>
      <c r="J3965" s="1" t="str">
        <f aca="false">_xlfn.IFS(AND(F3965&gt;=8,G3965&gt;=8,H3965&gt;=8),"CHAMPION",AND(F3965&gt;=6,G3965&gt;=7,H3965&gt;=6),"LOYAL CUSTOMER",AND(F3965&gt;=6,G3965&gt;=5,H3965&gt;=5),"POTENTIAL LOYALIST",AND(F3965&gt;=8,G3965&lt;=2,H3965&gt;=5),"NEW CUSTOMERS",AND(F3965&gt;=6,G3965&lt;=2,H3965&gt;=3),"PROMISING",AND(F3965&gt;=3,G3965&gt;=3,H3965&gt;=3),"NEED ATTENTION",AND(F3965&lt;=4,G3965&gt;=6,H3965&gt;=6),"AT RISK",AND(F3965&lt;=2,G3965&gt;=8,H3965&gt;=8),"CAN'T LOSE THEM",AND(F3965&lt;=2,G3965&lt;=2,H3965&lt;=2),"HIBERNATING",TRUE(),"Other")</f>
        <v>LOYAL CUSTOMER</v>
      </c>
      <c r="K3965" s="1" t="n">
        <f aca="false">RANK(E3965,$E$7:$E$4378)+COUNTIF($E$7:E3965,E3965)-1</f>
        <v>229</v>
      </c>
    </row>
    <row r="3966" customFormat="false" ht="14.25" hidden="false" customHeight="true" outlineLevel="0" collapsed="false">
      <c r="A3966" s="51" t="n">
        <v>17718</v>
      </c>
      <c r="B3966" s="53" t="n">
        <v>40654.56875</v>
      </c>
      <c r="C3966" s="57" t="n">
        <f aca="false">INT($C$2)-INT(Table3[[#This Row],[Last Purchase Date]])</f>
        <v>233</v>
      </c>
      <c r="D3966" s="1" t="n">
        <v>1</v>
      </c>
      <c r="E3966" s="1" t="n">
        <v>139.35</v>
      </c>
      <c r="F3966" s="1" t="n">
        <f aca="false">ROUND((1-_xlfn.PERCENTRANK.INC($C$7:$C$4378,C3966))*9,0)</f>
        <v>1</v>
      </c>
      <c r="G3966" s="1" t="n">
        <f aca="false">ROUND(_xlfn.PERCENTRANK.INC($D$7:$D$4378,D3966)*9,0)</f>
        <v>0</v>
      </c>
      <c r="H3966" s="1" t="n">
        <f aca="false">ROUND(_xlfn.PERCENTRANK.INC($E$7:$E$4378,E3966)*9,0)</f>
        <v>1</v>
      </c>
      <c r="I3966" s="1" t="str">
        <f aca="false">CONCATENATE(F3966,G3966,H3966)</f>
        <v>101</v>
      </c>
      <c r="J3966" s="1" t="str">
        <f aca="false">_xlfn.IFS(AND(F3966&gt;=8,G3966&gt;=8,H3966&gt;=8),"CHAMPION",AND(F3966&gt;=6,G3966&gt;=7,H3966&gt;=6),"LOYAL CUSTOMER",AND(F3966&gt;=6,G3966&gt;=5,H3966&gt;=5),"POTENTIAL LOYALIST",AND(F3966&gt;=8,G3966&lt;=2,H3966&gt;=5),"NEW CUSTOMERS",AND(F3966&gt;=6,G3966&lt;=2,H3966&gt;=3),"PROMISING",AND(F3966&gt;=3,G3966&gt;=3,H3966&gt;=3),"NEED ATTENTION",AND(F3966&lt;=4,G3966&gt;=6,H3966&gt;=6),"AT RISK",AND(F3966&lt;=2,G3966&gt;=8,H3966&gt;=8),"CAN'T LOSE THEM",AND(F3966&lt;=2,G3966&lt;=2,H3966&lt;=2),"HIBERNATING",TRUE(),"Other")</f>
        <v>HIBERNATING</v>
      </c>
      <c r="K3966" s="1" t="n">
        <f aca="false">RANK(E3966,$E$7:$E$4378)+COUNTIF($E$7:E3966,E3966)-1</f>
        <v>3961</v>
      </c>
    </row>
    <row r="3967" customFormat="false" ht="14.25" hidden="false" customHeight="true" outlineLevel="0" collapsed="false">
      <c r="A3967" s="51" t="n">
        <v>17719</v>
      </c>
      <c r="B3967" s="53" t="n">
        <v>40849.4416666667</v>
      </c>
      <c r="C3967" s="57" t="n">
        <f aca="false">INT($C$2)-INT(Table3[[#This Row],[Last Purchase Date]])</f>
        <v>38</v>
      </c>
      <c r="D3967" s="1" t="n">
        <v>18</v>
      </c>
      <c r="E3967" s="1" t="n">
        <v>5367.8</v>
      </c>
      <c r="F3967" s="1" t="n">
        <f aca="false">ROUND((1-_xlfn.PERCENTRANK.INC($C$7:$C$4378,C3967))*9,0)</f>
        <v>5</v>
      </c>
      <c r="G3967" s="1" t="n">
        <f aca="false">ROUND(_xlfn.PERCENTRANK.INC($D$7:$D$4378,D3967)*9,0)</f>
        <v>9</v>
      </c>
      <c r="H3967" s="1" t="n">
        <f aca="false">ROUND(_xlfn.PERCENTRANK.INC($E$7:$E$4378,E3967)*9,0)</f>
        <v>9</v>
      </c>
      <c r="I3967" s="1" t="str">
        <f aca="false">CONCATENATE(F3967,G3967,H3967)</f>
        <v>599</v>
      </c>
      <c r="J3967" s="1" t="str">
        <f aca="false">_xlfn.IFS(AND(F3967&gt;=8,G3967&gt;=8,H3967&gt;=8),"CHAMPION",AND(F3967&gt;=6,G3967&gt;=7,H3967&gt;=6),"LOYAL CUSTOMER",AND(F3967&gt;=6,G3967&gt;=5,H3967&gt;=5),"POTENTIAL LOYALIST",AND(F3967&gt;=8,G3967&lt;=2,H3967&gt;=5),"NEW CUSTOMERS",AND(F3967&gt;=6,G3967&lt;=2,H3967&gt;=3),"PROMISING",AND(F3967&gt;=3,G3967&gt;=3,H3967&gt;=3),"NEED ATTENTION",AND(F3967&lt;=4,G3967&gt;=6,H3967&gt;=6),"AT RISK",AND(F3967&lt;=2,G3967&gt;=8,H3967&gt;=8),"CAN'T LOSE THEM",AND(F3967&lt;=2,G3967&lt;=2,H3967&lt;=2),"HIBERNATING",TRUE(),"Other")</f>
        <v>NEED ATTENTION</v>
      </c>
      <c r="K3967" s="1" t="n">
        <f aca="false">RANK(E3967,$E$7:$E$4378)+COUNTIF($E$7:E3967,E3967)-1</f>
        <v>235</v>
      </c>
    </row>
    <row r="3968" customFormat="false" ht="14.25" hidden="false" customHeight="true" outlineLevel="0" collapsed="false">
      <c r="A3968" s="51" t="n">
        <v>17720</v>
      </c>
      <c r="B3968" s="53" t="n">
        <v>40860.6277777778</v>
      </c>
      <c r="C3968" s="57" t="n">
        <f aca="false">INT($C$2)-INT(Table3[[#This Row],[Last Purchase Date]])</f>
        <v>27</v>
      </c>
      <c r="D3968" s="1" t="n">
        <v>4</v>
      </c>
      <c r="E3968" s="1" t="n">
        <v>1195.94</v>
      </c>
      <c r="F3968" s="1" t="n">
        <f aca="false">ROUND((1-_xlfn.PERCENTRANK.INC($C$7:$C$4378,C3968))*9,0)</f>
        <v>6</v>
      </c>
      <c r="G3968" s="1" t="n">
        <f aca="false">ROUND(_xlfn.PERCENTRANK.INC($D$7:$D$4378,D3968)*9,0)</f>
        <v>5</v>
      </c>
      <c r="H3968" s="1" t="n">
        <f aca="false">ROUND(_xlfn.PERCENTRANK.INC($E$7:$E$4378,E3968)*9,0)</f>
        <v>6</v>
      </c>
      <c r="I3968" s="1" t="str">
        <f aca="false">CONCATENATE(F3968,G3968,H3968)</f>
        <v>656</v>
      </c>
      <c r="J3968" s="1" t="str">
        <f aca="false">_xlfn.IFS(AND(F3968&gt;=8,G3968&gt;=8,H3968&gt;=8),"CHAMPION",AND(F3968&gt;=6,G3968&gt;=7,H3968&gt;=6),"LOYAL CUSTOMER",AND(F3968&gt;=6,G3968&gt;=5,H3968&gt;=5),"POTENTIAL LOYALIST",AND(F3968&gt;=8,G3968&lt;=2,H3968&gt;=5),"NEW CUSTOMERS",AND(F3968&gt;=6,G3968&lt;=2,H3968&gt;=3),"PROMISING",AND(F3968&gt;=3,G3968&gt;=3,H3968&gt;=3),"NEED ATTENTION",AND(F3968&lt;=4,G3968&gt;=6,H3968&gt;=6),"AT RISK",AND(F3968&lt;=2,G3968&gt;=8,H3968&gt;=8),"CAN'T LOSE THEM",AND(F3968&lt;=2,G3968&lt;=2,H3968&lt;=2),"HIBERNATING",TRUE(),"Other")</f>
        <v>POTENTIAL LOYALIST</v>
      </c>
      <c r="K3968" s="1" t="n">
        <f aca="false">RANK(E3968,$E$7:$E$4378)+COUNTIF($E$7:E3968,E3968)-1</f>
        <v>1417</v>
      </c>
    </row>
    <row r="3969" customFormat="false" ht="14.25" hidden="false" customHeight="true" outlineLevel="0" collapsed="false">
      <c r="A3969" s="51" t="n">
        <v>17722</v>
      </c>
      <c r="B3969" s="53" t="n">
        <v>40790.6402777778</v>
      </c>
      <c r="C3969" s="57" t="n">
        <f aca="false">INT($C$2)-INT(Table3[[#This Row],[Last Purchase Date]])</f>
        <v>97</v>
      </c>
      <c r="D3969" s="1" t="n">
        <v>6</v>
      </c>
      <c r="E3969" s="1" t="n">
        <v>2380.64</v>
      </c>
      <c r="F3969" s="1" t="n">
        <f aca="false">ROUND((1-_xlfn.PERCENTRANK.INC($C$7:$C$4378,C3969))*9,0)</f>
        <v>3</v>
      </c>
      <c r="G3969" s="1" t="n">
        <f aca="false">ROUND(_xlfn.PERCENTRANK.INC($D$7:$D$4378,D3969)*9,0)</f>
        <v>7</v>
      </c>
      <c r="H3969" s="1" t="n">
        <f aca="false">ROUND(_xlfn.PERCENTRANK.INC($E$7:$E$4378,E3969)*9,0)</f>
        <v>8</v>
      </c>
      <c r="I3969" s="1" t="str">
        <f aca="false">CONCATENATE(F3969,G3969,H3969)</f>
        <v>378</v>
      </c>
      <c r="J3969" s="1" t="str">
        <f aca="false">_xlfn.IFS(AND(F3969&gt;=8,G3969&gt;=8,H3969&gt;=8),"CHAMPION",AND(F3969&gt;=6,G3969&gt;=7,H3969&gt;=6),"LOYAL CUSTOMER",AND(F3969&gt;=6,G3969&gt;=5,H3969&gt;=5),"POTENTIAL LOYALIST",AND(F3969&gt;=8,G3969&lt;=2,H3969&gt;=5),"NEW CUSTOMERS",AND(F3969&gt;=6,G3969&lt;=2,H3969&gt;=3),"PROMISING",AND(F3969&gt;=3,G3969&gt;=3,H3969&gt;=3),"NEED ATTENTION",AND(F3969&lt;=4,G3969&gt;=6,H3969&gt;=6),"AT RISK",AND(F3969&lt;=2,G3969&gt;=8,H3969&gt;=8),"CAN'T LOSE THEM",AND(F3969&lt;=2,G3969&lt;=2,H3969&lt;=2),"HIBERNATING",TRUE(),"Other")</f>
        <v>NEED ATTENTION</v>
      </c>
      <c r="K3969" s="1" t="n">
        <f aca="false">RANK(E3969,$E$7:$E$4378)+COUNTIF($E$7:E3969,E3969)-1</f>
        <v>716</v>
      </c>
    </row>
    <row r="3970" customFormat="false" ht="14.25" hidden="false" customHeight="true" outlineLevel="0" collapsed="false">
      <c r="A3970" s="51" t="n">
        <v>17723</v>
      </c>
      <c r="B3970" s="53" t="n">
        <v>40759.7756944444</v>
      </c>
      <c r="C3970" s="57" t="n">
        <f aca="false">INT($C$2)-INT(Table3[[#This Row],[Last Purchase Date]])</f>
        <v>128</v>
      </c>
      <c r="D3970" s="1" t="n">
        <v>6</v>
      </c>
      <c r="E3970" s="1" t="n">
        <v>3276.4</v>
      </c>
      <c r="F3970" s="1" t="n">
        <f aca="false">ROUND((1-_xlfn.PERCENTRANK.INC($C$7:$C$4378,C3970))*9,0)</f>
        <v>2</v>
      </c>
      <c r="G3970" s="1" t="n">
        <f aca="false">ROUND(_xlfn.PERCENTRANK.INC($D$7:$D$4378,D3970)*9,0)</f>
        <v>7</v>
      </c>
      <c r="H3970" s="1" t="n">
        <f aca="false">ROUND(_xlfn.PERCENTRANK.INC($E$7:$E$4378,E3970)*9,0)</f>
        <v>8</v>
      </c>
      <c r="I3970" s="1" t="str">
        <f aca="false">CONCATENATE(F3970,G3970,H3970)</f>
        <v>278</v>
      </c>
      <c r="J3970" s="1" t="str">
        <f aca="false">_xlfn.IFS(AND(F3970&gt;=8,G3970&gt;=8,H3970&gt;=8),"CHAMPION",AND(F3970&gt;=6,G3970&gt;=7,H3970&gt;=6),"LOYAL CUSTOMER",AND(F3970&gt;=6,G3970&gt;=5,H3970&gt;=5),"POTENTIAL LOYALIST",AND(F3970&gt;=8,G3970&lt;=2,H3970&gt;=5),"NEW CUSTOMERS",AND(F3970&gt;=6,G3970&lt;=2,H3970&gt;=3),"PROMISING",AND(F3970&gt;=3,G3970&gt;=3,H3970&gt;=3),"NEED ATTENTION",AND(F3970&lt;=4,G3970&gt;=6,H3970&gt;=6),"AT RISK",AND(F3970&lt;=2,G3970&gt;=8,H3970&gt;=8),"CAN'T LOSE THEM",AND(F3970&lt;=2,G3970&lt;=2,H3970&lt;=2),"HIBERNATING",TRUE(),"Other")</f>
        <v>AT RISK</v>
      </c>
      <c r="K3970" s="1" t="n">
        <f aca="false">RANK(E3970,$E$7:$E$4378)+COUNTIF($E$7:E3970,E3970)-1</f>
        <v>482</v>
      </c>
    </row>
    <row r="3971" customFormat="false" ht="14.25" hidden="false" customHeight="true" outlineLevel="0" collapsed="false">
      <c r="A3971" s="51" t="n">
        <v>17724</v>
      </c>
      <c r="B3971" s="53" t="n">
        <v>40829.4534722222</v>
      </c>
      <c r="C3971" s="57" t="n">
        <f aca="false">INT($C$2)-INT(Table3[[#This Row],[Last Purchase Date]])</f>
        <v>58</v>
      </c>
      <c r="D3971" s="1" t="n">
        <v>4</v>
      </c>
      <c r="E3971" s="1" t="n">
        <v>995.65</v>
      </c>
      <c r="F3971" s="1" t="n">
        <f aca="false">ROUND((1-_xlfn.PERCENTRANK.INC($C$7:$C$4378,C3971))*9,0)</f>
        <v>4</v>
      </c>
      <c r="G3971" s="1" t="n">
        <f aca="false">ROUND(_xlfn.PERCENTRANK.INC($D$7:$D$4378,D3971)*9,0)</f>
        <v>5</v>
      </c>
      <c r="H3971" s="1" t="n">
        <f aca="false">ROUND(_xlfn.PERCENTRANK.INC($E$7:$E$4378,E3971)*9,0)</f>
        <v>6</v>
      </c>
      <c r="I3971" s="1" t="str">
        <f aca="false">CONCATENATE(F3971,G3971,H3971)</f>
        <v>456</v>
      </c>
      <c r="J3971" s="1" t="str">
        <f aca="false">_xlfn.IFS(AND(F3971&gt;=8,G3971&gt;=8,H3971&gt;=8),"CHAMPION",AND(F3971&gt;=6,G3971&gt;=7,H3971&gt;=6),"LOYAL CUSTOMER",AND(F3971&gt;=6,G3971&gt;=5,H3971&gt;=5),"POTENTIAL LOYALIST",AND(F3971&gt;=8,G3971&lt;=2,H3971&gt;=5),"NEW CUSTOMERS",AND(F3971&gt;=6,G3971&lt;=2,H3971&gt;=3),"PROMISING",AND(F3971&gt;=3,G3971&gt;=3,H3971&gt;=3),"NEED ATTENTION",AND(F3971&lt;=4,G3971&gt;=6,H3971&gt;=6),"AT RISK",AND(F3971&lt;=2,G3971&gt;=8,H3971&gt;=8),"CAN'T LOSE THEM",AND(F3971&lt;=2,G3971&lt;=2,H3971&lt;=2),"HIBERNATING",TRUE(),"Other")</f>
        <v>NEED ATTENTION</v>
      </c>
      <c r="K3971" s="1" t="n">
        <f aca="false">RANK(E3971,$E$7:$E$4378)+COUNTIF($E$7:E3971,E3971)-1</f>
        <v>1640</v>
      </c>
    </row>
    <row r="3972" customFormat="false" ht="14.25" hidden="false" customHeight="true" outlineLevel="0" collapsed="false">
      <c r="A3972" s="51" t="n">
        <v>17725</v>
      </c>
      <c r="B3972" s="53" t="n">
        <v>40870.6902777778</v>
      </c>
      <c r="C3972" s="57" t="n">
        <f aca="false">INT($C$2)-INT(Table3[[#This Row],[Last Purchase Date]])</f>
        <v>17</v>
      </c>
      <c r="D3972" s="1" t="n">
        <v>14</v>
      </c>
      <c r="E3972" s="1" t="n">
        <v>3371.13</v>
      </c>
      <c r="F3972" s="1" t="n">
        <f aca="false">ROUND((1-_xlfn.PERCENTRANK.INC($C$7:$C$4378,C3972))*9,0)</f>
        <v>7</v>
      </c>
      <c r="G3972" s="1" t="n">
        <f aca="false">ROUND(_xlfn.PERCENTRANK.INC($D$7:$D$4378,D3972)*9,0)</f>
        <v>8</v>
      </c>
      <c r="H3972" s="1" t="n">
        <f aca="false">ROUND(_xlfn.PERCENTRANK.INC($E$7:$E$4378,E3972)*9,0)</f>
        <v>8</v>
      </c>
      <c r="I3972" s="1" t="str">
        <f aca="false">CONCATENATE(F3972,G3972,H3972)</f>
        <v>788</v>
      </c>
      <c r="J3972" s="1" t="str">
        <f aca="false">_xlfn.IFS(AND(F3972&gt;=8,G3972&gt;=8,H3972&gt;=8),"CHAMPION",AND(F3972&gt;=6,G3972&gt;=7,H3972&gt;=6),"LOYAL CUSTOMER",AND(F3972&gt;=6,G3972&gt;=5,H3972&gt;=5),"POTENTIAL LOYALIST",AND(F3972&gt;=8,G3972&lt;=2,H3972&gt;=5),"NEW CUSTOMERS",AND(F3972&gt;=6,G3972&lt;=2,H3972&gt;=3),"PROMISING",AND(F3972&gt;=3,G3972&gt;=3,H3972&gt;=3),"NEED ATTENTION",AND(F3972&lt;=4,G3972&gt;=6,H3972&gt;=6),"AT RISK",AND(F3972&lt;=2,G3972&gt;=8,H3972&gt;=8),"CAN'T LOSE THEM",AND(F3972&lt;=2,G3972&lt;=2,H3972&lt;=2),"HIBERNATING",TRUE(),"Other")</f>
        <v>LOYAL CUSTOMER</v>
      </c>
      <c r="K3972" s="1" t="n">
        <f aca="false">RANK(E3972,$E$7:$E$4378)+COUNTIF($E$7:E3972,E3972)-1</f>
        <v>464</v>
      </c>
    </row>
    <row r="3973" customFormat="false" ht="14.25" hidden="false" customHeight="true" outlineLevel="0" collapsed="false">
      <c r="A3973" s="51" t="n">
        <v>17727</v>
      </c>
      <c r="B3973" s="53" t="n">
        <v>40877.6395833333</v>
      </c>
      <c r="C3973" s="57" t="n">
        <f aca="false">INT($C$2)-INT(Table3[[#This Row],[Last Purchase Date]])</f>
        <v>10</v>
      </c>
      <c r="D3973" s="1" t="n">
        <v>2</v>
      </c>
      <c r="E3973" s="1" t="n">
        <v>1042.55</v>
      </c>
      <c r="F3973" s="1" t="n">
        <f aca="false">ROUND((1-_xlfn.PERCENTRANK.INC($C$7:$C$4378,C3973))*9,0)</f>
        <v>8</v>
      </c>
      <c r="G3973" s="1" t="n">
        <f aca="false">ROUND(_xlfn.PERCENTRANK.INC($D$7:$D$4378,D3973)*9,0)</f>
        <v>3</v>
      </c>
      <c r="H3973" s="1" t="n">
        <f aca="false">ROUND(_xlfn.PERCENTRANK.INC($E$7:$E$4378,E3973)*9,0)</f>
        <v>6</v>
      </c>
      <c r="I3973" s="1" t="str">
        <f aca="false">CONCATENATE(F3973,G3973,H3973)</f>
        <v>836</v>
      </c>
      <c r="J3973" s="1" t="str">
        <f aca="false">_xlfn.IFS(AND(F3973&gt;=8,G3973&gt;=8,H3973&gt;=8),"CHAMPION",AND(F3973&gt;=6,G3973&gt;=7,H3973&gt;=6),"LOYAL CUSTOMER",AND(F3973&gt;=6,G3973&gt;=5,H3973&gt;=5),"POTENTIAL LOYALIST",AND(F3973&gt;=8,G3973&lt;=2,H3973&gt;=5),"NEW CUSTOMERS",AND(F3973&gt;=6,G3973&lt;=2,H3973&gt;=3),"PROMISING",AND(F3973&gt;=3,G3973&gt;=3,H3973&gt;=3),"NEED ATTENTION",AND(F3973&lt;=4,G3973&gt;=6,H3973&gt;=6),"AT RISK",AND(F3973&lt;=2,G3973&gt;=8,H3973&gt;=8),"CAN'T LOSE THEM",AND(F3973&lt;=2,G3973&lt;=2,H3973&lt;=2),"HIBERNATING",TRUE(),"Other")</f>
        <v>NEED ATTENTION</v>
      </c>
      <c r="K3973" s="1" t="n">
        <f aca="false">RANK(E3973,$E$7:$E$4378)+COUNTIF($E$7:E3973,E3973)-1</f>
        <v>1575</v>
      </c>
    </row>
    <row r="3974" customFormat="false" ht="14.25" hidden="false" customHeight="true" outlineLevel="0" collapsed="false">
      <c r="A3974" s="51" t="n">
        <v>17728</v>
      </c>
      <c r="B3974" s="53" t="n">
        <v>40883.3694444444</v>
      </c>
      <c r="C3974" s="57" t="n">
        <f aca="false">INT($C$2)-INT(Table3[[#This Row],[Last Purchase Date]])</f>
        <v>4</v>
      </c>
      <c r="D3974" s="1" t="n">
        <v>5</v>
      </c>
      <c r="E3974" s="1" t="n">
        <v>2515.68</v>
      </c>
      <c r="F3974" s="1" t="n">
        <f aca="false">ROUND((1-_xlfn.PERCENTRANK.INC($C$7:$C$4378,C3974))*9,0)</f>
        <v>8</v>
      </c>
      <c r="G3974" s="1" t="n">
        <f aca="false">ROUND(_xlfn.PERCENTRANK.INC($D$7:$D$4378,D3974)*9,0)</f>
        <v>6</v>
      </c>
      <c r="H3974" s="1" t="n">
        <f aca="false">ROUND(_xlfn.PERCENTRANK.INC($E$7:$E$4378,E3974)*9,0)</f>
        <v>8</v>
      </c>
      <c r="I3974" s="1" t="str">
        <f aca="false">CONCATENATE(F3974,G3974,H3974)</f>
        <v>868</v>
      </c>
      <c r="J3974" s="1" t="str">
        <f aca="false">_xlfn.IFS(AND(F3974&gt;=8,G3974&gt;=8,H3974&gt;=8),"CHAMPION",AND(F3974&gt;=6,G3974&gt;=7,H3974&gt;=6),"LOYAL CUSTOMER",AND(F3974&gt;=6,G3974&gt;=5,H3974&gt;=5),"POTENTIAL LOYALIST",AND(F3974&gt;=8,G3974&lt;=2,H3974&gt;=5),"NEW CUSTOMERS",AND(F3974&gt;=6,G3974&lt;=2,H3974&gt;=3),"PROMISING",AND(F3974&gt;=3,G3974&gt;=3,H3974&gt;=3),"NEED ATTENTION",AND(F3974&lt;=4,G3974&gt;=6,H3974&gt;=6),"AT RISK",AND(F3974&lt;=2,G3974&gt;=8,H3974&gt;=8),"CAN'T LOSE THEM",AND(F3974&lt;=2,G3974&lt;=2,H3974&lt;=2),"HIBERNATING",TRUE(),"Other")</f>
        <v>POTENTIAL LOYALIST</v>
      </c>
      <c r="K3974" s="1" t="n">
        <f aca="false">RANK(E3974,$E$7:$E$4378)+COUNTIF($E$7:E3974,E3974)-1</f>
        <v>676</v>
      </c>
    </row>
    <row r="3975" customFormat="false" ht="14.25" hidden="false" customHeight="true" outlineLevel="0" collapsed="false">
      <c r="A3975" s="51" t="n">
        <v>17730</v>
      </c>
      <c r="B3975" s="53" t="n">
        <v>40883.6548611111</v>
      </c>
      <c r="C3975" s="57" t="n">
        <f aca="false">INT($C$2)-INT(Table3[[#This Row],[Last Purchase Date]])</f>
        <v>4</v>
      </c>
      <c r="D3975" s="1" t="n">
        <v>15</v>
      </c>
      <c r="E3975" s="1" t="n">
        <v>5288.83</v>
      </c>
      <c r="F3975" s="1" t="n">
        <f aca="false">ROUND((1-_xlfn.PERCENTRANK.INC($C$7:$C$4378,C3975))*9,0)</f>
        <v>8</v>
      </c>
      <c r="G3975" s="1" t="n">
        <f aca="false">ROUND(_xlfn.PERCENTRANK.INC($D$7:$D$4378,D3975)*9,0)</f>
        <v>8</v>
      </c>
      <c r="H3975" s="1" t="n">
        <f aca="false">ROUND(_xlfn.PERCENTRANK.INC($E$7:$E$4378,E3975)*9,0)</f>
        <v>9</v>
      </c>
      <c r="I3975" s="1" t="str">
        <f aca="false">CONCATENATE(F3975,G3975,H3975)</f>
        <v>889</v>
      </c>
      <c r="J3975" s="1" t="str">
        <f aca="false">_xlfn.IFS(AND(F3975&gt;=8,G3975&gt;=8,H3975&gt;=8),"CHAMPION",AND(F3975&gt;=6,G3975&gt;=7,H3975&gt;=6),"LOYAL CUSTOMER",AND(F3975&gt;=6,G3975&gt;=5,H3975&gt;=5),"POTENTIAL LOYALIST",AND(F3975&gt;=8,G3975&lt;=2,H3975&gt;=5),"NEW CUSTOMERS",AND(F3975&gt;=6,G3975&lt;=2,H3975&gt;=3),"PROMISING",AND(F3975&gt;=3,G3975&gt;=3,H3975&gt;=3),"NEED ATTENTION",AND(F3975&lt;=4,G3975&gt;=6,H3975&gt;=6),"AT RISK",AND(F3975&lt;=2,G3975&gt;=8,H3975&gt;=8),"CAN'T LOSE THEM",AND(F3975&lt;=2,G3975&lt;=2,H3975&lt;=2),"HIBERNATING",TRUE(),"Other")</f>
        <v>CHAMPION</v>
      </c>
      <c r="K3975" s="1" t="n">
        <f aca="false">RANK(E3975,$E$7:$E$4378)+COUNTIF($E$7:E3975,E3975)-1</f>
        <v>241</v>
      </c>
    </row>
    <row r="3976" customFormat="false" ht="14.25" hidden="false" customHeight="true" outlineLevel="0" collapsed="false">
      <c r="A3976" s="51" t="n">
        <v>17731</v>
      </c>
      <c r="B3976" s="53" t="n">
        <v>40807.6263888889</v>
      </c>
      <c r="C3976" s="57" t="n">
        <f aca="false">INT($C$2)-INT(Table3[[#This Row],[Last Purchase Date]])</f>
        <v>80</v>
      </c>
      <c r="D3976" s="1" t="n">
        <v>5</v>
      </c>
      <c r="E3976" s="1" t="n">
        <v>878.2</v>
      </c>
      <c r="F3976" s="1" t="n">
        <f aca="false">ROUND((1-_xlfn.PERCENTRANK.INC($C$7:$C$4378,C3976))*9,0)</f>
        <v>3</v>
      </c>
      <c r="G3976" s="1" t="n">
        <f aca="false">ROUND(_xlfn.PERCENTRANK.INC($D$7:$D$4378,D3976)*9,0)</f>
        <v>6</v>
      </c>
      <c r="H3976" s="1" t="n">
        <f aca="false">ROUND(_xlfn.PERCENTRANK.INC($E$7:$E$4378,E3976)*9,0)</f>
        <v>5</v>
      </c>
      <c r="I3976" s="1" t="str">
        <f aca="false">CONCATENATE(F3976,G3976,H3976)</f>
        <v>365</v>
      </c>
      <c r="J3976" s="1" t="str">
        <f aca="false">_xlfn.IFS(AND(F3976&gt;=8,G3976&gt;=8,H3976&gt;=8),"CHAMPION",AND(F3976&gt;=6,G3976&gt;=7,H3976&gt;=6),"LOYAL CUSTOMER",AND(F3976&gt;=6,G3976&gt;=5,H3976&gt;=5),"POTENTIAL LOYALIST",AND(F3976&gt;=8,G3976&lt;=2,H3976&gt;=5),"NEW CUSTOMERS",AND(F3976&gt;=6,G3976&lt;=2,H3976&gt;=3),"PROMISING",AND(F3976&gt;=3,G3976&gt;=3,H3976&gt;=3),"NEED ATTENTION",AND(F3976&lt;=4,G3976&gt;=6,H3976&gt;=6),"AT RISK",AND(F3976&lt;=2,G3976&gt;=8,H3976&gt;=8),"CAN'T LOSE THEM",AND(F3976&lt;=2,G3976&lt;=2,H3976&lt;=2),"HIBERNATING",TRUE(),"Other")</f>
        <v>NEED ATTENTION</v>
      </c>
      <c r="K3976" s="1" t="n">
        <f aca="false">RANK(E3976,$E$7:$E$4378)+COUNTIF($E$7:E3976,E3976)-1</f>
        <v>1790</v>
      </c>
    </row>
    <row r="3977" customFormat="false" ht="14.25" hidden="false" customHeight="true" outlineLevel="0" collapsed="false">
      <c r="A3977" s="51" t="n">
        <v>17732</v>
      </c>
      <c r="B3977" s="53" t="n">
        <v>40514.3951388889</v>
      </c>
      <c r="C3977" s="57" t="n">
        <f aca="false">INT($C$2)-INT(Table3[[#This Row],[Last Purchase Date]])</f>
        <v>373</v>
      </c>
      <c r="D3977" s="1" t="n">
        <v>1</v>
      </c>
      <c r="E3977" s="1" t="n">
        <v>303.97</v>
      </c>
      <c r="F3977" s="1" t="n">
        <f aca="false">ROUND((1-_xlfn.PERCENTRANK.INC($C$7:$C$4378,C3977))*9,0)</f>
        <v>0</v>
      </c>
      <c r="G3977" s="1" t="n">
        <f aca="false">ROUND(_xlfn.PERCENTRANK.INC($D$7:$D$4378,D3977)*9,0)</f>
        <v>0</v>
      </c>
      <c r="H3977" s="1" t="n">
        <f aca="false">ROUND(_xlfn.PERCENTRANK.INC($E$7:$E$4378,E3977)*9,0)</f>
        <v>2</v>
      </c>
      <c r="I3977" s="1" t="str">
        <f aca="false">CONCATENATE(F3977,G3977,H3977)</f>
        <v>002</v>
      </c>
      <c r="J3977" s="1" t="str">
        <f aca="false">_xlfn.IFS(AND(F3977&gt;=8,G3977&gt;=8,H3977&gt;=8),"CHAMPION",AND(F3977&gt;=6,G3977&gt;=7,H3977&gt;=6),"LOYAL CUSTOMER",AND(F3977&gt;=6,G3977&gt;=5,H3977&gt;=5),"POTENTIAL LOYALIST",AND(F3977&gt;=8,G3977&lt;=2,H3977&gt;=5),"NEW CUSTOMERS",AND(F3977&gt;=6,G3977&lt;=2,H3977&gt;=3),"PROMISING",AND(F3977&gt;=3,G3977&gt;=3,H3977&gt;=3),"NEED ATTENTION",AND(F3977&lt;=4,G3977&gt;=6,H3977&gt;=6),"AT RISK",AND(F3977&lt;=2,G3977&gt;=8,H3977&gt;=8),"CAN'T LOSE THEM",AND(F3977&lt;=2,G3977&lt;=2,H3977&lt;=2),"HIBERNATING",TRUE(),"Other")</f>
        <v>HIBERNATING</v>
      </c>
      <c r="K3977" s="1" t="n">
        <f aca="false">RANK(E3977,$E$7:$E$4378)+COUNTIF($E$7:E3977,E3977)-1</f>
        <v>3231</v>
      </c>
    </row>
    <row r="3978" customFormat="false" ht="14.25" hidden="false" customHeight="true" outlineLevel="0" collapsed="false">
      <c r="A3978" s="51" t="n">
        <v>17733</v>
      </c>
      <c r="B3978" s="53" t="n">
        <v>40848.3444444445</v>
      </c>
      <c r="C3978" s="57" t="n">
        <f aca="false">INT($C$2)-INT(Table3[[#This Row],[Last Purchase Date]])</f>
        <v>39</v>
      </c>
      <c r="D3978" s="1" t="n">
        <v>2</v>
      </c>
      <c r="E3978" s="1" t="n">
        <v>692.19</v>
      </c>
      <c r="F3978" s="1" t="n">
        <f aca="false">ROUND((1-_xlfn.PERCENTRANK.INC($C$7:$C$4378,C3978))*9,0)</f>
        <v>5</v>
      </c>
      <c r="G3978" s="1" t="n">
        <f aca="false">ROUND(_xlfn.PERCENTRANK.INC($D$7:$D$4378,D3978)*9,0)</f>
        <v>3</v>
      </c>
      <c r="H3978" s="1" t="n">
        <f aca="false">ROUND(_xlfn.PERCENTRANK.INC($E$7:$E$4378,E3978)*9,0)</f>
        <v>5</v>
      </c>
      <c r="I3978" s="1" t="str">
        <f aca="false">CONCATENATE(F3978,G3978,H3978)</f>
        <v>535</v>
      </c>
      <c r="J3978" s="1" t="str">
        <f aca="false">_xlfn.IFS(AND(F3978&gt;=8,G3978&gt;=8,H3978&gt;=8),"CHAMPION",AND(F3978&gt;=6,G3978&gt;=7,H3978&gt;=6),"LOYAL CUSTOMER",AND(F3978&gt;=6,G3978&gt;=5,H3978&gt;=5),"POTENTIAL LOYALIST",AND(F3978&gt;=8,G3978&lt;=2,H3978&gt;=5),"NEW CUSTOMERS",AND(F3978&gt;=6,G3978&lt;=2,H3978&gt;=3),"PROMISING",AND(F3978&gt;=3,G3978&gt;=3,H3978&gt;=3),"NEED ATTENTION",AND(F3978&lt;=4,G3978&gt;=6,H3978&gt;=6),"AT RISK",AND(F3978&lt;=2,G3978&gt;=8,H3978&gt;=8),"CAN'T LOSE THEM",AND(F3978&lt;=2,G3978&lt;=2,H3978&lt;=2),"HIBERNATING",TRUE(),"Other")</f>
        <v>NEED ATTENTION</v>
      </c>
      <c r="K3978" s="1" t="n">
        <f aca="false">RANK(E3978,$E$7:$E$4378)+COUNTIF($E$7:E3978,E3978)-1</f>
        <v>2078</v>
      </c>
    </row>
    <row r="3979" customFormat="false" ht="14.25" hidden="false" customHeight="true" outlineLevel="0" collapsed="false">
      <c r="A3979" s="51" t="n">
        <v>17734</v>
      </c>
      <c r="B3979" s="53" t="n">
        <v>40833.5229166667</v>
      </c>
      <c r="C3979" s="57" t="n">
        <f aca="false">INT($C$2)-INT(Table3[[#This Row],[Last Purchase Date]])</f>
        <v>54</v>
      </c>
      <c r="D3979" s="1" t="n">
        <v>3</v>
      </c>
      <c r="E3979" s="1" t="n">
        <v>700.63</v>
      </c>
      <c r="F3979" s="1" t="n">
        <f aca="false">ROUND((1-_xlfn.PERCENTRANK.INC($C$7:$C$4378,C3979))*9,0)</f>
        <v>4</v>
      </c>
      <c r="G3979" s="1" t="n">
        <f aca="false">ROUND(_xlfn.PERCENTRANK.INC($D$7:$D$4378,D3979)*9,0)</f>
        <v>4</v>
      </c>
      <c r="H3979" s="1" t="n">
        <f aca="false">ROUND(_xlfn.PERCENTRANK.INC($E$7:$E$4378,E3979)*9,0)</f>
        <v>5</v>
      </c>
      <c r="I3979" s="1" t="str">
        <f aca="false">CONCATENATE(F3979,G3979,H3979)</f>
        <v>445</v>
      </c>
      <c r="J3979" s="1" t="str">
        <f aca="false">_xlfn.IFS(AND(F3979&gt;=8,G3979&gt;=8,H3979&gt;=8),"CHAMPION",AND(F3979&gt;=6,G3979&gt;=7,H3979&gt;=6),"LOYAL CUSTOMER",AND(F3979&gt;=6,G3979&gt;=5,H3979&gt;=5),"POTENTIAL LOYALIST",AND(F3979&gt;=8,G3979&lt;=2,H3979&gt;=5),"NEW CUSTOMERS",AND(F3979&gt;=6,G3979&lt;=2,H3979&gt;=3),"PROMISING",AND(F3979&gt;=3,G3979&gt;=3,H3979&gt;=3),"NEED ATTENTION",AND(F3979&lt;=4,G3979&gt;=6,H3979&gt;=6),"AT RISK",AND(F3979&lt;=2,G3979&gt;=8,H3979&gt;=8),"CAN'T LOSE THEM",AND(F3979&lt;=2,G3979&lt;=2,H3979&lt;=2),"HIBERNATING",TRUE(),"Other")</f>
        <v>NEED ATTENTION</v>
      </c>
      <c r="K3979" s="1" t="n">
        <f aca="false">RANK(E3979,$E$7:$E$4378)+COUNTIF($E$7:E3979,E3979)-1</f>
        <v>2067</v>
      </c>
    </row>
    <row r="3980" customFormat="false" ht="14.25" hidden="false" customHeight="true" outlineLevel="0" collapsed="false">
      <c r="A3980" s="51" t="n">
        <v>17735</v>
      </c>
      <c r="B3980" s="53" t="n">
        <v>40884.6993055556</v>
      </c>
      <c r="C3980" s="57" t="n">
        <f aca="false">INT($C$2)-INT(Table3[[#This Row],[Last Purchase Date]])</f>
        <v>3</v>
      </c>
      <c r="D3980" s="1" t="n">
        <v>19</v>
      </c>
      <c r="E3980" s="1" t="n">
        <v>13110.02</v>
      </c>
      <c r="F3980" s="1" t="n">
        <f aca="false">ROUND((1-_xlfn.PERCENTRANK.INC($C$7:$C$4378,C3980))*9,0)</f>
        <v>9</v>
      </c>
      <c r="G3980" s="1" t="n">
        <f aca="false">ROUND(_xlfn.PERCENTRANK.INC($D$7:$D$4378,D3980)*9,0)</f>
        <v>9</v>
      </c>
      <c r="H3980" s="1" t="n">
        <f aca="false">ROUND(_xlfn.PERCENTRANK.INC($E$7:$E$4378,E3980)*9,0)</f>
        <v>9</v>
      </c>
      <c r="I3980" s="1" t="str">
        <f aca="false">CONCATENATE(F3980,G3980,H3980)</f>
        <v>999</v>
      </c>
      <c r="J3980" s="1" t="str">
        <f aca="false">_xlfn.IFS(AND(F3980&gt;=8,G3980&gt;=8,H3980&gt;=8),"CHAMPION",AND(F3980&gt;=6,G3980&gt;=7,H3980&gt;=6),"LOYAL CUSTOMER",AND(F3980&gt;=6,G3980&gt;=5,H3980&gt;=5),"POTENTIAL LOYALIST",AND(F3980&gt;=8,G3980&lt;=2,H3980&gt;=5),"NEW CUSTOMERS",AND(F3980&gt;=6,G3980&lt;=2,H3980&gt;=3),"PROMISING",AND(F3980&gt;=3,G3980&gt;=3,H3980&gt;=3),"NEED ATTENTION",AND(F3980&lt;=4,G3980&gt;=6,H3980&gt;=6),"AT RISK",AND(F3980&lt;=2,G3980&gt;=8,H3980&gt;=8),"CAN'T LOSE THEM",AND(F3980&lt;=2,G3980&lt;=2,H3980&lt;=2),"HIBERNATING",TRUE(),"Other")</f>
        <v>CHAMPION</v>
      </c>
      <c r="K3980" s="1" t="n">
        <f aca="false">RANK(E3980,$E$7:$E$4378)+COUNTIF($E$7:E3980,E3980)-1</f>
        <v>65</v>
      </c>
    </row>
    <row r="3981" customFormat="false" ht="14.25" hidden="false" customHeight="true" outlineLevel="0" collapsed="false">
      <c r="A3981" s="51" t="n">
        <v>17736</v>
      </c>
      <c r="B3981" s="53" t="n">
        <v>40877.65</v>
      </c>
      <c r="C3981" s="57" t="n">
        <f aca="false">INT($C$2)-INT(Table3[[#This Row],[Last Purchase Date]])</f>
        <v>10</v>
      </c>
      <c r="D3981" s="1" t="n">
        <v>4</v>
      </c>
      <c r="E3981" s="1" t="n">
        <v>337.49</v>
      </c>
      <c r="F3981" s="1" t="n">
        <f aca="false">ROUND((1-_xlfn.PERCENTRANK.INC($C$7:$C$4378,C3981))*9,0)</f>
        <v>8</v>
      </c>
      <c r="G3981" s="1" t="n">
        <f aca="false">ROUND(_xlfn.PERCENTRANK.INC($D$7:$D$4378,D3981)*9,0)</f>
        <v>5</v>
      </c>
      <c r="H3981" s="1" t="n">
        <f aca="false">ROUND(_xlfn.PERCENTRANK.INC($E$7:$E$4378,E3981)*9,0)</f>
        <v>3</v>
      </c>
      <c r="I3981" s="1" t="str">
        <f aca="false">CONCATENATE(F3981,G3981,H3981)</f>
        <v>853</v>
      </c>
      <c r="J3981" s="1" t="str">
        <f aca="false">_xlfn.IFS(AND(F3981&gt;=8,G3981&gt;=8,H3981&gt;=8),"CHAMPION",AND(F3981&gt;=6,G3981&gt;=7,H3981&gt;=6),"LOYAL CUSTOMER",AND(F3981&gt;=6,G3981&gt;=5,H3981&gt;=5),"POTENTIAL LOYALIST",AND(F3981&gt;=8,G3981&lt;=2,H3981&gt;=5),"NEW CUSTOMERS",AND(F3981&gt;=6,G3981&lt;=2,H3981&gt;=3),"PROMISING",AND(F3981&gt;=3,G3981&gt;=3,H3981&gt;=3),"NEED ATTENTION",AND(F3981&lt;=4,G3981&gt;=6,H3981&gt;=6),"AT RISK",AND(F3981&lt;=2,G3981&gt;=8,H3981&gt;=8),"CAN'T LOSE THEM",AND(F3981&lt;=2,G3981&lt;=2,H3981&lt;=2),"HIBERNATING",TRUE(),"Other")</f>
        <v>NEED ATTENTION</v>
      </c>
      <c r="K3981" s="1" t="n">
        <f aca="false">RANK(E3981,$E$7:$E$4378)+COUNTIF($E$7:E3981,E3981)-1</f>
        <v>3059</v>
      </c>
    </row>
    <row r="3982" customFormat="false" ht="14.25" hidden="false" customHeight="true" outlineLevel="0" collapsed="false">
      <c r="A3982" s="51" t="n">
        <v>17737</v>
      </c>
      <c r="B3982" s="53" t="n">
        <v>40877.6361111111</v>
      </c>
      <c r="C3982" s="57" t="n">
        <f aca="false">INT($C$2)-INT(Table3[[#This Row],[Last Purchase Date]])</f>
        <v>10</v>
      </c>
      <c r="D3982" s="1" t="n">
        <v>2</v>
      </c>
      <c r="E3982" s="1" t="n">
        <v>168.24</v>
      </c>
      <c r="F3982" s="1" t="n">
        <f aca="false">ROUND((1-_xlfn.PERCENTRANK.INC($C$7:$C$4378,C3982))*9,0)</f>
        <v>8</v>
      </c>
      <c r="G3982" s="1" t="n">
        <f aca="false">ROUND(_xlfn.PERCENTRANK.INC($D$7:$D$4378,D3982)*9,0)</f>
        <v>3</v>
      </c>
      <c r="H3982" s="1" t="n">
        <f aca="false">ROUND(_xlfn.PERCENTRANK.INC($E$7:$E$4378,E3982)*9,0)</f>
        <v>1</v>
      </c>
      <c r="I3982" s="1" t="str">
        <f aca="false">CONCATENATE(F3982,G3982,H3982)</f>
        <v>831</v>
      </c>
      <c r="J3982" s="1" t="str">
        <f aca="false">_xlfn.IFS(AND(F3982&gt;=8,G3982&gt;=8,H3982&gt;=8),"CHAMPION",AND(F3982&gt;=6,G3982&gt;=7,H3982&gt;=6),"LOYAL CUSTOMER",AND(F3982&gt;=6,G3982&gt;=5,H3982&gt;=5),"POTENTIAL LOYALIST",AND(F3982&gt;=8,G3982&lt;=2,H3982&gt;=5),"NEW CUSTOMERS",AND(F3982&gt;=6,G3982&lt;=2,H3982&gt;=3),"PROMISING",AND(F3982&gt;=3,G3982&gt;=3,H3982&gt;=3),"NEED ATTENTION",AND(F3982&lt;=4,G3982&gt;=6,H3982&gt;=6),"AT RISK",AND(F3982&lt;=2,G3982&gt;=8,H3982&gt;=8),"CAN'T LOSE THEM",AND(F3982&lt;=2,G3982&lt;=2,H3982&lt;=2),"HIBERNATING",TRUE(),"Other")</f>
        <v>Other</v>
      </c>
      <c r="K3982" s="1" t="n">
        <f aca="false">RANK(E3982,$E$7:$E$4378)+COUNTIF($E$7:E3982,E3982)-1</f>
        <v>3814</v>
      </c>
    </row>
    <row r="3983" customFormat="false" ht="14.25" hidden="false" customHeight="true" outlineLevel="0" collapsed="false">
      <c r="A3983" s="51" t="n">
        <v>17738</v>
      </c>
      <c r="B3983" s="53" t="n">
        <v>40867.6284722222</v>
      </c>
      <c r="C3983" s="57" t="n">
        <f aca="false">INT($C$2)-INT(Table3[[#This Row],[Last Purchase Date]])</f>
        <v>20</v>
      </c>
      <c r="D3983" s="1" t="n">
        <v>5</v>
      </c>
      <c r="E3983" s="1" t="n">
        <v>1863.35</v>
      </c>
      <c r="F3983" s="1" t="n">
        <f aca="false">ROUND((1-_xlfn.PERCENTRANK.INC($C$7:$C$4378,C3983))*9,0)</f>
        <v>6</v>
      </c>
      <c r="G3983" s="1" t="n">
        <f aca="false">ROUND(_xlfn.PERCENTRANK.INC($D$7:$D$4378,D3983)*9,0)</f>
        <v>6</v>
      </c>
      <c r="H3983" s="1" t="n">
        <f aca="false">ROUND(_xlfn.PERCENTRANK.INC($E$7:$E$4378,E3983)*9,0)</f>
        <v>7</v>
      </c>
      <c r="I3983" s="1" t="str">
        <f aca="false">CONCATENATE(F3983,G3983,H3983)</f>
        <v>667</v>
      </c>
      <c r="J3983" s="1" t="str">
        <f aca="false">_xlfn.IFS(AND(F3983&gt;=8,G3983&gt;=8,H3983&gt;=8),"CHAMPION",AND(F3983&gt;=6,G3983&gt;=7,H3983&gt;=6),"LOYAL CUSTOMER",AND(F3983&gt;=6,G3983&gt;=5,H3983&gt;=5),"POTENTIAL LOYALIST",AND(F3983&gt;=8,G3983&lt;=2,H3983&gt;=5),"NEW CUSTOMERS",AND(F3983&gt;=6,G3983&lt;=2,H3983&gt;=3),"PROMISING",AND(F3983&gt;=3,G3983&gt;=3,H3983&gt;=3),"NEED ATTENTION",AND(F3983&lt;=4,G3983&gt;=6,H3983&gt;=6),"AT RISK",AND(F3983&lt;=2,G3983&gt;=8,H3983&gt;=8),"CAN'T LOSE THEM",AND(F3983&lt;=2,G3983&lt;=2,H3983&lt;=2),"HIBERNATING",TRUE(),"Other")</f>
        <v>POTENTIAL LOYALIST</v>
      </c>
      <c r="K3983" s="1" t="n">
        <f aca="false">RANK(E3983,$E$7:$E$4378)+COUNTIF($E$7:E3983,E3983)-1</f>
        <v>939</v>
      </c>
    </row>
    <row r="3984" customFormat="false" ht="14.25" hidden="false" customHeight="true" outlineLevel="0" collapsed="false">
      <c r="A3984" s="51" t="n">
        <v>17739</v>
      </c>
      <c r="B3984" s="53" t="n">
        <v>40875.3833333333</v>
      </c>
      <c r="C3984" s="57" t="n">
        <f aca="false">INT($C$2)-INT(Table3[[#This Row],[Last Purchase Date]])</f>
        <v>12</v>
      </c>
      <c r="D3984" s="1" t="n">
        <v>8</v>
      </c>
      <c r="E3984" s="1" t="n">
        <v>2786.05</v>
      </c>
      <c r="F3984" s="1" t="n">
        <f aca="false">ROUND((1-_xlfn.PERCENTRANK.INC($C$7:$C$4378,C3984))*9,0)</f>
        <v>7</v>
      </c>
      <c r="G3984" s="1" t="n">
        <f aca="false">ROUND(_xlfn.PERCENTRANK.INC($D$7:$D$4378,D3984)*9,0)</f>
        <v>7</v>
      </c>
      <c r="H3984" s="1" t="n">
        <f aca="false">ROUND(_xlfn.PERCENTRANK.INC($E$7:$E$4378,E3984)*9,0)</f>
        <v>8</v>
      </c>
      <c r="I3984" s="1" t="str">
        <f aca="false">CONCATENATE(F3984,G3984,H3984)</f>
        <v>778</v>
      </c>
      <c r="J3984" s="1" t="str">
        <f aca="false">_xlfn.IFS(AND(F3984&gt;=8,G3984&gt;=8,H3984&gt;=8),"CHAMPION",AND(F3984&gt;=6,G3984&gt;=7,H3984&gt;=6),"LOYAL CUSTOMER",AND(F3984&gt;=6,G3984&gt;=5,H3984&gt;=5),"POTENTIAL LOYALIST",AND(F3984&gt;=8,G3984&lt;=2,H3984&gt;=5),"NEW CUSTOMERS",AND(F3984&gt;=6,G3984&lt;=2,H3984&gt;=3),"PROMISING",AND(F3984&gt;=3,G3984&gt;=3,H3984&gt;=3),"NEED ATTENTION",AND(F3984&lt;=4,G3984&gt;=6,H3984&gt;=6),"AT RISK",AND(F3984&lt;=2,G3984&gt;=8,H3984&gt;=8),"CAN'T LOSE THEM",AND(F3984&lt;=2,G3984&lt;=2,H3984&lt;=2),"HIBERNATING",TRUE(),"Other")</f>
        <v>LOYAL CUSTOMER</v>
      </c>
      <c r="K3984" s="1" t="n">
        <f aca="false">RANK(E3984,$E$7:$E$4378)+COUNTIF($E$7:E3984,E3984)-1</f>
        <v>586</v>
      </c>
    </row>
    <row r="3985" customFormat="false" ht="14.25" hidden="false" customHeight="true" outlineLevel="0" collapsed="false">
      <c r="A3985" s="51" t="n">
        <v>17742</v>
      </c>
      <c r="B3985" s="53" t="n">
        <v>40773.6444444444</v>
      </c>
      <c r="C3985" s="57" t="n">
        <f aca="false">INT($C$2)-INT(Table3[[#This Row],[Last Purchase Date]])</f>
        <v>114</v>
      </c>
      <c r="D3985" s="1" t="n">
        <v>2</v>
      </c>
      <c r="E3985" s="1" t="n">
        <v>355.11</v>
      </c>
      <c r="F3985" s="1" t="n">
        <f aca="false">ROUND((1-_xlfn.PERCENTRANK.INC($C$7:$C$4378,C3985))*9,0)</f>
        <v>3</v>
      </c>
      <c r="G3985" s="1" t="n">
        <f aca="false">ROUND(_xlfn.PERCENTRANK.INC($D$7:$D$4378,D3985)*9,0)</f>
        <v>3</v>
      </c>
      <c r="H3985" s="1" t="n">
        <f aca="false">ROUND(_xlfn.PERCENTRANK.INC($E$7:$E$4378,E3985)*9,0)</f>
        <v>3</v>
      </c>
      <c r="I3985" s="1" t="str">
        <f aca="false">CONCATENATE(F3985,G3985,H3985)</f>
        <v>333</v>
      </c>
      <c r="J3985" s="1" t="str">
        <f aca="false">_xlfn.IFS(AND(F3985&gt;=8,G3985&gt;=8,H3985&gt;=8),"CHAMPION",AND(F3985&gt;=6,G3985&gt;=7,H3985&gt;=6),"LOYAL CUSTOMER",AND(F3985&gt;=6,G3985&gt;=5,H3985&gt;=5),"POTENTIAL LOYALIST",AND(F3985&gt;=8,G3985&lt;=2,H3985&gt;=5),"NEW CUSTOMERS",AND(F3985&gt;=6,G3985&lt;=2,H3985&gt;=3),"PROMISING",AND(F3985&gt;=3,G3985&gt;=3,H3985&gt;=3),"NEED ATTENTION",AND(F3985&lt;=4,G3985&gt;=6,H3985&gt;=6),"AT RISK",AND(F3985&lt;=2,G3985&gt;=8,H3985&gt;=8),"CAN'T LOSE THEM",AND(F3985&lt;=2,G3985&lt;=2,H3985&lt;=2),"HIBERNATING",TRUE(),"Other")</f>
        <v>NEED ATTENTION</v>
      </c>
      <c r="K3985" s="1" t="n">
        <f aca="false">RANK(E3985,$E$7:$E$4378)+COUNTIF($E$7:E3985,E3985)-1</f>
        <v>2984</v>
      </c>
    </row>
    <row r="3986" customFormat="false" ht="14.25" hidden="false" customHeight="true" outlineLevel="0" collapsed="false">
      <c r="A3986" s="51" t="n">
        <v>17744</v>
      </c>
      <c r="B3986" s="53" t="n">
        <v>40883.5076388889</v>
      </c>
      <c r="C3986" s="57" t="n">
        <f aca="false">INT($C$2)-INT(Table3[[#This Row],[Last Purchase Date]])</f>
        <v>4</v>
      </c>
      <c r="D3986" s="1" t="n">
        <v>7</v>
      </c>
      <c r="E3986" s="1" t="n">
        <v>2291.08</v>
      </c>
      <c r="F3986" s="1" t="n">
        <f aca="false">ROUND((1-_xlfn.PERCENTRANK.INC($C$7:$C$4378,C3986))*9,0)</f>
        <v>8</v>
      </c>
      <c r="G3986" s="1" t="n">
        <f aca="false">ROUND(_xlfn.PERCENTRANK.INC($D$7:$D$4378,D3986)*9,0)</f>
        <v>7</v>
      </c>
      <c r="H3986" s="1" t="n">
        <f aca="false">ROUND(_xlfn.PERCENTRANK.INC($E$7:$E$4378,E3986)*9,0)</f>
        <v>7</v>
      </c>
      <c r="I3986" s="1" t="str">
        <f aca="false">CONCATENATE(F3986,G3986,H3986)</f>
        <v>877</v>
      </c>
      <c r="J3986" s="1" t="str">
        <f aca="false">_xlfn.IFS(AND(F3986&gt;=8,G3986&gt;=8,H3986&gt;=8),"CHAMPION",AND(F3986&gt;=6,G3986&gt;=7,H3986&gt;=6),"LOYAL CUSTOMER",AND(F3986&gt;=6,G3986&gt;=5,H3986&gt;=5),"POTENTIAL LOYALIST",AND(F3986&gt;=8,G3986&lt;=2,H3986&gt;=5),"NEW CUSTOMERS",AND(F3986&gt;=6,G3986&lt;=2,H3986&gt;=3),"PROMISING",AND(F3986&gt;=3,G3986&gt;=3,H3986&gt;=3),"NEED ATTENTION",AND(F3986&lt;=4,G3986&gt;=6,H3986&gt;=6),"AT RISK",AND(F3986&lt;=2,G3986&gt;=8,H3986&gt;=8),"CAN'T LOSE THEM",AND(F3986&lt;=2,G3986&lt;=2,H3986&lt;=2),"HIBERNATING",TRUE(),"Other")</f>
        <v>LOYAL CUSTOMER</v>
      </c>
      <c r="K3986" s="1" t="n">
        <f aca="false">RANK(E3986,$E$7:$E$4378)+COUNTIF($E$7:E3986,E3986)-1</f>
        <v>748</v>
      </c>
    </row>
    <row r="3987" customFormat="false" ht="14.25" hidden="false" customHeight="true" outlineLevel="0" collapsed="false">
      <c r="A3987" s="51" t="n">
        <v>17746</v>
      </c>
      <c r="B3987" s="53" t="n">
        <v>40652.4763888889</v>
      </c>
      <c r="C3987" s="57" t="n">
        <f aca="false">INT($C$2)-INT(Table3[[#This Row],[Last Purchase Date]])</f>
        <v>235</v>
      </c>
      <c r="D3987" s="1" t="n">
        <v>2</v>
      </c>
      <c r="E3987" s="1" t="n">
        <v>98.8</v>
      </c>
      <c r="F3987" s="1" t="n">
        <f aca="false">ROUND((1-_xlfn.PERCENTRANK.INC($C$7:$C$4378,C3987))*9,0)</f>
        <v>1</v>
      </c>
      <c r="G3987" s="1" t="n">
        <f aca="false">ROUND(_xlfn.PERCENTRANK.INC($D$7:$D$4378,D3987)*9,0)</f>
        <v>3</v>
      </c>
      <c r="H3987" s="1" t="n">
        <f aca="false">ROUND(_xlfn.PERCENTRANK.INC($E$7:$E$4378,E3987)*9,0)</f>
        <v>0</v>
      </c>
      <c r="I3987" s="1" t="str">
        <f aca="false">CONCATENATE(F3987,G3987,H3987)</f>
        <v>130</v>
      </c>
      <c r="J3987" s="1" t="str">
        <f aca="false">_xlfn.IFS(AND(F3987&gt;=8,G3987&gt;=8,H3987&gt;=8),"CHAMPION",AND(F3987&gt;=6,G3987&gt;=7,H3987&gt;=6),"LOYAL CUSTOMER",AND(F3987&gt;=6,G3987&gt;=5,H3987&gt;=5),"POTENTIAL LOYALIST",AND(F3987&gt;=8,G3987&lt;=2,H3987&gt;=5),"NEW CUSTOMERS",AND(F3987&gt;=6,G3987&lt;=2,H3987&gt;=3),"PROMISING",AND(F3987&gt;=3,G3987&gt;=3,H3987&gt;=3),"NEED ATTENTION",AND(F3987&lt;=4,G3987&gt;=6,H3987&gt;=6),"AT RISK",AND(F3987&lt;=2,G3987&gt;=8,H3987&gt;=8),"CAN'T LOSE THEM",AND(F3987&lt;=2,G3987&lt;=2,H3987&lt;=2),"HIBERNATING",TRUE(),"Other")</f>
        <v>Other</v>
      </c>
      <c r="K3987" s="1" t="n">
        <f aca="false">RANK(E3987,$E$7:$E$4378)+COUNTIF($E$7:E3987,E3987)-1</f>
        <v>4161</v>
      </c>
    </row>
    <row r="3988" customFormat="false" ht="14.25" hidden="false" customHeight="true" outlineLevel="0" collapsed="false">
      <c r="A3988" s="51" t="n">
        <v>17747</v>
      </c>
      <c r="B3988" s="53" t="n">
        <v>40786.5618055556</v>
      </c>
      <c r="C3988" s="57" t="n">
        <f aca="false">INT($C$2)-INT(Table3[[#This Row],[Last Purchase Date]])</f>
        <v>101</v>
      </c>
      <c r="D3988" s="1" t="n">
        <v>2</v>
      </c>
      <c r="E3988" s="1" t="n">
        <v>64.65</v>
      </c>
      <c r="F3988" s="1" t="n">
        <f aca="false">ROUND((1-_xlfn.PERCENTRANK.INC($C$7:$C$4378,C3988))*9,0)</f>
        <v>3</v>
      </c>
      <c r="G3988" s="1" t="n">
        <f aca="false">ROUND(_xlfn.PERCENTRANK.INC($D$7:$D$4378,D3988)*9,0)</f>
        <v>3</v>
      </c>
      <c r="H3988" s="1" t="n">
        <f aca="false">ROUND(_xlfn.PERCENTRANK.INC($E$7:$E$4378,E3988)*9,0)</f>
        <v>0</v>
      </c>
      <c r="I3988" s="1" t="str">
        <f aca="false">CONCATENATE(F3988,G3988,H3988)</f>
        <v>330</v>
      </c>
      <c r="J3988" s="1" t="str">
        <f aca="false">_xlfn.IFS(AND(F3988&gt;=8,G3988&gt;=8,H3988&gt;=8),"CHAMPION",AND(F3988&gt;=6,G3988&gt;=7,H3988&gt;=6),"LOYAL CUSTOMER",AND(F3988&gt;=6,G3988&gt;=5,H3988&gt;=5),"POTENTIAL LOYALIST",AND(F3988&gt;=8,G3988&lt;=2,H3988&gt;=5),"NEW CUSTOMERS",AND(F3988&gt;=6,G3988&lt;=2,H3988&gt;=3),"PROMISING",AND(F3988&gt;=3,G3988&gt;=3,H3988&gt;=3),"NEED ATTENTION",AND(F3988&lt;=4,G3988&gt;=6,H3988&gt;=6),"AT RISK",AND(F3988&lt;=2,G3988&gt;=8,H3988&gt;=8),"CAN'T LOSE THEM",AND(F3988&lt;=2,G3988&lt;=2,H3988&lt;=2),"HIBERNATING",TRUE(),"Other")</f>
        <v>Other</v>
      </c>
      <c r="K3988" s="1" t="n">
        <f aca="false">RANK(E3988,$E$7:$E$4378)+COUNTIF($E$7:E3988,E3988)-1</f>
        <v>4253</v>
      </c>
    </row>
    <row r="3989" customFormat="false" ht="14.25" hidden="false" customHeight="true" outlineLevel="0" collapsed="false">
      <c r="A3989" s="51" t="n">
        <v>17749</v>
      </c>
      <c r="B3989" s="53" t="n">
        <v>40708.65625</v>
      </c>
      <c r="C3989" s="57" t="n">
        <f aca="false">INT($C$2)-INT(Table3[[#This Row],[Last Purchase Date]])</f>
        <v>179</v>
      </c>
      <c r="D3989" s="1" t="n">
        <v>2</v>
      </c>
      <c r="E3989" s="1" t="n">
        <v>674.52</v>
      </c>
      <c r="F3989" s="1" t="n">
        <f aca="false">ROUND((1-_xlfn.PERCENTRANK.INC($C$7:$C$4378,C3989))*9,0)</f>
        <v>2</v>
      </c>
      <c r="G3989" s="1" t="n">
        <f aca="false">ROUND(_xlfn.PERCENTRANK.INC($D$7:$D$4378,D3989)*9,0)</f>
        <v>3</v>
      </c>
      <c r="H3989" s="1" t="n">
        <f aca="false">ROUND(_xlfn.PERCENTRANK.INC($E$7:$E$4378,E3989)*9,0)</f>
        <v>5</v>
      </c>
      <c r="I3989" s="1" t="str">
        <f aca="false">CONCATENATE(F3989,G3989,H3989)</f>
        <v>235</v>
      </c>
      <c r="J3989" s="1" t="str">
        <f aca="false">_xlfn.IFS(AND(F3989&gt;=8,G3989&gt;=8,H3989&gt;=8),"CHAMPION",AND(F3989&gt;=6,G3989&gt;=7,H3989&gt;=6),"LOYAL CUSTOMER",AND(F3989&gt;=6,G3989&gt;=5,H3989&gt;=5),"POTENTIAL LOYALIST",AND(F3989&gt;=8,G3989&lt;=2,H3989&gt;=5),"NEW CUSTOMERS",AND(F3989&gt;=6,G3989&lt;=2,H3989&gt;=3),"PROMISING",AND(F3989&gt;=3,G3989&gt;=3,H3989&gt;=3),"NEED ATTENTION",AND(F3989&lt;=4,G3989&gt;=6,H3989&gt;=6),"AT RISK",AND(F3989&lt;=2,G3989&gt;=8,H3989&gt;=8),"CAN'T LOSE THEM",AND(F3989&lt;=2,G3989&lt;=2,H3989&lt;=2),"HIBERNATING",TRUE(),"Other")</f>
        <v>Other</v>
      </c>
      <c r="K3989" s="1" t="n">
        <f aca="false">RANK(E3989,$E$7:$E$4378)+COUNTIF($E$7:E3989,E3989)-1</f>
        <v>2120</v>
      </c>
    </row>
    <row r="3990" customFormat="false" ht="14.25" hidden="false" customHeight="true" outlineLevel="0" collapsed="false">
      <c r="A3990" s="51" t="n">
        <v>17750</v>
      </c>
      <c r="B3990" s="53" t="n">
        <v>40881.5895833333</v>
      </c>
      <c r="C3990" s="57" t="n">
        <f aca="false">INT($C$2)-INT(Table3[[#This Row],[Last Purchase Date]])</f>
        <v>6</v>
      </c>
      <c r="D3990" s="1" t="n">
        <v>9</v>
      </c>
      <c r="E3990" s="1" t="n">
        <v>1797.57</v>
      </c>
      <c r="F3990" s="1" t="n">
        <f aca="false">ROUND((1-_xlfn.PERCENTRANK.INC($C$7:$C$4378,C3990))*9,0)</f>
        <v>8</v>
      </c>
      <c r="G3990" s="1" t="n">
        <f aca="false">ROUND(_xlfn.PERCENTRANK.INC($D$7:$D$4378,D3990)*9,0)</f>
        <v>8</v>
      </c>
      <c r="H3990" s="1" t="n">
        <f aca="false">ROUND(_xlfn.PERCENTRANK.INC($E$7:$E$4378,E3990)*9,0)</f>
        <v>7</v>
      </c>
      <c r="I3990" s="1" t="str">
        <f aca="false">CONCATENATE(F3990,G3990,H3990)</f>
        <v>887</v>
      </c>
      <c r="J3990" s="1" t="str">
        <f aca="false">_xlfn.IFS(AND(F3990&gt;=8,G3990&gt;=8,H3990&gt;=8),"CHAMPION",AND(F3990&gt;=6,G3990&gt;=7,H3990&gt;=6),"LOYAL CUSTOMER",AND(F3990&gt;=6,G3990&gt;=5,H3990&gt;=5),"POTENTIAL LOYALIST",AND(F3990&gt;=8,G3990&lt;=2,H3990&gt;=5),"NEW CUSTOMERS",AND(F3990&gt;=6,G3990&lt;=2,H3990&gt;=3),"PROMISING",AND(F3990&gt;=3,G3990&gt;=3,H3990&gt;=3),"NEED ATTENTION",AND(F3990&lt;=4,G3990&gt;=6,H3990&gt;=6),"AT RISK",AND(F3990&lt;=2,G3990&gt;=8,H3990&gt;=8),"CAN'T LOSE THEM",AND(F3990&lt;=2,G3990&lt;=2,H3990&lt;=2),"HIBERNATING",TRUE(),"Other")</f>
        <v>LOYAL CUSTOMER</v>
      </c>
      <c r="K3990" s="1" t="n">
        <f aca="false">RANK(E3990,$E$7:$E$4378)+COUNTIF($E$7:E3990,E3990)-1</f>
        <v>978</v>
      </c>
    </row>
    <row r="3991" customFormat="false" ht="14.25" hidden="false" customHeight="true" outlineLevel="0" collapsed="false">
      <c r="A3991" s="51" t="n">
        <v>17752</v>
      </c>
      <c r="B3991" s="53" t="n">
        <v>40527.6798611111</v>
      </c>
      <c r="C3991" s="57" t="n">
        <f aca="false">INT($C$2)-INT(Table3[[#This Row],[Last Purchase Date]])</f>
        <v>360</v>
      </c>
      <c r="D3991" s="1" t="n">
        <v>1</v>
      </c>
      <c r="E3991" s="1" t="n">
        <v>80.64</v>
      </c>
      <c r="F3991" s="1" t="n">
        <f aca="false">ROUND((1-_xlfn.PERCENTRANK.INC($C$7:$C$4378,C3991))*9,0)</f>
        <v>0</v>
      </c>
      <c r="G3991" s="1" t="n">
        <f aca="false">ROUND(_xlfn.PERCENTRANK.INC($D$7:$D$4378,D3991)*9,0)</f>
        <v>0</v>
      </c>
      <c r="H3991" s="1" t="n">
        <f aca="false">ROUND(_xlfn.PERCENTRANK.INC($E$7:$E$4378,E3991)*9,0)</f>
        <v>0</v>
      </c>
      <c r="I3991" s="1" t="str">
        <f aca="false">CONCATENATE(F3991,G3991,H3991)</f>
        <v>000</v>
      </c>
      <c r="J3991" s="1" t="str">
        <f aca="false">_xlfn.IFS(AND(F3991&gt;=8,G3991&gt;=8,H3991&gt;=8),"CHAMPION",AND(F3991&gt;=6,G3991&gt;=7,H3991&gt;=6),"LOYAL CUSTOMER",AND(F3991&gt;=6,G3991&gt;=5,H3991&gt;=5),"POTENTIAL LOYALIST",AND(F3991&gt;=8,G3991&lt;=2,H3991&gt;=5),"NEW CUSTOMERS",AND(F3991&gt;=6,G3991&lt;=2,H3991&gt;=3),"PROMISING",AND(F3991&gt;=3,G3991&gt;=3,H3991&gt;=3),"NEED ATTENTION",AND(F3991&lt;=4,G3991&gt;=6,H3991&gt;=6),"AT RISK",AND(F3991&lt;=2,G3991&gt;=8,H3991&gt;=8),"CAN'T LOSE THEM",AND(F3991&lt;=2,G3991&lt;=2,H3991&lt;=2),"HIBERNATING",TRUE(),"Other")</f>
        <v>HIBERNATING</v>
      </c>
      <c r="K3991" s="1" t="n">
        <f aca="false">RANK(E3991,$E$7:$E$4378)+COUNTIF($E$7:E3991,E3991)-1</f>
        <v>4217</v>
      </c>
    </row>
    <row r="3992" customFormat="false" ht="14.25" hidden="false" customHeight="true" outlineLevel="0" collapsed="false">
      <c r="A3992" s="51" t="n">
        <v>17754</v>
      </c>
      <c r="B3992" s="53" t="n">
        <v>40886.4722222222</v>
      </c>
      <c r="C3992" s="57" t="n">
        <f aca="false">INT($C$2)-INT(Table3[[#This Row],[Last Purchase Date]])</f>
        <v>1</v>
      </c>
      <c r="D3992" s="1" t="n">
        <v>6</v>
      </c>
      <c r="E3992" s="1" t="n">
        <v>1739.92</v>
      </c>
      <c r="F3992" s="1" t="n">
        <f aca="false">ROUND((1-_xlfn.PERCENTRANK.INC($C$7:$C$4378,C3992))*9,0)</f>
        <v>9</v>
      </c>
      <c r="G3992" s="1" t="n">
        <f aca="false">ROUND(_xlfn.PERCENTRANK.INC($D$7:$D$4378,D3992)*9,0)</f>
        <v>7</v>
      </c>
      <c r="H3992" s="1" t="n">
        <f aca="false">ROUND(_xlfn.PERCENTRANK.INC($E$7:$E$4378,E3992)*9,0)</f>
        <v>7</v>
      </c>
      <c r="I3992" s="1" t="str">
        <f aca="false">CONCATENATE(F3992,G3992,H3992)</f>
        <v>977</v>
      </c>
      <c r="J3992" s="1" t="str">
        <f aca="false">_xlfn.IFS(AND(F3992&gt;=8,G3992&gt;=8,H3992&gt;=8),"CHAMPION",AND(F3992&gt;=6,G3992&gt;=7,H3992&gt;=6),"LOYAL CUSTOMER",AND(F3992&gt;=6,G3992&gt;=5,H3992&gt;=5),"POTENTIAL LOYALIST",AND(F3992&gt;=8,G3992&lt;=2,H3992&gt;=5),"NEW CUSTOMERS",AND(F3992&gt;=6,G3992&lt;=2,H3992&gt;=3),"PROMISING",AND(F3992&gt;=3,G3992&gt;=3,H3992&gt;=3),"NEED ATTENTION",AND(F3992&lt;=4,G3992&gt;=6,H3992&gt;=6),"AT RISK",AND(F3992&lt;=2,G3992&gt;=8,H3992&gt;=8),"CAN'T LOSE THEM",AND(F3992&lt;=2,G3992&lt;=2,H3992&lt;=2),"HIBERNATING",TRUE(),"Other")</f>
        <v>LOYAL CUSTOMER</v>
      </c>
      <c r="K3992" s="1" t="n">
        <f aca="false">RANK(E3992,$E$7:$E$4378)+COUNTIF($E$7:E3992,E3992)-1</f>
        <v>1017</v>
      </c>
    </row>
    <row r="3993" customFormat="false" ht="14.25" hidden="false" customHeight="true" outlineLevel="0" collapsed="false">
      <c r="A3993" s="51" t="n">
        <v>17757</v>
      </c>
      <c r="B3993" s="53" t="n">
        <v>40885.6465277778</v>
      </c>
      <c r="C3993" s="57" t="n">
        <f aca="false">INT($C$2)-INT(Table3[[#This Row],[Last Purchase Date]])</f>
        <v>2</v>
      </c>
      <c r="D3993" s="1" t="n">
        <v>31</v>
      </c>
      <c r="E3993" s="1" t="n">
        <v>5585.48999999999</v>
      </c>
      <c r="F3993" s="1" t="n">
        <f aca="false">ROUND((1-_xlfn.PERCENTRANK.INC($C$7:$C$4378,C3993))*9,0)</f>
        <v>9</v>
      </c>
      <c r="G3993" s="1" t="n">
        <f aca="false">ROUND(_xlfn.PERCENTRANK.INC($D$7:$D$4378,D3993)*9,0)</f>
        <v>9</v>
      </c>
      <c r="H3993" s="1" t="n">
        <f aca="false">ROUND(_xlfn.PERCENTRANK.INC($E$7:$E$4378,E3993)*9,0)</f>
        <v>9</v>
      </c>
      <c r="I3993" s="1" t="str">
        <f aca="false">CONCATENATE(F3993,G3993,H3993)</f>
        <v>999</v>
      </c>
      <c r="J3993" s="1" t="str">
        <f aca="false">_xlfn.IFS(AND(F3993&gt;=8,G3993&gt;=8,H3993&gt;=8),"CHAMPION",AND(F3993&gt;=6,G3993&gt;=7,H3993&gt;=6),"LOYAL CUSTOMER",AND(F3993&gt;=6,G3993&gt;=5,H3993&gt;=5),"POTENTIAL LOYALIST",AND(F3993&gt;=8,G3993&lt;=2,H3993&gt;=5),"NEW CUSTOMERS",AND(F3993&gt;=6,G3993&lt;=2,H3993&gt;=3),"PROMISING",AND(F3993&gt;=3,G3993&gt;=3,H3993&gt;=3),"NEED ATTENTION",AND(F3993&lt;=4,G3993&gt;=6,H3993&gt;=6),"AT RISK",AND(F3993&lt;=2,G3993&gt;=8,H3993&gt;=8),"CAN'T LOSE THEM",AND(F3993&lt;=2,G3993&lt;=2,H3993&lt;=2),"HIBERNATING",TRUE(),"Other")</f>
        <v>CHAMPION</v>
      </c>
      <c r="K3993" s="1" t="n">
        <f aca="false">RANK(E3993,$E$7:$E$4378)+COUNTIF($E$7:E3993,E3993)-1</f>
        <v>225</v>
      </c>
    </row>
    <row r="3994" customFormat="false" ht="14.25" hidden="false" customHeight="true" outlineLevel="0" collapsed="false">
      <c r="A3994" s="51" t="n">
        <v>17758</v>
      </c>
      <c r="B3994" s="53" t="n">
        <v>40867.6145833333</v>
      </c>
      <c r="C3994" s="57" t="n">
        <f aca="false">INT($C$2)-INT(Table3[[#This Row],[Last Purchase Date]])</f>
        <v>20</v>
      </c>
      <c r="D3994" s="1" t="n">
        <v>8</v>
      </c>
      <c r="E3994" s="1" t="n">
        <v>3456.7</v>
      </c>
      <c r="F3994" s="1" t="n">
        <f aca="false">ROUND((1-_xlfn.PERCENTRANK.INC($C$7:$C$4378,C3994))*9,0)</f>
        <v>6</v>
      </c>
      <c r="G3994" s="1" t="n">
        <f aca="false">ROUND(_xlfn.PERCENTRANK.INC($D$7:$D$4378,D3994)*9,0)</f>
        <v>7</v>
      </c>
      <c r="H3994" s="1" t="n">
        <f aca="false">ROUND(_xlfn.PERCENTRANK.INC($E$7:$E$4378,E3994)*9,0)</f>
        <v>8</v>
      </c>
      <c r="I3994" s="1" t="str">
        <f aca="false">CONCATENATE(F3994,G3994,H3994)</f>
        <v>678</v>
      </c>
      <c r="J3994" s="1" t="str">
        <f aca="false">_xlfn.IFS(AND(F3994&gt;=8,G3994&gt;=8,H3994&gt;=8),"CHAMPION",AND(F3994&gt;=6,G3994&gt;=7,H3994&gt;=6),"LOYAL CUSTOMER",AND(F3994&gt;=6,G3994&gt;=5,H3994&gt;=5),"POTENTIAL LOYALIST",AND(F3994&gt;=8,G3994&lt;=2,H3994&gt;=5),"NEW CUSTOMERS",AND(F3994&gt;=6,G3994&lt;=2,H3994&gt;=3),"PROMISING",AND(F3994&gt;=3,G3994&gt;=3,H3994&gt;=3),"NEED ATTENTION",AND(F3994&lt;=4,G3994&gt;=6,H3994&gt;=6),"AT RISK",AND(F3994&lt;=2,G3994&gt;=8,H3994&gt;=8),"CAN'T LOSE THEM",AND(F3994&lt;=2,G3994&lt;=2,H3994&lt;=2),"HIBERNATING",TRUE(),"Other")</f>
        <v>LOYAL CUSTOMER</v>
      </c>
      <c r="K3994" s="1" t="n">
        <f aca="false">RANK(E3994,$E$7:$E$4378)+COUNTIF($E$7:E3994,E3994)-1</f>
        <v>447</v>
      </c>
    </row>
    <row r="3995" customFormat="false" ht="14.25" hidden="false" customHeight="true" outlineLevel="0" collapsed="false">
      <c r="A3995" s="51" t="n">
        <v>17759</v>
      </c>
      <c r="B3995" s="53" t="n">
        <v>40869.6680555556</v>
      </c>
      <c r="C3995" s="57" t="n">
        <f aca="false">INT($C$2)-INT(Table3[[#This Row],[Last Purchase Date]])</f>
        <v>18</v>
      </c>
      <c r="D3995" s="1" t="n">
        <v>3</v>
      </c>
      <c r="E3995" s="1" t="n">
        <v>834.99</v>
      </c>
      <c r="F3995" s="1" t="n">
        <f aca="false">ROUND((1-_xlfn.PERCENTRANK.INC($C$7:$C$4378,C3995))*9,0)</f>
        <v>7</v>
      </c>
      <c r="G3995" s="1" t="n">
        <f aca="false">ROUND(_xlfn.PERCENTRANK.INC($D$7:$D$4378,D3995)*9,0)</f>
        <v>4</v>
      </c>
      <c r="H3995" s="1" t="n">
        <f aca="false">ROUND(_xlfn.PERCENTRANK.INC($E$7:$E$4378,E3995)*9,0)</f>
        <v>5</v>
      </c>
      <c r="I3995" s="1" t="str">
        <f aca="false">CONCATENATE(F3995,G3995,H3995)</f>
        <v>745</v>
      </c>
      <c r="J3995" s="1" t="str">
        <f aca="false">_xlfn.IFS(AND(F3995&gt;=8,G3995&gt;=8,H3995&gt;=8),"CHAMPION",AND(F3995&gt;=6,G3995&gt;=7,H3995&gt;=6),"LOYAL CUSTOMER",AND(F3995&gt;=6,G3995&gt;=5,H3995&gt;=5),"POTENTIAL LOYALIST",AND(F3995&gt;=8,G3995&lt;=2,H3995&gt;=5),"NEW CUSTOMERS",AND(F3995&gt;=6,G3995&lt;=2,H3995&gt;=3),"PROMISING",AND(F3995&gt;=3,G3995&gt;=3,H3995&gt;=3),"NEED ATTENTION",AND(F3995&lt;=4,G3995&gt;=6,H3995&gt;=6),"AT RISK",AND(F3995&lt;=2,G3995&gt;=8,H3995&gt;=8),"CAN'T LOSE THEM",AND(F3995&lt;=2,G3995&lt;=2,H3995&lt;=2),"HIBERNATING",TRUE(),"Other")</f>
        <v>NEED ATTENTION</v>
      </c>
      <c r="K3995" s="1" t="n">
        <f aca="false">RANK(E3995,$E$7:$E$4378)+COUNTIF($E$7:E3995,E3995)-1</f>
        <v>1849</v>
      </c>
    </row>
    <row r="3996" customFormat="false" ht="14.25" hidden="false" customHeight="true" outlineLevel="0" collapsed="false">
      <c r="A3996" s="51" t="n">
        <v>17760</v>
      </c>
      <c r="B3996" s="53" t="n">
        <v>40865.4555555556</v>
      </c>
      <c r="C3996" s="57" t="n">
        <f aca="false">INT($C$2)-INT(Table3[[#This Row],[Last Purchase Date]])</f>
        <v>22</v>
      </c>
      <c r="D3996" s="1" t="n">
        <v>2</v>
      </c>
      <c r="E3996" s="1" t="n">
        <v>287.59</v>
      </c>
      <c r="F3996" s="1" t="n">
        <f aca="false">ROUND((1-_xlfn.PERCENTRANK.INC($C$7:$C$4378,C3996))*9,0)</f>
        <v>6</v>
      </c>
      <c r="G3996" s="1" t="n">
        <f aca="false">ROUND(_xlfn.PERCENTRANK.INC($D$7:$D$4378,D3996)*9,0)</f>
        <v>3</v>
      </c>
      <c r="H3996" s="1" t="n">
        <f aca="false">ROUND(_xlfn.PERCENTRANK.INC($E$7:$E$4378,E3996)*9,0)</f>
        <v>2</v>
      </c>
      <c r="I3996" s="1" t="str">
        <f aca="false">CONCATENATE(F3996,G3996,H3996)</f>
        <v>632</v>
      </c>
      <c r="J3996" s="1" t="str">
        <f aca="false">_xlfn.IFS(AND(F3996&gt;=8,G3996&gt;=8,H3996&gt;=8),"CHAMPION",AND(F3996&gt;=6,G3996&gt;=7,H3996&gt;=6),"LOYAL CUSTOMER",AND(F3996&gt;=6,G3996&gt;=5,H3996&gt;=5),"POTENTIAL LOYALIST",AND(F3996&gt;=8,G3996&lt;=2,H3996&gt;=5),"NEW CUSTOMERS",AND(F3996&gt;=6,G3996&lt;=2,H3996&gt;=3),"PROMISING",AND(F3996&gt;=3,G3996&gt;=3,H3996&gt;=3),"NEED ATTENTION",AND(F3996&lt;=4,G3996&gt;=6,H3996&gt;=6),"AT RISK",AND(F3996&lt;=2,G3996&gt;=8,H3996&gt;=8),"CAN'T LOSE THEM",AND(F3996&lt;=2,G3996&lt;=2,H3996&lt;=2),"HIBERNATING",TRUE(),"Other")</f>
        <v>Other</v>
      </c>
      <c r="K3996" s="1" t="n">
        <f aca="false">RANK(E3996,$E$7:$E$4378)+COUNTIF($E$7:E3996,E3996)-1</f>
        <v>3306</v>
      </c>
    </row>
    <row r="3997" customFormat="false" ht="14.25" hidden="false" customHeight="true" outlineLevel="0" collapsed="false">
      <c r="A3997" s="51" t="n">
        <v>17761</v>
      </c>
      <c r="B3997" s="53" t="n">
        <v>40854.4326388889</v>
      </c>
      <c r="C3997" s="57" t="n">
        <f aca="false">INT($C$2)-INT(Table3[[#This Row],[Last Purchase Date]])</f>
        <v>33</v>
      </c>
      <c r="D3997" s="1" t="n">
        <v>1</v>
      </c>
      <c r="E3997" s="1" t="n">
        <v>712.78</v>
      </c>
      <c r="F3997" s="1" t="n">
        <f aca="false">ROUND((1-_xlfn.PERCENTRANK.INC($C$7:$C$4378,C3997))*9,0)</f>
        <v>5</v>
      </c>
      <c r="G3997" s="1" t="n">
        <f aca="false">ROUND(_xlfn.PERCENTRANK.INC($D$7:$D$4378,D3997)*9,0)</f>
        <v>0</v>
      </c>
      <c r="H3997" s="1" t="n">
        <f aca="false">ROUND(_xlfn.PERCENTRANK.INC($E$7:$E$4378,E3997)*9,0)</f>
        <v>5</v>
      </c>
      <c r="I3997" s="1" t="str">
        <f aca="false">CONCATENATE(F3997,G3997,H3997)</f>
        <v>505</v>
      </c>
      <c r="J3997" s="1" t="str">
        <f aca="false">_xlfn.IFS(AND(F3997&gt;=8,G3997&gt;=8,H3997&gt;=8),"CHAMPION",AND(F3997&gt;=6,G3997&gt;=7,H3997&gt;=6),"LOYAL CUSTOMER",AND(F3997&gt;=6,G3997&gt;=5,H3997&gt;=5),"POTENTIAL LOYALIST",AND(F3997&gt;=8,G3997&lt;=2,H3997&gt;=5),"NEW CUSTOMERS",AND(F3997&gt;=6,G3997&lt;=2,H3997&gt;=3),"PROMISING",AND(F3997&gt;=3,G3997&gt;=3,H3997&gt;=3),"NEED ATTENTION",AND(F3997&lt;=4,G3997&gt;=6,H3997&gt;=6),"AT RISK",AND(F3997&lt;=2,G3997&gt;=8,H3997&gt;=8),"CAN'T LOSE THEM",AND(F3997&lt;=2,G3997&lt;=2,H3997&lt;=2),"HIBERNATING",TRUE(),"Other")</f>
        <v>Other</v>
      </c>
      <c r="K3997" s="1" t="n">
        <f aca="false">RANK(E3997,$E$7:$E$4378)+COUNTIF($E$7:E3997,E3997)-1</f>
        <v>2040</v>
      </c>
    </row>
    <row r="3998" customFormat="false" ht="14.25" hidden="false" customHeight="true" outlineLevel="0" collapsed="false">
      <c r="A3998" s="51" t="n">
        <v>17763</v>
      </c>
      <c r="B3998" s="53" t="n">
        <v>40623.6006944445</v>
      </c>
      <c r="C3998" s="57" t="n">
        <f aca="false">INT($C$2)-INT(Table3[[#This Row],[Last Purchase Date]])</f>
        <v>264</v>
      </c>
      <c r="D3998" s="1" t="n">
        <v>1</v>
      </c>
      <c r="E3998" s="1" t="n">
        <v>15</v>
      </c>
      <c r="F3998" s="1" t="n">
        <f aca="false">ROUND((1-_xlfn.PERCENTRANK.INC($C$7:$C$4378,C3998))*9,0)</f>
        <v>1</v>
      </c>
      <c r="G3998" s="1" t="n">
        <f aca="false">ROUND(_xlfn.PERCENTRANK.INC($D$7:$D$4378,D3998)*9,0)</f>
        <v>0</v>
      </c>
      <c r="H3998" s="1" t="n">
        <f aca="false">ROUND(_xlfn.PERCENTRANK.INC($E$7:$E$4378,E3998)*9,0)</f>
        <v>0</v>
      </c>
      <c r="I3998" s="1" t="str">
        <f aca="false">CONCATENATE(F3998,G3998,H3998)</f>
        <v>100</v>
      </c>
      <c r="J3998" s="1" t="str">
        <f aca="false">_xlfn.IFS(AND(F3998&gt;=8,G3998&gt;=8,H3998&gt;=8),"CHAMPION",AND(F3998&gt;=6,G3998&gt;=7,H3998&gt;=6),"LOYAL CUSTOMER",AND(F3998&gt;=6,G3998&gt;=5,H3998&gt;=5),"POTENTIAL LOYALIST",AND(F3998&gt;=8,G3998&lt;=2,H3998&gt;=5),"NEW CUSTOMERS",AND(F3998&gt;=6,G3998&lt;=2,H3998&gt;=3),"PROMISING",AND(F3998&gt;=3,G3998&gt;=3,H3998&gt;=3),"NEED ATTENTION",AND(F3998&lt;=4,G3998&gt;=6,H3998&gt;=6),"AT RISK",AND(F3998&lt;=2,G3998&gt;=8,H3998&gt;=8),"CAN'T LOSE THEM",AND(F3998&lt;=2,G3998&lt;=2,H3998&lt;=2),"HIBERNATING",TRUE(),"Other")</f>
        <v>HIBERNATING</v>
      </c>
      <c r="K3998" s="1" t="n">
        <f aca="false">RANK(E3998,$E$7:$E$4378)+COUNTIF($E$7:E3998,E3998)-1</f>
        <v>4313</v>
      </c>
    </row>
    <row r="3999" customFormat="false" ht="14.25" hidden="false" customHeight="true" outlineLevel="0" collapsed="false">
      <c r="A3999" s="51" t="n">
        <v>17764</v>
      </c>
      <c r="B3999" s="53" t="n">
        <v>40836.4604166667</v>
      </c>
      <c r="C3999" s="57" t="n">
        <f aca="false">INT($C$2)-INT(Table3[[#This Row],[Last Purchase Date]])</f>
        <v>51</v>
      </c>
      <c r="D3999" s="1" t="n">
        <v>2</v>
      </c>
      <c r="E3999" s="1" t="n">
        <v>818.82</v>
      </c>
      <c r="F3999" s="1" t="n">
        <f aca="false">ROUND((1-_xlfn.PERCENTRANK.INC($C$7:$C$4378,C3999))*9,0)</f>
        <v>5</v>
      </c>
      <c r="G3999" s="1" t="n">
        <f aca="false">ROUND(_xlfn.PERCENTRANK.INC($D$7:$D$4378,D3999)*9,0)</f>
        <v>3</v>
      </c>
      <c r="H3999" s="1" t="n">
        <f aca="false">ROUND(_xlfn.PERCENTRANK.INC($E$7:$E$4378,E3999)*9,0)</f>
        <v>5</v>
      </c>
      <c r="I3999" s="1" t="str">
        <f aca="false">CONCATENATE(F3999,G3999,H3999)</f>
        <v>535</v>
      </c>
      <c r="J3999" s="1" t="str">
        <f aca="false">_xlfn.IFS(AND(F3999&gt;=8,G3999&gt;=8,H3999&gt;=8),"CHAMPION",AND(F3999&gt;=6,G3999&gt;=7,H3999&gt;=6),"LOYAL CUSTOMER",AND(F3999&gt;=6,G3999&gt;=5,H3999&gt;=5),"POTENTIAL LOYALIST",AND(F3999&gt;=8,G3999&lt;=2,H3999&gt;=5),"NEW CUSTOMERS",AND(F3999&gt;=6,G3999&lt;=2,H3999&gt;=3),"PROMISING",AND(F3999&gt;=3,G3999&gt;=3,H3999&gt;=3),"NEED ATTENTION",AND(F3999&lt;=4,G3999&gt;=6,H3999&gt;=6),"AT RISK",AND(F3999&lt;=2,G3999&gt;=8,H3999&gt;=8),"CAN'T LOSE THEM",AND(F3999&lt;=2,G3999&lt;=2,H3999&lt;=2),"HIBERNATING",TRUE(),"Other")</f>
        <v>NEED ATTENTION</v>
      </c>
      <c r="K3999" s="1" t="n">
        <f aca="false">RANK(E3999,$E$7:$E$4378)+COUNTIF($E$7:E3999,E3999)-1</f>
        <v>1864</v>
      </c>
    </row>
    <row r="4000" customFormat="false" ht="14.25" hidden="false" customHeight="true" outlineLevel="0" collapsed="false">
      <c r="A4000" s="51" t="n">
        <v>17765</v>
      </c>
      <c r="B4000" s="53" t="n">
        <v>40728.5284722222</v>
      </c>
      <c r="C4000" s="57" t="n">
        <f aca="false">INT($C$2)-INT(Table3[[#This Row],[Last Purchase Date]])</f>
        <v>159</v>
      </c>
      <c r="D4000" s="1" t="n">
        <v>3</v>
      </c>
      <c r="E4000" s="1" t="n">
        <v>371.88</v>
      </c>
      <c r="F4000" s="1" t="n">
        <f aca="false">ROUND((1-_xlfn.PERCENTRANK.INC($C$7:$C$4378,C4000))*9,0)</f>
        <v>2</v>
      </c>
      <c r="G4000" s="1" t="n">
        <f aca="false">ROUND(_xlfn.PERCENTRANK.INC($D$7:$D$4378,D4000)*9,0)</f>
        <v>4</v>
      </c>
      <c r="H4000" s="1" t="n">
        <f aca="false">ROUND(_xlfn.PERCENTRANK.INC($E$7:$E$4378,E4000)*9,0)</f>
        <v>3</v>
      </c>
      <c r="I4000" s="1" t="str">
        <f aca="false">CONCATENATE(F4000,G4000,H4000)</f>
        <v>243</v>
      </c>
      <c r="J4000" s="1" t="str">
        <f aca="false">_xlfn.IFS(AND(F4000&gt;=8,G4000&gt;=8,H4000&gt;=8),"CHAMPION",AND(F4000&gt;=6,G4000&gt;=7,H4000&gt;=6),"LOYAL CUSTOMER",AND(F4000&gt;=6,G4000&gt;=5,H4000&gt;=5),"POTENTIAL LOYALIST",AND(F4000&gt;=8,G4000&lt;=2,H4000&gt;=5),"NEW CUSTOMERS",AND(F4000&gt;=6,G4000&lt;=2,H4000&gt;=3),"PROMISING",AND(F4000&gt;=3,G4000&gt;=3,H4000&gt;=3),"NEED ATTENTION",AND(F4000&lt;=4,G4000&gt;=6,H4000&gt;=6),"AT RISK",AND(F4000&lt;=2,G4000&gt;=8,H4000&gt;=8),"CAN'T LOSE THEM",AND(F4000&lt;=2,G4000&lt;=2,H4000&lt;=2),"HIBERNATING",TRUE(),"Other")</f>
        <v>Other</v>
      </c>
      <c r="K4000" s="1" t="n">
        <f aca="false">RANK(E4000,$E$7:$E$4378)+COUNTIF($E$7:E4000,E4000)-1</f>
        <v>2924</v>
      </c>
    </row>
    <row r="4001" customFormat="false" ht="14.25" hidden="false" customHeight="true" outlineLevel="0" collapsed="false">
      <c r="A4001" s="51" t="n">
        <v>17767</v>
      </c>
      <c r="B4001" s="53" t="n">
        <v>40871.6125</v>
      </c>
      <c r="C4001" s="57" t="n">
        <f aca="false">INT($C$2)-INT(Table3[[#This Row],[Last Purchase Date]])</f>
        <v>16</v>
      </c>
      <c r="D4001" s="1" t="n">
        <v>1</v>
      </c>
      <c r="E4001" s="1" t="n">
        <v>271.2</v>
      </c>
      <c r="F4001" s="1" t="n">
        <f aca="false">ROUND((1-_xlfn.PERCENTRANK.INC($C$7:$C$4378,C4001))*9,0)</f>
        <v>7</v>
      </c>
      <c r="G4001" s="1" t="n">
        <f aca="false">ROUND(_xlfn.PERCENTRANK.INC($D$7:$D$4378,D4001)*9,0)</f>
        <v>0</v>
      </c>
      <c r="H4001" s="1" t="n">
        <f aca="false">ROUND(_xlfn.PERCENTRANK.INC($E$7:$E$4378,E4001)*9,0)</f>
        <v>2</v>
      </c>
      <c r="I4001" s="1" t="str">
        <f aca="false">CONCATENATE(F4001,G4001,H4001)</f>
        <v>702</v>
      </c>
      <c r="J4001" s="1" t="str">
        <f aca="false">_xlfn.IFS(AND(F4001&gt;=8,G4001&gt;=8,H4001&gt;=8),"CHAMPION",AND(F4001&gt;=6,G4001&gt;=7,H4001&gt;=6),"LOYAL CUSTOMER",AND(F4001&gt;=6,G4001&gt;=5,H4001&gt;=5),"POTENTIAL LOYALIST",AND(F4001&gt;=8,G4001&lt;=2,H4001&gt;=5),"NEW CUSTOMERS",AND(F4001&gt;=6,G4001&lt;=2,H4001&gt;=3),"PROMISING",AND(F4001&gt;=3,G4001&gt;=3,H4001&gt;=3),"NEED ATTENTION",AND(F4001&lt;=4,G4001&gt;=6,H4001&gt;=6),"AT RISK",AND(F4001&lt;=2,G4001&gt;=8,H4001&gt;=8),"CAN'T LOSE THEM",AND(F4001&lt;=2,G4001&lt;=2,H4001&lt;=2),"HIBERNATING",TRUE(),"Other")</f>
        <v>Other</v>
      </c>
      <c r="K4001" s="1" t="n">
        <f aca="false">RANK(E4001,$E$7:$E$4378)+COUNTIF($E$7:E4001,E4001)-1</f>
        <v>3357</v>
      </c>
    </row>
    <row r="4002" customFormat="false" ht="14.25" hidden="false" customHeight="true" outlineLevel="0" collapsed="false">
      <c r="A4002" s="51" t="n">
        <v>17768</v>
      </c>
      <c r="B4002" s="53" t="n">
        <v>40878.5569444444</v>
      </c>
      <c r="C4002" s="57" t="n">
        <f aca="false">INT($C$2)-INT(Table3[[#This Row],[Last Purchase Date]])</f>
        <v>9</v>
      </c>
      <c r="D4002" s="1" t="n">
        <v>3</v>
      </c>
      <c r="E4002" s="1" t="n">
        <v>2273.18</v>
      </c>
      <c r="F4002" s="1" t="n">
        <f aca="false">ROUND((1-_xlfn.PERCENTRANK.INC($C$7:$C$4378,C4002))*9,0)</f>
        <v>8</v>
      </c>
      <c r="G4002" s="1" t="n">
        <f aca="false">ROUND(_xlfn.PERCENTRANK.INC($D$7:$D$4378,D4002)*9,0)</f>
        <v>4</v>
      </c>
      <c r="H4002" s="1" t="n">
        <f aca="false">ROUND(_xlfn.PERCENTRANK.INC($E$7:$E$4378,E4002)*9,0)</f>
        <v>7</v>
      </c>
      <c r="I4002" s="1" t="str">
        <f aca="false">CONCATENATE(F4002,G4002,H4002)</f>
        <v>847</v>
      </c>
      <c r="J4002" s="1" t="str">
        <f aca="false">_xlfn.IFS(AND(F4002&gt;=8,G4002&gt;=8,H4002&gt;=8),"CHAMPION",AND(F4002&gt;=6,G4002&gt;=7,H4002&gt;=6),"LOYAL CUSTOMER",AND(F4002&gt;=6,G4002&gt;=5,H4002&gt;=5),"POTENTIAL LOYALIST",AND(F4002&gt;=8,G4002&lt;=2,H4002&gt;=5),"NEW CUSTOMERS",AND(F4002&gt;=6,G4002&lt;=2,H4002&gt;=3),"PROMISING",AND(F4002&gt;=3,G4002&gt;=3,H4002&gt;=3),"NEED ATTENTION",AND(F4002&lt;=4,G4002&gt;=6,H4002&gt;=6),"AT RISK",AND(F4002&lt;=2,G4002&gt;=8,H4002&gt;=8),"CAN'T LOSE THEM",AND(F4002&lt;=2,G4002&lt;=2,H4002&lt;=2),"HIBERNATING",TRUE(),"Other")</f>
        <v>NEED ATTENTION</v>
      </c>
      <c r="K4002" s="1" t="n">
        <f aca="false">RANK(E4002,$E$7:$E$4378)+COUNTIF($E$7:E4002,E4002)-1</f>
        <v>753</v>
      </c>
    </row>
    <row r="4003" customFormat="false" ht="14.25" hidden="false" customHeight="true" outlineLevel="0" collapsed="false">
      <c r="A4003" s="51" t="n">
        <v>17769</v>
      </c>
      <c r="B4003" s="53" t="n">
        <v>40874.4708333333</v>
      </c>
      <c r="C4003" s="57" t="n">
        <f aca="false">INT($C$2)-INT(Table3[[#This Row],[Last Purchase Date]])</f>
        <v>13</v>
      </c>
      <c r="D4003" s="1" t="n">
        <v>12</v>
      </c>
      <c r="E4003" s="1" t="n">
        <v>3960.63</v>
      </c>
      <c r="F4003" s="1" t="n">
        <f aca="false">ROUND((1-_xlfn.PERCENTRANK.INC($C$7:$C$4378,C4003))*9,0)</f>
        <v>7</v>
      </c>
      <c r="G4003" s="1" t="n">
        <f aca="false">ROUND(_xlfn.PERCENTRANK.INC($D$7:$D$4378,D4003)*9,0)</f>
        <v>8</v>
      </c>
      <c r="H4003" s="1" t="n">
        <f aca="false">ROUND(_xlfn.PERCENTRANK.INC($E$7:$E$4378,E4003)*9,0)</f>
        <v>8</v>
      </c>
      <c r="I4003" s="1" t="str">
        <f aca="false">CONCATENATE(F4003,G4003,H4003)</f>
        <v>788</v>
      </c>
      <c r="J4003" s="1" t="str">
        <f aca="false">_xlfn.IFS(AND(F4003&gt;=8,G4003&gt;=8,H4003&gt;=8),"CHAMPION",AND(F4003&gt;=6,G4003&gt;=7,H4003&gt;=6),"LOYAL CUSTOMER",AND(F4003&gt;=6,G4003&gt;=5,H4003&gt;=5),"POTENTIAL LOYALIST",AND(F4003&gt;=8,G4003&lt;=2,H4003&gt;=5),"NEW CUSTOMERS",AND(F4003&gt;=6,G4003&lt;=2,H4003&gt;=3),"PROMISING",AND(F4003&gt;=3,G4003&gt;=3,H4003&gt;=3),"NEED ATTENTION",AND(F4003&lt;=4,G4003&gt;=6,H4003&gt;=6),"AT RISK",AND(F4003&lt;=2,G4003&gt;=8,H4003&gt;=8),"CAN'T LOSE THEM",AND(F4003&lt;=2,G4003&lt;=2,H4003&lt;=2),"HIBERNATING",TRUE(),"Other")</f>
        <v>LOYAL CUSTOMER</v>
      </c>
      <c r="K4003" s="1" t="n">
        <f aca="false">RANK(E4003,$E$7:$E$4378)+COUNTIF($E$7:E4003,E4003)-1</f>
        <v>360</v>
      </c>
    </row>
    <row r="4004" customFormat="false" ht="14.25" hidden="false" customHeight="true" outlineLevel="0" collapsed="false">
      <c r="A4004" s="51" t="n">
        <v>17770</v>
      </c>
      <c r="B4004" s="53" t="n">
        <v>40688.5236111111</v>
      </c>
      <c r="C4004" s="57" t="n">
        <f aca="false">INT($C$2)-INT(Table3[[#This Row],[Last Purchase Date]])</f>
        <v>199</v>
      </c>
      <c r="D4004" s="1" t="n">
        <v>5</v>
      </c>
      <c r="E4004" s="1" t="n">
        <v>1143.27</v>
      </c>
      <c r="F4004" s="1" t="n">
        <f aca="false">ROUND((1-_xlfn.PERCENTRANK.INC($C$7:$C$4378,C4004))*9,0)</f>
        <v>2</v>
      </c>
      <c r="G4004" s="1" t="n">
        <f aca="false">ROUND(_xlfn.PERCENTRANK.INC($D$7:$D$4378,D4004)*9,0)</f>
        <v>6</v>
      </c>
      <c r="H4004" s="1" t="n">
        <f aca="false">ROUND(_xlfn.PERCENTRANK.INC($E$7:$E$4378,E4004)*9,0)</f>
        <v>6</v>
      </c>
      <c r="I4004" s="1" t="str">
        <f aca="false">CONCATENATE(F4004,G4004,H4004)</f>
        <v>266</v>
      </c>
      <c r="J4004" s="1" t="str">
        <f aca="false">_xlfn.IFS(AND(F4004&gt;=8,G4004&gt;=8,H4004&gt;=8),"CHAMPION",AND(F4004&gt;=6,G4004&gt;=7,H4004&gt;=6),"LOYAL CUSTOMER",AND(F4004&gt;=6,G4004&gt;=5,H4004&gt;=5),"POTENTIAL LOYALIST",AND(F4004&gt;=8,G4004&lt;=2,H4004&gt;=5),"NEW CUSTOMERS",AND(F4004&gt;=6,G4004&lt;=2,H4004&gt;=3),"PROMISING",AND(F4004&gt;=3,G4004&gt;=3,H4004&gt;=3),"NEED ATTENTION",AND(F4004&lt;=4,G4004&gt;=6,H4004&gt;=6),"AT RISK",AND(F4004&lt;=2,G4004&gt;=8,H4004&gt;=8),"CAN'T LOSE THEM",AND(F4004&lt;=2,G4004&lt;=2,H4004&lt;=2),"HIBERNATING",TRUE(),"Other")</f>
        <v>AT RISK</v>
      </c>
      <c r="K4004" s="1" t="n">
        <f aca="false">RANK(E4004,$E$7:$E$4378)+COUNTIF($E$7:E4004,E4004)-1</f>
        <v>1455</v>
      </c>
    </row>
    <row r="4005" customFormat="false" ht="14.25" hidden="false" customHeight="true" outlineLevel="0" collapsed="false">
      <c r="A4005" s="51" t="n">
        <v>17771</v>
      </c>
      <c r="B4005" s="53" t="n">
        <v>40830.4881944444</v>
      </c>
      <c r="C4005" s="57" t="n">
        <f aca="false">INT($C$2)-INT(Table3[[#This Row],[Last Purchase Date]])</f>
        <v>57</v>
      </c>
      <c r="D4005" s="1" t="n">
        <v>2</v>
      </c>
      <c r="E4005" s="1" t="n">
        <v>245.81</v>
      </c>
      <c r="F4005" s="1" t="n">
        <f aca="false">ROUND((1-_xlfn.PERCENTRANK.INC($C$7:$C$4378,C4005))*9,0)</f>
        <v>4</v>
      </c>
      <c r="G4005" s="1" t="n">
        <f aca="false">ROUND(_xlfn.PERCENTRANK.INC($D$7:$D$4378,D4005)*9,0)</f>
        <v>3</v>
      </c>
      <c r="H4005" s="1" t="n">
        <f aca="false">ROUND(_xlfn.PERCENTRANK.INC($E$7:$E$4378,E4005)*9,0)</f>
        <v>2</v>
      </c>
      <c r="I4005" s="1" t="str">
        <f aca="false">CONCATENATE(F4005,G4005,H4005)</f>
        <v>432</v>
      </c>
      <c r="J4005" s="1" t="str">
        <f aca="false">_xlfn.IFS(AND(F4005&gt;=8,G4005&gt;=8,H4005&gt;=8),"CHAMPION",AND(F4005&gt;=6,G4005&gt;=7,H4005&gt;=6),"LOYAL CUSTOMER",AND(F4005&gt;=6,G4005&gt;=5,H4005&gt;=5),"POTENTIAL LOYALIST",AND(F4005&gt;=8,G4005&lt;=2,H4005&gt;=5),"NEW CUSTOMERS",AND(F4005&gt;=6,G4005&lt;=2,H4005&gt;=3),"PROMISING",AND(F4005&gt;=3,G4005&gt;=3,H4005&gt;=3),"NEED ATTENTION",AND(F4005&lt;=4,G4005&gt;=6,H4005&gt;=6),"AT RISK",AND(F4005&lt;=2,G4005&gt;=8,H4005&gt;=8),"CAN'T LOSE THEM",AND(F4005&lt;=2,G4005&lt;=2,H4005&lt;=2),"HIBERNATING",TRUE(),"Other")</f>
        <v>Other</v>
      </c>
      <c r="K4005" s="1" t="n">
        <f aca="false">RANK(E4005,$E$7:$E$4378)+COUNTIF($E$7:E4005,E4005)-1</f>
        <v>3457</v>
      </c>
    </row>
    <row r="4006" customFormat="false" ht="14.25" hidden="false" customHeight="true" outlineLevel="0" collapsed="false">
      <c r="A4006" s="51" t="n">
        <v>17772</v>
      </c>
      <c r="B4006" s="53" t="n">
        <v>40876.4618055556</v>
      </c>
      <c r="C4006" s="57" t="n">
        <f aca="false">INT($C$2)-INT(Table3[[#This Row],[Last Purchase Date]])</f>
        <v>11</v>
      </c>
      <c r="D4006" s="1" t="n">
        <v>2</v>
      </c>
      <c r="E4006" s="1" t="n">
        <v>182.77</v>
      </c>
      <c r="F4006" s="1" t="n">
        <f aca="false">ROUND((1-_xlfn.PERCENTRANK.INC($C$7:$C$4378,C4006))*9,0)</f>
        <v>7</v>
      </c>
      <c r="G4006" s="1" t="n">
        <f aca="false">ROUND(_xlfn.PERCENTRANK.INC($D$7:$D$4378,D4006)*9,0)</f>
        <v>3</v>
      </c>
      <c r="H4006" s="1" t="n">
        <f aca="false">ROUND(_xlfn.PERCENTRANK.INC($E$7:$E$4378,E4006)*9,0)</f>
        <v>1</v>
      </c>
      <c r="I4006" s="1" t="str">
        <f aca="false">CONCATENATE(F4006,G4006,H4006)</f>
        <v>731</v>
      </c>
      <c r="J4006" s="1" t="str">
        <f aca="false">_xlfn.IFS(AND(F4006&gt;=8,G4006&gt;=8,H4006&gt;=8),"CHAMPION",AND(F4006&gt;=6,G4006&gt;=7,H4006&gt;=6),"LOYAL CUSTOMER",AND(F4006&gt;=6,G4006&gt;=5,H4006&gt;=5),"POTENTIAL LOYALIST",AND(F4006&gt;=8,G4006&lt;=2,H4006&gt;=5),"NEW CUSTOMERS",AND(F4006&gt;=6,G4006&lt;=2,H4006&gt;=3),"PROMISING",AND(F4006&gt;=3,G4006&gt;=3,H4006&gt;=3),"NEED ATTENTION",AND(F4006&lt;=4,G4006&gt;=6,H4006&gt;=6),"AT RISK",AND(F4006&lt;=2,G4006&gt;=8,H4006&gt;=8),"CAN'T LOSE THEM",AND(F4006&lt;=2,G4006&lt;=2,H4006&lt;=2),"HIBERNATING",TRUE(),"Other")</f>
        <v>Other</v>
      </c>
      <c r="K4006" s="1" t="n">
        <f aca="false">RANK(E4006,$E$7:$E$4378)+COUNTIF($E$7:E4006,E4006)-1</f>
        <v>3739</v>
      </c>
    </row>
    <row r="4007" customFormat="false" ht="14.25" hidden="false" customHeight="true" outlineLevel="0" collapsed="false">
      <c r="A4007" s="51" t="n">
        <v>17774</v>
      </c>
      <c r="B4007" s="53" t="n">
        <v>40790.5340277778</v>
      </c>
      <c r="C4007" s="57" t="n">
        <f aca="false">INT($C$2)-INT(Table3[[#This Row],[Last Purchase Date]])</f>
        <v>97</v>
      </c>
      <c r="D4007" s="1" t="n">
        <v>5</v>
      </c>
      <c r="E4007" s="1" t="n">
        <v>1215.46</v>
      </c>
      <c r="F4007" s="1" t="n">
        <f aca="false">ROUND((1-_xlfn.PERCENTRANK.INC($C$7:$C$4378,C4007))*9,0)</f>
        <v>3</v>
      </c>
      <c r="G4007" s="1" t="n">
        <f aca="false">ROUND(_xlfn.PERCENTRANK.INC($D$7:$D$4378,D4007)*9,0)</f>
        <v>6</v>
      </c>
      <c r="H4007" s="1" t="n">
        <f aca="false">ROUND(_xlfn.PERCENTRANK.INC($E$7:$E$4378,E4007)*9,0)</f>
        <v>6</v>
      </c>
      <c r="I4007" s="1" t="str">
        <f aca="false">CONCATENATE(F4007,G4007,H4007)</f>
        <v>366</v>
      </c>
      <c r="J4007" s="1" t="str">
        <f aca="false">_xlfn.IFS(AND(F4007&gt;=8,G4007&gt;=8,H4007&gt;=8),"CHAMPION",AND(F4007&gt;=6,G4007&gt;=7,H4007&gt;=6),"LOYAL CUSTOMER",AND(F4007&gt;=6,G4007&gt;=5,H4007&gt;=5),"POTENTIAL LOYALIST",AND(F4007&gt;=8,G4007&lt;=2,H4007&gt;=5),"NEW CUSTOMERS",AND(F4007&gt;=6,G4007&lt;=2,H4007&gt;=3),"PROMISING",AND(F4007&gt;=3,G4007&gt;=3,H4007&gt;=3),"NEED ATTENTION",AND(F4007&lt;=4,G4007&gt;=6,H4007&gt;=6),"AT RISK",AND(F4007&lt;=2,G4007&gt;=8,H4007&gt;=8),"CAN'T LOSE THEM",AND(F4007&lt;=2,G4007&lt;=2,H4007&lt;=2),"HIBERNATING",TRUE(),"Other")</f>
        <v>NEED ATTENTION</v>
      </c>
      <c r="K4007" s="1" t="n">
        <f aca="false">RANK(E4007,$E$7:$E$4378)+COUNTIF($E$7:E4007,E4007)-1</f>
        <v>1400</v>
      </c>
    </row>
    <row r="4008" customFormat="false" ht="14.25" hidden="false" customHeight="true" outlineLevel="0" collapsed="false">
      <c r="A4008" s="51" t="n">
        <v>17775</v>
      </c>
      <c r="B4008" s="53" t="n">
        <v>40632.4513888889</v>
      </c>
      <c r="C4008" s="57" t="n">
        <f aca="false">INT($C$2)-INT(Table3[[#This Row],[Last Purchase Date]])</f>
        <v>255</v>
      </c>
      <c r="D4008" s="1" t="n">
        <v>1</v>
      </c>
      <c r="E4008" s="1" t="n">
        <v>56.4</v>
      </c>
      <c r="F4008" s="1" t="n">
        <f aca="false">ROUND((1-_xlfn.PERCENTRANK.INC($C$7:$C$4378,C4008))*9,0)</f>
        <v>1</v>
      </c>
      <c r="G4008" s="1" t="n">
        <f aca="false">ROUND(_xlfn.PERCENTRANK.INC($D$7:$D$4378,D4008)*9,0)</f>
        <v>0</v>
      </c>
      <c r="H4008" s="1" t="n">
        <f aca="false">ROUND(_xlfn.PERCENTRANK.INC($E$7:$E$4378,E4008)*9,0)</f>
        <v>0</v>
      </c>
      <c r="I4008" s="1" t="str">
        <f aca="false">CONCATENATE(F4008,G4008,H4008)</f>
        <v>100</v>
      </c>
      <c r="J4008" s="1" t="str">
        <f aca="false">_xlfn.IFS(AND(F4008&gt;=8,G4008&gt;=8,H4008&gt;=8),"CHAMPION",AND(F4008&gt;=6,G4008&gt;=7,H4008&gt;=6),"LOYAL CUSTOMER",AND(F4008&gt;=6,G4008&gt;=5,H4008&gt;=5),"POTENTIAL LOYALIST",AND(F4008&gt;=8,G4008&lt;=2,H4008&gt;=5),"NEW CUSTOMERS",AND(F4008&gt;=6,G4008&lt;=2,H4008&gt;=3),"PROMISING",AND(F4008&gt;=3,G4008&gt;=3,H4008&gt;=3),"NEED ATTENTION",AND(F4008&lt;=4,G4008&gt;=6,H4008&gt;=6),"AT RISK",AND(F4008&lt;=2,G4008&gt;=8,H4008&gt;=8),"CAN'T LOSE THEM",AND(F4008&lt;=2,G4008&lt;=2,H4008&lt;=2),"HIBERNATING",TRUE(),"Other")</f>
        <v>HIBERNATING</v>
      </c>
      <c r="K4008" s="1" t="n">
        <f aca="false">RANK(E4008,$E$7:$E$4378)+COUNTIF($E$7:E4008,E4008)-1</f>
        <v>4270</v>
      </c>
    </row>
    <row r="4009" customFormat="false" ht="14.25" hidden="false" customHeight="true" outlineLevel="0" collapsed="false">
      <c r="A4009" s="51" t="n">
        <v>17777</v>
      </c>
      <c r="B4009" s="53" t="n">
        <v>40862.5013888889</v>
      </c>
      <c r="C4009" s="57" t="n">
        <f aca="false">INT($C$2)-INT(Table3[[#This Row],[Last Purchase Date]])</f>
        <v>25</v>
      </c>
      <c r="D4009" s="1" t="n">
        <v>3</v>
      </c>
      <c r="E4009" s="1" t="n">
        <v>665.86</v>
      </c>
      <c r="F4009" s="1" t="n">
        <f aca="false">ROUND((1-_xlfn.PERCENTRANK.INC($C$7:$C$4378,C4009))*9,0)</f>
        <v>6</v>
      </c>
      <c r="G4009" s="1" t="n">
        <f aca="false">ROUND(_xlfn.PERCENTRANK.INC($D$7:$D$4378,D4009)*9,0)</f>
        <v>4</v>
      </c>
      <c r="H4009" s="1" t="n">
        <f aca="false">ROUND(_xlfn.PERCENTRANK.INC($E$7:$E$4378,E4009)*9,0)</f>
        <v>5</v>
      </c>
      <c r="I4009" s="1" t="str">
        <f aca="false">CONCATENATE(F4009,G4009,H4009)</f>
        <v>645</v>
      </c>
      <c r="J4009" s="1" t="str">
        <f aca="false">_xlfn.IFS(AND(F4009&gt;=8,G4009&gt;=8,H4009&gt;=8),"CHAMPION",AND(F4009&gt;=6,G4009&gt;=7,H4009&gt;=6),"LOYAL CUSTOMER",AND(F4009&gt;=6,G4009&gt;=5,H4009&gt;=5),"POTENTIAL LOYALIST",AND(F4009&gt;=8,G4009&lt;=2,H4009&gt;=5),"NEW CUSTOMERS",AND(F4009&gt;=6,G4009&lt;=2,H4009&gt;=3),"PROMISING",AND(F4009&gt;=3,G4009&gt;=3,H4009&gt;=3),"NEED ATTENTION",AND(F4009&lt;=4,G4009&gt;=6,H4009&gt;=6),"AT RISK",AND(F4009&lt;=2,G4009&gt;=8,H4009&gt;=8),"CAN'T LOSE THEM",AND(F4009&lt;=2,G4009&lt;=2,H4009&lt;=2),"HIBERNATING",TRUE(),"Other")</f>
        <v>NEED ATTENTION</v>
      </c>
      <c r="K4009" s="1" t="n">
        <f aca="false">RANK(E4009,$E$7:$E$4378)+COUNTIF($E$7:E4009,E4009)-1</f>
        <v>2139</v>
      </c>
    </row>
    <row r="4010" customFormat="false" ht="14.25" hidden="false" customHeight="true" outlineLevel="0" collapsed="false">
      <c r="A4010" s="51" t="n">
        <v>17779</v>
      </c>
      <c r="B4010" s="53" t="n">
        <v>40865.59375</v>
      </c>
      <c r="C4010" s="57" t="n">
        <f aca="false">INT($C$2)-INT(Table3[[#This Row],[Last Purchase Date]])</f>
        <v>22</v>
      </c>
      <c r="D4010" s="1" t="n">
        <v>5</v>
      </c>
      <c r="E4010" s="1" t="n">
        <v>642.17</v>
      </c>
      <c r="F4010" s="1" t="n">
        <f aca="false">ROUND((1-_xlfn.PERCENTRANK.INC($C$7:$C$4378,C4010))*9,0)</f>
        <v>6</v>
      </c>
      <c r="G4010" s="1" t="n">
        <f aca="false">ROUND(_xlfn.PERCENTRANK.INC($D$7:$D$4378,D4010)*9,0)</f>
        <v>6</v>
      </c>
      <c r="H4010" s="1" t="n">
        <f aca="false">ROUND(_xlfn.PERCENTRANK.INC($E$7:$E$4378,E4010)*9,0)</f>
        <v>4</v>
      </c>
      <c r="I4010" s="1" t="str">
        <f aca="false">CONCATENATE(F4010,G4010,H4010)</f>
        <v>664</v>
      </c>
      <c r="J4010" s="1" t="str">
        <f aca="false">_xlfn.IFS(AND(F4010&gt;=8,G4010&gt;=8,H4010&gt;=8),"CHAMPION",AND(F4010&gt;=6,G4010&gt;=7,H4010&gt;=6),"LOYAL CUSTOMER",AND(F4010&gt;=6,G4010&gt;=5,H4010&gt;=5),"POTENTIAL LOYALIST",AND(F4010&gt;=8,G4010&lt;=2,H4010&gt;=5),"NEW CUSTOMERS",AND(F4010&gt;=6,G4010&lt;=2,H4010&gt;=3),"PROMISING",AND(F4010&gt;=3,G4010&gt;=3,H4010&gt;=3),"NEED ATTENTION",AND(F4010&lt;=4,G4010&gt;=6,H4010&gt;=6),"AT RISK",AND(F4010&lt;=2,G4010&gt;=8,H4010&gt;=8),"CAN'T LOSE THEM",AND(F4010&lt;=2,G4010&lt;=2,H4010&lt;=2),"HIBERNATING",TRUE(),"Other")</f>
        <v>NEED ATTENTION</v>
      </c>
      <c r="K4010" s="1" t="n">
        <f aca="false">RANK(E4010,$E$7:$E$4378)+COUNTIF($E$7:E4010,E4010)-1</f>
        <v>2202</v>
      </c>
    </row>
    <row r="4011" customFormat="false" ht="14.25" hidden="false" customHeight="true" outlineLevel="0" collapsed="false">
      <c r="A4011" s="51" t="n">
        <v>17781</v>
      </c>
      <c r="B4011" s="53" t="n">
        <v>40727.6666666667</v>
      </c>
      <c r="C4011" s="57" t="n">
        <f aca="false">INT($C$2)-INT(Table3[[#This Row],[Last Purchase Date]])</f>
        <v>160</v>
      </c>
      <c r="D4011" s="1" t="n">
        <v>2</v>
      </c>
      <c r="E4011" s="1" t="n">
        <v>188.02</v>
      </c>
      <c r="F4011" s="1" t="n">
        <f aca="false">ROUND((1-_xlfn.PERCENTRANK.INC($C$7:$C$4378,C4011))*9,0)</f>
        <v>2</v>
      </c>
      <c r="G4011" s="1" t="n">
        <f aca="false">ROUND(_xlfn.PERCENTRANK.INC($D$7:$D$4378,D4011)*9,0)</f>
        <v>3</v>
      </c>
      <c r="H4011" s="1" t="n">
        <f aca="false">ROUND(_xlfn.PERCENTRANK.INC($E$7:$E$4378,E4011)*9,0)</f>
        <v>1</v>
      </c>
      <c r="I4011" s="1" t="str">
        <f aca="false">CONCATENATE(F4011,G4011,H4011)</f>
        <v>231</v>
      </c>
      <c r="J4011" s="1" t="str">
        <f aca="false">_xlfn.IFS(AND(F4011&gt;=8,G4011&gt;=8,H4011&gt;=8),"CHAMPION",AND(F4011&gt;=6,G4011&gt;=7,H4011&gt;=6),"LOYAL CUSTOMER",AND(F4011&gt;=6,G4011&gt;=5,H4011&gt;=5),"POTENTIAL LOYALIST",AND(F4011&gt;=8,G4011&lt;=2,H4011&gt;=5),"NEW CUSTOMERS",AND(F4011&gt;=6,G4011&lt;=2,H4011&gt;=3),"PROMISING",AND(F4011&gt;=3,G4011&gt;=3,H4011&gt;=3),"NEED ATTENTION",AND(F4011&lt;=4,G4011&gt;=6,H4011&gt;=6),"AT RISK",AND(F4011&lt;=2,G4011&gt;=8,H4011&gt;=8),"CAN'T LOSE THEM",AND(F4011&lt;=2,G4011&lt;=2,H4011&lt;=2),"HIBERNATING",TRUE(),"Other")</f>
        <v>Other</v>
      </c>
      <c r="K4011" s="1" t="n">
        <f aca="false">RANK(E4011,$E$7:$E$4378)+COUNTIF($E$7:E4011,E4011)-1</f>
        <v>3716</v>
      </c>
    </row>
    <row r="4012" customFormat="false" ht="14.25" hidden="false" customHeight="true" outlineLevel="0" collapsed="false">
      <c r="A4012" s="51" t="n">
        <v>17783</v>
      </c>
      <c r="B4012" s="53" t="n">
        <v>40814.6715277778</v>
      </c>
      <c r="C4012" s="57" t="n">
        <f aca="false">INT($C$2)-INT(Table3[[#This Row],[Last Purchase Date]])</f>
        <v>73</v>
      </c>
      <c r="D4012" s="1" t="n">
        <v>2</v>
      </c>
      <c r="E4012" s="1" t="n">
        <v>283.47</v>
      </c>
      <c r="F4012" s="1" t="n">
        <f aca="false">ROUND((1-_xlfn.PERCENTRANK.INC($C$7:$C$4378,C4012))*9,0)</f>
        <v>4</v>
      </c>
      <c r="G4012" s="1" t="n">
        <f aca="false">ROUND(_xlfn.PERCENTRANK.INC($D$7:$D$4378,D4012)*9,0)</f>
        <v>3</v>
      </c>
      <c r="H4012" s="1" t="n">
        <f aca="false">ROUND(_xlfn.PERCENTRANK.INC($E$7:$E$4378,E4012)*9,0)</f>
        <v>2</v>
      </c>
      <c r="I4012" s="1" t="str">
        <f aca="false">CONCATENATE(F4012,G4012,H4012)</f>
        <v>432</v>
      </c>
      <c r="J4012" s="1" t="str">
        <f aca="false">_xlfn.IFS(AND(F4012&gt;=8,G4012&gt;=8,H4012&gt;=8),"CHAMPION",AND(F4012&gt;=6,G4012&gt;=7,H4012&gt;=6),"LOYAL CUSTOMER",AND(F4012&gt;=6,G4012&gt;=5,H4012&gt;=5),"POTENTIAL LOYALIST",AND(F4012&gt;=8,G4012&lt;=2,H4012&gt;=5),"NEW CUSTOMERS",AND(F4012&gt;=6,G4012&lt;=2,H4012&gt;=3),"PROMISING",AND(F4012&gt;=3,G4012&gt;=3,H4012&gt;=3),"NEED ATTENTION",AND(F4012&lt;=4,G4012&gt;=6,H4012&gt;=6),"AT RISK",AND(F4012&lt;=2,G4012&gt;=8,H4012&gt;=8),"CAN'T LOSE THEM",AND(F4012&lt;=2,G4012&lt;=2,H4012&lt;=2),"HIBERNATING",TRUE(),"Other")</f>
        <v>Other</v>
      </c>
      <c r="K4012" s="1" t="n">
        <f aca="false">RANK(E4012,$E$7:$E$4378)+COUNTIF($E$7:E4012,E4012)-1</f>
        <v>3315</v>
      </c>
    </row>
    <row r="4013" customFormat="false" ht="14.25" hidden="false" customHeight="true" outlineLevel="0" collapsed="false">
      <c r="A4013" s="51" t="n">
        <v>17785</v>
      </c>
      <c r="B4013" s="53" t="n">
        <v>40833.5715277778</v>
      </c>
      <c r="C4013" s="57" t="n">
        <f aca="false">INT($C$2)-INT(Table3[[#This Row],[Last Purchase Date]])</f>
        <v>54</v>
      </c>
      <c r="D4013" s="1" t="n">
        <v>1</v>
      </c>
      <c r="E4013" s="1" t="n">
        <v>131.94</v>
      </c>
      <c r="F4013" s="1" t="n">
        <f aca="false">ROUND((1-_xlfn.PERCENTRANK.INC($C$7:$C$4378,C4013))*9,0)</f>
        <v>4</v>
      </c>
      <c r="G4013" s="1" t="n">
        <f aca="false">ROUND(_xlfn.PERCENTRANK.INC($D$7:$D$4378,D4013)*9,0)</f>
        <v>0</v>
      </c>
      <c r="H4013" s="1" t="n">
        <f aca="false">ROUND(_xlfn.PERCENTRANK.INC($E$7:$E$4378,E4013)*9,0)</f>
        <v>1</v>
      </c>
      <c r="I4013" s="1" t="str">
        <f aca="false">CONCATENATE(F4013,G4013,H4013)</f>
        <v>401</v>
      </c>
      <c r="J4013" s="1" t="str">
        <f aca="false">_xlfn.IFS(AND(F4013&gt;=8,G4013&gt;=8,H4013&gt;=8),"CHAMPION",AND(F4013&gt;=6,G4013&gt;=7,H4013&gt;=6),"LOYAL CUSTOMER",AND(F4013&gt;=6,G4013&gt;=5,H4013&gt;=5),"POTENTIAL LOYALIST",AND(F4013&gt;=8,G4013&lt;=2,H4013&gt;=5),"NEW CUSTOMERS",AND(F4013&gt;=6,G4013&lt;=2,H4013&gt;=3),"PROMISING",AND(F4013&gt;=3,G4013&gt;=3,H4013&gt;=3),"NEED ATTENTION",AND(F4013&lt;=4,G4013&gt;=6,H4013&gt;=6),"AT RISK",AND(F4013&lt;=2,G4013&gt;=8,H4013&gt;=8),"CAN'T LOSE THEM",AND(F4013&lt;=2,G4013&lt;=2,H4013&lt;=2),"HIBERNATING",TRUE(),"Other")</f>
        <v>Other</v>
      </c>
      <c r="K4013" s="1" t="n">
        <f aca="false">RANK(E4013,$E$7:$E$4378)+COUNTIF($E$7:E4013,E4013)-1</f>
        <v>4000</v>
      </c>
    </row>
    <row r="4014" customFormat="false" ht="14.25" hidden="false" customHeight="true" outlineLevel="0" collapsed="false">
      <c r="A4014" s="51" t="n">
        <v>17786</v>
      </c>
      <c r="B4014" s="53" t="n">
        <v>40801.5354166667</v>
      </c>
      <c r="C4014" s="57" t="n">
        <f aca="false">INT($C$2)-INT(Table3[[#This Row],[Last Purchase Date]])</f>
        <v>86</v>
      </c>
      <c r="D4014" s="1" t="n">
        <v>2</v>
      </c>
      <c r="E4014" s="1" t="n">
        <v>278.74</v>
      </c>
      <c r="F4014" s="1" t="n">
        <f aca="false">ROUND((1-_xlfn.PERCENTRANK.INC($C$7:$C$4378,C4014))*9,0)</f>
        <v>3</v>
      </c>
      <c r="G4014" s="1" t="n">
        <f aca="false">ROUND(_xlfn.PERCENTRANK.INC($D$7:$D$4378,D4014)*9,0)</f>
        <v>3</v>
      </c>
      <c r="H4014" s="1" t="n">
        <f aca="false">ROUND(_xlfn.PERCENTRANK.INC($E$7:$E$4378,E4014)*9,0)</f>
        <v>2</v>
      </c>
      <c r="I4014" s="1" t="str">
        <f aca="false">CONCATENATE(F4014,G4014,H4014)</f>
        <v>332</v>
      </c>
      <c r="J4014" s="1" t="str">
        <f aca="false">_xlfn.IFS(AND(F4014&gt;=8,G4014&gt;=8,H4014&gt;=8),"CHAMPION",AND(F4014&gt;=6,G4014&gt;=7,H4014&gt;=6),"LOYAL CUSTOMER",AND(F4014&gt;=6,G4014&gt;=5,H4014&gt;=5),"POTENTIAL LOYALIST",AND(F4014&gt;=8,G4014&lt;=2,H4014&gt;=5),"NEW CUSTOMERS",AND(F4014&gt;=6,G4014&lt;=2,H4014&gt;=3),"PROMISING",AND(F4014&gt;=3,G4014&gt;=3,H4014&gt;=3),"NEED ATTENTION",AND(F4014&lt;=4,G4014&gt;=6,H4014&gt;=6),"AT RISK",AND(F4014&lt;=2,G4014&gt;=8,H4014&gt;=8),"CAN'T LOSE THEM",AND(F4014&lt;=2,G4014&lt;=2,H4014&lt;=2),"HIBERNATING",TRUE(),"Other")</f>
        <v>Other</v>
      </c>
      <c r="K4014" s="1" t="n">
        <f aca="false">RANK(E4014,$E$7:$E$4378)+COUNTIF($E$7:E4014,E4014)-1</f>
        <v>3331</v>
      </c>
    </row>
    <row r="4015" customFormat="false" ht="14.25" hidden="false" customHeight="true" outlineLevel="0" collapsed="false">
      <c r="A4015" s="51" t="n">
        <v>17787</v>
      </c>
      <c r="B4015" s="53" t="n">
        <v>40734.475</v>
      </c>
      <c r="C4015" s="57" t="n">
        <f aca="false">INT($C$2)-INT(Table3[[#This Row],[Last Purchase Date]])</f>
        <v>153</v>
      </c>
      <c r="D4015" s="1" t="n">
        <v>4</v>
      </c>
      <c r="E4015" s="1" t="n">
        <v>1865.19</v>
      </c>
      <c r="F4015" s="1" t="n">
        <f aca="false">ROUND((1-_xlfn.PERCENTRANK.INC($C$7:$C$4378,C4015))*9,0)</f>
        <v>2</v>
      </c>
      <c r="G4015" s="1" t="n">
        <f aca="false">ROUND(_xlfn.PERCENTRANK.INC($D$7:$D$4378,D4015)*9,0)</f>
        <v>5</v>
      </c>
      <c r="H4015" s="1" t="n">
        <f aca="false">ROUND(_xlfn.PERCENTRANK.INC($E$7:$E$4378,E4015)*9,0)</f>
        <v>7</v>
      </c>
      <c r="I4015" s="1" t="str">
        <f aca="false">CONCATENATE(F4015,G4015,H4015)</f>
        <v>257</v>
      </c>
      <c r="J4015" s="1" t="str">
        <f aca="false">_xlfn.IFS(AND(F4015&gt;=8,G4015&gt;=8,H4015&gt;=8),"CHAMPION",AND(F4015&gt;=6,G4015&gt;=7,H4015&gt;=6),"LOYAL CUSTOMER",AND(F4015&gt;=6,G4015&gt;=5,H4015&gt;=5),"POTENTIAL LOYALIST",AND(F4015&gt;=8,G4015&lt;=2,H4015&gt;=5),"NEW CUSTOMERS",AND(F4015&gt;=6,G4015&lt;=2,H4015&gt;=3),"PROMISING",AND(F4015&gt;=3,G4015&gt;=3,H4015&gt;=3),"NEED ATTENTION",AND(F4015&lt;=4,G4015&gt;=6,H4015&gt;=6),"AT RISK",AND(F4015&lt;=2,G4015&gt;=8,H4015&gt;=8),"CAN'T LOSE THEM",AND(F4015&lt;=2,G4015&lt;=2,H4015&lt;=2),"HIBERNATING",TRUE(),"Other")</f>
        <v>Other</v>
      </c>
      <c r="K4015" s="1" t="n">
        <f aca="false">RANK(E4015,$E$7:$E$4378)+COUNTIF($E$7:E4015,E4015)-1</f>
        <v>938</v>
      </c>
    </row>
    <row r="4016" customFormat="false" ht="14.25" hidden="false" customHeight="true" outlineLevel="0" collapsed="false">
      <c r="A4016" s="51" t="n">
        <v>17788</v>
      </c>
      <c r="B4016" s="53" t="n">
        <v>40813.4229166667</v>
      </c>
      <c r="C4016" s="57" t="n">
        <f aca="false">INT($C$2)-INT(Table3[[#This Row],[Last Purchase Date]])</f>
        <v>74</v>
      </c>
      <c r="D4016" s="1" t="n">
        <v>2</v>
      </c>
      <c r="E4016" s="1" t="n">
        <v>1117.9</v>
      </c>
      <c r="F4016" s="1" t="n">
        <f aca="false">ROUND((1-_xlfn.PERCENTRANK.INC($C$7:$C$4378,C4016))*9,0)</f>
        <v>3</v>
      </c>
      <c r="G4016" s="1" t="n">
        <f aca="false">ROUND(_xlfn.PERCENTRANK.INC($D$7:$D$4378,D4016)*9,0)</f>
        <v>3</v>
      </c>
      <c r="H4016" s="1" t="n">
        <f aca="false">ROUND(_xlfn.PERCENTRANK.INC($E$7:$E$4378,E4016)*9,0)</f>
        <v>6</v>
      </c>
      <c r="I4016" s="1" t="str">
        <f aca="false">CONCATENATE(F4016,G4016,H4016)</f>
        <v>336</v>
      </c>
      <c r="J4016" s="1" t="str">
        <f aca="false">_xlfn.IFS(AND(F4016&gt;=8,G4016&gt;=8,H4016&gt;=8),"CHAMPION",AND(F4016&gt;=6,G4016&gt;=7,H4016&gt;=6),"LOYAL CUSTOMER",AND(F4016&gt;=6,G4016&gt;=5,H4016&gt;=5),"POTENTIAL LOYALIST",AND(F4016&gt;=8,G4016&lt;=2,H4016&gt;=5),"NEW CUSTOMERS",AND(F4016&gt;=6,G4016&lt;=2,H4016&gt;=3),"PROMISING",AND(F4016&gt;=3,G4016&gt;=3,H4016&gt;=3),"NEED ATTENTION",AND(F4016&lt;=4,G4016&gt;=6,H4016&gt;=6),"AT RISK",AND(F4016&lt;=2,G4016&gt;=8,H4016&gt;=8),"CAN'T LOSE THEM",AND(F4016&lt;=2,G4016&lt;=2,H4016&lt;=2),"HIBERNATING",TRUE(),"Other")</f>
        <v>NEED ATTENTION</v>
      </c>
      <c r="K4016" s="1" t="n">
        <f aca="false">RANK(E4016,$E$7:$E$4378)+COUNTIF($E$7:E4016,E4016)-1</f>
        <v>1492</v>
      </c>
    </row>
    <row r="4017" customFormat="false" ht="14.25" hidden="false" customHeight="true" outlineLevel="0" collapsed="false">
      <c r="A4017" s="51" t="n">
        <v>17789</v>
      </c>
      <c r="B4017" s="53" t="n">
        <v>40605.5513888889</v>
      </c>
      <c r="C4017" s="57" t="n">
        <f aca="false">INT($C$2)-INT(Table3[[#This Row],[Last Purchase Date]])</f>
        <v>282</v>
      </c>
      <c r="D4017" s="1" t="n">
        <v>1</v>
      </c>
      <c r="E4017" s="1" t="n">
        <v>225.9</v>
      </c>
      <c r="F4017" s="1" t="n">
        <f aca="false">ROUND((1-_xlfn.PERCENTRANK.INC($C$7:$C$4378,C4017))*9,0)</f>
        <v>1</v>
      </c>
      <c r="G4017" s="1" t="n">
        <f aca="false">ROUND(_xlfn.PERCENTRANK.INC($D$7:$D$4378,D4017)*9,0)</f>
        <v>0</v>
      </c>
      <c r="H4017" s="1" t="n">
        <f aca="false">ROUND(_xlfn.PERCENTRANK.INC($E$7:$E$4378,E4017)*9,0)</f>
        <v>2</v>
      </c>
      <c r="I4017" s="1" t="str">
        <f aca="false">CONCATENATE(F4017,G4017,H4017)</f>
        <v>102</v>
      </c>
      <c r="J4017" s="1" t="str">
        <f aca="false">_xlfn.IFS(AND(F4017&gt;=8,G4017&gt;=8,H4017&gt;=8),"CHAMPION",AND(F4017&gt;=6,G4017&gt;=7,H4017&gt;=6),"LOYAL CUSTOMER",AND(F4017&gt;=6,G4017&gt;=5,H4017&gt;=5),"POTENTIAL LOYALIST",AND(F4017&gt;=8,G4017&lt;=2,H4017&gt;=5),"NEW CUSTOMERS",AND(F4017&gt;=6,G4017&lt;=2,H4017&gt;=3),"PROMISING",AND(F4017&gt;=3,G4017&gt;=3,H4017&gt;=3),"NEED ATTENTION",AND(F4017&lt;=4,G4017&gt;=6,H4017&gt;=6),"AT RISK",AND(F4017&lt;=2,G4017&gt;=8,H4017&gt;=8),"CAN'T LOSE THEM",AND(F4017&lt;=2,G4017&lt;=2,H4017&lt;=2),"HIBERNATING",TRUE(),"Other")</f>
        <v>HIBERNATING</v>
      </c>
      <c r="K4017" s="1" t="n">
        <f aca="false">RANK(E4017,$E$7:$E$4378)+COUNTIF($E$7:E4017,E4017)-1</f>
        <v>3535</v>
      </c>
    </row>
    <row r="4018" customFormat="false" ht="14.25" hidden="false" customHeight="true" outlineLevel="0" collapsed="false">
      <c r="A4018" s="51" t="n">
        <v>17790</v>
      </c>
      <c r="B4018" s="53" t="n">
        <v>40860.4791666667</v>
      </c>
      <c r="C4018" s="57" t="n">
        <f aca="false">INT($C$2)-INT(Table3[[#This Row],[Last Purchase Date]])</f>
        <v>27</v>
      </c>
      <c r="D4018" s="1" t="n">
        <v>14</v>
      </c>
      <c r="E4018" s="1" t="n">
        <v>1965.55</v>
      </c>
      <c r="F4018" s="1" t="n">
        <f aca="false">ROUND((1-_xlfn.PERCENTRANK.INC($C$7:$C$4378,C4018))*9,0)</f>
        <v>6</v>
      </c>
      <c r="G4018" s="1" t="n">
        <f aca="false">ROUND(_xlfn.PERCENTRANK.INC($D$7:$D$4378,D4018)*9,0)</f>
        <v>8</v>
      </c>
      <c r="H4018" s="1" t="n">
        <f aca="false">ROUND(_xlfn.PERCENTRANK.INC($E$7:$E$4378,E4018)*9,0)</f>
        <v>7</v>
      </c>
      <c r="I4018" s="1" t="str">
        <f aca="false">CONCATENATE(F4018,G4018,H4018)</f>
        <v>687</v>
      </c>
      <c r="J4018" s="1" t="str">
        <f aca="false">_xlfn.IFS(AND(F4018&gt;=8,G4018&gt;=8,H4018&gt;=8),"CHAMPION",AND(F4018&gt;=6,G4018&gt;=7,H4018&gt;=6),"LOYAL CUSTOMER",AND(F4018&gt;=6,G4018&gt;=5,H4018&gt;=5),"POTENTIAL LOYALIST",AND(F4018&gt;=8,G4018&lt;=2,H4018&gt;=5),"NEW CUSTOMERS",AND(F4018&gt;=6,G4018&lt;=2,H4018&gt;=3),"PROMISING",AND(F4018&gt;=3,G4018&gt;=3,H4018&gt;=3),"NEED ATTENTION",AND(F4018&lt;=4,G4018&gt;=6,H4018&gt;=6),"AT RISK",AND(F4018&lt;=2,G4018&gt;=8,H4018&gt;=8),"CAN'T LOSE THEM",AND(F4018&lt;=2,G4018&lt;=2,H4018&lt;=2),"HIBERNATING",TRUE(),"Other")</f>
        <v>LOYAL CUSTOMER</v>
      </c>
      <c r="K4018" s="1" t="n">
        <f aca="false">RANK(E4018,$E$7:$E$4378)+COUNTIF($E$7:E4018,E4018)-1</f>
        <v>892</v>
      </c>
    </row>
    <row r="4019" customFormat="false" ht="14.25" hidden="false" customHeight="true" outlineLevel="0" collapsed="false">
      <c r="A4019" s="51" t="n">
        <v>17791</v>
      </c>
      <c r="B4019" s="53" t="n">
        <v>40857.50625</v>
      </c>
      <c r="C4019" s="57" t="n">
        <f aca="false">INT($C$2)-INT(Table3[[#This Row],[Last Purchase Date]])</f>
        <v>30</v>
      </c>
      <c r="D4019" s="1" t="n">
        <v>1</v>
      </c>
      <c r="E4019" s="1" t="n">
        <v>106.1</v>
      </c>
      <c r="F4019" s="1" t="n">
        <f aca="false">ROUND((1-_xlfn.PERCENTRANK.INC($C$7:$C$4378,C4019))*9,0)</f>
        <v>6</v>
      </c>
      <c r="G4019" s="1" t="n">
        <f aca="false">ROUND(_xlfn.PERCENTRANK.INC($D$7:$D$4378,D4019)*9,0)</f>
        <v>0</v>
      </c>
      <c r="H4019" s="1" t="n">
        <f aca="false">ROUND(_xlfn.PERCENTRANK.INC($E$7:$E$4378,E4019)*9,0)</f>
        <v>0</v>
      </c>
      <c r="I4019" s="1" t="str">
        <f aca="false">CONCATENATE(F4019,G4019,H4019)</f>
        <v>600</v>
      </c>
      <c r="J4019" s="1" t="str">
        <f aca="false">_xlfn.IFS(AND(F4019&gt;=8,G4019&gt;=8,H4019&gt;=8),"CHAMPION",AND(F4019&gt;=6,G4019&gt;=7,H4019&gt;=6),"LOYAL CUSTOMER",AND(F4019&gt;=6,G4019&gt;=5,H4019&gt;=5),"POTENTIAL LOYALIST",AND(F4019&gt;=8,G4019&lt;=2,H4019&gt;=5),"NEW CUSTOMERS",AND(F4019&gt;=6,G4019&lt;=2,H4019&gt;=3),"PROMISING",AND(F4019&gt;=3,G4019&gt;=3,H4019&gt;=3),"NEED ATTENTION",AND(F4019&lt;=4,G4019&gt;=6,H4019&gt;=6),"AT RISK",AND(F4019&lt;=2,G4019&gt;=8,H4019&gt;=8),"CAN'T LOSE THEM",AND(F4019&lt;=2,G4019&lt;=2,H4019&lt;=2),"HIBERNATING",TRUE(),"Other")</f>
        <v>Other</v>
      </c>
      <c r="K4019" s="1" t="n">
        <f aca="false">RANK(E4019,$E$7:$E$4378)+COUNTIF($E$7:E4019,E4019)-1</f>
        <v>4132</v>
      </c>
    </row>
    <row r="4020" customFormat="false" ht="14.25" hidden="false" customHeight="true" outlineLevel="0" collapsed="false">
      <c r="A4020" s="51" t="n">
        <v>17793</v>
      </c>
      <c r="B4020" s="53" t="n">
        <v>40861.6</v>
      </c>
      <c r="C4020" s="57" t="n">
        <f aca="false">INT($C$2)-INT(Table3[[#This Row],[Last Purchase Date]])</f>
        <v>26</v>
      </c>
      <c r="D4020" s="1" t="n">
        <v>1</v>
      </c>
      <c r="E4020" s="1" t="n">
        <v>323.04</v>
      </c>
      <c r="F4020" s="1" t="n">
        <f aca="false">ROUND((1-_xlfn.PERCENTRANK.INC($C$7:$C$4378,C4020))*9,0)</f>
        <v>6</v>
      </c>
      <c r="G4020" s="1" t="n">
        <f aca="false">ROUND(_xlfn.PERCENTRANK.INC($D$7:$D$4378,D4020)*9,0)</f>
        <v>0</v>
      </c>
      <c r="H4020" s="1" t="n">
        <f aca="false">ROUND(_xlfn.PERCENTRANK.INC($E$7:$E$4378,E4020)*9,0)</f>
        <v>3</v>
      </c>
      <c r="I4020" s="1" t="str">
        <f aca="false">CONCATENATE(F4020,G4020,H4020)</f>
        <v>603</v>
      </c>
      <c r="J4020" s="1" t="str">
        <f aca="false">_xlfn.IFS(AND(F4020&gt;=8,G4020&gt;=8,H4020&gt;=8),"CHAMPION",AND(F4020&gt;=6,G4020&gt;=7,H4020&gt;=6),"LOYAL CUSTOMER",AND(F4020&gt;=6,G4020&gt;=5,H4020&gt;=5),"POTENTIAL LOYALIST",AND(F4020&gt;=8,G4020&lt;=2,H4020&gt;=5),"NEW CUSTOMERS",AND(F4020&gt;=6,G4020&lt;=2,H4020&gt;=3),"PROMISING",AND(F4020&gt;=3,G4020&gt;=3,H4020&gt;=3),"NEED ATTENTION",AND(F4020&lt;=4,G4020&gt;=6,H4020&gt;=6),"AT RISK",AND(F4020&lt;=2,G4020&gt;=8,H4020&gt;=8),"CAN'T LOSE THEM",AND(F4020&lt;=2,G4020&lt;=2,H4020&lt;=2),"HIBERNATING",TRUE(),"Other")</f>
        <v>PROMISING</v>
      </c>
      <c r="K4020" s="1" t="n">
        <f aca="false">RANK(E4020,$E$7:$E$4378)+COUNTIF($E$7:E4020,E4020)-1</f>
        <v>3125</v>
      </c>
    </row>
    <row r="4021" customFormat="false" ht="14.25" hidden="false" customHeight="true" outlineLevel="0" collapsed="false">
      <c r="A4021" s="51" t="n">
        <v>17795</v>
      </c>
      <c r="B4021" s="53" t="n">
        <v>40707.525</v>
      </c>
      <c r="C4021" s="57" t="n">
        <f aca="false">INT($C$2)-INT(Table3[[#This Row],[Last Purchase Date]])</f>
        <v>180</v>
      </c>
      <c r="D4021" s="1" t="n">
        <v>2</v>
      </c>
      <c r="E4021" s="1" t="n">
        <v>350.39</v>
      </c>
      <c r="F4021" s="1" t="n">
        <f aca="false">ROUND((1-_xlfn.PERCENTRANK.INC($C$7:$C$4378,C4021))*9,0)</f>
        <v>2</v>
      </c>
      <c r="G4021" s="1" t="n">
        <f aca="false">ROUND(_xlfn.PERCENTRANK.INC($D$7:$D$4378,D4021)*9,0)</f>
        <v>3</v>
      </c>
      <c r="H4021" s="1" t="n">
        <f aca="false">ROUND(_xlfn.PERCENTRANK.INC($E$7:$E$4378,E4021)*9,0)</f>
        <v>3</v>
      </c>
      <c r="I4021" s="1" t="str">
        <f aca="false">CONCATENATE(F4021,G4021,H4021)</f>
        <v>233</v>
      </c>
      <c r="J4021" s="1" t="str">
        <f aca="false">_xlfn.IFS(AND(F4021&gt;=8,G4021&gt;=8,H4021&gt;=8),"CHAMPION",AND(F4021&gt;=6,G4021&gt;=7,H4021&gt;=6),"LOYAL CUSTOMER",AND(F4021&gt;=6,G4021&gt;=5,H4021&gt;=5),"POTENTIAL LOYALIST",AND(F4021&gt;=8,G4021&lt;=2,H4021&gt;=5),"NEW CUSTOMERS",AND(F4021&gt;=6,G4021&lt;=2,H4021&gt;=3),"PROMISING",AND(F4021&gt;=3,G4021&gt;=3,H4021&gt;=3),"NEED ATTENTION",AND(F4021&lt;=4,G4021&gt;=6,H4021&gt;=6),"AT RISK",AND(F4021&lt;=2,G4021&gt;=8,H4021&gt;=8),"CAN'T LOSE THEM",AND(F4021&lt;=2,G4021&lt;=2,H4021&lt;=2),"HIBERNATING",TRUE(),"Other")</f>
        <v>Other</v>
      </c>
      <c r="K4021" s="1" t="n">
        <f aca="false">RANK(E4021,$E$7:$E$4378)+COUNTIF($E$7:E4021,E4021)-1</f>
        <v>3005</v>
      </c>
    </row>
    <row r="4022" customFormat="false" ht="14.25" hidden="false" customHeight="true" outlineLevel="0" collapsed="false">
      <c r="A4022" s="51" t="n">
        <v>17796</v>
      </c>
      <c r="B4022" s="53" t="n">
        <v>40846.6513888889</v>
      </c>
      <c r="C4022" s="57" t="n">
        <f aca="false">INT($C$2)-INT(Table3[[#This Row],[Last Purchase Date]])</f>
        <v>41</v>
      </c>
      <c r="D4022" s="1" t="n">
        <v>4</v>
      </c>
      <c r="E4022" s="1" t="n">
        <v>697.9</v>
      </c>
      <c r="F4022" s="1" t="n">
        <f aca="false">ROUND((1-_xlfn.PERCENTRANK.INC($C$7:$C$4378,C4022))*9,0)</f>
        <v>5</v>
      </c>
      <c r="G4022" s="1" t="n">
        <f aca="false">ROUND(_xlfn.PERCENTRANK.INC($D$7:$D$4378,D4022)*9,0)</f>
        <v>5</v>
      </c>
      <c r="H4022" s="1" t="n">
        <f aca="false">ROUND(_xlfn.PERCENTRANK.INC($E$7:$E$4378,E4022)*9,0)</f>
        <v>5</v>
      </c>
      <c r="I4022" s="1" t="str">
        <f aca="false">CONCATENATE(F4022,G4022,H4022)</f>
        <v>555</v>
      </c>
      <c r="J4022" s="1" t="str">
        <f aca="false">_xlfn.IFS(AND(F4022&gt;=8,G4022&gt;=8,H4022&gt;=8),"CHAMPION",AND(F4022&gt;=6,G4022&gt;=7,H4022&gt;=6),"LOYAL CUSTOMER",AND(F4022&gt;=6,G4022&gt;=5,H4022&gt;=5),"POTENTIAL LOYALIST",AND(F4022&gt;=8,G4022&lt;=2,H4022&gt;=5),"NEW CUSTOMERS",AND(F4022&gt;=6,G4022&lt;=2,H4022&gt;=3),"PROMISING",AND(F4022&gt;=3,G4022&gt;=3,H4022&gt;=3),"NEED ATTENTION",AND(F4022&lt;=4,G4022&gt;=6,H4022&gt;=6),"AT RISK",AND(F4022&lt;=2,G4022&gt;=8,H4022&gt;=8),"CAN'T LOSE THEM",AND(F4022&lt;=2,G4022&lt;=2,H4022&lt;=2),"HIBERNATING",TRUE(),"Other")</f>
        <v>NEED ATTENTION</v>
      </c>
      <c r="K4022" s="1" t="n">
        <f aca="false">RANK(E4022,$E$7:$E$4378)+COUNTIF($E$7:E4022,E4022)-1</f>
        <v>2070</v>
      </c>
    </row>
    <row r="4023" customFormat="false" ht="14.25" hidden="false" customHeight="true" outlineLevel="0" collapsed="false">
      <c r="A4023" s="51" t="n">
        <v>17797</v>
      </c>
      <c r="B4023" s="53" t="n">
        <v>40864.55625</v>
      </c>
      <c r="C4023" s="57" t="n">
        <f aca="false">INT($C$2)-INT(Table3[[#This Row],[Last Purchase Date]])</f>
        <v>23</v>
      </c>
      <c r="D4023" s="1" t="n">
        <v>3</v>
      </c>
      <c r="E4023" s="1" t="n">
        <v>780.43</v>
      </c>
      <c r="F4023" s="1" t="n">
        <f aca="false">ROUND((1-_xlfn.PERCENTRANK.INC($C$7:$C$4378,C4023))*9,0)</f>
        <v>6</v>
      </c>
      <c r="G4023" s="1" t="n">
        <f aca="false">ROUND(_xlfn.PERCENTRANK.INC($D$7:$D$4378,D4023)*9,0)</f>
        <v>4</v>
      </c>
      <c r="H4023" s="1" t="n">
        <f aca="false">ROUND(_xlfn.PERCENTRANK.INC($E$7:$E$4378,E4023)*9,0)</f>
        <v>5</v>
      </c>
      <c r="I4023" s="1" t="str">
        <f aca="false">CONCATENATE(F4023,G4023,H4023)</f>
        <v>645</v>
      </c>
      <c r="J4023" s="1" t="str">
        <f aca="false">_xlfn.IFS(AND(F4023&gt;=8,G4023&gt;=8,H4023&gt;=8),"CHAMPION",AND(F4023&gt;=6,G4023&gt;=7,H4023&gt;=6),"LOYAL CUSTOMER",AND(F4023&gt;=6,G4023&gt;=5,H4023&gt;=5),"POTENTIAL LOYALIST",AND(F4023&gt;=8,G4023&lt;=2,H4023&gt;=5),"NEW CUSTOMERS",AND(F4023&gt;=6,G4023&lt;=2,H4023&gt;=3),"PROMISING",AND(F4023&gt;=3,G4023&gt;=3,H4023&gt;=3),"NEED ATTENTION",AND(F4023&lt;=4,G4023&gt;=6,H4023&gt;=6),"AT RISK",AND(F4023&lt;=2,G4023&gt;=8,H4023&gt;=8),"CAN'T LOSE THEM",AND(F4023&lt;=2,G4023&lt;=2,H4023&lt;=2),"HIBERNATING",TRUE(),"Other")</f>
        <v>NEED ATTENTION</v>
      </c>
      <c r="K4023" s="1" t="n">
        <f aca="false">RANK(E4023,$E$7:$E$4378)+COUNTIF($E$7:E4023,E4023)-1</f>
        <v>1924</v>
      </c>
    </row>
    <row r="4024" customFormat="false" ht="14.25" hidden="false" customHeight="true" outlineLevel="0" collapsed="false">
      <c r="A4024" s="51" t="n">
        <v>17799</v>
      </c>
      <c r="B4024" s="53" t="n">
        <v>40864.6361111111</v>
      </c>
      <c r="C4024" s="57" t="n">
        <f aca="false">INT($C$2)-INT(Table3[[#This Row],[Last Purchase Date]])</f>
        <v>23</v>
      </c>
      <c r="D4024" s="1" t="n">
        <v>11</v>
      </c>
      <c r="E4024" s="1" t="n">
        <v>3026.08</v>
      </c>
      <c r="F4024" s="1" t="n">
        <f aca="false">ROUND((1-_xlfn.PERCENTRANK.INC($C$7:$C$4378,C4024))*9,0)</f>
        <v>6</v>
      </c>
      <c r="G4024" s="1" t="n">
        <f aca="false">ROUND(_xlfn.PERCENTRANK.INC($D$7:$D$4378,D4024)*9,0)</f>
        <v>8</v>
      </c>
      <c r="H4024" s="1" t="n">
        <f aca="false">ROUND(_xlfn.PERCENTRANK.INC($E$7:$E$4378,E4024)*9,0)</f>
        <v>8</v>
      </c>
      <c r="I4024" s="1" t="str">
        <f aca="false">CONCATENATE(F4024,G4024,H4024)</f>
        <v>688</v>
      </c>
      <c r="J4024" s="1" t="str">
        <f aca="false">_xlfn.IFS(AND(F4024&gt;=8,G4024&gt;=8,H4024&gt;=8),"CHAMPION",AND(F4024&gt;=6,G4024&gt;=7,H4024&gt;=6),"LOYAL CUSTOMER",AND(F4024&gt;=6,G4024&gt;=5,H4024&gt;=5),"POTENTIAL LOYALIST",AND(F4024&gt;=8,G4024&lt;=2,H4024&gt;=5),"NEW CUSTOMERS",AND(F4024&gt;=6,G4024&lt;=2,H4024&gt;=3),"PROMISING",AND(F4024&gt;=3,G4024&gt;=3,H4024&gt;=3),"NEED ATTENTION",AND(F4024&lt;=4,G4024&gt;=6,H4024&gt;=6),"AT RISK",AND(F4024&lt;=2,G4024&gt;=8,H4024&gt;=8),"CAN'T LOSE THEM",AND(F4024&lt;=2,G4024&lt;=2,H4024&lt;=2),"HIBERNATING",TRUE(),"Other")</f>
        <v>LOYAL CUSTOMER</v>
      </c>
      <c r="K4024" s="1" t="n">
        <f aca="false">RANK(E4024,$E$7:$E$4378)+COUNTIF($E$7:E4024,E4024)-1</f>
        <v>533</v>
      </c>
    </row>
    <row r="4025" customFormat="false" ht="14.25" hidden="false" customHeight="true" outlineLevel="0" collapsed="false">
      <c r="A4025" s="51" t="n">
        <v>17800</v>
      </c>
      <c r="B4025" s="53" t="n">
        <v>40849.5395833333</v>
      </c>
      <c r="C4025" s="57" t="n">
        <f aca="false">INT($C$2)-INT(Table3[[#This Row],[Last Purchase Date]])</f>
        <v>38</v>
      </c>
      <c r="D4025" s="1" t="n">
        <v>9</v>
      </c>
      <c r="E4025" s="1" t="n">
        <v>1199.01</v>
      </c>
      <c r="F4025" s="1" t="n">
        <f aca="false">ROUND((1-_xlfn.PERCENTRANK.INC($C$7:$C$4378,C4025))*9,0)</f>
        <v>5</v>
      </c>
      <c r="G4025" s="1" t="n">
        <f aca="false">ROUND(_xlfn.PERCENTRANK.INC($D$7:$D$4378,D4025)*9,0)</f>
        <v>8</v>
      </c>
      <c r="H4025" s="1" t="n">
        <f aca="false">ROUND(_xlfn.PERCENTRANK.INC($E$7:$E$4378,E4025)*9,0)</f>
        <v>6</v>
      </c>
      <c r="I4025" s="1" t="str">
        <f aca="false">CONCATENATE(F4025,G4025,H4025)</f>
        <v>586</v>
      </c>
      <c r="J4025" s="1" t="str">
        <f aca="false">_xlfn.IFS(AND(F4025&gt;=8,G4025&gt;=8,H4025&gt;=8),"CHAMPION",AND(F4025&gt;=6,G4025&gt;=7,H4025&gt;=6),"LOYAL CUSTOMER",AND(F4025&gt;=6,G4025&gt;=5,H4025&gt;=5),"POTENTIAL LOYALIST",AND(F4025&gt;=8,G4025&lt;=2,H4025&gt;=5),"NEW CUSTOMERS",AND(F4025&gt;=6,G4025&lt;=2,H4025&gt;=3),"PROMISING",AND(F4025&gt;=3,G4025&gt;=3,H4025&gt;=3),"NEED ATTENTION",AND(F4025&lt;=4,G4025&gt;=6,H4025&gt;=6),"AT RISK",AND(F4025&lt;=2,G4025&gt;=8,H4025&gt;=8),"CAN'T LOSE THEM",AND(F4025&lt;=2,G4025&lt;=2,H4025&lt;=2),"HIBERNATING",TRUE(),"Other")</f>
        <v>NEED ATTENTION</v>
      </c>
      <c r="K4025" s="1" t="n">
        <f aca="false">RANK(E4025,$E$7:$E$4378)+COUNTIF($E$7:E4025,E4025)-1</f>
        <v>1413</v>
      </c>
    </row>
    <row r="4026" customFormat="false" ht="14.25" hidden="false" customHeight="true" outlineLevel="0" collapsed="false">
      <c r="A4026" s="51" t="n">
        <v>17802</v>
      </c>
      <c r="B4026" s="53" t="n">
        <v>40804.6222222222</v>
      </c>
      <c r="C4026" s="57" t="n">
        <f aca="false">INT($C$2)-INT(Table3[[#This Row],[Last Purchase Date]])</f>
        <v>83</v>
      </c>
      <c r="D4026" s="1" t="n">
        <v>4</v>
      </c>
      <c r="E4026" s="1" t="n">
        <v>1251.84</v>
      </c>
      <c r="F4026" s="1" t="n">
        <f aca="false">ROUND((1-_xlfn.PERCENTRANK.INC($C$7:$C$4378,C4026))*9,0)</f>
        <v>3</v>
      </c>
      <c r="G4026" s="1" t="n">
        <f aca="false">ROUND(_xlfn.PERCENTRANK.INC($D$7:$D$4378,D4026)*9,0)</f>
        <v>5</v>
      </c>
      <c r="H4026" s="1" t="n">
        <f aca="false">ROUND(_xlfn.PERCENTRANK.INC($E$7:$E$4378,E4026)*9,0)</f>
        <v>6</v>
      </c>
      <c r="I4026" s="1" t="str">
        <f aca="false">CONCATENATE(F4026,G4026,H4026)</f>
        <v>356</v>
      </c>
      <c r="J4026" s="1" t="str">
        <f aca="false">_xlfn.IFS(AND(F4026&gt;=8,G4026&gt;=8,H4026&gt;=8),"CHAMPION",AND(F4026&gt;=6,G4026&gt;=7,H4026&gt;=6),"LOYAL CUSTOMER",AND(F4026&gt;=6,G4026&gt;=5,H4026&gt;=5),"POTENTIAL LOYALIST",AND(F4026&gt;=8,G4026&lt;=2,H4026&gt;=5),"NEW CUSTOMERS",AND(F4026&gt;=6,G4026&lt;=2,H4026&gt;=3),"PROMISING",AND(F4026&gt;=3,G4026&gt;=3,H4026&gt;=3),"NEED ATTENTION",AND(F4026&lt;=4,G4026&gt;=6,H4026&gt;=6),"AT RISK",AND(F4026&lt;=2,G4026&gt;=8,H4026&gt;=8),"CAN'T LOSE THEM",AND(F4026&lt;=2,G4026&lt;=2,H4026&lt;=2),"HIBERNATING",TRUE(),"Other")</f>
        <v>NEED ATTENTION</v>
      </c>
      <c r="K4026" s="1" t="n">
        <f aca="false">RANK(E4026,$E$7:$E$4378)+COUNTIF($E$7:E4026,E4026)-1</f>
        <v>1373</v>
      </c>
    </row>
    <row r="4027" customFormat="false" ht="14.25" hidden="false" customHeight="true" outlineLevel="0" collapsed="false">
      <c r="A4027" s="51" t="n">
        <v>17805</v>
      </c>
      <c r="B4027" s="53" t="n">
        <v>40813.4923611111</v>
      </c>
      <c r="C4027" s="57" t="n">
        <f aca="false">INT($C$2)-INT(Table3[[#This Row],[Last Purchase Date]])</f>
        <v>74</v>
      </c>
      <c r="D4027" s="1" t="n">
        <v>1</v>
      </c>
      <c r="E4027" s="1" t="n">
        <v>512.31</v>
      </c>
      <c r="F4027" s="1" t="n">
        <f aca="false">ROUND((1-_xlfn.PERCENTRANK.INC($C$7:$C$4378,C4027))*9,0)</f>
        <v>3</v>
      </c>
      <c r="G4027" s="1" t="n">
        <f aca="false">ROUND(_xlfn.PERCENTRANK.INC($D$7:$D$4378,D4027)*9,0)</f>
        <v>0</v>
      </c>
      <c r="H4027" s="1" t="n">
        <f aca="false">ROUND(_xlfn.PERCENTRANK.INC($E$7:$E$4378,E4027)*9,0)</f>
        <v>4</v>
      </c>
      <c r="I4027" s="1" t="str">
        <f aca="false">CONCATENATE(F4027,G4027,H4027)</f>
        <v>304</v>
      </c>
      <c r="J4027" s="1" t="str">
        <f aca="false">_xlfn.IFS(AND(F4027&gt;=8,G4027&gt;=8,H4027&gt;=8),"CHAMPION",AND(F4027&gt;=6,G4027&gt;=7,H4027&gt;=6),"LOYAL CUSTOMER",AND(F4027&gt;=6,G4027&gt;=5,H4027&gt;=5),"POTENTIAL LOYALIST",AND(F4027&gt;=8,G4027&lt;=2,H4027&gt;=5),"NEW CUSTOMERS",AND(F4027&gt;=6,G4027&lt;=2,H4027&gt;=3),"PROMISING",AND(F4027&gt;=3,G4027&gt;=3,H4027&gt;=3),"NEED ATTENTION",AND(F4027&lt;=4,G4027&gt;=6,H4027&gt;=6),"AT RISK",AND(F4027&lt;=2,G4027&gt;=8,H4027&gt;=8),"CAN'T LOSE THEM",AND(F4027&lt;=2,G4027&lt;=2,H4027&lt;=2),"HIBERNATING",TRUE(),"Other")</f>
        <v>Other</v>
      </c>
      <c r="K4027" s="1" t="n">
        <f aca="false">RANK(E4027,$E$7:$E$4378)+COUNTIF($E$7:E4027,E4027)-1</f>
        <v>2508</v>
      </c>
    </row>
    <row r="4028" customFormat="false" ht="14.25" hidden="false" customHeight="true" outlineLevel="0" collapsed="false">
      <c r="A4028" s="51" t="n">
        <v>17806</v>
      </c>
      <c r="B4028" s="53" t="n">
        <v>40875.5916666667</v>
      </c>
      <c r="C4028" s="57" t="n">
        <f aca="false">INT($C$2)-INT(Table3[[#This Row],[Last Purchase Date]])</f>
        <v>12</v>
      </c>
      <c r="D4028" s="1" t="n">
        <v>1</v>
      </c>
      <c r="E4028" s="1" t="n">
        <v>546.04</v>
      </c>
      <c r="F4028" s="1" t="n">
        <f aca="false">ROUND((1-_xlfn.PERCENTRANK.INC($C$7:$C$4378,C4028))*9,0)</f>
        <v>7</v>
      </c>
      <c r="G4028" s="1" t="n">
        <f aca="false">ROUND(_xlfn.PERCENTRANK.INC($D$7:$D$4378,D4028)*9,0)</f>
        <v>0</v>
      </c>
      <c r="H4028" s="1" t="n">
        <f aca="false">ROUND(_xlfn.PERCENTRANK.INC($E$7:$E$4378,E4028)*9,0)</f>
        <v>4</v>
      </c>
      <c r="I4028" s="1" t="str">
        <f aca="false">CONCATENATE(F4028,G4028,H4028)</f>
        <v>704</v>
      </c>
      <c r="J4028" s="1" t="str">
        <f aca="false">_xlfn.IFS(AND(F4028&gt;=8,G4028&gt;=8,H4028&gt;=8),"CHAMPION",AND(F4028&gt;=6,G4028&gt;=7,H4028&gt;=6),"LOYAL CUSTOMER",AND(F4028&gt;=6,G4028&gt;=5,H4028&gt;=5),"POTENTIAL LOYALIST",AND(F4028&gt;=8,G4028&lt;=2,H4028&gt;=5),"NEW CUSTOMERS",AND(F4028&gt;=6,G4028&lt;=2,H4028&gt;=3),"PROMISING",AND(F4028&gt;=3,G4028&gt;=3,H4028&gt;=3),"NEED ATTENTION",AND(F4028&lt;=4,G4028&gt;=6,H4028&gt;=6),"AT RISK",AND(F4028&lt;=2,G4028&gt;=8,H4028&gt;=8),"CAN'T LOSE THEM",AND(F4028&lt;=2,G4028&lt;=2,H4028&lt;=2),"HIBERNATING",TRUE(),"Other")</f>
        <v>PROMISING</v>
      </c>
      <c r="K4028" s="1" t="n">
        <f aca="false">RANK(E4028,$E$7:$E$4378)+COUNTIF($E$7:E4028,E4028)-1</f>
        <v>2439</v>
      </c>
    </row>
    <row r="4029" customFormat="false" ht="14.25" hidden="false" customHeight="true" outlineLevel="0" collapsed="false">
      <c r="A4029" s="51" t="n">
        <v>17809</v>
      </c>
      <c r="B4029" s="53" t="n">
        <v>40870.5416666667</v>
      </c>
      <c r="C4029" s="57" t="n">
        <f aca="false">INT($C$2)-INT(Table3[[#This Row],[Last Purchase Date]])</f>
        <v>17</v>
      </c>
      <c r="D4029" s="1" t="n">
        <v>15</v>
      </c>
      <c r="E4029" s="1" t="n">
        <v>4627.62</v>
      </c>
      <c r="F4029" s="1" t="n">
        <f aca="false">ROUND((1-_xlfn.PERCENTRANK.INC($C$7:$C$4378,C4029))*9,0)</f>
        <v>7</v>
      </c>
      <c r="G4029" s="1" t="n">
        <f aca="false">ROUND(_xlfn.PERCENTRANK.INC($D$7:$D$4378,D4029)*9,0)</f>
        <v>8</v>
      </c>
      <c r="H4029" s="1" t="n">
        <f aca="false">ROUND(_xlfn.PERCENTRANK.INC($E$7:$E$4378,E4029)*9,0)</f>
        <v>8</v>
      </c>
      <c r="I4029" s="1" t="str">
        <f aca="false">CONCATENATE(F4029,G4029,H4029)</f>
        <v>788</v>
      </c>
      <c r="J4029" s="1" t="str">
        <f aca="false">_xlfn.IFS(AND(F4029&gt;=8,G4029&gt;=8,H4029&gt;=8),"CHAMPION",AND(F4029&gt;=6,G4029&gt;=7,H4029&gt;=6),"LOYAL CUSTOMER",AND(F4029&gt;=6,G4029&gt;=5,H4029&gt;=5),"POTENTIAL LOYALIST",AND(F4029&gt;=8,G4029&lt;=2,H4029&gt;=5),"NEW CUSTOMERS",AND(F4029&gt;=6,G4029&lt;=2,H4029&gt;=3),"PROMISING",AND(F4029&gt;=3,G4029&gt;=3,H4029&gt;=3),"NEED ATTENTION",AND(F4029&lt;=4,G4029&gt;=6,H4029&gt;=6),"AT RISK",AND(F4029&lt;=2,G4029&gt;=8,H4029&gt;=8),"CAN'T LOSE THEM",AND(F4029&lt;=2,G4029&lt;=2,H4029&lt;=2),"HIBERNATING",TRUE(),"Other")</f>
        <v>LOYAL CUSTOMER</v>
      </c>
      <c r="K4029" s="1" t="n">
        <f aca="false">RANK(E4029,$E$7:$E$4378)+COUNTIF($E$7:E4029,E4029)-1</f>
        <v>293</v>
      </c>
    </row>
    <row r="4030" customFormat="false" ht="14.25" hidden="false" customHeight="true" outlineLevel="0" collapsed="false">
      <c r="A4030" s="51" t="n">
        <v>17811</v>
      </c>
      <c r="B4030" s="53" t="n">
        <v>40882.5736111111</v>
      </c>
      <c r="C4030" s="57" t="n">
        <f aca="false">INT($C$2)-INT(Table3[[#This Row],[Last Purchase Date]])</f>
        <v>5</v>
      </c>
      <c r="D4030" s="1" t="n">
        <v>51</v>
      </c>
      <c r="E4030" s="1" t="n">
        <v>7677.70999999999</v>
      </c>
      <c r="F4030" s="1" t="n">
        <f aca="false">ROUND((1-_xlfn.PERCENTRANK.INC($C$7:$C$4378,C4030))*9,0)</f>
        <v>8</v>
      </c>
      <c r="G4030" s="1" t="n">
        <f aca="false">ROUND(_xlfn.PERCENTRANK.INC($D$7:$D$4378,D4030)*9,0)</f>
        <v>9</v>
      </c>
      <c r="H4030" s="1" t="n">
        <f aca="false">ROUND(_xlfn.PERCENTRANK.INC($E$7:$E$4378,E4030)*9,0)</f>
        <v>9</v>
      </c>
      <c r="I4030" s="1" t="str">
        <f aca="false">CONCATENATE(F4030,G4030,H4030)</f>
        <v>899</v>
      </c>
      <c r="J4030" s="1" t="str">
        <f aca="false">_xlfn.IFS(AND(F4030&gt;=8,G4030&gt;=8,H4030&gt;=8),"CHAMPION",AND(F4030&gt;=6,G4030&gt;=7,H4030&gt;=6),"LOYAL CUSTOMER",AND(F4030&gt;=6,G4030&gt;=5,H4030&gt;=5),"POTENTIAL LOYALIST",AND(F4030&gt;=8,G4030&lt;=2,H4030&gt;=5),"NEW CUSTOMERS",AND(F4030&gt;=6,G4030&lt;=2,H4030&gt;=3),"PROMISING",AND(F4030&gt;=3,G4030&gt;=3,H4030&gt;=3),"NEED ATTENTION",AND(F4030&lt;=4,G4030&gt;=6,H4030&gt;=6),"AT RISK",AND(F4030&lt;=2,G4030&gt;=8,H4030&gt;=8),"CAN'T LOSE THEM",AND(F4030&lt;=2,G4030&lt;=2,H4030&lt;=2),"HIBERNATING",TRUE(),"Other")</f>
        <v>CHAMPION</v>
      </c>
      <c r="K4030" s="1" t="n">
        <f aca="false">RANK(E4030,$E$7:$E$4378)+COUNTIF($E$7:E4030,E4030)-1</f>
        <v>138</v>
      </c>
    </row>
    <row r="4031" customFormat="false" ht="14.25" hidden="false" customHeight="true" outlineLevel="0" collapsed="false">
      <c r="A4031" s="51" t="n">
        <v>17812</v>
      </c>
      <c r="B4031" s="53" t="n">
        <v>40874.4909722222</v>
      </c>
      <c r="C4031" s="57" t="n">
        <f aca="false">INT($C$2)-INT(Table3[[#This Row],[Last Purchase Date]])</f>
        <v>13</v>
      </c>
      <c r="D4031" s="1" t="n">
        <v>4</v>
      </c>
      <c r="E4031" s="1" t="n">
        <v>732.16</v>
      </c>
      <c r="F4031" s="1" t="n">
        <f aca="false">ROUND((1-_xlfn.PERCENTRANK.INC($C$7:$C$4378,C4031))*9,0)</f>
        <v>7</v>
      </c>
      <c r="G4031" s="1" t="n">
        <f aca="false">ROUND(_xlfn.PERCENTRANK.INC($D$7:$D$4378,D4031)*9,0)</f>
        <v>5</v>
      </c>
      <c r="H4031" s="1" t="n">
        <f aca="false">ROUND(_xlfn.PERCENTRANK.INC($E$7:$E$4378,E4031)*9,0)</f>
        <v>5</v>
      </c>
      <c r="I4031" s="1" t="str">
        <f aca="false">CONCATENATE(F4031,G4031,H4031)</f>
        <v>755</v>
      </c>
      <c r="J4031" s="1" t="str">
        <f aca="false">_xlfn.IFS(AND(F4031&gt;=8,G4031&gt;=8,H4031&gt;=8),"CHAMPION",AND(F4031&gt;=6,G4031&gt;=7,H4031&gt;=6),"LOYAL CUSTOMER",AND(F4031&gt;=6,G4031&gt;=5,H4031&gt;=5),"POTENTIAL LOYALIST",AND(F4031&gt;=8,G4031&lt;=2,H4031&gt;=5),"NEW CUSTOMERS",AND(F4031&gt;=6,G4031&lt;=2,H4031&gt;=3),"PROMISING",AND(F4031&gt;=3,G4031&gt;=3,H4031&gt;=3),"NEED ATTENTION",AND(F4031&lt;=4,G4031&gt;=6,H4031&gt;=6),"AT RISK",AND(F4031&lt;=2,G4031&gt;=8,H4031&gt;=8),"CAN'T LOSE THEM",AND(F4031&lt;=2,G4031&lt;=2,H4031&lt;=2),"HIBERNATING",TRUE(),"Other")</f>
        <v>POTENTIAL LOYALIST</v>
      </c>
      <c r="K4031" s="1" t="n">
        <f aca="false">RANK(E4031,$E$7:$E$4378)+COUNTIF($E$7:E4031,E4031)-1</f>
        <v>2005</v>
      </c>
    </row>
    <row r="4032" customFormat="false" ht="14.25" hidden="false" customHeight="true" outlineLevel="0" collapsed="false">
      <c r="A4032" s="51" t="n">
        <v>17813</v>
      </c>
      <c r="B4032" s="53" t="n">
        <v>40872.6756944444</v>
      </c>
      <c r="C4032" s="57" t="n">
        <f aca="false">INT($C$2)-INT(Table3[[#This Row],[Last Purchase Date]])</f>
        <v>15</v>
      </c>
      <c r="D4032" s="1" t="n">
        <v>7</v>
      </c>
      <c r="E4032" s="1" t="n">
        <v>1714.6</v>
      </c>
      <c r="F4032" s="1" t="n">
        <f aca="false">ROUND((1-_xlfn.PERCENTRANK.INC($C$7:$C$4378,C4032))*9,0)</f>
        <v>7</v>
      </c>
      <c r="G4032" s="1" t="n">
        <f aca="false">ROUND(_xlfn.PERCENTRANK.INC($D$7:$D$4378,D4032)*9,0)</f>
        <v>7</v>
      </c>
      <c r="H4032" s="1" t="n">
        <f aca="false">ROUND(_xlfn.PERCENTRANK.INC($E$7:$E$4378,E4032)*9,0)</f>
        <v>7</v>
      </c>
      <c r="I4032" s="1" t="str">
        <f aca="false">CONCATENATE(F4032,G4032,H4032)</f>
        <v>777</v>
      </c>
      <c r="J4032" s="1" t="str">
        <f aca="false">_xlfn.IFS(AND(F4032&gt;=8,G4032&gt;=8,H4032&gt;=8),"CHAMPION",AND(F4032&gt;=6,G4032&gt;=7,H4032&gt;=6),"LOYAL CUSTOMER",AND(F4032&gt;=6,G4032&gt;=5,H4032&gt;=5),"POTENTIAL LOYALIST",AND(F4032&gt;=8,G4032&lt;=2,H4032&gt;=5),"NEW CUSTOMERS",AND(F4032&gt;=6,G4032&lt;=2,H4032&gt;=3),"PROMISING",AND(F4032&gt;=3,G4032&gt;=3,H4032&gt;=3),"NEED ATTENTION",AND(F4032&lt;=4,G4032&gt;=6,H4032&gt;=6),"AT RISK",AND(F4032&lt;=2,G4032&gt;=8,H4032&gt;=8),"CAN'T LOSE THEM",AND(F4032&lt;=2,G4032&lt;=2,H4032&lt;=2),"HIBERNATING",TRUE(),"Other")</f>
        <v>LOYAL CUSTOMER</v>
      </c>
      <c r="K4032" s="1" t="n">
        <f aca="false">RANK(E4032,$E$7:$E$4378)+COUNTIF($E$7:E4032,E4032)-1</f>
        <v>1027</v>
      </c>
    </row>
    <row r="4033" customFormat="false" ht="14.25" hidden="false" customHeight="true" outlineLevel="0" collapsed="false">
      <c r="A4033" s="51" t="n">
        <v>17816</v>
      </c>
      <c r="B4033" s="53" t="n">
        <v>40850.4819444444</v>
      </c>
      <c r="C4033" s="57" t="n">
        <f aca="false">INT($C$2)-INT(Table3[[#This Row],[Last Purchase Date]])</f>
        <v>37</v>
      </c>
      <c r="D4033" s="1" t="n">
        <v>4</v>
      </c>
      <c r="E4033" s="1" t="n">
        <v>36.56</v>
      </c>
      <c r="F4033" s="1" t="n">
        <f aca="false">ROUND((1-_xlfn.PERCENTRANK.INC($C$7:$C$4378,C4033))*9,0)</f>
        <v>5</v>
      </c>
      <c r="G4033" s="1" t="n">
        <f aca="false">ROUND(_xlfn.PERCENTRANK.INC($D$7:$D$4378,D4033)*9,0)</f>
        <v>5</v>
      </c>
      <c r="H4033" s="1" t="n">
        <f aca="false">ROUND(_xlfn.PERCENTRANK.INC($E$7:$E$4378,E4033)*9,0)</f>
        <v>0</v>
      </c>
      <c r="I4033" s="1" t="str">
        <f aca="false">CONCATENATE(F4033,G4033,H4033)</f>
        <v>550</v>
      </c>
      <c r="J4033" s="1" t="str">
        <f aca="false">_xlfn.IFS(AND(F4033&gt;=8,G4033&gt;=8,H4033&gt;=8),"CHAMPION",AND(F4033&gt;=6,G4033&gt;=7,H4033&gt;=6),"LOYAL CUSTOMER",AND(F4033&gt;=6,G4033&gt;=5,H4033&gt;=5),"POTENTIAL LOYALIST",AND(F4033&gt;=8,G4033&lt;=2,H4033&gt;=5),"NEW CUSTOMERS",AND(F4033&gt;=6,G4033&lt;=2,H4033&gt;=3),"PROMISING",AND(F4033&gt;=3,G4033&gt;=3,H4033&gt;=3),"NEED ATTENTION",AND(F4033&lt;=4,G4033&gt;=6,H4033&gt;=6),"AT RISK",AND(F4033&lt;=2,G4033&gt;=8,H4033&gt;=8),"CAN'T LOSE THEM",AND(F4033&lt;=2,G4033&lt;=2,H4033&lt;=2),"HIBERNATING",TRUE(),"Other")</f>
        <v>Other</v>
      </c>
      <c r="K4033" s="1" t="n">
        <f aca="false">RANK(E4033,$E$7:$E$4378)+COUNTIF($E$7:E4033,E4033)-1</f>
        <v>4298</v>
      </c>
    </row>
    <row r="4034" customFormat="false" ht="14.25" hidden="false" customHeight="true" outlineLevel="0" collapsed="false">
      <c r="A4034" s="51" t="n">
        <v>17817</v>
      </c>
      <c r="B4034" s="53" t="n">
        <v>40882.6104166667</v>
      </c>
      <c r="C4034" s="57" t="n">
        <f aca="false">INT($C$2)-INT(Table3[[#This Row],[Last Purchase Date]])</f>
        <v>5</v>
      </c>
      <c r="D4034" s="1" t="n">
        <v>3</v>
      </c>
      <c r="E4034" s="1" t="n">
        <v>387.68</v>
      </c>
      <c r="F4034" s="1" t="n">
        <f aca="false">ROUND((1-_xlfn.PERCENTRANK.INC($C$7:$C$4378,C4034))*9,0)</f>
        <v>8</v>
      </c>
      <c r="G4034" s="1" t="n">
        <f aca="false">ROUND(_xlfn.PERCENTRANK.INC($D$7:$D$4378,D4034)*9,0)</f>
        <v>4</v>
      </c>
      <c r="H4034" s="1" t="n">
        <f aca="false">ROUND(_xlfn.PERCENTRANK.INC($E$7:$E$4378,E4034)*9,0)</f>
        <v>3</v>
      </c>
      <c r="I4034" s="1" t="str">
        <f aca="false">CONCATENATE(F4034,G4034,H4034)</f>
        <v>843</v>
      </c>
      <c r="J4034" s="1" t="str">
        <f aca="false">_xlfn.IFS(AND(F4034&gt;=8,G4034&gt;=8,H4034&gt;=8),"CHAMPION",AND(F4034&gt;=6,G4034&gt;=7,H4034&gt;=6),"LOYAL CUSTOMER",AND(F4034&gt;=6,G4034&gt;=5,H4034&gt;=5),"POTENTIAL LOYALIST",AND(F4034&gt;=8,G4034&lt;=2,H4034&gt;=5),"NEW CUSTOMERS",AND(F4034&gt;=6,G4034&lt;=2,H4034&gt;=3),"PROMISING",AND(F4034&gt;=3,G4034&gt;=3,H4034&gt;=3),"NEED ATTENTION",AND(F4034&lt;=4,G4034&gt;=6,H4034&gt;=6),"AT RISK",AND(F4034&lt;=2,G4034&gt;=8,H4034&gt;=8),"CAN'T LOSE THEM",AND(F4034&lt;=2,G4034&lt;=2,H4034&lt;=2),"HIBERNATING",TRUE(),"Other")</f>
        <v>NEED ATTENTION</v>
      </c>
      <c r="K4034" s="1" t="n">
        <f aca="false">RANK(E4034,$E$7:$E$4378)+COUNTIF($E$7:E4034,E4034)-1</f>
        <v>2860</v>
      </c>
    </row>
    <row r="4035" customFormat="false" ht="14.25" hidden="false" customHeight="true" outlineLevel="0" collapsed="false">
      <c r="A4035" s="51" t="n">
        <v>17819</v>
      </c>
      <c r="B4035" s="53" t="n">
        <v>40815.4527777778</v>
      </c>
      <c r="C4035" s="57" t="n">
        <f aca="false">INT($C$2)-INT(Table3[[#This Row],[Last Purchase Date]])</f>
        <v>72</v>
      </c>
      <c r="D4035" s="1" t="n">
        <v>8</v>
      </c>
      <c r="E4035" s="1" t="n">
        <v>3661.07</v>
      </c>
      <c r="F4035" s="1" t="n">
        <f aca="false">ROUND((1-_xlfn.PERCENTRANK.INC($C$7:$C$4378,C4035))*9,0)</f>
        <v>4</v>
      </c>
      <c r="G4035" s="1" t="n">
        <f aca="false">ROUND(_xlfn.PERCENTRANK.INC($D$7:$D$4378,D4035)*9,0)</f>
        <v>7</v>
      </c>
      <c r="H4035" s="1" t="n">
        <f aca="false">ROUND(_xlfn.PERCENTRANK.INC($E$7:$E$4378,E4035)*9,0)</f>
        <v>8</v>
      </c>
      <c r="I4035" s="1" t="str">
        <f aca="false">CONCATENATE(F4035,G4035,H4035)</f>
        <v>478</v>
      </c>
      <c r="J4035" s="1" t="str">
        <f aca="false">_xlfn.IFS(AND(F4035&gt;=8,G4035&gt;=8,H4035&gt;=8),"CHAMPION",AND(F4035&gt;=6,G4035&gt;=7,H4035&gt;=6),"LOYAL CUSTOMER",AND(F4035&gt;=6,G4035&gt;=5,H4035&gt;=5),"POTENTIAL LOYALIST",AND(F4035&gt;=8,G4035&lt;=2,H4035&gt;=5),"NEW CUSTOMERS",AND(F4035&gt;=6,G4035&lt;=2,H4035&gt;=3),"PROMISING",AND(F4035&gt;=3,G4035&gt;=3,H4035&gt;=3),"NEED ATTENTION",AND(F4035&lt;=4,G4035&gt;=6,H4035&gt;=6),"AT RISK",AND(F4035&lt;=2,G4035&gt;=8,H4035&gt;=8),"CAN'T LOSE THEM",AND(F4035&lt;=2,G4035&lt;=2,H4035&lt;=2),"HIBERNATING",TRUE(),"Other")</f>
        <v>NEED ATTENTION</v>
      </c>
      <c r="K4035" s="1" t="n">
        <f aca="false">RANK(E4035,$E$7:$E$4378)+COUNTIF($E$7:E4035,E4035)-1</f>
        <v>409</v>
      </c>
    </row>
    <row r="4036" customFormat="false" ht="14.25" hidden="false" customHeight="true" outlineLevel="0" collapsed="false">
      <c r="A4036" s="51" t="n">
        <v>17820</v>
      </c>
      <c r="B4036" s="53" t="n">
        <v>40695.6347222222</v>
      </c>
      <c r="C4036" s="57" t="n">
        <f aca="false">INT($C$2)-INT(Table3[[#This Row],[Last Purchase Date]])</f>
        <v>192</v>
      </c>
      <c r="D4036" s="1" t="n">
        <v>2</v>
      </c>
      <c r="E4036" s="1" t="n">
        <v>-24.05</v>
      </c>
      <c r="F4036" s="1" t="n">
        <f aca="false">ROUND((1-_xlfn.PERCENTRANK.INC($C$7:$C$4378,C4036))*9,0)</f>
        <v>2</v>
      </c>
      <c r="G4036" s="1" t="n">
        <f aca="false">ROUND(_xlfn.PERCENTRANK.INC($D$7:$D$4378,D4036)*9,0)</f>
        <v>3</v>
      </c>
      <c r="H4036" s="1" t="n">
        <f aca="false">ROUND(_xlfn.PERCENTRANK.INC($E$7:$E$4378,E4036)*9,0)</f>
        <v>0</v>
      </c>
      <c r="I4036" s="1" t="str">
        <f aca="false">CONCATENATE(F4036,G4036,H4036)</f>
        <v>230</v>
      </c>
      <c r="J4036" s="1" t="str">
        <f aca="false">_xlfn.IFS(AND(F4036&gt;=8,G4036&gt;=8,H4036&gt;=8),"CHAMPION",AND(F4036&gt;=6,G4036&gt;=7,H4036&gt;=6),"LOYAL CUSTOMER",AND(F4036&gt;=6,G4036&gt;=5,H4036&gt;=5),"POTENTIAL LOYALIST",AND(F4036&gt;=8,G4036&lt;=2,H4036&gt;=5),"NEW CUSTOMERS",AND(F4036&gt;=6,G4036&lt;=2,H4036&gt;=3),"PROMISING",AND(F4036&gt;=3,G4036&gt;=3,H4036&gt;=3),"NEED ATTENTION",AND(F4036&lt;=4,G4036&gt;=6,H4036&gt;=6),"AT RISK",AND(F4036&lt;=2,G4036&gt;=8,H4036&gt;=8),"CAN'T LOSE THEM",AND(F4036&lt;=2,G4036&lt;=2,H4036&lt;=2),"HIBERNATING",TRUE(),"Other")</f>
        <v>Other</v>
      </c>
      <c r="K4036" s="1" t="n">
        <f aca="false">RANK(E4036,$E$7:$E$4378)+COUNTIF($E$7:E4036,E4036)-1</f>
        <v>4345</v>
      </c>
    </row>
    <row r="4037" customFormat="false" ht="14.25" hidden="false" customHeight="true" outlineLevel="0" collapsed="false">
      <c r="A4037" s="51" t="n">
        <v>17824</v>
      </c>
      <c r="B4037" s="53" t="n">
        <v>40835.5930555556</v>
      </c>
      <c r="C4037" s="57" t="n">
        <f aca="false">INT($C$2)-INT(Table3[[#This Row],[Last Purchase Date]])</f>
        <v>52</v>
      </c>
      <c r="D4037" s="1" t="n">
        <v>1</v>
      </c>
      <c r="E4037" s="1" t="n">
        <v>298.4</v>
      </c>
      <c r="F4037" s="1" t="n">
        <f aca="false">ROUND((1-_xlfn.PERCENTRANK.INC($C$7:$C$4378,C4037))*9,0)</f>
        <v>4</v>
      </c>
      <c r="G4037" s="1" t="n">
        <f aca="false">ROUND(_xlfn.PERCENTRANK.INC($D$7:$D$4378,D4037)*9,0)</f>
        <v>0</v>
      </c>
      <c r="H4037" s="1" t="n">
        <f aca="false">ROUND(_xlfn.PERCENTRANK.INC($E$7:$E$4378,E4037)*9,0)</f>
        <v>2</v>
      </c>
      <c r="I4037" s="1" t="str">
        <f aca="false">CONCATENATE(F4037,G4037,H4037)</f>
        <v>402</v>
      </c>
      <c r="J4037" s="1" t="str">
        <f aca="false">_xlfn.IFS(AND(F4037&gt;=8,G4037&gt;=8,H4037&gt;=8),"CHAMPION",AND(F4037&gt;=6,G4037&gt;=7,H4037&gt;=6),"LOYAL CUSTOMER",AND(F4037&gt;=6,G4037&gt;=5,H4037&gt;=5),"POTENTIAL LOYALIST",AND(F4037&gt;=8,G4037&lt;=2,H4037&gt;=5),"NEW CUSTOMERS",AND(F4037&gt;=6,G4037&lt;=2,H4037&gt;=3),"PROMISING",AND(F4037&gt;=3,G4037&gt;=3,H4037&gt;=3),"NEED ATTENTION",AND(F4037&lt;=4,G4037&gt;=6,H4037&gt;=6),"AT RISK",AND(F4037&lt;=2,G4037&gt;=8,H4037&gt;=8),"CAN'T LOSE THEM",AND(F4037&lt;=2,G4037&lt;=2,H4037&lt;=2),"HIBERNATING",TRUE(),"Other")</f>
        <v>Other</v>
      </c>
      <c r="K4037" s="1" t="n">
        <f aca="false">RANK(E4037,$E$7:$E$4378)+COUNTIF($E$7:E4037,E4037)-1</f>
        <v>3260</v>
      </c>
    </row>
    <row r="4038" customFormat="false" ht="14.25" hidden="false" customHeight="true" outlineLevel="0" collapsed="false">
      <c r="A4038" s="51" t="n">
        <v>17827</v>
      </c>
      <c r="B4038" s="53" t="n">
        <v>40881.625</v>
      </c>
      <c r="C4038" s="57" t="n">
        <f aca="false">INT($C$2)-INT(Table3[[#This Row],[Last Purchase Date]])</f>
        <v>6</v>
      </c>
      <c r="D4038" s="1" t="n">
        <v>5</v>
      </c>
      <c r="E4038" s="1" t="n">
        <v>1995.46</v>
      </c>
      <c r="F4038" s="1" t="n">
        <f aca="false">ROUND((1-_xlfn.PERCENTRANK.INC($C$7:$C$4378,C4038))*9,0)</f>
        <v>8</v>
      </c>
      <c r="G4038" s="1" t="n">
        <f aca="false">ROUND(_xlfn.PERCENTRANK.INC($D$7:$D$4378,D4038)*9,0)</f>
        <v>6</v>
      </c>
      <c r="H4038" s="1" t="n">
        <f aca="false">ROUND(_xlfn.PERCENTRANK.INC($E$7:$E$4378,E4038)*9,0)</f>
        <v>7</v>
      </c>
      <c r="I4038" s="1" t="str">
        <f aca="false">CONCATENATE(F4038,G4038,H4038)</f>
        <v>867</v>
      </c>
      <c r="J4038" s="1" t="str">
        <f aca="false">_xlfn.IFS(AND(F4038&gt;=8,G4038&gt;=8,H4038&gt;=8),"CHAMPION",AND(F4038&gt;=6,G4038&gt;=7,H4038&gt;=6),"LOYAL CUSTOMER",AND(F4038&gt;=6,G4038&gt;=5,H4038&gt;=5),"POTENTIAL LOYALIST",AND(F4038&gt;=8,G4038&lt;=2,H4038&gt;=5),"NEW CUSTOMERS",AND(F4038&gt;=6,G4038&lt;=2,H4038&gt;=3),"PROMISING",AND(F4038&gt;=3,G4038&gt;=3,H4038&gt;=3),"NEED ATTENTION",AND(F4038&lt;=4,G4038&gt;=6,H4038&gt;=6),"AT RISK",AND(F4038&lt;=2,G4038&gt;=8,H4038&gt;=8),"CAN'T LOSE THEM",AND(F4038&lt;=2,G4038&lt;=2,H4038&lt;=2),"HIBERNATING",TRUE(),"Other")</f>
        <v>POTENTIAL LOYALIST</v>
      </c>
      <c r="K4038" s="1" t="n">
        <f aca="false">RANK(E4038,$E$7:$E$4378)+COUNTIF($E$7:E4038,E4038)-1</f>
        <v>880</v>
      </c>
    </row>
    <row r="4039" customFormat="false" ht="14.25" hidden="false" customHeight="true" outlineLevel="0" collapsed="false">
      <c r="A4039" s="51" t="n">
        <v>17828</v>
      </c>
      <c r="B4039" s="53" t="n">
        <v>40878.3986111111</v>
      </c>
      <c r="C4039" s="57" t="n">
        <f aca="false">INT($C$2)-INT(Table3[[#This Row],[Last Purchase Date]])</f>
        <v>9</v>
      </c>
      <c r="D4039" s="1" t="n">
        <v>9</v>
      </c>
      <c r="E4039" s="1" t="n">
        <v>1599.97</v>
      </c>
      <c r="F4039" s="1" t="n">
        <f aca="false">ROUND((1-_xlfn.PERCENTRANK.INC($C$7:$C$4378,C4039))*9,0)</f>
        <v>8</v>
      </c>
      <c r="G4039" s="1" t="n">
        <f aca="false">ROUND(_xlfn.PERCENTRANK.INC($D$7:$D$4378,D4039)*9,0)</f>
        <v>8</v>
      </c>
      <c r="H4039" s="1" t="n">
        <f aca="false">ROUND(_xlfn.PERCENTRANK.INC($E$7:$E$4378,E4039)*9,0)</f>
        <v>7</v>
      </c>
      <c r="I4039" s="1" t="str">
        <f aca="false">CONCATENATE(F4039,G4039,H4039)</f>
        <v>887</v>
      </c>
      <c r="J4039" s="1" t="str">
        <f aca="false">_xlfn.IFS(AND(F4039&gt;=8,G4039&gt;=8,H4039&gt;=8),"CHAMPION",AND(F4039&gt;=6,G4039&gt;=7,H4039&gt;=6),"LOYAL CUSTOMER",AND(F4039&gt;=6,G4039&gt;=5,H4039&gt;=5),"POTENTIAL LOYALIST",AND(F4039&gt;=8,G4039&lt;=2,H4039&gt;=5),"NEW CUSTOMERS",AND(F4039&gt;=6,G4039&lt;=2,H4039&gt;=3),"PROMISING",AND(F4039&gt;=3,G4039&gt;=3,H4039&gt;=3),"NEED ATTENTION",AND(F4039&lt;=4,G4039&gt;=6,H4039&gt;=6),"AT RISK",AND(F4039&lt;=2,G4039&gt;=8,H4039&gt;=8),"CAN'T LOSE THEM",AND(F4039&lt;=2,G4039&lt;=2,H4039&lt;=2),"HIBERNATING",TRUE(),"Other")</f>
        <v>LOYAL CUSTOMER</v>
      </c>
      <c r="K4039" s="1" t="n">
        <f aca="false">RANK(E4039,$E$7:$E$4378)+COUNTIF($E$7:E4039,E4039)-1</f>
        <v>1104</v>
      </c>
    </row>
    <row r="4040" customFormat="false" ht="14.25" hidden="false" customHeight="true" outlineLevel="0" collapsed="false">
      <c r="A4040" s="51" t="n">
        <v>17829</v>
      </c>
      <c r="B4040" s="53" t="n">
        <v>40588.5319444445</v>
      </c>
      <c r="C4040" s="57" t="n">
        <f aca="false">INT($C$2)-INT(Table3[[#This Row],[Last Purchase Date]])</f>
        <v>299</v>
      </c>
      <c r="D4040" s="1" t="n">
        <v>1</v>
      </c>
      <c r="E4040" s="1" t="n">
        <v>889.24</v>
      </c>
      <c r="F4040" s="1" t="n">
        <f aca="false">ROUND((1-_xlfn.PERCENTRANK.INC($C$7:$C$4378,C4040))*9,0)</f>
        <v>1</v>
      </c>
      <c r="G4040" s="1" t="n">
        <f aca="false">ROUND(_xlfn.PERCENTRANK.INC($D$7:$D$4378,D4040)*9,0)</f>
        <v>0</v>
      </c>
      <c r="H4040" s="1" t="n">
        <f aca="false">ROUND(_xlfn.PERCENTRANK.INC($E$7:$E$4378,E4040)*9,0)</f>
        <v>5</v>
      </c>
      <c r="I4040" s="1" t="str">
        <f aca="false">CONCATENATE(F4040,G4040,H4040)</f>
        <v>105</v>
      </c>
      <c r="J4040" s="1" t="str">
        <f aca="false">_xlfn.IFS(AND(F4040&gt;=8,G4040&gt;=8,H4040&gt;=8),"CHAMPION",AND(F4040&gt;=6,G4040&gt;=7,H4040&gt;=6),"LOYAL CUSTOMER",AND(F4040&gt;=6,G4040&gt;=5,H4040&gt;=5),"POTENTIAL LOYALIST",AND(F4040&gt;=8,G4040&lt;=2,H4040&gt;=5),"NEW CUSTOMERS",AND(F4040&gt;=6,G4040&lt;=2,H4040&gt;=3),"PROMISING",AND(F4040&gt;=3,G4040&gt;=3,H4040&gt;=3),"NEED ATTENTION",AND(F4040&lt;=4,G4040&gt;=6,H4040&gt;=6),"AT RISK",AND(F4040&lt;=2,G4040&gt;=8,H4040&gt;=8),"CAN'T LOSE THEM",AND(F4040&lt;=2,G4040&lt;=2,H4040&lt;=2),"HIBERNATING",TRUE(),"Other")</f>
        <v>Other</v>
      </c>
      <c r="K4040" s="1" t="n">
        <f aca="false">RANK(E4040,$E$7:$E$4378)+COUNTIF($E$7:E4040,E4040)-1</f>
        <v>1776</v>
      </c>
    </row>
    <row r="4041" customFormat="false" ht="14.25" hidden="false" customHeight="true" outlineLevel="0" collapsed="false">
      <c r="A4041" s="51" t="n">
        <v>17830</v>
      </c>
      <c r="B4041" s="53" t="n">
        <v>40885.5194444444</v>
      </c>
      <c r="C4041" s="57" t="n">
        <f aca="false">INT($C$2)-INT(Table3[[#This Row],[Last Purchase Date]])</f>
        <v>2</v>
      </c>
      <c r="D4041" s="1" t="n">
        <v>3</v>
      </c>
      <c r="E4041" s="1" t="n">
        <v>398.7</v>
      </c>
      <c r="F4041" s="1" t="n">
        <f aca="false">ROUND((1-_xlfn.PERCENTRANK.INC($C$7:$C$4378,C4041))*9,0)</f>
        <v>9</v>
      </c>
      <c r="G4041" s="1" t="n">
        <f aca="false">ROUND(_xlfn.PERCENTRANK.INC($D$7:$D$4378,D4041)*9,0)</f>
        <v>4</v>
      </c>
      <c r="H4041" s="1" t="n">
        <f aca="false">ROUND(_xlfn.PERCENTRANK.INC($E$7:$E$4378,E4041)*9,0)</f>
        <v>3</v>
      </c>
      <c r="I4041" s="1" t="str">
        <f aca="false">CONCATENATE(F4041,G4041,H4041)</f>
        <v>943</v>
      </c>
      <c r="J4041" s="1" t="str">
        <f aca="false">_xlfn.IFS(AND(F4041&gt;=8,G4041&gt;=8,H4041&gt;=8),"CHAMPION",AND(F4041&gt;=6,G4041&gt;=7,H4041&gt;=6),"LOYAL CUSTOMER",AND(F4041&gt;=6,G4041&gt;=5,H4041&gt;=5),"POTENTIAL LOYALIST",AND(F4041&gt;=8,G4041&lt;=2,H4041&gt;=5),"NEW CUSTOMERS",AND(F4041&gt;=6,G4041&lt;=2,H4041&gt;=3),"PROMISING",AND(F4041&gt;=3,G4041&gt;=3,H4041&gt;=3),"NEED ATTENTION",AND(F4041&lt;=4,G4041&gt;=6,H4041&gt;=6),"AT RISK",AND(F4041&lt;=2,G4041&gt;=8,H4041&gt;=8),"CAN'T LOSE THEM",AND(F4041&lt;=2,G4041&lt;=2,H4041&lt;=2),"HIBERNATING",TRUE(),"Other")</f>
        <v>NEED ATTENTION</v>
      </c>
      <c r="K4041" s="1" t="n">
        <f aca="false">RANK(E4041,$E$7:$E$4378)+COUNTIF($E$7:E4041,E4041)-1</f>
        <v>2823</v>
      </c>
    </row>
    <row r="4042" customFormat="false" ht="14.25" hidden="false" customHeight="true" outlineLevel="0" collapsed="false">
      <c r="A4042" s="51" t="n">
        <v>17831</v>
      </c>
      <c r="B4042" s="53" t="n">
        <v>40853.63125</v>
      </c>
      <c r="C4042" s="57" t="n">
        <f aca="false">INT($C$2)-INT(Table3[[#This Row],[Last Purchase Date]])</f>
        <v>34</v>
      </c>
      <c r="D4042" s="1" t="n">
        <v>1</v>
      </c>
      <c r="E4042" s="1" t="n">
        <v>35.4</v>
      </c>
      <c r="F4042" s="1" t="n">
        <f aca="false">ROUND((1-_xlfn.PERCENTRANK.INC($C$7:$C$4378,C4042))*9,0)</f>
        <v>5</v>
      </c>
      <c r="G4042" s="1" t="n">
        <f aca="false">ROUND(_xlfn.PERCENTRANK.INC($D$7:$D$4378,D4042)*9,0)</f>
        <v>0</v>
      </c>
      <c r="H4042" s="1" t="n">
        <f aca="false">ROUND(_xlfn.PERCENTRANK.INC($E$7:$E$4378,E4042)*9,0)</f>
        <v>0</v>
      </c>
      <c r="I4042" s="1" t="str">
        <f aca="false">CONCATENATE(F4042,G4042,H4042)</f>
        <v>500</v>
      </c>
      <c r="J4042" s="1" t="str">
        <f aca="false">_xlfn.IFS(AND(F4042&gt;=8,G4042&gt;=8,H4042&gt;=8),"CHAMPION",AND(F4042&gt;=6,G4042&gt;=7,H4042&gt;=6),"LOYAL CUSTOMER",AND(F4042&gt;=6,G4042&gt;=5,H4042&gt;=5),"POTENTIAL LOYALIST",AND(F4042&gt;=8,G4042&lt;=2,H4042&gt;=5),"NEW CUSTOMERS",AND(F4042&gt;=6,G4042&lt;=2,H4042&gt;=3),"PROMISING",AND(F4042&gt;=3,G4042&gt;=3,H4042&gt;=3),"NEED ATTENTION",AND(F4042&lt;=4,G4042&gt;=6,H4042&gt;=6),"AT RISK",AND(F4042&lt;=2,G4042&gt;=8,H4042&gt;=8),"CAN'T LOSE THEM",AND(F4042&lt;=2,G4042&lt;=2,H4042&lt;=2),"HIBERNATING",TRUE(),"Other")</f>
        <v>Other</v>
      </c>
      <c r="K4042" s="1" t="n">
        <f aca="false">RANK(E4042,$E$7:$E$4378)+COUNTIF($E$7:E4042,E4042)-1</f>
        <v>4301</v>
      </c>
    </row>
    <row r="4043" customFormat="false" ht="14.25" hidden="false" customHeight="true" outlineLevel="0" collapsed="false">
      <c r="A4043" s="51" t="n">
        <v>17832</v>
      </c>
      <c r="B4043" s="53" t="n">
        <v>40837.4881944444</v>
      </c>
      <c r="C4043" s="57" t="n">
        <f aca="false">INT($C$2)-INT(Table3[[#This Row],[Last Purchase Date]])</f>
        <v>50</v>
      </c>
      <c r="D4043" s="1" t="n">
        <v>1</v>
      </c>
      <c r="E4043" s="1" t="n">
        <v>155.37</v>
      </c>
      <c r="F4043" s="1" t="n">
        <f aca="false">ROUND((1-_xlfn.PERCENTRANK.INC($C$7:$C$4378,C4043))*9,0)</f>
        <v>5</v>
      </c>
      <c r="G4043" s="1" t="n">
        <f aca="false">ROUND(_xlfn.PERCENTRANK.INC($D$7:$D$4378,D4043)*9,0)</f>
        <v>0</v>
      </c>
      <c r="H4043" s="1" t="n">
        <f aca="false">ROUND(_xlfn.PERCENTRANK.INC($E$7:$E$4378,E4043)*9,0)</f>
        <v>1</v>
      </c>
      <c r="I4043" s="1" t="str">
        <f aca="false">CONCATENATE(F4043,G4043,H4043)</f>
        <v>501</v>
      </c>
      <c r="J4043" s="1" t="str">
        <f aca="false">_xlfn.IFS(AND(F4043&gt;=8,G4043&gt;=8,H4043&gt;=8),"CHAMPION",AND(F4043&gt;=6,G4043&gt;=7,H4043&gt;=6),"LOYAL CUSTOMER",AND(F4043&gt;=6,G4043&gt;=5,H4043&gt;=5),"POTENTIAL LOYALIST",AND(F4043&gt;=8,G4043&lt;=2,H4043&gt;=5),"NEW CUSTOMERS",AND(F4043&gt;=6,G4043&lt;=2,H4043&gt;=3),"PROMISING",AND(F4043&gt;=3,G4043&gt;=3,H4043&gt;=3),"NEED ATTENTION",AND(F4043&lt;=4,G4043&gt;=6,H4043&gt;=6),"AT RISK",AND(F4043&lt;=2,G4043&gt;=8,H4043&gt;=8),"CAN'T LOSE THEM",AND(F4043&lt;=2,G4043&lt;=2,H4043&lt;=2),"HIBERNATING",TRUE(),"Other")</f>
        <v>Other</v>
      </c>
      <c r="K4043" s="1" t="n">
        <f aca="false">RANK(E4043,$E$7:$E$4378)+COUNTIF($E$7:E4043,E4043)-1</f>
        <v>3884</v>
      </c>
    </row>
    <row r="4044" customFormat="false" ht="14.25" hidden="false" customHeight="true" outlineLevel="0" collapsed="false">
      <c r="A4044" s="51" t="n">
        <v>17835</v>
      </c>
      <c r="B4044" s="53" t="n">
        <v>40884.4916666667</v>
      </c>
      <c r="C4044" s="57" t="n">
        <f aca="false">INT($C$2)-INT(Table3[[#This Row],[Last Purchase Date]])</f>
        <v>3</v>
      </c>
      <c r="D4044" s="1" t="n">
        <v>3</v>
      </c>
      <c r="E4044" s="1" t="n">
        <v>350.64</v>
      </c>
      <c r="F4044" s="1" t="n">
        <f aca="false">ROUND((1-_xlfn.PERCENTRANK.INC($C$7:$C$4378,C4044))*9,0)</f>
        <v>9</v>
      </c>
      <c r="G4044" s="1" t="n">
        <f aca="false">ROUND(_xlfn.PERCENTRANK.INC($D$7:$D$4378,D4044)*9,0)</f>
        <v>4</v>
      </c>
      <c r="H4044" s="1" t="n">
        <f aca="false">ROUND(_xlfn.PERCENTRANK.INC($E$7:$E$4378,E4044)*9,0)</f>
        <v>3</v>
      </c>
      <c r="I4044" s="1" t="str">
        <f aca="false">CONCATENATE(F4044,G4044,H4044)</f>
        <v>943</v>
      </c>
      <c r="J4044" s="1" t="str">
        <f aca="false">_xlfn.IFS(AND(F4044&gt;=8,G4044&gt;=8,H4044&gt;=8),"CHAMPION",AND(F4044&gt;=6,G4044&gt;=7,H4044&gt;=6),"LOYAL CUSTOMER",AND(F4044&gt;=6,G4044&gt;=5,H4044&gt;=5),"POTENTIAL LOYALIST",AND(F4044&gt;=8,G4044&lt;=2,H4044&gt;=5),"NEW CUSTOMERS",AND(F4044&gt;=6,G4044&lt;=2,H4044&gt;=3),"PROMISING",AND(F4044&gt;=3,G4044&gt;=3,H4044&gt;=3),"NEED ATTENTION",AND(F4044&lt;=4,G4044&gt;=6,H4044&gt;=6),"AT RISK",AND(F4044&lt;=2,G4044&gt;=8,H4044&gt;=8),"CAN'T LOSE THEM",AND(F4044&lt;=2,G4044&lt;=2,H4044&lt;=2),"HIBERNATING",TRUE(),"Other")</f>
        <v>NEED ATTENTION</v>
      </c>
      <c r="K4044" s="1" t="n">
        <f aca="false">RANK(E4044,$E$7:$E$4378)+COUNTIF($E$7:E4044,E4044)-1</f>
        <v>3004</v>
      </c>
    </row>
    <row r="4045" customFormat="false" ht="14.25" hidden="false" customHeight="true" outlineLevel="0" collapsed="false">
      <c r="A4045" s="51" t="n">
        <v>17836</v>
      </c>
      <c r="B4045" s="53" t="n">
        <v>40839.6756944444</v>
      </c>
      <c r="C4045" s="57" t="n">
        <f aca="false">INT($C$2)-INT(Table3[[#This Row],[Last Purchase Date]])</f>
        <v>48</v>
      </c>
      <c r="D4045" s="1" t="n">
        <v>1</v>
      </c>
      <c r="E4045" s="1" t="n">
        <v>110.21</v>
      </c>
      <c r="F4045" s="1" t="n">
        <f aca="false">ROUND((1-_xlfn.PERCENTRANK.INC($C$7:$C$4378,C4045))*9,0)</f>
        <v>5</v>
      </c>
      <c r="G4045" s="1" t="n">
        <f aca="false">ROUND(_xlfn.PERCENTRANK.INC($D$7:$D$4378,D4045)*9,0)</f>
        <v>0</v>
      </c>
      <c r="H4045" s="1" t="n">
        <f aca="false">ROUND(_xlfn.PERCENTRANK.INC($E$7:$E$4378,E4045)*9,0)</f>
        <v>1</v>
      </c>
      <c r="I4045" s="1" t="str">
        <f aca="false">CONCATENATE(F4045,G4045,H4045)</f>
        <v>501</v>
      </c>
      <c r="J4045" s="1" t="str">
        <f aca="false">_xlfn.IFS(AND(F4045&gt;=8,G4045&gt;=8,H4045&gt;=8),"CHAMPION",AND(F4045&gt;=6,G4045&gt;=7,H4045&gt;=6),"LOYAL CUSTOMER",AND(F4045&gt;=6,G4045&gt;=5,H4045&gt;=5),"POTENTIAL LOYALIST",AND(F4045&gt;=8,G4045&lt;=2,H4045&gt;=5),"NEW CUSTOMERS",AND(F4045&gt;=6,G4045&lt;=2,H4045&gt;=3),"PROMISING",AND(F4045&gt;=3,G4045&gt;=3,H4045&gt;=3),"NEED ATTENTION",AND(F4045&lt;=4,G4045&gt;=6,H4045&gt;=6),"AT RISK",AND(F4045&lt;=2,G4045&gt;=8,H4045&gt;=8),"CAN'T LOSE THEM",AND(F4045&lt;=2,G4045&lt;=2,H4045&lt;=2),"HIBERNATING",TRUE(),"Other")</f>
        <v>Other</v>
      </c>
      <c r="K4045" s="1" t="n">
        <f aca="false">RANK(E4045,$E$7:$E$4378)+COUNTIF($E$7:E4045,E4045)-1</f>
        <v>4116</v>
      </c>
    </row>
    <row r="4046" customFormat="false" ht="14.25" hidden="false" customHeight="true" outlineLevel="0" collapsed="false">
      <c r="A4046" s="51" t="n">
        <v>17837</v>
      </c>
      <c r="B4046" s="53" t="n">
        <v>40844.6770833333</v>
      </c>
      <c r="C4046" s="57" t="n">
        <f aca="false">INT($C$2)-INT(Table3[[#This Row],[Last Purchase Date]])</f>
        <v>43</v>
      </c>
      <c r="D4046" s="1" t="n">
        <v>10</v>
      </c>
      <c r="E4046" s="1" t="n">
        <v>1560.53</v>
      </c>
      <c r="F4046" s="1" t="n">
        <f aca="false">ROUND((1-_xlfn.PERCENTRANK.INC($C$7:$C$4378,C4046))*9,0)</f>
        <v>5</v>
      </c>
      <c r="G4046" s="1" t="n">
        <f aca="false">ROUND(_xlfn.PERCENTRANK.INC($D$7:$D$4378,D4046)*9,0)</f>
        <v>8</v>
      </c>
      <c r="H4046" s="1" t="n">
        <f aca="false">ROUND(_xlfn.PERCENTRANK.INC($E$7:$E$4378,E4046)*9,0)</f>
        <v>7</v>
      </c>
      <c r="I4046" s="1" t="str">
        <f aca="false">CONCATENATE(F4046,G4046,H4046)</f>
        <v>587</v>
      </c>
      <c r="J4046" s="1" t="str">
        <f aca="false">_xlfn.IFS(AND(F4046&gt;=8,G4046&gt;=8,H4046&gt;=8),"CHAMPION",AND(F4046&gt;=6,G4046&gt;=7,H4046&gt;=6),"LOYAL CUSTOMER",AND(F4046&gt;=6,G4046&gt;=5,H4046&gt;=5),"POTENTIAL LOYALIST",AND(F4046&gt;=8,G4046&lt;=2,H4046&gt;=5),"NEW CUSTOMERS",AND(F4046&gt;=6,G4046&lt;=2,H4046&gt;=3),"PROMISING",AND(F4046&gt;=3,G4046&gt;=3,H4046&gt;=3),"NEED ATTENTION",AND(F4046&lt;=4,G4046&gt;=6,H4046&gt;=6),"AT RISK",AND(F4046&lt;=2,G4046&gt;=8,H4046&gt;=8),"CAN'T LOSE THEM",AND(F4046&lt;=2,G4046&lt;=2,H4046&lt;=2),"HIBERNATING",TRUE(),"Other")</f>
        <v>NEED ATTENTION</v>
      </c>
      <c r="K4046" s="1" t="n">
        <f aca="false">RANK(E4046,$E$7:$E$4378)+COUNTIF($E$7:E4046,E4046)-1</f>
        <v>1119</v>
      </c>
    </row>
    <row r="4047" customFormat="false" ht="14.25" hidden="false" customHeight="true" outlineLevel="0" collapsed="false">
      <c r="A4047" s="51" t="n">
        <v>17838</v>
      </c>
      <c r="B4047" s="53" t="n">
        <v>40860.4847222222</v>
      </c>
      <c r="C4047" s="57" t="n">
        <f aca="false">INT($C$2)-INT(Table3[[#This Row],[Last Purchase Date]])</f>
        <v>27</v>
      </c>
      <c r="D4047" s="1" t="n">
        <v>6</v>
      </c>
      <c r="E4047" s="1" t="n">
        <v>2312.7</v>
      </c>
      <c r="F4047" s="1" t="n">
        <f aca="false">ROUND((1-_xlfn.PERCENTRANK.INC($C$7:$C$4378,C4047))*9,0)</f>
        <v>6</v>
      </c>
      <c r="G4047" s="1" t="n">
        <f aca="false">ROUND(_xlfn.PERCENTRANK.INC($D$7:$D$4378,D4047)*9,0)</f>
        <v>7</v>
      </c>
      <c r="H4047" s="1" t="n">
        <f aca="false">ROUND(_xlfn.PERCENTRANK.INC($E$7:$E$4378,E4047)*9,0)</f>
        <v>7</v>
      </c>
      <c r="I4047" s="1" t="str">
        <f aca="false">CONCATENATE(F4047,G4047,H4047)</f>
        <v>677</v>
      </c>
      <c r="J4047" s="1" t="str">
        <f aca="false">_xlfn.IFS(AND(F4047&gt;=8,G4047&gt;=8,H4047&gt;=8),"CHAMPION",AND(F4047&gt;=6,G4047&gt;=7,H4047&gt;=6),"LOYAL CUSTOMER",AND(F4047&gt;=6,G4047&gt;=5,H4047&gt;=5),"POTENTIAL LOYALIST",AND(F4047&gt;=8,G4047&lt;=2,H4047&gt;=5),"NEW CUSTOMERS",AND(F4047&gt;=6,G4047&lt;=2,H4047&gt;=3),"PROMISING",AND(F4047&gt;=3,G4047&gt;=3,H4047&gt;=3),"NEED ATTENTION",AND(F4047&lt;=4,G4047&gt;=6,H4047&gt;=6),"AT RISK",AND(F4047&lt;=2,G4047&gt;=8,H4047&gt;=8),"CAN'T LOSE THEM",AND(F4047&lt;=2,G4047&lt;=2,H4047&lt;=2),"HIBERNATING",TRUE(),"Other")</f>
        <v>LOYAL CUSTOMER</v>
      </c>
      <c r="K4047" s="1" t="n">
        <f aca="false">RANK(E4047,$E$7:$E$4378)+COUNTIF($E$7:E4047,E4047)-1</f>
        <v>737</v>
      </c>
    </row>
    <row r="4048" customFormat="false" ht="14.25" hidden="false" customHeight="true" outlineLevel="0" collapsed="false">
      <c r="A4048" s="51" t="n">
        <v>17839</v>
      </c>
      <c r="B4048" s="53" t="n">
        <v>40844.7270833333</v>
      </c>
      <c r="C4048" s="57" t="n">
        <f aca="false">INT($C$2)-INT(Table3[[#This Row],[Last Purchase Date]])</f>
        <v>43</v>
      </c>
      <c r="D4048" s="1" t="n">
        <v>1</v>
      </c>
      <c r="E4048" s="1" t="n">
        <v>338.8</v>
      </c>
      <c r="F4048" s="1" t="n">
        <f aca="false">ROUND((1-_xlfn.PERCENTRANK.INC($C$7:$C$4378,C4048))*9,0)</f>
        <v>5</v>
      </c>
      <c r="G4048" s="1" t="n">
        <f aca="false">ROUND(_xlfn.PERCENTRANK.INC($D$7:$D$4378,D4048)*9,0)</f>
        <v>0</v>
      </c>
      <c r="H4048" s="1" t="n">
        <f aca="false">ROUND(_xlfn.PERCENTRANK.INC($E$7:$E$4378,E4048)*9,0)</f>
        <v>3</v>
      </c>
      <c r="I4048" s="1" t="str">
        <f aca="false">CONCATENATE(F4048,G4048,H4048)</f>
        <v>503</v>
      </c>
      <c r="J4048" s="1" t="str">
        <f aca="false">_xlfn.IFS(AND(F4048&gt;=8,G4048&gt;=8,H4048&gt;=8),"CHAMPION",AND(F4048&gt;=6,G4048&gt;=7,H4048&gt;=6),"LOYAL CUSTOMER",AND(F4048&gt;=6,G4048&gt;=5,H4048&gt;=5),"POTENTIAL LOYALIST",AND(F4048&gt;=8,G4048&lt;=2,H4048&gt;=5),"NEW CUSTOMERS",AND(F4048&gt;=6,G4048&lt;=2,H4048&gt;=3),"PROMISING",AND(F4048&gt;=3,G4048&gt;=3,H4048&gt;=3),"NEED ATTENTION",AND(F4048&lt;=4,G4048&gt;=6,H4048&gt;=6),"AT RISK",AND(F4048&lt;=2,G4048&gt;=8,H4048&gt;=8),"CAN'T LOSE THEM",AND(F4048&lt;=2,G4048&lt;=2,H4048&lt;=2),"HIBERNATING",TRUE(),"Other")</f>
        <v>Other</v>
      </c>
      <c r="K4048" s="1" t="n">
        <f aca="false">RANK(E4048,$E$7:$E$4378)+COUNTIF($E$7:E4048,E4048)-1</f>
        <v>3056</v>
      </c>
    </row>
    <row r="4049" customFormat="false" ht="14.25" hidden="false" customHeight="true" outlineLevel="0" collapsed="false">
      <c r="A4049" s="51" t="n">
        <v>17841</v>
      </c>
      <c r="B4049" s="53" t="n">
        <v>40885.5048611111</v>
      </c>
      <c r="C4049" s="57" t="n">
        <f aca="false">INT($C$2)-INT(Table3[[#This Row],[Last Purchase Date]])</f>
        <v>2</v>
      </c>
      <c r="D4049" s="1" t="n">
        <v>169</v>
      </c>
      <c r="E4049" s="1" t="n">
        <v>40340.7800000001</v>
      </c>
      <c r="F4049" s="1" t="n">
        <f aca="false">ROUND((1-_xlfn.PERCENTRANK.INC($C$7:$C$4378,C4049))*9,0)</f>
        <v>9</v>
      </c>
      <c r="G4049" s="1" t="n">
        <f aca="false">ROUND(_xlfn.PERCENTRANK.INC($D$7:$D$4378,D4049)*9,0)</f>
        <v>9</v>
      </c>
      <c r="H4049" s="1" t="n">
        <f aca="false">ROUND(_xlfn.PERCENTRANK.INC($E$7:$E$4378,E4049)*9,0)</f>
        <v>9</v>
      </c>
      <c r="I4049" s="1" t="str">
        <f aca="false">CONCATENATE(F4049,G4049,H4049)</f>
        <v>999</v>
      </c>
      <c r="J4049" s="1" t="str">
        <f aca="false">_xlfn.IFS(AND(F4049&gt;=8,G4049&gt;=8,H4049&gt;=8),"CHAMPION",AND(F4049&gt;=6,G4049&gt;=7,H4049&gt;=6),"LOYAL CUSTOMER",AND(F4049&gt;=6,G4049&gt;=5,H4049&gt;=5),"POTENTIAL LOYALIST",AND(F4049&gt;=8,G4049&lt;=2,H4049&gt;=5),"NEW CUSTOMERS",AND(F4049&gt;=6,G4049&lt;=2,H4049&gt;=3),"PROMISING",AND(F4049&gt;=3,G4049&gt;=3,H4049&gt;=3),"NEED ATTENTION",AND(F4049&lt;=4,G4049&gt;=6,H4049&gt;=6),"AT RISK",AND(F4049&lt;=2,G4049&gt;=8,H4049&gt;=8),"CAN'T LOSE THEM",AND(F4049&lt;=2,G4049&lt;=2,H4049&lt;=2),"HIBERNATING",TRUE(),"Other")</f>
        <v>CHAMPION</v>
      </c>
      <c r="K4049" s="1" t="n">
        <f aca="false">RANK(E4049,$E$7:$E$4378)+COUNTIF($E$7:E4049,E4049)-1</f>
        <v>19</v>
      </c>
    </row>
    <row r="4050" customFormat="false" ht="14.25" hidden="false" customHeight="true" outlineLevel="0" collapsed="false">
      <c r="A4050" s="51" t="n">
        <v>17843</v>
      </c>
      <c r="B4050" s="53" t="n">
        <v>40583.6479166667</v>
      </c>
      <c r="C4050" s="57" t="n">
        <f aca="false">INT($C$2)-INT(Table3[[#This Row],[Last Purchase Date]])</f>
        <v>304</v>
      </c>
      <c r="D4050" s="1" t="n">
        <v>1</v>
      </c>
      <c r="E4050" s="1" t="n">
        <v>205.48</v>
      </c>
      <c r="F4050" s="1" t="n">
        <f aca="false">ROUND((1-_xlfn.PERCENTRANK.INC($C$7:$C$4378,C4050))*9,0)</f>
        <v>1</v>
      </c>
      <c r="G4050" s="1" t="n">
        <f aca="false">ROUND(_xlfn.PERCENTRANK.INC($D$7:$D$4378,D4050)*9,0)</f>
        <v>0</v>
      </c>
      <c r="H4050" s="1" t="n">
        <f aca="false">ROUND(_xlfn.PERCENTRANK.INC($E$7:$E$4378,E4050)*9,0)</f>
        <v>2</v>
      </c>
      <c r="I4050" s="1" t="str">
        <f aca="false">CONCATENATE(F4050,G4050,H4050)</f>
        <v>102</v>
      </c>
      <c r="J4050" s="1" t="str">
        <f aca="false">_xlfn.IFS(AND(F4050&gt;=8,G4050&gt;=8,H4050&gt;=8),"CHAMPION",AND(F4050&gt;=6,G4050&gt;=7,H4050&gt;=6),"LOYAL CUSTOMER",AND(F4050&gt;=6,G4050&gt;=5,H4050&gt;=5),"POTENTIAL LOYALIST",AND(F4050&gt;=8,G4050&lt;=2,H4050&gt;=5),"NEW CUSTOMERS",AND(F4050&gt;=6,G4050&lt;=2,H4050&gt;=3),"PROMISING",AND(F4050&gt;=3,G4050&gt;=3,H4050&gt;=3),"NEED ATTENTION",AND(F4050&lt;=4,G4050&gt;=6,H4050&gt;=6),"AT RISK",AND(F4050&lt;=2,G4050&gt;=8,H4050&gt;=8),"CAN'T LOSE THEM",AND(F4050&lt;=2,G4050&lt;=2,H4050&lt;=2),"HIBERNATING",TRUE(),"Other")</f>
        <v>HIBERNATING</v>
      </c>
      <c r="K4050" s="1" t="n">
        <f aca="false">RANK(E4050,$E$7:$E$4378)+COUNTIF($E$7:E4050,E4050)-1</f>
        <v>3634</v>
      </c>
    </row>
    <row r="4051" customFormat="false" ht="14.25" hidden="false" customHeight="true" outlineLevel="0" collapsed="false">
      <c r="A4051" s="51" t="n">
        <v>17844</v>
      </c>
      <c r="B4051" s="53" t="n">
        <v>40780.4770833333</v>
      </c>
      <c r="C4051" s="57" t="n">
        <f aca="false">INT($C$2)-INT(Table3[[#This Row],[Last Purchase Date]])</f>
        <v>107</v>
      </c>
      <c r="D4051" s="1" t="n">
        <v>1</v>
      </c>
      <c r="E4051" s="1" t="n">
        <v>51.56</v>
      </c>
      <c r="F4051" s="1" t="n">
        <f aca="false">ROUND((1-_xlfn.PERCENTRANK.INC($C$7:$C$4378,C4051))*9,0)</f>
        <v>3</v>
      </c>
      <c r="G4051" s="1" t="n">
        <f aca="false">ROUND(_xlfn.PERCENTRANK.INC($D$7:$D$4378,D4051)*9,0)</f>
        <v>0</v>
      </c>
      <c r="H4051" s="1" t="n">
        <f aca="false">ROUND(_xlfn.PERCENTRANK.INC($E$7:$E$4378,E4051)*9,0)</f>
        <v>0</v>
      </c>
      <c r="I4051" s="1" t="str">
        <f aca="false">CONCATENATE(F4051,G4051,H4051)</f>
        <v>300</v>
      </c>
      <c r="J4051" s="1" t="str">
        <f aca="false">_xlfn.IFS(AND(F4051&gt;=8,G4051&gt;=8,H4051&gt;=8),"CHAMPION",AND(F4051&gt;=6,G4051&gt;=7,H4051&gt;=6),"LOYAL CUSTOMER",AND(F4051&gt;=6,G4051&gt;=5,H4051&gt;=5),"POTENTIAL LOYALIST",AND(F4051&gt;=8,G4051&lt;=2,H4051&gt;=5),"NEW CUSTOMERS",AND(F4051&gt;=6,G4051&lt;=2,H4051&gt;=3),"PROMISING",AND(F4051&gt;=3,G4051&gt;=3,H4051&gt;=3),"NEED ATTENTION",AND(F4051&lt;=4,G4051&gt;=6,H4051&gt;=6),"AT RISK",AND(F4051&lt;=2,G4051&gt;=8,H4051&gt;=8),"CAN'T LOSE THEM",AND(F4051&lt;=2,G4051&lt;=2,H4051&lt;=2),"HIBERNATING",TRUE(),"Other")</f>
        <v>Other</v>
      </c>
      <c r="K4051" s="1" t="n">
        <f aca="false">RANK(E4051,$E$7:$E$4378)+COUNTIF($E$7:E4051,E4051)-1</f>
        <v>4279</v>
      </c>
    </row>
    <row r="4052" customFormat="false" ht="14.25" hidden="false" customHeight="true" outlineLevel="0" collapsed="false">
      <c r="A4052" s="51" t="n">
        <v>17846</v>
      </c>
      <c r="B4052" s="53" t="n">
        <v>40801.6388888889</v>
      </c>
      <c r="C4052" s="57" t="n">
        <f aca="false">INT($C$2)-INT(Table3[[#This Row],[Last Purchase Date]])</f>
        <v>86</v>
      </c>
      <c r="D4052" s="1" t="n">
        <v>1</v>
      </c>
      <c r="E4052" s="1" t="n">
        <v>2033.1</v>
      </c>
      <c r="F4052" s="1" t="n">
        <f aca="false">ROUND((1-_xlfn.PERCENTRANK.INC($C$7:$C$4378,C4052))*9,0)</f>
        <v>3</v>
      </c>
      <c r="G4052" s="1" t="n">
        <f aca="false">ROUND(_xlfn.PERCENTRANK.INC($D$7:$D$4378,D4052)*9,0)</f>
        <v>0</v>
      </c>
      <c r="H4052" s="1" t="n">
        <f aca="false">ROUND(_xlfn.PERCENTRANK.INC($E$7:$E$4378,E4052)*9,0)</f>
        <v>7</v>
      </c>
      <c r="I4052" s="1" t="str">
        <f aca="false">CONCATENATE(F4052,G4052,H4052)</f>
        <v>307</v>
      </c>
      <c r="J4052" s="1" t="str">
        <f aca="false">_xlfn.IFS(AND(F4052&gt;=8,G4052&gt;=8,H4052&gt;=8),"CHAMPION",AND(F4052&gt;=6,G4052&gt;=7,H4052&gt;=6),"LOYAL CUSTOMER",AND(F4052&gt;=6,G4052&gt;=5,H4052&gt;=5),"POTENTIAL LOYALIST",AND(F4052&gt;=8,G4052&lt;=2,H4052&gt;=5),"NEW CUSTOMERS",AND(F4052&gt;=6,G4052&lt;=2,H4052&gt;=3),"PROMISING",AND(F4052&gt;=3,G4052&gt;=3,H4052&gt;=3),"NEED ATTENTION",AND(F4052&lt;=4,G4052&gt;=6,H4052&gt;=6),"AT RISK",AND(F4052&lt;=2,G4052&gt;=8,H4052&gt;=8),"CAN'T LOSE THEM",AND(F4052&lt;=2,G4052&lt;=2,H4052&lt;=2),"HIBERNATING",TRUE(),"Other")</f>
        <v>Other</v>
      </c>
      <c r="K4052" s="1" t="n">
        <f aca="false">RANK(E4052,$E$7:$E$4378)+COUNTIF($E$7:E4052,E4052)-1</f>
        <v>859</v>
      </c>
    </row>
    <row r="4053" customFormat="false" ht="14.25" hidden="false" customHeight="true" outlineLevel="0" collapsed="false">
      <c r="A4053" s="51" t="n">
        <v>17848</v>
      </c>
      <c r="B4053" s="53" t="n">
        <v>40805.7006944444</v>
      </c>
      <c r="C4053" s="57" t="n">
        <f aca="false">INT($C$2)-INT(Table3[[#This Row],[Last Purchase Date]])</f>
        <v>82</v>
      </c>
      <c r="D4053" s="1" t="n">
        <v>9</v>
      </c>
      <c r="E4053" s="1" t="n">
        <v>901.2</v>
      </c>
      <c r="F4053" s="1" t="n">
        <f aca="false">ROUND((1-_xlfn.PERCENTRANK.INC($C$7:$C$4378,C4053))*9,0)</f>
        <v>3</v>
      </c>
      <c r="G4053" s="1" t="n">
        <f aca="false">ROUND(_xlfn.PERCENTRANK.INC($D$7:$D$4378,D4053)*9,0)</f>
        <v>8</v>
      </c>
      <c r="H4053" s="1" t="n">
        <f aca="false">ROUND(_xlfn.PERCENTRANK.INC($E$7:$E$4378,E4053)*9,0)</f>
        <v>5</v>
      </c>
      <c r="I4053" s="1" t="str">
        <f aca="false">CONCATENATE(F4053,G4053,H4053)</f>
        <v>385</v>
      </c>
      <c r="J4053" s="1" t="str">
        <f aca="false">_xlfn.IFS(AND(F4053&gt;=8,G4053&gt;=8,H4053&gt;=8),"CHAMPION",AND(F4053&gt;=6,G4053&gt;=7,H4053&gt;=6),"LOYAL CUSTOMER",AND(F4053&gt;=6,G4053&gt;=5,H4053&gt;=5),"POTENTIAL LOYALIST",AND(F4053&gt;=8,G4053&lt;=2,H4053&gt;=5),"NEW CUSTOMERS",AND(F4053&gt;=6,G4053&lt;=2,H4053&gt;=3),"PROMISING",AND(F4053&gt;=3,G4053&gt;=3,H4053&gt;=3),"NEED ATTENTION",AND(F4053&lt;=4,G4053&gt;=6,H4053&gt;=6),"AT RISK",AND(F4053&lt;=2,G4053&gt;=8,H4053&gt;=8),"CAN'T LOSE THEM",AND(F4053&lt;=2,G4053&lt;=2,H4053&lt;=2),"HIBERNATING",TRUE(),"Other")</f>
        <v>NEED ATTENTION</v>
      </c>
      <c r="K4053" s="1" t="n">
        <f aca="false">RANK(E4053,$E$7:$E$4378)+COUNTIF($E$7:E4053,E4053)-1</f>
        <v>1761</v>
      </c>
    </row>
    <row r="4054" customFormat="false" ht="14.25" hidden="false" customHeight="true" outlineLevel="0" collapsed="false">
      <c r="A4054" s="51" t="n">
        <v>17849</v>
      </c>
      <c r="B4054" s="53" t="n">
        <v>40668.5736111111</v>
      </c>
      <c r="C4054" s="57" t="n">
        <f aca="false">INT($C$2)-INT(Table3[[#This Row],[Last Purchase Date]])</f>
        <v>219</v>
      </c>
      <c r="D4054" s="1" t="n">
        <v>4</v>
      </c>
      <c r="E4054" s="1" t="n">
        <v>605.8</v>
      </c>
      <c r="F4054" s="1" t="n">
        <f aca="false">ROUND((1-_xlfn.PERCENTRANK.INC($C$7:$C$4378,C4054))*9,0)</f>
        <v>1</v>
      </c>
      <c r="G4054" s="1" t="n">
        <f aca="false">ROUND(_xlfn.PERCENTRANK.INC($D$7:$D$4378,D4054)*9,0)</f>
        <v>5</v>
      </c>
      <c r="H4054" s="1" t="n">
        <f aca="false">ROUND(_xlfn.PERCENTRANK.INC($E$7:$E$4378,E4054)*9,0)</f>
        <v>4</v>
      </c>
      <c r="I4054" s="1" t="str">
        <f aca="false">CONCATENATE(F4054,G4054,H4054)</f>
        <v>154</v>
      </c>
      <c r="J4054" s="1" t="str">
        <f aca="false">_xlfn.IFS(AND(F4054&gt;=8,G4054&gt;=8,H4054&gt;=8),"CHAMPION",AND(F4054&gt;=6,G4054&gt;=7,H4054&gt;=6),"LOYAL CUSTOMER",AND(F4054&gt;=6,G4054&gt;=5,H4054&gt;=5),"POTENTIAL LOYALIST",AND(F4054&gt;=8,G4054&lt;=2,H4054&gt;=5),"NEW CUSTOMERS",AND(F4054&gt;=6,G4054&lt;=2,H4054&gt;=3),"PROMISING",AND(F4054&gt;=3,G4054&gt;=3,H4054&gt;=3),"NEED ATTENTION",AND(F4054&lt;=4,G4054&gt;=6,H4054&gt;=6),"AT RISK",AND(F4054&lt;=2,G4054&gt;=8,H4054&gt;=8),"CAN'T LOSE THEM",AND(F4054&lt;=2,G4054&lt;=2,H4054&lt;=2),"HIBERNATING",TRUE(),"Other")</f>
        <v>Other</v>
      </c>
      <c r="K4054" s="1" t="n">
        <f aca="false">RANK(E4054,$E$7:$E$4378)+COUNTIF($E$7:E4054,E4054)-1</f>
        <v>2294</v>
      </c>
    </row>
    <row r="4055" customFormat="false" ht="14.25" hidden="false" customHeight="true" outlineLevel="0" collapsed="false">
      <c r="A4055" s="51" t="n">
        <v>17850</v>
      </c>
      <c r="B4055" s="53" t="n">
        <v>40584.6097222222</v>
      </c>
      <c r="C4055" s="57" t="n">
        <f aca="false">INT($C$2)-INT(Table3[[#This Row],[Last Purchase Date]])</f>
        <v>303</v>
      </c>
      <c r="D4055" s="1" t="n">
        <v>35</v>
      </c>
      <c r="E4055" s="1" t="n">
        <v>5288.63000000001</v>
      </c>
      <c r="F4055" s="1" t="n">
        <f aca="false">ROUND((1-_xlfn.PERCENTRANK.INC($C$7:$C$4378,C4055))*9,0)</f>
        <v>1</v>
      </c>
      <c r="G4055" s="1" t="n">
        <f aca="false">ROUND(_xlfn.PERCENTRANK.INC($D$7:$D$4378,D4055)*9,0)</f>
        <v>9</v>
      </c>
      <c r="H4055" s="1" t="n">
        <f aca="false">ROUND(_xlfn.PERCENTRANK.INC($E$7:$E$4378,E4055)*9,0)</f>
        <v>9</v>
      </c>
      <c r="I4055" s="1" t="str">
        <f aca="false">CONCATENATE(F4055,G4055,H4055)</f>
        <v>199</v>
      </c>
      <c r="J4055" s="1" t="str">
        <f aca="false">_xlfn.IFS(AND(F4055&gt;=8,G4055&gt;=8,H4055&gt;=8),"CHAMPION",AND(F4055&gt;=6,G4055&gt;=7,H4055&gt;=6),"LOYAL CUSTOMER",AND(F4055&gt;=6,G4055&gt;=5,H4055&gt;=5),"POTENTIAL LOYALIST",AND(F4055&gt;=8,G4055&lt;=2,H4055&gt;=5),"NEW CUSTOMERS",AND(F4055&gt;=6,G4055&lt;=2,H4055&gt;=3),"PROMISING",AND(F4055&gt;=3,G4055&gt;=3,H4055&gt;=3),"NEED ATTENTION",AND(F4055&lt;=4,G4055&gt;=6,H4055&gt;=6),"AT RISK",AND(F4055&lt;=2,G4055&gt;=8,H4055&gt;=8),"CAN'T LOSE THEM",AND(F4055&lt;=2,G4055&lt;=2,H4055&lt;=2),"HIBERNATING",TRUE(),"Other")</f>
        <v>AT RISK</v>
      </c>
      <c r="K4055" s="1" t="n">
        <f aca="false">RANK(E4055,$E$7:$E$4378)+COUNTIF($E$7:E4055,E4055)-1</f>
        <v>242</v>
      </c>
    </row>
    <row r="4056" customFormat="false" ht="14.25" hidden="false" customHeight="true" outlineLevel="0" collapsed="false">
      <c r="A4056" s="51" t="n">
        <v>17852</v>
      </c>
      <c r="B4056" s="53" t="n">
        <v>40875.525</v>
      </c>
      <c r="C4056" s="57" t="n">
        <f aca="false">INT($C$2)-INT(Table3[[#This Row],[Last Purchase Date]])</f>
        <v>12</v>
      </c>
      <c r="D4056" s="1" t="n">
        <v>2</v>
      </c>
      <c r="E4056" s="1" t="n">
        <v>114.34</v>
      </c>
      <c r="F4056" s="1" t="n">
        <f aca="false">ROUND((1-_xlfn.PERCENTRANK.INC($C$7:$C$4378,C4056))*9,0)</f>
        <v>7</v>
      </c>
      <c r="G4056" s="1" t="n">
        <f aca="false">ROUND(_xlfn.PERCENTRANK.INC($D$7:$D$4378,D4056)*9,0)</f>
        <v>3</v>
      </c>
      <c r="H4056" s="1" t="n">
        <f aca="false">ROUND(_xlfn.PERCENTRANK.INC($E$7:$E$4378,E4056)*9,0)</f>
        <v>1</v>
      </c>
      <c r="I4056" s="1" t="str">
        <f aca="false">CONCATENATE(F4056,G4056,H4056)</f>
        <v>731</v>
      </c>
      <c r="J4056" s="1" t="str">
        <f aca="false">_xlfn.IFS(AND(F4056&gt;=8,G4056&gt;=8,H4056&gt;=8),"CHAMPION",AND(F4056&gt;=6,G4056&gt;=7,H4056&gt;=6),"LOYAL CUSTOMER",AND(F4056&gt;=6,G4056&gt;=5,H4056&gt;=5),"POTENTIAL LOYALIST",AND(F4056&gt;=8,G4056&lt;=2,H4056&gt;=5),"NEW CUSTOMERS",AND(F4056&gt;=6,G4056&lt;=2,H4056&gt;=3),"PROMISING",AND(F4056&gt;=3,G4056&gt;=3,H4056&gt;=3),"NEED ATTENTION",AND(F4056&lt;=4,G4056&gt;=6,H4056&gt;=6),"AT RISK",AND(F4056&lt;=2,G4056&gt;=8,H4056&gt;=8),"CAN'T LOSE THEM",AND(F4056&lt;=2,G4056&lt;=2,H4056&lt;=2),"HIBERNATING",TRUE(),"Other")</f>
        <v>Other</v>
      </c>
      <c r="K4056" s="1" t="n">
        <f aca="false">RANK(E4056,$E$7:$E$4378)+COUNTIF($E$7:E4056,E4056)-1</f>
        <v>4077</v>
      </c>
    </row>
    <row r="4057" customFormat="false" ht="14.25" hidden="false" customHeight="true" outlineLevel="0" collapsed="false">
      <c r="A4057" s="51" t="n">
        <v>17854</v>
      </c>
      <c r="B4057" s="53" t="n">
        <v>40701.68125</v>
      </c>
      <c r="C4057" s="57" t="n">
        <f aca="false">INT($C$2)-INT(Table3[[#This Row],[Last Purchase Date]])</f>
        <v>186</v>
      </c>
      <c r="D4057" s="1" t="n">
        <v>2</v>
      </c>
      <c r="E4057" s="1" t="n">
        <v>311.26</v>
      </c>
      <c r="F4057" s="1" t="n">
        <f aca="false">ROUND((1-_xlfn.PERCENTRANK.INC($C$7:$C$4378,C4057))*9,0)</f>
        <v>2</v>
      </c>
      <c r="G4057" s="1" t="n">
        <f aca="false">ROUND(_xlfn.PERCENTRANK.INC($D$7:$D$4378,D4057)*9,0)</f>
        <v>3</v>
      </c>
      <c r="H4057" s="1" t="n">
        <f aca="false">ROUND(_xlfn.PERCENTRANK.INC($E$7:$E$4378,E4057)*9,0)</f>
        <v>2</v>
      </c>
      <c r="I4057" s="1" t="str">
        <f aca="false">CONCATENATE(F4057,G4057,H4057)</f>
        <v>232</v>
      </c>
      <c r="J4057" s="1" t="str">
        <f aca="false">_xlfn.IFS(AND(F4057&gt;=8,G4057&gt;=8,H4057&gt;=8),"CHAMPION",AND(F4057&gt;=6,G4057&gt;=7,H4057&gt;=6),"LOYAL CUSTOMER",AND(F4057&gt;=6,G4057&gt;=5,H4057&gt;=5),"POTENTIAL LOYALIST",AND(F4057&gt;=8,G4057&lt;=2,H4057&gt;=5),"NEW CUSTOMERS",AND(F4057&gt;=6,G4057&lt;=2,H4057&gt;=3),"PROMISING",AND(F4057&gt;=3,G4057&gt;=3,H4057&gt;=3),"NEED ATTENTION",AND(F4057&lt;=4,G4057&gt;=6,H4057&gt;=6),"AT RISK",AND(F4057&lt;=2,G4057&gt;=8,H4057&gt;=8),"CAN'T LOSE THEM",AND(F4057&lt;=2,G4057&lt;=2,H4057&lt;=2),"HIBERNATING",TRUE(),"Other")</f>
        <v>Other</v>
      </c>
      <c r="K4057" s="1" t="n">
        <f aca="false">RANK(E4057,$E$7:$E$4378)+COUNTIF($E$7:E4057,E4057)-1</f>
        <v>3188</v>
      </c>
    </row>
    <row r="4058" customFormat="false" ht="14.25" hidden="false" customHeight="true" outlineLevel="0" collapsed="false">
      <c r="A4058" s="51" t="n">
        <v>17855</v>
      </c>
      <c r="B4058" s="53" t="n">
        <v>40514.4055555556</v>
      </c>
      <c r="C4058" s="57" t="n">
        <f aca="false">INT($C$2)-INT(Table3[[#This Row],[Last Purchase Date]])</f>
        <v>373</v>
      </c>
      <c r="D4058" s="1" t="n">
        <v>1</v>
      </c>
      <c r="E4058" s="1" t="n">
        <v>208.97</v>
      </c>
      <c r="F4058" s="1" t="n">
        <f aca="false">ROUND((1-_xlfn.PERCENTRANK.INC($C$7:$C$4378,C4058))*9,0)</f>
        <v>0</v>
      </c>
      <c r="G4058" s="1" t="n">
        <f aca="false">ROUND(_xlfn.PERCENTRANK.INC($D$7:$D$4378,D4058)*9,0)</f>
        <v>0</v>
      </c>
      <c r="H4058" s="1" t="n">
        <f aca="false">ROUND(_xlfn.PERCENTRANK.INC($E$7:$E$4378,E4058)*9,0)</f>
        <v>2</v>
      </c>
      <c r="I4058" s="1" t="str">
        <f aca="false">CONCATENATE(F4058,G4058,H4058)</f>
        <v>002</v>
      </c>
      <c r="J4058" s="1" t="str">
        <f aca="false">_xlfn.IFS(AND(F4058&gt;=8,G4058&gt;=8,H4058&gt;=8),"CHAMPION",AND(F4058&gt;=6,G4058&gt;=7,H4058&gt;=6),"LOYAL CUSTOMER",AND(F4058&gt;=6,G4058&gt;=5,H4058&gt;=5),"POTENTIAL LOYALIST",AND(F4058&gt;=8,G4058&lt;=2,H4058&gt;=5),"NEW CUSTOMERS",AND(F4058&gt;=6,G4058&lt;=2,H4058&gt;=3),"PROMISING",AND(F4058&gt;=3,G4058&gt;=3,H4058&gt;=3),"NEED ATTENTION",AND(F4058&lt;=4,G4058&gt;=6,H4058&gt;=6),"AT RISK",AND(F4058&lt;=2,G4058&gt;=8,H4058&gt;=8),"CAN'T LOSE THEM",AND(F4058&lt;=2,G4058&lt;=2,H4058&lt;=2),"HIBERNATING",TRUE(),"Other")</f>
        <v>HIBERNATING</v>
      </c>
      <c r="K4058" s="1" t="n">
        <f aca="false">RANK(E4058,$E$7:$E$4378)+COUNTIF($E$7:E4058,E4058)-1</f>
        <v>3614</v>
      </c>
    </row>
    <row r="4059" customFormat="false" ht="14.25" hidden="false" customHeight="true" outlineLevel="0" collapsed="false">
      <c r="A4059" s="51" t="n">
        <v>17856</v>
      </c>
      <c r="B4059" s="53" t="n">
        <v>40885.4027777778</v>
      </c>
      <c r="C4059" s="57" t="n">
        <f aca="false">INT($C$2)-INT(Table3[[#This Row],[Last Purchase Date]])</f>
        <v>2</v>
      </c>
      <c r="D4059" s="1" t="n">
        <v>6</v>
      </c>
      <c r="E4059" s="1" t="n">
        <v>1393.79</v>
      </c>
      <c r="F4059" s="1" t="n">
        <f aca="false">ROUND((1-_xlfn.PERCENTRANK.INC($C$7:$C$4378,C4059))*9,0)</f>
        <v>9</v>
      </c>
      <c r="G4059" s="1" t="n">
        <f aca="false">ROUND(_xlfn.PERCENTRANK.INC($D$7:$D$4378,D4059)*9,0)</f>
        <v>7</v>
      </c>
      <c r="H4059" s="1" t="n">
        <f aca="false">ROUND(_xlfn.PERCENTRANK.INC($E$7:$E$4378,E4059)*9,0)</f>
        <v>6</v>
      </c>
      <c r="I4059" s="1" t="str">
        <f aca="false">CONCATENATE(F4059,G4059,H4059)</f>
        <v>976</v>
      </c>
      <c r="J4059" s="1" t="str">
        <f aca="false">_xlfn.IFS(AND(F4059&gt;=8,G4059&gt;=8,H4059&gt;=8),"CHAMPION",AND(F4059&gt;=6,G4059&gt;=7,H4059&gt;=6),"LOYAL CUSTOMER",AND(F4059&gt;=6,G4059&gt;=5,H4059&gt;=5),"POTENTIAL LOYALIST",AND(F4059&gt;=8,G4059&lt;=2,H4059&gt;=5),"NEW CUSTOMERS",AND(F4059&gt;=6,G4059&lt;=2,H4059&gt;=3),"PROMISING",AND(F4059&gt;=3,G4059&gt;=3,H4059&gt;=3),"NEED ATTENTION",AND(F4059&lt;=4,G4059&gt;=6,H4059&gt;=6),"AT RISK",AND(F4059&lt;=2,G4059&gt;=8,H4059&gt;=8),"CAN'T LOSE THEM",AND(F4059&lt;=2,G4059&lt;=2,H4059&lt;=2),"HIBERNATING",TRUE(),"Other")</f>
        <v>LOYAL CUSTOMER</v>
      </c>
      <c r="K4059" s="1" t="n">
        <f aca="false">RANK(E4059,$E$7:$E$4378)+COUNTIF($E$7:E4059,E4059)-1</f>
        <v>1239</v>
      </c>
    </row>
    <row r="4060" customFormat="false" ht="14.25" hidden="false" customHeight="true" outlineLevel="0" collapsed="false">
      <c r="A4060" s="51" t="n">
        <v>17857</v>
      </c>
      <c r="B4060" s="53" t="n">
        <v>40883.5701388889</v>
      </c>
      <c r="C4060" s="57" t="n">
        <f aca="false">INT($C$2)-INT(Table3[[#This Row],[Last Purchase Date]])</f>
        <v>4</v>
      </c>
      <c r="D4060" s="1" t="n">
        <v>25</v>
      </c>
      <c r="E4060" s="1" t="n">
        <v>26763.34</v>
      </c>
      <c r="F4060" s="1" t="n">
        <f aca="false">ROUND((1-_xlfn.PERCENTRANK.INC($C$7:$C$4378,C4060))*9,0)</f>
        <v>8</v>
      </c>
      <c r="G4060" s="1" t="n">
        <f aca="false">ROUND(_xlfn.PERCENTRANK.INC($D$7:$D$4378,D4060)*9,0)</f>
        <v>9</v>
      </c>
      <c r="H4060" s="1" t="n">
        <f aca="false">ROUND(_xlfn.PERCENTRANK.INC($E$7:$E$4378,E4060)*9,0)</f>
        <v>9</v>
      </c>
      <c r="I4060" s="1" t="str">
        <f aca="false">CONCATENATE(F4060,G4060,H4060)</f>
        <v>899</v>
      </c>
      <c r="J4060" s="1" t="str">
        <f aca="false">_xlfn.IFS(AND(F4060&gt;=8,G4060&gt;=8,H4060&gt;=8),"CHAMPION",AND(F4060&gt;=6,G4060&gt;=7,H4060&gt;=6),"LOYAL CUSTOMER",AND(F4060&gt;=6,G4060&gt;=5,H4060&gt;=5),"POTENTIAL LOYALIST",AND(F4060&gt;=8,G4060&lt;=2,H4060&gt;=5),"NEW CUSTOMERS",AND(F4060&gt;=6,G4060&lt;=2,H4060&gt;=3),"PROMISING",AND(F4060&gt;=3,G4060&gt;=3,H4060&gt;=3),"NEED ATTENTION",AND(F4060&lt;=4,G4060&gt;=6,H4060&gt;=6),"AT RISK",AND(F4060&lt;=2,G4060&gt;=8,H4060&gt;=8),"CAN'T LOSE THEM",AND(F4060&lt;=2,G4060&lt;=2,H4060&lt;=2),"HIBERNATING",TRUE(),"Other")</f>
        <v>CHAMPION</v>
      </c>
      <c r="K4060" s="1" t="n">
        <f aca="false">RANK(E4060,$E$7:$E$4378)+COUNTIF($E$7:E4060,E4060)-1</f>
        <v>32</v>
      </c>
    </row>
    <row r="4061" customFormat="false" ht="14.25" hidden="false" customHeight="true" outlineLevel="0" collapsed="false">
      <c r="A4061" s="51" t="n">
        <v>17858</v>
      </c>
      <c r="B4061" s="53" t="n">
        <v>40881.4972222222</v>
      </c>
      <c r="C4061" s="57" t="n">
        <f aca="false">INT($C$2)-INT(Table3[[#This Row],[Last Purchase Date]])</f>
        <v>6</v>
      </c>
      <c r="D4061" s="1" t="n">
        <v>12</v>
      </c>
      <c r="E4061" s="1" t="n">
        <v>5155.66</v>
      </c>
      <c r="F4061" s="1" t="n">
        <f aca="false">ROUND((1-_xlfn.PERCENTRANK.INC($C$7:$C$4378,C4061))*9,0)</f>
        <v>8</v>
      </c>
      <c r="G4061" s="1" t="n">
        <f aca="false">ROUND(_xlfn.PERCENTRANK.INC($D$7:$D$4378,D4061)*9,0)</f>
        <v>8</v>
      </c>
      <c r="H4061" s="1" t="n">
        <f aca="false">ROUND(_xlfn.PERCENTRANK.INC($E$7:$E$4378,E4061)*9,0)</f>
        <v>8</v>
      </c>
      <c r="I4061" s="1" t="str">
        <f aca="false">CONCATENATE(F4061,G4061,H4061)</f>
        <v>888</v>
      </c>
      <c r="J4061" s="1" t="str">
        <f aca="false">_xlfn.IFS(AND(F4061&gt;=8,G4061&gt;=8,H4061&gt;=8),"CHAMPION",AND(F4061&gt;=6,G4061&gt;=7,H4061&gt;=6),"LOYAL CUSTOMER",AND(F4061&gt;=6,G4061&gt;=5,H4061&gt;=5),"POTENTIAL LOYALIST",AND(F4061&gt;=8,G4061&lt;=2,H4061&gt;=5),"NEW CUSTOMERS",AND(F4061&gt;=6,G4061&lt;=2,H4061&gt;=3),"PROMISING",AND(F4061&gt;=3,G4061&gt;=3,H4061&gt;=3),"NEED ATTENTION",AND(F4061&lt;=4,G4061&gt;=6,H4061&gt;=6),"AT RISK",AND(F4061&lt;=2,G4061&gt;=8,H4061&gt;=8),"CAN'T LOSE THEM",AND(F4061&lt;=2,G4061&lt;=2,H4061&lt;=2),"HIBERNATING",TRUE(),"Other")</f>
        <v>CHAMPION</v>
      </c>
      <c r="K4061" s="1" t="n">
        <f aca="false">RANK(E4061,$E$7:$E$4378)+COUNTIF($E$7:E4061,E4061)-1</f>
        <v>246</v>
      </c>
    </row>
    <row r="4062" customFormat="false" ht="14.25" hidden="false" customHeight="true" outlineLevel="0" collapsed="false">
      <c r="A4062" s="51" t="n">
        <v>17859</v>
      </c>
      <c r="B4062" s="53" t="n">
        <v>40582.4388888889</v>
      </c>
      <c r="C4062" s="57" t="n">
        <f aca="false">INT($C$2)-INT(Table3[[#This Row],[Last Purchase Date]])</f>
        <v>305</v>
      </c>
      <c r="D4062" s="1" t="n">
        <v>1</v>
      </c>
      <c r="E4062" s="1" t="n">
        <v>148.21</v>
      </c>
      <c r="F4062" s="1" t="n">
        <f aca="false">ROUND((1-_xlfn.PERCENTRANK.INC($C$7:$C$4378,C4062))*9,0)</f>
        <v>1</v>
      </c>
      <c r="G4062" s="1" t="n">
        <f aca="false">ROUND(_xlfn.PERCENTRANK.INC($D$7:$D$4378,D4062)*9,0)</f>
        <v>0</v>
      </c>
      <c r="H4062" s="1" t="n">
        <f aca="false">ROUND(_xlfn.PERCENTRANK.INC($E$7:$E$4378,E4062)*9,0)</f>
        <v>1</v>
      </c>
      <c r="I4062" s="1" t="str">
        <f aca="false">CONCATENATE(F4062,G4062,H4062)</f>
        <v>101</v>
      </c>
      <c r="J4062" s="1" t="str">
        <f aca="false">_xlfn.IFS(AND(F4062&gt;=8,G4062&gt;=8,H4062&gt;=8),"CHAMPION",AND(F4062&gt;=6,G4062&gt;=7,H4062&gt;=6),"LOYAL CUSTOMER",AND(F4062&gt;=6,G4062&gt;=5,H4062&gt;=5),"POTENTIAL LOYALIST",AND(F4062&gt;=8,G4062&lt;=2,H4062&gt;=5),"NEW CUSTOMERS",AND(F4062&gt;=6,G4062&lt;=2,H4062&gt;=3),"PROMISING",AND(F4062&gt;=3,G4062&gt;=3,H4062&gt;=3),"NEED ATTENTION",AND(F4062&lt;=4,G4062&gt;=6,H4062&gt;=6),"AT RISK",AND(F4062&lt;=2,G4062&gt;=8,H4062&gt;=8),"CAN'T LOSE THEM",AND(F4062&lt;=2,G4062&lt;=2,H4062&lt;=2),"HIBERNATING",TRUE(),"Other")</f>
        <v>HIBERNATING</v>
      </c>
      <c r="K4062" s="1" t="n">
        <f aca="false">RANK(E4062,$E$7:$E$4378)+COUNTIF($E$7:E4062,E4062)-1</f>
        <v>3927</v>
      </c>
    </row>
    <row r="4063" customFormat="false" ht="14.25" hidden="false" customHeight="true" outlineLevel="0" collapsed="false">
      <c r="A4063" s="51" t="n">
        <v>17860</v>
      </c>
      <c r="B4063" s="53" t="n">
        <v>40518.5284722222</v>
      </c>
      <c r="C4063" s="57" t="n">
        <f aca="false">INT($C$2)-INT(Table3[[#This Row],[Last Purchase Date]])</f>
        <v>369</v>
      </c>
      <c r="D4063" s="1" t="n">
        <v>1</v>
      </c>
      <c r="E4063" s="1" t="n">
        <v>252.8</v>
      </c>
      <c r="F4063" s="1" t="n">
        <f aca="false">ROUND((1-_xlfn.PERCENTRANK.INC($C$7:$C$4378,C4063))*9,0)</f>
        <v>0</v>
      </c>
      <c r="G4063" s="1" t="n">
        <f aca="false">ROUND(_xlfn.PERCENTRANK.INC($D$7:$D$4378,D4063)*9,0)</f>
        <v>0</v>
      </c>
      <c r="H4063" s="1" t="n">
        <f aca="false">ROUND(_xlfn.PERCENTRANK.INC($E$7:$E$4378,E4063)*9,0)</f>
        <v>2</v>
      </c>
      <c r="I4063" s="1" t="str">
        <f aca="false">CONCATENATE(F4063,G4063,H4063)</f>
        <v>002</v>
      </c>
      <c r="J4063" s="1" t="str">
        <f aca="false">_xlfn.IFS(AND(F4063&gt;=8,G4063&gt;=8,H4063&gt;=8),"CHAMPION",AND(F4063&gt;=6,G4063&gt;=7,H4063&gt;=6),"LOYAL CUSTOMER",AND(F4063&gt;=6,G4063&gt;=5,H4063&gt;=5),"POTENTIAL LOYALIST",AND(F4063&gt;=8,G4063&lt;=2,H4063&gt;=5),"NEW CUSTOMERS",AND(F4063&gt;=6,G4063&lt;=2,H4063&gt;=3),"PROMISING",AND(F4063&gt;=3,G4063&gt;=3,H4063&gt;=3),"NEED ATTENTION",AND(F4063&lt;=4,G4063&gt;=6,H4063&gt;=6),"AT RISK",AND(F4063&lt;=2,G4063&gt;=8,H4063&gt;=8),"CAN'T LOSE THEM",AND(F4063&lt;=2,G4063&lt;=2,H4063&lt;=2),"HIBERNATING",TRUE(),"Other")</f>
        <v>HIBERNATING</v>
      </c>
      <c r="K4063" s="1" t="n">
        <f aca="false">RANK(E4063,$E$7:$E$4378)+COUNTIF($E$7:E4063,E4063)-1</f>
        <v>3423</v>
      </c>
    </row>
    <row r="4064" customFormat="false" ht="14.25" hidden="false" customHeight="true" outlineLevel="0" collapsed="false">
      <c r="A4064" s="51" t="n">
        <v>17861</v>
      </c>
      <c r="B4064" s="53" t="n">
        <v>40883.68125</v>
      </c>
      <c r="C4064" s="57" t="n">
        <f aca="false">INT($C$2)-INT(Table3[[#This Row],[Last Purchase Date]])</f>
        <v>4</v>
      </c>
      <c r="D4064" s="1" t="n">
        <v>9</v>
      </c>
      <c r="E4064" s="1" t="n">
        <v>2059.2</v>
      </c>
      <c r="F4064" s="1" t="n">
        <f aca="false">ROUND((1-_xlfn.PERCENTRANK.INC($C$7:$C$4378,C4064))*9,0)</f>
        <v>8</v>
      </c>
      <c r="G4064" s="1" t="n">
        <f aca="false">ROUND(_xlfn.PERCENTRANK.INC($D$7:$D$4378,D4064)*9,0)</f>
        <v>8</v>
      </c>
      <c r="H4064" s="1" t="n">
        <f aca="false">ROUND(_xlfn.PERCENTRANK.INC($E$7:$E$4378,E4064)*9,0)</f>
        <v>7</v>
      </c>
      <c r="I4064" s="1" t="str">
        <f aca="false">CONCATENATE(F4064,G4064,H4064)</f>
        <v>887</v>
      </c>
      <c r="J4064" s="1" t="str">
        <f aca="false">_xlfn.IFS(AND(F4064&gt;=8,G4064&gt;=8,H4064&gt;=8),"CHAMPION",AND(F4064&gt;=6,G4064&gt;=7,H4064&gt;=6),"LOYAL CUSTOMER",AND(F4064&gt;=6,G4064&gt;=5,H4064&gt;=5),"POTENTIAL LOYALIST",AND(F4064&gt;=8,G4064&lt;=2,H4064&gt;=5),"NEW CUSTOMERS",AND(F4064&gt;=6,G4064&lt;=2,H4064&gt;=3),"PROMISING",AND(F4064&gt;=3,G4064&gt;=3,H4064&gt;=3),"NEED ATTENTION",AND(F4064&lt;=4,G4064&gt;=6,H4064&gt;=6),"AT RISK",AND(F4064&lt;=2,G4064&gt;=8,H4064&gt;=8),"CAN'T LOSE THEM",AND(F4064&lt;=2,G4064&lt;=2,H4064&lt;=2),"HIBERNATING",TRUE(),"Other")</f>
        <v>LOYAL CUSTOMER</v>
      </c>
      <c r="K4064" s="1" t="n">
        <f aca="false">RANK(E4064,$E$7:$E$4378)+COUNTIF($E$7:E4064,E4064)-1</f>
        <v>845</v>
      </c>
    </row>
    <row r="4065" customFormat="false" ht="14.25" hidden="false" customHeight="true" outlineLevel="0" collapsed="false">
      <c r="A4065" s="51" t="n">
        <v>17862</v>
      </c>
      <c r="B4065" s="53" t="n">
        <v>40563.5159722222</v>
      </c>
      <c r="C4065" s="57" t="n">
        <f aca="false">INT($C$2)-INT(Table3[[#This Row],[Last Purchase Date]])</f>
        <v>324</v>
      </c>
      <c r="D4065" s="1" t="n">
        <v>1</v>
      </c>
      <c r="E4065" s="1" t="n">
        <v>330.9</v>
      </c>
      <c r="F4065" s="1" t="n">
        <f aca="false">ROUND((1-_xlfn.PERCENTRANK.INC($C$7:$C$4378,C4065))*9,0)</f>
        <v>0</v>
      </c>
      <c r="G4065" s="1" t="n">
        <f aca="false">ROUND(_xlfn.PERCENTRANK.INC($D$7:$D$4378,D4065)*9,0)</f>
        <v>0</v>
      </c>
      <c r="H4065" s="1" t="n">
        <f aca="false">ROUND(_xlfn.PERCENTRANK.INC($E$7:$E$4378,E4065)*9,0)</f>
        <v>3</v>
      </c>
      <c r="I4065" s="1" t="str">
        <f aca="false">CONCATENATE(F4065,G4065,H4065)</f>
        <v>003</v>
      </c>
      <c r="J4065" s="1" t="str">
        <f aca="false">_xlfn.IFS(AND(F4065&gt;=8,G4065&gt;=8,H4065&gt;=8),"CHAMPION",AND(F4065&gt;=6,G4065&gt;=7,H4065&gt;=6),"LOYAL CUSTOMER",AND(F4065&gt;=6,G4065&gt;=5,H4065&gt;=5),"POTENTIAL LOYALIST",AND(F4065&gt;=8,G4065&lt;=2,H4065&gt;=5),"NEW CUSTOMERS",AND(F4065&gt;=6,G4065&lt;=2,H4065&gt;=3),"PROMISING",AND(F4065&gt;=3,G4065&gt;=3,H4065&gt;=3),"NEED ATTENTION",AND(F4065&lt;=4,G4065&gt;=6,H4065&gt;=6),"AT RISK",AND(F4065&lt;=2,G4065&gt;=8,H4065&gt;=8),"CAN'T LOSE THEM",AND(F4065&lt;=2,G4065&lt;=2,H4065&lt;=2),"HIBERNATING",TRUE(),"Other")</f>
        <v>Other</v>
      </c>
      <c r="K4065" s="1" t="n">
        <f aca="false">RANK(E4065,$E$7:$E$4378)+COUNTIF($E$7:E4065,E4065)-1</f>
        <v>3090</v>
      </c>
    </row>
    <row r="4066" customFormat="false" ht="14.25" hidden="false" customHeight="true" outlineLevel="0" collapsed="false">
      <c r="A4066" s="51" t="n">
        <v>17863</v>
      </c>
      <c r="B4066" s="53" t="n">
        <v>40827.5729166667</v>
      </c>
      <c r="C4066" s="57" t="n">
        <f aca="false">INT($C$2)-INT(Table3[[#This Row],[Last Purchase Date]])</f>
        <v>60</v>
      </c>
      <c r="D4066" s="1" t="n">
        <v>6</v>
      </c>
      <c r="E4066" s="1" t="n">
        <v>3160</v>
      </c>
      <c r="F4066" s="1" t="n">
        <f aca="false">ROUND((1-_xlfn.PERCENTRANK.INC($C$7:$C$4378,C4066))*9,0)</f>
        <v>4</v>
      </c>
      <c r="G4066" s="1" t="n">
        <f aca="false">ROUND(_xlfn.PERCENTRANK.INC($D$7:$D$4378,D4066)*9,0)</f>
        <v>7</v>
      </c>
      <c r="H4066" s="1" t="n">
        <f aca="false">ROUND(_xlfn.PERCENTRANK.INC($E$7:$E$4378,E4066)*9,0)</f>
        <v>8</v>
      </c>
      <c r="I4066" s="1" t="str">
        <f aca="false">CONCATENATE(F4066,G4066,H4066)</f>
        <v>478</v>
      </c>
      <c r="J4066" s="1" t="str">
        <f aca="false">_xlfn.IFS(AND(F4066&gt;=8,G4066&gt;=8,H4066&gt;=8),"CHAMPION",AND(F4066&gt;=6,G4066&gt;=7,H4066&gt;=6),"LOYAL CUSTOMER",AND(F4066&gt;=6,G4066&gt;=5,H4066&gt;=5),"POTENTIAL LOYALIST",AND(F4066&gt;=8,G4066&lt;=2,H4066&gt;=5),"NEW CUSTOMERS",AND(F4066&gt;=6,G4066&lt;=2,H4066&gt;=3),"PROMISING",AND(F4066&gt;=3,G4066&gt;=3,H4066&gt;=3),"NEED ATTENTION",AND(F4066&lt;=4,G4066&gt;=6,H4066&gt;=6),"AT RISK",AND(F4066&lt;=2,G4066&gt;=8,H4066&gt;=8),"CAN'T LOSE THEM",AND(F4066&lt;=2,G4066&lt;=2,H4066&lt;=2),"HIBERNATING",TRUE(),"Other")</f>
        <v>NEED ATTENTION</v>
      </c>
      <c r="K4066" s="1" t="n">
        <f aca="false">RANK(E4066,$E$7:$E$4378)+COUNTIF($E$7:E4066,E4066)-1</f>
        <v>502</v>
      </c>
    </row>
    <row r="4067" customFormat="false" ht="14.25" hidden="false" customHeight="true" outlineLevel="0" collapsed="false">
      <c r="A4067" s="51" t="n">
        <v>17864</v>
      </c>
      <c r="B4067" s="53" t="n">
        <v>40874.46875</v>
      </c>
      <c r="C4067" s="57" t="n">
        <f aca="false">INT($C$2)-INT(Table3[[#This Row],[Last Purchase Date]])</f>
        <v>13</v>
      </c>
      <c r="D4067" s="1" t="n">
        <v>3</v>
      </c>
      <c r="E4067" s="1" t="n">
        <v>597.5</v>
      </c>
      <c r="F4067" s="1" t="n">
        <f aca="false">ROUND((1-_xlfn.PERCENTRANK.INC($C$7:$C$4378,C4067))*9,0)</f>
        <v>7</v>
      </c>
      <c r="G4067" s="1" t="n">
        <f aca="false">ROUND(_xlfn.PERCENTRANK.INC($D$7:$D$4378,D4067)*9,0)</f>
        <v>4</v>
      </c>
      <c r="H4067" s="1" t="n">
        <f aca="false">ROUND(_xlfn.PERCENTRANK.INC($E$7:$E$4378,E4067)*9,0)</f>
        <v>4</v>
      </c>
      <c r="I4067" s="1" t="str">
        <f aca="false">CONCATENATE(F4067,G4067,H4067)</f>
        <v>744</v>
      </c>
      <c r="J4067" s="1" t="str">
        <f aca="false">_xlfn.IFS(AND(F4067&gt;=8,G4067&gt;=8,H4067&gt;=8),"CHAMPION",AND(F4067&gt;=6,G4067&gt;=7,H4067&gt;=6),"LOYAL CUSTOMER",AND(F4067&gt;=6,G4067&gt;=5,H4067&gt;=5),"POTENTIAL LOYALIST",AND(F4067&gt;=8,G4067&lt;=2,H4067&gt;=5),"NEW CUSTOMERS",AND(F4067&gt;=6,G4067&lt;=2,H4067&gt;=3),"PROMISING",AND(F4067&gt;=3,G4067&gt;=3,H4067&gt;=3),"NEED ATTENTION",AND(F4067&lt;=4,G4067&gt;=6,H4067&gt;=6),"AT RISK",AND(F4067&lt;=2,G4067&gt;=8,H4067&gt;=8),"CAN'T LOSE THEM",AND(F4067&lt;=2,G4067&lt;=2,H4067&lt;=2),"HIBERNATING",TRUE(),"Other")</f>
        <v>NEED ATTENTION</v>
      </c>
      <c r="K4067" s="1" t="n">
        <f aca="false">RANK(E4067,$E$7:$E$4378)+COUNTIF($E$7:E4067,E4067)-1</f>
        <v>2329</v>
      </c>
    </row>
    <row r="4068" customFormat="false" ht="14.25" hidden="false" customHeight="true" outlineLevel="0" collapsed="false">
      <c r="A4068" s="51" t="n">
        <v>17865</v>
      </c>
      <c r="B4068" s="53" t="n">
        <v>40856.5055555556</v>
      </c>
      <c r="C4068" s="57" t="n">
        <f aca="false">INT($C$2)-INT(Table3[[#This Row],[Last Purchase Date]])</f>
        <v>31</v>
      </c>
      <c r="D4068" s="1" t="n">
        <v>27</v>
      </c>
      <c r="E4068" s="1" t="n">
        <v>10158.54</v>
      </c>
      <c r="F4068" s="1" t="n">
        <f aca="false">ROUND((1-_xlfn.PERCENTRANK.INC($C$7:$C$4378,C4068))*9,0)</f>
        <v>6</v>
      </c>
      <c r="G4068" s="1" t="n">
        <f aca="false">ROUND(_xlfn.PERCENTRANK.INC($D$7:$D$4378,D4068)*9,0)</f>
        <v>9</v>
      </c>
      <c r="H4068" s="1" t="n">
        <f aca="false">ROUND(_xlfn.PERCENTRANK.INC($E$7:$E$4378,E4068)*9,0)</f>
        <v>9</v>
      </c>
      <c r="I4068" s="1" t="str">
        <f aca="false">CONCATENATE(F4068,G4068,H4068)</f>
        <v>699</v>
      </c>
      <c r="J4068" s="1" t="str">
        <f aca="false">_xlfn.IFS(AND(F4068&gt;=8,G4068&gt;=8,H4068&gt;=8),"CHAMPION",AND(F4068&gt;=6,G4068&gt;=7,H4068&gt;=6),"LOYAL CUSTOMER",AND(F4068&gt;=6,G4068&gt;=5,H4068&gt;=5),"POTENTIAL LOYALIST",AND(F4068&gt;=8,G4068&lt;=2,H4068&gt;=5),"NEW CUSTOMERS",AND(F4068&gt;=6,G4068&lt;=2,H4068&gt;=3),"PROMISING",AND(F4068&gt;=3,G4068&gt;=3,H4068&gt;=3),"NEED ATTENTION",AND(F4068&lt;=4,G4068&gt;=6,H4068&gt;=6),"AT RISK",AND(F4068&lt;=2,G4068&gt;=8,H4068&gt;=8),"CAN'T LOSE THEM",AND(F4068&lt;=2,G4068&lt;=2,H4068&lt;=2),"HIBERNATING",TRUE(),"Other")</f>
        <v>LOYAL CUSTOMER</v>
      </c>
      <c r="K4068" s="1" t="n">
        <f aca="false">RANK(E4068,$E$7:$E$4378)+COUNTIF($E$7:E4068,E4068)-1</f>
        <v>96</v>
      </c>
    </row>
    <row r="4069" customFormat="false" ht="14.25" hidden="false" customHeight="true" outlineLevel="0" collapsed="false">
      <c r="A4069" s="51" t="n">
        <v>17866</v>
      </c>
      <c r="B4069" s="53" t="n">
        <v>40744.4645833333</v>
      </c>
      <c r="C4069" s="57" t="n">
        <f aca="false">INT($C$2)-INT(Table3[[#This Row],[Last Purchase Date]])</f>
        <v>143</v>
      </c>
      <c r="D4069" s="1" t="n">
        <v>2</v>
      </c>
      <c r="E4069" s="1" t="n">
        <v>325.7</v>
      </c>
      <c r="F4069" s="1" t="n">
        <f aca="false">ROUND((1-_xlfn.PERCENTRANK.INC($C$7:$C$4378,C4069))*9,0)</f>
        <v>2</v>
      </c>
      <c r="G4069" s="1" t="n">
        <f aca="false">ROUND(_xlfn.PERCENTRANK.INC($D$7:$D$4378,D4069)*9,0)</f>
        <v>3</v>
      </c>
      <c r="H4069" s="1" t="n">
        <f aca="false">ROUND(_xlfn.PERCENTRANK.INC($E$7:$E$4378,E4069)*9,0)</f>
        <v>3</v>
      </c>
      <c r="I4069" s="1" t="str">
        <f aca="false">CONCATENATE(F4069,G4069,H4069)</f>
        <v>233</v>
      </c>
      <c r="J4069" s="1" t="str">
        <f aca="false">_xlfn.IFS(AND(F4069&gt;=8,G4069&gt;=8,H4069&gt;=8),"CHAMPION",AND(F4069&gt;=6,G4069&gt;=7,H4069&gt;=6),"LOYAL CUSTOMER",AND(F4069&gt;=6,G4069&gt;=5,H4069&gt;=5),"POTENTIAL LOYALIST",AND(F4069&gt;=8,G4069&lt;=2,H4069&gt;=5),"NEW CUSTOMERS",AND(F4069&gt;=6,G4069&lt;=2,H4069&gt;=3),"PROMISING",AND(F4069&gt;=3,G4069&gt;=3,H4069&gt;=3),"NEED ATTENTION",AND(F4069&lt;=4,G4069&gt;=6,H4069&gt;=6),"AT RISK",AND(F4069&lt;=2,G4069&gt;=8,H4069&gt;=8),"CAN'T LOSE THEM",AND(F4069&lt;=2,G4069&lt;=2,H4069&lt;=2),"HIBERNATING",TRUE(),"Other")</f>
        <v>Other</v>
      </c>
      <c r="K4069" s="1" t="n">
        <f aca="false">RANK(E4069,$E$7:$E$4378)+COUNTIF($E$7:E4069,E4069)-1</f>
        <v>3115</v>
      </c>
    </row>
    <row r="4070" customFormat="false" ht="14.25" hidden="false" customHeight="true" outlineLevel="0" collapsed="false">
      <c r="A4070" s="51" t="n">
        <v>17867</v>
      </c>
      <c r="B4070" s="53" t="n">
        <v>40856.59375</v>
      </c>
      <c r="C4070" s="57" t="n">
        <f aca="false">INT($C$2)-INT(Table3[[#This Row],[Last Purchase Date]])</f>
        <v>31</v>
      </c>
      <c r="D4070" s="1" t="n">
        <v>8</v>
      </c>
      <c r="E4070" s="1" t="n">
        <v>622.75</v>
      </c>
      <c r="F4070" s="1" t="n">
        <f aca="false">ROUND((1-_xlfn.PERCENTRANK.INC($C$7:$C$4378,C4070))*9,0)</f>
        <v>6</v>
      </c>
      <c r="G4070" s="1" t="n">
        <f aca="false">ROUND(_xlfn.PERCENTRANK.INC($D$7:$D$4378,D4070)*9,0)</f>
        <v>7</v>
      </c>
      <c r="H4070" s="1" t="n">
        <f aca="false">ROUND(_xlfn.PERCENTRANK.INC($E$7:$E$4378,E4070)*9,0)</f>
        <v>4</v>
      </c>
      <c r="I4070" s="1" t="str">
        <f aca="false">CONCATENATE(F4070,G4070,H4070)</f>
        <v>674</v>
      </c>
      <c r="J4070" s="1" t="str">
        <f aca="false">_xlfn.IFS(AND(F4070&gt;=8,G4070&gt;=8,H4070&gt;=8),"CHAMPION",AND(F4070&gt;=6,G4070&gt;=7,H4070&gt;=6),"LOYAL CUSTOMER",AND(F4070&gt;=6,G4070&gt;=5,H4070&gt;=5),"POTENTIAL LOYALIST",AND(F4070&gt;=8,G4070&lt;=2,H4070&gt;=5),"NEW CUSTOMERS",AND(F4070&gt;=6,G4070&lt;=2,H4070&gt;=3),"PROMISING",AND(F4070&gt;=3,G4070&gt;=3,H4070&gt;=3),"NEED ATTENTION",AND(F4070&lt;=4,G4070&gt;=6,H4070&gt;=6),"AT RISK",AND(F4070&lt;=2,G4070&gt;=8,H4070&gt;=8),"CAN'T LOSE THEM",AND(F4070&lt;=2,G4070&lt;=2,H4070&lt;=2),"HIBERNATING",TRUE(),"Other")</f>
        <v>NEED ATTENTION</v>
      </c>
      <c r="K4070" s="1" t="n">
        <f aca="false">RANK(E4070,$E$7:$E$4378)+COUNTIF($E$7:E4070,E4070)-1</f>
        <v>2251</v>
      </c>
    </row>
    <row r="4071" customFormat="false" ht="14.25" hidden="false" customHeight="true" outlineLevel="0" collapsed="false">
      <c r="A4071" s="51" t="n">
        <v>17869</v>
      </c>
      <c r="B4071" s="53" t="n">
        <v>40779.6777777778</v>
      </c>
      <c r="C4071" s="57" t="n">
        <f aca="false">INT($C$2)-INT(Table3[[#This Row],[Last Purchase Date]])</f>
        <v>108</v>
      </c>
      <c r="D4071" s="1" t="n">
        <v>5</v>
      </c>
      <c r="E4071" s="1" t="n">
        <v>428.18</v>
      </c>
      <c r="F4071" s="1" t="n">
        <f aca="false">ROUND((1-_xlfn.PERCENTRANK.INC($C$7:$C$4378,C4071))*9,0)</f>
        <v>3</v>
      </c>
      <c r="G4071" s="1" t="n">
        <f aca="false">ROUND(_xlfn.PERCENTRANK.INC($D$7:$D$4378,D4071)*9,0)</f>
        <v>6</v>
      </c>
      <c r="H4071" s="1" t="n">
        <f aca="false">ROUND(_xlfn.PERCENTRANK.INC($E$7:$E$4378,E4071)*9,0)</f>
        <v>3</v>
      </c>
      <c r="I4071" s="1" t="str">
        <f aca="false">CONCATENATE(F4071,G4071,H4071)</f>
        <v>363</v>
      </c>
      <c r="J4071" s="1" t="str">
        <f aca="false">_xlfn.IFS(AND(F4071&gt;=8,G4071&gt;=8,H4071&gt;=8),"CHAMPION",AND(F4071&gt;=6,G4071&gt;=7,H4071&gt;=6),"LOYAL CUSTOMER",AND(F4071&gt;=6,G4071&gt;=5,H4071&gt;=5),"POTENTIAL LOYALIST",AND(F4071&gt;=8,G4071&lt;=2,H4071&gt;=5),"NEW CUSTOMERS",AND(F4071&gt;=6,G4071&lt;=2,H4071&gt;=3),"PROMISING",AND(F4071&gt;=3,G4071&gt;=3,H4071&gt;=3),"NEED ATTENTION",AND(F4071&lt;=4,G4071&gt;=6,H4071&gt;=6),"AT RISK",AND(F4071&lt;=2,G4071&gt;=8,H4071&gt;=8),"CAN'T LOSE THEM",AND(F4071&lt;=2,G4071&lt;=2,H4071&lt;=2),"HIBERNATING",TRUE(),"Other")</f>
        <v>NEED ATTENTION</v>
      </c>
      <c r="K4071" s="1" t="n">
        <f aca="false">RANK(E4071,$E$7:$E$4378)+COUNTIF($E$7:E4071,E4071)-1</f>
        <v>2728</v>
      </c>
    </row>
    <row r="4072" customFormat="false" ht="14.25" hidden="false" customHeight="true" outlineLevel="0" collapsed="false">
      <c r="A4072" s="51" t="n">
        <v>17870</v>
      </c>
      <c r="B4072" s="53" t="n">
        <v>40884.6298611111</v>
      </c>
      <c r="C4072" s="57" t="n">
        <f aca="false">INT($C$2)-INT(Table3[[#This Row],[Last Purchase Date]])</f>
        <v>3</v>
      </c>
      <c r="D4072" s="1" t="n">
        <v>13</v>
      </c>
      <c r="E4072" s="1" t="n">
        <v>1889.4</v>
      </c>
      <c r="F4072" s="1" t="n">
        <f aca="false">ROUND((1-_xlfn.PERCENTRANK.INC($C$7:$C$4378,C4072))*9,0)</f>
        <v>9</v>
      </c>
      <c r="G4072" s="1" t="n">
        <f aca="false">ROUND(_xlfn.PERCENTRANK.INC($D$7:$D$4378,D4072)*9,0)</f>
        <v>8</v>
      </c>
      <c r="H4072" s="1" t="n">
        <f aca="false">ROUND(_xlfn.PERCENTRANK.INC($E$7:$E$4378,E4072)*9,0)</f>
        <v>7</v>
      </c>
      <c r="I4072" s="1" t="str">
        <f aca="false">CONCATENATE(F4072,G4072,H4072)</f>
        <v>987</v>
      </c>
      <c r="J4072" s="1" t="str">
        <f aca="false">_xlfn.IFS(AND(F4072&gt;=8,G4072&gt;=8,H4072&gt;=8),"CHAMPION",AND(F4072&gt;=6,G4072&gt;=7,H4072&gt;=6),"LOYAL CUSTOMER",AND(F4072&gt;=6,G4072&gt;=5,H4072&gt;=5),"POTENTIAL LOYALIST",AND(F4072&gt;=8,G4072&lt;=2,H4072&gt;=5),"NEW CUSTOMERS",AND(F4072&gt;=6,G4072&lt;=2,H4072&gt;=3),"PROMISING",AND(F4072&gt;=3,G4072&gt;=3,H4072&gt;=3),"NEED ATTENTION",AND(F4072&lt;=4,G4072&gt;=6,H4072&gt;=6),"AT RISK",AND(F4072&lt;=2,G4072&gt;=8,H4072&gt;=8),"CAN'T LOSE THEM",AND(F4072&lt;=2,G4072&lt;=2,H4072&lt;=2),"HIBERNATING",TRUE(),"Other")</f>
        <v>LOYAL CUSTOMER</v>
      </c>
      <c r="K4072" s="1" t="n">
        <f aca="false">RANK(E4072,$E$7:$E$4378)+COUNTIF($E$7:E4072,E4072)-1</f>
        <v>924</v>
      </c>
    </row>
    <row r="4073" customFormat="false" ht="14.25" hidden="false" customHeight="true" outlineLevel="0" collapsed="false">
      <c r="A4073" s="51" t="n">
        <v>17871</v>
      </c>
      <c r="B4073" s="53" t="n">
        <v>40682.4805555556</v>
      </c>
      <c r="C4073" s="57" t="n">
        <f aca="false">INT($C$2)-INT(Table3[[#This Row],[Last Purchase Date]])</f>
        <v>205</v>
      </c>
      <c r="D4073" s="1" t="n">
        <v>1</v>
      </c>
      <c r="E4073" s="1" t="n">
        <v>155.9</v>
      </c>
      <c r="F4073" s="1" t="n">
        <f aca="false">ROUND((1-_xlfn.PERCENTRANK.INC($C$7:$C$4378,C4073))*9,0)</f>
        <v>2</v>
      </c>
      <c r="G4073" s="1" t="n">
        <f aca="false">ROUND(_xlfn.PERCENTRANK.INC($D$7:$D$4378,D4073)*9,0)</f>
        <v>0</v>
      </c>
      <c r="H4073" s="1" t="n">
        <f aca="false">ROUND(_xlfn.PERCENTRANK.INC($E$7:$E$4378,E4073)*9,0)</f>
        <v>1</v>
      </c>
      <c r="I4073" s="1" t="str">
        <f aca="false">CONCATENATE(F4073,G4073,H4073)</f>
        <v>201</v>
      </c>
      <c r="J4073" s="1" t="str">
        <f aca="false">_xlfn.IFS(AND(F4073&gt;=8,G4073&gt;=8,H4073&gt;=8),"CHAMPION",AND(F4073&gt;=6,G4073&gt;=7,H4073&gt;=6),"LOYAL CUSTOMER",AND(F4073&gt;=6,G4073&gt;=5,H4073&gt;=5),"POTENTIAL LOYALIST",AND(F4073&gt;=8,G4073&lt;=2,H4073&gt;=5),"NEW CUSTOMERS",AND(F4073&gt;=6,G4073&lt;=2,H4073&gt;=3),"PROMISING",AND(F4073&gt;=3,G4073&gt;=3,H4073&gt;=3),"NEED ATTENTION",AND(F4073&lt;=4,G4073&gt;=6,H4073&gt;=6),"AT RISK",AND(F4073&lt;=2,G4073&gt;=8,H4073&gt;=8),"CAN'T LOSE THEM",AND(F4073&lt;=2,G4073&lt;=2,H4073&lt;=2),"HIBERNATING",TRUE(),"Other")</f>
        <v>HIBERNATING</v>
      </c>
      <c r="K4073" s="1" t="n">
        <f aca="false">RANK(E4073,$E$7:$E$4378)+COUNTIF($E$7:E4073,E4073)-1</f>
        <v>3881</v>
      </c>
    </row>
    <row r="4074" customFormat="false" ht="14.25" hidden="false" customHeight="true" outlineLevel="0" collapsed="false">
      <c r="A4074" s="51" t="n">
        <v>17873</v>
      </c>
      <c r="B4074" s="53" t="n">
        <v>40806.6951388889</v>
      </c>
      <c r="C4074" s="57" t="n">
        <f aca="false">INT($C$2)-INT(Table3[[#This Row],[Last Purchase Date]])</f>
        <v>81</v>
      </c>
      <c r="D4074" s="1" t="n">
        <v>6</v>
      </c>
      <c r="E4074" s="1" t="n">
        <v>1764.36</v>
      </c>
      <c r="F4074" s="1" t="n">
        <f aca="false">ROUND((1-_xlfn.PERCENTRANK.INC($C$7:$C$4378,C4074))*9,0)</f>
        <v>3</v>
      </c>
      <c r="G4074" s="1" t="n">
        <f aca="false">ROUND(_xlfn.PERCENTRANK.INC($D$7:$D$4378,D4074)*9,0)</f>
        <v>7</v>
      </c>
      <c r="H4074" s="1" t="n">
        <f aca="false">ROUND(_xlfn.PERCENTRANK.INC($E$7:$E$4378,E4074)*9,0)</f>
        <v>7</v>
      </c>
      <c r="I4074" s="1" t="str">
        <f aca="false">CONCATENATE(F4074,G4074,H4074)</f>
        <v>377</v>
      </c>
      <c r="J4074" s="1" t="str">
        <f aca="false">_xlfn.IFS(AND(F4074&gt;=8,G4074&gt;=8,H4074&gt;=8),"CHAMPION",AND(F4074&gt;=6,G4074&gt;=7,H4074&gt;=6),"LOYAL CUSTOMER",AND(F4074&gt;=6,G4074&gt;=5,H4074&gt;=5),"POTENTIAL LOYALIST",AND(F4074&gt;=8,G4074&lt;=2,H4074&gt;=5),"NEW CUSTOMERS",AND(F4074&gt;=6,G4074&lt;=2,H4074&gt;=3),"PROMISING",AND(F4074&gt;=3,G4074&gt;=3,H4074&gt;=3),"NEED ATTENTION",AND(F4074&lt;=4,G4074&gt;=6,H4074&gt;=6),"AT RISK",AND(F4074&lt;=2,G4074&gt;=8,H4074&gt;=8),"CAN'T LOSE THEM",AND(F4074&lt;=2,G4074&lt;=2,H4074&lt;=2),"HIBERNATING",TRUE(),"Other")</f>
        <v>NEED ATTENTION</v>
      </c>
      <c r="K4074" s="1" t="n">
        <f aca="false">RANK(E4074,$E$7:$E$4378)+COUNTIF($E$7:E4074,E4074)-1</f>
        <v>1003</v>
      </c>
    </row>
    <row r="4075" customFormat="false" ht="14.25" hidden="false" customHeight="true" outlineLevel="0" collapsed="false">
      <c r="A4075" s="51" t="n">
        <v>17874</v>
      </c>
      <c r="B4075" s="53" t="n">
        <v>40701.5375</v>
      </c>
      <c r="C4075" s="57" t="n">
        <f aca="false">INT($C$2)-INT(Table3[[#This Row],[Last Purchase Date]])</f>
        <v>186</v>
      </c>
      <c r="D4075" s="1" t="n">
        <v>7</v>
      </c>
      <c r="E4075" s="1" t="n">
        <v>658.26</v>
      </c>
      <c r="F4075" s="1" t="n">
        <f aca="false">ROUND((1-_xlfn.PERCENTRANK.INC($C$7:$C$4378,C4075))*9,0)</f>
        <v>2</v>
      </c>
      <c r="G4075" s="1" t="n">
        <f aca="false">ROUND(_xlfn.PERCENTRANK.INC($D$7:$D$4378,D4075)*9,0)</f>
        <v>7</v>
      </c>
      <c r="H4075" s="1" t="n">
        <f aca="false">ROUND(_xlfn.PERCENTRANK.INC($E$7:$E$4378,E4075)*9,0)</f>
        <v>5</v>
      </c>
      <c r="I4075" s="1" t="str">
        <f aca="false">CONCATENATE(F4075,G4075,H4075)</f>
        <v>275</v>
      </c>
      <c r="J4075" s="1" t="str">
        <f aca="false">_xlfn.IFS(AND(F4075&gt;=8,G4075&gt;=8,H4075&gt;=8),"CHAMPION",AND(F4075&gt;=6,G4075&gt;=7,H4075&gt;=6),"LOYAL CUSTOMER",AND(F4075&gt;=6,G4075&gt;=5,H4075&gt;=5),"POTENTIAL LOYALIST",AND(F4075&gt;=8,G4075&lt;=2,H4075&gt;=5),"NEW CUSTOMERS",AND(F4075&gt;=6,G4075&lt;=2,H4075&gt;=3),"PROMISING",AND(F4075&gt;=3,G4075&gt;=3,H4075&gt;=3),"NEED ATTENTION",AND(F4075&lt;=4,G4075&gt;=6,H4075&gt;=6),"AT RISK",AND(F4075&lt;=2,G4075&gt;=8,H4075&gt;=8),"CAN'T LOSE THEM",AND(F4075&lt;=2,G4075&lt;=2,H4075&lt;=2),"HIBERNATING",TRUE(),"Other")</f>
        <v>Other</v>
      </c>
      <c r="K4075" s="1" t="n">
        <f aca="false">RANK(E4075,$E$7:$E$4378)+COUNTIF($E$7:E4075,E4075)-1</f>
        <v>2159</v>
      </c>
    </row>
    <row r="4076" customFormat="false" ht="14.25" hidden="false" customHeight="true" outlineLevel="0" collapsed="false">
      <c r="A4076" s="51" t="n">
        <v>17877</v>
      </c>
      <c r="B4076" s="53" t="n">
        <v>40716.5416666667</v>
      </c>
      <c r="C4076" s="57" t="n">
        <f aca="false">INT($C$2)-INT(Table3[[#This Row],[Last Purchase Date]])</f>
        <v>171</v>
      </c>
      <c r="D4076" s="1" t="n">
        <v>1</v>
      </c>
      <c r="E4076" s="1" t="n">
        <v>237.61</v>
      </c>
      <c r="F4076" s="1" t="n">
        <f aca="false">ROUND((1-_xlfn.PERCENTRANK.INC($C$7:$C$4378,C4076))*9,0)</f>
        <v>2</v>
      </c>
      <c r="G4076" s="1" t="n">
        <f aca="false">ROUND(_xlfn.PERCENTRANK.INC($D$7:$D$4378,D4076)*9,0)</f>
        <v>0</v>
      </c>
      <c r="H4076" s="1" t="n">
        <f aca="false">ROUND(_xlfn.PERCENTRANK.INC($E$7:$E$4378,E4076)*9,0)</f>
        <v>2</v>
      </c>
      <c r="I4076" s="1" t="str">
        <f aca="false">CONCATENATE(F4076,G4076,H4076)</f>
        <v>202</v>
      </c>
      <c r="J4076" s="1" t="str">
        <f aca="false">_xlfn.IFS(AND(F4076&gt;=8,G4076&gt;=8,H4076&gt;=8),"CHAMPION",AND(F4076&gt;=6,G4076&gt;=7,H4076&gt;=6),"LOYAL CUSTOMER",AND(F4076&gt;=6,G4076&gt;=5,H4076&gt;=5),"POTENTIAL LOYALIST",AND(F4076&gt;=8,G4076&lt;=2,H4076&gt;=5),"NEW CUSTOMERS",AND(F4076&gt;=6,G4076&lt;=2,H4076&gt;=3),"PROMISING",AND(F4076&gt;=3,G4076&gt;=3,H4076&gt;=3),"NEED ATTENTION",AND(F4076&lt;=4,G4076&gt;=6,H4076&gt;=6),"AT RISK",AND(F4076&lt;=2,G4076&gt;=8,H4076&gt;=8),"CAN'T LOSE THEM",AND(F4076&lt;=2,G4076&lt;=2,H4076&lt;=2),"HIBERNATING",TRUE(),"Other")</f>
        <v>HIBERNATING</v>
      </c>
      <c r="K4076" s="1" t="n">
        <f aca="false">RANK(E4076,$E$7:$E$4378)+COUNTIF($E$7:E4076,E4076)-1</f>
        <v>3490</v>
      </c>
    </row>
    <row r="4077" customFormat="false" ht="14.25" hidden="false" customHeight="true" outlineLevel="0" collapsed="false">
      <c r="A4077" s="51" t="n">
        <v>17878</v>
      </c>
      <c r="B4077" s="53" t="n">
        <v>40843.475</v>
      </c>
      <c r="C4077" s="57" t="n">
        <f aca="false">INT($C$2)-INT(Table3[[#This Row],[Last Purchase Date]])</f>
        <v>44</v>
      </c>
      <c r="D4077" s="1" t="n">
        <v>1</v>
      </c>
      <c r="E4077" s="1" t="n">
        <v>379.45</v>
      </c>
      <c r="F4077" s="1" t="n">
        <f aca="false">ROUND((1-_xlfn.PERCENTRANK.INC($C$7:$C$4378,C4077))*9,0)</f>
        <v>5</v>
      </c>
      <c r="G4077" s="1" t="n">
        <f aca="false">ROUND(_xlfn.PERCENTRANK.INC($D$7:$D$4378,D4077)*9,0)</f>
        <v>0</v>
      </c>
      <c r="H4077" s="1" t="n">
        <f aca="false">ROUND(_xlfn.PERCENTRANK.INC($E$7:$E$4378,E4077)*9,0)</f>
        <v>3</v>
      </c>
      <c r="I4077" s="1" t="str">
        <f aca="false">CONCATENATE(F4077,G4077,H4077)</f>
        <v>503</v>
      </c>
      <c r="J4077" s="1" t="str">
        <f aca="false">_xlfn.IFS(AND(F4077&gt;=8,G4077&gt;=8,H4077&gt;=8),"CHAMPION",AND(F4077&gt;=6,G4077&gt;=7,H4077&gt;=6),"LOYAL CUSTOMER",AND(F4077&gt;=6,G4077&gt;=5,H4077&gt;=5),"POTENTIAL LOYALIST",AND(F4077&gt;=8,G4077&lt;=2,H4077&gt;=5),"NEW CUSTOMERS",AND(F4077&gt;=6,G4077&lt;=2,H4077&gt;=3),"PROMISING",AND(F4077&gt;=3,G4077&gt;=3,H4077&gt;=3),"NEED ATTENTION",AND(F4077&lt;=4,G4077&gt;=6,H4077&gt;=6),"AT RISK",AND(F4077&lt;=2,G4077&gt;=8,H4077&gt;=8),"CAN'T LOSE THEM",AND(F4077&lt;=2,G4077&lt;=2,H4077&lt;=2),"HIBERNATING",TRUE(),"Other")</f>
        <v>Other</v>
      </c>
      <c r="K4077" s="1" t="n">
        <f aca="false">RANK(E4077,$E$7:$E$4378)+COUNTIF($E$7:E4077,E4077)-1</f>
        <v>2899</v>
      </c>
    </row>
    <row r="4078" customFormat="false" ht="14.25" hidden="false" customHeight="true" outlineLevel="0" collapsed="false">
      <c r="A4078" s="51" t="n">
        <v>17879</v>
      </c>
      <c r="B4078" s="53" t="n">
        <v>40713.525</v>
      </c>
      <c r="C4078" s="57" t="n">
        <f aca="false">INT($C$2)-INT(Table3[[#This Row],[Last Purchase Date]])</f>
        <v>174</v>
      </c>
      <c r="D4078" s="1" t="n">
        <v>1</v>
      </c>
      <c r="E4078" s="1" t="n">
        <v>178.52</v>
      </c>
      <c r="F4078" s="1" t="n">
        <f aca="false">ROUND((1-_xlfn.PERCENTRANK.INC($C$7:$C$4378,C4078))*9,0)</f>
        <v>2</v>
      </c>
      <c r="G4078" s="1" t="n">
        <f aca="false">ROUND(_xlfn.PERCENTRANK.INC($D$7:$D$4378,D4078)*9,0)</f>
        <v>0</v>
      </c>
      <c r="H4078" s="1" t="n">
        <f aca="false">ROUND(_xlfn.PERCENTRANK.INC($E$7:$E$4378,E4078)*9,0)</f>
        <v>1</v>
      </c>
      <c r="I4078" s="1" t="str">
        <f aca="false">CONCATENATE(F4078,G4078,H4078)</f>
        <v>201</v>
      </c>
      <c r="J4078" s="1" t="str">
        <f aca="false">_xlfn.IFS(AND(F4078&gt;=8,G4078&gt;=8,H4078&gt;=8),"CHAMPION",AND(F4078&gt;=6,G4078&gt;=7,H4078&gt;=6),"LOYAL CUSTOMER",AND(F4078&gt;=6,G4078&gt;=5,H4078&gt;=5),"POTENTIAL LOYALIST",AND(F4078&gt;=8,G4078&lt;=2,H4078&gt;=5),"NEW CUSTOMERS",AND(F4078&gt;=6,G4078&lt;=2,H4078&gt;=3),"PROMISING",AND(F4078&gt;=3,G4078&gt;=3,H4078&gt;=3),"NEED ATTENTION",AND(F4078&lt;=4,G4078&gt;=6,H4078&gt;=6),"AT RISK",AND(F4078&lt;=2,G4078&gt;=8,H4078&gt;=8),"CAN'T LOSE THEM",AND(F4078&lt;=2,G4078&lt;=2,H4078&lt;=2),"HIBERNATING",TRUE(),"Other")</f>
        <v>HIBERNATING</v>
      </c>
      <c r="K4078" s="1" t="n">
        <f aca="false">RANK(E4078,$E$7:$E$4378)+COUNTIF($E$7:E4078,E4078)-1</f>
        <v>3763</v>
      </c>
    </row>
    <row r="4079" customFormat="false" ht="14.25" hidden="false" customHeight="true" outlineLevel="0" collapsed="false">
      <c r="A4079" s="51" t="n">
        <v>17880</v>
      </c>
      <c r="B4079" s="53" t="n">
        <v>40522.43125</v>
      </c>
      <c r="C4079" s="57" t="n">
        <f aca="false">INT($C$2)-INT(Table3[[#This Row],[Last Purchase Date]])</f>
        <v>365</v>
      </c>
      <c r="D4079" s="1" t="n">
        <v>1</v>
      </c>
      <c r="E4079" s="1" t="n">
        <v>458.92</v>
      </c>
      <c r="F4079" s="1" t="n">
        <f aca="false">ROUND((1-_xlfn.PERCENTRANK.INC($C$7:$C$4378,C4079))*9,0)</f>
        <v>0</v>
      </c>
      <c r="G4079" s="1" t="n">
        <f aca="false">ROUND(_xlfn.PERCENTRANK.INC($D$7:$D$4378,D4079)*9,0)</f>
        <v>0</v>
      </c>
      <c r="H4079" s="1" t="n">
        <f aca="false">ROUND(_xlfn.PERCENTRANK.INC($E$7:$E$4378,E4079)*9,0)</f>
        <v>4</v>
      </c>
      <c r="I4079" s="1" t="str">
        <f aca="false">CONCATENATE(F4079,G4079,H4079)</f>
        <v>004</v>
      </c>
      <c r="J4079" s="1" t="str">
        <f aca="false">_xlfn.IFS(AND(F4079&gt;=8,G4079&gt;=8,H4079&gt;=8),"CHAMPION",AND(F4079&gt;=6,G4079&gt;=7,H4079&gt;=6),"LOYAL CUSTOMER",AND(F4079&gt;=6,G4079&gt;=5,H4079&gt;=5),"POTENTIAL LOYALIST",AND(F4079&gt;=8,G4079&lt;=2,H4079&gt;=5),"NEW CUSTOMERS",AND(F4079&gt;=6,G4079&lt;=2,H4079&gt;=3),"PROMISING",AND(F4079&gt;=3,G4079&gt;=3,H4079&gt;=3),"NEED ATTENTION",AND(F4079&lt;=4,G4079&gt;=6,H4079&gt;=6),"AT RISK",AND(F4079&lt;=2,G4079&gt;=8,H4079&gt;=8),"CAN'T LOSE THEM",AND(F4079&lt;=2,G4079&lt;=2,H4079&lt;=2),"HIBERNATING",TRUE(),"Other")</f>
        <v>Other</v>
      </c>
      <c r="K4079" s="1" t="n">
        <f aca="false">RANK(E4079,$E$7:$E$4378)+COUNTIF($E$7:E4079,E4079)-1</f>
        <v>2644</v>
      </c>
    </row>
    <row r="4080" customFormat="false" ht="14.25" hidden="false" customHeight="true" outlineLevel="0" collapsed="false">
      <c r="A4080" s="51" t="n">
        <v>17881</v>
      </c>
      <c r="B4080" s="53" t="n">
        <v>40582.7194444445</v>
      </c>
      <c r="C4080" s="57" t="n">
        <f aca="false">INT($C$2)-INT(Table3[[#This Row],[Last Purchase Date]])</f>
        <v>305</v>
      </c>
      <c r="D4080" s="1" t="n">
        <v>1</v>
      </c>
      <c r="E4080" s="1" t="n">
        <v>133.35</v>
      </c>
      <c r="F4080" s="1" t="n">
        <f aca="false">ROUND((1-_xlfn.PERCENTRANK.INC($C$7:$C$4378,C4080))*9,0)</f>
        <v>1</v>
      </c>
      <c r="G4080" s="1" t="n">
        <f aca="false">ROUND(_xlfn.PERCENTRANK.INC($D$7:$D$4378,D4080)*9,0)</f>
        <v>0</v>
      </c>
      <c r="H4080" s="1" t="n">
        <f aca="false">ROUND(_xlfn.PERCENTRANK.INC($E$7:$E$4378,E4080)*9,0)</f>
        <v>1</v>
      </c>
      <c r="I4080" s="1" t="str">
        <f aca="false">CONCATENATE(F4080,G4080,H4080)</f>
        <v>101</v>
      </c>
      <c r="J4080" s="1" t="str">
        <f aca="false">_xlfn.IFS(AND(F4080&gt;=8,G4080&gt;=8,H4080&gt;=8),"CHAMPION",AND(F4080&gt;=6,G4080&gt;=7,H4080&gt;=6),"LOYAL CUSTOMER",AND(F4080&gt;=6,G4080&gt;=5,H4080&gt;=5),"POTENTIAL LOYALIST",AND(F4080&gt;=8,G4080&lt;=2,H4080&gt;=5),"NEW CUSTOMERS",AND(F4080&gt;=6,G4080&lt;=2,H4080&gt;=3),"PROMISING",AND(F4080&gt;=3,G4080&gt;=3,H4080&gt;=3),"NEED ATTENTION",AND(F4080&lt;=4,G4080&gt;=6,H4080&gt;=6),"AT RISK",AND(F4080&lt;=2,G4080&gt;=8,H4080&gt;=8),"CAN'T LOSE THEM",AND(F4080&lt;=2,G4080&lt;=2,H4080&lt;=2),"HIBERNATING",TRUE(),"Other")</f>
        <v>HIBERNATING</v>
      </c>
      <c r="K4080" s="1" t="n">
        <f aca="false">RANK(E4080,$E$7:$E$4378)+COUNTIF($E$7:E4080,E4080)-1</f>
        <v>3997</v>
      </c>
    </row>
    <row r="4081" customFormat="false" ht="14.25" hidden="false" customHeight="true" outlineLevel="0" collapsed="false">
      <c r="A4081" s="51" t="n">
        <v>17883</v>
      </c>
      <c r="B4081" s="53" t="n">
        <v>40883.7423611111</v>
      </c>
      <c r="C4081" s="57" t="n">
        <f aca="false">INT($C$2)-INT(Table3[[#This Row],[Last Purchase Date]])</f>
        <v>4</v>
      </c>
      <c r="D4081" s="1" t="n">
        <v>4</v>
      </c>
      <c r="E4081" s="1" t="n">
        <v>671.769999999999</v>
      </c>
      <c r="F4081" s="1" t="n">
        <f aca="false">ROUND((1-_xlfn.PERCENTRANK.INC($C$7:$C$4378,C4081))*9,0)</f>
        <v>8</v>
      </c>
      <c r="G4081" s="1" t="n">
        <f aca="false">ROUND(_xlfn.PERCENTRANK.INC($D$7:$D$4378,D4081)*9,0)</f>
        <v>5</v>
      </c>
      <c r="H4081" s="1" t="n">
        <f aca="false">ROUND(_xlfn.PERCENTRANK.INC($E$7:$E$4378,E4081)*9,0)</f>
        <v>5</v>
      </c>
      <c r="I4081" s="1" t="str">
        <f aca="false">CONCATENATE(F4081,G4081,H4081)</f>
        <v>855</v>
      </c>
      <c r="J4081" s="1" t="str">
        <f aca="false">_xlfn.IFS(AND(F4081&gt;=8,G4081&gt;=8,H4081&gt;=8),"CHAMPION",AND(F4081&gt;=6,G4081&gt;=7,H4081&gt;=6),"LOYAL CUSTOMER",AND(F4081&gt;=6,G4081&gt;=5,H4081&gt;=5),"POTENTIAL LOYALIST",AND(F4081&gt;=8,G4081&lt;=2,H4081&gt;=5),"NEW CUSTOMERS",AND(F4081&gt;=6,G4081&lt;=2,H4081&gt;=3),"PROMISING",AND(F4081&gt;=3,G4081&gt;=3,H4081&gt;=3),"NEED ATTENTION",AND(F4081&lt;=4,G4081&gt;=6,H4081&gt;=6),"AT RISK",AND(F4081&lt;=2,G4081&gt;=8,H4081&gt;=8),"CAN'T LOSE THEM",AND(F4081&lt;=2,G4081&lt;=2,H4081&lt;=2),"HIBERNATING",TRUE(),"Other")</f>
        <v>POTENTIAL LOYALIST</v>
      </c>
      <c r="K4081" s="1" t="n">
        <f aca="false">RANK(E4081,$E$7:$E$4378)+COUNTIF($E$7:E4081,E4081)-1</f>
        <v>2126</v>
      </c>
    </row>
    <row r="4082" customFormat="false" ht="14.25" hidden="false" customHeight="true" outlineLevel="0" collapsed="false">
      <c r="A4082" s="51" t="n">
        <v>17884</v>
      </c>
      <c r="B4082" s="53" t="n">
        <v>40883.48125</v>
      </c>
      <c r="C4082" s="57" t="n">
        <f aca="false">INT($C$2)-INT(Table3[[#This Row],[Last Purchase Date]])</f>
        <v>4</v>
      </c>
      <c r="D4082" s="1" t="n">
        <v>4</v>
      </c>
      <c r="E4082" s="1" t="n">
        <v>717.449999999999</v>
      </c>
      <c r="F4082" s="1" t="n">
        <f aca="false">ROUND((1-_xlfn.PERCENTRANK.INC($C$7:$C$4378,C4082))*9,0)</f>
        <v>8</v>
      </c>
      <c r="G4082" s="1" t="n">
        <f aca="false">ROUND(_xlfn.PERCENTRANK.INC($D$7:$D$4378,D4082)*9,0)</f>
        <v>5</v>
      </c>
      <c r="H4082" s="1" t="n">
        <f aca="false">ROUND(_xlfn.PERCENTRANK.INC($E$7:$E$4378,E4082)*9,0)</f>
        <v>5</v>
      </c>
      <c r="I4082" s="1" t="str">
        <f aca="false">CONCATENATE(F4082,G4082,H4082)</f>
        <v>855</v>
      </c>
      <c r="J4082" s="1" t="str">
        <f aca="false">_xlfn.IFS(AND(F4082&gt;=8,G4082&gt;=8,H4082&gt;=8),"CHAMPION",AND(F4082&gt;=6,G4082&gt;=7,H4082&gt;=6),"LOYAL CUSTOMER",AND(F4082&gt;=6,G4082&gt;=5,H4082&gt;=5),"POTENTIAL LOYALIST",AND(F4082&gt;=8,G4082&lt;=2,H4082&gt;=5),"NEW CUSTOMERS",AND(F4082&gt;=6,G4082&lt;=2,H4082&gt;=3),"PROMISING",AND(F4082&gt;=3,G4082&gt;=3,H4082&gt;=3),"NEED ATTENTION",AND(F4082&lt;=4,G4082&gt;=6,H4082&gt;=6),"AT RISK",AND(F4082&lt;=2,G4082&gt;=8,H4082&gt;=8),"CAN'T LOSE THEM",AND(F4082&lt;=2,G4082&lt;=2,H4082&lt;=2),"HIBERNATING",TRUE(),"Other")</f>
        <v>POTENTIAL LOYALIST</v>
      </c>
      <c r="K4082" s="1" t="n">
        <f aca="false">RANK(E4082,$E$7:$E$4378)+COUNTIF($E$7:E4082,E4082)-1</f>
        <v>2031</v>
      </c>
    </row>
    <row r="4083" customFormat="false" ht="14.25" hidden="false" customHeight="true" outlineLevel="0" collapsed="false">
      <c r="A4083" s="51" t="n">
        <v>17885</v>
      </c>
      <c r="B4083" s="53" t="n">
        <v>40874.6111111111</v>
      </c>
      <c r="C4083" s="57" t="n">
        <f aca="false">INT($C$2)-INT(Table3[[#This Row],[Last Purchase Date]])</f>
        <v>13</v>
      </c>
      <c r="D4083" s="1" t="n">
        <v>1</v>
      </c>
      <c r="E4083" s="1" t="n">
        <v>190.19</v>
      </c>
      <c r="F4083" s="1" t="n">
        <f aca="false">ROUND((1-_xlfn.PERCENTRANK.INC($C$7:$C$4378,C4083))*9,0)</f>
        <v>7</v>
      </c>
      <c r="G4083" s="1" t="n">
        <f aca="false">ROUND(_xlfn.PERCENTRANK.INC($D$7:$D$4378,D4083)*9,0)</f>
        <v>0</v>
      </c>
      <c r="H4083" s="1" t="n">
        <f aca="false">ROUND(_xlfn.PERCENTRANK.INC($E$7:$E$4378,E4083)*9,0)</f>
        <v>1</v>
      </c>
      <c r="I4083" s="1" t="str">
        <f aca="false">CONCATENATE(F4083,G4083,H4083)</f>
        <v>701</v>
      </c>
      <c r="J4083" s="1" t="str">
        <f aca="false">_xlfn.IFS(AND(F4083&gt;=8,G4083&gt;=8,H4083&gt;=8),"CHAMPION",AND(F4083&gt;=6,G4083&gt;=7,H4083&gt;=6),"LOYAL CUSTOMER",AND(F4083&gt;=6,G4083&gt;=5,H4083&gt;=5),"POTENTIAL LOYALIST",AND(F4083&gt;=8,G4083&lt;=2,H4083&gt;=5),"NEW CUSTOMERS",AND(F4083&gt;=6,G4083&lt;=2,H4083&gt;=3),"PROMISING",AND(F4083&gt;=3,G4083&gt;=3,H4083&gt;=3),"NEED ATTENTION",AND(F4083&lt;=4,G4083&gt;=6,H4083&gt;=6),"AT RISK",AND(F4083&lt;=2,G4083&gt;=8,H4083&gt;=8),"CAN'T LOSE THEM",AND(F4083&lt;=2,G4083&lt;=2,H4083&lt;=2),"HIBERNATING",TRUE(),"Other")</f>
        <v>Other</v>
      </c>
      <c r="K4083" s="1" t="n">
        <f aca="false">RANK(E4083,$E$7:$E$4378)+COUNTIF($E$7:E4083,E4083)-1</f>
        <v>3708</v>
      </c>
    </row>
    <row r="4084" customFormat="false" ht="14.25" hidden="false" customHeight="true" outlineLevel="0" collapsed="false">
      <c r="A4084" s="51" t="n">
        <v>17886</v>
      </c>
      <c r="B4084" s="53" t="n">
        <v>40855.4229166667</v>
      </c>
      <c r="C4084" s="57" t="n">
        <f aca="false">INT($C$2)-INT(Table3[[#This Row],[Last Purchase Date]])</f>
        <v>32</v>
      </c>
      <c r="D4084" s="1" t="n">
        <v>3</v>
      </c>
      <c r="E4084" s="1" t="n">
        <v>899.61</v>
      </c>
      <c r="F4084" s="1" t="n">
        <f aca="false">ROUND((1-_xlfn.PERCENTRANK.INC($C$7:$C$4378,C4084))*9,0)</f>
        <v>5</v>
      </c>
      <c r="G4084" s="1" t="n">
        <f aca="false">ROUND(_xlfn.PERCENTRANK.INC($D$7:$D$4378,D4084)*9,0)</f>
        <v>4</v>
      </c>
      <c r="H4084" s="1" t="n">
        <f aca="false">ROUND(_xlfn.PERCENTRANK.INC($E$7:$E$4378,E4084)*9,0)</f>
        <v>5</v>
      </c>
      <c r="I4084" s="1" t="str">
        <f aca="false">CONCATENATE(F4084,G4084,H4084)</f>
        <v>545</v>
      </c>
      <c r="J4084" s="1" t="str">
        <f aca="false">_xlfn.IFS(AND(F4084&gt;=8,G4084&gt;=8,H4084&gt;=8),"CHAMPION",AND(F4084&gt;=6,G4084&gt;=7,H4084&gt;=6),"LOYAL CUSTOMER",AND(F4084&gt;=6,G4084&gt;=5,H4084&gt;=5),"POTENTIAL LOYALIST",AND(F4084&gt;=8,G4084&lt;=2,H4084&gt;=5),"NEW CUSTOMERS",AND(F4084&gt;=6,G4084&lt;=2,H4084&gt;=3),"PROMISING",AND(F4084&gt;=3,G4084&gt;=3,H4084&gt;=3),"NEED ATTENTION",AND(F4084&lt;=4,G4084&gt;=6,H4084&gt;=6),"AT RISK",AND(F4084&lt;=2,G4084&gt;=8,H4084&gt;=8),"CAN'T LOSE THEM",AND(F4084&lt;=2,G4084&lt;=2,H4084&lt;=2),"HIBERNATING",TRUE(),"Other")</f>
        <v>NEED ATTENTION</v>
      </c>
      <c r="K4084" s="1" t="n">
        <f aca="false">RANK(E4084,$E$7:$E$4378)+COUNTIF($E$7:E4084,E4084)-1</f>
        <v>1762</v>
      </c>
    </row>
    <row r="4085" customFormat="false" ht="14.25" hidden="false" customHeight="true" outlineLevel="0" collapsed="false">
      <c r="A4085" s="51" t="n">
        <v>17887</v>
      </c>
      <c r="B4085" s="53" t="n">
        <v>40757.7284722222</v>
      </c>
      <c r="C4085" s="57" t="n">
        <f aca="false">INT($C$2)-INT(Table3[[#This Row],[Last Purchase Date]])</f>
        <v>130</v>
      </c>
      <c r="D4085" s="1" t="n">
        <v>1</v>
      </c>
      <c r="E4085" s="1" t="n">
        <v>111.35</v>
      </c>
      <c r="F4085" s="1" t="n">
        <f aca="false">ROUND((1-_xlfn.PERCENTRANK.INC($C$7:$C$4378,C4085))*9,0)</f>
        <v>2</v>
      </c>
      <c r="G4085" s="1" t="n">
        <f aca="false">ROUND(_xlfn.PERCENTRANK.INC($D$7:$D$4378,D4085)*9,0)</f>
        <v>0</v>
      </c>
      <c r="H4085" s="1" t="n">
        <f aca="false">ROUND(_xlfn.PERCENTRANK.INC($E$7:$E$4378,E4085)*9,0)</f>
        <v>1</v>
      </c>
      <c r="I4085" s="1" t="str">
        <f aca="false">CONCATENATE(F4085,G4085,H4085)</f>
        <v>201</v>
      </c>
      <c r="J4085" s="1" t="str">
        <f aca="false">_xlfn.IFS(AND(F4085&gt;=8,G4085&gt;=8,H4085&gt;=8),"CHAMPION",AND(F4085&gt;=6,G4085&gt;=7,H4085&gt;=6),"LOYAL CUSTOMER",AND(F4085&gt;=6,G4085&gt;=5,H4085&gt;=5),"POTENTIAL LOYALIST",AND(F4085&gt;=8,G4085&lt;=2,H4085&gt;=5),"NEW CUSTOMERS",AND(F4085&gt;=6,G4085&lt;=2,H4085&gt;=3),"PROMISING",AND(F4085&gt;=3,G4085&gt;=3,H4085&gt;=3),"NEED ATTENTION",AND(F4085&lt;=4,G4085&gt;=6,H4085&gt;=6),"AT RISK",AND(F4085&lt;=2,G4085&gt;=8,H4085&gt;=8),"CAN'T LOSE THEM",AND(F4085&lt;=2,G4085&lt;=2,H4085&lt;=2),"HIBERNATING",TRUE(),"Other")</f>
        <v>HIBERNATING</v>
      </c>
      <c r="K4085" s="1" t="n">
        <f aca="false">RANK(E4085,$E$7:$E$4378)+COUNTIF($E$7:E4085,E4085)-1</f>
        <v>4103</v>
      </c>
    </row>
    <row r="4086" customFormat="false" ht="14.25" hidden="false" customHeight="true" outlineLevel="0" collapsed="false">
      <c r="A4086" s="51" t="n">
        <v>17888</v>
      </c>
      <c r="B4086" s="53" t="n">
        <v>40868.4291666667</v>
      </c>
      <c r="C4086" s="57" t="n">
        <f aca="false">INT($C$2)-INT(Table3[[#This Row],[Last Purchase Date]])</f>
        <v>19</v>
      </c>
      <c r="D4086" s="1" t="n">
        <v>10</v>
      </c>
      <c r="E4086" s="1" t="n">
        <v>525.78</v>
      </c>
      <c r="F4086" s="1" t="n">
        <f aca="false">ROUND((1-_xlfn.PERCENTRANK.INC($C$7:$C$4378,C4086))*9,0)</f>
        <v>7</v>
      </c>
      <c r="G4086" s="1" t="n">
        <f aca="false">ROUND(_xlfn.PERCENTRANK.INC($D$7:$D$4378,D4086)*9,0)</f>
        <v>8</v>
      </c>
      <c r="H4086" s="1" t="n">
        <f aca="false">ROUND(_xlfn.PERCENTRANK.INC($E$7:$E$4378,E4086)*9,0)</f>
        <v>4</v>
      </c>
      <c r="I4086" s="1" t="str">
        <f aca="false">CONCATENATE(F4086,G4086,H4086)</f>
        <v>784</v>
      </c>
      <c r="J4086" s="1" t="str">
        <f aca="false">_xlfn.IFS(AND(F4086&gt;=8,G4086&gt;=8,H4086&gt;=8),"CHAMPION",AND(F4086&gt;=6,G4086&gt;=7,H4086&gt;=6),"LOYAL CUSTOMER",AND(F4086&gt;=6,G4086&gt;=5,H4086&gt;=5),"POTENTIAL LOYALIST",AND(F4086&gt;=8,G4086&lt;=2,H4086&gt;=5),"NEW CUSTOMERS",AND(F4086&gt;=6,G4086&lt;=2,H4086&gt;=3),"PROMISING",AND(F4086&gt;=3,G4086&gt;=3,H4086&gt;=3),"NEED ATTENTION",AND(F4086&lt;=4,G4086&gt;=6,H4086&gt;=6),"AT RISK",AND(F4086&lt;=2,G4086&gt;=8,H4086&gt;=8),"CAN'T LOSE THEM",AND(F4086&lt;=2,G4086&lt;=2,H4086&lt;=2),"HIBERNATING",TRUE(),"Other")</f>
        <v>NEED ATTENTION</v>
      </c>
      <c r="K4086" s="1" t="n">
        <f aca="false">RANK(E4086,$E$7:$E$4378)+COUNTIF($E$7:E4086,E4086)-1</f>
        <v>2488</v>
      </c>
    </row>
    <row r="4087" customFormat="false" ht="14.25" hidden="false" customHeight="true" outlineLevel="0" collapsed="false">
      <c r="A4087" s="51" t="n">
        <v>17889</v>
      </c>
      <c r="B4087" s="53" t="n">
        <v>40674.6847222222</v>
      </c>
      <c r="C4087" s="57" t="n">
        <f aca="false">INT($C$2)-INT(Table3[[#This Row],[Last Purchase Date]])</f>
        <v>213</v>
      </c>
      <c r="D4087" s="1" t="n">
        <v>2</v>
      </c>
      <c r="E4087" s="1" t="n">
        <v>203.87</v>
      </c>
      <c r="F4087" s="1" t="n">
        <f aca="false">ROUND((1-_xlfn.PERCENTRANK.INC($C$7:$C$4378,C4087))*9,0)</f>
        <v>1</v>
      </c>
      <c r="G4087" s="1" t="n">
        <f aca="false">ROUND(_xlfn.PERCENTRANK.INC($D$7:$D$4378,D4087)*9,0)</f>
        <v>3</v>
      </c>
      <c r="H4087" s="1" t="n">
        <f aca="false">ROUND(_xlfn.PERCENTRANK.INC($E$7:$E$4378,E4087)*9,0)</f>
        <v>1</v>
      </c>
      <c r="I4087" s="1" t="str">
        <f aca="false">CONCATENATE(F4087,G4087,H4087)</f>
        <v>131</v>
      </c>
      <c r="J4087" s="1" t="str">
        <f aca="false">_xlfn.IFS(AND(F4087&gt;=8,G4087&gt;=8,H4087&gt;=8),"CHAMPION",AND(F4087&gt;=6,G4087&gt;=7,H4087&gt;=6),"LOYAL CUSTOMER",AND(F4087&gt;=6,G4087&gt;=5,H4087&gt;=5),"POTENTIAL LOYALIST",AND(F4087&gt;=8,G4087&lt;=2,H4087&gt;=5),"NEW CUSTOMERS",AND(F4087&gt;=6,G4087&lt;=2,H4087&gt;=3),"PROMISING",AND(F4087&gt;=3,G4087&gt;=3,H4087&gt;=3),"NEED ATTENTION",AND(F4087&lt;=4,G4087&gt;=6,H4087&gt;=6),"AT RISK",AND(F4087&lt;=2,G4087&gt;=8,H4087&gt;=8),"CAN'T LOSE THEM",AND(F4087&lt;=2,G4087&lt;=2,H4087&lt;=2),"HIBERNATING",TRUE(),"Other")</f>
        <v>Other</v>
      </c>
      <c r="K4087" s="1" t="n">
        <f aca="false">RANK(E4087,$E$7:$E$4378)+COUNTIF($E$7:E4087,E4087)-1</f>
        <v>3645</v>
      </c>
    </row>
    <row r="4088" customFormat="false" ht="14.25" hidden="false" customHeight="true" outlineLevel="0" collapsed="false">
      <c r="A4088" s="51" t="n">
        <v>17890</v>
      </c>
      <c r="B4088" s="53" t="n">
        <v>40564.4715277778</v>
      </c>
      <c r="C4088" s="57" t="n">
        <f aca="false">INT($C$2)-INT(Table3[[#This Row],[Last Purchase Date]])</f>
        <v>323</v>
      </c>
      <c r="D4088" s="1" t="n">
        <v>2</v>
      </c>
      <c r="E4088" s="1" t="n">
        <v>602.090000000001</v>
      </c>
      <c r="F4088" s="1" t="n">
        <f aca="false">ROUND((1-_xlfn.PERCENTRANK.INC($C$7:$C$4378,C4088))*9,0)</f>
        <v>0</v>
      </c>
      <c r="G4088" s="1" t="n">
        <f aca="false">ROUND(_xlfn.PERCENTRANK.INC($D$7:$D$4378,D4088)*9,0)</f>
        <v>3</v>
      </c>
      <c r="H4088" s="1" t="n">
        <f aca="false">ROUND(_xlfn.PERCENTRANK.INC($E$7:$E$4378,E4088)*9,0)</f>
        <v>4</v>
      </c>
      <c r="I4088" s="1" t="str">
        <f aca="false">CONCATENATE(F4088,G4088,H4088)</f>
        <v>034</v>
      </c>
      <c r="J4088" s="1" t="str">
        <f aca="false">_xlfn.IFS(AND(F4088&gt;=8,G4088&gt;=8,H4088&gt;=8),"CHAMPION",AND(F4088&gt;=6,G4088&gt;=7,H4088&gt;=6),"LOYAL CUSTOMER",AND(F4088&gt;=6,G4088&gt;=5,H4088&gt;=5),"POTENTIAL LOYALIST",AND(F4088&gt;=8,G4088&lt;=2,H4088&gt;=5),"NEW CUSTOMERS",AND(F4088&gt;=6,G4088&lt;=2,H4088&gt;=3),"PROMISING",AND(F4088&gt;=3,G4088&gt;=3,H4088&gt;=3),"NEED ATTENTION",AND(F4088&lt;=4,G4088&gt;=6,H4088&gt;=6),"AT RISK",AND(F4088&lt;=2,G4088&gt;=8,H4088&gt;=8),"CAN'T LOSE THEM",AND(F4088&lt;=2,G4088&lt;=2,H4088&lt;=2),"HIBERNATING",TRUE(),"Other")</f>
        <v>Other</v>
      </c>
      <c r="K4088" s="1" t="n">
        <f aca="false">RANK(E4088,$E$7:$E$4378)+COUNTIF($E$7:E4088,E4088)-1</f>
        <v>2311</v>
      </c>
    </row>
    <row r="4089" customFormat="false" ht="14.25" hidden="false" customHeight="true" outlineLevel="0" collapsed="false">
      <c r="A4089" s="51" t="n">
        <v>17891</v>
      </c>
      <c r="B4089" s="53" t="n">
        <v>40724.8388888889</v>
      </c>
      <c r="C4089" s="57" t="n">
        <f aca="false">INT($C$2)-INT(Table3[[#This Row],[Last Purchase Date]])</f>
        <v>163</v>
      </c>
      <c r="D4089" s="1" t="n">
        <v>1</v>
      </c>
      <c r="E4089" s="1" t="n">
        <v>203.86</v>
      </c>
      <c r="F4089" s="1" t="n">
        <f aca="false">ROUND((1-_xlfn.PERCENTRANK.INC($C$7:$C$4378,C4089))*9,0)</f>
        <v>2</v>
      </c>
      <c r="G4089" s="1" t="n">
        <f aca="false">ROUND(_xlfn.PERCENTRANK.INC($D$7:$D$4378,D4089)*9,0)</f>
        <v>0</v>
      </c>
      <c r="H4089" s="1" t="n">
        <f aca="false">ROUND(_xlfn.PERCENTRANK.INC($E$7:$E$4378,E4089)*9,0)</f>
        <v>1</v>
      </c>
      <c r="I4089" s="1" t="str">
        <f aca="false">CONCATENATE(F4089,G4089,H4089)</f>
        <v>201</v>
      </c>
      <c r="J4089" s="1" t="str">
        <f aca="false">_xlfn.IFS(AND(F4089&gt;=8,G4089&gt;=8,H4089&gt;=8),"CHAMPION",AND(F4089&gt;=6,G4089&gt;=7,H4089&gt;=6),"LOYAL CUSTOMER",AND(F4089&gt;=6,G4089&gt;=5,H4089&gt;=5),"POTENTIAL LOYALIST",AND(F4089&gt;=8,G4089&lt;=2,H4089&gt;=5),"NEW CUSTOMERS",AND(F4089&gt;=6,G4089&lt;=2,H4089&gt;=3),"PROMISING",AND(F4089&gt;=3,G4089&gt;=3,H4089&gt;=3),"NEED ATTENTION",AND(F4089&lt;=4,G4089&gt;=6,H4089&gt;=6),"AT RISK",AND(F4089&lt;=2,G4089&gt;=8,H4089&gt;=8),"CAN'T LOSE THEM",AND(F4089&lt;=2,G4089&lt;=2,H4089&lt;=2),"HIBERNATING",TRUE(),"Other")</f>
        <v>HIBERNATING</v>
      </c>
      <c r="K4089" s="1" t="n">
        <f aca="false">RANK(E4089,$E$7:$E$4378)+COUNTIF($E$7:E4089,E4089)-1</f>
        <v>3646</v>
      </c>
    </row>
    <row r="4090" customFormat="false" ht="14.25" hidden="false" customHeight="true" outlineLevel="0" collapsed="false">
      <c r="A4090" s="51" t="n">
        <v>17892</v>
      </c>
      <c r="B4090" s="53" t="n">
        <v>40830.7006944444</v>
      </c>
      <c r="C4090" s="57" t="n">
        <f aca="false">INT($C$2)-INT(Table3[[#This Row],[Last Purchase Date]])</f>
        <v>57</v>
      </c>
      <c r="D4090" s="1" t="n">
        <v>3</v>
      </c>
      <c r="E4090" s="1" t="n">
        <v>244.1</v>
      </c>
      <c r="F4090" s="1" t="n">
        <f aca="false">ROUND((1-_xlfn.PERCENTRANK.INC($C$7:$C$4378,C4090))*9,0)</f>
        <v>4</v>
      </c>
      <c r="G4090" s="1" t="n">
        <f aca="false">ROUND(_xlfn.PERCENTRANK.INC($D$7:$D$4378,D4090)*9,0)</f>
        <v>4</v>
      </c>
      <c r="H4090" s="1" t="n">
        <f aca="false">ROUND(_xlfn.PERCENTRANK.INC($E$7:$E$4378,E4090)*9,0)</f>
        <v>2</v>
      </c>
      <c r="I4090" s="1" t="str">
        <f aca="false">CONCATENATE(F4090,G4090,H4090)</f>
        <v>442</v>
      </c>
      <c r="J4090" s="1" t="str">
        <f aca="false">_xlfn.IFS(AND(F4090&gt;=8,G4090&gt;=8,H4090&gt;=8),"CHAMPION",AND(F4090&gt;=6,G4090&gt;=7,H4090&gt;=6),"LOYAL CUSTOMER",AND(F4090&gt;=6,G4090&gt;=5,H4090&gt;=5),"POTENTIAL LOYALIST",AND(F4090&gt;=8,G4090&lt;=2,H4090&gt;=5),"NEW CUSTOMERS",AND(F4090&gt;=6,G4090&lt;=2,H4090&gt;=3),"PROMISING",AND(F4090&gt;=3,G4090&gt;=3,H4090&gt;=3),"NEED ATTENTION",AND(F4090&lt;=4,G4090&gt;=6,H4090&gt;=6),"AT RISK",AND(F4090&lt;=2,G4090&gt;=8,H4090&gt;=8),"CAN'T LOSE THEM",AND(F4090&lt;=2,G4090&lt;=2,H4090&lt;=2),"HIBERNATING",TRUE(),"Other")</f>
        <v>Other</v>
      </c>
      <c r="K4090" s="1" t="n">
        <f aca="false">RANK(E4090,$E$7:$E$4378)+COUNTIF($E$7:E4090,E4090)-1</f>
        <v>3462</v>
      </c>
    </row>
    <row r="4091" customFormat="false" ht="14.25" hidden="false" customHeight="true" outlineLevel="0" collapsed="false">
      <c r="A4091" s="51" t="n">
        <v>17893</v>
      </c>
      <c r="B4091" s="53" t="n">
        <v>40661.5763888889</v>
      </c>
      <c r="C4091" s="57" t="n">
        <f aca="false">INT($C$2)-INT(Table3[[#This Row],[Last Purchase Date]])</f>
        <v>226</v>
      </c>
      <c r="D4091" s="1" t="n">
        <v>1</v>
      </c>
      <c r="E4091" s="1" t="n">
        <v>112.25</v>
      </c>
      <c r="F4091" s="1" t="n">
        <f aca="false">ROUND((1-_xlfn.PERCENTRANK.INC($C$7:$C$4378,C4091))*9,0)</f>
        <v>1</v>
      </c>
      <c r="G4091" s="1" t="n">
        <f aca="false">ROUND(_xlfn.PERCENTRANK.INC($D$7:$D$4378,D4091)*9,0)</f>
        <v>0</v>
      </c>
      <c r="H4091" s="1" t="n">
        <f aca="false">ROUND(_xlfn.PERCENTRANK.INC($E$7:$E$4378,E4091)*9,0)</f>
        <v>1</v>
      </c>
      <c r="I4091" s="1" t="str">
        <f aca="false">CONCATENATE(F4091,G4091,H4091)</f>
        <v>101</v>
      </c>
      <c r="J4091" s="1" t="str">
        <f aca="false">_xlfn.IFS(AND(F4091&gt;=8,G4091&gt;=8,H4091&gt;=8),"CHAMPION",AND(F4091&gt;=6,G4091&gt;=7,H4091&gt;=6),"LOYAL CUSTOMER",AND(F4091&gt;=6,G4091&gt;=5,H4091&gt;=5),"POTENTIAL LOYALIST",AND(F4091&gt;=8,G4091&lt;=2,H4091&gt;=5),"NEW CUSTOMERS",AND(F4091&gt;=6,G4091&lt;=2,H4091&gt;=3),"PROMISING",AND(F4091&gt;=3,G4091&gt;=3,H4091&gt;=3),"NEED ATTENTION",AND(F4091&lt;=4,G4091&gt;=6,H4091&gt;=6),"AT RISK",AND(F4091&lt;=2,G4091&gt;=8,H4091&gt;=8),"CAN'T LOSE THEM",AND(F4091&lt;=2,G4091&lt;=2,H4091&lt;=2),"HIBERNATING",TRUE(),"Other")</f>
        <v>HIBERNATING</v>
      </c>
      <c r="K4091" s="1" t="n">
        <f aca="false">RANK(E4091,$E$7:$E$4378)+COUNTIF($E$7:E4091,E4091)-1</f>
        <v>4099</v>
      </c>
    </row>
    <row r="4092" customFormat="false" ht="14.25" hidden="false" customHeight="true" outlineLevel="0" collapsed="false">
      <c r="A4092" s="51" t="n">
        <v>17894</v>
      </c>
      <c r="B4092" s="53" t="n">
        <v>40815.3909722222</v>
      </c>
      <c r="C4092" s="57" t="n">
        <f aca="false">INT($C$2)-INT(Table3[[#This Row],[Last Purchase Date]])</f>
        <v>72</v>
      </c>
      <c r="D4092" s="1" t="n">
        <v>8</v>
      </c>
      <c r="E4092" s="1" t="n">
        <v>1119.81</v>
      </c>
      <c r="F4092" s="1" t="n">
        <f aca="false">ROUND((1-_xlfn.PERCENTRANK.INC($C$7:$C$4378,C4092))*9,0)</f>
        <v>4</v>
      </c>
      <c r="G4092" s="1" t="n">
        <f aca="false">ROUND(_xlfn.PERCENTRANK.INC($D$7:$D$4378,D4092)*9,0)</f>
        <v>7</v>
      </c>
      <c r="H4092" s="1" t="n">
        <f aca="false">ROUND(_xlfn.PERCENTRANK.INC($E$7:$E$4378,E4092)*9,0)</f>
        <v>6</v>
      </c>
      <c r="I4092" s="1" t="str">
        <f aca="false">CONCATENATE(F4092,G4092,H4092)</f>
        <v>476</v>
      </c>
      <c r="J4092" s="1" t="str">
        <f aca="false">_xlfn.IFS(AND(F4092&gt;=8,G4092&gt;=8,H4092&gt;=8),"CHAMPION",AND(F4092&gt;=6,G4092&gt;=7,H4092&gt;=6),"LOYAL CUSTOMER",AND(F4092&gt;=6,G4092&gt;=5,H4092&gt;=5),"POTENTIAL LOYALIST",AND(F4092&gt;=8,G4092&lt;=2,H4092&gt;=5),"NEW CUSTOMERS",AND(F4092&gt;=6,G4092&lt;=2,H4092&gt;=3),"PROMISING",AND(F4092&gt;=3,G4092&gt;=3,H4092&gt;=3),"NEED ATTENTION",AND(F4092&lt;=4,G4092&gt;=6,H4092&gt;=6),"AT RISK",AND(F4092&lt;=2,G4092&gt;=8,H4092&gt;=8),"CAN'T LOSE THEM",AND(F4092&lt;=2,G4092&lt;=2,H4092&lt;=2),"HIBERNATING",TRUE(),"Other")</f>
        <v>NEED ATTENTION</v>
      </c>
      <c r="K4092" s="1" t="n">
        <f aca="false">RANK(E4092,$E$7:$E$4378)+COUNTIF($E$7:E4092,E4092)-1</f>
        <v>1487</v>
      </c>
    </row>
    <row r="4093" customFormat="false" ht="14.25" hidden="false" customHeight="true" outlineLevel="0" collapsed="false">
      <c r="A4093" s="51" t="n">
        <v>17895</v>
      </c>
      <c r="B4093" s="53" t="n">
        <v>40842.7083333333</v>
      </c>
      <c r="C4093" s="57" t="n">
        <f aca="false">INT($C$2)-INT(Table3[[#This Row],[Last Purchase Date]])</f>
        <v>45</v>
      </c>
      <c r="D4093" s="1" t="n">
        <v>1</v>
      </c>
      <c r="E4093" s="1" t="n">
        <v>98</v>
      </c>
      <c r="F4093" s="1" t="n">
        <f aca="false">ROUND((1-_xlfn.PERCENTRANK.INC($C$7:$C$4378,C4093))*9,0)</f>
        <v>5</v>
      </c>
      <c r="G4093" s="1" t="n">
        <f aca="false">ROUND(_xlfn.PERCENTRANK.INC($D$7:$D$4378,D4093)*9,0)</f>
        <v>0</v>
      </c>
      <c r="H4093" s="1" t="n">
        <f aca="false">ROUND(_xlfn.PERCENTRANK.INC($E$7:$E$4378,E4093)*9,0)</f>
        <v>0</v>
      </c>
      <c r="I4093" s="1" t="str">
        <f aca="false">CONCATENATE(F4093,G4093,H4093)</f>
        <v>500</v>
      </c>
      <c r="J4093" s="1" t="str">
        <f aca="false">_xlfn.IFS(AND(F4093&gt;=8,G4093&gt;=8,H4093&gt;=8),"CHAMPION",AND(F4093&gt;=6,G4093&gt;=7,H4093&gt;=6),"LOYAL CUSTOMER",AND(F4093&gt;=6,G4093&gt;=5,H4093&gt;=5),"POTENTIAL LOYALIST",AND(F4093&gt;=8,G4093&lt;=2,H4093&gt;=5),"NEW CUSTOMERS",AND(F4093&gt;=6,G4093&lt;=2,H4093&gt;=3),"PROMISING",AND(F4093&gt;=3,G4093&gt;=3,H4093&gt;=3),"NEED ATTENTION",AND(F4093&lt;=4,G4093&gt;=6,H4093&gt;=6),"AT RISK",AND(F4093&lt;=2,G4093&gt;=8,H4093&gt;=8),"CAN'T LOSE THEM",AND(F4093&lt;=2,G4093&lt;=2,H4093&lt;=2),"HIBERNATING",TRUE(),"Other")</f>
        <v>Other</v>
      </c>
      <c r="K4093" s="1" t="n">
        <f aca="false">RANK(E4093,$E$7:$E$4378)+COUNTIF($E$7:E4093,E4093)-1</f>
        <v>4164</v>
      </c>
    </row>
    <row r="4094" customFormat="false" ht="14.25" hidden="false" customHeight="true" outlineLevel="0" collapsed="false">
      <c r="A4094" s="51" t="n">
        <v>17896</v>
      </c>
      <c r="B4094" s="53" t="n">
        <v>40863.5826388889</v>
      </c>
      <c r="C4094" s="57" t="n">
        <f aca="false">INT($C$2)-INT(Table3[[#This Row],[Last Purchase Date]])</f>
        <v>24</v>
      </c>
      <c r="D4094" s="1" t="n">
        <v>1</v>
      </c>
      <c r="E4094" s="1" t="n">
        <v>256.32</v>
      </c>
      <c r="F4094" s="1" t="n">
        <f aca="false">ROUND((1-_xlfn.PERCENTRANK.INC($C$7:$C$4378,C4094))*9,0)</f>
        <v>6</v>
      </c>
      <c r="G4094" s="1" t="n">
        <f aca="false">ROUND(_xlfn.PERCENTRANK.INC($D$7:$D$4378,D4094)*9,0)</f>
        <v>0</v>
      </c>
      <c r="H4094" s="1" t="n">
        <f aca="false">ROUND(_xlfn.PERCENTRANK.INC($E$7:$E$4378,E4094)*9,0)</f>
        <v>2</v>
      </c>
      <c r="I4094" s="1" t="str">
        <f aca="false">CONCATENATE(F4094,G4094,H4094)</f>
        <v>602</v>
      </c>
      <c r="J4094" s="1" t="str">
        <f aca="false">_xlfn.IFS(AND(F4094&gt;=8,G4094&gt;=8,H4094&gt;=8),"CHAMPION",AND(F4094&gt;=6,G4094&gt;=7,H4094&gt;=6),"LOYAL CUSTOMER",AND(F4094&gt;=6,G4094&gt;=5,H4094&gt;=5),"POTENTIAL LOYALIST",AND(F4094&gt;=8,G4094&lt;=2,H4094&gt;=5),"NEW CUSTOMERS",AND(F4094&gt;=6,G4094&lt;=2,H4094&gt;=3),"PROMISING",AND(F4094&gt;=3,G4094&gt;=3,H4094&gt;=3),"NEED ATTENTION",AND(F4094&lt;=4,G4094&gt;=6,H4094&gt;=6),"AT RISK",AND(F4094&lt;=2,G4094&gt;=8,H4094&gt;=8),"CAN'T LOSE THEM",AND(F4094&lt;=2,G4094&lt;=2,H4094&lt;=2),"HIBERNATING",TRUE(),"Other")</f>
        <v>Other</v>
      </c>
      <c r="K4094" s="1" t="n">
        <f aca="false">RANK(E4094,$E$7:$E$4378)+COUNTIF($E$7:E4094,E4094)-1</f>
        <v>3411</v>
      </c>
    </row>
    <row r="4095" customFormat="false" ht="14.25" hidden="false" customHeight="true" outlineLevel="0" collapsed="false">
      <c r="A4095" s="51" t="n">
        <v>17897</v>
      </c>
      <c r="B4095" s="53" t="n">
        <v>40714.4743055556</v>
      </c>
      <c r="C4095" s="57" t="n">
        <f aca="false">INT($C$2)-INT(Table3[[#This Row],[Last Purchase Date]])</f>
        <v>173</v>
      </c>
      <c r="D4095" s="1" t="n">
        <v>4</v>
      </c>
      <c r="E4095" s="1" t="n">
        <v>541.1</v>
      </c>
      <c r="F4095" s="1" t="n">
        <f aca="false">ROUND((1-_xlfn.PERCENTRANK.INC($C$7:$C$4378,C4095))*9,0)</f>
        <v>2</v>
      </c>
      <c r="G4095" s="1" t="n">
        <f aca="false">ROUND(_xlfn.PERCENTRANK.INC($D$7:$D$4378,D4095)*9,0)</f>
        <v>5</v>
      </c>
      <c r="H4095" s="1" t="n">
        <f aca="false">ROUND(_xlfn.PERCENTRANK.INC($E$7:$E$4378,E4095)*9,0)</f>
        <v>4</v>
      </c>
      <c r="I4095" s="1" t="str">
        <f aca="false">CONCATENATE(F4095,G4095,H4095)</f>
        <v>254</v>
      </c>
      <c r="J4095" s="1" t="str">
        <f aca="false">_xlfn.IFS(AND(F4095&gt;=8,G4095&gt;=8,H4095&gt;=8),"CHAMPION",AND(F4095&gt;=6,G4095&gt;=7,H4095&gt;=6),"LOYAL CUSTOMER",AND(F4095&gt;=6,G4095&gt;=5,H4095&gt;=5),"POTENTIAL LOYALIST",AND(F4095&gt;=8,G4095&lt;=2,H4095&gt;=5),"NEW CUSTOMERS",AND(F4095&gt;=6,G4095&lt;=2,H4095&gt;=3),"PROMISING",AND(F4095&gt;=3,G4095&gt;=3,H4095&gt;=3),"NEED ATTENTION",AND(F4095&lt;=4,G4095&gt;=6,H4095&gt;=6),"AT RISK",AND(F4095&lt;=2,G4095&gt;=8,H4095&gt;=8),"CAN'T LOSE THEM",AND(F4095&lt;=2,G4095&lt;=2,H4095&lt;=2),"HIBERNATING",TRUE(),"Other")</f>
        <v>Other</v>
      </c>
      <c r="K4095" s="1" t="n">
        <f aca="false">RANK(E4095,$E$7:$E$4378)+COUNTIF($E$7:E4095,E4095)-1</f>
        <v>2451</v>
      </c>
    </row>
    <row r="4096" customFormat="false" ht="14.25" hidden="false" customHeight="true" outlineLevel="0" collapsed="false">
      <c r="A4096" s="51" t="n">
        <v>17898</v>
      </c>
      <c r="B4096" s="53" t="n">
        <v>40801.6222222222</v>
      </c>
      <c r="C4096" s="57" t="n">
        <f aca="false">INT($C$2)-INT(Table3[[#This Row],[Last Purchase Date]])</f>
        <v>86</v>
      </c>
      <c r="D4096" s="1" t="n">
        <v>2</v>
      </c>
      <c r="E4096" s="1" t="n">
        <v>152.06</v>
      </c>
      <c r="F4096" s="1" t="n">
        <f aca="false">ROUND((1-_xlfn.PERCENTRANK.INC($C$7:$C$4378,C4096))*9,0)</f>
        <v>3</v>
      </c>
      <c r="G4096" s="1" t="n">
        <f aca="false">ROUND(_xlfn.PERCENTRANK.INC($D$7:$D$4378,D4096)*9,0)</f>
        <v>3</v>
      </c>
      <c r="H4096" s="1" t="n">
        <f aca="false">ROUND(_xlfn.PERCENTRANK.INC($E$7:$E$4378,E4096)*9,0)</f>
        <v>1</v>
      </c>
      <c r="I4096" s="1" t="str">
        <f aca="false">CONCATENATE(F4096,G4096,H4096)</f>
        <v>331</v>
      </c>
      <c r="J4096" s="1" t="str">
        <f aca="false">_xlfn.IFS(AND(F4096&gt;=8,G4096&gt;=8,H4096&gt;=8),"CHAMPION",AND(F4096&gt;=6,G4096&gt;=7,H4096&gt;=6),"LOYAL CUSTOMER",AND(F4096&gt;=6,G4096&gt;=5,H4096&gt;=5),"POTENTIAL LOYALIST",AND(F4096&gt;=8,G4096&lt;=2,H4096&gt;=5),"NEW CUSTOMERS",AND(F4096&gt;=6,G4096&lt;=2,H4096&gt;=3),"PROMISING",AND(F4096&gt;=3,G4096&gt;=3,H4096&gt;=3),"NEED ATTENTION",AND(F4096&lt;=4,G4096&gt;=6,H4096&gt;=6),"AT RISK",AND(F4096&lt;=2,G4096&gt;=8,H4096&gt;=8),"CAN'T LOSE THEM",AND(F4096&lt;=2,G4096&lt;=2,H4096&lt;=2),"HIBERNATING",TRUE(),"Other")</f>
        <v>Other</v>
      </c>
      <c r="K4096" s="1" t="n">
        <f aca="false">RANK(E4096,$E$7:$E$4378)+COUNTIF($E$7:E4096,E4096)-1</f>
        <v>3908</v>
      </c>
    </row>
    <row r="4097" customFormat="false" ht="14.25" hidden="false" customHeight="true" outlineLevel="0" collapsed="false">
      <c r="A4097" s="51" t="n">
        <v>17899</v>
      </c>
      <c r="B4097" s="53" t="n">
        <v>40727.6236111111</v>
      </c>
      <c r="C4097" s="57" t="n">
        <f aca="false">INT($C$2)-INT(Table3[[#This Row],[Last Purchase Date]])</f>
        <v>160</v>
      </c>
      <c r="D4097" s="1" t="n">
        <v>1</v>
      </c>
      <c r="E4097" s="1" t="n">
        <v>155.8</v>
      </c>
      <c r="F4097" s="1" t="n">
        <f aca="false">ROUND((1-_xlfn.PERCENTRANK.INC($C$7:$C$4378,C4097))*9,0)</f>
        <v>2</v>
      </c>
      <c r="G4097" s="1" t="n">
        <f aca="false">ROUND(_xlfn.PERCENTRANK.INC($D$7:$D$4378,D4097)*9,0)</f>
        <v>0</v>
      </c>
      <c r="H4097" s="1" t="n">
        <f aca="false">ROUND(_xlfn.PERCENTRANK.INC($E$7:$E$4378,E4097)*9,0)</f>
        <v>1</v>
      </c>
      <c r="I4097" s="1" t="str">
        <f aca="false">CONCATENATE(F4097,G4097,H4097)</f>
        <v>201</v>
      </c>
      <c r="J4097" s="1" t="str">
        <f aca="false">_xlfn.IFS(AND(F4097&gt;=8,G4097&gt;=8,H4097&gt;=8),"CHAMPION",AND(F4097&gt;=6,G4097&gt;=7,H4097&gt;=6),"LOYAL CUSTOMER",AND(F4097&gt;=6,G4097&gt;=5,H4097&gt;=5),"POTENTIAL LOYALIST",AND(F4097&gt;=8,G4097&lt;=2,H4097&gt;=5),"NEW CUSTOMERS",AND(F4097&gt;=6,G4097&lt;=2,H4097&gt;=3),"PROMISING",AND(F4097&gt;=3,G4097&gt;=3,H4097&gt;=3),"NEED ATTENTION",AND(F4097&lt;=4,G4097&gt;=6,H4097&gt;=6),"AT RISK",AND(F4097&lt;=2,G4097&gt;=8,H4097&gt;=8),"CAN'T LOSE THEM",AND(F4097&lt;=2,G4097&lt;=2,H4097&lt;=2),"HIBERNATING",TRUE(),"Other")</f>
        <v>HIBERNATING</v>
      </c>
      <c r="K4097" s="1" t="n">
        <f aca="false">RANK(E4097,$E$7:$E$4378)+COUNTIF($E$7:E4097,E4097)-1</f>
        <v>3882</v>
      </c>
    </row>
    <row r="4098" customFormat="false" ht="14.25" hidden="false" customHeight="true" outlineLevel="0" collapsed="false">
      <c r="A4098" s="51" t="n">
        <v>17900</v>
      </c>
      <c r="B4098" s="53" t="n">
        <v>40722.50625</v>
      </c>
      <c r="C4098" s="57" t="n">
        <f aca="false">INT($C$2)-INT(Table3[[#This Row],[Last Purchase Date]])</f>
        <v>165</v>
      </c>
      <c r="D4098" s="1" t="n">
        <v>4</v>
      </c>
      <c r="E4098" s="1" t="n">
        <v>15</v>
      </c>
      <c r="F4098" s="1" t="n">
        <f aca="false">ROUND((1-_xlfn.PERCENTRANK.INC($C$7:$C$4378,C4098))*9,0)</f>
        <v>2</v>
      </c>
      <c r="G4098" s="1" t="n">
        <f aca="false">ROUND(_xlfn.PERCENTRANK.INC($D$7:$D$4378,D4098)*9,0)</f>
        <v>5</v>
      </c>
      <c r="H4098" s="1" t="n">
        <f aca="false">ROUND(_xlfn.PERCENTRANK.INC($E$7:$E$4378,E4098)*9,0)</f>
        <v>0</v>
      </c>
      <c r="I4098" s="1" t="str">
        <f aca="false">CONCATENATE(F4098,G4098,H4098)</f>
        <v>250</v>
      </c>
      <c r="J4098" s="1" t="str">
        <f aca="false">_xlfn.IFS(AND(F4098&gt;=8,G4098&gt;=8,H4098&gt;=8),"CHAMPION",AND(F4098&gt;=6,G4098&gt;=7,H4098&gt;=6),"LOYAL CUSTOMER",AND(F4098&gt;=6,G4098&gt;=5,H4098&gt;=5),"POTENTIAL LOYALIST",AND(F4098&gt;=8,G4098&lt;=2,H4098&gt;=5),"NEW CUSTOMERS",AND(F4098&gt;=6,G4098&lt;=2,H4098&gt;=3),"PROMISING",AND(F4098&gt;=3,G4098&gt;=3,H4098&gt;=3),"NEED ATTENTION",AND(F4098&lt;=4,G4098&gt;=6,H4098&gt;=6),"AT RISK",AND(F4098&lt;=2,G4098&gt;=8,H4098&gt;=8),"CAN'T LOSE THEM",AND(F4098&lt;=2,G4098&lt;=2,H4098&lt;=2),"HIBERNATING",TRUE(),"Other")</f>
        <v>Other</v>
      </c>
      <c r="K4098" s="1" t="n">
        <f aca="false">RANK(E4098,$E$7:$E$4378)+COUNTIF($E$7:E4098,E4098)-1</f>
        <v>4314</v>
      </c>
    </row>
    <row r="4099" customFormat="false" ht="14.25" hidden="false" customHeight="true" outlineLevel="0" collapsed="false">
      <c r="A4099" s="51" t="n">
        <v>17901</v>
      </c>
      <c r="B4099" s="53" t="n">
        <v>40857.7284722222</v>
      </c>
      <c r="C4099" s="57" t="n">
        <f aca="false">INT($C$2)-INT(Table3[[#This Row],[Last Purchase Date]])</f>
        <v>30</v>
      </c>
      <c r="D4099" s="1" t="n">
        <v>1</v>
      </c>
      <c r="E4099" s="1" t="n">
        <v>110.38</v>
      </c>
      <c r="F4099" s="1" t="n">
        <f aca="false">ROUND((1-_xlfn.PERCENTRANK.INC($C$7:$C$4378,C4099))*9,0)</f>
        <v>6</v>
      </c>
      <c r="G4099" s="1" t="n">
        <f aca="false">ROUND(_xlfn.PERCENTRANK.INC($D$7:$D$4378,D4099)*9,0)</f>
        <v>0</v>
      </c>
      <c r="H4099" s="1" t="n">
        <f aca="false">ROUND(_xlfn.PERCENTRANK.INC($E$7:$E$4378,E4099)*9,0)</f>
        <v>1</v>
      </c>
      <c r="I4099" s="1" t="str">
        <f aca="false">CONCATENATE(F4099,G4099,H4099)</f>
        <v>601</v>
      </c>
      <c r="J4099" s="1" t="str">
        <f aca="false">_xlfn.IFS(AND(F4099&gt;=8,G4099&gt;=8,H4099&gt;=8),"CHAMPION",AND(F4099&gt;=6,G4099&gt;=7,H4099&gt;=6),"LOYAL CUSTOMER",AND(F4099&gt;=6,G4099&gt;=5,H4099&gt;=5),"POTENTIAL LOYALIST",AND(F4099&gt;=8,G4099&lt;=2,H4099&gt;=5),"NEW CUSTOMERS",AND(F4099&gt;=6,G4099&lt;=2,H4099&gt;=3),"PROMISING",AND(F4099&gt;=3,G4099&gt;=3,H4099&gt;=3),"NEED ATTENTION",AND(F4099&lt;=4,G4099&gt;=6,H4099&gt;=6),"AT RISK",AND(F4099&lt;=2,G4099&gt;=8,H4099&gt;=8),"CAN'T LOSE THEM",AND(F4099&lt;=2,G4099&lt;=2,H4099&lt;=2),"HIBERNATING",TRUE(),"Other")</f>
        <v>Other</v>
      </c>
      <c r="K4099" s="1" t="n">
        <f aca="false">RANK(E4099,$E$7:$E$4378)+COUNTIF($E$7:E4099,E4099)-1</f>
        <v>4115</v>
      </c>
    </row>
    <row r="4100" customFormat="false" ht="14.25" hidden="false" customHeight="true" outlineLevel="0" collapsed="false">
      <c r="A4100" s="51" t="n">
        <v>17904</v>
      </c>
      <c r="B4100" s="53" t="n">
        <v>40865.58125</v>
      </c>
      <c r="C4100" s="57" t="n">
        <f aca="false">INT($C$2)-INT(Table3[[#This Row],[Last Purchase Date]])</f>
        <v>22</v>
      </c>
      <c r="D4100" s="1" t="n">
        <v>2</v>
      </c>
      <c r="E4100" s="1" t="n">
        <v>178.92</v>
      </c>
      <c r="F4100" s="1" t="n">
        <f aca="false">ROUND((1-_xlfn.PERCENTRANK.INC($C$7:$C$4378,C4100))*9,0)</f>
        <v>6</v>
      </c>
      <c r="G4100" s="1" t="n">
        <f aca="false">ROUND(_xlfn.PERCENTRANK.INC($D$7:$D$4378,D4100)*9,0)</f>
        <v>3</v>
      </c>
      <c r="H4100" s="1" t="n">
        <f aca="false">ROUND(_xlfn.PERCENTRANK.INC($E$7:$E$4378,E4100)*9,0)</f>
        <v>1</v>
      </c>
      <c r="I4100" s="1" t="str">
        <f aca="false">CONCATENATE(F4100,G4100,H4100)</f>
        <v>631</v>
      </c>
      <c r="J4100" s="1" t="str">
        <f aca="false">_xlfn.IFS(AND(F4100&gt;=8,G4100&gt;=8,H4100&gt;=8),"CHAMPION",AND(F4100&gt;=6,G4100&gt;=7,H4100&gt;=6),"LOYAL CUSTOMER",AND(F4100&gt;=6,G4100&gt;=5,H4100&gt;=5),"POTENTIAL LOYALIST",AND(F4100&gt;=8,G4100&lt;=2,H4100&gt;=5),"NEW CUSTOMERS",AND(F4100&gt;=6,G4100&lt;=2,H4100&gt;=3),"PROMISING",AND(F4100&gt;=3,G4100&gt;=3,H4100&gt;=3),"NEED ATTENTION",AND(F4100&lt;=4,G4100&gt;=6,H4100&gt;=6),"AT RISK",AND(F4100&lt;=2,G4100&gt;=8,H4100&gt;=8),"CAN'T LOSE THEM",AND(F4100&lt;=2,G4100&lt;=2,H4100&lt;=2),"HIBERNATING",TRUE(),"Other")</f>
        <v>Other</v>
      </c>
      <c r="K4100" s="1" t="n">
        <f aca="false">RANK(E4100,$E$7:$E$4378)+COUNTIF($E$7:E4100,E4100)-1</f>
        <v>3761</v>
      </c>
    </row>
    <row r="4101" customFormat="false" ht="14.25" hidden="false" customHeight="true" outlineLevel="0" collapsed="false">
      <c r="A4101" s="51" t="n">
        <v>17905</v>
      </c>
      <c r="B4101" s="53" t="n">
        <v>40815.73125</v>
      </c>
      <c r="C4101" s="57" t="n">
        <f aca="false">INT($C$2)-INT(Table3[[#This Row],[Last Purchase Date]])</f>
        <v>72</v>
      </c>
      <c r="D4101" s="1" t="n">
        <v>4</v>
      </c>
      <c r="E4101" s="1" t="n">
        <v>800.24</v>
      </c>
      <c r="F4101" s="1" t="n">
        <f aca="false">ROUND((1-_xlfn.PERCENTRANK.INC($C$7:$C$4378,C4101))*9,0)</f>
        <v>4</v>
      </c>
      <c r="G4101" s="1" t="n">
        <f aca="false">ROUND(_xlfn.PERCENTRANK.INC($D$7:$D$4378,D4101)*9,0)</f>
        <v>5</v>
      </c>
      <c r="H4101" s="1" t="n">
        <f aca="false">ROUND(_xlfn.PERCENTRANK.INC($E$7:$E$4378,E4101)*9,0)</f>
        <v>5</v>
      </c>
      <c r="I4101" s="1" t="str">
        <f aca="false">CONCATENATE(F4101,G4101,H4101)</f>
        <v>455</v>
      </c>
      <c r="J4101" s="1" t="str">
        <f aca="false">_xlfn.IFS(AND(F4101&gt;=8,G4101&gt;=8,H4101&gt;=8),"CHAMPION",AND(F4101&gt;=6,G4101&gt;=7,H4101&gt;=6),"LOYAL CUSTOMER",AND(F4101&gt;=6,G4101&gt;=5,H4101&gt;=5),"POTENTIAL LOYALIST",AND(F4101&gt;=8,G4101&lt;=2,H4101&gt;=5),"NEW CUSTOMERS",AND(F4101&gt;=6,G4101&lt;=2,H4101&gt;=3),"PROMISING",AND(F4101&gt;=3,G4101&gt;=3,H4101&gt;=3),"NEED ATTENTION",AND(F4101&lt;=4,G4101&gt;=6,H4101&gt;=6),"AT RISK",AND(F4101&lt;=2,G4101&gt;=8,H4101&gt;=8),"CAN'T LOSE THEM",AND(F4101&lt;=2,G4101&lt;=2,H4101&lt;=2),"HIBERNATING",TRUE(),"Other")</f>
        <v>NEED ATTENTION</v>
      </c>
      <c r="K4101" s="1" t="n">
        <f aca="false">RANK(E4101,$E$7:$E$4378)+COUNTIF($E$7:E4101,E4101)-1</f>
        <v>1899</v>
      </c>
    </row>
    <row r="4102" customFormat="false" ht="14.25" hidden="false" customHeight="true" outlineLevel="0" collapsed="false">
      <c r="A4102" s="51" t="n">
        <v>17906</v>
      </c>
      <c r="B4102" s="53" t="n">
        <v>40639.7256944445</v>
      </c>
      <c r="C4102" s="57" t="n">
        <f aca="false">INT($C$2)-INT(Table3[[#This Row],[Last Purchase Date]])</f>
        <v>248</v>
      </c>
      <c r="D4102" s="1" t="n">
        <v>1</v>
      </c>
      <c r="E4102" s="1" t="n">
        <v>72.9</v>
      </c>
      <c r="F4102" s="1" t="n">
        <f aca="false">ROUND((1-_xlfn.PERCENTRANK.INC($C$7:$C$4378,C4102))*9,0)</f>
        <v>1</v>
      </c>
      <c r="G4102" s="1" t="n">
        <f aca="false">ROUND(_xlfn.PERCENTRANK.INC($D$7:$D$4378,D4102)*9,0)</f>
        <v>0</v>
      </c>
      <c r="H4102" s="1" t="n">
        <f aca="false">ROUND(_xlfn.PERCENTRANK.INC($E$7:$E$4378,E4102)*9,0)</f>
        <v>0</v>
      </c>
      <c r="I4102" s="1" t="str">
        <f aca="false">CONCATENATE(F4102,G4102,H4102)</f>
        <v>100</v>
      </c>
      <c r="J4102" s="1" t="str">
        <f aca="false">_xlfn.IFS(AND(F4102&gt;=8,G4102&gt;=8,H4102&gt;=8),"CHAMPION",AND(F4102&gt;=6,G4102&gt;=7,H4102&gt;=6),"LOYAL CUSTOMER",AND(F4102&gt;=6,G4102&gt;=5,H4102&gt;=5),"POTENTIAL LOYALIST",AND(F4102&gt;=8,G4102&lt;=2,H4102&gt;=5),"NEW CUSTOMERS",AND(F4102&gt;=6,G4102&lt;=2,H4102&gt;=3),"PROMISING",AND(F4102&gt;=3,G4102&gt;=3,H4102&gt;=3),"NEED ATTENTION",AND(F4102&lt;=4,G4102&gt;=6,H4102&gt;=6),"AT RISK",AND(F4102&lt;=2,G4102&gt;=8,H4102&gt;=8),"CAN'T LOSE THEM",AND(F4102&lt;=2,G4102&lt;=2,H4102&lt;=2),"HIBERNATING",TRUE(),"Other")</f>
        <v>HIBERNATING</v>
      </c>
      <c r="K4102" s="1" t="n">
        <f aca="false">RANK(E4102,$E$7:$E$4378)+COUNTIF($E$7:E4102,E4102)-1</f>
        <v>4243</v>
      </c>
    </row>
    <row r="4103" customFormat="false" ht="14.25" hidden="false" customHeight="true" outlineLevel="0" collapsed="false">
      <c r="A4103" s="51" t="n">
        <v>17908</v>
      </c>
      <c r="B4103" s="53" t="n">
        <v>40513.4895833333</v>
      </c>
      <c r="C4103" s="57" t="n">
        <f aca="false">INT($C$2)-INT(Table3[[#This Row],[Last Purchase Date]])</f>
        <v>374</v>
      </c>
      <c r="D4103" s="1" t="n">
        <v>1</v>
      </c>
      <c r="E4103" s="1" t="n">
        <v>243.28</v>
      </c>
      <c r="F4103" s="1" t="n">
        <f aca="false">ROUND((1-_xlfn.PERCENTRANK.INC($C$7:$C$4378,C4103))*9,0)</f>
        <v>0</v>
      </c>
      <c r="G4103" s="1" t="n">
        <f aca="false">ROUND(_xlfn.PERCENTRANK.INC($D$7:$D$4378,D4103)*9,0)</f>
        <v>0</v>
      </c>
      <c r="H4103" s="1" t="n">
        <f aca="false">ROUND(_xlfn.PERCENTRANK.INC($E$7:$E$4378,E4103)*9,0)</f>
        <v>2</v>
      </c>
      <c r="I4103" s="1" t="str">
        <f aca="false">CONCATENATE(F4103,G4103,H4103)</f>
        <v>002</v>
      </c>
      <c r="J4103" s="1" t="str">
        <f aca="false">_xlfn.IFS(AND(F4103&gt;=8,G4103&gt;=8,H4103&gt;=8),"CHAMPION",AND(F4103&gt;=6,G4103&gt;=7,H4103&gt;=6),"LOYAL CUSTOMER",AND(F4103&gt;=6,G4103&gt;=5,H4103&gt;=5),"POTENTIAL LOYALIST",AND(F4103&gt;=8,G4103&lt;=2,H4103&gt;=5),"NEW CUSTOMERS",AND(F4103&gt;=6,G4103&lt;=2,H4103&gt;=3),"PROMISING",AND(F4103&gt;=3,G4103&gt;=3,H4103&gt;=3),"NEED ATTENTION",AND(F4103&lt;=4,G4103&gt;=6,H4103&gt;=6),"AT RISK",AND(F4103&lt;=2,G4103&gt;=8,H4103&gt;=8),"CAN'T LOSE THEM",AND(F4103&lt;=2,G4103&lt;=2,H4103&lt;=2),"HIBERNATING",TRUE(),"Other")</f>
        <v>HIBERNATING</v>
      </c>
      <c r="K4103" s="1" t="n">
        <f aca="false">RANK(E4103,$E$7:$E$4378)+COUNTIF($E$7:E4103,E4103)-1</f>
        <v>3470</v>
      </c>
    </row>
    <row r="4104" customFormat="false" ht="14.25" hidden="false" customHeight="true" outlineLevel="0" collapsed="false">
      <c r="A4104" s="51" t="n">
        <v>17911</v>
      </c>
      <c r="B4104" s="53" t="n">
        <v>40877.6194444444</v>
      </c>
      <c r="C4104" s="57" t="n">
        <f aca="false">INT($C$2)-INT(Table3[[#This Row],[Last Purchase Date]])</f>
        <v>10</v>
      </c>
      <c r="D4104" s="1" t="n">
        <v>1</v>
      </c>
      <c r="E4104" s="1" t="n">
        <v>366.23</v>
      </c>
      <c r="F4104" s="1" t="n">
        <f aca="false">ROUND((1-_xlfn.PERCENTRANK.INC($C$7:$C$4378,C4104))*9,0)</f>
        <v>8</v>
      </c>
      <c r="G4104" s="1" t="n">
        <f aca="false">ROUND(_xlfn.PERCENTRANK.INC($D$7:$D$4378,D4104)*9,0)</f>
        <v>0</v>
      </c>
      <c r="H4104" s="1" t="n">
        <f aca="false">ROUND(_xlfn.PERCENTRANK.INC($E$7:$E$4378,E4104)*9,0)</f>
        <v>3</v>
      </c>
      <c r="I4104" s="1" t="str">
        <f aca="false">CONCATENATE(F4104,G4104,H4104)</f>
        <v>803</v>
      </c>
      <c r="J4104" s="1" t="str">
        <f aca="false">_xlfn.IFS(AND(F4104&gt;=8,G4104&gt;=8,H4104&gt;=8),"CHAMPION",AND(F4104&gt;=6,G4104&gt;=7,H4104&gt;=6),"LOYAL CUSTOMER",AND(F4104&gt;=6,G4104&gt;=5,H4104&gt;=5),"POTENTIAL LOYALIST",AND(F4104&gt;=8,G4104&lt;=2,H4104&gt;=5),"NEW CUSTOMERS",AND(F4104&gt;=6,G4104&lt;=2,H4104&gt;=3),"PROMISING",AND(F4104&gt;=3,G4104&gt;=3,H4104&gt;=3),"NEED ATTENTION",AND(F4104&lt;=4,G4104&gt;=6,H4104&gt;=6),"AT RISK",AND(F4104&lt;=2,G4104&gt;=8,H4104&gt;=8),"CAN'T LOSE THEM",AND(F4104&lt;=2,G4104&lt;=2,H4104&lt;=2),"HIBERNATING",TRUE(),"Other")</f>
        <v>PROMISING</v>
      </c>
      <c r="K4104" s="1" t="n">
        <f aca="false">RANK(E4104,$E$7:$E$4378)+COUNTIF($E$7:E4104,E4104)-1</f>
        <v>2933</v>
      </c>
    </row>
    <row r="4105" customFormat="false" ht="14.25" hidden="false" customHeight="true" outlineLevel="0" collapsed="false">
      <c r="A4105" s="51" t="n">
        <v>17912</v>
      </c>
      <c r="B4105" s="53" t="n">
        <v>40576.6006944445</v>
      </c>
      <c r="C4105" s="57" t="n">
        <f aca="false">INT($C$2)-INT(Table3[[#This Row],[Last Purchase Date]])</f>
        <v>311</v>
      </c>
      <c r="D4105" s="1" t="n">
        <v>6</v>
      </c>
      <c r="E4105" s="1" t="n">
        <v>295.61</v>
      </c>
      <c r="F4105" s="1" t="n">
        <f aca="false">ROUND((1-_xlfn.PERCENTRANK.INC($C$7:$C$4378,C4105))*9,0)</f>
        <v>0</v>
      </c>
      <c r="G4105" s="1" t="n">
        <f aca="false">ROUND(_xlfn.PERCENTRANK.INC($D$7:$D$4378,D4105)*9,0)</f>
        <v>7</v>
      </c>
      <c r="H4105" s="1" t="n">
        <f aca="false">ROUND(_xlfn.PERCENTRANK.INC($E$7:$E$4378,E4105)*9,0)</f>
        <v>2</v>
      </c>
      <c r="I4105" s="1" t="str">
        <f aca="false">CONCATENATE(F4105,G4105,H4105)</f>
        <v>072</v>
      </c>
      <c r="J4105" s="1" t="str">
        <f aca="false">_xlfn.IFS(AND(F4105&gt;=8,G4105&gt;=8,H4105&gt;=8),"CHAMPION",AND(F4105&gt;=6,G4105&gt;=7,H4105&gt;=6),"LOYAL CUSTOMER",AND(F4105&gt;=6,G4105&gt;=5,H4105&gt;=5),"POTENTIAL LOYALIST",AND(F4105&gt;=8,G4105&lt;=2,H4105&gt;=5),"NEW CUSTOMERS",AND(F4105&gt;=6,G4105&lt;=2,H4105&gt;=3),"PROMISING",AND(F4105&gt;=3,G4105&gt;=3,H4105&gt;=3),"NEED ATTENTION",AND(F4105&lt;=4,G4105&gt;=6,H4105&gt;=6),"AT RISK",AND(F4105&lt;=2,G4105&gt;=8,H4105&gt;=8),"CAN'T LOSE THEM",AND(F4105&lt;=2,G4105&lt;=2,H4105&lt;=2),"HIBERNATING",TRUE(),"Other")</f>
        <v>Other</v>
      </c>
      <c r="K4105" s="1" t="n">
        <f aca="false">RANK(E4105,$E$7:$E$4378)+COUNTIF($E$7:E4105,E4105)-1</f>
        <v>3273</v>
      </c>
    </row>
    <row r="4106" customFormat="false" ht="14.25" hidden="false" customHeight="true" outlineLevel="0" collapsed="false">
      <c r="A4106" s="51" t="n">
        <v>17913</v>
      </c>
      <c r="B4106" s="53" t="n">
        <v>40828.4479166667</v>
      </c>
      <c r="C4106" s="57" t="n">
        <f aca="false">INT($C$2)-INT(Table3[[#This Row],[Last Purchase Date]])</f>
        <v>59</v>
      </c>
      <c r="D4106" s="1" t="n">
        <v>2</v>
      </c>
      <c r="E4106" s="1" t="n">
        <v>411.6</v>
      </c>
      <c r="F4106" s="1" t="n">
        <f aca="false">ROUND((1-_xlfn.PERCENTRANK.INC($C$7:$C$4378,C4106))*9,0)</f>
        <v>4</v>
      </c>
      <c r="G4106" s="1" t="n">
        <f aca="false">ROUND(_xlfn.PERCENTRANK.INC($D$7:$D$4378,D4106)*9,0)</f>
        <v>3</v>
      </c>
      <c r="H4106" s="1" t="n">
        <f aca="false">ROUND(_xlfn.PERCENTRANK.INC($E$7:$E$4378,E4106)*9,0)</f>
        <v>3</v>
      </c>
      <c r="I4106" s="1" t="str">
        <f aca="false">CONCATENATE(F4106,G4106,H4106)</f>
        <v>433</v>
      </c>
      <c r="J4106" s="1" t="str">
        <f aca="false">_xlfn.IFS(AND(F4106&gt;=8,G4106&gt;=8,H4106&gt;=8),"CHAMPION",AND(F4106&gt;=6,G4106&gt;=7,H4106&gt;=6),"LOYAL CUSTOMER",AND(F4106&gt;=6,G4106&gt;=5,H4106&gt;=5),"POTENTIAL LOYALIST",AND(F4106&gt;=8,G4106&lt;=2,H4106&gt;=5),"NEW CUSTOMERS",AND(F4106&gt;=6,G4106&lt;=2,H4106&gt;=3),"PROMISING",AND(F4106&gt;=3,G4106&gt;=3,H4106&gt;=3),"NEED ATTENTION",AND(F4106&lt;=4,G4106&gt;=6,H4106&gt;=6),"AT RISK",AND(F4106&lt;=2,G4106&gt;=8,H4106&gt;=8),"CAN'T LOSE THEM",AND(F4106&lt;=2,G4106&lt;=2,H4106&lt;=2),"HIBERNATING",TRUE(),"Other")</f>
        <v>NEED ATTENTION</v>
      </c>
      <c r="K4106" s="1" t="n">
        <f aca="false">RANK(E4106,$E$7:$E$4378)+COUNTIF($E$7:E4106,E4106)-1</f>
        <v>2784</v>
      </c>
    </row>
    <row r="4107" customFormat="false" ht="14.25" hidden="false" customHeight="true" outlineLevel="0" collapsed="false">
      <c r="A4107" s="51" t="n">
        <v>17914</v>
      </c>
      <c r="B4107" s="53" t="n">
        <v>40883.4986111111</v>
      </c>
      <c r="C4107" s="57" t="n">
        <f aca="false">INT($C$2)-INT(Table3[[#This Row],[Last Purchase Date]])</f>
        <v>4</v>
      </c>
      <c r="D4107" s="1" t="n">
        <v>1</v>
      </c>
      <c r="E4107" s="1" t="n">
        <v>336.43</v>
      </c>
      <c r="F4107" s="1" t="n">
        <f aca="false">ROUND((1-_xlfn.PERCENTRANK.INC($C$7:$C$4378,C4107))*9,0)</f>
        <v>8</v>
      </c>
      <c r="G4107" s="1" t="n">
        <f aca="false">ROUND(_xlfn.PERCENTRANK.INC($D$7:$D$4378,D4107)*9,0)</f>
        <v>0</v>
      </c>
      <c r="H4107" s="1" t="n">
        <f aca="false">ROUND(_xlfn.PERCENTRANK.INC($E$7:$E$4378,E4107)*9,0)</f>
        <v>3</v>
      </c>
      <c r="I4107" s="1" t="str">
        <f aca="false">CONCATENATE(F4107,G4107,H4107)</f>
        <v>803</v>
      </c>
      <c r="J4107" s="1" t="str">
        <f aca="false">_xlfn.IFS(AND(F4107&gt;=8,G4107&gt;=8,H4107&gt;=8),"CHAMPION",AND(F4107&gt;=6,G4107&gt;=7,H4107&gt;=6),"LOYAL CUSTOMER",AND(F4107&gt;=6,G4107&gt;=5,H4107&gt;=5),"POTENTIAL LOYALIST",AND(F4107&gt;=8,G4107&lt;=2,H4107&gt;=5),"NEW CUSTOMERS",AND(F4107&gt;=6,G4107&lt;=2,H4107&gt;=3),"PROMISING",AND(F4107&gt;=3,G4107&gt;=3,H4107&gt;=3),"NEED ATTENTION",AND(F4107&lt;=4,G4107&gt;=6,H4107&gt;=6),"AT RISK",AND(F4107&lt;=2,G4107&gt;=8,H4107&gt;=8),"CAN'T LOSE THEM",AND(F4107&lt;=2,G4107&lt;=2,H4107&lt;=2),"HIBERNATING",TRUE(),"Other")</f>
        <v>PROMISING</v>
      </c>
      <c r="K4107" s="1" t="n">
        <f aca="false">RANK(E4107,$E$7:$E$4378)+COUNTIF($E$7:E4107,E4107)-1</f>
        <v>3064</v>
      </c>
    </row>
    <row r="4108" customFormat="false" ht="14.25" hidden="false" customHeight="true" outlineLevel="0" collapsed="false">
      <c r="A4108" s="51" t="n">
        <v>17917</v>
      </c>
      <c r="B4108" s="53" t="n">
        <v>40841.5555555556</v>
      </c>
      <c r="C4108" s="57" t="n">
        <f aca="false">INT($C$2)-INT(Table3[[#This Row],[Last Purchase Date]])</f>
        <v>46</v>
      </c>
      <c r="D4108" s="1" t="n">
        <v>3</v>
      </c>
      <c r="E4108" s="1" t="n">
        <v>341.28</v>
      </c>
      <c r="F4108" s="1" t="n">
        <f aca="false">ROUND((1-_xlfn.PERCENTRANK.INC($C$7:$C$4378,C4108))*9,0)</f>
        <v>5</v>
      </c>
      <c r="G4108" s="1" t="n">
        <f aca="false">ROUND(_xlfn.PERCENTRANK.INC($D$7:$D$4378,D4108)*9,0)</f>
        <v>4</v>
      </c>
      <c r="H4108" s="1" t="n">
        <f aca="false">ROUND(_xlfn.PERCENTRANK.INC($E$7:$E$4378,E4108)*9,0)</f>
        <v>3</v>
      </c>
      <c r="I4108" s="1" t="str">
        <f aca="false">CONCATENATE(F4108,G4108,H4108)</f>
        <v>543</v>
      </c>
      <c r="J4108" s="1" t="str">
        <f aca="false">_xlfn.IFS(AND(F4108&gt;=8,G4108&gt;=8,H4108&gt;=8),"CHAMPION",AND(F4108&gt;=6,G4108&gt;=7,H4108&gt;=6),"LOYAL CUSTOMER",AND(F4108&gt;=6,G4108&gt;=5,H4108&gt;=5),"POTENTIAL LOYALIST",AND(F4108&gt;=8,G4108&lt;=2,H4108&gt;=5),"NEW CUSTOMERS",AND(F4108&gt;=6,G4108&lt;=2,H4108&gt;=3),"PROMISING",AND(F4108&gt;=3,G4108&gt;=3,H4108&gt;=3),"NEED ATTENTION",AND(F4108&lt;=4,G4108&gt;=6,H4108&gt;=6),"AT RISK",AND(F4108&lt;=2,G4108&gt;=8,H4108&gt;=8),"CAN'T LOSE THEM",AND(F4108&lt;=2,G4108&lt;=2,H4108&lt;=2),"HIBERNATING",TRUE(),"Other")</f>
        <v>NEED ATTENTION</v>
      </c>
      <c r="K4108" s="1" t="n">
        <f aca="false">RANK(E4108,$E$7:$E$4378)+COUNTIF($E$7:E4108,E4108)-1</f>
        <v>3048</v>
      </c>
    </row>
    <row r="4109" customFormat="false" ht="14.25" hidden="false" customHeight="true" outlineLevel="0" collapsed="false">
      <c r="A4109" s="51" t="n">
        <v>17919</v>
      </c>
      <c r="B4109" s="53" t="n">
        <v>40798.5701388889</v>
      </c>
      <c r="C4109" s="57" t="n">
        <f aca="false">INT($C$2)-INT(Table3[[#This Row],[Last Purchase Date]])</f>
        <v>89</v>
      </c>
      <c r="D4109" s="1" t="n">
        <v>1</v>
      </c>
      <c r="E4109" s="1" t="n">
        <v>1304.04</v>
      </c>
      <c r="F4109" s="1" t="n">
        <f aca="false">ROUND((1-_xlfn.PERCENTRANK.INC($C$7:$C$4378,C4109))*9,0)</f>
        <v>3</v>
      </c>
      <c r="G4109" s="1" t="n">
        <f aca="false">ROUND(_xlfn.PERCENTRANK.INC($D$7:$D$4378,D4109)*9,0)</f>
        <v>0</v>
      </c>
      <c r="H4109" s="1" t="n">
        <f aca="false">ROUND(_xlfn.PERCENTRANK.INC($E$7:$E$4378,E4109)*9,0)</f>
        <v>6</v>
      </c>
      <c r="I4109" s="1" t="str">
        <f aca="false">CONCATENATE(F4109,G4109,H4109)</f>
        <v>306</v>
      </c>
      <c r="J4109" s="1" t="str">
        <f aca="false">_xlfn.IFS(AND(F4109&gt;=8,G4109&gt;=8,H4109&gt;=8),"CHAMPION",AND(F4109&gt;=6,G4109&gt;=7,H4109&gt;=6),"LOYAL CUSTOMER",AND(F4109&gt;=6,G4109&gt;=5,H4109&gt;=5),"POTENTIAL LOYALIST",AND(F4109&gt;=8,G4109&lt;=2,H4109&gt;=5),"NEW CUSTOMERS",AND(F4109&gt;=6,G4109&lt;=2,H4109&gt;=3),"PROMISING",AND(F4109&gt;=3,G4109&gt;=3,H4109&gt;=3),"NEED ATTENTION",AND(F4109&lt;=4,G4109&gt;=6,H4109&gt;=6),"AT RISK",AND(F4109&lt;=2,G4109&gt;=8,H4109&gt;=8),"CAN'T LOSE THEM",AND(F4109&lt;=2,G4109&lt;=2,H4109&lt;=2),"HIBERNATING",TRUE(),"Other")</f>
        <v>Other</v>
      </c>
      <c r="K4109" s="1" t="n">
        <f aca="false">RANK(E4109,$E$7:$E$4378)+COUNTIF($E$7:E4109,E4109)-1</f>
        <v>1323</v>
      </c>
    </row>
    <row r="4110" customFormat="false" ht="14.25" hidden="false" customHeight="true" outlineLevel="0" collapsed="false">
      <c r="A4110" s="51" t="n">
        <v>17920</v>
      </c>
      <c r="B4110" s="53" t="n">
        <v>40882.6034722222</v>
      </c>
      <c r="C4110" s="57" t="n">
        <f aca="false">INT($C$2)-INT(Table3[[#This Row],[Last Purchase Date]])</f>
        <v>5</v>
      </c>
      <c r="D4110" s="1" t="n">
        <v>17</v>
      </c>
      <c r="E4110" s="1" t="n">
        <v>4204.09999999999</v>
      </c>
      <c r="F4110" s="1" t="n">
        <f aca="false">ROUND((1-_xlfn.PERCENTRANK.INC($C$7:$C$4378,C4110))*9,0)</f>
        <v>8</v>
      </c>
      <c r="G4110" s="1" t="n">
        <f aca="false">ROUND(_xlfn.PERCENTRANK.INC($D$7:$D$4378,D4110)*9,0)</f>
        <v>9</v>
      </c>
      <c r="H4110" s="1" t="n">
        <f aca="false">ROUND(_xlfn.PERCENTRANK.INC($E$7:$E$4378,E4110)*9,0)</f>
        <v>8</v>
      </c>
      <c r="I4110" s="1" t="str">
        <f aca="false">CONCATENATE(F4110,G4110,H4110)</f>
        <v>898</v>
      </c>
      <c r="J4110" s="1" t="str">
        <f aca="false">_xlfn.IFS(AND(F4110&gt;=8,G4110&gt;=8,H4110&gt;=8),"CHAMPION",AND(F4110&gt;=6,G4110&gt;=7,H4110&gt;=6),"LOYAL CUSTOMER",AND(F4110&gt;=6,G4110&gt;=5,H4110&gt;=5),"POTENTIAL LOYALIST",AND(F4110&gt;=8,G4110&lt;=2,H4110&gt;=5),"NEW CUSTOMERS",AND(F4110&gt;=6,G4110&lt;=2,H4110&gt;=3),"PROMISING",AND(F4110&gt;=3,G4110&gt;=3,H4110&gt;=3),"NEED ATTENTION",AND(F4110&lt;=4,G4110&gt;=6,H4110&gt;=6),"AT RISK",AND(F4110&lt;=2,G4110&gt;=8,H4110&gt;=8),"CAN'T LOSE THEM",AND(F4110&lt;=2,G4110&lt;=2,H4110&lt;=2),"HIBERNATING",TRUE(),"Other")</f>
        <v>CHAMPION</v>
      </c>
      <c r="K4110" s="1" t="n">
        <f aca="false">RANK(E4110,$E$7:$E$4378)+COUNTIF($E$7:E4110,E4110)-1</f>
        <v>329</v>
      </c>
    </row>
    <row r="4111" customFormat="false" ht="14.25" hidden="false" customHeight="true" outlineLevel="0" collapsed="false">
      <c r="A4111" s="51" t="n">
        <v>17921</v>
      </c>
      <c r="B4111" s="53" t="n">
        <v>40822.7888888889</v>
      </c>
      <c r="C4111" s="57" t="n">
        <f aca="false">INT($C$2)-INT(Table3[[#This Row],[Last Purchase Date]])</f>
        <v>65</v>
      </c>
      <c r="D4111" s="1" t="n">
        <v>4</v>
      </c>
      <c r="E4111" s="1" t="n">
        <v>826.52</v>
      </c>
      <c r="F4111" s="1" t="n">
        <f aca="false">ROUND((1-_xlfn.PERCENTRANK.INC($C$7:$C$4378,C4111))*9,0)</f>
        <v>4</v>
      </c>
      <c r="G4111" s="1" t="n">
        <f aca="false">ROUND(_xlfn.PERCENTRANK.INC($D$7:$D$4378,D4111)*9,0)</f>
        <v>5</v>
      </c>
      <c r="H4111" s="1" t="n">
        <f aca="false">ROUND(_xlfn.PERCENTRANK.INC($E$7:$E$4378,E4111)*9,0)</f>
        <v>5</v>
      </c>
      <c r="I4111" s="1" t="str">
        <f aca="false">CONCATENATE(F4111,G4111,H4111)</f>
        <v>455</v>
      </c>
      <c r="J4111" s="1" t="str">
        <f aca="false">_xlfn.IFS(AND(F4111&gt;=8,G4111&gt;=8,H4111&gt;=8),"CHAMPION",AND(F4111&gt;=6,G4111&gt;=7,H4111&gt;=6),"LOYAL CUSTOMER",AND(F4111&gt;=6,G4111&gt;=5,H4111&gt;=5),"POTENTIAL LOYALIST",AND(F4111&gt;=8,G4111&lt;=2,H4111&gt;=5),"NEW CUSTOMERS",AND(F4111&gt;=6,G4111&lt;=2,H4111&gt;=3),"PROMISING",AND(F4111&gt;=3,G4111&gt;=3,H4111&gt;=3),"NEED ATTENTION",AND(F4111&lt;=4,G4111&gt;=6,H4111&gt;=6),"AT RISK",AND(F4111&lt;=2,G4111&gt;=8,H4111&gt;=8),"CAN'T LOSE THEM",AND(F4111&lt;=2,G4111&lt;=2,H4111&lt;=2),"HIBERNATING",TRUE(),"Other")</f>
        <v>NEED ATTENTION</v>
      </c>
      <c r="K4111" s="1" t="n">
        <f aca="false">RANK(E4111,$E$7:$E$4378)+COUNTIF($E$7:E4111,E4111)-1</f>
        <v>1859</v>
      </c>
    </row>
    <row r="4112" customFormat="false" ht="14.25" hidden="false" customHeight="true" outlineLevel="0" collapsed="false">
      <c r="A4112" s="51" t="n">
        <v>17923</v>
      </c>
      <c r="B4112" s="53" t="n">
        <v>40604.6354166667</v>
      </c>
      <c r="C4112" s="57" t="n">
        <f aca="false">INT($C$2)-INT(Table3[[#This Row],[Last Purchase Date]])</f>
        <v>283</v>
      </c>
      <c r="D4112" s="1" t="n">
        <v>1</v>
      </c>
      <c r="E4112" s="1" t="n">
        <v>207.5</v>
      </c>
      <c r="F4112" s="1" t="n">
        <f aca="false">ROUND((1-_xlfn.PERCENTRANK.INC($C$7:$C$4378,C4112))*9,0)</f>
        <v>1</v>
      </c>
      <c r="G4112" s="1" t="n">
        <f aca="false">ROUND(_xlfn.PERCENTRANK.INC($D$7:$D$4378,D4112)*9,0)</f>
        <v>0</v>
      </c>
      <c r="H4112" s="1" t="n">
        <f aca="false">ROUND(_xlfn.PERCENTRANK.INC($E$7:$E$4378,E4112)*9,0)</f>
        <v>2</v>
      </c>
      <c r="I4112" s="1" t="str">
        <f aca="false">CONCATENATE(F4112,G4112,H4112)</f>
        <v>102</v>
      </c>
      <c r="J4112" s="1" t="str">
        <f aca="false">_xlfn.IFS(AND(F4112&gt;=8,G4112&gt;=8,H4112&gt;=8),"CHAMPION",AND(F4112&gt;=6,G4112&gt;=7,H4112&gt;=6),"LOYAL CUSTOMER",AND(F4112&gt;=6,G4112&gt;=5,H4112&gt;=5),"POTENTIAL LOYALIST",AND(F4112&gt;=8,G4112&lt;=2,H4112&gt;=5),"NEW CUSTOMERS",AND(F4112&gt;=6,G4112&lt;=2,H4112&gt;=3),"PROMISING",AND(F4112&gt;=3,G4112&gt;=3,H4112&gt;=3),"NEED ATTENTION",AND(F4112&lt;=4,G4112&gt;=6,H4112&gt;=6),"AT RISK",AND(F4112&lt;=2,G4112&gt;=8,H4112&gt;=8),"CAN'T LOSE THEM",AND(F4112&lt;=2,G4112&lt;=2,H4112&lt;=2),"HIBERNATING",TRUE(),"Other")</f>
        <v>HIBERNATING</v>
      </c>
      <c r="K4112" s="1" t="n">
        <f aca="false">RANK(E4112,$E$7:$E$4378)+COUNTIF($E$7:E4112,E4112)-1</f>
        <v>3625</v>
      </c>
    </row>
    <row r="4113" customFormat="false" ht="14.25" hidden="false" customHeight="true" outlineLevel="0" collapsed="false">
      <c r="A4113" s="51" t="n">
        <v>17924</v>
      </c>
      <c r="B4113" s="53" t="n">
        <v>40885.8111111111</v>
      </c>
      <c r="C4113" s="57" t="n">
        <f aca="false">INT($C$2)-INT(Table3[[#This Row],[Last Purchase Date]])</f>
        <v>2</v>
      </c>
      <c r="D4113" s="1" t="n">
        <v>13</v>
      </c>
      <c r="E4113" s="1" t="n">
        <v>2894.33</v>
      </c>
      <c r="F4113" s="1" t="n">
        <f aca="false">ROUND((1-_xlfn.PERCENTRANK.INC($C$7:$C$4378,C4113))*9,0)</f>
        <v>9</v>
      </c>
      <c r="G4113" s="1" t="n">
        <f aca="false">ROUND(_xlfn.PERCENTRANK.INC($D$7:$D$4378,D4113)*9,0)</f>
        <v>8</v>
      </c>
      <c r="H4113" s="1" t="n">
        <f aca="false">ROUND(_xlfn.PERCENTRANK.INC($E$7:$E$4378,E4113)*9,0)</f>
        <v>8</v>
      </c>
      <c r="I4113" s="1" t="str">
        <f aca="false">CONCATENATE(F4113,G4113,H4113)</f>
        <v>988</v>
      </c>
      <c r="J4113" s="1" t="str">
        <f aca="false">_xlfn.IFS(AND(F4113&gt;=8,G4113&gt;=8,H4113&gt;=8),"CHAMPION",AND(F4113&gt;=6,G4113&gt;=7,H4113&gt;=6),"LOYAL CUSTOMER",AND(F4113&gt;=6,G4113&gt;=5,H4113&gt;=5),"POTENTIAL LOYALIST",AND(F4113&gt;=8,G4113&lt;=2,H4113&gt;=5),"NEW CUSTOMERS",AND(F4113&gt;=6,G4113&lt;=2,H4113&gt;=3),"PROMISING",AND(F4113&gt;=3,G4113&gt;=3,H4113&gt;=3),"NEED ATTENTION",AND(F4113&lt;=4,G4113&gt;=6,H4113&gt;=6),"AT RISK",AND(F4113&lt;=2,G4113&gt;=8,H4113&gt;=8),"CAN'T LOSE THEM",AND(F4113&lt;=2,G4113&lt;=2,H4113&lt;=2),"HIBERNATING",TRUE(),"Other")</f>
        <v>CHAMPION</v>
      </c>
      <c r="K4113" s="1" t="n">
        <f aca="false">RANK(E4113,$E$7:$E$4378)+COUNTIF($E$7:E4113,E4113)-1</f>
        <v>563</v>
      </c>
    </row>
    <row r="4114" customFormat="false" ht="14.25" hidden="false" customHeight="true" outlineLevel="0" collapsed="false">
      <c r="A4114" s="51" t="n">
        <v>17925</v>
      </c>
      <c r="B4114" s="53" t="n">
        <v>40514.4236111111</v>
      </c>
      <c r="C4114" s="57" t="n">
        <f aca="false">INT($C$2)-INT(Table3[[#This Row],[Last Purchase Date]])</f>
        <v>373</v>
      </c>
      <c r="D4114" s="1" t="n">
        <v>1</v>
      </c>
      <c r="E4114" s="1" t="n">
        <v>244.08</v>
      </c>
      <c r="F4114" s="1" t="n">
        <f aca="false">ROUND((1-_xlfn.PERCENTRANK.INC($C$7:$C$4378,C4114))*9,0)</f>
        <v>0</v>
      </c>
      <c r="G4114" s="1" t="n">
        <f aca="false">ROUND(_xlfn.PERCENTRANK.INC($D$7:$D$4378,D4114)*9,0)</f>
        <v>0</v>
      </c>
      <c r="H4114" s="1" t="n">
        <f aca="false">ROUND(_xlfn.PERCENTRANK.INC($E$7:$E$4378,E4114)*9,0)</f>
        <v>2</v>
      </c>
      <c r="I4114" s="1" t="str">
        <f aca="false">CONCATENATE(F4114,G4114,H4114)</f>
        <v>002</v>
      </c>
      <c r="J4114" s="1" t="str">
        <f aca="false">_xlfn.IFS(AND(F4114&gt;=8,G4114&gt;=8,H4114&gt;=8),"CHAMPION",AND(F4114&gt;=6,G4114&gt;=7,H4114&gt;=6),"LOYAL CUSTOMER",AND(F4114&gt;=6,G4114&gt;=5,H4114&gt;=5),"POTENTIAL LOYALIST",AND(F4114&gt;=8,G4114&lt;=2,H4114&gt;=5),"NEW CUSTOMERS",AND(F4114&gt;=6,G4114&lt;=2,H4114&gt;=3),"PROMISING",AND(F4114&gt;=3,G4114&gt;=3,H4114&gt;=3),"NEED ATTENTION",AND(F4114&lt;=4,G4114&gt;=6,H4114&gt;=6),"AT RISK",AND(F4114&lt;=2,G4114&gt;=8,H4114&gt;=8),"CAN'T LOSE THEM",AND(F4114&lt;=2,G4114&lt;=2,H4114&lt;=2),"HIBERNATING",TRUE(),"Other")</f>
        <v>HIBERNATING</v>
      </c>
      <c r="K4114" s="1" t="n">
        <f aca="false">RANK(E4114,$E$7:$E$4378)+COUNTIF($E$7:E4114,E4114)-1</f>
        <v>3463</v>
      </c>
    </row>
    <row r="4115" customFormat="false" ht="14.25" hidden="false" customHeight="true" outlineLevel="0" collapsed="false">
      <c r="A4115" s="51" t="n">
        <v>17926</v>
      </c>
      <c r="B4115" s="53" t="n">
        <v>40753.6104166667</v>
      </c>
      <c r="C4115" s="57" t="n">
        <f aca="false">INT($C$2)-INT(Table3[[#This Row],[Last Purchase Date]])</f>
        <v>134</v>
      </c>
      <c r="D4115" s="1" t="n">
        <v>2</v>
      </c>
      <c r="E4115" s="1" t="n">
        <v>397.29</v>
      </c>
      <c r="F4115" s="1" t="n">
        <f aca="false">ROUND((1-_xlfn.PERCENTRANK.INC($C$7:$C$4378,C4115))*9,0)</f>
        <v>2</v>
      </c>
      <c r="G4115" s="1" t="n">
        <f aca="false">ROUND(_xlfn.PERCENTRANK.INC($D$7:$D$4378,D4115)*9,0)</f>
        <v>3</v>
      </c>
      <c r="H4115" s="1" t="n">
        <f aca="false">ROUND(_xlfn.PERCENTRANK.INC($E$7:$E$4378,E4115)*9,0)</f>
        <v>3</v>
      </c>
      <c r="I4115" s="1" t="str">
        <f aca="false">CONCATENATE(F4115,G4115,H4115)</f>
        <v>233</v>
      </c>
      <c r="J4115" s="1" t="str">
        <f aca="false">_xlfn.IFS(AND(F4115&gt;=8,G4115&gt;=8,H4115&gt;=8),"CHAMPION",AND(F4115&gt;=6,G4115&gt;=7,H4115&gt;=6),"LOYAL CUSTOMER",AND(F4115&gt;=6,G4115&gt;=5,H4115&gt;=5),"POTENTIAL LOYALIST",AND(F4115&gt;=8,G4115&lt;=2,H4115&gt;=5),"NEW CUSTOMERS",AND(F4115&gt;=6,G4115&lt;=2,H4115&gt;=3),"PROMISING",AND(F4115&gt;=3,G4115&gt;=3,H4115&gt;=3),"NEED ATTENTION",AND(F4115&lt;=4,G4115&gt;=6,H4115&gt;=6),"AT RISK",AND(F4115&lt;=2,G4115&gt;=8,H4115&gt;=8),"CAN'T LOSE THEM",AND(F4115&lt;=2,G4115&lt;=2,H4115&lt;=2),"HIBERNATING",TRUE(),"Other")</f>
        <v>Other</v>
      </c>
      <c r="K4115" s="1" t="n">
        <f aca="false">RANK(E4115,$E$7:$E$4378)+COUNTIF($E$7:E4115,E4115)-1</f>
        <v>2826</v>
      </c>
    </row>
    <row r="4116" customFormat="false" ht="14.25" hidden="false" customHeight="true" outlineLevel="0" collapsed="false">
      <c r="A4116" s="51" t="n">
        <v>17928</v>
      </c>
      <c r="B4116" s="53" t="n">
        <v>40841.5777777778</v>
      </c>
      <c r="C4116" s="57" t="n">
        <f aca="false">INT($C$2)-INT(Table3[[#This Row],[Last Purchase Date]])</f>
        <v>46</v>
      </c>
      <c r="D4116" s="1" t="n">
        <v>2</v>
      </c>
      <c r="E4116" s="1" t="n">
        <v>212.54</v>
      </c>
      <c r="F4116" s="1" t="n">
        <f aca="false">ROUND((1-_xlfn.PERCENTRANK.INC($C$7:$C$4378,C4116))*9,0)</f>
        <v>5</v>
      </c>
      <c r="G4116" s="1" t="n">
        <f aca="false">ROUND(_xlfn.PERCENTRANK.INC($D$7:$D$4378,D4116)*9,0)</f>
        <v>3</v>
      </c>
      <c r="H4116" s="1" t="n">
        <f aca="false">ROUND(_xlfn.PERCENTRANK.INC($E$7:$E$4378,E4116)*9,0)</f>
        <v>2</v>
      </c>
      <c r="I4116" s="1" t="str">
        <f aca="false">CONCATENATE(F4116,G4116,H4116)</f>
        <v>532</v>
      </c>
      <c r="J4116" s="1" t="str">
        <f aca="false">_xlfn.IFS(AND(F4116&gt;=8,G4116&gt;=8,H4116&gt;=8),"CHAMPION",AND(F4116&gt;=6,G4116&gt;=7,H4116&gt;=6),"LOYAL CUSTOMER",AND(F4116&gt;=6,G4116&gt;=5,H4116&gt;=5),"POTENTIAL LOYALIST",AND(F4116&gt;=8,G4116&lt;=2,H4116&gt;=5),"NEW CUSTOMERS",AND(F4116&gt;=6,G4116&lt;=2,H4116&gt;=3),"PROMISING",AND(F4116&gt;=3,G4116&gt;=3,H4116&gt;=3),"NEED ATTENTION",AND(F4116&lt;=4,G4116&gt;=6,H4116&gt;=6),"AT RISK",AND(F4116&lt;=2,G4116&gt;=8,H4116&gt;=8),"CAN'T LOSE THEM",AND(F4116&lt;=2,G4116&lt;=2,H4116&lt;=2),"HIBERNATING",TRUE(),"Other")</f>
        <v>Other</v>
      </c>
      <c r="K4116" s="1" t="n">
        <f aca="false">RANK(E4116,$E$7:$E$4378)+COUNTIF($E$7:E4116,E4116)-1</f>
        <v>3606</v>
      </c>
    </row>
    <row r="4117" customFormat="false" ht="14.25" hidden="false" customHeight="true" outlineLevel="0" collapsed="false">
      <c r="A4117" s="51" t="n">
        <v>17929</v>
      </c>
      <c r="B4117" s="53" t="n">
        <v>40875.6673611111</v>
      </c>
      <c r="C4117" s="57" t="n">
        <f aca="false">INT($C$2)-INT(Table3[[#This Row],[Last Purchase Date]])</f>
        <v>12</v>
      </c>
      <c r="D4117" s="1" t="n">
        <v>5</v>
      </c>
      <c r="E4117" s="1" t="n">
        <v>834.5</v>
      </c>
      <c r="F4117" s="1" t="n">
        <f aca="false">ROUND((1-_xlfn.PERCENTRANK.INC($C$7:$C$4378,C4117))*9,0)</f>
        <v>7</v>
      </c>
      <c r="G4117" s="1" t="n">
        <f aca="false">ROUND(_xlfn.PERCENTRANK.INC($D$7:$D$4378,D4117)*9,0)</f>
        <v>6</v>
      </c>
      <c r="H4117" s="1" t="n">
        <f aca="false">ROUND(_xlfn.PERCENTRANK.INC($E$7:$E$4378,E4117)*9,0)</f>
        <v>5</v>
      </c>
      <c r="I4117" s="1" t="str">
        <f aca="false">CONCATENATE(F4117,G4117,H4117)</f>
        <v>765</v>
      </c>
      <c r="J4117" s="1" t="str">
        <f aca="false">_xlfn.IFS(AND(F4117&gt;=8,G4117&gt;=8,H4117&gt;=8),"CHAMPION",AND(F4117&gt;=6,G4117&gt;=7,H4117&gt;=6),"LOYAL CUSTOMER",AND(F4117&gt;=6,G4117&gt;=5,H4117&gt;=5),"POTENTIAL LOYALIST",AND(F4117&gt;=8,G4117&lt;=2,H4117&gt;=5),"NEW CUSTOMERS",AND(F4117&gt;=6,G4117&lt;=2,H4117&gt;=3),"PROMISING",AND(F4117&gt;=3,G4117&gt;=3,H4117&gt;=3),"NEED ATTENTION",AND(F4117&lt;=4,G4117&gt;=6,H4117&gt;=6),"AT RISK",AND(F4117&lt;=2,G4117&gt;=8,H4117&gt;=8),"CAN'T LOSE THEM",AND(F4117&lt;=2,G4117&lt;=2,H4117&lt;=2),"HIBERNATING",TRUE(),"Other")</f>
        <v>POTENTIAL LOYALIST</v>
      </c>
      <c r="K4117" s="1" t="n">
        <f aca="false">RANK(E4117,$E$7:$E$4378)+COUNTIF($E$7:E4117,E4117)-1</f>
        <v>1851</v>
      </c>
    </row>
    <row r="4118" customFormat="false" ht="14.25" hidden="false" customHeight="true" outlineLevel="0" collapsed="false">
      <c r="A4118" s="51" t="n">
        <v>17930</v>
      </c>
      <c r="B4118" s="53" t="n">
        <v>40851.4326388889</v>
      </c>
      <c r="C4118" s="57" t="n">
        <f aca="false">INT($C$2)-INT(Table3[[#This Row],[Last Purchase Date]])</f>
        <v>36</v>
      </c>
      <c r="D4118" s="1" t="n">
        <v>5</v>
      </c>
      <c r="E4118" s="1" t="n">
        <v>1740.48</v>
      </c>
      <c r="F4118" s="1" t="n">
        <f aca="false">ROUND((1-_xlfn.PERCENTRANK.INC($C$7:$C$4378,C4118))*9,0)</f>
        <v>5</v>
      </c>
      <c r="G4118" s="1" t="n">
        <f aca="false">ROUND(_xlfn.PERCENTRANK.INC($D$7:$D$4378,D4118)*9,0)</f>
        <v>6</v>
      </c>
      <c r="H4118" s="1" t="n">
        <f aca="false">ROUND(_xlfn.PERCENTRANK.INC($E$7:$E$4378,E4118)*9,0)</f>
        <v>7</v>
      </c>
      <c r="I4118" s="1" t="str">
        <f aca="false">CONCATENATE(F4118,G4118,H4118)</f>
        <v>567</v>
      </c>
      <c r="J4118" s="1" t="str">
        <f aca="false">_xlfn.IFS(AND(F4118&gt;=8,G4118&gt;=8,H4118&gt;=8),"CHAMPION",AND(F4118&gt;=6,G4118&gt;=7,H4118&gt;=6),"LOYAL CUSTOMER",AND(F4118&gt;=6,G4118&gt;=5,H4118&gt;=5),"POTENTIAL LOYALIST",AND(F4118&gt;=8,G4118&lt;=2,H4118&gt;=5),"NEW CUSTOMERS",AND(F4118&gt;=6,G4118&lt;=2,H4118&gt;=3),"PROMISING",AND(F4118&gt;=3,G4118&gt;=3,H4118&gt;=3),"NEED ATTENTION",AND(F4118&lt;=4,G4118&gt;=6,H4118&gt;=6),"AT RISK",AND(F4118&lt;=2,G4118&gt;=8,H4118&gt;=8),"CAN'T LOSE THEM",AND(F4118&lt;=2,G4118&lt;=2,H4118&lt;=2),"HIBERNATING",TRUE(),"Other")</f>
        <v>NEED ATTENTION</v>
      </c>
      <c r="K4118" s="1" t="n">
        <f aca="false">RANK(E4118,$E$7:$E$4378)+COUNTIF($E$7:E4118,E4118)-1</f>
        <v>1015</v>
      </c>
    </row>
    <row r="4119" customFormat="false" ht="14.25" hidden="false" customHeight="true" outlineLevel="0" collapsed="false">
      <c r="A4119" s="51" t="n">
        <v>17931</v>
      </c>
      <c r="B4119" s="53" t="n">
        <v>40752.7729166667</v>
      </c>
      <c r="C4119" s="57" t="n">
        <f aca="false">INT($C$2)-INT(Table3[[#This Row],[Last Purchase Date]])</f>
        <v>135</v>
      </c>
      <c r="D4119" s="1" t="n">
        <v>2</v>
      </c>
      <c r="E4119" s="1" t="n">
        <v>408.36</v>
      </c>
      <c r="F4119" s="1" t="n">
        <f aca="false">ROUND((1-_xlfn.PERCENTRANK.INC($C$7:$C$4378,C4119))*9,0)</f>
        <v>2</v>
      </c>
      <c r="G4119" s="1" t="n">
        <f aca="false">ROUND(_xlfn.PERCENTRANK.INC($D$7:$D$4378,D4119)*9,0)</f>
        <v>3</v>
      </c>
      <c r="H4119" s="1" t="n">
        <f aca="false">ROUND(_xlfn.PERCENTRANK.INC($E$7:$E$4378,E4119)*9,0)</f>
        <v>3</v>
      </c>
      <c r="I4119" s="1" t="str">
        <f aca="false">CONCATENATE(F4119,G4119,H4119)</f>
        <v>233</v>
      </c>
      <c r="J4119" s="1" t="str">
        <f aca="false">_xlfn.IFS(AND(F4119&gt;=8,G4119&gt;=8,H4119&gt;=8),"CHAMPION",AND(F4119&gt;=6,G4119&gt;=7,H4119&gt;=6),"LOYAL CUSTOMER",AND(F4119&gt;=6,G4119&gt;=5,H4119&gt;=5),"POTENTIAL LOYALIST",AND(F4119&gt;=8,G4119&lt;=2,H4119&gt;=5),"NEW CUSTOMERS",AND(F4119&gt;=6,G4119&lt;=2,H4119&gt;=3),"PROMISING",AND(F4119&gt;=3,G4119&gt;=3,H4119&gt;=3),"NEED ATTENTION",AND(F4119&lt;=4,G4119&gt;=6,H4119&gt;=6),"AT RISK",AND(F4119&lt;=2,G4119&gt;=8,H4119&gt;=8),"CAN'T LOSE THEM",AND(F4119&lt;=2,G4119&lt;=2,H4119&lt;=2),"HIBERNATING",TRUE(),"Other")</f>
        <v>Other</v>
      </c>
      <c r="K4119" s="1" t="n">
        <f aca="false">RANK(E4119,$E$7:$E$4378)+COUNTIF($E$7:E4119,E4119)-1</f>
        <v>2799</v>
      </c>
    </row>
    <row r="4120" customFormat="false" ht="14.25" hidden="false" customHeight="true" outlineLevel="0" collapsed="false">
      <c r="A4120" s="51" t="n">
        <v>17932</v>
      </c>
      <c r="B4120" s="53" t="n">
        <v>40857.8256944444</v>
      </c>
      <c r="C4120" s="57" t="n">
        <f aca="false">INT($C$2)-INT(Table3[[#This Row],[Last Purchase Date]])</f>
        <v>30</v>
      </c>
      <c r="D4120" s="1" t="n">
        <v>3</v>
      </c>
      <c r="E4120" s="1" t="n">
        <v>1331.57</v>
      </c>
      <c r="F4120" s="1" t="n">
        <f aca="false">ROUND((1-_xlfn.PERCENTRANK.INC($C$7:$C$4378,C4120))*9,0)</f>
        <v>6</v>
      </c>
      <c r="G4120" s="1" t="n">
        <f aca="false">ROUND(_xlfn.PERCENTRANK.INC($D$7:$D$4378,D4120)*9,0)</f>
        <v>4</v>
      </c>
      <c r="H4120" s="1" t="n">
        <f aca="false">ROUND(_xlfn.PERCENTRANK.INC($E$7:$E$4378,E4120)*9,0)</f>
        <v>6</v>
      </c>
      <c r="I4120" s="1" t="str">
        <f aca="false">CONCATENATE(F4120,G4120,H4120)</f>
        <v>646</v>
      </c>
      <c r="J4120" s="1" t="str">
        <f aca="false">_xlfn.IFS(AND(F4120&gt;=8,G4120&gt;=8,H4120&gt;=8),"CHAMPION",AND(F4120&gt;=6,G4120&gt;=7,H4120&gt;=6),"LOYAL CUSTOMER",AND(F4120&gt;=6,G4120&gt;=5,H4120&gt;=5),"POTENTIAL LOYALIST",AND(F4120&gt;=8,G4120&lt;=2,H4120&gt;=5),"NEW CUSTOMERS",AND(F4120&gt;=6,G4120&lt;=2,H4120&gt;=3),"PROMISING",AND(F4120&gt;=3,G4120&gt;=3,H4120&gt;=3),"NEED ATTENTION",AND(F4120&lt;=4,G4120&gt;=6,H4120&gt;=6),"AT RISK",AND(F4120&lt;=2,G4120&gt;=8,H4120&gt;=8),"CAN'T LOSE THEM",AND(F4120&lt;=2,G4120&lt;=2,H4120&lt;=2),"HIBERNATING",TRUE(),"Other")</f>
        <v>NEED ATTENTION</v>
      </c>
      <c r="K4120" s="1" t="n">
        <f aca="false">RANK(E4120,$E$7:$E$4378)+COUNTIF($E$7:E4120,E4120)-1</f>
        <v>1293</v>
      </c>
    </row>
    <row r="4121" customFormat="false" ht="14.25" hidden="false" customHeight="true" outlineLevel="0" collapsed="false">
      <c r="A4121" s="51" t="n">
        <v>17934</v>
      </c>
      <c r="B4121" s="53" t="n">
        <v>40835.4694444445</v>
      </c>
      <c r="C4121" s="57" t="n">
        <f aca="false">INT($C$2)-INT(Table3[[#This Row],[Last Purchase Date]])</f>
        <v>52</v>
      </c>
      <c r="D4121" s="1" t="n">
        <v>2</v>
      </c>
      <c r="E4121" s="1" t="n">
        <v>704.25</v>
      </c>
      <c r="F4121" s="1" t="n">
        <f aca="false">ROUND((1-_xlfn.PERCENTRANK.INC($C$7:$C$4378,C4121))*9,0)</f>
        <v>4</v>
      </c>
      <c r="G4121" s="1" t="n">
        <f aca="false">ROUND(_xlfn.PERCENTRANK.INC($D$7:$D$4378,D4121)*9,0)</f>
        <v>3</v>
      </c>
      <c r="H4121" s="1" t="n">
        <f aca="false">ROUND(_xlfn.PERCENTRANK.INC($E$7:$E$4378,E4121)*9,0)</f>
        <v>5</v>
      </c>
      <c r="I4121" s="1" t="str">
        <f aca="false">CONCATENATE(F4121,G4121,H4121)</f>
        <v>435</v>
      </c>
      <c r="J4121" s="1" t="str">
        <f aca="false">_xlfn.IFS(AND(F4121&gt;=8,G4121&gt;=8,H4121&gt;=8),"CHAMPION",AND(F4121&gt;=6,G4121&gt;=7,H4121&gt;=6),"LOYAL CUSTOMER",AND(F4121&gt;=6,G4121&gt;=5,H4121&gt;=5),"POTENTIAL LOYALIST",AND(F4121&gt;=8,G4121&lt;=2,H4121&gt;=5),"NEW CUSTOMERS",AND(F4121&gt;=6,G4121&lt;=2,H4121&gt;=3),"PROMISING",AND(F4121&gt;=3,G4121&gt;=3,H4121&gt;=3),"NEED ATTENTION",AND(F4121&lt;=4,G4121&gt;=6,H4121&gt;=6),"AT RISK",AND(F4121&lt;=2,G4121&gt;=8,H4121&gt;=8),"CAN'T LOSE THEM",AND(F4121&lt;=2,G4121&lt;=2,H4121&lt;=2),"HIBERNATING",TRUE(),"Other")</f>
        <v>NEED ATTENTION</v>
      </c>
      <c r="K4121" s="1" t="n">
        <f aca="false">RANK(E4121,$E$7:$E$4378)+COUNTIF($E$7:E4121,E4121)-1</f>
        <v>2057</v>
      </c>
    </row>
    <row r="4122" customFormat="false" ht="14.25" hidden="false" customHeight="true" outlineLevel="0" collapsed="false">
      <c r="A4122" s="51" t="n">
        <v>17935</v>
      </c>
      <c r="B4122" s="53" t="n">
        <v>40748.5541666667</v>
      </c>
      <c r="C4122" s="57" t="n">
        <f aca="false">INT($C$2)-INT(Table3[[#This Row],[Last Purchase Date]])</f>
        <v>139</v>
      </c>
      <c r="D4122" s="1" t="n">
        <v>2</v>
      </c>
      <c r="E4122" s="1" t="n">
        <v>145.79</v>
      </c>
      <c r="F4122" s="1" t="n">
        <f aca="false">ROUND((1-_xlfn.PERCENTRANK.INC($C$7:$C$4378,C4122))*9,0)</f>
        <v>2</v>
      </c>
      <c r="G4122" s="1" t="n">
        <f aca="false">ROUND(_xlfn.PERCENTRANK.INC($D$7:$D$4378,D4122)*9,0)</f>
        <v>3</v>
      </c>
      <c r="H4122" s="1" t="n">
        <f aca="false">ROUND(_xlfn.PERCENTRANK.INC($E$7:$E$4378,E4122)*9,0)</f>
        <v>1</v>
      </c>
      <c r="I4122" s="1" t="str">
        <f aca="false">CONCATENATE(F4122,G4122,H4122)</f>
        <v>231</v>
      </c>
      <c r="J4122" s="1" t="str">
        <f aca="false">_xlfn.IFS(AND(F4122&gt;=8,G4122&gt;=8,H4122&gt;=8),"CHAMPION",AND(F4122&gt;=6,G4122&gt;=7,H4122&gt;=6),"LOYAL CUSTOMER",AND(F4122&gt;=6,G4122&gt;=5,H4122&gt;=5),"POTENTIAL LOYALIST",AND(F4122&gt;=8,G4122&lt;=2,H4122&gt;=5),"NEW CUSTOMERS",AND(F4122&gt;=6,G4122&lt;=2,H4122&gt;=3),"PROMISING",AND(F4122&gt;=3,G4122&gt;=3,H4122&gt;=3),"NEED ATTENTION",AND(F4122&lt;=4,G4122&gt;=6,H4122&gt;=6),"AT RISK",AND(F4122&lt;=2,G4122&gt;=8,H4122&gt;=8),"CAN'T LOSE THEM",AND(F4122&lt;=2,G4122&lt;=2,H4122&lt;=2),"HIBERNATING",TRUE(),"Other")</f>
        <v>Other</v>
      </c>
      <c r="K4122" s="1" t="n">
        <f aca="false">RANK(E4122,$E$7:$E$4378)+COUNTIF($E$7:E4122,E4122)-1</f>
        <v>3936</v>
      </c>
    </row>
    <row r="4123" customFormat="false" ht="14.25" hidden="false" customHeight="true" outlineLevel="0" collapsed="false">
      <c r="A4123" s="51" t="n">
        <v>17936</v>
      </c>
      <c r="B4123" s="53" t="n">
        <v>40881.5638888889</v>
      </c>
      <c r="C4123" s="57" t="n">
        <f aca="false">INT($C$2)-INT(Table3[[#This Row],[Last Purchase Date]])</f>
        <v>6</v>
      </c>
      <c r="D4123" s="1" t="n">
        <v>1</v>
      </c>
      <c r="E4123" s="1" t="n">
        <v>389.84</v>
      </c>
      <c r="F4123" s="1" t="n">
        <f aca="false">ROUND((1-_xlfn.PERCENTRANK.INC($C$7:$C$4378,C4123))*9,0)</f>
        <v>8</v>
      </c>
      <c r="G4123" s="1" t="n">
        <f aca="false">ROUND(_xlfn.PERCENTRANK.INC($D$7:$D$4378,D4123)*9,0)</f>
        <v>0</v>
      </c>
      <c r="H4123" s="1" t="n">
        <f aca="false">ROUND(_xlfn.PERCENTRANK.INC($E$7:$E$4378,E4123)*9,0)</f>
        <v>3</v>
      </c>
      <c r="I4123" s="1" t="str">
        <f aca="false">CONCATENATE(F4123,G4123,H4123)</f>
        <v>803</v>
      </c>
      <c r="J4123" s="1" t="str">
        <f aca="false">_xlfn.IFS(AND(F4123&gt;=8,G4123&gt;=8,H4123&gt;=8),"CHAMPION",AND(F4123&gt;=6,G4123&gt;=7,H4123&gt;=6),"LOYAL CUSTOMER",AND(F4123&gt;=6,G4123&gt;=5,H4123&gt;=5),"POTENTIAL LOYALIST",AND(F4123&gt;=8,G4123&lt;=2,H4123&gt;=5),"NEW CUSTOMERS",AND(F4123&gt;=6,G4123&lt;=2,H4123&gt;=3),"PROMISING",AND(F4123&gt;=3,G4123&gt;=3,H4123&gt;=3),"NEED ATTENTION",AND(F4123&lt;=4,G4123&gt;=6,H4123&gt;=6),"AT RISK",AND(F4123&lt;=2,G4123&gt;=8,H4123&gt;=8),"CAN'T LOSE THEM",AND(F4123&lt;=2,G4123&lt;=2,H4123&lt;=2),"HIBERNATING",TRUE(),"Other")</f>
        <v>PROMISING</v>
      </c>
      <c r="K4123" s="1" t="n">
        <f aca="false">RANK(E4123,$E$7:$E$4378)+COUNTIF($E$7:E4123,E4123)-1</f>
        <v>2847</v>
      </c>
    </row>
    <row r="4124" customFormat="false" ht="14.25" hidden="false" customHeight="true" outlineLevel="0" collapsed="false">
      <c r="A4124" s="51" t="n">
        <v>17937</v>
      </c>
      <c r="B4124" s="53" t="n">
        <v>40878.4895833333</v>
      </c>
      <c r="C4124" s="57" t="n">
        <f aca="false">INT($C$2)-INT(Table3[[#This Row],[Last Purchase Date]])</f>
        <v>9</v>
      </c>
      <c r="D4124" s="1" t="n">
        <v>7</v>
      </c>
      <c r="E4124" s="1" t="n">
        <v>4301.22</v>
      </c>
      <c r="F4124" s="1" t="n">
        <f aca="false">ROUND((1-_xlfn.PERCENTRANK.INC($C$7:$C$4378,C4124))*9,0)</f>
        <v>8</v>
      </c>
      <c r="G4124" s="1" t="n">
        <f aca="false">ROUND(_xlfn.PERCENTRANK.INC($D$7:$D$4378,D4124)*9,0)</f>
        <v>7</v>
      </c>
      <c r="H4124" s="1" t="n">
        <f aca="false">ROUND(_xlfn.PERCENTRANK.INC($E$7:$E$4378,E4124)*9,0)</f>
        <v>8</v>
      </c>
      <c r="I4124" s="1" t="str">
        <f aca="false">CONCATENATE(F4124,G4124,H4124)</f>
        <v>878</v>
      </c>
      <c r="J4124" s="1" t="str">
        <f aca="false">_xlfn.IFS(AND(F4124&gt;=8,G4124&gt;=8,H4124&gt;=8),"CHAMPION",AND(F4124&gt;=6,G4124&gt;=7,H4124&gt;=6),"LOYAL CUSTOMER",AND(F4124&gt;=6,G4124&gt;=5,H4124&gt;=5),"POTENTIAL LOYALIST",AND(F4124&gt;=8,G4124&lt;=2,H4124&gt;=5),"NEW CUSTOMERS",AND(F4124&gt;=6,G4124&lt;=2,H4124&gt;=3),"PROMISING",AND(F4124&gt;=3,G4124&gt;=3,H4124&gt;=3),"NEED ATTENTION",AND(F4124&lt;=4,G4124&gt;=6,H4124&gt;=6),"AT RISK",AND(F4124&lt;=2,G4124&gt;=8,H4124&gt;=8),"CAN'T LOSE THEM",AND(F4124&lt;=2,G4124&lt;=2,H4124&lt;=2),"HIBERNATING",TRUE(),"Other")</f>
        <v>LOYAL CUSTOMER</v>
      </c>
      <c r="K4124" s="1" t="n">
        <f aca="false">RANK(E4124,$E$7:$E$4378)+COUNTIF($E$7:E4124,E4124)-1</f>
        <v>320</v>
      </c>
    </row>
    <row r="4125" customFormat="false" ht="14.25" hidden="false" customHeight="true" outlineLevel="0" collapsed="false">
      <c r="A4125" s="51" t="n">
        <v>17939</v>
      </c>
      <c r="B4125" s="53" t="n">
        <v>40727.51875</v>
      </c>
      <c r="C4125" s="57" t="n">
        <f aca="false">INT($C$2)-INT(Table3[[#This Row],[Last Purchase Date]])</f>
        <v>160</v>
      </c>
      <c r="D4125" s="1" t="n">
        <v>1</v>
      </c>
      <c r="E4125" s="1" t="n">
        <v>99.14</v>
      </c>
      <c r="F4125" s="1" t="n">
        <f aca="false">ROUND((1-_xlfn.PERCENTRANK.INC($C$7:$C$4378,C4125))*9,0)</f>
        <v>2</v>
      </c>
      <c r="G4125" s="1" t="n">
        <f aca="false">ROUND(_xlfn.PERCENTRANK.INC($D$7:$D$4378,D4125)*9,0)</f>
        <v>0</v>
      </c>
      <c r="H4125" s="1" t="n">
        <f aca="false">ROUND(_xlfn.PERCENTRANK.INC($E$7:$E$4378,E4125)*9,0)</f>
        <v>0</v>
      </c>
      <c r="I4125" s="1" t="str">
        <f aca="false">CONCATENATE(F4125,G4125,H4125)</f>
        <v>200</v>
      </c>
      <c r="J4125" s="1" t="str">
        <f aca="false">_xlfn.IFS(AND(F4125&gt;=8,G4125&gt;=8,H4125&gt;=8),"CHAMPION",AND(F4125&gt;=6,G4125&gt;=7,H4125&gt;=6),"LOYAL CUSTOMER",AND(F4125&gt;=6,G4125&gt;=5,H4125&gt;=5),"POTENTIAL LOYALIST",AND(F4125&gt;=8,G4125&lt;=2,H4125&gt;=5),"NEW CUSTOMERS",AND(F4125&gt;=6,G4125&lt;=2,H4125&gt;=3),"PROMISING",AND(F4125&gt;=3,G4125&gt;=3,H4125&gt;=3),"NEED ATTENTION",AND(F4125&lt;=4,G4125&gt;=6,H4125&gt;=6),"AT RISK",AND(F4125&lt;=2,G4125&gt;=8,H4125&gt;=8),"CAN'T LOSE THEM",AND(F4125&lt;=2,G4125&lt;=2,H4125&lt;=2),"HIBERNATING",TRUE(),"Other")</f>
        <v>HIBERNATING</v>
      </c>
      <c r="K4125" s="1" t="n">
        <f aca="false">RANK(E4125,$E$7:$E$4378)+COUNTIF($E$7:E4125,E4125)-1</f>
        <v>4160</v>
      </c>
    </row>
    <row r="4126" customFormat="false" ht="14.25" hidden="false" customHeight="true" outlineLevel="0" collapsed="false">
      <c r="A4126" s="51" t="n">
        <v>17940</v>
      </c>
      <c r="B4126" s="53" t="n">
        <v>40837.5604166667</v>
      </c>
      <c r="C4126" s="57" t="n">
        <f aca="false">INT($C$2)-INT(Table3[[#This Row],[Last Purchase Date]])</f>
        <v>50</v>
      </c>
      <c r="D4126" s="1" t="n">
        <v>14</v>
      </c>
      <c r="E4126" s="1" t="n">
        <v>1983.58</v>
      </c>
      <c r="F4126" s="1" t="n">
        <f aca="false">ROUND((1-_xlfn.PERCENTRANK.INC($C$7:$C$4378,C4126))*9,0)</f>
        <v>5</v>
      </c>
      <c r="G4126" s="1" t="n">
        <f aca="false">ROUND(_xlfn.PERCENTRANK.INC($D$7:$D$4378,D4126)*9,0)</f>
        <v>8</v>
      </c>
      <c r="H4126" s="1" t="n">
        <f aca="false">ROUND(_xlfn.PERCENTRANK.INC($E$7:$E$4378,E4126)*9,0)</f>
        <v>7</v>
      </c>
      <c r="I4126" s="1" t="str">
        <f aca="false">CONCATENATE(F4126,G4126,H4126)</f>
        <v>587</v>
      </c>
      <c r="J4126" s="1" t="str">
        <f aca="false">_xlfn.IFS(AND(F4126&gt;=8,G4126&gt;=8,H4126&gt;=8),"CHAMPION",AND(F4126&gt;=6,G4126&gt;=7,H4126&gt;=6),"LOYAL CUSTOMER",AND(F4126&gt;=6,G4126&gt;=5,H4126&gt;=5),"POTENTIAL LOYALIST",AND(F4126&gt;=8,G4126&lt;=2,H4126&gt;=5),"NEW CUSTOMERS",AND(F4126&gt;=6,G4126&lt;=2,H4126&gt;=3),"PROMISING",AND(F4126&gt;=3,G4126&gt;=3,H4126&gt;=3),"NEED ATTENTION",AND(F4126&lt;=4,G4126&gt;=6,H4126&gt;=6),"AT RISK",AND(F4126&lt;=2,G4126&gt;=8,H4126&gt;=8),"CAN'T LOSE THEM",AND(F4126&lt;=2,G4126&lt;=2,H4126&lt;=2),"HIBERNATING",TRUE(),"Other")</f>
        <v>NEED ATTENTION</v>
      </c>
      <c r="K4126" s="1" t="n">
        <f aca="false">RANK(E4126,$E$7:$E$4378)+COUNTIF($E$7:E4126,E4126)-1</f>
        <v>886</v>
      </c>
    </row>
    <row r="4127" customFormat="false" ht="14.25" hidden="false" customHeight="true" outlineLevel="0" collapsed="false">
      <c r="A4127" s="51" t="n">
        <v>17941</v>
      </c>
      <c r="B4127" s="53" t="n">
        <v>40756.3541666667</v>
      </c>
      <c r="C4127" s="57" t="n">
        <f aca="false">INT($C$2)-INT(Table3[[#This Row],[Last Purchase Date]])</f>
        <v>131</v>
      </c>
      <c r="D4127" s="1" t="n">
        <v>1</v>
      </c>
      <c r="E4127" s="1" t="n">
        <v>304.56</v>
      </c>
      <c r="F4127" s="1" t="n">
        <f aca="false">ROUND((1-_xlfn.PERCENTRANK.INC($C$7:$C$4378,C4127))*9,0)</f>
        <v>2</v>
      </c>
      <c r="G4127" s="1" t="n">
        <f aca="false">ROUND(_xlfn.PERCENTRANK.INC($D$7:$D$4378,D4127)*9,0)</f>
        <v>0</v>
      </c>
      <c r="H4127" s="1" t="n">
        <f aca="false">ROUND(_xlfn.PERCENTRANK.INC($E$7:$E$4378,E4127)*9,0)</f>
        <v>2</v>
      </c>
      <c r="I4127" s="1" t="str">
        <f aca="false">CONCATENATE(F4127,G4127,H4127)</f>
        <v>202</v>
      </c>
      <c r="J4127" s="1" t="str">
        <f aca="false">_xlfn.IFS(AND(F4127&gt;=8,G4127&gt;=8,H4127&gt;=8),"CHAMPION",AND(F4127&gt;=6,G4127&gt;=7,H4127&gt;=6),"LOYAL CUSTOMER",AND(F4127&gt;=6,G4127&gt;=5,H4127&gt;=5),"POTENTIAL LOYALIST",AND(F4127&gt;=8,G4127&lt;=2,H4127&gt;=5),"NEW CUSTOMERS",AND(F4127&gt;=6,G4127&lt;=2,H4127&gt;=3),"PROMISING",AND(F4127&gt;=3,G4127&gt;=3,H4127&gt;=3),"NEED ATTENTION",AND(F4127&lt;=4,G4127&gt;=6,H4127&gt;=6),"AT RISK",AND(F4127&lt;=2,G4127&gt;=8,H4127&gt;=8),"CAN'T LOSE THEM",AND(F4127&lt;=2,G4127&lt;=2,H4127&lt;=2),"HIBERNATING",TRUE(),"Other")</f>
        <v>HIBERNATING</v>
      </c>
      <c r="K4127" s="1" t="n">
        <f aca="false">RANK(E4127,$E$7:$E$4378)+COUNTIF($E$7:E4127,E4127)-1</f>
        <v>3228</v>
      </c>
    </row>
    <row r="4128" customFormat="false" ht="14.25" hidden="false" customHeight="true" outlineLevel="0" collapsed="false">
      <c r="A4128" s="51" t="n">
        <v>17942</v>
      </c>
      <c r="B4128" s="53" t="n">
        <v>40879.4479166667</v>
      </c>
      <c r="C4128" s="57" t="n">
        <f aca="false">INT($C$2)-INT(Table3[[#This Row],[Last Purchase Date]])</f>
        <v>8</v>
      </c>
      <c r="D4128" s="1" t="n">
        <v>1</v>
      </c>
      <c r="E4128" s="1" t="n">
        <v>77.5</v>
      </c>
      <c r="F4128" s="1" t="n">
        <f aca="false">ROUND((1-_xlfn.PERCENTRANK.INC($C$7:$C$4378,C4128))*9,0)</f>
        <v>8</v>
      </c>
      <c r="G4128" s="1" t="n">
        <f aca="false">ROUND(_xlfn.PERCENTRANK.INC($D$7:$D$4378,D4128)*9,0)</f>
        <v>0</v>
      </c>
      <c r="H4128" s="1" t="n">
        <f aca="false">ROUND(_xlfn.PERCENTRANK.INC($E$7:$E$4378,E4128)*9,0)</f>
        <v>0</v>
      </c>
      <c r="I4128" s="1" t="str">
        <f aca="false">CONCATENATE(F4128,G4128,H4128)</f>
        <v>800</v>
      </c>
      <c r="J4128" s="1" t="str">
        <f aca="false">_xlfn.IFS(AND(F4128&gt;=8,G4128&gt;=8,H4128&gt;=8),"CHAMPION",AND(F4128&gt;=6,G4128&gt;=7,H4128&gt;=6),"LOYAL CUSTOMER",AND(F4128&gt;=6,G4128&gt;=5,H4128&gt;=5),"POTENTIAL LOYALIST",AND(F4128&gt;=8,G4128&lt;=2,H4128&gt;=5),"NEW CUSTOMERS",AND(F4128&gt;=6,G4128&lt;=2,H4128&gt;=3),"PROMISING",AND(F4128&gt;=3,G4128&gt;=3,H4128&gt;=3),"NEED ATTENTION",AND(F4128&lt;=4,G4128&gt;=6,H4128&gt;=6),"AT RISK",AND(F4128&lt;=2,G4128&gt;=8,H4128&gt;=8),"CAN'T LOSE THEM",AND(F4128&lt;=2,G4128&lt;=2,H4128&lt;=2),"HIBERNATING",TRUE(),"Other")</f>
        <v>Other</v>
      </c>
      <c r="K4128" s="1" t="n">
        <f aca="false">RANK(E4128,$E$7:$E$4378)+COUNTIF($E$7:E4128,E4128)-1</f>
        <v>4222</v>
      </c>
    </row>
    <row r="4129" customFormat="false" ht="14.25" hidden="false" customHeight="true" outlineLevel="0" collapsed="false">
      <c r="A4129" s="51" t="n">
        <v>17946</v>
      </c>
      <c r="B4129" s="53" t="n">
        <v>40653.7083333333</v>
      </c>
      <c r="C4129" s="57" t="n">
        <f aca="false">INT($C$2)-INT(Table3[[#This Row],[Last Purchase Date]])</f>
        <v>234</v>
      </c>
      <c r="D4129" s="1" t="n">
        <v>2</v>
      </c>
      <c r="E4129" s="1" t="n">
        <v>149.58</v>
      </c>
      <c r="F4129" s="1" t="n">
        <f aca="false">ROUND((1-_xlfn.PERCENTRANK.INC($C$7:$C$4378,C4129))*9,0)</f>
        <v>1</v>
      </c>
      <c r="G4129" s="1" t="n">
        <f aca="false">ROUND(_xlfn.PERCENTRANK.INC($D$7:$D$4378,D4129)*9,0)</f>
        <v>3</v>
      </c>
      <c r="H4129" s="1" t="n">
        <f aca="false">ROUND(_xlfn.PERCENTRANK.INC($E$7:$E$4378,E4129)*9,0)</f>
        <v>1</v>
      </c>
      <c r="I4129" s="1" t="str">
        <f aca="false">CONCATENATE(F4129,G4129,H4129)</f>
        <v>131</v>
      </c>
      <c r="J4129" s="1" t="str">
        <f aca="false">_xlfn.IFS(AND(F4129&gt;=8,G4129&gt;=8,H4129&gt;=8),"CHAMPION",AND(F4129&gt;=6,G4129&gt;=7,H4129&gt;=6),"LOYAL CUSTOMER",AND(F4129&gt;=6,G4129&gt;=5,H4129&gt;=5),"POTENTIAL LOYALIST",AND(F4129&gt;=8,G4129&lt;=2,H4129&gt;=5),"NEW CUSTOMERS",AND(F4129&gt;=6,G4129&lt;=2,H4129&gt;=3),"PROMISING",AND(F4129&gt;=3,G4129&gt;=3,H4129&gt;=3),"NEED ATTENTION",AND(F4129&lt;=4,G4129&gt;=6,H4129&gt;=6),"AT RISK",AND(F4129&lt;=2,G4129&gt;=8,H4129&gt;=8),"CAN'T LOSE THEM",AND(F4129&lt;=2,G4129&lt;=2,H4129&lt;=2),"HIBERNATING",TRUE(),"Other")</f>
        <v>Other</v>
      </c>
      <c r="K4129" s="1" t="n">
        <f aca="false">RANK(E4129,$E$7:$E$4378)+COUNTIF($E$7:E4129,E4129)-1</f>
        <v>3920</v>
      </c>
    </row>
    <row r="4130" customFormat="false" ht="14.25" hidden="false" customHeight="true" outlineLevel="0" collapsed="false">
      <c r="A4130" s="51" t="n">
        <v>17947</v>
      </c>
      <c r="B4130" s="53" t="n">
        <v>40849.5451388889</v>
      </c>
      <c r="C4130" s="57" t="n">
        <f aca="false">INT($C$2)-INT(Table3[[#This Row],[Last Purchase Date]])</f>
        <v>38</v>
      </c>
      <c r="D4130" s="1" t="n">
        <v>1</v>
      </c>
      <c r="E4130" s="1" t="n">
        <v>176.68</v>
      </c>
      <c r="F4130" s="1" t="n">
        <f aca="false">ROUND((1-_xlfn.PERCENTRANK.INC($C$7:$C$4378,C4130))*9,0)</f>
        <v>5</v>
      </c>
      <c r="G4130" s="1" t="n">
        <f aca="false">ROUND(_xlfn.PERCENTRANK.INC($D$7:$D$4378,D4130)*9,0)</f>
        <v>0</v>
      </c>
      <c r="H4130" s="1" t="n">
        <f aca="false">ROUND(_xlfn.PERCENTRANK.INC($E$7:$E$4378,E4130)*9,0)</f>
        <v>1</v>
      </c>
      <c r="I4130" s="1" t="str">
        <f aca="false">CONCATENATE(F4130,G4130,H4130)</f>
        <v>501</v>
      </c>
      <c r="J4130" s="1" t="str">
        <f aca="false">_xlfn.IFS(AND(F4130&gt;=8,G4130&gt;=8,H4130&gt;=8),"CHAMPION",AND(F4130&gt;=6,G4130&gt;=7,H4130&gt;=6),"LOYAL CUSTOMER",AND(F4130&gt;=6,G4130&gt;=5,H4130&gt;=5),"POTENTIAL LOYALIST",AND(F4130&gt;=8,G4130&lt;=2,H4130&gt;=5),"NEW CUSTOMERS",AND(F4130&gt;=6,G4130&lt;=2,H4130&gt;=3),"PROMISING",AND(F4130&gt;=3,G4130&gt;=3,H4130&gt;=3),"NEED ATTENTION",AND(F4130&lt;=4,G4130&gt;=6,H4130&gt;=6),"AT RISK",AND(F4130&lt;=2,G4130&gt;=8,H4130&gt;=8),"CAN'T LOSE THEM",AND(F4130&lt;=2,G4130&lt;=2,H4130&lt;=2),"HIBERNATING",TRUE(),"Other")</f>
        <v>Other</v>
      </c>
      <c r="K4130" s="1" t="n">
        <f aca="false">RANK(E4130,$E$7:$E$4378)+COUNTIF($E$7:E4130,E4130)-1</f>
        <v>3773</v>
      </c>
    </row>
    <row r="4131" customFormat="false" ht="14.25" hidden="false" customHeight="true" outlineLevel="0" collapsed="false">
      <c r="A4131" s="51" t="n">
        <v>17948</v>
      </c>
      <c r="B4131" s="53" t="n">
        <v>40739.5402777778</v>
      </c>
      <c r="C4131" s="57" t="n">
        <f aca="false">INT($C$2)-INT(Table3[[#This Row],[Last Purchase Date]])</f>
        <v>148</v>
      </c>
      <c r="D4131" s="1" t="n">
        <v>1</v>
      </c>
      <c r="E4131" s="1" t="n">
        <v>358.56</v>
      </c>
      <c r="F4131" s="1" t="n">
        <f aca="false">ROUND((1-_xlfn.PERCENTRANK.INC($C$7:$C$4378,C4131))*9,0)</f>
        <v>2</v>
      </c>
      <c r="G4131" s="1" t="n">
        <f aca="false">ROUND(_xlfn.PERCENTRANK.INC($D$7:$D$4378,D4131)*9,0)</f>
        <v>0</v>
      </c>
      <c r="H4131" s="1" t="n">
        <f aca="false">ROUND(_xlfn.PERCENTRANK.INC($E$7:$E$4378,E4131)*9,0)</f>
        <v>3</v>
      </c>
      <c r="I4131" s="1" t="str">
        <f aca="false">CONCATENATE(F4131,G4131,H4131)</f>
        <v>203</v>
      </c>
      <c r="J4131" s="1" t="str">
        <f aca="false">_xlfn.IFS(AND(F4131&gt;=8,G4131&gt;=8,H4131&gt;=8),"CHAMPION",AND(F4131&gt;=6,G4131&gt;=7,H4131&gt;=6),"LOYAL CUSTOMER",AND(F4131&gt;=6,G4131&gt;=5,H4131&gt;=5),"POTENTIAL LOYALIST",AND(F4131&gt;=8,G4131&lt;=2,H4131&gt;=5),"NEW CUSTOMERS",AND(F4131&gt;=6,G4131&lt;=2,H4131&gt;=3),"PROMISING",AND(F4131&gt;=3,G4131&gt;=3,H4131&gt;=3),"NEED ATTENTION",AND(F4131&lt;=4,G4131&gt;=6,H4131&gt;=6),"AT RISK",AND(F4131&lt;=2,G4131&gt;=8,H4131&gt;=8),"CAN'T LOSE THEM",AND(F4131&lt;=2,G4131&lt;=2,H4131&lt;=2),"HIBERNATING",TRUE(),"Other")</f>
        <v>Other</v>
      </c>
      <c r="K4131" s="1" t="n">
        <f aca="false">RANK(E4131,$E$7:$E$4378)+COUNTIF($E$7:E4131,E4131)-1</f>
        <v>2971</v>
      </c>
    </row>
    <row r="4132" customFormat="false" ht="14.25" hidden="false" customHeight="true" outlineLevel="0" collapsed="false">
      <c r="A4132" s="51" t="n">
        <v>17949</v>
      </c>
      <c r="B4132" s="53" t="n">
        <v>40885.7819444445</v>
      </c>
      <c r="C4132" s="57" t="n">
        <f aca="false">INT($C$2)-INT(Table3[[#This Row],[Last Purchase Date]])</f>
        <v>2</v>
      </c>
      <c r="D4132" s="1" t="n">
        <v>52</v>
      </c>
      <c r="E4132" s="1" t="n">
        <v>52750.84</v>
      </c>
      <c r="F4132" s="1" t="n">
        <f aca="false">ROUND((1-_xlfn.PERCENTRANK.INC($C$7:$C$4378,C4132))*9,0)</f>
        <v>9</v>
      </c>
      <c r="G4132" s="1" t="n">
        <f aca="false">ROUND(_xlfn.PERCENTRANK.INC($D$7:$D$4378,D4132)*9,0)</f>
        <v>9</v>
      </c>
      <c r="H4132" s="1" t="n">
        <f aca="false">ROUND(_xlfn.PERCENTRANK.INC($E$7:$E$4378,E4132)*9,0)</f>
        <v>9</v>
      </c>
      <c r="I4132" s="1" t="str">
        <f aca="false">CONCATENATE(F4132,G4132,H4132)</f>
        <v>999</v>
      </c>
      <c r="J4132" s="1" t="str">
        <f aca="false">_xlfn.IFS(AND(F4132&gt;=8,G4132&gt;=8,H4132&gt;=8),"CHAMPION",AND(F4132&gt;=6,G4132&gt;=7,H4132&gt;=6),"LOYAL CUSTOMER",AND(F4132&gt;=6,G4132&gt;=5,H4132&gt;=5),"POTENTIAL LOYALIST",AND(F4132&gt;=8,G4132&lt;=2,H4132&gt;=5),"NEW CUSTOMERS",AND(F4132&gt;=6,G4132&lt;=2,H4132&gt;=3),"PROMISING",AND(F4132&gt;=3,G4132&gt;=3,H4132&gt;=3),"NEED ATTENTION",AND(F4132&lt;=4,G4132&gt;=6,H4132&gt;=6),"AT RISK",AND(F4132&lt;=2,G4132&gt;=8,H4132&gt;=8),"CAN'T LOSE THEM",AND(F4132&lt;=2,G4132&lt;=2,H4132&lt;=2),"HIBERNATING",TRUE(),"Other")</f>
        <v>CHAMPION</v>
      </c>
      <c r="K4132" s="1" t="n">
        <f aca="false">RANK(E4132,$E$7:$E$4378)+COUNTIF($E$7:E4132,E4132)-1</f>
        <v>14</v>
      </c>
    </row>
    <row r="4133" customFormat="false" ht="14.25" hidden="false" customHeight="true" outlineLevel="0" collapsed="false">
      <c r="A4133" s="51" t="n">
        <v>17950</v>
      </c>
      <c r="B4133" s="53" t="n">
        <v>40814.6375</v>
      </c>
      <c r="C4133" s="57" t="n">
        <f aca="false">INT($C$2)-INT(Table3[[#This Row],[Last Purchase Date]])</f>
        <v>73</v>
      </c>
      <c r="D4133" s="1" t="n">
        <v>4</v>
      </c>
      <c r="E4133" s="1" t="n">
        <v>472.12</v>
      </c>
      <c r="F4133" s="1" t="n">
        <f aca="false">ROUND((1-_xlfn.PERCENTRANK.INC($C$7:$C$4378,C4133))*9,0)</f>
        <v>4</v>
      </c>
      <c r="G4133" s="1" t="n">
        <f aca="false">ROUND(_xlfn.PERCENTRANK.INC($D$7:$D$4378,D4133)*9,0)</f>
        <v>5</v>
      </c>
      <c r="H4133" s="1" t="n">
        <f aca="false">ROUND(_xlfn.PERCENTRANK.INC($E$7:$E$4378,E4133)*9,0)</f>
        <v>4</v>
      </c>
      <c r="I4133" s="1" t="str">
        <f aca="false">CONCATENATE(F4133,G4133,H4133)</f>
        <v>454</v>
      </c>
      <c r="J4133" s="1" t="str">
        <f aca="false">_xlfn.IFS(AND(F4133&gt;=8,G4133&gt;=8,H4133&gt;=8),"CHAMPION",AND(F4133&gt;=6,G4133&gt;=7,H4133&gt;=6),"LOYAL CUSTOMER",AND(F4133&gt;=6,G4133&gt;=5,H4133&gt;=5),"POTENTIAL LOYALIST",AND(F4133&gt;=8,G4133&lt;=2,H4133&gt;=5),"NEW CUSTOMERS",AND(F4133&gt;=6,G4133&lt;=2,H4133&gt;=3),"PROMISING",AND(F4133&gt;=3,G4133&gt;=3,H4133&gt;=3),"NEED ATTENTION",AND(F4133&lt;=4,G4133&gt;=6,H4133&gt;=6),"AT RISK",AND(F4133&lt;=2,G4133&gt;=8,H4133&gt;=8),"CAN'T LOSE THEM",AND(F4133&lt;=2,G4133&lt;=2,H4133&lt;=2),"HIBERNATING",TRUE(),"Other")</f>
        <v>NEED ATTENTION</v>
      </c>
      <c r="K4133" s="1" t="n">
        <f aca="false">RANK(E4133,$E$7:$E$4378)+COUNTIF($E$7:E4133,E4133)-1</f>
        <v>2609</v>
      </c>
    </row>
    <row r="4134" customFormat="false" ht="14.25" hidden="false" customHeight="true" outlineLevel="0" collapsed="false">
      <c r="A4134" s="51" t="n">
        <v>17951</v>
      </c>
      <c r="B4134" s="53" t="n">
        <v>40847.5208333333</v>
      </c>
      <c r="C4134" s="57" t="n">
        <f aca="false">INT($C$2)-INT(Table3[[#This Row],[Last Purchase Date]])</f>
        <v>40</v>
      </c>
      <c r="D4134" s="1" t="n">
        <v>4</v>
      </c>
      <c r="E4134" s="1" t="n">
        <v>990.84</v>
      </c>
      <c r="F4134" s="1" t="n">
        <f aca="false">ROUND((1-_xlfn.PERCENTRANK.INC($C$7:$C$4378,C4134))*9,0)</f>
        <v>5</v>
      </c>
      <c r="G4134" s="1" t="n">
        <f aca="false">ROUND(_xlfn.PERCENTRANK.INC($D$7:$D$4378,D4134)*9,0)</f>
        <v>5</v>
      </c>
      <c r="H4134" s="1" t="n">
        <f aca="false">ROUND(_xlfn.PERCENTRANK.INC($E$7:$E$4378,E4134)*9,0)</f>
        <v>6</v>
      </c>
      <c r="I4134" s="1" t="str">
        <f aca="false">CONCATENATE(F4134,G4134,H4134)</f>
        <v>556</v>
      </c>
      <c r="J4134" s="1" t="str">
        <f aca="false">_xlfn.IFS(AND(F4134&gt;=8,G4134&gt;=8,H4134&gt;=8),"CHAMPION",AND(F4134&gt;=6,G4134&gt;=7,H4134&gt;=6),"LOYAL CUSTOMER",AND(F4134&gt;=6,G4134&gt;=5,H4134&gt;=5),"POTENTIAL LOYALIST",AND(F4134&gt;=8,G4134&lt;=2,H4134&gt;=5),"NEW CUSTOMERS",AND(F4134&gt;=6,G4134&lt;=2,H4134&gt;=3),"PROMISING",AND(F4134&gt;=3,G4134&gt;=3,H4134&gt;=3),"NEED ATTENTION",AND(F4134&lt;=4,G4134&gt;=6,H4134&gt;=6),"AT RISK",AND(F4134&lt;=2,G4134&gt;=8,H4134&gt;=8),"CAN'T LOSE THEM",AND(F4134&lt;=2,G4134&lt;=2,H4134&lt;=2),"HIBERNATING",TRUE(),"Other")</f>
        <v>NEED ATTENTION</v>
      </c>
      <c r="K4134" s="1" t="n">
        <f aca="false">RANK(E4134,$E$7:$E$4378)+COUNTIF($E$7:E4134,E4134)-1</f>
        <v>1646</v>
      </c>
    </row>
    <row r="4135" customFormat="false" ht="14.25" hidden="false" customHeight="true" outlineLevel="0" collapsed="false">
      <c r="A4135" s="51" t="n">
        <v>17954</v>
      </c>
      <c r="B4135" s="53" t="n">
        <v>40881.59375</v>
      </c>
      <c r="C4135" s="57" t="n">
        <f aca="false">INT($C$2)-INT(Table3[[#This Row],[Last Purchase Date]])</f>
        <v>6</v>
      </c>
      <c r="D4135" s="1" t="n">
        <v>16</v>
      </c>
      <c r="E4135" s="1" t="n">
        <v>2295.37</v>
      </c>
      <c r="F4135" s="1" t="n">
        <f aca="false">ROUND((1-_xlfn.PERCENTRANK.INC($C$7:$C$4378,C4135))*9,0)</f>
        <v>8</v>
      </c>
      <c r="G4135" s="1" t="n">
        <f aca="false">ROUND(_xlfn.PERCENTRANK.INC($D$7:$D$4378,D4135)*9,0)</f>
        <v>9</v>
      </c>
      <c r="H4135" s="1" t="n">
        <f aca="false">ROUND(_xlfn.PERCENTRANK.INC($E$7:$E$4378,E4135)*9,0)</f>
        <v>7</v>
      </c>
      <c r="I4135" s="1" t="str">
        <f aca="false">CONCATENATE(F4135,G4135,H4135)</f>
        <v>897</v>
      </c>
      <c r="J4135" s="1" t="str">
        <f aca="false">_xlfn.IFS(AND(F4135&gt;=8,G4135&gt;=8,H4135&gt;=8),"CHAMPION",AND(F4135&gt;=6,G4135&gt;=7,H4135&gt;=6),"LOYAL CUSTOMER",AND(F4135&gt;=6,G4135&gt;=5,H4135&gt;=5),"POTENTIAL LOYALIST",AND(F4135&gt;=8,G4135&lt;=2,H4135&gt;=5),"NEW CUSTOMERS",AND(F4135&gt;=6,G4135&lt;=2,H4135&gt;=3),"PROMISING",AND(F4135&gt;=3,G4135&gt;=3,H4135&gt;=3),"NEED ATTENTION",AND(F4135&lt;=4,G4135&gt;=6,H4135&gt;=6),"AT RISK",AND(F4135&lt;=2,G4135&gt;=8,H4135&gt;=8),"CAN'T LOSE THEM",AND(F4135&lt;=2,G4135&lt;=2,H4135&lt;=2),"HIBERNATING",TRUE(),"Other")</f>
        <v>LOYAL CUSTOMER</v>
      </c>
      <c r="K4135" s="1" t="n">
        <f aca="false">RANK(E4135,$E$7:$E$4378)+COUNTIF($E$7:E4135,E4135)-1</f>
        <v>744</v>
      </c>
    </row>
    <row r="4136" customFormat="false" ht="14.25" hidden="false" customHeight="true" outlineLevel="0" collapsed="false">
      <c r="A4136" s="51" t="n">
        <v>17955</v>
      </c>
      <c r="B4136" s="53" t="n">
        <v>40688.5</v>
      </c>
      <c r="C4136" s="57" t="n">
        <f aca="false">INT($C$2)-INT(Table3[[#This Row],[Last Purchase Date]])</f>
        <v>199</v>
      </c>
      <c r="D4136" s="1" t="n">
        <v>4</v>
      </c>
      <c r="E4136" s="1" t="n">
        <v>557.3</v>
      </c>
      <c r="F4136" s="1" t="n">
        <f aca="false">ROUND((1-_xlfn.PERCENTRANK.INC($C$7:$C$4378,C4136))*9,0)</f>
        <v>2</v>
      </c>
      <c r="G4136" s="1" t="n">
        <f aca="false">ROUND(_xlfn.PERCENTRANK.INC($D$7:$D$4378,D4136)*9,0)</f>
        <v>5</v>
      </c>
      <c r="H4136" s="1" t="n">
        <f aca="false">ROUND(_xlfn.PERCENTRANK.INC($E$7:$E$4378,E4136)*9,0)</f>
        <v>4</v>
      </c>
      <c r="I4136" s="1" t="str">
        <f aca="false">CONCATENATE(F4136,G4136,H4136)</f>
        <v>254</v>
      </c>
      <c r="J4136" s="1" t="str">
        <f aca="false">_xlfn.IFS(AND(F4136&gt;=8,G4136&gt;=8,H4136&gt;=8),"CHAMPION",AND(F4136&gt;=6,G4136&gt;=7,H4136&gt;=6),"LOYAL CUSTOMER",AND(F4136&gt;=6,G4136&gt;=5,H4136&gt;=5),"POTENTIAL LOYALIST",AND(F4136&gt;=8,G4136&lt;=2,H4136&gt;=5),"NEW CUSTOMERS",AND(F4136&gt;=6,G4136&lt;=2,H4136&gt;=3),"PROMISING",AND(F4136&gt;=3,G4136&gt;=3,H4136&gt;=3),"NEED ATTENTION",AND(F4136&lt;=4,G4136&gt;=6,H4136&gt;=6),"AT RISK",AND(F4136&lt;=2,G4136&gt;=8,H4136&gt;=8),"CAN'T LOSE THEM",AND(F4136&lt;=2,G4136&lt;=2,H4136&lt;=2),"HIBERNATING",TRUE(),"Other")</f>
        <v>Other</v>
      </c>
      <c r="K4136" s="1" t="n">
        <f aca="false">RANK(E4136,$E$7:$E$4378)+COUNTIF($E$7:E4136,E4136)-1</f>
        <v>2415</v>
      </c>
    </row>
    <row r="4137" customFormat="false" ht="14.25" hidden="false" customHeight="true" outlineLevel="0" collapsed="false">
      <c r="A4137" s="51" t="n">
        <v>17956</v>
      </c>
      <c r="B4137" s="53" t="n">
        <v>40637.5743055556</v>
      </c>
      <c r="C4137" s="57" t="n">
        <f aca="false">INT($C$2)-INT(Table3[[#This Row],[Last Purchase Date]])</f>
        <v>250</v>
      </c>
      <c r="D4137" s="1" t="n">
        <v>1</v>
      </c>
      <c r="E4137" s="1" t="n">
        <v>12.75</v>
      </c>
      <c r="F4137" s="1" t="n">
        <f aca="false">ROUND((1-_xlfn.PERCENTRANK.INC($C$7:$C$4378,C4137))*9,0)</f>
        <v>1</v>
      </c>
      <c r="G4137" s="1" t="n">
        <f aca="false">ROUND(_xlfn.PERCENTRANK.INC($D$7:$D$4378,D4137)*9,0)</f>
        <v>0</v>
      </c>
      <c r="H4137" s="1" t="n">
        <f aca="false">ROUND(_xlfn.PERCENTRANK.INC($E$7:$E$4378,E4137)*9,0)</f>
        <v>0</v>
      </c>
      <c r="I4137" s="1" t="str">
        <f aca="false">CONCATENATE(F4137,G4137,H4137)</f>
        <v>100</v>
      </c>
      <c r="J4137" s="1" t="str">
        <f aca="false">_xlfn.IFS(AND(F4137&gt;=8,G4137&gt;=8,H4137&gt;=8),"CHAMPION",AND(F4137&gt;=6,G4137&gt;=7,H4137&gt;=6),"LOYAL CUSTOMER",AND(F4137&gt;=6,G4137&gt;=5,H4137&gt;=5),"POTENTIAL LOYALIST",AND(F4137&gt;=8,G4137&lt;=2,H4137&gt;=5),"NEW CUSTOMERS",AND(F4137&gt;=6,G4137&lt;=2,H4137&gt;=3),"PROMISING",AND(F4137&gt;=3,G4137&gt;=3,H4137&gt;=3),"NEED ATTENTION",AND(F4137&lt;=4,G4137&gt;=6,H4137&gt;=6),"AT RISK",AND(F4137&lt;=2,G4137&gt;=8,H4137&gt;=8),"CAN'T LOSE THEM",AND(F4137&lt;=2,G4137&lt;=2,H4137&lt;=2),"HIBERNATING",TRUE(),"Other")</f>
        <v>HIBERNATING</v>
      </c>
      <c r="K4137" s="1" t="n">
        <f aca="false">RANK(E4137,$E$7:$E$4378)+COUNTIF($E$7:E4137,E4137)-1</f>
        <v>4315</v>
      </c>
    </row>
    <row r="4138" customFormat="false" ht="14.25" hidden="false" customHeight="true" outlineLevel="0" collapsed="false">
      <c r="A4138" s="51" t="n">
        <v>17957</v>
      </c>
      <c r="B4138" s="53" t="n">
        <v>40820.6236111111</v>
      </c>
      <c r="C4138" s="57" t="n">
        <f aca="false">INT($C$2)-INT(Table3[[#This Row],[Last Purchase Date]])</f>
        <v>67</v>
      </c>
      <c r="D4138" s="1" t="n">
        <v>1</v>
      </c>
      <c r="E4138" s="1" t="n">
        <v>111.68</v>
      </c>
      <c r="F4138" s="1" t="n">
        <f aca="false">ROUND((1-_xlfn.PERCENTRANK.INC($C$7:$C$4378,C4138))*9,0)</f>
        <v>4</v>
      </c>
      <c r="G4138" s="1" t="n">
        <f aca="false">ROUND(_xlfn.PERCENTRANK.INC($D$7:$D$4378,D4138)*9,0)</f>
        <v>0</v>
      </c>
      <c r="H4138" s="1" t="n">
        <f aca="false">ROUND(_xlfn.PERCENTRANK.INC($E$7:$E$4378,E4138)*9,0)</f>
        <v>1</v>
      </c>
      <c r="I4138" s="1" t="str">
        <f aca="false">CONCATENATE(F4138,G4138,H4138)</f>
        <v>401</v>
      </c>
      <c r="J4138" s="1" t="str">
        <f aca="false">_xlfn.IFS(AND(F4138&gt;=8,G4138&gt;=8,H4138&gt;=8),"CHAMPION",AND(F4138&gt;=6,G4138&gt;=7,H4138&gt;=6),"LOYAL CUSTOMER",AND(F4138&gt;=6,G4138&gt;=5,H4138&gt;=5),"POTENTIAL LOYALIST",AND(F4138&gt;=8,G4138&lt;=2,H4138&gt;=5),"NEW CUSTOMERS",AND(F4138&gt;=6,G4138&lt;=2,H4138&gt;=3),"PROMISING",AND(F4138&gt;=3,G4138&gt;=3,H4138&gt;=3),"NEED ATTENTION",AND(F4138&lt;=4,G4138&gt;=6,H4138&gt;=6),"AT RISK",AND(F4138&lt;=2,G4138&gt;=8,H4138&gt;=8),"CAN'T LOSE THEM",AND(F4138&lt;=2,G4138&lt;=2,H4138&lt;=2),"HIBERNATING",TRUE(),"Other")</f>
        <v>Other</v>
      </c>
      <c r="K4138" s="1" t="n">
        <f aca="false">RANK(E4138,$E$7:$E$4378)+COUNTIF($E$7:E4138,E4138)-1</f>
        <v>4102</v>
      </c>
    </row>
    <row r="4139" customFormat="false" ht="14.25" hidden="false" customHeight="true" outlineLevel="0" collapsed="false">
      <c r="A4139" s="51" t="n">
        <v>17958</v>
      </c>
      <c r="B4139" s="53" t="n">
        <v>40770.5131944444</v>
      </c>
      <c r="C4139" s="57" t="n">
        <f aca="false">INT($C$2)-INT(Table3[[#This Row],[Last Purchase Date]])</f>
        <v>117</v>
      </c>
      <c r="D4139" s="1" t="n">
        <v>1</v>
      </c>
      <c r="E4139" s="1" t="n">
        <v>508.46</v>
      </c>
      <c r="F4139" s="1" t="n">
        <f aca="false">ROUND((1-_xlfn.PERCENTRANK.INC($C$7:$C$4378,C4139))*9,0)</f>
        <v>3</v>
      </c>
      <c r="G4139" s="1" t="n">
        <f aca="false">ROUND(_xlfn.PERCENTRANK.INC($D$7:$D$4378,D4139)*9,0)</f>
        <v>0</v>
      </c>
      <c r="H4139" s="1" t="n">
        <f aca="false">ROUND(_xlfn.PERCENTRANK.INC($E$7:$E$4378,E4139)*9,0)</f>
        <v>4</v>
      </c>
      <c r="I4139" s="1" t="str">
        <f aca="false">CONCATENATE(F4139,G4139,H4139)</f>
        <v>304</v>
      </c>
      <c r="J4139" s="1" t="str">
        <f aca="false">_xlfn.IFS(AND(F4139&gt;=8,G4139&gt;=8,H4139&gt;=8),"CHAMPION",AND(F4139&gt;=6,G4139&gt;=7,H4139&gt;=6),"LOYAL CUSTOMER",AND(F4139&gt;=6,G4139&gt;=5,H4139&gt;=5),"POTENTIAL LOYALIST",AND(F4139&gt;=8,G4139&lt;=2,H4139&gt;=5),"NEW CUSTOMERS",AND(F4139&gt;=6,G4139&lt;=2,H4139&gt;=3),"PROMISING",AND(F4139&gt;=3,G4139&gt;=3,H4139&gt;=3),"NEED ATTENTION",AND(F4139&lt;=4,G4139&gt;=6,H4139&gt;=6),"AT RISK",AND(F4139&lt;=2,G4139&gt;=8,H4139&gt;=8),"CAN'T LOSE THEM",AND(F4139&lt;=2,G4139&lt;=2,H4139&lt;=2),"HIBERNATING",TRUE(),"Other")</f>
        <v>Other</v>
      </c>
      <c r="K4139" s="1" t="n">
        <f aca="false">RANK(E4139,$E$7:$E$4378)+COUNTIF($E$7:E4139,E4139)-1</f>
        <v>2522</v>
      </c>
    </row>
    <row r="4140" customFormat="false" ht="14.25" hidden="false" customHeight="true" outlineLevel="0" collapsed="false">
      <c r="A4140" s="51" t="n">
        <v>17960</v>
      </c>
      <c r="B4140" s="53" t="n">
        <v>40715.59375</v>
      </c>
      <c r="C4140" s="57" t="n">
        <f aca="false">INT($C$2)-INT(Table3[[#This Row],[Last Purchase Date]])</f>
        <v>172</v>
      </c>
      <c r="D4140" s="1" t="n">
        <v>1</v>
      </c>
      <c r="E4140" s="1" t="n">
        <v>73.78</v>
      </c>
      <c r="F4140" s="1" t="n">
        <f aca="false">ROUND((1-_xlfn.PERCENTRANK.INC($C$7:$C$4378,C4140))*9,0)</f>
        <v>2</v>
      </c>
      <c r="G4140" s="1" t="n">
        <f aca="false">ROUND(_xlfn.PERCENTRANK.INC($D$7:$D$4378,D4140)*9,0)</f>
        <v>0</v>
      </c>
      <c r="H4140" s="1" t="n">
        <f aca="false">ROUND(_xlfn.PERCENTRANK.INC($E$7:$E$4378,E4140)*9,0)</f>
        <v>0</v>
      </c>
      <c r="I4140" s="1" t="str">
        <f aca="false">CONCATENATE(F4140,G4140,H4140)</f>
        <v>200</v>
      </c>
      <c r="J4140" s="1" t="str">
        <f aca="false">_xlfn.IFS(AND(F4140&gt;=8,G4140&gt;=8,H4140&gt;=8),"CHAMPION",AND(F4140&gt;=6,G4140&gt;=7,H4140&gt;=6),"LOYAL CUSTOMER",AND(F4140&gt;=6,G4140&gt;=5,H4140&gt;=5),"POTENTIAL LOYALIST",AND(F4140&gt;=8,G4140&lt;=2,H4140&gt;=5),"NEW CUSTOMERS",AND(F4140&gt;=6,G4140&lt;=2,H4140&gt;=3),"PROMISING",AND(F4140&gt;=3,G4140&gt;=3,H4140&gt;=3),"NEED ATTENTION",AND(F4140&lt;=4,G4140&gt;=6,H4140&gt;=6),"AT RISK",AND(F4140&lt;=2,G4140&gt;=8,H4140&gt;=8),"CAN'T LOSE THEM",AND(F4140&lt;=2,G4140&lt;=2,H4140&lt;=2),"HIBERNATING",TRUE(),"Other")</f>
        <v>HIBERNATING</v>
      </c>
      <c r="K4140" s="1" t="n">
        <f aca="false">RANK(E4140,$E$7:$E$4378)+COUNTIF($E$7:E4140,E4140)-1</f>
        <v>4239</v>
      </c>
    </row>
    <row r="4141" customFormat="false" ht="14.25" hidden="false" customHeight="true" outlineLevel="0" collapsed="false">
      <c r="A4141" s="51" t="n">
        <v>17961</v>
      </c>
      <c r="B4141" s="53" t="n">
        <v>40865.7048611111</v>
      </c>
      <c r="C4141" s="57" t="n">
        <f aca="false">INT($C$2)-INT(Table3[[#This Row],[Last Purchase Date]])</f>
        <v>22</v>
      </c>
      <c r="D4141" s="1" t="n">
        <v>39</v>
      </c>
      <c r="E4141" s="1" t="n">
        <v>1296.44</v>
      </c>
      <c r="F4141" s="1" t="n">
        <f aca="false">ROUND((1-_xlfn.PERCENTRANK.INC($C$7:$C$4378,C4141))*9,0)</f>
        <v>6</v>
      </c>
      <c r="G4141" s="1" t="n">
        <f aca="false">ROUND(_xlfn.PERCENTRANK.INC($D$7:$D$4378,D4141)*9,0)</f>
        <v>9</v>
      </c>
      <c r="H4141" s="1" t="n">
        <f aca="false">ROUND(_xlfn.PERCENTRANK.INC($E$7:$E$4378,E4141)*9,0)</f>
        <v>6</v>
      </c>
      <c r="I4141" s="1" t="str">
        <f aca="false">CONCATENATE(F4141,G4141,H4141)</f>
        <v>696</v>
      </c>
      <c r="J4141" s="1" t="str">
        <f aca="false">_xlfn.IFS(AND(F4141&gt;=8,G4141&gt;=8,H4141&gt;=8),"CHAMPION",AND(F4141&gt;=6,G4141&gt;=7,H4141&gt;=6),"LOYAL CUSTOMER",AND(F4141&gt;=6,G4141&gt;=5,H4141&gt;=5),"POTENTIAL LOYALIST",AND(F4141&gt;=8,G4141&lt;=2,H4141&gt;=5),"NEW CUSTOMERS",AND(F4141&gt;=6,G4141&lt;=2,H4141&gt;=3),"PROMISING",AND(F4141&gt;=3,G4141&gt;=3,H4141&gt;=3),"NEED ATTENTION",AND(F4141&lt;=4,G4141&gt;=6,H4141&gt;=6),"AT RISK",AND(F4141&lt;=2,G4141&gt;=8,H4141&gt;=8),"CAN'T LOSE THEM",AND(F4141&lt;=2,G4141&lt;=2,H4141&lt;=2),"HIBERNATING",TRUE(),"Other")</f>
        <v>LOYAL CUSTOMER</v>
      </c>
      <c r="K4141" s="1" t="n">
        <f aca="false">RANK(E4141,$E$7:$E$4378)+COUNTIF($E$7:E4141,E4141)-1</f>
        <v>1330</v>
      </c>
    </row>
    <row r="4142" customFormat="false" ht="14.25" hidden="false" customHeight="true" outlineLevel="0" collapsed="false">
      <c r="A4142" s="51" t="n">
        <v>17962</v>
      </c>
      <c r="B4142" s="53" t="n">
        <v>40744.5944444445</v>
      </c>
      <c r="C4142" s="57" t="n">
        <f aca="false">INT($C$2)-INT(Table3[[#This Row],[Last Purchase Date]])</f>
        <v>143</v>
      </c>
      <c r="D4142" s="1" t="n">
        <v>1</v>
      </c>
      <c r="E4142" s="1" t="n">
        <v>102.83</v>
      </c>
      <c r="F4142" s="1" t="n">
        <f aca="false">ROUND((1-_xlfn.PERCENTRANK.INC($C$7:$C$4378,C4142))*9,0)</f>
        <v>2</v>
      </c>
      <c r="G4142" s="1" t="n">
        <f aca="false">ROUND(_xlfn.PERCENTRANK.INC($D$7:$D$4378,D4142)*9,0)</f>
        <v>0</v>
      </c>
      <c r="H4142" s="1" t="n">
        <f aca="false">ROUND(_xlfn.PERCENTRANK.INC($E$7:$E$4378,E4142)*9,0)</f>
        <v>0</v>
      </c>
      <c r="I4142" s="1" t="str">
        <f aca="false">CONCATENATE(F4142,G4142,H4142)</f>
        <v>200</v>
      </c>
      <c r="J4142" s="1" t="str">
        <f aca="false">_xlfn.IFS(AND(F4142&gt;=8,G4142&gt;=8,H4142&gt;=8),"CHAMPION",AND(F4142&gt;=6,G4142&gt;=7,H4142&gt;=6),"LOYAL CUSTOMER",AND(F4142&gt;=6,G4142&gt;=5,H4142&gt;=5),"POTENTIAL LOYALIST",AND(F4142&gt;=8,G4142&lt;=2,H4142&gt;=5),"NEW CUSTOMERS",AND(F4142&gt;=6,G4142&lt;=2,H4142&gt;=3),"PROMISING",AND(F4142&gt;=3,G4142&gt;=3,H4142&gt;=3),"NEED ATTENTION",AND(F4142&lt;=4,G4142&gt;=6,H4142&gt;=6),"AT RISK",AND(F4142&lt;=2,G4142&gt;=8,H4142&gt;=8),"CAN'T LOSE THEM",AND(F4142&lt;=2,G4142&lt;=2,H4142&lt;=2),"HIBERNATING",TRUE(),"Other")</f>
        <v>HIBERNATING</v>
      </c>
      <c r="K4142" s="1" t="n">
        <f aca="false">RANK(E4142,$E$7:$E$4378)+COUNTIF($E$7:E4142,E4142)-1</f>
        <v>4141</v>
      </c>
    </row>
    <row r="4143" customFormat="false" ht="14.25" hidden="false" customHeight="true" outlineLevel="0" collapsed="false">
      <c r="A4143" s="51" t="n">
        <v>17964</v>
      </c>
      <c r="B4143" s="53" t="n">
        <v>40855.4472222222</v>
      </c>
      <c r="C4143" s="57" t="n">
        <f aca="false">INT($C$2)-INT(Table3[[#This Row],[Last Purchase Date]])</f>
        <v>32</v>
      </c>
      <c r="D4143" s="1" t="n">
        <v>2</v>
      </c>
      <c r="E4143" s="1" t="n">
        <v>471.7</v>
      </c>
      <c r="F4143" s="1" t="n">
        <f aca="false">ROUND((1-_xlfn.PERCENTRANK.INC($C$7:$C$4378,C4143))*9,0)</f>
        <v>5</v>
      </c>
      <c r="G4143" s="1" t="n">
        <f aca="false">ROUND(_xlfn.PERCENTRANK.INC($D$7:$D$4378,D4143)*9,0)</f>
        <v>3</v>
      </c>
      <c r="H4143" s="1" t="n">
        <f aca="false">ROUND(_xlfn.PERCENTRANK.INC($E$7:$E$4378,E4143)*9,0)</f>
        <v>4</v>
      </c>
      <c r="I4143" s="1" t="str">
        <f aca="false">CONCATENATE(F4143,G4143,H4143)</f>
        <v>534</v>
      </c>
      <c r="J4143" s="1" t="str">
        <f aca="false">_xlfn.IFS(AND(F4143&gt;=8,G4143&gt;=8,H4143&gt;=8),"CHAMPION",AND(F4143&gt;=6,G4143&gt;=7,H4143&gt;=6),"LOYAL CUSTOMER",AND(F4143&gt;=6,G4143&gt;=5,H4143&gt;=5),"POTENTIAL LOYALIST",AND(F4143&gt;=8,G4143&lt;=2,H4143&gt;=5),"NEW CUSTOMERS",AND(F4143&gt;=6,G4143&lt;=2,H4143&gt;=3),"PROMISING",AND(F4143&gt;=3,G4143&gt;=3,H4143&gt;=3),"NEED ATTENTION",AND(F4143&lt;=4,G4143&gt;=6,H4143&gt;=6),"AT RISK",AND(F4143&lt;=2,G4143&gt;=8,H4143&gt;=8),"CAN'T LOSE THEM",AND(F4143&lt;=2,G4143&lt;=2,H4143&lt;=2),"HIBERNATING",TRUE(),"Other")</f>
        <v>NEED ATTENTION</v>
      </c>
      <c r="K4143" s="1" t="n">
        <f aca="false">RANK(E4143,$E$7:$E$4378)+COUNTIF($E$7:E4143,E4143)-1</f>
        <v>2610</v>
      </c>
    </row>
    <row r="4144" customFormat="false" ht="14.25" hidden="false" customHeight="true" outlineLevel="0" collapsed="false">
      <c r="A4144" s="51" t="n">
        <v>17965</v>
      </c>
      <c r="B4144" s="53" t="n">
        <v>40849.3965277778</v>
      </c>
      <c r="C4144" s="57" t="n">
        <f aca="false">INT($C$2)-INT(Table3[[#This Row],[Last Purchase Date]])</f>
        <v>38</v>
      </c>
      <c r="D4144" s="1" t="n">
        <v>14</v>
      </c>
      <c r="E4144" s="1" t="n">
        <v>2622.57</v>
      </c>
      <c r="F4144" s="1" t="n">
        <f aca="false">ROUND((1-_xlfn.PERCENTRANK.INC($C$7:$C$4378,C4144))*9,0)</f>
        <v>5</v>
      </c>
      <c r="G4144" s="1" t="n">
        <f aca="false">ROUND(_xlfn.PERCENTRANK.INC($D$7:$D$4378,D4144)*9,0)</f>
        <v>8</v>
      </c>
      <c r="H4144" s="1" t="n">
        <f aca="false">ROUND(_xlfn.PERCENTRANK.INC($E$7:$E$4378,E4144)*9,0)</f>
        <v>8</v>
      </c>
      <c r="I4144" s="1" t="str">
        <f aca="false">CONCATENATE(F4144,G4144,H4144)</f>
        <v>588</v>
      </c>
      <c r="J4144" s="1" t="str">
        <f aca="false">_xlfn.IFS(AND(F4144&gt;=8,G4144&gt;=8,H4144&gt;=8),"CHAMPION",AND(F4144&gt;=6,G4144&gt;=7,H4144&gt;=6),"LOYAL CUSTOMER",AND(F4144&gt;=6,G4144&gt;=5,H4144&gt;=5),"POTENTIAL LOYALIST",AND(F4144&gt;=8,G4144&lt;=2,H4144&gt;=5),"NEW CUSTOMERS",AND(F4144&gt;=6,G4144&lt;=2,H4144&gt;=3),"PROMISING",AND(F4144&gt;=3,G4144&gt;=3,H4144&gt;=3),"NEED ATTENTION",AND(F4144&lt;=4,G4144&gt;=6,H4144&gt;=6),"AT RISK",AND(F4144&lt;=2,G4144&gt;=8,H4144&gt;=8),"CAN'T LOSE THEM",AND(F4144&lt;=2,G4144&lt;=2,H4144&lt;=2),"HIBERNATING",TRUE(),"Other")</f>
        <v>NEED ATTENTION</v>
      </c>
      <c r="K4144" s="1" t="n">
        <f aca="false">RANK(E4144,$E$7:$E$4378)+COUNTIF($E$7:E4144,E4144)-1</f>
        <v>636</v>
      </c>
    </row>
    <row r="4145" customFormat="false" ht="14.25" hidden="false" customHeight="true" outlineLevel="0" collapsed="false">
      <c r="A4145" s="51" t="n">
        <v>17966</v>
      </c>
      <c r="B4145" s="53" t="n">
        <v>40849.4347222222</v>
      </c>
      <c r="C4145" s="57" t="n">
        <f aca="false">INT($C$2)-INT(Table3[[#This Row],[Last Purchase Date]])</f>
        <v>38</v>
      </c>
      <c r="D4145" s="1" t="n">
        <v>5</v>
      </c>
      <c r="E4145" s="1" t="n">
        <v>1098.43</v>
      </c>
      <c r="F4145" s="1" t="n">
        <f aca="false">ROUND((1-_xlfn.PERCENTRANK.INC($C$7:$C$4378,C4145))*9,0)</f>
        <v>5</v>
      </c>
      <c r="G4145" s="1" t="n">
        <f aca="false">ROUND(_xlfn.PERCENTRANK.INC($D$7:$D$4378,D4145)*9,0)</f>
        <v>6</v>
      </c>
      <c r="H4145" s="1" t="n">
        <f aca="false">ROUND(_xlfn.PERCENTRANK.INC($E$7:$E$4378,E4145)*9,0)</f>
        <v>6</v>
      </c>
      <c r="I4145" s="1" t="str">
        <f aca="false">CONCATENATE(F4145,G4145,H4145)</f>
        <v>566</v>
      </c>
      <c r="J4145" s="1" t="str">
        <f aca="false">_xlfn.IFS(AND(F4145&gt;=8,G4145&gt;=8,H4145&gt;=8),"CHAMPION",AND(F4145&gt;=6,G4145&gt;=7,H4145&gt;=6),"LOYAL CUSTOMER",AND(F4145&gt;=6,G4145&gt;=5,H4145&gt;=5),"POTENTIAL LOYALIST",AND(F4145&gt;=8,G4145&lt;=2,H4145&gt;=5),"NEW CUSTOMERS",AND(F4145&gt;=6,G4145&lt;=2,H4145&gt;=3),"PROMISING",AND(F4145&gt;=3,G4145&gt;=3,H4145&gt;=3),"NEED ATTENTION",AND(F4145&lt;=4,G4145&gt;=6,H4145&gt;=6),"AT RISK",AND(F4145&lt;=2,G4145&gt;=8,H4145&gt;=8),"CAN'T LOSE THEM",AND(F4145&lt;=2,G4145&lt;=2,H4145&lt;=2),"HIBERNATING",TRUE(),"Other")</f>
        <v>NEED ATTENTION</v>
      </c>
      <c r="K4145" s="1" t="n">
        <f aca="false">RANK(E4145,$E$7:$E$4378)+COUNTIF($E$7:E4145,E4145)-1</f>
        <v>1512</v>
      </c>
    </row>
    <row r="4146" customFormat="false" ht="14.25" hidden="false" customHeight="true" outlineLevel="0" collapsed="false">
      <c r="A4146" s="51" t="n">
        <v>17967</v>
      </c>
      <c r="B4146" s="53" t="n">
        <v>40515.4715277778</v>
      </c>
      <c r="C4146" s="57" t="n">
        <f aca="false">INT($C$2)-INT(Table3[[#This Row],[Last Purchase Date]])</f>
        <v>372</v>
      </c>
      <c r="D4146" s="1" t="n">
        <v>1</v>
      </c>
      <c r="E4146" s="1" t="n">
        <v>123.07</v>
      </c>
      <c r="F4146" s="1" t="n">
        <f aca="false">ROUND((1-_xlfn.PERCENTRANK.INC($C$7:$C$4378,C4146))*9,0)</f>
        <v>0</v>
      </c>
      <c r="G4146" s="1" t="n">
        <f aca="false">ROUND(_xlfn.PERCENTRANK.INC($D$7:$D$4378,D4146)*9,0)</f>
        <v>0</v>
      </c>
      <c r="H4146" s="1" t="n">
        <f aca="false">ROUND(_xlfn.PERCENTRANK.INC($E$7:$E$4378,E4146)*9,0)</f>
        <v>1</v>
      </c>
      <c r="I4146" s="1" t="str">
        <f aca="false">CONCATENATE(F4146,G4146,H4146)</f>
        <v>001</v>
      </c>
      <c r="J4146" s="1" t="str">
        <f aca="false">_xlfn.IFS(AND(F4146&gt;=8,G4146&gt;=8,H4146&gt;=8),"CHAMPION",AND(F4146&gt;=6,G4146&gt;=7,H4146&gt;=6),"LOYAL CUSTOMER",AND(F4146&gt;=6,G4146&gt;=5,H4146&gt;=5),"POTENTIAL LOYALIST",AND(F4146&gt;=8,G4146&lt;=2,H4146&gt;=5),"NEW CUSTOMERS",AND(F4146&gt;=6,G4146&lt;=2,H4146&gt;=3),"PROMISING",AND(F4146&gt;=3,G4146&gt;=3,H4146&gt;=3),"NEED ATTENTION",AND(F4146&lt;=4,G4146&gt;=6,H4146&gt;=6),"AT RISK",AND(F4146&lt;=2,G4146&gt;=8,H4146&gt;=8),"CAN'T LOSE THEM",AND(F4146&lt;=2,G4146&lt;=2,H4146&lt;=2),"HIBERNATING",TRUE(),"Other")</f>
        <v>HIBERNATING</v>
      </c>
      <c r="K4146" s="1" t="n">
        <f aca="false">RANK(E4146,$E$7:$E$4378)+COUNTIF($E$7:E4146,E4146)-1</f>
        <v>4035</v>
      </c>
    </row>
    <row r="4147" customFormat="false" ht="14.25" hidden="false" customHeight="true" outlineLevel="0" collapsed="false">
      <c r="A4147" s="51" t="n">
        <v>17968</v>
      </c>
      <c r="B4147" s="53" t="n">
        <v>40513.5159722222</v>
      </c>
      <c r="C4147" s="57" t="n">
        <f aca="false">INT($C$2)-INT(Table3[[#This Row],[Last Purchase Date]])</f>
        <v>374</v>
      </c>
      <c r="D4147" s="1" t="n">
        <v>1</v>
      </c>
      <c r="E4147" s="1" t="n">
        <v>277.35</v>
      </c>
      <c r="F4147" s="1" t="n">
        <f aca="false">ROUND((1-_xlfn.PERCENTRANK.INC($C$7:$C$4378,C4147))*9,0)</f>
        <v>0</v>
      </c>
      <c r="G4147" s="1" t="n">
        <f aca="false">ROUND(_xlfn.PERCENTRANK.INC($D$7:$D$4378,D4147)*9,0)</f>
        <v>0</v>
      </c>
      <c r="H4147" s="1" t="n">
        <f aca="false">ROUND(_xlfn.PERCENTRANK.INC($E$7:$E$4378,E4147)*9,0)</f>
        <v>2</v>
      </c>
      <c r="I4147" s="1" t="str">
        <f aca="false">CONCATENATE(F4147,G4147,H4147)</f>
        <v>002</v>
      </c>
      <c r="J4147" s="1" t="str">
        <f aca="false">_xlfn.IFS(AND(F4147&gt;=8,G4147&gt;=8,H4147&gt;=8),"CHAMPION",AND(F4147&gt;=6,G4147&gt;=7,H4147&gt;=6),"LOYAL CUSTOMER",AND(F4147&gt;=6,G4147&gt;=5,H4147&gt;=5),"POTENTIAL LOYALIST",AND(F4147&gt;=8,G4147&lt;=2,H4147&gt;=5),"NEW CUSTOMERS",AND(F4147&gt;=6,G4147&lt;=2,H4147&gt;=3),"PROMISING",AND(F4147&gt;=3,G4147&gt;=3,H4147&gt;=3),"NEED ATTENTION",AND(F4147&lt;=4,G4147&gt;=6,H4147&gt;=6),"AT RISK",AND(F4147&lt;=2,G4147&gt;=8,H4147&gt;=8),"CAN'T LOSE THEM",AND(F4147&lt;=2,G4147&lt;=2,H4147&lt;=2),"HIBERNATING",TRUE(),"Other")</f>
        <v>HIBERNATING</v>
      </c>
      <c r="K4147" s="1" t="n">
        <f aca="false">RANK(E4147,$E$7:$E$4378)+COUNTIF($E$7:E4147,E4147)-1</f>
        <v>3335</v>
      </c>
    </row>
    <row r="4148" customFormat="false" ht="14.25" hidden="false" customHeight="true" outlineLevel="0" collapsed="false">
      <c r="A4148" s="51" t="n">
        <v>17969</v>
      </c>
      <c r="B4148" s="53" t="n">
        <v>40720.5416666667</v>
      </c>
      <c r="C4148" s="57" t="n">
        <f aca="false">INT($C$2)-INT(Table3[[#This Row],[Last Purchase Date]])</f>
        <v>167</v>
      </c>
      <c r="D4148" s="1" t="n">
        <v>2</v>
      </c>
      <c r="E4148" s="1" t="n">
        <v>228.2</v>
      </c>
      <c r="F4148" s="1" t="n">
        <f aca="false">ROUND((1-_xlfn.PERCENTRANK.INC($C$7:$C$4378,C4148))*9,0)</f>
        <v>2</v>
      </c>
      <c r="G4148" s="1" t="n">
        <f aca="false">ROUND(_xlfn.PERCENTRANK.INC($D$7:$D$4378,D4148)*9,0)</f>
        <v>3</v>
      </c>
      <c r="H4148" s="1" t="n">
        <f aca="false">ROUND(_xlfn.PERCENTRANK.INC($E$7:$E$4378,E4148)*9,0)</f>
        <v>2</v>
      </c>
      <c r="I4148" s="1" t="str">
        <f aca="false">CONCATENATE(F4148,G4148,H4148)</f>
        <v>232</v>
      </c>
      <c r="J4148" s="1" t="str">
        <f aca="false">_xlfn.IFS(AND(F4148&gt;=8,G4148&gt;=8,H4148&gt;=8),"CHAMPION",AND(F4148&gt;=6,G4148&gt;=7,H4148&gt;=6),"LOYAL CUSTOMER",AND(F4148&gt;=6,G4148&gt;=5,H4148&gt;=5),"POTENTIAL LOYALIST",AND(F4148&gt;=8,G4148&lt;=2,H4148&gt;=5),"NEW CUSTOMERS",AND(F4148&gt;=6,G4148&lt;=2,H4148&gt;=3),"PROMISING",AND(F4148&gt;=3,G4148&gt;=3,H4148&gt;=3),"NEED ATTENTION",AND(F4148&lt;=4,G4148&gt;=6,H4148&gt;=6),"AT RISK",AND(F4148&lt;=2,G4148&gt;=8,H4148&gt;=8),"CAN'T LOSE THEM",AND(F4148&lt;=2,G4148&lt;=2,H4148&lt;=2),"HIBERNATING",TRUE(),"Other")</f>
        <v>Other</v>
      </c>
      <c r="K4148" s="1" t="n">
        <f aca="false">RANK(E4148,$E$7:$E$4378)+COUNTIF($E$7:E4148,E4148)-1</f>
        <v>3527</v>
      </c>
    </row>
    <row r="4149" customFormat="false" ht="14.25" hidden="false" customHeight="true" outlineLevel="0" collapsed="false">
      <c r="A4149" s="51" t="n">
        <v>17970</v>
      </c>
      <c r="B4149" s="53" t="n">
        <v>40675.8354166667</v>
      </c>
      <c r="C4149" s="57" t="n">
        <f aca="false">INT($C$2)-INT(Table3[[#This Row],[Last Purchase Date]])</f>
        <v>212</v>
      </c>
      <c r="D4149" s="1" t="n">
        <v>1</v>
      </c>
      <c r="E4149" s="1" t="n">
        <v>582.59</v>
      </c>
      <c r="F4149" s="1" t="n">
        <f aca="false">ROUND((1-_xlfn.PERCENTRANK.INC($C$7:$C$4378,C4149))*9,0)</f>
        <v>1</v>
      </c>
      <c r="G4149" s="1" t="n">
        <f aca="false">ROUND(_xlfn.PERCENTRANK.INC($D$7:$D$4378,D4149)*9,0)</f>
        <v>0</v>
      </c>
      <c r="H4149" s="1" t="n">
        <f aca="false">ROUND(_xlfn.PERCENTRANK.INC($E$7:$E$4378,E4149)*9,0)</f>
        <v>4</v>
      </c>
      <c r="I4149" s="1" t="str">
        <f aca="false">CONCATENATE(F4149,G4149,H4149)</f>
        <v>104</v>
      </c>
      <c r="J4149" s="1" t="str">
        <f aca="false">_xlfn.IFS(AND(F4149&gt;=8,G4149&gt;=8,H4149&gt;=8),"CHAMPION",AND(F4149&gt;=6,G4149&gt;=7,H4149&gt;=6),"LOYAL CUSTOMER",AND(F4149&gt;=6,G4149&gt;=5,H4149&gt;=5),"POTENTIAL LOYALIST",AND(F4149&gt;=8,G4149&lt;=2,H4149&gt;=5),"NEW CUSTOMERS",AND(F4149&gt;=6,G4149&lt;=2,H4149&gt;=3),"PROMISING",AND(F4149&gt;=3,G4149&gt;=3,H4149&gt;=3),"NEED ATTENTION",AND(F4149&lt;=4,G4149&gt;=6,H4149&gt;=6),"AT RISK",AND(F4149&lt;=2,G4149&gt;=8,H4149&gt;=8),"CAN'T LOSE THEM",AND(F4149&lt;=2,G4149&lt;=2,H4149&lt;=2),"HIBERNATING",TRUE(),"Other")</f>
        <v>Other</v>
      </c>
      <c r="K4149" s="1" t="n">
        <f aca="false">RANK(E4149,$E$7:$E$4378)+COUNTIF($E$7:E4149,E4149)-1</f>
        <v>2366</v>
      </c>
    </row>
    <row r="4150" customFormat="false" ht="14.25" hidden="false" customHeight="true" outlineLevel="0" collapsed="false">
      <c r="A4150" s="51" t="n">
        <v>17972</v>
      </c>
      <c r="B4150" s="53" t="n">
        <v>40645.5111111111</v>
      </c>
      <c r="C4150" s="57" t="n">
        <f aca="false">INT($C$2)-INT(Table3[[#This Row],[Last Purchase Date]])</f>
        <v>242</v>
      </c>
      <c r="D4150" s="1" t="n">
        <v>1</v>
      </c>
      <c r="E4150" s="1" t="n">
        <v>136.04</v>
      </c>
      <c r="F4150" s="1" t="n">
        <f aca="false">ROUND((1-_xlfn.PERCENTRANK.INC($C$7:$C$4378,C4150))*9,0)</f>
        <v>1</v>
      </c>
      <c r="G4150" s="1" t="n">
        <f aca="false">ROUND(_xlfn.PERCENTRANK.INC($D$7:$D$4378,D4150)*9,0)</f>
        <v>0</v>
      </c>
      <c r="H4150" s="1" t="n">
        <f aca="false">ROUND(_xlfn.PERCENTRANK.INC($E$7:$E$4378,E4150)*9,0)</f>
        <v>1</v>
      </c>
      <c r="I4150" s="1" t="str">
        <f aca="false">CONCATENATE(F4150,G4150,H4150)</f>
        <v>101</v>
      </c>
      <c r="J4150" s="1" t="str">
        <f aca="false">_xlfn.IFS(AND(F4150&gt;=8,G4150&gt;=8,H4150&gt;=8),"CHAMPION",AND(F4150&gt;=6,G4150&gt;=7,H4150&gt;=6),"LOYAL CUSTOMER",AND(F4150&gt;=6,G4150&gt;=5,H4150&gt;=5),"POTENTIAL LOYALIST",AND(F4150&gt;=8,G4150&lt;=2,H4150&gt;=5),"NEW CUSTOMERS",AND(F4150&gt;=6,G4150&lt;=2,H4150&gt;=3),"PROMISING",AND(F4150&gt;=3,G4150&gt;=3,H4150&gt;=3),"NEED ATTENTION",AND(F4150&lt;=4,G4150&gt;=6,H4150&gt;=6),"AT RISK",AND(F4150&lt;=2,G4150&gt;=8,H4150&gt;=8),"CAN'T LOSE THEM",AND(F4150&lt;=2,G4150&lt;=2,H4150&lt;=2),"HIBERNATING",TRUE(),"Other")</f>
        <v>HIBERNATING</v>
      </c>
      <c r="K4150" s="1" t="n">
        <f aca="false">RANK(E4150,$E$7:$E$4378)+COUNTIF($E$7:E4150,E4150)-1</f>
        <v>3977</v>
      </c>
    </row>
    <row r="4151" customFormat="false" ht="14.25" hidden="false" customHeight="true" outlineLevel="0" collapsed="false">
      <c r="A4151" s="51" t="n">
        <v>17973</v>
      </c>
      <c r="B4151" s="53" t="n">
        <v>40835.4402777778</v>
      </c>
      <c r="C4151" s="57" t="n">
        <f aca="false">INT($C$2)-INT(Table3[[#This Row],[Last Purchase Date]])</f>
        <v>52</v>
      </c>
      <c r="D4151" s="1" t="n">
        <v>1</v>
      </c>
      <c r="E4151" s="1" t="n">
        <v>337.04</v>
      </c>
      <c r="F4151" s="1" t="n">
        <f aca="false">ROUND((1-_xlfn.PERCENTRANK.INC($C$7:$C$4378,C4151))*9,0)</f>
        <v>4</v>
      </c>
      <c r="G4151" s="1" t="n">
        <f aca="false">ROUND(_xlfn.PERCENTRANK.INC($D$7:$D$4378,D4151)*9,0)</f>
        <v>0</v>
      </c>
      <c r="H4151" s="1" t="n">
        <f aca="false">ROUND(_xlfn.PERCENTRANK.INC($E$7:$E$4378,E4151)*9,0)</f>
        <v>3</v>
      </c>
      <c r="I4151" s="1" t="str">
        <f aca="false">CONCATENATE(F4151,G4151,H4151)</f>
        <v>403</v>
      </c>
      <c r="J4151" s="1" t="str">
        <f aca="false">_xlfn.IFS(AND(F4151&gt;=8,G4151&gt;=8,H4151&gt;=8),"CHAMPION",AND(F4151&gt;=6,G4151&gt;=7,H4151&gt;=6),"LOYAL CUSTOMER",AND(F4151&gt;=6,G4151&gt;=5,H4151&gt;=5),"POTENTIAL LOYALIST",AND(F4151&gt;=8,G4151&lt;=2,H4151&gt;=5),"NEW CUSTOMERS",AND(F4151&gt;=6,G4151&lt;=2,H4151&gt;=3),"PROMISING",AND(F4151&gt;=3,G4151&gt;=3,H4151&gt;=3),"NEED ATTENTION",AND(F4151&lt;=4,G4151&gt;=6,H4151&gt;=6),"AT RISK",AND(F4151&lt;=2,G4151&gt;=8,H4151&gt;=8),"CAN'T LOSE THEM",AND(F4151&lt;=2,G4151&lt;=2,H4151&lt;=2),"HIBERNATING",TRUE(),"Other")</f>
        <v>Other</v>
      </c>
      <c r="K4151" s="1" t="n">
        <f aca="false">RANK(E4151,$E$7:$E$4378)+COUNTIF($E$7:E4151,E4151)-1</f>
        <v>3062</v>
      </c>
    </row>
    <row r="4152" customFormat="false" ht="14.25" hidden="false" customHeight="true" outlineLevel="0" collapsed="false">
      <c r="A4152" s="51" t="n">
        <v>17974</v>
      </c>
      <c r="B4152" s="53" t="n">
        <v>40862.4840277778</v>
      </c>
      <c r="C4152" s="57" t="n">
        <f aca="false">INT($C$2)-INT(Table3[[#This Row],[Last Purchase Date]])</f>
        <v>25</v>
      </c>
      <c r="D4152" s="1" t="n">
        <v>3</v>
      </c>
      <c r="E4152" s="1" t="n">
        <v>740.79</v>
      </c>
      <c r="F4152" s="1" t="n">
        <f aca="false">ROUND((1-_xlfn.PERCENTRANK.INC($C$7:$C$4378,C4152))*9,0)</f>
        <v>6</v>
      </c>
      <c r="G4152" s="1" t="n">
        <f aca="false">ROUND(_xlfn.PERCENTRANK.INC($D$7:$D$4378,D4152)*9,0)</f>
        <v>4</v>
      </c>
      <c r="H4152" s="1" t="n">
        <f aca="false">ROUND(_xlfn.PERCENTRANK.INC($E$7:$E$4378,E4152)*9,0)</f>
        <v>5</v>
      </c>
      <c r="I4152" s="1" t="str">
        <f aca="false">CONCATENATE(F4152,G4152,H4152)</f>
        <v>645</v>
      </c>
      <c r="J4152" s="1" t="str">
        <f aca="false">_xlfn.IFS(AND(F4152&gt;=8,G4152&gt;=8,H4152&gt;=8),"CHAMPION",AND(F4152&gt;=6,G4152&gt;=7,H4152&gt;=6),"LOYAL CUSTOMER",AND(F4152&gt;=6,G4152&gt;=5,H4152&gt;=5),"POTENTIAL LOYALIST",AND(F4152&gt;=8,G4152&lt;=2,H4152&gt;=5),"NEW CUSTOMERS",AND(F4152&gt;=6,G4152&lt;=2,H4152&gt;=3),"PROMISING",AND(F4152&gt;=3,G4152&gt;=3,H4152&gt;=3),"NEED ATTENTION",AND(F4152&lt;=4,G4152&gt;=6,H4152&gt;=6),"AT RISK",AND(F4152&lt;=2,G4152&gt;=8,H4152&gt;=8),"CAN'T LOSE THEM",AND(F4152&lt;=2,G4152&lt;=2,H4152&lt;=2),"HIBERNATING",TRUE(),"Other")</f>
        <v>NEED ATTENTION</v>
      </c>
      <c r="K4152" s="1" t="n">
        <f aca="false">RANK(E4152,$E$7:$E$4378)+COUNTIF($E$7:E4152,E4152)-1</f>
        <v>1991</v>
      </c>
    </row>
    <row r="4153" customFormat="false" ht="14.25" hidden="false" customHeight="true" outlineLevel="0" collapsed="false">
      <c r="A4153" s="51" t="n">
        <v>17975</v>
      </c>
      <c r="B4153" s="53" t="n">
        <v>40871.5604166667</v>
      </c>
      <c r="C4153" s="57" t="n">
        <f aca="false">INT($C$2)-INT(Table3[[#This Row],[Last Purchase Date]])</f>
        <v>16</v>
      </c>
      <c r="D4153" s="1" t="n">
        <v>14</v>
      </c>
      <c r="E4153" s="1" t="n">
        <v>4393.61</v>
      </c>
      <c r="F4153" s="1" t="n">
        <f aca="false">ROUND((1-_xlfn.PERCENTRANK.INC($C$7:$C$4378,C4153))*9,0)</f>
        <v>7</v>
      </c>
      <c r="G4153" s="1" t="n">
        <f aca="false">ROUND(_xlfn.PERCENTRANK.INC($D$7:$D$4378,D4153)*9,0)</f>
        <v>8</v>
      </c>
      <c r="H4153" s="1" t="n">
        <f aca="false">ROUND(_xlfn.PERCENTRANK.INC($E$7:$E$4378,E4153)*9,0)</f>
        <v>8</v>
      </c>
      <c r="I4153" s="1" t="str">
        <f aca="false">CONCATENATE(F4153,G4153,H4153)</f>
        <v>788</v>
      </c>
      <c r="J4153" s="1" t="str">
        <f aca="false">_xlfn.IFS(AND(F4153&gt;=8,G4153&gt;=8,H4153&gt;=8),"CHAMPION",AND(F4153&gt;=6,G4153&gt;=7,H4153&gt;=6),"LOYAL CUSTOMER",AND(F4153&gt;=6,G4153&gt;=5,H4153&gt;=5),"POTENTIAL LOYALIST",AND(F4153&gt;=8,G4153&lt;=2,H4153&gt;=5),"NEW CUSTOMERS",AND(F4153&gt;=6,G4153&lt;=2,H4153&gt;=3),"PROMISING",AND(F4153&gt;=3,G4153&gt;=3,H4153&gt;=3),"NEED ATTENTION",AND(F4153&lt;=4,G4153&gt;=6,H4153&gt;=6),"AT RISK",AND(F4153&lt;=2,G4153&gt;=8,H4153&gt;=8),"CAN'T LOSE THEM",AND(F4153&lt;=2,G4153&lt;=2,H4153&lt;=2),"HIBERNATING",TRUE(),"Other")</f>
        <v>LOYAL CUSTOMER</v>
      </c>
      <c r="K4153" s="1" t="n">
        <f aca="false">RANK(E4153,$E$7:$E$4378)+COUNTIF($E$7:E4153,E4153)-1</f>
        <v>310</v>
      </c>
    </row>
    <row r="4154" customFormat="false" ht="14.25" hidden="false" customHeight="true" outlineLevel="0" collapsed="false">
      <c r="A4154" s="51" t="n">
        <v>17976</v>
      </c>
      <c r="B4154" s="53" t="n">
        <v>40514.5756944444</v>
      </c>
      <c r="C4154" s="57" t="n">
        <f aca="false">INT($C$2)-INT(Table3[[#This Row],[Last Purchase Date]])</f>
        <v>373</v>
      </c>
      <c r="D4154" s="1" t="n">
        <v>1</v>
      </c>
      <c r="E4154" s="1" t="n">
        <v>353.19</v>
      </c>
      <c r="F4154" s="1" t="n">
        <f aca="false">ROUND((1-_xlfn.PERCENTRANK.INC($C$7:$C$4378,C4154))*9,0)</f>
        <v>0</v>
      </c>
      <c r="G4154" s="1" t="n">
        <f aca="false">ROUND(_xlfn.PERCENTRANK.INC($D$7:$D$4378,D4154)*9,0)</f>
        <v>0</v>
      </c>
      <c r="H4154" s="1" t="n">
        <f aca="false">ROUND(_xlfn.PERCENTRANK.INC($E$7:$E$4378,E4154)*9,0)</f>
        <v>3</v>
      </c>
      <c r="I4154" s="1" t="str">
        <f aca="false">CONCATENATE(F4154,G4154,H4154)</f>
        <v>003</v>
      </c>
      <c r="J4154" s="1" t="str">
        <f aca="false">_xlfn.IFS(AND(F4154&gt;=8,G4154&gt;=8,H4154&gt;=8),"CHAMPION",AND(F4154&gt;=6,G4154&gt;=7,H4154&gt;=6),"LOYAL CUSTOMER",AND(F4154&gt;=6,G4154&gt;=5,H4154&gt;=5),"POTENTIAL LOYALIST",AND(F4154&gt;=8,G4154&lt;=2,H4154&gt;=5),"NEW CUSTOMERS",AND(F4154&gt;=6,G4154&lt;=2,H4154&gt;=3),"PROMISING",AND(F4154&gt;=3,G4154&gt;=3,H4154&gt;=3),"NEED ATTENTION",AND(F4154&lt;=4,G4154&gt;=6,H4154&gt;=6),"AT RISK",AND(F4154&lt;=2,G4154&gt;=8,H4154&gt;=8),"CAN'T LOSE THEM",AND(F4154&lt;=2,G4154&lt;=2,H4154&lt;=2),"HIBERNATING",TRUE(),"Other")</f>
        <v>Other</v>
      </c>
      <c r="K4154" s="1" t="n">
        <f aca="false">RANK(E4154,$E$7:$E$4378)+COUNTIF($E$7:E4154,E4154)-1</f>
        <v>2994</v>
      </c>
    </row>
    <row r="4155" customFormat="false" ht="14.25" hidden="false" customHeight="true" outlineLevel="0" collapsed="false">
      <c r="A4155" s="51" t="n">
        <v>17977</v>
      </c>
      <c r="B4155" s="53" t="n">
        <v>40857.5611111111</v>
      </c>
      <c r="C4155" s="57" t="n">
        <f aca="false">INT($C$2)-INT(Table3[[#This Row],[Last Purchase Date]])</f>
        <v>30</v>
      </c>
      <c r="D4155" s="1" t="n">
        <v>1</v>
      </c>
      <c r="E4155" s="1" t="n">
        <v>288.14</v>
      </c>
      <c r="F4155" s="1" t="n">
        <f aca="false">ROUND((1-_xlfn.PERCENTRANK.INC($C$7:$C$4378,C4155))*9,0)</f>
        <v>6</v>
      </c>
      <c r="G4155" s="1" t="n">
        <f aca="false">ROUND(_xlfn.PERCENTRANK.INC($D$7:$D$4378,D4155)*9,0)</f>
        <v>0</v>
      </c>
      <c r="H4155" s="1" t="n">
        <f aca="false">ROUND(_xlfn.PERCENTRANK.INC($E$7:$E$4378,E4155)*9,0)</f>
        <v>2</v>
      </c>
      <c r="I4155" s="1" t="str">
        <f aca="false">CONCATENATE(F4155,G4155,H4155)</f>
        <v>602</v>
      </c>
      <c r="J4155" s="1" t="str">
        <f aca="false">_xlfn.IFS(AND(F4155&gt;=8,G4155&gt;=8,H4155&gt;=8),"CHAMPION",AND(F4155&gt;=6,G4155&gt;=7,H4155&gt;=6),"LOYAL CUSTOMER",AND(F4155&gt;=6,G4155&gt;=5,H4155&gt;=5),"POTENTIAL LOYALIST",AND(F4155&gt;=8,G4155&lt;=2,H4155&gt;=5),"NEW CUSTOMERS",AND(F4155&gt;=6,G4155&lt;=2,H4155&gt;=3),"PROMISING",AND(F4155&gt;=3,G4155&gt;=3,H4155&gt;=3),"NEED ATTENTION",AND(F4155&lt;=4,G4155&gt;=6,H4155&gt;=6),"AT RISK",AND(F4155&lt;=2,G4155&gt;=8,H4155&gt;=8),"CAN'T LOSE THEM",AND(F4155&lt;=2,G4155&lt;=2,H4155&lt;=2),"HIBERNATING",TRUE(),"Other")</f>
        <v>Other</v>
      </c>
      <c r="K4155" s="1" t="n">
        <f aca="false">RANK(E4155,$E$7:$E$4378)+COUNTIF($E$7:E4155,E4155)-1</f>
        <v>3305</v>
      </c>
    </row>
    <row r="4156" customFormat="false" ht="14.25" hidden="false" customHeight="true" outlineLevel="0" collapsed="false">
      <c r="A4156" s="51" t="n">
        <v>17978</v>
      </c>
      <c r="B4156" s="53" t="n">
        <v>40521.5868055556</v>
      </c>
      <c r="C4156" s="57" t="n">
        <f aca="false">INT($C$2)-INT(Table3[[#This Row],[Last Purchase Date]])</f>
        <v>366</v>
      </c>
      <c r="D4156" s="1" t="n">
        <v>1</v>
      </c>
      <c r="E4156" s="1" t="n">
        <v>300.92</v>
      </c>
      <c r="F4156" s="1" t="n">
        <f aca="false">ROUND((1-_xlfn.PERCENTRANK.INC($C$7:$C$4378,C4156))*9,0)</f>
        <v>0</v>
      </c>
      <c r="G4156" s="1" t="n">
        <f aca="false">ROUND(_xlfn.PERCENTRANK.INC($D$7:$D$4378,D4156)*9,0)</f>
        <v>0</v>
      </c>
      <c r="H4156" s="1" t="n">
        <f aca="false">ROUND(_xlfn.PERCENTRANK.INC($E$7:$E$4378,E4156)*9,0)</f>
        <v>2</v>
      </c>
      <c r="I4156" s="1" t="str">
        <f aca="false">CONCATENATE(F4156,G4156,H4156)</f>
        <v>002</v>
      </c>
      <c r="J4156" s="1" t="str">
        <f aca="false">_xlfn.IFS(AND(F4156&gt;=8,G4156&gt;=8,H4156&gt;=8),"CHAMPION",AND(F4156&gt;=6,G4156&gt;=7,H4156&gt;=6),"LOYAL CUSTOMER",AND(F4156&gt;=6,G4156&gt;=5,H4156&gt;=5),"POTENTIAL LOYALIST",AND(F4156&gt;=8,G4156&lt;=2,H4156&gt;=5),"NEW CUSTOMERS",AND(F4156&gt;=6,G4156&lt;=2,H4156&gt;=3),"PROMISING",AND(F4156&gt;=3,G4156&gt;=3,H4156&gt;=3),"NEED ATTENTION",AND(F4156&lt;=4,G4156&gt;=6,H4156&gt;=6),"AT RISK",AND(F4156&lt;=2,G4156&gt;=8,H4156&gt;=8),"CAN'T LOSE THEM",AND(F4156&lt;=2,G4156&lt;=2,H4156&lt;=2),"HIBERNATING",TRUE(),"Other")</f>
        <v>HIBERNATING</v>
      </c>
      <c r="K4156" s="1" t="n">
        <f aca="false">RANK(E4156,$E$7:$E$4378)+COUNTIF($E$7:E4156,E4156)-1</f>
        <v>3248</v>
      </c>
    </row>
    <row r="4157" customFormat="false" ht="14.25" hidden="false" customHeight="true" outlineLevel="0" collapsed="false">
      <c r="A4157" s="51" t="n">
        <v>17979</v>
      </c>
      <c r="B4157" s="53" t="n">
        <v>40851.5034722222</v>
      </c>
      <c r="C4157" s="57" t="n">
        <f aca="false">INT($C$2)-INT(Table3[[#This Row],[Last Purchase Date]])</f>
        <v>36</v>
      </c>
      <c r="D4157" s="1" t="n">
        <v>5</v>
      </c>
      <c r="E4157" s="1" t="n">
        <v>737.81</v>
      </c>
      <c r="F4157" s="1" t="n">
        <f aca="false">ROUND((1-_xlfn.PERCENTRANK.INC($C$7:$C$4378,C4157))*9,0)</f>
        <v>5</v>
      </c>
      <c r="G4157" s="1" t="n">
        <f aca="false">ROUND(_xlfn.PERCENTRANK.INC($D$7:$D$4378,D4157)*9,0)</f>
        <v>6</v>
      </c>
      <c r="H4157" s="1" t="n">
        <f aca="false">ROUND(_xlfn.PERCENTRANK.INC($E$7:$E$4378,E4157)*9,0)</f>
        <v>5</v>
      </c>
      <c r="I4157" s="1" t="str">
        <f aca="false">CONCATENATE(F4157,G4157,H4157)</f>
        <v>565</v>
      </c>
      <c r="J4157" s="1" t="str">
        <f aca="false">_xlfn.IFS(AND(F4157&gt;=8,G4157&gt;=8,H4157&gt;=8),"CHAMPION",AND(F4157&gt;=6,G4157&gt;=7,H4157&gt;=6),"LOYAL CUSTOMER",AND(F4157&gt;=6,G4157&gt;=5,H4157&gt;=5),"POTENTIAL LOYALIST",AND(F4157&gt;=8,G4157&lt;=2,H4157&gt;=5),"NEW CUSTOMERS",AND(F4157&gt;=6,G4157&lt;=2,H4157&gt;=3),"PROMISING",AND(F4157&gt;=3,G4157&gt;=3,H4157&gt;=3),"NEED ATTENTION",AND(F4157&lt;=4,G4157&gt;=6,H4157&gt;=6),"AT RISK",AND(F4157&lt;=2,G4157&gt;=8,H4157&gt;=8),"CAN'T LOSE THEM",AND(F4157&lt;=2,G4157&lt;=2,H4157&lt;=2),"HIBERNATING",TRUE(),"Other")</f>
        <v>NEED ATTENTION</v>
      </c>
      <c r="K4157" s="1" t="n">
        <f aca="false">RANK(E4157,$E$7:$E$4378)+COUNTIF($E$7:E4157,E4157)-1</f>
        <v>1998</v>
      </c>
    </row>
    <row r="4158" customFormat="false" ht="14.25" hidden="false" customHeight="true" outlineLevel="0" collapsed="false">
      <c r="A4158" s="51" t="n">
        <v>17980</v>
      </c>
      <c r="B4158" s="53" t="n">
        <v>40721.5006944445</v>
      </c>
      <c r="C4158" s="57" t="n">
        <f aca="false">INT($C$2)-INT(Table3[[#This Row],[Last Purchase Date]])</f>
        <v>166</v>
      </c>
      <c r="D4158" s="1" t="n">
        <v>3</v>
      </c>
      <c r="E4158" s="1" t="n">
        <v>811.45</v>
      </c>
      <c r="F4158" s="1" t="n">
        <f aca="false">ROUND((1-_xlfn.PERCENTRANK.INC($C$7:$C$4378,C4158))*9,0)</f>
        <v>2</v>
      </c>
      <c r="G4158" s="1" t="n">
        <f aca="false">ROUND(_xlfn.PERCENTRANK.INC($D$7:$D$4378,D4158)*9,0)</f>
        <v>4</v>
      </c>
      <c r="H4158" s="1" t="n">
        <f aca="false">ROUND(_xlfn.PERCENTRANK.INC($E$7:$E$4378,E4158)*9,0)</f>
        <v>5</v>
      </c>
      <c r="I4158" s="1" t="str">
        <f aca="false">CONCATENATE(F4158,G4158,H4158)</f>
        <v>245</v>
      </c>
      <c r="J4158" s="1" t="str">
        <f aca="false">_xlfn.IFS(AND(F4158&gt;=8,G4158&gt;=8,H4158&gt;=8),"CHAMPION",AND(F4158&gt;=6,G4158&gt;=7,H4158&gt;=6),"LOYAL CUSTOMER",AND(F4158&gt;=6,G4158&gt;=5,H4158&gt;=5),"POTENTIAL LOYALIST",AND(F4158&gt;=8,G4158&lt;=2,H4158&gt;=5),"NEW CUSTOMERS",AND(F4158&gt;=6,G4158&lt;=2,H4158&gt;=3),"PROMISING",AND(F4158&gt;=3,G4158&gt;=3,H4158&gt;=3),"NEED ATTENTION",AND(F4158&lt;=4,G4158&gt;=6,H4158&gt;=6),"AT RISK",AND(F4158&lt;=2,G4158&gt;=8,H4158&gt;=8),"CAN'T LOSE THEM",AND(F4158&lt;=2,G4158&lt;=2,H4158&lt;=2),"HIBERNATING",TRUE(),"Other")</f>
        <v>Other</v>
      </c>
      <c r="K4158" s="1" t="n">
        <f aca="false">RANK(E4158,$E$7:$E$4378)+COUNTIF($E$7:E4158,E4158)-1</f>
        <v>1880</v>
      </c>
    </row>
    <row r="4159" customFormat="false" ht="14.25" hidden="false" customHeight="true" outlineLevel="0" collapsed="false">
      <c r="A4159" s="51" t="n">
        <v>17984</v>
      </c>
      <c r="B4159" s="53" t="n">
        <v>40741.6659722222</v>
      </c>
      <c r="C4159" s="57" t="n">
        <f aca="false">INT($C$2)-INT(Table3[[#This Row],[Last Purchase Date]])</f>
        <v>146</v>
      </c>
      <c r="D4159" s="1" t="n">
        <v>1</v>
      </c>
      <c r="E4159" s="1" t="n">
        <v>152.68</v>
      </c>
      <c r="F4159" s="1" t="n">
        <f aca="false">ROUND((1-_xlfn.PERCENTRANK.INC($C$7:$C$4378,C4159))*9,0)</f>
        <v>2</v>
      </c>
      <c r="G4159" s="1" t="n">
        <f aca="false">ROUND(_xlfn.PERCENTRANK.INC($D$7:$D$4378,D4159)*9,0)</f>
        <v>0</v>
      </c>
      <c r="H4159" s="1" t="n">
        <f aca="false">ROUND(_xlfn.PERCENTRANK.INC($E$7:$E$4378,E4159)*9,0)</f>
        <v>1</v>
      </c>
      <c r="I4159" s="1" t="str">
        <f aca="false">CONCATENATE(F4159,G4159,H4159)</f>
        <v>201</v>
      </c>
      <c r="J4159" s="1" t="str">
        <f aca="false">_xlfn.IFS(AND(F4159&gt;=8,G4159&gt;=8,H4159&gt;=8),"CHAMPION",AND(F4159&gt;=6,G4159&gt;=7,H4159&gt;=6),"LOYAL CUSTOMER",AND(F4159&gt;=6,G4159&gt;=5,H4159&gt;=5),"POTENTIAL LOYALIST",AND(F4159&gt;=8,G4159&lt;=2,H4159&gt;=5),"NEW CUSTOMERS",AND(F4159&gt;=6,G4159&lt;=2,H4159&gt;=3),"PROMISING",AND(F4159&gt;=3,G4159&gt;=3,H4159&gt;=3),"NEED ATTENTION",AND(F4159&lt;=4,G4159&gt;=6,H4159&gt;=6),"AT RISK",AND(F4159&lt;=2,G4159&gt;=8,H4159&gt;=8),"CAN'T LOSE THEM",AND(F4159&lt;=2,G4159&lt;=2,H4159&lt;=2),"HIBERNATING",TRUE(),"Other")</f>
        <v>HIBERNATING</v>
      </c>
      <c r="K4159" s="1" t="n">
        <f aca="false">RANK(E4159,$E$7:$E$4378)+COUNTIF($E$7:E4159,E4159)-1</f>
        <v>3902</v>
      </c>
    </row>
    <row r="4160" customFormat="false" ht="14.25" hidden="false" customHeight="true" outlineLevel="0" collapsed="false">
      <c r="A4160" s="51" t="n">
        <v>17985</v>
      </c>
      <c r="B4160" s="53" t="n">
        <v>40864.6</v>
      </c>
      <c r="C4160" s="57" t="n">
        <f aca="false">INT($C$2)-INT(Table3[[#This Row],[Last Purchase Date]])</f>
        <v>23</v>
      </c>
      <c r="D4160" s="1" t="n">
        <v>1</v>
      </c>
      <c r="E4160" s="1" t="n">
        <v>634.95</v>
      </c>
      <c r="F4160" s="1" t="n">
        <f aca="false">ROUND((1-_xlfn.PERCENTRANK.INC($C$7:$C$4378,C4160))*9,0)</f>
        <v>6</v>
      </c>
      <c r="G4160" s="1" t="n">
        <f aca="false">ROUND(_xlfn.PERCENTRANK.INC($D$7:$D$4378,D4160)*9,0)</f>
        <v>0</v>
      </c>
      <c r="H4160" s="1" t="n">
        <f aca="false">ROUND(_xlfn.PERCENTRANK.INC($E$7:$E$4378,E4160)*9,0)</f>
        <v>4</v>
      </c>
      <c r="I4160" s="1" t="str">
        <f aca="false">CONCATENATE(F4160,G4160,H4160)</f>
        <v>604</v>
      </c>
      <c r="J4160" s="1" t="str">
        <f aca="false">_xlfn.IFS(AND(F4160&gt;=8,G4160&gt;=8,H4160&gt;=8),"CHAMPION",AND(F4160&gt;=6,G4160&gt;=7,H4160&gt;=6),"LOYAL CUSTOMER",AND(F4160&gt;=6,G4160&gt;=5,H4160&gt;=5),"POTENTIAL LOYALIST",AND(F4160&gt;=8,G4160&lt;=2,H4160&gt;=5),"NEW CUSTOMERS",AND(F4160&gt;=6,G4160&lt;=2,H4160&gt;=3),"PROMISING",AND(F4160&gt;=3,G4160&gt;=3,H4160&gt;=3),"NEED ATTENTION",AND(F4160&lt;=4,G4160&gt;=6,H4160&gt;=6),"AT RISK",AND(F4160&lt;=2,G4160&gt;=8,H4160&gt;=8),"CAN'T LOSE THEM",AND(F4160&lt;=2,G4160&lt;=2,H4160&lt;=2),"HIBERNATING",TRUE(),"Other")</f>
        <v>PROMISING</v>
      </c>
      <c r="K4160" s="1" t="n">
        <f aca="false">RANK(E4160,$E$7:$E$4378)+COUNTIF($E$7:E4160,E4160)-1</f>
        <v>2223</v>
      </c>
    </row>
    <row r="4161" customFormat="false" ht="14.25" hidden="false" customHeight="true" outlineLevel="0" collapsed="false">
      <c r="A4161" s="51" t="n">
        <v>17986</v>
      </c>
      <c r="B4161" s="53" t="n">
        <v>40830.5986111111</v>
      </c>
      <c r="C4161" s="57" t="n">
        <f aca="false">INT($C$2)-INT(Table3[[#This Row],[Last Purchase Date]])</f>
        <v>57</v>
      </c>
      <c r="D4161" s="1" t="n">
        <v>1</v>
      </c>
      <c r="E4161" s="1" t="n">
        <v>20.8</v>
      </c>
      <c r="F4161" s="1" t="n">
        <f aca="false">ROUND((1-_xlfn.PERCENTRANK.INC($C$7:$C$4378,C4161))*9,0)</f>
        <v>4</v>
      </c>
      <c r="G4161" s="1" t="n">
        <f aca="false">ROUND(_xlfn.PERCENTRANK.INC($D$7:$D$4378,D4161)*9,0)</f>
        <v>0</v>
      </c>
      <c r="H4161" s="1" t="n">
        <f aca="false">ROUND(_xlfn.PERCENTRANK.INC($E$7:$E$4378,E4161)*9,0)</f>
        <v>0</v>
      </c>
      <c r="I4161" s="1" t="str">
        <f aca="false">CONCATENATE(F4161,G4161,H4161)</f>
        <v>400</v>
      </c>
      <c r="J4161" s="1" t="str">
        <f aca="false">_xlfn.IFS(AND(F4161&gt;=8,G4161&gt;=8,H4161&gt;=8),"CHAMPION",AND(F4161&gt;=6,G4161&gt;=7,H4161&gt;=6),"LOYAL CUSTOMER",AND(F4161&gt;=6,G4161&gt;=5,H4161&gt;=5),"POTENTIAL LOYALIST",AND(F4161&gt;=8,G4161&lt;=2,H4161&gt;=5),"NEW CUSTOMERS",AND(F4161&gt;=6,G4161&lt;=2,H4161&gt;=3),"PROMISING",AND(F4161&gt;=3,G4161&gt;=3,H4161&gt;=3),"NEED ATTENTION",AND(F4161&lt;=4,G4161&gt;=6,H4161&gt;=6),"AT RISK",AND(F4161&lt;=2,G4161&gt;=8,H4161&gt;=8),"CAN'T LOSE THEM",AND(F4161&lt;=2,G4161&lt;=2,H4161&lt;=2),"HIBERNATING",TRUE(),"Other")</f>
        <v>Other</v>
      </c>
      <c r="K4161" s="1" t="n">
        <f aca="false">RANK(E4161,$E$7:$E$4378)+COUNTIF($E$7:E4161,E4161)-1</f>
        <v>4310</v>
      </c>
    </row>
    <row r="4162" customFormat="false" ht="14.25" hidden="false" customHeight="true" outlineLevel="0" collapsed="false">
      <c r="A4162" s="51" t="n">
        <v>17987</v>
      </c>
      <c r="B4162" s="53" t="n">
        <v>40701.5986111111</v>
      </c>
      <c r="C4162" s="57" t="n">
        <f aca="false">INT($C$2)-INT(Table3[[#This Row],[Last Purchase Date]])</f>
        <v>186</v>
      </c>
      <c r="D4162" s="1" t="n">
        <v>1</v>
      </c>
      <c r="E4162" s="1" t="n">
        <v>198.57</v>
      </c>
      <c r="F4162" s="1" t="n">
        <f aca="false">ROUND((1-_xlfn.PERCENTRANK.INC($C$7:$C$4378,C4162))*9,0)</f>
        <v>2</v>
      </c>
      <c r="G4162" s="1" t="n">
        <f aca="false">ROUND(_xlfn.PERCENTRANK.INC($D$7:$D$4378,D4162)*9,0)</f>
        <v>0</v>
      </c>
      <c r="H4162" s="1" t="n">
        <f aca="false">ROUND(_xlfn.PERCENTRANK.INC($E$7:$E$4378,E4162)*9,0)</f>
        <v>1</v>
      </c>
      <c r="I4162" s="1" t="str">
        <f aca="false">CONCATENATE(F4162,G4162,H4162)</f>
        <v>201</v>
      </c>
      <c r="J4162" s="1" t="str">
        <f aca="false">_xlfn.IFS(AND(F4162&gt;=8,G4162&gt;=8,H4162&gt;=8),"CHAMPION",AND(F4162&gt;=6,G4162&gt;=7,H4162&gt;=6),"LOYAL CUSTOMER",AND(F4162&gt;=6,G4162&gt;=5,H4162&gt;=5),"POTENTIAL LOYALIST",AND(F4162&gt;=8,G4162&lt;=2,H4162&gt;=5),"NEW CUSTOMERS",AND(F4162&gt;=6,G4162&lt;=2,H4162&gt;=3),"PROMISING",AND(F4162&gt;=3,G4162&gt;=3,H4162&gt;=3),"NEED ATTENTION",AND(F4162&lt;=4,G4162&gt;=6,H4162&gt;=6),"AT RISK",AND(F4162&lt;=2,G4162&gt;=8,H4162&gt;=8),"CAN'T LOSE THEM",AND(F4162&lt;=2,G4162&lt;=2,H4162&lt;=2),"HIBERNATING",TRUE(),"Other")</f>
        <v>HIBERNATING</v>
      </c>
      <c r="K4162" s="1" t="n">
        <f aca="false">RANK(E4162,$E$7:$E$4378)+COUNTIF($E$7:E4162,E4162)-1</f>
        <v>3665</v>
      </c>
    </row>
    <row r="4163" customFormat="false" ht="14.25" hidden="false" customHeight="true" outlineLevel="0" collapsed="false">
      <c r="A4163" s="51" t="n">
        <v>17988</v>
      </c>
      <c r="B4163" s="53" t="n">
        <v>40875.4583333333</v>
      </c>
      <c r="C4163" s="57" t="n">
        <f aca="false">INT($C$2)-INT(Table3[[#This Row],[Last Purchase Date]])</f>
        <v>12</v>
      </c>
      <c r="D4163" s="1" t="n">
        <v>8</v>
      </c>
      <c r="E4163" s="1" t="n">
        <v>191.17</v>
      </c>
      <c r="F4163" s="1" t="n">
        <f aca="false">ROUND((1-_xlfn.PERCENTRANK.INC($C$7:$C$4378,C4163))*9,0)</f>
        <v>7</v>
      </c>
      <c r="G4163" s="1" t="n">
        <f aca="false">ROUND(_xlfn.PERCENTRANK.INC($D$7:$D$4378,D4163)*9,0)</f>
        <v>7</v>
      </c>
      <c r="H4163" s="1" t="n">
        <f aca="false">ROUND(_xlfn.PERCENTRANK.INC($E$7:$E$4378,E4163)*9,0)</f>
        <v>1</v>
      </c>
      <c r="I4163" s="1" t="str">
        <f aca="false">CONCATENATE(F4163,G4163,H4163)</f>
        <v>771</v>
      </c>
      <c r="J4163" s="1" t="str">
        <f aca="false">_xlfn.IFS(AND(F4163&gt;=8,G4163&gt;=8,H4163&gt;=8),"CHAMPION",AND(F4163&gt;=6,G4163&gt;=7,H4163&gt;=6),"LOYAL CUSTOMER",AND(F4163&gt;=6,G4163&gt;=5,H4163&gt;=5),"POTENTIAL LOYALIST",AND(F4163&gt;=8,G4163&lt;=2,H4163&gt;=5),"NEW CUSTOMERS",AND(F4163&gt;=6,G4163&lt;=2,H4163&gt;=3),"PROMISING",AND(F4163&gt;=3,G4163&gt;=3,H4163&gt;=3),"NEED ATTENTION",AND(F4163&lt;=4,G4163&gt;=6,H4163&gt;=6),"AT RISK",AND(F4163&lt;=2,G4163&gt;=8,H4163&gt;=8),"CAN'T LOSE THEM",AND(F4163&lt;=2,G4163&lt;=2,H4163&lt;=2),"HIBERNATING",TRUE(),"Other")</f>
        <v>Other</v>
      </c>
      <c r="K4163" s="1" t="n">
        <f aca="false">RANK(E4163,$E$7:$E$4378)+COUNTIF($E$7:E4163,E4163)-1</f>
        <v>3701</v>
      </c>
    </row>
    <row r="4164" customFormat="false" ht="14.25" hidden="false" customHeight="true" outlineLevel="0" collapsed="false">
      <c r="A4164" s="51" t="n">
        <v>17990</v>
      </c>
      <c r="B4164" s="53" t="n">
        <v>40650.4888888889</v>
      </c>
      <c r="C4164" s="57" t="n">
        <f aca="false">INT($C$2)-INT(Table3[[#This Row],[Last Purchase Date]])</f>
        <v>237</v>
      </c>
      <c r="D4164" s="1" t="n">
        <v>3</v>
      </c>
      <c r="E4164" s="1" t="n">
        <v>630.84</v>
      </c>
      <c r="F4164" s="1" t="n">
        <f aca="false">ROUND((1-_xlfn.PERCENTRANK.INC($C$7:$C$4378,C4164))*9,0)</f>
        <v>1</v>
      </c>
      <c r="G4164" s="1" t="n">
        <f aca="false">ROUND(_xlfn.PERCENTRANK.INC($D$7:$D$4378,D4164)*9,0)</f>
        <v>4</v>
      </c>
      <c r="H4164" s="1" t="n">
        <f aca="false">ROUND(_xlfn.PERCENTRANK.INC($E$7:$E$4378,E4164)*9,0)</f>
        <v>4</v>
      </c>
      <c r="I4164" s="1" t="str">
        <f aca="false">CONCATENATE(F4164,G4164,H4164)</f>
        <v>144</v>
      </c>
      <c r="J4164" s="1" t="str">
        <f aca="false">_xlfn.IFS(AND(F4164&gt;=8,G4164&gt;=8,H4164&gt;=8),"CHAMPION",AND(F4164&gt;=6,G4164&gt;=7,H4164&gt;=6),"LOYAL CUSTOMER",AND(F4164&gt;=6,G4164&gt;=5,H4164&gt;=5),"POTENTIAL LOYALIST",AND(F4164&gt;=8,G4164&lt;=2,H4164&gt;=5),"NEW CUSTOMERS",AND(F4164&gt;=6,G4164&lt;=2,H4164&gt;=3),"PROMISING",AND(F4164&gt;=3,G4164&gt;=3,H4164&gt;=3),"NEED ATTENTION",AND(F4164&lt;=4,G4164&gt;=6,H4164&gt;=6),"AT RISK",AND(F4164&lt;=2,G4164&gt;=8,H4164&gt;=8),"CAN'T LOSE THEM",AND(F4164&lt;=2,G4164&lt;=2,H4164&lt;=2),"HIBERNATING",TRUE(),"Other")</f>
        <v>Other</v>
      </c>
      <c r="K4164" s="1" t="n">
        <f aca="false">RANK(E4164,$E$7:$E$4378)+COUNTIF($E$7:E4164,E4164)-1</f>
        <v>2232</v>
      </c>
    </row>
    <row r="4165" customFormat="false" ht="14.25" hidden="false" customHeight="true" outlineLevel="0" collapsed="false">
      <c r="A4165" s="51" t="n">
        <v>17991</v>
      </c>
      <c r="B4165" s="53" t="n">
        <v>40661.6652777778</v>
      </c>
      <c r="C4165" s="57" t="n">
        <f aca="false">INT($C$2)-INT(Table3[[#This Row],[Last Purchase Date]])</f>
        <v>226</v>
      </c>
      <c r="D4165" s="1" t="n">
        <v>2</v>
      </c>
      <c r="E4165" s="1" t="n">
        <v>93.35</v>
      </c>
      <c r="F4165" s="1" t="n">
        <f aca="false">ROUND((1-_xlfn.PERCENTRANK.INC($C$7:$C$4378,C4165))*9,0)</f>
        <v>1</v>
      </c>
      <c r="G4165" s="1" t="n">
        <f aca="false">ROUND(_xlfn.PERCENTRANK.INC($D$7:$D$4378,D4165)*9,0)</f>
        <v>3</v>
      </c>
      <c r="H4165" s="1" t="n">
        <f aca="false">ROUND(_xlfn.PERCENTRANK.INC($E$7:$E$4378,E4165)*9,0)</f>
        <v>0</v>
      </c>
      <c r="I4165" s="1" t="str">
        <f aca="false">CONCATENATE(F4165,G4165,H4165)</f>
        <v>130</v>
      </c>
      <c r="J4165" s="1" t="str">
        <f aca="false">_xlfn.IFS(AND(F4165&gt;=8,G4165&gt;=8,H4165&gt;=8),"CHAMPION",AND(F4165&gt;=6,G4165&gt;=7,H4165&gt;=6),"LOYAL CUSTOMER",AND(F4165&gt;=6,G4165&gt;=5,H4165&gt;=5),"POTENTIAL LOYALIST",AND(F4165&gt;=8,G4165&lt;=2,H4165&gt;=5),"NEW CUSTOMERS",AND(F4165&gt;=6,G4165&lt;=2,H4165&gt;=3),"PROMISING",AND(F4165&gt;=3,G4165&gt;=3,H4165&gt;=3),"NEED ATTENTION",AND(F4165&lt;=4,G4165&gt;=6,H4165&gt;=6),"AT RISK",AND(F4165&lt;=2,G4165&gt;=8,H4165&gt;=8),"CAN'T LOSE THEM",AND(F4165&lt;=2,G4165&lt;=2,H4165&lt;=2),"HIBERNATING",TRUE(),"Other")</f>
        <v>Other</v>
      </c>
      <c r="K4165" s="1" t="n">
        <f aca="false">RANK(E4165,$E$7:$E$4378)+COUNTIF($E$7:E4165,E4165)-1</f>
        <v>4182</v>
      </c>
    </row>
    <row r="4166" customFormat="false" ht="14.25" hidden="false" customHeight="true" outlineLevel="0" collapsed="false">
      <c r="A4166" s="51" t="n">
        <v>17994</v>
      </c>
      <c r="B4166" s="53" t="n">
        <v>40765.4881944444</v>
      </c>
      <c r="C4166" s="57" t="n">
        <f aca="false">INT($C$2)-INT(Table3[[#This Row],[Last Purchase Date]])</f>
        <v>122</v>
      </c>
      <c r="D4166" s="1" t="n">
        <v>6</v>
      </c>
      <c r="E4166" s="1" t="n">
        <v>629.69</v>
      </c>
      <c r="F4166" s="1" t="n">
        <f aca="false">ROUND((1-_xlfn.PERCENTRANK.INC($C$7:$C$4378,C4166))*9,0)</f>
        <v>3</v>
      </c>
      <c r="G4166" s="1" t="n">
        <f aca="false">ROUND(_xlfn.PERCENTRANK.INC($D$7:$D$4378,D4166)*9,0)</f>
        <v>7</v>
      </c>
      <c r="H4166" s="1" t="n">
        <f aca="false">ROUND(_xlfn.PERCENTRANK.INC($E$7:$E$4378,E4166)*9,0)</f>
        <v>4</v>
      </c>
      <c r="I4166" s="1" t="str">
        <f aca="false">CONCATENATE(F4166,G4166,H4166)</f>
        <v>374</v>
      </c>
      <c r="J4166" s="1" t="str">
        <f aca="false">_xlfn.IFS(AND(F4166&gt;=8,G4166&gt;=8,H4166&gt;=8),"CHAMPION",AND(F4166&gt;=6,G4166&gt;=7,H4166&gt;=6),"LOYAL CUSTOMER",AND(F4166&gt;=6,G4166&gt;=5,H4166&gt;=5),"POTENTIAL LOYALIST",AND(F4166&gt;=8,G4166&lt;=2,H4166&gt;=5),"NEW CUSTOMERS",AND(F4166&gt;=6,G4166&lt;=2,H4166&gt;=3),"PROMISING",AND(F4166&gt;=3,G4166&gt;=3,H4166&gt;=3),"NEED ATTENTION",AND(F4166&lt;=4,G4166&gt;=6,H4166&gt;=6),"AT RISK",AND(F4166&lt;=2,G4166&gt;=8,H4166&gt;=8),"CAN'T LOSE THEM",AND(F4166&lt;=2,G4166&lt;=2,H4166&lt;=2),"HIBERNATING",TRUE(),"Other")</f>
        <v>NEED ATTENTION</v>
      </c>
      <c r="K4166" s="1" t="n">
        <f aca="false">RANK(E4166,$E$7:$E$4378)+COUNTIF($E$7:E4166,E4166)-1</f>
        <v>2233</v>
      </c>
    </row>
    <row r="4167" customFormat="false" ht="14.25" hidden="false" customHeight="true" outlineLevel="0" collapsed="false">
      <c r="A4167" s="51" t="n">
        <v>17995</v>
      </c>
      <c r="B4167" s="53" t="n">
        <v>40605.5208333333</v>
      </c>
      <c r="C4167" s="57" t="n">
        <f aca="false">INT($C$2)-INT(Table3[[#This Row],[Last Purchase Date]])</f>
        <v>282</v>
      </c>
      <c r="D4167" s="1" t="n">
        <v>1</v>
      </c>
      <c r="E4167" s="1" t="n">
        <v>76.1</v>
      </c>
      <c r="F4167" s="1" t="n">
        <f aca="false">ROUND((1-_xlfn.PERCENTRANK.INC($C$7:$C$4378,C4167))*9,0)</f>
        <v>1</v>
      </c>
      <c r="G4167" s="1" t="n">
        <f aca="false">ROUND(_xlfn.PERCENTRANK.INC($D$7:$D$4378,D4167)*9,0)</f>
        <v>0</v>
      </c>
      <c r="H4167" s="1" t="n">
        <f aca="false">ROUND(_xlfn.PERCENTRANK.INC($E$7:$E$4378,E4167)*9,0)</f>
        <v>0</v>
      </c>
      <c r="I4167" s="1" t="str">
        <f aca="false">CONCATENATE(F4167,G4167,H4167)</f>
        <v>100</v>
      </c>
      <c r="J4167" s="1" t="str">
        <f aca="false">_xlfn.IFS(AND(F4167&gt;=8,G4167&gt;=8,H4167&gt;=8),"CHAMPION",AND(F4167&gt;=6,G4167&gt;=7,H4167&gt;=6),"LOYAL CUSTOMER",AND(F4167&gt;=6,G4167&gt;=5,H4167&gt;=5),"POTENTIAL LOYALIST",AND(F4167&gt;=8,G4167&lt;=2,H4167&gt;=5),"NEW CUSTOMERS",AND(F4167&gt;=6,G4167&lt;=2,H4167&gt;=3),"PROMISING",AND(F4167&gt;=3,G4167&gt;=3,H4167&gt;=3),"NEED ATTENTION",AND(F4167&lt;=4,G4167&gt;=6,H4167&gt;=6),"AT RISK",AND(F4167&lt;=2,G4167&gt;=8,H4167&gt;=8),"CAN'T LOSE THEM",AND(F4167&lt;=2,G4167&lt;=2,H4167&lt;=2),"HIBERNATING",TRUE(),"Other")</f>
        <v>HIBERNATING</v>
      </c>
      <c r="K4167" s="1" t="n">
        <f aca="false">RANK(E4167,$E$7:$E$4378)+COUNTIF($E$7:E4167,E4167)-1</f>
        <v>4232</v>
      </c>
    </row>
    <row r="4168" customFormat="false" ht="14.25" hidden="false" customHeight="true" outlineLevel="0" collapsed="false">
      <c r="A4168" s="51" t="n">
        <v>17997</v>
      </c>
      <c r="B4168" s="53" t="n">
        <v>40812.6756944444</v>
      </c>
      <c r="C4168" s="57" t="n">
        <f aca="false">INT($C$2)-INT(Table3[[#This Row],[Last Purchase Date]])</f>
        <v>75</v>
      </c>
      <c r="D4168" s="1" t="n">
        <v>12</v>
      </c>
      <c r="E4168" s="1" t="n">
        <v>1511.3</v>
      </c>
      <c r="F4168" s="1" t="n">
        <f aca="false">ROUND((1-_xlfn.PERCENTRANK.INC($C$7:$C$4378,C4168))*9,0)</f>
        <v>3</v>
      </c>
      <c r="G4168" s="1" t="n">
        <f aca="false">ROUND(_xlfn.PERCENTRANK.INC($D$7:$D$4378,D4168)*9,0)</f>
        <v>8</v>
      </c>
      <c r="H4168" s="1" t="n">
        <f aca="false">ROUND(_xlfn.PERCENTRANK.INC($E$7:$E$4378,E4168)*9,0)</f>
        <v>7</v>
      </c>
      <c r="I4168" s="1" t="str">
        <f aca="false">CONCATENATE(F4168,G4168,H4168)</f>
        <v>387</v>
      </c>
      <c r="J4168" s="1" t="str">
        <f aca="false">_xlfn.IFS(AND(F4168&gt;=8,G4168&gt;=8,H4168&gt;=8),"CHAMPION",AND(F4168&gt;=6,G4168&gt;=7,H4168&gt;=6),"LOYAL CUSTOMER",AND(F4168&gt;=6,G4168&gt;=5,H4168&gt;=5),"POTENTIAL LOYALIST",AND(F4168&gt;=8,G4168&lt;=2,H4168&gt;=5),"NEW CUSTOMERS",AND(F4168&gt;=6,G4168&lt;=2,H4168&gt;=3),"PROMISING",AND(F4168&gt;=3,G4168&gt;=3,H4168&gt;=3),"NEED ATTENTION",AND(F4168&lt;=4,G4168&gt;=6,H4168&gt;=6),"AT RISK",AND(F4168&lt;=2,G4168&gt;=8,H4168&gt;=8),"CAN'T LOSE THEM",AND(F4168&lt;=2,G4168&lt;=2,H4168&lt;=2),"HIBERNATING",TRUE(),"Other")</f>
        <v>NEED ATTENTION</v>
      </c>
      <c r="K4168" s="1" t="n">
        <f aca="false">RANK(E4168,$E$7:$E$4378)+COUNTIF($E$7:E4168,E4168)-1</f>
        <v>1159</v>
      </c>
    </row>
    <row r="4169" customFormat="false" ht="14.25" hidden="false" customHeight="true" outlineLevel="0" collapsed="false">
      <c r="A4169" s="51" t="n">
        <v>17999</v>
      </c>
      <c r="B4169" s="53" t="n">
        <v>40849.6638888889</v>
      </c>
      <c r="C4169" s="57" t="n">
        <f aca="false">INT($C$2)-INT(Table3[[#This Row],[Last Purchase Date]])</f>
        <v>38</v>
      </c>
      <c r="D4169" s="1" t="n">
        <v>2</v>
      </c>
      <c r="E4169" s="1" t="n">
        <v>382.06</v>
      </c>
      <c r="F4169" s="1" t="n">
        <f aca="false">ROUND((1-_xlfn.PERCENTRANK.INC($C$7:$C$4378,C4169))*9,0)</f>
        <v>5</v>
      </c>
      <c r="G4169" s="1" t="n">
        <f aca="false">ROUND(_xlfn.PERCENTRANK.INC($D$7:$D$4378,D4169)*9,0)</f>
        <v>3</v>
      </c>
      <c r="H4169" s="1" t="n">
        <f aca="false">ROUND(_xlfn.PERCENTRANK.INC($E$7:$E$4378,E4169)*9,0)</f>
        <v>3</v>
      </c>
      <c r="I4169" s="1" t="str">
        <f aca="false">CONCATENATE(F4169,G4169,H4169)</f>
        <v>533</v>
      </c>
      <c r="J4169" s="1" t="str">
        <f aca="false">_xlfn.IFS(AND(F4169&gt;=8,G4169&gt;=8,H4169&gt;=8),"CHAMPION",AND(F4169&gt;=6,G4169&gt;=7,H4169&gt;=6),"LOYAL CUSTOMER",AND(F4169&gt;=6,G4169&gt;=5,H4169&gt;=5),"POTENTIAL LOYALIST",AND(F4169&gt;=8,G4169&lt;=2,H4169&gt;=5),"NEW CUSTOMERS",AND(F4169&gt;=6,G4169&lt;=2,H4169&gt;=3),"PROMISING",AND(F4169&gt;=3,G4169&gt;=3,H4169&gt;=3),"NEED ATTENTION",AND(F4169&lt;=4,G4169&gt;=6,H4169&gt;=6),"AT RISK",AND(F4169&lt;=2,G4169&gt;=8,H4169&gt;=8),"CAN'T LOSE THEM",AND(F4169&lt;=2,G4169&lt;=2,H4169&lt;=2),"HIBERNATING",TRUE(),"Other")</f>
        <v>NEED ATTENTION</v>
      </c>
      <c r="K4169" s="1" t="n">
        <f aca="false">RANK(E4169,$E$7:$E$4378)+COUNTIF($E$7:E4169,E4169)-1</f>
        <v>2881</v>
      </c>
    </row>
    <row r="4170" customFormat="false" ht="14.25" hidden="false" customHeight="true" outlineLevel="0" collapsed="false">
      <c r="A4170" s="51" t="n">
        <v>18001</v>
      </c>
      <c r="B4170" s="53" t="n">
        <v>40874.6680555556</v>
      </c>
      <c r="C4170" s="57" t="n">
        <f aca="false">INT($C$2)-INT(Table3[[#This Row],[Last Purchase Date]])</f>
        <v>13</v>
      </c>
      <c r="D4170" s="1" t="n">
        <v>2</v>
      </c>
      <c r="E4170" s="1" t="n">
        <v>417.23</v>
      </c>
      <c r="F4170" s="1" t="n">
        <f aca="false">ROUND((1-_xlfn.PERCENTRANK.INC($C$7:$C$4378,C4170))*9,0)</f>
        <v>7</v>
      </c>
      <c r="G4170" s="1" t="n">
        <f aca="false">ROUND(_xlfn.PERCENTRANK.INC($D$7:$D$4378,D4170)*9,0)</f>
        <v>3</v>
      </c>
      <c r="H4170" s="1" t="n">
        <f aca="false">ROUND(_xlfn.PERCENTRANK.INC($E$7:$E$4378,E4170)*9,0)</f>
        <v>3</v>
      </c>
      <c r="I4170" s="1" t="str">
        <f aca="false">CONCATENATE(F4170,G4170,H4170)</f>
        <v>733</v>
      </c>
      <c r="J4170" s="1" t="str">
        <f aca="false">_xlfn.IFS(AND(F4170&gt;=8,G4170&gt;=8,H4170&gt;=8),"CHAMPION",AND(F4170&gt;=6,G4170&gt;=7,H4170&gt;=6),"LOYAL CUSTOMER",AND(F4170&gt;=6,G4170&gt;=5,H4170&gt;=5),"POTENTIAL LOYALIST",AND(F4170&gt;=8,G4170&lt;=2,H4170&gt;=5),"NEW CUSTOMERS",AND(F4170&gt;=6,G4170&lt;=2,H4170&gt;=3),"PROMISING",AND(F4170&gt;=3,G4170&gt;=3,H4170&gt;=3),"NEED ATTENTION",AND(F4170&lt;=4,G4170&gt;=6,H4170&gt;=6),"AT RISK",AND(F4170&lt;=2,G4170&gt;=8,H4170&gt;=8),"CAN'T LOSE THEM",AND(F4170&lt;=2,G4170&lt;=2,H4170&lt;=2),"HIBERNATING",TRUE(),"Other")</f>
        <v>NEED ATTENTION</v>
      </c>
      <c r="K4170" s="1" t="n">
        <f aca="false">RANK(E4170,$E$7:$E$4378)+COUNTIF($E$7:E4170,E4170)-1</f>
        <v>2762</v>
      </c>
    </row>
    <row r="4171" customFormat="false" ht="14.25" hidden="false" customHeight="true" outlineLevel="0" collapsed="false">
      <c r="A4171" s="51" t="n">
        <v>18004</v>
      </c>
      <c r="B4171" s="53" t="n">
        <v>40524.5743055556</v>
      </c>
      <c r="C4171" s="57" t="n">
        <f aca="false">INT($C$2)-INT(Table3[[#This Row],[Last Purchase Date]])</f>
        <v>363</v>
      </c>
      <c r="D4171" s="1" t="n">
        <v>1</v>
      </c>
      <c r="E4171" s="1" t="n">
        <v>169.47</v>
      </c>
      <c r="F4171" s="1" t="n">
        <f aca="false">ROUND((1-_xlfn.PERCENTRANK.INC($C$7:$C$4378,C4171))*9,0)</f>
        <v>0</v>
      </c>
      <c r="G4171" s="1" t="n">
        <f aca="false">ROUND(_xlfn.PERCENTRANK.INC($D$7:$D$4378,D4171)*9,0)</f>
        <v>0</v>
      </c>
      <c r="H4171" s="1" t="n">
        <f aca="false">ROUND(_xlfn.PERCENTRANK.INC($E$7:$E$4378,E4171)*9,0)</f>
        <v>1</v>
      </c>
      <c r="I4171" s="1" t="str">
        <f aca="false">CONCATENATE(F4171,G4171,H4171)</f>
        <v>001</v>
      </c>
      <c r="J4171" s="1" t="str">
        <f aca="false">_xlfn.IFS(AND(F4171&gt;=8,G4171&gt;=8,H4171&gt;=8),"CHAMPION",AND(F4171&gt;=6,G4171&gt;=7,H4171&gt;=6),"LOYAL CUSTOMER",AND(F4171&gt;=6,G4171&gt;=5,H4171&gt;=5),"POTENTIAL LOYALIST",AND(F4171&gt;=8,G4171&lt;=2,H4171&gt;=5),"NEW CUSTOMERS",AND(F4171&gt;=6,G4171&lt;=2,H4171&gt;=3),"PROMISING",AND(F4171&gt;=3,G4171&gt;=3,H4171&gt;=3),"NEED ATTENTION",AND(F4171&lt;=4,G4171&gt;=6,H4171&gt;=6),"AT RISK",AND(F4171&lt;=2,G4171&gt;=8,H4171&gt;=8),"CAN'T LOSE THEM",AND(F4171&lt;=2,G4171&lt;=2,H4171&lt;=2),"HIBERNATING",TRUE(),"Other")</f>
        <v>HIBERNATING</v>
      </c>
      <c r="K4171" s="1" t="n">
        <f aca="false">RANK(E4171,$E$7:$E$4378)+COUNTIF($E$7:E4171,E4171)-1</f>
        <v>3807</v>
      </c>
    </row>
    <row r="4172" customFormat="false" ht="14.25" hidden="false" customHeight="true" outlineLevel="0" collapsed="false">
      <c r="A4172" s="51" t="n">
        <v>18005</v>
      </c>
      <c r="B4172" s="53" t="n">
        <v>40883.49375</v>
      </c>
      <c r="C4172" s="57" t="n">
        <f aca="false">INT($C$2)-INT(Table3[[#This Row],[Last Purchase Date]])</f>
        <v>4</v>
      </c>
      <c r="D4172" s="1" t="n">
        <v>2</v>
      </c>
      <c r="E4172" s="1" t="n">
        <v>249.72</v>
      </c>
      <c r="F4172" s="1" t="n">
        <f aca="false">ROUND((1-_xlfn.PERCENTRANK.INC($C$7:$C$4378,C4172))*9,0)</f>
        <v>8</v>
      </c>
      <c r="G4172" s="1" t="n">
        <f aca="false">ROUND(_xlfn.PERCENTRANK.INC($D$7:$D$4378,D4172)*9,0)</f>
        <v>3</v>
      </c>
      <c r="H4172" s="1" t="n">
        <f aca="false">ROUND(_xlfn.PERCENTRANK.INC($E$7:$E$4378,E4172)*9,0)</f>
        <v>2</v>
      </c>
      <c r="I4172" s="1" t="str">
        <f aca="false">CONCATENATE(F4172,G4172,H4172)</f>
        <v>832</v>
      </c>
      <c r="J4172" s="1" t="str">
        <f aca="false">_xlfn.IFS(AND(F4172&gt;=8,G4172&gt;=8,H4172&gt;=8),"CHAMPION",AND(F4172&gt;=6,G4172&gt;=7,H4172&gt;=6),"LOYAL CUSTOMER",AND(F4172&gt;=6,G4172&gt;=5,H4172&gt;=5),"POTENTIAL LOYALIST",AND(F4172&gt;=8,G4172&lt;=2,H4172&gt;=5),"NEW CUSTOMERS",AND(F4172&gt;=6,G4172&lt;=2,H4172&gt;=3),"PROMISING",AND(F4172&gt;=3,G4172&gt;=3,H4172&gt;=3),"NEED ATTENTION",AND(F4172&lt;=4,G4172&gt;=6,H4172&gt;=6),"AT RISK",AND(F4172&lt;=2,G4172&gt;=8,H4172&gt;=8),"CAN'T LOSE THEM",AND(F4172&lt;=2,G4172&lt;=2,H4172&lt;=2),"HIBERNATING",TRUE(),"Other")</f>
        <v>Other</v>
      </c>
      <c r="K4172" s="1" t="n">
        <f aca="false">RANK(E4172,$E$7:$E$4378)+COUNTIF($E$7:E4172,E4172)-1</f>
        <v>3442</v>
      </c>
    </row>
    <row r="4173" customFormat="false" ht="14.25" hidden="false" customHeight="true" outlineLevel="0" collapsed="false">
      <c r="A4173" s="51" t="n">
        <v>18006</v>
      </c>
      <c r="B4173" s="53" t="n">
        <v>40863.7027777778</v>
      </c>
      <c r="C4173" s="57" t="n">
        <f aca="false">INT($C$2)-INT(Table3[[#This Row],[Last Purchase Date]])</f>
        <v>24</v>
      </c>
      <c r="D4173" s="1" t="n">
        <v>1</v>
      </c>
      <c r="E4173" s="1" t="n">
        <v>444.68</v>
      </c>
      <c r="F4173" s="1" t="n">
        <f aca="false">ROUND((1-_xlfn.PERCENTRANK.INC($C$7:$C$4378,C4173))*9,0)</f>
        <v>6</v>
      </c>
      <c r="G4173" s="1" t="n">
        <f aca="false">ROUND(_xlfn.PERCENTRANK.INC($D$7:$D$4378,D4173)*9,0)</f>
        <v>0</v>
      </c>
      <c r="H4173" s="1" t="n">
        <f aca="false">ROUND(_xlfn.PERCENTRANK.INC($E$7:$E$4378,E4173)*9,0)</f>
        <v>3</v>
      </c>
      <c r="I4173" s="1" t="str">
        <f aca="false">CONCATENATE(F4173,G4173,H4173)</f>
        <v>603</v>
      </c>
      <c r="J4173" s="1" t="str">
        <f aca="false">_xlfn.IFS(AND(F4173&gt;=8,G4173&gt;=8,H4173&gt;=8),"CHAMPION",AND(F4173&gt;=6,G4173&gt;=7,H4173&gt;=6),"LOYAL CUSTOMER",AND(F4173&gt;=6,G4173&gt;=5,H4173&gt;=5),"POTENTIAL LOYALIST",AND(F4173&gt;=8,G4173&lt;=2,H4173&gt;=5),"NEW CUSTOMERS",AND(F4173&gt;=6,G4173&lt;=2,H4173&gt;=3),"PROMISING",AND(F4173&gt;=3,G4173&gt;=3,H4173&gt;=3),"NEED ATTENTION",AND(F4173&lt;=4,G4173&gt;=6,H4173&gt;=6),"AT RISK",AND(F4173&lt;=2,G4173&gt;=8,H4173&gt;=8),"CAN'T LOSE THEM",AND(F4173&lt;=2,G4173&lt;=2,H4173&lt;=2),"HIBERNATING",TRUE(),"Other")</f>
        <v>PROMISING</v>
      </c>
      <c r="K4173" s="1" t="n">
        <f aca="false">RANK(E4173,$E$7:$E$4378)+COUNTIF($E$7:E4173,E4173)-1</f>
        <v>2684</v>
      </c>
    </row>
    <row r="4174" customFormat="false" ht="14.25" hidden="false" customHeight="true" outlineLevel="0" collapsed="false">
      <c r="A4174" s="51" t="n">
        <v>18008</v>
      </c>
      <c r="B4174" s="53" t="n">
        <v>40816.6368055556</v>
      </c>
      <c r="C4174" s="57" t="n">
        <f aca="false">INT($C$2)-INT(Table3[[#This Row],[Last Purchase Date]])</f>
        <v>71</v>
      </c>
      <c r="D4174" s="1" t="n">
        <v>9</v>
      </c>
      <c r="E4174" s="1" t="n">
        <v>2116.19</v>
      </c>
      <c r="F4174" s="1" t="n">
        <f aca="false">ROUND((1-_xlfn.PERCENTRANK.INC($C$7:$C$4378,C4174))*9,0)</f>
        <v>4</v>
      </c>
      <c r="G4174" s="1" t="n">
        <f aca="false">ROUND(_xlfn.PERCENTRANK.INC($D$7:$D$4378,D4174)*9,0)</f>
        <v>8</v>
      </c>
      <c r="H4174" s="1" t="n">
        <f aca="false">ROUND(_xlfn.PERCENTRANK.INC($E$7:$E$4378,E4174)*9,0)</f>
        <v>7</v>
      </c>
      <c r="I4174" s="1" t="str">
        <f aca="false">CONCATENATE(F4174,G4174,H4174)</f>
        <v>487</v>
      </c>
      <c r="J4174" s="1" t="str">
        <f aca="false">_xlfn.IFS(AND(F4174&gt;=8,G4174&gt;=8,H4174&gt;=8),"CHAMPION",AND(F4174&gt;=6,G4174&gt;=7,H4174&gt;=6),"LOYAL CUSTOMER",AND(F4174&gt;=6,G4174&gt;=5,H4174&gt;=5),"POTENTIAL LOYALIST",AND(F4174&gt;=8,G4174&lt;=2,H4174&gt;=5),"NEW CUSTOMERS",AND(F4174&gt;=6,G4174&lt;=2,H4174&gt;=3),"PROMISING",AND(F4174&gt;=3,G4174&gt;=3,H4174&gt;=3),"NEED ATTENTION",AND(F4174&lt;=4,G4174&gt;=6,H4174&gt;=6),"AT RISK",AND(F4174&lt;=2,G4174&gt;=8,H4174&gt;=8),"CAN'T LOSE THEM",AND(F4174&lt;=2,G4174&lt;=2,H4174&lt;=2),"HIBERNATING",TRUE(),"Other")</f>
        <v>NEED ATTENTION</v>
      </c>
      <c r="K4174" s="1" t="n">
        <f aca="false">RANK(E4174,$E$7:$E$4378)+COUNTIF($E$7:E4174,E4174)-1</f>
        <v>818</v>
      </c>
    </row>
    <row r="4175" customFormat="false" ht="14.25" hidden="false" customHeight="true" outlineLevel="0" collapsed="false">
      <c r="A4175" s="51" t="n">
        <v>18009</v>
      </c>
      <c r="B4175" s="53" t="n">
        <v>40651.5777777778</v>
      </c>
      <c r="C4175" s="57" t="n">
        <f aca="false">INT($C$2)-INT(Table3[[#This Row],[Last Purchase Date]])</f>
        <v>236</v>
      </c>
      <c r="D4175" s="1" t="n">
        <v>2</v>
      </c>
      <c r="E4175" s="1" t="n">
        <v>252.24</v>
      </c>
      <c r="F4175" s="1" t="n">
        <f aca="false">ROUND((1-_xlfn.PERCENTRANK.INC($C$7:$C$4378,C4175))*9,0)</f>
        <v>1</v>
      </c>
      <c r="G4175" s="1" t="n">
        <f aca="false">ROUND(_xlfn.PERCENTRANK.INC($D$7:$D$4378,D4175)*9,0)</f>
        <v>3</v>
      </c>
      <c r="H4175" s="1" t="n">
        <f aca="false">ROUND(_xlfn.PERCENTRANK.INC($E$7:$E$4378,E4175)*9,0)</f>
        <v>2</v>
      </c>
      <c r="I4175" s="1" t="str">
        <f aca="false">CONCATENATE(F4175,G4175,H4175)</f>
        <v>132</v>
      </c>
      <c r="J4175" s="1" t="str">
        <f aca="false">_xlfn.IFS(AND(F4175&gt;=8,G4175&gt;=8,H4175&gt;=8),"CHAMPION",AND(F4175&gt;=6,G4175&gt;=7,H4175&gt;=6),"LOYAL CUSTOMER",AND(F4175&gt;=6,G4175&gt;=5,H4175&gt;=5),"POTENTIAL LOYALIST",AND(F4175&gt;=8,G4175&lt;=2,H4175&gt;=5),"NEW CUSTOMERS",AND(F4175&gt;=6,G4175&lt;=2,H4175&gt;=3),"PROMISING",AND(F4175&gt;=3,G4175&gt;=3,H4175&gt;=3),"NEED ATTENTION",AND(F4175&lt;=4,G4175&gt;=6,H4175&gt;=6),"AT RISK",AND(F4175&lt;=2,G4175&gt;=8,H4175&gt;=8),"CAN'T LOSE THEM",AND(F4175&lt;=2,G4175&lt;=2,H4175&lt;=2),"HIBERNATING",TRUE(),"Other")</f>
        <v>Other</v>
      </c>
      <c r="K4175" s="1" t="n">
        <f aca="false">RANK(E4175,$E$7:$E$4378)+COUNTIF($E$7:E4175,E4175)-1</f>
        <v>3427</v>
      </c>
    </row>
    <row r="4176" customFormat="false" ht="14.25" hidden="false" customHeight="true" outlineLevel="0" collapsed="false">
      <c r="A4176" s="51" t="n">
        <v>18010</v>
      </c>
      <c r="B4176" s="53" t="n">
        <v>40630.51875</v>
      </c>
      <c r="C4176" s="57" t="n">
        <f aca="false">INT($C$2)-INT(Table3[[#This Row],[Last Purchase Date]])</f>
        <v>257</v>
      </c>
      <c r="D4176" s="1" t="n">
        <v>1</v>
      </c>
      <c r="E4176" s="1" t="n">
        <v>174.8</v>
      </c>
      <c r="F4176" s="1" t="n">
        <f aca="false">ROUND((1-_xlfn.PERCENTRANK.INC($C$7:$C$4378,C4176))*9,0)</f>
        <v>1</v>
      </c>
      <c r="G4176" s="1" t="n">
        <f aca="false">ROUND(_xlfn.PERCENTRANK.INC($D$7:$D$4378,D4176)*9,0)</f>
        <v>0</v>
      </c>
      <c r="H4176" s="1" t="n">
        <f aca="false">ROUND(_xlfn.PERCENTRANK.INC($E$7:$E$4378,E4176)*9,0)</f>
        <v>1</v>
      </c>
      <c r="I4176" s="1" t="str">
        <f aca="false">CONCATENATE(F4176,G4176,H4176)</f>
        <v>101</v>
      </c>
      <c r="J4176" s="1" t="str">
        <f aca="false">_xlfn.IFS(AND(F4176&gt;=8,G4176&gt;=8,H4176&gt;=8),"CHAMPION",AND(F4176&gt;=6,G4176&gt;=7,H4176&gt;=6),"LOYAL CUSTOMER",AND(F4176&gt;=6,G4176&gt;=5,H4176&gt;=5),"POTENTIAL LOYALIST",AND(F4176&gt;=8,G4176&lt;=2,H4176&gt;=5),"NEW CUSTOMERS",AND(F4176&gt;=6,G4176&lt;=2,H4176&gt;=3),"PROMISING",AND(F4176&gt;=3,G4176&gt;=3,H4176&gt;=3),"NEED ATTENTION",AND(F4176&lt;=4,G4176&gt;=6,H4176&gt;=6),"AT RISK",AND(F4176&lt;=2,G4176&gt;=8,H4176&gt;=8),"CAN'T LOSE THEM",AND(F4176&lt;=2,G4176&lt;=2,H4176&lt;=2),"HIBERNATING",TRUE(),"Other")</f>
        <v>HIBERNATING</v>
      </c>
      <c r="K4176" s="1" t="n">
        <f aca="false">RANK(E4176,$E$7:$E$4378)+COUNTIF($E$7:E4176,E4176)-1</f>
        <v>3780</v>
      </c>
    </row>
    <row r="4177" customFormat="false" ht="14.25" hidden="false" customHeight="true" outlineLevel="0" collapsed="false">
      <c r="A4177" s="51" t="n">
        <v>18011</v>
      </c>
      <c r="B4177" s="53" t="n">
        <v>40513.7326388889</v>
      </c>
      <c r="C4177" s="57" t="n">
        <f aca="false">INT($C$2)-INT(Table3[[#This Row],[Last Purchase Date]])</f>
        <v>374</v>
      </c>
      <c r="D4177" s="1" t="n">
        <v>1</v>
      </c>
      <c r="E4177" s="1" t="n">
        <v>102.79</v>
      </c>
      <c r="F4177" s="1" t="n">
        <f aca="false">ROUND((1-_xlfn.PERCENTRANK.INC($C$7:$C$4378,C4177))*9,0)</f>
        <v>0</v>
      </c>
      <c r="G4177" s="1" t="n">
        <f aca="false">ROUND(_xlfn.PERCENTRANK.INC($D$7:$D$4378,D4177)*9,0)</f>
        <v>0</v>
      </c>
      <c r="H4177" s="1" t="n">
        <f aca="false">ROUND(_xlfn.PERCENTRANK.INC($E$7:$E$4378,E4177)*9,0)</f>
        <v>0</v>
      </c>
      <c r="I4177" s="1" t="str">
        <f aca="false">CONCATENATE(F4177,G4177,H4177)</f>
        <v>000</v>
      </c>
      <c r="J4177" s="1" t="str">
        <f aca="false">_xlfn.IFS(AND(F4177&gt;=8,G4177&gt;=8,H4177&gt;=8),"CHAMPION",AND(F4177&gt;=6,G4177&gt;=7,H4177&gt;=6),"LOYAL CUSTOMER",AND(F4177&gt;=6,G4177&gt;=5,H4177&gt;=5),"POTENTIAL LOYALIST",AND(F4177&gt;=8,G4177&lt;=2,H4177&gt;=5),"NEW CUSTOMERS",AND(F4177&gt;=6,G4177&lt;=2,H4177&gt;=3),"PROMISING",AND(F4177&gt;=3,G4177&gt;=3,H4177&gt;=3),"NEED ATTENTION",AND(F4177&lt;=4,G4177&gt;=6,H4177&gt;=6),"AT RISK",AND(F4177&lt;=2,G4177&gt;=8,H4177&gt;=8),"CAN'T LOSE THEM",AND(F4177&lt;=2,G4177&lt;=2,H4177&lt;=2),"HIBERNATING",TRUE(),"Other")</f>
        <v>HIBERNATING</v>
      </c>
      <c r="K4177" s="1" t="n">
        <f aca="false">RANK(E4177,$E$7:$E$4378)+COUNTIF($E$7:E4177,E4177)-1</f>
        <v>4142</v>
      </c>
    </row>
    <row r="4178" customFormat="false" ht="14.25" hidden="false" customHeight="true" outlineLevel="0" collapsed="false">
      <c r="A4178" s="51" t="n">
        <v>18013</v>
      </c>
      <c r="B4178" s="53" t="n">
        <v>40731.5909722222</v>
      </c>
      <c r="C4178" s="57" t="n">
        <f aca="false">INT($C$2)-INT(Table3[[#This Row],[Last Purchase Date]])</f>
        <v>156</v>
      </c>
      <c r="D4178" s="1" t="n">
        <v>2</v>
      </c>
      <c r="E4178" s="1" t="n">
        <v>187.29</v>
      </c>
      <c r="F4178" s="1" t="n">
        <f aca="false">ROUND((1-_xlfn.PERCENTRANK.INC($C$7:$C$4378,C4178))*9,0)</f>
        <v>2</v>
      </c>
      <c r="G4178" s="1" t="n">
        <f aca="false">ROUND(_xlfn.PERCENTRANK.INC($D$7:$D$4378,D4178)*9,0)</f>
        <v>3</v>
      </c>
      <c r="H4178" s="1" t="n">
        <f aca="false">ROUND(_xlfn.PERCENTRANK.INC($E$7:$E$4378,E4178)*9,0)</f>
        <v>1</v>
      </c>
      <c r="I4178" s="1" t="str">
        <f aca="false">CONCATENATE(F4178,G4178,H4178)</f>
        <v>231</v>
      </c>
      <c r="J4178" s="1" t="str">
        <f aca="false">_xlfn.IFS(AND(F4178&gt;=8,G4178&gt;=8,H4178&gt;=8),"CHAMPION",AND(F4178&gt;=6,G4178&gt;=7,H4178&gt;=6),"LOYAL CUSTOMER",AND(F4178&gt;=6,G4178&gt;=5,H4178&gt;=5),"POTENTIAL LOYALIST",AND(F4178&gt;=8,G4178&lt;=2,H4178&gt;=5),"NEW CUSTOMERS",AND(F4178&gt;=6,G4178&lt;=2,H4178&gt;=3),"PROMISING",AND(F4178&gt;=3,G4178&gt;=3,H4178&gt;=3),"NEED ATTENTION",AND(F4178&lt;=4,G4178&gt;=6,H4178&gt;=6),"AT RISK",AND(F4178&lt;=2,G4178&gt;=8,H4178&gt;=8),"CAN'T LOSE THEM",AND(F4178&lt;=2,G4178&lt;=2,H4178&lt;=2),"HIBERNATING",TRUE(),"Other")</f>
        <v>Other</v>
      </c>
      <c r="K4178" s="1" t="n">
        <f aca="false">RANK(E4178,$E$7:$E$4378)+COUNTIF($E$7:E4178,E4178)-1</f>
        <v>3720</v>
      </c>
    </row>
    <row r="4179" customFormat="false" ht="14.25" hidden="false" customHeight="true" outlineLevel="0" collapsed="false">
      <c r="A4179" s="51" t="n">
        <v>18014</v>
      </c>
      <c r="B4179" s="53" t="n">
        <v>40858.6444444444</v>
      </c>
      <c r="C4179" s="57" t="n">
        <f aca="false">INT($C$2)-INT(Table3[[#This Row],[Last Purchase Date]])</f>
        <v>29</v>
      </c>
      <c r="D4179" s="1" t="n">
        <v>1</v>
      </c>
      <c r="E4179" s="1" t="n">
        <v>166.42</v>
      </c>
      <c r="F4179" s="1" t="n">
        <f aca="false">ROUND((1-_xlfn.PERCENTRANK.INC($C$7:$C$4378,C4179))*9,0)</f>
        <v>6</v>
      </c>
      <c r="G4179" s="1" t="n">
        <f aca="false">ROUND(_xlfn.PERCENTRANK.INC($D$7:$D$4378,D4179)*9,0)</f>
        <v>0</v>
      </c>
      <c r="H4179" s="1" t="n">
        <f aca="false">ROUND(_xlfn.PERCENTRANK.INC($E$7:$E$4378,E4179)*9,0)</f>
        <v>1</v>
      </c>
      <c r="I4179" s="1" t="str">
        <f aca="false">CONCATENATE(F4179,G4179,H4179)</f>
        <v>601</v>
      </c>
      <c r="J4179" s="1" t="str">
        <f aca="false">_xlfn.IFS(AND(F4179&gt;=8,G4179&gt;=8,H4179&gt;=8),"CHAMPION",AND(F4179&gt;=6,G4179&gt;=7,H4179&gt;=6),"LOYAL CUSTOMER",AND(F4179&gt;=6,G4179&gt;=5,H4179&gt;=5),"POTENTIAL LOYALIST",AND(F4179&gt;=8,G4179&lt;=2,H4179&gt;=5),"NEW CUSTOMERS",AND(F4179&gt;=6,G4179&lt;=2,H4179&gt;=3),"PROMISING",AND(F4179&gt;=3,G4179&gt;=3,H4179&gt;=3),"NEED ATTENTION",AND(F4179&lt;=4,G4179&gt;=6,H4179&gt;=6),"AT RISK",AND(F4179&lt;=2,G4179&gt;=8,H4179&gt;=8),"CAN'T LOSE THEM",AND(F4179&lt;=2,G4179&lt;=2,H4179&lt;=2),"HIBERNATING",TRUE(),"Other")</f>
        <v>Other</v>
      </c>
      <c r="K4179" s="1" t="n">
        <f aca="false">RANK(E4179,$E$7:$E$4378)+COUNTIF($E$7:E4179,E4179)-1</f>
        <v>3825</v>
      </c>
    </row>
    <row r="4180" customFormat="false" ht="14.25" hidden="false" customHeight="true" outlineLevel="0" collapsed="false">
      <c r="A4180" s="51" t="n">
        <v>18015</v>
      </c>
      <c r="B4180" s="53" t="n">
        <v>40882.6173611111</v>
      </c>
      <c r="C4180" s="57" t="n">
        <f aca="false">INT($C$2)-INT(Table3[[#This Row],[Last Purchase Date]])</f>
        <v>5</v>
      </c>
      <c r="D4180" s="1" t="n">
        <v>1</v>
      </c>
      <c r="E4180" s="1" t="n">
        <v>120.03</v>
      </c>
      <c r="F4180" s="1" t="n">
        <f aca="false">ROUND((1-_xlfn.PERCENTRANK.INC($C$7:$C$4378,C4180))*9,0)</f>
        <v>8</v>
      </c>
      <c r="G4180" s="1" t="n">
        <f aca="false">ROUND(_xlfn.PERCENTRANK.INC($D$7:$D$4378,D4180)*9,0)</f>
        <v>0</v>
      </c>
      <c r="H4180" s="1" t="n">
        <f aca="false">ROUND(_xlfn.PERCENTRANK.INC($E$7:$E$4378,E4180)*9,0)</f>
        <v>1</v>
      </c>
      <c r="I4180" s="1" t="str">
        <f aca="false">CONCATENATE(F4180,G4180,H4180)</f>
        <v>801</v>
      </c>
      <c r="J4180" s="1" t="str">
        <f aca="false">_xlfn.IFS(AND(F4180&gt;=8,G4180&gt;=8,H4180&gt;=8),"CHAMPION",AND(F4180&gt;=6,G4180&gt;=7,H4180&gt;=6),"LOYAL CUSTOMER",AND(F4180&gt;=6,G4180&gt;=5,H4180&gt;=5),"POTENTIAL LOYALIST",AND(F4180&gt;=8,G4180&lt;=2,H4180&gt;=5),"NEW CUSTOMERS",AND(F4180&gt;=6,G4180&lt;=2,H4180&gt;=3),"PROMISING",AND(F4180&gt;=3,G4180&gt;=3,H4180&gt;=3),"NEED ATTENTION",AND(F4180&lt;=4,G4180&gt;=6,H4180&gt;=6),"AT RISK",AND(F4180&lt;=2,G4180&gt;=8,H4180&gt;=8),"CAN'T LOSE THEM",AND(F4180&lt;=2,G4180&lt;=2,H4180&lt;=2),"HIBERNATING",TRUE(),"Other")</f>
        <v>Other</v>
      </c>
      <c r="K4180" s="1" t="n">
        <f aca="false">RANK(E4180,$E$7:$E$4378)+COUNTIF($E$7:E4180,E4180)-1</f>
        <v>4049</v>
      </c>
    </row>
    <row r="4181" customFormat="false" ht="14.25" hidden="false" customHeight="true" outlineLevel="0" collapsed="false">
      <c r="A4181" s="51" t="n">
        <v>18016</v>
      </c>
      <c r="B4181" s="53" t="n">
        <v>40854.5590277778</v>
      </c>
      <c r="C4181" s="57" t="n">
        <f aca="false">INT($C$2)-INT(Table3[[#This Row],[Last Purchase Date]])</f>
        <v>33</v>
      </c>
      <c r="D4181" s="1" t="n">
        <v>5</v>
      </c>
      <c r="E4181" s="1" t="n">
        <v>1483.56</v>
      </c>
      <c r="F4181" s="1" t="n">
        <f aca="false">ROUND((1-_xlfn.PERCENTRANK.INC($C$7:$C$4378,C4181))*9,0)</f>
        <v>5</v>
      </c>
      <c r="G4181" s="1" t="n">
        <f aca="false">ROUND(_xlfn.PERCENTRANK.INC($D$7:$D$4378,D4181)*9,0)</f>
        <v>6</v>
      </c>
      <c r="H4181" s="1" t="n">
        <f aca="false">ROUND(_xlfn.PERCENTRANK.INC($E$7:$E$4378,E4181)*9,0)</f>
        <v>7</v>
      </c>
      <c r="I4181" s="1" t="str">
        <f aca="false">CONCATENATE(F4181,G4181,H4181)</f>
        <v>567</v>
      </c>
      <c r="J4181" s="1" t="str">
        <f aca="false">_xlfn.IFS(AND(F4181&gt;=8,G4181&gt;=8,H4181&gt;=8),"CHAMPION",AND(F4181&gt;=6,G4181&gt;=7,H4181&gt;=6),"LOYAL CUSTOMER",AND(F4181&gt;=6,G4181&gt;=5,H4181&gt;=5),"POTENTIAL LOYALIST",AND(F4181&gt;=8,G4181&lt;=2,H4181&gt;=5),"NEW CUSTOMERS",AND(F4181&gt;=6,G4181&lt;=2,H4181&gt;=3),"PROMISING",AND(F4181&gt;=3,G4181&gt;=3,H4181&gt;=3),"NEED ATTENTION",AND(F4181&lt;=4,G4181&gt;=6,H4181&gt;=6),"AT RISK",AND(F4181&lt;=2,G4181&gt;=8,H4181&gt;=8),"CAN'T LOSE THEM",AND(F4181&lt;=2,G4181&lt;=2,H4181&lt;=2),"HIBERNATING",TRUE(),"Other")</f>
        <v>NEED ATTENTION</v>
      </c>
      <c r="K4181" s="1" t="n">
        <f aca="false">RANK(E4181,$E$7:$E$4378)+COUNTIF($E$7:E4181,E4181)-1</f>
        <v>1180</v>
      </c>
    </row>
    <row r="4182" customFormat="false" ht="14.25" hidden="false" customHeight="true" outlineLevel="0" collapsed="false">
      <c r="A4182" s="51" t="n">
        <v>18017</v>
      </c>
      <c r="B4182" s="53" t="n">
        <v>40805.6770833333</v>
      </c>
      <c r="C4182" s="57" t="n">
        <f aca="false">INT($C$2)-INT(Table3[[#This Row],[Last Purchase Date]])</f>
        <v>82</v>
      </c>
      <c r="D4182" s="1" t="n">
        <v>3</v>
      </c>
      <c r="E4182" s="1" t="n">
        <v>523</v>
      </c>
      <c r="F4182" s="1" t="n">
        <f aca="false">ROUND((1-_xlfn.PERCENTRANK.INC($C$7:$C$4378,C4182))*9,0)</f>
        <v>3</v>
      </c>
      <c r="G4182" s="1" t="n">
        <f aca="false">ROUND(_xlfn.PERCENTRANK.INC($D$7:$D$4378,D4182)*9,0)</f>
        <v>4</v>
      </c>
      <c r="H4182" s="1" t="n">
        <f aca="false">ROUND(_xlfn.PERCENTRANK.INC($E$7:$E$4378,E4182)*9,0)</f>
        <v>4</v>
      </c>
      <c r="I4182" s="1" t="str">
        <f aca="false">CONCATENATE(F4182,G4182,H4182)</f>
        <v>344</v>
      </c>
      <c r="J4182" s="1" t="str">
        <f aca="false">_xlfn.IFS(AND(F4182&gt;=8,G4182&gt;=8,H4182&gt;=8),"CHAMPION",AND(F4182&gt;=6,G4182&gt;=7,H4182&gt;=6),"LOYAL CUSTOMER",AND(F4182&gt;=6,G4182&gt;=5,H4182&gt;=5),"POTENTIAL LOYALIST",AND(F4182&gt;=8,G4182&lt;=2,H4182&gt;=5),"NEW CUSTOMERS",AND(F4182&gt;=6,G4182&lt;=2,H4182&gt;=3),"PROMISING",AND(F4182&gt;=3,G4182&gt;=3,H4182&gt;=3),"NEED ATTENTION",AND(F4182&lt;=4,G4182&gt;=6,H4182&gt;=6),"AT RISK",AND(F4182&lt;=2,G4182&gt;=8,H4182&gt;=8),"CAN'T LOSE THEM",AND(F4182&lt;=2,G4182&lt;=2,H4182&lt;=2),"HIBERNATING",TRUE(),"Other")</f>
        <v>NEED ATTENTION</v>
      </c>
      <c r="K4182" s="1" t="n">
        <f aca="false">RANK(E4182,$E$7:$E$4378)+COUNTIF($E$7:E4182,E4182)-1</f>
        <v>2493</v>
      </c>
    </row>
    <row r="4183" customFormat="false" ht="14.25" hidden="false" customHeight="true" outlineLevel="0" collapsed="false">
      <c r="A4183" s="51" t="n">
        <v>18018</v>
      </c>
      <c r="B4183" s="53" t="n">
        <v>40778.7340277778</v>
      </c>
      <c r="C4183" s="57" t="n">
        <f aca="false">INT($C$2)-INT(Table3[[#This Row],[Last Purchase Date]])</f>
        <v>109</v>
      </c>
      <c r="D4183" s="1" t="n">
        <v>2</v>
      </c>
      <c r="E4183" s="1" t="n">
        <v>122.14</v>
      </c>
      <c r="F4183" s="1" t="n">
        <f aca="false">ROUND((1-_xlfn.PERCENTRANK.INC($C$7:$C$4378,C4183))*9,0)</f>
        <v>3</v>
      </c>
      <c r="G4183" s="1" t="n">
        <f aca="false">ROUND(_xlfn.PERCENTRANK.INC($D$7:$D$4378,D4183)*9,0)</f>
        <v>3</v>
      </c>
      <c r="H4183" s="1" t="n">
        <f aca="false">ROUND(_xlfn.PERCENTRANK.INC($E$7:$E$4378,E4183)*9,0)</f>
        <v>1</v>
      </c>
      <c r="I4183" s="1" t="str">
        <f aca="false">CONCATENATE(F4183,G4183,H4183)</f>
        <v>331</v>
      </c>
      <c r="J4183" s="1" t="str">
        <f aca="false">_xlfn.IFS(AND(F4183&gt;=8,G4183&gt;=8,H4183&gt;=8),"CHAMPION",AND(F4183&gt;=6,G4183&gt;=7,H4183&gt;=6),"LOYAL CUSTOMER",AND(F4183&gt;=6,G4183&gt;=5,H4183&gt;=5),"POTENTIAL LOYALIST",AND(F4183&gt;=8,G4183&lt;=2,H4183&gt;=5),"NEW CUSTOMERS",AND(F4183&gt;=6,G4183&lt;=2,H4183&gt;=3),"PROMISING",AND(F4183&gt;=3,G4183&gt;=3,H4183&gt;=3),"NEED ATTENTION",AND(F4183&lt;=4,G4183&gt;=6,H4183&gt;=6),"AT RISK",AND(F4183&lt;=2,G4183&gt;=8,H4183&gt;=8),"CAN'T LOSE THEM",AND(F4183&lt;=2,G4183&lt;=2,H4183&lt;=2),"HIBERNATING",TRUE(),"Other")</f>
        <v>Other</v>
      </c>
      <c r="K4183" s="1" t="n">
        <f aca="false">RANK(E4183,$E$7:$E$4378)+COUNTIF($E$7:E4183,E4183)-1</f>
        <v>4041</v>
      </c>
    </row>
    <row r="4184" customFormat="false" ht="14.25" hidden="false" customHeight="true" outlineLevel="0" collapsed="false">
      <c r="A4184" s="51" t="n">
        <v>18019</v>
      </c>
      <c r="B4184" s="53" t="n">
        <v>40835.5069444445</v>
      </c>
      <c r="C4184" s="57" t="n">
        <f aca="false">INT($C$2)-INT(Table3[[#This Row],[Last Purchase Date]])</f>
        <v>52</v>
      </c>
      <c r="D4184" s="1" t="n">
        <v>1</v>
      </c>
      <c r="E4184" s="1" t="n">
        <v>38.45</v>
      </c>
      <c r="F4184" s="1" t="n">
        <f aca="false">ROUND((1-_xlfn.PERCENTRANK.INC($C$7:$C$4378,C4184))*9,0)</f>
        <v>4</v>
      </c>
      <c r="G4184" s="1" t="n">
        <f aca="false">ROUND(_xlfn.PERCENTRANK.INC($D$7:$D$4378,D4184)*9,0)</f>
        <v>0</v>
      </c>
      <c r="H4184" s="1" t="n">
        <f aca="false">ROUND(_xlfn.PERCENTRANK.INC($E$7:$E$4378,E4184)*9,0)</f>
        <v>0</v>
      </c>
      <c r="I4184" s="1" t="str">
        <f aca="false">CONCATENATE(F4184,G4184,H4184)</f>
        <v>400</v>
      </c>
      <c r="J4184" s="1" t="str">
        <f aca="false">_xlfn.IFS(AND(F4184&gt;=8,G4184&gt;=8,H4184&gt;=8),"CHAMPION",AND(F4184&gt;=6,G4184&gt;=7,H4184&gt;=6),"LOYAL CUSTOMER",AND(F4184&gt;=6,G4184&gt;=5,H4184&gt;=5),"POTENTIAL LOYALIST",AND(F4184&gt;=8,G4184&lt;=2,H4184&gt;=5),"NEW CUSTOMERS",AND(F4184&gt;=6,G4184&lt;=2,H4184&gt;=3),"PROMISING",AND(F4184&gt;=3,G4184&gt;=3,H4184&gt;=3),"NEED ATTENTION",AND(F4184&lt;=4,G4184&gt;=6,H4184&gt;=6),"AT RISK",AND(F4184&lt;=2,G4184&gt;=8,H4184&gt;=8),"CAN'T LOSE THEM",AND(F4184&lt;=2,G4184&lt;=2,H4184&lt;=2),"HIBERNATING",TRUE(),"Other")</f>
        <v>Other</v>
      </c>
      <c r="K4184" s="1" t="n">
        <f aca="false">RANK(E4184,$E$7:$E$4378)+COUNTIF($E$7:E4184,E4184)-1</f>
        <v>4295</v>
      </c>
    </row>
    <row r="4185" customFormat="false" ht="14.25" hidden="false" customHeight="true" outlineLevel="0" collapsed="false">
      <c r="A4185" s="51" t="n">
        <v>18022</v>
      </c>
      <c r="B4185" s="53" t="n">
        <v>40851.53125</v>
      </c>
      <c r="C4185" s="57" t="n">
        <f aca="false">INT($C$2)-INT(Table3[[#This Row],[Last Purchase Date]])</f>
        <v>36</v>
      </c>
      <c r="D4185" s="1" t="n">
        <v>1</v>
      </c>
      <c r="E4185" s="1" t="n">
        <v>668.11</v>
      </c>
      <c r="F4185" s="1" t="n">
        <f aca="false">ROUND((1-_xlfn.PERCENTRANK.INC($C$7:$C$4378,C4185))*9,0)</f>
        <v>5</v>
      </c>
      <c r="G4185" s="1" t="n">
        <f aca="false">ROUND(_xlfn.PERCENTRANK.INC($D$7:$D$4378,D4185)*9,0)</f>
        <v>0</v>
      </c>
      <c r="H4185" s="1" t="n">
        <f aca="false">ROUND(_xlfn.PERCENTRANK.INC($E$7:$E$4378,E4185)*9,0)</f>
        <v>5</v>
      </c>
      <c r="I4185" s="1" t="str">
        <f aca="false">CONCATENATE(F4185,G4185,H4185)</f>
        <v>505</v>
      </c>
      <c r="J4185" s="1" t="str">
        <f aca="false">_xlfn.IFS(AND(F4185&gt;=8,G4185&gt;=8,H4185&gt;=8),"CHAMPION",AND(F4185&gt;=6,G4185&gt;=7,H4185&gt;=6),"LOYAL CUSTOMER",AND(F4185&gt;=6,G4185&gt;=5,H4185&gt;=5),"POTENTIAL LOYALIST",AND(F4185&gt;=8,G4185&lt;=2,H4185&gt;=5),"NEW CUSTOMERS",AND(F4185&gt;=6,G4185&lt;=2,H4185&gt;=3),"PROMISING",AND(F4185&gt;=3,G4185&gt;=3,H4185&gt;=3),"NEED ATTENTION",AND(F4185&lt;=4,G4185&gt;=6,H4185&gt;=6),"AT RISK",AND(F4185&lt;=2,G4185&gt;=8,H4185&gt;=8),"CAN'T LOSE THEM",AND(F4185&lt;=2,G4185&lt;=2,H4185&lt;=2),"HIBERNATING",TRUE(),"Other")</f>
        <v>Other</v>
      </c>
      <c r="K4185" s="1" t="n">
        <f aca="false">RANK(E4185,$E$7:$E$4378)+COUNTIF($E$7:E4185,E4185)-1</f>
        <v>2134</v>
      </c>
    </row>
    <row r="4186" customFormat="false" ht="14.25" hidden="false" customHeight="true" outlineLevel="0" collapsed="false">
      <c r="A4186" s="51" t="n">
        <v>18024</v>
      </c>
      <c r="B4186" s="53" t="n">
        <v>40734.5277777778</v>
      </c>
      <c r="C4186" s="57" t="n">
        <f aca="false">INT($C$2)-INT(Table3[[#This Row],[Last Purchase Date]])</f>
        <v>153</v>
      </c>
      <c r="D4186" s="1" t="n">
        <v>3</v>
      </c>
      <c r="E4186" s="1" t="n">
        <v>236.78</v>
      </c>
      <c r="F4186" s="1" t="n">
        <f aca="false">ROUND((1-_xlfn.PERCENTRANK.INC($C$7:$C$4378,C4186))*9,0)</f>
        <v>2</v>
      </c>
      <c r="G4186" s="1" t="n">
        <f aca="false">ROUND(_xlfn.PERCENTRANK.INC($D$7:$D$4378,D4186)*9,0)</f>
        <v>4</v>
      </c>
      <c r="H4186" s="1" t="n">
        <f aca="false">ROUND(_xlfn.PERCENTRANK.INC($E$7:$E$4378,E4186)*9,0)</f>
        <v>2</v>
      </c>
      <c r="I4186" s="1" t="str">
        <f aca="false">CONCATENATE(F4186,G4186,H4186)</f>
        <v>242</v>
      </c>
      <c r="J4186" s="1" t="str">
        <f aca="false">_xlfn.IFS(AND(F4186&gt;=8,G4186&gt;=8,H4186&gt;=8),"CHAMPION",AND(F4186&gt;=6,G4186&gt;=7,H4186&gt;=6),"LOYAL CUSTOMER",AND(F4186&gt;=6,G4186&gt;=5,H4186&gt;=5),"POTENTIAL LOYALIST",AND(F4186&gt;=8,G4186&lt;=2,H4186&gt;=5),"NEW CUSTOMERS",AND(F4186&gt;=6,G4186&lt;=2,H4186&gt;=3),"PROMISING",AND(F4186&gt;=3,G4186&gt;=3,H4186&gt;=3),"NEED ATTENTION",AND(F4186&lt;=4,G4186&gt;=6,H4186&gt;=6),"AT RISK",AND(F4186&lt;=2,G4186&gt;=8,H4186&gt;=8),"CAN'T LOSE THEM",AND(F4186&lt;=2,G4186&lt;=2,H4186&lt;=2),"HIBERNATING",TRUE(),"Other")</f>
        <v>Other</v>
      </c>
      <c r="K4186" s="1" t="n">
        <f aca="false">RANK(E4186,$E$7:$E$4378)+COUNTIF($E$7:E4186,E4186)-1</f>
        <v>3492</v>
      </c>
    </row>
    <row r="4187" customFormat="false" ht="14.25" hidden="false" customHeight="true" outlineLevel="0" collapsed="false">
      <c r="A4187" s="51" t="n">
        <v>18027</v>
      </c>
      <c r="B4187" s="53" t="n">
        <v>40788.4430555556</v>
      </c>
      <c r="C4187" s="57" t="n">
        <f aca="false">INT($C$2)-INT(Table3[[#This Row],[Last Purchase Date]])</f>
        <v>99</v>
      </c>
      <c r="D4187" s="1" t="n">
        <v>1</v>
      </c>
      <c r="E4187" s="1" t="n">
        <v>115.31</v>
      </c>
      <c r="F4187" s="1" t="n">
        <f aca="false">ROUND((1-_xlfn.PERCENTRANK.INC($C$7:$C$4378,C4187))*9,0)</f>
        <v>3</v>
      </c>
      <c r="G4187" s="1" t="n">
        <f aca="false">ROUND(_xlfn.PERCENTRANK.INC($D$7:$D$4378,D4187)*9,0)</f>
        <v>0</v>
      </c>
      <c r="H4187" s="1" t="n">
        <f aca="false">ROUND(_xlfn.PERCENTRANK.INC($E$7:$E$4378,E4187)*9,0)</f>
        <v>1</v>
      </c>
      <c r="I4187" s="1" t="str">
        <f aca="false">CONCATENATE(F4187,G4187,H4187)</f>
        <v>301</v>
      </c>
      <c r="J4187" s="1" t="str">
        <f aca="false">_xlfn.IFS(AND(F4187&gt;=8,G4187&gt;=8,H4187&gt;=8),"CHAMPION",AND(F4187&gt;=6,G4187&gt;=7,H4187&gt;=6),"LOYAL CUSTOMER",AND(F4187&gt;=6,G4187&gt;=5,H4187&gt;=5),"POTENTIAL LOYALIST",AND(F4187&gt;=8,G4187&lt;=2,H4187&gt;=5),"NEW CUSTOMERS",AND(F4187&gt;=6,G4187&lt;=2,H4187&gt;=3),"PROMISING",AND(F4187&gt;=3,G4187&gt;=3,H4187&gt;=3),"NEED ATTENTION",AND(F4187&lt;=4,G4187&gt;=6,H4187&gt;=6),"AT RISK",AND(F4187&lt;=2,G4187&gt;=8,H4187&gt;=8),"CAN'T LOSE THEM",AND(F4187&lt;=2,G4187&lt;=2,H4187&lt;=2),"HIBERNATING",TRUE(),"Other")</f>
        <v>Other</v>
      </c>
      <c r="K4187" s="1" t="n">
        <f aca="false">RANK(E4187,$E$7:$E$4378)+COUNTIF($E$7:E4187,E4187)-1</f>
        <v>4071</v>
      </c>
    </row>
    <row r="4188" customFormat="false" ht="14.25" hidden="false" customHeight="true" outlineLevel="0" collapsed="false">
      <c r="A4188" s="51" t="n">
        <v>18030</v>
      </c>
      <c r="B4188" s="53" t="n">
        <v>40882.6923611111</v>
      </c>
      <c r="C4188" s="57" t="n">
        <f aca="false">INT($C$2)-INT(Table3[[#This Row],[Last Purchase Date]])</f>
        <v>5</v>
      </c>
      <c r="D4188" s="1" t="n">
        <v>3</v>
      </c>
      <c r="E4188" s="1" t="n">
        <v>220.7</v>
      </c>
      <c r="F4188" s="1" t="n">
        <f aca="false">ROUND((1-_xlfn.PERCENTRANK.INC($C$7:$C$4378,C4188))*9,0)</f>
        <v>8</v>
      </c>
      <c r="G4188" s="1" t="n">
        <f aca="false">ROUND(_xlfn.PERCENTRANK.INC($D$7:$D$4378,D4188)*9,0)</f>
        <v>4</v>
      </c>
      <c r="H4188" s="1" t="n">
        <f aca="false">ROUND(_xlfn.PERCENTRANK.INC($E$7:$E$4378,E4188)*9,0)</f>
        <v>2</v>
      </c>
      <c r="I4188" s="1" t="str">
        <f aca="false">CONCATENATE(F4188,G4188,H4188)</f>
        <v>842</v>
      </c>
      <c r="J4188" s="1" t="str">
        <f aca="false">_xlfn.IFS(AND(F4188&gt;=8,G4188&gt;=8,H4188&gt;=8),"CHAMPION",AND(F4188&gt;=6,G4188&gt;=7,H4188&gt;=6),"LOYAL CUSTOMER",AND(F4188&gt;=6,G4188&gt;=5,H4188&gt;=5),"POTENTIAL LOYALIST",AND(F4188&gt;=8,G4188&lt;=2,H4188&gt;=5),"NEW CUSTOMERS",AND(F4188&gt;=6,G4188&lt;=2,H4188&gt;=3),"PROMISING",AND(F4188&gt;=3,G4188&gt;=3,H4188&gt;=3),"NEED ATTENTION",AND(F4188&lt;=4,G4188&gt;=6,H4188&gt;=6),"AT RISK",AND(F4188&lt;=2,G4188&gt;=8,H4188&gt;=8),"CAN'T LOSE THEM",AND(F4188&lt;=2,G4188&lt;=2,H4188&lt;=2),"HIBERNATING",TRUE(),"Other")</f>
        <v>Other</v>
      </c>
      <c r="K4188" s="1" t="n">
        <f aca="false">RANK(E4188,$E$7:$E$4378)+COUNTIF($E$7:E4188,E4188)-1</f>
        <v>3557</v>
      </c>
    </row>
    <row r="4189" customFormat="false" ht="14.25" hidden="false" customHeight="true" outlineLevel="0" collapsed="false">
      <c r="A4189" s="51" t="n">
        <v>18032</v>
      </c>
      <c r="B4189" s="53" t="n">
        <v>40552.6472222222</v>
      </c>
      <c r="C4189" s="57" t="n">
        <f aca="false">INT($C$2)-INT(Table3[[#This Row],[Last Purchase Date]])</f>
        <v>335</v>
      </c>
      <c r="D4189" s="1" t="n">
        <v>1</v>
      </c>
      <c r="E4189" s="1" t="n">
        <v>73.5</v>
      </c>
      <c r="F4189" s="1" t="n">
        <f aca="false">ROUND((1-_xlfn.PERCENTRANK.INC($C$7:$C$4378,C4189))*9,0)</f>
        <v>0</v>
      </c>
      <c r="G4189" s="1" t="n">
        <f aca="false">ROUND(_xlfn.PERCENTRANK.INC($D$7:$D$4378,D4189)*9,0)</f>
        <v>0</v>
      </c>
      <c r="H4189" s="1" t="n">
        <f aca="false">ROUND(_xlfn.PERCENTRANK.INC($E$7:$E$4378,E4189)*9,0)</f>
        <v>0</v>
      </c>
      <c r="I4189" s="1" t="str">
        <f aca="false">CONCATENATE(F4189,G4189,H4189)</f>
        <v>000</v>
      </c>
      <c r="J4189" s="1" t="str">
        <f aca="false">_xlfn.IFS(AND(F4189&gt;=8,G4189&gt;=8,H4189&gt;=8),"CHAMPION",AND(F4189&gt;=6,G4189&gt;=7,H4189&gt;=6),"LOYAL CUSTOMER",AND(F4189&gt;=6,G4189&gt;=5,H4189&gt;=5),"POTENTIAL LOYALIST",AND(F4189&gt;=8,G4189&lt;=2,H4189&gt;=5),"NEW CUSTOMERS",AND(F4189&gt;=6,G4189&lt;=2,H4189&gt;=3),"PROMISING",AND(F4189&gt;=3,G4189&gt;=3,H4189&gt;=3),"NEED ATTENTION",AND(F4189&lt;=4,G4189&gt;=6,H4189&gt;=6),"AT RISK",AND(F4189&lt;=2,G4189&gt;=8,H4189&gt;=8),"CAN'T LOSE THEM",AND(F4189&lt;=2,G4189&lt;=2,H4189&lt;=2),"HIBERNATING",TRUE(),"Other")</f>
        <v>HIBERNATING</v>
      </c>
      <c r="K4189" s="1" t="n">
        <f aca="false">RANK(E4189,$E$7:$E$4378)+COUNTIF($E$7:E4189,E4189)-1</f>
        <v>4241</v>
      </c>
    </row>
    <row r="4190" customFormat="false" ht="14.25" hidden="false" customHeight="true" outlineLevel="0" collapsed="false">
      <c r="A4190" s="51" t="n">
        <v>18033</v>
      </c>
      <c r="B4190" s="53" t="n">
        <v>40821.7277777778</v>
      </c>
      <c r="C4190" s="57" t="n">
        <f aca="false">INT($C$2)-INT(Table3[[#This Row],[Last Purchase Date]])</f>
        <v>66</v>
      </c>
      <c r="D4190" s="1" t="n">
        <v>1</v>
      </c>
      <c r="E4190" s="1" t="n">
        <v>97.97</v>
      </c>
      <c r="F4190" s="1" t="n">
        <f aca="false">ROUND((1-_xlfn.PERCENTRANK.INC($C$7:$C$4378,C4190))*9,0)</f>
        <v>4</v>
      </c>
      <c r="G4190" s="1" t="n">
        <f aca="false">ROUND(_xlfn.PERCENTRANK.INC($D$7:$D$4378,D4190)*9,0)</f>
        <v>0</v>
      </c>
      <c r="H4190" s="1" t="n">
        <f aca="false">ROUND(_xlfn.PERCENTRANK.INC($E$7:$E$4378,E4190)*9,0)</f>
        <v>0</v>
      </c>
      <c r="I4190" s="1" t="str">
        <f aca="false">CONCATENATE(F4190,G4190,H4190)</f>
        <v>400</v>
      </c>
      <c r="J4190" s="1" t="str">
        <f aca="false">_xlfn.IFS(AND(F4190&gt;=8,G4190&gt;=8,H4190&gt;=8),"CHAMPION",AND(F4190&gt;=6,G4190&gt;=7,H4190&gt;=6),"LOYAL CUSTOMER",AND(F4190&gt;=6,G4190&gt;=5,H4190&gt;=5),"POTENTIAL LOYALIST",AND(F4190&gt;=8,G4190&lt;=2,H4190&gt;=5),"NEW CUSTOMERS",AND(F4190&gt;=6,G4190&lt;=2,H4190&gt;=3),"PROMISING",AND(F4190&gt;=3,G4190&gt;=3,H4190&gt;=3),"NEED ATTENTION",AND(F4190&lt;=4,G4190&gt;=6,H4190&gt;=6),"AT RISK",AND(F4190&lt;=2,G4190&gt;=8,H4190&gt;=8),"CAN'T LOSE THEM",AND(F4190&lt;=2,G4190&lt;=2,H4190&lt;=2),"HIBERNATING",TRUE(),"Other")</f>
        <v>Other</v>
      </c>
      <c r="K4190" s="1" t="n">
        <f aca="false">RANK(E4190,$E$7:$E$4378)+COUNTIF($E$7:E4190,E4190)-1</f>
        <v>4165</v>
      </c>
    </row>
    <row r="4191" customFormat="false" ht="14.25" hidden="false" customHeight="true" outlineLevel="0" collapsed="false">
      <c r="A4191" s="51" t="n">
        <v>18034</v>
      </c>
      <c r="B4191" s="53" t="n">
        <v>40865.5152777778</v>
      </c>
      <c r="C4191" s="57" t="n">
        <f aca="false">INT($C$2)-INT(Table3[[#This Row],[Last Purchase Date]])</f>
        <v>22</v>
      </c>
      <c r="D4191" s="1" t="n">
        <v>2</v>
      </c>
      <c r="E4191" s="1" t="n">
        <v>422.88</v>
      </c>
      <c r="F4191" s="1" t="n">
        <f aca="false">ROUND((1-_xlfn.PERCENTRANK.INC($C$7:$C$4378,C4191))*9,0)</f>
        <v>6</v>
      </c>
      <c r="G4191" s="1" t="n">
        <f aca="false">ROUND(_xlfn.PERCENTRANK.INC($D$7:$D$4378,D4191)*9,0)</f>
        <v>3</v>
      </c>
      <c r="H4191" s="1" t="n">
        <f aca="false">ROUND(_xlfn.PERCENTRANK.INC($E$7:$E$4378,E4191)*9,0)</f>
        <v>3</v>
      </c>
      <c r="I4191" s="1" t="str">
        <f aca="false">CONCATENATE(F4191,G4191,H4191)</f>
        <v>633</v>
      </c>
      <c r="J4191" s="1" t="str">
        <f aca="false">_xlfn.IFS(AND(F4191&gt;=8,G4191&gt;=8,H4191&gt;=8),"CHAMPION",AND(F4191&gt;=6,G4191&gt;=7,H4191&gt;=6),"LOYAL CUSTOMER",AND(F4191&gt;=6,G4191&gt;=5,H4191&gt;=5),"POTENTIAL LOYALIST",AND(F4191&gt;=8,G4191&lt;=2,H4191&gt;=5),"NEW CUSTOMERS",AND(F4191&gt;=6,G4191&lt;=2,H4191&gt;=3),"PROMISING",AND(F4191&gt;=3,G4191&gt;=3,H4191&gt;=3),"NEED ATTENTION",AND(F4191&lt;=4,G4191&gt;=6,H4191&gt;=6),"AT RISK",AND(F4191&lt;=2,G4191&gt;=8,H4191&gt;=8),"CAN'T LOSE THEM",AND(F4191&lt;=2,G4191&lt;=2,H4191&lt;=2),"HIBERNATING",TRUE(),"Other")</f>
        <v>NEED ATTENTION</v>
      </c>
      <c r="K4191" s="1" t="n">
        <f aca="false">RANK(E4191,$E$7:$E$4378)+COUNTIF($E$7:E4191,E4191)-1</f>
        <v>2745</v>
      </c>
    </row>
    <row r="4192" customFormat="false" ht="14.25" hidden="false" customHeight="true" outlineLevel="0" collapsed="false">
      <c r="A4192" s="51" t="n">
        <v>18035</v>
      </c>
      <c r="B4192" s="53" t="n">
        <v>40851.5270833333</v>
      </c>
      <c r="C4192" s="57" t="n">
        <f aca="false">INT($C$2)-INT(Table3[[#This Row],[Last Purchase Date]])</f>
        <v>36</v>
      </c>
      <c r="D4192" s="1" t="n">
        <v>3</v>
      </c>
      <c r="E4192" s="1" t="n">
        <v>730.4</v>
      </c>
      <c r="F4192" s="1" t="n">
        <f aca="false">ROUND((1-_xlfn.PERCENTRANK.INC($C$7:$C$4378,C4192))*9,0)</f>
        <v>5</v>
      </c>
      <c r="G4192" s="1" t="n">
        <f aca="false">ROUND(_xlfn.PERCENTRANK.INC($D$7:$D$4378,D4192)*9,0)</f>
        <v>4</v>
      </c>
      <c r="H4192" s="1" t="n">
        <f aca="false">ROUND(_xlfn.PERCENTRANK.INC($E$7:$E$4378,E4192)*9,0)</f>
        <v>5</v>
      </c>
      <c r="I4192" s="1" t="str">
        <f aca="false">CONCATENATE(F4192,G4192,H4192)</f>
        <v>545</v>
      </c>
      <c r="J4192" s="1" t="str">
        <f aca="false">_xlfn.IFS(AND(F4192&gt;=8,G4192&gt;=8,H4192&gt;=8),"CHAMPION",AND(F4192&gt;=6,G4192&gt;=7,H4192&gt;=6),"LOYAL CUSTOMER",AND(F4192&gt;=6,G4192&gt;=5,H4192&gt;=5),"POTENTIAL LOYALIST",AND(F4192&gt;=8,G4192&lt;=2,H4192&gt;=5),"NEW CUSTOMERS",AND(F4192&gt;=6,G4192&lt;=2,H4192&gt;=3),"PROMISING",AND(F4192&gt;=3,G4192&gt;=3,H4192&gt;=3),"NEED ATTENTION",AND(F4192&lt;=4,G4192&gt;=6,H4192&gt;=6),"AT RISK",AND(F4192&lt;=2,G4192&gt;=8,H4192&gt;=8),"CAN'T LOSE THEM",AND(F4192&lt;=2,G4192&lt;=2,H4192&lt;=2),"HIBERNATING",TRUE(),"Other")</f>
        <v>NEED ATTENTION</v>
      </c>
      <c r="K4192" s="1" t="n">
        <f aca="false">RANK(E4192,$E$7:$E$4378)+COUNTIF($E$7:E4192,E4192)-1</f>
        <v>2010</v>
      </c>
    </row>
    <row r="4193" customFormat="false" ht="14.25" hidden="false" customHeight="true" outlineLevel="0" collapsed="false">
      <c r="A4193" s="51" t="n">
        <v>18036</v>
      </c>
      <c r="B4193" s="53" t="n">
        <v>40854.6111111111</v>
      </c>
      <c r="C4193" s="57" t="n">
        <f aca="false">INT($C$2)-INT(Table3[[#This Row],[Last Purchase Date]])</f>
        <v>33</v>
      </c>
      <c r="D4193" s="1" t="n">
        <v>3</v>
      </c>
      <c r="E4193" s="1" t="n">
        <v>405.62</v>
      </c>
      <c r="F4193" s="1" t="n">
        <f aca="false">ROUND((1-_xlfn.PERCENTRANK.INC($C$7:$C$4378,C4193))*9,0)</f>
        <v>5</v>
      </c>
      <c r="G4193" s="1" t="n">
        <f aca="false">ROUND(_xlfn.PERCENTRANK.INC($D$7:$D$4378,D4193)*9,0)</f>
        <v>4</v>
      </c>
      <c r="H4193" s="1" t="n">
        <f aca="false">ROUND(_xlfn.PERCENTRANK.INC($E$7:$E$4378,E4193)*9,0)</f>
        <v>3</v>
      </c>
      <c r="I4193" s="1" t="str">
        <f aca="false">CONCATENATE(F4193,G4193,H4193)</f>
        <v>543</v>
      </c>
      <c r="J4193" s="1" t="str">
        <f aca="false">_xlfn.IFS(AND(F4193&gt;=8,G4193&gt;=8,H4193&gt;=8),"CHAMPION",AND(F4193&gt;=6,G4193&gt;=7,H4193&gt;=6),"LOYAL CUSTOMER",AND(F4193&gt;=6,G4193&gt;=5,H4193&gt;=5),"POTENTIAL LOYALIST",AND(F4193&gt;=8,G4193&lt;=2,H4193&gt;=5),"NEW CUSTOMERS",AND(F4193&gt;=6,G4193&lt;=2,H4193&gt;=3),"PROMISING",AND(F4193&gt;=3,G4193&gt;=3,H4193&gt;=3),"NEED ATTENTION",AND(F4193&lt;=4,G4193&gt;=6,H4193&gt;=6),"AT RISK",AND(F4193&lt;=2,G4193&gt;=8,H4193&gt;=8),"CAN'T LOSE THEM",AND(F4193&lt;=2,G4193&lt;=2,H4193&lt;=2),"HIBERNATING",TRUE(),"Other")</f>
        <v>NEED ATTENTION</v>
      </c>
      <c r="K4193" s="1" t="n">
        <f aca="false">RANK(E4193,$E$7:$E$4378)+COUNTIF($E$7:E4193,E4193)-1</f>
        <v>2806</v>
      </c>
    </row>
    <row r="4194" customFormat="false" ht="14.25" hidden="false" customHeight="true" outlineLevel="0" collapsed="false">
      <c r="A4194" s="51" t="n">
        <v>18037</v>
      </c>
      <c r="B4194" s="53" t="n">
        <v>40732.56875</v>
      </c>
      <c r="C4194" s="57" t="n">
        <f aca="false">INT($C$2)-INT(Table3[[#This Row],[Last Purchase Date]])</f>
        <v>155</v>
      </c>
      <c r="D4194" s="1" t="n">
        <v>6</v>
      </c>
      <c r="E4194" s="1" t="n">
        <v>70.02</v>
      </c>
      <c r="F4194" s="1" t="n">
        <f aca="false">ROUND((1-_xlfn.PERCENTRANK.INC($C$7:$C$4378,C4194))*9,0)</f>
        <v>2</v>
      </c>
      <c r="G4194" s="1" t="n">
        <f aca="false">ROUND(_xlfn.PERCENTRANK.INC($D$7:$D$4378,D4194)*9,0)</f>
        <v>7</v>
      </c>
      <c r="H4194" s="1" t="n">
        <f aca="false">ROUND(_xlfn.PERCENTRANK.INC($E$7:$E$4378,E4194)*9,0)</f>
        <v>0</v>
      </c>
      <c r="I4194" s="1" t="str">
        <f aca="false">CONCATENATE(F4194,G4194,H4194)</f>
        <v>270</v>
      </c>
      <c r="J4194" s="1" t="str">
        <f aca="false">_xlfn.IFS(AND(F4194&gt;=8,G4194&gt;=8,H4194&gt;=8),"CHAMPION",AND(F4194&gt;=6,G4194&gt;=7,H4194&gt;=6),"LOYAL CUSTOMER",AND(F4194&gt;=6,G4194&gt;=5,H4194&gt;=5),"POTENTIAL LOYALIST",AND(F4194&gt;=8,G4194&lt;=2,H4194&gt;=5),"NEW CUSTOMERS",AND(F4194&gt;=6,G4194&lt;=2,H4194&gt;=3),"PROMISING",AND(F4194&gt;=3,G4194&gt;=3,H4194&gt;=3),"NEED ATTENTION",AND(F4194&lt;=4,G4194&gt;=6,H4194&gt;=6),"AT RISK",AND(F4194&lt;=2,G4194&gt;=8,H4194&gt;=8),"CAN'T LOSE THEM",AND(F4194&lt;=2,G4194&lt;=2,H4194&lt;=2),"HIBERNATING",TRUE(),"Other")</f>
        <v>Other</v>
      </c>
      <c r="K4194" s="1" t="n">
        <f aca="false">RANK(E4194,$E$7:$E$4378)+COUNTIF($E$7:E4194,E4194)-1</f>
        <v>4249</v>
      </c>
    </row>
    <row r="4195" customFormat="false" ht="14.25" hidden="false" customHeight="true" outlineLevel="0" collapsed="false">
      <c r="A4195" s="51" t="n">
        <v>18040</v>
      </c>
      <c r="B4195" s="53" t="n">
        <v>40867.5972222222</v>
      </c>
      <c r="C4195" s="57" t="n">
        <f aca="false">INT($C$2)-INT(Table3[[#This Row],[Last Purchase Date]])</f>
        <v>20</v>
      </c>
      <c r="D4195" s="1" t="n">
        <v>2</v>
      </c>
      <c r="E4195" s="1" t="n">
        <v>357.2</v>
      </c>
      <c r="F4195" s="1" t="n">
        <f aca="false">ROUND((1-_xlfn.PERCENTRANK.INC($C$7:$C$4378,C4195))*9,0)</f>
        <v>6</v>
      </c>
      <c r="G4195" s="1" t="n">
        <f aca="false">ROUND(_xlfn.PERCENTRANK.INC($D$7:$D$4378,D4195)*9,0)</f>
        <v>3</v>
      </c>
      <c r="H4195" s="1" t="n">
        <f aca="false">ROUND(_xlfn.PERCENTRANK.INC($E$7:$E$4378,E4195)*9,0)</f>
        <v>3</v>
      </c>
      <c r="I4195" s="1" t="str">
        <f aca="false">CONCATENATE(F4195,G4195,H4195)</f>
        <v>633</v>
      </c>
      <c r="J4195" s="1" t="str">
        <f aca="false">_xlfn.IFS(AND(F4195&gt;=8,G4195&gt;=8,H4195&gt;=8),"CHAMPION",AND(F4195&gt;=6,G4195&gt;=7,H4195&gt;=6),"LOYAL CUSTOMER",AND(F4195&gt;=6,G4195&gt;=5,H4195&gt;=5),"POTENTIAL LOYALIST",AND(F4195&gt;=8,G4195&lt;=2,H4195&gt;=5),"NEW CUSTOMERS",AND(F4195&gt;=6,G4195&lt;=2,H4195&gt;=3),"PROMISING",AND(F4195&gt;=3,G4195&gt;=3,H4195&gt;=3),"NEED ATTENTION",AND(F4195&lt;=4,G4195&gt;=6,H4195&gt;=6),"AT RISK",AND(F4195&lt;=2,G4195&gt;=8,H4195&gt;=8),"CAN'T LOSE THEM",AND(F4195&lt;=2,G4195&lt;=2,H4195&lt;=2),"HIBERNATING",TRUE(),"Other")</f>
        <v>NEED ATTENTION</v>
      </c>
      <c r="K4195" s="1" t="n">
        <f aca="false">RANK(E4195,$E$7:$E$4378)+COUNTIF($E$7:E4195,E4195)-1</f>
        <v>2977</v>
      </c>
    </row>
    <row r="4196" customFormat="false" ht="14.25" hidden="false" customHeight="true" outlineLevel="0" collapsed="false">
      <c r="A4196" s="51" t="n">
        <v>18041</v>
      </c>
      <c r="B4196" s="53" t="n">
        <v>40875.4854166667</v>
      </c>
      <c r="C4196" s="57" t="n">
        <f aca="false">INT($C$2)-INT(Table3[[#This Row],[Last Purchase Date]])</f>
        <v>12</v>
      </c>
      <c r="D4196" s="1" t="n">
        <v>22</v>
      </c>
      <c r="E4196" s="1" t="n">
        <v>4161.14</v>
      </c>
      <c r="F4196" s="1" t="n">
        <f aca="false">ROUND((1-_xlfn.PERCENTRANK.INC($C$7:$C$4378,C4196))*9,0)</f>
        <v>7</v>
      </c>
      <c r="G4196" s="1" t="n">
        <f aca="false">ROUND(_xlfn.PERCENTRANK.INC($D$7:$D$4378,D4196)*9,0)</f>
        <v>9</v>
      </c>
      <c r="H4196" s="1" t="n">
        <f aca="false">ROUND(_xlfn.PERCENTRANK.INC($E$7:$E$4378,E4196)*9,0)</f>
        <v>8</v>
      </c>
      <c r="I4196" s="1" t="str">
        <f aca="false">CONCATENATE(F4196,G4196,H4196)</f>
        <v>798</v>
      </c>
      <c r="J4196" s="1" t="str">
        <f aca="false">_xlfn.IFS(AND(F4196&gt;=8,G4196&gt;=8,H4196&gt;=8),"CHAMPION",AND(F4196&gt;=6,G4196&gt;=7,H4196&gt;=6),"LOYAL CUSTOMER",AND(F4196&gt;=6,G4196&gt;=5,H4196&gt;=5),"POTENTIAL LOYALIST",AND(F4196&gt;=8,G4196&lt;=2,H4196&gt;=5),"NEW CUSTOMERS",AND(F4196&gt;=6,G4196&lt;=2,H4196&gt;=3),"PROMISING",AND(F4196&gt;=3,G4196&gt;=3,H4196&gt;=3),"NEED ATTENTION",AND(F4196&lt;=4,G4196&gt;=6,H4196&gt;=6),"AT RISK",AND(F4196&lt;=2,G4196&gt;=8,H4196&gt;=8),"CAN'T LOSE THEM",AND(F4196&lt;=2,G4196&lt;=2,H4196&lt;=2),"HIBERNATING",TRUE(),"Other")</f>
        <v>LOYAL CUSTOMER</v>
      </c>
      <c r="K4196" s="1" t="n">
        <f aca="false">RANK(E4196,$E$7:$E$4378)+COUNTIF($E$7:E4196,E4196)-1</f>
        <v>333</v>
      </c>
    </row>
    <row r="4197" customFormat="false" ht="14.25" hidden="false" customHeight="true" outlineLevel="0" collapsed="false">
      <c r="A4197" s="51" t="n">
        <v>18042</v>
      </c>
      <c r="B4197" s="53" t="n">
        <v>40833.4923611111</v>
      </c>
      <c r="C4197" s="57" t="n">
        <f aca="false">INT($C$2)-INT(Table3[[#This Row],[Last Purchase Date]])</f>
        <v>54</v>
      </c>
      <c r="D4197" s="1" t="n">
        <v>1</v>
      </c>
      <c r="E4197" s="1" t="n">
        <v>165.05</v>
      </c>
      <c r="F4197" s="1" t="n">
        <f aca="false">ROUND((1-_xlfn.PERCENTRANK.INC($C$7:$C$4378,C4197))*9,0)</f>
        <v>4</v>
      </c>
      <c r="G4197" s="1" t="n">
        <f aca="false">ROUND(_xlfn.PERCENTRANK.INC($D$7:$D$4378,D4197)*9,0)</f>
        <v>0</v>
      </c>
      <c r="H4197" s="1" t="n">
        <f aca="false">ROUND(_xlfn.PERCENTRANK.INC($E$7:$E$4378,E4197)*9,0)</f>
        <v>1</v>
      </c>
      <c r="I4197" s="1" t="str">
        <f aca="false">CONCATENATE(F4197,G4197,H4197)</f>
        <v>401</v>
      </c>
      <c r="J4197" s="1" t="str">
        <f aca="false">_xlfn.IFS(AND(F4197&gt;=8,G4197&gt;=8,H4197&gt;=8),"CHAMPION",AND(F4197&gt;=6,G4197&gt;=7,H4197&gt;=6),"LOYAL CUSTOMER",AND(F4197&gt;=6,G4197&gt;=5,H4197&gt;=5),"POTENTIAL LOYALIST",AND(F4197&gt;=8,G4197&lt;=2,H4197&gt;=5),"NEW CUSTOMERS",AND(F4197&gt;=6,G4197&lt;=2,H4197&gt;=3),"PROMISING",AND(F4197&gt;=3,G4197&gt;=3,H4197&gt;=3),"NEED ATTENTION",AND(F4197&lt;=4,G4197&gt;=6,H4197&gt;=6),"AT RISK",AND(F4197&lt;=2,G4197&gt;=8,H4197&gt;=8),"CAN'T LOSE THEM",AND(F4197&lt;=2,G4197&lt;=2,H4197&lt;=2),"HIBERNATING",TRUE(),"Other")</f>
        <v>Other</v>
      </c>
      <c r="K4197" s="1" t="n">
        <f aca="false">RANK(E4197,$E$7:$E$4378)+COUNTIF($E$7:E4197,E4197)-1</f>
        <v>3830</v>
      </c>
    </row>
    <row r="4198" customFormat="false" ht="14.25" hidden="false" customHeight="true" outlineLevel="0" collapsed="false">
      <c r="A4198" s="51" t="n">
        <v>18043</v>
      </c>
      <c r="B4198" s="53" t="n">
        <v>40862.5333333333</v>
      </c>
      <c r="C4198" s="57" t="n">
        <f aca="false">INT($C$2)-INT(Table3[[#This Row],[Last Purchase Date]])</f>
        <v>25</v>
      </c>
      <c r="D4198" s="1" t="n">
        <v>3</v>
      </c>
      <c r="E4198" s="1" t="n">
        <v>559.51</v>
      </c>
      <c r="F4198" s="1" t="n">
        <f aca="false">ROUND((1-_xlfn.PERCENTRANK.INC($C$7:$C$4378,C4198))*9,0)</f>
        <v>6</v>
      </c>
      <c r="G4198" s="1" t="n">
        <f aca="false">ROUND(_xlfn.PERCENTRANK.INC($D$7:$D$4378,D4198)*9,0)</f>
        <v>4</v>
      </c>
      <c r="H4198" s="1" t="n">
        <f aca="false">ROUND(_xlfn.PERCENTRANK.INC($E$7:$E$4378,E4198)*9,0)</f>
        <v>4</v>
      </c>
      <c r="I4198" s="1" t="str">
        <f aca="false">CONCATENATE(F4198,G4198,H4198)</f>
        <v>644</v>
      </c>
      <c r="J4198" s="1" t="str">
        <f aca="false">_xlfn.IFS(AND(F4198&gt;=8,G4198&gt;=8,H4198&gt;=8),"CHAMPION",AND(F4198&gt;=6,G4198&gt;=7,H4198&gt;=6),"LOYAL CUSTOMER",AND(F4198&gt;=6,G4198&gt;=5,H4198&gt;=5),"POTENTIAL LOYALIST",AND(F4198&gt;=8,G4198&lt;=2,H4198&gt;=5),"NEW CUSTOMERS",AND(F4198&gt;=6,G4198&lt;=2,H4198&gt;=3),"PROMISING",AND(F4198&gt;=3,G4198&gt;=3,H4198&gt;=3),"NEED ATTENTION",AND(F4198&lt;=4,G4198&gt;=6,H4198&gt;=6),"AT RISK",AND(F4198&lt;=2,G4198&gt;=8,H4198&gt;=8),"CAN'T LOSE THEM",AND(F4198&lt;=2,G4198&lt;=2,H4198&lt;=2),"HIBERNATING",TRUE(),"Other")</f>
        <v>NEED ATTENTION</v>
      </c>
      <c r="K4198" s="1" t="n">
        <f aca="false">RANK(E4198,$E$7:$E$4378)+COUNTIF($E$7:E4198,E4198)-1</f>
        <v>2409</v>
      </c>
    </row>
    <row r="4199" customFormat="false" ht="14.25" hidden="false" customHeight="true" outlineLevel="0" collapsed="false">
      <c r="A4199" s="51" t="n">
        <v>18044</v>
      </c>
      <c r="B4199" s="53" t="n">
        <v>40882.6013888889</v>
      </c>
      <c r="C4199" s="57" t="n">
        <f aca="false">INT($C$2)-INT(Table3[[#This Row],[Last Purchase Date]])</f>
        <v>5</v>
      </c>
      <c r="D4199" s="1" t="n">
        <v>11</v>
      </c>
      <c r="E4199" s="1" t="n">
        <v>2085.65</v>
      </c>
      <c r="F4199" s="1" t="n">
        <f aca="false">ROUND((1-_xlfn.PERCENTRANK.INC($C$7:$C$4378,C4199))*9,0)</f>
        <v>8</v>
      </c>
      <c r="G4199" s="1" t="n">
        <f aca="false">ROUND(_xlfn.PERCENTRANK.INC($D$7:$D$4378,D4199)*9,0)</f>
        <v>8</v>
      </c>
      <c r="H4199" s="1" t="n">
        <f aca="false">ROUND(_xlfn.PERCENTRANK.INC($E$7:$E$4378,E4199)*9,0)</f>
        <v>7</v>
      </c>
      <c r="I4199" s="1" t="str">
        <f aca="false">CONCATENATE(F4199,G4199,H4199)</f>
        <v>887</v>
      </c>
      <c r="J4199" s="1" t="str">
        <f aca="false">_xlfn.IFS(AND(F4199&gt;=8,G4199&gt;=8,H4199&gt;=8),"CHAMPION",AND(F4199&gt;=6,G4199&gt;=7,H4199&gt;=6),"LOYAL CUSTOMER",AND(F4199&gt;=6,G4199&gt;=5,H4199&gt;=5),"POTENTIAL LOYALIST",AND(F4199&gt;=8,G4199&lt;=2,H4199&gt;=5),"NEW CUSTOMERS",AND(F4199&gt;=6,G4199&lt;=2,H4199&gt;=3),"PROMISING",AND(F4199&gt;=3,G4199&gt;=3,H4199&gt;=3),"NEED ATTENTION",AND(F4199&lt;=4,G4199&gt;=6,H4199&gt;=6),"AT RISK",AND(F4199&lt;=2,G4199&gt;=8,H4199&gt;=8),"CAN'T LOSE THEM",AND(F4199&lt;=2,G4199&lt;=2,H4199&lt;=2),"HIBERNATING",TRUE(),"Other")</f>
        <v>LOYAL CUSTOMER</v>
      </c>
      <c r="K4199" s="1" t="n">
        <f aca="false">RANK(E4199,$E$7:$E$4378)+COUNTIF($E$7:E4199,E4199)-1</f>
        <v>834</v>
      </c>
    </row>
    <row r="4200" customFormat="false" ht="14.25" hidden="false" customHeight="true" outlineLevel="0" collapsed="false">
      <c r="A4200" s="51" t="n">
        <v>18045</v>
      </c>
      <c r="B4200" s="53" t="n">
        <v>40841.5465277778</v>
      </c>
      <c r="C4200" s="57" t="n">
        <f aca="false">INT($C$2)-INT(Table3[[#This Row],[Last Purchase Date]])</f>
        <v>46</v>
      </c>
      <c r="D4200" s="1" t="n">
        <v>1</v>
      </c>
      <c r="E4200" s="1" t="n">
        <v>189.4</v>
      </c>
      <c r="F4200" s="1" t="n">
        <f aca="false">ROUND((1-_xlfn.PERCENTRANK.INC($C$7:$C$4378,C4200))*9,0)</f>
        <v>5</v>
      </c>
      <c r="G4200" s="1" t="n">
        <f aca="false">ROUND(_xlfn.PERCENTRANK.INC($D$7:$D$4378,D4200)*9,0)</f>
        <v>0</v>
      </c>
      <c r="H4200" s="1" t="n">
        <f aca="false">ROUND(_xlfn.PERCENTRANK.INC($E$7:$E$4378,E4200)*9,0)</f>
        <v>1</v>
      </c>
      <c r="I4200" s="1" t="str">
        <f aca="false">CONCATENATE(F4200,G4200,H4200)</f>
        <v>501</v>
      </c>
      <c r="J4200" s="1" t="str">
        <f aca="false">_xlfn.IFS(AND(F4200&gt;=8,G4200&gt;=8,H4200&gt;=8),"CHAMPION",AND(F4200&gt;=6,G4200&gt;=7,H4200&gt;=6),"LOYAL CUSTOMER",AND(F4200&gt;=6,G4200&gt;=5,H4200&gt;=5),"POTENTIAL LOYALIST",AND(F4200&gt;=8,G4200&lt;=2,H4200&gt;=5),"NEW CUSTOMERS",AND(F4200&gt;=6,G4200&lt;=2,H4200&gt;=3),"PROMISING",AND(F4200&gt;=3,G4200&gt;=3,H4200&gt;=3),"NEED ATTENTION",AND(F4200&lt;=4,G4200&gt;=6,H4200&gt;=6),"AT RISK",AND(F4200&lt;=2,G4200&gt;=8,H4200&gt;=8),"CAN'T LOSE THEM",AND(F4200&lt;=2,G4200&lt;=2,H4200&lt;=2),"HIBERNATING",TRUE(),"Other")</f>
        <v>Other</v>
      </c>
      <c r="K4200" s="1" t="n">
        <f aca="false">RANK(E4200,$E$7:$E$4378)+COUNTIF($E$7:E4200,E4200)-1</f>
        <v>3712</v>
      </c>
    </row>
    <row r="4201" customFormat="false" ht="14.25" hidden="false" customHeight="true" outlineLevel="0" collapsed="false">
      <c r="A4201" s="51" t="n">
        <v>18048</v>
      </c>
      <c r="B4201" s="53" t="n">
        <v>40683.6236111111</v>
      </c>
      <c r="C4201" s="57" t="n">
        <f aca="false">INT($C$2)-INT(Table3[[#This Row],[Last Purchase Date]])</f>
        <v>204</v>
      </c>
      <c r="D4201" s="1" t="n">
        <v>2</v>
      </c>
      <c r="E4201" s="1" t="n">
        <v>172.29</v>
      </c>
      <c r="F4201" s="1" t="n">
        <f aca="false">ROUND((1-_xlfn.PERCENTRANK.INC($C$7:$C$4378,C4201))*9,0)</f>
        <v>2</v>
      </c>
      <c r="G4201" s="1" t="n">
        <f aca="false">ROUND(_xlfn.PERCENTRANK.INC($D$7:$D$4378,D4201)*9,0)</f>
        <v>3</v>
      </c>
      <c r="H4201" s="1" t="n">
        <f aca="false">ROUND(_xlfn.PERCENTRANK.INC($E$7:$E$4378,E4201)*9,0)</f>
        <v>1</v>
      </c>
      <c r="I4201" s="1" t="str">
        <f aca="false">CONCATENATE(F4201,G4201,H4201)</f>
        <v>231</v>
      </c>
      <c r="J4201" s="1" t="str">
        <f aca="false">_xlfn.IFS(AND(F4201&gt;=8,G4201&gt;=8,H4201&gt;=8),"CHAMPION",AND(F4201&gt;=6,G4201&gt;=7,H4201&gt;=6),"LOYAL CUSTOMER",AND(F4201&gt;=6,G4201&gt;=5,H4201&gt;=5),"POTENTIAL LOYALIST",AND(F4201&gt;=8,G4201&lt;=2,H4201&gt;=5),"NEW CUSTOMERS",AND(F4201&gt;=6,G4201&lt;=2,H4201&gt;=3),"PROMISING",AND(F4201&gt;=3,G4201&gt;=3,H4201&gt;=3),"NEED ATTENTION",AND(F4201&lt;=4,G4201&gt;=6,H4201&gt;=6),"AT RISK",AND(F4201&lt;=2,G4201&gt;=8,H4201&gt;=8),"CAN'T LOSE THEM",AND(F4201&lt;=2,G4201&lt;=2,H4201&lt;=2),"HIBERNATING",TRUE(),"Other")</f>
        <v>Other</v>
      </c>
      <c r="K4201" s="1" t="n">
        <f aca="false">RANK(E4201,$E$7:$E$4378)+COUNTIF($E$7:E4201,E4201)-1</f>
        <v>3793</v>
      </c>
    </row>
    <row r="4202" customFormat="false" ht="14.25" hidden="false" customHeight="true" outlineLevel="0" collapsed="false">
      <c r="A4202" s="51" t="n">
        <v>18050</v>
      </c>
      <c r="B4202" s="53" t="n">
        <v>40527.6006944445</v>
      </c>
      <c r="C4202" s="57" t="n">
        <f aca="false">INT($C$2)-INT(Table3[[#This Row],[Last Purchase Date]])</f>
        <v>360</v>
      </c>
      <c r="D4202" s="1" t="n">
        <v>1</v>
      </c>
      <c r="E4202" s="1" t="n">
        <v>74.4</v>
      </c>
      <c r="F4202" s="1" t="n">
        <f aca="false">ROUND((1-_xlfn.PERCENTRANK.INC($C$7:$C$4378,C4202))*9,0)</f>
        <v>0</v>
      </c>
      <c r="G4202" s="1" t="n">
        <f aca="false">ROUND(_xlfn.PERCENTRANK.INC($D$7:$D$4378,D4202)*9,0)</f>
        <v>0</v>
      </c>
      <c r="H4202" s="1" t="n">
        <f aca="false">ROUND(_xlfn.PERCENTRANK.INC($E$7:$E$4378,E4202)*9,0)</f>
        <v>0</v>
      </c>
      <c r="I4202" s="1" t="str">
        <f aca="false">CONCATENATE(F4202,G4202,H4202)</f>
        <v>000</v>
      </c>
      <c r="J4202" s="1" t="str">
        <f aca="false">_xlfn.IFS(AND(F4202&gt;=8,G4202&gt;=8,H4202&gt;=8),"CHAMPION",AND(F4202&gt;=6,G4202&gt;=7,H4202&gt;=6),"LOYAL CUSTOMER",AND(F4202&gt;=6,G4202&gt;=5,H4202&gt;=5),"POTENTIAL LOYALIST",AND(F4202&gt;=8,G4202&lt;=2,H4202&gt;=5),"NEW CUSTOMERS",AND(F4202&gt;=6,G4202&lt;=2,H4202&gt;=3),"PROMISING",AND(F4202&gt;=3,G4202&gt;=3,H4202&gt;=3),"NEED ATTENTION",AND(F4202&lt;=4,G4202&gt;=6,H4202&gt;=6),"AT RISK",AND(F4202&lt;=2,G4202&gt;=8,H4202&gt;=8),"CAN'T LOSE THEM",AND(F4202&lt;=2,G4202&lt;=2,H4202&lt;=2),"HIBERNATING",TRUE(),"Other")</f>
        <v>HIBERNATING</v>
      </c>
      <c r="K4202" s="1" t="n">
        <f aca="false">RANK(E4202,$E$7:$E$4378)+COUNTIF($E$7:E4202,E4202)-1</f>
        <v>4238</v>
      </c>
    </row>
    <row r="4203" customFormat="false" ht="14.25" hidden="false" customHeight="true" outlineLevel="0" collapsed="false">
      <c r="A4203" s="51" t="n">
        <v>18053</v>
      </c>
      <c r="B4203" s="53" t="n">
        <v>40820.7298611111</v>
      </c>
      <c r="C4203" s="57" t="n">
        <f aca="false">INT($C$2)-INT(Table3[[#This Row],[Last Purchase Date]])</f>
        <v>67</v>
      </c>
      <c r="D4203" s="1" t="n">
        <v>2</v>
      </c>
      <c r="E4203" s="1" t="n">
        <v>297.07</v>
      </c>
      <c r="F4203" s="1" t="n">
        <f aca="false">ROUND((1-_xlfn.PERCENTRANK.INC($C$7:$C$4378,C4203))*9,0)</f>
        <v>4</v>
      </c>
      <c r="G4203" s="1" t="n">
        <f aca="false">ROUND(_xlfn.PERCENTRANK.INC($D$7:$D$4378,D4203)*9,0)</f>
        <v>3</v>
      </c>
      <c r="H4203" s="1" t="n">
        <f aca="false">ROUND(_xlfn.PERCENTRANK.INC($E$7:$E$4378,E4203)*9,0)</f>
        <v>2</v>
      </c>
      <c r="I4203" s="1" t="str">
        <f aca="false">CONCATENATE(F4203,G4203,H4203)</f>
        <v>432</v>
      </c>
      <c r="J4203" s="1" t="str">
        <f aca="false">_xlfn.IFS(AND(F4203&gt;=8,G4203&gt;=8,H4203&gt;=8),"CHAMPION",AND(F4203&gt;=6,G4203&gt;=7,H4203&gt;=6),"LOYAL CUSTOMER",AND(F4203&gt;=6,G4203&gt;=5,H4203&gt;=5),"POTENTIAL LOYALIST",AND(F4203&gt;=8,G4203&lt;=2,H4203&gt;=5),"NEW CUSTOMERS",AND(F4203&gt;=6,G4203&lt;=2,H4203&gt;=3),"PROMISING",AND(F4203&gt;=3,G4203&gt;=3,H4203&gt;=3),"NEED ATTENTION",AND(F4203&lt;=4,G4203&gt;=6,H4203&gt;=6),"AT RISK",AND(F4203&lt;=2,G4203&gt;=8,H4203&gt;=8),"CAN'T LOSE THEM",AND(F4203&lt;=2,G4203&lt;=2,H4203&lt;=2),"HIBERNATING",TRUE(),"Other")</f>
        <v>Other</v>
      </c>
      <c r="K4203" s="1" t="n">
        <f aca="false">RANK(E4203,$E$7:$E$4378)+COUNTIF($E$7:E4203,E4203)-1</f>
        <v>3265</v>
      </c>
    </row>
    <row r="4204" customFormat="false" ht="14.25" hidden="false" customHeight="true" outlineLevel="0" collapsed="false">
      <c r="A4204" s="51" t="n">
        <v>18055</v>
      </c>
      <c r="B4204" s="53" t="n">
        <v>40879.6006944445</v>
      </c>
      <c r="C4204" s="57" t="n">
        <f aca="false">INT($C$2)-INT(Table3[[#This Row],[Last Purchase Date]])</f>
        <v>8</v>
      </c>
      <c r="D4204" s="1" t="n">
        <v>11</v>
      </c>
      <c r="E4204" s="1" t="n">
        <v>6752.14</v>
      </c>
      <c r="F4204" s="1" t="n">
        <f aca="false">ROUND((1-_xlfn.PERCENTRANK.INC($C$7:$C$4378,C4204))*9,0)</f>
        <v>8</v>
      </c>
      <c r="G4204" s="1" t="n">
        <f aca="false">ROUND(_xlfn.PERCENTRANK.INC($D$7:$D$4378,D4204)*9,0)</f>
        <v>8</v>
      </c>
      <c r="H4204" s="1" t="n">
        <f aca="false">ROUND(_xlfn.PERCENTRANK.INC($E$7:$E$4378,E4204)*9,0)</f>
        <v>9</v>
      </c>
      <c r="I4204" s="1" t="str">
        <f aca="false">CONCATENATE(F4204,G4204,H4204)</f>
        <v>889</v>
      </c>
      <c r="J4204" s="1" t="str">
        <f aca="false">_xlfn.IFS(AND(F4204&gt;=8,G4204&gt;=8,H4204&gt;=8),"CHAMPION",AND(F4204&gt;=6,G4204&gt;=7,H4204&gt;=6),"LOYAL CUSTOMER",AND(F4204&gt;=6,G4204&gt;=5,H4204&gt;=5),"POTENTIAL LOYALIST",AND(F4204&gt;=8,G4204&lt;=2,H4204&gt;=5),"NEW CUSTOMERS",AND(F4204&gt;=6,G4204&lt;=2,H4204&gt;=3),"PROMISING",AND(F4204&gt;=3,G4204&gt;=3,H4204&gt;=3),"NEED ATTENTION",AND(F4204&lt;=4,G4204&gt;=6,H4204&gt;=6),"AT RISK",AND(F4204&lt;=2,G4204&gt;=8,H4204&gt;=8),"CAN'T LOSE THEM",AND(F4204&lt;=2,G4204&lt;=2,H4204&lt;=2),"HIBERNATING",TRUE(),"Other")</f>
        <v>CHAMPION</v>
      </c>
      <c r="K4204" s="1" t="n">
        <f aca="false">RANK(E4204,$E$7:$E$4378)+COUNTIF($E$7:E4204,E4204)-1</f>
        <v>165</v>
      </c>
    </row>
    <row r="4205" customFormat="false" ht="14.25" hidden="false" customHeight="true" outlineLevel="0" collapsed="false">
      <c r="A4205" s="51" t="n">
        <v>18056</v>
      </c>
      <c r="B4205" s="53" t="n">
        <v>40598.6020833333</v>
      </c>
      <c r="C4205" s="57" t="n">
        <f aca="false">INT($C$2)-INT(Table3[[#This Row],[Last Purchase Date]])</f>
        <v>289</v>
      </c>
      <c r="D4205" s="1" t="n">
        <v>1</v>
      </c>
      <c r="E4205" s="1" t="n">
        <v>363.65</v>
      </c>
      <c r="F4205" s="1" t="n">
        <f aca="false">ROUND((1-_xlfn.PERCENTRANK.INC($C$7:$C$4378,C4205))*9,0)</f>
        <v>1</v>
      </c>
      <c r="G4205" s="1" t="n">
        <f aca="false">ROUND(_xlfn.PERCENTRANK.INC($D$7:$D$4378,D4205)*9,0)</f>
        <v>0</v>
      </c>
      <c r="H4205" s="1" t="n">
        <f aca="false">ROUND(_xlfn.PERCENTRANK.INC($E$7:$E$4378,E4205)*9,0)</f>
        <v>3</v>
      </c>
      <c r="I4205" s="1" t="str">
        <f aca="false">CONCATENATE(F4205,G4205,H4205)</f>
        <v>103</v>
      </c>
      <c r="J4205" s="1" t="str">
        <f aca="false">_xlfn.IFS(AND(F4205&gt;=8,G4205&gt;=8,H4205&gt;=8),"CHAMPION",AND(F4205&gt;=6,G4205&gt;=7,H4205&gt;=6),"LOYAL CUSTOMER",AND(F4205&gt;=6,G4205&gt;=5,H4205&gt;=5),"POTENTIAL LOYALIST",AND(F4205&gt;=8,G4205&lt;=2,H4205&gt;=5),"NEW CUSTOMERS",AND(F4205&gt;=6,G4205&lt;=2,H4205&gt;=3),"PROMISING",AND(F4205&gt;=3,G4205&gt;=3,H4205&gt;=3),"NEED ATTENTION",AND(F4205&lt;=4,G4205&gt;=6,H4205&gt;=6),"AT RISK",AND(F4205&lt;=2,G4205&gt;=8,H4205&gt;=8),"CAN'T LOSE THEM",AND(F4205&lt;=2,G4205&lt;=2,H4205&lt;=2),"HIBERNATING",TRUE(),"Other")</f>
        <v>Other</v>
      </c>
      <c r="K4205" s="1" t="n">
        <f aca="false">RANK(E4205,$E$7:$E$4378)+COUNTIF($E$7:E4205,E4205)-1</f>
        <v>2952</v>
      </c>
    </row>
    <row r="4206" customFormat="false" ht="14.25" hidden="false" customHeight="true" outlineLevel="0" collapsed="false">
      <c r="A4206" s="51" t="n">
        <v>18058</v>
      </c>
      <c r="B4206" s="53" t="n">
        <v>40877.3597222222</v>
      </c>
      <c r="C4206" s="57" t="n">
        <f aca="false">INT($C$2)-INT(Table3[[#This Row],[Last Purchase Date]])</f>
        <v>10</v>
      </c>
      <c r="D4206" s="1" t="n">
        <v>1</v>
      </c>
      <c r="E4206" s="1" t="n">
        <v>170.16</v>
      </c>
      <c r="F4206" s="1" t="n">
        <f aca="false">ROUND((1-_xlfn.PERCENTRANK.INC($C$7:$C$4378,C4206))*9,0)</f>
        <v>8</v>
      </c>
      <c r="G4206" s="1" t="n">
        <f aca="false">ROUND(_xlfn.PERCENTRANK.INC($D$7:$D$4378,D4206)*9,0)</f>
        <v>0</v>
      </c>
      <c r="H4206" s="1" t="n">
        <f aca="false">ROUND(_xlfn.PERCENTRANK.INC($E$7:$E$4378,E4206)*9,0)</f>
        <v>1</v>
      </c>
      <c r="I4206" s="1" t="str">
        <f aca="false">CONCATENATE(F4206,G4206,H4206)</f>
        <v>801</v>
      </c>
      <c r="J4206" s="1" t="str">
        <f aca="false">_xlfn.IFS(AND(F4206&gt;=8,G4206&gt;=8,H4206&gt;=8),"CHAMPION",AND(F4206&gt;=6,G4206&gt;=7,H4206&gt;=6),"LOYAL CUSTOMER",AND(F4206&gt;=6,G4206&gt;=5,H4206&gt;=5),"POTENTIAL LOYALIST",AND(F4206&gt;=8,G4206&lt;=2,H4206&gt;=5),"NEW CUSTOMERS",AND(F4206&gt;=6,G4206&lt;=2,H4206&gt;=3),"PROMISING",AND(F4206&gt;=3,G4206&gt;=3,H4206&gt;=3),"NEED ATTENTION",AND(F4206&lt;=4,G4206&gt;=6,H4206&gt;=6),"AT RISK",AND(F4206&lt;=2,G4206&gt;=8,H4206&gt;=8),"CAN'T LOSE THEM",AND(F4206&lt;=2,G4206&lt;=2,H4206&lt;=2),"HIBERNATING",TRUE(),"Other")</f>
        <v>Other</v>
      </c>
      <c r="K4206" s="1" t="n">
        <f aca="false">RANK(E4206,$E$7:$E$4378)+COUNTIF($E$7:E4206,E4206)-1</f>
        <v>3802</v>
      </c>
    </row>
    <row r="4207" customFormat="false" ht="14.25" hidden="false" customHeight="true" outlineLevel="0" collapsed="false">
      <c r="A4207" s="51" t="n">
        <v>18059</v>
      </c>
      <c r="B4207" s="53" t="n">
        <v>40877.7097222222</v>
      </c>
      <c r="C4207" s="57" t="n">
        <f aca="false">INT($C$2)-INT(Table3[[#This Row],[Last Purchase Date]])</f>
        <v>10</v>
      </c>
      <c r="D4207" s="1" t="n">
        <v>4</v>
      </c>
      <c r="E4207" s="1" t="n">
        <v>296.71</v>
      </c>
      <c r="F4207" s="1" t="n">
        <f aca="false">ROUND((1-_xlfn.PERCENTRANK.INC($C$7:$C$4378,C4207))*9,0)</f>
        <v>8</v>
      </c>
      <c r="G4207" s="1" t="n">
        <f aca="false">ROUND(_xlfn.PERCENTRANK.INC($D$7:$D$4378,D4207)*9,0)</f>
        <v>5</v>
      </c>
      <c r="H4207" s="1" t="n">
        <f aca="false">ROUND(_xlfn.PERCENTRANK.INC($E$7:$E$4378,E4207)*9,0)</f>
        <v>2</v>
      </c>
      <c r="I4207" s="1" t="str">
        <f aca="false">CONCATENATE(F4207,G4207,H4207)</f>
        <v>852</v>
      </c>
      <c r="J4207" s="1" t="str">
        <f aca="false">_xlfn.IFS(AND(F4207&gt;=8,G4207&gt;=8,H4207&gt;=8),"CHAMPION",AND(F4207&gt;=6,G4207&gt;=7,H4207&gt;=6),"LOYAL CUSTOMER",AND(F4207&gt;=6,G4207&gt;=5,H4207&gt;=5),"POTENTIAL LOYALIST",AND(F4207&gt;=8,G4207&lt;=2,H4207&gt;=5),"NEW CUSTOMERS",AND(F4207&gt;=6,G4207&lt;=2,H4207&gt;=3),"PROMISING",AND(F4207&gt;=3,G4207&gt;=3,H4207&gt;=3),"NEED ATTENTION",AND(F4207&lt;=4,G4207&gt;=6,H4207&gt;=6),"AT RISK",AND(F4207&lt;=2,G4207&gt;=8,H4207&gt;=8),"CAN'T LOSE THEM",AND(F4207&lt;=2,G4207&lt;=2,H4207&lt;=2),"HIBERNATING",TRUE(),"Other")</f>
        <v>Other</v>
      </c>
      <c r="K4207" s="1" t="n">
        <f aca="false">RANK(E4207,$E$7:$E$4378)+COUNTIF($E$7:E4207,E4207)-1</f>
        <v>3269</v>
      </c>
    </row>
    <row r="4208" customFormat="false" ht="14.25" hidden="false" customHeight="true" outlineLevel="0" collapsed="false">
      <c r="A4208" s="51" t="n">
        <v>18061</v>
      </c>
      <c r="B4208" s="53" t="n">
        <v>40865.4722222222</v>
      </c>
      <c r="C4208" s="57" t="n">
        <f aca="false">INT($C$2)-INT(Table3[[#This Row],[Last Purchase Date]])</f>
        <v>22</v>
      </c>
      <c r="D4208" s="1" t="n">
        <v>10</v>
      </c>
      <c r="E4208" s="1" t="n">
        <v>2119.41</v>
      </c>
      <c r="F4208" s="1" t="n">
        <f aca="false">ROUND((1-_xlfn.PERCENTRANK.INC($C$7:$C$4378,C4208))*9,0)</f>
        <v>6</v>
      </c>
      <c r="G4208" s="1" t="n">
        <f aca="false">ROUND(_xlfn.PERCENTRANK.INC($D$7:$D$4378,D4208)*9,0)</f>
        <v>8</v>
      </c>
      <c r="H4208" s="1" t="n">
        <f aca="false">ROUND(_xlfn.PERCENTRANK.INC($E$7:$E$4378,E4208)*9,0)</f>
        <v>7</v>
      </c>
      <c r="I4208" s="1" t="str">
        <f aca="false">CONCATENATE(F4208,G4208,H4208)</f>
        <v>687</v>
      </c>
      <c r="J4208" s="1" t="str">
        <f aca="false">_xlfn.IFS(AND(F4208&gt;=8,G4208&gt;=8,H4208&gt;=8),"CHAMPION",AND(F4208&gt;=6,G4208&gt;=7,H4208&gt;=6),"LOYAL CUSTOMER",AND(F4208&gt;=6,G4208&gt;=5,H4208&gt;=5),"POTENTIAL LOYALIST",AND(F4208&gt;=8,G4208&lt;=2,H4208&gt;=5),"NEW CUSTOMERS",AND(F4208&gt;=6,G4208&lt;=2,H4208&gt;=3),"PROMISING",AND(F4208&gt;=3,G4208&gt;=3,H4208&gt;=3),"NEED ATTENTION",AND(F4208&lt;=4,G4208&gt;=6,H4208&gt;=6),"AT RISK",AND(F4208&lt;=2,G4208&gt;=8,H4208&gt;=8),"CAN'T LOSE THEM",AND(F4208&lt;=2,G4208&lt;=2,H4208&lt;=2),"HIBERNATING",TRUE(),"Other")</f>
        <v>LOYAL CUSTOMER</v>
      </c>
      <c r="K4208" s="1" t="n">
        <f aca="false">RANK(E4208,$E$7:$E$4378)+COUNTIF($E$7:E4208,E4208)-1</f>
        <v>816</v>
      </c>
    </row>
    <row r="4209" customFormat="false" ht="14.25" hidden="false" customHeight="true" outlineLevel="0" collapsed="false">
      <c r="A4209" s="51" t="n">
        <v>18062</v>
      </c>
      <c r="B4209" s="53" t="n">
        <v>40713.6159722222</v>
      </c>
      <c r="C4209" s="57" t="n">
        <f aca="false">INT($C$2)-INT(Table3[[#This Row],[Last Purchase Date]])</f>
        <v>174</v>
      </c>
      <c r="D4209" s="1" t="n">
        <v>3</v>
      </c>
      <c r="E4209" s="1" t="n">
        <v>720.52</v>
      </c>
      <c r="F4209" s="1" t="n">
        <f aca="false">ROUND((1-_xlfn.PERCENTRANK.INC($C$7:$C$4378,C4209))*9,0)</f>
        <v>2</v>
      </c>
      <c r="G4209" s="1" t="n">
        <f aca="false">ROUND(_xlfn.PERCENTRANK.INC($D$7:$D$4378,D4209)*9,0)</f>
        <v>4</v>
      </c>
      <c r="H4209" s="1" t="n">
        <f aca="false">ROUND(_xlfn.PERCENTRANK.INC($E$7:$E$4378,E4209)*9,0)</f>
        <v>5</v>
      </c>
      <c r="I4209" s="1" t="str">
        <f aca="false">CONCATENATE(F4209,G4209,H4209)</f>
        <v>245</v>
      </c>
      <c r="J4209" s="1" t="str">
        <f aca="false">_xlfn.IFS(AND(F4209&gt;=8,G4209&gt;=8,H4209&gt;=8),"CHAMPION",AND(F4209&gt;=6,G4209&gt;=7,H4209&gt;=6),"LOYAL CUSTOMER",AND(F4209&gt;=6,G4209&gt;=5,H4209&gt;=5),"POTENTIAL LOYALIST",AND(F4209&gt;=8,G4209&lt;=2,H4209&gt;=5),"NEW CUSTOMERS",AND(F4209&gt;=6,G4209&lt;=2,H4209&gt;=3),"PROMISING",AND(F4209&gt;=3,G4209&gt;=3,H4209&gt;=3),"NEED ATTENTION",AND(F4209&lt;=4,G4209&gt;=6,H4209&gt;=6),"AT RISK",AND(F4209&lt;=2,G4209&gt;=8,H4209&gt;=8),"CAN'T LOSE THEM",AND(F4209&lt;=2,G4209&lt;=2,H4209&lt;=2),"HIBERNATING",TRUE(),"Other")</f>
        <v>Other</v>
      </c>
      <c r="K4209" s="1" t="n">
        <f aca="false">RANK(E4209,$E$7:$E$4378)+COUNTIF($E$7:E4209,E4209)-1</f>
        <v>2027</v>
      </c>
    </row>
    <row r="4210" customFormat="false" ht="14.25" hidden="false" customHeight="true" outlineLevel="0" collapsed="false">
      <c r="A4210" s="51" t="n">
        <v>18064</v>
      </c>
      <c r="B4210" s="53" t="n">
        <v>40753.69375</v>
      </c>
      <c r="C4210" s="57" t="n">
        <f aca="false">INT($C$2)-INT(Table3[[#This Row],[Last Purchase Date]])</f>
        <v>134</v>
      </c>
      <c r="D4210" s="1" t="n">
        <v>2</v>
      </c>
      <c r="E4210" s="1" t="n">
        <v>814</v>
      </c>
      <c r="F4210" s="1" t="n">
        <f aca="false">ROUND((1-_xlfn.PERCENTRANK.INC($C$7:$C$4378,C4210))*9,0)</f>
        <v>2</v>
      </c>
      <c r="G4210" s="1" t="n">
        <f aca="false">ROUND(_xlfn.PERCENTRANK.INC($D$7:$D$4378,D4210)*9,0)</f>
        <v>3</v>
      </c>
      <c r="H4210" s="1" t="n">
        <f aca="false">ROUND(_xlfn.PERCENTRANK.INC($E$7:$E$4378,E4210)*9,0)</f>
        <v>5</v>
      </c>
      <c r="I4210" s="1" t="str">
        <f aca="false">CONCATENATE(F4210,G4210,H4210)</f>
        <v>235</v>
      </c>
      <c r="J4210" s="1" t="str">
        <f aca="false">_xlfn.IFS(AND(F4210&gt;=8,G4210&gt;=8,H4210&gt;=8),"CHAMPION",AND(F4210&gt;=6,G4210&gt;=7,H4210&gt;=6),"LOYAL CUSTOMER",AND(F4210&gt;=6,G4210&gt;=5,H4210&gt;=5),"POTENTIAL LOYALIST",AND(F4210&gt;=8,G4210&lt;=2,H4210&gt;=5),"NEW CUSTOMERS",AND(F4210&gt;=6,G4210&lt;=2,H4210&gt;=3),"PROMISING",AND(F4210&gt;=3,G4210&gt;=3,H4210&gt;=3),"NEED ATTENTION",AND(F4210&lt;=4,G4210&gt;=6,H4210&gt;=6),"AT RISK",AND(F4210&lt;=2,G4210&gt;=8,H4210&gt;=8),"CAN'T LOSE THEM",AND(F4210&lt;=2,G4210&lt;=2,H4210&lt;=2),"HIBERNATING",TRUE(),"Other")</f>
        <v>Other</v>
      </c>
      <c r="K4210" s="1" t="n">
        <f aca="false">RANK(E4210,$E$7:$E$4378)+COUNTIF($E$7:E4210,E4210)-1</f>
        <v>1874</v>
      </c>
    </row>
    <row r="4211" customFormat="false" ht="14.25" hidden="false" customHeight="true" outlineLevel="0" collapsed="false">
      <c r="A4211" s="51" t="n">
        <v>18065</v>
      </c>
      <c r="B4211" s="53" t="n">
        <v>40881.4375</v>
      </c>
      <c r="C4211" s="57" t="n">
        <f aca="false">INT($C$2)-INT(Table3[[#This Row],[Last Purchase Date]])</f>
        <v>6</v>
      </c>
      <c r="D4211" s="1" t="n">
        <v>15</v>
      </c>
      <c r="E4211" s="1" t="n">
        <v>2380.08</v>
      </c>
      <c r="F4211" s="1" t="n">
        <f aca="false">ROUND((1-_xlfn.PERCENTRANK.INC($C$7:$C$4378,C4211))*9,0)</f>
        <v>8</v>
      </c>
      <c r="G4211" s="1" t="n">
        <f aca="false">ROUND(_xlfn.PERCENTRANK.INC($D$7:$D$4378,D4211)*9,0)</f>
        <v>8</v>
      </c>
      <c r="H4211" s="1" t="n">
        <f aca="false">ROUND(_xlfn.PERCENTRANK.INC($E$7:$E$4378,E4211)*9,0)</f>
        <v>8</v>
      </c>
      <c r="I4211" s="1" t="str">
        <f aca="false">CONCATENATE(F4211,G4211,H4211)</f>
        <v>888</v>
      </c>
      <c r="J4211" s="1" t="str">
        <f aca="false">_xlfn.IFS(AND(F4211&gt;=8,G4211&gt;=8,H4211&gt;=8),"CHAMPION",AND(F4211&gt;=6,G4211&gt;=7,H4211&gt;=6),"LOYAL CUSTOMER",AND(F4211&gt;=6,G4211&gt;=5,H4211&gt;=5),"POTENTIAL LOYALIST",AND(F4211&gt;=8,G4211&lt;=2,H4211&gt;=5),"NEW CUSTOMERS",AND(F4211&gt;=6,G4211&lt;=2,H4211&gt;=3),"PROMISING",AND(F4211&gt;=3,G4211&gt;=3,H4211&gt;=3),"NEED ATTENTION",AND(F4211&lt;=4,G4211&gt;=6,H4211&gt;=6),"AT RISK",AND(F4211&lt;=2,G4211&gt;=8,H4211&gt;=8),"CAN'T LOSE THEM",AND(F4211&lt;=2,G4211&lt;=2,H4211&lt;=2),"HIBERNATING",TRUE(),"Other")</f>
        <v>CHAMPION</v>
      </c>
      <c r="K4211" s="1" t="n">
        <f aca="false">RANK(E4211,$E$7:$E$4378)+COUNTIF($E$7:E4211,E4211)-1</f>
        <v>717</v>
      </c>
    </row>
    <row r="4212" customFormat="false" ht="14.25" hidden="false" customHeight="true" outlineLevel="0" collapsed="false">
      <c r="A4212" s="51" t="n">
        <v>18066</v>
      </c>
      <c r="B4212" s="53" t="n">
        <v>40811.6458333333</v>
      </c>
      <c r="C4212" s="57" t="n">
        <f aca="false">INT($C$2)-INT(Table3[[#This Row],[Last Purchase Date]])</f>
        <v>76</v>
      </c>
      <c r="D4212" s="1" t="n">
        <v>1</v>
      </c>
      <c r="E4212" s="1" t="n">
        <v>318</v>
      </c>
      <c r="F4212" s="1" t="n">
        <f aca="false">ROUND((1-_xlfn.PERCENTRANK.INC($C$7:$C$4378,C4212))*9,0)</f>
        <v>3</v>
      </c>
      <c r="G4212" s="1" t="n">
        <f aca="false">ROUND(_xlfn.PERCENTRANK.INC($D$7:$D$4378,D4212)*9,0)</f>
        <v>0</v>
      </c>
      <c r="H4212" s="1" t="n">
        <f aca="false">ROUND(_xlfn.PERCENTRANK.INC($E$7:$E$4378,E4212)*9,0)</f>
        <v>3</v>
      </c>
      <c r="I4212" s="1" t="str">
        <f aca="false">CONCATENATE(F4212,G4212,H4212)</f>
        <v>303</v>
      </c>
      <c r="J4212" s="1" t="str">
        <f aca="false">_xlfn.IFS(AND(F4212&gt;=8,G4212&gt;=8,H4212&gt;=8),"CHAMPION",AND(F4212&gt;=6,G4212&gt;=7,H4212&gt;=6),"LOYAL CUSTOMER",AND(F4212&gt;=6,G4212&gt;=5,H4212&gt;=5),"POTENTIAL LOYALIST",AND(F4212&gt;=8,G4212&lt;=2,H4212&gt;=5),"NEW CUSTOMERS",AND(F4212&gt;=6,G4212&lt;=2,H4212&gt;=3),"PROMISING",AND(F4212&gt;=3,G4212&gt;=3,H4212&gt;=3),"NEED ATTENTION",AND(F4212&lt;=4,G4212&gt;=6,H4212&gt;=6),"AT RISK",AND(F4212&lt;=2,G4212&gt;=8,H4212&gt;=8),"CAN'T LOSE THEM",AND(F4212&lt;=2,G4212&lt;=2,H4212&lt;=2),"HIBERNATING",TRUE(),"Other")</f>
        <v>Other</v>
      </c>
      <c r="K4212" s="1" t="n">
        <f aca="false">RANK(E4212,$E$7:$E$4378)+COUNTIF($E$7:E4212,E4212)-1</f>
        <v>3150</v>
      </c>
    </row>
    <row r="4213" customFormat="false" ht="14.25" hidden="false" customHeight="true" outlineLevel="0" collapsed="false">
      <c r="A4213" s="51" t="n">
        <v>18067</v>
      </c>
      <c r="B4213" s="53" t="n">
        <v>40846.6652777778</v>
      </c>
      <c r="C4213" s="57" t="n">
        <f aca="false">INT($C$2)-INT(Table3[[#This Row],[Last Purchase Date]])</f>
        <v>41</v>
      </c>
      <c r="D4213" s="1" t="n">
        <v>1</v>
      </c>
      <c r="E4213" s="1" t="n">
        <v>396.33</v>
      </c>
      <c r="F4213" s="1" t="n">
        <f aca="false">ROUND((1-_xlfn.PERCENTRANK.INC($C$7:$C$4378,C4213))*9,0)</f>
        <v>5</v>
      </c>
      <c r="G4213" s="1" t="n">
        <f aca="false">ROUND(_xlfn.PERCENTRANK.INC($D$7:$D$4378,D4213)*9,0)</f>
        <v>0</v>
      </c>
      <c r="H4213" s="1" t="n">
        <f aca="false">ROUND(_xlfn.PERCENTRANK.INC($E$7:$E$4378,E4213)*9,0)</f>
        <v>3</v>
      </c>
      <c r="I4213" s="1" t="str">
        <f aca="false">CONCATENATE(F4213,G4213,H4213)</f>
        <v>503</v>
      </c>
      <c r="J4213" s="1" t="str">
        <f aca="false">_xlfn.IFS(AND(F4213&gt;=8,G4213&gt;=8,H4213&gt;=8),"CHAMPION",AND(F4213&gt;=6,G4213&gt;=7,H4213&gt;=6),"LOYAL CUSTOMER",AND(F4213&gt;=6,G4213&gt;=5,H4213&gt;=5),"POTENTIAL LOYALIST",AND(F4213&gt;=8,G4213&lt;=2,H4213&gt;=5),"NEW CUSTOMERS",AND(F4213&gt;=6,G4213&lt;=2,H4213&gt;=3),"PROMISING",AND(F4213&gt;=3,G4213&gt;=3,H4213&gt;=3),"NEED ATTENTION",AND(F4213&lt;=4,G4213&gt;=6,H4213&gt;=6),"AT RISK",AND(F4213&lt;=2,G4213&gt;=8,H4213&gt;=8),"CAN'T LOSE THEM",AND(F4213&lt;=2,G4213&lt;=2,H4213&lt;=2),"HIBERNATING",TRUE(),"Other")</f>
        <v>Other</v>
      </c>
      <c r="K4213" s="1" t="n">
        <f aca="false">RANK(E4213,$E$7:$E$4378)+COUNTIF($E$7:E4213,E4213)-1</f>
        <v>2832</v>
      </c>
    </row>
    <row r="4214" customFormat="false" ht="14.25" hidden="false" customHeight="true" outlineLevel="0" collapsed="false">
      <c r="A4214" s="51" t="n">
        <v>18068</v>
      </c>
      <c r="B4214" s="53" t="n">
        <v>40597.6180555556</v>
      </c>
      <c r="C4214" s="57" t="n">
        <f aca="false">INT($C$2)-INT(Table3[[#This Row],[Last Purchase Date]])</f>
        <v>290</v>
      </c>
      <c r="D4214" s="1" t="n">
        <v>1</v>
      </c>
      <c r="E4214" s="1" t="n">
        <v>101.7</v>
      </c>
      <c r="F4214" s="1" t="n">
        <f aca="false">ROUND((1-_xlfn.PERCENTRANK.INC($C$7:$C$4378,C4214))*9,0)</f>
        <v>1</v>
      </c>
      <c r="G4214" s="1" t="n">
        <f aca="false">ROUND(_xlfn.PERCENTRANK.INC($D$7:$D$4378,D4214)*9,0)</f>
        <v>0</v>
      </c>
      <c r="H4214" s="1" t="n">
        <f aca="false">ROUND(_xlfn.PERCENTRANK.INC($E$7:$E$4378,E4214)*9,0)</f>
        <v>0</v>
      </c>
      <c r="I4214" s="1" t="str">
        <f aca="false">CONCATENATE(F4214,G4214,H4214)</f>
        <v>100</v>
      </c>
      <c r="J4214" s="1" t="str">
        <f aca="false">_xlfn.IFS(AND(F4214&gt;=8,G4214&gt;=8,H4214&gt;=8),"CHAMPION",AND(F4214&gt;=6,G4214&gt;=7,H4214&gt;=6),"LOYAL CUSTOMER",AND(F4214&gt;=6,G4214&gt;=5,H4214&gt;=5),"POTENTIAL LOYALIST",AND(F4214&gt;=8,G4214&lt;=2,H4214&gt;=5),"NEW CUSTOMERS",AND(F4214&gt;=6,G4214&lt;=2,H4214&gt;=3),"PROMISING",AND(F4214&gt;=3,G4214&gt;=3,H4214&gt;=3),"NEED ATTENTION",AND(F4214&lt;=4,G4214&gt;=6,H4214&gt;=6),"AT RISK",AND(F4214&lt;=2,G4214&gt;=8,H4214&gt;=8),"CAN'T LOSE THEM",AND(F4214&lt;=2,G4214&lt;=2,H4214&lt;=2),"HIBERNATING",TRUE(),"Other")</f>
        <v>HIBERNATING</v>
      </c>
      <c r="K4214" s="1" t="n">
        <f aca="false">RANK(E4214,$E$7:$E$4378)+COUNTIF($E$7:E4214,E4214)-1</f>
        <v>4148</v>
      </c>
    </row>
    <row r="4215" customFormat="false" ht="14.25" hidden="false" customHeight="true" outlineLevel="0" collapsed="false">
      <c r="A4215" s="51" t="n">
        <v>18069</v>
      </c>
      <c r="B4215" s="53" t="n">
        <v>40860.6701388889</v>
      </c>
      <c r="C4215" s="57" t="n">
        <f aca="false">INT($C$2)-INT(Table3[[#This Row],[Last Purchase Date]])</f>
        <v>27</v>
      </c>
      <c r="D4215" s="1" t="n">
        <v>7</v>
      </c>
      <c r="E4215" s="1" t="n">
        <v>2021.82</v>
      </c>
      <c r="F4215" s="1" t="n">
        <f aca="false">ROUND((1-_xlfn.PERCENTRANK.INC($C$7:$C$4378,C4215))*9,0)</f>
        <v>6</v>
      </c>
      <c r="G4215" s="1" t="n">
        <f aca="false">ROUND(_xlfn.PERCENTRANK.INC($D$7:$D$4378,D4215)*9,0)</f>
        <v>7</v>
      </c>
      <c r="H4215" s="1" t="n">
        <f aca="false">ROUND(_xlfn.PERCENTRANK.INC($E$7:$E$4378,E4215)*9,0)</f>
        <v>7</v>
      </c>
      <c r="I4215" s="1" t="str">
        <f aca="false">CONCATENATE(F4215,G4215,H4215)</f>
        <v>677</v>
      </c>
      <c r="J4215" s="1" t="str">
        <f aca="false">_xlfn.IFS(AND(F4215&gt;=8,G4215&gt;=8,H4215&gt;=8),"CHAMPION",AND(F4215&gt;=6,G4215&gt;=7,H4215&gt;=6),"LOYAL CUSTOMER",AND(F4215&gt;=6,G4215&gt;=5,H4215&gt;=5),"POTENTIAL LOYALIST",AND(F4215&gt;=8,G4215&lt;=2,H4215&gt;=5),"NEW CUSTOMERS",AND(F4215&gt;=6,G4215&lt;=2,H4215&gt;=3),"PROMISING",AND(F4215&gt;=3,G4215&gt;=3,H4215&gt;=3),"NEED ATTENTION",AND(F4215&lt;=4,G4215&gt;=6,H4215&gt;=6),"AT RISK",AND(F4215&lt;=2,G4215&gt;=8,H4215&gt;=8),"CAN'T LOSE THEM",AND(F4215&lt;=2,G4215&lt;=2,H4215&lt;=2),"HIBERNATING",TRUE(),"Other")</f>
        <v>LOYAL CUSTOMER</v>
      </c>
      <c r="K4215" s="1" t="n">
        <f aca="false">RANK(E4215,$E$7:$E$4378)+COUNTIF($E$7:E4215,E4215)-1</f>
        <v>865</v>
      </c>
    </row>
    <row r="4216" customFormat="false" ht="14.25" hidden="false" customHeight="true" outlineLevel="0" collapsed="false">
      <c r="A4216" s="51" t="n">
        <v>18071</v>
      </c>
      <c r="B4216" s="53" t="n">
        <v>40629.4993055556</v>
      </c>
      <c r="C4216" s="57" t="n">
        <f aca="false">INT($C$2)-INT(Table3[[#This Row],[Last Purchase Date]])</f>
        <v>258</v>
      </c>
      <c r="D4216" s="1" t="n">
        <v>2</v>
      </c>
      <c r="E4216" s="1" t="n">
        <v>453</v>
      </c>
      <c r="F4216" s="1" t="n">
        <f aca="false">ROUND((1-_xlfn.PERCENTRANK.INC($C$7:$C$4378,C4216))*9,0)</f>
        <v>1</v>
      </c>
      <c r="G4216" s="1" t="n">
        <f aca="false">ROUND(_xlfn.PERCENTRANK.INC($D$7:$D$4378,D4216)*9,0)</f>
        <v>3</v>
      </c>
      <c r="H4216" s="1" t="n">
        <f aca="false">ROUND(_xlfn.PERCENTRANK.INC($E$7:$E$4378,E4216)*9,0)</f>
        <v>4</v>
      </c>
      <c r="I4216" s="1" t="str">
        <f aca="false">CONCATENATE(F4216,G4216,H4216)</f>
        <v>134</v>
      </c>
      <c r="J4216" s="1" t="str">
        <f aca="false">_xlfn.IFS(AND(F4216&gt;=8,G4216&gt;=8,H4216&gt;=8),"CHAMPION",AND(F4216&gt;=6,G4216&gt;=7,H4216&gt;=6),"LOYAL CUSTOMER",AND(F4216&gt;=6,G4216&gt;=5,H4216&gt;=5),"POTENTIAL LOYALIST",AND(F4216&gt;=8,G4216&lt;=2,H4216&gt;=5),"NEW CUSTOMERS",AND(F4216&gt;=6,G4216&lt;=2,H4216&gt;=3),"PROMISING",AND(F4216&gt;=3,G4216&gt;=3,H4216&gt;=3),"NEED ATTENTION",AND(F4216&lt;=4,G4216&gt;=6,H4216&gt;=6),"AT RISK",AND(F4216&lt;=2,G4216&gt;=8,H4216&gt;=8),"CAN'T LOSE THEM",AND(F4216&lt;=2,G4216&lt;=2,H4216&lt;=2),"HIBERNATING",TRUE(),"Other")</f>
        <v>Other</v>
      </c>
      <c r="K4216" s="1" t="n">
        <f aca="false">RANK(E4216,$E$7:$E$4378)+COUNTIF($E$7:E4216,E4216)-1</f>
        <v>2665</v>
      </c>
    </row>
    <row r="4217" customFormat="false" ht="14.25" hidden="false" customHeight="true" outlineLevel="0" collapsed="false">
      <c r="A4217" s="51" t="n">
        <v>18072</v>
      </c>
      <c r="B4217" s="53" t="n">
        <v>40731.7236111111</v>
      </c>
      <c r="C4217" s="57" t="n">
        <f aca="false">INT($C$2)-INT(Table3[[#This Row],[Last Purchase Date]])</f>
        <v>156</v>
      </c>
      <c r="D4217" s="1" t="n">
        <v>2</v>
      </c>
      <c r="E4217" s="1" t="n">
        <v>-5.50670620214078E-014</v>
      </c>
      <c r="F4217" s="1" t="n">
        <f aca="false">ROUND((1-_xlfn.PERCENTRANK.INC($C$7:$C$4378,C4217))*9,0)</f>
        <v>2</v>
      </c>
      <c r="G4217" s="1" t="n">
        <f aca="false">ROUND(_xlfn.PERCENTRANK.INC($D$7:$D$4378,D4217)*9,0)</f>
        <v>3</v>
      </c>
      <c r="H4217" s="1" t="n">
        <f aca="false">ROUND(_xlfn.PERCENTRANK.INC($E$7:$E$4378,E4217)*9,0)</f>
        <v>0</v>
      </c>
      <c r="I4217" s="1" t="str">
        <f aca="false">CONCATENATE(F4217,G4217,H4217)</f>
        <v>230</v>
      </c>
      <c r="J4217" s="1" t="str">
        <f aca="false">_xlfn.IFS(AND(F4217&gt;=8,G4217&gt;=8,H4217&gt;=8),"CHAMPION",AND(F4217&gt;=6,G4217&gt;=7,H4217&gt;=6),"LOYAL CUSTOMER",AND(F4217&gt;=6,G4217&gt;=5,H4217&gt;=5),"POTENTIAL LOYALIST",AND(F4217&gt;=8,G4217&lt;=2,H4217&gt;=5),"NEW CUSTOMERS",AND(F4217&gt;=6,G4217&lt;=2,H4217&gt;=3),"PROMISING",AND(F4217&gt;=3,G4217&gt;=3,H4217&gt;=3),"NEED ATTENTION",AND(F4217&lt;=4,G4217&gt;=6,H4217&gt;=6),"AT RISK",AND(F4217&lt;=2,G4217&gt;=8,H4217&gt;=8),"CAN'T LOSE THEM",AND(F4217&lt;=2,G4217&lt;=2,H4217&lt;=2),"HIBERNATING",TRUE(),"Other")</f>
        <v>Other</v>
      </c>
      <c r="K4217" s="1" t="n">
        <f aca="false">RANK(E4217,$E$7:$E$4378)+COUNTIF($E$7:E4217,E4217)-1</f>
        <v>4329</v>
      </c>
    </row>
    <row r="4218" customFormat="false" ht="14.25" hidden="false" customHeight="true" outlineLevel="0" collapsed="false">
      <c r="A4218" s="51" t="n">
        <v>18073</v>
      </c>
      <c r="B4218" s="53" t="n">
        <v>40772.5847222222</v>
      </c>
      <c r="C4218" s="57" t="n">
        <f aca="false">INT($C$2)-INT(Table3[[#This Row],[Last Purchase Date]])</f>
        <v>115</v>
      </c>
      <c r="D4218" s="1" t="n">
        <v>13</v>
      </c>
      <c r="E4218" s="1" t="n">
        <v>3864.44</v>
      </c>
      <c r="F4218" s="1" t="n">
        <f aca="false">ROUND((1-_xlfn.PERCENTRANK.INC($C$7:$C$4378,C4218))*9,0)</f>
        <v>3</v>
      </c>
      <c r="G4218" s="1" t="n">
        <f aca="false">ROUND(_xlfn.PERCENTRANK.INC($D$7:$D$4378,D4218)*9,0)</f>
        <v>8</v>
      </c>
      <c r="H4218" s="1" t="n">
        <f aca="false">ROUND(_xlfn.PERCENTRANK.INC($E$7:$E$4378,E4218)*9,0)</f>
        <v>8</v>
      </c>
      <c r="I4218" s="1" t="str">
        <f aca="false">CONCATENATE(F4218,G4218,H4218)</f>
        <v>388</v>
      </c>
      <c r="J4218" s="1" t="str">
        <f aca="false">_xlfn.IFS(AND(F4218&gt;=8,G4218&gt;=8,H4218&gt;=8),"CHAMPION",AND(F4218&gt;=6,G4218&gt;=7,H4218&gt;=6),"LOYAL CUSTOMER",AND(F4218&gt;=6,G4218&gt;=5,H4218&gt;=5),"POTENTIAL LOYALIST",AND(F4218&gt;=8,G4218&lt;=2,H4218&gt;=5),"NEW CUSTOMERS",AND(F4218&gt;=6,G4218&lt;=2,H4218&gt;=3),"PROMISING",AND(F4218&gt;=3,G4218&gt;=3,H4218&gt;=3),"NEED ATTENTION",AND(F4218&lt;=4,G4218&gt;=6,H4218&gt;=6),"AT RISK",AND(F4218&lt;=2,G4218&gt;=8,H4218&gt;=8),"CAN'T LOSE THEM",AND(F4218&lt;=2,G4218&lt;=2,H4218&lt;=2),"HIBERNATING",TRUE(),"Other")</f>
        <v>NEED ATTENTION</v>
      </c>
      <c r="K4218" s="1" t="n">
        <f aca="false">RANK(E4218,$E$7:$E$4378)+COUNTIF($E$7:E4218,E4218)-1</f>
        <v>377</v>
      </c>
    </row>
    <row r="4219" customFormat="false" ht="14.25" hidden="false" customHeight="true" outlineLevel="0" collapsed="false">
      <c r="A4219" s="51" t="n">
        <v>18074</v>
      </c>
      <c r="B4219" s="53" t="n">
        <v>40513.4118055556</v>
      </c>
      <c r="C4219" s="57" t="n">
        <f aca="false">INT($C$2)-INT(Table3[[#This Row],[Last Purchase Date]])</f>
        <v>374</v>
      </c>
      <c r="D4219" s="1" t="n">
        <v>1</v>
      </c>
      <c r="E4219" s="1" t="n">
        <v>489.6</v>
      </c>
      <c r="F4219" s="1" t="n">
        <f aca="false">ROUND((1-_xlfn.PERCENTRANK.INC($C$7:$C$4378,C4219))*9,0)</f>
        <v>0</v>
      </c>
      <c r="G4219" s="1" t="n">
        <f aca="false">ROUND(_xlfn.PERCENTRANK.INC($D$7:$D$4378,D4219)*9,0)</f>
        <v>0</v>
      </c>
      <c r="H4219" s="1" t="n">
        <f aca="false">ROUND(_xlfn.PERCENTRANK.INC($E$7:$E$4378,E4219)*9,0)</f>
        <v>4</v>
      </c>
      <c r="I4219" s="1" t="str">
        <f aca="false">CONCATENATE(F4219,G4219,H4219)</f>
        <v>004</v>
      </c>
      <c r="J4219" s="1" t="str">
        <f aca="false">_xlfn.IFS(AND(F4219&gt;=8,G4219&gt;=8,H4219&gt;=8),"CHAMPION",AND(F4219&gt;=6,G4219&gt;=7,H4219&gt;=6),"LOYAL CUSTOMER",AND(F4219&gt;=6,G4219&gt;=5,H4219&gt;=5),"POTENTIAL LOYALIST",AND(F4219&gt;=8,G4219&lt;=2,H4219&gt;=5),"NEW CUSTOMERS",AND(F4219&gt;=6,G4219&lt;=2,H4219&gt;=3),"PROMISING",AND(F4219&gt;=3,G4219&gt;=3,H4219&gt;=3),"NEED ATTENTION",AND(F4219&lt;=4,G4219&gt;=6,H4219&gt;=6),"AT RISK",AND(F4219&lt;=2,G4219&gt;=8,H4219&gt;=8),"CAN'T LOSE THEM",AND(F4219&lt;=2,G4219&lt;=2,H4219&lt;=2),"HIBERNATING",TRUE(),"Other")</f>
        <v>Other</v>
      </c>
      <c r="K4219" s="1" t="n">
        <f aca="false">RANK(E4219,$E$7:$E$4378)+COUNTIF($E$7:E4219,E4219)-1</f>
        <v>2569</v>
      </c>
    </row>
    <row r="4220" customFormat="false" ht="14.25" hidden="false" customHeight="true" outlineLevel="0" collapsed="false">
      <c r="A4220" s="51" t="n">
        <v>18075</v>
      </c>
      <c r="B4220" s="53" t="n">
        <v>40863.6395833333</v>
      </c>
      <c r="C4220" s="57" t="n">
        <f aca="false">INT($C$2)-INT(Table3[[#This Row],[Last Purchase Date]])</f>
        <v>24</v>
      </c>
      <c r="D4220" s="1" t="n">
        <v>14</v>
      </c>
      <c r="E4220" s="1" t="n">
        <v>2538.72</v>
      </c>
      <c r="F4220" s="1" t="n">
        <f aca="false">ROUND((1-_xlfn.PERCENTRANK.INC($C$7:$C$4378,C4220))*9,0)</f>
        <v>6</v>
      </c>
      <c r="G4220" s="1" t="n">
        <f aca="false">ROUND(_xlfn.PERCENTRANK.INC($D$7:$D$4378,D4220)*9,0)</f>
        <v>8</v>
      </c>
      <c r="H4220" s="1" t="n">
        <f aca="false">ROUND(_xlfn.PERCENTRANK.INC($E$7:$E$4378,E4220)*9,0)</f>
        <v>8</v>
      </c>
      <c r="I4220" s="1" t="str">
        <f aca="false">CONCATENATE(F4220,G4220,H4220)</f>
        <v>688</v>
      </c>
      <c r="J4220" s="1" t="str">
        <f aca="false">_xlfn.IFS(AND(F4220&gt;=8,G4220&gt;=8,H4220&gt;=8),"CHAMPION",AND(F4220&gt;=6,G4220&gt;=7,H4220&gt;=6),"LOYAL CUSTOMER",AND(F4220&gt;=6,G4220&gt;=5,H4220&gt;=5),"POTENTIAL LOYALIST",AND(F4220&gt;=8,G4220&lt;=2,H4220&gt;=5),"NEW CUSTOMERS",AND(F4220&gt;=6,G4220&lt;=2,H4220&gt;=3),"PROMISING",AND(F4220&gt;=3,G4220&gt;=3,H4220&gt;=3),"NEED ATTENTION",AND(F4220&lt;=4,G4220&gt;=6,H4220&gt;=6),"AT RISK",AND(F4220&lt;=2,G4220&gt;=8,H4220&gt;=8),"CAN'T LOSE THEM",AND(F4220&lt;=2,G4220&lt;=2,H4220&lt;=2),"HIBERNATING",TRUE(),"Other")</f>
        <v>LOYAL CUSTOMER</v>
      </c>
      <c r="K4220" s="1" t="n">
        <f aca="false">RANK(E4220,$E$7:$E$4378)+COUNTIF($E$7:E4220,E4220)-1</f>
        <v>670</v>
      </c>
    </row>
    <row r="4221" customFormat="false" ht="14.25" hidden="false" customHeight="true" outlineLevel="0" collapsed="false">
      <c r="A4221" s="51" t="n">
        <v>18077</v>
      </c>
      <c r="B4221" s="53" t="n">
        <v>40878.5638888889</v>
      </c>
      <c r="C4221" s="57" t="n">
        <f aca="false">INT($C$2)-INT(Table3[[#This Row],[Last Purchase Date]])</f>
        <v>9</v>
      </c>
      <c r="D4221" s="1" t="n">
        <v>11</v>
      </c>
      <c r="E4221" s="1" t="n">
        <v>2633.01</v>
      </c>
      <c r="F4221" s="1" t="n">
        <f aca="false">ROUND((1-_xlfn.PERCENTRANK.INC($C$7:$C$4378,C4221))*9,0)</f>
        <v>8</v>
      </c>
      <c r="G4221" s="1" t="n">
        <f aca="false">ROUND(_xlfn.PERCENTRANK.INC($D$7:$D$4378,D4221)*9,0)</f>
        <v>8</v>
      </c>
      <c r="H4221" s="1" t="n">
        <f aca="false">ROUND(_xlfn.PERCENTRANK.INC($E$7:$E$4378,E4221)*9,0)</f>
        <v>8</v>
      </c>
      <c r="I4221" s="1" t="str">
        <f aca="false">CONCATENATE(F4221,G4221,H4221)</f>
        <v>888</v>
      </c>
      <c r="J4221" s="1" t="str">
        <f aca="false">_xlfn.IFS(AND(F4221&gt;=8,G4221&gt;=8,H4221&gt;=8),"CHAMPION",AND(F4221&gt;=6,G4221&gt;=7,H4221&gt;=6),"LOYAL CUSTOMER",AND(F4221&gt;=6,G4221&gt;=5,H4221&gt;=5),"POTENTIAL LOYALIST",AND(F4221&gt;=8,G4221&lt;=2,H4221&gt;=5),"NEW CUSTOMERS",AND(F4221&gt;=6,G4221&lt;=2,H4221&gt;=3),"PROMISING",AND(F4221&gt;=3,G4221&gt;=3,H4221&gt;=3),"NEED ATTENTION",AND(F4221&lt;=4,G4221&gt;=6,H4221&gt;=6),"AT RISK",AND(F4221&lt;=2,G4221&gt;=8,H4221&gt;=8),"CAN'T LOSE THEM",AND(F4221&lt;=2,G4221&lt;=2,H4221&lt;=2),"HIBERNATING",TRUE(),"Other")</f>
        <v>CHAMPION</v>
      </c>
      <c r="K4221" s="1" t="n">
        <f aca="false">RANK(E4221,$E$7:$E$4378)+COUNTIF($E$7:E4221,E4221)-1</f>
        <v>631</v>
      </c>
    </row>
    <row r="4222" customFormat="false" ht="14.25" hidden="false" customHeight="true" outlineLevel="0" collapsed="false">
      <c r="A4222" s="51" t="n">
        <v>18078</v>
      </c>
      <c r="B4222" s="53" t="n">
        <v>40669.6055555556</v>
      </c>
      <c r="C4222" s="57" t="n">
        <f aca="false">INT($C$2)-INT(Table3[[#This Row],[Last Purchase Date]])</f>
        <v>218</v>
      </c>
      <c r="D4222" s="1" t="n">
        <v>2</v>
      </c>
      <c r="E4222" s="1" t="n">
        <v>336.13</v>
      </c>
      <c r="F4222" s="1" t="n">
        <f aca="false">ROUND((1-_xlfn.PERCENTRANK.INC($C$7:$C$4378,C4222))*9,0)</f>
        <v>1</v>
      </c>
      <c r="G4222" s="1" t="n">
        <f aca="false">ROUND(_xlfn.PERCENTRANK.INC($D$7:$D$4378,D4222)*9,0)</f>
        <v>3</v>
      </c>
      <c r="H4222" s="1" t="n">
        <f aca="false">ROUND(_xlfn.PERCENTRANK.INC($E$7:$E$4378,E4222)*9,0)</f>
        <v>3</v>
      </c>
      <c r="I4222" s="1" t="str">
        <f aca="false">CONCATENATE(F4222,G4222,H4222)</f>
        <v>133</v>
      </c>
      <c r="J4222" s="1" t="str">
        <f aca="false">_xlfn.IFS(AND(F4222&gt;=8,G4222&gt;=8,H4222&gt;=8),"CHAMPION",AND(F4222&gt;=6,G4222&gt;=7,H4222&gt;=6),"LOYAL CUSTOMER",AND(F4222&gt;=6,G4222&gt;=5,H4222&gt;=5),"POTENTIAL LOYALIST",AND(F4222&gt;=8,G4222&lt;=2,H4222&gt;=5),"NEW CUSTOMERS",AND(F4222&gt;=6,G4222&lt;=2,H4222&gt;=3),"PROMISING",AND(F4222&gt;=3,G4222&gt;=3,H4222&gt;=3),"NEED ATTENTION",AND(F4222&lt;=4,G4222&gt;=6,H4222&gt;=6),"AT RISK",AND(F4222&lt;=2,G4222&gt;=8,H4222&gt;=8),"CAN'T LOSE THEM",AND(F4222&lt;=2,G4222&lt;=2,H4222&lt;=2),"HIBERNATING",TRUE(),"Other")</f>
        <v>Other</v>
      </c>
      <c r="K4222" s="1" t="n">
        <f aca="false">RANK(E4222,$E$7:$E$4378)+COUNTIF($E$7:E4222,E4222)-1</f>
        <v>3068</v>
      </c>
    </row>
    <row r="4223" customFormat="false" ht="14.25" hidden="false" customHeight="true" outlineLevel="0" collapsed="false">
      <c r="A4223" s="51" t="n">
        <v>18079</v>
      </c>
      <c r="B4223" s="53" t="n">
        <v>40841.64375</v>
      </c>
      <c r="C4223" s="57" t="n">
        <f aca="false">INT($C$2)-INT(Table3[[#This Row],[Last Purchase Date]])</f>
        <v>46</v>
      </c>
      <c r="D4223" s="1" t="n">
        <v>4</v>
      </c>
      <c r="E4223" s="1" t="n">
        <v>3651.97</v>
      </c>
      <c r="F4223" s="1" t="n">
        <f aca="false">ROUND((1-_xlfn.PERCENTRANK.INC($C$7:$C$4378,C4223))*9,0)</f>
        <v>5</v>
      </c>
      <c r="G4223" s="1" t="n">
        <f aca="false">ROUND(_xlfn.PERCENTRANK.INC($D$7:$D$4378,D4223)*9,0)</f>
        <v>5</v>
      </c>
      <c r="H4223" s="1" t="n">
        <f aca="false">ROUND(_xlfn.PERCENTRANK.INC($E$7:$E$4378,E4223)*9,0)</f>
        <v>8</v>
      </c>
      <c r="I4223" s="1" t="str">
        <f aca="false">CONCATENATE(F4223,G4223,H4223)</f>
        <v>558</v>
      </c>
      <c r="J4223" s="1" t="str">
        <f aca="false">_xlfn.IFS(AND(F4223&gt;=8,G4223&gt;=8,H4223&gt;=8),"CHAMPION",AND(F4223&gt;=6,G4223&gt;=7,H4223&gt;=6),"LOYAL CUSTOMER",AND(F4223&gt;=6,G4223&gt;=5,H4223&gt;=5),"POTENTIAL LOYALIST",AND(F4223&gt;=8,G4223&lt;=2,H4223&gt;=5),"NEW CUSTOMERS",AND(F4223&gt;=6,G4223&lt;=2,H4223&gt;=3),"PROMISING",AND(F4223&gt;=3,G4223&gt;=3,H4223&gt;=3),"NEED ATTENTION",AND(F4223&lt;=4,G4223&gt;=6,H4223&gt;=6),"AT RISK",AND(F4223&lt;=2,G4223&gt;=8,H4223&gt;=8),"CAN'T LOSE THEM",AND(F4223&lt;=2,G4223&lt;=2,H4223&lt;=2),"HIBERNATING",TRUE(),"Other")</f>
        <v>NEED ATTENTION</v>
      </c>
      <c r="K4223" s="1" t="n">
        <f aca="false">RANK(E4223,$E$7:$E$4378)+COUNTIF($E$7:E4223,E4223)-1</f>
        <v>411</v>
      </c>
    </row>
    <row r="4224" customFormat="false" ht="14.25" hidden="false" customHeight="true" outlineLevel="0" collapsed="false">
      <c r="A4224" s="51" t="n">
        <v>18080</v>
      </c>
      <c r="B4224" s="53" t="n">
        <v>40868.3347222222</v>
      </c>
      <c r="C4224" s="57" t="n">
        <f aca="false">INT($C$2)-INT(Table3[[#This Row],[Last Purchase Date]])</f>
        <v>19</v>
      </c>
      <c r="D4224" s="1" t="n">
        <v>2</v>
      </c>
      <c r="E4224" s="1" t="n">
        <v>1231.5</v>
      </c>
      <c r="F4224" s="1" t="n">
        <f aca="false">ROUND((1-_xlfn.PERCENTRANK.INC($C$7:$C$4378,C4224))*9,0)</f>
        <v>7</v>
      </c>
      <c r="G4224" s="1" t="n">
        <f aca="false">ROUND(_xlfn.PERCENTRANK.INC($D$7:$D$4378,D4224)*9,0)</f>
        <v>3</v>
      </c>
      <c r="H4224" s="1" t="n">
        <f aca="false">ROUND(_xlfn.PERCENTRANK.INC($E$7:$E$4378,E4224)*9,0)</f>
        <v>6</v>
      </c>
      <c r="I4224" s="1" t="str">
        <f aca="false">CONCATENATE(F4224,G4224,H4224)</f>
        <v>736</v>
      </c>
      <c r="J4224" s="1" t="str">
        <f aca="false">_xlfn.IFS(AND(F4224&gt;=8,G4224&gt;=8,H4224&gt;=8),"CHAMPION",AND(F4224&gt;=6,G4224&gt;=7,H4224&gt;=6),"LOYAL CUSTOMER",AND(F4224&gt;=6,G4224&gt;=5,H4224&gt;=5),"POTENTIAL LOYALIST",AND(F4224&gt;=8,G4224&lt;=2,H4224&gt;=5),"NEW CUSTOMERS",AND(F4224&gt;=6,G4224&lt;=2,H4224&gt;=3),"PROMISING",AND(F4224&gt;=3,G4224&gt;=3,H4224&gt;=3),"NEED ATTENTION",AND(F4224&lt;=4,G4224&gt;=6,H4224&gt;=6),"AT RISK",AND(F4224&lt;=2,G4224&gt;=8,H4224&gt;=8),"CAN'T LOSE THEM",AND(F4224&lt;=2,G4224&lt;=2,H4224&lt;=2),"HIBERNATING",TRUE(),"Other")</f>
        <v>NEED ATTENTION</v>
      </c>
      <c r="K4224" s="1" t="n">
        <f aca="false">RANK(E4224,$E$7:$E$4378)+COUNTIF($E$7:E4224,E4224)-1</f>
        <v>1390</v>
      </c>
    </row>
    <row r="4225" customFormat="false" ht="14.25" hidden="false" customHeight="true" outlineLevel="0" collapsed="false">
      <c r="A4225" s="51" t="n">
        <v>18081</v>
      </c>
      <c r="B4225" s="53" t="n">
        <v>40850.6875</v>
      </c>
      <c r="C4225" s="57" t="n">
        <f aca="false">INT($C$2)-INT(Table3[[#This Row],[Last Purchase Date]])</f>
        <v>37</v>
      </c>
      <c r="D4225" s="1" t="n">
        <v>3</v>
      </c>
      <c r="E4225" s="1" t="n">
        <v>343.45</v>
      </c>
      <c r="F4225" s="1" t="n">
        <f aca="false">ROUND((1-_xlfn.PERCENTRANK.INC($C$7:$C$4378,C4225))*9,0)</f>
        <v>5</v>
      </c>
      <c r="G4225" s="1" t="n">
        <f aca="false">ROUND(_xlfn.PERCENTRANK.INC($D$7:$D$4378,D4225)*9,0)</f>
        <v>4</v>
      </c>
      <c r="H4225" s="1" t="n">
        <f aca="false">ROUND(_xlfn.PERCENTRANK.INC($E$7:$E$4378,E4225)*9,0)</f>
        <v>3</v>
      </c>
      <c r="I4225" s="1" t="str">
        <f aca="false">CONCATENATE(F4225,G4225,H4225)</f>
        <v>543</v>
      </c>
      <c r="J4225" s="1" t="str">
        <f aca="false">_xlfn.IFS(AND(F4225&gt;=8,G4225&gt;=8,H4225&gt;=8),"CHAMPION",AND(F4225&gt;=6,G4225&gt;=7,H4225&gt;=6),"LOYAL CUSTOMER",AND(F4225&gt;=6,G4225&gt;=5,H4225&gt;=5),"POTENTIAL LOYALIST",AND(F4225&gt;=8,G4225&lt;=2,H4225&gt;=5),"NEW CUSTOMERS",AND(F4225&gt;=6,G4225&lt;=2,H4225&gt;=3),"PROMISING",AND(F4225&gt;=3,G4225&gt;=3,H4225&gt;=3),"NEED ATTENTION",AND(F4225&lt;=4,G4225&gt;=6,H4225&gt;=6),"AT RISK",AND(F4225&lt;=2,G4225&gt;=8,H4225&gt;=8),"CAN'T LOSE THEM",AND(F4225&lt;=2,G4225&lt;=2,H4225&lt;=2),"HIBERNATING",TRUE(),"Other")</f>
        <v>NEED ATTENTION</v>
      </c>
      <c r="K4225" s="1" t="n">
        <f aca="false">RANK(E4225,$E$7:$E$4378)+COUNTIF($E$7:E4225,E4225)-1</f>
        <v>3040</v>
      </c>
    </row>
    <row r="4226" customFormat="false" ht="14.25" hidden="false" customHeight="true" outlineLevel="0" collapsed="false">
      <c r="A4226" s="51" t="n">
        <v>18082</v>
      </c>
      <c r="B4226" s="53" t="n">
        <v>40861.53125</v>
      </c>
      <c r="C4226" s="57" t="n">
        <f aca="false">INT($C$2)-INT(Table3[[#This Row],[Last Purchase Date]])</f>
        <v>26</v>
      </c>
      <c r="D4226" s="1" t="n">
        <v>1</v>
      </c>
      <c r="E4226" s="1" t="n">
        <v>703.37</v>
      </c>
      <c r="F4226" s="1" t="n">
        <f aca="false">ROUND((1-_xlfn.PERCENTRANK.INC($C$7:$C$4378,C4226))*9,0)</f>
        <v>6</v>
      </c>
      <c r="G4226" s="1" t="n">
        <f aca="false">ROUND(_xlfn.PERCENTRANK.INC($D$7:$D$4378,D4226)*9,0)</f>
        <v>0</v>
      </c>
      <c r="H4226" s="1" t="n">
        <f aca="false">ROUND(_xlfn.PERCENTRANK.INC($E$7:$E$4378,E4226)*9,0)</f>
        <v>5</v>
      </c>
      <c r="I4226" s="1" t="str">
        <f aca="false">CONCATENATE(F4226,G4226,H4226)</f>
        <v>605</v>
      </c>
      <c r="J4226" s="1" t="str">
        <f aca="false">_xlfn.IFS(AND(F4226&gt;=8,G4226&gt;=8,H4226&gt;=8),"CHAMPION",AND(F4226&gt;=6,G4226&gt;=7,H4226&gt;=6),"LOYAL CUSTOMER",AND(F4226&gt;=6,G4226&gt;=5,H4226&gt;=5),"POTENTIAL LOYALIST",AND(F4226&gt;=8,G4226&lt;=2,H4226&gt;=5),"NEW CUSTOMERS",AND(F4226&gt;=6,G4226&lt;=2,H4226&gt;=3),"PROMISING",AND(F4226&gt;=3,G4226&gt;=3,H4226&gt;=3),"NEED ATTENTION",AND(F4226&lt;=4,G4226&gt;=6,H4226&gt;=6),"AT RISK",AND(F4226&lt;=2,G4226&gt;=8,H4226&gt;=8),"CAN'T LOSE THEM",AND(F4226&lt;=2,G4226&lt;=2,H4226&lt;=2),"HIBERNATING",TRUE(),"Other")</f>
        <v>PROMISING</v>
      </c>
      <c r="K4226" s="1" t="n">
        <f aca="false">RANK(E4226,$E$7:$E$4378)+COUNTIF($E$7:E4226,E4226)-1</f>
        <v>2060</v>
      </c>
    </row>
    <row r="4227" customFormat="false" ht="14.25" hidden="false" customHeight="true" outlineLevel="0" collapsed="false">
      <c r="A4227" s="51" t="n">
        <v>18084</v>
      </c>
      <c r="B4227" s="53" t="n">
        <v>40870.58125</v>
      </c>
      <c r="C4227" s="57" t="n">
        <f aca="false">INT($C$2)-INT(Table3[[#This Row],[Last Purchase Date]])</f>
        <v>17</v>
      </c>
      <c r="D4227" s="1" t="n">
        <v>2</v>
      </c>
      <c r="E4227" s="1" t="n">
        <v>87.53</v>
      </c>
      <c r="F4227" s="1" t="n">
        <f aca="false">ROUND((1-_xlfn.PERCENTRANK.INC($C$7:$C$4378,C4227))*9,0)</f>
        <v>7</v>
      </c>
      <c r="G4227" s="1" t="n">
        <f aca="false">ROUND(_xlfn.PERCENTRANK.INC($D$7:$D$4378,D4227)*9,0)</f>
        <v>3</v>
      </c>
      <c r="H4227" s="1" t="n">
        <f aca="false">ROUND(_xlfn.PERCENTRANK.INC($E$7:$E$4378,E4227)*9,0)</f>
        <v>0</v>
      </c>
      <c r="I4227" s="1" t="str">
        <f aca="false">CONCATENATE(F4227,G4227,H4227)</f>
        <v>730</v>
      </c>
      <c r="J4227" s="1" t="str">
        <f aca="false">_xlfn.IFS(AND(F4227&gt;=8,G4227&gt;=8,H4227&gt;=8),"CHAMPION",AND(F4227&gt;=6,G4227&gt;=7,H4227&gt;=6),"LOYAL CUSTOMER",AND(F4227&gt;=6,G4227&gt;=5,H4227&gt;=5),"POTENTIAL LOYALIST",AND(F4227&gt;=8,G4227&lt;=2,H4227&gt;=5),"NEW CUSTOMERS",AND(F4227&gt;=6,G4227&lt;=2,H4227&gt;=3),"PROMISING",AND(F4227&gt;=3,G4227&gt;=3,H4227&gt;=3),"NEED ATTENTION",AND(F4227&lt;=4,G4227&gt;=6,H4227&gt;=6),"AT RISK",AND(F4227&lt;=2,G4227&gt;=8,H4227&gt;=8),"CAN'T LOSE THEM",AND(F4227&lt;=2,G4227&lt;=2,H4227&lt;=2),"HIBERNATING",TRUE(),"Other")</f>
        <v>Other</v>
      </c>
      <c r="K4227" s="1" t="n">
        <f aca="false">RANK(E4227,$E$7:$E$4378)+COUNTIF($E$7:E4227,E4227)-1</f>
        <v>4202</v>
      </c>
    </row>
    <row r="4228" customFormat="false" ht="14.25" hidden="false" customHeight="true" outlineLevel="0" collapsed="false">
      <c r="A4228" s="51" t="n">
        <v>18085</v>
      </c>
      <c r="B4228" s="53" t="n">
        <v>40556.6368055556</v>
      </c>
      <c r="C4228" s="57" t="n">
        <f aca="false">INT($C$2)-INT(Table3[[#This Row],[Last Purchase Date]])</f>
        <v>331</v>
      </c>
      <c r="D4228" s="1" t="n">
        <v>2</v>
      </c>
      <c r="E4228" s="1" t="n">
        <v>689.95</v>
      </c>
      <c r="F4228" s="1" t="n">
        <f aca="false">ROUND((1-_xlfn.PERCENTRANK.INC($C$7:$C$4378,C4228))*9,0)</f>
        <v>0</v>
      </c>
      <c r="G4228" s="1" t="n">
        <f aca="false">ROUND(_xlfn.PERCENTRANK.INC($D$7:$D$4378,D4228)*9,0)</f>
        <v>3</v>
      </c>
      <c r="H4228" s="1" t="n">
        <f aca="false">ROUND(_xlfn.PERCENTRANK.INC($E$7:$E$4378,E4228)*9,0)</f>
        <v>5</v>
      </c>
      <c r="I4228" s="1" t="str">
        <f aca="false">CONCATENATE(F4228,G4228,H4228)</f>
        <v>035</v>
      </c>
      <c r="J4228" s="1" t="str">
        <f aca="false">_xlfn.IFS(AND(F4228&gt;=8,G4228&gt;=8,H4228&gt;=8),"CHAMPION",AND(F4228&gt;=6,G4228&gt;=7,H4228&gt;=6),"LOYAL CUSTOMER",AND(F4228&gt;=6,G4228&gt;=5,H4228&gt;=5),"POTENTIAL LOYALIST",AND(F4228&gt;=8,G4228&lt;=2,H4228&gt;=5),"NEW CUSTOMERS",AND(F4228&gt;=6,G4228&lt;=2,H4228&gt;=3),"PROMISING",AND(F4228&gt;=3,G4228&gt;=3,H4228&gt;=3),"NEED ATTENTION",AND(F4228&lt;=4,G4228&gt;=6,H4228&gt;=6),"AT RISK",AND(F4228&lt;=2,G4228&gt;=8,H4228&gt;=8),"CAN'T LOSE THEM",AND(F4228&lt;=2,G4228&lt;=2,H4228&lt;=2),"HIBERNATING",TRUE(),"Other")</f>
        <v>Other</v>
      </c>
      <c r="K4228" s="1" t="n">
        <f aca="false">RANK(E4228,$E$7:$E$4378)+COUNTIF($E$7:E4228,E4228)-1</f>
        <v>2081</v>
      </c>
    </row>
    <row r="4229" customFormat="false" ht="14.25" hidden="false" customHeight="true" outlineLevel="0" collapsed="false">
      <c r="A4229" s="51" t="n">
        <v>18086</v>
      </c>
      <c r="B4229" s="53" t="n">
        <v>40612.5652777778</v>
      </c>
      <c r="C4229" s="57" t="n">
        <f aca="false">INT($C$2)-INT(Table3[[#This Row],[Last Purchase Date]])</f>
        <v>275</v>
      </c>
      <c r="D4229" s="1" t="n">
        <v>1</v>
      </c>
      <c r="E4229" s="1" t="n">
        <v>101.34</v>
      </c>
      <c r="F4229" s="1" t="n">
        <f aca="false">ROUND((1-_xlfn.PERCENTRANK.INC($C$7:$C$4378,C4229))*9,0)</f>
        <v>1</v>
      </c>
      <c r="G4229" s="1" t="n">
        <f aca="false">ROUND(_xlfn.PERCENTRANK.INC($D$7:$D$4378,D4229)*9,0)</f>
        <v>0</v>
      </c>
      <c r="H4229" s="1" t="n">
        <f aca="false">ROUND(_xlfn.PERCENTRANK.INC($E$7:$E$4378,E4229)*9,0)</f>
        <v>0</v>
      </c>
      <c r="I4229" s="1" t="str">
        <f aca="false">CONCATENATE(F4229,G4229,H4229)</f>
        <v>100</v>
      </c>
      <c r="J4229" s="1" t="str">
        <f aca="false">_xlfn.IFS(AND(F4229&gt;=8,G4229&gt;=8,H4229&gt;=8),"CHAMPION",AND(F4229&gt;=6,G4229&gt;=7,H4229&gt;=6),"LOYAL CUSTOMER",AND(F4229&gt;=6,G4229&gt;=5,H4229&gt;=5),"POTENTIAL LOYALIST",AND(F4229&gt;=8,G4229&lt;=2,H4229&gt;=5),"NEW CUSTOMERS",AND(F4229&gt;=6,G4229&lt;=2,H4229&gt;=3),"PROMISING",AND(F4229&gt;=3,G4229&gt;=3,H4229&gt;=3),"NEED ATTENTION",AND(F4229&lt;=4,G4229&gt;=6,H4229&gt;=6),"AT RISK",AND(F4229&lt;=2,G4229&gt;=8,H4229&gt;=8),"CAN'T LOSE THEM",AND(F4229&lt;=2,G4229&lt;=2,H4229&lt;=2),"HIBERNATING",TRUE(),"Other")</f>
        <v>HIBERNATING</v>
      </c>
      <c r="K4229" s="1" t="n">
        <f aca="false">RANK(E4229,$E$7:$E$4378)+COUNTIF($E$7:E4229,E4229)-1</f>
        <v>4151</v>
      </c>
    </row>
    <row r="4230" customFormat="false" ht="14.25" hidden="false" customHeight="true" outlineLevel="0" collapsed="false">
      <c r="A4230" s="51" t="n">
        <v>18087</v>
      </c>
      <c r="B4230" s="53" t="n">
        <v>40788.6333333333</v>
      </c>
      <c r="C4230" s="57" t="n">
        <f aca="false">INT($C$2)-INT(Table3[[#This Row],[Last Purchase Date]])</f>
        <v>99</v>
      </c>
      <c r="D4230" s="1" t="n">
        <v>4</v>
      </c>
      <c r="E4230" s="1" t="n">
        <v>3770.12</v>
      </c>
      <c r="F4230" s="1" t="n">
        <f aca="false">ROUND((1-_xlfn.PERCENTRANK.INC($C$7:$C$4378,C4230))*9,0)</f>
        <v>3</v>
      </c>
      <c r="G4230" s="1" t="n">
        <f aca="false">ROUND(_xlfn.PERCENTRANK.INC($D$7:$D$4378,D4230)*9,0)</f>
        <v>5</v>
      </c>
      <c r="H4230" s="1" t="n">
        <f aca="false">ROUND(_xlfn.PERCENTRANK.INC($E$7:$E$4378,E4230)*9,0)</f>
        <v>8</v>
      </c>
      <c r="I4230" s="1" t="str">
        <f aca="false">CONCATENATE(F4230,G4230,H4230)</f>
        <v>358</v>
      </c>
      <c r="J4230" s="1" t="str">
        <f aca="false">_xlfn.IFS(AND(F4230&gt;=8,G4230&gt;=8,H4230&gt;=8),"CHAMPION",AND(F4230&gt;=6,G4230&gt;=7,H4230&gt;=6),"LOYAL CUSTOMER",AND(F4230&gt;=6,G4230&gt;=5,H4230&gt;=5),"POTENTIAL LOYALIST",AND(F4230&gt;=8,G4230&lt;=2,H4230&gt;=5),"NEW CUSTOMERS",AND(F4230&gt;=6,G4230&lt;=2,H4230&gt;=3),"PROMISING",AND(F4230&gt;=3,G4230&gt;=3,H4230&gt;=3),"NEED ATTENTION",AND(F4230&lt;=4,G4230&gt;=6,H4230&gt;=6),"AT RISK",AND(F4230&lt;=2,G4230&gt;=8,H4230&gt;=8),"CAN'T LOSE THEM",AND(F4230&lt;=2,G4230&lt;=2,H4230&lt;=2),"HIBERNATING",TRUE(),"Other")</f>
        <v>NEED ATTENTION</v>
      </c>
      <c r="K4230" s="1" t="n">
        <f aca="false">RANK(E4230,$E$7:$E$4378)+COUNTIF($E$7:E4230,E4230)-1</f>
        <v>391</v>
      </c>
    </row>
    <row r="4231" customFormat="false" ht="14.25" hidden="false" customHeight="true" outlineLevel="0" collapsed="false">
      <c r="A4231" s="51" t="n">
        <v>18088</v>
      </c>
      <c r="B4231" s="53" t="n">
        <v>40825.5701388889</v>
      </c>
      <c r="C4231" s="57" t="n">
        <f aca="false">INT($C$2)-INT(Table3[[#This Row],[Last Purchase Date]])</f>
        <v>62</v>
      </c>
      <c r="D4231" s="1" t="n">
        <v>1</v>
      </c>
      <c r="E4231" s="1" t="n">
        <v>167.67</v>
      </c>
      <c r="F4231" s="1" t="n">
        <f aca="false">ROUND((1-_xlfn.PERCENTRANK.INC($C$7:$C$4378,C4231))*9,0)</f>
        <v>4</v>
      </c>
      <c r="G4231" s="1" t="n">
        <f aca="false">ROUND(_xlfn.PERCENTRANK.INC($D$7:$D$4378,D4231)*9,0)</f>
        <v>0</v>
      </c>
      <c r="H4231" s="1" t="n">
        <f aca="false">ROUND(_xlfn.PERCENTRANK.INC($E$7:$E$4378,E4231)*9,0)</f>
        <v>1</v>
      </c>
      <c r="I4231" s="1" t="str">
        <f aca="false">CONCATENATE(F4231,G4231,H4231)</f>
        <v>401</v>
      </c>
      <c r="J4231" s="1" t="str">
        <f aca="false">_xlfn.IFS(AND(F4231&gt;=8,G4231&gt;=8,H4231&gt;=8),"CHAMPION",AND(F4231&gt;=6,G4231&gt;=7,H4231&gt;=6),"LOYAL CUSTOMER",AND(F4231&gt;=6,G4231&gt;=5,H4231&gt;=5),"POTENTIAL LOYALIST",AND(F4231&gt;=8,G4231&lt;=2,H4231&gt;=5),"NEW CUSTOMERS",AND(F4231&gt;=6,G4231&lt;=2,H4231&gt;=3),"PROMISING",AND(F4231&gt;=3,G4231&gt;=3,H4231&gt;=3),"NEED ATTENTION",AND(F4231&lt;=4,G4231&gt;=6,H4231&gt;=6),"AT RISK",AND(F4231&lt;=2,G4231&gt;=8,H4231&gt;=8),"CAN'T LOSE THEM",AND(F4231&lt;=2,G4231&lt;=2,H4231&lt;=2),"HIBERNATING",TRUE(),"Other")</f>
        <v>Other</v>
      </c>
      <c r="K4231" s="1" t="n">
        <f aca="false">RANK(E4231,$E$7:$E$4378)+COUNTIF($E$7:E4231,E4231)-1</f>
        <v>3818</v>
      </c>
    </row>
    <row r="4232" customFormat="false" ht="14.25" hidden="false" customHeight="true" outlineLevel="0" collapsed="false">
      <c r="A4232" s="51" t="n">
        <v>18092</v>
      </c>
      <c r="B4232" s="53" t="n">
        <v>40884.5513888889</v>
      </c>
      <c r="C4232" s="57" t="n">
        <f aca="false">INT($C$2)-INT(Table3[[#This Row],[Last Purchase Date]])</f>
        <v>3</v>
      </c>
      <c r="D4232" s="1" t="n">
        <v>12</v>
      </c>
      <c r="E4232" s="1" t="n">
        <v>9065.76</v>
      </c>
      <c r="F4232" s="1" t="n">
        <f aca="false">ROUND((1-_xlfn.PERCENTRANK.INC($C$7:$C$4378,C4232))*9,0)</f>
        <v>9</v>
      </c>
      <c r="G4232" s="1" t="n">
        <f aca="false">ROUND(_xlfn.PERCENTRANK.INC($D$7:$D$4378,D4232)*9,0)</f>
        <v>8</v>
      </c>
      <c r="H4232" s="1" t="n">
        <f aca="false">ROUND(_xlfn.PERCENTRANK.INC($E$7:$E$4378,E4232)*9,0)</f>
        <v>9</v>
      </c>
      <c r="I4232" s="1" t="str">
        <f aca="false">CONCATENATE(F4232,G4232,H4232)</f>
        <v>989</v>
      </c>
      <c r="J4232" s="1" t="str">
        <f aca="false">_xlfn.IFS(AND(F4232&gt;=8,G4232&gt;=8,H4232&gt;=8),"CHAMPION",AND(F4232&gt;=6,G4232&gt;=7,H4232&gt;=6),"LOYAL CUSTOMER",AND(F4232&gt;=6,G4232&gt;=5,H4232&gt;=5),"POTENTIAL LOYALIST",AND(F4232&gt;=8,G4232&lt;=2,H4232&gt;=5),"NEW CUSTOMERS",AND(F4232&gt;=6,G4232&lt;=2,H4232&gt;=3),"PROMISING",AND(F4232&gt;=3,G4232&gt;=3,H4232&gt;=3),"NEED ATTENTION",AND(F4232&lt;=4,G4232&gt;=6,H4232&gt;=6),"AT RISK",AND(F4232&lt;=2,G4232&gt;=8,H4232&gt;=8),"CAN'T LOSE THEM",AND(F4232&lt;=2,G4232&lt;=2,H4232&lt;=2),"HIBERNATING",TRUE(),"Other")</f>
        <v>CHAMPION</v>
      </c>
      <c r="K4232" s="1" t="n">
        <f aca="false">RANK(E4232,$E$7:$E$4378)+COUNTIF($E$7:E4232,E4232)-1</f>
        <v>110</v>
      </c>
    </row>
    <row r="4233" customFormat="false" ht="14.25" hidden="false" customHeight="true" outlineLevel="0" collapsed="false">
      <c r="A4233" s="51" t="n">
        <v>18093</v>
      </c>
      <c r="B4233" s="53" t="n">
        <v>40793.6548611111</v>
      </c>
      <c r="C4233" s="57" t="n">
        <f aca="false">INT($C$2)-INT(Table3[[#This Row],[Last Purchase Date]])</f>
        <v>94</v>
      </c>
      <c r="D4233" s="1" t="n">
        <v>5</v>
      </c>
      <c r="E4233" s="1" t="n">
        <v>2083.42</v>
      </c>
      <c r="F4233" s="1" t="n">
        <f aca="false">ROUND((1-_xlfn.PERCENTRANK.INC($C$7:$C$4378,C4233))*9,0)</f>
        <v>3</v>
      </c>
      <c r="G4233" s="1" t="n">
        <f aca="false">ROUND(_xlfn.PERCENTRANK.INC($D$7:$D$4378,D4233)*9,0)</f>
        <v>6</v>
      </c>
      <c r="H4233" s="1" t="n">
        <f aca="false">ROUND(_xlfn.PERCENTRANK.INC($E$7:$E$4378,E4233)*9,0)</f>
        <v>7</v>
      </c>
      <c r="I4233" s="1" t="str">
        <f aca="false">CONCATENATE(F4233,G4233,H4233)</f>
        <v>367</v>
      </c>
      <c r="J4233" s="1" t="str">
        <f aca="false">_xlfn.IFS(AND(F4233&gt;=8,G4233&gt;=8,H4233&gt;=8),"CHAMPION",AND(F4233&gt;=6,G4233&gt;=7,H4233&gt;=6),"LOYAL CUSTOMER",AND(F4233&gt;=6,G4233&gt;=5,H4233&gt;=5),"POTENTIAL LOYALIST",AND(F4233&gt;=8,G4233&lt;=2,H4233&gt;=5),"NEW CUSTOMERS",AND(F4233&gt;=6,G4233&lt;=2,H4233&gt;=3),"PROMISING",AND(F4233&gt;=3,G4233&gt;=3,H4233&gt;=3),"NEED ATTENTION",AND(F4233&lt;=4,G4233&gt;=6,H4233&gt;=6),"AT RISK",AND(F4233&lt;=2,G4233&gt;=8,H4233&gt;=8),"CAN'T LOSE THEM",AND(F4233&lt;=2,G4233&lt;=2,H4233&lt;=2),"HIBERNATING",TRUE(),"Other")</f>
        <v>NEED ATTENTION</v>
      </c>
      <c r="K4233" s="1" t="n">
        <f aca="false">RANK(E4233,$E$7:$E$4378)+COUNTIF($E$7:E4233,E4233)-1</f>
        <v>838</v>
      </c>
    </row>
    <row r="4234" customFormat="false" ht="14.25" hidden="false" customHeight="true" outlineLevel="0" collapsed="false">
      <c r="A4234" s="51" t="n">
        <v>18094</v>
      </c>
      <c r="B4234" s="53" t="n">
        <v>40805.3944444444</v>
      </c>
      <c r="C4234" s="57" t="n">
        <f aca="false">INT($C$2)-INT(Table3[[#This Row],[Last Purchase Date]])</f>
        <v>82</v>
      </c>
      <c r="D4234" s="1" t="n">
        <v>7</v>
      </c>
      <c r="E4234" s="1" t="n">
        <v>3017.3</v>
      </c>
      <c r="F4234" s="1" t="n">
        <f aca="false">ROUND((1-_xlfn.PERCENTRANK.INC($C$7:$C$4378,C4234))*9,0)</f>
        <v>3</v>
      </c>
      <c r="G4234" s="1" t="n">
        <f aca="false">ROUND(_xlfn.PERCENTRANK.INC($D$7:$D$4378,D4234)*9,0)</f>
        <v>7</v>
      </c>
      <c r="H4234" s="1" t="n">
        <f aca="false">ROUND(_xlfn.PERCENTRANK.INC($E$7:$E$4378,E4234)*9,0)</f>
        <v>8</v>
      </c>
      <c r="I4234" s="1" t="str">
        <f aca="false">CONCATENATE(F4234,G4234,H4234)</f>
        <v>378</v>
      </c>
      <c r="J4234" s="1" t="str">
        <f aca="false">_xlfn.IFS(AND(F4234&gt;=8,G4234&gt;=8,H4234&gt;=8),"CHAMPION",AND(F4234&gt;=6,G4234&gt;=7,H4234&gt;=6),"LOYAL CUSTOMER",AND(F4234&gt;=6,G4234&gt;=5,H4234&gt;=5),"POTENTIAL LOYALIST",AND(F4234&gt;=8,G4234&lt;=2,H4234&gt;=5),"NEW CUSTOMERS",AND(F4234&gt;=6,G4234&lt;=2,H4234&gt;=3),"PROMISING",AND(F4234&gt;=3,G4234&gt;=3,H4234&gt;=3),"NEED ATTENTION",AND(F4234&lt;=4,G4234&gt;=6,H4234&gt;=6),"AT RISK",AND(F4234&lt;=2,G4234&gt;=8,H4234&gt;=8),"CAN'T LOSE THEM",AND(F4234&lt;=2,G4234&lt;=2,H4234&lt;=2),"HIBERNATING",TRUE(),"Other")</f>
        <v>NEED ATTENTION</v>
      </c>
      <c r="K4234" s="1" t="n">
        <f aca="false">RANK(E4234,$E$7:$E$4378)+COUNTIF($E$7:E4234,E4234)-1</f>
        <v>536</v>
      </c>
    </row>
    <row r="4235" customFormat="false" ht="14.25" hidden="false" customHeight="true" outlineLevel="0" collapsed="false">
      <c r="A4235" s="51" t="n">
        <v>18095</v>
      </c>
      <c r="B4235" s="53" t="n">
        <v>40574.5347222222</v>
      </c>
      <c r="C4235" s="57" t="n">
        <f aca="false">INT($C$2)-INT(Table3[[#This Row],[Last Purchase Date]])</f>
        <v>313</v>
      </c>
      <c r="D4235" s="1" t="n">
        <v>2</v>
      </c>
      <c r="E4235" s="1" t="n">
        <v>580.05</v>
      </c>
      <c r="F4235" s="1" t="n">
        <f aca="false">ROUND((1-_xlfn.PERCENTRANK.INC($C$7:$C$4378,C4235))*9,0)</f>
        <v>0</v>
      </c>
      <c r="G4235" s="1" t="n">
        <f aca="false">ROUND(_xlfn.PERCENTRANK.INC($D$7:$D$4378,D4235)*9,0)</f>
        <v>3</v>
      </c>
      <c r="H4235" s="1" t="n">
        <f aca="false">ROUND(_xlfn.PERCENTRANK.INC($E$7:$E$4378,E4235)*9,0)</f>
        <v>4</v>
      </c>
      <c r="I4235" s="1" t="str">
        <f aca="false">CONCATENATE(F4235,G4235,H4235)</f>
        <v>034</v>
      </c>
      <c r="J4235" s="1" t="str">
        <f aca="false">_xlfn.IFS(AND(F4235&gt;=8,G4235&gt;=8,H4235&gt;=8),"CHAMPION",AND(F4235&gt;=6,G4235&gt;=7,H4235&gt;=6),"LOYAL CUSTOMER",AND(F4235&gt;=6,G4235&gt;=5,H4235&gt;=5),"POTENTIAL LOYALIST",AND(F4235&gt;=8,G4235&lt;=2,H4235&gt;=5),"NEW CUSTOMERS",AND(F4235&gt;=6,G4235&lt;=2,H4235&gt;=3),"PROMISING",AND(F4235&gt;=3,G4235&gt;=3,H4235&gt;=3),"NEED ATTENTION",AND(F4235&lt;=4,G4235&gt;=6,H4235&gt;=6),"AT RISK",AND(F4235&lt;=2,G4235&gt;=8,H4235&gt;=8),"CAN'T LOSE THEM",AND(F4235&lt;=2,G4235&lt;=2,H4235&lt;=2),"HIBERNATING",TRUE(),"Other")</f>
        <v>Other</v>
      </c>
      <c r="K4235" s="1" t="n">
        <f aca="false">RANK(E4235,$E$7:$E$4378)+COUNTIF($E$7:E4235,E4235)-1</f>
        <v>2371</v>
      </c>
    </row>
    <row r="4236" customFormat="false" ht="14.25" hidden="false" customHeight="true" outlineLevel="0" collapsed="false">
      <c r="A4236" s="51" t="n">
        <v>18096</v>
      </c>
      <c r="B4236" s="53" t="n">
        <v>40875.5305555556</v>
      </c>
      <c r="C4236" s="57" t="n">
        <f aca="false">INT($C$2)-INT(Table3[[#This Row],[Last Purchase Date]])</f>
        <v>12</v>
      </c>
      <c r="D4236" s="1" t="n">
        <v>3</v>
      </c>
      <c r="E4236" s="1" t="n">
        <v>911.15</v>
      </c>
      <c r="F4236" s="1" t="n">
        <f aca="false">ROUND((1-_xlfn.PERCENTRANK.INC($C$7:$C$4378,C4236))*9,0)</f>
        <v>7</v>
      </c>
      <c r="G4236" s="1" t="n">
        <f aca="false">ROUND(_xlfn.PERCENTRANK.INC($D$7:$D$4378,D4236)*9,0)</f>
        <v>4</v>
      </c>
      <c r="H4236" s="1" t="n">
        <f aca="false">ROUND(_xlfn.PERCENTRANK.INC($E$7:$E$4378,E4236)*9,0)</f>
        <v>5</v>
      </c>
      <c r="I4236" s="1" t="str">
        <f aca="false">CONCATENATE(F4236,G4236,H4236)</f>
        <v>745</v>
      </c>
      <c r="J4236" s="1" t="str">
        <f aca="false">_xlfn.IFS(AND(F4236&gt;=8,G4236&gt;=8,H4236&gt;=8),"CHAMPION",AND(F4236&gt;=6,G4236&gt;=7,H4236&gt;=6),"LOYAL CUSTOMER",AND(F4236&gt;=6,G4236&gt;=5,H4236&gt;=5),"POTENTIAL LOYALIST",AND(F4236&gt;=8,G4236&lt;=2,H4236&gt;=5),"NEW CUSTOMERS",AND(F4236&gt;=6,G4236&lt;=2,H4236&gt;=3),"PROMISING",AND(F4236&gt;=3,G4236&gt;=3,H4236&gt;=3),"NEED ATTENTION",AND(F4236&lt;=4,G4236&gt;=6,H4236&gt;=6),"AT RISK",AND(F4236&lt;=2,G4236&gt;=8,H4236&gt;=8),"CAN'T LOSE THEM",AND(F4236&lt;=2,G4236&lt;=2,H4236&lt;=2),"HIBERNATING",TRUE(),"Other")</f>
        <v>NEED ATTENTION</v>
      </c>
      <c r="K4236" s="1" t="n">
        <f aca="false">RANK(E4236,$E$7:$E$4378)+COUNTIF($E$7:E4236,E4236)-1</f>
        <v>1745</v>
      </c>
    </row>
    <row r="4237" customFormat="false" ht="14.25" hidden="false" customHeight="true" outlineLevel="0" collapsed="false">
      <c r="A4237" s="51" t="n">
        <v>18097</v>
      </c>
      <c r="B4237" s="53" t="n">
        <v>40879.4694444445</v>
      </c>
      <c r="C4237" s="57" t="n">
        <f aca="false">INT($C$2)-INT(Table3[[#This Row],[Last Purchase Date]])</f>
        <v>8</v>
      </c>
      <c r="D4237" s="1" t="n">
        <v>7</v>
      </c>
      <c r="E4237" s="1" t="n">
        <v>2692.85</v>
      </c>
      <c r="F4237" s="1" t="n">
        <f aca="false">ROUND((1-_xlfn.PERCENTRANK.INC($C$7:$C$4378,C4237))*9,0)</f>
        <v>8</v>
      </c>
      <c r="G4237" s="1" t="n">
        <f aca="false">ROUND(_xlfn.PERCENTRANK.INC($D$7:$D$4378,D4237)*9,0)</f>
        <v>7</v>
      </c>
      <c r="H4237" s="1" t="n">
        <f aca="false">ROUND(_xlfn.PERCENTRANK.INC($E$7:$E$4378,E4237)*9,0)</f>
        <v>8</v>
      </c>
      <c r="I4237" s="1" t="str">
        <f aca="false">CONCATENATE(F4237,G4237,H4237)</f>
        <v>878</v>
      </c>
      <c r="J4237" s="1" t="str">
        <f aca="false">_xlfn.IFS(AND(F4237&gt;=8,G4237&gt;=8,H4237&gt;=8),"CHAMPION",AND(F4237&gt;=6,G4237&gt;=7,H4237&gt;=6),"LOYAL CUSTOMER",AND(F4237&gt;=6,G4237&gt;=5,H4237&gt;=5),"POTENTIAL LOYALIST",AND(F4237&gt;=8,G4237&lt;=2,H4237&gt;=5),"NEW CUSTOMERS",AND(F4237&gt;=6,G4237&lt;=2,H4237&gt;=3),"PROMISING",AND(F4237&gt;=3,G4237&gt;=3,H4237&gt;=3),"NEED ATTENTION",AND(F4237&lt;=4,G4237&gt;=6,H4237&gt;=6),"AT RISK",AND(F4237&lt;=2,G4237&gt;=8,H4237&gt;=8),"CAN'T LOSE THEM",AND(F4237&lt;=2,G4237&lt;=2,H4237&lt;=2),"HIBERNATING",TRUE(),"Other")</f>
        <v>LOYAL CUSTOMER</v>
      </c>
      <c r="K4237" s="1" t="n">
        <f aca="false">RANK(E4237,$E$7:$E$4378)+COUNTIF($E$7:E4237,E4237)-1</f>
        <v>616</v>
      </c>
    </row>
    <row r="4238" customFormat="false" ht="14.25" hidden="false" customHeight="true" outlineLevel="0" collapsed="false">
      <c r="A4238" s="51" t="n">
        <v>18099</v>
      </c>
      <c r="B4238" s="53" t="n">
        <v>40759.6611111111</v>
      </c>
      <c r="C4238" s="57" t="n">
        <f aca="false">INT($C$2)-INT(Table3[[#This Row],[Last Purchase Date]])</f>
        <v>128</v>
      </c>
      <c r="D4238" s="1" t="n">
        <v>1</v>
      </c>
      <c r="E4238" s="1" t="n">
        <v>168.31</v>
      </c>
      <c r="F4238" s="1" t="n">
        <f aca="false">ROUND((1-_xlfn.PERCENTRANK.INC($C$7:$C$4378,C4238))*9,0)</f>
        <v>2</v>
      </c>
      <c r="G4238" s="1" t="n">
        <f aca="false">ROUND(_xlfn.PERCENTRANK.INC($D$7:$D$4378,D4238)*9,0)</f>
        <v>0</v>
      </c>
      <c r="H4238" s="1" t="n">
        <f aca="false">ROUND(_xlfn.PERCENTRANK.INC($E$7:$E$4378,E4238)*9,0)</f>
        <v>1</v>
      </c>
      <c r="I4238" s="1" t="str">
        <f aca="false">CONCATENATE(F4238,G4238,H4238)</f>
        <v>201</v>
      </c>
      <c r="J4238" s="1" t="str">
        <f aca="false">_xlfn.IFS(AND(F4238&gt;=8,G4238&gt;=8,H4238&gt;=8),"CHAMPION",AND(F4238&gt;=6,G4238&gt;=7,H4238&gt;=6),"LOYAL CUSTOMER",AND(F4238&gt;=6,G4238&gt;=5,H4238&gt;=5),"POTENTIAL LOYALIST",AND(F4238&gt;=8,G4238&lt;=2,H4238&gt;=5),"NEW CUSTOMERS",AND(F4238&gt;=6,G4238&lt;=2,H4238&gt;=3),"PROMISING",AND(F4238&gt;=3,G4238&gt;=3,H4238&gt;=3),"NEED ATTENTION",AND(F4238&lt;=4,G4238&gt;=6,H4238&gt;=6),"AT RISK",AND(F4238&lt;=2,G4238&gt;=8,H4238&gt;=8),"CAN'T LOSE THEM",AND(F4238&lt;=2,G4238&lt;=2,H4238&lt;=2),"HIBERNATING",TRUE(),"Other")</f>
        <v>HIBERNATING</v>
      </c>
      <c r="K4238" s="1" t="n">
        <f aca="false">RANK(E4238,$E$7:$E$4378)+COUNTIF($E$7:E4238,E4238)-1</f>
        <v>3812</v>
      </c>
    </row>
    <row r="4239" customFormat="false" ht="14.25" hidden="false" customHeight="true" outlineLevel="0" collapsed="false">
      <c r="A4239" s="51" t="n">
        <v>18101</v>
      </c>
      <c r="B4239" s="53" t="n">
        <v>40875.5673611111</v>
      </c>
      <c r="C4239" s="57" t="n">
        <f aca="false">INT($C$2)-INT(Table3[[#This Row],[Last Purchase Date]])</f>
        <v>12</v>
      </c>
      <c r="D4239" s="1" t="n">
        <v>2</v>
      </c>
      <c r="E4239" s="1" t="n">
        <v>223.65</v>
      </c>
      <c r="F4239" s="1" t="n">
        <f aca="false">ROUND((1-_xlfn.PERCENTRANK.INC($C$7:$C$4378,C4239))*9,0)</f>
        <v>7</v>
      </c>
      <c r="G4239" s="1" t="n">
        <f aca="false">ROUND(_xlfn.PERCENTRANK.INC($D$7:$D$4378,D4239)*9,0)</f>
        <v>3</v>
      </c>
      <c r="H4239" s="1" t="n">
        <f aca="false">ROUND(_xlfn.PERCENTRANK.INC($E$7:$E$4378,E4239)*9,0)</f>
        <v>2</v>
      </c>
      <c r="I4239" s="1" t="str">
        <f aca="false">CONCATENATE(F4239,G4239,H4239)</f>
        <v>732</v>
      </c>
      <c r="J4239" s="1" t="str">
        <f aca="false">_xlfn.IFS(AND(F4239&gt;=8,G4239&gt;=8,H4239&gt;=8),"CHAMPION",AND(F4239&gt;=6,G4239&gt;=7,H4239&gt;=6),"LOYAL CUSTOMER",AND(F4239&gt;=6,G4239&gt;=5,H4239&gt;=5),"POTENTIAL LOYALIST",AND(F4239&gt;=8,G4239&lt;=2,H4239&gt;=5),"NEW CUSTOMERS",AND(F4239&gt;=6,G4239&lt;=2,H4239&gt;=3),"PROMISING",AND(F4239&gt;=3,G4239&gt;=3,H4239&gt;=3),"NEED ATTENTION",AND(F4239&lt;=4,G4239&gt;=6,H4239&gt;=6),"AT RISK",AND(F4239&lt;=2,G4239&gt;=8,H4239&gt;=8),"CAN'T LOSE THEM",AND(F4239&lt;=2,G4239&lt;=2,H4239&lt;=2),"HIBERNATING",TRUE(),"Other")</f>
        <v>Other</v>
      </c>
      <c r="K4239" s="1" t="n">
        <f aca="false">RANK(E4239,$E$7:$E$4378)+COUNTIF($E$7:E4239,E4239)-1</f>
        <v>3547</v>
      </c>
    </row>
    <row r="4240" customFormat="false" ht="14.25" hidden="false" customHeight="true" outlineLevel="0" collapsed="false">
      <c r="A4240" s="51" t="n">
        <v>18102</v>
      </c>
      <c r="B4240" s="53" t="n">
        <v>40886.4930555556</v>
      </c>
      <c r="C4240" s="57" t="n">
        <f aca="false">INT($C$2)-INT(Table3[[#This Row],[Last Purchase Date]])</f>
        <v>1</v>
      </c>
      <c r="D4240" s="1" t="n">
        <v>62</v>
      </c>
      <c r="E4240" s="1" t="n">
        <v>256438.49</v>
      </c>
      <c r="F4240" s="1" t="n">
        <f aca="false">ROUND((1-_xlfn.PERCENTRANK.INC($C$7:$C$4378,C4240))*9,0)</f>
        <v>9</v>
      </c>
      <c r="G4240" s="1" t="n">
        <f aca="false">ROUND(_xlfn.PERCENTRANK.INC($D$7:$D$4378,D4240)*9,0)</f>
        <v>9</v>
      </c>
      <c r="H4240" s="1" t="n">
        <f aca="false">ROUND(_xlfn.PERCENTRANK.INC($E$7:$E$4378,E4240)*9,0)</f>
        <v>9</v>
      </c>
      <c r="I4240" s="1" t="str">
        <f aca="false">CONCATENATE(F4240,G4240,H4240)</f>
        <v>999</v>
      </c>
      <c r="J4240" s="1" t="str">
        <f aca="false">_xlfn.IFS(AND(F4240&gt;=8,G4240&gt;=8,H4240&gt;=8),"CHAMPION",AND(F4240&gt;=6,G4240&gt;=7,H4240&gt;=6),"LOYAL CUSTOMER",AND(F4240&gt;=6,G4240&gt;=5,H4240&gt;=5),"POTENTIAL LOYALIST",AND(F4240&gt;=8,G4240&lt;=2,H4240&gt;=5),"NEW CUSTOMERS",AND(F4240&gt;=6,G4240&lt;=2,H4240&gt;=3),"PROMISING",AND(F4240&gt;=3,G4240&gt;=3,H4240&gt;=3),"NEED ATTENTION",AND(F4240&lt;=4,G4240&gt;=6,H4240&gt;=6),"AT RISK",AND(F4240&lt;=2,G4240&gt;=8,H4240&gt;=8),"CAN'T LOSE THEM",AND(F4240&lt;=2,G4240&lt;=2,H4240&lt;=2),"HIBERNATING",TRUE(),"Other")</f>
        <v>CHAMPION</v>
      </c>
      <c r="K4240" s="1" t="n">
        <f aca="false">RANK(E4240,$E$7:$E$4378)+COUNTIF($E$7:E4240,E4240)-1</f>
        <v>2</v>
      </c>
    </row>
    <row r="4241" customFormat="false" ht="14.25" hidden="false" customHeight="true" outlineLevel="0" collapsed="false">
      <c r="A4241" s="51" t="n">
        <v>18104</v>
      </c>
      <c r="B4241" s="53" t="n">
        <v>40849.5881944444</v>
      </c>
      <c r="C4241" s="57" t="n">
        <f aca="false">INT($C$2)-INT(Table3[[#This Row],[Last Purchase Date]])</f>
        <v>38</v>
      </c>
      <c r="D4241" s="1" t="n">
        <v>1</v>
      </c>
      <c r="E4241" s="1" t="n">
        <v>754.64</v>
      </c>
      <c r="F4241" s="1" t="n">
        <f aca="false">ROUND((1-_xlfn.PERCENTRANK.INC($C$7:$C$4378,C4241))*9,0)</f>
        <v>5</v>
      </c>
      <c r="G4241" s="1" t="n">
        <f aca="false">ROUND(_xlfn.PERCENTRANK.INC($D$7:$D$4378,D4241)*9,0)</f>
        <v>0</v>
      </c>
      <c r="H4241" s="1" t="n">
        <f aca="false">ROUND(_xlfn.PERCENTRANK.INC($E$7:$E$4378,E4241)*9,0)</f>
        <v>5</v>
      </c>
      <c r="I4241" s="1" t="str">
        <f aca="false">CONCATENATE(F4241,G4241,H4241)</f>
        <v>505</v>
      </c>
      <c r="J4241" s="1" t="str">
        <f aca="false">_xlfn.IFS(AND(F4241&gt;=8,G4241&gt;=8,H4241&gt;=8),"CHAMPION",AND(F4241&gt;=6,G4241&gt;=7,H4241&gt;=6),"LOYAL CUSTOMER",AND(F4241&gt;=6,G4241&gt;=5,H4241&gt;=5),"POTENTIAL LOYALIST",AND(F4241&gt;=8,G4241&lt;=2,H4241&gt;=5),"NEW CUSTOMERS",AND(F4241&gt;=6,G4241&lt;=2,H4241&gt;=3),"PROMISING",AND(F4241&gt;=3,G4241&gt;=3,H4241&gt;=3),"NEED ATTENTION",AND(F4241&lt;=4,G4241&gt;=6,H4241&gt;=6),"AT RISK",AND(F4241&lt;=2,G4241&gt;=8,H4241&gt;=8),"CAN'T LOSE THEM",AND(F4241&lt;=2,G4241&lt;=2,H4241&lt;=2),"HIBERNATING",TRUE(),"Other")</f>
        <v>Other</v>
      </c>
      <c r="K4241" s="1" t="n">
        <f aca="false">RANK(E4241,$E$7:$E$4378)+COUNTIF($E$7:E4241,E4241)-1</f>
        <v>1972</v>
      </c>
    </row>
    <row r="4242" customFormat="false" ht="14.25" hidden="false" customHeight="true" outlineLevel="0" collapsed="false">
      <c r="A4242" s="51" t="n">
        <v>18105</v>
      </c>
      <c r="B4242" s="53" t="n">
        <v>40849.5027777778</v>
      </c>
      <c r="C4242" s="57" t="n">
        <f aca="false">INT($C$2)-INT(Table3[[#This Row],[Last Purchase Date]])</f>
        <v>38</v>
      </c>
      <c r="D4242" s="1" t="n">
        <v>1</v>
      </c>
      <c r="E4242" s="1" t="n">
        <v>113.48</v>
      </c>
      <c r="F4242" s="1" t="n">
        <f aca="false">ROUND((1-_xlfn.PERCENTRANK.INC($C$7:$C$4378,C4242))*9,0)</f>
        <v>5</v>
      </c>
      <c r="G4242" s="1" t="n">
        <f aca="false">ROUND(_xlfn.PERCENTRANK.INC($D$7:$D$4378,D4242)*9,0)</f>
        <v>0</v>
      </c>
      <c r="H4242" s="1" t="n">
        <f aca="false">ROUND(_xlfn.PERCENTRANK.INC($E$7:$E$4378,E4242)*9,0)</f>
        <v>1</v>
      </c>
      <c r="I4242" s="1" t="str">
        <f aca="false">CONCATENATE(F4242,G4242,H4242)</f>
        <v>501</v>
      </c>
      <c r="J4242" s="1" t="str">
        <f aca="false">_xlfn.IFS(AND(F4242&gt;=8,G4242&gt;=8,H4242&gt;=8),"CHAMPION",AND(F4242&gt;=6,G4242&gt;=7,H4242&gt;=6),"LOYAL CUSTOMER",AND(F4242&gt;=6,G4242&gt;=5,H4242&gt;=5),"POTENTIAL LOYALIST",AND(F4242&gt;=8,G4242&lt;=2,H4242&gt;=5),"NEW CUSTOMERS",AND(F4242&gt;=6,G4242&lt;=2,H4242&gt;=3),"PROMISING",AND(F4242&gt;=3,G4242&gt;=3,H4242&gt;=3),"NEED ATTENTION",AND(F4242&lt;=4,G4242&gt;=6,H4242&gt;=6),"AT RISK",AND(F4242&lt;=2,G4242&gt;=8,H4242&gt;=8),"CAN'T LOSE THEM",AND(F4242&lt;=2,G4242&lt;=2,H4242&lt;=2),"HIBERNATING",TRUE(),"Other")</f>
        <v>Other</v>
      </c>
      <c r="K4242" s="1" t="n">
        <f aca="false">RANK(E4242,$E$7:$E$4378)+COUNTIF($E$7:E4242,E4242)-1</f>
        <v>4088</v>
      </c>
    </row>
    <row r="4243" customFormat="false" ht="14.25" hidden="false" customHeight="true" outlineLevel="0" collapsed="false">
      <c r="A4243" s="51" t="n">
        <v>18106</v>
      </c>
      <c r="B4243" s="53" t="n">
        <v>40557.5159722222</v>
      </c>
      <c r="C4243" s="57" t="n">
        <f aca="false">INT($C$2)-INT(Table3[[#This Row],[Last Purchase Date]])</f>
        <v>330</v>
      </c>
      <c r="D4243" s="1" t="n">
        <v>1</v>
      </c>
      <c r="E4243" s="1" t="n">
        <v>430.7</v>
      </c>
      <c r="F4243" s="1" t="n">
        <f aca="false">ROUND((1-_xlfn.PERCENTRANK.INC($C$7:$C$4378,C4243))*9,0)</f>
        <v>0</v>
      </c>
      <c r="G4243" s="1" t="n">
        <f aca="false">ROUND(_xlfn.PERCENTRANK.INC($D$7:$D$4378,D4243)*9,0)</f>
        <v>0</v>
      </c>
      <c r="H4243" s="1" t="n">
        <f aca="false">ROUND(_xlfn.PERCENTRANK.INC($E$7:$E$4378,E4243)*9,0)</f>
        <v>3</v>
      </c>
      <c r="I4243" s="1" t="str">
        <f aca="false">CONCATENATE(F4243,G4243,H4243)</f>
        <v>003</v>
      </c>
      <c r="J4243" s="1" t="str">
        <f aca="false">_xlfn.IFS(AND(F4243&gt;=8,G4243&gt;=8,H4243&gt;=8),"CHAMPION",AND(F4243&gt;=6,G4243&gt;=7,H4243&gt;=6),"LOYAL CUSTOMER",AND(F4243&gt;=6,G4243&gt;=5,H4243&gt;=5),"POTENTIAL LOYALIST",AND(F4243&gt;=8,G4243&lt;=2,H4243&gt;=5),"NEW CUSTOMERS",AND(F4243&gt;=6,G4243&lt;=2,H4243&gt;=3),"PROMISING",AND(F4243&gt;=3,G4243&gt;=3,H4243&gt;=3),"NEED ATTENTION",AND(F4243&lt;=4,G4243&gt;=6,H4243&gt;=6),"AT RISK",AND(F4243&lt;=2,G4243&gt;=8,H4243&gt;=8),"CAN'T LOSE THEM",AND(F4243&lt;=2,G4243&lt;=2,H4243&lt;=2),"HIBERNATING",TRUE(),"Other")</f>
        <v>Other</v>
      </c>
      <c r="K4243" s="1" t="n">
        <f aca="false">RANK(E4243,$E$7:$E$4378)+COUNTIF($E$7:E4243,E4243)-1</f>
        <v>2716</v>
      </c>
    </row>
    <row r="4244" customFormat="false" ht="14.25" hidden="false" customHeight="true" outlineLevel="0" collapsed="false">
      <c r="A4244" s="51" t="n">
        <v>18108</v>
      </c>
      <c r="B4244" s="53" t="n">
        <v>40638.3506944445</v>
      </c>
      <c r="C4244" s="57" t="n">
        <f aca="false">INT($C$2)-INT(Table3[[#This Row],[Last Purchase Date]])</f>
        <v>249</v>
      </c>
      <c r="D4244" s="1" t="n">
        <v>2</v>
      </c>
      <c r="E4244" s="1" t="n">
        <v>264.65</v>
      </c>
      <c r="F4244" s="1" t="n">
        <f aca="false">ROUND((1-_xlfn.PERCENTRANK.INC($C$7:$C$4378,C4244))*9,0)</f>
        <v>1</v>
      </c>
      <c r="G4244" s="1" t="n">
        <f aca="false">ROUND(_xlfn.PERCENTRANK.INC($D$7:$D$4378,D4244)*9,0)</f>
        <v>3</v>
      </c>
      <c r="H4244" s="1" t="n">
        <f aca="false">ROUND(_xlfn.PERCENTRANK.INC($E$7:$E$4378,E4244)*9,0)</f>
        <v>2</v>
      </c>
      <c r="I4244" s="1" t="str">
        <f aca="false">CONCATENATE(F4244,G4244,H4244)</f>
        <v>132</v>
      </c>
      <c r="J4244" s="1" t="str">
        <f aca="false">_xlfn.IFS(AND(F4244&gt;=8,G4244&gt;=8,H4244&gt;=8),"CHAMPION",AND(F4244&gt;=6,G4244&gt;=7,H4244&gt;=6),"LOYAL CUSTOMER",AND(F4244&gt;=6,G4244&gt;=5,H4244&gt;=5),"POTENTIAL LOYALIST",AND(F4244&gt;=8,G4244&lt;=2,H4244&gt;=5),"NEW CUSTOMERS",AND(F4244&gt;=6,G4244&lt;=2,H4244&gt;=3),"PROMISING",AND(F4244&gt;=3,G4244&gt;=3,H4244&gt;=3),"NEED ATTENTION",AND(F4244&lt;=4,G4244&gt;=6,H4244&gt;=6),"AT RISK",AND(F4244&lt;=2,G4244&gt;=8,H4244&gt;=8),"CAN'T LOSE THEM",AND(F4244&lt;=2,G4244&lt;=2,H4244&lt;=2),"HIBERNATING",TRUE(),"Other")</f>
        <v>Other</v>
      </c>
      <c r="K4244" s="1" t="n">
        <f aca="false">RANK(E4244,$E$7:$E$4378)+COUNTIF($E$7:E4244,E4244)-1</f>
        <v>3383</v>
      </c>
    </row>
    <row r="4245" customFormat="false" ht="14.25" hidden="false" customHeight="true" outlineLevel="0" collapsed="false">
      <c r="A4245" s="51" t="n">
        <v>18109</v>
      </c>
      <c r="B4245" s="53" t="n">
        <v>40885.4833333333</v>
      </c>
      <c r="C4245" s="57" t="n">
        <f aca="false">INT($C$2)-INT(Table3[[#This Row],[Last Purchase Date]])</f>
        <v>2</v>
      </c>
      <c r="D4245" s="1" t="n">
        <v>31</v>
      </c>
      <c r="E4245" s="1" t="n">
        <v>7925.32</v>
      </c>
      <c r="F4245" s="1" t="n">
        <f aca="false">ROUND((1-_xlfn.PERCENTRANK.INC($C$7:$C$4378,C4245))*9,0)</f>
        <v>9</v>
      </c>
      <c r="G4245" s="1" t="n">
        <f aca="false">ROUND(_xlfn.PERCENTRANK.INC($D$7:$D$4378,D4245)*9,0)</f>
        <v>9</v>
      </c>
      <c r="H4245" s="1" t="n">
        <f aca="false">ROUND(_xlfn.PERCENTRANK.INC($E$7:$E$4378,E4245)*9,0)</f>
        <v>9</v>
      </c>
      <c r="I4245" s="1" t="str">
        <f aca="false">CONCATENATE(F4245,G4245,H4245)</f>
        <v>999</v>
      </c>
      <c r="J4245" s="1" t="str">
        <f aca="false">_xlfn.IFS(AND(F4245&gt;=8,G4245&gt;=8,H4245&gt;=8),"CHAMPION",AND(F4245&gt;=6,G4245&gt;=7,H4245&gt;=6),"LOYAL CUSTOMER",AND(F4245&gt;=6,G4245&gt;=5,H4245&gt;=5),"POTENTIAL LOYALIST",AND(F4245&gt;=8,G4245&lt;=2,H4245&gt;=5),"NEW CUSTOMERS",AND(F4245&gt;=6,G4245&lt;=2,H4245&gt;=3),"PROMISING",AND(F4245&gt;=3,G4245&gt;=3,H4245&gt;=3),"NEED ATTENTION",AND(F4245&lt;=4,G4245&gt;=6,H4245&gt;=6),"AT RISK",AND(F4245&lt;=2,G4245&gt;=8,H4245&gt;=8),"CAN'T LOSE THEM",AND(F4245&lt;=2,G4245&lt;=2,H4245&lt;=2),"HIBERNATING",TRUE(),"Other")</f>
        <v>CHAMPION</v>
      </c>
      <c r="K4245" s="1" t="n">
        <f aca="false">RANK(E4245,$E$7:$E$4378)+COUNTIF($E$7:E4245,E4245)-1</f>
        <v>128</v>
      </c>
    </row>
    <row r="4246" customFormat="false" ht="14.25" hidden="false" customHeight="true" outlineLevel="0" collapsed="false">
      <c r="A4246" s="51" t="n">
        <v>18110</v>
      </c>
      <c r="B4246" s="53" t="n">
        <v>40867.5409722222</v>
      </c>
      <c r="C4246" s="57" t="n">
        <f aca="false">INT($C$2)-INT(Table3[[#This Row],[Last Purchase Date]])</f>
        <v>20</v>
      </c>
      <c r="D4246" s="1" t="n">
        <v>2</v>
      </c>
      <c r="E4246" s="1" t="n">
        <v>206.05</v>
      </c>
      <c r="F4246" s="1" t="n">
        <f aca="false">ROUND((1-_xlfn.PERCENTRANK.INC($C$7:$C$4378,C4246))*9,0)</f>
        <v>6</v>
      </c>
      <c r="G4246" s="1" t="n">
        <f aca="false">ROUND(_xlfn.PERCENTRANK.INC($D$7:$D$4378,D4246)*9,0)</f>
        <v>3</v>
      </c>
      <c r="H4246" s="1" t="n">
        <f aca="false">ROUND(_xlfn.PERCENTRANK.INC($E$7:$E$4378,E4246)*9,0)</f>
        <v>2</v>
      </c>
      <c r="I4246" s="1" t="str">
        <f aca="false">CONCATENATE(F4246,G4246,H4246)</f>
        <v>632</v>
      </c>
      <c r="J4246" s="1" t="str">
        <f aca="false">_xlfn.IFS(AND(F4246&gt;=8,G4246&gt;=8,H4246&gt;=8),"CHAMPION",AND(F4246&gt;=6,G4246&gt;=7,H4246&gt;=6),"LOYAL CUSTOMER",AND(F4246&gt;=6,G4246&gt;=5,H4246&gt;=5),"POTENTIAL LOYALIST",AND(F4246&gt;=8,G4246&lt;=2,H4246&gt;=5),"NEW CUSTOMERS",AND(F4246&gt;=6,G4246&lt;=2,H4246&gt;=3),"PROMISING",AND(F4246&gt;=3,G4246&gt;=3,H4246&gt;=3),"NEED ATTENTION",AND(F4246&lt;=4,G4246&gt;=6,H4246&gt;=6),"AT RISK",AND(F4246&lt;=2,G4246&gt;=8,H4246&gt;=8),"CAN'T LOSE THEM",AND(F4246&lt;=2,G4246&lt;=2,H4246&lt;=2),"HIBERNATING",TRUE(),"Other")</f>
        <v>Other</v>
      </c>
      <c r="K4246" s="1" t="n">
        <f aca="false">RANK(E4246,$E$7:$E$4378)+COUNTIF($E$7:E4246,E4246)-1</f>
        <v>3631</v>
      </c>
    </row>
    <row r="4247" customFormat="false" ht="14.25" hidden="false" customHeight="true" outlineLevel="0" collapsed="false">
      <c r="A4247" s="51" t="n">
        <v>18112</v>
      </c>
      <c r="B4247" s="53" t="n">
        <v>40874.6131944444</v>
      </c>
      <c r="C4247" s="57" t="n">
        <f aca="false">INT($C$2)-INT(Table3[[#This Row],[Last Purchase Date]])</f>
        <v>13</v>
      </c>
      <c r="D4247" s="1" t="n">
        <v>2</v>
      </c>
      <c r="E4247" s="1" t="n">
        <v>352.69</v>
      </c>
      <c r="F4247" s="1" t="n">
        <f aca="false">ROUND((1-_xlfn.PERCENTRANK.INC($C$7:$C$4378,C4247))*9,0)</f>
        <v>7</v>
      </c>
      <c r="G4247" s="1" t="n">
        <f aca="false">ROUND(_xlfn.PERCENTRANK.INC($D$7:$D$4378,D4247)*9,0)</f>
        <v>3</v>
      </c>
      <c r="H4247" s="1" t="n">
        <f aca="false">ROUND(_xlfn.PERCENTRANK.INC($E$7:$E$4378,E4247)*9,0)</f>
        <v>3</v>
      </c>
      <c r="I4247" s="1" t="str">
        <f aca="false">CONCATENATE(F4247,G4247,H4247)</f>
        <v>733</v>
      </c>
      <c r="J4247" s="1" t="str">
        <f aca="false">_xlfn.IFS(AND(F4247&gt;=8,G4247&gt;=8,H4247&gt;=8),"CHAMPION",AND(F4247&gt;=6,G4247&gt;=7,H4247&gt;=6),"LOYAL CUSTOMER",AND(F4247&gt;=6,G4247&gt;=5,H4247&gt;=5),"POTENTIAL LOYALIST",AND(F4247&gt;=8,G4247&lt;=2,H4247&gt;=5),"NEW CUSTOMERS",AND(F4247&gt;=6,G4247&lt;=2,H4247&gt;=3),"PROMISING",AND(F4247&gt;=3,G4247&gt;=3,H4247&gt;=3),"NEED ATTENTION",AND(F4247&lt;=4,G4247&gt;=6,H4247&gt;=6),"AT RISK",AND(F4247&lt;=2,G4247&gt;=8,H4247&gt;=8),"CAN'T LOSE THEM",AND(F4247&lt;=2,G4247&lt;=2,H4247&lt;=2),"HIBERNATING",TRUE(),"Other")</f>
        <v>NEED ATTENTION</v>
      </c>
      <c r="K4247" s="1" t="n">
        <f aca="false">RANK(E4247,$E$7:$E$4378)+COUNTIF($E$7:E4247,E4247)-1</f>
        <v>2996</v>
      </c>
    </row>
    <row r="4248" customFormat="false" ht="14.25" hidden="false" customHeight="true" outlineLevel="0" collapsed="false">
      <c r="A4248" s="51" t="n">
        <v>18113</v>
      </c>
      <c r="B4248" s="53" t="n">
        <v>40518.5215277778</v>
      </c>
      <c r="C4248" s="57" t="n">
        <f aca="false">INT($C$2)-INT(Table3[[#This Row],[Last Purchase Date]])</f>
        <v>369</v>
      </c>
      <c r="D4248" s="1" t="n">
        <v>1</v>
      </c>
      <c r="E4248" s="1" t="n">
        <v>76.32</v>
      </c>
      <c r="F4248" s="1" t="n">
        <f aca="false">ROUND((1-_xlfn.PERCENTRANK.INC($C$7:$C$4378,C4248))*9,0)</f>
        <v>0</v>
      </c>
      <c r="G4248" s="1" t="n">
        <f aca="false">ROUND(_xlfn.PERCENTRANK.INC($D$7:$D$4378,D4248)*9,0)</f>
        <v>0</v>
      </c>
      <c r="H4248" s="1" t="n">
        <f aca="false">ROUND(_xlfn.PERCENTRANK.INC($E$7:$E$4378,E4248)*9,0)</f>
        <v>0</v>
      </c>
      <c r="I4248" s="1" t="str">
        <f aca="false">CONCATENATE(F4248,G4248,H4248)</f>
        <v>000</v>
      </c>
      <c r="J4248" s="1" t="str">
        <f aca="false">_xlfn.IFS(AND(F4248&gt;=8,G4248&gt;=8,H4248&gt;=8),"CHAMPION",AND(F4248&gt;=6,G4248&gt;=7,H4248&gt;=6),"LOYAL CUSTOMER",AND(F4248&gt;=6,G4248&gt;=5,H4248&gt;=5),"POTENTIAL LOYALIST",AND(F4248&gt;=8,G4248&lt;=2,H4248&gt;=5),"NEW CUSTOMERS",AND(F4248&gt;=6,G4248&lt;=2,H4248&gt;=3),"PROMISING",AND(F4248&gt;=3,G4248&gt;=3,H4248&gt;=3),"NEED ATTENTION",AND(F4248&lt;=4,G4248&gt;=6,H4248&gt;=6),"AT RISK",AND(F4248&lt;=2,G4248&gt;=8,H4248&gt;=8),"CAN'T LOSE THEM",AND(F4248&lt;=2,G4248&lt;=2,H4248&lt;=2),"HIBERNATING",TRUE(),"Other")</f>
        <v>HIBERNATING</v>
      </c>
      <c r="K4248" s="1" t="n">
        <f aca="false">RANK(E4248,$E$7:$E$4378)+COUNTIF($E$7:E4248,E4248)-1</f>
        <v>4231</v>
      </c>
    </row>
    <row r="4249" customFormat="false" ht="14.25" hidden="false" customHeight="true" outlineLevel="0" collapsed="false">
      <c r="A4249" s="51" t="n">
        <v>18114</v>
      </c>
      <c r="B4249" s="53" t="n">
        <v>40596.5555555556</v>
      </c>
      <c r="C4249" s="57" t="n">
        <f aca="false">INT($C$2)-INT(Table3[[#This Row],[Last Purchase Date]])</f>
        <v>291</v>
      </c>
      <c r="D4249" s="1" t="n">
        <v>1</v>
      </c>
      <c r="E4249" s="1" t="n">
        <v>220.1</v>
      </c>
      <c r="F4249" s="1" t="n">
        <f aca="false">ROUND((1-_xlfn.PERCENTRANK.INC($C$7:$C$4378,C4249))*9,0)</f>
        <v>1</v>
      </c>
      <c r="G4249" s="1" t="n">
        <f aca="false">ROUND(_xlfn.PERCENTRANK.INC($D$7:$D$4378,D4249)*9,0)</f>
        <v>0</v>
      </c>
      <c r="H4249" s="1" t="n">
        <f aca="false">ROUND(_xlfn.PERCENTRANK.INC($E$7:$E$4378,E4249)*9,0)</f>
        <v>2</v>
      </c>
      <c r="I4249" s="1" t="str">
        <f aca="false">CONCATENATE(F4249,G4249,H4249)</f>
        <v>102</v>
      </c>
      <c r="J4249" s="1" t="str">
        <f aca="false">_xlfn.IFS(AND(F4249&gt;=8,G4249&gt;=8,H4249&gt;=8),"CHAMPION",AND(F4249&gt;=6,G4249&gt;=7,H4249&gt;=6),"LOYAL CUSTOMER",AND(F4249&gt;=6,G4249&gt;=5,H4249&gt;=5),"POTENTIAL LOYALIST",AND(F4249&gt;=8,G4249&lt;=2,H4249&gt;=5),"NEW CUSTOMERS",AND(F4249&gt;=6,G4249&lt;=2,H4249&gt;=3),"PROMISING",AND(F4249&gt;=3,G4249&gt;=3,H4249&gt;=3),"NEED ATTENTION",AND(F4249&lt;=4,G4249&gt;=6,H4249&gt;=6),"AT RISK",AND(F4249&lt;=2,G4249&gt;=8,H4249&gt;=8),"CAN'T LOSE THEM",AND(F4249&lt;=2,G4249&lt;=2,H4249&lt;=2),"HIBERNATING",TRUE(),"Other")</f>
        <v>HIBERNATING</v>
      </c>
      <c r="K4249" s="1" t="n">
        <f aca="false">RANK(E4249,$E$7:$E$4378)+COUNTIF($E$7:E4249,E4249)-1</f>
        <v>3560</v>
      </c>
    </row>
    <row r="4250" customFormat="false" ht="14.25" hidden="false" customHeight="true" outlineLevel="0" collapsed="false">
      <c r="A4250" s="51" t="n">
        <v>18116</v>
      </c>
      <c r="B4250" s="53" t="n">
        <v>40819.4583333333</v>
      </c>
      <c r="C4250" s="57" t="n">
        <f aca="false">INT($C$2)-INT(Table3[[#This Row],[Last Purchase Date]])</f>
        <v>68</v>
      </c>
      <c r="D4250" s="1" t="n">
        <v>8</v>
      </c>
      <c r="E4250" s="1" t="n">
        <v>1418.03</v>
      </c>
      <c r="F4250" s="1" t="n">
        <f aca="false">ROUND((1-_xlfn.PERCENTRANK.INC($C$7:$C$4378,C4250))*9,0)</f>
        <v>4</v>
      </c>
      <c r="G4250" s="1" t="n">
        <f aca="false">ROUND(_xlfn.PERCENTRANK.INC($D$7:$D$4378,D4250)*9,0)</f>
        <v>7</v>
      </c>
      <c r="H4250" s="1" t="n">
        <f aca="false">ROUND(_xlfn.PERCENTRANK.INC($E$7:$E$4378,E4250)*9,0)</f>
        <v>6</v>
      </c>
      <c r="I4250" s="1" t="str">
        <f aca="false">CONCATENATE(F4250,G4250,H4250)</f>
        <v>476</v>
      </c>
      <c r="J4250" s="1" t="str">
        <f aca="false">_xlfn.IFS(AND(F4250&gt;=8,G4250&gt;=8,H4250&gt;=8),"CHAMPION",AND(F4250&gt;=6,G4250&gt;=7,H4250&gt;=6),"LOYAL CUSTOMER",AND(F4250&gt;=6,G4250&gt;=5,H4250&gt;=5),"POTENTIAL LOYALIST",AND(F4250&gt;=8,G4250&lt;=2,H4250&gt;=5),"NEW CUSTOMERS",AND(F4250&gt;=6,G4250&lt;=2,H4250&gt;=3),"PROMISING",AND(F4250&gt;=3,G4250&gt;=3,H4250&gt;=3),"NEED ATTENTION",AND(F4250&lt;=4,G4250&gt;=6,H4250&gt;=6),"AT RISK",AND(F4250&lt;=2,G4250&gt;=8,H4250&gt;=8),"CAN'T LOSE THEM",AND(F4250&lt;=2,G4250&lt;=2,H4250&lt;=2),"HIBERNATING",TRUE(),"Other")</f>
        <v>NEED ATTENTION</v>
      </c>
      <c r="K4250" s="1" t="n">
        <f aca="false">RANK(E4250,$E$7:$E$4378)+COUNTIF($E$7:E4250,E4250)-1</f>
        <v>1224</v>
      </c>
    </row>
    <row r="4251" customFormat="false" ht="14.25" hidden="false" customHeight="true" outlineLevel="0" collapsed="false">
      <c r="A4251" s="51" t="n">
        <v>18117</v>
      </c>
      <c r="B4251" s="53" t="n">
        <v>40861.5326388889</v>
      </c>
      <c r="C4251" s="57" t="n">
        <f aca="false">INT($C$2)-INT(Table3[[#This Row],[Last Purchase Date]])</f>
        <v>26</v>
      </c>
      <c r="D4251" s="1" t="n">
        <v>1</v>
      </c>
      <c r="E4251" s="1" t="n">
        <v>320.72</v>
      </c>
      <c r="F4251" s="1" t="n">
        <f aca="false">ROUND((1-_xlfn.PERCENTRANK.INC($C$7:$C$4378,C4251))*9,0)</f>
        <v>6</v>
      </c>
      <c r="G4251" s="1" t="n">
        <f aca="false">ROUND(_xlfn.PERCENTRANK.INC($D$7:$D$4378,D4251)*9,0)</f>
        <v>0</v>
      </c>
      <c r="H4251" s="1" t="n">
        <f aca="false">ROUND(_xlfn.PERCENTRANK.INC($E$7:$E$4378,E4251)*9,0)</f>
        <v>3</v>
      </c>
      <c r="I4251" s="1" t="str">
        <f aca="false">CONCATENATE(F4251,G4251,H4251)</f>
        <v>603</v>
      </c>
      <c r="J4251" s="1" t="str">
        <f aca="false">_xlfn.IFS(AND(F4251&gt;=8,G4251&gt;=8,H4251&gt;=8),"CHAMPION",AND(F4251&gt;=6,G4251&gt;=7,H4251&gt;=6),"LOYAL CUSTOMER",AND(F4251&gt;=6,G4251&gt;=5,H4251&gt;=5),"POTENTIAL LOYALIST",AND(F4251&gt;=8,G4251&lt;=2,H4251&gt;=5),"NEW CUSTOMERS",AND(F4251&gt;=6,G4251&lt;=2,H4251&gt;=3),"PROMISING",AND(F4251&gt;=3,G4251&gt;=3,H4251&gt;=3),"NEED ATTENTION",AND(F4251&lt;=4,G4251&gt;=6,H4251&gt;=6),"AT RISK",AND(F4251&lt;=2,G4251&gt;=8,H4251&gt;=8),"CAN'T LOSE THEM",AND(F4251&lt;=2,G4251&lt;=2,H4251&lt;=2),"HIBERNATING",TRUE(),"Other")</f>
        <v>PROMISING</v>
      </c>
      <c r="K4251" s="1" t="n">
        <f aca="false">RANK(E4251,$E$7:$E$4378)+COUNTIF($E$7:E4251,E4251)-1</f>
        <v>3134</v>
      </c>
    </row>
    <row r="4252" customFormat="false" ht="14.25" hidden="false" customHeight="true" outlineLevel="0" collapsed="false">
      <c r="A4252" s="51" t="n">
        <v>18118</v>
      </c>
      <c r="B4252" s="53" t="n">
        <v>40876.4805555556</v>
      </c>
      <c r="C4252" s="57" t="n">
        <f aca="false">INT($C$2)-INT(Table3[[#This Row],[Last Purchase Date]])</f>
        <v>11</v>
      </c>
      <c r="D4252" s="1" t="n">
        <v>31</v>
      </c>
      <c r="E4252" s="1" t="n">
        <v>5595.76999999998</v>
      </c>
      <c r="F4252" s="1" t="n">
        <f aca="false">ROUND((1-_xlfn.PERCENTRANK.INC($C$7:$C$4378,C4252))*9,0)</f>
        <v>7</v>
      </c>
      <c r="G4252" s="1" t="n">
        <f aca="false">ROUND(_xlfn.PERCENTRANK.INC($D$7:$D$4378,D4252)*9,0)</f>
        <v>9</v>
      </c>
      <c r="H4252" s="1" t="n">
        <f aca="false">ROUND(_xlfn.PERCENTRANK.INC($E$7:$E$4378,E4252)*9,0)</f>
        <v>9</v>
      </c>
      <c r="I4252" s="1" t="str">
        <f aca="false">CONCATENATE(F4252,G4252,H4252)</f>
        <v>799</v>
      </c>
      <c r="J4252" s="1" t="str">
        <f aca="false">_xlfn.IFS(AND(F4252&gt;=8,G4252&gt;=8,H4252&gt;=8),"CHAMPION",AND(F4252&gt;=6,G4252&gt;=7,H4252&gt;=6),"LOYAL CUSTOMER",AND(F4252&gt;=6,G4252&gt;=5,H4252&gt;=5),"POTENTIAL LOYALIST",AND(F4252&gt;=8,G4252&lt;=2,H4252&gt;=5),"NEW CUSTOMERS",AND(F4252&gt;=6,G4252&lt;=2,H4252&gt;=3),"PROMISING",AND(F4252&gt;=3,G4252&gt;=3,H4252&gt;=3),"NEED ATTENTION",AND(F4252&lt;=4,G4252&gt;=6,H4252&gt;=6),"AT RISK",AND(F4252&lt;=2,G4252&gt;=8,H4252&gt;=8),"CAN'T LOSE THEM",AND(F4252&lt;=2,G4252&lt;=2,H4252&lt;=2),"HIBERNATING",TRUE(),"Other")</f>
        <v>LOYAL CUSTOMER</v>
      </c>
      <c r="K4252" s="1" t="n">
        <f aca="false">RANK(E4252,$E$7:$E$4378)+COUNTIF($E$7:E4252,E4252)-1</f>
        <v>222</v>
      </c>
    </row>
    <row r="4253" customFormat="false" ht="14.25" hidden="false" customHeight="true" outlineLevel="0" collapsed="false">
      <c r="A4253" s="51" t="n">
        <v>18119</v>
      </c>
      <c r="B4253" s="53" t="n">
        <v>40519.4993055556</v>
      </c>
      <c r="C4253" s="57" t="n">
        <f aca="false">INT($C$2)-INT(Table3[[#This Row],[Last Purchase Date]])</f>
        <v>368</v>
      </c>
      <c r="D4253" s="1" t="n">
        <v>1</v>
      </c>
      <c r="E4253" s="1" t="n">
        <v>181.12</v>
      </c>
      <c r="F4253" s="1" t="n">
        <f aca="false">ROUND((1-_xlfn.PERCENTRANK.INC($C$7:$C$4378,C4253))*9,0)</f>
        <v>0</v>
      </c>
      <c r="G4253" s="1" t="n">
        <f aca="false">ROUND(_xlfn.PERCENTRANK.INC($D$7:$D$4378,D4253)*9,0)</f>
        <v>0</v>
      </c>
      <c r="H4253" s="1" t="n">
        <f aca="false">ROUND(_xlfn.PERCENTRANK.INC($E$7:$E$4378,E4253)*9,0)</f>
        <v>1</v>
      </c>
      <c r="I4253" s="1" t="str">
        <f aca="false">CONCATENATE(F4253,G4253,H4253)</f>
        <v>001</v>
      </c>
      <c r="J4253" s="1" t="str">
        <f aca="false">_xlfn.IFS(AND(F4253&gt;=8,G4253&gt;=8,H4253&gt;=8),"CHAMPION",AND(F4253&gt;=6,G4253&gt;=7,H4253&gt;=6),"LOYAL CUSTOMER",AND(F4253&gt;=6,G4253&gt;=5,H4253&gt;=5),"POTENTIAL LOYALIST",AND(F4253&gt;=8,G4253&lt;=2,H4253&gt;=5),"NEW CUSTOMERS",AND(F4253&gt;=6,G4253&lt;=2,H4253&gt;=3),"PROMISING",AND(F4253&gt;=3,G4253&gt;=3,H4253&gt;=3),"NEED ATTENTION",AND(F4253&lt;=4,G4253&gt;=6,H4253&gt;=6),"AT RISK",AND(F4253&lt;=2,G4253&gt;=8,H4253&gt;=8),"CAN'T LOSE THEM",AND(F4253&lt;=2,G4253&lt;=2,H4253&lt;=2),"HIBERNATING",TRUE(),"Other")</f>
        <v>HIBERNATING</v>
      </c>
      <c r="K4253" s="1" t="n">
        <f aca="false">RANK(E4253,$E$7:$E$4378)+COUNTIF($E$7:E4253,E4253)-1</f>
        <v>3742</v>
      </c>
    </row>
    <row r="4254" customFormat="false" ht="14.25" hidden="false" customHeight="true" outlineLevel="0" collapsed="false">
      <c r="A4254" s="51" t="n">
        <v>18120</v>
      </c>
      <c r="B4254" s="53" t="n">
        <v>40672.5729166667</v>
      </c>
      <c r="C4254" s="57" t="n">
        <f aca="false">INT($C$2)-INT(Table3[[#This Row],[Last Purchase Date]])</f>
        <v>215</v>
      </c>
      <c r="D4254" s="1" t="n">
        <v>1</v>
      </c>
      <c r="E4254" s="1" t="n">
        <v>111.15</v>
      </c>
      <c r="F4254" s="1" t="n">
        <f aca="false">ROUND((1-_xlfn.PERCENTRANK.INC($C$7:$C$4378,C4254))*9,0)</f>
        <v>1</v>
      </c>
      <c r="G4254" s="1" t="n">
        <f aca="false">ROUND(_xlfn.PERCENTRANK.INC($D$7:$D$4378,D4254)*9,0)</f>
        <v>0</v>
      </c>
      <c r="H4254" s="1" t="n">
        <f aca="false">ROUND(_xlfn.PERCENTRANK.INC($E$7:$E$4378,E4254)*9,0)</f>
        <v>1</v>
      </c>
      <c r="I4254" s="1" t="str">
        <f aca="false">CONCATENATE(F4254,G4254,H4254)</f>
        <v>101</v>
      </c>
      <c r="J4254" s="1" t="str">
        <f aca="false">_xlfn.IFS(AND(F4254&gt;=8,G4254&gt;=8,H4254&gt;=8),"CHAMPION",AND(F4254&gt;=6,G4254&gt;=7,H4254&gt;=6),"LOYAL CUSTOMER",AND(F4254&gt;=6,G4254&gt;=5,H4254&gt;=5),"POTENTIAL LOYALIST",AND(F4254&gt;=8,G4254&lt;=2,H4254&gt;=5),"NEW CUSTOMERS",AND(F4254&gt;=6,G4254&lt;=2,H4254&gt;=3),"PROMISING",AND(F4254&gt;=3,G4254&gt;=3,H4254&gt;=3),"NEED ATTENTION",AND(F4254&lt;=4,G4254&gt;=6,H4254&gt;=6),"AT RISK",AND(F4254&lt;=2,G4254&gt;=8,H4254&gt;=8),"CAN'T LOSE THEM",AND(F4254&lt;=2,G4254&lt;=2,H4254&lt;=2),"HIBERNATING",TRUE(),"Other")</f>
        <v>HIBERNATING</v>
      </c>
      <c r="K4254" s="1" t="n">
        <f aca="false">RANK(E4254,$E$7:$E$4378)+COUNTIF($E$7:E4254,E4254)-1</f>
        <v>4104</v>
      </c>
    </row>
    <row r="4255" customFormat="false" ht="14.25" hidden="false" customHeight="true" outlineLevel="0" collapsed="false">
      <c r="A4255" s="51" t="n">
        <v>18121</v>
      </c>
      <c r="B4255" s="53" t="n">
        <v>40737.5368055556</v>
      </c>
      <c r="C4255" s="57" t="n">
        <f aca="false">INT($C$2)-INT(Table3[[#This Row],[Last Purchase Date]])</f>
        <v>150</v>
      </c>
      <c r="D4255" s="1" t="n">
        <v>2</v>
      </c>
      <c r="E4255" s="1" t="n">
        <v>673.1</v>
      </c>
      <c r="F4255" s="1" t="n">
        <f aca="false">ROUND((1-_xlfn.PERCENTRANK.INC($C$7:$C$4378,C4255))*9,0)</f>
        <v>2</v>
      </c>
      <c r="G4255" s="1" t="n">
        <f aca="false">ROUND(_xlfn.PERCENTRANK.INC($D$7:$D$4378,D4255)*9,0)</f>
        <v>3</v>
      </c>
      <c r="H4255" s="1" t="n">
        <f aca="false">ROUND(_xlfn.PERCENTRANK.INC($E$7:$E$4378,E4255)*9,0)</f>
        <v>5</v>
      </c>
      <c r="I4255" s="1" t="str">
        <f aca="false">CONCATENATE(F4255,G4255,H4255)</f>
        <v>235</v>
      </c>
      <c r="J4255" s="1" t="str">
        <f aca="false">_xlfn.IFS(AND(F4255&gt;=8,G4255&gt;=8,H4255&gt;=8),"CHAMPION",AND(F4255&gt;=6,G4255&gt;=7,H4255&gt;=6),"LOYAL CUSTOMER",AND(F4255&gt;=6,G4255&gt;=5,H4255&gt;=5),"POTENTIAL LOYALIST",AND(F4255&gt;=8,G4255&lt;=2,H4255&gt;=5),"NEW CUSTOMERS",AND(F4255&gt;=6,G4255&lt;=2,H4255&gt;=3),"PROMISING",AND(F4255&gt;=3,G4255&gt;=3,H4255&gt;=3),"NEED ATTENTION",AND(F4255&lt;=4,G4255&gt;=6,H4255&gt;=6),"AT RISK",AND(F4255&lt;=2,G4255&gt;=8,H4255&gt;=8),"CAN'T LOSE THEM",AND(F4255&lt;=2,G4255&lt;=2,H4255&lt;=2),"HIBERNATING",TRUE(),"Other")</f>
        <v>Other</v>
      </c>
      <c r="K4255" s="1" t="n">
        <f aca="false">RANK(E4255,$E$7:$E$4378)+COUNTIF($E$7:E4255,E4255)-1</f>
        <v>2123</v>
      </c>
    </row>
    <row r="4256" customFormat="false" ht="14.25" hidden="false" customHeight="true" outlineLevel="0" collapsed="false">
      <c r="A4256" s="51" t="n">
        <v>18122</v>
      </c>
      <c r="B4256" s="53" t="n">
        <v>40878.5472222222</v>
      </c>
      <c r="C4256" s="57" t="n">
        <f aca="false">INT($C$2)-INT(Table3[[#This Row],[Last Purchase Date]])</f>
        <v>9</v>
      </c>
      <c r="D4256" s="1" t="n">
        <v>6</v>
      </c>
      <c r="E4256" s="1" t="n">
        <v>1826.21</v>
      </c>
      <c r="F4256" s="1" t="n">
        <f aca="false">ROUND((1-_xlfn.PERCENTRANK.INC($C$7:$C$4378,C4256))*9,0)</f>
        <v>8</v>
      </c>
      <c r="G4256" s="1" t="n">
        <f aca="false">ROUND(_xlfn.PERCENTRANK.INC($D$7:$D$4378,D4256)*9,0)</f>
        <v>7</v>
      </c>
      <c r="H4256" s="1" t="n">
        <f aca="false">ROUND(_xlfn.PERCENTRANK.INC($E$7:$E$4378,E4256)*9,0)</f>
        <v>7</v>
      </c>
      <c r="I4256" s="1" t="str">
        <f aca="false">CONCATENATE(F4256,G4256,H4256)</f>
        <v>877</v>
      </c>
      <c r="J4256" s="1" t="str">
        <f aca="false">_xlfn.IFS(AND(F4256&gt;=8,G4256&gt;=8,H4256&gt;=8),"CHAMPION",AND(F4256&gt;=6,G4256&gt;=7,H4256&gt;=6),"LOYAL CUSTOMER",AND(F4256&gt;=6,G4256&gt;=5,H4256&gt;=5),"POTENTIAL LOYALIST",AND(F4256&gt;=8,G4256&lt;=2,H4256&gt;=5),"NEW CUSTOMERS",AND(F4256&gt;=6,G4256&lt;=2,H4256&gt;=3),"PROMISING",AND(F4256&gt;=3,G4256&gt;=3,H4256&gt;=3),"NEED ATTENTION",AND(F4256&lt;=4,G4256&gt;=6,H4256&gt;=6),"AT RISK",AND(F4256&lt;=2,G4256&gt;=8,H4256&gt;=8),"CAN'T LOSE THEM",AND(F4256&lt;=2,G4256&lt;=2,H4256&lt;=2),"HIBERNATING",TRUE(),"Other")</f>
        <v>LOYAL CUSTOMER</v>
      </c>
      <c r="K4256" s="1" t="n">
        <f aca="false">RANK(E4256,$E$7:$E$4378)+COUNTIF($E$7:E4256,E4256)-1</f>
        <v>962</v>
      </c>
    </row>
    <row r="4257" customFormat="false" ht="14.25" hidden="false" customHeight="true" outlineLevel="0" collapsed="false">
      <c r="A4257" s="51" t="n">
        <v>18123</v>
      </c>
      <c r="B4257" s="53" t="n">
        <v>40862.5993055556</v>
      </c>
      <c r="C4257" s="57" t="n">
        <f aca="false">INT($C$2)-INT(Table3[[#This Row],[Last Purchase Date]])</f>
        <v>25</v>
      </c>
      <c r="D4257" s="1" t="n">
        <v>2</v>
      </c>
      <c r="E4257" s="1" t="n">
        <v>589.44</v>
      </c>
      <c r="F4257" s="1" t="n">
        <f aca="false">ROUND((1-_xlfn.PERCENTRANK.INC($C$7:$C$4378,C4257))*9,0)</f>
        <v>6</v>
      </c>
      <c r="G4257" s="1" t="n">
        <f aca="false">ROUND(_xlfn.PERCENTRANK.INC($D$7:$D$4378,D4257)*9,0)</f>
        <v>3</v>
      </c>
      <c r="H4257" s="1" t="n">
        <f aca="false">ROUND(_xlfn.PERCENTRANK.INC($E$7:$E$4378,E4257)*9,0)</f>
        <v>4</v>
      </c>
      <c r="I4257" s="1" t="str">
        <f aca="false">CONCATENATE(F4257,G4257,H4257)</f>
        <v>634</v>
      </c>
      <c r="J4257" s="1" t="str">
        <f aca="false">_xlfn.IFS(AND(F4257&gt;=8,G4257&gt;=8,H4257&gt;=8),"CHAMPION",AND(F4257&gt;=6,G4257&gt;=7,H4257&gt;=6),"LOYAL CUSTOMER",AND(F4257&gt;=6,G4257&gt;=5,H4257&gt;=5),"POTENTIAL LOYALIST",AND(F4257&gt;=8,G4257&lt;=2,H4257&gt;=5),"NEW CUSTOMERS",AND(F4257&gt;=6,G4257&lt;=2,H4257&gt;=3),"PROMISING",AND(F4257&gt;=3,G4257&gt;=3,H4257&gt;=3),"NEED ATTENTION",AND(F4257&lt;=4,G4257&gt;=6,H4257&gt;=6),"AT RISK",AND(F4257&lt;=2,G4257&gt;=8,H4257&gt;=8),"CAN'T LOSE THEM",AND(F4257&lt;=2,G4257&lt;=2,H4257&lt;=2),"HIBERNATING",TRUE(),"Other")</f>
        <v>NEED ATTENTION</v>
      </c>
      <c r="K4257" s="1" t="n">
        <f aca="false">RANK(E4257,$E$7:$E$4378)+COUNTIF($E$7:E4257,E4257)-1</f>
        <v>2349</v>
      </c>
    </row>
    <row r="4258" customFormat="false" ht="14.25" hidden="false" customHeight="true" outlineLevel="0" collapsed="false">
      <c r="A4258" s="51" t="n">
        <v>18125</v>
      </c>
      <c r="B4258" s="53" t="n">
        <v>40857.5201388889</v>
      </c>
      <c r="C4258" s="57" t="n">
        <f aca="false">INT($C$2)-INT(Table3[[#This Row],[Last Purchase Date]])</f>
        <v>30</v>
      </c>
      <c r="D4258" s="1" t="n">
        <v>5</v>
      </c>
      <c r="E4258" s="1" t="n">
        <v>1141.34</v>
      </c>
      <c r="F4258" s="1" t="n">
        <f aca="false">ROUND((1-_xlfn.PERCENTRANK.INC($C$7:$C$4378,C4258))*9,0)</f>
        <v>6</v>
      </c>
      <c r="G4258" s="1" t="n">
        <f aca="false">ROUND(_xlfn.PERCENTRANK.INC($D$7:$D$4378,D4258)*9,0)</f>
        <v>6</v>
      </c>
      <c r="H4258" s="1" t="n">
        <f aca="false">ROUND(_xlfn.PERCENTRANK.INC($E$7:$E$4378,E4258)*9,0)</f>
        <v>6</v>
      </c>
      <c r="I4258" s="1" t="str">
        <f aca="false">CONCATENATE(F4258,G4258,H4258)</f>
        <v>666</v>
      </c>
      <c r="J4258" s="1" t="str">
        <f aca="false">_xlfn.IFS(AND(F4258&gt;=8,G4258&gt;=8,H4258&gt;=8),"CHAMPION",AND(F4258&gt;=6,G4258&gt;=7,H4258&gt;=6),"LOYAL CUSTOMER",AND(F4258&gt;=6,G4258&gt;=5,H4258&gt;=5),"POTENTIAL LOYALIST",AND(F4258&gt;=8,G4258&lt;=2,H4258&gt;=5),"NEW CUSTOMERS",AND(F4258&gt;=6,G4258&lt;=2,H4258&gt;=3),"PROMISING",AND(F4258&gt;=3,G4258&gt;=3,H4258&gt;=3),"NEED ATTENTION",AND(F4258&lt;=4,G4258&gt;=6,H4258&gt;=6),"AT RISK",AND(F4258&lt;=2,G4258&gt;=8,H4258&gt;=8),"CAN'T LOSE THEM",AND(F4258&lt;=2,G4258&lt;=2,H4258&lt;=2),"HIBERNATING",TRUE(),"Other")</f>
        <v>POTENTIAL LOYALIST</v>
      </c>
      <c r="K4258" s="1" t="n">
        <f aca="false">RANK(E4258,$E$7:$E$4378)+COUNTIF($E$7:E4258,E4258)-1</f>
        <v>1457</v>
      </c>
    </row>
    <row r="4259" customFormat="false" ht="14.25" hidden="false" customHeight="true" outlineLevel="0" collapsed="false">
      <c r="A4259" s="51" t="n">
        <v>18126</v>
      </c>
      <c r="B4259" s="53" t="n">
        <v>40826.5131944444</v>
      </c>
      <c r="C4259" s="57" t="n">
        <f aca="false">INT($C$2)-INT(Table3[[#This Row],[Last Purchase Date]])</f>
        <v>61</v>
      </c>
      <c r="D4259" s="1" t="n">
        <v>1</v>
      </c>
      <c r="E4259" s="1" t="n">
        <v>206.83</v>
      </c>
      <c r="F4259" s="1" t="n">
        <f aca="false">ROUND((1-_xlfn.PERCENTRANK.INC($C$7:$C$4378,C4259))*9,0)</f>
        <v>4</v>
      </c>
      <c r="G4259" s="1" t="n">
        <f aca="false">ROUND(_xlfn.PERCENTRANK.INC($D$7:$D$4378,D4259)*9,0)</f>
        <v>0</v>
      </c>
      <c r="H4259" s="1" t="n">
        <f aca="false">ROUND(_xlfn.PERCENTRANK.INC($E$7:$E$4378,E4259)*9,0)</f>
        <v>2</v>
      </c>
      <c r="I4259" s="1" t="str">
        <f aca="false">CONCATENATE(F4259,G4259,H4259)</f>
        <v>402</v>
      </c>
      <c r="J4259" s="1" t="str">
        <f aca="false">_xlfn.IFS(AND(F4259&gt;=8,G4259&gt;=8,H4259&gt;=8),"CHAMPION",AND(F4259&gt;=6,G4259&gt;=7,H4259&gt;=6),"LOYAL CUSTOMER",AND(F4259&gt;=6,G4259&gt;=5,H4259&gt;=5),"POTENTIAL LOYALIST",AND(F4259&gt;=8,G4259&lt;=2,H4259&gt;=5),"NEW CUSTOMERS",AND(F4259&gt;=6,G4259&lt;=2,H4259&gt;=3),"PROMISING",AND(F4259&gt;=3,G4259&gt;=3,H4259&gt;=3),"NEED ATTENTION",AND(F4259&lt;=4,G4259&gt;=6,H4259&gt;=6),"AT RISK",AND(F4259&lt;=2,G4259&gt;=8,H4259&gt;=8),"CAN'T LOSE THEM",AND(F4259&lt;=2,G4259&lt;=2,H4259&lt;=2),"HIBERNATING",TRUE(),"Other")</f>
        <v>Other</v>
      </c>
      <c r="K4259" s="1" t="n">
        <f aca="false">RANK(E4259,$E$7:$E$4378)+COUNTIF($E$7:E4259,E4259)-1</f>
        <v>3629</v>
      </c>
    </row>
    <row r="4260" customFormat="false" ht="14.25" hidden="false" customHeight="true" outlineLevel="0" collapsed="false">
      <c r="A4260" s="51" t="n">
        <v>18127</v>
      </c>
      <c r="B4260" s="53" t="n">
        <v>40867.5868055556</v>
      </c>
      <c r="C4260" s="57" t="n">
        <f aca="false">INT($C$2)-INT(Table3[[#This Row],[Last Purchase Date]])</f>
        <v>20</v>
      </c>
      <c r="D4260" s="1" t="n">
        <v>3</v>
      </c>
      <c r="E4260" s="1" t="n">
        <v>348.73</v>
      </c>
      <c r="F4260" s="1" t="n">
        <f aca="false">ROUND((1-_xlfn.PERCENTRANK.INC($C$7:$C$4378,C4260))*9,0)</f>
        <v>6</v>
      </c>
      <c r="G4260" s="1" t="n">
        <f aca="false">ROUND(_xlfn.PERCENTRANK.INC($D$7:$D$4378,D4260)*9,0)</f>
        <v>4</v>
      </c>
      <c r="H4260" s="1" t="n">
        <f aca="false">ROUND(_xlfn.PERCENTRANK.INC($E$7:$E$4378,E4260)*9,0)</f>
        <v>3</v>
      </c>
      <c r="I4260" s="1" t="str">
        <f aca="false">CONCATENATE(F4260,G4260,H4260)</f>
        <v>643</v>
      </c>
      <c r="J4260" s="1" t="str">
        <f aca="false">_xlfn.IFS(AND(F4260&gt;=8,G4260&gt;=8,H4260&gt;=8),"CHAMPION",AND(F4260&gt;=6,G4260&gt;=7,H4260&gt;=6),"LOYAL CUSTOMER",AND(F4260&gt;=6,G4260&gt;=5,H4260&gt;=5),"POTENTIAL LOYALIST",AND(F4260&gt;=8,G4260&lt;=2,H4260&gt;=5),"NEW CUSTOMERS",AND(F4260&gt;=6,G4260&lt;=2,H4260&gt;=3),"PROMISING",AND(F4260&gt;=3,G4260&gt;=3,H4260&gt;=3),"NEED ATTENTION",AND(F4260&lt;=4,G4260&gt;=6,H4260&gt;=6),"AT RISK",AND(F4260&lt;=2,G4260&gt;=8,H4260&gt;=8),"CAN'T LOSE THEM",AND(F4260&lt;=2,G4260&lt;=2,H4260&lt;=2),"HIBERNATING",TRUE(),"Other")</f>
        <v>NEED ATTENTION</v>
      </c>
      <c r="K4260" s="1" t="n">
        <f aca="false">RANK(E4260,$E$7:$E$4378)+COUNTIF($E$7:E4260,E4260)-1</f>
        <v>3014</v>
      </c>
    </row>
    <row r="4261" customFormat="false" ht="14.25" hidden="false" customHeight="true" outlineLevel="0" collapsed="false">
      <c r="A4261" s="51" t="n">
        <v>18129</v>
      </c>
      <c r="B4261" s="53" t="n">
        <v>40643.5944444445</v>
      </c>
      <c r="C4261" s="57" t="n">
        <f aca="false">INT($C$2)-INT(Table3[[#This Row],[Last Purchase Date]])</f>
        <v>244</v>
      </c>
      <c r="D4261" s="1" t="n">
        <v>1</v>
      </c>
      <c r="E4261" s="1" t="n">
        <v>112.55</v>
      </c>
      <c r="F4261" s="1" t="n">
        <f aca="false">ROUND((1-_xlfn.PERCENTRANK.INC($C$7:$C$4378,C4261))*9,0)</f>
        <v>1</v>
      </c>
      <c r="G4261" s="1" t="n">
        <f aca="false">ROUND(_xlfn.PERCENTRANK.INC($D$7:$D$4378,D4261)*9,0)</f>
        <v>0</v>
      </c>
      <c r="H4261" s="1" t="n">
        <f aca="false">ROUND(_xlfn.PERCENTRANK.INC($E$7:$E$4378,E4261)*9,0)</f>
        <v>1</v>
      </c>
      <c r="I4261" s="1" t="str">
        <f aca="false">CONCATENATE(F4261,G4261,H4261)</f>
        <v>101</v>
      </c>
      <c r="J4261" s="1" t="str">
        <f aca="false">_xlfn.IFS(AND(F4261&gt;=8,G4261&gt;=8,H4261&gt;=8),"CHAMPION",AND(F4261&gt;=6,G4261&gt;=7,H4261&gt;=6),"LOYAL CUSTOMER",AND(F4261&gt;=6,G4261&gt;=5,H4261&gt;=5),"POTENTIAL LOYALIST",AND(F4261&gt;=8,G4261&lt;=2,H4261&gt;=5),"NEW CUSTOMERS",AND(F4261&gt;=6,G4261&lt;=2,H4261&gt;=3),"PROMISING",AND(F4261&gt;=3,G4261&gt;=3,H4261&gt;=3),"NEED ATTENTION",AND(F4261&lt;=4,G4261&gt;=6,H4261&gt;=6),"AT RISK",AND(F4261&lt;=2,G4261&gt;=8,H4261&gt;=8),"CAN'T LOSE THEM",AND(F4261&lt;=2,G4261&lt;=2,H4261&lt;=2),"HIBERNATING",TRUE(),"Other")</f>
        <v>HIBERNATING</v>
      </c>
      <c r="K4261" s="1" t="n">
        <f aca="false">RANK(E4261,$E$7:$E$4378)+COUNTIF($E$7:E4261,E4261)-1</f>
        <v>4095</v>
      </c>
    </row>
    <row r="4262" customFormat="false" ht="14.25" hidden="false" customHeight="true" outlineLevel="0" collapsed="false">
      <c r="A4262" s="51" t="n">
        <v>18130</v>
      </c>
      <c r="B4262" s="53" t="n">
        <v>40878.3618055556</v>
      </c>
      <c r="C4262" s="57" t="n">
        <f aca="false">INT($C$2)-INT(Table3[[#This Row],[Last Purchase Date]])</f>
        <v>9</v>
      </c>
      <c r="D4262" s="1" t="n">
        <v>4</v>
      </c>
      <c r="E4262" s="1" t="n">
        <v>1045.74</v>
      </c>
      <c r="F4262" s="1" t="n">
        <f aca="false">ROUND((1-_xlfn.PERCENTRANK.INC($C$7:$C$4378,C4262))*9,0)</f>
        <v>8</v>
      </c>
      <c r="G4262" s="1" t="n">
        <f aca="false">ROUND(_xlfn.PERCENTRANK.INC($D$7:$D$4378,D4262)*9,0)</f>
        <v>5</v>
      </c>
      <c r="H4262" s="1" t="n">
        <f aca="false">ROUND(_xlfn.PERCENTRANK.INC($E$7:$E$4378,E4262)*9,0)</f>
        <v>6</v>
      </c>
      <c r="I4262" s="1" t="str">
        <f aca="false">CONCATENATE(F4262,G4262,H4262)</f>
        <v>856</v>
      </c>
      <c r="J4262" s="1" t="str">
        <f aca="false">_xlfn.IFS(AND(F4262&gt;=8,G4262&gt;=8,H4262&gt;=8),"CHAMPION",AND(F4262&gt;=6,G4262&gt;=7,H4262&gt;=6),"LOYAL CUSTOMER",AND(F4262&gt;=6,G4262&gt;=5,H4262&gt;=5),"POTENTIAL LOYALIST",AND(F4262&gt;=8,G4262&lt;=2,H4262&gt;=5),"NEW CUSTOMERS",AND(F4262&gt;=6,G4262&lt;=2,H4262&gt;=3),"PROMISING",AND(F4262&gt;=3,G4262&gt;=3,H4262&gt;=3),"NEED ATTENTION",AND(F4262&lt;=4,G4262&gt;=6,H4262&gt;=6),"AT RISK",AND(F4262&lt;=2,G4262&gt;=8,H4262&gt;=8),"CAN'T LOSE THEM",AND(F4262&lt;=2,G4262&lt;=2,H4262&lt;=2),"HIBERNATING",TRUE(),"Other")</f>
        <v>POTENTIAL LOYALIST</v>
      </c>
      <c r="K4262" s="1" t="n">
        <f aca="false">RANK(E4262,$E$7:$E$4378)+COUNTIF($E$7:E4262,E4262)-1</f>
        <v>1569</v>
      </c>
    </row>
    <row r="4263" customFormat="false" ht="14.25" hidden="false" customHeight="true" outlineLevel="0" collapsed="false">
      <c r="A4263" s="51" t="n">
        <v>18133</v>
      </c>
      <c r="B4263" s="53" t="n">
        <v>40675.6381944444</v>
      </c>
      <c r="C4263" s="57" t="n">
        <f aca="false">INT($C$2)-INT(Table3[[#This Row],[Last Purchase Date]])</f>
        <v>212</v>
      </c>
      <c r="D4263" s="1" t="n">
        <v>2</v>
      </c>
      <c r="E4263" s="1" t="n">
        <v>715.5</v>
      </c>
      <c r="F4263" s="1" t="n">
        <f aca="false">ROUND((1-_xlfn.PERCENTRANK.INC($C$7:$C$4378,C4263))*9,0)</f>
        <v>1</v>
      </c>
      <c r="G4263" s="1" t="n">
        <f aca="false">ROUND(_xlfn.PERCENTRANK.INC($D$7:$D$4378,D4263)*9,0)</f>
        <v>3</v>
      </c>
      <c r="H4263" s="1" t="n">
        <f aca="false">ROUND(_xlfn.PERCENTRANK.INC($E$7:$E$4378,E4263)*9,0)</f>
        <v>5</v>
      </c>
      <c r="I4263" s="1" t="str">
        <f aca="false">CONCATENATE(F4263,G4263,H4263)</f>
        <v>135</v>
      </c>
      <c r="J4263" s="1" t="str">
        <f aca="false">_xlfn.IFS(AND(F4263&gt;=8,G4263&gt;=8,H4263&gt;=8),"CHAMPION",AND(F4263&gt;=6,G4263&gt;=7,H4263&gt;=6),"LOYAL CUSTOMER",AND(F4263&gt;=6,G4263&gt;=5,H4263&gt;=5),"POTENTIAL LOYALIST",AND(F4263&gt;=8,G4263&lt;=2,H4263&gt;=5),"NEW CUSTOMERS",AND(F4263&gt;=6,G4263&lt;=2,H4263&gt;=3),"PROMISING",AND(F4263&gt;=3,G4263&gt;=3,H4263&gt;=3),"NEED ATTENTION",AND(F4263&lt;=4,G4263&gt;=6,H4263&gt;=6),"AT RISK",AND(F4263&lt;=2,G4263&gt;=8,H4263&gt;=8),"CAN'T LOSE THEM",AND(F4263&lt;=2,G4263&lt;=2,H4263&lt;=2),"HIBERNATING",TRUE(),"Other")</f>
        <v>Other</v>
      </c>
      <c r="K4263" s="1" t="n">
        <f aca="false">RANK(E4263,$E$7:$E$4378)+COUNTIF($E$7:E4263,E4263)-1</f>
        <v>2035</v>
      </c>
    </row>
    <row r="4264" customFormat="false" ht="14.25" hidden="false" customHeight="true" outlineLevel="0" collapsed="false">
      <c r="A4264" s="51" t="n">
        <v>18135</v>
      </c>
      <c r="B4264" s="53" t="n">
        <v>40857.8138888889</v>
      </c>
      <c r="C4264" s="57" t="n">
        <f aca="false">INT($C$2)-INT(Table3[[#This Row],[Last Purchase Date]])</f>
        <v>30</v>
      </c>
      <c r="D4264" s="1" t="n">
        <v>5</v>
      </c>
      <c r="E4264" s="1" t="n">
        <v>681.91</v>
      </c>
      <c r="F4264" s="1" t="n">
        <f aca="false">ROUND((1-_xlfn.PERCENTRANK.INC($C$7:$C$4378,C4264))*9,0)</f>
        <v>6</v>
      </c>
      <c r="G4264" s="1" t="n">
        <f aca="false">ROUND(_xlfn.PERCENTRANK.INC($D$7:$D$4378,D4264)*9,0)</f>
        <v>6</v>
      </c>
      <c r="H4264" s="1" t="n">
        <f aca="false">ROUND(_xlfn.PERCENTRANK.INC($E$7:$E$4378,E4264)*9,0)</f>
        <v>5</v>
      </c>
      <c r="I4264" s="1" t="str">
        <f aca="false">CONCATENATE(F4264,G4264,H4264)</f>
        <v>665</v>
      </c>
      <c r="J4264" s="1" t="str">
        <f aca="false">_xlfn.IFS(AND(F4264&gt;=8,G4264&gt;=8,H4264&gt;=8),"CHAMPION",AND(F4264&gt;=6,G4264&gt;=7,H4264&gt;=6),"LOYAL CUSTOMER",AND(F4264&gt;=6,G4264&gt;=5,H4264&gt;=5),"POTENTIAL LOYALIST",AND(F4264&gt;=8,G4264&lt;=2,H4264&gt;=5),"NEW CUSTOMERS",AND(F4264&gt;=6,G4264&lt;=2,H4264&gt;=3),"PROMISING",AND(F4264&gt;=3,G4264&gt;=3,H4264&gt;=3),"NEED ATTENTION",AND(F4264&lt;=4,G4264&gt;=6,H4264&gt;=6),"AT RISK",AND(F4264&lt;=2,G4264&gt;=8,H4264&gt;=8),"CAN'T LOSE THEM",AND(F4264&lt;=2,G4264&lt;=2,H4264&lt;=2),"HIBERNATING",TRUE(),"Other")</f>
        <v>POTENTIAL LOYALIST</v>
      </c>
      <c r="K4264" s="1" t="n">
        <f aca="false">RANK(E4264,$E$7:$E$4378)+COUNTIF($E$7:E4264,E4264)-1</f>
        <v>2099</v>
      </c>
    </row>
    <row r="4265" customFormat="false" ht="14.25" hidden="false" customHeight="true" outlineLevel="0" collapsed="false">
      <c r="A4265" s="51" t="n">
        <v>18136</v>
      </c>
      <c r="B4265" s="53" t="n">
        <v>40823.6527777778</v>
      </c>
      <c r="C4265" s="57" t="n">
        <f aca="false">INT($C$2)-INT(Table3[[#This Row],[Last Purchase Date]])</f>
        <v>64</v>
      </c>
      <c r="D4265" s="1" t="n">
        <v>4</v>
      </c>
      <c r="E4265" s="1" t="n">
        <v>761.83</v>
      </c>
      <c r="F4265" s="1" t="n">
        <f aca="false">ROUND((1-_xlfn.PERCENTRANK.INC($C$7:$C$4378,C4265))*9,0)</f>
        <v>4</v>
      </c>
      <c r="G4265" s="1" t="n">
        <f aca="false">ROUND(_xlfn.PERCENTRANK.INC($D$7:$D$4378,D4265)*9,0)</f>
        <v>5</v>
      </c>
      <c r="H4265" s="1" t="n">
        <f aca="false">ROUND(_xlfn.PERCENTRANK.INC($E$7:$E$4378,E4265)*9,0)</f>
        <v>5</v>
      </c>
      <c r="I4265" s="1" t="str">
        <f aca="false">CONCATENATE(F4265,G4265,H4265)</f>
        <v>455</v>
      </c>
      <c r="J4265" s="1" t="str">
        <f aca="false">_xlfn.IFS(AND(F4265&gt;=8,G4265&gt;=8,H4265&gt;=8),"CHAMPION",AND(F4265&gt;=6,G4265&gt;=7,H4265&gt;=6),"LOYAL CUSTOMER",AND(F4265&gt;=6,G4265&gt;=5,H4265&gt;=5),"POTENTIAL LOYALIST",AND(F4265&gt;=8,G4265&lt;=2,H4265&gt;=5),"NEW CUSTOMERS",AND(F4265&gt;=6,G4265&lt;=2,H4265&gt;=3),"PROMISING",AND(F4265&gt;=3,G4265&gt;=3,H4265&gt;=3),"NEED ATTENTION",AND(F4265&lt;=4,G4265&gt;=6,H4265&gt;=6),"AT RISK",AND(F4265&lt;=2,G4265&gt;=8,H4265&gt;=8),"CAN'T LOSE THEM",AND(F4265&lt;=2,G4265&lt;=2,H4265&lt;=2),"HIBERNATING",TRUE(),"Other")</f>
        <v>NEED ATTENTION</v>
      </c>
      <c r="K4265" s="1" t="n">
        <f aca="false">RANK(E4265,$E$7:$E$4378)+COUNTIF($E$7:E4265,E4265)-1</f>
        <v>1961</v>
      </c>
    </row>
    <row r="4266" customFormat="false" ht="14.25" hidden="false" customHeight="true" outlineLevel="0" collapsed="false">
      <c r="A4266" s="51" t="n">
        <v>18138</v>
      </c>
      <c r="B4266" s="53" t="n">
        <v>40591.61875</v>
      </c>
      <c r="C4266" s="57" t="n">
        <f aca="false">INT($C$2)-INT(Table3[[#This Row],[Last Purchase Date]])</f>
        <v>296</v>
      </c>
      <c r="D4266" s="1" t="n">
        <v>1</v>
      </c>
      <c r="E4266" s="1" t="n">
        <v>152.65</v>
      </c>
      <c r="F4266" s="1" t="n">
        <f aca="false">ROUND((1-_xlfn.PERCENTRANK.INC($C$7:$C$4378,C4266))*9,0)</f>
        <v>1</v>
      </c>
      <c r="G4266" s="1" t="n">
        <f aca="false">ROUND(_xlfn.PERCENTRANK.INC($D$7:$D$4378,D4266)*9,0)</f>
        <v>0</v>
      </c>
      <c r="H4266" s="1" t="n">
        <f aca="false">ROUND(_xlfn.PERCENTRANK.INC($E$7:$E$4378,E4266)*9,0)</f>
        <v>1</v>
      </c>
      <c r="I4266" s="1" t="str">
        <f aca="false">CONCATENATE(F4266,G4266,H4266)</f>
        <v>101</v>
      </c>
      <c r="J4266" s="1" t="str">
        <f aca="false">_xlfn.IFS(AND(F4266&gt;=8,G4266&gt;=8,H4266&gt;=8),"CHAMPION",AND(F4266&gt;=6,G4266&gt;=7,H4266&gt;=6),"LOYAL CUSTOMER",AND(F4266&gt;=6,G4266&gt;=5,H4266&gt;=5),"POTENTIAL LOYALIST",AND(F4266&gt;=8,G4266&lt;=2,H4266&gt;=5),"NEW CUSTOMERS",AND(F4266&gt;=6,G4266&lt;=2,H4266&gt;=3),"PROMISING",AND(F4266&gt;=3,G4266&gt;=3,H4266&gt;=3),"NEED ATTENTION",AND(F4266&lt;=4,G4266&gt;=6,H4266&gt;=6),"AT RISK",AND(F4266&lt;=2,G4266&gt;=8,H4266&gt;=8),"CAN'T LOSE THEM",AND(F4266&lt;=2,G4266&lt;=2,H4266&lt;=2),"HIBERNATING",TRUE(),"Other")</f>
        <v>HIBERNATING</v>
      </c>
      <c r="K4266" s="1" t="n">
        <f aca="false">RANK(E4266,$E$7:$E$4378)+COUNTIF($E$7:E4266,E4266)-1</f>
        <v>3903</v>
      </c>
    </row>
    <row r="4267" customFormat="false" ht="14.25" hidden="false" customHeight="true" outlineLevel="0" collapsed="false">
      <c r="A4267" s="51" t="n">
        <v>18139</v>
      </c>
      <c r="B4267" s="53" t="n">
        <v>40869.6791666667</v>
      </c>
      <c r="C4267" s="57" t="n">
        <f aca="false">INT($C$2)-INT(Table3[[#This Row],[Last Purchase Date]])</f>
        <v>18</v>
      </c>
      <c r="D4267" s="1" t="n">
        <v>8</v>
      </c>
      <c r="E4267" s="1" t="n">
        <v>8393.22</v>
      </c>
      <c r="F4267" s="1" t="n">
        <f aca="false">ROUND((1-_xlfn.PERCENTRANK.INC($C$7:$C$4378,C4267))*9,0)</f>
        <v>7</v>
      </c>
      <c r="G4267" s="1" t="n">
        <f aca="false">ROUND(_xlfn.PERCENTRANK.INC($D$7:$D$4378,D4267)*9,0)</f>
        <v>7</v>
      </c>
      <c r="H4267" s="1" t="n">
        <f aca="false">ROUND(_xlfn.PERCENTRANK.INC($E$7:$E$4378,E4267)*9,0)</f>
        <v>9</v>
      </c>
      <c r="I4267" s="1" t="str">
        <f aca="false">CONCATENATE(F4267,G4267,H4267)</f>
        <v>779</v>
      </c>
      <c r="J4267" s="1" t="str">
        <f aca="false">_xlfn.IFS(AND(F4267&gt;=8,G4267&gt;=8,H4267&gt;=8),"CHAMPION",AND(F4267&gt;=6,G4267&gt;=7,H4267&gt;=6),"LOYAL CUSTOMER",AND(F4267&gt;=6,G4267&gt;=5,H4267&gt;=5),"POTENTIAL LOYALIST",AND(F4267&gt;=8,G4267&lt;=2,H4267&gt;=5),"NEW CUSTOMERS",AND(F4267&gt;=6,G4267&lt;=2,H4267&gt;=3),"PROMISING",AND(F4267&gt;=3,G4267&gt;=3,H4267&gt;=3),"NEED ATTENTION",AND(F4267&lt;=4,G4267&gt;=6,H4267&gt;=6),"AT RISK",AND(F4267&lt;=2,G4267&gt;=8,H4267&gt;=8),"CAN'T LOSE THEM",AND(F4267&lt;=2,G4267&lt;=2,H4267&lt;=2),"HIBERNATING",TRUE(),"Other")</f>
        <v>LOYAL CUSTOMER</v>
      </c>
      <c r="K4267" s="1" t="n">
        <f aca="false">RANK(E4267,$E$7:$E$4378)+COUNTIF($E$7:E4267,E4267)-1</f>
        <v>120</v>
      </c>
    </row>
    <row r="4268" customFormat="false" ht="14.25" hidden="false" customHeight="true" outlineLevel="0" collapsed="false">
      <c r="A4268" s="51" t="n">
        <v>18141</v>
      </c>
      <c r="B4268" s="53" t="n">
        <v>40526.4645833333</v>
      </c>
      <c r="C4268" s="57" t="n">
        <f aca="false">INT($C$2)-INT(Table3[[#This Row],[Last Purchase Date]])</f>
        <v>361</v>
      </c>
      <c r="D4268" s="1" t="n">
        <v>1</v>
      </c>
      <c r="E4268" s="1" t="n">
        <v>-35.4</v>
      </c>
      <c r="F4268" s="1" t="n">
        <f aca="false">ROUND((1-_xlfn.PERCENTRANK.INC($C$7:$C$4378,C4268))*9,0)</f>
        <v>0</v>
      </c>
      <c r="G4268" s="1" t="n">
        <f aca="false">ROUND(_xlfn.PERCENTRANK.INC($D$7:$D$4378,D4268)*9,0)</f>
        <v>0</v>
      </c>
      <c r="H4268" s="1" t="n">
        <f aca="false">ROUND(_xlfn.PERCENTRANK.INC($E$7:$E$4378,E4268)*9,0)</f>
        <v>0</v>
      </c>
      <c r="I4268" s="1" t="str">
        <f aca="false">CONCATENATE(F4268,G4268,H4268)</f>
        <v>000</v>
      </c>
      <c r="J4268" s="1" t="str">
        <f aca="false">_xlfn.IFS(AND(F4268&gt;=8,G4268&gt;=8,H4268&gt;=8),"CHAMPION",AND(F4268&gt;=6,G4268&gt;=7,H4268&gt;=6),"LOYAL CUSTOMER",AND(F4268&gt;=6,G4268&gt;=5,H4268&gt;=5),"POTENTIAL LOYALIST",AND(F4268&gt;=8,G4268&lt;=2,H4268&gt;=5),"NEW CUSTOMERS",AND(F4268&gt;=6,G4268&lt;=2,H4268&gt;=3),"PROMISING",AND(F4268&gt;=3,G4268&gt;=3,H4268&gt;=3),"NEED ATTENTION",AND(F4268&lt;=4,G4268&gt;=6,H4268&gt;=6),"AT RISK",AND(F4268&lt;=2,G4268&gt;=8,H4268&gt;=8),"CAN'T LOSE THEM",AND(F4268&lt;=2,G4268&lt;=2,H4268&lt;=2),"HIBERNATING",TRUE(),"Other")</f>
        <v>HIBERNATING</v>
      </c>
      <c r="K4268" s="1" t="n">
        <f aca="false">RANK(E4268,$E$7:$E$4378)+COUNTIF($E$7:E4268,E4268)-1</f>
        <v>4351</v>
      </c>
    </row>
    <row r="4269" customFormat="false" ht="14.25" hidden="false" customHeight="true" outlineLevel="0" collapsed="false">
      <c r="A4269" s="51" t="n">
        <v>18142</v>
      </c>
      <c r="B4269" s="53" t="n">
        <v>40735.5652777778</v>
      </c>
      <c r="C4269" s="57" t="n">
        <f aca="false">INT($C$2)-INT(Table3[[#This Row],[Last Purchase Date]])</f>
        <v>152</v>
      </c>
      <c r="D4269" s="1" t="n">
        <v>4</v>
      </c>
      <c r="E4269" s="1" t="n">
        <v>1014.9</v>
      </c>
      <c r="F4269" s="1" t="n">
        <f aca="false">ROUND((1-_xlfn.PERCENTRANK.INC($C$7:$C$4378,C4269))*9,0)</f>
        <v>2</v>
      </c>
      <c r="G4269" s="1" t="n">
        <f aca="false">ROUND(_xlfn.PERCENTRANK.INC($D$7:$D$4378,D4269)*9,0)</f>
        <v>5</v>
      </c>
      <c r="H4269" s="1" t="n">
        <f aca="false">ROUND(_xlfn.PERCENTRANK.INC($E$7:$E$4378,E4269)*9,0)</f>
        <v>6</v>
      </c>
      <c r="I4269" s="1" t="str">
        <f aca="false">CONCATENATE(F4269,G4269,H4269)</f>
        <v>256</v>
      </c>
      <c r="J4269" s="1" t="str">
        <f aca="false">_xlfn.IFS(AND(F4269&gt;=8,G4269&gt;=8,H4269&gt;=8),"CHAMPION",AND(F4269&gt;=6,G4269&gt;=7,H4269&gt;=6),"LOYAL CUSTOMER",AND(F4269&gt;=6,G4269&gt;=5,H4269&gt;=5),"POTENTIAL LOYALIST",AND(F4269&gt;=8,G4269&lt;=2,H4269&gt;=5),"NEW CUSTOMERS",AND(F4269&gt;=6,G4269&lt;=2,H4269&gt;=3),"PROMISING",AND(F4269&gt;=3,G4269&gt;=3,H4269&gt;=3),"NEED ATTENTION",AND(F4269&lt;=4,G4269&gt;=6,H4269&gt;=6),"AT RISK",AND(F4269&lt;=2,G4269&gt;=8,H4269&gt;=8),"CAN'T LOSE THEM",AND(F4269&lt;=2,G4269&lt;=2,H4269&lt;=2),"HIBERNATING",TRUE(),"Other")</f>
        <v>Other</v>
      </c>
      <c r="K4269" s="1" t="n">
        <f aca="false">RANK(E4269,$E$7:$E$4378)+COUNTIF($E$7:E4269,E4269)-1</f>
        <v>1613</v>
      </c>
    </row>
    <row r="4270" customFormat="false" ht="14.25" hidden="false" customHeight="true" outlineLevel="0" collapsed="false">
      <c r="A4270" s="51" t="n">
        <v>18143</v>
      </c>
      <c r="B4270" s="53" t="n">
        <v>40770.5048611111</v>
      </c>
      <c r="C4270" s="57" t="n">
        <f aca="false">INT($C$2)-INT(Table3[[#This Row],[Last Purchase Date]])</f>
        <v>117</v>
      </c>
      <c r="D4270" s="1" t="n">
        <v>2</v>
      </c>
      <c r="E4270" s="1" t="n">
        <v>1000.16</v>
      </c>
      <c r="F4270" s="1" t="n">
        <f aca="false">ROUND((1-_xlfn.PERCENTRANK.INC($C$7:$C$4378,C4270))*9,0)</f>
        <v>3</v>
      </c>
      <c r="G4270" s="1" t="n">
        <f aca="false">ROUND(_xlfn.PERCENTRANK.INC($D$7:$D$4378,D4270)*9,0)</f>
        <v>3</v>
      </c>
      <c r="H4270" s="1" t="n">
        <f aca="false">ROUND(_xlfn.PERCENTRANK.INC($E$7:$E$4378,E4270)*9,0)</f>
        <v>6</v>
      </c>
      <c r="I4270" s="1" t="str">
        <f aca="false">CONCATENATE(F4270,G4270,H4270)</f>
        <v>336</v>
      </c>
      <c r="J4270" s="1" t="str">
        <f aca="false">_xlfn.IFS(AND(F4270&gt;=8,G4270&gt;=8,H4270&gt;=8),"CHAMPION",AND(F4270&gt;=6,G4270&gt;=7,H4270&gt;=6),"LOYAL CUSTOMER",AND(F4270&gt;=6,G4270&gt;=5,H4270&gt;=5),"POTENTIAL LOYALIST",AND(F4270&gt;=8,G4270&lt;=2,H4270&gt;=5),"NEW CUSTOMERS",AND(F4270&gt;=6,G4270&lt;=2,H4270&gt;=3),"PROMISING",AND(F4270&gt;=3,G4270&gt;=3,H4270&gt;=3),"NEED ATTENTION",AND(F4270&lt;=4,G4270&gt;=6,H4270&gt;=6),"AT RISK",AND(F4270&lt;=2,G4270&gt;=8,H4270&gt;=8),"CAN'T LOSE THEM",AND(F4270&lt;=2,G4270&lt;=2,H4270&lt;=2),"HIBERNATING",TRUE(),"Other")</f>
        <v>NEED ATTENTION</v>
      </c>
      <c r="K4270" s="1" t="n">
        <f aca="false">RANK(E4270,$E$7:$E$4378)+COUNTIF($E$7:E4270,E4270)-1</f>
        <v>1633</v>
      </c>
    </row>
    <row r="4271" customFormat="false" ht="14.25" hidden="false" customHeight="true" outlineLevel="0" collapsed="false">
      <c r="A4271" s="51" t="n">
        <v>18144</v>
      </c>
      <c r="B4271" s="53" t="n">
        <v>40879.5319444445</v>
      </c>
      <c r="C4271" s="57" t="n">
        <f aca="false">INT($C$2)-INT(Table3[[#This Row],[Last Purchase Date]])</f>
        <v>8</v>
      </c>
      <c r="D4271" s="1" t="n">
        <v>12</v>
      </c>
      <c r="E4271" s="1" t="n">
        <v>2888.75</v>
      </c>
      <c r="F4271" s="1" t="n">
        <f aca="false">ROUND((1-_xlfn.PERCENTRANK.INC($C$7:$C$4378,C4271))*9,0)</f>
        <v>8</v>
      </c>
      <c r="G4271" s="1" t="n">
        <f aca="false">ROUND(_xlfn.PERCENTRANK.INC($D$7:$D$4378,D4271)*9,0)</f>
        <v>8</v>
      </c>
      <c r="H4271" s="1" t="n">
        <f aca="false">ROUND(_xlfn.PERCENTRANK.INC($E$7:$E$4378,E4271)*9,0)</f>
        <v>8</v>
      </c>
      <c r="I4271" s="1" t="str">
        <f aca="false">CONCATENATE(F4271,G4271,H4271)</f>
        <v>888</v>
      </c>
      <c r="J4271" s="1" t="str">
        <f aca="false">_xlfn.IFS(AND(F4271&gt;=8,G4271&gt;=8,H4271&gt;=8),"CHAMPION",AND(F4271&gt;=6,G4271&gt;=7,H4271&gt;=6),"LOYAL CUSTOMER",AND(F4271&gt;=6,G4271&gt;=5,H4271&gt;=5),"POTENTIAL LOYALIST",AND(F4271&gt;=8,G4271&lt;=2,H4271&gt;=5),"NEW CUSTOMERS",AND(F4271&gt;=6,G4271&lt;=2,H4271&gt;=3),"PROMISING",AND(F4271&gt;=3,G4271&gt;=3,H4271&gt;=3),"NEED ATTENTION",AND(F4271&lt;=4,G4271&gt;=6,H4271&gt;=6),"AT RISK",AND(F4271&lt;=2,G4271&gt;=8,H4271&gt;=8),"CAN'T LOSE THEM",AND(F4271&lt;=2,G4271&lt;=2,H4271&lt;=2),"HIBERNATING",TRUE(),"Other")</f>
        <v>CHAMPION</v>
      </c>
      <c r="K4271" s="1" t="n">
        <f aca="false">RANK(E4271,$E$7:$E$4378)+COUNTIF($E$7:E4271,E4271)-1</f>
        <v>564</v>
      </c>
    </row>
    <row r="4272" customFormat="false" ht="14.25" hidden="false" customHeight="true" outlineLevel="0" collapsed="false">
      <c r="A4272" s="51" t="n">
        <v>18145</v>
      </c>
      <c r="B4272" s="53" t="n">
        <v>40874.4736111111</v>
      </c>
      <c r="C4272" s="57" t="n">
        <f aca="false">INT($C$2)-INT(Table3[[#This Row],[Last Purchase Date]])</f>
        <v>13</v>
      </c>
      <c r="D4272" s="1" t="n">
        <v>4</v>
      </c>
      <c r="E4272" s="1" t="n">
        <v>2861.55</v>
      </c>
      <c r="F4272" s="1" t="n">
        <f aca="false">ROUND((1-_xlfn.PERCENTRANK.INC($C$7:$C$4378,C4272))*9,0)</f>
        <v>7</v>
      </c>
      <c r="G4272" s="1" t="n">
        <f aca="false">ROUND(_xlfn.PERCENTRANK.INC($D$7:$D$4378,D4272)*9,0)</f>
        <v>5</v>
      </c>
      <c r="H4272" s="1" t="n">
        <f aca="false">ROUND(_xlfn.PERCENTRANK.INC($E$7:$E$4378,E4272)*9,0)</f>
        <v>8</v>
      </c>
      <c r="I4272" s="1" t="str">
        <f aca="false">CONCATENATE(F4272,G4272,H4272)</f>
        <v>758</v>
      </c>
      <c r="J4272" s="1" t="str">
        <f aca="false">_xlfn.IFS(AND(F4272&gt;=8,G4272&gt;=8,H4272&gt;=8),"CHAMPION",AND(F4272&gt;=6,G4272&gt;=7,H4272&gt;=6),"LOYAL CUSTOMER",AND(F4272&gt;=6,G4272&gt;=5,H4272&gt;=5),"POTENTIAL LOYALIST",AND(F4272&gt;=8,G4272&lt;=2,H4272&gt;=5),"NEW CUSTOMERS",AND(F4272&gt;=6,G4272&lt;=2,H4272&gt;=3),"PROMISING",AND(F4272&gt;=3,G4272&gt;=3,H4272&gt;=3),"NEED ATTENTION",AND(F4272&lt;=4,G4272&gt;=6,H4272&gt;=6),"AT RISK",AND(F4272&lt;=2,G4272&gt;=8,H4272&gt;=8),"CAN'T LOSE THEM",AND(F4272&lt;=2,G4272&lt;=2,H4272&lt;=2),"HIBERNATING",TRUE(),"Other")</f>
        <v>POTENTIAL LOYALIST</v>
      </c>
      <c r="K4272" s="1" t="n">
        <f aca="false">RANK(E4272,$E$7:$E$4378)+COUNTIF($E$7:E4272,E4272)-1</f>
        <v>572</v>
      </c>
    </row>
    <row r="4273" customFormat="false" ht="14.25" hidden="false" customHeight="true" outlineLevel="0" collapsed="false">
      <c r="A4273" s="51" t="n">
        <v>18146</v>
      </c>
      <c r="B4273" s="53" t="n">
        <v>40746.5055555556</v>
      </c>
      <c r="C4273" s="57" t="n">
        <f aca="false">INT($C$2)-INT(Table3[[#This Row],[Last Purchase Date]])</f>
        <v>141</v>
      </c>
      <c r="D4273" s="1" t="n">
        <v>2</v>
      </c>
      <c r="E4273" s="1" t="n">
        <v>160.35</v>
      </c>
      <c r="F4273" s="1" t="n">
        <f aca="false">ROUND((1-_xlfn.PERCENTRANK.INC($C$7:$C$4378,C4273))*9,0)</f>
        <v>2</v>
      </c>
      <c r="G4273" s="1" t="n">
        <f aca="false">ROUND(_xlfn.PERCENTRANK.INC($D$7:$D$4378,D4273)*9,0)</f>
        <v>3</v>
      </c>
      <c r="H4273" s="1" t="n">
        <f aca="false">ROUND(_xlfn.PERCENTRANK.INC($E$7:$E$4378,E4273)*9,0)</f>
        <v>1</v>
      </c>
      <c r="I4273" s="1" t="str">
        <f aca="false">CONCATENATE(F4273,G4273,H4273)</f>
        <v>231</v>
      </c>
      <c r="J4273" s="1" t="str">
        <f aca="false">_xlfn.IFS(AND(F4273&gt;=8,G4273&gt;=8,H4273&gt;=8),"CHAMPION",AND(F4273&gt;=6,G4273&gt;=7,H4273&gt;=6),"LOYAL CUSTOMER",AND(F4273&gt;=6,G4273&gt;=5,H4273&gt;=5),"POTENTIAL LOYALIST",AND(F4273&gt;=8,G4273&lt;=2,H4273&gt;=5),"NEW CUSTOMERS",AND(F4273&gt;=6,G4273&lt;=2,H4273&gt;=3),"PROMISING",AND(F4273&gt;=3,G4273&gt;=3,H4273&gt;=3),"NEED ATTENTION",AND(F4273&lt;=4,G4273&gt;=6,H4273&gt;=6),"AT RISK",AND(F4273&lt;=2,G4273&gt;=8,H4273&gt;=8),"CAN'T LOSE THEM",AND(F4273&lt;=2,G4273&lt;=2,H4273&lt;=2),"HIBERNATING",TRUE(),"Other")</f>
        <v>Other</v>
      </c>
      <c r="K4273" s="1" t="n">
        <f aca="false">RANK(E4273,$E$7:$E$4378)+COUNTIF($E$7:E4273,E4273)-1</f>
        <v>3860</v>
      </c>
    </row>
    <row r="4274" customFormat="false" ht="14.25" hidden="false" customHeight="true" outlineLevel="0" collapsed="false">
      <c r="A4274" s="51" t="n">
        <v>18147</v>
      </c>
      <c r="B4274" s="53" t="n">
        <v>40841.4902777778</v>
      </c>
      <c r="C4274" s="57" t="n">
        <f aca="false">INT($C$2)-INT(Table3[[#This Row],[Last Purchase Date]])</f>
        <v>46</v>
      </c>
      <c r="D4274" s="1" t="n">
        <v>2</v>
      </c>
      <c r="E4274" s="1" t="n">
        <v>179.34</v>
      </c>
      <c r="F4274" s="1" t="n">
        <f aca="false">ROUND((1-_xlfn.PERCENTRANK.INC($C$7:$C$4378,C4274))*9,0)</f>
        <v>5</v>
      </c>
      <c r="G4274" s="1" t="n">
        <f aca="false">ROUND(_xlfn.PERCENTRANK.INC($D$7:$D$4378,D4274)*9,0)</f>
        <v>3</v>
      </c>
      <c r="H4274" s="1" t="n">
        <f aca="false">ROUND(_xlfn.PERCENTRANK.INC($E$7:$E$4378,E4274)*9,0)</f>
        <v>1</v>
      </c>
      <c r="I4274" s="1" t="str">
        <f aca="false">CONCATENATE(F4274,G4274,H4274)</f>
        <v>531</v>
      </c>
      <c r="J4274" s="1" t="str">
        <f aca="false">_xlfn.IFS(AND(F4274&gt;=8,G4274&gt;=8,H4274&gt;=8),"CHAMPION",AND(F4274&gt;=6,G4274&gt;=7,H4274&gt;=6),"LOYAL CUSTOMER",AND(F4274&gt;=6,G4274&gt;=5,H4274&gt;=5),"POTENTIAL LOYALIST",AND(F4274&gt;=8,G4274&lt;=2,H4274&gt;=5),"NEW CUSTOMERS",AND(F4274&gt;=6,G4274&lt;=2,H4274&gt;=3),"PROMISING",AND(F4274&gt;=3,G4274&gt;=3,H4274&gt;=3),"NEED ATTENTION",AND(F4274&lt;=4,G4274&gt;=6,H4274&gt;=6),"AT RISK",AND(F4274&lt;=2,G4274&gt;=8,H4274&gt;=8),"CAN'T LOSE THEM",AND(F4274&lt;=2,G4274&lt;=2,H4274&lt;=2),"HIBERNATING",TRUE(),"Other")</f>
        <v>Other</v>
      </c>
      <c r="K4274" s="1" t="n">
        <f aca="false">RANK(E4274,$E$7:$E$4378)+COUNTIF($E$7:E4274,E4274)-1</f>
        <v>3753</v>
      </c>
    </row>
    <row r="4275" customFormat="false" ht="14.25" hidden="false" customHeight="true" outlineLevel="0" collapsed="false">
      <c r="A4275" s="51" t="n">
        <v>18149</v>
      </c>
      <c r="B4275" s="53" t="n">
        <v>40836.5027777778</v>
      </c>
      <c r="C4275" s="57" t="n">
        <f aca="false">INT($C$2)-INT(Table3[[#This Row],[Last Purchase Date]])</f>
        <v>51</v>
      </c>
      <c r="D4275" s="1" t="n">
        <v>3</v>
      </c>
      <c r="E4275" s="1" t="n">
        <v>612.08</v>
      </c>
      <c r="F4275" s="1" t="n">
        <f aca="false">ROUND((1-_xlfn.PERCENTRANK.INC($C$7:$C$4378,C4275))*9,0)</f>
        <v>5</v>
      </c>
      <c r="G4275" s="1" t="n">
        <f aca="false">ROUND(_xlfn.PERCENTRANK.INC($D$7:$D$4378,D4275)*9,0)</f>
        <v>4</v>
      </c>
      <c r="H4275" s="1" t="n">
        <f aca="false">ROUND(_xlfn.PERCENTRANK.INC($E$7:$E$4378,E4275)*9,0)</f>
        <v>4</v>
      </c>
      <c r="I4275" s="1" t="str">
        <f aca="false">CONCATENATE(F4275,G4275,H4275)</f>
        <v>544</v>
      </c>
      <c r="J4275" s="1" t="str">
        <f aca="false">_xlfn.IFS(AND(F4275&gt;=8,G4275&gt;=8,H4275&gt;=8),"CHAMPION",AND(F4275&gt;=6,G4275&gt;=7,H4275&gt;=6),"LOYAL CUSTOMER",AND(F4275&gt;=6,G4275&gt;=5,H4275&gt;=5),"POTENTIAL LOYALIST",AND(F4275&gt;=8,G4275&lt;=2,H4275&gt;=5),"NEW CUSTOMERS",AND(F4275&gt;=6,G4275&lt;=2,H4275&gt;=3),"PROMISING",AND(F4275&gt;=3,G4275&gt;=3,H4275&gt;=3),"NEED ATTENTION",AND(F4275&lt;=4,G4275&gt;=6,H4275&gt;=6),"AT RISK",AND(F4275&lt;=2,G4275&gt;=8,H4275&gt;=8),"CAN'T LOSE THEM",AND(F4275&lt;=2,G4275&lt;=2,H4275&lt;=2),"HIBERNATING",TRUE(),"Other")</f>
        <v>NEED ATTENTION</v>
      </c>
      <c r="K4275" s="1" t="n">
        <f aca="false">RANK(E4275,$E$7:$E$4378)+COUNTIF($E$7:E4275,E4275)-1</f>
        <v>2275</v>
      </c>
    </row>
    <row r="4276" customFormat="false" ht="14.25" hidden="false" customHeight="true" outlineLevel="0" collapsed="false">
      <c r="A4276" s="51" t="n">
        <v>18150</v>
      </c>
      <c r="B4276" s="53" t="n">
        <v>40854.7006944444</v>
      </c>
      <c r="C4276" s="57" t="n">
        <f aca="false">INT($C$2)-INT(Table3[[#This Row],[Last Purchase Date]])</f>
        <v>33</v>
      </c>
      <c r="D4276" s="1" t="n">
        <v>3</v>
      </c>
      <c r="E4276" s="1" t="n">
        <v>566.58</v>
      </c>
      <c r="F4276" s="1" t="n">
        <f aca="false">ROUND((1-_xlfn.PERCENTRANK.INC($C$7:$C$4378,C4276))*9,0)</f>
        <v>5</v>
      </c>
      <c r="G4276" s="1" t="n">
        <f aca="false">ROUND(_xlfn.PERCENTRANK.INC($D$7:$D$4378,D4276)*9,0)</f>
        <v>4</v>
      </c>
      <c r="H4276" s="1" t="n">
        <f aca="false">ROUND(_xlfn.PERCENTRANK.INC($E$7:$E$4378,E4276)*9,0)</f>
        <v>4</v>
      </c>
      <c r="I4276" s="1" t="str">
        <f aca="false">CONCATENATE(F4276,G4276,H4276)</f>
        <v>544</v>
      </c>
      <c r="J4276" s="1" t="str">
        <f aca="false">_xlfn.IFS(AND(F4276&gt;=8,G4276&gt;=8,H4276&gt;=8),"CHAMPION",AND(F4276&gt;=6,G4276&gt;=7,H4276&gt;=6),"LOYAL CUSTOMER",AND(F4276&gt;=6,G4276&gt;=5,H4276&gt;=5),"POTENTIAL LOYALIST",AND(F4276&gt;=8,G4276&lt;=2,H4276&gt;=5),"NEW CUSTOMERS",AND(F4276&gt;=6,G4276&lt;=2,H4276&gt;=3),"PROMISING",AND(F4276&gt;=3,G4276&gt;=3,H4276&gt;=3),"NEED ATTENTION",AND(F4276&lt;=4,G4276&gt;=6,H4276&gt;=6),"AT RISK",AND(F4276&lt;=2,G4276&gt;=8,H4276&gt;=8),"CAN'T LOSE THEM",AND(F4276&lt;=2,G4276&lt;=2,H4276&lt;=2),"HIBERNATING",TRUE(),"Other")</f>
        <v>NEED ATTENTION</v>
      </c>
      <c r="K4276" s="1" t="n">
        <f aca="false">RANK(E4276,$E$7:$E$4378)+COUNTIF($E$7:E4276,E4276)-1</f>
        <v>2398</v>
      </c>
    </row>
    <row r="4277" customFormat="false" ht="14.25" hidden="false" customHeight="true" outlineLevel="0" collapsed="false">
      <c r="A4277" s="51" t="n">
        <v>18151</v>
      </c>
      <c r="B4277" s="53" t="n">
        <v>40752.4826388889</v>
      </c>
      <c r="C4277" s="57" t="n">
        <f aca="false">INT($C$2)-INT(Table3[[#This Row],[Last Purchase Date]])</f>
        <v>135</v>
      </c>
      <c r="D4277" s="1" t="n">
        <v>2</v>
      </c>
      <c r="E4277" s="1" t="n">
        <v>653.35</v>
      </c>
      <c r="F4277" s="1" t="n">
        <f aca="false">ROUND((1-_xlfn.PERCENTRANK.INC($C$7:$C$4378,C4277))*9,0)</f>
        <v>2</v>
      </c>
      <c r="G4277" s="1" t="n">
        <f aca="false">ROUND(_xlfn.PERCENTRANK.INC($D$7:$D$4378,D4277)*9,0)</f>
        <v>3</v>
      </c>
      <c r="H4277" s="1" t="n">
        <f aca="false">ROUND(_xlfn.PERCENTRANK.INC($E$7:$E$4378,E4277)*9,0)</f>
        <v>5</v>
      </c>
      <c r="I4277" s="1" t="str">
        <f aca="false">CONCATENATE(F4277,G4277,H4277)</f>
        <v>235</v>
      </c>
      <c r="J4277" s="1" t="str">
        <f aca="false">_xlfn.IFS(AND(F4277&gt;=8,G4277&gt;=8,H4277&gt;=8),"CHAMPION",AND(F4277&gt;=6,G4277&gt;=7,H4277&gt;=6),"LOYAL CUSTOMER",AND(F4277&gt;=6,G4277&gt;=5,H4277&gt;=5),"POTENTIAL LOYALIST",AND(F4277&gt;=8,G4277&lt;=2,H4277&gt;=5),"NEW CUSTOMERS",AND(F4277&gt;=6,G4277&lt;=2,H4277&gt;=3),"PROMISING",AND(F4277&gt;=3,G4277&gt;=3,H4277&gt;=3),"NEED ATTENTION",AND(F4277&lt;=4,G4277&gt;=6,H4277&gt;=6),"AT RISK",AND(F4277&lt;=2,G4277&gt;=8,H4277&gt;=8),"CAN'T LOSE THEM",AND(F4277&lt;=2,G4277&lt;=2,H4277&lt;=2),"HIBERNATING",TRUE(),"Other")</f>
        <v>Other</v>
      </c>
      <c r="K4277" s="1" t="n">
        <f aca="false">RANK(E4277,$E$7:$E$4378)+COUNTIF($E$7:E4277,E4277)-1</f>
        <v>2173</v>
      </c>
    </row>
    <row r="4278" customFormat="false" ht="14.25" hidden="false" customHeight="true" outlineLevel="0" collapsed="false">
      <c r="A4278" s="51" t="n">
        <v>18154</v>
      </c>
      <c r="B4278" s="53" t="n">
        <v>40883.6951388889</v>
      </c>
      <c r="C4278" s="57" t="n">
        <f aca="false">INT($C$2)-INT(Table3[[#This Row],[Last Purchase Date]])</f>
        <v>4</v>
      </c>
      <c r="D4278" s="1" t="n">
        <v>2</v>
      </c>
      <c r="E4278" s="1" t="n">
        <v>399.19</v>
      </c>
      <c r="F4278" s="1" t="n">
        <f aca="false">ROUND((1-_xlfn.PERCENTRANK.INC($C$7:$C$4378,C4278))*9,0)</f>
        <v>8</v>
      </c>
      <c r="G4278" s="1" t="n">
        <f aca="false">ROUND(_xlfn.PERCENTRANK.INC($D$7:$D$4378,D4278)*9,0)</f>
        <v>3</v>
      </c>
      <c r="H4278" s="1" t="n">
        <f aca="false">ROUND(_xlfn.PERCENTRANK.INC($E$7:$E$4378,E4278)*9,0)</f>
        <v>3</v>
      </c>
      <c r="I4278" s="1" t="str">
        <f aca="false">CONCATENATE(F4278,G4278,H4278)</f>
        <v>833</v>
      </c>
      <c r="J4278" s="1" t="str">
        <f aca="false">_xlfn.IFS(AND(F4278&gt;=8,G4278&gt;=8,H4278&gt;=8),"CHAMPION",AND(F4278&gt;=6,G4278&gt;=7,H4278&gt;=6),"LOYAL CUSTOMER",AND(F4278&gt;=6,G4278&gt;=5,H4278&gt;=5),"POTENTIAL LOYALIST",AND(F4278&gt;=8,G4278&lt;=2,H4278&gt;=5),"NEW CUSTOMERS",AND(F4278&gt;=6,G4278&lt;=2,H4278&gt;=3),"PROMISING",AND(F4278&gt;=3,G4278&gt;=3,H4278&gt;=3),"NEED ATTENTION",AND(F4278&lt;=4,G4278&gt;=6,H4278&gt;=6),"AT RISK",AND(F4278&lt;=2,G4278&gt;=8,H4278&gt;=8),"CAN'T LOSE THEM",AND(F4278&lt;=2,G4278&lt;=2,H4278&lt;=2),"HIBERNATING",TRUE(),"Other")</f>
        <v>NEED ATTENTION</v>
      </c>
      <c r="K4278" s="1" t="n">
        <f aca="false">RANK(E4278,$E$7:$E$4378)+COUNTIF($E$7:E4278,E4278)-1</f>
        <v>2821</v>
      </c>
    </row>
    <row r="4279" customFormat="false" ht="14.25" hidden="false" customHeight="true" outlineLevel="0" collapsed="false">
      <c r="A4279" s="51" t="n">
        <v>18155</v>
      </c>
      <c r="B4279" s="53" t="n">
        <v>40811.5638888889</v>
      </c>
      <c r="C4279" s="57" t="n">
        <f aca="false">INT($C$2)-INT(Table3[[#This Row],[Last Purchase Date]])</f>
        <v>76</v>
      </c>
      <c r="D4279" s="1" t="n">
        <v>4</v>
      </c>
      <c r="E4279" s="1" t="n">
        <v>347.82</v>
      </c>
      <c r="F4279" s="1" t="n">
        <f aca="false">ROUND((1-_xlfn.PERCENTRANK.INC($C$7:$C$4378,C4279))*9,0)</f>
        <v>3</v>
      </c>
      <c r="G4279" s="1" t="n">
        <f aca="false">ROUND(_xlfn.PERCENTRANK.INC($D$7:$D$4378,D4279)*9,0)</f>
        <v>5</v>
      </c>
      <c r="H4279" s="1" t="n">
        <f aca="false">ROUND(_xlfn.PERCENTRANK.INC($E$7:$E$4378,E4279)*9,0)</f>
        <v>3</v>
      </c>
      <c r="I4279" s="1" t="str">
        <f aca="false">CONCATENATE(F4279,G4279,H4279)</f>
        <v>353</v>
      </c>
      <c r="J4279" s="1" t="str">
        <f aca="false">_xlfn.IFS(AND(F4279&gt;=8,G4279&gt;=8,H4279&gt;=8),"CHAMPION",AND(F4279&gt;=6,G4279&gt;=7,H4279&gt;=6),"LOYAL CUSTOMER",AND(F4279&gt;=6,G4279&gt;=5,H4279&gt;=5),"POTENTIAL LOYALIST",AND(F4279&gt;=8,G4279&lt;=2,H4279&gt;=5),"NEW CUSTOMERS",AND(F4279&gt;=6,G4279&lt;=2,H4279&gt;=3),"PROMISING",AND(F4279&gt;=3,G4279&gt;=3,H4279&gt;=3),"NEED ATTENTION",AND(F4279&lt;=4,G4279&gt;=6,H4279&gt;=6),"AT RISK",AND(F4279&lt;=2,G4279&gt;=8,H4279&gt;=8),"CAN'T LOSE THEM",AND(F4279&lt;=2,G4279&lt;=2,H4279&lt;=2),"HIBERNATING",TRUE(),"Other")</f>
        <v>NEED ATTENTION</v>
      </c>
      <c r="K4279" s="1" t="n">
        <f aca="false">RANK(E4279,$E$7:$E$4378)+COUNTIF($E$7:E4279,E4279)-1</f>
        <v>3020</v>
      </c>
    </row>
    <row r="4280" customFormat="false" ht="14.25" hidden="false" customHeight="true" outlineLevel="0" collapsed="false">
      <c r="A4280" s="51" t="n">
        <v>18156</v>
      </c>
      <c r="B4280" s="53" t="n">
        <v>40874.5166666667</v>
      </c>
      <c r="C4280" s="57" t="n">
        <f aca="false">INT($C$2)-INT(Table3[[#This Row],[Last Purchase Date]])</f>
        <v>13</v>
      </c>
      <c r="D4280" s="1" t="n">
        <v>2</v>
      </c>
      <c r="E4280" s="1" t="n">
        <v>734.94</v>
      </c>
      <c r="F4280" s="1" t="n">
        <f aca="false">ROUND((1-_xlfn.PERCENTRANK.INC($C$7:$C$4378,C4280))*9,0)</f>
        <v>7</v>
      </c>
      <c r="G4280" s="1" t="n">
        <f aca="false">ROUND(_xlfn.PERCENTRANK.INC($D$7:$D$4378,D4280)*9,0)</f>
        <v>3</v>
      </c>
      <c r="H4280" s="1" t="n">
        <f aca="false">ROUND(_xlfn.PERCENTRANK.INC($E$7:$E$4378,E4280)*9,0)</f>
        <v>5</v>
      </c>
      <c r="I4280" s="1" t="str">
        <f aca="false">CONCATENATE(F4280,G4280,H4280)</f>
        <v>735</v>
      </c>
      <c r="J4280" s="1" t="str">
        <f aca="false">_xlfn.IFS(AND(F4280&gt;=8,G4280&gt;=8,H4280&gt;=8),"CHAMPION",AND(F4280&gt;=6,G4280&gt;=7,H4280&gt;=6),"LOYAL CUSTOMER",AND(F4280&gt;=6,G4280&gt;=5,H4280&gt;=5),"POTENTIAL LOYALIST",AND(F4280&gt;=8,G4280&lt;=2,H4280&gt;=5),"NEW CUSTOMERS",AND(F4280&gt;=6,G4280&lt;=2,H4280&gt;=3),"PROMISING",AND(F4280&gt;=3,G4280&gt;=3,H4280&gt;=3),"NEED ATTENTION",AND(F4280&lt;=4,G4280&gt;=6,H4280&gt;=6),"AT RISK",AND(F4280&lt;=2,G4280&gt;=8,H4280&gt;=8),"CAN'T LOSE THEM",AND(F4280&lt;=2,G4280&lt;=2,H4280&lt;=2),"HIBERNATING",TRUE(),"Other")</f>
        <v>NEED ATTENTION</v>
      </c>
      <c r="K4280" s="1" t="n">
        <f aca="false">RANK(E4280,$E$7:$E$4378)+COUNTIF($E$7:E4280,E4280)-1</f>
        <v>1999</v>
      </c>
    </row>
    <row r="4281" customFormat="false" ht="14.25" hidden="false" customHeight="true" outlineLevel="0" collapsed="false">
      <c r="A4281" s="51" t="n">
        <v>18158</v>
      </c>
      <c r="B4281" s="53" t="n">
        <v>40877.6798611111</v>
      </c>
      <c r="C4281" s="57" t="n">
        <f aca="false">INT($C$2)-INT(Table3[[#This Row],[Last Purchase Date]])</f>
        <v>10</v>
      </c>
      <c r="D4281" s="1" t="n">
        <v>3</v>
      </c>
      <c r="E4281" s="1" t="n">
        <v>451.75</v>
      </c>
      <c r="F4281" s="1" t="n">
        <f aca="false">ROUND((1-_xlfn.PERCENTRANK.INC($C$7:$C$4378,C4281))*9,0)</f>
        <v>8</v>
      </c>
      <c r="G4281" s="1" t="n">
        <f aca="false">ROUND(_xlfn.PERCENTRANK.INC($D$7:$D$4378,D4281)*9,0)</f>
        <v>4</v>
      </c>
      <c r="H4281" s="1" t="n">
        <f aca="false">ROUND(_xlfn.PERCENTRANK.INC($E$7:$E$4378,E4281)*9,0)</f>
        <v>4</v>
      </c>
      <c r="I4281" s="1" t="str">
        <f aca="false">CONCATENATE(F4281,G4281,H4281)</f>
        <v>844</v>
      </c>
      <c r="J4281" s="1" t="str">
        <f aca="false">_xlfn.IFS(AND(F4281&gt;=8,G4281&gt;=8,H4281&gt;=8),"CHAMPION",AND(F4281&gt;=6,G4281&gt;=7,H4281&gt;=6),"LOYAL CUSTOMER",AND(F4281&gt;=6,G4281&gt;=5,H4281&gt;=5),"POTENTIAL LOYALIST",AND(F4281&gt;=8,G4281&lt;=2,H4281&gt;=5),"NEW CUSTOMERS",AND(F4281&gt;=6,G4281&lt;=2,H4281&gt;=3),"PROMISING",AND(F4281&gt;=3,G4281&gt;=3,H4281&gt;=3),"NEED ATTENTION",AND(F4281&lt;=4,G4281&gt;=6,H4281&gt;=6),"AT RISK",AND(F4281&lt;=2,G4281&gt;=8,H4281&gt;=8),"CAN'T LOSE THEM",AND(F4281&lt;=2,G4281&lt;=2,H4281&lt;=2),"HIBERNATING",TRUE(),"Other")</f>
        <v>NEED ATTENTION</v>
      </c>
      <c r="K4281" s="1" t="n">
        <f aca="false">RANK(E4281,$E$7:$E$4378)+COUNTIF($E$7:E4281,E4281)-1</f>
        <v>2671</v>
      </c>
    </row>
    <row r="4282" customFormat="false" ht="14.25" hidden="false" customHeight="true" outlineLevel="0" collapsed="false">
      <c r="A4282" s="51" t="n">
        <v>18159</v>
      </c>
      <c r="B4282" s="53" t="n">
        <v>40585.6013888889</v>
      </c>
      <c r="C4282" s="57" t="n">
        <f aca="false">INT($C$2)-INT(Table3[[#This Row],[Last Purchase Date]])</f>
        <v>302</v>
      </c>
      <c r="D4282" s="1" t="n">
        <v>1</v>
      </c>
      <c r="E4282" s="1" t="n">
        <v>530.15</v>
      </c>
      <c r="F4282" s="1" t="n">
        <f aca="false">ROUND((1-_xlfn.PERCENTRANK.INC($C$7:$C$4378,C4282))*9,0)</f>
        <v>1</v>
      </c>
      <c r="G4282" s="1" t="n">
        <f aca="false">ROUND(_xlfn.PERCENTRANK.INC($D$7:$D$4378,D4282)*9,0)</f>
        <v>0</v>
      </c>
      <c r="H4282" s="1" t="n">
        <f aca="false">ROUND(_xlfn.PERCENTRANK.INC($E$7:$E$4378,E4282)*9,0)</f>
        <v>4</v>
      </c>
      <c r="I4282" s="1" t="str">
        <f aca="false">CONCATENATE(F4282,G4282,H4282)</f>
        <v>104</v>
      </c>
      <c r="J4282" s="1" t="str">
        <f aca="false">_xlfn.IFS(AND(F4282&gt;=8,G4282&gt;=8,H4282&gt;=8),"CHAMPION",AND(F4282&gt;=6,G4282&gt;=7,H4282&gt;=6),"LOYAL CUSTOMER",AND(F4282&gt;=6,G4282&gt;=5,H4282&gt;=5),"POTENTIAL LOYALIST",AND(F4282&gt;=8,G4282&lt;=2,H4282&gt;=5),"NEW CUSTOMERS",AND(F4282&gt;=6,G4282&lt;=2,H4282&gt;=3),"PROMISING",AND(F4282&gt;=3,G4282&gt;=3,H4282&gt;=3),"NEED ATTENTION",AND(F4282&lt;=4,G4282&gt;=6,H4282&gt;=6),"AT RISK",AND(F4282&lt;=2,G4282&gt;=8,H4282&gt;=8),"CAN'T LOSE THEM",AND(F4282&lt;=2,G4282&lt;=2,H4282&lt;=2),"HIBERNATING",TRUE(),"Other")</f>
        <v>Other</v>
      </c>
      <c r="K4282" s="1" t="n">
        <f aca="false">RANK(E4282,$E$7:$E$4378)+COUNTIF($E$7:E4282,E4282)-1</f>
        <v>2480</v>
      </c>
    </row>
    <row r="4283" customFormat="false" ht="14.25" hidden="false" customHeight="true" outlineLevel="0" collapsed="false">
      <c r="A4283" s="51" t="n">
        <v>18160</v>
      </c>
      <c r="B4283" s="53" t="n">
        <v>40829.6597222222</v>
      </c>
      <c r="C4283" s="57" t="n">
        <f aca="false">INT($C$2)-INT(Table3[[#This Row],[Last Purchase Date]])</f>
        <v>58</v>
      </c>
      <c r="D4283" s="1" t="n">
        <v>2</v>
      </c>
      <c r="E4283" s="1" t="n">
        <v>638.06</v>
      </c>
      <c r="F4283" s="1" t="n">
        <f aca="false">ROUND((1-_xlfn.PERCENTRANK.INC($C$7:$C$4378,C4283))*9,0)</f>
        <v>4</v>
      </c>
      <c r="G4283" s="1" t="n">
        <f aca="false">ROUND(_xlfn.PERCENTRANK.INC($D$7:$D$4378,D4283)*9,0)</f>
        <v>3</v>
      </c>
      <c r="H4283" s="1" t="n">
        <f aca="false">ROUND(_xlfn.PERCENTRANK.INC($E$7:$E$4378,E4283)*9,0)</f>
        <v>4</v>
      </c>
      <c r="I4283" s="1" t="str">
        <f aca="false">CONCATENATE(F4283,G4283,H4283)</f>
        <v>434</v>
      </c>
      <c r="J4283" s="1" t="str">
        <f aca="false">_xlfn.IFS(AND(F4283&gt;=8,G4283&gt;=8,H4283&gt;=8),"CHAMPION",AND(F4283&gt;=6,G4283&gt;=7,H4283&gt;=6),"LOYAL CUSTOMER",AND(F4283&gt;=6,G4283&gt;=5,H4283&gt;=5),"POTENTIAL LOYALIST",AND(F4283&gt;=8,G4283&lt;=2,H4283&gt;=5),"NEW CUSTOMERS",AND(F4283&gt;=6,G4283&lt;=2,H4283&gt;=3),"PROMISING",AND(F4283&gt;=3,G4283&gt;=3,H4283&gt;=3),"NEED ATTENTION",AND(F4283&lt;=4,G4283&gt;=6,H4283&gt;=6),"AT RISK",AND(F4283&lt;=2,G4283&gt;=8,H4283&gt;=8),"CAN'T LOSE THEM",AND(F4283&lt;=2,G4283&lt;=2,H4283&lt;=2),"HIBERNATING",TRUE(),"Other")</f>
        <v>NEED ATTENTION</v>
      </c>
      <c r="K4283" s="1" t="n">
        <f aca="false">RANK(E4283,$E$7:$E$4378)+COUNTIF($E$7:E4283,E4283)-1</f>
        <v>2212</v>
      </c>
    </row>
    <row r="4284" customFormat="false" ht="14.25" hidden="false" customHeight="true" outlineLevel="0" collapsed="false">
      <c r="A4284" s="51" t="n">
        <v>18161</v>
      </c>
      <c r="B4284" s="53" t="n">
        <v>40876.6513888889</v>
      </c>
      <c r="C4284" s="57" t="n">
        <f aca="false">INT($C$2)-INT(Table3[[#This Row],[Last Purchase Date]])</f>
        <v>11</v>
      </c>
      <c r="D4284" s="1" t="n">
        <v>6</v>
      </c>
      <c r="E4284" s="1" t="n">
        <v>1612.79</v>
      </c>
      <c r="F4284" s="1" t="n">
        <f aca="false">ROUND((1-_xlfn.PERCENTRANK.INC($C$7:$C$4378,C4284))*9,0)</f>
        <v>7</v>
      </c>
      <c r="G4284" s="1" t="n">
        <f aca="false">ROUND(_xlfn.PERCENTRANK.INC($D$7:$D$4378,D4284)*9,0)</f>
        <v>7</v>
      </c>
      <c r="H4284" s="1" t="n">
        <f aca="false">ROUND(_xlfn.PERCENTRANK.INC($E$7:$E$4378,E4284)*9,0)</f>
        <v>7</v>
      </c>
      <c r="I4284" s="1" t="str">
        <f aca="false">CONCATENATE(F4284,G4284,H4284)</f>
        <v>777</v>
      </c>
      <c r="J4284" s="1" t="str">
        <f aca="false">_xlfn.IFS(AND(F4284&gt;=8,G4284&gt;=8,H4284&gt;=8),"CHAMPION",AND(F4284&gt;=6,G4284&gt;=7,H4284&gt;=6),"LOYAL CUSTOMER",AND(F4284&gt;=6,G4284&gt;=5,H4284&gt;=5),"POTENTIAL LOYALIST",AND(F4284&gt;=8,G4284&lt;=2,H4284&gt;=5),"NEW CUSTOMERS",AND(F4284&gt;=6,G4284&lt;=2,H4284&gt;=3),"PROMISING",AND(F4284&gt;=3,G4284&gt;=3,H4284&gt;=3),"NEED ATTENTION",AND(F4284&lt;=4,G4284&gt;=6,H4284&gt;=6),"AT RISK",AND(F4284&lt;=2,G4284&gt;=8,H4284&gt;=8),"CAN'T LOSE THEM",AND(F4284&lt;=2,G4284&lt;=2,H4284&lt;=2),"HIBERNATING",TRUE(),"Other")</f>
        <v>LOYAL CUSTOMER</v>
      </c>
      <c r="K4284" s="1" t="n">
        <f aca="false">RANK(E4284,$E$7:$E$4378)+COUNTIF($E$7:E4284,E4284)-1</f>
        <v>1092</v>
      </c>
    </row>
    <row r="4285" customFormat="false" ht="14.25" hidden="false" customHeight="true" outlineLevel="0" collapsed="false">
      <c r="A4285" s="51" t="n">
        <v>18164</v>
      </c>
      <c r="B4285" s="53" t="n">
        <v>40855.7423611111</v>
      </c>
      <c r="C4285" s="57" t="n">
        <f aca="false">INT($C$2)-INT(Table3[[#This Row],[Last Purchase Date]])</f>
        <v>32</v>
      </c>
      <c r="D4285" s="1" t="n">
        <v>2</v>
      </c>
      <c r="E4285" s="1" t="n">
        <v>394.7</v>
      </c>
      <c r="F4285" s="1" t="n">
        <f aca="false">ROUND((1-_xlfn.PERCENTRANK.INC($C$7:$C$4378,C4285))*9,0)</f>
        <v>5</v>
      </c>
      <c r="G4285" s="1" t="n">
        <f aca="false">ROUND(_xlfn.PERCENTRANK.INC($D$7:$D$4378,D4285)*9,0)</f>
        <v>3</v>
      </c>
      <c r="H4285" s="1" t="n">
        <f aca="false">ROUND(_xlfn.PERCENTRANK.INC($E$7:$E$4378,E4285)*9,0)</f>
        <v>3</v>
      </c>
      <c r="I4285" s="1" t="str">
        <f aca="false">CONCATENATE(F4285,G4285,H4285)</f>
        <v>533</v>
      </c>
      <c r="J4285" s="1" t="str">
        <f aca="false">_xlfn.IFS(AND(F4285&gt;=8,G4285&gt;=8,H4285&gt;=8),"CHAMPION",AND(F4285&gt;=6,G4285&gt;=7,H4285&gt;=6),"LOYAL CUSTOMER",AND(F4285&gt;=6,G4285&gt;=5,H4285&gt;=5),"POTENTIAL LOYALIST",AND(F4285&gt;=8,G4285&lt;=2,H4285&gt;=5),"NEW CUSTOMERS",AND(F4285&gt;=6,G4285&lt;=2,H4285&gt;=3),"PROMISING",AND(F4285&gt;=3,G4285&gt;=3,H4285&gt;=3),"NEED ATTENTION",AND(F4285&lt;=4,G4285&gt;=6,H4285&gt;=6),"AT RISK",AND(F4285&lt;=2,G4285&gt;=8,H4285&gt;=8),"CAN'T LOSE THEM",AND(F4285&lt;=2,G4285&lt;=2,H4285&lt;=2),"HIBERNATING",TRUE(),"Other")</f>
        <v>NEED ATTENTION</v>
      </c>
      <c r="K4285" s="1" t="n">
        <f aca="false">RANK(E4285,$E$7:$E$4378)+COUNTIF($E$7:E4285,E4285)-1</f>
        <v>2834</v>
      </c>
    </row>
    <row r="4286" customFormat="false" ht="14.25" hidden="false" customHeight="true" outlineLevel="0" collapsed="false">
      <c r="A4286" s="51" t="n">
        <v>18165</v>
      </c>
      <c r="B4286" s="53" t="n">
        <v>40709.5576388889</v>
      </c>
      <c r="C4286" s="57" t="n">
        <f aca="false">INT($C$2)-INT(Table3[[#This Row],[Last Purchase Date]])</f>
        <v>178</v>
      </c>
      <c r="D4286" s="1" t="n">
        <v>1</v>
      </c>
      <c r="E4286" s="1" t="n">
        <v>302.46</v>
      </c>
      <c r="F4286" s="1" t="n">
        <f aca="false">ROUND((1-_xlfn.PERCENTRANK.INC($C$7:$C$4378,C4286))*9,0)</f>
        <v>2</v>
      </c>
      <c r="G4286" s="1" t="n">
        <f aca="false">ROUND(_xlfn.PERCENTRANK.INC($D$7:$D$4378,D4286)*9,0)</f>
        <v>0</v>
      </c>
      <c r="H4286" s="1" t="n">
        <f aca="false">ROUND(_xlfn.PERCENTRANK.INC($E$7:$E$4378,E4286)*9,0)</f>
        <v>2</v>
      </c>
      <c r="I4286" s="1" t="str">
        <f aca="false">CONCATENATE(F4286,G4286,H4286)</f>
        <v>202</v>
      </c>
      <c r="J4286" s="1" t="str">
        <f aca="false">_xlfn.IFS(AND(F4286&gt;=8,G4286&gt;=8,H4286&gt;=8),"CHAMPION",AND(F4286&gt;=6,G4286&gt;=7,H4286&gt;=6),"LOYAL CUSTOMER",AND(F4286&gt;=6,G4286&gt;=5,H4286&gt;=5),"POTENTIAL LOYALIST",AND(F4286&gt;=8,G4286&lt;=2,H4286&gt;=5),"NEW CUSTOMERS",AND(F4286&gt;=6,G4286&lt;=2,H4286&gt;=3),"PROMISING",AND(F4286&gt;=3,G4286&gt;=3,H4286&gt;=3),"NEED ATTENTION",AND(F4286&lt;=4,G4286&gt;=6,H4286&gt;=6),"AT RISK",AND(F4286&lt;=2,G4286&gt;=8,H4286&gt;=8),"CAN'T LOSE THEM",AND(F4286&lt;=2,G4286&lt;=2,H4286&lt;=2),"HIBERNATING",TRUE(),"Other")</f>
        <v>HIBERNATING</v>
      </c>
      <c r="K4286" s="1" t="n">
        <f aca="false">RANK(E4286,$E$7:$E$4378)+COUNTIF($E$7:E4286,E4286)-1</f>
        <v>3240</v>
      </c>
    </row>
    <row r="4287" customFormat="false" ht="14.25" hidden="false" customHeight="true" outlineLevel="0" collapsed="false">
      <c r="A4287" s="51" t="n">
        <v>18167</v>
      </c>
      <c r="B4287" s="53" t="n">
        <v>40883.4090277778</v>
      </c>
      <c r="C4287" s="57" t="n">
        <f aca="false">INT($C$2)-INT(Table3[[#This Row],[Last Purchase Date]])</f>
        <v>4</v>
      </c>
      <c r="D4287" s="1" t="n">
        <v>6</v>
      </c>
      <c r="E4287" s="1" t="n">
        <v>1355.51</v>
      </c>
      <c r="F4287" s="1" t="n">
        <f aca="false">ROUND((1-_xlfn.PERCENTRANK.INC($C$7:$C$4378,C4287))*9,0)</f>
        <v>8</v>
      </c>
      <c r="G4287" s="1" t="n">
        <f aca="false">ROUND(_xlfn.PERCENTRANK.INC($D$7:$D$4378,D4287)*9,0)</f>
        <v>7</v>
      </c>
      <c r="H4287" s="1" t="n">
        <f aca="false">ROUND(_xlfn.PERCENTRANK.INC($E$7:$E$4378,E4287)*9,0)</f>
        <v>6</v>
      </c>
      <c r="I4287" s="1" t="str">
        <f aca="false">CONCATENATE(F4287,G4287,H4287)</f>
        <v>876</v>
      </c>
      <c r="J4287" s="1" t="str">
        <f aca="false">_xlfn.IFS(AND(F4287&gt;=8,G4287&gt;=8,H4287&gt;=8),"CHAMPION",AND(F4287&gt;=6,G4287&gt;=7,H4287&gt;=6),"LOYAL CUSTOMER",AND(F4287&gt;=6,G4287&gt;=5,H4287&gt;=5),"POTENTIAL LOYALIST",AND(F4287&gt;=8,G4287&lt;=2,H4287&gt;=5),"NEW CUSTOMERS",AND(F4287&gt;=6,G4287&lt;=2,H4287&gt;=3),"PROMISING",AND(F4287&gt;=3,G4287&gt;=3,H4287&gt;=3),"NEED ATTENTION",AND(F4287&lt;=4,G4287&gt;=6,H4287&gt;=6),"AT RISK",AND(F4287&lt;=2,G4287&gt;=8,H4287&gt;=8),"CAN'T LOSE THEM",AND(F4287&lt;=2,G4287&lt;=2,H4287&lt;=2),"HIBERNATING",TRUE(),"Other")</f>
        <v>LOYAL CUSTOMER</v>
      </c>
      <c r="K4287" s="1" t="n">
        <f aca="false">RANK(E4287,$E$7:$E$4378)+COUNTIF($E$7:E4287,E4287)-1</f>
        <v>1267</v>
      </c>
    </row>
    <row r="4288" customFormat="false" ht="14.25" hidden="false" customHeight="true" outlineLevel="0" collapsed="false">
      <c r="A4288" s="51" t="n">
        <v>18168</v>
      </c>
      <c r="B4288" s="53" t="n">
        <v>40710.80625</v>
      </c>
      <c r="C4288" s="57" t="n">
        <f aca="false">INT($C$2)-INT(Table3[[#This Row],[Last Purchase Date]])</f>
        <v>177</v>
      </c>
      <c r="D4288" s="1" t="n">
        <v>9</v>
      </c>
      <c r="E4288" s="1" t="n">
        <v>1133.64</v>
      </c>
      <c r="F4288" s="1" t="n">
        <f aca="false">ROUND((1-_xlfn.PERCENTRANK.INC($C$7:$C$4378,C4288))*9,0)</f>
        <v>2</v>
      </c>
      <c r="G4288" s="1" t="n">
        <f aca="false">ROUND(_xlfn.PERCENTRANK.INC($D$7:$D$4378,D4288)*9,0)</f>
        <v>8</v>
      </c>
      <c r="H4288" s="1" t="n">
        <f aca="false">ROUND(_xlfn.PERCENTRANK.INC($E$7:$E$4378,E4288)*9,0)</f>
        <v>6</v>
      </c>
      <c r="I4288" s="1" t="str">
        <f aca="false">CONCATENATE(F4288,G4288,H4288)</f>
        <v>286</v>
      </c>
      <c r="J4288" s="1" t="str">
        <f aca="false">_xlfn.IFS(AND(F4288&gt;=8,G4288&gt;=8,H4288&gt;=8),"CHAMPION",AND(F4288&gt;=6,G4288&gt;=7,H4288&gt;=6),"LOYAL CUSTOMER",AND(F4288&gt;=6,G4288&gt;=5,H4288&gt;=5),"POTENTIAL LOYALIST",AND(F4288&gt;=8,G4288&lt;=2,H4288&gt;=5),"NEW CUSTOMERS",AND(F4288&gt;=6,G4288&lt;=2,H4288&gt;=3),"PROMISING",AND(F4288&gt;=3,G4288&gt;=3,H4288&gt;=3),"NEED ATTENTION",AND(F4288&lt;=4,G4288&gt;=6,H4288&gt;=6),"AT RISK",AND(F4288&lt;=2,G4288&gt;=8,H4288&gt;=8),"CAN'T LOSE THEM",AND(F4288&lt;=2,G4288&lt;=2,H4288&lt;=2),"HIBERNATING",TRUE(),"Other")</f>
        <v>AT RISK</v>
      </c>
      <c r="K4288" s="1" t="n">
        <f aca="false">RANK(E4288,$E$7:$E$4378)+COUNTIF($E$7:E4288,E4288)-1</f>
        <v>1468</v>
      </c>
    </row>
    <row r="4289" customFormat="false" ht="14.25" hidden="false" customHeight="true" outlineLevel="0" collapsed="false">
      <c r="A4289" s="51" t="n">
        <v>18169</v>
      </c>
      <c r="B4289" s="53" t="n">
        <v>40826.5125</v>
      </c>
      <c r="C4289" s="57" t="n">
        <f aca="false">INT($C$2)-INT(Table3[[#This Row],[Last Purchase Date]])</f>
        <v>61</v>
      </c>
      <c r="D4289" s="1" t="n">
        <v>1</v>
      </c>
      <c r="E4289" s="1" t="n">
        <v>202.65</v>
      </c>
      <c r="F4289" s="1" t="n">
        <f aca="false">ROUND((1-_xlfn.PERCENTRANK.INC($C$7:$C$4378,C4289))*9,0)</f>
        <v>4</v>
      </c>
      <c r="G4289" s="1" t="n">
        <f aca="false">ROUND(_xlfn.PERCENTRANK.INC($D$7:$D$4378,D4289)*9,0)</f>
        <v>0</v>
      </c>
      <c r="H4289" s="1" t="n">
        <f aca="false">ROUND(_xlfn.PERCENTRANK.INC($E$7:$E$4378,E4289)*9,0)</f>
        <v>1</v>
      </c>
      <c r="I4289" s="1" t="str">
        <f aca="false">CONCATENATE(F4289,G4289,H4289)</f>
        <v>401</v>
      </c>
      <c r="J4289" s="1" t="str">
        <f aca="false">_xlfn.IFS(AND(F4289&gt;=8,G4289&gt;=8,H4289&gt;=8),"CHAMPION",AND(F4289&gt;=6,G4289&gt;=7,H4289&gt;=6),"LOYAL CUSTOMER",AND(F4289&gt;=6,G4289&gt;=5,H4289&gt;=5),"POTENTIAL LOYALIST",AND(F4289&gt;=8,G4289&lt;=2,H4289&gt;=5),"NEW CUSTOMERS",AND(F4289&gt;=6,G4289&lt;=2,H4289&gt;=3),"PROMISING",AND(F4289&gt;=3,G4289&gt;=3,H4289&gt;=3),"NEED ATTENTION",AND(F4289&lt;=4,G4289&gt;=6,H4289&gt;=6),"AT RISK",AND(F4289&lt;=2,G4289&gt;=8,H4289&gt;=8),"CAN'T LOSE THEM",AND(F4289&lt;=2,G4289&lt;=2,H4289&lt;=2),"HIBERNATING",TRUE(),"Other")</f>
        <v>Other</v>
      </c>
      <c r="K4289" s="1" t="n">
        <f aca="false">RANK(E4289,$E$7:$E$4378)+COUNTIF($E$7:E4289,E4289)-1</f>
        <v>3650</v>
      </c>
    </row>
    <row r="4290" customFormat="false" ht="14.25" hidden="false" customHeight="true" outlineLevel="0" collapsed="false">
      <c r="A4290" s="51" t="n">
        <v>18170</v>
      </c>
      <c r="B4290" s="53" t="n">
        <v>40853.6076388889</v>
      </c>
      <c r="C4290" s="57" t="n">
        <f aca="false">INT($C$2)-INT(Table3[[#This Row],[Last Purchase Date]])</f>
        <v>34</v>
      </c>
      <c r="D4290" s="1" t="n">
        <v>3</v>
      </c>
      <c r="E4290" s="1" t="n">
        <v>980.31</v>
      </c>
      <c r="F4290" s="1" t="n">
        <f aca="false">ROUND((1-_xlfn.PERCENTRANK.INC($C$7:$C$4378,C4290))*9,0)</f>
        <v>5</v>
      </c>
      <c r="G4290" s="1" t="n">
        <f aca="false">ROUND(_xlfn.PERCENTRANK.INC($D$7:$D$4378,D4290)*9,0)</f>
        <v>4</v>
      </c>
      <c r="H4290" s="1" t="n">
        <f aca="false">ROUND(_xlfn.PERCENTRANK.INC($E$7:$E$4378,E4290)*9,0)</f>
        <v>6</v>
      </c>
      <c r="I4290" s="1" t="str">
        <f aca="false">CONCATENATE(F4290,G4290,H4290)</f>
        <v>546</v>
      </c>
      <c r="J4290" s="1" t="str">
        <f aca="false">_xlfn.IFS(AND(F4290&gt;=8,G4290&gt;=8,H4290&gt;=8),"CHAMPION",AND(F4290&gt;=6,G4290&gt;=7,H4290&gt;=6),"LOYAL CUSTOMER",AND(F4290&gt;=6,G4290&gt;=5,H4290&gt;=5),"POTENTIAL LOYALIST",AND(F4290&gt;=8,G4290&lt;=2,H4290&gt;=5),"NEW CUSTOMERS",AND(F4290&gt;=6,G4290&lt;=2,H4290&gt;=3),"PROMISING",AND(F4290&gt;=3,G4290&gt;=3,H4290&gt;=3),"NEED ATTENTION",AND(F4290&lt;=4,G4290&gt;=6,H4290&gt;=6),"AT RISK",AND(F4290&lt;=2,G4290&gt;=8,H4290&gt;=8),"CAN'T LOSE THEM",AND(F4290&lt;=2,G4290&lt;=2,H4290&lt;=2),"HIBERNATING",TRUE(),"Other")</f>
        <v>NEED ATTENTION</v>
      </c>
      <c r="K4290" s="1" t="n">
        <f aca="false">RANK(E4290,$E$7:$E$4378)+COUNTIF($E$7:E4290,E4290)-1</f>
        <v>1664</v>
      </c>
    </row>
    <row r="4291" customFormat="false" ht="14.25" hidden="false" customHeight="true" outlineLevel="0" collapsed="false">
      <c r="A4291" s="51" t="n">
        <v>18171</v>
      </c>
      <c r="B4291" s="53" t="n">
        <v>40828.3840277778</v>
      </c>
      <c r="C4291" s="57" t="n">
        <f aca="false">INT($C$2)-INT(Table3[[#This Row],[Last Purchase Date]])</f>
        <v>59</v>
      </c>
      <c r="D4291" s="1" t="n">
        <v>7</v>
      </c>
      <c r="E4291" s="1" t="n">
        <v>1208.51</v>
      </c>
      <c r="F4291" s="1" t="n">
        <f aca="false">ROUND((1-_xlfn.PERCENTRANK.INC($C$7:$C$4378,C4291))*9,0)</f>
        <v>4</v>
      </c>
      <c r="G4291" s="1" t="n">
        <f aca="false">ROUND(_xlfn.PERCENTRANK.INC($D$7:$D$4378,D4291)*9,0)</f>
        <v>7</v>
      </c>
      <c r="H4291" s="1" t="n">
        <f aca="false">ROUND(_xlfn.PERCENTRANK.INC($E$7:$E$4378,E4291)*9,0)</f>
        <v>6</v>
      </c>
      <c r="I4291" s="1" t="str">
        <f aca="false">CONCATENATE(F4291,G4291,H4291)</f>
        <v>476</v>
      </c>
      <c r="J4291" s="1" t="str">
        <f aca="false">_xlfn.IFS(AND(F4291&gt;=8,G4291&gt;=8,H4291&gt;=8),"CHAMPION",AND(F4291&gt;=6,G4291&gt;=7,H4291&gt;=6),"LOYAL CUSTOMER",AND(F4291&gt;=6,G4291&gt;=5,H4291&gt;=5),"POTENTIAL LOYALIST",AND(F4291&gt;=8,G4291&lt;=2,H4291&gt;=5),"NEW CUSTOMERS",AND(F4291&gt;=6,G4291&lt;=2,H4291&gt;=3),"PROMISING",AND(F4291&gt;=3,G4291&gt;=3,H4291&gt;=3),"NEED ATTENTION",AND(F4291&lt;=4,G4291&gt;=6,H4291&gt;=6),"AT RISK",AND(F4291&lt;=2,G4291&gt;=8,H4291&gt;=8),"CAN'T LOSE THEM",AND(F4291&lt;=2,G4291&lt;=2,H4291&lt;=2),"HIBERNATING",TRUE(),"Other")</f>
        <v>NEED ATTENTION</v>
      </c>
      <c r="K4291" s="1" t="n">
        <f aca="false">RANK(E4291,$E$7:$E$4378)+COUNTIF($E$7:E4291,E4291)-1</f>
        <v>1406</v>
      </c>
    </row>
    <row r="4292" customFormat="false" ht="14.25" hidden="false" customHeight="true" outlineLevel="0" collapsed="false">
      <c r="A4292" s="51" t="n">
        <v>18172</v>
      </c>
      <c r="B4292" s="53" t="n">
        <v>40872.4666666667</v>
      </c>
      <c r="C4292" s="57" t="n">
        <f aca="false">INT($C$2)-INT(Table3[[#This Row],[Last Purchase Date]])</f>
        <v>15</v>
      </c>
      <c r="D4292" s="1" t="n">
        <v>25</v>
      </c>
      <c r="E4292" s="1" t="n">
        <v>7490.17</v>
      </c>
      <c r="F4292" s="1" t="n">
        <f aca="false">ROUND((1-_xlfn.PERCENTRANK.INC($C$7:$C$4378,C4292))*9,0)</f>
        <v>7</v>
      </c>
      <c r="G4292" s="1" t="n">
        <f aca="false">ROUND(_xlfn.PERCENTRANK.INC($D$7:$D$4378,D4292)*9,0)</f>
        <v>9</v>
      </c>
      <c r="H4292" s="1" t="n">
        <f aca="false">ROUND(_xlfn.PERCENTRANK.INC($E$7:$E$4378,E4292)*9,0)</f>
        <v>9</v>
      </c>
      <c r="I4292" s="1" t="str">
        <f aca="false">CONCATENATE(F4292,G4292,H4292)</f>
        <v>799</v>
      </c>
      <c r="J4292" s="1" t="str">
        <f aca="false">_xlfn.IFS(AND(F4292&gt;=8,G4292&gt;=8,H4292&gt;=8),"CHAMPION",AND(F4292&gt;=6,G4292&gt;=7,H4292&gt;=6),"LOYAL CUSTOMER",AND(F4292&gt;=6,G4292&gt;=5,H4292&gt;=5),"POTENTIAL LOYALIST",AND(F4292&gt;=8,G4292&lt;=2,H4292&gt;=5),"NEW CUSTOMERS",AND(F4292&gt;=6,G4292&lt;=2,H4292&gt;=3),"PROMISING",AND(F4292&gt;=3,G4292&gt;=3,H4292&gt;=3),"NEED ATTENTION",AND(F4292&lt;=4,G4292&gt;=6,H4292&gt;=6),"AT RISK",AND(F4292&lt;=2,G4292&gt;=8,H4292&gt;=8),"CAN'T LOSE THEM",AND(F4292&lt;=2,G4292&lt;=2,H4292&lt;=2),"HIBERNATING",TRUE(),"Other")</f>
        <v>LOYAL CUSTOMER</v>
      </c>
      <c r="K4292" s="1" t="n">
        <f aca="false">RANK(E4292,$E$7:$E$4378)+COUNTIF($E$7:E4292,E4292)-1</f>
        <v>141</v>
      </c>
    </row>
    <row r="4293" customFormat="false" ht="14.25" hidden="false" customHeight="true" outlineLevel="0" collapsed="false">
      <c r="A4293" s="51" t="n">
        <v>18173</v>
      </c>
      <c r="B4293" s="53" t="n">
        <v>40800.4763888889</v>
      </c>
      <c r="C4293" s="57" t="n">
        <f aca="false">INT($C$2)-INT(Table3[[#This Row],[Last Purchase Date]])</f>
        <v>87</v>
      </c>
      <c r="D4293" s="1" t="n">
        <v>4</v>
      </c>
      <c r="E4293" s="1" t="n">
        <v>2106.84</v>
      </c>
      <c r="F4293" s="1" t="n">
        <f aca="false">ROUND((1-_xlfn.PERCENTRANK.INC($C$7:$C$4378,C4293))*9,0)</f>
        <v>3</v>
      </c>
      <c r="G4293" s="1" t="n">
        <f aca="false">ROUND(_xlfn.PERCENTRANK.INC($D$7:$D$4378,D4293)*9,0)</f>
        <v>5</v>
      </c>
      <c r="H4293" s="1" t="n">
        <f aca="false">ROUND(_xlfn.PERCENTRANK.INC($E$7:$E$4378,E4293)*9,0)</f>
        <v>7</v>
      </c>
      <c r="I4293" s="1" t="str">
        <f aca="false">CONCATENATE(F4293,G4293,H4293)</f>
        <v>357</v>
      </c>
      <c r="J4293" s="1" t="str">
        <f aca="false">_xlfn.IFS(AND(F4293&gt;=8,G4293&gt;=8,H4293&gt;=8),"CHAMPION",AND(F4293&gt;=6,G4293&gt;=7,H4293&gt;=6),"LOYAL CUSTOMER",AND(F4293&gt;=6,G4293&gt;=5,H4293&gt;=5),"POTENTIAL LOYALIST",AND(F4293&gt;=8,G4293&lt;=2,H4293&gt;=5),"NEW CUSTOMERS",AND(F4293&gt;=6,G4293&lt;=2,H4293&gt;=3),"PROMISING",AND(F4293&gt;=3,G4293&gt;=3,H4293&gt;=3),"NEED ATTENTION",AND(F4293&lt;=4,G4293&gt;=6,H4293&gt;=6),"AT RISK",AND(F4293&lt;=2,G4293&gt;=8,H4293&gt;=8),"CAN'T LOSE THEM",AND(F4293&lt;=2,G4293&lt;=2,H4293&lt;=2),"HIBERNATING",TRUE(),"Other")</f>
        <v>NEED ATTENTION</v>
      </c>
      <c r="K4293" s="1" t="n">
        <f aca="false">RANK(E4293,$E$7:$E$4378)+COUNTIF($E$7:E4293,E4293)-1</f>
        <v>823</v>
      </c>
    </row>
    <row r="4294" customFormat="false" ht="14.25" hidden="false" customHeight="true" outlineLevel="0" collapsed="false">
      <c r="A4294" s="51" t="n">
        <v>18174</v>
      </c>
      <c r="B4294" s="53" t="n">
        <v>40879.7055555556</v>
      </c>
      <c r="C4294" s="57" t="n">
        <f aca="false">INT($C$2)-INT(Table3[[#This Row],[Last Purchase Date]])</f>
        <v>8</v>
      </c>
      <c r="D4294" s="1" t="n">
        <v>1</v>
      </c>
      <c r="E4294" s="1" t="n">
        <v>104</v>
      </c>
      <c r="F4294" s="1" t="n">
        <f aca="false">ROUND((1-_xlfn.PERCENTRANK.INC($C$7:$C$4378,C4294))*9,0)</f>
        <v>8</v>
      </c>
      <c r="G4294" s="1" t="n">
        <f aca="false">ROUND(_xlfn.PERCENTRANK.INC($D$7:$D$4378,D4294)*9,0)</f>
        <v>0</v>
      </c>
      <c r="H4294" s="1" t="n">
        <f aca="false">ROUND(_xlfn.PERCENTRANK.INC($E$7:$E$4378,E4294)*9,0)</f>
        <v>0</v>
      </c>
      <c r="I4294" s="1" t="str">
        <f aca="false">CONCATENATE(F4294,G4294,H4294)</f>
        <v>800</v>
      </c>
      <c r="J4294" s="1" t="str">
        <f aca="false">_xlfn.IFS(AND(F4294&gt;=8,G4294&gt;=8,H4294&gt;=8),"CHAMPION",AND(F4294&gt;=6,G4294&gt;=7,H4294&gt;=6),"LOYAL CUSTOMER",AND(F4294&gt;=6,G4294&gt;=5,H4294&gt;=5),"POTENTIAL LOYALIST",AND(F4294&gt;=8,G4294&lt;=2,H4294&gt;=5),"NEW CUSTOMERS",AND(F4294&gt;=6,G4294&lt;=2,H4294&gt;=3),"PROMISING",AND(F4294&gt;=3,G4294&gt;=3,H4294&gt;=3),"NEED ATTENTION",AND(F4294&lt;=4,G4294&gt;=6,H4294&gt;=6),"AT RISK",AND(F4294&lt;=2,G4294&gt;=8,H4294&gt;=8),"CAN'T LOSE THEM",AND(F4294&lt;=2,G4294&lt;=2,H4294&lt;=2),"HIBERNATING",TRUE(),"Other")</f>
        <v>Other</v>
      </c>
      <c r="K4294" s="1" t="n">
        <f aca="false">RANK(E4294,$E$7:$E$4378)+COUNTIF($E$7:E4294,E4294)-1</f>
        <v>4138</v>
      </c>
    </row>
    <row r="4295" customFormat="false" ht="14.25" hidden="false" customHeight="true" outlineLevel="0" collapsed="false">
      <c r="A4295" s="51" t="n">
        <v>18176</v>
      </c>
      <c r="B4295" s="53" t="n">
        <v>40533.5229166667</v>
      </c>
      <c r="C4295" s="57" t="n">
        <f aca="false">INT($C$2)-INT(Table3[[#This Row],[Last Purchase Date]])</f>
        <v>354</v>
      </c>
      <c r="D4295" s="1" t="n">
        <v>2</v>
      </c>
      <c r="E4295" s="1" t="n">
        <v>448.65</v>
      </c>
      <c r="F4295" s="1" t="n">
        <f aca="false">ROUND((1-_xlfn.PERCENTRANK.INC($C$7:$C$4378,C4295))*9,0)</f>
        <v>0</v>
      </c>
      <c r="G4295" s="1" t="n">
        <f aca="false">ROUND(_xlfn.PERCENTRANK.INC($D$7:$D$4378,D4295)*9,0)</f>
        <v>3</v>
      </c>
      <c r="H4295" s="1" t="n">
        <f aca="false">ROUND(_xlfn.PERCENTRANK.INC($E$7:$E$4378,E4295)*9,0)</f>
        <v>3</v>
      </c>
      <c r="I4295" s="1" t="str">
        <f aca="false">CONCATENATE(F4295,G4295,H4295)</f>
        <v>033</v>
      </c>
      <c r="J4295" s="1" t="str">
        <f aca="false">_xlfn.IFS(AND(F4295&gt;=8,G4295&gt;=8,H4295&gt;=8),"CHAMPION",AND(F4295&gt;=6,G4295&gt;=7,H4295&gt;=6),"LOYAL CUSTOMER",AND(F4295&gt;=6,G4295&gt;=5,H4295&gt;=5),"POTENTIAL LOYALIST",AND(F4295&gt;=8,G4295&lt;=2,H4295&gt;=5),"NEW CUSTOMERS",AND(F4295&gt;=6,G4295&lt;=2,H4295&gt;=3),"PROMISING",AND(F4295&gt;=3,G4295&gt;=3,H4295&gt;=3),"NEED ATTENTION",AND(F4295&lt;=4,G4295&gt;=6,H4295&gt;=6),"AT RISK",AND(F4295&lt;=2,G4295&gt;=8,H4295&gt;=8),"CAN'T LOSE THEM",AND(F4295&lt;=2,G4295&lt;=2,H4295&lt;=2),"HIBERNATING",TRUE(),"Other")</f>
        <v>Other</v>
      </c>
      <c r="K4295" s="1" t="n">
        <f aca="false">RANK(E4295,$E$7:$E$4378)+COUNTIF($E$7:E4295,E4295)-1</f>
        <v>2678</v>
      </c>
    </row>
    <row r="4296" customFormat="false" ht="14.25" hidden="false" customHeight="true" outlineLevel="0" collapsed="false">
      <c r="A4296" s="51" t="n">
        <v>18177</v>
      </c>
      <c r="B4296" s="53" t="n">
        <v>40855.6138888889</v>
      </c>
      <c r="C4296" s="57" t="n">
        <f aca="false">INT($C$2)-INT(Table3[[#This Row],[Last Purchase Date]])</f>
        <v>32</v>
      </c>
      <c r="D4296" s="1" t="n">
        <v>7</v>
      </c>
      <c r="E4296" s="1" t="n">
        <v>1314.17</v>
      </c>
      <c r="F4296" s="1" t="n">
        <f aca="false">ROUND((1-_xlfn.PERCENTRANK.INC($C$7:$C$4378,C4296))*9,0)</f>
        <v>5</v>
      </c>
      <c r="G4296" s="1" t="n">
        <f aca="false">ROUND(_xlfn.PERCENTRANK.INC($D$7:$D$4378,D4296)*9,0)</f>
        <v>7</v>
      </c>
      <c r="H4296" s="1" t="n">
        <f aca="false">ROUND(_xlfn.PERCENTRANK.INC($E$7:$E$4378,E4296)*9,0)</f>
        <v>6</v>
      </c>
      <c r="I4296" s="1" t="str">
        <f aca="false">CONCATENATE(F4296,G4296,H4296)</f>
        <v>576</v>
      </c>
      <c r="J4296" s="1" t="str">
        <f aca="false">_xlfn.IFS(AND(F4296&gt;=8,G4296&gt;=8,H4296&gt;=8),"CHAMPION",AND(F4296&gt;=6,G4296&gt;=7,H4296&gt;=6),"LOYAL CUSTOMER",AND(F4296&gt;=6,G4296&gt;=5,H4296&gt;=5),"POTENTIAL LOYALIST",AND(F4296&gt;=8,G4296&lt;=2,H4296&gt;=5),"NEW CUSTOMERS",AND(F4296&gt;=6,G4296&lt;=2,H4296&gt;=3),"PROMISING",AND(F4296&gt;=3,G4296&gt;=3,H4296&gt;=3),"NEED ATTENTION",AND(F4296&lt;=4,G4296&gt;=6,H4296&gt;=6),"AT RISK",AND(F4296&lt;=2,G4296&gt;=8,H4296&gt;=8),"CAN'T LOSE THEM",AND(F4296&lt;=2,G4296&lt;=2,H4296&lt;=2),"HIBERNATING",TRUE(),"Other")</f>
        <v>NEED ATTENTION</v>
      </c>
      <c r="K4296" s="1" t="n">
        <f aca="false">RANK(E4296,$E$7:$E$4378)+COUNTIF($E$7:E4296,E4296)-1</f>
        <v>1308</v>
      </c>
    </row>
    <row r="4297" customFormat="false" ht="14.25" hidden="false" customHeight="true" outlineLevel="0" collapsed="false">
      <c r="A4297" s="51" t="n">
        <v>18178</v>
      </c>
      <c r="B4297" s="53" t="n">
        <v>40773.2736111111</v>
      </c>
      <c r="C4297" s="57" t="n">
        <f aca="false">INT($C$2)-INT(Table3[[#This Row],[Last Purchase Date]])</f>
        <v>114</v>
      </c>
      <c r="D4297" s="1" t="n">
        <v>6</v>
      </c>
      <c r="E4297" s="1" t="n">
        <v>1573.41</v>
      </c>
      <c r="F4297" s="1" t="n">
        <f aca="false">ROUND((1-_xlfn.PERCENTRANK.INC($C$7:$C$4378,C4297))*9,0)</f>
        <v>3</v>
      </c>
      <c r="G4297" s="1" t="n">
        <f aca="false">ROUND(_xlfn.PERCENTRANK.INC($D$7:$D$4378,D4297)*9,0)</f>
        <v>7</v>
      </c>
      <c r="H4297" s="1" t="n">
        <f aca="false">ROUND(_xlfn.PERCENTRANK.INC($E$7:$E$4378,E4297)*9,0)</f>
        <v>7</v>
      </c>
      <c r="I4297" s="1" t="str">
        <f aca="false">CONCATENATE(F4297,G4297,H4297)</f>
        <v>377</v>
      </c>
      <c r="J4297" s="1" t="str">
        <f aca="false">_xlfn.IFS(AND(F4297&gt;=8,G4297&gt;=8,H4297&gt;=8),"CHAMPION",AND(F4297&gt;=6,G4297&gt;=7,H4297&gt;=6),"LOYAL CUSTOMER",AND(F4297&gt;=6,G4297&gt;=5,H4297&gt;=5),"POTENTIAL LOYALIST",AND(F4297&gt;=8,G4297&lt;=2,H4297&gt;=5),"NEW CUSTOMERS",AND(F4297&gt;=6,G4297&lt;=2,H4297&gt;=3),"PROMISING",AND(F4297&gt;=3,G4297&gt;=3,H4297&gt;=3),"NEED ATTENTION",AND(F4297&lt;=4,G4297&gt;=6,H4297&gt;=6),"AT RISK",AND(F4297&lt;=2,G4297&gt;=8,H4297&gt;=8),"CAN'T LOSE THEM",AND(F4297&lt;=2,G4297&lt;=2,H4297&lt;=2),"HIBERNATING",TRUE(),"Other")</f>
        <v>NEED ATTENTION</v>
      </c>
      <c r="K4297" s="1" t="n">
        <f aca="false">RANK(E4297,$E$7:$E$4378)+COUNTIF($E$7:E4297,E4297)-1</f>
        <v>1113</v>
      </c>
    </row>
    <row r="4298" customFormat="false" ht="14.25" hidden="false" customHeight="true" outlineLevel="0" collapsed="false">
      <c r="A4298" s="51" t="n">
        <v>18179</v>
      </c>
      <c r="B4298" s="53" t="n">
        <v>40877.6826388889</v>
      </c>
      <c r="C4298" s="57" t="n">
        <f aca="false">INT($C$2)-INT(Table3[[#This Row],[Last Purchase Date]])</f>
        <v>10</v>
      </c>
      <c r="D4298" s="1" t="n">
        <v>6</v>
      </c>
      <c r="E4298" s="1" t="n">
        <v>1793.17</v>
      </c>
      <c r="F4298" s="1" t="n">
        <f aca="false">ROUND((1-_xlfn.PERCENTRANK.INC($C$7:$C$4378,C4298))*9,0)</f>
        <v>8</v>
      </c>
      <c r="G4298" s="1" t="n">
        <f aca="false">ROUND(_xlfn.PERCENTRANK.INC($D$7:$D$4378,D4298)*9,0)</f>
        <v>7</v>
      </c>
      <c r="H4298" s="1" t="n">
        <f aca="false">ROUND(_xlfn.PERCENTRANK.INC($E$7:$E$4378,E4298)*9,0)</f>
        <v>7</v>
      </c>
      <c r="I4298" s="1" t="str">
        <f aca="false">CONCATENATE(F4298,G4298,H4298)</f>
        <v>877</v>
      </c>
      <c r="J4298" s="1" t="str">
        <f aca="false">_xlfn.IFS(AND(F4298&gt;=8,G4298&gt;=8,H4298&gt;=8),"CHAMPION",AND(F4298&gt;=6,G4298&gt;=7,H4298&gt;=6),"LOYAL CUSTOMER",AND(F4298&gt;=6,G4298&gt;=5,H4298&gt;=5),"POTENTIAL LOYALIST",AND(F4298&gt;=8,G4298&lt;=2,H4298&gt;=5),"NEW CUSTOMERS",AND(F4298&gt;=6,G4298&lt;=2,H4298&gt;=3),"PROMISING",AND(F4298&gt;=3,G4298&gt;=3,H4298&gt;=3),"NEED ATTENTION",AND(F4298&lt;=4,G4298&gt;=6,H4298&gt;=6),"AT RISK",AND(F4298&lt;=2,G4298&gt;=8,H4298&gt;=8),"CAN'T LOSE THEM",AND(F4298&lt;=2,G4298&lt;=2,H4298&lt;=2),"HIBERNATING",TRUE(),"Other")</f>
        <v>LOYAL CUSTOMER</v>
      </c>
      <c r="K4298" s="1" t="n">
        <f aca="false">RANK(E4298,$E$7:$E$4378)+COUNTIF($E$7:E4298,E4298)-1</f>
        <v>981</v>
      </c>
    </row>
    <row r="4299" customFormat="false" ht="14.25" hidden="false" customHeight="true" outlineLevel="0" collapsed="false">
      <c r="A4299" s="51" t="n">
        <v>18180</v>
      </c>
      <c r="B4299" s="53" t="n">
        <v>40882.3604166667</v>
      </c>
      <c r="C4299" s="57" t="n">
        <f aca="false">INT($C$2)-INT(Table3[[#This Row],[Last Purchase Date]])</f>
        <v>5</v>
      </c>
      <c r="D4299" s="1" t="n">
        <v>6</v>
      </c>
      <c r="E4299" s="1" t="n">
        <v>1843.75</v>
      </c>
      <c r="F4299" s="1" t="n">
        <f aca="false">ROUND((1-_xlfn.PERCENTRANK.INC($C$7:$C$4378,C4299))*9,0)</f>
        <v>8</v>
      </c>
      <c r="G4299" s="1" t="n">
        <f aca="false">ROUND(_xlfn.PERCENTRANK.INC($D$7:$D$4378,D4299)*9,0)</f>
        <v>7</v>
      </c>
      <c r="H4299" s="1" t="n">
        <f aca="false">ROUND(_xlfn.PERCENTRANK.INC($E$7:$E$4378,E4299)*9,0)</f>
        <v>7</v>
      </c>
      <c r="I4299" s="1" t="str">
        <f aca="false">CONCATENATE(F4299,G4299,H4299)</f>
        <v>877</v>
      </c>
      <c r="J4299" s="1" t="str">
        <f aca="false">_xlfn.IFS(AND(F4299&gt;=8,G4299&gt;=8,H4299&gt;=8),"CHAMPION",AND(F4299&gt;=6,G4299&gt;=7,H4299&gt;=6),"LOYAL CUSTOMER",AND(F4299&gt;=6,G4299&gt;=5,H4299&gt;=5),"POTENTIAL LOYALIST",AND(F4299&gt;=8,G4299&lt;=2,H4299&gt;=5),"NEW CUSTOMERS",AND(F4299&gt;=6,G4299&lt;=2,H4299&gt;=3),"PROMISING",AND(F4299&gt;=3,G4299&gt;=3,H4299&gt;=3),"NEED ATTENTION",AND(F4299&lt;=4,G4299&gt;=6,H4299&gt;=6),"AT RISK",AND(F4299&lt;=2,G4299&gt;=8,H4299&gt;=8),"CAN'T LOSE THEM",AND(F4299&lt;=2,G4299&lt;=2,H4299&lt;=2),"HIBERNATING",TRUE(),"Other")</f>
        <v>LOYAL CUSTOMER</v>
      </c>
      <c r="K4299" s="1" t="n">
        <f aca="false">RANK(E4299,$E$7:$E$4378)+COUNTIF($E$7:E4299,E4299)-1</f>
        <v>947</v>
      </c>
    </row>
    <row r="4300" customFormat="false" ht="14.25" hidden="false" customHeight="true" outlineLevel="0" collapsed="false">
      <c r="A4300" s="51" t="n">
        <v>18181</v>
      </c>
      <c r="B4300" s="53" t="n">
        <v>40862.6305555556</v>
      </c>
      <c r="C4300" s="57" t="n">
        <f aca="false">INT($C$2)-INT(Table3[[#This Row],[Last Purchase Date]])</f>
        <v>25</v>
      </c>
      <c r="D4300" s="1" t="n">
        <v>1</v>
      </c>
      <c r="E4300" s="1" t="n">
        <v>382.8</v>
      </c>
      <c r="F4300" s="1" t="n">
        <f aca="false">ROUND((1-_xlfn.PERCENTRANK.INC($C$7:$C$4378,C4300))*9,0)</f>
        <v>6</v>
      </c>
      <c r="G4300" s="1" t="n">
        <f aca="false">ROUND(_xlfn.PERCENTRANK.INC($D$7:$D$4378,D4300)*9,0)</f>
        <v>0</v>
      </c>
      <c r="H4300" s="1" t="n">
        <f aca="false">ROUND(_xlfn.PERCENTRANK.INC($E$7:$E$4378,E4300)*9,0)</f>
        <v>3</v>
      </c>
      <c r="I4300" s="1" t="str">
        <f aca="false">CONCATENATE(F4300,G4300,H4300)</f>
        <v>603</v>
      </c>
      <c r="J4300" s="1" t="str">
        <f aca="false">_xlfn.IFS(AND(F4300&gt;=8,G4300&gt;=8,H4300&gt;=8),"CHAMPION",AND(F4300&gt;=6,G4300&gt;=7,H4300&gt;=6),"LOYAL CUSTOMER",AND(F4300&gt;=6,G4300&gt;=5,H4300&gt;=5),"POTENTIAL LOYALIST",AND(F4300&gt;=8,G4300&lt;=2,H4300&gt;=5),"NEW CUSTOMERS",AND(F4300&gt;=6,G4300&lt;=2,H4300&gt;=3),"PROMISING",AND(F4300&gt;=3,G4300&gt;=3,H4300&gt;=3),"NEED ATTENTION",AND(F4300&lt;=4,G4300&gt;=6,H4300&gt;=6),"AT RISK",AND(F4300&lt;=2,G4300&gt;=8,H4300&gt;=8),"CAN'T LOSE THEM",AND(F4300&lt;=2,G4300&lt;=2,H4300&lt;=2),"HIBERNATING",TRUE(),"Other")</f>
        <v>PROMISING</v>
      </c>
      <c r="K4300" s="1" t="n">
        <f aca="false">RANK(E4300,$E$7:$E$4378)+COUNTIF($E$7:E4300,E4300)-1</f>
        <v>2879</v>
      </c>
    </row>
    <row r="4301" customFormat="false" ht="14.25" hidden="false" customHeight="true" outlineLevel="0" collapsed="false">
      <c r="A4301" s="51" t="n">
        <v>18183</v>
      </c>
      <c r="B4301" s="53" t="n">
        <v>40668.7409722222</v>
      </c>
      <c r="C4301" s="57" t="n">
        <f aca="false">INT($C$2)-INT(Table3[[#This Row],[Last Purchase Date]])</f>
        <v>219</v>
      </c>
      <c r="D4301" s="1" t="n">
        <v>6</v>
      </c>
      <c r="E4301" s="1" t="n">
        <v>600.52</v>
      </c>
      <c r="F4301" s="1" t="n">
        <f aca="false">ROUND((1-_xlfn.PERCENTRANK.INC($C$7:$C$4378,C4301))*9,0)</f>
        <v>1</v>
      </c>
      <c r="G4301" s="1" t="n">
        <f aca="false">ROUND(_xlfn.PERCENTRANK.INC($D$7:$D$4378,D4301)*9,0)</f>
        <v>7</v>
      </c>
      <c r="H4301" s="1" t="n">
        <f aca="false">ROUND(_xlfn.PERCENTRANK.INC($E$7:$E$4378,E4301)*9,0)</f>
        <v>4</v>
      </c>
      <c r="I4301" s="1" t="str">
        <f aca="false">CONCATENATE(F4301,G4301,H4301)</f>
        <v>174</v>
      </c>
      <c r="J4301" s="1" t="str">
        <f aca="false">_xlfn.IFS(AND(F4301&gt;=8,G4301&gt;=8,H4301&gt;=8),"CHAMPION",AND(F4301&gt;=6,G4301&gt;=7,H4301&gt;=6),"LOYAL CUSTOMER",AND(F4301&gt;=6,G4301&gt;=5,H4301&gt;=5),"POTENTIAL LOYALIST",AND(F4301&gt;=8,G4301&lt;=2,H4301&gt;=5),"NEW CUSTOMERS",AND(F4301&gt;=6,G4301&lt;=2,H4301&gt;=3),"PROMISING",AND(F4301&gt;=3,G4301&gt;=3,H4301&gt;=3),"NEED ATTENTION",AND(F4301&lt;=4,G4301&gt;=6,H4301&gt;=6),"AT RISK",AND(F4301&lt;=2,G4301&gt;=8,H4301&gt;=8),"CAN'T LOSE THEM",AND(F4301&lt;=2,G4301&lt;=2,H4301&lt;=2),"HIBERNATING",TRUE(),"Other")</f>
        <v>Other</v>
      </c>
      <c r="K4301" s="1" t="n">
        <f aca="false">RANK(E4301,$E$7:$E$4378)+COUNTIF($E$7:E4301,E4301)-1</f>
        <v>2314</v>
      </c>
    </row>
    <row r="4302" customFormat="false" ht="14.25" hidden="false" customHeight="true" outlineLevel="0" collapsed="false">
      <c r="A4302" s="51" t="n">
        <v>18184</v>
      </c>
      <c r="B4302" s="53" t="n">
        <v>40871.6444444444</v>
      </c>
      <c r="C4302" s="57" t="n">
        <f aca="false">INT($C$2)-INT(Table3[[#This Row],[Last Purchase Date]])</f>
        <v>16</v>
      </c>
      <c r="D4302" s="1" t="n">
        <v>1</v>
      </c>
      <c r="E4302" s="1" t="n">
        <v>49.8</v>
      </c>
      <c r="F4302" s="1" t="n">
        <f aca="false">ROUND((1-_xlfn.PERCENTRANK.INC($C$7:$C$4378,C4302))*9,0)</f>
        <v>7</v>
      </c>
      <c r="G4302" s="1" t="n">
        <f aca="false">ROUND(_xlfn.PERCENTRANK.INC($D$7:$D$4378,D4302)*9,0)</f>
        <v>0</v>
      </c>
      <c r="H4302" s="1" t="n">
        <f aca="false">ROUND(_xlfn.PERCENTRANK.INC($E$7:$E$4378,E4302)*9,0)</f>
        <v>0</v>
      </c>
      <c r="I4302" s="1" t="str">
        <f aca="false">CONCATENATE(F4302,G4302,H4302)</f>
        <v>700</v>
      </c>
      <c r="J4302" s="1" t="str">
        <f aca="false">_xlfn.IFS(AND(F4302&gt;=8,G4302&gt;=8,H4302&gt;=8),"CHAMPION",AND(F4302&gt;=6,G4302&gt;=7,H4302&gt;=6),"LOYAL CUSTOMER",AND(F4302&gt;=6,G4302&gt;=5,H4302&gt;=5),"POTENTIAL LOYALIST",AND(F4302&gt;=8,G4302&lt;=2,H4302&gt;=5),"NEW CUSTOMERS",AND(F4302&gt;=6,G4302&lt;=2,H4302&gt;=3),"PROMISING",AND(F4302&gt;=3,G4302&gt;=3,H4302&gt;=3),"NEED ATTENTION",AND(F4302&lt;=4,G4302&gt;=6,H4302&gt;=6),"AT RISK",AND(F4302&lt;=2,G4302&gt;=8,H4302&gt;=8),"CAN'T LOSE THEM",AND(F4302&lt;=2,G4302&lt;=2,H4302&lt;=2),"HIBERNATING",TRUE(),"Other")</f>
        <v>Other</v>
      </c>
      <c r="K4302" s="1" t="n">
        <f aca="false">RANK(E4302,$E$7:$E$4378)+COUNTIF($E$7:E4302,E4302)-1</f>
        <v>4282</v>
      </c>
    </row>
    <row r="4303" customFormat="false" ht="14.25" hidden="false" customHeight="true" outlineLevel="0" collapsed="false">
      <c r="A4303" s="51" t="n">
        <v>18185</v>
      </c>
      <c r="B4303" s="53" t="n">
        <v>40637.5708333333</v>
      </c>
      <c r="C4303" s="57" t="n">
        <f aca="false">INT($C$2)-INT(Table3[[#This Row],[Last Purchase Date]])</f>
        <v>250</v>
      </c>
      <c r="D4303" s="1" t="n">
        <v>1</v>
      </c>
      <c r="E4303" s="1" t="n">
        <v>304.25</v>
      </c>
      <c r="F4303" s="1" t="n">
        <f aca="false">ROUND((1-_xlfn.PERCENTRANK.INC($C$7:$C$4378,C4303))*9,0)</f>
        <v>1</v>
      </c>
      <c r="G4303" s="1" t="n">
        <f aca="false">ROUND(_xlfn.PERCENTRANK.INC($D$7:$D$4378,D4303)*9,0)</f>
        <v>0</v>
      </c>
      <c r="H4303" s="1" t="n">
        <f aca="false">ROUND(_xlfn.PERCENTRANK.INC($E$7:$E$4378,E4303)*9,0)</f>
        <v>2</v>
      </c>
      <c r="I4303" s="1" t="str">
        <f aca="false">CONCATENATE(F4303,G4303,H4303)</f>
        <v>102</v>
      </c>
      <c r="J4303" s="1" t="str">
        <f aca="false">_xlfn.IFS(AND(F4303&gt;=8,G4303&gt;=8,H4303&gt;=8),"CHAMPION",AND(F4303&gt;=6,G4303&gt;=7,H4303&gt;=6),"LOYAL CUSTOMER",AND(F4303&gt;=6,G4303&gt;=5,H4303&gt;=5),"POTENTIAL LOYALIST",AND(F4303&gt;=8,G4303&lt;=2,H4303&gt;=5),"NEW CUSTOMERS",AND(F4303&gt;=6,G4303&lt;=2,H4303&gt;=3),"PROMISING",AND(F4303&gt;=3,G4303&gt;=3,H4303&gt;=3),"NEED ATTENTION",AND(F4303&lt;=4,G4303&gt;=6,H4303&gt;=6),"AT RISK",AND(F4303&lt;=2,G4303&gt;=8,H4303&gt;=8),"CAN'T LOSE THEM",AND(F4303&lt;=2,G4303&lt;=2,H4303&lt;=2),"HIBERNATING",TRUE(),"Other")</f>
        <v>HIBERNATING</v>
      </c>
      <c r="K4303" s="1" t="n">
        <f aca="false">RANK(E4303,$E$7:$E$4378)+COUNTIF($E$7:E4303,E4303)-1</f>
        <v>3230</v>
      </c>
    </row>
    <row r="4304" customFormat="false" ht="14.25" hidden="false" customHeight="true" outlineLevel="0" collapsed="false">
      <c r="A4304" s="51" t="n">
        <v>18188</v>
      </c>
      <c r="B4304" s="53" t="n">
        <v>40871.6986111111</v>
      </c>
      <c r="C4304" s="57" t="n">
        <f aca="false">INT($C$2)-INT(Table3[[#This Row],[Last Purchase Date]])</f>
        <v>16</v>
      </c>
      <c r="D4304" s="1" t="n">
        <v>4</v>
      </c>
      <c r="E4304" s="1" t="n">
        <v>1998.49</v>
      </c>
      <c r="F4304" s="1" t="n">
        <f aca="false">ROUND((1-_xlfn.PERCENTRANK.INC($C$7:$C$4378,C4304))*9,0)</f>
        <v>7</v>
      </c>
      <c r="G4304" s="1" t="n">
        <f aca="false">ROUND(_xlfn.PERCENTRANK.INC($D$7:$D$4378,D4304)*9,0)</f>
        <v>5</v>
      </c>
      <c r="H4304" s="1" t="n">
        <f aca="false">ROUND(_xlfn.PERCENTRANK.INC($E$7:$E$4378,E4304)*9,0)</f>
        <v>7</v>
      </c>
      <c r="I4304" s="1" t="str">
        <f aca="false">CONCATENATE(F4304,G4304,H4304)</f>
        <v>757</v>
      </c>
      <c r="J4304" s="1" t="str">
        <f aca="false">_xlfn.IFS(AND(F4304&gt;=8,G4304&gt;=8,H4304&gt;=8),"CHAMPION",AND(F4304&gt;=6,G4304&gt;=7,H4304&gt;=6),"LOYAL CUSTOMER",AND(F4304&gt;=6,G4304&gt;=5,H4304&gt;=5),"POTENTIAL LOYALIST",AND(F4304&gt;=8,G4304&lt;=2,H4304&gt;=5),"NEW CUSTOMERS",AND(F4304&gt;=6,G4304&lt;=2,H4304&gt;=3),"PROMISING",AND(F4304&gt;=3,G4304&gt;=3,H4304&gt;=3),"NEED ATTENTION",AND(F4304&lt;=4,G4304&gt;=6,H4304&gt;=6),"AT RISK",AND(F4304&lt;=2,G4304&gt;=8,H4304&gt;=8),"CAN'T LOSE THEM",AND(F4304&lt;=2,G4304&lt;=2,H4304&lt;=2),"HIBERNATING",TRUE(),"Other")</f>
        <v>POTENTIAL LOYALIST</v>
      </c>
      <c r="K4304" s="1" t="n">
        <f aca="false">RANK(E4304,$E$7:$E$4378)+COUNTIF($E$7:E4304,E4304)-1</f>
        <v>877</v>
      </c>
    </row>
    <row r="4305" customFormat="false" ht="14.25" hidden="false" customHeight="true" outlineLevel="0" collapsed="false">
      <c r="A4305" s="51" t="n">
        <v>18189</v>
      </c>
      <c r="B4305" s="53" t="n">
        <v>40809.5277777778</v>
      </c>
      <c r="C4305" s="57" t="n">
        <f aca="false">INT($C$2)-INT(Table3[[#This Row],[Last Purchase Date]])</f>
        <v>78</v>
      </c>
      <c r="D4305" s="1" t="n">
        <v>3</v>
      </c>
      <c r="E4305" s="1" t="n">
        <v>1084.34</v>
      </c>
      <c r="F4305" s="1" t="n">
        <f aca="false">ROUND((1-_xlfn.PERCENTRANK.INC($C$7:$C$4378,C4305))*9,0)</f>
        <v>3</v>
      </c>
      <c r="G4305" s="1" t="n">
        <f aca="false">ROUND(_xlfn.PERCENTRANK.INC($D$7:$D$4378,D4305)*9,0)</f>
        <v>4</v>
      </c>
      <c r="H4305" s="1" t="n">
        <f aca="false">ROUND(_xlfn.PERCENTRANK.INC($E$7:$E$4378,E4305)*9,0)</f>
        <v>6</v>
      </c>
      <c r="I4305" s="1" t="str">
        <f aca="false">CONCATENATE(F4305,G4305,H4305)</f>
        <v>346</v>
      </c>
      <c r="J4305" s="1" t="str">
        <f aca="false">_xlfn.IFS(AND(F4305&gt;=8,G4305&gt;=8,H4305&gt;=8),"CHAMPION",AND(F4305&gt;=6,G4305&gt;=7,H4305&gt;=6),"LOYAL CUSTOMER",AND(F4305&gt;=6,G4305&gt;=5,H4305&gt;=5),"POTENTIAL LOYALIST",AND(F4305&gt;=8,G4305&lt;=2,H4305&gt;=5),"NEW CUSTOMERS",AND(F4305&gt;=6,G4305&lt;=2,H4305&gt;=3),"PROMISING",AND(F4305&gt;=3,G4305&gt;=3,H4305&gt;=3),"NEED ATTENTION",AND(F4305&lt;=4,G4305&gt;=6,H4305&gt;=6),"AT RISK",AND(F4305&lt;=2,G4305&gt;=8,H4305&gt;=8),"CAN'T LOSE THEM",AND(F4305&lt;=2,G4305&lt;=2,H4305&lt;=2),"HIBERNATING",TRUE(),"Other")</f>
        <v>NEED ATTENTION</v>
      </c>
      <c r="K4305" s="1" t="n">
        <f aca="false">RANK(E4305,$E$7:$E$4378)+COUNTIF($E$7:E4305,E4305)-1</f>
        <v>1523</v>
      </c>
    </row>
    <row r="4306" customFormat="false" ht="14.25" hidden="false" customHeight="true" outlineLevel="0" collapsed="false">
      <c r="A4306" s="51" t="n">
        <v>18190</v>
      </c>
      <c r="B4306" s="53" t="n">
        <v>40694.6166666667</v>
      </c>
      <c r="C4306" s="57" t="n">
        <f aca="false">INT($C$2)-INT(Table3[[#This Row],[Last Purchase Date]])</f>
        <v>193</v>
      </c>
      <c r="D4306" s="1" t="n">
        <v>3</v>
      </c>
      <c r="E4306" s="1" t="n">
        <v>274.51</v>
      </c>
      <c r="F4306" s="1" t="n">
        <f aca="false">ROUND((1-_xlfn.PERCENTRANK.INC($C$7:$C$4378,C4306))*9,0)</f>
        <v>2</v>
      </c>
      <c r="G4306" s="1" t="n">
        <f aca="false">ROUND(_xlfn.PERCENTRANK.INC($D$7:$D$4378,D4306)*9,0)</f>
        <v>4</v>
      </c>
      <c r="H4306" s="1" t="n">
        <f aca="false">ROUND(_xlfn.PERCENTRANK.INC($E$7:$E$4378,E4306)*9,0)</f>
        <v>2</v>
      </c>
      <c r="I4306" s="1" t="str">
        <f aca="false">CONCATENATE(F4306,G4306,H4306)</f>
        <v>242</v>
      </c>
      <c r="J4306" s="1" t="str">
        <f aca="false">_xlfn.IFS(AND(F4306&gt;=8,G4306&gt;=8,H4306&gt;=8),"CHAMPION",AND(F4306&gt;=6,G4306&gt;=7,H4306&gt;=6),"LOYAL CUSTOMER",AND(F4306&gt;=6,G4306&gt;=5,H4306&gt;=5),"POTENTIAL LOYALIST",AND(F4306&gt;=8,G4306&lt;=2,H4306&gt;=5),"NEW CUSTOMERS",AND(F4306&gt;=6,G4306&lt;=2,H4306&gt;=3),"PROMISING",AND(F4306&gt;=3,G4306&gt;=3,H4306&gt;=3),"NEED ATTENTION",AND(F4306&lt;=4,G4306&gt;=6,H4306&gt;=6),"AT RISK",AND(F4306&lt;=2,G4306&gt;=8,H4306&gt;=8),"CAN'T LOSE THEM",AND(F4306&lt;=2,G4306&lt;=2,H4306&lt;=2),"HIBERNATING",TRUE(),"Other")</f>
        <v>Other</v>
      </c>
      <c r="K4306" s="1" t="n">
        <f aca="false">RANK(E4306,$E$7:$E$4378)+COUNTIF($E$7:E4306,E4306)-1</f>
        <v>3346</v>
      </c>
    </row>
    <row r="4307" customFormat="false" ht="14.25" hidden="false" customHeight="true" outlineLevel="0" collapsed="false">
      <c r="A4307" s="51" t="n">
        <v>18191</v>
      </c>
      <c r="B4307" s="53" t="n">
        <v>40625.5055555556</v>
      </c>
      <c r="C4307" s="57" t="n">
        <f aca="false">INT($C$2)-INT(Table3[[#This Row],[Last Purchase Date]])</f>
        <v>262</v>
      </c>
      <c r="D4307" s="1" t="n">
        <v>1</v>
      </c>
      <c r="E4307" s="1" t="n">
        <v>207.8</v>
      </c>
      <c r="F4307" s="1" t="n">
        <f aca="false">ROUND((1-_xlfn.PERCENTRANK.INC($C$7:$C$4378,C4307))*9,0)</f>
        <v>1</v>
      </c>
      <c r="G4307" s="1" t="n">
        <f aca="false">ROUND(_xlfn.PERCENTRANK.INC($D$7:$D$4378,D4307)*9,0)</f>
        <v>0</v>
      </c>
      <c r="H4307" s="1" t="n">
        <f aca="false">ROUND(_xlfn.PERCENTRANK.INC($E$7:$E$4378,E4307)*9,0)</f>
        <v>2</v>
      </c>
      <c r="I4307" s="1" t="str">
        <f aca="false">CONCATENATE(F4307,G4307,H4307)</f>
        <v>102</v>
      </c>
      <c r="J4307" s="1" t="str">
        <f aca="false">_xlfn.IFS(AND(F4307&gt;=8,G4307&gt;=8,H4307&gt;=8),"CHAMPION",AND(F4307&gt;=6,G4307&gt;=7,H4307&gt;=6),"LOYAL CUSTOMER",AND(F4307&gt;=6,G4307&gt;=5,H4307&gt;=5),"POTENTIAL LOYALIST",AND(F4307&gt;=8,G4307&lt;=2,H4307&gt;=5),"NEW CUSTOMERS",AND(F4307&gt;=6,G4307&lt;=2,H4307&gt;=3),"PROMISING",AND(F4307&gt;=3,G4307&gt;=3,H4307&gt;=3),"NEED ATTENTION",AND(F4307&lt;=4,G4307&gt;=6,H4307&gt;=6),"AT RISK",AND(F4307&lt;=2,G4307&gt;=8,H4307&gt;=8),"CAN'T LOSE THEM",AND(F4307&lt;=2,G4307&lt;=2,H4307&lt;=2),"HIBERNATING",TRUE(),"Other")</f>
        <v>HIBERNATING</v>
      </c>
      <c r="K4307" s="1" t="n">
        <f aca="false">RANK(E4307,$E$7:$E$4378)+COUNTIF($E$7:E4307,E4307)-1</f>
        <v>3621</v>
      </c>
    </row>
    <row r="4308" customFormat="false" ht="14.25" hidden="false" customHeight="true" outlineLevel="0" collapsed="false">
      <c r="A4308" s="51" t="n">
        <v>18192</v>
      </c>
      <c r="B4308" s="53" t="n">
        <v>40815.4118055556</v>
      </c>
      <c r="C4308" s="57" t="n">
        <f aca="false">INT($C$2)-INT(Table3[[#This Row],[Last Purchase Date]])</f>
        <v>72</v>
      </c>
      <c r="D4308" s="1" t="n">
        <v>1</v>
      </c>
      <c r="E4308" s="1" t="n">
        <v>957.97</v>
      </c>
      <c r="F4308" s="1" t="n">
        <f aca="false">ROUND((1-_xlfn.PERCENTRANK.INC($C$7:$C$4378,C4308))*9,0)</f>
        <v>4</v>
      </c>
      <c r="G4308" s="1" t="n">
        <f aca="false">ROUND(_xlfn.PERCENTRANK.INC($D$7:$D$4378,D4308)*9,0)</f>
        <v>0</v>
      </c>
      <c r="H4308" s="1" t="n">
        <f aca="false">ROUND(_xlfn.PERCENTRANK.INC($E$7:$E$4378,E4308)*9,0)</f>
        <v>6</v>
      </c>
      <c r="I4308" s="1" t="str">
        <f aca="false">CONCATENATE(F4308,G4308,H4308)</f>
        <v>406</v>
      </c>
      <c r="J4308" s="1" t="str">
        <f aca="false">_xlfn.IFS(AND(F4308&gt;=8,G4308&gt;=8,H4308&gt;=8),"CHAMPION",AND(F4308&gt;=6,G4308&gt;=7,H4308&gt;=6),"LOYAL CUSTOMER",AND(F4308&gt;=6,G4308&gt;=5,H4308&gt;=5),"POTENTIAL LOYALIST",AND(F4308&gt;=8,G4308&lt;=2,H4308&gt;=5),"NEW CUSTOMERS",AND(F4308&gt;=6,G4308&lt;=2,H4308&gt;=3),"PROMISING",AND(F4308&gt;=3,G4308&gt;=3,H4308&gt;=3),"NEED ATTENTION",AND(F4308&lt;=4,G4308&gt;=6,H4308&gt;=6),"AT RISK",AND(F4308&lt;=2,G4308&gt;=8,H4308&gt;=8),"CAN'T LOSE THEM",AND(F4308&lt;=2,G4308&lt;=2,H4308&lt;=2),"HIBERNATING",TRUE(),"Other")</f>
        <v>Other</v>
      </c>
      <c r="K4308" s="1" t="n">
        <f aca="false">RANK(E4308,$E$7:$E$4378)+COUNTIF($E$7:E4308,E4308)-1</f>
        <v>1689</v>
      </c>
    </row>
    <row r="4309" customFormat="false" ht="14.25" hidden="false" customHeight="true" outlineLevel="0" collapsed="false">
      <c r="A4309" s="51" t="n">
        <v>18193</v>
      </c>
      <c r="B4309" s="53" t="n">
        <v>40736.4555555556</v>
      </c>
      <c r="C4309" s="57" t="n">
        <f aca="false">INT($C$2)-INT(Table3[[#This Row],[Last Purchase Date]])</f>
        <v>151</v>
      </c>
      <c r="D4309" s="1" t="n">
        <v>3</v>
      </c>
      <c r="E4309" s="1" t="n">
        <v>212.96</v>
      </c>
      <c r="F4309" s="1" t="n">
        <f aca="false">ROUND((1-_xlfn.PERCENTRANK.INC($C$7:$C$4378,C4309))*9,0)</f>
        <v>2</v>
      </c>
      <c r="G4309" s="1" t="n">
        <f aca="false">ROUND(_xlfn.PERCENTRANK.INC($D$7:$D$4378,D4309)*9,0)</f>
        <v>4</v>
      </c>
      <c r="H4309" s="1" t="n">
        <f aca="false">ROUND(_xlfn.PERCENTRANK.INC($E$7:$E$4378,E4309)*9,0)</f>
        <v>2</v>
      </c>
      <c r="I4309" s="1" t="str">
        <f aca="false">CONCATENATE(F4309,G4309,H4309)</f>
        <v>242</v>
      </c>
      <c r="J4309" s="1" t="str">
        <f aca="false">_xlfn.IFS(AND(F4309&gt;=8,G4309&gt;=8,H4309&gt;=8),"CHAMPION",AND(F4309&gt;=6,G4309&gt;=7,H4309&gt;=6),"LOYAL CUSTOMER",AND(F4309&gt;=6,G4309&gt;=5,H4309&gt;=5),"POTENTIAL LOYALIST",AND(F4309&gt;=8,G4309&lt;=2,H4309&gt;=5),"NEW CUSTOMERS",AND(F4309&gt;=6,G4309&lt;=2,H4309&gt;=3),"PROMISING",AND(F4309&gt;=3,G4309&gt;=3,H4309&gt;=3),"NEED ATTENTION",AND(F4309&lt;=4,G4309&gt;=6,H4309&gt;=6),"AT RISK",AND(F4309&lt;=2,G4309&gt;=8,H4309&gt;=8),"CAN'T LOSE THEM",AND(F4309&lt;=2,G4309&lt;=2,H4309&lt;=2),"HIBERNATING",TRUE(),"Other")</f>
        <v>Other</v>
      </c>
      <c r="K4309" s="1" t="n">
        <f aca="false">RANK(E4309,$E$7:$E$4378)+COUNTIF($E$7:E4309,E4309)-1</f>
        <v>3604</v>
      </c>
    </row>
    <row r="4310" customFormat="false" ht="14.25" hidden="false" customHeight="true" outlineLevel="0" collapsed="false">
      <c r="A4310" s="51" t="n">
        <v>18194</v>
      </c>
      <c r="B4310" s="53" t="n">
        <v>40822.8291666667</v>
      </c>
      <c r="C4310" s="57" t="n">
        <f aca="false">INT($C$2)-INT(Table3[[#This Row],[Last Purchase Date]])</f>
        <v>65</v>
      </c>
      <c r="D4310" s="1" t="n">
        <v>2</v>
      </c>
      <c r="E4310" s="1" t="n">
        <v>896</v>
      </c>
      <c r="F4310" s="1" t="n">
        <f aca="false">ROUND((1-_xlfn.PERCENTRANK.INC($C$7:$C$4378,C4310))*9,0)</f>
        <v>4</v>
      </c>
      <c r="G4310" s="1" t="n">
        <f aca="false">ROUND(_xlfn.PERCENTRANK.INC($D$7:$D$4378,D4310)*9,0)</f>
        <v>3</v>
      </c>
      <c r="H4310" s="1" t="n">
        <f aca="false">ROUND(_xlfn.PERCENTRANK.INC($E$7:$E$4378,E4310)*9,0)</f>
        <v>5</v>
      </c>
      <c r="I4310" s="1" t="str">
        <f aca="false">CONCATENATE(F4310,G4310,H4310)</f>
        <v>435</v>
      </c>
      <c r="J4310" s="1" t="str">
        <f aca="false">_xlfn.IFS(AND(F4310&gt;=8,G4310&gt;=8,H4310&gt;=8),"CHAMPION",AND(F4310&gt;=6,G4310&gt;=7,H4310&gt;=6),"LOYAL CUSTOMER",AND(F4310&gt;=6,G4310&gt;=5,H4310&gt;=5),"POTENTIAL LOYALIST",AND(F4310&gt;=8,G4310&lt;=2,H4310&gt;=5),"NEW CUSTOMERS",AND(F4310&gt;=6,G4310&lt;=2,H4310&gt;=3),"PROMISING",AND(F4310&gt;=3,G4310&gt;=3,H4310&gt;=3),"NEED ATTENTION",AND(F4310&lt;=4,G4310&gt;=6,H4310&gt;=6),"AT RISK",AND(F4310&lt;=2,G4310&gt;=8,H4310&gt;=8),"CAN'T LOSE THEM",AND(F4310&lt;=2,G4310&lt;=2,H4310&lt;=2),"HIBERNATING",TRUE(),"Other")</f>
        <v>NEED ATTENTION</v>
      </c>
      <c r="K4310" s="1" t="n">
        <f aca="false">RANK(E4310,$E$7:$E$4378)+COUNTIF($E$7:E4310,E4310)-1</f>
        <v>1767</v>
      </c>
    </row>
    <row r="4311" customFormat="false" ht="14.25" hidden="false" customHeight="true" outlineLevel="0" collapsed="false">
      <c r="A4311" s="51" t="n">
        <v>18196</v>
      </c>
      <c r="B4311" s="53" t="n">
        <v>40791.6819444444</v>
      </c>
      <c r="C4311" s="57" t="n">
        <f aca="false">INT($C$2)-INT(Table3[[#This Row],[Last Purchase Date]])</f>
        <v>96</v>
      </c>
      <c r="D4311" s="1" t="n">
        <v>2</v>
      </c>
      <c r="E4311" s="1" t="n">
        <v>689.13</v>
      </c>
      <c r="F4311" s="1" t="n">
        <f aca="false">ROUND((1-_xlfn.PERCENTRANK.INC($C$7:$C$4378,C4311))*9,0)</f>
        <v>3</v>
      </c>
      <c r="G4311" s="1" t="n">
        <f aca="false">ROUND(_xlfn.PERCENTRANK.INC($D$7:$D$4378,D4311)*9,0)</f>
        <v>3</v>
      </c>
      <c r="H4311" s="1" t="n">
        <f aca="false">ROUND(_xlfn.PERCENTRANK.INC($E$7:$E$4378,E4311)*9,0)</f>
        <v>5</v>
      </c>
      <c r="I4311" s="1" t="str">
        <f aca="false">CONCATENATE(F4311,G4311,H4311)</f>
        <v>335</v>
      </c>
      <c r="J4311" s="1" t="str">
        <f aca="false">_xlfn.IFS(AND(F4311&gt;=8,G4311&gt;=8,H4311&gt;=8),"CHAMPION",AND(F4311&gt;=6,G4311&gt;=7,H4311&gt;=6),"LOYAL CUSTOMER",AND(F4311&gt;=6,G4311&gt;=5,H4311&gt;=5),"POTENTIAL LOYALIST",AND(F4311&gt;=8,G4311&lt;=2,H4311&gt;=5),"NEW CUSTOMERS",AND(F4311&gt;=6,G4311&lt;=2,H4311&gt;=3),"PROMISING",AND(F4311&gt;=3,G4311&gt;=3,H4311&gt;=3),"NEED ATTENTION",AND(F4311&lt;=4,G4311&gt;=6,H4311&gt;=6),"AT RISK",AND(F4311&lt;=2,G4311&gt;=8,H4311&gt;=8),"CAN'T LOSE THEM",AND(F4311&lt;=2,G4311&lt;=2,H4311&lt;=2),"HIBERNATING",TRUE(),"Other")</f>
        <v>NEED ATTENTION</v>
      </c>
      <c r="K4311" s="1" t="n">
        <f aca="false">RANK(E4311,$E$7:$E$4378)+COUNTIF($E$7:E4311,E4311)-1</f>
        <v>2083</v>
      </c>
    </row>
    <row r="4312" customFormat="false" ht="14.25" hidden="false" customHeight="true" outlineLevel="0" collapsed="false">
      <c r="A4312" s="51" t="n">
        <v>18198</v>
      </c>
      <c r="B4312" s="53" t="n">
        <v>40882.6173611111</v>
      </c>
      <c r="C4312" s="57" t="n">
        <f aca="false">INT($C$2)-INT(Table3[[#This Row],[Last Purchase Date]])</f>
        <v>5</v>
      </c>
      <c r="D4312" s="1" t="n">
        <v>21</v>
      </c>
      <c r="E4312" s="1" t="n">
        <v>5083.06</v>
      </c>
      <c r="F4312" s="1" t="n">
        <f aca="false">ROUND((1-_xlfn.PERCENTRANK.INC($C$7:$C$4378,C4312))*9,0)</f>
        <v>8</v>
      </c>
      <c r="G4312" s="1" t="n">
        <f aca="false">ROUND(_xlfn.PERCENTRANK.INC($D$7:$D$4378,D4312)*9,0)</f>
        <v>9</v>
      </c>
      <c r="H4312" s="1" t="n">
        <f aca="false">ROUND(_xlfn.PERCENTRANK.INC($E$7:$E$4378,E4312)*9,0)</f>
        <v>8</v>
      </c>
      <c r="I4312" s="1" t="str">
        <f aca="false">CONCATENATE(F4312,G4312,H4312)</f>
        <v>898</v>
      </c>
      <c r="J4312" s="1" t="str">
        <f aca="false">_xlfn.IFS(AND(F4312&gt;=8,G4312&gt;=8,H4312&gt;=8),"CHAMPION",AND(F4312&gt;=6,G4312&gt;=7,H4312&gt;=6),"LOYAL CUSTOMER",AND(F4312&gt;=6,G4312&gt;=5,H4312&gt;=5),"POTENTIAL LOYALIST",AND(F4312&gt;=8,G4312&lt;=2,H4312&gt;=5),"NEW CUSTOMERS",AND(F4312&gt;=6,G4312&lt;=2,H4312&gt;=3),"PROMISING",AND(F4312&gt;=3,G4312&gt;=3,H4312&gt;=3),"NEED ATTENTION",AND(F4312&lt;=4,G4312&gt;=6,H4312&gt;=6),"AT RISK",AND(F4312&lt;=2,G4312&gt;=8,H4312&gt;=8),"CAN'T LOSE THEM",AND(F4312&lt;=2,G4312&lt;=2,H4312&lt;=2),"HIBERNATING",TRUE(),"Other")</f>
        <v>CHAMPION</v>
      </c>
      <c r="K4312" s="1" t="n">
        <f aca="false">RANK(E4312,$E$7:$E$4378)+COUNTIF($E$7:E4312,E4312)-1</f>
        <v>253</v>
      </c>
    </row>
    <row r="4313" customFormat="false" ht="14.25" hidden="false" customHeight="true" outlineLevel="0" collapsed="false">
      <c r="A4313" s="51" t="n">
        <v>18200</v>
      </c>
      <c r="B4313" s="53" t="n">
        <v>40780.78125</v>
      </c>
      <c r="C4313" s="57" t="n">
        <f aca="false">INT($C$2)-INT(Table3[[#This Row],[Last Purchase Date]])</f>
        <v>107</v>
      </c>
      <c r="D4313" s="1" t="n">
        <v>1</v>
      </c>
      <c r="E4313" s="1" t="n">
        <v>163.8</v>
      </c>
      <c r="F4313" s="1" t="n">
        <f aca="false">ROUND((1-_xlfn.PERCENTRANK.INC($C$7:$C$4378,C4313))*9,0)</f>
        <v>3</v>
      </c>
      <c r="G4313" s="1" t="n">
        <f aca="false">ROUND(_xlfn.PERCENTRANK.INC($D$7:$D$4378,D4313)*9,0)</f>
        <v>0</v>
      </c>
      <c r="H4313" s="1" t="n">
        <f aca="false">ROUND(_xlfn.PERCENTRANK.INC($E$7:$E$4378,E4313)*9,0)</f>
        <v>1</v>
      </c>
      <c r="I4313" s="1" t="str">
        <f aca="false">CONCATENATE(F4313,G4313,H4313)</f>
        <v>301</v>
      </c>
      <c r="J4313" s="1" t="str">
        <f aca="false">_xlfn.IFS(AND(F4313&gt;=8,G4313&gt;=8,H4313&gt;=8),"CHAMPION",AND(F4313&gt;=6,G4313&gt;=7,H4313&gt;=6),"LOYAL CUSTOMER",AND(F4313&gt;=6,G4313&gt;=5,H4313&gt;=5),"POTENTIAL LOYALIST",AND(F4313&gt;=8,G4313&lt;=2,H4313&gt;=5),"NEW CUSTOMERS",AND(F4313&gt;=6,G4313&lt;=2,H4313&gt;=3),"PROMISING",AND(F4313&gt;=3,G4313&gt;=3,H4313&gt;=3),"NEED ATTENTION",AND(F4313&lt;=4,G4313&gt;=6,H4313&gt;=6),"AT RISK",AND(F4313&lt;=2,G4313&gt;=8,H4313&gt;=8),"CAN'T LOSE THEM",AND(F4313&lt;=2,G4313&lt;=2,H4313&lt;=2),"HIBERNATING",TRUE(),"Other")</f>
        <v>Other</v>
      </c>
      <c r="K4313" s="1" t="n">
        <f aca="false">RANK(E4313,$E$7:$E$4378)+COUNTIF($E$7:E4313,E4313)-1</f>
        <v>3837</v>
      </c>
    </row>
    <row r="4314" customFormat="false" ht="14.25" hidden="false" customHeight="true" outlineLevel="0" collapsed="false">
      <c r="A4314" s="51" t="n">
        <v>18202</v>
      </c>
      <c r="B4314" s="53" t="n">
        <v>40687.5083333333</v>
      </c>
      <c r="C4314" s="57" t="n">
        <f aca="false">INT($C$2)-INT(Table3[[#This Row],[Last Purchase Date]])</f>
        <v>200</v>
      </c>
      <c r="D4314" s="1" t="n">
        <v>3</v>
      </c>
      <c r="E4314" s="1" t="n">
        <v>1396.99</v>
      </c>
      <c r="F4314" s="1" t="n">
        <f aca="false">ROUND((1-_xlfn.PERCENTRANK.INC($C$7:$C$4378,C4314))*9,0)</f>
        <v>2</v>
      </c>
      <c r="G4314" s="1" t="n">
        <f aca="false">ROUND(_xlfn.PERCENTRANK.INC($D$7:$D$4378,D4314)*9,0)</f>
        <v>4</v>
      </c>
      <c r="H4314" s="1" t="n">
        <f aca="false">ROUND(_xlfn.PERCENTRANK.INC($E$7:$E$4378,E4314)*9,0)</f>
        <v>6</v>
      </c>
      <c r="I4314" s="1" t="str">
        <f aca="false">CONCATENATE(F4314,G4314,H4314)</f>
        <v>246</v>
      </c>
      <c r="J4314" s="1" t="str">
        <f aca="false">_xlfn.IFS(AND(F4314&gt;=8,G4314&gt;=8,H4314&gt;=8),"CHAMPION",AND(F4314&gt;=6,G4314&gt;=7,H4314&gt;=6),"LOYAL CUSTOMER",AND(F4314&gt;=6,G4314&gt;=5,H4314&gt;=5),"POTENTIAL LOYALIST",AND(F4314&gt;=8,G4314&lt;=2,H4314&gt;=5),"NEW CUSTOMERS",AND(F4314&gt;=6,G4314&lt;=2,H4314&gt;=3),"PROMISING",AND(F4314&gt;=3,G4314&gt;=3,H4314&gt;=3),"NEED ATTENTION",AND(F4314&lt;=4,G4314&gt;=6,H4314&gt;=6),"AT RISK",AND(F4314&lt;=2,G4314&gt;=8,H4314&gt;=8),"CAN'T LOSE THEM",AND(F4314&lt;=2,G4314&lt;=2,H4314&lt;=2),"HIBERNATING",TRUE(),"Other")</f>
        <v>Other</v>
      </c>
      <c r="K4314" s="1" t="n">
        <f aca="false">RANK(E4314,$E$7:$E$4378)+COUNTIF($E$7:E4314,E4314)-1</f>
        <v>1238</v>
      </c>
    </row>
    <row r="4315" customFormat="false" ht="14.25" hidden="false" customHeight="true" outlineLevel="0" collapsed="false">
      <c r="A4315" s="51" t="n">
        <v>18203</v>
      </c>
      <c r="B4315" s="53" t="n">
        <v>40729.5465277778</v>
      </c>
      <c r="C4315" s="57" t="n">
        <f aca="false">INT($C$2)-INT(Table3[[#This Row],[Last Purchase Date]])</f>
        <v>158</v>
      </c>
      <c r="D4315" s="1" t="n">
        <v>1</v>
      </c>
      <c r="E4315" s="1" t="n">
        <v>160.42</v>
      </c>
      <c r="F4315" s="1" t="n">
        <f aca="false">ROUND((1-_xlfn.PERCENTRANK.INC($C$7:$C$4378,C4315))*9,0)</f>
        <v>2</v>
      </c>
      <c r="G4315" s="1" t="n">
        <f aca="false">ROUND(_xlfn.PERCENTRANK.INC($D$7:$D$4378,D4315)*9,0)</f>
        <v>0</v>
      </c>
      <c r="H4315" s="1" t="n">
        <f aca="false">ROUND(_xlfn.PERCENTRANK.INC($E$7:$E$4378,E4315)*9,0)</f>
        <v>1</v>
      </c>
      <c r="I4315" s="1" t="str">
        <f aca="false">CONCATENATE(F4315,G4315,H4315)</f>
        <v>201</v>
      </c>
      <c r="J4315" s="1" t="str">
        <f aca="false">_xlfn.IFS(AND(F4315&gt;=8,G4315&gt;=8,H4315&gt;=8),"CHAMPION",AND(F4315&gt;=6,G4315&gt;=7,H4315&gt;=6),"LOYAL CUSTOMER",AND(F4315&gt;=6,G4315&gt;=5,H4315&gt;=5),"POTENTIAL LOYALIST",AND(F4315&gt;=8,G4315&lt;=2,H4315&gt;=5),"NEW CUSTOMERS",AND(F4315&gt;=6,G4315&lt;=2,H4315&gt;=3),"PROMISING",AND(F4315&gt;=3,G4315&gt;=3,H4315&gt;=3),"NEED ATTENTION",AND(F4315&lt;=4,G4315&gt;=6,H4315&gt;=6),"AT RISK",AND(F4315&lt;=2,G4315&gt;=8,H4315&gt;=8),"CAN'T LOSE THEM",AND(F4315&lt;=2,G4315&lt;=2,H4315&lt;=2),"HIBERNATING",TRUE(),"Other")</f>
        <v>HIBERNATING</v>
      </c>
      <c r="K4315" s="1" t="n">
        <f aca="false">RANK(E4315,$E$7:$E$4378)+COUNTIF($E$7:E4315,E4315)-1</f>
        <v>3859</v>
      </c>
    </row>
    <row r="4316" customFormat="false" ht="14.25" hidden="false" customHeight="true" outlineLevel="0" collapsed="false">
      <c r="A4316" s="51" t="n">
        <v>18204</v>
      </c>
      <c r="B4316" s="53" t="n">
        <v>40815.6972222222</v>
      </c>
      <c r="C4316" s="57" t="n">
        <f aca="false">INT($C$2)-INT(Table3[[#This Row],[Last Purchase Date]])</f>
        <v>72</v>
      </c>
      <c r="D4316" s="1" t="n">
        <v>4</v>
      </c>
      <c r="E4316" s="1" t="n">
        <v>1979.3</v>
      </c>
      <c r="F4316" s="1" t="n">
        <f aca="false">ROUND((1-_xlfn.PERCENTRANK.INC($C$7:$C$4378,C4316))*9,0)</f>
        <v>4</v>
      </c>
      <c r="G4316" s="1" t="n">
        <f aca="false">ROUND(_xlfn.PERCENTRANK.INC($D$7:$D$4378,D4316)*9,0)</f>
        <v>5</v>
      </c>
      <c r="H4316" s="1" t="n">
        <f aca="false">ROUND(_xlfn.PERCENTRANK.INC($E$7:$E$4378,E4316)*9,0)</f>
        <v>7</v>
      </c>
      <c r="I4316" s="1" t="str">
        <f aca="false">CONCATENATE(F4316,G4316,H4316)</f>
        <v>457</v>
      </c>
      <c r="J4316" s="1" t="str">
        <f aca="false">_xlfn.IFS(AND(F4316&gt;=8,G4316&gt;=8,H4316&gt;=8),"CHAMPION",AND(F4316&gt;=6,G4316&gt;=7,H4316&gt;=6),"LOYAL CUSTOMER",AND(F4316&gt;=6,G4316&gt;=5,H4316&gt;=5),"POTENTIAL LOYALIST",AND(F4316&gt;=8,G4316&lt;=2,H4316&gt;=5),"NEW CUSTOMERS",AND(F4316&gt;=6,G4316&lt;=2,H4316&gt;=3),"PROMISING",AND(F4316&gt;=3,G4316&gt;=3,H4316&gt;=3),"NEED ATTENTION",AND(F4316&lt;=4,G4316&gt;=6,H4316&gt;=6),"AT RISK",AND(F4316&lt;=2,G4316&gt;=8,H4316&gt;=8),"CAN'T LOSE THEM",AND(F4316&lt;=2,G4316&lt;=2,H4316&lt;=2),"HIBERNATING",TRUE(),"Other")</f>
        <v>NEED ATTENTION</v>
      </c>
      <c r="K4316" s="1" t="n">
        <f aca="false">RANK(E4316,$E$7:$E$4378)+COUNTIF($E$7:E4316,E4316)-1</f>
        <v>888</v>
      </c>
    </row>
    <row r="4317" customFormat="false" ht="14.25" hidden="false" customHeight="true" outlineLevel="0" collapsed="false">
      <c r="A4317" s="51" t="n">
        <v>18205</v>
      </c>
      <c r="B4317" s="53" t="n">
        <v>40850.5569444444</v>
      </c>
      <c r="C4317" s="57" t="n">
        <f aca="false">INT($C$2)-INT(Table3[[#This Row],[Last Purchase Date]])</f>
        <v>37</v>
      </c>
      <c r="D4317" s="1" t="n">
        <v>2</v>
      </c>
      <c r="E4317" s="1" t="n">
        <v>517.36</v>
      </c>
      <c r="F4317" s="1" t="n">
        <f aca="false">ROUND((1-_xlfn.PERCENTRANK.INC($C$7:$C$4378,C4317))*9,0)</f>
        <v>5</v>
      </c>
      <c r="G4317" s="1" t="n">
        <f aca="false">ROUND(_xlfn.PERCENTRANK.INC($D$7:$D$4378,D4317)*9,0)</f>
        <v>3</v>
      </c>
      <c r="H4317" s="1" t="n">
        <f aca="false">ROUND(_xlfn.PERCENTRANK.INC($E$7:$E$4378,E4317)*9,0)</f>
        <v>4</v>
      </c>
      <c r="I4317" s="1" t="str">
        <f aca="false">CONCATENATE(F4317,G4317,H4317)</f>
        <v>534</v>
      </c>
      <c r="J4317" s="1" t="str">
        <f aca="false">_xlfn.IFS(AND(F4317&gt;=8,G4317&gt;=8,H4317&gt;=8),"CHAMPION",AND(F4317&gt;=6,G4317&gt;=7,H4317&gt;=6),"LOYAL CUSTOMER",AND(F4317&gt;=6,G4317&gt;=5,H4317&gt;=5),"POTENTIAL LOYALIST",AND(F4317&gt;=8,G4317&lt;=2,H4317&gt;=5),"NEW CUSTOMERS",AND(F4317&gt;=6,G4317&lt;=2,H4317&gt;=3),"PROMISING",AND(F4317&gt;=3,G4317&gt;=3,H4317&gt;=3),"NEED ATTENTION",AND(F4317&lt;=4,G4317&gt;=6,H4317&gt;=6),"AT RISK",AND(F4317&lt;=2,G4317&gt;=8,H4317&gt;=8),"CAN'T LOSE THEM",AND(F4317&lt;=2,G4317&lt;=2,H4317&lt;=2),"HIBERNATING",TRUE(),"Other")</f>
        <v>NEED ATTENTION</v>
      </c>
      <c r="K4317" s="1" t="n">
        <f aca="false">RANK(E4317,$E$7:$E$4378)+COUNTIF($E$7:E4317,E4317)-1</f>
        <v>2504</v>
      </c>
    </row>
    <row r="4318" customFormat="false" ht="14.25" hidden="false" customHeight="true" outlineLevel="0" collapsed="false">
      <c r="A4318" s="51" t="n">
        <v>18209</v>
      </c>
      <c r="B4318" s="53" t="n">
        <v>40858.5048611111</v>
      </c>
      <c r="C4318" s="57" t="n">
        <f aca="false">INT($C$2)-INT(Table3[[#This Row],[Last Purchase Date]])</f>
        <v>29</v>
      </c>
      <c r="D4318" s="1" t="n">
        <v>1</v>
      </c>
      <c r="E4318" s="1" t="n">
        <v>139.1</v>
      </c>
      <c r="F4318" s="1" t="n">
        <f aca="false">ROUND((1-_xlfn.PERCENTRANK.INC($C$7:$C$4378,C4318))*9,0)</f>
        <v>6</v>
      </c>
      <c r="G4318" s="1" t="n">
        <f aca="false">ROUND(_xlfn.PERCENTRANK.INC($D$7:$D$4378,D4318)*9,0)</f>
        <v>0</v>
      </c>
      <c r="H4318" s="1" t="n">
        <f aca="false">ROUND(_xlfn.PERCENTRANK.INC($E$7:$E$4378,E4318)*9,0)</f>
        <v>1</v>
      </c>
      <c r="I4318" s="1" t="str">
        <f aca="false">CONCATENATE(F4318,G4318,H4318)</f>
        <v>601</v>
      </c>
      <c r="J4318" s="1" t="str">
        <f aca="false">_xlfn.IFS(AND(F4318&gt;=8,G4318&gt;=8,H4318&gt;=8),"CHAMPION",AND(F4318&gt;=6,G4318&gt;=7,H4318&gt;=6),"LOYAL CUSTOMER",AND(F4318&gt;=6,G4318&gt;=5,H4318&gt;=5),"POTENTIAL LOYALIST",AND(F4318&gt;=8,G4318&lt;=2,H4318&gt;=5),"NEW CUSTOMERS",AND(F4318&gt;=6,G4318&lt;=2,H4318&gt;=3),"PROMISING",AND(F4318&gt;=3,G4318&gt;=3,H4318&gt;=3),"NEED ATTENTION",AND(F4318&lt;=4,G4318&gt;=6,H4318&gt;=6),"AT RISK",AND(F4318&lt;=2,G4318&gt;=8,H4318&gt;=8),"CAN'T LOSE THEM",AND(F4318&lt;=2,G4318&lt;=2,H4318&lt;=2),"HIBERNATING",TRUE(),"Other")</f>
        <v>Other</v>
      </c>
      <c r="K4318" s="1" t="n">
        <f aca="false">RANK(E4318,$E$7:$E$4378)+COUNTIF($E$7:E4318,E4318)-1</f>
        <v>3963</v>
      </c>
    </row>
    <row r="4319" customFormat="false" ht="14.25" hidden="false" customHeight="true" outlineLevel="0" collapsed="false">
      <c r="A4319" s="51" t="n">
        <v>18210</v>
      </c>
      <c r="B4319" s="53" t="n">
        <v>40885.4597222222</v>
      </c>
      <c r="C4319" s="57" t="n">
        <f aca="false">INT($C$2)-INT(Table3[[#This Row],[Last Purchase Date]])</f>
        <v>2</v>
      </c>
      <c r="D4319" s="1" t="n">
        <v>6</v>
      </c>
      <c r="E4319" s="1" t="n">
        <v>2621.38</v>
      </c>
      <c r="F4319" s="1" t="n">
        <f aca="false">ROUND((1-_xlfn.PERCENTRANK.INC($C$7:$C$4378,C4319))*9,0)</f>
        <v>9</v>
      </c>
      <c r="G4319" s="1" t="n">
        <f aca="false">ROUND(_xlfn.PERCENTRANK.INC($D$7:$D$4378,D4319)*9,0)</f>
        <v>7</v>
      </c>
      <c r="H4319" s="1" t="n">
        <f aca="false">ROUND(_xlfn.PERCENTRANK.INC($E$7:$E$4378,E4319)*9,0)</f>
        <v>8</v>
      </c>
      <c r="I4319" s="1" t="str">
        <f aca="false">CONCATENATE(F4319,G4319,H4319)</f>
        <v>978</v>
      </c>
      <c r="J4319" s="1" t="str">
        <f aca="false">_xlfn.IFS(AND(F4319&gt;=8,G4319&gt;=8,H4319&gt;=8),"CHAMPION",AND(F4319&gt;=6,G4319&gt;=7,H4319&gt;=6),"LOYAL CUSTOMER",AND(F4319&gt;=6,G4319&gt;=5,H4319&gt;=5),"POTENTIAL LOYALIST",AND(F4319&gt;=8,G4319&lt;=2,H4319&gt;=5),"NEW CUSTOMERS",AND(F4319&gt;=6,G4319&lt;=2,H4319&gt;=3),"PROMISING",AND(F4319&gt;=3,G4319&gt;=3,H4319&gt;=3),"NEED ATTENTION",AND(F4319&lt;=4,G4319&gt;=6,H4319&gt;=6),"AT RISK",AND(F4319&lt;=2,G4319&gt;=8,H4319&gt;=8),"CAN'T LOSE THEM",AND(F4319&lt;=2,G4319&lt;=2,H4319&lt;=2),"HIBERNATING",TRUE(),"Other")</f>
        <v>LOYAL CUSTOMER</v>
      </c>
      <c r="K4319" s="1" t="n">
        <f aca="false">RANK(E4319,$E$7:$E$4378)+COUNTIF($E$7:E4319,E4319)-1</f>
        <v>637</v>
      </c>
    </row>
    <row r="4320" customFormat="false" ht="14.25" hidden="false" customHeight="true" outlineLevel="0" collapsed="false">
      <c r="A4320" s="51" t="n">
        <v>18211</v>
      </c>
      <c r="B4320" s="53" t="n">
        <v>40861.3402777778</v>
      </c>
      <c r="C4320" s="57" t="n">
        <f aca="false">INT($C$2)-INT(Table3[[#This Row],[Last Purchase Date]])</f>
        <v>26</v>
      </c>
      <c r="D4320" s="1" t="n">
        <v>5</v>
      </c>
      <c r="E4320" s="1" t="n">
        <v>600.07</v>
      </c>
      <c r="F4320" s="1" t="n">
        <f aca="false">ROUND((1-_xlfn.PERCENTRANK.INC($C$7:$C$4378,C4320))*9,0)</f>
        <v>6</v>
      </c>
      <c r="G4320" s="1" t="n">
        <f aca="false">ROUND(_xlfn.PERCENTRANK.INC($D$7:$D$4378,D4320)*9,0)</f>
        <v>6</v>
      </c>
      <c r="H4320" s="1" t="n">
        <f aca="false">ROUND(_xlfn.PERCENTRANK.INC($E$7:$E$4378,E4320)*9,0)</f>
        <v>4</v>
      </c>
      <c r="I4320" s="1" t="str">
        <f aca="false">CONCATENATE(F4320,G4320,H4320)</f>
        <v>664</v>
      </c>
      <c r="J4320" s="1" t="str">
        <f aca="false">_xlfn.IFS(AND(F4320&gt;=8,G4320&gt;=8,H4320&gt;=8),"CHAMPION",AND(F4320&gt;=6,G4320&gt;=7,H4320&gt;=6),"LOYAL CUSTOMER",AND(F4320&gt;=6,G4320&gt;=5,H4320&gt;=5),"POTENTIAL LOYALIST",AND(F4320&gt;=8,G4320&lt;=2,H4320&gt;=5),"NEW CUSTOMERS",AND(F4320&gt;=6,G4320&lt;=2,H4320&gt;=3),"PROMISING",AND(F4320&gt;=3,G4320&gt;=3,H4320&gt;=3),"NEED ATTENTION",AND(F4320&lt;=4,G4320&gt;=6,H4320&gt;=6),"AT RISK",AND(F4320&lt;=2,G4320&gt;=8,H4320&gt;=8),"CAN'T LOSE THEM",AND(F4320&lt;=2,G4320&lt;=2,H4320&lt;=2),"HIBERNATING",TRUE(),"Other")</f>
        <v>NEED ATTENTION</v>
      </c>
      <c r="K4320" s="1" t="n">
        <f aca="false">RANK(E4320,$E$7:$E$4378)+COUNTIF($E$7:E4320,E4320)-1</f>
        <v>2317</v>
      </c>
    </row>
    <row r="4321" customFormat="false" ht="14.25" hidden="false" customHeight="true" outlineLevel="0" collapsed="false">
      <c r="A4321" s="51" t="n">
        <v>18212</v>
      </c>
      <c r="B4321" s="53" t="n">
        <v>40560.6763888889</v>
      </c>
      <c r="C4321" s="57" t="n">
        <f aca="false">INT($C$2)-INT(Table3[[#This Row],[Last Purchase Date]])</f>
        <v>327</v>
      </c>
      <c r="D4321" s="1" t="n">
        <v>1</v>
      </c>
      <c r="E4321" s="1" t="n">
        <v>248.42</v>
      </c>
      <c r="F4321" s="1" t="n">
        <f aca="false">ROUND((1-_xlfn.PERCENTRANK.INC($C$7:$C$4378,C4321))*9,0)</f>
        <v>0</v>
      </c>
      <c r="G4321" s="1" t="n">
        <f aca="false">ROUND(_xlfn.PERCENTRANK.INC($D$7:$D$4378,D4321)*9,0)</f>
        <v>0</v>
      </c>
      <c r="H4321" s="1" t="n">
        <f aca="false">ROUND(_xlfn.PERCENTRANK.INC($E$7:$E$4378,E4321)*9,0)</f>
        <v>2</v>
      </c>
      <c r="I4321" s="1" t="str">
        <f aca="false">CONCATENATE(F4321,G4321,H4321)</f>
        <v>002</v>
      </c>
      <c r="J4321" s="1" t="str">
        <f aca="false">_xlfn.IFS(AND(F4321&gt;=8,G4321&gt;=8,H4321&gt;=8),"CHAMPION",AND(F4321&gt;=6,G4321&gt;=7,H4321&gt;=6),"LOYAL CUSTOMER",AND(F4321&gt;=6,G4321&gt;=5,H4321&gt;=5),"POTENTIAL LOYALIST",AND(F4321&gt;=8,G4321&lt;=2,H4321&gt;=5),"NEW CUSTOMERS",AND(F4321&gt;=6,G4321&lt;=2,H4321&gt;=3),"PROMISING",AND(F4321&gt;=3,G4321&gt;=3,H4321&gt;=3),"NEED ATTENTION",AND(F4321&lt;=4,G4321&gt;=6,H4321&gt;=6),"AT RISK",AND(F4321&lt;=2,G4321&gt;=8,H4321&gt;=8),"CAN'T LOSE THEM",AND(F4321&lt;=2,G4321&lt;=2,H4321&lt;=2),"HIBERNATING",TRUE(),"Other")</f>
        <v>HIBERNATING</v>
      </c>
      <c r="K4321" s="1" t="n">
        <f aca="false">RANK(E4321,$E$7:$E$4378)+COUNTIF($E$7:E4321,E4321)-1</f>
        <v>3445</v>
      </c>
    </row>
    <row r="4322" customFormat="false" ht="14.25" hidden="false" customHeight="true" outlineLevel="0" collapsed="false">
      <c r="A4322" s="51" t="n">
        <v>18213</v>
      </c>
      <c r="B4322" s="53" t="n">
        <v>40650.43125</v>
      </c>
      <c r="C4322" s="57" t="n">
        <f aca="false">INT($C$2)-INT(Table3[[#This Row],[Last Purchase Date]])</f>
        <v>237</v>
      </c>
      <c r="D4322" s="1" t="n">
        <v>1</v>
      </c>
      <c r="E4322" s="1" t="n">
        <v>232.48</v>
      </c>
      <c r="F4322" s="1" t="n">
        <f aca="false">ROUND((1-_xlfn.PERCENTRANK.INC($C$7:$C$4378,C4322))*9,0)</f>
        <v>1</v>
      </c>
      <c r="G4322" s="1" t="n">
        <f aca="false">ROUND(_xlfn.PERCENTRANK.INC($D$7:$D$4378,D4322)*9,0)</f>
        <v>0</v>
      </c>
      <c r="H4322" s="1" t="n">
        <f aca="false">ROUND(_xlfn.PERCENTRANK.INC($E$7:$E$4378,E4322)*9,0)</f>
        <v>2</v>
      </c>
      <c r="I4322" s="1" t="str">
        <f aca="false">CONCATENATE(F4322,G4322,H4322)</f>
        <v>102</v>
      </c>
      <c r="J4322" s="1" t="str">
        <f aca="false">_xlfn.IFS(AND(F4322&gt;=8,G4322&gt;=8,H4322&gt;=8),"CHAMPION",AND(F4322&gt;=6,G4322&gt;=7,H4322&gt;=6),"LOYAL CUSTOMER",AND(F4322&gt;=6,G4322&gt;=5,H4322&gt;=5),"POTENTIAL LOYALIST",AND(F4322&gt;=8,G4322&lt;=2,H4322&gt;=5),"NEW CUSTOMERS",AND(F4322&gt;=6,G4322&lt;=2,H4322&gt;=3),"PROMISING",AND(F4322&gt;=3,G4322&gt;=3,H4322&gt;=3),"NEED ATTENTION",AND(F4322&lt;=4,G4322&gt;=6,H4322&gt;=6),"AT RISK",AND(F4322&lt;=2,G4322&gt;=8,H4322&gt;=8),"CAN'T LOSE THEM",AND(F4322&lt;=2,G4322&lt;=2,H4322&lt;=2),"HIBERNATING",TRUE(),"Other")</f>
        <v>HIBERNATING</v>
      </c>
      <c r="K4322" s="1" t="n">
        <f aca="false">RANK(E4322,$E$7:$E$4378)+COUNTIF($E$7:E4322,E4322)-1</f>
        <v>3507</v>
      </c>
    </row>
    <row r="4323" customFormat="false" ht="14.25" hidden="false" customHeight="true" outlineLevel="0" collapsed="false">
      <c r="A4323" s="51" t="n">
        <v>18215</v>
      </c>
      <c r="B4323" s="53" t="n">
        <v>40797.6701388889</v>
      </c>
      <c r="C4323" s="57" t="n">
        <f aca="false">INT($C$2)-INT(Table3[[#This Row],[Last Purchase Date]])</f>
        <v>90</v>
      </c>
      <c r="D4323" s="1" t="n">
        <v>1</v>
      </c>
      <c r="E4323" s="1" t="n">
        <v>299.34</v>
      </c>
      <c r="F4323" s="1" t="n">
        <f aca="false">ROUND((1-_xlfn.PERCENTRANK.INC($C$7:$C$4378,C4323))*9,0)</f>
        <v>3</v>
      </c>
      <c r="G4323" s="1" t="n">
        <f aca="false">ROUND(_xlfn.PERCENTRANK.INC($D$7:$D$4378,D4323)*9,0)</f>
        <v>0</v>
      </c>
      <c r="H4323" s="1" t="n">
        <f aca="false">ROUND(_xlfn.PERCENTRANK.INC($E$7:$E$4378,E4323)*9,0)</f>
        <v>2</v>
      </c>
      <c r="I4323" s="1" t="str">
        <f aca="false">CONCATENATE(F4323,G4323,H4323)</f>
        <v>302</v>
      </c>
      <c r="J4323" s="1" t="str">
        <f aca="false">_xlfn.IFS(AND(F4323&gt;=8,G4323&gt;=8,H4323&gt;=8),"CHAMPION",AND(F4323&gt;=6,G4323&gt;=7,H4323&gt;=6),"LOYAL CUSTOMER",AND(F4323&gt;=6,G4323&gt;=5,H4323&gt;=5),"POTENTIAL LOYALIST",AND(F4323&gt;=8,G4323&lt;=2,H4323&gt;=5),"NEW CUSTOMERS",AND(F4323&gt;=6,G4323&lt;=2,H4323&gt;=3),"PROMISING",AND(F4323&gt;=3,G4323&gt;=3,H4323&gt;=3),"NEED ATTENTION",AND(F4323&lt;=4,G4323&gt;=6,H4323&gt;=6),"AT RISK",AND(F4323&lt;=2,G4323&gt;=8,H4323&gt;=8),"CAN'T LOSE THEM",AND(F4323&lt;=2,G4323&lt;=2,H4323&lt;=2),"HIBERNATING",TRUE(),"Other")</f>
        <v>Other</v>
      </c>
      <c r="K4323" s="1" t="n">
        <f aca="false">RANK(E4323,$E$7:$E$4378)+COUNTIF($E$7:E4323,E4323)-1</f>
        <v>3257</v>
      </c>
    </row>
    <row r="4324" customFormat="false" ht="14.25" hidden="false" customHeight="true" outlineLevel="0" collapsed="false">
      <c r="A4324" s="51" t="n">
        <v>18216</v>
      </c>
      <c r="B4324" s="53" t="n">
        <v>40855.7048611111</v>
      </c>
      <c r="C4324" s="57" t="n">
        <f aca="false">INT($C$2)-INT(Table3[[#This Row],[Last Purchase Date]])</f>
        <v>32</v>
      </c>
      <c r="D4324" s="1" t="n">
        <v>1</v>
      </c>
      <c r="E4324" s="1" t="n">
        <v>481.75</v>
      </c>
      <c r="F4324" s="1" t="n">
        <f aca="false">ROUND((1-_xlfn.PERCENTRANK.INC($C$7:$C$4378,C4324))*9,0)</f>
        <v>5</v>
      </c>
      <c r="G4324" s="1" t="n">
        <f aca="false">ROUND(_xlfn.PERCENTRANK.INC($D$7:$D$4378,D4324)*9,0)</f>
        <v>0</v>
      </c>
      <c r="H4324" s="1" t="n">
        <f aca="false">ROUND(_xlfn.PERCENTRANK.INC($E$7:$E$4378,E4324)*9,0)</f>
        <v>4</v>
      </c>
      <c r="I4324" s="1" t="str">
        <f aca="false">CONCATENATE(F4324,G4324,H4324)</f>
        <v>504</v>
      </c>
      <c r="J4324" s="1" t="str">
        <f aca="false">_xlfn.IFS(AND(F4324&gt;=8,G4324&gt;=8,H4324&gt;=8),"CHAMPION",AND(F4324&gt;=6,G4324&gt;=7,H4324&gt;=6),"LOYAL CUSTOMER",AND(F4324&gt;=6,G4324&gt;=5,H4324&gt;=5),"POTENTIAL LOYALIST",AND(F4324&gt;=8,G4324&lt;=2,H4324&gt;=5),"NEW CUSTOMERS",AND(F4324&gt;=6,G4324&lt;=2,H4324&gt;=3),"PROMISING",AND(F4324&gt;=3,G4324&gt;=3,H4324&gt;=3),"NEED ATTENTION",AND(F4324&lt;=4,G4324&gt;=6,H4324&gt;=6),"AT RISK",AND(F4324&lt;=2,G4324&gt;=8,H4324&gt;=8),"CAN'T LOSE THEM",AND(F4324&lt;=2,G4324&lt;=2,H4324&lt;=2),"HIBERNATING",TRUE(),"Other")</f>
        <v>Other</v>
      </c>
      <c r="K4324" s="1" t="n">
        <f aca="false">RANK(E4324,$E$7:$E$4378)+COUNTIF($E$7:E4324,E4324)-1</f>
        <v>2593</v>
      </c>
    </row>
    <row r="4325" customFormat="false" ht="14.25" hidden="false" customHeight="true" outlineLevel="0" collapsed="false">
      <c r="A4325" s="51" t="n">
        <v>18217</v>
      </c>
      <c r="B4325" s="53" t="n">
        <v>40857.5541666667</v>
      </c>
      <c r="C4325" s="57" t="n">
        <f aca="false">INT($C$2)-INT(Table3[[#This Row],[Last Purchase Date]])</f>
        <v>30</v>
      </c>
      <c r="D4325" s="1" t="n">
        <v>2</v>
      </c>
      <c r="E4325" s="1" t="n">
        <v>621.75</v>
      </c>
      <c r="F4325" s="1" t="n">
        <f aca="false">ROUND((1-_xlfn.PERCENTRANK.INC($C$7:$C$4378,C4325))*9,0)</f>
        <v>6</v>
      </c>
      <c r="G4325" s="1" t="n">
        <f aca="false">ROUND(_xlfn.PERCENTRANK.INC($D$7:$D$4378,D4325)*9,0)</f>
        <v>3</v>
      </c>
      <c r="H4325" s="1" t="n">
        <f aca="false">ROUND(_xlfn.PERCENTRANK.INC($E$7:$E$4378,E4325)*9,0)</f>
        <v>4</v>
      </c>
      <c r="I4325" s="1" t="str">
        <f aca="false">CONCATENATE(F4325,G4325,H4325)</f>
        <v>634</v>
      </c>
      <c r="J4325" s="1" t="str">
        <f aca="false">_xlfn.IFS(AND(F4325&gt;=8,G4325&gt;=8,H4325&gt;=8),"CHAMPION",AND(F4325&gt;=6,G4325&gt;=7,H4325&gt;=6),"LOYAL CUSTOMER",AND(F4325&gt;=6,G4325&gt;=5,H4325&gt;=5),"POTENTIAL LOYALIST",AND(F4325&gt;=8,G4325&lt;=2,H4325&gt;=5),"NEW CUSTOMERS",AND(F4325&gt;=6,G4325&lt;=2,H4325&gt;=3),"PROMISING",AND(F4325&gt;=3,G4325&gt;=3,H4325&gt;=3),"NEED ATTENTION",AND(F4325&lt;=4,G4325&gt;=6,H4325&gt;=6),"AT RISK",AND(F4325&lt;=2,G4325&gt;=8,H4325&gt;=8),"CAN'T LOSE THEM",AND(F4325&lt;=2,G4325&lt;=2,H4325&lt;=2),"HIBERNATING",TRUE(),"Other")</f>
        <v>NEED ATTENTION</v>
      </c>
      <c r="K4325" s="1" t="n">
        <f aca="false">RANK(E4325,$E$7:$E$4378)+COUNTIF($E$7:E4325,E4325)-1</f>
        <v>2252</v>
      </c>
    </row>
    <row r="4326" customFormat="false" ht="14.25" hidden="false" customHeight="true" outlineLevel="0" collapsed="false">
      <c r="A4326" s="51" t="n">
        <v>18218</v>
      </c>
      <c r="B4326" s="53" t="n">
        <v>40680.5944444445</v>
      </c>
      <c r="C4326" s="57" t="n">
        <f aca="false">INT($C$2)-INT(Table3[[#This Row],[Last Purchase Date]])</f>
        <v>207</v>
      </c>
      <c r="D4326" s="1" t="n">
        <v>4</v>
      </c>
      <c r="E4326" s="1" t="n">
        <v>626.38</v>
      </c>
      <c r="F4326" s="1" t="n">
        <f aca="false">ROUND((1-_xlfn.PERCENTRANK.INC($C$7:$C$4378,C4326))*9,0)</f>
        <v>1</v>
      </c>
      <c r="G4326" s="1" t="n">
        <f aca="false">ROUND(_xlfn.PERCENTRANK.INC($D$7:$D$4378,D4326)*9,0)</f>
        <v>5</v>
      </c>
      <c r="H4326" s="1" t="n">
        <f aca="false">ROUND(_xlfn.PERCENTRANK.INC($E$7:$E$4378,E4326)*9,0)</f>
        <v>4</v>
      </c>
      <c r="I4326" s="1" t="str">
        <f aca="false">CONCATENATE(F4326,G4326,H4326)</f>
        <v>154</v>
      </c>
      <c r="J4326" s="1" t="str">
        <f aca="false">_xlfn.IFS(AND(F4326&gt;=8,G4326&gt;=8,H4326&gt;=8),"CHAMPION",AND(F4326&gt;=6,G4326&gt;=7,H4326&gt;=6),"LOYAL CUSTOMER",AND(F4326&gt;=6,G4326&gt;=5,H4326&gt;=5),"POTENTIAL LOYALIST",AND(F4326&gt;=8,G4326&lt;=2,H4326&gt;=5),"NEW CUSTOMERS",AND(F4326&gt;=6,G4326&lt;=2,H4326&gt;=3),"PROMISING",AND(F4326&gt;=3,G4326&gt;=3,H4326&gt;=3),"NEED ATTENTION",AND(F4326&lt;=4,G4326&gt;=6,H4326&gt;=6),"AT RISK",AND(F4326&lt;=2,G4326&gt;=8,H4326&gt;=8),"CAN'T LOSE THEM",AND(F4326&lt;=2,G4326&lt;=2,H4326&lt;=2),"HIBERNATING",TRUE(),"Other")</f>
        <v>Other</v>
      </c>
      <c r="K4326" s="1" t="n">
        <f aca="false">RANK(E4326,$E$7:$E$4378)+COUNTIF($E$7:E4326,E4326)-1</f>
        <v>2243</v>
      </c>
    </row>
    <row r="4327" customFormat="false" ht="14.25" hidden="false" customHeight="true" outlineLevel="0" collapsed="false">
      <c r="A4327" s="51" t="n">
        <v>18219</v>
      </c>
      <c r="B4327" s="53" t="n">
        <v>40884.4881944444</v>
      </c>
      <c r="C4327" s="57" t="n">
        <f aca="false">INT($C$2)-INT(Table3[[#This Row],[Last Purchase Date]])</f>
        <v>3</v>
      </c>
      <c r="D4327" s="1" t="n">
        <v>11</v>
      </c>
      <c r="E4327" s="1" t="n">
        <v>2019.77</v>
      </c>
      <c r="F4327" s="1" t="n">
        <f aca="false">ROUND((1-_xlfn.PERCENTRANK.INC($C$7:$C$4378,C4327))*9,0)</f>
        <v>9</v>
      </c>
      <c r="G4327" s="1" t="n">
        <f aca="false">ROUND(_xlfn.PERCENTRANK.INC($D$7:$D$4378,D4327)*9,0)</f>
        <v>8</v>
      </c>
      <c r="H4327" s="1" t="n">
        <f aca="false">ROUND(_xlfn.PERCENTRANK.INC($E$7:$E$4378,E4327)*9,0)</f>
        <v>7</v>
      </c>
      <c r="I4327" s="1" t="str">
        <f aca="false">CONCATENATE(F4327,G4327,H4327)</f>
        <v>987</v>
      </c>
      <c r="J4327" s="1" t="str">
        <f aca="false">_xlfn.IFS(AND(F4327&gt;=8,G4327&gt;=8,H4327&gt;=8),"CHAMPION",AND(F4327&gt;=6,G4327&gt;=7,H4327&gt;=6),"LOYAL CUSTOMER",AND(F4327&gt;=6,G4327&gt;=5,H4327&gt;=5),"POTENTIAL LOYALIST",AND(F4327&gt;=8,G4327&lt;=2,H4327&gt;=5),"NEW CUSTOMERS",AND(F4327&gt;=6,G4327&lt;=2,H4327&gt;=3),"PROMISING",AND(F4327&gt;=3,G4327&gt;=3,H4327&gt;=3),"NEED ATTENTION",AND(F4327&lt;=4,G4327&gt;=6,H4327&gt;=6),"AT RISK",AND(F4327&lt;=2,G4327&gt;=8,H4327&gt;=8),"CAN'T LOSE THEM",AND(F4327&lt;=2,G4327&lt;=2,H4327&lt;=2),"HIBERNATING",TRUE(),"Other")</f>
        <v>LOYAL CUSTOMER</v>
      </c>
      <c r="K4327" s="1" t="n">
        <f aca="false">RANK(E4327,$E$7:$E$4378)+COUNTIF($E$7:E4327,E4327)-1</f>
        <v>867</v>
      </c>
    </row>
    <row r="4328" customFormat="false" ht="14.25" hidden="false" customHeight="true" outlineLevel="0" collapsed="false">
      <c r="A4328" s="51" t="n">
        <v>18220</v>
      </c>
      <c r="B4328" s="53" t="n">
        <v>40667.4743055556</v>
      </c>
      <c r="C4328" s="57" t="n">
        <f aca="false">INT($C$2)-INT(Table3[[#This Row],[Last Purchase Date]])</f>
        <v>220</v>
      </c>
      <c r="D4328" s="1" t="n">
        <v>2</v>
      </c>
      <c r="E4328" s="1" t="n">
        <v>297.78</v>
      </c>
      <c r="F4328" s="1" t="n">
        <f aca="false">ROUND((1-_xlfn.PERCENTRANK.INC($C$7:$C$4378,C4328))*9,0)</f>
        <v>1</v>
      </c>
      <c r="G4328" s="1" t="n">
        <f aca="false">ROUND(_xlfn.PERCENTRANK.INC($D$7:$D$4378,D4328)*9,0)</f>
        <v>3</v>
      </c>
      <c r="H4328" s="1" t="n">
        <f aca="false">ROUND(_xlfn.PERCENTRANK.INC($E$7:$E$4378,E4328)*9,0)</f>
        <v>2</v>
      </c>
      <c r="I4328" s="1" t="str">
        <f aca="false">CONCATENATE(F4328,G4328,H4328)</f>
        <v>132</v>
      </c>
      <c r="J4328" s="1" t="str">
        <f aca="false">_xlfn.IFS(AND(F4328&gt;=8,G4328&gt;=8,H4328&gt;=8),"CHAMPION",AND(F4328&gt;=6,G4328&gt;=7,H4328&gt;=6),"LOYAL CUSTOMER",AND(F4328&gt;=6,G4328&gt;=5,H4328&gt;=5),"POTENTIAL LOYALIST",AND(F4328&gt;=8,G4328&lt;=2,H4328&gt;=5),"NEW CUSTOMERS",AND(F4328&gt;=6,G4328&lt;=2,H4328&gt;=3),"PROMISING",AND(F4328&gt;=3,G4328&gt;=3,H4328&gt;=3),"NEED ATTENTION",AND(F4328&lt;=4,G4328&gt;=6,H4328&gt;=6),"AT RISK",AND(F4328&lt;=2,G4328&gt;=8,H4328&gt;=8),"CAN'T LOSE THEM",AND(F4328&lt;=2,G4328&lt;=2,H4328&lt;=2),"HIBERNATING",TRUE(),"Other")</f>
        <v>Other</v>
      </c>
      <c r="K4328" s="1" t="n">
        <f aca="false">RANK(E4328,$E$7:$E$4378)+COUNTIF($E$7:E4328,E4328)-1</f>
        <v>3264</v>
      </c>
    </row>
    <row r="4329" customFormat="false" ht="14.25" hidden="false" customHeight="true" outlineLevel="0" collapsed="false">
      <c r="A4329" s="51" t="n">
        <v>18221</v>
      </c>
      <c r="B4329" s="53" t="n">
        <v>40864.6111111111</v>
      </c>
      <c r="C4329" s="57" t="n">
        <f aca="false">INT($C$2)-INT(Table3[[#This Row],[Last Purchase Date]])</f>
        <v>23</v>
      </c>
      <c r="D4329" s="1" t="n">
        <v>6</v>
      </c>
      <c r="E4329" s="1" t="n">
        <v>1033.31</v>
      </c>
      <c r="F4329" s="1" t="n">
        <f aca="false">ROUND((1-_xlfn.PERCENTRANK.INC($C$7:$C$4378,C4329))*9,0)</f>
        <v>6</v>
      </c>
      <c r="G4329" s="1" t="n">
        <f aca="false">ROUND(_xlfn.PERCENTRANK.INC($D$7:$D$4378,D4329)*9,0)</f>
        <v>7</v>
      </c>
      <c r="H4329" s="1" t="n">
        <f aca="false">ROUND(_xlfn.PERCENTRANK.INC($E$7:$E$4378,E4329)*9,0)</f>
        <v>6</v>
      </c>
      <c r="I4329" s="1" t="str">
        <f aca="false">CONCATENATE(F4329,G4329,H4329)</f>
        <v>676</v>
      </c>
      <c r="J4329" s="1" t="str">
        <f aca="false">_xlfn.IFS(AND(F4329&gt;=8,G4329&gt;=8,H4329&gt;=8),"CHAMPION",AND(F4329&gt;=6,G4329&gt;=7,H4329&gt;=6),"LOYAL CUSTOMER",AND(F4329&gt;=6,G4329&gt;=5,H4329&gt;=5),"POTENTIAL LOYALIST",AND(F4329&gt;=8,G4329&lt;=2,H4329&gt;=5),"NEW CUSTOMERS",AND(F4329&gt;=6,G4329&lt;=2,H4329&gt;=3),"PROMISING",AND(F4329&gt;=3,G4329&gt;=3,H4329&gt;=3),"NEED ATTENTION",AND(F4329&lt;=4,G4329&gt;=6,H4329&gt;=6),"AT RISK",AND(F4329&lt;=2,G4329&gt;=8,H4329&gt;=8),"CAN'T LOSE THEM",AND(F4329&lt;=2,G4329&lt;=2,H4329&lt;=2),"HIBERNATING",TRUE(),"Other")</f>
        <v>LOYAL CUSTOMER</v>
      </c>
      <c r="K4329" s="1" t="n">
        <f aca="false">RANK(E4329,$E$7:$E$4378)+COUNTIF($E$7:E4329,E4329)-1</f>
        <v>1590</v>
      </c>
    </row>
    <row r="4330" customFormat="false" ht="14.25" hidden="false" customHeight="true" outlineLevel="0" collapsed="false">
      <c r="A4330" s="51" t="n">
        <v>18222</v>
      </c>
      <c r="B4330" s="53" t="n">
        <v>40794.4479166667</v>
      </c>
      <c r="C4330" s="57" t="n">
        <f aca="false">INT($C$2)-INT(Table3[[#This Row],[Last Purchase Date]])</f>
        <v>93</v>
      </c>
      <c r="D4330" s="1" t="n">
        <v>1</v>
      </c>
      <c r="E4330" s="1" t="n">
        <v>443</v>
      </c>
      <c r="F4330" s="1" t="n">
        <f aca="false">ROUND((1-_xlfn.PERCENTRANK.INC($C$7:$C$4378,C4330))*9,0)</f>
        <v>3</v>
      </c>
      <c r="G4330" s="1" t="n">
        <f aca="false">ROUND(_xlfn.PERCENTRANK.INC($D$7:$D$4378,D4330)*9,0)</f>
        <v>0</v>
      </c>
      <c r="H4330" s="1" t="n">
        <f aca="false">ROUND(_xlfn.PERCENTRANK.INC($E$7:$E$4378,E4330)*9,0)</f>
        <v>3</v>
      </c>
      <c r="I4330" s="1" t="str">
        <f aca="false">CONCATENATE(F4330,G4330,H4330)</f>
        <v>303</v>
      </c>
      <c r="J4330" s="1" t="str">
        <f aca="false">_xlfn.IFS(AND(F4330&gt;=8,G4330&gt;=8,H4330&gt;=8),"CHAMPION",AND(F4330&gt;=6,G4330&gt;=7,H4330&gt;=6),"LOYAL CUSTOMER",AND(F4330&gt;=6,G4330&gt;=5,H4330&gt;=5),"POTENTIAL LOYALIST",AND(F4330&gt;=8,G4330&lt;=2,H4330&gt;=5),"NEW CUSTOMERS",AND(F4330&gt;=6,G4330&lt;=2,H4330&gt;=3),"PROMISING",AND(F4330&gt;=3,G4330&gt;=3,H4330&gt;=3),"NEED ATTENTION",AND(F4330&lt;=4,G4330&gt;=6,H4330&gt;=6),"AT RISK",AND(F4330&lt;=2,G4330&gt;=8,H4330&gt;=8),"CAN'T LOSE THEM",AND(F4330&lt;=2,G4330&lt;=2,H4330&lt;=2),"HIBERNATING",TRUE(),"Other")</f>
        <v>Other</v>
      </c>
      <c r="K4330" s="1" t="n">
        <f aca="false">RANK(E4330,$E$7:$E$4378)+COUNTIF($E$7:E4330,E4330)-1</f>
        <v>2688</v>
      </c>
    </row>
    <row r="4331" customFormat="false" ht="14.25" hidden="false" customHeight="true" outlineLevel="0" collapsed="false">
      <c r="A4331" s="51" t="n">
        <v>18223</v>
      </c>
      <c r="B4331" s="53" t="n">
        <v>40885.49375</v>
      </c>
      <c r="C4331" s="57" t="n">
        <f aca="false">INT($C$2)-INT(Table3[[#This Row],[Last Purchase Date]])</f>
        <v>2</v>
      </c>
      <c r="D4331" s="1" t="n">
        <v>27</v>
      </c>
      <c r="E4331" s="1" t="n">
        <v>6315.23</v>
      </c>
      <c r="F4331" s="1" t="n">
        <f aca="false">ROUND((1-_xlfn.PERCENTRANK.INC($C$7:$C$4378,C4331))*9,0)</f>
        <v>9</v>
      </c>
      <c r="G4331" s="1" t="n">
        <f aca="false">ROUND(_xlfn.PERCENTRANK.INC($D$7:$D$4378,D4331)*9,0)</f>
        <v>9</v>
      </c>
      <c r="H4331" s="1" t="n">
        <f aca="false">ROUND(_xlfn.PERCENTRANK.INC($E$7:$E$4378,E4331)*9,0)</f>
        <v>9</v>
      </c>
      <c r="I4331" s="1" t="str">
        <f aca="false">CONCATENATE(F4331,G4331,H4331)</f>
        <v>999</v>
      </c>
      <c r="J4331" s="1" t="str">
        <f aca="false">_xlfn.IFS(AND(F4331&gt;=8,G4331&gt;=8,H4331&gt;=8),"CHAMPION",AND(F4331&gt;=6,G4331&gt;=7,H4331&gt;=6),"LOYAL CUSTOMER",AND(F4331&gt;=6,G4331&gt;=5,H4331&gt;=5),"POTENTIAL LOYALIST",AND(F4331&gt;=8,G4331&lt;=2,H4331&gt;=5),"NEW CUSTOMERS",AND(F4331&gt;=6,G4331&lt;=2,H4331&gt;=3),"PROMISING",AND(F4331&gt;=3,G4331&gt;=3,H4331&gt;=3),"NEED ATTENTION",AND(F4331&lt;=4,G4331&gt;=6,H4331&gt;=6),"AT RISK",AND(F4331&lt;=2,G4331&gt;=8,H4331&gt;=8),"CAN'T LOSE THEM",AND(F4331&lt;=2,G4331&lt;=2,H4331&lt;=2),"HIBERNATING",TRUE(),"Other")</f>
        <v>CHAMPION</v>
      </c>
      <c r="K4331" s="1" t="n">
        <f aca="false">RANK(E4331,$E$7:$E$4378)+COUNTIF($E$7:E4331,E4331)-1</f>
        <v>186</v>
      </c>
    </row>
    <row r="4332" customFormat="false" ht="14.25" hidden="false" customHeight="true" outlineLevel="0" collapsed="false">
      <c r="A4332" s="51" t="n">
        <v>18224</v>
      </c>
      <c r="B4332" s="53" t="n">
        <v>40623.4375</v>
      </c>
      <c r="C4332" s="57" t="n">
        <f aca="false">INT($C$2)-INT(Table3[[#This Row],[Last Purchase Date]])</f>
        <v>264</v>
      </c>
      <c r="D4332" s="1" t="n">
        <v>1</v>
      </c>
      <c r="E4332" s="1" t="n">
        <v>158.95</v>
      </c>
      <c r="F4332" s="1" t="n">
        <f aca="false">ROUND((1-_xlfn.PERCENTRANK.INC($C$7:$C$4378,C4332))*9,0)</f>
        <v>1</v>
      </c>
      <c r="G4332" s="1" t="n">
        <f aca="false">ROUND(_xlfn.PERCENTRANK.INC($D$7:$D$4378,D4332)*9,0)</f>
        <v>0</v>
      </c>
      <c r="H4332" s="1" t="n">
        <f aca="false">ROUND(_xlfn.PERCENTRANK.INC($E$7:$E$4378,E4332)*9,0)</f>
        <v>1</v>
      </c>
      <c r="I4332" s="1" t="str">
        <f aca="false">CONCATENATE(F4332,G4332,H4332)</f>
        <v>101</v>
      </c>
      <c r="J4332" s="1" t="str">
        <f aca="false">_xlfn.IFS(AND(F4332&gt;=8,G4332&gt;=8,H4332&gt;=8),"CHAMPION",AND(F4332&gt;=6,G4332&gt;=7,H4332&gt;=6),"LOYAL CUSTOMER",AND(F4332&gt;=6,G4332&gt;=5,H4332&gt;=5),"POTENTIAL LOYALIST",AND(F4332&gt;=8,G4332&lt;=2,H4332&gt;=5),"NEW CUSTOMERS",AND(F4332&gt;=6,G4332&lt;=2,H4332&gt;=3),"PROMISING",AND(F4332&gt;=3,G4332&gt;=3,H4332&gt;=3),"NEED ATTENTION",AND(F4332&lt;=4,G4332&gt;=6,H4332&gt;=6),"AT RISK",AND(F4332&lt;=2,G4332&gt;=8,H4332&gt;=8),"CAN'T LOSE THEM",AND(F4332&lt;=2,G4332&lt;=2,H4332&lt;=2),"HIBERNATING",TRUE(),"Other")</f>
        <v>HIBERNATING</v>
      </c>
      <c r="K4332" s="1" t="n">
        <f aca="false">RANK(E4332,$E$7:$E$4378)+COUNTIF($E$7:E4332,E4332)-1</f>
        <v>3864</v>
      </c>
    </row>
    <row r="4333" customFormat="false" ht="14.25" hidden="false" customHeight="true" outlineLevel="0" collapsed="false">
      <c r="A4333" s="51" t="n">
        <v>18225</v>
      </c>
      <c r="B4333" s="53" t="n">
        <v>40883.5604166667</v>
      </c>
      <c r="C4333" s="57" t="n">
        <f aca="false">INT($C$2)-INT(Table3[[#This Row],[Last Purchase Date]])</f>
        <v>4</v>
      </c>
      <c r="D4333" s="1" t="n">
        <v>17</v>
      </c>
      <c r="E4333" s="1" t="n">
        <v>5361.02</v>
      </c>
      <c r="F4333" s="1" t="n">
        <f aca="false">ROUND((1-_xlfn.PERCENTRANK.INC($C$7:$C$4378,C4333))*9,0)</f>
        <v>8</v>
      </c>
      <c r="G4333" s="1" t="n">
        <f aca="false">ROUND(_xlfn.PERCENTRANK.INC($D$7:$D$4378,D4333)*9,0)</f>
        <v>9</v>
      </c>
      <c r="H4333" s="1" t="n">
        <f aca="false">ROUND(_xlfn.PERCENTRANK.INC($E$7:$E$4378,E4333)*9,0)</f>
        <v>9</v>
      </c>
      <c r="I4333" s="1" t="str">
        <f aca="false">CONCATENATE(F4333,G4333,H4333)</f>
        <v>899</v>
      </c>
      <c r="J4333" s="1" t="str">
        <f aca="false">_xlfn.IFS(AND(F4333&gt;=8,G4333&gt;=8,H4333&gt;=8),"CHAMPION",AND(F4333&gt;=6,G4333&gt;=7,H4333&gt;=6),"LOYAL CUSTOMER",AND(F4333&gt;=6,G4333&gt;=5,H4333&gt;=5),"POTENTIAL LOYALIST",AND(F4333&gt;=8,G4333&lt;=2,H4333&gt;=5),"NEW CUSTOMERS",AND(F4333&gt;=6,G4333&lt;=2,H4333&gt;=3),"PROMISING",AND(F4333&gt;=3,G4333&gt;=3,H4333&gt;=3),"NEED ATTENTION",AND(F4333&lt;=4,G4333&gt;=6,H4333&gt;=6),"AT RISK",AND(F4333&lt;=2,G4333&gt;=8,H4333&gt;=8),"CAN'T LOSE THEM",AND(F4333&lt;=2,G4333&lt;=2,H4333&lt;=2),"HIBERNATING",TRUE(),"Other")</f>
        <v>CHAMPION</v>
      </c>
      <c r="K4333" s="1" t="n">
        <f aca="false">RANK(E4333,$E$7:$E$4378)+COUNTIF($E$7:E4333,E4333)-1</f>
        <v>236</v>
      </c>
    </row>
    <row r="4334" customFormat="false" ht="14.25" hidden="false" customHeight="true" outlineLevel="0" collapsed="false">
      <c r="A4334" s="51" t="n">
        <v>18226</v>
      </c>
      <c r="B4334" s="53" t="n">
        <v>40848.4145833333</v>
      </c>
      <c r="C4334" s="57" t="n">
        <f aca="false">INT($C$2)-INT(Table3[[#This Row],[Last Purchase Date]])</f>
        <v>39</v>
      </c>
      <c r="D4334" s="1" t="n">
        <v>14</v>
      </c>
      <c r="E4334" s="1" t="n">
        <v>5192.1</v>
      </c>
      <c r="F4334" s="1" t="n">
        <f aca="false">ROUND((1-_xlfn.PERCENTRANK.INC($C$7:$C$4378,C4334))*9,0)</f>
        <v>5</v>
      </c>
      <c r="G4334" s="1" t="n">
        <f aca="false">ROUND(_xlfn.PERCENTRANK.INC($D$7:$D$4378,D4334)*9,0)</f>
        <v>8</v>
      </c>
      <c r="H4334" s="1" t="n">
        <f aca="false">ROUND(_xlfn.PERCENTRANK.INC($E$7:$E$4378,E4334)*9,0)</f>
        <v>8</v>
      </c>
      <c r="I4334" s="1" t="str">
        <f aca="false">CONCATENATE(F4334,G4334,H4334)</f>
        <v>588</v>
      </c>
      <c r="J4334" s="1" t="str">
        <f aca="false">_xlfn.IFS(AND(F4334&gt;=8,G4334&gt;=8,H4334&gt;=8),"CHAMPION",AND(F4334&gt;=6,G4334&gt;=7,H4334&gt;=6),"LOYAL CUSTOMER",AND(F4334&gt;=6,G4334&gt;=5,H4334&gt;=5),"POTENTIAL LOYALIST",AND(F4334&gt;=8,G4334&lt;=2,H4334&gt;=5),"NEW CUSTOMERS",AND(F4334&gt;=6,G4334&lt;=2,H4334&gt;=3),"PROMISING",AND(F4334&gt;=3,G4334&gt;=3,H4334&gt;=3),"NEED ATTENTION",AND(F4334&lt;=4,G4334&gt;=6,H4334&gt;=6),"AT RISK",AND(F4334&lt;=2,G4334&gt;=8,H4334&gt;=8),"CAN'T LOSE THEM",AND(F4334&lt;=2,G4334&lt;=2,H4334&lt;=2),"HIBERNATING",TRUE(),"Other")</f>
        <v>NEED ATTENTION</v>
      </c>
      <c r="K4334" s="1" t="n">
        <f aca="false">RANK(E4334,$E$7:$E$4378)+COUNTIF($E$7:E4334,E4334)-1</f>
        <v>244</v>
      </c>
    </row>
    <row r="4335" customFormat="false" ht="14.25" hidden="false" customHeight="true" outlineLevel="0" collapsed="false">
      <c r="A4335" s="51" t="n">
        <v>18227</v>
      </c>
      <c r="B4335" s="53" t="n">
        <v>40669.5159722222</v>
      </c>
      <c r="C4335" s="57" t="n">
        <f aca="false">INT($C$2)-INT(Table3[[#This Row],[Last Purchase Date]])</f>
        <v>218</v>
      </c>
      <c r="D4335" s="1" t="n">
        <v>1</v>
      </c>
      <c r="E4335" s="1" t="n">
        <v>93.75</v>
      </c>
      <c r="F4335" s="1" t="n">
        <f aca="false">ROUND((1-_xlfn.PERCENTRANK.INC($C$7:$C$4378,C4335))*9,0)</f>
        <v>1</v>
      </c>
      <c r="G4335" s="1" t="n">
        <f aca="false">ROUND(_xlfn.PERCENTRANK.INC($D$7:$D$4378,D4335)*9,0)</f>
        <v>0</v>
      </c>
      <c r="H4335" s="1" t="n">
        <f aca="false">ROUND(_xlfn.PERCENTRANK.INC($E$7:$E$4378,E4335)*9,0)</f>
        <v>0</v>
      </c>
      <c r="I4335" s="1" t="str">
        <f aca="false">CONCATENATE(F4335,G4335,H4335)</f>
        <v>100</v>
      </c>
      <c r="J4335" s="1" t="str">
        <f aca="false">_xlfn.IFS(AND(F4335&gt;=8,G4335&gt;=8,H4335&gt;=8),"CHAMPION",AND(F4335&gt;=6,G4335&gt;=7,H4335&gt;=6),"LOYAL CUSTOMER",AND(F4335&gt;=6,G4335&gt;=5,H4335&gt;=5),"POTENTIAL LOYALIST",AND(F4335&gt;=8,G4335&lt;=2,H4335&gt;=5),"NEW CUSTOMERS",AND(F4335&gt;=6,G4335&lt;=2,H4335&gt;=3),"PROMISING",AND(F4335&gt;=3,G4335&gt;=3,H4335&gt;=3),"NEED ATTENTION",AND(F4335&lt;=4,G4335&gt;=6,H4335&gt;=6),"AT RISK",AND(F4335&lt;=2,G4335&gt;=8,H4335&gt;=8),"CAN'T LOSE THEM",AND(F4335&lt;=2,G4335&lt;=2,H4335&lt;=2),"HIBERNATING",TRUE(),"Other")</f>
        <v>HIBERNATING</v>
      </c>
      <c r="K4335" s="1" t="n">
        <f aca="false">RANK(E4335,$E$7:$E$4378)+COUNTIF($E$7:E4335,E4335)-1</f>
        <v>4180</v>
      </c>
    </row>
    <row r="4336" customFormat="false" ht="14.25" hidden="false" customHeight="true" outlineLevel="0" collapsed="false">
      <c r="A4336" s="51" t="n">
        <v>18228</v>
      </c>
      <c r="B4336" s="53" t="n">
        <v>40836.80625</v>
      </c>
      <c r="C4336" s="57" t="n">
        <f aca="false">INT($C$2)-INT(Table3[[#This Row],[Last Purchase Date]])</f>
        <v>51</v>
      </c>
      <c r="D4336" s="1" t="n">
        <v>3</v>
      </c>
      <c r="E4336" s="1" t="n">
        <v>769.2</v>
      </c>
      <c r="F4336" s="1" t="n">
        <f aca="false">ROUND((1-_xlfn.PERCENTRANK.INC($C$7:$C$4378,C4336))*9,0)</f>
        <v>5</v>
      </c>
      <c r="G4336" s="1" t="n">
        <f aca="false">ROUND(_xlfn.PERCENTRANK.INC($D$7:$D$4378,D4336)*9,0)</f>
        <v>4</v>
      </c>
      <c r="H4336" s="1" t="n">
        <f aca="false">ROUND(_xlfn.PERCENTRANK.INC($E$7:$E$4378,E4336)*9,0)</f>
        <v>5</v>
      </c>
      <c r="I4336" s="1" t="str">
        <f aca="false">CONCATENATE(F4336,G4336,H4336)</f>
        <v>545</v>
      </c>
      <c r="J4336" s="1" t="str">
        <f aca="false">_xlfn.IFS(AND(F4336&gt;=8,G4336&gt;=8,H4336&gt;=8),"CHAMPION",AND(F4336&gt;=6,G4336&gt;=7,H4336&gt;=6),"LOYAL CUSTOMER",AND(F4336&gt;=6,G4336&gt;=5,H4336&gt;=5),"POTENTIAL LOYALIST",AND(F4336&gt;=8,G4336&lt;=2,H4336&gt;=5),"NEW CUSTOMERS",AND(F4336&gt;=6,G4336&lt;=2,H4336&gt;=3),"PROMISING",AND(F4336&gt;=3,G4336&gt;=3,H4336&gt;=3),"NEED ATTENTION",AND(F4336&lt;=4,G4336&gt;=6,H4336&gt;=6),"AT RISK",AND(F4336&lt;=2,G4336&gt;=8,H4336&gt;=8),"CAN'T LOSE THEM",AND(F4336&lt;=2,G4336&lt;=2,H4336&lt;=2),"HIBERNATING",TRUE(),"Other")</f>
        <v>NEED ATTENTION</v>
      </c>
      <c r="K4336" s="1" t="n">
        <f aca="false">RANK(E4336,$E$7:$E$4378)+COUNTIF($E$7:E4336,E4336)-1</f>
        <v>1948</v>
      </c>
    </row>
    <row r="4337" customFormat="false" ht="14.25" hidden="false" customHeight="true" outlineLevel="0" collapsed="false">
      <c r="A4337" s="51" t="n">
        <v>18229</v>
      </c>
      <c r="B4337" s="53" t="n">
        <v>40875.4083333333</v>
      </c>
      <c r="C4337" s="57" t="n">
        <f aca="false">INT($C$2)-INT(Table3[[#This Row],[Last Purchase Date]])</f>
        <v>12</v>
      </c>
      <c r="D4337" s="1" t="n">
        <v>20</v>
      </c>
      <c r="E4337" s="1" t="n">
        <v>7276.9</v>
      </c>
      <c r="F4337" s="1" t="n">
        <f aca="false">ROUND((1-_xlfn.PERCENTRANK.INC($C$7:$C$4378,C4337))*9,0)</f>
        <v>7</v>
      </c>
      <c r="G4337" s="1" t="n">
        <f aca="false">ROUND(_xlfn.PERCENTRANK.INC($D$7:$D$4378,D4337)*9,0)</f>
        <v>9</v>
      </c>
      <c r="H4337" s="1" t="n">
        <f aca="false">ROUND(_xlfn.PERCENTRANK.INC($E$7:$E$4378,E4337)*9,0)</f>
        <v>9</v>
      </c>
      <c r="I4337" s="1" t="str">
        <f aca="false">CONCATENATE(F4337,G4337,H4337)</f>
        <v>799</v>
      </c>
      <c r="J4337" s="1" t="str">
        <f aca="false">_xlfn.IFS(AND(F4337&gt;=8,G4337&gt;=8,H4337&gt;=8),"CHAMPION",AND(F4337&gt;=6,G4337&gt;=7,H4337&gt;=6),"LOYAL CUSTOMER",AND(F4337&gt;=6,G4337&gt;=5,H4337&gt;=5),"POTENTIAL LOYALIST",AND(F4337&gt;=8,G4337&lt;=2,H4337&gt;=5),"NEW CUSTOMERS",AND(F4337&gt;=6,G4337&lt;=2,H4337&gt;=3),"PROMISING",AND(F4337&gt;=3,G4337&gt;=3,H4337&gt;=3),"NEED ATTENTION",AND(F4337&lt;=4,G4337&gt;=6,H4337&gt;=6),"AT RISK",AND(F4337&lt;=2,G4337&gt;=8,H4337&gt;=8),"CAN'T LOSE THEM",AND(F4337&lt;=2,G4337&lt;=2,H4337&lt;=2),"HIBERNATING",TRUE(),"Other")</f>
        <v>LOYAL CUSTOMER</v>
      </c>
      <c r="K4337" s="1" t="n">
        <f aca="false">RANK(E4337,$E$7:$E$4378)+COUNTIF($E$7:E4337,E4337)-1</f>
        <v>144</v>
      </c>
    </row>
    <row r="4338" customFormat="false" ht="14.25" hidden="false" customHeight="true" outlineLevel="0" collapsed="false">
      <c r="A4338" s="51" t="n">
        <v>18230</v>
      </c>
      <c r="B4338" s="53" t="n">
        <v>40877.5569444444</v>
      </c>
      <c r="C4338" s="57" t="n">
        <f aca="false">INT($C$2)-INT(Table3[[#This Row],[Last Purchase Date]])</f>
        <v>10</v>
      </c>
      <c r="D4338" s="1" t="n">
        <v>10</v>
      </c>
      <c r="E4338" s="1" t="n">
        <v>2716.6</v>
      </c>
      <c r="F4338" s="1" t="n">
        <f aca="false">ROUND((1-_xlfn.PERCENTRANK.INC($C$7:$C$4378,C4338))*9,0)</f>
        <v>8</v>
      </c>
      <c r="G4338" s="1" t="n">
        <f aca="false">ROUND(_xlfn.PERCENTRANK.INC($D$7:$D$4378,D4338)*9,0)</f>
        <v>8</v>
      </c>
      <c r="H4338" s="1" t="n">
        <f aca="false">ROUND(_xlfn.PERCENTRANK.INC($E$7:$E$4378,E4338)*9,0)</f>
        <v>8</v>
      </c>
      <c r="I4338" s="1" t="str">
        <f aca="false">CONCATENATE(F4338,G4338,H4338)</f>
        <v>888</v>
      </c>
      <c r="J4338" s="1" t="str">
        <f aca="false">_xlfn.IFS(AND(F4338&gt;=8,G4338&gt;=8,H4338&gt;=8),"CHAMPION",AND(F4338&gt;=6,G4338&gt;=7,H4338&gt;=6),"LOYAL CUSTOMER",AND(F4338&gt;=6,G4338&gt;=5,H4338&gt;=5),"POTENTIAL LOYALIST",AND(F4338&gt;=8,G4338&lt;=2,H4338&gt;=5),"NEW CUSTOMERS",AND(F4338&gt;=6,G4338&lt;=2,H4338&gt;=3),"PROMISING",AND(F4338&gt;=3,G4338&gt;=3,H4338&gt;=3),"NEED ATTENTION",AND(F4338&lt;=4,G4338&gt;=6,H4338&gt;=6),"AT RISK",AND(F4338&lt;=2,G4338&gt;=8,H4338&gt;=8),"CAN'T LOSE THEM",AND(F4338&lt;=2,G4338&lt;=2,H4338&lt;=2),"HIBERNATING",TRUE(),"Other")</f>
        <v>CHAMPION</v>
      </c>
      <c r="K4338" s="1" t="n">
        <f aca="false">RANK(E4338,$E$7:$E$4378)+COUNTIF($E$7:E4338,E4338)-1</f>
        <v>611</v>
      </c>
    </row>
    <row r="4339" customFormat="false" ht="14.25" hidden="false" customHeight="true" outlineLevel="0" collapsed="false">
      <c r="A4339" s="51" t="n">
        <v>18231</v>
      </c>
      <c r="B4339" s="53" t="n">
        <v>40694.5958333333</v>
      </c>
      <c r="C4339" s="57" t="n">
        <f aca="false">INT($C$2)-INT(Table3[[#This Row],[Last Purchase Date]])</f>
        <v>193</v>
      </c>
      <c r="D4339" s="1" t="n">
        <v>6</v>
      </c>
      <c r="E4339" s="1" t="n">
        <v>2066.17</v>
      </c>
      <c r="F4339" s="1" t="n">
        <f aca="false">ROUND((1-_xlfn.PERCENTRANK.INC($C$7:$C$4378,C4339))*9,0)</f>
        <v>2</v>
      </c>
      <c r="G4339" s="1" t="n">
        <f aca="false">ROUND(_xlfn.PERCENTRANK.INC($D$7:$D$4378,D4339)*9,0)</f>
        <v>7</v>
      </c>
      <c r="H4339" s="1" t="n">
        <f aca="false">ROUND(_xlfn.PERCENTRANK.INC($E$7:$E$4378,E4339)*9,0)</f>
        <v>7</v>
      </c>
      <c r="I4339" s="1" t="str">
        <f aca="false">CONCATENATE(F4339,G4339,H4339)</f>
        <v>277</v>
      </c>
      <c r="J4339" s="1" t="str">
        <f aca="false">_xlfn.IFS(AND(F4339&gt;=8,G4339&gt;=8,H4339&gt;=8),"CHAMPION",AND(F4339&gt;=6,G4339&gt;=7,H4339&gt;=6),"LOYAL CUSTOMER",AND(F4339&gt;=6,G4339&gt;=5,H4339&gt;=5),"POTENTIAL LOYALIST",AND(F4339&gt;=8,G4339&lt;=2,H4339&gt;=5),"NEW CUSTOMERS",AND(F4339&gt;=6,G4339&lt;=2,H4339&gt;=3),"PROMISING",AND(F4339&gt;=3,G4339&gt;=3,H4339&gt;=3),"NEED ATTENTION",AND(F4339&lt;=4,G4339&gt;=6,H4339&gt;=6),"AT RISK",AND(F4339&lt;=2,G4339&gt;=8,H4339&gt;=8),"CAN'T LOSE THEM",AND(F4339&lt;=2,G4339&lt;=2,H4339&lt;=2),"HIBERNATING",TRUE(),"Other")</f>
        <v>AT RISK</v>
      </c>
      <c r="K4339" s="1" t="n">
        <f aca="false">RANK(E4339,$E$7:$E$4378)+COUNTIF($E$7:E4339,E4339)-1</f>
        <v>842</v>
      </c>
    </row>
    <row r="4340" customFormat="false" ht="14.25" hidden="false" customHeight="true" outlineLevel="0" collapsed="false">
      <c r="A4340" s="51" t="n">
        <v>18232</v>
      </c>
      <c r="B4340" s="53" t="n">
        <v>40805.4923611111</v>
      </c>
      <c r="C4340" s="57" t="n">
        <f aca="false">INT($C$2)-INT(Table3[[#This Row],[Last Purchase Date]])</f>
        <v>82</v>
      </c>
      <c r="D4340" s="1" t="n">
        <v>5</v>
      </c>
      <c r="E4340" s="1" t="n">
        <v>582.47</v>
      </c>
      <c r="F4340" s="1" t="n">
        <f aca="false">ROUND((1-_xlfn.PERCENTRANK.INC($C$7:$C$4378,C4340))*9,0)</f>
        <v>3</v>
      </c>
      <c r="G4340" s="1" t="n">
        <f aca="false">ROUND(_xlfn.PERCENTRANK.INC($D$7:$D$4378,D4340)*9,0)</f>
        <v>6</v>
      </c>
      <c r="H4340" s="1" t="n">
        <f aca="false">ROUND(_xlfn.PERCENTRANK.INC($E$7:$E$4378,E4340)*9,0)</f>
        <v>4</v>
      </c>
      <c r="I4340" s="1" t="str">
        <f aca="false">CONCATENATE(F4340,G4340,H4340)</f>
        <v>364</v>
      </c>
      <c r="J4340" s="1" t="str">
        <f aca="false">_xlfn.IFS(AND(F4340&gt;=8,G4340&gt;=8,H4340&gt;=8),"CHAMPION",AND(F4340&gt;=6,G4340&gt;=7,H4340&gt;=6),"LOYAL CUSTOMER",AND(F4340&gt;=6,G4340&gt;=5,H4340&gt;=5),"POTENTIAL LOYALIST",AND(F4340&gt;=8,G4340&lt;=2,H4340&gt;=5),"NEW CUSTOMERS",AND(F4340&gt;=6,G4340&lt;=2,H4340&gt;=3),"PROMISING",AND(F4340&gt;=3,G4340&gt;=3,H4340&gt;=3),"NEED ATTENTION",AND(F4340&lt;=4,G4340&gt;=6,H4340&gt;=6),"AT RISK",AND(F4340&lt;=2,G4340&gt;=8,H4340&gt;=8),"CAN'T LOSE THEM",AND(F4340&lt;=2,G4340&lt;=2,H4340&lt;=2),"HIBERNATING",TRUE(),"Other")</f>
        <v>NEED ATTENTION</v>
      </c>
      <c r="K4340" s="1" t="n">
        <f aca="false">RANK(E4340,$E$7:$E$4378)+COUNTIF($E$7:E4340,E4340)-1</f>
        <v>2367</v>
      </c>
    </row>
    <row r="4341" customFormat="false" ht="14.25" hidden="false" customHeight="true" outlineLevel="0" collapsed="false">
      <c r="A4341" s="51" t="n">
        <v>18233</v>
      </c>
      <c r="B4341" s="53" t="n">
        <v>40561.3638888889</v>
      </c>
      <c r="C4341" s="57" t="n">
        <f aca="false">INT($C$2)-INT(Table3[[#This Row],[Last Purchase Date]])</f>
        <v>326</v>
      </c>
      <c r="D4341" s="1" t="n">
        <v>1</v>
      </c>
      <c r="E4341" s="1" t="n">
        <v>440</v>
      </c>
      <c r="F4341" s="1" t="n">
        <f aca="false">ROUND((1-_xlfn.PERCENTRANK.INC($C$7:$C$4378,C4341))*9,0)</f>
        <v>0</v>
      </c>
      <c r="G4341" s="1" t="n">
        <f aca="false">ROUND(_xlfn.PERCENTRANK.INC($D$7:$D$4378,D4341)*9,0)</f>
        <v>0</v>
      </c>
      <c r="H4341" s="1" t="n">
        <f aca="false">ROUND(_xlfn.PERCENTRANK.INC($E$7:$E$4378,E4341)*9,0)</f>
        <v>3</v>
      </c>
      <c r="I4341" s="1" t="str">
        <f aca="false">CONCATENATE(F4341,G4341,H4341)</f>
        <v>003</v>
      </c>
      <c r="J4341" s="1" t="str">
        <f aca="false">_xlfn.IFS(AND(F4341&gt;=8,G4341&gt;=8,H4341&gt;=8),"CHAMPION",AND(F4341&gt;=6,G4341&gt;=7,H4341&gt;=6),"LOYAL CUSTOMER",AND(F4341&gt;=6,G4341&gt;=5,H4341&gt;=5),"POTENTIAL LOYALIST",AND(F4341&gt;=8,G4341&lt;=2,H4341&gt;=5),"NEW CUSTOMERS",AND(F4341&gt;=6,G4341&lt;=2,H4341&gt;=3),"PROMISING",AND(F4341&gt;=3,G4341&gt;=3,H4341&gt;=3),"NEED ATTENTION",AND(F4341&lt;=4,G4341&gt;=6,H4341&gt;=6),"AT RISK",AND(F4341&lt;=2,G4341&gt;=8,H4341&gt;=8),"CAN'T LOSE THEM",AND(F4341&lt;=2,G4341&lt;=2,H4341&lt;=2),"HIBERNATING",TRUE(),"Other")</f>
        <v>Other</v>
      </c>
      <c r="K4341" s="1" t="n">
        <f aca="false">RANK(E4341,$E$7:$E$4378)+COUNTIF($E$7:E4341,E4341)-1</f>
        <v>2695</v>
      </c>
    </row>
    <row r="4342" customFormat="false" ht="14.25" hidden="false" customHeight="true" outlineLevel="0" collapsed="false">
      <c r="A4342" s="51" t="n">
        <v>18235</v>
      </c>
      <c r="B4342" s="53" t="n">
        <v>40815.3520833333</v>
      </c>
      <c r="C4342" s="57" t="n">
        <f aca="false">INT($C$2)-INT(Table3[[#This Row],[Last Purchase Date]])</f>
        <v>72</v>
      </c>
      <c r="D4342" s="1" t="n">
        <v>3</v>
      </c>
      <c r="E4342" s="1" t="n">
        <v>1796.48</v>
      </c>
      <c r="F4342" s="1" t="n">
        <f aca="false">ROUND((1-_xlfn.PERCENTRANK.INC($C$7:$C$4378,C4342))*9,0)</f>
        <v>4</v>
      </c>
      <c r="G4342" s="1" t="n">
        <f aca="false">ROUND(_xlfn.PERCENTRANK.INC($D$7:$D$4378,D4342)*9,0)</f>
        <v>4</v>
      </c>
      <c r="H4342" s="1" t="n">
        <f aca="false">ROUND(_xlfn.PERCENTRANK.INC($E$7:$E$4378,E4342)*9,0)</f>
        <v>7</v>
      </c>
      <c r="I4342" s="1" t="str">
        <f aca="false">CONCATENATE(F4342,G4342,H4342)</f>
        <v>447</v>
      </c>
      <c r="J4342" s="1" t="str">
        <f aca="false">_xlfn.IFS(AND(F4342&gt;=8,G4342&gt;=8,H4342&gt;=8),"CHAMPION",AND(F4342&gt;=6,G4342&gt;=7,H4342&gt;=6),"LOYAL CUSTOMER",AND(F4342&gt;=6,G4342&gt;=5,H4342&gt;=5),"POTENTIAL LOYALIST",AND(F4342&gt;=8,G4342&lt;=2,H4342&gt;=5),"NEW CUSTOMERS",AND(F4342&gt;=6,G4342&lt;=2,H4342&gt;=3),"PROMISING",AND(F4342&gt;=3,G4342&gt;=3,H4342&gt;=3),"NEED ATTENTION",AND(F4342&lt;=4,G4342&gt;=6,H4342&gt;=6),"AT RISK",AND(F4342&lt;=2,G4342&gt;=8,H4342&gt;=8),"CAN'T LOSE THEM",AND(F4342&lt;=2,G4342&lt;=2,H4342&lt;=2),"HIBERNATING",TRUE(),"Other")</f>
        <v>NEED ATTENTION</v>
      </c>
      <c r="K4342" s="1" t="n">
        <f aca="false">RANK(E4342,$E$7:$E$4378)+COUNTIF($E$7:E4342,E4342)-1</f>
        <v>980</v>
      </c>
    </row>
    <row r="4343" customFormat="false" ht="14.25" hidden="false" customHeight="true" outlineLevel="0" collapsed="false">
      <c r="A4343" s="51" t="n">
        <v>18236</v>
      </c>
      <c r="B4343" s="53" t="n">
        <v>40857.3375</v>
      </c>
      <c r="C4343" s="57" t="n">
        <f aca="false">INT($C$2)-INT(Table3[[#This Row],[Last Purchase Date]])</f>
        <v>30</v>
      </c>
      <c r="D4343" s="1" t="n">
        <v>6</v>
      </c>
      <c r="E4343" s="1" t="n">
        <v>882.24</v>
      </c>
      <c r="F4343" s="1" t="n">
        <f aca="false">ROUND((1-_xlfn.PERCENTRANK.INC($C$7:$C$4378,C4343))*9,0)</f>
        <v>6</v>
      </c>
      <c r="G4343" s="1" t="n">
        <f aca="false">ROUND(_xlfn.PERCENTRANK.INC($D$7:$D$4378,D4343)*9,0)</f>
        <v>7</v>
      </c>
      <c r="H4343" s="1" t="n">
        <f aca="false">ROUND(_xlfn.PERCENTRANK.INC($E$7:$E$4378,E4343)*9,0)</f>
        <v>5</v>
      </c>
      <c r="I4343" s="1" t="str">
        <f aca="false">CONCATENATE(F4343,G4343,H4343)</f>
        <v>675</v>
      </c>
      <c r="J4343" s="1" t="str">
        <f aca="false">_xlfn.IFS(AND(F4343&gt;=8,G4343&gt;=8,H4343&gt;=8),"CHAMPION",AND(F4343&gt;=6,G4343&gt;=7,H4343&gt;=6),"LOYAL CUSTOMER",AND(F4343&gt;=6,G4343&gt;=5,H4343&gt;=5),"POTENTIAL LOYALIST",AND(F4343&gt;=8,G4343&lt;=2,H4343&gt;=5),"NEW CUSTOMERS",AND(F4343&gt;=6,G4343&lt;=2,H4343&gt;=3),"PROMISING",AND(F4343&gt;=3,G4343&gt;=3,H4343&gt;=3),"NEED ATTENTION",AND(F4343&lt;=4,G4343&gt;=6,H4343&gt;=6),"AT RISK",AND(F4343&lt;=2,G4343&gt;=8,H4343&gt;=8),"CAN'T LOSE THEM",AND(F4343&lt;=2,G4343&lt;=2,H4343&lt;=2),"HIBERNATING",TRUE(),"Other")</f>
        <v>POTENTIAL LOYALIST</v>
      </c>
      <c r="K4343" s="1" t="n">
        <f aca="false">RANK(E4343,$E$7:$E$4378)+COUNTIF($E$7:E4343,E4343)-1</f>
        <v>1785</v>
      </c>
    </row>
    <row r="4344" customFormat="false" ht="14.25" hidden="false" customHeight="true" outlineLevel="0" collapsed="false">
      <c r="A4344" s="51" t="n">
        <v>18237</v>
      </c>
      <c r="B4344" s="53" t="n">
        <v>40884.5340277778</v>
      </c>
      <c r="C4344" s="57" t="n">
        <f aca="false">INT($C$2)-INT(Table3[[#This Row],[Last Purchase Date]])</f>
        <v>3</v>
      </c>
      <c r="D4344" s="1" t="n">
        <v>5</v>
      </c>
      <c r="E4344" s="1" t="n">
        <v>987.1</v>
      </c>
      <c r="F4344" s="1" t="n">
        <f aca="false">ROUND((1-_xlfn.PERCENTRANK.INC($C$7:$C$4378,C4344))*9,0)</f>
        <v>9</v>
      </c>
      <c r="G4344" s="1" t="n">
        <f aca="false">ROUND(_xlfn.PERCENTRANK.INC($D$7:$D$4378,D4344)*9,0)</f>
        <v>6</v>
      </c>
      <c r="H4344" s="1" t="n">
        <f aca="false">ROUND(_xlfn.PERCENTRANK.INC($E$7:$E$4378,E4344)*9,0)</f>
        <v>6</v>
      </c>
      <c r="I4344" s="1" t="str">
        <f aca="false">CONCATENATE(F4344,G4344,H4344)</f>
        <v>966</v>
      </c>
      <c r="J4344" s="1" t="str">
        <f aca="false">_xlfn.IFS(AND(F4344&gt;=8,G4344&gt;=8,H4344&gt;=8),"CHAMPION",AND(F4344&gt;=6,G4344&gt;=7,H4344&gt;=6),"LOYAL CUSTOMER",AND(F4344&gt;=6,G4344&gt;=5,H4344&gt;=5),"POTENTIAL LOYALIST",AND(F4344&gt;=8,G4344&lt;=2,H4344&gt;=5),"NEW CUSTOMERS",AND(F4344&gt;=6,G4344&lt;=2,H4344&gt;=3),"PROMISING",AND(F4344&gt;=3,G4344&gt;=3,H4344&gt;=3),"NEED ATTENTION",AND(F4344&lt;=4,G4344&gt;=6,H4344&gt;=6),"AT RISK",AND(F4344&lt;=2,G4344&gt;=8,H4344&gt;=8),"CAN'T LOSE THEM",AND(F4344&lt;=2,G4344&lt;=2,H4344&lt;=2),"HIBERNATING",TRUE(),"Other")</f>
        <v>POTENTIAL LOYALIST</v>
      </c>
      <c r="K4344" s="1" t="n">
        <f aca="false">RANK(E4344,$E$7:$E$4378)+COUNTIF($E$7:E4344,E4344)-1</f>
        <v>1650</v>
      </c>
    </row>
    <row r="4345" customFormat="false" ht="14.25" hidden="false" customHeight="true" outlineLevel="0" collapsed="false">
      <c r="A4345" s="51" t="n">
        <v>18239</v>
      </c>
      <c r="B4345" s="53" t="n">
        <v>40668.5263888889</v>
      </c>
      <c r="C4345" s="57" t="n">
        <f aca="false">INT($C$2)-INT(Table3[[#This Row],[Last Purchase Date]])</f>
        <v>219</v>
      </c>
      <c r="D4345" s="1" t="n">
        <v>5</v>
      </c>
      <c r="E4345" s="1" t="n">
        <v>1561.61</v>
      </c>
      <c r="F4345" s="1" t="n">
        <f aca="false">ROUND((1-_xlfn.PERCENTRANK.INC($C$7:$C$4378,C4345))*9,0)</f>
        <v>1</v>
      </c>
      <c r="G4345" s="1" t="n">
        <f aca="false">ROUND(_xlfn.PERCENTRANK.INC($D$7:$D$4378,D4345)*9,0)</f>
        <v>6</v>
      </c>
      <c r="H4345" s="1" t="n">
        <f aca="false">ROUND(_xlfn.PERCENTRANK.INC($E$7:$E$4378,E4345)*9,0)</f>
        <v>7</v>
      </c>
      <c r="I4345" s="1" t="str">
        <f aca="false">CONCATENATE(F4345,G4345,H4345)</f>
        <v>167</v>
      </c>
      <c r="J4345" s="1" t="str">
        <f aca="false">_xlfn.IFS(AND(F4345&gt;=8,G4345&gt;=8,H4345&gt;=8),"CHAMPION",AND(F4345&gt;=6,G4345&gt;=7,H4345&gt;=6),"LOYAL CUSTOMER",AND(F4345&gt;=6,G4345&gt;=5,H4345&gt;=5),"POTENTIAL LOYALIST",AND(F4345&gt;=8,G4345&lt;=2,H4345&gt;=5),"NEW CUSTOMERS",AND(F4345&gt;=6,G4345&lt;=2,H4345&gt;=3),"PROMISING",AND(F4345&gt;=3,G4345&gt;=3,H4345&gt;=3),"NEED ATTENTION",AND(F4345&lt;=4,G4345&gt;=6,H4345&gt;=6),"AT RISK",AND(F4345&lt;=2,G4345&gt;=8,H4345&gt;=8),"CAN'T LOSE THEM",AND(F4345&lt;=2,G4345&lt;=2,H4345&lt;=2),"HIBERNATING",TRUE(),"Other")</f>
        <v>AT RISK</v>
      </c>
      <c r="K4345" s="1" t="n">
        <f aca="false">RANK(E4345,$E$7:$E$4378)+COUNTIF($E$7:E4345,E4345)-1</f>
        <v>1118</v>
      </c>
    </row>
    <row r="4346" customFormat="false" ht="14.25" hidden="false" customHeight="true" outlineLevel="0" collapsed="false">
      <c r="A4346" s="51" t="n">
        <v>18240</v>
      </c>
      <c r="B4346" s="53" t="n">
        <v>40840.5458333333</v>
      </c>
      <c r="C4346" s="57" t="n">
        <f aca="false">INT($C$2)-INT(Table3[[#This Row],[Last Purchase Date]])</f>
        <v>47</v>
      </c>
      <c r="D4346" s="1" t="n">
        <v>1</v>
      </c>
      <c r="E4346" s="1" t="n">
        <v>422.58</v>
      </c>
      <c r="F4346" s="1" t="n">
        <f aca="false">ROUND((1-_xlfn.PERCENTRANK.INC($C$7:$C$4378,C4346))*9,0)</f>
        <v>5</v>
      </c>
      <c r="G4346" s="1" t="n">
        <f aca="false">ROUND(_xlfn.PERCENTRANK.INC($D$7:$D$4378,D4346)*9,0)</f>
        <v>0</v>
      </c>
      <c r="H4346" s="1" t="n">
        <f aca="false">ROUND(_xlfn.PERCENTRANK.INC($E$7:$E$4378,E4346)*9,0)</f>
        <v>3</v>
      </c>
      <c r="I4346" s="1" t="str">
        <f aca="false">CONCATENATE(F4346,G4346,H4346)</f>
        <v>503</v>
      </c>
      <c r="J4346" s="1" t="str">
        <f aca="false">_xlfn.IFS(AND(F4346&gt;=8,G4346&gt;=8,H4346&gt;=8),"CHAMPION",AND(F4346&gt;=6,G4346&gt;=7,H4346&gt;=6),"LOYAL CUSTOMER",AND(F4346&gt;=6,G4346&gt;=5,H4346&gt;=5),"POTENTIAL LOYALIST",AND(F4346&gt;=8,G4346&lt;=2,H4346&gt;=5),"NEW CUSTOMERS",AND(F4346&gt;=6,G4346&lt;=2,H4346&gt;=3),"PROMISING",AND(F4346&gt;=3,G4346&gt;=3,H4346&gt;=3),"NEED ATTENTION",AND(F4346&lt;=4,G4346&gt;=6,H4346&gt;=6),"AT RISK",AND(F4346&lt;=2,G4346&gt;=8,H4346&gt;=8),"CAN'T LOSE THEM",AND(F4346&lt;=2,G4346&lt;=2,H4346&lt;=2),"HIBERNATING",TRUE(),"Other")</f>
        <v>Other</v>
      </c>
      <c r="K4346" s="1" t="n">
        <f aca="false">RANK(E4346,$E$7:$E$4378)+COUNTIF($E$7:E4346,E4346)-1</f>
        <v>2747</v>
      </c>
    </row>
    <row r="4347" customFormat="false" ht="14.25" hidden="false" customHeight="true" outlineLevel="0" collapsed="false">
      <c r="A4347" s="51" t="n">
        <v>18241</v>
      </c>
      <c r="B4347" s="53" t="n">
        <v>40877.5069444445</v>
      </c>
      <c r="C4347" s="57" t="n">
        <f aca="false">INT($C$2)-INT(Table3[[#This Row],[Last Purchase Date]])</f>
        <v>10</v>
      </c>
      <c r="D4347" s="1" t="n">
        <v>18</v>
      </c>
      <c r="E4347" s="1" t="n">
        <v>2058.09</v>
      </c>
      <c r="F4347" s="1" t="n">
        <f aca="false">ROUND((1-_xlfn.PERCENTRANK.INC($C$7:$C$4378,C4347))*9,0)</f>
        <v>8</v>
      </c>
      <c r="G4347" s="1" t="n">
        <f aca="false">ROUND(_xlfn.PERCENTRANK.INC($D$7:$D$4378,D4347)*9,0)</f>
        <v>9</v>
      </c>
      <c r="H4347" s="1" t="n">
        <f aca="false">ROUND(_xlfn.PERCENTRANK.INC($E$7:$E$4378,E4347)*9,0)</f>
        <v>7</v>
      </c>
      <c r="I4347" s="1" t="str">
        <f aca="false">CONCATENATE(F4347,G4347,H4347)</f>
        <v>897</v>
      </c>
      <c r="J4347" s="1" t="str">
        <f aca="false">_xlfn.IFS(AND(F4347&gt;=8,G4347&gt;=8,H4347&gt;=8),"CHAMPION",AND(F4347&gt;=6,G4347&gt;=7,H4347&gt;=6),"LOYAL CUSTOMER",AND(F4347&gt;=6,G4347&gt;=5,H4347&gt;=5),"POTENTIAL LOYALIST",AND(F4347&gt;=8,G4347&lt;=2,H4347&gt;=5),"NEW CUSTOMERS",AND(F4347&gt;=6,G4347&lt;=2,H4347&gt;=3),"PROMISING",AND(F4347&gt;=3,G4347&gt;=3,H4347&gt;=3),"NEED ATTENTION",AND(F4347&lt;=4,G4347&gt;=6,H4347&gt;=6),"AT RISK",AND(F4347&lt;=2,G4347&gt;=8,H4347&gt;=8),"CAN'T LOSE THEM",AND(F4347&lt;=2,G4347&lt;=2,H4347&lt;=2),"HIBERNATING",TRUE(),"Other")</f>
        <v>LOYAL CUSTOMER</v>
      </c>
      <c r="K4347" s="1" t="n">
        <f aca="false">RANK(E4347,$E$7:$E$4378)+COUNTIF($E$7:E4347,E4347)-1</f>
        <v>846</v>
      </c>
    </row>
    <row r="4348" customFormat="false" ht="14.25" hidden="false" customHeight="true" outlineLevel="0" collapsed="false">
      <c r="A4348" s="51" t="n">
        <v>18242</v>
      </c>
      <c r="B4348" s="53" t="n">
        <v>40814.5715277778</v>
      </c>
      <c r="C4348" s="57" t="n">
        <f aca="false">INT($C$2)-INT(Table3[[#This Row],[Last Purchase Date]])</f>
        <v>73</v>
      </c>
      <c r="D4348" s="1" t="n">
        <v>4</v>
      </c>
      <c r="E4348" s="1" t="n">
        <v>2232.49</v>
      </c>
      <c r="F4348" s="1" t="n">
        <f aca="false">ROUND((1-_xlfn.PERCENTRANK.INC($C$7:$C$4378,C4348))*9,0)</f>
        <v>4</v>
      </c>
      <c r="G4348" s="1" t="n">
        <f aca="false">ROUND(_xlfn.PERCENTRANK.INC($D$7:$D$4378,D4348)*9,0)</f>
        <v>5</v>
      </c>
      <c r="H4348" s="1" t="n">
        <f aca="false">ROUND(_xlfn.PERCENTRANK.INC($E$7:$E$4378,E4348)*9,0)</f>
        <v>7</v>
      </c>
      <c r="I4348" s="1" t="str">
        <f aca="false">CONCATENATE(F4348,G4348,H4348)</f>
        <v>457</v>
      </c>
      <c r="J4348" s="1" t="str">
        <f aca="false">_xlfn.IFS(AND(F4348&gt;=8,G4348&gt;=8,H4348&gt;=8),"CHAMPION",AND(F4348&gt;=6,G4348&gt;=7,H4348&gt;=6),"LOYAL CUSTOMER",AND(F4348&gt;=6,G4348&gt;=5,H4348&gt;=5),"POTENTIAL LOYALIST",AND(F4348&gt;=8,G4348&lt;=2,H4348&gt;=5),"NEW CUSTOMERS",AND(F4348&gt;=6,G4348&lt;=2,H4348&gt;=3),"PROMISING",AND(F4348&gt;=3,G4348&gt;=3,H4348&gt;=3),"NEED ATTENTION",AND(F4348&lt;=4,G4348&gt;=6,H4348&gt;=6),"AT RISK",AND(F4348&lt;=2,G4348&gt;=8,H4348&gt;=8),"CAN'T LOSE THEM",AND(F4348&lt;=2,G4348&lt;=2,H4348&lt;=2),"HIBERNATING",TRUE(),"Other")</f>
        <v>NEED ATTENTION</v>
      </c>
      <c r="K4348" s="1" t="n">
        <f aca="false">RANK(E4348,$E$7:$E$4378)+COUNTIF($E$7:E4348,E4348)-1</f>
        <v>769</v>
      </c>
    </row>
    <row r="4349" customFormat="false" ht="14.25" hidden="false" customHeight="true" outlineLevel="0" collapsed="false">
      <c r="A4349" s="51" t="n">
        <v>18245</v>
      </c>
      <c r="B4349" s="53" t="n">
        <v>40879.6166666667</v>
      </c>
      <c r="C4349" s="57" t="n">
        <f aca="false">INT($C$2)-INT(Table3[[#This Row],[Last Purchase Date]])</f>
        <v>8</v>
      </c>
      <c r="D4349" s="1" t="n">
        <v>8</v>
      </c>
      <c r="E4349" s="1" t="n">
        <v>2507.56</v>
      </c>
      <c r="F4349" s="1" t="n">
        <f aca="false">ROUND((1-_xlfn.PERCENTRANK.INC($C$7:$C$4378,C4349))*9,0)</f>
        <v>8</v>
      </c>
      <c r="G4349" s="1" t="n">
        <f aca="false">ROUND(_xlfn.PERCENTRANK.INC($D$7:$D$4378,D4349)*9,0)</f>
        <v>7</v>
      </c>
      <c r="H4349" s="1" t="n">
        <f aca="false">ROUND(_xlfn.PERCENTRANK.INC($E$7:$E$4378,E4349)*9,0)</f>
        <v>8</v>
      </c>
      <c r="I4349" s="1" t="str">
        <f aca="false">CONCATENATE(F4349,G4349,H4349)</f>
        <v>878</v>
      </c>
      <c r="J4349" s="1" t="str">
        <f aca="false">_xlfn.IFS(AND(F4349&gt;=8,G4349&gt;=8,H4349&gt;=8),"CHAMPION",AND(F4349&gt;=6,G4349&gt;=7,H4349&gt;=6),"LOYAL CUSTOMER",AND(F4349&gt;=6,G4349&gt;=5,H4349&gt;=5),"POTENTIAL LOYALIST",AND(F4349&gt;=8,G4349&lt;=2,H4349&gt;=5),"NEW CUSTOMERS",AND(F4349&gt;=6,G4349&lt;=2,H4349&gt;=3),"PROMISING",AND(F4349&gt;=3,G4349&gt;=3,H4349&gt;=3),"NEED ATTENTION",AND(F4349&lt;=4,G4349&gt;=6,H4349&gt;=6),"AT RISK",AND(F4349&lt;=2,G4349&gt;=8,H4349&gt;=8),"CAN'T LOSE THEM",AND(F4349&lt;=2,G4349&lt;=2,H4349&lt;=2),"HIBERNATING",TRUE(),"Other")</f>
        <v>LOYAL CUSTOMER</v>
      </c>
      <c r="K4349" s="1" t="n">
        <f aca="false">RANK(E4349,$E$7:$E$4378)+COUNTIF($E$7:E4349,E4349)-1</f>
        <v>679</v>
      </c>
    </row>
    <row r="4350" customFormat="false" ht="14.25" hidden="false" customHeight="true" outlineLevel="0" collapsed="false">
      <c r="A4350" s="51" t="n">
        <v>18246</v>
      </c>
      <c r="B4350" s="53" t="n">
        <v>40863.4923611111</v>
      </c>
      <c r="C4350" s="57" t="n">
        <f aca="false">INT($C$2)-INT(Table3[[#This Row],[Last Purchase Date]])</f>
        <v>24</v>
      </c>
      <c r="D4350" s="1" t="n">
        <v>2</v>
      </c>
      <c r="E4350" s="1" t="n">
        <v>596.1</v>
      </c>
      <c r="F4350" s="1" t="n">
        <f aca="false">ROUND((1-_xlfn.PERCENTRANK.INC($C$7:$C$4378,C4350))*9,0)</f>
        <v>6</v>
      </c>
      <c r="G4350" s="1" t="n">
        <f aca="false">ROUND(_xlfn.PERCENTRANK.INC($D$7:$D$4378,D4350)*9,0)</f>
        <v>3</v>
      </c>
      <c r="H4350" s="1" t="n">
        <f aca="false">ROUND(_xlfn.PERCENTRANK.INC($E$7:$E$4378,E4350)*9,0)</f>
        <v>4</v>
      </c>
      <c r="I4350" s="1" t="str">
        <f aca="false">CONCATENATE(F4350,G4350,H4350)</f>
        <v>634</v>
      </c>
      <c r="J4350" s="1" t="str">
        <f aca="false">_xlfn.IFS(AND(F4350&gt;=8,G4350&gt;=8,H4350&gt;=8),"CHAMPION",AND(F4350&gt;=6,G4350&gt;=7,H4350&gt;=6),"LOYAL CUSTOMER",AND(F4350&gt;=6,G4350&gt;=5,H4350&gt;=5),"POTENTIAL LOYALIST",AND(F4350&gt;=8,G4350&lt;=2,H4350&gt;=5),"NEW CUSTOMERS",AND(F4350&gt;=6,G4350&lt;=2,H4350&gt;=3),"PROMISING",AND(F4350&gt;=3,G4350&gt;=3,H4350&gt;=3),"NEED ATTENTION",AND(F4350&lt;=4,G4350&gt;=6,H4350&gt;=6),"AT RISK",AND(F4350&lt;=2,G4350&gt;=8,H4350&gt;=8),"CAN'T LOSE THEM",AND(F4350&lt;=2,G4350&lt;=2,H4350&lt;=2),"HIBERNATING",TRUE(),"Other")</f>
        <v>NEED ATTENTION</v>
      </c>
      <c r="K4350" s="1" t="n">
        <f aca="false">RANK(E4350,$E$7:$E$4378)+COUNTIF($E$7:E4350,E4350)-1</f>
        <v>2333</v>
      </c>
    </row>
    <row r="4351" customFormat="false" ht="14.25" hidden="false" customHeight="true" outlineLevel="0" collapsed="false">
      <c r="A4351" s="51" t="n">
        <v>18248</v>
      </c>
      <c r="B4351" s="53" t="n">
        <v>40773.2597222222</v>
      </c>
      <c r="C4351" s="57" t="n">
        <f aca="false">INT($C$2)-INT(Table3[[#This Row],[Last Purchase Date]])</f>
        <v>114</v>
      </c>
      <c r="D4351" s="1" t="n">
        <v>4</v>
      </c>
      <c r="E4351" s="1" t="n">
        <v>783.02</v>
      </c>
      <c r="F4351" s="1" t="n">
        <f aca="false">ROUND((1-_xlfn.PERCENTRANK.INC($C$7:$C$4378,C4351))*9,0)</f>
        <v>3</v>
      </c>
      <c r="G4351" s="1" t="n">
        <f aca="false">ROUND(_xlfn.PERCENTRANK.INC($D$7:$D$4378,D4351)*9,0)</f>
        <v>5</v>
      </c>
      <c r="H4351" s="1" t="n">
        <f aca="false">ROUND(_xlfn.PERCENTRANK.INC($E$7:$E$4378,E4351)*9,0)</f>
        <v>5</v>
      </c>
      <c r="I4351" s="1" t="str">
        <f aca="false">CONCATENATE(F4351,G4351,H4351)</f>
        <v>355</v>
      </c>
      <c r="J4351" s="1" t="str">
        <f aca="false">_xlfn.IFS(AND(F4351&gt;=8,G4351&gt;=8,H4351&gt;=8),"CHAMPION",AND(F4351&gt;=6,G4351&gt;=7,H4351&gt;=6),"LOYAL CUSTOMER",AND(F4351&gt;=6,G4351&gt;=5,H4351&gt;=5),"POTENTIAL LOYALIST",AND(F4351&gt;=8,G4351&lt;=2,H4351&gt;=5),"NEW CUSTOMERS",AND(F4351&gt;=6,G4351&lt;=2,H4351&gt;=3),"PROMISING",AND(F4351&gt;=3,G4351&gt;=3,H4351&gt;=3),"NEED ATTENTION",AND(F4351&lt;=4,G4351&gt;=6,H4351&gt;=6),"AT RISK",AND(F4351&lt;=2,G4351&gt;=8,H4351&gt;=8),"CAN'T LOSE THEM",AND(F4351&lt;=2,G4351&lt;=2,H4351&lt;=2),"HIBERNATING",TRUE(),"Other")</f>
        <v>NEED ATTENTION</v>
      </c>
      <c r="K4351" s="1" t="n">
        <f aca="false">RANK(E4351,$E$7:$E$4378)+COUNTIF($E$7:E4351,E4351)-1</f>
        <v>1916</v>
      </c>
    </row>
    <row r="4352" customFormat="false" ht="14.25" hidden="false" customHeight="true" outlineLevel="0" collapsed="false">
      <c r="A4352" s="51" t="n">
        <v>18249</v>
      </c>
      <c r="B4352" s="53" t="n">
        <v>40869.6298611111</v>
      </c>
      <c r="C4352" s="57" t="n">
        <f aca="false">INT($C$2)-INT(Table3[[#This Row],[Last Purchase Date]])</f>
        <v>18</v>
      </c>
      <c r="D4352" s="1" t="n">
        <v>1</v>
      </c>
      <c r="E4352" s="1" t="n">
        <v>95.34</v>
      </c>
      <c r="F4352" s="1" t="n">
        <f aca="false">ROUND((1-_xlfn.PERCENTRANK.INC($C$7:$C$4378,C4352))*9,0)</f>
        <v>7</v>
      </c>
      <c r="G4352" s="1" t="n">
        <f aca="false">ROUND(_xlfn.PERCENTRANK.INC($D$7:$D$4378,D4352)*9,0)</f>
        <v>0</v>
      </c>
      <c r="H4352" s="1" t="n">
        <f aca="false">ROUND(_xlfn.PERCENTRANK.INC($E$7:$E$4378,E4352)*9,0)</f>
        <v>0</v>
      </c>
      <c r="I4352" s="1" t="str">
        <f aca="false">CONCATENATE(F4352,G4352,H4352)</f>
        <v>700</v>
      </c>
      <c r="J4352" s="1" t="str">
        <f aca="false">_xlfn.IFS(AND(F4352&gt;=8,G4352&gt;=8,H4352&gt;=8),"CHAMPION",AND(F4352&gt;=6,G4352&gt;=7,H4352&gt;=6),"LOYAL CUSTOMER",AND(F4352&gt;=6,G4352&gt;=5,H4352&gt;=5),"POTENTIAL LOYALIST",AND(F4352&gt;=8,G4352&lt;=2,H4352&gt;=5),"NEW CUSTOMERS",AND(F4352&gt;=6,G4352&lt;=2,H4352&gt;=3),"PROMISING",AND(F4352&gt;=3,G4352&gt;=3,H4352&gt;=3),"NEED ATTENTION",AND(F4352&lt;=4,G4352&gt;=6,H4352&gt;=6),"AT RISK",AND(F4352&lt;=2,G4352&gt;=8,H4352&gt;=8),"CAN'T LOSE THEM",AND(F4352&lt;=2,G4352&lt;=2,H4352&lt;=2),"HIBERNATING",TRUE(),"Other")</f>
        <v>Other</v>
      </c>
      <c r="K4352" s="1" t="n">
        <f aca="false">RANK(E4352,$E$7:$E$4378)+COUNTIF($E$7:E4352,E4352)-1</f>
        <v>4173</v>
      </c>
    </row>
    <row r="4353" customFormat="false" ht="14.25" hidden="false" customHeight="true" outlineLevel="0" collapsed="false">
      <c r="A4353" s="51" t="n">
        <v>18250</v>
      </c>
      <c r="B4353" s="53" t="n">
        <v>40585.5826388889</v>
      </c>
      <c r="C4353" s="57" t="n">
        <f aca="false">INT($C$2)-INT(Table3[[#This Row],[Last Purchase Date]])</f>
        <v>302</v>
      </c>
      <c r="D4353" s="1" t="n">
        <v>2</v>
      </c>
      <c r="E4353" s="1" t="n">
        <v>342.92</v>
      </c>
      <c r="F4353" s="1" t="n">
        <f aca="false">ROUND((1-_xlfn.PERCENTRANK.INC($C$7:$C$4378,C4353))*9,0)</f>
        <v>1</v>
      </c>
      <c r="G4353" s="1" t="n">
        <f aca="false">ROUND(_xlfn.PERCENTRANK.INC($D$7:$D$4378,D4353)*9,0)</f>
        <v>3</v>
      </c>
      <c r="H4353" s="1" t="n">
        <f aca="false">ROUND(_xlfn.PERCENTRANK.INC($E$7:$E$4378,E4353)*9,0)</f>
        <v>3</v>
      </c>
      <c r="I4353" s="1" t="str">
        <f aca="false">CONCATENATE(F4353,G4353,H4353)</f>
        <v>133</v>
      </c>
      <c r="J4353" s="1" t="str">
        <f aca="false">_xlfn.IFS(AND(F4353&gt;=8,G4353&gt;=8,H4353&gt;=8),"CHAMPION",AND(F4353&gt;=6,G4353&gt;=7,H4353&gt;=6),"LOYAL CUSTOMER",AND(F4353&gt;=6,G4353&gt;=5,H4353&gt;=5),"POTENTIAL LOYALIST",AND(F4353&gt;=8,G4353&lt;=2,H4353&gt;=5),"NEW CUSTOMERS",AND(F4353&gt;=6,G4353&lt;=2,H4353&gt;=3),"PROMISING",AND(F4353&gt;=3,G4353&gt;=3,H4353&gt;=3),"NEED ATTENTION",AND(F4353&lt;=4,G4353&gt;=6,H4353&gt;=6),"AT RISK",AND(F4353&lt;=2,G4353&gt;=8,H4353&gt;=8),"CAN'T LOSE THEM",AND(F4353&lt;=2,G4353&lt;=2,H4353&lt;=2),"HIBERNATING",TRUE(),"Other")</f>
        <v>Other</v>
      </c>
      <c r="K4353" s="1" t="n">
        <f aca="false">RANK(E4353,$E$7:$E$4378)+COUNTIF($E$7:E4353,E4353)-1</f>
        <v>3043</v>
      </c>
    </row>
    <row r="4354" customFormat="false" ht="14.25" hidden="false" customHeight="true" outlineLevel="0" collapsed="false">
      <c r="A4354" s="51" t="n">
        <v>18251</v>
      </c>
      <c r="B4354" s="53" t="n">
        <v>40799.6270833333</v>
      </c>
      <c r="C4354" s="57" t="n">
        <f aca="false">INT($C$2)-INT(Table3[[#This Row],[Last Purchase Date]])</f>
        <v>88</v>
      </c>
      <c r="D4354" s="1" t="n">
        <v>1</v>
      </c>
      <c r="E4354" s="1" t="n">
        <v>4314.72</v>
      </c>
      <c r="F4354" s="1" t="n">
        <f aca="false">ROUND((1-_xlfn.PERCENTRANK.INC($C$7:$C$4378,C4354))*9,0)</f>
        <v>3</v>
      </c>
      <c r="G4354" s="1" t="n">
        <f aca="false">ROUND(_xlfn.PERCENTRANK.INC($D$7:$D$4378,D4354)*9,0)</f>
        <v>0</v>
      </c>
      <c r="H4354" s="1" t="n">
        <f aca="false">ROUND(_xlfn.PERCENTRANK.INC($E$7:$E$4378,E4354)*9,0)</f>
        <v>8</v>
      </c>
      <c r="I4354" s="1" t="str">
        <f aca="false">CONCATENATE(F4354,G4354,H4354)</f>
        <v>308</v>
      </c>
      <c r="J4354" s="1" t="str">
        <f aca="false">_xlfn.IFS(AND(F4354&gt;=8,G4354&gt;=8,H4354&gt;=8),"CHAMPION",AND(F4354&gt;=6,G4354&gt;=7,H4354&gt;=6),"LOYAL CUSTOMER",AND(F4354&gt;=6,G4354&gt;=5,H4354&gt;=5),"POTENTIAL LOYALIST",AND(F4354&gt;=8,G4354&lt;=2,H4354&gt;=5),"NEW CUSTOMERS",AND(F4354&gt;=6,G4354&lt;=2,H4354&gt;=3),"PROMISING",AND(F4354&gt;=3,G4354&gt;=3,H4354&gt;=3),"NEED ATTENTION",AND(F4354&lt;=4,G4354&gt;=6,H4354&gt;=6),"AT RISK",AND(F4354&lt;=2,G4354&gt;=8,H4354&gt;=8),"CAN'T LOSE THEM",AND(F4354&lt;=2,G4354&lt;=2,H4354&lt;=2),"HIBERNATING",TRUE(),"Other")</f>
        <v>Other</v>
      </c>
      <c r="K4354" s="1" t="n">
        <f aca="false">RANK(E4354,$E$7:$E$4378)+COUNTIF($E$7:E4354,E4354)-1</f>
        <v>318</v>
      </c>
    </row>
    <row r="4355" customFormat="false" ht="14.25" hidden="false" customHeight="true" outlineLevel="0" collapsed="false">
      <c r="A4355" s="51" t="n">
        <v>18252</v>
      </c>
      <c r="B4355" s="53" t="n">
        <v>40836.5298611111</v>
      </c>
      <c r="C4355" s="57" t="n">
        <f aca="false">INT($C$2)-INT(Table3[[#This Row],[Last Purchase Date]])</f>
        <v>51</v>
      </c>
      <c r="D4355" s="1" t="n">
        <v>2</v>
      </c>
      <c r="E4355" s="1" t="n">
        <v>526.67</v>
      </c>
      <c r="F4355" s="1" t="n">
        <f aca="false">ROUND((1-_xlfn.PERCENTRANK.INC($C$7:$C$4378,C4355))*9,0)</f>
        <v>5</v>
      </c>
      <c r="G4355" s="1" t="n">
        <f aca="false">ROUND(_xlfn.PERCENTRANK.INC($D$7:$D$4378,D4355)*9,0)</f>
        <v>3</v>
      </c>
      <c r="H4355" s="1" t="n">
        <f aca="false">ROUND(_xlfn.PERCENTRANK.INC($E$7:$E$4378,E4355)*9,0)</f>
        <v>4</v>
      </c>
      <c r="I4355" s="1" t="str">
        <f aca="false">CONCATENATE(F4355,G4355,H4355)</f>
        <v>534</v>
      </c>
      <c r="J4355" s="1" t="str">
        <f aca="false">_xlfn.IFS(AND(F4355&gt;=8,G4355&gt;=8,H4355&gt;=8),"CHAMPION",AND(F4355&gt;=6,G4355&gt;=7,H4355&gt;=6),"LOYAL CUSTOMER",AND(F4355&gt;=6,G4355&gt;=5,H4355&gt;=5),"POTENTIAL LOYALIST",AND(F4355&gt;=8,G4355&lt;=2,H4355&gt;=5),"NEW CUSTOMERS",AND(F4355&gt;=6,G4355&lt;=2,H4355&gt;=3),"PROMISING",AND(F4355&gt;=3,G4355&gt;=3,H4355&gt;=3),"NEED ATTENTION",AND(F4355&lt;=4,G4355&gt;=6,H4355&gt;=6),"AT RISK",AND(F4355&lt;=2,G4355&gt;=8,H4355&gt;=8),"CAN'T LOSE THEM",AND(F4355&lt;=2,G4355&lt;=2,H4355&lt;=2),"HIBERNATING",TRUE(),"Other")</f>
        <v>NEED ATTENTION</v>
      </c>
      <c r="K4355" s="1" t="n">
        <f aca="false">RANK(E4355,$E$7:$E$4378)+COUNTIF($E$7:E4355,E4355)-1</f>
        <v>2487</v>
      </c>
    </row>
    <row r="4356" customFormat="false" ht="14.25" hidden="false" customHeight="true" outlineLevel="0" collapsed="false">
      <c r="A4356" s="51" t="n">
        <v>18255</v>
      </c>
      <c r="B4356" s="53" t="n">
        <v>40797.5527777778</v>
      </c>
      <c r="C4356" s="57" t="n">
        <f aca="false">INT($C$2)-INT(Table3[[#This Row],[Last Purchase Date]])</f>
        <v>90</v>
      </c>
      <c r="D4356" s="1" t="n">
        <v>1</v>
      </c>
      <c r="E4356" s="1" t="n">
        <v>103.3</v>
      </c>
      <c r="F4356" s="1" t="n">
        <f aca="false">ROUND((1-_xlfn.PERCENTRANK.INC($C$7:$C$4378,C4356))*9,0)</f>
        <v>3</v>
      </c>
      <c r="G4356" s="1" t="n">
        <f aca="false">ROUND(_xlfn.PERCENTRANK.INC($D$7:$D$4378,D4356)*9,0)</f>
        <v>0</v>
      </c>
      <c r="H4356" s="1" t="n">
        <f aca="false">ROUND(_xlfn.PERCENTRANK.INC($E$7:$E$4378,E4356)*9,0)</f>
        <v>0</v>
      </c>
      <c r="I4356" s="1" t="str">
        <f aca="false">CONCATENATE(F4356,G4356,H4356)</f>
        <v>300</v>
      </c>
      <c r="J4356" s="1" t="str">
        <f aca="false">_xlfn.IFS(AND(F4356&gt;=8,G4356&gt;=8,H4356&gt;=8),"CHAMPION",AND(F4356&gt;=6,G4356&gt;=7,H4356&gt;=6),"LOYAL CUSTOMER",AND(F4356&gt;=6,G4356&gt;=5,H4356&gt;=5),"POTENTIAL LOYALIST",AND(F4356&gt;=8,G4356&lt;=2,H4356&gt;=5),"NEW CUSTOMERS",AND(F4356&gt;=6,G4356&lt;=2,H4356&gt;=3),"PROMISING",AND(F4356&gt;=3,G4356&gt;=3,H4356&gt;=3),"NEED ATTENTION",AND(F4356&lt;=4,G4356&gt;=6,H4356&gt;=6),"AT RISK",AND(F4356&lt;=2,G4356&gt;=8,H4356&gt;=8),"CAN'T LOSE THEM",AND(F4356&lt;=2,G4356&lt;=2,H4356&lt;=2),"HIBERNATING",TRUE(),"Other")</f>
        <v>Other</v>
      </c>
      <c r="K4356" s="1" t="n">
        <f aca="false">RANK(E4356,$E$7:$E$4378)+COUNTIF($E$7:E4356,E4356)-1</f>
        <v>4139</v>
      </c>
    </row>
    <row r="4357" customFormat="false" ht="14.25" hidden="false" customHeight="true" outlineLevel="0" collapsed="false">
      <c r="A4357" s="51" t="n">
        <v>18256</v>
      </c>
      <c r="B4357" s="53" t="n">
        <v>40532.3520833333</v>
      </c>
      <c r="C4357" s="57" t="n">
        <f aca="false">INT($C$2)-INT(Table3[[#This Row],[Last Purchase Date]])</f>
        <v>355</v>
      </c>
      <c r="D4357" s="1" t="n">
        <v>1</v>
      </c>
      <c r="E4357" s="1" t="n">
        <v>-50.1</v>
      </c>
      <c r="F4357" s="1" t="n">
        <f aca="false">ROUND((1-_xlfn.PERCENTRANK.INC($C$7:$C$4378,C4357))*9,0)</f>
        <v>0</v>
      </c>
      <c r="G4357" s="1" t="n">
        <f aca="false">ROUND(_xlfn.PERCENTRANK.INC($D$7:$D$4378,D4357)*9,0)</f>
        <v>0</v>
      </c>
      <c r="H4357" s="1" t="n">
        <f aca="false">ROUND(_xlfn.PERCENTRANK.INC($E$7:$E$4378,E4357)*9,0)</f>
        <v>0</v>
      </c>
      <c r="I4357" s="1" t="str">
        <f aca="false">CONCATENATE(F4357,G4357,H4357)</f>
        <v>000</v>
      </c>
      <c r="J4357" s="1" t="str">
        <f aca="false">_xlfn.IFS(AND(F4357&gt;=8,G4357&gt;=8,H4357&gt;=8),"CHAMPION",AND(F4357&gt;=6,G4357&gt;=7,H4357&gt;=6),"LOYAL CUSTOMER",AND(F4357&gt;=6,G4357&gt;=5,H4357&gt;=5),"POTENTIAL LOYALIST",AND(F4357&gt;=8,G4357&lt;=2,H4357&gt;=5),"NEW CUSTOMERS",AND(F4357&gt;=6,G4357&lt;=2,H4357&gt;=3),"PROMISING",AND(F4357&gt;=3,G4357&gt;=3,H4357&gt;=3),"NEED ATTENTION",AND(F4357&lt;=4,G4357&gt;=6,H4357&gt;=6),"AT RISK",AND(F4357&lt;=2,G4357&gt;=8,H4357&gt;=8),"CAN'T LOSE THEM",AND(F4357&lt;=2,G4357&lt;=2,H4357&lt;=2),"HIBERNATING",TRUE(),"Other")</f>
        <v>HIBERNATING</v>
      </c>
      <c r="K4357" s="1" t="n">
        <f aca="false">RANK(E4357,$E$7:$E$4378)+COUNTIF($E$7:E4357,E4357)-1</f>
        <v>4353</v>
      </c>
    </row>
    <row r="4358" customFormat="false" ht="14.25" hidden="false" customHeight="true" outlineLevel="0" collapsed="false">
      <c r="A4358" s="51" t="n">
        <v>18257</v>
      </c>
      <c r="B4358" s="53" t="n">
        <v>40847.6166666667</v>
      </c>
      <c r="C4358" s="57" t="n">
        <f aca="false">INT($C$2)-INT(Table3[[#This Row],[Last Purchase Date]])</f>
        <v>40</v>
      </c>
      <c r="D4358" s="1" t="n">
        <v>12</v>
      </c>
      <c r="E4358" s="1" t="n">
        <v>2265.38</v>
      </c>
      <c r="F4358" s="1" t="n">
        <f aca="false">ROUND((1-_xlfn.PERCENTRANK.INC($C$7:$C$4378,C4358))*9,0)</f>
        <v>5</v>
      </c>
      <c r="G4358" s="1" t="n">
        <f aca="false">ROUND(_xlfn.PERCENTRANK.INC($D$7:$D$4378,D4358)*9,0)</f>
        <v>8</v>
      </c>
      <c r="H4358" s="1" t="n">
        <f aca="false">ROUND(_xlfn.PERCENTRANK.INC($E$7:$E$4378,E4358)*9,0)</f>
        <v>7</v>
      </c>
      <c r="I4358" s="1" t="str">
        <f aca="false">CONCATENATE(F4358,G4358,H4358)</f>
        <v>587</v>
      </c>
      <c r="J4358" s="1" t="str">
        <f aca="false">_xlfn.IFS(AND(F4358&gt;=8,G4358&gt;=8,H4358&gt;=8),"CHAMPION",AND(F4358&gt;=6,G4358&gt;=7,H4358&gt;=6),"LOYAL CUSTOMER",AND(F4358&gt;=6,G4358&gt;=5,H4358&gt;=5),"POTENTIAL LOYALIST",AND(F4358&gt;=8,G4358&lt;=2,H4358&gt;=5),"NEW CUSTOMERS",AND(F4358&gt;=6,G4358&lt;=2,H4358&gt;=3),"PROMISING",AND(F4358&gt;=3,G4358&gt;=3,H4358&gt;=3),"NEED ATTENTION",AND(F4358&lt;=4,G4358&gt;=6,H4358&gt;=6),"AT RISK",AND(F4358&lt;=2,G4358&gt;=8,H4358&gt;=8),"CAN'T LOSE THEM",AND(F4358&lt;=2,G4358&lt;=2,H4358&lt;=2),"HIBERNATING",TRUE(),"Other")</f>
        <v>NEED ATTENTION</v>
      </c>
      <c r="K4358" s="1" t="n">
        <f aca="false">RANK(E4358,$E$7:$E$4378)+COUNTIF($E$7:E4358,E4358)-1</f>
        <v>757</v>
      </c>
    </row>
    <row r="4359" customFormat="false" ht="14.25" hidden="false" customHeight="true" outlineLevel="0" collapsed="false">
      <c r="A4359" s="51" t="n">
        <v>18259</v>
      </c>
      <c r="B4359" s="53" t="n">
        <v>40862.5236111111</v>
      </c>
      <c r="C4359" s="57" t="n">
        <f aca="false">INT($C$2)-INT(Table3[[#This Row],[Last Purchase Date]])</f>
        <v>25</v>
      </c>
      <c r="D4359" s="1" t="n">
        <v>3</v>
      </c>
      <c r="E4359" s="1" t="n">
        <v>2338.6</v>
      </c>
      <c r="F4359" s="1" t="n">
        <f aca="false">ROUND((1-_xlfn.PERCENTRANK.INC($C$7:$C$4378,C4359))*9,0)</f>
        <v>6</v>
      </c>
      <c r="G4359" s="1" t="n">
        <f aca="false">ROUND(_xlfn.PERCENTRANK.INC($D$7:$D$4378,D4359)*9,0)</f>
        <v>4</v>
      </c>
      <c r="H4359" s="1" t="n">
        <f aca="false">ROUND(_xlfn.PERCENTRANK.INC($E$7:$E$4378,E4359)*9,0)</f>
        <v>7</v>
      </c>
      <c r="I4359" s="1" t="str">
        <f aca="false">CONCATENATE(F4359,G4359,H4359)</f>
        <v>647</v>
      </c>
      <c r="J4359" s="1" t="str">
        <f aca="false">_xlfn.IFS(AND(F4359&gt;=8,G4359&gt;=8,H4359&gt;=8),"CHAMPION",AND(F4359&gt;=6,G4359&gt;=7,H4359&gt;=6),"LOYAL CUSTOMER",AND(F4359&gt;=6,G4359&gt;=5,H4359&gt;=5),"POTENTIAL LOYALIST",AND(F4359&gt;=8,G4359&lt;=2,H4359&gt;=5),"NEW CUSTOMERS",AND(F4359&gt;=6,G4359&lt;=2,H4359&gt;=3),"PROMISING",AND(F4359&gt;=3,G4359&gt;=3,H4359&gt;=3),"NEED ATTENTION",AND(F4359&lt;=4,G4359&gt;=6,H4359&gt;=6),"AT RISK",AND(F4359&lt;=2,G4359&gt;=8,H4359&gt;=8),"CAN'T LOSE THEM",AND(F4359&lt;=2,G4359&lt;=2,H4359&lt;=2),"HIBERNATING",TRUE(),"Other")</f>
        <v>NEED ATTENTION</v>
      </c>
      <c r="K4359" s="1" t="n">
        <f aca="false">RANK(E4359,$E$7:$E$4378)+COUNTIF($E$7:E4359,E4359)-1</f>
        <v>729</v>
      </c>
    </row>
    <row r="4360" customFormat="false" ht="14.25" hidden="false" customHeight="true" outlineLevel="0" collapsed="false">
      <c r="A4360" s="51" t="n">
        <v>18260</v>
      </c>
      <c r="B4360" s="53" t="n">
        <v>40714.5256944444</v>
      </c>
      <c r="C4360" s="57" t="n">
        <f aca="false">INT($C$2)-INT(Table3[[#This Row],[Last Purchase Date]])</f>
        <v>173</v>
      </c>
      <c r="D4360" s="1" t="n">
        <v>8</v>
      </c>
      <c r="E4360" s="1" t="n">
        <v>2595</v>
      </c>
      <c r="F4360" s="1" t="n">
        <f aca="false">ROUND((1-_xlfn.PERCENTRANK.INC($C$7:$C$4378,C4360))*9,0)</f>
        <v>2</v>
      </c>
      <c r="G4360" s="1" t="n">
        <f aca="false">ROUND(_xlfn.PERCENTRANK.INC($D$7:$D$4378,D4360)*9,0)</f>
        <v>7</v>
      </c>
      <c r="H4360" s="1" t="n">
        <f aca="false">ROUND(_xlfn.PERCENTRANK.INC($E$7:$E$4378,E4360)*9,0)</f>
        <v>8</v>
      </c>
      <c r="I4360" s="1" t="str">
        <f aca="false">CONCATENATE(F4360,G4360,H4360)</f>
        <v>278</v>
      </c>
      <c r="J4360" s="1" t="str">
        <f aca="false">_xlfn.IFS(AND(F4360&gt;=8,G4360&gt;=8,H4360&gt;=8),"CHAMPION",AND(F4360&gt;=6,G4360&gt;=7,H4360&gt;=6),"LOYAL CUSTOMER",AND(F4360&gt;=6,G4360&gt;=5,H4360&gt;=5),"POTENTIAL LOYALIST",AND(F4360&gt;=8,G4360&lt;=2,H4360&gt;=5),"NEW CUSTOMERS",AND(F4360&gt;=6,G4360&lt;=2,H4360&gt;=3),"PROMISING",AND(F4360&gt;=3,G4360&gt;=3,H4360&gt;=3),"NEED ATTENTION",AND(F4360&lt;=4,G4360&gt;=6,H4360&gt;=6),"AT RISK",AND(F4360&lt;=2,G4360&gt;=8,H4360&gt;=8),"CAN'T LOSE THEM",AND(F4360&lt;=2,G4360&lt;=2,H4360&lt;=2),"HIBERNATING",TRUE(),"Other")</f>
        <v>AT RISK</v>
      </c>
      <c r="K4360" s="1" t="n">
        <f aca="false">RANK(E4360,$E$7:$E$4378)+COUNTIF($E$7:E4360,E4360)-1</f>
        <v>650</v>
      </c>
    </row>
    <row r="4361" customFormat="false" ht="14.25" hidden="false" customHeight="true" outlineLevel="0" collapsed="false">
      <c r="A4361" s="51" t="n">
        <v>18261</v>
      </c>
      <c r="B4361" s="53" t="n">
        <v>40843.65</v>
      </c>
      <c r="C4361" s="57" t="n">
        <f aca="false">INT($C$2)-INT(Table3[[#This Row],[Last Purchase Date]])</f>
        <v>44</v>
      </c>
      <c r="D4361" s="1" t="n">
        <v>2</v>
      </c>
      <c r="E4361" s="1" t="n">
        <v>324.24</v>
      </c>
      <c r="F4361" s="1" t="n">
        <f aca="false">ROUND((1-_xlfn.PERCENTRANK.INC($C$7:$C$4378,C4361))*9,0)</f>
        <v>5</v>
      </c>
      <c r="G4361" s="1" t="n">
        <f aca="false">ROUND(_xlfn.PERCENTRANK.INC($D$7:$D$4378,D4361)*9,0)</f>
        <v>3</v>
      </c>
      <c r="H4361" s="1" t="n">
        <f aca="false">ROUND(_xlfn.PERCENTRANK.INC($E$7:$E$4378,E4361)*9,0)</f>
        <v>3</v>
      </c>
      <c r="I4361" s="1" t="str">
        <f aca="false">CONCATENATE(F4361,G4361,H4361)</f>
        <v>533</v>
      </c>
      <c r="J4361" s="1" t="str">
        <f aca="false">_xlfn.IFS(AND(F4361&gt;=8,G4361&gt;=8,H4361&gt;=8),"CHAMPION",AND(F4361&gt;=6,G4361&gt;=7,H4361&gt;=6),"LOYAL CUSTOMER",AND(F4361&gt;=6,G4361&gt;=5,H4361&gt;=5),"POTENTIAL LOYALIST",AND(F4361&gt;=8,G4361&lt;=2,H4361&gt;=5),"NEW CUSTOMERS",AND(F4361&gt;=6,G4361&lt;=2,H4361&gt;=3),"PROMISING",AND(F4361&gt;=3,G4361&gt;=3,H4361&gt;=3),"NEED ATTENTION",AND(F4361&lt;=4,G4361&gt;=6,H4361&gt;=6),"AT RISK",AND(F4361&lt;=2,G4361&gt;=8,H4361&gt;=8),"CAN'T LOSE THEM",AND(F4361&lt;=2,G4361&lt;=2,H4361&lt;=2),"HIBERNATING",TRUE(),"Other")</f>
        <v>NEED ATTENTION</v>
      </c>
      <c r="K4361" s="1" t="n">
        <f aca="false">RANK(E4361,$E$7:$E$4378)+COUNTIF($E$7:E4361,E4361)-1</f>
        <v>3121</v>
      </c>
    </row>
    <row r="4362" customFormat="false" ht="14.25" hidden="false" customHeight="true" outlineLevel="0" collapsed="false">
      <c r="A4362" s="51" t="n">
        <v>18262</v>
      </c>
      <c r="B4362" s="53" t="n">
        <v>40746.6694444444</v>
      </c>
      <c r="C4362" s="57" t="n">
        <f aca="false">INT($C$2)-INT(Table3[[#This Row],[Last Purchase Date]])</f>
        <v>141</v>
      </c>
      <c r="D4362" s="1" t="n">
        <v>1</v>
      </c>
      <c r="E4362" s="1" t="n">
        <v>149.48</v>
      </c>
      <c r="F4362" s="1" t="n">
        <f aca="false">ROUND((1-_xlfn.PERCENTRANK.INC($C$7:$C$4378,C4362))*9,0)</f>
        <v>2</v>
      </c>
      <c r="G4362" s="1" t="n">
        <f aca="false">ROUND(_xlfn.PERCENTRANK.INC($D$7:$D$4378,D4362)*9,0)</f>
        <v>0</v>
      </c>
      <c r="H4362" s="1" t="n">
        <f aca="false">ROUND(_xlfn.PERCENTRANK.INC($E$7:$E$4378,E4362)*9,0)</f>
        <v>1</v>
      </c>
      <c r="I4362" s="1" t="str">
        <f aca="false">CONCATENATE(F4362,G4362,H4362)</f>
        <v>201</v>
      </c>
      <c r="J4362" s="1" t="str">
        <f aca="false">_xlfn.IFS(AND(F4362&gt;=8,G4362&gt;=8,H4362&gt;=8),"CHAMPION",AND(F4362&gt;=6,G4362&gt;=7,H4362&gt;=6),"LOYAL CUSTOMER",AND(F4362&gt;=6,G4362&gt;=5,H4362&gt;=5),"POTENTIAL LOYALIST",AND(F4362&gt;=8,G4362&lt;=2,H4362&gt;=5),"NEW CUSTOMERS",AND(F4362&gt;=6,G4362&lt;=2,H4362&gt;=3),"PROMISING",AND(F4362&gt;=3,G4362&gt;=3,H4362&gt;=3),"NEED ATTENTION",AND(F4362&lt;=4,G4362&gt;=6,H4362&gt;=6),"AT RISK",AND(F4362&lt;=2,G4362&gt;=8,H4362&gt;=8),"CAN'T LOSE THEM",AND(F4362&lt;=2,G4362&lt;=2,H4362&lt;=2),"HIBERNATING",TRUE(),"Other")</f>
        <v>HIBERNATING</v>
      </c>
      <c r="K4362" s="1" t="n">
        <f aca="false">RANK(E4362,$E$7:$E$4378)+COUNTIF($E$7:E4362,E4362)-1</f>
        <v>3921</v>
      </c>
    </row>
    <row r="4363" customFormat="false" ht="14.25" hidden="false" customHeight="true" outlineLevel="0" collapsed="false">
      <c r="A4363" s="51" t="n">
        <v>18263</v>
      </c>
      <c r="B4363" s="53" t="n">
        <v>40863.6798611111</v>
      </c>
      <c r="C4363" s="57" t="n">
        <f aca="false">INT($C$2)-INT(Table3[[#This Row],[Last Purchase Date]])</f>
        <v>24</v>
      </c>
      <c r="D4363" s="1" t="n">
        <v>4</v>
      </c>
      <c r="E4363" s="1" t="n">
        <v>1211.08</v>
      </c>
      <c r="F4363" s="1" t="n">
        <f aca="false">ROUND((1-_xlfn.PERCENTRANK.INC($C$7:$C$4378,C4363))*9,0)</f>
        <v>6</v>
      </c>
      <c r="G4363" s="1" t="n">
        <f aca="false">ROUND(_xlfn.PERCENTRANK.INC($D$7:$D$4378,D4363)*9,0)</f>
        <v>5</v>
      </c>
      <c r="H4363" s="1" t="n">
        <f aca="false">ROUND(_xlfn.PERCENTRANK.INC($E$7:$E$4378,E4363)*9,0)</f>
        <v>6</v>
      </c>
      <c r="I4363" s="1" t="str">
        <f aca="false">CONCATENATE(F4363,G4363,H4363)</f>
        <v>656</v>
      </c>
      <c r="J4363" s="1" t="str">
        <f aca="false">_xlfn.IFS(AND(F4363&gt;=8,G4363&gt;=8,H4363&gt;=8),"CHAMPION",AND(F4363&gt;=6,G4363&gt;=7,H4363&gt;=6),"LOYAL CUSTOMER",AND(F4363&gt;=6,G4363&gt;=5,H4363&gt;=5),"POTENTIAL LOYALIST",AND(F4363&gt;=8,G4363&lt;=2,H4363&gt;=5),"NEW CUSTOMERS",AND(F4363&gt;=6,G4363&lt;=2,H4363&gt;=3),"PROMISING",AND(F4363&gt;=3,G4363&gt;=3,H4363&gt;=3),"NEED ATTENTION",AND(F4363&lt;=4,G4363&gt;=6,H4363&gt;=6),"AT RISK",AND(F4363&lt;=2,G4363&gt;=8,H4363&gt;=8),"CAN'T LOSE THEM",AND(F4363&lt;=2,G4363&lt;=2,H4363&lt;=2),"HIBERNATING",TRUE(),"Other")</f>
        <v>POTENTIAL LOYALIST</v>
      </c>
      <c r="K4363" s="1" t="n">
        <f aca="false">RANK(E4363,$E$7:$E$4378)+COUNTIF($E$7:E4363,E4363)-1</f>
        <v>1404</v>
      </c>
    </row>
    <row r="4364" customFormat="false" ht="14.25" hidden="false" customHeight="true" outlineLevel="0" collapsed="false">
      <c r="A4364" s="51" t="n">
        <v>18265</v>
      </c>
      <c r="B4364" s="53" t="n">
        <v>40814.5902777778</v>
      </c>
      <c r="C4364" s="57" t="n">
        <f aca="false">INT($C$2)-INT(Table3[[#This Row],[Last Purchase Date]])</f>
        <v>73</v>
      </c>
      <c r="D4364" s="1" t="n">
        <v>2</v>
      </c>
      <c r="E4364" s="1" t="n">
        <v>801.51</v>
      </c>
      <c r="F4364" s="1" t="n">
        <f aca="false">ROUND((1-_xlfn.PERCENTRANK.INC($C$7:$C$4378,C4364))*9,0)</f>
        <v>4</v>
      </c>
      <c r="G4364" s="1" t="n">
        <f aca="false">ROUND(_xlfn.PERCENTRANK.INC($D$7:$D$4378,D4364)*9,0)</f>
        <v>3</v>
      </c>
      <c r="H4364" s="1" t="n">
        <f aca="false">ROUND(_xlfn.PERCENTRANK.INC($E$7:$E$4378,E4364)*9,0)</f>
        <v>5</v>
      </c>
      <c r="I4364" s="1" t="str">
        <f aca="false">CONCATENATE(F4364,G4364,H4364)</f>
        <v>435</v>
      </c>
      <c r="J4364" s="1" t="str">
        <f aca="false">_xlfn.IFS(AND(F4364&gt;=8,G4364&gt;=8,H4364&gt;=8),"CHAMPION",AND(F4364&gt;=6,G4364&gt;=7,H4364&gt;=6),"LOYAL CUSTOMER",AND(F4364&gt;=6,G4364&gt;=5,H4364&gt;=5),"POTENTIAL LOYALIST",AND(F4364&gt;=8,G4364&lt;=2,H4364&gt;=5),"NEW CUSTOMERS",AND(F4364&gt;=6,G4364&lt;=2,H4364&gt;=3),"PROMISING",AND(F4364&gt;=3,G4364&gt;=3,H4364&gt;=3),"NEED ATTENTION",AND(F4364&lt;=4,G4364&gt;=6,H4364&gt;=6),"AT RISK",AND(F4364&lt;=2,G4364&gt;=8,H4364&gt;=8),"CAN'T LOSE THEM",AND(F4364&lt;=2,G4364&lt;=2,H4364&lt;=2),"HIBERNATING",TRUE(),"Other")</f>
        <v>NEED ATTENTION</v>
      </c>
      <c r="K4364" s="1" t="n">
        <f aca="false">RANK(E4364,$E$7:$E$4378)+COUNTIF($E$7:E4364,E4364)-1</f>
        <v>1897</v>
      </c>
    </row>
    <row r="4365" customFormat="false" ht="14.25" hidden="false" customHeight="true" outlineLevel="0" collapsed="false">
      <c r="A4365" s="51" t="n">
        <v>18268</v>
      </c>
      <c r="B4365" s="53" t="n">
        <v>40752.8006944444</v>
      </c>
      <c r="C4365" s="57" t="n">
        <f aca="false">INT($C$2)-INT(Table3[[#This Row],[Last Purchase Date]])</f>
        <v>135</v>
      </c>
      <c r="D4365" s="1" t="n">
        <v>2</v>
      </c>
      <c r="E4365" s="1" t="n">
        <v>0</v>
      </c>
      <c r="F4365" s="1" t="n">
        <f aca="false">ROUND((1-_xlfn.PERCENTRANK.INC($C$7:$C$4378,C4365))*9,0)</f>
        <v>2</v>
      </c>
      <c r="G4365" s="1" t="n">
        <f aca="false">ROUND(_xlfn.PERCENTRANK.INC($D$7:$D$4378,D4365)*9,0)</f>
        <v>3</v>
      </c>
      <c r="H4365" s="1" t="n">
        <f aca="false">ROUND(_xlfn.PERCENTRANK.INC($E$7:$E$4378,E4365)*9,0)</f>
        <v>0</v>
      </c>
      <c r="I4365" s="1" t="str">
        <f aca="false">CONCATENATE(F4365,G4365,H4365)</f>
        <v>230</v>
      </c>
      <c r="J4365" s="1" t="str">
        <f aca="false">_xlfn.IFS(AND(F4365&gt;=8,G4365&gt;=8,H4365&gt;=8),"CHAMPION",AND(F4365&gt;=6,G4365&gt;=7,H4365&gt;=6),"LOYAL CUSTOMER",AND(F4365&gt;=6,G4365&gt;=5,H4365&gt;=5),"POTENTIAL LOYALIST",AND(F4365&gt;=8,G4365&lt;=2,H4365&gt;=5),"NEW CUSTOMERS",AND(F4365&gt;=6,G4365&lt;=2,H4365&gt;=3),"PROMISING",AND(F4365&gt;=3,G4365&gt;=3,H4365&gt;=3),"NEED ATTENTION",AND(F4365&lt;=4,G4365&gt;=6,H4365&gt;=6),"AT RISK",AND(F4365&lt;=2,G4365&gt;=8,H4365&gt;=8),"CAN'T LOSE THEM",AND(F4365&lt;=2,G4365&lt;=2,H4365&lt;=2),"HIBERNATING",TRUE(),"Other")</f>
        <v>Other</v>
      </c>
      <c r="K4365" s="1" t="n">
        <f aca="false">RANK(E4365,$E$7:$E$4378)+COUNTIF($E$7:E4365,E4365)-1</f>
        <v>4328</v>
      </c>
    </row>
    <row r="4366" customFormat="false" ht="14.25" hidden="false" customHeight="true" outlineLevel="0" collapsed="false">
      <c r="A4366" s="51" t="n">
        <v>18269</v>
      </c>
      <c r="B4366" s="53" t="n">
        <v>40528.6520833333</v>
      </c>
      <c r="C4366" s="57" t="n">
        <f aca="false">INT($C$2)-INT(Table3[[#This Row],[Last Purchase Date]])</f>
        <v>359</v>
      </c>
      <c r="D4366" s="1" t="n">
        <v>2</v>
      </c>
      <c r="E4366" s="1" t="n">
        <v>138.9</v>
      </c>
      <c r="F4366" s="1" t="n">
        <f aca="false">ROUND((1-_xlfn.PERCENTRANK.INC($C$7:$C$4378,C4366))*9,0)</f>
        <v>0</v>
      </c>
      <c r="G4366" s="1" t="n">
        <f aca="false">ROUND(_xlfn.PERCENTRANK.INC($D$7:$D$4378,D4366)*9,0)</f>
        <v>3</v>
      </c>
      <c r="H4366" s="1" t="n">
        <f aca="false">ROUND(_xlfn.PERCENTRANK.INC($E$7:$E$4378,E4366)*9,0)</f>
        <v>1</v>
      </c>
      <c r="I4366" s="1" t="str">
        <f aca="false">CONCATENATE(F4366,G4366,H4366)</f>
        <v>031</v>
      </c>
      <c r="J4366" s="1" t="str">
        <f aca="false">_xlfn.IFS(AND(F4366&gt;=8,G4366&gt;=8,H4366&gt;=8),"CHAMPION",AND(F4366&gt;=6,G4366&gt;=7,H4366&gt;=6),"LOYAL CUSTOMER",AND(F4366&gt;=6,G4366&gt;=5,H4366&gt;=5),"POTENTIAL LOYALIST",AND(F4366&gt;=8,G4366&lt;=2,H4366&gt;=5),"NEW CUSTOMERS",AND(F4366&gt;=6,G4366&lt;=2,H4366&gt;=3),"PROMISING",AND(F4366&gt;=3,G4366&gt;=3,H4366&gt;=3),"NEED ATTENTION",AND(F4366&lt;=4,G4366&gt;=6,H4366&gt;=6),"AT RISK",AND(F4366&lt;=2,G4366&gt;=8,H4366&gt;=8),"CAN'T LOSE THEM",AND(F4366&lt;=2,G4366&lt;=2,H4366&lt;=2),"HIBERNATING",TRUE(),"Other")</f>
        <v>Other</v>
      </c>
      <c r="K4366" s="1" t="n">
        <f aca="false">RANK(E4366,$E$7:$E$4378)+COUNTIF($E$7:E4366,E4366)-1</f>
        <v>3965</v>
      </c>
    </row>
    <row r="4367" customFormat="false" ht="14.25" hidden="false" customHeight="true" outlineLevel="0" collapsed="false">
      <c r="A4367" s="51" t="n">
        <v>18270</v>
      </c>
      <c r="B4367" s="53" t="n">
        <v>40848.58125</v>
      </c>
      <c r="C4367" s="57" t="n">
        <f aca="false">INT($C$2)-INT(Table3[[#This Row],[Last Purchase Date]])</f>
        <v>39</v>
      </c>
      <c r="D4367" s="1" t="n">
        <v>3</v>
      </c>
      <c r="E4367" s="1" t="n">
        <v>238.95</v>
      </c>
      <c r="F4367" s="1" t="n">
        <f aca="false">ROUND((1-_xlfn.PERCENTRANK.INC($C$7:$C$4378,C4367))*9,0)</f>
        <v>5</v>
      </c>
      <c r="G4367" s="1" t="n">
        <f aca="false">ROUND(_xlfn.PERCENTRANK.INC($D$7:$D$4378,D4367)*9,0)</f>
        <v>4</v>
      </c>
      <c r="H4367" s="1" t="n">
        <f aca="false">ROUND(_xlfn.PERCENTRANK.INC($E$7:$E$4378,E4367)*9,0)</f>
        <v>2</v>
      </c>
      <c r="I4367" s="1" t="str">
        <f aca="false">CONCATENATE(F4367,G4367,H4367)</f>
        <v>542</v>
      </c>
      <c r="J4367" s="1" t="str">
        <f aca="false">_xlfn.IFS(AND(F4367&gt;=8,G4367&gt;=8,H4367&gt;=8),"CHAMPION",AND(F4367&gt;=6,G4367&gt;=7,H4367&gt;=6),"LOYAL CUSTOMER",AND(F4367&gt;=6,G4367&gt;=5,H4367&gt;=5),"POTENTIAL LOYALIST",AND(F4367&gt;=8,G4367&lt;=2,H4367&gt;=5),"NEW CUSTOMERS",AND(F4367&gt;=6,G4367&lt;=2,H4367&gt;=3),"PROMISING",AND(F4367&gt;=3,G4367&gt;=3,H4367&gt;=3),"NEED ATTENTION",AND(F4367&lt;=4,G4367&gt;=6,H4367&gt;=6),"AT RISK",AND(F4367&lt;=2,G4367&gt;=8,H4367&gt;=8),"CAN'T LOSE THEM",AND(F4367&lt;=2,G4367&lt;=2,H4367&lt;=2),"HIBERNATING",TRUE(),"Other")</f>
        <v>Other</v>
      </c>
      <c r="K4367" s="1" t="n">
        <f aca="false">RANK(E4367,$E$7:$E$4378)+COUNTIF($E$7:E4367,E4367)-1</f>
        <v>3486</v>
      </c>
    </row>
    <row r="4368" customFormat="false" ht="14.25" hidden="false" customHeight="true" outlineLevel="0" collapsed="false">
      <c r="A4368" s="51" t="n">
        <v>18272</v>
      </c>
      <c r="B4368" s="53" t="n">
        <v>40884.5298611111</v>
      </c>
      <c r="C4368" s="57" t="n">
        <f aca="false">INT($C$2)-INT(Table3[[#This Row],[Last Purchase Date]])</f>
        <v>3</v>
      </c>
      <c r="D4368" s="1" t="n">
        <v>7</v>
      </c>
      <c r="E4368" s="1" t="n">
        <v>3064.78</v>
      </c>
      <c r="F4368" s="1" t="n">
        <f aca="false">ROUND((1-_xlfn.PERCENTRANK.INC($C$7:$C$4378,C4368))*9,0)</f>
        <v>9</v>
      </c>
      <c r="G4368" s="1" t="n">
        <f aca="false">ROUND(_xlfn.PERCENTRANK.INC($D$7:$D$4378,D4368)*9,0)</f>
        <v>7</v>
      </c>
      <c r="H4368" s="1" t="n">
        <f aca="false">ROUND(_xlfn.PERCENTRANK.INC($E$7:$E$4378,E4368)*9,0)</f>
        <v>8</v>
      </c>
      <c r="I4368" s="1" t="str">
        <f aca="false">CONCATENATE(F4368,G4368,H4368)</f>
        <v>978</v>
      </c>
      <c r="J4368" s="1" t="str">
        <f aca="false">_xlfn.IFS(AND(F4368&gt;=8,G4368&gt;=8,H4368&gt;=8),"CHAMPION",AND(F4368&gt;=6,G4368&gt;=7,H4368&gt;=6),"LOYAL CUSTOMER",AND(F4368&gt;=6,G4368&gt;=5,H4368&gt;=5),"POTENTIAL LOYALIST",AND(F4368&gt;=8,G4368&lt;=2,H4368&gt;=5),"NEW CUSTOMERS",AND(F4368&gt;=6,G4368&lt;=2,H4368&gt;=3),"PROMISING",AND(F4368&gt;=3,G4368&gt;=3,H4368&gt;=3),"NEED ATTENTION",AND(F4368&lt;=4,G4368&gt;=6,H4368&gt;=6),"AT RISK",AND(F4368&lt;=2,G4368&gt;=8,H4368&gt;=8),"CAN'T LOSE THEM",AND(F4368&lt;=2,G4368&lt;=2,H4368&lt;=2),"HIBERNATING",TRUE(),"Other")</f>
        <v>LOYAL CUSTOMER</v>
      </c>
      <c r="K4368" s="1" t="n">
        <f aca="false">RANK(E4368,$E$7:$E$4378)+COUNTIF($E$7:E4368,E4368)-1</f>
        <v>526</v>
      </c>
    </row>
    <row r="4369" customFormat="false" ht="14.25" hidden="false" customHeight="true" outlineLevel="0" collapsed="false">
      <c r="A4369" s="51" t="n">
        <v>18273</v>
      </c>
      <c r="B4369" s="53" t="n">
        <v>40884.5527777778</v>
      </c>
      <c r="C4369" s="57" t="n">
        <f aca="false">INT($C$2)-INT(Table3[[#This Row],[Last Purchase Date]])</f>
        <v>3</v>
      </c>
      <c r="D4369" s="1" t="n">
        <v>3</v>
      </c>
      <c r="E4369" s="1" t="n">
        <v>204</v>
      </c>
      <c r="F4369" s="1" t="n">
        <f aca="false">ROUND((1-_xlfn.PERCENTRANK.INC($C$7:$C$4378,C4369))*9,0)</f>
        <v>9</v>
      </c>
      <c r="G4369" s="1" t="n">
        <f aca="false">ROUND(_xlfn.PERCENTRANK.INC($D$7:$D$4378,D4369)*9,0)</f>
        <v>4</v>
      </c>
      <c r="H4369" s="1" t="n">
        <f aca="false">ROUND(_xlfn.PERCENTRANK.INC($E$7:$E$4378,E4369)*9,0)</f>
        <v>2</v>
      </c>
      <c r="I4369" s="1" t="str">
        <f aca="false">CONCATENATE(F4369,G4369,H4369)</f>
        <v>942</v>
      </c>
      <c r="J4369" s="1" t="str">
        <f aca="false">_xlfn.IFS(AND(F4369&gt;=8,G4369&gt;=8,H4369&gt;=8),"CHAMPION",AND(F4369&gt;=6,G4369&gt;=7,H4369&gt;=6),"LOYAL CUSTOMER",AND(F4369&gt;=6,G4369&gt;=5,H4369&gt;=5),"POTENTIAL LOYALIST",AND(F4369&gt;=8,G4369&lt;=2,H4369&gt;=5),"NEW CUSTOMERS",AND(F4369&gt;=6,G4369&lt;=2,H4369&gt;=3),"PROMISING",AND(F4369&gt;=3,G4369&gt;=3,H4369&gt;=3),"NEED ATTENTION",AND(F4369&lt;=4,G4369&gt;=6,H4369&gt;=6),"AT RISK",AND(F4369&lt;=2,G4369&gt;=8,H4369&gt;=8),"CAN'T LOSE THEM",AND(F4369&lt;=2,G4369&lt;=2,H4369&lt;=2),"HIBERNATING",TRUE(),"Other")</f>
        <v>Other</v>
      </c>
      <c r="K4369" s="1" t="n">
        <f aca="false">RANK(E4369,$E$7:$E$4378)+COUNTIF($E$7:E4369,E4369)-1</f>
        <v>3642</v>
      </c>
    </row>
    <row r="4370" customFormat="false" ht="14.25" hidden="false" customHeight="true" outlineLevel="0" collapsed="false">
      <c r="A4370" s="51" t="n">
        <v>18274</v>
      </c>
      <c r="B4370" s="53" t="n">
        <v>40869.4291666667</v>
      </c>
      <c r="C4370" s="57" t="n">
        <f aca="false">INT($C$2)-INT(Table3[[#This Row],[Last Purchase Date]])</f>
        <v>18</v>
      </c>
      <c r="D4370" s="1" t="n">
        <v>2</v>
      </c>
      <c r="E4370" s="1" t="n">
        <v>1.24344978758018E-014</v>
      </c>
      <c r="F4370" s="1" t="n">
        <f aca="false">ROUND((1-_xlfn.PERCENTRANK.INC($C$7:$C$4378,C4370))*9,0)</f>
        <v>7</v>
      </c>
      <c r="G4370" s="1" t="n">
        <f aca="false">ROUND(_xlfn.PERCENTRANK.INC($D$7:$D$4378,D4370)*9,0)</f>
        <v>3</v>
      </c>
      <c r="H4370" s="1" t="n">
        <f aca="false">ROUND(_xlfn.PERCENTRANK.INC($E$7:$E$4378,E4370)*9,0)</f>
        <v>0</v>
      </c>
      <c r="I4370" s="1" t="str">
        <f aca="false">CONCATENATE(F4370,G4370,H4370)</f>
        <v>730</v>
      </c>
      <c r="J4370" s="1" t="str">
        <f aca="false">_xlfn.IFS(AND(F4370&gt;=8,G4370&gt;=8,H4370&gt;=8),"CHAMPION",AND(F4370&gt;=6,G4370&gt;=7,H4370&gt;=6),"LOYAL CUSTOMER",AND(F4370&gt;=6,G4370&gt;=5,H4370&gt;=5),"POTENTIAL LOYALIST",AND(F4370&gt;=8,G4370&lt;=2,H4370&gt;=5),"NEW CUSTOMERS",AND(F4370&gt;=6,G4370&lt;=2,H4370&gt;=3),"PROMISING",AND(F4370&gt;=3,G4370&gt;=3,H4370&gt;=3),"NEED ATTENTION",AND(F4370&lt;=4,G4370&gt;=6,H4370&gt;=6),"AT RISK",AND(F4370&lt;=2,G4370&gt;=8,H4370&gt;=8),"CAN'T LOSE THEM",AND(F4370&lt;=2,G4370&lt;=2,H4370&lt;=2),"HIBERNATING",TRUE(),"Other")</f>
        <v>Other</v>
      </c>
      <c r="K4370" s="1" t="n">
        <f aca="false">RANK(E4370,$E$7:$E$4378)+COUNTIF($E$7:E4370,E4370)-1</f>
        <v>4321</v>
      </c>
    </row>
    <row r="4371" customFormat="false" ht="14.25" hidden="false" customHeight="true" outlineLevel="0" collapsed="false">
      <c r="A4371" s="51" t="n">
        <v>18276</v>
      </c>
      <c r="B4371" s="53" t="n">
        <v>40865.7090277778</v>
      </c>
      <c r="C4371" s="57" t="n">
        <f aca="false">INT($C$2)-INT(Table3[[#This Row],[Last Purchase Date]])</f>
        <v>22</v>
      </c>
      <c r="D4371" s="1" t="n">
        <v>3</v>
      </c>
      <c r="E4371" s="1" t="n">
        <v>323.36</v>
      </c>
      <c r="F4371" s="1" t="n">
        <f aca="false">ROUND((1-_xlfn.PERCENTRANK.INC($C$7:$C$4378,C4371))*9,0)</f>
        <v>6</v>
      </c>
      <c r="G4371" s="1" t="n">
        <f aca="false">ROUND(_xlfn.PERCENTRANK.INC($D$7:$D$4378,D4371)*9,0)</f>
        <v>4</v>
      </c>
      <c r="H4371" s="1" t="n">
        <f aca="false">ROUND(_xlfn.PERCENTRANK.INC($E$7:$E$4378,E4371)*9,0)</f>
        <v>3</v>
      </c>
      <c r="I4371" s="1" t="str">
        <f aca="false">CONCATENATE(F4371,G4371,H4371)</f>
        <v>643</v>
      </c>
      <c r="J4371" s="1" t="str">
        <f aca="false">_xlfn.IFS(AND(F4371&gt;=8,G4371&gt;=8,H4371&gt;=8),"CHAMPION",AND(F4371&gt;=6,G4371&gt;=7,H4371&gt;=6),"LOYAL CUSTOMER",AND(F4371&gt;=6,G4371&gt;=5,H4371&gt;=5),"POTENTIAL LOYALIST",AND(F4371&gt;=8,G4371&lt;=2,H4371&gt;=5),"NEW CUSTOMERS",AND(F4371&gt;=6,G4371&lt;=2,H4371&gt;=3),"PROMISING",AND(F4371&gt;=3,G4371&gt;=3,H4371&gt;=3),"NEED ATTENTION",AND(F4371&lt;=4,G4371&gt;=6,H4371&gt;=6),"AT RISK",AND(F4371&lt;=2,G4371&gt;=8,H4371&gt;=8),"CAN'T LOSE THEM",AND(F4371&lt;=2,G4371&lt;=2,H4371&lt;=2),"HIBERNATING",TRUE(),"Other")</f>
        <v>NEED ATTENTION</v>
      </c>
      <c r="K4371" s="1" t="n">
        <f aca="false">RANK(E4371,$E$7:$E$4378)+COUNTIF($E$7:E4371,E4371)-1</f>
        <v>3124</v>
      </c>
    </row>
    <row r="4372" customFormat="false" ht="14.25" hidden="false" customHeight="true" outlineLevel="0" collapsed="false">
      <c r="A4372" s="51" t="n">
        <v>18277</v>
      </c>
      <c r="B4372" s="53" t="n">
        <v>40828.6402777778</v>
      </c>
      <c r="C4372" s="57" t="n">
        <f aca="false">INT($C$2)-INT(Table3[[#This Row],[Last Purchase Date]])</f>
        <v>59</v>
      </c>
      <c r="D4372" s="1" t="n">
        <v>2</v>
      </c>
      <c r="E4372" s="1" t="n">
        <v>97.63</v>
      </c>
      <c r="F4372" s="1" t="n">
        <f aca="false">ROUND((1-_xlfn.PERCENTRANK.INC($C$7:$C$4378,C4372))*9,0)</f>
        <v>4</v>
      </c>
      <c r="G4372" s="1" t="n">
        <f aca="false">ROUND(_xlfn.PERCENTRANK.INC($D$7:$D$4378,D4372)*9,0)</f>
        <v>3</v>
      </c>
      <c r="H4372" s="1" t="n">
        <f aca="false">ROUND(_xlfn.PERCENTRANK.INC($E$7:$E$4378,E4372)*9,0)</f>
        <v>0</v>
      </c>
      <c r="I4372" s="1" t="str">
        <f aca="false">CONCATENATE(F4372,G4372,H4372)</f>
        <v>430</v>
      </c>
      <c r="J4372" s="1" t="str">
        <f aca="false">_xlfn.IFS(AND(F4372&gt;=8,G4372&gt;=8,H4372&gt;=8),"CHAMPION",AND(F4372&gt;=6,G4372&gt;=7,H4372&gt;=6),"LOYAL CUSTOMER",AND(F4372&gt;=6,G4372&gt;=5,H4372&gt;=5),"POTENTIAL LOYALIST",AND(F4372&gt;=8,G4372&lt;=2,H4372&gt;=5),"NEW CUSTOMERS",AND(F4372&gt;=6,G4372&lt;=2,H4372&gt;=3),"PROMISING",AND(F4372&gt;=3,G4372&gt;=3,H4372&gt;=3),"NEED ATTENTION",AND(F4372&lt;=4,G4372&gt;=6,H4372&gt;=6),"AT RISK",AND(F4372&lt;=2,G4372&gt;=8,H4372&gt;=8),"CAN'T LOSE THEM",AND(F4372&lt;=2,G4372&lt;=2,H4372&lt;=2),"HIBERNATING",TRUE(),"Other")</f>
        <v>Other</v>
      </c>
      <c r="K4372" s="1" t="n">
        <f aca="false">RANK(E4372,$E$7:$E$4378)+COUNTIF($E$7:E4372,E4372)-1</f>
        <v>4167</v>
      </c>
    </row>
    <row r="4373" customFormat="false" ht="14.25" hidden="false" customHeight="true" outlineLevel="0" collapsed="false">
      <c r="A4373" s="51" t="n">
        <v>18278</v>
      </c>
      <c r="B4373" s="53" t="n">
        <v>40813.4986111111</v>
      </c>
      <c r="C4373" s="57" t="n">
        <f aca="false">INT($C$2)-INT(Table3[[#This Row],[Last Purchase Date]])</f>
        <v>74</v>
      </c>
      <c r="D4373" s="1" t="n">
        <v>1</v>
      </c>
      <c r="E4373" s="1" t="n">
        <v>173.9</v>
      </c>
      <c r="F4373" s="1" t="n">
        <f aca="false">ROUND((1-_xlfn.PERCENTRANK.INC($C$7:$C$4378,C4373))*9,0)</f>
        <v>3</v>
      </c>
      <c r="G4373" s="1" t="n">
        <f aca="false">ROUND(_xlfn.PERCENTRANK.INC($D$7:$D$4378,D4373)*9,0)</f>
        <v>0</v>
      </c>
      <c r="H4373" s="1" t="n">
        <f aca="false">ROUND(_xlfn.PERCENTRANK.INC($E$7:$E$4378,E4373)*9,0)</f>
        <v>1</v>
      </c>
      <c r="I4373" s="1" t="str">
        <f aca="false">CONCATENATE(F4373,G4373,H4373)</f>
        <v>301</v>
      </c>
      <c r="J4373" s="1" t="str">
        <f aca="false">_xlfn.IFS(AND(F4373&gt;=8,G4373&gt;=8,H4373&gt;=8),"CHAMPION",AND(F4373&gt;=6,G4373&gt;=7,H4373&gt;=6),"LOYAL CUSTOMER",AND(F4373&gt;=6,G4373&gt;=5,H4373&gt;=5),"POTENTIAL LOYALIST",AND(F4373&gt;=8,G4373&lt;=2,H4373&gt;=5),"NEW CUSTOMERS",AND(F4373&gt;=6,G4373&lt;=2,H4373&gt;=3),"PROMISING",AND(F4373&gt;=3,G4373&gt;=3,H4373&gt;=3),"NEED ATTENTION",AND(F4373&lt;=4,G4373&gt;=6,H4373&gt;=6),"AT RISK",AND(F4373&lt;=2,G4373&gt;=8,H4373&gt;=8),"CAN'T LOSE THEM",AND(F4373&lt;=2,G4373&lt;=2,H4373&lt;=2),"HIBERNATING",TRUE(),"Other")</f>
        <v>Other</v>
      </c>
      <c r="K4373" s="1" t="n">
        <f aca="false">RANK(E4373,$E$7:$E$4378)+COUNTIF($E$7:E4373,E4373)-1</f>
        <v>3786</v>
      </c>
    </row>
    <row r="4374" customFormat="false" ht="14.25" hidden="false" customHeight="true" outlineLevel="0" collapsed="false">
      <c r="A4374" s="51" t="n">
        <v>18280</v>
      </c>
      <c r="B4374" s="53" t="n">
        <v>40609.4111111111</v>
      </c>
      <c r="C4374" s="57" t="n">
        <f aca="false">INT($C$2)-INT(Table3[[#This Row],[Last Purchase Date]])</f>
        <v>278</v>
      </c>
      <c r="D4374" s="1" t="n">
        <v>1</v>
      </c>
      <c r="E4374" s="1" t="n">
        <v>180.6</v>
      </c>
      <c r="F4374" s="1" t="n">
        <f aca="false">ROUND((1-_xlfn.PERCENTRANK.INC($C$7:$C$4378,C4374))*9,0)</f>
        <v>1</v>
      </c>
      <c r="G4374" s="1" t="n">
        <f aca="false">ROUND(_xlfn.PERCENTRANK.INC($D$7:$D$4378,D4374)*9,0)</f>
        <v>0</v>
      </c>
      <c r="H4374" s="1" t="n">
        <f aca="false">ROUND(_xlfn.PERCENTRANK.INC($E$7:$E$4378,E4374)*9,0)</f>
        <v>1</v>
      </c>
      <c r="I4374" s="1" t="str">
        <f aca="false">CONCATENATE(F4374,G4374,H4374)</f>
        <v>101</v>
      </c>
      <c r="J4374" s="1" t="str">
        <f aca="false">_xlfn.IFS(AND(F4374&gt;=8,G4374&gt;=8,H4374&gt;=8),"CHAMPION",AND(F4374&gt;=6,G4374&gt;=7,H4374&gt;=6),"LOYAL CUSTOMER",AND(F4374&gt;=6,G4374&gt;=5,H4374&gt;=5),"POTENTIAL LOYALIST",AND(F4374&gt;=8,G4374&lt;=2,H4374&gt;=5),"NEW CUSTOMERS",AND(F4374&gt;=6,G4374&lt;=2,H4374&gt;=3),"PROMISING",AND(F4374&gt;=3,G4374&gt;=3,H4374&gt;=3),"NEED ATTENTION",AND(F4374&lt;=4,G4374&gt;=6,H4374&gt;=6),"AT RISK",AND(F4374&lt;=2,G4374&gt;=8,H4374&gt;=8),"CAN'T LOSE THEM",AND(F4374&lt;=2,G4374&lt;=2,H4374&lt;=2),"HIBERNATING",TRUE(),"Other")</f>
        <v>HIBERNATING</v>
      </c>
      <c r="K4374" s="1" t="n">
        <f aca="false">RANK(E4374,$E$7:$E$4378)+COUNTIF($E$7:E4374,E4374)-1</f>
        <v>3748</v>
      </c>
    </row>
    <row r="4375" customFormat="false" ht="14.25" hidden="false" customHeight="true" outlineLevel="0" collapsed="false">
      <c r="A4375" s="51" t="n">
        <v>18281</v>
      </c>
      <c r="B4375" s="53" t="n">
        <v>40706.4534722222</v>
      </c>
      <c r="C4375" s="57" t="n">
        <f aca="false">INT($C$2)-INT(Table3[[#This Row],[Last Purchase Date]])</f>
        <v>181</v>
      </c>
      <c r="D4375" s="1" t="n">
        <v>1</v>
      </c>
      <c r="E4375" s="1" t="n">
        <v>80.82</v>
      </c>
      <c r="F4375" s="1" t="n">
        <f aca="false">ROUND((1-_xlfn.PERCENTRANK.INC($C$7:$C$4378,C4375))*9,0)</f>
        <v>2</v>
      </c>
      <c r="G4375" s="1" t="n">
        <f aca="false">ROUND(_xlfn.PERCENTRANK.INC($D$7:$D$4378,D4375)*9,0)</f>
        <v>0</v>
      </c>
      <c r="H4375" s="1" t="n">
        <f aca="false">ROUND(_xlfn.PERCENTRANK.INC($E$7:$E$4378,E4375)*9,0)</f>
        <v>0</v>
      </c>
      <c r="I4375" s="1" t="str">
        <f aca="false">CONCATENATE(F4375,G4375,H4375)</f>
        <v>200</v>
      </c>
      <c r="J4375" s="1" t="str">
        <f aca="false">_xlfn.IFS(AND(F4375&gt;=8,G4375&gt;=8,H4375&gt;=8),"CHAMPION",AND(F4375&gt;=6,G4375&gt;=7,H4375&gt;=6),"LOYAL CUSTOMER",AND(F4375&gt;=6,G4375&gt;=5,H4375&gt;=5),"POTENTIAL LOYALIST",AND(F4375&gt;=8,G4375&lt;=2,H4375&gt;=5),"NEW CUSTOMERS",AND(F4375&gt;=6,G4375&lt;=2,H4375&gt;=3),"PROMISING",AND(F4375&gt;=3,G4375&gt;=3,H4375&gt;=3),"NEED ATTENTION",AND(F4375&lt;=4,G4375&gt;=6,H4375&gt;=6),"AT RISK",AND(F4375&lt;=2,G4375&gt;=8,H4375&gt;=8),"CAN'T LOSE THEM",AND(F4375&lt;=2,G4375&lt;=2,H4375&lt;=2),"HIBERNATING",TRUE(),"Other")</f>
        <v>HIBERNATING</v>
      </c>
      <c r="K4375" s="1" t="n">
        <f aca="false">RANK(E4375,$E$7:$E$4378)+COUNTIF($E$7:E4375,E4375)-1</f>
        <v>4214</v>
      </c>
    </row>
    <row r="4376" customFormat="false" ht="14.25" hidden="false" customHeight="true" outlineLevel="0" collapsed="false">
      <c r="A4376" s="51" t="n">
        <v>18282</v>
      </c>
      <c r="B4376" s="53" t="n">
        <v>40879.4881944444</v>
      </c>
      <c r="C4376" s="57" t="n">
        <f aca="false">INT($C$2)-INT(Table3[[#This Row],[Last Purchase Date]])</f>
        <v>8</v>
      </c>
      <c r="D4376" s="1" t="n">
        <v>3</v>
      </c>
      <c r="E4376" s="1" t="n">
        <v>176.6</v>
      </c>
      <c r="F4376" s="1" t="n">
        <f aca="false">ROUND((1-_xlfn.PERCENTRANK.INC($C$7:$C$4378,C4376))*9,0)</f>
        <v>8</v>
      </c>
      <c r="G4376" s="1" t="n">
        <f aca="false">ROUND(_xlfn.PERCENTRANK.INC($D$7:$D$4378,D4376)*9,0)</f>
        <v>4</v>
      </c>
      <c r="H4376" s="1" t="n">
        <f aca="false">ROUND(_xlfn.PERCENTRANK.INC($E$7:$E$4378,E4376)*9,0)</f>
        <v>1</v>
      </c>
      <c r="I4376" s="1" t="str">
        <f aca="false">CONCATENATE(F4376,G4376,H4376)</f>
        <v>841</v>
      </c>
      <c r="J4376" s="1" t="str">
        <f aca="false">_xlfn.IFS(AND(F4376&gt;=8,G4376&gt;=8,H4376&gt;=8),"CHAMPION",AND(F4376&gt;=6,G4376&gt;=7,H4376&gt;=6),"LOYAL CUSTOMER",AND(F4376&gt;=6,G4376&gt;=5,H4376&gt;=5),"POTENTIAL LOYALIST",AND(F4376&gt;=8,G4376&lt;=2,H4376&gt;=5),"NEW CUSTOMERS",AND(F4376&gt;=6,G4376&lt;=2,H4376&gt;=3),"PROMISING",AND(F4376&gt;=3,G4376&gt;=3,H4376&gt;=3),"NEED ATTENTION",AND(F4376&lt;=4,G4376&gt;=6,H4376&gt;=6),"AT RISK",AND(F4376&lt;=2,G4376&gt;=8,H4376&gt;=8),"CAN'T LOSE THEM",AND(F4376&lt;=2,G4376&lt;=2,H4376&lt;=2),"HIBERNATING",TRUE(),"Other")</f>
        <v>Other</v>
      </c>
      <c r="K4376" s="1" t="n">
        <f aca="false">RANK(E4376,$E$7:$E$4378)+COUNTIF($E$7:E4376,E4376)-1</f>
        <v>3775</v>
      </c>
    </row>
    <row r="4377" customFormat="false" ht="14.25" hidden="false" customHeight="true" outlineLevel="0" collapsed="false">
      <c r="A4377" s="51" t="n">
        <v>18283</v>
      </c>
      <c r="B4377" s="53" t="n">
        <v>40883.5013888889</v>
      </c>
      <c r="C4377" s="57" t="n">
        <f aca="false">INT($C$2)-INT(Table3[[#This Row],[Last Purchase Date]])</f>
        <v>4</v>
      </c>
      <c r="D4377" s="1" t="n">
        <v>16</v>
      </c>
      <c r="E4377" s="1" t="n">
        <v>2094.88</v>
      </c>
      <c r="F4377" s="1" t="n">
        <f aca="false">ROUND((1-_xlfn.PERCENTRANK.INC($C$7:$C$4378,C4377))*9,0)</f>
        <v>8</v>
      </c>
      <c r="G4377" s="1" t="n">
        <f aca="false">ROUND(_xlfn.PERCENTRANK.INC($D$7:$D$4378,D4377)*9,0)</f>
        <v>9</v>
      </c>
      <c r="H4377" s="1" t="n">
        <f aca="false">ROUND(_xlfn.PERCENTRANK.INC($E$7:$E$4378,E4377)*9,0)</f>
        <v>7</v>
      </c>
      <c r="I4377" s="1" t="str">
        <f aca="false">CONCATENATE(F4377,G4377,H4377)</f>
        <v>897</v>
      </c>
      <c r="J4377" s="1" t="str">
        <f aca="false">_xlfn.IFS(AND(F4377&gt;=8,G4377&gt;=8,H4377&gt;=8),"CHAMPION",AND(F4377&gt;=6,G4377&gt;=7,H4377&gt;=6),"LOYAL CUSTOMER",AND(F4377&gt;=6,G4377&gt;=5,H4377&gt;=5),"POTENTIAL LOYALIST",AND(F4377&gt;=8,G4377&lt;=2,H4377&gt;=5),"NEW CUSTOMERS",AND(F4377&gt;=6,G4377&lt;=2,H4377&gt;=3),"PROMISING",AND(F4377&gt;=3,G4377&gt;=3,H4377&gt;=3),"NEED ATTENTION",AND(F4377&lt;=4,G4377&gt;=6,H4377&gt;=6),"AT RISK",AND(F4377&lt;=2,G4377&gt;=8,H4377&gt;=8),"CAN'T LOSE THEM",AND(F4377&lt;=2,G4377&lt;=2,H4377&lt;=2),"HIBERNATING",TRUE(),"Other")</f>
        <v>LOYAL CUSTOMER</v>
      </c>
      <c r="K4377" s="1" t="n">
        <f aca="false">RANK(E4377,$E$7:$E$4378)+COUNTIF($E$7:E4377,E4377)-1</f>
        <v>829</v>
      </c>
    </row>
    <row r="4378" customFormat="false" ht="14.25" hidden="false" customHeight="true" outlineLevel="0" collapsed="false">
      <c r="A4378" s="51" t="n">
        <v>18287</v>
      </c>
      <c r="B4378" s="53" t="n">
        <v>40844.3951388889</v>
      </c>
      <c r="C4378" s="57" t="n">
        <f aca="false">INT($C$2)-INT(Table3[[#This Row],[Last Purchase Date]])</f>
        <v>43</v>
      </c>
      <c r="D4378" s="1" t="n">
        <v>3</v>
      </c>
      <c r="E4378" s="1" t="n">
        <v>1837.28</v>
      </c>
      <c r="F4378" s="1" t="n">
        <f aca="false">ROUND((1-_xlfn.PERCENTRANK.INC($C$7:$C$4378,C4378))*9,0)</f>
        <v>5</v>
      </c>
      <c r="G4378" s="1" t="n">
        <f aca="false">ROUND(_xlfn.PERCENTRANK.INC($D$7:$D$4378,D4378)*9,0)</f>
        <v>4</v>
      </c>
      <c r="H4378" s="1" t="n">
        <f aca="false">ROUND(_xlfn.PERCENTRANK.INC($E$7:$E$4378,E4378)*9,0)</f>
        <v>7</v>
      </c>
      <c r="I4378" s="1" t="str">
        <f aca="false">CONCATENATE(F4378,G4378,H4378)</f>
        <v>547</v>
      </c>
      <c r="J4378" s="1" t="str">
        <f aca="false">_xlfn.IFS(AND(F4378&gt;=8,G4378&gt;=8,H4378&gt;=8),"CHAMPION",AND(F4378&gt;=6,G4378&gt;=7,H4378&gt;=6),"LOYAL CUSTOMER",AND(F4378&gt;=6,G4378&gt;=5,H4378&gt;=5),"POTENTIAL LOYALIST",AND(F4378&gt;=8,G4378&lt;=2,H4378&gt;=5),"NEW CUSTOMERS",AND(F4378&gt;=6,G4378&lt;=2,H4378&gt;=3),"PROMISING",AND(F4378&gt;=3,G4378&gt;=3,H4378&gt;=3),"NEED ATTENTION",AND(F4378&lt;=4,G4378&gt;=6,H4378&gt;=6),"AT RISK",AND(F4378&lt;=2,G4378&gt;=8,H4378&gt;=8),"CAN'T LOSE THEM",AND(F4378&lt;=2,G4378&lt;=2,H4378&lt;=2),"HIBERNATING",TRUE(),"Other")</f>
        <v>NEED ATTENTION</v>
      </c>
      <c r="K4378" s="1" t="n">
        <f aca="false">RANK(E4378,$E$7:$E$4378)+COUNTIF($E$7:E4378,E4378)-1</f>
        <v>959</v>
      </c>
    </row>
    <row r="4379" customFormat="false" ht="14.25" hidden="false" customHeight="true" outlineLevel="0" collapsed="false">
      <c r="B4379" s="58"/>
      <c r="C4379" s="57"/>
      <c r="D4379" s="59"/>
      <c r="E4379" s="59"/>
    </row>
    <row r="4380" customFormat="false" ht="14.25" hidden="false" customHeight="true" outlineLevel="0" collapsed="false">
      <c r="A4380" s="51"/>
      <c r="C4380" s="5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2015-11-06T22:17:13Z</dcterms:created>
  <dc:creator>admin</dc:creator>
  <dc:description/>
  <dc:language>en-US</dc:language>
  <cp:lastModifiedBy/>
  <dcterms:modified xsi:type="dcterms:W3CDTF">2026-08-22T06:32:04Z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